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BD0F63F1-8B9C-420A-8273-4904AC93D8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<sst xmlns="http://schemas.openxmlformats.org/spreadsheetml/2006/main" count="364" uniqueCount="177">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</sst>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3000000</c:v>
                </c:pt>
                <c:pt idx="3">
                  <c:v>2480000</c:v>
                </c:pt>
                <c:pt idx="4">
                  <c:v>2570000</c:v>
                </c:pt>
                <c:pt idx="5">
                  <c:v>2850000</c:v>
                </c:pt>
                <c:pt idx="6">
                  <c:v>2640000</c:v>
                </c:pt>
                <c:pt idx="7">
                  <c:v>2660000</c:v>
                </c:pt>
                <c:pt idx="8">
                  <c:v>2420000</c:v>
                </c:pt>
                <c:pt idx="9">
                  <c:v>2730000</c:v>
                </c:pt>
                <c:pt idx="10">
                  <c:v>2690000</c:v>
                </c:pt>
                <c:pt idx="11">
                  <c:v>2690000</c:v>
                </c:pt>
                <c:pt idx="12">
                  <c:v>2620000</c:v>
                </c:pt>
                <c:pt idx="13">
                  <c:v>2600000</c:v>
                </c:pt>
                <c:pt idx="14">
                  <c:v>2045784</c:v>
                </c:pt>
                <c:pt idx="15">
                  <c:v>2400000</c:v>
                </c:pt>
                <c:pt idx="16">
                  <c:v>2300000</c:v>
                </c:pt>
                <c:pt idx="17">
                  <c:v>2100000</c:v>
                </c:pt>
                <c:pt idx="18">
                  <c:v>2200000</c:v>
                </c:pt>
                <c:pt idx="19">
                  <c:v>1970000</c:v>
                </c:pt>
                <c:pt idx="20">
                  <c:v>1697897</c:v>
                </c:pt>
                <c:pt idx="21">
                  <c:v>1940000</c:v>
                </c:pt>
                <c:pt idx="22">
                  <c:v>1840000</c:v>
                </c:pt>
                <c:pt idx="23">
                  <c:v>1600279</c:v>
                </c:pt>
                <c:pt idx="24">
                  <c:v>117000</c:v>
                </c:pt>
                <c:pt idx="25">
                  <c:v>131000</c:v>
                </c:pt>
                <c:pt idx="26">
                  <c:v>1710000</c:v>
                </c:pt>
                <c:pt idx="27">
                  <c:v>1580000</c:v>
                </c:pt>
                <c:pt idx="28">
                  <c:v>1346453</c:v>
                </c:pt>
                <c:pt idx="29">
                  <c:v>1170830</c:v>
                </c:pt>
                <c:pt idx="30">
                  <c:v>140000</c:v>
                </c:pt>
                <c:pt idx="31">
                  <c:v>1110000</c:v>
                </c:pt>
                <c:pt idx="32">
                  <c:v>940000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8" zoomScale="95" zoomScaleNormal="95" workbookViewId="0">
      <selection activeCell="A36" sqref="A36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33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158</v>
      </c>
      <c r="AA1" s="40" t="s">
        <v>6</v>
      </c>
    </row>
    <row r="2" spans="1:28" ht="28.5" customHeight="1" x14ac:dyDescent="0.3">
      <c r="D2" s="79" t="s">
        <v>164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7</v>
      </c>
      <c r="AA2" s="40">
        <f>M9*N9</f>
        <v>90</v>
      </c>
    </row>
    <row r="3" spans="1:28" ht="14.25" customHeight="1" x14ac:dyDescent="0.3">
      <c r="D3" s="78" t="s">
        <v>167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13</v>
      </c>
      <c r="AA3" s="40">
        <f>M10*N10</f>
        <v>54</v>
      </c>
    </row>
    <row r="4" spans="1:28" ht="14.25" customHeight="1" x14ac:dyDescent="0.3">
      <c r="D4" s="78" t="s">
        <v>166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26</v>
      </c>
      <c r="AA4" s="40">
        <f>M11*N11</f>
        <v>65</v>
      </c>
    </row>
    <row r="5" spans="1:28" ht="30.75" customHeight="1" x14ac:dyDescent="0.3">
      <c r="D5" s="79" t="s">
        <v>168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163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162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150</v>
      </c>
      <c r="D8" t="s">
        <v>151</v>
      </c>
      <c r="F8" t="s">
        <v>152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2</v>
      </c>
      <c r="F9" s="2">
        <v>12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6</v>
      </c>
      <c r="O9" s="40">
        <f>COUNTIF($S$15:$S$271,1)</f>
        <v>6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2</v>
      </c>
      <c r="F10" s="2">
        <v>18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6</v>
      </c>
      <c r="O10" s="40">
        <f>COUNTIF($S$15:$S$271,2)</f>
        <v>6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5</v>
      </c>
      <c r="N11" s="39">
        <v>13</v>
      </c>
      <c r="O11" s="40">
        <f>COUNTIF($S$15:$S$271,3)</f>
        <v>13</v>
      </c>
      <c r="P11" s="40">
        <f>N11-O11</f>
        <v>0</v>
      </c>
      <c r="T11" s="31" t="s">
        <v>17</v>
      </c>
      <c r="U11" s="71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本服</v>
      </c>
      <c r="C12" s="70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25</v>
      </c>
      <c r="K13" s="38"/>
      <c r="N13" s="4"/>
      <c r="W13" s="4"/>
      <c r="X13" s="4"/>
      <c r="Y13" s="1"/>
    </row>
    <row r="14" spans="1:28" ht="14.25" customHeight="1" x14ac:dyDescent="0.3">
      <c r="B14" s="34" t="s">
        <v>149</v>
      </c>
      <c r="D14" s="1" t="s">
        <v>19</v>
      </c>
      <c r="F14" s="1" t="s">
        <v>153</v>
      </c>
      <c r="G14" s="3"/>
      <c r="H14" t="s">
        <v>154</v>
      </c>
      <c r="I14" s="1" t="s">
        <v>21</v>
      </c>
      <c r="K14" s="1" t="s">
        <v>20</v>
      </c>
      <c r="L14" s="37" t="s">
        <v>157</v>
      </c>
      <c r="M14" s="37" t="s">
        <v>156</v>
      </c>
      <c r="N14" s="1" t="s">
        <v>22</v>
      </c>
      <c r="P14" s="37" t="s">
        <v>159</v>
      </c>
      <c r="Q14" s="37" t="s">
        <v>160</v>
      </c>
      <c r="R14" s="37" t="s">
        <v>161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155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 t="shared" ref="T15:T54" si="6"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21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si="6"/>
        <v>0</v>
      </c>
      <c r="U16" s="56">
        <f t="shared" ref="U16:U54" si="9">-IF(S16=$K$9,$M$9,IF(S16=$K$10,$M$10,IF(S16=$K$11,$M$11)))</f>
        <v>0</v>
      </c>
      <c r="V16" s="56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300</v>
      </c>
      <c r="G17" s="12"/>
      <c r="H17" s="55">
        <v>4</v>
      </c>
      <c r="I17" s="54"/>
      <c r="J17" s="12"/>
      <c r="K17" s="56">
        <f>IF(H17&gt;0,VLOOKUP(D17,战力表!$A$3:$F$58,6,FALSE),0)</f>
        <v>10</v>
      </c>
      <c r="L17" s="56">
        <f t="shared" si="0"/>
        <v>8</v>
      </c>
      <c r="M17" s="56">
        <f t="shared" si="1"/>
        <v>3</v>
      </c>
      <c r="N17" s="56" t="b">
        <f t="shared" si="2"/>
        <v>0</v>
      </c>
      <c r="O17" s="12"/>
      <c r="P17" s="55">
        <v>329</v>
      </c>
      <c r="Q17" s="56">
        <f t="shared" si="3"/>
        <v>21</v>
      </c>
      <c r="R17" s="56">
        <f t="shared" si="4"/>
        <v>350</v>
      </c>
      <c r="S17" s="56">
        <f t="shared" si="5"/>
        <v>1</v>
      </c>
      <c r="T17" s="56" t="str">
        <f t="shared" si="6"/>
        <v>传说</v>
      </c>
      <c r="U17" s="56">
        <f t="shared" si="9"/>
        <v>-15</v>
      </c>
      <c r="V17" s="56">
        <f t="shared" si="7"/>
        <v>335</v>
      </c>
      <c r="W17" s="12">
        <f>IF(H17=0,List!$C$5,$C$3)</f>
        <v>0</v>
      </c>
      <c r="X17" s="12"/>
      <c r="Y17" s="12">
        <f t="shared" si="8"/>
        <v>350</v>
      </c>
      <c r="Z17" s="12">
        <f>RANK(Y17,$Y$15:$Y$55,0)+COUNTIF($Y$15:Y17,Y17)-1</f>
        <v>5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6"/>
        <v>0</v>
      </c>
      <c r="U18" s="56">
        <f t="shared" si="9"/>
        <v>0</v>
      </c>
      <c r="V18" s="56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22</v>
      </c>
      <c r="AA18" s="12"/>
      <c r="AB18" s="12"/>
      <c r="AF18" s="68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6"/>
        <v>0</v>
      </c>
      <c r="U19" s="56">
        <f t="shared" si="9"/>
        <v>0</v>
      </c>
      <c r="V19" s="56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29</v>
      </c>
      <c r="AA19" s="12"/>
      <c r="AB19" s="12"/>
      <c r="AD19" s="65"/>
      <c r="AE19" s="65"/>
      <c r="AF19" s="65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285</v>
      </c>
      <c r="G20" s="12"/>
      <c r="H20" s="55">
        <v>2</v>
      </c>
      <c r="I20" s="54"/>
      <c r="J20" s="12"/>
      <c r="K20" s="56">
        <f>IF(H20&gt;0,VLOOKUP(D20,战力表!$A$3:$F$58,6,FALSE),0)</f>
        <v>10</v>
      </c>
      <c r="L20" s="56">
        <f t="shared" si="0"/>
        <v>4</v>
      </c>
      <c r="M20" s="56">
        <f t="shared" si="1"/>
        <v>0</v>
      </c>
      <c r="N20" s="56" t="b">
        <f t="shared" si="2"/>
        <v>0</v>
      </c>
      <c r="O20" s="12"/>
      <c r="P20" s="55">
        <v>305</v>
      </c>
      <c r="Q20" s="56">
        <f t="shared" si="3"/>
        <v>14</v>
      </c>
      <c r="R20" s="56">
        <f t="shared" si="4"/>
        <v>319</v>
      </c>
      <c r="S20" s="56">
        <f t="shared" si="5"/>
        <v>3</v>
      </c>
      <c r="T20" s="56" t="str">
        <f t="shared" si="6"/>
        <v>精英</v>
      </c>
      <c r="U20" s="56">
        <f t="shared" si="9"/>
        <v>-5</v>
      </c>
      <c r="V20" s="56">
        <f t="shared" si="7"/>
        <v>314</v>
      </c>
      <c r="W20" s="12">
        <f>IF(H20=0,List!$C$5,$C$3)</f>
        <v>0</v>
      </c>
      <c r="X20" s="12"/>
      <c r="Y20" s="12">
        <f t="shared" si="8"/>
        <v>319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6"/>
        <v>0</v>
      </c>
      <c r="U21" s="56">
        <f t="shared" si="9"/>
        <v>0</v>
      </c>
      <c r="V21" s="56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20</v>
      </c>
      <c r="AA21" s="12"/>
      <c r="AB21" s="12"/>
      <c r="AD21" s="69"/>
      <c r="AE21" s="69"/>
      <c r="AF21" s="63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266</v>
      </c>
      <c r="G22" s="12"/>
      <c r="H22" s="55">
        <v>3</v>
      </c>
      <c r="I22" s="54"/>
      <c r="J22" s="12"/>
      <c r="K22" s="56">
        <f>IF(H22&gt;0,VLOOKUP(D22,战力表!$A$3:$F$58,6,FALSE),0)</f>
        <v>9</v>
      </c>
      <c r="L22" s="56">
        <f t="shared" si="0"/>
        <v>6</v>
      </c>
      <c r="M22" s="56">
        <f t="shared" si="1"/>
        <v>0</v>
      </c>
      <c r="N22" s="56" t="b">
        <f t="shared" si="2"/>
        <v>0</v>
      </c>
      <c r="O22" s="12"/>
      <c r="P22" s="55">
        <v>329</v>
      </c>
      <c r="Q22" s="56">
        <f t="shared" si="3"/>
        <v>15</v>
      </c>
      <c r="R22" s="56">
        <f t="shared" si="4"/>
        <v>344</v>
      </c>
      <c r="S22" s="56">
        <f t="shared" si="5"/>
        <v>2</v>
      </c>
      <c r="T22" s="56" t="str">
        <f t="shared" si="6"/>
        <v>英雄</v>
      </c>
      <c r="U22" s="56">
        <f t="shared" si="9"/>
        <v>-9</v>
      </c>
      <c r="V22" s="56">
        <f t="shared" si="7"/>
        <v>335</v>
      </c>
      <c r="W22" s="12">
        <f>IF(H22=0,List!$C$5,$C$3)</f>
        <v>0</v>
      </c>
      <c r="X22" s="12"/>
      <c r="Y22" s="12">
        <f t="shared" si="8"/>
        <v>344</v>
      </c>
      <c r="Z22" s="12">
        <f>RANK(Y22,$Y$15:$Y$55,0)+COUNTIF($Y$15:Y22,Y22)-1</f>
        <v>12</v>
      </c>
      <c r="AA22" s="12"/>
      <c r="AB22" s="12"/>
      <c r="AD22" s="66"/>
      <c r="AE22" s="66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6"/>
        <v>0</v>
      </c>
      <c r="U23" s="56">
        <f t="shared" si="9"/>
        <v>0</v>
      </c>
      <c r="V23" s="56">
        <f t="shared" si="7"/>
        <v>300</v>
      </c>
      <c r="W23" s="12" t="str">
        <f>IF(H23=0,List!$C$5,$C$3)</f>
        <v>没有忍战，无法分包</v>
      </c>
      <c r="X23" s="12"/>
      <c r="Y23" s="12">
        <f t="shared" si="8"/>
        <v>300</v>
      </c>
      <c r="Z23" s="12">
        <f>RANK(Y23,$Y$15:$Y$55,0)+COUNTIF($Y$15:Y23,Y23)-1</f>
        <v>18</v>
      </c>
      <c r="AA23" s="12"/>
      <c r="AB23" s="12"/>
      <c r="AD23" s="68"/>
      <c r="AE23" s="68"/>
      <c r="AF23" s="62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273</v>
      </c>
      <c r="G24" s="12"/>
      <c r="H24" s="55">
        <v>3</v>
      </c>
      <c r="I24" s="54"/>
      <c r="J24" s="12"/>
      <c r="K24" s="56">
        <f>IF(H24&gt;0,VLOOKUP(D24,战力表!$A$3:$F$58,6,FALSE),0)</f>
        <v>10</v>
      </c>
      <c r="L24" s="56">
        <f t="shared" si="0"/>
        <v>6</v>
      </c>
      <c r="M24" s="56">
        <f t="shared" si="1"/>
        <v>0</v>
      </c>
      <c r="N24" s="56" t="b">
        <f t="shared" si="2"/>
        <v>0</v>
      </c>
      <c r="O24" s="12"/>
      <c r="P24" s="55">
        <v>329</v>
      </c>
      <c r="Q24" s="56">
        <f t="shared" si="3"/>
        <v>16</v>
      </c>
      <c r="R24" s="56">
        <f t="shared" si="4"/>
        <v>345</v>
      </c>
      <c r="S24" s="56">
        <f t="shared" si="5"/>
        <v>2</v>
      </c>
      <c r="T24" s="56" t="str">
        <f t="shared" si="6"/>
        <v>英雄</v>
      </c>
      <c r="U24" s="56">
        <f t="shared" si="9"/>
        <v>-9</v>
      </c>
      <c r="V24" s="56">
        <f t="shared" si="7"/>
        <v>336</v>
      </c>
      <c r="W24" s="12">
        <f>IF(H24=0,List!$C$5,$C$3)</f>
        <v>0</v>
      </c>
      <c r="X24" s="12"/>
      <c r="Y24" s="12">
        <f t="shared" si="8"/>
        <v>345</v>
      </c>
      <c r="Z24" s="12">
        <f>RANK(Y24,$Y$15:$Y$55,0)+COUNTIF($Y$15:Y24,Y24)-1</f>
        <v>11</v>
      </c>
      <c r="AA24" s="12"/>
      <c r="AB24" s="12"/>
      <c r="AD24" s="66"/>
      <c r="AE24" s="66"/>
      <c r="AF24" s="66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269</v>
      </c>
      <c r="G25" s="12"/>
      <c r="H25" s="55">
        <v>4</v>
      </c>
      <c r="I25" s="54"/>
      <c r="J25" s="12"/>
      <c r="K25" s="56">
        <f>IF(H25&gt;0,VLOOKUP(D25,战力表!$A$3:$F$58,6,FALSE),0)</f>
        <v>10</v>
      </c>
      <c r="L25" s="56">
        <f t="shared" si="0"/>
        <v>8</v>
      </c>
      <c r="M25" s="56">
        <f t="shared" si="1"/>
        <v>3</v>
      </c>
      <c r="N25" s="56" t="b">
        <f t="shared" si="2"/>
        <v>0</v>
      </c>
      <c r="O25" s="12"/>
      <c r="P25" s="55">
        <v>330</v>
      </c>
      <c r="Q25" s="56">
        <f t="shared" si="3"/>
        <v>21</v>
      </c>
      <c r="R25" s="56">
        <f t="shared" si="4"/>
        <v>351</v>
      </c>
      <c r="S25" s="56">
        <f t="shared" si="5"/>
        <v>1</v>
      </c>
      <c r="T25" s="56" t="str">
        <f t="shared" si="6"/>
        <v>传说</v>
      </c>
      <c r="U25" s="56">
        <f t="shared" si="9"/>
        <v>-15</v>
      </c>
      <c r="V25" s="56">
        <f t="shared" si="7"/>
        <v>336</v>
      </c>
      <c r="W25" s="12">
        <f>IF(H25=0,List!$C$5,$C$3)</f>
        <v>0</v>
      </c>
      <c r="X25" s="12"/>
      <c r="Y25" s="12">
        <f t="shared" si="8"/>
        <v>351</v>
      </c>
      <c r="Z25" s="12">
        <f>RANK(Y25,$Y$15:$Y$55,0)+COUNTIF($Y$15:Y25,Y25)-1</f>
        <v>3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4</v>
      </c>
      <c r="I26" s="54"/>
      <c r="J26" s="12"/>
      <c r="K26" s="56">
        <f>IF(H26&gt;0,VLOOKUP(D26,战力表!$A$3:$F$58,6,FALSE),0)</f>
        <v>10</v>
      </c>
      <c r="L26" s="56">
        <f t="shared" si="0"/>
        <v>8</v>
      </c>
      <c r="M26" s="56">
        <f t="shared" si="1"/>
        <v>3</v>
      </c>
      <c r="N26" s="56" t="b">
        <f t="shared" si="2"/>
        <v>0</v>
      </c>
      <c r="O26" s="12"/>
      <c r="P26" s="55">
        <v>329</v>
      </c>
      <c r="Q26" s="56">
        <f t="shared" si="3"/>
        <v>21</v>
      </c>
      <c r="R26" s="56">
        <f t="shared" si="4"/>
        <v>350</v>
      </c>
      <c r="S26" s="56">
        <f t="shared" si="5"/>
        <v>1</v>
      </c>
      <c r="T26" s="56" t="str">
        <f t="shared" si="6"/>
        <v>传说</v>
      </c>
      <c r="U26" s="56">
        <f t="shared" si="9"/>
        <v>-15</v>
      </c>
      <c r="V26" s="56">
        <f t="shared" si="7"/>
        <v>335</v>
      </c>
      <c r="W26" s="12">
        <f>IF(H26=0,List!$C$5,$C$3)</f>
        <v>0</v>
      </c>
      <c r="X26" s="12"/>
      <c r="Y26" s="12">
        <f t="shared" si="8"/>
        <v>350</v>
      </c>
      <c r="Z26" s="12">
        <f>RANK(Y26,$Y$15:$Y$55,0)+COUNTIF($Y$15:Y26,Y26)-1</f>
        <v>6</v>
      </c>
      <c r="AA26" s="12"/>
      <c r="AB26" s="12"/>
      <c r="AD26" s="69"/>
      <c r="AE26" s="69"/>
      <c r="AF26" s="67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262</v>
      </c>
      <c r="G27" s="12"/>
      <c r="H27" s="55">
        <v>4</v>
      </c>
      <c r="I27" s="54"/>
      <c r="J27" s="12"/>
      <c r="K27" s="56">
        <f>IF(H27&gt;0,VLOOKUP(D27,战力表!$A$3:$F$58,6,FALSE),0)</f>
        <v>9</v>
      </c>
      <c r="L27" s="56">
        <f t="shared" si="0"/>
        <v>8</v>
      </c>
      <c r="M27" s="56">
        <f t="shared" si="1"/>
        <v>3</v>
      </c>
      <c r="N27" s="56" t="b">
        <f t="shared" si="2"/>
        <v>0</v>
      </c>
      <c r="O27" s="12"/>
      <c r="P27" s="55">
        <v>333</v>
      </c>
      <c r="Q27" s="56">
        <f t="shared" si="3"/>
        <v>20</v>
      </c>
      <c r="R27" s="56">
        <f t="shared" si="4"/>
        <v>353</v>
      </c>
      <c r="S27" s="56">
        <f t="shared" si="5"/>
        <v>1</v>
      </c>
      <c r="T27" s="56" t="str">
        <f t="shared" si="6"/>
        <v>传说</v>
      </c>
      <c r="U27" s="56">
        <f t="shared" si="9"/>
        <v>-15</v>
      </c>
      <c r="V27" s="56">
        <f t="shared" si="7"/>
        <v>338</v>
      </c>
      <c r="W27" s="12">
        <f>IF(H27=0,List!$C$5,$C$3)</f>
        <v>0</v>
      </c>
      <c r="X27" s="12"/>
      <c r="Y27" s="12">
        <f t="shared" si="8"/>
        <v>353</v>
      </c>
      <c r="Z27" s="12">
        <f>RANK(Y27,$Y$15:$Y$55,0)+COUNTIF($Y$15:Y27,Y27)-1</f>
        <v>1</v>
      </c>
      <c r="AA27" s="12"/>
      <c r="AB27" s="12"/>
      <c r="AD27" s="69"/>
      <c r="AE27" s="69"/>
      <c r="AF27" s="63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260</v>
      </c>
      <c r="G28" s="12"/>
      <c r="H28" s="55">
        <v>4</v>
      </c>
      <c r="I28" s="54"/>
      <c r="J28" s="12"/>
      <c r="K28" s="56">
        <f>IF(H28&gt;0,VLOOKUP(D28,战力表!$A$3:$F$58,6,FALSE),0)</f>
        <v>9</v>
      </c>
      <c r="L28" s="56">
        <f t="shared" si="0"/>
        <v>8</v>
      </c>
      <c r="M28" s="56">
        <f t="shared" si="1"/>
        <v>3</v>
      </c>
      <c r="N28" s="56" t="b">
        <f t="shared" si="2"/>
        <v>0</v>
      </c>
      <c r="O28" s="12"/>
      <c r="P28" s="55">
        <v>331</v>
      </c>
      <c r="Q28" s="56">
        <f t="shared" si="3"/>
        <v>20</v>
      </c>
      <c r="R28" s="56">
        <f t="shared" si="4"/>
        <v>351</v>
      </c>
      <c r="S28" s="56">
        <f t="shared" si="5"/>
        <v>1</v>
      </c>
      <c r="T28" s="56" t="str">
        <f t="shared" si="6"/>
        <v>传说</v>
      </c>
      <c r="U28" s="56">
        <f t="shared" si="9"/>
        <v>-15</v>
      </c>
      <c r="V28" s="56">
        <f t="shared" si="7"/>
        <v>336</v>
      </c>
      <c r="W28" s="12">
        <f>IF(H28=0,List!$C$5,$C$3)</f>
        <v>0</v>
      </c>
      <c r="X28" s="12"/>
      <c r="Y28" s="12">
        <f t="shared" si="8"/>
        <v>351</v>
      </c>
      <c r="Z28" s="12">
        <f>RANK(Y28,$Y$15:$Y$55,0)+COUNTIF($Y$15:Y28,Y28)-1</f>
        <v>4</v>
      </c>
      <c r="AA28" s="12"/>
      <c r="AB28" s="12"/>
      <c r="AD28" s="65"/>
      <c r="AE28" s="65"/>
      <c r="AF28" s="63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6"/>
        <v>0</v>
      </c>
      <c r="U29" s="56">
        <f t="shared" si="9"/>
        <v>0</v>
      </c>
      <c r="V29" s="56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36</v>
      </c>
      <c r="AA29" s="12"/>
      <c r="AB29" s="12"/>
      <c r="AD29" s="65"/>
      <c r="AE29" s="65"/>
      <c r="AF29" s="65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240</v>
      </c>
      <c r="G30" s="12"/>
      <c r="H30" s="55">
        <v>3</v>
      </c>
      <c r="I30" s="54"/>
      <c r="J30" s="12"/>
      <c r="K30" s="56">
        <f>IF(H30&gt;0,VLOOKUP(D30,战力表!$A$3:$F$58,6,FALSE),0)</f>
        <v>8</v>
      </c>
      <c r="L30" s="56">
        <f t="shared" si="0"/>
        <v>6</v>
      </c>
      <c r="M30" s="56">
        <f t="shared" si="1"/>
        <v>0</v>
      </c>
      <c r="N30" s="56" t="b">
        <f t="shared" si="2"/>
        <v>0</v>
      </c>
      <c r="O30" s="12"/>
      <c r="P30" s="55">
        <v>330</v>
      </c>
      <c r="Q30" s="56">
        <f t="shared" si="3"/>
        <v>14</v>
      </c>
      <c r="R30" s="56">
        <f t="shared" si="4"/>
        <v>344</v>
      </c>
      <c r="S30" s="56">
        <f t="shared" si="5"/>
        <v>3</v>
      </c>
      <c r="T30" s="56" t="str">
        <f t="shared" si="6"/>
        <v>精英</v>
      </c>
      <c r="U30" s="56">
        <f t="shared" si="9"/>
        <v>-5</v>
      </c>
      <c r="V30" s="56">
        <f t="shared" si="7"/>
        <v>339</v>
      </c>
      <c r="W30" s="12">
        <f>IF(H30=0,List!$C$5,$C$3)</f>
        <v>0</v>
      </c>
      <c r="X30" s="12"/>
      <c r="Y30" s="12">
        <f t="shared" si="8"/>
        <v>344</v>
      </c>
      <c r="Z30" s="12">
        <f>RANK(Y30,$Y$15:$Y$55,0)+COUNTIF($Y$15:Y30,Y30)-1</f>
        <v>13</v>
      </c>
      <c r="AA30" s="12"/>
      <c r="AB30" s="12"/>
      <c r="AD30" s="68"/>
      <c r="AE30" s="68"/>
      <c r="AF30" s="68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230</v>
      </c>
      <c r="G31" s="12"/>
      <c r="H31" s="55">
        <v>3</v>
      </c>
      <c r="I31" s="54"/>
      <c r="J31" s="12"/>
      <c r="K31" s="56">
        <f>IF(H31&gt;0,VLOOKUP(D31,战力表!$A$3:$F$58,6,FALSE),0)</f>
        <v>8</v>
      </c>
      <c r="L31" s="56">
        <f t="shared" si="0"/>
        <v>6</v>
      </c>
      <c r="M31" s="56">
        <f t="shared" si="1"/>
        <v>0</v>
      </c>
      <c r="N31" s="56" t="b">
        <f t="shared" si="2"/>
        <v>0</v>
      </c>
      <c r="O31" s="12"/>
      <c r="P31" s="55">
        <v>333</v>
      </c>
      <c r="Q31" s="56">
        <f t="shared" si="3"/>
        <v>14</v>
      </c>
      <c r="R31" s="56">
        <f t="shared" si="4"/>
        <v>347</v>
      </c>
      <c r="S31" s="56">
        <f t="shared" si="5"/>
        <v>2</v>
      </c>
      <c r="T31" s="56" t="str">
        <f t="shared" si="6"/>
        <v>英雄</v>
      </c>
      <c r="U31" s="56">
        <f t="shared" si="9"/>
        <v>-9</v>
      </c>
      <c r="V31" s="56">
        <f t="shared" si="7"/>
        <v>338</v>
      </c>
      <c r="W31" s="12">
        <f>IF(H31=0,List!$C$5,$C$3)</f>
        <v>0</v>
      </c>
      <c r="X31" s="12"/>
      <c r="Y31" s="12">
        <f t="shared" si="8"/>
        <v>347</v>
      </c>
      <c r="Z31" s="12">
        <f>RANK(Y31,$Y$15:$Y$55,0)+COUNTIF($Y$15:Y31,Y31)-1</f>
        <v>8</v>
      </c>
      <c r="AA31" s="12"/>
      <c r="AB31" s="12"/>
      <c r="AD31" s="65"/>
      <c r="AE31" s="65"/>
      <c r="AF31" s="68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6"/>
        <v>0</v>
      </c>
      <c r="U32" s="56">
        <f t="shared" si="9"/>
        <v>0</v>
      </c>
      <c r="V32" s="56">
        <f t="shared" si="7"/>
        <v>295</v>
      </c>
      <c r="W32" s="12" t="str">
        <f>IF(H32=0,List!$C$5,$C$3)</f>
        <v>没有忍战，无法分包</v>
      </c>
      <c r="X32" s="12"/>
      <c r="Y32" s="12">
        <f t="shared" si="8"/>
        <v>295</v>
      </c>
      <c r="Z32" s="12">
        <f>RANK(Y32,$Y$15:$Y$55,0)+COUNTIF($Y$15:Y32,Y32)-1</f>
        <v>19</v>
      </c>
      <c r="AA32" s="12"/>
      <c r="AB32" s="12"/>
      <c r="AD32" s="65"/>
      <c r="AE32" s="65"/>
      <c r="AF32" s="65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220</v>
      </c>
      <c r="G33" s="12"/>
      <c r="H33" s="55">
        <v>3</v>
      </c>
      <c r="I33" s="54"/>
      <c r="J33" s="12"/>
      <c r="K33" s="56">
        <f>IF(H33&gt;0,VLOOKUP(D33,战力表!$A$3:$F$58,6,FALSE),0)</f>
        <v>8</v>
      </c>
      <c r="L33" s="56">
        <f t="shared" si="0"/>
        <v>6</v>
      </c>
      <c r="M33" s="56">
        <f t="shared" si="1"/>
        <v>0</v>
      </c>
      <c r="N33" s="56" t="b">
        <f t="shared" si="2"/>
        <v>0</v>
      </c>
      <c r="O33" s="12"/>
      <c r="P33" s="55">
        <v>333</v>
      </c>
      <c r="Q33" s="56">
        <f t="shared" si="3"/>
        <v>14</v>
      </c>
      <c r="R33" s="56">
        <f t="shared" si="4"/>
        <v>347</v>
      </c>
      <c r="S33" s="56">
        <f t="shared" si="5"/>
        <v>2</v>
      </c>
      <c r="T33" s="56" t="str">
        <f t="shared" si="6"/>
        <v>英雄</v>
      </c>
      <c r="U33" s="56">
        <f t="shared" si="9"/>
        <v>-9</v>
      </c>
      <c r="V33" s="56">
        <f t="shared" si="7"/>
        <v>338</v>
      </c>
      <c r="W33" s="12">
        <f>IF(H33=0,List!$C$5,$C$3)</f>
        <v>0</v>
      </c>
      <c r="X33" s="12"/>
      <c r="Y33" s="12">
        <f t="shared" si="8"/>
        <v>347</v>
      </c>
      <c r="Z33" s="12">
        <f>RANK(Y33,$Y$15:$Y$55,0)+COUNTIF($Y$15:Y33,Y33)-1</f>
        <v>9</v>
      </c>
      <c r="AA33" s="12"/>
      <c r="AB33" s="12"/>
      <c r="AD33" s="33"/>
      <c r="AE33" s="33"/>
      <c r="AF33" s="64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6"/>
        <v>0</v>
      </c>
      <c r="U34" s="56">
        <f t="shared" si="9"/>
        <v>0</v>
      </c>
      <c r="V34" s="56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23</v>
      </c>
      <c r="AA34" s="12"/>
      <c r="AB34" s="12"/>
      <c r="AD34" s="33"/>
      <c r="AE34" s="33"/>
      <c r="AF34" s="64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6"/>
        <v>0</v>
      </c>
      <c r="U35" s="56">
        <f t="shared" si="9"/>
        <v>0</v>
      </c>
      <c r="V35" s="56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30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194</v>
      </c>
      <c r="G36" s="12"/>
      <c r="H36" s="55">
        <v>4</v>
      </c>
      <c r="I36" s="54"/>
      <c r="J36" s="12"/>
      <c r="K36" s="56">
        <f>IF(H36&gt;0,VLOOKUP(D36,战力表!$A$3:$F$58,6,FALSE),0)</f>
        <v>8</v>
      </c>
      <c r="L36" s="56">
        <f t="shared" si="0"/>
        <v>8</v>
      </c>
      <c r="M36" s="56">
        <f t="shared" si="1"/>
        <v>3</v>
      </c>
      <c r="N36" s="56" t="b">
        <f t="shared" si="2"/>
        <v>0</v>
      </c>
      <c r="O36" s="12"/>
      <c r="P36" s="55">
        <v>330</v>
      </c>
      <c r="Q36" s="56">
        <f t="shared" si="3"/>
        <v>19</v>
      </c>
      <c r="R36" s="56">
        <f t="shared" si="4"/>
        <v>349</v>
      </c>
      <c r="S36" s="56">
        <f t="shared" si="5"/>
        <v>2</v>
      </c>
      <c r="T36" s="56" t="str">
        <f t="shared" si="6"/>
        <v>英雄</v>
      </c>
      <c r="U36" s="56">
        <f t="shared" si="9"/>
        <v>-9</v>
      </c>
      <c r="V36" s="56">
        <f t="shared" si="7"/>
        <v>340</v>
      </c>
      <c r="W36" s="12">
        <f>IF(H36=0,List!$C$5,$C$3)</f>
        <v>0</v>
      </c>
      <c r="X36" s="12"/>
      <c r="Y36" s="12">
        <f t="shared" si="8"/>
        <v>349</v>
      </c>
      <c r="Z36" s="12">
        <f>RANK(Y36,$Y$15:$Y$55,0)+COUNTIF($Y$15:Y36,Y36)-1</f>
        <v>7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83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6"/>
        <v>0</v>
      </c>
      <c r="U37" s="56">
        <f t="shared" si="9"/>
        <v>0</v>
      </c>
      <c r="V37" s="56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24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6"/>
        <v>0</v>
      </c>
      <c r="U38" s="56">
        <f t="shared" si="9"/>
        <v>0</v>
      </c>
      <c r="V38" s="56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1" t="s">
        <v>176</v>
      </c>
      <c r="E39" s="10"/>
      <c r="F39" s="54">
        <f>INT(VLOOKUP(D39,战力表!A:B,2,)/10000)</f>
        <v>11</v>
      </c>
      <c r="G39" s="12"/>
      <c r="H39" s="55">
        <v>4</v>
      </c>
      <c r="I39" s="54"/>
      <c r="J39" s="12"/>
      <c r="K39" s="56">
        <f>IF(H39&gt;0,VLOOKUP(D39,战力表!$A$3:$F$58,6,FALSE),0)</f>
        <v>7</v>
      </c>
      <c r="L39" s="56">
        <f t="shared" si="0"/>
        <v>8</v>
      </c>
      <c r="M39" s="56">
        <f t="shared" si="1"/>
        <v>3</v>
      </c>
      <c r="N39" s="56" t="b">
        <f t="shared" si="2"/>
        <v>0</v>
      </c>
      <c r="O39" s="12"/>
      <c r="P39" s="55">
        <v>161</v>
      </c>
      <c r="Q39" s="56">
        <f t="shared" si="3"/>
        <v>18</v>
      </c>
      <c r="R39" s="56">
        <f t="shared" si="4"/>
        <v>179</v>
      </c>
      <c r="S39" s="56">
        <f t="shared" si="5"/>
        <v>3</v>
      </c>
      <c r="T39" s="56" t="str">
        <f t="shared" si="6"/>
        <v>精英</v>
      </c>
      <c r="U39" s="56">
        <f t="shared" si="9"/>
        <v>-5</v>
      </c>
      <c r="V39" s="56">
        <f t="shared" si="7"/>
        <v>174</v>
      </c>
      <c r="W39" s="12">
        <f>IF(H39=0,List!$C$5,$C$3)</f>
        <v>0</v>
      </c>
      <c r="X39" s="12"/>
      <c r="Y39" s="12">
        <f t="shared" si="8"/>
        <v>179</v>
      </c>
      <c r="Z39" s="12">
        <f>RANK(Y39,$Y$15:$Y$55,0)+COUNTIF($Y$15:Y39,Y39)-1</f>
        <v>33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60" t="s">
        <v>175</v>
      </c>
      <c r="E40" s="10"/>
      <c r="F40" s="54">
        <f>INT(VLOOKUP(D40,战力表!A:B,2,)/10000)</f>
        <v>13</v>
      </c>
      <c r="G40" s="12"/>
      <c r="H40" s="55">
        <v>4</v>
      </c>
      <c r="I40" s="54"/>
      <c r="J40" s="12"/>
      <c r="K40" s="56">
        <f>IF(H40&gt;0,VLOOKUP(D40,战力表!$A$3:$F$58,6,FALSE),0)</f>
        <v>7</v>
      </c>
      <c r="L40" s="56">
        <f t="shared" si="0"/>
        <v>8</v>
      </c>
      <c r="M40" s="56">
        <f t="shared" si="1"/>
        <v>3</v>
      </c>
      <c r="N40" s="56" t="b">
        <f t="shared" si="2"/>
        <v>0</v>
      </c>
      <c r="O40" s="12"/>
      <c r="P40" s="55">
        <v>161</v>
      </c>
      <c r="Q40" s="56">
        <f t="shared" si="3"/>
        <v>18</v>
      </c>
      <c r="R40" s="56">
        <f t="shared" si="4"/>
        <v>179</v>
      </c>
      <c r="S40" s="56">
        <f t="shared" si="5"/>
        <v>3</v>
      </c>
      <c r="T40" s="56" t="str">
        <f t="shared" si="6"/>
        <v>精英</v>
      </c>
      <c r="U40" s="56">
        <f t="shared" si="9"/>
        <v>-5</v>
      </c>
      <c r="V40" s="56">
        <f t="shared" si="7"/>
        <v>174</v>
      </c>
      <c r="W40" s="12">
        <f>IF(H40=0,List!$C$5,$C$3)</f>
        <v>0</v>
      </c>
      <c r="X40" s="12"/>
      <c r="Y40" s="12">
        <f t="shared" si="8"/>
        <v>179</v>
      </c>
      <c r="Z40" s="12">
        <f>RANK(Y40,$Y$15:$Y$55,0)+COUNTIF($Y$15:Y40,Y40)-1</f>
        <v>34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171</v>
      </c>
      <c r="G41" s="12"/>
      <c r="H41" s="55">
        <v>1</v>
      </c>
      <c r="I41" s="54"/>
      <c r="J41" s="12"/>
      <c r="K41" s="56">
        <f>IF(H41&gt;0,VLOOKUP(D41,战力表!$A$3:$F$58,6,FALSE),0)</f>
        <v>8</v>
      </c>
      <c r="L41" s="56">
        <f t="shared" si="0"/>
        <v>2</v>
      </c>
      <c r="M41" s="56">
        <f t="shared" si="1"/>
        <v>0</v>
      </c>
      <c r="N41" s="56" t="b">
        <f t="shared" si="2"/>
        <v>0</v>
      </c>
      <c r="O41" s="12"/>
      <c r="P41" s="55">
        <v>334</v>
      </c>
      <c r="Q41" s="56">
        <f t="shared" si="3"/>
        <v>10</v>
      </c>
      <c r="R41" s="56">
        <f t="shared" si="4"/>
        <v>344</v>
      </c>
      <c r="S41" s="56">
        <f t="shared" si="5"/>
        <v>3</v>
      </c>
      <c r="T41" s="56" t="str">
        <f t="shared" si="6"/>
        <v>精英</v>
      </c>
      <c r="U41" s="56">
        <f t="shared" si="9"/>
        <v>-5</v>
      </c>
      <c r="V41" s="56">
        <f t="shared" si="7"/>
        <v>339</v>
      </c>
      <c r="W41" s="12">
        <f>IF(H41=0,List!$C$5,$C$3)</f>
        <v>0</v>
      </c>
      <c r="X41" s="12"/>
      <c r="Y41" s="12">
        <f t="shared" si="8"/>
        <v>344</v>
      </c>
      <c r="Z41" s="12">
        <f>RANK(Y41,$Y$15:$Y$55,0)+COUNTIF($Y$15:Y41,Y41)-1</f>
        <v>14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158</v>
      </c>
      <c r="G42" s="12"/>
      <c r="H42" s="55">
        <v>4</v>
      </c>
      <c r="I42" s="54"/>
      <c r="J42" s="12"/>
      <c r="K42" s="56">
        <f>IF(H42&gt;0,VLOOKUP(D42,战力表!$A$3:$F$58,6,FALSE),0)</f>
        <v>7</v>
      </c>
      <c r="L42" s="56">
        <f t="shared" si="0"/>
        <v>8</v>
      </c>
      <c r="M42" s="56">
        <f t="shared" si="1"/>
        <v>3</v>
      </c>
      <c r="N42" s="56" t="b">
        <f t="shared" si="2"/>
        <v>0</v>
      </c>
      <c r="O42" s="12"/>
      <c r="P42" s="55">
        <v>335</v>
      </c>
      <c r="Q42" s="56">
        <f t="shared" si="3"/>
        <v>18</v>
      </c>
      <c r="R42" s="56">
        <f t="shared" si="4"/>
        <v>353</v>
      </c>
      <c r="S42" s="56">
        <f t="shared" si="5"/>
        <v>1</v>
      </c>
      <c r="T42" s="56" t="str">
        <f t="shared" si="6"/>
        <v>传说</v>
      </c>
      <c r="U42" s="56">
        <f t="shared" si="9"/>
        <v>-15</v>
      </c>
      <c r="V42" s="56">
        <f t="shared" si="7"/>
        <v>338</v>
      </c>
      <c r="W42" s="12">
        <f>IF(H42=0,List!$C$5,$C$3)</f>
        <v>0</v>
      </c>
      <c r="X42" s="12"/>
      <c r="Y42" s="12">
        <f t="shared" si="8"/>
        <v>353</v>
      </c>
      <c r="Z42" s="12">
        <f>RANK(Y42,$Y$15:$Y$55,0)+COUNTIF($Y$15:Y42,Y42)-1</f>
        <v>2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6"/>
        <v>0</v>
      </c>
      <c r="U43" s="56">
        <f t="shared" si="9"/>
        <v>0</v>
      </c>
      <c r="V43" s="56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6"/>
        <v>0</v>
      </c>
      <c r="U44" s="56">
        <f t="shared" si="9"/>
        <v>0</v>
      </c>
      <c r="V44" s="56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74" t="s">
        <v>174</v>
      </c>
      <c r="E45" s="10"/>
      <c r="F45" s="54">
        <f>INT(VLOOKUP(D45,战力表!A:B,2,)/10000)</f>
        <v>14</v>
      </c>
      <c r="G45" s="12"/>
      <c r="H45" s="55">
        <v>4</v>
      </c>
      <c r="I45" s="54"/>
      <c r="J45" s="12"/>
      <c r="K45" s="56">
        <f>IF(H45&gt;0,VLOOKUP(D45,战力表!$A$3:$F$58,6,FALSE),0)</f>
        <v>7</v>
      </c>
      <c r="L45" s="56">
        <f t="shared" si="0"/>
        <v>8</v>
      </c>
      <c r="M45" s="56">
        <f t="shared" si="1"/>
        <v>3</v>
      </c>
      <c r="N45" s="56" t="b">
        <f t="shared" si="2"/>
        <v>0</v>
      </c>
      <c r="O45" s="12"/>
      <c r="P45" s="55">
        <v>161</v>
      </c>
      <c r="Q45" s="56">
        <f t="shared" si="3"/>
        <v>18</v>
      </c>
      <c r="R45" s="56">
        <f t="shared" si="4"/>
        <v>179</v>
      </c>
      <c r="S45" s="56">
        <f t="shared" si="5"/>
        <v>3</v>
      </c>
      <c r="T45" s="56" t="str">
        <f t="shared" si="6"/>
        <v>精英</v>
      </c>
      <c r="U45" s="56">
        <f t="shared" si="9"/>
        <v>-5</v>
      </c>
      <c r="V45" s="56">
        <f t="shared" si="7"/>
        <v>174</v>
      </c>
      <c r="W45" s="12">
        <f>IF(H45=0,List!$C$5,$C$3)</f>
        <v>0</v>
      </c>
      <c r="X45" s="12"/>
      <c r="Y45" s="12">
        <f t="shared" si="8"/>
        <v>179</v>
      </c>
      <c r="Z45" s="12">
        <f>RANK(Y45,$Y$15:$Y$55,0)+COUNTIF($Y$15:Y45,Y45)-1</f>
        <v>35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165</v>
      </c>
      <c r="E46" s="28"/>
      <c r="F46" s="54">
        <f>INT(VLOOKUP(D46,战力表!A:B,2,)/10000)</f>
        <v>111</v>
      </c>
      <c r="G46" s="12"/>
      <c r="H46" s="55">
        <v>1</v>
      </c>
      <c r="I46" s="54"/>
      <c r="J46" s="12"/>
      <c r="K46" s="56">
        <f>IF(H46&gt;0,VLOOKUP(D46,战力表!$A$3:$F$58,6,FALSE),0)</f>
        <v>7</v>
      </c>
      <c r="L46" s="56">
        <f t="shared" si="0"/>
        <v>2</v>
      </c>
      <c r="M46" s="56">
        <f t="shared" si="1"/>
        <v>0</v>
      </c>
      <c r="N46" s="56" t="b">
        <f t="shared" si="2"/>
        <v>0</v>
      </c>
      <c r="O46" s="12"/>
      <c r="P46" s="55">
        <v>193</v>
      </c>
      <c r="Q46" s="56">
        <f t="shared" si="3"/>
        <v>9</v>
      </c>
      <c r="R46" s="56">
        <f t="shared" si="4"/>
        <v>202</v>
      </c>
      <c r="S46" s="56">
        <f t="shared" si="5"/>
        <v>3</v>
      </c>
      <c r="T46" s="56" t="str">
        <f t="shared" si="6"/>
        <v>精英</v>
      </c>
      <c r="U46" s="56">
        <f t="shared" si="9"/>
        <v>-5</v>
      </c>
      <c r="V46" s="56">
        <f t="shared" si="7"/>
        <v>197</v>
      </c>
      <c r="W46" s="12">
        <f>IF(H46=0,List!$C$5,$C$3)</f>
        <v>0</v>
      </c>
      <c r="X46" s="12"/>
      <c r="Y46" s="12">
        <f t="shared" si="8"/>
        <v>202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94</v>
      </c>
      <c r="G47" s="12"/>
      <c r="H47" s="55">
        <v>3</v>
      </c>
      <c r="I47" s="54"/>
      <c r="J47" s="12"/>
      <c r="K47" s="56">
        <f>IF(H47&gt;0,VLOOKUP(D47,战力表!$A$3:$F$58,6,FALSE),0)</f>
        <v>7</v>
      </c>
      <c r="L47" s="56">
        <f t="shared" si="0"/>
        <v>6</v>
      </c>
      <c r="M47" s="56">
        <f t="shared" si="1"/>
        <v>0</v>
      </c>
      <c r="N47" s="56" t="b">
        <f t="shared" si="2"/>
        <v>0</v>
      </c>
      <c r="O47" s="12"/>
      <c r="P47" s="55">
        <v>329</v>
      </c>
      <c r="Q47" s="56">
        <f t="shared" si="3"/>
        <v>13</v>
      </c>
      <c r="R47" s="56">
        <f t="shared" si="4"/>
        <v>342</v>
      </c>
      <c r="S47" s="56">
        <f t="shared" si="5"/>
        <v>3</v>
      </c>
      <c r="T47" s="56" t="str">
        <f t="shared" si="6"/>
        <v>精英</v>
      </c>
      <c r="U47" s="56">
        <f t="shared" si="9"/>
        <v>-5</v>
      </c>
      <c r="V47" s="56">
        <f t="shared" si="7"/>
        <v>337</v>
      </c>
      <c r="W47" s="12">
        <f>IF(H47=0,List!$C$5,$C$3)</f>
        <v>0</v>
      </c>
      <c r="X47" s="12"/>
      <c r="Y47" s="12">
        <f t="shared" si="8"/>
        <v>342</v>
      </c>
      <c r="Z47" s="12">
        <f>RANK(Y47,$Y$15:$Y$55,0)+COUNTIF($Y$15:Y47,Y47)-1</f>
        <v>16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148</v>
      </c>
      <c r="E48" s="28"/>
      <c r="F48" s="54">
        <f>INT(VLOOKUP(D48,战力表!A:B,2,)/10000)</f>
        <v>80</v>
      </c>
      <c r="G48" s="12"/>
      <c r="H48" s="55">
        <v>4</v>
      </c>
      <c r="I48" s="54"/>
      <c r="J48" s="12"/>
      <c r="K48" s="56">
        <f>IF(H48&gt;0,VLOOKUP(D48,战力表!$A$3:$F$58,6,FALSE),0)</f>
        <v>7</v>
      </c>
      <c r="L48" s="56">
        <f t="shared" si="0"/>
        <v>8</v>
      </c>
      <c r="M48" s="56">
        <f t="shared" si="1"/>
        <v>3</v>
      </c>
      <c r="N48" s="56" t="b">
        <f t="shared" si="2"/>
        <v>0</v>
      </c>
      <c r="O48" s="12"/>
      <c r="P48" s="55">
        <v>328</v>
      </c>
      <c r="Q48" s="56">
        <f t="shared" si="3"/>
        <v>18</v>
      </c>
      <c r="R48" s="56">
        <f t="shared" si="4"/>
        <v>346</v>
      </c>
      <c r="S48" s="56">
        <f t="shared" si="5"/>
        <v>2</v>
      </c>
      <c r="T48" s="56" t="str">
        <f t="shared" si="6"/>
        <v>英雄</v>
      </c>
      <c r="U48" s="56">
        <f t="shared" si="9"/>
        <v>-9</v>
      </c>
      <c r="V48" s="56">
        <f t="shared" si="7"/>
        <v>337</v>
      </c>
      <c r="W48" s="12">
        <f>IF(H48=0,List!$C$5,$C$3)</f>
        <v>0</v>
      </c>
      <c r="X48" s="12"/>
      <c r="Y48" s="12">
        <f t="shared" si="8"/>
        <v>346</v>
      </c>
      <c r="Z48" s="12">
        <f>RANK(Y48,$Y$15:$Y$55,0)+COUNTIF($Y$15:Y48,Y48)-1</f>
        <v>10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3</v>
      </c>
      <c r="I49" s="54"/>
      <c r="J49" s="12"/>
      <c r="K49" s="56">
        <f>IF(H49&gt;0,VLOOKUP(D49,战力表!$A$3:$F$58,6,FALSE),0)</f>
        <v>7</v>
      </c>
      <c r="L49" s="56">
        <f t="shared" si="0"/>
        <v>6</v>
      </c>
      <c r="M49" s="56">
        <f t="shared" si="1"/>
        <v>0</v>
      </c>
      <c r="N49" s="56" t="b">
        <f t="shared" si="2"/>
        <v>0</v>
      </c>
      <c r="O49" s="12"/>
      <c r="P49" s="55">
        <v>148</v>
      </c>
      <c r="Q49" s="56">
        <f t="shared" si="3"/>
        <v>13</v>
      </c>
      <c r="R49" s="56">
        <f t="shared" si="4"/>
        <v>161</v>
      </c>
      <c r="S49" s="56">
        <f t="shared" si="5"/>
        <v>3</v>
      </c>
      <c r="T49" s="56" t="str">
        <f t="shared" si="6"/>
        <v>精英</v>
      </c>
      <c r="U49" s="56">
        <f t="shared" si="9"/>
        <v>-5</v>
      </c>
      <c r="V49" s="56">
        <f t="shared" si="7"/>
        <v>156</v>
      </c>
      <c r="W49" s="12">
        <f>IF(H49=0,List!$C$5,$C$3)</f>
        <v>0</v>
      </c>
      <c r="X49" s="12"/>
      <c r="Y49" s="12">
        <f t="shared" si="8"/>
        <v>161</v>
      </c>
      <c r="Z49" s="12">
        <f>RANK(Y49,$Y$15:$Y$55,0)+COUNTIF($Y$15:Y49,Y49)-1</f>
        <v>37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60" t="s">
        <v>173</v>
      </c>
      <c r="E50" s="10"/>
      <c r="F50" s="54">
        <f>INT(VLOOKUP(D50,战力表!A:B,2,)/10000)</f>
        <v>30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211</v>
      </c>
      <c r="Q50" s="56">
        <f t="shared" si="3"/>
        <v>0</v>
      </c>
      <c r="R50" s="56">
        <f t="shared" si="4"/>
        <v>211</v>
      </c>
      <c r="S50" s="56" t="str">
        <f t="shared" si="5"/>
        <v/>
      </c>
      <c r="T50" s="56" t="b">
        <f t="shared" si="6"/>
        <v>0</v>
      </c>
      <c r="U50" s="56">
        <f t="shared" si="9"/>
        <v>0</v>
      </c>
      <c r="V50" s="56">
        <f t="shared" si="7"/>
        <v>211</v>
      </c>
      <c r="W50" s="12" t="str">
        <f>IF(H50=0,List!$C$5,$C$3)</f>
        <v>没有忍战，无法分包</v>
      </c>
      <c r="X50" s="12"/>
      <c r="Y50" s="12">
        <f t="shared" si="8"/>
        <v>211</v>
      </c>
      <c r="Z50" s="12">
        <f>RANK(Y50,$Y$15:$Y$55,0)+COUNTIF($Y$15:Y50,Y50)-1</f>
        <v>28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4">
        <f>INT(VLOOKUP(D51,战力表!A:B,2,)/10000)</f>
        <v>8</v>
      </c>
      <c r="G51" s="12"/>
      <c r="H51" s="55">
        <v>0</v>
      </c>
      <c r="I51" s="54"/>
      <c r="J51" s="12"/>
      <c r="K51" s="56">
        <f>IF(H51&gt;0,VLOOKUP(D51,战力表!$A$3:$F$58,6,FALSE),0)</f>
        <v>0</v>
      </c>
      <c r="L51" s="56">
        <f t="shared" si="0"/>
        <v>0</v>
      </c>
      <c r="M51" s="56">
        <f t="shared" si="1"/>
        <v>0</v>
      </c>
      <c r="N51" s="56" t="b">
        <f t="shared" si="2"/>
        <v>0</v>
      </c>
      <c r="O51" s="12"/>
      <c r="P51" s="55">
        <v>49</v>
      </c>
      <c r="Q51" s="56">
        <f t="shared" si="3"/>
        <v>0</v>
      </c>
      <c r="R51" s="56">
        <f t="shared" si="4"/>
        <v>49</v>
      </c>
      <c r="S51" s="56" t="str">
        <f t="shared" si="5"/>
        <v/>
      </c>
      <c r="T51" s="56" t="b">
        <f t="shared" si="6"/>
        <v>0</v>
      </c>
      <c r="U51" s="56">
        <f t="shared" si="9"/>
        <v>0</v>
      </c>
      <c r="V51" s="56">
        <f t="shared" si="7"/>
        <v>49</v>
      </c>
      <c r="W51" s="12" t="str">
        <f>IF(H51=0,List!$C$5,$C$3)</f>
        <v>没有忍战，无法分包</v>
      </c>
      <c r="X51" s="12"/>
      <c r="Y51" s="12">
        <f t="shared" si="8"/>
        <v>49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4</v>
      </c>
      <c r="I52" s="54"/>
      <c r="J52" s="12"/>
      <c r="K52" s="56">
        <f>IF(H52&gt;0,VLOOKUP(D52,战力表!$A$3:$F$58,6,FALSE),0)</f>
        <v>6</v>
      </c>
      <c r="L52" s="56">
        <f t="shared" si="0"/>
        <v>8</v>
      </c>
      <c r="M52" s="56">
        <f t="shared" si="1"/>
        <v>3</v>
      </c>
      <c r="N52" s="56" t="b">
        <f t="shared" si="2"/>
        <v>0</v>
      </c>
      <c r="O52" s="12"/>
      <c r="P52" s="55">
        <v>211</v>
      </c>
      <c r="Q52" s="56">
        <f t="shared" si="3"/>
        <v>17</v>
      </c>
      <c r="R52" s="56">
        <f t="shared" si="4"/>
        <v>228</v>
      </c>
      <c r="S52" s="56">
        <f t="shared" si="5"/>
        <v>3</v>
      </c>
      <c r="T52" s="56" t="str">
        <f t="shared" si="6"/>
        <v>精英</v>
      </c>
      <c r="U52" s="56">
        <f t="shared" si="9"/>
        <v>-5</v>
      </c>
      <c r="V52" s="56">
        <f t="shared" si="7"/>
        <v>223</v>
      </c>
      <c r="W52" s="12">
        <f>IF(H52=0,List!$C$5,$C$3)</f>
        <v>0</v>
      </c>
      <c r="X52" s="12"/>
      <c r="Y52" s="12">
        <f t="shared" si="8"/>
        <v>228</v>
      </c>
      <c r="Z52" s="12">
        <f>RANK(Y52,$Y$15:$Y$55,0)+COUNTIF($Y$15:Y52,Y52)-1</f>
        <v>25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68</v>
      </c>
      <c r="E53" s="10"/>
      <c r="F53" s="54">
        <f>INT(VLOOKUP(D53,战力表!A:B,2,)/10000)</f>
        <v>6</v>
      </c>
      <c r="G53" s="12"/>
      <c r="H53" s="55">
        <v>4</v>
      </c>
      <c r="I53" s="54"/>
      <c r="J53" s="12"/>
      <c r="K53" s="56">
        <f>IF(H53&gt;0,VLOOKUP(D53,战力表!$A$3:$F$58,6,FALSE),0)</f>
        <v>6</v>
      </c>
      <c r="L53" s="56">
        <f t="shared" si="0"/>
        <v>8</v>
      </c>
      <c r="M53" s="56">
        <f t="shared" si="1"/>
        <v>3</v>
      </c>
      <c r="N53" s="56" t="b">
        <f t="shared" si="2"/>
        <v>0</v>
      </c>
      <c r="O53" s="12"/>
      <c r="P53" s="55">
        <v>199</v>
      </c>
      <c r="Q53" s="56">
        <f t="shared" si="3"/>
        <v>17</v>
      </c>
      <c r="R53" s="56">
        <f t="shared" si="4"/>
        <v>216</v>
      </c>
      <c r="S53" s="56">
        <f t="shared" si="5"/>
        <v>3</v>
      </c>
      <c r="T53" s="56" t="str">
        <f t="shared" si="6"/>
        <v>精英</v>
      </c>
      <c r="U53" s="56">
        <f t="shared" si="9"/>
        <v>-5</v>
      </c>
      <c r="V53" s="56">
        <f t="shared" si="7"/>
        <v>211</v>
      </c>
      <c r="W53" s="12">
        <f>IF(H53=0,List!$C$5,$C$3)</f>
        <v>0</v>
      </c>
      <c r="X53" s="12"/>
      <c r="Y53" s="12">
        <f t="shared" si="8"/>
        <v>216</v>
      </c>
      <c r="Z53" s="12">
        <f>RANK(Y53,$Y$15:$Y$55,0)+COUNTIF($Y$15:Y53,Y53)-1</f>
        <v>26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171</v>
      </c>
      <c r="E54" s="28"/>
      <c r="F54" s="54">
        <f>INT(VLOOKUP(D54,战力表!A:B,2,)/10000)</f>
        <v>206</v>
      </c>
      <c r="G54" s="12"/>
      <c r="H54" s="55">
        <v>3</v>
      </c>
      <c r="I54" s="54"/>
      <c r="J54" s="12"/>
      <c r="K54" s="56">
        <f>IF(H54&gt;0,VLOOKUP(D54,战力表!$A$3:$F$58,6,FALSE),0)</f>
        <v>8</v>
      </c>
      <c r="L54" s="56">
        <f t="shared" si="0"/>
        <v>6</v>
      </c>
      <c r="M54" s="56">
        <f t="shared" si="1"/>
        <v>0</v>
      </c>
      <c r="N54" s="56" t="b">
        <f t="shared" si="2"/>
        <v>0</v>
      </c>
      <c r="O54" s="12"/>
      <c r="P54" s="55">
        <v>330</v>
      </c>
      <c r="Q54" s="56">
        <f t="shared" si="3"/>
        <v>14</v>
      </c>
      <c r="R54" s="56">
        <f t="shared" si="4"/>
        <v>344</v>
      </c>
      <c r="S54" s="56">
        <f t="shared" si="5"/>
        <v>3</v>
      </c>
      <c r="T54" s="56" t="str">
        <f t="shared" si="6"/>
        <v>精英</v>
      </c>
      <c r="U54" s="56">
        <f t="shared" si="9"/>
        <v>-5</v>
      </c>
      <c r="V54" s="56">
        <f t="shared" si="7"/>
        <v>339</v>
      </c>
      <c r="W54" s="12">
        <f>IF(H54=0,List!$C$5,$C$3)</f>
        <v>0</v>
      </c>
      <c r="X54" s="12"/>
      <c r="Y54" s="12">
        <f t="shared" si="8"/>
        <v>344</v>
      </c>
      <c r="Z54" s="12">
        <f>RANK(Y54,$Y$15:$Y$55,0)+COUNTIF($Y$15:Y54,Y54)-1</f>
        <v>15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172</v>
      </c>
      <c r="E55" s="28"/>
      <c r="F55" s="54">
        <f>INT(VLOOKUP(D55,战力表!A:B,2,)/10000)</f>
        <v>63</v>
      </c>
      <c r="G55" s="12"/>
      <c r="H55" s="55">
        <v>4</v>
      </c>
      <c r="I55" s="54"/>
      <c r="J55" s="12"/>
      <c r="K55" s="56">
        <f>IF(H55&gt;0,VLOOKUP(D55,战力表!$A$3:$F$58,6,FALSE),0)</f>
        <v>7</v>
      </c>
      <c r="L55" s="56">
        <f t="shared" si="0"/>
        <v>8</v>
      </c>
      <c r="M55" s="56">
        <f t="shared" si="1"/>
        <v>3</v>
      </c>
      <c r="N55" s="56" t="b">
        <f t="shared" si="2"/>
        <v>0</v>
      </c>
      <c r="O55" s="12"/>
      <c r="P55" s="55">
        <v>168</v>
      </c>
      <c r="Q55" s="56">
        <f>K55+L55+M55+N55</f>
        <v>18</v>
      </c>
      <c r="R55" s="56">
        <f t="shared" ref="R55" si="10">P55+Q55</f>
        <v>186</v>
      </c>
      <c r="S55" s="56">
        <f t="shared" ref="S55" si="11">IF(H55=0,"",IF(B55=1,3,IF(Z55&lt;$Y$2,1,IF(Z55&lt;$Y$3,2,3))))</f>
        <v>3</v>
      </c>
      <c r="T55" s="56" t="str">
        <f t="shared" ref="T55" si="12">IF(S55=$K$9,$L$9,IF(S55=$K$10,$L$10,IF(S55=$K$11,$L$11)))</f>
        <v>精英</v>
      </c>
      <c r="U55" s="56">
        <f t="shared" ref="U55" si="13">-IF(S55=$K$9,$M$9,IF(S55=$K$10,$M$10,IF(S55=$K$11,$M$11)))</f>
        <v>-5</v>
      </c>
      <c r="V55" s="56">
        <f t="shared" ref="V55" si="14">P55+Q55+U55</f>
        <v>181</v>
      </c>
      <c r="W55" s="12">
        <f>IF(H55=0,List!$C$5,$C$3)</f>
        <v>0</v>
      </c>
      <c r="X55" s="12"/>
      <c r="Y55" s="12">
        <f>P55+Q55</f>
        <v>186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69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70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71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72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73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74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75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76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77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78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79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80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81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82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84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85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86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87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88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89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90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92</v>
      </c>
    </row>
    <row r="5" spans="3:3" ht="14.25" customHeight="1" x14ac:dyDescent="0.3">
      <c r="C5" s="1" t="s">
        <v>93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7" workbookViewId="0">
      <selection activeCell="B31" sqref="B31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8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24</v>
      </c>
    </row>
    <row r="2" spans="1:13" ht="14.25" customHeight="1" x14ac:dyDescent="0.3">
      <c r="B2" s="1" t="s">
        <v>20</v>
      </c>
      <c r="C2" s="1" t="s">
        <v>94</v>
      </c>
      <c r="D2" s="1"/>
      <c r="E2" s="1"/>
      <c r="F2" s="1" t="s">
        <v>95</v>
      </c>
      <c r="J2" s="1" t="s">
        <v>96</v>
      </c>
      <c r="K2" s="1" t="s">
        <v>95</v>
      </c>
      <c r="L2" s="36" t="s">
        <v>169</v>
      </c>
      <c r="M2" s="36" t="s">
        <v>170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0.16666666666666666</v>
      </c>
      <c r="K3" s="1">
        <v>10</v>
      </c>
      <c r="L3" s="59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0.16666666666666666</v>
      </c>
      <c r="K4" s="1">
        <v>9</v>
      </c>
      <c r="L4" s="59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3000000</v>
      </c>
      <c r="C5" s="14">
        <f>IF(VLOOKUP(A5,组织分包!$D$15:$H$62,5,FALSE)&gt;0,1,0)</f>
        <v>1</v>
      </c>
      <c r="D5" s="14">
        <f t="shared" si="0"/>
        <v>3000000</v>
      </c>
      <c r="E5" s="14">
        <f t="shared" si="2"/>
        <v>1</v>
      </c>
      <c r="F5" s="1">
        <f t="shared" si="1"/>
        <v>10</v>
      </c>
      <c r="J5" s="15">
        <f t="shared" si="3"/>
        <v>0.25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0.41666666666666669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0.25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2850000</v>
      </c>
      <c r="C8" s="14">
        <f>IF(VLOOKUP(A8,组织分包!$D$15:$H$62,5,FALSE)&gt;0,1,0)</f>
        <v>1</v>
      </c>
      <c r="D8" s="14">
        <f t="shared" si="0"/>
        <v>2850000</v>
      </c>
      <c r="E8" s="14">
        <f t="shared" si="2"/>
        <v>2</v>
      </c>
      <c r="F8" s="1">
        <f t="shared" si="1"/>
        <v>10</v>
      </c>
      <c r="J8" s="15">
        <f t="shared" si="3"/>
        <v>0.16666666666666666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-0.41666666666666669</v>
      </c>
      <c r="K9" s="59">
        <v>4</v>
      </c>
      <c r="L9" s="59">
        <f>C1-SUM(L3:L8)</f>
        <v>-10</v>
      </c>
      <c r="M9" s="1">
        <f t="shared" si="4"/>
        <v>24</v>
      </c>
    </row>
    <row r="10" spans="1:13" ht="14.25" customHeight="1" x14ac:dyDescent="0.3">
      <c r="A10" s="10" t="s">
        <v>37</v>
      </c>
      <c r="B10" s="2">
        <v>2660000</v>
      </c>
      <c r="C10" s="14">
        <f>IF(VLOOKUP(A10,组织分包!$D$15:$H$62,5,FALSE)&gt;0,1,0)</f>
        <v>1</v>
      </c>
      <c r="D10" s="14">
        <f t="shared" si="0"/>
        <v>2660000</v>
      </c>
      <c r="E10" s="14">
        <f t="shared" si="2"/>
        <v>6</v>
      </c>
      <c r="F10" s="1">
        <f t="shared" si="1"/>
        <v>9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2730000</v>
      </c>
      <c r="C12" s="14">
        <f>IF(VLOOKUP(A12,组织分包!$D$15:$H$62,5,FALSE)&gt;0,1,0)</f>
        <v>1</v>
      </c>
      <c r="D12" s="14">
        <f t="shared" si="0"/>
        <v>2730000</v>
      </c>
      <c r="E12" s="14">
        <f t="shared" si="2"/>
        <v>3</v>
      </c>
      <c r="F12" s="1">
        <f t="shared" si="1"/>
        <v>10</v>
      </c>
    </row>
    <row r="13" spans="1:13" ht="14.25" customHeight="1" x14ac:dyDescent="0.3">
      <c r="A13" s="10" t="s">
        <v>38</v>
      </c>
      <c r="B13" s="2">
        <v>2690000</v>
      </c>
      <c r="C13" s="14">
        <f>IF(VLOOKUP(A13,组织分包!$D$15:$H$62,5,FALSE)&gt;0,1,0)</f>
        <v>1</v>
      </c>
      <c r="D13" s="14">
        <f t="shared" si="0"/>
        <v>2690000</v>
      </c>
      <c r="E13" s="14">
        <f t="shared" si="2"/>
        <v>4</v>
      </c>
      <c r="F13" s="1">
        <f t="shared" si="1"/>
        <v>10</v>
      </c>
    </row>
    <row r="14" spans="1:13" ht="14.25" customHeight="1" x14ac:dyDescent="0.3">
      <c r="A14" s="10" t="s">
        <v>39</v>
      </c>
      <c r="B14" s="2">
        <v>2690000</v>
      </c>
      <c r="C14" s="14">
        <f>IF(VLOOKUP(A14,组织分包!$D$15:$H$62,5,FALSE)&gt;0,1,0)</f>
        <v>1</v>
      </c>
      <c r="D14" s="14">
        <f t="shared" si="0"/>
        <v>2690000</v>
      </c>
      <c r="E14" s="14">
        <f t="shared" si="2"/>
        <v>4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2620000</v>
      </c>
      <c r="C15" s="14">
        <f>IF(VLOOKUP(A15,组织分包!$D$15:$H$62,5,FALSE)&gt;0,1,0)</f>
        <v>1</v>
      </c>
      <c r="D15" s="14">
        <f t="shared" si="0"/>
        <v>2620000</v>
      </c>
      <c r="E15" s="14">
        <f t="shared" si="2"/>
        <v>7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2600000</v>
      </c>
      <c r="C16" s="14">
        <f>IF(VLOOKUP(A16,组织分包!$D$15:$H$62,5,FALSE)&gt;0,1,0)</f>
        <v>1</v>
      </c>
      <c r="D16" s="14">
        <f t="shared" si="0"/>
        <v>2600000</v>
      </c>
      <c r="E16" s="14">
        <f t="shared" si="2"/>
        <v>8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2400000</v>
      </c>
      <c r="C18" s="14">
        <f>IF(VLOOKUP(A18,组织分包!$D$15:$H$62,5,FALSE)&gt;0,1,0)</f>
        <v>1</v>
      </c>
      <c r="D18" s="14">
        <f t="shared" si="0"/>
        <v>2400000</v>
      </c>
      <c r="E18" s="14">
        <f t="shared" si="2"/>
        <v>9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2300000</v>
      </c>
      <c r="C19" s="14">
        <f>IF(VLOOKUP(A19,组织分包!$D$15:$H$62,5,FALSE)&gt;0,1,0)</f>
        <v>1</v>
      </c>
      <c r="D19" s="14">
        <f t="shared" si="0"/>
        <v>2300000</v>
      </c>
      <c r="E19" s="14">
        <f t="shared" si="2"/>
        <v>10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2200000</v>
      </c>
      <c r="C21" s="14">
        <f>IF(VLOOKUP(A21,组织分包!$D$15:$H$62,5,FALSE)&gt;0,1,0)</f>
        <v>1</v>
      </c>
      <c r="D21" s="14">
        <f t="shared" si="0"/>
        <v>2200000</v>
      </c>
      <c r="E21" s="14">
        <f t="shared" si="2"/>
        <v>11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1940000</v>
      </c>
      <c r="C24" s="14">
        <f>IF(VLOOKUP(A24,组织分包!$D$15:$H$62,5,FALSE)&gt;0,1,0)</f>
        <v>1</v>
      </c>
      <c r="D24" s="14">
        <f t="shared" si="0"/>
        <v>1940000</v>
      </c>
      <c r="E24" s="14">
        <f t="shared" si="2"/>
        <v>13</v>
      </c>
      <c r="F24" s="1">
        <f t="shared" si="1"/>
        <v>8</v>
      </c>
    </row>
    <row r="25" spans="1:10" ht="14.25" customHeight="1" x14ac:dyDescent="0.3">
      <c r="A25" s="10" t="s">
        <v>83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176</v>
      </c>
      <c r="B27" s="17">
        <v>117000</v>
      </c>
      <c r="C27" s="14">
        <f>IF(VLOOKUP(A27,组织分包!$D$15:$H$62,5,FALSE)&gt;0,1,0)</f>
        <v>1</v>
      </c>
      <c r="D27" s="14">
        <f t="shared" si="0"/>
        <v>117000</v>
      </c>
      <c r="E27" s="14">
        <f t="shared" si="2"/>
        <v>24</v>
      </c>
      <c r="F27" s="1">
        <f t="shared" si="1"/>
        <v>7</v>
      </c>
    </row>
    <row r="28" spans="1:10" ht="14.25" customHeight="1" x14ac:dyDescent="0.3">
      <c r="A28" s="60" t="s">
        <v>175</v>
      </c>
      <c r="B28" s="17">
        <v>131000</v>
      </c>
      <c r="C28" s="14">
        <f>IF(VLOOKUP(A28,组织分包!$D$15:$H$62,5,FALSE)&gt;0,1,0)</f>
        <v>1</v>
      </c>
      <c r="D28" s="14">
        <f t="shared" si="0"/>
        <v>131000</v>
      </c>
      <c r="E28" s="14">
        <f t="shared" si="2"/>
        <v>23</v>
      </c>
      <c r="F28" s="1">
        <f t="shared" si="1"/>
        <v>7</v>
      </c>
    </row>
    <row r="29" spans="1:10" ht="14.25" customHeight="1" x14ac:dyDescent="0.3">
      <c r="A29" s="10" t="s">
        <v>57</v>
      </c>
      <c r="B29" s="17">
        <v>1710000</v>
      </c>
      <c r="C29" s="14">
        <f>IF(VLOOKUP(A29,组织分包!$D$15:$H$62,5,FALSE)&gt;0,1,0)</f>
        <v>1</v>
      </c>
      <c r="D29" s="14">
        <f t="shared" si="0"/>
        <v>1710000</v>
      </c>
      <c r="E29" s="14">
        <f t="shared" si="2"/>
        <v>14</v>
      </c>
      <c r="F29" s="1">
        <f t="shared" si="1"/>
        <v>8</v>
      </c>
    </row>
    <row r="30" spans="1:10" ht="14.25" customHeight="1" x14ac:dyDescent="0.3">
      <c r="A30" s="10" t="s">
        <v>60</v>
      </c>
      <c r="B30" s="17">
        <v>1580000</v>
      </c>
      <c r="C30" s="14">
        <f>IF(VLOOKUP(A30,组织分包!$D$15:$H$62,5,FALSE)&gt;0,1,0)</f>
        <v>1</v>
      </c>
      <c r="D30" s="14">
        <f t="shared" si="0"/>
        <v>1580000</v>
      </c>
      <c r="E30" s="14">
        <f t="shared" si="2"/>
        <v>15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74" t="s">
        <v>174</v>
      </c>
      <c r="B33" s="17">
        <v>140000</v>
      </c>
      <c r="C33" s="14">
        <f>IF(VLOOKUP(A33,组织分包!$D$15:$H$62,5,FALSE)&gt;0,1,0)</f>
        <v>1</v>
      </c>
      <c r="D33" s="14">
        <f t="shared" si="0"/>
        <v>140000</v>
      </c>
      <c r="E33" s="14">
        <f t="shared" si="2"/>
        <v>22</v>
      </c>
      <c r="F33" s="1">
        <f t="shared" si="1"/>
        <v>7</v>
      </c>
    </row>
    <row r="34" spans="1:6" ht="13.5" customHeight="1" x14ac:dyDescent="0.3">
      <c r="A34" s="51" t="s">
        <v>165</v>
      </c>
      <c r="B34" s="17">
        <v>1110000</v>
      </c>
      <c r="C34" s="14">
        <f>IF(VLOOKUP(A34,组织分包!$D$15:$H$62,5,FALSE)&gt;0,1,0)</f>
        <v>1</v>
      </c>
      <c r="D34" s="14">
        <f t="shared" si="0"/>
        <v>1110000</v>
      </c>
      <c r="E34" s="14">
        <f t="shared" si="2"/>
        <v>16</v>
      </c>
      <c r="F34" s="1">
        <f t="shared" si="1"/>
        <v>7</v>
      </c>
    </row>
    <row r="35" spans="1:6" ht="14.25" customHeight="1" x14ac:dyDescent="0.3">
      <c r="A35" s="10" t="s">
        <v>64</v>
      </c>
      <c r="B35" s="17">
        <v>940000</v>
      </c>
      <c r="C35" s="14">
        <f>IF(VLOOKUP(A35,组织分包!$D$15:$H$62,5,FALSE)&gt;0,1,0)</f>
        <v>1</v>
      </c>
      <c r="D35" s="14">
        <f t="shared" si="0"/>
        <v>940000</v>
      </c>
      <c r="E35" s="14">
        <f t="shared" si="2"/>
        <v>17</v>
      </c>
      <c r="F35" s="1">
        <f t="shared" si="1"/>
        <v>7</v>
      </c>
    </row>
    <row r="36" spans="1:6" ht="14.25" customHeight="1" x14ac:dyDescent="0.3">
      <c r="A36" s="26" t="s">
        <v>148</v>
      </c>
      <c r="B36" s="17">
        <v>800000</v>
      </c>
      <c r="C36" s="14">
        <f>IF(VLOOKUP(A36,组织分包!$D$15:$H$62,5,FALSE)&gt;0,1,0)</f>
        <v>1</v>
      </c>
      <c r="D36" s="14">
        <f t="shared" si="0"/>
        <v>800000</v>
      </c>
      <c r="E36" s="14">
        <f t="shared" si="2"/>
        <v>18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20</v>
      </c>
      <c r="F37" s="1">
        <f t="shared" si="1"/>
        <v>7</v>
      </c>
    </row>
    <row r="38" spans="1:6" ht="14.25" customHeight="1" x14ac:dyDescent="0.3">
      <c r="A38" s="60" t="s">
        <v>173</v>
      </c>
      <c r="B38" s="17">
        <v>300000</v>
      </c>
      <c r="C38" s="14">
        <v>1</v>
      </c>
      <c r="D38" s="14">
        <f t="shared" si="0"/>
        <v>300000</v>
      </c>
      <c r="E38" s="14">
        <f t="shared" si="2"/>
        <v>21</v>
      </c>
      <c r="F38" s="1">
        <f t="shared" si="1"/>
        <v>7</v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2"/>
        <v>#N/A</v>
      </c>
      <c r="F39" s="1" t="str">
        <f t="shared" si="1"/>
        <v/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25</v>
      </c>
      <c r="F40" s="1">
        <f t="shared" si="1"/>
        <v>6</v>
      </c>
    </row>
    <row r="41" spans="1:6" ht="14.25" customHeight="1" x14ac:dyDescent="0.3">
      <c r="A41" s="13" t="s">
        <v>68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26</v>
      </c>
      <c r="F41" s="1">
        <f t="shared" si="1"/>
        <v>6</v>
      </c>
    </row>
    <row r="42" spans="1:6" ht="14.25" customHeight="1" x14ac:dyDescent="0.3">
      <c r="A42" s="44" t="s">
        <v>171</v>
      </c>
      <c r="B42" s="17">
        <v>2060000</v>
      </c>
      <c r="C42" s="14">
        <f>IF(VLOOKUP(A42,组织分包!$D$15:$H$62,5,FALSE)&gt;0,1,0)</f>
        <v>1</v>
      </c>
      <c r="D42" s="14">
        <f t="shared" si="0"/>
        <v>2060000</v>
      </c>
      <c r="E42" s="14">
        <f t="shared" si="2"/>
        <v>12</v>
      </c>
      <c r="F42" s="1">
        <f t="shared" si="1"/>
        <v>8</v>
      </c>
    </row>
    <row r="43" spans="1:6" ht="14.25" customHeight="1" x14ac:dyDescent="0.3">
      <c r="A43" s="72" t="s">
        <v>172</v>
      </c>
      <c r="B43" s="73">
        <v>630000</v>
      </c>
      <c r="C43" s="14">
        <f>IF(VLOOKUP(A43,组织分包!$D$15:$H$62,5,FALSE)&gt;0,1,0)</f>
        <v>1</v>
      </c>
      <c r="D43" s="14">
        <f t="shared" si="0"/>
        <v>630000</v>
      </c>
      <c r="E43" s="14">
        <f t="shared" si="2"/>
        <v>19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3">
      <c r="A44" s="10" t="s">
        <v>84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67</v>
      </c>
      <c r="B45" s="17"/>
    </row>
    <row r="46" spans="1:6" ht="14.25" customHeight="1" x14ac:dyDescent="0.3">
      <c r="A46" s="10" t="s">
        <v>88</v>
      </c>
      <c r="B46" s="2"/>
    </row>
    <row r="47" spans="1:6" ht="14.25" customHeight="1" x14ac:dyDescent="0.3">
      <c r="A47" s="10" t="s">
        <v>89</v>
      </c>
      <c r="B47" s="17"/>
    </row>
    <row r="48" spans="1:6" ht="14.25" customHeight="1" x14ac:dyDescent="0.3">
      <c r="A48" s="13" t="s">
        <v>87</v>
      </c>
      <c r="B48" s="17"/>
    </row>
    <row r="49" spans="1:6" ht="14.25" customHeight="1" x14ac:dyDescent="0.3">
      <c r="A49" s="10" t="s">
        <v>97</v>
      </c>
      <c r="B49" s="2">
        <v>1066676</v>
      </c>
    </row>
    <row r="50" spans="1:6" ht="14.25" customHeight="1" x14ac:dyDescent="0.3">
      <c r="A50" s="10" t="s">
        <v>76</v>
      </c>
      <c r="B50" s="2">
        <v>1027326</v>
      </c>
    </row>
    <row r="51" spans="1:6" ht="14.25" customHeight="1" x14ac:dyDescent="0.3">
      <c r="A51" s="10" t="s">
        <v>72</v>
      </c>
      <c r="B51" s="2">
        <v>1005928</v>
      </c>
    </row>
    <row r="52" spans="1:6" ht="14.25" customHeight="1" x14ac:dyDescent="0.3">
      <c r="A52" s="10" t="s">
        <v>98</v>
      </c>
      <c r="B52" s="2">
        <v>618320</v>
      </c>
    </row>
    <row r="53" spans="1:6" ht="14.25" customHeight="1" x14ac:dyDescent="0.3">
      <c r="A53" s="10" t="s">
        <v>99</v>
      </c>
      <c r="B53" s="2">
        <v>608160</v>
      </c>
    </row>
    <row r="54" spans="1:6" ht="14.25" customHeight="1" x14ac:dyDescent="0.3">
      <c r="A54" s="10" t="s">
        <v>100</v>
      </c>
      <c r="B54" s="2">
        <v>604504</v>
      </c>
    </row>
    <row r="55" spans="1:6" ht="14.25" customHeight="1" x14ac:dyDescent="0.3">
      <c r="A55" s="10" t="s">
        <v>74</v>
      </c>
      <c r="B55" s="2">
        <v>869720</v>
      </c>
    </row>
    <row r="56" spans="1:6" ht="14.25" customHeight="1" x14ac:dyDescent="0.3">
      <c r="A56" s="13" t="s">
        <v>80</v>
      </c>
      <c r="B56" s="2">
        <v>858119</v>
      </c>
    </row>
    <row r="57" spans="1:6" ht="14.25" customHeight="1" x14ac:dyDescent="0.3">
      <c r="A57" s="10" t="s">
        <v>75</v>
      </c>
      <c r="B57" s="2">
        <v>855959</v>
      </c>
    </row>
    <row r="58" spans="1:6" ht="14.25" customHeight="1" x14ac:dyDescent="0.3">
      <c r="A58" s="10" t="s">
        <v>77</v>
      </c>
      <c r="B58" s="17">
        <v>803274</v>
      </c>
    </row>
    <row r="59" spans="1:6" ht="14.25" customHeight="1" x14ac:dyDescent="0.3">
      <c r="A59" s="13" t="s">
        <v>101</v>
      </c>
      <c r="B59" s="17">
        <v>740352</v>
      </c>
    </row>
    <row r="60" spans="1:6" ht="14.25" customHeight="1" x14ac:dyDescent="0.3">
      <c r="A60" s="10" t="s">
        <v>69</v>
      </c>
      <c r="B60" s="2">
        <v>1114334</v>
      </c>
    </row>
    <row r="61" spans="1:6" ht="14.25" customHeight="1" x14ac:dyDescent="0.3">
      <c r="A61" s="10" t="s">
        <v>79</v>
      </c>
      <c r="B61" s="17"/>
    </row>
    <row r="62" spans="1:6" ht="14.25" customHeight="1" x14ac:dyDescent="0.3">
      <c r="A62" s="10" t="s">
        <v>86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102</v>
      </c>
    </row>
    <row r="3" spans="3:14" ht="14.25" customHeight="1" x14ac:dyDescent="0.3">
      <c r="E3" s="1" t="s">
        <v>103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104</v>
      </c>
      <c r="G4" s="19" t="s">
        <v>105</v>
      </c>
      <c r="H4" s="19" t="s">
        <v>106</v>
      </c>
      <c r="I4" s="19" t="s">
        <v>107</v>
      </c>
      <c r="J4" s="20" t="s">
        <v>108</v>
      </c>
    </row>
    <row r="5" spans="3:14" ht="14.25" customHeight="1" x14ac:dyDescent="0.25">
      <c r="C5" s="82" t="s">
        <v>109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110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110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110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111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110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110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110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112</v>
      </c>
    </row>
    <row r="20" spans="2:3" ht="14.25" customHeight="1" x14ac:dyDescent="0.3">
      <c r="B20" s="1">
        <v>1</v>
      </c>
      <c r="C20" s="1" t="s">
        <v>113</v>
      </c>
    </row>
    <row r="21" spans="2:3" ht="14.25" customHeight="1" x14ac:dyDescent="0.3">
      <c r="B21" s="1">
        <v>2</v>
      </c>
      <c r="C21" s="1" t="s">
        <v>114</v>
      </c>
    </row>
    <row r="22" spans="2:3" ht="14.25" customHeight="1" x14ac:dyDescent="0.3">
      <c r="B22" s="1">
        <v>3</v>
      </c>
      <c r="C22" s="1" t="s">
        <v>115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116</v>
      </c>
    </row>
    <row r="26" spans="2:3" ht="14.25" customHeight="1" x14ac:dyDescent="0.3">
      <c r="C26" s="1" t="s">
        <v>117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118</v>
      </c>
      <c r="C3" s="1" t="s">
        <v>119</v>
      </c>
      <c r="G3" s="1" t="s">
        <v>120</v>
      </c>
      <c r="H3" s="1" t="s">
        <v>121</v>
      </c>
      <c r="L3" s="1" t="s">
        <v>122</v>
      </c>
      <c r="M3" s="1" t="s">
        <v>123</v>
      </c>
      <c r="R3" t="s">
        <v>19</v>
      </c>
      <c r="S3" t="s">
        <v>153</v>
      </c>
    </row>
    <row r="4" spans="2:19" ht="14.25" customHeight="1" x14ac:dyDescent="0.3">
      <c r="B4" s="1" t="s">
        <v>124</v>
      </c>
      <c r="C4" s="1" t="s">
        <v>20</v>
      </c>
      <c r="D4" s="1" t="s">
        <v>125</v>
      </c>
      <c r="G4" s="1" t="s">
        <v>124</v>
      </c>
      <c r="H4" s="1" t="s">
        <v>20</v>
      </c>
      <c r="I4" s="1" t="s">
        <v>125</v>
      </c>
      <c r="L4" s="1" t="s">
        <v>124</v>
      </c>
      <c r="M4" s="1" t="s">
        <v>20</v>
      </c>
      <c r="N4" s="1" t="s">
        <v>125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126</v>
      </c>
      <c r="C9" s="1" t="s">
        <v>127</v>
      </c>
      <c r="G9" s="1" t="s">
        <v>128</v>
      </c>
      <c r="H9" s="1" t="s">
        <v>129</v>
      </c>
      <c r="L9" s="1" t="s">
        <v>130</v>
      </c>
      <c r="M9" s="1" t="s">
        <v>131</v>
      </c>
      <c r="R9" t="s">
        <v>33</v>
      </c>
      <c r="S9" s="11">
        <v>224</v>
      </c>
    </row>
    <row r="10" spans="2:19" ht="14.25" customHeight="1" x14ac:dyDescent="0.3">
      <c r="B10" s="1" t="s">
        <v>124</v>
      </c>
      <c r="C10" s="1" t="s">
        <v>20</v>
      </c>
      <c r="D10" s="1" t="s">
        <v>125</v>
      </c>
      <c r="G10" s="1" t="s">
        <v>124</v>
      </c>
      <c r="H10" s="1" t="s">
        <v>20</v>
      </c>
      <c r="I10" s="1" t="s">
        <v>125</v>
      </c>
      <c r="L10" s="1" t="s">
        <v>124</v>
      </c>
      <c r="M10" s="1" t="s">
        <v>20</v>
      </c>
      <c r="N10" s="1" t="s">
        <v>125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132</v>
      </c>
      <c r="C15" s="1" t="s">
        <v>133</v>
      </c>
      <c r="G15" s="1" t="s">
        <v>134</v>
      </c>
      <c r="H15" s="1" t="s">
        <v>135</v>
      </c>
      <c r="R15" t="s">
        <v>39</v>
      </c>
      <c r="S15" s="11">
        <v>200</v>
      </c>
    </row>
    <row r="16" spans="2:19" ht="14.25" customHeight="1" x14ac:dyDescent="0.3">
      <c r="B16" s="1" t="s">
        <v>124</v>
      </c>
      <c r="C16" s="1" t="s">
        <v>20</v>
      </c>
      <c r="D16" s="1" t="s">
        <v>125</v>
      </c>
      <c r="G16" s="1" t="s">
        <v>124</v>
      </c>
      <c r="H16" s="1" t="s">
        <v>20</v>
      </c>
      <c r="I16" s="1" t="s">
        <v>125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136</v>
      </c>
      <c r="C21" s="1" t="s">
        <v>137</v>
      </c>
      <c r="G21" s="1" t="s">
        <v>138</v>
      </c>
      <c r="H21" s="1" t="s">
        <v>139</v>
      </c>
      <c r="L21" s="1" t="s">
        <v>140</v>
      </c>
      <c r="M21" s="1" t="s">
        <v>141</v>
      </c>
      <c r="R21" t="s">
        <v>47</v>
      </c>
      <c r="S21" s="11">
        <v>182</v>
      </c>
    </row>
    <row r="22" spans="2:26" ht="14.25" customHeight="1" x14ac:dyDescent="0.3">
      <c r="B22" s="1" t="s">
        <v>124</v>
      </c>
      <c r="C22" s="1" t="s">
        <v>20</v>
      </c>
      <c r="D22" s="1" t="s">
        <v>125</v>
      </c>
      <c r="G22" s="1" t="s">
        <v>124</v>
      </c>
      <c r="H22" s="1" t="s">
        <v>20</v>
      </c>
      <c r="I22" s="1" t="s">
        <v>125</v>
      </c>
      <c r="L22" s="1" t="s">
        <v>124</v>
      </c>
      <c r="M22" s="1" t="s">
        <v>20</v>
      </c>
      <c r="N22" s="1" t="s">
        <v>125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142</v>
      </c>
      <c r="C27" s="1" t="s">
        <v>143</v>
      </c>
      <c r="G27" s="1" t="s">
        <v>144</v>
      </c>
      <c r="H27" s="1" t="s">
        <v>145</v>
      </c>
      <c r="L27" s="1" t="s">
        <v>146</v>
      </c>
      <c r="M27" s="1" t="s">
        <v>147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124</v>
      </c>
      <c r="C28" s="1" t="s">
        <v>20</v>
      </c>
      <c r="D28" s="1" t="s">
        <v>125</v>
      </c>
      <c r="G28" s="1" t="s">
        <v>124</v>
      </c>
      <c r="H28" s="1" t="s">
        <v>20</v>
      </c>
      <c r="I28" s="1" t="s">
        <v>125</v>
      </c>
      <c r="L28" s="1" t="s">
        <v>124</v>
      </c>
      <c r="M28" s="1" t="s">
        <v>20</v>
      </c>
      <c r="N28" s="1" t="s">
        <v>125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83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91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90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84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2023-02-22T16:43:56Z</dcterms:modified>
</cp:coreProperties>
</file>