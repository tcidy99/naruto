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/>
  <mc:AlternateContent xmlns:mc="http://schemas.openxmlformats.org/markup-compatibility/2006">
    <mc:Choice Requires="x15">
      <x15ac:absPath xmlns:x15ac="http://schemas.microsoft.com/office/spreadsheetml/2010/11/ac" url="C:\utility\naruto\102分包\"/>
    </mc:Choice>
  </mc:AlternateContent>
  <xr:revisionPtr revIDLastSave="0" documentId="13_ncr:1_{888B5FC7-DE53-420F-A728-0D5C7D827FC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组织分包" sheetId="1" r:id="rId1"/>
    <sheet name="List" sheetId="3" r:id="rId2"/>
    <sheet name="战力表" sheetId="4" r:id="rId3"/>
    <sheet name="礼包" sheetId="5" r:id="rId4"/>
    <sheet name="忍战" sheetId="6" r:id="rId5"/>
    <sheet name="积分调整（单次）" sheetId="2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1" roundtripDataSignature="AMtx7mhEAtJwOX5xTMVN75jddt3PDXD94A=="/>
    </ext>
  </extLst>
</workbook>
</file>

<file path=xl/calcChain.xml><?xml version="1.0" encoding="utf-8"?>
<calcChain xmlns="http://schemas.openxmlformats.org/spreadsheetml/2006/main">
  <c r="F22" i="1" l="1"/>
  <c r="W52" i="1"/>
  <c r="W53" i="1"/>
  <c r="W54" i="1"/>
  <c r="W55" i="1"/>
  <c r="N55" i="1"/>
  <c r="F55" i="1"/>
  <c r="C43" i="4"/>
  <c r="F54" i="1"/>
  <c r="N54" i="1"/>
  <c r="C42" i="4"/>
  <c r="U11" i="1"/>
  <c r="S53" i="1"/>
  <c r="S52" i="1"/>
  <c r="S51" i="1"/>
  <c r="S50" i="1"/>
  <c r="S44" i="1"/>
  <c r="S43" i="1"/>
  <c r="S38" i="1"/>
  <c r="S35" i="1"/>
  <c r="S29" i="1"/>
  <c r="S16" i="1"/>
  <c r="H13" i="1"/>
  <c r="K85" i="1"/>
  <c r="K86" i="1"/>
  <c r="M3" i="4"/>
  <c r="M4" i="4" s="1"/>
  <c r="M5" i="4" s="1"/>
  <c r="M6" i="4" s="1"/>
  <c r="M7" i="4" s="1"/>
  <c r="M8" i="4" s="1"/>
  <c r="C7" i="4"/>
  <c r="D7" i="4" s="1"/>
  <c r="C4" i="4"/>
  <c r="D4" i="4" s="1"/>
  <c r="C5" i="4"/>
  <c r="D5" i="4" s="1"/>
  <c r="C6" i="4"/>
  <c r="D6" i="4" s="1"/>
  <c r="C8" i="4"/>
  <c r="D8" i="4" s="1"/>
  <c r="C9" i="4"/>
  <c r="D9" i="4" s="1"/>
  <c r="C11" i="4"/>
  <c r="D11" i="4" s="1"/>
  <c r="C12" i="4"/>
  <c r="D12" i="4" s="1"/>
  <c r="C13" i="4"/>
  <c r="D13" i="4" s="1"/>
  <c r="C10" i="4"/>
  <c r="D10" i="4" s="1"/>
  <c r="C14" i="4"/>
  <c r="D14" i="4" s="1"/>
  <c r="C15" i="4"/>
  <c r="D15" i="4" s="1"/>
  <c r="C17" i="4"/>
  <c r="D17" i="4" s="1"/>
  <c r="C63" i="4"/>
  <c r="D63" i="4" s="1"/>
  <c r="C18" i="4"/>
  <c r="D18" i="4" s="1"/>
  <c r="C16" i="4"/>
  <c r="D16" i="4" s="1"/>
  <c r="C19" i="4"/>
  <c r="D19" i="4" s="1"/>
  <c r="C65" i="4"/>
  <c r="D65" i="4" s="1"/>
  <c r="C20" i="4"/>
  <c r="D20" i="4" s="1"/>
  <c r="C21" i="4"/>
  <c r="D21" i="4" s="1"/>
  <c r="C22" i="4"/>
  <c r="D22" i="4" s="1"/>
  <c r="C66" i="4"/>
  <c r="D66" i="4" s="1"/>
  <c r="C27" i="4"/>
  <c r="D27" i="4" s="1"/>
  <c r="C24" i="4"/>
  <c r="D24" i="4" s="1"/>
  <c r="C23" i="4"/>
  <c r="D23" i="4" s="1"/>
  <c r="C26" i="4"/>
  <c r="D26" i="4" s="1"/>
  <c r="C25" i="4"/>
  <c r="D25" i="4" s="1"/>
  <c r="C28" i="4"/>
  <c r="D28" i="4" s="1"/>
  <c r="C29" i="4"/>
  <c r="D29" i="4" s="1"/>
  <c r="C31" i="4"/>
  <c r="D31" i="4" s="1"/>
  <c r="C30" i="4"/>
  <c r="D30" i="4" s="1"/>
  <c r="C32" i="4"/>
  <c r="D32" i="4" s="1"/>
  <c r="C33" i="4"/>
  <c r="D33" i="4" s="1"/>
  <c r="C34" i="4"/>
  <c r="D34" i="4" s="1"/>
  <c r="C35" i="4"/>
  <c r="D35" i="4" s="1"/>
  <c r="C36" i="4"/>
  <c r="D36" i="4" s="1"/>
  <c r="C37" i="4"/>
  <c r="D37" i="4" s="1"/>
  <c r="D38" i="4"/>
  <c r="D39" i="4"/>
  <c r="C40" i="4"/>
  <c r="D40" i="4" s="1"/>
  <c r="C41" i="4"/>
  <c r="D41" i="4" s="1"/>
  <c r="C3" i="4"/>
  <c r="D3" i="4" s="1"/>
  <c r="W46" i="1"/>
  <c r="N46" i="1"/>
  <c r="F46" i="1"/>
  <c r="D43" i="4" l="1"/>
  <c r="D42" i="4"/>
  <c r="E65" i="4"/>
  <c r="F65" i="4" s="1"/>
  <c r="E63" i="4"/>
  <c r="F63" i="4" s="1"/>
  <c r="C1" i="4"/>
  <c r="E66" i="4"/>
  <c r="F66" i="4" s="1"/>
  <c r="K87" i="1" s="1"/>
  <c r="E10" i="4" l="1"/>
  <c r="F10" i="4" s="1"/>
  <c r="K22" i="1" s="1"/>
  <c r="E21" i="4"/>
  <c r="F21" i="4" s="1"/>
  <c r="K33" i="1" s="1"/>
  <c r="E3" i="4"/>
  <c r="F3" i="4" s="1"/>
  <c r="K15" i="1" s="1"/>
  <c r="E26" i="4"/>
  <c r="E39" i="4"/>
  <c r="F39" i="4" s="1"/>
  <c r="K51" i="1" s="1"/>
  <c r="E15" i="4"/>
  <c r="F15" i="4" s="1"/>
  <c r="K27" i="1" s="1"/>
  <c r="E36" i="4"/>
  <c r="F36" i="4" s="1"/>
  <c r="K48" i="1" s="1"/>
  <c r="E16" i="4"/>
  <c r="F16" i="4" s="1"/>
  <c r="K28" i="1" s="1"/>
  <c r="E13" i="4"/>
  <c r="F13" i="4" s="1"/>
  <c r="K25" i="1" s="1"/>
  <c r="E24" i="4"/>
  <c r="F24" i="4" s="1"/>
  <c r="K36" i="1" s="1"/>
  <c r="E6" i="4"/>
  <c r="F6" i="4" s="1"/>
  <c r="K19" i="1" s="1"/>
  <c r="E31" i="4"/>
  <c r="E33" i="4"/>
  <c r="F33" i="4" s="1"/>
  <c r="K45" i="1" s="1"/>
  <c r="E14" i="4"/>
  <c r="F14" i="4" s="1"/>
  <c r="K26" i="1" s="1"/>
  <c r="E23" i="4"/>
  <c r="E30" i="4"/>
  <c r="F30" i="4" s="1"/>
  <c r="K42" i="1" s="1"/>
  <c r="E29" i="4"/>
  <c r="F29" i="4" s="1"/>
  <c r="K41" i="1" s="1"/>
  <c r="E37" i="4"/>
  <c r="F37" i="4" s="1"/>
  <c r="K49" i="1" s="1"/>
  <c r="E22" i="4"/>
  <c r="F22" i="4" s="1"/>
  <c r="K34" i="1" s="1"/>
  <c r="E17" i="4"/>
  <c r="E40" i="4"/>
  <c r="F40" i="4" s="1"/>
  <c r="K52" i="1" s="1"/>
  <c r="E42" i="4"/>
  <c r="F42" i="4" s="1"/>
  <c r="K54" i="1" s="1"/>
  <c r="E41" i="4"/>
  <c r="F41" i="4" s="1"/>
  <c r="K53" i="1" s="1"/>
  <c r="E4" i="4"/>
  <c r="E38" i="4"/>
  <c r="F38" i="4" s="1"/>
  <c r="K50" i="1" s="1"/>
  <c r="E25" i="4"/>
  <c r="F25" i="4" s="1"/>
  <c r="K37" i="1" s="1"/>
  <c r="E20" i="4"/>
  <c r="F20" i="4" s="1"/>
  <c r="K32" i="1" s="1"/>
  <c r="E8" i="4"/>
  <c r="F8" i="4" s="1"/>
  <c r="K20" i="1" s="1"/>
  <c r="E28" i="4"/>
  <c r="F28" i="4" s="1"/>
  <c r="K40" i="1" s="1"/>
  <c r="E34" i="4"/>
  <c r="F34" i="4" s="1"/>
  <c r="K46" i="1" s="1"/>
  <c r="E43" i="4"/>
  <c r="F43" i="4" s="1"/>
  <c r="K55" i="1" s="1"/>
  <c r="E12" i="4"/>
  <c r="F12" i="4" s="1"/>
  <c r="K24" i="1" s="1"/>
  <c r="E9" i="4"/>
  <c r="F9" i="4" s="1"/>
  <c r="K21" i="1" s="1"/>
  <c r="E27" i="4"/>
  <c r="F27" i="4" s="1"/>
  <c r="K39" i="1" s="1"/>
  <c r="E5" i="4"/>
  <c r="F5" i="4" s="1"/>
  <c r="K17" i="1" s="1"/>
  <c r="E11" i="4"/>
  <c r="F11" i="4" s="1"/>
  <c r="K23" i="1" s="1"/>
  <c r="E19" i="4"/>
  <c r="F19" i="4" s="1"/>
  <c r="K31" i="1" s="1"/>
  <c r="E7" i="4"/>
  <c r="F7" i="4" s="1"/>
  <c r="K18" i="1" s="1"/>
  <c r="E35" i="4"/>
  <c r="F35" i="4" s="1"/>
  <c r="K47" i="1" s="1"/>
  <c r="E18" i="4"/>
  <c r="F18" i="4" s="1"/>
  <c r="K30" i="1" s="1"/>
  <c r="E32" i="4"/>
  <c r="F26" i="4"/>
  <c r="K38" i="1" s="1"/>
  <c r="F17" i="4"/>
  <c r="K29" i="1" s="1"/>
  <c r="F32" i="4"/>
  <c r="K44" i="1" s="1"/>
  <c r="F23" i="4"/>
  <c r="K35" i="1" s="1"/>
  <c r="F4" i="4"/>
  <c r="K16" i="1" s="1"/>
  <c r="F31" i="4"/>
  <c r="K43" i="1" s="1"/>
  <c r="L9" i="4"/>
  <c r="J3" i="4"/>
  <c r="J6" i="4"/>
  <c r="J4" i="4"/>
  <c r="J5" i="4"/>
  <c r="J8" i="4"/>
  <c r="J7" i="4"/>
  <c r="Y2" i="1"/>
  <c r="Y3" i="1" s="1"/>
  <c r="Y4" i="1" s="1"/>
  <c r="U10" i="1"/>
  <c r="U9" i="1"/>
  <c r="L55" i="1" s="1"/>
  <c r="F18" i="1"/>
  <c r="F16" i="1"/>
  <c r="F19" i="1"/>
  <c r="F20" i="1"/>
  <c r="F21" i="1"/>
  <c r="F17" i="1"/>
  <c r="F23" i="1"/>
  <c r="F24" i="1"/>
  <c r="F25" i="1"/>
  <c r="F27" i="1"/>
  <c r="F29" i="1"/>
  <c r="F85" i="1"/>
  <c r="F30" i="1"/>
  <c r="F28" i="1"/>
  <c r="F31" i="1"/>
  <c r="F32" i="1"/>
  <c r="F33" i="1"/>
  <c r="F34" i="1"/>
  <c r="F87" i="1"/>
  <c r="F39" i="1"/>
  <c r="F36" i="1"/>
  <c r="F35" i="1"/>
  <c r="F38" i="1"/>
  <c r="F37" i="1"/>
  <c r="F40" i="1"/>
  <c r="F86" i="1"/>
  <c r="F41" i="1"/>
  <c r="F43" i="1"/>
  <c r="F42" i="1"/>
  <c r="F44" i="1"/>
  <c r="F45" i="1"/>
  <c r="F47" i="1"/>
  <c r="F48" i="1"/>
  <c r="F49" i="1"/>
  <c r="F50" i="1"/>
  <c r="F52" i="1"/>
  <c r="F51" i="1"/>
  <c r="F53" i="1"/>
  <c r="F15" i="1"/>
  <c r="W48" i="1"/>
  <c r="N48" i="1"/>
  <c r="M54" i="1" l="1"/>
  <c r="M55" i="1"/>
  <c r="Q55" i="1" s="1"/>
  <c r="R55" i="1" s="1"/>
  <c r="L46" i="1"/>
  <c r="L54" i="1"/>
  <c r="J9" i="4"/>
  <c r="J11" i="4" s="1"/>
  <c r="M9" i="4"/>
  <c r="L48" i="1"/>
  <c r="M23" i="1"/>
  <c r="M46" i="1"/>
  <c r="M43" i="1"/>
  <c r="M17" i="1"/>
  <c r="M41" i="1"/>
  <c r="M31" i="1"/>
  <c r="M21" i="1"/>
  <c r="M53" i="1"/>
  <c r="M86" i="1"/>
  <c r="M28" i="1"/>
  <c r="M20" i="1"/>
  <c r="M40" i="1"/>
  <c r="M52" i="1"/>
  <c r="M37" i="1"/>
  <c r="M85" i="1"/>
  <c r="M16" i="1"/>
  <c r="M51" i="1"/>
  <c r="M30" i="1"/>
  <c r="M19" i="1"/>
  <c r="M50" i="1"/>
  <c r="M38" i="1"/>
  <c r="M29" i="1"/>
  <c r="M18" i="1"/>
  <c r="M49" i="1"/>
  <c r="M35" i="1"/>
  <c r="M27" i="1"/>
  <c r="M48" i="1"/>
  <c r="M36" i="1"/>
  <c r="M26" i="1"/>
  <c r="M32" i="1"/>
  <c r="M47" i="1"/>
  <c r="M39" i="1"/>
  <c r="M22" i="1"/>
  <c r="M45" i="1"/>
  <c r="M87" i="1"/>
  <c r="M25" i="1"/>
  <c r="M44" i="1"/>
  <c r="M34" i="1"/>
  <c r="M24" i="1"/>
  <c r="M42" i="1"/>
  <c r="M33" i="1"/>
  <c r="Y55" i="1" l="1"/>
  <c r="Q54" i="1"/>
  <c r="G16" i="5"/>
  <c r="F16" i="5"/>
  <c r="I16" i="5" s="1"/>
  <c r="N14" i="5"/>
  <c r="G14" i="5"/>
  <c r="F14" i="5"/>
  <c r="I14" i="5" s="1"/>
  <c r="N13" i="5"/>
  <c r="N12" i="5"/>
  <c r="G12" i="5"/>
  <c r="I12" i="5" s="1"/>
  <c r="F12" i="5"/>
  <c r="H10" i="5"/>
  <c r="G10" i="5"/>
  <c r="F10" i="5"/>
  <c r="I10" i="5" s="1"/>
  <c r="N8" i="5"/>
  <c r="H8" i="5"/>
  <c r="G8" i="5"/>
  <c r="F8" i="5"/>
  <c r="I8" i="5" s="1"/>
  <c r="N7" i="5"/>
  <c r="N6" i="5"/>
  <c r="I6" i="5"/>
  <c r="H6" i="5"/>
  <c r="G6" i="5"/>
  <c r="F6" i="5"/>
  <c r="B1" i="4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W82" i="1"/>
  <c r="Y82" i="1" s="1"/>
  <c r="U82" i="1"/>
  <c r="T82" i="1"/>
  <c r="N82" i="1"/>
  <c r="L82" i="1"/>
  <c r="K82" i="1"/>
  <c r="F82" i="1"/>
  <c r="W81" i="1"/>
  <c r="Y81" i="1" s="1"/>
  <c r="U81" i="1"/>
  <c r="T81" i="1"/>
  <c r="N81" i="1"/>
  <c r="L81" i="1"/>
  <c r="F81" i="1"/>
  <c r="K81" i="1" s="1"/>
  <c r="W80" i="1"/>
  <c r="Y80" i="1" s="1"/>
  <c r="U80" i="1"/>
  <c r="T80" i="1"/>
  <c r="N80" i="1"/>
  <c r="L80" i="1"/>
  <c r="F80" i="1"/>
  <c r="K80" i="1" s="1"/>
  <c r="W79" i="1"/>
  <c r="Y79" i="1" s="1"/>
  <c r="U79" i="1"/>
  <c r="T79" i="1"/>
  <c r="N79" i="1"/>
  <c r="L79" i="1"/>
  <c r="F79" i="1"/>
  <c r="K79" i="1" s="1"/>
  <c r="W78" i="1"/>
  <c r="Y78" i="1" s="1"/>
  <c r="U78" i="1"/>
  <c r="T78" i="1"/>
  <c r="N78" i="1"/>
  <c r="L78" i="1"/>
  <c r="F78" i="1"/>
  <c r="K78" i="1" s="1"/>
  <c r="W77" i="1"/>
  <c r="Y77" i="1" s="1"/>
  <c r="U77" i="1"/>
  <c r="T77" i="1"/>
  <c r="N77" i="1"/>
  <c r="L77" i="1"/>
  <c r="F77" i="1"/>
  <c r="W76" i="1"/>
  <c r="Y76" i="1" s="1"/>
  <c r="U76" i="1"/>
  <c r="T76" i="1"/>
  <c r="N76" i="1"/>
  <c r="L76" i="1"/>
  <c r="K76" i="1"/>
  <c r="F76" i="1"/>
  <c r="W37" i="1"/>
  <c r="N37" i="1"/>
  <c r="L37" i="1"/>
  <c r="W75" i="1"/>
  <c r="Y75" i="1" s="1"/>
  <c r="U75" i="1"/>
  <c r="T75" i="1"/>
  <c r="N75" i="1"/>
  <c r="L75" i="1"/>
  <c r="F75" i="1"/>
  <c r="K75" i="1" s="1"/>
  <c r="W74" i="1"/>
  <c r="Y74" i="1" s="1"/>
  <c r="U74" i="1"/>
  <c r="T74" i="1"/>
  <c r="N74" i="1"/>
  <c r="L74" i="1"/>
  <c r="F74" i="1"/>
  <c r="K74" i="1" s="1"/>
  <c r="W73" i="1"/>
  <c r="Y73" i="1" s="1"/>
  <c r="U73" i="1"/>
  <c r="T73" i="1"/>
  <c r="N73" i="1"/>
  <c r="L73" i="1"/>
  <c r="F73" i="1"/>
  <c r="K73" i="1" s="1"/>
  <c r="W72" i="1"/>
  <c r="Y72" i="1" s="1"/>
  <c r="U72" i="1"/>
  <c r="T72" i="1"/>
  <c r="N72" i="1"/>
  <c r="L72" i="1"/>
  <c r="F72" i="1"/>
  <c r="K72" i="1" s="1"/>
  <c r="W71" i="1"/>
  <c r="Y71" i="1" s="1"/>
  <c r="U71" i="1"/>
  <c r="T71" i="1"/>
  <c r="N71" i="1"/>
  <c r="L71" i="1"/>
  <c r="F71" i="1"/>
  <c r="K71" i="1" s="1"/>
  <c r="W70" i="1"/>
  <c r="Y70" i="1" s="1"/>
  <c r="U70" i="1"/>
  <c r="T70" i="1"/>
  <c r="N70" i="1"/>
  <c r="L70" i="1"/>
  <c r="F70" i="1"/>
  <c r="K70" i="1" s="1"/>
  <c r="W69" i="1"/>
  <c r="Y69" i="1" s="1"/>
  <c r="U69" i="1"/>
  <c r="T69" i="1"/>
  <c r="N69" i="1"/>
  <c r="L69" i="1"/>
  <c r="F69" i="1"/>
  <c r="K69" i="1" s="1"/>
  <c r="W68" i="1"/>
  <c r="Y68" i="1" s="1"/>
  <c r="U68" i="1"/>
  <c r="T68" i="1"/>
  <c r="N68" i="1"/>
  <c r="L68" i="1"/>
  <c r="F68" i="1"/>
  <c r="K68" i="1" s="1"/>
  <c r="W67" i="1"/>
  <c r="Y67" i="1" s="1"/>
  <c r="U67" i="1"/>
  <c r="T67" i="1"/>
  <c r="N67" i="1"/>
  <c r="L67" i="1"/>
  <c r="F67" i="1"/>
  <c r="K67" i="1" s="1"/>
  <c r="W66" i="1"/>
  <c r="Y66" i="1" s="1"/>
  <c r="U66" i="1"/>
  <c r="T66" i="1"/>
  <c r="N66" i="1"/>
  <c r="L66" i="1"/>
  <c r="F66" i="1"/>
  <c r="K66" i="1" s="1"/>
  <c r="W65" i="1"/>
  <c r="Y65" i="1" s="1"/>
  <c r="U65" i="1"/>
  <c r="T65" i="1"/>
  <c r="N65" i="1"/>
  <c r="L65" i="1"/>
  <c r="F65" i="1"/>
  <c r="K65" i="1" s="1"/>
  <c r="W64" i="1"/>
  <c r="Y64" i="1" s="1"/>
  <c r="U64" i="1"/>
  <c r="T64" i="1"/>
  <c r="N64" i="1"/>
  <c r="L64" i="1"/>
  <c r="F64" i="1"/>
  <c r="K64" i="1" s="1"/>
  <c r="W63" i="1"/>
  <c r="Y63" i="1" s="1"/>
  <c r="U63" i="1"/>
  <c r="T63" i="1"/>
  <c r="N63" i="1"/>
  <c r="L63" i="1"/>
  <c r="F63" i="1"/>
  <c r="K63" i="1" s="1"/>
  <c r="W62" i="1"/>
  <c r="Y62" i="1" s="1"/>
  <c r="U62" i="1"/>
  <c r="T62" i="1"/>
  <c r="N62" i="1"/>
  <c r="L62" i="1"/>
  <c r="F62" i="1"/>
  <c r="K62" i="1" s="1"/>
  <c r="W61" i="1"/>
  <c r="Y61" i="1" s="1"/>
  <c r="U61" i="1"/>
  <c r="T61" i="1"/>
  <c r="N61" i="1"/>
  <c r="L61" i="1"/>
  <c r="F61" i="1"/>
  <c r="K61" i="1" s="1"/>
  <c r="W60" i="1"/>
  <c r="Y60" i="1" s="1"/>
  <c r="U60" i="1"/>
  <c r="T60" i="1"/>
  <c r="N60" i="1"/>
  <c r="L60" i="1"/>
  <c r="F60" i="1"/>
  <c r="K60" i="1" s="1"/>
  <c r="T53" i="1"/>
  <c r="N53" i="1"/>
  <c r="L53" i="1"/>
  <c r="W50" i="1"/>
  <c r="T50" i="1"/>
  <c r="N50" i="1"/>
  <c r="L50" i="1"/>
  <c r="W51" i="1"/>
  <c r="T51" i="1"/>
  <c r="N51" i="1"/>
  <c r="L51" i="1"/>
  <c r="T52" i="1"/>
  <c r="N52" i="1"/>
  <c r="L52" i="1"/>
  <c r="W47" i="1"/>
  <c r="N47" i="1"/>
  <c r="L47" i="1"/>
  <c r="W49" i="1"/>
  <c r="N49" i="1"/>
  <c r="L49" i="1"/>
  <c r="W44" i="1"/>
  <c r="N44" i="1"/>
  <c r="L44" i="1"/>
  <c r="W45" i="1"/>
  <c r="N45" i="1"/>
  <c r="L45" i="1"/>
  <c r="W42" i="1"/>
  <c r="N42" i="1"/>
  <c r="L42" i="1"/>
  <c r="W43" i="1"/>
  <c r="N43" i="1"/>
  <c r="L43" i="1"/>
  <c r="W84" i="1"/>
  <c r="T84" i="1"/>
  <c r="N84" i="1"/>
  <c r="L84" i="1"/>
  <c r="F84" i="1"/>
  <c r="W41" i="1"/>
  <c r="N41" i="1"/>
  <c r="L41" i="1"/>
  <c r="W38" i="1"/>
  <c r="N38" i="1"/>
  <c r="L38" i="1"/>
  <c r="W40" i="1"/>
  <c r="N40" i="1"/>
  <c r="L40" i="1"/>
  <c r="W36" i="1"/>
  <c r="N36" i="1"/>
  <c r="L36" i="1"/>
  <c r="W35" i="1"/>
  <c r="N35" i="1"/>
  <c r="L35" i="1"/>
  <c r="W39" i="1"/>
  <c r="N39" i="1"/>
  <c r="L39" i="1"/>
  <c r="W34" i="1"/>
  <c r="N34" i="1"/>
  <c r="L34" i="1"/>
  <c r="W87" i="1"/>
  <c r="N87" i="1"/>
  <c r="L87" i="1"/>
  <c r="W33" i="1"/>
  <c r="N33" i="1"/>
  <c r="L33" i="1"/>
  <c r="W32" i="1"/>
  <c r="N32" i="1"/>
  <c r="L32" i="1"/>
  <c r="W31" i="1"/>
  <c r="N31" i="1"/>
  <c r="L31" i="1"/>
  <c r="W86" i="1"/>
  <c r="N86" i="1"/>
  <c r="L86" i="1"/>
  <c r="W85" i="1"/>
  <c r="N85" i="1"/>
  <c r="L85" i="1"/>
  <c r="W30" i="1"/>
  <c r="N30" i="1"/>
  <c r="L30" i="1"/>
  <c r="W29" i="1"/>
  <c r="N29" i="1"/>
  <c r="L29" i="1"/>
  <c r="W28" i="1"/>
  <c r="N28" i="1"/>
  <c r="L28" i="1"/>
  <c r="W27" i="1"/>
  <c r="N27" i="1"/>
  <c r="L27" i="1"/>
  <c r="W83" i="1"/>
  <c r="T83" i="1"/>
  <c r="N83" i="1"/>
  <c r="L83" i="1"/>
  <c r="F83" i="1"/>
  <c r="W26" i="1"/>
  <c r="N26" i="1"/>
  <c r="L26" i="1"/>
  <c r="W25" i="1"/>
  <c r="N25" i="1"/>
  <c r="L25" i="1"/>
  <c r="W22" i="1"/>
  <c r="N22" i="1"/>
  <c r="L22" i="1"/>
  <c r="W24" i="1"/>
  <c r="N24" i="1"/>
  <c r="L24" i="1"/>
  <c r="W23" i="1"/>
  <c r="N23" i="1"/>
  <c r="L23" i="1"/>
  <c r="W20" i="1"/>
  <c r="N20" i="1"/>
  <c r="L20" i="1"/>
  <c r="W21" i="1"/>
  <c r="N21" i="1"/>
  <c r="L21" i="1"/>
  <c r="W17" i="1"/>
  <c r="N17" i="1"/>
  <c r="L17" i="1"/>
  <c r="W19" i="1"/>
  <c r="N19" i="1"/>
  <c r="L19" i="1"/>
  <c r="W16" i="1"/>
  <c r="N16" i="1"/>
  <c r="L16" i="1"/>
  <c r="W18" i="1"/>
  <c r="N18" i="1"/>
  <c r="L18" i="1"/>
  <c r="W15" i="1"/>
  <c r="N15" i="1"/>
  <c r="L15" i="1"/>
  <c r="B12" i="1"/>
  <c r="M11" i="1"/>
  <c r="U51" i="1" s="1"/>
  <c r="M10" i="1"/>
  <c r="M9" i="1"/>
  <c r="AA2" i="1" s="1"/>
  <c r="Y54" i="1" l="1"/>
  <c r="R54" i="1"/>
  <c r="M60" i="1"/>
  <c r="Q60" i="1" s="1"/>
  <c r="V60" i="1" s="1"/>
  <c r="AA3" i="1"/>
  <c r="K77" i="1"/>
  <c r="M83" i="1"/>
  <c r="M15" i="1"/>
  <c r="M84" i="1"/>
  <c r="M82" i="1"/>
  <c r="Q82" i="1" s="1"/>
  <c r="V82" i="1" s="1"/>
  <c r="M81" i="1"/>
  <c r="Q81" i="1" s="1"/>
  <c r="V81" i="1" s="1"/>
  <c r="M80" i="1"/>
  <c r="Q80" i="1" s="1"/>
  <c r="V80" i="1" s="1"/>
  <c r="M79" i="1"/>
  <c r="Q79" i="1" s="1"/>
  <c r="V79" i="1" s="1"/>
  <c r="M78" i="1"/>
  <c r="Q78" i="1" s="1"/>
  <c r="V78" i="1" s="1"/>
  <c r="M77" i="1"/>
  <c r="M76" i="1"/>
  <c r="Q76" i="1" s="1"/>
  <c r="V76" i="1" s="1"/>
  <c r="M75" i="1"/>
  <c r="Q75" i="1" s="1"/>
  <c r="V75" i="1" s="1"/>
  <c r="M74" i="1"/>
  <c r="Q74" i="1" s="1"/>
  <c r="V74" i="1" s="1"/>
  <c r="M73" i="1"/>
  <c r="Q73" i="1" s="1"/>
  <c r="V73" i="1" s="1"/>
  <c r="M72" i="1"/>
  <c r="Q72" i="1" s="1"/>
  <c r="V72" i="1" s="1"/>
  <c r="M71" i="1"/>
  <c r="Q71" i="1" s="1"/>
  <c r="V71" i="1" s="1"/>
  <c r="M70" i="1"/>
  <c r="Q70" i="1" s="1"/>
  <c r="V70" i="1" s="1"/>
  <c r="M69" i="1"/>
  <c r="Q69" i="1" s="1"/>
  <c r="V69" i="1" s="1"/>
  <c r="M68" i="1"/>
  <c r="Q68" i="1" s="1"/>
  <c r="V68" i="1" s="1"/>
  <c r="M67" i="1"/>
  <c r="Q67" i="1" s="1"/>
  <c r="V67" i="1" s="1"/>
  <c r="M66" i="1"/>
  <c r="Q66" i="1" s="1"/>
  <c r="V66" i="1" s="1"/>
  <c r="M65" i="1"/>
  <c r="Q65" i="1" s="1"/>
  <c r="V65" i="1" s="1"/>
  <c r="M64" i="1"/>
  <c r="Q64" i="1" s="1"/>
  <c r="V64" i="1" s="1"/>
  <c r="M63" i="1"/>
  <c r="Q63" i="1" s="1"/>
  <c r="V63" i="1" s="1"/>
  <c r="M62" i="1"/>
  <c r="Q62" i="1" s="1"/>
  <c r="V62" i="1" s="1"/>
  <c r="M61" i="1"/>
  <c r="Q61" i="1" s="1"/>
  <c r="V61" i="1" s="1"/>
  <c r="U52" i="1"/>
  <c r="U50" i="1"/>
  <c r="U53" i="1"/>
  <c r="AA4" i="1"/>
  <c r="U83" i="1"/>
  <c r="U84" i="1"/>
  <c r="Q77" i="1" l="1"/>
  <c r="V77" i="1" s="1"/>
  <c r="Q15" i="1" l="1"/>
  <c r="R15" i="1" s="1"/>
  <c r="K83" i="1" l="1"/>
  <c r="Q83" i="1" s="1"/>
  <c r="V83" i="1" s="1"/>
  <c r="Y83" i="1" s="1"/>
  <c r="Z83" i="1" s="1"/>
  <c r="K84" i="1" l="1"/>
  <c r="Q84" i="1" s="1"/>
  <c r="V84" i="1" s="1"/>
  <c r="Y84" i="1" s="1"/>
  <c r="Z84" i="1" s="1"/>
  <c r="Z77" i="1" l="1"/>
  <c r="Z74" i="1"/>
  <c r="Z62" i="1"/>
  <c r="Z80" i="1"/>
  <c r="Z72" i="1"/>
  <c r="Z69" i="1"/>
  <c r="Z68" i="1"/>
  <c r="Z71" i="1"/>
  <c r="Z82" i="1"/>
  <c r="Z67" i="1"/>
  <c r="Z64" i="1"/>
  <c r="Z63" i="1"/>
  <c r="Z61" i="1"/>
  <c r="Z75" i="1"/>
  <c r="Z70" i="1"/>
  <c r="Z78" i="1"/>
  <c r="Z73" i="1"/>
  <c r="Z81" i="1"/>
  <c r="Z66" i="1"/>
  <c r="Z65" i="1"/>
  <c r="Z76" i="1"/>
  <c r="Z79" i="1"/>
  <c r="Q51" i="1"/>
  <c r="R51" i="1" s="1"/>
  <c r="V51" i="1" l="1"/>
  <c r="Q18" i="1" l="1"/>
  <c r="Q17" i="1"/>
  <c r="R17" i="1" s="1"/>
  <c r="Q16" i="1"/>
  <c r="Y15" i="1" l="1"/>
  <c r="R16" i="1"/>
  <c r="Y16" i="1"/>
  <c r="Q19" i="1"/>
  <c r="R19" i="1" s="1"/>
  <c r="Q20" i="1" l="1"/>
  <c r="R20" i="1" s="1"/>
  <c r="Q21" i="1" l="1"/>
  <c r="R21" i="1" s="1"/>
  <c r="Q23" i="1" l="1"/>
  <c r="R23" i="1" s="1"/>
  <c r="Q24" i="1" l="1"/>
  <c r="R24" i="1" s="1"/>
  <c r="Q25" i="1" l="1"/>
  <c r="Y17" i="1" l="1"/>
  <c r="R25" i="1"/>
  <c r="Q22" i="1"/>
  <c r="R22" i="1" s="1"/>
  <c r="Y24" i="1" l="1"/>
  <c r="Q26" i="1"/>
  <c r="R26" i="1" s="1"/>
  <c r="Y18" i="1" l="1"/>
  <c r="Q27" i="1"/>
  <c r="Y19" i="1" l="1"/>
  <c r="R27" i="1"/>
  <c r="Y25" i="1"/>
  <c r="Q29" i="1"/>
  <c r="R29" i="1" s="1"/>
  <c r="Q85" i="1" l="1"/>
  <c r="R85" i="1" l="1"/>
  <c r="Q30" i="1"/>
  <c r="R30" i="1" s="1"/>
  <c r="Q28" i="1" l="1"/>
  <c r="Y20" i="1" l="1"/>
  <c r="R28" i="1"/>
  <c r="Q31" i="1"/>
  <c r="R31" i="1" s="1"/>
  <c r="Q86" i="1" l="1"/>
  <c r="Q32" i="1" l="1"/>
  <c r="R32" i="1" s="1"/>
  <c r="R86" i="1"/>
  <c r="Y86" i="1" l="1"/>
  <c r="Q33" i="1"/>
  <c r="R33" i="1" s="1"/>
  <c r="Y26" i="1" l="1"/>
  <c r="Y21" i="1"/>
  <c r="Y33" i="1"/>
  <c r="Q34" i="1"/>
  <c r="Y22" i="1" l="1"/>
  <c r="R34" i="1"/>
  <c r="Y34" i="1"/>
  <c r="Y27" i="1"/>
  <c r="Q87" i="1"/>
  <c r="Q39" i="1" l="1"/>
  <c r="R39" i="1" s="1"/>
  <c r="R87" i="1"/>
  <c r="Y30" i="1"/>
  <c r="Q36" i="1"/>
  <c r="R36" i="1" s="1"/>
  <c r="Y29" i="1" l="1"/>
  <c r="Y28" i="1"/>
  <c r="Q35" i="1"/>
  <c r="Y87" i="1" l="1"/>
  <c r="R35" i="1"/>
  <c r="Y32" i="1"/>
  <c r="Y31" i="1"/>
  <c r="Q38" i="1"/>
  <c r="Y35" i="1" l="1"/>
  <c r="R38" i="1"/>
  <c r="Q37" i="1"/>
  <c r="R37" i="1" s="1"/>
  <c r="Y85" i="1" l="1"/>
  <c r="Y23" i="1"/>
  <c r="Q40" i="1"/>
  <c r="R40" i="1" s="1"/>
  <c r="Q41" i="1" l="1"/>
  <c r="Y36" i="1" l="1"/>
  <c r="R41" i="1"/>
  <c r="Q43" i="1"/>
  <c r="R43" i="1" s="1"/>
  <c r="Q42" i="1" l="1"/>
  <c r="Y37" i="1" l="1"/>
  <c r="R42" i="1"/>
  <c r="Q44" i="1"/>
  <c r="Y38" i="1" l="1"/>
  <c r="R44" i="1"/>
  <c r="Q46" i="1"/>
  <c r="R46" i="1" s="1"/>
  <c r="Q45" i="1"/>
  <c r="R45" i="1" s="1"/>
  <c r="Y40" i="1" l="1"/>
  <c r="Y39" i="1"/>
  <c r="Q47" i="1"/>
  <c r="Y41" i="1" l="1"/>
  <c r="R47" i="1"/>
  <c r="Q48" i="1"/>
  <c r="Y43" i="1" l="1"/>
  <c r="R48" i="1"/>
  <c r="Q49" i="1"/>
  <c r="Y47" i="1"/>
  <c r="Y51" i="1" l="1"/>
  <c r="R49" i="1"/>
  <c r="Q53" i="1"/>
  <c r="R53" i="1" s="1"/>
  <c r="Q50" i="1"/>
  <c r="Y42" i="1"/>
  <c r="Q52" i="1"/>
  <c r="Y44" i="1" l="1"/>
  <c r="R52" i="1"/>
  <c r="Y50" i="1"/>
  <c r="R50" i="1"/>
  <c r="Y45" i="1"/>
  <c r="Y46" i="1"/>
  <c r="V50" i="1"/>
  <c r="Y53" i="1"/>
  <c r="Y49" i="1"/>
  <c r="Y52" i="1"/>
  <c r="Y48" i="1"/>
  <c r="V53" i="1"/>
  <c r="V52" i="1"/>
  <c r="Z52" i="1" l="1"/>
  <c r="Z48" i="1"/>
  <c r="S48" i="1" s="1"/>
  <c r="Z49" i="1"/>
  <c r="S49" i="1" s="1"/>
  <c r="Z39" i="1"/>
  <c r="S39" i="1" s="1"/>
  <c r="Z50" i="1"/>
  <c r="Z51" i="1"/>
  <c r="Z43" i="1"/>
  <c r="Z40" i="1"/>
  <c r="S40" i="1" s="1"/>
  <c r="Z37" i="1"/>
  <c r="S37" i="1" s="1"/>
  <c r="Z36" i="1"/>
  <c r="S36" i="1" s="1"/>
  <c r="Z23" i="1"/>
  <c r="S23" i="1" s="1"/>
  <c r="Z41" i="1"/>
  <c r="S41" i="1" s="1"/>
  <c r="Z46" i="1"/>
  <c r="S46" i="1" s="1"/>
  <c r="Z45" i="1"/>
  <c r="S45" i="1" s="1"/>
  <c r="Z42" i="1"/>
  <c r="S42" i="1" s="1"/>
  <c r="Z53" i="1"/>
  <c r="Z55" i="1"/>
  <c r="S55" i="1" s="1"/>
  <c r="Z54" i="1"/>
  <c r="S54" i="1" s="1"/>
  <c r="Z16" i="1"/>
  <c r="Z15" i="1"/>
  <c r="S15" i="1" s="1"/>
  <c r="Z24" i="1"/>
  <c r="S24" i="1" s="1"/>
  <c r="Z17" i="1"/>
  <c r="S17" i="1" s="1"/>
  <c r="Z25" i="1"/>
  <c r="S25" i="1" s="1"/>
  <c r="Z19" i="1"/>
  <c r="S19" i="1" s="1"/>
  <c r="Z33" i="1"/>
  <c r="S33" i="1" s="1"/>
  <c r="Z18" i="1"/>
  <c r="S18" i="1" s="1"/>
  <c r="Z27" i="1"/>
  <c r="S27" i="1" s="1"/>
  <c r="Z31" i="1"/>
  <c r="S31" i="1" s="1"/>
  <c r="Z28" i="1"/>
  <c r="S28" i="1" s="1"/>
  <c r="Z20" i="1"/>
  <c r="S20" i="1" s="1"/>
  <c r="Z22" i="1"/>
  <c r="S22" i="1" s="1"/>
  <c r="Z35" i="1"/>
  <c r="Z34" i="1"/>
  <c r="S34" i="1" s="1"/>
  <c r="Z32" i="1"/>
  <c r="S32" i="1" s="1"/>
  <c r="Z29" i="1"/>
  <c r="Z26" i="1"/>
  <c r="S26" i="1" s="1"/>
  <c r="Z30" i="1"/>
  <c r="S30" i="1" s="1"/>
  <c r="Z21" i="1"/>
  <c r="S21" i="1" s="1"/>
  <c r="Z38" i="1"/>
  <c r="Z47" i="1"/>
  <c r="S47" i="1" s="1"/>
  <c r="Z44" i="1"/>
  <c r="Z87" i="1"/>
  <c r="S87" i="1" s="1"/>
  <c r="Z85" i="1"/>
  <c r="S85" i="1" s="1"/>
  <c r="Z86" i="1"/>
  <c r="U15" i="1" l="1"/>
  <c r="V15" i="1" s="1"/>
  <c r="T15" i="1"/>
  <c r="U55" i="1"/>
  <c r="V55" i="1" s="1"/>
  <c r="T55" i="1"/>
  <c r="U54" i="1"/>
  <c r="V54" i="1" s="1"/>
  <c r="T54" i="1"/>
  <c r="U40" i="1"/>
  <c r="V40" i="1" s="1"/>
  <c r="T19" i="1"/>
  <c r="T31" i="1"/>
  <c r="U18" i="1"/>
  <c r="V18" i="1" s="1"/>
  <c r="U33" i="1"/>
  <c r="V33" i="1" s="1"/>
  <c r="T42" i="1"/>
  <c r="T41" i="1"/>
  <c r="T37" i="1"/>
  <c r="T21" i="1"/>
  <c r="S86" i="1"/>
  <c r="T86" i="1" s="1"/>
  <c r="T48" i="1"/>
  <c r="U34" i="1"/>
  <c r="V34" i="1" s="1"/>
  <c r="T32" i="1"/>
  <c r="U27" i="1"/>
  <c r="V27" i="1" s="1"/>
  <c r="T23" i="1"/>
  <c r="T17" i="1"/>
  <c r="T29" i="1"/>
  <c r="T45" i="1"/>
  <c r="U20" i="1"/>
  <c r="V20" i="1" s="1"/>
  <c r="T36" i="1"/>
  <c r="U44" i="1"/>
  <c r="V44" i="1" s="1"/>
  <c r="T47" i="1"/>
  <c r="U46" i="1"/>
  <c r="V46" i="1" s="1"/>
  <c r="T16" i="1"/>
  <c r="T49" i="1"/>
  <c r="U22" i="1"/>
  <c r="V22" i="1" s="1"/>
  <c r="U26" i="1"/>
  <c r="V26" i="1" s="1"/>
  <c r="U35" i="1"/>
  <c r="V35" i="1" s="1"/>
  <c r="T25" i="1"/>
  <c r="T38" i="1"/>
  <c r="U28" i="1"/>
  <c r="V28" i="1" s="1"/>
  <c r="T24" i="1"/>
  <c r="T87" i="1"/>
  <c r="U87" i="1"/>
  <c r="V87" i="1" s="1"/>
  <c r="T30" i="1"/>
  <c r="T43" i="1"/>
  <c r="U43" i="1"/>
  <c r="V43" i="1" s="1"/>
  <c r="T85" i="1"/>
  <c r="U85" i="1"/>
  <c r="V85" i="1" s="1"/>
  <c r="T18" i="1" l="1"/>
  <c r="T40" i="1"/>
  <c r="U31" i="1"/>
  <c r="V31" i="1" s="1"/>
  <c r="U42" i="1"/>
  <c r="V42" i="1" s="1"/>
  <c r="U19" i="1"/>
  <c r="V19" i="1" s="1"/>
  <c r="U41" i="1"/>
  <c r="V41" i="1" s="1"/>
  <c r="T33" i="1"/>
  <c r="U37" i="1"/>
  <c r="V37" i="1" s="1"/>
  <c r="U21" i="1"/>
  <c r="V21" i="1" s="1"/>
  <c r="U23" i="1"/>
  <c r="V23" i="1" s="1"/>
  <c r="T27" i="1"/>
  <c r="U86" i="1"/>
  <c r="V86" i="1" s="1"/>
  <c r="T34" i="1"/>
  <c r="U17" i="1"/>
  <c r="V17" i="1" s="1"/>
  <c r="U48" i="1"/>
  <c r="V48" i="1" s="1"/>
  <c r="U29" i="1"/>
  <c r="V29" i="1" s="1"/>
  <c r="U25" i="1"/>
  <c r="V25" i="1" s="1"/>
  <c r="T28" i="1"/>
  <c r="U38" i="1"/>
  <c r="V38" i="1" s="1"/>
  <c r="U47" i="1"/>
  <c r="V47" i="1" s="1"/>
  <c r="U45" i="1"/>
  <c r="V45" i="1" s="1"/>
  <c r="T20" i="1"/>
  <c r="U32" i="1"/>
  <c r="V32" i="1" s="1"/>
  <c r="T22" i="1"/>
  <c r="U24" i="1"/>
  <c r="V24" i="1" s="1"/>
  <c r="U49" i="1"/>
  <c r="V49" i="1" s="1"/>
  <c r="T44" i="1"/>
  <c r="U36" i="1"/>
  <c r="V36" i="1" s="1"/>
  <c r="T35" i="1"/>
  <c r="U16" i="1"/>
  <c r="V16" i="1" s="1"/>
  <c r="T26" i="1"/>
  <c r="U30" i="1"/>
  <c r="V30" i="1" s="1"/>
  <c r="T46" i="1"/>
  <c r="O9" i="1"/>
  <c r="P9" i="1" s="1"/>
  <c r="U39" i="1"/>
  <c r="V39" i="1" s="1"/>
  <c r="T39" i="1"/>
  <c r="O11" i="1"/>
  <c r="P11" i="1" s="1"/>
  <c r="O10" i="1"/>
  <c r="P10" i="1" s="1"/>
</calcChain>
</file>

<file path=xl/sharedStrings.xml><?xml version="1.0" encoding="utf-8"?>
<sst xmlns="http://schemas.openxmlformats.org/spreadsheetml/2006/main" count="364" uniqueCount="177">
  <si>
    <t>序号</t>
  </si>
  <si>
    <t>1.战力每两周更新一次，阵容不同会有所浮动</t>
  </si>
  <si>
    <t>礼包扣除DKP值</t>
  </si>
  <si>
    <t>数量</t>
  </si>
  <si>
    <t>已发放数量</t>
  </si>
  <si>
    <t>剩余数量</t>
  </si>
  <si>
    <t>总积分</t>
  </si>
  <si>
    <t>传说</t>
  </si>
  <si>
    <t>英雄</t>
  </si>
  <si>
    <t>精英</t>
  </si>
  <si>
    <t>黄色标记格子需要输入</t>
  </si>
  <si>
    <t>绿色格子为自动计算</t>
  </si>
  <si>
    <t>统计时间</t>
  </si>
  <si>
    <t>起</t>
  </si>
  <si>
    <t>单次忍战积分</t>
  </si>
  <si>
    <t>止</t>
  </si>
  <si>
    <t>忍战全勤额外积分</t>
  </si>
  <si>
    <t>本周忍战全勤次数</t>
  </si>
  <si>
    <t>本周忍战为</t>
  </si>
  <si>
    <t>成员名字</t>
  </si>
  <si>
    <t>战力</t>
  </si>
  <si>
    <t>贡献值/周</t>
  </si>
  <si>
    <t>周贡献</t>
  </si>
  <si>
    <t>本周礼包</t>
  </si>
  <si>
    <t>礼包扣除DKP</t>
  </si>
  <si>
    <t>DKP结余</t>
  </si>
  <si>
    <t>备注</t>
  </si>
  <si>
    <t>备注2</t>
  </si>
  <si>
    <t>青衫</t>
  </si>
  <si>
    <t>无羡</t>
  </si>
  <si>
    <t>神域メ万丈红尘</t>
  </si>
  <si>
    <t>晚一</t>
  </si>
  <si>
    <t>无式</t>
  </si>
  <si>
    <t>宇智波斑</t>
  </si>
  <si>
    <t>败家の喵了个咪</t>
  </si>
  <si>
    <t>文浩</t>
  </si>
  <si>
    <t>拾壹月拾壹</t>
  </si>
  <si>
    <t>胖纸</t>
  </si>
  <si>
    <t>嘿嘿嘿</t>
  </si>
  <si>
    <t>Ms、音梵塔</t>
  </si>
  <si>
    <t>零点</t>
  </si>
  <si>
    <t>血魂</t>
  </si>
  <si>
    <t>风起时</t>
  </si>
  <si>
    <t>}蟑螂恶霸{</t>
  </si>
  <si>
    <t>失研患者</t>
  </si>
  <si>
    <t>旗木卡卡西づ</t>
  </si>
  <si>
    <t>佩恩天道づ</t>
  </si>
  <si>
    <t>过路人停驻</t>
  </si>
  <si>
    <t>神域メ诗航</t>
  </si>
  <si>
    <t>小宫山云空</t>
  </si>
  <si>
    <t>神域メ宗麟</t>
  </si>
  <si>
    <t>月光の胜者达</t>
  </si>
  <si>
    <t>冰凌神雨</t>
  </si>
  <si>
    <t>神域メ空空</t>
  </si>
  <si>
    <t>神域メ快乐</t>
  </si>
  <si>
    <t>Mythe</t>
  </si>
  <si>
    <t>六道轮回</t>
  </si>
  <si>
    <t>神域メ影皇</t>
  </si>
  <si>
    <t>神域メ橙子</t>
  </si>
  <si>
    <t>神域メ咸湿老</t>
  </si>
  <si>
    <t>服部鬼</t>
  </si>
  <si>
    <t>神域メ空调</t>
  </si>
  <si>
    <t>烟头</t>
  </si>
  <si>
    <t>老胡</t>
  </si>
  <si>
    <t>一不小心</t>
  </si>
  <si>
    <t>一条仙菊</t>
  </si>
  <si>
    <t>乌漆嘛黑</t>
  </si>
  <si>
    <t>一汪薄青</t>
  </si>
  <si>
    <t>吉吉</t>
  </si>
  <si>
    <t>千手柱间づ</t>
  </si>
  <si>
    <t>宇智波、鸿</t>
  </si>
  <si>
    <t>飘逸的白</t>
  </si>
  <si>
    <t>樱花じve晨曦</t>
  </si>
  <si>
    <t>神域メ斋藤</t>
  </si>
  <si>
    <t>神域メ舔蒂</t>
  </si>
  <si>
    <t>百目鬼城夜</t>
  </si>
  <si>
    <t>神域メ大仲马</t>
  </si>
  <si>
    <t>一诺千金</t>
  </si>
  <si>
    <t>LeRabbit</t>
  </si>
  <si>
    <t>神域メ降临</t>
  </si>
  <si>
    <t>虎</t>
  </si>
  <si>
    <t>咸鱼扶不上墙</t>
  </si>
  <si>
    <t>木叶の白牙</t>
  </si>
  <si>
    <t>小李马路</t>
  </si>
  <si>
    <t>菜农无羡</t>
  </si>
  <si>
    <t>不知火大</t>
  </si>
  <si>
    <t>叶树落</t>
  </si>
  <si>
    <t>神域メ墨殇</t>
  </si>
  <si>
    <t>神域メ基德</t>
  </si>
  <si>
    <t>神、夜月</t>
  </si>
  <si>
    <t>积分</t>
  </si>
  <si>
    <t>种类</t>
  </si>
  <si>
    <t>没有忍战，无法分包</t>
  </si>
  <si>
    <t>参战与否</t>
  </si>
  <si>
    <t>战力积分</t>
  </si>
  <si>
    <t>战力分布</t>
  </si>
  <si>
    <t>肝琦</t>
  </si>
  <si>
    <t>岸本齐史</t>
  </si>
  <si>
    <t>神域メ宠物</t>
  </si>
  <si>
    <t>天龙.旒笙</t>
  </si>
  <si>
    <t>记忆中的你</t>
  </si>
  <si>
    <t>礼包积分计算</t>
  </si>
  <si>
    <t>单价（元宝）</t>
  </si>
  <si>
    <t>封印</t>
  </si>
  <si>
    <t>通灵</t>
  </si>
  <si>
    <t>原石</t>
  </si>
  <si>
    <t>小计</t>
  </si>
  <si>
    <t>消耗积分</t>
  </si>
  <si>
    <t>跨服</t>
  </si>
  <si>
    <t>元宝</t>
  </si>
  <si>
    <t>本服</t>
  </si>
  <si>
    <t>积分原则</t>
  </si>
  <si>
    <t>参加忍战一次，积2分</t>
  </si>
  <si>
    <t>本周忍战全勤，额外活动2分</t>
  </si>
  <si>
    <t>战力对应积分计算。当前战力，除以10万，取整数，再减去3。距离65万战力，65/10-3 = 3积分</t>
  </si>
  <si>
    <t>获得礼包时扣除相应的积分。</t>
  </si>
  <si>
    <t>发放礼包时不因礼包颜色而有区别，当前分高者优先获得橙色，橙色发放完，发紫色，直至没有礼包。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</si>
  <si>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</si>
  <si>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</si>
  <si>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</si>
  <si>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</si>
  <si>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</si>
  <si>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</si>
  <si>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t>分组</t>
  </si>
  <si>
    <t>阵容</t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</si>
  <si>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</si>
  <si>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</si>
  <si>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</si>
  <si>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</si>
  <si>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7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</si>
  <si>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</si>
  <si>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9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</si>
  <si>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</si>
  <si>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8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</si>
  <si>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3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</si>
  <si>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</si>
  <si>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</si>
  <si>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</si>
  <si>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</si>
  <si>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</si>
  <si>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1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</si>
  <si>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6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</si>
  <si>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</si>
  <si>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5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</si>
  <si>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</si>
  <si>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r>
      <rPr>
        <b/>
        <sz val="18"/>
        <color rgb="FFFF0000"/>
        <rFont val="Calibri"/>
        <family val="2"/>
      </rPr>
      <t>4</t>
    </r>
    <r>
      <rPr>
        <sz val="11"/>
        <color theme="1"/>
        <rFont val="Calibri"/>
        <family val="2"/>
      </rPr>
      <t>分</t>
    </r>
  </si>
  <si>
    <r>
      <rPr>
        <sz val="11"/>
        <color theme="1"/>
        <rFont val="Calibri"/>
        <family val="2"/>
      </rPr>
      <t>第</t>
    </r>
    <r>
      <rPr>
        <b/>
        <sz val="16"/>
        <color rgb="FFFF0000"/>
        <rFont val="Calibri"/>
        <family val="2"/>
      </rPr>
      <t>2</t>
    </r>
    <r>
      <rPr>
        <sz val="11"/>
        <color theme="1"/>
        <rFont val="Calibri"/>
        <family val="2"/>
      </rPr>
      <t>组</t>
    </r>
  </si>
  <si>
    <t>丶米奈希尔丶</t>
  </si>
  <si>
    <t>小号？</t>
  </si>
  <si>
    <t>年</t>
  </si>
  <si>
    <t>月</t>
  </si>
  <si>
    <t>日</t>
  </si>
  <si>
    <t>战力 （万）</t>
  </si>
  <si>
    <t>参战次数</t>
  </si>
  <si>
    <t>Rank function</t>
  </si>
  <si>
    <t>忍战全勤积分</t>
  </si>
  <si>
    <t>忍战参战积分</t>
  </si>
  <si>
    <t>Rank Value</t>
  </si>
  <si>
    <t>上周积分结余</t>
  </si>
  <si>
    <t>本周积分值</t>
  </si>
  <si>
    <t>积分小计</t>
  </si>
  <si>
    <t>7.小号不计得分，默认发放蓝包</t>
  </si>
  <si>
    <t>6.奖励得分包含并不限于：分包统计，接引新人。详情见备注</t>
  </si>
  <si>
    <t>2.战力得分按照比例分配。10%小伙伴获得12分。20%小伙伴获得10分。25%小伙伴获得8分。30%小伙伴获得6分。15%小伙伴获得4分</t>
  </si>
  <si>
    <t>神域メ安安</t>
  </si>
  <si>
    <t>4.参加忍战，本服单场获得2分，跨服单场获得3分。</t>
  </si>
  <si>
    <t>3.组织战全勤，本服获得额外积分3分，跨服获得额外积分4分</t>
  </si>
  <si>
    <t>5.分包总分=本周得分+上周得分。本周得分=参战得分+战力+奖励得分。参战得分= 组织成员本周参战次数*参战积分。</t>
  </si>
  <si>
    <t>人数</t>
  </si>
  <si>
    <t>累加人数</t>
  </si>
  <si>
    <t>幼稚园学渣</t>
  </si>
  <si>
    <t>逆转</t>
  </si>
  <si>
    <t>幻灵</t>
  </si>
  <si>
    <t>火呼吸</t>
  </si>
  <si>
    <t>炎界</t>
  </si>
  <si>
    <t>宇左八美</t>
  </si>
  <si>
    <t>忍界之神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</si>
</sst>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Arial"/>
      <family val="2"/>
    </font>
    <font>
      <b/>
      <sz val="18"/>
      <color rgb="FFFF0000"/>
      <name val="Calibri"/>
      <family val="2"/>
    </font>
    <font>
      <b/>
      <sz val="16"/>
      <color rgb="FFFF0000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0" tint="-4.9989318521683403E-2"/>
      <name val="Arial"/>
      <family val="2"/>
    </font>
    <font>
      <sz val="11"/>
      <color theme="0" tint="-4.9989318521683403E-2"/>
      <name val="Calibri"/>
      <family val="2"/>
    </font>
    <font>
      <sz val="11"/>
      <color theme="0" tint="-0.14999847407452621"/>
      <name val="Calibri"/>
      <family val="2"/>
    </font>
    <font>
      <sz val="11"/>
      <color theme="0" tint="-0.1499984740745262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4B083"/>
        <bgColor rgb="FFF4B083"/>
      </patternFill>
    </fill>
    <fill>
      <patternFill patternType="solid">
        <fgColor rgb="FFCC66FF"/>
        <bgColor rgb="FFCC66FF"/>
      </patternFill>
    </fill>
    <fill>
      <patternFill patternType="solid">
        <fgColor rgb="FF00B0F0"/>
        <bgColor rgb="FF00B0F0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0000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medium">
        <color rgb="FFFF0000"/>
      </right>
      <top style="thin">
        <color rgb="FFB2B2B2"/>
      </top>
      <bottom style="medium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B2B2B2"/>
      </right>
      <top/>
      <bottom/>
      <diagonal/>
    </border>
  </borders>
  <cellStyleXfs count="1">
    <xf numFmtId="0" fontId="0" fillId="0" borderId="0"/>
  </cellStyleXfs>
  <cellXfs count="90">
    <xf numFmtId="0" fontId="0" fillId="0" borderId="0" xfId="0" applyFont="1" applyAlignment="1"/>
    <xf numFmtId="0" fontId="1" fillId="0" borderId="0" xfId="0" applyFont="1"/>
    <xf numFmtId="0" fontId="2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7" borderId="0" xfId="0" applyFont="1" applyFill="1"/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8" borderId="6" xfId="0" applyFont="1" applyFill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/>
    <xf numFmtId="0" fontId="1" fillId="0" borderId="0" xfId="0" applyFont="1" applyAlignment="1">
      <alignment horizontal="center"/>
    </xf>
    <xf numFmtId="9" fontId="1" fillId="0" borderId="0" xfId="0" applyNumberFormat="1" applyFont="1"/>
    <xf numFmtId="0" fontId="3" fillId="9" borderId="7" xfId="0" applyFont="1" applyFill="1" applyBorder="1" applyAlignment="1">
      <alignment horizontal="left"/>
    </xf>
    <xf numFmtId="0" fontId="2" fillId="2" borderId="8" xfId="0" applyFont="1" applyFill="1" applyBorder="1"/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0" borderId="7" xfId="0" applyFont="1" applyFill="1" applyBorder="1" applyAlignment="1"/>
    <xf numFmtId="0" fontId="2" fillId="0" borderId="23" xfId="0" applyFont="1" applyBorder="1"/>
    <xf numFmtId="0" fontId="2" fillId="0" borderId="24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22" xfId="0" applyFont="1" applyBorder="1"/>
    <xf numFmtId="0" fontId="1" fillId="0" borderId="22" xfId="0" applyFont="1" applyFill="1" applyBorder="1" applyAlignment="1"/>
    <xf numFmtId="0" fontId="0" fillId="0" borderId="3" xfId="0" applyBorder="1"/>
    <xf numFmtId="0" fontId="9" fillId="0" borderId="0" xfId="0" applyFont="1" applyAlignment="1"/>
    <xf numFmtId="0" fontId="10" fillId="0" borderId="6" xfId="0" applyFont="1" applyBorder="1"/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/>
    <xf numFmtId="0" fontId="2" fillId="2" borderId="22" xfId="0" applyFont="1" applyFill="1" applyBorder="1"/>
    <xf numFmtId="0" fontId="11" fillId="0" borderId="0" xfId="0" applyFont="1"/>
    <xf numFmtId="0" fontId="11" fillId="0" borderId="0" xfId="0" applyFont="1" applyAlignment="1"/>
    <xf numFmtId="0" fontId="12" fillId="0" borderId="0" xfId="0" applyFont="1" applyAlignment="1"/>
    <xf numFmtId="0" fontId="0" fillId="0" borderId="22" xfId="0" applyFont="1" applyBorder="1" applyAlignment="1"/>
    <xf numFmtId="0" fontId="1" fillId="0" borderId="22" xfId="0" applyFont="1" applyBorder="1"/>
    <xf numFmtId="0" fontId="2" fillId="0" borderId="22" xfId="0" applyFont="1" applyBorder="1" applyAlignment="1">
      <alignment horizontal="center"/>
    </xf>
    <xf numFmtId="0" fontId="2" fillId="3" borderId="22" xfId="0" applyFont="1" applyFill="1" applyBorder="1"/>
    <xf numFmtId="0" fontId="2" fillId="0" borderId="22" xfId="0" applyFont="1" applyBorder="1" applyAlignment="1">
      <alignment horizontal="center" vertical="center"/>
    </xf>
    <xf numFmtId="0" fontId="2" fillId="4" borderId="22" xfId="0" applyFont="1" applyFill="1" applyBorder="1"/>
    <xf numFmtId="0" fontId="2" fillId="5" borderId="22" xfId="0" applyFont="1" applyFill="1" applyBorder="1"/>
    <xf numFmtId="0" fontId="2" fillId="6" borderId="22" xfId="0" applyFont="1" applyFill="1" applyBorder="1"/>
    <xf numFmtId="0" fontId="8" fillId="0" borderId="22" xfId="0" applyFont="1" applyBorder="1"/>
    <xf numFmtId="0" fontId="3" fillId="9" borderId="2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/>
    <xf numFmtId="0" fontId="1" fillId="0" borderId="6" xfId="0" applyFont="1" applyBorder="1"/>
    <xf numFmtId="0" fontId="1" fillId="0" borderId="0" xfId="0" applyFont="1" applyBorder="1"/>
    <xf numFmtId="0" fontId="0" fillId="0" borderId="0" xfId="0" applyFont="1" applyAlignment="1"/>
    <xf numFmtId="0" fontId="0" fillId="0" borderId="0" xfId="0" applyBorder="1"/>
    <xf numFmtId="0" fontId="0" fillId="0" borderId="3" xfId="0" applyFont="1" applyBorder="1" applyAlignment="1"/>
    <xf numFmtId="0" fontId="0" fillId="0" borderId="0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2" fillId="10" borderId="5" xfId="0" applyFont="1" applyFill="1" applyBorder="1" applyAlignment="1"/>
    <xf numFmtId="0" fontId="2" fillId="10" borderId="22" xfId="0" applyFont="1" applyFill="1" applyBorder="1"/>
    <xf numFmtId="0" fontId="1" fillId="0" borderId="3" xfId="0" applyFont="1" applyFill="1" applyBorder="1" applyAlignment="1"/>
    <xf numFmtId="0" fontId="1" fillId="2" borderId="25" xfId="0" applyFont="1" applyFill="1" applyBorder="1" applyAlignment="1"/>
    <xf numFmtId="0" fontId="1" fillId="0" borderId="13" xfId="0" applyFont="1" applyBorder="1"/>
    <xf numFmtId="0" fontId="1" fillId="0" borderId="2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2" fillId="0" borderId="12" xfId="0" applyFont="1" applyBorder="1" applyAlignment="1">
      <alignment horizontal="center" vertical="center"/>
    </xf>
    <xf numFmtId="0" fontId="4" fillId="0" borderId="14" xfId="0" applyFont="1" applyBorder="1"/>
    <xf numFmtId="0" fontId="4" fillId="0" borderId="17" xfId="0" applyFont="1" applyBorder="1"/>
    <xf numFmtId="0" fontId="2" fillId="0" borderId="13" xfId="0" applyFont="1" applyBorder="1" applyAlignment="1">
      <alignment horizontal="center" vertical="center"/>
    </xf>
    <xf numFmtId="0" fontId="4" fillId="0" borderId="15" xfId="0" applyFont="1" applyBorder="1"/>
    <xf numFmtId="0" fontId="4" fillId="0" borderId="18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" xfId="0" builtinId="0"/>
  </cellStyles>
  <dxfs count="32">
    <dxf>
      <font>
        <color rgb="FF9C0006"/>
      </font>
      <fill>
        <patternFill>
          <bgColor rgb="FFFFC7CE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b val="0"/>
        <i val="0"/>
        <color theme="1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ont>
        <b/>
        <i val="0"/>
        <color theme="0" tint="-0.34998626667073579"/>
      </font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  <color auto="1"/>
      </font>
      <fill>
        <patternFill>
          <bgColor rgb="FFAE78D6"/>
        </patternFill>
      </fill>
    </dxf>
    <dxf>
      <font>
        <b/>
        <i val="0"/>
        <color auto="1"/>
      </font>
      <fill>
        <patternFill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ont>
        <b/>
        <i val="0"/>
      </font>
      <fill>
        <patternFill patternType="none">
          <fgColor indexed="64"/>
          <bgColor auto="1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7F7F7F"/>
          <bgColor rgb="FF7F7F7F"/>
        </patternFill>
      </fill>
    </dxf>
    <dxf>
      <font>
        <color theme="0"/>
      </font>
      <fill>
        <patternFill patternType="solid">
          <fgColor rgb="FF7F7F7F"/>
          <bgColor theme="0"/>
        </patternFill>
      </fill>
    </dxf>
    <dxf>
      <fill>
        <patternFill patternType="solid">
          <fgColor rgb="FF7F7F7F"/>
          <bgColor rgb="FF7F7F7F"/>
        </patternFill>
      </fill>
    </dxf>
  </dxfs>
  <tableStyles count="0" defaultTableStyle="TableStyleMedium2" defaultPivotStyle="PivotStyleLight16"/>
  <colors>
    <mruColors>
      <color rgb="FFAE78D6"/>
      <color rgb="FF9F5FC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zh-CN" altLang="en-US" b="0" i="0">
                <a:solidFill>
                  <a:srgbClr val="757575"/>
                </a:solidFill>
                <a:latin typeface="+mn-lt"/>
              </a:rPr>
              <a:t>战力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val>
            <c:numRef>
              <c:f>战力表!$B$3:$B$35</c:f>
              <c:numCache>
                <c:formatCode>General</c:formatCode>
                <c:ptCount val="33"/>
                <c:pt idx="0">
                  <c:v>3530000</c:v>
                </c:pt>
                <c:pt idx="1">
                  <c:v>2530000</c:v>
                </c:pt>
                <c:pt idx="2">
                  <c:v>3200000</c:v>
                </c:pt>
                <c:pt idx="3">
                  <c:v>2480000</c:v>
                </c:pt>
                <c:pt idx="4">
                  <c:v>2570000</c:v>
                </c:pt>
                <c:pt idx="5">
                  <c:v>3110000</c:v>
                </c:pt>
                <c:pt idx="6">
                  <c:v>2640000</c:v>
                </c:pt>
                <c:pt idx="7">
                  <c:v>3030000</c:v>
                </c:pt>
                <c:pt idx="8">
                  <c:v>2420000</c:v>
                </c:pt>
                <c:pt idx="9">
                  <c:v>2990000</c:v>
                </c:pt>
                <c:pt idx="10">
                  <c:v>2890000</c:v>
                </c:pt>
                <c:pt idx="11">
                  <c:v>3030000</c:v>
                </c:pt>
                <c:pt idx="12">
                  <c:v>2890000</c:v>
                </c:pt>
                <c:pt idx="13">
                  <c:v>2850000</c:v>
                </c:pt>
                <c:pt idx="14">
                  <c:v>2045784</c:v>
                </c:pt>
                <c:pt idx="15">
                  <c:v>2650000</c:v>
                </c:pt>
                <c:pt idx="16">
                  <c:v>2500000</c:v>
                </c:pt>
                <c:pt idx="17">
                  <c:v>2100000</c:v>
                </c:pt>
                <c:pt idx="18">
                  <c:v>2420000</c:v>
                </c:pt>
                <c:pt idx="19">
                  <c:v>1970000</c:v>
                </c:pt>
                <c:pt idx="20">
                  <c:v>1697897</c:v>
                </c:pt>
                <c:pt idx="21">
                  <c:v>2080000</c:v>
                </c:pt>
                <c:pt idx="22">
                  <c:v>1840000</c:v>
                </c:pt>
                <c:pt idx="23">
                  <c:v>1600279</c:v>
                </c:pt>
                <c:pt idx="24">
                  <c:v>400000</c:v>
                </c:pt>
                <c:pt idx="25">
                  <c:v>400000</c:v>
                </c:pt>
                <c:pt idx="26">
                  <c:v>1870000</c:v>
                </c:pt>
                <c:pt idx="27">
                  <c:v>1570000</c:v>
                </c:pt>
                <c:pt idx="28">
                  <c:v>1346453</c:v>
                </c:pt>
                <c:pt idx="29">
                  <c:v>1170830</c:v>
                </c:pt>
                <c:pt idx="30">
                  <c:v>400000</c:v>
                </c:pt>
                <c:pt idx="31">
                  <c:v>1210000</c:v>
                </c:pt>
                <c:pt idx="32">
                  <c:v>1290000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38B-431C-83D5-21CA547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2652127"/>
        <c:axId val="1585435898"/>
      </c:barChart>
      <c:catAx>
        <c:axId val="2526521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NZ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85435898"/>
        <c:crosses val="autoZero"/>
        <c:auto val="1"/>
        <c:lblAlgn val="ctr"/>
        <c:lblOffset val="100"/>
        <c:noMultiLvlLbl val="1"/>
      </c:catAx>
      <c:valAx>
        <c:axId val="15854358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zh-CN" altLang="en-US" b="0" i="0">
                    <a:solidFill>
                      <a:srgbClr val="000000"/>
                    </a:solidFill>
                    <a:latin typeface="+mn-lt"/>
                  </a:rPr>
                  <a:t>战力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52652127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57150</xdr:colOff>
      <xdr:row>2</xdr:row>
      <xdr:rowOff>123825</xdr:rowOff>
    </xdr:from>
    <xdr:ext cx="5715000" cy="3533775"/>
    <xdr:graphicFrame macro="">
      <xdr:nvGraphicFramePr>
        <xdr:cNvPr id="1446191343" name="Chart 1" title="Chart">
          <a:extLst>
            <a:ext uri="{FF2B5EF4-FFF2-40B4-BE49-F238E27FC236}">
              <a16:creationId xmlns:a16="http://schemas.microsoft.com/office/drawing/2014/main" id="{00000000-0008-0000-0300-0000EF20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njia/&#24525;&#25112;&#31036;&#21253;/2020/023%20-%203.2%20-%203.8_&#24525;&#25112;&#31036;&#21253;%20-%20&#26412;&#2638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组织分包"/>
      <sheetName val="List"/>
      <sheetName val="战力表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F992"/>
  <sheetViews>
    <sheetView tabSelected="1" topLeftCell="A4" zoomScale="95" zoomScaleNormal="95" workbookViewId="0">
      <selection activeCell="T54" sqref="T54"/>
    </sheetView>
  </sheetViews>
  <sheetFormatPr defaultColWidth="12.625" defaultRowHeight="15" customHeight="1" x14ac:dyDescent="0.2"/>
  <cols>
    <col min="1" max="1" width="9.875" customWidth="1"/>
    <col min="2" max="2" width="5.625" customWidth="1"/>
    <col min="3" max="3" width="4.75" bestFit="1" customWidth="1"/>
    <col min="4" max="4" width="16" customWidth="1"/>
    <col min="5" max="5" width="2.875" hidden="1" customWidth="1"/>
    <col min="6" max="6" width="9.625" customWidth="1"/>
    <col min="7" max="7" width="3.375" hidden="1" customWidth="1"/>
    <col min="8" max="8" width="7.125" customWidth="1"/>
    <col min="9" max="9" width="9.125" hidden="1" customWidth="1"/>
    <col min="10" max="10" width="2.5" hidden="1" customWidth="1"/>
    <col min="11" max="11" width="7.75" customWidth="1"/>
    <col min="12" max="12" width="12.125" bestFit="1" customWidth="1"/>
    <col min="13" max="13" width="18" customWidth="1"/>
    <col min="14" max="14" width="7.75" customWidth="1"/>
    <col min="15" max="15" width="1.5" hidden="1" customWidth="1"/>
    <col min="16" max="16" width="11.625" customWidth="1"/>
    <col min="17" max="18" width="10.375" customWidth="1"/>
    <col min="19" max="19" width="2.25" customWidth="1"/>
    <col min="20" max="20" width="16" customWidth="1"/>
    <col min="21" max="21" width="13.125" customWidth="1"/>
    <col min="22" max="22" width="7.75" customWidth="1"/>
    <col min="23" max="23" width="23.75" customWidth="1"/>
    <col min="24" max="24" width="18.5" customWidth="1"/>
    <col min="25" max="25" width="10.875" customWidth="1"/>
    <col min="26" max="26" width="12" customWidth="1"/>
    <col min="27" max="28" width="7.75" customWidth="1"/>
  </cols>
  <sheetData>
    <row r="1" spans="1:28" ht="14.25" customHeight="1" x14ac:dyDescent="0.25">
      <c r="A1" s="1" t="s">
        <v>0</v>
      </c>
      <c r="B1" s="2">
        <v>46</v>
      </c>
      <c r="D1" s="78" t="s">
        <v>1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Y1" s="41" t="s">
        <v>157</v>
      </c>
      <c r="AA1" s="40" t="s">
        <v>6</v>
      </c>
    </row>
    <row r="2" spans="1:28" ht="28.5" customHeight="1" x14ac:dyDescent="0.25">
      <c r="D2" s="79" t="s">
        <v>163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Y2" s="42">
        <f>N9+1</f>
        <v>9</v>
      </c>
      <c r="AA2" s="40">
        <f>M9*N9</f>
        <v>176</v>
      </c>
    </row>
    <row r="3" spans="1:28" ht="14.25" customHeight="1" x14ac:dyDescent="0.25">
      <c r="D3" s="78" t="s">
        <v>166</v>
      </c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Y3" s="42">
        <f>N10+Y2</f>
        <v>17</v>
      </c>
      <c r="AA3" s="40">
        <f>M10*N10</f>
        <v>104</v>
      </c>
    </row>
    <row r="4" spans="1:28" ht="14.25" customHeight="1" x14ac:dyDescent="0.25">
      <c r="D4" s="78" t="s">
        <v>165</v>
      </c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Y4" s="42">
        <f>N11+Y3</f>
        <v>23</v>
      </c>
      <c r="AA4" s="40">
        <f>M11*N11</f>
        <v>60</v>
      </c>
    </row>
    <row r="5" spans="1:28" ht="30.75" customHeight="1" x14ac:dyDescent="0.25">
      <c r="D5" s="79" t="s">
        <v>167</v>
      </c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U5" s="6"/>
      <c r="W5" s="4"/>
    </row>
    <row r="6" spans="1:28" ht="14.25" customHeight="1" x14ac:dyDescent="0.25">
      <c r="D6" s="81" t="s">
        <v>162</v>
      </c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78"/>
      <c r="T6" s="39"/>
      <c r="U6" s="75" t="s">
        <v>10</v>
      </c>
      <c r="V6" s="75"/>
      <c r="W6" s="4"/>
      <c r="X6" s="4"/>
    </row>
    <row r="7" spans="1:28" ht="14.25" customHeight="1" x14ac:dyDescent="0.25">
      <c r="D7" s="81" t="s">
        <v>161</v>
      </c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T7" s="50"/>
      <c r="U7" s="75" t="s">
        <v>11</v>
      </c>
      <c r="V7" s="75"/>
      <c r="W7" s="4"/>
      <c r="X7" s="4"/>
    </row>
    <row r="8" spans="1:28" ht="14.25" customHeight="1" x14ac:dyDescent="0.25">
      <c r="C8" t="s">
        <v>149</v>
      </c>
      <c r="D8" t="s">
        <v>150</v>
      </c>
      <c r="F8" t="s">
        <v>151</v>
      </c>
      <c r="G8" s="3"/>
      <c r="K8" s="43"/>
      <c r="L8" s="43"/>
      <c r="M8" s="44" t="s">
        <v>2</v>
      </c>
      <c r="N8" s="45" t="s">
        <v>3</v>
      </c>
      <c r="O8" s="40" t="s">
        <v>4</v>
      </c>
      <c r="P8" s="40" t="s">
        <v>5</v>
      </c>
      <c r="T8" s="3"/>
      <c r="U8" s="7"/>
      <c r="W8" s="4"/>
      <c r="X8" s="4"/>
      <c r="Y8" s="33"/>
      <c r="Z8" s="33"/>
      <c r="AA8" s="33"/>
      <c r="AB8" s="33"/>
    </row>
    <row r="9" spans="1:28" ht="14.25" customHeight="1" x14ac:dyDescent="0.25">
      <c r="A9" s="1" t="s">
        <v>12</v>
      </c>
      <c r="B9" s="1" t="s">
        <v>13</v>
      </c>
      <c r="C9" s="2">
        <v>2022</v>
      </c>
      <c r="D9" s="2">
        <v>6</v>
      </c>
      <c r="F9" s="2">
        <v>11</v>
      </c>
      <c r="G9" s="3"/>
      <c r="K9" s="44">
        <v>1</v>
      </c>
      <c r="L9" s="46" t="s">
        <v>7</v>
      </c>
      <c r="M9" s="47">
        <f>IF($C$12=1,礼包!N12,礼包!N6)</f>
        <v>22</v>
      </c>
      <c r="N9" s="39">
        <v>8</v>
      </c>
      <c r="O9" s="40">
        <f>COUNTIF($S$15:$S$271,1)</f>
        <v>8</v>
      </c>
      <c r="P9" s="40">
        <f>N9-O9</f>
        <v>0</v>
      </c>
      <c r="T9" s="31" t="s">
        <v>14</v>
      </c>
      <c r="U9" s="39">
        <f>IF($C$12=1,2,3)</f>
        <v>3</v>
      </c>
      <c r="W9" s="4"/>
      <c r="X9" s="4"/>
      <c r="Y9" s="33"/>
      <c r="Z9" s="33"/>
      <c r="AA9" s="33"/>
      <c r="AB9" s="33"/>
    </row>
    <row r="10" spans="1:28" ht="14.25" customHeight="1" x14ac:dyDescent="0.25">
      <c r="B10" s="1" t="s">
        <v>15</v>
      </c>
      <c r="C10" s="2">
        <v>2022</v>
      </c>
      <c r="D10" s="2">
        <v>6</v>
      </c>
      <c r="F10" s="2">
        <v>17</v>
      </c>
      <c r="G10" s="3"/>
      <c r="K10" s="44">
        <v>2</v>
      </c>
      <c r="L10" s="48" t="s">
        <v>8</v>
      </c>
      <c r="M10" s="47">
        <f>IF($C$12=1,礼包!N13,礼包!N7)</f>
        <v>13</v>
      </c>
      <c r="N10" s="39">
        <v>8</v>
      </c>
      <c r="O10" s="40">
        <f>COUNTIF($S$15:$S$271,2)</f>
        <v>8</v>
      </c>
      <c r="P10" s="40">
        <f>N10-O10</f>
        <v>0</v>
      </c>
      <c r="T10" s="31" t="s">
        <v>16</v>
      </c>
      <c r="U10" s="39">
        <f>IF($C$12=1,3,4)</f>
        <v>4</v>
      </c>
      <c r="W10" s="4"/>
      <c r="X10" s="4"/>
      <c r="Y10" s="33"/>
      <c r="Z10" s="33"/>
      <c r="AA10" s="33"/>
      <c r="AB10" s="33"/>
    </row>
    <row r="11" spans="1:28" ht="14.25" customHeight="1" x14ac:dyDescent="0.25">
      <c r="G11" s="3"/>
      <c r="K11" s="44">
        <v>3</v>
      </c>
      <c r="L11" s="49" t="s">
        <v>9</v>
      </c>
      <c r="M11" s="47">
        <f>IF($C$12=1,礼包!N14,礼包!N8)</f>
        <v>10</v>
      </c>
      <c r="N11" s="39">
        <v>6</v>
      </c>
      <c r="O11" s="40">
        <f>COUNTIF($S$15:$S$271,3)</f>
        <v>6</v>
      </c>
      <c r="P11" s="40">
        <f>N11-O11</f>
        <v>0</v>
      </c>
      <c r="T11" s="31" t="s">
        <v>17</v>
      </c>
      <c r="U11" s="71">
        <f>MAX($H$15:$H$153)</f>
        <v>3</v>
      </c>
      <c r="W11" s="4"/>
      <c r="X11" s="4"/>
      <c r="Y11" s="33"/>
      <c r="Z11" s="33"/>
      <c r="AA11" s="33"/>
      <c r="AB11" s="33"/>
    </row>
    <row r="12" spans="1:28" ht="14.25" customHeight="1" thickBot="1" x14ac:dyDescent="0.3">
      <c r="A12" s="8" t="s">
        <v>18</v>
      </c>
      <c r="B12" s="8" t="str">
        <f>IF($C$12=1,"本服","跨服")</f>
        <v>跨服</v>
      </c>
      <c r="C12" s="70">
        <v>2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9"/>
      <c r="X12" s="9"/>
      <c r="Y12" s="8"/>
      <c r="Z12" s="8"/>
      <c r="AA12" s="8"/>
      <c r="AB12" s="8"/>
    </row>
    <row r="13" spans="1:28" ht="14.25" customHeight="1" x14ac:dyDescent="0.25">
      <c r="A13" s="76"/>
      <c r="B13" s="77"/>
      <c r="C13" s="4"/>
      <c r="G13" s="3"/>
      <c r="H13" s="1">
        <f>COUNTIF(H15:H186,"&gt;0")</f>
        <v>22</v>
      </c>
      <c r="K13" s="38"/>
      <c r="N13" s="4"/>
      <c r="W13" s="4"/>
      <c r="X13" s="4"/>
      <c r="Y13" s="1"/>
    </row>
    <row r="14" spans="1:28" ht="14.25" customHeight="1" x14ac:dyDescent="0.25">
      <c r="B14" s="34" t="s">
        <v>148</v>
      </c>
      <c r="D14" s="1" t="s">
        <v>19</v>
      </c>
      <c r="F14" s="1" t="s">
        <v>152</v>
      </c>
      <c r="G14" s="3"/>
      <c r="H14" t="s">
        <v>153</v>
      </c>
      <c r="I14" s="1" t="s">
        <v>21</v>
      </c>
      <c r="K14" s="1" t="s">
        <v>20</v>
      </c>
      <c r="L14" s="37" t="s">
        <v>156</v>
      </c>
      <c r="M14" s="37" t="s">
        <v>155</v>
      </c>
      <c r="N14" s="1" t="s">
        <v>22</v>
      </c>
      <c r="P14" s="37" t="s">
        <v>158</v>
      </c>
      <c r="Q14" s="37" t="s">
        <v>159</v>
      </c>
      <c r="R14" s="37" t="s">
        <v>160</v>
      </c>
      <c r="S14" s="76" t="s">
        <v>23</v>
      </c>
      <c r="T14" s="77"/>
      <c r="U14" s="1" t="s">
        <v>24</v>
      </c>
      <c r="V14" s="1" t="s">
        <v>25</v>
      </c>
      <c r="W14" s="4" t="s">
        <v>26</v>
      </c>
      <c r="X14" s="4"/>
      <c r="Y14" s="4" t="s">
        <v>27</v>
      </c>
      <c r="Z14" s="36" t="s">
        <v>154</v>
      </c>
    </row>
    <row r="15" spans="1:28" ht="14.25" customHeight="1" x14ac:dyDescent="0.25">
      <c r="A15" s="10"/>
      <c r="B15" s="35">
        <v>0</v>
      </c>
      <c r="C15" s="10"/>
      <c r="D15" s="10" t="s">
        <v>28</v>
      </c>
      <c r="E15" s="10"/>
      <c r="F15" s="54">
        <f>INT(VLOOKUP(D15,战力表!A:B,2,)/10000)</f>
        <v>353</v>
      </c>
      <c r="G15" s="12"/>
      <c r="H15" s="55">
        <v>0</v>
      </c>
      <c r="I15" s="54"/>
      <c r="J15" s="12"/>
      <c r="K15" s="56">
        <f>IF(H15&gt;0,VLOOKUP(D15,战力表!$A$3:$F$58,6,FALSE),0)</f>
        <v>0</v>
      </c>
      <c r="L15" s="56">
        <f t="shared" ref="L15:L55" si="0">H15*$U$9</f>
        <v>0</v>
      </c>
      <c r="M15" s="56">
        <f t="shared" ref="M15:M55" si="1">IF(H15=$U$11,$U$10,0)</f>
        <v>0</v>
      </c>
      <c r="N15" s="56" t="b">
        <f t="shared" ref="N15:N55" si="2">IF(AND(I15&lt;6000,I15&gt;0),1,IF(AND(I15&lt;12000,I15&gt;=6000),2,IF(AND(I15&lt;=30000,I15&gt;=12000),3)))</f>
        <v>0</v>
      </c>
      <c r="O15" s="12"/>
      <c r="P15" s="55">
        <v>285</v>
      </c>
      <c r="Q15" s="56">
        <f t="shared" ref="Q15:Q54" si="3">K15+L15+M15+N15</f>
        <v>0</v>
      </c>
      <c r="R15" s="56">
        <f t="shared" ref="R15:R54" si="4">P15+Q15</f>
        <v>285</v>
      </c>
      <c r="S15" s="56" t="str">
        <f t="shared" ref="S15:S54" si="5">IF(H15=0,"",IF(B15=1,3,IF(Z15&lt;$Y$2,1,IF(Z15&lt;$Y$3,2,3))))</f>
        <v/>
      </c>
      <c r="T15" s="56" t="b">
        <f>IF(S15=$K$9,$L$9,IF(S15=$K$10,$L$10,IF(S15=$K$11,$L$11)))</f>
        <v>0</v>
      </c>
      <c r="U15" s="56">
        <f>-IF(S15=$K$9,$M$9,IF(S15=$K$10,$M$10,IF(S15=$K$11,$M$11)))</f>
        <v>0</v>
      </c>
      <c r="V15" s="56">
        <f t="shared" ref="V15:V54" si="6">P15+Q15+U15</f>
        <v>285</v>
      </c>
      <c r="W15" s="12" t="str">
        <f>IF(H15=0,List!$C$5,$C$3)</f>
        <v>没有忍战，无法分包</v>
      </c>
      <c r="X15" s="12"/>
      <c r="Y15" s="12">
        <f t="shared" ref="Y15:Y54" si="7">P15+Q15</f>
        <v>285</v>
      </c>
      <c r="Z15" s="12">
        <f>RANK(Y15,$Y$15:$Y$55,0)+COUNTIF($Y$15:Y15,Y15)-1</f>
        <v>25</v>
      </c>
      <c r="AA15" s="12"/>
      <c r="AB15" s="12"/>
    </row>
    <row r="16" spans="1:28" ht="14.25" customHeight="1" x14ac:dyDescent="0.25">
      <c r="A16" s="10"/>
      <c r="B16" s="35">
        <v>0</v>
      </c>
      <c r="C16" s="10"/>
      <c r="D16" s="10" t="s">
        <v>30</v>
      </c>
      <c r="E16" s="10"/>
      <c r="F16" s="54">
        <f>INT(VLOOKUP(D16,战力表!A:B,2,)/10000)</f>
        <v>253</v>
      </c>
      <c r="G16" s="12"/>
      <c r="H16" s="55">
        <v>0</v>
      </c>
      <c r="I16" s="54"/>
      <c r="J16" s="12"/>
      <c r="K16" s="56">
        <f>IF(H16&gt;0,VLOOKUP(D16,战力表!$A$3:$F$58,6,FALSE),0)</f>
        <v>0</v>
      </c>
      <c r="L16" s="56">
        <f t="shared" si="0"/>
        <v>0</v>
      </c>
      <c r="M16" s="56">
        <f t="shared" si="1"/>
        <v>0</v>
      </c>
      <c r="N16" s="56" t="b">
        <f t="shared" si="2"/>
        <v>0</v>
      </c>
      <c r="O16" s="12"/>
      <c r="P16" s="55">
        <v>213</v>
      </c>
      <c r="Q16" s="56">
        <f t="shared" si="3"/>
        <v>0</v>
      </c>
      <c r="R16" s="56">
        <f t="shared" si="4"/>
        <v>213</v>
      </c>
      <c r="S16" s="56" t="str">
        <f t="shared" si="5"/>
        <v/>
      </c>
      <c r="T16" s="56" t="b">
        <f t="shared" ref="T16:T54" si="8">IF(S16=$K$9,$L$9,IF(S16=$K$10,$L$10,IF(S16=$K$11,$L$11)))</f>
        <v>0</v>
      </c>
      <c r="U16" s="56">
        <f t="shared" ref="U16:U54" si="9">-IF(S16=$K$9,$M$9,IF(S16=$K$10,$M$10,IF(S16=$K$11,$M$11)))</f>
        <v>0</v>
      </c>
      <c r="V16" s="56">
        <f t="shared" si="6"/>
        <v>213</v>
      </c>
      <c r="W16" s="12" t="str">
        <f>IF(H16=0,List!$C$5,$C$3)</f>
        <v>没有忍战，无法分包</v>
      </c>
      <c r="X16" s="12"/>
      <c r="Y16" s="12">
        <f t="shared" si="7"/>
        <v>213</v>
      </c>
      <c r="Z16" s="12">
        <f>RANK(Y16,$Y$15:$Y$55,0)+COUNTIF($Y$15:Y16,Y16)-1</f>
        <v>33</v>
      </c>
      <c r="AA16" s="12"/>
      <c r="AB16" s="12"/>
    </row>
    <row r="17" spans="1:32" ht="15" customHeight="1" x14ac:dyDescent="0.25">
      <c r="A17" s="10"/>
      <c r="B17" s="35">
        <v>0</v>
      </c>
      <c r="C17" s="10"/>
      <c r="D17" s="10" t="s">
        <v>32</v>
      </c>
      <c r="E17" s="10"/>
      <c r="F17" s="54">
        <f>INT(VLOOKUP(D17,战力表!A:B,2,)/10000)</f>
        <v>320</v>
      </c>
      <c r="G17" s="12"/>
      <c r="H17" s="55">
        <v>3</v>
      </c>
      <c r="I17" s="54"/>
      <c r="J17" s="12"/>
      <c r="K17" s="56">
        <f>IF(H17&gt;0,VLOOKUP(D17,战力表!$A$3:$F$58,6,FALSE),0)</f>
        <v>10</v>
      </c>
      <c r="L17" s="56">
        <f t="shared" si="0"/>
        <v>9</v>
      </c>
      <c r="M17" s="56">
        <f t="shared" si="1"/>
        <v>4</v>
      </c>
      <c r="N17" s="56" t="b">
        <f t="shared" si="2"/>
        <v>0</v>
      </c>
      <c r="O17" s="12"/>
      <c r="P17" s="55">
        <v>413</v>
      </c>
      <c r="Q17" s="56">
        <f t="shared" si="3"/>
        <v>23</v>
      </c>
      <c r="R17" s="56">
        <f t="shared" si="4"/>
        <v>436</v>
      </c>
      <c r="S17" s="56">
        <f t="shared" si="5"/>
        <v>1</v>
      </c>
      <c r="T17" s="56" t="str">
        <f t="shared" si="8"/>
        <v>传说</v>
      </c>
      <c r="U17" s="56">
        <f t="shared" si="9"/>
        <v>-22</v>
      </c>
      <c r="V17" s="56">
        <f t="shared" si="6"/>
        <v>414</v>
      </c>
      <c r="W17" s="12">
        <f>IF(H17=0,List!$C$5,$C$3)</f>
        <v>0</v>
      </c>
      <c r="X17" s="12"/>
      <c r="Y17" s="12">
        <f t="shared" si="7"/>
        <v>436</v>
      </c>
      <c r="Z17" s="12">
        <f>RANK(Y17,$Y$15:$Y$55,0)+COUNTIF($Y$15:Y17,Y17)-1</f>
        <v>1</v>
      </c>
      <c r="AA17" s="12"/>
      <c r="AB17" s="12"/>
    </row>
    <row r="18" spans="1:32" ht="14.25" customHeight="1" x14ac:dyDescent="0.25">
      <c r="A18" s="10"/>
      <c r="B18" s="35">
        <v>0</v>
      </c>
      <c r="C18" s="10"/>
      <c r="D18" s="10" t="s">
        <v>52</v>
      </c>
      <c r="E18" s="10"/>
      <c r="F18" s="54">
        <f>INT(VLOOKUP(D18,战力表!A:B,2,)/10000)</f>
        <v>257</v>
      </c>
      <c r="G18" s="12"/>
      <c r="H18" s="55">
        <v>0</v>
      </c>
      <c r="I18" s="54"/>
      <c r="J18" s="12"/>
      <c r="K18" s="56">
        <f>IF(H18&gt;0,VLOOKUP(D18,战力表!$A$3:$F$58,6,FALSE),0)</f>
        <v>0</v>
      </c>
      <c r="L18" s="56">
        <f t="shared" si="0"/>
        <v>0</v>
      </c>
      <c r="M18" s="56">
        <f t="shared" si="1"/>
        <v>0</v>
      </c>
      <c r="N18" s="56" t="b">
        <f t="shared" si="2"/>
        <v>0</v>
      </c>
      <c r="O18" s="12"/>
      <c r="P18" s="55">
        <v>275</v>
      </c>
      <c r="Q18" s="56">
        <f t="shared" si="3"/>
        <v>0</v>
      </c>
      <c r="R18" s="56">
        <v>267</v>
      </c>
      <c r="S18" s="56" t="str">
        <f t="shared" si="5"/>
        <v/>
      </c>
      <c r="T18" s="56" t="b">
        <f t="shared" si="8"/>
        <v>0</v>
      </c>
      <c r="U18" s="56">
        <f t="shared" si="9"/>
        <v>0</v>
      </c>
      <c r="V18" s="56">
        <f t="shared" si="6"/>
        <v>275</v>
      </c>
      <c r="W18" s="12" t="str">
        <f>IF(H18=0,List!$C$5,$C$3)</f>
        <v>没有忍战，无法分包</v>
      </c>
      <c r="X18" s="12"/>
      <c r="Y18" s="12">
        <f t="shared" si="7"/>
        <v>275</v>
      </c>
      <c r="Z18" s="12">
        <f>RANK(Y18,$Y$15:$Y$55,0)+COUNTIF($Y$15:Y18,Y18)-1</f>
        <v>27</v>
      </c>
      <c r="AA18" s="12"/>
      <c r="AB18" s="12"/>
      <c r="AF18" s="68"/>
    </row>
    <row r="19" spans="1:32" ht="14.25" customHeight="1" x14ac:dyDescent="0.25">
      <c r="A19" s="10"/>
      <c r="B19" s="35">
        <v>0</v>
      </c>
      <c r="C19" s="10"/>
      <c r="D19" s="10" t="s">
        <v>31</v>
      </c>
      <c r="E19" s="10"/>
      <c r="F19" s="54">
        <f>INT(VLOOKUP(D19,战力表!A:B,2,)/10000)</f>
        <v>248</v>
      </c>
      <c r="G19" s="12"/>
      <c r="H19" s="55">
        <v>0</v>
      </c>
      <c r="I19" s="54"/>
      <c r="J19" s="12"/>
      <c r="K19" s="56">
        <f>IF(H19&gt;0,VLOOKUP(D19,战力表!$A$3:$F$58,6,FALSE),0)</f>
        <v>0</v>
      </c>
      <c r="L19" s="56">
        <f t="shared" si="0"/>
        <v>0</v>
      </c>
      <c r="M19" s="56">
        <f t="shared" si="1"/>
        <v>0</v>
      </c>
      <c r="N19" s="56" t="b">
        <f t="shared" si="2"/>
        <v>0</v>
      </c>
      <c r="O19" s="12"/>
      <c r="P19" s="55">
        <v>207</v>
      </c>
      <c r="Q19" s="56">
        <f t="shared" si="3"/>
        <v>0</v>
      </c>
      <c r="R19" s="56">
        <f t="shared" si="4"/>
        <v>207</v>
      </c>
      <c r="S19" s="56" t="str">
        <f t="shared" si="5"/>
        <v/>
      </c>
      <c r="T19" s="56" t="b">
        <f t="shared" si="8"/>
        <v>0</v>
      </c>
      <c r="U19" s="56">
        <f t="shared" si="9"/>
        <v>0</v>
      </c>
      <c r="V19" s="56">
        <f t="shared" si="6"/>
        <v>207</v>
      </c>
      <c r="W19" s="12" t="str">
        <f>IF(H19=0,List!$C$5,$C$3)</f>
        <v>没有忍战，无法分包</v>
      </c>
      <c r="X19" s="12"/>
      <c r="Y19" s="12">
        <f t="shared" si="7"/>
        <v>207</v>
      </c>
      <c r="Z19" s="12">
        <f>RANK(Y19,$Y$15:$Y$55,0)+COUNTIF($Y$15:Y19,Y19)-1</f>
        <v>35</v>
      </c>
      <c r="AA19" s="12"/>
      <c r="AB19" s="12"/>
      <c r="AD19" s="65"/>
      <c r="AE19" s="65"/>
      <c r="AF19" s="65"/>
    </row>
    <row r="20" spans="1:32" ht="14.25" customHeight="1" x14ac:dyDescent="0.25">
      <c r="A20" s="10"/>
      <c r="B20" s="35">
        <v>0</v>
      </c>
      <c r="C20" s="10"/>
      <c r="D20" s="10" t="s">
        <v>34</v>
      </c>
      <c r="E20" s="10"/>
      <c r="F20" s="54">
        <f>INT(VLOOKUP(D20,战力表!A:B,2,)/10000)</f>
        <v>311</v>
      </c>
      <c r="G20" s="12"/>
      <c r="H20" s="55">
        <v>2</v>
      </c>
      <c r="I20" s="54"/>
      <c r="J20" s="12"/>
      <c r="K20" s="56">
        <f>IF(H20&gt;0,VLOOKUP(D20,战力表!$A$3:$F$58,6,FALSE),0)</f>
        <v>10</v>
      </c>
      <c r="L20" s="56">
        <f t="shared" si="0"/>
        <v>6</v>
      </c>
      <c r="M20" s="56">
        <f t="shared" si="1"/>
        <v>0</v>
      </c>
      <c r="N20" s="56" t="b">
        <f t="shared" si="2"/>
        <v>0</v>
      </c>
      <c r="O20" s="12"/>
      <c r="P20" s="55">
        <v>393</v>
      </c>
      <c r="Q20" s="56">
        <f t="shared" si="3"/>
        <v>16</v>
      </c>
      <c r="R20" s="56">
        <f t="shared" si="4"/>
        <v>409</v>
      </c>
      <c r="S20" s="56">
        <f t="shared" si="5"/>
        <v>3</v>
      </c>
      <c r="T20" s="56" t="str">
        <f t="shared" si="8"/>
        <v>精英</v>
      </c>
      <c r="U20" s="56">
        <f t="shared" si="9"/>
        <v>-10</v>
      </c>
      <c r="V20" s="56">
        <f t="shared" si="6"/>
        <v>399</v>
      </c>
      <c r="W20" s="12">
        <f>IF(H20=0,List!$C$5,$C$3)</f>
        <v>0</v>
      </c>
      <c r="X20" s="12"/>
      <c r="Y20" s="12">
        <f t="shared" si="7"/>
        <v>409</v>
      </c>
      <c r="Z20" s="12">
        <f>RANK(Y20,$Y$15:$Y$55,0)+COUNTIF($Y$15:Y20,Y20)-1</f>
        <v>17</v>
      </c>
      <c r="AA20" s="12"/>
      <c r="AB20" s="12"/>
      <c r="AD20" s="69"/>
      <c r="AE20" s="69"/>
    </row>
    <row r="21" spans="1:32" ht="14.25" customHeight="1" x14ac:dyDescent="0.25">
      <c r="A21" s="10"/>
      <c r="B21" s="35">
        <v>0</v>
      </c>
      <c r="C21" s="10"/>
      <c r="D21" s="10" t="s">
        <v>33</v>
      </c>
      <c r="E21" s="10"/>
      <c r="F21" s="54">
        <f>INT(VLOOKUP(D21,战力表!A:B,2,)/10000)</f>
        <v>264</v>
      </c>
      <c r="G21" s="12"/>
      <c r="H21" s="55">
        <v>0</v>
      </c>
      <c r="I21" s="54"/>
      <c r="J21" s="12"/>
      <c r="K21" s="56">
        <f>IF(H21&gt;0,VLOOKUP(D21,战力表!$A$3:$F$58,6,FALSE),0)</f>
        <v>0</v>
      </c>
      <c r="L21" s="56">
        <f t="shared" si="0"/>
        <v>0</v>
      </c>
      <c r="M21" s="56">
        <f t="shared" si="1"/>
        <v>0</v>
      </c>
      <c r="N21" s="56" t="b">
        <f t="shared" si="2"/>
        <v>0</v>
      </c>
      <c r="O21" s="12"/>
      <c r="P21" s="55">
        <v>289</v>
      </c>
      <c r="Q21" s="56">
        <f t="shared" si="3"/>
        <v>0</v>
      </c>
      <c r="R21" s="56">
        <f t="shared" si="4"/>
        <v>289</v>
      </c>
      <c r="S21" s="56" t="str">
        <f t="shared" si="5"/>
        <v/>
      </c>
      <c r="T21" s="56" t="b">
        <f t="shared" si="8"/>
        <v>0</v>
      </c>
      <c r="U21" s="56">
        <f t="shared" si="9"/>
        <v>0</v>
      </c>
      <c r="V21" s="56">
        <f t="shared" si="6"/>
        <v>289</v>
      </c>
      <c r="W21" s="12" t="str">
        <f>IF(H21=0,List!$C$5,$C$3)</f>
        <v>没有忍战，无法分包</v>
      </c>
      <c r="X21" s="12"/>
      <c r="Y21" s="12">
        <f t="shared" si="7"/>
        <v>289</v>
      </c>
      <c r="Z21" s="12">
        <f>RANK(Y21,$Y$15:$Y$55,0)+COUNTIF($Y$15:Y21,Y21)-1</f>
        <v>23</v>
      </c>
      <c r="AA21" s="12"/>
      <c r="AB21" s="12"/>
      <c r="AD21" s="69"/>
      <c r="AE21" s="69"/>
      <c r="AF21" s="63"/>
    </row>
    <row r="22" spans="1:32" ht="14.25" customHeight="1" x14ac:dyDescent="0.25">
      <c r="A22" s="10"/>
      <c r="B22" s="35">
        <v>0</v>
      </c>
      <c r="C22" s="10"/>
      <c r="D22" s="10" t="s">
        <v>37</v>
      </c>
      <c r="E22" s="10"/>
      <c r="F22" s="54">
        <f>INT(VLOOKUP(D22,战力表!A:B,2,)/10000)</f>
        <v>303</v>
      </c>
      <c r="G22" s="12"/>
      <c r="H22" s="55">
        <v>3</v>
      </c>
      <c r="I22" s="54"/>
      <c r="J22" s="12"/>
      <c r="K22" s="56">
        <f>IF(H22&gt;0,VLOOKUP(D22,战力表!$A$3:$F$58,6,FALSE),0)</f>
        <v>10</v>
      </c>
      <c r="L22" s="56">
        <f t="shared" si="0"/>
        <v>9</v>
      </c>
      <c r="M22" s="56">
        <f t="shared" si="1"/>
        <v>4</v>
      </c>
      <c r="N22" s="56" t="b">
        <f t="shared" si="2"/>
        <v>0</v>
      </c>
      <c r="O22" s="12"/>
      <c r="P22" s="55">
        <v>411</v>
      </c>
      <c r="Q22" s="56">
        <f t="shared" si="3"/>
        <v>23</v>
      </c>
      <c r="R22" s="56">
        <f t="shared" si="4"/>
        <v>434</v>
      </c>
      <c r="S22" s="56">
        <f t="shared" si="5"/>
        <v>1</v>
      </c>
      <c r="T22" s="56" t="str">
        <f t="shared" si="8"/>
        <v>传说</v>
      </c>
      <c r="U22" s="56">
        <f t="shared" si="9"/>
        <v>-22</v>
      </c>
      <c r="V22" s="56">
        <f t="shared" si="6"/>
        <v>412</v>
      </c>
      <c r="W22" s="12">
        <f>IF(H22=0,List!$C$5,$C$3)</f>
        <v>0</v>
      </c>
      <c r="X22" s="12"/>
      <c r="Y22" s="12">
        <f t="shared" si="7"/>
        <v>434</v>
      </c>
      <c r="Z22" s="12">
        <f>RANK(Y22,$Y$15:$Y$55,0)+COUNTIF($Y$15:Y22,Y22)-1</f>
        <v>2</v>
      </c>
      <c r="AA22" s="12"/>
      <c r="AB22" s="12"/>
      <c r="AD22" s="66"/>
      <c r="AE22" s="66"/>
    </row>
    <row r="23" spans="1:32" ht="14.25" customHeight="1" x14ac:dyDescent="0.25">
      <c r="A23" s="10"/>
      <c r="B23" s="35">
        <v>0</v>
      </c>
      <c r="C23" s="10"/>
      <c r="D23" s="10" t="s">
        <v>35</v>
      </c>
      <c r="E23" s="10"/>
      <c r="F23" s="54">
        <f>INT(VLOOKUP(D23,战力表!A:B,2,)/10000)</f>
        <v>242</v>
      </c>
      <c r="G23" s="12"/>
      <c r="H23" s="55">
        <v>0</v>
      </c>
      <c r="I23" s="54"/>
      <c r="J23" s="12"/>
      <c r="K23" s="56">
        <f>IF(H23&gt;0,VLOOKUP(D23,战力表!$A$3:$F$58,6,FALSE),0)</f>
        <v>0</v>
      </c>
      <c r="L23" s="56">
        <f t="shared" si="0"/>
        <v>0</v>
      </c>
      <c r="M23" s="56">
        <f t="shared" si="1"/>
        <v>0</v>
      </c>
      <c r="N23" s="56" t="b">
        <f t="shared" si="2"/>
        <v>0</v>
      </c>
      <c r="O23" s="12"/>
      <c r="P23" s="55">
        <v>300</v>
      </c>
      <c r="Q23" s="56">
        <f t="shared" si="3"/>
        <v>0</v>
      </c>
      <c r="R23" s="56">
        <f t="shared" si="4"/>
        <v>300</v>
      </c>
      <c r="S23" s="56" t="str">
        <f t="shared" si="5"/>
        <v/>
      </c>
      <c r="T23" s="56" t="b">
        <f t="shared" si="8"/>
        <v>0</v>
      </c>
      <c r="U23" s="56">
        <f t="shared" si="9"/>
        <v>0</v>
      </c>
      <c r="V23" s="56">
        <f t="shared" si="6"/>
        <v>300</v>
      </c>
      <c r="W23" s="12" t="str">
        <f>IF(H23=0,List!$C$5,$C$3)</f>
        <v>没有忍战，无法分包</v>
      </c>
      <c r="X23" s="12"/>
      <c r="Y23" s="12">
        <f t="shared" si="7"/>
        <v>300</v>
      </c>
      <c r="Z23" s="12">
        <f>RANK(Y23,$Y$15:$Y$55,0)+COUNTIF($Y$15:Y23,Y23)-1</f>
        <v>20</v>
      </c>
      <c r="AA23" s="12"/>
      <c r="AB23" s="12"/>
      <c r="AD23" s="68"/>
      <c r="AE23" s="68"/>
      <c r="AF23" s="62"/>
    </row>
    <row r="24" spans="1:32" ht="15" customHeight="1" x14ac:dyDescent="0.25">
      <c r="A24" s="10"/>
      <c r="B24" s="35">
        <v>0</v>
      </c>
      <c r="C24" s="10"/>
      <c r="D24" s="10" t="s">
        <v>36</v>
      </c>
      <c r="E24" s="10"/>
      <c r="F24" s="54">
        <f>INT(VLOOKUP(D24,战力表!A:B,2,)/10000)</f>
        <v>299</v>
      </c>
      <c r="G24" s="12"/>
      <c r="H24" s="55">
        <v>3</v>
      </c>
      <c r="I24" s="54"/>
      <c r="J24" s="12"/>
      <c r="K24" s="56">
        <f>IF(H24&gt;0,VLOOKUP(D24,战力表!$A$3:$F$58,6,FALSE),0)</f>
        <v>9</v>
      </c>
      <c r="L24" s="56">
        <f t="shared" si="0"/>
        <v>9</v>
      </c>
      <c r="M24" s="56">
        <f t="shared" si="1"/>
        <v>4</v>
      </c>
      <c r="N24" s="56" t="b">
        <f t="shared" si="2"/>
        <v>0</v>
      </c>
      <c r="O24" s="12"/>
      <c r="P24" s="55">
        <v>412</v>
      </c>
      <c r="Q24" s="56">
        <f t="shared" si="3"/>
        <v>22</v>
      </c>
      <c r="R24" s="56">
        <f t="shared" si="4"/>
        <v>434</v>
      </c>
      <c r="S24" s="56">
        <f t="shared" si="5"/>
        <v>1</v>
      </c>
      <c r="T24" s="56" t="str">
        <f t="shared" si="8"/>
        <v>传说</v>
      </c>
      <c r="U24" s="56">
        <f t="shared" si="9"/>
        <v>-22</v>
      </c>
      <c r="V24" s="56">
        <f t="shared" si="6"/>
        <v>412</v>
      </c>
      <c r="W24" s="12">
        <f>IF(H24=0,List!$C$5,$C$3)</f>
        <v>0</v>
      </c>
      <c r="X24" s="12"/>
      <c r="Y24" s="12">
        <f t="shared" si="7"/>
        <v>434</v>
      </c>
      <c r="Z24" s="12">
        <f>RANK(Y24,$Y$15:$Y$55,0)+COUNTIF($Y$15:Y24,Y24)-1</f>
        <v>3</v>
      </c>
      <c r="AA24" s="12"/>
      <c r="AB24" s="12"/>
      <c r="AD24" s="66"/>
      <c r="AE24" s="66"/>
      <c r="AF24" s="66"/>
    </row>
    <row r="25" spans="1:32" ht="14.25" customHeight="1" x14ac:dyDescent="0.25">
      <c r="A25" s="10"/>
      <c r="B25" s="35">
        <v>0</v>
      </c>
      <c r="C25" s="10"/>
      <c r="D25" s="10" t="s">
        <v>38</v>
      </c>
      <c r="E25" s="10"/>
      <c r="F25" s="54">
        <f>INT(VLOOKUP(D25,战力表!A:B,2,)/10000)</f>
        <v>289</v>
      </c>
      <c r="G25" s="12"/>
      <c r="H25" s="55">
        <v>3</v>
      </c>
      <c r="I25" s="54"/>
      <c r="J25" s="12"/>
      <c r="K25" s="56">
        <f>IF(H25&gt;0,VLOOKUP(D25,战力表!$A$3:$F$58,6,FALSE),0)</f>
        <v>9</v>
      </c>
      <c r="L25" s="56">
        <f t="shared" si="0"/>
        <v>9</v>
      </c>
      <c r="M25" s="56">
        <f t="shared" si="1"/>
        <v>4</v>
      </c>
      <c r="N25" s="56" t="b">
        <f t="shared" si="2"/>
        <v>0</v>
      </c>
      <c r="O25" s="12"/>
      <c r="P25" s="55">
        <v>409</v>
      </c>
      <c r="Q25" s="56">
        <f t="shared" si="3"/>
        <v>22</v>
      </c>
      <c r="R25" s="56">
        <f t="shared" si="4"/>
        <v>431</v>
      </c>
      <c r="S25" s="56">
        <f t="shared" si="5"/>
        <v>1</v>
      </c>
      <c r="T25" s="56" t="str">
        <f t="shared" si="8"/>
        <v>传说</v>
      </c>
      <c r="U25" s="56">
        <f t="shared" si="9"/>
        <v>-22</v>
      </c>
      <c r="V25" s="56">
        <f t="shared" si="6"/>
        <v>409</v>
      </c>
      <c r="W25" s="12">
        <f>IF(H25=0,List!$C$5,$C$3)</f>
        <v>0</v>
      </c>
      <c r="X25" s="12"/>
      <c r="Y25" s="12">
        <f t="shared" si="7"/>
        <v>431</v>
      </c>
      <c r="Z25" s="12">
        <f>RANK(Y25,$Y$15:$Y$55,0)+COUNTIF($Y$15:Y25,Y25)-1</f>
        <v>6</v>
      </c>
      <c r="AA25" s="12"/>
      <c r="AB25" s="12"/>
    </row>
    <row r="26" spans="1:32" ht="14.25" customHeight="1" x14ac:dyDescent="0.25">
      <c r="A26" s="10"/>
      <c r="B26" s="35">
        <v>0</v>
      </c>
      <c r="C26" s="10"/>
      <c r="D26" s="10" t="s">
        <v>39</v>
      </c>
      <c r="E26" s="10"/>
      <c r="F26" s="54">
        <v>234</v>
      </c>
      <c r="G26" s="12"/>
      <c r="H26" s="55">
        <v>3</v>
      </c>
      <c r="I26" s="54"/>
      <c r="J26" s="12"/>
      <c r="K26" s="56">
        <f>IF(H26&gt;0,VLOOKUP(D26,战力表!$A$3:$F$58,6,FALSE),0)</f>
        <v>10</v>
      </c>
      <c r="L26" s="56">
        <f t="shared" si="0"/>
        <v>9</v>
      </c>
      <c r="M26" s="56">
        <f t="shared" si="1"/>
        <v>4</v>
      </c>
      <c r="N26" s="56" t="b">
        <f t="shared" si="2"/>
        <v>0</v>
      </c>
      <c r="O26" s="12"/>
      <c r="P26" s="55">
        <v>410</v>
      </c>
      <c r="Q26" s="56">
        <f t="shared" si="3"/>
        <v>23</v>
      </c>
      <c r="R26" s="56">
        <f t="shared" si="4"/>
        <v>433</v>
      </c>
      <c r="S26" s="56">
        <f t="shared" si="5"/>
        <v>1</v>
      </c>
      <c r="T26" s="56" t="str">
        <f t="shared" si="8"/>
        <v>传说</v>
      </c>
      <c r="U26" s="56">
        <f t="shared" si="9"/>
        <v>-22</v>
      </c>
      <c r="V26" s="56">
        <f t="shared" si="6"/>
        <v>411</v>
      </c>
      <c r="W26" s="12">
        <f>IF(H26=0,List!$C$5,$C$3)</f>
        <v>0</v>
      </c>
      <c r="X26" s="12"/>
      <c r="Y26" s="12">
        <f t="shared" si="7"/>
        <v>433</v>
      </c>
      <c r="Z26" s="12">
        <f>RANK(Y26,$Y$15:$Y$55,0)+COUNTIF($Y$15:Y26,Y26)-1</f>
        <v>4</v>
      </c>
      <c r="AA26" s="12"/>
      <c r="AB26" s="12"/>
      <c r="AD26" s="69"/>
      <c r="AE26" s="69"/>
      <c r="AF26" s="67"/>
    </row>
    <row r="27" spans="1:32" ht="14.25" customHeight="1" x14ac:dyDescent="0.25">
      <c r="A27" s="10"/>
      <c r="B27" s="35">
        <v>0</v>
      </c>
      <c r="C27" s="10"/>
      <c r="D27" s="10" t="s">
        <v>41</v>
      </c>
      <c r="E27" s="10"/>
      <c r="F27" s="54">
        <f>INT(VLOOKUP(D27,战力表!A:B,2,)/10000)</f>
        <v>289</v>
      </c>
      <c r="G27" s="12"/>
      <c r="H27" s="55">
        <v>2</v>
      </c>
      <c r="I27" s="54"/>
      <c r="J27" s="12"/>
      <c r="K27" s="56">
        <f>IF(H27&gt;0,VLOOKUP(D27,战力表!$A$3:$F$58,6,FALSE),0)</f>
        <v>9</v>
      </c>
      <c r="L27" s="56">
        <f t="shared" si="0"/>
        <v>6</v>
      </c>
      <c r="M27" s="56">
        <f t="shared" si="1"/>
        <v>0</v>
      </c>
      <c r="N27" s="56" t="b">
        <f t="shared" si="2"/>
        <v>0</v>
      </c>
      <c r="O27" s="12"/>
      <c r="P27" s="55">
        <v>408</v>
      </c>
      <c r="Q27" s="56">
        <f t="shared" si="3"/>
        <v>15</v>
      </c>
      <c r="R27" s="56">
        <f t="shared" si="4"/>
        <v>423</v>
      </c>
      <c r="S27" s="56">
        <f t="shared" si="5"/>
        <v>2</v>
      </c>
      <c r="T27" s="56" t="str">
        <f t="shared" si="8"/>
        <v>英雄</v>
      </c>
      <c r="U27" s="56">
        <f t="shared" si="9"/>
        <v>-13</v>
      </c>
      <c r="V27" s="56">
        <f t="shared" si="6"/>
        <v>410</v>
      </c>
      <c r="W27" s="12">
        <f>IF(H27=0,List!$C$5,$C$3)</f>
        <v>0</v>
      </c>
      <c r="X27" s="12"/>
      <c r="Y27" s="12">
        <f t="shared" si="7"/>
        <v>423</v>
      </c>
      <c r="Z27" s="12">
        <f>RANK(Y27,$Y$15:$Y$55,0)+COUNTIF($Y$15:Y27,Y27)-1</f>
        <v>15</v>
      </c>
      <c r="AA27" s="12"/>
      <c r="AB27" s="12"/>
      <c r="AD27" s="69"/>
      <c r="AE27" s="69"/>
      <c r="AF27" s="63"/>
    </row>
    <row r="28" spans="1:32" ht="14.25" customHeight="1" x14ac:dyDescent="0.25">
      <c r="A28" s="10"/>
      <c r="B28" s="35">
        <v>0</v>
      </c>
      <c r="C28" s="10"/>
      <c r="D28" s="10" t="s">
        <v>42</v>
      </c>
      <c r="E28" s="10"/>
      <c r="F28" s="54">
        <f>INT(VLOOKUP(D28,战力表!A:B,2,)/10000)</f>
        <v>285</v>
      </c>
      <c r="G28" s="12"/>
      <c r="H28" s="55">
        <v>3</v>
      </c>
      <c r="I28" s="54"/>
      <c r="J28" s="12"/>
      <c r="K28" s="56">
        <f>IF(H28&gt;0,VLOOKUP(D28,战力表!$A$3:$F$58,6,FALSE),0)</f>
        <v>9</v>
      </c>
      <c r="L28" s="56">
        <f t="shared" si="0"/>
        <v>9</v>
      </c>
      <c r="M28" s="56">
        <f t="shared" si="1"/>
        <v>4</v>
      </c>
      <c r="N28" s="56" t="b">
        <f t="shared" si="2"/>
        <v>0</v>
      </c>
      <c r="O28" s="12"/>
      <c r="P28" s="55">
        <v>409</v>
      </c>
      <c r="Q28" s="56">
        <f t="shared" si="3"/>
        <v>22</v>
      </c>
      <c r="R28" s="56">
        <f t="shared" si="4"/>
        <v>431</v>
      </c>
      <c r="S28" s="56">
        <f t="shared" si="5"/>
        <v>1</v>
      </c>
      <c r="T28" s="56" t="str">
        <f t="shared" si="8"/>
        <v>传说</v>
      </c>
      <c r="U28" s="56">
        <f t="shared" si="9"/>
        <v>-22</v>
      </c>
      <c r="V28" s="56">
        <f t="shared" si="6"/>
        <v>409</v>
      </c>
      <c r="W28" s="12">
        <f>IF(H28=0,List!$C$5,$C$3)</f>
        <v>0</v>
      </c>
      <c r="X28" s="12"/>
      <c r="Y28" s="12">
        <f t="shared" si="7"/>
        <v>431</v>
      </c>
      <c r="Z28" s="12">
        <f>RANK(Y28,$Y$15:$Y$55,0)+COUNTIF($Y$15:Y28,Y28)-1</f>
        <v>7</v>
      </c>
      <c r="AA28" s="12"/>
      <c r="AB28" s="12"/>
      <c r="AD28" s="65"/>
      <c r="AE28" s="65"/>
      <c r="AF28" s="63"/>
    </row>
    <row r="29" spans="1:32" ht="14.25" customHeight="1" x14ac:dyDescent="0.25">
      <c r="A29" s="10"/>
      <c r="B29" s="35">
        <v>0</v>
      </c>
      <c r="C29" s="10"/>
      <c r="D29" s="10" t="s">
        <v>43</v>
      </c>
      <c r="E29" s="10"/>
      <c r="F29" s="54">
        <f>INT(VLOOKUP(D29,战力表!A:B,2,)/10000)</f>
        <v>204</v>
      </c>
      <c r="G29" s="12"/>
      <c r="H29" s="55">
        <v>0</v>
      </c>
      <c r="I29" s="54"/>
      <c r="J29" s="12"/>
      <c r="K29" s="56">
        <f>IF(H29&gt;0,VLOOKUP(D29,战力表!$A$3:$F$58,6,FALSE),0)</f>
        <v>0</v>
      </c>
      <c r="L29" s="56">
        <f t="shared" si="0"/>
        <v>0</v>
      </c>
      <c r="M29" s="56">
        <f t="shared" si="1"/>
        <v>0</v>
      </c>
      <c r="N29" s="56" t="b">
        <f t="shared" si="2"/>
        <v>0</v>
      </c>
      <c r="O29" s="12"/>
      <c r="P29" s="55">
        <v>177</v>
      </c>
      <c r="Q29" s="56">
        <f t="shared" si="3"/>
        <v>0</v>
      </c>
      <c r="R29" s="56">
        <f t="shared" si="4"/>
        <v>177</v>
      </c>
      <c r="S29" s="56" t="str">
        <f t="shared" si="5"/>
        <v/>
      </c>
      <c r="T29" s="56" t="b">
        <f t="shared" si="8"/>
        <v>0</v>
      </c>
      <c r="U29" s="56">
        <f t="shared" si="9"/>
        <v>0</v>
      </c>
      <c r="V29" s="56">
        <f t="shared" si="6"/>
        <v>177</v>
      </c>
      <c r="W29" s="12" t="str">
        <f>IF(H29=0,List!$C$5,$C$3)</f>
        <v>没有忍战，无法分包</v>
      </c>
      <c r="X29" s="12"/>
      <c r="Y29" s="12">
        <f t="shared" si="7"/>
        <v>177</v>
      </c>
      <c r="Z29" s="12">
        <f>RANK(Y29,$Y$15:$Y$55,0)+COUNTIF($Y$15:Y29,Y29)-1</f>
        <v>37</v>
      </c>
      <c r="AA29" s="12"/>
      <c r="AB29" s="12"/>
      <c r="AD29" s="65"/>
      <c r="AE29" s="65"/>
      <c r="AF29" s="65"/>
    </row>
    <row r="30" spans="1:32" ht="15" customHeight="1" x14ac:dyDescent="0.25">
      <c r="A30" s="10"/>
      <c r="B30" s="35">
        <v>0</v>
      </c>
      <c r="C30" s="10"/>
      <c r="D30" s="10" t="s">
        <v>44</v>
      </c>
      <c r="E30" s="10"/>
      <c r="F30" s="54">
        <f>INT(VLOOKUP(D30,战力表!A:B,2,)/10000)</f>
        <v>265</v>
      </c>
      <c r="G30" s="12"/>
      <c r="H30" s="55">
        <v>3</v>
      </c>
      <c r="I30" s="54"/>
      <c r="J30" s="12"/>
      <c r="K30" s="56">
        <f>IF(H30&gt;0,VLOOKUP(D30,战力表!$A$3:$F$58,6,FALSE),0)</f>
        <v>8</v>
      </c>
      <c r="L30" s="56">
        <f t="shared" si="0"/>
        <v>9</v>
      </c>
      <c r="M30" s="56">
        <f t="shared" si="1"/>
        <v>4</v>
      </c>
      <c r="N30" s="56" t="b">
        <f t="shared" si="2"/>
        <v>0</v>
      </c>
      <c r="O30" s="12"/>
      <c r="P30" s="55">
        <v>410</v>
      </c>
      <c r="Q30" s="56">
        <f t="shared" si="3"/>
        <v>21</v>
      </c>
      <c r="R30" s="56">
        <f t="shared" si="4"/>
        <v>431</v>
      </c>
      <c r="S30" s="56">
        <f t="shared" si="5"/>
        <v>1</v>
      </c>
      <c r="T30" s="56" t="str">
        <f t="shared" si="8"/>
        <v>传说</v>
      </c>
      <c r="U30" s="56">
        <f t="shared" si="9"/>
        <v>-22</v>
      </c>
      <c r="V30" s="56">
        <f t="shared" si="6"/>
        <v>409</v>
      </c>
      <c r="W30" s="12">
        <f>IF(H30=0,List!$C$5,$C$3)</f>
        <v>0</v>
      </c>
      <c r="X30" s="12"/>
      <c r="Y30" s="12">
        <f t="shared" si="7"/>
        <v>431</v>
      </c>
      <c r="Z30" s="12">
        <f>RANK(Y30,$Y$15:$Y$55,0)+COUNTIF($Y$15:Y30,Y30)-1</f>
        <v>8</v>
      </c>
      <c r="AA30" s="12"/>
      <c r="AB30" s="12"/>
      <c r="AD30" s="68"/>
      <c r="AE30" s="68"/>
      <c r="AF30" s="68"/>
    </row>
    <row r="31" spans="1:32" ht="15" customHeight="1" x14ac:dyDescent="0.25">
      <c r="A31" s="10"/>
      <c r="B31" s="35">
        <v>0</v>
      </c>
      <c r="C31" s="10"/>
      <c r="D31" s="10" t="s">
        <v>47</v>
      </c>
      <c r="E31" s="10"/>
      <c r="F31" s="54">
        <f>INT(VLOOKUP(D31,战力表!A:B,2,)/10000)</f>
        <v>250</v>
      </c>
      <c r="G31" s="12"/>
      <c r="H31" s="55">
        <v>3</v>
      </c>
      <c r="I31" s="54"/>
      <c r="J31" s="12"/>
      <c r="K31" s="56">
        <f>IF(H31&gt;0,VLOOKUP(D31,战力表!$A$3:$F$58,6,FALSE),0)</f>
        <v>8</v>
      </c>
      <c r="L31" s="56">
        <f t="shared" si="0"/>
        <v>9</v>
      </c>
      <c r="M31" s="56">
        <f t="shared" si="1"/>
        <v>4</v>
      </c>
      <c r="N31" s="56" t="b">
        <f t="shared" si="2"/>
        <v>0</v>
      </c>
      <c r="O31" s="12"/>
      <c r="P31" s="55">
        <v>412</v>
      </c>
      <c r="Q31" s="56">
        <f t="shared" si="3"/>
        <v>21</v>
      </c>
      <c r="R31" s="56">
        <f t="shared" si="4"/>
        <v>433</v>
      </c>
      <c r="S31" s="56">
        <f t="shared" si="5"/>
        <v>1</v>
      </c>
      <c r="T31" s="56" t="str">
        <f t="shared" si="8"/>
        <v>传说</v>
      </c>
      <c r="U31" s="56">
        <f t="shared" si="9"/>
        <v>-22</v>
      </c>
      <c r="V31" s="56">
        <f t="shared" si="6"/>
        <v>411</v>
      </c>
      <c r="W31" s="12">
        <f>IF(H31=0,List!$C$5,$C$3)</f>
        <v>0</v>
      </c>
      <c r="X31" s="12"/>
      <c r="Y31" s="12">
        <f t="shared" si="7"/>
        <v>433</v>
      </c>
      <c r="Z31" s="12">
        <f>RANK(Y31,$Y$15:$Y$55,0)+COUNTIF($Y$15:Y31,Y31)-1</f>
        <v>5</v>
      </c>
      <c r="AA31" s="12"/>
      <c r="AB31" s="12"/>
      <c r="AD31" s="65"/>
      <c r="AE31" s="65"/>
      <c r="AF31" s="68"/>
    </row>
    <row r="32" spans="1:32" ht="14.25" customHeight="1" x14ac:dyDescent="0.25">
      <c r="A32" s="10"/>
      <c r="B32" s="35">
        <v>0</v>
      </c>
      <c r="C32" s="10"/>
      <c r="D32" s="10" t="s">
        <v>48</v>
      </c>
      <c r="E32" s="10"/>
      <c r="F32" s="54">
        <f>INT(VLOOKUP(D32,战力表!A:B,2,)/10000)</f>
        <v>210</v>
      </c>
      <c r="G32" s="12"/>
      <c r="H32" s="55">
        <v>0</v>
      </c>
      <c r="I32" s="54"/>
      <c r="J32" s="12"/>
      <c r="K32" s="56">
        <f>IF(H32&gt;0,VLOOKUP(D32,战力表!$A$3:$F$58,6,FALSE),0)</f>
        <v>0</v>
      </c>
      <c r="L32" s="56">
        <f t="shared" si="0"/>
        <v>0</v>
      </c>
      <c r="M32" s="56">
        <f t="shared" si="1"/>
        <v>0</v>
      </c>
      <c r="N32" s="56" t="b">
        <f t="shared" si="2"/>
        <v>0</v>
      </c>
      <c r="O32" s="12"/>
      <c r="P32" s="55">
        <v>295</v>
      </c>
      <c r="Q32" s="56">
        <f t="shared" si="3"/>
        <v>0</v>
      </c>
      <c r="R32" s="56">
        <f t="shared" si="4"/>
        <v>295</v>
      </c>
      <c r="S32" s="56" t="str">
        <f t="shared" si="5"/>
        <v/>
      </c>
      <c r="T32" s="56" t="b">
        <f t="shared" si="8"/>
        <v>0</v>
      </c>
      <c r="U32" s="56">
        <f t="shared" si="9"/>
        <v>0</v>
      </c>
      <c r="V32" s="56">
        <f t="shared" si="6"/>
        <v>295</v>
      </c>
      <c r="W32" s="12" t="str">
        <f>IF(H32=0,List!$C$5,$C$3)</f>
        <v>没有忍战，无法分包</v>
      </c>
      <c r="X32" s="12"/>
      <c r="Y32" s="12">
        <f t="shared" si="7"/>
        <v>295</v>
      </c>
      <c r="Z32" s="12">
        <f>RANK(Y32,$Y$15:$Y$55,0)+COUNTIF($Y$15:Y32,Y32)-1</f>
        <v>21</v>
      </c>
      <c r="AA32" s="12"/>
      <c r="AB32" s="12"/>
      <c r="AD32" s="65"/>
      <c r="AE32" s="65"/>
      <c r="AF32" s="65"/>
    </row>
    <row r="33" spans="1:32" ht="14.25" customHeight="1" x14ac:dyDescent="0.25">
      <c r="A33" s="10"/>
      <c r="B33" s="35">
        <v>0</v>
      </c>
      <c r="C33" s="10"/>
      <c r="D33" s="10" t="s">
        <v>49</v>
      </c>
      <c r="E33" s="10"/>
      <c r="F33" s="54">
        <f>INT(VLOOKUP(D33,战力表!A:B,2,)/10000)</f>
        <v>242</v>
      </c>
      <c r="G33" s="12"/>
      <c r="H33" s="55">
        <v>3</v>
      </c>
      <c r="I33" s="54"/>
      <c r="J33" s="12"/>
      <c r="K33" s="56">
        <f>IF(H33&gt;0,VLOOKUP(D33,战力表!$A$3:$F$58,6,FALSE),0)</f>
        <v>8</v>
      </c>
      <c r="L33" s="56">
        <f t="shared" si="0"/>
        <v>9</v>
      </c>
      <c r="M33" s="56">
        <f t="shared" si="1"/>
        <v>4</v>
      </c>
      <c r="N33" s="56" t="b">
        <f t="shared" si="2"/>
        <v>0</v>
      </c>
      <c r="O33" s="12"/>
      <c r="P33" s="55">
        <v>410</v>
      </c>
      <c r="Q33" s="56">
        <f t="shared" si="3"/>
        <v>21</v>
      </c>
      <c r="R33" s="56">
        <f t="shared" si="4"/>
        <v>431</v>
      </c>
      <c r="S33" s="56">
        <f t="shared" si="5"/>
        <v>2</v>
      </c>
      <c r="T33" s="56" t="str">
        <f t="shared" si="8"/>
        <v>英雄</v>
      </c>
      <c r="U33" s="56">
        <f t="shared" si="9"/>
        <v>-13</v>
      </c>
      <c r="V33" s="56">
        <f t="shared" si="6"/>
        <v>418</v>
      </c>
      <c r="W33" s="12">
        <f>IF(H33=0,List!$C$5,$C$3)</f>
        <v>0</v>
      </c>
      <c r="X33" s="12"/>
      <c r="Y33" s="12">
        <f t="shared" si="7"/>
        <v>431</v>
      </c>
      <c r="Z33" s="12">
        <f>RANK(Y33,$Y$15:$Y$55,0)+COUNTIF($Y$15:Y33,Y33)-1</f>
        <v>9</v>
      </c>
      <c r="AA33" s="12"/>
      <c r="AB33" s="12"/>
      <c r="AD33" s="33"/>
      <c r="AE33" s="33"/>
      <c r="AF33" s="64"/>
    </row>
    <row r="34" spans="1:32" ht="14.25" customHeight="1" x14ac:dyDescent="0.25">
      <c r="A34" s="10"/>
      <c r="B34" s="35">
        <v>0</v>
      </c>
      <c r="C34" s="10"/>
      <c r="D34" s="10" t="s">
        <v>51</v>
      </c>
      <c r="E34" s="10"/>
      <c r="F34" s="54">
        <f>INT(VLOOKUP(D34,战力表!A:B,2,)/10000)</f>
        <v>197</v>
      </c>
      <c r="G34" s="12"/>
      <c r="H34" s="55">
        <v>0</v>
      </c>
      <c r="I34" s="54"/>
      <c r="J34" s="12"/>
      <c r="K34" s="56">
        <f>IF(H34&gt;0,VLOOKUP(D34,战力表!$A$3:$F$58,6,FALSE),0)</f>
        <v>0</v>
      </c>
      <c r="L34" s="56">
        <f t="shared" si="0"/>
        <v>0</v>
      </c>
      <c r="M34" s="56">
        <f t="shared" si="1"/>
        <v>0</v>
      </c>
      <c r="N34" s="56" t="b">
        <f t="shared" si="2"/>
        <v>0</v>
      </c>
      <c r="O34" s="12"/>
      <c r="P34" s="55">
        <v>270</v>
      </c>
      <c r="Q34" s="56">
        <f t="shared" si="3"/>
        <v>0</v>
      </c>
      <c r="R34" s="56">
        <f t="shared" si="4"/>
        <v>270</v>
      </c>
      <c r="S34" s="56" t="str">
        <f t="shared" si="5"/>
        <v/>
      </c>
      <c r="T34" s="56" t="b">
        <f t="shared" si="8"/>
        <v>0</v>
      </c>
      <c r="U34" s="56">
        <f t="shared" si="9"/>
        <v>0</v>
      </c>
      <c r="V34" s="56">
        <f t="shared" si="6"/>
        <v>270</v>
      </c>
      <c r="W34" s="12" t="str">
        <f>IF(H34=0,List!$C$5,$C$3)</f>
        <v>没有忍战，无法分包</v>
      </c>
      <c r="X34" s="12"/>
      <c r="Y34" s="12">
        <f t="shared" si="7"/>
        <v>270</v>
      </c>
      <c r="Z34" s="12">
        <f>RANK(Y34,$Y$15:$Y$55,0)+COUNTIF($Y$15:Y34,Y34)-1</f>
        <v>28</v>
      </c>
      <c r="AA34" s="12"/>
      <c r="AB34" s="12"/>
      <c r="AD34" s="33"/>
      <c r="AE34" s="33"/>
      <c r="AF34" s="64"/>
    </row>
    <row r="35" spans="1:32" ht="13.15" customHeight="1" x14ac:dyDescent="0.25">
      <c r="A35" s="10"/>
      <c r="B35" s="35">
        <v>0</v>
      </c>
      <c r="C35" s="10"/>
      <c r="D35" s="10" t="s">
        <v>53</v>
      </c>
      <c r="E35" s="10"/>
      <c r="F35" s="54">
        <f>INT(VLOOKUP(D35,战力表!A:B,2,)/10000)</f>
        <v>169</v>
      </c>
      <c r="G35" s="12"/>
      <c r="H35" s="55">
        <v>0</v>
      </c>
      <c r="I35" s="54"/>
      <c r="J35" s="12"/>
      <c r="K35" s="56">
        <f>IF(H35&gt;0,VLOOKUP(D35,战力表!$A$3:$F$58,6,FALSE),0)</f>
        <v>0</v>
      </c>
      <c r="L35" s="56">
        <f t="shared" si="0"/>
        <v>0</v>
      </c>
      <c r="M35" s="56">
        <f t="shared" si="1"/>
        <v>0</v>
      </c>
      <c r="N35" s="56" t="b">
        <f t="shared" si="2"/>
        <v>0</v>
      </c>
      <c r="O35" s="12"/>
      <c r="P35" s="55">
        <v>206</v>
      </c>
      <c r="Q35" s="56">
        <f t="shared" si="3"/>
        <v>0</v>
      </c>
      <c r="R35" s="56">
        <f t="shared" si="4"/>
        <v>206</v>
      </c>
      <c r="S35" s="56" t="str">
        <f t="shared" si="5"/>
        <v/>
      </c>
      <c r="T35" s="56" t="b">
        <f t="shared" si="8"/>
        <v>0</v>
      </c>
      <c r="U35" s="56">
        <f t="shared" si="9"/>
        <v>0</v>
      </c>
      <c r="V35" s="56">
        <f t="shared" si="6"/>
        <v>206</v>
      </c>
      <c r="W35" s="12" t="str">
        <f>IF(H35=0,List!$C$5,$C$3)</f>
        <v>没有忍战，无法分包</v>
      </c>
      <c r="X35" s="12"/>
      <c r="Y35" s="12">
        <f t="shared" si="7"/>
        <v>206</v>
      </c>
      <c r="Z35" s="12">
        <f>RANK(Y35,$Y$15:$Y$55,0)+COUNTIF($Y$15:Y35,Y35)-1</f>
        <v>36</v>
      </c>
      <c r="AA35" s="12"/>
      <c r="AB35" s="12"/>
      <c r="AD35" s="33"/>
      <c r="AE35" s="33"/>
      <c r="AF35" s="33"/>
    </row>
    <row r="36" spans="1:32" ht="14.25" customHeight="1" x14ac:dyDescent="0.25">
      <c r="A36" s="10"/>
      <c r="B36" s="35">
        <v>0</v>
      </c>
      <c r="C36" s="10"/>
      <c r="D36" s="10" t="s">
        <v>54</v>
      </c>
      <c r="E36" s="10"/>
      <c r="F36" s="54">
        <f>INT(VLOOKUP(D36,战力表!A:B,2,)/10000)</f>
        <v>208</v>
      </c>
      <c r="G36" s="12"/>
      <c r="H36" s="55">
        <v>2</v>
      </c>
      <c r="I36" s="54"/>
      <c r="J36" s="12"/>
      <c r="K36" s="56">
        <f>IF(H36&gt;0,VLOOKUP(D36,战力表!$A$3:$F$58,6,FALSE),0)</f>
        <v>8</v>
      </c>
      <c r="L36" s="56">
        <f t="shared" si="0"/>
        <v>6</v>
      </c>
      <c r="M36" s="56">
        <f t="shared" si="1"/>
        <v>0</v>
      </c>
      <c r="N36" s="56" t="b">
        <f t="shared" si="2"/>
        <v>0</v>
      </c>
      <c r="O36" s="12"/>
      <c r="P36" s="55">
        <v>410</v>
      </c>
      <c r="Q36" s="56">
        <f t="shared" si="3"/>
        <v>14</v>
      </c>
      <c r="R36" s="56">
        <f t="shared" si="4"/>
        <v>424</v>
      </c>
      <c r="S36" s="56">
        <f t="shared" si="5"/>
        <v>2</v>
      </c>
      <c r="T36" s="56" t="str">
        <f t="shared" si="8"/>
        <v>英雄</v>
      </c>
      <c r="U36" s="56">
        <f t="shared" si="9"/>
        <v>-13</v>
      </c>
      <c r="V36" s="56">
        <f t="shared" si="6"/>
        <v>411</v>
      </c>
      <c r="W36" s="12">
        <f>IF(H36=0,List!$C$5,$C$3)</f>
        <v>0</v>
      </c>
      <c r="X36" s="12"/>
      <c r="Y36" s="12">
        <f t="shared" si="7"/>
        <v>424</v>
      </c>
      <c r="Z36" s="12">
        <f>RANK(Y36,$Y$15:$Y$55,0)+COUNTIF($Y$15:Y36,Y36)-1</f>
        <v>14</v>
      </c>
      <c r="AA36" s="12"/>
      <c r="AB36" s="12"/>
      <c r="AD36" s="33"/>
      <c r="AE36" s="33"/>
      <c r="AF36" s="33"/>
    </row>
    <row r="37" spans="1:32" ht="14.25" customHeight="1" x14ac:dyDescent="0.25">
      <c r="A37" s="10"/>
      <c r="B37" s="35">
        <v>0</v>
      </c>
      <c r="C37" s="10"/>
      <c r="D37" s="10" t="s">
        <v>82</v>
      </c>
      <c r="E37" s="10"/>
      <c r="F37" s="54">
        <f>INT(VLOOKUP(D37,战力表!A:B,2,)/10000)</f>
        <v>184</v>
      </c>
      <c r="G37" s="12"/>
      <c r="H37" s="55">
        <v>0</v>
      </c>
      <c r="I37" s="54"/>
      <c r="J37" s="12"/>
      <c r="K37" s="56">
        <f>IF(H37&gt;0,VLOOKUP(D37,战力表!$A$3:$F$58,6,FALSE),0)</f>
        <v>0</v>
      </c>
      <c r="L37" s="56">
        <f t="shared" si="0"/>
        <v>0</v>
      </c>
      <c r="M37" s="56">
        <f t="shared" si="1"/>
        <v>0</v>
      </c>
      <c r="N37" s="56" t="b">
        <f t="shared" si="2"/>
        <v>0</v>
      </c>
      <c r="O37" s="12"/>
      <c r="P37" s="55">
        <v>265</v>
      </c>
      <c r="Q37" s="56">
        <f t="shared" si="3"/>
        <v>0</v>
      </c>
      <c r="R37" s="56">
        <f t="shared" si="4"/>
        <v>265</v>
      </c>
      <c r="S37" s="56" t="str">
        <f t="shared" si="5"/>
        <v/>
      </c>
      <c r="T37" s="56" t="b">
        <f t="shared" si="8"/>
        <v>0</v>
      </c>
      <c r="U37" s="56">
        <f t="shared" si="9"/>
        <v>0</v>
      </c>
      <c r="V37" s="56">
        <f t="shared" si="6"/>
        <v>265</v>
      </c>
      <c r="W37" s="12" t="str">
        <f>IF(H37=0,List!$C$5,$C$3)</f>
        <v>没有忍战，无法分包</v>
      </c>
      <c r="X37" s="12"/>
      <c r="Y37" s="12">
        <f t="shared" si="7"/>
        <v>265</v>
      </c>
      <c r="Z37" s="12">
        <f>RANK(Y37,$Y$15:$Y$55,0)+COUNTIF($Y$15:Y37,Y37)-1</f>
        <v>29</v>
      </c>
      <c r="AA37" s="12"/>
      <c r="AB37" s="12"/>
      <c r="AD37" s="33"/>
      <c r="AE37" s="33"/>
      <c r="AF37" s="33"/>
    </row>
    <row r="38" spans="1:32" ht="14.25" customHeight="1" x14ac:dyDescent="0.25">
      <c r="A38" s="10"/>
      <c r="B38" s="35">
        <v>0</v>
      </c>
      <c r="C38" s="10"/>
      <c r="D38" s="52" t="s">
        <v>56</v>
      </c>
      <c r="E38" s="10"/>
      <c r="F38" s="54">
        <f>INT(VLOOKUP(D38,战力表!A:B,2,)/10000)</f>
        <v>160</v>
      </c>
      <c r="G38" s="12"/>
      <c r="H38" s="55">
        <v>0</v>
      </c>
      <c r="I38" s="54"/>
      <c r="J38" s="12"/>
      <c r="K38" s="56">
        <f>IF(H38&gt;0,VLOOKUP(D38,战力表!$A$3:$F$58,6,FALSE),0)</f>
        <v>0</v>
      </c>
      <c r="L38" s="56">
        <f t="shared" si="0"/>
        <v>0</v>
      </c>
      <c r="M38" s="56">
        <f t="shared" si="1"/>
        <v>0</v>
      </c>
      <c r="N38" s="56" t="b">
        <f t="shared" si="2"/>
        <v>0</v>
      </c>
      <c r="O38" s="12"/>
      <c r="P38" s="55">
        <v>105</v>
      </c>
      <c r="Q38" s="56">
        <f t="shared" si="3"/>
        <v>0</v>
      </c>
      <c r="R38" s="56">
        <f t="shared" si="4"/>
        <v>105</v>
      </c>
      <c r="S38" s="56" t="str">
        <f t="shared" si="5"/>
        <v/>
      </c>
      <c r="T38" s="56" t="b">
        <f t="shared" si="8"/>
        <v>0</v>
      </c>
      <c r="U38" s="56">
        <f t="shared" si="9"/>
        <v>0</v>
      </c>
      <c r="V38" s="56">
        <f t="shared" si="6"/>
        <v>105</v>
      </c>
      <c r="W38" s="12" t="str">
        <f>IF(H38=0,List!$C$5,$C$3)</f>
        <v>没有忍战，无法分包</v>
      </c>
      <c r="X38" s="12"/>
      <c r="Y38" s="12">
        <f t="shared" si="7"/>
        <v>105</v>
      </c>
      <c r="Z38" s="12">
        <f>RANK(Y38,$Y$15:$Y$55,0)+COUNTIF($Y$15:Y38,Y38)-1</f>
        <v>39</v>
      </c>
      <c r="AA38" s="12"/>
      <c r="AB38" s="12"/>
      <c r="AD38" s="33"/>
      <c r="AE38" s="33"/>
      <c r="AF38" s="33"/>
    </row>
    <row r="39" spans="1:32" ht="14.25" customHeight="1" x14ac:dyDescent="0.25">
      <c r="A39" s="10"/>
      <c r="B39" s="35">
        <v>0</v>
      </c>
      <c r="C39" s="10"/>
      <c r="D39" s="61" t="s">
        <v>175</v>
      </c>
      <c r="E39" s="10"/>
      <c r="F39" s="54">
        <f>INT(VLOOKUP(D39,战力表!A:B,2,)/10000)</f>
        <v>40</v>
      </c>
      <c r="G39" s="12"/>
      <c r="H39" s="55">
        <v>1</v>
      </c>
      <c r="I39" s="54"/>
      <c r="J39" s="12"/>
      <c r="K39" s="56">
        <f>IF(H39&gt;0,VLOOKUP(D39,战力表!$A$3:$F$58,6,FALSE),0)</f>
        <v>7</v>
      </c>
      <c r="L39" s="56">
        <f t="shared" si="0"/>
        <v>3</v>
      </c>
      <c r="M39" s="56">
        <f t="shared" si="1"/>
        <v>0</v>
      </c>
      <c r="N39" s="56" t="b">
        <f t="shared" si="2"/>
        <v>0</v>
      </c>
      <c r="O39" s="12"/>
      <c r="P39" s="55">
        <v>277</v>
      </c>
      <c r="Q39" s="56">
        <f t="shared" si="3"/>
        <v>10</v>
      </c>
      <c r="R39" s="56">
        <f t="shared" si="4"/>
        <v>287</v>
      </c>
      <c r="S39" s="56">
        <f t="shared" si="5"/>
        <v>3</v>
      </c>
      <c r="T39" s="56" t="str">
        <f t="shared" si="8"/>
        <v>精英</v>
      </c>
      <c r="U39" s="56">
        <f t="shared" si="9"/>
        <v>-10</v>
      </c>
      <c r="V39" s="56">
        <f t="shared" si="6"/>
        <v>277</v>
      </c>
      <c r="W39" s="12">
        <f>IF(H39=0,List!$C$5,$C$3)</f>
        <v>0</v>
      </c>
      <c r="X39" s="12"/>
      <c r="Y39" s="12">
        <f t="shared" si="7"/>
        <v>287</v>
      </c>
      <c r="Z39" s="12">
        <f>RANK(Y39,$Y$15:$Y$55,0)+COUNTIF($Y$15:Y39,Y39)-1</f>
        <v>24</v>
      </c>
      <c r="AA39" s="12"/>
      <c r="AB39" s="12"/>
      <c r="AD39" s="33"/>
      <c r="AE39" s="33"/>
      <c r="AF39" s="33"/>
    </row>
    <row r="40" spans="1:32" ht="14.25" customHeight="1" x14ac:dyDescent="0.25">
      <c r="A40" s="10"/>
      <c r="B40" s="35">
        <v>0</v>
      </c>
      <c r="C40" s="10"/>
      <c r="D40" s="60" t="s">
        <v>174</v>
      </c>
      <c r="E40" s="10"/>
      <c r="F40" s="54">
        <f>INT(VLOOKUP(D40,战力表!A:B,2,)/10000)</f>
        <v>40</v>
      </c>
      <c r="G40" s="12"/>
      <c r="H40" s="55">
        <v>1</v>
      </c>
      <c r="I40" s="54"/>
      <c r="J40" s="12"/>
      <c r="K40" s="56">
        <f>IF(H40&gt;0,VLOOKUP(D40,战力表!$A$3:$F$58,6,FALSE),0)</f>
        <v>7</v>
      </c>
      <c r="L40" s="56">
        <f t="shared" si="0"/>
        <v>3</v>
      </c>
      <c r="M40" s="56">
        <f t="shared" si="1"/>
        <v>0</v>
      </c>
      <c r="N40" s="56" t="b">
        <f t="shared" si="2"/>
        <v>0</v>
      </c>
      <c r="O40" s="12"/>
      <c r="P40" s="55">
        <v>274</v>
      </c>
      <c r="Q40" s="56">
        <f t="shared" si="3"/>
        <v>10</v>
      </c>
      <c r="R40" s="56">
        <f t="shared" si="4"/>
        <v>284</v>
      </c>
      <c r="S40" s="56">
        <f t="shared" si="5"/>
        <v>3</v>
      </c>
      <c r="T40" s="56" t="str">
        <f t="shared" si="8"/>
        <v>精英</v>
      </c>
      <c r="U40" s="56">
        <f t="shared" si="9"/>
        <v>-10</v>
      </c>
      <c r="V40" s="56">
        <f t="shared" si="6"/>
        <v>274</v>
      </c>
      <c r="W40" s="12">
        <f>IF(H40=0,List!$C$5,$C$3)</f>
        <v>0</v>
      </c>
      <c r="X40" s="12"/>
      <c r="Y40" s="12">
        <f t="shared" si="7"/>
        <v>284</v>
      </c>
      <c r="Z40" s="12">
        <f>RANK(Y40,$Y$15:$Y$55,0)+COUNTIF($Y$15:Y40,Y40)-1</f>
        <v>26</v>
      </c>
      <c r="AA40" s="12"/>
      <c r="AB40" s="12"/>
      <c r="AD40" s="33"/>
      <c r="AE40" s="33"/>
      <c r="AF40" s="33"/>
    </row>
    <row r="41" spans="1:32" ht="14.25" customHeight="1" x14ac:dyDescent="0.25">
      <c r="A41" s="10"/>
      <c r="B41" s="35">
        <v>0</v>
      </c>
      <c r="C41" s="10"/>
      <c r="D41" s="10" t="s">
        <v>57</v>
      </c>
      <c r="E41" s="10"/>
      <c r="F41" s="54">
        <f>INT(VLOOKUP(D41,战力表!A:B,2,)/10000)</f>
        <v>187</v>
      </c>
      <c r="G41" s="12"/>
      <c r="H41" s="55">
        <v>3</v>
      </c>
      <c r="I41" s="54"/>
      <c r="J41" s="12"/>
      <c r="K41" s="56">
        <f>IF(H41&gt;0,VLOOKUP(D41,战力表!$A$3:$F$58,6,FALSE),0)</f>
        <v>8</v>
      </c>
      <c r="L41" s="56">
        <f t="shared" si="0"/>
        <v>9</v>
      </c>
      <c r="M41" s="56">
        <f t="shared" si="1"/>
        <v>4</v>
      </c>
      <c r="N41" s="56" t="b">
        <f t="shared" si="2"/>
        <v>0</v>
      </c>
      <c r="O41" s="12"/>
      <c r="P41" s="55">
        <v>405</v>
      </c>
      <c r="Q41" s="56">
        <f t="shared" si="3"/>
        <v>21</v>
      </c>
      <c r="R41" s="56">
        <f t="shared" si="4"/>
        <v>426</v>
      </c>
      <c r="S41" s="56">
        <f t="shared" si="5"/>
        <v>2</v>
      </c>
      <c r="T41" s="56" t="str">
        <f t="shared" si="8"/>
        <v>英雄</v>
      </c>
      <c r="U41" s="56">
        <f t="shared" si="9"/>
        <v>-13</v>
      </c>
      <c r="V41" s="56">
        <f t="shared" si="6"/>
        <v>413</v>
      </c>
      <c r="W41" s="12">
        <f>IF(H41=0,List!$C$5,$C$3)</f>
        <v>0</v>
      </c>
      <c r="X41" s="12"/>
      <c r="Y41" s="12">
        <f t="shared" si="7"/>
        <v>426</v>
      </c>
      <c r="Z41" s="12">
        <f>RANK(Y41,$Y$15:$Y$55,0)+COUNTIF($Y$15:Y41,Y41)-1</f>
        <v>12</v>
      </c>
      <c r="AA41" s="12"/>
      <c r="AB41" s="12"/>
      <c r="AD41" s="33"/>
      <c r="AE41" s="33"/>
      <c r="AF41" s="33"/>
    </row>
    <row r="42" spans="1:32" ht="14.25" customHeight="1" x14ac:dyDescent="0.25">
      <c r="A42" s="10"/>
      <c r="B42" s="35">
        <v>0</v>
      </c>
      <c r="C42" s="10"/>
      <c r="D42" s="10" t="s">
        <v>60</v>
      </c>
      <c r="E42" s="10"/>
      <c r="F42" s="54">
        <f>INT(VLOOKUP(D42,战力表!A:B,2,)/10000)</f>
        <v>157</v>
      </c>
      <c r="G42" s="12"/>
      <c r="H42" s="55">
        <v>2</v>
      </c>
      <c r="I42" s="54"/>
      <c r="J42" s="12"/>
      <c r="K42" s="56">
        <f>IF(H42&gt;0,VLOOKUP(D42,战力表!$A$3:$F$58,6,FALSE),0)</f>
        <v>7</v>
      </c>
      <c r="L42" s="56">
        <f t="shared" si="0"/>
        <v>6</v>
      </c>
      <c r="M42" s="56">
        <f t="shared" si="1"/>
        <v>0</v>
      </c>
      <c r="N42" s="56" t="b">
        <f t="shared" si="2"/>
        <v>0</v>
      </c>
      <c r="O42" s="12"/>
      <c r="P42" s="55">
        <v>406</v>
      </c>
      <c r="Q42" s="56">
        <f t="shared" si="3"/>
        <v>13</v>
      </c>
      <c r="R42" s="56">
        <f t="shared" si="4"/>
        <v>419</v>
      </c>
      <c r="S42" s="56">
        <f t="shared" si="5"/>
        <v>2</v>
      </c>
      <c r="T42" s="56" t="str">
        <f t="shared" si="8"/>
        <v>英雄</v>
      </c>
      <c r="U42" s="56">
        <f t="shared" si="9"/>
        <v>-13</v>
      </c>
      <c r="V42" s="56">
        <f t="shared" si="6"/>
        <v>406</v>
      </c>
      <c r="W42" s="12">
        <f>IF(H42=0,List!$C$5,$C$3)</f>
        <v>0</v>
      </c>
      <c r="X42" s="12"/>
      <c r="Y42" s="12">
        <f t="shared" si="7"/>
        <v>419</v>
      </c>
      <c r="Z42" s="12">
        <f>RANK(Y42,$Y$15:$Y$55,0)+COUNTIF($Y$15:Y42,Y42)-1</f>
        <v>16</v>
      </c>
      <c r="AA42" s="12"/>
      <c r="AB42" s="12"/>
      <c r="AD42" s="33"/>
      <c r="AE42" s="33"/>
      <c r="AF42" s="33"/>
    </row>
    <row r="43" spans="1:32" ht="14.25" customHeight="1" x14ac:dyDescent="0.25">
      <c r="A43" s="10"/>
      <c r="B43" s="35">
        <v>0</v>
      </c>
      <c r="C43" s="10"/>
      <c r="D43" s="10" t="s">
        <v>59</v>
      </c>
      <c r="E43" s="10"/>
      <c r="F43" s="54">
        <f>INT(VLOOKUP(D43,战力表!A:B,2,)/10000)</f>
        <v>134</v>
      </c>
      <c r="G43" s="12"/>
      <c r="H43" s="55">
        <v>0</v>
      </c>
      <c r="I43" s="54"/>
      <c r="J43" s="12"/>
      <c r="K43" s="56">
        <f>IF(H43&gt;0,VLOOKUP(D43,战力表!$A$3:$F$58,6,FALSE),0)</f>
        <v>0</v>
      </c>
      <c r="L43" s="56">
        <f t="shared" si="0"/>
        <v>0</v>
      </c>
      <c r="M43" s="56">
        <f t="shared" si="1"/>
        <v>0</v>
      </c>
      <c r="N43" s="56" t="b">
        <f t="shared" si="2"/>
        <v>0</v>
      </c>
      <c r="O43" s="12"/>
      <c r="P43" s="55">
        <v>37</v>
      </c>
      <c r="Q43" s="56">
        <f t="shared" si="3"/>
        <v>0</v>
      </c>
      <c r="R43" s="56">
        <f t="shared" si="4"/>
        <v>37</v>
      </c>
      <c r="S43" s="56" t="str">
        <f t="shared" si="5"/>
        <v/>
      </c>
      <c r="T43" s="56" t="b">
        <f t="shared" si="8"/>
        <v>0</v>
      </c>
      <c r="U43" s="56">
        <f t="shared" si="9"/>
        <v>0</v>
      </c>
      <c r="V43" s="56">
        <f t="shared" si="6"/>
        <v>37</v>
      </c>
      <c r="W43" s="12" t="str">
        <f>IF(H43=0,List!$C$5,$C$3)</f>
        <v>没有忍战，无法分包</v>
      </c>
      <c r="X43" s="12"/>
      <c r="Y43" s="12">
        <f t="shared" si="7"/>
        <v>37</v>
      </c>
      <c r="Z43" s="12">
        <f>RANK(Y43,$Y$15:$Y$55,0)+COUNTIF($Y$15:Y43,Y43)-1</f>
        <v>41</v>
      </c>
      <c r="AA43" s="12"/>
      <c r="AB43" s="12"/>
      <c r="AD43" s="33"/>
      <c r="AE43" s="33"/>
      <c r="AF43" s="33"/>
    </row>
    <row r="44" spans="1:32" ht="15" customHeight="1" x14ac:dyDescent="0.25">
      <c r="A44" s="10"/>
      <c r="B44" s="35">
        <v>0</v>
      </c>
      <c r="C44" s="10"/>
      <c r="D44" s="10" t="s">
        <v>62</v>
      </c>
      <c r="E44" s="10"/>
      <c r="F44" s="54">
        <f>INT(VLOOKUP(D44,战力表!A:B,2,)/10000)</f>
        <v>117</v>
      </c>
      <c r="G44" s="12"/>
      <c r="H44" s="55">
        <v>0</v>
      </c>
      <c r="I44" s="54"/>
      <c r="J44" s="12"/>
      <c r="K44" s="56">
        <f>IF(H44&gt;0,VLOOKUP(D44,战力表!$A$3:$F$58,6,FALSE),0)</f>
        <v>0</v>
      </c>
      <c r="L44" s="56">
        <f t="shared" si="0"/>
        <v>0</v>
      </c>
      <c r="M44" s="56">
        <f t="shared" si="1"/>
        <v>0</v>
      </c>
      <c r="N44" s="56" t="b">
        <f t="shared" si="2"/>
        <v>0</v>
      </c>
      <c r="O44" s="12"/>
      <c r="P44" s="55">
        <v>115</v>
      </c>
      <c r="Q44" s="56">
        <f t="shared" si="3"/>
        <v>0</v>
      </c>
      <c r="R44" s="56">
        <f t="shared" si="4"/>
        <v>115</v>
      </c>
      <c r="S44" s="56" t="str">
        <f t="shared" si="5"/>
        <v/>
      </c>
      <c r="T44" s="56" t="b">
        <f t="shared" si="8"/>
        <v>0</v>
      </c>
      <c r="U44" s="56">
        <f t="shared" si="9"/>
        <v>0</v>
      </c>
      <c r="V44" s="56">
        <f t="shared" si="6"/>
        <v>115</v>
      </c>
      <c r="W44" s="12" t="str">
        <f>IF(H44=0,List!$C$5,$C$3)</f>
        <v>没有忍战，无法分包</v>
      </c>
      <c r="X44" s="12"/>
      <c r="Y44" s="12">
        <f t="shared" si="7"/>
        <v>115</v>
      </c>
      <c r="Z44" s="12">
        <f>RANK(Y44,$Y$15:$Y$55,0)+COUNTIF($Y$15:Y44,Y44)-1</f>
        <v>38</v>
      </c>
      <c r="AA44" s="12"/>
      <c r="AB44" s="12"/>
      <c r="AD44" s="33"/>
      <c r="AE44" s="33"/>
      <c r="AF44" s="33"/>
    </row>
    <row r="45" spans="1:32" ht="14.25" customHeight="1" x14ac:dyDescent="0.25">
      <c r="A45" s="10"/>
      <c r="B45" s="35">
        <v>0</v>
      </c>
      <c r="C45" s="10"/>
      <c r="D45" s="74" t="s">
        <v>173</v>
      </c>
      <c r="E45" s="10"/>
      <c r="F45" s="54">
        <f>INT(VLOOKUP(D45,战力表!A:B,2,)/10000)</f>
        <v>40</v>
      </c>
      <c r="G45" s="12"/>
      <c r="H45" s="55">
        <v>1</v>
      </c>
      <c r="I45" s="54"/>
      <c r="J45" s="12"/>
      <c r="K45" s="56">
        <f>IF(H45&gt;0,VLOOKUP(D45,战力表!$A$3:$F$58,6,FALSE),0)</f>
        <v>7</v>
      </c>
      <c r="L45" s="56">
        <f t="shared" si="0"/>
        <v>3</v>
      </c>
      <c r="M45" s="56">
        <f t="shared" si="1"/>
        <v>0</v>
      </c>
      <c r="N45" s="56" t="b">
        <f t="shared" si="2"/>
        <v>0</v>
      </c>
      <c r="O45" s="12"/>
      <c r="P45" s="55">
        <v>281</v>
      </c>
      <c r="Q45" s="56">
        <f t="shared" si="3"/>
        <v>10</v>
      </c>
      <c r="R45" s="56">
        <f t="shared" si="4"/>
        <v>291</v>
      </c>
      <c r="S45" s="56">
        <f t="shared" si="5"/>
        <v>3</v>
      </c>
      <c r="T45" s="56" t="str">
        <f t="shared" si="8"/>
        <v>精英</v>
      </c>
      <c r="U45" s="56">
        <f t="shared" si="9"/>
        <v>-10</v>
      </c>
      <c r="V45" s="56">
        <f t="shared" si="6"/>
        <v>281</v>
      </c>
      <c r="W45" s="12">
        <f>IF(H45=0,List!$C$5,$C$3)</f>
        <v>0</v>
      </c>
      <c r="X45" s="12"/>
      <c r="Y45" s="12">
        <f t="shared" si="7"/>
        <v>291</v>
      </c>
      <c r="Z45" s="12">
        <f>RANK(Y45,$Y$15:$Y$55,0)+COUNTIF($Y$15:Y45,Y45)-1</f>
        <v>22</v>
      </c>
      <c r="AA45" s="12"/>
      <c r="AB45" s="12"/>
      <c r="AD45" s="33"/>
      <c r="AE45" s="33"/>
      <c r="AF45" s="33"/>
    </row>
    <row r="46" spans="1:32" ht="14.25" customHeight="1" x14ac:dyDescent="0.25">
      <c r="A46" s="10"/>
      <c r="B46" s="35">
        <v>0</v>
      </c>
      <c r="C46" s="27"/>
      <c r="D46" s="51" t="s">
        <v>164</v>
      </c>
      <c r="E46" s="28"/>
      <c r="F46" s="54">
        <f>INT(VLOOKUP(D46,战力表!A:B,2,)/10000)</f>
        <v>121</v>
      </c>
      <c r="G46" s="12"/>
      <c r="H46" s="55">
        <v>0</v>
      </c>
      <c r="I46" s="54"/>
      <c r="J46" s="12"/>
      <c r="K46" s="56">
        <f>IF(H46&gt;0,VLOOKUP(D46,战力表!$A$3:$F$58,6,FALSE),0)</f>
        <v>0</v>
      </c>
      <c r="L46" s="56">
        <f t="shared" si="0"/>
        <v>0</v>
      </c>
      <c r="M46" s="56">
        <f t="shared" si="1"/>
        <v>0</v>
      </c>
      <c r="N46" s="56" t="b">
        <f t="shared" si="2"/>
        <v>0</v>
      </c>
      <c r="O46" s="12"/>
      <c r="P46" s="55">
        <v>234</v>
      </c>
      <c r="Q46" s="56">
        <f t="shared" si="3"/>
        <v>0</v>
      </c>
      <c r="R46" s="56">
        <f t="shared" si="4"/>
        <v>234</v>
      </c>
      <c r="S46" s="56" t="str">
        <f t="shared" si="5"/>
        <v/>
      </c>
      <c r="T46" s="56" t="b">
        <f t="shared" si="8"/>
        <v>0</v>
      </c>
      <c r="U46" s="56">
        <f t="shared" si="9"/>
        <v>0</v>
      </c>
      <c r="V46" s="56">
        <f t="shared" si="6"/>
        <v>234</v>
      </c>
      <c r="W46" s="12" t="str">
        <f>IF(H46=0,List!$C$5,$C$3)</f>
        <v>没有忍战，无法分包</v>
      </c>
      <c r="X46" s="12"/>
      <c r="Y46" s="12">
        <f t="shared" si="7"/>
        <v>234</v>
      </c>
      <c r="Z46" s="12">
        <f>RANK(Y46,$Y$15:$Y$55,0)+COUNTIF($Y$15:Y46,Y46)-1</f>
        <v>31</v>
      </c>
      <c r="AA46" s="12"/>
      <c r="AB46" s="12"/>
      <c r="AD46" s="33"/>
      <c r="AE46" s="33"/>
      <c r="AF46" s="64"/>
    </row>
    <row r="47" spans="1:32" ht="14.25" customHeight="1" x14ac:dyDescent="0.25">
      <c r="A47" s="10"/>
      <c r="B47" s="35">
        <v>0</v>
      </c>
      <c r="C47" s="27"/>
      <c r="D47" s="31" t="s">
        <v>64</v>
      </c>
      <c r="E47" s="28"/>
      <c r="F47" s="54">
        <f>INT(VLOOKUP(D47,战力表!A:B,2,)/10000)</f>
        <v>129</v>
      </c>
      <c r="G47" s="12"/>
      <c r="H47" s="55">
        <v>3</v>
      </c>
      <c r="I47" s="54"/>
      <c r="J47" s="12"/>
      <c r="K47" s="56">
        <f>IF(H47&gt;0,VLOOKUP(D47,战力表!$A$3:$F$58,6,FALSE),0)</f>
        <v>7</v>
      </c>
      <c r="L47" s="56">
        <f t="shared" si="0"/>
        <v>9</v>
      </c>
      <c r="M47" s="56">
        <f t="shared" si="1"/>
        <v>4</v>
      </c>
      <c r="N47" s="56" t="b">
        <f t="shared" si="2"/>
        <v>0</v>
      </c>
      <c r="O47" s="12"/>
      <c r="P47" s="55">
        <v>411</v>
      </c>
      <c r="Q47" s="56">
        <f t="shared" si="3"/>
        <v>20</v>
      </c>
      <c r="R47" s="56">
        <f t="shared" si="4"/>
        <v>431</v>
      </c>
      <c r="S47" s="56">
        <f t="shared" si="5"/>
        <v>2</v>
      </c>
      <c r="T47" s="56" t="str">
        <f t="shared" si="8"/>
        <v>英雄</v>
      </c>
      <c r="U47" s="56">
        <f t="shared" si="9"/>
        <v>-13</v>
      </c>
      <c r="V47" s="56">
        <f t="shared" si="6"/>
        <v>418</v>
      </c>
      <c r="W47" s="12">
        <f>IF(H47=0,List!$C$5,$C$3)</f>
        <v>0</v>
      </c>
      <c r="X47" s="12"/>
      <c r="Y47" s="12">
        <f t="shared" si="7"/>
        <v>431</v>
      </c>
      <c r="Z47" s="12">
        <f>RANK(Y47,$Y$15:$Y$55,0)+COUNTIF($Y$15:Y47,Y47)-1</f>
        <v>10</v>
      </c>
      <c r="AA47" s="12"/>
      <c r="AB47" s="12"/>
      <c r="AD47" s="33"/>
      <c r="AE47" s="33"/>
      <c r="AF47" s="33"/>
    </row>
    <row r="48" spans="1:32" ht="14.25" customHeight="1" x14ac:dyDescent="0.25">
      <c r="A48" s="10"/>
      <c r="B48" s="35">
        <v>0</v>
      </c>
      <c r="C48" s="27"/>
      <c r="D48" s="32" t="s">
        <v>147</v>
      </c>
      <c r="E48" s="28"/>
      <c r="F48" s="54">
        <f>INT(VLOOKUP(D48,战力表!A:B,2,)/10000)</f>
        <v>137</v>
      </c>
      <c r="G48" s="12"/>
      <c r="H48" s="55">
        <v>3</v>
      </c>
      <c r="I48" s="54"/>
      <c r="J48" s="12"/>
      <c r="K48" s="56">
        <f>IF(H48&gt;0,VLOOKUP(D48,战力表!$A$3:$F$58,6,FALSE),0)</f>
        <v>7</v>
      </c>
      <c r="L48" s="56">
        <f t="shared" si="0"/>
        <v>9</v>
      </c>
      <c r="M48" s="56">
        <f t="shared" si="1"/>
        <v>4</v>
      </c>
      <c r="N48" s="56" t="b">
        <f t="shared" si="2"/>
        <v>0</v>
      </c>
      <c r="O48" s="12"/>
      <c r="P48" s="55">
        <v>406</v>
      </c>
      <c r="Q48" s="56">
        <f t="shared" si="3"/>
        <v>20</v>
      </c>
      <c r="R48" s="56">
        <f t="shared" si="4"/>
        <v>426</v>
      </c>
      <c r="S48" s="56">
        <f t="shared" si="5"/>
        <v>2</v>
      </c>
      <c r="T48" s="56" t="str">
        <f t="shared" si="8"/>
        <v>英雄</v>
      </c>
      <c r="U48" s="56">
        <f t="shared" si="9"/>
        <v>-13</v>
      </c>
      <c r="V48" s="56">
        <f t="shared" si="6"/>
        <v>413</v>
      </c>
      <c r="W48" s="12">
        <f>IF(H48=0,List!$C$5,$C$3)</f>
        <v>0</v>
      </c>
      <c r="X48" s="12"/>
      <c r="Y48" s="12">
        <f t="shared" si="7"/>
        <v>426</v>
      </c>
      <c r="Z48" s="12">
        <f>RANK(Y48,$Y$15:$Y$55,0)+COUNTIF($Y$15:Y48,Y48)-1</f>
        <v>13</v>
      </c>
      <c r="AA48" s="12"/>
      <c r="AB48" s="12"/>
      <c r="AD48" s="33"/>
      <c r="AE48" s="33"/>
      <c r="AF48" s="33"/>
    </row>
    <row r="49" spans="1:32" ht="14.25" customHeight="1" x14ac:dyDescent="0.25">
      <c r="A49" s="10"/>
      <c r="B49" s="35">
        <v>0</v>
      </c>
      <c r="C49" s="10"/>
      <c r="D49" s="30" t="s">
        <v>63</v>
      </c>
      <c r="E49" s="10"/>
      <c r="F49" s="54">
        <f>INT(VLOOKUP(D49,战力表!A:B,2,)/10000)</f>
        <v>30</v>
      </c>
      <c r="G49" s="12"/>
      <c r="H49" s="55">
        <v>0</v>
      </c>
      <c r="I49" s="54"/>
      <c r="J49" s="12"/>
      <c r="K49" s="56">
        <f>IF(H49&gt;0,VLOOKUP(D49,战力表!$A$3:$F$58,6,FALSE),0)</f>
        <v>0</v>
      </c>
      <c r="L49" s="56">
        <f t="shared" si="0"/>
        <v>0</v>
      </c>
      <c r="M49" s="56">
        <f t="shared" si="1"/>
        <v>0</v>
      </c>
      <c r="N49" s="56" t="b">
        <f t="shared" si="2"/>
        <v>0</v>
      </c>
      <c r="O49" s="12"/>
      <c r="P49" s="55">
        <v>209</v>
      </c>
      <c r="Q49" s="56">
        <f t="shared" si="3"/>
        <v>0</v>
      </c>
      <c r="R49" s="56">
        <f t="shared" si="4"/>
        <v>209</v>
      </c>
      <c r="S49" s="56" t="str">
        <f t="shared" si="5"/>
        <v/>
      </c>
      <c r="T49" s="56" t="b">
        <f t="shared" si="8"/>
        <v>0</v>
      </c>
      <c r="U49" s="56">
        <f t="shared" si="9"/>
        <v>0</v>
      </c>
      <c r="V49" s="56">
        <f t="shared" si="6"/>
        <v>209</v>
      </c>
      <c r="W49" s="12" t="str">
        <f>IF(H49=0,List!$C$5,$C$3)</f>
        <v>没有忍战，无法分包</v>
      </c>
      <c r="X49" s="12"/>
      <c r="Y49" s="12">
        <f t="shared" si="7"/>
        <v>209</v>
      </c>
      <c r="Z49" s="12">
        <f>RANK(Y49,$Y$15:$Y$55,0)+COUNTIF($Y$15:Y49,Y49)-1</f>
        <v>34</v>
      </c>
      <c r="AA49" s="12"/>
      <c r="AB49" s="12"/>
      <c r="AD49" s="33"/>
      <c r="AE49" s="33"/>
      <c r="AF49" s="33"/>
    </row>
    <row r="50" spans="1:32" ht="14.25" customHeight="1" x14ac:dyDescent="0.25">
      <c r="A50" s="10"/>
      <c r="B50" s="35">
        <v>1</v>
      </c>
      <c r="C50" s="10"/>
      <c r="D50" s="60" t="s">
        <v>172</v>
      </c>
      <c r="E50" s="10"/>
      <c r="F50" s="54">
        <f>INT(VLOOKUP(D50,战力表!A:B,2,)/10000)</f>
        <v>45</v>
      </c>
      <c r="G50" s="12"/>
      <c r="H50" s="55">
        <v>0</v>
      </c>
      <c r="I50" s="54"/>
      <c r="J50" s="12"/>
      <c r="K50" s="56">
        <f>IF(H50&gt;0,VLOOKUP(D50,战力表!$A$3:$F$58,6,FALSE),0)</f>
        <v>0</v>
      </c>
      <c r="L50" s="56">
        <f t="shared" si="0"/>
        <v>0</v>
      </c>
      <c r="M50" s="56">
        <f t="shared" si="1"/>
        <v>0</v>
      </c>
      <c r="N50" s="56" t="b">
        <f t="shared" si="2"/>
        <v>0</v>
      </c>
      <c r="O50" s="12"/>
      <c r="P50" s="55">
        <v>257</v>
      </c>
      <c r="Q50" s="56">
        <f t="shared" si="3"/>
        <v>0</v>
      </c>
      <c r="R50" s="56">
        <f t="shared" si="4"/>
        <v>257</v>
      </c>
      <c r="S50" s="56" t="str">
        <f t="shared" si="5"/>
        <v/>
      </c>
      <c r="T50" s="56" t="b">
        <f t="shared" si="8"/>
        <v>0</v>
      </c>
      <c r="U50" s="56">
        <f t="shared" si="9"/>
        <v>0</v>
      </c>
      <c r="V50" s="56">
        <f t="shared" si="6"/>
        <v>257</v>
      </c>
      <c r="W50" s="12" t="str">
        <f>IF(H50=0,List!$C$5,$C$3)</f>
        <v>没有忍战，无法分包</v>
      </c>
      <c r="X50" s="12"/>
      <c r="Y50" s="12">
        <f t="shared" si="7"/>
        <v>257</v>
      </c>
      <c r="Z50" s="12">
        <f>RANK(Y50,$Y$15:$Y$55,0)+COUNTIF($Y$15:Y50,Y50)-1</f>
        <v>30</v>
      </c>
      <c r="AA50" s="12"/>
      <c r="AB50" s="12"/>
      <c r="AD50" s="33"/>
      <c r="AE50" s="33"/>
      <c r="AF50" s="33"/>
    </row>
    <row r="51" spans="1:32" ht="14.25" customHeight="1" x14ac:dyDescent="0.25">
      <c r="A51" s="10"/>
      <c r="B51" s="35">
        <v>1</v>
      </c>
      <c r="C51" s="10"/>
      <c r="D51" s="60" t="s">
        <v>176</v>
      </c>
      <c r="E51" s="10"/>
      <c r="F51" s="54">
        <f>INT(VLOOKUP(D51,战力表!A:B,2,)/10000)</f>
        <v>20</v>
      </c>
      <c r="G51" s="12"/>
      <c r="H51" s="55">
        <v>0</v>
      </c>
      <c r="I51" s="54"/>
      <c r="J51" s="12"/>
      <c r="K51" s="56">
        <f>IF(H51&gt;0,VLOOKUP(D51,战力表!$A$3:$F$58,6,FALSE),0)</f>
        <v>0</v>
      </c>
      <c r="L51" s="56">
        <f t="shared" si="0"/>
        <v>0</v>
      </c>
      <c r="M51" s="56">
        <f t="shared" si="1"/>
        <v>0</v>
      </c>
      <c r="N51" s="56" t="b">
        <f t="shared" si="2"/>
        <v>0</v>
      </c>
      <c r="O51" s="12"/>
      <c r="P51" s="55">
        <v>93</v>
      </c>
      <c r="Q51" s="56">
        <f t="shared" si="3"/>
        <v>0</v>
      </c>
      <c r="R51" s="56">
        <f t="shared" si="4"/>
        <v>93</v>
      </c>
      <c r="S51" s="56" t="str">
        <f t="shared" si="5"/>
        <v/>
      </c>
      <c r="T51" s="56" t="b">
        <f t="shared" si="8"/>
        <v>0</v>
      </c>
      <c r="U51" s="56">
        <f t="shared" si="9"/>
        <v>0</v>
      </c>
      <c r="V51" s="56">
        <f t="shared" si="6"/>
        <v>93</v>
      </c>
      <c r="W51" s="12" t="str">
        <f>IF(H51=0,List!$C$5,$C$3)</f>
        <v>没有忍战，无法分包</v>
      </c>
      <c r="X51" s="12"/>
      <c r="Y51" s="12">
        <f t="shared" si="7"/>
        <v>93</v>
      </c>
      <c r="Z51" s="12">
        <f>RANK(Y51,$Y$15:$Y$55,0)+COUNTIF($Y$15:Y51,Y51)-1</f>
        <v>40</v>
      </c>
      <c r="AA51" s="12"/>
      <c r="AB51" s="12"/>
      <c r="AD51" s="33"/>
      <c r="AE51" s="33"/>
      <c r="AF51" s="33"/>
    </row>
    <row r="52" spans="1:32" ht="14.25" customHeight="1" x14ac:dyDescent="0.25">
      <c r="A52" s="10"/>
      <c r="B52" s="35">
        <v>1</v>
      </c>
      <c r="C52" s="10"/>
      <c r="D52" s="10" t="s">
        <v>65</v>
      </c>
      <c r="E52" s="10"/>
      <c r="F52" s="54">
        <f>INT(VLOOKUP(D52,战力表!A:B,2,)/10000)</f>
        <v>7</v>
      </c>
      <c r="G52" s="12"/>
      <c r="H52" s="55">
        <v>3</v>
      </c>
      <c r="I52" s="54"/>
      <c r="J52" s="12"/>
      <c r="K52" s="56">
        <f>IF(H52&gt;0,VLOOKUP(D52,战力表!$A$3:$F$58,6,FALSE),0)</f>
        <v>7</v>
      </c>
      <c r="L52" s="56">
        <f t="shared" si="0"/>
        <v>9</v>
      </c>
      <c r="M52" s="56">
        <f t="shared" si="1"/>
        <v>4</v>
      </c>
      <c r="N52" s="56" t="b">
        <f t="shared" si="2"/>
        <v>0</v>
      </c>
      <c r="O52" s="12"/>
      <c r="P52" s="55">
        <v>357</v>
      </c>
      <c r="Q52" s="56">
        <f t="shared" si="3"/>
        <v>20</v>
      </c>
      <c r="R52" s="56">
        <f t="shared" si="4"/>
        <v>377</v>
      </c>
      <c r="S52" s="56">
        <f t="shared" si="5"/>
        <v>3</v>
      </c>
      <c r="T52" s="56" t="str">
        <f t="shared" si="8"/>
        <v>精英</v>
      </c>
      <c r="U52" s="56">
        <f t="shared" si="9"/>
        <v>-10</v>
      </c>
      <c r="V52" s="56">
        <f t="shared" si="6"/>
        <v>367</v>
      </c>
      <c r="W52" s="12">
        <f>IF(H52=0,List!$C$5,$C$3)</f>
        <v>0</v>
      </c>
      <c r="X52" s="12"/>
      <c r="Y52" s="12">
        <f t="shared" si="7"/>
        <v>377</v>
      </c>
      <c r="Z52" s="12">
        <f>RANK(Y52,$Y$15:$Y$55,0)+COUNTIF($Y$15:Y52,Y52)-1</f>
        <v>18</v>
      </c>
      <c r="AA52" s="12"/>
      <c r="AB52" s="12"/>
      <c r="AD52" s="33"/>
      <c r="AE52" s="33"/>
      <c r="AF52" s="33"/>
    </row>
    <row r="53" spans="1:32" ht="14.25" customHeight="1" x14ac:dyDescent="0.25">
      <c r="A53" s="10"/>
      <c r="B53" s="35">
        <v>1</v>
      </c>
      <c r="C53" s="10"/>
      <c r="D53" s="29" t="s">
        <v>67</v>
      </c>
      <c r="E53" s="10"/>
      <c r="F53" s="54">
        <f>INT(VLOOKUP(D53,战力表!A:B,2,)/10000)</f>
        <v>6</v>
      </c>
      <c r="G53" s="12"/>
      <c r="H53" s="55">
        <v>3</v>
      </c>
      <c r="I53" s="54"/>
      <c r="J53" s="12"/>
      <c r="K53" s="56">
        <f>IF(H53&gt;0,VLOOKUP(D53,战力表!$A$3:$F$58,6,FALSE),0)</f>
        <v>7</v>
      </c>
      <c r="L53" s="56">
        <f t="shared" si="0"/>
        <v>9</v>
      </c>
      <c r="M53" s="56">
        <f t="shared" si="1"/>
        <v>4</v>
      </c>
      <c r="N53" s="56" t="b">
        <f t="shared" si="2"/>
        <v>0</v>
      </c>
      <c r="O53" s="12"/>
      <c r="P53" s="55">
        <v>348</v>
      </c>
      <c r="Q53" s="56">
        <f t="shared" si="3"/>
        <v>20</v>
      </c>
      <c r="R53" s="56">
        <f t="shared" si="4"/>
        <v>368</v>
      </c>
      <c r="S53" s="56">
        <f t="shared" si="5"/>
        <v>3</v>
      </c>
      <c r="T53" s="56" t="str">
        <f t="shared" si="8"/>
        <v>精英</v>
      </c>
      <c r="U53" s="56">
        <f t="shared" si="9"/>
        <v>-10</v>
      </c>
      <c r="V53" s="56">
        <f t="shared" si="6"/>
        <v>358</v>
      </c>
      <c r="W53" s="12">
        <f>IF(H53=0,List!$C$5,$C$3)</f>
        <v>0</v>
      </c>
      <c r="X53" s="12"/>
      <c r="Y53" s="12">
        <f t="shared" si="7"/>
        <v>368</v>
      </c>
      <c r="Z53" s="12">
        <f>RANK(Y53,$Y$15:$Y$55,0)+COUNTIF($Y$15:Y53,Y53)-1</f>
        <v>19</v>
      </c>
      <c r="AA53" s="12"/>
      <c r="AB53" s="12"/>
      <c r="AD53" s="33"/>
      <c r="AE53" s="33"/>
      <c r="AF53" s="33"/>
    </row>
    <row r="54" spans="1:32" ht="14.25" customHeight="1" x14ac:dyDescent="0.25">
      <c r="A54" s="10"/>
      <c r="B54" s="35"/>
      <c r="C54" s="27"/>
      <c r="D54" s="44" t="s">
        <v>170</v>
      </c>
      <c r="E54" s="28"/>
      <c r="F54" s="54">
        <f>INT(VLOOKUP(D54,战力表!A:B,2,)/10000)</f>
        <v>232</v>
      </c>
      <c r="G54" s="12"/>
      <c r="H54" s="55">
        <v>3</v>
      </c>
      <c r="I54" s="54"/>
      <c r="J54" s="12"/>
      <c r="K54" s="56">
        <f>IF(H54&gt;0,VLOOKUP(D54,战力表!$A$3:$F$58,6,FALSE),0)</f>
        <v>8</v>
      </c>
      <c r="L54" s="56">
        <f t="shared" si="0"/>
        <v>9</v>
      </c>
      <c r="M54" s="56">
        <f t="shared" si="1"/>
        <v>4</v>
      </c>
      <c r="N54" s="56" t="b">
        <f t="shared" si="2"/>
        <v>0</v>
      </c>
      <c r="O54" s="12"/>
      <c r="P54" s="55">
        <v>408</v>
      </c>
      <c r="Q54" s="56">
        <f t="shared" si="3"/>
        <v>21</v>
      </c>
      <c r="R54" s="56">
        <f t="shared" si="4"/>
        <v>429</v>
      </c>
      <c r="S54" s="56">
        <f t="shared" si="5"/>
        <v>2</v>
      </c>
      <c r="T54" s="56" t="str">
        <f t="shared" si="8"/>
        <v>英雄</v>
      </c>
      <c r="U54" s="56">
        <f t="shared" si="9"/>
        <v>-13</v>
      </c>
      <c r="V54" s="56">
        <f t="shared" si="6"/>
        <v>416</v>
      </c>
      <c r="W54" s="12">
        <f>IF(H54=0,List!$C$5,$C$3)</f>
        <v>0</v>
      </c>
      <c r="X54" s="12"/>
      <c r="Y54" s="12">
        <f t="shared" si="7"/>
        <v>429</v>
      </c>
      <c r="Z54" s="12">
        <f>RANK(Y54,$Y$15:$Y$55,0)+COUNTIF($Y$15:Y54,Y54)-1</f>
        <v>11</v>
      </c>
      <c r="AA54" s="12"/>
      <c r="AB54" s="12"/>
      <c r="AD54" s="33"/>
      <c r="AE54" s="33"/>
      <c r="AF54" s="33"/>
    </row>
    <row r="55" spans="1:32" ht="14.25" customHeight="1" x14ac:dyDescent="0.25">
      <c r="A55" s="10"/>
      <c r="B55" s="35"/>
      <c r="C55" s="27"/>
      <c r="D55" s="32" t="s">
        <v>171</v>
      </c>
      <c r="E55" s="28"/>
      <c r="F55" s="54">
        <f>INT(VLOOKUP(D55,战力表!A:B,2,)/10000)</f>
        <v>84</v>
      </c>
      <c r="G55" s="12"/>
      <c r="H55" s="55">
        <v>0</v>
      </c>
      <c r="I55" s="54"/>
      <c r="J55" s="12"/>
      <c r="K55" s="56">
        <f>IF(H55&gt;0,VLOOKUP(D55,战力表!$A$3:$F$58,6,FALSE),0)</f>
        <v>0</v>
      </c>
      <c r="L55" s="56">
        <f t="shared" si="0"/>
        <v>0</v>
      </c>
      <c r="M55" s="56">
        <f t="shared" si="1"/>
        <v>0</v>
      </c>
      <c r="N55" s="56" t="b">
        <f t="shared" si="2"/>
        <v>0</v>
      </c>
      <c r="O55" s="12"/>
      <c r="P55" s="55">
        <v>216</v>
      </c>
      <c r="Q55" s="56">
        <f>K55+L55+M55+N55</f>
        <v>0</v>
      </c>
      <c r="R55" s="56">
        <f t="shared" ref="R55" si="10">P55+Q55</f>
        <v>216</v>
      </c>
      <c r="S55" s="56" t="str">
        <f t="shared" ref="S55" si="11">IF(H55=0,"",IF(B55=1,3,IF(Z55&lt;$Y$2,1,IF(Z55&lt;$Y$3,2,3))))</f>
        <v/>
      </c>
      <c r="T55" s="56" t="b">
        <f t="shared" ref="T55" si="12">IF(S55=$K$9,$L$9,IF(S55=$K$10,$L$10,IF(S55=$K$11,$L$11)))</f>
        <v>0</v>
      </c>
      <c r="U55" s="56">
        <f t="shared" ref="U55" si="13">-IF(S55=$K$9,$M$9,IF(S55=$K$10,$M$10,IF(S55=$K$11,$M$11)))</f>
        <v>0</v>
      </c>
      <c r="V55" s="56">
        <f t="shared" ref="V55" si="14">P55+Q55+U55</f>
        <v>216</v>
      </c>
      <c r="W55" s="12" t="str">
        <f>IF(H55=0,List!$C$5,$C$3)</f>
        <v>没有忍战，无法分包</v>
      </c>
      <c r="X55" s="12"/>
      <c r="Y55" s="12">
        <f>P55+Q55</f>
        <v>216</v>
      </c>
      <c r="Z55" s="12">
        <f>RANK(Y55,$Y$15:$Y$55,0)+COUNTIF($Y$15:Y55,Y55)-1</f>
        <v>32</v>
      </c>
      <c r="AA55" s="12"/>
      <c r="AB55" s="12"/>
      <c r="AD55" s="33"/>
      <c r="AE55" s="33"/>
      <c r="AF55" s="33"/>
    </row>
    <row r="56" spans="1:32" ht="14.25" customHeight="1" x14ac:dyDescent="0.25">
      <c r="A56" s="10"/>
      <c r="B56" s="35"/>
      <c r="C56" s="27"/>
      <c r="D56" s="32"/>
      <c r="E56" s="28"/>
      <c r="F56" s="54"/>
      <c r="G56" s="12"/>
      <c r="H56" s="55"/>
      <c r="I56" s="54"/>
      <c r="J56" s="12"/>
      <c r="K56" s="56"/>
      <c r="L56" s="56"/>
      <c r="M56" s="56"/>
      <c r="N56" s="56"/>
      <c r="O56" s="12"/>
      <c r="P56" s="55"/>
      <c r="Q56" s="56"/>
      <c r="R56" s="56"/>
      <c r="S56" s="55"/>
      <c r="T56" s="56"/>
      <c r="U56" s="56"/>
      <c r="V56" s="56"/>
      <c r="W56" s="12"/>
      <c r="X56" s="12"/>
      <c r="Y56" s="12"/>
      <c r="Z56" s="12"/>
      <c r="AA56" s="12"/>
      <c r="AB56" s="12"/>
      <c r="AD56" s="33"/>
      <c r="AE56" s="33"/>
      <c r="AF56" s="33"/>
    </row>
    <row r="57" spans="1:32" ht="14.25" customHeight="1" x14ac:dyDescent="0.25">
      <c r="A57" s="10"/>
      <c r="B57" s="35"/>
      <c r="C57" s="27"/>
      <c r="D57" s="32"/>
      <c r="E57" s="28"/>
      <c r="F57" s="54"/>
      <c r="G57" s="12"/>
      <c r="H57" s="55"/>
      <c r="I57" s="54"/>
      <c r="J57" s="12"/>
      <c r="K57" s="56"/>
      <c r="L57" s="56"/>
      <c r="M57" s="56"/>
      <c r="N57" s="56"/>
      <c r="O57" s="12"/>
      <c r="P57" s="55"/>
      <c r="Q57" s="56"/>
      <c r="R57" s="56"/>
      <c r="S57" s="55"/>
      <c r="T57" s="56"/>
      <c r="U57" s="56"/>
      <c r="V57" s="56"/>
      <c r="W57" s="12"/>
      <c r="X57" s="12"/>
      <c r="Y57" s="12"/>
      <c r="Z57" s="12"/>
      <c r="AA57" s="12"/>
      <c r="AB57" s="12"/>
      <c r="AD57" s="33"/>
      <c r="AE57" s="33"/>
      <c r="AF57" s="33"/>
    </row>
    <row r="58" spans="1:32" ht="14.25" customHeight="1" x14ac:dyDescent="0.25">
      <c r="A58" s="10"/>
      <c r="B58" s="35"/>
      <c r="C58" s="27"/>
      <c r="D58" s="32"/>
      <c r="E58" s="28"/>
      <c r="F58" s="54"/>
      <c r="G58" s="12"/>
      <c r="H58" s="55"/>
      <c r="I58" s="54"/>
      <c r="J58" s="12"/>
      <c r="K58" s="56"/>
      <c r="L58" s="56"/>
      <c r="M58" s="56"/>
      <c r="N58" s="56"/>
      <c r="O58" s="12"/>
      <c r="P58" s="55"/>
      <c r="Q58" s="56"/>
      <c r="R58" s="56"/>
      <c r="S58" s="55"/>
      <c r="T58" s="56"/>
      <c r="U58" s="56"/>
      <c r="V58" s="56"/>
      <c r="W58" s="12"/>
      <c r="X58" s="12"/>
      <c r="Y58" s="12"/>
      <c r="Z58" s="12"/>
      <c r="AA58" s="12"/>
      <c r="AB58" s="12"/>
      <c r="AD58" s="33"/>
      <c r="AE58" s="33"/>
      <c r="AF58" s="33"/>
    </row>
    <row r="59" spans="1:32" ht="14.25" customHeight="1" x14ac:dyDescent="0.25">
      <c r="A59" s="10"/>
      <c r="B59" s="35"/>
      <c r="C59" s="27"/>
      <c r="D59" s="32"/>
      <c r="E59" s="28"/>
      <c r="F59" s="54"/>
      <c r="G59" s="12"/>
      <c r="H59" s="55"/>
      <c r="I59" s="54"/>
      <c r="J59" s="12"/>
      <c r="K59" s="56"/>
      <c r="L59" s="56"/>
      <c r="M59" s="56"/>
      <c r="N59" s="56"/>
      <c r="O59" s="12"/>
      <c r="P59" s="55"/>
      <c r="Q59" s="56"/>
      <c r="R59" s="56"/>
      <c r="S59" s="55"/>
      <c r="T59" s="56"/>
      <c r="U59" s="56"/>
      <c r="V59" s="56"/>
      <c r="W59" s="12"/>
      <c r="X59" s="12"/>
      <c r="Y59" s="12"/>
      <c r="Z59" s="12"/>
      <c r="AA59" s="12"/>
      <c r="AB59" s="12"/>
      <c r="AD59" s="33"/>
      <c r="AE59" s="33"/>
      <c r="AF59" s="33"/>
    </row>
    <row r="60" spans="1:32" ht="14.25" customHeight="1" x14ac:dyDescent="0.25">
      <c r="A60" s="10"/>
      <c r="B60" s="35"/>
      <c r="C60" s="10"/>
      <c r="D60" s="30"/>
      <c r="E60" s="10"/>
      <c r="F60" s="54" t="e">
        <f>VLOOKUP(D60,战力表!A:B,2,)</f>
        <v>#N/A</v>
      </c>
      <c r="G60" s="12"/>
      <c r="H60" s="55"/>
      <c r="I60" s="54"/>
      <c r="J60" s="12"/>
      <c r="K60" s="56" t="e">
        <f t="shared" ref="K60:K75" si="15">INT(IF(F60&gt;200000,IF(H60&gt;0,INT(F60/100000)-$U$8,0),0))</f>
        <v>#N/A</v>
      </c>
      <c r="L60" s="56">
        <f t="shared" ref="L60:L82" si="16">H60*$U$9</f>
        <v>0</v>
      </c>
      <c r="M60" s="56">
        <f t="shared" ref="M60:M84" si="17">IF(H60=$U$11,$U$10,0)</f>
        <v>0</v>
      </c>
      <c r="N60" s="56" t="b">
        <f t="shared" ref="N60:N82" si="18">IF(AND(I60&lt;6000,I60&gt;0),1,IF(AND(I60&lt;12000,I60&gt;=6000),2,IF(AND(I60&lt;=30000,I60&gt;=12000),3)))</f>
        <v>0</v>
      </c>
      <c r="O60" s="12"/>
      <c r="P60" s="55" t="e">
        <v>#N/A</v>
      </c>
      <c r="Q60" s="56" t="e">
        <f t="shared" ref="Q60:Q82" si="19">K60+L60+M60+N60</f>
        <v>#N/A</v>
      </c>
      <c r="R60" s="56"/>
      <c r="S60" s="55"/>
      <c r="T60" s="56" t="b">
        <f t="shared" ref="T60:T84" si="20">IF(S60=$K$9,$L$9,IF(S60=$K$10,$L$10,IF(S60=$K$11,$L$11)))</f>
        <v>0</v>
      </c>
      <c r="U60" s="56">
        <f t="shared" ref="U60:U84" si="21">-IF(S60=$K$9,$M$9,IF(S60=$K$10,$M$10,IF(S60=$K$11,$M$11)))</f>
        <v>0</v>
      </c>
      <c r="V60" s="56" t="e">
        <f t="shared" ref="V60:V82" si="22">P60+Q60+U60</f>
        <v>#N/A</v>
      </c>
      <c r="W60" s="12" t="e">
        <f>IF(H67=0,[1]List!$C$5,$C$3)</f>
        <v>#REF!</v>
      </c>
      <c r="X60" s="12"/>
      <c r="Y60" s="12" t="e">
        <f t="shared" ref="Y60:Y75" si="23">IF(S60&gt;0,V60-100,IF(W60=0,V60,0))</f>
        <v>#REF!</v>
      </c>
      <c r="Z60" s="12"/>
      <c r="AA60" s="12"/>
      <c r="AB60" s="12"/>
      <c r="AD60" s="33"/>
      <c r="AE60" s="33"/>
      <c r="AF60" s="33"/>
    </row>
    <row r="61" spans="1:32" ht="14.25" customHeight="1" x14ac:dyDescent="0.25">
      <c r="A61" s="10"/>
      <c r="B61" s="35"/>
      <c r="C61" s="10"/>
      <c r="D61" s="10"/>
      <c r="E61" s="10"/>
      <c r="F61" s="54" t="e">
        <f>VLOOKUP(D61,战力表!A:B,2,)</f>
        <v>#N/A</v>
      </c>
      <c r="G61" s="12"/>
      <c r="H61" s="55"/>
      <c r="I61" s="54"/>
      <c r="J61" s="12"/>
      <c r="K61" s="56" t="e">
        <f t="shared" si="15"/>
        <v>#N/A</v>
      </c>
      <c r="L61" s="56">
        <f t="shared" si="16"/>
        <v>0</v>
      </c>
      <c r="M61" s="56">
        <f t="shared" si="17"/>
        <v>0</v>
      </c>
      <c r="N61" s="56" t="b">
        <f t="shared" si="18"/>
        <v>0</v>
      </c>
      <c r="O61" s="12"/>
      <c r="P61" s="55" t="e">
        <v>#N/A</v>
      </c>
      <c r="Q61" s="56" t="e">
        <f t="shared" si="19"/>
        <v>#N/A</v>
      </c>
      <c r="R61" s="56"/>
      <c r="S61" s="55"/>
      <c r="T61" s="56" t="b">
        <f t="shared" si="20"/>
        <v>0</v>
      </c>
      <c r="U61" s="56">
        <f t="shared" si="21"/>
        <v>0</v>
      </c>
      <c r="V61" s="56" t="e">
        <f t="shared" si="22"/>
        <v>#N/A</v>
      </c>
      <c r="W61" s="12" t="e">
        <f>IF(H68=0,[1]List!$C$5,$C$3)</f>
        <v>#REF!</v>
      </c>
      <c r="X61" s="12"/>
      <c r="Y61" s="12" t="e">
        <f t="shared" si="23"/>
        <v>#REF!</v>
      </c>
      <c r="Z61" s="12" t="e">
        <f t="shared" ref="Z61:Z82" si="24">IF(S61&gt;0,"",IF(Y61=$Y$13,"yes",""))</f>
        <v>#REF!</v>
      </c>
      <c r="AA61" s="12"/>
      <c r="AB61" s="12"/>
    </row>
    <row r="62" spans="1:32" ht="15" customHeight="1" x14ac:dyDescent="0.25">
      <c r="A62" s="10"/>
      <c r="B62" s="35"/>
      <c r="C62" s="10"/>
      <c r="D62" s="10" t="s">
        <v>68</v>
      </c>
      <c r="E62" s="10"/>
      <c r="F62" s="54">
        <f>VLOOKUP(D62,战力表!A:B,2,)</f>
        <v>1114334</v>
      </c>
      <c r="G62" s="12"/>
      <c r="H62" s="55"/>
      <c r="I62" s="54"/>
      <c r="J62" s="12"/>
      <c r="K62" s="56">
        <f t="shared" si="15"/>
        <v>0</v>
      </c>
      <c r="L62" s="56">
        <f t="shared" si="16"/>
        <v>0</v>
      </c>
      <c r="M62" s="56">
        <f t="shared" si="17"/>
        <v>0</v>
      </c>
      <c r="N62" s="56" t="b">
        <f t="shared" si="18"/>
        <v>0</v>
      </c>
      <c r="O62" s="12"/>
      <c r="P62" s="55">
        <v>74</v>
      </c>
      <c r="Q62" s="56">
        <f t="shared" si="19"/>
        <v>0</v>
      </c>
      <c r="R62" s="56"/>
      <c r="S62" s="55"/>
      <c r="T62" s="56" t="b">
        <f t="shared" si="20"/>
        <v>0</v>
      </c>
      <c r="U62" s="56">
        <f t="shared" si="21"/>
        <v>0</v>
      </c>
      <c r="V62" s="56">
        <f t="shared" si="22"/>
        <v>74</v>
      </c>
      <c r="W62" s="12" t="str">
        <f>IF(H62=0,List!$C$5,$C$3)</f>
        <v>没有忍战，无法分包</v>
      </c>
      <c r="X62" s="12"/>
      <c r="Y62" s="12">
        <f t="shared" si="23"/>
        <v>0</v>
      </c>
      <c r="Z62" s="12" t="str">
        <f t="shared" si="24"/>
        <v>yes</v>
      </c>
      <c r="AA62" s="12"/>
      <c r="AB62" s="12"/>
    </row>
    <row r="63" spans="1:32" ht="14.25" customHeight="1" x14ac:dyDescent="0.25">
      <c r="A63" s="10"/>
      <c r="B63" s="35"/>
      <c r="C63" s="10"/>
      <c r="D63" s="10" t="s">
        <v>69</v>
      </c>
      <c r="E63" s="10"/>
      <c r="F63" s="54" t="e">
        <f>VLOOKUP(D63,战力表!A:B,2,)</f>
        <v>#N/A</v>
      </c>
      <c r="G63" s="12"/>
      <c r="H63" s="55"/>
      <c r="I63" s="54"/>
      <c r="J63" s="12"/>
      <c r="K63" s="56" t="e">
        <f t="shared" si="15"/>
        <v>#N/A</v>
      </c>
      <c r="L63" s="56">
        <f t="shared" si="16"/>
        <v>0</v>
      </c>
      <c r="M63" s="56">
        <f t="shared" si="17"/>
        <v>0</v>
      </c>
      <c r="N63" s="56" t="b">
        <f t="shared" si="18"/>
        <v>0</v>
      </c>
      <c r="O63" s="12"/>
      <c r="P63" s="55">
        <v>92</v>
      </c>
      <c r="Q63" s="56" t="e">
        <f t="shared" si="19"/>
        <v>#N/A</v>
      </c>
      <c r="R63" s="56"/>
      <c r="S63" s="55"/>
      <c r="T63" s="56" t="b">
        <f t="shared" si="20"/>
        <v>0</v>
      </c>
      <c r="U63" s="56">
        <f t="shared" si="21"/>
        <v>0</v>
      </c>
      <c r="V63" s="56" t="e">
        <f t="shared" si="22"/>
        <v>#N/A</v>
      </c>
      <c r="W63" s="12" t="str">
        <f>IF(H63=0,List!$C$5,$C$3)</f>
        <v>没有忍战，无法分包</v>
      </c>
      <c r="X63" s="12"/>
      <c r="Y63" s="12">
        <f t="shared" si="23"/>
        <v>0</v>
      </c>
      <c r="Z63" s="12" t="str">
        <f t="shared" si="24"/>
        <v>yes</v>
      </c>
      <c r="AA63" s="12"/>
      <c r="AB63" s="12"/>
    </row>
    <row r="64" spans="1:32" ht="14.25" customHeight="1" x14ac:dyDescent="0.25">
      <c r="A64" s="10"/>
      <c r="B64" s="35"/>
      <c r="C64" s="10"/>
      <c r="D64" s="10" t="s">
        <v>70</v>
      </c>
      <c r="E64" s="10"/>
      <c r="F64" s="54" t="e">
        <f>VLOOKUP(D64,战力表!A:B,2,)</f>
        <v>#N/A</v>
      </c>
      <c r="G64" s="12"/>
      <c r="H64" s="55"/>
      <c r="I64" s="54"/>
      <c r="J64" s="12"/>
      <c r="K64" s="56" t="e">
        <f t="shared" si="15"/>
        <v>#N/A</v>
      </c>
      <c r="L64" s="56">
        <f t="shared" si="16"/>
        <v>0</v>
      </c>
      <c r="M64" s="56">
        <f t="shared" si="17"/>
        <v>0</v>
      </c>
      <c r="N64" s="56" t="b">
        <f t="shared" si="18"/>
        <v>0</v>
      </c>
      <c r="O64" s="12"/>
      <c r="P64" s="55">
        <v>53</v>
      </c>
      <c r="Q64" s="56" t="e">
        <f t="shared" si="19"/>
        <v>#N/A</v>
      </c>
      <c r="R64" s="56"/>
      <c r="S64" s="55"/>
      <c r="T64" s="56" t="b">
        <f t="shared" si="20"/>
        <v>0</v>
      </c>
      <c r="U64" s="56">
        <f t="shared" si="21"/>
        <v>0</v>
      </c>
      <c r="V64" s="56" t="e">
        <f t="shared" si="22"/>
        <v>#N/A</v>
      </c>
      <c r="W64" s="12" t="str">
        <f>IF(H64=0,List!$C$5,$C$3)</f>
        <v>没有忍战，无法分包</v>
      </c>
      <c r="X64" s="12"/>
      <c r="Y64" s="12">
        <f t="shared" si="23"/>
        <v>0</v>
      </c>
      <c r="Z64" s="12" t="str">
        <f t="shared" si="24"/>
        <v>yes</v>
      </c>
      <c r="AA64" s="12"/>
      <c r="AB64" s="12"/>
    </row>
    <row r="65" spans="1:28" ht="15" customHeight="1" x14ac:dyDescent="0.25">
      <c r="A65" s="10"/>
      <c r="B65" s="35"/>
      <c r="C65" s="10"/>
      <c r="D65" s="10" t="s">
        <v>71</v>
      </c>
      <c r="E65" s="10"/>
      <c r="F65" s="54">
        <f>VLOOKUP(D65,战力表!A:B,2,)</f>
        <v>1005928</v>
      </c>
      <c r="G65" s="12"/>
      <c r="H65" s="55"/>
      <c r="I65" s="54"/>
      <c r="J65" s="12"/>
      <c r="K65" s="56">
        <f t="shared" si="15"/>
        <v>0</v>
      </c>
      <c r="L65" s="56">
        <f t="shared" si="16"/>
        <v>0</v>
      </c>
      <c r="M65" s="56">
        <f t="shared" si="17"/>
        <v>0</v>
      </c>
      <c r="N65" s="56" t="b">
        <f t="shared" si="18"/>
        <v>0</v>
      </c>
      <c r="O65" s="12"/>
      <c r="P65" s="55">
        <v>87</v>
      </c>
      <c r="Q65" s="56">
        <f t="shared" si="19"/>
        <v>0</v>
      </c>
      <c r="R65" s="56"/>
      <c r="S65" s="55"/>
      <c r="T65" s="56" t="b">
        <f t="shared" si="20"/>
        <v>0</v>
      </c>
      <c r="U65" s="56">
        <f t="shared" si="21"/>
        <v>0</v>
      </c>
      <c r="V65" s="56">
        <f t="shared" si="22"/>
        <v>87</v>
      </c>
      <c r="W65" s="12" t="str">
        <f>IF(H65=0,List!$C$5,$C$3)</f>
        <v>没有忍战，无法分包</v>
      </c>
      <c r="X65" s="12"/>
      <c r="Y65" s="12">
        <f t="shared" si="23"/>
        <v>0</v>
      </c>
      <c r="Z65" s="12" t="str">
        <f t="shared" si="24"/>
        <v>yes</v>
      </c>
      <c r="AA65" s="12"/>
      <c r="AB65" s="12"/>
    </row>
    <row r="66" spans="1:28" ht="14.25" customHeight="1" x14ac:dyDescent="0.25">
      <c r="A66" s="10"/>
      <c r="B66" s="35"/>
      <c r="C66" s="10"/>
      <c r="D66" s="10" t="s">
        <v>72</v>
      </c>
      <c r="E66" s="10"/>
      <c r="F66" s="54" t="e">
        <f>VLOOKUP(D66,战力表!A:B,2,)</f>
        <v>#N/A</v>
      </c>
      <c r="G66" s="12"/>
      <c r="H66" s="55"/>
      <c r="I66" s="54"/>
      <c r="J66" s="12"/>
      <c r="K66" s="56" t="e">
        <f t="shared" si="15"/>
        <v>#N/A</v>
      </c>
      <c r="L66" s="56">
        <f t="shared" si="16"/>
        <v>0</v>
      </c>
      <c r="M66" s="56">
        <f t="shared" si="17"/>
        <v>0</v>
      </c>
      <c r="N66" s="56" t="b">
        <f t="shared" si="18"/>
        <v>0</v>
      </c>
      <c r="O66" s="12"/>
      <c r="P66" s="55">
        <v>70</v>
      </c>
      <c r="Q66" s="56" t="e">
        <f t="shared" si="19"/>
        <v>#N/A</v>
      </c>
      <c r="R66" s="56"/>
      <c r="S66" s="55"/>
      <c r="T66" s="56" t="b">
        <f t="shared" si="20"/>
        <v>0</v>
      </c>
      <c r="U66" s="56">
        <f t="shared" si="21"/>
        <v>0</v>
      </c>
      <c r="V66" s="56" t="e">
        <f t="shared" si="22"/>
        <v>#N/A</v>
      </c>
      <c r="W66" s="12" t="str">
        <f>IF(H66=0,List!$C$5,$C$3)</f>
        <v>没有忍战，无法分包</v>
      </c>
      <c r="X66" s="12"/>
      <c r="Y66" s="12">
        <f t="shared" si="23"/>
        <v>0</v>
      </c>
      <c r="Z66" s="12" t="str">
        <f t="shared" si="24"/>
        <v>yes</v>
      </c>
      <c r="AA66" s="12"/>
      <c r="AB66" s="12"/>
    </row>
    <row r="67" spans="1:28" ht="14.25" customHeight="1" x14ac:dyDescent="0.25">
      <c r="A67" s="10"/>
      <c r="B67" s="35"/>
      <c r="C67" s="10"/>
      <c r="D67" s="10" t="s">
        <v>73</v>
      </c>
      <c r="E67" s="10"/>
      <c r="F67" s="54">
        <f>VLOOKUP(D67,战力表!A:B,2,)</f>
        <v>869720</v>
      </c>
      <c r="G67" s="12"/>
      <c r="H67" s="55"/>
      <c r="I67" s="54"/>
      <c r="J67" s="12"/>
      <c r="K67" s="56">
        <f t="shared" si="15"/>
        <v>0</v>
      </c>
      <c r="L67" s="56">
        <f t="shared" si="16"/>
        <v>0</v>
      </c>
      <c r="M67" s="56">
        <f t="shared" si="17"/>
        <v>0</v>
      </c>
      <c r="N67" s="56" t="b">
        <f t="shared" si="18"/>
        <v>0</v>
      </c>
      <c r="O67" s="12"/>
      <c r="P67" s="55">
        <v>94</v>
      </c>
      <c r="Q67" s="56">
        <f t="shared" si="19"/>
        <v>0</v>
      </c>
      <c r="R67" s="56"/>
      <c r="S67" s="55"/>
      <c r="T67" s="56" t="b">
        <f t="shared" si="20"/>
        <v>0</v>
      </c>
      <c r="U67" s="56">
        <f t="shared" si="21"/>
        <v>0</v>
      </c>
      <c r="V67" s="56">
        <f t="shared" si="22"/>
        <v>94</v>
      </c>
      <c r="W67" s="12" t="str">
        <f>IF(H67=0,List!$C$5,$C$3)</f>
        <v>没有忍战，无法分包</v>
      </c>
      <c r="X67" s="12"/>
      <c r="Y67" s="12">
        <f t="shared" si="23"/>
        <v>0</v>
      </c>
      <c r="Z67" s="12" t="str">
        <f t="shared" si="24"/>
        <v>yes</v>
      </c>
      <c r="AA67" s="12"/>
      <c r="AB67" s="12"/>
    </row>
    <row r="68" spans="1:28" ht="14.25" customHeight="1" x14ac:dyDescent="0.25">
      <c r="A68" s="10"/>
      <c r="B68" s="35"/>
      <c r="C68" s="10"/>
      <c r="D68" s="10" t="s">
        <v>74</v>
      </c>
      <c r="E68" s="10"/>
      <c r="F68" s="54">
        <f>VLOOKUP(D68,战力表!A:B,2,)</f>
        <v>855959</v>
      </c>
      <c r="G68" s="12"/>
      <c r="H68" s="55"/>
      <c r="I68" s="54"/>
      <c r="J68" s="12"/>
      <c r="K68" s="56">
        <f t="shared" si="15"/>
        <v>0</v>
      </c>
      <c r="L68" s="56">
        <f t="shared" si="16"/>
        <v>0</v>
      </c>
      <c r="M68" s="56">
        <f t="shared" si="17"/>
        <v>0</v>
      </c>
      <c r="N68" s="56" t="b">
        <f t="shared" si="18"/>
        <v>0</v>
      </c>
      <c r="O68" s="12"/>
      <c r="P68" s="55">
        <v>88</v>
      </c>
      <c r="Q68" s="56">
        <f t="shared" si="19"/>
        <v>0</v>
      </c>
      <c r="R68" s="56"/>
      <c r="S68" s="55"/>
      <c r="T68" s="56" t="b">
        <f t="shared" si="20"/>
        <v>0</v>
      </c>
      <c r="U68" s="56">
        <f t="shared" si="21"/>
        <v>0</v>
      </c>
      <c r="V68" s="56">
        <f t="shared" si="22"/>
        <v>88</v>
      </c>
      <c r="W68" s="12" t="str">
        <f>IF(H68=0,List!$C$5,$C$3)</f>
        <v>没有忍战，无法分包</v>
      </c>
      <c r="X68" s="12"/>
      <c r="Y68" s="12">
        <f t="shared" si="23"/>
        <v>0</v>
      </c>
      <c r="Z68" s="12" t="str">
        <f t="shared" si="24"/>
        <v>yes</v>
      </c>
      <c r="AA68" s="12"/>
      <c r="AB68" s="12"/>
    </row>
    <row r="69" spans="1:28" ht="14.25" customHeight="1" x14ac:dyDescent="0.25">
      <c r="A69" s="10"/>
      <c r="B69" s="35"/>
      <c r="C69" s="10"/>
      <c r="D69" s="10" t="s">
        <v>75</v>
      </c>
      <c r="E69" s="10"/>
      <c r="F69" s="54">
        <f>VLOOKUP(D69,战力表!A:B,2,)</f>
        <v>1027326</v>
      </c>
      <c r="G69" s="12"/>
      <c r="H69" s="55"/>
      <c r="I69" s="54"/>
      <c r="J69" s="12"/>
      <c r="K69" s="56">
        <f t="shared" si="15"/>
        <v>0</v>
      </c>
      <c r="L69" s="56">
        <f t="shared" si="16"/>
        <v>0</v>
      </c>
      <c r="M69" s="56">
        <f t="shared" si="17"/>
        <v>0</v>
      </c>
      <c r="N69" s="56" t="b">
        <f t="shared" si="18"/>
        <v>0</v>
      </c>
      <c r="O69" s="12"/>
      <c r="P69" s="55">
        <v>74</v>
      </c>
      <c r="Q69" s="56">
        <f t="shared" si="19"/>
        <v>0</v>
      </c>
      <c r="R69" s="56"/>
      <c r="S69" s="55"/>
      <c r="T69" s="56" t="b">
        <f t="shared" si="20"/>
        <v>0</v>
      </c>
      <c r="U69" s="56">
        <f t="shared" si="21"/>
        <v>0</v>
      </c>
      <c r="V69" s="56">
        <f t="shared" si="22"/>
        <v>74</v>
      </c>
      <c r="W69" s="12" t="str">
        <f>IF(H69=0,List!$C$5,$C$3)</f>
        <v>没有忍战，无法分包</v>
      </c>
      <c r="X69" s="12"/>
      <c r="Y69" s="12">
        <f t="shared" si="23"/>
        <v>0</v>
      </c>
      <c r="Z69" s="12" t="str">
        <f t="shared" si="24"/>
        <v>yes</v>
      </c>
      <c r="AA69" s="12"/>
      <c r="AB69" s="12"/>
    </row>
    <row r="70" spans="1:28" ht="14.25" customHeight="1" x14ac:dyDescent="0.25">
      <c r="A70" s="10"/>
      <c r="B70" s="35"/>
      <c r="C70" s="10"/>
      <c r="D70" s="10" t="s">
        <v>76</v>
      </c>
      <c r="E70" s="10"/>
      <c r="F70" s="54">
        <f>VLOOKUP(D70,战力表!A:B,2,)</f>
        <v>803274</v>
      </c>
      <c r="G70" s="12"/>
      <c r="H70" s="55"/>
      <c r="I70" s="54"/>
      <c r="J70" s="12"/>
      <c r="K70" s="56">
        <f t="shared" si="15"/>
        <v>0</v>
      </c>
      <c r="L70" s="56">
        <f t="shared" si="16"/>
        <v>0</v>
      </c>
      <c r="M70" s="56">
        <f t="shared" si="17"/>
        <v>0</v>
      </c>
      <c r="N70" s="56" t="b">
        <f t="shared" si="18"/>
        <v>0</v>
      </c>
      <c r="O70" s="12"/>
      <c r="P70" s="55">
        <v>60</v>
      </c>
      <c r="Q70" s="56">
        <f t="shared" si="19"/>
        <v>0</v>
      </c>
      <c r="R70" s="56"/>
      <c r="S70" s="55"/>
      <c r="T70" s="56" t="b">
        <f t="shared" si="20"/>
        <v>0</v>
      </c>
      <c r="U70" s="56">
        <f t="shared" si="21"/>
        <v>0</v>
      </c>
      <c r="V70" s="56">
        <f t="shared" si="22"/>
        <v>60</v>
      </c>
      <c r="W70" s="12" t="e">
        <f>IF(H76=0,[1]List!$C$5,$C$3)</f>
        <v>#REF!</v>
      </c>
      <c r="X70" s="12"/>
      <c r="Y70" s="12" t="e">
        <f t="shared" si="23"/>
        <v>#REF!</v>
      </c>
      <c r="Z70" s="12" t="e">
        <f t="shared" si="24"/>
        <v>#REF!</v>
      </c>
      <c r="AA70" s="12"/>
      <c r="AB70" s="12"/>
    </row>
    <row r="71" spans="1:28" ht="14.25" customHeight="1" x14ac:dyDescent="0.25">
      <c r="A71" s="10"/>
      <c r="B71" s="35"/>
      <c r="C71" s="10"/>
      <c r="D71" s="13" t="s">
        <v>77</v>
      </c>
      <c r="E71" s="10"/>
      <c r="F71" s="54" t="e">
        <f>VLOOKUP(D71,战力表!A:B,2,)</f>
        <v>#N/A</v>
      </c>
      <c r="G71" s="12"/>
      <c r="H71" s="55"/>
      <c r="I71" s="54"/>
      <c r="J71" s="12"/>
      <c r="K71" s="56" t="e">
        <f t="shared" si="15"/>
        <v>#N/A</v>
      </c>
      <c r="L71" s="56">
        <f t="shared" si="16"/>
        <v>0</v>
      </c>
      <c r="M71" s="56">
        <f t="shared" si="17"/>
        <v>0</v>
      </c>
      <c r="N71" s="56" t="b">
        <f t="shared" si="18"/>
        <v>0</v>
      </c>
      <c r="O71" s="12"/>
      <c r="P71" s="55">
        <v>60</v>
      </c>
      <c r="Q71" s="56" t="e">
        <f t="shared" si="19"/>
        <v>#N/A</v>
      </c>
      <c r="R71" s="56"/>
      <c r="S71" s="55"/>
      <c r="T71" s="56" t="b">
        <f t="shared" si="20"/>
        <v>0</v>
      </c>
      <c r="U71" s="56">
        <f t="shared" si="21"/>
        <v>0</v>
      </c>
      <c r="V71" s="56" t="e">
        <f t="shared" si="22"/>
        <v>#N/A</v>
      </c>
      <c r="W71" s="12" t="e">
        <f>IF(H77=0,[1]List!$C$5,$C$3)</f>
        <v>#REF!</v>
      </c>
      <c r="X71" s="12"/>
      <c r="Y71" s="12" t="e">
        <f t="shared" si="23"/>
        <v>#REF!</v>
      </c>
      <c r="Z71" s="12" t="e">
        <f t="shared" si="24"/>
        <v>#REF!</v>
      </c>
      <c r="AA71" s="12"/>
      <c r="AB71" s="12"/>
    </row>
    <row r="72" spans="1:28" ht="14.25" customHeight="1" x14ac:dyDescent="0.25">
      <c r="A72" s="10"/>
      <c r="B72" s="35"/>
      <c r="C72" s="10"/>
      <c r="D72" s="13" t="s">
        <v>78</v>
      </c>
      <c r="E72" s="10"/>
      <c r="F72" s="54">
        <f>VLOOKUP(D72,战力表!A:B,2,)</f>
        <v>0</v>
      </c>
      <c r="G72" s="12"/>
      <c r="H72" s="55"/>
      <c r="I72" s="54"/>
      <c r="J72" s="12"/>
      <c r="K72" s="56">
        <f t="shared" si="15"/>
        <v>0</v>
      </c>
      <c r="L72" s="56">
        <f t="shared" si="16"/>
        <v>0</v>
      </c>
      <c r="M72" s="56">
        <f t="shared" si="17"/>
        <v>0</v>
      </c>
      <c r="N72" s="56" t="b">
        <f t="shared" si="18"/>
        <v>0</v>
      </c>
      <c r="O72" s="12"/>
      <c r="P72" s="55">
        <v>60</v>
      </c>
      <c r="Q72" s="56">
        <f t="shared" si="19"/>
        <v>0</v>
      </c>
      <c r="R72" s="56"/>
      <c r="S72" s="55"/>
      <c r="T72" s="56" t="b">
        <f t="shared" si="20"/>
        <v>0</v>
      </c>
      <c r="U72" s="56">
        <f t="shared" si="21"/>
        <v>0</v>
      </c>
      <c r="V72" s="56">
        <f t="shared" si="22"/>
        <v>60</v>
      </c>
      <c r="W72" s="12" t="e">
        <f>IF(H78=0,[1]List!$C$5,$C$3)</f>
        <v>#REF!</v>
      </c>
      <c r="X72" s="12"/>
      <c r="Y72" s="12" t="e">
        <f t="shared" si="23"/>
        <v>#REF!</v>
      </c>
      <c r="Z72" s="12" t="e">
        <f t="shared" si="24"/>
        <v>#REF!</v>
      </c>
      <c r="AA72" s="12"/>
      <c r="AB72" s="12"/>
    </row>
    <row r="73" spans="1:28" ht="14.25" customHeight="1" x14ac:dyDescent="0.25">
      <c r="A73" s="10"/>
      <c r="B73" s="35"/>
      <c r="C73" s="10"/>
      <c r="D73" s="10" t="s">
        <v>79</v>
      </c>
      <c r="E73" s="10"/>
      <c r="F73" s="54">
        <f>VLOOKUP(D73,战力表!A:B,2,)</f>
        <v>858119</v>
      </c>
      <c r="G73" s="12"/>
      <c r="H73" s="55"/>
      <c r="I73" s="54"/>
      <c r="J73" s="12"/>
      <c r="K73" s="56">
        <f t="shared" si="15"/>
        <v>0</v>
      </c>
      <c r="L73" s="56">
        <f t="shared" si="16"/>
        <v>0</v>
      </c>
      <c r="M73" s="56">
        <f t="shared" si="17"/>
        <v>0</v>
      </c>
      <c r="N73" s="56" t="b">
        <f t="shared" si="18"/>
        <v>0</v>
      </c>
      <c r="O73" s="12"/>
      <c r="P73" s="55">
        <v>74</v>
      </c>
      <c r="Q73" s="56">
        <f t="shared" si="19"/>
        <v>0</v>
      </c>
      <c r="R73" s="56"/>
      <c r="S73" s="55"/>
      <c r="T73" s="56" t="b">
        <f t="shared" si="20"/>
        <v>0</v>
      </c>
      <c r="U73" s="56">
        <f t="shared" si="21"/>
        <v>0</v>
      </c>
      <c r="V73" s="56">
        <f t="shared" si="22"/>
        <v>74</v>
      </c>
      <c r="W73" s="12" t="str">
        <f>IF(H73=0,List!$C$5,$C$3)</f>
        <v>没有忍战，无法分包</v>
      </c>
      <c r="X73" s="12"/>
      <c r="Y73" s="12">
        <f t="shared" si="23"/>
        <v>0</v>
      </c>
      <c r="Z73" s="12" t="str">
        <f t="shared" si="24"/>
        <v>yes</v>
      </c>
      <c r="AA73" s="12"/>
      <c r="AB73" s="12"/>
    </row>
    <row r="74" spans="1:28" ht="14.25" customHeight="1" x14ac:dyDescent="0.25">
      <c r="A74" s="10"/>
      <c r="B74" s="35"/>
      <c r="C74" s="10"/>
      <c r="D74" s="10" t="s">
        <v>80</v>
      </c>
      <c r="E74" s="10"/>
      <c r="F74" s="54" t="e">
        <f>VLOOKUP(D74,战力表!A:B,2,)</f>
        <v>#N/A</v>
      </c>
      <c r="G74" s="12"/>
      <c r="H74" s="55"/>
      <c r="I74" s="54"/>
      <c r="J74" s="12"/>
      <c r="K74" s="56" t="e">
        <f t="shared" si="15"/>
        <v>#N/A</v>
      </c>
      <c r="L74" s="56">
        <f t="shared" si="16"/>
        <v>0</v>
      </c>
      <c r="M74" s="56">
        <f t="shared" si="17"/>
        <v>0</v>
      </c>
      <c r="N74" s="56" t="b">
        <f t="shared" si="18"/>
        <v>0</v>
      </c>
      <c r="O74" s="12"/>
      <c r="P74" s="55">
        <v>110</v>
      </c>
      <c r="Q74" s="56" t="e">
        <f t="shared" si="19"/>
        <v>#N/A</v>
      </c>
      <c r="R74" s="56"/>
      <c r="S74" s="55"/>
      <c r="T74" s="56" t="b">
        <f t="shared" si="20"/>
        <v>0</v>
      </c>
      <c r="U74" s="56">
        <f t="shared" si="21"/>
        <v>0</v>
      </c>
      <c r="V74" s="56" t="e">
        <f t="shared" si="22"/>
        <v>#N/A</v>
      </c>
      <c r="W74" s="12" t="str">
        <f>IF(H74=0,List!$C$5,$C$3)</f>
        <v>没有忍战，无法分包</v>
      </c>
      <c r="X74" s="12"/>
      <c r="Y74" s="12">
        <f t="shared" si="23"/>
        <v>0</v>
      </c>
      <c r="Z74" s="12" t="str">
        <f t="shared" si="24"/>
        <v>yes</v>
      </c>
      <c r="AA74" s="12"/>
      <c r="AB74" s="12"/>
    </row>
    <row r="75" spans="1:28" ht="15" customHeight="1" x14ac:dyDescent="0.25">
      <c r="A75" s="10"/>
      <c r="B75" s="35"/>
      <c r="C75" s="10"/>
      <c r="D75" s="10" t="s">
        <v>81</v>
      </c>
      <c r="E75" s="10"/>
      <c r="F75" s="54" t="e">
        <f>VLOOKUP(D75,战力表!A:B,2,)</f>
        <v>#N/A</v>
      </c>
      <c r="G75" s="12"/>
      <c r="H75" s="55"/>
      <c r="I75" s="54"/>
      <c r="J75" s="12"/>
      <c r="K75" s="56" t="e">
        <f t="shared" si="15"/>
        <v>#N/A</v>
      </c>
      <c r="L75" s="56">
        <f t="shared" si="16"/>
        <v>0</v>
      </c>
      <c r="M75" s="56">
        <f t="shared" si="17"/>
        <v>0</v>
      </c>
      <c r="N75" s="56" t="b">
        <f t="shared" si="18"/>
        <v>0</v>
      </c>
      <c r="O75" s="12"/>
      <c r="P75" s="55">
        <v>55</v>
      </c>
      <c r="Q75" s="56" t="e">
        <f t="shared" si="19"/>
        <v>#N/A</v>
      </c>
      <c r="R75" s="56"/>
      <c r="S75" s="55"/>
      <c r="T75" s="56" t="b">
        <f t="shared" si="20"/>
        <v>0</v>
      </c>
      <c r="U75" s="56">
        <f t="shared" si="21"/>
        <v>0</v>
      </c>
      <c r="V75" s="56" t="e">
        <f t="shared" si="22"/>
        <v>#N/A</v>
      </c>
      <c r="W75" s="12" t="str">
        <f>IF(H75=0,List!$C$5,$C$3)</f>
        <v>没有忍战，无法分包</v>
      </c>
      <c r="X75" s="12"/>
      <c r="Y75" s="12">
        <f t="shared" si="23"/>
        <v>0</v>
      </c>
      <c r="Z75" s="12" t="str">
        <f t="shared" si="24"/>
        <v>yes</v>
      </c>
      <c r="AA75" s="12"/>
      <c r="AB75" s="12"/>
    </row>
    <row r="76" spans="1:28" ht="14.25" customHeight="1" x14ac:dyDescent="0.25">
      <c r="A76" s="10"/>
      <c r="B76" s="35"/>
      <c r="C76" s="10"/>
      <c r="D76" s="10" t="s">
        <v>83</v>
      </c>
      <c r="E76" s="10"/>
      <c r="F76" s="54">
        <f>VLOOKUP(D76,战力表!A:B,2,)</f>
        <v>1868233</v>
      </c>
      <c r="G76" s="12"/>
      <c r="H76" s="55"/>
      <c r="I76" s="54"/>
      <c r="J76" s="12"/>
      <c r="K76" s="56">
        <f>IF(H76&gt;0,VLOOKUP(D76,战力表!$A$3:$F$39,7,FALSE),0)</f>
        <v>0</v>
      </c>
      <c r="L76" s="56">
        <f t="shared" si="16"/>
        <v>0</v>
      </c>
      <c r="M76" s="56">
        <f t="shared" si="17"/>
        <v>0</v>
      </c>
      <c r="N76" s="56" t="b">
        <f t="shared" si="18"/>
        <v>0</v>
      </c>
      <c r="O76" s="12"/>
      <c r="P76" s="55">
        <v>34</v>
      </c>
      <c r="Q76" s="56">
        <f t="shared" si="19"/>
        <v>0</v>
      </c>
      <c r="R76" s="56"/>
      <c r="S76" s="55"/>
      <c r="T76" s="56" t="b">
        <f t="shared" si="20"/>
        <v>0</v>
      </c>
      <c r="U76" s="56">
        <f t="shared" si="21"/>
        <v>0</v>
      </c>
      <c r="V76" s="56">
        <f t="shared" si="22"/>
        <v>34</v>
      </c>
      <c r="W76" s="12" t="str">
        <f>IF(H76=0,List!$C$5,$C$3)</f>
        <v>没有忍战，无法分包</v>
      </c>
      <c r="X76" s="12"/>
      <c r="Y76" s="12">
        <f>IF(S76&gt;0,V76-30,IF(W76=0,V76,0))</f>
        <v>0</v>
      </c>
      <c r="Z76" s="12" t="str">
        <f t="shared" si="24"/>
        <v>yes</v>
      </c>
      <c r="AA76" s="12"/>
      <c r="AB76" s="12"/>
    </row>
    <row r="77" spans="1:28" ht="14.25" customHeight="1" x14ac:dyDescent="0.25">
      <c r="A77" s="10"/>
      <c r="B77" s="35"/>
      <c r="C77" s="10"/>
      <c r="D77" s="10" t="s">
        <v>84</v>
      </c>
      <c r="E77" s="10"/>
      <c r="F77" s="54" t="e">
        <f>VLOOKUP(D77,战力表!A:B,2,)</f>
        <v>#N/A</v>
      </c>
      <c r="G77" s="12"/>
      <c r="H77" s="55"/>
      <c r="I77" s="54"/>
      <c r="J77" s="12"/>
      <c r="K77" s="56" t="e">
        <f>INT(IF(F77&gt;200000,IF(H77&gt;0,INT(F77/100000)-$U$8,0),0)*H77/$U$11)</f>
        <v>#N/A</v>
      </c>
      <c r="L77" s="56">
        <f t="shared" si="16"/>
        <v>0</v>
      </c>
      <c r="M77" s="56">
        <f t="shared" si="17"/>
        <v>0</v>
      </c>
      <c r="N77" s="56" t="b">
        <f t="shared" si="18"/>
        <v>0</v>
      </c>
      <c r="O77" s="12"/>
      <c r="P77" s="55">
        <v>239</v>
      </c>
      <c r="Q77" s="56" t="e">
        <f t="shared" si="19"/>
        <v>#N/A</v>
      </c>
      <c r="R77" s="56"/>
      <c r="S77" s="55"/>
      <c r="T77" s="56" t="b">
        <f t="shared" si="20"/>
        <v>0</v>
      </c>
      <c r="U77" s="56">
        <f t="shared" si="21"/>
        <v>0</v>
      </c>
      <c r="V77" s="56" t="e">
        <f t="shared" si="22"/>
        <v>#N/A</v>
      </c>
      <c r="W77" s="12" t="str">
        <f>IF(H77=0,List!$C$5,$C$3)</f>
        <v>没有忍战，无法分包</v>
      </c>
      <c r="X77" s="12"/>
      <c r="Y77" s="12">
        <f t="shared" ref="Y77:Y78" si="25">IF(S77&gt;0,V77-50,IF(W77=0,V77,0))</f>
        <v>0</v>
      </c>
      <c r="Z77" s="12" t="str">
        <f t="shared" si="24"/>
        <v>yes</v>
      </c>
      <c r="AA77" s="12"/>
      <c r="AB77" s="12"/>
    </row>
    <row r="78" spans="1:28" ht="14.25" customHeight="1" x14ac:dyDescent="0.25">
      <c r="A78" s="10"/>
      <c r="B78" s="35"/>
      <c r="C78" s="10"/>
      <c r="D78" s="10" t="s">
        <v>85</v>
      </c>
      <c r="E78" s="10"/>
      <c r="F78" s="54">
        <f>VLOOKUP(D78,战力表!A:B,2,)</f>
        <v>0</v>
      </c>
      <c r="G78" s="12"/>
      <c r="H78" s="55"/>
      <c r="I78" s="54"/>
      <c r="J78" s="12"/>
      <c r="K78" s="56">
        <f>IF(F78&gt;200000,IF(H78&gt;0,INT(F78/100000)-$U$8,0),0)</f>
        <v>0</v>
      </c>
      <c r="L78" s="56">
        <f t="shared" si="16"/>
        <v>0</v>
      </c>
      <c r="M78" s="56">
        <f t="shared" si="17"/>
        <v>0</v>
      </c>
      <c r="N78" s="56" t="b">
        <f t="shared" si="18"/>
        <v>0</v>
      </c>
      <c r="O78" s="12"/>
      <c r="P78" s="55">
        <v>76</v>
      </c>
      <c r="Q78" s="56">
        <f t="shared" si="19"/>
        <v>0</v>
      </c>
      <c r="R78" s="56"/>
      <c r="S78" s="55"/>
      <c r="T78" s="56" t="b">
        <f t="shared" si="20"/>
        <v>0</v>
      </c>
      <c r="U78" s="56">
        <f t="shared" si="21"/>
        <v>0</v>
      </c>
      <c r="V78" s="56">
        <f t="shared" si="22"/>
        <v>76</v>
      </c>
      <c r="W78" s="12" t="str">
        <f>IF(H78=0,List!$C$5,$C$3)</f>
        <v>没有忍战，无法分包</v>
      </c>
      <c r="X78" s="12"/>
      <c r="Y78" s="12">
        <f t="shared" si="25"/>
        <v>0</v>
      </c>
      <c r="Z78" s="12" t="str">
        <f t="shared" si="24"/>
        <v>yes</v>
      </c>
      <c r="AA78" s="12"/>
      <c r="AB78" s="12"/>
    </row>
    <row r="79" spans="1:28" ht="14.25" customHeight="1" x14ac:dyDescent="0.25">
      <c r="A79" s="10"/>
      <c r="B79" s="35"/>
      <c r="C79" s="10"/>
      <c r="D79" s="10" t="s">
        <v>86</v>
      </c>
      <c r="E79" s="10"/>
      <c r="F79" s="54">
        <f>VLOOKUP(D79,战力表!A:B,2,)</f>
        <v>0</v>
      </c>
      <c r="G79" s="12"/>
      <c r="H79" s="55"/>
      <c r="I79" s="54"/>
      <c r="J79" s="12"/>
      <c r="K79" s="56">
        <f t="shared" ref="K79:K81" si="26">INT(IF(F79&gt;200000,IF(H79&gt;0,INT(F79/100000)-$U$8,0),0))</f>
        <v>0</v>
      </c>
      <c r="L79" s="56">
        <f t="shared" si="16"/>
        <v>0</v>
      </c>
      <c r="M79" s="56">
        <f t="shared" si="17"/>
        <v>0</v>
      </c>
      <c r="N79" s="56" t="b">
        <f t="shared" si="18"/>
        <v>0</v>
      </c>
      <c r="O79" s="12"/>
      <c r="P79" s="55">
        <v>43</v>
      </c>
      <c r="Q79" s="56">
        <f t="shared" si="19"/>
        <v>0</v>
      </c>
      <c r="R79" s="56"/>
      <c r="S79" s="55"/>
      <c r="T79" s="56" t="b">
        <f t="shared" si="20"/>
        <v>0</v>
      </c>
      <c r="U79" s="56">
        <f t="shared" si="21"/>
        <v>0</v>
      </c>
      <c r="V79" s="56">
        <f t="shared" si="22"/>
        <v>43</v>
      </c>
      <c r="W79" s="12" t="str">
        <f>IF(H79=0,List!$C$5,$C$3)</f>
        <v>没有忍战，无法分包</v>
      </c>
      <c r="X79" s="12"/>
      <c r="Y79" s="12">
        <f t="shared" ref="Y79:Y81" si="27">IF(S79&gt;0,V79-100,IF(W79=0,V79,0))</f>
        <v>0</v>
      </c>
      <c r="Z79" s="12" t="str">
        <f t="shared" si="24"/>
        <v>yes</v>
      </c>
      <c r="AA79" s="12"/>
      <c r="AB79" s="12"/>
    </row>
    <row r="80" spans="1:28" ht="14.25" customHeight="1" x14ac:dyDescent="0.25">
      <c r="A80" s="10"/>
      <c r="B80" s="35"/>
      <c r="C80" s="10"/>
      <c r="D80" s="10" t="s">
        <v>87</v>
      </c>
      <c r="E80" s="10"/>
      <c r="F80" s="54">
        <f>VLOOKUP(D80,战力表!A:B,2,)</f>
        <v>0</v>
      </c>
      <c r="G80" s="12"/>
      <c r="H80" s="55"/>
      <c r="I80" s="54"/>
      <c r="J80" s="12"/>
      <c r="K80" s="56">
        <f t="shared" si="26"/>
        <v>0</v>
      </c>
      <c r="L80" s="56">
        <f t="shared" si="16"/>
        <v>0</v>
      </c>
      <c r="M80" s="56">
        <f t="shared" si="17"/>
        <v>0</v>
      </c>
      <c r="N80" s="56" t="b">
        <f t="shared" si="18"/>
        <v>0</v>
      </c>
      <c r="O80" s="12"/>
      <c r="P80" s="55">
        <v>140</v>
      </c>
      <c r="Q80" s="56">
        <f t="shared" si="19"/>
        <v>0</v>
      </c>
      <c r="R80" s="56"/>
      <c r="S80" s="55"/>
      <c r="T80" s="56" t="b">
        <f t="shared" si="20"/>
        <v>0</v>
      </c>
      <c r="U80" s="56">
        <f t="shared" si="21"/>
        <v>0</v>
      </c>
      <c r="V80" s="56">
        <f t="shared" si="22"/>
        <v>140</v>
      </c>
      <c r="W80" s="12" t="str">
        <f>IF(H80=0,List!$C$5,$C$3)</f>
        <v>没有忍战，无法分包</v>
      </c>
      <c r="X80" s="12"/>
      <c r="Y80" s="12">
        <f t="shared" si="27"/>
        <v>0</v>
      </c>
      <c r="Z80" s="12" t="str">
        <f t="shared" si="24"/>
        <v>yes</v>
      </c>
      <c r="AA80" s="12"/>
      <c r="AB80" s="12"/>
    </row>
    <row r="81" spans="1:32" ht="14.25" customHeight="1" x14ac:dyDescent="0.25">
      <c r="A81" s="10"/>
      <c r="B81" s="35"/>
      <c r="C81" s="10"/>
      <c r="D81" s="10" t="s">
        <v>88</v>
      </c>
      <c r="E81" s="10"/>
      <c r="F81" s="54">
        <f>VLOOKUP(D81,战力表!A:B,2,)</f>
        <v>0</v>
      </c>
      <c r="G81" s="12"/>
      <c r="H81" s="55"/>
      <c r="I81" s="54"/>
      <c r="J81" s="12"/>
      <c r="K81" s="56">
        <f t="shared" si="26"/>
        <v>0</v>
      </c>
      <c r="L81" s="56">
        <f t="shared" si="16"/>
        <v>0</v>
      </c>
      <c r="M81" s="56">
        <f t="shared" si="17"/>
        <v>0</v>
      </c>
      <c r="N81" s="56" t="b">
        <f t="shared" si="18"/>
        <v>0</v>
      </c>
      <c r="O81" s="12"/>
      <c r="P81" s="55">
        <v>70</v>
      </c>
      <c r="Q81" s="56">
        <f t="shared" si="19"/>
        <v>0</v>
      </c>
      <c r="R81" s="56"/>
      <c r="S81" s="55"/>
      <c r="T81" s="56" t="b">
        <f t="shared" si="20"/>
        <v>0</v>
      </c>
      <c r="U81" s="56">
        <f t="shared" si="21"/>
        <v>0</v>
      </c>
      <c r="V81" s="56">
        <f t="shared" si="22"/>
        <v>70</v>
      </c>
      <c r="W81" s="12" t="str">
        <f>IF(H81=0,List!$C$5,$C$3)</f>
        <v>没有忍战，无法分包</v>
      </c>
      <c r="X81" s="12"/>
      <c r="Y81" s="12">
        <f t="shared" si="27"/>
        <v>0</v>
      </c>
      <c r="Z81" s="12" t="str">
        <f t="shared" si="24"/>
        <v>yes</v>
      </c>
      <c r="AA81" s="12"/>
      <c r="AB81" s="12"/>
    </row>
    <row r="82" spans="1:32" ht="14.25" customHeight="1" x14ac:dyDescent="0.25">
      <c r="A82" s="10"/>
      <c r="B82" s="35"/>
      <c r="C82" s="10"/>
      <c r="D82" s="10" t="s">
        <v>89</v>
      </c>
      <c r="E82" s="10"/>
      <c r="F82" s="54" t="e">
        <f>VLOOKUP(D82,战力表!A:B,2,)</f>
        <v>#N/A</v>
      </c>
      <c r="G82" s="12"/>
      <c r="H82" s="55"/>
      <c r="I82" s="54"/>
      <c r="J82" s="12"/>
      <c r="K82" s="56">
        <f>IF(H82&gt;0,VLOOKUP(D82,战力表!$A$3:$F$39,7,FALSE),0)</f>
        <v>0</v>
      </c>
      <c r="L82" s="56">
        <f t="shared" si="16"/>
        <v>0</v>
      </c>
      <c r="M82" s="56">
        <f t="shared" si="17"/>
        <v>0</v>
      </c>
      <c r="N82" s="56" t="b">
        <f t="shared" si="18"/>
        <v>0</v>
      </c>
      <c r="O82" s="12"/>
      <c r="P82" s="55">
        <v>57</v>
      </c>
      <c r="Q82" s="56">
        <f t="shared" si="19"/>
        <v>0</v>
      </c>
      <c r="R82" s="56"/>
      <c r="S82" s="55"/>
      <c r="T82" s="56" t="b">
        <f t="shared" si="20"/>
        <v>0</v>
      </c>
      <c r="U82" s="56">
        <f t="shared" si="21"/>
        <v>0</v>
      </c>
      <c r="V82" s="56">
        <f t="shared" si="22"/>
        <v>57</v>
      </c>
      <c r="W82" s="12" t="str">
        <f>IF(H82=0,List!$C$5,$C$3)</f>
        <v>没有忍战，无法分包</v>
      </c>
      <c r="X82" s="12"/>
      <c r="Y82" s="12">
        <f>IF(S82&gt;0,V82-30,IF(W82=0,V82,0))</f>
        <v>0</v>
      </c>
      <c r="Z82" s="12" t="str">
        <f t="shared" si="24"/>
        <v>yes</v>
      </c>
      <c r="AA82" s="12"/>
      <c r="AB82" s="12"/>
    </row>
    <row r="83" spans="1:32" ht="14.25" customHeight="1" x14ac:dyDescent="0.25">
      <c r="A83" s="10"/>
      <c r="B83" s="35"/>
      <c r="C83" s="10"/>
      <c r="D83" s="10" t="s">
        <v>40</v>
      </c>
      <c r="E83" s="10"/>
      <c r="F83" s="54" t="e">
        <f>VLOOKUP(D83,战力表!A:B,2,)</f>
        <v>#N/A</v>
      </c>
      <c r="G83" s="12"/>
      <c r="H83" s="55"/>
      <c r="I83" s="54"/>
      <c r="J83" s="12"/>
      <c r="K83" s="56">
        <f>IF(H83&gt;0,VLOOKUP(D83,战力表!$A$3:$F$39,7,FALSE),0)</f>
        <v>0</v>
      </c>
      <c r="L83" s="56">
        <f>H83*$U$9</f>
        <v>0</v>
      </c>
      <c r="M83" s="56">
        <f t="shared" si="17"/>
        <v>0</v>
      </c>
      <c r="N83" s="56" t="b">
        <f>IF(AND(I83&lt;6000,I83&gt;0),1,IF(AND(I83&lt;12000,I83&gt;=6000),2,IF(AND(I83&lt;=30000,I83&gt;=12000),3)))</f>
        <v>0</v>
      </c>
      <c r="O83" s="12"/>
      <c r="P83" s="55">
        <v>65</v>
      </c>
      <c r="Q83" s="56">
        <f>K83+L83+M83+N83</f>
        <v>0</v>
      </c>
      <c r="R83" s="56"/>
      <c r="S83" s="55"/>
      <c r="T83" s="56" t="b">
        <f t="shared" si="20"/>
        <v>0</v>
      </c>
      <c r="U83" s="56">
        <f t="shared" si="21"/>
        <v>0</v>
      </c>
      <c r="V83" s="56">
        <f>P83+Q83+U83</f>
        <v>65</v>
      </c>
      <c r="W83" s="12" t="str">
        <f>IF(H83=0,List!$C$5,$C$3)</f>
        <v>没有忍战，无法分包</v>
      </c>
      <c r="X83" s="12"/>
      <c r="Y83" s="12">
        <f>IF(S83&gt;0,V83-30,IF(W83=0,V83,0))</f>
        <v>0</v>
      </c>
      <c r="Z83" s="12" t="str">
        <f>IF(S83&gt;0,"",IF(Y83=$Y$13,"yes",""))</f>
        <v>yes</v>
      </c>
      <c r="AA83" s="12"/>
      <c r="AB83" s="12"/>
    </row>
    <row r="84" spans="1:32" ht="14.25" customHeight="1" x14ac:dyDescent="0.25">
      <c r="A84" s="10"/>
      <c r="B84" s="35"/>
      <c r="C84" s="10"/>
      <c r="D84" s="10" t="s">
        <v>58</v>
      </c>
      <c r="E84" s="10"/>
      <c r="F84" s="54">
        <f>VLOOKUP(D84,战力表!A:B,2,)</f>
        <v>0</v>
      </c>
      <c r="G84" s="12"/>
      <c r="H84" s="55"/>
      <c r="I84" s="54"/>
      <c r="J84" s="12"/>
      <c r="K84" s="56">
        <f>IF(H84&gt;0,VLOOKUP(D84,战力表!$A$3:$F$39,7,FALSE),0)</f>
        <v>0</v>
      </c>
      <c r="L84" s="56">
        <f>H84*$U$9</f>
        <v>0</v>
      </c>
      <c r="M84" s="56">
        <f t="shared" si="17"/>
        <v>0</v>
      </c>
      <c r="N84" s="56" t="b">
        <f>IF(AND(I84&lt;6000,I84&gt;0),1,IF(AND(I84&lt;12000,I84&gt;=6000),2,IF(AND(I84&lt;=30000,I84&gt;=12000),3)))</f>
        <v>0</v>
      </c>
      <c r="O84" s="12"/>
      <c r="P84" s="55">
        <v>54</v>
      </c>
      <c r="Q84" s="56">
        <f>K84+L84+M84+N84</f>
        <v>0</v>
      </c>
      <c r="R84" s="56"/>
      <c r="S84" s="55"/>
      <c r="T84" s="56" t="b">
        <f t="shared" si="20"/>
        <v>0</v>
      </c>
      <c r="U84" s="56">
        <f t="shared" si="21"/>
        <v>0</v>
      </c>
      <c r="V84" s="56">
        <f>P84+Q84+U84</f>
        <v>54</v>
      </c>
      <c r="W84" s="12" t="str">
        <f>IF(H84=0,List!$C$5,$C$3)</f>
        <v>没有忍战，无法分包</v>
      </c>
      <c r="X84" s="12"/>
      <c r="Y84" s="12">
        <f>IF(S84&gt;0,V84-30,IF(W84=0,V84,0))</f>
        <v>0</v>
      </c>
      <c r="Z84" s="12" t="str">
        <f>IF(S84&gt;0,"",IF(Y84=$Y$13,"yes",""))</f>
        <v>yes</v>
      </c>
      <c r="AA84" s="12"/>
      <c r="AB84" s="12"/>
    </row>
    <row r="85" spans="1:32" ht="14.25" customHeight="1" x14ac:dyDescent="0.25">
      <c r="A85" s="10"/>
      <c r="B85" s="35">
        <v>0</v>
      </c>
      <c r="C85" s="10"/>
      <c r="D85" s="10" t="s">
        <v>45</v>
      </c>
      <c r="E85" s="10"/>
      <c r="F85" s="54">
        <f>INT(VLOOKUP(D85,战力表!A:B,2,)/10000)</f>
        <v>191</v>
      </c>
      <c r="G85" s="12"/>
      <c r="H85" s="55"/>
      <c r="I85" s="54"/>
      <c r="J85" s="12"/>
      <c r="K85" s="56">
        <f>IF(H85&gt;0,VLOOKUP(D85,战力表!$A$3:$F$58,6,FALSE),0)</f>
        <v>0</v>
      </c>
      <c r="L85" s="56">
        <f>H85*$U$9</f>
        <v>0</v>
      </c>
      <c r="M85" s="56">
        <f>IF(H85=$U$11,$U$10,0)</f>
        <v>0</v>
      </c>
      <c r="N85" s="56" t="b">
        <f>IF(AND(I85&lt;6000,I85&gt;0),1,IF(AND(I85&lt;12000,I85&gt;=6000),2,IF(AND(I85&lt;=30000,I85&gt;=12000),3)))</f>
        <v>0</v>
      </c>
      <c r="O85" s="12"/>
      <c r="P85" s="55">
        <v>124</v>
      </c>
      <c r="Q85" s="56">
        <f>K85+L85+M85+N85</f>
        <v>0</v>
      </c>
      <c r="R85" s="56">
        <f>P85+Q85</f>
        <v>124</v>
      </c>
      <c r="S85" s="56" t="str">
        <f>IF(H85=0,"",IF(B85=1,3,IF(Z85&lt;$Y$2,1,IF(Z85&lt;$Y$3,2,3))))</f>
        <v/>
      </c>
      <c r="T85" s="56" t="b">
        <f>IF(S85=$K$9,$L$9,IF(S85=$K$10,$L$10,IF(S85=$K$11,$L$11)))</f>
        <v>0</v>
      </c>
      <c r="U85" s="56">
        <f>-IF(S85=$K$9,$M$9,IF(S85=$K$10,$M$10,IF(S85=$K$11,$M$11)))</f>
        <v>0</v>
      </c>
      <c r="V85" s="56">
        <f>P85+Q85+U85</f>
        <v>124</v>
      </c>
      <c r="W85" s="12" t="str">
        <f>IF(H85=0,List!$C$5,$C$3)</f>
        <v>没有忍战，无法分包</v>
      </c>
      <c r="X85" s="12"/>
      <c r="Y85" s="12">
        <f>P85+Q85</f>
        <v>124</v>
      </c>
      <c r="Z85" s="12" t="e">
        <f>RANK(Y85,$Y$15:$Y$53,0)+COUNTIF($Y$15:Y85,Y85)-1</f>
        <v>#N/A</v>
      </c>
      <c r="AA85" s="12"/>
      <c r="AB85" s="12"/>
    </row>
    <row r="86" spans="1:32" ht="14.25" customHeight="1" x14ac:dyDescent="0.25">
      <c r="A86" s="10"/>
      <c r="B86" s="35">
        <v>0</v>
      </c>
      <c r="C86" s="10"/>
      <c r="D86" s="10" t="s">
        <v>46</v>
      </c>
      <c r="E86" s="10"/>
      <c r="F86" s="54">
        <f>INT(VLOOKUP(D86,战力表!A:B,2,)/10000)</f>
        <v>179</v>
      </c>
      <c r="G86" s="12"/>
      <c r="H86" s="55"/>
      <c r="I86" s="54"/>
      <c r="J86" s="12"/>
      <c r="K86" s="56">
        <f>IF(H86&gt;0,VLOOKUP(D86,战力表!$A$3:$F$58,6,FALSE),0)</f>
        <v>0</v>
      </c>
      <c r="L86" s="56">
        <f>H86*$U$9</f>
        <v>0</v>
      </c>
      <c r="M86" s="56">
        <f>IF(H86=$U$11,$U$10,0)</f>
        <v>0</v>
      </c>
      <c r="N86" s="56" t="b">
        <f>IF(AND(I86&lt;6000,I86&gt;0),1,IF(AND(I86&lt;12000,I86&gt;=6000),2,IF(AND(I86&lt;=30000,I86&gt;=12000),3)))</f>
        <v>0</v>
      </c>
      <c r="O86" s="12"/>
      <c r="P86" s="55">
        <v>140</v>
      </c>
      <c r="Q86" s="56">
        <f>K86+L86+M86+N86</f>
        <v>0</v>
      </c>
      <c r="R86" s="56">
        <f>P86+Q86</f>
        <v>140</v>
      </c>
      <c r="S86" s="56" t="str">
        <f>IF(H86=0,"",IF(B86=1,3,IF(Z86&lt;$Y$2,1,IF(Z86&lt;$Y$3,2,3))))</f>
        <v/>
      </c>
      <c r="T86" s="56" t="b">
        <f>IF(S86=$K$9,$L$9,IF(S86=$K$10,$L$10,IF(S86=$K$11,$L$11)))</f>
        <v>0</v>
      </c>
      <c r="U86" s="56">
        <f>-IF(S86=$K$9,$M$9,IF(S86=$K$10,$M$10,IF(S86=$K$11,$M$11)))</f>
        <v>0</v>
      </c>
      <c r="V86" s="56">
        <f>P86+Q86+U86</f>
        <v>140</v>
      </c>
      <c r="W86" s="12" t="str">
        <f>IF(H86=0,List!$C$5,$C$3)</f>
        <v>没有忍战，无法分包</v>
      </c>
      <c r="X86" s="12"/>
      <c r="Y86" s="12">
        <f>P86+Q86</f>
        <v>140</v>
      </c>
      <c r="Z86" s="12" t="e">
        <f>RANK(Y86,$Y$15:$Y$53,0)+COUNTIF($Y$15:Y86,Y86)-1</f>
        <v>#N/A</v>
      </c>
      <c r="AA86" s="12"/>
      <c r="AB86" s="12"/>
    </row>
    <row r="87" spans="1:32" ht="14.25" customHeight="1" x14ac:dyDescent="0.25">
      <c r="A87" s="10"/>
      <c r="B87" s="35">
        <v>0</v>
      </c>
      <c r="C87" s="10"/>
      <c r="D87" s="10" t="s">
        <v>50</v>
      </c>
      <c r="E87" s="10"/>
      <c r="F87" s="54">
        <f>INT(VLOOKUP(D87,战力表!A:B,2,)/10000)</f>
        <v>165</v>
      </c>
      <c r="G87" s="12"/>
      <c r="H87" s="55"/>
      <c r="I87" s="54"/>
      <c r="J87" s="12"/>
      <c r="K87" s="56">
        <f>IF(H87&gt;0,VLOOKUP(D87,战力表!$A$3:$F$58,6,FALSE),0)</f>
        <v>0</v>
      </c>
      <c r="L87" s="56">
        <f>H87*$U$9</f>
        <v>0</v>
      </c>
      <c r="M87" s="56">
        <f>IF(H87=$U$11,$U$10,0)</f>
        <v>0</v>
      </c>
      <c r="N87" s="56" t="b">
        <f>IF(AND(I87&lt;6000,I87&gt;0),1,IF(AND(I87&lt;12000,I87&gt;=6000),2,IF(AND(I87&lt;=30000,I87&gt;=12000),3)))</f>
        <v>0</v>
      </c>
      <c r="O87" s="12"/>
      <c r="P87" s="55">
        <v>50</v>
      </c>
      <c r="Q87" s="56">
        <f>K87+L87+M87+N87</f>
        <v>0</v>
      </c>
      <c r="R87" s="56">
        <f>P87+Q87</f>
        <v>50</v>
      </c>
      <c r="S87" s="56" t="str">
        <f>IF(H87=0,"",IF(B87=1,3,IF(Z87&lt;$Y$2,1,IF(Z87&lt;$Y$3,2,3))))</f>
        <v/>
      </c>
      <c r="T87" s="56" t="b">
        <f>IF(S87=$K$9,$L$9,IF(S87=$K$10,$L$10,IF(S87=$K$11,$L$11)))</f>
        <v>0</v>
      </c>
      <c r="U87" s="56">
        <f>-IF(S87=$K$9,$M$9,IF(S87=$K$10,$M$10,IF(S87=$K$11,$M$11)))</f>
        <v>0</v>
      </c>
      <c r="V87" s="56">
        <f>P87+Q87+U87</f>
        <v>50</v>
      </c>
      <c r="W87" s="12" t="str">
        <f>IF(H87=0,List!$C$5,$C$3)</f>
        <v>没有忍战，无法分包</v>
      </c>
      <c r="X87" s="12"/>
      <c r="Y87" s="12">
        <f>P87+Q87</f>
        <v>50</v>
      </c>
      <c r="Z87" s="12" t="e">
        <f>RANK(Y87,$Y$15:$Y$53,0)+COUNTIF($Y$15:Y87,Y87)-1</f>
        <v>#N/A</v>
      </c>
      <c r="AA87" s="12"/>
      <c r="AB87" s="12"/>
      <c r="AD87" s="33"/>
      <c r="AE87" s="33"/>
      <c r="AF87" s="33"/>
    </row>
    <row r="88" spans="1:32" ht="14.25" customHeight="1" x14ac:dyDescent="0.25">
      <c r="B88" s="34"/>
      <c r="F88" s="57"/>
      <c r="G88" s="53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3"/>
      <c r="X88" s="53"/>
      <c r="Y88" s="57"/>
      <c r="Z88" s="57"/>
      <c r="AA88" s="57"/>
      <c r="AB88" s="57"/>
    </row>
    <row r="89" spans="1:32" ht="14.25" customHeight="1" x14ac:dyDescent="0.25">
      <c r="B89" s="34"/>
      <c r="G89" s="3"/>
      <c r="W89" s="4"/>
      <c r="X89" s="4"/>
    </row>
    <row r="90" spans="1:32" ht="14.25" customHeight="1" x14ac:dyDescent="0.25">
      <c r="G90" s="3"/>
      <c r="W90" s="4"/>
      <c r="X90" s="4"/>
    </row>
    <row r="91" spans="1:32" ht="14.25" customHeight="1" x14ac:dyDescent="0.25">
      <c r="G91" s="3"/>
      <c r="W91" s="4"/>
      <c r="X91" s="4"/>
    </row>
    <row r="92" spans="1:32" ht="14.25" customHeight="1" x14ac:dyDescent="0.25">
      <c r="G92" s="3"/>
      <c r="W92" s="4"/>
      <c r="X92" s="4"/>
    </row>
    <row r="93" spans="1:32" ht="14.25" customHeight="1" x14ac:dyDescent="0.25">
      <c r="G93" s="3"/>
      <c r="W93" s="4"/>
      <c r="X93" s="4"/>
    </row>
    <row r="94" spans="1:32" ht="14.25" customHeight="1" x14ac:dyDescent="0.25">
      <c r="G94" s="3"/>
      <c r="W94" s="4"/>
      <c r="X94" s="4"/>
    </row>
    <row r="95" spans="1:32" ht="14.25" customHeight="1" x14ac:dyDescent="0.25">
      <c r="G95" s="3"/>
      <c r="W95" s="4"/>
      <c r="X95" s="4"/>
    </row>
    <row r="96" spans="1:32" ht="14.25" customHeight="1" x14ac:dyDescent="0.25">
      <c r="G96" s="3"/>
      <c r="W96" s="4"/>
      <c r="X96" s="4"/>
    </row>
    <row r="97" spans="7:24" ht="14.25" customHeight="1" x14ac:dyDescent="0.25">
      <c r="G97" s="3"/>
      <c r="W97" s="4"/>
      <c r="X97" s="4"/>
    </row>
    <row r="98" spans="7:24" ht="14.25" customHeight="1" x14ac:dyDescent="0.25">
      <c r="G98" s="3"/>
      <c r="W98" s="4"/>
      <c r="X98" s="4"/>
    </row>
    <row r="99" spans="7:24" ht="14.25" customHeight="1" x14ac:dyDescent="0.25">
      <c r="G99" s="3"/>
      <c r="W99" s="4"/>
      <c r="X99" s="4"/>
    </row>
    <row r="100" spans="7:24" ht="14.25" customHeight="1" x14ac:dyDescent="0.25">
      <c r="G100" s="3"/>
      <c r="W100" s="4"/>
      <c r="X100" s="4"/>
    </row>
    <row r="101" spans="7:24" ht="14.25" customHeight="1" x14ac:dyDescent="0.25">
      <c r="G101" s="3"/>
      <c r="W101" s="4"/>
      <c r="X101" s="4"/>
    </row>
    <row r="102" spans="7:24" ht="14.25" customHeight="1" x14ac:dyDescent="0.25">
      <c r="G102" s="3"/>
      <c r="W102" s="4"/>
      <c r="X102" s="4"/>
    </row>
    <row r="103" spans="7:24" ht="14.25" customHeight="1" x14ac:dyDescent="0.25">
      <c r="G103" s="3"/>
      <c r="W103" s="4"/>
      <c r="X103" s="4"/>
    </row>
    <row r="104" spans="7:24" ht="14.25" customHeight="1" x14ac:dyDescent="0.25">
      <c r="G104" s="3"/>
      <c r="W104" s="4"/>
      <c r="X104" s="4"/>
    </row>
    <row r="105" spans="7:24" ht="14.25" customHeight="1" x14ac:dyDescent="0.25">
      <c r="G105" s="3"/>
      <c r="W105" s="4"/>
      <c r="X105" s="4"/>
    </row>
    <row r="106" spans="7:24" ht="14.25" customHeight="1" x14ac:dyDescent="0.25">
      <c r="G106" s="3"/>
      <c r="W106" s="4"/>
      <c r="X106" s="4"/>
    </row>
    <row r="107" spans="7:24" ht="14.25" customHeight="1" x14ac:dyDescent="0.25">
      <c r="G107" s="3"/>
      <c r="W107" s="4"/>
      <c r="X107" s="4"/>
    </row>
    <row r="108" spans="7:24" ht="14.25" customHeight="1" x14ac:dyDescent="0.25">
      <c r="G108" s="3"/>
      <c r="W108" s="4"/>
      <c r="X108" s="4"/>
    </row>
    <row r="109" spans="7:24" ht="14.25" customHeight="1" x14ac:dyDescent="0.25">
      <c r="G109" s="3"/>
      <c r="W109" s="4"/>
      <c r="X109" s="4"/>
    </row>
    <row r="110" spans="7:24" ht="14.25" customHeight="1" x14ac:dyDescent="0.25">
      <c r="G110" s="3"/>
      <c r="W110" s="4"/>
      <c r="X110" s="4"/>
    </row>
    <row r="111" spans="7:24" ht="14.25" customHeight="1" x14ac:dyDescent="0.25">
      <c r="G111" s="3"/>
      <c r="W111" s="4"/>
      <c r="X111" s="4"/>
    </row>
    <row r="112" spans="7:24" ht="14.25" customHeight="1" x14ac:dyDescent="0.25">
      <c r="G112" s="3"/>
      <c r="W112" s="4"/>
      <c r="X112" s="4"/>
    </row>
    <row r="113" spans="7:24" ht="14.25" customHeight="1" x14ac:dyDescent="0.25">
      <c r="G113" s="3"/>
      <c r="W113" s="4"/>
      <c r="X113" s="4"/>
    </row>
    <row r="114" spans="7:24" ht="14.25" customHeight="1" x14ac:dyDescent="0.25">
      <c r="G114" s="3"/>
      <c r="W114" s="4"/>
      <c r="X114" s="4"/>
    </row>
    <row r="115" spans="7:24" ht="14.25" customHeight="1" x14ac:dyDescent="0.25">
      <c r="G115" s="3"/>
      <c r="W115" s="4"/>
      <c r="X115" s="4"/>
    </row>
    <row r="116" spans="7:24" ht="14.25" customHeight="1" x14ac:dyDescent="0.25">
      <c r="G116" s="3"/>
      <c r="W116" s="4"/>
      <c r="X116" s="4"/>
    </row>
    <row r="117" spans="7:24" ht="14.25" customHeight="1" x14ac:dyDescent="0.25">
      <c r="G117" s="3"/>
      <c r="W117" s="4"/>
      <c r="X117" s="4"/>
    </row>
    <row r="118" spans="7:24" ht="14.25" customHeight="1" x14ac:dyDescent="0.25">
      <c r="G118" s="3"/>
      <c r="W118" s="4"/>
      <c r="X118" s="4"/>
    </row>
    <row r="119" spans="7:24" ht="14.25" customHeight="1" x14ac:dyDescent="0.25">
      <c r="G119" s="3"/>
      <c r="W119" s="4"/>
      <c r="X119" s="4"/>
    </row>
    <row r="120" spans="7:24" ht="14.25" customHeight="1" x14ac:dyDescent="0.25">
      <c r="G120" s="3"/>
      <c r="W120" s="4"/>
      <c r="X120" s="4"/>
    </row>
    <row r="121" spans="7:24" ht="14.25" customHeight="1" x14ac:dyDescent="0.25">
      <c r="G121" s="3"/>
      <c r="W121" s="4"/>
      <c r="X121" s="4"/>
    </row>
    <row r="122" spans="7:24" ht="14.25" customHeight="1" x14ac:dyDescent="0.25">
      <c r="G122" s="3"/>
      <c r="W122" s="4"/>
      <c r="X122" s="4"/>
    </row>
    <row r="123" spans="7:24" ht="14.25" customHeight="1" x14ac:dyDescent="0.25">
      <c r="G123" s="3"/>
      <c r="W123" s="4"/>
      <c r="X123" s="4"/>
    </row>
    <row r="124" spans="7:24" ht="14.25" customHeight="1" x14ac:dyDescent="0.25">
      <c r="G124" s="3"/>
      <c r="W124" s="4"/>
      <c r="X124" s="4"/>
    </row>
    <row r="125" spans="7:24" ht="14.25" customHeight="1" x14ac:dyDescent="0.25">
      <c r="G125" s="3"/>
      <c r="W125" s="4"/>
      <c r="X125" s="4"/>
    </row>
    <row r="126" spans="7:24" ht="14.25" customHeight="1" x14ac:dyDescent="0.25">
      <c r="G126" s="3"/>
      <c r="W126" s="4"/>
      <c r="X126" s="4"/>
    </row>
    <row r="127" spans="7:24" ht="14.25" customHeight="1" x14ac:dyDescent="0.25">
      <c r="G127" s="3"/>
      <c r="W127" s="4"/>
      <c r="X127" s="4"/>
    </row>
    <row r="128" spans="7:24" ht="14.25" customHeight="1" x14ac:dyDescent="0.25">
      <c r="G128" s="3"/>
      <c r="W128" s="4"/>
      <c r="X128" s="4"/>
    </row>
    <row r="129" spans="7:24" ht="14.25" customHeight="1" x14ac:dyDescent="0.25">
      <c r="G129" s="3"/>
      <c r="W129" s="4"/>
      <c r="X129" s="4"/>
    </row>
    <row r="130" spans="7:24" ht="14.25" customHeight="1" x14ac:dyDescent="0.25">
      <c r="G130" s="3"/>
      <c r="W130" s="4"/>
      <c r="X130" s="4"/>
    </row>
    <row r="131" spans="7:24" ht="14.25" customHeight="1" x14ac:dyDescent="0.25">
      <c r="G131" s="3"/>
      <c r="W131" s="4"/>
      <c r="X131" s="4"/>
    </row>
    <row r="132" spans="7:24" ht="14.25" customHeight="1" x14ac:dyDescent="0.25">
      <c r="G132" s="3"/>
      <c r="W132" s="4"/>
      <c r="X132" s="4"/>
    </row>
    <row r="133" spans="7:24" ht="14.25" customHeight="1" x14ac:dyDescent="0.25">
      <c r="G133" s="3"/>
      <c r="W133" s="4"/>
      <c r="X133" s="4"/>
    </row>
    <row r="134" spans="7:24" ht="14.25" customHeight="1" x14ac:dyDescent="0.25">
      <c r="G134" s="3"/>
      <c r="W134" s="4"/>
      <c r="X134" s="4"/>
    </row>
    <row r="135" spans="7:24" ht="14.25" customHeight="1" x14ac:dyDescent="0.25">
      <c r="G135" s="3"/>
      <c r="W135" s="4"/>
      <c r="X135" s="4"/>
    </row>
    <row r="136" spans="7:24" ht="14.25" customHeight="1" x14ac:dyDescent="0.25">
      <c r="G136" s="3"/>
      <c r="W136" s="4"/>
      <c r="X136" s="4"/>
    </row>
    <row r="137" spans="7:24" ht="14.25" customHeight="1" x14ac:dyDescent="0.25">
      <c r="G137" s="3"/>
      <c r="W137" s="4"/>
      <c r="X137" s="4"/>
    </row>
    <row r="138" spans="7:24" ht="14.25" customHeight="1" x14ac:dyDescent="0.25">
      <c r="G138" s="3"/>
      <c r="W138" s="4"/>
      <c r="X138" s="4"/>
    </row>
    <row r="139" spans="7:24" ht="14.25" customHeight="1" x14ac:dyDescent="0.25">
      <c r="G139" s="3"/>
      <c r="W139" s="4"/>
      <c r="X139" s="4"/>
    </row>
    <row r="140" spans="7:24" ht="14.25" customHeight="1" x14ac:dyDescent="0.25">
      <c r="G140" s="3"/>
      <c r="W140" s="4"/>
      <c r="X140" s="4"/>
    </row>
    <row r="141" spans="7:24" ht="14.25" customHeight="1" x14ac:dyDescent="0.25">
      <c r="G141" s="3"/>
      <c r="W141" s="4"/>
      <c r="X141" s="4"/>
    </row>
    <row r="142" spans="7:24" ht="14.25" customHeight="1" x14ac:dyDescent="0.25">
      <c r="G142" s="3"/>
      <c r="W142" s="4"/>
      <c r="X142" s="4"/>
    </row>
    <row r="143" spans="7:24" ht="14.25" customHeight="1" x14ac:dyDescent="0.25">
      <c r="G143" s="3"/>
      <c r="W143" s="4"/>
      <c r="X143" s="4"/>
    </row>
    <row r="144" spans="7:24" ht="14.25" customHeight="1" x14ac:dyDescent="0.25">
      <c r="G144" s="3"/>
      <c r="W144" s="4"/>
      <c r="X144" s="4"/>
    </row>
    <row r="145" spans="7:24" ht="14.25" customHeight="1" x14ac:dyDescent="0.25">
      <c r="G145" s="3"/>
      <c r="W145" s="4"/>
      <c r="X145" s="4"/>
    </row>
    <row r="146" spans="7:24" ht="14.25" customHeight="1" x14ac:dyDescent="0.25">
      <c r="G146" s="3"/>
      <c r="W146" s="4"/>
      <c r="X146" s="4"/>
    </row>
    <row r="147" spans="7:24" ht="14.25" customHeight="1" x14ac:dyDescent="0.25">
      <c r="G147" s="3"/>
      <c r="W147" s="4"/>
      <c r="X147" s="4"/>
    </row>
    <row r="148" spans="7:24" ht="14.25" customHeight="1" x14ac:dyDescent="0.25">
      <c r="G148" s="3"/>
      <c r="W148" s="4"/>
      <c r="X148" s="4"/>
    </row>
    <row r="149" spans="7:24" ht="14.25" customHeight="1" x14ac:dyDescent="0.25">
      <c r="G149" s="3"/>
      <c r="W149" s="4"/>
      <c r="X149" s="4"/>
    </row>
    <row r="150" spans="7:24" ht="14.25" customHeight="1" x14ac:dyDescent="0.25">
      <c r="G150" s="3"/>
      <c r="W150" s="4"/>
      <c r="X150" s="4"/>
    </row>
    <row r="151" spans="7:24" ht="14.25" customHeight="1" x14ac:dyDescent="0.25">
      <c r="G151" s="3"/>
      <c r="W151" s="4"/>
      <c r="X151" s="4"/>
    </row>
    <row r="152" spans="7:24" ht="14.25" customHeight="1" x14ac:dyDescent="0.25">
      <c r="G152" s="3"/>
      <c r="W152" s="4"/>
      <c r="X152" s="4"/>
    </row>
    <row r="153" spans="7:24" ht="14.25" customHeight="1" x14ac:dyDescent="0.25">
      <c r="G153" s="3"/>
      <c r="W153" s="4"/>
      <c r="X153" s="4"/>
    </row>
    <row r="154" spans="7:24" ht="14.25" customHeight="1" x14ac:dyDescent="0.25">
      <c r="G154" s="3"/>
      <c r="W154" s="4"/>
      <c r="X154" s="4"/>
    </row>
    <row r="155" spans="7:24" ht="14.25" customHeight="1" x14ac:dyDescent="0.25">
      <c r="G155" s="3"/>
      <c r="W155" s="4"/>
      <c r="X155" s="4"/>
    </row>
    <row r="156" spans="7:24" ht="14.25" customHeight="1" x14ac:dyDescent="0.25">
      <c r="G156" s="3"/>
      <c r="W156" s="4"/>
      <c r="X156" s="4"/>
    </row>
    <row r="157" spans="7:24" ht="14.25" customHeight="1" x14ac:dyDescent="0.25">
      <c r="G157" s="3"/>
      <c r="W157" s="4"/>
      <c r="X157" s="4"/>
    </row>
    <row r="158" spans="7:24" ht="14.25" customHeight="1" x14ac:dyDescent="0.25">
      <c r="G158" s="3"/>
      <c r="W158" s="4"/>
      <c r="X158" s="4"/>
    </row>
    <row r="159" spans="7:24" ht="14.25" customHeight="1" x14ac:dyDescent="0.25">
      <c r="G159" s="3"/>
      <c r="W159" s="4"/>
      <c r="X159" s="4"/>
    </row>
    <row r="160" spans="7:24" ht="14.25" customHeight="1" x14ac:dyDescent="0.25">
      <c r="G160" s="3"/>
      <c r="W160" s="4"/>
      <c r="X160" s="4"/>
    </row>
    <row r="161" spans="7:24" ht="14.25" customHeight="1" x14ac:dyDescent="0.25">
      <c r="G161" s="3"/>
      <c r="W161" s="4"/>
      <c r="X161" s="4"/>
    </row>
    <row r="162" spans="7:24" ht="14.25" customHeight="1" x14ac:dyDescent="0.25">
      <c r="G162" s="3"/>
      <c r="W162" s="4"/>
      <c r="X162" s="4"/>
    </row>
    <row r="163" spans="7:24" ht="14.25" customHeight="1" x14ac:dyDescent="0.25">
      <c r="G163" s="3"/>
      <c r="W163" s="4"/>
      <c r="X163" s="4"/>
    </row>
    <row r="164" spans="7:24" ht="14.25" customHeight="1" x14ac:dyDescent="0.25">
      <c r="G164" s="3"/>
      <c r="W164" s="4"/>
      <c r="X164" s="4"/>
    </row>
    <row r="165" spans="7:24" ht="14.25" customHeight="1" x14ac:dyDescent="0.25">
      <c r="G165" s="3"/>
      <c r="W165" s="4"/>
      <c r="X165" s="4"/>
    </row>
    <row r="166" spans="7:24" ht="14.25" customHeight="1" x14ac:dyDescent="0.25">
      <c r="G166" s="3"/>
      <c r="W166" s="4"/>
      <c r="X166" s="4"/>
    </row>
    <row r="167" spans="7:24" ht="14.25" customHeight="1" x14ac:dyDescent="0.25">
      <c r="G167" s="3"/>
      <c r="W167" s="4"/>
      <c r="X167" s="4"/>
    </row>
    <row r="168" spans="7:24" ht="14.25" customHeight="1" x14ac:dyDescent="0.25">
      <c r="G168" s="3"/>
      <c r="W168" s="4"/>
      <c r="X168" s="4"/>
    </row>
    <row r="169" spans="7:24" ht="14.25" customHeight="1" x14ac:dyDescent="0.25">
      <c r="G169" s="3"/>
      <c r="W169" s="4"/>
      <c r="X169" s="4"/>
    </row>
    <row r="170" spans="7:24" ht="14.25" customHeight="1" x14ac:dyDescent="0.25">
      <c r="G170" s="3"/>
      <c r="W170" s="4"/>
      <c r="X170" s="4"/>
    </row>
    <row r="171" spans="7:24" ht="14.25" customHeight="1" x14ac:dyDescent="0.25">
      <c r="G171" s="3"/>
      <c r="W171" s="4"/>
      <c r="X171" s="4"/>
    </row>
    <row r="172" spans="7:24" ht="14.25" customHeight="1" x14ac:dyDescent="0.25">
      <c r="G172" s="3"/>
      <c r="W172" s="4"/>
      <c r="X172" s="4"/>
    </row>
    <row r="173" spans="7:24" ht="14.25" customHeight="1" x14ac:dyDescent="0.25">
      <c r="G173" s="3"/>
      <c r="W173" s="4"/>
      <c r="X173" s="4"/>
    </row>
    <row r="174" spans="7:24" ht="14.25" customHeight="1" x14ac:dyDescent="0.25">
      <c r="G174" s="3"/>
      <c r="W174" s="4"/>
      <c r="X174" s="4"/>
    </row>
    <row r="175" spans="7:24" ht="14.25" customHeight="1" x14ac:dyDescent="0.25">
      <c r="G175" s="3"/>
      <c r="W175" s="4"/>
      <c r="X175" s="4"/>
    </row>
    <row r="176" spans="7:24" ht="14.25" customHeight="1" x14ac:dyDescent="0.25">
      <c r="G176" s="3"/>
      <c r="W176" s="4"/>
      <c r="X176" s="4"/>
    </row>
    <row r="177" spans="7:24" ht="14.25" customHeight="1" x14ac:dyDescent="0.25">
      <c r="G177" s="3"/>
      <c r="W177" s="4"/>
      <c r="X177" s="4"/>
    </row>
    <row r="178" spans="7:24" ht="14.25" customHeight="1" x14ac:dyDescent="0.25">
      <c r="G178" s="3"/>
      <c r="W178" s="4"/>
      <c r="X178" s="4"/>
    </row>
    <row r="179" spans="7:24" ht="14.25" customHeight="1" x14ac:dyDescent="0.25">
      <c r="G179" s="3"/>
      <c r="W179" s="4"/>
      <c r="X179" s="4"/>
    </row>
    <row r="180" spans="7:24" ht="14.25" customHeight="1" x14ac:dyDescent="0.25">
      <c r="G180" s="3"/>
      <c r="W180" s="4"/>
      <c r="X180" s="4"/>
    </row>
    <row r="181" spans="7:24" ht="14.25" customHeight="1" x14ac:dyDescent="0.25">
      <c r="G181" s="3"/>
      <c r="W181" s="4"/>
      <c r="X181" s="4"/>
    </row>
    <row r="182" spans="7:24" ht="14.25" customHeight="1" x14ac:dyDescent="0.25">
      <c r="G182" s="3"/>
      <c r="W182" s="4"/>
      <c r="X182" s="4"/>
    </row>
    <row r="183" spans="7:24" ht="14.25" customHeight="1" x14ac:dyDescent="0.25">
      <c r="G183" s="3"/>
      <c r="W183" s="4"/>
      <c r="X183" s="4"/>
    </row>
    <row r="184" spans="7:24" ht="14.25" customHeight="1" x14ac:dyDescent="0.25">
      <c r="G184" s="3"/>
      <c r="W184" s="4"/>
      <c r="X184" s="4"/>
    </row>
    <row r="185" spans="7:24" ht="14.25" customHeight="1" x14ac:dyDescent="0.25">
      <c r="G185" s="3"/>
      <c r="W185" s="4"/>
      <c r="X185" s="4"/>
    </row>
    <row r="186" spans="7:24" ht="14.25" customHeight="1" x14ac:dyDescent="0.25">
      <c r="G186" s="3"/>
      <c r="W186" s="4"/>
      <c r="X186" s="4"/>
    </row>
    <row r="187" spans="7:24" ht="14.25" customHeight="1" x14ac:dyDescent="0.25">
      <c r="G187" s="3"/>
      <c r="W187" s="4"/>
      <c r="X187" s="4"/>
    </row>
    <row r="188" spans="7:24" ht="14.25" customHeight="1" x14ac:dyDescent="0.25">
      <c r="G188" s="3"/>
      <c r="W188" s="4"/>
      <c r="X188" s="4"/>
    </row>
    <row r="189" spans="7:24" ht="14.25" customHeight="1" x14ac:dyDescent="0.25">
      <c r="G189" s="3"/>
      <c r="W189" s="4"/>
      <c r="X189" s="4"/>
    </row>
    <row r="190" spans="7:24" ht="14.25" customHeight="1" x14ac:dyDescent="0.25">
      <c r="G190" s="3"/>
      <c r="W190" s="4"/>
      <c r="X190" s="4"/>
    </row>
    <row r="191" spans="7:24" ht="14.25" customHeight="1" x14ac:dyDescent="0.25">
      <c r="G191" s="3"/>
      <c r="W191" s="4"/>
      <c r="X191" s="4"/>
    </row>
    <row r="192" spans="7:24" ht="14.25" customHeight="1" x14ac:dyDescent="0.25">
      <c r="G192" s="3"/>
      <c r="W192" s="4"/>
      <c r="X192" s="4"/>
    </row>
    <row r="193" spans="7:24" ht="14.25" customHeight="1" x14ac:dyDescent="0.25">
      <c r="G193" s="3"/>
      <c r="W193" s="4"/>
      <c r="X193" s="4"/>
    </row>
    <row r="194" spans="7:24" ht="14.25" customHeight="1" x14ac:dyDescent="0.25">
      <c r="G194" s="3"/>
      <c r="W194" s="4"/>
      <c r="X194" s="4"/>
    </row>
    <row r="195" spans="7:24" ht="14.25" customHeight="1" x14ac:dyDescent="0.25">
      <c r="G195" s="3"/>
      <c r="W195" s="4"/>
      <c r="X195" s="4"/>
    </row>
    <row r="196" spans="7:24" ht="14.25" customHeight="1" x14ac:dyDescent="0.25">
      <c r="G196" s="3"/>
      <c r="W196" s="4"/>
      <c r="X196" s="4"/>
    </row>
    <row r="197" spans="7:24" ht="14.25" customHeight="1" x14ac:dyDescent="0.25">
      <c r="G197" s="3"/>
      <c r="W197" s="4"/>
      <c r="X197" s="4"/>
    </row>
    <row r="198" spans="7:24" ht="14.25" customHeight="1" x14ac:dyDescent="0.25">
      <c r="G198" s="3"/>
      <c r="W198" s="4"/>
      <c r="X198" s="4"/>
    </row>
    <row r="199" spans="7:24" ht="14.25" customHeight="1" x14ac:dyDescent="0.25">
      <c r="G199" s="3"/>
      <c r="W199" s="4"/>
      <c r="X199" s="4"/>
    </row>
    <row r="200" spans="7:24" ht="14.25" customHeight="1" x14ac:dyDescent="0.25">
      <c r="G200" s="3"/>
      <c r="W200" s="4"/>
      <c r="X200" s="4"/>
    </row>
    <row r="201" spans="7:24" ht="14.25" customHeight="1" x14ac:dyDescent="0.25">
      <c r="G201" s="3"/>
      <c r="W201" s="4"/>
      <c r="X201" s="4"/>
    </row>
    <row r="202" spans="7:24" ht="14.25" customHeight="1" x14ac:dyDescent="0.25">
      <c r="G202" s="3"/>
      <c r="W202" s="4"/>
      <c r="X202" s="4"/>
    </row>
    <row r="203" spans="7:24" ht="14.25" customHeight="1" x14ac:dyDescent="0.25">
      <c r="G203" s="3"/>
      <c r="W203" s="4"/>
      <c r="X203" s="4"/>
    </row>
    <row r="204" spans="7:24" ht="14.25" customHeight="1" x14ac:dyDescent="0.25">
      <c r="G204" s="3"/>
      <c r="W204" s="4"/>
      <c r="X204" s="4"/>
    </row>
    <row r="205" spans="7:24" ht="14.25" customHeight="1" x14ac:dyDescent="0.25">
      <c r="G205" s="3"/>
      <c r="W205" s="4"/>
      <c r="X205" s="4"/>
    </row>
    <row r="206" spans="7:24" ht="14.25" customHeight="1" x14ac:dyDescent="0.25">
      <c r="G206" s="3"/>
      <c r="W206" s="4"/>
      <c r="X206" s="4"/>
    </row>
    <row r="207" spans="7:24" ht="14.25" customHeight="1" x14ac:dyDescent="0.25">
      <c r="G207" s="3"/>
      <c r="W207" s="4"/>
      <c r="X207" s="4"/>
    </row>
    <row r="208" spans="7:24" ht="14.25" customHeight="1" x14ac:dyDescent="0.25">
      <c r="G208" s="3"/>
      <c r="W208" s="4"/>
      <c r="X208" s="4"/>
    </row>
    <row r="209" spans="7:24" ht="14.25" customHeight="1" x14ac:dyDescent="0.25">
      <c r="G209" s="3"/>
      <c r="W209" s="4"/>
      <c r="X209" s="4"/>
    </row>
    <row r="210" spans="7:24" ht="14.25" customHeight="1" x14ac:dyDescent="0.25">
      <c r="G210" s="3"/>
      <c r="W210" s="4"/>
      <c r="X210" s="4"/>
    </row>
    <row r="211" spans="7:24" ht="14.25" customHeight="1" x14ac:dyDescent="0.25">
      <c r="G211" s="3"/>
      <c r="W211" s="4"/>
      <c r="X211" s="4"/>
    </row>
    <row r="212" spans="7:24" ht="14.25" customHeight="1" x14ac:dyDescent="0.25">
      <c r="G212" s="3"/>
      <c r="W212" s="4"/>
      <c r="X212" s="4"/>
    </row>
    <row r="213" spans="7:24" ht="14.25" customHeight="1" x14ac:dyDescent="0.25">
      <c r="G213" s="3"/>
      <c r="W213" s="4"/>
      <c r="X213" s="4"/>
    </row>
    <row r="214" spans="7:24" ht="14.25" customHeight="1" x14ac:dyDescent="0.25">
      <c r="G214" s="3"/>
      <c r="W214" s="4"/>
      <c r="X214" s="4"/>
    </row>
    <row r="215" spans="7:24" ht="14.25" customHeight="1" x14ac:dyDescent="0.25">
      <c r="G215" s="3"/>
      <c r="W215" s="4"/>
      <c r="X215" s="4"/>
    </row>
    <row r="216" spans="7:24" ht="14.25" customHeight="1" x14ac:dyDescent="0.25">
      <c r="G216" s="3"/>
      <c r="W216" s="4"/>
      <c r="X216" s="4"/>
    </row>
    <row r="217" spans="7:24" ht="14.25" customHeight="1" x14ac:dyDescent="0.25">
      <c r="G217" s="3"/>
      <c r="W217" s="4"/>
      <c r="X217" s="4"/>
    </row>
    <row r="218" spans="7:24" ht="14.25" customHeight="1" x14ac:dyDescent="0.25">
      <c r="G218" s="3"/>
      <c r="W218" s="4"/>
      <c r="X218" s="4"/>
    </row>
    <row r="219" spans="7:24" ht="14.25" customHeight="1" x14ac:dyDescent="0.25">
      <c r="G219" s="3"/>
      <c r="W219" s="4"/>
      <c r="X219" s="4"/>
    </row>
    <row r="220" spans="7:24" ht="14.25" customHeight="1" x14ac:dyDescent="0.25">
      <c r="G220" s="3"/>
      <c r="W220" s="4"/>
      <c r="X220" s="4"/>
    </row>
    <row r="221" spans="7:24" ht="14.25" customHeight="1" x14ac:dyDescent="0.25">
      <c r="G221" s="3"/>
      <c r="W221" s="4"/>
      <c r="X221" s="4"/>
    </row>
    <row r="222" spans="7:24" ht="14.25" customHeight="1" x14ac:dyDescent="0.25">
      <c r="G222" s="3"/>
      <c r="W222" s="4"/>
      <c r="X222" s="4"/>
    </row>
    <row r="223" spans="7:24" ht="14.25" customHeight="1" x14ac:dyDescent="0.25">
      <c r="G223" s="3"/>
      <c r="W223" s="4"/>
      <c r="X223" s="4"/>
    </row>
    <row r="224" spans="7:24" ht="14.25" customHeight="1" x14ac:dyDescent="0.25">
      <c r="G224" s="3"/>
      <c r="W224" s="4"/>
      <c r="X224" s="4"/>
    </row>
    <row r="225" spans="7:24" ht="14.25" customHeight="1" x14ac:dyDescent="0.25">
      <c r="G225" s="3"/>
      <c r="W225" s="4"/>
      <c r="X225" s="4"/>
    </row>
    <row r="226" spans="7:24" ht="14.25" customHeight="1" x14ac:dyDescent="0.25">
      <c r="G226" s="3"/>
      <c r="W226" s="4"/>
      <c r="X226" s="4"/>
    </row>
    <row r="227" spans="7:24" ht="14.25" customHeight="1" x14ac:dyDescent="0.25">
      <c r="G227" s="3"/>
      <c r="W227" s="4"/>
      <c r="X227" s="4"/>
    </row>
    <row r="228" spans="7:24" ht="14.25" customHeight="1" x14ac:dyDescent="0.25">
      <c r="G228" s="3"/>
      <c r="W228" s="4"/>
      <c r="X228" s="4"/>
    </row>
    <row r="229" spans="7:24" ht="14.25" customHeight="1" x14ac:dyDescent="0.25">
      <c r="G229" s="3"/>
      <c r="W229" s="4"/>
      <c r="X229" s="4"/>
    </row>
    <row r="230" spans="7:24" ht="14.25" customHeight="1" x14ac:dyDescent="0.25">
      <c r="G230" s="3"/>
      <c r="W230" s="4"/>
      <c r="X230" s="4"/>
    </row>
    <row r="231" spans="7:24" ht="14.25" customHeight="1" x14ac:dyDescent="0.25">
      <c r="G231" s="3"/>
      <c r="W231" s="4"/>
      <c r="X231" s="4"/>
    </row>
    <row r="232" spans="7:24" ht="14.25" customHeight="1" x14ac:dyDescent="0.25">
      <c r="G232" s="3"/>
      <c r="W232" s="4"/>
      <c r="X232" s="4"/>
    </row>
    <row r="233" spans="7:24" ht="14.25" customHeight="1" x14ac:dyDescent="0.25">
      <c r="G233" s="3"/>
      <c r="W233" s="4"/>
      <c r="X233" s="4"/>
    </row>
    <row r="234" spans="7:24" ht="14.25" customHeight="1" x14ac:dyDescent="0.25">
      <c r="G234" s="3"/>
      <c r="W234" s="4"/>
      <c r="X234" s="4"/>
    </row>
    <row r="235" spans="7:24" ht="14.25" customHeight="1" x14ac:dyDescent="0.25">
      <c r="G235" s="3"/>
      <c r="W235" s="4"/>
      <c r="X235" s="4"/>
    </row>
    <row r="236" spans="7:24" ht="14.25" customHeight="1" x14ac:dyDescent="0.25">
      <c r="G236" s="3"/>
      <c r="W236" s="4"/>
      <c r="X236" s="4"/>
    </row>
    <row r="237" spans="7:24" ht="14.25" customHeight="1" x14ac:dyDescent="0.25">
      <c r="G237" s="3"/>
      <c r="W237" s="4"/>
      <c r="X237" s="4"/>
    </row>
    <row r="238" spans="7:24" ht="14.25" customHeight="1" x14ac:dyDescent="0.25">
      <c r="G238" s="3"/>
      <c r="W238" s="4"/>
      <c r="X238" s="4"/>
    </row>
    <row r="239" spans="7:24" ht="14.25" customHeight="1" x14ac:dyDescent="0.25">
      <c r="G239" s="3"/>
      <c r="W239" s="4"/>
      <c r="X239" s="4"/>
    </row>
    <row r="240" spans="7:24" ht="14.25" customHeight="1" x14ac:dyDescent="0.25">
      <c r="G240" s="3"/>
      <c r="W240" s="4"/>
      <c r="X240" s="4"/>
    </row>
    <row r="241" spans="7:24" ht="14.25" customHeight="1" x14ac:dyDescent="0.25">
      <c r="G241" s="3"/>
      <c r="W241" s="4"/>
      <c r="X241" s="4"/>
    </row>
    <row r="242" spans="7:24" ht="14.25" customHeight="1" x14ac:dyDescent="0.25">
      <c r="G242" s="3"/>
      <c r="W242" s="4"/>
      <c r="X242" s="4"/>
    </row>
    <row r="243" spans="7:24" ht="14.25" customHeight="1" x14ac:dyDescent="0.25">
      <c r="G243" s="3"/>
      <c r="W243" s="4"/>
      <c r="X243" s="4"/>
    </row>
    <row r="244" spans="7:24" ht="14.25" customHeight="1" x14ac:dyDescent="0.25">
      <c r="G244" s="3"/>
      <c r="W244" s="4"/>
      <c r="X244" s="4"/>
    </row>
    <row r="245" spans="7:24" ht="14.25" customHeight="1" x14ac:dyDescent="0.25">
      <c r="G245" s="3"/>
      <c r="W245" s="4"/>
      <c r="X245" s="4"/>
    </row>
    <row r="246" spans="7:24" ht="14.25" customHeight="1" x14ac:dyDescent="0.25">
      <c r="G246" s="3"/>
      <c r="W246" s="4"/>
      <c r="X246" s="4"/>
    </row>
    <row r="247" spans="7:24" ht="14.25" customHeight="1" x14ac:dyDescent="0.25">
      <c r="G247" s="3"/>
      <c r="W247" s="4"/>
      <c r="X247" s="4"/>
    </row>
    <row r="248" spans="7:24" ht="14.25" customHeight="1" x14ac:dyDescent="0.25">
      <c r="G248" s="3"/>
      <c r="W248" s="4"/>
      <c r="X248" s="4"/>
    </row>
    <row r="249" spans="7:24" ht="14.25" customHeight="1" x14ac:dyDescent="0.25">
      <c r="G249" s="3"/>
      <c r="W249" s="4"/>
      <c r="X249" s="4"/>
    </row>
    <row r="250" spans="7:24" ht="14.25" customHeight="1" x14ac:dyDescent="0.25">
      <c r="G250" s="3"/>
      <c r="W250" s="4"/>
      <c r="X250" s="4"/>
    </row>
    <row r="251" spans="7:24" ht="14.25" customHeight="1" x14ac:dyDescent="0.25">
      <c r="G251" s="3"/>
      <c r="W251" s="4"/>
      <c r="X251" s="4"/>
    </row>
    <row r="252" spans="7:24" ht="14.25" customHeight="1" x14ac:dyDescent="0.25">
      <c r="G252" s="3"/>
      <c r="W252" s="4"/>
      <c r="X252" s="4"/>
    </row>
    <row r="253" spans="7:24" ht="14.25" customHeight="1" x14ac:dyDescent="0.25">
      <c r="G253" s="3"/>
      <c r="W253" s="4"/>
      <c r="X253" s="4"/>
    </row>
    <row r="254" spans="7:24" ht="14.25" customHeight="1" x14ac:dyDescent="0.25">
      <c r="G254" s="3"/>
      <c r="W254" s="4"/>
      <c r="X254" s="4"/>
    </row>
    <row r="255" spans="7:24" ht="14.25" customHeight="1" x14ac:dyDescent="0.25">
      <c r="G255" s="3"/>
      <c r="W255" s="4"/>
      <c r="X255" s="4"/>
    </row>
    <row r="256" spans="7:24" ht="14.25" customHeight="1" x14ac:dyDescent="0.25">
      <c r="G256" s="3"/>
      <c r="W256" s="4"/>
      <c r="X256" s="4"/>
    </row>
    <row r="257" spans="7:24" ht="14.25" customHeight="1" x14ac:dyDescent="0.25">
      <c r="G257" s="3"/>
      <c r="W257" s="4"/>
      <c r="X257" s="4"/>
    </row>
    <row r="258" spans="7:24" ht="14.25" customHeight="1" x14ac:dyDescent="0.25">
      <c r="G258" s="3"/>
      <c r="W258" s="4"/>
      <c r="X258" s="4"/>
    </row>
    <row r="259" spans="7:24" ht="14.25" customHeight="1" x14ac:dyDescent="0.25">
      <c r="G259" s="3"/>
      <c r="W259" s="4"/>
      <c r="X259" s="4"/>
    </row>
    <row r="260" spans="7:24" ht="14.25" customHeight="1" x14ac:dyDescent="0.25">
      <c r="G260" s="3"/>
      <c r="W260" s="4"/>
      <c r="X260" s="4"/>
    </row>
    <row r="261" spans="7:24" ht="14.25" customHeight="1" x14ac:dyDescent="0.25">
      <c r="G261" s="3"/>
      <c r="W261" s="4"/>
      <c r="X261" s="4"/>
    </row>
    <row r="262" spans="7:24" ht="14.25" customHeight="1" x14ac:dyDescent="0.25">
      <c r="G262" s="3"/>
      <c r="W262" s="4"/>
      <c r="X262" s="4"/>
    </row>
    <row r="263" spans="7:24" ht="14.25" customHeight="1" x14ac:dyDescent="0.25">
      <c r="G263" s="3"/>
      <c r="W263" s="4"/>
      <c r="X263" s="4"/>
    </row>
    <row r="264" spans="7:24" ht="14.25" customHeight="1" x14ac:dyDescent="0.25">
      <c r="G264" s="3"/>
      <c r="W264" s="4"/>
      <c r="X264" s="4"/>
    </row>
    <row r="265" spans="7:24" ht="14.25" customHeight="1" x14ac:dyDescent="0.25">
      <c r="G265" s="3"/>
      <c r="W265" s="4"/>
      <c r="X265" s="4"/>
    </row>
    <row r="266" spans="7:24" ht="14.25" customHeight="1" x14ac:dyDescent="0.25">
      <c r="G266" s="3"/>
      <c r="W266" s="4"/>
      <c r="X266" s="4"/>
    </row>
    <row r="267" spans="7:24" ht="14.25" customHeight="1" x14ac:dyDescent="0.25">
      <c r="G267" s="3"/>
      <c r="W267" s="4"/>
      <c r="X267" s="4"/>
    </row>
    <row r="268" spans="7:24" ht="14.25" customHeight="1" x14ac:dyDescent="0.25">
      <c r="G268" s="3"/>
      <c r="W268" s="4"/>
      <c r="X268" s="4"/>
    </row>
    <row r="269" spans="7:24" ht="14.25" customHeight="1" x14ac:dyDescent="0.25">
      <c r="G269" s="3"/>
      <c r="W269" s="4"/>
      <c r="X269" s="4"/>
    </row>
    <row r="270" spans="7:24" ht="14.25" customHeight="1" x14ac:dyDescent="0.25">
      <c r="G270" s="3"/>
      <c r="W270" s="4"/>
      <c r="X270" s="4"/>
    </row>
    <row r="271" spans="7:24" ht="14.25" customHeight="1" x14ac:dyDescent="0.25">
      <c r="G271" s="3"/>
      <c r="W271" s="4"/>
      <c r="X271" s="4"/>
    </row>
    <row r="272" spans="7:24" ht="14.25" customHeight="1" x14ac:dyDescent="0.25">
      <c r="G272" s="3"/>
      <c r="W272" s="4"/>
      <c r="X272" s="4"/>
    </row>
    <row r="273" spans="7:24" ht="14.25" customHeight="1" x14ac:dyDescent="0.25">
      <c r="G273" s="3"/>
      <c r="W273" s="4"/>
      <c r="X273" s="4"/>
    </row>
    <row r="274" spans="7:24" ht="14.25" customHeight="1" x14ac:dyDescent="0.25">
      <c r="G274" s="3"/>
      <c r="W274" s="4"/>
      <c r="X274" s="4"/>
    </row>
    <row r="275" spans="7:24" ht="14.25" customHeight="1" x14ac:dyDescent="0.25">
      <c r="G275" s="3"/>
      <c r="W275" s="4"/>
      <c r="X275" s="4"/>
    </row>
    <row r="276" spans="7:24" ht="14.25" customHeight="1" x14ac:dyDescent="0.25">
      <c r="G276" s="3"/>
      <c r="W276" s="4"/>
      <c r="X276" s="4"/>
    </row>
    <row r="277" spans="7:24" ht="14.25" customHeight="1" x14ac:dyDescent="0.25">
      <c r="G277" s="3"/>
      <c r="W277" s="4"/>
      <c r="X277" s="4"/>
    </row>
    <row r="278" spans="7:24" ht="14.25" customHeight="1" x14ac:dyDescent="0.25">
      <c r="G278" s="3"/>
      <c r="W278" s="4"/>
      <c r="X278" s="4"/>
    </row>
    <row r="279" spans="7:24" ht="14.25" customHeight="1" x14ac:dyDescent="0.25">
      <c r="G279" s="3"/>
      <c r="W279" s="4"/>
      <c r="X279" s="4"/>
    </row>
    <row r="280" spans="7:24" ht="14.25" customHeight="1" x14ac:dyDescent="0.25">
      <c r="G280" s="3"/>
      <c r="W280" s="4"/>
      <c r="X280" s="4"/>
    </row>
    <row r="281" spans="7:24" ht="14.25" customHeight="1" x14ac:dyDescent="0.25">
      <c r="G281" s="3"/>
      <c r="W281" s="4"/>
      <c r="X281" s="4"/>
    </row>
    <row r="282" spans="7:24" ht="14.25" customHeight="1" x14ac:dyDescent="0.25">
      <c r="G282" s="3"/>
      <c r="W282" s="4"/>
      <c r="X282" s="4"/>
    </row>
    <row r="283" spans="7:24" ht="14.25" customHeight="1" x14ac:dyDescent="0.25">
      <c r="G283" s="3"/>
      <c r="W283" s="4"/>
      <c r="X283" s="4"/>
    </row>
    <row r="284" spans="7:24" ht="14.25" customHeight="1" x14ac:dyDescent="0.25">
      <c r="G284" s="3"/>
      <c r="W284" s="4"/>
      <c r="X284" s="4"/>
    </row>
    <row r="285" spans="7:24" ht="14.25" customHeight="1" x14ac:dyDescent="0.25">
      <c r="G285" s="3"/>
      <c r="W285" s="4"/>
      <c r="X285" s="4"/>
    </row>
    <row r="286" spans="7:24" ht="14.25" customHeight="1" x14ac:dyDescent="0.25">
      <c r="G286" s="3"/>
      <c r="W286" s="4"/>
      <c r="X286" s="4"/>
    </row>
    <row r="287" spans="7:24" ht="14.25" customHeight="1" x14ac:dyDescent="0.25">
      <c r="G287" s="3"/>
      <c r="W287" s="4"/>
      <c r="X287" s="4"/>
    </row>
    <row r="288" spans="7:24" ht="14.25" customHeight="1" x14ac:dyDescent="0.25">
      <c r="G288" s="3"/>
      <c r="W288" s="4"/>
      <c r="X288" s="4"/>
    </row>
    <row r="289" spans="7:24" ht="14.25" customHeight="1" x14ac:dyDescent="0.25">
      <c r="G289" s="3"/>
      <c r="W289" s="4"/>
      <c r="X289" s="4"/>
    </row>
    <row r="290" spans="7:24" ht="14.25" customHeight="1" x14ac:dyDescent="0.25">
      <c r="G290" s="3"/>
      <c r="W290" s="4"/>
      <c r="X290" s="4"/>
    </row>
    <row r="291" spans="7:24" ht="14.25" customHeight="1" x14ac:dyDescent="0.25">
      <c r="G291" s="3"/>
      <c r="W291" s="4"/>
      <c r="X291" s="4"/>
    </row>
    <row r="292" spans="7:24" ht="14.25" customHeight="1" x14ac:dyDescent="0.25">
      <c r="G292" s="3"/>
      <c r="W292" s="4"/>
      <c r="X292" s="4"/>
    </row>
    <row r="293" spans="7:24" ht="14.25" customHeight="1" x14ac:dyDescent="0.25">
      <c r="G293" s="3"/>
      <c r="W293" s="4"/>
      <c r="X293" s="4"/>
    </row>
    <row r="294" spans="7:24" ht="14.25" customHeight="1" x14ac:dyDescent="0.25">
      <c r="G294" s="3"/>
      <c r="W294" s="4"/>
      <c r="X294" s="4"/>
    </row>
    <row r="295" spans="7:24" ht="14.25" customHeight="1" x14ac:dyDescent="0.25">
      <c r="G295" s="3"/>
      <c r="W295" s="4"/>
      <c r="X295" s="4"/>
    </row>
    <row r="296" spans="7:24" ht="14.25" customHeight="1" x14ac:dyDescent="0.25">
      <c r="G296" s="3"/>
      <c r="W296" s="4"/>
      <c r="X296" s="4"/>
    </row>
    <row r="297" spans="7:24" ht="14.25" customHeight="1" x14ac:dyDescent="0.25">
      <c r="G297" s="3"/>
      <c r="W297" s="4"/>
      <c r="X297" s="4"/>
    </row>
    <row r="298" spans="7:24" ht="14.25" customHeight="1" x14ac:dyDescent="0.25">
      <c r="G298" s="3"/>
      <c r="W298" s="4"/>
      <c r="X298" s="4"/>
    </row>
    <row r="299" spans="7:24" ht="14.25" customHeight="1" x14ac:dyDescent="0.25">
      <c r="G299" s="3"/>
      <c r="W299" s="4"/>
      <c r="X299" s="4"/>
    </row>
    <row r="300" spans="7:24" ht="14.25" customHeight="1" x14ac:dyDescent="0.25">
      <c r="G300" s="3"/>
      <c r="W300" s="4"/>
      <c r="X300" s="4"/>
    </row>
    <row r="301" spans="7:24" ht="14.25" customHeight="1" x14ac:dyDescent="0.25">
      <c r="G301" s="3"/>
      <c r="W301" s="4"/>
      <c r="X301" s="4"/>
    </row>
    <row r="302" spans="7:24" ht="14.25" customHeight="1" x14ac:dyDescent="0.25">
      <c r="G302" s="3"/>
      <c r="W302" s="4"/>
      <c r="X302" s="4"/>
    </row>
    <row r="303" spans="7:24" ht="14.25" customHeight="1" x14ac:dyDescent="0.25">
      <c r="G303" s="3"/>
      <c r="W303" s="4"/>
      <c r="X303" s="4"/>
    </row>
    <row r="304" spans="7:24" ht="14.25" customHeight="1" x14ac:dyDescent="0.25">
      <c r="G304" s="3"/>
      <c r="W304" s="4"/>
      <c r="X304" s="4"/>
    </row>
    <row r="305" spans="7:24" ht="14.25" customHeight="1" x14ac:dyDescent="0.25">
      <c r="G305" s="3"/>
      <c r="W305" s="4"/>
      <c r="X305" s="4"/>
    </row>
    <row r="306" spans="7:24" ht="14.25" customHeight="1" x14ac:dyDescent="0.25">
      <c r="G306" s="3"/>
      <c r="W306" s="4"/>
      <c r="X306" s="4"/>
    </row>
    <row r="307" spans="7:24" ht="14.25" customHeight="1" x14ac:dyDescent="0.25">
      <c r="G307" s="3"/>
      <c r="W307" s="4"/>
      <c r="X307" s="4"/>
    </row>
    <row r="308" spans="7:24" ht="14.25" customHeight="1" x14ac:dyDescent="0.25">
      <c r="G308" s="3"/>
      <c r="W308" s="4"/>
      <c r="X308" s="4"/>
    </row>
    <row r="309" spans="7:24" ht="14.25" customHeight="1" x14ac:dyDescent="0.25">
      <c r="G309" s="3"/>
      <c r="W309" s="4"/>
      <c r="X309" s="4"/>
    </row>
    <row r="310" spans="7:24" ht="14.25" customHeight="1" x14ac:dyDescent="0.25">
      <c r="G310" s="3"/>
      <c r="W310" s="4"/>
      <c r="X310" s="4"/>
    </row>
    <row r="311" spans="7:24" ht="14.25" customHeight="1" x14ac:dyDescent="0.25">
      <c r="G311" s="3"/>
      <c r="W311" s="4"/>
      <c r="X311" s="4"/>
    </row>
    <row r="312" spans="7:24" ht="14.25" customHeight="1" x14ac:dyDescent="0.25">
      <c r="G312" s="3"/>
      <c r="W312" s="4"/>
      <c r="X312" s="4"/>
    </row>
    <row r="313" spans="7:24" ht="14.25" customHeight="1" x14ac:dyDescent="0.25">
      <c r="G313" s="3"/>
      <c r="W313" s="4"/>
      <c r="X313" s="4"/>
    </row>
    <row r="314" spans="7:24" ht="14.25" customHeight="1" x14ac:dyDescent="0.25">
      <c r="G314" s="3"/>
      <c r="W314" s="4"/>
      <c r="X314" s="4"/>
    </row>
    <row r="315" spans="7:24" ht="14.25" customHeight="1" x14ac:dyDescent="0.25">
      <c r="G315" s="3"/>
      <c r="W315" s="4"/>
      <c r="X315" s="4"/>
    </row>
    <row r="316" spans="7:24" ht="14.25" customHeight="1" x14ac:dyDescent="0.25">
      <c r="G316" s="3"/>
      <c r="W316" s="4"/>
      <c r="X316" s="4"/>
    </row>
    <row r="317" spans="7:24" ht="14.25" customHeight="1" x14ac:dyDescent="0.25">
      <c r="G317" s="3"/>
      <c r="W317" s="4"/>
      <c r="X317" s="4"/>
    </row>
    <row r="318" spans="7:24" ht="14.25" customHeight="1" x14ac:dyDescent="0.25">
      <c r="G318" s="3"/>
      <c r="W318" s="4"/>
      <c r="X318" s="4"/>
    </row>
    <row r="319" spans="7:24" ht="14.25" customHeight="1" x14ac:dyDescent="0.25">
      <c r="G319" s="3"/>
      <c r="W319" s="4"/>
      <c r="X319" s="4"/>
    </row>
    <row r="320" spans="7:24" ht="14.25" customHeight="1" x14ac:dyDescent="0.25">
      <c r="G320" s="3"/>
      <c r="W320" s="4"/>
      <c r="X320" s="4"/>
    </row>
    <row r="321" spans="7:24" ht="14.25" customHeight="1" x14ac:dyDescent="0.25">
      <c r="G321" s="3"/>
      <c r="W321" s="4"/>
      <c r="X321" s="4"/>
    </row>
    <row r="322" spans="7:24" ht="14.25" customHeight="1" x14ac:dyDescent="0.25">
      <c r="G322" s="3"/>
      <c r="W322" s="4"/>
      <c r="X322" s="4"/>
    </row>
    <row r="323" spans="7:24" ht="14.25" customHeight="1" x14ac:dyDescent="0.25">
      <c r="G323" s="3"/>
      <c r="W323" s="4"/>
      <c r="X323" s="4"/>
    </row>
    <row r="324" spans="7:24" ht="14.25" customHeight="1" x14ac:dyDescent="0.25">
      <c r="G324" s="3"/>
      <c r="W324" s="4"/>
      <c r="X324" s="4"/>
    </row>
    <row r="325" spans="7:24" ht="14.25" customHeight="1" x14ac:dyDescent="0.25">
      <c r="G325" s="3"/>
      <c r="W325" s="4"/>
      <c r="X325" s="4"/>
    </row>
    <row r="326" spans="7:24" ht="14.25" customHeight="1" x14ac:dyDescent="0.25">
      <c r="G326" s="3"/>
      <c r="W326" s="4"/>
      <c r="X326" s="4"/>
    </row>
    <row r="327" spans="7:24" ht="14.25" customHeight="1" x14ac:dyDescent="0.25">
      <c r="G327" s="3"/>
      <c r="W327" s="4"/>
      <c r="X327" s="4"/>
    </row>
    <row r="328" spans="7:24" ht="14.25" customHeight="1" x14ac:dyDescent="0.25">
      <c r="G328" s="3"/>
      <c r="W328" s="4"/>
      <c r="X328" s="4"/>
    </row>
    <row r="329" spans="7:24" ht="14.25" customHeight="1" x14ac:dyDescent="0.25">
      <c r="G329" s="3"/>
      <c r="W329" s="4"/>
      <c r="X329" s="4"/>
    </row>
    <row r="330" spans="7:24" ht="14.25" customHeight="1" x14ac:dyDescent="0.25">
      <c r="G330" s="3"/>
      <c r="W330" s="4"/>
      <c r="X330" s="4"/>
    </row>
    <row r="331" spans="7:24" ht="14.25" customHeight="1" x14ac:dyDescent="0.25">
      <c r="G331" s="3"/>
      <c r="W331" s="4"/>
      <c r="X331" s="4"/>
    </row>
    <row r="332" spans="7:24" ht="14.25" customHeight="1" x14ac:dyDescent="0.25">
      <c r="G332" s="3"/>
      <c r="W332" s="4"/>
      <c r="X332" s="4"/>
    </row>
    <row r="333" spans="7:24" ht="14.25" customHeight="1" x14ac:dyDescent="0.25">
      <c r="G333" s="3"/>
      <c r="W333" s="4"/>
      <c r="X333" s="4"/>
    </row>
    <row r="334" spans="7:24" ht="14.25" customHeight="1" x14ac:dyDescent="0.25">
      <c r="G334" s="3"/>
      <c r="W334" s="4"/>
      <c r="X334" s="4"/>
    </row>
    <row r="335" spans="7:24" ht="14.25" customHeight="1" x14ac:dyDescent="0.25">
      <c r="G335" s="3"/>
      <c r="W335" s="4"/>
      <c r="X335" s="4"/>
    </row>
    <row r="336" spans="7:24" ht="14.25" customHeight="1" x14ac:dyDescent="0.25">
      <c r="G336" s="3"/>
      <c r="W336" s="4"/>
      <c r="X336" s="4"/>
    </row>
    <row r="337" spans="7:24" ht="14.25" customHeight="1" x14ac:dyDescent="0.25">
      <c r="G337" s="3"/>
      <c r="W337" s="4"/>
      <c r="X337" s="4"/>
    </row>
    <row r="338" spans="7:24" ht="14.25" customHeight="1" x14ac:dyDescent="0.25">
      <c r="G338" s="3"/>
      <c r="W338" s="4"/>
      <c r="X338" s="4"/>
    </row>
    <row r="339" spans="7:24" ht="14.25" customHeight="1" x14ac:dyDescent="0.25">
      <c r="G339" s="3"/>
      <c r="W339" s="4"/>
      <c r="X339" s="4"/>
    </row>
    <row r="340" spans="7:24" ht="14.25" customHeight="1" x14ac:dyDescent="0.25">
      <c r="G340" s="3"/>
      <c r="W340" s="4"/>
      <c r="X340" s="4"/>
    </row>
    <row r="341" spans="7:24" ht="14.25" customHeight="1" x14ac:dyDescent="0.25">
      <c r="G341" s="3"/>
      <c r="W341" s="4"/>
      <c r="X341" s="4"/>
    </row>
    <row r="342" spans="7:24" ht="14.25" customHeight="1" x14ac:dyDescent="0.25">
      <c r="G342" s="3"/>
      <c r="W342" s="4"/>
      <c r="X342" s="4"/>
    </row>
    <row r="343" spans="7:24" ht="14.25" customHeight="1" x14ac:dyDescent="0.25">
      <c r="G343" s="3"/>
      <c r="W343" s="4"/>
      <c r="X343" s="4"/>
    </row>
    <row r="344" spans="7:24" ht="14.25" customHeight="1" x14ac:dyDescent="0.25">
      <c r="G344" s="3"/>
      <c r="W344" s="4"/>
      <c r="X344" s="4"/>
    </row>
    <row r="345" spans="7:24" ht="14.25" customHeight="1" x14ac:dyDescent="0.25">
      <c r="G345" s="3"/>
      <c r="W345" s="4"/>
      <c r="X345" s="4"/>
    </row>
    <row r="346" spans="7:24" ht="14.25" customHeight="1" x14ac:dyDescent="0.25">
      <c r="G346" s="3"/>
      <c r="W346" s="4"/>
      <c r="X346" s="4"/>
    </row>
    <row r="347" spans="7:24" ht="14.25" customHeight="1" x14ac:dyDescent="0.25">
      <c r="G347" s="3"/>
      <c r="W347" s="4"/>
      <c r="X347" s="4"/>
    </row>
    <row r="348" spans="7:24" ht="14.25" customHeight="1" x14ac:dyDescent="0.25">
      <c r="G348" s="3"/>
      <c r="W348" s="4"/>
      <c r="X348" s="4"/>
    </row>
    <row r="349" spans="7:24" ht="14.25" customHeight="1" x14ac:dyDescent="0.25">
      <c r="G349" s="3"/>
      <c r="W349" s="4"/>
      <c r="X349" s="4"/>
    </row>
    <row r="350" spans="7:24" ht="14.25" customHeight="1" x14ac:dyDescent="0.25">
      <c r="G350" s="3"/>
      <c r="W350" s="4"/>
      <c r="X350" s="4"/>
    </row>
    <row r="351" spans="7:24" ht="14.25" customHeight="1" x14ac:dyDescent="0.25">
      <c r="G351" s="3"/>
      <c r="W351" s="4"/>
      <c r="X351" s="4"/>
    </row>
    <row r="352" spans="7:24" ht="14.25" customHeight="1" x14ac:dyDescent="0.25">
      <c r="G352" s="3"/>
      <c r="W352" s="4"/>
      <c r="X352" s="4"/>
    </row>
    <row r="353" spans="7:24" ht="14.25" customHeight="1" x14ac:dyDescent="0.25">
      <c r="G353" s="3"/>
      <c r="W353" s="4"/>
      <c r="X353" s="4"/>
    </row>
    <row r="354" spans="7:24" ht="14.25" customHeight="1" x14ac:dyDescent="0.25">
      <c r="G354" s="3"/>
      <c r="W354" s="4"/>
      <c r="X354" s="4"/>
    </row>
    <row r="355" spans="7:24" ht="14.25" customHeight="1" x14ac:dyDescent="0.25">
      <c r="G355" s="3"/>
      <c r="W355" s="4"/>
      <c r="X355" s="4"/>
    </row>
    <row r="356" spans="7:24" ht="14.25" customHeight="1" x14ac:dyDescent="0.25">
      <c r="G356" s="3"/>
      <c r="W356" s="4"/>
      <c r="X356" s="4"/>
    </row>
    <row r="357" spans="7:24" ht="14.25" customHeight="1" x14ac:dyDescent="0.25">
      <c r="G357" s="3"/>
      <c r="W357" s="4"/>
      <c r="X357" s="4"/>
    </row>
    <row r="358" spans="7:24" ht="14.25" customHeight="1" x14ac:dyDescent="0.25">
      <c r="G358" s="3"/>
      <c r="W358" s="4"/>
      <c r="X358" s="4"/>
    </row>
    <row r="359" spans="7:24" ht="14.25" customHeight="1" x14ac:dyDescent="0.25">
      <c r="G359" s="3"/>
      <c r="W359" s="4"/>
      <c r="X359" s="4"/>
    </row>
    <row r="360" spans="7:24" ht="14.25" customHeight="1" x14ac:dyDescent="0.25">
      <c r="G360" s="3"/>
      <c r="W360" s="4"/>
      <c r="X360" s="4"/>
    </row>
    <row r="361" spans="7:24" ht="14.25" customHeight="1" x14ac:dyDescent="0.25">
      <c r="G361" s="3"/>
      <c r="W361" s="4"/>
      <c r="X361" s="4"/>
    </row>
    <row r="362" spans="7:24" ht="14.25" customHeight="1" x14ac:dyDescent="0.25">
      <c r="G362" s="3"/>
      <c r="W362" s="4"/>
      <c r="X362" s="4"/>
    </row>
    <row r="363" spans="7:24" ht="14.25" customHeight="1" x14ac:dyDescent="0.25">
      <c r="G363" s="3"/>
      <c r="W363" s="4"/>
      <c r="X363" s="4"/>
    </row>
    <row r="364" spans="7:24" ht="14.25" customHeight="1" x14ac:dyDescent="0.25">
      <c r="G364" s="3"/>
      <c r="W364" s="4"/>
      <c r="X364" s="4"/>
    </row>
    <row r="365" spans="7:24" ht="14.25" customHeight="1" x14ac:dyDescent="0.25">
      <c r="G365" s="3"/>
      <c r="W365" s="4"/>
      <c r="X365" s="4"/>
    </row>
    <row r="366" spans="7:24" ht="14.25" customHeight="1" x14ac:dyDescent="0.25">
      <c r="G366" s="3"/>
      <c r="W366" s="4"/>
      <c r="X366" s="4"/>
    </row>
    <row r="367" spans="7:24" ht="14.25" customHeight="1" x14ac:dyDescent="0.25">
      <c r="G367" s="3"/>
      <c r="W367" s="4"/>
      <c r="X367" s="4"/>
    </row>
    <row r="368" spans="7:24" ht="14.25" customHeight="1" x14ac:dyDescent="0.25">
      <c r="G368" s="3"/>
      <c r="W368" s="4"/>
      <c r="X368" s="4"/>
    </row>
    <row r="369" spans="7:24" ht="14.25" customHeight="1" x14ac:dyDescent="0.25">
      <c r="G369" s="3"/>
      <c r="W369" s="4"/>
      <c r="X369" s="4"/>
    </row>
    <row r="370" spans="7:24" ht="14.25" customHeight="1" x14ac:dyDescent="0.25">
      <c r="G370" s="3"/>
      <c r="W370" s="4"/>
      <c r="X370" s="4"/>
    </row>
    <row r="371" spans="7:24" ht="14.25" customHeight="1" x14ac:dyDescent="0.25">
      <c r="G371" s="3"/>
      <c r="W371" s="4"/>
      <c r="X371" s="4"/>
    </row>
    <row r="372" spans="7:24" ht="14.25" customHeight="1" x14ac:dyDescent="0.25">
      <c r="G372" s="3"/>
      <c r="W372" s="4"/>
      <c r="X372" s="4"/>
    </row>
    <row r="373" spans="7:24" ht="14.25" customHeight="1" x14ac:dyDescent="0.25">
      <c r="G373" s="3"/>
      <c r="W373" s="4"/>
      <c r="X373" s="4"/>
    </row>
    <row r="374" spans="7:24" ht="14.25" customHeight="1" x14ac:dyDescent="0.25">
      <c r="G374" s="3"/>
      <c r="W374" s="4"/>
      <c r="X374" s="4"/>
    </row>
    <row r="375" spans="7:24" ht="14.25" customHeight="1" x14ac:dyDescent="0.25">
      <c r="G375" s="3"/>
      <c r="W375" s="4"/>
      <c r="X375" s="4"/>
    </row>
    <row r="376" spans="7:24" ht="14.25" customHeight="1" x14ac:dyDescent="0.25">
      <c r="G376" s="3"/>
      <c r="W376" s="4"/>
      <c r="X376" s="4"/>
    </row>
    <row r="377" spans="7:24" ht="14.25" customHeight="1" x14ac:dyDescent="0.25">
      <c r="G377" s="3"/>
      <c r="W377" s="4"/>
      <c r="X377" s="4"/>
    </row>
    <row r="378" spans="7:24" ht="14.25" customHeight="1" x14ac:dyDescent="0.25">
      <c r="G378" s="3"/>
      <c r="W378" s="4"/>
      <c r="X378" s="4"/>
    </row>
    <row r="379" spans="7:24" ht="14.25" customHeight="1" x14ac:dyDescent="0.25">
      <c r="G379" s="3"/>
      <c r="W379" s="4"/>
      <c r="X379" s="4"/>
    </row>
    <row r="380" spans="7:24" ht="14.25" customHeight="1" x14ac:dyDescent="0.25">
      <c r="G380" s="3"/>
      <c r="W380" s="4"/>
      <c r="X380" s="4"/>
    </row>
    <row r="381" spans="7:24" ht="14.25" customHeight="1" x14ac:dyDescent="0.25">
      <c r="G381" s="3"/>
      <c r="W381" s="4"/>
      <c r="X381" s="4"/>
    </row>
    <row r="382" spans="7:24" ht="14.25" customHeight="1" x14ac:dyDescent="0.25">
      <c r="G382" s="3"/>
      <c r="W382" s="4"/>
      <c r="X382" s="4"/>
    </row>
    <row r="383" spans="7:24" ht="14.25" customHeight="1" x14ac:dyDescent="0.25">
      <c r="G383" s="3"/>
      <c r="W383" s="4"/>
      <c r="X383" s="4"/>
    </row>
    <row r="384" spans="7:24" ht="14.25" customHeight="1" x14ac:dyDescent="0.25">
      <c r="G384" s="3"/>
      <c r="W384" s="4"/>
      <c r="X384" s="4"/>
    </row>
    <row r="385" spans="7:24" ht="14.25" customHeight="1" x14ac:dyDescent="0.25">
      <c r="G385" s="3"/>
      <c r="W385" s="4"/>
      <c r="X385" s="4"/>
    </row>
    <row r="386" spans="7:24" ht="14.25" customHeight="1" x14ac:dyDescent="0.25">
      <c r="G386" s="3"/>
      <c r="W386" s="4"/>
      <c r="X386" s="4"/>
    </row>
    <row r="387" spans="7:24" ht="14.25" customHeight="1" x14ac:dyDescent="0.25">
      <c r="G387" s="3"/>
      <c r="W387" s="4"/>
      <c r="X387" s="4"/>
    </row>
    <row r="388" spans="7:24" ht="14.25" customHeight="1" x14ac:dyDescent="0.25">
      <c r="G388" s="3"/>
      <c r="W388" s="4"/>
      <c r="X388" s="4"/>
    </row>
    <row r="389" spans="7:24" ht="14.25" customHeight="1" x14ac:dyDescent="0.25">
      <c r="G389" s="3"/>
      <c r="W389" s="4"/>
      <c r="X389" s="4"/>
    </row>
    <row r="390" spans="7:24" ht="14.25" customHeight="1" x14ac:dyDescent="0.25">
      <c r="G390" s="3"/>
      <c r="W390" s="4"/>
      <c r="X390" s="4"/>
    </row>
    <row r="391" spans="7:24" ht="14.25" customHeight="1" x14ac:dyDescent="0.25">
      <c r="G391" s="3"/>
      <c r="W391" s="4"/>
      <c r="X391" s="4"/>
    </row>
    <row r="392" spans="7:24" ht="14.25" customHeight="1" x14ac:dyDescent="0.25">
      <c r="G392" s="3"/>
      <c r="W392" s="4"/>
      <c r="X392" s="4"/>
    </row>
    <row r="393" spans="7:24" ht="14.25" customHeight="1" x14ac:dyDescent="0.25">
      <c r="G393" s="3"/>
      <c r="W393" s="4"/>
      <c r="X393" s="4"/>
    </row>
    <row r="394" spans="7:24" ht="14.25" customHeight="1" x14ac:dyDescent="0.25">
      <c r="G394" s="3"/>
      <c r="W394" s="4"/>
      <c r="X394" s="4"/>
    </row>
    <row r="395" spans="7:24" ht="14.25" customHeight="1" x14ac:dyDescent="0.25">
      <c r="G395" s="3"/>
      <c r="W395" s="4"/>
      <c r="X395" s="4"/>
    </row>
    <row r="396" spans="7:24" ht="14.25" customHeight="1" x14ac:dyDescent="0.25">
      <c r="G396" s="3"/>
      <c r="W396" s="4"/>
      <c r="X396" s="4"/>
    </row>
    <row r="397" spans="7:24" ht="14.25" customHeight="1" x14ac:dyDescent="0.25">
      <c r="G397" s="3"/>
      <c r="W397" s="4"/>
      <c r="X397" s="4"/>
    </row>
    <row r="398" spans="7:24" ht="14.25" customHeight="1" x14ac:dyDescent="0.25">
      <c r="G398" s="3"/>
      <c r="W398" s="4"/>
      <c r="X398" s="4"/>
    </row>
    <row r="399" spans="7:24" ht="14.25" customHeight="1" x14ac:dyDescent="0.25">
      <c r="G399" s="3"/>
      <c r="W399" s="4"/>
      <c r="X399" s="4"/>
    </row>
    <row r="400" spans="7:24" ht="14.25" customHeight="1" x14ac:dyDescent="0.25">
      <c r="G400" s="3"/>
      <c r="W400" s="4"/>
      <c r="X400" s="4"/>
    </row>
    <row r="401" spans="7:24" ht="14.25" customHeight="1" x14ac:dyDescent="0.25">
      <c r="G401" s="3"/>
      <c r="W401" s="4"/>
      <c r="X401" s="4"/>
    </row>
    <row r="402" spans="7:24" ht="14.25" customHeight="1" x14ac:dyDescent="0.25">
      <c r="G402" s="3"/>
      <c r="W402" s="4"/>
      <c r="X402" s="4"/>
    </row>
    <row r="403" spans="7:24" ht="14.25" customHeight="1" x14ac:dyDescent="0.25">
      <c r="G403" s="3"/>
      <c r="W403" s="4"/>
      <c r="X403" s="4"/>
    </row>
    <row r="404" spans="7:24" ht="14.25" customHeight="1" x14ac:dyDescent="0.25">
      <c r="G404" s="3"/>
      <c r="W404" s="4"/>
      <c r="X404" s="4"/>
    </row>
    <row r="405" spans="7:24" ht="14.25" customHeight="1" x14ac:dyDescent="0.25">
      <c r="G405" s="3"/>
      <c r="W405" s="4"/>
      <c r="X405" s="4"/>
    </row>
    <row r="406" spans="7:24" ht="14.25" customHeight="1" x14ac:dyDescent="0.25">
      <c r="G406" s="3"/>
      <c r="W406" s="4"/>
      <c r="X406" s="4"/>
    </row>
    <row r="407" spans="7:24" ht="14.25" customHeight="1" x14ac:dyDescent="0.25">
      <c r="G407" s="3"/>
      <c r="W407" s="4"/>
      <c r="X407" s="4"/>
    </row>
    <row r="408" spans="7:24" ht="14.25" customHeight="1" x14ac:dyDescent="0.25">
      <c r="G408" s="3"/>
      <c r="W408" s="4"/>
      <c r="X408" s="4"/>
    </row>
    <row r="409" spans="7:24" ht="14.25" customHeight="1" x14ac:dyDescent="0.25">
      <c r="G409" s="3"/>
      <c r="W409" s="4"/>
      <c r="X409" s="4"/>
    </row>
    <row r="410" spans="7:24" ht="14.25" customHeight="1" x14ac:dyDescent="0.25">
      <c r="G410" s="3"/>
      <c r="W410" s="4"/>
      <c r="X410" s="4"/>
    </row>
    <row r="411" spans="7:24" ht="14.25" customHeight="1" x14ac:dyDescent="0.25">
      <c r="G411" s="3"/>
      <c r="W411" s="4"/>
      <c r="X411" s="4"/>
    </row>
    <row r="412" spans="7:24" ht="14.25" customHeight="1" x14ac:dyDescent="0.25">
      <c r="G412" s="3"/>
      <c r="W412" s="4"/>
      <c r="X412" s="4"/>
    </row>
    <row r="413" spans="7:24" ht="14.25" customHeight="1" x14ac:dyDescent="0.25">
      <c r="G413" s="3"/>
      <c r="W413" s="4"/>
      <c r="X413" s="4"/>
    </row>
    <row r="414" spans="7:24" ht="14.25" customHeight="1" x14ac:dyDescent="0.25">
      <c r="G414" s="3"/>
      <c r="W414" s="4"/>
      <c r="X414" s="4"/>
    </row>
    <row r="415" spans="7:24" ht="14.25" customHeight="1" x14ac:dyDescent="0.25">
      <c r="G415" s="3"/>
      <c r="W415" s="4"/>
      <c r="X415" s="4"/>
    </row>
    <row r="416" spans="7:24" ht="14.25" customHeight="1" x14ac:dyDescent="0.25">
      <c r="G416" s="3"/>
      <c r="W416" s="4"/>
      <c r="X416" s="4"/>
    </row>
    <row r="417" spans="7:24" ht="14.25" customHeight="1" x14ac:dyDescent="0.25">
      <c r="G417" s="3"/>
      <c r="W417" s="4"/>
      <c r="X417" s="4"/>
    </row>
    <row r="418" spans="7:24" ht="14.25" customHeight="1" x14ac:dyDescent="0.25">
      <c r="G418" s="3"/>
      <c r="W418" s="4"/>
      <c r="X418" s="4"/>
    </row>
    <row r="419" spans="7:24" ht="14.25" customHeight="1" x14ac:dyDescent="0.25">
      <c r="G419" s="3"/>
      <c r="W419" s="4"/>
      <c r="X419" s="4"/>
    </row>
    <row r="420" spans="7:24" ht="14.25" customHeight="1" x14ac:dyDescent="0.25">
      <c r="G420" s="3"/>
      <c r="W420" s="4"/>
      <c r="X420" s="4"/>
    </row>
    <row r="421" spans="7:24" ht="14.25" customHeight="1" x14ac:dyDescent="0.25">
      <c r="G421" s="3"/>
      <c r="W421" s="4"/>
      <c r="X421" s="4"/>
    </row>
    <row r="422" spans="7:24" ht="14.25" customHeight="1" x14ac:dyDescent="0.25">
      <c r="G422" s="3"/>
      <c r="W422" s="4"/>
      <c r="X422" s="4"/>
    </row>
    <row r="423" spans="7:24" ht="14.25" customHeight="1" x14ac:dyDescent="0.25">
      <c r="G423" s="3"/>
      <c r="W423" s="4"/>
      <c r="X423" s="4"/>
    </row>
    <row r="424" spans="7:24" ht="14.25" customHeight="1" x14ac:dyDescent="0.25">
      <c r="G424" s="3"/>
      <c r="W424" s="4"/>
      <c r="X424" s="4"/>
    </row>
    <row r="425" spans="7:24" ht="14.25" customHeight="1" x14ac:dyDescent="0.25">
      <c r="G425" s="3"/>
      <c r="W425" s="4"/>
      <c r="X425" s="4"/>
    </row>
    <row r="426" spans="7:24" ht="14.25" customHeight="1" x14ac:dyDescent="0.25">
      <c r="G426" s="3"/>
      <c r="W426" s="4"/>
      <c r="X426" s="4"/>
    </row>
    <row r="427" spans="7:24" ht="14.25" customHeight="1" x14ac:dyDescent="0.25">
      <c r="G427" s="3"/>
      <c r="W427" s="4"/>
      <c r="X427" s="4"/>
    </row>
    <row r="428" spans="7:24" ht="14.25" customHeight="1" x14ac:dyDescent="0.25">
      <c r="G428" s="3"/>
      <c r="W428" s="4"/>
      <c r="X428" s="4"/>
    </row>
    <row r="429" spans="7:24" ht="14.25" customHeight="1" x14ac:dyDescent="0.25">
      <c r="G429" s="3"/>
      <c r="W429" s="4"/>
      <c r="X429" s="4"/>
    </row>
    <row r="430" spans="7:24" ht="14.25" customHeight="1" x14ac:dyDescent="0.25">
      <c r="G430" s="3"/>
      <c r="W430" s="4"/>
      <c r="X430" s="4"/>
    </row>
    <row r="431" spans="7:24" ht="14.25" customHeight="1" x14ac:dyDescent="0.25">
      <c r="G431" s="3"/>
      <c r="W431" s="4"/>
      <c r="X431" s="4"/>
    </row>
    <row r="432" spans="7:24" ht="14.25" customHeight="1" x14ac:dyDescent="0.25">
      <c r="G432" s="3"/>
      <c r="W432" s="4"/>
      <c r="X432" s="4"/>
    </row>
    <row r="433" spans="7:24" ht="14.25" customHeight="1" x14ac:dyDescent="0.25">
      <c r="G433" s="3"/>
      <c r="W433" s="4"/>
      <c r="X433" s="4"/>
    </row>
    <row r="434" spans="7:24" ht="14.25" customHeight="1" x14ac:dyDescent="0.25">
      <c r="G434" s="3"/>
      <c r="W434" s="4"/>
      <c r="X434" s="4"/>
    </row>
    <row r="435" spans="7:24" ht="14.25" customHeight="1" x14ac:dyDescent="0.25">
      <c r="G435" s="3"/>
      <c r="W435" s="4"/>
      <c r="X435" s="4"/>
    </row>
    <row r="436" spans="7:24" ht="14.25" customHeight="1" x14ac:dyDescent="0.25">
      <c r="G436" s="3"/>
      <c r="W436" s="4"/>
      <c r="X436" s="4"/>
    </row>
    <row r="437" spans="7:24" ht="14.25" customHeight="1" x14ac:dyDescent="0.25">
      <c r="G437" s="3"/>
      <c r="W437" s="4"/>
      <c r="X437" s="4"/>
    </row>
    <row r="438" spans="7:24" ht="14.25" customHeight="1" x14ac:dyDescent="0.25">
      <c r="G438" s="3"/>
      <c r="W438" s="4"/>
      <c r="X438" s="4"/>
    </row>
    <row r="439" spans="7:24" ht="14.25" customHeight="1" x14ac:dyDescent="0.25">
      <c r="G439" s="3"/>
      <c r="W439" s="4"/>
      <c r="X439" s="4"/>
    </row>
    <row r="440" spans="7:24" ht="14.25" customHeight="1" x14ac:dyDescent="0.25">
      <c r="G440" s="3"/>
      <c r="W440" s="4"/>
      <c r="X440" s="4"/>
    </row>
    <row r="441" spans="7:24" ht="14.25" customHeight="1" x14ac:dyDescent="0.25">
      <c r="G441" s="3"/>
      <c r="W441" s="4"/>
      <c r="X441" s="4"/>
    </row>
    <row r="442" spans="7:24" ht="14.25" customHeight="1" x14ac:dyDescent="0.25">
      <c r="G442" s="3"/>
      <c r="W442" s="4"/>
      <c r="X442" s="4"/>
    </row>
    <row r="443" spans="7:24" ht="14.25" customHeight="1" x14ac:dyDescent="0.25">
      <c r="G443" s="3"/>
      <c r="W443" s="4"/>
      <c r="X443" s="4"/>
    </row>
    <row r="444" spans="7:24" ht="14.25" customHeight="1" x14ac:dyDescent="0.25">
      <c r="G444" s="3"/>
      <c r="W444" s="4"/>
      <c r="X444" s="4"/>
    </row>
    <row r="445" spans="7:24" ht="14.25" customHeight="1" x14ac:dyDescent="0.25">
      <c r="G445" s="3"/>
      <c r="W445" s="4"/>
      <c r="X445" s="4"/>
    </row>
    <row r="446" spans="7:24" ht="14.25" customHeight="1" x14ac:dyDescent="0.25">
      <c r="G446" s="3"/>
      <c r="W446" s="4"/>
      <c r="X446" s="4"/>
    </row>
    <row r="447" spans="7:24" ht="14.25" customHeight="1" x14ac:dyDescent="0.25">
      <c r="G447" s="3"/>
      <c r="W447" s="4"/>
      <c r="X447" s="4"/>
    </row>
    <row r="448" spans="7:24" ht="14.25" customHeight="1" x14ac:dyDescent="0.25">
      <c r="G448" s="3"/>
      <c r="W448" s="4"/>
      <c r="X448" s="4"/>
    </row>
    <row r="449" spans="7:24" ht="14.25" customHeight="1" x14ac:dyDescent="0.25">
      <c r="G449" s="3"/>
      <c r="W449" s="4"/>
      <c r="X449" s="4"/>
    </row>
    <row r="450" spans="7:24" ht="14.25" customHeight="1" x14ac:dyDescent="0.25">
      <c r="G450" s="3"/>
      <c r="W450" s="4"/>
      <c r="X450" s="4"/>
    </row>
    <row r="451" spans="7:24" ht="14.25" customHeight="1" x14ac:dyDescent="0.25">
      <c r="G451" s="3"/>
      <c r="W451" s="4"/>
      <c r="X451" s="4"/>
    </row>
    <row r="452" spans="7:24" ht="14.25" customHeight="1" x14ac:dyDescent="0.25">
      <c r="G452" s="3"/>
      <c r="W452" s="4"/>
      <c r="X452" s="4"/>
    </row>
    <row r="453" spans="7:24" ht="14.25" customHeight="1" x14ac:dyDescent="0.25">
      <c r="G453" s="3"/>
      <c r="W453" s="4"/>
      <c r="X453" s="4"/>
    </row>
    <row r="454" spans="7:24" ht="14.25" customHeight="1" x14ac:dyDescent="0.25">
      <c r="G454" s="3"/>
      <c r="W454" s="4"/>
      <c r="X454" s="4"/>
    </row>
    <row r="455" spans="7:24" ht="14.25" customHeight="1" x14ac:dyDescent="0.25">
      <c r="G455" s="3"/>
      <c r="W455" s="4"/>
      <c r="X455" s="4"/>
    </row>
    <row r="456" spans="7:24" ht="14.25" customHeight="1" x14ac:dyDescent="0.25">
      <c r="G456" s="3"/>
      <c r="W456" s="4"/>
      <c r="X456" s="4"/>
    </row>
    <row r="457" spans="7:24" ht="14.25" customHeight="1" x14ac:dyDescent="0.25">
      <c r="G457" s="3"/>
      <c r="W457" s="4"/>
      <c r="X457" s="4"/>
    </row>
    <row r="458" spans="7:24" ht="14.25" customHeight="1" x14ac:dyDescent="0.25">
      <c r="G458" s="3"/>
      <c r="W458" s="4"/>
      <c r="X458" s="4"/>
    </row>
    <row r="459" spans="7:24" ht="14.25" customHeight="1" x14ac:dyDescent="0.25">
      <c r="G459" s="3"/>
      <c r="W459" s="4"/>
      <c r="X459" s="4"/>
    </row>
    <row r="460" spans="7:24" ht="14.25" customHeight="1" x14ac:dyDescent="0.25">
      <c r="G460" s="3"/>
      <c r="W460" s="4"/>
      <c r="X460" s="4"/>
    </row>
    <row r="461" spans="7:24" ht="14.25" customHeight="1" x14ac:dyDescent="0.25">
      <c r="G461" s="3"/>
      <c r="W461" s="4"/>
      <c r="X461" s="4"/>
    </row>
    <row r="462" spans="7:24" ht="14.25" customHeight="1" x14ac:dyDescent="0.25">
      <c r="G462" s="3"/>
      <c r="W462" s="4"/>
      <c r="X462" s="4"/>
    </row>
    <row r="463" spans="7:24" ht="14.25" customHeight="1" x14ac:dyDescent="0.25">
      <c r="G463" s="3"/>
      <c r="W463" s="4"/>
      <c r="X463" s="4"/>
    </row>
    <row r="464" spans="7:24" ht="14.25" customHeight="1" x14ac:dyDescent="0.25">
      <c r="G464" s="3"/>
      <c r="W464" s="4"/>
      <c r="X464" s="4"/>
    </row>
    <row r="465" spans="7:24" ht="14.25" customHeight="1" x14ac:dyDescent="0.25">
      <c r="G465" s="3"/>
      <c r="W465" s="4"/>
      <c r="X465" s="4"/>
    </row>
    <row r="466" spans="7:24" ht="14.25" customHeight="1" x14ac:dyDescent="0.25">
      <c r="G466" s="3"/>
      <c r="W466" s="4"/>
      <c r="X466" s="4"/>
    </row>
    <row r="467" spans="7:24" ht="14.25" customHeight="1" x14ac:dyDescent="0.25">
      <c r="G467" s="3"/>
      <c r="W467" s="4"/>
      <c r="X467" s="4"/>
    </row>
    <row r="468" spans="7:24" ht="14.25" customHeight="1" x14ac:dyDescent="0.25">
      <c r="G468" s="3"/>
      <c r="W468" s="4"/>
      <c r="X468" s="4"/>
    </row>
    <row r="469" spans="7:24" ht="14.25" customHeight="1" x14ac:dyDescent="0.25">
      <c r="G469" s="3"/>
      <c r="W469" s="4"/>
      <c r="X469" s="4"/>
    </row>
    <row r="470" spans="7:24" ht="14.25" customHeight="1" x14ac:dyDescent="0.25">
      <c r="G470" s="3"/>
      <c r="W470" s="4"/>
      <c r="X470" s="4"/>
    </row>
    <row r="471" spans="7:24" ht="14.25" customHeight="1" x14ac:dyDescent="0.25">
      <c r="G471" s="3"/>
      <c r="W471" s="4"/>
      <c r="X471" s="4"/>
    </row>
    <row r="472" spans="7:24" ht="14.25" customHeight="1" x14ac:dyDescent="0.25">
      <c r="G472" s="3"/>
      <c r="W472" s="4"/>
      <c r="X472" s="4"/>
    </row>
    <row r="473" spans="7:24" ht="14.25" customHeight="1" x14ac:dyDescent="0.25">
      <c r="G473" s="3"/>
      <c r="W473" s="4"/>
      <c r="X473" s="4"/>
    </row>
    <row r="474" spans="7:24" ht="14.25" customHeight="1" x14ac:dyDescent="0.25">
      <c r="G474" s="3"/>
      <c r="W474" s="4"/>
      <c r="X474" s="4"/>
    </row>
    <row r="475" spans="7:24" ht="14.25" customHeight="1" x14ac:dyDescent="0.25">
      <c r="G475" s="3"/>
      <c r="W475" s="4"/>
      <c r="X475" s="4"/>
    </row>
    <row r="476" spans="7:24" ht="14.25" customHeight="1" x14ac:dyDescent="0.25">
      <c r="G476" s="3"/>
      <c r="W476" s="4"/>
      <c r="X476" s="4"/>
    </row>
    <row r="477" spans="7:24" ht="14.25" customHeight="1" x14ac:dyDescent="0.25">
      <c r="G477" s="3"/>
      <c r="W477" s="4"/>
      <c r="X477" s="4"/>
    </row>
    <row r="478" spans="7:24" ht="14.25" customHeight="1" x14ac:dyDescent="0.25">
      <c r="G478" s="3"/>
      <c r="W478" s="4"/>
      <c r="X478" s="4"/>
    </row>
    <row r="479" spans="7:24" ht="14.25" customHeight="1" x14ac:dyDescent="0.25">
      <c r="G479" s="3"/>
      <c r="W479" s="4"/>
      <c r="X479" s="4"/>
    </row>
    <row r="480" spans="7:24" ht="14.25" customHeight="1" x14ac:dyDescent="0.25">
      <c r="G480" s="3"/>
      <c r="W480" s="4"/>
      <c r="X480" s="4"/>
    </row>
    <row r="481" spans="7:24" ht="14.25" customHeight="1" x14ac:dyDescent="0.25">
      <c r="G481" s="3"/>
      <c r="W481" s="4"/>
      <c r="X481" s="4"/>
    </row>
    <row r="482" spans="7:24" ht="14.25" customHeight="1" x14ac:dyDescent="0.25">
      <c r="G482" s="3"/>
      <c r="W482" s="4"/>
      <c r="X482" s="4"/>
    </row>
    <row r="483" spans="7:24" ht="14.25" customHeight="1" x14ac:dyDescent="0.25">
      <c r="G483" s="3"/>
      <c r="W483" s="4"/>
      <c r="X483" s="4"/>
    </row>
    <row r="484" spans="7:24" ht="14.25" customHeight="1" x14ac:dyDescent="0.25">
      <c r="G484" s="3"/>
      <c r="W484" s="4"/>
      <c r="X484" s="4"/>
    </row>
    <row r="485" spans="7:24" ht="14.25" customHeight="1" x14ac:dyDescent="0.25">
      <c r="G485" s="3"/>
      <c r="W485" s="4"/>
      <c r="X485" s="4"/>
    </row>
    <row r="486" spans="7:24" ht="14.25" customHeight="1" x14ac:dyDescent="0.25">
      <c r="G486" s="3"/>
      <c r="W486" s="4"/>
      <c r="X486" s="4"/>
    </row>
    <row r="487" spans="7:24" ht="14.25" customHeight="1" x14ac:dyDescent="0.25">
      <c r="G487" s="3"/>
      <c r="W487" s="4"/>
      <c r="X487" s="4"/>
    </row>
    <row r="488" spans="7:24" ht="14.25" customHeight="1" x14ac:dyDescent="0.25">
      <c r="G488" s="3"/>
      <c r="W488" s="4"/>
      <c r="X488" s="4"/>
    </row>
    <row r="489" spans="7:24" ht="14.25" customHeight="1" x14ac:dyDescent="0.25">
      <c r="G489" s="3"/>
      <c r="W489" s="4"/>
      <c r="X489" s="4"/>
    </row>
    <row r="490" spans="7:24" ht="14.25" customHeight="1" x14ac:dyDescent="0.25">
      <c r="G490" s="3"/>
      <c r="W490" s="4"/>
      <c r="X490" s="4"/>
    </row>
    <row r="491" spans="7:24" ht="14.25" customHeight="1" x14ac:dyDescent="0.25">
      <c r="G491" s="3"/>
      <c r="W491" s="4"/>
      <c r="X491" s="4"/>
    </row>
    <row r="492" spans="7:24" ht="14.25" customHeight="1" x14ac:dyDescent="0.25">
      <c r="G492" s="3"/>
      <c r="W492" s="4"/>
      <c r="X492" s="4"/>
    </row>
    <row r="493" spans="7:24" ht="14.25" customHeight="1" x14ac:dyDescent="0.25">
      <c r="G493" s="3"/>
      <c r="W493" s="4"/>
      <c r="X493" s="4"/>
    </row>
    <row r="494" spans="7:24" ht="14.25" customHeight="1" x14ac:dyDescent="0.25">
      <c r="G494" s="3"/>
      <c r="W494" s="4"/>
      <c r="X494" s="4"/>
    </row>
    <row r="495" spans="7:24" ht="14.25" customHeight="1" x14ac:dyDescent="0.25">
      <c r="G495" s="3"/>
      <c r="W495" s="4"/>
      <c r="X495" s="4"/>
    </row>
    <row r="496" spans="7:24" ht="14.25" customHeight="1" x14ac:dyDescent="0.25">
      <c r="G496" s="3"/>
      <c r="W496" s="4"/>
      <c r="X496" s="4"/>
    </row>
    <row r="497" spans="7:24" ht="14.25" customHeight="1" x14ac:dyDescent="0.25">
      <c r="G497" s="3"/>
      <c r="W497" s="4"/>
      <c r="X497" s="4"/>
    </row>
    <row r="498" spans="7:24" ht="14.25" customHeight="1" x14ac:dyDescent="0.25">
      <c r="G498" s="3"/>
      <c r="W498" s="4"/>
      <c r="X498" s="4"/>
    </row>
    <row r="499" spans="7:24" ht="14.25" customHeight="1" x14ac:dyDescent="0.25">
      <c r="G499" s="3"/>
      <c r="W499" s="4"/>
      <c r="X499" s="4"/>
    </row>
    <row r="500" spans="7:24" ht="14.25" customHeight="1" x14ac:dyDescent="0.25">
      <c r="G500" s="3"/>
      <c r="W500" s="4"/>
      <c r="X500" s="4"/>
    </row>
    <row r="501" spans="7:24" ht="14.25" customHeight="1" x14ac:dyDescent="0.25">
      <c r="G501" s="3"/>
      <c r="W501" s="4"/>
      <c r="X501" s="4"/>
    </row>
    <row r="502" spans="7:24" ht="14.25" customHeight="1" x14ac:dyDescent="0.25">
      <c r="G502" s="3"/>
      <c r="W502" s="4"/>
      <c r="X502" s="4"/>
    </row>
    <row r="503" spans="7:24" ht="14.25" customHeight="1" x14ac:dyDescent="0.25">
      <c r="G503" s="3"/>
      <c r="W503" s="4"/>
      <c r="X503" s="4"/>
    </row>
    <row r="504" spans="7:24" ht="14.25" customHeight="1" x14ac:dyDescent="0.25">
      <c r="G504" s="3"/>
      <c r="W504" s="4"/>
      <c r="X504" s="4"/>
    </row>
    <row r="505" spans="7:24" ht="14.25" customHeight="1" x14ac:dyDescent="0.25">
      <c r="G505" s="3"/>
      <c r="W505" s="4"/>
      <c r="X505" s="4"/>
    </row>
    <row r="506" spans="7:24" ht="14.25" customHeight="1" x14ac:dyDescent="0.25">
      <c r="G506" s="3"/>
      <c r="W506" s="4"/>
      <c r="X506" s="4"/>
    </row>
    <row r="507" spans="7:24" ht="14.25" customHeight="1" x14ac:dyDescent="0.25">
      <c r="G507" s="3"/>
      <c r="W507" s="4"/>
      <c r="X507" s="4"/>
    </row>
    <row r="508" spans="7:24" ht="14.25" customHeight="1" x14ac:dyDescent="0.25">
      <c r="G508" s="3"/>
      <c r="W508" s="4"/>
      <c r="X508" s="4"/>
    </row>
    <row r="509" spans="7:24" ht="14.25" customHeight="1" x14ac:dyDescent="0.25">
      <c r="G509" s="3"/>
      <c r="W509" s="4"/>
      <c r="X509" s="4"/>
    </row>
    <row r="510" spans="7:24" ht="14.25" customHeight="1" x14ac:dyDescent="0.25">
      <c r="G510" s="3"/>
      <c r="W510" s="4"/>
      <c r="X510" s="4"/>
    </row>
    <row r="511" spans="7:24" ht="14.25" customHeight="1" x14ac:dyDescent="0.25">
      <c r="G511" s="3"/>
      <c r="W511" s="4"/>
      <c r="X511" s="4"/>
    </row>
    <row r="512" spans="7:24" ht="14.25" customHeight="1" x14ac:dyDescent="0.25">
      <c r="G512" s="3"/>
      <c r="W512" s="4"/>
      <c r="X512" s="4"/>
    </row>
    <row r="513" spans="7:24" ht="14.25" customHeight="1" x14ac:dyDescent="0.25">
      <c r="G513" s="3"/>
      <c r="W513" s="4"/>
      <c r="X513" s="4"/>
    </row>
    <row r="514" spans="7:24" ht="14.25" customHeight="1" x14ac:dyDescent="0.25">
      <c r="G514" s="3"/>
      <c r="W514" s="4"/>
      <c r="X514" s="4"/>
    </row>
    <row r="515" spans="7:24" ht="14.25" customHeight="1" x14ac:dyDescent="0.25">
      <c r="G515" s="3"/>
      <c r="W515" s="4"/>
      <c r="X515" s="4"/>
    </row>
    <row r="516" spans="7:24" ht="14.25" customHeight="1" x14ac:dyDescent="0.25">
      <c r="G516" s="3"/>
      <c r="W516" s="4"/>
      <c r="X516" s="4"/>
    </row>
    <row r="517" spans="7:24" ht="14.25" customHeight="1" x14ac:dyDescent="0.25">
      <c r="G517" s="3"/>
      <c r="W517" s="4"/>
      <c r="X517" s="4"/>
    </row>
    <row r="518" spans="7:24" ht="14.25" customHeight="1" x14ac:dyDescent="0.25">
      <c r="G518" s="3"/>
      <c r="W518" s="4"/>
      <c r="X518" s="4"/>
    </row>
    <row r="519" spans="7:24" ht="14.25" customHeight="1" x14ac:dyDescent="0.25">
      <c r="G519" s="3"/>
      <c r="W519" s="4"/>
      <c r="X519" s="4"/>
    </row>
    <row r="520" spans="7:24" ht="14.25" customHeight="1" x14ac:dyDescent="0.25">
      <c r="G520" s="3"/>
      <c r="W520" s="4"/>
      <c r="X520" s="4"/>
    </row>
    <row r="521" spans="7:24" ht="14.25" customHeight="1" x14ac:dyDescent="0.25">
      <c r="G521" s="3"/>
      <c r="W521" s="4"/>
      <c r="X521" s="4"/>
    </row>
    <row r="522" spans="7:24" ht="14.25" customHeight="1" x14ac:dyDescent="0.25">
      <c r="G522" s="3"/>
      <c r="W522" s="4"/>
      <c r="X522" s="4"/>
    </row>
    <row r="523" spans="7:24" ht="14.25" customHeight="1" x14ac:dyDescent="0.25">
      <c r="G523" s="3"/>
      <c r="W523" s="4"/>
      <c r="X523" s="4"/>
    </row>
    <row r="524" spans="7:24" ht="14.25" customHeight="1" x14ac:dyDescent="0.25">
      <c r="G524" s="3"/>
      <c r="W524" s="4"/>
      <c r="X524" s="4"/>
    </row>
    <row r="525" spans="7:24" ht="14.25" customHeight="1" x14ac:dyDescent="0.25">
      <c r="G525" s="3"/>
      <c r="W525" s="4"/>
      <c r="X525" s="4"/>
    </row>
    <row r="526" spans="7:24" ht="14.25" customHeight="1" x14ac:dyDescent="0.25">
      <c r="G526" s="3"/>
      <c r="W526" s="4"/>
      <c r="X526" s="4"/>
    </row>
    <row r="527" spans="7:24" ht="14.25" customHeight="1" x14ac:dyDescent="0.25">
      <c r="G527" s="3"/>
      <c r="W527" s="4"/>
      <c r="X527" s="4"/>
    </row>
    <row r="528" spans="7:24" ht="14.25" customHeight="1" x14ac:dyDescent="0.25">
      <c r="G528" s="3"/>
      <c r="W528" s="4"/>
      <c r="X528" s="4"/>
    </row>
    <row r="529" spans="7:24" ht="14.25" customHeight="1" x14ac:dyDescent="0.25">
      <c r="G529" s="3"/>
      <c r="W529" s="4"/>
      <c r="X529" s="4"/>
    </row>
    <row r="530" spans="7:24" ht="14.25" customHeight="1" x14ac:dyDescent="0.25">
      <c r="G530" s="3"/>
      <c r="W530" s="4"/>
      <c r="X530" s="4"/>
    </row>
    <row r="531" spans="7:24" ht="14.25" customHeight="1" x14ac:dyDescent="0.25">
      <c r="G531" s="3"/>
      <c r="W531" s="4"/>
      <c r="X531" s="4"/>
    </row>
    <row r="532" spans="7:24" ht="14.25" customHeight="1" x14ac:dyDescent="0.25">
      <c r="G532" s="3"/>
      <c r="W532" s="4"/>
      <c r="X532" s="4"/>
    </row>
    <row r="533" spans="7:24" ht="14.25" customHeight="1" x14ac:dyDescent="0.25">
      <c r="G533" s="3"/>
      <c r="W533" s="4"/>
      <c r="X533" s="4"/>
    </row>
    <row r="534" spans="7:24" ht="14.25" customHeight="1" x14ac:dyDescent="0.25">
      <c r="G534" s="3"/>
      <c r="W534" s="4"/>
      <c r="X534" s="4"/>
    </row>
    <row r="535" spans="7:24" ht="14.25" customHeight="1" x14ac:dyDescent="0.25">
      <c r="G535" s="3"/>
      <c r="W535" s="4"/>
      <c r="X535" s="4"/>
    </row>
    <row r="536" spans="7:24" ht="14.25" customHeight="1" x14ac:dyDescent="0.25">
      <c r="G536" s="3"/>
      <c r="W536" s="4"/>
      <c r="X536" s="4"/>
    </row>
    <row r="537" spans="7:24" ht="14.25" customHeight="1" x14ac:dyDescent="0.25">
      <c r="G537" s="3"/>
      <c r="W537" s="4"/>
      <c r="X537" s="4"/>
    </row>
    <row r="538" spans="7:24" ht="14.25" customHeight="1" x14ac:dyDescent="0.25">
      <c r="G538" s="3"/>
      <c r="W538" s="4"/>
      <c r="X538" s="4"/>
    </row>
    <row r="539" spans="7:24" ht="14.25" customHeight="1" x14ac:dyDescent="0.25">
      <c r="G539" s="3"/>
      <c r="W539" s="4"/>
      <c r="X539" s="4"/>
    </row>
    <row r="540" spans="7:24" ht="14.25" customHeight="1" x14ac:dyDescent="0.25">
      <c r="G540" s="3"/>
      <c r="W540" s="4"/>
      <c r="X540" s="4"/>
    </row>
    <row r="541" spans="7:24" ht="14.25" customHeight="1" x14ac:dyDescent="0.25">
      <c r="G541" s="3"/>
      <c r="W541" s="4"/>
      <c r="X541" s="4"/>
    </row>
    <row r="542" spans="7:24" ht="14.25" customHeight="1" x14ac:dyDescent="0.25">
      <c r="G542" s="3"/>
      <c r="W542" s="4"/>
      <c r="X542" s="4"/>
    </row>
    <row r="543" spans="7:24" ht="14.25" customHeight="1" x14ac:dyDescent="0.25">
      <c r="G543" s="3"/>
      <c r="W543" s="4"/>
      <c r="X543" s="4"/>
    </row>
    <row r="544" spans="7:24" ht="14.25" customHeight="1" x14ac:dyDescent="0.25">
      <c r="G544" s="3"/>
      <c r="W544" s="4"/>
      <c r="X544" s="4"/>
    </row>
    <row r="545" spans="7:24" ht="14.25" customHeight="1" x14ac:dyDescent="0.25">
      <c r="G545" s="3"/>
      <c r="W545" s="4"/>
      <c r="X545" s="4"/>
    </row>
    <row r="546" spans="7:24" ht="14.25" customHeight="1" x14ac:dyDescent="0.25">
      <c r="G546" s="3"/>
      <c r="W546" s="4"/>
      <c r="X546" s="4"/>
    </row>
    <row r="547" spans="7:24" ht="14.25" customHeight="1" x14ac:dyDescent="0.25">
      <c r="G547" s="3"/>
      <c r="W547" s="4"/>
      <c r="X547" s="4"/>
    </row>
    <row r="548" spans="7:24" ht="14.25" customHeight="1" x14ac:dyDescent="0.25">
      <c r="G548" s="3"/>
      <c r="W548" s="4"/>
      <c r="X548" s="4"/>
    </row>
    <row r="549" spans="7:24" ht="14.25" customHeight="1" x14ac:dyDescent="0.25">
      <c r="G549" s="3"/>
      <c r="W549" s="4"/>
      <c r="X549" s="4"/>
    </row>
    <row r="550" spans="7:24" ht="14.25" customHeight="1" x14ac:dyDescent="0.25">
      <c r="G550" s="3"/>
      <c r="W550" s="4"/>
      <c r="X550" s="4"/>
    </row>
    <row r="551" spans="7:24" ht="14.25" customHeight="1" x14ac:dyDescent="0.25">
      <c r="G551" s="3"/>
      <c r="W551" s="4"/>
      <c r="X551" s="4"/>
    </row>
    <row r="552" spans="7:24" ht="14.25" customHeight="1" x14ac:dyDescent="0.25">
      <c r="G552" s="3"/>
      <c r="W552" s="4"/>
      <c r="X552" s="4"/>
    </row>
    <row r="553" spans="7:24" ht="14.25" customHeight="1" x14ac:dyDescent="0.25">
      <c r="G553" s="3"/>
      <c r="W553" s="4"/>
      <c r="X553" s="4"/>
    </row>
    <row r="554" spans="7:24" ht="14.25" customHeight="1" x14ac:dyDescent="0.25">
      <c r="G554" s="3"/>
      <c r="W554" s="4"/>
      <c r="X554" s="4"/>
    </row>
    <row r="555" spans="7:24" ht="14.25" customHeight="1" x14ac:dyDescent="0.25">
      <c r="G555" s="3"/>
      <c r="W555" s="4"/>
      <c r="X555" s="4"/>
    </row>
    <row r="556" spans="7:24" ht="14.25" customHeight="1" x14ac:dyDescent="0.25">
      <c r="G556" s="3"/>
      <c r="W556" s="4"/>
      <c r="X556" s="4"/>
    </row>
    <row r="557" spans="7:24" ht="14.25" customHeight="1" x14ac:dyDescent="0.25">
      <c r="G557" s="3"/>
      <c r="W557" s="4"/>
      <c r="X557" s="4"/>
    </row>
    <row r="558" spans="7:24" ht="14.25" customHeight="1" x14ac:dyDescent="0.25">
      <c r="G558" s="3"/>
      <c r="W558" s="4"/>
      <c r="X558" s="4"/>
    </row>
    <row r="559" spans="7:24" ht="14.25" customHeight="1" x14ac:dyDescent="0.25">
      <c r="G559" s="3"/>
      <c r="W559" s="4"/>
      <c r="X559" s="4"/>
    </row>
    <row r="560" spans="7:24" ht="14.25" customHeight="1" x14ac:dyDescent="0.25">
      <c r="G560" s="3"/>
      <c r="W560" s="4"/>
      <c r="X560" s="4"/>
    </row>
    <row r="561" spans="7:24" ht="14.25" customHeight="1" x14ac:dyDescent="0.25">
      <c r="G561" s="3"/>
      <c r="W561" s="4"/>
      <c r="X561" s="4"/>
    </row>
    <row r="562" spans="7:24" ht="14.25" customHeight="1" x14ac:dyDescent="0.25">
      <c r="G562" s="3"/>
      <c r="W562" s="4"/>
      <c r="X562" s="4"/>
    </row>
    <row r="563" spans="7:24" ht="14.25" customHeight="1" x14ac:dyDescent="0.25">
      <c r="G563" s="3"/>
      <c r="W563" s="4"/>
      <c r="X563" s="4"/>
    </row>
    <row r="564" spans="7:24" ht="14.25" customHeight="1" x14ac:dyDescent="0.25">
      <c r="G564" s="3"/>
      <c r="W564" s="4"/>
      <c r="X564" s="4"/>
    </row>
    <row r="565" spans="7:24" ht="14.25" customHeight="1" x14ac:dyDescent="0.25">
      <c r="G565" s="3"/>
      <c r="W565" s="4"/>
      <c r="X565" s="4"/>
    </row>
    <row r="566" spans="7:24" ht="14.25" customHeight="1" x14ac:dyDescent="0.25">
      <c r="G566" s="3"/>
      <c r="W566" s="4"/>
      <c r="X566" s="4"/>
    </row>
    <row r="567" spans="7:24" ht="14.25" customHeight="1" x14ac:dyDescent="0.25">
      <c r="G567" s="3"/>
      <c r="W567" s="4"/>
      <c r="X567" s="4"/>
    </row>
    <row r="568" spans="7:24" ht="14.25" customHeight="1" x14ac:dyDescent="0.25">
      <c r="G568" s="3"/>
      <c r="W568" s="4"/>
      <c r="X568" s="4"/>
    </row>
    <row r="569" spans="7:24" ht="14.25" customHeight="1" x14ac:dyDescent="0.25">
      <c r="G569" s="3"/>
      <c r="W569" s="4"/>
      <c r="X569" s="4"/>
    </row>
    <row r="570" spans="7:24" ht="14.25" customHeight="1" x14ac:dyDescent="0.25">
      <c r="G570" s="3"/>
      <c r="W570" s="4"/>
      <c r="X570" s="4"/>
    </row>
    <row r="571" spans="7:24" ht="14.25" customHeight="1" x14ac:dyDescent="0.25">
      <c r="G571" s="3"/>
      <c r="W571" s="4"/>
      <c r="X571" s="4"/>
    </row>
    <row r="572" spans="7:24" ht="14.25" customHeight="1" x14ac:dyDescent="0.25">
      <c r="G572" s="3"/>
      <c r="W572" s="4"/>
      <c r="X572" s="4"/>
    </row>
    <row r="573" spans="7:24" ht="14.25" customHeight="1" x14ac:dyDescent="0.25">
      <c r="G573" s="3"/>
      <c r="W573" s="4"/>
      <c r="X573" s="4"/>
    </row>
    <row r="574" spans="7:24" ht="14.25" customHeight="1" x14ac:dyDescent="0.25">
      <c r="G574" s="3"/>
      <c r="W574" s="4"/>
      <c r="X574" s="4"/>
    </row>
    <row r="575" spans="7:24" ht="14.25" customHeight="1" x14ac:dyDescent="0.25">
      <c r="G575" s="3"/>
      <c r="W575" s="4"/>
      <c r="X575" s="4"/>
    </row>
    <row r="576" spans="7:24" ht="14.25" customHeight="1" x14ac:dyDescent="0.25">
      <c r="G576" s="3"/>
      <c r="W576" s="4"/>
      <c r="X576" s="4"/>
    </row>
    <row r="577" spans="7:24" ht="14.25" customHeight="1" x14ac:dyDescent="0.25">
      <c r="G577" s="3"/>
      <c r="W577" s="4"/>
      <c r="X577" s="4"/>
    </row>
    <row r="578" spans="7:24" ht="14.25" customHeight="1" x14ac:dyDescent="0.25">
      <c r="G578" s="3"/>
      <c r="W578" s="4"/>
      <c r="X578" s="4"/>
    </row>
    <row r="579" spans="7:24" ht="14.25" customHeight="1" x14ac:dyDescent="0.25">
      <c r="G579" s="3"/>
      <c r="W579" s="4"/>
      <c r="X579" s="4"/>
    </row>
    <row r="580" spans="7:24" ht="14.25" customHeight="1" x14ac:dyDescent="0.25">
      <c r="G580" s="3"/>
      <c r="W580" s="4"/>
      <c r="X580" s="4"/>
    </row>
    <row r="581" spans="7:24" ht="14.25" customHeight="1" x14ac:dyDescent="0.25">
      <c r="G581" s="3"/>
      <c r="W581" s="4"/>
      <c r="X581" s="4"/>
    </row>
    <row r="582" spans="7:24" ht="14.25" customHeight="1" x14ac:dyDescent="0.25">
      <c r="G582" s="3"/>
      <c r="W582" s="4"/>
      <c r="X582" s="4"/>
    </row>
    <row r="583" spans="7:24" ht="14.25" customHeight="1" x14ac:dyDescent="0.25">
      <c r="G583" s="3"/>
      <c r="W583" s="4"/>
      <c r="X583" s="4"/>
    </row>
    <row r="584" spans="7:24" ht="14.25" customHeight="1" x14ac:dyDescent="0.25">
      <c r="G584" s="3"/>
      <c r="W584" s="4"/>
      <c r="X584" s="4"/>
    </row>
    <row r="585" spans="7:24" ht="14.25" customHeight="1" x14ac:dyDescent="0.25">
      <c r="G585" s="3"/>
      <c r="W585" s="4"/>
      <c r="X585" s="4"/>
    </row>
    <row r="586" spans="7:24" ht="14.25" customHeight="1" x14ac:dyDescent="0.25">
      <c r="G586" s="3"/>
      <c r="W586" s="4"/>
      <c r="X586" s="4"/>
    </row>
    <row r="587" spans="7:24" ht="14.25" customHeight="1" x14ac:dyDescent="0.25">
      <c r="G587" s="3"/>
      <c r="W587" s="4"/>
      <c r="X587" s="4"/>
    </row>
    <row r="588" spans="7:24" ht="14.25" customHeight="1" x14ac:dyDescent="0.25">
      <c r="G588" s="3"/>
      <c r="W588" s="4"/>
      <c r="X588" s="4"/>
    </row>
    <row r="589" spans="7:24" ht="14.25" customHeight="1" x14ac:dyDescent="0.25">
      <c r="G589" s="3"/>
      <c r="W589" s="4"/>
      <c r="X589" s="4"/>
    </row>
    <row r="590" spans="7:24" ht="14.25" customHeight="1" x14ac:dyDescent="0.25">
      <c r="G590" s="3"/>
      <c r="W590" s="4"/>
      <c r="X590" s="4"/>
    </row>
    <row r="591" spans="7:24" ht="14.25" customHeight="1" x14ac:dyDescent="0.25">
      <c r="G591" s="3"/>
      <c r="W591" s="4"/>
      <c r="X591" s="4"/>
    </row>
    <row r="592" spans="7:24" ht="14.25" customHeight="1" x14ac:dyDescent="0.25">
      <c r="G592" s="3"/>
      <c r="W592" s="4"/>
      <c r="X592" s="4"/>
    </row>
    <row r="593" spans="7:24" ht="14.25" customHeight="1" x14ac:dyDescent="0.25">
      <c r="G593" s="3"/>
      <c r="W593" s="4"/>
      <c r="X593" s="4"/>
    </row>
    <row r="594" spans="7:24" ht="14.25" customHeight="1" x14ac:dyDescent="0.25">
      <c r="G594" s="3"/>
      <c r="W594" s="4"/>
      <c r="X594" s="4"/>
    </row>
    <row r="595" spans="7:24" ht="14.25" customHeight="1" x14ac:dyDescent="0.25">
      <c r="G595" s="3"/>
      <c r="W595" s="4"/>
      <c r="X595" s="4"/>
    </row>
    <row r="596" spans="7:24" ht="14.25" customHeight="1" x14ac:dyDescent="0.25">
      <c r="G596" s="3"/>
      <c r="W596" s="4"/>
      <c r="X596" s="4"/>
    </row>
    <row r="597" spans="7:24" ht="14.25" customHeight="1" x14ac:dyDescent="0.25">
      <c r="G597" s="3"/>
      <c r="W597" s="4"/>
      <c r="X597" s="4"/>
    </row>
    <row r="598" spans="7:24" ht="14.25" customHeight="1" x14ac:dyDescent="0.25">
      <c r="G598" s="3"/>
      <c r="W598" s="4"/>
      <c r="X598" s="4"/>
    </row>
    <row r="599" spans="7:24" ht="14.25" customHeight="1" x14ac:dyDescent="0.25">
      <c r="G599" s="3"/>
      <c r="W599" s="4"/>
      <c r="X599" s="4"/>
    </row>
    <row r="600" spans="7:24" ht="14.25" customHeight="1" x14ac:dyDescent="0.25">
      <c r="G600" s="3"/>
      <c r="W600" s="4"/>
      <c r="X600" s="4"/>
    </row>
    <row r="601" spans="7:24" ht="14.25" customHeight="1" x14ac:dyDescent="0.25">
      <c r="G601" s="3"/>
      <c r="W601" s="4"/>
      <c r="X601" s="4"/>
    </row>
    <row r="602" spans="7:24" ht="14.25" customHeight="1" x14ac:dyDescent="0.25">
      <c r="G602" s="3"/>
      <c r="W602" s="4"/>
      <c r="X602" s="4"/>
    </row>
    <row r="603" spans="7:24" ht="14.25" customHeight="1" x14ac:dyDescent="0.25">
      <c r="G603" s="3"/>
      <c r="W603" s="4"/>
      <c r="X603" s="4"/>
    </row>
    <row r="604" spans="7:24" ht="14.25" customHeight="1" x14ac:dyDescent="0.25">
      <c r="G604" s="3"/>
      <c r="W604" s="4"/>
      <c r="X604" s="4"/>
    </row>
    <row r="605" spans="7:24" ht="14.25" customHeight="1" x14ac:dyDescent="0.25">
      <c r="G605" s="3"/>
      <c r="W605" s="4"/>
      <c r="X605" s="4"/>
    </row>
    <row r="606" spans="7:24" ht="14.25" customHeight="1" x14ac:dyDescent="0.25">
      <c r="G606" s="3"/>
      <c r="W606" s="4"/>
      <c r="X606" s="4"/>
    </row>
    <row r="607" spans="7:24" ht="14.25" customHeight="1" x14ac:dyDescent="0.25">
      <c r="G607" s="3"/>
      <c r="W607" s="4"/>
      <c r="X607" s="4"/>
    </row>
    <row r="608" spans="7:24" ht="14.25" customHeight="1" x14ac:dyDescent="0.25">
      <c r="G608" s="3"/>
      <c r="W608" s="4"/>
      <c r="X608" s="4"/>
    </row>
    <row r="609" spans="7:24" ht="14.25" customHeight="1" x14ac:dyDescent="0.25">
      <c r="G609" s="3"/>
      <c r="W609" s="4"/>
      <c r="X609" s="4"/>
    </row>
    <row r="610" spans="7:24" ht="14.25" customHeight="1" x14ac:dyDescent="0.25">
      <c r="G610" s="3"/>
      <c r="W610" s="4"/>
      <c r="X610" s="4"/>
    </row>
    <row r="611" spans="7:24" ht="14.25" customHeight="1" x14ac:dyDescent="0.25">
      <c r="G611" s="3"/>
      <c r="W611" s="4"/>
      <c r="X611" s="4"/>
    </row>
    <row r="612" spans="7:24" ht="14.25" customHeight="1" x14ac:dyDescent="0.25">
      <c r="G612" s="3"/>
      <c r="W612" s="4"/>
      <c r="X612" s="4"/>
    </row>
    <row r="613" spans="7:24" ht="14.25" customHeight="1" x14ac:dyDescent="0.25">
      <c r="G613" s="3"/>
      <c r="W613" s="4"/>
      <c r="X613" s="4"/>
    </row>
    <row r="614" spans="7:24" ht="14.25" customHeight="1" x14ac:dyDescent="0.25">
      <c r="G614" s="3"/>
      <c r="W614" s="4"/>
      <c r="X614" s="4"/>
    </row>
    <row r="615" spans="7:24" ht="14.25" customHeight="1" x14ac:dyDescent="0.25">
      <c r="G615" s="3"/>
      <c r="W615" s="4"/>
      <c r="X615" s="4"/>
    </row>
    <row r="616" spans="7:24" ht="14.25" customHeight="1" x14ac:dyDescent="0.25">
      <c r="G616" s="3"/>
      <c r="W616" s="4"/>
      <c r="X616" s="4"/>
    </row>
    <row r="617" spans="7:24" ht="14.25" customHeight="1" x14ac:dyDescent="0.25">
      <c r="G617" s="3"/>
      <c r="W617" s="4"/>
      <c r="X617" s="4"/>
    </row>
    <row r="618" spans="7:24" ht="14.25" customHeight="1" x14ac:dyDescent="0.25">
      <c r="G618" s="3"/>
      <c r="W618" s="4"/>
      <c r="X618" s="4"/>
    </row>
    <row r="619" spans="7:24" ht="14.25" customHeight="1" x14ac:dyDescent="0.25">
      <c r="G619" s="3"/>
      <c r="W619" s="4"/>
      <c r="X619" s="4"/>
    </row>
    <row r="620" spans="7:24" ht="14.25" customHeight="1" x14ac:dyDescent="0.25">
      <c r="G620" s="3"/>
      <c r="W620" s="4"/>
      <c r="X620" s="4"/>
    </row>
    <row r="621" spans="7:24" ht="14.25" customHeight="1" x14ac:dyDescent="0.25">
      <c r="G621" s="3"/>
      <c r="W621" s="4"/>
      <c r="X621" s="4"/>
    </row>
    <row r="622" spans="7:24" ht="14.25" customHeight="1" x14ac:dyDescent="0.25">
      <c r="G622" s="3"/>
      <c r="W622" s="4"/>
      <c r="X622" s="4"/>
    </row>
    <row r="623" spans="7:24" ht="14.25" customHeight="1" x14ac:dyDescent="0.25">
      <c r="G623" s="3"/>
      <c r="W623" s="4"/>
      <c r="X623" s="4"/>
    </row>
    <row r="624" spans="7:24" ht="14.25" customHeight="1" x14ac:dyDescent="0.25">
      <c r="G624" s="3"/>
      <c r="W624" s="4"/>
      <c r="X624" s="4"/>
    </row>
    <row r="625" spans="7:24" ht="14.25" customHeight="1" x14ac:dyDescent="0.25">
      <c r="G625" s="3"/>
      <c r="W625" s="4"/>
      <c r="X625" s="4"/>
    </row>
    <row r="626" spans="7:24" ht="14.25" customHeight="1" x14ac:dyDescent="0.25">
      <c r="G626" s="3"/>
      <c r="W626" s="4"/>
      <c r="X626" s="4"/>
    </row>
    <row r="627" spans="7:24" ht="14.25" customHeight="1" x14ac:dyDescent="0.25">
      <c r="G627" s="3"/>
      <c r="W627" s="4"/>
      <c r="X627" s="4"/>
    </row>
    <row r="628" spans="7:24" ht="14.25" customHeight="1" x14ac:dyDescent="0.25">
      <c r="G628" s="3"/>
      <c r="W628" s="4"/>
      <c r="X628" s="4"/>
    </row>
    <row r="629" spans="7:24" ht="14.25" customHeight="1" x14ac:dyDescent="0.25">
      <c r="G629" s="3"/>
      <c r="W629" s="4"/>
      <c r="X629" s="4"/>
    </row>
    <row r="630" spans="7:24" ht="14.25" customHeight="1" x14ac:dyDescent="0.25">
      <c r="G630" s="3"/>
      <c r="W630" s="4"/>
      <c r="X630" s="4"/>
    </row>
    <row r="631" spans="7:24" ht="14.25" customHeight="1" x14ac:dyDescent="0.25">
      <c r="G631" s="3"/>
      <c r="W631" s="4"/>
      <c r="X631" s="4"/>
    </row>
    <row r="632" spans="7:24" ht="14.25" customHeight="1" x14ac:dyDescent="0.25">
      <c r="G632" s="3"/>
      <c r="W632" s="4"/>
      <c r="X632" s="4"/>
    </row>
    <row r="633" spans="7:24" ht="14.25" customHeight="1" x14ac:dyDescent="0.25">
      <c r="G633" s="3"/>
      <c r="W633" s="4"/>
      <c r="X633" s="4"/>
    </row>
    <row r="634" spans="7:24" ht="14.25" customHeight="1" x14ac:dyDescent="0.25">
      <c r="G634" s="3"/>
      <c r="W634" s="4"/>
      <c r="X634" s="4"/>
    </row>
    <row r="635" spans="7:24" ht="14.25" customHeight="1" x14ac:dyDescent="0.25">
      <c r="G635" s="3"/>
      <c r="W635" s="4"/>
      <c r="X635" s="4"/>
    </row>
    <row r="636" spans="7:24" ht="14.25" customHeight="1" x14ac:dyDescent="0.25">
      <c r="G636" s="3"/>
      <c r="W636" s="4"/>
      <c r="X636" s="4"/>
    </row>
    <row r="637" spans="7:24" ht="14.25" customHeight="1" x14ac:dyDescent="0.25">
      <c r="G637" s="3"/>
      <c r="W637" s="4"/>
      <c r="X637" s="4"/>
    </row>
    <row r="638" spans="7:24" ht="14.25" customHeight="1" x14ac:dyDescent="0.25">
      <c r="G638" s="3"/>
      <c r="W638" s="4"/>
      <c r="X638" s="4"/>
    </row>
    <row r="639" spans="7:24" ht="14.25" customHeight="1" x14ac:dyDescent="0.25">
      <c r="G639" s="3"/>
      <c r="W639" s="4"/>
      <c r="X639" s="4"/>
    </row>
    <row r="640" spans="7:24" ht="14.25" customHeight="1" x14ac:dyDescent="0.25">
      <c r="G640" s="3"/>
      <c r="W640" s="4"/>
      <c r="X640" s="4"/>
    </row>
    <row r="641" spans="7:24" ht="14.25" customHeight="1" x14ac:dyDescent="0.25">
      <c r="G641" s="3"/>
      <c r="W641" s="4"/>
      <c r="X641" s="4"/>
    </row>
    <row r="642" spans="7:24" ht="14.25" customHeight="1" x14ac:dyDescent="0.25">
      <c r="G642" s="3"/>
      <c r="W642" s="4"/>
      <c r="X642" s="4"/>
    </row>
    <row r="643" spans="7:24" ht="14.25" customHeight="1" x14ac:dyDescent="0.25">
      <c r="G643" s="3"/>
      <c r="W643" s="4"/>
      <c r="X643" s="4"/>
    </row>
    <row r="644" spans="7:24" ht="14.25" customHeight="1" x14ac:dyDescent="0.25">
      <c r="G644" s="3"/>
      <c r="W644" s="4"/>
      <c r="X644" s="4"/>
    </row>
    <row r="645" spans="7:24" ht="14.25" customHeight="1" x14ac:dyDescent="0.25">
      <c r="G645" s="3"/>
      <c r="W645" s="4"/>
      <c r="X645" s="4"/>
    </row>
    <row r="646" spans="7:24" ht="14.25" customHeight="1" x14ac:dyDescent="0.25">
      <c r="G646" s="3"/>
      <c r="W646" s="4"/>
      <c r="X646" s="4"/>
    </row>
    <row r="647" spans="7:24" ht="14.25" customHeight="1" x14ac:dyDescent="0.25">
      <c r="G647" s="3"/>
      <c r="W647" s="4"/>
      <c r="X647" s="4"/>
    </row>
    <row r="648" spans="7:24" ht="14.25" customHeight="1" x14ac:dyDescent="0.25">
      <c r="G648" s="3"/>
      <c r="W648" s="4"/>
      <c r="X648" s="4"/>
    </row>
    <row r="649" spans="7:24" ht="14.25" customHeight="1" x14ac:dyDescent="0.25">
      <c r="G649" s="3"/>
      <c r="W649" s="4"/>
      <c r="X649" s="4"/>
    </row>
    <row r="650" spans="7:24" ht="14.25" customHeight="1" x14ac:dyDescent="0.25">
      <c r="G650" s="3"/>
      <c r="W650" s="4"/>
      <c r="X650" s="4"/>
    </row>
    <row r="651" spans="7:24" ht="14.25" customHeight="1" x14ac:dyDescent="0.25">
      <c r="G651" s="3"/>
      <c r="W651" s="4"/>
      <c r="X651" s="4"/>
    </row>
    <row r="652" spans="7:24" ht="14.25" customHeight="1" x14ac:dyDescent="0.25">
      <c r="G652" s="3"/>
      <c r="W652" s="4"/>
      <c r="X652" s="4"/>
    </row>
    <row r="653" spans="7:24" ht="14.25" customHeight="1" x14ac:dyDescent="0.25">
      <c r="G653" s="3"/>
      <c r="W653" s="4"/>
      <c r="X653" s="4"/>
    </row>
    <row r="654" spans="7:24" ht="14.25" customHeight="1" x14ac:dyDescent="0.25">
      <c r="G654" s="3"/>
      <c r="W654" s="4"/>
      <c r="X654" s="4"/>
    </row>
    <row r="655" spans="7:24" ht="14.25" customHeight="1" x14ac:dyDescent="0.25">
      <c r="G655" s="3"/>
      <c r="W655" s="4"/>
      <c r="X655" s="4"/>
    </row>
    <row r="656" spans="7:24" ht="14.25" customHeight="1" x14ac:dyDescent="0.25">
      <c r="G656" s="3"/>
      <c r="W656" s="4"/>
      <c r="X656" s="4"/>
    </row>
    <row r="657" spans="7:24" ht="14.25" customHeight="1" x14ac:dyDescent="0.25">
      <c r="G657" s="3"/>
      <c r="W657" s="4"/>
      <c r="X657" s="4"/>
    </row>
    <row r="658" spans="7:24" ht="14.25" customHeight="1" x14ac:dyDescent="0.25">
      <c r="G658" s="3"/>
      <c r="W658" s="4"/>
      <c r="X658" s="4"/>
    </row>
    <row r="659" spans="7:24" ht="14.25" customHeight="1" x14ac:dyDescent="0.25">
      <c r="G659" s="3"/>
      <c r="W659" s="4"/>
      <c r="X659" s="4"/>
    </row>
    <row r="660" spans="7:24" ht="14.25" customHeight="1" x14ac:dyDescent="0.25">
      <c r="G660" s="3"/>
      <c r="W660" s="4"/>
      <c r="X660" s="4"/>
    </row>
    <row r="661" spans="7:24" ht="14.25" customHeight="1" x14ac:dyDescent="0.25">
      <c r="G661" s="3"/>
      <c r="W661" s="4"/>
      <c r="X661" s="4"/>
    </row>
    <row r="662" spans="7:24" ht="14.25" customHeight="1" x14ac:dyDescent="0.25">
      <c r="G662" s="3"/>
      <c r="W662" s="4"/>
      <c r="X662" s="4"/>
    </row>
    <row r="663" spans="7:24" ht="14.25" customHeight="1" x14ac:dyDescent="0.25">
      <c r="G663" s="3"/>
      <c r="W663" s="4"/>
      <c r="X663" s="4"/>
    </row>
    <row r="664" spans="7:24" ht="14.25" customHeight="1" x14ac:dyDescent="0.25">
      <c r="G664" s="3"/>
      <c r="W664" s="4"/>
      <c r="X664" s="4"/>
    </row>
    <row r="665" spans="7:24" ht="14.25" customHeight="1" x14ac:dyDescent="0.25">
      <c r="G665" s="3"/>
      <c r="W665" s="4"/>
      <c r="X665" s="4"/>
    </row>
    <row r="666" spans="7:24" ht="14.25" customHeight="1" x14ac:dyDescent="0.25">
      <c r="G666" s="3"/>
      <c r="W666" s="4"/>
      <c r="X666" s="4"/>
    </row>
    <row r="667" spans="7:24" ht="14.25" customHeight="1" x14ac:dyDescent="0.25">
      <c r="G667" s="3"/>
      <c r="W667" s="4"/>
      <c r="X667" s="4"/>
    </row>
    <row r="668" spans="7:24" ht="14.25" customHeight="1" x14ac:dyDescent="0.25">
      <c r="G668" s="3"/>
      <c r="W668" s="4"/>
      <c r="X668" s="4"/>
    </row>
    <row r="669" spans="7:24" ht="14.25" customHeight="1" x14ac:dyDescent="0.25">
      <c r="G669" s="3"/>
      <c r="W669" s="4"/>
      <c r="X669" s="4"/>
    </row>
    <row r="670" spans="7:24" ht="14.25" customHeight="1" x14ac:dyDescent="0.25">
      <c r="G670" s="3"/>
      <c r="W670" s="4"/>
      <c r="X670" s="4"/>
    </row>
    <row r="671" spans="7:24" ht="14.25" customHeight="1" x14ac:dyDescent="0.25">
      <c r="G671" s="3"/>
      <c r="W671" s="4"/>
      <c r="X671" s="4"/>
    </row>
    <row r="672" spans="7:24" ht="14.25" customHeight="1" x14ac:dyDescent="0.25">
      <c r="G672" s="3"/>
      <c r="W672" s="4"/>
      <c r="X672" s="4"/>
    </row>
    <row r="673" spans="7:24" ht="14.25" customHeight="1" x14ac:dyDescent="0.25">
      <c r="G673" s="3"/>
      <c r="W673" s="4"/>
      <c r="X673" s="4"/>
    </row>
    <row r="674" spans="7:24" ht="14.25" customHeight="1" x14ac:dyDescent="0.25">
      <c r="G674" s="3"/>
      <c r="W674" s="4"/>
      <c r="X674" s="4"/>
    </row>
    <row r="675" spans="7:24" ht="14.25" customHeight="1" x14ac:dyDescent="0.25">
      <c r="G675" s="3"/>
      <c r="W675" s="4"/>
      <c r="X675" s="4"/>
    </row>
    <row r="676" spans="7:24" ht="14.25" customHeight="1" x14ac:dyDescent="0.25">
      <c r="G676" s="3"/>
      <c r="W676" s="4"/>
      <c r="X676" s="4"/>
    </row>
    <row r="677" spans="7:24" ht="14.25" customHeight="1" x14ac:dyDescent="0.25">
      <c r="G677" s="3"/>
      <c r="W677" s="4"/>
      <c r="X677" s="4"/>
    </row>
    <row r="678" spans="7:24" ht="14.25" customHeight="1" x14ac:dyDescent="0.25">
      <c r="G678" s="3"/>
      <c r="W678" s="4"/>
      <c r="X678" s="4"/>
    </row>
    <row r="679" spans="7:24" ht="14.25" customHeight="1" x14ac:dyDescent="0.25">
      <c r="G679" s="3"/>
      <c r="W679" s="4"/>
      <c r="X679" s="4"/>
    </row>
    <row r="680" spans="7:24" ht="14.25" customHeight="1" x14ac:dyDescent="0.25">
      <c r="G680" s="3"/>
      <c r="W680" s="4"/>
      <c r="X680" s="4"/>
    </row>
    <row r="681" spans="7:24" ht="14.25" customHeight="1" x14ac:dyDescent="0.25">
      <c r="G681" s="3"/>
      <c r="W681" s="4"/>
      <c r="X681" s="4"/>
    </row>
    <row r="682" spans="7:24" ht="14.25" customHeight="1" x14ac:dyDescent="0.25">
      <c r="G682" s="3"/>
      <c r="W682" s="4"/>
      <c r="X682" s="4"/>
    </row>
    <row r="683" spans="7:24" ht="14.25" customHeight="1" x14ac:dyDescent="0.25">
      <c r="G683" s="3"/>
      <c r="W683" s="4"/>
      <c r="X683" s="4"/>
    </row>
    <row r="684" spans="7:24" ht="14.25" customHeight="1" x14ac:dyDescent="0.25">
      <c r="G684" s="3"/>
      <c r="W684" s="4"/>
      <c r="X684" s="4"/>
    </row>
    <row r="685" spans="7:24" ht="14.25" customHeight="1" x14ac:dyDescent="0.25">
      <c r="G685" s="3"/>
      <c r="W685" s="4"/>
      <c r="X685" s="4"/>
    </row>
    <row r="686" spans="7:24" ht="14.25" customHeight="1" x14ac:dyDescent="0.25">
      <c r="G686" s="3"/>
      <c r="W686" s="4"/>
      <c r="X686" s="4"/>
    </row>
    <row r="687" spans="7:24" ht="14.25" customHeight="1" x14ac:dyDescent="0.25">
      <c r="G687" s="3"/>
      <c r="W687" s="4"/>
      <c r="X687" s="4"/>
    </row>
    <row r="688" spans="7:24" ht="14.25" customHeight="1" x14ac:dyDescent="0.25">
      <c r="G688" s="3"/>
      <c r="W688" s="4"/>
      <c r="X688" s="4"/>
    </row>
    <row r="689" spans="7:24" ht="14.25" customHeight="1" x14ac:dyDescent="0.25">
      <c r="G689" s="3"/>
      <c r="W689" s="4"/>
      <c r="X689" s="4"/>
    </row>
    <row r="690" spans="7:24" ht="14.25" customHeight="1" x14ac:dyDescent="0.25">
      <c r="G690" s="3"/>
      <c r="W690" s="4"/>
      <c r="X690" s="4"/>
    </row>
    <row r="691" spans="7:24" ht="14.25" customHeight="1" x14ac:dyDescent="0.25">
      <c r="G691" s="3"/>
      <c r="W691" s="4"/>
      <c r="X691" s="4"/>
    </row>
    <row r="692" spans="7:24" ht="14.25" customHeight="1" x14ac:dyDescent="0.25">
      <c r="G692" s="3"/>
      <c r="W692" s="4"/>
      <c r="X692" s="4"/>
    </row>
    <row r="693" spans="7:24" ht="14.25" customHeight="1" x14ac:dyDescent="0.25">
      <c r="G693" s="3"/>
      <c r="W693" s="4"/>
      <c r="X693" s="4"/>
    </row>
    <row r="694" spans="7:24" ht="14.25" customHeight="1" x14ac:dyDescent="0.25">
      <c r="G694" s="3"/>
      <c r="W694" s="4"/>
      <c r="X694" s="4"/>
    </row>
    <row r="695" spans="7:24" ht="14.25" customHeight="1" x14ac:dyDescent="0.25">
      <c r="G695" s="3"/>
      <c r="W695" s="4"/>
      <c r="X695" s="4"/>
    </row>
    <row r="696" spans="7:24" ht="14.25" customHeight="1" x14ac:dyDescent="0.25">
      <c r="G696" s="3"/>
      <c r="W696" s="4"/>
      <c r="X696" s="4"/>
    </row>
    <row r="697" spans="7:24" ht="14.25" customHeight="1" x14ac:dyDescent="0.25">
      <c r="G697" s="3"/>
      <c r="W697" s="4"/>
      <c r="X697" s="4"/>
    </row>
    <row r="698" spans="7:24" ht="14.25" customHeight="1" x14ac:dyDescent="0.25">
      <c r="G698" s="3"/>
      <c r="W698" s="4"/>
      <c r="X698" s="4"/>
    </row>
    <row r="699" spans="7:24" ht="14.25" customHeight="1" x14ac:dyDescent="0.25">
      <c r="G699" s="3"/>
      <c r="W699" s="4"/>
      <c r="X699" s="4"/>
    </row>
    <row r="700" spans="7:24" ht="14.25" customHeight="1" x14ac:dyDescent="0.25">
      <c r="G700" s="3"/>
      <c r="W700" s="4"/>
      <c r="X700" s="4"/>
    </row>
    <row r="701" spans="7:24" ht="14.25" customHeight="1" x14ac:dyDescent="0.25">
      <c r="G701" s="3"/>
      <c r="W701" s="4"/>
      <c r="X701" s="4"/>
    </row>
    <row r="702" spans="7:24" ht="14.25" customHeight="1" x14ac:dyDescent="0.25">
      <c r="G702" s="3"/>
      <c r="W702" s="4"/>
      <c r="X702" s="4"/>
    </row>
    <row r="703" spans="7:24" ht="14.25" customHeight="1" x14ac:dyDescent="0.25">
      <c r="G703" s="3"/>
      <c r="W703" s="4"/>
      <c r="X703" s="4"/>
    </row>
    <row r="704" spans="7:24" ht="14.25" customHeight="1" x14ac:dyDescent="0.25">
      <c r="G704" s="3"/>
      <c r="W704" s="4"/>
      <c r="X704" s="4"/>
    </row>
    <row r="705" spans="7:24" ht="14.25" customHeight="1" x14ac:dyDescent="0.25">
      <c r="G705" s="3"/>
      <c r="W705" s="4"/>
      <c r="X705" s="4"/>
    </row>
    <row r="706" spans="7:24" ht="14.25" customHeight="1" x14ac:dyDescent="0.25">
      <c r="G706" s="3"/>
      <c r="W706" s="4"/>
      <c r="X706" s="4"/>
    </row>
    <row r="707" spans="7:24" ht="14.25" customHeight="1" x14ac:dyDescent="0.25">
      <c r="G707" s="3"/>
      <c r="W707" s="4"/>
      <c r="X707" s="4"/>
    </row>
    <row r="708" spans="7:24" ht="14.25" customHeight="1" x14ac:dyDescent="0.25">
      <c r="G708" s="3"/>
      <c r="W708" s="4"/>
      <c r="X708" s="4"/>
    </row>
    <row r="709" spans="7:24" ht="14.25" customHeight="1" x14ac:dyDescent="0.25">
      <c r="G709" s="3"/>
      <c r="W709" s="4"/>
      <c r="X709" s="4"/>
    </row>
    <row r="710" spans="7:24" ht="14.25" customHeight="1" x14ac:dyDescent="0.25">
      <c r="G710" s="3"/>
      <c r="W710" s="4"/>
      <c r="X710" s="4"/>
    </row>
    <row r="711" spans="7:24" ht="14.25" customHeight="1" x14ac:dyDescent="0.25">
      <c r="G711" s="3"/>
      <c r="W711" s="4"/>
      <c r="X711" s="4"/>
    </row>
    <row r="712" spans="7:24" ht="14.25" customHeight="1" x14ac:dyDescent="0.25">
      <c r="G712" s="3"/>
      <c r="W712" s="4"/>
      <c r="X712" s="4"/>
    </row>
    <row r="713" spans="7:24" ht="14.25" customHeight="1" x14ac:dyDescent="0.25">
      <c r="G713" s="3"/>
      <c r="W713" s="4"/>
      <c r="X713" s="4"/>
    </row>
    <row r="714" spans="7:24" ht="14.25" customHeight="1" x14ac:dyDescent="0.25">
      <c r="G714" s="3"/>
      <c r="W714" s="4"/>
      <c r="X714" s="4"/>
    </row>
    <row r="715" spans="7:24" ht="14.25" customHeight="1" x14ac:dyDescent="0.25">
      <c r="G715" s="3"/>
      <c r="W715" s="4"/>
      <c r="X715" s="4"/>
    </row>
    <row r="716" spans="7:24" ht="14.25" customHeight="1" x14ac:dyDescent="0.25">
      <c r="G716" s="3"/>
      <c r="W716" s="4"/>
      <c r="X716" s="4"/>
    </row>
    <row r="717" spans="7:24" ht="14.25" customHeight="1" x14ac:dyDescent="0.25">
      <c r="G717" s="3"/>
      <c r="W717" s="4"/>
      <c r="X717" s="4"/>
    </row>
    <row r="718" spans="7:24" ht="14.25" customHeight="1" x14ac:dyDescent="0.25">
      <c r="G718" s="3"/>
      <c r="W718" s="4"/>
      <c r="X718" s="4"/>
    </row>
    <row r="719" spans="7:24" ht="14.25" customHeight="1" x14ac:dyDescent="0.25">
      <c r="G719" s="3"/>
      <c r="W719" s="4"/>
      <c r="X719" s="4"/>
    </row>
    <row r="720" spans="7:24" ht="14.25" customHeight="1" x14ac:dyDescent="0.25">
      <c r="G720" s="3"/>
      <c r="W720" s="4"/>
      <c r="X720" s="4"/>
    </row>
    <row r="721" spans="7:24" ht="14.25" customHeight="1" x14ac:dyDescent="0.25">
      <c r="G721" s="3"/>
      <c r="W721" s="4"/>
      <c r="X721" s="4"/>
    </row>
    <row r="722" spans="7:24" ht="14.25" customHeight="1" x14ac:dyDescent="0.25">
      <c r="G722" s="3"/>
      <c r="W722" s="4"/>
      <c r="X722" s="4"/>
    </row>
    <row r="723" spans="7:24" ht="14.25" customHeight="1" x14ac:dyDescent="0.25">
      <c r="G723" s="3"/>
      <c r="W723" s="4"/>
      <c r="X723" s="4"/>
    </row>
    <row r="724" spans="7:24" ht="14.25" customHeight="1" x14ac:dyDescent="0.25">
      <c r="G724" s="3"/>
      <c r="W724" s="4"/>
      <c r="X724" s="4"/>
    </row>
    <row r="725" spans="7:24" ht="14.25" customHeight="1" x14ac:dyDescent="0.25">
      <c r="G725" s="3"/>
      <c r="W725" s="4"/>
      <c r="X725" s="4"/>
    </row>
    <row r="726" spans="7:24" ht="14.25" customHeight="1" x14ac:dyDescent="0.25">
      <c r="G726" s="3"/>
      <c r="W726" s="4"/>
      <c r="X726" s="4"/>
    </row>
    <row r="727" spans="7:24" ht="14.25" customHeight="1" x14ac:dyDescent="0.25">
      <c r="G727" s="3"/>
      <c r="W727" s="4"/>
      <c r="X727" s="4"/>
    </row>
    <row r="728" spans="7:24" ht="14.25" customHeight="1" x14ac:dyDescent="0.25">
      <c r="G728" s="3"/>
      <c r="W728" s="4"/>
      <c r="X728" s="4"/>
    </row>
    <row r="729" spans="7:24" ht="14.25" customHeight="1" x14ac:dyDescent="0.25">
      <c r="G729" s="3"/>
      <c r="W729" s="4"/>
      <c r="X729" s="4"/>
    </row>
    <row r="730" spans="7:24" ht="14.25" customHeight="1" x14ac:dyDescent="0.25">
      <c r="G730" s="3"/>
      <c r="W730" s="4"/>
      <c r="X730" s="4"/>
    </row>
    <row r="731" spans="7:24" ht="14.25" customHeight="1" x14ac:dyDescent="0.25">
      <c r="G731" s="3"/>
      <c r="W731" s="4"/>
      <c r="X731" s="4"/>
    </row>
    <row r="732" spans="7:24" ht="14.25" customHeight="1" x14ac:dyDescent="0.25">
      <c r="G732" s="3"/>
      <c r="W732" s="4"/>
      <c r="X732" s="4"/>
    </row>
    <row r="733" spans="7:24" ht="14.25" customHeight="1" x14ac:dyDescent="0.25">
      <c r="G733" s="3"/>
      <c r="W733" s="4"/>
      <c r="X733" s="4"/>
    </row>
    <row r="734" spans="7:24" ht="14.25" customHeight="1" x14ac:dyDescent="0.25">
      <c r="G734" s="3"/>
      <c r="W734" s="4"/>
      <c r="X734" s="4"/>
    </row>
    <row r="735" spans="7:24" ht="14.25" customHeight="1" x14ac:dyDescent="0.25">
      <c r="G735" s="3"/>
      <c r="W735" s="4"/>
      <c r="X735" s="4"/>
    </row>
    <row r="736" spans="7:24" ht="14.25" customHeight="1" x14ac:dyDescent="0.25">
      <c r="G736" s="3"/>
      <c r="W736" s="4"/>
      <c r="X736" s="4"/>
    </row>
    <row r="737" spans="7:24" ht="14.25" customHeight="1" x14ac:dyDescent="0.25">
      <c r="G737" s="3"/>
      <c r="W737" s="4"/>
      <c r="X737" s="4"/>
    </row>
    <row r="738" spans="7:24" ht="14.25" customHeight="1" x14ac:dyDescent="0.25">
      <c r="G738" s="3"/>
      <c r="W738" s="4"/>
      <c r="X738" s="4"/>
    </row>
    <row r="739" spans="7:24" ht="14.25" customHeight="1" x14ac:dyDescent="0.25">
      <c r="G739" s="3"/>
      <c r="W739" s="4"/>
      <c r="X739" s="4"/>
    </row>
    <row r="740" spans="7:24" ht="14.25" customHeight="1" x14ac:dyDescent="0.25">
      <c r="G740" s="3"/>
      <c r="W740" s="4"/>
      <c r="X740" s="4"/>
    </row>
    <row r="741" spans="7:24" ht="14.25" customHeight="1" x14ac:dyDescent="0.25">
      <c r="G741" s="3"/>
      <c r="W741" s="4"/>
      <c r="X741" s="4"/>
    </row>
    <row r="742" spans="7:24" ht="14.25" customHeight="1" x14ac:dyDescent="0.25">
      <c r="G742" s="3"/>
      <c r="W742" s="4"/>
      <c r="X742" s="4"/>
    </row>
    <row r="743" spans="7:24" ht="14.25" customHeight="1" x14ac:dyDescent="0.25">
      <c r="G743" s="3"/>
      <c r="W743" s="4"/>
      <c r="X743" s="4"/>
    </row>
    <row r="744" spans="7:24" ht="14.25" customHeight="1" x14ac:dyDescent="0.25">
      <c r="G744" s="3"/>
      <c r="W744" s="4"/>
      <c r="X744" s="4"/>
    </row>
    <row r="745" spans="7:24" ht="14.25" customHeight="1" x14ac:dyDescent="0.25">
      <c r="G745" s="3"/>
      <c r="W745" s="4"/>
      <c r="X745" s="4"/>
    </row>
    <row r="746" spans="7:24" ht="14.25" customHeight="1" x14ac:dyDescent="0.25">
      <c r="G746" s="3"/>
      <c r="W746" s="4"/>
      <c r="X746" s="4"/>
    </row>
    <row r="747" spans="7:24" ht="14.25" customHeight="1" x14ac:dyDescent="0.25">
      <c r="G747" s="3"/>
      <c r="W747" s="4"/>
      <c r="X747" s="4"/>
    </row>
    <row r="748" spans="7:24" ht="14.25" customHeight="1" x14ac:dyDescent="0.25">
      <c r="G748" s="3"/>
      <c r="W748" s="4"/>
      <c r="X748" s="4"/>
    </row>
    <row r="749" spans="7:24" ht="14.25" customHeight="1" x14ac:dyDescent="0.25">
      <c r="G749" s="3"/>
      <c r="W749" s="4"/>
      <c r="X749" s="4"/>
    </row>
    <row r="750" spans="7:24" ht="14.25" customHeight="1" x14ac:dyDescent="0.25">
      <c r="G750" s="3"/>
      <c r="W750" s="4"/>
      <c r="X750" s="4"/>
    </row>
    <row r="751" spans="7:24" ht="14.25" customHeight="1" x14ac:dyDescent="0.25">
      <c r="G751" s="3"/>
      <c r="W751" s="4"/>
      <c r="X751" s="4"/>
    </row>
    <row r="752" spans="7:24" ht="14.25" customHeight="1" x14ac:dyDescent="0.25">
      <c r="G752" s="3"/>
      <c r="W752" s="4"/>
      <c r="X752" s="4"/>
    </row>
    <row r="753" spans="7:24" ht="14.25" customHeight="1" x14ac:dyDescent="0.25">
      <c r="G753" s="3"/>
      <c r="W753" s="4"/>
      <c r="X753" s="4"/>
    </row>
    <row r="754" spans="7:24" ht="14.25" customHeight="1" x14ac:dyDescent="0.25">
      <c r="G754" s="3"/>
      <c r="W754" s="4"/>
      <c r="X754" s="4"/>
    </row>
    <row r="755" spans="7:24" ht="14.25" customHeight="1" x14ac:dyDescent="0.25">
      <c r="G755" s="3"/>
      <c r="W755" s="4"/>
      <c r="X755" s="4"/>
    </row>
    <row r="756" spans="7:24" ht="14.25" customHeight="1" x14ac:dyDescent="0.25">
      <c r="G756" s="3"/>
      <c r="W756" s="4"/>
      <c r="X756" s="4"/>
    </row>
    <row r="757" spans="7:24" ht="14.25" customHeight="1" x14ac:dyDescent="0.25">
      <c r="G757" s="3"/>
      <c r="W757" s="4"/>
      <c r="X757" s="4"/>
    </row>
    <row r="758" spans="7:24" ht="14.25" customHeight="1" x14ac:dyDescent="0.25">
      <c r="G758" s="3"/>
      <c r="W758" s="4"/>
      <c r="X758" s="4"/>
    </row>
    <row r="759" spans="7:24" ht="14.25" customHeight="1" x14ac:dyDescent="0.25">
      <c r="G759" s="3"/>
      <c r="W759" s="4"/>
      <c r="X759" s="4"/>
    </row>
    <row r="760" spans="7:24" ht="14.25" customHeight="1" x14ac:dyDescent="0.25">
      <c r="G760" s="3"/>
      <c r="W760" s="4"/>
      <c r="X760" s="4"/>
    </row>
    <row r="761" spans="7:24" ht="14.25" customHeight="1" x14ac:dyDescent="0.25">
      <c r="G761" s="3"/>
      <c r="W761" s="4"/>
      <c r="X761" s="4"/>
    </row>
    <row r="762" spans="7:24" ht="14.25" customHeight="1" x14ac:dyDescent="0.25">
      <c r="G762" s="3"/>
      <c r="W762" s="4"/>
      <c r="X762" s="4"/>
    </row>
    <row r="763" spans="7:24" ht="14.25" customHeight="1" x14ac:dyDescent="0.25">
      <c r="G763" s="3"/>
      <c r="W763" s="4"/>
      <c r="X763" s="4"/>
    </row>
    <row r="764" spans="7:24" ht="14.25" customHeight="1" x14ac:dyDescent="0.25">
      <c r="G764" s="3"/>
      <c r="W764" s="4"/>
      <c r="X764" s="4"/>
    </row>
    <row r="765" spans="7:24" ht="14.25" customHeight="1" x14ac:dyDescent="0.25">
      <c r="G765" s="3"/>
      <c r="W765" s="4"/>
      <c r="X765" s="4"/>
    </row>
    <row r="766" spans="7:24" ht="14.25" customHeight="1" x14ac:dyDescent="0.25">
      <c r="G766" s="3"/>
      <c r="W766" s="4"/>
      <c r="X766" s="4"/>
    </row>
    <row r="767" spans="7:24" ht="14.25" customHeight="1" x14ac:dyDescent="0.25">
      <c r="G767" s="3"/>
      <c r="W767" s="4"/>
      <c r="X767" s="4"/>
    </row>
    <row r="768" spans="7:24" ht="14.25" customHeight="1" x14ac:dyDescent="0.25">
      <c r="G768" s="3"/>
      <c r="W768" s="4"/>
      <c r="X768" s="4"/>
    </row>
    <row r="769" spans="7:24" ht="14.25" customHeight="1" x14ac:dyDescent="0.25">
      <c r="G769" s="3"/>
      <c r="W769" s="4"/>
      <c r="X769" s="4"/>
    </row>
    <row r="770" spans="7:24" ht="14.25" customHeight="1" x14ac:dyDescent="0.25">
      <c r="G770" s="3"/>
      <c r="W770" s="4"/>
      <c r="X770" s="4"/>
    </row>
    <row r="771" spans="7:24" ht="14.25" customHeight="1" x14ac:dyDescent="0.25">
      <c r="G771" s="3"/>
      <c r="W771" s="4"/>
      <c r="X771" s="4"/>
    </row>
    <row r="772" spans="7:24" ht="14.25" customHeight="1" x14ac:dyDescent="0.25">
      <c r="G772" s="3"/>
      <c r="W772" s="4"/>
      <c r="X772" s="4"/>
    </row>
    <row r="773" spans="7:24" ht="14.25" customHeight="1" x14ac:dyDescent="0.25">
      <c r="G773" s="3"/>
      <c r="W773" s="4"/>
      <c r="X773" s="4"/>
    </row>
    <row r="774" spans="7:24" ht="14.25" customHeight="1" x14ac:dyDescent="0.25">
      <c r="G774" s="3"/>
      <c r="W774" s="4"/>
      <c r="X774" s="4"/>
    </row>
    <row r="775" spans="7:24" ht="14.25" customHeight="1" x14ac:dyDescent="0.25">
      <c r="G775" s="3"/>
      <c r="W775" s="4"/>
      <c r="X775" s="4"/>
    </row>
    <row r="776" spans="7:24" ht="14.25" customHeight="1" x14ac:dyDescent="0.25">
      <c r="G776" s="3"/>
      <c r="W776" s="4"/>
      <c r="X776" s="4"/>
    </row>
    <row r="777" spans="7:24" ht="14.25" customHeight="1" x14ac:dyDescent="0.25">
      <c r="G777" s="3"/>
      <c r="W777" s="4"/>
      <c r="X777" s="4"/>
    </row>
    <row r="778" spans="7:24" ht="14.25" customHeight="1" x14ac:dyDescent="0.25">
      <c r="G778" s="3"/>
      <c r="W778" s="4"/>
      <c r="X778" s="4"/>
    </row>
    <row r="779" spans="7:24" ht="14.25" customHeight="1" x14ac:dyDescent="0.25">
      <c r="G779" s="3"/>
      <c r="W779" s="4"/>
      <c r="X779" s="4"/>
    </row>
    <row r="780" spans="7:24" ht="14.25" customHeight="1" x14ac:dyDescent="0.25">
      <c r="G780" s="3"/>
      <c r="W780" s="4"/>
      <c r="X780" s="4"/>
    </row>
    <row r="781" spans="7:24" ht="14.25" customHeight="1" x14ac:dyDescent="0.25">
      <c r="G781" s="3"/>
      <c r="W781" s="4"/>
      <c r="X781" s="4"/>
    </row>
    <row r="782" spans="7:24" ht="14.25" customHeight="1" x14ac:dyDescent="0.25">
      <c r="G782" s="3"/>
      <c r="W782" s="4"/>
      <c r="X782" s="4"/>
    </row>
    <row r="783" spans="7:24" ht="14.25" customHeight="1" x14ac:dyDescent="0.25">
      <c r="G783" s="3"/>
      <c r="W783" s="4"/>
      <c r="X783" s="4"/>
    </row>
    <row r="784" spans="7:24" ht="14.25" customHeight="1" x14ac:dyDescent="0.25">
      <c r="G784" s="3"/>
      <c r="W784" s="4"/>
      <c r="X784" s="4"/>
    </row>
    <row r="785" spans="7:24" ht="14.25" customHeight="1" x14ac:dyDescent="0.25">
      <c r="G785" s="3"/>
      <c r="W785" s="4"/>
      <c r="X785" s="4"/>
    </row>
    <row r="786" spans="7:24" ht="14.25" customHeight="1" x14ac:dyDescent="0.25">
      <c r="G786" s="3"/>
      <c r="W786" s="4"/>
      <c r="X786" s="4"/>
    </row>
    <row r="787" spans="7:24" ht="14.25" customHeight="1" x14ac:dyDescent="0.25">
      <c r="G787" s="3"/>
      <c r="W787" s="4"/>
      <c r="X787" s="4"/>
    </row>
    <row r="788" spans="7:24" ht="14.25" customHeight="1" x14ac:dyDescent="0.25">
      <c r="G788" s="3"/>
      <c r="W788" s="4"/>
      <c r="X788" s="4"/>
    </row>
    <row r="789" spans="7:24" ht="14.25" customHeight="1" x14ac:dyDescent="0.25">
      <c r="G789" s="3"/>
      <c r="W789" s="4"/>
      <c r="X789" s="4"/>
    </row>
    <row r="790" spans="7:24" ht="14.25" customHeight="1" x14ac:dyDescent="0.25">
      <c r="G790" s="3"/>
      <c r="W790" s="4"/>
      <c r="X790" s="4"/>
    </row>
    <row r="791" spans="7:24" ht="14.25" customHeight="1" x14ac:dyDescent="0.25">
      <c r="G791" s="3"/>
      <c r="W791" s="4"/>
      <c r="X791" s="4"/>
    </row>
    <row r="792" spans="7:24" ht="14.25" customHeight="1" x14ac:dyDescent="0.25">
      <c r="G792" s="3"/>
      <c r="W792" s="4"/>
      <c r="X792" s="4"/>
    </row>
    <row r="793" spans="7:24" ht="14.25" customHeight="1" x14ac:dyDescent="0.25">
      <c r="G793" s="3"/>
      <c r="W793" s="4"/>
      <c r="X793" s="4"/>
    </row>
    <row r="794" spans="7:24" ht="14.25" customHeight="1" x14ac:dyDescent="0.25">
      <c r="G794" s="3"/>
      <c r="W794" s="4"/>
      <c r="X794" s="4"/>
    </row>
    <row r="795" spans="7:24" ht="14.25" customHeight="1" x14ac:dyDescent="0.25">
      <c r="G795" s="3"/>
      <c r="W795" s="4"/>
      <c r="X795" s="4"/>
    </row>
    <row r="796" spans="7:24" ht="14.25" customHeight="1" x14ac:dyDescent="0.25">
      <c r="G796" s="3"/>
      <c r="W796" s="4"/>
      <c r="X796" s="4"/>
    </row>
    <row r="797" spans="7:24" ht="14.25" customHeight="1" x14ac:dyDescent="0.25">
      <c r="G797" s="3"/>
      <c r="W797" s="4"/>
      <c r="X797" s="4"/>
    </row>
    <row r="798" spans="7:24" ht="14.25" customHeight="1" x14ac:dyDescent="0.25">
      <c r="G798" s="3"/>
      <c r="W798" s="4"/>
      <c r="X798" s="4"/>
    </row>
    <row r="799" spans="7:24" ht="14.25" customHeight="1" x14ac:dyDescent="0.25">
      <c r="G799" s="3"/>
      <c r="W799" s="4"/>
      <c r="X799" s="4"/>
    </row>
    <row r="800" spans="7:24" ht="14.25" customHeight="1" x14ac:dyDescent="0.25">
      <c r="G800" s="3"/>
      <c r="W800" s="4"/>
      <c r="X800" s="4"/>
    </row>
    <row r="801" spans="7:24" ht="14.25" customHeight="1" x14ac:dyDescent="0.25">
      <c r="G801" s="3"/>
      <c r="W801" s="4"/>
      <c r="X801" s="4"/>
    </row>
    <row r="802" spans="7:24" ht="14.25" customHeight="1" x14ac:dyDescent="0.25">
      <c r="G802" s="3"/>
      <c r="W802" s="4"/>
      <c r="X802" s="4"/>
    </row>
    <row r="803" spans="7:24" ht="14.25" customHeight="1" x14ac:dyDescent="0.25">
      <c r="G803" s="3"/>
      <c r="W803" s="4"/>
      <c r="X803" s="4"/>
    </row>
    <row r="804" spans="7:24" ht="14.25" customHeight="1" x14ac:dyDescent="0.25">
      <c r="G804" s="3"/>
      <c r="W804" s="4"/>
      <c r="X804" s="4"/>
    </row>
    <row r="805" spans="7:24" ht="14.25" customHeight="1" x14ac:dyDescent="0.25">
      <c r="G805" s="3"/>
      <c r="W805" s="4"/>
      <c r="X805" s="4"/>
    </row>
    <row r="806" spans="7:24" ht="14.25" customHeight="1" x14ac:dyDescent="0.25">
      <c r="G806" s="3"/>
      <c r="W806" s="4"/>
      <c r="X806" s="4"/>
    </row>
    <row r="807" spans="7:24" ht="14.25" customHeight="1" x14ac:dyDescent="0.25">
      <c r="G807" s="3"/>
      <c r="W807" s="4"/>
      <c r="X807" s="4"/>
    </row>
    <row r="808" spans="7:24" ht="14.25" customHeight="1" x14ac:dyDescent="0.25">
      <c r="G808" s="3"/>
      <c r="W808" s="4"/>
      <c r="X808" s="4"/>
    </row>
    <row r="809" spans="7:24" ht="14.25" customHeight="1" x14ac:dyDescent="0.25">
      <c r="G809" s="3"/>
      <c r="W809" s="4"/>
      <c r="X809" s="4"/>
    </row>
    <row r="810" spans="7:24" ht="14.25" customHeight="1" x14ac:dyDescent="0.25">
      <c r="G810" s="3"/>
      <c r="W810" s="4"/>
      <c r="X810" s="4"/>
    </row>
    <row r="811" spans="7:24" ht="14.25" customHeight="1" x14ac:dyDescent="0.25">
      <c r="G811" s="3"/>
      <c r="W811" s="4"/>
      <c r="X811" s="4"/>
    </row>
    <row r="812" spans="7:24" ht="14.25" customHeight="1" x14ac:dyDescent="0.25">
      <c r="G812" s="3"/>
      <c r="W812" s="4"/>
      <c r="X812" s="4"/>
    </row>
    <row r="813" spans="7:24" ht="14.25" customHeight="1" x14ac:dyDescent="0.25">
      <c r="G813" s="3"/>
      <c r="W813" s="4"/>
      <c r="X813" s="4"/>
    </row>
    <row r="814" spans="7:24" ht="14.25" customHeight="1" x14ac:dyDescent="0.25">
      <c r="G814" s="3"/>
      <c r="W814" s="4"/>
      <c r="X814" s="4"/>
    </row>
    <row r="815" spans="7:24" ht="14.25" customHeight="1" x14ac:dyDescent="0.25">
      <c r="G815" s="3"/>
      <c r="W815" s="4"/>
      <c r="X815" s="4"/>
    </row>
    <row r="816" spans="7:24" ht="14.25" customHeight="1" x14ac:dyDescent="0.25">
      <c r="G816" s="3"/>
      <c r="W816" s="4"/>
      <c r="X816" s="4"/>
    </row>
    <row r="817" spans="7:24" ht="14.25" customHeight="1" x14ac:dyDescent="0.25">
      <c r="G817" s="3"/>
      <c r="W817" s="4"/>
      <c r="X817" s="4"/>
    </row>
    <row r="818" spans="7:24" ht="14.25" customHeight="1" x14ac:dyDescent="0.25">
      <c r="G818" s="3"/>
      <c r="W818" s="4"/>
      <c r="X818" s="4"/>
    </row>
    <row r="819" spans="7:24" ht="14.25" customHeight="1" x14ac:dyDescent="0.25">
      <c r="G819" s="3"/>
      <c r="W819" s="4"/>
      <c r="X819" s="4"/>
    </row>
    <row r="820" spans="7:24" ht="14.25" customHeight="1" x14ac:dyDescent="0.25">
      <c r="G820" s="3"/>
      <c r="W820" s="4"/>
      <c r="X820" s="4"/>
    </row>
    <row r="821" spans="7:24" ht="14.25" customHeight="1" x14ac:dyDescent="0.25">
      <c r="G821" s="3"/>
      <c r="W821" s="4"/>
      <c r="X821" s="4"/>
    </row>
    <row r="822" spans="7:24" ht="14.25" customHeight="1" x14ac:dyDescent="0.25">
      <c r="G822" s="3"/>
      <c r="W822" s="4"/>
      <c r="X822" s="4"/>
    </row>
    <row r="823" spans="7:24" ht="14.25" customHeight="1" x14ac:dyDescent="0.25">
      <c r="G823" s="3"/>
      <c r="W823" s="4"/>
      <c r="X823" s="4"/>
    </row>
    <row r="824" spans="7:24" ht="14.25" customHeight="1" x14ac:dyDescent="0.25">
      <c r="G824" s="3"/>
      <c r="W824" s="4"/>
      <c r="X824" s="4"/>
    </row>
    <row r="825" spans="7:24" ht="14.25" customHeight="1" x14ac:dyDescent="0.25">
      <c r="G825" s="3"/>
      <c r="W825" s="4"/>
      <c r="X825" s="4"/>
    </row>
    <row r="826" spans="7:24" ht="14.25" customHeight="1" x14ac:dyDescent="0.25">
      <c r="G826" s="3"/>
      <c r="W826" s="4"/>
      <c r="X826" s="4"/>
    </row>
    <row r="827" spans="7:24" ht="14.25" customHeight="1" x14ac:dyDescent="0.25">
      <c r="G827" s="3"/>
      <c r="W827" s="4"/>
      <c r="X827" s="4"/>
    </row>
    <row r="828" spans="7:24" ht="14.25" customHeight="1" x14ac:dyDescent="0.25">
      <c r="G828" s="3"/>
      <c r="W828" s="4"/>
      <c r="X828" s="4"/>
    </row>
    <row r="829" spans="7:24" ht="14.25" customHeight="1" x14ac:dyDescent="0.25">
      <c r="G829" s="3"/>
      <c r="W829" s="4"/>
      <c r="X829" s="4"/>
    </row>
    <row r="830" spans="7:24" ht="14.25" customHeight="1" x14ac:dyDescent="0.25">
      <c r="G830" s="3"/>
      <c r="W830" s="4"/>
      <c r="X830" s="4"/>
    </row>
    <row r="831" spans="7:24" ht="14.25" customHeight="1" x14ac:dyDescent="0.25">
      <c r="G831" s="3"/>
      <c r="W831" s="4"/>
      <c r="X831" s="4"/>
    </row>
    <row r="832" spans="7:24" ht="14.25" customHeight="1" x14ac:dyDescent="0.25">
      <c r="G832" s="3"/>
      <c r="W832" s="4"/>
      <c r="X832" s="4"/>
    </row>
    <row r="833" spans="7:24" ht="14.25" customHeight="1" x14ac:dyDescent="0.25">
      <c r="G833" s="3"/>
      <c r="W833" s="4"/>
      <c r="X833" s="4"/>
    </row>
    <row r="834" spans="7:24" ht="14.25" customHeight="1" x14ac:dyDescent="0.25">
      <c r="G834" s="3"/>
      <c r="W834" s="4"/>
      <c r="X834" s="4"/>
    </row>
    <row r="835" spans="7:24" ht="14.25" customHeight="1" x14ac:dyDescent="0.25">
      <c r="G835" s="3"/>
      <c r="W835" s="4"/>
      <c r="X835" s="4"/>
    </row>
    <row r="836" spans="7:24" ht="14.25" customHeight="1" x14ac:dyDescent="0.25">
      <c r="G836" s="3"/>
      <c r="W836" s="4"/>
      <c r="X836" s="4"/>
    </row>
    <row r="837" spans="7:24" ht="14.25" customHeight="1" x14ac:dyDescent="0.25">
      <c r="G837" s="3"/>
      <c r="W837" s="4"/>
      <c r="X837" s="4"/>
    </row>
    <row r="838" spans="7:24" ht="14.25" customHeight="1" x14ac:dyDescent="0.25">
      <c r="G838" s="3"/>
      <c r="W838" s="4"/>
      <c r="X838" s="4"/>
    </row>
    <row r="839" spans="7:24" ht="14.25" customHeight="1" x14ac:dyDescent="0.25">
      <c r="G839" s="3"/>
      <c r="W839" s="4"/>
      <c r="X839" s="4"/>
    </row>
    <row r="840" spans="7:24" ht="14.25" customHeight="1" x14ac:dyDescent="0.25">
      <c r="G840" s="3"/>
      <c r="W840" s="4"/>
      <c r="X840" s="4"/>
    </row>
    <row r="841" spans="7:24" ht="14.25" customHeight="1" x14ac:dyDescent="0.25">
      <c r="G841" s="3"/>
      <c r="W841" s="4"/>
      <c r="X841" s="4"/>
    </row>
    <row r="842" spans="7:24" ht="14.25" customHeight="1" x14ac:dyDescent="0.25">
      <c r="G842" s="3"/>
      <c r="W842" s="4"/>
      <c r="X842" s="4"/>
    </row>
    <row r="843" spans="7:24" ht="14.25" customHeight="1" x14ac:dyDescent="0.25">
      <c r="G843" s="3"/>
      <c r="W843" s="4"/>
      <c r="X843" s="4"/>
    </row>
    <row r="844" spans="7:24" ht="14.25" customHeight="1" x14ac:dyDescent="0.25">
      <c r="G844" s="3"/>
      <c r="W844" s="4"/>
      <c r="X844" s="4"/>
    </row>
    <row r="845" spans="7:24" ht="14.25" customHeight="1" x14ac:dyDescent="0.25">
      <c r="G845" s="3"/>
      <c r="W845" s="4"/>
      <c r="X845" s="4"/>
    </row>
    <row r="846" spans="7:24" ht="14.25" customHeight="1" x14ac:dyDescent="0.25">
      <c r="G846" s="3"/>
      <c r="W846" s="4"/>
      <c r="X846" s="4"/>
    </row>
    <row r="847" spans="7:24" ht="14.25" customHeight="1" x14ac:dyDescent="0.25">
      <c r="G847" s="3"/>
      <c r="W847" s="4"/>
      <c r="X847" s="4"/>
    </row>
    <row r="848" spans="7:24" ht="14.25" customHeight="1" x14ac:dyDescent="0.25">
      <c r="G848" s="3"/>
      <c r="W848" s="4"/>
      <c r="X848" s="4"/>
    </row>
    <row r="849" spans="7:24" ht="14.25" customHeight="1" x14ac:dyDescent="0.25">
      <c r="G849" s="3"/>
      <c r="W849" s="4"/>
      <c r="X849" s="4"/>
    </row>
    <row r="850" spans="7:24" ht="14.25" customHeight="1" x14ac:dyDescent="0.25">
      <c r="G850" s="3"/>
      <c r="W850" s="4"/>
      <c r="X850" s="4"/>
    </row>
    <row r="851" spans="7:24" ht="14.25" customHeight="1" x14ac:dyDescent="0.25">
      <c r="G851" s="3"/>
      <c r="W851" s="4"/>
      <c r="X851" s="4"/>
    </row>
    <row r="852" spans="7:24" ht="14.25" customHeight="1" x14ac:dyDescent="0.25">
      <c r="G852" s="3"/>
      <c r="W852" s="4"/>
      <c r="X852" s="4"/>
    </row>
    <row r="853" spans="7:24" ht="14.25" customHeight="1" x14ac:dyDescent="0.25">
      <c r="G853" s="3"/>
      <c r="W853" s="4"/>
      <c r="X853" s="4"/>
    </row>
    <row r="854" spans="7:24" ht="14.25" customHeight="1" x14ac:dyDescent="0.25">
      <c r="G854" s="3"/>
      <c r="W854" s="4"/>
      <c r="X854" s="4"/>
    </row>
    <row r="855" spans="7:24" ht="14.25" customHeight="1" x14ac:dyDescent="0.25">
      <c r="G855" s="3"/>
      <c r="W855" s="4"/>
      <c r="X855" s="4"/>
    </row>
    <row r="856" spans="7:24" ht="14.25" customHeight="1" x14ac:dyDescent="0.25">
      <c r="G856" s="3"/>
      <c r="W856" s="4"/>
      <c r="X856" s="4"/>
    </row>
    <row r="857" spans="7:24" ht="14.25" customHeight="1" x14ac:dyDescent="0.25">
      <c r="G857" s="3"/>
      <c r="W857" s="4"/>
      <c r="X857" s="4"/>
    </row>
    <row r="858" spans="7:24" ht="14.25" customHeight="1" x14ac:dyDescent="0.25">
      <c r="G858" s="3"/>
      <c r="W858" s="4"/>
      <c r="X858" s="4"/>
    </row>
    <row r="859" spans="7:24" ht="14.25" customHeight="1" x14ac:dyDescent="0.25">
      <c r="G859" s="3"/>
      <c r="W859" s="4"/>
      <c r="X859" s="4"/>
    </row>
    <row r="860" spans="7:24" ht="14.25" customHeight="1" x14ac:dyDescent="0.25">
      <c r="G860" s="3"/>
      <c r="W860" s="4"/>
      <c r="X860" s="4"/>
    </row>
    <row r="861" spans="7:24" ht="14.25" customHeight="1" x14ac:dyDescent="0.25">
      <c r="G861" s="3"/>
      <c r="W861" s="4"/>
      <c r="X861" s="4"/>
    </row>
    <row r="862" spans="7:24" ht="14.25" customHeight="1" x14ac:dyDescent="0.25">
      <c r="G862" s="3"/>
      <c r="W862" s="4"/>
      <c r="X862" s="4"/>
    </row>
    <row r="863" spans="7:24" ht="14.25" customHeight="1" x14ac:dyDescent="0.25">
      <c r="G863" s="3"/>
      <c r="W863" s="4"/>
      <c r="X863" s="4"/>
    </row>
    <row r="864" spans="7:24" ht="14.25" customHeight="1" x14ac:dyDescent="0.25">
      <c r="G864" s="3"/>
      <c r="W864" s="4"/>
      <c r="X864" s="4"/>
    </row>
    <row r="865" spans="7:24" ht="14.25" customHeight="1" x14ac:dyDescent="0.25">
      <c r="G865" s="3"/>
      <c r="W865" s="4"/>
      <c r="X865" s="4"/>
    </row>
    <row r="866" spans="7:24" ht="14.25" customHeight="1" x14ac:dyDescent="0.25">
      <c r="G866" s="3"/>
      <c r="W866" s="4"/>
      <c r="X866" s="4"/>
    </row>
    <row r="867" spans="7:24" ht="14.25" customHeight="1" x14ac:dyDescent="0.25">
      <c r="G867" s="3"/>
      <c r="W867" s="4"/>
      <c r="X867" s="4"/>
    </row>
    <row r="868" spans="7:24" ht="14.25" customHeight="1" x14ac:dyDescent="0.25">
      <c r="G868" s="3"/>
      <c r="W868" s="4"/>
      <c r="X868" s="4"/>
    </row>
    <row r="869" spans="7:24" ht="14.25" customHeight="1" x14ac:dyDescent="0.25">
      <c r="G869" s="3"/>
      <c r="W869" s="4"/>
      <c r="X869" s="4"/>
    </row>
    <row r="870" spans="7:24" ht="14.25" customHeight="1" x14ac:dyDescent="0.25">
      <c r="G870" s="3"/>
      <c r="W870" s="4"/>
      <c r="X870" s="4"/>
    </row>
    <row r="871" spans="7:24" ht="14.25" customHeight="1" x14ac:dyDescent="0.25">
      <c r="G871" s="3"/>
      <c r="W871" s="4"/>
      <c r="X871" s="4"/>
    </row>
    <row r="872" spans="7:24" ht="14.25" customHeight="1" x14ac:dyDescent="0.25">
      <c r="G872" s="3"/>
      <c r="W872" s="4"/>
      <c r="X872" s="4"/>
    </row>
    <row r="873" spans="7:24" ht="14.25" customHeight="1" x14ac:dyDescent="0.25">
      <c r="G873" s="3"/>
      <c r="W873" s="4"/>
      <c r="X873" s="4"/>
    </row>
    <row r="874" spans="7:24" ht="14.25" customHeight="1" x14ac:dyDescent="0.25">
      <c r="G874" s="3"/>
      <c r="W874" s="4"/>
      <c r="X874" s="4"/>
    </row>
    <row r="875" spans="7:24" ht="14.25" customHeight="1" x14ac:dyDescent="0.25">
      <c r="G875" s="3"/>
      <c r="W875" s="4"/>
      <c r="X875" s="4"/>
    </row>
    <row r="876" spans="7:24" ht="14.25" customHeight="1" x14ac:dyDescent="0.25">
      <c r="G876" s="3"/>
      <c r="W876" s="4"/>
      <c r="X876" s="4"/>
    </row>
    <row r="877" spans="7:24" ht="14.25" customHeight="1" x14ac:dyDescent="0.25">
      <c r="G877" s="3"/>
      <c r="W877" s="4"/>
      <c r="X877" s="4"/>
    </row>
    <row r="878" spans="7:24" ht="14.25" customHeight="1" x14ac:dyDescent="0.25">
      <c r="G878" s="3"/>
      <c r="W878" s="4"/>
      <c r="X878" s="4"/>
    </row>
    <row r="879" spans="7:24" ht="14.25" customHeight="1" x14ac:dyDescent="0.25">
      <c r="G879" s="3"/>
      <c r="W879" s="4"/>
      <c r="X879" s="4"/>
    </row>
    <row r="880" spans="7:24" ht="14.25" customHeight="1" x14ac:dyDescent="0.25">
      <c r="G880" s="3"/>
      <c r="W880" s="4"/>
      <c r="X880" s="4"/>
    </row>
    <row r="881" spans="7:24" ht="14.25" customHeight="1" x14ac:dyDescent="0.25">
      <c r="G881" s="3"/>
      <c r="W881" s="4"/>
      <c r="X881" s="4"/>
    </row>
    <row r="882" spans="7:24" ht="14.25" customHeight="1" x14ac:dyDescent="0.25">
      <c r="G882" s="3"/>
      <c r="W882" s="4"/>
      <c r="X882" s="4"/>
    </row>
    <row r="883" spans="7:24" ht="14.25" customHeight="1" x14ac:dyDescent="0.25">
      <c r="G883" s="3"/>
      <c r="W883" s="4"/>
      <c r="X883" s="4"/>
    </row>
    <row r="884" spans="7:24" ht="14.25" customHeight="1" x14ac:dyDescent="0.25">
      <c r="G884" s="3"/>
      <c r="W884" s="4"/>
      <c r="X884" s="4"/>
    </row>
    <row r="885" spans="7:24" ht="14.25" customHeight="1" x14ac:dyDescent="0.25">
      <c r="G885" s="3"/>
      <c r="W885" s="4"/>
      <c r="X885" s="4"/>
    </row>
    <row r="886" spans="7:24" ht="14.25" customHeight="1" x14ac:dyDescent="0.25">
      <c r="G886" s="3"/>
      <c r="W886" s="4"/>
      <c r="X886" s="4"/>
    </row>
    <row r="887" spans="7:24" ht="14.25" customHeight="1" x14ac:dyDescent="0.25">
      <c r="G887" s="3"/>
      <c r="W887" s="4"/>
      <c r="X887" s="4"/>
    </row>
    <row r="888" spans="7:24" ht="14.25" customHeight="1" x14ac:dyDescent="0.25">
      <c r="G888" s="3"/>
      <c r="W888" s="4"/>
      <c r="X888" s="4"/>
    </row>
    <row r="889" spans="7:24" ht="14.25" customHeight="1" x14ac:dyDescent="0.25">
      <c r="G889" s="3"/>
      <c r="W889" s="4"/>
      <c r="X889" s="4"/>
    </row>
    <row r="890" spans="7:24" ht="14.25" customHeight="1" x14ac:dyDescent="0.25">
      <c r="G890" s="3"/>
      <c r="W890" s="4"/>
      <c r="X890" s="4"/>
    </row>
    <row r="891" spans="7:24" ht="14.25" customHeight="1" x14ac:dyDescent="0.25">
      <c r="G891" s="3"/>
      <c r="W891" s="4"/>
      <c r="X891" s="4"/>
    </row>
    <row r="892" spans="7:24" ht="14.25" customHeight="1" x14ac:dyDescent="0.25">
      <c r="G892" s="3"/>
      <c r="W892" s="4"/>
      <c r="X892" s="4"/>
    </row>
    <row r="893" spans="7:24" ht="14.25" customHeight="1" x14ac:dyDescent="0.25">
      <c r="G893" s="3"/>
      <c r="W893" s="4"/>
      <c r="X893" s="4"/>
    </row>
    <row r="894" spans="7:24" ht="14.25" customHeight="1" x14ac:dyDescent="0.25">
      <c r="G894" s="3"/>
      <c r="W894" s="4"/>
      <c r="X894" s="4"/>
    </row>
    <row r="895" spans="7:24" ht="14.25" customHeight="1" x14ac:dyDescent="0.25">
      <c r="G895" s="3"/>
      <c r="W895" s="4"/>
      <c r="X895" s="4"/>
    </row>
    <row r="896" spans="7:24" ht="14.25" customHeight="1" x14ac:dyDescent="0.25">
      <c r="G896" s="3"/>
      <c r="W896" s="4"/>
      <c r="X896" s="4"/>
    </row>
    <row r="897" spans="7:24" ht="14.25" customHeight="1" x14ac:dyDescent="0.25">
      <c r="G897" s="3"/>
      <c r="W897" s="4"/>
      <c r="X897" s="4"/>
    </row>
    <row r="898" spans="7:24" ht="14.25" customHeight="1" x14ac:dyDescent="0.25">
      <c r="G898" s="3"/>
      <c r="W898" s="4"/>
      <c r="X898" s="4"/>
    </row>
    <row r="899" spans="7:24" ht="14.25" customHeight="1" x14ac:dyDescent="0.25">
      <c r="G899" s="3"/>
      <c r="W899" s="4"/>
      <c r="X899" s="4"/>
    </row>
    <row r="900" spans="7:24" ht="14.25" customHeight="1" x14ac:dyDescent="0.25">
      <c r="G900" s="3"/>
      <c r="W900" s="4"/>
      <c r="X900" s="4"/>
    </row>
    <row r="901" spans="7:24" ht="14.25" customHeight="1" x14ac:dyDescent="0.25">
      <c r="G901" s="3"/>
      <c r="W901" s="4"/>
      <c r="X901" s="4"/>
    </row>
    <row r="902" spans="7:24" ht="14.25" customHeight="1" x14ac:dyDescent="0.25">
      <c r="G902" s="3"/>
      <c r="W902" s="4"/>
      <c r="X902" s="4"/>
    </row>
    <row r="903" spans="7:24" ht="14.25" customHeight="1" x14ac:dyDescent="0.25">
      <c r="G903" s="3"/>
      <c r="W903" s="4"/>
      <c r="X903" s="4"/>
    </row>
    <row r="904" spans="7:24" ht="14.25" customHeight="1" x14ac:dyDescent="0.25">
      <c r="G904" s="3"/>
      <c r="W904" s="4"/>
      <c r="X904" s="4"/>
    </row>
    <row r="905" spans="7:24" ht="14.25" customHeight="1" x14ac:dyDescent="0.25">
      <c r="G905" s="3"/>
      <c r="W905" s="4"/>
      <c r="X905" s="4"/>
    </row>
    <row r="906" spans="7:24" ht="14.25" customHeight="1" x14ac:dyDescent="0.25">
      <c r="G906" s="3"/>
      <c r="W906" s="4"/>
      <c r="X906" s="4"/>
    </row>
    <row r="907" spans="7:24" ht="14.25" customHeight="1" x14ac:dyDescent="0.25">
      <c r="G907" s="3"/>
      <c r="W907" s="4"/>
      <c r="X907" s="4"/>
    </row>
    <row r="908" spans="7:24" ht="14.25" customHeight="1" x14ac:dyDescent="0.25">
      <c r="G908" s="3"/>
      <c r="W908" s="4"/>
      <c r="X908" s="4"/>
    </row>
    <row r="909" spans="7:24" ht="14.25" customHeight="1" x14ac:dyDescent="0.25">
      <c r="G909" s="3"/>
      <c r="W909" s="4"/>
      <c r="X909" s="4"/>
    </row>
    <row r="910" spans="7:24" ht="14.25" customHeight="1" x14ac:dyDescent="0.25">
      <c r="G910" s="3"/>
      <c r="W910" s="4"/>
      <c r="X910" s="4"/>
    </row>
    <row r="911" spans="7:24" ht="14.25" customHeight="1" x14ac:dyDescent="0.25">
      <c r="G911" s="3"/>
      <c r="W911" s="4"/>
      <c r="X911" s="4"/>
    </row>
    <row r="912" spans="7:24" ht="14.25" customHeight="1" x14ac:dyDescent="0.25">
      <c r="G912" s="3"/>
      <c r="W912" s="4"/>
      <c r="X912" s="4"/>
    </row>
    <row r="913" spans="7:24" ht="14.25" customHeight="1" x14ac:dyDescent="0.25">
      <c r="G913" s="3"/>
      <c r="W913" s="4"/>
      <c r="X913" s="4"/>
    </row>
    <row r="914" spans="7:24" ht="14.25" customHeight="1" x14ac:dyDescent="0.25">
      <c r="G914" s="3"/>
      <c r="W914" s="4"/>
      <c r="X914" s="4"/>
    </row>
    <row r="915" spans="7:24" ht="14.25" customHeight="1" x14ac:dyDescent="0.25">
      <c r="G915" s="3"/>
      <c r="W915" s="4"/>
      <c r="X915" s="4"/>
    </row>
    <row r="916" spans="7:24" ht="14.25" customHeight="1" x14ac:dyDescent="0.25">
      <c r="G916" s="3"/>
      <c r="W916" s="4"/>
      <c r="X916" s="4"/>
    </row>
    <row r="917" spans="7:24" ht="14.25" customHeight="1" x14ac:dyDescent="0.25">
      <c r="G917" s="3"/>
      <c r="W917" s="4"/>
      <c r="X917" s="4"/>
    </row>
    <row r="918" spans="7:24" ht="14.25" customHeight="1" x14ac:dyDescent="0.25">
      <c r="G918" s="3"/>
      <c r="W918" s="4"/>
      <c r="X918" s="4"/>
    </row>
    <row r="919" spans="7:24" ht="14.25" customHeight="1" x14ac:dyDescent="0.25">
      <c r="G919" s="3"/>
      <c r="W919" s="4"/>
      <c r="X919" s="4"/>
    </row>
    <row r="920" spans="7:24" ht="14.25" customHeight="1" x14ac:dyDescent="0.25">
      <c r="G920" s="3"/>
      <c r="W920" s="4"/>
      <c r="X920" s="4"/>
    </row>
    <row r="921" spans="7:24" ht="14.25" customHeight="1" x14ac:dyDescent="0.25">
      <c r="G921" s="3"/>
      <c r="W921" s="4"/>
      <c r="X921" s="4"/>
    </row>
    <row r="922" spans="7:24" ht="14.25" customHeight="1" x14ac:dyDescent="0.25">
      <c r="G922" s="3"/>
      <c r="W922" s="4"/>
      <c r="X922" s="4"/>
    </row>
    <row r="923" spans="7:24" ht="14.25" customHeight="1" x14ac:dyDescent="0.25">
      <c r="G923" s="3"/>
      <c r="W923" s="4"/>
      <c r="X923" s="4"/>
    </row>
    <row r="924" spans="7:24" ht="14.25" customHeight="1" x14ac:dyDescent="0.25">
      <c r="G924" s="3"/>
      <c r="W924" s="4"/>
      <c r="X924" s="4"/>
    </row>
    <row r="925" spans="7:24" ht="14.25" customHeight="1" x14ac:dyDescent="0.25">
      <c r="G925" s="3"/>
      <c r="W925" s="4"/>
      <c r="X925" s="4"/>
    </row>
    <row r="926" spans="7:24" ht="14.25" customHeight="1" x14ac:dyDescent="0.25">
      <c r="G926" s="3"/>
      <c r="W926" s="4"/>
      <c r="X926" s="4"/>
    </row>
    <row r="927" spans="7:24" ht="14.25" customHeight="1" x14ac:dyDescent="0.25">
      <c r="G927" s="3"/>
      <c r="W927" s="4"/>
      <c r="X927" s="4"/>
    </row>
    <row r="928" spans="7:24" ht="14.25" customHeight="1" x14ac:dyDescent="0.25">
      <c r="G928" s="3"/>
      <c r="W928" s="4"/>
      <c r="X928" s="4"/>
    </row>
    <row r="929" spans="7:24" ht="14.25" customHeight="1" x14ac:dyDescent="0.25">
      <c r="G929" s="3"/>
      <c r="W929" s="4"/>
      <c r="X929" s="4"/>
    </row>
    <row r="930" spans="7:24" ht="14.25" customHeight="1" x14ac:dyDescent="0.25">
      <c r="G930" s="3"/>
      <c r="W930" s="4"/>
      <c r="X930" s="4"/>
    </row>
    <row r="931" spans="7:24" ht="14.25" customHeight="1" x14ac:dyDescent="0.25">
      <c r="G931" s="3"/>
      <c r="W931" s="4"/>
      <c r="X931" s="4"/>
    </row>
    <row r="932" spans="7:24" ht="14.25" customHeight="1" x14ac:dyDescent="0.25">
      <c r="G932" s="3"/>
      <c r="W932" s="4"/>
      <c r="X932" s="4"/>
    </row>
    <row r="933" spans="7:24" ht="14.25" customHeight="1" x14ac:dyDescent="0.25">
      <c r="G933" s="3"/>
      <c r="W933" s="4"/>
      <c r="X933" s="4"/>
    </row>
    <row r="934" spans="7:24" ht="14.25" customHeight="1" x14ac:dyDescent="0.25">
      <c r="G934" s="3"/>
      <c r="W934" s="4"/>
      <c r="X934" s="4"/>
    </row>
    <row r="935" spans="7:24" ht="14.25" customHeight="1" x14ac:dyDescent="0.25">
      <c r="G935" s="3"/>
      <c r="W935" s="4"/>
      <c r="X935" s="4"/>
    </row>
    <row r="936" spans="7:24" ht="14.25" customHeight="1" x14ac:dyDescent="0.25">
      <c r="G936" s="3"/>
      <c r="W936" s="4"/>
      <c r="X936" s="4"/>
    </row>
    <row r="937" spans="7:24" ht="14.25" customHeight="1" x14ac:dyDescent="0.25">
      <c r="G937" s="3"/>
      <c r="W937" s="4"/>
      <c r="X937" s="4"/>
    </row>
    <row r="938" spans="7:24" ht="14.25" customHeight="1" x14ac:dyDescent="0.25">
      <c r="G938" s="3"/>
      <c r="W938" s="4"/>
      <c r="X938" s="4"/>
    </row>
    <row r="939" spans="7:24" ht="14.25" customHeight="1" x14ac:dyDescent="0.25">
      <c r="G939" s="3"/>
      <c r="W939" s="4"/>
      <c r="X939" s="4"/>
    </row>
    <row r="940" spans="7:24" ht="14.25" customHeight="1" x14ac:dyDescent="0.25">
      <c r="G940" s="3"/>
      <c r="W940" s="4"/>
      <c r="X940" s="4"/>
    </row>
    <row r="941" spans="7:24" ht="14.25" customHeight="1" x14ac:dyDescent="0.25">
      <c r="G941" s="3"/>
      <c r="W941" s="4"/>
      <c r="X941" s="4"/>
    </row>
    <row r="942" spans="7:24" ht="14.25" customHeight="1" x14ac:dyDescent="0.25">
      <c r="G942" s="3"/>
      <c r="W942" s="4"/>
      <c r="X942" s="4"/>
    </row>
    <row r="943" spans="7:24" ht="14.25" customHeight="1" x14ac:dyDescent="0.25">
      <c r="G943" s="3"/>
      <c r="W943" s="4"/>
      <c r="X943" s="4"/>
    </row>
    <row r="944" spans="7:24" ht="14.25" customHeight="1" x14ac:dyDescent="0.25">
      <c r="G944" s="3"/>
      <c r="W944" s="4"/>
      <c r="X944" s="4"/>
    </row>
    <row r="945" spans="7:24" ht="14.25" customHeight="1" x14ac:dyDescent="0.25">
      <c r="G945" s="3"/>
      <c r="W945" s="4"/>
      <c r="X945" s="4"/>
    </row>
    <row r="946" spans="7:24" ht="14.25" customHeight="1" x14ac:dyDescent="0.25">
      <c r="G946" s="3"/>
      <c r="W946" s="4"/>
      <c r="X946" s="4"/>
    </row>
    <row r="947" spans="7:24" ht="14.25" customHeight="1" x14ac:dyDescent="0.25">
      <c r="G947" s="3"/>
      <c r="W947" s="4"/>
      <c r="X947" s="4"/>
    </row>
    <row r="948" spans="7:24" ht="14.25" customHeight="1" x14ac:dyDescent="0.25">
      <c r="G948" s="3"/>
      <c r="W948" s="4"/>
      <c r="X948" s="4"/>
    </row>
    <row r="949" spans="7:24" ht="14.25" customHeight="1" x14ac:dyDescent="0.25">
      <c r="G949" s="3"/>
      <c r="W949" s="4"/>
      <c r="X949" s="4"/>
    </row>
    <row r="950" spans="7:24" ht="14.25" customHeight="1" x14ac:dyDescent="0.25">
      <c r="G950" s="3"/>
      <c r="W950" s="4"/>
      <c r="X950" s="4"/>
    </row>
    <row r="951" spans="7:24" ht="14.25" customHeight="1" x14ac:dyDescent="0.25">
      <c r="G951" s="3"/>
      <c r="W951" s="4"/>
      <c r="X951" s="4"/>
    </row>
    <row r="952" spans="7:24" ht="14.25" customHeight="1" x14ac:dyDescent="0.25">
      <c r="G952" s="3"/>
      <c r="W952" s="4"/>
      <c r="X952" s="4"/>
    </row>
    <row r="953" spans="7:24" ht="14.25" customHeight="1" x14ac:dyDescent="0.25">
      <c r="G953" s="3"/>
      <c r="W953" s="4"/>
      <c r="X953" s="4"/>
    </row>
    <row r="954" spans="7:24" ht="14.25" customHeight="1" x14ac:dyDescent="0.25">
      <c r="G954" s="3"/>
      <c r="W954" s="4"/>
      <c r="X954" s="4"/>
    </row>
    <row r="955" spans="7:24" ht="14.25" customHeight="1" x14ac:dyDescent="0.25">
      <c r="G955" s="3"/>
      <c r="W955" s="4"/>
      <c r="X955" s="4"/>
    </row>
    <row r="956" spans="7:24" ht="14.25" customHeight="1" x14ac:dyDescent="0.25">
      <c r="G956" s="3"/>
      <c r="W956" s="4"/>
      <c r="X956" s="4"/>
    </row>
    <row r="957" spans="7:24" ht="14.25" customHeight="1" x14ac:dyDescent="0.25">
      <c r="G957" s="3"/>
      <c r="W957" s="4"/>
      <c r="X957" s="4"/>
    </row>
    <row r="958" spans="7:24" ht="14.25" customHeight="1" x14ac:dyDescent="0.25">
      <c r="G958" s="3"/>
      <c r="W958" s="4"/>
      <c r="X958" s="4"/>
    </row>
    <row r="959" spans="7:24" ht="14.25" customHeight="1" x14ac:dyDescent="0.25">
      <c r="G959" s="3"/>
      <c r="W959" s="4"/>
      <c r="X959" s="4"/>
    </row>
    <row r="960" spans="7:24" ht="14.25" customHeight="1" x14ac:dyDescent="0.25">
      <c r="G960" s="3"/>
      <c r="W960" s="4"/>
      <c r="X960" s="4"/>
    </row>
    <row r="961" spans="7:24" ht="14.25" customHeight="1" x14ac:dyDescent="0.25">
      <c r="G961" s="3"/>
      <c r="W961" s="4"/>
      <c r="X961" s="4"/>
    </row>
    <row r="962" spans="7:24" ht="14.25" customHeight="1" x14ac:dyDescent="0.25">
      <c r="G962" s="3"/>
      <c r="W962" s="4"/>
      <c r="X962" s="4"/>
    </row>
    <row r="963" spans="7:24" ht="14.25" customHeight="1" x14ac:dyDescent="0.25">
      <c r="G963" s="3"/>
      <c r="W963" s="4"/>
      <c r="X963" s="4"/>
    </row>
    <row r="964" spans="7:24" ht="14.25" customHeight="1" x14ac:dyDescent="0.25">
      <c r="G964" s="3"/>
      <c r="W964" s="4"/>
      <c r="X964" s="4"/>
    </row>
    <row r="965" spans="7:24" ht="14.25" customHeight="1" x14ac:dyDescent="0.25">
      <c r="G965" s="3"/>
      <c r="W965" s="4"/>
      <c r="X965" s="4"/>
    </row>
    <row r="966" spans="7:24" ht="14.25" customHeight="1" x14ac:dyDescent="0.25">
      <c r="G966" s="3"/>
      <c r="W966" s="4"/>
      <c r="X966" s="4"/>
    </row>
    <row r="967" spans="7:24" ht="14.25" customHeight="1" x14ac:dyDescent="0.25">
      <c r="G967" s="3"/>
      <c r="W967" s="4"/>
      <c r="X967" s="4"/>
    </row>
    <row r="968" spans="7:24" ht="14.25" customHeight="1" x14ac:dyDescent="0.25">
      <c r="G968" s="3"/>
      <c r="W968" s="4"/>
      <c r="X968" s="4"/>
    </row>
    <row r="969" spans="7:24" ht="14.25" customHeight="1" x14ac:dyDescent="0.25">
      <c r="G969" s="3"/>
      <c r="W969" s="4"/>
      <c r="X969" s="4"/>
    </row>
    <row r="970" spans="7:24" ht="14.25" customHeight="1" x14ac:dyDescent="0.25">
      <c r="G970" s="3"/>
      <c r="W970" s="4"/>
      <c r="X970" s="4"/>
    </row>
    <row r="971" spans="7:24" ht="14.25" customHeight="1" x14ac:dyDescent="0.25">
      <c r="G971" s="3"/>
      <c r="W971" s="4"/>
      <c r="X971" s="4"/>
    </row>
    <row r="972" spans="7:24" ht="14.25" customHeight="1" x14ac:dyDescent="0.25">
      <c r="G972" s="3"/>
      <c r="W972" s="4"/>
      <c r="X972" s="4"/>
    </row>
    <row r="973" spans="7:24" ht="14.25" customHeight="1" x14ac:dyDescent="0.25">
      <c r="G973" s="3"/>
      <c r="W973" s="4"/>
      <c r="X973" s="4"/>
    </row>
    <row r="974" spans="7:24" ht="14.25" customHeight="1" x14ac:dyDescent="0.25">
      <c r="G974" s="3"/>
      <c r="W974" s="4"/>
      <c r="X974" s="4"/>
    </row>
    <row r="975" spans="7:24" ht="14.25" customHeight="1" x14ac:dyDescent="0.25">
      <c r="G975" s="3"/>
      <c r="W975" s="4"/>
      <c r="X975" s="4"/>
    </row>
    <row r="976" spans="7:24" ht="14.25" customHeight="1" x14ac:dyDescent="0.25">
      <c r="G976" s="3"/>
      <c r="W976" s="4"/>
      <c r="X976" s="4"/>
    </row>
    <row r="977" spans="7:24" ht="14.25" customHeight="1" x14ac:dyDescent="0.25">
      <c r="G977" s="3"/>
      <c r="W977" s="4"/>
      <c r="X977" s="4"/>
    </row>
    <row r="978" spans="7:24" ht="14.25" customHeight="1" x14ac:dyDescent="0.25">
      <c r="G978" s="3"/>
      <c r="W978" s="4"/>
      <c r="X978" s="4"/>
    </row>
    <row r="979" spans="7:24" ht="14.25" customHeight="1" x14ac:dyDescent="0.25">
      <c r="G979" s="3"/>
      <c r="W979" s="4"/>
      <c r="X979" s="4"/>
    </row>
    <row r="980" spans="7:24" ht="14.25" customHeight="1" x14ac:dyDescent="0.25">
      <c r="G980" s="3"/>
      <c r="W980" s="4"/>
      <c r="X980" s="4"/>
    </row>
    <row r="981" spans="7:24" ht="14.25" customHeight="1" x14ac:dyDescent="0.25">
      <c r="G981" s="3"/>
      <c r="W981" s="4"/>
      <c r="X981" s="4"/>
    </row>
    <row r="982" spans="7:24" ht="14.25" customHeight="1" x14ac:dyDescent="0.25">
      <c r="G982" s="3"/>
      <c r="W982" s="4"/>
      <c r="X982" s="4"/>
    </row>
    <row r="983" spans="7:24" ht="14.25" customHeight="1" x14ac:dyDescent="0.25">
      <c r="G983" s="3"/>
      <c r="W983" s="4"/>
      <c r="X983" s="4"/>
    </row>
    <row r="984" spans="7:24" ht="14.25" customHeight="1" x14ac:dyDescent="0.25">
      <c r="G984" s="3"/>
      <c r="W984" s="4"/>
      <c r="X984" s="4"/>
    </row>
    <row r="985" spans="7:24" ht="14.25" customHeight="1" x14ac:dyDescent="0.25">
      <c r="G985" s="3"/>
      <c r="W985" s="4"/>
      <c r="X985" s="4"/>
    </row>
    <row r="986" spans="7:24" ht="14.25" customHeight="1" x14ac:dyDescent="0.25">
      <c r="G986" s="3"/>
      <c r="W986" s="4"/>
      <c r="X986" s="4"/>
    </row>
    <row r="987" spans="7:24" ht="14.25" customHeight="1" x14ac:dyDescent="0.25">
      <c r="G987" s="3"/>
      <c r="W987" s="4"/>
      <c r="X987" s="4"/>
    </row>
    <row r="988" spans="7:24" ht="14.25" customHeight="1" x14ac:dyDescent="0.25">
      <c r="G988" s="3"/>
      <c r="W988" s="4"/>
      <c r="X988" s="4"/>
    </row>
    <row r="989" spans="7:24" ht="14.25" customHeight="1" x14ac:dyDescent="0.25">
      <c r="G989" s="3"/>
      <c r="W989" s="4"/>
      <c r="X989" s="4"/>
    </row>
    <row r="990" spans="7:24" ht="14.25" customHeight="1" x14ac:dyDescent="0.25">
      <c r="G990" s="3"/>
      <c r="W990" s="4"/>
      <c r="X990" s="4"/>
    </row>
    <row r="991" spans="7:24" ht="14.25" customHeight="1" x14ac:dyDescent="0.25">
      <c r="G991" s="3"/>
      <c r="W991" s="4"/>
      <c r="X991" s="4"/>
    </row>
    <row r="992" spans="7:24" ht="14.25" customHeight="1" x14ac:dyDescent="0.25">
      <c r="G992" s="3"/>
      <c r="W992" s="4"/>
      <c r="X992" s="4"/>
    </row>
  </sheetData>
  <sortState xmlns:xlrd2="http://schemas.microsoft.com/office/spreadsheetml/2017/richdata2" ref="A15:AE53">
    <sortCondition descending="1" ref="F15:F53"/>
  </sortState>
  <mergeCells count="11">
    <mergeCell ref="U6:V6"/>
    <mergeCell ref="U7:V7"/>
    <mergeCell ref="A13:B13"/>
    <mergeCell ref="S14:T14"/>
    <mergeCell ref="D1:P1"/>
    <mergeCell ref="D2:P2"/>
    <mergeCell ref="D3:P3"/>
    <mergeCell ref="D4:P4"/>
    <mergeCell ref="D5:P5"/>
    <mergeCell ref="D6:P6"/>
    <mergeCell ref="D7:P7"/>
  </mergeCells>
  <conditionalFormatting sqref="W62:X77 W82:X84 X15:X41 X85:X87">
    <cfRule type="cellIs" dxfId="31" priority="20" operator="notEqual">
      <formula>0</formula>
    </cfRule>
  </conditionalFormatting>
  <conditionalFormatting sqref="X52:X53">
    <cfRule type="cellIs" dxfId="30" priority="21" operator="notEqual">
      <formula>0</formula>
    </cfRule>
  </conditionalFormatting>
  <conditionalFormatting sqref="X43">
    <cfRule type="cellIs" dxfId="29" priority="22" operator="notEqual">
      <formula>0</formula>
    </cfRule>
  </conditionalFormatting>
  <conditionalFormatting sqref="X44:X45 W78:X81 X47:X51">
    <cfRule type="cellIs" dxfId="28" priority="23" operator="notEqual">
      <formula>0</formula>
    </cfRule>
  </conditionalFormatting>
  <conditionalFormatting sqref="W78:X78">
    <cfRule type="cellIs" dxfId="27" priority="24" operator="notEqual">
      <formula>0</formula>
    </cfRule>
  </conditionalFormatting>
  <conditionalFormatting sqref="W70:X74">
    <cfRule type="cellIs" dxfId="26" priority="25" operator="notEqual">
      <formula>0</formula>
    </cfRule>
  </conditionalFormatting>
  <conditionalFormatting sqref="X45">
    <cfRule type="cellIs" dxfId="25" priority="26" operator="notEqual">
      <formula>0</formula>
    </cfRule>
  </conditionalFormatting>
  <conditionalFormatting sqref="W71:X71">
    <cfRule type="cellIs" dxfId="24" priority="27" operator="notEqual">
      <formula>0</formula>
    </cfRule>
  </conditionalFormatting>
  <conditionalFormatting sqref="W72:X74">
    <cfRule type="cellIs" dxfId="23" priority="28" operator="notEqual">
      <formula>0</formula>
    </cfRule>
  </conditionalFormatting>
  <conditionalFormatting sqref="X47:X49">
    <cfRule type="cellIs" dxfId="22" priority="29" operator="notEqual">
      <formula>0</formula>
    </cfRule>
  </conditionalFormatting>
  <conditionalFormatting sqref="X50">
    <cfRule type="cellIs" dxfId="21" priority="30" operator="notEqual">
      <formula>0</formula>
    </cfRule>
  </conditionalFormatting>
  <conditionalFormatting sqref="W68:X74">
    <cfRule type="cellIs" dxfId="20" priority="31" operator="notEqual">
      <formula>0</formula>
    </cfRule>
  </conditionalFormatting>
  <conditionalFormatting sqref="X42">
    <cfRule type="cellIs" dxfId="19" priority="32" operator="notEqual">
      <formula>0</formula>
    </cfRule>
  </conditionalFormatting>
  <conditionalFormatting sqref="X51 W79:X79 W81:X81">
    <cfRule type="cellIs" dxfId="18" priority="33" operator="notEqual">
      <formula>0</formula>
    </cfRule>
  </conditionalFormatting>
  <conditionalFormatting sqref="W61:X61">
    <cfRule type="cellIs" dxfId="17" priority="34" operator="notEqual">
      <formula>0</formula>
    </cfRule>
  </conditionalFormatting>
  <conditionalFormatting sqref="X51 X53 W80:X81 W56:X60 X55">
    <cfRule type="cellIs" dxfId="16" priority="35" operator="notEqual">
      <formula>0</formula>
    </cfRule>
  </conditionalFormatting>
  <conditionalFormatting sqref="X54">
    <cfRule type="cellIs" dxfId="15" priority="18" operator="notEqual">
      <formula>0</formula>
    </cfRule>
  </conditionalFormatting>
  <conditionalFormatting sqref="T15:T45 T47:T87">
    <cfRule type="expression" dxfId="14" priority="14">
      <formula>$S15=1</formula>
    </cfRule>
    <cfRule type="expression" dxfId="13" priority="15">
      <formula>$S15=2</formula>
    </cfRule>
    <cfRule type="expression" dxfId="12" priority="16">
      <formula>$S15=3</formula>
    </cfRule>
    <cfRule type="expression" dxfId="11" priority="17">
      <formula>$S15=""</formula>
    </cfRule>
  </conditionalFormatting>
  <conditionalFormatting sqref="W15:W45 W85:W87 W47:W55">
    <cfRule type="cellIs" dxfId="10" priority="12" operator="equal">
      <formula>0</formula>
    </cfRule>
  </conditionalFormatting>
  <conditionalFormatting sqref="W15:W45 W85:W87 W47:W55">
    <cfRule type="cellIs" dxfId="9" priority="13" operator="notEqual">
      <formula>0</formula>
    </cfRule>
  </conditionalFormatting>
  <conditionalFormatting sqref="X46">
    <cfRule type="cellIs" dxfId="8" priority="8" operator="notEqual">
      <formula>0</formula>
    </cfRule>
  </conditionalFormatting>
  <conditionalFormatting sqref="X46">
    <cfRule type="cellIs" dxfId="7" priority="9" operator="notEqual">
      <formula>0</formula>
    </cfRule>
  </conditionalFormatting>
  <conditionalFormatting sqref="T46">
    <cfRule type="expression" dxfId="6" priority="4">
      <formula>$S46=1</formula>
    </cfRule>
    <cfRule type="expression" dxfId="5" priority="5">
      <formula>$S46=2</formula>
    </cfRule>
    <cfRule type="expression" dxfId="4" priority="6">
      <formula>$S46=3</formula>
    </cfRule>
    <cfRule type="expression" dxfId="3" priority="7">
      <formula>$S46=""</formula>
    </cfRule>
  </conditionalFormatting>
  <conditionalFormatting sqref="W46">
    <cfRule type="cellIs" dxfId="2" priority="2" operator="equal">
      <formula>0</formula>
    </cfRule>
  </conditionalFormatting>
  <conditionalFormatting sqref="W46">
    <cfRule type="cellIs" dxfId="1" priority="3" operator="notEqual">
      <formula>0</formula>
    </cfRule>
  </conditionalFormatting>
  <conditionalFormatting sqref="H15:H55">
    <cfRule type="cellIs" dxfId="0" priority="1" operator="equal">
      <formula>0</formula>
    </cfRule>
  </conditionalFormatting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C1:C1000"/>
  <sheetViews>
    <sheetView workbookViewId="0">
      <selection activeCell="E23" sqref="E23"/>
    </sheetView>
  </sheetViews>
  <sheetFormatPr defaultColWidth="12.625" defaultRowHeight="15" customHeight="1" x14ac:dyDescent="0.2"/>
  <cols>
    <col min="1" max="26" width="7.75" customWidth="1"/>
  </cols>
  <sheetData>
    <row r="1" spans="3:3" ht="14.25" customHeight="1" x14ac:dyDescent="0.2"/>
    <row r="2" spans="3:3" ht="14.25" customHeight="1" x14ac:dyDescent="0.2"/>
    <row r="3" spans="3:3" ht="14.25" customHeight="1" x14ac:dyDescent="0.2"/>
    <row r="4" spans="3:3" ht="14.25" customHeight="1" x14ac:dyDescent="0.25">
      <c r="C4" s="1" t="s">
        <v>91</v>
      </c>
    </row>
    <row r="5" spans="3:3" ht="14.25" customHeight="1" x14ac:dyDescent="0.25">
      <c r="C5" s="1" t="s">
        <v>92</v>
      </c>
    </row>
    <row r="6" spans="3:3" ht="14.25" customHeight="1" x14ac:dyDescent="0.2"/>
    <row r="7" spans="3:3" ht="14.25" customHeight="1" x14ac:dyDescent="0.2"/>
    <row r="8" spans="3:3" ht="14.25" customHeight="1" x14ac:dyDescent="0.2"/>
    <row r="9" spans="3:3" ht="14.25" customHeight="1" x14ac:dyDescent="0.2"/>
    <row r="10" spans="3:3" ht="14.25" customHeight="1" x14ac:dyDescent="0.2"/>
    <row r="11" spans="3:3" ht="14.25" customHeight="1" x14ac:dyDescent="0.2"/>
    <row r="12" spans="3:3" ht="14.25" customHeight="1" x14ac:dyDescent="0.2"/>
    <row r="13" spans="3:3" ht="14.25" customHeight="1" x14ac:dyDescent="0.2"/>
    <row r="14" spans="3:3" ht="14.25" customHeight="1" x14ac:dyDescent="0.2"/>
    <row r="15" spans="3:3" ht="14.25" customHeight="1" x14ac:dyDescent="0.2"/>
    <row r="16" spans="3:3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M985"/>
  <sheetViews>
    <sheetView topLeftCell="A16" workbookViewId="0">
      <selection activeCell="I33" sqref="I33"/>
    </sheetView>
  </sheetViews>
  <sheetFormatPr defaultColWidth="12.625" defaultRowHeight="15" customHeight="1" x14ac:dyDescent="0.2"/>
  <cols>
    <col min="1" max="1" width="32.25" customWidth="1"/>
    <col min="3" max="3" width="8.375" customWidth="1"/>
    <col min="4" max="4" width="7.875" customWidth="1"/>
    <col min="5" max="5" width="7.875" style="58" customWidth="1"/>
    <col min="6" max="9" width="8.25" customWidth="1"/>
    <col min="10" max="10" width="14.875" customWidth="1"/>
    <col min="11" max="26" width="8.25" customWidth="1"/>
  </cols>
  <sheetData>
    <row r="1" spans="1:13" ht="14.25" customHeight="1" x14ac:dyDescent="0.25">
      <c r="B1" s="1">
        <f>COUNT(B3:B39)</f>
        <v>37</v>
      </c>
      <c r="C1" s="1">
        <f>COUNTIF(C3:C41,1)</f>
        <v>23</v>
      </c>
    </row>
    <row r="2" spans="1:13" ht="14.25" customHeight="1" x14ac:dyDescent="0.25">
      <c r="B2" s="1" t="s">
        <v>20</v>
      </c>
      <c r="C2" s="1" t="s">
        <v>93</v>
      </c>
      <c r="D2" s="1"/>
      <c r="E2" s="1"/>
      <c r="F2" s="1" t="s">
        <v>94</v>
      </c>
      <c r="J2" s="1" t="s">
        <v>95</v>
      </c>
      <c r="K2" s="1" t="s">
        <v>94</v>
      </c>
      <c r="L2" s="36" t="s">
        <v>168</v>
      </c>
      <c r="M2" s="36" t="s">
        <v>169</v>
      </c>
    </row>
    <row r="3" spans="1:13" ht="14.25" customHeight="1" x14ac:dyDescent="0.25">
      <c r="A3" s="10" t="s">
        <v>28</v>
      </c>
      <c r="B3" s="2">
        <v>3530000</v>
      </c>
      <c r="C3" s="14">
        <f>IF(VLOOKUP(A3,组织分包!$D$15:$H$62,5,FALSE)&gt;0,1,0)</f>
        <v>0</v>
      </c>
      <c r="D3" s="14" t="b">
        <f t="shared" ref="D3:D43" si="0">IF(C3=1,B3)</f>
        <v>0</v>
      </c>
      <c r="E3" s="14" t="e">
        <f>RANK(D3,$D$3:$D$43)</f>
        <v>#N/A</v>
      </c>
      <c r="F3" s="1" t="str">
        <f t="shared" ref="F3:F42" si="1">IF(C3=0,"",IF(E3&lt;=$M$3,$K$3,IF(E3&lt;=$M$4,$K$4,IF(E3&lt;=$M$5,$K$5,IF(E3&lt;=$M$6,$K$6,IF(E3&lt;=$M$7,$K$7,IF(E3&lt;=$M$8,$K$8,$K$9)))))))</f>
        <v/>
      </c>
      <c r="J3" s="15">
        <f>L3/$C$1</f>
        <v>0.17391304347826086</v>
      </c>
      <c r="K3" s="1">
        <v>10</v>
      </c>
      <c r="L3" s="59">
        <v>4</v>
      </c>
      <c r="M3" s="1">
        <f>L3</f>
        <v>4</v>
      </c>
    </row>
    <row r="4" spans="1:13" ht="14.25" customHeight="1" x14ac:dyDescent="0.25">
      <c r="A4" s="10" t="s">
        <v>30</v>
      </c>
      <c r="B4" s="2">
        <v>2530000</v>
      </c>
      <c r="C4" s="14">
        <f>IF(VLOOKUP(A4,组织分包!$D$15:$H$62,5,FALSE)&gt;0,1,0)</f>
        <v>0</v>
      </c>
      <c r="D4" s="14" t="b">
        <f t="shared" si="0"/>
        <v>0</v>
      </c>
      <c r="E4" s="14" t="e">
        <f t="shared" ref="E4:E43" si="2">RANK(D4,$D$3:$D$43)</f>
        <v>#N/A</v>
      </c>
      <c r="F4" s="1" t="str">
        <f t="shared" si="1"/>
        <v/>
      </c>
      <c r="J4" s="15">
        <f t="shared" ref="J4:J9" si="3">L4/$C$1</f>
        <v>0.17391304347826086</v>
      </c>
      <c r="K4" s="1">
        <v>9</v>
      </c>
      <c r="L4" s="59">
        <v>4</v>
      </c>
      <c r="M4" s="1">
        <f>L4+M3</f>
        <v>8</v>
      </c>
    </row>
    <row r="5" spans="1:13" ht="14.25" customHeight="1" x14ac:dyDescent="0.25">
      <c r="A5" s="10" t="s">
        <v>32</v>
      </c>
      <c r="B5" s="2">
        <v>3200000</v>
      </c>
      <c r="C5" s="14">
        <f>IF(VLOOKUP(A5,组织分包!$D$15:$H$62,5,FALSE)&gt;0,1,0)</f>
        <v>1</v>
      </c>
      <c r="D5" s="14">
        <f t="shared" si="0"/>
        <v>3200000</v>
      </c>
      <c r="E5" s="14">
        <f t="shared" si="2"/>
        <v>1</v>
      </c>
      <c r="F5" s="1">
        <f t="shared" si="1"/>
        <v>10</v>
      </c>
      <c r="J5" s="15">
        <f t="shared" si="3"/>
        <v>0.2608695652173913</v>
      </c>
      <c r="K5" s="1">
        <v>8</v>
      </c>
      <c r="L5" s="59">
        <v>6</v>
      </c>
      <c r="M5" s="1">
        <f t="shared" ref="M5:M9" si="4">L5+M4</f>
        <v>14</v>
      </c>
    </row>
    <row r="6" spans="1:13" ht="14.25" customHeight="1" x14ac:dyDescent="0.25">
      <c r="A6" s="10" t="s">
        <v>31</v>
      </c>
      <c r="B6" s="2">
        <v>2480000</v>
      </c>
      <c r="C6" s="14">
        <f>IF(VLOOKUP(A6,组织分包!$D$15:$H$62,5,FALSE)&gt;0,1,0)</f>
        <v>0</v>
      </c>
      <c r="D6" s="14" t="b">
        <f t="shared" si="0"/>
        <v>0</v>
      </c>
      <c r="E6" s="14" t="e">
        <f t="shared" si="2"/>
        <v>#N/A</v>
      </c>
      <c r="F6" s="1" t="str">
        <f t="shared" si="1"/>
        <v/>
      </c>
      <c r="J6" s="15">
        <f t="shared" si="3"/>
        <v>0.43478260869565216</v>
      </c>
      <c r="K6" s="1">
        <v>7</v>
      </c>
      <c r="L6" s="59">
        <v>10</v>
      </c>
      <c r="M6" s="1">
        <f t="shared" si="4"/>
        <v>24</v>
      </c>
    </row>
    <row r="7" spans="1:13" ht="14.25" customHeight="1" x14ac:dyDescent="0.25">
      <c r="A7" s="10" t="s">
        <v>52</v>
      </c>
      <c r="B7" s="2">
        <v>2570000</v>
      </c>
      <c r="C7" s="14">
        <f>IF(VLOOKUP(A7,组织分包!$D$15:$H$62,5,FALSE)&gt;0,1,0)</f>
        <v>0</v>
      </c>
      <c r="D7" s="14" t="b">
        <f t="shared" si="0"/>
        <v>0</v>
      </c>
      <c r="E7" s="14" t="e">
        <f t="shared" si="2"/>
        <v>#N/A</v>
      </c>
      <c r="F7" s="1" t="str">
        <f t="shared" si="1"/>
        <v/>
      </c>
      <c r="J7" s="15">
        <f t="shared" si="3"/>
        <v>0.2608695652173913</v>
      </c>
      <c r="K7" s="1">
        <v>6</v>
      </c>
      <c r="L7" s="59">
        <v>6</v>
      </c>
      <c r="M7" s="1">
        <f t="shared" si="4"/>
        <v>30</v>
      </c>
    </row>
    <row r="8" spans="1:13" ht="14.25" customHeight="1" x14ac:dyDescent="0.25">
      <c r="A8" s="10" t="s">
        <v>34</v>
      </c>
      <c r="B8" s="2">
        <v>3110000</v>
      </c>
      <c r="C8" s="14">
        <f>IF(VLOOKUP(A8,组织分包!$D$15:$H$62,5,FALSE)&gt;0,1,0)</f>
        <v>1</v>
      </c>
      <c r="D8" s="14">
        <f t="shared" si="0"/>
        <v>3110000</v>
      </c>
      <c r="E8" s="14">
        <f t="shared" si="2"/>
        <v>2</v>
      </c>
      <c r="F8" s="1">
        <f t="shared" si="1"/>
        <v>10</v>
      </c>
      <c r="J8" s="15">
        <f t="shared" si="3"/>
        <v>0.17391304347826086</v>
      </c>
      <c r="K8" s="59">
        <v>5</v>
      </c>
      <c r="L8" s="59">
        <v>4</v>
      </c>
      <c r="M8" s="1">
        <f t="shared" si="4"/>
        <v>34</v>
      </c>
    </row>
    <row r="9" spans="1:13" ht="14.25" customHeight="1" x14ac:dyDescent="0.25">
      <c r="A9" s="10" t="s">
        <v>33</v>
      </c>
      <c r="B9" s="2">
        <v>2640000</v>
      </c>
      <c r="C9" s="14">
        <f>IF(VLOOKUP(A9,组织分包!$D$15:$H$62,5,FALSE)&gt;0,1,0)</f>
        <v>0</v>
      </c>
      <c r="D9" s="14" t="b">
        <f t="shared" si="0"/>
        <v>0</v>
      </c>
      <c r="E9" s="14" t="e">
        <f t="shared" si="2"/>
        <v>#N/A</v>
      </c>
      <c r="F9" s="1" t="str">
        <f t="shared" si="1"/>
        <v/>
      </c>
      <c r="J9" s="15">
        <f t="shared" si="3"/>
        <v>-0.47826086956521741</v>
      </c>
      <c r="K9" s="59">
        <v>4</v>
      </c>
      <c r="L9" s="59">
        <f>C1-SUM(L3:L8)</f>
        <v>-11</v>
      </c>
      <c r="M9" s="1">
        <f t="shared" si="4"/>
        <v>23</v>
      </c>
    </row>
    <row r="10" spans="1:13" ht="14.25" customHeight="1" x14ac:dyDescent="0.25">
      <c r="A10" s="10" t="s">
        <v>37</v>
      </c>
      <c r="B10" s="2">
        <v>3030000</v>
      </c>
      <c r="C10" s="14">
        <f>IF(VLOOKUP(A10,组织分包!$D$15:$H$62,5,FALSE)&gt;0,1,0)</f>
        <v>1</v>
      </c>
      <c r="D10" s="14">
        <f t="shared" si="0"/>
        <v>3030000</v>
      </c>
      <c r="E10" s="14">
        <f t="shared" si="2"/>
        <v>3</v>
      </c>
      <c r="F10" s="1">
        <f t="shared" si="1"/>
        <v>10</v>
      </c>
    </row>
    <row r="11" spans="1:13" ht="14.25" customHeight="1" x14ac:dyDescent="0.25">
      <c r="A11" s="10" t="s">
        <v>35</v>
      </c>
      <c r="B11" s="2">
        <v>2420000</v>
      </c>
      <c r="C11" s="14">
        <f>IF(VLOOKUP(A11,组织分包!$D$15:$H$62,5,FALSE)&gt;0,1,0)</f>
        <v>0</v>
      </c>
      <c r="D11" s="14" t="b">
        <f t="shared" si="0"/>
        <v>0</v>
      </c>
      <c r="E11" s="14" t="e">
        <f t="shared" si="2"/>
        <v>#N/A</v>
      </c>
      <c r="F11" s="1" t="str">
        <f t="shared" si="1"/>
        <v/>
      </c>
      <c r="J11" s="15">
        <f>SUM(J3:J10)</f>
        <v>0.99999999999999989</v>
      </c>
    </row>
    <row r="12" spans="1:13" ht="14.25" customHeight="1" x14ac:dyDescent="0.25">
      <c r="A12" s="10" t="s">
        <v>36</v>
      </c>
      <c r="B12" s="2">
        <v>2990000</v>
      </c>
      <c r="C12" s="14">
        <f>IF(VLOOKUP(A12,组织分包!$D$15:$H$62,5,FALSE)&gt;0,1,0)</f>
        <v>1</v>
      </c>
      <c r="D12" s="14">
        <f t="shared" si="0"/>
        <v>2990000</v>
      </c>
      <c r="E12" s="14">
        <f t="shared" si="2"/>
        <v>5</v>
      </c>
      <c r="F12" s="1">
        <f t="shared" si="1"/>
        <v>9</v>
      </c>
    </row>
    <row r="13" spans="1:13" ht="14.25" customHeight="1" x14ac:dyDescent="0.25">
      <c r="A13" s="10" t="s">
        <v>38</v>
      </c>
      <c r="B13" s="2">
        <v>2890000</v>
      </c>
      <c r="C13" s="14">
        <f>IF(VLOOKUP(A13,组织分包!$D$15:$H$62,5,FALSE)&gt;0,1,0)</f>
        <v>1</v>
      </c>
      <c r="D13" s="14">
        <f t="shared" si="0"/>
        <v>2890000</v>
      </c>
      <c r="E13" s="14">
        <f t="shared" si="2"/>
        <v>6</v>
      </c>
      <c r="F13" s="1">
        <f t="shared" si="1"/>
        <v>9</v>
      </c>
    </row>
    <row r="14" spans="1:13" ht="14.25" customHeight="1" x14ac:dyDescent="0.25">
      <c r="A14" s="10" t="s">
        <v>39</v>
      </c>
      <c r="B14" s="2">
        <v>3030000</v>
      </c>
      <c r="C14" s="14">
        <f>IF(VLOOKUP(A14,组织分包!$D$15:$H$62,5,FALSE)&gt;0,1,0)</f>
        <v>1</v>
      </c>
      <c r="D14" s="14">
        <f t="shared" si="0"/>
        <v>3030000</v>
      </c>
      <c r="E14" s="14">
        <f t="shared" si="2"/>
        <v>3</v>
      </c>
      <c r="F14" s="1">
        <f t="shared" si="1"/>
        <v>10</v>
      </c>
    </row>
    <row r="15" spans="1:13" ht="14.25" customHeight="1" x14ac:dyDescent="0.25">
      <c r="A15" s="10" t="s">
        <v>41</v>
      </c>
      <c r="B15" s="2">
        <v>2890000</v>
      </c>
      <c r="C15" s="14">
        <f>IF(VLOOKUP(A15,组织分包!$D$15:$H$62,5,FALSE)&gt;0,1,0)</f>
        <v>1</v>
      </c>
      <c r="D15" s="14">
        <f t="shared" si="0"/>
        <v>2890000</v>
      </c>
      <c r="E15" s="14">
        <f t="shared" si="2"/>
        <v>6</v>
      </c>
      <c r="F15" s="1">
        <f t="shared" si="1"/>
        <v>9</v>
      </c>
    </row>
    <row r="16" spans="1:13" ht="14.25" customHeight="1" x14ac:dyDescent="0.25">
      <c r="A16" s="10" t="s">
        <v>42</v>
      </c>
      <c r="B16" s="2">
        <v>2850000</v>
      </c>
      <c r="C16" s="14">
        <f>IF(VLOOKUP(A16,组织分包!$D$15:$H$62,5,FALSE)&gt;0,1,0)</f>
        <v>1</v>
      </c>
      <c r="D16" s="14">
        <f t="shared" si="0"/>
        <v>2850000</v>
      </c>
      <c r="E16" s="14">
        <f t="shared" si="2"/>
        <v>8</v>
      </c>
      <c r="F16" s="1">
        <f t="shared" si="1"/>
        <v>9</v>
      </c>
    </row>
    <row r="17" spans="1:10" ht="14.25" customHeight="1" x14ac:dyDescent="0.25">
      <c r="A17" s="10" t="s">
        <v>43</v>
      </c>
      <c r="B17" s="2">
        <v>2045784</v>
      </c>
      <c r="C17" s="14">
        <f>IF(VLOOKUP(A17,组织分包!$D$15:$H$62,5,FALSE)&gt;0,1,0)</f>
        <v>0</v>
      </c>
      <c r="D17" s="14" t="b">
        <f t="shared" si="0"/>
        <v>0</v>
      </c>
      <c r="E17" s="14" t="e">
        <f t="shared" si="2"/>
        <v>#N/A</v>
      </c>
      <c r="F17" s="1" t="str">
        <f t="shared" si="1"/>
        <v/>
      </c>
    </row>
    <row r="18" spans="1:10" ht="14.25" customHeight="1" x14ac:dyDescent="0.25">
      <c r="A18" s="10" t="s">
        <v>44</v>
      </c>
      <c r="B18" s="2">
        <v>2650000</v>
      </c>
      <c r="C18" s="14">
        <f>IF(VLOOKUP(A18,组织分包!$D$15:$H$62,5,FALSE)&gt;0,1,0)</f>
        <v>1</v>
      </c>
      <c r="D18" s="14">
        <f t="shared" si="0"/>
        <v>2650000</v>
      </c>
      <c r="E18" s="14">
        <f t="shared" si="2"/>
        <v>9</v>
      </c>
      <c r="F18" s="1">
        <f t="shared" si="1"/>
        <v>8</v>
      </c>
    </row>
    <row r="19" spans="1:10" ht="14.25" customHeight="1" x14ac:dyDescent="0.25">
      <c r="A19" s="10" t="s">
        <v>47</v>
      </c>
      <c r="B19" s="2">
        <v>2500000</v>
      </c>
      <c r="C19" s="14">
        <f>IF(VLOOKUP(A19,组织分包!$D$15:$H$62,5,FALSE)&gt;0,1,0)</f>
        <v>1</v>
      </c>
      <c r="D19" s="14">
        <f t="shared" si="0"/>
        <v>2500000</v>
      </c>
      <c r="E19" s="14">
        <f t="shared" si="2"/>
        <v>10</v>
      </c>
      <c r="F19" s="1">
        <f t="shared" si="1"/>
        <v>8</v>
      </c>
    </row>
    <row r="20" spans="1:10" ht="14.25" customHeight="1" x14ac:dyDescent="0.25">
      <c r="A20" s="10" t="s">
        <v>48</v>
      </c>
      <c r="B20" s="2">
        <v>2100000</v>
      </c>
      <c r="C20" s="14">
        <f>IF(VLOOKUP(A20,组织分包!$D$15:$H$62,5,FALSE)&gt;0,1,0)</f>
        <v>0</v>
      </c>
      <c r="D20" s="14" t="b">
        <f t="shared" si="0"/>
        <v>0</v>
      </c>
      <c r="E20" s="14" t="e">
        <f t="shared" si="2"/>
        <v>#N/A</v>
      </c>
      <c r="F20" s="1" t="str">
        <f t="shared" si="1"/>
        <v/>
      </c>
    </row>
    <row r="21" spans="1:10" ht="14.25" customHeight="1" x14ac:dyDescent="0.25">
      <c r="A21" s="10" t="s">
        <v>49</v>
      </c>
      <c r="B21" s="2">
        <v>2420000</v>
      </c>
      <c r="C21" s="14">
        <f>IF(VLOOKUP(A21,组织分包!$D$15:$H$62,5,FALSE)&gt;0,1,0)</f>
        <v>1</v>
      </c>
      <c r="D21" s="14">
        <f t="shared" si="0"/>
        <v>2420000</v>
      </c>
      <c r="E21" s="14">
        <f t="shared" si="2"/>
        <v>11</v>
      </c>
      <c r="F21" s="1">
        <f t="shared" si="1"/>
        <v>8</v>
      </c>
    </row>
    <row r="22" spans="1:10" ht="14.25" customHeight="1" x14ac:dyDescent="0.25">
      <c r="A22" s="10" t="s">
        <v>51</v>
      </c>
      <c r="B22" s="2">
        <v>1970000</v>
      </c>
      <c r="C22" s="14">
        <f>IF(VLOOKUP(A22,组织分包!$D$15:$H$62,5,FALSE)&gt;0,1,0)</f>
        <v>0</v>
      </c>
      <c r="D22" s="14" t="b">
        <f t="shared" si="0"/>
        <v>0</v>
      </c>
      <c r="E22" s="14" t="e">
        <f t="shared" si="2"/>
        <v>#N/A</v>
      </c>
      <c r="F22" s="1" t="str">
        <f t="shared" si="1"/>
        <v/>
      </c>
    </row>
    <row r="23" spans="1:10" ht="14.25" customHeight="1" x14ac:dyDescent="0.25">
      <c r="A23" s="10" t="s">
        <v>53</v>
      </c>
      <c r="B23" s="2">
        <v>1697897</v>
      </c>
      <c r="C23" s="14">
        <f>IF(VLOOKUP(A23,组织分包!$D$15:$H$62,5,FALSE)&gt;0,1,0)</f>
        <v>0</v>
      </c>
      <c r="D23" s="14" t="b">
        <f t="shared" si="0"/>
        <v>0</v>
      </c>
      <c r="E23" s="14" t="e">
        <f t="shared" si="2"/>
        <v>#N/A</v>
      </c>
      <c r="F23" s="1" t="str">
        <f t="shared" si="1"/>
        <v/>
      </c>
    </row>
    <row r="24" spans="1:10" ht="14.25" customHeight="1" x14ac:dyDescent="0.25">
      <c r="A24" s="10" t="s">
        <v>54</v>
      </c>
      <c r="B24" s="2">
        <v>2080000</v>
      </c>
      <c r="C24" s="14">
        <f>IF(VLOOKUP(A24,组织分包!$D$15:$H$62,5,FALSE)&gt;0,1,0)</f>
        <v>1</v>
      </c>
      <c r="D24" s="14">
        <f t="shared" si="0"/>
        <v>2080000</v>
      </c>
      <c r="E24" s="14">
        <f t="shared" si="2"/>
        <v>13</v>
      </c>
      <c r="F24" s="1">
        <f t="shared" si="1"/>
        <v>8</v>
      </c>
    </row>
    <row r="25" spans="1:10" ht="14.25" customHeight="1" x14ac:dyDescent="0.25">
      <c r="A25" s="10" t="s">
        <v>82</v>
      </c>
      <c r="B25" s="2">
        <v>1840000</v>
      </c>
      <c r="C25" s="14">
        <f>IF(VLOOKUP(A25,组织分包!$D$15:$H$62,5,FALSE)&gt;0,1,0)</f>
        <v>0</v>
      </c>
      <c r="D25" s="14" t="b">
        <f t="shared" si="0"/>
        <v>0</v>
      </c>
      <c r="E25" s="14" t="e">
        <f t="shared" si="2"/>
        <v>#N/A</v>
      </c>
      <c r="F25" s="1" t="str">
        <f t="shared" si="1"/>
        <v/>
      </c>
    </row>
    <row r="26" spans="1:10" ht="14.25" customHeight="1" x14ac:dyDescent="0.25">
      <c r="A26" s="10" t="s">
        <v>56</v>
      </c>
      <c r="B26" s="2">
        <v>1600279</v>
      </c>
      <c r="C26" s="14">
        <f>IF(VLOOKUP(A26,组织分包!$D$15:$H$62,5,FALSE)&gt;0,1,0)</f>
        <v>0</v>
      </c>
      <c r="D26" s="14" t="b">
        <f t="shared" si="0"/>
        <v>0</v>
      </c>
      <c r="E26" s="14" t="e">
        <f t="shared" si="2"/>
        <v>#N/A</v>
      </c>
      <c r="F26" s="1" t="str">
        <f t="shared" si="1"/>
        <v/>
      </c>
      <c r="J26" s="15"/>
    </row>
    <row r="27" spans="1:10" ht="14.25" customHeight="1" x14ac:dyDescent="0.25">
      <c r="A27" s="61" t="s">
        <v>175</v>
      </c>
      <c r="B27" s="17">
        <v>400000</v>
      </c>
      <c r="C27" s="14">
        <f>IF(VLOOKUP(A27,组织分包!$D$15:$H$62,5,FALSE)&gt;0,1,0)</f>
        <v>1</v>
      </c>
      <c r="D27" s="14">
        <f t="shared" si="0"/>
        <v>400000</v>
      </c>
      <c r="E27" s="14">
        <f t="shared" si="2"/>
        <v>19</v>
      </c>
      <c r="F27" s="1">
        <f t="shared" si="1"/>
        <v>7</v>
      </c>
    </row>
    <row r="28" spans="1:10" ht="14.25" customHeight="1" x14ac:dyDescent="0.25">
      <c r="A28" s="60" t="s">
        <v>174</v>
      </c>
      <c r="B28" s="17">
        <v>400000</v>
      </c>
      <c r="C28" s="14">
        <f>IF(VLOOKUP(A28,组织分包!$D$15:$H$62,5,FALSE)&gt;0,1,0)</f>
        <v>1</v>
      </c>
      <c r="D28" s="14">
        <f t="shared" si="0"/>
        <v>400000</v>
      </c>
      <c r="E28" s="14">
        <f t="shared" si="2"/>
        <v>19</v>
      </c>
      <c r="F28" s="1">
        <f t="shared" si="1"/>
        <v>7</v>
      </c>
    </row>
    <row r="29" spans="1:10" ht="14.25" customHeight="1" x14ac:dyDescent="0.25">
      <c r="A29" s="10" t="s">
        <v>57</v>
      </c>
      <c r="B29" s="17">
        <v>1870000</v>
      </c>
      <c r="C29" s="14">
        <f>IF(VLOOKUP(A29,组织分包!$D$15:$H$62,5,FALSE)&gt;0,1,0)</f>
        <v>1</v>
      </c>
      <c r="D29" s="14">
        <f t="shared" si="0"/>
        <v>1870000</v>
      </c>
      <c r="E29" s="14">
        <f t="shared" si="2"/>
        <v>14</v>
      </c>
      <c r="F29" s="1">
        <f t="shared" si="1"/>
        <v>8</v>
      </c>
    </row>
    <row r="30" spans="1:10" ht="14.25" customHeight="1" x14ac:dyDescent="0.25">
      <c r="A30" s="10" t="s">
        <v>60</v>
      </c>
      <c r="B30" s="17">
        <v>1570000</v>
      </c>
      <c r="C30" s="14">
        <f>IF(VLOOKUP(A30,组织分包!$D$15:$H$62,5,FALSE)&gt;0,1,0)</f>
        <v>1</v>
      </c>
      <c r="D30" s="14">
        <f t="shared" si="0"/>
        <v>1570000</v>
      </c>
      <c r="E30" s="14">
        <f t="shared" si="2"/>
        <v>15</v>
      </c>
      <c r="F30" s="1">
        <f t="shared" si="1"/>
        <v>7</v>
      </c>
    </row>
    <row r="31" spans="1:10" x14ac:dyDescent="0.25">
      <c r="A31" s="10" t="s">
        <v>59</v>
      </c>
      <c r="B31" s="17">
        <v>1346453</v>
      </c>
      <c r="C31" s="14">
        <f>IF(VLOOKUP(A31,组织分包!$D$15:$H$62,5,FALSE)&gt;0,1,0)</f>
        <v>0</v>
      </c>
      <c r="D31" s="14" t="b">
        <f t="shared" si="0"/>
        <v>0</v>
      </c>
      <c r="E31" s="14" t="e">
        <f t="shared" si="2"/>
        <v>#N/A</v>
      </c>
      <c r="F31" s="1" t="str">
        <f t="shared" si="1"/>
        <v/>
      </c>
    </row>
    <row r="32" spans="1:10" x14ac:dyDescent="0.25">
      <c r="A32" s="10" t="s">
        <v>62</v>
      </c>
      <c r="B32" s="17">
        <v>1170830</v>
      </c>
      <c r="C32" s="14">
        <f>IF(VLOOKUP(A32,组织分包!$D$15:$H$62,5,FALSE)&gt;0,1,0)</f>
        <v>0</v>
      </c>
      <c r="D32" s="14" t="b">
        <f t="shared" si="0"/>
        <v>0</v>
      </c>
      <c r="E32" s="14" t="e">
        <f t="shared" si="2"/>
        <v>#N/A</v>
      </c>
      <c r="F32" s="1" t="str">
        <f t="shared" si="1"/>
        <v/>
      </c>
    </row>
    <row r="33" spans="1:6" ht="13.5" customHeight="1" x14ac:dyDescent="0.25">
      <c r="A33" s="74" t="s">
        <v>173</v>
      </c>
      <c r="B33" s="17">
        <v>400000</v>
      </c>
      <c r="C33" s="14">
        <f>IF(VLOOKUP(A33,组织分包!$D$15:$H$62,5,FALSE)&gt;0,1,0)</f>
        <v>1</v>
      </c>
      <c r="D33" s="14">
        <f t="shared" si="0"/>
        <v>400000</v>
      </c>
      <c r="E33" s="14">
        <f t="shared" si="2"/>
        <v>19</v>
      </c>
      <c r="F33" s="1">
        <f t="shared" si="1"/>
        <v>7</v>
      </c>
    </row>
    <row r="34" spans="1:6" ht="13.5" customHeight="1" x14ac:dyDescent="0.25">
      <c r="A34" s="51" t="s">
        <v>164</v>
      </c>
      <c r="B34" s="17">
        <v>1210000</v>
      </c>
      <c r="C34" s="14">
        <f>IF(VLOOKUP(A34,组织分包!$D$15:$H$62,5,FALSE)&gt;0,1,0)</f>
        <v>0</v>
      </c>
      <c r="D34" s="14" t="b">
        <f t="shared" si="0"/>
        <v>0</v>
      </c>
      <c r="E34" s="14" t="e">
        <f t="shared" si="2"/>
        <v>#N/A</v>
      </c>
      <c r="F34" s="1" t="str">
        <f t="shared" si="1"/>
        <v/>
      </c>
    </row>
    <row r="35" spans="1:6" ht="14.25" customHeight="1" x14ac:dyDescent="0.25">
      <c r="A35" s="10" t="s">
        <v>64</v>
      </c>
      <c r="B35" s="17">
        <v>1290000</v>
      </c>
      <c r="C35" s="14">
        <f>IF(VLOOKUP(A35,组织分包!$D$15:$H$62,5,FALSE)&gt;0,1,0)</f>
        <v>1</v>
      </c>
      <c r="D35" s="14">
        <f t="shared" si="0"/>
        <v>1290000</v>
      </c>
      <c r="E35" s="14">
        <f t="shared" si="2"/>
        <v>17</v>
      </c>
      <c r="F35" s="1">
        <f t="shared" si="1"/>
        <v>7</v>
      </c>
    </row>
    <row r="36" spans="1:6" ht="14.25" customHeight="1" x14ac:dyDescent="0.25">
      <c r="A36" s="26" t="s">
        <v>147</v>
      </c>
      <c r="B36" s="17">
        <v>1370000</v>
      </c>
      <c r="C36" s="14">
        <f>IF(VLOOKUP(A36,组织分包!$D$15:$H$62,5,FALSE)&gt;0,1,0)</f>
        <v>1</v>
      </c>
      <c r="D36" s="14">
        <f t="shared" si="0"/>
        <v>1370000</v>
      </c>
      <c r="E36" s="14">
        <f t="shared" si="2"/>
        <v>16</v>
      </c>
      <c r="F36" s="1">
        <f t="shared" si="1"/>
        <v>7</v>
      </c>
    </row>
    <row r="37" spans="1:6" ht="14.25" customHeight="1" x14ac:dyDescent="0.25">
      <c r="A37" s="10" t="s">
        <v>63</v>
      </c>
      <c r="B37" s="17">
        <v>300861</v>
      </c>
      <c r="C37" s="14">
        <f>IF(VLOOKUP(A37,组织分包!$D$15:$H$62,5,FALSE)&gt;0,1,0)</f>
        <v>0</v>
      </c>
      <c r="D37" s="14" t="b">
        <f t="shared" si="0"/>
        <v>0</v>
      </c>
      <c r="E37" s="14" t="e">
        <f t="shared" si="2"/>
        <v>#N/A</v>
      </c>
      <c r="F37" s="1" t="str">
        <f t="shared" si="1"/>
        <v/>
      </c>
    </row>
    <row r="38" spans="1:6" ht="14.25" customHeight="1" x14ac:dyDescent="0.25">
      <c r="A38" s="60" t="s">
        <v>172</v>
      </c>
      <c r="B38" s="17">
        <v>450000</v>
      </c>
      <c r="C38" s="14">
        <v>1</v>
      </c>
      <c r="D38" s="14">
        <f t="shared" si="0"/>
        <v>450000</v>
      </c>
      <c r="E38" s="14">
        <f t="shared" si="2"/>
        <v>18</v>
      </c>
      <c r="F38" s="1">
        <f t="shared" si="1"/>
        <v>7</v>
      </c>
    </row>
    <row r="39" spans="1:6" ht="14.25" customHeight="1" x14ac:dyDescent="0.25">
      <c r="A39" s="60" t="s">
        <v>176</v>
      </c>
      <c r="B39" s="17">
        <v>200000</v>
      </c>
      <c r="C39" s="14">
        <v>1</v>
      </c>
      <c r="D39" s="14">
        <f t="shared" si="0"/>
        <v>200000</v>
      </c>
      <c r="E39" s="14">
        <f t="shared" si="2"/>
        <v>22</v>
      </c>
      <c r="F39" s="1">
        <f t="shared" si="1"/>
        <v>7</v>
      </c>
    </row>
    <row r="40" spans="1:6" ht="14.25" customHeight="1" x14ac:dyDescent="0.25">
      <c r="A40" s="10" t="s">
        <v>65</v>
      </c>
      <c r="B40" s="17">
        <v>72016</v>
      </c>
      <c r="C40" s="14">
        <f>IF(VLOOKUP(A40,组织分包!$D$15:$H$62,5,FALSE)&gt;0,1,0)</f>
        <v>1</v>
      </c>
      <c r="D40" s="14">
        <f t="shared" si="0"/>
        <v>72016</v>
      </c>
      <c r="E40" s="14">
        <f t="shared" si="2"/>
        <v>23</v>
      </c>
      <c r="F40" s="1">
        <f t="shared" si="1"/>
        <v>7</v>
      </c>
    </row>
    <row r="41" spans="1:6" ht="14.25" customHeight="1" x14ac:dyDescent="0.25">
      <c r="A41" s="13" t="s">
        <v>67</v>
      </c>
      <c r="B41" s="17">
        <v>61907</v>
      </c>
      <c r="C41" s="14">
        <f>IF(VLOOKUP(A41,组织分包!$D$15:$H$62,5,FALSE)&gt;0,1,0)</f>
        <v>1</v>
      </c>
      <c r="D41" s="14">
        <f t="shared" si="0"/>
        <v>61907</v>
      </c>
      <c r="E41" s="14">
        <f t="shared" si="2"/>
        <v>24</v>
      </c>
      <c r="F41" s="1">
        <f t="shared" si="1"/>
        <v>7</v>
      </c>
    </row>
    <row r="42" spans="1:6" ht="14.25" customHeight="1" x14ac:dyDescent="0.25">
      <c r="A42" s="44" t="s">
        <v>170</v>
      </c>
      <c r="B42" s="17">
        <v>2320000</v>
      </c>
      <c r="C42" s="14">
        <f>IF(VLOOKUP(A42,组织分包!$D$15:$H$62,5,FALSE)&gt;0,1,0)</f>
        <v>1</v>
      </c>
      <c r="D42" s="14">
        <f t="shared" si="0"/>
        <v>2320000</v>
      </c>
      <c r="E42" s="14">
        <f t="shared" si="2"/>
        <v>12</v>
      </c>
      <c r="F42" s="1">
        <f t="shared" si="1"/>
        <v>8</v>
      </c>
    </row>
    <row r="43" spans="1:6" ht="14.25" customHeight="1" x14ac:dyDescent="0.25">
      <c r="A43" s="72" t="s">
        <v>171</v>
      </c>
      <c r="B43" s="73">
        <v>840000</v>
      </c>
      <c r="C43" s="14">
        <f>IF(VLOOKUP(A43,组织分包!$D$15:$H$62,5,FALSE)&gt;0,1,0)</f>
        <v>0</v>
      </c>
      <c r="D43" s="14" t="b">
        <f t="shared" si="0"/>
        <v>0</v>
      </c>
      <c r="E43" s="14" t="e">
        <f t="shared" si="2"/>
        <v>#N/A</v>
      </c>
      <c r="F43" s="1" t="str">
        <f>IF(C43=0,"",IF(E43&lt;=$M$3,$K$3,IF(E43&lt;=$M$4,$K$4,IF(E43&lt;=$M$5,$K$5,IF(E43&lt;=$M$6,$K$6,IF(E43&lt;=$M$7,$K$7,IF(E43&lt;=$M$8,$K$8,$K$9)))))))</f>
        <v/>
      </c>
    </row>
    <row r="44" spans="1:6" ht="14.25" customHeight="1" x14ac:dyDescent="0.25">
      <c r="A44" s="10" t="s">
        <v>83</v>
      </c>
      <c r="B44" s="2">
        <v>1868233</v>
      </c>
      <c r="C44" s="14"/>
      <c r="D44" s="14"/>
      <c r="E44" s="14"/>
      <c r="F44" s="1"/>
    </row>
    <row r="45" spans="1:6" ht="14.25" customHeight="1" x14ac:dyDescent="0.25">
      <c r="A45" s="10" t="s">
        <v>66</v>
      </c>
      <c r="B45" s="17"/>
    </row>
    <row r="46" spans="1:6" ht="14.25" customHeight="1" x14ac:dyDescent="0.25">
      <c r="A46" s="10" t="s">
        <v>87</v>
      </c>
      <c r="B46" s="2"/>
    </row>
    <row r="47" spans="1:6" ht="14.25" customHeight="1" x14ac:dyDescent="0.25">
      <c r="A47" s="10" t="s">
        <v>88</v>
      </c>
      <c r="B47" s="17"/>
    </row>
    <row r="48" spans="1:6" ht="14.25" customHeight="1" x14ac:dyDescent="0.25">
      <c r="A48" s="13" t="s">
        <v>86</v>
      </c>
      <c r="B48" s="17"/>
    </row>
    <row r="49" spans="1:6" ht="14.25" customHeight="1" x14ac:dyDescent="0.25">
      <c r="A49" s="10" t="s">
        <v>96</v>
      </c>
      <c r="B49" s="2">
        <v>1066676</v>
      </c>
    </row>
    <row r="50" spans="1:6" ht="14.25" customHeight="1" x14ac:dyDescent="0.25">
      <c r="A50" s="10" t="s">
        <v>75</v>
      </c>
      <c r="B50" s="2">
        <v>1027326</v>
      </c>
    </row>
    <row r="51" spans="1:6" ht="14.25" customHeight="1" x14ac:dyDescent="0.25">
      <c r="A51" s="10" t="s">
        <v>71</v>
      </c>
      <c r="B51" s="2">
        <v>1005928</v>
      </c>
    </row>
    <row r="52" spans="1:6" ht="14.25" customHeight="1" x14ac:dyDescent="0.25">
      <c r="A52" s="10" t="s">
        <v>97</v>
      </c>
      <c r="B52" s="2">
        <v>618320</v>
      </c>
    </row>
    <row r="53" spans="1:6" ht="14.25" customHeight="1" x14ac:dyDescent="0.25">
      <c r="A53" s="10" t="s">
        <v>98</v>
      </c>
      <c r="B53" s="2">
        <v>608160</v>
      </c>
    </row>
    <row r="54" spans="1:6" ht="14.25" customHeight="1" x14ac:dyDescent="0.25">
      <c r="A54" s="10" t="s">
        <v>99</v>
      </c>
      <c r="B54" s="2">
        <v>604504</v>
      </c>
    </row>
    <row r="55" spans="1:6" ht="14.25" customHeight="1" x14ac:dyDescent="0.25">
      <c r="A55" s="10" t="s">
        <v>73</v>
      </c>
      <c r="B55" s="2">
        <v>869720</v>
      </c>
    </row>
    <row r="56" spans="1:6" ht="14.25" customHeight="1" x14ac:dyDescent="0.25">
      <c r="A56" s="13" t="s">
        <v>79</v>
      </c>
      <c r="B56" s="2">
        <v>858119</v>
      </c>
    </row>
    <row r="57" spans="1:6" ht="14.25" customHeight="1" x14ac:dyDescent="0.25">
      <c r="A57" s="10" t="s">
        <v>74</v>
      </c>
      <c r="B57" s="2">
        <v>855959</v>
      </c>
    </row>
    <row r="58" spans="1:6" ht="14.25" customHeight="1" x14ac:dyDescent="0.25">
      <c r="A58" s="10" t="s">
        <v>76</v>
      </c>
      <c r="B58" s="17">
        <v>803274</v>
      </c>
    </row>
    <row r="59" spans="1:6" ht="14.25" customHeight="1" x14ac:dyDescent="0.25">
      <c r="A59" s="13" t="s">
        <v>100</v>
      </c>
      <c r="B59" s="17">
        <v>740352</v>
      </c>
    </row>
    <row r="60" spans="1:6" ht="14.25" customHeight="1" x14ac:dyDescent="0.25">
      <c r="A60" s="10" t="s">
        <v>68</v>
      </c>
      <c r="B60" s="2">
        <v>1114334</v>
      </c>
    </row>
    <row r="61" spans="1:6" ht="14.25" customHeight="1" x14ac:dyDescent="0.25">
      <c r="A61" s="10" t="s">
        <v>78</v>
      </c>
      <c r="B61" s="17"/>
    </row>
    <row r="62" spans="1:6" ht="14.25" customHeight="1" x14ac:dyDescent="0.25">
      <c r="A62" s="10" t="s">
        <v>85</v>
      </c>
      <c r="B62" s="17"/>
    </row>
    <row r="63" spans="1:6" ht="14.25" customHeight="1" x14ac:dyDescent="0.25">
      <c r="A63" s="10" t="s">
        <v>45</v>
      </c>
      <c r="B63" s="2">
        <v>1919955</v>
      </c>
      <c r="C63" s="14" t="e">
        <f>IF(VLOOKUP(A63,组织分包!$D$15:$H$62,5,FALSE)&gt;0,1,0)</f>
        <v>#N/A</v>
      </c>
      <c r="D63" s="14" t="e">
        <f>IF(C63=1,B63)</f>
        <v>#N/A</v>
      </c>
      <c r="E63" s="14" t="e">
        <f>RANK(D63,$D$3:$D$42)</f>
        <v>#N/A</v>
      </c>
      <c r="F63" s="1" t="e">
        <f>IF(C63=0,"",IF(E63&lt;=$M$3,$K$3,IF(E63&lt;=$M$4,$K$4,IF(E63&lt;=$M$5,$K$5,IF(E63&lt;=$M$6,$K$6,IF(E63&lt;=$M$7,$K$7,IF(E63&lt;=$M$8,$K$8,$K$9)))))))</f>
        <v>#N/A</v>
      </c>
    </row>
    <row r="64" spans="1:6" ht="14.25" customHeight="1" x14ac:dyDescent="0.25">
      <c r="A64" s="10" t="s">
        <v>58</v>
      </c>
    </row>
    <row r="65" spans="1:6" ht="14.25" customHeight="1" x14ac:dyDescent="0.25">
      <c r="A65" s="10" t="s">
        <v>46</v>
      </c>
      <c r="B65" s="2">
        <v>1796817</v>
      </c>
      <c r="C65" s="14" t="e">
        <f>IF(VLOOKUP(A65,组织分包!$D$15:$H$62,5,FALSE)&gt;0,1,0)</f>
        <v>#N/A</v>
      </c>
      <c r="D65" s="14" t="e">
        <f>IF(C65=1,B65)</f>
        <v>#N/A</v>
      </c>
      <c r="E65" s="14" t="e">
        <f>RANK(D65,$D$3:$D$42)</f>
        <v>#N/A</v>
      </c>
      <c r="F65" s="1" t="e">
        <f>IF(C65=0,"",IF(E65&lt;=$M$3,$K$3,IF(E65&lt;=$M$4,$K$4,IF(E65&lt;=$M$5,$K$5,IF(E65&lt;=$M$6,$K$6,IF(E65&lt;=$M$7,$K$7,IF(E65&lt;=$M$8,$K$8,$K$9)))))))</f>
        <v>#N/A</v>
      </c>
    </row>
    <row r="66" spans="1:6" ht="14.25" customHeight="1" x14ac:dyDescent="0.25">
      <c r="A66" s="10" t="s">
        <v>50</v>
      </c>
      <c r="B66" s="2">
        <v>1656189</v>
      </c>
      <c r="C66" s="14" t="e">
        <f>IF(VLOOKUP(A66,组织分包!$D$15:$H$62,5,FALSE)&gt;0,1,0)</f>
        <v>#N/A</v>
      </c>
      <c r="D66" s="14" t="e">
        <f>IF(C66=1,B66)</f>
        <v>#N/A</v>
      </c>
      <c r="E66" s="14" t="e">
        <f>RANK(D66,$D$3:$D$42)</f>
        <v>#N/A</v>
      </c>
      <c r="F66" s="1" t="e">
        <f>IF(C66=0,"",IF(E66&lt;=$M$3,$K$3,IF(E66&lt;=$M$4,$K$4,IF(E66&lt;=$M$5,$K$5,IF(E66&lt;=$M$6,$K$6,IF(E66&lt;=$M$7,$K$7,IF(E66&lt;=$M$8,$K$8,$K$9)))))))</f>
        <v>#N/A</v>
      </c>
    </row>
    <row r="67" spans="1:6" ht="14.25" customHeight="1" x14ac:dyDescent="0.2"/>
    <row r="68" spans="1:6" ht="14.25" customHeight="1" x14ac:dyDescent="0.2"/>
    <row r="69" spans="1:6" ht="14.25" customHeight="1" x14ac:dyDescent="0.2"/>
    <row r="70" spans="1:6" ht="14.25" customHeight="1" x14ac:dyDescent="0.2"/>
    <row r="71" spans="1:6" ht="14.25" customHeight="1" x14ac:dyDescent="0.2"/>
    <row r="72" spans="1:6" ht="14.25" customHeight="1" x14ac:dyDescent="0.2"/>
    <row r="73" spans="1:6" ht="14.25" customHeight="1" x14ac:dyDescent="0.2"/>
    <row r="74" spans="1:6" ht="14.25" customHeight="1" x14ac:dyDescent="0.2"/>
    <row r="75" spans="1:6" ht="14.25" customHeight="1" x14ac:dyDescent="0.2"/>
    <row r="76" spans="1:6" ht="14.25" customHeight="1" x14ac:dyDescent="0.2"/>
    <row r="77" spans="1:6" ht="14.25" customHeight="1" x14ac:dyDescent="0.2"/>
    <row r="78" spans="1:6" ht="14.25" customHeight="1" x14ac:dyDescent="0.2"/>
    <row r="79" spans="1:6" ht="14.25" customHeight="1" x14ac:dyDescent="0.2"/>
    <row r="80" spans="1:6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</sheetData>
  <sortState xmlns:xlrd2="http://schemas.microsoft.com/office/spreadsheetml/2017/richdata2" ref="A3:F41">
    <sortCondition descending="1" ref="B3:B41"/>
  </sortState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B1:N1000"/>
  <sheetViews>
    <sheetView workbookViewId="0"/>
  </sheetViews>
  <sheetFormatPr defaultColWidth="12.625" defaultRowHeight="15" customHeight="1" x14ac:dyDescent="0.2"/>
  <cols>
    <col min="1" max="4" width="7.625" customWidth="1"/>
    <col min="5" max="5" width="11.875" customWidth="1"/>
    <col min="6" max="26" width="7.625" customWidth="1"/>
  </cols>
  <sheetData>
    <row r="1" spans="3:14" ht="14.25" customHeight="1" x14ac:dyDescent="0.2"/>
    <row r="2" spans="3:14" ht="14.25" customHeight="1" x14ac:dyDescent="0.25">
      <c r="C2" s="1" t="s">
        <v>101</v>
      </c>
    </row>
    <row r="3" spans="3:14" ht="14.25" customHeight="1" x14ac:dyDescent="0.25">
      <c r="E3" s="1" t="s">
        <v>102</v>
      </c>
      <c r="F3" s="1">
        <v>198</v>
      </c>
      <c r="G3" s="1">
        <v>100</v>
      </c>
      <c r="H3" s="1">
        <v>10</v>
      </c>
    </row>
    <row r="4" spans="3:14" ht="14.25" customHeight="1" x14ac:dyDescent="0.2">
      <c r="C4" s="18"/>
      <c r="D4" s="19"/>
      <c r="E4" s="19"/>
      <c r="F4" s="19" t="s">
        <v>103</v>
      </c>
      <c r="G4" s="19" t="s">
        <v>104</v>
      </c>
      <c r="H4" s="19" t="s">
        <v>105</v>
      </c>
      <c r="I4" s="19" t="s">
        <v>106</v>
      </c>
      <c r="J4" s="20" t="s">
        <v>107</v>
      </c>
    </row>
    <row r="5" spans="3:14" ht="14.25" customHeight="1" x14ac:dyDescent="0.2">
      <c r="C5" s="82" t="s">
        <v>108</v>
      </c>
      <c r="D5" s="85" t="s">
        <v>7</v>
      </c>
      <c r="E5" s="21" t="s">
        <v>3</v>
      </c>
      <c r="F5" s="21">
        <v>5</v>
      </c>
      <c r="G5" s="21">
        <v>7</v>
      </c>
      <c r="H5" s="21">
        <v>20</v>
      </c>
      <c r="I5" s="21"/>
      <c r="J5" s="5"/>
    </row>
    <row r="6" spans="3:14" ht="14.25" customHeight="1" x14ac:dyDescent="0.25">
      <c r="C6" s="83"/>
      <c r="D6" s="86"/>
      <c r="E6" s="21" t="s">
        <v>109</v>
      </c>
      <c r="F6" s="21">
        <f>F5*$F$3</f>
        <v>990</v>
      </c>
      <c r="G6" s="21">
        <f>G5*$G$3</f>
        <v>700</v>
      </c>
      <c r="H6" s="21">
        <f>H5*$H$3</f>
        <v>200</v>
      </c>
      <c r="I6" s="21">
        <f>SUM(F6:H6)</f>
        <v>1890</v>
      </c>
      <c r="J6" s="5">
        <v>19</v>
      </c>
      <c r="L6" s="5">
        <v>19</v>
      </c>
      <c r="N6" s="1">
        <f>INT(L6*1.2)</f>
        <v>22</v>
      </c>
    </row>
    <row r="7" spans="3:14" ht="14.25" customHeight="1" x14ac:dyDescent="0.25">
      <c r="C7" s="83"/>
      <c r="D7" s="85" t="s">
        <v>8</v>
      </c>
      <c r="E7" s="21" t="s">
        <v>3</v>
      </c>
      <c r="F7" s="21">
        <v>4</v>
      </c>
      <c r="G7" s="21">
        <v>6</v>
      </c>
      <c r="H7" s="21">
        <v>15</v>
      </c>
      <c r="I7" s="21"/>
      <c r="J7" s="5"/>
      <c r="L7" s="5">
        <v>15</v>
      </c>
      <c r="N7" s="1">
        <f>INT(L7/1.1)</f>
        <v>13</v>
      </c>
    </row>
    <row r="8" spans="3:14" ht="14.25" customHeight="1" x14ac:dyDescent="0.25">
      <c r="C8" s="83"/>
      <c r="D8" s="86"/>
      <c r="E8" s="21" t="s">
        <v>109</v>
      </c>
      <c r="F8" s="21">
        <f>F7*$F$3</f>
        <v>792</v>
      </c>
      <c r="G8" s="21">
        <f>G7*$G$3</f>
        <v>600</v>
      </c>
      <c r="H8" s="21">
        <f>H7*$H$3</f>
        <v>150</v>
      </c>
      <c r="I8" s="21">
        <f>SUM(F8:H8)</f>
        <v>1542</v>
      </c>
      <c r="J8" s="5">
        <v>15</v>
      </c>
      <c r="L8" s="22">
        <v>12</v>
      </c>
      <c r="N8" s="1">
        <f>INT(L8/1.2)</f>
        <v>10</v>
      </c>
    </row>
    <row r="9" spans="3:14" ht="14.25" customHeight="1" x14ac:dyDescent="0.2">
      <c r="C9" s="83"/>
      <c r="D9" s="85" t="s">
        <v>9</v>
      </c>
      <c r="E9" s="21" t="s">
        <v>3</v>
      </c>
      <c r="F9" s="21">
        <v>3</v>
      </c>
      <c r="G9" s="21">
        <v>5</v>
      </c>
      <c r="H9" s="21">
        <v>10</v>
      </c>
      <c r="I9" s="21"/>
      <c r="J9" s="5"/>
    </row>
    <row r="10" spans="3:14" ht="14.25" customHeight="1" x14ac:dyDescent="0.2">
      <c r="C10" s="84"/>
      <c r="D10" s="87"/>
      <c r="E10" s="23" t="s">
        <v>109</v>
      </c>
      <c r="F10" s="23">
        <f>F9*$F$3</f>
        <v>594</v>
      </c>
      <c r="G10" s="23">
        <f>G9*$G$3</f>
        <v>500</v>
      </c>
      <c r="H10" s="23">
        <f>H9*$H$3</f>
        <v>100</v>
      </c>
      <c r="I10" s="23">
        <f>SUM(F10:H10)</f>
        <v>1194</v>
      </c>
      <c r="J10" s="22">
        <v>12</v>
      </c>
    </row>
    <row r="11" spans="3:14" ht="14.25" customHeight="1" x14ac:dyDescent="0.2">
      <c r="C11" s="88" t="s">
        <v>110</v>
      </c>
      <c r="D11" s="89" t="s">
        <v>7</v>
      </c>
      <c r="E11" s="24" t="s">
        <v>3</v>
      </c>
      <c r="F11" s="24">
        <v>4</v>
      </c>
      <c r="G11" s="24">
        <v>5</v>
      </c>
      <c r="H11" s="24"/>
      <c r="I11" s="24"/>
      <c r="J11" s="25"/>
    </row>
    <row r="12" spans="3:14" ht="14.25" customHeight="1" x14ac:dyDescent="0.25">
      <c r="C12" s="83"/>
      <c r="D12" s="86"/>
      <c r="E12" s="21" t="s">
        <v>109</v>
      </c>
      <c r="F12" s="21">
        <f>F11*$F$3</f>
        <v>792</v>
      </c>
      <c r="G12" s="21">
        <f>G11*$G$3</f>
        <v>500</v>
      </c>
      <c r="H12" s="21"/>
      <c r="I12" s="21">
        <f>SUM(F12:H12)</f>
        <v>1292</v>
      </c>
      <c r="J12" s="5">
        <v>13</v>
      </c>
      <c r="L12" s="5">
        <v>13</v>
      </c>
      <c r="N12" s="1">
        <f>INT(L12*1.2)</f>
        <v>15</v>
      </c>
    </row>
    <row r="13" spans="3:14" ht="14.25" customHeight="1" x14ac:dyDescent="0.25">
      <c r="C13" s="83"/>
      <c r="D13" s="85" t="s">
        <v>8</v>
      </c>
      <c r="E13" s="21" t="s">
        <v>3</v>
      </c>
      <c r="F13" s="21">
        <v>3</v>
      </c>
      <c r="G13" s="21">
        <v>4</v>
      </c>
      <c r="H13" s="21"/>
      <c r="I13" s="21"/>
      <c r="J13" s="5"/>
      <c r="L13" s="5">
        <v>10</v>
      </c>
      <c r="N13" s="1">
        <f>INT(L13/1.1)</f>
        <v>9</v>
      </c>
    </row>
    <row r="14" spans="3:14" ht="14.25" customHeight="1" x14ac:dyDescent="0.25">
      <c r="C14" s="83"/>
      <c r="D14" s="86"/>
      <c r="E14" s="21" t="s">
        <v>109</v>
      </c>
      <c r="F14" s="21">
        <f>F13*$F$3</f>
        <v>594</v>
      </c>
      <c r="G14" s="21">
        <f>G13*$G$3</f>
        <v>400</v>
      </c>
      <c r="H14" s="21"/>
      <c r="I14" s="21">
        <f>SUM(F14:H14)</f>
        <v>994</v>
      </c>
      <c r="J14" s="5">
        <v>10</v>
      </c>
      <c r="L14" s="22">
        <v>7</v>
      </c>
      <c r="N14" s="1">
        <f>INT(L14/1.2)</f>
        <v>5</v>
      </c>
    </row>
    <row r="15" spans="3:14" ht="14.25" customHeight="1" x14ac:dyDescent="0.2">
      <c r="C15" s="83"/>
      <c r="D15" s="85" t="s">
        <v>9</v>
      </c>
      <c r="E15" s="21" t="s">
        <v>3</v>
      </c>
      <c r="F15" s="21">
        <v>2</v>
      </c>
      <c r="G15" s="21">
        <v>3</v>
      </c>
      <c r="H15" s="21"/>
      <c r="I15" s="21"/>
      <c r="J15" s="5"/>
    </row>
    <row r="16" spans="3:14" ht="14.25" customHeight="1" x14ac:dyDescent="0.2">
      <c r="C16" s="84"/>
      <c r="D16" s="87"/>
      <c r="E16" s="23" t="s">
        <v>109</v>
      </c>
      <c r="F16" s="23">
        <f>F15*$F$3</f>
        <v>396</v>
      </c>
      <c r="G16" s="23">
        <f>G15*$G$3</f>
        <v>300</v>
      </c>
      <c r="H16" s="23"/>
      <c r="I16" s="23">
        <f>SUM(F16:H16)</f>
        <v>696</v>
      </c>
      <c r="J16" s="22">
        <v>7</v>
      </c>
    </row>
    <row r="17" spans="2:3" ht="14.25" customHeight="1" x14ac:dyDescent="0.2"/>
    <row r="18" spans="2:3" ht="14.25" customHeight="1" x14ac:dyDescent="0.2"/>
    <row r="19" spans="2:3" ht="14.25" customHeight="1" x14ac:dyDescent="0.25">
      <c r="C19" s="1" t="s">
        <v>111</v>
      </c>
    </row>
    <row r="20" spans="2:3" ht="14.25" customHeight="1" x14ac:dyDescent="0.25">
      <c r="B20" s="1">
        <v>1</v>
      </c>
      <c r="C20" s="1" t="s">
        <v>112</v>
      </c>
    </row>
    <row r="21" spans="2:3" ht="14.25" customHeight="1" x14ac:dyDescent="0.25">
      <c r="B21" s="1">
        <v>2</v>
      </c>
      <c r="C21" s="1" t="s">
        <v>113</v>
      </c>
    </row>
    <row r="22" spans="2:3" ht="14.25" customHeight="1" x14ac:dyDescent="0.25">
      <c r="B22" s="1">
        <v>3</v>
      </c>
      <c r="C22" s="1" t="s">
        <v>114</v>
      </c>
    </row>
    <row r="23" spans="2:3" ht="14.25" customHeight="1" x14ac:dyDescent="0.2"/>
    <row r="24" spans="2:3" ht="14.25" customHeight="1" x14ac:dyDescent="0.2"/>
    <row r="25" spans="2:3" ht="14.25" customHeight="1" x14ac:dyDescent="0.25">
      <c r="C25" s="1" t="s">
        <v>115</v>
      </c>
    </row>
    <row r="26" spans="2:3" ht="14.25" customHeight="1" x14ac:dyDescent="0.25">
      <c r="C26" s="1" t="s">
        <v>116</v>
      </c>
    </row>
    <row r="27" spans="2:3" ht="14.25" customHeight="1" x14ac:dyDescent="0.2"/>
    <row r="28" spans="2:3" ht="14.25" customHeight="1" x14ac:dyDescent="0.2"/>
    <row r="29" spans="2:3" ht="14.25" customHeight="1" x14ac:dyDescent="0.2"/>
    <row r="30" spans="2:3" ht="14.25" customHeight="1" x14ac:dyDescent="0.2"/>
    <row r="31" spans="2:3" ht="14.25" customHeight="1" x14ac:dyDescent="0.2"/>
    <row r="32" spans="2:3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8">
    <mergeCell ref="C5:C10"/>
    <mergeCell ref="D5:D6"/>
    <mergeCell ref="D7:D8"/>
    <mergeCell ref="D9:D10"/>
    <mergeCell ref="C11:C16"/>
    <mergeCell ref="D11:D12"/>
    <mergeCell ref="D13:D14"/>
    <mergeCell ref="D15:D16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B1:Z982"/>
  <sheetViews>
    <sheetView workbookViewId="0">
      <selection activeCell="G19" sqref="G19"/>
    </sheetView>
  </sheetViews>
  <sheetFormatPr defaultColWidth="12.625" defaultRowHeight="15" customHeight="1" x14ac:dyDescent="0.2"/>
  <cols>
    <col min="1" max="1" width="7.625" customWidth="1"/>
    <col min="2" max="2" width="14.125" customWidth="1"/>
    <col min="3" max="3" width="9.875" customWidth="1"/>
    <col min="4" max="4" width="7.625" customWidth="1"/>
    <col min="5" max="5" width="14.125" customWidth="1"/>
    <col min="6" max="6" width="12.125" customWidth="1"/>
    <col min="7" max="7" width="12" customWidth="1"/>
    <col min="8" max="8" width="12.125" customWidth="1"/>
    <col min="9" max="10" width="7.625" customWidth="1"/>
    <col min="11" max="11" width="13.375" customWidth="1"/>
    <col min="12" max="12" width="12.125" customWidth="1"/>
    <col min="13" max="13" width="11.125" customWidth="1"/>
    <col min="14" max="17" width="7.625" customWidth="1"/>
    <col min="18" max="18" width="14.875" customWidth="1"/>
    <col min="19" max="25" width="7.625" customWidth="1"/>
  </cols>
  <sheetData>
    <row r="1" spans="2:19" ht="14.25" customHeight="1" x14ac:dyDescent="0.2"/>
    <row r="2" spans="2:19" ht="14.25" x14ac:dyDescent="0.2"/>
    <row r="3" spans="2:19" ht="23.25" x14ac:dyDescent="0.35">
      <c r="B3" s="1" t="s">
        <v>117</v>
      </c>
      <c r="C3" s="1" t="s">
        <v>118</v>
      </c>
      <c r="G3" s="1" t="s">
        <v>119</v>
      </c>
      <c r="H3" s="1" t="s">
        <v>120</v>
      </c>
      <c r="L3" s="1" t="s">
        <v>121</v>
      </c>
      <c r="M3" s="1" t="s">
        <v>122</v>
      </c>
      <c r="R3" t="s">
        <v>19</v>
      </c>
      <c r="S3" t="s">
        <v>152</v>
      </c>
    </row>
    <row r="4" spans="2:19" ht="14.25" customHeight="1" x14ac:dyDescent="0.25">
      <c r="B4" s="1" t="s">
        <v>123</v>
      </c>
      <c r="C4" s="1" t="s">
        <v>20</v>
      </c>
      <c r="D4" s="1" t="s">
        <v>124</v>
      </c>
      <c r="G4" s="1" t="s">
        <v>123</v>
      </c>
      <c r="H4" s="1" t="s">
        <v>20</v>
      </c>
      <c r="I4" s="1" t="s">
        <v>124</v>
      </c>
      <c r="L4" s="1" t="s">
        <v>123</v>
      </c>
      <c r="M4" s="1" t="s">
        <v>20</v>
      </c>
      <c r="N4" s="1" t="s">
        <v>124</v>
      </c>
      <c r="R4" t="s">
        <v>28</v>
      </c>
      <c r="S4" s="11">
        <v>304</v>
      </c>
    </row>
    <row r="5" spans="2:19" ht="14.25" customHeight="1" x14ac:dyDescent="0.25">
      <c r="B5" s="10"/>
      <c r="G5" s="10"/>
      <c r="L5" s="10"/>
      <c r="R5" t="s">
        <v>29</v>
      </c>
      <c r="S5" s="11">
        <v>234</v>
      </c>
    </row>
    <row r="6" spans="2:19" ht="14.25" customHeight="1" x14ac:dyDescent="0.25">
      <c r="B6" s="10"/>
      <c r="G6" s="10"/>
      <c r="L6" s="10"/>
      <c r="R6" t="s">
        <v>30</v>
      </c>
      <c r="S6" s="11">
        <v>232</v>
      </c>
    </row>
    <row r="7" spans="2:19" ht="14.25" customHeight="1" x14ac:dyDescent="0.25">
      <c r="B7" s="10"/>
      <c r="G7" s="10"/>
      <c r="L7" s="10"/>
      <c r="R7" t="s">
        <v>31</v>
      </c>
      <c r="S7" s="11">
        <v>230</v>
      </c>
    </row>
    <row r="8" spans="2:19" ht="14.25" customHeight="1" x14ac:dyDescent="0.25">
      <c r="R8" t="s">
        <v>34</v>
      </c>
      <c r="S8" s="11">
        <v>226</v>
      </c>
    </row>
    <row r="9" spans="2:19" ht="23.25" x14ac:dyDescent="0.35">
      <c r="B9" s="1" t="s">
        <v>125</v>
      </c>
      <c r="C9" s="1" t="s">
        <v>126</v>
      </c>
      <c r="G9" s="1" t="s">
        <v>127</v>
      </c>
      <c r="H9" s="1" t="s">
        <v>128</v>
      </c>
      <c r="L9" s="1" t="s">
        <v>129</v>
      </c>
      <c r="M9" s="1" t="s">
        <v>130</v>
      </c>
      <c r="R9" t="s">
        <v>33</v>
      </c>
      <c r="S9" s="11">
        <v>224</v>
      </c>
    </row>
    <row r="10" spans="2:19" ht="14.25" customHeight="1" x14ac:dyDescent="0.25">
      <c r="B10" s="1" t="s">
        <v>123</v>
      </c>
      <c r="C10" s="1" t="s">
        <v>20</v>
      </c>
      <c r="D10" s="1" t="s">
        <v>124</v>
      </c>
      <c r="G10" s="1" t="s">
        <v>123</v>
      </c>
      <c r="H10" s="1" t="s">
        <v>20</v>
      </c>
      <c r="I10" s="1" t="s">
        <v>124</v>
      </c>
      <c r="L10" s="1" t="s">
        <v>123</v>
      </c>
      <c r="M10" s="1" t="s">
        <v>20</v>
      </c>
      <c r="N10" s="1" t="s">
        <v>124</v>
      </c>
      <c r="R10" t="s">
        <v>32</v>
      </c>
      <c r="S10" s="11">
        <v>217</v>
      </c>
    </row>
    <row r="11" spans="2:19" ht="14.25" customHeight="1" x14ac:dyDescent="0.25">
      <c r="B11" s="10"/>
      <c r="G11" s="10"/>
      <c r="L11" s="10"/>
      <c r="R11" t="s">
        <v>35</v>
      </c>
      <c r="S11" s="11">
        <v>213</v>
      </c>
    </row>
    <row r="12" spans="2:19" ht="14.25" customHeight="1" x14ac:dyDescent="0.25">
      <c r="B12" s="10"/>
      <c r="G12" s="10"/>
      <c r="L12" s="10"/>
      <c r="R12" t="s">
        <v>36</v>
      </c>
      <c r="S12" s="11">
        <v>210</v>
      </c>
    </row>
    <row r="13" spans="2:19" ht="14.25" customHeight="1" x14ac:dyDescent="0.25">
      <c r="B13" s="10"/>
      <c r="G13" s="10"/>
      <c r="L13" s="10"/>
      <c r="R13" t="s">
        <v>38</v>
      </c>
      <c r="S13" s="11">
        <v>206</v>
      </c>
    </row>
    <row r="14" spans="2:19" ht="14.25" customHeight="1" x14ac:dyDescent="0.25">
      <c r="R14" t="s">
        <v>37</v>
      </c>
      <c r="S14" s="11">
        <v>205</v>
      </c>
    </row>
    <row r="15" spans="2:19" ht="23.25" x14ac:dyDescent="0.35">
      <c r="B15" s="1" t="s">
        <v>131</v>
      </c>
      <c r="C15" s="1" t="s">
        <v>132</v>
      </c>
      <c r="G15" s="1" t="s">
        <v>133</v>
      </c>
      <c r="H15" s="1" t="s">
        <v>134</v>
      </c>
      <c r="R15" t="s">
        <v>39</v>
      </c>
      <c r="S15" s="11">
        <v>200</v>
      </c>
    </row>
    <row r="16" spans="2:19" ht="14.25" customHeight="1" x14ac:dyDescent="0.25">
      <c r="B16" s="1" t="s">
        <v>123</v>
      </c>
      <c r="C16" s="1" t="s">
        <v>20</v>
      </c>
      <c r="D16" s="1" t="s">
        <v>124</v>
      </c>
      <c r="G16" s="1" t="s">
        <v>123</v>
      </c>
      <c r="H16" s="1" t="s">
        <v>20</v>
      </c>
      <c r="I16" s="1" t="s">
        <v>124</v>
      </c>
      <c r="R16" t="s">
        <v>41</v>
      </c>
      <c r="S16" s="11">
        <v>199</v>
      </c>
    </row>
    <row r="17" spans="2:26" ht="14.25" customHeight="1" x14ac:dyDescent="0.25">
      <c r="R17" t="s">
        <v>43</v>
      </c>
      <c r="S17" s="11">
        <v>194</v>
      </c>
    </row>
    <row r="18" spans="2:26" ht="14.25" customHeight="1" x14ac:dyDescent="0.25">
      <c r="R18" t="s">
        <v>44</v>
      </c>
      <c r="S18" s="11">
        <v>188</v>
      </c>
    </row>
    <row r="19" spans="2:26" ht="14.25" customHeight="1" x14ac:dyDescent="0.25">
      <c r="R19" t="s">
        <v>45</v>
      </c>
      <c r="S19" s="11">
        <v>188</v>
      </c>
    </row>
    <row r="20" spans="2:26" ht="14.25" customHeight="1" x14ac:dyDescent="0.25">
      <c r="B20" s="8"/>
      <c r="D20" s="8"/>
      <c r="E20" s="8"/>
      <c r="F20" s="8"/>
      <c r="G20" s="8"/>
      <c r="I20" s="8"/>
      <c r="J20" s="8"/>
      <c r="K20" s="8"/>
      <c r="L20" s="8"/>
      <c r="M20" s="8"/>
      <c r="N20" s="8"/>
      <c r="R20" t="s">
        <v>42</v>
      </c>
      <c r="S20" s="11">
        <v>183</v>
      </c>
    </row>
    <row r="21" spans="2:26" ht="23.25" x14ac:dyDescent="0.35">
      <c r="B21" s="1" t="s">
        <v>135</v>
      </c>
      <c r="C21" s="1" t="s">
        <v>136</v>
      </c>
      <c r="G21" s="1" t="s">
        <v>137</v>
      </c>
      <c r="H21" s="1" t="s">
        <v>138</v>
      </c>
      <c r="L21" s="1" t="s">
        <v>139</v>
      </c>
      <c r="M21" s="1" t="s">
        <v>140</v>
      </c>
      <c r="R21" t="s">
        <v>47</v>
      </c>
      <c r="S21" s="11">
        <v>182</v>
      </c>
    </row>
    <row r="22" spans="2:26" ht="14.25" customHeight="1" x14ac:dyDescent="0.25">
      <c r="B22" s="1" t="s">
        <v>123</v>
      </c>
      <c r="C22" s="1" t="s">
        <v>20</v>
      </c>
      <c r="D22" s="1" t="s">
        <v>124</v>
      </c>
      <c r="G22" s="1" t="s">
        <v>123</v>
      </c>
      <c r="H22" s="1" t="s">
        <v>20</v>
      </c>
      <c r="I22" s="1" t="s">
        <v>124</v>
      </c>
      <c r="L22" s="1" t="s">
        <v>123</v>
      </c>
      <c r="M22" s="1" t="s">
        <v>20</v>
      </c>
      <c r="N22" s="1" t="s">
        <v>124</v>
      </c>
      <c r="R22" t="s">
        <v>48</v>
      </c>
      <c r="S22" s="11">
        <v>176</v>
      </c>
    </row>
    <row r="23" spans="2:26" ht="14.25" customHeight="1" x14ac:dyDescent="0.25">
      <c r="B23" s="10"/>
      <c r="D23" s="1"/>
      <c r="G23" s="10"/>
      <c r="I23" s="1"/>
      <c r="L23" s="10"/>
      <c r="N23" s="1"/>
      <c r="R23" t="s">
        <v>49</v>
      </c>
      <c r="S23" s="11">
        <v>174</v>
      </c>
    </row>
    <row r="24" spans="2:26" ht="14.25" customHeight="1" x14ac:dyDescent="0.25">
      <c r="B24" s="10"/>
      <c r="D24" s="1"/>
      <c r="G24" s="10"/>
      <c r="I24" s="1"/>
      <c r="L24" s="10"/>
      <c r="N24" s="1"/>
      <c r="Q24" s="33"/>
      <c r="R24" s="33" t="s">
        <v>51</v>
      </c>
      <c r="S24" s="11">
        <v>165</v>
      </c>
      <c r="T24" s="33"/>
      <c r="U24" s="33"/>
      <c r="V24" s="33"/>
      <c r="W24" s="33"/>
      <c r="X24" s="33"/>
      <c r="Y24" s="33"/>
      <c r="Z24" s="33"/>
    </row>
    <row r="25" spans="2:26" ht="14.25" customHeight="1" x14ac:dyDescent="0.25">
      <c r="B25" s="10"/>
      <c r="D25" s="1"/>
      <c r="G25" s="10"/>
      <c r="I25" s="1"/>
      <c r="L25" s="10"/>
      <c r="N25" s="1"/>
      <c r="Q25" s="33"/>
      <c r="R25" s="33" t="s">
        <v>50</v>
      </c>
      <c r="S25" s="11">
        <v>163</v>
      </c>
      <c r="T25" s="33"/>
      <c r="U25" s="33"/>
      <c r="V25" s="33"/>
      <c r="W25" s="33"/>
      <c r="X25" s="33"/>
      <c r="Y25" s="33"/>
      <c r="Z25" s="33"/>
    </row>
    <row r="26" spans="2:26" ht="14.25" customHeight="1" x14ac:dyDescent="0.25">
      <c r="Q26" s="33"/>
      <c r="R26" s="33" t="s">
        <v>52</v>
      </c>
      <c r="S26" s="11">
        <v>160</v>
      </c>
      <c r="T26" s="33"/>
      <c r="U26" s="33"/>
      <c r="V26" s="33"/>
      <c r="W26" s="33"/>
      <c r="X26" s="33"/>
      <c r="Y26" s="33"/>
      <c r="Z26" s="33"/>
    </row>
    <row r="27" spans="2:26" ht="23.25" x14ac:dyDescent="0.35">
      <c r="B27" s="1" t="s">
        <v>141</v>
      </c>
      <c r="C27" s="1" t="s">
        <v>142</v>
      </c>
      <c r="G27" s="1" t="s">
        <v>143</v>
      </c>
      <c r="H27" s="1" t="s">
        <v>144</v>
      </c>
      <c r="L27" s="1" t="s">
        <v>145</v>
      </c>
      <c r="M27" s="1" t="s">
        <v>146</v>
      </c>
      <c r="Q27" s="33"/>
      <c r="R27" s="33" t="s">
        <v>54</v>
      </c>
      <c r="S27" s="11">
        <v>156</v>
      </c>
      <c r="T27" s="33"/>
      <c r="U27" s="33"/>
      <c r="V27" s="33"/>
      <c r="W27" s="33"/>
      <c r="X27" s="33"/>
      <c r="Y27" s="33"/>
      <c r="Z27" s="33"/>
    </row>
    <row r="28" spans="2:26" ht="14.25" customHeight="1" x14ac:dyDescent="0.25">
      <c r="B28" s="1" t="s">
        <v>123</v>
      </c>
      <c r="C28" s="1" t="s">
        <v>20</v>
      </c>
      <c r="D28" s="1" t="s">
        <v>124</v>
      </c>
      <c r="G28" s="1" t="s">
        <v>123</v>
      </c>
      <c r="H28" s="1" t="s">
        <v>20</v>
      </c>
      <c r="I28" s="1" t="s">
        <v>124</v>
      </c>
      <c r="L28" s="1" t="s">
        <v>123</v>
      </c>
      <c r="M28" s="1" t="s">
        <v>20</v>
      </c>
      <c r="N28" s="1" t="s">
        <v>124</v>
      </c>
      <c r="Q28" s="33"/>
      <c r="R28" s="33" t="s">
        <v>53</v>
      </c>
      <c r="S28" s="11">
        <v>153</v>
      </c>
      <c r="T28" s="33"/>
      <c r="U28" s="33"/>
      <c r="V28" s="33"/>
      <c r="W28" s="33"/>
      <c r="X28" s="33"/>
      <c r="Y28" s="33"/>
      <c r="Z28" s="33"/>
    </row>
    <row r="29" spans="2:26" ht="14.25" customHeight="1" x14ac:dyDescent="0.25">
      <c r="B29" s="10"/>
      <c r="D29" s="1"/>
      <c r="G29" s="10"/>
      <c r="I29" s="1"/>
      <c r="L29" s="10"/>
      <c r="N29" s="1"/>
      <c r="Q29" s="33"/>
      <c r="R29" s="33" t="s">
        <v>56</v>
      </c>
      <c r="S29" s="11">
        <v>152</v>
      </c>
      <c r="T29" s="33"/>
      <c r="U29" s="33"/>
      <c r="V29" s="33"/>
      <c r="W29" s="33"/>
      <c r="X29" s="33"/>
      <c r="Y29" s="33"/>
      <c r="Z29" s="33"/>
    </row>
    <row r="30" spans="2:26" ht="14.25" customHeight="1" x14ac:dyDescent="0.25">
      <c r="B30" s="10"/>
      <c r="D30" s="1"/>
      <c r="G30" s="10"/>
      <c r="I30" s="1"/>
      <c r="L30" s="10"/>
      <c r="N30" s="1"/>
      <c r="Q30" s="33"/>
      <c r="R30" s="33" t="s">
        <v>82</v>
      </c>
      <c r="S30" s="11">
        <v>151</v>
      </c>
      <c r="T30" s="33"/>
      <c r="U30" s="33"/>
      <c r="V30" s="33"/>
      <c r="W30" s="33"/>
      <c r="X30" s="33"/>
      <c r="Y30" s="33"/>
      <c r="Z30" s="33"/>
    </row>
    <row r="31" spans="2:26" ht="14.25" customHeight="1" x14ac:dyDescent="0.25">
      <c r="B31" s="10"/>
      <c r="D31" s="1"/>
      <c r="G31" s="10"/>
      <c r="I31" s="1"/>
      <c r="L31" s="13"/>
      <c r="N31" s="1"/>
      <c r="Q31" s="33"/>
      <c r="R31" s="33" t="s">
        <v>55</v>
      </c>
      <c r="S31" s="11">
        <v>146</v>
      </c>
      <c r="T31" s="33"/>
      <c r="U31" s="33"/>
      <c r="V31" s="33"/>
      <c r="W31" s="33"/>
      <c r="X31" s="33"/>
      <c r="Y31" s="33"/>
      <c r="Z31" s="33"/>
    </row>
    <row r="32" spans="2:26" ht="14.25" customHeight="1" x14ac:dyDescent="0.25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Q32" s="33"/>
      <c r="R32" s="33" t="s">
        <v>46</v>
      </c>
      <c r="S32" s="11">
        <v>144</v>
      </c>
      <c r="T32" s="33"/>
      <c r="U32" s="33"/>
      <c r="V32" s="33"/>
      <c r="W32" s="33"/>
      <c r="X32" s="33"/>
      <c r="Y32" s="33"/>
      <c r="Z32" s="33"/>
    </row>
    <row r="33" spans="17:26" ht="14.25" customHeight="1" x14ac:dyDescent="0.25">
      <c r="Q33" s="33"/>
      <c r="R33" s="33" t="s">
        <v>57</v>
      </c>
      <c r="S33" s="11">
        <v>135</v>
      </c>
      <c r="T33" s="33"/>
      <c r="U33" s="33"/>
      <c r="V33" s="33"/>
      <c r="W33" s="33"/>
      <c r="X33" s="33"/>
      <c r="Y33" s="33"/>
      <c r="Z33" s="33"/>
    </row>
    <row r="34" spans="17:26" ht="14.25" customHeight="1" x14ac:dyDescent="0.25">
      <c r="Q34" s="33"/>
      <c r="R34" s="33" t="s">
        <v>59</v>
      </c>
      <c r="S34" s="11">
        <v>132</v>
      </c>
      <c r="T34" s="33"/>
      <c r="U34" s="33"/>
      <c r="V34" s="33"/>
      <c r="W34" s="33"/>
      <c r="X34" s="33"/>
      <c r="Y34" s="33"/>
      <c r="Z34" s="33"/>
    </row>
    <row r="35" spans="17:26" ht="14.25" customHeight="1" x14ac:dyDescent="0.25">
      <c r="Q35" s="33"/>
      <c r="R35" s="33" t="s">
        <v>60</v>
      </c>
      <c r="S35" s="11">
        <v>124</v>
      </c>
      <c r="T35" s="33"/>
      <c r="U35" s="33"/>
      <c r="V35" s="33"/>
      <c r="W35" s="33"/>
      <c r="X35" s="33"/>
      <c r="Y35" s="33"/>
      <c r="Z35" s="33"/>
    </row>
    <row r="36" spans="17:26" ht="14.25" customHeight="1" x14ac:dyDescent="0.25">
      <c r="Q36" s="33"/>
      <c r="R36" s="33" t="s">
        <v>62</v>
      </c>
      <c r="S36" s="11">
        <v>109</v>
      </c>
      <c r="T36" s="33"/>
      <c r="U36" s="33"/>
      <c r="V36" s="33"/>
      <c r="W36" s="33"/>
      <c r="X36" s="33"/>
      <c r="Y36" s="33"/>
      <c r="Z36" s="33"/>
    </row>
    <row r="37" spans="17:26" ht="14.25" customHeight="1" x14ac:dyDescent="0.25">
      <c r="Q37" s="33"/>
      <c r="R37" s="33" t="s">
        <v>61</v>
      </c>
      <c r="S37" s="11">
        <v>106</v>
      </c>
      <c r="T37" s="33"/>
      <c r="U37" s="33"/>
      <c r="V37" s="33"/>
      <c r="W37" s="33"/>
      <c r="X37" s="33"/>
      <c r="Y37" s="33"/>
      <c r="Z37" s="33"/>
    </row>
    <row r="38" spans="17:26" ht="14.25" customHeight="1" x14ac:dyDescent="0.2"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 spans="17:26" ht="14.25" customHeight="1" x14ac:dyDescent="0.2"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 spans="17:26" ht="14.25" customHeight="1" x14ac:dyDescent="0.2">
      <c r="Q40" s="33"/>
      <c r="R40" s="33"/>
      <c r="S40" s="33"/>
      <c r="T40" s="33"/>
      <c r="U40" s="33"/>
      <c r="V40" s="33"/>
      <c r="W40" s="33"/>
      <c r="X40" s="33"/>
      <c r="Y40" s="33"/>
      <c r="Z40" s="33"/>
    </row>
    <row r="41" spans="17:26" ht="14.25" customHeight="1" x14ac:dyDescent="0.2">
      <c r="Q41" s="33"/>
      <c r="R41" s="33"/>
      <c r="S41" s="33"/>
      <c r="T41" s="33"/>
      <c r="U41" s="33"/>
      <c r="V41" s="33"/>
      <c r="W41" s="33"/>
      <c r="X41" s="33"/>
      <c r="Y41" s="33"/>
      <c r="Z41" s="33"/>
    </row>
    <row r="42" spans="17:26" ht="14.25" customHeight="1" x14ac:dyDescent="0.2">
      <c r="Q42" s="33"/>
      <c r="R42" s="33"/>
      <c r="S42" s="33"/>
      <c r="T42" s="33"/>
      <c r="U42" s="33"/>
      <c r="V42" s="33"/>
      <c r="W42" s="33"/>
      <c r="X42" s="33"/>
      <c r="Y42" s="33"/>
      <c r="Z42" s="33"/>
    </row>
    <row r="43" spans="17:26" ht="14.25" customHeight="1" x14ac:dyDescent="0.2">
      <c r="Q43" s="33"/>
      <c r="R43" s="33"/>
      <c r="S43" s="33"/>
      <c r="T43" s="33"/>
      <c r="U43" s="33"/>
      <c r="V43" s="33"/>
      <c r="W43" s="33"/>
      <c r="X43" s="33"/>
      <c r="Y43" s="33"/>
      <c r="Z43" s="33"/>
    </row>
    <row r="44" spans="17:26" ht="14.25" customHeight="1" x14ac:dyDescent="0.2">
      <c r="Q44" s="33"/>
      <c r="R44" s="33"/>
      <c r="S44" s="33"/>
      <c r="T44" s="33"/>
      <c r="U44" s="33"/>
      <c r="V44" s="33"/>
      <c r="W44" s="33"/>
      <c r="X44" s="33"/>
      <c r="Y44" s="33"/>
      <c r="Z44" s="33"/>
    </row>
    <row r="45" spans="17:26" ht="14.25" customHeight="1" x14ac:dyDescent="0.2">
      <c r="Q45" s="33"/>
      <c r="R45" s="33"/>
      <c r="S45" s="33"/>
      <c r="T45" s="33"/>
      <c r="U45" s="33"/>
      <c r="V45" s="33"/>
      <c r="W45" s="33"/>
      <c r="X45" s="33"/>
      <c r="Y45" s="33"/>
      <c r="Z45" s="33"/>
    </row>
    <row r="46" spans="17:26" ht="14.25" customHeight="1" x14ac:dyDescent="0.2">
      <c r="Q46" s="33"/>
      <c r="R46" s="33"/>
      <c r="S46" s="33"/>
      <c r="T46" s="33"/>
      <c r="U46" s="33"/>
      <c r="V46" s="33"/>
      <c r="W46" s="33"/>
      <c r="X46" s="33"/>
      <c r="Y46" s="33"/>
      <c r="Z46" s="33"/>
    </row>
    <row r="47" spans="17:26" ht="14.25" customHeight="1" x14ac:dyDescent="0.2">
      <c r="Q47" s="33"/>
      <c r="R47" s="33"/>
      <c r="S47" s="33"/>
      <c r="T47" s="33"/>
      <c r="U47" s="33"/>
      <c r="V47" s="33"/>
      <c r="W47" s="33"/>
      <c r="X47" s="33"/>
      <c r="Y47" s="33"/>
      <c r="Z47" s="33"/>
    </row>
    <row r="48" spans="17:26" ht="14.25" customHeight="1" x14ac:dyDescent="0.2">
      <c r="Q48" s="33"/>
      <c r="R48" s="33"/>
      <c r="S48" s="33"/>
      <c r="T48" s="33"/>
      <c r="U48" s="33"/>
      <c r="V48" s="33"/>
      <c r="W48" s="33"/>
      <c r="X48" s="33"/>
      <c r="Y48" s="33"/>
      <c r="Z48" s="33"/>
    </row>
    <row r="49" spans="17:26" ht="14.25" customHeight="1" x14ac:dyDescent="0.2">
      <c r="Q49" s="33"/>
      <c r="R49" s="33"/>
      <c r="S49" s="33"/>
      <c r="T49" s="33"/>
      <c r="U49" s="33"/>
      <c r="V49" s="33"/>
      <c r="W49" s="33"/>
      <c r="X49" s="33"/>
      <c r="Y49" s="33"/>
      <c r="Z49" s="33"/>
    </row>
    <row r="50" spans="17:26" ht="14.25" customHeight="1" x14ac:dyDescent="0.2">
      <c r="Q50" s="33"/>
      <c r="R50" s="33"/>
      <c r="S50" s="33"/>
      <c r="T50" s="33"/>
      <c r="U50" s="33"/>
      <c r="V50" s="33"/>
      <c r="W50" s="33"/>
      <c r="X50" s="33"/>
      <c r="Y50" s="33"/>
      <c r="Z50" s="33"/>
    </row>
    <row r="51" spans="17:26" ht="14.25" customHeight="1" x14ac:dyDescent="0.2">
      <c r="Q51" s="33"/>
      <c r="R51" s="33"/>
      <c r="S51" s="33"/>
      <c r="T51" s="33"/>
      <c r="U51" s="33"/>
      <c r="V51" s="33"/>
      <c r="W51" s="33"/>
      <c r="X51" s="33"/>
      <c r="Y51" s="33"/>
      <c r="Z51" s="33"/>
    </row>
    <row r="52" spans="17:26" ht="14.25" customHeight="1" x14ac:dyDescent="0.2">
      <c r="Q52" s="33"/>
      <c r="R52" s="33"/>
      <c r="S52" s="33"/>
      <c r="T52" s="33"/>
      <c r="U52" s="33"/>
      <c r="V52" s="33"/>
      <c r="W52" s="33"/>
      <c r="X52" s="33"/>
      <c r="Y52" s="33"/>
      <c r="Z52" s="33"/>
    </row>
    <row r="53" spans="17:26" ht="14.25" customHeight="1" x14ac:dyDescent="0.2">
      <c r="Q53" s="33"/>
      <c r="R53" s="33"/>
      <c r="S53" s="33"/>
      <c r="T53" s="33"/>
      <c r="U53" s="33"/>
      <c r="V53" s="33"/>
      <c r="W53" s="33"/>
      <c r="X53" s="33"/>
      <c r="Y53" s="33"/>
      <c r="Z53" s="33"/>
    </row>
    <row r="54" spans="17:26" ht="14.25" customHeight="1" x14ac:dyDescent="0.2">
      <c r="Q54" s="33"/>
      <c r="R54" s="33"/>
      <c r="S54" s="33"/>
      <c r="T54" s="33"/>
      <c r="U54" s="33"/>
      <c r="V54" s="33"/>
      <c r="W54" s="33"/>
      <c r="X54" s="33"/>
      <c r="Y54" s="33"/>
      <c r="Z54" s="33"/>
    </row>
    <row r="55" spans="17:26" ht="14.25" customHeight="1" x14ac:dyDescent="0.2">
      <c r="Q55" s="33"/>
      <c r="R55" s="33"/>
      <c r="S55" s="33"/>
      <c r="T55" s="33"/>
      <c r="U55" s="33"/>
      <c r="V55" s="33"/>
      <c r="W55" s="33"/>
      <c r="X55" s="33"/>
      <c r="Y55" s="33"/>
      <c r="Z55" s="33"/>
    </row>
    <row r="56" spans="17:26" ht="14.25" customHeight="1" x14ac:dyDescent="0.2">
      <c r="Q56" s="33"/>
      <c r="R56" s="33"/>
      <c r="S56" s="33"/>
      <c r="T56" s="33"/>
      <c r="U56" s="33"/>
      <c r="V56" s="33"/>
      <c r="W56" s="33"/>
      <c r="X56" s="33"/>
      <c r="Y56" s="33"/>
      <c r="Z56" s="33"/>
    </row>
    <row r="57" spans="17:26" ht="14.25" customHeight="1" x14ac:dyDescent="0.2">
      <c r="Q57" s="33"/>
      <c r="R57" s="33"/>
      <c r="S57" s="33"/>
      <c r="T57" s="33"/>
      <c r="U57" s="33"/>
      <c r="V57" s="33"/>
      <c r="W57" s="33"/>
      <c r="X57" s="33"/>
      <c r="Y57" s="33"/>
      <c r="Z57" s="33"/>
    </row>
    <row r="58" spans="17:26" ht="14.25" customHeight="1" x14ac:dyDescent="0.2">
      <c r="Q58" s="33"/>
      <c r="R58" s="33"/>
      <c r="S58" s="33"/>
      <c r="T58" s="33"/>
      <c r="U58" s="33"/>
      <c r="V58" s="33"/>
      <c r="W58" s="33"/>
      <c r="X58" s="33"/>
      <c r="Y58" s="33"/>
      <c r="Z58" s="33"/>
    </row>
    <row r="59" spans="17:26" ht="14.25" customHeight="1" x14ac:dyDescent="0.2">
      <c r="Q59" s="33"/>
      <c r="R59" s="33"/>
      <c r="S59" s="33"/>
      <c r="T59" s="33"/>
      <c r="U59" s="33"/>
      <c r="V59" s="33"/>
      <c r="W59" s="33"/>
      <c r="X59" s="33"/>
      <c r="Y59" s="33"/>
      <c r="Z59" s="33"/>
    </row>
    <row r="60" spans="17:26" ht="14.25" customHeight="1" x14ac:dyDescent="0.2">
      <c r="Q60" s="33"/>
      <c r="R60" s="33"/>
      <c r="S60" s="33"/>
      <c r="T60" s="33"/>
      <c r="U60" s="33"/>
      <c r="V60" s="33"/>
      <c r="W60" s="33"/>
      <c r="X60" s="33"/>
      <c r="Y60" s="33"/>
      <c r="Z60" s="33"/>
    </row>
    <row r="61" spans="17:26" ht="14.25" customHeight="1" x14ac:dyDescent="0.2">
      <c r="Q61" s="33"/>
      <c r="R61" s="33"/>
      <c r="S61" s="33"/>
      <c r="T61" s="33"/>
      <c r="U61" s="33"/>
      <c r="V61" s="33"/>
      <c r="W61" s="33"/>
      <c r="X61" s="33"/>
      <c r="Y61" s="33"/>
      <c r="Z61" s="33"/>
    </row>
    <row r="62" spans="17:26" ht="14.25" customHeight="1" x14ac:dyDescent="0.2">
      <c r="Q62" s="33"/>
      <c r="R62" s="33"/>
      <c r="S62" s="33"/>
      <c r="T62" s="33"/>
      <c r="U62" s="33"/>
      <c r="V62" s="33"/>
      <c r="W62" s="33"/>
      <c r="X62" s="33"/>
      <c r="Y62" s="33"/>
      <c r="Z62" s="33"/>
    </row>
    <row r="63" spans="17:26" ht="14.25" customHeight="1" x14ac:dyDescent="0.2">
      <c r="Q63" s="33"/>
      <c r="R63" s="33"/>
      <c r="S63" s="33"/>
      <c r="T63" s="33"/>
      <c r="U63" s="33"/>
      <c r="V63" s="33"/>
      <c r="W63" s="33"/>
      <c r="X63" s="33"/>
      <c r="Y63" s="33"/>
      <c r="Z63" s="33"/>
    </row>
    <row r="64" spans="17:26" ht="14.25" customHeight="1" x14ac:dyDescent="0.2">
      <c r="Q64" s="33"/>
      <c r="R64" s="33"/>
      <c r="S64" s="33"/>
      <c r="T64" s="33"/>
      <c r="U64" s="33"/>
      <c r="V64" s="33"/>
      <c r="W64" s="33"/>
      <c r="X64" s="33"/>
      <c r="Y64" s="33"/>
      <c r="Z64" s="33"/>
    </row>
    <row r="65" spans="17:26" ht="14.25" customHeight="1" x14ac:dyDescent="0.2"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7:26" ht="14.25" customHeight="1" x14ac:dyDescent="0.2">
      <c r="Q66" s="33"/>
      <c r="R66" s="33"/>
      <c r="S66" s="33"/>
      <c r="T66" s="33"/>
      <c r="U66" s="33"/>
      <c r="V66" s="33"/>
      <c r="W66" s="33"/>
      <c r="X66" s="33"/>
      <c r="Y66" s="33"/>
      <c r="Z66" s="33"/>
    </row>
    <row r="67" spans="17:26" ht="14.25" customHeight="1" x14ac:dyDescent="0.2">
      <c r="Q67" s="33"/>
      <c r="R67" s="33"/>
      <c r="S67" s="33"/>
      <c r="T67" s="33"/>
      <c r="U67" s="33"/>
      <c r="V67" s="33"/>
      <c r="W67" s="33"/>
      <c r="X67" s="33"/>
      <c r="Y67" s="33"/>
      <c r="Z67" s="33"/>
    </row>
    <row r="68" spans="17:26" ht="14.25" customHeight="1" x14ac:dyDescent="0.2">
      <c r="Q68" s="33"/>
      <c r="R68" s="33"/>
      <c r="S68" s="33"/>
      <c r="T68" s="33"/>
      <c r="U68" s="33"/>
      <c r="V68" s="33"/>
      <c r="W68" s="33"/>
      <c r="X68" s="33"/>
      <c r="Y68" s="33"/>
      <c r="Z68" s="33"/>
    </row>
    <row r="69" spans="17:26" ht="14.25" customHeight="1" x14ac:dyDescent="0.2">
      <c r="Q69" s="33"/>
      <c r="R69" s="33"/>
      <c r="S69" s="33"/>
      <c r="T69" s="33"/>
      <c r="U69" s="33"/>
      <c r="V69" s="33"/>
      <c r="W69" s="33"/>
      <c r="X69" s="33"/>
      <c r="Y69" s="33"/>
      <c r="Z69" s="33"/>
    </row>
    <row r="70" spans="17:26" ht="14.25" customHeight="1" x14ac:dyDescent="0.2">
      <c r="Q70" s="33"/>
      <c r="R70" s="33"/>
      <c r="S70" s="33"/>
      <c r="T70" s="33"/>
      <c r="U70" s="33"/>
      <c r="V70" s="33"/>
      <c r="W70" s="33"/>
      <c r="X70" s="33"/>
      <c r="Y70" s="33"/>
      <c r="Z70" s="33"/>
    </row>
    <row r="71" spans="17:26" ht="14.25" customHeight="1" x14ac:dyDescent="0.2">
      <c r="Q71" s="33"/>
      <c r="R71" s="33"/>
      <c r="S71" s="33"/>
      <c r="T71" s="33"/>
      <c r="U71" s="33"/>
      <c r="V71" s="33"/>
      <c r="W71" s="33"/>
      <c r="X71" s="33"/>
      <c r="Y71" s="33"/>
      <c r="Z71" s="33"/>
    </row>
    <row r="72" spans="17:26" ht="14.25" customHeight="1" x14ac:dyDescent="0.2">
      <c r="Q72" s="33"/>
      <c r="R72" s="33"/>
      <c r="S72" s="33"/>
      <c r="T72" s="33"/>
      <c r="U72" s="33"/>
      <c r="V72" s="33"/>
      <c r="W72" s="33"/>
      <c r="X72" s="33"/>
      <c r="Y72" s="33"/>
      <c r="Z72" s="33"/>
    </row>
    <row r="73" spans="17:26" ht="14.25" customHeight="1" x14ac:dyDescent="0.2">
      <c r="Q73" s="33"/>
      <c r="R73" s="33"/>
      <c r="S73" s="33"/>
      <c r="T73" s="33"/>
      <c r="U73" s="33"/>
      <c r="V73" s="33"/>
      <c r="W73" s="33"/>
      <c r="X73" s="33"/>
      <c r="Y73" s="33"/>
      <c r="Z73" s="33"/>
    </row>
    <row r="74" spans="17:26" ht="14.25" customHeight="1" x14ac:dyDescent="0.2">
      <c r="Q74" s="33"/>
      <c r="R74" s="33"/>
      <c r="S74" s="33"/>
      <c r="T74" s="33"/>
      <c r="U74" s="33"/>
      <c r="V74" s="33"/>
      <c r="W74" s="33"/>
      <c r="X74" s="33"/>
      <c r="Y74" s="33"/>
      <c r="Z74" s="33"/>
    </row>
    <row r="75" spans="17:26" ht="14.25" customHeight="1" x14ac:dyDescent="0.2">
      <c r="Q75" s="33"/>
      <c r="R75" s="33"/>
      <c r="S75" s="33"/>
      <c r="T75" s="33"/>
      <c r="U75" s="33"/>
      <c r="V75" s="33"/>
      <c r="W75" s="33"/>
      <c r="X75" s="33"/>
      <c r="Y75" s="33"/>
      <c r="Z75" s="33"/>
    </row>
    <row r="76" spans="17:26" ht="14.25" customHeight="1" x14ac:dyDescent="0.2">
      <c r="Q76" s="33"/>
      <c r="R76" s="33"/>
      <c r="S76" s="33"/>
      <c r="T76" s="33"/>
      <c r="U76" s="33"/>
      <c r="V76" s="33"/>
      <c r="W76" s="33"/>
      <c r="X76" s="33"/>
      <c r="Y76" s="33"/>
      <c r="Z76" s="33"/>
    </row>
    <row r="77" spans="17:26" ht="14.25" customHeight="1" x14ac:dyDescent="0.2">
      <c r="Q77" s="33"/>
      <c r="R77" s="33"/>
      <c r="S77" s="33"/>
      <c r="T77" s="33"/>
      <c r="U77" s="33"/>
      <c r="V77" s="33"/>
      <c r="W77" s="33"/>
      <c r="X77" s="33"/>
      <c r="Y77" s="33"/>
      <c r="Z77" s="33"/>
    </row>
    <row r="78" spans="17:26" ht="14.25" customHeight="1" x14ac:dyDescent="0.2">
      <c r="Q78" s="33"/>
      <c r="R78" s="33"/>
      <c r="S78" s="33"/>
      <c r="T78" s="33"/>
      <c r="U78" s="33"/>
      <c r="V78" s="33"/>
      <c r="W78" s="33"/>
      <c r="X78" s="33"/>
      <c r="Y78" s="33"/>
      <c r="Z78" s="33"/>
    </row>
    <row r="79" spans="17:26" ht="14.25" customHeight="1" x14ac:dyDescent="0.2">
      <c r="Q79" s="33"/>
      <c r="R79" s="33"/>
      <c r="S79" s="33"/>
      <c r="T79" s="33"/>
      <c r="U79" s="33"/>
      <c r="V79" s="33"/>
      <c r="W79" s="33"/>
      <c r="X79" s="33"/>
      <c r="Y79" s="33"/>
      <c r="Z79" s="33"/>
    </row>
    <row r="80" spans="17:26" ht="14.25" customHeight="1" x14ac:dyDescent="0.2">
      <c r="Q80" s="33"/>
      <c r="R80" s="33"/>
      <c r="S80" s="33"/>
      <c r="T80" s="33"/>
      <c r="U80" s="33"/>
      <c r="V80" s="33"/>
      <c r="W80" s="33"/>
      <c r="X80" s="33"/>
      <c r="Y80" s="33"/>
      <c r="Z80" s="33"/>
    </row>
    <row r="81" spans="17:26" ht="14.25" customHeight="1" x14ac:dyDescent="0.2">
      <c r="Q81" s="33"/>
      <c r="R81" s="33"/>
      <c r="S81" s="33"/>
      <c r="T81" s="33"/>
      <c r="U81" s="33"/>
      <c r="V81" s="33"/>
      <c r="W81" s="33"/>
      <c r="X81" s="33"/>
      <c r="Y81" s="33"/>
      <c r="Z81" s="33"/>
    </row>
    <row r="82" spans="17:26" ht="14.25" customHeight="1" x14ac:dyDescent="0.2">
      <c r="Q82" s="33"/>
      <c r="R82" s="33"/>
      <c r="S82" s="33"/>
      <c r="T82" s="33"/>
      <c r="U82" s="33"/>
      <c r="V82" s="33"/>
      <c r="W82" s="33"/>
      <c r="X82" s="33"/>
      <c r="Y82" s="33"/>
      <c r="Z82" s="33"/>
    </row>
    <row r="83" spans="17:26" ht="14.25" customHeight="1" x14ac:dyDescent="0.2">
      <c r="Q83" s="33"/>
      <c r="R83" s="33"/>
      <c r="S83" s="33"/>
      <c r="T83" s="33"/>
      <c r="U83" s="33"/>
      <c r="V83" s="33"/>
      <c r="W83" s="33"/>
      <c r="X83" s="33"/>
      <c r="Y83" s="33"/>
      <c r="Z83" s="33"/>
    </row>
    <row r="84" spans="17:26" ht="14.25" customHeight="1" x14ac:dyDescent="0.2">
      <c r="Q84" s="33"/>
      <c r="R84" s="33"/>
      <c r="S84" s="33"/>
      <c r="T84" s="33"/>
      <c r="U84" s="33"/>
      <c r="V84" s="33"/>
      <c r="W84" s="33"/>
      <c r="X84" s="33"/>
      <c r="Y84" s="33"/>
      <c r="Z84" s="33"/>
    </row>
    <row r="85" spans="17:26" ht="14.25" customHeight="1" x14ac:dyDescent="0.2">
      <c r="Q85" s="33"/>
      <c r="R85" s="33"/>
      <c r="S85" s="33"/>
      <c r="T85" s="33"/>
      <c r="U85" s="33"/>
      <c r="V85" s="33"/>
      <c r="W85" s="33"/>
      <c r="X85" s="33"/>
      <c r="Y85" s="33"/>
      <c r="Z85" s="33"/>
    </row>
    <row r="86" spans="17:26" ht="14.25" customHeight="1" x14ac:dyDescent="0.2">
      <c r="Q86" s="33"/>
      <c r="R86" s="33"/>
      <c r="S86" s="33"/>
      <c r="T86" s="33"/>
      <c r="U86" s="33"/>
      <c r="V86" s="33"/>
      <c r="W86" s="33"/>
      <c r="X86" s="33"/>
      <c r="Y86" s="33"/>
      <c r="Z86" s="33"/>
    </row>
    <row r="87" spans="17:26" ht="14.25" customHeight="1" x14ac:dyDescent="0.2">
      <c r="Q87" s="33"/>
      <c r="R87" s="33"/>
      <c r="S87" s="33"/>
      <c r="T87" s="33"/>
      <c r="U87" s="33"/>
      <c r="V87" s="33"/>
      <c r="W87" s="33"/>
      <c r="X87" s="33"/>
      <c r="Y87" s="33"/>
      <c r="Z87" s="33"/>
    </row>
    <row r="88" spans="17:26" ht="14.25" customHeight="1" x14ac:dyDescent="0.2"/>
    <row r="89" spans="17:26" ht="14.25" customHeight="1" x14ac:dyDescent="0.2"/>
    <row r="90" spans="17:26" ht="14.25" customHeight="1" x14ac:dyDescent="0.2"/>
    <row r="91" spans="17:26" ht="14.25" customHeight="1" x14ac:dyDescent="0.2"/>
    <row r="92" spans="17:26" ht="14.25" customHeight="1" x14ac:dyDescent="0.2"/>
    <row r="93" spans="17:26" ht="14.25" customHeight="1" x14ac:dyDescent="0.2"/>
    <row r="94" spans="17:26" ht="14.25" customHeight="1" x14ac:dyDescent="0.2"/>
    <row r="95" spans="17:26" ht="14.25" customHeight="1" x14ac:dyDescent="0.2"/>
    <row r="96" spans="17:2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>
    <outlinePr summaryBelow="0" summaryRight="0"/>
  </sheetPr>
  <dimension ref="B1:E39"/>
  <sheetViews>
    <sheetView workbookViewId="0">
      <selection activeCell="C43" sqref="C43"/>
    </sheetView>
  </sheetViews>
  <sheetFormatPr defaultColWidth="12.625" defaultRowHeight="15" customHeight="1" x14ac:dyDescent="0.2"/>
  <cols>
    <col min="2" max="2" width="18.875" customWidth="1"/>
  </cols>
  <sheetData>
    <row r="1" spans="2:5" ht="15" customHeight="1" x14ac:dyDescent="0.25">
      <c r="C1" s="1"/>
    </row>
    <row r="2" spans="2:5" ht="15" customHeight="1" x14ac:dyDescent="0.25">
      <c r="C2" s="14" t="s">
        <v>90</v>
      </c>
      <c r="E2" s="15">
        <v>0.1</v>
      </c>
    </row>
    <row r="3" spans="2:5" ht="15" customHeight="1" x14ac:dyDescent="0.25">
      <c r="B3" s="10" t="s">
        <v>28</v>
      </c>
      <c r="C3" s="1">
        <v>477</v>
      </c>
      <c r="E3" s="1">
        <f t="shared" ref="E3:E39" si="0">INT(C3*$E$2)</f>
        <v>47</v>
      </c>
    </row>
    <row r="4" spans="2:5" ht="15" customHeight="1" x14ac:dyDescent="0.25">
      <c r="B4" s="10" t="s">
        <v>89</v>
      </c>
      <c r="C4" s="1">
        <v>329</v>
      </c>
      <c r="E4" s="1">
        <f t="shared" si="0"/>
        <v>32</v>
      </c>
    </row>
    <row r="5" spans="2:5" ht="15" customHeight="1" x14ac:dyDescent="0.25">
      <c r="B5" s="10" t="s">
        <v>29</v>
      </c>
      <c r="C5" s="1">
        <v>372</v>
      </c>
      <c r="E5" s="1">
        <f t="shared" si="0"/>
        <v>37</v>
      </c>
    </row>
    <row r="6" spans="2:5" ht="15" customHeight="1" x14ac:dyDescent="0.25">
      <c r="B6" s="10" t="s">
        <v>30</v>
      </c>
      <c r="C6" s="1">
        <v>370</v>
      </c>
      <c r="E6" s="1">
        <f t="shared" si="0"/>
        <v>37</v>
      </c>
    </row>
    <row r="7" spans="2:5" ht="15" customHeight="1" x14ac:dyDescent="0.25">
      <c r="B7" s="10" t="s">
        <v>34</v>
      </c>
      <c r="C7" s="1">
        <v>373</v>
      </c>
      <c r="E7" s="1">
        <f t="shared" si="0"/>
        <v>37</v>
      </c>
    </row>
    <row r="8" spans="2:5" ht="15" customHeight="1" x14ac:dyDescent="0.25">
      <c r="B8" s="10" t="s">
        <v>31</v>
      </c>
      <c r="C8" s="1">
        <v>372</v>
      </c>
      <c r="E8" s="1">
        <f t="shared" si="0"/>
        <v>37</v>
      </c>
    </row>
    <row r="9" spans="2:5" ht="15" customHeight="1" x14ac:dyDescent="0.25">
      <c r="B9" s="10" t="s">
        <v>32</v>
      </c>
      <c r="C9" s="1">
        <v>366</v>
      </c>
      <c r="E9" s="1">
        <f t="shared" si="0"/>
        <v>36</v>
      </c>
    </row>
    <row r="10" spans="2:5" ht="15" customHeight="1" x14ac:dyDescent="0.25">
      <c r="B10" s="10" t="s">
        <v>33</v>
      </c>
      <c r="C10" s="1">
        <v>367</v>
      </c>
      <c r="E10" s="1">
        <f t="shared" si="0"/>
        <v>36</v>
      </c>
    </row>
    <row r="11" spans="2:5" ht="15" customHeight="1" x14ac:dyDescent="0.25">
      <c r="B11" s="10" t="s">
        <v>35</v>
      </c>
      <c r="C11" s="1">
        <v>367</v>
      </c>
      <c r="E11" s="1">
        <f t="shared" si="0"/>
        <v>36</v>
      </c>
    </row>
    <row r="12" spans="2:5" ht="15" customHeight="1" x14ac:dyDescent="0.25">
      <c r="B12" s="10" t="s">
        <v>37</v>
      </c>
      <c r="C12" s="1">
        <v>366</v>
      </c>
      <c r="E12" s="1">
        <f t="shared" si="0"/>
        <v>36</v>
      </c>
    </row>
    <row r="13" spans="2:5" ht="15" customHeight="1" x14ac:dyDescent="0.25">
      <c r="B13" s="10" t="s">
        <v>83</v>
      </c>
      <c r="C13" s="1">
        <v>348</v>
      </c>
      <c r="E13" s="1">
        <f t="shared" si="0"/>
        <v>34</v>
      </c>
    </row>
    <row r="14" spans="2:5" ht="15" customHeight="1" x14ac:dyDescent="0.25">
      <c r="B14" s="10" t="s">
        <v>36</v>
      </c>
      <c r="C14" s="1">
        <v>370</v>
      </c>
      <c r="E14" s="1">
        <f t="shared" si="0"/>
        <v>37</v>
      </c>
    </row>
    <row r="15" spans="2:5" ht="15" customHeight="1" x14ac:dyDescent="0.25">
      <c r="B15" s="10" t="s">
        <v>38</v>
      </c>
      <c r="C15" s="1">
        <v>370</v>
      </c>
      <c r="E15" s="1">
        <f t="shared" si="0"/>
        <v>37</v>
      </c>
    </row>
    <row r="16" spans="2:5" ht="15" customHeight="1" x14ac:dyDescent="0.25">
      <c r="B16" s="10" t="s">
        <v>40</v>
      </c>
      <c r="C16" s="1">
        <v>371</v>
      </c>
      <c r="E16" s="1">
        <f t="shared" si="0"/>
        <v>37</v>
      </c>
    </row>
    <row r="17" spans="2:5" ht="15" customHeight="1" x14ac:dyDescent="0.25">
      <c r="B17" s="10" t="s">
        <v>41</v>
      </c>
      <c r="C17" s="1">
        <v>367</v>
      </c>
      <c r="E17" s="1">
        <f t="shared" si="0"/>
        <v>36</v>
      </c>
    </row>
    <row r="18" spans="2:5" ht="15" customHeight="1" x14ac:dyDescent="0.25">
      <c r="B18" s="10" t="s">
        <v>42</v>
      </c>
      <c r="C18" s="1">
        <v>372</v>
      </c>
      <c r="E18" s="1">
        <f t="shared" si="0"/>
        <v>37</v>
      </c>
    </row>
    <row r="19" spans="2:5" ht="15" customHeight="1" x14ac:dyDescent="0.25">
      <c r="B19" s="10" t="s">
        <v>39</v>
      </c>
      <c r="C19" s="1">
        <v>373</v>
      </c>
      <c r="E19" s="1">
        <f t="shared" si="0"/>
        <v>37</v>
      </c>
    </row>
    <row r="20" spans="2:5" ht="15" customHeight="1" x14ac:dyDescent="0.25">
      <c r="B20" s="10" t="s">
        <v>43</v>
      </c>
      <c r="C20" s="1">
        <v>372</v>
      </c>
      <c r="E20" s="1">
        <f t="shared" si="0"/>
        <v>37</v>
      </c>
    </row>
    <row r="21" spans="2:5" ht="15" customHeight="1" x14ac:dyDescent="0.25">
      <c r="B21" s="10" t="s">
        <v>46</v>
      </c>
      <c r="C21" s="1">
        <v>370</v>
      </c>
      <c r="E21" s="1">
        <f t="shared" si="0"/>
        <v>37</v>
      </c>
    </row>
    <row r="22" spans="2:5" ht="15" customHeight="1" x14ac:dyDescent="0.25">
      <c r="B22" s="10" t="s">
        <v>45</v>
      </c>
      <c r="C22" s="1">
        <v>344</v>
      </c>
      <c r="E22" s="1">
        <f t="shared" si="0"/>
        <v>34</v>
      </c>
    </row>
    <row r="23" spans="2:5" ht="15" customHeight="1" x14ac:dyDescent="0.25">
      <c r="B23" s="10" t="s">
        <v>47</v>
      </c>
      <c r="C23" s="1">
        <v>372</v>
      </c>
      <c r="E23" s="1">
        <f t="shared" si="0"/>
        <v>37</v>
      </c>
    </row>
    <row r="24" spans="2:5" ht="15" customHeight="1" x14ac:dyDescent="0.25">
      <c r="B24" s="10" t="s">
        <v>44</v>
      </c>
      <c r="C24" s="1">
        <v>370</v>
      </c>
      <c r="E24" s="1">
        <f t="shared" si="0"/>
        <v>37</v>
      </c>
    </row>
    <row r="25" spans="2:5" ht="15" customHeight="1" x14ac:dyDescent="0.25">
      <c r="B25" s="10" t="s">
        <v>48</v>
      </c>
      <c r="C25" s="1">
        <v>353</v>
      </c>
      <c r="E25" s="1">
        <f t="shared" si="0"/>
        <v>35</v>
      </c>
    </row>
    <row r="26" spans="2:5" ht="15" customHeight="1" x14ac:dyDescent="0.25">
      <c r="B26" s="10" t="s">
        <v>49</v>
      </c>
      <c r="C26" s="1">
        <v>366</v>
      </c>
      <c r="E26" s="1">
        <f t="shared" si="0"/>
        <v>36</v>
      </c>
    </row>
    <row r="27" spans="2:5" ht="15" customHeight="1" x14ac:dyDescent="0.25">
      <c r="B27" s="10" t="s">
        <v>50</v>
      </c>
      <c r="C27" s="1">
        <v>234</v>
      </c>
      <c r="E27" s="1">
        <f t="shared" si="0"/>
        <v>23</v>
      </c>
    </row>
    <row r="28" spans="2:5" ht="15" customHeight="1" x14ac:dyDescent="0.25">
      <c r="B28" s="10" t="s">
        <v>51</v>
      </c>
      <c r="C28" s="1">
        <v>361</v>
      </c>
      <c r="E28" s="1">
        <f t="shared" si="0"/>
        <v>36</v>
      </c>
    </row>
    <row r="29" spans="2:5" x14ac:dyDescent="0.25">
      <c r="B29" s="10" t="s">
        <v>52</v>
      </c>
      <c r="C29" s="1">
        <v>358</v>
      </c>
      <c r="E29" s="1">
        <f t="shared" si="0"/>
        <v>35</v>
      </c>
    </row>
    <row r="30" spans="2:5" x14ac:dyDescent="0.25">
      <c r="B30" s="10" t="s">
        <v>55</v>
      </c>
      <c r="C30" s="1">
        <v>322</v>
      </c>
      <c r="E30" s="1">
        <f t="shared" si="0"/>
        <v>32</v>
      </c>
    </row>
    <row r="31" spans="2:5" x14ac:dyDescent="0.25">
      <c r="B31" s="10" t="s">
        <v>53</v>
      </c>
      <c r="C31" s="1">
        <v>311</v>
      </c>
      <c r="E31" s="1">
        <f t="shared" si="0"/>
        <v>31</v>
      </c>
    </row>
    <row r="32" spans="2:5" x14ac:dyDescent="0.25">
      <c r="B32" s="16" t="s">
        <v>56</v>
      </c>
      <c r="C32" s="1">
        <v>208</v>
      </c>
      <c r="E32" s="1">
        <f t="shared" si="0"/>
        <v>20</v>
      </c>
    </row>
    <row r="33" spans="2:5" x14ac:dyDescent="0.25">
      <c r="B33" s="3" t="s">
        <v>54</v>
      </c>
      <c r="C33" s="1">
        <v>352</v>
      </c>
      <c r="E33" s="1">
        <f t="shared" si="0"/>
        <v>35</v>
      </c>
    </row>
    <row r="34" spans="2:5" x14ac:dyDescent="0.25">
      <c r="B34" s="10" t="s">
        <v>57</v>
      </c>
      <c r="C34" s="1">
        <v>286</v>
      </c>
      <c r="E34" s="1">
        <f t="shared" si="0"/>
        <v>28</v>
      </c>
    </row>
    <row r="35" spans="2:5" x14ac:dyDescent="0.25">
      <c r="B35" s="10" t="s">
        <v>59</v>
      </c>
      <c r="C35" s="1">
        <v>157</v>
      </c>
      <c r="E35" s="1">
        <f t="shared" si="0"/>
        <v>15</v>
      </c>
    </row>
    <row r="36" spans="2:5" x14ac:dyDescent="0.25">
      <c r="B36" s="10" t="s">
        <v>58</v>
      </c>
      <c r="C36" s="1">
        <v>136</v>
      </c>
      <c r="E36" s="1">
        <f t="shared" si="0"/>
        <v>13</v>
      </c>
    </row>
    <row r="37" spans="2:5" x14ac:dyDescent="0.25">
      <c r="B37" s="10" t="s">
        <v>60</v>
      </c>
      <c r="C37" s="1">
        <v>227</v>
      </c>
      <c r="E37" s="1">
        <f t="shared" si="0"/>
        <v>22</v>
      </c>
    </row>
    <row r="38" spans="2:5" x14ac:dyDescent="0.25">
      <c r="B38" s="10" t="s">
        <v>61</v>
      </c>
      <c r="C38" s="1">
        <v>210</v>
      </c>
      <c r="E38" s="1">
        <f t="shared" si="0"/>
        <v>21</v>
      </c>
    </row>
    <row r="39" spans="2:5" x14ac:dyDescent="0.25">
      <c r="B39" s="10" t="s">
        <v>62</v>
      </c>
      <c r="C39" s="1">
        <v>112</v>
      </c>
      <c r="E39" s="1">
        <f t="shared" si="0"/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组织分包</vt:lpstr>
      <vt:lpstr>List</vt:lpstr>
      <vt:lpstr>战力表</vt:lpstr>
      <vt:lpstr>礼包</vt:lpstr>
      <vt:lpstr>忍战</vt:lpstr>
      <vt:lpstr>积分调整（单次）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Yu</dc:creator>
  <cp:lastModifiedBy>Jiang, Ruoli</cp:lastModifiedBy>
  <dcterms:created xsi:type="dcterms:W3CDTF">2019-09-30T01:29:53Z</dcterms:created>
  <dcterms:modified xsi:type="dcterms:W3CDTF">2023-06-20T21:24:13Z</dcterms:modified>
</cp:coreProperties>
</file>