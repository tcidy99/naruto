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E7E3C356-3998-44C5-AF17-1EC3D4AB802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<sst xmlns="http://schemas.openxmlformats.org/spreadsheetml/2006/main" count="364" uniqueCount="175">
  <si>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</si>
  <si>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</si>
  <si>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</si>
  <si>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</si>
  <si>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</si>
  <si>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</si>
  <si>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</si>
  <si>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</si>
  <si>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</si>
  <si>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</si>
  <si>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</si>
  <si>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</si>
  <si>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</si>
  <si>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</si>
  <si>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</si>
  <si>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</si>
  <si>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</si>
  <si>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</si>
  <si>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</si>
  <si>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</si>
  <si>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</si>
  <si>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</si>
  <si>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</si>
  <si>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</si>
  <si>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</si>
  <si>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</si>
  <si>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</si>
  <si>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</si>
  <si>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</si>
  <si>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</si>
  <si>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</si>
  <si>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</si>
  <si>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</si>
  <si>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</si>
  <si>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</si>
  <si>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</si>
  <si>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</si>
  <si>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</si>
  <si>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</si>
  <si>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</si>
  <si>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</si>
  <si>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</si>
  <si>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</si>
  <si>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</si>
  <si>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</si>
  <si>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</si>
  <si>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</si>
  <si>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</si>
  <si>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</si>
  <si>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</si>
  <si>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</si>
  <si>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</si>
  <si>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</si>
  <si>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</si>
  <si>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</si>
  <si>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</si>
  <si>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</si>
  <si>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</si>
  <si>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</si>
  <si>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</si>
  <si>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</si>
  <si>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</si>
  <si>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</si>
  <si>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</si>
  <si>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</si>
  <si>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</si>
  <si>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</si>
  <si>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</si>
  <si>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</si>
  <si>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</si>
  <si>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</si>
  <si>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</si>
  <si>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</si>
  <si>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</si>
  <si>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</si>
  <si>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</si>
  <si>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</si>
  <si>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</si>
  <si>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</si>
  <si>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</si>
  <si>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</si>
  <si>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</si>
  <si>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</si>
  <si>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</si>
  <si>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</si>
  <si>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</si>
  <si>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</si>
  <si>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</si>
  <si>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</si>
  <si>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</si>
  <si>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</si>
  <si>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</si>
  <si>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</si>
  <si>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</si>
  <si>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</si>
  <si>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</si>
  <si>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</si>
  <si>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</si>
  <si>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</si>
  <si>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</si>
  <si>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</si>
  <si>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</si>
  <si>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</si>
  <si>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</si>
  <si>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</si>
  <si>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</si>
  <si>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</si>
  <si>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</si>
  <si>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</si>
  <si>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</si>
  <si>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</si>
  <si>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</si>
  <si>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</si>
  <si>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</si>
  <si>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</si>
  <si>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</si>
  <si>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</si>
  <si>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</si>
  <si>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</si>
  <si>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</si>
  <si>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</si>
  <si>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</si>
  <si>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</si>
  <si>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</si>
  <si>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</si>
  <si>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</si>
  <si>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</si>
  <si>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</si>
  <si>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</si>
  <si>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</si>
  <si>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</si>
  <si>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</si>
  <si>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</si>
  <si>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</si>
  <si>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</si>
  <si>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</si>
  <si>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</si>
  <si>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</si>
  <si>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</si>
  <si>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</si>
  <si>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</si>
  <si>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</si>
  <si>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</si>
  <si>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</si>
  <si>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</si>
  <si>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</si>
  <si>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</si>
  <si>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</si>
  <si>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</si>
  <si>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</si>
  <si>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</si>
  <si>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</si>
  <si>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</si>
  <si>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</si>
  <si>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</si>
  <si>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</si>
  <si>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</si>
  <si>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</si>
  <si>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</si>
  <si>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</si>
  <si>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</si>
  <si>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</si>
  <si>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</si>
  <si>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</si>
  <si>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</si>
  <si>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</si>
  <si>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</si>
  <si>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</si>
  <si>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</si>
  <si>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</si>
  <si>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</si>
  <si>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</si>
  <si>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</si>
  <si>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</si>
  <si>
    <t>幻灵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</si>
</sst>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2640000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1" zoomScale="95" zoomScaleNormal="95" workbookViewId="0">
      <selection activeCell="T50" sqref="T50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31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158</v>
      </c>
      <c r="AA1" s="40" t="s">
        <v>6</v>
      </c>
    </row>
    <row r="2" spans="1:28" ht="28.5" customHeight="1" x14ac:dyDescent="0.3">
      <c r="D2" s="79" t="s">
        <v>164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3">
      <c r="D3" s="78" t="s">
        <v>167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3">
      <c r="D4" s="78" t="s">
        <v>166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40</v>
      </c>
    </row>
    <row r="5" spans="1:28" ht="30.75" customHeight="1" x14ac:dyDescent="0.3">
      <c r="D5" s="79" t="s">
        <v>168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163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162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150</v>
      </c>
      <c r="D8" t="s">
        <v>151</v>
      </c>
      <c r="F8" t="s">
        <v>152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</v>
      </c>
      <c r="F9" s="2">
        <v>22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</v>
      </c>
      <c r="F10" s="2">
        <v>28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7</v>
      </c>
      <c r="P10" s="40">
        <f>N10-O10</f>
        <v>2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4</v>
      </c>
      <c r="O11" s="40">
        <f>COUNTIF($S$15:$S$271,3)</f>
        <v>6</v>
      </c>
      <c r="P11" s="40">
        <f>N11-O11</f>
        <v>-2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3">
      <c r="B14" s="34" t="s">
        <v>149</v>
      </c>
      <c r="D14" s="1" t="s">
        <v>19</v>
      </c>
      <c r="F14" s="1" t="s">
        <v>153</v>
      </c>
      <c r="G14" s="3"/>
      <c r="H14" t="s">
        <v>154</v>
      </c>
      <c r="I14" s="1" t="s">
        <v>21</v>
      </c>
      <c r="K14" s="1" t="s">
        <v>20</v>
      </c>
      <c r="L14" s="37" t="s">
        <v>157</v>
      </c>
      <c r="M14" s="37" t="s">
        <v>156</v>
      </c>
      <c r="N14" s="1" t="s">
        <v>22</v>
      </c>
      <c r="P14" s="37" t="s">
        <v>159</v>
      </c>
      <c r="Q14" s="37" t="s">
        <v>160</v>
      </c>
      <c r="R14" s="37" t="s">
        <v>161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155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318</v>
      </c>
      <c r="Q17" s="57">
        <f t="shared" si="3"/>
        <v>23</v>
      </c>
      <c r="R17" s="57">
        <f t="shared" si="4"/>
        <v>341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319</v>
      </c>
      <c r="W17" s="12">
        <f>IF(H17=0,List!$C$5,$C$3)</f>
        <v>0</v>
      </c>
      <c r="X17" s="12"/>
      <c r="Y17" s="12">
        <f t="shared" si="8"/>
        <v>341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30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3</v>
      </c>
      <c r="M20" s="57">
        <f t="shared" si="1"/>
        <v>0</v>
      </c>
      <c r="N20" s="57" t="b">
        <f t="shared" si="2"/>
        <v>0</v>
      </c>
      <c r="O20" s="12"/>
      <c r="P20" s="56">
        <v>298</v>
      </c>
      <c r="Q20" s="57">
        <f t="shared" si="3"/>
        <v>13</v>
      </c>
      <c r="R20" s="57">
        <f t="shared" si="4"/>
        <v>311</v>
      </c>
      <c r="S20" s="57">
        <f t="shared" si="5"/>
        <v>2</v>
      </c>
      <c r="T20" s="57" t="str">
        <f t="shared" si="6"/>
        <v>英雄</v>
      </c>
      <c r="U20" s="57">
        <f t="shared" si="9"/>
        <v>-13</v>
      </c>
      <c r="V20" s="57">
        <f t="shared" si="7"/>
        <v>298</v>
      </c>
      <c r="W20" s="12">
        <f>IF(H20=0,List!$C$5,$C$3)</f>
        <v>0</v>
      </c>
      <c r="X20" s="12"/>
      <c r="Y20" s="12">
        <f t="shared" si="8"/>
        <v>311</v>
      </c>
      <c r="Z20" s="12">
        <f>RANK(Y20,$Y$15:$Y$55,0)+COUNTIF($Y$15:Y20,Y20)-1</f>
        <v>17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10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314</v>
      </c>
      <c r="Q22" s="57">
        <f t="shared" si="3"/>
        <v>23</v>
      </c>
      <c r="R22" s="57">
        <f t="shared" si="4"/>
        <v>337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315</v>
      </c>
      <c r="W22" s="12">
        <f>IF(H22=0,List!$C$5,$C$3)</f>
        <v>0</v>
      </c>
      <c r="X22" s="12"/>
      <c r="Y22" s="12">
        <f t="shared" si="8"/>
        <v>337</v>
      </c>
      <c r="Z22" s="12">
        <f>RANK(Y22,$Y$15:$Y$55,0)+COUNTIF($Y$15:Y22,Y22)-1</f>
        <v>7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300</v>
      </c>
      <c r="Q23" s="57">
        <f t="shared" si="3"/>
        <v>0</v>
      </c>
      <c r="R23" s="57">
        <f t="shared" si="4"/>
        <v>300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1</v>
      </c>
      <c r="I24" s="55"/>
      <c r="J24" s="12"/>
      <c r="K24" s="57">
        <f>IF(H24&gt;0,VLOOKUP(D24,战力表!$A$3:$F$58,6,FALSE),0)</f>
        <v>9</v>
      </c>
      <c r="L24" s="57">
        <f t="shared" si="0"/>
        <v>3</v>
      </c>
      <c r="M24" s="57">
        <f t="shared" si="1"/>
        <v>0</v>
      </c>
      <c r="N24" s="57" t="b">
        <f t="shared" si="2"/>
        <v>0</v>
      </c>
      <c r="O24" s="12"/>
      <c r="P24" s="56">
        <v>314</v>
      </c>
      <c r="Q24" s="57">
        <f t="shared" si="3"/>
        <v>12</v>
      </c>
      <c r="R24" s="57">
        <f t="shared" si="4"/>
        <v>326</v>
      </c>
      <c r="S24" s="57">
        <f t="shared" si="5"/>
        <v>2</v>
      </c>
      <c r="T24" s="57" t="str">
        <f t="shared" si="6"/>
        <v>英雄</v>
      </c>
      <c r="U24" s="57">
        <f t="shared" si="9"/>
        <v>-13</v>
      </c>
      <c r="V24" s="57">
        <f t="shared" si="7"/>
        <v>313</v>
      </c>
      <c r="W24" s="12">
        <f>IF(H24=0,List!$C$5,$C$3)</f>
        <v>0</v>
      </c>
      <c r="X24" s="12"/>
      <c r="Y24" s="12">
        <f t="shared" si="8"/>
        <v>326</v>
      </c>
      <c r="Z24" s="12">
        <f>RANK(Y24,$Y$15:$Y$55,0)+COUNTIF($Y$15:Y24,Y24)-1</f>
        <v>15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9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319</v>
      </c>
      <c r="Q25" s="57">
        <f t="shared" si="3"/>
        <v>22</v>
      </c>
      <c r="R25" s="57">
        <f t="shared" si="4"/>
        <v>341</v>
      </c>
      <c r="S25" s="57">
        <f t="shared" si="5"/>
        <v>1</v>
      </c>
      <c r="T25" s="57" t="str">
        <f t="shared" si="6"/>
        <v>传说</v>
      </c>
      <c r="U25" s="57">
        <f t="shared" si="9"/>
        <v>-22</v>
      </c>
      <c r="V25" s="57">
        <f t="shared" si="7"/>
        <v>319</v>
      </c>
      <c r="W25" s="12">
        <f>IF(H25=0,List!$C$5,$C$3)</f>
        <v>0</v>
      </c>
      <c r="X25" s="12"/>
      <c r="Y25" s="12">
        <f t="shared" si="8"/>
        <v>341</v>
      </c>
      <c r="Z25" s="12">
        <f>RANK(Y25,$Y$15:$Y$55,0)+COUNTIF($Y$15:Y25,Y25)-1</f>
        <v>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10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318</v>
      </c>
      <c r="Q26" s="57">
        <f t="shared" si="3"/>
        <v>23</v>
      </c>
      <c r="R26" s="57">
        <f t="shared" si="4"/>
        <v>341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319</v>
      </c>
      <c r="W26" s="12">
        <f>IF(H26=0,List!$C$5,$C$3)</f>
        <v>0</v>
      </c>
      <c r="X26" s="12"/>
      <c r="Y26" s="12">
        <f t="shared" si="8"/>
        <v>341</v>
      </c>
      <c r="Z26" s="12">
        <f>RANK(Y26,$Y$15:$Y$55,0)+COUNTIF($Y$15:Y26,Y26)-1</f>
        <v>3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1</v>
      </c>
      <c r="I27" s="55"/>
      <c r="J27" s="12"/>
      <c r="K27" s="57">
        <f>IF(H27&gt;0,VLOOKUP(D27,战力表!$A$3:$F$58,6,FALSE),0)</f>
        <v>9</v>
      </c>
      <c r="L27" s="57">
        <f t="shared" si="0"/>
        <v>3</v>
      </c>
      <c r="M27" s="57">
        <f t="shared" si="1"/>
        <v>0</v>
      </c>
      <c r="N27" s="57" t="b">
        <f t="shared" si="2"/>
        <v>0</v>
      </c>
      <c r="O27" s="12"/>
      <c r="P27" s="56">
        <v>320</v>
      </c>
      <c r="Q27" s="57">
        <f t="shared" si="3"/>
        <v>12</v>
      </c>
      <c r="R27" s="57">
        <f t="shared" si="4"/>
        <v>332</v>
      </c>
      <c r="S27" s="57">
        <f t="shared" si="5"/>
        <v>2</v>
      </c>
      <c r="T27" s="57" t="str">
        <f t="shared" si="6"/>
        <v>英雄</v>
      </c>
      <c r="U27" s="57">
        <f t="shared" si="9"/>
        <v>-13</v>
      </c>
      <c r="V27" s="57">
        <f t="shared" si="7"/>
        <v>319</v>
      </c>
      <c r="W27" s="12">
        <f>IF(H27=0,List!$C$5,$C$3)</f>
        <v>0</v>
      </c>
      <c r="X27" s="12"/>
      <c r="Y27" s="12">
        <f t="shared" si="8"/>
        <v>332</v>
      </c>
      <c r="Z27" s="12">
        <f>RANK(Y27,$Y$15:$Y$55,0)+COUNTIF($Y$15:Y27,Y27)-1</f>
        <v>13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9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317</v>
      </c>
      <c r="Q28" s="57">
        <f t="shared" si="3"/>
        <v>22</v>
      </c>
      <c r="R28" s="57">
        <f t="shared" si="4"/>
        <v>339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317</v>
      </c>
      <c r="W28" s="12">
        <f>IF(H28=0,List!$C$5,$C$3)</f>
        <v>0</v>
      </c>
      <c r="X28" s="12"/>
      <c r="Y28" s="12">
        <f t="shared" si="8"/>
        <v>339</v>
      </c>
      <c r="Z28" s="12">
        <f>RANK(Y28,$Y$15:$Y$55,0)+COUNTIF($Y$15:Y28,Y28)-1</f>
        <v>5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35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315</v>
      </c>
      <c r="Q30" s="57">
        <f t="shared" si="3"/>
        <v>21</v>
      </c>
      <c r="R30" s="57">
        <f t="shared" si="4"/>
        <v>336</v>
      </c>
      <c r="S30" s="57">
        <f t="shared" si="5"/>
        <v>2</v>
      </c>
      <c r="T30" s="57" t="str">
        <f t="shared" si="6"/>
        <v>英雄</v>
      </c>
      <c r="U30" s="57">
        <f t="shared" si="9"/>
        <v>-13</v>
      </c>
      <c r="V30" s="57">
        <f t="shared" si="7"/>
        <v>323</v>
      </c>
      <c r="W30" s="12">
        <f>IF(H30=0,List!$C$5,$C$3)</f>
        <v>0</v>
      </c>
      <c r="X30" s="12"/>
      <c r="Y30" s="12">
        <f t="shared" si="8"/>
        <v>336</v>
      </c>
      <c r="Z30" s="12">
        <f>RANK(Y30,$Y$15:$Y$55,0)+COUNTIF($Y$15:Y30,Y30)-1</f>
        <v>12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316</v>
      </c>
      <c r="Q31" s="57">
        <f t="shared" si="3"/>
        <v>21</v>
      </c>
      <c r="R31" s="57">
        <f t="shared" si="4"/>
        <v>337</v>
      </c>
      <c r="S31" s="57">
        <f t="shared" si="5"/>
        <v>1</v>
      </c>
      <c r="T31" s="57" t="str">
        <f t="shared" si="6"/>
        <v>传说</v>
      </c>
      <c r="U31" s="57">
        <f t="shared" si="9"/>
        <v>-22</v>
      </c>
      <c r="V31" s="57">
        <f t="shared" si="7"/>
        <v>315</v>
      </c>
      <c r="W31" s="12">
        <f>IF(H31=0,List!$C$5,$C$3)</f>
        <v>0</v>
      </c>
      <c r="X31" s="12"/>
      <c r="Y31" s="12">
        <f t="shared" si="8"/>
        <v>337</v>
      </c>
      <c r="Z31" s="12">
        <f>RANK(Y31,$Y$15:$Y$55,0)+COUNTIF($Y$15:Y31,Y31)-1</f>
        <v>8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8</v>
      </c>
      <c r="L33" s="57">
        <f t="shared" si="0"/>
        <v>9</v>
      </c>
      <c r="M33" s="57">
        <f t="shared" si="1"/>
        <v>4</v>
      </c>
      <c r="N33" s="57" t="b">
        <f t="shared" si="2"/>
        <v>0</v>
      </c>
      <c r="O33" s="12"/>
      <c r="P33" s="56">
        <v>316</v>
      </c>
      <c r="Q33" s="57">
        <f t="shared" si="3"/>
        <v>21</v>
      </c>
      <c r="R33" s="57">
        <f t="shared" si="4"/>
        <v>337</v>
      </c>
      <c r="S33" s="57">
        <f t="shared" si="5"/>
        <v>1</v>
      </c>
      <c r="T33" s="57" t="str">
        <f t="shared" si="6"/>
        <v>传说</v>
      </c>
      <c r="U33" s="57">
        <f t="shared" si="9"/>
        <v>-22</v>
      </c>
      <c r="V33" s="57">
        <f t="shared" si="7"/>
        <v>315</v>
      </c>
      <c r="W33" s="12">
        <f>IF(H33=0,List!$C$5,$C$3)</f>
        <v>0</v>
      </c>
      <c r="X33" s="12"/>
      <c r="Y33" s="12">
        <f t="shared" si="8"/>
        <v>337</v>
      </c>
      <c r="Z33" s="12">
        <f>RANK(Y33,$Y$15:$Y$55,0)+COUNTIF($Y$15:Y33,Y33)-1</f>
        <v>9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31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8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320</v>
      </c>
      <c r="Q36" s="57">
        <f t="shared" si="3"/>
        <v>21</v>
      </c>
      <c r="R36" s="57">
        <f t="shared" si="4"/>
        <v>341</v>
      </c>
      <c r="S36" s="57">
        <f t="shared" si="5"/>
        <v>1</v>
      </c>
      <c r="T36" s="57" t="str">
        <f t="shared" si="6"/>
        <v>传说</v>
      </c>
      <c r="U36" s="57">
        <f t="shared" si="9"/>
        <v>-22</v>
      </c>
      <c r="V36" s="57">
        <f t="shared" si="7"/>
        <v>319</v>
      </c>
      <c r="W36" s="12">
        <f>IF(H36=0,List!$C$5,$C$3)</f>
        <v>0</v>
      </c>
      <c r="X36" s="12"/>
      <c r="Y36" s="12">
        <f t="shared" si="8"/>
        <v>341</v>
      </c>
      <c r="Z36" s="12">
        <f>RANK(Y36,$Y$15:$Y$55,0)+COUNTIF($Y$15:Y36,Y36)-1</f>
        <v>4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83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171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34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317</v>
      </c>
      <c r="Q41" s="57">
        <f t="shared" si="3"/>
        <v>0</v>
      </c>
      <c r="R41" s="57">
        <f t="shared" si="4"/>
        <v>317</v>
      </c>
      <c r="S41" s="57" t="str">
        <f t="shared" si="5"/>
        <v/>
      </c>
      <c r="T41" s="57" t="b">
        <f t="shared" si="6"/>
        <v>0</v>
      </c>
      <c r="U41" s="57">
        <f t="shared" si="9"/>
        <v>0</v>
      </c>
      <c r="V41" s="57">
        <f t="shared" si="7"/>
        <v>317</v>
      </c>
      <c r="W41" s="12" t="str">
        <f>IF(H41=0,List!$C$5,$C$3)</f>
        <v>没有忍战，无法分包</v>
      </c>
      <c r="X41" s="12"/>
      <c r="Y41" s="12">
        <f t="shared" si="8"/>
        <v>317</v>
      </c>
      <c r="Z41" s="12">
        <f>RANK(Y41,$Y$15:$Y$55,0)+COUNTIF($Y$15:Y41,Y41)-1</f>
        <v>16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2</v>
      </c>
      <c r="I42" s="55"/>
      <c r="J42" s="12"/>
      <c r="K42" s="57">
        <f>IF(H42&gt;0,VLOOKUP(D42,战力表!$A$3:$F$58,6,FALSE),0)</f>
        <v>8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313</v>
      </c>
      <c r="Q42" s="57">
        <f t="shared" si="3"/>
        <v>14</v>
      </c>
      <c r="R42" s="57">
        <f t="shared" si="4"/>
        <v>327</v>
      </c>
      <c r="S42" s="57">
        <f t="shared" si="5"/>
        <v>2</v>
      </c>
      <c r="T42" s="57" t="str">
        <f t="shared" si="6"/>
        <v>英雄</v>
      </c>
      <c r="U42" s="57">
        <f t="shared" si="9"/>
        <v>-13</v>
      </c>
      <c r="V42" s="57">
        <f t="shared" si="7"/>
        <v>314</v>
      </c>
      <c r="W42" s="12">
        <f>IF(H42=0,List!$C$5,$C$3)</f>
        <v>0</v>
      </c>
      <c r="X42" s="12"/>
      <c r="Y42" s="12">
        <f t="shared" si="8"/>
        <v>327</v>
      </c>
      <c r="Z42" s="12">
        <f>RANK(Y42,$Y$15:$Y$55,0)+COUNTIF($Y$15:Y42,Y42)-1</f>
        <v>14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165</v>
      </c>
      <c r="E46" s="28"/>
      <c r="F46" s="55">
        <f>INT(VLOOKUP(D46,战力表!A:B,2,)/10000)</f>
        <v>104</v>
      </c>
      <c r="G46" s="12"/>
      <c r="H46" s="56">
        <v>3</v>
      </c>
      <c r="I46" s="55"/>
      <c r="J46" s="12"/>
      <c r="K46" s="57">
        <f>IF(H46&gt;0,VLOOKUP(D46,战力表!$A$3:$F$58,6,FALSE),0)</f>
        <v>7</v>
      </c>
      <c r="L46" s="57">
        <f t="shared" si="0"/>
        <v>9</v>
      </c>
      <c r="M46" s="57">
        <f t="shared" si="1"/>
        <v>4</v>
      </c>
      <c r="N46" s="57" t="b">
        <f t="shared" si="2"/>
        <v>0</v>
      </c>
      <c r="O46" s="12"/>
      <c r="P46" s="56">
        <v>171</v>
      </c>
      <c r="Q46" s="57">
        <f t="shared" si="3"/>
        <v>20</v>
      </c>
      <c r="R46" s="57">
        <f t="shared" si="4"/>
        <v>191</v>
      </c>
      <c r="S46" s="57">
        <f t="shared" si="5"/>
        <v>3</v>
      </c>
      <c r="T46" s="57" t="str">
        <f t="shared" si="6"/>
        <v>精英</v>
      </c>
      <c r="U46" s="57">
        <f t="shared" si="9"/>
        <v>-10</v>
      </c>
      <c r="V46" s="57">
        <f t="shared" si="7"/>
        <v>181</v>
      </c>
      <c r="W46" s="12">
        <f>IF(H46=0,List!$C$5,$C$3)</f>
        <v>0</v>
      </c>
      <c r="X46" s="12"/>
      <c r="Y46" s="12">
        <f t="shared" si="8"/>
        <v>191</v>
      </c>
      <c r="Z46" s="12">
        <f>RANK(Y46,$Y$15:$Y$55,0)+COUNTIF($Y$15:Y46,Y46)-1</f>
        <v>33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317</v>
      </c>
      <c r="Q47" s="57">
        <f t="shared" si="3"/>
        <v>20</v>
      </c>
      <c r="R47" s="57">
        <f t="shared" si="4"/>
        <v>337</v>
      </c>
      <c r="S47" s="57">
        <f t="shared" si="5"/>
        <v>2</v>
      </c>
      <c r="T47" s="57" t="str">
        <f t="shared" si="6"/>
        <v>英雄</v>
      </c>
      <c r="U47" s="57">
        <f t="shared" si="9"/>
        <v>-13</v>
      </c>
      <c r="V47" s="57">
        <f t="shared" si="7"/>
        <v>324</v>
      </c>
      <c r="W47" s="12">
        <f>IF(H47=0,List!$C$5,$C$3)</f>
        <v>0</v>
      </c>
      <c r="X47" s="12"/>
      <c r="Y47" s="12">
        <f t="shared" si="8"/>
        <v>337</v>
      </c>
      <c r="Z47" s="12">
        <f>RANK(Y47,$Y$15:$Y$55,0)+COUNTIF($Y$15:Y47,Y47)-1</f>
        <v>10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148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319</v>
      </c>
      <c r="Q48" s="57">
        <f t="shared" si="3"/>
        <v>20</v>
      </c>
      <c r="R48" s="57">
        <f t="shared" si="4"/>
        <v>339</v>
      </c>
      <c r="S48" s="57">
        <f t="shared" si="5"/>
        <v>1</v>
      </c>
      <c r="T48" s="57" t="str">
        <f t="shared" si="6"/>
        <v>传说</v>
      </c>
      <c r="U48" s="57">
        <f t="shared" si="9"/>
        <v>-22</v>
      </c>
      <c r="V48" s="57">
        <f t="shared" si="7"/>
        <v>317</v>
      </c>
      <c r="W48" s="12">
        <f>IF(H48=0,List!$C$5,$C$3)</f>
        <v>0</v>
      </c>
      <c r="X48" s="12"/>
      <c r="Y48" s="12">
        <f t="shared" si="8"/>
        <v>339</v>
      </c>
      <c r="Z48" s="12">
        <f>RANK(Y48,$Y$15:$Y$55,0)+COUNTIF($Y$15:Y48,Y48)-1</f>
        <v>6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9</v>
      </c>
      <c r="M49" s="57">
        <f t="shared" si="1"/>
        <v>4</v>
      </c>
      <c r="N49" s="57" t="b">
        <f t="shared" si="2"/>
        <v>0</v>
      </c>
      <c r="O49" s="12"/>
      <c r="P49" s="56">
        <v>119</v>
      </c>
      <c r="Q49" s="57">
        <f t="shared" si="3"/>
        <v>20</v>
      </c>
      <c r="R49" s="57">
        <f t="shared" si="4"/>
        <v>139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129</v>
      </c>
      <c r="W49" s="12">
        <f>IF(H49=0,List!$C$5,$C$3)</f>
        <v>0</v>
      </c>
      <c r="X49" s="12"/>
      <c r="Y49" s="12">
        <f t="shared" si="8"/>
        <v>139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1" t="s">
        <v>174</v>
      </c>
      <c r="E50" s="10"/>
      <c r="F50" s="55">
        <f>INT(VLOOKUP(D50,战力表!A:B,2,)/10000)</f>
        <v>30</v>
      </c>
      <c r="G50" s="12"/>
      <c r="H50" s="56">
        <v>2</v>
      </c>
      <c r="I50" s="55"/>
      <c r="J50" s="12"/>
      <c r="K50" s="57">
        <f>IF(H50&gt;0,VLOOKUP(D50,战力表!$A$3:$F$58,6,FALSE),0)</f>
        <v>7</v>
      </c>
      <c r="L50" s="57">
        <f t="shared" si="0"/>
        <v>6</v>
      </c>
      <c r="M50" s="57">
        <f t="shared" si="1"/>
        <v>0</v>
      </c>
      <c r="N50" s="57" t="b">
        <f t="shared" si="2"/>
        <v>0</v>
      </c>
      <c r="O50" s="12"/>
      <c r="P50" s="56">
        <v>198</v>
      </c>
      <c r="Q50" s="57">
        <f t="shared" si="3"/>
        <v>13</v>
      </c>
      <c r="R50" s="57">
        <f t="shared" si="4"/>
        <v>211</v>
      </c>
      <c r="S50" s="57">
        <f t="shared" si="5"/>
        <v>3</v>
      </c>
      <c r="T50" s="57" t="str">
        <f t="shared" si="6"/>
        <v>精英</v>
      </c>
      <c r="U50" s="57">
        <f t="shared" si="9"/>
        <v>-10</v>
      </c>
      <c r="V50" s="57">
        <f t="shared" si="7"/>
        <v>201</v>
      </c>
      <c r="W50" s="12">
        <f>IF(H50=0,List!$C$5,$C$3)</f>
        <v>0</v>
      </c>
      <c r="X50" s="12"/>
      <c r="Y50" s="12">
        <f t="shared" si="8"/>
        <v>211</v>
      </c>
      <c r="Z50" s="12">
        <f>RANK(Y50,$Y$15:$Y$55,0)+COUNTIF($Y$15:Y50,Y50)-1</f>
        <v>28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7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198</v>
      </c>
      <c r="Q52" s="57">
        <f t="shared" si="3"/>
        <v>10</v>
      </c>
      <c r="R52" s="57">
        <f t="shared" si="4"/>
        <v>208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198</v>
      </c>
      <c r="W52" s="12">
        <f>IF(H52=0,List!$C$5,$C$3)</f>
        <v>0</v>
      </c>
      <c r="X52" s="12"/>
      <c r="Y52" s="12">
        <f t="shared" si="8"/>
        <v>208</v>
      </c>
      <c r="Z52" s="12">
        <f>RANK(Y52,$Y$15:$Y$55,0)+COUNTIF($Y$15:Y52,Y52)-1</f>
        <v>29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68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7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186</v>
      </c>
      <c r="Q53" s="57">
        <f t="shared" si="3"/>
        <v>10</v>
      </c>
      <c r="R53" s="57">
        <f t="shared" si="4"/>
        <v>196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186</v>
      </c>
      <c r="W53" s="12">
        <f>IF(H53=0,List!$C$5,$C$3)</f>
        <v>0</v>
      </c>
      <c r="X53" s="12"/>
      <c r="Y53" s="12">
        <f t="shared" si="8"/>
        <v>196</v>
      </c>
      <c r="Z53" s="12">
        <f>RANK(Y53,$Y$15:$Y$55,0)+COUNTIF($Y$15:Y53,Y53)-1</f>
        <v>32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172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316</v>
      </c>
      <c r="Q54" s="57">
        <f t="shared" si="3"/>
        <v>21</v>
      </c>
      <c r="R54" s="57">
        <f t="shared" si="4"/>
        <v>337</v>
      </c>
      <c r="S54" s="57">
        <f t="shared" si="5"/>
        <v>2</v>
      </c>
      <c r="T54" s="57" t="str">
        <f t="shared" si="6"/>
        <v>英雄</v>
      </c>
      <c r="U54" s="57">
        <f t="shared" si="9"/>
        <v>-13</v>
      </c>
      <c r="V54" s="57">
        <f t="shared" si="7"/>
        <v>324</v>
      </c>
      <c r="W54" s="12">
        <f>IF(H54=0,List!$C$5,$C$3)</f>
        <v>0</v>
      </c>
      <c r="X54" s="12"/>
      <c r="Y54" s="12">
        <f t="shared" si="8"/>
        <v>337</v>
      </c>
      <c r="Z54" s="12">
        <f>RANK(Y54,$Y$15:$Y$55,0)+COUNTIF($Y$15:Y54,Y54)-1</f>
        <v>11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173</v>
      </c>
      <c r="E55" s="28"/>
      <c r="F55" s="55">
        <f>INT(VLOOKUP(D55,战力表!A:B,2,)/10000)</f>
        <v>63</v>
      </c>
      <c r="G55" s="12"/>
      <c r="H55" s="56">
        <v>3</v>
      </c>
      <c r="I55" s="55"/>
      <c r="J55" s="12"/>
      <c r="K55" s="57">
        <f>IF(H55&gt;0,VLOOKUP(D55,战力表!$A$3:$F$58,6,FALSE),0)</f>
        <v>7</v>
      </c>
      <c r="L55" s="57">
        <f t="shared" si="0"/>
        <v>9</v>
      </c>
      <c r="M55" s="57">
        <f t="shared" si="1"/>
        <v>4</v>
      </c>
      <c r="N55" s="57" t="b">
        <f t="shared" si="2"/>
        <v>0</v>
      </c>
      <c r="O55" s="12"/>
      <c r="P55" s="56">
        <v>139</v>
      </c>
      <c r="Q55" s="57">
        <f>K55+L55+M55+N55</f>
        <v>20</v>
      </c>
      <c r="R55" s="57">
        <f t="shared" ref="R55" si="10">P55+Q55</f>
        <v>159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-10</v>
      </c>
      <c r="V55" s="57">
        <f t="shared" ref="V55" si="14">P55+Q55+U55</f>
        <v>149</v>
      </c>
      <c r="W55" s="12">
        <f>IF(H55=0,List!$C$5,$C$3)</f>
        <v>0</v>
      </c>
      <c r="X55" s="12"/>
      <c r="Y55" s="12">
        <f>P55+Q55</f>
        <v>159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69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70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71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72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73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74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75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76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77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78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79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80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81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82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84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85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86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87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88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89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90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92</v>
      </c>
    </row>
    <row r="5" spans="3:3" ht="14.25" customHeight="1" x14ac:dyDescent="0.3">
      <c r="C5" s="1" t="s">
        <v>93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9" workbookViewId="0">
      <selection activeCell="D42" sqref="D42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20</v>
      </c>
    </row>
    <row r="2" spans="1:13" ht="14.25" customHeight="1" x14ac:dyDescent="0.3">
      <c r="B2" s="1" t="s">
        <v>20</v>
      </c>
      <c r="C2" s="1" t="s">
        <v>94</v>
      </c>
      <c r="D2" s="1"/>
      <c r="E2" s="1"/>
      <c r="F2" s="1" t="s">
        <v>95</v>
      </c>
      <c r="J2" s="1" t="s">
        <v>96</v>
      </c>
      <c r="K2" s="1" t="s">
        <v>95</v>
      </c>
      <c r="L2" s="36" t="s">
        <v>169</v>
      </c>
      <c r="M2" s="36" t="s">
        <v>170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3</v>
      </c>
      <c r="F8" s="1">
        <f t="shared" si="1"/>
        <v>10</v>
      </c>
      <c r="J8" s="15">
        <f t="shared" si="3"/>
        <v>0.2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60">
        <v>4</v>
      </c>
      <c r="L9" s="60">
        <f>C1-SUM(L3:L8)</f>
        <v>-14</v>
      </c>
      <c r="M9" s="1">
        <f t="shared" si="4"/>
        <v>20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4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2640000</v>
      </c>
      <c r="C14" s="14">
        <f>IF(VLOOKUP(A14,组织分包!$D$15:$H$62,5,FALSE)&gt;0,1,0)</f>
        <v>1</v>
      </c>
      <c r="D14" s="14">
        <f t="shared" si="0"/>
        <v>2640000</v>
      </c>
      <c r="E14" s="14">
        <f t="shared" si="2"/>
        <v>2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83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171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2"/>
        <v>#N/A</v>
      </c>
      <c r="F29" s="1" t="str">
        <f t="shared" si="1"/>
        <v/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165</v>
      </c>
      <c r="B34" s="17">
        <v>1040000</v>
      </c>
      <c r="C34" s="14">
        <f>IF(VLOOKUP(A34,组织分包!$D$15:$H$62,5,FALSE)&gt;0,1,0)</f>
        <v>1</v>
      </c>
      <c r="D34" s="14">
        <f t="shared" si="0"/>
        <v>1040000</v>
      </c>
      <c r="E34" s="14">
        <f t="shared" si="2"/>
        <v>15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148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19</v>
      </c>
      <c r="F37" s="1">
        <f t="shared" si="1"/>
        <v>7</v>
      </c>
    </row>
    <row r="38" spans="1:6" ht="14.25" customHeight="1" x14ac:dyDescent="0.3">
      <c r="A38" s="61" t="s">
        <v>174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20</v>
      </c>
      <c r="F38" s="1">
        <f t="shared" si="1"/>
        <v>7</v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21</v>
      </c>
      <c r="F40" s="1">
        <f t="shared" si="1"/>
        <v>7</v>
      </c>
    </row>
    <row r="41" spans="1:6" ht="14.25" customHeight="1" x14ac:dyDescent="0.3">
      <c r="A41" s="13" t="s">
        <v>68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22</v>
      </c>
      <c r="F41" s="1">
        <f t="shared" si="1"/>
        <v>7</v>
      </c>
    </row>
    <row r="42" spans="1:6" ht="14.25" customHeight="1" x14ac:dyDescent="0.3">
      <c r="A42" s="44" t="s">
        <v>172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3" t="s">
        <v>173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18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84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67</v>
      </c>
      <c r="B45" s="17"/>
    </row>
    <row r="46" spans="1:6" ht="14.25" customHeight="1" x14ac:dyDescent="0.3">
      <c r="A46" s="10" t="s">
        <v>88</v>
      </c>
      <c r="B46" s="2"/>
    </row>
    <row r="47" spans="1:6" ht="14.25" customHeight="1" x14ac:dyDescent="0.3">
      <c r="A47" s="10" t="s">
        <v>89</v>
      </c>
      <c r="B47" s="17"/>
    </row>
    <row r="48" spans="1:6" ht="14.25" customHeight="1" x14ac:dyDescent="0.3">
      <c r="A48" s="13" t="s">
        <v>87</v>
      </c>
      <c r="B48" s="17"/>
    </row>
    <row r="49" spans="1:6" ht="14.25" customHeight="1" x14ac:dyDescent="0.3">
      <c r="A49" s="10" t="s">
        <v>97</v>
      </c>
      <c r="B49" s="2">
        <v>1066676</v>
      </c>
    </row>
    <row r="50" spans="1:6" ht="14.25" customHeight="1" x14ac:dyDescent="0.3">
      <c r="A50" s="10" t="s">
        <v>76</v>
      </c>
      <c r="B50" s="2">
        <v>1027326</v>
      </c>
    </row>
    <row r="51" spans="1:6" ht="14.25" customHeight="1" x14ac:dyDescent="0.3">
      <c r="A51" s="10" t="s">
        <v>72</v>
      </c>
      <c r="B51" s="2">
        <v>1005928</v>
      </c>
    </row>
    <row r="52" spans="1:6" ht="14.25" customHeight="1" x14ac:dyDescent="0.3">
      <c r="A52" s="10" t="s">
        <v>98</v>
      </c>
      <c r="B52" s="2">
        <v>618320</v>
      </c>
    </row>
    <row r="53" spans="1:6" ht="14.25" customHeight="1" x14ac:dyDescent="0.3">
      <c r="A53" s="10" t="s">
        <v>99</v>
      </c>
      <c r="B53" s="2">
        <v>608160</v>
      </c>
    </row>
    <row r="54" spans="1:6" ht="14.25" customHeight="1" x14ac:dyDescent="0.3">
      <c r="A54" s="10" t="s">
        <v>100</v>
      </c>
      <c r="B54" s="2">
        <v>604504</v>
      </c>
    </row>
    <row r="55" spans="1:6" ht="14.25" customHeight="1" x14ac:dyDescent="0.3">
      <c r="A55" s="10" t="s">
        <v>74</v>
      </c>
      <c r="B55" s="2">
        <v>869720</v>
      </c>
    </row>
    <row r="56" spans="1:6" ht="14.25" customHeight="1" x14ac:dyDescent="0.3">
      <c r="A56" s="13" t="s">
        <v>80</v>
      </c>
      <c r="B56" s="2">
        <v>858119</v>
      </c>
    </row>
    <row r="57" spans="1:6" ht="14.25" customHeight="1" x14ac:dyDescent="0.3">
      <c r="A57" s="10" t="s">
        <v>75</v>
      </c>
      <c r="B57" s="2">
        <v>855959</v>
      </c>
    </row>
    <row r="58" spans="1:6" ht="14.25" customHeight="1" x14ac:dyDescent="0.3">
      <c r="A58" s="10" t="s">
        <v>77</v>
      </c>
      <c r="B58" s="17">
        <v>803274</v>
      </c>
    </row>
    <row r="59" spans="1:6" ht="14.25" customHeight="1" x14ac:dyDescent="0.3">
      <c r="A59" s="13" t="s">
        <v>101</v>
      </c>
      <c r="B59" s="17">
        <v>740352</v>
      </c>
    </row>
    <row r="60" spans="1:6" ht="14.25" customHeight="1" x14ac:dyDescent="0.3">
      <c r="A60" s="10" t="s">
        <v>69</v>
      </c>
      <c r="B60" s="2">
        <v>1114334</v>
      </c>
    </row>
    <row r="61" spans="1:6" ht="14.25" customHeight="1" x14ac:dyDescent="0.3">
      <c r="A61" s="10" t="s">
        <v>79</v>
      </c>
      <c r="B61" s="17"/>
    </row>
    <row r="62" spans="1:6" ht="14.25" customHeight="1" x14ac:dyDescent="0.3">
      <c r="A62" s="10" t="s">
        <v>86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102</v>
      </c>
    </row>
    <row r="3" spans="3:14" ht="14.25" customHeight="1" x14ac:dyDescent="0.3">
      <c r="E3" s="1" t="s">
        <v>103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104</v>
      </c>
      <c r="G4" s="19" t="s">
        <v>105</v>
      </c>
      <c r="H4" s="19" t="s">
        <v>106</v>
      </c>
      <c r="I4" s="19" t="s">
        <v>107</v>
      </c>
      <c r="J4" s="20" t="s">
        <v>108</v>
      </c>
    </row>
    <row r="5" spans="3:14" ht="14.25" customHeight="1" x14ac:dyDescent="0.25">
      <c r="C5" s="82" t="s">
        <v>109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110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110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110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111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110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110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110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112</v>
      </c>
    </row>
    <row r="20" spans="2:3" ht="14.25" customHeight="1" x14ac:dyDescent="0.3">
      <c r="B20" s="1">
        <v>1</v>
      </c>
      <c r="C20" s="1" t="s">
        <v>113</v>
      </c>
    </row>
    <row r="21" spans="2:3" ht="14.25" customHeight="1" x14ac:dyDescent="0.3">
      <c r="B21" s="1">
        <v>2</v>
      </c>
      <c r="C21" s="1" t="s">
        <v>114</v>
      </c>
    </row>
    <row r="22" spans="2:3" ht="14.25" customHeight="1" x14ac:dyDescent="0.3">
      <c r="B22" s="1">
        <v>3</v>
      </c>
      <c r="C22" s="1" t="s">
        <v>115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116</v>
      </c>
    </row>
    <row r="26" spans="2:3" ht="14.25" customHeight="1" x14ac:dyDescent="0.3">
      <c r="C26" s="1" t="s">
        <v>117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118</v>
      </c>
      <c r="C3" s="1" t="s">
        <v>119</v>
      </c>
      <c r="G3" s="1" t="s">
        <v>120</v>
      </c>
      <c r="H3" s="1" t="s">
        <v>121</v>
      </c>
      <c r="L3" s="1" t="s">
        <v>122</v>
      </c>
      <c r="M3" s="1" t="s">
        <v>123</v>
      </c>
      <c r="R3" t="s">
        <v>19</v>
      </c>
      <c r="S3" t="s">
        <v>153</v>
      </c>
    </row>
    <row r="4" spans="2:19" ht="14.25" customHeight="1" x14ac:dyDescent="0.3">
      <c r="B4" s="1" t="s">
        <v>124</v>
      </c>
      <c r="C4" s="1" t="s">
        <v>20</v>
      </c>
      <c r="D4" s="1" t="s">
        <v>125</v>
      </c>
      <c r="G4" s="1" t="s">
        <v>124</v>
      </c>
      <c r="H4" s="1" t="s">
        <v>20</v>
      </c>
      <c r="I4" s="1" t="s">
        <v>125</v>
      </c>
      <c r="L4" s="1" t="s">
        <v>124</v>
      </c>
      <c r="M4" s="1" t="s">
        <v>20</v>
      </c>
      <c r="N4" s="1" t="s">
        <v>125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126</v>
      </c>
      <c r="C9" s="1" t="s">
        <v>127</v>
      </c>
      <c r="G9" s="1" t="s">
        <v>128</v>
      </c>
      <c r="H9" s="1" t="s">
        <v>129</v>
      </c>
      <c r="L9" s="1" t="s">
        <v>130</v>
      </c>
      <c r="M9" s="1" t="s">
        <v>131</v>
      </c>
      <c r="R9" t="s">
        <v>33</v>
      </c>
      <c r="S9" s="11">
        <v>224</v>
      </c>
    </row>
    <row r="10" spans="2:19" ht="14.25" customHeight="1" x14ac:dyDescent="0.3">
      <c r="B10" s="1" t="s">
        <v>124</v>
      </c>
      <c r="C10" s="1" t="s">
        <v>20</v>
      </c>
      <c r="D10" s="1" t="s">
        <v>125</v>
      </c>
      <c r="G10" s="1" t="s">
        <v>124</v>
      </c>
      <c r="H10" s="1" t="s">
        <v>20</v>
      </c>
      <c r="I10" s="1" t="s">
        <v>125</v>
      </c>
      <c r="L10" s="1" t="s">
        <v>124</v>
      </c>
      <c r="M10" s="1" t="s">
        <v>20</v>
      </c>
      <c r="N10" s="1" t="s">
        <v>125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132</v>
      </c>
      <c r="C15" s="1" t="s">
        <v>133</v>
      </c>
      <c r="G15" s="1" t="s">
        <v>134</v>
      </c>
      <c r="H15" s="1" t="s">
        <v>135</v>
      </c>
      <c r="R15" t="s">
        <v>39</v>
      </c>
      <c r="S15" s="11">
        <v>200</v>
      </c>
    </row>
    <row r="16" spans="2:19" ht="14.25" customHeight="1" x14ac:dyDescent="0.3">
      <c r="B16" s="1" t="s">
        <v>124</v>
      </c>
      <c r="C16" s="1" t="s">
        <v>20</v>
      </c>
      <c r="D16" s="1" t="s">
        <v>125</v>
      </c>
      <c r="G16" s="1" t="s">
        <v>124</v>
      </c>
      <c r="H16" s="1" t="s">
        <v>20</v>
      </c>
      <c r="I16" s="1" t="s">
        <v>125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136</v>
      </c>
      <c r="C21" s="1" t="s">
        <v>137</v>
      </c>
      <c r="G21" s="1" t="s">
        <v>138</v>
      </c>
      <c r="H21" s="1" t="s">
        <v>139</v>
      </c>
      <c r="L21" s="1" t="s">
        <v>140</v>
      </c>
      <c r="M21" s="1" t="s">
        <v>141</v>
      </c>
      <c r="R21" t="s">
        <v>47</v>
      </c>
      <c r="S21" s="11">
        <v>182</v>
      </c>
    </row>
    <row r="22" spans="2:26" ht="14.25" customHeight="1" x14ac:dyDescent="0.3">
      <c r="B22" s="1" t="s">
        <v>124</v>
      </c>
      <c r="C22" s="1" t="s">
        <v>20</v>
      </c>
      <c r="D22" s="1" t="s">
        <v>125</v>
      </c>
      <c r="G22" s="1" t="s">
        <v>124</v>
      </c>
      <c r="H22" s="1" t="s">
        <v>20</v>
      </c>
      <c r="I22" s="1" t="s">
        <v>125</v>
      </c>
      <c r="L22" s="1" t="s">
        <v>124</v>
      </c>
      <c r="M22" s="1" t="s">
        <v>20</v>
      </c>
      <c r="N22" s="1" t="s">
        <v>125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142</v>
      </c>
      <c r="C27" s="1" t="s">
        <v>143</v>
      </c>
      <c r="G27" s="1" t="s">
        <v>144</v>
      </c>
      <c r="H27" s="1" t="s">
        <v>145</v>
      </c>
      <c r="L27" s="1" t="s">
        <v>146</v>
      </c>
      <c r="M27" s="1" t="s">
        <v>147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124</v>
      </c>
      <c r="C28" s="1" t="s">
        <v>20</v>
      </c>
      <c r="D28" s="1" t="s">
        <v>125</v>
      </c>
      <c r="G28" s="1" t="s">
        <v>124</v>
      </c>
      <c r="H28" s="1" t="s">
        <v>20</v>
      </c>
      <c r="I28" s="1" t="s">
        <v>125</v>
      </c>
      <c r="L28" s="1" t="s">
        <v>124</v>
      </c>
      <c r="M28" s="1" t="s">
        <v>20</v>
      </c>
      <c r="N28" s="1" t="s">
        <v>125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83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91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90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84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dcterms:created xsi:type="dcterms:W3CDTF">2019-09-30T01:29:53Z</dcterms:created>
  <dcterms:modified xsi:type="dcterms:W3CDTF">2023-01-30T19:10:37Z</dcterms:modified>
</cp:coreProperties>
</file>