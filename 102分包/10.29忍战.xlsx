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43808CA-B3B1-4C1B-8F44-F108A68BF8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Z52" i="1" s="1"/>
  <c r="Y48" i="1"/>
  <c r="Z48" i="1" s="1"/>
  <c r="R53" i="1"/>
  <c r="V53" i="1"/>
  <c r="R52" i="1"/>
  <c r="V52" i="1"/>
  <c r="Z49" i="1" l="1"/>
  <c r="Z39" i="1"/>
  <c r="Z50" i="1"/>
  <c r="Z51" i="1"/>
  <c r="Z43" i="1"/>
  <c r="Z40" i="1"/>
  <c r="Z37" i="1"/>
  <c r="Z36" i="1"/>
  <c r="S36" i="1" s="1"/>
  <c r="Z23" i="1"/>
  <c r="S23" i="1" s="1"/>
  <c r="Z41" i="1"/>
  <c r="S41" i="1" s="1"/>
  <c r="Z46" i="1"/>
  <c r="Z45" i="1"/>
  <c r="Z42" i="1"/>
  <c r="Z53" i="1"/>
  <c r="Z55" i="1"/>
  <c r="Z54" i="1"/>
  <c r="S54" i="1" s="1"/>
  <c r="Z16" i="1"/>
  <c r="Z15" i="1"/>
  <c r="S15" i="1" s="1"/>
  <c r="U15" i="1" s="1"/>
  <c r="Z24" i="1"/>
  <c r="S24" i="1" s="1"/>
  <c r="Z17" i="1"/>
  <c r="Z25" i="1"/>
  <c r="S25" i="1" s="1"/>
  <c r="Z19" i="1"/>
  <c r="Z33" i="1"/>
  <c r="S33" i="1" s="1"/>
  <c r="Z18" i="1"/>
  <c r="S18" i="1" s="1"/>
  <c r="Z27" i="1"/>
  <c r="S27" i="1" s="1"/>
  <c r="Z31" i="1"/>
  <c r="Z28" i="1"/>
  <c r="S28" i="1" s="1"/>
  <c r="Z20" i="1"/>
  <c r="S20" i="1" s="1"/>
  <c r="Z22" i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49" i="1"/>
  <c r="S55" i="1"/>
  <c r="S31" i="1"/>
  <c r="S17" i="1"/>
  <c r="S22" i="1"/>
  <c r="S39" i="1"/>
  <c r="S37" i="1"/>
  <c r="S42" i="1"/>
  <c r="S46" i="1"/>
  <c r="Z87" i="1"/>
  <c r="S87" i="1" s="1"/>
  <c r="S45" i="1"/>
  <c r="Z85" i="1"/>
  <c r="S85" i="1" s="1"/>
  <c r="S40" i="1"/>
  <c r="Z86" i="1"/>
  <c r="S48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<sst xmlns="http://schemas.openxmlformats.org/spreadsheetml/2006/main" count="364" uniqueCount="175">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</sst>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2400000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3" zoomScale="95" zoomScaleNormal="95" workbookViewId="0">
      <selection activeCell="A39" sqref="A39:XFD39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296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24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29</v>
      </c>
      <c r="AA4" s="40">
        <f>M11*N11</f>
        <v>70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10</v>
      </c>
      <c r="F9" s="2">
        <v>23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10</v>
      </c>
      <c r="F10" s="2">
        <v>29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14</v>
      </c>
      <c r="O11" s="40">
        <f>COUNTIF($S$15:$S$271,3)</f>
        <v>14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28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8</v>
      </c>
      <c r="M15" s="57">
        <f t="shared" ref="M15:M55" si="1">IF(H15=$U$11,$U$10,0)</f>
        <v>3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248</v>
      </c>
      <c r="Q15" s="57">
        <f t="shared" ref="Q15:Q54" si="3">K15+L15+M15+N15</f>
        <v>21</v>
      </c>
      <c r="R15" s="57">
        <f t="shared" ref="R15:R54" si="4">P15+Q15</f>
        <v>269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-15</v>
      </c>
      <c r="V15" s="57">
        <f t="shared" ref="V15:V54" si="7">P15+Q15+U15</f>
        <v>254</v>
      </c>
      <c r="W15" s="12">
        <f>IF(H15=0,List!$C$5,$C$3)</f>
        <v>0</v>
      </c>
      <c r="X15" s="12"/>
      <c r="Y15" s="12">
        <f t="shared" ref="Y15:Y54" si="8">P15+Q15</f>
        <v>269</v>
      </c>
      <c r="Z15" s="12">
        <f>RANK(Y15,$Y$15:$Y$55,0)+COUNTIF($Y$15:Y15,Y15)-1</f>
        <v>4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243</v>
      </c>
      <c r="Q17" s="57">
        <f t="shared" si="3"/>
        <v>21</v>
      </c>
      <c r="R17" s="57">
        <f t="shared" si="4"/>
        <v>264</v>
      </c>
      <c r="S17" s="57">
        <f t="shared" si="5"/>
        <v>2</v>
      </c>
      <c r="T17" s="57" t="str">
        <f t="shared" si="6"/>
        <v>英雄</v>
      </c>
      <c r="U17" s="57">
        <f t="shared" si="9"/>
        <v>-9</v>
      </c>
      <c r="V17" s="57">
        <f t="shared" si="7"/>
        <v>255</v>
      </c>
      <c r="W17" s="12">
        <f>IF(H17=0,List!$C$5,$C$3)</f>
        <v>0</v>
      </c>
      <c r="X17" s="12"/>
      <c r="Y17" s="12">
        <f t="shared" si="8"/>
        <v>264</v>
      </c>
      <c r="Z17" s="12">
        <f>RANK(Y17,$Y$15:$Y$55,0)+COUNTIF($Y$15:Y17,Y17)-1</f>
        <v>13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4</v>
      </c>
      <c r="I18" s="55"/>
      <c r="J18" s="12"/>
      <c r="K18" s="57">
        <f>IF(H18&gt;0,VLOOKUP(D18,战力表!$A$3:$F$58,6,FALSE),0)</f>
        <v>9</v>
      </c>
      <c r="L18" s="57">
        <f t="shared" si="0"/>
        <v>8</v>
      </c>
      <c r="M18" s="57">
        <f t="shared" si="1"/>
        <v>3</v>
      </c>
      <c r="N18" s="57" t="b">
        <f t="shared" si="2"/>
        <v>0</v>
      </c>
      <c r="O18" s="12"/>
      <c r="P18" s="56">
        <v>247</v>
      </c>
      <c r="Q18" s="57">
        <f t="shared" si="3"/>
        <v>20</v>
      </c>
      <c r="R18" s="57">
        <f t="shared" si="4"/>
        <v>267</v>
      </c>
      <c r="S18" s="57">
        <f t="shared" si="5"/>
        <v>1</v>
      </c>
      <c r="T18" s="57" t="str">
        <f t="shared" si="6"/>
        <v>传说</v>
      </c>
      <c r="U18" s="57">
        <f t="shared" si="9"/>
        <v>-15</v>
      </c>
      <c r="V18" s="57">
        <f t="shared" si="7"/>
        <v>252</v>
      </c>
      <c r="W18" s="12">
        <f>IF(H18=0,List!$C$5,$C$3)</f>
        <v>0</v>
      </c>
      <c r="X18" s="12"/>
      <c r="Y18" s="12">
        <f t="shared" si="8"/>
        <v>267</v>
      </c>
      <c r="Z18" s="12">
        <f>RANK(Y18,$Y$15:$Y$55,0)+COUNTIF($Y$15:Y18,Y18)-1</f>
        <v>7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3</v>
      </c>
      <c r="I20" s="55"/>
      <c r="J20" s="12"/>
      <c r="K20" s="57">
        <f>IF(H20&gt;0,VLOOKUP(D20,战力表!$A$3:$F$58,6,FALSE),0)</f>
        <v>10</v>
      </c>
      <c r="L20" s="57">
        <f t="shared" si="0"/>
        <v>6</v>
      </c>
      <c r="M20" s="57">
        <f t="shared" si="1"/>
        <v>0</v>
      </c>
      <c r="N20" s="57" t="b">
        <f t="shared" si="2"/>
        <v>0</v>
      </c>
      <c r="O20" s="12"/>
      <c r="P20" s="56">
        <v>243</v>
      </c>
      <c r="Q20" s="57">
        <f t="shared" si="3"/>
        <v>16</v>
      </c>
      <c r="R20" s="57">
        <f t="shared" si="4"/>
        <v>259</v>
      </c>
      <c r="S20" s="57">
        <f t="shared" si="5"/>
        <v>3</v>
      </c>
      <c r="T20" s="57" t="str">
        <f t="shared" si="6"/>
        <v>精英</v>
      </c>
      <c r="U20" s="57">
        <f t="shared" si="9"/>
        <v>-5</v>
      </c>
      <c r="V20" s="57">
        <f t="shared" si="7"/>
        <v>254</v>
      </c>
      <c r="W20" s="12">
        <f>IF(H20=0,List!$C$5,$C$3)</f>
        <v>0</v>
      </c>
      <c r="X20" s="12"/>
      <c r="Y20" s="12">
        <f t="shared" si="8"/>
        <v>259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252</v>
      </c>
      <c r="Q21" s="57">
        <f t="shared" si="3"/>
        <v>21</v>
      </c>
      <c r="R21" s="57">
        <f t="shared" si="4"/>
        <v>273</v>
      </c>
      <c r="S21" s="57">
        <f t="shared" si="5"/>
        <v>1</v>
      </c>
      <c r="T21" s="57" t="str">
        <f t="shared" si="6"/>
        <v>传说</v>
      </c>
      <c r="U21" s="57">
        <f t="shared" si="9"/>
        <v>-15</v>
      </c>
      <c r="V21" s="57">
        <f t="shared" si="7"/>
        <v>258</v>
      </c>
      <c r="W21" s="12">
        <f>IF(H21=0,List!$C$5,$C$3)</f>
        <v>0</v>
      </c>
      <c r="X21" s="12"/>
      <c r="Y21" s="12">
        <f t="shared" si="8"/>
        <v>273</v>
      </c>
      <c r="Z21" s="12">
        <f>RANK(Y21,$Y$15:$Y$55,0)+COUNTIF($Y$15:Y21,Y21)-1</f>
        <v>1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6</v>
      </c>
      <c r="M22" s="57">
        <f t="shared" si="1"/>
        <v>0</v>
      </c>
      <c r="N22" s="57" t="b">
        <f t="shared" si="2"/>
        <v>0</v>
      </c>
      <c r="O22" s="12"/>
      <c r="P22" s="56">
        <v>247</v>
      </c>
      <c r="Q22" s="57">
        <f t="shared" si="3"/>
        <v>15</v>
      </c>
      <c r="R22" s="57">
        <f t="shared" si="4"/>
        <v>262</v>
      </c>
      <c r="S22" s="57">
        <f t="shared" si="5"/>
        <v>3</v>
      </c>
      <c r="T22" s="57" t="str">
        <f t="shared" si="6"/>
        <v>精英</v>
      </c>
      <c r="U22" s="57">
        <f t="shared" si="9"/>
        <v>-5</v>
      </c>
      <c r="V22" s="57">
        <f t="shared" si="7"/>
        <v>257</v>
      </c>
      <c r="W22" s="12">
        <f>IF(H22=0,List!$C$5,$C$3)</f>
        <v>0</v>
      </c>
      <c r="X22" s="12"/>
      <c r="Y22" s="12">
        <f t="shared" si="8"/>
        <v>262</v>
      </c>
      <c r="Z22" s="12">
        <f>RANK(Y22,$Y$15:$Y$55,0)+COUNTIF($Y$15:Y22,Y22)-1</f>
        <v>16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2</v>
      </c>
      <c r="I23" s="55"/>
      <c r="J23" s="12"/>
      <c r="K23" s="57">
        <f>IF(H23&gt;0,VLOOKUP(D23,战力表!$A$3:$F$58,6,FALSE),0)</f>
        <v>8</v>
      </c>
      <c r="L23" s="57">
        <f t="shared" si="0"/>
        <v>4</v>
      </c>
      <c r="M23" s="57">
        <f t="shared" si="1"/>
        <v>0</v>
      </c>
      <c r="N23" s="57" t="b">
        <f t="shared" si="2"/>
        <v>0</v>
      </c>
      <c r="O23" s="12"/>
      <c r="P23" s="56">
        <v>248</v>
      </c>
      <c r="Q23" s="57">
        <f t="shared" si="3"/>
        <v>12</v>
      </c>
      <c r="R23" s="57">
        <f t="shared" si="4"/>
        <v>260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255</v>
      </c>
      <c r="W23" s="12">
        <f>IF(H23=0,List!$C$5,$C$3)</f>
        <v>0</v>
      </c>
      <c r="X23" s="12"/>
      <c r="Y23" s="12">
        <f t="shared" si="8"/>
        <v>260</v>
      </c>
      <c r="Z23" s="12">
        <f>RANK(Y23,$Y$15:$Y$55,0)+COUNTIF($Y$15:Y23,Y23)-1</f>
        <v>18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2</v>
      </c>
      <c r="I24" s="55"/>
      <c r="J24" s="12"/>
      <c r="K24" s="57">
        <f>IF(H24&gt;0,VLOOKUP(D24,战力表!$A$3:$F$58,6,FALSE),0)</f>
        <v>9</v>
      </c>
      <c r="L24" s="57">
        <f t="shared" si="0"/>
        <v>4</v>
      </c>
      <c r="M24" s="57">
        <f t="shared" si="1"/>
        <v>0</v>
      </c>
      <c r="N24" s="57" t="b">
        <f t="shared" si="2"/>
        <v>0</v>
      </c>
      <c r="O24" s="12"/>
      <c r="P24" s="56">
        <v>246</v>
      </c>
      <c r="Q24" s="57">
        <f t="shared" si="3"/>
        <v>13</v>
      </c>
      <c r="R24" s="57">
        <f t="shared" si="4"/>
        <v>259</v>
      </c>
      <c r="S24" s="57">
        <f t="shared" si="5"/>
        <v>3</v>
      </c>
      <c r="T24" s="57" t="str">
        <f t="shared" si="6"/>
        <v>精英</v>
      </c>
      <c r="U24" s="57">
        <f t="shared" si="9"/>
        <v>-5</v>
      </c>
      <c r="V24" s="57">
        <f t="shared" si="7"/>
        <v>254</v>
      </c>
      <c r="W24" s="12">
        <f>IF(H24=0,List!$C$5,$C$3)</f>
        <v>0</v>
      </c>
      <c r="X24" s="12"/>
      <c r="Y24" s="12">
        <f t="shared" si="8"/>
        <v>259</v>
      </c>
      <c r="Z24" s="12">
        <f>RANK(Y24,$Y$15:$Y$55,0)+COUNTIF($Y$15:Y24,Y24)-1</f>
        <v>20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4</v>
      </c>
      <c r="I25" s="55"/>
      <c r="J25" s="12"/>
      <c r="K25" s="57">
        <f>IF(H25&gt;0,VLOOKUP(D25,战力表!$A$3:$F$58,6,FALSE),0)</f>
        <v>8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252</v>
      </c>
      <c r="Q25" s="57">
        <f t="shared" si="3"/>
        <v>19</v>
      </c>
      <c r="R25" s="57">
        <f t="shared" si="4"/>
        <v>271</v>
      </c>
      <c r="S25" s="57">
        <f t="shared" si="5"/>
        <v>1</v>
      </c>
      <c r="T25" s="57" t="str">
        <f t="shared" si="6"/>
        <v>传说</v>
      </c>
      <c r="U25" s="57">
        <f t="shared" si="9"/>
        <v>-15</v>
      </c>
      <c r="V25" s="57">
        <f t="shared" si="7"/>
        <v>256</v>
      </c>
      <c r="W25" s="12">
        <f>IF(H25=0,List!$C$5,$C$3)</f>
        <v>0</v>
      </c>
      <c r="X25" s="12"/>
      <c r="Y25" s="12">
        <f t="shared" si="8"/>
        <v>271</v>
      </c>
      <c r="Z25" s="12">
        <f>RANK(Y25,$Y$15:$Y$55,0)+COUNTIF($Y$15:Y25,Y25)-1</f>
        <v>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247</v>
      </c>
      <c r="Q26" s="57">
        <f t="shared" si="3"/>
        <v>20</v>
      </c>
      <c r="R26" s="57">
        <f t="shared" si="4"/>
        <v>267</v>
      </c>
      <c r="S26" s="57">
        <f t="shared" si="5"/>
        <v>2</v>
      </c>
      <c r="T26" s="57" t="str">
        <f t="shared" si="6"/>
        <v>英雄</v>
      </c>
      <c r="U26" s="57">
        <f t="shared" si="9"/>
        <v>-9</v>
      </c>
      <c r="V26" s="57">
        <f t="shared" si="7"/>
        <v>258</v>
      </c>
      <c r="W26" s="12">
        <f>IF(H26=0,List!$C$5,$C$3)</f>
        <v>0</v>
      </c>
      <c r="X26" s="12"/>
      <c r="Y26" s="12">
        <f t="shared" si="8"/>
        <v>267</v>
      </c>
      <c r="Z26" s="12">
        <f>RANK(Y26,$Y$15:$Y$55,0)+COUNTIF($Y$15:Y26,Y26)-1</f>
        <v>8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244</v>
      </c>
      <c r="Q27" s="57">
        <f t="shared" si="3"/>
        <v>19</v>
      </c>
      <c r="R27" s="57">
        <f t="shared" si="4"/>
        <v>263</v>
      </c>
      <c r="S27" s="57">
        <f t="shared" si="5"/>
        <v>3</v>
      </c>
      <c r="T27" s="57" t="str">
        <f t="shared" si="6"/>
        <v>精英</v>
      </c>
      <c r="U27" s="57">
        <f t="shared" si="9"/>
        <v>-5</v>
      </c>
      <c r="V27" s="57">
        <f t="shared" si="7"/>
        <v>258</v>
      </c>
      <c r="W27" s="12">
        <f>IF(H27=0,List!$C$5,$C$3)</f>
        <v>0</v>
      </c>
      <c r="X27" s="12"/>
      <c r="Y27" s="12">
        <f t="shared" si="8"/>
        <v>263</v>
      </c>
      <c r="Z27" s="12">
        <f>RANK(Y27,$Y$15:$Y$55,0)+COUNTIF($Y$15:Y27,Y27)-1</f>
        <v>15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247</v>
      </c>
      <c r="Q28" s="57">
        <f t="shared" si="3"/>
        <v>19</v>
      </c>
      <c r="R28" s="57">
        <f t="shared" si="4"/>
        <v>266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257</v>
      </c>
      <c r="W28" s="12">
        <f>IF(H28=0,List!$C$5,$C$3)</f>
        <v>0</v>
      </c>
      <c r="X28" s="12"/>
      <c r="Y28" s="12">
        <f t="shared" si="8"/>
        <v>266</v>
      </c>
      <c r="Z28" s="12">
        <f>RANK(Y28,$Y$15:$Y$55,0)+COUNTIF($Y$15:Y28,Y28)-1</f>
        <v>10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252</v>
      </c>
      <c r="Q30" s="57">
        <f t="shared" si="3"/>
        <v>19</v>
      </c>
      <c r="R30" s="57">
        <f t="shared" si="4"/>
        <v>271</v>
      </c>
      <c r="S30" s="57">
        <f t="shared" si="5"/>
        <v>1</v>
      </c>
      <c r="T30" s="57" t="str">
        <f t="shared" si="6"/>
        <v>传说</v>
      </c>
      <c r="U30" s="57">
        <f t="shared" si="9"/>
        <v>-15</v>
      </c>
      <c r="V30" s="57">
        <f t="shared" si="7"/>
        <v>256</v>
      </c>
      <c r="W30" s="12">
        <f>IF(H30=0,List!$C$5,$C$3)</f>
        <v>0</v>
      </c>
      <c r="X30" s="12"/>
      <c r="Y30" s="12">
        <f t="shared" si="8"/>
        <v>271</v>
      </c>
      <c r="Z30" s="12">
        <f>RANK(Y30,$Y$15:$Y$55,0)+COUNTIF($Y$15:Y30,Y30)-1</f>
        <v>3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249</v>
      </c>
      <c r="Q31" s="57">
        <f t="shared" si="3"/>
        <v>19</v>
      </c>
      <c r="R31" s="57">
        <f t="shared" si="4"/>
        <v>268</v>
      </c>
      <c r="S31" s="57">
        <f t="shared" si="5"/>
        <v>1</v>
      </c>
      <c r="T31" s="57" t="str">
        <f t="shared" si="6"/>
        <v>传说</v>
      </c>
      <c r="U31" s="57">
        <f t="shared" si="9"/>
        <v>-15</v>
      </c>
      <c r="V31" s="57">
        <f t="shared" si="7"/>
        <v>253</v>
      </c>
      <c r="W31" s="12">
        <f>IF(H31=0,List!$C$5,$C$3)</f>
        <v>0</v>
      </c>
      <c r="X31" s="12"/>
      <c r="Y31" s="12">
        <f t="shared" si="8"/>
        <v>268</v>
      </c>
      <c r="Z31" s="12">
        <f>RANK(Y31,$Y$15:$Y$55,0)+COUNTIF($Y$15:Y31,Y31)-1</f>
        <v>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3</v>
      </c>
      <c r="I32" s="55"/>
      <c r="J32" s="12"/>
      <c r="K32" s="57">
        <f>IF(H32&gt;0,VLOOKUP(D32,战力表!$A$3:$F$58,6,FALSE),0)</f>
        <v>7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252</v>
      </c>
      <c r="Q32" s="57">
        <f t="shared" si="3"/>
        <v>13</v>
      </c>
      <c r="R32" s="57">
        <f t="shared" si="4"/>
        <v>265</v>
      </c>
      <c r="S32" s="57">
        <f t="shared" si="5"/>
        <v>2</v>
      </c>
      <c r="T32" s="57" t="str">
        <f t="shared" si="6"/>
        <v>英雄</v>
      </c>
      <c r="U32" s="57">
        <f t="shared" si="9"/>
        <v>-9</v>
      </c>
      <c r="V32" s="57">
        <f t="shared" si="7"/>
        <v>256</v>
      </c>
      <c r="W32" s="12">
        <f>IF(H32=0,List!$C$5,$C$3)</f>
        <v>0</v>
      </c>
      <c r="X32" s="12"/>
      <c r="Y32" s="12">
        <f t="shared" si="8"/>
        <v>265</v>
      </c>
      <c r="Z32" s="12">
        <f>RANK(Y32,$Y$15:$Y$55,0)+COUNTIF($Y$15:Y32,Y32)-1</f>
        <v>11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4</v>
      </c>
      <c r="I33" s="55"/>
      <c r="J33" s="12"/>
      <c r="K33" s="57">
        <f>IF(H33&gt;0,VLOOKUP(D33,战力表!$A$3:$F$58,6,FALSE),0)</f>
        <v>7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247</v>
      </c>
      <c r="Q33" s="57">
        <f t="shared" si="3"/>
        <v>18</v>
      </c>
      <c r="R33" s="57">
        <f t="shared" si="4"/>
        <v>265</v>
      </c>
      <c r="S33" s="57">
        <f t="shared" si="5"/>
        <v>2</v>
      </c>
      <c r="T33" s="57" t="str">
        <f t="shared" si="6"/>
        <v>英雄</v>
      </c>
      <c r="U33" s="57">
        <f t="shared" si="9"/>
        <v>-9</v>
      </c>
      <c r="V33" s="57">
        <f t="shared" si="7"/>
        <v>256</v>
      </c>
      <c r="W33" s="12">
        <f>IF(H33=0,List!$C$5,$C$3)</f>
        <v>0</v>
      </c>
      <c r="X33" s="12"/>
      <c r="Y33" s="12">
        <f t="shared" si="8"/>
        <v>265</v>
      </c>
      <c r="Z33" s="12">
        <f>RANK(Y33,$Y$15:$Y$55,0)+COUNTIF($Y$15:Y33,Y33)-1</f>
        <v>12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4</v>
      </c>
      <c r="M34" s="57">
        <f t="shared" si="1"/>
        <v>0</v>
      </c>
      <c r="N34" s="57" t="b">
        <f t="shared" si="2"/>
        <v>0</v>
      </c>
      <c r="O34" s="12"/>
      <c r="P34" s="56">
        <v>238</v>
      </c>
      <c r="Q34" s="57">
        <f t="shared" si="3"/>
        <v>11</v>
      </c>
      <c r="R34" s="57">
        <f t="shared" si="4"/>
        <v>249</v>
      </c>
      <c r="S34" s="57">
        <f t="shared" si="5"/>
        <v>3</v>
      </c>
      <c r="T34" s="57" t="str">
        <f t="shared" si="6"/>
        <v>精英</v>
      </c>
      <c r="U34" s="57">
        <f t="shared" si="9"/>
        <v>-5</v>
      </c>
      <c r="V34" s="57">
        <f t="shared" si="7"/>
        <v>244</v>
      </c>
      <c r="W34" s="12">
        <f>IF(H34=0,List!$C$5,$C$3)</f>
        <v>0</v>
      </c>
      <c r="X34" s="12"/>
      <c r="Y34" s="12">
        <f t="shared" si="8"/>
        <v>249</v>
      </c>
      <c r="Z34" s="12">
        <f>RANK(Y34,$Y$15:$Y$55,0)+COUNTIF($Y$15:Y34,Y34)-1</f>
        <v>23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4</v>
      </c>
      <c r="I36" s="55"/>
      <c r="J36" s="12"/>
      <c r="K36" s="57">
        <f>IF(H36&gt;0,VLOOKUP(D36,战力表!$A$3:$F$58,6,FALSE),0)</f>
        <v>7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246</v>
      </c>
      <c r="Q36" s="57">
        <f t="shared" si="3"/>
        <v>18</v>
      </c>
      <c r="R36" s="57">
        <f t="shared" si="4"/>
        <v>264</v>
      </c>
      <c r="S36" s="57">
        <f t="shared" si="5"/>
        <v>2</v>
      </c>
      <c r="T36" s="57" t="str">
        <f t="shared" si="6"/>
        <v>英雄</v>
      </c>
      <c r="U36" s="57">
        <f t="shared" si="9"/>
        <v>-9</v>
      </c>
      <c r="V36" s="57">
        <f t="shared" si="7"/>
        <v>255</v>
      </c>
      <c r="W36" s="12">
        <f>IF(H36=0,List!$C$5,$C$3)</f>
        <v>0</v>
      </c>
      <c r="X36" s="12"/>
      <c r="Y36" s="12">
        <f t="shared" si="8"/>
        <v>264</v>
      </c>
      <c r="Z36" s="12">
        <f>RANK(Y36,$Y$15:$Y$55,0)+COUNTIF($Y$15:Y36,Y36)-1</f>
        <v>14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4</v>
      </c>
      <c r="I37" s="55"/>
      <c r="J37" s="12"/>
      <c r="K37" s="57">
        <f>IF(H37&gt;0,VLOOKUP(D37,战力表!$A$3:$F$58,6,FALSE),0)</f>
        <v>7</v>
      </c>
      <c r="L37" s="57">
        <f t="shared" si="0"/>
        <v>8</v>
      </c>
      <c r="M37" s="57">
        <f t="shared" si="1"/>
        <v>3</v>
      </c>
      <c r="N37" s="57" t="b">
        <f t="shared" si="2"/>
        <v>0</v>
      </c>
      <c r="O37" s="12"/>
      <c r="P37" s="56">
        <v>250</v>
      </c>
      <c r="Q37" s="57">
        <f t="shared" si="3"/>
        <v>18</v>
      </c>
      <c r="R37" s="57">
        <f t="shared" si="4"/>
        <v>268</v>
      </c>
      <c r="S37" s="57">
        <f t="shared" si="5"/>
        <v>1</v>
      </c>
      <c r="T37" s="57" t="str">
        <f t="shared" si="6"/>
        <v>传说</v>
      </c>
      <c r="U37" s="57">
        <f t="shared" si="9"/>
        <v>-15</v>
      </c>
      <c r="V37" s="57">
        <f t="shared" si="7"/>
        <v>253</v>
      </c>
      <c r="W37" s="12">
        <f>IF(H37=0,List!$C$5,$C$3)</f>
        <v>0</v>
      </c>
      <c r="X37" s="12"/>
      <c r="Y37" s="12">
        <f t="shared" si="8"/>
        <v>268</v>
      </c>
      <c r="Z37" s="12">
        <f>RANK(Y37,$Y$15:$Y$55,0)+COUNTIF($Y$15:Y37,Y37)-1</f>
        <v>6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4</v>
      </c>
      <c r="I39" s="55"/>
      <c r="J39" s="12"/>
      <c r="K39" s="57">
        <f>IF(H39&gt;0,VLOOKUP(D39,战力表!$A$3:$F$58,6,FALSE),0)</f>
        <v>7</v>
      </c>
      <c r="L39" s="57">
        <f t="shared" si="0"/>
        <v>8</v>
      </c>
      <c r="M39" s="57">
        <f t="shared" si="1"/>
        <v>3</v>
      </c>
      <c r="N39" s="57" t="b">
        <f t="shared" si="2"/>
        <v>0</v>
      </c>
      <c r="O39" s="12"/>
      <c r="P39" s="56">
        <v>249</v>
      </c>
      <c r="Q39" s="57">
        <f t="shared" si="3"/>
        <v>18</v>
      </c>
      <c r="R39" s="57">
        <f t="shared" si="4"/>
        <v>267</v>
      </c>
      <c r="S39" s="57">
        <f t="shared" si="5"/>
        <v>2</v>
      </c>
      <c r="T39" s="57" t="str">
        <f t="shared" si="6"/>
        <v>英雄</v>
      </c>
      <c r="U39" s="57">
        <f t="shared" si="9"/>
        <v>-9</v>
      </c>
      <c r="V39" s="57">
        <f t="shared" si="7"/>
        <v>258</v>
      </c>
      <c r="W39" s="12">
        <f>IF(H39=0,List!$C$5,$C$3)</f>
        <v>0</v>
      </c>
      <c r="X39" s="12"/>
      <c r="Y39" s="12">
        <f t="shared" si="8"/>
        <v>267</v>
      </c>
      <c r="Z39" s="12">
        <f>RANK(Y39,$Y$15:$Y$55,0)+COUNTIF($Y$15:Y39,Y39)-1</f>
        <v>9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2</v>
      </c>
      <c r="I41" s="55"/>
      <c r="J41" s="12"/>
      <c r="K41" s="57">
        <f>IF(H41&gt;0,VLOOKUP(D41,战力表!$A$3:$F$58,6,FALSE),0)</f>
        <v>7</v>
      </c>
      <c r="L41" s="57">
        <f t="shared" si="0"/>
        <v>4</v>
      </c>
      <c r="M41" s="57">
        <f t="shared" si="1"/>
        <v>0</v>
      </c>
      <c r="N41" s="57" t="b">
        <f t="shared" si="2"/>
        <v>0</v>
      </c>
      <c r="O41" s="12"/>
      <c r="P41" s="56">
        <v>230</v>
      </c>
      <c r="Q41" s="57">
        <f t="shared" si="3"/>
        <v>11</v>
      </c>
      <c r="R41" s="57">
        <f t="shared" si="4"/>
        <v>241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236</v>
      </c>
      <c r="W41" s="12">
        <f>IF(H41=0,List!$C$5,$C$3)</f>
        <v>0</v>
      </c>
      <c r="X41" s="12"/>
      <c r="Y41" s="12">
        <f t="shared" si="8"/>
        <v>241</v>
      </c>
      <c r="Z41" s="12">
        <f>RANK(Y41,$Y$15:$Y$55,0)+COUNTIF($Y$15:Y41,Y41)-1</f>
        <v>24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1</v>
      </c>
      <c r="I42" s="55"/>
      <c r="J42" s="12"/>
      <c r="K42" s="57">
        <f>IF(H42&gt;0,VLOOKUP(D42,战力表!$A$3:$F$58,6,FALSE),0)</f>
        <v>7</v>
      </c>
      <c r="L42" s="57">
        <f t="shared" si="0"/>
        <v>2</v>
      </c>
      <c r="M42" s="57">
        <f t="shared" si="1"/>
        <v>0</v>
      </c>
      <c r="N42" s="57" t="b">
        <f t="shared" si="2"/>
        <v>0</v>
      </c>
      <c r="O42" s="12"/>
      <c r="P42" s="56">
        <v>229</v>
      </c>
      <c r="Q42" s="57">
        <f t="shared" si="3"/>
        <v>9</v>
      </c>
      <c r="R42" s="57">
        <f t="shared" si="4"/>
        <v>238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233</v>
      </c>
      <c r="W42" s="12">
        <f>IF(H42=0,List!$C$5,$C$3)</f>
        <v>0</v>
      </c>
      <c r="X42" s="12"/>
      <c r="Y42" s="12">
        <f t="shared" si="8"/>
        <v>238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34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244</v>
      </c>
      <c r="Q47" s="57">
        <f t="shared" si="3"/>
        <v>18</v>
      </c>
      <c r="R47" s="57">
        <f t="shared" si="4"/>
        <v>262</v>
      </c>
      <c r="S47" s="57">
        <f t="shared" si="5"/>
        <v>3</v>
      </c>
      <c r="T47" s="57" t="str">
        <f t="shared" si="6"/>
        <v>精英</v>
      </c>
      <c r="U47" s="57">
        <f t="shared" si="9"/>
        <v>-5</v>
      </c>
      <c r="V47" s="57">
        <f t="shared" si="7"/>
        <v>257</v>
      </c>
      <c r="W47" s="12">
        <f>IF(H47=0,List!$C$5,$C$3)</f>
        <v>0</v>
      </c>
      <c r="X47" s="12"/>
      <c r="Y47" s="12">
        <f t="shared" si="8"/>
        <v>262</v>
      </c>
      <c r="Z47" s="12">
        <f>RANK(Y47,$Y$15:$Y$55,0)+COUNTIF($Y$15:Y47,Y47)-1</f>
        <v>17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3</v>
      </c>
      <c r="I48" s="55"/>
      <c r="J48" s="12"/>
      <c r="K48" s="57">
        <f>IF(H48&gt;0,VLOOKUP(D48,战力表!$A$3:$F$58,6,FALSE),0)</f>
        <v>6</v>
      </c>
      <c r="L48" s="57">
        <f t="shared" si="0"/>
        <v>6</v>
      </c>
      <c r="M48" s="57">
        <f t="shared" si="1"/>
        <v>0</v>
      </c>
      <c r="N48" s="57" t="b">
        <f t="shared" si="2"/>
        <v>0</v>
      </c>
      <c r="O48" s="12"/>
      <c r="P48" s="56">
        <v>246</v>
      </c>
      <c r="Q48" s="57">
        <f t="shared" si="3"/>
        <v>12</v>
      </c>
      <c r="R48" s="57">
        <f t="shared" si="4"/>
        <v>258</v>
      </c>
      <c r="S48" s="57">
        <f t="shared" si="5"/>
        <v>3</v>
      </c>
      <c r="T48" s="57" t="str">
        <f t="shared" si="6"/>
        <v>精英</v>
      </c>
      <c r="U48" s="57">
        <f t="shared" si="9"/>
        <v>-5</v>
      </c>
      <c r="V48" s="57">
        <f t="shared" si="7"/>
        <v>253</v>
      </c>
      <c r="W48" s="12">
        <f>IF(H48=0,List!$C$5,$C$3)</f>
        <v>0</v>
      </c>
      <c r="X48" s="12"/>
      <c r="Y48" s="12">
        <f t="shared" si="8"/>
        <v>258</v>
      </c>
      <c r="Z48" s="12">
        <f>RANK(Y48,$Y$15:$Y$55,0)+COUNTIF($Y$15:Y48,Y48)-1</f>
        <v>21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2</v>
      </c>
      <c r="I49" s="55"/>
      <c r="J49" s="12"/>
      <c r="K49" s="57">
        <f>IF(H49&gt;0,VLOOKUP(D49,战力表!$A$3:$F$58,6,FALSE),0)</f>
        <v>6</v>
      </c>
      <c r="L49" s="57">
        <f t="shared" si="0"/>
        <v>4</v>
      </c>
      <c r="M49" s="57">
        <f t="shared" si="1"/>
        <v>0</v>
      </c>
      <c r="N49" s="57" t="b">
        <f t="shared" si="2"/>
        <v>0</v>
      </c>
      <c r="O49" s="12"/>
      <c r="P49" s="56">
        <v>39</v>
      </c>
      <c r="Q49" s="57">
        <f t="shared" si="3"/>
        <v>10</v>
      </c>
      <c r="R49" s="57">
        <f t="shared" si="4"/>
        <v>49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44</v>
      </c>
      <c r="W49" s="12">
        <f>IF(H49=0,List!$C$5,$C$3)</f>
        <v>0</v>
      </c>
      <c r="X49" s="12"/>
      <c r="Y49" s="12">
        <f t="shared" si="8"/>
        <v>49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46</v>
      </c>
      <c r="Q51" s="57">
        <f t="shared" si="3"/>
        <v>0</v>
      </c>
      <c r="R51" s="57">
        <f t="shared" si="4"/>
        <v>46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46</v>
      </c>
      <c r="W51" s="12" t="str">
        <f>IF(H51=0,List!$C$5,$C$3)</f>
        <v>没有忍战，无法分包</v>
      </c>
      <c r="X51" s="12"/>
      <c r="Y51" s="12">
        <f t="shared" si="8"/>
        <v>46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105</v>
      </c>
      <c r="Q52" s="57">
        <f t="shared" si="3"/>
        <v>17</v>
      </c>
      <c r="R52" s="57">
        <f t="shared" si="4"/>
        <v>122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117</v>
      </c>
      <c r="W52" s="12">
        <f>IF(H52=0,List!$C$5,$C$3)</f>
        <v>0</v>
      </c>
      <c r="X52" s="12"/>
      <c r="Y52" s="12">
        <f t="shared" si="8"/>
        <v>122</v>
      </c>
      <c r="Z52" s="12">
        <f>RANK(Y52,$Y$15:$Y$55,0)+COUNTIF($Y$15:Y52,Y52)-1</f>
        <v>33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96</v>
      </c>
      <c r="Q53" s="57">
        <f t="shared" si="3"/>
        <v>17</v>
      </c>
      <c r="R53" s="57">
        <f t="shared" si="4"/>
        <v>113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108</v>
      </c>
      <c r="W53" s="12">
        <f>IF(H53=0,List!$C$5,$C$3)</f>
        <v>0</v>
      </c>
      <c r="X53" s="12"/>
      <c r="Y53" s="12">
        <f t="shared" si="8"/>
        <v>113</v>
      </c>
      <c r="Z53" s="12">
        <f>RANK(Y53,$Y$15:$Y$55,0)+COUNTIF($Y$15:Y53,Y53)-1</f>
        <v>35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183</v>
      </c>
      <c r="G54" s="12"/>
      <c r="H54" s="56">
        <v>4</v>
      </c>
      <c r="I54" s="55"/>
      <c r="J54" s="12"/>
      <c r="K54" s="57">
        <f>IF(H54&gt;0,VLOOKUP(D54,战力表!$A$3:$F$58,6,FALSE),0)</f>
        <v>7</v>
      </c>
      <c r="L54" s="57">
        <f t="shared" si="0"/>
        <v>8</v>
      </c>
      <c r="M54" s="57">
        <f t="shared" si="1"/>
        <v>3</v>
      </c>
      <c r="N54" s="57" t="b">
        <f t="shared" si="2"/>
        <v>0</v>
      </c>
      <c r="O54" s="12"/>
      <c r="P54" s="56">
        <v>236</v>
      </c>
      <c r="Q54" s="57">
        <f t="shared" si="3"/>
        <v>18</v>
      </c>
      <c r="R54" s="57">
        <f t="shared" si="4"/>
        <v>254</v>
      </c>
      <c r="S54" s="57">
        <f t="shared" si="5"/>
        <v>3</v>
      </c>
      <c r="T54" s="57" t="str">
        <f t="shared" si="6"/>
        <v>精英</v>
      </c>
      <c r="U54" s="57">
        <f t="shared" si="9"/>
        <v>-5</v>
      </c>
      <c r="V54" s="57">
        <f t="shared" si="7"/>
        <v>249</v>
      </c>
      <c r="W54" s="12">
        <f>IF(H54=0,List!$C$5,$C$3)</f>
        <v>0</v>
      </c>
      <c r="X54" s="12"/>
      <c r="Y54" s="12">
        <f t="shared" si="8"/>
        <v>254</v>
      </c>
      <c r="Z54" s="12">
        <f>RANK(Y54,$Y$15:$Y$55,0)+COUNTIF($Y$15:Y54,Y54)-1</f>
        <v>22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F24" sqref="F24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27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3" si="0">IF(C3=1,B3)</f>
        <v>3350000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0.14814814814814814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0.14814814814814814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2"/>
        <v>3</v>
      </c>
      <c r="F5" s="1">
        <f t="shared" si="1"/>
        <v>10</v>
      </c>
      <c r="J5" s="15">
        <f t="shared" si="3"/>
        <v>0.22222222222222221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0.37037037037037035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2"/>
        <v>5</v>
      </c>
      <c r="F7" s="1">
        <f t="shared" si="1"/>
        <v>9</v>
      </c>
      <c r="J7" s="15">
        <f t="shared" si="3"/>
        <v>0.22222222222222221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2500000</v>
      </c>
      <c r="C8" s="14">
        <f>IF(VLOOKUP(A8,组织分包!$D$15:$H$62,5,FALSE)&gt;0,1,0)</f>
        <v>1</v>
      </c>
      <c r="D8" s="14">
        <f t="shared" si="0"/>
        <v>2500000</v>
      </c>
      <c r="E8" s="14">
        <f t="shared" si="2"/>
        <v>3</v>
      </c>
      <c r="F8" s="1">
        <f t="shared" si="1"/>
        <v>10</v>
      </c>
      <c r="J8" s="15">
        <f t="shared" si="3"/>
        <v>0.14814814814814814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2"/>
        <v>2</v>
      </c>
      <c r="F9" s="1">
        <f t="shared" si="1"/>
        <v>10</v>
      </c>
      <c r="J9" s="15">
        <f t="shared" si="3"/>
        <v>-0.25925925925925924</v>
      </c>
      <c r="K9" s="60">
        <v>4</v>
      </c>
      <c r="L9" s="60">
        <f>C1-SUM(L3:L8)</f>
        <v>-7</v>
      </c>
      <c r="M9" s="1">
        <f t="shared" si="4"/>
        <v>27</v>
      </c>
    </row>
    <row r="10" spans="1:13" ht="14.25" customHeight="1" x14ac:dyDescent="0.3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2"/>
        <v>7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2"/>
        <v>9</v>
      </c>
      <c r="F11" s="1">
        <f t="shared" si="1"/>
        <v>8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2"/>
        <v>8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2"/>
        <v>10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2400000</v>
      </c>
      <c r="C14" s="14">
        <f>IF(VLOOKUP(A14,组织分包!$D$15:$H$62,5,FALSE)&gt;0,1,0)</f>
        <v>1</v>
      </c>
      <c r="D14" s="14">
        <f t="shared" si="0"/>
        <v>2400000</v>
      </c>
      <c r="E14" s="14">
        <f t="shared" si="2"/>
        <v>6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2"/>
        <v>12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2"/>
        <v>11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2"/>
        <v>13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2"/>
        <v>14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2"/>
        <v>15</v>
      </c>
      <c r="F20" s="1">
        <f t="shared" si="1"/>
        <v>7</v>
      </c>
    </row>
    <row r="21" spans="1:10" ht="14.25" customHeight="1" x14ac:dyDescent="0.3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2"/>
        <v>16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2"/>
        <v>16</v>
      </c>
      <c r="F22" s="1">
        <f t="shared" si="1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2"/>
        <v>20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2"/>
        <v>19</v>
      </c>
      <c r="F25" s="1">
        <f t="shared" si="1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2"/>
        <v>21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1490000</v>
      </c>
      <c r="C29" s="14">
        <f>IF(VLOOKUP(A29,组织分包!$D$15:$H$62,5,FALSE)&gt;0,1,0)</f>
        <v>1</v>
      </c>
      <c r="D29" s="14">
        <f t="shared" si="0"/>
        <v>1490000</v>
      </c>
      <c r="E29" s="14">
        <f t="shared" si="2"/>
        <v>22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2"/>
        <v>23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2"/>
        <v>24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2"/>
        <v>25</v>
      </c>
      <c r="F36" s="1">
        <f t="shared" si="1"/>
        <v>6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26</v>
      </c>
      <c r="F37" s="1">
        <f t="shared" si="1"/>
        <v>6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27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28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1830000</v>
      </c>
      <c r="C42" s="14">
        <f>IF(VLOOKUP(A42,组织分包!$D$15:$H$62,5,FALSE)&gt;0,1,0)</f>
        <v>1</v>
      </c>
      <c r="D42" s="14">
        <f t="shared" si="0"/>
        <v>1830000</v>
      </c>
      <c r="E42" s="14">
        <f t="shared" si="2"/>
        <v>18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2022-10-29T19:00:29Z</dcterms:modified>
</cp:coreProperties>
</file>