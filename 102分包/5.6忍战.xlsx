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F66E1FA8-B93D-42DD-8468-E6DFC542F0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Y4" i="1" l="1"/>
  <c r="T15" i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<sst xmlns="http://schemas.openxmlformats.org/spreadsheetml/2006/main" count="364" uniqueCount="177">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</sst>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X6" sqref="X6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43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135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81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25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4</v>
      </c>
      <c r="F9" s="2">
        <v>30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5</v>
      </c>
      <c r="F10" s="2">
        <v>6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9</v>
      </c>
      <c r="O10" s="40">
        <f>COUNTIF($S$15:$S$271,2)</f>
        <v>7</v>
      </c>
      <c r="P10" s="40">
        <f>N10-O10</f>
        <v>2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5</v>
      </c>
      <c r="O11" s="40">
        <f>COUNTIF($S$15:$S$271,3)</f>
        <v>6</v>
      </c>
      <c r="P11" s="40">
        <f>N11-O11</f>
        <v>-1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5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3</v>
      </c>
      <c r="N17" s="56" t="b">
        <f t="shared" si="2"/>
        <v>0</v>
      </c>
      <c r="O17" s="12"/>
      <c r="P17" s="55">
        <v>383</v>
      </c>
      <c r="Q17" s="56">
        <f t="shared" si="3"/>
        <v>19</v>
      </c>
      <c r="R17" s="56">
        <f t="shared" si="4"/>
        <v>402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387</v>
      </c>
      <c r="W17" s="12">
        <f>IF(H17=0,List!$C$5,$C$3)</f>
        <v>0</v>
      </c>
      <c r="X17" s="12"/>
      <c r="Y17" s="12">
        <f t="shared" si="7"/>
        <v>402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24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347</v>
      </c>
      <c r="Q20" s="56">
        <f t="shared" si="3"/>
        <v>14</v>
      </c>
      <c r="R20" s="56">
        <f t="shared" si="4"/>
        <v>361</v>
      </c>
      <c r="S20" s="56">
        <f t="shared" si="5"/>
        <v>2</v>
      </c>
      <c r="T20" s="56" t="str">
        <f t="shared" si="8"/>
        <v>英雄</v>
      </c>
      <c r="U20" s="56">
        <f t="shared" si="9"/>
        <v>-9</v>
      </c>
      <c r="V20" s="56">
        <f t="shared" si="6"/>
        <v>352</v>
      </c>
      <c r="W20" s="12">
        <f>IF(H20=0,List!$C$5,$C$3)</f>
        <v>0</v>
      </c>
      <c r="X20" s="12"/>
      <c r="Y20" s="12">
        <f t="shared" si="7"/>
        <v>361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3</v>
      </c>
      <c r="N22" s="56" t="b">
        <f t="shared" si="2"/>
        <v>0</v>
      </c>
      <c r="O22" s="12"/>
      <c r="P22" s="55">
        <v>380</v>
      </c>
      <c r="Q22" s="56">
        <f t="shared" si="3"/>
        <v>19</v>
      </c>
      <c r="R22" s="56">
        <f t="shared" si="4"/>
        <v>399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384</v>
      </c>
      <c r="W22" s="12">
        <f>IF(H22=0,List!$C$5,$C$3)</f>
        <v>0</v>
      </c>
      <c r="X22" s="12"/>
      <c r="Y22" s="12">
        <f t="shared" si="7"/>
        <v>399</v>
      </c>
      <c r="Z22" s="12">
        <f>RANK(Y22,$Y$15:$Y$55,0)+COUNTIF($Y$15:Y22,Y22)-1</f>
        <v>2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3</v>
      </c>
      <c r="N24" s="56" t="b">
        <f t="shared" si="2"/>
        <v>0</v>
      </c>
      <c r="O24" s="12"/>
      <c r="P24" s="55">
        <v>378</v>
      </c>
      <c r="Q24" s="56">
        <f t="shared" si="3"/>
        <v>18</v>
      </c>
      <c r="R24" s="56">
        <f t="shared" si="4"/>
        <v>396</v>
      </c>
      <c r="S24" s="56">
        <f t="shared" si="5"/>
        <v>2</v>
      </c>
      <c r="T24" s="56" t="str">
        <f t="shared" si="8"/>
        <v>英雄</v>
      </c>
      <c r="U24" s="56">
        <f t="shared" si="9"/>
        <v>-9</v>
      </c>
      <c r="V24" s="56">
        <f t="shared" si="6"/>
        <v>387</v>
      </c>
      <c r="W24" s="12">
        <f>IF(H24=0,List!$C$5,$C$3)</f>
        <v>0</v>
      </c>
      <c r="X24" s="12"/>
      <c r="Y24" s="12">
        <f t="shared" si="7"/>
        <v>396</v>
      </c>
      <c r="Z24" s="12">
        <f>RANK(Y24,$Y$15:$Y$55,0)+COUNTIF($Y$15:Y24,Y24)-1</f>
        <v>11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4</v>
      </c>
      <c r="M25" s="56">
        <f t="shared" si="1"/>
        <v>0</v>
      </c>
      <c r="N25" s="56" t="b">
        <f t="shared" si="2"/>
        <v>0</v>
      </c>
      <c r="O25" s="12"/>
      <c r="P25" s="55">
        <v>382</v>
      </c>
      <c r="Q25" s="56">
        <f t="shared" si="3"/>
        <v>13</v>
      </c>
      <c r="R25" s="56">
        <f t="shared" si="4"/>
        <v>395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386</v>
      </c>
      <c r="W25" s="12">
        <f>IF(H25=0,List!$C$5,$C$3)</f>
        <v>0</v>
      </c>
      <c r="X25" s="12"/>
      <c r="Y25" s="12">
        <f t="shared" si="7"/>
        <v>395</v>
      </c>
      <c r="Z25" s="12">
        <f>RANK(Y25,$Y$15:$Y$55,0)+COUNTIF($Y$15:Y25,Y25)-1</f>
        <v>13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6</v>
      </c>
      <c r="M26" s="56">
        <f t="shared" si="1"/>
        <v>3</v>
      </c>
      <c r="N26" s="56" t="b">
        <f t="shared" si="2"/>
        <v>0</v>
      </c>
      <c r="O26" s="12"/>
      <c r="P26" s="55">
        <v>380</v>
      </c>
      <c r="Q26" s="56">
        <f t="shared" si="3"/>
        <v>19</v>
      </c>
      <c r="R26" s="56">
        <f t="shared" si="4"/>
        <v>399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384</v>
      </c>
      <c r="W26" s="12">
        <f>IF(H26=0,List!$C$5,$C$3)</f>
        <v>0</v>
      </c>
      <c r="X26" s="12"/>
      <c r="Y26" s="12">
        <f t="shared" si="7"/>
        <v>399</v>
      </c>
      <c r="Z26" s="12">
        <f>RANK(Y26,$Y$15:$Y$55,0)+COUNTIF($Y$15:Y26,Y26)-1</f>
        <v>3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2</v>
      </c>
      <c r="I27" s="54"/>
      <c r="J27" s="12"/>
      <c r="K27" s="56">
        <f>IF(H27&gt;0,VLOOKUP(D27,战力表!$A$3:$F$58,6,FALSE),0)</f>
        <v>9</v>
      </c>
      <c r="L27" s="56">
        <f t="shared" si="0"/>
        <v>4</v>
      </c>
      <c r="M27" s="56">
        <f t="shared" si="1"/>
        <v>0</v>
      </c>
      <c r="N27" s="56" t="b">
        <f t="shared" si="2"/>
        <v>0</v>
      </c>
      <c r="O27" s="12"/>
      <c r="P27" s="55">
        <v>383</v>
      </c>
      <c r="Q27" s="56">
        <f t="shared" si="3"/>
        <v>13</v>
      </c>
      <c r="R27" s="56">
        <f t="shared" si="4"/>
        <v>396</v>
      </c>
      <c r="S27" s="56">
        <f t="shared" si="5"/>
        <v>2</v>
      </c>
      <c r="T27" s="56" t="str">
        <f t="shared" si="8"/>
        <v>英雄</v>
      </c>
      <c r="U27" s="56">
        <f t="shared" si="9"/>
        <v>-9</v>
      </c>
      <c r="V27" s="56">
        <f t="shared" si="6"/>
        <v>387</v>
      </c>
      <c r="W27" s="12">
        <f>IF(H27=0,List!$C$5,$C$3)</f>
        <v>0</v>
      </c>
      <c r="X27" s="12"/>
      <c r="Y27" s="12">
        <f t="shared" si="7"/>
        <v>396</v>
      </c>
      <c r="Z27" s="12">
        <f>RANK(Y27,$Y$15:$Y$55,0)+COUNTIF($Y$15:Y27,Y27)-1</f>
        <v>12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2</v>
      </c>
      <c r="I28" s="54"/>
      <c r="J28" s="12"/>
      <c r="K28" s="56">
        <f>IF(H28&gt;0,VLOOKUP(D28,战力表!$A$3:$F$58,6,FALSE),0)</f>
        <v>9</v>
      </c>
      <c r="L28" s="56">
        <f t="shared" si="0"/>
        <v>4</v>
      </c>
      <c r="M28" s="56">
        <f t="shared" si="1"/>
        <v>0</v>
      </c>
      <c r="N28" s="56" t="b">
        <f t="shared" si="2"/>
        <v>0</v>
      </c>
      <c r="O28" s="12"/>
      <c r="P28" s="55">
        <v>384</v>
      </c>
      <c r="Q28" s="56">
        <f t="shared" si="3"/>
        <v>13</v>
      </c>
      <c r="R28" s="56">
        <f t="shared" si="4"/>
        <v>397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382</v>
      </c>
      <c r="W28" s="12">
        <f>IF(H28=0,List!$C$5,$C$3)</f>
        <v>0</v>
      </c>
      <c r="X28" s="12"/>
      <c r="Y28" s="12">
        <f t="shared" si="7"/>
        <v>397</v>
      </c>
      <c r="Z28" s="12">
        <f>RANK(Y28,$Y$15:$Y$55,0)+COUNTIF($Y$15:Y28,Y28)-1</f>
        <v>9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6</v>
      </c>
      <c r="M30" s="56">
        <f t="shared" si="1"/>
        <v>3</v>
      </c>
      <c r="N30" s="56" t="b">
        <f t="shared" si="2"/>
        <v>0</v>
      </c>
      <c r="O30" s="12"/>
      <c r="P30" s="55">
        <v>382</v>
      </c>
      <c r="Q30" s="56">
        <f t="shared" si="3"/>
        <v>17</v>
      </c>
      <c r="R30" s="56">
        <f t="shared" si="4"/>
        <v>399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384</v>
      </c>
      <c r="W30" s="12">
        <f>IF(H30=0,List!$C$5,$C$3)</f>
        <v>0</v>
      </c>
      <c r="X30" s="12"/>
      <c r="Y30" s="12">
        <f t="shared" si="7"/>
        <v>399</v>
      </c>
      <c r="Z30" s="12">
        <f>RANK(Y30,$Y$15:$Y$55,0)+COUNTIF($Y$15:Y30,Y30)-1</f>
        <v>4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1</v>
      </c>
      <c r="I31" s="54"/>
      <c r="J31" s="12"/>
      <c r="K31" s="56">
        <f>IF(H31&gt;0,VLOOKUP(D31,战力表!$A$3:$F$58,6,FALSE),0)</f>
        <v>8</v>
      </c>
      <c r="L31" s="56">
        <f t="shared" si="0"/>
        <v>2</v>
      </c>
      <c r="M31" s="56">
        <f t="shared" si="1"/>
        <v>0</v>
      </c>
      <c r="N31" s="56" t="b">
        <f t="shared" si="2"/>
        <v>0</v>
      </c>
      <c r="O31" s="12"/>
      <c r="P31" s="55">
        <v>384</v>
      </c>
      <c r="Q31" s="56">
        <f t="shared" si="3"/>
        <v>10</v>
      </c>
      <c r="R31" s="56">
        <f t="shared" si="4"/>
        <v>394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385</v>
      </c>
      <c r="W31" s="12">
        <f>IF(H31=0,List!$C$5,$C$3)</f>
        <v>0</v>
      </c>
      <c r="X31" s="12"/>
      <c r="Y31" s="12">
        <f t="shared" si="7"/>
        <v>394</v>
      </c>
      <c r="Z31" s="12">
        <f>RANK(Y31,$Y$15:$Y$55,0)+COUNTIF($Y$15:Y31,Y31)-1</f>
        <v>14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1</v>
      </c>
      <c r="I33" s="54"/>
      <c r="J33" s="12"/>
      <c r="K33" s="56">
        <f>IF(H33&gt;0,VLOOKUP(D33,战力表!$A$3:$F$58,6,FALSE),0)</f>
        <v>8</v>
      </c>
      <c r="L33" s="56">
        <f t="shared" si="0"/>
        <v>2</v>
      </c>
      <c r="M33" s="56">
        <f t="shared" si="1"/>
        <v>0</v>
      </c>
      <c r="N33" s="56" t="b">
        <f t="shared" si="2"/>
        <v>0</v>
      </c>
      <c r="O33" s="12"/>
      <c r="P33" s="55">
        <v>384</v>
      </c>
      <c r="Q33" s="56">
        <f t="shared" si="3"/>
        <v>10</v>
      </c>
      <c r="R33" s="56">
        <f t="shared" si="4"/>
        <v>394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385</v>
      </c>
      <c r="W33" s="12">
        <f>IF(H33=0,List!$C$5,$C$3)</f>
        <v>0</v>
      </c>
      <c r="X33" s="12"/>
      <c r="Y33" s="12">
        <f t="shared" si="7"/>
        <v>394</v>
      </c>
      <c r="Z33" s="12">
        <f>RANK(Y33,$Y$15:$Y$55,0)+COUNTIF($Y$15:Y33,Y33)-1</f>
        <v>15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25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3</v>
      </c>
      <c r="N36" s="56" t="b">
        <f t="shared" si="2"/>
        <v>0</v>
      </c>
      <c r="O36" s="12"/>
      <c r="P36" s="55">
        <v>382</v>
      </c>
      <c r="Q36" s="56">
        <f t="shared" si="3"/>
        <v>17</v>
      </c>
      <c r="R36" s="56">
        <f t="shared" si="4"/>
        <v>399</v>
      </c>
      <c r="S36" s="56">
        <f t="shared" si="5"/>
        <v>1</v>
      </c>
      <c r="T36" s="56" t="str">
        <f t="shared" si="8"/>
        <v>传说</v>
      </c>
      <c r="U36" s="56">
        <f t="shared" si="9"/>
        <v>-15</v>
      </c>
      <c r="V36" s="56">
        <f t="shared" si="6"/>
        <v>384</v>
      </c>
      <c r="W36" s="12">
        <f>IF(H36=0,List!$C$5,$C$3)</f>
        <v>0</v>
      </c>
      <c r="X36" s="12"/>
      <c r="Y36" s="12">
        <f t="shared" si="7"/>
        <v>399</v>
      </c>
      <c r="Z36" s="12">
        <f>RANK(Y36,$Y$15:$Y$55,0)+COUNTIF($Y$15:Y36,Y36)-1</f>
        <v>5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26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3</v>
      </c>
      <c r="N39" s="56" t="b">
        <f t="shared" si="2"/>
        <v>0</v>
      </c>
      <c r="O39" s="12"/>
      <c r="P39" s="55">
        <v>236</v>
      </c>
      <c r="Q39" s="56">
        <f t="shared" si="3"/>
        <v>16</v>
      </c>
      <c r="R39" s="56">
        <f t="shared" si="4"/>
        <v>252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247</v>
      </c>
      <c r="W39" s="12">
        <f>IF(H39=0,List!$C$5,$C$3)</f>
        <v>0</v>
      </c>
      <c r="X39" s="12"/>
      <c r="Y39" s="12">
        <f t="shared" si="7"/>
        <v>252</v>
      </c>
      <c r="Z39" s="12">
        <f>RANK(Y39,$Y$15:$Y$55,0)+COUNTIF($Y$15:Y39,Y39)-1</f>
        <v>29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3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3</v>
      </c>
      <c r="N40" s="56" t="b">
        <f t="shared" si="2"/>
        <v>0</v>
      </c>
      <c r="O40" s="12"/>
      <c r="P40" s="55">
        <v>233</v>
      </c>
      <c r="Q40" s="56">
        <f t="shared" si="3"/>
        <v>16</v>
      </c>
      <c r="R40" s="56">
        <f t="shared" si="4"/>
        <v>249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244</v>
      </c>
      <c r="W40" s="12">
        <f>IF(H40=0,List!$C$5,$C$3)</f>
        <v>0</v>
      </c>
      <c r="X40" s="12"/>
      <c r="Y40" s="12">
        <f t="shared" si="7"/>
        <v>249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0</v>
      </c>
      <c r="I41" s="54"/>
      <c r="J41" s="12"/>
      <c r="K41" s="56">
        <f>IF(H41&gt;0,VLOOKUP(D41,战力表!$A$3:$F$58,6,FALSE),0)</f>
        <v>0</v>
      </c>
      <c r="L41" s="56">
        <f t="shared" si="0"/>
        <v>0</v>
      </c>
      <c r="M41" s="56">
        <f t="shared" si="1"/>
        <v>0</v>
      </c>
      <c r="N41" s="56" t="b">
        <f t="shared" si="2"/>
        <v>0</v>
      </c>
      <c r="O41" s="12"/>
      <c r="P41" s="55">
        <v>383</v>
      </c>
      <c r="Q41" s="56">
        <f t="shared" si="3"/>
        <v>0</v>
      </c>
      <c r="R41" s="56">
        <f t="shared" si="4"/>
        <v>383</v>
      </c>
      <c r="S41" s="56" t="str">
        <f t="shared" si="5"/>
        <v/>
      </c>
      <c r="T41" s="56" t="b">
        <f t="shared" si="8"/>
        <v>0</v>
      </c>
      <c r="U41" s="56">
        <f t="shared" si="9"/>
        <v>0</v>
      </c>
      <c r="V41" s="56">
        <f t="shared" si="6"/>
        <v>383</v>
      </c>
      <c r="W41" s="12" t="str">
        <f>IF(H41=0,List!$C$5,$C$3)</f>
        <v>没有忍战，无法分包</v>
      </c>
      <c r="X41" s="12"/>
      <c r="Y41" s="12">
        <f t="shared" si="7"/>
        <v>383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8</v>
      </c>
      <c r="L42" s="56">
        <f t="shared" si="0"/>
        <v>6</v>
      </c>
      <c r="M42" s="56">
        <f t="shared" si="1"/>
        <v>3</v>
      </c>
      <c r="N42" s="56" t="b">
        <f t="shared" si="2"/>
        <v>0</v>
      </c>
      <c r="O42" s="12"/>
      <c r="P42" s="55">
        <v>380</v>
      </c>
      <c r="Q42" s="56">
        <f t="shared" si="3"/>
        <v>17</v>
      </c>
      <c r="R42" s="56">
        <f t="shared" si="4"/>
        <v>397</v>
      </c>
      <c r="S42" s="56">
        <f t="shared" si="5"/>
        <v>2</v>
      </c>
      <c r="T42" s="56" t="str">
        <f t="shared" si="8"/>
        <v>英雄</v>
      </c>
      <c r="U42" s="56">
        <f t="shared" si="9"/>
        <v>-9</v>
      </c>
      <c r="V42" s="56">
        <f t="shared" si="6"/>
        <v>388</v>
      </c>
      <c r="W42" s="12">
        <f>IF(H42=0,List!$C$5,$C$3)</f>
        <v>0</v>
      </c>
      <c r="X42" s="12"/>
      <c r="Y42" s="12">
        <f t="shared" si="7"/>
        <v>397</v>
      </c>
      <c r="Z42" s="12">
        <f>RANK(Y42,$Y$15:$Y$55,0)+COUNTIF($Y$15:Y42,Y42)-1</f>
        <v>10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3</v>
      </c>
      <c r="N45" s="56" t="b">
        <f t="shared" si="2"/>
        <v>0</v>
      </c>
      <c r="O45" s="12"/>
      <c r="P45" s="55">
        <v>240</v>
      </c>
      <c r="Q45" s="56">
        <f t="shared" si="3"/>
        <v>16</v>
      </c>
      <c r="R45" s="56">
        <f t="shared" si="4"/>
        <v>256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251</v>
      </c>
      <c r="W45" s="12">
        <f>IF(H45=0,List!$C$5,$C$3)</f>
        <v>0</v>
      </c>
      <c r="X45" s="12"/>
      <c r="Y45" s="12">
        <f t="shared" si="7"/>
        <v>256</v>
      </c>
      <c r="Z45" s="12">
        <f>RANK(Y45,$Y$15:$Y$55,0)+COUNTIF($Y$15:Y45,Y45)-1</f>
        <v>28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3</v>
      </c>
      <c r="N47" s="56" t="b">
        <f t="shared" si="2"/>
        <v>0</v>
      </c>
      <c r="O47" s="12"/>
      <c r="P47" s="55">
        <v>382</v>
      </c>
      <c r="Q47" s="56">
        <f t="shared" si="3"/>
        <v>16</v>
      </c>
      <c r="R47" s="56">
        <f t="shared" si="4"/>
        <v>398</v>
      </c>
      <c r="S47" s="56">
        <f t="shared" si="5"/>
        <v>1</v>
      </c>
      <c r="T47" s="56" t="str">
        <f t="shared" si="8"/>
        <v>传说</v>
      </c>
      <c r="U47" s="56">
        <f t="shared" si="9"/>
        <v>-15</v>
      </c>
      <c r="V47" s="56">
        <f t="shared" si="6"/>
        <v>383</v>
      </c>
      <c r="W47" s="12">
        <f>IF(H47=0,List!$C$5,$C$3)</f>
        <v>0</v>
      </c>
      <c r="X47" s="12"/>
      <c r="Y47" s="12">
        <f t="shared" si="7"/>
        <v>398</v>
      </c>
      <c r="Z47" s="12">
        <f>RANK(Y47,$Y$15:$Y$55,0)+COUNTIF($Y$15:Y47,Y47)-1</f>
        <v>6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3</v>
      </c>
      <c r="N48" s="56" t="b">
        <f t="shared" si="2"/>
        <v>0</v>
      </c>
      <c r="O48" s="12"/>
      <c r="P48" s="55">
        <v>382</v>
      </c>
      <c r="Q48" s="56">
        <f t="shared" si="3"/>
        <v>16</v>
      </c>
      <c r="R48" s="56">
        <f t="shared" si="4"/>
        <v>398</v>
      </c>
      <c r="S48" s="56">
        <f t="shared" si="5"/>
        <v>1</v>
      </c>
      <c r="T48" s="56" t="str">
        <f t="shared" si="8"/>
        <v>传说</v>
      </c>
      <c r="U48" s="56">
        <f t="shared" si="9"/>
        <v>-15</v>
      </c>
      <c r="V48" s="56">
        <f t="shared" si="6"/>
        <v>383</v>
      </c>
      <c r="W48" s="12">
        <f>IF(H48=0,List!$C$5,$C$3)</f>
        <v>0</v>
      </c>
      <c r="X48" s="12"/>
      <c r="Y48" s="12">
        <f t="shared" si="7"/>
        <v>398</v>
      </c>
      <c r="Z48" s="12">
        <f>RANK(Y48,$Y$15:$Y$55,0)+COUNTIF($Y$15:Y48,Y48)-1</f>
        <v>7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199</v>
      </c>
      <c r="Q49" s="56">
        <f t="shared" si="3"/>
        <v>0</v>
      </c>
      <c r="R49" s="56">
        <f t="shared" si="4"/>
        <v>199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199</v>
      </c>
      <c r="W49" s="12" t="str">
        <f>IF(H49=0,List!$C$5,$C$3)</f>
        <v>没有忍战，无法分包</v>
      </c>
      <c r="X49" s="12"/>
      <c r="Y49" s="12">
        <f t="shared" si="7"/>
        <v>199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4</v>
      </c>
      <c r="M51" s="56">
        <f t="shared" si="1"/>
        <v>0</v>
      </c>
      <c r="N51" s="56" t="b">
        <f t="shared" si="2"/>
        <v>0</v>
      </c>
      <c r="O51" s="12"/>
      <c r="P51" s="55">
        <v>79</v>
      </c>
      <c r="Q51" s="56">
        <f t="shared" si="3"/>
        <v>11</v>
      </c>
      <c r="R51" s="56">
        <f t="shared" si="4"/>
        <v>90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85</v>
      </c>
      <c r="W51" s="12">
        <f>IF(H51=0,List!$C$5,$C$3)</f>
        <v>0</v>
      </c>
      <c r="X51" s="12"/>
      <c r="Y51" s="12">
        <f t="shared" si="7"/>
        <v>90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7</v>
      </c>
      <c r="L52" s="56">
        <f t="shared" si="0"/>
        <v>4</v>
      </c>
      <c r="M52" s="56">
        <f t="shared" si="1"/>
        <v>0</v>
      </c>
      <c r="N52" s="56" t="b">
        <f t="shared" si="2"/>
        <v>0</v>
      </c>
      <c r="O52" s="12"/>
      <c r="P52" s="55">
        <v>302</v>
      </c>
      <c r="Q52" s="56">
        <f t="shared" si="3"/>
        <v>11</v>
      </c>
      <c r="R52" s="56">
        <f t="shared" si="4"/>
        <v>313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308</v>
      </c>
      <c r="W52" s="12">
        <f>IF(H52=0,List!$C$5,$C$3)</f>
        <v>0</v>
      </c>
      <c r="X52" s="12"/>
      <c r="Y52" s="12">
        <f t="shared" si="7"/>
        <v>313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7</v>
      </c>
      <c r="L53" s="56">
        <f t="shared" si="0"/>
        <v>4</v>
      </c>
      <c r="M53" s="56">
        <f t="shared" si="1"/>
        <v>0</v>
      </c>
      <c r="N53" s="56" t="b">
        <f t="shared" si="2"/>
        <v>0</v>
      </c>
      <c r="O53" s="12"/>
      <c r="P53" s="55">
        <v>295</v>
      </c>
      <c r="Q53" s="56">
        <f t="shared" si="3"/>
        <v>11</v>
      </c>
      <c r="R53" s="56">
        <f t="shared" si="4"/>
        <v>306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301</v>
      </c>
      <c r="W53" s="12">
        <f>IF(H53=0,List!$C$5,$C$3)</f>
        <v>0</v>
      </c>
      <c r="X53" s="12"/>
      <c r="Y53" s="12">
        <f t="shared" si="7"/>
        <v>306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3</v>
      </c>
      <c r="N54" s="56" t="b">
        <f t="shared" si="2"/>
        <v>0</v>
      </c>
      <c r="O54" s="12"/>
      <c r="P54" s="55">
        <v>381</v>
      </c>
      <c r="Q54" s="56">
        <f t="shared" si="3"/>
        <v>17</v>
      </c>
      <c r="R54" s="56">
        <f t="shared" si="4"/>
        <v>398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383</v>
      </c>
      <c r="W54" s="12">
        <f>IF(H54=0,List!$C$5,$C$3)</f>
        <v>0</v>
      </c>
      <c r="X54" s="12"/>
      <c r="Y54" s="12">
        <f t="shared" si="7"/>
        <v>398</v>
      </c>
      <c r="Z54" s="12">
        <f>RANK(Y54,$Y$15:$Y$55,0)+COUNTIF($Y$15:Y54,Y54)-1</f>
        <v>8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22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0.18181818181818182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0.18181818181818182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0.27272727272727271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0.45454545454545453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0.27272727272727271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0.18181818181818182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-0.54545454545454541</v>
      </c>
      <c r="K9" s="59">
        <v>4</v>
      </c>
      <c r="L9" s="59">
        <f>C1-SUM(L3:L8)</f>
        <v>-12</v>
      </c>
      <c r="M9" s="1">
        <f t="shared" si="4"/>
        <v>22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21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20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2"/>
        <v>#N/A</v>
      </c>
      <c r="F29" s="1" t="str">
        <f t="shared" si="1"/>
        <v/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19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15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16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17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18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22</v>
      </c>
      <c r="F40" s="1">
        <f t="shared" si="1"/>
        <v>7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23</v>
      </c>
      <c r="F41" s="1">
        <f t="shared" si="1"/>
        <v>7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2023-05-10T05:22:40Z</dcterms:modified>
</cp:coreProperties>
</file>