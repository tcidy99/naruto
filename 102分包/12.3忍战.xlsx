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DC409A85-6F14-4048-871A-646FF00AFBF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W52" i="1" l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K55" i="1"/>
  <c r="E43" i="4"/>
  <c r="F43" i="4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34" i="4"/>
  <c r="K46" i="1" s="1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6" i="4"/>
  <c r="K19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2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Z45" i="1"/>
  <c r="Z42" i="1"/>
  <c r="S42" i="1" s="1"/>
  <c r="Z53" i="1"/>
  <c r="Z55" i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S55" i="1"/>
  <c r="S46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<sst xmlns="http://schemas.openxmlformats.org/spreadsheetml/2006/main" count="364" uniqueCount="175">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</sst>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2470000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2" zoomScale="95" zoomScaleNormal="95" workbookViewId="0">
      <selection activeCell="A39" sqref="A39:XFD39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27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3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10</v>
      </c>
      <c r="AA2" s="40">
        <f>M9*N9</f>
        <v>198</v>
      </c>
    </row>
    <row r="3" spans="1:28" ht="14.25" customHeight="1" x14ac:dyDescent="0.3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19</v>
      </c>
      <c r="AA3" s="40">
        <f>M10*N10</f>
        <v>117</v>
      </c>
    </row>
    <row r="4" spans="1:28" ht="14.25" customHeight="1" x14ac:dyDescent="0.3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31</v>
      </c>
      <c r="AA4" s="40">
        <f>M11*N11</f>
        <v>120</v>
      </c>
    </row>
    <row r="5" spans="1:28" ht="30.75" customHeight="1" x14ac:dyDescent="0.3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11</v>
      </c>
      <c r="F9" s="2">
        <v>27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9</v>
      </c>
      <c r="O9" s="40">
        <f>COUNTIF($S$15:$S$271,1)</f>
        <v>9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12</v>
      </c>
      <c r="F10" s="2">
        <v>3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9</v>
      </c>
      <c r="O10" s="40">
        <f>COUNTIF($S$15:$S$271,2)</f>
        <v>9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12</v>
      </c>
      <c r="O11" s="40">
        <f>COUNTIF($S$15:$S$271,3)</f>
        <v>6</v>
      </c>
      <c r="P11" s="40">
        <f>N11-O11</f>
        <v>6</v>
      </c>
      <c r="T11" s="31" t="s">
        <v>17</v>
      </c>
      <c r="U11" s="72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1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24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3</v>
      </c>
      <c r="I15" s="55"/>
      <c r="J15" s="12"/>
      <c r="K15" s="57">
        <f>IF(H15&gt;0,VLOOKUP(D15,战力表!$A$3:$F$58,6,FALSE),0)</f>
        <v>10</v>
      </c>
      <c r="L15" s="57">
        <f t="shared" ref="L15:L55" si="0">H15*$U$9</f>
        <v>9</v>
      </c>
      <c r="M15" s="57">
        <f t="shared" ref="M15:M55" si="1">IF(H15=$U$11,$U$10,0)</f>
        <v>4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278</v>
      </c>
      <c r="Q15" s="57">
        <f t="shared" ref="Q15:Q54" si="3">K15+L15+M15+N15</f>
        <v>23</v>
      </c>
      <c r="R15" s="57">
        <f t="shared" ref="R15:R54" si="4">P15+Q15</f>
        <v>301</v>
      </c>
      <c r="S15" s="57">
        <f t="shared" ref="S15:S54" si="5">IF(H15=0,"",IF(B15=1,3,IF(Z15&lt;$Y$2,1,IF(Z15&lt;$Y$3,2,3))))</f>
        <v>1</v>
      </c>
      <c r="T15" s="57" t="str">
        <f t="shared" ref="T15:T54" si="6">IF(S15=$K$9,$L$9,IF(S15=$K$10,$L$10,IF(S15=$K$11,$L$11)))</f>
        <v>传说</v>
      </c>
      <c r="U15" s="57">
        <f>-IF(S15=$K$9,$M$9,IF(S15=$K$10,$M$10,IF(S15=$K$11,$M$11)))</f>
        <v>-22</v>
      </c>
      <c r="V15" s="57">
        <f t="shared" ref="V15:V54" si="7">P15+Q15+U15</f>
        <v>279</v>
      </c>
      <c r="W15" s="12">
        <f>IF(H15=0,List!$C$5,$C$3)</f>
        <v>0</v>
      </c>
      <c r="X15" s="12"/>
      <c r="Y15" s="12">
        <f t="shared" ref="Y15:Y54" si="8">P15+Q15</f>
        <v>301</v>
      </c>
      <c r="Z15" s="12">
        <f>RANK(Y15,$Y$15:$Y$55,0)+COUNTIF($Y$15:Y15,Y15)-1</f>
        <v>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3</v>
      </c>
      <c r="I17" s="55"/>
      <c r="J17" s="12"/>
      <c r="K17" s="57">
        <f>IF(H17&gt;0,VLOOKUP(D17,战力表!$A$3:$F$58,6,FALSE),0)</f>
        <v>10</v>
      </c>
      <c r="L17" s="57">
        <f t="shared" si="0"/>
        <v>9</v>
      </c>
      <c r="M17" s="57">
        <f t="shared" si="1"/>
        <v>4</v>
      </c>
      <c r="N17" s="57" t="b">
        <f t="shared" si="2"/>
        <v>0</v>
      </c>
      <c r="O17" s="12"/>
      <c r="P17" s="56">
        <v>272</v>
      </c>
      <c r="Q17" s="57">
        <f t="shared" si="3"/>
        <v>23</v>
      </c>
      <c r="R17" s="57">
        <f t="shared" si="4"/>
        <v>295</v>
      </c>
      <c r="S17" s="57">
        <f t="shared" si="5"/>
        <v>1</v>
      </c>
      <c r="T17" s="57" t="str">
        <f t="shared" si="6"/>
        <v>传说</v>
      </c>
      <c r="U17" s="57">
        <f t="shared" si="9"/>
        <v>-22</v>
      </c>
      <c r="V17" s="57">
        <f t="shared" si="7"/>
        <v>273</v>
      </c>
      <c r="W17" s="12">
        <f>IF(H17=0,List!$C$5,$C$3)</f>
        <v>0</v>
      </c>
      <c r="X17" s="12"/>
      <c r="Y17" s="12">
        <f t="shared" si="8"/>
        <v>295</v>
      </c>
      <c r="Z17" s="12">
        <f>RANK(Y17,$Y$15:$Y$55,0)+COUNTIF($Y$15:Y17,Y17)-1</f>
        <v>9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2</v>
      </c>
      <c r="I18" s="55"/>
      <c r="J18" s="12"/>
      <c r="K18" s="57">
        <f>IF(H18&gt;0,VLOOKUP(D18,战力表!$A$3:$F$58,6,FALSE),0)</f>
        <v>10</v>
      </c>
      <c r="L18" s="57">
        <f t="shared" si="0"/>
        <v>6</v>
      </c>
      <c r="M18" s="57">
        <f t="shared" si="1"/>
        <v>0</v>
      </c>
      <c r="N18" s="57" t="b">
        <f t="shared" si="2"/>
        <v>0</v>
      </c>
      <c r="O18" s="12"/>
      <c r="P18" s="56">
        <v>266</v>
      </c>
      <c r="Q18" s="57">
        <f t="shared" si="3"/>
        <v>16</v>
      </c>
      <c r="R18" s="57">
        <v>267</v>
      </c>
      <c r="S18" s="57">
        <f t="shared" si="5"/>
        <v>3</v>
      </c>
      <c r="T18" s="57" t="str">
        <f t="shared" si="6"/>
        <v>精英</v>
      </c>
      <c r="U18" s="57">
        <f t="shared" si="9"/>
        <v>-10</v>
      </c>
      <c r="V18" s="57">
        <f t="shared" si="7"/>
        <v>272</v>
      </c>
      <c r="W18" s="12">
        <f>IF(H18=0,List!$C$5,$C$3)</f>
        <v>0</v>
      </c>
      <c r="X18" s="12"/>
      <c r="Y18" s="12">
        <f t="shared" si="8"/>
        <v>282</v>
      </c>
      <c r="Z18" s="12">
        <f>RANK(Y18,$Y$15:$Y$55,0)+COUNTIF($Y$15:Y18,Y18)-1</f>
        <v>20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0</v>
      </c>
      <c r="I20" s="55"/>
      <c r="J20" s="12"/>
      <c r="K20" s="57">
        <f>IF(H20&gt;0,VLOOKUP(D20,战力表!$A$3:$F$58,6,FALSE),0)</f>
        <v>0</v>
      </c>
      <c r="L20" s="57">
        <f t="shared" si="0"/>
        <v>0</v>
      </c>
      <c r="M20" s="57">
        <f t="shared" si="1"/>
        <v>0</v>
      </c>
      <c r="N20" s="57" t="b">
        <f t="shared" si="2"/>
        <v>0</v>
      </c>
      <c r="O20" s="12"/>
      <c r="P20" s="56">
        <v>262</v>
      </c>
      <c r="Q20" s="57">
        <f t="shared" si="3"/>
        <v>0</v>
      </c>
      <c r="R20" s="57">
        <f t="shared" si="4"/>
        <v>262</v>
      </c>
      <c r="S20" s="57" t="str">
        <f t="shared" si="5"/>
        <v/>
      </c>
      <c r="T20" s="57" t="b">
        <f t="shared" si="6"/>
        <v>0</v>
      </c>
      <c r="U20" s="57">
        <f t="shared" si="9"/>
        <v>0</v>
      </c>
      <c r="V20" s="57">
        <f t="shared" si="7"/>
        <v>262</v>
      </c>
      <c r="W20" s="12" t="str">
        <f>IF(H20=0,List!$C$5,$C$3)</f>
        <v>没有忍战，无法分包</v>
      </c>
      <c r="X20" s="12"/>
      <c r="Y20" s="12">
        <f t="shared" si="8"/>
        <v>262</v>
      </c>
      <c r="Z20" s="12">
        <f>RANK(Y20,$Y$15:$Y$55,0)+COUNTIF($Y$15:Y20,Y20)-1</f>
        <v>25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3</v>
      </c>
      <c r="I21" s="55"/>
      <c r="J21" s="12"/>
      <c r="K21" s="57">
        <f>IF(H21&gt;0,VLOOKUP(D21,战力表!$A$3:$F$58,6,FALSE),0)</f>
        <v>10</v>
      </c>
      <c r="L21" s="57">
        <f t="shared" si="0"/>
        <v>9</v>
      </c>
      <c r="M21" s="57">
        <f t="shared" si="1"/>
        <v>4</v>
      </c>
      <c r="N21" s="57" t="b">
        <f t="shared" si="2"/>
        <v>0</v>
      </c>
      <c r="O21" s="12"/>
      <c r="P21" s="56">
        <v>273</v>
      </c>
      <c r="Q21" s="57">
        <f t="shared" si="3"/>
        <v>23</v>
      </c>
      <c r="R21" s="57">
        <f t="shared" si="4"/>
        <v>296</v>
      </c>
      <c r="S21" s="57">
        <f t="shared" si="5"/>
        <v>1</v>
      </c>
      <c r="T21" s="57" t="str">
        <f t="shared" si="6"/>
        <v>传说</v>
      </c>
      <c r="U21" s="57">
        <f t="shared" si="9"/>
        <v>-22</v>
      </c>
      <c r="V21" s="57">
        <f t="shared" si="7"/>
        <v>274</v>
      </c>
      <c r="W21" s="12">
        <f>IF(H21=0,List!$C$5,$C$3)</f>
        <v>0</v>
      </c>
      <c r="X21" s="12"/>
      <c r="Y21" s="12">
        <f t="shared" si="8"/>
        <v>296</v>
      </c>
      <c r="Z21" s="12">
        <f>RANK(Y21,$Y$15:$Y$55,0)+COUNTIF($Y$15:Y21,Y21)-1</f>
        <v>8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3</v>
      </c>
      <c r="I22" s="55"/>
      <c r="J22" s="12"/>
      <c r="K22" s="57">
        <f>IF(H22&gt;0,VLOOKUP(D22,战力表!$A$3:$F$58,6,FALSE),0)</f>
        <v>9</v>
      </c>
      <c r="L22" s="57">
        <f t="shared" si="0"/>
        <v>9</v>
      </c>
      <c r="M22" s="57">
        <f t="shared" si="1"/>
        <v>4</v>
      </c>
      <c r="N22" s="57" t="b">
        <f t="shared" si="2"/>
        <v>0</v>
      </c>
      <c r="O22" s="12"/>
      <c r="P22" s="56">
        <v>278</v>
      </c>
      <c r="Q22" s="57">
        <f t="shared" si="3"/>
        <v>22</v>
      </c>
      <c r="R22" s="57">
        <f t="shared" si="4"/>
        <v>300</v>
      </c>
      <c r="S22" s="57">
        <f t="shared" si="5"/>
        <v>1</v>
      </c>
      <c r="T22" s="57" t="str">
        <f t="shared" si="6"/>
        <v>传说</v>
      </c>
      <c r="U22" s="57">
        <f t="shared" si="9"/>
        <v>-22</v>
      </c>
      <c r="V22" s="57">
        <f t="shared" si="7"/>
        <v>278</v>
      </c>
      <c r="W22" s="12">
        <f>IF(H22=0,List!$C$5,$C$3)</f>
        <v>0</v>
      </c>
      <c r="X22" s="12"/>
      <c r="Y22" s="12">
        <f t="shared" si="8"/>
        <v>300</v>
      </c>
      <c r="Z22" s="12">
        <f>RANK(Y22,$Y$15:$Y$55,0)+COUNTIF($Y$15:Y22,Y22)-1</f>
        <v>4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2</v>
      </c>
      <c r="I23" s="55"/>
      <c r="J23" s="12"/>
      <c r="K23" s="57">
        <f>IF(H23&gt;0,VLOOKUP(D23,战力表!$A$3:$F$58,6,FALSE),0)</f>
        <v>9</v>
      </c>
      <c r="L23" s="57">
        <f t="shared" si="0"/>
        <v>6</v>
      </c>
      <c r="M23" s="57">
        <f t="shared" si="1"/>
        <v>0</v>
      </c>
      <c r="N23" s="57" t="b">
        <f t="shared" si="2"/>
        <v>0</v>
      </c>
      <c r="O23" s="12"/>
      <c r="P23" s="56">
        <v>268</v>
      </c>
      <c r="Q23" s="57">
        <f t="shared" si="3"/>
        <v>15</v>
      </c>
      <c r="R23" s="57">
        <f t="shared" si="4"/>
        <v>283</v>
      </c>
      <c r="S23" s="57">
        <f t="shared" si="5"/>
        <v>3</v>
      </c>
      <c r="T23" s="57" t="str">
        <f t="shared" si="6"/>
        <v>精英</v>
      </c>
      <c r="U23" s="57">
        <f t="shared" si="9"/>
        <v>-10</v>
      </c>
      <c r="V23" s="57">
        <f t="shared" si="7"/>
        <v>273</v>
      </c>
      <c r="W23" s="12">
        <f>IF(H23=0,List!$C$5,$C$3)</f>
        <v>0</v>
      </c>
      <c r="X23" s="12"/>
      <c r="Y23" s="12">
        <f t="shared" si="8"/>
        <v>283</v>
      </c>
      <c r="Z23" s="12">
        <f>RANK(Y23,$Y$15:$Y$55,0)+COUNTIF($Y$15:Y23,Y23)-1</f>
        <v>19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3</v>
      </c>
      <c r="I24" s="55"/>
      <c r="J24" s="12"/>
      <c r="K24" s="57">
        <f>IF(H24&gt;0,VLOOKUP(D24,战力表!$A$3:$F$58,6,FALSE),0)</f>
        <v>9</v>
      </c>
      <c r="L24" s="57">
        <f t="shared" si="0"/>
        <v>9</v>
      </c>
      <c r="M24" s="57">
        <f t="shared" si="1"/>
        <v>4</v>
      </c>
      <c r="N24" s="57" t="b">
        <f t="shared" si="2"/>
        <v>0</v>
      </c>
      <c r="O24" s="12"/>
      <c r="P24" s="56">
        <v>279</v>
      </c>
      <c r="Q24" s="57">
        <f t="shared" si="3"/>
        <v>22</v>
      </c>
      <c r="R24" s="57">
        <f t="shared" si="4"/>
        <v>301</v>
      </c>
      <c r="S24" s="57">
        <f t="shared" si="5"/>
        <v>1</v>
      </c>
      <c r="T24" s="57" t="str">
        <f t="shared" si="6"/>
        <v>传说</v>
      </c>
      <c r="U24" s="57">
        <f t="shared" si="9"/>
        <v>-22</v>
      </c>
      <c r="V24" s="57">
        <f t="shared" si="7"/>
        <v>279</v>
      </c>
      <c r="W24" s="12">
        <f>IF(H24=0,List!$C$5,$C$3)</f>
        <v>0</v>
      </c>
      <c r="X24" s="12"/>
      <c r="Y24" s="12">
        <f t="shared" si="8"/>
        <v>301</v>
      </c>
      <c r="Z24" s="12">
        <f>RANK(Y24,$Y$15:$Y$55,0)+COUNTIF($Y$15:Y24,Y24)-1</f>
        <v>2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3</v>
      </c>
      <c r="I25" s="55"/>
      <c r="J25" s="12"/>
      <c r="K25" s="57">
        <f>IF(H25&gt;0,VLOOKUP(D25,战力表!$A$3:$F$58,6,FALSE),0)</f>
        <v>8</v>
      </c>
      <c r="L25" s="57">
        <f t="shared" si="0"/>
        <v>9</v>
      </c>
      <c r="M25" s="57">
        <f t="shared" si="1"/>
        <v>4</v>
      </c>
      <c r="N25" s="57" t="b">
        <f t="shared" si="2"/>
        <v>0</v>
      </c>
      <c r="O25" s="12"/>
      <c r="P25" s="56">
        <v>279</v>
      </c>
      <c r="Q25" s="57">
        <f t="shared" si="3"/>
        <v>21</v>
      </c>
      <c r="R25" s="57">
        <f t="shared" si="4"/>
        <v>300</v>
      </c>
      <c r="S25" s="57">
        <f t="shared" si="5"/>
        <v>1</v>
      </c>
      <c r="T25" s="57" t="str">
        <f t="shared" si="6"/>
        <v>传说</v>
      </c>
      <c r="U25" s="57">
        <f t="shared" si="9"/>
        <v>-22</v>
      </c>
      <c r="V25" s="57">
        <f t="shared" si="7"/>
        <v>278</v>
      </c>
      <c r="W25" s="12">
        <f>IF(H25=0,List!$C$5,$C$3)</f>
        <v>0</v>
      </c>
      <c r="X25" s="12"/>
      <c r="Y25" s="12">
        <f t="shared" si="8"/>
        <v>300</v>
      </c>
      <c r="Z25" s="12">
        <f>RANK(Y25,$Y$15:$Y$55,0)+COUNTIF($Y$15:Y25,Y25)-1</f>
        <v>5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3</v>
      </c>
      <c r="I26" s="55"/>
      <c r="J26" s="12"/>
      <c r="K26" s="57">
        <f>IF(H26&gt;0,VLOOKUP(D26,战力表!$A$3:$F$58,6,FALSE),0)</f>
        <v>9</v>
      </c>
      <c r="L26" s="57">
        <f t="shared" si="0"/>
        <v>9</v>
      </c>
      <c r="M26" s="57">
        <f t="shared" si="1"/>
        <v>4</v>
      </c>
      <c r="N26" s="57" t="b">
        <f t="shared" si="2"/>
        <v>0</v>
      </c>
      <c r="O26" s="12"/>
      <c r="P26" s="56">
        <v>276</v>
      </c>
      <c r="Q26" s="57">
        <f t="shared" si="3"/>
        <v>22</v>
      </c>
      <c r="R26" s="57">
        <f t="shared" si="4"/>
        <v>298</v>
      </c>
      <c r="S26" s="57">
        <f t="shared" si="5"/>
        <v>1</v>
      </c>
      <c r="T26" s="57" t="str">
        <f t="shared" si="6"/>
        <v>传说</v>
      </c>
      <c r="U26" s="57">
        <f t="shared" si="9"/>
        <v>-22</v>
      </c>
      <c r="V26" s="57">
        <f t="shared" si="7"/>
        <v>276</v>
      </c>
      <c r="W26" s="12">
        <f>IF(H26=0,List!$C$5,$C$3)</f>
        <v>0</v>
      </c>
      <c r="X26" s="12"/>
      <c r="Y26" s="12">
        <f t="shared" si="8"/>
        <v>298</v>
      </c>
      <c r="Z26" s="12">
        <f>RANK(Y26,$Y$15:$Y$55,0)+COUNTIF($Y$15:Y26,Y26)-1</f>
        <v>7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3</v>
      </c>
      <c r="I27" s="55"/>
      <c r="J27" s="12"/>
      <c r="K27" s="57">
        <f>IF(H27&gt;0,VLOOKUP(D27,战力表!$A$3:$F$58,6,FALSE),0)</f>
        <v>8</v>
      </c>
      <c r="L27" s="57">
        <f t="shared" si="0"/>
        <v>9</v>
      </c>
      <c r="M27" s="57">
        <f t="shared" si="1"/>
        <v>4</v>
      </c>
      <c r="N27" s="57" t="b">
        <f t="shared" si="2"/>
        <v>0</v>
      </c>
      <c r="O27" s="12"/>
      <c r="P27" s="56">
        <v>271</v>
      </c>
      <c r="Q27" s="57">
        <f t="shared" si="3"/>
        <v>21</v>
      </c>
      <c r="R27" s="57">
        <f t="shared" si="4"/>
        <v>292</v>
      </c>
      <c r="S27" s="57">
        <f t="shared" si="5"/>
        <v>2</v>
      </c>
      <c r="T27" s="57" t="str">
        <f t="shared" si="6"/>
        <v>英雄</v>
      </c>
      <c r="U27" s="57">
        <f t="shared" si="9"/>
        <v>-13</v>
      </c>
      <c r="V27" s="57">
        <f t="shared" si="7"/>
        <v>279</v>
      </c>
      <c r="W27" s="12">
        <f>IF(H27=0,List!$C$5,$C$3)</f>
        <v>0</v>
      </c>
      <c r="X27" s="12"/>
      <c r="Y27" s="12">
        <f t="shared" si="8"/>
        <v>292</v>
      </c>
      <c r="Z27" s="12">
        <f>RANK(Y27,$Y$15:$Y$55,0)+COUNTIF($Y$15:Y27,Y27)-1</f>
        <v>12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3</v>
      </c>
      <c r="I28" s="55"/>
      <c r="J28" s="12"/>
      <c r="K28" s="57">
        <f>IF(H28&gt;0,VLOOKUP(D28,战力表!$A$3:$F$58,6,FALSE),0)</f>
        <v>8</v>
      </c>
      <c r="L28" s="57">
        <f t="shared" si="0"/>
        <v>9</v>
      </c>
      <c r="M28" s="57">
        <f t="shared" si="1"/>
        <v>4</v>
      </c>
      <c r="N28" s="57" t="b">
        <f t="shared" si="2"/>
        <v>0</v>
      </c>
      <c r="O28" s="12"/>
      <c r="P28" s="56">
        <v>279</v>
      </c>
      <c r="Q28" s="57">
        <f t="shared" si="3"/>
        <v>21</v>
      </c>
      <c r="R28" s="57">
        <f t="shared" si="4"/>
        <v>300</v>
      </c>
      <c r="S28" s="57">
        <f t="shared" si="5"/>
        <v>1</v>
      </c>
      <c r="T28" s="57" t="str">
        <f t="shared" si="6"/>
        <v>传说</v>
      </c>
      <c r="U28" s="57">
        <f t="shared" si="9"/>
        <v>-22</v>
      </c>
      <c r="V28" s="57">
        <f t="shared" si="7"/>
        <v>278</v>
      </c>
      <c r="W28" s="12">
        <f>IF(H28=0,List!$C$5,$C$3)</f>
        <v>0</v>
      </c>
      <c r="X28" s="12"/>
      <c r="Y28" s="12">
        <f t="shared" si="8"/>
        <v>300</v>
      </c>
      <c r="Z28" s="12">
        <f>RANK(Y28,$Y$15:$Y$55,0)+COUNTIF($Y$15:Y28,Y28)-1</f>
        <v>6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2</v>
      </c>
      <c r="I30" s="55"/>
      <c r="J30" s="12"/>
      <c r="K30" s="57">
        <f>IF(H30&gt;0,VLOOKUP(D30,战力表!$A$3:$F$58,6,FALSE),0)</f>
        <v>8</v>
      </c>
      <c r="L30" s="57">
        <f t="shared" si="0"/>
        <v>6</v>
      </c>
      <c r="M30" s="57">
        <f t="shared" si="1"/>
        <v>0</v>
      </c>
      <c r="N30" s="57" t="b">
        <f t="shared" si="2"/>
        <v>0</v>
      </c>
      <c r="O30" s="12"/>
      <c r="P30" s="56">
        <v>277</v>
      </c>
      <c r="Q30" s="57">
        <f t="shared" si="3"/>
        <v>14</v>
      </c>
      <c r="R30" s="57">
        <f t="shared" si="4"/>
        <v>291</v>
      </c>
      <c r="S30" s="57">
        <f t="shared" si="5"/>
        <v>2</v>
      </c>
      <c r="T30" s="57" t="str">
        <f t="shared" si="6"/>
        <v>英雄</v>
      </c>
      <c r="U30" s="57">
        <f t="shared" si="9"/>
        <v>-13</v>
      </c>
      <c r="V30" s="57">
        <f t="shared" si="7"/>
        <v>278</v>
      </c>
      <c r="W30" s="12">
        <f>IF(H30=0,List!$C$5,$C$3)</f>
        <v>0</v>
      </c>
      <c r="X30" s="12"/>
      <c r="Y30" s="12">
        <f t="shared" si="8"/>
        <v>291</v>
      </c>
      <c r="Z30" s="12">
        <f>RANK(Y30,$Y$15:$Y$55,0)+COUNTIF($Y$15:Y30,Y30)-1</f>
        <v>13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3</v>
      </c>
      <c r="I31" s="55"/>
      <c r="J31" s="12"/>
      <c r="K31" s="57">
        <f>IF(H31&gt;0,VLOOKUP(D31,战力表!$A$3:$F$58,6,FALSE),0)</f>
        <v>8</v>
      </c>
      <c r="L31" s="57">
        <f t="shared" si="0"/>
        <v>9</v>
      </c>
      <c r="M31" s="57">
        <f t="shared" si="1"/>
        <v>4</v>
      </c>
      <c r="N31" s="57" t="b">
        <f t="shared" si="2"/>
        <v>0</v>
      </c>
      <c r="O31" s="12"/>
      <c r="P31" s="56">
        <v>280</v>
      </c>
      <c r="Q31" s="57">
        <f t="shared" si="3"/>
        <v>21</v>
      </c>
      <c r="R31" s="57">
        <f t="shared" si="4"/>
        <v>301</v>
      </c>
      <c r="S31" s="57">
        <f t="shared" si="5"/>
        <v>1</v>
      </c>
      <c r="T31" s="57" t="str">
        <f t="shared" si="6"/>
        <v>传说</v>
      </c>
      <c r="U31" s="57">
        <f t="shared" si="9"/>
        <v>-22</v>
      </c>
      <c r="V31" s="57">
        <f t="shared" si="7"/>
        <v>279</v>
      </c>
      <c r="W31" s="12">
        <f>IF(H31=0,List!$C$5,$C$3)</f>
        <v>0</v>
      </c>
      <c r="X31" s="12"/>
      <c r="Y31" s="12">
        <f t="shared" si="8"/>
        <v>301</v>
      </c>
      <c r="Z31" s="12">
        <f>RANK(Y31,$Y$15:$Y$55,0)+COUNTIF($Y$15:Y31,Y31)-1</f>
        <v>3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3</v>
      </c>
      <c r="I32" s="55"/>
      <c r="J32" s="12"/>
      <c r="K32" s="57">
        <f>IF(H32&gt;0,VLOOKUP(D32,战力表!$A$3:$F$58,6,FALSE),0)</f>
        <v>8</v>
      </c>
      <c r="L32" s="57">
        <f t="shared" si="0"/>
        <v>9</v>
      </c>
      <c r="M32" s="57">
        <f t="shared" si="1"/>
        <v>4</v>
      </c>
      <c r="N32" s="57" t="b">
        <f t="shared" si="2"/>
        <v>0</v>
      </c>
      <c r="O32" s="12"/>
      <c r="P32" s="56">
        <v>273</v>
      </c>
      <c r="Q32" s="57">
        <f t="shared" si="3"/>
        <v>21</v>
      </c>
      <c r="R32" s="57">
        <f t="shared" si="4"/>
        <v>294</v>
      </c>
      <c r="S32" s="57">
        <f t="shared" si="5"/>
        <v>2</v>
      </c>
      <c r="T32" s="57" t="str">
        <f t="shared" si="6"/>
        <v>英雄</v>
      </c>
      <c r="U32" s="57">
        <f t="shared" si="9"/>
        <v>-13</v>
      </c>
      <c r="V32" s="57">
        <f t="shared" si="7"/>
        <v>281</v>
      </c>
      <c r="W32" s="12">
        <f>IF(H32=0,List!$C$5,$C$3)</f>
        <v>0</v>
      </c>
      <c r="X32" s="12"/>
      <c r="Y32" s="12">
        <f t="shared" si="8"/>
        <v>294</v>
      </c>
      <c r="Z32" s="12">
        <f>RANK(Y32,$Y$15:$Y$55,0)+COUNTIF($Y$15:Y32,Y32)-1</f>
        <v>11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2</v>
      </c>
      <c r="I33" s="55"/>
      <c r="J33" s="12"/>
      <c r="K33" s="57">
        <f>IF(H33&gt;0,VLOOKUP(D33,战力表!$A$3:$F$58,6,FALSE),0)</f>
        <v>7</v>
      </c>
      <c r="L33" s="57">
        <f t="shared" si="0"/>
        <v>6</v>
      </c>
      <c r="M33" s="57">
        <f t="shared" si="1"/>
        <v>0</v>
      </c>
      <c r="N33" s="57" t="b">
        <f t="shared" si="2"/>
        <v>0</v>
      </c>
      <c r="O33" s="12"/>
      <c r="P33" s="56">
        <v>277</v>
      </c>
      <c r="Q33" s="57">
        <f t="shared" si="3"/>
        <v>13</v>
      </c>
      <c r="R33" s="57">
        <f t="shared" si="4"/>
        <v>290</v>
      </c>
      <c r="S33" s="57">
        <f t="shared" si="5"/>
        <v>2</v>
      </c>
      <c r="T33" s="57" t="str">
        <f t="shared" si="6"/>
        <v>英雄</v>
      </c>
      <c r="U33" s="57">
        <f t="shared" si="9"/>
        <v>-13</v>
      </c>
      <c r="V33" s="57">
        <f t="shared" si="7"/>
        <v>277</v>
      </c>
      <c r="W33" s="12">
        <f>IF(H33=0,List!$C$5,$C$3)</f>
        <v>0</v>
      </c>
      <c r="X33" s="12"/>
      <c r="Y33" s="12">
        <f t="shared" si="8"/>
        <v>290</v>
      </c>
      <c r="Z33" s="12">
        <f>RANK(Y33,$Y$15:$Y$55,0)+COUNTIF($Y$15:Y33,Y33)-1</f>
        <v>15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0</v>
      </c>
      <c r="I34" s="55"/>
      <c r="J34" s="12"/>
      <c r="K34" s="57">
        <f>IF(H34&gt;0,VLOOKUP(D34,战力表!$A$3:$F$58,6,FALSE),0)</f>
        <v>0</v>
      </c>
      <c r="L34" s="57">
        <f t="shared" si="0"/>
        <v>0</v>
      </c>
      <c r="M34" s="57">
        <f t="shared" si="1"/>
        <v>0</v>
      </c>
      <c r="N34" s="57" t="b">
        <f t="shared" si="2"/>
        <v>0</v>
      </c>
      <c r="O34" s="12"/>
      <c r="P34" s="56">
        <v>270</v>
      </c>
      <c r="Q34" s="57">
        <f t="shared" si="3"/>
        <v>0</v>
      </c>
      <c r="R34" s="57">
        <f t="shared" si="4"/>
        <v>270</v>
      </c>
      <c r="S34" s="57" t="str">
        <f t="shared" si="5"/>
        <v/>
      </c>
      <c r="T34" s="57" t="b">
        <f t="shared" si="6"/>
        <v>0</v>
      </c>
      <c r="U34" s="57">
        <f t="shared" si="9"/>
        <v>0</v>
      </c>
      <c r="V34" s="57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21</v>
      </c>
      <c r="AA34" s="12"/>
      <c r="AB34" s="12"/>
      <c r="AD34" s="33"/>
      <c r="AE34" s="33"/>
      <c r="AF34" s="65"/>
    </row>
    <row r="35" spans="1:32" ht="14.25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2</v>
      </c>
      <c r="I36" s="55"/>
      <c r="J36" s="12"/>
      <c r="K36" s="57">
        <f>IF(H36&gt;0,VLOOKUP(D36,战力表!$A$3:$F$58,6,FALSE),0)</f>
        <v>7</v>
      </c>
      <c r="L36" s="57">
        <f t="shared" si="0"/>
        <v>6</v>
      </c>
      <c r="M36" s="57">
        <f t="shared" si="1"/>
        <v>0</v>
      </c>
      <c r="N36" s="57" t="b">
        <f t="shared" si="2"/>
        <v>0</v>
      </c>
      <c r="O36" s="12"/>
      <c r="P36" s="56">
        <v>278</v>
      </c>
      <c r="Q36" s="57">
        <f t="shared" si="3"/>
        <v>13</v>
      </c>
      <c r="R36" s="57">
        <f t="shared" si="4"/>
        <v>291</v>
      </c>
      <c r="S36" s="57">
        <f t="shared" si="5"/>
        <v>2</v>
      </c>
      <c r="T36" s="57" t="str">
        <f t="shared" si="6"/>
        <v>英雄</v>
      </c>
      <c r="U36" s="57">
        <f t="shared" si="9"/>
        <v>-13</v>
      </c>
      <c r="V36" s="57">
        <f t="shared" si="7"/>
        <v>278</v>
      </c>
      <c r="W36" s="12">
        <f>IF(H36=0,List!$C$5,$C$3)</f>
        <v>0</v>
      </c>
      <c r="X36" s="12"/>
      <c r="Y36" s="12">
        <f t="shared" si="8"/>
        <v>291</v>
      </c>
      <c r="Z36" s="12">
        <f>RANK(Y36,$Y$15:$Y$55,0)+COUNTIF($Y$15:Y36,Y36)-1</f>
        <v>14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184</v>
      </c>
      <c r="G37" s="12"/>
      <c r="H37" s="56">
        <v>0</v>
      </c>
      <c r="I37" s="55"/>
      <c r="J37" s="12"/>
      <c r="K37" s="57">
        <f>IF(H37&gt;0,VLOOKUP(D37,战力表!$A$3:$F$58,6,FALSE),0)</f>
        <v>0</v>
      </c>
      <c r="L37" s="57">
        <f t="shared" si="0"/>
        <v>0</v>
      </c>
      <c r="M37" s="57">
        <f t="shared" si="1"/>
        <v>0</v>
      </c>
      <c r="N37" s="57" t="b">
        <f t="shared" si="2"/>
        <v>0</v>
      </c>
      <c r="O37" s="12"/>
      <c r="P37" s="56">
        <v>265</v>
      </c>
      <c r="Q37" s="57">
        <f t="shared" si="3"/>
        <v>0</v>
      </c>
      <c r="R37" s="57">
        <f t="shared" si="4"/>
        <v>265</v>
      </c>
      <c r="S37" s="57" t="str">
        <f t="shared" si="5"/>
        <v/>
      </c>
      <c r="T37" s="57" t="b">
        <f t="shared" si="6"/>
        <v>0</v>
      </c>
      <c r="U37" s="57">
        <f t="shared" si="9"/>
        <v>0</v>
      </c>
      <c r="V37" s="57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23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37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172</v>
      </c>
      <c r="G39" s="12"/>
      <c r="H39" s="56">
        <v>2</v>
      </c>
      <c r="I39" s="55"/>
      <c r="J39" s="12"/>
      <c r="K39" s="57">
        <f>IF(H39&gt;0,VLOOKUP(D39,战力表!$A$3:$F$58,6,FALSE),0)</f>
        <v>7</v>
      </c>
      <c r="L39" s="57">
        <f t="shared" si="0"/>
        <v>6</v>
      </c>
      <c r="M39" s="57">
        <f t="shared" si="1"/>
        <v>0</v>
      </c>
      <c r="N39" s="57" t="b">
        <f t="shared" si="2"/>
        <v>0</v>
      </c>
      <c r="O39" s="12"/>
      <c r="P39" s="56">
        <v>275</v>
      </c>
      <c r="Q39" s="57">
        <f t="shared" si="3"/>
        <v>13</v>
      </c>
      <c r="R39" s="57">
        <f t="shared" si="4"/>
        <v>288</v>
      </c>
      <c r="S39" s="57">
        <f t="shared" si="5"/>
        <v>2</v>
      </c>
      <c r="T39" s="57" t="str">
        <f t="shared" si="6"/>
        <v>英雄</v>
      </c>
      <c r="U39" s="57">
        <f t="shared" si="9"/>
        <v>-13</v>
      </c>
      <c r="V39" s="57">
        <f t="shared" si="7"/>
        <v>275</v>
      </c>
      <c r="W39" s="12">
        <f>IF(H39=0,List!$C$5,$C$3)</f>
        <v>0</v>
      </c>
      <c r="X39" s="12"/>
      <c r="Y39" s="12">
        <f t="shared" si="8"/>
        <v>288</v>
      </c>
      <c r="Z39" s="12">
        <f>RANK(Y39,$Y$15:$Y$55,0)+COUNTIF($Y$15:Y39,Y39)-1</f>
        <v>17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0</v>
      </c>
      <c r="I41" s="55"/>
      <c r="J41" s="12"/>
      <c r="K41" s="57">
        <f>IF(H41&gt;0,VLOOKUP(D41,战力表!$A$3:$F$58,6,FALSE),0)</f>
        <v>0</v>
      </c>
      <c r="L41" s="57">
        <f t="shared" si="0"/>
        <v>0</v>
      </c>
      <c r="M41" s="57">
        <f t="shared" si="1"/>
        <v>0</v>
      </c>
      <c r="N41" s="57" t="b">
        <f t="shared" si="2"/>
        <v>0</v>
      </c>
      <c r="O41" s="12"/>
      <c r="P41" s="56">
        <v>266</v>
      </c>
      <c r="Q41" s="57">
        <f t="shared" si="3"/>
        <v>0</v>
      </c>
      <c r="R41" s="57">
        <f t="shared" si="4"/>
        <v>266</v>
      </c>
      <c r="S41" s="57" t="str">
        <f t="shared" si="5"/>
        <v/>
      </c>
      <c r="T41" s="57" t="b">
        <f t="shared" si="6"/>
        <v>0</v>
      </c>
      <c r="U41" s="57">
        <f t="shared" si="9"/>
        <v>0</v>
      </c>
      <c r="V41" s="57">
        <f t="shared" si="7"/>
        <v>266</v>
      </c>
      <c r="W41" s="12" t="str">
        <f>IF(H41=0,List!$C$5,$C$3)</f>
        <v>没有忍战，无法分包</v>
      </c>
      <c r="X41" s="12"/>
      <c r="Y41" s="12">
        <f t="shared" si="8"/>
        <v>266</v>
      </c>
      <c r="Z41" s="12">
        <f>RANK(Y41,$Y$15:$Y$55,0)+COUNTIF($Y$15:Y41,Y41)-1</f>
        <v>22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2</v>
      </c>
      <c r="I42" s="55"/>
      <c r="J42" s="12"/>
      <c r="K42" s="57">
        <f>IF(H42&gt;0,VLOOKUP(D42,战力表!$A$3:$F$58,6,FALSE),0)</f>
        <v>7</v>
      </c>
      <c r="L42" s="57">
        <f t="shared" si="0"/>
        <v>6</v>
      </c>
      <c r="M42" s="57">
        <f t="shared" si="1"/>
        <v>0</v>
      </c>
      <c r="N42" s="57" t="b">
        <f t="shared" si="2"/>
        <v>0</v>
      </c>
      <c r="O42" s="12"/>
      <c r="P42" s="56">
        <v>250</v>
      </c>
      <c r="Q42" s="57">
        <f t="shared" si="3"/>
        <v>13</v>
      </c>
      <c r="R42" s="57">
        <f t="shared" si="4"/>
        <v>263</v>
      </c>
      <c r="S42" s="57">
        <f t="shared" si="5"/>
        <v>3</v>
      </c>
      <c r="T42" s="57" t="str">
        <f t="shared" si="6"/>
        <v>精英</v>
      </c>
      <c r="U42" s="57">
        <f t="shared" si="9"/>
        <v>-10</v>
      </c>
      <c r="V42" s="57">
        <f t="shared" si="7"/>
        <v>253</v>
      </c>
      <c r="W42" s="12">
        <f>IF(H42=0,List!$C$5,$C$3)</f>
        <v>0</v>
      </c>
      <c r="X42" s="12"/>
      <c r="Y42" s="12">
        <f t="shared" si="8"/>
        <v>263</v>
      </c>
      <c r="Z42" s="12">
        <f>RANK(Y42,$Y$15:$Y$55,0)+COUNTIF($Y$15:Y42,Y42)-1</f>
        <v>24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35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9"/>
        <v>0</v>
      </c>
      <c r="V46" s="57">
        <f t="shared" si="7"/>
        <v>152</v>
      </c>
      <c r="W46" s="12" t="str">
        <f>IF(H46=0,List!$C$5,$C$3)</f>
        <v>没有忍战，无法分包</v>
      </c>
      <c r="X46" s="12"/>
      <c r="Y46" s="12">
        <f t="shared" si="8"/>
        <v>152</v>
      </c>
      <c r="Z46" s="12">
        <f>RANK(Y46,$Y$15:$Y$55,0)+COUNTIF($Y$15:Y46,Y46)-1</f>
        <v>33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3</v>
      </c>
      <c r="I47" s="55"/>
      <c r="J47" s="12"/>
      <c r="K47" s="57">
        <f>IF(H47&gt;0,VLOOKUP(D47,战力表!$A$3:$F$58,6,FALSE),0)</f>
        <v>7</v>
      </c>
      <c r="L47" s="57">
        <f t="shared" si="0"/>
        <v>9</v>
      </c>
      <c r="M47" s="57">
        <f t="shared" si="1"/>
        <v>4</v>
      </c>
      <c r="N47" s="57" t="b">
        <f t="shared" si="2"/>
        <v>0</v>
      </c>
      <c r="O47" s="12"/>
      <c r="P47" s="56">
        <v>275</v>
      </c>
      <c r="Q47" s="57">
        <f t="shared" si="3"/>
        <v>20</v>
      </c>
      <c r="R47" s="57">
        <f t="shared" si="4"/>
        <v>295</v>
      </c>
      <c r="S47" s="57">
        <f t="shared" si="5"/>
        <v>2</v>
      </c>
      <c r="T47" s="57" t="str">
        <f t="shared" si="6"/>
        <v>英雄</v>
      </c>
      <c r="U47" s="57">
        <f t="shared" si="9"/>
        <v>-13</v>
      </c>
      <c r="V47" s="57">
        <f t="shared" si="7"/>
        <v>282</v>
      </c>
      <c r="W47" s="12">
        <f>IF(H47=0,List!$C$5,$C$3)</f>
        <v>0</v>
      </c>
      <c r="X47" s="12"/>
      <c r="Y47" s="12">
        <f t="shared" si="8"/>
        <v>295</v>
      </c>
      <c r="Z47" s="12">
        <f>RANK(Y47,$Y$15:$Y$55,0)+COUNTIF($Y$15:Y47,Y47)-1</f>
        <v>10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80</v>
      </c>
      <c r="G48" s="12"/>
      <c r="H48" s="56">
        <v>2</v>
      </c>
      <c r="I48" s="55"/>
      <c r="J48" s="12"/>
      <c r="K48" s="57">
        <f>IF(H48&gt;0,VLOOKUP(D48,战力表!$A$3:$F$58,6,FALSE),0)</f>
        <v>7</v>
      </c>
      <c r="L48" s="57">
        <f t="shared" si="0"/>
        <v>6</v>
      </c>
      <c r="M48" s="57">
        <f t="shared" si="1"/>
        <v>0</v>
      </c>
      <c r="N48" s="57" t="b">
        <f t="shared" si="2"/>
        <v>0</v>
      </c>
      <c r="O48" s="12"/>
      <c r="P48" s="56">
        <v>274</v>
      </c>
      <c r="Q48" s="57">
        <f t="shared" si="3"/>
        <v>13</v>
      </c>
      <c r="R48" s="57">
        <f t="shared" si="4"/>
        <v>287</v>
      </c>
      <c r="S48" s="57">
        <f t="shared" si="5"/>
        <v>2</v>
      </c>
      <c r="T48" s="57" t="str">
        <f t="shared" si="6"/>
        <v>英雄</v>
      </c>
      <c r="U48" s="57">
        <f t="shared" si="9"/>
        <v>-13</v>
      </c>
      <c r="V48" s="57">
        <f t="shared" si="7"/>
        <v>274</v>
      </c>
      <c r="W48" s="12">
        <f>IF(H48=0,List!$C$5,$C$3)</f>
        <v>0</v>
      </c>
      <c r="X48" s="12"/>
      <c r="Y48" s="12">
        <f t="shared" si="8"/>
        <v>287</v>
      </c>
      <c r="Z48" s="12">
        <f>RANK(Y48,$Y$15:$Y$55,0)+COUNTIF($Y$15:Y48,Y48)-1</f>
        <v>18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2</v>
      </c>
      <c r="I49" s="55"/>
      <c r="J49" s="12"/>
      <c r="K49" s="57">
        <f>IF(H49&gt;0,VLOOKUP(D49,战力表!$A$3:$F$58,6,FALSE),0)</f>
        <v>7</v>
      </c>
      <c r="L49" s="57">
        <f t="shared" si="0"/>
        <v>6</v>
      </c>
      <c r="M49" s="57">
        <f t="shared" si="1"/>
        <v>0</v>
      </c>
      <c r="N49" s="57" t="b">
        <f t="shared" si="2"/>
        <v>0</v>
      </c>
      <c r="O49" s="12"/>
      <c r="P49" s="56">
        <v>62</v>
      </c>
      <c r="Q49" s="57">
        <f t="shared" si="3"/>
        <v>13</v>
      </c>
      <c r="R49" s="57">
        <f t="shared" si="4"/>
        <v>75</v>
      </c>
      <c r="S49" s="57">
        <f t="shared" si="5"/>
        <v>3</v>
      </c>
      <c r="T49" s="57" t="str">
        <f t="shared" si="6"/>
        <v>精英</v>
      </c>
      <c r="U49" s="57">
        <f t="shared" si="9"/>
        <v>-10</v>
      </c>
      <c r="V49" s="57">
        <f t="shared" si="7"/>
        <v>65</v>
      </c>
      <c r="W49" s="12">
        <f>IF(H49=0,List!$C$5,$C$3)</f>
        <v>0</v>
      </c>
      <c r="X49" s="12"/>
      <c r="Y49" s="12">
        <f t="shared" si="8"/>
        <v>75</v>
      </c>
      <c r="Z49" s="12">
        <f>RANK(Y49,$Y$15:$Y$55,0)+COUNTIF($Y$15:Y49,Y49)-1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49</v>
      </c>
      <c r="Q51" s="57">
        <f t="shared" si="3"/>
        <v>0</v>
      </c>
      <c r="R51" s="57">
        <f t="shared" si="4"/>
        <v>49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1</v>
      </c>
      <c r="I52" s="55"/>
      <c r="J52" s="12"/>
      <c r="K52" s="57">
        <f>IF(H52&gt;0,VLOOKUP(D52,战力表!$A$3:$F$58,6,FALSE),0)</f>
        <v>7</v>
      </c>
      <c r="L52" s="57">
        <f t="shared" si="0"/>
        <v>3</v>
      </c>
      <c r="M52" s="57">
        <f t="shared" si="1"/>
        <v>0</v>
      </c>
      <c r="N52" s="57" t="b">
        <f t="shared" si="2"/>
        <v>0</v>
      </c>
      <c r="O52" s="12"/>
      <c r="P52" s="56">
        <v>147</v>
      </c>
      <c r="Q52" s="57">
        <f t="shared" si="3"/>
        <v>10</v>
      </c>
      <c r="R52" s="57">
        <f t="shared" si="4"/>
        <v>157</v>
      </c>
      <c r="S52" s="57">
        <f t="shared" si="5"/>
        <v>3</v>
      </c>
      <c r="T52" s="57" t="str">
        <f t="shared" si="6"/>
        <v>精英</v>
      </c>
      <c r="U52" s="57">
        <f t="shared" si="9"/>
        <v>-10</v>
      </c>
      <c r="V52" s="57">
        <f t="shared" si="7"/>
        <v>147</v>
      </c>
      <c r="W52" s="12">
        <f>IF(H52=0,List!$C$5,$C$3)</f>
        <v>0</v>
      </c>
      <c r="X52" s="12"/>
      <c r="Y52" s="12">
        <f t="shared" si="8"/>
        <v>157</v>
      </c>
      <c r="Z52" s="12">
        <f>RANK(Y52,$Y$15:$Y$55,0)+COUNTIF($Y$15:Y52,Y52)-1</f>
        <v>32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1</v>
      </c>
      <c r="I53" s="55"/>
      <c r="J53" s="12"/>
      <c r="K53" s="57">
        <f>IF(H53&gt;0,VLOOKUP(D53,战力表!$A$3:$F$58,6,FALSE),0)</f>
        <v>7</v>
      </c>
      <c r="L53" s="57">
        <f t="shared" si="0"/>
        <v>3</v>
      </c>
      <c r="M53" s="57">
        <f t="shared" si="1"/>
        <v>0</v>
      </c>
      <c r="N53" s="57" t="b">
        <f t="shared" si="2"/>
        <v>0</v>
      </c>
      <c r="O53" s="12"/>
      <c r="P53" s="56">
        <v>135</v>
      </c>
      <c r="Q53" s="57">
        <f t="shared" si="3"/>
        <v>10</v>
      </c>
      <c r="R53" s="57">
        <f t="shared" si="4"/>
        <v>145</v>
      </c>
      <c r="S53" s="57">
        <f t="shared" si="5"/>
        <v>3</v>
      </c>
      <c r="T53" s="57" t="str">
        <f t="shared" si="6"/>
        <v>精英</v>
      </c>
      <c r="U53" s="57">
        <f t="shared" si="9"/>
        <v>-10</v>
      </c>
      <c r="V53" s="57">
        <f t="shared" si="7"/>
        <v>135</v>
      </c>
      <c r="W53" s="12">
        <f>IF(H53=0,List!$C$5,$C$3)</f>
        <v>0</v>
      </c>
      <c r="X53" s="12"/>
      <c r="Y53" s="12">
        <f t="shared" si="8"/>
        <v>145</v>
      </c>
      <c r="Z53" s="12">
        <f>RANK(Y53,$Y$15:$Y$55,0)+COUNTIF($Y$15:Y53,Y53)-1</f>
        <v>34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188</v>
      </c>
      <c r="G54" s="12"/>
      <c r="H54" s="56">
        <v>3</v>
      </c>
      <c r="I54" s="55"/>
      <c r="J54" s="12"/>
      <c r="K54" s="57">
        <f>IF(H54&gt;0,VLOOKUP(D54,战力表!$A$3:$F$58,6,FALSE),0)</f>
        <v>7</v>
      </c>
      <c r="L54" s="57">
        <f t="shared" si="0"/>
        <v>9</v>
      </c>
      <c r="M54" s="57">
        <f t="shared" si="1"/>
        <v>4</v>
      </c>
      <c r="N54" s="57" t="b">
        <f t="shared" si="2"/>
        <v>0</v>
      </c>
      <c r="O54" s="12"/>
      <c r="P54" s="56">
        <v>270</v>
      </c>
      <c r="Q54" s="57">
        <f t="shared" si="3"/>
        <v>20</v>
      </c>
      <c r="R54" s="57">
        <f t="shared" si="4"/>
        <v>290</v>
      </c>
      <c r="S54" s="57">
        <f t="shared" si="5"/>
        <v>2</v>
      </c>
      <c r="T54" s="57" t="str">
        <f t="shared" si="6"/>
        <v>英雄</v>
      </c>
      <c r="U54" s="57">
        <f t="shared" si="9"/>
        <v>-13</v>
      </c>
      <c r="V54" s="57">
        <f t="shared" si="7"/>
        <v>277</v>
      </c>
      <c r="W54" s="12">
        <f>IF(H54=0,List!$C$5,$C$3)</f>
        <v>0</v>
      </c>
      <c r="X54" s="12"/>
      <c r="Y54" s="12">
        <f t="shared" si="8"/>
        <v>290</v>
      </c>
      <c r="Z54" s="12">
        <f>RANK(Y54,$Y$15:$Y$55,0)+COUNTIF($Y$15:Y54,Y54)-1</f>
        <v>16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0</v>
      </c>
      <c r="I55" s="55"/>
      <c r="J55" s="12"/>
      <c r="K55" s="57">
        <f>IF(H55&gt;0,VLOOKUP(D55,战力表!$A$3:$F$58,6,FALSE),0)</f>
        <v>0</v>
      </c>
      <c r="L55" s="57">
        <f t="shared" si="0"/>
        <v>0</v>
      </c>
      <c r="M55" s="57">
        <f t="shared" si="1"/>
        <v>0</v>
      </c>
      <c r="N55" s="57" t="b">
        <f t="shared" si="2"/>
        <v>0</v>
      </c>
      <c r="O55" s="12"/>
      <c r="P55" s="56">
        <v>107</v>
      </c>
      <c r="Q55" s="57">
        <f>K55+L55+M55+N55</f>
        <v>0</v>
      </c>
      <c r="R55" s="57">
        <f t="shared" ref="R55" si="10">P55+Q55</f>
        <v>107</v>
      </c>
      <c r="S55" s="57" t="str">
        <f t="shared" ref="S55" si="11">IF(H55=0,"",IF(B55=1,3,IF(Z55&lt;$Y$2,1,IF(Z55&lt;$Y$3,2,3))))</f>
        <v/>
      </c>
      <c r="T55" s="57" t="b">
        <f t="shared" ref="T55" si="12">IF(S55=$K$9,$L$9,IF(S55=$K$10,$L$10,IF(S55=$K$11,$L$11)))</f>
        <v>0</v>
      </c>
      <c r="U55" s="57">
        <f t="shared" ref="U55" si="13">-IF(S55=$K$9,$M$9,IF(S55=$K$10,$M$10,IF(S55=$K$11,$M$11)))</f>
        <v>0</v>
      </c>
      <c r="V55" s="57">
        <f t="shared" ref="V55" si="14">P55+Q55+U55</f>
        <v>107</v>
      </c>
      <c r="W55" s="12" t="str">
        <f>IF(H55=0,List!$C$5,$C$3)</f>
        <v>没有忍战，无法分包</v>
      </c>
      <c r="X55" s="12"/>
      <c r="Y55" s="12">
        <f>P55+Q55</f>
        <v>107</v>
      </c>
      <c r="Z55" s="12">
        <f>RANK(Y55,$Y$15:$Y$55,0)+COUNTIF($Y$15:Y55,Y55)-1</f>
        <v>36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I20" sqref="I20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23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1</v>
      </c>
      <c r="D3" s="14">
        <f t="shared" ref="D3:D43" si="0">IF(C3=1,B3)</f>
        <v>3530000</v>
      </c>
      <c r="E3" s="14">
        <f>RANK(D3,$D$3:$D$43)</f>
        <v>1</v>
      </c>
      <c r="F3" s="1">
        <f t="shared" ref="F3:F42" si="1">IF(C3=0,"",IF(E3&lt;=$M$3,$K$3,IF(E3&lt;=$M$4,$K$4,IF(E3&lt;=$M$5,$K$5,IF(E3&lt;=$M$6,$K$6,IF(E3&lt;=$M$7,$K$7,IF(E3&lt;=$M$8,$K$8,$K$9)))))))</f>
        <v>10</v>
      </c>
      <c r="J3" s="15">
        <f>L3/$C$1</f>
        <v>0.17391304347826086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2</v>
      </c>
      <c r="F5" s="1">
        <f t="shared" si="1"/>
        <v>10</v>
      </c>
      <c r="J5" s="15">
        <f t="shared" si="3"/>
        <v>0.2608695652173913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1</v>
      </c>
      <c r="D7" s="14">
        <f t="shared" si="0"/>
        <v>2570000</v>
      </c>
      <c r="E7" s="14">
        <f t="shared" si="2"/>
        <v>4</v>
      </c>
      <c r="F7" s="1">
        <f t="shared" si="1"/>
        <v>10</v>
      </c>
      <c r="J7" s="15">
        <f t="shared" si="3"/>
        <v>0.2608695652173913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2590000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0.17391304347826086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1</v>
      </c>
      <c r="D9" s="14">
        <f t="shared" si="0"/>
        <v>2640000</v>
      </c>
      <c r="E9" s="14">
        <f t="shared" si="2"/>
        <v>3</v>
      </c>
      <c r="F9" s="1">
        <f t="shared" si="1"/>
        <v>10</v>
      </c>
      <c r="J9" s="15">
        <f t="shared" si="3"/>
        <v>-0.47826086956521741</v>
      </c>
      <c r="K9" s="60">
        <v>4</v>
      </c>
      <c r="L9" s="60">
        <f>C1-SUM(L3:L8)</f>
        <v>-11</v>
      </c>
      <c r="M9" s="1">
        <f t="shared" si="4"/>
        <v>23</v>
      </c>
    </row>
    <row r="10" spans="1:13" ht="14.25" customHeight="1" x14ac:dyDescent="0.3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6</v>
      </c>
      <c r="F10" s="1">
        <f t="shared" si="1"/>
        <v>9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1</v>
      </c>
      <c r="D11" s="14">
        <f t="shared" si="0"/>
        <v>2420000</v>
      </c>
      <c r="E11" s="14">
        <f t="shared" si="2"/>
        <v>8</v>
      </c>
      <c r="F11" s="1">
        <f t="shared" si="1"/>
        <v>9</v>
      </c>
      <c r="J11" s="15">
        <f>SUM(J3:J10)</f>
        <v>0.99999999999999989</v>
      </c>
    </row>
    <row r="12" spans="1:13" ht="14.25" customHeight="1" x14ac:dyDescent="0.3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7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9</v>
      </c>
      <c r="F13" s="1">
        <f t="shared" si="1"/>
        <v>8</v>
      </c>
    </row>
    <row r="14" spans="1:13" ht="14.25" customHeight="1" x14ac:dyDescent="0.3">
      <c r="A14" s="10" t="s">
        <v>39</v>
      </c>
      <c r="B14" s="2">
        <v>2470000</v>
      </c>
      <c r="C14" s="14">
        <f>IF(VLOOKUP(A14,组织分包!$D$15:$H$62,5,FALSE)&gt;0,1,0)</f>
        <v>1</v>
      </c>
      <c r="D14" s="14">
        <f t="shared" si="0"/>
        <v>2470000</v>
      </c>
      <c r="E14" s="14">
        <f t="shared" si="2"/>
        <v>5</v>
      </c>
      <c r="F14" s="1">
        <f t="shared" si="1"/>
        <v>9</v>
      </c>
    </row>
    <row r="15" spans="1:13" ht="14.25" customHeight="1" x14ac:dyDescent="0.3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10</v>
      </c>
      <c r="F15" s="1">
        <f t="shared" si="1"/>
        <v>8</v>
      </c>
    </row>
    <row r="16" spans="1:13" ht="14.25" customHeight="1" x14ac:dyDescent="0.3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11</v>
      </c>
      <c r="F16" s="1">
        <f t="shared" si="1"/>
        <v>8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12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13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1</v>
      </c>
      <c r="D20" s="14">
        <f t="shared" si="0"/>
        <v>2100000</v>
      </c>
      <c r="E20" s="14">
        <f t="shared" si="2"/>
        <v>13</v>
      </c>
      <c r="F20" s="1">
        <f t="shared" si="1"/>
        <v>8</v>
      </c>
    </row>
    <row r="21" spans="1:10" ht="14.25" customHeight="1" x14ac:dyDescent="0.3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15</v>
      </c>
      <c r="F21" s="1">
        <f t="shared" si="1"/>
        <v>7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17</v>
      </c>
      <c r="F24" s="1">
        <f t="shared" si="1"/>
        <v>7</v>
      </c>
    </row>
    <row r="25" spans="1:10" ht="14.25" customHeight="1" x14ac:dyDescent="0.3">
      <c r="A25" s="10" t="s">
        <v>84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172</v>
      </c>
      <c r="B27" s="17">
        <v>1720000</v>
      </c>
      <c r="C27" s="14">
        <f>IF(VLOOKUP(A27,组织分包!$D$15:$H$62,5,FALSE)&gt;0,1,0)</f>
        <v>1</v>
      </c>
      <c r="D27" s="14">
        <f t="shared" si="0"/>
        <v>1720000</v>
      </c>
      <c r="E27" s="14">
        <f t="shared" si="2"/>
        <v>18</v>
      </c>
      <c r="F27" s="1">
        <f t="shared" si="1"/>
        <v>7</v>
      </c>
    </row>
    <row r="28" spans="1:10" ht="14.25" customHeight="1" x14ac:dyDescent="0.3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1540000</v>
      </c>
      <c r="C29" s="14">
        <f>IF(VLOOKUP(A29,组织分包!$D$15:$H$62,5,FALSE)&gt;0,1,0)</f>
        <v>0</v>
      </c>
      <c r="D29" s="14" t="b">
        <f t="shared" si="0"/>
        <v>0</v>
      </c>
      <c r="E29" s="14" t="e">
        <f t="shared" si="2"/>
        <v>#N/A</v>
      </c>
      <c r="F29" s="1" t="str">
        <f t="shared" si="1"/>
        <v/>
      </c>
    </row>
    <row r="30" spans="1:10" ht="14.25" customHeight="1" x14ac:dyDescent="0.3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19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20</v>
      </c>
      <c r="F35" s="1">
        <f t="shared" si="1"/>
        <v>7</v>
      </c>
    </row>
    <row r="36" spans="1:6" ht="14.25" customHeight="1" x14ac:dyDescent="0.3">
      <c r="A36" s="26" t="s">
        <v>149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21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22</v>
      </c>
      <c r="F37" s="1">
        <f t="shared" si="1"/>
        <v>7</v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23</v>
      </c>
      <c r="F40" s="1">
        <f t="shared" si="1"/>
        <v>7</v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24</v>
      </c>
      <c r="F41" s="1">
        <f t="shared" si="1"/>
        <v>7</v>
      </c>
    </row>
    <row r="42" spans="1:6" ht="14.25" customHeight="1" x14ac:dyDescent="0.3">
      <c r="A42" s="44" t="s">
        <v>173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16</v>
      </c>
      <c r="F42" s="1">
        <f t="shared" si="1"/>
        <v>7</v>
      </c>
    </row>
    <row r="43" spans="1:6" ht="14.25" customHeight="1" x14ac:dyDescent="0.3">
      <c r="A43" s="73" t="s">
        <v>174</v>
      </c>
      <c r="B43" s="74">
        <v>630000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2022-12-03T12:56:20Z</dcterms:modified>
</cp:coreProperties>
</file>