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6FC3ED69-C48B-4553-B349-9A60995557B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3" i="1" l="1"/>
  <c r="F22" i="1"/>
  <c r="W52" i="1"/>
  <c r="W53" i="1"/>
  <c r="W54" i="1"/>
  <c r="W55" i="1"/>
  <c r="N55" i="1"/>
  <c r="F55" i="1"/>
  <c r="C43" i="4"/>
  <c r="F54" i="1"/>
  <c r="N54" i="1"/>
  <c r="C42" i="4"/>
  <c r="U1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N53" i="1"/>
  <c r="L53" i="1"/>
  <c r="W50" i="1"/>
  <c r="T50" i="1"/>
  <c r="N50" i="1"/>
  <c r="L50" i="1"/>
  <c r="W51" i="1"/>
  <c r="N51" i="1"/>
  <c r="L51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0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Z52" i="1" l="1"/>
  <c r="S52" i="1" s="1"/>
  <c r="Z48" i="1"/>
  <c r="S48" i="1" s="1"/>
  <c r="Z49" i="1"/>
  <c r="S49" i="1" s="1"/>
  <c r="Z39" i="1"/>
  <c r="S39" i="1" s="1"/>
  <c r="Z50" i="1"/>
  <c r="Z51" i="1"/>
  <c r="S51" i="1" s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S53" i="1" s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T53" i="1" l="1"/>
  <c r="U53" i="1"/>
  <c r="V53" i="1" s="1"/>
  <c r="T52" i="1"/>
  <c r="U52" i="1"/>
  <c r="V52" i="1" s="1"/>
  <c r="T51" i="1"/>
  <c r="U51" i="1"/>
  <c r="V51" i="1" s="1"/>
  <c r="U15" i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<sst xmlns="http://schemas.openxmlformats.org/spreadsheetml/2006/main" count="364" uniqueCount="177">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</sst>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  <font>
      <sz val="11"/>
      <color theme="0" tint="-0.34998626667073579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3" fillId="0" borderId="6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31" zoomScale="95" zoomScaleNormal="95" workbookViewId="0">
      <selection activeCell="T36" sqref="T36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3.375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58</v>
      </c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Y1" s="41" t="s">
        <v>157</v>
      </c>
      <c r="AA1" s="40" t="s">
        <v>6</v>
      </c>
    </row>
    <row r="2" spans="1:28" ht="28.5" customHeight="1" x14ac:dyDescent="0.25">
      <c r="D2" s="80" t="s">
        <v>163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Y2" s="42">
        <f>N9+1</f>
        <v>8</v>
      </c>
      <c r="AA2" s="40">
        <f>M9*N9</f>
        <v>154</v>
      </c>
    </row>
    <row r="3" spans="1:28" ht="14.25" customHeight="1" x14ac:dyDescent="0.25">
      <c r="D3" s="79" t="s">
        <v>166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Y3" s="42">
        <f>N10+Y2</f>
        <v>15</v>
      </c>
      <c r="AA3" s="40">
        <f>M10*N10</f>
        <v>91</v>
      </c>
    </row>
    <row r="4" spans="1:28" ht="14.25" customHeight="1" x14ac:dyDescent="0.25">
      <c r="D4" s="79" t="s">
        <v>165</v>
      </c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Y4" s="42">
        <f>N11+Y3</f>
        <v>21</v>
      </c>
      <c r="AA4" s="40">
        <f>M11*N11</f>
        <v>60</v>
      </c>
    </row>
    <row r="5" spans="1:28" ht="30.75" customHeight="1" x14ac:dyDescent="0.25">
      <c r="D5" s="80" t="s">
        <v>167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U5" s="6"/>
      <c r="W5" s="4"/>
    </row>
    <row r="6" spans="1:28" ht="14.25" customHeight="1" x14ac:dyDescent="0.25">
      <c r="D6" s="82" t="s">
        <v>162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T6" s="39"/>
      <c r="U6" s="76" t="s">
        <v>10</v>
      </c>
      <c r="V6" s="76"/>
      <c r="W6" s="4"/>
      <c r="X6" s="4"/>
    </row>
    <row r="7" spans="1:28" ht="14.25" customHeight="1" x14ac:dyDescent="0.25">
      <c r="D7" s="82" t="s">
        <v>161</v>
      </c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T7" s="50"/>
      <c r="U7" s="76" t="s">
        <v>11</v>
      </c>
      <c r="V7" s="76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9</v>
      </c>
      <c r="F9" s="2">
        <v>3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9</v>
      </c>
      <c r="F10" s="2">
        <v>9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6</v>
      </c>
      <c r="O11" s="40">
        <f>COUNTIF($S$15:$S$271,3)</f>
        <v>6</v>
      </c>
      <c r="P11" s="40">
        <f>N11-O11</f>
        <v>0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7"/>
      <c r="B13" s="78"/>
      <c r="C13" s="4"/>
      <c r="G13" s="3"/>
      <c r="H13" s="1">
        <f>COUNTIF(H15:H186,"&gt;0")</f>
        <v>20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7" t="s">
        <v>23</v>
      </c>
      <c r="T14" s="78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7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91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24</v>
      </c>
      <c r="AA15" s="12"/>
      <c r="AB15" s="12"/>
    </row>
    <row r="16" spans="1:28" ht="14.25" customHeight="1" x14ac:dyDescent="0.25">
      <c r="A16" s="10"/>
      <c r="B16" s="7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91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31</v>
      </c>
      <c r="AA16" s="12"/>
      <c r="AB16" s="12"/>
    </row>
    <row r="17" spans="1:32" ht="15" customHeight="1" x14ac:dyDescent="0.25">
      <c r="A17" s="10"/>
      <c r="B17" s="7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91"/>
      <c r="P17" s="55">
        <v>457</v>
      </c>
      <c r="Q17" s="56">
        <f t="shared" si="3"/>
        <v>23</v>
      </c>
      <c r="R17" s="56">
        <f t="shared" si="4"/>
        <v>480</v>
      </c>
      <c r="S17" s="56">
        <f>IF(H17=0,"",IF(B17=1,3,IF(Z17&lt;$Y$2,1,IF(Z17&lt;$Y$3,2,3))))</f>
        <v>1</v>
      </c>
      <c r="T17" s="56" t="str">
        <f t="shared" si="8"/>
        <v>传说</v>
      </c>
      <c r="U17" s="56">
        <f t="shared" si="9"/>
        <v>-22</v>
      </c>
      <c r="V17" s="56">
        <f t="shared" si="6"/>
        <v>458</v>
      </c>
      <c r="W17" s="12">
        <f>IF(H17=0,List!$C$5,$C$3)</f>
        <v>0</v>
      </c>
      <c r="X17" s="12"/>
      <c r="Y17" s="12">
        <f t="shared" si="7"/>
        <v>480</v>
      </c>
      <c r="Z17" s="12">
        <f>RANK(Y17,$Y$15:$Y$55,0)+COUNTIF($Y$15:Y17,Y17)-1</f>
        <v>2</v>
      </c>
      <c r="AA17" s="12"/>
      <c r="AB17" s="12"/>
    </row>
    <row r="18" spans="1:32" ht="14.25" customHeight="1" x14ac:dyDescent="0.25">
      <c r="A18" s="10"/>
      <c r="B18" s="7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91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25</v>
      </c>
      <c r="AA18" s="12"/>
      <c r="AB18" s="12"/>
      <c r="AF18" s="68"/>
    </row>
    <row r="19" spans="1:32" ht="14.25" customHeight="1" x14ac:dyDescent="0.25">
      <c r="A19" s="10"/>
      <c r="B19" s="7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91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33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7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91"/>
      <c r="P20" s="55">
        <v>458</v>
      </c>
      <c r="Q20" s="56">
        <f t="shared" si="3"/>
        <v>16</v>
      </c>
      <c r="R20" s="56">
        <f t="shared" si="4"/>
        <v>474</v>
      </c>
      <c r="S20" s="56">
        <f t="shared" si="5"/>
        <v>2</v>
      </c>
      <c r="T20" s="56" t="str">
        <f t="shared" si="8"/>
        <v>英雄</v>
      </c>
      <c r="U20" s="56">
        <f t="shared" si="9"/>
        <v>-13</v>
      </c>
      <c r="V20" s="56">
        <f t="shared" si="6"/>
        <v>461</v>
      </c>
      <c r="W20" s="12">
        <f>IF(H20=0,List!$C$5,$C$3)</f>
        <v>0</v>
      </c>
      <c r="X20" s="12"/>
      <c r="Y20" s="12">
        <f t="shared" si="7"/>
        <v>474</v>
      </c>
      <c r="Z20" s="12">
        <f>RANK(Y20,$Y$15:$Y$55,0)+COUNTIF($Y$15:Y20,Y20)-1</f>
        <v>10</v>
      </c>
      <c r="AA20" s="12"/>
      <c r="AB20" s="12"/>
      <c r="AD20" s="69"/>
      <c r="AE20" s="69"/>
    </row>
    <row r="21" spans="1:32" ht="14.25" customHeight="1" x14ac:dyDescent="0.25">
      <c r="A21" s="10"/>
      <c r="B21" s="7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91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23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7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1</v>
      </c>
      <c r="I22" s="54"/>
      <c r="J22" s="12"/>
      <c r="K22" s="56">
        <f>IF(H22&gt;0,VLOOKUP(D22,战力表!$A$3:$F$58,6,FALSE),0)</f>
        <v>10</v>
      </c>
      <c r="L22" s="56">
        <f t="shared" si="0"/>
        <v>3</v>
      </c>
      <c r="M22" s="56">
        <f t="shared" si="1"/>
        <v>0</v>
      </c>
      <c r="N22" s="56" t="b">
        <f t="shared" si="2"/>
        <v>0</v>
      </c>
      <c r="O22" s="91"/>
      <c r="P22" s="55">
        <v>458</v>
      </c>
      <c r="Q22" s="56">
        <f t="shared" si="3"/>
        <v>13</v>
      </c>
      <c r="R22" s="56">
        <f t="shared" si="4"/>
        <v>471</v>
      </c>
      <c r="S22" s="56">
        <f t="shared" si="5"/>
        <v>2</v>
      </c>
      <c r="T22" s="56" t="str">
        <f t="shared" si="8"/>
        <v>英雄</v>
      </c>
      <c r="U22" s="56">
        <f t="shared" si="9"/>
        <v>-13</v>
      </c>
      <c r="V22" s="56">
        <f t="shared" si="6"/>
        <v>458</v>
      </c>
      <c r="W22" s="12">
        <f>IF(H22=0,List!$C$5,$C$3)</f>
        <v>0</v>
      </c>
      <c r="X22" s="12"/>
      <c r="Y22" s="12">
        <f t="shared" si="7"/>
        <v>471</v>
      </c>
      <c r="Z22" s="12">
        <f>RANK(Y22,$Y$15:$Y$55,0)+COUNTIF($Y$15:Y22,Y22)-1</f>
        <v>14</v>
      </c>
      <c r="AA22" s="12"/>
      <c r="AB22" s="12"/>
      <c r="AD22" s="66"/>
      <c r="AE22" s="66"/>
    </row>
    <row r="23" spans="1:32" ht="14.25" customHeight="1" x14ac:dyDescent="0.25">
      <c r="A23" s="10"/>
      <c r="B23" s="7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91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21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7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9</v>
      </c>
      <c r="M24" s="56">
        <f t="shared" si="1"/>
        <v>4</v>
      </c>
      <c r="N24" s="56" t="b">
        <f t="shared" si="2"/>
        <v>0</v>
      </c>
      <c r="O24" s="91"/>
      <c r="P24" s="55">
        <v>458</v>
      </c>
      <c r="Q24" s="56">
        <f t="shared" si="3"/>
        <v>22</v>
      </c>
      <c r="R24" s="56">
        <f t="shared" si="4"/>
        <v>480</v>
      </c>
      <c r="S24" s="56">
        <f t="shared" si="5"/>
        <v>1</v>
      </c>
      <c r="T24" s="56" t="str">
        <f t="shared" si="8"/>
        <v>传说</v>
      </c>
      <c r="U24" s="56">
        <f t="shared" si="9"/>
        <v>-22</v>
      </c>
      <c r="V24" s="56">
        <f t="shared" si="6"/>
        <v>458</v>
      </c>
      <c r="W24" s="12">
        <f>IF(H24=0,List!$C$5,$C$3)</f>
        <v>0</v>
      </c>
      <c r="X24" s="12"/>
      <c r="Y24" s="12">
        <f t="shared" si="7"/>
        <v>480</v>
      </c>
      <c r="Z24" s="12">
        <f>RANK(Y24,$Y$15:$Y$55,0)+COUNTIF($Y$15:Y24,Y24)-1</f>
        <v>3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7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2</v>
      </c>
      <c r="I25" s="54"/>
      <c r="J25" s="12"/>
      <c r="K25" s="56">
        <f>IF(H25&gt;0,VLOOKUP(D25,战力表!$A$3:$F$58,6,FALSE),0)</f>
        <v>9</v>
      </c>
      <c r="L25" s="56">
        <f t="shared" si="0"/>
        <v>6</v>
      </c>
      <c r="M25" s="56">
        <f t="shared" si="1"/>
        <v>0</v>
      </c>
      <c r="N25" s="56" t="b">
        <f t="shared" si="2"/>
        <v>0</v>
      </c>
      <c r="O25" s="91"/>
      <c r="P25" s="55">
        <v>457</v>
      </c>
      <c r="Q25" s="56">
        <f t="shared" si="3"/>
        <v>15</v>
      </c>
      <c r="R25" s="56">
        <f t="shared" si="4"/>
        <v>472</v>
      </c>
      <c r="S25" s="56">
        <f t="shared" si="5"/>
        <v>2</v>
      </c>
      <c r="T25" s="56" t="str">
        <f t="shared" si="8"/>
        <v>英雄</v>
      </c>
      <c r="U25" s="56">
        <f t="shared" si="9"/>
        <v>-13</v>
      </c>
      <c r="V25" s="56">
        <f t="shared" si="6"/>
        <v>459</v>
      </c>
      <c r="W25" s="12">
        <f>IF(H25=0,List!$C$5,$C$3)</f>
        <v>0</v>
      </c>
      <c r="X25" s="12"/>
      <c r="Y25" s="12">
        <f t="shared" si="7"/>
        <v>472</v>
      </c>
      <c r="Z25" s="12">
        <f>RANK(Y25,$Y$15:$Y$55,0)+COUNTIF($Y$15:Y25,Y25)-1</f>
        <v>11</v>
      </c>
      <c r="AA25" s="12"/>
      <c r="AB25" s="12"/>
    </row>
    <row r="26" spans="1:32" ht="14.25" customHeight="1" x14ac:dyDescent="0.25">
      <c r="A26" s="10"/>
      <c r="B26" s="7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91"/>
      <c r="P26" s="55">
        <v>461</v>
      </c>
      <c r="Q26" s="56">
        <f t="shared" si="3"/>
        <v>23</v>
      </c>
      <c r="R26" s="56">
        <f t="shared" si="4"/>
        <v>484</v>
      </c>
      <c r="S26" s="56">
        <f t="shared" si="5"/>
        <v>1</v>
      </c>
      <c r="T26" s="56" t="str">
        <f t="shared" si="8"/>
        <v>传说</v>
      </c>
      <c r="U26" s="56">
        <f t="shared" si="9"/>
        <v>-22</v>
      </c>
      <c r="V26" s="56">
        <f t="shared" si="6"/>
        <v>462</v>
      </c>
      <c r="W26" s="12">
        <f>IF(H26=0,List!$C$5,$C$3)</f>
        <v>0</v>
      </c>
      <c r="X26" s="12"/>
      <c r="Y26" s="12">
        <f t="shared" si="7"/>
        <v>484</v>
      </c>
      <c r="Z26" s="12">
        <f>RANK(Y26,$Y$15:$Y$55,0)+COUNTIF($Y$15:Y26,Y26)-1</f>
        <v>1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7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1</v>
      </c>
      <c r="I27" s="54"/>
      <c r="J27" s="12"/>
      <c r="K27" s="56">
        <f>IF(H27&gt;0,VLOOKUP(D27,战力表!$A$3:$F$58,6,FALSE),0)</f>
        <v>9</v>
      </c>
      <c r="L27" s="56">
        <f t="shared" si="0"/>
        <v>3</v>
      </c>
      <c r="M27" s="56">
        <f t="shared" si="1"/>
        <v>0</v>
      </c>
      <c r="N27" s="56" t="b">
        <f t="shared" si="2"/>
        <v>0</v>
      </c>
      <c r="O27" s="91"/>
      <c r="P27" s="55">
        <v>460</v>
      </c>
      <c r="Q27" s="56">
        <f t="shared" si="3"/>
        <v>12</v>
      </c>
      <c r="R27" s="56">
        <f t="shared" si="4"/>
        <v>472</v>
      </c>
      <c r="S27" s="56">
        <f t="shared" si="5"/>
        <v>2</v>
      </c>
      <c r="T27" s="56" t="str">
        <f t="shared" si="8"/>
        <v>英雄</v>
      </c>
      <c r="U27" s="56">
        <f t="shared" si="9"/>
        <v>-13</v>
      </c>
      <c r="V27" s="56">
        <f t="shared" si="6"/>
        <v>459</v>
      </c>
      <c r="W27" s="12">
        <f>IF(H27=0,List!$C$5,$C$3)</f>
        <v>0</v>
      </c>
      <c r="X27" s="12"/>
      <c r="Y27" s="12">
        <f t="shared" si="7"/>
        <v>472</v>
      </c>
      <c r="Z27" s="12">
        <f>RANK(Y27,$Y$15:$Y$55,0)+COUNTIF($Y$15:Y27,Y27)-1</f>
        <v>12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7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91"/>
      <c r="P28" s="55">
        <v>457</v>
      </c>
      <c r="Q28" s="56">
        <f t="shared" si="3"/>
        <v>22</v>
      </c>
      <c r="R28" s="56">
        <f t="shared" si="4"/>
        <v>479</v>
      </c>
      <c r="S28" s="56">
        <f t="shared" si="5"/>
        <v>1</v>
      </c>
      <c r="T28" s="56" t="str">
        <f t="shared" si="8"/>
        <v>传说</v>
      </c>
      <c r="U28" s="56">
        <f t="shared" si="9"/>
        <v>-22</v>
      </c>
      <c r="V28" s="56">
        <f t="shared" si="6"/>
        <v>457</v>
      </c>
      <c r="W28" s="12">
        <f>IF(H28=0,List!$C$5,$C$3)</f>
        <v>0</v>
      </c>
      <c r="X28" s="12"/>
      <c r="Y28" s="12">
        <f t="shared" si="7"/>
        <v>479</v>
      </c>
      <c r="Z28" s="12">
        <f>RANK(Y28,$Y$15:$Y$55,0)+COUNTIF($Y$15:Y28,Y28)-1</f>
        <v>5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7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91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36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7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91"/>
      <c r="P30" s="55">
        <v>457</v>
      </c>
      <c r="Q30" s="56">
        <f t="shared" si="3"/>
        <v>21</v>
      </c>
      <c r="R30" s="56">
        <f t="shared" si="4"/>
        <v>478</v>
      </c>
      <c r="S30" s="56">
        <f t="shared" si="5"/>
        <v>1</v>
      </c>
      <c r="T30" s="56" t="str">
        <f t="shared" si="8"/>
        <v>传说</v>
      </c>
      <c r="U30" s="56">
        <f t="shared" si="9"/>
        <v>-22</v>
      </c>
      <c r="V30" s="56">
        <f t="shared" si="6"/>
        <v>456</v>
      </c>
      <c r="W30" s="12">
        <f>IF(H30=0,List!$C$5,$C$3)</f>
        <v>0</v>
      </c>
      <c r="X30" s="12"/>
      <c r="Y30" s="12">
        <f t="shared" si="7"/>
        <v>478</v>
      </c>
      <c r="Z30" s="12">
        <f>RANK(Y30,$Y$15:$Y$55,0)+COUNTIF($Y$15:Y30,Y30)-1</f>
        <v>7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7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91"/>
      <c r="P31" s="55">
        <v>459</v>
      </c>
      <c r="Q31" s="56">
        <f t="shared" si="3"/>
        <v>21</v>
      </c>
      <c r="R31" s="56">
        <f t="shared" si="4"/>
        <v>480</v>
      </c>
      <c r="S31" s="56">
        <f t="shared" si="5"/>
        <v>1</v>
      </c>
      <c r="T31" s="56" t="str">
        <f t="shared" si="8"/>
        <v>传说</v>
      </c>
      <c r="U31" s="56">
        <f t="shared" si="9"/>
        <v>-22</v>
      </c>
      <c r="V31" s="56">
        <f t="shared" si="6"/>
        <v>458</v>
      </c>
      <c r="W31" s="12">
        <f>IF(H31=0,List!$C$5,$C$3)</f>
        <v>0</v>
      </c>
      <c r="X31" s="12"/>
      <c r="Y31" s="12">
        <f t="shared" si="7"/>
        <v>480</v>
      </c>
      <c r="Z31" s="12">
        <f>RANK(Y31,$Y$15:$Y$55,0)+COUNTIF($Y$15:Y31,Y31)-1</f>
        <v>4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7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91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22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7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91"/>
      <c r="P33" s="55">
        <v>458</v>
      </c>
      <c r="Q33" s="56">
        <f t="shared" si="3"/>
        <v>21</v>
      </c>
      <c r="R33" s="56">
        <f t="shared" si="4"/>
        <v>479</v>
      </c>
      <c r="S33" s="56">
        <f t="shared" si="5"/>
        <v>1</v>
      </c>
      <c r="T33" s="56" t="str">
        <f t="shared" si="8"/>
        <v>传说</v>
      </c>
      <c r="U33" s="56">
        <f t="shared" si="9"/>
        <v>-22</v>
      </c>
      <c r="V33" s="56">
        <f t="shared" si="6"/>
        <v>457</v>
      </c>
      <c r="W33" s="12">
        <f>IF(H33=0,List!$C$5,$C$3)</f>
        <v>0</v>
      </c>
      <c r="X33" s="12"/>
      <c r="Y33" s="12">
        <f t="shared" si="7"/>
        <v>479</v>
      </c>
      <c r="Z33" s="12">
        <f>RANK(Y33,$Y$15:$Y$55,0)+COUNTIF($Y$15:Y33,Y33)-1</f>
        <v>6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7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91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26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7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91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34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7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9</v>
      </c>
      <c r="M36" s="56">
        <f t="shared" si="1"/>
        <v>4</v>
      </c>
      <c r="N36" s="56" t="b">
        <f t="shared" si="2"/>
        <v>0</v>
      </c>
      <c r="O36" s="91"/>
      <c r="P36" s="55">
        <v>455</v>
      </c>
      <c r="Q36" s="56">
        <f t="shared" si="3"/>
        <v>21</v>
      </c>
      <c r="R36" s="56">
        <f t="shared" si="4"/>
        <v>476</v>
      </c>
      <c r="S36" s="56">
        <f t="shared" si="5"/>
        <v>2</v>
      </c>
      <c r="T36" s="56" t="str">
        <f t="shared" si="8"/>
        <v>英雄</v>
      </c>
      <c r="U36" s="56">
        <f t="shared" si="9"/>
        <v>-13</v>
      </c>
      <c r="V36" s="56">
        <f t="shared" si="6"/>
        <v>463</v>
      </c>
      <c r="W36" s="12">
        <f>IF(H36=0,List!$C$5,$C$3)</f>
        <v>0</v>
      </c>
      <c r="X36" s="12"/>
      <c r="Y36" s="12">
        <f t="shared" si="7"/>
        <v>476</v>
      </c>
      <c r="Z36" s="12">
        <f>RANK(Y36,$Y$15:$Y$55,0)+COUNTIF($Y$15:Y36,Y36)-1</f>
        <v>8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7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91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27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7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91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7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0</v>
      </c>
      <c r="I39" s="54"/>
      <c r="J39" s="12"/>
      <c r="K39" s="56">
        <f>IF(H39&gt;0,VLOOKUP(D39,战力表!$A$3:$F$58,6,FALSE),0)</f>
        <v>0</v>
      </c>
      <c r="L39" s="56">
        <f t="shared" si="0"/>
        <v>0</v>
      </c>
      <c r="M39" s="56">
        <f t="shared" si="1"/>
        <v>0</v>
      </c>
      <c r="N39" s="56" t="b">
        <f t="shared" si="2"/>
        <v>0</v>
      </c>
      <c r="O39" s="91"/>
      <c r="P39" s="55">
        <v>328</v>
      </c>
      <c r="Q39" s="56">
        <f t="shared" si="3"/>
        <v>0</v>
      </c>
      <c r="R39" s="56">
        <f t="shared" si="4"/>
        <v>328</v>
      </c>
      <c r="S39" s="56" t="str">
        <f t="shared" si="5"/>
        <v/>
      </c>
      <c r="T39" s="56" t="b">
        <f t="shared" si="8"/>
        <v>0</v>
      </c>
      <c r="U39" s="56">
        <f t="shared" si="9"/>
        <v>0</v>
      </c>
      <c r="V39" s="56">
        <f t="shared" si="6"/>
        <v>328</v>
      </c>
      <c r="W39" s="12" t="str">
        <f>IF(H39=0,List!$C$5,$C$3)</f>
        <v>没有忍战，无法分包</v>
      </c>
      <c r="X39" s="12"/>
      <c r="Y39" s="12">
        <f t="shared" si="7"/>
        <v>328</v>
      </c>
      <c r="Z39" s="12">
        <f>RANK(Y39,$Y$15:$Y$55,0)+COUNTIF($Y$15:Y39,Y39)-1</f>
        <v>19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7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0</v>
      </c>
      <c r="I40" s="54"/>
      <c r="J40" s="12"/>
      <c r="K40" s="56">
        <f>IF(H40&gt;0,VLOOKUP(D40,战力表!$A$3:$F$58,6,FALSE),0)</f>
        <v>0</v>
      </c>
      <c r="L40" s="56">
        <f t="shared" si="0"/>
        <v>0</v>
      </c>
      <c r="M40" s="56">
        <f t="shared" si="1"/>
        <v>0</v>
      </c>
      <c r="N40" s="56" t="b">
        <f t="shared" si="2"/>
        <v>0</v>
      </c>
      <c r="O40" s="91"/>
      <c r="P40" s="55">
        <v>325</v>
      </c>
      <c r="Q40" s="56">
        <f t="shared" si="3"/>
        <v>0</v>
      </c>
      <c r="R40" s="56">
        <f t="shared" si="4"/>
        <v>325</v>
      </c>
      <c r="S40" s="56" t="str">
        <f t="shared" si="5"/>
        <v/>
      </c>
      <c r="T40" s="56" t="b">
        <f t="shared" si="8"/>
        <v>0</v>
      </c>
      <c r="U40" s="56">
        <f t="shared" si="9"/>
        <v>0</v>
      </c>
      <c r="V40" s="56">
        <f t="shared" si="6"/>
        <v>325</v>
      </c>
      <c r="W40" s="12" t="str">
        <f>IF(H40=0,List!$C$5,$C$3)</f>
        <v>没有忍战，无法分包</v>
      </c>
      <c r="X40" s="12"/>
      <c r="Y40" s="12">
        <f t="shared" si="7"/>
        <v>325</v>
      </c>
      <c r="Z40" s="12">
        <f>RANK(Y40,$Y$15:$Y$55,0)+COUNTIF($Y$15:Y40,Y40)-1</f>
        <v>20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7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1</v>
      </c>
      <c r="I41" s="54"/>
      <c r="J41" s="12"/>
      <c r="K41" s="56">
        <f>IF(H41&gt;0,VLOOKUP(D41,战力表!$A$3:$F$58,6,FALSE),0)</f>
        <v>8</v>
      </c>
      <c r="L41" s="56">
        <f t="shared" si="0"/>
        <v>3</v>
      </c>
      <c r="M41" s="56">
        <f t="shared" si="1"/>
        <v>0</v>
      </c>
      <c r="N41" s="56" t="b">
        <f t="shared" si="2"/>
        <v>0</v>
      </c>
      <c r="O41" s="91"/>
      <c r="P41" s="55">
        <v>457</v>
      </c>
      <c r="Q41" s="56">
        <f t="shared" si="3"/>
        <v>11</v>
      </c>
      <c r="R41" s="56">
        <f t="shared" si="4"/>
        <v>468</v>
      </c>
      <c r="S41" s="56">
        <f t="shared" si="5"/>
        <v>3</v>
      </c>
      <c r="T41" s="56" t="str">
        <f t="shared" si="8"/>
        <v>精英</v>
      </c>
      <c r="U41" s="56">
        <f t="shared" si="9"/>
        <v>-10</v>
      </c>
      <c r="V41" s="56">
        <f t="shared" si="6"/>
        <v>458</v>
      </c>
      <c r="W41" s="12">
        <f>IF(H41=0,List!$C$5,$C$3)</f>
        <v>0</v>
      </c>
      <c r="X41" s="12"/>
      <c r="Y41" s="12">
        <f t="shared" si="7"/>
        <v>468</v>
      </c>
      <c r="Z41" s="12">
        <f>RANK(Y41,$Y$15:$Y$55,0)+COUNTIF($Y$15:Y41,Y41)-1</f>
        <v>16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7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1</v>
      </c>
      <c r="I42" s="54"/>
      <c r="J42" s="12"/>
      <c r="K42" s="56">
        <f>IF(H42&gt;0,VLOOKUP(D42,战力表!$A$3:$F$58,6,FALSE),0)</f>
        <v>7</v>
      </c>
      <c r="L42" s="56">
        <f t="shared" si="0"/>
        <v>3</v>
      </c>
      <c r="M42" s="56">
        <f t="shared" si="1"/>
        <v>0</v>
      </c>
      <c r="N42" s="56" t="b">
        <f t="shared" si="2"/>
        <v>0</v>
      </c>
      <c r="O42" s="91"/>
      <c r="P42" s="55">
        <v>456</v>
      </c>
      <c r="Q42" s="56">
        <f t="shared" si="3"/>
        <v>10</v>
      </c>
      <c r="R42" s="56">
        <f t="shared" si="4"/>
        <v>466</v>
      </c>
      <c r="S42" s="56">
        <f t="shared" si="5"/>
        <v>3</v>
      </c>
      <c r="T42" s="56" t="str">
        <f t="shared" si="8"/>
        <v>精英</v>
      </c>
      <c r="U42" s="56">
        <f t="shared" si="9"/>
        <v>-10</v>
      </c>
      <c r="V42" s="56">
        <f t="shared" si="6"/>
        <v>456</v>
      </c>
      <c r="W42" s="12">
        <f>IF(H42=0,List!$C$5,$C$3)</f>
        <v>0</v>
      </c>
      <c r="X42" s="12"/>
      <c r="Y42" s="12">
        <f t="shared" si="7"/>
        <v>466</v>
      </c>
      <c r="Z42" s="12">
        <f>RANK(Y42,$Y$15:$Y$55,0)+COUNTIF($Y$15:Y42,Y42)-1</f>
        <v>17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7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91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7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91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37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7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0</v>
      </c>
      <c r="I45" s="54"/>
      <c r="J45" s="12"/>
      <c r="K45" s="56">
        <f>IF(H45&gt;0,VLOOKUP(D45,战力表!$A$3:$F$58,6,FALSE),0)</f>
        <v>0</v>
      </c>
      <c r="L45" s="56">
        <f t="shared" si="0"/>
        <v>0</v>
      </c>
      <c r="M45" s="56">
        <f t="shared" si="1"/>
        <v>0</v>
      </c>
      <c r="N45" s="56" t="b">
        <f t="shared" si="2"/>
        <v>0</v>
      </c>
      <c r="O45" s="91"/>
      <c r="P45" s="55">
        <v>332</v>
      </c>
      <c r="Q45" s="56">
        <f t="shared" si="3"/>
        <v>0</v>
      </c>
      <c r="R45" s="56">
        <f t="shared" si="4"/>
        <v>332</v>
      </c>
      <c r="S45" s="56" t="str">
        <f t="shared" si="5"/>
        <v/>
      </c>
      <c r="T45" s="56" t="b">
        <f t="shared" si="8"/>
        <v>0</v>
      </c>
      <c r="U45" s="56">
        <f t="shared" si="9"/>
        <v>0</v>
      </c>
      <c r="V45" s="56">
        <f t="shared" si="6"/>
        <v>332</v>
      </c>
      <c r="W45" s="12" t="str">
        <f>IF(H45=0,List!$C$5,$C$3)</f>
        <v>没有忍战，无法分包</v>
      </c>
      <c r="X45" s="12"/>
      <c r="Y45" s="12">
        <f t="shared" si="7"/>
        <v>332</v>
      </c>
      <c r="Z45" s="12">
        <f>RANK(Y45,$Y$15:$Y$55,0)+COUNTIF($Y$15:Y45,Y45)-1</f>
        <v>18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7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91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29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7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2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91"/>
      <c r="P47" s="55">
        <v>459</v>
      </c>
      <c r="Q47" s="56">
        <f t="shared" si="3"/>
        <v>13</v>
      </c>
      <c r="R47" s="56">
        <f t="shared" si="4"/>
        <v>472</v>
      </c>
      <c r="S47" s="56">
        <f t="shared" si="5"/>
        <v>2</v>
      </c>
      <c r="T47" s="56" t="str">
        <f t="shared" si="8"/>
        <v>英雄</v>
      </c>
      <c r="U47" s="56">
        <f t="shared" si="9"/>
        <v>-13</v>
      </c>
      <c r="V47" s="56">
        <f t="shared" si="6"/>
        <v>459</v>
      </c>
      <c r="W47" s="12">
        <f>IF(H47=0,List!$C$5,$C$3)</f>
        <v>0</v>
      </c>
      <c r="X47" s="12"/>
      <c r="Y47" s="12">
        <f t="shared" si="7"/>
        <v>472</v>
      </c>
      <c r="Z47" s="12">
        <f>RANK(Y47,$Y$15:$Y$55,0)+COUNTIF($Y$15:Y47,Y47)-1</f>
        <v>13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7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9</v>
      </c>
      <c r="M48" s="56">
        <f t="shared" si="1"/>
        <v>4</v>
      </c>
      <c r="N48" s="56" t="b">
        <f t="shared" si="2"/>
        <v>0</v>
      </c>
      <c r="O48" s="91"/>
      <c r="P48" s="55">
        <v>455</v>
      </c>
      <c r="Q48" s="56">
        <f t="shared" si="3"/>
        <v>20</v>
      </c>
      <c r="R48" s="56">
        <f t="shared" si="4"/>
        <v>475</v>
      </c>
      <c r="S48" s="56">
        <f t="shared" si="5"/>
        <v>2</v>
      </c>
      <c r="T48" s="56" t="str">
        <f t="shared" si="8"/>
        <v>英雄</v>
      </c>
      <c r="U48" s="56">
        <f t="shared" si="9"/>
        <v>-13</v>
      </c>
      <c r="V48" s="56">
        <f t="shared" si="6"/>
        <v>462</v>
      </c>
      <c r="W48" s="12">
        <f>IF(H48=0,List!$C$5,$C$3)</f>
        <v>0</v>
      </c>
      <c r="X48" s="12"/>
      <c r="Y48" s="12">
        <f t="shared" si="7"/>
        <v>475</v>
      </c>
      <c r="Z48" s="12">
        <f>RANK(Y48,$Y$15:$Y$55,0)+COUNTIF($Y$15:Y48,Y48)-1</f>
        <v>9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7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91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32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75">
        <v>0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91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28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75">
        <v>0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2</v>
      </c>
      <c r="I51" s="54"/>
      <c r="J51" s="12"/>
      <c r="K51" s="56">
        <f>IF(H51&gt;0,VLOOKUP(D51,战力表!$A$3:$F$58,6,FALSE),0)</f>
        <v>7</v>
      </c>
      <c r="L51" s="56">
        <f t="shared" si="0"/>
        <v>6</v>
      </c>
      <c r="M51" s="56">
        <f t="shared" si="1"/>
        <v>0</v>
      </c>
      <c r="N51" s="56" t="b">
        <f t="shared" si="2"/>
        <v>0</v>
      </c>
      <c r="O51" s="91"/>
      <c r="P51" s="55">
        <v>176</v>
      </c>
      <c r="Q51" s="56">
        <f t="shared" si="3"/>
        <v>13</v>
      </c>
      <c r="R51" s="56">
        <f t="shared" si="4"/>
        <v>189</v>
      </c>
      <c r="S51" s="56">
        <f t="shared" si="5"/>
        <v>3</v>
      </c>
      <c r="T51" s="56" t="str">
        <f t="shared" si="8"/>
        <v>精英</v>
      </c>
      <c r="U51" s="56">
        <f t="shared" si="9"/>
        <v>-10</v>
      </c>
      <c r="V51" s="56">
        <f t="shared" si="6"/>
        <v>179</v>
      </c>
      <c r="W51" s="12">
        <f>IF(H51=0,List!$C$5,$C$3)</f>
        <v>0</v>
      </c>
      <c r="X51" s="12"/>
      <c r="Y51" s="12">
        <f t="shared" si="7"/>
        <v>189</v>
      </c>
      <c r="Z51" s="12">
        <f>RANK(Y51,$Y$15:$Y$55,0)+COUNTIF($Y$15:Y51,Y51)-1</f>
        <v>35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75">
        <v>0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2</v>
      </c>
      <c r="I52" s="54"/>
      <c r="J52" s="12"/>
      <c r="K52" s="56">
        <f>IF(H52&gt;0,VLOOKUP(D52,战力表!$A$3:$F$58,6,FALSE),0)</f>
        <v>7</v>
      </c>
      <c r="L52" s="56">
        <f t="shared" si="0"/>
        <v>6</v>
      </c>
      <c r="M52" s="56">
        <f t="shared" si="1"/>
        <v>0</v>
      </c>
      <c r="N52" s="56" t="b">
        <f t="shared" si="2"/>
        <v>0</v>
      </c>
      <c r="O52" s="91"/>
      <c r="P52" s="55">
        <v>100</v>
      </c>
      <c r="Q52" s="56">
        <f t="shared" si="3"/>
        <v>13</v>
      </c>
      <c r="R52" s="56">
        <f t="shared" si="4"/>
        <v>113</v>
      </c>
      <c r="S52" s="56">
        <f t="shared" si="5"/>
        <v>3</v>
      </c>
      <c r="T52" s="56" t="str">
        <f t="shared" si="8"/>
        <v>精英</v>
      </c>
      <c r="U52" s="56">
        <f t="shared" si="9"/>
        <v>-10</v>
      </c>
      <c r="V52" s="56">
        <f t="shared" si="6"/>
        <v>103</v>
      </c>
      <c r="W52" s="12">
        <f>IF(H52=0,List!$C$5,$C$3)</f>
        <v>0</v>
      </c>
      <c r="X52" s="12"/>
      <c r="Y52" s="12">
        <f t="shared" si="7"/>
        <v>113</v>
      </c>
      <c r="Z52" s="12">
        <f>RANK(Y52,$Y$15:$Y$55,0)+COUNTIF($Y$15:Y52,Y52)-1</f>
        <v>38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75">
        <v>0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2</v>
      </c>
      <c r="I53" s="54"/>
      <c r="J53" s="12"/>
      <c r="K53" s="56">
        <f>IF(H53&gt;0,VLOOKUP(D53,战力表!$A$3:$F$58,6,FALSE),0)</f>
        <v>7</v>
      </c>
      <c r="L53" s="56">
        <f t="shared" si="0"/>
        <v>6</v>
      </c>
      <c r="M53" s="56">
        <f t="shared" si="1"/>
        <v>0</v>
      </c>
      <c r="N53" s="56" t="b">
        <f t="shared" si="2"/>
        <v>0</v>
      </c>
      <c r="O53" s="91"/>
      <c r="P53" s="55">
        <v>100</v>
      </c>
      <c r="Q53" s="56">
        <f t="shared" si="3"/>
        <v>13</v>
      </c>
      <c r="R53" s="56">
        <f t="shared" si="4"/>
        <v>113</v>
      </c>
      <c r="S53" s="56">
        <f t="shared" si="5"/>
        <v>3</v>
      </c>
      <c r="T53" s="56" t="str">
        <f t="shared" si="8"/>
        <v>精英</v>
      </c>
      <c r="U53" s="56">
        <f t="shared" si="9"/>
        <v>-10</v>
      </c>
      <c r="V53" s="56">
        <f t="shared" si="6"/>
        <v>103</v>
      </c>
      <c r="W53" s="12">
        <f>IF(H53=0,List!$C$5,$C$3)</f>
        <v>0</v>
      </c>
      <c r="X53" s="12"/>
      <c r="Y53" s="12">
        <f t="shared" si="7"/>
        <v>113</v>
      </c>
      <c r="Z53" s="12">
        <f>RANK(Y53,$Y$15:$Y$55,0)+COUNTIF($Y$15:Y53,Y53)-1</f>
        <v>39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7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3</v>
      </c>
      <c r="I54" s="54"/>
      <c r="J54" s="12"/>
      <c r="K54" s="56">
        <v>2</v>
      </c>
      <c r="L54" s="56">
        <f t="shared" si="0"/>
        <v>9</v>
      </c>
      <c r="M54" s="56">
        <f t="shared" si="1"/>
        <v>4</v>
      </c>
      <c r="N54" s="56" t="b">
        <f t="shared" si="2"/>
        <v>0</v>
      </c>
      <c r="O54" s="91"/>
      <c r="P54" s="55">
        <v>455</v>
      </c>
      <c r="Q54" s="56">
        <f t="shared" si="3"/>
        <v>15</v>
      </c>
      <c r="R54" s="56">
        <f t="shared" si="4"/>
        <v>470</v>
      </c>
      <c r="S54" s="56">
        <f t="shared" si="5"/>
        <v>3</v>
      </c>
      <c r="T54" s="56" t="str">
        <f t="shared" si="8"/>
        <v>精英</v>
      </c>
      <c r="U54" s="56">
        <f t="shared" si="9"/>
        <v>-10</v>
      </c>
      <c r="V54" s="56">
        <f t="shared" si="6"/>
        <v>460</v>
      </c>
      <c r="W54" s="12">
        <f>IF(H54=0,List!$C$5,$C$3)</f>
        <v>0</v>
      </c>
      <c r="X54" s="12"/>
      <c r="Y54" s="12">
        <f t="shared" si="7"/>
        <v>470</v>
      </c>
      <c r="Z54" s="12">
        <f>RANK(Y54,$Y$15:$Y$55,0)+COUNTIF($Y$15:Y54,Y54)-1</f>
        <v>15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7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91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30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91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91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91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91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91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91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91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91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91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91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91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91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91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91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91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91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91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91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91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91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91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91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91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91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91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91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91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91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91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91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91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91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20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0.2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-0.7</v>
      </c>
      <c r="K9" s="59">
        <v>4</v>
      </c>
      <c r="L9" s="59">
        <f>C1-SUM(L3:L8)</f>
        <v>-14</v>
      </c>
      <c r="M9" s="1">
        <f t="shared" si="4"/>
        <v>20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19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20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21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3" t="s">
        <v>108</v>
      </c>
      <c r="D5" s="86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4"/>
      <c r="D6" s="87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4"/>
      <c r="D7" s="86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4"/>
      <c r="D8" s="87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4"/>
      <c r="D9" s="86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5"/>
      <c r="D10" s="88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9" t="s">
        <v>110</v>
      </c>
      <c r="D11" s="90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4"/>
      <c r="D12" s="87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4"/>
      <c r="D13" s="86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4"/>
      <c r="D14" s="87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4"/>
      <c r="D15" s="86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5"/>
      <c r="D16" s="88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2023-09-13T16:34:24Z</dcterms:modified>
</cp:coreProperties>
</file>