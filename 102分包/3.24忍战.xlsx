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6ECCCD52-4F93-4FA5-86FC-CFF143B351A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<sst xmlns="http://schemas.openxmlformats.org/spreadsheetml/2006/main" count="364" uniqueCount="177">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</sst>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2950000</c:v>
                </c:pt>
                <c:pt idx="6">
                  <c:v>2640000</c:v>
                </c:pt>
                <c:pt idx="7">
                  <c:v>2860000</c:v>
                </c:pt>
                <c:pt idx="8">
                  <c:v>2420000</c:v>
                </c:pt>
                <c:pt idx="9">
                  <c:v>2810000</c:v>
                </c:pt>
                <c:pt idx="10">
                  <c:v>2720000</c:v>
                </c:pt>
                <c:pt idx="11">
                  <c:v>2830000</c:v>
                </c:pt>
                <c:pt idx="12">
                  <c:v>2710000</c:v>
                </c:pt>
                <c:pt idx="13">
                  <c:v>2680000</c:v>
                </c:pt>
                <c:pt idx="14">
                  <c:v>2045784</c:v>
                </c:pt>
                <c:pt idx="15">
                  <c:v>2580000</c:v>
                </c:pt>
                <c:pt idx="16">
                  <c:v>2370000</c:v>
                </c:pt>
                <c:pt idx="17">
                  <c:v>2100000</c:v>
                </c:pt>
                <c:pt idx="18">
                  <c:v>2300000</c:v>
                </c:pt>
                <c:pt idx="19">
                  <c:v>1970000</c:v>
                </c:pt>
                <c:pt idx="20">
                  <c:v>1697897</c:v>
                </c:pt>
                <c:pt idx="21">
                  <c:v>2000000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1760000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1210000</c:v>
                </c:pt>
                <c:pt idx="32">
                  <c:v>1190000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4" zoomScale="95" zoomScaleNormal="95" workbookViewId="0">
      <selection activeCell="F57" sqref="F57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38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3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9</v>
      </c>
      <c r="AA2" s="40">
        <f>M9*N9</f>
        <v>176</v>
      </c>
    </row>
    <row r="3" spans="1:28" ht="14.25" customHeight="1" x14ac:dyDescent="0.3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17</v>
      </c>
      <c r="AA3" s="40">
        <f>M10*N10</f>
        <v>104</v>
      </c>
    </row>
    <row r="4" spans="1:28" ht="14.25" customHeight="1" x14ac:dyDescent="0.3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26</v>
      </c>
      <c r="AA4" s="40">
        <f>M11*N11</f>
        <v>90</v>
      </c>
    </row>
    <row r="5" spans="1:28" ht="30.75" customHeight="1" x14ac:dyDescent="0.3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3</v>
      </c>
      <c r="F9" s="2">
        <v>19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8</v>
      </c>
      <c r="O9" s="40">
        <f>COUNTIF($S$15:$S$271,1)</f>
        <v>8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3</v>
      </c>
      <c r="F10" s="2">
        <v>24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8</v>
      </c>
      <c r="O10" s="40">
        <f>COUNTIF($S$15:$S$271,2)</f>
        <v>8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9</v>
      </c>
      <c r="O11" s="40">
        <f>COUNTIF($S$15:$S$271,3)</f>
        <v>9</v>
      </c>
      <c r="P11" s="40">
        <f>N11-O11</f>
        <v>0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25</v>
      </c>
      <c r="K13" s="38"/>
      <c r="N13" s="4"/>
      <c r="W13" s="4"/>
      <c r="X13" s="4"/>
      <c r="Y13" s="1"/>
    </row>
    <row r="14" spans="1:28" ht="14.25" customHeight="1" x14ac:dyDescent="0.3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 t="shared" ref="T15:T54" si="6"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si="6"/>
        <v>0</v>
      </c>
      <c r="U16" s="56">
        <f t="shared" ref="U16:U54" si="9">-IF(S16=$K$9,$M$9,IF(S16=$K$10,$M$10,IF(S16=$K$11,$M$11)))</f>
        <v>0</v>
      </c>
      <c r="V16" s="56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31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2</v>
      </c>
      <c r="I17" s="54"/>
      <c r="J17" s="12"/>
      <c r="K17" s="56">
        <f>IF(H17&gt;0,VLOOKUP(D17,战力表!$A$3:$F$58,6,FALSE),0)</f>
        <v>10</v>
      </c>
      <c r="L17" s="56">
        <f t="shared" si="0"/>
        <v>6</v>
      </c>
      <c r="M17" s="56">
        <f t="shared" si="1"/>
        <v>0</v>
      </c>
      <c r="N17" s="56" t="b">
        <f t="shared" si="2"/>
        <v>0</v>
      </c>
      <c r="O17" s="12"/>
      <c r="P17" s="55">
        <v>348</v>
      </c>
      <c r="Q17" s="56">
        <f t="shared" si="3"/>
        <v>16</v>
      </c>
      <c r="R17" s="56">
        <f t="shared" si="4"/>
        <v>364</v>
      </c>
      <c r="S17" s="56">
        <f t="shared" si="5"/>
        <v>2</v>
      </c>
      <c r="T17" s="56" t="str">
        <f t="shared" si="6"/>
        <v>英雄</v>
      </c>
      <c r="U17" s="56">
        <f t="shared" si="9"/>
        <v>-13</v>
      </c>
      <c r="V17" s="56">
        <f t="shared" si="7"/>
        <v>351</v>
      </c>
      <c r="W17" s="12">
        <f>IF(H17=0,List!$C$5,$C$3)</f>
        <v>0</v>
      </c>
      <c r="X17" s="12"/>
      <c r="Y17" s="12">
        <f t="shared" si="8"/>
        <v>364</v>
      </c>
      <c r="Z17" s="12">
        <f>RANK(Y17,$Y$15:$Y$55,0)+COUNTIF($Y$15:Y17,Y17)-1</f>
        <v>16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6"/>
        <v>0</v>
      </c>
      <c r="U18" s="56">
        <f t="shared" si="9"/>
        <v>0</v>
      </c>
      <c r="V18" s="56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22</v>
      </c>
      <c r="AA18" s="12"/>
      <c r="AB18" s="12"/>
      <c r="AF18" s="68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6"/>
        <v>0</v>
      </c>
      <c r="U19" s="56">
        <f t="shared" si="9"/>
        <v>0</v>
      </c>
      <c r="V19" s="56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34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295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12"/>
      <c r="P20" s="55">
        <v>320</v>
      </c>
      <c r="Q20" s="56">
        <f t="shared" si="3"/>
        <v>16</v>
      </c>
      <c r="R20" s="56">
        <f t="shared" si="4"/>
        <v>336</v>
      </c>
      <c r="S20" s="56">
        <f t="shared" si="5"/>
        <v>3</v>
      </c>
      <c r="T20" s="56" t="str">
        <f t="shared" si="6"/>
        <v>精英</v>
      </c>
      <c r="U20" s="56">
        <f t="shared" si="9"/>
        <v>-10</v>
      </c>
      <c r="V20" s="56">
        <f t="shared" si="7"/>
        <v>326</v>
      </c>
      <c r="W20" s="12">
        <f>IF(H20=0,List!$C$5,$C$3)</f>
        <v>0</v>
      </c>
      <c r="X20" s="12"/>
      <c r="Y20" s="12">
        <f t="shared" si="8"/>
        <v>336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6"/>
        <v>0</v>
      </c>
      <c r="U21" s="56">
        <f t="shared" si="9"/>
        <v>0</v>
      </c>
      <c r="V21" s="56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286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9</v>
      </c>
      <c r="M22" s="56">
        <f t="shared" si="1"/>
        <v>4</v>
      </c>
      <c r="N22" s="56" t="b">
        <f t="shared" si="2"/>
        <v>0</v>
      </c>
      <c r="O22" s="12"/>
      <c r="P22" s="55">
        <v>353</v>
      </c>
      <c r="Q22" s="56">
        <f t="shared" si="3"/>
        <v>23</v>
      </c>
      <c r="R22" s="56">
        <f t="shared" si="4"/>
        <v>376</v>
      </c>
      <c r="S22" s="56">
        <f t="shared" si="5"/>
        <v>1</v>
      </c>
      <c r="T22" s="56" t="str">
        <f t="shared" si="6"/>
        <v>传说</v>
      </c>
      <c r="U22" s="56">
        <f t="shared" si="9"/>
        <v>-22</v>
      </c>
      <c r="V22" s="56">
        <f t="shared" si="7"/>
        <v>354</v>
      </c>
      <c r="W22" s="12">
        <f>IF(H22=0,List!$C$5,$C$3)</f>
        <v>0</v>
      </c>
      <c r="X22" s="12"/>
      <c r="Y22" s="12">
        <f t="shared" si="8"/>
        <v>376</v>
      </c>
      <c r="Z22" s="12">
        <f>RANK(Y22,$Y$15:$Y$55,0)+COUNTIF($Y$15:Y22,Y22)-1</f>
        <v>1</v>
      </c>
      <c r="AA22" s="12"/>
      <c r="AB22" s="12"/>
      <c r="AD22" s="66"/>
      <c r="AE22" s="66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6"/>
        <v>0</v>
      </c>
      <c r="U23" s="56">
        <f t="shared" si="9"/>
        <v>0</v>
      </c>
      <c r="V23" s="56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18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281</v>
      </c>
      <c r="G24" s="12"/>
      <c r="H24" s="55">
        <v>2</v>
      </c>
      <c r="I24" s="54"/>
      <c r="J24" s="12"/>
      <c r="K24" s="56">
        <f>IF(H24&gt;0,VLOOKUP(D24,战力表!$A$3:$F$58,6,FALSE),0)</f>
        <v>9</v>
      </c>
      <c r="L24" s="56">
        <f t="shared" si="0"/>
        <v>6</v>
      </c>
      <c r="M24" s="56">
        <f t="shared" si="1"/>
        <v>0</v>
      </c>
      <c r="N24" s="56" t="b">
        <f t="shared" si="2"/>
        <v>0</v>
      </c>
      <c r="O24" s="12"/>
      <c r="P24" s="55">
        <v>353</v>
      </c>
      <c r="Q24" s="56">
        <f t="shared" si="3"/>
        <v>15</v>
      </c>
      <c r="R24" s="56">
        <f t="shared" si="4"/>
        <v>368</v>
      </c>
      <c r="S24" s="56">
        <f t="shared" si="5"/>
        <v>2</v>
      </c>
      <c r="T24" s="56" t="str">
        <f t="shared" si="6"/>
        <v>英雄</v>
      </c>
      <c r="U24" s="56">
        <f t="shared" si="9"/>
        <v>-13</v>
      </c>
      <c r="V24" s="56">
        <f t="shared" si="7"/>
        <v>355</v>
      </c>
      <c r="W24" s="12">
        <f>IF(H24=0,List!$C$5,$C$3)</f>
        <v>0</v>
      </c>
      <c r="X24" s="12"/>
      <c r="Y24" s="12">
        <f t="shared" si="8"/>
        <v>368</v>
      </c>
      <c r="Z24" s="12">
        <f>RANK(Y24,$Y$15:$Y$55,0)+COUNTIF($Y$15:Y24,Y24)-1</f>
        <v>13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272</v>
      </c>
      <c r="G25" s="12"/>
      <c r="H25" s="55">
        <v>3</v>
      </c>
      <c r="I25" s="54"/>
      <c r="J25" s="12"/>
      <c r="K25" s="56">
        <f>IF(H25&gt;0,VLOOKUP(D25,战力表!$A$3:$F$58,6,FALSE),0)</f>
        <v>9</v>
      </c>
      <c r="L25" s="56">
        <f t="shared" si="0"/>
        <v>9</v>
      </c>
      <c r="M25" s="56">
        <f t="shared" si="1"/>
        <v>4</v>
      </c>
      <c r="N25" s="56" t="b">
        <f t="shared" si="2"/>
        <v>0</v>
      </c>
      <c r="O25" s="12"/>
      <c r="P25" s="55">
        <v>353</v>
      </c>
      <c r="Q25" s="56">
        <f t="shared" si="3"/>
        <v>22</v>
      </c>
      <c r="R25" s="56">
        <f t="shared" si="4"/>
        <v>375</v>
      </c>
      <c r="S25" s="56">
        <f t="shared" si="5"/>
        <v>1</v>
      </c>
      <c r="T25" s="56" t="str">
        <f t="shared" si="6"/>
        <v>传说</v>
      </c>
      <c r="U25" s="56">
        <f t="shared" si="9"/>
        <v>-22</v>
      </c>
      <c r="V25" s="56">
        <f t="shared" si="7"/>
        <v>353</v>
      </c>
      <c r="W25" s="12">
        <f>IF(H25=0,List!$C$5,$C$3)</f>
        <v>0</v>
      </c>
      <c r="X25" s="12"/>
      <c r="Y25" s="12">
        <f t="shared" si="8"/>
        <v>375</v>
      </c>
      <c r="Z25" s="12">
        <f>RANK(Y25,$Y$15:$Y$55,0)+COUNTIF($Y$15:Y25,Y25)-1</f>
        <v>5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353</v>
      </c>
      <c r="Q26" s="56">
        <f t="shared" si="3"/>
        <v>23</v>
      </c>
      <c r="R26" s="56">
        <f t="shared" si="4"/>
        <v>376</v>
      </c>
      <c r="S26" s="56">
        <f t="shared" si="5"/>
        <v>1</v>
      </c>
      <c r="T26" s="56" t="str">
        <f t="shared" si="6"/>
        <v>传说</v>
      </c>
      <c r="U26" s="56">
        <f t="shared" si="9"/>
        <v>-22</v>
      </c>
      <c r="V26" s="56">
        <f t="shared" si="7"/>
        <v>354</v>
      </c>
      <c r="W26" s="12">
        <f>IF(H26=0,List!$C$5,$C$3)</f>
        <v>0</v>
      </c>
      <c r="X26" s="12"/>
      <c r="Y26" s="12">
        <f t="shared" si="8"/>
        <v>376</v>
      </c>
      <c r="Z26" s="12">
        <f>RANK(Y26,$Y$15:$Y$55,0)+COUNTIF($Y$15:Y26,Y26)-1</f>
        <v>2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271</v>
      </c>
      <c r="G27" s="12"/>
      <c r="H27" s="55">
        <v>3</v>
      </c>
      <c r="I27" s="54"/>
      <c r="J27" s="12"/>
      <c r="K27" s="56">
        <f>IF(H27&gt;0,VLOOKUP(D27,战力表!$A$3:$F$58,6,FALSE),0)</f>
        <v>9</v>
      </c>
      <c r="L27" s="56">
        <f t="shared" si="0"/>
        <v>9</v>
      </c>
      <c r="M27" s="56">
        <f t="shared" si="1"/>
        <v>4</v>
      </c>
      <c r="N27" s="56" t="b">
        <f t="shared" si="2"/>
        <v>0</v>
      </c>
      <c r="O27" s="12"/>
      <c r="P27" s="55">
        <v>354</v>
      </c>
      <c r="Q27" s="56">
        <f t="shared" si="3"/>
        <v>22</v>
      </c>
      <c r="R27" s="56">
        <f t="shared" si="4"/>
        <v>376</v>
      </c>
      <c r="S27" s="56">
        <f t="shared" si="5"/>
        <v>1</v>
      </c>
      <c r="T27" s="56" t="str">
        <f t="shared" si="6"/>
        <v>传说</v>
      </c>
      <c r="U27" s="56">
        <f t="shared" si="9"/>
        <v>-22</v>
      </c>
      <c r="V27" s="56">
        <f t="shared" si="7"/>
        <v>354</v>
      </c>
      <c r="W27" s="12">
        <f>IF(H27=0,List!$C$5,$C$3)</f>
        <v>0</v>
      </c>
      <c r="X27" s="12"/>
      <c r="Y27" s="12">
        <f t="shared" si="8"/>
        <v>376</v>
      </c>
      <c r="Z27" s="12">
        <f>RANK(Y27,$Y$15:$Y$55,0)+COUNTIF($Y$15:Y27,Y27)-1</f>
        <v>3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268</v>
      </c>
      <c r="G28" s="12"/>
      <c r="H28" s="55">
        <v>3</v>
      </c>
      <c r="I28" s="54"/>
      <c r="J28" s="12"/>
      <c r="K28" s="56">
        <f>IF(H28&gt;0,VLOOKUP(D28,战力表!$A$3:$F$58,6,FALSE),0)</f>
        <v>9</v>
      </c>
      <c r="L28" s="56">
        <f t="shared" si="0"/>
        <v>9</v>
      </c>
      <c r="M28" s="56">
        <f t="shared" si="1"/>
        <v>4</v>
      </c>
      <c r="N28" s="56" t="b">
        <f t="shared" si="2"/>
        <v>0</v>
      </c>
      <c r="O28" s="12"/>
      <c r="P28" s="55">
        <v>354</v>
      </c>
      <c r="Q28" s="56">
        <f t="shared" si="3"/>
        <v>22</v>
      </c>
      <c r="R28" s="56">
        <f t="shared" si="4"/>
        <v>376</v>
      </c>
      <c r="S28" s="56">
        <f t="shared" si="5"/>
        <v>1</v>
      </c>
      <c r="T28" s="56" t="str">
        <f t="shared" si="6"/>
        <v>传说</v>
      </c>
      <c r="U28" s="56">
        <f t="shared" si="9"/>
        <v>-22</v>
      </c>
      <c r="V28" s="56">
        <f t="shared" si="7"/>
        <v>354</v>
      </c>
      <c r="W28" s="12">
        <f>IF(H28=0,List!$C$5,$C$3)</f>
        <v>0</v>
      </c>
      <c r="X28" s="12"/>
      <c r="Y28" s="12">
        <f t="shared" si="8"/>
        <v>376</v>
      </c>
      <c r="Z28" s="12">
        <f>RANK(Y28,$Y$15:$Y$55,0)+COUNTIF($Y$15:Y28,Y28)-1</f>
        <v>4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6"/>
        <v>0</v>
      </c>
      <c r="U29" s="56">
        <f t="shared" si="9"/>
        <v>0</v>
      </c>
      <c r="V29" s="56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258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12"/>
      <c r="P30" s="55">
        <v>350</v>
      </c>
      <c r="Q30" s="56">
        <f t="shared" si="3"/>
        <v>21</v>
      </c>
      <c r="R30" s="56">
        <f t="shared" si="4"/>
        <v>371</v>
      </c>
      <c r="S30" s="56">
        <f t="shared" si="5"/>
        <v>2</v>
      </c>
      <c r="T30" s="56" t="str">
        <f t="shared" si="6"/>
        <v>英雄</v>
      </c>
      <c r="U30" s="56">
        <f t="shared" si="9"/>
        <v>-13</v>
      </c>
      <c r="V30" s="56">
        <f t="shared" si="7"/>
        <v>358</v>
      </c>
      <c r="W30" s="12">
        <f>IF(H30=0,List!$C$5,$C$3)</f>
        <v>0</v>
      </c>
      <c r="X30" s="12"/>
      <c r="Y30" s="12">
        <f t="shared" si="8"/>
        <v>371</v>
      </c>
      <c r="Z30" s="12">
        <f>RANK(Y30,$Y$15:$Y$55,0)+COUNTIF($Y$15:Y30,Y30)-1</f>
        <v>9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237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12"/>
      <c r="P31" s="55">
        <v>354</v>
      </c>
      <c r="Q31" s="56">
        <f t="shared" si="3"/>
        <v>21</v>
      </c>
      <c r="R31" s="56">
        <f t="shared" si="4"/>
        <v>375</v>
      </c>
      <c r="S31" s="56">
        <f t="shared" si="5"/>
        <v>1</v>
      </c>
      <c r="T31" s="56" t="str">
        <f t="shared" si="6"/>
        <v>传说</v>
      </c>
      <c r="U31" s="56">
        <f t="shared" si="9"/>
        <v>-22</v>
      </c>
      <c r="V31" s="56">
        <f t="shared" si="7"/>
        <v>353</v>
      </c>
      <c r="W31" s="12">
        <f>IF(H31=0,List!$C$5,$C$3)</f>
        <v>0</v>
      </c>
      <c r="X31" s="12"/>
      <c r="Y31" s="12">
        <f t="shared" si="8"/>
        <v>375</v>
      </c>
      <c r="Z31" s="12">
        <f>RANK(Y31,$Y$15:$Y$55,0)+COUNTIF($Y$15:Y31,Y31)-1</f>
        <v>6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6"/>
        <v>0</v>
      </c>
      <c r="U32" s="56">
        <f t="shared" si="9"/>
        <v>0</v>
      </c>
      <c r="V32" s="56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19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230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12"/>
      <c r="P33" s="55">
        <v>354</v>
      </c>
      <c r="Q33" s="56">
        <f t="shared" si="3"/>
        <v>21</v>
      </c>
      <c r="R33" s="56">
        <f t="shared" si="4"/>
        <v>375</v>
      </c>
      <c r="S33" s="56">
        <f t="shared" si="5"/>
        <v>1</v>
      </c>
      <c r="T33" s="56" t="str">
        <f t="shared" si="6"/>
        <v>传说</v>
      </c>
      <c r="U33" s="56">
        <f t="shared" si="9"/>
        <v>-22</v>
      </c>
      <c r="V33" s="56">
        <f t="shared" si="7"/>
        <v>353</v>
      </c>
      <c r="W33" s="12">
        <f>IF(H33=0,List!$C$5,$C$3)</f>
        <v>0</v>
      </c>
      <c r="X33" s="12"/>
      <c r="Y33" s="12">
        <f t="shared" si="8"/>
        <v>375</v>
      </c>
      <c r="Z33" s="12">
        <f>RANK(Y33,$Y$15:$Y$55,0)+COUNTIF($Y$15:Y33,Y33)-1</f>
        <v>7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6"/>
        <v>0</v>
      </c>
      <c r="U34" s="56">
        <f t="shared" si="9"/>
        <v>0</v>
      </c>
      <c r="V34" s="56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23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6"/>
        <v>0</v>
      </c>
      <c r="U35" s="56">
        <f t="shared" si="9"/>
        <v>0</v>
      </c>
      <c r="V35" s="56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35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200</v>
      </c>
      <c r="G36" s="12"/>
      <c r="H36" s="55">
        <v>3</v>
      </c>
      <c r="I36" s="54"/>
      <c r="J36" s="12"/>
      <c r="K36" s="56">
        <f>IF(H36&gt;0,VLOOKUP(D36,战力表!$A$3:$F$58,6,FALSE),0)</f>
        <v>8</v>
      </c>
      <c r="L36" s="56">
        <f t="shared" si="0"/>
        <v>9</v>
      </c>
      <c r="M36" s="56">
        <f t="shared" si="1"/>
        <v>4</v>
      </c>
      <c r="N36" s="56" t="b">
        <f t="shared" si="2"/>
        <v>0</v>
      </c>
      <c r="O36" s="12"/>
      <c r="P36" s="55">
        <v>353</v>
      </c>
      <c r="Q36" s="56">
        <f t="shared" si="3"/>
        <v>21</v>
      </c>
      <c r="R36" s="56">
        <f t="shared" si="4"/>
        <v>374</v>
      </c>
      <c r="S36" s="56">
        <f t="shared" si="5"/>
        <v>1</v>
      </c>
      <c r="T36" s="56" t="str">
        <f t="shared" si="6"/>
        <v>传说</v>
      </c>
      <c r="U36" s="56">
        <f t="shared" si="9"/>
        <v>-22</v>
      </c>
      <c r="V36" s="56">
        <f t="shared" si="7"/>
        <v>352</v>
      </c>
      <c r="W36" s="12">
        <f>IF(H36=0,List!$C$5,$C$3)</f>
        <v>0</v>
      </c>
      <c r="X36" s="12"/>
      <c r="Y36" s="12">
        <f t="shared" si="8"/>
        <v>374</v>
      </c>
      <c r="Z36" s="12">
        <f>RANK(Y36,$Y$15:$Y$55,0)+COUNTIF($Y$15:Y36,Y36)-1</f>
        <v>8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6"/>
        <v>0</v>
      </c>
      <c r="U37" s="56">
        <f t="shared" si="9"/>
        <v>0</v>
      </c>
      <c r="V37" s="56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24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6"/>
        <v>0</v>
      </c>
      <c r="U38" s="56">
        <f t="shared" si="9"/>
        <v>0</v>
      </c>
      <c r="V38" s="56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11</v>
      </c>
      <c r="G39" s="12"/>
      <c r="H39" s="55">
        <v>3</v>
      </c>
      <c r="I39" s="54"/>
      <c r="J39" s="12"/>
      <c r="K39" s="56">
        <f>IF(H39&gt;0,VLOOKUP(D39,战力表!$A$3:$F$58,6,FALSE),0)</f>
        <v>7</v>
      </c>
      <c r="L39" s="56">
        <f t="shared" si="0"/>
        <v>9</v>
      </c>
      <c r="M39" s="56">
        <f t="shared" si="1"/>
        <v>4</v>
      </c>
      <c r="N39" s="56" t="b">
        <f t="shared" si="2"/>
        <v>0</v>
      </c>
      <c r="O39" s="12"/>
      <c r="P39" s="55">
        <v>194</v>
      </c>
      <c r="Q39" s="56">
        <f t="shared" si="3"/>
        <v>20</v>
      </c>
      <c r="R39" s="56">
        <f t="shared" si="4"/>
        <v>214</v>
      </c>
      <c r="S39" s="56">
        <f t="shared" si="5"/>
        <v>3</v>
      </c>
      <c r="T39" s="56" t="str">
        <f t="shared" si="6"/>
        <v>精英</v>
      </c>
      <c r="U39" s="56">
        <f t="shared" si="9"/>
        <v>-10</v>
      </c>
      <c r="V39" s="56">
        <f t="shared" si="7"/>
        <v>204</v>
      </c>
      <c r="W39" s="12">
        <f>IF(H39=0,List!$C$5,$C$3)</f>
        <v>0</v>
      </c>
      <c r="X39" s="12"/>
      <c r="Y39" s="12">
        <f t="shared" si="8"/>
        <v>214</v>
      </c>
      <c r="Z39" s="12">
        <f>RANK(Y39,$Y$15:$Y$55,0)+COUNTIF($Y$15:Y39,Y39)-1</f>
        <v>29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13</v>
      </c>
      <c r="G40" s="12"/>
      <c r="H40" s="55">
        <v>2</v>
      </c>
      <c r="I40" s="54"/>
      <c r="J40" s="12"/>
      <c r="K40" s="56">
        <f>IF(H40&gt;0,VLOOKUP(D40,战力表!$A$3:$F$58,6,FALSE),0)</f>
        <v>7</v>
      </c>
      <c r="L40" s="56">
        <f t="shared" si="0"/>
        <v>6</v>
      </c>
      <c r="M40" s="56">
        <f t="shared" si="1"/>
        <v>0</v>
      </c>
      <c r="N40" s="56" t="b">
        <f t="shared" si="2"/>
        <v>0</v>
      </c>
      <c r="O40" s="12"/>
      <c r="P40" s="55">
        <v>195</v>
      </c>
      <c r="Q40" s="56">
        <f t="shared" si="3"/>
        <v>13</v>
      </c>
      <c r="R40" s="56">
        <f t="shared" si="4"/>
        <v>208</v>
      </c>
      <c r="S40" s="56">
        <f t="shared" si="5"/>
        <v>3</v>
      </c>
      <c r="T40" s="56" t="str">
        <f t="shared" si="6"/>
        <v>精英</v>
      </c>
      <c r="U40" s="56">
        <f t="shared" si="9"/>
        <v>-10</v>
      </c>
      <c r="V40" s="56">
        <f t="shared" si="7"/>
        <v>198</v>
      </c>
      <c r="W40" s="12">
        <f>IF(H40=0,List!$C$5,$C$3)</f>
        <v>0</v>
      </c>
      <c r="X40" s="12"/>
      <c r="Y40" s="12">
        <f t="shared" si="8"/>
        <v>208</v>
      </c>
      <c r="Z40" s="12">
        <f>RANK(Y40,$Y$15:$Y$55,0)+COUNTIF($Y$15:Y40,Y40)-1</f>
        <v>33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176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9</v>
      </c>
      <c r="M41" s="56">
        <f t="shared" si="1"/>
        <v>4</v>
      </c>
      <c r="N41" s="56" t="b">
        <f t="shared" si="2"/>
        <v>0</v>
      </c>
      <c r="O41" s="12"/>
      <c r="P41" s="55">
        <v>350</v>
      </c>
      <c r="Q41" s="56">
        <f t="shared" si="3"/>
        <v>21</v>
      </c>
      <c r="R41" s="56">
        <f t="shared" si="4"/>
        <v>371</v>
      </c>
      <c r="S41" s="56">
        <f t="shared" si="5"/>
        <v>2</v>
      </c>
      <c r="T41" s="56" t="str">
        <f t="shared" si="6"/>
        <v>英雄</v>
      </c>
      <c r="U41" s="56">
        <f t="shared" si="9"/>
        <v>-13</v>
      </c>
      <c r="V41" s="56">
        <f t="shared" si="7"/>
        <v>358</v>
      </c>
      <c r="W41" s="12">
        <f>IF(H41=0,List!$C$5,$C$3)</f>
        <v>0</v>
      </c>
      <c r="X41" s="12"/>
      <c r="Y41" s="12">
        <f t="shared" si="8"/>
        <v>371</v>
      </c>
      <c r="Z41" s="12">
        <f>RANK(Y41,$Y$15:$Y$55,0)+COUNTIF($Y$15:Y41,Y41)-1</f>
        <v>10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3</v>
      </c>
      <c r="I42" s="54"/>
      <c r="J42" s="12"/>
      <c r="K42" s="56">
        <f>IF(H42&gt;0,VLOOKUP(D42,战力表!$A$3:$F$58,6,FALSE),0)</f>
        <v>7</v>
      </c>
      <c r="L42" s="56">
        <f t="shared" si="0"/>
        <v>9</v>
      </c>
      <c r="M42" s="56">
        <f t="shared" si="1"/>
        <v>4</v>
      </c>
      <c r="N42" s="56" t="b">
        <f t="shared" si="2"/>
        <v>0</v>
      </c>
      <c r="O42" s="12"/>
      <c r="P42" s="55">
        <v>349</v>
      </c>
      <c r="Q42" s="56">
        <f t="shared" si="3"/>
        <v>20</v>
      </c>
      <c r="R42" s="56">
        <f t="shared" si="4"/>
        <v>369</v>
      </c>
      <c r="S42" s="56">
        <f t="shared" si="5"/>
        <v>2</v>
      </c>
      <c r="T42" s="56" t="str">
        <f t="shared" si="6"/>
        <v>英雄</v>
      </c>
      <c r="U42" s="56">
        <f t="shared" si="9"/>
        <v>-13</v>
      </c>
      <c r="V42" s="56">
        <f t="shared" si="7"/>
        <v>356</v>
      </c>
      <c r="W42" s="12">
        <f>IF(H42=0,List!$C$5,$C$3)</f>
        <v>0</v>
      </c>
      <c r="X42" s="12"/>
      <c r="Y42" s="12">
        <f t="shared" si="8"/>
        <v>369</v>
      </c>
      <c r="Z42" s="12">
        <f>RANK(Y42,$Y$15:$Y$55,0)+COUNTIF($Y$15:Y42,Y42)-1</f>
        <v>12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6"/>
        <v>0</v>
      </c>
      <c r="U43" s="56">
        <f t="shared" si="9"/>
        <v>0</v>
      </c>
      <c r="V43" s="56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6"/>
        <v>0</v>
      </c>
      <c r="U44" s="56">
        <f t="shared" si="9"/>
        <v>0</v>
      </c>
      <c r="V44" s="56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14</v>
      </c>
      <c r="G45" s="12"/>
      <c r="H45" s="55">
        <v>3</v>
      </c>
      <c r="I45" s="54"/>
      <c r="J45" s="12"/>
      <c r="K45" s="56">
        <f>IF(H45&gt;0,VLOOKUP(D45,战力表!$A$3:$F$58,6,FALSE),0)</f>
        <v>7</v>
      </c>
      <c r="L45" s="56">
        <f t="shared" si="0"/>
        <v>9</v>
      </c>
      <c r="M45" s="56">
        <f t="shared" si="1"/>
        <v>4</v>
      </c>
      <c r="N45" s="56" t="b">
        <f t="shared" si="2"/>
        <v>0</v>
      </c>
      <c r="O45" s="12"/>
      <c r="P45" s="55">
        <v>195</v>
      </c>
      <c r="Q45" s="56">
        <f t="shared" si="3"/>
        <v>20</v>
      </c>
      <c r="R45" s="56">
        <f t="shared" si="4"/>
        <v>215</v>
      </c>
      <c r="S45" s="56">
        <f t="shared" si="5"/>
        <v>3</v>
      </c>
      <c r="T45" s="56" t="str">
        <f t="shared" si="6"/>
        <v>精英</v>
      </c>
      <c r="U45" s="56">
        <f t="shared" si="9"/>
        <v>-10</v>
      </c>
      <c r="V45" s="56">
        <f t="shared" si="7"/>
        <v>205</v>
      </c>
      <c r="W45" s="12">
        <f>IF(H45=0,List!$C$5,$C$3)</f>
        <v>0</v>
      </c>
      <c r="X45" s="12"/>
      <c r="Y45" s="12">
        <f t="shared" si="8"/>
        <v>215</v>
      </c>
      <c r="Z45" s="12">
        <f>RANK(Y45,$Y$15:$Y$55,0)+COUNTIF($Y$15:Y45,Y45)-1</f>
        <v>28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214</v>
      </c>
      <c r="Q46" s="56">
        <f t="shared" si="3"/>
        <v>0</v>
      </c>
      <c r="R46" s="56">
        <f t="shared" si="4"/>
        <v>214</v>
      </c>
      <c r="S46" s="56" t="str">
        <f t="shared" si="5"/>
        <v/>
      </c>
      <c r="T46" s="56" t="b">
        <f t="shared" si="6"/>
        <v>0</v>
      </c>
      <c r="U46" s="56">
        <f t="shared" si="9"/>
        <v>0</v>
      </c>
      <c r="V46" s="56">
        <f t="shared" si="7"/>
        <v>214</v>
      </c>
      <c r="W46" s="12" t="str">
        <f>IF(H46=0,List!$C$5,$C$3)</f>
        <v>没有忍战，无法分包</v>
      </c>
      <c r="X46" s="12"/>
      <c r="Y46" s="12">
        <f t="shared" si="8"/>
        <v>214</v>
      </c>
      <c r="Z46" s="12">
        <f>RANK(Y46,$Y$15:$Y$55,0)+COUNTIF($Y$15:Y46,Y46)-1</f>
        <v>30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119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9</v>
      </c>
      <c r="M47" s="56">
        <f t="shared" si="1"/>
        <v>4</v>
      </c>
      <c r="N47" s="56" t="b">
        <f t="shared" si="2"/>
        <v>0</v>
      </c>
      <c r="O47" s="12"/>
      <c r="P47" s="55">
        <v>350</v>
      </c>
      <c r="Q47" s="56">
        <f t="shared" si="3"/>
        <v>20</v>
      </c>
      <c r="R47" s="56">
        <f t="shared" si="4"/>
        <v>370</v>
      </c>
      <c r="S47" s="56">
        <f t="shared" si="5"/>
        <v>2</v>
      </c>
      <c r="T47" s="56" t="str">
        <f t="shared" si="6"/>
        <v>英雄</v>
      </c>
      <c r="U47" s="56">
        <f t="shared" si="9"/>
        <v>-13</v>
      </c>
      <c r="V47" s="56">
        <f t="shared" si="7"/>
        <v>357</v>
      </c>
      <c r="W47" s="12">
        <f>IF(H47=0,List!$C$5,$C$3)</f>
        <v>0</v>
      </c>
      <c r="X47" s="12"/>
      <c r="Y47" s="12">
        <f t="shared" si="8"/>
        <v>370</v>
      </c>
      <c r="Z47" s="12">
        <f>RANK(Y47,$Y$15:$Y$55,0)+COUNTIF($Y$15:Y47,Y47)-1</f>
        <v>11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111</v>
      </c>
      <c r="G48" s="12"/>
      <c r="H48" s="55">
        <v>2</v>
      </c>
      <c r="I48" s="54"/>
      <c r="J48" s="12"/>
      <c r="K48" s="56">
        <f>IF(H48&gt;0,VLOOKUP(D48,战力表!$A$3:$F$58,6,FALSE),0)</f>
        <v>7</v>
      </c>
      <c r="L48" s="56">
        <f t="shared" si="0"/>
        <v>6</v>
      </c>
      <c r="M48" s="56">
        <f t="shared" si="1"/>
        <v>0</v>
      </c>
      <c r="N48" s="56" t="b">
        <f t="shared" si="2"/>
        <v>0</v>
      </c>
      <c r="O48" s="12"/>
      <c r="P48" s="55">
        <v>353</v>
      </c>
      <c r="Q48" s="56">
        <f t="shared" si="3"/>
        <v>13</v>
      </c>
      <c r="R48" s="56">
        <f t="shared" si="4"/>
        <v>366</v>
      </c>
      <c r="S48" s="56">
        <f t="shared" si="5"/>
        <v>2</v>
      </c>
      <c r="T48" s="56" t="str">
        <f t="shared" si="6"/>
        <v>英雄</v>
      </c>
      <c r="U48" s="56">
        <f t="shared" si="9"/>
        <v>-13</v>
      </c>
      <c r="V48" s="56">
        <f t="shared" si="7"/>
        <v>353</v>
      </c>
      <c r="W48" s="12">
        <f>IF(H48=0,List!$C$5,$C$3)</f>
        <v>0</v>
      </c>
      <c r="X48" s="12"/>
      <c r="Y48" s="12">
        <f t="shared" si="8"/>
        <v>366</v>
      </c>
      <c r="Z48" s="12">
        <f>RANK(Y48,$Y$15:$Y$55,0)+COUNTIF($Y$15:Y48,Y48)-1</f>
        <v>15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2</v>
      </c>
      <c r="I49" s="54"/>
      <c r="J49" s="12"/>
      <c r="K49" s="56">
        <f>IF(H49&gt;0,VLOOKUP(D49,战力表!$A$3:$F$58,6,FALSE),0)</f>
        <v>7</v>
      </c>
      <c r="L49" s="56">
        <f t="shared" si="0"/>
        <v>6</v>
      </c>
      <c r="M49" s="56">
        <f t="shared" si="1"/>
        <v>0</v>
      </c>
      <c r="N49" s="56" t="b">
        <f t="shared" si="2"/>
        <v>0</v>
      </c>
      <c r="O49" s="12"/>
      <c r="P49" s="55">
        <v>173</v>
      </c>
      <c r="Q49" s="56">
        <f t="shared" si="3"/>
        <v>13</v>
      </c>
      <c r="R49" s="56">
        <f t="shared" si="4"/>
        <v>186</v>
      </c>
      <c r="S49" s="56">
        <f t="shared" si="5"/>
        <v>3</v>
      </c>
      <c r="T49" s="56" t="str">
        <f t="shared" si="6"/>
        <v>精英</v>
      </c>
      <c r="U49" s="56">
        <f t="shared" si="9"/>
        <v>-10</v>
      </c>
      <c r="V49" s="56">
        <f t="shared" si="7"/>
        <v>176</v>
      </c>
      <c r="W49" s="12">
        <f>IF(H49=0,List!$C$5,$C$3)</f>
        <v>0</v>
      </c>
      <c r="X49" s="12"/>
      <c r="Y49" s="12">
        <f t="shared" si="8"/>
        <v>186</v>
      </c>
      <c r="Z49" s="12">
        <f>RANK(Y49,$Y$15:$Y$55,0)+COUNTIF($Y$15:Y49,Y49)-1</f>
        <v>36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2</v>
      </c>
      <c r="I50" s="54"/>
      <c r="J50" s="12"/>
      <c r="K50" s="56">
        <f>IF(H50&gt;0,VLOOKUP(D50,战力表!$A$3:$F$58,6,FALSE),0)</f>
        <v>7</v>
      </c>
      <c r="L50" s="56">
        <f t="shared" si="0"/>
        <v>6</v>
      </c>
      <c r="M50" s="56">
        <f t="shared" si="1"/>
        <v>0</v>
      </c>
      <c r="N50" s="56" t="b">
        <f t="shared" si="2"/>
        <v>0</v>
      </c>
      <c r="O50" s="12"/>
      <c r="P50" s="55">
        <v>225</v>
      </c>
      <c r="Q50" s="56">
        <f t="shared" si="3"/>
        <v>13</v>
      </c>
      <c r="R50" s="56">
        <f t="shared" si="4"/>
        <v>238</v>
      </c>
      <c r="S50" s="56">
        <f t="shared" si="5"/>
        <v>3</v>
      </c>
      <c r="T50" s="56" t="str">
        <f t="shared" si="6"/>
        <v>精英</v>
      </c>
      <c r="U50" s="56">
        <f t="shared" si="9"/>
        <v>-10</v>
      </c>
      <c r="V50" s="56">
        <f t="shared" si="7"/>
        <v>228</v>
      </c>
      <c r="W50" s="12">
        <f>IF(H50=0,List!$C$5,$C$3)</f>
        <v>0</v>
      </c>
      <c r="X50" s="12"/>
      <c r="Y50" s="12">
        <f t="shared" si="8"/>
        <v>238</v>
      </c>
      <c r="Z50" s="12">
        <f>RANK(Y50,$Y$15:$Y$55,0)+COUNTIF($Y$15:Y50,Y50)-1</f>
        <v>27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0</v>
      </c>
      <c r="I51" s="54"/>
      <c r="J51" s="12"/>
      <c r="K51" s="56">
        <f>IF(H51&gt;0,VLOOKUP(D51,战力表!$A$3:$F$58,6,FALSE),0)</f>
        <v>0</v>
      </c>
      <c r="L51" s="56">
        <f t="shared" si="0"/>
        <v>0</v>
      </c>
      <c r="M51" s="56">
        <f t="shared" si="1"/>
        <v>0</v>
      </c>
      <c r="N51" s="56" t="b">
        <f t="shared" si="2"/>
        <v>0</v>
      </c>
      <c r="O51" s="12"/>
      <c r="P51" s="55">
        <v>63</v>
      </c>
      <c r="Q51" s="56">
        <f t="shared" si="3"/>
        <v>0</v>
      </c>
      <c r="R51" s="56">
        <f t="shared" si="4"/>
        <v>63</v>
      </c>
      <c r="S51" s="56" t="str">
        <f t="shared" si="5"/>
        <v/>
      </c>
      <c r="T51" s="56" t="b">
        <f t="shared" si="6"/>
        <v>0</v>
      </c>
      <c r="U51" s="56">
        <f t="shared" si="9"/>
        <v>0</v>
      </c>
      <c r="V51" s="56">
        <f t="shared" si="7"/>
        <v>63</v>
      </c>
      <c r="W51" s="12" t="str">
        <f>IF(H51=0,List!$C$5,$C$3)</f>
        <v>没有忍战，无法分包</v>
      </c>
      <c r="X51" s="12"/>
      <c r="Y51" s="12">
        <f t="shared" si="8"/>
        <v>63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2</v>
      </c>
      <c r="I52" s="54"/>
      <c r="J52" s="12"/>
      <c r="K52" s="56">
        <f>IF(H52&gt;0,VLOOKUP(D52,战力表!$A$3:$F$58,6,FALSE),0)</f>
        <v>6</v>
      </c>
      <c r="L52" s="56">
        <f t="shared" si="0"/>
        <v>6</v>
      </c>
      <c r="M52" s="56">
        <f t="shared" si="1"/>
        <v>0</v>
      </c>
      <c r="N52" s="56" t="b">
        <f t="shared" si="2"/>
        <v>0</v>
      </c>
      <c r="O52" s="12"/>
      <c r="P52" s="55">
        <v>249</v>
      </c>
      <c r="Q52" s="56">
        <f t="shared" si="3"/>
        <v>12</v>
      </c>
      <c r="R52" s="56">
        <f t="shared" si="4"/>
        <v>261</v>
      </c>
      <c r="S52" s="56">
        <f t="shared" si="5"/>
        <v>3</v>
      </c>
      <c r="T52" s="56" t="str">
        <f t="shared" si="6"/>
        <v>精英</v>
      </c>
      <c r="U52" s="56">
        <f t="shared" si="9"/>
        <v>-10</v>
      </c>
      <c r="V52" s="56">
        <f t="shared" si="7"/>
        <v>251</v>
      </c>
      <c r="W52" s="12">
        <f>IF(H52=0,List!$C$5,$C$3)</f>
        <v>0</v>
      </c>
      <c r="X52" s="12"/>
      <c r="Y52" s="12">
        <f t="shared" si="8"/>
        <v>261</v>
      </c>
      <c r="Z52" s="12">
        <f>RANK(Y52,$Y$15:$Y$55,0)+COUNTIF($Y$15:Y52,Y52)-1</f>
        <v>25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2</v>
      </c>
      <c r="I53" s="54"/>
      <c r="J53" s="12"/>
      <c r="K53" s="56">
        <f>IF(H53&gt;0,VLOOKUP(D53,战力表!$A$3:$F$58,6,FALSE),0)</f>
        <v>6</v>
      </c>
      <c r="L53" s="56">
        <f t="shared" si="0"/>
        <v>6</v>
      </c>
      <c r="M53" s="56">
        <f t="shared" si="1"/>
        <v>0</v>
      </c>
      <c r="N53" s="56" t="b">
        <f t="shared" si="2"/>
        <v>0</v>
      </c>
      <c r="O53" s="12"/>
      <c r="P53" s="55">
        <v>237</v>
      </c>
      <c r="Q53" s="56">
        <f t="shared" si="3"/>
        <v>12</v>
      </c>
      <c r="R53" s="56">
        <f t="shared" si="4"/>
        <v>249</v>
      </c>
      <c r="S53" s="56">
        <f t="shared" si="5"/>
        <v>3</v>
      </c>
      <c r="T53" s="56" t="str">
        <f t="shared" si="6"/>
        <v>精英</v>
      </c>
      <c r="U53" s="56">
        <f t="shared" si="9"/>
        <v>-10</v>
      </c>
      <c r="V53" s="56">
        <f t="shared" si="7"/>
        <v>239</v>
      </c>
      <c r="W53" s="12">
        <f>IF(H53=0,List!$C$5,$C$3)</f>
        <v>0</v>
      </c>
      <c r="X53" s="12"/>
      <c r="Y53" s="12">
        <f t="shared" si="8"/>
        <v>249</v>
      </c>
      <c r="Z53" s="12">
        <f>RANK(Y53,$Y$15:$Y$55,0)+COUNTIF($Y$15:Y53,Y53)-1</f>
        <v>26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170</v>
      </c>
      <c r="E54" s="28"/>
      <c r="F54" s="54">
        <f>INT(VLOOKUP(D54,战力表!A:B,2,)/10000)</f>
        <v>213</v>
      </c>
      <c r="G54" s="12"/>
      <c r="H54" s="55">
        <v>2</v>
      </c>
      <c r="I54" s="54"/>
      <c r="J54" s="12"/>
      <c r="K54" s="56">
        <f>IF(H54&gt;0,VLOOKUP(D54,战力表!$A$3:$F$58,6,FALSE),0)</f>
        <v>8</v>
      </c>
      <c r="L54" s="56">
        <f t="shared" si="0"/>
        <v>6</v>
      </c>
      <c r="M54" s="56">
        <f t="shared" si="1"/>
        <v>0</v>
      </c>
      <c r="N54" s="56" t="b">
        <f t="shared" si="2"/>
        <v>0</v>
      </c>
      <c r="O54" s="12"/>
      <c r="P54" s="55">
        <v>354</v>
      </c>
      <c r="Q54" s="56">
        <f t="shared" si="3"/>
        <v>14</v>
      </c>
      <c r="R54" s="56">
        <f t="shared" si="4"/>
        <v>368</v>
      </c>
      <c r="S54" s="56">
        <f t="shared" si="5"/>
        <v>2</v>
      </c>
      <c r="T54" s="56" t="str">
        <f t="shared" si="6"/>
        <v>英雄</v>
      </c>
      <c r="U54" s="56">
        <f t="shared" si="9"/>
        <v>-13</v>
      </c>
      <c r="V54" s="56">
        <f t="shared" si="7"/>
        <v>355</v>
      </c>
      <c r="W54" s="12">
        <f>IF(H54=0,List!$C$5,$C$3)</f>
        <v>0</v>
      </c>
      <c r="X54" s="12"/>
      <c r="Y54" s="12">
        <f t="shared" si="8"/>
        <v>368</v>
      </c>
      <c r="Z54" s="12">
        <f>RANK(Y54,$Y$15:$Y$55,0)+COUNTIF($Y$15:Y54,Y54)-1</f>
        <v>14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2</v>
      </c>
      <c r="I55" s="54"/>
      <c r="J55" s="12"/>
      <c r="K55" s="56">
        <f>IF(H55&gt;0,VLOOKUP(D55,战力表!$A$3:$F$58,6,FALSE),0)</f>
        <v>7</v>
      </c>
      <c r="L55" s="56">
        <f t="shared" si="0"/>
        <v>6</v>
      </c>
      <c r="M55" s="56">
        <f t="shared" si="1"/>
        <v>0</v>
      </c>
      <c r="N55" s="56" t="b">
        <f t="shared" si="2"/>
        <v>0</v>
      </c>
      <c r="O55" s="12"/>
      <c r="P55" s="55">
        <v>198</v>
      </c>
      <c r="Q55" s="56">
        <f>K55+L55+M55+N55</f>
        <v>13</v>
      </c>
      <c r="R55" s="56">
        <f t="shared" ref="R55" si="10">P55+Q55</f>
        <v>211</v>
      </c>
      <c r="S55" s="56">
        <f t="shared" ref="S55" si="11">IF(H55=0,"",IF(B55=1,3,IF(Z55&lt;$Y$2,1,IF(Z55&lt;$Y$3,2,3))))</f>
        <v>3</v>
      </c>
      <c r="T55" s="56" t="str">
        <f t="shared" ref="T55" si="12">IF(S55=$K$9,$L$9,IF(S55=$K$10,$L$10,IF(S55=$K$11,$L$11)))</f>
        <v>精英</v>
      </c>
      <c r="U55" s="56">
        <f t="shared" ref="U55" si="13">-IF(S55=$K$9,$M$9,IF(S55=$K$10,$M$10,IF(S55=$K$11,$M$11)))</f>
        <v>-10</v>
      </c>
      <c r="V55" s="56">
        <f t="shared" ref="V55" si="14">P55+Q55+U55</f>
        <v>201</v>
      </c>
      <c r="W55" s="12">
        <f>IF(H55=0,List!$C$5,$C$3)</f>
        <v>0</v>
      </c>
      <c r="X55" s="12"/>
      <c r="Y55" s="12">
        <f>P55+Q55</f>
        <v>211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91</v>
      </c>
    </row>
    <row r="5" spans="3:3" ht="14.25" customHeight="1" x14ac:dyDescent="0.3">
      <c r="C5" s="1" t="s">
        <v>92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0" workbookViewId="0">
      <selection activeCell="A14" sqref="A14:A17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24</v>
      </c>
    </row>
    <row r="2" spans="1:13" ht="14.25" customHeight="1" x14ac:dyDescent="0.3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0.16666666666666666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0.16666666666666666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0.25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0.41666666666666669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0.25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2950000</v>
      </c>
      <c r="C8" s="14">
        <f>IF(VLOOKUP(A8,组织分包!$D$15:$H$62,5,FALSE)&gt;0,1,0)</f>
        <v>1</v>
      </c>
      <c r="D8" s="14">
        <f t="shared" si="0"/>
        <v>2950000</v>
      </c>
      <c r="E8" s="14">
        <f t="shared" si="2"/>
        <v>2</v>
      </c>
      <c r="F8" s="1">
        <f t="shared" si="1"/>
        <v>10</v>
      </c>
      <c r="J8" s="15">
        <f t="shared" si="3"/>
        <v>0.16666666666666666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-0.41666666666666669</v>
      </c>
      <c r="K9" s="59">
        <v>4</v>
      </c>
      <c r="L9" s="59">
        <f>C1-SUM(L3:L8)</f>
        <v>-10</v>
      </c>
      <c r="M9" s="1">
        <f t="shared" si="4"/>
        <v>24</v>
      </c>
    </row>
    <row r="10" spans="1:13" ht="14.25" customHeight="1" x14ac:dyDescent="0.3">
      <c r="A10" s="10" t="s">
        <v>37</v>
      </c>
      <c r="B10" s="2">
        <v>2860000</v>
      </c>
      <c r="C10" s="14">
        <f>IF(VLOOKUP(A10,组织分包!$D$15:$H$62,5,FALSE)&gt;0,1,0)</f>
        <v>1</v>
      </c>
      <c r="D10" s="14">
        <f t="shared" si="0"/>
        <v>2860000</v>
      </c>
      <c r="E10" s="14">
        <f t="shared" si="2"/>
        <v>3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2810000</v>
      </c>
      <c r="C12" s="14">
        <f>IF(VLOOKUP(A12,组织分包!$D$15:$H$62,5,FALSE)&gt;0,1,0)</f>
        <v>1</v>
      </c>
      <c r="D12" s="14">
        <f t="shared" si="0"/>
        <v>2810000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2720000</v>
      </c>
      <c r="C13" s="14">
        <f>IF(VLOOKUP(A13,组织分包!$D$15:$H$62,5,FALSE)&gt;0,1,0)</f>
        <v>1</v>
      </c>
      <c r="D13" s="14">
        <f t="shared" si="0"/>
        <v>2720000</v>
      </c>
      <c r="E13" s="14">
        <f t="shared" si="2"/>
        <v>6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2830000</v>
      </c>
      <c r="C14" s="14">
        <f>IF(VLOOKUP(A14,组织分包!$D$15:$H$62,5,FALSE)&gt;0,1,0)</f>
        <v>1</v>
      </c>
      <c r="D14" s="14">
        <f t="shared" si="0"/>
        <v>2830000</v>
      </c>
      <c r="E14" s="14">
        <f t="shared" si="2"/>
        <v>4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2710000</v>
      </c>
      <c r="C15" s="14">
        <f>IF(VLOOKUP(A15,组织分包!$D$15:$H$62,5,FALSE)&gt;0,1,0)</f>
        <v>1</v>
      </c>
      <c r="D15" s="14">
        <f t="shared" si="0"/>
        <v>2710000</v>
      </c>
      <c r="E15" s="14">
        <f t="shared" si="2"/>
        <v>7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2680000</v>
      </c>
      <c r="C16" s="14">
        <f>IF(VLOOKUP(A16,组织分包!$D$15:$H$62,5,FALSE)&gt;0,1,0)</f>
        <v>1</v>
      </c>
      <c r="D16" s="14">
        <f t="shared" si="0"/>
        <v>2680000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2580000</v>
      </c>
      <c r="C18" s="14">
        <f>IF(VLOOKUP(A18,组织分包!$D$15:$H$62,5,FALSE)&gt;0,1,0)</f>
        <v>1</v>
      </c>
      <c r="D18" s="14">
        <f t="shared" si="0"/>
        <v>2580000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2370000</v>
      </c>
      <c r="C19" s="14">
        <f>IF(VLOOKUP(A19,组织分包!$D$15:$H$62,5,FALSE)&gt;0,1,0)</f>
        <v>1</v>
      </c>
      <c r="D19" s="14">
        <f t="shared" si="0"/>
        <v>2370000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2300000</v>
      </c>
      <c r="C21" s="14">
        <f>IF(VLOOKUP(A21,组织分包!$D$15:$H$62,5,FALSE)&gt;0,1,0)</f>
        <v>1</v>
      </c>
      <c r="D21" s="14">
        <f t="shared" si="0"/>
        <v>2300000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2000000</v>
      </c>
      <c r="C24" s="14">
        <f>IF(VLOOKUP(A24,组织分包!$D$15:$H$62,5,FALSE)&gt;0,1,0)</f>
        <v>1</v>
      </c>
      <c r="D24" s="14">
        <f t="shared" si="0"/>
        <v>2000000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175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24</v>
      </c>
      <c r="F27" s="1">
        <f t="shared" si="1"/>
        <v>7</v>
      </c>
    </row>
    <row r="28" spans="1:10" ht="14.25" customHeight="1" x14ac:dyDescent="0.3">
      <c r="A28" s="60" t="s">
        <v>174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23</v>
      </c>
      <c r="F28" s="1">
        <f t="shared" si="1"/>
        <v>7</v>
      </c>
    </row>
    <row r="29" spans="1:10" ht="14.25" customHeight="1" x14ac:dyDescent="0.3">
      <c r="A29" s="10" t="s">
        <v>57</v>
      </c>
      <c r="B29" s="17">
        <v>1760000</v>
      </c>
      <c r="C29" s="14">
        <f>IF(VLOOKUP(A29,组织分包!$D$15:$H$62,5,FALSE)&gt;0,1,0)</f>
        <v>1</v>
      </c>
      <c r="D29" s="14">
        <f t="shared" si="0"/>
        <v>1760000</v>
      </c>
      <c r="E29" s="14">
        <f t="shared" si="2"/>
        <v>14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74" t="s">
        <v>173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22</v>
      </c>
      <c r="F33" s="1">
        <f t="shared" si="1"/>
        <v>7</v>
      </c>
    </row>
    <row r="34" spans="1:6" ht="13.5" customHeight="1" x14ac:dyDescent="0.3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1190000</v>
      </c>
      <c r="C35" s="14">
        <f>IF(VLOOKUP(A35,组织分包!$D$15:$H$62,5,FALSE)&gt;0,1,0)</f>
        <v>1</v>
      </c>
      <c r="D35" s="14">
        <f t="shared" si="0"/>
        <v>1190000</v>
      </c>
      <c r="E35" s="14">
        <f t="shared" si="2"/>
        <v>16</v>
      </c>
      <c r="F35" s="1">
        <f t="shared" si="1"/>
        <v>7</v>
      </c>
    </row>
    <row r="36" spans="1:6" ht="14.25" customHeight="1" x14ac:dyDescent="0.3">
      <c r="A36" s="26" t="s">
        <v>147</v>
      </c>
      <c r="B36" s="17">
        <v>1110000</v>
      </c>
      <c r="C36" s="14">
        <f>IF(VLOOKUP(A36,组织分包!$D$15:$H$62,5,FALSE)&gt;0,1,0)</f>
        <v>1</v>
      </c>
      <c r="D36" s="14">
        <f t="shared" si="0"/>
        <v>1110000</v>
      </c>
      <c r="E36" s="14">
        <f t="shared" si="2"/>
        <v>17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20</v>
      </c>
      <c r="F37" s="1">
        <f t="shared" si="1"/>
        <v>7</v>
      </c>
    </row>
    <row r="38" spans="1:6" ht="14.25" customHeight="1" x14ac:dyDescent="0.3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19</v>
      </c>
      <c r="F38" s="1">
        <f t="shared" si="1"/>
        <v>7</v>
      </c>
    </row>
    <row r="39" spans="1:6" ht="14.25" customHeight="1" x14ac:dyDescent="0.3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21</v>
      </c>
      <c r="F39" s="1">
        <f t="shared" si="1"/>
        <v>7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25</v>
      </c>
      <c r="F40" s="1">
        <f t="shared" si="1"/>
        <v>6</v>
      </c>
    </row>
    <row r="41" spans="1:6" ht="14.25" customHeight="1" x14ac:dyDescent="0.3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26</v>
      </c>
      <c r="F41" s="1">
        <f t="shared" si="1"/>
        <v>6</v>
      </c>
    </row>
    <row r="42" spans="1:6" ht="14.25" customHeight="1" x14ac:dyDescent="0.3">
      <c r="A42" s="44" t="s">
        <v>170</v>
      </c>
      <c r="B42" s="17">
        <v>2130000</v>
      </c>
      <c r="C42" s="14">
        <f>IF(VLOOKUP(A42,组织分包!$D$15:$H$62,5,FALSE)&gt;0,1,0)</f>
        <v>1</v>
      </c>
      <c r="D42" s="14">
        <f t="shared" si="0"/>
        <v>2130000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2" t="s">
        <v>171</v>
      </c>
      <c r="B43" s="73">
        <v>840000</v>
      </c>
      <c r="C43" s="14">
        <f>IF(VLOOKUP(A43,组织分包!$D$15:$H$62,5,FALSE)&gt;0,1,0)</f>
        <v>1</v>
      </c>
      <c r="D43" s="14">
        <f t="shared" si="0"/>
        <v>840000</v>
      </c>
      <c r="E43" s="14">
        <f t="shared" si="2"/>
        <v>18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66</v>
      </c>
      <c r="B45" s="17"/>
    </row>
    <row r="46" spans="1:6" ht="14.25" customHeight="1" x14ac:dyDescent="0.3">
      <c r="A46" s="10" t="s">
        <v>87</v>
      </c>
      <c r="B46" s="2"/>
    </row>
    <row r="47" spans="1:6" ht="14.25" customHeight="1" x14ac:dyDescent="0.3">
      <c r="A47" s="10" t="s">
        <v>88</v>
      </c>
      <c r="B47" s="17"/>
    </row>
    <row r="48" spans="1:6" ht="14.25" customHeight="1" x14ac:dyDescent="0.3">
      <c r="A48" s="13" t="s">
        <v>86</v>
      </c>
      <c r="B48" s="17"/>
    </row>
    <row r="49" spans="1:6" ht="14.25" customHeight="1" x14ac:dyDescent="0.3">
      <c r="A49" s="10" t="s">
        <v>96</v>
      </c>
      <c r="B49" s="2">
        <v>1066676</v>
      </c>
    </row>
    <row r="50" spans="1:6" ht="14.25" customHeight="1" x14ac:dyDescent="0.3">
      <c r="A50" s="10" t="s">
        <v>75</v>
      </c>
      <c r="B50" s="2">
        <v>1027326</v>
      </c>
    </row>
    <row r="51" spans="1:6" ht="14.25" customHeight="1" x14ac:dyDescent="0.3">
      <c r="A51" s="10" t="s">
        <v>71</v>
      </c>
      <c r="B51" s="2">
        <v>1005928</v>
      </c>
    </row>
    <row r="52" spans="1:6" ht="14.25" customHeight="1" x14ac:dyDescent="0.3">
      <c r="A52" s="10" t="s">
        <v>97</v>
      </c>
      <c r="B52" s="2">
        <v>618320</v>
      </c>
    </row>
    <row r="53" spans="1:6" ht="14.25" customHeight="1" x14ac:dyDescent="0.3">
      <c r="A53" s="10" t="s">
        <v>98</v>
      </c>
      <c r="B53" s="2">
        <v>608160</v>
      </c>
    </row>
    <row r="54" spans="1:6" ht="14.25" customHeight="1" x14ac:dyDescent="0.3">
      <c r="A54" s="10" t="s">
        <v>99</v>
      </c>
      <c r="B54" s="2">
        <v>604504</v>
      </c>
    </row>
    <row r="55" spans="1:6" ht="14.25" customHeight="1" x14ac:dyDescent="0.3">
      <c r="A55" s="10" t="s">
        <v>73</v>
      </c>
      <c r="B55" s="2">
        <v>869720</v>
      </c>
    </row>
    <row r="56" spans="1:6" ht="14.25" customHeight="1" x14ac:dyDescent="0.3">
      <c r="A56" s="13" t="s">
        <v>79</v>
      </c>
      <c r="B56" s="2">
        <v>858119</v>
      </c>
    </row>
    <row r="57" spans="1:6" ht="14.25" customHeight="1" x14ac:dyDescent="0.3">
      <c r="A57" s="10" t="s">
        <v>74</v>
      </c>
      <c r="B57" s="2">
        <v>855959</v>
      </c>
    </row>
    <row r="58" spans="1:6" ht="14.25" customHeight="1" x14ac:dyDescent="0.3">
      <c r="A58" s="10" t="s">
        <v>76</v>
      </c>
      <c r="B58" s="17">
        <v>803274</v>
      </c>
    </row>
    <row r="59" spans="1:6" ht="14.25" customHeight="1" x14ac:dyDescent="0.3">
      <c r="A59" s="13" t="s">
        <v>100</v>
      </c>
      <c r="B59" s="17">
        <v>740352</v>
      </c>
    </row>
    <row r="60" spans="1:6" ht="14.25" customHeight="1" x14ac:dyDescent="0.3">
      <c r="A60" s="10" t="s">
        <v>68</v>
      </c>
      <c r="B60" s="2">
        <v>1114334</v>
      </c>
    </row>
    <row r="61" spans="1:6" ht="14.25" customHeight="1" x14ac:dyDescent="0.3">
      <c r="A61" s="10" t="s">
        <v>78</v>
      </c>
      <c r="B61" s="17"/>
    </row>
    <row r="62" spans="1:6" ht="14.25" customHeight="1" x14ac:dyDescent="0.3">
      <c r="A62" s="10" t="s">
        <v>85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101</v>
      </c>
    </row>
    <row r="3" spans="3:14" ht="14.25" customHeight="1" x14ac:dyDescent="0.3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5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111</v>
      </c>
    </row>
    <row r="20" spans="2:3" ht="14.25" customHeight="1" x14ac:dyDescent="0.3">
      <c r="B20" s="1">
        <v>1</v>
      </c>
      <c r="C20" s="1" t="s">
        <v>112</v>
      </c>
    </row>
    <row r="21" spans="2:3" ht="14.25" customHeight="1" x14ac:dyDescent="0.3">
      <c r="B21" s="1">
        <v>2</v>
      </c>
      <c r="C21" s="1" t="s">
        <v>113</v>
      </c>
    </row>
    <row r="22" spans="2:3" ht="14.25" customHeight="1" x14ac:dyDescent="0.3">
      <c r="B22" s="1">
        <v>3</v>
      </c>
      <c r="C22" s="1" t="s">
        <v>114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115</v>
      </c>
    </row>
    <row r="26" spans="2:3" ht="14.25" customHeight="1" x14ac:dyDescent="0.3">
      <c r="C26" s="1" t="s">
        <v>116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3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3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3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3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90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2023-03-26T06:21:06Z</dcterms:modified>
</cp:coreProperties>
</file>