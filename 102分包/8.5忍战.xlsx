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443F226E-61EA-42A5-8E08-93878932347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<sst xmlns="http://schemas.openxmlformats.org/spreadsheetml/2006/main" count="364" uniqueCount="177">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</sst>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0" zoomScale="95" zoomScaleNormal="95" workbookViewId="0">
      <selection activeCell="T48" sqref="T48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54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7</v>
      </c>
      <c r="F9" s="2">
        <v>30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8</v>
      </c>
      <c r="F10" s="2">
        <v>5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439</v>
      </c>
      <c r="Q17" s="56">
        <f t="shared" si="3"/>
        <v>16</v>
      </c>
      <c r="R17" s="56">
        <f t="shared" si="4"/>
        <v>455</v>
      </c>
      <c r="S17" s="56">
        <f t="shared" si="5"/>
        <v>1</v>
      </c>
      <c r="T17" s="56" t="str">
        <f t="shared" si="8"/>
        <v>传说</v>
      </c>
      <c r="U17" s="56">
        <f t="shared" si="9"/>
        <v>-15</v>
      </c>
      <c r="V17" s="56">
        <f t="shared" si="6"/>
        <v>440</v>
      </c>
      <c r="W17" s="12">
        <f>IF(H17=0,List!$C$5,$C$3)</f>
        <v>0</v>
      </c>
      <c r="X17" s="12"/>
      <c r="Y17" s="12">
        <f t="shared" si="7"/>
        <v>455</v>
      </c>
      <c r="Z17" s="12">
        <f>RANK(Y17,$Y$15:$Y$55,0)+COUNTIF($Y$15:Y17,Y17)-1</f>
        <v>7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3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437</v>
      </c>
      <c r="Q20" s="56">
        <f t="shared" si="3"/>
        <v>16</v>
      </c>
      <c r="R20" s="56">
        <f t="shared" si="4"/>
        <v>453</v>
      </c>
      <c r="S20" s="56">
        <f t="shared" si="5"/>
        <v>2</v>
      </c>
      <c r="T20" s="56" t="str">
        <f t="shared" si="8"/>
        <v>英雄</v>
      </c>
      <c r="U20" s="56">
        <f t="shared" si="9"/>
        <v>-9</v>
      </c>
      <c r="V20" s="56">
        <f t="shared" si="6"/>
        <v>444</v>
      </c>
      <c r="W20" s="12">
        <f>IF(H20=0,List!$C$5,$C$3)</f>
        <v>0</v>
      </c>
      <c r="X20" s="12"/>
      <c r="Y20" s="12">
        <f t="shared" si="7"/>
        <v>453</v>
      </c>
      <c r="Z20" s="12">
        <f>RANK(Y20,$Y$15:$Y$55,0)+COUNTIF($Y$15:Y20,Y20)-1</f>
        <v>11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437</v>
      </c>
      <c r="Q22" s="56">
        <f t="shared" si="3"/>
        <v>21</v>
      </c>
      <c r="R22" s="56">
        <f t="shared" si="4"/>
        <v>458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443</v>
      </c>
      <c r="W22" s="12">
        <f>IF(H22=0,List!$C$5,$C$3)</f>
        <v>0</v>
      </c>
      <c r="X22" s="12"/>
      <c r="Y22" s="12">
        <f t="shared" si="7"/>
        <v>458</v>
      </c>
      <c r="Z22" s="12">
        <f>RANK(Y22,$Y$15:$Y$55,0)+COUNTIF($Y$15:Y22,Y22)-1</f>
        <v>4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23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4</v>
      </c>
      <c r="I24" s="54"/>
      <c r="J24" s="12"/>
      <c r="K24" s="56">
        <f>IF(H24&gt;0,VLOOKUP(D24,战力表!$A$3:$F$58,6,FALSE),0)</f>
        <v>9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436</v>
      </c>
      <c r="Q24" s="56">
        <f t="shared" si="3"/>
        <v>20</v>
      </c>
      <c r="R24" s="56">
        <f t="shared" si="4"/>
        <v>456</v>
      </c>
      <c r="S24" s="56">
        <f t="shared" si="5"/>
        <v>1</v>
      </c>
      <c r="T24" s="56" t="str">
        <f t="shared" si="8"/>
        <v>传说</v>
      </c>
      <c r="U24" s="56">
        <f t="shared" si="9"/>
        <v>-15</v>
      </c>
      <c r="V24" s="56">
        <f t="shared" si="6"/>
        <v>441</v>
      </c>
      <c r="W24" s="12">
        <f>IF(H24=0,List!$C$5,$C$3)</f>
        <v>0</v>
      </c>
      <c r="X24" s="12"/>
      <c r="Y24" s="12">
        <f t="shared" si="7"/>
        <v>456</v>
      </c>
      <c r="Z24" s="12">
        <f>RANK(Y24,$Y$15:$Y$55,0)+COUNTIF($Y$15:Y24,Y24)-1</f>
        <v>5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435</v>
      </c>
      <c r="Q25" s="56">
        <f t="shared" si="3"/>
        <v>20</v>
      </c>
      <c r="R25" s="56">
        <f t="shared" si="4"/>
        <v>455</v>
      </c>
      <c r="S25" s="56">
        <f t="shared" si="5"/>
        <v>2</v>
      </c>
      <c r="T25" s="56" t="str">
        <f t="shared" si="8"/>
        <v>英雄</v>
      </c>
      <c r="U25" s="56">
        <f t="shared" si="9"/>
        <v>-9</v>
      </c>
      <c r="V25" s="56">
        <f t="shared" si="6"/>
        <v>446</v>
      </c>
      <c r="W25" s="12">
        <f>IF(H25=0,List!$C$5,$C$3)</f>
        <v>0</v>
      </c>
      <c r="X25" s="12"/>
      <c r="Y25" s="12">
        <f t="shared" si="7"/>
        <v>455</v>
      </c>
      <c r="Z25" s="12">
        <f>RANK(Y25,$Y$15:$Y$55,0)+COUNTIF($Y$15:Y25,Y25)-1</f>
        <v>8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441</v>
      </c>
      <c r="Q26" s="56">
        <f t="shared" si="3"/>
        <v>21</v>
      </c>
      <c r="R26" s="56">
        <f t="shared" si="4"/>
        <v>462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447</v>
      </c>
      <c r="W26" s="12">
        <f>IF(H26=0,List!$C$5,$C$3)</f>
        <v>0</v>
      </c>
      <c r="X26" s="12"/>
      <c r="Y26" s="12">
        <f t="shared" si="7"/>
        <v>462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6</v>
      </c>
      <c r="M27" s="56">
        <f t="shared" si="1"/>
        <v>0</v>
      </c>
      <c r="N27" s="56" t="b">
        <f t="shared" si="2"/>
        <v>0</v>
      </c>
      <c r="O27" s="12"/>
      <c r="P27" s="55">
        <v>436</v>
      </c>
      <c r="Q27" s="56">
        <f t="shared" si="3"/>
        <v>15</v>
      </c>
      <c r="R27" s="56">
        <f t="shared" si="4"/>
        <v>451</v>
      </c>
      <c r="S27" s="56">
        <f t="shared" si="5"/>
        <v>2</v>
      </c>
      <c r="T27" s="56" t="str">
        <f t="shared" si="8"/>
        <v>英雄</v>
      </c>
      <c r="U27" s="56">
        <f t="shared" si="9"/>
        <v>-9</v>
      </c>
      <c r="V27" s="56">
        <f t="shared" si="6"/>
        <v>442</v>
      </c>
      <c r="W27" s="12">
        <f>IF(H27=0,List!$C$5,$C$3)</f>
        <v>0</v>
      </c>
      <c r="X27" s="12"/>
      <c r="Y27" s="12">
        <f t="shared" si="7"/>
        <v>451</v>
      </c>
      <c r="Z27" s="12">
        <f>RANK(Y27,$Y$15:$Y$55,0)+COUNTIF($Y$15:Y27,Y27)-1</f>
        <v>13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439</v>
      </c>
      <c r="Q28" s="56">
        <f t="shared" si="3"/>
        <v>20</v>
      </c>
      <c r="R28" s="56">
        <f t="shared" si="4"/>
        <v>459</v>
      </c>
      <c r="S28" s="56">
        <f t="shared" si="5"/>
        <v>1</v>
      </c>
      <c r="T28" s="56" t="str">
        <f t="shared" si="8"/>
        <v>传说</v>
      </c>
      <c r="U28" s="56">
        <f t="shared" si="9"/>
        <v>-15</v>
      </c>
      <c r="V28" s="56">
        <f t="shared" si="6"/>
        <v>444</v>
      </c>
      <c r="W28" s="12">
        <f>IF(H28=0,List!$C$5,$C$3)</f>
        <v>0</v>
      </c>
      <c r="X28" s="12"/>
      <c r="Y28" s="12">
        <f t="shared" si="7"/>
        <v>459</v>
      </c>
      <c r="Z28" s="12">
        <f>RANK(Y28,$Y$15:$Y$55,0)+COUNTIF($Y$15:Y28,Y28)-1</f>
        <v>3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437</v>
      </c>
      <c r="Q30" s="56">
        <f t="shared" si="3"/>
        <v>19</v>
      </c>
      <c r="R30" s="56">
        <f t="shared" si="4"/>
        <v>456</v>
      </c>
      <c r="S30" s="56">
        <f t="shared" si="5"/>
        <v>1</v>
      </c>
      <c r="T30" s="56" t="str">
        <f t="shared" si="8"/>
        <v>传说</v>
      </c>
      <c r="U30" s="56">
        <f t="shared" si="9"/>
        <v>-15</v>
      </c>
      <c r="V30" s="56">
        <f t="shared" si="6"/>
        <v>441</v>
      </c>
      <c r="W30" s="12">
        <f>IF(H30=0,List!$C$5,$C$3)</f>
        <v>0</v>
      </c>
      <c r="X30" s="12"/>
      <c r="Y30" s="12">
        <f t="shared" si="7"/>
        <v>456</v>
      </c>
      <c r="Z30" s="12">
        <f>RANK(Y30,$Y$15:$Y$55,0)+COUNTIF($Y$15:Y30,Y30)-1</f>
        <v>6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433</v>
      </c>
      <c r="Q31" s="56">
        <f t="shared" si="3"/>
        <v>19</v>
      </c>
      <c r="R31" s="56">
        <f t="shared" si="4"/>
        <v>452</v>
      </c>
      <c r="S31" s="56">
        <f t="shared" si="5"/>
        <v>2</v>
      </c>
      <c r="T31" s="56" t="str">
        <f t="shared" si="8"/>
        <v>英雄</v>
      </c>
      <c r="U31" s="56">
        <f t="shared" si="9"/>
        <v>-9</v>
      </c>
      <c r="V31" s="56">
        <f t="shared" si="6"/>
        <v>443</v>
      </c>
      <c r="W31" s="12">
        <f>IF(H31=0,List!$C$5,$C$3)</f>
        <v>0</v>
      </c>
      <c r="X31" s="12"/>
      <c r="Y31" s="12">
        <f t="shared" si="7"/>
        <v>452</v>
      </c>
      <c r="Z31" s="12">
        <f>RANK(Y31,$Y$15:$Y$55,0)+COUNTIF($Y$15:Y31,Y31)-1</f>
        <v>12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24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436</v>
      </c>
      <c r="Q33" s="56">
        <f t="shared" si="3"/>
        <v>19</v>
      </c>
      <c r="R33" s="56">
        <f t="shared" si="4"/>
        <v>455</v>
      </c>
      <c r="S33" s="56">
        <f t="shared" si="5"/>
        <v>2</v>
      </c>
      <c r="T33" s="56" t="str">
        <f t="shared" si="8"/>
        <v>英雄</v>
      </c>
      <c r="U33" s="56">
        <f t="shared" si="9"/>
        <v>-9</v>
      </c>
      <c r="V33" s="56">
        <f t="shared" si="6"/>
        <v>446</v>
      </c>
      <c r="W33" s="12">
        <f>IF(H33=0,List!$C$5,$C$3)</f>
        <v>0</v>
      </c>
      <c r="X33" s="12"/>
      <c r="Y33" s="12">
        <f t="shared" si="7"/>
        <v>455</v>
      </c>
      <c r="Z33" s="12">
        <f>RANK(Y33,$Y$15:$Y$55,0)+COUNTIF($Y$15:Y33,Y33)-1</f>
        <v>9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4</v>
      </c>
      <c r="M36" s="56">
        <f t="shared" si="1"/>
        <v>0</v>
      </c>
      <c r="N36" s="56" t="b">
        <f t="shared" si="2"/>
        <v>0</v>
      </c>
      <c r="O36" s="12"/>
      <c r="P36" s="55">
        <v>434</v>
      </c>
      <c r="Q36" s="56">
        <f t="shared" si="3"/>
        <v>12</v>
      </c>
      <c r="R36" s="56">
        <f t="shared" si="4"/>
        <v>446</v>
      </c>
      <c r="S36" s="56">
        <f t="shared" si="5"/>
        <v>3</v>
      </c>
      <c r="T36" s="56" t="str">
        <f t="shared" si="8"/>
        <v>精英</v>
      </c>
      <c r="U36" s="56">
        <f t="shared" si="9"/>
        <v>-5</v>
      </c>
      <c r="V36" s="56">
        <f t="shared" si="6"/>
        <v>441</v>
      </c>
      <c r="W36" s="12">
        <f>IF(H36=0,List!$C$5,$C$3)</f>
        <v>0</v>
      </c>
      <c r="X36" s="12"/>
      <c r="Y36" s="12">
        <f t="shared" si="7"/>
        <v>446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4</v>
      </c>
      <c r="I39" s="54"/>
      <c r="J39" s="12"/>
      <c r="K39" s="56">
        <f>IF(H39&gt;0,VLOOKUP(D39,战力表!$A$3:$F$58,6,FALSE),0)</f>
        <v>7</v>
      </c>
      <c r="L39" s="56">
        <f t="shared" si="0"/>
        <v>8</v>
      </c>
      <c r="M39" s="56">
        <f t="shared" si="1"/>
        <v>3</v>
      </c>
      <c r="N39" s="56" t="b">
        <f t="shared" si="2"/>
        <v>0</v>
      </c>
      <c r="O39" s="12"/>
      <c r="P39" s="55">
        <v>298</v>
      </c>
      <c r="Q39" s="56">
        <f t="shared" si="3"/>
        <v>18</v>
      </c>
      <c r="R39" s="56">
        <f t="shared" si="4"/>
        <v>316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311</v>
      </c>
      <c r="W39" s="12">
        <f>IF(H39=0,List!$C$5,$C$3)</f>
        <v>0</v>
      </c>
      <c r="X39" s="12"/>
      <c r="Y39" s="12">
        <f t="shared" si="7"/>
        <v>316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4</v>
      </c>
      <c r="I40" s="54"/>
      <c r="J40" s="12"/>
      <c r="K40" s="56">
        <f>IF(H40&gt;0,VLOOKUP(D40,战力表!$A$3:$F$58,6,FALSE),0)</f>
        <v>7</v>
      </c>
      <c r="L40" s="56">
        <f t="shared" si="0"/>
        <v>8</v>
      </c>
      <c r="M40" s="56">
        <f t="shared" si="1"/>
        <v>3</v>
      </c>
      <c r="N40" s="56" t="b">
        <f t="shared" si="2"/>
        <v>0</v>
      </c>
      <c r="O40" s="12"/>
      <c r="P40" s="55">
        <v>295</v>
      </c>
      <c r="Q40" s="56">
        <f t="shared" si="3"/>
        <v>18</v>
      </c>
      <c r="R40" s="56">
        <f t="shared" si="4"/>
        <v>313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308</v>
      </c>
      <c r="W40" s="12">
        <f>IF(H40=0,List!$C$5,$C$3)</f>
        <v>0</v>
      </c>
      <c r="X40" s="12"/>
      <c r="Y40" s="12">
        <f t="shared" si="7"/>
        <v>313</v>
      </c>
      <c r="Z40" s="12">
        <f>RANK(Y40,$Y$15:$Y$55,0)+COUNTIF($Y$15:Y40,Y40)-1</f>
        <v>22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440</v>
      </c>
      <c r="Q41" s="56">
        <f t="shared" si="3"/>
        <v>14</v>
      </c>
      <c r="R41" s="56">
        <f t="shared" si="4"/>
        <v>454</v>
      </c>
      <c r="S41" s="56">
        <f t="shared" si="5"/>
        <v>2</v>
      </c>
      <c r="T41" s="56" t="str">
        <f t="shared" si="8"/>
        <v>英雄</v>
      </c>
      <c r="U41" s="56">
        <f t="shared" si="9"/>
        <v>-9</v>
      </c>
      <c r="V41" s="56">
        <f t="shared" si="6"/>
        <v>445</v>
      </c>
      <c r="W41" s="12">
        <f>IF(H41=0,List!$C$5,$C$3)</f>
        <v>0</v>
      </c>
      <c r="X41" s="12"/>
      <c r="Y41" s="12">
        <f t="shared" si="7"/>
        <v>454</v>
      </c>
      <c r="Z41" s="12">
        <f>RANK(Y41,$Y$15:$Y$55,0)+COUNTIF($Y$15:Y41,Y41)-1</f>
        <v>10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431</v>
      </c>
      <c r="Q42" s="56">
        <f t="shared" si="3"/>
        <v>13</v>
      </c>
      <c r="R42" s="56">
        <f t="shared" si="4"/>
        <v>444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439</v>
      </c>
      <c r="W42" s="12">
        <f>IF(H42=0,List!$C$5,$C$3)</f>
        <v>0</v>
      </c>
      <c r="X42" s="12"/>
      <c r="Y42" s="12">
        <f t="shared" si="7"/>
        <v>444</v>
      </c>
      <c r="Z42" s="12">
        <f>RANK(Y42,$Y$15:$Y$55,0)+COUNTIF($Y$15:Y42,Y42)-1</f>
        <v>17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4</v>
      </c>
      <c r="I45" s="54"/>
      <c r="J45" s="12"/>
      <c r="K45" s="56">
        <f>IF(H45&gt;0,VLOOKUP(D45,战力表!$A$3:$F$58,6,FALSE),0)</f>
        <v>7</v>
      </c>
      <c r="L45" s="56">
        <f t="shared" si="0"/>
        <v>8</v>
      </c>
      <c r="M45" s="56">
        <f t="shared" si="1"/>
        <v>3</v>
      </c>
      <c r="N45" s="56" t="b">
        <f t="shared" si="2"/>
        <v>0</v>
      </c>
      <c r="O45" s="12"/>
      <c r="P45" s="55">
        <v>302</v>
      </c>
      <c r="Q45" s="56">
        <f t="shared" si="3"/>
        <v>18</v>
      </c>
      <c r="R45" s="56">
        <f t="shared" si="4"/>
        <v>320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315</v>
      </c>
      <c r="W45" s="12">
        <f>IF(H45=0,List!$C$5,$C$3)</f>
        <v>0</v>
      </c>
      <c r="X45" s="12"/>
      <c r="Y45" s="12">
        <f t="shared" si="7"/>
        <v>320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435</v>
      </c>
      <c r="Q47" s="56">
        <f t="shared" si="3"/>
        <v>13</v>
      </c>
      <c r="R47" s="56">
        <f t="shared" si="4"/>
        <v>448</v>
      </c>
      <c r="S47" s="56">
        <f t="shared" si="5"/>
        <v>3</v>
      </c>
      <c r="T47" s="56" t="str">
        <f t="shared" si="8"/>
        <v>精英</v>
      </c>
      <c r="U47" s="56">
        <f t="shared" si="9"/>
        <v>-5</v>
      </c>
      <c r="V47" s="56">
        <f t="shared" si="6"/>
        <v>443</v>
      </c>
      <c r="W47" s="12">
        <f>IF(H47=0,List!$C$5,$C$3)</f>
        <v>0</v>
      </c>
      <c r="X47" s="12"/>
      <c r="Y47" s="12">
        <f t="shared" si="7"/>
        <v>448</v>
      </c>
      <c r="Z47" s="12">
        <f>RANK(Y47,$Y$15:$Y$55,0)+COUNTIF($Y$15:Y47,Y47)-1</f>
        <v>15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433</v>
      </c>
      <c r="Q48" s="56">
        <f t="shared" si="3"/>
        <v>18</v>
      </c>
      <c r="R48" s="56">
        <f t="shared" si="4"/>
        <v>451</v>
      </c>
      <c r="S48" s="56">
        <f t="shared" si="5"/>
        <v>2</v>
      </c>
      <c r="T48" s="56" t="str">
        <f t="shared" si="8"/>
        <v>英雄</v>
      </c>
      <c r="U48" s="56">
        <f t="shared" si="9"/>
        <v>-9</v>
      </c>
      <c r="V48" s="56">
        <f t="shared" si="6"/>
        <v>442</v>
      </c>
      <c r="W48" s="12">
        <f>IF(H48=0,List!$C$5,$C$3)</f>
        <v>0</v>
      </c>
      <c r="X48" s="12"/>
      <c r="Y48" s="12">
        <f t="shared" si="7"/>
        <v>451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4</v>
      </c>
      <c r="I51" s="54"/>
      <c r="J51" s="12"/>
      <c r="K51" s="56">
        <f>IF(H51&gt;0,VLOOKUP(D51,战力表!$A$3:$F$58,6,FALSE),0)</f>
        <v>7</v>
      </c>
      <c r="L51" s="56">
        <f t="shared" si="0"/>
        <v>8</v>
      </c>
      <c r="M51" s="56">
        <f t="shared" si="1"/>
        <v>3</v>
      </c>
      <c r="N51" s="56" t="b">
        <f t="shared" si="2"/>
        <v>0</v>
      </c>
      <c r="O51" s="12"/>
      <c r="P51" s="55">
        <v>131</v>
      </c>
      <c r="Q51" s="56">
        <f t="shared" si="3"/>
        <v>18</v>
      </c>
      <c r="R51" s="56">
        <f t="shared" si="4"/>
        <v>149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144</v>
      </c>
      <c r="W51" s="12">
        <f>IF(H51=0,List!$C$5,$C$3)</f>
        <v>0</v>
      </c>
      <c r="X51" s="12"/>
      <c r="Y51" s="12">
        <f t="shared" si="7"/>
        <v>149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424</v>
      </c>
      <c r="Q52" s="56">
        <f t="shared" si="3"/>
        <v>18</v>
      </c>
      <c r="R52" s="56">
        <f t="shared" si="4"/>
        <v>442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437</v>
      </c>
      <c r="W52" s="12">
        <f>IF(H52=0,List!$C$5,$C$3)</f>
        <v>0</v>
      </c>
      <c r="X52" s="12"/>
      <c r="Y52" s="12">
        <f t="shared" si="7"/>
        <v>442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415</v>
      </c>
      <c r="Q53" s="56">
        <f t="shared" si="3"/>
        <v>18</v>
      </c>
      <c r="R53" s="56">
        <f t="shared" si="4"/>
        <v>433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428</v>
      </c>
      <c r="W53" s="12">
        <f>IF(H53=0,List!$C$5,$C$3)</f>
        <v>0</v>
      </c>
      <c r="X53" s="12"/>
      <c r="Y53" s="12">
        <f t="shared" si="7"/>
        <v>433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442</v>
      </c>
      <c r="Q54" s="56">
        <f t="shared" si="3"/>
        <v>19</v>
      </c>
      <c r="R54" s="56">
        <f t="shared" si="4"/>
        <v>461</v>
      </c>
      <c r="S54" s="56">
        <f t="shared" si="5"/>
        <v>1</v>
      </c>
      <c r="T54" s="56" t="str">
        <f t="shared" si="8"/>
        <v>传说</v>
      </c>
      <c r="U54" s="56">
        <f t="shared" si="9"/>
        <v>-15</v>
      </c>
      <c r="V54" s="56">
        <f t="shared" si="6"/>
        <v>446</v>
      </c>
      <c r="W54" s="12">
        <f>IF(H54=0,List!$C$5,$C$3)</f>
        <v>0</v>
      </c>
      <c r="X54" s="12"/>
      <c r="Y54" s="12">
        <f t="shared" si="7"/>
        <v>461</v>
      </c>
      <c r="Z54" s="12">
        <f>RANK(Y54,$Y$15:$Y$55,0)+COUNTIF($Y$15:Y54,Y54)-1</f>
        <v>2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2023-08-09T17:27:05Z</dcterms:modified>
</cp:coreProperties>
</file>