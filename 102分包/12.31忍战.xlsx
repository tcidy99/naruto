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1BB5E27-C1F0-4D5A-A435-A1D997930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<sst xmlns="http://schemas.openxmlformats.org/spreadsheetml/2006/main" count="364" uniqueCount="175">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</sst>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2580000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5" zoomScale="95" zoomScaleNormal="95" workbookViewId="0">
      <selection activeCell="F37" sqref="F3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28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154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91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21</v>
      </c>
      <c r="AA4" s="40">
        <f>M11*N11</f>
        <v>60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12</v>
      </c>
      <c r="F9" s="2">
        <v>25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12</v>
      </c>
      <c r="F10" s="2">
        <v>31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295</v>
      </c>
      <c r="Q17" s="57">
        <f t="shared" si="3"/>
        <v>23</v>
      </c>
      <c r="R17" s="57">
        <f t="shared" si="4"/>
        <v>318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296</v>
      </c>
      <c r="W17" s="12">
        <f>IF(H17=0,List!$C$5,$C$3)</f>
        <v>0</v>
      </c>
      <c r="X17" s="12"/>
      <c r="Y17" s="12">
        <f t="shared" si="8"/>
        <v>318</v>
      </c>
      <c r="Z17" s="12">
        <f>RANK(Y17,$Y$15:$Y$55,0)+COUNTIF($Y$15:Y17,Y17)-1</f>
        <v>7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2</v>
      </c>
      <c r="I20" s="55"/>
      <c r="J20" s="12"/>
      <c r="K20" s="57">
        <f>IF(H20&gt;0,VLOOKUP(D20,战力表!$A$3:$F$58,6,FALSE),0)</f>
        <v>10</v>
      </c>
      <c r="L20" s="57">
        <f t="shared" si="0"/>
        <v>6</v>
      </c>
      <c r="M20" s="57">
        <f t="shared" si="1"/>
        <v>0</v>
      </c>
      <c r="N20" s="57" t="b">
        <f t="shared" si="2"/>
        <v>0</v>
      </c>
      <c r="O20" s="12"/>
      <c r="P20" s="56">
        <v>274</v>
      </c>
      <c r="Q20" s="57">
        <f t="shared" si="3"/>
        <v>16</v>
      </c>
      <c r="R20" s="57">
        <f t="shared" si="4"/>
        <v>290</v>
      </c>
      <c r="S20" s="57">
        <f t="shared" si="5"/>
        <v>3</v>
      </c>
      <c r="T20" s="57" t="str">
        <f t="shared" si="6"/>
        <v>精英</v>
      </c>
      <c r="U20" s="57">
        <f t="shared" si="9"/>
        <v>-10</v>
      </c>
      <c r="V20" s="57">
        <f t="shared" si="7"/>
        <v>280</v>
      </c>
      <c r="W20" s="12">
        <f>IF(H20=0,List!$C$5,$C$3)</f>
        <v>0</v>
      </c>
      <c r="X20" s="12"/>
      <c r="Y20" s="12">
        <f t="shared" si="8"/>
        <v>290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10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297</v>
      </c>
      <c r="Q22" s="57">
        <f t="shared" si="3"/>
        <v>23</v>
      </c>
      <c r="R22" s="57">
        <f t="shared" si="4"/>
        <v>320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298</v>
      </c>
      <c r="W22" s="12">
        <f>IF(H22=0,List!$C$5,$C$3)</f>
        <v>0</v>
      </c>
      <c r="X22" s="12"/>
      <c r="Y22" s="12">
        <f t="shared" si="8"/>
        <v>320</v>
      </c>
      <c r="Z22" s="12">
        <f>RANK(Y22,$Y$15:$Y$55,0)+COUNTIF($Y$15:Y22,Y22)-1</f>
        <v>2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289</v>
      </c>
      <c r="Q23" s="57">
        <f t="shared" si="3"/>
        <v>15</v>
      </c>
      <c r="R23" s="57">
        <f t="shared" si="4"/>
        <v>304</v>
      </c>
      <c r="S23" s="57">
        <f t="shared" si="5"/>
        <v>3</v>
      </c>
      <c r="T23" s="57" t="str">
        <f t="shared" si="6"/>
        <v>精英</v>
      </c>
      <c r="U23" s="57">
        <f t="shared" si="9"/>
        <v>-10</v>
      </c>
      <c r="V23" s="57">
        <f t="shared" si="7"/>
        <v>294</v>
      </c>
      <c r="W23" s="12">
        <f>IF(H23=0,List!$C$5,$C$3)</f>
        <v>0</v>
      </c>
      <c r="X23" s="12"/>
      <c r="Y23" s="12">
        <f t="shared" si="8"/>
        <v>304</v>
      </c>
      <c r="Z23" s="12">
        <f>RANK(Y23,$Y$15:$Y$55,0)+COUNTIF($Y$15:Y23,Y23)-1</f>
        <v>16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9</v>
      </c>
      <c r="M24" s="57">
        <f t="shared" si="1"/>
        <v>4</v>
      </c>
      <c r="N24" s="57" t="b">
        <f t="shared" si="2"/>
        <v>0</v>
      </c>
      <c r="O24" s="12"/>
      <c r="P24" s="56">
        <v>299</v>
      </c>
      <c r="Q24" s="57">
        <f t="shared" si="3"/>
        <v>22</v>
      </c>
      <c r="R24" s="57">
        <f t="shared" si="4"/>
        <v>321</v>
      </c>
      <c r="S24" s="57">
        <f t="shared" si="5"/>
        <v>1</v>
      </c>
      <c r="T24" s="57" t="str">
        <f t="shared" si="6"/>
        <v>传说</v>
      </c>
      <c r="U24" s="57">
        <f t="shared" si="9"/>
        <v>-22</v>
      </c>
      <c r="V24" s="57">
        <f t="shared" si="7"/>
        <v>299</v>
      </c>
      <c r="W24" s="12">
        <f>IF(H24=0,List!$C$5,$C$3)</f>
        <v>0</v>
      </c>
      <c r="X24" s="12"/>
      <c r="Y24" s="12">
        <f t="shared" si="8"/>
        <v>321</v>
      </c>
      <c r="Z24" s="12">
        <f>RANK(Y24,$Y$15:$Y$55,0)+COUNTIF($Y$15:Y24,Y24)-1</f>
        <v>1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9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291</v>
      </c>
      <c r="Q25" s="57">
        <f t="shared" si="3"/>
        <v>22</v>
      </c>
      <c r="R25" s="57">
        <f t="shared" si="4"/>
        <v>313</v>
      </c>
      <c r="S25" s="57">
        <f t="shared" si="5"/>
        <v>2</v>
      </c>
      <c r="T25" s="57" t="str">
        <f t="shared" si="6"/>
        <v>英雄</v>
      </c>
      <c r="U25" s="57">
        <f t="shared" si="9"/>
        <v>-13</v>
      </c>
      <c r="V25" s="57">
        <f t="shared" si="7"/>
        <v>300</v>
      </c>
      <c r="W25" s="12">
        <f>IF(H25=0,List!$C$5,$C$3)</f>
        <v>0</v>
      </c>
      <c r="X25" s="12"/>
      <c r="Y25" s="12">
        <f t="shared" si="8"/>
        <v>313</v>
      </c>
      <c r="Z25" s="12">
        <f>RANK(Y25,$Y$15:$Y$55,0)+COUNTIF($Y$15:Y25,Y25)-1</f>
        <v>13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10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292</v>
      </c>
      <c r="Q26" s="57">
        <f t="shared" si="3"/>
        <v>23</v>
      </c>
      <c r="R26" s="57">
        <f t="shared" si="4"/>
        <v>315</v>
      </c>
      <c r="S26" s="57">
        <f t="shared" si="5"/>
        <v>2</v>
      </c>
      <c r="T26" s="57" t="str">
        <f t="shared" si="6"/>
        <v>英雄</v>
      </c>
      <c r="U26" s="57">
        <f t="shared" si="9"/>
        <v>-13</v>
      </c>
      <c r="V26" s="57">
        <f t="shared" si="7"/>
        <v>302</v>
      </c>
      <c r="W26" s="12">
        <f>IF(H26=0,List!$C$5,$C$3)</f>
        <v>0</v>
      </c>
      <c r="X26" s="12"/>
      <c r="Y26" s="12">
        <f t="shared" si="8"/>
        <v>315</v>
      </c>
      <c r="Z26" s="12">
        <f>RANK(Y26,$Y$15:$Y$55,0)+COUNTIF($Y$15:Y26,Y26)-1</f>
        <v>10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9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292</v>
      </c>
      <c r="Q27" s="57">
        <f t="shared" si="3"/>
        <v>22</v>
      </c>
      <c r="R27" s="57">
        <f t="shared" si="4"/>
        <v>314</v>
      </c>
      <c r="S27" s="57">
        <f t="shared" si="5"/>
        <v>2</v>
      </c>
      <c r="T27" s="57" t="str">
        <f t="shared" si="6"/>
        <v>英雄</v>
      </c>
      <c r="U27" s="57">
        <f t="shared" si="9"/>
        <v>-13</v>
      </c>
      <c r="V27" s="57">
        <f t="shared" si="7"/>
        <v>301</v>
      </c>
      <c r="W27" s="12">
        <f>IF(H27=0,List!$C$5,$C$3)</f>
        <v>0</v>
      </c>
      <c r="X27" s="12"/>
      <c r="Y27" s="12">
        <f t="shared" si="8"/>
        <v>314</v>
      </c>
      <c r="Z27" s="12">
        <f>RANK(Y27,$Y$15:$Y$55,0)+COUNTIF($Y$15:Y27,Y27)-1</f>
        <v>11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299</v>
      </c>
      <c r="Q28" s="57">
        <f t="shared" si="3"/>
        <v>21</v>
      </c>
      <c r="R28" s="57">
        <f t="shared" si="4"/>
        <v>320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298</v>
      </c>
      <c r="W28" s="12">
        <f>IF(H28=0,List!$C$5,$C$3)</f>
        <v>0</v>
      </c>
      <c r="X28" s="12"/>
      <c r="Y28" s="12">
        <f t="shared" si="8"/>
        <v>320</v>
      </c>
      <c r="Z28" s="12">
        <f>RANK(Y28,$Y$15:$Y$55,0)+COUNTIF($Y$15:Y28,Y28)-1</f>
        <v>3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2</v>
      </c>
      <c r="I30" s="55"/>
      <c r="J30" s="12"/>
      <c r="K30" s="57">
        <f>IF(H30&gt;0,VLOOKUP(D30,战力表!$A$3:$F$58,6,FALSE),0)</f>
        <v>8</v>
      </c>
      <c r="L30" s="57">
        <f t="shared" si="0"/>
        <v>6</v>
      </c>
      <c r="M30" s="57">
        <f t="shared" si="1"/>
        <v>0</v>
      </c>
      <c r="N30" s="57" t="b">
        <f t="shared" si="2"/>
        <v>0</v>
      </c>
      <c r="O30" s="12"/>
      <c r="P30" s="56">
        <v>297</v>
      </c>
      <c r="Q30" s="57">
        <f t="shared" si="3"/>
        <v>14</v>
      </c>
      <c r="R30" s="57">
        <f t="shared" si="4"/>
        <v>311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298</v>
      </c>
      <c r="W30" s="12">
        <f>IF(H30=0,List!$C$5,$C$3)</f>
        <v>0</v>
      </c>
      <c r="X30" s="12"/>
      <c r="Y30" s="12">
        <f t="shared" si="8"/>
        <v>311</v>
      </c>
      <c r="Z30" s="12">
        <f>RANK(Y30,$Y$15:$Y$55,0)+COUNTIF($Y$15:Y30,Y30)-1</f>
        <v>14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298</v>
      </c>
      <c r="Q31" s="57">
        <f t="shared" si="3"/>
        <v>21</v>
      </c>
      <c r="R31" s="57">
        <f t="shared" si="4"/>
        <v>319</v>
      </c>
      <c r="S31" s="57">
        <f t="shared" si="5"/>
        <v>1</v>
      </c>
      <c r="T31" s="57" t="str">
        <f t="shared" si="6"/>
        <v>传说</v>
      </c>
      <c r="U31" s="57">
        <f t="shared" si="9"/>
        <v>-22</v>
      </c>
      <c r="V31" s="57">
        <f t="shared" si="7"/>
        <v>297</v>
      </c>
      <c r="W31" s="12">
        <f>IF(H31=0,List!$C$5,$C$3)</f>
        <v>0</v>
      </c>
      <c r="X31" s="12"/>
      <c r="Y31" s="12">
        <f t="shared" si="8"/>
        <v>319</v>
      </c>
      <c r="Z31" s="12">
        <f>RANK(Y31,$Y$15:$Y$55,0)+COUNTIF($Y$15:Y31,Y31)-1</f>
        <v>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17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8</v>
      </c>
      <c r="L33" s="57">
        <f t="shared" si="0"/>
        <v>9</v>
      </c>
      <c r="M33" s="57">
        <f t="shared" si="1"/>
        <v>4</v>
      </c>
      <c r="N33" s="57" t="b">
        <f t="shared" si="2"/>
        <v>0</v>
      </c>
      <c r="O33" s="12"/>
      <c r="P33" s="56">
        <v>298</v>
      </c>
      <c r="Q33" s="57">
        <f t="shared" si="3"/>
        <v>21</v>
      </c>
      <c r="R33" s="57">
        <f t="shared" si="4"/>
        <v>319</v>
      </c>
      <c r="S33" s="57">
        <f t="shared" si="5"/>
        <v>1</v>
      </c>
      <c r="T33" s="57" t="str">
        <f t="shared" si="6"/>
        <v>传说</v>
      </c>
      <c r="U33" s="57">
        <f t="shared" si="9"/>
        <v>-22</v>
      </c>
      <c r="V33" s="57">
        <f t="shared" si="7"/>
        <v>297</v>
      </c>
      <c r="W33" s="12">
        <f>IF(H33=0,List!$C$5,$C$3)</f>
        <v>0</v>
      </c>
      <c r="X33" s="12"/>
      <c r="Y33" s="12">
        <f t="shared" si="8"/>
        <v>319</v>
      </c>
      <c r="Z33" s="12">
        <f>RANK(Y33,$Y$15:$Y$55,0)+COUNTIF($Y$15:Y33,Y33)-1</f>
        <v>6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8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295</v>
      </c>
      <c r="Q36" s="57">
        <f t="shared" si="3"/>
        <v>21</v>
      </c>
      <c r="R36" s="57">
        <f t="shared" si="4"/>
        <v>316</v>
      </c>
      <c r="S36" s="57">
        <f t="shared" si="5"/>
        <v>2</v>
      </c>
      <c r="T36" s="57" t="str">
        <f t="shared" si="6"/>
        <v>英雄</v>
      </c>
      <c r="U36" s="57">
        <f t="shared" si="9"/>
        <v>-13</v>
      </c>
      <c r="V36" s="57">
        <f t="shared" si="7"/>
        <v>303</v>
      </c>
      <c r="W36" s="12">
        <f>IF(H36=0,List!$C$5,$C$3)</f>
        <v>0</v>
      </c>
      <c r="X36" s="12"/>
      <c r="Y36" s="12">
        <f t="shared" si="8"/>
        <v>316</v>
      </c>
      <c r="Z36" s="12">
        <f>RANK(Y36,$Y$15:$Y$55,0)+COUNTIF($Y$15:Y36,Y36)-1</f>
        <v>9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9</v>
      </c>
      <c r="M41" s="57">
        <f t="shared" si="1"/>
        <v>4</v>
      </c>
      <c r="N41" s="57" t="b">
        <f t="shared" si="2"/>
        <v>0</v>
      </c>
      <c r="O41" s="12"/>
      <c r="P41" s="56">
        <v>287</v>
      </c>
      <c r="Q41" s="57">
        <f t="shared" si="3"/>
        <v>20</v>
      </c>
      <c r="R41" s="57">
        <f t="shared" si="4"/>
        <v>307</v>
      </c>
      <c r="S41" s="57">
        <f t="shared" si="5"/>
        <v>3</v>
      </c>
      <c r="T41" s="57" t="str">
        <f t="shared" si="6"/>
        <v>精英</v>
      </c>
      <c r="U41" s="57">
        <f t="shared" si="9"/>
        <v>-10</v>
      </c>
      <c r="V41" s="57">
        <f t="shared" si="7"/>
        <v>297</v>
      </c>
      <c r="W41" s="12">
        <f>IF(H41=0,List!$C$5,$C$3)</f>
        <v>0</v>
      </c>
      <c r="X41" s="12"/>
      <c r="Y41" s="12">
        <f t="shared" si="8"/>
        <v>307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2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280</v>
      </c>
      <c r="Q42" s="57">
        <f t="shared" si="3"/>
        <v>13</v>
      </c>
      <c r="R42" s="57">
        <f t="shared" si="4"/>
        <v>293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283</v>
      </c>
      <c r="W42" s="12">
        <f>IF(H42=0,List!$C$5,$C$3)</f>
        <v>0</v>
      </c>
      <c r="X42" s="12"/>
      <c r="Y42" s="12">
        <f t="shared" si="8"/>
        <v>293</v>
      </c>
      <c r="Z42" s="12">
        <f>RANK(Y42,$Y$15:$Y$55,0)+COUNTIF($Y$15:Y42,Y42)-1</f>
        <v>18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36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34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298</v>
      </c>
      <c r="Q47" s="57">
        <f t="shared" si="3"/>
        <v>20</v>
      </c>
      <c r="R47" s="57">
        <f t="shared" si="4"/>
        <v>318</v>
      </c>
      <c r="S47" s="57">
        <f t="shared" si="5"/>
        <v>2</v>
      </c>
      <c r="T47" s="57" t="str">
        <f t="shared" si="6"/>
        <v>英雄</v>
      </c>
      <c r="U47" s="57">
        <f t="shared" si="9"/>
        <v>-13</v>
      </c>
      <c r="V47" s="57">
        <f t="shared" si="7"/>
        <v>305</v>
      </c>
      <c r="W47" s="12">
        <f>IF(H47=0,List!$C$5,$C$3)</f>
        <v>0</v>
      </c>
      <c r="X47" s="12"/>
      <c r="Y47" s="12">
        <f t="shared" si="8"/>
        <v>318</v>
      </c>
      <c r="Z47" s="12">
        <f>RANK(Y47,$Y$15:$Y$55,0)+COUNTIF($Y$15:Y47,Y47)-1</f>
        <v>8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294</v>
      </c>
      <c r="Q48" s="57">
        <f t="shared" si="3"/>
        <v>20</v>
      </c>
      <c r="R48" s="57">
        <f t="shared" si="4"/>
        <v>314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301</v>
      </c>
      <c r="W48" s="12">
        <f>IF(H48=0,List!$C$5,$C$3)</f>
        <v>0</v>
      </c>
      <c r="X48" s="12"/>
      <c r="Y48" s="12">
        <f t="shared" si="8"/>
        <v>314</v>
      </c>
      <c r="Z48" s="12">
        <f>RANK(Y48,$Y$15:$Y$55,0)+COUNTIF($Y$15:Y48,Y48)-1</f>
        <v>12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9</v>
      </c>
      <c r="M49" s="57">
        <f t="shared" si="1"/>
        <v>4</v>
      </c>
      <c r="N49" s="57" t="b">
        <f t="shared" si="2"/>
        <v>0</v>
      </c>
      <c r="O49" s="12"/>
      <c r="P49" s="56">
        <v>82</v>
      </c>
      <c r="Q49" s="57">
        <f t="shared" si="3"/>
        <v>20</v>
      </c>
      <c r="R49" s="57">
        <f t="shared" si="4"/>
        <v>102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92</v>
      </c>
      <c r="W49" s="12">
        <f>IF(H49=0,List!$C$5,$C$3)</f>
        <v>0</v>
      </c>
      <c r="X49" s="12"/>
      <c r="Y49" s="12">
        <f t="shared" si="8"/>
        <v>102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0</v>
      </c>
      <c r="I52" s="55"/>
      <c r="J52" s="12"/>
      <c r="K52" s="57">
        <f>IF(H52&gt;0,VLOOKUP(D52,战力表!$A$3:$F$58,6,FALSE),0)</f>
        <v>0</v>
      </c>
      <c r="L52" s="57">
        <f t="shared" si="0"/>
        <v>0</v>
      </c>
      <c r="M52" s="57">
        <f t="shared" si="1"/>
        <v>0</v>
      </c>
      <c r="N52" s="57" t="b">
        <f t="shared" si="2"/>
        <v>0</v>
      </c>
      <c r="O52" s="12"/>
      <c r="P52" s="56">
        <v>168</v>
      </c>
      <c r="Q52" s="57">
        <f t="shared" si="3"/>
        <v>0</v>
      </c>
      <c r="R52" s="57">
        <f t="shared" si="4"/>
        <v>168</v>
      </c>
      <c r="S52" s="57" t="str">
        <f t="shared" si="5"/>
        <v/>
      </c>
      <c r="T52" s="57" t="b">
        <f t="shared" si="6"/>
        <v>0</v>
      </c>
      <c r="U52" s="57">
        <f t="shared" si="9"/>
        <v>0</v>
      </c>
      <c r="V52" s="57">
        <f t="shared" si="7"/>
        <v>168</v>
      </c>
      <c r="W52" s="12" t="str">
        <f>IF(H52=0,List!$C$5,$C$3)</f>
        <v>没有忍战，无法分包</v>
      </c>
      <c r="X52" s="12"/>
      <c r="Y52" s="12">
        <f t="shared" si="8"/>
        <v>168</v>
      </c>
      <c r="Z52" s="12">
        <f>RANK(Y52,$Y$15:$Y$55,0)+COUNTIF($Y$15:Y52,Y52)-1</f>
        <v>32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0</v>
      </c>
      <c r="I53" s="55"/>
      <c r="J53" s="12"/>
      <c r="K53" s="57">
        <f>IF(H53&gt;0,VLOOKUP(D53,战力表!$A$3:$F$58,6,FALSE),0)</f>
        <v>0</v>
      </c>
      <c r="L53" s="57">
        <f t="shared" si="0"/>
        <v>0</v>
      </c>
      <c r="M53" s="57">
        <f t="shared" si="1"/>
        <v>0</v>
      </c>
      <c r="N53" s="57" t="b">
        <f t="shared" si="2"/>
        <v>0</v>
      </c>
      <c r="O53" s="12"/>
      <c r="P53" s="56">
        <v>156</v>
      </c>
      <c r="Q53" s="57">
        <f t="shared" si="3"/>
        <v>0</v>
      </c>
      <c r="R53" s="57">
        <f t="shared" si="4"/>
        <v>156</v>
      </c>
      <c r="S53" s="57" t="str">
        <f t="shared" si="5"/>
        <v/>
      </c>
      <c r="T53" s="57" t="b">
        <f t="shared" si="6"/>
        <v>0</v>
      </c>
      <c r="U53" s="57">
        <f t="shared" si="9"/>
        <v>0</v>
      </c>
      <c r="V53" s="57">
        <f t="shared" si="7"/>
        <v>156</v>
      </c>
      <c r="W53" s="12" t="str">
        <f>IF(H53=0,List!$C$5,$C$3)</f>
        <v>没有忍战，无法分包</v>
      </c>
      <c r="X53" s="12"/>
      <c r="Y53" s="12">
        <f t="shared" si="8"/>
        <v>156</v>
      </c>
      <c r="Z53" s="12">
        <f>RANK(Y53,$Y$15:$Y$55,0)+COUNTIF($Y$15:Y53,Y53)-1</f>
        <v>33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299</v>
      </c>
      <c r="Q54" s="57">
        <f t="shared" si="3"/>
        <v>21</v>
      </c>
      <c r="R54" s="57">
        <f t="shared" si="4"/>
        <v>320</v>
      </c>
      <c r="S54" s="57">
        <f t="shared" si="5"/>
        <v>1</v>
      </c>
      <c r="T54" s="57" t="str">
        <f t="shared" si="6"/>
        <v>传说</v>
      </c>
      <c r="U54" s="57">
        <f t="shared" si="9"/>
        <v>-22</v>
      </c>
      <c r="V54" s="57">
        <f t="shared" si="7"/>
        <v>298</v>
      </c>
      <c r="W54" s="12">
        <f>IF(H54=0,List!$C$5,$C$3)</f>
        <v>0</v>
      </c>
      <c r="X54" s="12"/>
      <c r="Y54" s="12">
        <f t="shared" si="8"/>
        <v>320</v>
      </c>
      <c r="Z54" s="12">
        <f>RANK(Y54,$Y$15:$Y$55,0)+COUNTIF($Y$15:Y54,Y54)-1</f>
        <v>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1</v>
      </c>
      <c r="I55" s="55"/>
      <c r="J55" s="12"/>
      <c r="K55" s="57">
        <f>IF(H55&gt;0,VLOOKUP(D55,战力表!$A$3:$F$58,6,FALSE),0)</f>
        <v>7</v>
      </c>
      <c r="L55" s="57">
        <f t="shared" si="0"/>
        <v>3</v>
      </c>
      <c r="M55" s="57">
        <f t="shared" si="1"/>
        <v>0</v>
      </c>
      <c r="N55" s="57" t="b">
        <f t="shared" si="2"/>
        <v>0</v>
      </c>
      <c r="O55" s="12"/>
      <c r="P55" s="56">
        <v>114</v>
      </c>
      <c r="Q55" s="57">
        <f>K55+L55+M55+N55</f>
        <v>10</v>
      </c>
      <c r="R55" s="57">
        <f t="shared" ref="R55" si="10">P55+Q55</f>
        <v>124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-10</v>
      </c>
      <c r="V55" s="57">
        <f t="shared" ref="V55" si="14">P55+Q55+U55</f>
        <v>114</v>
      </c>
      <c r="W55" s="12">
        <f>IF(H55=0,List!$C$5,$C$3)</f>
        <v>0</v>
      </c>
      <c r="X55" s="12"/>
      <c r="Y55" s="12">
        <f>P55+Q55</f>
        <v>124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B15" sqref="B15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18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0.22222222222222221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0.22222222222222221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0.33333333333333331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0.55555555555555558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0.33333333333333331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2</v>
      </c>
      <c r="F8" s="1">
        <f t="shared" si="1"/>
        <v>10</v>
      </c>
      <c r="J8" s="15">
        <f t="shared" si="3"/>
        <v>0.22222222222222221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-0.88888888888888884</v>
      </c>
      <c r="K9" s="60">
        <v>4</v>
      </c>
      <c r="L9" s="60">
        <f>C1-SUM(L3:L8)</f>
        <v>-16</v>
      </c>
      <c r="M9" s="1">
        <f t="shared" si="4"/>
        <v>18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4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6</v>
      </c>
      <c r="F11" s="1">
        <f t="shared" si="1"/>
        <v>9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7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2580000</v>
      </c>
      <c r="C14" s="14">
        <f>IF(VLOOKUP(A14,组织分包!$D$15:$H$62,5,FALSE)&gt;0,1,0)</f>
        <v>1</v>
      </c>
      <c r="D14" s="14">
        <f t="shared" si="0"/>
        <v>2580000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8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9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10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11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12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14</v>
      </c>
      <c r="F24" s="1">
        <f t="shared" si="1"/>
        <v>8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15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16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0</v>
      </c>
      <c r="D40" s="14" t="b">
        <f t="shared" si="0"/>
        <v>0</v>
      </c>
      <c r="E40" s="14" t="e">
        <f t="shared" si="2"/>
        <v>#N/A</v>
      </c>
      <c r="F40" s="1" t="str">
        <f t="shared" si="1"/>
        <v/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0</v>
      </c>
      <c r="D41" s="14" t="b">
        <f t="shared" si="0"/>
        <v>0</v>
      </c>
      <c r="E41" s="14" t="e">
        <f t="shared" si="2"/>
        <v>#N/A</v>
      </c>
      <c r="F41" s="1" t="str">
        <f t="shared" si="1"/>
        <v/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13</v>
      </c>
      <c r="F42" s="1">
        <f t="shared" si="1"/>
        <v>8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2023-01-03T03:37:40Z</dcterms:modified>
</cp:coreProperties>
</file>