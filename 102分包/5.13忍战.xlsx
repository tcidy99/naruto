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B9BE3711-F0C6-491B-B0FC-8FD305CC96A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<sst xmlns="http://schemas.openxmlformats.org/spreadsheetml/2006/main" count="364" uniqueCount="177">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</sst>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D48" sqref="D48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44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40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4</v>
      </c>
      <c r="F9" s="2">
        <v>7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5</v>
      </c>
      <c r="F10" s="2">
        <v>13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8</v>
      </c>
      <c r="O11" s="40">
        <f>COUNTIF($S$15:$S$271,3)</f>
        <v>8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387</v>
      </c>
      <c r="Q17" s="56">
        <f t="shared" si="3"/>
        <v>21</v>
      </c>
      <c r="R17" s="56">
        <f t="shared" si="4"/>
        <v>408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393</v>
      </c>
      <c r="W17" s="12">
        <f>IF(H17=0,List!$C$5,$C$3)</f>
        <v>0</v>
      </c>
      <c r="X17" s="12"/>
      <c r="Y17" s="12">
        <f t="shared" si="7"/>
        <v>408</v>
      </c>
      <c r="Z17" s="12">
        <f>RANK(Y17,$Y$15:$Y$55,0)+COUNTIF($Y$15:Y17,Y17)-1</f>
        <v>1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24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352</v>
      </c>
      <c r="Q20" s="56">
        <f t="shared" si="3"/>
        <v>0</v>
      </c>
      <c r="R20" s="56">
        <f t="shared" si="4"/>
        <v>352</v>
      </c>
      <c r="S20" s="56" t="str">
        <f t="shared" si="5"/>
        <v/>
      </c>
      <c r="T20" s="56" t="b">
        <f t="shared" si="8"/>
        <v>0</v>
      </c>
      <c r="U20" s="56">
        <f t="shared" si="9"/>
        <v>0</v>
      </c>
      <c r="V20" s="56">
        <f t="shared" si="6"/>
        <v>352</v>
      </c>
      <c r="W20" s="12" t="str">
        <f>IF(H20=0,List!$C$5,$C$3)</f>
        <v>没有忍战，无法分包</v>
      </c>
      <c r="X20" s="12"/>
      <c r="Y20" s="12">
        <f t="shared" si="7"/>
        <v>352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384</v>
      </c>
      <c r="Q22" s="56">
        <f t="shared" si="3"/>
        <v>16</v>
      </c>
      <c r="R22" s="56">
        <f t="shared" si="4"/>
        <v>400</v>
      </c>
      <c r="S22" s="56">
        <f t="shared" si="5"/>
        <v>2</v>
      </c>
      <c r="T22" s="56" t="str">
        <f t="shared" si="8"/>
        <v>英雄</v>
      </c>
      <c r="U22" s="56">
        <f t="shared" si="9"/>
        <v>-9</v>
      </c>
      <c r="V22" s="56">
        <f t="shared" si="6"/>
        <v>391</v>
      </c>
      <c r="W22" s="12">
        <f>IF(H22=0,List!$C$5,$C$3)</f>
        <v>0</v>
      </c>
      <c r="X22" s="12"/>
      <c r="Y22" s="12">
        <f t="shared" si="7"/>
        <v>400</v>
      </c>
      <c r="Z22" s="12">
        <f>RANK(Y22,$Y$15:$Y$55,0)+COUNTIF($Y$15:Y22,Y22)-1</f>
        <v>12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4</v>
      </c>
      <c r="I24" s="54"/>
      <c r="J24" s="12"/>
      <c r="K24" s="56">
        <f>IF(H24&gt;0,VLOOKUP(D24,战力表!$A$3:$F$58,6,FALSE),0)</f>
        <v>10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387</v>
      </c>
      <c r="Q24" s="56">
        <f t="shared" si="3"/>
        <v>21</v>
      </c>
      <c r="R24" s="56">
        <f t="shared" si="4"/>
        <v>408</v>
      </c>
      <c r="S24" s="56">
        <f t="shared" si="5"/>
        <v>1</v>
      </c>
      <c r="T24" s="56" t="str">
        <f t="shared" si="8"/>
        <v>传说</v>
      </c>
      <c r="U24" s="56">
        <f t="shared" si="9"/>
        <v>-15</v>
      </c>
      <c r="V24" s="56">
        <f t="shared" si="6"/>
        <v>393</v>
      </c>
      <c r="W24" s="12">
        <f>IF(H24=0,List!$C$5,$C$3)</f>
        <v>0</v>
      </c>
      <c r="X24" s="12"/>
      <c r="Y24" s="12">
        <f t="shared" si="7"/>
        <v>408</v>
      </c>
      <c r="Z24" s="12">
        <f>RANK(Y24,$Y$15:$Y$55,0)+COUNTIF($Y$15:Y24,Y24)-1</f>
        <v>2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386</v>
      </c>
      <c r="Q25" s="56">
        <f t="shared" si="3"/>
        <v>20</v>
      </c>
      <c r="R25" s="56">
        <f t="shared" si="4"/>
        <v>406</v>
      </c>
      <c r="S25" s="56">
        <f t="shared" si="5"/>
        <v>1</v>
      </c>
      <c r="T25" s="56" t="str">
        <f t="shared" si="8"/>
        <v>传说</v>
      </c>
      <c r="U25" s="56">
        <f t="shared" si="9"/>
        <v>-15</v>
      </c>
      <c r="V25" s="56">
        <f t="shared" si="6"/>
        <v>391</v>
      </c>
      <c r="W25" s="12">
        <f>IF(H25=0,List!$C$5,$C$3)</f>
        <v>0</v>
      </c>
      <c r="X25" s="12"/>
      <c r="Y25" s="12">
        <f t="shared" si="7"/>
        <v>406</v>
      </c>
      <c r="Z25" s="12">
        <f>RANK(Y25,$Y$15:$Y$55,0)+COUNTIF($Y$15:Y25,Y25)-1</f>
        <v>3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384</v>
      </c>
      <c r="Q26" s="56">
        <f t="shared" si="3"/>
        <v>21</v>
      </c>
      <c r="R26" s="56">
        <f t="shared" si="4"/>
        <v>405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390</v>
      </c>
      <c r="W26" s="12">
        <f>IF(H26=0,List!$C$5,$C$3)</f>
        <v>0</v>
      </c>
      <c r="X26" s="12"/>
      <c r="Y26" s="12">
        <f t="shared" si="7"/>
        <v>405</v>
      </c>
      <c r="Z26" s="12">
        <f>RANK(Y26,$Y$15:$Y$55,0)+COUNTIF($Y$15:Y26,Y26)-1</f>
        <v>4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1</v>
      </c>
      <c r="I27" s="54"/>
      <c r="J27" s="12"/>
      <c r="K27" s="56">
        <f>IF(H27&gt;0,VLOOKUP(D27,战力表!$A$3:$F$58,6,FALSE),0)</f>
        <v>9</v>
      </c>
      <c r="L27" s="56">
        <f t="shared" si="0"/>
        <v>2</v>
      </c>
      <c r="M27" s="56">
        <f t="shared" si="1"/>
        <v>0</v>
      </c>
      <c r="N27" s="56" t="b">
        <f t="shared" si="2"/>
        <v>0</v>
      </c>
      <c r="O27" s="12"/>
      <c r="P27" s="55">
        <v>387</v>
      </c>
      <c r="Q27" s="56">
        <f t="shared" si="3"/>
        <v>11</v>
      </c>
      <c r="R27" s="56">
        <f t="shared" si="4"/>
        <v>398</v>
      </c>
      <c r="S27" s="56">
        <f t="shared" si="5"/>
        <v>2</v>
      </c>
      <c r="T27" s="56" t="str">
        <f t="shared" si="8"/>
        <v>英雄</v>
      </c>
      <c r="U27" s="56">
        <f t="shared" si="9"/>
        <v>-9</v>
      </c>
      <c r="V27" s="56">
        <f t="shared" si="6"/>
        <v>389</v>
      </c>
      <c r="W27" s="12">
        <f>IF(H27=0,List!$C$5,$C$3)</f>
        <v>0</v>
      </c>
      <c r="X27" s="12"/>
      <c r="Y27" s="12">
        <f t="shared" si="7"/>
        <v>398</v>
      </c>
      <c r="Z27" s="12">
        <f>RANK(Y27,$Y$15:$Y$55,0)+COUNTIF($Y$15:Y27,Y27)-1</f>
        <v>13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382</v>
      </c>
      <c r="Q28" s="56">
        <f t="shared" si="3"/>
        <v>20</v>
      </c>
      <c r="R28" s="56">
        <f t="shared" si="4"/>
        <v>402</v>
      </c>
      <c r="S28" s="56">
        <f t="shared" si="5"/>
        <v>2</v>
      </c>
      <c r="T28" s="56" t="str">
        <f t="shared" si="8"/>
        <v>英雄</v>
      </c>
      <c r="U28" s="56">
        <f t="shared" si="9"/>
        <v>-9</v>
      </c>
      <c r="V28" s="56">
        <f t="shared" si="6"/>
        <v>393</v>
      </c>
      <c r="W28" s="12">
        <f>IF(H28=0,List!$C$5,$C$3)</f>
        <v>0</v>
      </c>
      <c r="X28" s="12"/>
      <c r="Y28" s="12">
        <f t="shared" si="7"/>
        <v>402</v>
      </c>
      <c r="Z28" s="12">
        <f>RANK(Y28,$Y$15:$Y$55,0)+COUNTIF($Y$15:Y28,Y28)-1</f>
        <v>8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4</v>
      </c>
      <c r="I30" s="54"/>
      <c r="J30" s="12"/>
      <c r="K30" s="56">
        <f>IF(H30&gt;0,VLOOKUP(D30,战力表!$A$3:$F$58,6,FALSE),0)</f>
        <v>9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384</v>
      </c>
      <c r="Q30" s="56">
        <f t="shared" si="3"/>
        <v>20</v>
      </c>
      <c r="R30" s="56">
        <f t="shared" si="4"/>
        <v>404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389</v>
      </c>
      <c r="W30" s="12">
        <f>IF(H30=0,List!$C$5,$C$3)</f>
        <v>0</v>
      </c>
      <c r="X30" s="12"/>
      <c r="Y30" s="12">
        <f t="shared" si="7"/>
        <v>404</v>
      </c>
      <c r="Z30" s="12">
        <f>RANK(Y30,$Y$15:$Y$55,0)+COUNTIF($Y$15:Y30,Y30)-1</f>
        <v>5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385</v>
      </c>
      <c r="Q31" s="56">
        <f t="shared" si="3"/>
        <v>19</v>
      </c>
      <c r="R31" s="56">
        <f t="shared" si="4"/>
        <v>404</v>
      </c>
      <c r="S31" s="56">
        <f t="shared" si="5"/>
        <v>1</v>
      </c>
      <c r="T31" s="56" t="str">
        <f t="shared" si="8"/>
        <v>传说</v>
      </c>
      <c r="U31" s="56">
        <f t="shared" si="9"/>
        <v>-15</v>
      </c>
      <c r="V31" s="56">
        <f t="shared" si="6"/>
        <v>389</v>
      </c>
      <c r="W31" s="12">
        <f>IF(H31=0,List!$C$5,$C$3)</f>
        <v>0</v>
      </c>
      <c r="X31" s="12"/>
      <c r="Y31" s="12">
        <f t="shared" si="7"/>
        <v>404</v>
      </c>
      <c r="Z31" s="12">
        <f>RANK(Y31,$Y$15:$Y$55,0)+COUNTIF($Y$15:Y31,Y31)-1</f>
        <v>6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385</v>
      </c>
      <c r="Q33" s="56">
        <f t="shared" si="3"/>
        <v>19</v>
      </c>
      <c r="R33" s="56">
        <f t="shared" si="4"/>
        <v>404</v>
      </c>
      <c r="S33" s="56">
        <f t="shared" si="5"/>
        <v>1</v>
      </c>
      <c r="T33" s="56" t="str">
        <f t="shared" si="8"/>
        <v>传说</v>
      </c>
      <c r="U33" s="56">
        <f t="shared" si="9"/>
        <v>-15</v>
      </c>
      <c r="V33" s="56">
        <f t="shared" si="6"/>
        <v>389</v>
      </c>
      <c r="W33" s="12">
        <f>IF(H33=0,List!$C$5,$C$3)</f>
        <v>0</v>
      </c>
      <c r="X33" s="12"/>
      <c r="Y33" s="12">
        <f t="shared" si="7"/>
        <v>404</v>
      </c>
      <c r="Z33" s="12">
        <f>RANK(Y33,$Y$15:$Y$55,0)+COUNTIF($Y$15:Y33,Y33)-1</f>
        <v>7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25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384</v>
      </c>
      <c r="Q36" s="56">
        <f t="shared" si="3"/>
        <v>14</v>
      </c>
      <c r="R36" s="56">
        <f t="shared" si="4"/>
        <v>398</v>
      </c>
      <c r="S36" s="56">
        <f t="shared" si="5"/>
        <v>2</v>
      </c>
      <c r="T36" s="56" t="str">
        <f t="shared" si="8"/>
        <v>英雄</v>
      </c>
      <c r="U36" s="56">
        <f t="shared" si="9"/>
        <v>-9</v>
      </c>
      <c r="V36" s="56">
        <f t="shared" si="6"/>
        <v>389</v>
      </c>
      <c r="W36" s="12">
        <f>IF(H36=0,List!$C$5,$C$3)</f>
        <v>0</v>
      </c>
      <c r="X36" s="12"/>
      <c r="Y36" s="12">
        <f t="shared" si="7"/>
        <v>398</v>
      </c>
      <c r="Z36" s="12">
        <f>RANK(Y36,$Y$15:$Y$55,0)+COUNTIF($Y$15:Y36,Y36)-1</f>
        <v>14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27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4</v>
      </c>
      <c r="I39" s="54"/>
      <c r="J39" s="12"/>
      <c r="K39" s="56">
        <f>IF(H39&gt;0,VLOOKUP(D39,战力表!$A$3:$F$58,6,FALSE),0)</f>
        <v>7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247</v>
      </c>
      <c r="Q39" s="56">
        <f t="shared" si="3"/>
        <v>18</v>
      </c>
      <c r="R39" s="56">
        <f t="shared" si="4"/>
        <v>265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260</v>
      </c>
      <c r="W39" s="12">
        <f>IF(H39=0,List!$C$5,$C$3)</f>
        <v>0</v>
      </c>
      <c r="X39" s="12"/>
      <c r="Y39" s="12">
        <f t="shared" si="7"/>
        <v>265</v>
      </c>
      <c r="Z39" s="12">
        <f>RANK(Y39,$Y$15:$Y$55,0)+COUNTIF($Y$15:Y39,Y39)-1</f>
        <v>28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244</v>
      </c>
      <c r="Q40" s="56">
        <f t="shared" si="3"/>
        <v>18</v>
      </c>
      <c r="R40" s="56">
        <f t="shared" si="4"/>
        <v>262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257</v>
      </c>
      <c r="W40" s="12">
        <f>IF(H40=0,List!$C$5,$C$3)</f>
        <v>0</v>
      </c>
      <c r="X40" s="12"/>
      <c r="Y40" s="12">
        <f t="shared" si="7"/>
        <v>262</v>
      </c>
      <c r="Z40" s="12">
        <f>RANK(Y40,$Y$15:$Y$55,0)+COUNTIF($Y$15:Y40,Y40)-1</f>
        <v>29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383</v>
      </c>
      <c r="Q41" s="56">
        <f t="shared" si="3"/>
        <v>14</v>
      </c>
      <c r="R41" s="56">
        <f t="shared" si="4"/>
        <v>397</v>
      </c>
      <c r="S41" s="56">
        <f t="shared" si="5"/>
        <v>3</v>
      </c>
      <c r="T41" s="56" t="str">
        <f t="shared" si="8"/>
        <v>精英</v>
      </c>
      <c r="U41" s="56">
        <f t="shared" si="9"/>
        <v>-5</v>
      </c>
      <c r="V41" s="56">
        <f t="shared" si="6"/>
        <v>392</v>
      </c>
      <c r="W41" s="12">
        <f>IF(H41=0,List!$C$5,$C$3)</f>
        <v>0</v>
      </c>
      <c r="X41" s="12"/>
      <c r="Y41" s="12">
        <f t="shared" si="7"/>
        <v>397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8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388</v>
      </c>
      <c r="Q42" s="56">
        <f t="shared" si="3"/>
        <v>14</v>
      </c>
      <c r="R42" s="56">
        <f t="shared" si="4"/>
        <v>402</v>
      </c>
      <c r="S42" s="56">
        <f t="shared" si="5"/>
        <v>2</v>
      </c>
      <c r="T42" s="56" t="str">
        <f t="shared" si="8"/>
        <v>英雄</v>
      </c>
      <c r="U42" s="56">
        <f t="shared" si="9"/>
        <v>-9</v>
      </c>
      <c r="V42" s="56">
        <f t="shared" si="6"/>
        <v>393</v>
      </c>
      <c r="W42" s="12">
        <f>IF(H42=0,List!$C$5,$C$3)</f>
        <v>0</v>
      </c>
      <c r="X42" s="12"/>
      <c r="Y42" s="12">
        <f t="shared" si="7"/>
        <v>402</v>
      </c>
      <c r="Z42" s="12">
        <f>RANK(Y42,$Y$15:$Y$55,0)+COUNTIF($Y$15:Y42,Y42)-1</f>
        <v>9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251</v>
      </c>
      <c r="Q45" s="56">
        <f t="shared" si="3"/>
        <v>18</v>
      </c>
      <c r="R45" s="56">
        <f t="shared" si="4"/>
        <v>269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264</v>
      </c>
      <c r="W45" s="12">
        <f>IF(H45=0,List!$C$5,$C$3)</f>
        <v>0</v>
      </c>
      <c r="X45" s="12"/>
      <c r="Y45" s="12">
        <f t="shared" si="7"/>
        <v>269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383</v>
      </c>
      <c r="Q47" s="56">
        <f t="shared" si="3"/>
        <v>13</v>
      </c>
      <c r="R47" s="56">
        <f t="shared" si="4"/>
        <v>396</v>
      </c>
      <c r="S47" s="56">
        <f t="shared" si="5"/>
        <v>3</v>
      </c>
      <c r="T47" s="56" t="str">
        <f t="shared" si="8"/>
        <v>精英</v>
      </c>
      <c r="U47" s="56">
        <f t="shared" si="9"/>
        <v>-5</v>
      </c>
      <c r="V47" s="56">
        <f t="shared" si="6"/>
        <v>391</v>
      </c>
      <c r="W47" s="12">
        <f>IF(H47=0,List!$C$5,$C$3)</f>
        <v>0</v>
      </c>
      <c r="X47" s="12"/>
      <c r="Y47" s="12">
        <f t="shared" si="7"/>
        <v>396</v>
      </c>
      <c r="Z47" s="12">
        <f>RANK(Y47,$Y$15:$Y$55,0)+COUNTIF($Y$15:Y47,Y47)-1</f>
        <v>16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383</v>
      </c>
      <c r="Q48" s="56">
        <f t="shared" si="3"/>
        <v>18</v>
      </c>
      <c r="R48" s="56">
        <f t="shared" si="4"/>
        <v>401</v>
      </c>
      <c r="S48" s="56">
        <f t="shared" si="5"/>
        <v>2</v>
      </c>
      <c r="T48" s="56" t="str">
        <f t="shared" si="8"/>
        <v>英雄</v>
      </c>
      <c r="U48" s="56">
        <f t="shared" si="9"/>
        <v>-9</v>
      </c>
      <c r="V48" s="56">
        <f t="shared" si="6"/>
        <v>392</v>
      </c>
      <c r="W48" s="12">
        <f>IF(H48=0,List!$C$5,$C$3)</f>
        <v>0</v>
      </c>
      <c r="X48" s="12"/>
      <c r="Y48" s="12">
        <f t="shared" si="7"/>
        <v>401</v>
      </c>
      <c r="Z48" s="12">
        <f>RANK(Y48,$Y$15:$Y$55,0)+COUNTIF($Y$15:Y48,Y48)-1</f>
        <v>11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4</v>
      </c>
      <c r="M49" s="56">
        <f t="shared" si="1"/>
        <v>0</v>
      </c>
      <c r="N49" s="56" t="b">
        <f t="shared" si="2"/>
        <v>0</v>
      </c>
      <c r="O49" s="12"/>
      <c r="P49" s="55">
        <v>199</v>
      </c>
      <c r="Q49" s="56">
        <f t="shared" si="3"/>
        <v>11</v>
      </c>
      <c r="R49" s="56">
        <f t="shared" si="4"/>
        <v>210</v>
      </c>
      <c r="S49" s="56">
        <f t="shared" si="5"/>
        <v>3</v>
      </c>
      <c r="T49" s="56" t="str">
        <f t="shared" si="8"/>
        <v>精英</v>
      </c>
      <c r="U49" s="56">
        <f t="shared" si="9"/>
        <v>-5</v>
      </c>
      <c r="V49" s="56">
        <f t="shared" si="6"/>
        <v>205</v>
      </c>
      <c r="W49" s="12">
        <f>IF(H49=0,List!$C$5,$C$3)</f>
        <v>0</v>
      </c>
      <c r="X49" s="12"/>
      <c r="Y49" s="12">
        <f t="shared" si="7"/>
        <v>210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85</v>
      </c>
      <c r="Q51" s="56">
        <f t="shared" si="3"/>
        <v>0</v>
      </c>
      <c r="R51" s="56">
        <f t="shared" si="4"/>
        <v>85</v>
      </c>
      <c r="S51" s="56" t="str">
        <f t="shared" si="5"/>
        <v/>
      </c>
      <c r="T51" s="56" t="b">
        <f t="shared" si="8"/>
        <v>0</v>
      </c>
      <c r="U51" s="56">
        <f t="shared" si="9"/>
        <v>0</v>
      </c>
      <c r="V51" s="56">
        <f t="shared" si="6"/>
        <v>85</v>
      </c>
      <c r="W51" s="12" t="str">
        <f>IF(H51=0,List!$C$5,$C$3)</f>
        <v>没有忍战，无法分包</v>
      </c>
      <c r="X51" s="12"/>
      <c r="Y51" s="12">
        <f t="shared" si="7"/>
        <v>85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308</v>
      </c>
      <c r="Q52" s="56">
        <f t="shared" si="3"/>
        <v>18</v>
      </c>
      <c r="R52" s="56">
        <f t="shared" si="4"/>
        <v>326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321</v>
      </c>
      <c r="W52" s="12">
        <f>IF(H52=0,List!$C$5,$C$3)</f>
        <v>0</v>
      </c>
      <c r="X52" s="12"/>
      <c r="Y52" s="12">
        <f t="shared" si="7"/>
        <v>326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301</v>
      </c>
      <c r="Q53" s="56">
        <f t="shared" si="3"/>
        <v>18</v>
      </c>
      <c r="R53" s="56">
        <f t="shared" si="4"/>
        <v>319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314</v>
      </c>
      <c r="W53" s="12">
        <f>IF(H53=0,List!$C$5,$C$3)</f>
        <v>0</v>
      </c>
      <c r="X53" s="12"/>
      <c r="Y53" s="12">
        <f t="shared" si="7"/>
        <v>319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383</v>
      </c>
      <c r="Q54" s="56">
        <f t="shared" si="3"/>
        <v>19</v>
      </c>
      <c r="R54" s="56">
        <f t="shared" si="4"/>
        <v>402</v>
      </c>
      <c r="S54" s="56">
        <f t="shared" si="5"/>
        <v>2</v>
      </c>
      <c r="T54" s="56" t="str">
        <f t="shared" si="8"/>
        <v>英雄</v>
      </c>
      <c r="U54" s="56">
        <f t="shared" si="9"/>
        <v>-9</v>
      </c>
      <c r="V54" s="56">
        <f t="shared" si="6"/>
        <v>393</v>
      </c>
      <c r="W54" s="12">
        <f>IF(H54=0,List!$C$5,$C$3)</f>
        <v>0</v>
      </c>
      <c r="X54" s="12"/>
      <c r="Y54" s="12">
        <f t="shared" si="7"/>
        <v>402</v>
      </c>
      <c r="Z54" s="12">
        <f>RANK(Y54,$Y$15:$Y$55,0)+COUNTIF($Y$15:Y54,Y54)-1</f>
        <v>10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2950000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2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4</v>
      </c>
      <c r="F12" s="1">
        <f t="shared" si="1"/>
        <v>10</v>
      </c>
    </row>
    <row r="13" spans="1:13" ht="14.25" customHeight="1" x14ac:dyDescent="0.25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5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7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8</v>
      </c>
      <c r="F18" s="1">
        <f t="shared" si="1"/>
        <v>9</v>
      </c>
    </row>
    <row r="19" spans="1:10" ht="14.25" customHeight="1" x14ac:dyDescent="0.25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9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10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12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22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21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13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20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15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18</v>
      </c>
      <c r="F37" s="1">
        <f t="shared" si="1"/>
        <v>7</v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17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11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2023-05-17T00:29:15Z</dcterms:modified>
</cp:coreProperties>
</file>