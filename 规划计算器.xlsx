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6884A2B5-A0DD-4EDA-A763-54740C4E1E2D}" xr6:coauthVersionLast="47" xr6:coauthVersionMax="47" xr10:uidLastSave="{00000000-0000-0000-0000-000000000000}"/>
  <bookViews>
    <workbookView xWindow="28680" yWindow="-120" windowWidth="29040" windowHeight="15840" xr2:uid="{ECD4D7EE-2D5D-4083-A820-495883BB0745}"/>
  </bookViews>
  <sheets>
    <sheet name="9.0.6" sheetId="24" r:id="rId1"/>
    <sheet name="9.0.4" sheetId="22" r:id="rId2"/>
    <sheet name="9.0.5" sheetId="23" r:id="rId3"/>
    <sheet name="9.0.8" sheetId="26" r:id="rId4"/>
    <sheet name="9.0.7" sheetId="25" r:id="rId5"/>
    <sheet name="9.0.2" sheetId="17" r:id="rId6"/>
    <sheet name="9.0.3" sheetId="21" r:id="rId7"/>
    <sheet name="9.0.1" sheetId="20" r:id="rId8"/>
    <sheet name="Sheet2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24" l="1"/>
  <c r="Y31" i="26" l="1"/>
  <c r="AA28" i="26"/>
  <c r="Z28" i="26"/>
  <c r="AA27" i="26"/>
  <c r="Z27" i="26"/>
  <c r="W26" i="26"/>
  <c r="AA25" i="26"/>
  <c r="Z25" i="26"/>
  <c r="W25" i="26"/>
  <c r="AA24" i="26"/>
  <c r="Z24" i="26"/>
  <c r="W24" i="26"/>
  <c r="AA23" i="26"/>
  <c r="Z23" i="26"/>
  <c r="W23" i="26"/>
  <c r="AA22" i="26"/>
  <c r="Z22" i="26"/>
  <c r="AA21" i="26"/>
  <c r="Z21" i="26"/>
  <c r="AA20" i="26"/>
  <c r="Z20" i="26"/>
  <c r="AA19" i="26"/>
  <c r="Z19" i="26"/>
  <c r="AA18" i="26"/>
  <c r="Z18" i="26"/>
  <c r="AA17" i="26"/>
  <c r="Z17" i="26"/>
  <c r="AA16" i="26"/>
  <c r="Z16" i="26"/>
  <c r="AA15" i="26"/>
  <c r="Z15" i="26"/>
  <c r="W15" i="26"/>
  <c r="AA14" i="26"/>
  <c r="AB14" i="26" s="1"/>
  <c r="Z14" i="26"/>
  <c r="AA13" i="26"/>
  <c r="Z13" i="26"/>
  <c r="AA12" i="26"/>
  <c r="Z12" i="26"/>
  <c r="AA11" i="26"/>
  <c r="Z11" i="26"/>
  <c r="AB11" i="26" s="1"/>
  <c r="W11" i="26"/>
  <c r="AA10" i="26"/>
  <c r="Z10" i="26"/>
  <c r="W10" i="26"/>
  <c r="AA9" i="26"/>
  <c r="Z9" i="26"/>
  <c r="W9" i="26"/>
  <c r="AA8" i="26"/>
  <c r="Z8" i="26"/>
  <c r="P8" i="26"/>
  <c r="H8" i="26"/>
  <c r="AA7" i="26"/>
  <c r="Z7" i="26"/>
  <c r="O7" i="26"/>
  <c r="N7" i="26"/>
  <c r="M7" i="26"/>
  <c r="G7" i="26"/>
  <c r="F7" i="26"/>
  <c r="E7" i="26"/>
  <c r="AA6" i="26"/>
  <c r="Z6" i="26"/>
  <c r="R6" i="26"/>
  <c r="O6" i="26" a="1"/>
  <c r="O6" i="26" s="1"/>
  <c r="O9" i="26" s="1"/>
  <c r="N6" i="26" a="1"/>
  <c r="N6" i="26" s="1"/>
  <c r="M6" i="26" a="1"/>
  <c r="M6" i="26" s="1"/>
  <c r="G6" i="26" a="1"/>
  <c r="G6" i="26" s="1"/>
  <c r="F6" i="26" a="1"/>
  <c r="F6" i="26" s="1"/>
  <c r="E6" i="26" a="1"/>
  <c r="E6" i="26" s="1"/>
  <c r="AA5" i="26"/>
  <c r="Z5" i="26"/>
  <c r="O5" i="26" a="1"/>
  <c r="O5" i="26" s="1"/>
  <c r="N5" i="26" a="1"/>
  <c r="N5" i="26" s="1"/>
  <c r="M5" i="26" a="1"/>
  <c r="M5" i="26" s="1"/>
  <c r="G5" i="26" a="1"/>
  <c r="G5" i="26" s="1"/>
  <c r="F5" i="26" a="1"/>
  <c r="F5" i="26" s="1"/>
  <c r="E5" i="26" a="1"/>
  <c r="E5" i="26" s="1"/>
  <c r="AA4" i="26"/>
  <c r="Z4" i="26"/>
  <c r="AB4" i="26" s="1"/>
  <c r="W4" i="26"/>
  <c r="P4" i="26"/>
  <c r="H4" i="26"/>
  <c r="AA3" i="26"/>
  <c r="Z3" i="26"/>
  <c r="W3" i="26"/>
  <c r="H1" i="26" s="1" a="1"/>
  <c r="H1" i="26" s="1"/>
  <c r="Y31" i="25"/>
  <c r="AA28" i="25"/>
  <c r="Z28" i="25"/>
  <c r="AA27" i="25"/>
  <c r="Z27" i="25"/>
  <c r="W26" i="25"/>
  <c r="AA25" i="25"/>
  <c r="Z25" i="25"/>
  <c r="W25" i="25"/>
  <c r="AA24" i="25"/>
  <c r="Z24" i="25"/>
  <c r="W24" i="25"/>
  <c r="AA23" i="25"/>
  <c r="Z23" i="25"/>
  <c r="W23" i="25"/>
  <c r="AA22" i="25"/>
  <c r="Z22" i="25"/>
  <c r="AA21" i="25"/>
  <c r="Z21" i="25"/>
  <c r="AA20" i="25"/>
  <c r="Z20" i="25"/>
  <c r="AA19" i="25"/>
  <c r="AB19" i="25" s="1"/>
  <c r="Z19" i="25"/>
  <c r="AA18" i="25"/>
  <c r="Z18" i="25"/>
  <c r="AB18" i="25" s="1"/>
  <c r="AA17" i="25"/>
  <c r="Z17" i="25"/>
  <c r="AA16" i="25"/>
  <c r="AB16" i="25" s="1"/>
  <c r="Z16" i="25"/>
  <c r="AA15" i="25"/>
  <c r="Z15" i="25"/>
  <c r="W15" i="25"/>
  <c r="AA14" i="25"/>
  <c r="Z14" i="25"/>
  <c r="AA13" i="25"/>
  <c r="Z13" i="25"/>
  <c r="AA12" i="25"/>
  <c r="Z12" i="25"/>
  <c r="AA11" i="25"/>
  <c r="Z11" i="25"/>
  <c r="AB11" i="25" s="1"/>
  <c r="W11" i="25"/>
  <c r="AA10" i="25"/>
  <c r="Z10" i="25"/>
  <c r="W10" i="25"/>
  <c r="AA9" i="25"/>
  <c r="Z9" i="25"/>
  <c r="W9" i="25"/>
  <c r="AA8" i="25"/>
  <c r="Z8" i="25"/>
  <c r="P8" i="25"/>
  <c r="H8" i="25"/>
  <c r="AA7" i="25"/>
  <c r="Z7" i="25"/>
  <c r="O7" i="25"/>
  <c r="N7" i="25"/>
  <c r="P7" i="25" s="1"/>
  <c r="M7" i="25"/>
  <c r="H7" i="25"/>
  <c r="G7" i="25"/>
  <c r="F7" i="25"/>
  <c r="E7" i="25"/>
  <c r="AA6" i="25"/>
  <c r="Z6" i="25"/>
  <c r="R6" i="25"/>
  <c r="O6" i="25" a="1"/>
  <c r="O6" i="25" s="1"/>
  <c r="N6" i="25" a="1"/>
  <c r="N6" i="25" s="1"/>
  <c r="M6" i="25" a="1"/>
  <c r="M6" i="25" s="1"/>
  <c r="G6" i="25" a="1"/>
  <c r="G6" i="25" s="1"/>
  <c r="F6" i="25" a="1"/>
  <c r="F6" i="25" s="1"/>
  <c r="E6" i="25"/>
  <c r="E6" i="25" a="1"/>
  <c r="AA5" i="25"/>
  <c r="Z5" i="25"/>
  <c r="O5" i="25" a="1"/>
  <c r="O5" i="25" s="1"/>
  <c r="N5" i="25" a="1"/>
  <c r="N5" i="25" s="1"/>
  <c r="M5" i="25" a="1"/>
  <c r="M5" i="25" s="1"/>
  <c r="G5" i="25" a="1"/>
  <c r="G5" i="25" s="1"/>
  <c r="F5" i="25" a="1"/>
  <c r="F5" i="25" s="1"/>
  <c r="E5" i="25" a="1"/>
  <c r="E5" i="25" s="1"/>
  <c r="AA4" i="25"/>
  <c r="Z4" i="25"/>
  <c r="W4" i="25"/>
  <c r="P4" i="25"/>
  <c r="H4" i="25"/>
  <c r="AA3" i="25"/>
  <c r="Z3" i="25"/>
  <c r="W3" i="25"/>
  <c r="H1" i="25" s="1" a="1"/>
  <c r="H1" i="25" s="1"/>
  <c r="Y31" i="24"/>
  <c r="AA28" i="24"/>
  <c r="Z28" i="24"/>
  <c r="AA27" i="24"/>
  <c r="Z27" i="24"/>
  <c r="W26" i="24"/>
  <c r="AA25" i="24"/>
  <c r="Z25" i="24"/>
  <c r="W25" i="24"/>
  <c r="AA24" i="24"/>
  <c r="Z24" i="24"/>
  <c r="W24" i="24"/>
  <c r="AA23" i="24"/>
  <c r="Z23" i="24"/>
  <c r="W23" i="24"/>
  <c r="AA22" i="24"/>
  <c r="Z22" i="24"/>
  <c r="AA21" i="24"/>
  <c r="Z21" i="24"/>
  <c r="AA20" i="24"/>
  <c r="AB20" i="24" s="1"/>
  <c r="Z20" i="24"/>
  <c r="AA19" i="24"/>
  <c r="AB19" i="24" s="1"/>
  <c r="Z19" i="24"/>
  <c r="AA18" i="24"/>
  <c r="Z18" i="24"/>
  <c r="AA17" i="24"/>
  <c r="Z17" i="24"/>
  <c r="AA16" i="24"/>
  <c r="AB16" i="24" s="1"/>
  <c r="Z16" i="24"/>
  <c r="AA15" i="24"/>
  <c r="Z15" i="24"/>
  <c r="W15" i="24"/>
  <c r="AA14" i="24"/>
  <c r="AB14" i="24" s="1"/>
  <c r="Z14" i="24"/>
  <c r="AA13" i="24"/>
  <c r="Z13" i="24"/>
  <c r="AA12" i="24"/>
  <c r="AB12" i="24" s="1"/>
  <c r="Z12" i="24"/>
  <c r="AA11" i="24"/>
  <c r="Z11" i="24"/>
  <c r="W11" i="24"/>
  <c r="Z10" i="24"/>
  <c r="W10" i="24"/>
  <c r="AA9" i="24"/>
  <c r="Z9" i="24"/>
  <c r="W9" i="24"/>
  <c r="AA8" i="24"/>
  <c r="Z8" i="24"/>
  <c r="P8" i="24"/>
  <c r="H8" i="24"/>
  <c r="AA7" i="24"/>
  <c r="Z7" i="24"/>
  <c r="O7" i="24"/>
  <c r="N7" i="24"/>
  <c r="M7" i="24"/>
  <c r="H7" i="24"/>
  <c r="G7" i="24"/>
  <c r="F7" i="24"/>
  <c r="E7" i="24"/>
  <c r="AA6" i="24"/>
  <c r="AB6" i="24" s="1"/>
  <c r="Z6" i="24"/>
  <c r="R6" i="24"/>
  <c r="O6" i="24" a="1"/>
  <c r="O6" i="24" s="1"/>
  <c r="N6" i="24" a="1"/>
  <c r="N6" i="24" s="1"/>
  <c r="M6" i="24" a="1"/>
  <c r="M6" i="24" s="1"/>
  <c r="G6" i="24" a="1"/>
  <c r="G6" i="24" s="1"/>
  <c r="F6" i="24" a="1"/>
  <c r="F6" i="24" s="1"/>
  <c r="E6" i="24"/>
  <c r="E6" i="24" a="1"/>
  <c r="AA5" i="24"/>
  <c r="AB5" i="24" s="1"/>
  <c r="Z5" i="24"/>
  <c r="O5" i="24" a="1"/>
  <c r="O5" i="24" s="1"/>
  <c r="N5" i="24" a="1"/>
  <c r="N5" i="24" s="1"/>
  <c r="M5" i="24" a="1"/>
  <c r="M5" i="24" s="1"/>
  <c r="G5" i="24" a="1"/>
  <c r="G5" i="24" s="1"/>
  <c r="F5" i="24" a="1"/>
  <c r="F5" i="24" s="1"/>
  <c r="E5" i="24" a="1"/>
  <c r="E5" i="24" s="1"/>
  <c r="AA4" i="24"/>
  <c r="Z4" i="24"/>
  <c r="W4" i="24"/>
  <c r="P4" i="24"/>
  <c r="H4" i="24"/>
  <c r="AA3" i="24"/>
  <c r="AB3" i="24" s="1"/>
  <c r="Z3" i="24"/>
  <c r="W3" i="24"/>
  <c r="H1" i="24" s="1" a="1"/>
  <c r="H1" i="24" s="1"/>
  <c r="Y31" i="23"/>
  <c r="AA28" i="23"/>
  <c r="Z28" i="23"/>
  <c r="AA27" i="23"/>
  <c r="Z27" i="23"/>
  <c r="W26" i="23"/>
  <c r="AA25" i="23"/>
  <c r="Z25" i="23"/>
  <c r="W25" i="23"/>
  <c r="AA24" i="23"/>
  <c r="Z24" i="23"/>
  <c r="W24" i="23"/>
  <c r="AA23" i="23"/>
  <c r="Z23" i="23"/>
  <c r="W23" i="23"/>
  <c r="AA22" i="23"/>
  <c r="Z22" i="23"/>
  <c r="AA21" i="23"/>
  <c r="Z21" i="23"/>
  <c r="AA20" i="23"/>
  <c r="Z20" i="23"/>
  <c r="AA19" i="23"/>
  <c r="Z19" i="23"/>
  <c r="AA18" i="23"/>
  <c r="Z18" i="23"/>
  <c r="AA17" i="23"/>
  <c r="Z17" i="23"/>
  <c r="AA16" i="23"/>
  <c r="Z16" i="23"/>
  <c r="AA15" i="23"/>
  <c r="Z15" i="23"/>
  <c r="W15" i="23"/>
  <c r="AA14" i="23"/>
  <c r="Z14" i="23"/>
  <c r="AA13" i="23"/>
  <c r="Z13" i="23"/>
  <c r="AA12" i="23"/>
  <c r="Z12" i="23"/>
  <c r="AA11" i="23"/>
  <c r="Z11" i="23"/>
  <c r="W11" i="23"/>
  <c r="AA10" i="23"/>
  <c r="Z10" i="23"/>
  <c r="W10" i="23"/>
  <c r="AA9" i="23"/>
  <c r="Z9" i="23"/>
  <c r="W9" i="23"/>
  <c r="AA8" i="23"/>
  <c r="Z8" i="23"/>
  <c r="P8" i="23"/>
  <c r="H8" i="23"/>
  <c r="AA7" i="23"/>
  <c r="Z7" i="23"/>
  <c r="O7" i="23"/>
  <c r="P7" i="23" s="1"/>
  <c r="N7" i="23"/>
  <c r="M7" i="23"/>
  <c r="G7" i="23"/>
  <c r="F7" i="23"/>
  <c r="H7" i="23" s="1"/>
  <c r="E7" i="23"/>
  <c r="AA6" i="23"/>
  <c r="Z6" i="23"/>
  <c r="R6" i="23"/>
  <c r="O6" i="23" a="1"/>
  <c r="O6" i="23" s="1"/>
  <c r="N6" i="23" a="1"/>
  <c r="N6" i="23" s="1"/>
  <c r="N9" i="23" s="1"/>
  <c r="M6" i="23" a="1"/>
  <c r="M6" i="23" s="1"/>
  <c r="G6" i="23" a="1"/>
  <c r="G6" i="23" s="1"/>
  <c r="F6" i="23" a="1"/>
  <c r="F6" i="23" s="1"/>
  <c r="E6" i="23"/>
  <c r="E6" i="23" a="1"/>
  <c r="AA5" i="23"/>
  <c r="Z5" i="23"/>
  <c r="O5" i="23" a="1"/>
  <c r="O5" i="23" s="1"/>
  <c r="N5" i="23" a="1"/>
  <c r="N5" i="23" s="1"/>
  <c r="M5" i="23" a="1"/>
  <c r="M5" i="23" s="1"/>
  <c r="G5" i="23" a="1"/>
  <c r="G5" i="23" s="1"/>
  <c r="F5" i="23" a="1"/>
  <c r="F5" i="23" s="1"/>
  <c r="E5" i="23" a="1"/>
  <c r="E5" i="23" s="1"/>
  <c r="AA4" i="23"/>
  <c r="Z4" i="23"/>
  <c r="W4" i="23"/>
  <c r="P4" i="23"/>
  <c r="H4" i="23"/>
  <c r="AA3" i="23"/>
  <c r="Z3" i="23"/>
  <c r="W3" i="23"/>
  <c r="H1" i="23" s="1" a="1"/>
  <c r="H1" i="23" s="1"/>
  <c r="AB23" i="26" l="1"/>
  <c r="AB13" i="26"/>
  <c r="AB21" i="26"/>
  <c r="AB12" i="26"/>
  <c r="AB3" i="26"/>
  <c r="AB19" i="26"/>
  <c r="AB24" i="26"/>
  <c r="AB20" i="26"/>
  <c r="P7" i="26"/>
  <c r="AB25" i="26"/>
  <c r="AB10" i="26"/>
  <c r="AB15" i="26"/>
  <c r="AB5" i="26"/>
  <c r="AB9" i="26"/>
  <c r="AB7" i="26"/>
  <c r="AB16" i="26"/>
  <c r="AB22" i="26"/>
  <c r="AB27" i="26"/>
  <c r="AB17" i="26"/>
  <c r="AB28" i="26"/>
  <c r="AB6" i="26"/>
  <c r="AB8" i="26"/>
  <c r="AB18" i="26"/>
  <c r="H6" i="26"/>
  <c r="H7" i="26"/>
  <c r="H5" i="26"/>
  <c r="P6" i="26"/>
  <c r="M9" i="26"/>
  <c r="N9" i="26"/>
  <c r="P5" i="26"/>
  <c r="P11" i="26" s="1"/>
  <c r="N9" i="25"/>
  <c r="P7" i="24"/>
  <c r="N9" i="24"/>
  <c r="AB24" i="25"/>
  <c r="AB21" i="25"/>
  <c r="AB8" i="25"/>
  <c r="AB13" i="25"/>
  <c r="AB9" i="25"/>
  <c r="AB20" i="25"/>
  <c r="AB25" i="25"/>
  <c r="AB4" i="25"/>
  <c r="AB10" i="25"/>
  <c r="AB15" i="25"/>
  <c r="O9" i="25"/>
  <c r="AB7" i="25"/>
  <c r="AB22" i="25"/>
  <c r="AB27" i="25"/>
  <c r="P5" i="25"/>
  <c r="AB6" i="25"/>
  <c r="AB17" i="25"/>
  <c r="AB28" i="25"/>
  <c r="AB23" i="25"/>
  <c r="AB5" i="25"/>
  <c r="H5" i="25"/>
  <c r="AB14" i="25"/>
  <c r="AB12" i="25"/>
  <c r="AB3" i="25"/>
  <c r="R2" i="25" s="1" a="1"/>
  <c r="R2" i="25" s="1"/>
  <c r="P6" i="25"/>
  <c r="M9" i="25"/>
  <c r="H6" i="25"/>
  <c r="AB24" i="24"/>
  <c r="AB13" i="24"/>
  <c r="AB21" i="24"/>
  <c r="AB17" i="24"/>
  <c r="O9" i="24"/>
  <c r="AB4" i="24"/>
  <c r="AB9" i="24"/>
  <c r="AB10" i="24"/>
  <c r="AB15" i="24"/>
  <c r="AB25" i="24"/>
  <c r="P5" i="24"/>
  <c r="AB7" i="24"/>
  <c r="AB11" i="24"/>
  <c r="AB22" i="24"/>
  <c r="AB27" i="24"/>
  <c r="AB28" i="24"/>
  <c r="AB8" i="24"/>
  <c r="AB18" i="24"/>
  <c r="AB23" i="24"/>
  <c r="H6" i="24"/>
  <c r="H5" i="24"/>
  <c r="P6" i="24"/>
  <c r="M9" i="24"/>
  <c r="AB15" i="23"/>
  <c r="AB21" i="23"/>
  <c r="AB24" i="23"/>
  <c r="AB11" i="23"/>
  <c r="AB23" i="23"/>
  <c r="AB8" i="23"/>
  <c r="AB18" i="23"/>
  <c r="AB13" i="23"/>
  <c r="AB9" i="23"/>
  <c r="AB4" i="23"/>
  <c r="AB25" i="23"/>
  <c r="AB10" i="23"/>
  <c r="AB5" i="23"/>
  <c r="AB7" i="23"/>
  <c r="AB22" i="23"/>
  <c r="AB27" i="23"/>
  <c r="P5" i="23"/>
  <c r="AB17" i="23"/>
  <c r="AB28" i="23"/>
  <c r="AB6" i="23"/>
  <c r="AB12" i="23"/>
  <c r="O9" i="23"/>
  <c r="AB19" i="23"/>
  <c r="AB14" i="23"/>
  <c r="AB20" i="23"/>
  <c r="AB3" i="23"/>
  <c r="AB16" i="23"/>
  <c r="H6" i="23"/>
  <c r="H5" i="23"/>
  <c r="P6" i="23"/>
  <c r="M9" i="23"/>
  <c r="P9" i="26" l="1"/>
  <c r="R8" i="26" a="1"/>
  <c r="R8" i="26" s="1"/>
  <c r="P12" i="26"/>
  <c r="R2" i="26" a="1"/>
  <c r="R2" i="26" s="1"/>
  <c r="P12" i="25"/>
  <c r="P11" i="25"/>
  <c r="P9" i="25"/>
  <c r="R8" i="25" a="1"/>
  <c r="R8" i="25" s="1"/>
  <c r="P9" i="24"/>
  <c r="P11" i="24"/>
  <c r="R8" i="24" a="1"/>
  <c r="R8" i="24" s="1"/>
  <c r="R2" i="24" a="1"/>
  <c r="R2" i="24" s="1"/>
  <c r="P12" i="24"/>
  <c r="P9" i="23"/>
  <c r="P11" i="23"/>
  <c r="R2" i="23" a="1"/>
  <c r="R2" i="23" s="1"/>
  <c r="R8" i="23" a="1"/>
  <c r="R8" i="23" s="1"/>
  <c r="P12" i="23"/>
  <c r="Y31" i="22" l="1"/>
  <c r="AA28" i="22"/>
  <c r="Z28" i="22"/>
  <c r="AA27" i="22"/>
  <c r="Z27" i="22"/>
  <c r="W26" i="22"/>
  <c r="AA25" i="22"/>
  <c r="Z25" i="22"/>
  <c r="W25" i="22"/>
  <c r="AA24" i="22"/>
  <c r="Z24" i="22"/>
  <c r="W24" i="22"/>
  <c r="AA23" i="22"/>
  <c r="Z23" i="22"/>
  <c r="W23" i="22"/>
  <c r="AA22" i="22"/>
  <c r="Z22" i="22"/>
  <c r="AA21" i="22"/>
  <c r="Z21" i="22"/>
  <c r="AA20" i="22"/>
  <c r="Z20" i="22"/>
  <c r="AA19" i="22"/>
  <c r="Z19" i="22"/>
  <c r="AA18" i="22"/>
  <c r="Z18" i="22"/>
  <c r="AA17" i="22"/>
  <c r="Z17" i="22"/>
  <c r="AA16" i="22"/>
  <c r="Z16" i="22"/>
  <c r="AA15" i="22"/>
  <c r="Z15" i="22"/>
  <c r="W15" i="22"/>
  <c r="AA14" i="22"/>
  <c r="Z14" i="22"/>
  <c r="AA13" i="22"/>
  <c r="Z13" i="22"/>
  <c r="AA12" i="22"/>
  <c r="Z12" i="22"/>
  <c r="AA11" i="22"/>
  <c r="Z11" i="22"/>
  <c r="AB11" i="22" s="1"/>
  <c r="W11" i="22"/>
  <c r="AA10" i="22"/>
  <c r="Z10" i="22"/>
  <c r="W10" i="22"/>
  <c r="AA9" i="22"/>
  <c r="Z9" i="22"/>
  <c r="W9" i="22"/>
  <c r="AA8" i="22"/>
  <c r="Z8" i="22"/>
  <c r="P8" i="22"/>
  <c r="H8" i="22"/>
  <c r="AA7" i="22"/>
  <c r="Z7" i="22"/>
  <c r="O7" i="22"/>
  <c r="N7" i="22"/>
  <c r="M7" i="22"/>
  <c r="G7" i="22"/>
  <c r="F7" i="22"/>
  <c r="H7" i="22" s="1"/>
  <c r="E7" i="22"/>
  <c r="AA6" i="22"/>
  <c r="Z6" i="22"/>
  <c r="R6" i="22"/>
  <c r="O6" i="22" a="1"/>
  <c r="O6" i="22" s="1"/>
  <c r="N6" i="22" a="1"/>
  <c r="N6" i="22" s="1"/>
  <c r="M6" i="22" a="1"/>
  <c r="M6" i="22" s="1"/>
  <c r="G6" i="22" a="1"/>
  <c r="G6" i="22" s="1"/>
  <c r="F6" i="22" a="1"/>
  <c r="F6" i="22" s="1"/>
  <c r="E6" i="22" a="1"/>
  <c r="E6" i="22" s="1"/>
  <c r="AA5" i="22"/>
  <c r="Z5" i="22"/>
  <c r="O5" i="22" a="1"/>
  <c r="O5" i="22" s="1"/>
  <c r="N5" i="22" a="1"/>
  <c r="N5" i="22" s="1"/>
  <c r="M5" i="22" a="1"/>
  <c r="M5" i="22" s="1"/>
  <c r="G5" i="22" a="1"/>
  <c r="G5" i="22" s="1"/>
  <c r="F5" i="22" a="1"/>
  <c r="F5" i="22" s="1"/>
  <c r="E5" i="22" a="1"/>
  <c r="E5" i="22" s="1"/>
  <c r="AA4" i="22"/>
  <c r="Z4" i="22"/>
  <c r="W4" i="22"/>
  <c r="P4" i="22"/>
  <c r="H4" i="22"/>
  <c r="AA3" i="22"/>
  <c r="Z3" i="22"/>
  <c r="W3" i="22"/>
  <c r="H1" i="22" s="1" a="1"/>
  <c r="H1" i="22" s="1"/>
  <c r="Y31" i="21"/>
  <c r="AA28" i="21"/>
  <c r="Z28" i="21"/>
  <c r="AB28" i="21" s="1"/>
  <c r="AA27" i="21"/>
  <c r="Z27" i="21"/>
  <c r="AB27" i="21" s="1"/>
  <c r="W26" i="21"/>
  <c r="AA25" i="21"/>
  <c r="Z25" i="21"/>
  <c r="AB25" i="21" s="1"/>
  <c r="W25" i="21"/>
  <c r="AA24" i="21"/>
  <c r="Z24" i="21"/>
  <c r="AB24" i="21" s="1"/>
  <c r="W24" i="21"/>
  <c r="AA23" i="21"/>
  <c r="Z23" i="21"/>
  <c r="AB23" i="21" s="1"/>
  <c r="W23" i="21"/>
  <c r="AA22" i="21"/>
  <c r="Z22" i="21"/>
  <c r="AB22" i="21" s="1"/>
  <c r="AA21" i="21"/>
  <c r="Z21" i="21"/>
  <c r="AB21" i="21" s="1"/>
  <c r="AA20" i="21"/>
  <c r="Z20" i="21"/>
  <c r="AB20" i="21" s="1"/>
  <c r="AA19" i="21"/>
  <c r="Z19" i="21"/>
  <c r="AA18" i="21"/>
  <c r="Z18" i="21"/>
  <c r="AB18" i="21" s="1"/>
  <c r="AA17" i="21"/>
  <c r="Z17" i="21"/>
  <c r="AB17" i="21" s="1"/>
  <c r="AA16" i="21"/>
  <c r="Z16" i="21"/>
  <c r="AA15" i="21"/>
  <c r="Z15" i="21"/>
  <c r="AB15" i="21" s="1"/>
  <c r="W15" i="21"/>
  <c r="AA14" i="21"/>
  <c r="Z14" i="21"/>
  <c r="AA13" i="21"/>
  <c r="Z13" i="21"/>
  <c r="AB13" i="21" s="1"/>
  <c r="AA12" i="21"/>
  <c r="Z12" i="21"/>
  <c r="AB12" i="21" s="1"/>
  <c r="AA11" i="21"/>
  <c r="Z11" i="21"/>
  <c r="AB11" i="21" s="1"/>
  <c r="W11" i="21"/>
  <c r="AA10" i="21"/>
  <c r="Z10" i="21"/>
  <c r="AB10" i="21" s="1"/>
  <c r="W10" i="21"/>
  <c r="AA9" i="21"/>
  <c r="Z9" i="21"/>
  <c r="AB9" i="21" s="1"/>
  <c r="W9" i="21"/>
  <c r="AA8" i="21"/>
  <c r="Z8" i="21"/>
  <c r="AB8" i="21" s="1"/>
  <c r="P8" i="21"/>
  <c r="H8" i="21"/>
  <c r="AA7" i="21"/>
  <c r="Z7" i="21"/>
  <c r="AB7" i="21" s="1"/>
  <c r="P7" i="21"/>
  <c r="O7" i="21"/>
  <c r="N7" i="21"/>
  <c r="M7" i="21"/>
  <c r="G7" i="21"/>
  <c r="H7" i="21" s="1"/>
  <c r="F7" i="21"/>
  <c r="E7" i="21"/>
  <c r="AA6" i="21"/>
  <c r="Z6" i="21"/>
  <c r="AB6" i="21" s="1"/>
  <c r="R6" i="21"/>
  <c r="O6" i="21" a="1"/>
  <c r="O6" i="21" s="1"/>
  <c r="O9" i="21" s="1"/>
  <c r="N6" i="21" a="1"/>
  <c r="N6" i="21" s="1"/>
  <c r="N9" i="21" s="1"/>
  <c r="M6" i="21" a="1"/>
  <c r="M6" i="21" s="1"/>
  <c r="G6" i="21" a="1"/>
  <c r="G6" i="21" s="1"/>
  <c r="F6" i="21" a="1"/>
  <c r="F6" i="21" s="1"/>
  <c r="E6" i="21"/>
  <c r="E6" i="21" a="1"/>
  <c r="AA5" i="21"/>
  <c r="Z5" i="21"/>
  <c r="AB5" i="21" s="1"/>
  <c r="O5" i="21" a="1"/>
  <c r="O5" i="21" s="1"/>
  <c r="N5" i="21" a="1"/>
  <c r="N5" i="21" s="1"/>
  <c r="M5" i="21" a="1"/>
  <c r="M5" i="21" s="1"/>
  <c r="P5" i="21" s="1"/>
  <c r="G5" i="21" a="1"/>
  <c r="G5" i="21" s="1"/>
  <c r="F5" i="21" a="1"/>
  <c r="F5" i="21" s="1"/>
  <c r="E5" i="21" a="1"/>
  <c r="E5" i="21" s="1"/>
  <c r="AA4" i="21"/>
  <c r="Z4" i="21"/>
  <c r="AB4" i="21" s="1"/>
  <c r="W4" i="21"/>
  <c r="P4" i="21"/>
  <c r="H4" i="21"/>
  <c r="AA3" i="21"/>
  <c r="Z3" i="21"/>
  <c r="AB3" i="21" s="1"/>
  <c r="W3" i="21"/>
  <c r="H1" i="21" s="1" a="1"/>
  <c r="H1" i="21" s="1"/>
  <c r="Y31" i="20"/>
  <c r="AA28" i="20"/>
  <c r="Z28" i="20"/>
  <c r="AB28" i="20" s="1"/>
  <c r="AA27" i="20"/>
  <c r="Z27" i="20"/>
  <c r="AB27" i="20" s="1"/>
  <c r="W26" i="20"/>
  <c r="AA25" i="20"/>
  <c r="Z25" i="20"/>
  <c r="AB25" i="20" s="1"/>
  <c r="W25" i="20"/>
  <c r="AA24" i="20"/>
  <c r="Z24" i="20"/>
  <c r="AB24" i="20" s="1"/>
  <c r="W24" i="20"/>
  <c r="AA23" i="20"/>
  <c r="Z23" i="20"/>
  <c r="AB23" i="20" s="1"/>
  <c r="W23" i="20"/>
  <c r="AA22" i="20"/>
  <c r="Z22" i="20"/>
  <c r="AB22" i="20" s="1"/>
  <c r="AA21" i="20"/>
  <c r="Z21" i="20"/>
  <c r="AB21" i="20" s="1"/>
  <c r="AB20" i="20"/>
  <c r="AA20" i="20"/>
  <c r="Z20" i="20"/>
  <c r="AA19" i="20"/>
  <c r="AB19" i="20" s="1"/>
  <c r="Z19" i="20"/>
  <c r="AA18" i="20"/>
  <c r="Z18" i="20"/>
  <c r="AB18" i="20" s="1"/>
  <c r="AA17" i="20"/>
  <c r="Z17" i="20"/>
  <c r="AB17" i="20" s="1"/>
  <c r="AA16" i="20"/>
  <c r="AB16" i="20" s="1"/>
  <c r="Z16" i="20"/>
  <c r="AA15" i="20"/>
  <c r="Z15" i="20"/>
  <c r="AB15" i="20" s="1"/>
  <c r="W15" i="20"/>
  <c r="AA14" i="20"/>
  <c r="AB14" i="20" s="1"/>
  <c r="Z14" i="20"/>
  <c r="AA13" i="20"/>
  <c r="Z13" i="20"/>
  <c r="AB13" i="20" s="1"/>
  <c r="AA12" i="20"/>
  <c r="AB12" i="20" s="1"/>
  <c r="Z12" i="20"/>
  <c r="AA11" i="20"/>
  <c r="Z11" i="20"/>
  <c r="AB11" i="20" s="1"/>
  <c r="W11" i="20"/>
  <c r="AA10" i="20"/>
  <c r="Z10" i="20"/>
  <c r="AB10" i="20" s="1"/>
  <c r="W10" i="20"/>
  <c r="AA9" i="20"/>
  <c r="Z9" i="20"/>
  <c r="AB9" i="20" s="1"/>
  <c r="W9" i="20"/>
  <c r="AA8" i="20"/>
  <c r="Z8" i="20"/>
  <c r="AB8" i="20" s="1"/>
  <c r="P8" i="20"/>
  <c r="H8" i="20"/>
  <c r="AA7" i="20"/>
  <c r="Z7" i="20"/>
  <c r="AB7" i="20" s="1"/>
  <c r="P7" i="20"/>
  <c r="O7" i="20"/>
  <c r="N7" i="20"/>
  <c r="M7" i="20"/>
  <c r="H7" i="20"/>
  <c r="G7" i="20"/>
  <c r="F7" i="20"/>
  <c r="E7" i="20"/>
  <c r="AB6" i="20"/>
  <c r="AA6" i="20"/>
  <c r="Z6" i="20"/>
  <c r="R6" i="20"/>
  <c r="O6" i="20" a="1"/>
  <c r="O6" i="20" s="1"/>
  <c r="O9" i="20" s="1"/>
  <c r="N6" i="20" a="1"/>
  <c r="N6" i="20" s="1"/>
  <c r="N9" i="20" s="1"/>
  <c r="M6" i="20" a="1"/>
  <c r="M6" i="20" s="1"/>
  <c r="G6" i="20" a="1"/>
  <c r="G6" i="20" s="1"/>
  <c r="F6" i="20" a="1"/>
  <c r="F6" i="20" s="1"/>
  <c r="E6" i="20"/>
  <c r="E6" i="20" a="1"/>
  <c r="AA5" i="20"/>
  <c r="Z5" i="20"/>
  <c r="AB5" i="20" s="1"/>
  <c r="O5" i="20" a="1"/>
  <c r="O5" i="20" s="1"/>
  <c r="N5" i="20" a="1"/>
  <c r="N5" i="20" s="1"/>
  <c r="M5" i="20" a="1"/>
  <c r="M5" i="20" s="1"/>
  <c r="P5" i="20" s="1"/>
  <c r="G5" i="20" a="1"/>
  <c r="G5" i="20" s="1"/>
  <c r="F5" i="20" a="1"/>
  <c r="F5" i="20" s="1"/>
  <c r="E5" i="20" a="1"/>
  <c r="E5" i="20" s="1"/>
  <c r="AA4" i="20"/>
  <c r="Z4" i="20"/>
  <c r="AB4" i="20" s="1"/>
  <c r="W4" i="20"/>
  <c r="P4" i="20"/>
  <c r="H4" i="20"/>
  <c r="AA3" i="20"/>
  <c r="Z3" i="20"/>
  <c r="AB3" i="20" s="1"/>
  <c r="W3" i="20"/>
  <c r="H1" i="20" s="1" a="1"/>
  <c r="H1" i="20" s="1"/>
  <c r="O9" i="22" l="1"/>
  <c r="P7" i="22"/>
  <c r="AB25" i="22"/>
  <c r="AB21" i="22"/>
  <c r="AB8" i="22"/>
  <c r="AB18" i="22"/>
  <c r="AB20" i="22"/>
  <c r="AB10" i="22"/>
  <c r="AB15" i="22"/>
  <c r="AB7" i="22"/>
  <c r="AB22" i="22"/>
  <c r="AB27" i="22"/>
  <c r="AB17" i="22"/>
  <c r="AB28" i="22"/>
  <c r="AB12" i="22"/>
  <c r="AB23" i="22"/>
  <c r="AB6" i="22"/>
  <c r="AB13" i="22"/>
  <c r="AB4" i="22"/>
  <c r="AB3" i="22"/>
  <c r="AB24" i="22"/>
  <c r="AB5" i="22"/>
  <c r="AB9" i="22"/>
  <c r="P5" i="22"/>
  <c r="N9" i="22"/>
  <c r="AB16" i="22"/>
  <c r="H5" i="22"/>
  <c r="AB19" i="22"/>
  <c r="AB14" i="22"/>
  <c r="H6" i="22"/>
  <c r="P6" i="22"/>
  <c r="M9" i="22"/>
  <c r="AB16" i="21"/>
  <c r="H5" i="21"/>
  <c r="P11" i="21" s="1"/>
  <c r="AB14" i="21"/>
  <c r="AB19" i="21"/>
  <c r="H6" i="21"/>
  <c r="P12" i="21" s="1"/>
  <c r="P6" i="21"/>
  <c r="P9" i="21" s="1"/>
  <c r="M9" i="21"/>
  <c r="H6" i="20"/>
  <c r="R2" i="20" a="1"/>
  <c r="R2" i="20" s="1"/>
  <c r="H5" i="20"/>
  <c r="P11" i="20" s="1"/>
  <c r="P6" i="20"/>
  <c r="P9" i="20" s="1"/>
  <c r="M9" i="20"/>
  <c r="Y31" i="17"/>
  <c r="AA28" i="17"/>
  <c r="Z28" i="17"/>
  <c r="AA27" i="17"/>
  <c r="Z27" i="17"/>
  <c r="W26" i="17"/>
  <c r="AA25" i="17"/>
  <c r="Z25" i="17"/>
  <c r="W25" i="17"/>
  <c r="AA24" i="17"/>
  <c r="Z24" i="17"/>
  <c r="W24" i="17"/>
  <c r="AA23" i="17"/>
  <c r="Z23" i="17"/>
  <c r="W23" i="17"/>
  <c r="AA22" i="17"/>
  <c r="Z22" i="17"/>
  <c r="AA21" i="17"/>
  <c r="Z21" i="17"/>
  <c r="AA20" i="17"/>
  <c r="Z20" i="17"/>
  <c r="AA19" i="17"/>
  <c r="Z19" i="17"/>
  <c r="AA18" i="17"/>
  <c r="Z18" i="17"/>
  <c r="AA17" i="17"/>
  <c r="Z17" i="17"/>
  <c r="AA16" i="17"/>
  <c r="Z16" i="17"/>
  <c r="AA15" i="17"/>
  <c r="Z15" i="17"/>
  <c r="W15" i="17"/>
  <c r="AA14" i="17"/>
  <c r="Z14" i="17"/>
  <c r="AA13" i="17"/>
  <c r="Z13" i="17"/>
  <c r="AA12" i="17"/>
  <c r="Z12" i="17"/>
  <c r="AA11" i="17"/>
  <c r="Z11" i="17"/>
  <c r="AB11" i="17" s="1"/>
  <c r="W11" i="17"/>
  <c r="AA10" i="17"/>
  <c r="Z10" i="17"/>
  <c r="W10" i="17"/>
  <c r="AA9" i="17"/>
  <c r="Z9" i="17"/>
  <c r="W9" i="17"/>
  <c r="AA8" i="17"/>
  <c r="Z8" i="17"/>
  <c r="P8" i="17"/>
  <c r="H8" i="17"/>
  <c r="AA7" i="17"/>
  <c r="Z7" i="17"/>
  <c r="O7" i="17"/>
  <c r="N7" i="17"/>
  <c r="P7" i="17" s="1"/>
  <c r="M7" i="17"/>
  <c r="G7" i="17"/>
  <c r="F7" i="17"/>
  <c r="E7" i="17"/>
  <c r="AA6" i="17"/>
  <c r="Z6" i="17"/>
  <c r="R6" i="17"/>
  <c r="O6" i="17" a="1"/>
  <c r="O6" i="17" s="1"/>
  <c r="O9" i="17" s="1"/>
  <c r="N6" i="17" a="1"/>
  <c r="N6" i="17" s="1"/>
  <c r="M6" i="17" a="1"/>
  <c r="M6" i="17" s="1"/>
  <c r="G6" i="17" a="1"/>
  <c r="G6" i="17" s="1"/>
  <c r="F6" i="17" a="1"/>
  <c r="F6" i="17" s="1"/>
  <c r="E6" i="17" a="1"/>
  <c r="E6" i="17" s="1"/>
  <c r="AA5" i="17"/>
  <c r="Z5" i="17"/>
  <c r="O5" i="17" a="1"/>
  <c r="O5" i="17" s="1"/>
  <c r="N5" i="17" a="1"/>
  <c r="N5" i="17" s="1"/>
  <c r="M5" i="17" a="1"/>
  <c r="M5" i="17" s="1"/>
  <c r="G5" i="17" a="1"/>
  <c r="G5" i="17" s="1"/>
  <c r="F5" i="17" a="1"/>
  <c r="F5" i="17" s="1"/>
  <c r="E5" i="17" a="1"/>
  <c r="E5" i="17" s="1"/>
  <c r="AA4" i="17"/>
  <c r="Z4" i="17"/>
  <c r="W4" i="17"/>
  <c r="P4" i="17"/>
  <c r="H4" i="17"/>
  <c r="AA3" i="17"/>
  <c r="Z3" i="17"/>
  <c r="W3" i="17"/>
  <c r="H1" i="17" s="1" a="1"/>
  <c r="H1" i="17" s="1"/>
  <c r="P9" i="22" l="1"/>
  <c r="P11" i="22"/>
  <c r="R8" i="22" a="1"/>
  <c r="R8" i="22" s="1"/>
  <c r="R2" i="22" a="1"/>
  <c r="R2" i="22" s="1"/>
  <c r="P12" i="22"/>
  <c r="R2" i="21" a="1"/>
  <c r="R2" i="21" s="1"/>
  <c r="R8" i="21" a="1"/>
  <c r="R8" i="21" s="1"/>
  <c r="R8" i="20" a="1"/>
  <c r="R8" i="20" s="1"/>
  <c r="P12" i="20"/>
  <c r="AB14" i="17"/>
  <c r="H7" i="17"/>
  <c r="AB9" i="17"/>
  <c r="AB15" i="17"/>
  <c r="AB6" i="17"/>
  <c r="AB19" i="17"/>
  <c r="AB25" i="17"/>
  <c r="AB21" i="17"/>
  <c r="AB7" i="17"/>
  <c r="AB12" i="17"/>
  <c r="AB23" i="17"/>
  <c r="AB10" i="17"/>
  <c r="AB13" i="17"/>
  <c r="AB4" i="17"/>
  <c r="AB16" i="17"/>
  <c r="AB22" i="17"/>
  <c r="AB27" i="17"/>
  <c r="AB24" i="17"/>
  <c r="AB17" i="17"/>
  <c r="AB28" i="17"/>
  <c r="AB20" i="17"/>
  <c r="AB3" i="17"/>
  <c r="AB8" i="17"/>
  <c r="AB5" i="17"/>
  <c r="AB18" i="17"/>
  <c r="N9" i="17"/>
  <c r="P5" i="17"/>
  <c r="H6" i="17"/>
  <c r="P6" i="17"/>
  <c r="M9" i="17"/>
  <c r="H5" i="17"/>
  <c r="R8" i="17" l="1" a="1"/>
  <c r="R8" i="17" s="1"/>
  <c r="P11" i="17"/>
  <c r="R2" i="17" a="1"/>
  <c r="R2" i="17" s="1"/>
  <c r="P12" i="17"/>
  <c r="P9" i="17"/>
  <c r="D4" i="5" l="1"/>
  <c r="D3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<sst xmlns="http://schemas.openxmlformats.org/spreadsheetml/2006/main" count="5332" uniqueCount="71">
  <si>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</si>
  <si>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</si>
  <si>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</si>
  <si>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</si>
  <si>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</si>
  <si>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</si>
  <si>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</si>
  <si>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</si>
  <si>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</si>
  <si>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</si>
  <si>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</si>
  <si>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</si>
  <si>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</si>
  <si>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</si>
  <si>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</si>
  <si>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</si>
  <si>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</si>
  <si>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</si>
  <si>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</si>
  <si>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</si>
  <si>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</si>
  <si>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</si>
  <si>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</si>
  <si>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</si>
  <si>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</si>
  <si>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</si>
  <si>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</si>
  <si>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</si>
  <si>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</si>
  <si>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</si>
  <si>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</si>
  <si>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</si>
  <si>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</si>
  <si>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</si>
  <si>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</si>
  <si>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</si>
  <si>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</si>
  <si>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</si>
  <si>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</si>
  <si>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</si>
  <si>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</si>
  <si>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</si>
  <si>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</si>
  <si>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</si>
  <si>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</si>
  <si>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</si>
  <si>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</si>
  <si>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</si>
  <si>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</si>
  <si>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</si>
  <si>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</si>
  <si>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</si>
  <si>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</si>
  <si>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</si>
  <si>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</si>
  <si>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</si>
  <si>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</si>
  <si>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</si>
  <si>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</si>
  <si>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</si>
  <si>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</si>
  <si>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</si>
  <si>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</si>
  <si>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</si>
  <si>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</si>
  <si>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</t>
  </si>
  <si>
    <t>粮草</t>
    <phoneticPr fontId="9" type="noConversion"/>
  </si>
  <si>
    <t>经验</t>
    <phoneticPr fontId="9" type="noConversion"/>
  </si>
  <si>
    <t>test1</t>
    <phoneticPr fontId="9" type="noConversion"/>
  </si>
  <si>
    <t>test2</t>
    <phoneticPr fontId="9" type="noConversion"/>
  </si>
  <si>
    <t>飞雷神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</si>
</sst>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1" fillId="17" borderId="1" xfId="0" applyFont="1" applyFill="1" applyBorder="1"/>
    <xf numFmtId="0" fontId="6" fillId="19" borderId="6" xfId="0" applyFont="1" applyFill="1" applyBorder="1"/>
    <xf numFmtId="0" fontId="1" fillId="17" borderId="5" xfId="0" applyFont="1" applyFill="1" applyBorder="1"/>
    <xf numFmtId="0" fontId="1" fillId="21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04EF-53D2-43B1-864E-E5E3E17329F9}">
  <dimension ref="A1:AB100"/>
  <sheetViews>
    <sheetView tabSelected="1" workbookViewId="0">
      <selection activeCell="J13" sqref="J13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64990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1</v>
      </c>
      <c r="O4" s="39">
        <v>1</v>
      </c>
      <c r="P4" s="36">
        <f>SUM(M4:O4)</f>
        <v>5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51</v>
      </c>
      <c r="Z4" s="1">
        <f t="shared" ref="Z4:Z28" si="1">COUNTIF($A$4:$C$100,T4)</f>
        <v>30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6660</v>
      </c>
      <c r="H5" s="59">
        <f t="shared" ref="H5:H8" si="4">SUM(E5:G5)</f>
        <v>14530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1752</v>
      </c>
      <c r="P5" s="59">
        <f t="shared" ref="P5:P8" si="5">SUM(M5:O5)</f>
        <v>4168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215</v>
      </c>
      <c r="Z5" s="1">
        <f t="shared" si="1"/>
        <v>31</v>
      </c>
      <c r="AA5" s="1">
        <f t="shared" si="2"/>
        <v>0</v>
      </c>
      <c r="AB5" s="54">
        <f t="shared" si="3"/>
        <v>184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1510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22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0.31746031746031744</v>
      </c>
      <c r="O9" s="37">
        <f>O6/O5</f>
        <v>0.34817351598173518</v>
      </c>
      <c r="P9" s="38">
        <f>P6/P5</f>
        <v>0.36228406909788868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3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18698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3" t="s">
        <v>5</v>
      </c>
      <c r="K12" s="15" t="s">
        <v>17</v>
      </c>
      <c r="L12" s="26"/>
      <c r="M12" s="26"/>
      <c r="N12" s="26"/>
      <c r="O12" s="26"/>
      <c r="P12" s="27">
        <f>H6+P6</f>
        <v>6275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3" t="s">
        <v>5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74D7-B184-49B5-A464-2C4F74E100D9}">
  <dimension ref="A1:AB100"/>
  <sheetViews>
    <sheetView topLeftCell="A25" workbookViewId="0">
      <selection activeCell="B41" sqref="B41:B50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50</v>
      </c>
      <c r="Z4" s="1">
        <f t="shared" ref="Z4:Z28" si="1">COUNTIF($A$4:$C$100,T4)</f>
        <v>29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32</v>
      </c>
      <c r="AA5" s="1">
        <f t="shared" si="2"/>
        <v>0</v>
      </c>
      <c r="AB5" s="54">
        <f t="shared" si="3"/>
        <v>188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262</v>
      </c>
      <c r="Z6" s="1">
        <f t="shared" si="1"/>
        <v>0</v>
      </c>
      <c r="AA6" s="1">
        <f t="shared" si="2"/>
        <v>0</v>
      </c>
      <c r="AB6" s="54">
        <f t="shared" si="3"/>
        <v>262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1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18730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F0D7-0984-493E-825A-4129FDCFA3D3}">
  <dimension ref="A1:AB100"/>
  <sheetViews>
    <sheetView topLeftCell="F1" workbookViewId="0">
      <selection activeCell="J24" sqref="J24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64965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51</v>
      </c>
      <c r="Z4" s="1">
        <f t="shared" ref="Z4:Z28" si="1">COUNTIF($A$4:$C$100,T4)</f>
        <v>30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6660</v>
      </c>
      <c r="H5" s="59">
        <f t="shared" ref="H5:H8" si="4">SUM(E5:G5)</f>
        <v>14540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31</v>
      </c>
      <c r="AA5" s="1">
        <f t="shared" si="2"/>
        <v>0</v>
      </c>
      <c r="AB5" s="54">
        <f t="shared" si="3"/>
        <v>189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60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2</v>
      </c>
      <c r="AB10" s="54">
        <f t="shared" si="3"/>
        <v>1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6235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FBAD-EBD8-4522-97C0-AFA91E9EA1B4}">
  <dimension ref="A1:AB100"/>
  <sheetViews>
    <sheetView topLeftCell="P1" workbookViewId="0">
      <selection activeCell="AB10" sqref="AB10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65025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2</v>
      </c>
      <c r="O4" s="39">
        <v>1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48</v>
      </c>
      <c r="Z4" s="1">
        <f t="shared" ref="Z4:Z28" si="1">COUNTIF($A$4:$C$100,T4)</f>
        <v>29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392</v>
      </c>
      <c r="O5" s="35" cm="1">
        <f t="array" ref="O5">(SUM(VLOOKUP(K4:K100,$T$3:$W$41,2,FALSE))+O4*10)*0.8-O8*40</f>
        <v>1496</v>
      </c>
      <c r="P5" s="59">
        <f t="shared" ref="P5:P8" si="5">SUM(M5:O5)</f>
        <v>3800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224</v>
      </c>
      <c r="Z5" s="1">
        <f t="shared" si="1"/>
        <v>32</v>
      </c>
      <c r="AA5" s="1">
        <f t="shared" si="2"/>
        <v>0</v>
      </c>
      <c r="AB5" s="54">
        <f t="shared" si="3"/>
        <v>192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120</v>
      </c>
      <c r="O6" s="35" cm="1">
        <f t="array" ref="O6">(SUM(VLOOKUP(K4:K100,$T$3:$W$41,3,FALSE)))</f>
        <v>530</v>
      </c>
      <c r="P6" s="49">
        <f t="shared" si="5"/>
        <v>1390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3" t="s">
        <v>5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3</v>
      </c>
      <c r="O7" s="35">
        <f>COUNTIF(K4:K100,"&lt;&gt;空")</f>
        <v>14</v>
      </c>
      <c r="P7" s="36">
        <f t="shared" si="5"/>
        <v>39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-138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0.30612244897959184</v>
      </c>
      <c r="O9" s="37">
        <f>O6/O5</f>
        <v>0.35427807486631013</v>
      </c>
      <c r="P9" s="38">
        <f>P6/P5</f>
        <v>0.36578947368421055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5" t="s">
        <v>17</v>
      </c>
      <c r="L11" s="26"/>
      <c r="M11" s="26"/>
      <c r="N11" s="26"/>
      <c r="O11" s="26"/>
      <c r="P11" s="27">
        <f>H5+P5</f>
        <v>18490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C1CA-8F22-4870-8FCF-C919BB4D4637}">
  <dimension ref="A1:AB100"/>
  <sheetViews>
    <sheetView topLeftCell="F1" workbookViewId="0">
      <selection activeCell="Y14" sqref="Y14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3292.2163067196184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64980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9" t="s">
        <v>11</v>
      </c>
      <c r="K4" s="9" t="s">
        <v>11</v>
      </c>
      <c r="L4" s="43" t="s">
        <v>34</v>
      </c>
      <c r="M4" s="39">
        <v>3</v>
      </c>
      <c r="N4" s="39">
        <v>1</v>
      </c>
      <c r="O4" s="39">
        <v>2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30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6680</v>
      </c>
      <c r="H5" s="59">
        <f t="shared" ref="H5:H8" si="4">SUM(E5:G5)</f>
        <v>14560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504</v>
      </c>
      <c r="O5" s="35" cm="1">
        <f t="array" ref="O5">(SUM(VLOOKUP(K5:K100,$T$3:$W$41,2,FALSE))+O4*10)*0.8-O8*40</f>
        <v>1504</v>
      </c>
      <c r="P5" s="59">
        <f t="shared" ref="P5:P8" si="5">SUM(M5:O5)</f>
        <v>3920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223</v>
      </c>
      <c r="Z5" s="1">
        <f t="shared" si="1"/>
        <v>32</v>
      </c>
      <c r="AA5" s="1">
        <f t="shared" si="2"/>
        <v>0</v>
      </c>
      <c r="AB5" s="54">
        <f t="shared" si="3"/>
        <v>191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2615</v>
      </c>
      <c r="H6" s="49">
        <f t="shared" si="4"/>
        <v>4770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(SUM(VLOOKUP(K5:K100,$T$3:$W$41,3,FALSE)))</f>
        <v>530</v>
      </c>
      <c r="P6" s="49">
        <f t="shared" si="5"/>
        <v>1430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COUNTIF(K5:K100,"&lt;&gt;空")</f>
        <v>14</v>
      </c>
      <c r="P7" s="36">
        <f t="shared" si="5"/>
        <v>40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0.31746031746031744</v>
      </c>
      <c r="O9" s="37">
        <f>O6/O5</f>
        <v>0.35239361702127658</v>
      </c>
      <c r="P9" s="38">
        <f>P6/P5</f>
        <v>0.36479591836734693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18480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15" t="s">
        <v>17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5" t="s">
        <v>17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ED2-2BFB-4479-B6B2-0A5C328F6F1B}">
  <dimension ref="A1:AB100"/>
  <sheetViews>
    <sheetView workbookViewId="0">
      <selection activeCell="F12" sqref="F12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7560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6660</v>
      </c>
      <c r="H5" s="59">
        <f t="shared" ref="H5:H8" si="4">SUM(E5:G5)</f>
        <v>15120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39</v>
      </c>
      <c r="AA5" s="1">
        <f t="shared" si="2"/>
        <v>0</v>
      </c>
      <c r="AB5" s="54">
        <f t="shared" si="3"/>
        <v>194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2610</v>
      </c>
      <c r="H6" s="49">
        <f t="shared" si="4"/>
        <v>4950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1</v>
      </c>
      <c r="F8" s="41">
        <v>0</v>
      </c>
      <c r="G8" s="41">
        <v>0</v>
      </c>
      <c r="H8" s="36">
        <f t="shared" si="4"/>
        <v>1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-584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15056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501D-0B15-465A-A978-E567AB659DEB}">
  <dimension ref="A1:AB100"/>
  <sheetViews>
    <sheetView workbookViewId="0">
      <selection activeCell="C55" sqref="C55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3566.8832151643214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9</v>
      </c>
      <c r="H4" s="36">
        <f>SUM(E4:G4)</f>
        <v>17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7650</v>
      </c>
      <c r="H5" s="59">
        <f t="shared" ref="H5:H8" si="4">SUM(E5:G5)</f>
        <v>16160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44</v>
      </c>
      <c r="AA5" s="1">
        <f t="shared" si="2"/>
        <v>0</v>
      </c>
      <c r="AB5" s="54">
        <f t="shared" si="3"/>
        <v>189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2835</v>
      </c>
      <c r="H6" s="49">
        <f t="shared" si="4"/>
        <v>5175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51</v>
      </c>
      <c r="H7" s="36">
        <f t="shared" si="4"/>
        <v>105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-824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16096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5175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3" t="s">
        <v>5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4" t="s">
        <v>6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6" t="s">
        <v>18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4" t="s">
        <v>6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4" t="s">
        <v>6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17" t="s">
        <v>20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4" t="s">
        <v>6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4" t="s">
        <v>6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4" t="s">
        <v>6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17" t="s">
        <v>19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3" t="s">
        <v>5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3" t="s">
        <v>5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3" t="s">
        <v>5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3" t="s">
        <v>5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3" t="s">
        <v>5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9" t="s">
        <v>11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3" t="s">
        <v>5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3" t="s">
        <v>5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4" t="s">
        <v>6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4" t="s">
        <v>6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4" t="s">
        <v>6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4" t="s">
        <v>6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7" t="s">
        <v>20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559A-0A55-42B3-B160-97776EB74D68}">
  <dimension ref="A1:AB100"/>
  <sheetViews>
    <sheetView workbookViewId="0">
      <selection activeCell="F23" sqref="F23"/>
    </sheetView>
  </sheetViews>
  <sheetFormatPr defaultRowHeight="14.4"/>
  <sheetData>
    <row r="1" spans="1:28" ht="15.6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3421.7722330014958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8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6680</v>
      </c>
      <c r="H5" s="59">
        <f t="shared" ref="H5:H8" si="4">SUM(E5:G5)</f>
        <v>15190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40</v>
      </c>
      <c r="AA5" s="1">
        <f t="shared" si="2"/>
        <v>0</v>
      </c>
      <c r="AB5" s="54">
        <f t="shared" si="3"/>
        <v>193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2615</v>
      </c>
      <c r="H6" s="49">
        <f t="shared" si="4"/>
        <v>4955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-638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3</v>
      </c>
      <c r="AA10" s="1">
        <f t="shared" si="2"/>
        <v>0</v>
      </c>
      <c r="AB10" s="54">
        <f t="shared" si="3"/>
        <v>-1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15126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5F6D-B013-41B4-95AB-8A095EAA2BAA}">
  <dimension ref="A1:D4"/>
  <sheetViews>
    <sheetView workbookViewId="0">
      <selection activeCell="G43" sqref="G43"/>
    </sheetView>
  </sheetViews>
  <sheetFormatPr defaultRowHeight="14.4"/>
  <sheetData>
    <row r="1" spans="1:4">
      <c r="B1" t="s">
        <v>68</v>
      </c>
      <c r="C1" t="s">
        <v>69</v>
      </c>
    </row>
    <row r="2" spans="1:4">
      <c r="A2" t="s">
        <v>66</v>
      </c>
      <c r="B2">
        <v>18890</v>
      </c>
      <c r="C2">
        <v>18300</v>
      </c>
      <c r="D2">
        <f>B2-C2</f>
        <v>590</v>
      </c>
    </row>
    <row r="3" spans="1:4">
      <c r="A3" t="s">
        <v>67</v>
      </c>
      <c r="B3">
        <v>6630</v>
      </c>
      <c r="C3">
        <v>6440</v>
      </c>
      <c r="D3">
        <f>B3-C3</f>
        <v>190</v>
      </c>
    </row>
    <row r="4" spans="1:4">
      <c r="D4">
        <f>D3/D2</f>
        <v>0.32203389830508472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9.0.6</vt:lpstr>
      <vt:lpstr>9.0.4</vt:lpstr>
      <vt:lpstr>9.0.5</vt:lpstr>
      <vt:lpstr>9.0.8</vt:lpstr>
      <vt:lpstr>9.0.7</vt:lpstr>
      <vt:lpstr>9.0.2</vt:lpstr>
      <vt:lpstr>9.0.3</vt:lpstr>
      <vt:lpstr>9.0.1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2022-09-16T15:39:27Z</dcterms:modified>
</cp:coreProperties>
</file>