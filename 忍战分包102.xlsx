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18BAA71E-0F0D-4D36-B0A4-6BC0991A8F4D}" xr6:coauthVersionLast="46" xr6:coauthVersionMax="46" xr10:uidLastSave="{00000000-0000-0000-0000-000000000000}"/>
  <bookViews>
    <workbookView xWindow="-120" yWindow="-120" windowWidth="29040" windowHeight="17640" activeTab="10" xr2:uid="{00000000-000D-0000-FFFF-FFFF00000000}"/>
  </bookViews>
  <sheets>
    <sheet name="stat" sheetId="123" r:id="rId1"/>
    <sheet name="example" sheetId="117" r:id="rId2"/>
    <sheet name="Mar 12 22" sheetId="118" r:id="rId3"/>
    <sheet name="Mar 19 22" sheetId="119" r:id="rId4"/>
    <sheet name="Mar 26 22" sheetId="120" r:id="rId5"/>
    <sheet name="Apr 2 22" sheetId="121" r:id="rId6"/>
    <sheet name="Apr 9 22" sheetId="122" r:id="rId7"/>
    <sheet name="Apr 16 22" sheetId="124" r:id="rId8"/>
    <sheet name="Apr 23 22" sheetId="125" r:id="rId9"/>
    <sheet name="Apr 30 22" sheetId="126" r:id="rId10"/>
    <sheet name="May 7 22" sheetId="127" r:id="rId11"/>
  </sheets>
  <definedNames>
    <definedName name="_xlnm._FilterDatabase" localSheetId="7" hidden="1">'Apr 16 22'!$A$4:$S$51</definedName>
    <definedName name="_xlnm._FilterDatabase" localSheetId="5" hidden="1">'Apr 2 22'!$A$4:$S$49</definedName>
    <definedName name="_xlnm._FilterDatabase" localSheetId="8" hidden="1">'Apr 23 22'!$A$4:$S$51</definedName>
    <definedName name="_xlnm._FilterDatabase" localSheetId="9" hidden="1">'Apr 30 22'!$A$4:$S$51</definedName>
    <definedName name="_xlnm._FilterDatabase" localSheetId="6" hidden="1">'Apr 9 22'!$A$4:$S$49</definedName>
    <definedName name="_xlnm._FilterDatabase" localSheetId="1" hidden="1">example!$A$4:$S$46</definedName>
    <definedName name="_xlnm._FilterDatabase" localSheetId="2" hidden="1">'Mar 12 22'!$A$4:$S$48</definedName>
    <definedName name="_xlnm._FilterDatabase" localSheetId="3" hidden="1">'Mar 19 22'!$A$4:$S$48</definedName>
    <definedName name="_xlnm._FilterDatabase" localSheetId="4" hidden="1">'Mar 26 22'!$A$4:$S$49</definedName>
    <definedName name="_xlnm._FilterDatabase" localSheetId="10" hidden="1">'May 7 22'!$A$4:$S$51</definedName>
    <definedName name="_xlnm._FilterDatabase" localSheetId="0" hidden="1">stat!$A$1:$I$1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" i="127" l="1"/>
  <c r="I5" i="127" s="1"/>
  <c r="O51" i="127"/>
  <c r="J51" i="127"/>
  <c r="L51" i="127" s="1"/>
  <c r="I51" i="127"/>
  <c r="O50" i="127"/>
  <c r="J50" i="127"/>
  <c r="L50" i="127" s="1"/>
  <c r="I50" i="127"/>
  <c r="O49" i="127"/>
  <c r="J49" i="127"/>
  <c r="I49" i="127"/>
  <c r="O48" i="127"/>
  <c r="J48" i="127"/>
  <c r="L48" i="127" s="1"/>
  <c r="P48" i="127" s="1"/>
  <c r="I48" i="127"/>
  <c r="O47" i="127"/>
  <c r="J47" i="127"/>
  <c r="L47" i="127" s="1"/>
  <c r="I47" i="127"/>
  <c r="O46" i="127"/>
  <c r="J46" i="127"/>
  <c r="L46" i="127" s="1"/>
  <c r="I46" i="127"/>
  <c r="O45" i="127"/>
  <c r="J45" i="127"/>
  <c r="I45" i="127"/>
  <c r="O44" i="127"/>
  <c r="J44" i="127"/>
  <c r="L44" i="127" s="1"/>
  <c r="P44" i="127" s="1"/>
  <c r="I44" i="127"/>
  <c r="O43" i="127"/>
  <c r="J43" i="127"/>
  <c r="I43" i="127"/>
  <c r="O42" i="127"/>
  <c r="J42" i="127"/>
  <c r="L42" i="127" s="1"/>
  <c r="I42" i="127"/>
  <c r="O41" i="127"/>
  <c r="J41" i="127"/>
  <c r="L41" i="127" s="1"/>
  <c r="I41" i="127"/>
  <c r="O40" i="127"/>
  <c r="J40" i="127"/>
  <c r="L40" i="127" s="1"/>
  <c r="I40" i="127"/>
  <c r="O39" i="127"/>
  <c r="J39" i="127"/>
  <c r="L39" i="127" s="1"/>
  <c r="I39" i="127"/>
  <c r="O38" i="127"/>
  <c r="J38" i="127"/>
  <c r="L38" i="127" s="1"/>
  <c r="I38" i="127"/>
  <c r="O37" i="127"/>
  <c r="J37" i="127"/>
  <c r="L37" i="127" s="1"/>
  <c r="I37" i="127"/>
  <c r="O36" i="127"/>
  <c r="J36" i="127"/>
  <c r="L36" i="127" s="1"/>
  <c r="I36" i="127"/>
  <c r="O35" i="127"/>
  <c r="J35" i="127"/>
  <c r="L35" i="127" s="1"/>
  <c r="I35" i="127"/>
  <c r="O34" i="127"/>
  <c r="J34" i="127"/>
  <c r="I34" i="127"/>
  <c r="O33" i="127"/>
  <c r="J33" i="127"/>
  <c r="I33" i="127"/>
  <c r="O32" i="127"/>
  <c r="J32" i="127"/>
  <c r="L32" i="127" s="1"/>
  <c r="I32" i="127"/>
  <c r="O31" i="127"/>
  <c r="J31" i="127"/>
  <c r="I31" i="127"/>
  <c r="O30" i="127"/>
  <c r="J30" i="127"/>
  <c r="I30" i="127"/>
  <c r="O29" i="127"/>
  <c r="J29" i="127"/>
  <c r="L29" i="127" s="1"/>
  <c r="I29" i="127"/>
  <c r="O28" i="127"/>
  <c r="J28" i="127"/>
  <c r="L28" i="127" s="1"/>
  <c r="I28" i="127"/>
  <c r="O27" i="127"/>
  <c r="J27" i="127"/>
  <c r="L27" i="127" s="1"/>
  <c r="I27" i="127"/>
  <c r="O26" i="127"/>
  <c r="J26" i="127"/>
  <c r="I26" i="127"/>
  <c r="O25" i="127"/>
  <c r="J25" i="127"/>
  <c r="L25" i="127" s="1"/>
  <c r="I25" i="127"/>
  <c r="O24" i="127"/>
  <c r="J24" i="127"/>
  <c r="I24" i="127"/>
  <c r="O23" i="127"/>
  <c r="J23" i="127"/>
  <c r="I23" i="127"/>
  <c r="O22" i="127"/>
  <c r="J22" i="127"/>
  <c r="L22" i="127" s="1"/>
  <c r="I22" i="127"/>
  <c r="O21" i="127"/>
  <c r="J21" i="127"/>
  <c r="L21" i="127" s="1"/>
  <c r="I21" i="127"/>
  <c r="O20" i="127"/>
  <c r="J20" i="127"/>
  <c r="L20" i="127" s="1"/>
  <c r="I20" i="127"/>
  <c r="O19" i="127"/>
  <c r="J19" i="127"/>
  <c r="I19" i="127"/>
  <c r="O18" i="127"/>
  <c r="J18" i="127"/>
  <c r="L18" i="127" s="1"/>
  <c r="I18" i="127"/>
  <c r="O17" i="127"/>
  <c r="J17" i="127"/>
  <c r="I17" i="127"/>
  <c r="O16" i="127"/>
  <c r="J16" i="127"/>
  <c r="L16" i="127" s="1"/>
  <c r="I16" i="127"/>
  <c r="O15" i="127"/>
  <c r="J15" i="127"/>
  <c r="I15" i="127"/>
  <c r="O14" i="127"/>
  <c r="J14" i="127"/>
  <c r="L14" i="127" s="1"/>
  <c r="I14" i="127"/>
  <c r="O13" i="127"/>
  <c r="J13" i="127"/>
  <c r="L13" i="127" s="1"/>
  <c r="I13" i="127"/>
  <c r="O12" i="127"/>
  <c r="J12" i="127"/>
  <c r="L12" i="127" s="1"/>
  <c r="I12" i="127"/>
  <c r="O11" i="127"/>
  <c r="J11" i="127"/>
  <c r="I11" i="127"/>
  <c r="O10" i="127"/>
  <c r="J10" i="127"/>
  <c r="L10" i="127" s="1"/>
  <c r="I10" i="127"/>
  <c r="O9" i="127"/>
  <c r="J9" i="127"/>
  <c r="L9" i="127" s="1"/>
  <c r="I9" i="127"/>
  <c r="O8" i="127"/>
  <c r="J8" i="127"/>
  <c r="L8" i="127" s="1"/>
  <c r="I8" i="127"/>
  <c r="O7" i="127"/>
  <c r="J7" i="127"/>
  <c r="L7" i="127" s="1"/>
  <c r="I7" i="127"/>
  <c r="O6" i="127"/>
  <c r="J6" i="127"/>
  <c r="L6" i="127" s="1"/>
  <c r="I6" i="127"/>
  <c r="O5" i="127"/>
  <c r="J5" i="127"/>
  <c r="B1" i="127"/>
  <c r="O51" i="126"/>
  <c r="J51" i="126"/>
  <c r="I51" i="126"/>
  <c r="O50" i="126"/>
  <c r="J50" i="126"/>
  <c r="I50" i="126"/>
  <c r="O49" i="126"/>
  <c r="J49" i="126"/>
  <c r="I49" i="126"/>
  <c r="O48" i="126"/>
  <c r="J48" i="126"/>
  <c r="I48" i="126"/>
  <c r="O47" i="126"/>
  <c r="J47" i="126"/>
  <c r="I47" i="126"/>
  <c r="O46" i="126"/>
  <c r="J46" i="126"/>
  <c r="I46" i="126"/>
  <c r="O45" i="126"/>
  <c r="J45" i="126"/>
  <c r="I45" i="126"/>
  <c r="O44" i="126"/>
  <c r="J44" i="126"/>
  <c r="I44" i="126"/>
  <c r="O43" i="126"/>
  <c r="J43" i="126"/>
  <c r="I43" i="126"/>
  <c r="O42" i="126"/>
  <c r="J42" i="126"/>
  <c r="I42" i="126"/>
  <c r="O41" i="126"/>
  <c r="J41" i="126"/>
  <c r="I41" i="126"/>
  <c r="O40" i="126"/>
  <c r="J40" i="126"/>
  <c r="I40" i="126"/>
  <c r="O39" i="126"/>
  <c r="J39" i="126"/>
  <c r="I39" i="126"/>
  <c r="O38" i="126"/>
  <c r="J38" i="126"/>
  <c r="I38" i="126"/>
  <c r="O37" i="126"/>
  <c r="J37" i="126"/>
  <c r="I37" i="126"/>
  <c r="O36" i="126"/>
  <c r="J36" i="126"/>
  <c r="I36" i="126"/>
  <c r="O35" i="126"/>
  <c r="J35" i="126"/>
  <c r="I35" i="126"/>
  <c r="O34" i="126"/>
  <c r="J34" i="126"/>
  <c r="I34" i="126"/>
  <c r="O33" i="126"/>
  <c r="J33" i="126"/>
  <c r="I33" i="126"/>
  <c r="O32" i="126"/>
  <c r="J32" i="126"/>
  <c r="I32" i="126"/>
  <c r="O31" i="126"/>
  <c r="J31" i="126"/>
  <c r="I31" i="126"/>
  <c r="O30" i="126"/>
  <c r="J30" i="126"/>
  <c r="I30" i="126"/>
  <c r="O29" i="126"/>
  <c r="J29" i="126"/>
  <c r="I29" i="126"/>
  <c r="O28" i="126"/>
  <c r="J28" i="126"/>
  <c r="I28" i="126"/>
  <c r="O27" i="126"/>
  <c r="J27" i="126"/>
  <c r="I27" i="126"/>
  <c r="O26" i="126"/>
  <c r="J26" i="126"/>
  <c r="I26" i="126"/>
  <c r="O25" i="126"/>
  <c r="J25" i="126"/>
  <c r="I25" i="126"/>
  <c r="O24" i="126"/>
  <c r="J24" i="126"/>
  <c r="I24" i="126"/>
  <c r="O23" i="126"/>
  <c r="J23" i="126"/>
  <c r="I23" i="126"/>
  <c r="O22" i="126"/>
  <c r="J22" i="126"/>
  <c r="I22" i="126"/>
  <c r="O21" i="126"/>
  <c r="J21" i="126"/>
  <c r="I21" i="126"/>
  <c r="O20" i="126"/>
  <c r="J20" i="126"/>
  <c r="I20" i="126"/>
  <c r="O19" i="126"/>
  <c r="J19" i="126"/>
  <c r="I19" i="126"/>
  <c r="O18" i="126"/>
  <c r="J18" i="126"/>
  <c r="I18" i="126"/>
  <c r="O17" i="126"/>
  <c r="J17" i="126"/>
  <c r="I17" i="126"/>
  <c r="O16" i="126"/>
  <c r="J16" i="126"/>
  <c r="I16" i="126"/>
  <c r="O15" i="126"/>
  <c r="J15" i="126"/>
  <c r="I15" i="126"/>
  <c r="O14" i="126"/>
  <c r="J14" i="126"/>
  <c r="I14" i="126"/>
  <c r="O13" i="126"/>
  <c r="J13" i="126"/>
  <c r="I13" i="126"/>
  <c r="O12" i="126"/>
  <c r="J12" i="126"/>
  <c r="I12" i="126"/>
  <c r="O11" i="126"/>
  <c r="J11" i="126"/>
  <c r="I11" i="126"/>
  <c r="O10" i="126"/>
  <c r="J10" i="126"/>
  <c r="I10" i="126"/>
  <c r="O9" i="126"/>
  <c r="J9" i="126"/>
  <c r="I9" i="126"/>
  <c r="O8" i="126"/>
  <c r="J8" i="126"/>
  <c r="I8" i="126"/>
  <c r="O7" i="126"/>
  <c r="J7" i="126"/>
  <c r="I7" i="126"/>
  <c r="O6" i="126"/>
  <c r="J6" i="126"/>
  <c r="I6" i="126"/>
  <c r="O5" i="126"/>
  <c r="J5" i="126"/>
  <c r="I5" i="126"/>
  <c r="B1" i="126"/>
  <c r="C47" i="123"/>
  <c r="C48" i="123"/>
  <c r="O41" i="125"/>
  <c r="J41" i="125"/>
  <c r="I41" i="125"/>
  <c r="O46" i="125"/>
  <c r="J46" i="125"/>
  <c r="I46" i="125"/>
  <c r="O44" i="125"/>
  <c r="J44" i="125"/>
  <c r="I44" i="125"/>
  <c r="O43" i="125"/>
  <c r="J43" i="125"/>
  <c r="I43" i="125"/>
  <c r="O42" i="125"/>
  <c r="J42" i="125"/>
  <c r="I42" i="125"/>
  <c r="O47" i="125"/>
  <c r="J47" i="125"/>
  <c r="I47" i="125"/>
  <c r="O45" i="125"/>
  <c r="J45" i="125"/>
  <c r="I45" i="125"/>
  <c r="O36" i="125"/>
  <c r="J36" i="125"/>
  <c r="I36" i="125"/>
  <c r="O40" i="125"/>
  <c r="J40" i="125"/>
  <c r="I40" i="125"/>
  <c r="O27" i="125"/>
  <c r="J27" i="125"/>
  <c r="I27" i="125"/>
  <c r="O51" i="125"/>
  <c r="J51" i="125"/>
  <c r="I51" i="125"/>
  <c r="O39" i="125"/>
  <c r="J39" i="125"/>
  <c r="L39" i="125" s="1"/>
  <c r="I39" i="125"/>
  <c r="O50" i="125"/>
  <c r="J50" i="125"/>
  <c r="I50" i="125"/>
  <c r="O49" i="125"/>
  <c r="J49" i="125"/>
  <c r="I49" i="125"/>
  <c r="O35" i="125"/>
  <c r="J35" i="125"/>
  <c r="I35" i="125"/>
  <c r="O33" i="125"/>
  <c r="J33" i="125"/>
  <c r="I33" i="125"/>
  <c r="O37" i="125"/>
  <c r="J37" i="125"/>
  <c r="I37" i="125"/>
  <c r="O6" i="125"/>
  <c r="J6" i="125"/>
  <c r="I6" i="125"/>
  <c r="O34" i="125"/>
  <c r="J34" i="125"/>
  <c r="I34" i="125"/>
  <c r="O38" i="125"/>
  <c r="J38" i="125"/>
  <c r="L38" i="125" s="1"/>
  <c r="I38" i="125"/>
  <c r="O22" i="125"/>
  <c r="J22" i="125"/>
  <c r="I22" i="125"/>
  <c r="O17" i="125"/>
  <c r="J17" i="125"/>
  <c r="I17" i="125"/>
  <c r="O32" i="125"/>
  <c r="J32" i="125"/>
  <c r="I32" i="125"/>
  <c r="O23" i="125"/>
  <c r="J23" i="125"/>
  <c r="L23" i="125" s="1"/>
  <c r="I23" i="125"/>
  <c r="O19" i="125"/>
  <c r="J19" i="125"/>
  <c r="I19" i="125"/>
  <c r="O24" i="125"/>
  <c r="J24" i="125"/>
  <c r="I24" i="125"/>
  <c r="O20" i="125"/>
  <c r="J20" i="125"/>
  <c r="I20" i="125"/>
  <c r="O30" i="125"/>
  <c r="J30" i="125"/>
  <c r="L30" i="125" s="1"/>
  <c r="I30" i="125"/>
  <c r="O18" i="125"/>
  <c r="J18" i="125"/>
  <c r="I18" i="125"/>
  <c r="O21" i="125"/>
  <c r="J21" i="125"/>
  <c r="I21" i="125"/>
  <c r="O28" i="125"/>
  <c r="J28" i="125"/>
  <c r="I28" i="125"/>
  <c r="O10" i="125"/>
  <c r="J10" i="125"/>
  <c r="L10" i="125" s="1"/>
  <c r="I10" i="125"/>
  <c r="O12" i="125"/>
  <c r="J12" i="125"/>
  <c r="I12" i="125"/>
  <c r="O16" i="125"/>
  <c r="J16" i="125"/>
  <c r="I16" i="125"/>
  <c r="O14" i="125"/>
  <c r="J14" i="125"/>
  <c r="I14" i="125"/>
  <c r="O9" i="125"/>
  <c r="J9" i="125"/>
  <c r="I9" i="125"/>
  <c r="O26" i="125"/>
  <c r="J26" i="125"/>
  <c r="I26" i="125"/>
  <c r="O13" i="125"/>
  <c r="J13" i="125"/>
  <c r="I13" i="125"/>
  <c r="O7" i="125"/>
  <c r="J7" i="125"/>
  <c r="I7" i="125"/>
  <c r="O5" i="125"/>
  <c r="J5" i="125"/>
  <c r="L5" i="125" s="1"/>
  <c r="I5" i="125"/>
  <c r="O11" i="125"/>
  <c r="J11" i="125"/>
  <c r="I11" i="125"/>
  <c r="O25" i="125"/>
  <c r="J25" i="125"/>
  <c r="I25" i="125"/>
  <c r="O29" i="125"/>
  <c r="J29" i="125"/>
  <c r="I29" i="125"/>
  <c r="O31" i="125"/>
  <c r="J31" i="125"/>
  <c r="I31" i="125"/>
  <c r="O48" i="125"/>
  <c r="J48" i="125"/>
  <c r="I48" i="125"/>
  <c r="O15" i="125"/>
  <c r="J15" i="125"/>
  <c r="I15" i="125"/>
  <c r="O8" i="125"/>
  <c r="J8" i="125"/>
  <c r="I8" i="125"/>
  <c r="B1" i="125"/>
  <c r="O51" i="124"/>
  <c r="J51" i="124"/>
  <c r="I51" i="124"/>
  <c r="I50" i="124"/>
  <c r="J50" i="124"/>
  <c r="O50" i="124"/>
  <c r="O49" i="124"/>
  <c r="J49" i="124"/>
  <c r="I49" i="124"/>
  <c r="O48" i="124"/>
  <c r="J48" i="124"/>
  <c r="I48" i="124"/>
  <c r="O47" i="124"/>
  <c r="J47" i="124"/>
  <c r="I47" i="124"/>
  <c r="O46" i="124"/>
  <c r="J46" i="124"/>
  <c r="I46" i="124"/>
  <c r="O45" i="124"/>
  <c r="J45" i="124"/>
  <c r="I45" i="124"/>
  <c r="O44" i="124"/>
  <c r="J44" i="124"/>
  <c r="I44" i="124"/>
  <c r="O43" i="124"/>
  <c r="J43" i="124"/>
  <c r="I43" i="124"/>
  <c r="O42" i="124"/>
  <c r="J42" i="124"/>
  <c r="I42" i="124"/>
  <c r="O41" i="124"/>
  <c r="J41" i="124"/>
  <c r="I41" i="124"/>
  <c r="O40" i="124"/>
  <c r="J40" i="124"/>
  <c r="I40" i="124"/>
  <c r="O39" i="124"/>
  <c r="J39" i="124"/>
  <c r="I39" i="124"/>
  <c r="O38" i="124"/>
  <c r="J38" i="124"/>
  <c r="I38" i="124"/>
  <c r="O37" i="124"/>
  <c r="J37" i="124"/>
  <c r="I37" i="124"/>
  <c r="O36" i="124"/>
  <c r="J36" i="124"/>
  <c r="I36" i="124"/>
  <c r="O35" i="124"/>
  <c r="J35" i="124"/>
  <c r="I35" i="124"/>
  <c r="O34" i="124"/>
  <c r="J34" i="124"/>
  <c r="I34" i="124"/>
  <c r="O33" i="124"/>
  <c r="J33" i="124"/>
  <c r="I33" i="124"/>
  <c r="O32" i="124"/>
  <c r="J32" i="124"/>
  <c r="I32" i="124"/>
  <c r="O31" i="124"/>
  <c r="J31" i="124"/>
  <c r="I31" i="124"/>
  <c r="O30" i="124"/>
  <c r="J30" i="124"/>
  <c r="I30" i="124"/>
  <c r="O29" i="124"/>
  <c r="J29" i="124"/>
  <c r="I29" i="124"/>
  <c r="O28" i="124"/>
  <c r="J28" i="124"/>
  <c r="I28" i="124"/>
  <c r="O27" i="124"/>
  <c r="J27" i="124"/>
  <c r="I27" i="124"/>
  <c r="O26" i="124"/>
  <c r="J26" i="124"/>
  <c r="I26" i="124"/>
  <c r="O25" i="124"/>
  <c r="J25" i="124"/>
  <c r="I25" i="124"/>
  <c r="O24" i="124"/>
  <c r="J24" i="124"/>
  <c r="I24" i="124"/>
  <c r="O23" i="124"/>
  <c r="J23" i="124"/>
  <c r="I23" i="124"/>
  <c r="O22" i="124"/>
  <c r="J22" i="124"/>
  <c r="I22" i="124"/>
  <c r="O21" i="124"/>
  <c r="J21" i="124"/>
  <c r="I21" i="124"/>
  <c r="O20" i="124"/>
  <c r="J20" i="124"/>
  <c r="I20" i="124"/>
  <c r="O19" i="124"/>
  <c r="J19" i="124"/>
  <c r="I19" i="124"/>
  <c r="O18" i="124"/>
  <c r="J18" i="124"/>
  <c r="I18" i="124"/>
  <c r="O17" i="124"/>
  <c r="J17" i="124"/>
  <c r="I17" i="124"/>
  <c r="O16" i="124"/>
  <c r="J16" i="124"/>
  <c r="I16" i="124"/>
  <c r="O15" i="124"/>
  <c r="J15" i="124"/>
  <c r="I15" i="124"/>
  <c r="O14" i="124"/>
  <c r="J14" i="124"/>
  <c r="I14" i="124"/>
  <c r="O13" i="124"/>
  <c r="J13" i="124"/>
  <c r="I13" i="124"/>
  <c r="O12" i="124"/>
  <c r="J12" i="124"/>
  <c r="I12" i="124"/>
  <c r="O11" i="124"/>
  <c r="J11" i="124"/>
  <c r="I11" i="124"/>
  <c r="O10" i="124"/>
  <c r="J10" i="124"/>
  <c r="I10" i="124"/>
  <c r="O9" i="124"/>
  <c r="J9" i="124"/>
  <c r="I9" i="124"/>
  <c r="O8" i="124"/>
  <c r="J8" i="124"/>
  <c r="I8" i="124"/>
  <c r="O7" i="124"/>
  <c r="J7" i="124"/>
  <c r="I7" i="124"/>
  <c r="O6" i="124"/>
  <c r="J6" i="124"/>
  <c r="I6" i="124"/>
  <c r="O5" i="124"/>
  <c r="J5" i="124"/>
  <c r="I5" i="124"/>
  <c r="B1" i="124"/>
  <c r="C3" i="123"/>
  <c r="C4" i="123"/>
  <c r="C5" i="123"/>
  <c r="C6" i="123"/>
  <c r="C7" i="123"/>
  <c r="C8" i="123"/>
  <c r="C9" i="123"/>
  <c r="C10" i="123"/>
  <c r="C11" i="123"/>
  <c r="C12" i="123"/>
  <c r="C13" i="123"/>
  <c r="C14" i="123"/>
  <c r="C15" i="123"/>
  <c r="C16" i="123"/>
  <c r="C17" i="123"/>
  <c r="C18" i="123"/>
  <c r="C19" i="123"/>
  <c r="C20" i="123"/>
  <c r="C21" i="123"/>
  <c r="C22" i="123"/>
  <c r="C23" i="123"/>
  <c r="C24" i="123"/>
  <c r="C25" i="123"/>
  <c r="C26" i="123"/>
  <c r="C27" i="123"/>
  <c r="C28" i="123"/>
  <c r="C29" i="123"/>
  <c r="C30" i="123"/>
  <c r="C31" i="123"/>
  <c r="C32" i="123"/>
  <c r="C33" i="123"/>
  <c r="C34" i="123"/>
  <c r="C35" i="123"/>
  <c r="C36" i="123"/>
  <c r="C37" i="123"/>
  <c r="C38" i="123"/>
  <c r="C39" i="123"/>
  <c r="C40" i="123"/>
  <c r="C41" i="123"/>
  <c r="C42" i="123"/>
  <c r="C43" i="123"/>
  <c r="C44" i="123"/>
  <c r="C45" i="123"/>
  <c r="C46" i="123"/>
  <c r="C2" i="123"/>
  <c r="O49" i="122"/>
  <c r="J49" i="122"/>
  <c r="I49" i="122"/>
  <c r="O48" i="122"/>
  <c r="J48" i="122"/>
  <c r="I48" i="122"/>
  <c r="O47" i="122"/>
  <c r="J47" i="122"/>
  <c r="I47" i="122"/>
  <c r="O46" i="122"/>
  <c r="J46" i="122"/>
  <c r="I46" i="122"/>
  <c r="O45" i="122"/>
  <c r="J45" i="122"/>
  <c r="L45" i="122" s="1"/>
  <c r="I45" i="122"/>
  <c r="O44" i="122"/>
  <c r="J44" i="122"/>
  <c r="I44" i="122"/>
  <c r="O43" i="122"/>
  <c r="J43" i="122"/>
  <c r="I43" i="122"/>
  <c r="O42" i="122"/>
  <c r="J42" i="122"/>
  <c r="I42" i="122"/>
  <c r="O41" i="122"/>
  <c r="J41" i="122"/>
  <c r="L41" i="122" s="1"/>
  <c r="I41" i="122"/>
  <c r="O40" i="122"/>
  <c r="J40" i="122"/>
  <c r="I40" i="122"/>
  <c r="O39" i="122"/>
  <c r="J39" i="122"/>
  <c r="L39" i="122" s="1"/>
  <c r="I39" i="122"/>
  <c r="O38" i="122"/>
  <c r="J38" i="122"/>
  <c r="I38" i="122"/>
  <c r="O37" i="122"/>
  <c r="J37" i="122"/>
  <c r="L37" i="122" s="1"/>
  <c r="I37" i="122"/>
  <c r="O36" i="122"/>
  <c r="J36" i="122"/>
  <c r="I36" i="122"/>
  <c r="O35" i="122"/>
  <c r="J35" i="122"/>
  <c r="L35" i="122" s="1"/>
  <c r="I35" i="122"/>
  <c r="O34" i="122"/>
  <c r="J34" i="122"/>
  <c r="I34" i="122"/>
  <c r="O33" i="122"/>
  <c r="J33" i="122"/>
  <c r="L33" i="122" s="1"/>
  <c r="I33" i="122"/>
  <c r="O32" i="122"/>
  <c r="J32" i="122"/>
  <c r="I32" i="122"/>
  <c r="O31" i="122"/>
  <c r="J31" i="122"/>
  <c r="L31" i="122" s="1"/>
  <c r="I31" i="122"/>
  <c r="O30" i="122"/>
  <c r="J30" i="122"/>
  <c r="I30" i="122"/>
  <c r="O29" i="122"/>
  <c r="J29" i="122"/>
  <c r="L29" i="122" s="1"/>
  <c r="I29" i="122"/>
  <c r="O28" i="122"/>
  <c r="J28" i="122"/>
  <c r="I28" i="122"/>
  <c r="O27" i="122"/>
  <c r="J27" i="122"/>
  <c r="L27" i="122" s="1"/>
  <c r="I27" i="122"/>
  <c r="O26" i="122"/>
  <c r="J26" i="122"/>
  <c r="I26" i="122"/>
  <c r="O25" i="122"/>
  <c r="J25" i="122"/>
  <c r="L25" i="122" s="1"/>
  <c r="I25" i="122"/>
  <c r="O24" i="122"/>
  <c r="J24" i="122"/>
  <c r="I24" i="122"/>
  <c r="O23" i="122"/>
  <c r="J23" i="122"/>
  <c r="L23" i="122" s="1"/>
  <c r="I23" i="122"/>
  <c r="O22" i="122"/>
  <c r="J22" i="122"/>
  <c r="I22" i="122"/>
  <c r="O21" i="122"/>
  <c r="J21" i="122"/>
  <c r="L21" i="122" s="1"/>
  <c r="I21" i="122"/>
  <c r="O20" i="122"/>
  <c r="J20" i="122"/>
  <c r="I20" i="122"/>
  <c r="O19" i="122"/>
  <c r="J19" i="122"/>
  <c r="L19" i="122" s="1"/>
  <c r="I19" i="122"/>
  <c r="O18" i="122"/>
  <c r="J18" i="122"/>
  <c r="I18" i="122"/>
  <c r="O17" i="122"/>
  <c r="J17" i="122"/>
  <c r="L17" i="122" s="1"/>
  <c r="I17" i="122"/>
  <c r="O16" i="122"/>
  <c r="J16" i="122"/>
  <c r="I16" i="122"/>
  <c r="O15" i="122"/>
  <c r="J15" i="122"/>
  <c r="I15" i="122"/>
  <c r="O14" i="122"/>
  <c r="J14" i="122"/>
  <c r="I14" i="122"/>
  <c r="O13" i="122"/>
  <c r="J13" i="122"/>
  <c r="L13" i="122" s="1"/>
  <c r="I13" i="122"/>
  <c r="O12" i="122"/>
  <c r="J12" i="122"/>
  <c r="I12" i="122"/>
  <c r="O11" i="122"/>
  <c r="J11" i="122"/>
  <c r="L11" i="122" s="1"/>
  <c r="I11" i="122"/>
  <c r="O10" i="122"/>
  <c r="J10" i="122"/>
  <c r="I10" i="122"/>
  <c r="O9" i="122"/>
  <c r="J9" i="122"/>
  <c r="L9" i="122" s="1"/>
  <c r="I9" i="122"/>
  <c r="O8" i="122"/>
  <c r="J8" i="122"/>
  <c r="I8" i="122"/>
  <c r="O7" i="122"/>
  <c r="J7" i="122"/>
  <c r="L7" i="122" s="1"/>
  <c r="I7" i="122"/>
  <c r="O6" i="122"/>
  <c r="J6" i="122"/>
  <c r="I6" i="122"/>
  <c r="O5" i="122"/>
  <c r="J5" i="122"/>
  <c r="L5" i="122" s="1"/>
  <c r="I5" i="122"/>
  <c r="B1" i="122"/>
  <c r="I38" i="120"/>
  <c r="I16" i="120"/>
  <c r="I14" i="120"/>
  <c r="I18" i="120"/>
  <c r="I26" i="120"/>
  <c r="I19" i="120"/>
  <c r="I12" i="120"/>
  <c r="I21" i="120"/>
  <c r="I25" i="120"/>
  <c r="I23" i="120"/>
  <c r="I20" i="120"/>
  <c r="I28" i="120"/>
  <c r="I30" i="120"/>
  <c r="I32" i="120"/>
  <c r="I31" i="120"/>
  <c r="I17" i="120"/>
  <c r="I13" i="120"/>
  <c r="I29" i="120"/>
  <c r="I8" i="120"/>
  <c r="I7" i="120"/>
  <c r="I48" i="120"/>
  <c r="I34" i="120"/>
  <c r="I6" i="120"/>
  <c r="I49" i="120"/>
  <c r="I22" i="120"/>
  <c r="I35" i="120"/>
  <c r="I37" i="120"/>
  <c r="I33" i="120"/>
  <c r="I39" i="120"/>
  <c r="I40" i="120"/>
  <c r="I27" i="120"/>
  <c r="I47" i="120"/>
  <c r="I36" i="120"/>
  <c r="I45" i="120"/>
  <c r="I41" i="120"/>
  <c r="I11" i="120"/>
  <c r="I42" i="120"/>
  <c r="I43" i="120"/>
  <c r="I44" i="120"/>
  <c r="I46" i="120"/>
  <c r="L14" i="120"/>
  <c r="L27" i="120"/>
  <c r="O38" i="120"/>
  <c r="O16" i="120"/>
  <c r="O14" i="120"/>
  <c r="O18" i="120"/>
  <c r="O26" i="120"/>
  <c r="O19" i="120"/>
  <c r="O12" i="120"/>
  <c r="O21" i="120"/>
  <c r="O25" i="120"/>
  <c r="O23" i="120"/>
  <c r="O20" i="120"/>
  <c r="O28" i="120"/>
  <c r="O30" i="120"/>
  <c r="O32" i="120"/>
  <c r="O31" i="120"/>
  <c r="O17" i="120"/>
  <c r="O13" i="120"/>
  <c r="O29" i="120"/>
  <c r="O8" i="120"/>
  <c r="O7" i="120"/>
  <c r="O48" i="120"/>
  <c r="O34" i="120"/>
  <c r="O6" i="120"/>
  <c r="O49" i="120"/>
  <c r="O22" i="120"/>
  <c r="O35" i="120"/>
  <c r="O37" i="120"/>
  <c r="O33" i="120"/>
  <c r="O39" i="120"/>
  <c r="O40" i="120"/>
  <c r="O27" i="120"/>
  <c r="O47" i="120"/>
  <c r="O36" i="120"/>
  <c r="O45" i="120"/>
  <c r="O41" i="120"/>
  <c r="O11" i="120"/>
  <c r="O42" i="120"/>
  <c r="O43" i="120"/>
  <c r="O44" i="120"/>
  <c r="O46" i="120"/>
  <c r="O38" i="121"/>
  <c r="O16" i="121"/>
  <c r="O14" i="121"/>
  <c r="O18" i="121"/>
  <c r="O26" i="121"/>
  <c r="O19" i="121"/>
  <c r="O12" i="121"/>
  <c r="O21" i="121"/>
  <c r="O25" i="121"/>
  <c r="O23" i="121"/>
  <c r="O20" i="121"/>
  <c r="O28" i="121"/>
  <c r="O30" i="121"/>
  <c r="O32" i="121"/>
  <c r="O31" i="121"/>
  <c r="O17" i="121"/>
  <c r="O13" i="121"/>
  <c r="O29" i="121"/>
  <c r="O8" i="121"/>
  <c r="O7" i="121"/>
  <c r="O48" i="121"/>
  <c r="O34" i="121"/>
  <c r="O6" i="121"/>
  <c r="O49" i="121"/>
  <c r="O22" i="121"/>
  <c r="O35" i="121"/>
  <c r="O37" i="121"/>
  <c r="O33" i="121"/>
  <c r="O39" i="121"/>
  <c r="O40" i="121"/>
  <c r="O27" i="121"/>
  <c r="O47" i="121"/>
  <c r="O36" i="121"/>
  <c r="O45" i="121"/>
  <c r="O41" i="121"/>
  <c r="O11" i="121"/>
  <c r="O42" i="121"/>
  <c r="O43" i="121"/>
  <c r="O44" i="121"/>
  <c r="O46" i="121"/>
  <c r="I38" i="121"/>
  <c r="I16" i="121"/>
  <c r="I14" i="121"/>
  <c r="I18" i="121"/>
  <c r="I26" i="121"/>
  <c r="I19" i="121"/>
  <c r="I12" i="121"/>
  <c r="I21" i="121"/>
  <c r="I25" i="121"/>
  <c r="I23" i="121"/>
  <c r="I20" i="121"/>
  <c r="I28" i="121"/>
  <c r="I30" i="121"/>
  <c r="I32" i="121"/>
  <c r="I31" i="121"/>
  <c r="I17" i="121"/>
  <c r="I13" i="121"/>
  <c r="I29" i="121"/>
  <c r="I8" i="121"/>
  <c r="I7" i="121"/>
  <c r="I48" i="121"/>
  <c r="I34" i="121"/>
  <c r="I6" i="121"/>
  <c r="I49" i="121"/>
  <c r="I22" i="121"/>
  <c r="I35" i="121"/>
  <c r="I37" i="121"/>
  <c r="I33" i="121"/>
  <c r="I39" i="121"/>
  <c r="I40" i="121"/>
  <c r="I27" i="121"/>
  <c r="I47" i="121"/>
  <c r="I36" i="121"/>
  <c r="I45" i="121"/>
  <c r="I41" i="121"/>
  <c r="I11" i="121"/>
  <c r="I42" i="121"/>
  <c r="I43" i="121"/>
  <c r="I44" i="121"/>
  <c r="I46" i="121"/>
  <c r="J46" i="121"/>
  <c r="J44" i="121"/>
  <c r="J43" i="121"/>
  <c r="J42" i="121"/>
  <c r="J11" i="121"/>
  <c r="J41" i="121"/>
  <c r="J45" i="121"/>
  <c r="J36" i="121"/>
  <c r="J47" i="121"/>
  <c r="J27" i="121"/>
  <c r="J40" i="121"/>
  <c r="J39" i="121"/>
  <c r="J33" i="121"/>
  <c r="J37" i="121"/>
  <c r="J35" i="121"/>
  <c r="J22" i="121"/>
  <c r="J49" i="121"/>
  <c r="J6" i="121"/>
  <c r="J34" i="121"/>
  <c r="L34" i="121" s="1"/>
  <c r="P34" i="121" s="1"/>
  <c r="J48" i="121"/>
  <c r="J7" i="121"/>
  <c r="J8" i="121"/>
  <c r="J29" i="121"/>
  <c r="J13" i="121"/>
  <c r="J17" i="121"/>
  <c r="J31" i="121"/>
  <c r="J32" i="121"/>
  <c r="J30" i="121"/>
  <c r="J28" i="121"/>
  <c r="J20" i="121"/>
  <c r="J23" i="121"/>
  <c r="J25" i="121"/>
  <c r="J21" i="121"/>
  <c r="J12" i="121"/>
  <c r="J19" i="121"/>
  <c r="J26" i="121"/>
  <c r="J18" i="121"/>
  <c r="J14" i="121"/>
  <c r="J16" i="121"/>
  <c r="J38" i="121"/>
  <c r="O15" i="121"/>
  <c r="J15" i="121"/>
  <c r="I15" i="121"/>
  <c r="O24" i="121"/>
  <c r="J24" i="121"/>
  <c r="I24" i="121"/>
  <c r="O10" i="121"/>
  <c r="J10" i="121"/>
  <c r="I10" i="121"/>
  <c r="O9" i="121"/>
  <c r="J9" i="121"/>
  <c r="I9" i="121"/>
  <c r="O5" i="121"/>
  <c r="J5" i="121"/>
  <c r="I5" i="121"/>
  <c r="B1" i="121"/>
  <c r="I5" i="120"/>
  <c r="J22" i="120"/>
  <c r="L22" i="120" s="1"/>
  <c r="J29" i="120"/>
  <c r="L29" i="120" s="1"/>
  <c r="J35" i="120"/>
  <c r="L35" i="120" s="1"/>
  <c r="J37" i="120"/>
  <c r="L37" i="120" s="1"/>
  <c r="J40" i="120"/>
  <c r="L40" i="120" s="1"/>
  <c r="J41" i="120"/>
  <c r="J33" i="120"/>
  <c r="L33" i="120" s="1"/>
  <c r="J36" i="120"/>
  <c r="L36" i="120" s="1"/>
  <c r="P36" i="120" s="1"/>
  <c r="J44" i="120"/>
  <c r="L44" i="120" s="1"/>
  <c r="J45" i="120"/>
  <c r="J46" i="120"/>
  <c r="L46" i="120" s="1"/>
  <c r="J13" i="120"/>
  <c r="L13" i="120" s="1"/>
  <c r="J7" i="120"/>
  <c r="L7" i="120" s="1"/>
  <c r="J9" i="120"/>
  <c r="J10" i="120"/>
  <c r="J11" i="120"/>
  <c r="L11" i="120" s="1"/>
  <c r="J12" i="120"/>
  <c r="L12" i="120" s="1"/>
  <c r="J14" i="120"/>
  <c r="J15" i="120"/>
  <c r="J16" i="120"/>
  <c r="L16" i="120" s="1"/>
  <c r="J18" i="120"/>
  <c r="L18" i="120" s="1"/>
  <c r="J19" i="120"/>
  <c r="L19" i="120" s="1"/>
  <c r="J20" i="120"/>
  <c r="J21" i="120"/>
  <c r="L21" i="120" s="1"/>
  <c r="J23" i="120"/>
  <c r="J24" i="120"/>
  <c r="J25" i="120"/>
  <c r="L25" i="120" s="1"/>
  <c r="J26" i="120"/>
  <c r="L26" i="120" s="1"/>
  <c r="J30" i="120"/>
  <c r="L30" i="120" s="1"/>
  <c r="J38" i="120"/>
  <c r="L38" i="120" s="1"/>
  <c r="J47" i="120"/>
  <c r="L47" i="120" s="1"/>
  <c r="J48" i="120"/>
  <c r="L48" i="120" s="1"/>
  <c r="J8" i="120"/>
  <c r="L8" i="120" s="1"/>
  <c r="J17" i="120"/>
  <c r="L17" i="120" s="1"/>
  <c r="J27" i="120"/>
  <c r="J28" i="120"/>
  <c r="L28" i="120" s="1"/>
  <c r="J31" i="120"/>
  <c r="L31" i="120" s="1"/>
  <c r="J32" i="120"/>
  <c r="L32" i="120" s="1"/>
  <c r="P32" i="120" s="1"/>
  <c r="J34" i="120"/>
  <c r="J39" i="120"/>
  <c r="L39" i="120" s="1"/>
  <c r="J42" i="120"/>
  <c r="L42" i="120" s="1"/>
  <c r="J43" i="120"/>
  <c r="L43" i="120" s="1"/>
  <c r="J49" i="120"/>
  <c r="L49" i="120" s="1"/>
  <c r="J5" i="120"/>
  <c r="O5" i="120"/>
  <c r="J6" i="120"/>
  <c r="O15" i="120"/>
  <c r="I15" i="120"/>
  <c r="O10" i="120"/>
  <c r="I10" i="120"/>
  <c r="O9" i="120"/>
  <c r="I9" i="120"/>
  <c r="O24" i="120"/>
  <c r="I24" i="120"/>
  <c r="B1" i="120"/>
  <c r="O11" i="119"/>
  <c r="J11" i="119"/>
  <c r="I11" i="119"/>
  <c r="O44" i="119"/>
  <c r="J44" i="119"/>
  <c r="I44" i="119"/>
  <c r="O42" i="119"/>
  <c r="J42" i="119"/>
  <c r="I42" i="119"/>
  <c r="O46" i="119"/>
  <c r="J46" i="119"/>
  <c r="I46" i="119"/>
  <c r="O43" i="119"/>
  <c r="J43" i="119"/>
  <c r="I43" i="119"/>
  <c r="O41" i="119"/>
  <c r="J41" i="119"/>
  <c r="I41" i="119"/>
  <c r="O45" i="119"/>
  <c r="J45" i="119"/>
  <c r="I45" i="119"/>
  <c r="O47" i="119"/>
  <c r="J47" i="119"/>
  <c r="I47" i="119"/>
  <c r="O36" i="119"/>
  <c r="J36" i="119"/>
  <c r="I36" i="119"/>
  <c r="O27" i="119"/>
  <c r="J27" i="119"/>
  <c r="I27" i="119"/>
  <c r="O40" i="119"/>
  <c r="J40" i="119"/>
  <c r="I40" i="119"/>
  <c r="O39" i="119"/>
  <c r="J39" i="119"/>
  <c r="L39" i="119" s="1"/>
  <c r="I39" i="119"/>
  <c r="O33" i="119"/>
  <c r="J33" i="119"/>
  <c r="I33" i="119"/>
  <c r="O48" i="119"/>
  <c r="J48" i="119"/>
  <c r="I48" i="119"/>
  <c r="O22" i="119"/>
  <c r="J22" i="119"/>
  <c r="I22" i="119"/>
  <c r="O37" i="119"/>
  <c r="J37" i="119"/>
  <c r="I37" i="119"/>
  <c r="O35" i="119"/>
  <c r="J35" i="119"/>
  <c r="I35" i="119"/>
  <c r="O30" i="119"/>
  <c r="J30" i="119"/>
  <c r="I30" i="119"/>
  <c r="O23" i="119"/>
  <c r="J23" i="119"/>
  <c r="I23" i="119"/>
  <c r="O32" i="119"/>
  <c r="J32" i="119"/>
  <c r="I32" i="119"/>
  <c r="O15" i="119"/>
  <c r="J15" i="119"/>
  <c r="I15" i="119"/>
  <c r="O34" i="119"/>
  <c r="J34" i="119"/>
  <c r="I34" i="119"/>
  <c r="O17" i="119"/>
  <c r="J17" i="119"/>
  <c r="I17" i="119"/>
  <c r="O10" i="119"/>
  <c r="J10" i="119"/>
  <c r="I10" i="119"/>
  <c r="O26" i="119"/>
  <c r="J26" i="119"/>
  <c r="I26" i="119"/>
  <c r="O24" i="119"/>
  <c r="J24" i="119"/>
  <c r="I24" i="119"/>
  <c r="O21" i="119"/>
  <c r="J21" i="119"/>
  <c r="I21" i="119"/>
  <c r="O38" i="119"/>
  <c r="J38" i="119"/>
  <c r="I38" i="119"/>
  <c r="O5" i="119"/>
  <c r="J5" i="119"/>
  <c r="I5" i="119"/>
  <c r="O19" i="119"/>
  <c r="J19" i="119"/>
  <c r="I19" i="119"/>
  <c r="O16" i="119"/>
  <c r="J16" i="119"/>
  <c r="I16" i="119"/>
  <c r="O13" i="119"/>
  <c r="J13" i="119"/>
  <c r="I13" i="119"/>
  <c r="O31" i="119"/>
  <c r="J31" i="119"/>
  <c r="I31" i="119"/>
  <c r="O9" i="119"/>
  <c r="J9" i="119"/>
  <c r="I9" i="119"/>
  <c r="O6" i="119"/>
  <c r="J6" i="119"/>
  <c r="I6" i="119"/>
  <c r="O8" i="119"/>
  <c r="J8" i="119"/>
  <c r="I8" i="119"/>
  <c r="O29" i="119"/>
  <c r="J29" i="119"/>
  <c r="I29" i="119"/>
  <c r="O28" i="119"/>
  <c r="J28" i="119"/>
  <c r="I28" i="119"/>
  <c r="O14" i="119"/>
  <c r="J14" i="119"/>
  <c r="I14" i="119"/>
  <c r="O25" i="119"/>
  <c r="J25" i="119"/>
  <c r="I25" i="119"/>
  <c r="O20" i="119"/>
  <c r="J20" i="119"/>
  <c r="I20" i="119"/>
  <c r="O7" i="119"/>
  <c r="J7" i="119"/>
  <c r="I7" i="119"/>
  <c r="O18" i="119"/>
  <c r="J18" i="119"/>
  <c r="I18" i="119"/>
  <c r="O12" i="119"/>
  <c r="J12" i="119"/>
  <c r="I12" i="119"/>
  <c r="B1" i="119"/>
  <c r="O48" i="118"/>
  <c r="J48" i="118"/>
  <c r="I48" i="118"/>
  <c r="O47" i="118"/>
  <c r="J47" i="118"/>
  <c r="I47" i="118"/>
  <c r="J11" i="118"/>
  <c r="J12" i="118"/>
  <c r="J20" i="118"/>
  <c r="J28" i="118"/>
  <c r="J29" i="118"/>
  <c r="J18" i="118"/>
  <c r="J25" i="118"/>
  <c r="J34" i="118"/>
  <c r="J7" i="118"/>
  <c r="J14" i="118"/>
  <c r="J31" i="118"/>
  <c r="J38" i="118"/>
  <c r="J6" i="118"/>
  <c r="J8" i="118"/>
  <c r="J9" i="118"/>
  <c r="J13" i="118"/>
  <c r="J15" i="118"/>
  <c r="J16" i="118"/>
  <c r="J19" i="118"/>
  <c r="J21" i="118"/>
  <c r="J24" i="118"/>
  <c r="J26" i="118"/>
  <c r="J32" i="118"/>
  <c r="J23" i="118"/>
  <c r="J5" i="118"/>
  <c r="J10" i="118"/>
  <c r="J30" i="118"/>
  <c r="J37" i="118"/>
  <c r="J22" i="118"/>
  <c r="J35" i="118"/>
  <c r="J33" i="118"/>
  <c r="J40" i="118"/>
  <c r="J27" i="118"/>
  <c r="J39" i="118"/>
  <c r="J36" i="118"/>
  <c r="J45" i="118"/>
  <c r="J44" i="118"/>
  <c r="J41" i="118"/>
  <c r="J42" i="118"/>
  <c r="J46" i="118"/>
  <c r="J43" i="118"/>
  <c r="J17" i="118"/>
  <c r="O46" i="118"/>
  <c r="I46" i="118"/>
  <c r="O44" i="118"/>
  <c r="I44" i="118"/>
  <c r="O43" i="118"/>
  <c r="I43" i="118"/>
  <c r="O42" i="118"/>
  <c r="I42" i="118"/>
  <c r="O11" i="118"/>
  <c r="I11" i="118"/>
  <c r="O36" i="118"/>
  <c r="I36" i="118"/>
  <c r="O41" i="118"/>
  <c r="I41" i="118"/>
  <c r="O45" i="118"/>
  <c r="I45" i="118"/>
  <c r="O39" i="118"/>
  <c r="I39" i="118"/>
  <c r="O33" i="118"/>
  <c r="I33" i="118"/>
  <c r="O27" i="118"/>
  <c r="I27" i="118"/>
  <c r="O40" i="118"/>
  <c r="I40" i="118"/>
  <c r="O35" i="118"/>
  <c r="I35" i="118"/>
  <c r="O37" i="118"/>
  <c r="I37" i="118"/>
  <c r="O32" i="118"/>
  <c r="I32" i="118"/>
  <c r="O38" i="118"/>
  <c r="I38" i="118"/>
  <c r="O34" i="118"/>
  <c r="I34" i="118"/>
  <c r="O25" i="118"/>
  <c r="I25" i="118"/>
  <c r="O22" i="118"/>
  <c r="I22" i="118"/>
  <c r="O30" i="118"/>
  <c r="I30" i="118"/>
  <c r="O18" i="118"/>
  <c r="I18" i="118"/>
  <c r="O23" i="118"/>
  <c r="I23" i="118"/>
  <c r="O10" i="118"/>
  <c r="I10" i="118"/>
  <c r="O26" i="118"/>
  <c r="I26" i="118"/>
  <c r="O24" i="118"/>
  <c r="I24" i="118"/>
  <c r="O21" i="118"/>
  <c r="I21" i="118"/>
  <c r="O19" i="118"/>
  <c r="I19" i="118"/>
  <c r="O16" i="118"/>
  <c r="I16" i="118"/>
  <c r="O15" i="118"/>
  <c r="I15" i="118"/>
  <c r="O31" i="118"/>
  <c r="I31" i="118"/>
  <c r="O13" i="118"/>
  <c r="I13" i="118"/>
  <c r="O9" i="118"/>
  <c r="I9" i="118"/>
  <c r="O8" i="118"/>
  <c r="I8" i="118"/>
  <c r="O5" i="118"/>
  <c r="I5" i="118"/>
  <c r="O29" i="118"/>
  <c r="I29" i="118"/>
  <c r="O28" i="118"/>
  <c r="I28" i="118"/>
  <c r="O14" i="118"/>
  <c r="I14" i="118"/>
  <c r="O6" i="118"/>
  <c r="I6" i="118"/>
  <c r="O20" i="118"/>
  <c r="I20" i="118"/>
  <c r="O7" i="118"/>
  <c r="I7" i="118"/>
  <c r="O12" i="118"/>
  <c r="I12" i="118"/>
  <c r="O17" i="118"/>
  <c r="I17" i="118"/>
  <c r="B1" i="118"/>
  <c r="B1" i="117"/>
  <c r="I46" i="117"/>
  <c r="I44" i="117"/>
  <c r="I43" i="117"/>
  <c r="I42" i="117"/>
  <c r="I11" i="117"/>
  <c r="I41" i="117"/>
  <c r="I45" i="117"/>
  <c r="I39" i="117"/>
  <c r="I27" i="117"/>
  <c r="I40" i="117"/>
  <c r="I6" i="117"/>
  <c r="I25" i="117"/>
  <c r="I22" i="117"/>
  <c r="I30" i="117"/>
  <c r="I18" i="117"/>
  <c r="I23" i="117"/>
  <c r="I10" i="117"/>
  <c r="I26" i="117"/>
  <c r="I24" i="117"/>
  <c r="I21" i="117"/>
  <c r="I19" i="117"/>
  <c r="I16" i="117"/>
  <c r="I15" i="117"/>
  <c r="I31" i="117"/>
  <c r="I13" i="117"/>
  <c r="I9" i="117"/>
  <c r="I8" i="117"/>
  <c r="I5" i="117"/>
  <c r="I29" i="117"/>
  <c r="I28" i="117"/>
  <c r="I14" i="117"/>
  <c r="I20" i="117"/>
  <c r="I7" i="117"/>
  <c r="I12" i="117"/>
  <c r="I17" i="117"/>
  <c r="O46" i="117"/>
  <c r="O44" i="117"/>
  <c r="O43" i="117"/>
  <c r="O42" i="117"/>
  <c r="O11" i="117"/>
  <c r="O41" i="117"/>
  <c r="O45" i="117"/>
  <c r="O39" i="117"/>
  <c r="O27" i="117"/>
  <c r="O40" i="117"/>
  <c r="O6" i="117"/>
  <c r="O25" i="117"/>
  <c r="O22" i="117"/>
  <c r="O30" i="117"/>
  <c r="O18" i="117"/>
  <c r="O23" i="117"/>
  <c r="O10" i="117"/>
  <c r="O26" i="117"/>
  <c r="O24" i="117"/>
  <c r="O21" i="117"/>
  <c r="O19" i="117"/>
  <c r="O16" i="117"/>
  <c r="O15" i="117"/>
  <c r="O31" i="117"/>
  <c r="O13" i="117"/>
  <c r="O9" i="117"/>
  <c r="O8" i="117"/>
  <c r="O5" i="117"/>
  <c r="O29" i="117"/>
  <c r="O28" i="117"/>
  <c r="O14" i="117"/>
  <c r="O20" i="117"/>
  <c r="O7" i="117"/>
  <c r="O12" i="117"/>
  <c r="O17" i="117"/>
  <c r="Z14" i="117"/>
  <c r="Z15" i="117"/>
  <c r="Z16" i="117"/>
  <c r="Z17" i="117"/>
  <c r="Z18" i="117"/>
  <c r="Z19" i="117"/>
  <c r="Z20" i="117"/>
  <c r="Z21" i="117"/>
  <c r="Z22" i="117"/>
  <c r="Z23" i="117"/>
  <c r="Z24" i="117"/>
  <c r="Z25" i="117"/>
  <c r="Z26" i="117"/>
  <c r="Z27" i="117"/>
  <c r="Z28" i="117"/>
  <c r="Z29" i="117"/>
  <c r="Z30" i="117"/>
  <c r="Z31" i="117"/>
  <c r="Z32" i="117"/>
  <c r="Z33" i="117"/>
  <c r="Z34" i="117"/>
  <c r="Z35" i="117"/>
  <c r="Z36" i="117"/>
  <c r="Z37" i="117"/>
  <c r="Z38" i="117"/>
  <c r="Z39" i="117"/>
  <c r="Z40" i="117"/>
  <c r="Z41" i="117"/>
  <c r="Z42" i="117"/>
  <c r="Z43" i="117"/>
  <c r="Z44" i="117"/>
  <c r="Z45" i="117"/>
  <c r="Z46" i="117"/>
  <c r="Z13" i="117"/>
  <c r="J6" i="117"/>
  <c r="J7" i="117"/>
  <c r="L7" i="117" s="1"/>
  <c r="P7" i="117" s="1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L19" i="117" s="1"/>
  <c r="P19" i="117" s="1"/>
  <c r="J20" i="117"/>
  <c r="J21" i="117"/>
  <c r="J22" i="117"/>
  <c r="J23" i="117"/>
  <c r="J24" i="117"/>
  <c r="J25" i="117"/>
  <c r="J26" i="117"/>
  <c r="L26" i="117" s="1"/>
  <c r="P26" i="117" s="1"/>
  <c r="J27" i="117"/>
  <c r="J28" i="117"/>
  <c r="L28" i="117" s="1"/>
  <c r="N28" i="117" s="1"/>
  <c r="J29" i="117"/>
  <c r="J30" i="117"/>
  <c r="L30" i="117" s="1"/>
  <c r="N30" i="117" s="1"/>
  <c r="J31" i="117"/>
  <c r="L31" i="117" s="1"/>
  <c r="N31" i="117" s="1"/>
  <c r="J32" i="117"/>
  <c r="J33" i="117"/>
  <c r="J34" i="117"/>
  <c r="J35" i="117"/>
  <c r="J36" i="117"/>
  <c r="J37" i="117"/>
  <c r="J38" i="117"/>
  <c r="J39" i="117"/>
  <c r="J40" i="117"/>
  <c r="J41" i="117"/>
  <c r="L41" i="117" s="1"/>
  <c r="J42" i="117"/>
  <c r="L42" i="117" s="1"/>
  <c r="P42" i="117" s="1"/>
  <c r="J43" i="117"/>
  <c r="J44" i="117"/>
  <c r="J45" i="117"/>
  <c r="J46" i="117"/>
  <c r="J5" i="117"/>
  <c r="I32" i="117"/>
  <c r="I33" i="117"/>
  <c r="I34" i="117"/>
  <c r="I35" i="117"/>
  <c r="I36" i="117"/>
  <c r="I37" i="117"/>
  <c r="I38" i="117"/>
  <c r="O34" i="117"/>
  <c r="O35" i="117"/>
  <c r="O33" i="117"/>
  <c r="L34" i="127" l="1"/>
  <c r="L5" i="127"/>
  <c r="P5" i="127" s="1"/>
  <c r="L24" i="127"/>
  <c r="P24" i="127" s="1"/>
  <c r="P34" i="127"/>
  <c r="P22" i="127"/>
  <c r="P38" i="127"/>
  <c r="P42" i="127"/>
  <c r="P46" i="127"/>
  <c r="P50" i="127"/>
  <c r="P20" i="127"/>
  <c r="P28" i="127"/>
  <c r="P32" i="127"/>
  <c r="P36" i="127"/>
  <c r="P40" i="127"/>
  <c r="L26" i="127"/>
  <c r="P26" i="127" s="1"/>
  <c r="L30" i="127"/>
  <c r="P30" i="127" s="1"/>
  <c r="L11" i="127"/>
  <c r="L15" i="127"/>
  <c r="L19" i="127"/>
  <c r="P19" i="127" s="1"/>
  <c r="L45" i="127"/>
  <c r="P45" i="127" s="1"/>
  <c r="L23" i="127"/>
  <c r="P23" i="127" s="1"/>
  <c r="L49" i="127"/>
  <c r="P49" i="127" s="1"/>
  <c r="L31" i="127"/>
  <c r="P31" i="127" s="1"/>
  <c r="L43" i="127"/>
  <c r="P43" i="127" s="1"/>
  <c r="L17" i="127"/>
  <c r="P17" i="127" s="1"/>
  <c r="L33" i="127"/>
  <c r="P33" i="127" s="1"/>
  <c r="P9" i="127"/>
  <c r="N9" i="127"/>
  <c r="P13" i="127"/>
  <c r="N13" i="127"/>
  <c r="P21" i="127"/>
  <c r="N21" i="127"/>
  <c r="P35" i="127"/>
  <c r="N35" i="127"/>
  <c r="P6" i="127"/>
  <c r="N6" i="127"/>
  <c r="P10" i="127"/>
  <c r="N10" i="127"/>
  <c r="P14" i="127"/>
  <c r="N14" i="127"/>
  <c r="P18" i="127"/>
  <c r="N18" i="127"/>
  <c r="P25" i="127"/>
  <c r="N25" i="127"/>
  <c r="P39" i="127"/>
  <c r="N39" i="127"/>
  <c r="P29" i="127"/>
  <c r="N29" i="127"/>
  <c r="P7" i="127"/>
  <c r="N7" i="127"/>
  <c r="P11" i="127"/>
  <c r="N11" i="127"/>
  <c r="P15" i="127"/>
  <c r="N15" i="127"/>
  <c r="N19" i="127"/>
  <c r="N23" i="127"/>
  <c r="P47" i="127"/>
  <c r="N47" i="127"/>
  <c r="P8" i="127"/>
  <c r="N8" i="127"/>
  <c r="P12" i="127"/>
  <c r="N12" i="127"/>
  <c r="P16" i="127"/>
  <c r="N16" i="127"/>
  <c r="P37" i="127"/>
  <c r="N37" i="127"/>
  <c r="P27" i="127"/>
  <c r="N27" i="127"/>
  <c r="P51" i="127"/>
  <c r="N51" i="127"/>
  <c r="P41" i="127"/>
  <c r="N41" i="127"/>
  <c r="N20" i="127"/>
  <c r="N22" i="127"/>
  <c r="N24" i="127"/>
  <c r="N28" i="127"/>
  <c r="N32" i="127"/>
  <c r="N34" i="127"/>
  <c r="N36" i="127"/>
  <c r="N38" i="127"/>
  <c r="N40" i="127"/>
  <c r="N42" i="127"/>
  <c r="N44" i="127"/>
  <c r="N46" i="127"/>
  <c r="N48" i="127"/>
  <c r="N50" i="127"/>
  <c r="L18" i="126"/>
  <c r="L22" i="126"/>
  <c r="L26" i="126"/>
  <c r="L30" i="126"/>
  <c r="L14" i="126"/>
  <c r="P14" i="126" s="1"/>
  <c r="L12" i="126"/>
  <c r="N12" i="126" s="1"/>
  <c r="L20" i="126"/>
  <c r="N20" i="126" s="1"/>
  <c r="L24" i="126"/>
  <c r="P24" i="126" s="1"/>
  <c r="L44" i="126"/>
  <c r="P44" i="126" s="1"/>
  <c r="L48" i="126"/>
  <c r="P48" i="126" s="1"/>
  <c r="L36" i="126"/>
  <c r="P36" i="126" s="1"/>
  <c r="L16" i="126"/>
  <c r="N16" i="126" s="1"/>
  <c r="L32" i="126"/>
  <c r="N32" i="126" s="1"/>
  <c r="L5" i="126"/>
  <c r="N5" i="126" s="1"/>
  <c r="L40" i="126"/>
  <c r="P40" i="126" s="1"/>
  <c r="L28" i="126"/>
  <c r="P28" i="126" s="1"/>
  <c r="L8" i="126"/>
  <c r="P8" i="126" s="1"/>
  <c r="L29" i="125"/>
  <c r="P29" i="125" s="1"/>
  <c r="L7" i="125"/>
  <c r="N7" i="125" s="1"/>
  <c r="L14" i="125"/>
  <c r="N14" i="125" s="1"/>
  <c r="L20" i="125"/>
  <c r="P20" i="125" s="1"/>
  <c r="L11" i="125"/>
  <c r="P11" i="125" s="1"/>
  <c r="L26" i="125"/>
  <c r="P26" i="125" s="1"/>
  <c r="L12" i="125"/>
  <c r="N12" i="125" s="1"/>
  <c r="L18" i="125"/>
  <c r="P18" i="125" s="1"/>
  <c r="L19" i="125"/>
  <c r="P19" i="125" s="1"/>
  <c r="L37" i="125"/>
  <c r="P37" i="125" s="1"/>
  <c r="L40" i="125"/>
  <c r="P40" i="125" s="1"/>
  <c r="L6" i="126"/>
  <c r="P6" i="126" s="1"/>
  <c r="L10" i="126"/>
  <c r="P10" i="126" s="1"/>
  <c r="L34" i="126"/>
  <c r="P34" i="126" s="1"/>
  <c r="L38" i="126"/>
  <c r="P38" i="126" s="1"/>
  <c r="L42" i="126"/>
  <c r="P42" i="126" s="1"/>
  <c r="L46" i="126"/>
  <c r="P46" i="126" s="1"/>
  <c r="L50" i="126"/>
  <c r="P50" i="126" s="1"/>
  <c r="L15" i="126"/>
  <c r="P15" i="126" s="1"/>
  <c r="L23" i="126"/>
  <c r="N23" i="126" s="1"/>
  <c r="L47" i="126"/>
  <c r="N47" i="126" s="1"/>
  <c r="L7" i="126"/>
  <c r="P7" i="126" s="1"/>
  <c r="L19" i="126"/>
  <c r="P19" i="126" s="1"/>
  <c r="L51" i="126"/>
  <c r="P51" i="126" s="1"/>
  <c r="L11" i="126"/>
  <c r="N11" i="126" s="1"/>
  <c r="L43" i="126"/>
  <c r="N43" i="126" s="1"/>
  <c r="L27" i="126"/>
  <c r="N27" i="126" s="1"/>
  <c r="L31" i="126"/>
  <c r="P31" i="126" s="1"/>
  <c r="L39" i="126"/>
  <c r="P39" i="126" s="1"/>
  <c r="L35" i="126"/>
  <c r="N35" i="126" s="1"/>
  <c r="L21" i="126"/>
  <c r="P21" i="126" s="1"/>
  <c r="L33" i="126"/>
  <c r="N33" i="126" s="1"/>
  <c r="L49" i="126"/>
  <c r="P49" i="126" s="1"/>
  <c r="L9" i="126"/>
  <c r="P9" i="126" s="1"/>
  <c r="L17" i="126"/>
  <c r="P17" i="126" s="1"/>
  <c r="L29" i="126"/>
  <c r="P29" i="126" s="1"/>
  <c r="L45" i="126"/>
  <c r="P45" i="126" s="1"/>
  <c r="L13" i="126"/>
  <c r="N13" i="126" s="1"/>
  <c r="L25" i="126"/>
  <c r="P25" i="126" s="1"/>
  <c r="L37" i="126"/>
  <c r="N37" i="126" s="1"/>
  <c r="L41" i="126"/>
  <c r="N41" i="126" s="1"/>
  <c r="P18" i="126"/>
  <c r="N18" i="126"/>
  <c r="P22" i="126"/>
  <c r="N22" i="126"/>
  <c r="P26" i="126"/>
  <c r="N26" i="126"/>
  <c r="P30" i="126"/>
  <c r="N30" i="126"/>
  <c r="L32" i="125"/>
  <c r="P32" i="125" s="1"/>
  <c r="L42" i="125"/>
  <c r="N42" i="125" s="1"/>
  <c r="L35" i="125"/>
  <c r="N35" i="125" s="1"/>
  <c r="L51" i="125"/>
  <c r="P51" i="125" s="1"/>
  <c r="L45" i="125"/>
  <c r="P45" i="125" s="1"/>
  <c r="L41" i="125"/>
  <c r="P41" i="125" s="1"/>
  <c r="L25" i="125"/>
  <c r="P25" i="125" s="1"/>
  <c r="L16" i="125"/>
  <c r="P16" i="125" s="1"/>
  <c r="L21" i="125"/>
  <c r="N21" i="125" s="1"/>
  <c r="L24" i="125"/>
  <c r="N24" i="125" s="1"/>
  <c r="L17" i="125"/>
  <c r="N17" i="125" s="1"/>
  <c r="L49" i="125"/>
  <c r="P49" i="125" s="1"/>
  <c r="L27" i="125"/>
  <c r="N27" i="125" s="1"/>
  <c r="L47" i="125"/>
  <c r="N47" i="125" s="1"/>
  <c r="L46" i="125"/>
  <c r="P46" i="125" s="1"/>
  <c r="L44" i="125"/>
  <c r="N44" i="125" s="1"/>
  <c r="L22" i="125"/>
  <c r="N22" i="125" s="1"/>
  <c r="L50" i="125"/>
  <c r="N50" i="125" s="1"/>
  <c r="L43" i="125"/>
  <c r="N43" i="125" s="1"/>
  <c r="L36" i="125"/>
  <c r="P36" i="125" s="1"/>
  <c r="L31" i="125"/>
  <c r="P31" i="125" s="1"/>
  <c r="L15" i="125"/>
  <c r="P15" i="125" s="1"/>
  <c r="L13" i="125"/>
  <c r="P13" i="125" s="1"/>
  <c r="L34" i="125"/>
  <c r="P34" i="125" s="1"/>
  <c r="L48" i="125"/>
  <c r="P48" i="125" s="1"/>
  <c r="L33" i="125"/>
  <c r="P33" i="125" s="1"/>
  <c r="L28" i="125"/>
  <c r="P28" i="125" s="1"/>
  <c r="L9" i="125"/>
  <c r="P9" i="125" s="1"/>
  <c r="L8" i="125"/>
  <c r="P8" i="125" s="1"/>
  <c r="L6" i="125"/>
  <c r="N6" i="125" s="1"/>
  <c r="P30" i="125"/>
  <c r="N30" i="125"/>
  <c r="N40" i="125"/>
  <c r="P39" i="125"/>
  <c r="N39" i="125"/>
  <c r="N32" i="125"/>
  <c r="P23" i="125"/>
  <c r="N23" i="125"/>
  <c r="P27" i="125"/>
  <c r="P5" i="125"/>
  <c r="N5" i="125"/>
  <c r="P38" i="125"/>
  <c r="N38" i="125"/>
  <c r="P10" i="125"/>
  <c r="N10" i="125"/>
  <c r="L12" i="124"/>
  <c r="N12" i="124" s="1"/>
  <c r="L16" i="124"/>
  <c r="N16" i="124" s="1"/>
  <c r="L20" i="124"/>
  <c r="N20" i="124" s="1"/>
  <c r="L32" i="124"/>
  <c r="P32" i="124" s="1"/>
  <c r="L28" i="124"/>
  <c r="P28" i="124" s="1"/>
  <c r="L8" i="124"/>
  <c r="N8" i="124" s="1"/>
  <c r="L51" i="124"/>
  <c r="N51" i="124" s="1"/>
  <c r="L36" i="124"/>
  <c r="P36" i="124" s="1"/>
  <c r="L40" i="124"/>
  <c r="P40" i="124" s="1"/>
  <c r="L24" i="124"/>
  <c r="N24" i="124" s="1"/>
  <c r="L44" i="124"/>
  <c r="P44" i="124" s="1"/>
  <c r="L48" i="124"/>
  <c r="N48" i="124" s="1"/>
  <c r="L50" i="124"/>
  <c r="N50" i="124" s="1"/>
  <c r="L15" i="124"/>
  <c r="N15" i="124" s="1"/>
  <c r="L23" i="124"/>
  <c r="N23" i="124" s="1"/>
  <c r="L31" i="124"/>
  <c r="N31" i="124" s="1"/>
  <c r="L7" i="124"/>
  <c r="N7" i="124" s="1"/>
  <c r="L35" i="124"/>
  <c r="P35" i="124" s="1"/>
  <c r="L19" i="124"/>
  <c r="P19" i="124" s="1"/>
  <c r="L27" i="124"/>
  <c r="N27" i="124" s="1"/>
  <c r="L11" i="124"/>
  <c r="N11" i="124" s="1"/>
  <c r="L39" i="124"/>
  <c r="P39" i="124" s="1"/>
  <c r="L43" i="124"/>
  <c r="N43" i="124" s="1"/>
  <c r="L47" i="124"/>
  <c r="N47" i="124" s="1"/>
  <c r="L5" i="124"/>
  <c r="N5" i="124" s="1"/>
  <c r="L9" i="124"/>
  <c r="N9" i="124" s="1"/>
  <c r="L13" i="124"/>
  <c r="N13" i="124" s="1"/>
  <c r="L17" i="124"/>
  <c r="N17" i="124" s="1"/>
  <c r="L21" i="124"/>
  <c r="N21" i="124" s="1"/>
  <c r="L25" i="124"/>
  <c r="N25" i="124" s="1"/>
  <c r="L29" i="124"/>
  <c r="N29" i="124" s="1"/>
  <c r="L33" i="124"/>
  <c r="N33" i="124" s="1"/>
  <c r="L37" i="124"/>
  <c r="N37" i="124" s="1"/>
  <c r="L41" i="124"/>
  <c r="N41" i="124" s="1"/>
  <c r="L45" i="124"/>
  <c r="N45" i="124" s="1"/>
  <c r="L49" i="124"/>
  <c r="N49" i="124" s="1"/>
  <c r="L14" i="124"/>
  <c r="P14" i="124" s="1"/>
  <c r="L46" i="124"/>
  <c r="P46" i="124" s="1"/>
  <c r="L18" i="124"/>
  <c r="P18" i="124" s="1"/>
  <c r="L42" i="124"/>
  <c r="P42" i="124" s="1"/>
  <c r="L22" i="124"/>
  <c r="P22" i="124" s="1"/>
  <c r="L38" i="124"/>
  <c r="P38" i="124" s="1"/>
  <c r="L34" i="124"/>
  <c r="P34" i="124" s="1"/>
  <c r="L26" i="124"/>
  <c r="P26" i="124" s="1"/>
  <c r="L6" i="124"/>
  <c r="L30" i="124"/>
  <c r="N30" i="124" s="1"/>
  <c r="L10" i="124"/>
  <c r="P10" i="124" s="1"/>
  <c r="P8" i="124"/>
  <c r="P12" i="124"/>
  <c r="N32" i="124"/>
  <c r="L8" i="122"/>
  <c r="L40" i="122"/>
  <c r="L16" i="122"/>
  <c r="N16" i="122" s="1"/>
  <c r="L44" i="122"/>
  <c r="L12" i="122"/>
  <c r="P12" i="122" s="1"/>
  <c r="L28" i="122"/>
  <c r="P28" i="122" s="1"/>
  <c r="L49" i="122"/>
  <c r="L6" i="122"/>
  <c r="P6" i="122" s="1"/>
  <c r="L10" i="122"/>
  <c r="L14" i="122"/>
  <c r="L22" i="122"/>
  <c r="N22" i="122" s="1"/>
  <c r="L30" i="122"/>
  <c r="P30" i="122" s="1"/>
  <c r="L34" i="122"/>
  <c r="P34" i="122" s="1"/>
  <c r="L42" i="122"/>
  <c r="P42" i="122" s="1"/>
  <c r="L46" i="122"/>
  <c r="N46" i="122" s="1"/>
  <c r="L47" i="122"/>
  <c r="P47" i="122" s="1"/>
  <c r="L43" i="122"/>
  <c r="N43" i="122" s="1"/>
  <c r="L38" i="122"/>
  <c r="P38" i="122" s="1"/>
  <c r="L36" i="122"/>
  <c r="P36" i="122" s="1"/>
  <c r="L15" i="122"/>
  <c r="P15" i="122" s="1"/>
  <c r="L48" i="122"/>
  <c r="N48" i="122" s="1"/>
  <c r="L32" i="122"/>
  <c r="P32" i="122" s="1"/>
  <c r="L20" i="122"/>
  <c r="P20" i="122" s="1"/>
  <c r="L18" i="122"/>
  <c r="N18" i="122" s="1"/>
  <c r="L24" i="122"/>
  <c r="P24" i="122" s="1"/>
  <c r="L26" i="122"/>
  <c r="P26" i="122" s="1"/>
  <c r="L47" i="119"/>
  <c r="L46" i="119"/>
  <c r="P46" i="119" s="1"/>
  <c r="P10" i="122"/>
  <c r="N10" i="122"/>
  <c r="N30" i="122"/>
  <c r="P5" i="122"/>
  <c r="N5" i="122"/>
  <c r="P23" i="122"/>
  <c r="N23" i="122"/>
  <c r="N7" i="122"/>
  <c r="P7" i="122"/>
  <c r="P19" i="122"/>
  <c r="N19" i="122"/>
  <c r="P31" i="122"/>
  <c r="N31" i="122"/>
  <c r="P39" i="122"/>
  <c r="N39" i="122"/>
  <c r="P8" i="122"/>
  <c r="N8" i="122"/>
  <c r="P40" i="122"/>
  <c r="N40" i="122"/>
  <c r="P44" i="122"/>
  <c r="N44" i="122"/>
  <c r="P14" i="122"/>
  <c r="N14" i="122"/>
  <c r="P11" i="122"/>
  <c r="N11" i="122"/>
  <c r="P27" i="122"/>
  <c r="N27" i="122"/>
  <c r="P35" i="122"/>
  <c r="N35" i="122"/>
  <c r="P9" i="122"/>
  <c r="N9" i="122"/>
  <c r="P13" i="122"/>
  <c r="N13" i="122"/>
  <c r="P17" i="122"/>
  <c r="N17" i="122"/>
  <c r="P21" i="122"/>
  <c r="N21" i="122"/>
  <c r="P25" i="122"/>
  <c r="N25" i="122"/>
  <c r="P29" i="122"/>
  <c r="N29" i="122"/>
  <c r="P33" i="122"/>
  <c r="N33" i="122"/>
  <c r="P37" i="122"/>
  <c r="N37" i="122"/>
  <c r="N41" i="122"/>
  <c r="P41" i="122"/>
  <c r="P45" i="122"/>
  <c r="N45" i="122"/>
  <c r="P49" i="122"/>
  <c r="N49" i="122"/>
  <c r="L12" i="121"/>
  <c r="P12" i="121" s="1"/>
  <c r="L8" i="121"/>
  <c r="L27" i="121"/>
  <c r="P27" i="121" s="1"/>
  <c r="L45" i="120"/>
  <c r="L34" i="120"/>
  <c r="L23" i="120"/>
  <c r="L41" i="120"/>
  <c r="L6" i="120"/>
  <c r="L20" i="120"/>
  <c r="P8" i="121"/>
  <c r="L24" i="121"/>
  <c r="P24" i="121" s="1"/>
  <c r="L32" i="121"/>
  <c r="P32" i="121" s="1"/>
  <c r="L38" i="121"/>
  <c r="L30" i="121"/>
  <c r="P30" i="121" s="1"/>
  <c r="L22" i="121"/>
  <c r="P22" i="121" s="1"/>
  <c r="L36" i="121"/>
  <c r="P36" i="121" s="1"/>
  <c r="L48" i="121"/>
  <c r="P48" i="121" s="1"/>
  <c r="L5" i="121"/>
  <c r="P5" i="121" s="1"/>
  <c r="L11" i="121"/>
  <c r="P11" i="121" s="1"/>
  <c r="L9" i="121"/>
  <c r="P9" i="121" s="1"/>
  <c r="L15" i="121"/>
  <c r="N15" i="121" s="1"/>
  <c r="L28" i="121"/>
  <c r="P28" i="121" s="1"/>
  <c r="L49" i="121"/>
  <c r="P49" i="121" s="1"/>
  <c r="N37" i="120"/>
  <c r="P37" i="120" s="1"/>
  <c r="L25" i="121"/>
  <c r="L14" i="121"/>
  <c r="L31" i="121"/>
  <c r="L37" i="121"/>
  <c r="L44" i="121"/>
  <c r="P44" i="121" s="1"/>
  <c r="L18" i="121"/>
  <c r="P18" i="121" s="1"/>
  <c r="L17" i="121"/>
  <c r="P17" i="121" s="1"/>
  <c r="L33" i="121"/>
  <c r="L46" i="121"/>
  <c r="P46" i="121" s="1"/>
  <c r="L26" i="121"/>
  <c r="L20" i="121"/>
  <c r="P20" i="121" s="1"/>
  <c r="L13" i="121"/>
  <c r="P13" i="121" s="1"/>
  <c r="L6" i="121"/>
  <c r="P6" i="121" s="1"/>
  <c r="L41" i="121"/>
  <c r="P41" i="121" s="1"/>
  <c r="L21" i="121"/>
  <c r="P21" i="121" s="1"/>
  <c r="L7" i="121"/>
  <c r="P7" i="121" s="1"/>
  <c r="L47" i="121"/>
  <c r="L39" i="121"/>
  <c r="L42" i="121"/>
  <c r="L16" i="121"/>
  <c r="P16" i="121" s="1"/>
  <c r="L19" i="121"/>
  <c r="P19" i="121" s="1"/>
  <c r="L23" i="121"/>
  <c r="P23" i="121" s="1"/>
  <c r="L29" i="121"/>
  <c r="P29" i="121" s="1"/>
  <c r="N34" i="121"/>
  <c r="L35" i="121"/>
  <c r="L40" i="121"/>
  <c r="P40" i="121" s="1"/>
  <c r="L45" i="121"/>
  <c r="P45" i="121" s="1"/>
  <c r="L43" i="121"/>
  <c r="P43" i="121" s="1"/>
  <c r="L10" i="121"/>
  <c r="N10" i="121" s="1"/>
  <c r="N8" i="121"/>
  <c r="N27" i="121"/>
  <c r="N35" i="120"/>
  <c r="N49" i="120"/>
  <c r="P16" i="120"/>
  <c r="P30" i="120"/>
  <c r="N34" i="120"/>
  <c r="P34" i="120" s="1"/>
  <c r="L10" i="120"/>
  <c r="N10" i="120" s="1"/>
  <c r="L24" i="120"/>
  <c r="P24" i="120" s="1"/>
  <c r="N32" i="120"/>
  <c r="N38" i="120"/>
  <c r="P38" i="120" s="1"/>
  <c r="P23" i="120"/>
  <c r="N12" i="120"/>
  <c r="P6" i="120"/>
  <c r="P35" i="120"/>
  <c r="P13" i="120"/>
  <c r="N14" i="120"/>
  <c r="P28" i="120"/>
  <c r="L5" i="120"/>
  <c r="P5" i="120" s="1"/>
  <c r="N7" i="120"/>
  <c r="N33" i="120"/>
  <c r="P33" i="120" s="1"/>
  <c r="N36" i="120"/>
  <c r="N11" i="120"/>
  <c r="P43" i="120"/>
  <c r="P19" i="120"/>
  <c r="P18" i="120"/>
  <c r="P22" i="120"/>
  <c r="L9" i="120"/>
  <c r="P9" i="120" s="1"/>
  <c r="P25" i="120"/>
  <c r="L15" i="120"/>
  <c r="P15" i="120" s="1"/>
  <c r="P17" i="120"/>
  <c r="P8" i="120"/>
  <c r="P40" i="120"/>
  <c r="P45" i="120"/>
  <c r="P46" i="120"/>
  <c r="N26" i="120"/>
  <c r="P20" i="120"/>
  <c r="P47" i="120"/>
  <c r="P42" i="120"/>
  <c r="N27" i="120"/>
  <c r="N41" i="120"/>
  <c r="P44" i="120"/>
  <c r="P21" i="120"/>
  <c r="N21" i="120"/>
  <c r="P29" i="120"/>
  <c r="N29" i="120"/>
  <c r="P39" i="120"/>
  <c r="N39" i="120"/>
  <c r="N16" i="120"/>
  <c r="P31" i="120"/>
  <c r="N31" i="120"/>
  <c r="P48" i="120"/>
  <c r="N48" i="120"/>
  <c r="N24" i="120"/>
  <c r="L41" i="119"/>
  <c r="P41" i="119" s="1"/>
  <c r="L45" i="119"/>
  <c r="P45" i="119" s="1"/>
  <c r="L42" i="119"/>
  <c r="P42" i="119" s="1"/>
  <c r="L44" i="119"/>
  <c r="P44" i="119" s="1"/>
  <c r="L43" i="119"/>
  <c r="N43" i="119" s="1"/>
  <c r="L11" i="119"/>
  <c r="P11" i="119" s="1"/>
  <c r="L8" i="119"/>
  <c r="N8" i="119" s="1"/>
  <c r="L38" i="119"/>
  <c r="N38" i="119" s="1"/>
  <c r="P38" i="119" s="1"/>
  <c r="L32" i="119"/>
  <c r="N32" i="119" s="1"/>
  <c r="P32" i="119" s="1"/>
  <c r="L18" i="119"/>
  <c r="N18" i="119" s="1"/>
  <c r="L6" i="119"/>
  <c r="N6" i="119" s="1"/>
  <c r="L21" i="119"/>
  <c r="N21" i="119" s="1"/>
  <c r="L23" i="119"/>
  <c r="N23" i="119" s="1"/>
  <c r="L14" i="119"/>
  <c r="P14" i="119" s="1"/>
  <c r="L16" i="119"/>
  <c r="P16" i="119" s="1"/>
  <c r="L17" i="119"/>
  <c r="N17" i="119" s="1"/>
  <c r="L40" i="119"/>
  <c r="N40" i="119" s="1"/>
  <c r="L7" i="119"/>
  <c r="P7" i="119" s="1"/>
  <c r="L9" i="119"/>
  <c r="P9" i="119" s="1"/>
  <c r="L24" i="119"/>
  <c r="P24" i="119" s="1"/>
  <c r="L30" i="119"/>
  <c r="P30" i="119" s="1"/>
  <c r="L28" i="119"/>
  <c r="P28" i="119" s="1"/>
  <c r="L19" i="119"/>
  <c r="P19" i="119" s="1"/>
  <c r="L34" i="119"/>
  <c r="N34" i="119" s="1"/>
  <c r="P34" i="119" s="1"/>
  <c r="L20" i="119"/>
  <c r="N20" i="119" s="1"/>
  <c r="L31" i="119"/>
  <c r="P31" i="119" s="1"/>
  <c r="L26" i="119"/>
  <c r="N26" i="119" s="1"/>
  <c r="L35" i="119"/>
  <c r="N35" i="119" s="1"/>
  <c r="P35" i="119" s="1"/>
  <c r="L29" i="119"/>
  <c r="N29" i="119" s="1"/>
  <c r="L5" i="119"/>
  <c r="N5" i="119" s="1"/>
  <c r="L15" i="119"/>
  <c r="N15" i="119" s="1"/>
  <c r="L36" i="119"/>
  <c r="N36" i="119" s="1"/>
  <c r="P36" i="119" s="1"/>
  <c r="L25" i="119"/>
  <c r="P25" i="119" s="1"/>
  <c r="L13" i="119"/>
  <c r="P13" i="119" s="1"/>
  <c r="L10" i="119"/>
  <c r="P10" i="119" s="1"/>
  <c r="L37" i="119"/>
  <c r="N37" i="119" s="1"/>
  <c r="P37" i="119" s="1"/>
  <c r="L22" i="119"/>
  <c r="N22" i="119" s="1"/>
  <c r="L48" i="119"/>
  <c r="N48" i="119" s="1"/>
  <c r="L27" i="119"/>
  <c r="P27" i="119" s="1"/>
  <c r="L33" i="119"/>
  <c r="N33" i="119" s="1"/>
  <c r="P33" i="119" s="1"/>
  <c r="L12" i="119"/>
  <c r="P12" i="119" s="1"/>
  <c r="P39" i="119"/>
  <c r="P47" i="119"/>
  <c r="N45" i="119"/>
  <c r="N39" i="119"/>
  <c r="N47" i="119"/>
  <c r="N41" i="119"/>
  <c r="N46" i="119"/>
  <c r="L48" i="118"/>
  <c r="N48" i="118" s="1"/>
  <c r="L47" i="118"/>
  <c r="P47" i="118" s="1"/>
  <c r="L43" i="118"/>
  <c r="N43" i="118" s="1"/>
  <c r="L32" i="118"/>
  <c r="N32" i="118" s="1"/>
  <c r="P32" i="118" s="1"/>
  <c r="L31" i="118"/>
  <c r="P31" i="118" s="1"/>
  <c r="L25" i="118"/>
  <c r="N25" i="118" s="1"/>
  <c r="L34" i="118"/>
  <c r="N34" i="118" s="1"/>
  <c r="P34" i="118" s="1"/>
  <c r="L18" i="118"/>
  <c r="P18" i="118" s="1"/>
  <c r="L11" i="118"/>
  <c r="P11" i="118" s="1"/>
  <c r="L36" i="118"/>
  <c r="N36" i="118" s="1"/>
  <c r="P36" i="118" s="1"/>
  <c r="L39" i="118"/>
  <c r="P39" i="118" s="1"/>
  <c r="L29" i="118"/>
  <c r="P29" i="118" s="1"/>
  <c r="L8" i="118"/>
  <c r="N8" i="118" s="1"/>
  <c r="N26" i="117"/>
  <c r="P41" i="117"/>
  <c r="L5" i="117"/>
  <c r="N5" i="117" s="1"/>
  <c r="L23" i="117"/>
  <c r="N23" i="117" s="1"/>
  <c r="L44" i="118"/>
  <c r="P44" i="118" s="1"/>
  <c r="L26" i="118"/>
  <c r="P26" i="118" s="1"/>
  <c r="L40" i="118"/>
  <c r="P40" i="118" s="1"/>
  <c r="L27" i="118"/>
  <c r="P27" i="118" s="1"/>
  <c r="L19" i="118"/>
  <c r="N19" i="118" s="1"/>
  <c r="L37" i="118"/>
  <c r="N37" i="118" s="1"/>
  <c r="P37" i="118" s="1"/>
  <c r="L20" i="118"/>
  <c r="P20" i="118" s="1"/>
  <c r="L13" i="118"/>
  <c r="N13" i="118" s="1"/>
  <c r="L22" i="118"/>
  <c r="P22" i="118" s="1"/>
  <c r="L41" i="118"/>
  <c r="P41" i="118" s="1"/>
  <c r="L16" i="118"/>
  <c r="P16" i="118" s="1"/>
  <c r="L35" i="118"/>
  <c r="N35" i="118" s="1"/>
  <c r="P35" i="118" s="1"/>
  <c r="L6" i="118"/>
  <c r="P6" i="118" s="1"/>
  <c r="L28" i="118"/>
  <c r="P28" i="118" s="1"/>
  <c r="L9" i="118"/>
  <c r="P9" i="118" s="1"/>
  <c r="L15" i="118"/>
  <c r="N15" i="118" s="1"/>
  <c r="L21" i="118"/>
  <c r="P21" i="118" s="1"/>
  <c r="L10" i="118"/>
  <c r="N10" i="118" s="1"/>
  <c r="L30" i="118"/>
  <c r="P30" i="118" s="1"/>
  <c r="L45" i="118"/>
  <c r="N45" i="118" s="1"/>
  <c r="L7" i="118"/>
  <c r="P7" i="118" s="1"/>
  <c r="L5" i="118"/>
  <c r="N5" i="118" s="1"/>
  <c r="L24" i="118"/>
  <c r="P24" i="118" s="1"/>
  <c r="L23" i="118"/>
  <c r="P23" i="118" s="1"/>
  <c r="L38" i="118"/>
  <c r="N38" i="118" s="1"/>
  <c r="P38" i="118" s="1"/>
  <c r="L33" i="118"/>
  <c r="N33" i="118" s="1"/>
  <c r="P33" i="118" s="1"/>
  <c r="L42" i="118"/>
  <c r="N42" i="118" s="1"/>
  <c r="L46" i="118"/>
  <c r="N46" i="118" s="1"/>
  <c r="L12" i="118"/>
  <c r="N12" i="118" s="1"/>
  <c r="L14" i="118"/>
  <c r="P14" i="118" s="1"/>
  <c r="L17" i="118"/>
  <c r="P17" i="118" s="1"/>
  <c r="N41" i="117"/>
  <c r="L25" i="117"/>
  <c r="N25" i="117" s="1"/>
  <c r="L44" i="117"/>
  <c r="L15" i="117"/>
  <c r="N15" i="117" s="1"/>
  <c r="N19" i="117"/>
  <c r="N7" i="117"/>
  <c r="N42" i="117"/>
  <c r="L9" i="117"/>
  <c r="P30" i="117"/>
  <c r="P31" i="117"/>
  <c r="L17" i="117"/>
  <c r="P28" i="117"/>
  <c r="L27" i="117"/>
  <c r="P25" i="117"/>
  <c r="L8" i="117"/>
  <c r="L13" i="117"/>
  <c r="L20" i="117"/>
  <c r="L21" i="117"/>
  <c r="L39" i="117"/>
  <c r="L6" i="117"/>
  <c r="L12" i="117"/>
  <c r="L16" i="117"/>
  <c r="L40" i="117"/>
  <c r="L14" i="117"/>
  <c r="L24" i="117"/>
  <c r="L45" i="117"/>
  <c r="L29" i="117"/>
  <c r="L10" i="117"/>
  <c r="L11" i="117"/>
  <c r="N11" i="117" s="1"/>
  <c r="L18" i="117"/>
  <c r="L43" i="117"/>
  <c r="L22" i="117"/>
  <c r="L46" i="117"/>
  <c r="L34" i="117"/>
  <c r="N34" i="117" s="1"/>
  <c r="L33" i="117"/>
  <c r="N33" i="117" s="1"/>
  <c r="L37" i="117"/>
  <c r="N37" i="117" s="1"/>
  <c r="L35" i="117"/>
  <c r="N35" i="117" s="1"/>
  <c r="L38" i="117"/>
  <c r="N38" i="117" s="1"/>
  <c r="L32" i="117"/>
  <c r="N32" i="117" s="1"/>
  <c r="L36" i="117"/>
  <c r="N36" i="117" s="1"/>
  <c r="O32" i="117"/>
  <c r="O37" i="117"/>
  <c r="O38" i="117"/>
  <c r="O36" i="117"/>
  <c r="N30" i="127" l="1"/>
  <c r="N26" i="127"/>
  <c r="N5" i="127"/>
  <c r="N31" i="127"/>
  <c r="N33" i="127"/>
  <c r="N17" i="127"/>
  <c r="N43" i="127"/>
  <c r="N49" i="127"/>
  <c r="N45" i="127"/>
  <c r="P11" i="126"/>
  <c r="N14" i="126"/>
  <c r="P16" i="126"/>
  <c r="P12" i="126"/>
  <c r="P20" i="126"/>
  <c r="P43" i="126"/>
  <c r="P35" i="126"/>
  <c r="N39" i="126"/>
  <c r="N48" i="126"/>
  <c r="P23" i="126"/>
  <c r="P27" i="126"/>
  <c r="P32" i="126"/>
  <c r="N46" i="126"/>
  <c r="N10" i="126"/>
  <c r="N34" i="126"/>
  <c r="P5" i="126"/>
  <c r="N7" i="126"/>
  <c r="N44" i="126"/>
  <c r="P47" i="126"/>
  <c r="N24" i="126"/>
  <c r="N42" i="126"/>
  <c r="N50" i="126"/>
  <c r="N38" i="126"/>
  <c r="P37" i="126"/>
  <c r="N36" i="126"/>
  <c r="N31" i="126"/>
  <c r="N8" i="126"/>
  <c r="N28" i="126"/>
  <c r="N9" i="126"/>
  <c r="N6" i="126"/>
  <c r="N17" i="126"/>
  <c r="N49" i="126"/>
  <c r="N51" i="126"/>
  <c r="N40" i="126"/>
  <c r="N19" i="126"/>
  <c r="P7" i="125"/>
  <c r="N20" i="125"/>
  <c r="N18" i="125"/>
  <c r="N37" i="125"/>
  <c r="P35" i="125"/>
  <c r="P14" i="125"/>
  <c r="N19" i="125"/>
  <c r="N16" i="125"/>
  <c r="N51" i="125"/>
  <c r="N29" i="125"/>
  <c r="N11" i="125"/>
  <c r="N25" i="125"/>
  <c r="P12" i="125"/>
  <c r="N26" i="125"/>
  <c r="P42" i="125"/>
  <c r="P33" i="126"/>
  <c r="N15" i="126"/>
  <c r="N21" i="126"/>
  <c r="P21" i="125"/>
  <c r="P47" i="125"/>
  <c r="P13" i="126"/>
  <c r="P41" i="126"/>
  <c r="N25" i="126"/>
  <c r="N45" i="126"/>
  <c r="N29" i="126"/>
  <c r="P43" i="125"/>
  <c r="P24" i="125"/>
  <c r="N49" i="125"/>
  <c r="P17" i="125"/>
  <c r="N45" i="125"/>
  <c r="P44" i="125"/>
  <c r="N41" i="125"/>
  <c r="N46" i="125"/>
  <c r="P22" i="125"/>
  <c r="P50" i="125"/>
  <c r="N36" i="125"/>
  <c r="N31" i="125"/>
  <c r="N13" i="125"/>
  <c r="N15" i="125"/>
  <c r="N48" i="125"/>
  <c r="N34" i="125"/>
  <c r="N28" i="125"/>
  <c r="N33" i="125"/>
  <c r="N9" i="125"/>
  <c r="N8" i="125"/>
  <c r="P6" i="125"/>
  <c r="N6" i="124"/>
  <c r="P6" i="124"/>
  <c r="P16" i="124"/>
  <c r="P20" i="124"/>
  <c r="N36" i="124"/>
  <c r="N28" i="124"/>
  <c r="P51" i="124"/>
  <c r="N40" i="124"/>
  <c r="P24" i="124"/>
  <c r="P50" i="124"/>
  <c r="P48" i="124"/>
  <c r="N44" i="124"/>
  <c r="N35" i="124"/>
  <c r="N19" i="124"/>
  <c r="P27" i="124"/>
  <c r="N38" i="124"/>
  <c r="N39" i="124"/>
  <c r="P11" i="124"/>
  <c r="P17" i="124"/>
  <c r="P31" i="124"/>
  <c r="P23" i="124"/>
  <c r="N34" i="124"/>
  <c r="P49" i="124"/>
  <c r="P37" i="124"/>
  <c r="P25" i="124"/>
  <c r="P7" i="124"/>
  <c r="P15" i="124"/>
  <c r="P47" i="124"/>
  <c r="N46" i="124"/>
  <c r="P29" i="124"/>
  <c r="P43" i="124"/>
  <c r="P9" i="124"/>
  <c r="N22" i="124"/>
  <c r="P21" i="124"/>
  <c r="P13" i="124"/>
  <c r="P41" i="124"/>
  <c r="N42" i="124"/>
  <c r="P45" i="124"/>
  <c r="N14" i="124"/>
  <c r="N26" i="124"/>
  <c r="P33" i="124"/>
  <c r="N18" i="124"/>
  <c r="P5" i="124"/>
  <c r="P30" i="124"/>
  <c r="P16" i="122"/>
  <c r="N10" i="124"/>
  <c r="N12" i="122"/>
  <c r="N28" i="122"/>
  <c r="N42" i="122"/>
  <c r="P22" i="122"/>
  <c r="N34" i="122"/>
  <c r="N6" i="122"/>
  <c r="P46" i="122"/>
  <c r="N47" i="122"/>
  <c r="P43" i="122"/>
  <c r="N38" i="122"/>
  <c r="P48" i="122"/>
  <c r="N36" i="122"/>
  <c r="N15" i="122"/>
  <c r="N32" i="122"/>
  <c r="P18" i="122"/>
  <c r="N20" i="122"/>
  <c r="N24" i="122"/>
  <c r="N26" i="122"/>
  <c r="N42" i="119"/>
  <c r="N12" i="121"/>
  <c r="P10" i="120"/>
  <c r="N17" i="121"/>
  <c r="N24" i="121"/>
  <c r="N9" i="121"/>
  <c r="N49" i="121"/>
  <c r="N5" i="121"/>
  <c r="N23" i="121"/>
  <c r="N48" i="121"/>
  <c r="N32" i="121"/>
  <c r="P15" i="121"/>
  <c r="N11" i="121"/>
  <c r="P10" i="121"/>
  <c r="N31" i="121"/>
  <c r="P31" i="121"/>
  <c r="N22" i="121"/>
  <c r="N14" i="121"/>
  <c r="P14" i="121"/>
  <c r="N38" i="121"/>
  <c r="P38" i="121"/>
  <c r="N19" i="121"/>
  <c r="N25" i="121"/>
  <c r="P25" i="121"/>
  <c r="N37" i="121"/>
  <c r="P37" i="121"/>
  <c r="N35" i="121"/>
  <c r="P35" i="121"/>
  <c r="N30" i="121"/>
  <c r="N33" i="121"/>
  <c r="P33" i="121"/>
  <c r="N41" i="121"/>
  <c r="N39" i="121"/>
  <c r="P39" i="121"/>
  <c r="N26" i="121"/>
  <c r="P26" i="121"/>
  <c r="N42" i="121"/>
  <c r="P42" i="121"/>
  <c r="N28" i="121"/>
  <c r="N36" i="121"/>
  <c r="N47" i="121"/>
  <c r="P47" i="121"/>
  <c r="N6" i="121"/>
  <c r="N46" i="121"/>
  <c r="N29" i="121"/>
  <c r="N20" i="121"/>
  <c r="N13" i="121"/>
  <c r="N44" i="121"/>
  <c r="N7" i="121"/>
  <c r="N18" i="121"/>
  <c r="N21" i="121"/>
  <c r="N45" i="121"/>
  <c r="N16" i="121"/>
  <c r="N43" i="121"/>
  <c r="N40" i="121"/>
  <c r="P49" i="120"/>
  <c r="N30" i="120"/>
  <c r="N23" i="120"/>
  <c r="P12" i="120"/>
  <c r="P7" i="120"/>
  <c r="N6" i="120"/>
  <c r="N15" i="120"/>
  <c r="N13" i="120"/>
  <c r="P14" i="120"/>
  <c r="N9" i="120"/>
  <c r="N8" i="120"/>
  <c r="N25" i="120"/>
  <c r="N19" i="120"/>
  <c r="N20" i="120"/>
  <c r="N22" i="120"/>
  <c r="P41" i="120"/>
  <c r="P11" i="120"/>
  <c r="N46" i="120"/>
  <c r="N18" i="120"/>
  <c r="N40" i="120"/>
  <c r="N44" i="120"/>
  <c r="P26" i="120"/>
  <c r="N5" i="120"/>
  <c r="N28" i="120"/>
  <c r="N45" i="120"/>
  <c r="N43" i="120"/>
  <c r="N17" i="120"/>
  <c r="N42" i="120"/>
  <c r="P27" i="120"/>
  <c r="N47" i="120"/>
  <c r="N44" i="119"/>
  <c r="P43" i="119"/>
  <c r="N11" i="119"/>
  <c r="N31" i="119"/>
  <c r="N14" i="119"/>
  <c r="P23" i="119"/>
  <c r="N7" i="119"/>
  <c r="P5" i="119"/>
  <c r="N25" i="119"/>
  <c r="N24" i="119"/>
  <c r="P26" i="119"/>
  <c r="P6" i="119"/>
  <c r="N13" i="119"/>
  <c r="N27" i="119"/>
  <c r="N30" i="119"/>
  <c r="P48" i="119"/>
  <c r="N16" i="119"/>
  <c r="P17" i="119"/>
  <c r="P15" i="119"/>
  <c r="P8" i="119"/>
  <c r="P21" i="119"/>
  <c r="N12" i="119"/>
  <c r="N9" i="119"/>
  <c r="P20" i="119"/>
  <c r="N19" i="119"/>
  <c r="N10" i="119"/>
  <c r="P29" i="119"/>
  <c r="N28" i="119"/>
  <c r="P18" i="119"/>
  <c r="P40" i="119"/>
  <c r="P22" i="119"/>
  <c r="P48" i="118"/>
  <c r="N47" i="118"/>
  <c r="P43" i="118"/>
  <c r="P25" i="118"/>
  <c r="N31" i="118"/>
  <c r="P19" i="118"/>
  <c r="N27" i="118"/>
  <c r="N39" i="118"/>
  <c r="N11" i="118"/>
  <c r="N40" i="118"/>
  <c r="N18" i="118"/>
  <c r="N29" i="118"/>
  <c r="N20" i="118"/>
  <c r="P8" i="118"/>
  <c r="N44" i="118"/>
  <c r="N26" i="118"/>
  <c r="P23" i="117"/>
  <c r="P5" i="117"/>
  <c r="N6" i="118"/>
  <c r="P13" i="118"/>
  <c r="P5" i="118"/>
  <c r="N22" i="118"/>
  <c r="N41" i="118"/>
  <c r="P46" i="118"/>
  <c r="N23" i="118"/>
  <c r="N24" i="118"/>
  <c r="P10" i="118"/>
  <c r="P15" i="118"/>
  <c r="N16" i="118"/>
  <c r="P12" i="118"/>
  <c r="N14" i="118"/>
  <c r="N21" i="118"/>
  <c r="N30" i="118"/>
  <c r="P42" i="118"/>
  <c r="P45" i="118"/>
  <c r="N7" i="118"/>
  <c r="N9" i="118"/>
  <c r="N28" i="118"/>
  <c r="N17" i="118"/>
  <c r="P13" i="117"/>
  <c r="N13" i="117"/>
  <c r="P22" i="117"/>
  <c r="N22" i="117"/>
  <c r="P6" i="117"/>
  <c r="N6" i="117"/>
  <c r="P18" i="117"/>
  <c r="N18" i="117"/>
  <c r="P21" i="117"/>
  <c r="N21" i="117"/>
  <c r="P43" i="117"/>
  <c r="N43" i="117"/>
  <c r="P15" i="117"/>
  <c r="P10" i="117"/>
  <c r="N10" i="117"/>
  <c r="P20" i="117"/>
  <c r="N20" i="117"/>
  <c r="P9" i="117"/>
  <c r="N9" i="117"/>
  <c r="P45" i="117"/>
  <c r="N45" i="117"/>
  <c r="P8" i="117"/>
  <c r="N8" i="117"/>
  <c r="P14" i="117"/>
  <c r="N14" i="117"/>
  <c r="P44" i="117"/>
  <c r="N44" i="117"/>
  <c r="P27" i="117"/>
  <c r="N27" i="117"/>
  <c r="P16" i="117"/>
  <c r="N16" i="117"/>
  <c r="P39" i="117"/>
  <c r="N39" i="117"/>
  <c r="P29" i="117"/>
  <c r="N29" i="117"/>
  <c r="P24" i="117"/>
  <c r="N24" i="117"/>
  <c r="P40" i="117"/>
  <c r="N40" i="117"/>
  <c r="P46" i="117"/>
  <c r="N46" i="117"/>
  <c r="P12" i="117"/>
  <c r="N12" i="117"/>
  <c r="P17" i="117"/>
  <c r="N17" i="117"/>
  <c r="P11" i="117"/>
  <c r="P33" i="117"/>
  <c r="P34" i="117"/>
  <c r="P35" i="117"/>
  <c r="P32" i="117"/>
  <c r="P37" i="117"/>
  <c r="P36" i="117"/>
  <c r="P38" i="117"/>
</calcChain>
</file>

<file path=xl/sharedStrings.xml><?xml version="1.0" encoding="utf-8"?>
<sst xmlns="http://schemas.openxmlformats.org/spreadsheetml/2006/main" count="1355" uniqueCount="91">
  <si>
    <t>礼包类别</t>
  </si>
  <si>
    <t>备注</t>
  </si>
  <si>
    <t>编号</t>
  </si>
  <si>
    <t>昵称</t>
  </si>
  <si>
    <t>曾用名</t>
  </si>
  <si>
    <t>分包</t>
  </si>
  <si>
    <t>礼包耗费</t>
  </si>
  <si>
    <t>分包总分</t>
  </si>
  <si>
    <t>人数</t>
  </si>
  <si>
    <t>消耗分数</t>
  </si>
  <si>
    <t>参战</t>
  </si>
  <si>
    <t>新人战力排名</t>
  </si>
  <si>
    <t>新人初始分</t>
  </si>
  <si>
    <t>人物信息</t>
  </si>
  <si>
    <t>积分统计</t>
  </si>
  <si>
    <t>a跨服传说礼包</t>
  </si>
  <si>
    <t>人物账号</t>
  </si>
  <si>
    <t>参战得分</t>
  </si>
  <si>
    <t>本周得分</t>
  </si>
  <si>
    <t>上周得分</t>
  </si>
  <si>
    <t>结余分数</t>
  </si>
  <si>
    <t>b跨服英雄礼包</t>
  </si>
  <si>
    <t>c跨服精英礼包</t>
  </si>
  <si>
    <t>(未分包)</t>
  </si>
  <si>
    <t>礼包消耗参数</t>
  </si>
  <si>
    <t>年</t>
  </si>
  <si>
    <t>月</t>
  </si>
  <si>
    <t>日</t>
  </si>
  <si>
    <t>次数</t>
  </si>
  <si>
    <t>奖励得分</t>
  </si>
  <si>
    <t>a传说功勋礼包</t>
  </si>
  <si>
    <t>b英雄功勋礼包</t>
  </si>
  <si>
    <t>c精英功勋礼包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</si>
  <si>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</si>
  <si>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</si>
  <si>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</si>
  <si>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</si>
  <si>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</si>
  <si>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</si>
  <si>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</si>
  <si>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</si>
  <si>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</si>
  <si>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</si>
  <si>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</si>
  <si>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</si>
  <si>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</si>
  <si>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</si>
  <si>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</si>
  <si>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</si>
  <si>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</si>
  <si>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</si>
  <si>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</si>
  <si>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</si>
  <si>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</si>
  <si>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</si>
  <si>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</si>
  <si>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</si>
  <si>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</si>
  <si>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</si>
  <si>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</si>
  <si>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</si>
  <si>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</si>
  <si>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</si>
  <si>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</si>
  <si>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</si>
  <si>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</si>
  <si>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</si>
  <si>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</si>
  <si>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</si>
  <si>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</si>
  <si>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</si>
  <si>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</si>
  <si>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</si>
  <si>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</si>
  <si>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</si>
  <si>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战力得分</t>
  </si>
  <si>
    <t>小号</t>
  </si>
  <si>
    <t>战力 万</t>
  </si>
  <si>
    <t>*战力得分参数</t>
  </si>
  <si>
    <t>参战次数参数</t>
  </si>
  <si>
    <t>满参战参数</t>
  </si>
  <si>
    <t>积分计算规则：
1.每周礼包按照分包总分由高到低分配。组织成员的结余分数=分包总分-礼包耗费。结余分数将计入下周表格。
2.分包总分=本周得分+上周得分。
3.本周得分=参战得分+战力+奖励得分。
4.参战得分= 组织成员本周参战次数*3,参战两次以上，每次有2分额外奖励。
5.战力得分=战力*战力得分参数*本周参战率，战力按月更新
6.奖励得分包含并不限于：分包统计，接引新人。详情见备注
7.小号不计得分，默认发放蓝包</t>
  </si>
  <si>
    <t>积分计算规则：
1.每周礼包按照分包总分由高到低分配。组织成员的结余分数=分包总分-礼包耗费。结余分数将计入下周表格。
2.分包总分=本周得分+上周得分。
3.本周得分=参战得分+战力+奖励得分。
4.参战得分= 组织成员本周参战次数*[参战次数参数],参战两次以上，每次有[满参战参数]分额外奖励。
5.战力得分=战力*战力得分参数*本周参战率，战力按月更新
6.奖励得分包含并不限于：分包统计，接引新人。详情见备注
7.小号不计得分，默认发放蓝包</t>
  </si>
  <si>
    <t>木叶白牙</t>
  </si>
  <si>
    <t>沃踏麻刺肾肝</t>
  </si>
  <si>
    <t>userQRv</t>
  </si>
  <si>
    <t>total</t>
  </si>
  <si>
    <t>安安</t>
  </si>
  <si>
    <t>度龙</t>
  </si>
  <si>
    <t>米奈希尔</t>
  </si>
  <si>
    <t>跨服加成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</si>
</sst>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0">
    <font>
      <sz val="11"/>
      <name val="宋体"/>
      <charset val="134"/>
    </font>
    <font>
      <b/>
      <sz val="16"/>
      <color rgb="FF1E1E1E"/>
      <name val="黑体"/>
      <family val="3"/>
      <charset val="134"/>
    </font>
    <font>
      <b/>
      <sz val="14"/>
      <name val="楷体"/>
      <family val="3"/>
      <charset val="134"/>
    </font>
    <font>
      <sz val="11"/>
      <color theme="9" tint="-0.249977111117893"/>
      <name val="宋体"/>
      <family val="3"/>
      <charset val="134"/>
    </font>
    <font>
      <b/>
      <sz val="14"/>
      <color rgb="FF1E1E1E"/>
      <name val="楷体"/>
      <family val="3"/>
      <charset val="134"/>
    </font>
    <font>
      <b/>
      <sz val="12"/>
      <color rgb="FFE36B09"/>
      <name val="宋体"/>
      <family val="3"/>
      <charset val="134"/>
    </font>
    <font>
      <b/>
      <sz val="12"/>
      <color rgb="FF7030A0"/>
      <name val="宋体"/>
      <family val="3"/>
      <charset val="134"/>
    </font>
    <font>
      <b/>
      <sz val="12"/>
      <color rgb="FF0070C0"/>
      <name val="宋体"/>
      <family val="3"/>
      <charset val="134"/>
    </font>
    <font>
      <b/>
      <sz val="16"/>
      <name val="黑体"/>
      <family val="3"/>
      <charset val="134"/>
    </font>
    <font>
      <b/>
      <sz val="14"/>
      <color rgb="FFFF0000"/>
      <name val="楷体"/>
      <family val="3"/>
      <charset val="134"/>
    </font>
    <font>
      <b/>
      <sz val="14"/>
      <name val="宋体"/>
      <family val="3"/>
      <charset val="134"/>
    </font>
    <font>
      <sz val="14"/>
      <name val="黑体"/>
      <family val="3"/>
      <charset val="134"/>
    </font>
    <font>
      <sz val="11"/>
      <name val="黑体"/>
      <family val="3"/>
      <charset val="134"/>
    </font>
    <font>
      <sz val="14"/>
      <color rgb="FF1E1E1E"/>
      <name val="黑体"/>
      <family val="3"/>
      <charset val="134"/>
    </font>
    <font>
      <sz val="14"/>
      <color theme="1"/>
      <name val="黑体"/>
      <family val="3"/>
      <charset val="134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1E1E1E"/>
      <name val="黑体"/>
    </font>
    <font>
      <sz val="14"/>
      <name val="宋体"/>
      <charset val="134"/>
    </font>
    <font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Protection="1">
      <alignment vertical="center"/>
    </xf>
    <xf numFmtId="0" fontId="0" fillId="5" borderId="1" xfId="0" applyFont="1" applyFill="1" applyBorder="1" applyProtection="1">
      <alignment vertical="center"/>
    </xf>
    <xf numFmtId="0" fontId="5" fillId="2" borderId="4" xfId="0" applyFont="1" applyFill="1" applyBorder="1" applyAlignment="1" applyProtection="1">
      <alignment horizontal="center" vertical="center"/>
    </xf>
    <xf numFmtId="0" fontId="0" fillId="5" borderId="1" xfId="0" applyFill="1" applyBorder="1" applyProtection="1">
      <alignment vertical="center"/>
    </xf>
    <xf numFmtId="0" fontId="6" fillId="2" borderId="4" xfId="0" applyFont="1" applyFill="1" applyBorder="1" applyAlignment="1" applyProtection="1">
      <alignment horizontal="center" vertical="center"/>
    </xf>
    <xf numFmtId="0" fontId="10" fillId="0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0" fillId="0" borderId="4" xfId="0" applyFill="1" applyBorder="1">
      <alignment vertical="center"/>
    </xf>
    <xf numFmtId="0" fontId="0" fillId="5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4" borderId="0" xfId="0" applyFont="1" applyFill="1">
      <alignment vertical="center"/>
    </xf>
    <xf numFmtId="0" fontId="3" fillId="0" borderId="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2" fillId="0" borderId="1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14" fillId="0" borderId="1" xfId="0" applyFont="1" applyFill="1" applyBorder="1" applyAlignment="1">
      <alignment horizontal="left" vertical="center"/>
    </xf>
    <xf numFmtId="0" fontId="0" fillId="0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5" fillId="0" borderId="5" xfId="0" applyFont="1" applyBorder="1" applyAlignment="1"/>
    <xf numFmtId="0" fontId="15" fillId="0" borderId="6" xfId="0" applyFont="1" applyBorder="1" applyAlignment="1"/>
    <xf numFmtId="0" fontId="15" fillId="0" borderId="7" xfId="0" applyFont="1" applyBorder="1" applyAlignment="1"/>
    <xf numFmtId="0" fontId="15" fillId="0" borderId="8" xfId="0" applyFont="1" applyBorder="1" applyAlignment="1"/>
    <xf numFmtId="0" fontId="15" fillId="0" borderId="1" xfId="0" applyFont="1" applyBorder="1" applyAlignment="1"/>
    <xf numFmtId="1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>
      <alignment vertical="center"/>
    </xf>
    <xf numFmtId="1" fontId="9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0" fillId="7" borderId="9" xfId="0" applyFill="1" applyBorder="1" applyProtection="1">
      <alignment vertical="center"/>
    </xf>
    <xf numFmtId="14" fontId="1" fillId="8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 vertical="center"/>
    </xf>
    <xf numFmtId="0" fontId="2" fillId="0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1" fontId="2" fillId="9" borderId="10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2" borderId="0" xfId="0" applyFill="1" applyBorder="1">
      <alignment vertical="center"/>
    </xf>
    <xf numFmtId="0" fontId="7" fillId="0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0" fillId="7" borderId="1" xfId="0" applyFill="1" applyBorder="1">
      <alignment vertical="center"/>
    </xf>
    <xf numFmtId="0" fontId="0" fillId="7" borderId="1" xfId="0" applyFill="1" applyBorder="1" applyProtection="1">
      <alignment vertical="center"/>
    </xf>
    <xf numFmtId="0" fontId="0" fillId="5" borderId="1" xfId="0" applyFill="1" applyBorder="1">
      <alignment vertical="center"/>
    </xf>
    <xf numFmtId="0" fontId="0" fillId="4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2" fillId="0" borderId="10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4" fontId="19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14" fontId="1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07CD-4271-4132-AB4D-A9B2D44429AF}">
  <dimension ref="A1:T48"/>
  <sheetViews>
    <sheetView topLeftCell="A13" zoomScale="85" zoomScaleNormal="85" workbookViewId="0">
      <selection activeCell="K13" sqref="K13"/>
    </sheetView>
  </sheetViews>
  <sheetFormatPr defaultRowHeight="13.5"/>
  <cols>
    <col min="2" max="2" width="18" bestFit="1" customWidth="1"/>
    <col min="3" max="3" width="5.75" customWidth="1"/>
    <col min="4" max="6" width="12.5" bestFit="1" customWidth="1"/>
    <col min="7" max="8" width="11.125" bestFit="1" customWidth="1"/>
    <col min="9" max="11" width="12.5" bestFit="1" customWidth="1"/>
    <col min="12" max="12" width="11.125" bestFit="1" customWidth="1"/>
    <col min="13" max="15" width="12.5" bestFit="1" customWidth="1"/>
    <col min="16" max="16" width="11.125" bestFit="1" customWidth="1"/>
    <col min="17" max="19" width="12.5" bestFit="1" customWidth="1"/>
    <col min="20" max="20" width="11.125" bestFit="1" customWidth="1"/>
  </cols>
  <sheetData>
    <row r="1" spans="1:20" ht="18.75">
      <c r="A1" s="86"/>
      <c r="B1" s="86"/>
      <c r="C1" s="87" t="s">
        <v>86</v>
      </c>
      <c r="D1" s="88">
        <v>44632</v>
      </c>
      <c r="E1" s="88">
        <v>44639</v>
      </c>
      <c r="F1" s="88">
        <v>44646</v>
      </c>
      <c r="G1" s="88">
        <v>44653</v>
      </c>
      <c r="H1" s="88">
        <v>44660</v>
      </c>
      <c r="I1" s="88">
        <v>44667</v>
      </c>
      <c r="J1" s="88">
        <v>44674</v>
      </c>
      <c r="K1" s="88">
        <v>44681</v>
      </c>
      <c r="L1" s="88">
        <v>44688</v>
      </c>
      <c r="M1" s="88">
        <v>44695</v>
      </c>
      <c r="N1" s="88">
        <v>44702</v>
      </c>
      <c r="O1" s="88">
        <v>44709</v>
      </c>
      <c r="P1" s="88">
        <v>44716</v>
      </c>
      <c r="Q1" s="88">
        <v>44723</v>
      </c>
      <c r="R1" s="88">
        <v>44730</v>
      </c>
      <c r="S1" s="88">
        <v>44737</v>
      </c>
      <c r="T1" s="88">
        <v>44744</v>
      </c>
    </row>
    <row r="2" spans="1:20" ht="18.75">
      <c r="A2" s="9">
        <v>1</v>
      </c>
      <c r="B2" s="45" t="s">
        <v>33</v>
      </c>
      <c r="C2" s="10">
        <f t="shared" ref="C2:C48" si="0">SUM(D2:Z2)</f>
        <v>22</v>
      </c>
      <c r="D2" s="10">
        <v>3</v>
      </c>
      <c r="E2" s="10">
        <v>2</v>
      </c>
      <c r="F2" s="10">
        <v>3</v>
      </c>
      <c r="G2" s="10">
        <v>3</v>
      </c>
      <c r="H2" s="10">
        <v>3</v>
      </c>
      <c r="I2" s="10">
        <v>3</v>
      </c>
      <c r="J2" s="10">
        <v>3</v>
      </c>
      <c r="K2" s="10">
        <v>2</v>
      </c>
    </row>
    <row r="3" spans="1:20" ht="18.75">
      <c r="A3" s="9">
        <v>2</v>
      </c>
      <c r="B3" s="45" t="s">
        <v>34</v>
      </c>
      <c r="C3" s="10">
        <f t="shared" si="0"/>
        <v>18</v>
      </c>
      <c r="D3" s="10">
        <v>3</v>
      </c>
      <c r="E3" s="10">
        <v>2</v>
      </c>
      <c r="F3" s="10">
        <v>1</v>
      </c>
      <c r="G3" s="10">
        <v>1</v>
      </c>
      <c r="H3" s="10">
        <v>3</v>
      </c>
      <c r="I3" s="10">
        <v>2</v>
      </c>
      <c r="J3" s="10">
        <v>3</v>
      </c>
      <c r="K3" s="10">
        <v>3</v>
      </c>
    </row>
    <row r="4" spans="1:20" ht="18.75">
      <c r="A4" s="9">
        <v>3</v>
      </c>
      <c r="B4" s="45" t="s">
        <v>35</v>
      </c>
      <c r="C4" s="10">
        <f t="shared" si="0"/>
        <v>23</v>
      </c>
      <c r="D4" s="10">
        <v>3</v>
      </c>
      <c r="E4" s="10">
        <v>2</v>
      </c>
      <c r="F4" s="10">
        <v>3</v>
      </c>
      <c r="G4" s="10">
        <v>3</v>
      </c>
      <c r="H4" s="10">
        <v>2</v>
      </c>
      <c r="I4" s="10">
        <v>3</v>
      </c>
      <c r="J4" s="10">
        <v>3</v>
      </c>
      <c r="K4" s="10">
        <v>4</v>
      </c>
    </row>
    <row r="5" spans="1:20" ht="18.75">
      <c r="A5" s="9">
        <v>4</v>
      </c>
      <c r="B5" s="45" t="s">
        <v>36</v>
      </c>
      <c r="C5" s="10">
        <f t="shared" si="0"/>
        <v>24</v>
      </c>
      <c r="D5" s="10">
        <v>3</v>
      </c>
      <c r="E5" s="10">
        <v>3</v>
      </c>
      <c r="F5" s="10">
        <v>2</v>
      </c>
      <c r="G5" s="10">
        <v>3</v>
      </c>
      <c r="H5" s="10">
        <v>3</v>
      </c>
      <c r="I5" s="10">
        <v>4</v>
      </c>
      <c r="J5" s="10">
        <v>3</v>
      </c>
      <c r="K5" s="10">
        <v>3</v>
      </c>
    </row>
    <row r="6" spans="1:20" ht="18.75">
      <c r="A6" s="9">
        <v>5</v>
      </c>
      <c r="B6" s="45" t="s">
        <v>37</v>
      </c>
      <c r="C6" s="10">
        <f t="shared" si="0"/>
        <v>28</v>
      </c>
      <c r="D6" s="10">
        <v>3</v>
      </c>
      <c r="E6" s="10">
        <v>4</v>
      </c>
      <c r="F6" s="10">
        <v>3</v>
      </c>
      <c r="G6" s="10">
        <v>4</v>
      </c>
      <c r="H6" s="10">
        <v>3</v>
      </c>
      <c r="I6" s="10">
        <v>4</v>
      </c>
      <c r="J6" s="10">
        <v>3</v>
      </c>
      <c r="K6" s="10">
        <v>4</v>
      </c>
    </row>
    <row r="7" spans="1:20" ht="18.75">
      <c r="A7" s="9">
        <v>6</v>
      </c>
      <c r="B7" s="45" t="s">
        <v>38</v>
      </c>
      <c r="C7" s="10">
        <f t="shared" si="0"/>
        <v>26</v>
      </c>
      <c r="D7" s="10">
        <v>3</v>
      </c>
      <c r="E7" s="10">
        <v>4</v>
      </c>
      <c r="F7" s="10">
        <v>3</v>
      </c>
      <c r="G7" s="10">
        <v>4</v>
      </c>
      <c r="H7" s="10">
        <v>3</v>
      </c>
      <c r="I7" s="10">
        <v>4</v>
      </c>
      <c r="J7" s="10">
        <v>3</v>
      </c>
      <c r="K7" s="10">
        <v>2</v>
      </c>
    </row>
    <row r="8" spans="1:20" ht="18.75">
      <c r="A8" s="9">
        <v>7</v>
      </c>
      <c r="B8" s="45" t="s">
        <v>39</v>
      </c>
      <c r="C8" s="10">
        <f t="shared" si="0"/>
        <v>23</v>
      </c>
      <c r="D8" s="10">
        <v>3</v>
      </c>
      <c r="E8" s="10">
        <v>2</v>
      </c>
      <c r="F8" s="10">
        <v>3</v>
      </c>
      <c r="G8" s="10">
        <v>3</v>
      </c>
      <c r="H8" s="10">
        <v>3</v>
      </c>
      <c r="I8" s="10">
        <v>3</v>
      </c>
      <c r="J8" s="10">
        <v>3</v>
      </c>
      <c r="K8" s="10">
        <v>3</v>
      </c>
    </row>
    <row r="9" spans="1:20" ht="18.75">
      <c r="A9" s="9">
        <v>8</v>
      </c>
      <c r="B9" s="45" t="s">
        <v>40</v>
      </c>
      <c r="C9" s="10">
        <f t="shared" si="0"/>
        <v>24</v>
      </c>
      <c r="D9" s="10">
        <v>3</v>
      </c>
      <c r="E9" s="10">
        <v>3</v>
      </c>
      <c r="F9" s="10">
        <v>3</v>
      </c>
      <c r="G9" s="10">
        <v>2</v>
      </c>
      <c r="H9" s="10">
        <v>3</v>
      </c>
      <c r="I9" s="10">
        <v>4</v>
      </c>
      <c r="J9" s="10">
        <v>3</v>
      </c>
      <c r="K9" s="10">
        <v>3</v>
      </c>
    </row>
    <row r="10" spans="1:20" ht="18.75">
      <c r="A10" s="9">
        <v>9</v>
      </c>
      <c r="B10" s="45" t="s">
        <v>41</v>
      </c>
      <c r="C10" s="10">
        <f t="shared" si="0"/>
        <v>18</v>
      </c>
      <c r="D10" s="10">
        <v>3</v>
      </c>
      <c r="E10" s="10">
        <v>3</v>
      </c>
      <c r="F10" s="10">
        <v>1</v>
      </c>
      <c r="G10" s="10">
        <v>2</v>
      </c>
      <c r="H10" s="10">
        <v>1</v>
      </c>
      <c r="I10" s="10">
        <v>4</v>
      </c>
      <c r="J10" s="10">
        <v>2</v>
      </c>
      <c r="K10" s="10">
        <v>2</v>
      </c>
    </row>
    <row r="11" spans="1:20" ht="18.75">
      <c r="A11" s="9">
        <v>10</v>
      </c>
      <c r="B11" s="45" t="s">
        <v>42</v>
      </c>
      <c r="C11" s="10">
        <f t="shared" si="0"/>
        <v>28</v>
      </c>
      <c r="D11" s="10">
        <v>3</v>
      </c>
      <c r="E11" s="10">
        <v>4</v>
      </c>
      <c r="F11" s="10">
        <v>3</v>
      </c>
      <c r="G11" s="10">
        <v>4</v>
      </c>
      <c r="H11" s="10">
        <v>3</v>
      </c>
      <c r="I11" s="10">
        <v>4</v>
      </c>
      <c r="J11" s="10">
        <v>3</v>
      </c>
      <c r="K11" s="10">
        <v>4</v>
      </c>
    </row>
    <row r="12" spans="1:20" ht="18.75">
      <c r="A12" s="9">
        <v>11</v>
      </c>
      <c r="B12" s="45" t="s">
        <v>43</v>
      </c>
      <c r="C12" s="10">
        <f t="shared" si="0"/>
        <v>23</v>
      </c>
      <c r="D12" s="10">
        <v>2</v>
      </c>
      <c r="E12" s="10">
        <v>3</v>
      </c>
      <c r="F12" s="10">
        <v>3</v>
      </c>
      <c r="G12" s="10">
        <v>4</v>
      </c>
      <c r="H12" s="10">
        <v>2</v>
      </c>
      <c r="I12" s="10">
        <v>4</v>
      </c>
      <c r="J12" s="10">
        <v>2</v>
      </c>
      <c r="K12" s="10">
        <v>3</v>
      </c>
    </row>
    <row r="13" spans="1:20" ht="18.75">
      <c r="A13" s="9">
        <v>12</v>
      </c>
      <c r="B13" s="45" t="s">
        <v>44</v>
      </c>
      <c r="C13" s="10">
        <f t="shared" si="0"/>
        <v>28</v>
      </c>
      <c r="D13" s="10">
        <v>3</v>
      </c>
      <c r="E13" s="10">
        <v>4</v>
      </c>
      <c r="F13" s="10">
        <v>3</v>
      </c>
      <c r="G13" s="10">
        <v>4</v>
      </c>
      <c r="H13" s="10">
        <v>3</v>
      </c>
      <c r="I13" s="10">
        <v>4</v>
      </c>
      <c r="J13" s="10">
        <v>3</v>
      </c>
      <c r="K13" s="10">
        <v>4</v>
      </c>
    </row>
    <row r="14" spans="1:20" ht="18.75">
      <c r="A14" s="9">
        <v>13</v>
      </c>
      <c r="B14" s="45" t="s">
        <v>45</v>
      </c>
      <c r="C14" s="10">
        <f t="shared" si="0"/>
        <v>6</v>
      </c>
      <c r="D14" s="10">
        <v>2</v>
      </c>
      <c r="E14" s="10">
        <v>2</v>
      </c>
      <c r="F14" s="10">
        <v>2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</row>
    <row r="15" spans="1:20" ht="18.75">
      <c r="A15" s="9">
        <v>14</v>
      </c>
      <c r="B15" s="45" t="s">
        <v>46</v>
      </c>
      <c r="C15" s="10">
        <f t="shared" si="0"/>
        <v>26</v>
      </c>
      <c r="D15" s="10">
        <v>3</v>
      </c>
      <c r="E15" s="10">
        <v>4</v>
      </c>
      <c r="F15" s="10">
        <v>3</v>
      </c>
      <c r="G15" s="10">
        <v>4</v>
      </c>
      <c r="H15" s="10">
        <v>3</v>
      </c>
      <c r="I15" s="10">
        <v>2</v>
      </c>
      <c r="J15" s="10">
        <v>3</v>
      </c>
      <c r="K15" s="10">
        <v>4</v>
      </c>
    </row>
    <row r="16" spans="1:20" ht="18.75">
      <c r="A16" s="9">
        <v>15</v>
      </c>
      <c r="B16" s="45" t="s">
        <v>47</v>
      </c>
      <c r="C16" s="10">
        <f t="shared" si="0"/>
        <v>25</v>
      </c>
      <c r="D16" s="10">
        <v>3</v>
      </c>
      <c r="E16" s="10">
        <v>4</v>
      </c>
      <c r="F16" s="10">
        <v>3</v>
      </c>
      <c r="G16" s="10">
        <v>2</v>
      </c>
      <c r="H16" s="10">
        <v>3</v>
      </c>
      <c r="I16" s="10">
        <v>3</v>
      </c>
      <c r="J16" s="10">
        <v>3</v>
      </c>
      <c r="K16" s="10">
        <v>4</v>
      </c>
    </row>
    <row r="17" spans="1:11" ht="18.75">
      <c r="A17" s="9">
        <v>16</v>
      </c>
      <c r="B17" s="45" t="s">
        <v>48</v>
      </c>
      <c r="C17" s="10">
        <f t="shared" si="0"/>
        <v>22</v>
      </c>
      <c r="D17" s="10">
        <v>3</v>
      </c>
      <c r="E17" s="10">
        <v>3</v>
      </c>
      <c r="F17" s="10">
        <v>3</v>
      </c>
      <c r="G17" s="10">
        <v>3</v>
      </c>
      <c r="H17" s="10">
        <v>3</v>
      </c>
      <c r="I17" s="10">
        <v>2</v>
      </c>
      <c r="J17" s="10">
        <v>2</v>
      </c>
      <c r="K17" s="10">
        <v>3</v>
      </c>
    </row>
    <row r="18" spans="1:11" ht="18.75">
      <c r="A18" s="9">
        <v>17</v>
      </c>
      <c r="B18" s="45" t="s">
        <v>49</v>
      </c>
      <c r="C18" s="10">
        <f t="shared" si="0"/>
        <v>24</v>
      </c>
      <c r="D18" s="10">
        <v>3</v>
      </c>
      <c r="E18" s="10">
        <v>3</v>
      </c>
      <c r="F18" s="10">
        <v>3</v>
      </c>
      <c r="G18" s="10">
        <v>4</v>
      </c>
      <c r="H18" s="10">
        <v>2</v>
      </c>
      <c r="I18" s="10">
        <v>3</v>
      </c>
      <c r="J18" s="10">
        <v>3</v>
      </c>
      <c r="K18" s="10">
        <v>3</v>
      </c>
    </row>
    <row r="19" spans="1:11" ht="18.75">
      <c r="A19" s="9">
        <v>18</v>
      </c>
      <c r="B19" s="45" t="s">
        <v>50</v>
      </c>
      <c r="C19" s="10">
        <f t="shared" si="0"/>
        <v>18</v>
      </c>
      <c r="D19" s="10">
        <v>1</v>
      </c>
      <c r="E19" s="10">
        <v>2</v>
      </c>
      <c r="F19" s="10">
        <v>1</v>
      </c>
      <c r="G19" s="10">
        <v>3</v>
      </c>
      <c r="H19" s="10">
        <v>3</v>
      </c>
      <c r="I19" s="10">
        <v>3</v>
      </c>
      <c r="J19" s="10">
        <v>1</v>
      </c>
      <c r="K19" s="10">
        <v>4</v>
      </c>
    </row>
    <row r="20" spans="1:11" ht="18.75">
      <c r="A20" s="9">
        <v>19</v>
      </c>
      <c r="B20" s="45" t="s">
        <v>51</v>
      </c>
      <c r="C20" s="10">
        <f t="shared" si="0"/>
        <v>20</v>
      </c>
      <c r="D20" s="10">
        <v>2</v>
      </c>
      <c r="E20" s="10">
        <v>3</v>
      </c>
      <c r="F20" s="10">
        <v>3</v>
      </c>
      <c r="G20" s="10">
        <v>2</v>
      </c>
      <c r="H20" s="10">
        <v>2</v>
      </c>
      <c r="I20" s="10">
        <v>2</v>
      </c>
      <c r="J20" s="10">
        <v>3</v>
      </c>
      <c r="K20" s="10">
        <v>3</v>
      </c>
    </row>
    <row r="21" spans="1:11" ht="18.75">
      <c r="A21" s="9">
        <v>20</v>
      </c>
      <c r="B21" s="45" t="s">
        <v>52</v>
      </c>
      <c r="C21" s="10">
        <f t="shared" si="0"/>
        <v>26</v>
      </c>
      <c r="D21" s="10">
        <v>3</v>
      </c>
      <c r="E21" s="10">
        <v>4</v>
      </c>
      <c r="F21" s="10">
        <v>3</v>
      </c>
      <c r="G21" s="10">
        <v>4</v>
      </c>
      <c r="H21" s="10">
        <v>3</v>
      </c>
      <c r="I21" s="10">
        <v>3</v>
      </c>
      <c r="J21" s="10">
        <v>2</v>
      </c>
      <c r="K21" s="10">
        <v>4</v>
      </c>
    </row>
    <row r="22" spans="1:11" ht="18.75">
      <c r="A22" s="9">
        <v>21</v>
      </c>
      <c r="B22" s="45" t="s">
        <v>53</v>
      </c>
      <c r="C22" s="10">
        <f t="shared" si="0"/>
        <v>22</v>
      </c>
      <c r="D22" s="10">
        <v>3</v>
      </c>
      <c r="E22" s="10">
        <v>4</v>
      </c>
      <c r="F22" s="10">
        <v>3</v>
      </c>
      <c r="G22" s="10">
        <v>3</v>
      </c>
      <c r="H22" s="10">
        <v>0</v>
      </c>
      <c r="I22" s="10">
        <v>3</v>
      </c>
      <c r="J22" s="10">
        <v>3</v>
      </c>
      <c r="K22" s="10">
        <v>3</v>
      </c>
    </row>
    <row r="23" spans="1:11" ht="18.75">
      <c r="A23" s="9">
        <v>22</v>
      </c>
      <c r="B23" s="45" t="s">
        <v>54</v>
      </c>
      <c r="C23" s="10">
        <f t="shared" si="0"/>
        <v>26</v>
      </c>
      <c r="D23" s="10">
        <v>3</v>
      </c>
      <c r="E23" s="10">
        <v>4</v>
      </c>
      <c r="F23" s="10">
        <v>3</v>
      </c>
      <c r="G23" s="10">
        <v>4</v>
      </c>
      <c r="H23" s="10">
        <v>3</v>
      </c>
      <c r="I23" s="10">
        <v>3</v>
      </c>
      <c r="J23" s="10">
        <v>2</v>
      </c>
      <c r="K23" s="10">
        <v>4</v>
      </c>
    </row>
    <row r="24" spans="1:11" ht="18.75">
      <c r="A24" s="9">
        <v>23</v>
      </c>
      <c r="B24" s="45" t="s">
        <v>55</v>
      </c>
      <c r="C24" s="10">
        <f t="shared" si="0"/>
        <v>12</v>
      </c>
      <c r="D24" s="10">
        <v>1</v>
      </c>
      <c r="E24" s="10">
        <v>1</v>
      </c>
      <c r="F24" s="10">
        <v>2</v>
      </c>
      <c r="G24" s="10">
        <v>2</v>
      </c>
      <c r="H24" s="10">
        <v>2</v>
      </c>
      <c r="I24" s="10">
        <v>4</v>
      </c>
      <c r="J24" s="10">
        <v>0</v>
      </c>
      <c r="K24" s="10">
        <v>0</v>
      </c>
    </row>
    <row r="25" spans="1:11" ht="18.75">
      <c r="A25" s="9">
        <v>24</v>
      </c>
      <c r="B25" s="45" t="s">
        <v>56</v>
      </c>
      <c r="C25" s="10">
        <f t="shared" si="0"/>
        <v>26</v>
      </c>
      <c r="D25" s="10">
        <v>3</v>
      </c>
      <c r="E25" s="10">
        <v>4</v>
      </c>
      <c r="F25" s="10">
        <v>2</v>
      </c>
      <c r="G25" s="10">
        <v>4</v>
      </c>
      <c r="H25" s="10">
        <v>3</v>
      </c>
      <c r="I25" s="10">
        <v>3</v>
      </c>
      <c r="J25" s="10">
        <v>3</v>
      </c>
      <c r="K25" s="10">
        <v>4</v>
      </c>
    </row>
    <row r="26" spans="1:11" ht="18.75">
      <c r="A26" s="9">
        <v>25</v>
      </c>
      <c r="B26" s="45" t="s">
        <v>57</v>
      </c>
      <c r="C26" s="10">
        <f t="shared" si="0"/>
        <v>25</v>
      </c>
      <c r="D26" s="10">
        <v>3</v>
      </c>
      <c r="E26" s="10">
        <v>4</v>
      </c>
      <c r="F26" s="10">
        <v>1</v>
      </c>
      <c r="G26" s="10">
        <v>4</v>
      </c>
      <c r="H26" s="10">
        <v>3</v>
      </c>
      <c r="I26" s="10">
        <v>4</v>
      </c>
      <c r="J26" s="10">
        <v>2</v>
      </c>
      <c r="K26" s="10">
        <v>4</v>
      </c>
    </row>
    <row r="27" spans="1:11" ht="18.75">
      <c r="A27" s="9">
        <v>26</v>
      </c>
      <c r="B27" s="45" t="s">
        <v>58</v>
      </c>
      <c r="C27" s="10">
        <f t="shared" si="0"/>
        <v>23</v>
      </c>
      <c r="D27" s="10">
        <v>1</v>
      </c>
      <c r="E27" s="10">
        <v>4</v>
      </c>
      <c r="F27" s="10">
        <v>3</v>
      </c>
      <c r="G27" s="10">
        <v>4</v>
      </c>
      <c r="H27" s="10">
        <v>3</v>
      </c>
      <c r="I27" s="10">
        <v>3</v>
      </c>
      <c r="J27" s="10">
        <v>2</v>
      </c>
      <c r="K27" s="10">
        <v>3</v>
      </c>
    </row>
    <row r="28" spans="1:11" ht="18.75">
      <c r="A28" s="9">
        <v>27</v>
      </c>
      <c r="B28" s="47" t="s">
        <v>59</v>
      </c>
      <c r="C28" s="10">
        <f t="shared" si="0"/>
        <v>25</v>
      </c>
      <c r="D28" s="10">
        <v>3</v>
      </c>
      <c r="E28" s="10">
        <v>3</v>
      </c>
      <c r="F28" s="10">
        <v>2</v>
      </c>
      <c r="G28" s="10">
        <v>4</v>
      </c>
      <c r="H28" s="10">
        <v>3</v>
      </c>
      <c r="I28" s="10">
        <v>4</v>
      </c>
      <c r="J28" s="10">
        <v>2</v>
      </c>
      <c r="K28" s="10">
        <v>4</v>
      </c>
    </row>
    <row r="29" spans="1:11" ht="18.75">
      <c r="A29" s="9">
        <v>28</v>
      </c>
      <c r="B29" s="49" t="s">
        <v>60</v>
      </c>
      <c r="C29" s="10">
        <f t="shared" si="0"/>
        <v>21</v>
      </c>
      <c r="D29" s="10">
        <v>2</v>
      </c>
      <c r="E29" s="10">
        <v>4</v>
      </c>
      <c r="F29" s="10">
        <v>2</v>
      </c>
      <c r="G29" s="10">
        <v>3</v>
      </c>
      <c r="H29" s="10">
        <v>3</v>
      </c>
      <c r="I29" s="10">
        <v>3</v>
      </c>
      <c r="J29" s="10">
        <v>2</v>
      </c>
      <c r="K29" s="10">
        <v>2</v>
      </c>
    </row>
    <row r="30" spans="1:11" ht="18.75">
      <c r="A30" s="9">
        <v>29</v>
      </c>
      <c r="B30" s="60" t="s">
        <v>61</v>
      </c>
      <c r="C30" s="10">
        <f t="shared" si="0"/>
        <v>13</v>
      </c>
      <c r="D30" s="10">
        <v>0</v>
      </c>
      <c r="E30" s="10">
        <v>1</v>
      </c>
      <c r="F30" s="10">
        <v>0</v>
      </c>
      <c r="G30" s="10">
        <v>1</v>
      </c>
      <c r="H30" s="10">
        <v>0</v>
      </c>
      <c r="I30" s="10">
        <v>4</v>
      </c>
      <c r="J30" s="10">
        <v>3</v>
      </c>
      <c r="K30" s="10">
        <v>4</v>
      </c>
    </row>
    <row r="31" spans="1:11" ht="18.75">
      <c r="A31" s="9">
        <v>30</v>
      </c>
      <c r="B31" s="48" t="s">
        <v>62</v>
      </c>
      <c r="C31" s="10">
        <f t="shared" si="0"/>
        <v>18</v>
      </c>
      <c r="D31" s="10">
        <v>2</v>
      </c>
      <c r="E31" s="10">
        <v>4</v>
      </c>
      <c r="F31" s="10">
        <v>2</v>
      </c>
      <c r="G31" s="10">
        <v>1</v>
      </c>
      <c r="H31" s="10">
        <v>1</v>
      </c>
      <c r="I31" s="10">
        <v>3</v>
      </c>
      <c r="J31" s="10">
        <v>3</v>
      </c>
      <c r="K31" s="10">
        <v>2</v>
      </c>
    </row>
    <row r="32" spans="1:11" ht="18.75">
      <c r="A32" s="9">
        <v>31</v>
      </c>
      <c r="B32" s="45" t="s">
        <v>63</v>
      </c>
      <c r="C32" s="10">
        <f t="shared" si="0"/>
        <v>5</v>
      </c>
      <c r="D32" s="10">
        <v>2</v>
      </c>
      <c r="E32" s="10">
        <v>2</v>
      </c>
      <c r="F32" s="10">
        <v>1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</row>
    <row r="33" spans="1:11" ht="18.75">
      <c r="A33" s="9">
        <v>32</v>
      </c>
      <c r="B33" s="45" t="s">
        <v>64</v>
      </c>
      <c r="C33" s="10">
        <f t="shared" si="0"/>
        <v>6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1</v>
      </c>
      <c r="J33" s="10">
        <v>2</v>
      </c>
      <c r="K33" s="10">
        <v>0</v>
      </c>
    </row>
    <row r="34" spans="1:11" ht="18.75">
      <c r="A34" s="9">
        <v>33</v>
      </c>
      <c r="B34" s="45" t="s">
        <v>65</v>
      </c>
      <c r="C34" s="10">
        <f t="shared" si="0"/>
        <v>15</v>
      </c>
      <c r="D34" s="10">
        <v>1</v>
      </c>
      <c r="E34" s="10">
        <v>2</v>
      </c>
      <c r="F34" s="10">
        <v>1</v>
      </c>
      <c r="G34" s="10">
        <v>2</v>
      </c>
      <c r="H34" s="10">
        <v>3</v>
      </c>
      <c r="I34" s="10">
        <v>2</v>
      </c>
      <c r="J34" s="10">
        <v>1</v>
      </c>
      <c r="K34" s="10">
        <v>3</v>
      </c>
    </row>
    <row r="35" spans="1:11" ht="18.75">
      <c r="A35" s="9">
        <v>34</v>
      </c>
      <c r="B35" s="45" t="s">
        <v>66</v>
      </c>
      <c r="C35" s="10">
        <f t="shared" si="0"/>
        <v>22</v>
      </c>
      <c r="D35" s="10">
        <v>3</v>
      </c>
      <c r="E35" s="10">
        <v>3</v>
      </c>
      <c r="F35" s="10">
        <v>3</v>
      </c>
      <c r="G35" s="10">
        <v>2</v>
      </c>
      <c r="H35" s="10">
        <v>2</v>
      </c>
      <c r="I35" s="10">
        <v>3</v>
      </c>
      <c r="J35" s="10">
        <v>3</v>
      </c>
      <c r="K35" s="10">
        <v>3</v>
      </c>
    </row>
    <row r="36" spans="1:11" ht="18.75">
      <c r="A36" s="9">
        <v>35</v>
      </c>
      <c r="B36" s="47" t="s">
        <v>67</v>
      </c>
      <c r="C36" s="10">
        <f t="shared" si="0"/>
        <v>22</v>
      </c>
      <c r="D36" s="10">
        <v>3</v>
      </c>
      <c r="E36" s="10">
        <v>4</v>
      </c>
      <c r="F36" s="10">
        <v>2</v>
      </c>
      <c r="G36" s="10">
        <v>2</v>
      </c>
      <c r="H36" s="10">
        <v>2</v>
      </c>
      <c r="I36" s="10">
        <v>3</v>
      </c>
      <c r="J36" s="10">
        <v>3</v>
      </c>
      <c r="K36" s="10">
        <v>3</v>
      </c>
    </row>
    <row r="37" spans="1:11" ht="18.75">
      <c r="A37" s="9">
        <v>36</v>
      </c>
      <c r="B37" s="49" t="s">
        <v>68</v>
      </c>
      <c r="C37" s="10">
        <f t="shared" si="0"/>
        <v>10</v>
      </c>
      <c r="D37" s="10">
        <v>0</v>
      </c>
      <c r="E37" s="10">
        <v>0</v>
      </c>
      <c r="F37" s="10">
        <v>1</v>
      </c>
      <c r="G37" s="10">
        <v>3</v>
      </c>
      <c r="H37" s="10">
        <v>1</v>
      </c>
      <c r="I37" s="10">
        <v>2</v>
      </c>
      <c r="J37" s="10">
        <v>2</v>
      </c>
      <c r="K37" s="10">
        <v>1</v>
      </c>
    </row>
    <row r="38" spans="1:11" ht="18.75">
      <c r="A38" s="9">
        <v>37</v>
      </c>
      <c r="B38" s="49" t="s">
        <v>69</v>
      </c>
      <c r="C38" s="10">
        <f t="shared" si="0"/>
        <v>8</v>
      </c>
      <c r="D38" s="10">
        <v>1</v>
      </c>
      <c r="E38" s="10">
        <v>1</v>
      </c>
      <c r="F38" s="10">
        <v>1</v>
      </c>
      <c r="G38" s="10">
        <v>2</v>
      </c>
      <c r="H38" s="10">
        <v>0</v>
      </c>
      <c r="I38" s="10">
        <v>0</v>
      </c>
      <c r="J38" s="10">
        <v>2</v>
      </c>
      <c r="K38" s="10">
        <v>1</v>
      </c>
    </row>
    <row r="39" spans="1:11" ht="18.75">
      <c r="A39" s="9">
        <v>38</v>
      </c>
      <c r="B39" s="48" t="s">
        <v>70</v>
      </c>
      <c r="C39" s="10">
        <f t="shared" si="0"/>
        <v>16</v>
      </c>
      <c r="D39" s="10">
        <v>2</v>
      </c>
      <c r="E39" s="10">
        <v>2</v>
      </c>
      <c r="F39" s="10">
        <v>2</v>
      </c>
      <c r="G39" s="10">
        <v>2</v>
      </c>
      <c r="H39" s="10">
        <v>2</v>
      </c>
      <c r="I39" s="10">
        <v>2</v>
      </c>
      <c r="J39" s="10">
        <v>2</v>
      </c>
      <c r="K39" s="10">
        <v>2</v>
      </c>
    </row>
    <row r="40" spans="1:11" ht="18.75">
      <c r="A40" s="9">
        <v>39</v>
      </c>
      <c r="B40" s="45" t="s">
        <v>71</v>
      </c>
      <c r="C40" s="10">
        <f t="shared" si="0"/>
        <v>4</v>
      </c>
      <c r="D40" s="10">
        <v>0</v>
      </c>
      <c r="E40" s="10">
        <v>0</v>
      </c>
      <c r="F40" s="10">
        <v>2</v>
      </c>
      <c r="G40" s="10">
        <v>0</v>
      </c>
      <c r="H40" s="10">
        <v>2</v>
      </c>
      <c r="I40" s="10">
        <v>0</v>
      </c>
      <c r="J40" s="10">
        <v>0</v>
      </c>
      <c r="K40" s="10">
        <v>0</v>
      </c>
    </row>
    <row r="41" spans="1:11" ht="18.75">
      <c r="A41" s="9">
        <v>40</v>
      </c>
      <c r="B41" s="45" t="s">
        <v>72</v>
      </c>
      <c r="C41" s="10">
        <f t="shared" si="0"/>
        <v>11</v>
      </c>
      <c r="D41" s="10">
        <v>1</v>
      </c>
      <c r="E41" s="10">
        <v>1</v>
      </c>
      <c r="F41" s="10">
        <v>0</v>
      </c>
      <c r="G41" s="10">
        <v>3</v>
      </c>
      <c r="H41" s="10">
        <v>2</v>
      </c>
      <c r="I41" s="10">
        <v>1</v>
      </c>
      <c r="J41" s="10">
        <v>1</v>
      </c>
      <c r="K41" s="10">
        <v>2</v>
      </c>
    </row>
    <row r="42" spans="1:11" ht="18.75">
      <c r="A42" s="9">
        <v>41</v>
      </c>
      <c r="B42" s="47" t="s">
        <v>73</v>
      </c>
      <c r="C42" s="10">
        <f t="shared" si="0"/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</row>
    <row r="43" spans="1:11" ht="18.75">
      <c r="A43" s="9">
        <v>42</v>
      </c>
      <c r="B43" s="49" t="s">
        <v>74</v>
      </c>
      <c r="C43" s="10">
        <f t="shared" si="0"/>
        <v>14</v>
      </c>
      <c r="D43" s="10">
        <v>2</v>
      </c>
      <c r="E43" s="10">
        <v>2</v>
      </c>
      <c r="F43" s="10">
        <v>0</v>
      </c>
      <c r="G43" s="10">
        <v>2</v>
      </c>
      <c r="H43" s="10">
        <v>2</v>
      </c>
      <c r="I43" s="10">
        <v>2</v>
      </c>
      <c r="J43" s="10">
        <v>2</v>
      </c>
      <c r="K43" s="10">
        <v>2</v>
      </c>
    </row>
    <row r="44" spans="1:11" ht="18.75">
      <c r="A44" s="9">
        <v>43</v>
      </c>
      <c r="B44" s="49" t="s">
        <v>89</v>
      </c>
      <c r="C44" s="10">
        <f t="shared" si="0"/>
        <v>21</v>
      </c>
      <c r="D44" s="10">
        <v>3</v>
      </c>
      <c r="E44" s="10">
        <v>4</v>
      </c>
      <c r="F44" s="10">
        <v>3</v>
      </c>
      <c r="G44" s="10">
        <v>2</v>
      </c>
      <c r="H44" s="10">
        <v>1</v>
      </c>
      <c r="I44" s="10">
        <v>2</v>
      </c>
      <c r="J44" s="10">
        <v>2</v>
      </c>
      <c r="K44" s="10">
        <v>4</v>
      </c>
    </row>
    <row r="45" spans="1:11" ht="18.75">
      <c r="A45" s="9">
        <v>44</v>
      </c>
      <c r="B45" s="49" t="s">
        <v>83</v>
      </c>
      <c r="C45" s="10">
        <f t="shared" si="0"/>
        <v>24</v>
      </c>
      <c r="D45" s="10">
        <v>1</v>
      </c>
      <c r="E45" s="10">
        <v>4</v>
      </c>
      <c r="F45" s="10">
        <v>3</v>
      </c>
      <c r="G45" s="10">
        <v>4</v>
      </c>
      <c r="H45" s="10">
        <v>3</v>
      </c>
      <c r="I45" s="10">
        <v>4</v>
      </c>
      <c r="J45" s="10">
        <v>3</v>
      </c>
      <c r="K45" s="10">
        <v>2</v>
      </c>
    </row>
    <row r="46" spans="1:11" ht="18.75">
      <c r="A46" s="9">
        <v>45</v>
      </c>
      <c r="B46" s="49" t="s">
        <v>85</v>
      </c>
      <c r="C46" s="10">
        <f t="shared" si="0"/>
        <v>2</v>
      </c>
      <c r="D46" s="10">
        <v>0</v>
      </c>
      <c r="E46" s="10">
        <v>0</v>
      </c>
      <c r="F46" s="10">
        <v>2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</row>
    <row r="47" spans="1:11" ht="18.75">
      <c r="A47" s="9">
        <v>46</v>
      </c>
      <c r="B47" s="49" t="s">
        <v>87</v>
      </c>
      <c r="C47" s="10">
        <f t="shared" si="0"/>
        <v>6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2</v>
      </c>
      <c r="J47" s="10">
        <v>1</v>
      </c>
      <c r="K47" s="10">
        <v>3</v>
      </c>
    </row>
    <row r="48" spans="1:11" ht="18.75">
      <c r="A48" s="9">
        <v>47</v>
      </c>
      <c r="B48" s="49" t="s">
        <v>88</v>
      </c>
      <c r="C48" s="10">
        <f t="shared" si="0"/>
        <v>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1</v>
      </c>
      <c r="J48" s="10">
        <v>0</v>
      </c>
      <c r="K48" s="10">
        <v>0</v>
      </c>
    </row>
  </sheetData>
  <autoFilter ref="A1:I1" xr:uid="{C24A3845-A9D5-4B36-854B-09E7F0F57627}">
    <sortState xmlns:xlrd2="http://schemas.microsoft.com/office/spreadsheetml/2017/richdata2" ref="A2:I48">
      <sortCondition ref="A1"/>
    </sortState>
  </autoFilter>
  <conditionalFormatting sqref="D2:D43">
    <cfRule type="cellIs" dxfId="57" priority="13" operator="lessThan">
      <formula>1</formula>
    </cfRule>
  </conditionalFormatting>
  <conditionalFormatting sqref="D44">
    <cfRule type="cellIs" dxfId="56" priority="12" operator="lessThan">
      <formula>1</formula>
    </cfRule>
  </conditionalFormatting>
  <conditionalFormatting sqref="D45:D46">
    <cfRule type="cellIs" dxfId="55" priority="11" operator="lessThan">
      <formula>1</formula>
    </cfRule>
  </conditionalFormatting>
  <conditionalFormatting sqref="E2:E46">
    <cfRule type="cellIs" dxfId="54" priority="10" operator="lessThan">
      <formula>1</formula>
    </cfRule>
  </conditionalFormatting>
  <conditionalFormatting sqref="F2:F46">
    <cfRule type="cellIs" dxfId="53" priority="9" operator="lessThan">
      <formula>1</formula>
    </cfRule>
  </conditionalFormatting>
  <conditionalFormatting sqref="G2:G46">
    <cfRule type="cellIs" dxfId="52" priority="8" operator="lessThan">
      <formula>1</formula>
    </cfRule>
  </conditionalFormatting>
  <conditionalFormatting sqref="C2:C48">
    <cfRule type="cellIs" dxfId="51" priority="7" operator="lessThan">
      <formula>1</formula>
    </cfRule>
  </conditionalFormatting>
  <conditionalFormatting sqref="H2:H46">
    <cfRule type="cellIs" dxfId="50" priority="6" operator="lessThan">
      <formula>1</formula>
    </cfRule>
  </conditionalFormatting>
  <conditionalFormatting sqref="I2:I47">
    <cfRule type="cellIs" dxfId="49" priority="5" operator="lessThan">
      <formula>1</formula>
    </cfRule>
  </conditionalFormatting>
  <conditionalFormatting sqref="I48">
    <cfRule type="cellIs" dxfId="48" priority="4" operator="lessThan">
      <formula>1</formula>
    </cfRule>
  </conditionalFormatting>
  <conditionalFormatting sqref="D47:H48">
    <cfRule type="cellIs" dxfId="47" priority="3" operator="lessThan">
      <formula>1</formula>
    </cfRule>
  </conditionalFormatting>
  <conditionalFormatting sqref="J2:J48">
    <cfRule type="cellIs" dxfId="46" priority="2" operator="lessThan">
      <formula>1</formula>
    </cfRule>
  </conditionalFormatting>
  <conditionalFormatting sqref="K2:K48">
    <cfRule type="cellIs" dxfId="45" priority="1" operator="lessThan">
      <formula>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7572-73F1-43A6-82BD-F58AB29FD538}">
  <dimension ref="A1:Z46"/>
  <sheetViews>
    <sheetView topLeftCell="A16" zoomScale="70" zoomScaleNormal="70" workbookViewId="0">
      <selection activeCell="H4" sqref="H4"/>
    </sheetView>
  </sheetViews>
  <sheetFormatPr defaultColWidth="9" defaultRowHeight="13.5"/>
  <cols>
    <col min="1" max="1" width="7.625" customWidth="1"/>
    <col min="2" max="2" width="6.625" style="4" customWidth="1"/>
    <col min="3" max="3" width="19.75" style="5" hidden="1" customWidth="1"/>
    <col min="4" max="4" width="21.25" style="5" customWidth="1"/>
    <col min="5" max="5" width="18.375" style="4" customWidth="1"/>
    <col min="6" max="6" width="13.125" style="4" customWidth="1"/>
    <col min="7" max="7" width="11.125" style="4" customWidth="1"/>
    <col min="8" max="8" width="20" style="4" customWidth="1"/>
    <col min="9" max="9" width="9" style="4" customWidth="1"/>
    <col min="10" max="10" width="9.5" style="4" customWidth="1"/>
    <col min="11" max="11" width="8.625" style="4" customWidth="1"/>
    <col min="12" max="12" width="9" style="4" customWidth="1"/>
    <col min="13" max="14" width="9.75" style="4" customWidth="1"/>
    <col min="15" max="15" width="9.25" style="4" customWidth="1"/>
    <col min="16" max="16" width="9.875" style="4" customWidth="1"/>
    <col min="17" max="19" width="11.125" style="18" customWidth="1"/>
    <col min="20" max="20" width="30.5" customWidth="1"/>
    <col min="21" max="21" width="10" bestFit="1" customWidth="1"/>
  </cols>
  <sheetData>
    <row r="1" spans="1:26" ht="36.6" customHeight="1">
      <c r="B1" s="91" t="str">
        <f>CONCATENATE("101-104区 风の气息",U15,"年",U16,"月",U17,"日","分包贡献明细"," 统计：音")</f>
        <v>101-104区 风の气息2022年3月12日分包贡献明细 统计：音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41"/>
      <c r="R1" s="41"/>
      <c r="S1" s="41"/>
      <c r="T1" s="19" t="s">
        <v>8</v>
      </c>
      <c r="U1" s="5">
        <v>67</v>
      </c>
    </row>
    <row r="2" spans="1:26" ht="117.6" customHeight="1">
      <c r="B2" s="93" t="s">
        <v>81</v>
      </c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42"/>
      <c r="R2" s="42"/>
      <c r="S2" s="42"/>
      <c r="T2" s="20" t="s">
        <v>0</v>
      </c>
      <c r="U2" s="21" t="s">
        <v>9</v>
      </c>
    </row>
    <row r="3" spans="1:26" ht="20.25">
      <c r="B3" s="96" t="s">
        <v>13</v>
      </c>
      <c r="C3" s="96"/>
      <c r="D3" s="96"/>
      <c r="E3" s="96"/>
      <c r="F3" s="100" t="s">
        <v>10</v>
      </c>
      <c r="G3" s="101"/>
      <c r="H3" s="97" t="s">
        <v>14</v>
      </c>
      <c r="I3" s="98"/>
      <c r="J3" s="98"/>
      <c r="K3" s="98"/>
      <c r="L3" s="98"/>
      <c r="M3" s="98"/>
      <c r="N3" s="98"/>
      <c r="O3" s="98"/>
      <c r="P3" s="99"/>
      <c r="Q3" s="40"/>
      <c r="R3" s="40"/>
      <c r="S3" s="40"/>
      <c r="T3" s="22" t="s">
        <v>15</v>
      </c>
      <c r="U3" s="23">
        <v>22</v>
      </c>
    </row>
    <row r="4" spans="1:26" ht="40.5">
      <c r="A4" s="38" t="s">
        <v>76</v>
      </c>
      <c r="B4" s="38" t="s">
        <v>2</v>
      </c>
      <c r="C4" s="39" t="s">
        <v>16</v>
      </c>
      <c r="D4" s="38" t="s">
        <v>3</v>
      </c>
      <c r="E4" s="38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24" t="s">
        <v>21</v>
      </c>
      <c r="U4" s="23">
        <v>13</v>
      </c>
    </row>
    <row r="5" spans="1:26" s="1" customFormat="1" ht="18.75">
      <c r="A5" s="9">
        <v>0</v>
      </c>
      <c r="B5" s="9">
        <v>1</v>
      </c>
      <c r="C5" s="8"/>
      <c r="D5" s="45" t="s">
        <v>33</v>
      </c>
      <c r="E5" s="32"/>
      <c r="F5" s="10">
        <v>4</v>
      </c>
      <c r="G5" s="10">
        <v>293</v>
      </c>
      <c r="H5" s="22" t="s">
        <v>15</v>
      </c>
      <c r="I5" s="11">
        <f t="shared" ref="I5:I31" si="0">F5*$U$11+IF(F5&gt;2,(F5-2)*$U$12,0)</f>
        <v>16</v>
      </c>
      <c r="J5" s="50">
        <f t="shared" ref="J5:J46" si="1">G5*$U$14*F5/MAX($F$5:$F$46)</f>
        <v>11.72</v>
      </c>
      <c r="K5" s="10">
        <v>0</v>
      </c>
      <c r="L5" s="50">
        <f t="shared" ref="L5:L31" si="2">SUM(J5+I5+K5)*(1-A5)</f>
        <v>27.72</v>
      </c>
      <c r="M5" s="52">
        <v>74</v>
      </c>
      <c r="N5" s="59">
        <f t="shared" ref="N5:N46" si="3">(L5+M5)*(1-A5)</f>
        <v>101.72</v>
      </c>
      <c r="O5" s="17">
        <f t="shared" ref="O5:O31" si="4">VLOOKUP(H5,$T$3:$U$10,2,FALSE)*(1-A5)</f>
        <v>22</v>
      </c>
      <c r="P5" s="53">
        <f t="shared" ref="P5:P31" si="5">L5+M5-O5</f>
        <v>79.72</v>
      </c>
      <c r="Q5" s="11"/>
      <c r="R5" s="11"/>
      <c r="S5" s="11"/>
      <c r="T5" s="14" t="s">
        <v>22</v>
      </c>
      <c r="U5" s="23">
        <v>10</v>
      </c>
    </row>
    <row r="6" spans="1:26" s="1" customFormat="1" ht="18.75">
      <c r="A6" s="9">
        <v>0</v>
      </c>
      <c r="B6" s="9">
        <v>2</v>
      </c>
      <c r="C6" s="8"/>
      <c r="D6" s="45" t="s">
        <v>34</v>
      </c>
      <c r="E6" s="32"/>
      <c r="F6" s="10">
        <v>4</v>
      </c>
      <c r="G6" s="10">
        <v>222</v>
      </c>
      <c r="H6" s="22" t="s">
        <v>15</v>
      </c>
      <c r="I6" s="11">
        <f t="shared" si="0"/>
        <v>16</v>
      </c>
      <c r="J6" s="50">
        <f t="shared" si="1"/>
        <v>8.8800000000000008</v>
      </c>
      <c r="K6" s="10">
        <v>0</v>
      </c>
      <c r="L6" s="50">
        <f t="shared" si="2"/>
        <v>24.880000000000003</v>
      </c>
      <c r="M6" s="52">
        <v>78</v>
      </c>
      <c r="N6" s="59">
        <f t="shared" si="3"/>
        <v>102.88</v>
      </c>
      <c r="O6" s="17">
        <f t="shared" si="4"/>
        <v>22</v>
      </c>
      <c r="P6" s="53">
        <f t="shared" si="5"/>
        <v>80.88</v>
      </c>
      <c r="Q6" s="11"/>
      <c r="R6" s="11"/>
      <c r="S6" s="11"/>
      <c r="T6" s="14"/>
      <c r="U6" s="23"/>
    </row>
    <row r="7" spans="1:26" s="1" customFormat="1" ht="18.75">
      <c r="A7" s="9">
        <v>0</v>
      </c>
      <c r="B7" s="9">
        <v>3</v>
      </c>
      <c r="C7" s="8"/>
      <c r="D7" s="45" t="s">
        <v>35</v>
      </c>
      <c r="E7" s="32"/>
      <c r="F7" s="10">
        <v>4</v>
      </c>
      <c r="G7" s="10">
        <v>217</v>
      </c>
      <c r="H7" s="22" t="s">
        <v>15</v>
      </c>
      <c r="I7" s="11">
        <f t="shared" si="0"/>
        <v>16</v>
      </c>
      <c r="J7" s="50">
        <f t="shared" si="1"/>
        <v>8.68</v>
      </c>
      <c r="K7" s="10">
        <v>0</v>
      </c>
      <c r="L7" s="50">
        <f t="shared" si="2"/>
        <v>24.68</v>
      </c>
      <c r="M7" s="52">
        <v>79</v>
      </c>
      <c r="N7" s="59">
        <f t="shared" si="3"/>
        <v>103.68</v>
      </c>
      <c r="O7" s="17">
        <f t="shared" si="4"/>
        <v>22</v>
      </c>
      <c r="P7" s="53">
        <f t="shared" si="5"/>
        <v>81.680000000000007</v>
      </c>
      <c r="Q7" s="11"/>
      <c r="R7" s="11"/>
      <c r="S7" s="11"/>
      <c r="T7" s="12" t="s">
        <v>30</v>
      </c>
      <c r="U7" s="23">
        <v>15</v>
      </c>
    </row>
    <row r="8" spans="1:26" s="1" customFormat="1" ht="18.75">
      <c r="A8" s="9">
        <v>0</v>
      </c>
      <c r="B8" s="9">
        <v>4</v>
      </c>
      <c r="C8" s="8"/>
      <c r="D8" s="45" t="s">
        <v>36</v>
      </c>
      <c r="E8" s="36"/>
      <c r="F8" s="10">
        <v>4</v>
      </c>
      <c r="G8" s="10">
        <v>217</v>
      </c>
      <c r="H8" s="24" t="s">
        <v>21</v>
      </c>
      <c r="I8" s="11">
        <f t="shared" si="0"/>
        <v>16</v>
      </c>
      <c r="J8" s="50">
        <f t="shared" si="1"/>
        <v>8.68</v>
      </c>
      <c r="K8" s="10">
        <v>0</v>
      </c>
      <c r="L8" s="50">
        <f t="shared" si="2"/>
        <v>24.68</v>
      </c>
      <c r="M8" s="52">
        <v>77</v>
      </c>
      <c r="N8" s="59">
        <f t="shared" si="3"/>
        <v>101.68</v>
      </c>
      <c r="O8" s="17">
        <f t="shared" si="4"/>
        <v>13</v>
      </c>
      <c r="P8" s="53">
        <f t="shared" si="5"/>
        <v>88.68</v>
      </c>
      <c r="Q8" s="11"/>
      <c r="R8" s="11"/>
      <c r="S8" s="11"/>
      <c r="T8" s="13" t="s">
        <v>31</v>
      </c>
      <c r="U8" s="23">
        <v>9</v>
      </c>
    </row>
    <row r="9" spans="1:26" s="1" customFormat="1" ht="18.75">
      <c r="A9" s="9">
        <v>0</v>
      </c>
      <c r="B9" s="9">
        <v>5</v>
      </c>
      <c r="C9" s="8"/>
      <c r="D9" s="45" t="s">
        <v>37</v>
      </c>
      <c r="E9" s="32"/>
      <c r="F9" s="10">
        <v>4</v>
      </c>
      <c r="G9" s="10">
        <v>217</v>
      </c>
      <c r="H9" s="24" t="s">
        <v>21</v>
      </c>
      <c r="I9" s="11">
        <f t="shared" si="0"/>
        <v>16</v>
      </c>
      <c r="J9" s="50">
        <f t="shared" si="1"/>
        <v>8.68</v>
      </c>
      <c r="K9" s="10">
        <v>0</v>
      </c>
      <c r="L9" s="50">
        <f t="shared" si="2"/>
        <v>24.68</v>
      </c>
      <c r="M9" s="52">
        <v>77</v>
      </c>
      <c r="N9" s="59">
        <f t="shared" si="3"/>
        <v>101.68</v>
      </c>
      <c r="O9" s="17">
        <f t="shared" si="4"/>
        <v>13</v>
      </c>
      <c r="P9" s="53">
        <f t="shared" si="5"/>
        <v>88.68</v>
      </c>
      <c r="Q9" s="11"/>
      <c r="R9" s="11"/>
      <c r="S9" s="25"/>
      <c r="T9" s="14" t="s">
        <v>32</v>
      </c>
      <c r="U9" s="23">
        <v>5</v>
      </c>
    </row>
    <row r="10" spans="1:26" s="1" customFormat="1" ht="18.75">
      <c r="A10" s="9">
        <v>0</v>
      </c>
      <c r="B10" s="9">
        <v>6</v>
      </c>
      <c r="C10" s="8"/>
      <c r="D10" s="45" t="s">
        <v>38</v>
      </c>
      <c r="E10" s="32"/>
      <c r="F10" s="10">
        <v>4</v>
      </c>
      <c r="G10" s="10">
        <v>212</v>
      </c>
      <c r="H10" s="14" t="s">
        <v>22</v>
      </c>
      <c r="I10" s="11">
        <f t="shared" si="0"/>
        <v>16</v>
      </c>
      <c r="J10" s="50">
        <f t="shared" si="1"/>
        <v>8.48</v>
      </c>
      <c r="K10" s="10">
        <v>0</v>
      </c>
      <c r="L10" s="50">
        <f t="shared" si="2"/>
        <v>24.48</v>
      </c>
      <c r="M10" s="52">
        <v>74</v>
      </c>
      <c r="N10" s="59">
        <f t="shared" si="3"/>
        <v>98.48</v>
      </c>
      <c r="O10" s="17">
        <f t="shared" si="4"/>
        <v>10</v>
      </c>
      <c r="P10" s="53">
        <f t="shared" si="5"/>
        <v>88.48</v>
      </c>
      <c r="Q10" s="11"/>
      <c r="R10" s="11"/>
      <c r="S10" s="16"/>
      <c r="T10" s="27" t="s">
        <v>23</v>
      </c>
      <c r="U10" s="2">
        <v>0</v>
      </c>
    </row>
    <row r="11" spans="1:26" s="1" customFormat="1" ht="18.75">
      <c r="A11" s="9">
        <v>1</v>
      </c>
      <c r="B11" s="9">
        <v>7</v>
      </c>
      <c r="C11" s="8"/>
      <c r="D11" s="45" t="s">
        <v>39</v>
      </c>
      <c r="E11" s="32"/>
      <c r="F11" s="10">
        <v>4</v>
      </c>
      <c r="G11" s="10">
        <v>211</v>
      </c>
      <c r="H11" s="14" t="s">
        <v>22</v>
      </c>
      <c r="I11" s="11">
        <f t="shared" si="0"/>
        <v>16</v>
      </c>
      <c r="J11" s="50">
        <f t="shared" si="1"/>
        <v>8.44</v>
      </c>
      <c r="K11" s="10">
        <v>0</v>
      </c>
      <c r="L11" s="50">
        <f t="shared" si="2"/>
        <v>0</v>
      </c>
      <c r="M11" s="52">
        <v>81</v>
      </c>
      <c r="N11" s="59">
        <f t="shared" si="3"/>
        <v>0</v>
      </c>
      <c r="O11" s="17">
        <f t="shared" si="4"/>
        <v>0</v>
      </c>
      <c r="P11" s="53">
        <f t="shared" si="5"/>
        <v>81</v>
      </c>
      <c r="Q11" s="11"/>
      <c r="R11" s="11"/>
      <c r="S11" s="26"/>
      <c r="T11" s="55" t="s">
        <v>79</v>
      </c>
      <c r="U11" s="56">
        <v>3</v>
      </c>
    </row>
    <row r="12" spans="1:26" s="1" customFormat="1" ht="18.75">
      <c r="A12" s="9">
        <v>0</v>
      </c>
      <c r="B12" s="9">
        <v>8</v>
      </c>
      <c r="C12" s="8"/>
      <c r="D12" s="45" t="s">
        <v>40</v>
      </c>
      <c r="E12" s="32"/>
      <c r="F12" s="10">
        <v>4</v>
      </c>
      <c r="G12" s="10">
        <v>202</v>
      </c>
      <c r="H12" s="22" t="s">
        <v>15</v>
      </c>
      <c r="I12" s="11">
        <f t="shared" si="0"/>
        <v>16</v>
      </c>
      <c r="J12" s="50">
        <f t="shared" si="1"/>
        <v>8.08</v>
      </c>
      <c r="K12" s="10">
        <v>0</v>
      </c>
      <c r="L12" s="50">
        <f t="shared" si="2"/>
        <v>24.08</v>
      </c>
      <c r="M12" s="52">
        <v>80</v>
      </c>
      <c r="N12" s="59">
        <f t="shared" si="3"/>
        <v>104.08</v>
      </c>
      <c r="O12" s="17">
        <f t="shared" si="4"/>
        <v>22</v>
      </c>
      <c r="P12" s="53">
        <f t="shared" si="5"/>
        <v>82.08</v>
      </c>
      <c r="Q12" s="11"/>
      <c r="R12" s="11"/>
      <c r="S12" s="26"/>
      <c r="T12" s="55" t="s">
        <v>80</v>
      </c>
      <c r="U12" s="55">
        <v>2</v>
      </c>
    </row>
    <row r="13" spans="1:26" s="2" customFormat="1" ht="18.75">
      <c r="A13" s="9">
        <v>0</v>
      </c>
      <c r="B13" s="9">
        <v>9</v>
      </c>
      <c r="C13" s="8"/>
      <c r="D13" s="45" t="s">
        <v>41</v>
      </c>
      <c r="E13" s="36"/>
      <c r="F13" s="10">
        <v>4</v>
      </c>
      <c r="G13" s="10">
        <v>201</v>
      </c>
      <c r="H13" s="24" t="s">
        <v>21</v>
      </c>
      <c r="I13" s="11">
        <f t="shared" si="0"/>
        <v>16</v>
      </c>
      <c r="J13" s="50">
        <f t="shared" si="1"/>
        <v>8.0400000000000009</v>
      </c>
      <c r="K13" s="10">
        <v>0</v>
      </c>
      <c r="L13" s="50">
        <f t="shared" si="2"/>
        <v>24.04</v>
      </c>
      <c r="M13" s="52">
        <v>77</v>
      </c>
      <c r="N13" s="59">
        <f t="shared" si="3"/>
        <v>101.03999999999999</v>
      </c>
      <c r="O13" s="17">
        <f t="shared" si="4"/>
        <v>13</v>
      </c>
      <c r="P13" s="53">
        <f t="shared" si="5"/>
        <v>88.039999999999992</v>
      </c>
      <c r="Q13" s="11"/>
      <c r="R13" s="11"/>
      <c r="S13" s="25"/>
      <c r="T13" s="28" t="s">
        <v>24</v>
      </c>
      <c r="U13" s="29">
        <v>1</v>
      </c>
      <c r="Y13" s="10">
        <v>2935397</v>
      </c>
      <c r="Z13" s="51">
        <f>INT(Y13/10000)</f>
        <v>293</v>
      </c>
    </row>
    <row r="14" spans="1:26" s="2" customFormat="1" ht="18.75">
      <c r="A14" s="9">
        <v>0</v>
      </c>
      <c r="B14" s="9">
        <v>10</v>
      </c>
      <c r="C14" s="8"/>
      <c r="D14" s="45" t="s">
        <v>42</v>
      </c>
      <c r="E14" s="33"/>
      <c r="F14" s="10">
        <v>4</v>
      </c>
      <c r="G14" s="10">
        <v>196</v>
      </c>
      <c r="H14" s="22" t="s">
        <v>15</v>
      </c>
      <c r="I14" s="11">
        <f t="shared" si="0"/>
        <v>16</v>
      </c>
      <c r="J14" s="50">
        <f t="shared" si="1"/>
        <v>7.84</v>
      </c>
      <c r="K14" s="10">
        <v>0</v>
      </c>
      <c r="L14" s="50">
        <f t="shared" si="2"/>
        <v>23.84</v>
      </c>
      <c r="M14" s="52">
        <v>79</v>
      </c>
      <c r="N14" s="59">
        <f t="shared" si="3"/>
        <v>102.84</v>
      </c>
      <c r="O14" s="17">
        <f t="shared" si="4"/>
        <v>22</v>
      </c>
      <c r="P14" s="53">
        <f t="shared" si="5"/>
        <v>80.84</v>
      </c>
      <c r="Q14" s="11"/>
      <c r="R14" s="11"/>
      <c r="S14" s="25"/>
      <c r="T14" s="30" t="s">
        <v>78</v>
      </c>
      <c r="U14" s="29">
        <v>0.04</v>
      </c>
      <c r="Y14" s="10">
        <v>2225144</v>
      </c>
      <c r="Z14" s="51">
        <f t="shared" ref="Z14:Z46" si="6">INT(Y14/10000)</f>
        <v>222</v>
      </c>
    </row>
    <row r="15" spans="1:26" s="2" customFormat="1" ht="18.75">
      <c r="A15" s="9">
        <v>0</v>
      </c>
      <c r="B15" s="9">
        <v>11</v>
      </c>
      <c r="C15" s="8"/>
      <c r="D15" s="45" t="s">
        <v>43</v>
      </c>
      <c r="E15" s="32"/>
      <c r="F15" s="10">
        <v>4</v>
      </c>
      <c r="G15" s="10">
        <v>195</v>
      </c>
      <c r="H15" s="24" t="s">
        <v>21</v>
      </c>
      <c r="I15" s="11">
        <f t="shared" si="0"/>
        <v>16</v>
      </c>
      <c r="J15" s="50">
        <f t="shared" si="1"/>
        <v>7.8</v>
      </c>
      <c r="K15" s="10">
        <v>0</v>
      </c>
      <c r="L15" s="50">
        <f t="shared" si="2"/>
        <v>23.8</v>
      </c>
      <c r="M15" s="52">
        <v>77</v>
      </c>
      <c r="N15" s="59">
        <f t="shared" si="3"/>
        <v>100.8</v>
      </c>
      <c r="O15" s="17">
        <f t="shared" si="4"/>
        <v>13</v>
      </c>
      <c r="P15" s="53">
        <f t="shared" si="5"/>
        <v>87.8</v>
      </c>
      <c r="Q15" s="4"/>
      <c r="R15" s="4"/>
      <c r="S15" s="4"/>
      <c r="T15" s="1" t="s">
        <v>25</v>
      </c>
      <c r="U15" s="29">
        <v>2022</v>
      </c>
      <c r="Y15" s="10">
        <v>2172848</v>
      </c>
      <c r="Z15" s="51">
        <f t="shared" si="6"/>
        <v>217</v>
      </c>
    </row>
    <row r="16" spans="1:26" s="2" customFormat="1" ht="18.75">
      <c r="A16" s="9">
        <v>0</v>
      </c>
      <c r="B16" s="9">
        <v>12</v>
      </c>
      <c r="C16" s="8"/>
      <c r="D16" s="45" t="s">
        <v>44</v>
      </c>
      <c r="E16" s="32"/>
      <c r="F16" s="10">
        <v>4</v>
      </c>
      <c r="G16" s="10">
        <v>188</v>
      </c>
      <c r="H16" s="24" t="s">
        <v>21</v>
      </c>
      <c r="I16" s="11">
        <f t="shared" si="0"/>
        <v>16</v>
      </c>
      <c r="J16" s="50">
        <f t="shared" si="1"/>
        <v>7.5200000000000005</v>
      </c>
      <c r="K16" s="10">
        <v>0</v>
      </c>
      <c r="L16" s="50">
        <f t="shared" si="2"/>
        <v>23.52</v>
      </c>
      <c r="M16" s="52">
        <v>77</v>
      </c>
      <c r="N16" s="59">
        <f t="shared" si="3"/>
        <v>100.52</v>
      </c>
      <c r="O16" s="17">
        <f t="shared" si="4"/>
        <v>13</v>
      </c>
      <c r="P16" s="53">
        <f t="shared" si="5"/>
        <v>87.52</v>
      </c>
      <c r="Q16" s="4"/>
      <c r="R16" s="4"/>
      <c r="S16" s="4"/>
      <c r="T16" s="1" t="s">
        <v>26</v>
      </c>
      <c r="U16" s="29">
        <v>3</v>
      </c>
      <c r="Y16" s="10">
        <v>2176068</v>
      </c>
      <c r="Z16" s="51">
        <f t="shared" si="6"/>
        <v>217</v>
      </c>
    </row>
    <row r="17" spans="1:26" s="2" customFormat="1" ht="18.75">
      <c r="A17" s="9">
        <v>0</v>
      </c>
      <c r="B17" s="9">
        <v>13</v>
      </c>
      <c r="C17" s="8"/>
      <c r="D17" s="45" t="s">
        <v>45</v>
      </c>
      <c r="E17" s="35"/>
      <c r="F17" s="10">
        <v>4</v>
      </c>
      <c r="G17" s="10">
        <v>186</v>
      </c>
      <c r="H17" s="22" t="s">
        <v>15</v>
      </c>
      <c r="I17" s="11">
        <f t="shared" si="0"/>
        <v>16</v>
      </c>
      <c r="J17" s="50">
        <f t="shared" si="1"/>
        <v>7.44</v>
      </c>
      <c r="K17" s="10">
        <v>0</v>
      </c>
      <c r="L17" s="50">
        <f t="shared" si="2"/>
        <v>23.44</v>
      </c>
      <c r="M17" s="52">
        <v>81</v>
      </c>
      <c r="N17" s="59">
        <f t="shared" si="3"/>
        <v>104.44</v>
      </c>
      <c r="O17" s="17">
        <f t="shared" si="4"/>
        <v>22</v>
      </c>
      <c r="P17" s="53">
        <f t="shared" si="5"/>
        <v>82.44</v>
      </c>
      <c r="Q17" s="4"/>
      <c r="R17" s="4"/>
      <c r="S17" s="4"/>
      <c r="T17" s="1" t="s">
        <v>27</v>
      </c>
      <c r="U17" s="29">
        <v>12</v>
      </c>
      <c r="Y17" s="10">
        <v>2174110</v>
      </c>
      <c r="Z17" s="51">
        <f t="shared" si="6"/>
        <v>217</v>
      </c>
    </row>
    <row r="18" spans="1:26" s="2" customFormat="1" ht="18.75">
      <c r="A18" s="9">
        <v>0</v>
      </c>
      <c r="B18" s="9">
        <v>14</v>
      </c>
      <c r="C18" s="8"/>
      <c r="D18" s="45" t="s">
        <v>46</v>
      </c>
      <c r="E18" s="32"/>
      <c r="F18" s="10">
        <v>3</v>
      </c>
      <c r="G18" s="10">
        <v>187</v>
      </c>
      <c r="H18" s="14" t="s">
        <v>22</v>
      </c>
      <c r="I18" s="11">
        <f t="shared" si="0"/>
        <v>11</v>
      </c>
      <c r="J18" s="50">
        <f t="shared" si="1"/>
        <v>5.61</v>
      </c>
      <c r="K18" s="10">
        <v>0</v>
      </c>
      <c r="L18" s="50">
        <f t="shared" si="2"/>
        <v>16.61</v>
      </c>
      <c r="M18" s="52">
        <v>80</v>
      </c>
      <c r="N18" s="59">
        <f t="shared" si="3"/>
        <v>96.61</v>
      </c>
      <c r="O18" s="17">
        <f t="shared" si="4"/>
        <v>10</v>
      </c>
      <c r="P18" s="53">
        <f t="shared" si="5"/>
        <v>86.61</v>
      </c>
      <c r="Q18" s="4"/>
      <c r="R18" s="4"/>
      <c r="S18" s="4"/>
      <c r="T18" s="37"/>
      <c r="U18" s="29"/>
      <c r="Y18" s="10">
        <v>2128767</v>
      </c>
      <c r="Z18" s="51">
        <f t="shared" si="6"/>
        <v>212</v>
      </c>
    </row>
    <row r="19" spans="1:26" s="2" customFormat="1" ht="18.75">
      <c r="A19" s="9">
        <v>0</v>
      </c>
      <c r="B19" s="9">
        <v>15</v>
      </c>
      <c r="C19" s="8"/>
      <c r="D19" s="45" t="s">
        <v>47</v>
      </c>
      <c r="E19" s="32"/>
      <c r="F19" s="10">
        <v>4</v>
      </c>
      <c r="G19" s="10">
        <v>185</v>
      </c>
      <c r="H19" s="24" t="s">
        <v>21</v>
      </c>
      <c r="I19" s="11">
        <f t="shared" si="0"/>
        <v>16</v>
      </c>
      <c r="J19" s="50">
        <f t="shared" si="1"/>
        <v>7.4</v>
      </c>
      <c r="K19" s="10">
        <v>0</v>
      </c>
      <c r="L19" s="50">
        <f t="shared" si="2"/>
        <v>23.4</v>
      </c>
      <c r="M19" s="52">
        <v>77</v>
      </c>
      <c r="N19" s="59">
        <f t="shared" si="3"/>
        <v>100.4</v>
      </c>
      <c r="O19" s="17">
        <f t="shared" si="4"/>
        <v>13</v>
      </c>
      <c r="P19" s="53">
        <f t="shared" si="5"/>
        <v>87.4</v>
      </c>
      <c r="Q19" s="4"/>
      <c r="R19" s="4"/>
      <c r="S19" s="4"/>
      <c r="T19" s="1"/>
      <c r="U19" s="1"/>
      <c r="Y19" s="10">
        <v>2116620</v>
      </c>
      <c r="Z19" s="51">
        <f t="shared" si="6"/>
        <v>211</v>
      </c>
    </row>
    <row r="20" spans="1:26" s="2" customFormat="1" ht="18.75">
      <c r="A20" s="9">
        <v>0</v>
      </c>
      <c r="B20" s="9">
        <v>16</v>
      </c>
      <c r="C20" s="8"/>
      <c r="D20" s="45" t="s">
        <v>48</v>
      </c>
      <c r="E20" s="34"/>
      <c r="F20" s="10">
        <v>4</v>
      </c>
      <c r="G20" s="10">
        <v>180</v>
      </c>
      <c r="H20" s="22" t="s">
        <v>15</v>
      </c>
      <c r="I20" s="11">
        <f t="shared" si="0"/>
        <v>16</v>
      </c>
      <c r="J20" s="50">
        <f t="shared" si="1"/>
        <v>7.2</v>
      </c>
      <c r="K20" s="10">
        <v>0</v>
      </c>
      <c r="L20" s="50">
        <f t="shared" si="2"/>
        <v>23.2</v>
      </c>
      <c r="M20" s="52">
        <v>80</v>
      </c>
      <c r="N20" s="59">
        <f t="shared" si="3"/>
        <v>103.2</v>
      </c>
      <c r="O20" s="17">
        <f t="shared" si="4"/>
        <v>22</v>
      </c>
      <c r="P20" s="53">
        <f t="shared" si="5"/>
        <v>81.2</v>
      </c>
      <c r="Q20" s="4"/>
      <c r="R20" s="4"/>
      <c r="S20" s="4"/>
      <c r="T20" s="1"/>
      <c r="U20" s="1"/>
      <c r="Y20" s="10">
        <v>2024196</v>
      </c>
      <c r="Z20" s="51">
        <f t="shared" si="6"/>
        <v>202</v>
      </c>
    </row>
    <row r="21" spans="1:26" s="2" customFormat="1" ht="18.75">
      <c r="A21" s="9">
        <v>0</v>
      </c>
      <c r="B21" s="9">
        <v>17</v>
      </c>
      <c r="C21" s="8"/>
      <c r="D21" s="45" t="s">
        <v>49</v>
      </c>
      <c r="E21" s="32"/>
      <c r="F21" s="10">
        <v>4</v>
      </c>
      <c r="G21" s="10">
        <v>177</v>
      </c>
      <c r="H21" s="24" t="s">
        <v>21</v>
      </c>
      <c r="I21" s="11">
        <f t="shared" si="0"/>
        <v>16</v>
      </c>
      <c r="J21" s="50">
        <f t="shared" si="1"/>
        <v>7.08</v>
      </c>
      <c r="K21" s="10">
        <v>0</v>
      </c>
      <c r="L21" s="50">
        <f t="shared" si="2"/>
        <v>23.08</v>
      </c>
      <c r="M21" s="52">
        <v>77</v>
      </c>
      <c r="N21" s="59">
        <f t="shared" si="3"/>
        <v>100.08</v>
      </c>
      <c r="O21" s="17">
        <f t="shared" si="4"/>
        <v>13</v>
      </c>
      <c r="P21" s="53">
        <f t="shared" si="5"/>
        <v>87.08</v>
      </c>
      <c r="Q21" s="4"/>
      <c r="R21" s="4"/>
      <c r="S21" s="4"/>
      <c r="T21" s="1"/>
      <c r="U21" s="1"/>
      <c r="Y21" s="10">
        <v>2010209</v>
      </c>
      <c r="Z21" s="51">
        <f t="shared" si="6"/>
        <v>201</v>
      </c>
    </row>
    <row r="22" spans="1:26" s="2" customFormat="1" ht="18.75">
      <c r="A22" s="9">
        <v>0</v>
      </c>
      <c r="B22" s="9">
        <v>18</v>
      </c>
      <c r="C22" s="8"/>
      <c r="D22" s="45" t="s">
        <v>50</v>
      </c>
      <c r="E22" s="32"/>
      <c r="F22" s="10">
        <v>4</v>
      </c>
      <c r="G22" s="10">
        <v>177</v>
      </c>
      <c r="H22" s="14" t="s">
        <v>22</v>
      </c>
      <c r="I22" s="11">
        <f t="shared" si="0"/>
        <v>16</v>
      </c>
      <c r="J22" s="50">
        <f t="shared" si="1"/>
        <v>7.08</v>
      </c>
      <c r="K22" s="10">
        <v>0</v>
      </c>
      <c r="L22" s="50">
        <f t="shared" si="2"/>
        <v>23.08</v>
      </c>
      <c r="M22" s="52">
        <v>71</v>
      </c>
      <c r="N22" s="59">
        <f t="shared" si="3"/>
        <v>94.08</v>
      </c>
      <c r="O22" s="17">
        <f t="shared" si="4"/>
        <v>10</v>
      </c>
      <c r="P22" s="53">
        <f t="shared" si="5"/>
        <v>84.08</v>
      </c>
      <c r="Q22" s="4"/>
      <c r="R22" s="4"/>
      <c r="S22" s="4"/>
      <c r="T22" s="1"/>
      <c r="U22" s="1"/>
      <c r="Y22" s="10">
        <v>1969259</v>
      </c>
      <c r="Z22" s="51">
        <f t="shared" si="6"/>
        <v>196</v>
      </c>
    </row>
    <row r="23" spans="1:26" s="1" customFormat="1" ht="18.75">
      <c r="A23" s="9">
        <v>0</v>
      </c>
      <c r="B23" s="9">
        <v>19</v>
      </c>
      <c r="C23" s="8"/>
      <c r="D23" s="45" t="s">
        <v>51</v>
      </c>
      <c r="E23" s="34"/>
      <c r="F23" s="10">
        <v>4</v>
      </c>
      <c r="G23" s="10">
        <v>172</v>
      </c>
      <c r="H23" s="14" t="s">
        <v>22</v>
      </c>
      <c r="I23" s="11">
        <f t="shared" si="0"/>
        <v>16</v>
      </c>
      <c r="J23" s="50">
        <f t="shared" si="1"/>
        <v>6.88</v>
      </c>
      <c r="K23" s="10">
        <v>0</v>
      </c>
      <c r="L23" s="50">
        <f t="shared" si="2"/>
        <v>22.88</v>
      </c>
      <c r="M23" s="52">
        <v>75</v>
      </c>
      <c r="N23" s="59">
        <f t="shared" si="3"/>
        <v>97.88</v>
      </c>
      <c r="O23" s="17">
        <f t="shared" si="4"/>
        <v>10</v>
      </c>
      <c r="P23" s="53">
        <f t="shared" si="5"/>
        <v>87.88</v>
      </c>
      <c r="Q23" s="4"/>
      <c r="R23" s="4"/>
      <c r="S23" s="4"/>
      <c r="Y23" s="10">
        <v>1956397</v>
      </c>
      <c r="Z23" s="51">
        <f t="shared" si="6"/>
        <v>195</v>
      </c>
    </row>
    <row r="24" spans="1:26" s="1" customFormat="1" ht="18.75">
      <c r="A24" s="9">
        <v>0</v>
      </c>
      <c r="B24" s="9">
        <v>20</v>
      </c>
      <c r="C24" s="8"/>
      <c r="D24" s="45" t="s">
        <v>52</v>
      </c>
      <c r="E24" s="34"/>
      <c r="F24" s="10">
        <v>4</v>
      </c>
      <c r="G24" s="10">
        <v>171</v>
      </c>
      <c r="H24" s="14" t="s">
        <v>22</v>
      </c>
      <c r="I24" s="11">
        <f t="shared" si="0"/>
        <v>16</v>
      </c>
      <c r="J24" s="50">
        <f t="shared" si="1"/>
        <v>6.84</v>
      </c>
      <c r="K24" s="10">
        <v>0</v>
      </c>
      <c r="L24" s="50">
        <f t="shared" si="2"/>
        <v>22.84</v>
      </c>
      <c r="M24" s="52">
        <v>77</v>
      </c>
      <c r="N24" s="59">
        <f t="shared" si="3"/>
        <v>99.84</v>
      </c>
      <c r="O24" s="17">
        <f t="shared" si="4"/>
        <v>10</v>
      </c>
      <c r="P24" s="53">
        <f t="shared" si="5"/>
        <v>89.84</v>
      </c>
      <c r="Q24" s="4"/>
      <c r="R24" s="4"/>
      <c r="S24" s="4"/>
      <c r="Y24" s="10">
        <v>1883961</v>
      </c>
      <c r="Z24" s="51">
        <f t="shared" si="6"/>
        <v>188</v>
      </c>
    </row>
    <row r="25" spans="1:26" s="1" customFormat="1" ht="18.75">
      <c r="A25" s="9">
        <v>0</v>
      </c>
      <c r="B25" s="9">
        <v>21</v>
      </c>
      <c r="C25" s="8"/>
      <c r="D25" s="45" t="s">
        <v>53</v>
      </c>
      <c r="E25" s="34"/>
      <c r="F25" s="10">
        <v>2</v>
      </c>
      <c r="G25" s="10">
        <v>166</v>
      </c>
      <c r="H25" s="14" t="s">
        <v>22</v>
      </c>
      <c r="I25" s="11">
        <f t="shared" si="0"/>
        <v>6</v>
      </c>
      <c r="J25" s="50">
        <f t="shared" si="1"/>
        <v>3.3200000000000003</v>
      </c>
      <c r="K25" s="10">
        <v>0</v>
      </c>
      <c r="L25" s="50">
        <f t="shared" si="2"/>
        <v>9.32</v>
      </c>
      <c r="M25" s="52">
        <v>80</v>
      </c>
      <c r="N25" s="59">
        <f t="shared" si="3"/>
        <v>89.32</v>
      </c>
      <c r="O25" s="17">
        <f t="shared" si="4"/>
        <v>10</v>
      </c>
      <c r="P25" s="53">
        <f t="shared" si="5"/>
        <v>79.319999999999993</v>
      </c>
      <c r="Q25" s="4"/>
      <c r="R25" s="4"/>
      <c r="S25" s="4"/>
      <c r="Y25" s="10">
        <v>1869409</v>
      </c>
      <c r="Z25" s="51">
        <f t="shared" si="6"/>
        <v>186</v>
      </c>
    </row>
    <row r="26" spans="1:26" s="1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4</v>
      </c>
      <c r="G26" s="10">
        <v>163</v>
      </c>
      <c r="H26" s="14" t="s">
        <v>22</v>
      </c>
      <c r="I26" s="11">
        <f t="shared" si="0"/>
        <v>16</v>
      </c>
      <c r="J26" s="50">
        <f t="shared" si="1"/>
        <v>6.5200000000000005</v>
      </c>
      <c r="K26" s="10">
        <v>0</v>
      </c>
      <c r="L26" s="50">
        <f t="shared" si="2"/>
        <v>22.52</v>
      </c>
      <c r="M26" s="52">
        <v>76</v>
      </c>
      <c r="N26" s="59">
        <f t="shared" si="3"/>
        <v>98.52</v>
      </c>
      <c r="O26" s="17">
        <f t="shared" si="4"/>
        <v>10</v>
      </c>
      <c r="P26" s="53">
        <f t="shared" si="5"/>
        <v>88.52</v>
      </c>
      <c r="Q26" s="4"/>
      <c r="R26" s="4"/>
      <c r="S26" s="4"/>
      <c r="Y26" s="10">
        <v>1877433</v>
      </c>
      <c r="Z26" s="51">
        <f t="shared" si="6"/>
        <v>187</v>
      </c>
    </row>
    <row r="27" spans="1:26" s="1" customFormat="1" ht="18.75">
      <c r="A27" s="9">
        <v>0</v>
      </c>
      <c r="B27" s="9">
        <v>23</v>
      </c>
      <c r="C27" s="8"/>
      <c r="D27" s="45" t="s">
        <v>55</v>
      </c>
      <c r="E27" s="34"/>
      <c r="F27" s="10">
        <v>4</v>
      </c>
      <c r="G27" s="10">
        <v>157</v>
      </c>
      <c r="H27" s="14" t="s">
        <v>22</v>
      </c>
      <c r="I27" s="11">
        <f t="shared" si="0"/>
        <v>16</v>
      </c>
      <c r="J27" s="50">
        <f t="shared" si="1"/>
        <v>6.28</v>
      </c>
      <c r="K27" s="10">
        <v>0</v>
      </c>
      <c r="L27" s="50">
        <f t="shared" si="2"/>
        <v>22.28</v>
      </c>
      <c r="M27" s="52">
        <v>32</v>
      </c>
      <c r="N27" s="59">
        <f t="shared" si="3"/>
        <v>54.28</v>
      </c>
      <c r="O27" s="52">
        <f t="shared" si="4"/>
        <v>10</v>
      </c>
      <c r="P27" s="53">
        <f t="shared" si="5"/>
        <v>44.28</v>
      </c>
      <c r="Q27" s="4"/>
      <c r="R27" s="4"/>
      <c r="S27" s="4"/>
      <c r="Y27" s="10">
        <v>1858806</v>
      </c>
      <c r="Z27" s="51">
        <f t="shared" si="6"/>
        <v>185</v>
      </c>
    </row>
    <row r="28" spans="1:26" s="1" customFormat="1" ht="18.75">
      <c r="A28" s="9">
        <v>0</v>
      </c>
      <c r="B28" s="9">
        <v>24</v>
      </c>
      <c r="C28" s="8"/>
      <c r="D28" s="45" t="s">
        <v>56</v>
      </c>
      <c r="E28" s="34"/>
      <c r="F28" s="10">
        <v>4</v>
      </c>
      <c r="G28" s="10">
        <v>156</v>
      </c>
      <c r="H28" s="22" t="s">
        <v>15</v>
      </c>
      <c r="I28" s="11">
        <f t="shared" si="0"/>
        <v>16</v>
      </c>
      <c r="J28" s="50">
        <f t="shared" si="1"/>
        <v>6.24</v>
      </c>
      <c r="K28" s="10">
        <v>0</v>
      </c>
      <c r="L28" s="50">
        <f t="shared" si="2"/>
        <v>22.240000000000002</v>
      </c>
      <c r="M28" s="52">
        <v>80</v>
      </c>
      <c r="N28" s="59">
        <f t="shared" si="3"/>
        <v>102.24000000000001</v>
      </c>
      <c r="O28" s="17">
        <f t="shared" si="4"/>
        <v>22</v>
      </c>
      <c r="P28" s="53">
        <f t="shared" si="5"/>
        <v>80.240000000000009</v>
      </c>
      <c r="Q28" s="4"/>
      <c r="R28" s="4"/>
      <c r="S28" s="4"/>
      <c r="Y28" s="10">
        <v>1808146</v>
      </c>
      <c r="Z28" s="51">
        <f t="shared" si="6"/>
        <v>180</v>
      </c>
    </row>
    <row r="29" spans="1:26" s="2" customFormat="1" ht="18.75">
      <c r="A29" s="9">
        <v>0</v>
      </c>
      <c r="B29" s="9">
        <v>25</v>
      </c>
      <c r="C29" s="8"/>
      <c r="D29" s="45" t="s">
        <v>57</v>
      </c>
      <c r="E29" s="34"/>
      <c r="F29" s="10">
        <v>4</v>
      </c>
      <c r="G29" s="10">
        <v>156</v>
      </c>
      <c r="H29" s="22" t="s">
        <v>15</v>
      </c>
      <c r="I29" s="11">
        <f t="shared" si="0"/>
        <v>16</v>
      </c>
      <c r="J29" s="50">
        <f t="shared" si="1"/>
        <v>6.24</v>
      </c>
      <c r="K29" s="10">
        <v>0</v>
      </c>
      <c r="L29" s="50">
        <f t="shared" si="2"/>
        <v>22.240000000000002</v>
      </c>
      <c r="M29" s="52">
        <v>80</v>
      </c>
      <c r="N29" s="59">
        <f t="shared" si="3"/>
        <v>102.24000000000001</v>
      </c>
      <c r="O29" s="17">
        <f t="shared" si="4"/>
        <v>22</v>
      </c>
      <c r="P29" s="53">
        <f t="shared" si="5"/>
        <v>80.240000000000009</v>
      </c>
      <c r="Q29" s="4"/>
      <c r="R29" s="4"/>
      <c r="S29" s="4"/>
      <c r="T29" s="1"/>
      <c r="U29" s="1"/>
      <c r="Y29" s="10">
        <v>1771706</v>
      </c>
      <c r="Z29" s="51">
        <f t="shared" si="6"/>
        <v>177</v>
      </c>
    </row>
    <row r="30" spans="1:26" s="2" customFormat="1" ht="18.75">
      <c r="A30" s="9">
        <v>0</v>
      </c>
      <c r="B30" s="9">
        <v>26</v>
      </c>
      <c r="C30" s="8"/>
      <c r="D30" s="45" t="s">
        <v>58</v>
      </c>
      <c r="E30" s="34"/>
      <c r="F30" s="10">
        <v>4</v>
      </c>
      <c r="G30" s="10">
        <v>146</v>
      </c>
      <c r="H30" s="14" t="s">
        <v>22</v>
      </c>
      <c r="I30" s="11">
        <f t="shared" si="0"/>
        <v>16</v>
      </c>
      <c r="J30" s="50">
        <f t="shared" si="1"/>
        <v>5.84</v>
      </c>
      <c r="K30" s="10">
        <v>0</v>
      </c>
      <c r="L30" s="50">
        <f t="shared" si="2"/>
        <v>21.84</v>
      </c>
      <c r="M30" s="52">
        <v>74</v>
      </c>
      <c r="N30" s="59">
        <f t="shared" si="3"/>
        <v>95.84</v>
      </c>
      <c r="O30" s="17">
        <f t="shared" si="4"/>
        <v>10</v>
      </c>
      <c r="P30" s="53">
        <f t="shared" si="5"/>
        <v>85.84</v>
      </c>
      <c r="Q30" s="4"/>
      <c r="R30" s="4"/>
      <c r="S30" s="4"/>
      <c r="T30" s="1"/>
      <c r="U30" s="1"/>
      <c r="Y30" s="10">
        <v>1773771</v>
      </c>
      <c r="Z30" s="51">
        <f t="shared" si="6"/>
        <v>177</v>
      </c>
    </row>
    <row r="31" spans="1:26" s="2" customFormat="1" ht="18.75">
      <c r="A31" s="9">
        <v>0</v>
      </c>
      <c r="B31" s="9">
        <v>27</v>
      </c>
      <c r="C31" s="8"/>
      <c r="D31" s="47" t="s">
        <v>59</v>
      </c>
      <c r="E31" s="34"/>
      <c r="F31" s="10">
        <v>4</v>
      </c>
      <c r="G31" s="10">
        <v>147</v>
      </c>
      <c r="H31" s="24" t="s">
        <v>21</v>
      </c>
      <c r="I31" s="11">
        <f t="shared" si="0"/>
        <v>16</v>
      </c>
      <c r="J31" s="50">
        <f t="shared" si="1"/>
        <v>5.88</v>
      </c>
      <c r="K31" s="10">
        <v>0</v>
      </c>
      <c r="L31" s="50">
        <f t="shared" si="2"/>
        <v>21.88</v>
      </c>
      <c r="M31" s="52">
        <v>79</v>
      </c>
      <c r="N31" s="59">
        <f t="shared" si="3"/>
        <v>100.88</v>
      </c>
      <c r="O31" s="17">
        <f t="shared" si="4"/>
        <v>13</v>
      </c>
      <c r="P31" s="53">
        <f t="shared" si="5"/>
        <v>87.88</v>
      </c>
      <c r="Q31" s="4"/>
      <c r="R31" s="4"/>
      <c r="S31" s="4"/>
      <c r="T31" s="1"/>
      <c r="U31" s="1"/>
      <c r="Y31" s="10">
        <v>1723342</v>
      </c>
      <c r="Z31" s="51">
        <f t="shared" si="6"/>
        <v>172</v>
      </c>
    </row>
    <row r="32" spans="1:26" s="2" customFormat="1" ht="18.75">
      <c r="A32" s="9">
        <v>0</v>
      </c>
      <c r="B32" s="9">
        <v>28</v>
      </c>
      <c r="C32" s="8"/>
      <c r="D32" s="49" t="s">
        <v>60</v>
      </c>
      <c r="E32" s="34"/>
      <c r="F32" s="10">
        <v>0</v>
      </c>
      <c r="G32" s="10">
        <v>142</v>
      </c>
      <c r="H32" s="31" t="s">
        <v>23</v>
      </c>
      <c r="I32" s="11">
        <f t="shared" ref="I32:I38" si="7">F32*3+IF(F32&gt;2,(F32-2)*2,0)</f>
        <v>0</v>
      </c>
      <c r="J32" s="50">
        <f t="shared" si="1"/>
        <v>0</v>
      </c>
      <c r="K32" s="10">
        <v>0</v>
      </c>
      <c r="L32" s="10">
        <f t="shared" ref="L32:L38" si="8">SUM(J32+I32+K32)</f>
        <v>0</v>
      </c>
      <c r="M32" s="52">
        <v>76</v>
      </c>
      <c r="N32" s="59">
        <f t="shared" si="3"/>
        <v>76</v>
      </c>
      <c r="O32" s="52">
        <f t="shared" ref="O32:O38" si="9">VLOOKUP(H32,$T$3:$U$10,2,FALSE)</f>
        <v>0</v>
      </c>
      <c r="P32" s="53">
        <f t="shared" ref="P32:P38" si="10">N32-O32</f>
        <v>76</v>
      </c>
      <c r="Q32" s="4"/>
      <c r="R32" s="4"/>
      <c r="S32" s="4"/>
      <c r="T32" s="1"/>
      <c r="U32" s="1"/>
      <c r="Y32" s="10">
        <v>1719919</v>
      </c>
      <c r="Z32" s="51">
        <f t="shared" si="6"/>
        <v>171</v>
      </c>
    </row>
    <row r="33" spans="1:26" s="2" customFormat="1" ht="18.75">
      <c r="A33" s="9">
        <v>0</v>
      </c>
      <c r="B33" s="9">
        <v>29</v>
      </c>
      <c r="C33" s="8"/>
      <c r="D33" s="60" t="s">
        <v>61</v>
      </c>
      <c r="E33" s="34"/>
      <c r="F33" s="10">
        <v>0</v>
      </c>
      <c r="G33" s="10">
        <v>144</v>
      </c>
      <c r="H33" s="31" t="s">
        <v>23</v>
      </c>
      <c r="I33" s="11">
        <f t="shared" si="7"/>
        <v>0</v>
      </c>
      <c r="J33" s="50">
        <f t="shared" si="1"/>
        <v>0</v>
      </c>
      <c r="K33" s="10">
        <v>0</v>
      </c>
      <c r="L33" s="10">
        <f t="shared" si="8"/>
        <v>0</v>
      </c>
      <c r="M33" s="52">
        <v>54</v>
      </c>
      <c r="N33" s="59">
        <f t="shared" si="3"/>
        <v>54</v>
      </c>
      <c r="O33" s="52">
        <f t="shared" si="9"/>
        <v>0</v>
      </c>
      <c r="P33" s="53">
        <f t="shared" si="10"/>
        <v>54</v>
      </c>
      <c r="Q33" s="4"/>
      <c r="R33" s="4"/>
      <c r="S33" s="4"/>
      <c r="T33" s="1"/>
      <c r="U33" s="1"/>
      <c r="Y33" s="10">
        <v>1660687</v>
      </c>
      <c r="Z33" s="51">
        <f t="shared" si="6"/>
        <v>166</v>
      </c>
    </row>
    <row r="34" spans="1:26" s="2" customFormat="1" ht="18.75">
      <c r="A34" s="9">
        <v>0</v>
      </c>
      <c r="B34" s="9">
        <v>30</v>
      </c>
      <c r="C34" s="8"/>
      <c r="D34" s="48" t="s">
        <v>62</v>
      </c>
      <c r="E34" s="34"/>
      <c r="F34" s="10">
        <v>0</v>
      </c>
      <c r="G34" s="10">
        <v>129</v>
      </c>
      <c r="H34" s="31" t="s">
        <v>23</v>
      </c>
      <c r="I34" s="11">
        <f t="shared" si="7"/>
        <v>0</v>
      </c>
      <c r="J34" s="50">
        <f t="shared" si="1"/>
        <v>0</v>
      </c>
      <c r="K34" s="10">
        <v>0</v>
      </c>
      <c r="L34" s="10">
        <f t="shared" si="8"/>
        <v>0</v>
      </c>
      <c r="M34" s="52">
        <v>80</v>
      </c>
      <c r="N34" s="59">
        <f t="shared" si="3"/>
        <v>80</v>
      </c>
      <c r="O34" s="52">
        <f t="shared" si="9"/>
        <v>0</v>
      </c>
      <c r="P34" s="53">
        <f t="shared" si="10"/>
        <v>80</v>
      </c>
      <c r="Q34" s="4"/>
      <c r="R34" s="4"/>
      <c r="S34" s="4"/>
      <c r="T34" s="1"/>
      <c r="U34" s="1"/>
      <c r="Y34" s="10">
        <v>1638852</v>
      </c>
      <c r="Z34" s="51">
        <f t="shared" si="6"/>
        <v>163</v>
      </c>
    </row>
    <row r="35" spans="1:26" s="2" customFormat="1" ht="18.75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127</v>
      </c>
      <c r="H35" s="31" t="s">
        <v>23</v>
      </c>
      <c r="I35" s="11">
        <f t="shared" si="7"/>
        <v>0</v>
      </c>
      <c r="J35" s="50">
        <f t="shared" si="1"/>
        <v>0</v>
      </c>
      <c r="K35" s="10">
        <v>0</v>
      </c>
      <c r="L35" s="10">
        <f t="shared" si="8"/>
        <v>0</v>
      </c>
      <c r="M35" s="52">
        <v>69</v>
      </c>
      <c r="N35" s="59">
        <f t="shared" si="3"/>
        <v>69</v>
      </c>
      <c r="O35" s="52">
        <f t="shared" si="9"/>
        <v>0</v>
      </c>
      <c r="P35" s="53">
        <f t="shared" si="10"/>
        <v>69</v>
      </c>
      <c r="Q35" s="4"/>
      <c r="R35" s="4"/>
      <c r="S35" s="4"/>
      <c r="T35" s="1"/>
      <c r="U35" s="1"/>
      <c r="Y35" s="10">
        <v>1574754</v>
      </c>
      <c r="Z35" s="51">
        <f t="shared" si="6"/>
        <v>157</v>
      </c>
    </row>
    <row r="36" spans="1:26" s="2" customFormat="1" ht="18.75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125</v>
      </c>
      <c r="H36" s="31" t="s">
        <v>23</v>
      </c>
      <c r="I36" s="11">
        <f t="shared" si="7"/>
        <v>0</v>
      </c>
      <c r="J36" s="50">
        <f t="shared" si="1"/>
        <v>0</v>
      </c>
      <c r="K36" s="10">
        <v>0</v>
      </c>
      <c r="L36" s="10">
        <f t="shared" si="8"/>
        <v>0</v>
      </c>
      <c r="M36" s="52">
        <v>22</v>
      </c>
      <c r="N36" s="59">
        <f t="shared" si="3"/>
        <v>22</v>
      </c>
      <c r="O36" s="52">
        <f t="shared" si="9"/>
        <v>0</v>
      </c>
      <c r="P36" s="53">
        <f t="shared" si="10"/>
        <v>22</v>
      </c>
      <c r="Q36" s="4"/>
      <c r="R36" s="4"/>
      <c r="S36" s="4"/>
      <c r="T36" s="1"/>
      <c r="U36" s="1"/>
      <c r="Y36" s="10">
        <v>1565794</v>
      </c>
      <c r="Z36" s="51">
        <f t="shared" si="6"/>
        <v>156</v>
      </c>
    </row>
    <row r="37" spans="1:26" s="1" customFormat="1" ht="18.75">
      <c r="A37" s="9">
        <v>0</v>
      </c>
      <c r="B37" s="9">
        <v>33</v>
      </c>
      <c r="C37" s="8"/>
      <c r="D37" s="45" t="s">
        <v>65</v>
      </c>
      <c r="E37" s="32"/>
      <c r="F37" s="10">
        <v>0</v>
      </c>
      <c r="G37" s="10">
        <v>124</v>
      </c>
      <c r="H37" s="31" t="s">
        <v>23</v>
      </c>
      <c r="I37" s="11">
        <f t="shared" si="7"/>
        <v>0</v>
      </c>
      <c r="J37" s="50">
        <f t="shared" si="1"/>
        <v>0</v>
      </c>
      <c r="K37" s="10">
        <v>0</v>
      </c>
      <c r="L37" s="10">
        <f t="shared" si="8"/>
        <v>0</v>
      </c>
      <c r="M37" s="52">
        <v>72</v>
      </c>
      <c r="N37" s="59">
        <f t="shared" si="3"/>
        <v>72</v>
      </c>
      <c r="O37" s="52">
        <f t="shared" si="9"/>
        <v>0</v>
      </c>
      <c r="P37" s="53">
        <f t="shared" si="10"/>
        <v>72</v>
      </c>
      <c r="Q37" s="4"/>
      <c r="R37" s="4"/>
      <c r="S37" s="4"/>
      <c r="Y37" s="10">
        <v>1515008</v>
      </c>
      <c r="Z37" s="51">
        <f t="shared" si="6"/>
        <v>151</v>
      </c>
    </row>
    <row r="38" spans="1:26" s="2" customFormat="1" ht="18.75">
      <c r="A38" s="9">
        <v>0</v>
      </c>
      <c r="B38" s="9">
        <v>34</v>
      </c>
      <c r="C38" s="8"/>
      <c r="D38" s="45" t="s">
        <v>66</v>
      </c>
      <c r="E38" s="34"/>
      <c r="F38" s="10">
        <v>0</v>
      </c>
      <c r="G38" s="10">
        <v>100</v>
      </c>
      <c r="H38" s="31" t="s">
        <v>23</v>
      </c>
      <c r="I38" s="11">
        <f t="shared" si="7"/>
        <v>0</v>
      </c>
      <c r="J38" s="50">
        <f t="shared" si="1"/>
        <v>0</v>
      </c>
      <c r="K38" s="10">
        <v>0</v>
      </c>
      <c r="L38" s="10">
        <f t="shared" si="8"/>
        <v>0</v>
      </c>
      <c r="M38" s="52">
        <v>79</v>
      </c>
      <c r="N38" s="59">
        <f t="shared" si="3"/>
        <v>79</v>
      </c>
      <c r="O38" s="52">
        <f t="shared" si="9"/>
        <v>0</v>
      </c>
      <c r="P38" s="53">
        <f t="shared" si="10"/>
        <v>79</v>
      </c>
      <c r="Q38" s="4"/>
      <c r="R38" s="4"/>
      <c r="S38" s="4"/>
      <c r="T38" s="1"/>
      <c r="U38" s="1"/>
      <c r="Y38" s="10">
        <v>1469198</v>
      </c>
      <c r="Z38" s="51">
        <f t="shared" si="6"/>
        <v>146</v>
      </c>
    </row>
    <row r="39" spans="1:26" s="3" customFormat="1" ht="18.75">
      <c r="A39" s="9">
        <v>0</v>
      </c>
      <c r="B39" s="9">
        <v>35</v>
      </c>
      <c r="C39" s="8"/>
      <c r="D39" s="45" t="s">
        <v>67</v>
      </c>
      <c r="E39" s="2"/>
      <c r="F39" s="10">
        <v>4</v>
      </c>
      <c r="G39" s="10">
        <v>96</v>
      </c>
      <c r="H39" s="14" t="s">
        <v>22</v>
      </c>
      <c r="I39" s="11">
        <f t="shared" ref="I39:I46" si="11">F39*$U$11+IF(F39&gt;2,(F39-2)*$U$12,0)</f>
        <v>16</v>
      </c>
      <c r="J39" s="50">
        <f t="shared" si="1"/>
        <v>3.84</v>
      </c>
      <c r="K39" s="10">
        <v>0</v>
      </c>
      <c r="L39" s="50">
        <f t="shared" ref="L39:L46" si="12">SUM(J39+I39+K39)*(1-A39)</f>
        <v>19.84</v>
      </c>
      <c r="M39" s="52">
        <v>31</v>
      </c>
      <c r="N39" s="59">
        <f t="shared" si="3"/>
        <v>50.84</v>
      </c>
      <c r="O39" s="52">
        <f t="shared" ref="O39:O46" si="13">VLOOKUP(H39,$T$3:$U$10,2,FALSE)*(1-A39)</f>
        <v>10</v>
      </c>
      <c r="P39" s="53">
        <f t="shared" ref="P39:P46" si="14">L39+M39-O39</f>
        <v>40.840000000000003</v>
      </c>
      <c r="Q39" s="4"/>
      <c r="R39" s="4"/>
      <c r="S39" s="4"/>
      <c r="Y39" s="10">
        <v>1474329</v>
      </c>
      <c r="Z39" s="51">
        <f t="shared" si="6"/>
        <v>147</v>
      </c>
    </row>
    <row r="40" spans="1:26" ht="18.75">
      <c r="A40" s="9">
        <v>0</v>
      </c>
      <c r="B40" s="9">
        <v>36</v>
      </c>
      <c r="C40" s="8"/>
      <c r="D40" s="46" t="s">
        <v>68</v>
      </c>
      <c r="E40" s="2"/>
      <c r="F40" s="10">
        <v>4</v>
      </c>
      <c r="G40" s="10">
        <v>28</v>
      </c>
      <c r="H40" s="14" t="s">
        <v>22</v>
      </c>
      <c r="I40" s="11">
        <f t="shared" si="11"/>
        <v>16</v>
      </c>
      <c r="J40" s="50">
        <f t="shared" si="1"/>
        <v>1.1200000000000001</v>
      </c>
      <c r="K40" s="10">
        <v>0</v>
      </c>
      <c r="L40" s="50">
        <f t="shared" si="12"/>
        <v>17.12</v>
      </c>
      <c r="M40" s="52">
        <v>40</v>
      </c>
      <c r="N40" s="59">
        <f t="shared" si="3"/>
        <v>57.120000000000005</v>
      </c>
      <c r="O40" s="52">
        <f t="shared" si="13"/>
        <v>10</v>
      </c>
      <c r="P40" s="53">
        <f t="shared" si="14"/>
        <v>47.120000000000005</v>
      </c>
      <c r="Q40" s="4"/>
      <c r="R40" s="4"/>
      <c r="S40" s="4"/>
      <c r="Y40" s="10">
        <v>1420716</v>
      </c>
      <c r="Z40" s="51">
        <f t="shared" si="6"/>
        <v>142</v>
      </c>
    </row>
    <row r="41" spans="1:26" ht="18.75">
      <c r="A41" s="9">
        <v>0</v>
      </c>
      <c r="B41" s="9">
        <v>37</v>
      </c>
      <c r="C41" s="8"/>
      <c r="D41" s="46" t="s">
        <v>69</v>
      </c>
      <c r="E41" s="2"/>
      <c r="F41" s="10">
        <v>4</v>
      </c>
      <c r="G41" s="10">
        <v>52</v>
      </c>
      <c r="H41" s="14" t="s">
        <v>22</v>
      </c>
      <c r="I41" s="11">
        <f t="shared" si="11"/>
        <v>16</v>
      </c>
      <c r="J41" s="50">
        <f t="shared" si="1"/>
        <v>2.08</v>
      </c>
      <c r="K41" s="10">
        <v>0</v>
      </c>
      <c r="L41" s="50">
        <f t="shared" si="12"/>
        <v>18.079999999999998</v>
      </c>
      <c r="M41" s="52">
        <v>6</v>
      </c>
      <c r="N41" s="59">
        <f t="shared" si="3"/>
        <v>24.08</v>
      </c>
      <c r="O41" s="52">
        <f t="shared" si="13"/>
        <v>10</v>
      </c>
      <c r="P41" s="53">
        <f t="shared" si="14"/>
        <v>14.079999999999998</v>
      </c>
      <c r="Q41" s="4"/>
      <c r="R41" s="4"/>
      <c r="S41" s="4"/>
      <c r="Y41" s="10">
        <v>1443199</v>
      </c>
      <c r="Z41" s="51">
        <f t="shared" si="6"/>
        <v>144</v>
      </c>
    </row>
    <row r="42" spans="1:26" ht="18.75">
      <c r="A42" s="9">
        <v>1</v>
      </c>
      <c r="B42" s="9">
        <v>38</v>
      </c>
      <c r="C42" s="8"/>
      <c r="D42" s="45" t="s">
        <v>70</v>
      </c>
      <c r="E42" s="2"/>
      <c r="F42" s="10">
        <v>4</v>
      </c>
      <c r="G42" s="10">
        <v>6</v>
      </c>
      <c r="H42" s="14" t="s">
        <v>22</v>
      </c>
      <c r="I42" s="11">
        <f t="shared" si="11"/>
        <v>16</v>
      </c>
      <c r="J42" s="50">
        <f t="shared" si="1"/>
        <v>0.24</v>
      </c>
      <c r="K42" s="10">
        <v>0</v>
      </c>
      <c r="L42" s="50">
        <f t="shared" si="12"/>
        <v>0</v>
      </c>
      <c r="M42" s="52">
        <v>4</v>
      </c>
      <c r="N42" s="59">
        <f t="shared" si="3"/>
        <v>0</v>
      </c>
      <c r="O42" s="17">
        <f t="shared" si="13"/>
        <v>0</v>
      </c>
      <c r="P42" s="53">
        <f t="shared" si="14"/>
        <v>4</v>
      </c>
      <c r="Q42" s="4"/>
      <c r="R42" s="4"/>
      <c r="S42" s="4"/>
      <c r="Y42" s="10">
        <v>1296786</v>
      </c>
      <c r="Z42" s="51">
        <f t="shared" si="6"/>
        <v>129</v>
      </c>
    </row>
    <row r="43" spans="1:26" ht="18.75">
      <c r="A43" s="9">
        <v>1</v>
      </c>
      <c r="B43" s="9">
        <v>39</v>
      </c>
      <c r="C43" s="8"/>
      <c r="D43" s="45" t="s">
        <v>71</v>
      </c>
      <c r="E43" s="2"/>
      <c r="F43" s="10">
        <v>1</v>
      </c>
      <c r="G43" s="10">
        <v>0</v>
      </c>
      <c r="H43" s="14" t="s">
        <v>22</v>
      </c>
      <c r="I43" s="11">
        <f t="shared" si="11"/>
        <v>3</v>
      </c>
      <c r="J43" s="50">
        <f t="shared" si="1"/>
        <v>0</v>
      </c>
      <c r="K43" s="10">
        <v>0</v>
      </c>
      <c r="L43" s="50">
        <f t="shared" si="12"/>
        <v>0</v>
      </c>
      <c r="M43" s="52">
        <v>-3</v>
      </c>
      <c r="N43" s="59">
        <f t="shared" si="3"/>
        <v>0</v>
      </c>
      <c r="O43" s="17">
        <f t="shared" si="13"/>
        <v>0</v>
      </c>
      <c r="P43" s="53">
        <f t="shared" si="14"/>
        <v>-3</v>
      </c>
      <c r="Q43" s="4"/>
      <c r="R43" s="4"/>
      <c r="S43" s="4"/>
      <c r="Y43" s="10">
        <v>1273540</v>
      </c>
      <c r="Z43" s="51">
        <f t="shared" si="6"/>
        <v>127</v>
      </c>
    </row>
    <row r="44" spans="1:26" ht="18.75">
      <c r="A44" s="9">
        <v>1</v>
      </c>
      <c r="B44" s="9">
        <v>40</v>
      </c>
      <c r="C44" s="8"/>
      <c r="D44" s="45" t="s">
        <v>72</v>
      </c>
      <c r="E44" s="34"/>
      <c r="F44" s="10">
        <v>4</v>
      </c>
      <c r="G44" s="10">
        <v>0</v>
      </c>
      <c r="H44" s="14" t="s">
        <v>22</v>
      </c>
      <c r="I44" s="11">
        <f t="shared" si="11"/>
        <v>16</v>
      </c>
      <c r="J44" s="50">
        <f t="shared" si="1"/>
        <v>0</v>
      </c>
      <c r="K44" s="10">
        <v>0</v>
      </c>
      <c r="L44" s="50">
        <f t="shared" si="12"/>
        <v>0</v>
      </c>
      <c r="M44" s="52">
        <v>7</v>
      </c>
      <c r="N44" s="59">
        <f t="shared" si="3"/>
        <v>0</v>
      </c>
      <c r="O44" s="17">
        <f t="shared" si="13"/>
        <v>0</v>
      </c>
      <c r="P44" s="53">
        <f t="shared" si="14"/>
        <v>7</v>
      </c>
      <c r="Q44" s="4"/>
      <c r="R44" s="4"/>
      <c r="S44" s="4"/>
      <c r="Y44" s="10">
        <v>1256485</v>
      </c>
      <c r="Z44" s="51">
        <f t="shared" si="6"/>
        <v>125</v>
      </c>
    </row>
    <row r="45" spans="1:26" ht="18.75">
      <c r="A45" s="9">
        <v>0</v>
      </c>
      <c r="B45" s="9">
        <v>41</v>
      </c>
      <c r="C45" s="8"/>
      <c r="D45" s="45" t="s">
        <v>73</v>
      </c>
      <c r="E45" s="34"/>
      <c r="F45" s="10">
        <v>4</v>
      </c>
      <c r="G45" s="10">
        <v>0</v>
      </c>
      <c r="H45" s="14" t="s">
        <v>22</v>
      </c>
      <c r="I45" s="11">
        <f t="shared" si="11"/>
        <v>16</v>
      </c>
      <c r="J45" s="50">
        <f t="shared" si="1"/>
        <v>0</v>
      </c>
      <c r="K45" s="10">
        <v>0</v>
      </c>
      <c r="L45" s="50">
        <f t="shared" si="12"/>
        <v>16</v>
      </c>
      <c r="M45" s="52">
        <v>10</v>
      </c>
      <c r="N45" s="59">
        <f t="shared" si="3"/>
        <v>26</v>
      </c>
      <c r="O45" s="52">
        <f t="shared" si="13"/>
        <v>10</v>
      </c>
      <c r="P45" s="53">
        <f t="shared" si="14"/>
        <v>16</v>
      </c>
      <c r="Q45" s="4"/>
      <c r="R45" s="4"/>
      <c r="S45" s="4"/>
      <c r="Y45" s="10">
        <v>1245164</v>
      </c>
      <c r="Z45" s="51">
        <f t="shared" si="6"/>
        <v>124</v>
      </c>
    </row>
    <row r="46" spans="1:26" ht="18.75">
      <c r="A46" s="9">
        <v>1</v>
      </c>
      <c r="B46" s="9">
        <v>42</v>
      </c>
      <c r="C46" s="8"/>
      <c r="D46" s="45" t="s">
        <v>74</v>
      </c>
      <c r="E46" s="33"/>
      <c r="F46" s="10">
        <v>1</v>
      </c>
      <c r="G46" s="10">
        <v>0</v>
      </c>
      <c r="H46" s="14" t="s">
        <v>22</v>
      </c>
      <c r="I46" s="11">
        <f t="shared" si="11"/>
        <v>3</v>
      </c>
      <c r="J46" s="50">
        <f t="shared" si="1"/>
        <v>0</v>
      </c>
      <c r="K46" s="10">
        <v>0</v>
      </c>
      <c r="L46" s="50">
        <f t="shared" si="12"/>
        <v>0</v>
      </c>
      <c r="M46" s="52">
        <v>0</v>
      </c>
      <c r="N46" s="59">
        <f t="shared" si="3"/>
        <v>0</v>
      </c>
      <c r="O46" s="17">
        <f t="shared" si="13"/>
        <v>0</v>
      </c>
      <c r="P46" s="53">
        <f t="shared" si="14"/>
        <v>0</v>
      </c>
      <c r="Q46" s="4"/>
      <c r="R46" s="4"/>
      <c r="S46" s="4"/>
      <c r="Y46" s="10">
        <v>1007183</v>
      </c>
      <c r="Z46" s="51">
        <f t="shared" si="6"/>
        <v>100</v>
      </c>
    </row>
  </sheetData>
  <autoFilter ref="A4:S46" xr:uid="{28593B8F-03E7-4BE1-B554-FC0AADC431B2}">
    <sortState xmlns:xlrd2="http://schemas.microsoft.com/office/spreadsheetml/2017/richdata2" ref="A5:S46">
      <sortCondition ref="B4:B46"/>
    </sortState>
  </autoFilter>
  <mergeCells count="5">
    <mergeCell ref="B1:P1"/>
    <mergeCell ref="B2:P2"/>
    <mergeCell ref="B3:E3"/>
    <mergeCell ref="H3:P3"/>
    <mergeCell ref="F3:G3"/>
  </mergeCells>
  <conditionalFormatting sqref="K5:K46 F5:G46">
    <cfRule type="cellIs" dxfId="44" priority="3" operator="lessThan">
      <formula>1</formula>
    </cfRule>
  </conditionalFormatting>
  <conditionalFormatting sqref="Y13:Y46">
    <cfRule type="cellIs" dxfId="43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9416-99C6-4CD6-B861-7B3E5D2858D3}">
  <dimension ref="A1:U48"/>
  <sheetViews>
    <sheetView zoomScale="85" zoomScaleNormal="85" workbookViewId="0">
      <selection activeCell="F5" sqref="F5:F48"/>
    </sheetView>
  </sheetViews>
  <sheetFormatPr defaultColWidth="9" defaultRowHeight="13.5"/>
  <cols>
    <col min="1" max="1" width="7.625" customWidth="1"/>
    <col min="2" max="2" width="6.625" style="18" customWidth="1"/>
    <col min="3" max="3" width="19.75" style="68" hidden="1" customWidth="1"/>
    <col min="4" max="4" width="22.75" style="68" bestFit="1" customWidth="1"/>
    <col min="5" max="5" width="18.375" style="18" hidden="1" customWidth="1"/>
    <col min="6" max="6" width="13.125" style="18" customWidth="1"/>
    <col min="7" max="7" width="11.125" style="18" customWidth="1"/>
    <col min="8" max="8" width="20" style="18" customWidth="1"/>
    <col min="9" max="9" width="9" style="18" customWidth="1"/>
    <col min="10" max="10" width="9.625" style="18" customWidth="1"/>
    <col min="11" max="11" width="8.625" style="18" customWidth="1"/>
    <col min="12" max="12" width="9" style="18" customWidth="1"/>
    <col min="13" max="14" width="9.75" style="18" customWidth="1"/>
    <col min="15" max="15" width="9.25" style="18" customWidth="1"/>
    <col min="16" max="16" width="9.875" style="18" customWidth="1"/>
    <col min="17" max="19" width="11.125" style="18" customWidth="1"/>
    <col min="20" max="20" width="30.5" style="18" customWidth="1"/>
    <col min="21" max="21" width="10" style="18" bestFit="1" customWidth="1"/>
    <col min="22" max="16384" width="9" style="18"/>
  </cols>
  <sheetData>
    <row r="1" spans="1:21" ht="36.6" customHeight="1">
      <c r="B1" s="91" t="str">
        <f>CONCATENATE("101-104区 风の气息",U15,"年",U16,"月",U17,"日","分包贡献明细"," 统计：音")</f>
        <v>101-104区 风の气息2022年3月12日分包贡献明细 统计：音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41"/>
      <c r="R1" s="41"/>
      <c r="S1" s="41"/>
      <c r="T1" s="19" t="s">
        <v>8</v>
      </c>
      <c r="U1" s="5">
        <v>67</v>
      </c>
    </row>
    <row r="2" spans="1:21" ht="117.6" customHeight="1">
      <c r="B2" s="93" t="s">
        <v>82</v>
      </c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42"/>
      <c r="R2" s="42"/>
      <c r="S2" s="42"/>
      <c r="T2" s="20" t="s">
        <v>0</v>
      </c>
      <c r="U2" s="21" t="s">
        <v>9</v>
      </c>
    </row>
    <row r="3" spans="1:21" ht="20.25">
      <c r="B3" s="96" t="s">
        <v>13</v>
      </c>
      <c r="C3" s="96"/>
      <c r="D3" s="96"/>
      <c r="E3" s="96"/>
      <c r="F3" s="100" t="s">
        <v>10</v>
      </c>
      <c r="G3" s="101"/>
      <c r="H3" s="97" t="s">
        <v>14</v>
      </c>
      <c r="I3" s="98"/>
      <c r="J3" s="98"/>
      <c r="K3" s="98"/>
      <c r="L3" s="98"/>
      <c r="M3" s="98"/>
      <c r="N3" s="98"/>
      <c r="O3" s="98"/>
      <c r="P3" s="99"/>
      <c r="Q3" s="40"/>
      <c r="R3" s="40"/>
      <c r="S3" s="40"/>
      <c r="T3" s="70" t="s">
        <v>15</v>
      </c>
      <c r="U3" s="23">
        <v>22</v>
      </c>
    </row>
    <row r="4" spans="1:21" ht="40.5">
      <c r="A4" s="44" t="s">
        <v>76</v>
      </c>
      <c r="B4" s="44" t="s">
        <v>2</v>
      </c>
      <c r="C4" s="39" t="s">
        <v>16</v>
      </c>
      <c r="D4" s="44" t="s">
        <v>3</v>
      </c>
      <c r="E4" s="44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.75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284</v>
      </c>
      <c r="H5" s="71" t="s">
        <v>21</v>
      </c>
      <c r="I5" s="53">
        <f t="shared" ref="I5:I31" si="0">F5*$U$11+IF(F5&gt;2,(F5-2)*$U$12,0)</f>
        <v>10.5</v>
      </c>
      <c r="J5" s="50">
        <f t="shared" ref="J5:J48" si="1">IF(MAX($F$5:$F$46)=0,0,G5*$U$14*F5/MAX($F$5:$F$46))</f>
        <v>8.52</v>
      </c>
      <c r="K5" s="10">
        <v>0</v>
      </c>
      <c r="L5" s="50">
        <f t="shared" ref="L5:L31" si="2">SUM(J5+I5+K5)*(1-A5)</f>
        <v>19.02</v>
      </c>
      <c r="M5" s="52">
        <v>74</v>
      </c>
      <c r="N5" s="59">
        <f t="shared" ref="N5:N48" si="3">(L5+M5)*(1-A5)</f>
        <v>93.02</v>
      </c>
      <c r="O5" s="17">
        <f t="shared" ref="O5:O31" si="4">VLOOKUP(H5,$T$3:$U$10,2,FALSE)*(1-A5)</f>
        <v>13</v>
      </c>
      <c r="P5" s="53">
        <f>L5+M5-O5</f>
        <v>80.02</v>
      </c>
      <c r="Q5" s="11"/>
      <c r="R5" s="11"/>
      <c r="S5" s="11"/>
      <c r="T5" s="69" t="s">
        <v>22</v>
      </c>
      <c r="U5" s="23">
        <v>10</v>
      </c>
    </row>
    <row r="6" spans="1:21" s="29" customFormat="1" ht="18.75">
      <c r="A6" s="9">
        <v>0</v>
      </c>
      <c r="B6" s="9">
        <v>2</v>
      </c>
      <c r="C6" s="8"/>
      <c r="D6" s="45" t="s">
        <v>34</v>
      </c>
      <c r="E6" s="32"/>
      <c r="F6" s="10">
        <v>3</v>
      </c>
      <c r="G6" s="10">
        <v>222</v>
      </c>
      <c r="H6" s="71" t="s">
        <v>21</v>
      </c>
      <c r="I6" s="53">
        <f t="shared" si="0"/>
        <v>10.5</v>
      </c>
      <c r="J6" s="50">
        <f t="shared" si="1"/>
        <v>6.66</v>
      </c>
      <c r="K6" s="10">
        <v>0</v>
      </c>
      <c r="L6" s="50">
        <f t="shared" si="2"/>
        <v>17.16</v>
      </c>
      <c r="M6" s="52">
        <v>76.900000000000006</v>
      </c>
      <c r="N6" s="59">
        <f t="shared" si="3"/>
        <v>94.06</v>
      </c>
      <c r="O6" s="17">
        <f t="shared" si="4"/>
        <v>13</v>
      </c>
      <c r="P6" s="53">
        <f>_xlfn.FLOOR.MATH(L6+M6-O6)</f>
        <v>81</v>
      </c>
      <c r="Q6" s="11"/>
      <c r="R6" s="11"/>
      <c r="S6" s="11"/>
      <c r="T6" s="69"/>
      <c r="U6" s="23"/>
    </row>
    <row r="7" spans="1:21" s="29" customFormat="1" ht="18.75">
      <c r="A7" s="9">
        <v>0</v>
      </c>
      <c r="B7" s="9">
        <v>3</v>
      </c>
      <c r="C7" s="8"/>
      <c r="D7" s="45" t="s">
        <v>35</v>
      </c>
      <c r="E7" s="32"/>
      <c r="F7" s="10">
        <v>3</v>
      </c>
      <c r="G7" s="10">
        <v>217</v>
      </c>
      <c r="H7" s="70" t="s">
        <v>15</v>
      </c>
      <c r="I7" s="53">
        <f t="shared" si="0"/>
        <v>10.5</v>
      </c>
      <c r="J7" s="50">
        <f t="shared" si="1"/>
        <v>6.5100000000000007</v>
      </c>
      <c r="K7" s="10">
        <v>0</v>
      </c>
      <c r="L7" s="50">
        <f t="shared" si="2"/>
        <v>17.010000000000002</v>
      </c>
      <c r="M7" s="52">
        <v>79</v>
      </c>
      <c r="N7" s="59">
        <f t="shared" si="3"/>
        <v>96.01</v>
      </c>
      <c r="O7" s="17">
        <f t="shared" si="4"/>
        <v>22</v>
      </c>
      <c r="P7" s="53">
        <f t="shared" ref="P7:P31" si="5">L7+M7-O7</f>
        <v>74.010000000000005</v>
      </c>
      <c r="Q7" s="11"/>
      <c r="R7" s="11"/>
      <c r="S7" s="11"/>
      <c r="T7" s="72" t="s">
        <v>30</v>
      </c>
      <c r="U7" s="23">
        <v>15</v>
      </c>
    </row>
    <row r="8" spans="1:21" s="29" customFormat="1" ht="18.75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217</v>
      </c>
      <c r="H8" s="70" t="s">
        <v>15</v>
      </c>
      <c r="I8" s="53">
        <f t="shared" si="0"/>
        <v>10.5</v>
      </c>
      <c r="J8" s="50">
        <f t="shared" si="1"/>
        <v>6.5100000000000007</v>
      </c>
      <c r="K8" s="10">
        <v>0</v>
      </c>
      <c r="L8" s="50">
        <f t="shared" si="2"/>
        <v>17.010000000000002</v>
      </c>
      <c r="M8" s="52">
        <v>77.400000000000006</v>
      </c>
      <c r="N8" s="59">
        <f t="shared" si="3"/>
        <v>94.410000000000011</v>
      </c>
      <c r="O8" s="17">
        <f t="shared" si="4"/>
        <v>22</v>
      </c>
      <c r="P8" s="53">
        <f t="shared" si="5"/>
        <v>72.410000000000011</v>
      </c>
      <c r="Q8" s="11"/>
      <c r="R8" s="11"/>
      <c r="S8" s="11"/>
      <c r="T8" s="73" t="s">
        <v>31</v>
      </c>
      <c r="U8" s="23">
        <v>9</v>
      </c>
    </row>
    <row r="9" spans="1:21" s="29" customFormat="1" ht="18.75">
      <c r="A9" s="9">
        <v>0</v>
      </c>
      <c r="B9" s="9">
        <v>5</v>
      </c>
      <c r="C9" s="8"/>
      <c r="D9" s="45" t="s">
        <v>37</v>
      </c>
      <c r="E9" s="32"/>
      <c r="F9" s="10">
        <v>3</v>
      </c>
      <c r="G9" s="10">
        <v>217</v>
      </c>
      <c r="H9" s="71" t="s">
        <v>21</v>
      </c>
      <c r="I9" s="53">
        <f t="shared" si="0"/>
        <v>10.5</v>
      </c>
      <c r="J9" s="50">
        <f t="shared" si="1"/>
        <v>6.5100000000000007</v>
      </c>
      <c r="K9" s="10">
        <v>0</v>
      </c>
      <c r="L9" s="50">
        <f t="shared" si="2"/>
        <v>17.010000000000002</v>
      </c>
      <c r="M9" s="52">
        <v>77</v>
      </c>
      <c r="N9" s="59">
        <f t="shared" si="3"/>
        <v>94.01</v>
      </c>
      <c r="O9" s="17">
        <f t="shared" si="4"/>
        <v>13</v>
      </c>
      <c r="P9" s="53">
        <f t="shared" si="5"/>
        <v>81.010000000000005</v>
      </c>
      <c r="Q9" s="11"/>
      <c r="R9" s="11"/>
      <c r="S9" s="25"/>
      <c r="T9" s="69" t="s">
        <v>32</v>
      </c>
      <c r="U9" s="23">
        <v>5</v>
      </c>
    </row>
    <row r="10" spans="1:21" s="29" customFormat="1" ht="18.75">
      <c r="A10" s="9">
        <v>0</v>
      </c>
      <c r="B10" s="9">
        <v>6</v>
      </c>
      <c r="C10" s="8"/>
      <c r="D10" s="45" t="s">
        <v>38</v>
      </c>
      <c r="E10" s="32"/>
      <c r="F10" s="10">
        <v>3</v>
      </c>
      <c r="G10" s="10">
        <v>212</v>
      </c>
      <c r="H10" s="69" t="s">
        <v>22</v>
      </c>
      <c r="I10" s="53">
        <f t="shared" si="0"/>
        <v>10.5</v>
      </c>
      <c r="J10" s="50">
        <f t="shared" si="1"/>
        <v>6.3599999999999994</v>
      </c>
      <c r="K10" s="10">
        <v>0</v>
      </c>
      <c r="L10" s="50">
        <f t="shared" si="2"/>
        <v>16.86</v>
      </c>
      <c r="M10" s="52">
        <v>74</v>
      </c>
      <c r="N10" s="59">
        <f t="shared" si="3"/>
        <v>90.86</v>
      </c>
      <c r="O10" s="17">
        <f t="shared" si="4"/>
        <v>10</v>
      </c>
      <c r="P10" s="53">
        <f t="shared" si="5"/>
        <v>80.86</v>
      </c>
      <c r="Q10" s="11"/>
      <c r="R10" s="11"/>
      <c r="S10" s="16"/>
      <c r="T10" s="2" t="s">
        <v>23</v>
      </c>
      <c r="U10" s="2">
        <v>0</v>
      </c>
    </row>
    <row r="11" spans="1:21" s="29" customFormat="1" ht="18.75">
      <c r="A11" s="9">
        <v>1</v>
      </c>
      <c r="B11" s="9">
        <v>7</v>
      </c>
      <c r="C11" s="8"/>
      <c r="D11" s="45" t="s">
        <v>39</v>
      </c>
      <c r="E11" s="32"/>
      <c r="F11" s="10">
        <v>3</v>
      </c>
      <c r="G11" s="10">
        <v>211</v>
      </c>
      <c r="H11" s="69" t="s">
        <v>22</v>
      </c>
      <c r="I11" s="53">
        <f t="shared" si="0"/>
        <v>10.5</v>
      </c>
      <c r="J11" s="50">
        <f t="shared" si="1"/>
        <v>6.330000000000001</v>
      </c>
      <c r="K11" s="10">
        <v>0</v>
      </c>
      <c r="L11" s="50">
        <f t="shared" si="2"/>
        <v>0</v>
      </c>
      <c r="M11" s="52">
        <v>81</v>
      </c>
      <c r="N11" s="59">
        <f t="shared" si="3"/>
        <v>0</v>
      </c>
      <c r="O11" s="17">
        <f t="shared" si="4"/>
        <v>0</v>
      </c>
      <c r="P11" s="53">
        <f t="shared" si="5"/>
        <v>81</v>
      </c>
      <c r="Q11" s="11"/>
      <c r="R11" s="11"/>
      <c r="S11" s="26"/>
      <c r="T11" s="74" t="s">
        <v>79</v>
      </c>
      <c r="U11" s="75">
        <v>3</v>
      </c>
    </row>
    <row r="12" spans="1:21" s="29" customFormat="1" ht="18.75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202</v>
      </c>
      <c r="H12" s="70" t="s">
        <v>15</v>
      </c>
      <c r="I12" s="53">
        <f t="shared" si="0"/>
        <v>10.5</v>
      </c>
      <c r="J12" s="50">
        <f t="shared" si="1"/>
        <v>6.06</v>
      </c>
      <c r="K12" s="10">
        <v>0</v>
      </c>
      <c r="L12" s="50">
        <f t="shared" si="2"/>
        <v>16.559999999999999</v>
      </c>
      <c r="M12" s="52">
        <v>80</v>
      </c>
      <c r="N12" s="59">
        <f t="shared" si="3"/>
        <v>96.56</v>
      </c>
      <c r="O12" s="17">
        <f t="shared" si="4"/>
        <v>22</v>
      </c>
      <c r="P12" s="53">
        <f t="shared" si="5"/>
        <v>74.56</v>
      </c>
      <c r="Q12" s="11"/>
      <c r="R12" s="11"/>
      <c r="S12" s="26"/>
      <c r="T12" s="74" t="s">
        <v>80</v>
      </c>
      <c r="U12" s="74">
        <v>1.5</v>
      </c>
    </row>
    <row r="13" spans="1:21" s="29" customFormat="1" ht="18.75">
      <c r="A13" s="9">
        <v>0</v>
      </c>
      <c r="B13" s="9">
        <v>9</v>
      </c>
      <c r="C13" s="8"/>
      <c r="D13" s="45" t="s">
        <v>41</v>
      </c>
      <c r="E13" s="36"/>
      <c r="F13" s="10">
        <v>3</v>
      </c>
      <c r="G13" s="10">
        <v>201</v>
      </c>
      <c r="H13" s="71" t="s">
        <v>21</v>
      </c>
      <c r="I13" s="53">
        <f t="shared" si="0"/>
        <v>10.5</v>
      </c>
      <c r="J13" s="50">
        <f t="shared" si="1"/>
        <v>6.0299999999999985</v>
      </c>
      <c r="K13" s="10">
        <v>0</v>
      </c>
      <c r="L13" s="50">
        <f t="shared" si="2"/>
        <v>16.529999999999998</v>
      </c>
      <c r="M13" s="52">
        <v>77</v>
      </c>
      <c r="N13" s="59">
        <f t="shared" si="3"/>
        <v>93.53</v>
      </c>
      <c r="O13" s="17">
        <f t="shared" si="4"/>
        <v>13</v>
      </c>
      <c r="P13" s="53">
        <f t="shared" si="5"/>
        <v>80.53</v>
      </c>
      <c r="Q13" s="11"/>
      <c r="R13" s="11"/>
      <c r="S13" s="25"/>
      <c r="T13" s="76" t="s">
        <v>24</v>
      </c>
      <c r="U13" s="2">
        <v>1</v>
      </c>
    </row>
    <row r="14" spans="1:21" s="29" customFormat="1" ht="18.75">
      <c r="A14" s="9">
        <v>0</v>
      </c>
      <c r="B14" s="9">
        <v>10</v>
      </c>
      <c r="C14" s="8"/>
      <c r="D14" s="45" t="s">
        <v>42</v>
      </c>
      <c r="E14" s="33"/>
      <c r="F14" s="10">
        <v>3</v>
      </c>
      <c r="G14" s="10">
        <v>196</v>
      </c>
      <c r="H14" s="70" t="s">
        <v>15</v>
      </c>
      <c r="I14" s="53">
        <f t="shared" si="0"/>
        <v>10.5</v>
      </c>
      <c r="J14" s="50">
        <f t="shared" si="1"/>
        <v>5.88</v>
      </c>
      <c r="K14" s="10">
        <v>0</v>
      </c>
      <c r="L14" s="50">
        <f t="shared" si="2"/>
        <v>16.38</v>
      </c>
      <c r="M14" s="52">
        <v>79</v>
      </c>
      <c r="N14" s="59">
        <f t="shared" si="3"/>
        <v>95.38</v>
      </c>
      <c r="O14" s="17">
        <f t="shared" si="4"/>
        <v>22</v>
      </c>
      <c r="P14" s="53">
        <f t="shared" si="5"/>
        <v>73.38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.75">
      <c r="A15" s="9">
        <v>0</v>
      </c>
      <c r="B15" s="9">
        <v>11</v>
      </c>
      <c r="C15" s="8"/>
      <c r="D15" s="45" t="s">
        <v>43</v>
      </c>
      <c r="E15" s="32"/>
      <c r="F15" s="10">
        <v>2</v>
      </c>
      <c r="G15" s="10">
        <v>195</v>
      </c>
      <c r="H15" s="69" t="s">
        <v>22</v>
      </c>
      <c r="I15" s="53">
        <f t="shared" si="0"/>
        <v>6</v>
      </c>
      <c r="J15" s="50">
        <f t="shared" si="1"/>
        <v>3.9</v>
      </c>
      <c r="K15" s="10">
        <v>0</v>
      </c>
      <c r="L15" s="50">
        <f t="shared" si="2"/>
        <v>9.9</v>
      </c>
      <c r="M15" s="52">
        <v>77</v>
      </c>
      <c r="N15" s="59">
        <f t="shared" si="3"/>
        <v>86.9</v>
      </c>
      <c r="O15" s="17">
        <f t="shared" si="4"/>
        <v>10</v>
      </c>
      <c r="P15" s="53">
        <f t="shared" si="5"/>
        <v>76.900000000000006</v>
      </c>
      <c r="Q15" s="4"/>
      <c r="R15" s="4"/>
      <c r="S15" s="4"/>
      <c r="T15" s="2" t="s">
        <v>25</v>
      </c>
      <c r="U15" s="2">
        <v>2022</v>
      </c>
    </row>
    <row r="16" spans="1:21" s="29" customFormat="1" ht="18.75">
      <c r="A16" s="9">
        <v>0</v>
      </c>
      <c r="B16" s="9">
        <v>12</v>
      </c>
      <c r="C16" s="8"/>
      <c r="D16" s="45" t="s">
        <v>44</v>
      </c>
      <c r="E16" s="32"/>
      <c r="F16" s="10">
        <v>3</v>
      </c>
      <c r="G16" s="10">
        <v>189</v>
      </c>
      <c r="H16" s="71" t="s">
        <v>21</v>
      </c>
      <c r="I16" s="53">
        <f t="shared" si="0"/>
        <v>10.5</v>
      </c>
      <c r="J16" s="50">
        <f t="shared" si="1"/>
        <v>5.669999999999999</v>
      </c>
      <c r="K16" s="10">
        <v>0</v>
      </c>
      <c r="L16" s="50">
        <f t="shared" si="2"/>
        <v>16.169999999999998</v>
      </c>
      <c r="M16" s="52">
        <v>77</v>
      </c>
      <c r="N16" s="59">
        <f t="shared" si="3"/>
        <v>93.17</v>
      </c>
      <c r="O16" s="17">
        <f t="shared" si="4"/>
        <v>13</v>
      </c>
      <c r="P16" s="53">
        <f t="shared" si="5"/>
        <v>80.17</v>
      </c>
      <c r="Q16" s="4"/>
      <c r="R16" s="4"/>
      <c r="S16" s="4"/>
      <c r="T16" s="2" t="s">
        <v>26</v>
      </c>
      <c r="U16" s="2">
        <v>3</v>
      </c>
    </row>
    <row r="17" spans="1:21" s="29" customFormat="1" ht="18.75">
      <c r="A17" s="9">
        <v>0</v>
      </c>
      <c r="B17" s="9">
        <v>13</v>
      </c>
      <c r="C17" s="8"/>
      <c r="D17" s="45" t="s">
        <v>45</v>
      </c>
      <c r="E17" s="35"/>
      <c r="F17" s="10">
        <v>2</v>
      </c>
      <c r="G17" s="10">
        <v>186</v>
      </c>
      <c r="H17" s="69" t="s">
        <v>22</v>
      </c>
      <c r="I17" s="53">
        <f t="shared" si="0"/>
        <v>6</v>
      </c>
      <c r="J17" s="50">
        <f t="shared" si="1"/>
        <v>3.72</v>
      </c>
      <c r="K17" s="10">
        <v>0</v>
      </c>
      <c r="L17" s="50">
        <f t="shared" si="2"/>
        <v>9.7200000000000006</v>
      </c>
      <c r="M17" s="52">
        <v>81</v>
      </c>
      <c r="N17" s="59">
        <f t="shared" si="3"/>
        <v>90.72</v>
      </c>
      <c r="O17" s="17">
        <f t="shared" si="4"/>
        <v>10</v>
      </c>
      <c r="P17" s="53">
        <f t="shared" si="5"/>
        <v>80.72</v>
      </c>
      <c r="Q17" s="4"/>
      <c r="R17" s="4"/>
      <c r="S17" s="4"/>
      <c r="T17" s="2" t="s">
        <v>27</v>
      </c>
      <c r="U17" s="2">
        <v>12</v>
      </c>
    </row>
    <row r="18" spans="1:21" s="29" customFormat="1" ht="18.75">
      <c r="A18" s="9">
        <v>0</v>
      </c>
      <c r="B18" s="9">
        <v>14</v>
      </c>
      <c r="C18" s="8"/>
      <c r="D18" s="45" t="s">
        <v>46</v>
      </c>
      <c r="E18" s="32"/>
      <c r="F18" s="10">
        <v>3</v>
      </c>
      <c r="G18" s="10">
        <v>187</v>
      </c>
      <c r="H18" s="70" t="s">
        <v>15</v>
      </c>
      <c r="I18" s="53">
        <f t="shared" si="0"/>
        <v>10.5</v>
      </c>
      <c r="J18" s="50">
        <f t="shared" si="1"/>
        <v>5.6099999999999994</v>
      </c>
      <c r="K18" s="10">
        <v>0</v>
      </c>
      <c r="L18" s="50">
        <f t="shared" si="2"/>
        <v>16.11</v>
      </c>
      <c r="M18" s="52">
        <v>80</v>
      </c>
      <c r="N18" s="59">
        <f t="shared" si="3"/>
        <v>96.11</v>
      </c>
      <c r="O18" s="17">
        <f t="shared" si="4"/>
        <v>22</v>
      </c>
      <c r="P18" s="53">
        <f t="shared" si="5"/>
        <v>74.11</v>
      </c>
      <c r="Q18" s="4"/>
      <c r="R18" s="4"/>
      <c r="S18" s="4"/>
      <c r="T18" s="37"/>
    </row>
    <row r="19" spans="1:21" s="29" customFormat="1" ht="18.75">
      <c r="A19" s="9">
        <v>0</v>
      </c>
      <c r="B19" s="9">
        <v>15</v>
      </c>
      <c r="C19" s="8"/>
      <c r="D19" s="45" t="s">
        <v>47</v>
      </c>
      <c r="E19" s="32"/>
      <c r="F19" s="10">
        <v>3</v>
      </c>
      <c r="G19" s="10">
        <v>185</v>
      </c>
      <c r="H19" s="71" t="s">
        <v>21</v>
      </c>
      <c r="I19" s="53">
        <f t="shared" si="0"/>
        <v>10.5</v>
      </c>
      <c r="J19" s="50">
        <f t="shared" si="1"/>
        <v>5.55</v>
      </c>
      <c r="K19" s="10">
        <v>0</v>
      </c>
      <c r="L19" s="50">
        <f t="shared" si="2"/>
        <v>16.05</v>
      </c>
      <c r="M19" s="52">
        <v>77</v>
      </c>
      <c r="N19" s="59">
        <f t="shared" si="3"/>
        <v>93.05</v>
      </c>
      <c r="O19" s="17">
        <f t="shared" si="4"/>
        <v>13</v>
      </c>
      <c r="P19" s="53">
        <f t="shared" si="5"/>
        <v>80.05</v>
      </c>
      <c r="Q19" s="4"/>
      <c r="R19" s="4"/>
      <c r="S19" s="4"/>
      <c r="T19" s="1"/>
      <c r="U19" s="1"/>
    </row>
    <row r="20" spans="1:21" s="29" customFormat="1" ht="18.75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180</v>
      </c>
      <c r="H20" s="70" t="s">
        <v>15</v>
      </c>
      <c r="I20" s="53">
        <f t="shared" si="0"/>
        <v>10.5</v>
      </c>
      <c r="J20" s="50">
        <f t="shared" si="1"/>
        <v>5.3999999999999995</v>
      </c>
      <c r="K20" s="10">
        <v>0</v>
      </c>
      <c r="L20" s="50">
        <f t="shared" si="2"/>
        <v>15.899999999999999</v>
      </c>
      <c r="M20" s="52">
        <v>80</v>
      </c>
      <c r="N20" s="59">
        <f t="shared" si="3"/>
        <v>95.9</v>
      </c>
      <c r="O20" s="17">
        <f t="shared" si="4"/>
        <v>22</v>
      </c>
      <c r="P20" s="53">
        <f t="shared" si="5"/>
        <v>73.900000000000006</v>
      </c>
      <c r="Q20" s="4"/>
      <c r="R20" s="4"/>
      <c r="S20" s="4"/>
      <c r="T20" s="1"/>
      <c r="U20" s="1"/>
    </row>
    <row r="21" spans="1:21" s="29" customFormat="1" ht="18.75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177</v>
      </c>
      <c r="H21" s="71" t="s">
        <v>21</v>
      </c>
      <c r="I21" s="53">
        <f t="shared" si="0"/>
        <v>10.5</v>
      </c>
      <c r="J21" s="50">
        <f t="shared" si="1"/>
        <v>5.31</v>
      </c>
      <c r="K21" s="10">
        <v>0</v>
      </c>
      <c r="L21" s="50">
        <f t="shared" si="2"/>
        <v>15.809999999999999</v>
      </c>
      <c r="M21" s="52">
        <v>77</v>
      </c>
      <c r="N21" s="59">
        <f t="shared" si="3"/>
        <v>92.81</v>
      </c>
      <c r="O21" s="17">
        <f t="shared" si="4"/>
        <v>13</v>
      </c>
      <c r="P21" s="53">
        <f t="shared" si="5"/>
        <v>79.81</v>
      </c>
      <c r="Q21" s="4"/>
      <c r="R21" s="4"/>
      <c r="S21" s="4"/>
      <c r="T21" s="1"/>
      <c r="U21" s="1"/>
    </row>
    <row r="22" spans="1:21" s="29" customFormat="1" ht="18.75">
      <c r="A22" s="9">
        <v>0</v>
      </c>
      <c r="B22" s="9">
        <v>18</v>
      </c>
      <c r="C22" s="8"/>
      <c r="D22" s="45" t="s">
        <v>50</v>
      </c>
      <c r="E22" s="32"/>
      <c r="F22" s="10">
        <v>1</v>
      </c>
      <c r="G22" s="10">
        <v>177</v>
      </c>
      <c r="H22" s="69" t="s">
        <v>22</v>
      </c>
      <c r="I22" s="53">
        <f t="shared" si="0"/>
        <v>3</v>
      </c>
      <c r="J22" s="50">
        <f t="shared" si="1"/>
        <v>1.7699999999999998</v>
      </c>
      <c r="K22" s="10">
        <v>0</v>
      </c>
      <c r="L22" s="50">
        <f t="shared" si="2"/>
        <v>4.7699999999999996</v>
      </c>
      <c r="M22" s="52">
        <v>71</v>
      </c>
      <c r="N22" s="59">
        <f t="shared" si="3"/>
        <v>75.77</v>
      </c>
      <c r="O22" s="17">
        <f t="shared" si="4"/>
        <v>10</v>
      </c>
      <c r="P22" s="53">
        <f t="shared" si="5"/>
        <v>65.77</v>
      </c>
      <c r="Q22" s="4"/>
      <c r="R22" s="4"/>
      <c r="S22" s="4"/>
      <c r="T22" s="1"/>
      <c r="U22" s="1"/>
    </row>
    <row r="23" spans="1:21" s="29" customFormat="1" ht="18.75">
      <c r="A23" s="9">
        <v>0</v>
      </c>
      <c r="B23" s="9">
        <v>19</v>
      </c>
      <c r="C23" s="8"/>
      <c r="D23" s="45" t="s">
        <v>51</v>
      </c>
      <c r="E23" s="34"/>
      <c r="F23" s="10">
        <v>2</v>
      </c>
      <c r="G23" s="10">
        <v>172</v>
      </c>
      <c r="H23" s="69" t="s">
        <v>22</v>
      </c>
      <c r="I23" s="53">
        <f t="shared" si="0"/>
        <v>6</v>
      </c>
      <c r="J23" s="50">
        <f t="shared" si="1"/>
        <v>3.44</v>
      </c>
      <c r="K23" s="10">
        <v>0</v>
      </c>
      <c r="L23" s="50">
        <f t="shared" si="2"/>
        <v>9.44</v>
      </c>
      <c r="M23" s="52">
        <v>75</v>
      </c>
      <c r="N23" s="59">
        <f t="shared" si="3"/>
        <v>84.44</v>
      </c>
      <c r="O23" s="17">
        <f t="shared" si="4"/>
        <v>10</v>
      </c>
      <c r="P23" s="53">
        <f t="shared" si="5"/>
        <v>74.44</v>
      </c>
      <c r="Q23" s="4"/>
      <c r="R23" s="4"/>
      <c r="S23" s="4"/>
      <c r="T23" s="1"/>
      <c r="U23" s="1"/>
    </row>
    <row r="24" spans="1:21" s="29" customFormat="1" ht="18.75">
      <c r="A24" s="9">
        <v>0</v>
      </c>
      <c r="B24" s="9">
        <v>20</v>
      </c>
      <c r="C24" s="8"/>
      <c r="D24" s="45" t="s">
        <v>52</v>
      </c>
      <c r="E24" s="34"/>
      <c r="F24" s="10">
        <v>3</v>
      </c>
      <c r="G24" s="10">
        <v>171</v>
      </c>
      <c r="H24" s="69" t="s">
        <v>22</v>
      </c>
      <c r="I24" s="53">
        <f t="shared" si="0"/>
        <v>10.5</v>
      </c>
      <c r="J24" s="50">
        <f t="shared" si="1"/>
        <v>5.13</v>
      </c>
      <c r="K24" s="10">
        <v>0</v>
      </c>
      <c r="L24" s="50">
        <f t="shared" si="2"/>
        <v>15.629999999999999</v>
      </c>
      <c r="M24" s="52">
        <v>77</v>
      </c>
      <c r="N24" s="59">
        <f t="shared" si="3"/>
        <v>92.63</v>
      </c>
      <c r="O24" s="17">
        <f t="shared" si="4"/>
        <v>10</v>
      </c>
      <c r="P24" s="53">
        <f t="shared" si="5"/>
        <v>82.63</v>
      </c>
      <c r="Q24" s="4"/>
      <c r="R24" s="4"/>
      <c r="S24" s="4"/>
      <c r="T24" s="1"/>
      <c r="U24" s="1"/>
    </row>
    <row r="25" spans="1:21" s="29" customFormat="1" ht="18.75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166</v>
      </c>
      <c r="H25" s="70" t="s">
        <v>15</v>
      </c>
      <c r="I25" s="53">
        <f t="shared" si="0"/>
        <v>10.5</v>
      </c>
      <c r="J25" s="50">
        <f t="shared" si="1"/>
        <v>4.9799999999999995</v>
      </c>
      <c r="K25" s="10">
        <v>0</v>
      </c>
      <c r="L25" s="50">
        <f t="shared" si="2"/>
        <v>15.48</v>
      </c>
      <c r="M25" s="52">
        <v>80</v>
      </c>
      <c r="N25" s="59">
        <f t="shared" si="3"/>
        <v>95.48</v>
      </c>
      <c r="O25" s="17">
        <f t="shared" si="4"/>
        <v>22</v>
      </c>
      <c r="P25" s="53">
        <f t="shared" si="5"/>
        <v>73.48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3</v>
      </c>
      <c r="G26" s="10">
        <v>163</v>
      </c>
      <c r="H26" s="69" t="s">
        <v>22</v>
      </c>
      <c r="I26" s="53">
        <f t="shared" si="0"/>
        <v>10.5</v>
      </c>
      <c r="J26" s="50">
        <f t="shared" si="1"/>
        <v>4.8899999999999997</v>
      </c>
      <c r="K26" s="10">
        <v>0</v>
      </c>
      <c r="L26" s="50">
        <f t="shared" si="2"/>
        <v>15.39</v>
      </c>
      <c r="M26" s="52">
        <v>76</v>
      </c>
      <c r="N26" s="59">
        <f t="shared" si="3"/>
        <v>91.39</v>
      </c>
      <c r="O26" s="17">
        <f t="shared" si="4"/>
        <v>10</v>
      </c>
      <c r="P26" s="53">
        <f t="shared" si="5"/>
        <v>81.39</v>
      </c>
      <c r="Q26" s="4"/>
      <c r="R26" s="4"/>
      <c r="S26" s="4"/>
      <c r="T26" s="1"/>
      <c r="U26" s="1"/>
    </row>
    <row r="27" spans="1:21" s="29" customFormat="1" ht="18.75">
      <c r="A27" s="9">
        <v>0</v>
      </c>
      <c r="B27" s="9">
        <v>23</v>
      </c>
      <c r="C27" s="8"/>
      <c r="D27" s="45" t="s">
        <v>55</v>
      </c>
      <c r="E27" s="34"/>
      <c r="F27" s="10">
        <v>1</v>
      </c>
      <c r="G27" s="10">
        <v>157</v>
      </c>
      <c r="H27" s="69" t="s">
        <v>22</v>
      </c>
      <c r="I27" s="53">
        <f t="shared" si="0"/>
        <v>3</v>
      </c>
      <c r="J27" s="50">
        <f t="shared" si="1"/>
        <v>1.57</v>
      </c>
      <c r="K27" s="10">
        <v>0</v>
      </c>
      <c r="L27" s="50">
        <f t="shared" si="2"/>
        <v>4.57</v>
      </c>
      <c r="M27" s="52">
        <v>32</v>
      </c>
      <c r="N27" s="59">
        <f t="shared" si="3"/>
        <v>36.57</v>
      </c>
      <c r="O27" s="52">
        <f t="shared" si="4"/>
        <v>10</v>
      </c>
      <c r="P27" s="53">
        <f t="shared" si="5"/>
        <v>26.57</v>
      </c>
      <c r="Q27" s="4"/>
      <c r="R27" s="4"/>
      <c r="S27" s="4"/>
      <c r="T27" s="1"/>
      <c r="U27" s="1"/>
    </row>
    <row r="28" spans="1:21" s="29" customFormat="1" ht="18.75">
      <c r="A28" s="9">
        <v>0</v>
      </c>
      <c r="B28" s="9">
        <v>24</v>
      </c>
      <c r="C28" s="8"/>
      <c r="D28" s="45" t="s">
        <v>56</v>
      </c>
      <c r="E28" s="34"/>
      <c r="F28" s="10">
        <v>3</v>
      </c>
      <c r="G28" s="10">
        <v>156</v>
      </c>
      <c r="H28" s="70" t="s">
        <v>15</v>
      </c>
      <c r="I28" s="53">
        <f t="shared" si="0"/>
        <v>10.5</v>
      </c>
      <c r="J28" s="50">
        <f t="shared" si="1"/>
        <v>4.68</v>
      </c>
      <c r="K28" s="10">
        <v>0</v>
      </c>
      <c r="L28" s="50">
        <f t="shared" si="2"/>
        <v>15.18</v>
      </c>
      <c r="M28" s="52">
        <v>80</v>
      </c>
      <c r="N28" s="59">
        <f t="shared" si="3"/>
        <v>95.18</v>
      </c>
      <c r="O28" s="17">
        <f t="shared" si="4"/>
        <v>22</v>
      </c>
      <c r="P28" s="53">
        <f t="shared" si="5"/>
        <v>73.180000000000007</v>
      </c>
      <c r="Q28" s="4"/>
      <c r="R28" s="4"/>
      <c r="S28" s="4"/>
      <c r="T28" s="1"/>
      <c r="U28" s="1"/>
    </row>
    <row r="29" spans="1:21" s="29" customFormat="1" ht="18.75">
      <c r="A29" s="9">
        <v>0</v>
      </c>
      <c r="B29" s="9">
        <v>25</v>
      </c>
      <c r="C29" s="8"/>
      <c r="D29" s="45" t="s">
        <v>57</v>
      </c>
      <c r="E29" s="34"/>
      <c r="F29" s="10">
        <v>3</v>
      </c>
      <c r="G29" s="10">
        <v>156</v>
      </c>
      <c r="H29" s="70" t="s">
        <v>15</v>
      </c>
      <c r="I29" s="53">
        <f t="shared" si="0"/>
        <v>10.5</v>
      </c>
      <c r="J29" s="50">
        <f t="shared" si="1"/>
        <v>4.68</v>
      </c>
      <c r="K29" s="10">
        <v>0</v>
      </c>
      <c r="L29" s="50">
        <f t="shared" si="2"/>
        <v>15.18</v>
      </c>
      <c r="M29" s="52">
        <v>80</v>
      </c>
      <c r="N29" s="59">
        <f t="shared" si="3"/>
        <v>95.18</v>
      </c>
      <c r="O29" s="17">
        <f t="shared" si="4"/>
        <v>22</v>
      </c>
      <c r="P29" s="53">
        <f t="shared" si="5"/>
        <v>73.180000000000007</v>
      </c>
      <c r="Q29" s="4"/>
      <c r="R29" s="4"/>
      <c r="S29" s="4"/>
      <c r="T29" s="1"/>
      <c r="U29" s="1"/>
    </row>
    <row r="30" spans="1:21" s="29" customFormat="1" ht="18.75">
      <c r="A30" s="9">
        <v>0</v>
      </c>
      <c r="B30" s="9">
        <v>26</v>
      </c>
      <c r="C30" s="8"/>
      <c r="D30" s="45" t="s">
        <v>58</v>
      </c>
      <c r="E30" s="34"/>
      <c r="F30" s="10">
        <v>1</v>
      </c>
      <c r="G30" s="10">
        <v>146</v>
      </c>
      <c r="H30" s="69" t="s">
        <v>22</v>
      </c>
      <c r="I30" s="53">
        <f t="shared" si="0"/>
        <v>3</v>
      </c>
      <c r="J30" s="50">
        <f t="shared" si="1"/>
        <v>1.46</v>
      </c>
      <c r="K30" s="10">
        <v>0</v>
      </c>
      <c r="L30" s="50">
        <f t="shared" si="2"/>
        <v>4.46</v>
      </c>
      <c r="M30" s="52">
        <v>74</v>
      </c>
      <c r="N30" s="59">
        <f t="shared" si="3"/>
        <v>78.459999999999994</v>
      </c>
      <c r="O30" s="17">
        <f t="shared" si="4"/>
        <v>10</v>
      </c>
      <c r="P30" s="53">
        <f t="shared" si="5"/>
        <v>68.459999999999994</v>
      </c>
      <c r="Q30" s="4"/>
      <c r="R30" s="4"/>
      <c r="S30" s="4"/>
      <c r="T30" s="1"/>
      <c r="U30" s="1"/>
    </row>
    <row r="31" spans="1:21" s="29" customFormat="1" ht="18.75">
      <c r="A31" s="9">
        <v>0</v>
      </c>
      <c r="B31" s="9">
        <v>27</v>
      </c>
      <c r="C31" s="8"/>
      <c r="D31" s="47" t="s">
        <v>59</v>
      </c>
      <c r="E31" s="34"/>
      <c r="F31" s="10">
        <v>3</v>
      </c>
      <c r="G31" s="10">
        <v>147</v>
      </c>
      <c r="H31" s="71" t="s">
        <v>21</v>
      </c>
      <c r="I31" s="53">
        <f t="shared" si="0"/>
        <v>10.5</v>
      </c>
      <c r="J31" s="50">
        <f t="shared" si="1"/>
        <v>4.41</v>
      </c>
      <c r="K31" s="10">
        <v>0</v>
      </c>
      <c r="L31" s="50">
        <f t="shared" si="2"/>
        <v>14.91</v>
      </c>
      <c r="M31" s="52">
        <v>79</v>
      </c>
      <c r="N31" s="59">
        <f t="shared" si="3"/>
        <v>93.91</v>
      </c>
      <c r="O31" s="17">
        <f t="shared" si="4"/>
        <v>13</v>
      </c>
      <c r="P31" s="53">
        <f t="shared" si="5"/>
        <v>80.91</v>
      </c>
      <c r="Q31" s="4"/>
      <c r="R31" s="4"/>
      <c r="S31" s="4"/>
      <c r="T31" s="1"/>
      <c r="U31" s="1"/>
    </row>
    <row r="32" spans="1:21" s="29" customFormat="1" ht="18.75">
      <c r="A32" s="9">
        <v>0</v>
      </c>
      <c r="B32" s="9">
        <v>28</v>
      </c>
      <c r="C32" s="8"/>
      <c r="D32" s="49" t="s">
        <v>60</v>
      </c>
      <c r="E32" s="34"/>
      <c r="F32" s="10">
        <v>2</v>
      </c>
      <c r="G32" s="10">
        <v>142</v>
      </c>
      <c r="H32" s="69" t="s">
        <v>22</v>
      </c>
      <c r="I32" s="53">
        <f t="shared" ref="I32:I38" si="6">F32*3+IF(F32&gt;2,(F32-2)*2,0)</f>
        <v>6</v>
      </c>
      <c r="J32" s="50">
        <f t="shared" si="1"/>
        <v>2.84</v>
      </c>
      <c r="K32" s="10">
        <v>0</v>
      </c>
      <c r="L32" s="50">
        <f t="shared" ref="L32:L38" si="7">SUM(J32+I32+K32)</f>
        <v>8.84</v>
      </c>
      <c r="M32" s="52">
        <v>76</v>
      </c>
      <c r="N32" s="59">
        <f t="shared" si="3"/>
        <v>84.84</v>
      </c>
      <c r="O32" s="52">
        <f t="shared" ref="O32:O38" si="8">VLOOKUP(H32,$T$3:$U$10,2,FALSE)</f>
        <v>10</v>
      </c>
      <c r="P32" s="53">
        <f t="shared" ref="P32:P38" si="9">N32-O32</f>
        <v>74.84</v>
      </c>
      <c r="Q32" s="4"/>
      <c r="R32" s="4"/>
      <c r="S32" s="4"/>
      <c r="T32" s="1"/>
      <c r="U32" s="1"/>
    </row>
    <row r="33" spans="1:21" s="29" customFormat="1" ht="18.75">
      <c r="A33" s="9">
        <v>0</v>
      </c>
      <c r="B33" s="9">
        <v>29</v>
      </c>
      <c r="C33" s="8"/>
      <c r="D33" s="60" t="s">
        <v>61</v>
      </c>
      <c r="E33" s="34"/>
      <c r="F33" s="10">
        <v>0</v>
      </c>
      <c r="G33" s="10">
        <v>144</v>
      </c>
      <c r="H33" s="83" t="s">
        <v>23</v>
      </c>
      <c r="I33" s="53">
        <f t="shared" si="6"/>
        <v>0</v>
      </c>
      <c r="J33" s="50">
        <f t="shared" si="1"/>
        <v>0</v>
      </c>
      <c r="K33" s="10">
        <v>0</v>
      </c>
      <c r="L33" s="50">
        <f t="shared" si="7"/>
        <v>0</v>
      </c>
      <c r="M33" s="52">
        <v>54</v>
      </c>
      <c r="N33" s="59">
        <f t="shared" si="3"/>
        <v>54</v>
      </c>
      <c r="O33" s="52">
        <f t="shared" si="8"/>
        <v>0</v>
      </c>
      <c r="P33" s="53">
        <f t="shared" si="9"/>
        <v>54</v>
      </c>
      <c r="Q33" s="4"/>
      <c r="R33" s="4"/>
      <c r="S33" s="4"/>
      <c r="T33" s="1"/>
      <c r="U33" s="1"/>
    </row>
    <row r="34" spans="1:21" s="29" customFormat="1" ht="18.75">
      <c r="A34" s="9">
        <v>0</v>
      </c>
      <c r="B34" s="9">
        <v>30</v>
      </c>
      <c r="C34" s="8"/>
      <c r="D34" s="48" t="s">
        <v>62</v>
      </c>
      <c r="E34" s="34"/>
      <c r="F34" s="10">
        <v>2</v>
      </c>
      <c r="G34" s="10">
        <v>129</v>
      </c>
      <c r="H34" s="69" t="s">
        <v>22</v>
      </c>
      <c r="I34" s="53">
        <f t="shared" si="6"/>
        <v>6</v>
      </c>
      <c r="J34" s="50">
        <f t="shared" si="1"/>
        <v>2.5799999999999996</v>
      </c>
      <c r="K34" s="10">
        <v>0</v>
      </c>
      <c r="L34" s="50">
        <f t="shared" si="7"/>
        <v>8.58</v>
      </c>
      <c r="M34" s="52">
        <v>80</v>
      </c>
      <c r="N34" s="59">
        <f t="shared" si="3"/>
        <v>88.58</v>
      </c>
      <c r="O34" s="52">
        <f t="shared" si="8"/>
        <v>10</v>
      </c>
      <c r="P34" s="53">
        <f t="shared" si="9"/>
        <v>78.58</v>
      </c>
      <c r="Q34" s="4"/>
      <c r="R34" s="4"/>
      <c r="S34" s="4"/>
      <c r="T34" s="1"/>
      <c r="U34" s="1"/>
    </row>
    <row r="35" spans="1:21" s="29" customFormat="1" ht="18.75">
      <c r="A35" s="9">
        <v>0</v>
      </c>
      <c r="B35" s="9">
        <v>31</v>
      </c>
      <c r="C35" s="8"/>
      <c r="D35" s="45" t="s">
        <v>63</v>
      </c>
      <c r="E35" s="34"/>
      <c r="F35" s="10">
        <v>2</v>
      </c>
      <c r="G35" s="10">
        <v>127</v>
      </c>
      <c r="H35" s="69" t="s">
        <v>22</v>
      </c>
      <c r="I35" s="53">
        <f t="shared" si="6"/>
        <v>6</v>
      </c>
      <c r="J35" s="50">
        <f t="shared" si="1"/>
        <v>2.54</v>
      </c>
      <c r="K35" s="10">
        <v>0</v>
      </c>
      <c r="L35" s="50">
        <f t="shared" si="7"/>
        <v>8.5399999999999991</v>
      </c>
      <c r="M35" s="52">
        <v>69</v>
      </c>
      <c r="N35" s="59">
        <f t="shared" si="3"/>
        <v>77.539999999999992</v>
      </c>
      <c r="O35" s="52">
        <f t="shared" si="8"/>
        <v>10</v>
      </c>
      <c r="P35" s="53">
        <f t="shared" si="9"/>
        <v>67.539999999999992</v>
      </c>
      <c r="Q35" s="4"/>
      <c r="R35" s="4"/>
      <c r="S35" s="4"/>
      <c r="T35" s="1"/>
      <c r="U35" s="1"/>
    </row>
    <row r="36" spans="1:21" s="29" customFormat="1" ht="18.75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125</v>
      </c>
      <c r="H36" s="31" t="s">
        <v>23</v>
      </c>
      <c r="I36" s="53">
        <f t="shared" si="6"/>
        <v>0</v>
      </c>
      <c r="J36" s="50">
        <f t="shared" si="1"/>
        <v>0</v>
      </c>
      <c r="K36" s="10">
        <v>0</v>
      </c>
      <c r="L36" s="50">
        <f t="shared" si="7"/>
        <v>0</v>
      </c>
      <c r="M36" s="52">
        <v>22</v>
      </c>
      <c r="N36" s="59">
        <f t="shared" si="3"/>
        <v>22</v>
      </c>
      <c r="O36" s="52">
        <f t="shared" si="8"/>
        <v>0</v>
      </c>
      <c r="P36" s="53">
        <f t="shared" si="9"/>
        <v>22</v>
      </c>
      <c r="Q36" s="4"/>
      <c r="R36" s="4"/>
      <c r="S36" s="4"/>
      <c r="T36" s="1"/>
      <c r="U36" s="1"/>
    </row>
    <row r="37" spans="1:21" s="29" customFormat="1" ht="18.75">
      <c r="A37" s="9">
        <v>0</v>
      </c>
      <c r="B37" s="9">
        <v>33</v>
      </c>
      <c r="C37" s="8"/>
      <c r="D37" s="45" t="s">
        <v>65</v>
      </c>
      <c r="E37" s="32"/>
      <c r="F37" s="10">
        <v>1</v>
      </c>
      <c r="G37" s="10">
        <v>124</v>
      </c>
      <c r="H37" s="69" t="s">
        <v>22</v>
      </c>
      <c r="I37" s="53">
        <f t="shared" si="6"/>
        <v>3</v>
      </c>
      <c r="J37" s="50">
        <f t="shared" si="1"/>
        <v>1.24</v>
      </c>
      <c r="K37" s="10">
        <v>0</v>
      </c>
      <c r="L37" s="50">
        <f t="shared" si="7"/>
        <v>4.24</v>
      </c>
      <c r="M37" s="52">
        <v>72</v>
      </c>
      <c r="N37" s="59">
        <f t="shared" si="3"/>
        <v>76.239999999999995</v>
      </c>
      <c r="O37" s="52">
        <f t="shared" si="8"/>
        <v>10</v>
      </c>
      <c r="P37" s="53">
        <f t="shared" si="9"/>
        <v>66.239999999999995</v>
      </c>
      <c r="Q37" s="4"/>
      <c r="R37" s="4"/>
      <c r="S37" s="4"/>
      <c r="T37" s="1"/>
      <c r="U37" s="1"/>
    </row>
    <row r="38" spans="1:21" s="29" customFormat="1" ht="18.75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100</v>
      </c>
      <c r="H38" s="24" t="s">
        <v>21</v>
      </c>
      <c r="I38" s="53">
        <f t="shared" si="6"/>
        <v>11</v>
      </c>
      <c r="J38" s="50">
        <f t="shared" si="1"/>
        <v>3</v>
      </c>
      <c r="K38" s="10">
        <v>0</v>
      </c>
      <c r="L38" s="50">
        <f t="shared" si="7"/>
        <v>14</v>
      </c>
      <c r="M38" s="52">
        <v>79</v>
      </c>
      <c r="N38" s="59">
        <f t="shared" si="3"/>
        <v>93</v>
      </c>
      <c r="O38" s="52">
        <f t="shared" si="8"/>
        <v>13</v>
      </c>
      <c r="P38" s="53">
        <f t="shared" si="9"/>
        <v>80</v>
      </c>
      <c r="Q38" s="4"/>
      <c r="R38" s="4"/>
      <c r="S38" s="4"/>
      <c r="T38" s="1"/>
      <c r="U38" s="1"/>
    </row>
    <row r="39" spans="1:21" s="68" customFormat="1" ht="18.75">
      <c r="A39" s="9">
        <v>0</v>
      </c>
      <c r="B39" s="9">
        <v>35</v>
      </c>
      <c r="C39" s="8"/>
      <c r="D39" s="47" t="s">
        <v>67</v>
      </c>
      <c r="E39" s="2"/>
      <c r="F39" s="10">
        <v>3</v>
      </c>
      <c r="G39" s="10">
        <v>96</v>
      </c>
      <c r="H39" s="69" t="s">
        <v>22</v>
      </c>
      <c r="I39" s="53">
        <f t="shared" ref="I39:I48" si="10">F39*$U$11+IF(F39&gt;2,(F39-2)*$U$12,0)</f>
        <v>10.5</v>
      </c>
      <c r="J39" s="50">
        <f t="shared" si="1"/>
        <v>2.8800000000000003</v>
      </c>
      <c r="K39" s="10">
        <v>0</v>
      </c>
      <c r="L39" s="50">
        <f t="shared" ref="L39:L48" si="11">SUM(J39+I39+K39)*(1-A39)</f>
        <v>13.38</v>
      </c>
      <c r="M39" s="52">
        <v>31</v>
      </c>
      <c r="N39" s="59">
        <f t="shared" si="3"/>
        <v>44.38</v>
      </c>
      <c r="O39" s="52">
        <f t="shared" ref="O39:O48" si="12">VLOOKUP(H39,$T$3:$U$10,2,FALSE)*(1-A39)</f>
        <v>10</v>
      </c>
      <c r="P39" s="53">
        <f t="shared" ref="P39:P48" si="13">L39+M39-O39</f>
        <v>34.380000000000003</v>
      </c>
      <c r="Q39" s="4"/>
      <c r="R39" s="4"/>
      <c r="S39" s="4"/>
      <c r="T39" s="3"/>
      <c r="U39" s="3"/>
    </row>
    <row r="40" spans="1:21" ht="18.75">
      <c r="A40" s="9">
        <v>0</v>
      </c>
      <c r="B40" s="9">
        <v>36</v>
      </c>
      <c r="C40" s="8"/>
      <c r="D40" s="49" t="s">
        <v>68</v>
      </c>
      <c r="E40" s="2"/>
      <c r="F40" s="10">
        <v>0</v>
      </c>
      <c r="G40" s="10">
        <v>28</v>
      </c>
      <c r="H40" s="31" t="s">
        <v>23</v>
      </c>
      <c r="I40" s="53">
        <f t="shared" si="10"/>
        <v>0</v>
      </c>
      <c r="J40" s="50">
        <f t="shared" si="1"/>
        <v>0</v>
      </c>
      <c r="K40" s="10">
        <v>0</v>
      </c>
      <c r="L40" s="50">
        <f t="shared" si="11"/>
        <v>0</v>
      </c>
      <c r="M40" s="52">
        <v>40</v>
      </c>
      <c r="N40" s="59">
        <f t="shared" si="3"/>
        <v>40</v>
      </c>
      <c r="O40" s="52">
        <f t="shared" si="12"/>
        <v>0</v>
      </c>
      <c r="P40" s="53">
        <f t="shared" si="13"/>
        <v>40</v>
      </c>
      <c r="Q40" s="4"/>
      <c r="R40" s="4"/>
      <c r="S40" s="4"/>
      <c r="T40"/>
      <c r="U40"/>
    </row>
    <row r="41" spans="1:21" ht="18.75">
      <c r="A41" s="9">
        <v>0</v>
      </c>
      <c r="B41" s="9">
        <v>37</v>
      </c>
      <c r="C41" s="8"/>
      <c r="D41" s="49" t="s">
        <v>69</v>
      </c>
      <c r="E41" s="2"/>
      <c r="F41" s="10">
        <v>1</v>
      </c>
      <c r="G41" s="10">
        <v>52</v>
      </c>
      <c r="H41" s="69" t="s">
        <v>22</v>
      </c>
      <c r="I41" s="53">
        <f t="shared" si="10"/>
        <v>3</v>
      </c>
      <c r="J41" s="50">
        <f t="shared" si="1"/>
        <v>0.52</v>
      </c>
      <c r="K41" s="10">
        <v>0</v>
      </c>
      <c r="L41" s="50">
        <f t="shared" si="11"/>
        <v>3.52</v>
      </c>
      <c r="M41" s="52">
        <v>6</v>
      </c>
      <c r="N41" s="59">
        <f t="shared" si="3"/>
        <v>9.52</v>
      </c>
      <c r="O41" s="52">
        <f t="shared" si="12"/>
        <v>10</v>
      </c>
      <c r="P41" s="53">
        <f t="shared" si="13"/>
        <v>-0.48000000000000043</v>
      </c>
      <c r="Q41" s="4"/>
      <c r="R41" s="4"/>
      <c r="S41" s="4"/>
      <c r="T41"/>
      <c r="U41"/>
    </row>
    <row r="42" spans="1:21" ht="18.75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14" t="s">
        <v>22</v>
      </c>
      <c r="I42" s="53">
        <f t="shared" si="10"/>
        <v>6</v>
      </c>
      <c r="J42" s="50">
        <f t="shared" si="1"/>
        <v>0.12</v>
      </c>
      <c r="K42" s="10">
        <v>0</v>
      </c>
      <c r="L42" s="50">
        <f t="shared" si="11"/>
        <v>0</v>
      </c>
      <c r="M42" s="52">
        <v>4</v>
      </c>
      <c r="N42" s="59">
        <f t="shared" si="3"/>
        <v>0</v>
      </c>
      <c r="O42" s="17">
        <f t="shared" si="12"/>
        <v>0</v>
      </c>
      <c r="P42" s="53">
        <f t="shared" si="13"/>
        <v>4</v>
      </c>
      <c r="Q42" s="4"/>
      <c r="R42" s="4"/>
      <c r="S42" s="4"/>
      <c r="T42"/>
      <c r="U42"/>
    </row>
    <row r="43" spans="1:21" ht="18.75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10"/>
        <v>0</v>
      </c>
      <c r="J43" s="50">
        <f t="shared" si="1"/>
        <v>0</v>
      </c>
      <c r="K43" s="10">
        <v>0</v>
      </c>
      <c r="L43" s="50">
        <f t="shared" si="11"/>
        <v>0</v>
      </c>
      <c r="M43" s="52">
        <v>-3</v>
      </c>
      <c r="N43" s="59">
        <f t="shared" si="3"/>
        <v>0</v>
      </c>
      <c r="O43" s="17">
        <f t="shared" si="12"/>
        <v>0</v>
      </c>
      <c r="P43" s="53">
        <f t="shared" si="13"/>
        <v>-3</v>
      </c>
      <c r="Q43" s="4"/>
      <c r="R43" s="4"/>
      <c r="S43" s="4"/>
      <c r="T43"/>
      <c r="U43"/>
    </row>
    <row r="44" spans="1:21" customFormat="1" ht="18.75">
      <c r="A44" s="9">
        <v>1</v>
      </c>
      <c r="B44" s="9">
        <v>40</v>
      </c>
      <c r="C44" s="8"/>
      <c r="D44" s="45" t="s">
        <v>72</v>
      </c>
      <c r="E44" s="34"/>
      <c r="F44" s="10">
        <v>1</v>
      </c>
      <c r="G44" s="10">
        <v>8</v>
      </c>
      <c r="H44" s="14" t="s">
        <v>22</v>
      </c>
      <c r="I44" s="53">
        <f t="shared" si="10"/>
        <v>3</v>
      </c>
      <c r="J44" s="50">
        <f t="shared" si="1"/>
        <v>0.08</v>
      </c>
      <c r="K44" s="10">
        <v>0</v>
      </c>
      <c r="L44" s="50">
        <f t="shared" si="11"/>
        <v>0</v>
      </c>
      <c r="M44" s="52">
        <v>7</v>
      </c>
      <c r="N44" s="59">
        <f t="shared" si="3"/>
        <v>0</v>
      </c>
      <c r="O44" s="17">
        <f t="shared" si="12"/>
        <v>0</v>
      </c>
      <c r="P44" s="53">
        <f t="shared" si="13"/>
        <v>7</v>
      </c>
      <c r="Q44" s="4"/>
      <c r="R44" s="4"/>
      <c r="S44" s="4"/>
    </row>
    <row r="45" spans="1:21" customFormat="1" ht="18.75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63">
        <f t="shared" si="10"/>
        <v>0</v>
      </c>
      <c r="J45" s="64">
        <f t="shared" si="1"/>
        <v>0</v>
      </c>
      <c r="K45" s="62">
        <v>0</v>
      </c>
      <c r="L45" s="64">
        <f t="shared" si="11"/>
        <v>0</v>
      </c>
      <c r="M45" s="65">
        <v>10</v>
      </c>
      <c r="N45" s="66">
        <f t="shared" si="3"/>
        <v>10</v>
      </c>
      <c r="O45" s="65">
        <f t="shared" si="12"/>
        <v>0</v>
      </c>
      <c r="P45" s="63">
        <f t="shared" si="13"/>
        <v>10</v>
      </c>
      <c r="Q45" s="67"/>
      <c r="R45" s="67"/>
      <c r="S45" s="67"/>
    </row>
    <row r="46" spans="1:21" customFormat="1" ht="18.75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22</v>
      </c>
      <c r="I46" s="53">
        <f t="shared" si="10"/>
        <v>6</v>
      </c>
      <c r="J46" s="50">
        <f t="shared" si="1"/>
        <v>0.12</v>
      </c>
      <c r="K46" s="10">
        <v>0</v>
      </c>
      <c r="L46" s="50">
        <f t="shared" si="11"/>
        <v>0</v>
      </c>
      <c r="M46" s="52">
        <v>0</v>
      </c>
      <c r="N46" s="59">
        <f t="shared" si="3"/>
        <v>0</v>
      </c>
      <c r="O46" s="17">
        <f t="shared" si="12"/>
        <v>0</v>
      </c>
      <c r="P46" s="53">
        <f t="shared" si="13"/>
        <v>0</v>
      </c>
      <c r="Q46" s="4"/>
      <c r="R46" s="4"/>
      <c r="S46" s="4"/>
    </row>
    <row r="47" spans="1:21" ht="18.75">
      <c r="A47" s="9">
        <v>0</v>
      </c>
      <c r="B47" s="9">
        <v>43</v>
      </c>
      <c r="C47" s="61"/>
      <c r="D47" s="49" t="s">
        <v>84</v>
      </c>
      <c r="E47" s="33"/>
      <c r="F47" s="10">
        <v>3</v>
      </c>
      <c r="G47" s="10">
        <v>22</v>
      </c>
      <c r="H47" s="69" t="s">
        <v>22</v>
      </c>
      <c r="I47" s="53">
        <f t="shared" si="10"/>
        <v>10.5</v>
      </c>
      <c r="J47" s="50">
        <f t="shared" si="1"/>
        <v>0.65999999999999992</v>
      </c>
      <c r="K47" s="10">
        <v>0</v>
      </c>
      <c r="L47" s="50">
        <f t="shared" si="11"/>
        <v>11.16</v>
      </c>
      <c r="M47" s="52">
        <v>4</v>
      </c>
      <c r="N47" s="59">
        <f t="shared" si="3"/>
        <v>15.16</v>
      </c>
      <c r="O47" s="17">
        <f t="shared" si="12"/>
        <v>10</v>
      </c>
      <c r="P47" s="53">
        <f t="shared" si="13"/>
        <v>5.16</v>
      </c>
      <c r="Q47" s="4"/>
      <c r="R47" s="4"/>
      <c r="S47" s="4"/>
    </row>
    <row r="48" spans="1:21" ht="18.75">
      <c r="A48" s="9">
        <v>0</v>
      </c>
      <c r="B48" s="9">
        <v>44</v>
      </c>
      <c r="C48" s="61"/>
      <c r="D48" s="49" t="s">
        <v>83</v>
      </c>
      <c r="E48" s="33"/>
      <c r="F48" s="10">
        <v>1</v>
      </c>
      <c r="G48" s="10">
        <v>138</v>
      </c>
      <c r="H48" s="69" t="s">
        <v>22</v>
      </c>
      <c r="I48" s="53">
        <f t="shared" si="10"/>
        <v>3</v>
      </c>
      <c r="J48" s="50">
        <f t="shared" si="1"/>
        <v>1.38</v>
      </c>
      <c r="K48" s="10">
        <v>0</v>
      </c>
      <c r="L48" s="50">
        <f t="shared" si="11"/>
        <v>4.38</v>
      </c>
      <c r="M48" s="52">
        <v>71</v>
      </c>
      <c r="N48" s="59">
        <f t="shared" si="3"/>
        <v>75.38</v>
      </c>
      <c r="O48" s="17">
        <f t="shared" si="12"/>
        <v>10</v>
      </c>
      <c r="P48" s="53">
        <f t="shared" si="13"/>
        <v>65.38</v>
      </c>
      <c r="Q48" s="4"/>
      <c r="R48" s="4"/>
      <c r="S48" s="4"/>
    </row>
  </sheetData>
  <autoFilter ref="A4:S48" xr:uid="{28593B8F-03E7-4BE1-B554-FC0AADC431B2}">
    <sortState xmlns:xlrd2="http://schemas.microsoft.com/office/spreadsheetml/2017/richdata2" ref="A5:S48">
      <sortCondition ref="B4:B48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42" priority="7" operator="lessThan">
      <formula>1</formula>
    </cfRule>
  </conditionalFormatting>
  <conditionalFormatting sqref="F5:F46">
    <cfRule type="cellIs" dxfId="41" priority="5" operator="lessThan">
      <formula>1</formula>
    </cfRule>
  </conditionalFormatting>
  <conditionalFormatting sqref="K47 G47">
    <cfRule type="cellIs" dxfId="40" priority="4" operator="lessThan">
      <formula>1</formula>
    </cfRule>
  </conditionalFormatting>
  <conditionalFormatting sqref="F47">
    <cfRule type="cellIs" dxfId="39" priority="3" operator="lessThan">
      <formula>1</formula>
    </cfRule>
  </conditionalFormatting>
  <conditionalFormatting sqref="K48 G48">
    <cfRule type="cellIs" dxfId="38" priority="2" operator="lessThan">
      <formula>1</formula>
    </cfRule>
  </conditionalFormatting>
  <conditionalFormatting sqref="F48">
    <cfRule type="cellIs" dxfId="37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C7D8-E4D3-4F8E-8ECB-05677CD7F30A}">
  <dimension ref="A1:U48"/>
  <sheetViews>
    <sheetView zoomScale="70" zoomScaleNormal="70" workbookViewId="0">
      <selection activeCell="F5" sqref="F5:F48"/>
    </sheetView>
  </sheetViews>
  <sheetFormatPr defaultColWidth="9" defaultRowHeight="13.5"/>
  <cols>
    <col min="1" max="1" width="7.625" customWidth="1"/>
    <col min="2" max="2" width="6.625" style="18" customWidth="1"/>
    <col min="3" max="3" width="19.75" style="68" hidden="1" customWidth="1"/>
    <col min="4" max="4" width="22.75" style="68" bestFit="1" customWidth="1"/>
    <col min="5" max="5" width="18.375" style="18" hidden="1" customWidth="1"/>
    <col min="6" max="6" width="13.125" style="18" customWidth="1"/>
    <col min="7" max="7" width="11.125" style="18" customWidth="1"/>
    <col min="8" max="8" width="20" style="18" customWidth="1"/>
    <col min="9" max="9" width="9" style="18" customWidth="1"/>
    <col min="10" max="10" width="9.625" style="18" customWidth="1"/>
    <col min="11" max="11" width="8.625" style="18" customWidth="1"/>
    <col min="12" max="12" width="9" style="18" customWidth="1"/>
    <col min="13" max="14" width="9.75" style="18" customWidth="1"/>
    <col min="15" max="15" width="9.25" style="18" customWidth="1"/>
    <col min="16" max="16" width="9.875" style="18" customWidth="1"/>
    <col min="17" max="19" width="11.125" style="18" customWidth="1"/>
    <col min="20" max="20" width="30.5" style="18" customWidth="1"/>
    <col min="21" max="21" width="10" style="18" bestFit="1" customWidth="1"/>
    <col min="22" max="16384" width="9" style="18"/>
  </cols>
  <sheetData>
    <row r="1" spans="1:21" ht="36.6" customHeight="1">
      <c r="B1" s="91" t="str">
        <f>CONCATENATE("101-104区 风の气息",U15,"年",U16,"月",U17,"日","分包贡献明细"," 统计：音")</f>
        <v>101-104区 风の气息2022年3月19日分包贡献明细 统计：音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41"/>
      <c r="R1" s="41"/>
      <c r="S1" s="41"/>
      <c r="T1" s="19" t="s">
        <v>8</v>
      </c>
      <c r="U1" s="5">
        <v>67</v>
      </c>
    </row>
    <row r="2" spans="1:21" ht="117.6" customHeight="1">
      <c r="B2" s="93" t="s">
        <v>82</v>
      </c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42"/>
      <c r="R2" s="42"/>
      <c r="S2" s="42"/>
      <c r="T2" s="20" t="s">
        <v>0</v>
      </c>
      <c r="U2" s="21" t="s">
        <v>9</v>
      </c>
    </row>
    <row r="3" spans="1:21" ht="20.25">
      <c r="B3" s="96" t="s">
        <v>13</v>
      </c>
      <c r="C3" s="96"/>
      <c r="D3" s="96"/>
      <c r="E3" s="96"/>
      <c r="F3" s="100" t="s">
        <v>10</v>
      </c>
      <c r="G3" s="101"/>
      <c r="H3" s="97" t="s">
        <v>14</v>
      </c>
      <c r="I3" s="98"/>
      <c r="J3" s="98"/>
      <c r="K3" s="98"/>
      <c r="L3" s="98"/>
      <c r="M3" s="98"/>
      <c r="N3" s="98"/>
      <c r="O3" s="98"/>
      <c r="P3" s="99"/>
      <c r="Q3" s="40"/>
      <c r="R3" s="40"/>
      <c r="S3" s="40"/>
      <c r="T3" s="70" t="s">
        <v>15</v>
      </c>
      <c r="U3" s="23">
        <v>22</v>
      </c>
    </row>
    <row r="4" spans="1:21" ht="40.5">
      <c r="A4" s="78" t="s">
        <v>76</v>
      </c>
      <c r="B4" s="78" t="s">
        <v>2</v>
      </c>
      <c r="C4" s="39" t="s">
        <v>16</v>
      </c>
      <c r="D4" s="78" t="s">
        <v>3</v>
      </c>
      <c r="E4" s="78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.75">
      <c r="A5" s="9">
        <v>0</v>
      </c>
      <c r="B5" s="9">
        <v>1</v>
      </c>
      <c r="C5" s="8"/>
      <c r="D5" s="45" t="s">
        <v>33</v>
      </c>
      <c r="E5" s="32"/>
      <c r="F5" s="10">
        <v>2</v>
      </c>
      <c r="G5" s="10">
        <v>291</v>
      </c>
      <c r="H5" s="69" t="s">
        <v>32</v>
      </c>
      <c r="I5" s="53">
        <f t="shared" ref="I5:I31" si="0">F5*$U$11+IF(F5&gt;2,(F5-2)*$U$12,0)</f>
        <v>6</v>
      </c>
      <c r="J5" s="50">
        <f t="shared" ref="J5:J48" si="1">IF(MAX($F$5:$F$46)=0,0,G5*$U$14*F5/MAX($F$5:$F$46))</f>
        <v>4.3650000000000002</v>
      </c>
      <c r="K5" s="10">
        <v>0</v>
      </c>
      <c r="L5" s="50">
        <f t="shared" ref="L5:L31" si="2">SUM(J5+I5+K5)*(1-A5)</f>
        <v>10.365</v>
      </c>
      <c r="M5" s="52">
        <v>80.02</v>
      </c>
      <c r="N5" s="59">
        <f t="shared" ref="N5:N48" si="3">(L5+M5)*(1-A5)</f>
        <v>90.384999999999991</v>
      </c>
      <c r="O5" s="17">
        <f t="shared" ref="O5:O31" si="4">VLOOKUP(H5,$T$3:$U$10,2,FALSE)*(1-A5)</f>
        <v>5</v>
      </c>
      <c r="P5" s="53">
        <f>L5+M5-O5</f>
        <v>85.384999999999991</v>
      </c>
      <c r="Q5" s="11"/>
      <c r="R5" s="11"/>
      <c r="S5" s="11"/>
      <c r="T5" s="69" t="s">
        <v>22</v>
      </c>
      <c r="U5" s="23">
        <v>10</v>
      </c>
    </row>
    <row r="6" spans="1:21" s="29" customFormat="1" ht="18.75">
      <c r="A6" s="9">
        <v>0</v>
      </c>
      <c r="B6" s="9">
        <v>2</v>
      </c>
      <c r="C6" s="8"/>
      <c r="D6" s="45" t="s">
        <v>34</v>
      </c>
      <c r="E6" s="32"/>
      <c r="F6" s="10">
        <v>2</v>
      </c>
      <c r="G6" s="10">
        <v>222</v>
      </c>
      <c r="H6" s="69" t="s">
        <v>32</v>
      </c>
      <c r="I6" s="53">
        <f t="shared" si="0"/>
        <v>6</v>
      </c>
      <c r="J6" s="50">
        <f t="shared" si="1"/>
        <v>3.33</v>
      </c>
      <c r="K6" s="10">
        <v>0</v>
      </c>
      <c r="L6" s="50">
        <f t="shared" si="2"/>
        <v>9.33</v>
      </c>
      <c r="M6" s="52">
        <v>81</v>
      </c>
      <c r="N6" s="59">
        <f t="shared" si="3"/>
        <v>90.33</v>
      </c>
      <c r="O6" s="17">
        <f t="shared" si="4"/>
        <v>5</v>
      </c>
      <c r="P6" s="53">
        <f>_xlfn.FLOOR.MATH(L6+M6-O6)</f>
        <v>85</v>
      </c>
      <c r="Q6" s="11"/>
      <c r="R6" s="11"/>
      <c r="S6" s="11"/>
      <c r="T6" s="69"/>
      <c r="U6" s="23"/>
    </row>
    <row r="7" spans="1:21" s="29" customFormat="1" ht="18.75">
      <c r="A7" s="9">
        <v>0</v>
      </c>
      <c r="B7" s="9">
        <v>3</v>
      </c>
      <c r="C7" s="8"/>
      <c r="D7" s="45" t="s">
        <v>35</v>
      </c>
      <c r="E7" s="32"/>
      <c r="F7" s="10">
        <v>2</v>
      </c>
      <c r="G7" s="10">
        <v>217</v>
      </c>
      <c r="H7" s="69" t="s">
        <v>32</v>
      </c>
      <c r="I7" s="53">
        <f t="shared" si="0"/>
        <v>6</v>
      </c>
      <c r="J7" s="50">
        <f t="shared" si="1"/>
        <v>3.2549999999999999</v>
      </c>
      <c r="K7" s="10">
        <v>0</v>
      </c>
      <c r="L7" s="50">
        <f t="shared" si="2"/>
        <v>9.254999999999999</v>
      </c>
      <c r="M7" s="52">
        <v>74.010000000000005</v>
      </c>
      <c r="N7" s="59">
        <f t="shared" si="3"/>
        <v>83.265000000000001</v>
      </c>
      <c r="O7" s="17">
        <f t="shared" si="4"/>
        <v>5</v>
      </c>
      <c r="P7" s="53">
        <f t="shared" ref="P7:P31" si="5">L7+M7-O7</f>
        <v>78.265000000000001</v>
      </c>
      <c r="Q7" s="11"/>
      <c r="R7" s="11"/>
      <c r="S7" s="11"/>
      <c r="T7" s="72" t="s">
        <v>30</v>
      </c>
      <c r="U7" s="23">
        <v>15</v>
      </c>
    </row>
    <row r="8" spans="1:21" s="29" customFormat="1" ht="18.75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217</v>
      </c>
      <c r="H8" s="69" t="s">
        <v>32</v>
      </c>
      <c r="I8" s="53">
        <f t="shared" si="0"/>
        <v>10.5</v>
      </c>
      <c r="J8" s="50">
        <f t="shared" si="1"/>
        <v>4.8825000000000003</v>
      </c>
      <c r="K8" s="10">
        <v>0</v>
      </c>
      <c r="L8" s="50">
        <f t="shared" si="2"/>
        <v>15.3825</v>
      </c>
      <c r="M8" s="52">
        <v>72.410000000000011</v>
      </c>
      <c r="N8" s="59">
        <f t="shared" si="3"/>
        <v>87.792500000000018</v>
      </c>
      <c r="O8" s="17">
        <f t="shared" si="4"/>
        <v>5</v>
      </c>
      <c r="P8" s="53">
        <f t="shared" si="5"/>
        <v>82.792500000000018</v>
      </c>
      <c r="Q8" s="11"/>
      <c r="R8" s="11"/>
      <c r="S8" s="11"/>
      <c r="T8" s="73" t="s">
        <v>31</v>
      </c>
      <c r="U8" s="23">
        <v>9</v>
      </c>
    </row>
    <row r="9" spans="1:21" s="29" customFormat="1" ht="18.75">
      <c r="A9" s="9">
        <v>0</v>
      </c>
      <c r="B9" s="9">
        <v>5</v>
      </c>
      <c r="C9" s="8"/>
      <c r="D9" s="45" t="s">
        <v>37</v>
      </c>
      <c r="E9" s="32"/>
      <c r="F9" s="10">
        <v>4</v>
      </c>
      <c r="G9" s="10">
        <v>217</v>
      </c>
      <c r="H9" s="72" t="s">
        <v>30</v>
      </c>
      <c r="I9" s="53">
        <f t="shared" si="0"/>
        <v>15</v>
      </c>
      <c r="J9" s="50">
        <f t="shared" si="1"/>
        <v>6.51</v>
      </c>
      <c r="K9" s="10">
        <v>0</v>
      </c>
      <c r="L9" s="50">
        <f t="shared" si="2"/>
        <v>21.509999999999998</v>
      </c>
      <c r="M9" s="52">
        <v>81.010000000000005</v>
      </c>
      <c r="N9" s="59">
        <f t="shared" si="3"/>
        <v>102.52000000000001</v>
      </c>
      <c r="O9" s="17">
        <f t="shared" si="4"/>
        <v>15</v>
      </c>
      <c r="P9" s="53">
        <f t="shared" si="5"/>
        <v>87.52000000000001</v>
      </c>
      <c r="Q9" s="11"/>
      <c r="R9" s="11"/>
      <c r="S9" s="25"/>
      <c r="T9" s="69" t="s">
        <v>32</v>
      </c>
      <c r="U9" s="23">
        <v>5</v>
      </c>
    </row>
    <row r="10" spans="1:21" s="29" customFormat="1" ht="18.75">
      <c r="A10" s="9">
        <v>0</v>
      </c>
      <c r="B10" s="9">
        <v>6</v>
      </c>
      <c r="C10" s="8"/>
      <c r="D10" s="45" t="s">
        <v>38</v>
      </c>
      <c r="E10" s="32"/>
      <c r="F10" s="10">
        <v>4</v>
      </c>
      <c r="G10" s="10">
        <v>212</v>
      </c>
      <c r="H10" s="72" t="s">
        <v>30</v>
      </c>
      <c r="I10" s="53">
        <f t="shared" si="0"/>
        <v>15</v>
      </c>
      <c r="J10" s="50">
        <f t="shared" si="1"/>
        <v>6.3599999999999994</v>
      </c>
      <c r="K10" s="10">
        <v>0</v>
      </c>
      <c r="L10" s="50">
        <f t="shared" si="2"/>
        <v>21.36</v>
      </c>
      <c r="M10" s="52">
        <v>80.86</v>
      </c>
      <c r="N10" s="59">
        <f t="shared" si="3"/>
        <v>102.22</v>
      </c>
      <c r="O10" s="17">
        <f t="shared" si="4"/>
        <v>15</v>
      </c>
      <c r="P10" s="53">
        <f t="shared" si="5"/>
        <v>87.22</v>
      </c>
      <c r="Q10" s="11"/>
      <c r="R10" s="11"/>
      <c r="S10" s="16"/>
      <c r="T10" s="2" t="s">
        <v>23</v>
      </c>
      <c r="U10" s="2">
        <v>0</v>
      </c>
    </row>
    <row r="11" spans="1:21" s="29" customFormat="1" ht="18.75">
      <c r="A11" s="9">
        <v>1</v>
      </c>
      <c r="B11" s="9">
        <v>7</v>
      </c>
      <c r="C11" s="8"/>
      <c r="D11" s="45" t="s">
        <v>39</v>
      </c>
      <c r="E11" s="32"/>
      <c r="F11" s="10">
        <v>2</v>
      </c>
      <c r="G11" s="10">
        <v>211</v>
      </c>
      <c r="H11" s="69" t="s">
        <v>32</v>
      </c>
      <c r="I11" s="53">
        <f t="shared" si="0"/>
        <v>6</v>
      </c>
      <c r="J11" s="50">
        <f t="shared" si="1"/>
        <v>3.165</v>
      </c>
      <c r="K11" s="10">
        <v>0</v>
      </c>
      <c r="L11" s="50">
        <f t="shared" si="2"/>
        <v>0</v>
      </c>
      <c r="M11" s="52">
        <v>81</v>
      </c>
      <c r="N11" s="59">
        <f t="shared" si="3"/>
        <v>0</v>
      </c>
      <c r="O11" s="17">
        <f t="shared" si="4"/>
        <v>0</v>
      </c>
      <c r="P11" s="53">
        <f t="shared" si="5"/>
        <v>81</v>
      </c>
      <c r="Q11" s="11"/>
      <c r="R11" s="11"/>
      <c r="S11" s="26"/>
      <c r="T11" s="74" t="s">
        <v>79</v>
      </c>
      <c r="U11" s="75">
        <v>3</v>
      </c>
    </row>
    <row r="12" spans="1:21" s="29" customFormat="1" ht="18.75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202</v>
      </c>
      <c r="H12" s="69" t="s">
        <v>32</v>
      </c>
      <c r="I12" s="53">
        <f t="shared" si="0"/>
        <v>10.5</v>
      </c>
      <c r="J12" s="50">
        <f t="shared" si="1"/>
        <v>4.5449999999999999</v>
      </c>
      <c r="K12" s="10">
        <v>0</v>
      </c>
      <c r="L12" s="50">
        <f t="shared" si="2"/>
        <v>15.045</v>
      </c>
      <c r="M12" s="52">
        <v>74.56</v>
      </c>
      <c r="N12" s="59">
        <f t="shared" si="3"/>
        <v>89.605000000000004</v>
      </c>
      <c r="O12" s="17">
        <f t="shared" si="4"/>
        <v>5</v>
      </c>
      <c r="P12" s="53">
        <f t="shared" si="5"/>
        <v>84.605000000000004</v>
      </c>
      <c r="Q12" s="11"/>
      <c r="R12" s="11"/>
      <c r="S12" s="26"/>
      <c r="T12" s="74" t="s">
        <v>80</v>
      </c>
      <c r="U12" s="74">
        <v>1.5</v>
      </c>
    </row>
    <row r="13" spans="1:21" s="29" customFormat="1" ht="18.75">
      <c r="A13" s="9">
        <v>0</v>
      </c>
      <c r="B13" s="9">
        <v>9</v>
      </c>
      <c r="C13" s="8"/>
      <c r="D13" s="45" t="s">
        <v>41</v>
      </c>
      <c r="E13" s="36"/>
      <c r="F13" s="10">
        <v>3</v>
      </c>
      <c r="G13" s="10">
        <v>201</v>
      </c>
      <c r="H13" s="73" t="s">
        <v>31</v>
      </c>
      <c r="I13" s="53">
        <f t="shared" si="0"/>
        <v>10.5</v>
      </c>
      <c r="J13" s="50">
        <f t="shared" si="1"/>
        <v>4.5224999999999991</v>
      </c>
      <c r="K13" s="10">
        <v>0</v>
      </c>
      <c r="L13" s="50">
        <f t="shared" si="2"/>
        <v>15.022499999999999</v>
      </c>
      <c r="M13" s="52">
        <v>80.53</v>
      </c>
      <c r="N13" s="59">
        <f t="shared" si="3"/>
        <v>95.552499999999995</v>
      </c>
      <c r="O13" s="17">
        <f t="shared" si="4"/>
        <v>9</v>
      </c>
      <c r="P13" s="53">
        <f t="shared" si="5"/>
        <v>86.552499999999995</v>
      </c>
      <c r="Q13" s="11"/>
      <c r="R13" s="11"/>
      <c r="S13" s="25"/>
      <c r="T13" s="76" t="s">
        <v>24</v>
      </c>
      <c r="U13" s="2">
        <v>1</v>
      </c>
    </row>
    <row r="14" spans="1:21" s="29" customFormat="1" ht="18.75">
      <c r="A14" s="9">
        <v>0</v>
      </c>
      <c r="B14" s="9">
        <v>10</v>
      </c>
      <c r="C14" s="8"/>
      <c r="D14" s="45" t="s">
        <v>42</v>
      </c>
      <c r="E14" s="33"/>
      <c r="F14" s="10">
        <v>4</v>
      </c>
      <c r="G14" s="10">
        <v>200</v>
      </c>
      <c r="H14" s="73" t="s">
        <v>31</v>
      </c>
      <c r="I14" s="53">
        <f t="shared" si="0"/>
        <v>15</v>
      </c>
      <c r="J14" s="50">
        <f t="shared" si="1"/>
        <v>6</v>
      </c>
      <c r="K14" s="10">
        <v>0</v>
      </c>
      <c r="L14" s="50">
        <f t="shared" si="2"/>
        <v>21</v>
      </c>
      <c r="M14" s="52">
        <v>73.38</v>
      </c>
      <c r="N14" s="59">
        <f t="shared" si="3"/>
        <v>94.38</v>
      </c>
      <c r="O14" s="17">
        <f t="shared" si="4"/>
        <v>9</v>
      </c>
      <c r="P14" s="53">
        <f t="shared" si="5"/>
        <v>85.38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.75">
      <c r="A15" s="9">
        <v>0</v>
      </c>
      <c r="B15" s="9">
        <v>11</v>
      </c>
      <c r="C15" s="8"/>
      <c r="D15" s="45" t="s">
        <v>43</v>
      </c>
      <c r="E15" s="32"/>
      <c r="F15" s="10">
        <v>3</v>
      </c>
      <c r="G15" s="10">
        <v>195</v>
      </c>
      <c r="H15" s="69" t="s">
        <v>32</v>
      </c>
      <c r="I15" s="53">
        <f t="shared" si="0"/>
        <v>10.5</v>
      </c>
      <c r="J15" s="50">
        <f t="shared" si="1"/>
        <v>4.3874999999999993</v>
      </c>
      <c r="K15" s="10">
        <v>0</v>
      </c>
      <c r="L15" s="50">
        <f t="shared" si="2"/>
        <v>14.887499999999999</v>
      </c>
      <c r="M15" s="52">
        <v>76.900000000000006</v>
      </c>
      <c r="N15" s="59">
        <f t="shared" si="3"/>
        <v>91.787500000000009</v>
      </c>
      <c r="O15" s="17">
        <f t="shared" si="4"/>
        <v>5</v>
      </c>
      <c r="P15" s="53">
        <f t="shared" si="5"/>
        <v>86.787500000000009</v>
      </c>
      <c r="Q15" s="4"/>
      <c r="R15" s="4"/>
      <c r="S15" s="4"/>
      <c r="T15" s="2" t="s">
        <v>25</v>
      </c>
      <c r="U15" s="2">
        <v>2022</v>
      </c>
    </row>
    <row r="16" spans="1:21" s="29" customFormat="1" ht="18.75">
      <c r="A16" s="9">
        <v>0</v>
      </c>
      <c r="B16" s="9">
        <v>12</v>
      </c>
      <c r="C16" s="8"/>
      <c r="D16" s="45" t="s">
        <v>44</v>
      </c>
      <c r="E16" s="32"/>
      <c r="F16" s="10">
        <v>4</v>
      </c>
      <c r="G16" s="10">
        <v>191</v>
      </c>
      <c r="H16" s="72" t="s">
        <v>30</v>
      </c>
      <c r="I16" s="53">
        <f t="shared" si="0"/>
        <v>15</v>
      </c>
      <c r="J16" s="50">
        <f t="shared" si="1"/>
        <v>5.7299999999999995</v>
      </c>
      <c r="K16" s="10">
        <v>0</v>
      </c>
      <c r="L16" s="50">
        <f t="shared" si="2"/>
        <v>20.73</v>
      </c>
      <c r="M16" s="52">
        <v>80.17</v>
      </c>
      <c r="N16" s="59">
        <f t="shared" si="3"/>
        <v>100.9</v>
      </c>
      <c r="O16" s="17">
        <f t="shared" si="4"/>
        <v>15</v>
      </c>
      <c r="P16" s="53">
        <f t="shared" si="5"/>
        <v>85.9</v>
      </c>
      <c r="Q16" s="4"/>
      <c r="R16" s="4"/>
      <c r="S16" s="4"/>
      <c r="T16" s="2" t="s">
        <v>26</v>
      </c>
      <c r="U16" s="2">
        <v>3</v>
      </c>
    </row>
    <row r="17" spans="1:21" s="29" customFormat="1" ht="18.75">
      <c r="A17" s="9">
        <v>0</v>
      </c>
      <c r="B17" s="9">
        <v>13</v>
      </c>
      <c r="C17" s="8"/>
      <c r="D17" s="45" t="s">
        <v>45</v>
      </c>
      <c r="E17" s="35"/>
      <c r="F17" s="10">
        <v>2</v>
      </c>
      <c r="G17" s="10">
        <v>186</v>
      </c>
      <c r="H17" s="69" t="s">
        <v>32</v>
      </c>
      <c r="I17" s="53">
        <f t="shared" si="0"/>
        <v>6</v>
      </c>
      <c r="J17" s="50">
        <f t="shared" si="1"/>
        <v>2.79</v>
      </c>
      <c r="K17" s="10">
        <v>0</v>
      </c>
      <c r="L17" s="50">
        <f t="shared" si="2"/>
        <v>8.7899999999999991</v>
      </c>
      <c r="M17" s="52">
        <v>80.72</v>
      </c>
      <c r="N17" s="59">
        <f t="shared" si="3"/>
        <v>89.509999999999991</v>
      </c>
      <c r="O17" s="17">
        <f t="shared" si="4"/>
        <v>5</v>
      </c>
      <c r="P17" s="53">
        <f t="shared" si="5"/>
        <v>84.509999999999991</v>
      </c>
      <c r="Q17" s="4"/>
      <c r="R17" s="4"/>
      <c r="S17" s="4"/>
      <c r="T17" s="2" t="s">
        <v>27</v>
      </c>
      <c r="U17" s="2">
        <v>19</v>
      </c>
    </row>
    <row r="18" spans="1:21" s="29" customFormat="1" ht="18.75">
      <c r="A18" s="9">
        <v>0</v>
      </c>
      <c r="B18" s="9">
        <v>14</v>
      </c>
      <c r="C18" s="8"/>
      <c r="D18" s="45" t="s">
        <v>46</v>
      </c>
      <c r="E18" s="32"/>
      <c r="F18" s="10">
        <v>4</v>
      </c>
      <c r="G18" s="10">
        <v>187</v>
      </c>
      <c r="H18" s="73" t="s">
        <v>31</v>
      </c>
      <c r="I18" s="53">
        <f t="shared" si="0"/>
        <v>15</v>
      </c>
      <c r="J18" s="50">
        <f t="shared" si="1"/>
        <v>5.6099999999999994</v>
      </c>
      <c r="K18" s="10">
        <v>0</v>
      </c>
      <c r="L18" s="50">
        <f t="shared" si="2"/>
        <v>20.61</v>
      </c>
      <c r="M18" s="52">
        <v>74.11</v>
      </c>
      <c r="N18" s="59">
        <f t="shared" si="3"/>
        <v>94.72</v>
      </c>
      <c r="O18" s="17">
        <f t="shared" si="4"/>
        <v>9</v>
      </c>
      <c r="P18" s="53">
        <f t="shared" si="5"/>
        <v>85.72</v>
      </c>
      <c r="Q18" s="4"/>
      <c r="R18" s="4"/>
      <c r="S18" s="4"/>
      <c r="T18" s="37"/>
    </row>
    <row r="19" spans="1:21" s="29" customFormat="1" ht="18.75">
      <c r="A19" s="9">
        <v>0</v>
      </c>
      <c r="B19" s="9">
        <v>15</v>
      </c>
      <c r="C19" s="8"/>
      <c r="D19" s="45" t="s">
        <v>47</v>
      </c>
      <c r="E19" s="32"/>
      <c r="F19" s="10">
        <v>4</v>
      </c>
      <c r="G19" s="10">
        <v>185</v>
      </c>
      <c r="H19" s="72" t="s">
        <v>30</v>
      </c>
      <c r="I19" s="53">
        <f t="shared" si="0"/>
        <v>15</v>
      </c>
      <c r="J19" s="50">
        <f t="shared" si="1"/>
        <v>5.55</v>
      </c>
      <c r="K19" s="10">
        <v>0</v>
      </c>
      <c r="L19" s="50">
        <f t="shared" si="2"/>
        <v>20.55</v>
      </c>
      <c r="M19" s="52">
        <v>80.05</v>
      </c>
      <c r="N19" s="59">
        <f t="shared" si="3"/>
        <v>100.6</v>
      </c>
      <c r="O19" s="17">
        <f t="shared" si="4"/>
        <v>15</v>
      </c>
      <c r="P19" s="53">
        <f t="shared" si="5"/>
        <v>85.6</v>
      </c>
      <c r="Q19" s="4"/>
      <c r="R19" s="4"/>
      <c r="S19" s="4"/>
      <c r="T19" s="1"/>
      <c r="U19" s="1"/>
    </row>
    <row r="20" spans="1:21" s="29" customFormat="1" ht="18.75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180</v>
      </c>
      <c r="H20" s="69" t="s">
        <v>32</v>
      </c>
      <c r="I20" s="53">
        <f t="shared" si="0"/>
        <v>10.5</v>
      </c>
      <c r="J20" s="50">
        <f t="shared" si="1"/>
        <v>4.05</v>
      </c>
      <c r="K20" s="10">
        <v>0</v>
      </c>
      <c r="L20" s="50">
        <f t="shared" si="2"/>
        <v>14.55</v>
      </c>
      <c r="M20" s="52">
        <v>73.900000000000006</v>
      </c>
      <c r="N20" s="59">
        <f t="shared" si="3"/>
        <v>88.45</v>
      </c>
      <c r="O20" s="17">
        <f t="shared" si="4"/>
        <v>5</v>
      </c>
      <c r="P20" s="53">
        <f t="shared" si="5"/>
        <v>83.45</v>
      </c>
      <c r="Q20" s="4"/>
      <c r="R20" s="4"/>
      <c r="S20" s="4"/>
      <c r="T20" s="1"/>
      <c r="U20" s="1"/>
    </row>
    <row r="21" spans="1:21" s="29" customFormat="1" ht="18.75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177</v>
      </c>
      <c r="H21" s="73" t="s">
        <v>31</v>
      </c>
      <c r="I21" s="53">
        <f t="shared" si="0"/>
        <v>10.5</v>
      </c>
      <c r="J21" s="50">
        <f t="shared" si="1"/>
        <v>3.9824999999999999</v>
      </c>
      <c r="K21" s="10">
        <v>0</v>
      </c>
      <c r="L21" s="50">
        <f t="shared" si="2"/>
        <v>14.4825</v>
      </c>
      <c r="M21" s="52">
        <v>79.81</v>
      </c>
      <c r="N21" s="59">
        <f t="shared" si="3"/>
        <v>94.292500000000004</v>
      </c>
      <c r="O21" s="17">
        <f t="shared" si="4"/>
        <v>9</v>
      </c>
      <c r="P21" s="53">
        <f t="shared" si="5"/>
        <v>85.292500000000004</v>
      </c>
      <c r="Q21" s="4"/>
      <c r="R21" s="4"/>
      <c r="S21" s="4"/>
      <c r="T21" s="1"/>
      <c r="U21" s="1"/>
    </row>
    <row r="22" spans="1:21" s="29" customFormat="1" ht="18.75">
      <c r="A22" s="9">
        <v>0</v>
      </c>
      <c r="B22" s="9">
        <v>18</v>
      </c>
      <c r="C22" s="8"/>
      <c r="D22" s="45" t="s">
        <v>50</v>
      </c>
      <c r="E22" s="32"/>
      <c r="F22" s="10">
        <v>2</v>
      </c>
      <c r="G22" s="10">
        <v>177</v>
      </c>
      <c r="H22" s="69" t="s">
        <v>32</v>
      </c>
      <c r="I22" s="53">
        <f t="shared" si="0"/>
        <v>6</v>
      </c>
      <c r="J22" s="50">
        <f t="shared" si="1"/>
        <v>2.6549999999999998</v>
      </c>
      <c r="K22" s="10">
        <v>0</v>
      </c>
      <c r="L22" s="50">
        <f t="shared" si="2"/>
        <v>8.6549999999999994</v>
      </c>
      <c r="M22" s="52">
        <v>65.77</v>
      </c>
      <c r="N22" s="59">
        <f t="shared" si="3"/>
        <v>74.424999999999997</v>
      </c>
      <c r="O22" s="17">
        <f t="shared" si="4"/>
        <v>5</v>
      </c>
      <c r="P22" s="53">
        <f t="shared" si="5"/>
        <v>69.424999999999997</v>
      </c>
      <c r="Q22" s="4"/>
      <c r="R22" s="4"/>
      <c r="S22" s="4"/>
      <c r="T22" s="1"/>
      <c r="U22" s="1"/>
    </row>
    <row r="23" spans="1:21" s="29" customFormat="1" ht="18.75">
      <c r="A23" s="9">
        <v>0</v>
      </c>
      <c r="B23" s="9">
        <v>19</v>
      </c>
      <c r="C23" s="8"/>
      <c r="D23" s="45" t="s">
        <v>51</v>
      </c>
      <c r="E23" s="34"/>
      <c r="F23" s="10">
        <v>3</v>
      </c>
      <c r="G23" s="10">
        <v>172</v>
      </c>
      <c r="H23" s="69" t="s">
        <v>32</v>
      </c>
      <c r="I23" s="53">
        <f t="shared" si="0"/>
        <v>10.5</v>
      </c>
      <c r="J23" s="50">
        <f t="shared" si="1"/>
        <v>3.87</v>
      </c>
      <c r="K23" s="10">
        <v>0</v>
      </c>
      <c r="L23" s="50">
        <f t="shared" si="2"/>
        <v>14.370000000000001</v>
      </c>
      <c r="M23" s="52">
        <v>74.44</v>
      </c>
      <c r="N23" s="59">
        <f t="shared" si="3"/>
        <v>88.81</v>
      </c>
      <c r="O23" s="17">
        <f t="shared" si="4"/>
        <v>5</v>
      </c>
      <c r="P23" s="53">
        <f t="shared" si="5"/>
        <v>83.81</v>
      </c>
      <c r="Q23" s="4"/>
      <c r="R23" s="4"/>
      <c r="S23" s="4"/>
      <c r="T23" s="1"/>
      <c r="U23" s="1"/>
    </row>
    <row r="24" spans="1:21" s="29" customFormat="1" ht="18.75">
      <c r="A24" s="9">
        <v>0</v>
      </c>
      <c r="B24" s="9">
        <v>20</v>
      </c>
      <c r="C24" s="8"/>
      <c r="D24" s="45" t="s">
        <v>52</v>
      </c>
      <c r="E24" s="34"/>
      <c r="F24" s="10">
        <v>4</v>
      </c>
      <c r="G24" s="10">
        <v>171</v>
      </c>
      <c r="H24" s="72" t="s">
        <v>30</v>
      </c>
      <c r="I24" s="53">
        <f t="shared" si="0"/>
        <v>15</v>
      </c>
      <c r="J24" s="50">
        <f t="shared" si="1"/>
        <v>5.13</v>
      </c>
      <c r="K24" s="10">
        <v>0</v>
      </c>
      <c r="L24" s="50">
        <f t="shared" si="2"/>
        <v>20.13</v>
      </c>
      <c r="M24" s="52">
        <v>82.63</v>
      </c>
      <c r="N24" s="59">
        <f t="shared" si="3"/>
        <v>102.75999999999999</v>
      </c>
      <c r="O24" s="17">
        <f t="shared" si="4"/>
        <v>15</v>
      </c>
      <c r="P24" s="53">
        <f t="shared" si="5"/>
        <v>87.759999999999991</v>
      </c>
      <c r="Q24" s="4"/>
      <c r="R24" s="4"/>
      <c r="S24" s="4"/>
      <c r="T24" s="1"/>
      <c r="U24" s="1"/>
    </row>
    <row r="25" spans="1:21" s="29" customFormat="1" ht="18.75">
      <c r="A25" s="9">
        <v>0</v>
      </c>
      <c r="B25" s="9">
        <v>21</v>
      </c>
      <c r="C25" s="8"/>
      <c r="D25" s="45" t="s">
        <v>53</v>
      </c>
      <c r="E25" s="34"/>
      <c r="F25" s="10">
        <v>4</v>
      </c>
      <c r="G25" s="10">
        <v>166</v>
      </c>
      <c r="H25" s="73" t="s">
        <v>31</v>
      </c>
      <c r="I25" s="53">
        <f t="shared" si="0"/>
        <v>15</v>
      </c>
      <c r="J25" s="50">
        <f t="shared" si="1"/>
        <v>4.9799999999999995</v>
      </c>
      <c r="K25" s="10">
        <v>0</v>
      </c>
      <c r="L25" s="50">
        <f t="shared" si="2"/>
        <v>19.98</v>
      </c>
      <c r="M25" s="52">
        <v>73.48</v>
      </c>
      <c r="N25" s="59">
        <f t="shared" si="3"/>
        <v>93.460000000000008</v>
      </c>
      <c r="O25" s="17">
        <f t="shared" si="4"/>
        <v>9</v>
      </c>
      <c r="P25" s="53">
        <f t="shared" si="5"/>
        <v>84.460000000000008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4</v>
      </c>
      <c r="G26" s="10">
        <v>163</v>
      </c>
      <c r="H26" s="72" t="s">
        <v>30</v>
      </c>
      <c r="I26" s="53">
        <f t="shared" si="0"/>
        <v>15</v>
      </c>
      <c r="J26" s="50">
        <f t="shared" si="1"/>
        <v>4.8899999999999997</v>
      </c>
      <c r="K26" s="10">
        <v>0</v>
      </c>
      <c r="L26" s="50">
        <f t="shared" si="2"/>
        <v>19.89</v>
      </c>
      <c r="M26" s="52">
        <v>81.39</v>
      </c>
      <c r="N26" s="59">
        <f t="shared" si="3"/>
        <v>101.28</v>
      </c>
      <c r="O26" s="17">
        <f t="shared" si="4"/>
        <v>15</v>
      </c>
      <c r="P26" s="53">
        <f t="shared" si="5"/>
        <v>86.28</v>
      </c>
      <c r="Q26" s="4"/>
      <c r="R26" s="4"/>
      <c r="S26" s="4"/>
      <c r="T26" s="1"/>
      <c r="U26" s="1"/>
    </row>
    <row r="27" spans="1:21" s="29" customFormat="1" ht="18.75">
      <c r="A27" s="9">
        <v>0</v>
      </c>
      <c r="B27" s="9">
        <v>23</v>
      </c>
      <c r="C27" s="8"/>
      <c r="D27" s="45" t="s">
        <v>55</v>
      </c>
      <c r="E27" s="34"/>
      <c r="F27" s="10">
        <v>1</v>
      </c>
      <c r="G27" s="10">
        <v>157</v>
      </c>
      <c r="H27" s="69" t="s">
        <v>32</v>
      </c>
      <c r="I27" s="53">
        <f t="shared" si="0"/>
        <v>3</v>
      </c>
      <c r="J27" s="50">
        <f t="shared" si="1"/>
        <v>1.1775</v>
      </c>
      <c r="K27" s="10">
        <v>0</v>
      </c>
      <c r="L27" s="50">
        <f t="shared" si="2"/>
        <v>4.1775000000000002</v>
      </c>
      <c r="M27" s="52">
        <v>26.57</v>
      </c>
      <c r="N27" s="59">
        <f t="shared" si="3"/>
        <v>30.747500000000002</v>
      </c>
      <c r="O27" s="52">
        <f t="shared" si="4"/>
        <v>5</v>
      </c>
      <c r="P27" s="53">
        <f t="shared" si="5"/>
        <v>25.747500000000002</v>
      </c>
      <c r="Q27" s="4"/>
      <c r="R27" s="4"/>
      <c r="S27" s="4"/>
      <c r="T27" s="1"/>
      <c r="U27" s="1"/>
    </row>
    <row r="28" spans="1:21" s="29" customFormat="1" ht="18.75">
      <c r="A28" s="9">
        <v>0</v>
      </c>
      <c r="B28" s="9">
        <v>24</v>
      </c>
      <c r="C28" s="8"/>
      <c r="D28" s="45" t="s">
        <v>56</v>
      </c>
      <c r="E28" s="34"/>
      <c r="F28" s="10">
        <v>4</v>
      </c>
      <c r="G28" s="10">
        <v>156</v>
      </c>
      <c r="H28" s="69" t="s">
        <v>32</v>
      </c>
      <c r="I28" s="53">
        <f t="shared" si="0"/>
        <v>15</v>
      </c>
      <c r="J28" s="50">
        <f t="shared" si="1"/>
        <v>4.68</v>
      </c>
      <c r="K28" s="10">
        <v>0</v>
      </c>
      <c r="L28" s="50">
        <f t="shared" si="2"/>
        <v>19.68</v>
      </c>
      <c r="M28" s="52">
        <v>73.180000000000007</v>
      </c>
      <c r="N28" s="59">
        <f t="shared" si="3"/>
        <v>92.860000000000014</v>
      </c>
      <c r="O28" s="17">
        <f t="shared" si="4"/>
        <v>5</v>
      </c>
      <c r="P28" s="53">
        <f t="shared" si="5"/>
        <v>87.860000000000014</v>
      </c>
      <c r="Q28" s="4"/>
      <c r="R28" s="4"/>
      <c r="S28" s="4"/>
      <c r="T28" s="1"/>
      <c r="U28" s="1"/>
    </row>
    <row r="29" spans="1:21" s="29" customFormat="1" ht="18.75">
      <c r="A29" s="9">
        <v>0</v>
      </c>
      <c r="B29" s="9">
        <v>25</v>
      </c>
      <c r="C29" s="8"/>
      <c r="D29" s="45" t="s">
        <v>57</v>
      </c>
      <c r="E29" s="34"/>
      <c r="F29" s="10">
        <v>4</v>
      </c>
      <c r="G29" s="10">
        <v>156</v>
      </c>
      <c r="H29" s="69" t="s">
        <v>32</v>
      </c>
      <c r="I29" s="53">
        <f t="shared" si="0"/>
        <v>15</v>
      </c>
      <c r="J29" s="50">
        <f t="shared" si="1"/>
        <v>4.68</v>
      </c>
      <c r="K29" s="10">
        <v>0</v>
      </c>
      <c r="L29" s="50">
        <f t="shared" si="2"/>
        <v>19.68</v>
      </c>
      <c r="M29" s="52">
        <v>73.180000000000007</v>
      </c>
      <c r="N29" s="59">
        <f t="shared" si="3"/>
        <v>92.860000000000014</v>
      </c>
      <c r="O29" s="17">
        <f t="shared" si="4"/>
        <v>5</v>
      </c>
      <c r="P29" s="53">
        <f t="shared" si="5"/>
        <v>87.860000000000014</v>
      </c>
      <c r="Q29" s="4"/>
      <c r="R29" s="4"/>
      <c r="S29" s="4"/>
      <c r="T29" s="1"/>
      <c r="U29" s="1"/>
    </row>
    <row r="30" spans="1:21" s="29" customFormat="1" ht="18.75">
      <c r="A30" s="9">
        <v>0</v>
      </c>
      <c r="B30" s="9">
        <v>26</v>
      </c>
      <c r="C30" s="8"/>
      <c r="D30" s="45" t="s">
        <v>58</v>
      </c>
      <c r="E30" s="34"/>
      <c r="F30" s="10">
        <v>4</v>
      </c>
      <c r="G30" s="10">
        <v>146</v>
      </c>
      <c r="H30" s="69" t="s">
        <v>32</v>
      </c>
      <c r="I30" s="53">
        <f t="shared" si="0"/>
        <v>15</v>
      </c>
      <c r="J30" s="50">
        <f t="shared" si="1"/>
        <v>4.38</v>
      </c>
      <c r="K30" s="10">
        <v>0</v>
      </c>
      <c r="L30" s="50">
        <f t="shared" si="2"/>
        <v>19.38</v>
      </c>
      <c r="M30" s="52">
        <v>68.459999999999994</v>
      </c>
      <c r="N30" s="59">
        <f t="shared" si="3"/>
        <v>87.839999999999989</v>
      </c>
      <c r="O30" s="17">
        <f t="shared" si="4"/>
        <v>5</v>
      </c>
      <c r="P30" s="53">
        <f t="shared" si="5"/>
        <v>82.839999999999989</v>
      </c>
      <c r="Q30" s="4"/>
      <c r="R30" s="4"/>
      <c r="S30" s="4"/>
      <c r="T30" s="1"/>
      <c r="U30" s="1"/>
    </row>
    <row r="31" spans="1:21" s="29" customFormat="1" ht="18.75">
      <c r="A31" s="9">
        <v>0</v>
      </c>
      <c r="B31" s="9">
        <v>27</v>
      </c>
      <c r="C31" s="8"/>
      <c r="D31" s="47" t="s">
        <v>59</v>
      </c>
      <c r="E31" s="34"/>
      <c r="F31" s="10">
        <v>3</v>
      </c>
      <c r="G31" s="10">
        <v>147</v>
      </c>
      <c r="H31" s="73" t="s">
        <v>31</v>
      </c>
      <c r="I31" s="53">
        <f t="shared" si="0"/>
        <v>10.5</v>
      </c>
      <c r="J31" s="50">
        <f t="shared" si="1"/>
        <v>3.3075000000000001</v>
      </c>
      <c r="K31" s="10">
        <v>0</v>
      </c>
      <c r="L31" s="50">
        <f t="shared" si="2"/>
        <v>13.807500000000001</v>
      </c>
      <c r="M31" s="52">
        <v>80.91</v>
      </c>
      <c r="N31" s="59">
        <f t="shared" si="3"/>
        <v>94.717500000000001</v>
      </c>
      <c r="O31" s="17">
        <f t="shared" si="4"/>
        <v>9</v>
      </c>
      <c r="P31" s="53">
        <f t="shared" si="5"/>
        <v>85.717500000000001</v>
      </c>
      <c r="Q31" s="4"/>
      <c r="R31" s="4"/>
      <c r="S31" s="4"/>
      <c r="T31" s="1"/>
      <c r="U31" s="1"/>
    </row>
    <row r="32" spans="1:21" s="29" customFormat="1" ht="18.75">
      <c r="A32" s="9">
        <v>0</v>
      </c>
      <c r="B32" s="9">
        <v>28</v>
      </c>
      <c r="C32" s="8"/>
      <c r="D32" s="49" t="s">
        <v>60</v>
      </c>
      <c r="E32" s="34"/>
      <c r="F32" s="10">
        <v>4</v>
      </c>
      <c r="G32" s="10">
        <v>142</v>
      </c>
      <c r="H32" s="73" t="s">
        <v>31</v>
      </c>
      <c r="I32" s="53">
        <f t="shared" ref="I32:I38" si="6">F32*3+IF(F32&gt;2,(F32-2)*2,0)</f>
        <v>16</v>
      </c>
      <c r="J32" s="50">
        <f t="shared" si="1"/>
        <v>4.26</v>
      </c>
      <c r="K32" s="10">
        <v>0</v>
      </c>
      <c r="L32" s="50">
        <f t="shared" ref="L32:L38" si="7">SUM(J32+I32+K32)</f>
        <v>20.259999999999998</v>
      </c>
      <c r="M32" s="52">
        <v>74.84</v>
      </c>
      <c r="N32" s="59">
        <f t="shared" si="3"/>
        <v>95.1</v>
      </c>
      <c r="O32" s="52">
        <f t="shared" ref="O32:O38" si="8">VLOOKUP(H32,$T$3:$U$10,2,FALSE)</f>
        <v>9</v>
      </c>
      <c r="P32" s="53">
        <f t="shared" ref="P32:P38" si="9">N32-O32</f>
        <v>86.1</v>
      </c>
      <c r="Q32" s="4"/>
      <c r="R32" s="4"/>
      <c r="S32" s="4"/>
      <c r="T32" s="1"/>
      <c r="U32" s="1"/>
    </row>
    <row r="33" spans="1:21" s="29" customFormat="1" ht="18.75">
      <c r="A33" s="9">
        <v>0</v>
      </c>
      <c r="B33" s="9">
        <v>29</v>
      </c>
      <c r="C33" s="8"/>
      <c r="D33" s="60" t="s">
        <v>61</v>
      </c>
      <c r="E33" s="34"/>
      <c r="F33" s="10">
        <v>1</v>
      </c>
      <c r="G33" s="10">
        <v>144</v>
      </c>
      <c r="H33" s="69" t="s">
        <v>32</v>
      </c>
      <c r="I33" s="53">
        <f t="shared" si="6"/>
        <v>3</v>
      </c>
      <c r="J33" s="50">
        <f t="shared" si="1"/>
        <v>1.08</v>
      </c>
      <c r="K33" s="10">
        <v>0</v>
      </c>
      <c r="L33" s="50">
        <f t="shared" si="7"/>
        <v>4.08</v>
      </c>
      <c r="M33" s="52">
        <v>54</v>
      </c>
      <c r="N33" s="59">
        <f t="shared" si="3"/>
        <v>58.08</v>
      </c>
      <c r="O33" s="52">
        <f t="shared" si="8"/>
        <v>5</v>
      </c>
      <c r="P33" s="53">
        <f t="shared" si="9"/>
        <v>53.08</v>
      </c>
      <c r="Q33" s="4"/>
      <c r="R33" s="4"/>
      <c r="S33" s="4"/>
      <c r="T33" s="1"/>
      <c r="U33" s="1"/>
    </row>
    <row r="34" spans="1:21" s="29" customFormat="1" ht="18.75">
      <c r="A34" s="9">
        <v>0</v>
      </c>
      <c r="B34" s="9">
        <v>30</v>
      </c>
      <c r="C34" s="8"/>
      <c r="D34" s="48" t="s">
        <v>62</v>
      </c>
      <c r="E34" s="34"/>
      <c r="F34" s="10">
        <v>4</v>
      </c>
      <c r="G34" s="10">
        <v>129</v>
      </c>
      <c r="H34" s="72" t="s">
        <v>30</v>
      </c>
      <c r="I34" s="53">
        <f t="shared" si="6"/>
        <v>16</v>
      </c>
      <c r="J34" s="50">
        <f t="shared" si="1"/>
        <v>3.8699999999999997</v>
      </c>
      <c r="K34" s="10">
        <v>0</v>
      </c>
      <c r="L34" s="50">
        <f t="shared" si="7"/>
        <v>19.87</v>
      </c>
      <c r="M34" s="52">
        <v>78.58</v>
      </c>
      <c r="N34" s="59">
        <f t="shared" si="3"/>
        <v>98.45</v>
      </c>
      <c r="O34" s="52">
        <f t="shared" si="8"/>
        <v>15</v>
      </c>
      <c r="P34" s="53">
        <f t="shared" si="9"/>
        <v>83.45</v>
      </c>
      <c r="Q34" s="4"/>
      <c r="R34" s="4"/>
      <c r="S34" s="4"/>
      <c r="T34" s="1"/>
      <c r="U34" s="1"/>
    </row>
    <row r="35" spans="1:21" s="29" customFormat="1" ht="18.75">
      <c r="A35" s="9">
        <v>0</v>
      </c>
      <c r="B35" s="9">
        <v>31</v>
      </c>
      <c r="C35" s="8"/>
      <c r="D35" s="45" t="s">
        <v>63</v>
      </c>
      <c r="E35" s="34"/>
      <c r="F35" s="10">
        <v>2</v>
      </c>
      <c r="G35" s="10">
        <v>127</v>
      </c>
      <c r="H35" s="69" t="s">
        <v>32</v>
      </c>
      <c r="I35" s="53">
        <f t="shared" si="6"/>
        <v>6</v>
      </c>
      <c r="J35" s="50">
        <f t="shared" si="1"/>
        <v>1.905</v>
      </c>
      <c r="K35" s="10">
        <v>0</v>
      </c>
      <c r="L35" s="50">
        <f t="shared" si="7"/>
        <v>7.9050000000000002</v>
      </c>
      <c r="M35" s="52">
        <v>67.539999999999992</v>
      </c>
      <c r="N35" s="59">
        <f t="shared" si="3"/>
        <v>75.444999999999993</v>
      </c>
      <c r="O35" s="52">
        <f t="shared" si="8"/>
        <v>5</v>
      </c>
      <c r="P35" s="53">
        <f t="shared" si="9"/>
        <v>70.444999999999993</v>
      </c>
      <c r="Q35" s="4"/>
      <c r="R35" s="4"/>
      <c r="S35" s="4"/>
      <c r="T35" s="1"/>
      <c r="U35" s="1"/>
    </row>
    <row r="36" spans="1:21" s="29" customFormat="1" ht="18.75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125</v>
      </c>
      <c r="H36" s="83" t="s">
        <v>23</v>
      </c>
      <c r="I36" s="53">
        <f t="shared" si="6"/>
        <v>0</v>
      </c>
      <c r="J36" s="50">
        <f t="shared" si="1"/>
        <v>0</v>
      </c>
      <c r="K36" s="10">
        <v>0</v>
      </c>
      <c r="L36" s="50">
        <f t="shared" si="7"/>
        <v>0</v>
      </c>
      <c r="M36" s="52">
        <v>22</v>
      </c>
      <c r="N36" s="59">
        <f t="shared" si="3"/>
        <v>22</v>
      </c>
      <c r="O36" s="52">
        <f t="shared" si="8"/>
        <v>0</v>
      </c>
      <c r="P36" s="53">
        <f t="shared" si="9"/>
        <v>22</v>
      </c>
      <c r="Q36" s="4"/>
      <c r="R36" s="4"/>
      <c r="S36" s="4"/>
      <c r="T36" s="1"/>
      <c r="U36" s="1"/>
    </row>
    <row r="37" spans="1:21" s="29" customFormat="1" ht="18.75">
      <c r="A37" s="9">
        <v>0</v>
      </c>
      <c r="B37" s="9">
        <v>33</v>
      </c>
      <c r="C37" s="8"/>
      <c r="D37" s="45" t="s">
        <v>65</v>
      </c>
      <c r="E37" s="32"/>
      <c r="F37" s="10">
        <v>2</v>
      </c>
      <c r="G37" s="10">
        <v>124</v>
      </c>
      <c r="H37" s="69" t="s">
        <v>32</v>
      </c>
      <c r="I37" s="53">
        <f t="shared" si="6"/>
        <v>6</v>
      </c>
      <c r="J37" s="50">
        <f t="shared" si="1"/>
        <v>1.8599999999999999</v>
      </c>
      <c r="K37" s="10">
        <v>0</v>
      </c>
      <c r="L37" s="50">
        <f t="shared" si="7"/>
        <v>7.8599999999999994</v>
      </c>
      <c r="M37" s="52">
        <v>66.239999999999995</v>
      </c>
      <c r="N37" s="59">
        <f t="shared" si="3"/>
        <v>74.099999999999994</v>
      </c>
      <c r="O37" s="52">
        <f t="shared" si="8"/>
        <v>5</v>
      </c>
      <c r="P37" s="53">
        <f t="shared" si="9"/>
        <v>69.099999999999994</v>
      </c>
      <c r="Q37" s="4"/>
      <c r="R37" s="4"/>
      <c r="S37" s="4"/>
      <c r="T37" s="1"/>
      <c r="U37" s="1"/>
    </row>
    <row r="38" spans="1:21" s="29" customFormat="1" ht="18.75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100</v>
      </c>
      <c r="H38" s="14" t="s">
        <v>32</v>
      </c>
      <c r="I38" s="53">
        <f t="shared" si="6"/>
        <v>11</v>
      </c>
      <c r="J38" s="50">
        <f t="shared" si="1"/>
        <v>2.25</v>
      </c>
      <c r="K38" s="10">
        <v>0</v>
      </c>
      <c r="L38" s="50">
        <f t="shared" si="7"/>
        <v>13.25</v>
      </c>
      <c r="M38" s="52">
        <v>80</v>
      </c>
      <c r="N38" s="59">
        <f t="shared" si="3"/>
        <v>93.25</v>
      </c>
      <c r="O38" s="52">
        <f t="shared" si="8"/>
        <v>5</v>
      </c>
      <c r="P38" s="53">
        <f t="shared" si="9"/>
        <v>88.25</v>
      </c>
      <c r="Q38" s="4"/>
      <c r="R38" s="4"/>
      <c r="S38" s="4"/>
      <c r="T38" s="1"/>
      <c r="U38" s="1"/>
    </row>
    <row r="39" spans="1:21" s="68" customFormat="1" ht="18.75">
      <c r="A39" s="9">
        <v>0</v>
      </c>
      <c r="B39" s="9">
        <v>35</v>
      </c>
      <c r="C39" s="8"/>
      <c r="D39" s="47" t="s">
        <v>67</v>
      </c>
      <c r="E39" s="2"/>
      <c r="F39" s="10">
        <v>4</v>
      </c>
      <c r="G39" s="10">
        <v>96</v>
      </c>
      <c r="H39" s="69" t="s">
        <v>32</v>
      </c>
      <c r="I39" s="53">
        <f t="shared" ref="I39:I48" si="10">F39*$U$11+IF(F39&gt;2,(F39-2)*$U$12,0)</f>
        <v>15</v>
      </c>
      <c r="J39" s="50">
        <f t="shared" si="1"/>
        <v>2.88</v>
      </c>
      <c r="K39" s="10">
        <v>0</v>
      </c>
      <c r="L39" s="50">
        <f t="shared" ref="L39:L48" si="11">SUM(J39+I39+K39)*(1-A39)</f>
        <v>17.88</v>
      </c>
      <c r="M39" s="52">
        <v>34.380000000000003</v>
      </c>
      <c r="N39" s="59">
        <f t="shared" si="3"/>
        <v>52.260000000000005</v>
      </c>
      <c r="O39" s="52">
        <f t="shared" ref="O39:O48" si="12">VLOOKUP(H39,$T$3:$U$10,2,FALSE)*(1-A39)</f>
        <v>5</v>
      </c>
      <c r="P39" s="53">
        <f t="shared" ref="P39:P48" si="13">L39+M39-O39</f>
        <v>47.260000000000005</v>
      </c>
      <c r="Q39" s="4"/>
      <c r="R39" s="4"/>
      <c r="S39" s="4"/>
      <c r="T39" s="3"/>
      <c r="U39" s="3"/>
    </row>
    <row r="40" spans="1:21" ht="18.75">
      <c r="A40" s="9">
        <v>0</v>
      </c>
      <c r="B40" s="9">
        <v>36</v>
      </c>
      <c r="C40" s="8"/>
      <c r="D40" s="49" t="s">
        <v>68</v>
      </c>
      <c r="E40" s="2"/>
      <c r="F40" s="10">
        <v>0</v>
      </c>
      <c r="G40" s="10">
        <v>28</v>
      </c>
      <c r="H40" s="31" t="s">
        <v>23</v>
      </c>
      <c r="I40" s="53">
        <f t="shared" si="10"/>
        <v>0</v>
      </c>
      <c r="J40" s="50">
        <f t="shared" si="1"/>
        <v>0</v>
      </c>
      <c r="K40" s="10">
        <v>0</v>
      </c>
      <c r="L40" s="50">
        <f t="shared" si="11"/>
        <v>0</v>
      </c>
      <c r="M40" s="52">
        <v>40</v>
      </c>
      <c r="N40" s="59">
        <f t="shared" si="3"/>
        <v>40</v>
      </c>
      <c r="O40" s="52">
        <f t="shared" si="12"/>
        <v>0</v>
      </c>
      <c r="P40" s="53">
        <f t="shared" si="13"/>
        <v>40</v>
      </c>
      <c r="Q40" s="4"/>
      <c r="R40" s="4"/>
      <c r="S40" s="4"/>
      <c r="T40"/>
      <c r="U40"/>
    </row>
    <row r="41" spans="1:21" ht="18.75">
      <c r="A41" s="9">
        <v>0</v>
      </c>
      <c r="B41" s="9">
        <v>37</v>
      </c>
      <c r="C41" s="8"/>
      <c r="D41" s="49" t="s">
        <v>69</v>
      </c>
      <c r="E41" s="2"/>
      <c r="F41" s="10">
        <v>1</v>
      </c>
      <c r="G41" s="10">
        <v>52</v>
      </c>
      <c r="H41" s="69" t="s">
        <v>32</v>
      </c>
      <c r="I41" s="53">
        <f t="shared" si="10"/>
        <v>3</v>
      </c>
      <c r="J41" s="50">
        <f t="shared" si="1"/>
        <v>0.39</v>
      </c>
      <c r="K41" s="10">
        <v>0</v>
      </c>
      <c r="L41" s="50">
        <f t="shared" si="11"/>
        <v>3.39</v>
      </c>
      <c r="M41" s="52">
        <v>-0.48000000000000043</v>
      </c>
      <c r="N41" s="59">
        <f t="shared" si="3"/>
        <v>2.9099999999999997</v>
      </c>
      <c r="O41" s="52">
        <f t="shared" si="12"/>
        <v>5</v>
      </c>
      <c r="P41" s="53">
        <f t="shared" si="13"/>
        <v>-2.0900000000000003</v>
      </c>
      <c r="Q41" s="4"/>
      <c r="R41" s="4"/>
      <c r="S41" s="4"/>
      <c r="T41"/>
      <c r="U41"/>
    </row>
    <row r="42" spans="1:21" ht="18.75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14" t="s">
        <v>32</v>
      </c>
      <c r="I42" s="53">
        <f t="shared" si="10"/>
        <v>6</v>
      </c>
      <c r="J42" s="50">
        <f t="shared" si="1"/>
        <v>0.09</v>
      </c>
      <c r="K42" s="10">
        <v>0</v>
      </c>
      <c r="L42" s="50">
        <f t="shared" si="11"/>
        <v>0</v>
      </c>
      <c r="M42" s="52">
        <v>4</v>
      </c>
      <c r="N42" s="59">
        <f t="shared" si="3"/>
        <v>0</v>
      </c>
      <c r="O42" s="17">
        <f t="shared" si="12"/>
        <v>0</v>
      </c>
      <c r="P42" s="53">
        <f t="shared" si="13"/>
        <v>4</v>
      </c>
      <c r="Q42" s="4"/>
      <c r="R42" s="4"/>
      <c r="S42" s="4"/>
      <c r="T42"/>
      <c r="U42"/>
    </row>
    <row r="43" spans="1:21" ht="18.75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10"/>
        <v>0</v>
      </c>
      <c r="J43" s="50">
        <f t="shared" si="1"/>
        <v>0</v>
      </c>
      <c r="K43" s="10">
        <v>0</v>
      </c>
      <c r="L43" s="50">
        <f t="shared" si="11"/>
        <v>0</v>
      </c>
      <c r="M43" s="52">
        <v>-3</v>
      </c>
      <c r="N43" s="59">
        <f t="shared" si="3"/>
        <v>0</v>
      </c>
      <c r="O43" s="17">
        <f t="shared" si="12"/>
        <v>0</v>
      </c>
      <c r="P43" s="53">
        <f t="shared" si="13"/>
        <v>-3</v>
      </c>
      <c r="Q43" s="4"/>
      <c r="R43" s="4"/>
      <c r="S43" s="4"/>
      <c r="T43"/>
      <c r="U43"/>
    </row>
    <row r="44" spans="1:21" customFormat="1" ht="18.75">
      <c r="A44" s="9">
        <v>1</v>
      </c>
      <c r="B44" s="9">
        <v>40</v>
      </c>
      <c r="C44" s="8"/>
      <c r="D44" s="45" t="s">
        <v>72</v>
      </c>
      <c r="E44" s="34"/>
      <c r="F44" s="10">
        <v>1</v>
      </c>
      <c r="G44" s="10">
        <v>8</v>
      </c>
      <c r="H44" s="69" t="s">
        <v>32</v>
      </c>
      <c r="I44" s="53">
        <f t="shared" si="10"/>
        <v>3</v>
      </c>
      <c r="J44" s="50">
        <f t="shared" si="1"/>
        <v>0.06</v>
      </c>
      <c r="K44" s="10">
        <v>0</v>
      </c>
      <c r="L44" s="50">
        <f t="shared" si="11"/>
        <v>0</v>
      </c>
      <c r="M44" s="52">
        <v>7</v>
      </c>
      <c r="N44" s="59">
        <f t="shared" si="3"/>
        <v>0</v>
      </c>
      <c r="O44" s="17">
        <f t="shared" si="12"/>
        <v>0</v>
      </c>
      <c r="P44" s="53">
        <f t="shared" si="13"/>
        <v>7</v>
      </c>
      <c r="Q44" s="4"/>
      <c r="R44" s="4"/>
      <c r="S44" s="4"/>
    </row>
    <row r="45" spans="1:21" customFormat="1" ht="18.75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63">
        <f t="shared" si="10"/>
        <v>0</v>
      </c>
      <c r="J45" s="64">
        <f t="shared" si="1"/>
        <v>0</v>
      </c>
      <c r="K45" s="62">
        <v>0</v>
      </c>
      <c r="L45" s="64">
        <f t="shared" si="11"/>
        <v>0</v>
      </c>
      <c r="M45" s="65">
        <v>10</v>
      </c>
      <c r="N45" s="66">
        <f t="shared" si="3"/>
        <v>10</v>
      </c>
      <c r="O45" s="65">
        <f t="shared" si="12"/>
        <v>0</v>
      </c>
      <c r="P45" s="63">
        <f t="shared" si="13"/>
        <v>10</v>
      </c>
      <c r="Q45" s="67"/>
      <c r="R45" s="67"/>
      <c r="S45" s="67"/>
    </row>
    <row r="46" spans="1:21" customFormat="1" ht="18.75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32</v>
      </c>
      <c r="I46" s="53">
        <f t="shared" si="10"/>
        <v>6</v>
      </c>
      <c r="J46" s="50">
        <f t="shared" si="1"/>
        <v>0.09</v>
      </c>
      <c r="K46" s="10">
        <v>0</v>
      </c>
      <c r="L46" s="50">
        <f t="shared" si="11"/>
        <v>0</v>
      </c>
      <c r="M46" s="52">
        <v>0</v>
      </c>
      <c r="N46" s="59">
        <f t="shared" si="3"/>
        <v>0</v>
      </c>
      <c r="O46" s="17">
        <f t="shared" si="12"/>
        <v>0</v>
      </c>
      <c r="P46" s="53">
        <f t="shared" si="13"/>
        <v>0</v>
      </c>
      <c r="Q46" s="4"/>
      <c r="R46" s="4"/>
      <c r="S46" s="4"/>
    </row>
    <row r="47" spans="1:21" ht="18.75">
      <c r="A47" s="9">
        <v>0</v>
      </c>
      <c r="B47" s="9">
        <v>43</v>
      </c>
      <c r="C47" s="61"/>
      <c r="D47" s="49" t="s">
        <v>84</v>
      </c>
      <c r="E47" s="33"/>
      <c r="F47" s="10">
        <v>4</v>
      </c>
      <c r="G47" s="10">
        <v>22</v>
      </c>
      <c r="H47" s="69" t="s">
        <v>32</v>
      </c>
      <c r="I47" s="53">
        <f t="shared" si="10"/>
        <v>15</v>
      </c>
      <c r="J47" s="50">
        <f t="shared" si="1"/>
        <v>0.65999999999999992</v>
      </c>
      <c r="K47" s="10">
        <v>0</v>
      </c>
      <c r="L47" s="50">
        <f t="shared" si="11"/>
        <v>15.66</v>
      </c>
      <c r="M47" s="52">
        <v>5.16</v>
      </c>
      <c r="N47" s="59">
        <f t="shared" si="3"/>
        <v>20.82</v>
      </c>
      <c r="O47" s="17">
        <f t="shared" si="12"/>
        <v>5</v>
      </c>
      <c r="P47" s="53">
        <f t="shared" si="13"/>
        <v>15.82</v>
      </c>
      <c r="Q47" s="4"/>
      <c r="R47" s="4"/>
      <c r="S47" s="4"/>
    </row>
    <row r="48" spans="1:21" ht="18.75">
      <c r="A48" s="9">
        <v>0</v>
      </c>
      <c r="B48" s="9">
        <v>44</v>
      </c>
      <c r="C48" s="61"/>
      <c r="D48" s="49" t="s">
        <v>83</v>
      </c>
      <c r="E48" s="33"/>
      <c r="F48" s="10">
        <v>4</v>
      </c>
      <c r="G48" s="10">
        <v>138</v>
      </c>
      <c r="H48" s="14" t="s">
        <v>32</v>
      </c>
      <c r="I48" s="53">
        <f t="shared" si="10"/>
        <v>15</v>
      </c>
      <c r="J48" s="50">
        <f t="shared" si="1"/>
        <v>4.1399999999999997</v>
      </c>
      <c r="K48" s="10">
        <v>0</v>
      </c>
      <c r="L48" s="50">
        <f t="shared" si="11"/>
        <v>19.14</v>
      </c>
      <c r="M48" s="52">
        <v>65.38</v>
      </c>
      <c r="N48" s="59">
        <f t="shared" si="3"/>
        <v>84.52</v>
      </c>
      <c r="O48" s="17">
        <f t="shared" si="12"/>
        <v>5</v>
      </c>
      <c r="P48" s="53">
        <f t="shared" si="13"/>
        <v>79.52</v>
      </c>
      <c r="Q48" s="4"/>
      <c r="R48" s="4"/>
      <c r="S48" s="4"/>
    </row>
  </sheetData>
  <autoFilter ref="A4:S48" xr:uid="{28593B8F-03E7-4BE1-B554-FC0AADC431B2}">
    <sortState xmlns:xlrd2="http://schemas.microsoft.com/office/spreadsheetml/2017/richdata2" ref="A5:S48">
      <sortCondition ref="B4:B48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36" priority="6" operator="lessThan">
      <formula>1</formula>
    </cfRule>
  </conditionalFormatting>
  <conditionalFormatting sqref="F5:F48">
    <cfRule type="cellIs" dxfId="35" priority="5" operator="lessThan">
      <formula>1</formula>
    </cfRule>
  </conditionalFormatting>
  <conditionalFormatting sqref="K47 G47">
    <cfRule type="cellIs" dxfId="34" priority="4" operator="lessThan">
      <formula>1</formula>
    </cfRule>
  </conditionalFormatting>
  <conditionalFormatting sqref="K48 G48">
    <cfRule type="cellIs" dxfId="33" priority="2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96EF-A6F4-4EA0-8592-5A7A5E4B6E11}">
  <dimension ref="A1:U49"/>
  <sheetViews>
    <sheetView topLeftCell="A7" zoomScale="70" zoomScaleNormal="70" workbookViewId="0">
      <selection activeCell="P6" sqref="P6"/>
    </sheetView>
  </sheetViews>
  <sheetFormatPr defaultColWidth="9" defaultRowHeight="13.5"/>
  <cols>
    <col min="1" max="1" width="7.625" customWidth="1"/>
    <col min="2" max="2" width="6.625" style="18" customWidth="1"/>
    <col min="3" max="3" width="19.75" style="68" hidden="1" customWidth="1"/>
    <col min="4" max="4" width="22.75" style="68" bestFit="1" customWidth="1"/>
    <col min="5" max="5" width="18.375" style="18" hidden="1" customWidth="1"/>
    <col min="6" max="6" width="13.125" style="18" customWidth="1"/>
    <col min="7" max="7" width="11.125" style="18" customWidth="1"/>
    <col min="8" max="8" width="20" style="18" customWidth="1"/>
    <col min="9" max="9" width="9" style="18" customWidth="1"/>
    <col min="10" max="10" width="9.625" style="18" customWidth="1"/>
    <col min="11" max="11" width="8.625" style="18" customWidth="1"/>
    <col min="12" max="12" width="9" style="18" customWidth="1"/>
    <col min="13" max="14" width="9.75" style="18" customWidth="1"/>
    <col min="15" max="15" width="9.25" style="18" customWidth="1"/>
    <col min="16" max="16" width="9.875" style="18" customWidth="1"/>
    <col min="17" max="19" width="11.125" style="18" customWidth="1"/>
    <col min="20" max="20" width="30.5" style="18" customWidth="1"/>
    <col min="21" max="21" width="10" style="18" bestFit="1" customWidth="1"/>
    <col min="22" max="16384" width="9" style="18"/>
  </cols>
  <sheetData>
    <row r="1" spans="1:21" ht="36.6" customHeight="1">
      <c r="B1" s="91" t="str">
        <f>CONCATENATE("101-104区 风の气息",U15,"年",U16,"月",U17,"日","分包贡献明细"," 统计：音")</f>
        <v>101-104区 风の气息2022年3月26日分包贡献明细 统计：音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41"/>
      <c r="R1" s="41"/>
      <c r="S1" s="41"/>
      <c r="T1" s="19" t="s">
        <v>8</v>
      </c>
      <c r="U1" s="5">
        <v>67</v>
      </c>
    </row>
    <row r="2" spans="1:21" ht="117.6" customHeight="1">
      <c r="B2" s="93" t="s">
        <v>82</v>
      </c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42"/>
      <c r="R2" s="42"/>
      <c r="S2" s="42"/>
      <c r="T2" s="20" t="s">
        <v>0</v>
      </c>
      <c r="U2" s="21" t="s">
        <v>9</v>
      </c>
    </row>
    <row r="3" spans="1:21" ht="20.25">
      <c r="B3" s="96" t="s">
        <v>13</v>
      </c>
      <c r="C3" s="96"/>
      <c r="D3" s="96"/>
      <c r="E3" s="96"/>
      <c r="F3" s="100" t="s">
        <v>10</v>
      </c>
      <c r="G3" s="101"/>
      <c r="H3" s="97" t="s">
        <v>14</v>
      </c>
      <c r="I3" s="98"/>
      <c r="J3" s="98"/>
      <c r="K3" s="98"/>
      <c r="L3" s="98"/>
      <c r="M3" s="98"/>
      <c r="N3" s="98"/>
      <c r="O3" s="98"/>
      <c r="P3" s="99"/>
      <c r="Q3" s="40"/>
      <c r="R3" s="40"/>
      <c r="S3" s="40"/>
      <c r="T3" s="70" t="s">
        <v>15</v>
      </c>
      <c r="U3" s="23">
        <v>22</v>
      </c>
    </row>
    <row r="4" spans="1:21" ht="40.5">
      <c r="A4" s="79" t="s">
        <v>76</v>
      </c>
      <c r="B4" s="79" t="s">
        <v>2</v>
      </c>
      <c r="C4" s="39" t="s">
        <v>16</v>
      </c>
      <c r="D4" s="79" t="s">
        <v>3</v>
      </c>
      <c r="E4" s="79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.75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293</v>
      </c>
      <c r="H5" s="70" t="s">
        <v>15</v>
      </c>
      <c r="I5" s="53">
        <f t="shared" ref="I5:I49" si="0">F5*$U$11+IF(F5&gt;2,(F5-2)*$U$12,0)</f>
        <v>10.5</v>
      </c>
      <c r="J5" s="50">
        <f>IF(MAX($F$5:$F$46)=0,0,G5*$U$14)</f>
        <v>8.7899999999999991</v>
      </c>
      <c r="K5" s="10">
        <v>0</v>
      </c>
      <c r="L5" s="50">
        <f t="shared" ref="L5:L49" si="1">SUM(J5+I5+K5)*(1-A5)</f>
        <v>19.29</v>
      </c>
      <c r="M5" s="52">
        <v>85.384999999999991</v>
      </c>
      <c r="N5" s="59">
        <f t="shared" ref="N5:N49" si="2">(L5+M5)*(1-A5)</f>
        <v>104.67499999999998</v>
      </c>
      <c r="O5" s="17">
        <f t="shared" ref="O5:O49" si="3">VLOOKUP(H5,$T$3:$U$10,2,FALSE)*(1-A5)</f>
        <v>22</v>
      </c>
      <c r="P5" s="53">
        <f>L5+M5-O5</f>
        <v>82.674999999999983</v>
      </c>
      <c r="Q5" s="11"/>
      <c r="R5" s="11"/>
      <c r="S5" s="11"/>
      <c r="T5" s="69" t="s">
        <v>22</v>
      </c>
      <c r="U5" s="23">
        <v>10</v>
      </c>
    </row>
    <row r="6" spans="1:21" s="29" customFormat="1" ht="18.75">
      <c r="A6" s="9">
        <v>0</v>
      </c>
      <c r="B6" s="9">
        <v>2</v>
      </c>
      <c r="C6" s="8"/>
      <c r="D6" s="45" t="s">
        <v>34</v>
      </c>
      <c r="E6" s="32"/>
      <c r="F6" s="10">
        <v>1</v>
      </c>
      <c r="G6" s="10">
        <v>222</v>
      </c>
      <c r="H6" s="69" t="s">
        <v>22</v>
      </c>
      <c r="I6" s="53">
        <f t="shared" si="0"/>
        <v>3</v>
      </c>
      <c r="J6" s="50">
        <f>IF(MAX($F$5:$F$46)=0,0,G6*$U$14*F6/MAX($F$5:$F$46))</f>
        <v>2.2200000000000002</v>
      </c>
      <c r="K6" s="10">
        <v>0</v>
      </c>
      <c r="L6" s="50">
        <f t="shared" si="1"/>
        <v>5.2200000000000006</v>
      </c>
      <c r="M6" s="52">
        <v>85</v>
      </c>
      <c r="N6" s="59">
        <f t="shared" si="2"/>
        <v>90.22</v>
      </c>
      <c r="O6" s="17">
        <f t="shared" si="3"/>
        <v>10</v>
      </c>
      <c r="P6" s="53">
        <f>_xlfn.FLOOR.MATH(L6+M6-O6)</f>
        <v>80</v>
      </c>
      <c r="Q6" s="11"/>
      <c r="R6" s="11"/>
      <c r="S6" s="11"/>
      <c r="T6" s="69"/>
      <c r="U6" s="23"/>
    </row>
    <row r="7" spans="1:21" s="29" customFormat="1" ht="18.75">
      <c r="A7" s="9">
        <v>0</v>
      </c>
      <c r="B7" s="9">
        <v>3</v>
      </c>
      <c r="C7" s="8"/>
      <c r="D7" s="45" t="s">
        <v>35</v>
      </c>
      <c r="E7" s="32"/>
      <c r="F7" s="10">
        <v>3</v>
      </c>
      <c r="G7" s="10">
        <v>217</v>
      </c>
      <c r="H7" s="69" t="s">
        <v>22</v>
      </c>
      <c r="I7" s="53">
        <f t="shared" si="0"/>
        <v>10.5</v>
      </c>
      <c r="J7" s="50">
        <f t="shared" ref="J7:J49" si="4">IF(MAX($F$5:$F$46)=0,0,G7*$U$14)</f>
        <v>6.51</v>
      </c>
      <c r="K7" s="10">
        <v>0</v>
      </c>
      <c r="L7" s="50">
        <f t="shared" si="1"/>
        <v>17.009999999999998</v>
      </c>
      <c r="M7" s="52">
        <v>78.265000000000001</v>
      </c>
      <c r="N7" s="59">
        <f t="shared" si="2"/>
        <v>95.275000000000006</v>
      </c>
      <c r="O7" s="17">
        <f t="shared" si="3"/>
        <v>10</v>
      </c>
      <c r="P7" s="53">
        <f t="shared" ref="P7:P32" si="5">L7+M7-O7</f>
        <v>85.275000000000006</v>
      </c>
      <c r="Q7" s="11"/>
      <c r="R7" s="11"/>
      <c r="S7" s="11"/>
      <c r="T7" s="72" t="s">
        <v>30</v>
      </c>
      <c r="U7" s="23">
        <v>15</v>
      </c>
    </row>
    <row r="8" spans="1:21" s="29" customFormat="1" ht="18.75">
      <c r="A8" s="9">
        <v>0</v>
      </c>
      <c r="B8" s="9">
        <v>4</v>
      </c>
      <c r="C8" s="8"/>
      <c r="D8" s="45" t="s">
        <v>36</v>
      </c>
      <c r="E8" s="36"/>
      <c r="F8" s="10">
        <v>2</v>
      </c>
      <c r="G8" s="10">
        <v>217</v>
      </c>
      <c r="H8" s="69" t="s">
        <v>22</v>
      </c>
      <c r="I8" s="53">
        <f t="shared" si="0"/>
        <v>6</v>
      </c>
      <c r="J8" s="50">
        <f t="shared" si="4"/>
        <v>6.51</v>
      </c>
      <c r="K8" s="10">
        <v>0</v>
      </c>
      <c r="L8" s="50">
        <f t="shared" si="1"/>
        <v>12.51</v>
      </c>
      <c r="M8" s="52">
        <v>82.792500000000018</v>
      </c>
      <c r="N8" s="59">
        <f t="shared" si="2"/>
        <v>95.302500000000023</v>
      </c>
      <c r="O8" s="17">
        <f t="shared" si="3"/>
        <v>10</v>
      </c>
      <c r="P8" s="53">
        <f t="shared" si="5"/>
        <v>85.302500000000023</v>
      </c>
      <c r="Q8" s="11"/>
      <c r="R8" s="11"/>
      <c r="S8" s="11"/>
      <c r="T8" s="73" t="s">
        <v>31</v>
      </c>
      <c r="U8" s="23">
        <v>9</v>
      </c>
    </row>
    <row r="9" spans="1:21" s="29" customFormat="1" ht="18.75">
      <c r="A9" s="9">
        <v>0</v>
      </c>
      <c r="B9" s="9">
        <v>5</v>
      </c>
      <c r="C9" s="8"/>
      <c r="D9" s="45" t="s">
        <v>37</v>
      </c>
      <c r="E9" s="32"/>
      <c r="F9" s="10">
        <v>3</v>
      </c>
      <c r="G9" s="10">
        <v>217</v>
      </c>
      <c r="H9" s="70" t="s">
        <v>15</v>
      </c>
      <c r="I9" s="53">
        <f t="shared" si="0"/>
        <v>10.5</v>
      </c>
      <c r="J9" s="50">
        <f t="shared" si="4"/>
        <v>6.51</v>
      </c>
      <c r="K9" s="10">
        <v>0</v>
      </c>
      <c r="L9" s="50">
        <f t="shared" si="1"/>
        <v>17.009999999999998</v>
      </c>
      <c r="M9" s="52">
        <v>87.52000000000001</v>
      </c>
      <c r="N9" s="59">
        <f t="shared" si="2"/>
        <v>104.53</v>
      </c>
      <c r="O9" s="17">
        <f t="shared" si="3"/>
        <v>22</v>
      </c>
      <c r="P9" s="53">
        <f t="shared" si="5"/>
        <v>82.53</v>
      </c>
      <c r="Q9" s="11"/>
      <c r="R9" s="11"/>
      <c r="S9" s="25"/>
      <c r="T9" s="69" t="s">
        <v>32</v>
      </c>
      <c r="U9" s="23">
        <v>5</v>
      </c>
    </row>
    <row r="10" spans="1:21" s="29" customFormat="1" ht="18.75">
      <c r="A10" s="9">
        <v>0</v>
      </c>
      <c r="B10" s="9">
        <v>6</v>
      </c>
      <c r="C10" s="8"/>
      <c r="D10" s="45" t="s">
        <v>38</v>
      </c>
      <c r="E10" s="32"/>
      <c r="F10" s="10">
        <v>3</v>
      </c>
      <c r="G10" s="10">
        <v>212</v>
      </c>
      <c r="H10" s="70" t="s">
        <v>15</v>
      </c>
      <c r="I10" s="53">
        <f t="shared" si="0"/>
        <v>10.5</v>
      </c>
      <c r="J10" s="50">
        <f t="shared" si="4"/>
        <v>6.3599999999999994</v>
      </c>
      <c r="K10" s="10">
        <v>0</v>
      </c>
      <c r="L10" s="50">
        <f t="shared" si="1"/>
        <v>16.86</v>
      </c>
      <c r="M10" s="52">
        <v>87.22</v>
      </c>
      <c r="N10" s="59">
        <f t="shared" si="2"/>
        <v>104.08</v>
      </c>
      <c r="O10" s="17">
        <f t="shared" si="3"/>
        <v>22</v>
      </c>
      <c r="P10" s="53">
        <f t="shared" si="5"/>
        <v>82.08</v>
      </c>
      <c r="Q10" s="11"/>
      <c r="R10" s="11"/>
      <c r="S10" s="16"/>
      <c r="T10" s="2" t="s">
        <v>23</v>
      </c>
      <c r="U10" s="2">
        <v>0</v>
      </c>
    </row>
    <row r="11" spans="1:21" s="29" customFormat="1" ht="18.75">
      <c r="A11" s="9">
        <v>1</v>
      </c>
      <c r="B11" s="9">
        <v>7</v>
      </c>
      <c r="C11" s="8"/>
      <c r="D11" s="45" t="s">
        <v>39</v>
      </c>
      <c r="E11" s="32"/>
      <c r="F11" s="10">
        <v>3</v>
      </c>
      <c r="G11" s="10">
        <v>211</v>
      </c>
      <c r="H11" s="69" t="s">
        <v>22</v>
      </c>
      <c r="I11" s="53">
        <f t="shared" si="0"/>
        <v>10.5</v>
      </c>
      <c r="J11" s="50">
        <f t="shared" si="4"/>
        <v>6.33</v>
      </c>
      <c r="K11" s="10">
        <v>0</v>
      </c>
      <c r="L11" s="50">
        <f t="shared" si="1"/>
        <v>0</v>
      </c>
      <c r="M11" s="52">
        <v>81</v>
      </c>
      <c r="N11" s="59">
        <f t="shared" si="2"/>
        <v>0</v>
      </c>
      <c r="O11" s="17">
        <f t="shared" si="3"/>
        <v>0</v>
      </c>
      <c r="P11" s="53">
        <f t="shared" si="5"/>
        <v>81</v>
      </c>
      <c r="Q11" s="11"/>
      <c r="R11" s="11"/>
      <c r="S11" s="26"/>
      <c r="T11" s="74" t="s">
        <v>79</v>
      </c>
      <c r="U11" s="75">
        <v>3</v>
      </c>
    </row>
    <row r="12" spans="1:21" s="29" customFormat="1" ht="18.75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202</v>
      </c>
      <c r="H12" s="71" t="s">
        <v>21</v>
      </c>
      <c r="I12" s="53">
        <f t="shared" si="0"/>
        <v>10.5</v>
      </c>
      <c r="J12" s="50">
        <f t="shared" si="4"/>
        <v>6.06</v>
      </c>
      <c r="K12" s="10">
        <v>0</v>
      </c>
      <c r="L12" s="50">
        <f t="shared" si="1"/>
        <v>16.559999999999999</v>
      </c>
      <c r="M12" s="52">
        <v>84.605000000000004</v>
      </c>
      <c r="N12" s="59">
        <f t="shared" si="2"/>
        <v>101.16500000000001</v>
      </c>
      <c r="O12" s="17">
        <f t="shared" si="3"/>
        <v>13</v>
      </c>
      <c r="P12" s="53">
        <f t="shared" si="5"/>
        <v>88.165000000000006</v>
      </c>
      <c r="Q12" s="11"/>
      <c r="R12" s="11"/>
      <c r="S12" s="26"/>
      <c r="T12" s="74" t="s">
        <v>80</v>
      </c>
      <c r="U12" s="74">
        <v>1.5</v>
      </c>
    </row>
    <row r="13" spans="1:21" s="29" customFormat="1" ht="18.75">
      <c r="A13" s="9">
        <v>0</v>
      </c>
      <c r="B13" s="9">
        <v>9</v>
      </c>
      <c r="C13" s="8"/>
      <c r="D13" s="45" t="s">
        <v>41</v>
      </c>
      <c r="E13" s="36"/>
      <c r="F13" s="10">
        <v>1</v>
      </c>
      <c r="G13" s="10">
        <v>201</v>
      </c>
      <c r="H13" s="69" t="s">
        <v>22</v>
      </c>
      <c r="I13" s="53">
        <f t="shared" si="0"/>
        <v>3</v>
      </c>
      <c r="J13" s="50">
        <f t="shared" si="4"/>
        <v>6.0299999999999994</v>
      </c>
      <c r="K13" s="10">
        <v>0</v>
      </c>
      <c r="L13" s="50">
        <f t="shared" si="1"/>
        <v>9.0299999999999994</v>
      </c>
      <c r="M13" s="52">
        <v>86.552499999999995</v>
      </c>
      <c r="N13" s="59">
        <f t="shared" si="2"/>
        <v>95.582499999999996</v>
      </c>
      <c r="O13" s="17">
        <f t="shared" si="3"/>
        <v>10</v>
      </c>
      <c r="P13" s="53">
        <f t="shared" si="5"/>
        <v>85.582499999999996</v>
      </c>
      <c r="Q13" s="11"/>
      <c r="R13" s="11"/>
      <c r="S13" s="25"/>
      <c r="T13" s="76" t="s">
        <v>24</v>
      </c>
      <c r="U13" s="2">
        <v>1</v>
      </c>
    </row>
    <row r="14" spans="1:21" s="29" customFormat="1" ht="18.75">
      <c r="A14" s="9">
        <v>0</v>
      </c>
      <c r="B14" s="9">
        <v>10</v>
      </c>
      <c r="C14" s="8"/>
      <c r="D14" s="45" t="s">
        <v>42</v>
      </c>
      <c r="E14" s="33"/>
      <c r="F14" s="10">
        <v>3</v>
      </c>
      <c r="G14" s="10">
        <v>200</v>
      </c>
      <c r="H14" s="70" t="s">
        <v>15</v>
      </c>
      <c r="I14" s="53">
        <f t="shared" si="0"/>
        <v>10.5</v>
      </c>
      <c r="J14" s="50">
        <f t="shared" si="4"/>
        <v>6</v>
      </c>
      <c r="K14" s="10">
        <v>0</v>
      </c>
      <c r="L14" s="50">
        <f t="shared" si="1"/>
        <v>16.5</v>
      </c>
      <c r="M14" s="52">
        <v>85.38</v>
      </c>
      <c r="N14" s="59">
        <f t="shared" si="2"/>
        <v>101.88</v>
      </c>
      <c r="O14" s="17">
        <f t="shared" si="3"/>
        <v>22</v>
      </c>
      <c r="P14" s="53">
        <f t="shared" si="5"/>
        <v>79.88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.75">
      <c r="A15" s="9">
        <v>0</v>
      </c>
      <c r="B15" s="9">
        <v>11</v>
      </c>
      <c r="C15" s="8"/>
      <c r="D15" s="45" t="s">
        <v>43</v>
      </c>
      <c r="E15" s="32"/>
      <c r="F15" s="10">
        <v>3</v>
      </c>
      <c r="G15" s="10">
        <v>195</v>
      </c>
      <c r="H15" s="70" t="s">
        <v>15</v>
      </c>
      <c r="I15" s="53">
        <f t="shared" si="0"/>
        <v>10.5</v>
      </c>
      <c r="J15" s="50">
        <f t="shared" si="4"/>
        <v>5.85</v>
      </c>
      <c r="K15" s="10">
        <v>0</v>
      </c>
      <c r="L15" s="50">
        <f t="shared" si="1"/>
        <v>16.350000000000001</v>
      </c>
      <c r="M15" s="52">
        <v>86.787500000000009</v>
      </c>
      <c r="N15" s="59">
        <f t="shared" si="2"/>
        <v>103.13750000000002</v>
      </c>
      <c r="O15" s="17">
        <f t="shared" si="3"/>
        <v>22</v>
      </c>
      <c r="P15" s="53">
        <f t="shared" si="5"/>
        <v>81.137500000000017</v>
      </c>
      <c r="Q15" s="4"/>
      <c r="R15" s="4"/>
      <c r="S15" s="4"/>
      <c r="T15" s="2" t="s">
        <v>25</v>
      </c>
      <c r="U15" s="2">
        <v>2022</v>
      </c>
    </row>
    <row r="16" spans="1:21" s="29" customFormat="1" ht="18.75">
      <c r="A16" s="9">
        <v>0</v>
      </c>
      <c r="B16" s="9">
        <v>12</v>
      </c>
      <c r="C16" s="8"/>
      <c r="D16" s="45" t="s">
        <v>44</v>
      </c>
      <c r="E16" s="32"/>
      <c r="F16" s="10">
        <v>3</v>
      </c>
      <c r="G16" s="10">
        <v>193</v>
      </c>
      <c r="H16" s="70" t="s">
        <v>15</v>
      </c>
      <c r="I16" s="53">
        <f t="shared" si="0"/>
        <v>10.5</v>
      </c>
      <c r="J16" s="50">
        <f t="shared" si="4"/>
        <v>5.79</v>
      </c>
      <c r="K16" s="10">
        <v>0</v>
      </c>
      <c r="L16" s="50">
        <f t="shared" si="1"/>
        <v>16.29</v>
      </c>
      <c r="M16" s="52">
        <v>85.9</v>
      </c>
      <c r="N16" s="59">
        <f t="shared" si="2"/>
        <v>102.19</v>
      </c>
      <c r="O16" s="17">
        <f t="shared" si="3"/>
        <v>22</v>
      </c>
      <c r="P16" s="53">
        <f t="shared" si="5"/>
        <v>80.19</v>
      </c>
      <c r="Q16" s="4"/>
      <c r="R16" s="4"/>
      <c r="S16" s="4"/>
      <c r="T16" s="2" t="s">
        <v>26</v>
      </c>
      <c r="U16" s="2">
        <v>3</v>
      </c>
    </row>
    <row r="17" spans="1:21" s="29" customFormat="1" ht="18.75">
      <c r="A17" s="9">
        <v>0</v>
      </c>
      <c r="B17" s="9">
        <v>13</v>
      </c>
      <c r="C17" s="8"/>
      <c r="D17" s="45" t="s">
        <v>45</v>
      </c>
      <c r="E17" s="35"/>
      <c r="F17" s="10">
        <v>2</v>
      </c>
      <c r="G17" s="10">
        <v>186</v>
      </c>
      <c r="H17" s="69" t="s">
        <v>22</v>
      </c>
      <c r="I17" s="53">
        <f t="shared" si="0"/>
        <v>6</v>
      </c>
      <c r="J17" s="50">
        <f t="shared" si="4"/>
        <v>5.58</v>
      </c>
      <c r="K17" s="10">
        <v>0</v>
      </c>
      <c r="L17" s="50">
        <f t="shared" si="1"/>
        <v>11.58</v>
      </c>
      <c r="M17" s="52">
        <v>84.509999999999991</v>
      </c>
      <c r="N17" s="59">
        <f t="shared" si="2"/>
        <v>96.089999999999989</v>
      </c>
      <c r="O17" s="17">
        <f t="shared" si="3"/>
        <v>10</v>
      </c>
      <c r="P17" s="53">
        <f t="shared" si="5"/>
        <v>86.089999999999989</v>
      </c>
      <c r="Q17" s="4"/>
      <c r="R17" s="4"/>
      <c r="S17" s="4"/>
      <c r="T17" s="2" t="s">
        <v>27</v>
      </c>
      <c r="U17" s="2">
        <v>26</v>
      </c>
    </row>
    <row r="18" spans="1:21" s="29" customFormat="1" ht="18.75">
      <c r="A18" s="9">
        <v>0</v>
      </c>
      <c r="B18" s="9">
        <v>14</v>
      </c>
      <c r="C18" s="8"/>
      <c r="D18" s="45" t="s">
        <v>46</v>
      </c>
      <c r="E18" s="32"/>
      <c r="F18" s="10">
        <v>3</v>
      </c>
      <c r="G18" s="10">
        <v>187</v>
      </c>
      <c r="H18" s="71" t="s">
        <v>21</v>
      </c>
      <c r="I18" s="53">
        <f t="shared" si="0"/>
        <v>10.5</v>
      </c>
      <c r="J18" s="50">
        <f t="shared" si="4"/>
        <v>5.6099999999999994</v>
      </c>
      <c r="K18" s="10">
        <v>0</v>
      </c>
      <c r="L18" s="50">
        <f t="shared" si="1"/>
        <v>16.11</v>
      </c>
      <c r="M18" s="52">
        <v>85.72</v>
      </c>
      <c r="N18" s="59">
        <f t="shared" si="2"/>
        <v>101.83</v>
      </c>
      <c r="O18" s="17">
        <f t="shared" si="3"/>
        <v>13</v>
      </c>
      <c r="P18" s="53">
        <f t="shared" si="5"/>
        <v>88.83</v>
      </c>
      <c r="Q18" s="4"/>
      <c r="R18" s="4"/>
      <c r="S18" s="4"/>
      <c r="T18" s="37"/>
    </row>
    <row r="19" spans="1:21" s="29" customFormat="1" ht="18.75">
      <c r="A19" s="9">
        <v>0</v>
      </c>
      <c r="B19" s="9">
        <v>15</v>
      </c>
      <c r="C19" s="8"/>
      <c r="D19" s="45" t="s">
        <v>47</v>
      </c>
      <c r="E19" s="32"/>
      <c r="F19" s="10">
        <v>3</v>
      </c>
      <c r="G19" s="10">
        <v>185</v>
      </c>
      <c r="H19" s="71" t="s">
        <v>21</v>
      </c>
      <c r="I19" s="53">
        <f t="shared" si="0"/>
        <v>10.5</v>
      </c>
      <c r="J19" s="50">
        <f t="shared" si="4"/>
        <v>5.55</v>
      </c>
      <c r="K19" s="10">
        <v>0</v>
      </c>
      <c r="L19" s="50">
        <f t="shared" si="1"/>
        <v>16.05</v>
      </c>
      <c r="M19" s="52">
        <v>85.6</v>
      </c>
      <c r="N19" s="59">
        <f t="shared" si="2"/>
        <v>101.64999999999999</v>
      </c>
      <c r="O19" s="17">
        <f t="shared" si="3"/>
        <v>13</v>
      </c>
      <c r="P19" s="53">
        <f t="shared" si="5"/>
        <v>88.649999999999991</v>
      </c>
      <c r="Q19" s="4"/>
      <c r="R19" s="4"/>
      <c r="S19" s="4"/>
      <c r="T19" s="1"/>
      <c r="U19" s="1"/>
    </row>
    <row r="20" spans="1:21" s="29" customFormat="1" ht="18.75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180</v>
      </c>
      <c r="H20" s="71" t="s">
        <v>21</v>
      </c>
      <c r="I20" s="53">
        <f t="shared" si="0"/>
        <v>10.5</v>
      </c>
      <c r="J20" s="50">
        <f t="shared" si="4"/>
        <v>5.3999999999999995</v>
      </c>
      <c r="K20" s="10">
        <v>0</v>
      </c>
      <c r="L20" s="50">
        <f t="shared" si="1"/>
        <v>15.899999999999999</v>
      </c>
      <c r="M20" s="52">
        <v>83.45</v>
      </c>
      <c r="N20" s="59">
        <f t="shared" si="2"/>
        <v>99.35</v>
      </c>
      <c r="O20" s="17">
        <f t="shared" si="3"/>
        <v>13</v>
      </c>
      <c r="P20" s="53">
        <f t="shared" si="5"/>
        <v>86.35</v>
      </c>
      <c r="Q20" s="4"/>
      <c r="R20" s="4"/>
      <c r="S20" s="4"/>
      <c r="T20" s="1"/>
      <c r="U20" s="1"/>
    </row>
    <row r="21" spans="1:21" s="29" customFormat="1" ht="18.75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177</v>
      </c>
      <c r="H21" s="71" t="s">
        <v>21</v>
      </c>
      <c r="I21" s="53">
        <f t="shared" si="0"/>
        <v>10.5</v>
      </c>
      <c r="J21" s="50">
        <f t="shared" si="4"/>
        <v>5.31</v>
      </c>
      <c r="K21" s="10">
        <v>0</v>
      </c>
      <c r="L21" s="50">
        <f t="shared" si="1"/>
        <v>15.809999999999999</v>
      </c>
      <c r="M21" s="52">
        <v>85.292500000000004</v>
      </c>
      <c r="N21" s="59">
        <f t="shared" si="2"/>
        <v>101.10250000000001</v>
      </c>
      <c r="O21" s="17">
        <f t="shared" si="3"/>
        <v>13</v>
      </c>
      <c r="P21" s="53">
        <f t="shared" si="5"/>
        <v>88.102500000000006</v>
      </c>
      <c r="Q21" s="4"/>
      <c r="R21" s="4"/>
      <c r="S21" s="4"/>
      <c r="T21" s="1"/>
      <c r="U21" s="1"/>
    </row>
    <row r="22" spans="1:21" s="29" customFormat="1" ht="18.75">
      <c r="A22" s="9">
        <v>0</v>
      </c>
      <c r="B22" s="9">
        <v>18</v>
      </c>
      <c r="C22" s="8"/>
      <c r="D22" s="45" t="s">
        <v>50</v>
      </c>
      <c r="E22" s="32"/>
      <c r="F22" s="10">
        <v>1</v>
      </c>
      <c r="G22" s="10">
        <v>177</v>
      </c>
      <c r="H22" s="69" t="s">
        <v>22</v>
      </c>
      <c r="I22" s="53">
        <f t="shared" si="0"/>
        <v>3</v>
      </c>
      <c r="J22" s="50">
        <f t="shared" si="4"/>
        <v>5.31</v>
      </c>
      <c r="K22" s="10">
        <v>0</v>
      </c>
      <c r="L22" s="50">
        <f t="shared" si="1"/>
        <v>8.3099999999999987</v>
      </c>
      <c r="M22" s="52">
        <v>69.424999999999997</v>
      </c>
      <c r="N22" s="59">
        <f t="shared" si="2"/>
        <v>77.734999999999999</v>
      </c>
      <c r="O22" s="17">
        <f t="shared" si="3"/>
        <v>10</v>
      </c>
      <c r="P22" s="53">
        <f t="shared" si="5"/>
        <v>67.734999999999999</v>
      </c>
      <c r="Q22" s="4"/>
      <c r="R22" s="4"/>
      <c r="S22" s="4"/>
      <c r="T22" s="1"/>
      <c r="U22" s="1"/>
    </row>
    <row r="23" spans="1:21" s="29" customFormat="1" ht="18.75">
      <c r="A23" s="9">
        <v>0</v>
      </c>
      <c r="B23" s="9">
        <v>19</v>
      </c>
      <c r="C23" s="8"/>
      <c r="D23" s="45" t="s">
        <v>51</v>
      </c>
      <c r="E23" s="34"/>
      <c r="F23" s="10">
        <v>3</v>
      </c>
      <c r="G23" s="10">
        <v>172</v>
      </c>
      <c r="H23" s="71" t="s">
        <v>21</v>
      </c>
      <c r="I23" s="53">
        <f t="shared" si="0"/>
        <v>10.5</v>
      </c>
      <c r="J23" s="50">
        <f t="shared" si="4"/>
        <v>5.16</v>
      </c>
      <c r="K23" s="10">
        <v>0</v>
      </c>
      <c r="L23" s="50">
        <f t="shared" si="1"/>
        <v>15.66</v>
      </c>
      <c r="M23" s="52">
        <v>83.81</v>
      </c>
      <c r="N23" s="59">
        <f t="shared" si="2"/>
        <v>99.47</v>
      </c>
      <c r="O23" s="17">
        <f t="shared" si="3"/>
        <v>13</v>
      </c>
      <c r="P23" s="53">
        <f t="shared" si="5"/>
        <v>86.47</v>
      </c>
      <c r="Q23" s="4"/>
      <c r="R23" s="4"/>
      <c r="S23" s="4"/>
      <c r="T23" s="1"/>
      <c r="U23" s="1"/>
    </row>
    <row r="24" spans="1:21" s="29" customFormat="1" ht="18.75">
      <c r="A24" s="9">
        <v>0</v>
      </c>
      <c r="B24" s="9">
        <v>20</v>
      </c>
      <c r="C24" s="8"/>
      <c r="D24" s="45" t="s">
        <v>52</v>
      </c>
      <c r="E24" s="34"/>
      <c r="F24" s="10">
        <v>3</v>
      </c>
      <c r="G24" s="10">
        <v>171</v>
      </c>
      <c r="H24" s="70" t="s">
        <v>15</v>
      </c>
      <c r="I24" s="53">
        <f t="shared" si="0"/>
        <v>10.5</v>
      </c>
      <c r="J24" s="50">
        <f t="shared" si="4"/>
        <v>5.13</v>
      </c>
      <c r="K24" s="10">
        <v>0</v>
      </c>
      <c r="L24" s="50">
        <f t="shared" si="1"/>
        <v>15.629999999999999</v>
      </c>
      <c r="M24" s="52">
        <v>87.759999999999991</v>
      </c>
      <c r="N24" s="59">
        <f t="shared" si="2"/>
        <v>103.38999999999999</v>
      </c>
      <c r="O24" s="17">
        <f t="shared" si="3"/>
        <v>22</v>
      </c>
      <c r="P24" s="53">
        <f t="shared" si="5"/>
        <v>81.389999999999986</v>
      </c>
      <c r="Q24" s="4"/>
      <c r="R24" s="4"/>
      <c r="S24" s="4"/>
      <c r="T24" s="1"/>
      <c r="U24" s="1"/>
    </row>
    <row r="25" spans="1:21" s="29" customFormat="1" ht="18.75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166</v>
      </c>
      <c r="H25" s="71" t="s">
        <v>21</v>
      </c>
      <c r="I25" s="53">
        <f t="shared" si="0"/>
        <v>10.5</v>
      </c>
      <c r="J25" s="50">
        <f t="shared" si="4"/>
        <v>4.9799999999999995</v>
      </c>
      <c r="K25" s="10">
        <v>0</v>
      </c>
      <c r="L25" s="50">
        <f t="shared" si="1"/>
        <v>15.48</v>
      </c>
      <c r="M25" s="52">
        <v>84.460000000000008</v>
      </c>
      <c r="N25" s="59">
        <f t="shared" si="2"/>
        <v>99.940000000000012</v>
      </c>
      <c r="O25" s="17">
        <f t="shared" si="3"/>
        <v>13</v>
      </c>
      <c r="P25" s="53">
        <f t="shared" si="5"/>
        <v>86.940000000000012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3</v>
      </c>
      <c r="G26" s="10">
        <v>163</v>
      </c>
      <c r="H26" s="71" t="s">
        <v>21</v>
      </c>
      <c r="I26" s="53">
        <f t="shared" si="0"/>
        <v>10.5</v>
      </c>
      <c r="J26" s="50">
        <f t="shared" si="4"/>
        <v>4.8899999999999997</v>
      </c>
      <c r="K26" s="10">
        <v>0</v>
      </c>
      <c r="L26" s="50">
        <f t="shared" si="1"/>
        <v>15.39</v>
      </c>
      <c r="M26" s="52">
        <v>86.28</v>
      </c>
      <c r="N26" s="59">
        <f t="shared" si="2"/>
        <v>101.67</v>
      </c>
      <c r="O26" s="17">
        <f t="shared" si="3"/>
        <v>13</v>
      </c>
      <c r="P26" s="53">
        <f t="shared" si="5"/>
        <v>88.67</v>
      </c>
      <c r="Q26" s="4"/>
      <c r="R26" s="4"/>
      <c r="S26" s="4"/>
      <c r="T26" s="1"/>
      <c r="U26" s="1"/>
    </row>
    <row r="27" spans="1:21" s="29" customFormat="1" ht="18.75">
      <c r="A27" s="9">
        <v>0</v>
      </c>
      <c r="B27" s="9">
        <v>23</v>
      </c>
      <c r="C27" s="8"/>
      <c r="D27" s="45" t="s">
        <v>55</v>
      </c>
      <c r="E27" s="34"/>
      <c r="F27" s="10">
        <v>2</v>
      </c>
      <c r="G27" s="10">
        <v>157</v>
      </c>
      <c r="H27" s="69" t="s">
        <v>22</v>
      </c>
      <c r="I27" s="53">
        <f t="shared" si="0"/>
        <v>6</v>
      </c>
      <c r="J27" s="50">
        <f t="shared" si="4"/>
        <v>4.71</v>
      </c>
      <c r="K27" s="10">
        <v>0</v>
      </c>
      <c r="L27" s="50">
        <f t="shared" si="1"/>
        <v>10.71</v>
      </c>
      <c r="M27" s="52">
        <v>25.747500000000002</v>
      </c>
      <c r="N27" s="59">
        <f t="shared" si="2"/>
        <v>36.457500000000003</v>
      </c>
      <c r="O27" s="17">
        <f t="shared" si="3"/>
        <v>10</v>
      </c>
      <c r="P27" s="53">
        <f t="shared" si="5"/>
        <v>26.457500000000003</v>
      </c>
      <c r="Q27" s="4"/>
      <c r="R27" s="4"/>
      <c r="S27" s="4"/>
      <c r="T27" s="1"/>
      <c r="U27" s="1"/>
    </row>
    <row r="28" spans="1:21" s="29" customFormat="1" ht="18.75">
      <c r="A28" s="9">
        <v>0</v>
      </c>
      <c r="B28" s="9">
        <v>24</v>
      </c>
      <c r="C28" s="8"/>
      <c r="D28" s="45" t="s">
        <v>56</v>
      </c>
      <c r="E28" s="34"/>
      <c r="F28" s="10">
        <v>2</v>
      </c>
      <c r="G28" s="10">
        <v>156</v>
      </c>
      <c r="H28" s="69" t="s">
        <v>22</v>
      </c>
      <c r="I28" s="53">
        <f t="shared" si="0"/>
        <v>6</v>
      </c>
      <c r="J28" s="50">
        <f t="shared" si="4"/>
        <v>4.68</v>
      </c>
      <c r="K28" s="10">
        <v>0</v>
      </c>
      <c r="L28" s="50">
        <f t="shared" si="1"/>
        <v>10.68</v>
      </c>
      <c r="M28" s="52">
        <v>87.860000000000014</v>
      </c>
      <c r="N28" s="59">
        <f t="shared" si="2"/>
        <v>98.54000000000002</v>
      </c>
      <c r="O28" s="17">
        <f t="shared" si="3"/>
        <v>10</v>
      </c>
      <c r="P28" s="53">
        <f t="shared" si="5"/>
        <v>88.54000000000002</v>
      </c>
      <c r="Q28" s="4"/>
      <c r="R28" s="4"/>
      <c r="S28" s="4"/>
      <c r="T28" s="1"/>
      <c r="U28" s="1"/>
    </row>
    <row r="29" spans="1:21" s="29" customFormat="1" ht="18.75">
      <c r="A29" s="9">
        <v>0</v>
      </c>
      <c r="B29" s="9">
        <v>25</v>
      </c>
      <c r="C29" s="8"/>
      <c r="D29" s="45" t="s">
        <v>57</v>
      </c>
      <c r="E29" s="34"/>
      <c r="F29" s="10">
        <v>1</v>
      </c>
      <c r="G29" s="10">
        <v>156</v>
      </c>
      <c r="H29" s="69" t="s">
        <v>22</v>
      </c>
      <c r="I29" s="53">
        <f t="shared" si="0"/>
        <v>3</v>
      </c>
      <c r="J29" s="50">
        <f t="shared" si="4"/>
        <v>4.68</v>
      </c>
      <c r="K29" s="10">
        <v>0</v>
      </c>
      <c r="L29" s="50">
        <f t="shared" si="1"/>
        <v>7.68</v>
      </c>
      <c r="M29" s="52">
        <v>87.860000000000014</v>
      </c>
      <c r="N29" s="59">
        <f t="shared" si="2"/>
        <v>95.54000000000002</v>
      </c>
      <c r="O29" s="17">
        <f t="shared" si="3"/>
        <v>10</v>
      </c>
      <c r="P29" s="53">
        <f t="shared" si="5"/>
        <v>85.54000000000002</v>
      </c>
      <c r="Q29" s="4"/>
      <c r="R29" s="4"/>
      <c r="S29" s="4"/>
      <c r="T29" s="1"/>
      <c r="U29" s="1"/>
    </row>
    <row r="30" spans="1:21" s="29" customFormat="1" ht="18.75">
      <c r="A30" s="9">
        <v>0</v>
      </c>
      <c r="B30" s="9">
        <v>26</v>
      </c>
      <c r="C30" s="8"/>
      <c r="D30" s="45" t="s">
        <v>58</v>
      </c>
      <c r="E30" s="34"/>
      <c r="F30" s="10">
        <v>3</v>
      </c>
      <c r="G30" s="10">
        <v>146</v>
      </c>
      <c r="H30" s="69" t="s">
        <v>22</v>
      </c>
      <c r="I30" s="53">
        <f t="shared" si="0"/>
        <v>10.5</v>
      </c>
      <c r="J30" s="50">
        <f t="shared" si="4"/>
        <v>4.38</v>
      </c>
      <c r="K30" s="10">
        <v>0</v>
      </c>
      <c r="L30" s="50">
        <f t="shared" si="1"/>
        <v>14.879999999999999</v>
      </c>
      <c r="M30" s="52">
        <v>82.839999999999989</v>
      </c>
      <c r="N30" s="59">
        <f t="shared" si="2"/>
        <v>97.719999999999985</v>
      </c>
      <c r="O30" s="17">
        <f t="shared" si="3"/>
        <v>10</v>
      </c>
      <c r="P30" s="53">
        <f t="shared" si="5"/>
        <v>87.719999999999985</v>
      </c>
      <c r="Q30" s="4"/>
      <c r="R30" s="4"/>
      <c r="S30" s="4"/>
      <c r="T30" s="1"/>
      <c r="U30" s="1"/>
    </row>
    <row r="31" spans="1:21" s="29" customFormat="1" ht="18.75">
      <c r="A31" s="9">
        <v>0</v>
      </c>
      <c r="B31" s="9">
        <v>27</v>
      </c>
      <c r="C31" s="8"/>
      <c r="D31" s="47" t="s">
        <v>59</v>
      </c>
      <c r="E31" s="34"/>
      <c r="F31" s="10">
        <v>2</v>
      </c>
      <c r="G31" s="10">
        <v>147</v>
      </c>
      <c r="H31" s="69" t="s">
        <v>22</v>
      </c>
      <c r="I31" s="53">
        <f t="shared" si="0"/>
        <v>6</v>
      </c>
      <c r="J31" s="50">
        <f t="shared" si="4"/>
        <v>4.41</v>
      </c>
      <c r="K31" s="10">
        <v>0</v>
      </c>
      <c r="L31" s="50">
        <f t="shared" si="1"/>
        <v>10.41</v>
      </c>
      <c r="M31" s="52">
        <v>85.717500000000001</v>
      </c>
      <c r="N31" s="59">
        <f t="shared" si="2"/>
        <v>96.127499999999998</v>
      </c>
      <c r="O31" s="17">
        <f t="shared" si="3"/>
        <v>10</v>
      </c>
      <c r="P31" s="53">
        <f t="shared" si="5"/>
        <v>86.127499999999998</v>
      </c>
      <c r="Q31" s="4"/>
      <c r="R31" s="4"/>
      <c r="S31" s="4"/>
      <c r="T31" s="1"/>
      <c r="U31" s="1"/>
    </row>
    <row r="32" spans="1:21" s="29" customFormat="1" ht="18.75">
      <c r="A32" s="9">
        <v>0</v>
      </c>
      <c r="B32" s="9">
        <v>28</v>
      </c>
      <c r="C32" s="8"/>
      <c r="D32" s="49" t="s">
        <v>60</v>
      </c>
      <c r="E32" s="34"/>
      <c r="F32" s="10">
        <v>2</v>
      </c>
      <c r="G32" s="10">
        <v>142</v>
      </c>
      <c r="H32" s="69" t="s">
        <v>22</v>
      </c>
      <c r="I32" s="53">
        <f t="shared" si="0"/>
        <v>6</v>
      </c>
      <c r="J32" s="50">
        <f t="shared" si="4"/>
        <v>4.26</v>
      </c>
      <c r="K32" s="10">
        <v>0</v>
      </c>
      <c r="L32" s="50">
        <f t="shared" si="1"/>
        <v>10.26</v>
      </c>
      <c r="M32" s="52">
        <v>86.1</v>
      </c>
      <c r="N32" s="59">
        <f t="shared" si="2"/>
        <v>96.36</v>
      </c>
      <c r="O32" s="17">
        <f t="shared" si="3"/>
        <v>10</v>
      </c>
      <c r="P32" s="53">
        <f t="shared" si="5"/>
        <v>86.36</v>
      </c>
      <c r="Q32" s="4"/>
      <c r="R32" s="4"/>
      <c r="S32" s="4"/>
      <c r="T32" s="1"/>
      <c r="U32" s="1"/>
    </row>
    <row r="33" spans="1:21" s="29" customFormat="1" ht="18.75">
      <c r="A33" s="9">
        <v>0</v>
      </c>
      <c r="B33" s="9">
        <v>29</v>
      </c>
      <c r="C33" s="8"/>
      <c r="D33" s="60" t="s">
        <v>61</v>
      </c>
      <c r="E33" s="34"/>
      <c r="F33" s="10">
        <v>0</v>
      </c>
      <c r="G33" s="10">
        <v>144</v>
      </c>
      <c r="H33" s="83" t="s">
        <v>23</v>
      </c>
      <c r="I33" s="53">
        <f t="shared" si="0"/>
        <v>0</v>
      </c>
      <c r="J33" s="50">
        <f t="shared" si="4"/>
        <v>4.32</v>
      </c>
      <c r="K33" s="10">
        <v>0</v>
      </c>
      <c r="L33" s="50">
        <f t="shared" si="1"/>
        <v>4.32</v>
      </c>
      <c r="M33" s="52">
        <v>53.08</v>
      </c>
      <c r="N33" s="59">
        <f t="shared" si="2"/>
        <v>57.4</v>
      </c>
      <c r="O33" s="17">
        <f t="shared" si="3"/>
        <v>0</v>
      </c>
      <c r="P33" s="53">
        <f>N33-O33</f>
        <v>57.4</v>
      </c>
      <c r="Q33" s="4"/>
      <c r="R33" s="4"/>
      <c r="S33" s="4"/>
      <c r="T33" s="1"/>
      <c r="U33" s="1"/>
    </row>
    <row r="34" spans="1:21" s="29" customFormat="1" ht="18.75">
      <c r="A34" s="9">
        <v>0</v>
      </c>
      <c r="B34" s="9">
        <v>30</v>
      </c>
      <c r="C34" s="8"/>
      <c r="D34" s="48" t="s">
        <v>62</v>
      </c>
      <c r="E34" s="34"/>
      <c r="F34" s="10">
        <v>2</v>
      </c>
      <c r="G34" s="10">
        <v>129</v>
      </c>
      <c r="H34" s="69" t="s">
        <v>22</v>
      </c>
      <c r="I34" s="53">
        <f t="shared" si="0"/>
        <v>6</v>
      </c>
      <c r="J34" s="50">
        <f t="shared" si="4"/>
        <v>3.8699999999999997</v>
      </c>
      <c r="K34" s="10">
        <v>0</v>
      </c>
      <c r="L34" s="50">
        <f t="shared" si="1"/>
        <v>9.8699999999999992</v>
      </c>
      <c r="M34" s="52">
        <v>83.45</v>
      </c>
      <c r="N34" s="59">
        <f t="shared" si="2"/>
        <v>93.320000000000007</v>
      </c>
      <c r="O34" s="17">
        <f t="shared" si="3"/>
        <v>10</v>
      </c>
      <c r="P34" s="53">
        <f>N34-O34</f>
        <v>83.320000000000007</v>
      </c>
      <c r="Q34" s="4"/>
      <c r="R34" s="4"/>
      <c r="S34" s="4"/>
      <c r="T34" s="1"/>
      <c r="U34" s="1"/>
    </row>
    <row r="35" spans="1:21" s="29" customFormat="1" ht="18.75">
      <c r="A35" s="9">
        <v>0</v>
      </c>
      <c r="B35" s="9">
        <v>31</v>
      </c>
      <c r="C35" s="8"/>
      <c r="D35" s="45" t="s">
        <v>63</v>
      </c>
      <c r="E35" s="34"/>
      <c r="F35" s="10">
        <v>1</v>
      </c>
      <c r="G35" s="10">
        <v>127</v>
      </c>
      <c r="H35" s="69" t="s">
        <v>22</v>
      </c>
      <c r="I35" s="53">
        <f t="shared" si="0"/>
        <v>3</v>
      </c>
      <c r="J35" s="50">
        <f t="shared" si="4"/>
        <v>3.81</v>
      </c>
      <c r="K35" s="10">
        <v>0</v>
      </c>
      <c r="L35" s="50">
        <f t="shared" si="1"/>
        <v>6.8100000000000005</v>
      </c>
      <c r="M35" s="52">
        <v>70.444999999999993</v>
      </c>
      <c r="N35" s="59">
        <f t="shared" si="2"/>
        <v>77.254999999999995</v>
      </c>
      <c r="O35" s="17">
        <f t="shared" si="3"/>
        <v>10</v>
      </c>
      <c r="P35" s="53">
        <f>N35-O35</f>
        <v>67.254999999999995</v>
      </c>
      <c r="Q35" s="4"/>
      <c r="R35" s="4"/>
      <c r="S35" s="4"/>
      <c r="T35" s="1"/>
      <c r="U35" s="1"/>
    </row>
    <row r="36" spans="1:21" s="29" customFormat="1" ht="18.75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125</v>
      </c>
      <c r="H36" s="83" t="s">
        <v>23</v>
      </c>
      <c r="I36" s="53">
        <f t="shared" si="0"/>
        <v>0</v>
      </c>
      <c r="J36" s="50">
        <f t="shared" si="4"/>
        <v>3.75</v>
      </c>
      <c r="K36" s="10">
        <v>0</v>
      </c>
      <c r="L36" s="50">
        <f t="shared" si="1"/>
        <v>3.75</v>
      </c>
      <c r="M36" s="52">
        <v>22</v>
      </c>
      <c r="N36" s="59">
        <f t="shared" si="2"/>
        <v>25.75</v>
      </c>
      <c r="O36" s="17">
        <f t="shared" si="3"/>
        <v>0</v>
      </c>
      <c r="P36" s="53">
        <f>L36+M36-O36</f>
        <v>25.75</v>
      </c>
      <c r="Q36" s="4"/>
      <c r="R36" s="4"/>
      <c r="S36" s="4"/>
      <c r="T36" s="1"/>
      <c r="U36" s="1"/>
    </row>
    <row r="37" spans="1:21" s="29" customFormat="1" ht="18.75">
      <c r="A37" s="9">
        <v>0</v>
      </c>
      <c r="B37" s="9">
        <v>33</v>
      </c>
      <c r="C37" s="8"/>
      <c r="D37" s="45" t="s">
        <v>65</v>
      </c>
      <c r="E37" s="32"/>
      <c r="F37" s="10">
        <v>1</v>
      </c>
      <c r="G37" s="10">
        <v>124</v>
      </c>
      <c r="H37" s="14" t="s">
        <v>22</v>
      </c>
      <c r="I37" s="53">
        <f t="shared" si="0"/>
        <v>3</v>
      </c>
      <c r="J37" s="50">
        <f t="shared" si="4"/>
        <v>3.7199999999999998</v>
      </c>
      <c r="K37" s="10">
        <v>0</v>
      </c>
      <c r="L37" s="50">
        <f t="shared" si="1"/>
        <v>6.72</v>
      </c>
      <c r="M37" s="52">
        <v>69.099999999999994</v>
      </c>
      <c r="N37" s="59">
        <f t="shared" si="2"/>
        <v>75.819999999999993</v>
      </c>
      <c r="O37" s="17">
        <f t="shared" si="3"/>
        <v>10</v>
      </c>
      <c r="P37" s="53">
        <f>N37-O37</f>
        <v>65.819999999999993</v>
      </c>
      <c r="Q37" s="4"/>
      <c r="R37" s="4"/>
      <c r="S37" s="4"/>
      <c r="T37" s="1"/>
      <c r="U37" s="1"/>
    </row>
    <row r="38" spans="1:21" s="29" customFormat="1" ht="18.75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100</v>
      </c>
      <c r="H38" s="70" t="s">
        <v>15</v>
      </c>
      <c r="I38" s="53">
        <f t="shared" si="0"/>
        <v>10.5</v>
      </c>
      <c r="J38" s="50">
        <f t="shared" si="4"/>
        <v>3</v>
      </c>
      <c r="K38" s="10">
        <v>0</v>
      </c>
      <c r="L38" s="50">
        <f t="shared" si="1"/>
        <v>13.5</v>
      </c>
      <c r="M38" s="52">
        <v>88.25</v>
      </c>
      <c r="N38" s="59">
        <f t="shared" si="2"/>
        <v>101.75</v>
      </c>
      <c r="O38" s="17">
        <f t="shared" si="3"/>
        <v>22</v>
      </c>
      <c r="P38" s="53">
        <f>N38-O38</f>
        <v>79.75</v>
      </c>
      <c r="Q38" s="4"/>
      <c r="R38" s="4"/>
      <c r="S38" s="4"/>
      <c r="T38" s="1"/>
      <c r="U38" s="1"/>
    </row>
    <row r="39" spans="1:21" s="68" customFormat="1" ht="18.75">
      <c r="A39" s="9">
        <v>0</v>
      </c>
      <c r="B39" s="9">
        <v>35</v>
      </c>
      <c r="C39" s="8"/>
      <c r="D39" s="47" t="s">
        <v>67</v>
      </c>
      <c r="E39" s="2"/>
      <c r="F39" s="10">
        <v>2</v>
      </c>
      <c r="G39" s="10">
        <v>96</v>
      </c>
      <c r="H39" s="69" t="s">
        <v>22</v>
      </c>
      <c r="I39" s="53">
        <f t="shared" si="0"/>
        <v>6</v>
      </c>
      <c r="J39" s="50">
        <f t="shared" si="4"/>
        <v>2.88</v>
      </c>
      <c r="K39" s="10">
        <v>0</v>
      </c>
      <c r="L39" s="50">
        <f t="shared" si="1"/>
        <v>8.879999999999999</v>
      </c>
      <c r="M39" s="52">
        <v>47.260000000000005</v>
      </c>
      <c r="N39" s="59">
        <f t="shared" si="2"/>
        <v>56.14</v>
      </c>
      <c r="O39" s="17">
        <f t="shared" si="3"/>
        <v>10</v>
      </c>
      <c r="P39" s="53">
        <f t="shared" ref="P39:P49" si="6">L39+M39-O39</f>
        <v>46.14</v>
      </c>
      <c r="Q39" s="4"/>
      <c r="R39" s="4"/>
      <c r="S39" s="4"/>
      <c r="T39" s="3"/>
      <c r="U39" s="3"/>
    </row>
    <row r="40" spans="1:21" ht="18.75">
      <c r="A40" s="9">
        <v>0</v>
      </c>
      <c r="B40" s="9">
        <v>36</v>
      </c>
      <c r="C40" s="8"/>
      <c r="D40" s="49" t="s">
        <v>68</v>
      </c>
      <c r="E40" s="2"/>
      <c r="F40" s="10">
        <v>1</v>
      </c>
      <c r="G40" s="10">
        <v>28</v>
      </c>
      <c r="H40" s="69" t="s">
        <v>22</v>
      </c>
      <c r="I40" s="53">
        <f t="shared" si="0"/>
        <v>3</v>
      </c>
      <c r="J40" s="50">
        <f t="shared" si="4"/>
        <v>0.84</v>
      </c>
      <c r="K40" s="10">
        <v>0</v>
      </c>
      <c r="L40" s="50">
        <f t="shared" si="1"/>
        <v>3.84</v>
      </c>
      <c r="M40" s="52">
        <v>40</v>
      </c>
      <c r="N40" s="59">
        <f t="shared" si="2"/>
        <v>43.84</v>
      </c>
      <c r="O40" s="17">
        <f t="shared" si="3"/>
        <v>10</v>
      </c>
      <c r="P40" s="53">
        <f t="shared" si="6"/>
        <v>33.840000000000003</v>
      </c>
      <c r="Q40" s="4"/>
      <c r="R40" s="4"/>
      <c r="S40" s="4"/>
      <c r="T40"/>
      <c r="U40"/>
    </row>
    <row r="41" spans="1:21" ht="18.75">
      <c r="A41" s="9">
        <v>0</v>
      </c>
      <c r="B41" s="9">
        <v>37</v>
      </c>
      <c r="C41" s="8"/>
      <c r="D41" s="49" t="s">
        <v>69</v>
      </c>
      <c r="E41" s="2"/>
      <c r="F41" s="10">
        <v>1</v>
      </c>
      <c r="G41" s="10">
        <v>52</v>
      </c>
      <c r="H41" s="69" t="s">
        <v>22</v>
      </c>
      <c r="I41" s="53">
        <f t="shared" si="0"/>
        <v>3</v>
      </c>
      <c r="J41" s="50">
        <f t="shared" si="4"/>
        <v>1.56</v>
      </c>
      <c r="K41" s="10">
        <v>0</v>
      </c>
      <c r="L41" s="50">
        <f t="shared" si="1"/>
        <v>4.5600000000000005</v>
      </c>
      <c r="M41" s="52">
        <v>-2.0900000000000003</v>
      </c>
      <c r="N41" s="59">
        <f t="shared" si="2"/>
        <v>2.4700000000000002</v>
      </c>
      <c r="O41" s="17">
        <f t="shared" si="3"/>
        <v>10</v>
      </c>
      <c r="P41" s="53">
        <f t="shared" si="6"/>
        <v>-7.5299999999999994</v>
      </c>
      <c r="Q41" s="4"/>
      <c r="R41" s="4"/>
      <c r="S41" s="4"/>
      <c r="T41"/>
      <c r="U41"/>
    </row>
    <row r="42" spans="1:21" ht="18.75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14" t="s">
        <v>22</v>
      </c>
      <c r="I42" s="53">
        <f t="shared" si="0"/>
        <v>6</v>
      </c>
      <c r="J42" s="50">
        <f t="shared" si="4"/>
        <v>0.18</v>
      </c>
      <c r="K42" s="10">
        <v>0</v>
      </c>
      <c r="L42" s="50">
        <f t="shared" si="1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6"/>
        <v>4</v>
      </c>
      <c r="Q42" s="4"/>
      <c r="R42" s="4"/>
      <c r="S42" s="4"/>
      <c r="T42"/>
      <c r="U42"/>
    </row>
    <row r="43" spans="1:21" ht="18.75">
      <c r="A43" s="9">
        <v>1</v>
      </c>
      <c r="B43" s="9">
        <v>39</v>
      </c>
      <c r="C43" s="8"/>
      <c r="D43" s="45" t="s">
        <v>71</v>
      </c>
      <c r="E43" s="2"/>
      <c r="F43" s="10">
        <v>2</v>
      </c>
      <c r="G43" s="10">
        <v>45</v>
      </c>
      <c r="H43" s="14" t="s">
        <v>22</v>
      </c>
      <c r="I43" s="53">
        <f t="shared" si="0"/>
        <v>6</v>
      </c>
      <c r="J43" s="50">
        <f t="shared" si="4"/>
        <v>1.3499999999999999</v>
      </c>
      <c r="K43" s="10">
        <v>0</v>
      </c>
      <c r="L43" s="50">
        <f t="shared" si="1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6"/>
        <v>-3</v>
      </c>
      <c r="Q43" s="4"/>
      <c r="R43" s="4"/>
      <c r="S43" s="4"/>
      <c r="T43"/>
      <c r="U43"/>
    </row>
    <row r="44" spans="1:21" customFormat="1" ht="18.75">
      <c r="A44" s="9">
        <v>1</v>
      </c>
      <c r="B44" s="9">
        <v>40</v>
      </c>
      <c r="C44" s="8"/>
      <c r="D44" s="45" t="s">
        <v>72</v>
      </c>
      <c r="E44" s="34"/>
      <c r="F44" s="10">
        <v>0</v>
      </c>
      <c r="G44" s="10">
        <v>8</v>
      </c>
      <c r="H44" s="83" t="s">
        <v>23</v>
      </c>
      <c r="I44" s="53">
        <f t="shared" si="0"/>
        <v>0</v>
      </c>
      <c r="J44" s="50">
        <f t="shared" si="4"/>
        <v>0.24</v>
      </c>
      <c r="K44" s="10">
        <v>0</v>
      </c>
      <c r="L44" s="50">
        <f t="shared" si="1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6"/>
        <v>7</v>
      </c>
      <c r="Q44" s="4"/>
      <c r="R44" s="4"/>
      <c r="S44" s="4"/>
    </row>
    <row r="45" spans="1:21" customFormat="1" ht="18.75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4"/>
        <v>3.4499999999999997</v>
      </c>
      <c r="K45" s="62">
        <v>0</v>
      </c>
      <c r="L45" s="50">
        <f t="shared" si="1"/>
        <v>3.4499999999999997</v>
      </c>
      <c r="M45" s="65">
        <v>10</v>
      </c>
      <c r="N45" s="66">
        <f t="shared" si="2"/>
        <v>13.45</v>
      </c>
      <c r="O45" s="17">
        <f t="shared" si="3"/>
        <v>0</v>
      </c>
      <c r="P45" s="63">
        <f t="shared" si="6"/>
        <v>13.45</v>
      </c>
      <c r="Q45" s="67"/>
      <c r="R45" s="67"/>
      <c r="S45" s="67"/>
    </row>
    <row r="46" spans="1:21" customFormat="1" ht="18.75">
      <c r="A46" s="9">
        <v>1</v>
      </c>
      <c r="B46" s="9">
        <v>42</v>
      </c>
      <c r="C46" s="61"/>
      <c r="D46" s="49" t="s">
        <v>74</v>
      </c>
      <c r="E46" s="33"/>
      <c r="F46" s="10">
        <v>0</v>
      </c>
      <c r="G46" s="10">
        <v>6</v>
      </c>
      <c r="H46" s="83" t="s">
        <v>23</v>
      </c>
      <c r="I46" s="53">
        <f t="shared" si="0"/>
        <v>0</v>
      </c>
      <c r="J46" s="50">
        <f t="shared" si="4"/>
        <v>0.18</v>
      </c>
      <c r="K46" s="10">
        <v>0</v>
      </c>
      <c r="L46" s="50">
        <f t="shared" si="1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6"/>
        <v>0</v>
      </c>
      <c r="Q46" s="4"/>
      <c r="R46" s="4"/>
      <c r="S46" s="4"/>
    </row>
    <row r="47" spans="1:21" ht="18.75">
      <c r="A47" s="9">
        <v>0</v>
      </c>
      <c r="B47" s="9">
        <v>43</v>
      </c>
      <c r="C47" s="61"/>
      <c r="D47" s="49" t="s">
        <v>84</v>
      </c>
      <c r="E47" s="33"/>
      <c r="F47" s="10">
        <v>3</v>
      </c>
      <c r="G47" s="10">
        <v>22</v>
      </c>
      <c r="H47" s="69" t="s">
        <v>22</v>
      </c>
      <c r="I47" s="53">
        <f t="shared" si="0"/>
        <v>10.5</v>
      </c>
      <c r="J47" s="50">
        <f t="shared" si="4"/>
        <v>0.65999999999999992</v>
      </c>
      <c r="K47" s="10">
        <v>0</v>
      </c>
      <c r="L47" s="50">
        <f t="shared" si="1"/>
        <v>11.16</v>
      </c>
      <c r="M47" s="52">
        <v>15.82</v>
      </c>
      <c r="N47" s="59">
        <f t="shared" si="2"/>
        <v>26.98</v>
      </c>
      <c r="O47" s="17">
        <f t="shared" si="3"/>
        <v>10</v>
      </c>
      <c r="P47" s="53">
        <f t="shared" si="6"/>
        <v>16.98</v>
      </c>
      <c r="Q47" s="4"/>
      <c r="R47" s="4"/>
      <c r="S47" s="4"/>
    </row>
    <row r="48" spans="1:21" ht="18.75">
      <c r="A48" s="9">
        <v>0</v>
      </c>
      <c r="B48" s="9">
        <v>44</v>
      </c>
      <c r="C48" s="61"/>
      <c r="D48" s="49" t="s">
        <v>83</v>
      </c>
      <c r="E48" s="33"/>
      <c r="F48" s="10">
        <v>3</v>
      </c>
      <c r="G48" s="10">
        <v>138</v>
      </c>
      <c r="H48" s="14" t="s">
        <v>22</v>
      </c>
      <c r="I48" s="53">
        <f t="shared" si="0"/>
        <v>10.5</v>
      </c>
      <c r="J48" s="50">
        <f t="shared" si="4"/>
        <v>4.1399999999999997</v>
      </c>
      <c r="K48" s="10">
        <v>0</v>
      </c>
      <c r="L48" s="50">
        <f t="shared" si="1"/>
        <v>14.64</v>
      </c>
      <c r="M48" s="52">
        <v>79.52</v>
      </c>
      <c r="N48" s="59">
        <f t="shared" si="2"/>
        <v>94.16</v>
      </c>
      <c r="O48" s="17">
        <f t="shared" si="3"/>
        <v>10</v>
      </c>
      <c r="P48" s="53">
        <f t="shared" si="6"/>
        <v>84.16</v>
      </c>
      <c r="Q48" s="4"/>
      <c r="R48" s="4"/>
      <c r="S48" s="4"/>
    </row>
    <row r="49" spans="1:19" ht="18.75">
      <c r="A49" s="9">
        <v>0</v>
      </c>
      <c r="B49" s="9">
        <v>45</v>
      </c>
      <c r="C49" s="61"/>
      <c r="D49" s="49" t="s">
        <v>85</v>
      </c>
      <c r="E49" s="33"/>
      <c r="F49" s="10">
        <v>2</v>
      </c>
      <c r="G49" s="10">
        <v>105</v>
      </c>
      <c r="H49" s="14" t="s">
        <v>22</v>
      </c>
      <c r="I49" s="53">
        <f t="shared" si="0"/>
        <v>6</v>
      </c>
      <c r="J49" s="50">
        <f t="shared" si="4"/>
        <v>3.15</v>
      </c>
      <c r="K49" s="10">
        <v>0</v>
      </c>
      <c r="L49" s="50">
        <f t="shared" si="1"/>
        <v>9.15</v>
      </c>
      <c r="M49" s="52">
        <v>69</v>
      </c>
      <c r="N49" s="59">
        <f t="shared" si="2"/>
        <v>78.150000000000006</v>
      </c>
      <c r="O49" s="17">
        <f t="shared" si="3"/>
        <v>10</v>
      </c>
      <c r="P49" s="53">
        <f t="shared" si="6"/>
        <v>68.150000000000006</v>
      </c>
      <c r="Q49" s="4"/>
      <c r="R49" s="4"/>
      <c r="S49" s="4"/>
    </row>
  </sheetData>
  <autoFilter ref="A4:S49" xr:uid="{28593B8F-03E7-4BE1-B554-FC0AADC431B2}">
    <sortState xmlns:xlrd2="http://schemas.microsoft.com/office/spreadsheetml/2017/richdata2" ref="A5:S49">
      <sortCondition ref="B4:B49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32" priority="4" operator="lessThan">
      <formula>1</formula>
    </cfRule>
  </conditionalFormatting>
  <conditionalFormatting sqref="F5:F49">
    <cfRule type="cellIs" dxfId="31" priority="3" operator="lessThan">
      <formula>1</formula>
    </cfRule>
  </conditionalFormatting>
  <conditionalFormatting sqref="K47 G47">
    <cfRule type="cellIs" dxfId="30" priority="2" operator="lessThan">
      <formula>1</formula>
    </cfRule>
  </conditionalFormatting>
  <conditionalFormatting sqref="K48:K49 G48:G49">
    <cfRule type="cellIs" dxfId="29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7D6B-1FC3-484F-83EB-A23B02988F41}">
  <dimension ref="A1:U49"/>
  <sheetViews>
    <sheetView topLeftCell="A7" zoomScale="70" zoomScaleNormal="70" workbookViewId="0">
      <selection activeCell="P6" sqref="P6"/>
    </sheetView>
  </sheetViews>
  <sheetFormatPr defaultColWidth="9" defaultRowHeight="13.5"/>
  <cols>
    <col min="1" max="1" width="7.625" customWidth="1"/>
    <col min="2" max="2" width="6.625" style="18" customWidth="1"/>
    <col min="3" max="3" width="19.75" style="68" hidden="1" customWidth="1"/>
    <col min="4" max="4" width="22.75" style="68" bestFit="1" customWidth="1"/>
    <col min="5" max="5" width="18.375" style="18" hidden="1" customWidth="1"/>
    <col min="6" max="6" width="13.125" style="18" customWidth="1"/>
    <col min="7" max="7" width="11.125" style="18" customWidth="1"/>
    <col min="8" max="8" width="20" style="18" customWidth="1"/>
    <col min="9" max="9" width="9" style="18" customWidth="1"/>
    <col min="10" max="10" width="9.625" style="18" customWidth="1"/>
    <col min="11" max="11" width="8.625" style="18" customWidth="1"/>
    <col min="12" max="12" width="9" style="18" customWidth="1"/>
    <col min="13" max="14" width="9.75" style="18" customWidth="1"/>
    <col min="15" max="15" width="9.25" style="18" customWidth="1"/>
    <col min="16" max="16" width="9.875" style="18" customWidth="1"/>
    <col min="17" max="19" width="11.125" style="18" customWidth="1"/>
    <col min="20" max="20" width="30.5" style="18" customWidth="1"/>
    <col min="21" max="21" width="10" style="18" bestFit="1" customWidth="1"/>
    <col min="22" max="16384" width="9" style="18"/>
  </cols>
  <sheetData>
    <row r="1" spans="1:21" ht="36.6" customHeight="1">
      <c r="B1" s="91" t="str">
        <f>CONCATENATE("101-104区 风の气息",U15,"年",U16,"月",U17,"日","分包贡献明细"," 统计：音")</f>
        <v>101-104区 风の气息2022年4月2日分包贡献明细 统计：音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41"/>
      <c r="R1" s="41"/>
      <c r="S1" s="41"/>
      <c r="T1" s="19" t="s">
        <v>8</v>
      </c>
      <c r="U1" s="5">
        <v>67</v>
      </c>
    </row>
    <row r="2" spans="1:21" ht="117.6" customHeight="1">
      <c r="B2" s="93" t="s">
        <v>82</v>
      </c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42"/>
      <c r="R2" s="42"/>
      <c r="S2" s="42"/>
      <c r="T2" s="20" t="s">
        <v>0</v>
      </c>
      <c r="U2" s="21" t="s">
        <v>9</v>
      </c>
    </row>
    <row r="3" spans="1:21" ht="20.25">
      <c r="B3" s="96" t="s">
        <v>13</v>
      </c>
      <c r="C3" s="96"/>
      <c r="D3" s="96"/>
      <c r="E3" s="96"/>
      <c r="F3" s="100" t="s">
        <v>10</v>
      </c>
      <c r="G3" s="101"/>
      <c r="H3" s="97" t="s">
        <v>14</v>
      </c>
      <c r="I3" s="98"/>
      <c r="J3" s="98"/>
      <c r="K3" s="98"/>
      <c r="L3" s="98"/>
      <c r="M3" s="98"/>
      <c r="N3" s="98"/>
      <c r="O3" s="98"/>
      <c r="P3" s="99"/>
      <c r="Q3" s="40"/>
      <c r="R3" s="40"/>
      <c r="S3" s="40"/>
      <c r="T3" s="70" t="s">
        <v>15</v>
      </c>
      <c r="U3" s="23">
        <v>22</v>
      </c>
    </row>
    <row r="4" spans="1:21" ht="40.5">
      <c r="A4" s="80" t="s">
        <v>76</v>
      </c>
      <c r="B4" s="80" t="s">
        <v>2</v>
      </c>
      <c r="C4" s="39" t="s">
        <v>16</v>
      </c>
      <c r="D4" s="80" t="s">
        <v>3</v>
      </c>
      <c r="E4" s="80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.75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293</v>
      </c>
      <c r="H5" s="69" t="s">
        <v>32</v>
      </c>
      <c r="I5" s="53">
        <f t="shared" ref="I5:I49" si="0">F5*$U$11+IF(F5&gt;2,(F5-2)*$U$12,0)</f>
        <v>10.5</v>
      </c>
      <c r="J5" s="50">
        <f>IF(MAX($F$5:$F$46)=0,0,G5*$U$14)</f>
        <v>8.7899999999999991</v>
      </c>
      <c r="K5" s="10">
        <v>0</v>
      </c>
      <c r="L5" s="50">
        <f t="shared" ref="L5:L32" si="1">SUM(J5+I5+K5)*(1-A5)</f>
        <v>19.29</v>
      </c>
      <c r="M5" s="52">
        <v>82.674999999999983</v>
      </c>
      <c r="N5" s="59">
        <f t="shared" ref="N5:N49" si="2">(L5+M5)*(1-A5)</f>
        <v>101.96499999999997</v>
      </c>
      <c r="O5" s="17">
        <f t="shared" ref="O5:O49" si="3">VLOOKUP(H5,$T$3:$U$10,2,FALSE)*(1-A5)</f>
        <v>5</v>
      </c>
      <c r="P5" s="53">
        <f t="shared" ref="P5:P49" si="4">L5+M5-O5</f>
        <v>96.964999999999975</v>
      </c>
      <c r="Q5" s="11"/>
      <c r="R5" s="11"/>
      <c r="S5" s="11"/>
      <c r="T5" s="69" t="s">
        <v>22</v>
      </c>
      <c r="U5" s="23">
        <v>10</v>
      </c>
    </row>
    <row r="6" spans="1:21" s="29" customFormat="1" ht="18.75">
      <c r="A6" s="9">
        <v>0</v>
      </c>
      <c r="B6" s="9">
        <v>2</v>
      </c>
      <c r="C6" s="8"/>
      <c r="D6" s="45" t="s">
        <v>34</v>
      </c>
      <c r="E6" s="32"/>
      <c r="F6" s="10">
        <v>1</v>
      </c>
      <c r="G6" s="10">
        <v>222</v>
      </c>
      <c r="H6" s="69" t="s">
        <v>32</v>
      </c>
      <c r="I6" s="53">
        <f t="shared" si="0"/>
        <v>3</v>
      </c>
      <c r="J6" s="50">
        <f>IF(MAX($F$5:$F$46)=0,0,G6*$U$14*F6/MAX($F$5:$F$46))</f>
        <v>1.665</v>
      </c>
      <c r="K6" s="10">
        <v>0</v>
      </c>
      <c r="L6" s="50">
        <f t="shared" si="1"/>
        <v>4.665</v>
      </c>
      <c r="M6" s="52">
        <v>80</v>
      </c>
      <c r="N6" s="59">
        <f t="shared" si="2"/>
        <v>84.665000000000006</v>
      </c>
      <c r="O6" s="17">
        <f t="shared" si="3"/>
        <v>5</v>
      </c>
      <c r="P6" s="53">
        <f t="shared" si="4"/>
        <v>79.665000000000006</v>
      </c>
      <c r="Q6" s="11"/>
      <c r="R6" s="11"/>
      <c r="S6" s="11"/>
      <c r="T6" s="69"/>
      <c r="U6" s="23"/>
    </row>
    <row r="7" spans="1:21" s="29" customFormat="1" ht="18.75">
      <c r="A7" s="9">
        <v>0</v>
      </c>
      <c r="B7" s="9">
        <v>3</v>
      </c>
      <c r="C7" s="8"/>
      <c r="D7" s="45" t="s">
        <v>35</v>
      </c>
      <c r="E7" s="32"/>
      <c r="F7" s="10">
        <v>3</v>
      </c>
      <c r="G7" s="10">
        <v>224</v>
      </c>
      <c r="H7" s="73" t="s">
        <v>31</v>
      </c>
      <c r="I7" s="53">
        <f t="shared" si="0"/>
        <v>10.5</v>
      </c>
      <c r="J7" s="50">
        <f t="shared" ref="J7:J49" si="5">IF(MAX($F$5:$F$46)=0,0,G7*$U$14)</f>
        <v>6.72</v>
      </c>
      <c r="K7" s="10">
        <v>0</v>
      </c>
      <c r="L7" s="50">
        <f t="shared" si="1"/>
        <v>17.22</v>
      </c>
      <c r="M7" s="52">
        <v>85.275000000000006</v>
      </c>
      <c r="N7" s="59">
        <f t="shared" si="2"/>
        <v>102.495</v>
      </c>
      <c r="O7" s="17">
        <f t="shared" si="3"/>
        <v>9</v>
      </c>
      <c r="P7" s="53">
        <f t="shared" si="4"/>
        <v>93.495000000000005</v>
      </c>
      <c r="Q7" s="11"/>
      <c r="R7" s="11"/>
      <c r="S7" s="11"/>
      <c r="T7" s="72" t="s">
        <v>30</v>
      </c>
      <c r="U7" s="23">
        <v>15</v>
      </c>
    </row>
    <row r="8" spans="1:21" s="29" customFormat="1" ht="18.75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220</v>
      </c>
      <c r="H8" s="73" t="s">
        <v>31</v>
      </c>
      <c r="I8" s="53">
        <f t="shared" si="0"/>
        <v>10.5</v>
      </c>
      <c r="J8" s="50">
        <f t="shared" si="5"/>
        <v>6.6</v>
      </c>
      <c r="K8" s="10">
        <v>0</v>
      </c>
      <c r="L8" s="50">
        <f t="shared" si="1"/>
        <v>17.100000000000001</v>
      </c>
      <c r="M8" s="52">
        <v>85.302500000000023</v>
      </c>
      <c r="N8" s="59">
        <f t="shared" si="2"/>
        <v>102.40250000000003</v>
      </c>
      <c r="O8" s="17">
        <f t="shared" si="3"/>
        <v>9</v>
      </c>
      <c r="P8" s="53">
        <f t="shared" si="4"/>
        <v>93.402500000000032</v>
      </c>
      <c r="Q8" s="11"/>
      <c r="R8" s="11"/>
      <c r="S8" s="11"/>
      <c r="T8" s="73" t="s">
        <v>31</v>
      </c>
      <c r="U8" s="23">
        <v>9</v>
      </c>
    </row>
    <row r="9" spans="1:21" s="29" customFormat="1" ht="18.75">
      <c r="A9" s="9">
        <v>0</v>
      </c>
      <c r="B9" s="9">
        <v>5</v>
      </c>
      <c r="C9" s="8"/>
      <c r="D9" s="45" t="s">
        <v>37</v>
      </c>
      <c r="E9" s="32"/>
      <c r="F9" s="10">
        <v>4</v>
      </c>
      <c r="G9" s="10">
        <v>217</v>
      </c>
      <c r="H9" s="73" t="s">
        <v>31</v>
      </c>
      <c r="I9" s="53">
        <f t="shared" si="0"/>
        <v>15</v>
      </c>
      <c r="J9" s="50">
        <f t="shared" si="5"/>
        <v>6.51</v>
      </c>
      <c r="K9" s="10">
        <v>0</v>
      </c>
      <c r="L9" s="50">
        <f t="shared" si="1"/>
        <v>21.509999999999998</v>
      </c>
      <c r="M9" s="52">
        <v>82.53</v>
      </c>
      <c r="N9" s="59">
        <f t="shared" si="2"/>
        <v>104.03999999999999</v>
      </c>
      <c r="O9" s="17">
        <f t="shared" si="3"/>
        <v>9</v>
      </c>
      <c r="P9" s="53">
        <f t="shared" si="4"/>
        <v>95.039999999999992</v>
      </c>
      <c r="Q9" s="11"/>
      <c r="R9" s="11"/>
      <c r="S9" s="25"/>
      <c r="T9" s="69" t="s">
        <v>32</v>
      </c>
      <c r="U9" s="23">
        <v>5</v>
      </c>
    </row>
    <row r="10" spans="1:21" s="29" customFormat="1" ht="18.75">
      <c r="A10" s="9">
        <v>0</v>
      </c>
      <c r="B10" s="9">
        <v>6</v>
      </c>
      <c r="C10" s="8"/>
      <c r="D10" s="45" t="s">
        <v>38</v>
      </c>
      <c r="E10" s="32"/>
      <c r="F10" s="10">
        <v>4</v>
      </c>
      <c r="G10" s="10">
        <v>216</v>
      </c>
      <c r="H10" s="73" t="s">
        <v>31</v>
      </c>
      <c r="I10" s="53">
        <f t="shared" si="0"/>
        <v>15</v>
      </c>
      <c r="J10" s="50">
        <f t="shared" si="5"/>
        <v>6.4799999999999995</v>
      </c>
      <c r="K10" s="10">
        <v>0</v>
      </c>
      <c r="L10" s="50">
        <f t="shared" si="1"/>
        <v>21.48</v>
      </c>
      <c r="M10" s="52">
        <v>82.08</v>
      </c>
      <c r="N10" s="59">
        <f t="shared" si="2"/>
        <v>103.56</v>
      </c>
      <c r="O10" s="17">
        <f t="shared" si="3"/>
        <v>9</v>
      </c>
      <c r="P10" s="53">
        <f t="shared" si="4"/>
        <v>94.56</v>
      </c>
      <c r="Q10" s="11"/>
      <c r="R10" s="11"/>
      <c r="S10" s="16"/>
      <c r="T10" s="2" t="s">
        <v>23</v>
      </c>
      <c r="U10" s="2">
        <v>0</v>
      </c>
    </row>
    <row r="11" spans="1:21" s="29" customFormat="1" ht="18.75">
      <c r="A11" s="9">
        <v>0</v>
      </c>
      <c r="B11" s="9">
        <v>7</v>
      </c>
      <c r="C11" s="8"/>
      <c r="D11" s="45" t="s">
        <v>39</v>
      </c>
      <c r="E11" s="32"/>
      <c r="F11" s="10">
        <v>3</v>
      </c>
      <c r="G11" s="10">
        <v>216</v>
      </c>
      <c r="H11" s="69" t="s">
        <v>32</v>
      </c>
      <c r="I11" s="53">
        <f t="shared" si="0"/>
        <v>10.5</v>
      </c>
      <c r="J11" s="50">
        <f t="shared" si="5"/>
        <v>6.4799999999999995</v>
      </c>
      <c r="K11" s="10">
        <v>0</v>
      </c>
      <c r="L11" s="50">
        <f t="shared" si="1"/>
        <v>16.98</v>
      </c>
      <c r="M11" s="52">
        <v>81</v>
      </c>
      <c r="N11" s="59">
        <f t="shared" si="2"/>
        <v>97.98</v>
      </c>
      <c r="O11" s="17">
        <f t="shared" si="3"/>
        <v>5</v>
      </c>
      <c r="P11" s="53">
        <f t="shared" si="4"/>
        <v>92.98</v>
      </c>
      <c r="Q11" s="11"/>
      <c r="R11" s="11"/>
      <c r="S11" s="26"/>
      <c r="T11" s="74" t="s">
        <v>79</v>
      </c>
      <c r="U11" s="75">
        <v>3</v>
      </c>
    </row>
    <row r="12" spans="1:21" s="29" customFormat="1" ht="18.75">
      <c r="A12" s="9">
        <v>0</v>
      </c>
      <c r="B12" s="9">
        <v>8</v>
      </c>
      <c r="C12" s="8"/>
      <c r="D12" s="45" t="s">
        <v>40</v>
      </c>
      <c r="E12" s="32"/>
      <c r="F12" s="10">
        <v>2</v>
      </c>
      <c r="G12" s="10">
        <v>206</v>
      </c>
      <c r="H12" s="69" t="s">
        <v>32</v>
      </c>
      <c r="I12" s="53">
        <f t="shared" si="0"/>
        <v>6</v>
      </c>
      <c r="J12" s="50">
        <f t="shared" si="5"/>
        <v>6.18</v>
      </c>
      <c r="K12" s="10">
        <v>0</v>
      </c>
      <c r="L12" s="50">
        <f t="shared" si="1"/>
        <v>12.18</v>
      </c>
      <c r="M12" s="52">
        <v>88.165000000000006</v>
      </c>
      <c r="N12" s="59">
        <f t="shared" si="2"/>
        <v>100.345</v>
      </c>
      <c r="O12" s="17">
        <f t="shared" si="3"/>
        <v>5</v>
      </c>
      <c r="P12" s="53">
        <f t="shared" si="4"/>
        <v>95.344999999999999</v>
      </c>
      <c r="Q12" s="11"/>
      <c r="R12" s="11"/>
      <c r="S12" s="26"/>
      <c r="T12" s="74" t="s">
        <v>80</v>
      </c>
      <c r="U12" s="74">
        <v>1.5</v>
      </c>
    </row>
    <row r="13" spans="1:21" s="29" customFormat="1" ht="18.75">
      <c r="A13" s="9">
        <v>0</v>
      </c>
      <c r="B13" s="9">
        <v>9</v>
      </c>
      <c r="C13" s="8"/>
      <c r="D13" s="45" t="s">
        <v>41</v>
      </c>
      <c r="E13" s="36"/>
      <c r="F13" s="10">
        <v>2</v>
      </c>
      <c r="G13" s="10">
        <v>205</v>
      </c>
      <c r="H13" s="69" t="s">
        <v>32</v>
      </c>
      <c r="I13" s="53">
        <f t="shared" si="0"/>
        <v>6</v>
      </c>
      <c r="J13" s="50">
        <f t="shared" si="5"/>
        <v>6.1499999999999995</v>
      </c>
      <c r="K13" s="10">
        <v>0</v>
      </c>
      <c r="L13" s="50">
        <f t="shared" si="1"/>
        <v>12.149999999999999</v>
      </c>
      <c r="M13" s="52">
        <v>85.582499999999996</v>
      </c>
      <c r="N13" s="59">
        <f t="shared" si="2"/>
        <v>97.732499999999987</v>
      </c>
      <c r="O13" s="17">
        <f t="shared" si="3"/>
        <v>5</v>
      </c>
      <c r="P13" s="53">
        <f t="shared" si="4"/>
        <v>92.732499999999987</v>
      </c>
      <c r="Q13" s="11"/>
      <c r="R13" s="11"/>
      <c r="S13" s="25"/>
      <c r="T13" s="76" t="s">
        <v>24</v>
      </c>
      <c r="U13" s="2">
        <v>1</v>
      </c>
    </row>
    <row r="14" spans="1:21" s="29" customFormat="1" ht="18.75">
      <c r="A14" s="9">
        <v>0</v>
      </c>
      <c r="B14" s="9">
        <v>10</v>
      </c>
      <c r="C14" s="8"/>
      <c r="D14" s="45" t="s">
        <v>42</v>
      </c>
      <c r="E14" s="33"/>
      <c r="F14" s="10">
        <v>4</v>
      </c>
      <c r="G14" s="10">
        <v>200</v>
      </c>
      <c r="H14" s="69" t="s">
        <v>32</v>
      </c>
      <c r="I14" s="53">
        <f t="shared" si="0"/>
        <v>15</v>
      </c>
      <c r="J14" s="50">
        <f t="shared" si="5"/>
        <v>6</v>
      </c>
      <c r="K14" s="10">
        <v>0</v>
      </c>
      <c r="L14" s="50">
        <f t="shared" si="1"/>
        <v>21</v>
      </c>
      <c r="M14" s="52">
        <v>79.88</v>
      </c>
      <c r="N14" s="59">
        <f t="shared" si="2"/>
        <v>100.88</v>
      </c>
      <c r="O14" s="17">
        <f t="shared" si="3"/>
        <v>5</v>
      </c>
      <c r="P14" s="53">
        <f t="shared" si="4"/>
        <v>95.88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.75">
      <c r="A15" s="9">
        <v>0</v>
      </c>
      <c r="B15" s="9">
        <v>11</v>
      </c>
      <c r="C15" s="8"/>
      <c r="D15" s="45" t="s">
        <v>43</v>
      </c>
      <c r="E15" s="32"/>
      <c r="F15" s="10">
        <v>4</v>
      </c>
      <c r="G15" s="10">
        <v>202</v>
      </c>
      <c r="H15" s="69" t="s">
        <v>32</v>
      </c>
      <c r="I15" s="53">
        <f t="shared" si="0"/>
        <v>15</v>
      </c>
      <c r="J15" s="50">
        <f t="shared" si="5"/>
        <v>6.06</v>
      </c>
      <c r="K15" s="10">
        <v>0</v>
      </c>
      <c r="L15" s="50">
        <f t="shared" si="1"/>
        <v>21.06</v>
      </c>
      <c r="M15" s="52">
        <v>81.137500000000017</v>
      </c>
      <c r="N15" s="59">
        <f t="shared" si="2"/>
        <v>102.19750000000002</v>
      </c>
      <c r="O15" s="17">
        <f t="shared" si="3"/>
        <v>5</v>
      </c>
      <c r="P15" s="53">
        <f t="shared" si="4"/>
        <v>97.197500000000019</v>
      </c>
      <c r="Q15" s="4"/>
      <c r="R15" s="4"/>
      <c r="S15" s="4"/>
      <c r="T15" s="2" t="s">
        <v>25</v>
      </c>
      <c r="U15" s="2">
        <v>2022</v>
      </c>
    </row>
    <row r="16" spans="1:21" s="29" customFormat="1" ht="18.75">
      <c r="A16" s="9">
        <v>0</v>
      </c>
      <c r="B16" s="9">
        <v>12</v>
      </c>
      <c r="C16" s="8"/>
      <c r="D16" s="45" t="s">
        <v>44</v>
      </c>
      <c r="E16" s="32"/>
      <c r="F16" s="10">
        <v>4</v>
      </c>
      <c r="G16" s="10">
        <v>194</v>
      </c>
      <c r="H16" s="69" t="s">
        <v>32</v>
      </c>
      <c r="I16" s="53">
        <f t="shared" si="0"/>
        <v>15</v>
      </c>
      <c r="J16" s="50">
        <f t="shared" si="5"/>
        <v>5.8199999999999994</v>
      </c>
      <c r="K16" s="10">
        <v>0</v>
      </c>
      <c r="L16" s="50">
        <f t="shared" si="1"/>
        <v>20.82</v>
      </c>
      <c r="M16" s="52">
        <v>80.19</v>
      </c>
      <c r="N16" s="59">
        <f t="shared" si="2"/>
        <v>101.00999999999999</v>
      </c>
      <c r="O16" s="17">
        <f t="shared" si="3"/>
        <v>5</v>
      </c>
      <c r="P16" s="53">
        <f t="shared" si="4"/>
        <v>96.009999999999991</v>
      </c>
      <c r="Q16" s="4"/>
      <c r="R16" s="4"/>
      <c r="S16" s="4"/>
      <c r="T16" s="2" t="s">
        <v>26</v>
      </c>
      <c r="U16" s="2">
        <v>4</v>
      </c>
    </row>
    <row r="17" spans="1:21" s="29" customFormat="1" ht="18.75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0"/>
        <v>0</v>
      </c>
      <c r="J17" s="50">
        <f t="shared" si="5"/>
        <v>5.7</v>
      </c>
      <c r="K17" s="10">
        <v>0</v>
      </c>
      <c r="L17" s="50">
        <f t="shared" si="1"/>
        <v>5.7</v>
      </c>
      <c r="M17" s="52">
        <v>86.089999999999989</v>
      </c>
      <c r="N17" s="59">
        <f t="shared" si="2"/>
        <v>91.789999999999992</v>
      </c>
      <c r="O17" s="17">
        <f t="shared" si="3"/>
        <v>0</v>
      </c>
      <c r="P17" s="53">
        <f t="shared" si="4"/>
        <v>91.789999999999992</v>
      </c>
      <c r="Q17" s="4"/>
      <c r="R17" s="4"/>
      <c r="S17" s="4"/>
      <c r="T17" s="2" t="s">
        <v>27</v>
      </c>
      <c r="U17" s="2">
        <v>2</v>
      </c>
    </row>
    <row r="18" spans="1:21" s="29" customFormat="1" ht="18.75">
      <c r="A18" s="9">
        <v>0</v>
      </c>
      <c r="B18" s="9">
        <v>14</v>
      </c>
      <c r="C18" s="8"/>
      <c r="D18" s="45" t="s">
        <v>46</v>
      </c>
      <c r="E18" s="32"/>
      <c r="F18" s="10">
        <v>4</v>
      </c>
      <c r="G18" s="10">
        <v>193</v>
      </c>
      <c r="H18" s="72" t="s">
        <v>30</v>
      </c>
      <c r="I18" s="53">
        <f t="shared" si="0"/>
        <v>15</v>
      </c>
      <c r="J18" s="50">
        <f t="shared" si="5"/>
        <v>5.79</v>
      </c>
      <c r="K18" s="10">
        <v>0</v>
      </c>
      <c r="L18" s="50">
        <f t="shared" si="1"/>
        <v>20.79</v>
      </c>
      <c r="M18" s="52">
        <v>88.83</v>
      </c>
      <c r="N18" s="59">
        <f t="shared" si="2"/>
        <v>109.62</v>
      </c>
      <c r="O18" s="17">
        <f t="shared" si="3"/>
        <v>15</v>
      </c>
      <c r="P18" s="53">
        <f t="shared" si="4"/>
        <v>94.62</v>
      </c>
      <c r="Q18" s="4"/>
      <c r="R18" s="4"/>
      <c r="S18" s="4"/>
      <c r="T18" s="37"/>
    </row>
    <row r="19" spans="1:21" s="29" customFormat="1" ht="18.75">
      <c r="A19" s="9">
        <v>0</v>
      </c>
      <c r="B19" s="9">
        <v>15</v>
      </c>
      <c r="C19" s="8"/>
      <c r="D19" s="45" t="s">
        <v>47</v>
      </c>
      <c r="E19" s="32"/>
      <c r="F19" s="10">
        <v>2</v>
      </c>
      <c r="G19" s="10">
        <v>185</v>
      </c>
      <c r="H19" s="69" t="s">
        <v>32</v>
      </c>
      <c r="I19" s="53">
        <f t="shared" si="0"/>
        <v>6</v>
      </c>
      <c r="J19" s="50">
        <f t="shared" si="5"/>
        <v>5.55</v>
      </c>
      <c r="K19" s="10">
        <v>0</v>
      </c>
      <c r="L19" s="50">
        <f t="shared" si="1"/>
        <v>11.55</v>
      </c>
      <c r="M19" s="52">
        <v>88.649999999999991</v>
      </c>
      <c r="N19" s="59">
        <f t="shared" si="2"/>
        <v>100.19999999999999</v>
      </c>
      <c r="O19" s="17">
        <f t="shared" si="3"/>
        <v>5</v>
      </c>
      <c r="P19" s="53">
        <f t="shared" si="4"/>
        <v>95.199999999999989</v>
      </c>
      <c r="Q19" s="4"/>
      <c r="R19" s="4"/>
      <c r="S19" s="4"/>
      <c r="T19" s="1"/>
      <c r="U19" s="1"/>
    </row>
    <row r="20" spans="1:21" s="29" customFormat="1" ht="18.75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186</v>
      </c>
      <c r="H20" s="73" t="s">
        <v>31</v>
      </c>
      <c r="I20" s="53">
        <f t="shared" si="0"/>
        <v>10.5</v>
      </c>
      <c r="J20" s="50">
        <f t="shared" si="5"/>
        <v>5.58</v>
      </c>
      <c r="K20" s="10">
        <v>0</v>
      </c>
      <c r="L20" s="50">
        <f t="shared" si="1"/>
        <v>16.079999999999998</v>
      </c>
      <c r="M20" s="52">
        <v>86.35</v>
      </c>
      <c r="N20" s="59">
        <f t="shared" si="2"/>
        <v>102.42999999999999</v>
      </c>
      <c r="O20" s="17">
        <f t="shared" si="3"/>
        <v>9</v>
      </c>
      <c r="P20" s="53">
        <f t="shared" si="4"/>
        <v>93.429999999999993</v>
      </c>
      <c r="Q20" s="4"/>
      <c r="R20" s="4"/>
      <c r="S20" s="4"/>
      <c r="T20" s="1"/>
      <c r="U20" s="1"/>
    </row>
    <row r="21" spans="1:21" s="29" customFormat="1" ht="18.75">
      <c r="A21" s="9">
        <v>0</v>
      </c>
      <c r="B21" s="9">
        <v>17</v>
      </c>
      <c r="C21" s="8"/>
      <c r="D21" s="45" t="s">
        <v>49</v>
      </c>
      <c r="E21" s="32"/>
      <c r="F21" s="10">
        <v>4</v>
      </c>
      <c r="G21" s="10">
        <v>180</v>
      </c>
      <c r="H21" s="72" t="s">
        <v>30</v>
      </c>
      <c r="I21" s="53">
        <f t="shared" si="0"/>
        <v>15</v>
      </c>
      <c r="J21" s="50">
        <f t="shared" si="5"/>
        <v>5.3999999999999995</v>
      </c>
      <c r="K21" s="10">
        <v>0</v>
      </c>
      <c r="L21" s="50">
        <f t="shared" si="1"/>
        <v>20.399999999999999</v>
      </c>
      <c r="M21" s="52">
        <v>88.102500000000006</v>
      </c>
      <c r="N21" s="59">
        <f t="shared" si="2"/>
        <v>108.5025</v>
      </c>
      <c r="O21" s="17">
        <f t="shared" si="3"/>
        <v>15</v>
      </c>
      <c r="P21" s="53">
        <f t="shared" si="4"/>
        <v>93.502499999999998</v>
      </c>
      <c r="Q21" s="4"/>
      <c r="R21" s="4"/>
      <c r="S21" s="4"/>
      <c r="T21" s="1"/>
      <c r="U21" s="1"/>
    </row>
    <row r="22" spans="1:21" s="29" customFormat="1" ht="18.75">
      <c r="A22" s="9">
        <v>0</v>
      </c>
      <c r="B22" s="9">
        <v>18</v>
      </c>
      <c r="C22" s="8"/>
      <c r="D22" s="45" t="s">
        <v>50</v>
      </c>
      <c r="E22" s="32"/>
      <c r="F22" s="10">
        <v>3</v>
      </c>
      <c r="G22" s="10">
        <v>184</v>
      </c>
      <c r="H22" s="69" t="s">
        <v>32</v>
      </c>
      <c r="I22" s="53">
        <f t="shared" si="0"/>
        <v>10.5</v>
      </c>
      <c r="J22" s="50">
        <f t="shared" si="5"/>
        <v>5.52</v>
      </c>
      <c r="K22" s="10">
        <v>0</v>
      </c>
      <c r="L22" s="50">
        <f t="shared" si="1"/>
        <v>16.02</v>
      </c>
      <c r="M22" s="52">
        <v>67.734999999999999</v>
      </c>
      <c r="N22" s="59">
        <f t="shared" si="2"/>
        <v>83.754999999999995</v>
      </c>
      <c r="O22" s="17">
        <f t="shared" si="3"/>
        <v>5</v>
      </c>
      <c r="P22" s="53">
        <f t="shared" si="4"/>
        <v>78.754999999999995</v>
      </c>
      <c r="Q22" s="4"/>
      <c r="R22" s="4"/>
      <c r="S22" s="4"/>
      <c r="T22" s="1"/>
      <c r="U22" s="1"/>
    </row>
    <row r="23" spans="1:21" s="29" customFormat="1" ht="18.75">
      <c r="A23" s="9">
        <v>0</v>
      </c>
      <c r="B23" s="9">
        <v>19</v>
      </c>
      <c r="C23" s="8"/>
      <c r="D23" s="45" t="s">
        <v>51</v>
      </c>
      <c r="E23" s="34"/>
      <c r="F23" s="10">
        <v>2</v>
      </c>
      <c r="G23" s="10">
        <v>175</v>
      </c>
      <c r="H23" s="69" t="s">
        <v>32</v>
      </c>
      <c r="I23" s="53">
        <f t="shared" si="0"/>
        <v>6</v>
      </c>
      <c r="J23" s="50">
        <f t="shared" si="5"/>
        <v>5.25</v>
      </c>
      <c r="K23" s="10">
        <v>0</v>
      </c>
      <c r="L23" s="50">
        <f t="shared" si="1"/>
        <v>11.25</v>
      </c>
      <c r="M23" s="52">
        <v>86.47</v>
      </c>
      <c r="N23" s="59">
        <f t="shared" si="2"/>
        <v>97.72</v>
      </c>
      <c r="O23" s="17">
        <f t="shared" si="3"/>
        <v>5</v>
      </c>
      <c r="P23" s="53">
        <f t="shared" si="4"/>
        <v>92.72</v>
      </c>
      <c r="Q23" s="4"/>
      <c r="R23" s="4"/>
      <c r="S23" s="4"/>
      <c r="T23" s="1"/>
      <c r="U23" s="1"/>
    </row>
    <row r="24" spans="1:21" s="29" customFormat="1" ht="18.75">
      <c r="A24" s="9">
        <v>0</v>
      </c>
      <c r="B24" s="9">
        <v>20</v>
      </c>
      <c r="C24" s="8"/>
      <c r="D24" s="45" t="s">
        <v>52</v>
      </c>
      <c r="E24" s="34"/>
      <c r="F24" s="10">
        <v>4</v>
      </c>
      <c r="G24" s="10">
        <v>174</v>
      </c>
      <c r="H24" s="69" t="s">
        <v>32</v>
      </c>
      <c r="I24" s="53">
        <f t="shared" si="0"/>
        <v>15</v>
      </c>
      <c r="J24" s="50">
        <f t="shared" si="5"/>
        <v>5.22</v>
      </c>
      <c r="K24" s="10">
        <v>0</v>
      </c>
      <c r="L24" s="50">
        <f t="shared" si="1"/>
        <v>20.22</v>
      </c>
      <c r="M24" s="52">
        <v>81.389999999999986</v>
      </c>
      <c r="N24" s="59">
        <f t="shared" si="2"/>
        <v>101.60999999999999</v>
      </c>
      <c r="O24" s="17">
        <f t="shared" si="3"/>
        <v>5</v>
      </c>
      <c r="P24" s="53">
        <f t="shared" si="4"/>
        <v>96.609999999999985</v>
      </c>
      <c r="Q24" s="4"/>
      <c r="R24" s="4"/>
      <c r="S24" s="4"/>
      <c r="T24" s="1"/>
      <c r="U24" s="1"/>
    </row>
    <row r="25" spans="1:21" s="29" customFormat="1" ht="18.75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170</v>
      </c>
      <c r="H25" s="73" t="s">
        <v>31</v>
      </c>
      <c r="I25" s="53">
        <f t="shared" si="0"/>
        <v>10.5</v>
      </c>
      <c r="J25" s="50">
        <f t="shared" si="5"/>
        <v>5.0999999999999996</v>
      </c>
      <c r="K25" s="10">
        <v>0</v>
      </c>
      <c r="L25" s="50">
        <f t="shared" si="1"/>
        <v>15.6</v>
      </c>
      <c r="M25" s="52">
        <v>86.940000000000012</v>
      </c>
      <c r="N25" s="59">
        <f t="shared" si="2"/>
        <v>102.54</v>
      </c>
      <c r="O25" s="17">
        <f t="shared" si="3"/>
        <v>9</v>
      </c>
      <c r="P25" s="53">
        <f t="shared" si="4"/>
        <v>93.54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4</v>
      </c>
      <c r="G26" s="10">
        <v>166</v>
      </c>
      <c r="H26" s="72" t="s">
        <v>30</v>
      </c>
      <c r="I26" s="53">
        <f t="shared" si="0"/>
        <v>15</v>
      </c>
      <c r="J26" s="50">
        <f t="shared" si="5"/>
        <v>4.9799999999999995</v>
      </c>
      <c r="K26" s="10">
        <v>0</v>
      </c>
      <c r="L26" s="50">
        <f t="shared" si="1"/>
        <v>19.98</v>
      </c>
      <c r="M26" s="52">
        <v>88.67</v>
      </c>
      <c r="N26" s="59">
        <f t="shared" si="2"/>
        <v>108.65</v>
      </c>
      <c r="O26" s="17">
        <f t="shared" si="3"/>
        <v>15</v>
      </c>
      <c r="P26" s="53">
        <f t="shared" si="4"/>
        <v>93.65</v>
      </c>
      <c r="Q26" s="4"/>
      <c r="R26" s="4"/>
      <c r="S26" s="4"/>
      <c r="T26" s="1"/>
      <c r="U26" s="1"/>
    </row>
    <row r="27" spans="1:21" s="29" customFormat="1" ht="18.75">
      <c r="A27" s="9">
        <v>0</v>
      </c>
      <c r="B27" s="9">
        <v>23</v>
      </c>
      <c r="C27" s="8"/>
      <c r="D27" s="45" t="s">
        <v>55</v>
      </c>
      <c r="E27" s="34"/>
      <c r="F27" s="10">
        <v>2</v>
      </c>
      <c r="G27" s="10">
        <v>160</v>
      </c>
      <c r="H27" s="69" t="s">
        <v>32</v>
      </c>
      <c r="I27" s="53">
        <f t="shared" si="0"/>
        <v>6</v>
      </c>
      <c r="J27" s="50">
        <f t="shared" si="5"/>
        <v>4.8</v>
      </c>
      <c r="K27" s="10">
        <v>0</v>
      </c>
      <c r="L27" s="50">
        <f t="shared" si="1"/>
        <v>10.8</v>
      </c>
      <c r="M27" s="52">
        <v>26.457500000000003</v>
      </c>
      <c r="N27" s="59">
        <f t="shared" si="2"/>
        <v>37.257500000000007</v>
      </c>
      <c r="O27" s="17">
        <f t="shared" si="3"/>
        <v>5</v>
      </c>
      <c r="P27" s="53">
        <f t="shared" si="4"/>
        <v>32.257500000000007</v>
      </c>
      <c r="Q27" s="4"/>
      <c r="R27" s="4"/>
      <c r="S27" s="4"/>
      <c r="T27" s="1"/>
      <c r="U27" s="1"/>
    </row>
    <row r="28" spans="1:21" s="29" customFormat="1" ht="18.75">
      <c r="A28" s="9">
        <v>0</v>
      </c>
      <c r="B28" s="9">
        <v>24</v>
      </c>
      <c r="C28" s="8"/>
      <c r="D28" s="45" t="s">
        <v>56</v>
      </c>
      <c r="E28" s="34"/>
      <c r="F28" s="10">
        <v>4</v>
      </c>
      <c r="G28" s="10">
        <v>160</v>
      </c>
      <c r="H28" s="72" t="s">
        <v>30</v>
      </c>
      <c r="I28" s="53">
        <f t="shared" si="0"/>
        <v>15</v>
      </c>
      <c r="J28" s="50">
        <f t="shared" si="5"/>
        <v>4.8</v>
      </c>
      <c r="K28" s="10">
        <v>0</v>
      </c>
      <c r="L28" s="50">
        <f t="shared" si="1"/>
        <v>19.8</v>
      </c>
      <c r="M28" s="52">
        <v>88.54000000000002</v>
      </c>
      <c r="N28" s="59">
        <f t="shared" si="2"/>
        <v>108.34000000000002</v>
      </c>
      <c r="O28" s="17">
        <f t="shared" si="3"/>
        <v>15</v>
      </c>
      <c r="P28" s="53">
        <f t="shared" si="4"/>
        <v>93.340000000000018</v>
      </c>
      <c r="Q28" s="4"/>
      <c r="R28" s="4"/>
      <c r="S28" s="4"/>
      <c r="T28" s="1"/>
      <c r="U28" s="1"/>
    </row>
    <row r="29" spans="1:21" s="29" customFormat="1" ht="18.75">
      <c r="A29" s="9">
        <v>0</v>
      </c>
      <c r="B29" s="9">
        <v>25</v>
      </c>
      <c r="C29" s="8"/>
      <c r="D29" s="45" t="s">
        <v>57</v>
      </c>
      <c r="E29" s="34"/>
      <c r="F29" s="10">
        <v>4</v>
      </c>
      <c r="G29" s="10">
        <v>157</v>
      </c>
      <c r="H29" s="72" t="s">
        <v>30</v>
      </c>
      <c r="I29" s="53">
        <f t="shared" si="0"/>
        <v>15</v>
      </c>
      <c r="J29" s="50">
        <f t="shared" si="5"/>
        <v>4.71</v>
      </c>
      <c r="K29" s="10">
        <v>0</v>
      </c>
      <c r="L29" s="50">
        <f t="shared" si="1"/>
        <v>19.71</v>
      </c>
      <c r="M29" s="52">
        <v>85.54000000000002</v>
      </c>
      <c r="N29" s="59">
        <f t="shared" si="2"/>
        <v>105.25000000000003</v>
      </c>
      <c r="O29" s="17">
        <f t="shared" si="3"/>
        <v>15</v>
      </c>
      <c r="P29" s="53">
        <f t="shared" si="4"/>
        <v>90.250000000000028</v>
      </c>
      <c r="Q29" s="4"/>
      <c r="R29" s="4"/>
      <c r="S29" s="4"/>
      <c r="T29" s="1"/>
      <c r="U29" s="1"/>
    </row>
    <row r="30" spans="1:21" s="29" customFormat="1" ht="18.75">
      <c r="A30" s="9">
        <v>0</v>
      </c>
      <c r="B30" s="9">
        <v>26</v>
      </c>
      <c r="C30" s="8"/>
      <c r="D30" s="45" t="s">
        <v>58</v>
      </c>
      <c r="E30" s="34"/>
      <c r="F30" s="10">
        <v>4</v>
      </c>
      <c r="G30" s="10">
        <v>150</v>
      </c>
      <c r="H30" s="12" t="s">
        <v>30</v>
      </c>
      <c r="I30" s="53">
        <f t="shared" si="0"/>
        <v>15</v>
      </c>
      <c r="J30" s="50">
        <f t="shared" si="5"/>
        <v>4.5</v>
      </c>
      <c r="K30" s="10">
        <v>0</v>
      </c>
      <c r="L30" s="50">
        <f t="shared" si="1"/>
        <v>19.5</v>
      </c>
      <c r="M30" s="52">
        <v>87.719999999999985</v>
      </c>
      <c r="N30" s="59">
        <f t="shared" si="2"/>
        <v>107.21999999999998</v>
      </c>
      <c r="O30" s="17">
        <f t="shared" si="3"/>
        <v>15</v>
      </c>
      <c r="P30" s="53">
        <f t="shared" si="4"/>
        <v>92.219999999999985</v>
      </c>
      <c r="Q30" s="4"/>
      <c r="R30" s="4"/>
      <c r="S30" s="4"/>
      <c r="T30" s="1"/>
      <c r="U30" s="1"/>
    </row>
    <row r="31" spans="1:21" s="29" customFormat="1" ht="18.75">
      <c r="A31" s="9">
        <v>0</v>
      </c>
      <c r="B31" s="9">
        <v>27</v>
      </c>
      <c r="C31" s="8"/>
      <c r="D31" s="47" t="s">
        <v>59</v>
      </c>
      <c r="E31" s="34"/>
      <c r="F31" s="10">
        <v>4</v>
      </c>
      <c r="G31" s="10">
        <v>151</v>
      </c>
      <c r="H31" s="72" t="s">
        <v>30</v>
      </c>
      <c r="I31" s="53">
        <f t="shared" si="0"/>
        <v>15</v>
      </c>
      <c r="J31" s="50">
        <f t="shared" si="5"/>
        <v>4.53</v>
      </c>
      <c r="K31" s="10">
        <v>0</v>
      </c>
      <c r="L31" s="50">
        <f t="shared" si="1"/>
        <v>19.53</v>
      </c>
      <c r="M31" s="52">
        <v>86.127499999999998</v>
      </c>
      <c r="N31" s="59">
        <f t="shared" si="2"/>
        <v>105.6575</v>
      </c>
      <c r="O31" s="17">
        <f t="shared" si="3"/>
        <v>15</v>
      </c>
      <c r="P31" s="53">
        <f t="shared" si="4"/>
        <v>90.657499999999999</v>
      </c>
      <c r="Q31" s="4"/>
      <c r="R31" s="4"/>
      <c r="S31" s="4"/>
      <c r="T31" s="1"/>
      <c r="U31" s="1"/>
    </row>
    <row r="32" spans="1:21" s="29" customFormat="1" ht="18.75">
      <c r="A32" s="9">
        <v>0</v>
      </c>
      <c r="B32" s="9">
        <v>28</v>
      </c>
      <c r="C32" s="8"/>
      <c r="D32" s="49" t="s">
        <v>60</v>
      </c>
      <c r="E32" s="34"/>
      <c r="F32" s="10">
        <v>3</v>
      </c>
      <c r="G32" s="10">
        <v>143</v>
      </c>
      <c r="H32" s="69" t="s">
        <v>32</v>
      </c>
      <c r="I32" s="53">
        <f t="shared" si="0"/>
        <v>10.5</v>
      </c>
      <c r="J32" s="50">
        <f t="shared" si="5"/>
        <v>4.29</v>
      </c>
      <c r="K32" s="10">
        <v>0</v>
      </c>
      <c r="L32" s="50">
        <f t="shared" si="1"/>
        <v>14.79</v>
      </c>
      <c r="M32" s="52">
        <v>86.36</v>
      </c>
      <c r="N32" s="59">
        <f t="shared" si="2"/>
        <v>101.15</v>
      </c>
      <c r="O32" s="17">
        <f t="shared" si="3"/>
        <v>5</v>
      </c>
      <c r="P32" s="53">
        <f t="shared" si="4"/>
        <v>96.15</v>
      </c>
      <c r="Q32" s="4"/>
      <c r="R32" s="4"/>
      <c r="S32" s="4"/>
      <c r="T32" s="1"/>
      <c r="U32" s="1"/>
    </row>
    <row r="33" spans="1:21" s="29" customFormat="1" ht="18.75">
      <c r="A33" s="9">
        <v>0</v>
      </c>
      <c r="B33" s="9">
        <v>29</v>
      </c>
      <c r="C33" s="8"/>
      <c r="D33" s="60" t="s">
        <v>61</v>
      </c>
      <c r="E33" s="34"/>
      <c r="F33" s="10">
        <v>1</v>
      </c>
      <c r="G33" s="10">
        <v>144</v>
      </c>
      <c r="H33" s="69" t="s">
        <v>32</v>
      </c>
      <c r="I33" s="53">
        <f t="shared" si="0"/>
        <v>3</v>
      </c>
      <c r="J33" s="50">
        <f t="shared" si="5"/>
        <v>4.32</v>
      </c>
      <c r="K33" s="10">
        <v>0</v>
      </c>
      <c r="L33" s="50">
        <f>SUM(J33+I33+K33)</f>
        <v>7.32</v>
      </c>
      <c r="M33" s="52">
        <v>57.4</v>
      </c>
      <c r="N33" s="59">
        <f t="shared" si="2"/>
        <v>64.72</v>
      </c>
      <c r="O33" s="17">
        <f t="shared" si="3"/>
        <v>5</v>
      </c>
      <c r="P33" s="53">
        <f t="shared" si="4"/>
        <v>59.72</v>
      </c>
      <c r="Q33" s="4"/>
      <c r="R33" s="4"/>
      <c r="S33" s="4"/>
      <c r="T33" s="1"/>
      <c r="U33" s="1"/>
    </row>
    <row r="34" spans="1:21" s="29" customFormat="1" ht="18.75">
      <c r="A34" s="9">
        <v>0</v>
      </c>
      <c r="B34" s="9">
        <v>30</v>
      </c>
      <c r="C34" s="8"/>
      <c r="D34" s="48" t="s">
        <v>62</v>
      </c>
      <c r="E34" s="34"/>
      <c r="F34" s="10">
        <v>1</v>
      </c>
      <c r="G34" s="10">
        <v>131</v>
      </c>
      <c r="H34" s="69" t="s">
        <v>32</v>
      </c>
      <c r="I34" s="53">
        <f t="shared" si="0"/>
        <v>3</v>
      </c>
      <c r="J34" s="50">
        <f t="shared" si="5"/>
        <v>3.9299999999999997</v>
      </c>
      <c r="K34" s="10">
        <v>0</v>
      </c>
      <c r="L34" s="50">
        <f>SUM(J34+I34+K34)*(1-A34)</f>
        <v>6.93</v>
      </c>
      <c r="M34" s="52">
        <v>83.320000000000007</v>
      </c>
      <c r="N34" s="59">
        <f t="shared" si="2"/>
        <v>90.25</v>
      </c>
      <c r="O34" s="17">
        <f t="shared" si="3"/>
        <v>5</v>
      </c>
      <c r="P34" s="53">
        <f t="shared" si="4"/>
        <v>85.25</v>
      </c>
      <c r="Q34" s="4"/>
      <c r="R34" s="4"/>
      <c r="S34" s="4"/>
      <c r="T34" s="1"/>
      <c r="U34" s="1"/>
    </row>
    <row r="35" spans="1:21" s="29" customFormat="1" ht="18.75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0"/>
        <v>0</v>
      </c>
      <c r="J35" s="50">
        <f t="shared" si="5"/>
        <v>3.8699999999999997</v>
      </c>
      <c r="K35" s="10">
        <v>0</v>
      </c>
      <c r="L35" s="50">
        <f>SUM(J35+I35+K35)</f>
        <v>3.8699999999999997</v>
      </c>
      <c r="M35" s="52">
        <v>67.254999999999995</v>
      </c>
      <c r="N35" s="59">
        <f t="shared" si="2"/>
        <v>71.125</v>
      </c>
      <c r="O35" s="17">
        <f t="shared" si="3"/>
        <v>0</v>
      </c>
      <c r="P35" s="53">
        <f t="shared" si="4"/>
        <v>71.125</v>
      </c>
      <c r="Q35" s="4"/>
      <c r="R35" s="4"/>
      <c r="S35" s="4"/>
      <c r="T35" s="1"/>
      <c r="U35" s="1"/>
    </row>
    <row r="36" spans="1:21" s="29" customFormat="1" ht="18.75">
      <c r="A36" s="9">
        <v>0</v>
      </c>
      <c r="B36" s="9">
        <v>32</v>
      </c>
      <c r="C36" s="8"/>
      <c r="D36" s="45" t="s">
        <v>64</v>
      </c>
      <c r="E36" s="34"/>
      <c r="F36" s="10">
        <v>1</v>
      </c>
      <c r="G36" s="10">
        <v>128</v>
      </c>
      <c r="H36" s="14" t="s">
        <v>32</v>
      </c>
      <c r="I36" s="53">
        <f t="shared" si="0"/>
        <v>3</v>
      </c>
      <c r="J36" s="50">
        <f t="shared" si="5"/>
        <v>3.84</v>
      </c>
      <c r="K36" s="10">
        <v>0</v>
      </c>
      <c r="L36" s="50">
        <f>SUM(J36+I36+K36)*(1-A36)</f>
        <v>6.84</v>
      </c>
      <c r="M36" s="52">
        <v>25.75</v>
      </c>
      <c r="N36" s="59">
        <f t="shared" si="2"/>
        <v>32.590000000000003</v>
      </c>
      <c r="O36" s="17">
        <f t="shared" si="3"/>
        <v>5</v>
      </c>
      <c r="P36" s="53">
        <f t="shared" si="4"/>
        <v>27.590000000000003</v>
      </c>
      <c r="Q36" s="4"/>
      <c r="R36" s="4"/>
      <c r="S36" s="4"/>
      <c r="T36" s="1"/>
      <c r="U36" s="1"/>
    </row>
    <row r="37" spans="1:21" s="29" customFormat="1" ht="18.75">
      <c r="A37" s="9">
        <v>0</v>
      </c>
      <c r="B37" s="9">
        <v>33</v>
      </c>
      <c r="C37" s="8"/>
      <c r="D37" s="45" t="s">
        <v>65</v>
      </c>
      <c r="E37" s="32"/>
      <c r="F37" s="10">
        <v>2</v>
      </c>
      <c r="G37" s="10">
        <v>124</v>
      </c>
      <c r="H37" s="14" t="s">
        <v>32</v>
      </c>
      <c r="I37" s="53">
        <f t="shared" si="0"/>
        <v>6</v>
      </c>
      <c r="J37" s="50">
        <f t="shared" si="5"/>
        <v>3.7199999999999998</v>
      </c>
      <c r="K37" s="10">
        <v>0</v>
      </c>
      <c r="L37" s="50">
        <f>SUM(J37+I37+K37)</f>
        <v>9.7199999999999989</v>
      </c>
      <c r="M37" s="52">
        <v>65.819999999999993</v>
      </c>
      <c r="N37" s="59">
        <f t="shared" si="2"/>
        <v>75.539999999999992</v>
      </c>
      <c r="O37" s="17">
        <f t="shared" si="3"/>
        <v>5</v>
      </c>
      <c r="P37" s="53">
        <f t="shared" si="4"/>
        <v>70.539999999999992</v>
      </c>
      <c r="Q37" s="4"/>
      <c r="R37" s="4"/>
      <c r="S37" s="4"/>
      <c r="T37" s="1"/>
      <c r="U37" s="1"/>
    </row>
    <row r="38" spans="1:21" s="29" customFormat="1" ht="18.75">
      <c r="A38" s="9">
        <v>0</v>
      </c>
      <c r="B38" s="9">
        <v>34</v>
      </c>
      <c r="C38" s="8"/>
      <c r="D38" s="45" t="s">
        <v>66</v>
      </c>
      <c r="E38" s="34"/>
      <c r="F38" s="10">
        <v>2</v>
      </c>
      <c r="G38" s="10">
        <v>100</v>
      </c>
      <c r="H38" s="69" t="s">
        <v>32</v>
      </c>
      <c r="I38" s="53">
        <f t="shared" si="0"/>
        <v>6</v>
      </c>
      <c r="J38" s="50">
        <f t="shared" si="5"/>
        <v>3</v>
      </c>
      <c r="K38" s="10">
        <v>0</v>
      </c>
      <c r="L38" s="50">
        <f>SUM(J38+I38+K38)</f>
        <v>9</v>
      </c>
      <c r="M38" s="52">
        <v>80.25</v>
      </c>
      <c r="N38" s="59">
        <f t="shared" si="2"/>
        <v>89.25</v>
      </c>
      <c r="O38" s="17">
        <f t="shared" si="3"/>
        <v>5</v>
      </c>
      <c r="P38" s="53">
        <f t="shared" si="4"/>
        <v>84.25</v>
      </c>
      <c r="Q38" s="4"/>
      <c r="R38" s="4"/>
      <c r="S38" s="4"/>
      <c r="T38" s="1"/>
      <c r="U38" s="1"/>
    </row>
    <row r="39" spans="1:21" s="68" customFormat="1" ht="18.75">
      <c r="A39" s="9">
        <v>0</v>
      </c>
      <c r="B39" s="9">
        <v>35</v>
      </c>
      <c r="C39" s="8"/>
      <c r="D39" s="47" t="s">
        <v>67</v>
      </c>
      <c r="E39" s="2"/>
      <c r="F39" s="10">
        <v>2</v>
      </c>
      <c r="G39" s="10">
        <v>101</v>
      </c>
      <c r="H39" s="69" t="s">
        <v>32</v>
      </c>
      <c r="I39" s="53">
        <f t="shared" si="0"/>
        <v>6</v>
      </c>
      <c r="J39" s="50">
        <f t="shared" si="5"/>
        <v>3.03</v>
      </c>
      <c r="K39" s="10">
        <v>0</v>
      </c>
      <c r="L39" s="50">
        <f t="shared" ref="L39:L49" si="6">SUM(J39+I39+K39)*(1-A39)</f>
        <v>9.0299999999999994</v>
      </c>
      <c r="M39" s="52">
        <v>46.14</v>
      </c>
      <c r="N39" s="59">
        <f t="shared" si="2"/>
        <v>55.17</v>
      </c>
      <c r="O39" s="17">
        <f t="shared" si="3"/>
        <v>5</v>
      </c>
      <c r="P39" s="53">
        <f t="shared" si="4"/>
        <v>50.17</v>
      </c>
      <c r="Q39" s="4"/>
      <c r="R39" s="4"/>
      <c r="S39" s="4"/>
      <c r="T39" s="3"/>
      <c r="U39" s="3"/>
    </row>
    <row r="40" spans="1:21" ht="18.75">
      <c r="A40" s="9">
        <v>0</v>
      </c>
      <c r="B40" s="9">
        <v>36</v>
      </c>
      <c r="C40" s="8"/>
      <c r="D40" s="49" t="s">
        <v>68</v>
      </c>
      <c r="E40" s="2"/>
      <c r="F40" s="10">
        <v>3</v>
      </c>
      <c r="G40" s="10">
        <v>29</v>
      </c>
      <c r="H40" s="69" t="s">
        <v>32</v>
      </c>
      <c r="I40" s="53">
        <f t="shared" si="0"/>
        <v>10.5</v>
      </c>
      <c r="J40" s="50">
        <f t="shared" si="5"/>
        <v>0.87</v>
      </c>
      <c r="K40" s="10">
        <v>0</v>
      </c>
      <c r="L40" s="50">
        <f t="shared" si="6"/>
        <v>11.37</v>
      </c>
      <c r="M40" s="52">
        <v>33.840000000000003</v>
      </c>
      <c r="N40" s="59">
        <f t="shared" si="2"/>
        <v>45.21</v>
      </c>
      <c r="O40" s="17">
        <f t="shared" si="3"/>
        <v>5</v>
      </c>
      <c r="P40" s="53">
        <f t="shared" si="4"/>
        <v>40.21</v>
      </c>
      <c r="Q40" s="4"/>
      <c r="R40" s="4"/>
      <c r="S40" s="4"/>
      <c r="T40"/>
      <c r="U40"/>
    </row>
    <row r="41" spans="1:21" ht="18.75">
      <c r="A41" s="9">
        <v>0</v>
      </c>
      <c r="B41" s="9">
        <v>37</v>
      </c>
      <c r="C41" s="8"/>
      <c r="D41" s="49" t="s">
        <v>69</v>
      </c>
      <c r="E41" s="2"/>
      <c r="F41" s="10">
        <v>2</v>
      </c>
      <c r="G41" s="10">
        <v>57</v>
      </c>
      <c r="H41" s="69" t="s">
        <v>32</v>
      </c>
      <c r="I41" s="53">
        <f t="shared" si="0"/>
        <v>6</v>
      </c>
      <c r="J41" s="50">
        <f t="shared" si="5"/>
        <v>1.71</v>
      </c>
      <c r="K41" s="10">
        <v>0</v>
      </c>
      <c r="L41" s="50">
        <f t="shared" si="6"/>
        <v>7.71</v>
      </c>
      <c r="M41" s="52">
        <v>-7.5299999999999994</v>
      </c>
      <c r="N41" s="59">
        <f t="shared" si="2"/>
        <v>0.1800000000000006</v>
      </c>
      <c r="O41" s="17">
        <f t="shared" si="3"/>
        <v>5</v>
      </c>
      <c r="P41" s="53">
        <f t="shared" si="4"/>
        <v>-4.8199999999999994</v>
      </c>
      <c r="Q41" s="4"/>
      <c r="R41" s="4"/>
      <c r="S41" s="4"/>
      <c r="T41"/>
      <c r="U41"/>
    </row>
    <row r="42" spans="1:21" ht="18.75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69" t="s">
        <v>32</v>
      </c>
      <c r="I42" s="53">
        <f t="shared" si="0"/>
        <v>6</v>
      </c>
      <c r="J42" s="50">
        <f t="shared" si="5"/>
        <v>0.18</v>
      </c>
      <c r="K42" s="10">
        <v>0</v>
      </c>
      <c r="L42" s="50">
        <f t="shared" si="6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4"/>
        <v>4</v>
      </c>
      <c r="Q42" s="4"/>
      <c r="R42" s="4"/>
      <c r="S42" s="4"/>
      <c r="T42"/>
      <c r="U42"/>
    </row>
    <row r="43" spans="1:21" ht="18.75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0"/>
        <v>0</v>
      </c>
      <c r="J43" s="50">
        <f t="shared" si="5"/>
        <v>1.3499999999999999</v>
      </c>
      <c r="K43" s="10">
        <v>0</v>
      </c>
      <c r="L43" s="50">
        <f t="shared" si="6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4"/>
        <v>-3</v>
      </c>
      <c r="Q43" s="4"/>
      <c r="R43" s="4"/>
      <c r="S43" s="4"/>
      <c r="T43"/>
      <c r="U43"/>
    </row>
    <row r="44" spans="1:21" customFormat="1" ht="18.75">
      <c r="A44" s="9">
        <v>1</v>
      </c>
      <c r="B44" s="9">
        <v>40</v>
      </c>
      <c r="C44" s="8"/>
      <c r="D44" s="45" t="s">
        <v>72</v>
      </c>
      <c r="E44" s="34"/>
      <c r="F44" s="10">
        <v>3</v>
      </c>
      <c r="G44" s="10">
        <v>8</v>
      </c>
      <c r="H44" s="14" t="s">
        <v>32</v>
      </c>
      <c r="I44" s="53">
        <f t="shared" si="0"/>
        <v>10.5</v>
      </c>
      <c r="J44" s="50">
        <f t="shared" si="5"/>
        <v>0.24</v>
      </c>
      <c r="K44" s="10">
        <v>0</v>
      </c>
      <c r="L44" s="50">
        <f t="shared" si="6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4"/>
        <v>7</v>
      </c>
      <c r="Q44" s="4"/>
      <c r="R44" s="4"/>
      <c r="S44" s="4"/>
    </row>
    <row r="45" spans="1:21" customFormat="1" ht="18.75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5"/>
        <v>3.4499999999999997</v>
      </c>
      <c r="K45" s="62">
        <v>0</v>
      </c>
      <c r="L45" s="64">
        <f t="shared" si="6"/>
        <v>3.4499999999999997</v>
      </c>
      <c r="M45" s="65">
        <v>13.45</v>
      </c>
      <c r="N45" s="66">
        <f t="shared" si="2"/>
        <v>16.899999999999999</v>
      </c>
      <c r="O45" s="17">
        <f t="shared" si="3"/>
        <v>0</v>
      </c>
      <c r="P45" s="53">
        <f t="shared" si="4"/>
        <v>16.899999999999999</v>
      </c>
      <c r="Q45" s="67"/>
      <c r="R45" s="67"/>
      <c r="S45" s="67"/>
    </row>
    <row r="46" spans="1:21" customFormat="1" ht="18.75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32</v>
      </c>
      <c r="I46" s="53">
        <f t="shared" si="0"/>
        <v>6</v>
      </c>
      <c r="J46" s="50">
        <f t="shared" si="5"/>
        <v>0.18</v>
      </c>
      <c r="K46" s="10">
        <v>0</v>
      </c>
      <c r="L46" s="50">
        <f t="shared" si="6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4"/>
        <v>0</v>
      </c>
      <c r="Q46" s="4"/>
      <c r="R46" s="4"/>
      <c r="S46" s="4"/>
    </row>
    <row r="47" spans="1:21" ht="18.75">
      <c r="A47" s="9">
        <v>0</v>
      </c>
      <c r="B47" s="9">
        <v>43</v>
      </c>
      <c r="C47" s="61"/>
      <c r="D47" s="49" t="s">
        <v>84</v>
      </c>
      <c r="E47" s="33"/>
      <c r="F47" s="10">
        <v>2</v>
      </c>
      <c r="G47" s="10">
        <v>27</v>
      </c>
      <c r="H47" s="69" t="s">
        <v>32</v>
      </c>
      <c r="I47" s="53">
        <f t="shared" si="0"/>
        <v>6</v>
      </c>
      <c r="J47" s="50">
        <f t="shared" si="5"/>
        <v>0.80999999999999994</v>
      </c>
      <c r="K47" s="10">
        <v>0</v>
      </c>
      <c r="L47" s="50">
        <f t="shared" si="6"/>
        <v>6.81</v>
      </c>
      <c r="M47" s="52">
        <v>16.98</v>
      </c>
      <c r="N47" s="59">
        <f t="shared" si="2"/>
        <v>23.79</v>
      </c>
      <c r="O47" s="17">
        <f t="shared" si="3"/>
        <v>5</v>
      </c>
      <c r="P47" s="53">
        <f t="shared" si="4"/>
        <v>18.79</v>
      </c>
      <c r="Q47" s="4"/>
      <c r="R47" s="4"/>
      <c r="S47" s="4"/>
    </row>
    <row r="48" spans="1:21" ht="18.75">
      <c r="A48" s="9">
        <v>0</v>
      </c>
      <c r="B48" s="9">
        <v>44</v>
      </c>
      <c r="C48" s="61"/>
      <c r="D48" s="49" t="s">
        <v>83</v>
      </c>
      <c r="E48" s="33"/>
      <c r="F48" s="10">
        <v>4</v>
      </c>
      <c r="G48" s="10">
        <v>142</v>
      </c>
      <c r="H48" s="73" t="s">
        <v>31</v>
      </c>
      <c r="I48" s="53">
        <f t="shared" si="0"/>
        <v>15</v>
      </c>
      <c r="J48" s="50">
        <f t="shared" si="5"/>
        <v>4.26</v>
      </c>
      <c r="K48" s="10">
        <v>0</v>
      </c>
      <c r="L48" s="50">
        <f t="shared" si="6"/>
        <v>19.259999999999998</v>
      </c>
      <c r="M48" s="52">
        <v>84.16</v>
      </c>
      <c r="N48" s="59">
        <f t="shared" si="2"/>
        <v>103.41999999999999</v>
      </c>
      <c r="O48" s="17">
        <f t="shared" si="3"/>
        <v>9</v>
      </c>
      <c r="P48" s="53">
        <f t="shared" si="4"/>
        <v>94.419999999999987</v>
      </c>
      <c r="Q48" s="4"/>
      <c r="R48" s="4"/>
      <c r="S48" s="4"/>
    </row>
    <row r="49" spans="1:19" ht="18.75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31" t="s">
        <v>23</v>
      </c>
      <c r="I49" s="53">
        <f t="shared" si="0"/>
        <v>0</v>
      </c>
      <c r="J49" s="50">
        <f t="shared" si="5"/>
        <v>3.15</v>
      </c>
      <c r="K49" s="10">
        <v>0</v>
      </c>
      <c r="L49" s="50">
        <f t="shared" si="6"/>
        <v>3.15</v>
      </c>
      <c r="M49" s="52">
        <v>68.150000000000006</v>
      </c>
      <c r="N49" s="59">
        <f t="shared" si="2"/>
        <v>71.300000000000011</v>
      </c>
      <c r="O49" s="17">
        <f t="shared" si="3"/>
        <v>0</v>
      </c>
      <c r="P49" s="53">
        <f t="shared" si="4"/>
        <v>71.300000000000011</v>
      </c>
      <c r="Q49" s="4"/>
      <c r="R49" s="4"/>
      <c r="S49" s="4"/>
    </row>
  </sheetData>
  <autoFilter ref="A4:S49" xr:uid="{28593B8F-03E7-4BE1-B554-FC0AADC431B2}">
    <sortState xmlns:xlrd2="http://schemas.microsoft.com/office/spreadsheetml/2017/richdata2" ref="A5:S49">
      <sortCondition ref="B4:B49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28" priority="4" operator="lessThan">
      <formula>1</formula>
    </cfRule>
  </conditionalFormatting>
  <conditionalFormatting sqref="F5:F49">
    <cfRule type="cellIs" dxfId="27" priority="3" operator="lessThan">
      <formula>1</formula>
    </cfRule>
  </conditionalFormatting>
  <conditionalFormatting sqref="K47 G47">
    <cfRule type="cellIs" dxfId="26" priority="2" operator="lessThan">
      <formula>1</formula>
    </cfRule>
  </conditionalFormatting>
  <conditionalFormatting sqref="K48:K49 G48:G49">
    <cfRule type="cellIs" dxfId="25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A666-3AAF-4670-A300-200D49E14213}">
  <dimension ref="A1:U49"/>
  <sheetViews>
    <sheetView topLeftCell="A4" zoomScale="70" zoomScaleNormal="70" workbookViewId="0">
      <selection activeCell="F5" sqref="F5:F49"/>
    </sheetView>
  </sheetViews>
  <sheetFormatPr defaultColWidth="9" defaultRowHeight="13.5"/>
  <cols>
    <col min="1" max="1" width="7.625" customWidth="1"/>
    <col min="2" max="2" width="6.625" style="18" customWidth="1"/>
    <col min="3" max="3" width="19.75" style="68" hidden="1" customWidth="1"/>
    <col min="4" max="4" width="22.75" style="68" bestFit="1" customWidth="1"/>
    <col min="5" max="5" width="18.375" style="18" hidden="1" customWidth="1"/>
    <col min="6" max="6" width="13.125" style="18" customWidth="1"/>
    <col min="7" max="7" width="11.125" style="18" customWidth="1"/>
    <col min="8" max="8" width="20" style="18" customWidth="1"/>
    <col min="9" max="9" width="9" style="18" customWidth="1"/>
    <col min="10" max="10" width="9.625" style="18" customWidth="1"/>
    <col min="11" max="11" width="8.625" style="18" customWidth="1"/>
    <col min="12" max="12" width="9" style="18" customWidth="1"/>
    <col min="13" max="14" width="9.75" style="18" customWidth="1"/>
    <col min="15" max="15" width="9.25" style="18" customWidth="1"/>
    <col min="16" max="16" width="9.875" style="18" customWidth="1"/>
    <col min="17" max="19" width="11.125" style="18" customWidth="1"/>
    <col min="20" max="20" width="30.5" style="18" customWidth="1"/>
    <col min="21" max="21" width="10" style="18" bestFit="1" customWidth="1"/>
    <col min="22" max="16384" width="9" style="18"/>
  </cols>
  <sheetData>
    <row r="1" spans="1:21" ht="36.6" customHeight="1">
      <c r="B1" s="91" t="str">
        <f>CONCATENATE("101-104区 风の气息",U15,"年",U16,"月",U17,"日","分包贡献明细"," 统计：音")</f>
        <v>101-104区 风の气息2022年4月9日分包贡献明细 统计：音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41"/>
      <c r="R1" s="41"/>
      <c r="S1" s="41"/>
      <c r="T1" s="19" t="s">
        <v>8</v>
      </c>
      <c r="U1" s="5">
        <v>67</v>
      </c>
    </row>
    <row r="2" spans="1:21" ht="117.6" customHeight="1">
      <c r="B2" s="93" t="s">
        <v>82</v>
      </c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42"/>
      <c r="R2" s="42"/>
      <c r="S2" s="42"/>
      <c r="T2" s="20" t="s">
        <v>0</v>
      </c>
      <c r="U2" s="21" t="s">
        <v>9</v>
      </c>
    </row>
    <row r="3" spans="1:21" ht="20.25">
      <c r="B3" s="96" t="s">
        <v>13</v>
      </c>
      <c r="C3" s="96"/>
      <c r="D3" s="96"/>
      <c r="E3" s="96"/>
      <c r="F3" s="100" t="s">
        <v>10</v>
      </c>
      <c r="G3" s="101"/>
      <c r="H3" s="97" t="s">
        <v>14</v>
      </c>
      <c r="I3" s="98"/>
      <c r="J3" s="98"/>
      <c r="K3" s="98"/>
      <c r="L3" s="98"/>
      <c r="M3" s="98"/>
      <c r="N3" s="98"/>
      <c r="O3" s="98"/>
      <c r="P3" s="99"/>
      <c r="Q3" s="40"/>
      <c r="R3" s="40"/>
      <c r="S3" s="40"/>
      <c r="T3" s="70" t="s">
        <v>15</v>
      </c>
      <c r="U3" s="23">
        <v>22</v>
      </c>
    </row>
    <row r="4" spans="1:21" ht="40.5">
      <c r="A4" s="81" t="s">
        <v>76</v>
      </c>
      <c r="B4" s="81" t="s">
        <v>2</v>
      </c>
      <c r="C4" s="39" t="s">
        <v>16</v>
      </c>
      <c r="D4" s="81" t="s">
        <v>3</v>
      </c>
      <c r="E4" s="81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.75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293</v>
      </c>
      <c r="H5" s="70" t="s">
        <v>15</v>
      </c>
      <c r="I5" s="53">
        <f t="shared" ref="I5:I49" si="0">F5*$U$11+IF(F5&gt;2,(F5-2)*$U$12,0)</f>
        <v>10.5</v>
      </c>
      <c r="J5" s="50">
        <f>IF(MAX($F$5:$F$46)=0,0,G5*$U$14)</f>
        <v>8.7899999999999991</v>
      </c>
      <c r="K5" s="10">
        <v>0</v>
      </c>
      <c r="L5" s="50">
        <f t="shared" ref="L5:L32" si="1">SUM(J5+I5+K5)*(1-A5)</f>
        <v>19.29</v>
      </c>
      <c r="M5" s="52">
        <v>96.964999999999975</v>
      </c>
      <c r="N5" s="59">
        <f t="shared" ref="N5:N49" si="2">(L5+M5)*(1-A5)</f>
        <v>116.25499999999997</v>
      </c>
      <c r="O5" s="17">
        <f t="shared" ref="O5:O49" si="3">VLOOKUP(H5,$T$3:$U$10,2,FALSE)*(1-A5)</f>
        <v>22</v>
      </c>
      <c r="P5" s="53">
        <f>L5+M5-O5</f>
        <v>94.254999999999967</v>
      </c>
      <c r="Q5" s="11"/>
      <c r="R5" s="11"/>
      <c r="S5" s="11"/>
      <c r="T5" s="69" t="s">
        <v>22</v>
      </c>
      <c r="U5" s="23">
        <v>10</v>
      </c>
    </row>
    <row r="6" spans="1:21" s="29" customFormat="1" ht="18.75">
      <c r="A6" s="9">
        <v>0</v>
      </c>
      <c r="B6" s="9">
        <v>2</v>
      </c>
      <c r="C6" s="8"/>
      <c r="D6" s="45" t="s">
        <v>34</v>
      </c>
      <c r="E6" s="32"/>
      <c r="F6" s="10">
        <v>3</v>
      </c>
      <c r="G6" s="10">
        <v>222</v>
      </c>
      <c r="H6" s="69" t="s">
        <v>22</v>
      </c>
      <c r="I6" s="53">
        <f t="shared" si="0"/>
        <v>10.5</v>
      </c>
      <c r="J6" s="50">
        <f>IF(MAX($F$5:$F$46)=0,0,G6*$U$14*F6/MAX($F$5:$F$46))</f>
        <v>6.66</v>
      </c>
      <c r="K6" s="10">
        <v>0</v>
      </c>
      <c r="L6" s="50">
        <f t="shared" si="1"/>
        <v>17.16</v>
      </c>
      <c r="M6" s="52">
        <v>79.665000000000006</v>
      </c>
      <c r="N6" s="59">
        <f t="shared" si="2"/>
        <v>96.825000000000003</v>
      </c>
      <c r="O6" s="17">
        <f t="shared" si="3"/>
        <v>10</v>
      </c>
      <c r="P6" s="53">
        <f>_xlfn.FLOOR.MATH(L6+M6-O6)</f>
        <v>86</v>
      </c>
      <c r="Q6" s="11"/>
      <c r="R6" s="11"/>
      <c r="S6" s="11"/>
      <c r="T6" s="69"/>
      <c r="U6" s="23"/>
    </row>
    <row r="7" spans="1:21" s="29" customFormat="1" ht="18.75">
      <c r="A7" s="9">
        <v>0</v>
      </c>
      <c r="B7" s="9">
        <v>3</v>
      </c>
      <c r="C7" s="8"/>
      <c r="D7" s="45" t="s">
        <v>35</v>
      </c>
      <c r="E7" s="32"/>
      <c r="F7" s="10">
        <v>2</v>
      </c>
      <c r="G7" s="10">
        <v>224</v>
      </c>
      <c r="H7" s="69" t="s">
        <v>22</v>
      </c>
      <c r="I7" s="53">
        <f t="shared" si="0"/>
        <v>6</v>
      </c>
      <c r="J7" s="50">
        <f t="shared" ref="J7:J49" si="4">IF(MAX($F$5:$F$46)=0,0,G7*$U$14)</f>
        <v>6.72</v>
      </c>
      <c r="K7" s="10">
        <v>0</v>
      </c>
      <c r="L7" s="50">
        <f t="shared" si="1"/>
        <v>12.719999999999999</v>
      </c>
      <c r="M7" s="52">
        <v>93.495000000000005</v>
      </c>
      <c r="N7" s="59">
        <f t="shared" si="2"/>
        <v>106.215</v>
      </c>
      <c r="O7" s="17">
        <f t="shared" si="3"/>
        <v>10</v>
      </c>
      <c r="P7" s="53">
        <f t="shared" ref="P7:P49" si="5">L7+M7-O7</f>
        <v>96.215000000000003</v>
      </c>
      <c r="Q7" s="11"/>
      <c r="R7" s="11"/>
      <c r="S7" s="11"/>
      <c r="T7" s="72" t="s">
        <v>30</v>
      </c>
      <c r="U7" s="23">
        <v>15</v>
      </c>
    </row>
    <row r="8" spans="1:21" s="29" customFormat="1" ht="18.75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220</v>
      </c>
      <c r="H8" s="71" t="s">
        <v>21</v>
      </c>
      <c r="I8" s="53">
        <f t="shared" si="0"/>
        <v>10.5</v>
      </c>
      <c r="J8" s="50">
        <f t="shared" si="4"/>
        <v>6.6</v>
      </c>
      <c r="K8" s="10">
        <v>0</v>
      </c>
      <c r="L8" s="50">
        <f t="shared" si="1"/>
        <v>17.100000000000001</v>
      </c>
      <c r="M8" s="52">
        <v>93.402500000000032</v>
      </c>
      <c r="N8" s="59">
        <f t="shared" si="2"/>
        <v>110.50250000000003</v>
      </c>
      <c r="O8" s="17">
        <f t="shared" si="3"/>
        <v>13</v>
      </c>
      <c r="P8" s="53">
        <f t="shared" si="5"/>
        <v>97.502500000000026</v>
      </c>
      <c r="Q8" s="11"/>
      <c r="R8" s="11"/>
      <c r="S8" s="11"/>
      <c r="T8" s="73" t="s">
        <v>31</v>
      </c>
      <c r="U8" s="23">
        <v>9</v>
      </c>
    </row>
    <row r="9" spans="1:21" s="29" customFormat="1" ht="18.75">
      <c r="A9" s="9">
        <v>0</v>
      </c>
      <c r="B9" s="9">
        <v>5</v>
      </c>
      <c r="C9" s="8"/>
      <c r="D9" s="45" t="s">
        <v>37</v>
      </c>
      <c r="E9" s="32"/>
      <c r="F9" s="10">
        <v>3</v>
      </c>
      <c r="G9" s="10">
        <v>217</v>
      </c>
      <c r="H9" s="70" t="s">
        <v>15</v>
      </c>
      <c r="I9" s="53">
        <f t="shared" si="0"/>
        <v>10.5</v>
      </c>
      <c r="J9" s="50">
        <f t="shared" si="4"/>
        <v>6.51</v>
      </c>
      <c r="K9" s="10">
        <v>0</v>
      </c>
      <c r="L9" s="50">
        <f t="shared" si="1"/>
        <v>17.009999999999998</v>
      </c>
      <c r="M9" s="52">
        <v>95.039999999999992</v>
      </c>
      <c r="N9" s="59">
        <f t="shared" si="2"/>
        <v>112.04999999999998</v>
      </c>
      <c r="O9" s="17">
        <f t="shared" si="3"/>
        <v>22</v>
      </c>
      <c r="P9" s="53">
        <f t="shared" si="5"/>
        <v>90.049999999999983</v>
      </c>
      <c r="Q9" s="11"/>
      <c r="R9" s="11"/>
      <c r="S9" s="25"/>
      <c r="T9" s="69" t="s">
        <v>32</v>
      </c>
      <c r="U9" s="23">
        <v>5</v>
      </c>
    </row>
    <row r="10" spans="1:21" s="29" customFormat="1" ht="18.75">
      <c r="A10" s="9">
        <v>0</v>
      </c>
      <c r="B10" s="9">
        <v>6</v>
      </c>
      <c r="C10" s="8"/>
      <c r="D10" s="45" t="s">
        <v>38</v>
      </c>
      <c r="E10" s="32"/>
      <c r="F10" s="10">
        <v>3</v>
      </c>
      <c r="G10" s="10">
        <v>216</v>
      </c>
      <c r="H10" s="70" t="s">
        <v>15</v>
      </c>
      <c r="I10" s="53">
        <f t="shared" si="0"/>
        <v>10.5</v>
      </c>
      <c r="J10" s="50">
        <f t="shared" si="4"/>
        <v>6.4799999999999995</v>
      </c>
      <c r="K10" s="10">
        <v>0</v>
      </c>
      <c r="L10" s="50">
        <f t="shared" si="1"/>
        <v>16.98</v>
      </c>
      <c r="M10" s="52">
        <v>94.56</v>
      </c>
      <c r="N10" s="59">
        <f t="shared" si="2"/>
        <v>111.54</v>
      </c>
      <c r="O10" s="17">
        <f t="shared" si="3"/>
        <v>22</v>
      </c>
      <c r="P10" s="53">
        <f t="shared" si="5"/>
        <v>89.54</v>
      </c>
      <c r="Q10" s="11"/>
      <c r="R10" s="11"/>
      <c r="S10" s="16"/>
      <c r="T10" s="2" t="s">
        <v>23</v>
      </c>
      <c r="U10" s="2">
        <v>0</v>
      </c>
    </row>
    <row r="11" spans="1:21" s="29" customFormat="1" ht="18.75">
      <c r="A11" s="9">
        <v>0</v>
      </c>
      <c r="B11" s="9">
        <v>7</v>
      </c>
      <c r="C11" s="8"/>
      <c r="D11" s="45" t="s">
        <v>39</v>
      </c>
      <c r="E11" s="32"/>
      <c r="F11" s="10">
        <v>3</v>
      </c>
      <c r="G11" s="10">
        <v>216</v>
      </c>
      <c r="H11" s="71" t="s">
        <v>21</v>
      </c>
      <c r="I11" s="53">
        <f t="shared" si="0"/>
        <v>10.5</v>
      </c>
      <c r="J11" s="50">
        <f t="shared" si="4"/>
        <v>6.4799999999999995</v>
      </c>
      <c r="K11" s="10">
        <v>0</v>
      </c>
      <c r="L11" s="50">
        <f t="shared" si="1"/>
        <v>16.98</v>
      </c>
      <c r="M11" s="52">
        <v>92.98</v>
      </c>
      <c r="N11" s="59">
        <f t="shared" si="2"/>
        <v>109.96000000000001</v>
      </c>
      <c r="O11" s="17">
        <f t="shared" si="3"/>
        <v>13</v>
      </c>
      <c r="P11" s="53">
        <f t="shared" si="5"/>
        <v>96.960000000000008</v>
      </c>
      <c r="Q11" s="11"/>
      <c r="R11" s="11"/>
      <c r="S11" s="26"/>
      <c r="T11" s="74" t="s">
        <v>79</v>
      </c>
      <c r="U11" s="75">
        <v>3</v>
      </c>
    </row>
    <row r="12" spans="1:21" s="29" customFormat="1" ht="18.75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206</v>
      </c>
      <c r="H12" s="70" t="s">
        <v>15</v>
      </c>
      <c r="I12" s="53">
        <f t="shared" si="0"/>
        <v>10.5</v>
      </c>
      <c r="J12" s="50">
        <f t="shared" si="4"/>
        <v>6.18</v>
      </c>
      <c r="K12" s="10">
        <v>0</v>
      </c>
      <c r="L12" s="50">
        <f t="shared" si="1"/>
        <v>16.68</v>
      </c>
      <c r="M12" s="52">
        <v>95.344999999999999</v>
      </c>
      <c r="N12" s="59">
        <f t="shared" si="2"/>
        <v>112.02500000000001</v>
      </c>
      <c r="O12" s="17">
        <f t="shared" si="3"/>
        <v>22</v>
      </c>
      <c r="P12" s="53">
        <f t="shared" si="5"/>
        <v>90.025000000000006</v>
      </c>
      <c r="Q12" s="11"/>
      <c r="R12" s="11"/>
      <c r="S12" s="26"/>
      <c r="T12" s="74" t="s">
        <v>80</v>
      </c>
      <c r="U12" s="74">
        <v>1.5</v>
      </c>
    </row>
    <row r="13" spans="1:21" s="29" customFormat="1" ht="18.75">
      <c r="A13" s="9">
        <v>0</v>
      </c>
      <c r="B13" s="9">
        <v>9</v>
      </c>
      <c r="C13" s="8"/>
      <c r="D13" s="45" t="s">
        <v>41</v>
      </c>
      <c r="E13" s="36"/>
      <c r="F13" s="10">
        <v>1</v>
      </c>
      <c r="G13" s="10">
        <v>205</v>
      </c>
      <c r="H13" s="69" t="s">
        <v>22</v>
      </c>
      <c r="I13" s="53">
        <f t="shared" si="0"/>
        <v>3</v>
      </c>
      <c r="J13" s="50">
        <f t="shared" si="4"/>
        <v>6.1499999999999995</v>
      </c>
      <c r="K13" s="10">
        <v>0</v>
      </c>
      <c r="L13" s="50">
        <f t="shared" si="1"/>
        <v>9.1499999999999986</v>
      </c>
      <c r="M13" s="52">
        <v>92.732499999999987</v>
      </c>
      <c r="N13" s="59">
        <f t="shared" si="2"/>
        <v>101.88249999999999</v>
      </c>
      <c r="O13" s="17">
        <f t="shared" si="3"/>
        <v>10</v>
      </c>
      <c r="P13" s="53">
        <f t="shared" si="5"/>
        <v>91.882499999999993</v>
      </c>
      <c r="Q13" s="11"/>
      <c r="R13" s="11"/>
      <c r="S13" s="25"/>
      <c r="T13" s="76" t="s">
        <v>24</v>
      </c>
      <c r="U13" s="2">
        <v>1</v>
      </c>
    </row>
    <row r="14" spans="1:21" s="29" customFormat="1" ht="18.75">
      <c r="A14" s="9">
        <v>0</v>
      </c>
      <c r="B14" s="9">
        <v>10</v>
      </c>
      <c r="C14" s="8"/>
      <c r="D14" s="45" t="s">
        <v>42</v>
      </c>
      <c r="E14" s="33"/>
      <c r="F14" s="10">
        <v>3</v>
      </c>
      <c r="G14" s="10">
        <v>200</v>
      </c>
      <c r="H14" s="70" t="s">
        <v>15</v>
      </c>
      <c r="I14" s="53">
        <f t="shared" si="0"/>
        <v>10.5</v>
      </c>
      <c r="J14" s="50">
        <f t="shared" si="4"/>
        <v>6</v>
      </c>
      <c r="K14" s="10">
        <v>0</v>
      </c>
      <c r="L14" s="50">
        <f t="shared" si="1"/>
        <v>16.5</v>
      </c>
      <c r="M14" s="52">
        <v>95.88</v>
      </c>
      <c r="N14" s="59">
        <f t="shared" si="2"/>
        <v>112.38</v>
      </c>
      <c r="O14" s="17">
        <f t="shared" si="3"/>
        <v>22</v>
      </c>
      <c r="P14" s="53">
        <f t="shared" si="5"/>
        <v>90.38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.75">
      <c r="A15" s="9">
        <v>0</v>
      </c>
      <c r="B15" s="9">
        <v>11</v>
      </c>
      <c r="C15" s="8"/>
      <c r="D15" s="45" t="s">
        <v>43</v>
      </c>
      <c r="E15" s="32"/>
      <c r="F15" s="10">
        <v>2</v>
      </c>
      <c r="G15" s="10">
        <v>202</v>
      </c>
      <c r="H15" s="71" t="s">
        <v>21</v>
      </c>
      <c r="I15" s="53">
        <f t="shared" si="0"/>
        <v>6</v>
      </c>
      <c r="J15" s="50">
        <f t="shared" si="4"/>
        <v>6.06</v>
      </c>
      <c r="K15" s="10">
        <v>0</v>
      </c>
      <c r="L15" s="50">
        <f t="shared" si="1"/>
        <v>12.059999999999999</v>
      </c>
      <c r="M15" s="52">
        <v>97.197500000000019</v>
      </c>
      <c r="N15" s="59">
        <f t="shared" si="2"/>
        <v>109.25750000000002</v>
      </c>
      <c r="O15" s="17">
        <f t="shared" si="3"/>
        <v>13</v>
      </c>
      <c r="P15" s="53">
        <f t="shared" si="5"/>
        <v>96.257500000000022</v>
      </c>
      <c r="Q15" s="4"/>
      <c r="R15" s="4"/>
      <c r="S15" s="4"/>
      <c r="T15" s="2" t="s">
        <v>25</v>
      </c>
      <c r="U15" s="2">
        <v>2022</v>
      </c>
    </row>
    <row r="16" spans="1:21" s="29" customFormat="1" ht="18.75">
      <c r="A16" s="9">
        <v>0</v>
      </c>
      <c r="B16" s="9">
        <v>12</v>
      </c>
      <c r="C16" s="8"/>
      <c r="D16" s="45" t="s">
        <v>44</v>
      </c>
      <c r="E16" s="32"/>
      <c r="F16" s="10">
        <v>3</v>
      </c>
      <c r="G16" s="10">
        <v>196</v>
      </c>
      <c r="H16" s="70" t="s">
        <v>15</v>
      </c>
      <c r="I16" s="53">
        <f t="shared" si="0"/>
        <v>10.5</v>
      </c>
      <c r="J16" s="50">
        <f t="shared" si="4"/>
        <v>5.88</v>
      </c>
      <c r="K16" s="10">
        <v>0</v>
      </c>
      <c r="L16" s="50">
        <f t="shared" si="1"/>
        <v>16.38</v>
      </c>
      <c r="M16" s="52">
        <v>96.009999999999991</v>
      </c>
      <c r="N16" s="59">
        <f t="shared" si="2"/>
        <v>112.38999999999999</v>
      </c>
      <c r="O16" s="17">
        <f t="shared" si="3"/>
        <v>22</v>
      </c>
      <c r="P16" s="53">
        <f t="shared" si="5"/>
        <v>90.389999999999986</v>
      </c>
      <c r="Q16" s="4"/>
      <c r="R16" s="4"/>
      <c r="S16" s="4"/>
      <c r="T16" s="2" t="s">
        <v>26</v>
      </c>
      <c r="U16" s="2">
        <v>4</v>
      </c>
    </row>
    <row r="17" spans="1:21" s="29" customFormat="1" ht="18.75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0"/>
        <v>0</v>
      </c>
      <c r="J17" s="50">
        <f t="shared" si="4"/>
        <v>5.7</v>
      </c>
      <c r="K17" s="10">
        <v>0</v>
      </c>
      <c r="L17" s="50">
        <f t="shared" si="1"/>
        <v>5.7</v>
      </c>
      <c r="M17" s="52">
        <v>91.789999999999992</v>
      </c>
      <c r="N17" s="59">
        <f t="shared" si="2"/>
        <v>97.49</v>
      </c>
      <c r="O17" s="17">
        <f t="shared" si="3"/>
        <v>0</v>
      </c>
      <c r="P17" s="53">
        <f t="shared" si="5"/>
        <v>97.49</v>
      </c>
      <c r="Q17" s="4"/>
      <c r="R17" s="4"/>
      <c r="S17" s="4"/>
      <c r="T17" s="2" t="s">
        <v>27</v>
      </c>
      <c r="U17" s="2">
        <v>9</v>
      </c>
    </row>
    <row r="18" spans="1:21" s="29" customFormat="1" ht="18.75">
      <c r="A18" s="9">
        <v>0</v>
      </c>
      <c r="B18" s="9">
        <v>14</v>
      </c>
      <c r="C18" s="8"/>
      <c r="D18" s="45" t="s">
        <v>46</v>
      </c>
      <c r="E18" s="32"/>
      <c r="F18" s="10">
        <v>3</v>
      </c>
      <c r="G18" s="10">
        <v>193</v>
      </c>
      <c r="H18" s="71" t="s">
        <v>21</v>
      </c>
      <c r="I18" s="53">
        <f t="shared" si="0"/>
        <v>10.5</v>
      </c>
      <c r="J18" s="50">
        <f t="shared" si="4"/>
        <v>5.79</v>
      </c>
      <c r="K18" s="10">
        <v>0</v>
      </c>
      <c r="L18" s="50">
        <f t="shared" si="1"/>
        <v>16.29</v>
      </c>
      <c r="M18" s="52">
        <v>94.62</v>
      </c>
      <c r="N18" s="59">
        <f t="shared" si="2"/>
        <v>110.91</v>
      </c>
      <c r="O18" s="17">
        <f t="shared" si="3"/>
        <v>13</v>
      </c>
      <c r="P18" s="53">
        <f t="shared" si="5"/>
        <v>97.91</v>
      </c>
      <c r="Q18" s="4"/>
      <c r="R18" s="4"/>
      <c r="S18" s="4"/>
      <c r="T18" s="37"/>
    </row>
    <row r="19" spans="1:21" s="29" customFormat="1" ht="18.75">
      <c r="A19" s="9">
        <v>0</v>
      </c>
      <c r="B19" s="9">
        <v>15</v>
      </c>
      <c r="C19" s="8"/>
      <c r="D19" s="45" t="s">
        <v>47</v>
      </c>
      <c r="E19" s="32"/>
      <c r="F19" s="10">
        <v>3</v>
      </c>
      <c r="G19" s="10">
        <v>185</v>
      </c>
      <c r="H19" s="70" t="s">
        <v>15</v>
      </c>
      <c r="I19" s="53">
        <f t="shared" si="0"/>
        <v>10.5</v>
      </c>
      <c r="J19" s="50">
        <f t="shared" si="4"/>
        <v>5.55</v>
      </c>
      <c r="K19" s="10">
        <v>0</v>
      </c>
      <c r="L19" s="50">
        <f t="shared" si="1"/>
        <v>16.05</v>
      </c>
      <c r="M19" s="52">
        <v>95.199999999999989</v>
      </c>
      <c r="N19" s="59">
        <f t="shared" si="2"/>
        <v>111.24999999999999</v>
      </c>
      <c r="O19" s="17">
        <f t="shared" si="3"/>
        <v>22</v>
      </c>
      <c r="P19" s="53">
        <f t="shared" si="5"/>
        <v>89.249999999999986</v>
      </c>
      <c r="Q19" s="4"/>
      <c r="R19" s="4"/>
      <c r="S19" s="4"/>
      <c r="T19" s="1"/>
      <c r="U19" s="1"/>
    </row>
    <row r="20" spans="1:21" s="29" customFormat="1" ht="18.75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186</v>
      </c>
      <c r="H20" s="71" t="s">
        <v>21</v>
      </c>
      <c r="I20" s="53">
        <f t="shared" si="0"/>
        <v>10.5</v>
      </c>
      <c r="J20" s="50">
        <f t="shared" si="4"/>
        <v>5.58</v>
      </c>
      <c r="K20" s="10">
        <v>0</v>
      </c>
      <c r="L20" s="50">
        <f t="shared" si="1"/>
        <v>16.079999999999998</v>
      </c>
      <c r="M20" s="52">
        <v>93.429999999999993</v>
      </c>
      <c r="N20" s="59">
        <f t="shared" si="2"/>
        <v>109.50999999999999</v>
      </c>
      <c r="O20" s="17">
        <f t="shared" si="3"/>
        <v>13</v>
      </c>
      <c r="P20" s="53">
        <f t="shared" si="5"/>
        <v>96.509999999999991</v>
      </c>
      <c r="Q20" s="4"/>
      <c r="R20" s="4"/>
      <c r="S20" s="4"/>
      <c r="T20" s="1"/>
      <c r="U20" s="1"/>
    </row>
    <row r="21" spans="1:21" s="29" customFormat="1" ht="18.75">
      <c r="A21" s="9">
        <v>0</v>
      </c>
      <c r="B21" s="9">
        <v>17</v>
      </c>
      <c r="C21" s="8"/>
      <c r="D21" s="45" t="s">
        <v>49</v>
      </c>
      <c r="E21" s="32"/>
      <c r="F21" s="10">
        <v>2</v>
      </c>
      <c r="G21" s="10">
        <v>180</v>
      </c>
      <c r="H21" s="69" t="s">
        <v>22</v>
      </c>
      <c r="I21" s="53">
        <f t="shared" si="0"/>
        <v>6</v>
      </c>
      <c r="J21" s="50">
        <f t="shared" si="4"/>
        <v>5.3999999999999995</v>
      </c>
      <c r="K21" s="10">
        <v>0</v>
      </c>
      <c r="L21" s="50">
        <f t="shared" si="1"/>
        <v>11.399999999999999</v>
      </c>
      <c r="M21" s="52">
        <v>93.502499999999998</v>
      </c>
      <c r="N21" s="59">
        <f t="shared" si="2"/>
        <v>104.9025</v>
      </c>
      <c r="O21" s="17">
        <f t="shared" si="3"/>
        <v>10</v>
      </c>
      <c r="P21" s="53">
        <f t="shared" si="5"/>
        <v>94.902500000000003</v>
      </c>
      <c r="Q21" s="4"/>
      <c r="R21" s="4"/>
      <c r="S21" s="4"/>
      <c r="T21" s="1"/>
      <c r="U21" s="1"/>
    </row>
    <row r="22" spans="1:21" s="29" customFormat="1" ht="18.75">
      <c r="A22" s="9">
        <v>0</v>
      </c>
      <c r="B22" s="9">
        <v>18</v>
      </c>
      <c r="C22" s="8"/>
      <c r="D22" s="45" t="s">
        <v>50</v>
      </c>
      <c r="E22" s="32"/>
      <c r="F22" s="10">
        <v>3</v>
      </c>
      <c r="G22" s="10">
        <v>184</v>
      </c>
      <c r="H22" s="69" t="s">
        <v>22</v>
      </c>
      <c r="I22" s="53">
        <f t="shared" si="0"/>
        <v>10.5</v>
      </c>
      <c r="J22" s="50">
        <f t="shared" si="4"/>
        <v>5.52</v>
      </c>
      <c r="K22" s="10">
        <v>0</v>
      </c>
      <c r="L22" s="50">
        <f t="shared" si="1"/>
        <v>16.02</v>
      </c>
      <c r="M22" s="52">
        <v>78.754999999999995</v>
      </c>
      <c r="N22" s="59">
        <f t="shared" si="2"/>
        <v>94.774999999999991</v>
      </c>
      <c r="O22" s="17">
        <f t="shared" si="3"/>
        <v>10</v>
      </c>
      <c r="P22" s="53">
        <f t="shared" si="5"/>
        <v>84.774999999999991</v>
      </c>
      <c r="Q22" s="4"/>
      <c r="R22" s="4"/>
      <c r="S22" s="4"/>
      <c r="T22" s="1"/>
      <c r="U22" s="1"/>
    </row>
    <row r="23" spans="1:21" s="29" customFormat="1" ht="18.75">
      <c r="A23" s="9">
        <v>0</v>
      </c>
      <c r="B23" s="9">
        <v>19</v>
      </c>
      <c r="C23" s="8"/>
      <c r="D23" s="45" t="s">
        <v>51</v>
      </c>
      <c r="E23" s="34"/>
      <c r="F23" s="10">
        <v>2</v>
      </c>
      <c r="G23" s="10">
        <v>175</v>
      </c>
      <c r="H23" s="69" t="s">
        <v>22</v>
      </c>
      <c r="I23" s="53">
        <f t="shared" si="0"/>
        <v>6</v>
      </c>
      <c r="J23" s="50">
        <f t="shared" si="4"/>
        <v>5.25</v>
      </c>
      <c r="K23" s="10">
        <v>0</v>
      </c>
      <c r="L23" s="50">
        <f t="shared" si="1"/>
        <v>11.25</v>
      </c>
      <c r="M23" s="52">
        <v>92.72</v>
      </c>
      <c r="N23" s="59">
        <f t="shared" si="2"/>
        <v>103.97</v>
      </c>
      <c r="O23" s="17">
        <f t="shared" si="3"/>
        <v>10</v>
      </c>
      <c r="P23" s="53">
        <f t="shared" si="5"/>
        <v>93.97</v>
      </c>
      <c r="Q23" s="4"/>
      <c r="R23" s="4"/>
      <c r="S23" s="4"/>
      <c r="T23" s="1"/>
      <c r="U23" s="1"/>
    </row>
    <row r="24" spans="1:21" s="29" customFormat="1" ht="18.75">
      <c r="A24" s="9">
        <v>0</v>
      </c>
      <c r="B24" s="9">
        <v>20</v>
      </c>
      <c r="C24" s="8"/>
      <c r="D24" s="45" t="s">
        <v>52</v>
      </c>
      <c r="E24" s="34"/>
      <c r="F24" s="10">
        <v>3</v>
      </c>
      <c r="G24" s="10">
        <v>174</v>
      </c>
      <c r="H24" s="70" t="s">
        <v>15</v>
      </c>
      <c r="I24" s="53">
        <f t="shared" si="0"/>
        <v>10.5</v>
      </c>
      <c r="J24" s="50">
        <f t="shared" si="4"/>
        <v>5.22</v>
      </c>
      <c r="K24" s="10">
        <v>0</v>
      </c>
      <c r="L24" s="50">
        <f t="shared" si="1"/>
        <v>15.719999999999999</v>
      </c>
      <c r="M24" s="52">
        <v>96.609999999999985</v>
      </c>
      <c r="N24" s="59">
        <f t="shared" si="2"/>
        <v>112.32999999999998</v>
      </c>
      <c r="O24" s="17">
        <f t="shared" si="3"/>
        <v>22</v>
      </c>
      <c r="P24" s="53">
        <f t="shared" si="5"/>
        <v>90.329999999999984</v>
      </c>
      <c r="Q24" s="4"/>
      <c r="R24" s="4"/>
      <c r="S24" s="4"/>
      <c r="T24" s="1"/>
      <c r="U24" s="1"/>
    </row>
    <row r="25" spans="1:21" s="29" customFormat="1" ht="18.75">
      <c r="A25" s="9">
        <v>0</v>
      </c>
      <c r="B25" s="9">
        <v>21</v>
      </c>
      <c r="C25" s="8"/>
      <c r="D25" s="45" t="s">
        <v>53</v>
      </c>
      <c r="E25" s="34"/>
      <c r="F25" s="10">
        <v>0</v>
      </c>
      <c r="G25" s="10">
        <v>170</v>
      </c>
      <c r="H25" s="83" t="s">
        <v>23</v>
      </c>
      <c r="I25" s="53">
        <f t="shared" si="0"/>
        <v>0</v>
      </c>
      <c r="J25" s="50">
        <f t="shared" si="4"/>
        <v>5.0999999999999996</v>
      </c>
      <c r="K25" s="10">
        <v>0</v>
      </c>
      <c r="L25" s="50">
        <f t="shared" si="1"/>
        <v>5.0999999999999996</v>
      </c>
      <c r="M25" s="52">
        <v>93.54</v>
      </c>
      <c r="N25" s="59">
        <f t="shared" si="2"/>
        <v>98.64</v>
      </c>
      <c r="O25" s="17">
        <f t="shared" si="3"/>
        <v>0</v>
      </c>
      <c r="P25" s="53">
        <f t="shared" si="5"/>
        <v>98.64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3</v>
      </c>
      <c r="G26" s="10">
        <v>166</v>
      </c>
      <c r="H26" s="71" t="s">
        <v>21</v>
      </c>
      <c r="I26" s="53">
        <f t="shared" si="0"/>
        <v>10.5</v>
      </c>
      <c r="J26" s="50">
        <f t="shared" si="4"/>
        <v>4.9799999999999995</v>
      </c>
      <c r="K26" s="10">
        <v>0</v>
      </c>
      <c r="L26" s="50">
        <f t="shared" si="1"/>
        <v>15.48</v>
      </c>
      <c r="M26" s="52">
        <v>93.65</v>
      </c>
      <c r="N26" s="59">
        <f t="shared" si="2"/>
        <v>109.13000000000001</v>
      </c>
      <c r="O26" s="17">
        <f t="shared" si="3"/>
        <v>13</v>
      </c>
      <c r="P26" s="53">
        <f t="shared" si="5"/>
        <v>96.13000000000001</v>
      </c>
      <c r="Q26" s="4"/>
      <c r="R26" s="4"/>
      <c r="S26" s="4"/>
      <c r="T26" s="1"/>
      <c r="U26" s="1"/>
    </row>
    <row r="27" spans="1:21" s="29" customFormat="1" ht="18.75">
      <c r="A27" s="9">
        <v>0</v>
      </c>
      <c r="B27" s="9">
        <v>23</v>
      </c>
      <c r="C27" s="8"/>
      <c r="D27" s="45" t="s">
        <v>55</v>
      </c>
      <c r="E27" s="34"/>
      <c r="F27" s="10">
        <v>2</v>
      </c>
      <c r="G27" s="10">
        <v>160</v>
      </c>
      <c r="H27" s="69" t="s">
        <v>22</v>
      </c>
      <c r="I27" s="53">
        <f t="shared" si="0"/>
        <v>6</v>
      </c>
      <c r="J27" s="50">
        <f t="shared" si="4"/>
        <v>4.8</v>
      </c>
      <c r="K27" s="10">
        <v>0</v>
      </c>
      <c r="L27" s="50">
        <f t="shared" si="1"/>
        <v>10.8</v>
      </c>
      <c r="M27" s="52">
        <v>32.257500000000007</v>
      </c>
      <c r="N27" s="59">
        <f t="shared" si="2"/>
        <v>43.057500000000005</v>
      </c>
      <c r="O27" s="17">
        <f t="shared" si="3"/>
        <v>10</v>
      </c>
      <c r="P27" s="53">
        <f t="shared" si="5"/>
        <v>33.057500000000005</v>
      </c>
      <c r="Q27" s="4"/>
      <c r="R27" s="4"/>
      <c r="S27" s="4"/>
      <c r="T27" s="1"/>
      <c r="U27" s="1"/>
    </row>
    <row r="28" spans="1:21" s="29" customFormat="1" ht="18.75">
      <c r="A28" s="9">
        <v>0</v>
      </c>
      <c r="B28" s="9">
        <v>24</v>
      </c>
      <c r="C28" s="8"/>
      <c r="D28" s="45" t="s">
        <v>56</v>
      </c>
      <c r="E28" s="34"/>
      <c r="F28" s="10">
        <v>3</v>
      </c>
      <c r="G28" s="10">
        <v>160</v>
      </c>
      <c r="H28" s="71" t="s">
        <v>21</v>
      </c>
      <c r="I28" s="53">
        <f t="shared" si="0"/>
        <v>10.5</v>
      </c>
      <c r="J28" s="50">
        <f t="shared" si="4"/>
        <v>4.8</v>
      </c>
      <c r="K28" s="10">
        <v>0</v>
      </c>
      <c r="L28" s="50">
        <f t="shared" si="1"/>
        <v>15.3</v>
      </c>
      <c r="M28" s="52">
        <v>93.340000000000018</v>
      </c>
      <c r="N28" s="59">
        <f t="shared" si="2"/>
        <v>108.64000000000001</v>
      </c>
      <c r="O28" s="17">
        <f t="shared" si="3"/>
        <v>13</v>
      </c>
      <c r="P28" s="53">
        <f t="shared" si="5"/>
        <v>95.640000000000015</v>
      </c>
      <c r="Q28" s="4"/>
      <c r="R28" s="4"/>
      <c r="S28" s="4"/>
      <c r="T28" s="1"/>
      <c r="U28" s="1"/>
    </row>
    <row r="29" spans="1:21" s="29" customFormat="1" ht="18.75">
      <c r="A29" s="9">
        <v>0</v>
      </c>
      <c r="B29" s="9">
        <v>25</v>
      </c>
      <c r="C29" s="8"/>
      <c r="D29" s="45" t="s">
        <v>57</v>
      </c>
      <c r="E29" s="34"/>
      <c r="F29" s="10">
        <v>3</v>
      </c>
      <c r="G29" s="10">
        <v>157</v>
      </c>
      <c r="H29" s="69" t="s">
        <v>22</v>
      </c>
      <c r="I29" s="53">
        <f t="shared" si="0"/>
        <v>10.5</v>
      </c>
      <c r="J29" s="50">
        <f t="shared" si="4"/>
        <v>4.71</v>
      </c>
      <c r="K29" s="10">
        <v>0</v>
      </c>
      <c r="L29" s="50">
        <f t="shared" si="1"/>
        <v>15.21</v>
      </c>
      <c r="M29" s="52">
        <v>90.250000000000028</v>
      </c>
      <c r="N29" s="59">
        <f t="shared" si="2"/>
        <v>105.46000000000004</v>
      </c>
      <c r="O29" s="17">
        <f t="shared" si="3"/>
        <v>10</v>
      </c>
      <c r="P29" s="53">
        <f t="shared" si="5"/>
        <v>95.460000000000036</v>
      </c>
      <c r="Q29" s="4"/>
      <c r="R29" s="4"/>
      <c r="S29" s="4"/>
      <c r="T29" s="1"/>
      <c r="U29" s="1"/>
    </row>
    <row r="30" spans="1:21" s="29" customFormat="1" ht="18.75">
      <c r="A30" s="9">
        <v>0</v>
      </c>
      <c r="B30" s="9">
        <v>26</v>
      </c>
      <c r="C30" s="8"/>
      <c r="D30" s="45" t="s">
        <v>58</v>
      </c>
      <c r="E30" s="34"/>
      <c r="F30" s="10">
        <v>3</v>
      </c>
      <c r="G30" s="10">
        <v>150</v>
      </c>
      <c r="H30" s="71" t="s">
        <v>21</v>
      </c>
      <c r="I30" s="53">
        <f t="shared" si="0"/>
        <v>10.5</v>
      </c>
      <c r="J30" s="50">
        <f t="shared" si="4"/>
        <v>4.5</v>
      </c>
      <c r="K30" s="10">
        <v>0</v>
      </c>
      <c r="L30" s="50">
        <f t="shared" si="1"/>
        <v>15</v>
      </c>
      <c r="M30" s="52">
        <v>92.219999999999985</v>
      </c>
      <c r="N30" s="59">
        <f t="shared" si="2"/>
        <v>107.21999999999998</v>
      </c>
      <c r="O30" s="17">
        <f t="shared" si="3"/>
        <v>13</v>
      </c>
      <c r="P30" s="53">
        <f t="shared" si="5"/>
        <v>94.219999999999985</v>
      </c>
      <c r="Q30" s="4"/>
      <c r="R30" s="4"/>
      <c r="S30" s="4"/>
      <c r="T30" s="1"/>
      <c r="U30" s="1"/>
    </row>
    <row r="31" spans="1:21" s="29" customFormat="1" ht="18.75">
      <c r="A31" s="9">
        <v>0</v>
      </c>
      <c r="B31" s="9">
        <v>27</v>
      </c>
      <c r="C31" s="8"/>
      <c r="D31" s="47" t="s">
        <v>59</v>
      </c>
      <c r="E31" s="34"/>
      <c r="F31" s="10">
        <v>3</v>
      </c>
      <c r="G31" s="10">
        <v>151</v>
      </c>
      <c r="H31" s="69" t="s">
        <v>22</v>
      </c>
      <c r="I31" s="53">
        <f t="shared" si="0"/>
        <v>10.5</v>
      </c>
      <c r="J31" s="50">
        <f t="shared" si="4"/>
        <v>4.53</v>
      </c>
      <c r="K31" s="10">
        <v>0</v>
      </c>
      <c r="L31" s="50">
        <f t="shared" si="1"/>
        <v>15.030000000000001</v>
      </c>
      <c r="M31" s="52">
        <v>90.657499999999999</v>
      </c>
      <c r="N31" s="59">
        <f t="shared" si="2"/>
        <v>105.6875</v>
      </c>
      <c r="O31" s="17">
        <f t="shared" si="3"/>
        <v>10</v>
      </c>
      <c r="P31" s="53">
        <f t="shared" si="5"/>
        <v>95.6875</v>
      </c>
      <c r="Q31" s="4"/>
      <c r="R31" s="4"/>
      <c r="S31" s="4"/>
      <c r="T31" s="1"/>
      <c r="U31" s="1"/>
    </row>
    <row r="32" spans="1:21" s="29" customFormat="1" ht="18.75">
      <c r="A32" s="9">
        <v>0</v>
      </c>
      <c r="B32" s="9">
        <v>28</v>
      </c>
      <c r="C32" s="8"/>
      <c r="D32" s="49" t="s">
        <v>60</v>
      </c>
      <c r="E32" s="34"/>
      <c r="F32" s="10">
        <v>3</v>
      </c>
      <c r="G32" s="10">
        <v>143</v>
      </c>
      <c r="H32" s="70" t="s">
        <v>15</v>
      </c>
      <c r="I32" s="53">
        <f t="shared" si="0"/>
        <v>10.5</v>
      </c>
      <c r="J32" s="50">
        <f t="shared" si="4"/>
        <v>4.29</v>
      </c>
      <c r="K32" s="10">
        <v>0</v>
      </c>
      <c r="L32" s="50">
        <f t="shared" si="1"/>
        <v>14.79</v>
      </c>
      <c r="M32" s="52">
        <v>96.15</v>
      </c>
      <c r="N32" s="59">
        <f t="shared" si="2"/>
        <v>110.94</v>
      </c>
      <c r="O32" s="17">
        <f t="shared" si="3"/>
        <v>22</v>
      </c>
      <c r="P32" s="53">
        <f t="shared" si="5"/>
        <v>88.94</v>
      </c>
      <c r="Q32" s="4"/>
      <c r="R32" s="4"/>
      <c r="S32" s="4"/>
      <c r="T32" s="1"/>
      <c r="U32" s="1"/>
    </row>
    <row r="33" spans="1:21" s="29" customFormat="1" ht="18.75">
      <c r="A33" s="9">
        <v>0</v>
      </c>
      <c r="B33" s="9">
        <v>29</v>
      </c>
      <c r="C33" s="8"/>
      <c r="D33" s="60" t="s">
        <v>61</v>
      </c>
      <c r="E33" s="34"/>
      <c r="F33" s="10">
        <v>0</v>
      </c>
      <c r="G33" s="10">
        <v>144</v>
      </c>
      <c r="H33" s="83" t="s">
        <v>23</v>
      </c>
      <c r="I33" s="53">
        <f t="shared" si="0"/>
        <v>0</v>
      </c>
      <c r="J33" s="50">
        <f t="shared" si="4"/>
        <v>4.32</v>
      </c>
      <c r="K33" s="10">
        <v>0</v>
      </c>
      <c r="L33" s="50">
        <f>SUM(J33+I33+K33)</f>
        <v>4.32</v>
      </c>
      <c r="M33" s="52">
        <v>59.72</v>
      </c>
      <c r="N33" s="59">
        <f t="shared" si="2"/>
        <v>64.039999999999992</v>
      </c>
      <c r="O33" s="17">
        <f t="shared" si="3"/>
        <v>0</v>
      </c>
      <c r="P33" s="53">
        <f t="shared" si="5"/>
        <v>64.039999999999992</v>
      </c>
      <c r="Q33" s="4"/>
      <c r="R33" s="4"/>
      <c r="S33" s="4"/>
      <c r="T33" s="1"/>
      <c r="U33" s="1"/>
    </row>
    <row r="34" spans="1:21" s="29" customFormat="1" ht="18.75">
      <c r="A34" s="9">
        <v>0</v>
      </c>
      <c r="B34" s="9">
        <v>30</v>
      </c>
      <c r="C34" s="8"/>
      <c r="D34" s="48" t="s">
        <v>62</v>
      </c>
      <c r="E34" s="34"/>
      <c r="F34" s="10">
        <v>1</v>
      </c>
      <c r="G34" s="10">
        <v>131</v>
      </c>
      <c r="H34" s="69" t="s">
        <v>22</v>
      </c>
      <c r="I34" s="53">
        <f t="shared" si="0"/>
        <v>3</v>
      </c>
      <c r="J34" s="50">
        <f t="shared" si="4"/>
        <v>3.9299999999999997</v>
      </c>
      <c r="K34" s="10">
        <v>0</v>
      </c>
      <c r="L34" s="50">
        <f>SUM(J34+I34+K34)*(1-A34)</f>
        <v>6.93</v>
      </c>
      <c r="M34" s="52">
        <v>85.25</v>
      </c>
      <c r="N34" s="59">
        <f t="shared" si="2"/>
        <v>92.18</v>
      </c>
      <c r="O34" s="17">
        <f t="shared" si="3"/>
        <v>10</v>
      </c>
      <c r="P34" s="53">
        <f t="shared" si="5"/>
        <v>82.18</v>
      </c>
      <c r="Q34" s="4"/>
      <c r="R34" s="4"/>
      <c r="S34" s="4"/>
      <c r="T34" s="1"/>
      <c r="U34" s="1"/>
    </row>
    <row r="35" spans="1:21" s="29" customFormat="1" ht="18.75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0"/>
        <v>0</v>
      </c>
      <c r="J35" s="50">
        <f t="shared" si="4"/>
        <v>3.8699999999999997</v>
      </c>
      <c r="K35" s="10">
        <v>0</v>
      </c>
      <c r="L35" s="50">
        <f>SUM(J35+I35+K35)</f>
        <v>3.8699999999999997</v>
      </c>
      <c r="M35" s="52">
        <v>71.125</v>
      </c>
      <c r="N35" s="59">
        <f t="shared" si="2"/>
        <v>74.995000000000005</v>
      </c>
      <c r="O35" s="17">
        <f t="shared" si="3"/>
        <v>0</v>
      </c>
      <c r="P35" s="53">
        <f t="shared" si="5"/>
        <v>74.995000000000005</v>
      </c>
      <c r="Q35" s="4"/>
      <c r="R35" s="4"/>
      <c r="S35" s="4"/>
      <c r="T35" s="1"/>
      <c r="U35" s="1"/>
    </row>
    <row r="36" spans="1:21" s="29" customFormat="1" ht="18.75">
      <c r="A36" s="9">
        <v>0</v>
      </c>
      <c r="B36" s="9">
        <v>32</v>
      </c>
      <c r="C36" s="8"/>
      <c r="D36" s="45" t="s">
        <v>64</v>
      </c>
      <c r="E36" s="34"/>
      <c r="F36" s="10">
        <v>2</v>
      </c>
      <c r="G36" s="10">
        <v>128</v>
      </c>
      <c r="H36" s="69" t="s">
        <v>22</v>
      </c>
      <c r="I36" s="53">
        <f t="shared" si="0"/>
        <v>6</v>
      </c>
      <c r="J36" s="50">
        <f t="shared" si="4"/>
        <v>3.84</v>
      </c>
      <c r="K36" s="10">
        <v>0</v>
      </c>
      <c r="L36" s="50">
        <f>SUM(J36+I36+K36)*(1-A36)</f>
        <v>9.84</v>
      </c>
      <c r="M36" s="52">
        <v>27.590000000000003</v>
      </c>
      <c r="N36" s="59">
        <f t="shared" si="2"/>
        <v>37.430000000000007</v>
      </c>
      <c r="O36" s="17">
        <f t="shared" si="3"/>
        <v>10</v>
      </c>
      <c r="P36" s="53">
        <f t="shared" si="5"/>
        <v>27.430000000000007</v>
      </c>
      <c r="Q36" s="4"/>
      <c r="R36" s="4"/>
      <c r="S36" s="4"/>
      <c r="T36" s="1"/>
      <c r="U36" s="1"/>
    </row>
    <row r="37" spans="1:21" s="29" customFormat="1" ht="18.75">
      <c r="A37" s="9">
        <v>0</v>
      </c>
      <c r="B37" s="9">
        <v>33</v>
      </c>
      <c r="C37" s="8"/>
      <c r="D37" s="45" t="s">
        <v>65</v>
      </c>
      <c r="E37" s="32"/>
      <c r="F37" s="10">
        <v>3</v>
      </c>
      <c r="G37" s="10">
        <v>124</v>
      </c>
      <c r="H37" s="69" t="s">
        <v>22</v>
      </c>
      <c r="I37" s="53">
        <f t="shared" si="0"/>
        <v>10.5</v>
      </c>
      <c r="J37" s="50">
        <f t="shared" si="4"/>
        <v>3.7199999999999998</v>
      </c>
      <c r="K37" s="10">
        <v>0</v>
      </c>
      <c r="L37" s="50">
        <f>SUM(J37+I37+K37)</f>
        <v>14.219999999999999</v>
      </c>
      <c r="M37" s="52">
        <v>70.539999999999992</v>
      </c>
      <c r="N37" s="59">
        <f t="shared" si="2"/>
        <v>84.759999999999991</v>
      </c>
      <c r="O37" s="17">
        <f t="shared" si="3"/>
        <v>10</v>
      </c>
      <c r="P37" s="53">
        <f t="shared" si="5"/>
        <v>74.759999999999991</v>
      </c>
      <c r="Q37" s="4"/>
      <c r="R37" s="4"/>
      <c r="S37" s="4"/>
      <c r="T37" s="1"/>
      <c r="U37" s="1"/>
    </row>
    <row r="38" spans="1:21" s="29" customFormat="1" ht="18.75">
      <c r="A38" s="9">
        <v>0</v>
      </c>
      <c r="B38" s="9">
        <v>34</v>
      </c>
      <c r="C38" s="8"/>
      <c r="D38" s="45" t="s">
        <v>66</v>
      </c>
      <c r="E38" s="34"/>
      <c r="F38" s="10">
        <v>2</v>
      </c>
      <c r="G38" s="10">
        <v>100</v>
      </c>
      <c r="H38" s="69" t="s">
        <v>22</v>
      </c>
      <c r="I38" s="53">
        <f t="shared" si="0"/>
        <v>6</v>
      </c>
      <c r="J38" s="50">
        <f t="shared" si="4"/>
        <v>3</v>
      </c>
      <c r="K38" s="10">
        <v>0</v>
      </c>
      <c r="L38" s="50">
        <f>SUM(J38+I38+K38)</f>
        <v>9</v>
      </c>
      <c r="M38" s="52">
        <v>84.25</v>
      </c>
      <c r="N38" s="59">
        <f t="shared" si="2"/>
        <v>93.25</v>
      </c>
      <c r="O38" s="17">
        <f t="shared" si="3"/>
        <v>10</v>
      </c>
      <c r="P38" s="53">
        <f t="shared" si="5"/>
        <v>83.25</v>
      </c>
      <c r="Q38" s="4"/>
      <c r="R38" s="4"/>
      <c r="S38" s="4"/>
      <c r="T38" s="1"/>
      <c r="U38" s="1"/>
    </row>
    <row r="39" spans="1:21" s="68" customFormat="1" ht="18.75">
      <c r="A39" s="9">
        <v>0</v>
      </c>
      <c r="B39" s="9">
        <v>35</v>
      </c>
      <c r="C39" s="8"/>
      <c r="D39" s="47" t="s">
        <v>67</v>
      </c>
      <c r="E39" s="2"/>
      <c r="F39" s="10">
        <v>2</v>
      </c>
      <c r="G39" s="10">
        <v>101</v>
      </c>
      <c r="H39" s="69" t="s">
        <v>22</v>
      </c>
      <c r="I39" s="53">
        <f t="shared" si="0"/>
        <v>6</v>
      </c>
      <c r="J39" s="50">
        <f t="shared" si="4"/>
        <v>3.03</v>
      </c>
      <c r="K39" s="10">
        <v>0</v>
      </c>
      <c r="L39" s="50">
        <f t="shared" ref="L39:L49" si="6">SUM(J39+I39+K39)*(1-A39)</f>
        <v>9.0299999999999994</v>
      </c>
      <c r="M39" s="52">
        <v>50.17</v>
      </c>
      <c r="N39" s="59">
        <f t="shared" si="2"/>
        <v>59.2</v>
      </c>
      <c r="O39" s="17">
        <f t="shared" si="3"/>
        <v>10</v>
      </c>
      <c r="P39" s="53">
        <f t="shared" si="5"/>
        <v>49.2</v>
      </c>
      <c r="Q39" s="4"/>
      <c r="R39" s="4"/>
      <c r="S39" s="4"/>
      <c r="T39" s="3"/>
      <c r="U39" s="3"/>
    </row>
    <row r="40" spans="1:21" ht="18.75">
      <c r="A40" s="9">
        <v>0</v>
      </c>
      <c r="B40" s="9">
        <v>36</v>
      </c>
      <c r="C40" s="8"/>
      <c r="D40" s="49" t="s">
        <v>68</v>
      </c>
      <c r="E40" s="2"/>
      <c r="F40" s="10">
        <v>1</v>
      </c>
      <c r="G40" s="10">
        <v>29</v>
      </c>
      <c r="H40" s="69" t="s">
        <v>22</v>
      </c>
      <c r="I40" s="53">
        <f t="shared" si="0"/>
        <v>3</v>
      </c>
      <c r="J40" s="50">
        <f t="shared" si="4"/>
        <v>0.87</v>
      </c>
      <c r="K40" s="10">
        <v>0</v>
      </c>
      <c r="L40" s="50">
        <f t="shared" si="6"/>
        <v>3.87</v>
      </c>
      <c r="M40" s="52">
        <v>40.21</v>
      </c>
      <c r="N40" s="59">
        <f t="shared" si="2"/>
        <v>44.08</v>
      </c>
      <c r="O40" s="17">
        <f t="shared" si="3"/>
        <v>10</v>
      </c>
      <c r="P40" s="53">
        <f t="shared" si="5"/>
        <v>34.08</v>
      </c>
      <c r="Q40" s="4"/>
      <c r="R40" s="4"/>
      <c r="S40" s="4"/>
      <c r="T40"/>
      <c r="U40"/>
    </row>
    <row r="41" spans="1:21" ht="18.75">
      <c r="A41" s="9">
        <v>0</v>
      </c>
      <c r="B41" s="9">
        <v>37</v>
      </c>
      <c r="C41" s="8"/>
      <c r="D41" s="49" t="s">
        <v>69</v>
      </c>
      <c r="E41" s="2"/>
      <c r="F41" s="10">
        <v>0</v>
      </c>
      <c r="G41" s="10">
        <v>57</v>
      </c>
      <c r="H41" s="83" t="s">
        <v>23</v>
      </c>
      <c r="I41" s="53">
        <f t="shared" si="0"/>
        <v>0</v>
      </c>
      <c r="J41" s="50">
        <f t="shared" si="4"/>
        <v>1.71</v>
      </c>
      <c r="K41" s="10">
        <v>0</v>
      </c>
      <c r="L41" s="50">
        <f t="shared" si="6"/>
        <v>1.71</v>
      </c>
      <c r="M41" s="52">
        <v>-4.8199999999999994</v>
      </c>
      <c r="N41" s="59">
        <f t="shared" si="2"/>
        <v>-3.1099999999999994</v>
      </c>
      <c r="O41" s="17">
        <f t="shared" si="3"/>
        <v>0</v>
      </c>
      <c r="P41" s="53">
        <f t="shared" si="5"/>
        <v>-3.1099999999999994</v>
      </c>
      <c r="Q41" s="4"/>
      <c r="R41" s="4"/>
      <c r="S41" s="4"/>
      <c r="T41"/>
      <c r="U41"/>
    </row>
    <row r="42" spans="1:21" ht="18.75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69" t="s">
        <v>22</v>
      </c>
      <c r="I42" s="53">
        <f t="shared" si="0"/>
        <v>6</v>
      </c>
      <c r="J42" s="50">
        <f t="shared" si="4"/>
        <v>0.18</v>
      </c>
      <c r="K42" s="10">
        <v>0</v>
      </c>
      <c r="L42" s="50">
        <f t="shared" si="6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5"/>
        <v>4</v>
      </c>
      <c r="Q42" s="4"/>
      <c r="R42" s="4"/>
      <c r="S42" s="4"/>
      <c r="T42"/>
      <c r="U42"/>
    </row>
    <row r="43" spans="1:21" ht="18.75">
      <c r="A43" s="9">
        <v>1</v>
      </c>
      <c r="B43" s="9">
        <v>39</v>
      </c>
      <c r="C43" s="8"/>
      <c r="D43" s="45" t="s">
        <v>71</v>
      </c>
      <c r="E43" s="2"/>
      <c r="F43" s="10">
        <v>2</v>
      </c>
      <c r="G43" s="10">
        <v>45</v>
      </c>
      <c r="H43" s="69" t="s">
        <v>22</v>
      </c>
      <c r="I43" s="53">
        <f t="shared" si="0"/>
        <v>6</v>
      </c>
      <c r="J43" s="50">
        <f t="shared" si="4"/>
        <v>1.3499999999999999</v>
      </c>
      <c r="K43" s="10">
        <v>0</v>
      </c>
      <c r="L43" s="50">
        <f t="shared" si="6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5"/>
        <v>-3</v>
      </c>
      <c r="Q43" s="4"/>
      <c r="R43" s="4"/>
      <c r="S43" s="4"/>
      <c r="T43"/>
      <c r="U43"/>
    </row>
    <row r="44" spans="1:21" customFormat="1" ht="18.75">
      <c r="A44" s="9">
        <v>1</v>
      </c>
      <c r="B44" s="9">
        <v>40</v>
      </c>
      <c r="C44" s="8"/>
      <c r="D44" s="45" t="s">
        <v>72</v>
      </c>
      <c r="E44" s="34"/>
      <c r="F44" s="10">
        <v>2</v>
      </c>
      <c r="G44" s="10">
        <v>8</v>
      </c>
      <c r="H44" s="69" t="s">
        <v>22</v>
      </c>
      <c r="I44" s="53">
        <f t="shared" si="0"/>
        <v>6</v>
      </c>
      <c r="J44" s="50">
        <f t="shared" si="4"/>
        <v>0.24</v>
      </c>
      <c r="K44" s="10">
        <v>0</v>
      </c>
      <c r="L44" s="50">
        <f t="shared" si="6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5"/>
        <v>7</v>
      </c>
      <c r="Q44" s="4"/>
      <c r="R44" s="4"/>
      <c r="S44" s="4"/>
    </row>
    <row r="45" spans="1:21" customFormat="1" ht="18.75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4"/>
        <v>3.4499999999999997</v>
      </c>
      <c r="K45" s="62">
        <v>0</v>
      </c>
      <c r="L45" s="64">
        <f t="shared" si="6"/>
        <v>3.4499999999999997</v>
      </c>
      <c r="M45" s="65">
        <v>16.899999999999999</v>
      </c>
      <c r="N45" s="66">
        <f t="shared" si="2"/>
        <v>20.349999999999998</v>
      </c>
      <c r="O45" s="17">
        <f t="shared" si="3"/>
        <v>0</v>
      </c>
      <c r="P45" s="53">
        <f t="shared" si="5"/>
        <v>20.349999999999998</v>
      </c>
      <c r="Q45" s="67"/>
      <c r="R45" s="67"/>
      <c r="S45" s="67"/>
    </row>
    <row r="46" spans="1:21" customFormat="1" ht="18.75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22</v>
      </c>
      <c r="I46" s="53">
        <f t="shared" si="0"/>
        <v>6</v>
      </c>
      <c r="J46" s="50">
        <f t="shared" si="4"/>
        <v>0.18</v>
      </c>
      <c r="K46" s="10">
        <v>0</v>
      </c>
      <c r="L46" s="50">
        <f t="shared" si="6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5"/>
        <v>0</v>
      </c>
      <c r="Q46" s="4"/>
      <c r="R46" s="4"/>
      <c r="S46" s="4"/>
    </row>
    <row r="47" spans="1:21" ht="18.75">
      <c r="A47" s="9">
        <v>0</v>
      </c>
      <c r="B47" s="9">
        <v>43</v>
      </c>
      <c r="C47" s="61"/>
      <c r="D47" s="49" t="s">
        <v>84</v>
      </c>
      <c r="E47" s="33"/>
      <c r="F47" s="10">
        <v>1</v>
      </c>
      <c r="G47" s="10">
        <v>27</v>
      </c>
      <c r="H47" s="69" t="s">
        <v>22</v>
      </c>
      <c r="I47" s="53">
        <f t="shared" si="0"/>
        <v>3</v>
      </c>
      <c r="J47" s="50">
        <f t="shared" si="4"/>
        <v>0.80999999999999994</v>
      </c>
      <c r="K47" s="10">
        <v>0</v>
      </c>
      <c r="L47" s="50">
        <f t="shared" si="6"/>
        <v>3.81</v>
      </c>
      <c r="M47" s="52">
        <v>18.79</v>
      </c>
      <c r="N47" s="59">
        <f t="shared" si="2"/>
        <v>22.599999999999998</v>
      </c>
      <c r="O47" s="17">
        <f t="shared" si="3"/>
        <v>10</v>
      </c>
      <c r="P47" s="53">
        <f t="shared" si="5"/>
        <v>12.599999999999998</v>
      </c>
      <c r="Q47" s="4"/>
      <c r="R47" s="4"/>
      <c r="S47" s="4"/>
    </row>
    <row r="48" spans="1:21" ht="18.75">
      <c r="A48" s="9">
        <v>0</v>
      </c>
      <c r="B48" s="9">
        <v>44</v>
      </c>
      <c r="C48" s="61"/>
      <c r="D48" s="49" t="s">
        <v>83</v>
      </c>
      <c r="E48" s="33"/>
      <c r="F48" s="10">
        <v>3</v>
      </c>
      <c r="G48" s="10">
        <v>142</v>
      </c>
      <c r="H48" s="71" t="s">
        <v>21</v>
      </c>
      <c r="I48" s="53">
        <f t="shared" si="0"/>
        <v>10.5</v>
      </c>
      <c r="J48" s="50">
        <f t="shared" si="4"/>
        <v>4.26</v>
      </c>
      <c r="K48" s="10">
        <v>0</v>
      </c>
      <c r="L48" s="50">
        <f t="shared" si="6"/>
        <v>14.76</v>
      </c>
      <c r="M48" s="52">
        <v>94.419999999999987</v>
      </c>
      <c r="N48" s="59">
        <f t="shared" si="2"/>
        <v>109.17999999999999</v>
      </c>
      <c r="O48" s="17">
        <f t="shared" si="3"/>
        <v>13</v>
      </c>
      <c r="P48" s="53">
        <f t="shared" si="5"/>
        <v>96.179999999999993</v>
      </c>
      <c r="Q48" s="4"/>
      <c r="R48" s="4"/>
      <c r="S48" s="4"/>
    </row>
    <row r="49" spans="1:19" ht="18.75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83" t="s">
        <v>23</v>
      </c>
      <c r="I49" s="53">
        <f t="shared" si="0"/>
        <v>0</v>
      </c>
      <c r="J49" s="50">
        <f t="shared" si="4"/>
        <v>3.15</v>
      </c>
      <c r="K49" s="10">
        <v>0</v>
      </c>
      <c r="L49" s="50">
        <f t="shared" si="6"/>
        <v>3.15</v>
      </c>
      <c r="M49" s="52">
        <v>71.300000000000011</v>
      </c>
      <c r="N49" s="59">
        <f t="shared" si="2"/>
        <v>74.450000000000017</v>
      </c>
      <c r="O49" s="17">
        <f t="shared" si="3"/>
        <v>0</v>
      </c>
      <c r="P49" s="53">
        <f t="shared" si="5"/>
        <v>74.450000000000017</v>
      </c>
      <c r="Q49" s="4"/>
      <c r="R49" s="4"/>
      <c r="S49" s="4"/>
    </row>
  </sheetData>
  <autoFilter ref="A4:S49" xr:uid="{28593B8F-03E7-4BE1-B554-FC0AADC431B2}">
    <sortState xmlns:xlrd2="http://schemas.microsoft.com/office/spreadsheetml/2017/richdata2" ref="A5:S49">
      <sortCondition ref="B4:B49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24" priority="4" operator="lessThan">
      <formula>1</formula>
    </cfRule>
  </conditionalFormatting>
  <conditionalFormatting sqref="F5:F49">
    <cfRule type="cellIs" dxfId="23" priority="3" operator="lessThan">
      <formula>1</formula>
    </cfRule>
  </conditionalFormatting>
  <conditionalFormatting sqref="K47 G47">
    <cfRule type="cellIs" dxfId="22" priority="2" operator="lessThan">
      <formula>1</formula>
    </cfRule>
  </conditionalFormatting>
  <conditionalFormatting sqref="K48:K49 G48:G49">
    <cfRule type="cellIs" dxfId="21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D505-AD07-4CE8-B3D4-21BE9DC82744}">
  <dimension ref="A1:U51"/>
  <sheetViews>
    <sheetView topLeftCell="A4" zoomScale="70" zoomScaleNormal="70" workbookViewId="0">
      <selection activeCell="G29" sqref="G29"/>
    </sheetView>
  </sheetViews>
  <sheetFormatPr defaultColWidth="9" defaultRowHeight="13.5"/>
  <cols>
    <col min="1" max="1" width="7.625" customWidth="1"/>
    <col min="2" max="2" width="6.625" style="18" customWidth="1"/>
    <col min="3" max="3" width="19.75" style="68" hidden="1" customWidth="1"/>
    <col min="4" max="4" width="22.75" style="68" bestFit="1" customWidth="1"/>
    <col min="5" max="5" width="18.375" style="18" hidden="1" customWidth="1"/>
    <col min="6" max="6" width="13.125" style="18" customWidth="1"/>
    <col min="7" max="7" width="11.125" style="18" customWidth="1"/>
    <col min="8" max="8" width="20" style="18" customWidth="1"/>
    <col min="9" max="9" width="9" style="18" customWidth="1"/>
    <col min="10" max="10" width="9.625" style="18" customWidth="1"/>
    <col min="11" max="11" width="8.625" style="18" customWidth="1"/>
    <col min="12" max="12" width="9" style="18" customWidth="1"/>
    <col min="13" max="14" width="9.75" style="18" customWidth="1"/>
    <col min="15" max="15" width="9.25" style="18" customWidth="1"/>
    <col min="16" max="16" width="9.875" style="18" customWidth="1"/>
    <col min="17" max="19" width="11.125" style="18" customWidth="1"/>
    <col min="20" max="20" width="30.5" style="18" customWidth="1"/>
    <col min="21" max="21" width="10" style="18" bestFit="1" customWidth="1"/>
    <col min="22" max="16384" width="9" style="18"/>
  </cols>
  <sheetData>
    <row r="1" spans="1:21" ht="36.6" customHeight="1">
      <c r="B1" s="91" t="str">
        <f>CONCATENATE("101-104区 风の气息",U15,"年",U16,"月",U17,"日","分包贡献明细"," 统计：音")</f>
        <v>101-104区 风の气息2022年4月16日分包贡献明细 统计：音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41"/>
      <c r="R1" s="41"/>
      <c r="S1" s="41"/>
      <c r="T1" s="19" t="s">
        <v>8</v>
      </c>
      <c r="U1" s="5">
        <v>67</v>
      </c>
    </row>
    <row r="2" spans="1:21" ht="117.6" customHeight="1">
      <c r="B2" s="93" t="s">
        <v>82</v>
      </c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42"/>
      <c r="R2" s="42"/>
      <c r="S2" s="42"/>
      <c r="T2" s="20" t="s">
        <v>0</v>
      </c>
      <c r="U2" s="21" t="s">
        <v>9</v>
      </c>
    </row>
    <row r="3" spans="1:21" ht="20.25">
      <c r="B3" s="96" t="s">
        <v>13</v>
      </c>
      <c r="C3" s="96"/>
      <c r="D3" s="96"/>
      <c r="E3" s="96"/>
      <c r="F3" s="100" t="s">
        <v>10</v>
      </c>
      <c r="G3" s="101"/>
      <c r="H3" s="97" t="s">
        <v>14</v>
      </c>
      <c r="I3" s="98"/>
      <c r="J3" s="98"/>
      <c r="K3" s="98"/>
      <c r="L3" s="98"/>
      <c r="M3" s="98"/>
      <c r="N3" s="98"/>
      <c r="O3" s="98"/>
      <c r="P3" s="99"/>
      <c r="Q3" s="40"/>
      <c r="R3" s="40"/>
      <c r="S3" s="40"/>
      <c r="T3" s="70" t="s">
        <v>15</v>
      </c>
      <c r="U3" s="23">
        <v>22</v>
      </c>
    </row>
    <row r="4" spans="1:21" ht="40.5">
      <c r="A4" s="84" t="s">
        <v>76</v>
      </c>
      <c r="B4" s="84" t="s">
        <v>2</v>
      </c>
      <c r="C4" s="39" t="s">
        <v>16</v>
      </c>
      <c r="D4" s="84" t="s">
        <v>3</v>
      </c>
      <c r="E4" s="84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.75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298</v>
      </c>
      <c r="H5" s="73" t="s">
        <v>31</v>
      </c>
      <c r="I5" s="53">
        <f t="shared" ref="I5:I51" si="0">F5*$U$11+IF(F5&gt;2,(F5-2)*$U$12,0)</f>
        <v>10.5</v>
      </c>
      <c r="J5" s="50">
        <f>IF(MAX($F$5:$F$46)=0,0,G5*$U$14)</f>
        <v>8.94</v>
      </c>
      <c r="K5" s="10">
        <v>0</v>
      </c>
      <c r="L5" s="50">
        <f t="shared" ref="L5:L32" si="1">SUM(J5+I5+K5)*(1-A5)</f>
        <v>19.439999999999998</v>
      </c>
      <c r="M5" s="52">
        <v>94.254999999999967</v>
      </c>
      <c r="N5" s="59">
        <f t="shared" ref="N5:N51" si="2">(L5+M5)*(1-A5)</f>
        <v>113.69499999999996</v>
      </c>
      <c r="O5" s="17">
        <f t="shared" ref="O5:O51" si="3">VLOOKUP(H5,$T$3:$U$10,2,FALSE)*(1-A5)</f>
        <v>9</v>
      </c>
      <c r="P5" s="53">
        <f>L5+M5-O5</f>
        <v>104.69499999999996</v>
      </c>
      <c r="Q5" s="11"/>
      <c r="R5" s="11"/>
      <c r="S5" s="11"/>
      <c r="T5" s="69" t="s">
        <v>22</v>
      </c>
      <c r="U5" s="23">
        <v>10</v>
      </c>
    </row>
    <row r="6" spans="1:21" s="29" customFormat="1" ht="18.75">
      <c r="A6" s="9">
        <v>0</v>
      </c>
      <c r="B6" s="9">
        <v>2</v>
      </c>
      <c r="C6" s="8"/>
      <c r="D6" s="45" t="s">
        <v>34</v>
      </c>
      <c r="E6" s="32"/>
      <c r="F6" s="10">
        <v>2</v>
      </c>
      <c r="G6" s="10">
        <v>222</v>
      </c>
      <c r="H6" s="69" t="s">
        <v>32</v>
      </c>
      <c r="I6" s="53">
        <f t="shared" si="0"/>
        <v>6</v>
      </c>
      <c r="J6" s="50">
        <f>IF(MAX($F$5:$F$46)=0,0,G6*$U$14*F6/MAX($F$5:$F$46))</f>
        <v>3.33</v>
      </c>
      <c r="K6" s="10">
        <v>0</v>
      </c>
      <c r="L6" s="50">
        <f t="shared" si="1"/>
        <v>9.33</v>
      </c>
      <c r="M6" s="52">
        <v>86</v>
      </c>
      <c r="N6" s="59">
        <f t="shared" si="2"/>
        <v>95.33</v>
      </c>
      <c r="O6" s="17">
        <f t="shared" si="3"/>
        <v>5</v>
      </c>
      <c r="P6" s="53">
        <f>_xlfn.FLOOR.MATH(L6+M6-O6)</f>
        <v>90</v>
      </c>
      <c r="Q6" s="11"/>
      <c r="R6" s="11"/>
      <c r="S6" s="11"/>
      <c r="T6" s="69"/>
      <c r="U6" s="23"/>
    </row>
    <row r="7" spans="1:21" s="29" customFormat="1" ht="18.75">
      <c r="A7" s="9">
        <v>0</v>
      </c>
      <c r="B7" s="9">
        <v>3</v>
      </c>
      <c r="C7" s="8"/>
      <c r="D7" s="45" t="s">
        <v>35</v>
      </c>
      <c r="E7" s="32"/>
      <c r="F7" s="10">
        <v>3</v>
      </c>
      <c r="G7" s="10">
        <v>224</v>
      </c>
      <c r="H7" s="73" t="s">
        <v>31</v>
      </c>
      <c r="I7" s="53">
        <f t="shared" si="0"/>
        <v>10.5</v>
      </c>
      <c r="J7" s="50">
        <f t="shared" ref="J7:J51" si="4">IF(MAX($F$5:$F$46)=0,0,G7*$U$14)</f>
        <v>6.72</v>
      </c>
      <c r="K7" s="10">
        <v>0</v>
      </c>
      <c r="L7" s="50">
        <f t="shared" si="1"/>
        <v>17.22</v>
      </c>
      <c r="M7" s="52">
        <v>96.215000000000003</v>
      </c>
      <c r="N7" s="59">
        <f t="shared" si="2"/>
        <v>113.435</v>
      </c>
      <c r="O7" s="17">
        <f t="shared" si="3"/>
        <v>9</v>
      </c>
      <c r="P7" s="53">
        <f t="shared" ref="P7:P51" si="5">L7+M7-O7</f>
        <v>104.435</v>
      </c>
      <c r="Q7" s="11"/>
      <c r="R7" s="11"/>
      <c r="S7" s="11"/>
      <c r="T7" s="72" t="s">
        <v>30</v>
      </c>
      <c r="U7" s="23">
        <v>15</v>
      </c>
    </row>
    <row r="8" spans="1:21" s="29" customFormat="1" ht="18.75">
      <c r="A8" s="9">
        <v>0</v>
      </c>
      <c r="B8" s="9">
        <v>4</v>
      </c>
      <c r="C8" s="8"/>
      <c r="D8" s="45" t="s">
        <v>36</v>
      </c>
      <c r="E8" s="36"/>
      <c r="F8" s="10">
        <v>4</v>
      </c>
      <c r="G8" s="10">
        <v>220</v>
      </c>
      <c r="H8" s="72" t="s">
        <v>30</v>
      </c>
      <c r="I8" s="53">
        <f t="shared" si="0"/>
        <v>15</v>
      </c>
      <c r="J8" s="50">
        <f t="shared" si="4"/>
        <v>6.6</v>
      </c>
      <c r="K8" s="10">
        <v>0</v>
      </c>
      <c r="L8" s="50">
        <f t="shared" si="1"/>
        <v>21.6</v>
      </c>
      <c r="M8" s="52">
        <v>97.502500000000026</v>
      </c>
      <c r="N8" s="59">
        <f t="shared" si="2"/>
        <v>119.10250000000002</v>
      </c>
      <c r="O8" s="17">
        <f t="shared" si="3"/>
        <v>15</v>
      </c>
      <c r="P8" s="53">
        <f t="shared" si="5"/>
        <v>104.10250000000002</v>
      </c>
      <c r="Q8" s="11"/>
      <c r="R8" s="11"/>
      <c r="S8" s="11"/>
      <c r="T8" s="73" t="s">
        <v>31</v>
      </c>
      <c r="U8" s="23">
        <v>9</v>
      </c>
    </row>
    <row r="9" spans="1:21" s="29" customFormat="1" ht="18.75">
      <c r="A9" s="9">
        <v>0</v>
      </c>
      <c r="B9" s="9">
        <v>5</v>
      </c>
      <c r="C9" s="8"/>
      <c r="D9" s="45" t="s">
        <v>37</v>
      </c>
      <c r="E9" s="32"/>
      <c r="F9" s="10">
        <v>4</v>
      </c>
      <c r="G9" s="10">
        <v>217</v>
      </c>
      <c r="H9" s="73" t="s">
        <v>31</v>
      </c>
      <c r="I9" s="53">
        <f t="shared" si="0"/>
        <v>15</v>
      </c>
      <c r="J9" s="50">
        <f t="shared" si="4"/>
        <v>6.51</v>
      </c>
      <c r="K9" s="10">
        <v>0</v>
      </c>
      <c r="L9" s="50">
        <f t="shared" si="1"/>
        <v>21.509999999999998</v>
      </c>
      <c r="M9" s="52">
        <v>90.049999999999983</v>
      </c>
      <c r="N9" s="59">
        <f t="shared" si="2"/>
        <v>111.55999999999997</v>
      </c>
      <c r="O9" s="17">
        <f t="shared" si="3"/>
        <v>9</v>
      </c>
      <c r="P9" s="53">
        <f t="shared" si="5"/>
        <v>102.55999999999997</v>
      </c>
      <c r="Q9" s="11"/>
      <c r="R9" s="11"/>
      <c r="S9" s="25"/>
      <c r="T9" s="69" t="s">
        <v>32</v>
      </c>
      <c r="U9" s="23">
        <v>5</v>
      </c>
    </row>
    <row r="10" spans="1:21" s="29" customFormat="1" ht="18.75">
      <c r="A10" s="9">
        <v>0</v>
      </c>
      <c r="B10" s="9">
        <v>6</v>
      </c>
      <c r="C10" s="8"/>
      <c r="D10" s="45" t="s">
        <v>38</v>
      </c>
      <c r="E10" s="32"/>
      <c r="F10" s="10">
        <v>4</v>
      </c>
      <c r="G10" s="10">
        <v>216</v>
      </c>
      <c r="H10" s="69" t="s">
        <v>32</v>
      </c>
      <c r="I10" s="53">
        <f t="shared" si="0"/>
        <v>15</v>
      </c>
      <c r="J10" s="50">
        <f t="shared" si="4"/>
        <v>6.4799999999999995</v>
      </c>
      <c r="K10" s="10">
        <v>0</v>
      </c>
      <c r="L10" s="50">
        <f t="shared" si="1"/>
        <v>21.48</v>
      </c>
      <c r="M10" s="52">
        <v>89.54</v>
      </c>
      <c r="N10" s="59">
        <f t="shared" si="2"/>
        <v>111.02000000000001</v>
      </c>
      <c r="O10" s="17">
        <f t="shared" si="3"/>
        <v>5</v>
      </c>
      <c r="P10" s="53">
        <f t="shared" si="5"/>
        <v>106.02000000000001</v>
      </c>
      <c r="Q10" s="11"/>
      <c r="R10" s="11"/>
      <c r="S10" s="16"/>
      <c r="T10" s="2" t="s">
        <v>23</v>
      </c>
      <c r="U10" s="2">
        <v>0</v>
      </c>
    </row>
    <row r="11" spans="1:21" s="29" customFormat="1" ht="18.75">
      <c r="A11" s="9">
        <v>0</v>
      </c>
      <c r="B11" s="9">
        <v>7</v>
      </c>
      <c r="C11" s="8"/>
      <c r="D11" s="45" t="s">
        <v>39</v>
      </c>
      <c r="E11" s="32"/>
      <c r="F11" s="10">
        <v>3</v>
      </c>
      <c r="G11" s="10">
        <v>216</v>
      </c>
      <c r="H11" s="72" t="s">
        <v>30</v>
      </c>
      <c r="I11" s="53">
        <f t="shared" si="0"/>
        <v>10.5</v>
      </c>
      <c r="J11" s="50">
        <f t="shared" si="4"/>
        <v>6.4799999999999995</v>
      </c>
      <c r="K11" s="10">
        <v>0</v>
      </c>
      <c r="L11" s="50">
        <f t="shared" si="1"/>
        <v>16.98</v>
      </c>
      <c r="M11" s="52">
        <v>96.960000000000008</v>
      </c>
      <c r="N11" s="59">
        <f t="shared" si="2"/>
        <v>113.94000000000001</v>
      </c>
      <c r="O11" s="17">
        <f t="shared" si="3"/>
        <v>15</v>
      </c>
      <c r="P11" s="53">
        <f t="shared" si="5"/>
        <v>98.940000000000012</v>
      </c>
      <c r="Q11" s="11"/>
      <c r="R11" s="11"/>
      <c r="S11" s="26"/>
      <c r="T11" s="74" t="s">
        <v>79</v>
      </c>
      <c r="U11" s="75">
        <v>3</v>
      </c>
    </row>
    <row r="12" spans="1:21" s="29" customFormat="1" ht="18.75">
      <c r="A12" s="9">
        <v>0</v>
      </c>
      <c r="B12" s="9">
        <v>8</v>
      </c>
      <c r="C12" s="8"/>
      <c r="D12" s="45" t="s">
        <v>40</v>
      </c>
      <c r="E12" s="32"/>
      <c r="F12" s="10">
        <v>4</v>
      </c>
      <c r="G12" s="10">
        <v>206</v>
      </c>
      <c r="H12" s="69" t="s">
        <v>32</v>
      </c>
      <c r="I12" s="53">
        <f t="shared" si="0"/>
        <v>15</v>
      </c>
      <c r="J12" s="50">
        <f t="shared" si="4"/>
        <v>6.18</v>
      </c>
      <c r="K12" s="10">
        <v>0</v>
      </c>
      <c r="L12" s="50">
        <f t="shared" si="1"/>
        <v>21.18</v>
      </c>
      <c r="M12" s="52">
        <v>90.025000000000006</v>
      </c>
      <c r="N12" s="59">
        <f t="shared" si="2"/>
        <v>111.20500000000001</v>
      </c>
      <c r="O12" s="17">
        <f t="shared" si="3"/>
        <v>5</v>
      </c>
      <c r="P12" s="53">
        <f t="shared" si="5"/>
        <v>106.20500000000001</v>
      </c>
      <c r="Q12" s="11"/>
      <c r="R12" s="11"/>
      <c r="S12" s="26"/>
      <c r="T12" s="74" t="s">
        <v>80</v>
      </c>
      <c r="U12" s="74">
        <v>1.5</v>
      </c>
    </row>
    <row r="13" spans="1:21" s="29" customFormat="1" ht="18.75">
      <c r="A13" s="9">
        <v>0</v>
      </c>
      <c r="B13" s="9">
        <v>9</v>
      </c>
      <c r="C13" s="8"/>
      <c r="D13" s="45" t="s">
        <v>41</v>
      </c>
      <c r="E13" s="36"/>
      <c r="F13" s="10">
        <v>4</v>
      </c>
      <c r="G13" s="10">
        <v>205</v>
      </c>
      <c r="H13" s="73" t="s">
        <v>31</v>
      </c>
      <c r="I13" s="53">
        <f t="shared" si="0"/>
        <v>15</v>
      </c>
      <c r="J13" s="50">
        <f t="shared" si="4"/>
        <v>6.1499999999999995</v>
      </c>
      <c r="K13" s="10">
        <v>0</v>
      </c>
      <c r="L13" s="50">
        <f t="shared" si="1"/>
        <v>21.15</v>
      </c>
      <c r="M13" s="52">
        <v>91.882499999999993</v>
      </c>
      <c r="N13" s="59">
        <f t="shared" si="2"/>
        <v>113.0325</v>
      </c>
      <c r="O13" s="17">
        <f t="shared" si="3"/>
        <v>9</v>
      </c>
      <c r="P13" s="53">
        <f t="shared" si="5"/>
        <v>104.0325</v>
      </c>
      <c r="Q13" s="11"/>
      <c r="R13" s="11"/>
      <c r="S13" s="25"/>
      <c r="T13" s="76" t="s">
        <v>24</v>
      </c>
      <c r="U13" s="2">
        <v>1</v>
      </c>
    </row>
    <row r="14" spans="1:21" s="29" customFormat="1" ht="18.75">
      <c r="A14" s="9">
        <v>0</v>
      </c>
      <c r="B14" s="9">
        <v>10</v>
      </c>
      <c r="C14" s="8"/>
      <c r="D14" s="45" t="s">
        <v>42</v>
      </c>
      <c r="E14" s="33"/>
      <c r="F14" s="10">
        <v>4</v>
      </c>
      <c r="G14" s="10">
        <v>200</v>
      </c>
      <c r="H14" s="73" t="s">
        <v>31</v>
      </c>
      <c r="I14" s="53">
        <f t="shared" si="0"/>
        <v>15</v>
      </c>
      <c r="J14" s="50">
        <f t="shared" si="4"/>
        <v>6</v>
      </c>
      <c r="K14" s="10">
        <v>0</v>
      </c>
      <c r="L14" s="50">
        <f t="shared" si="1"/>
        <v>21</v>
      </c>
      <c r="M14" s="52">
        <v>90.38</v>
      </c>
      <c r="N14" s="59">
        <f t="shared" si="2"/>
        <v>111.38</v>
      </c>
      <c r="O14" s="17">
        <f t="shared" si="3"/>
        <v>9</v>
      </c>
      <c r="P14" s="53">
        <f t="shared" si="5"/>
        <v>102.38</v>
      </c>
      <c r="Q14" s="11"/>
      <c r="R14" s="11"/>
      <c r="S14" s="25"/>
      <c r="T14" s="77" t="s">
        <v>78</v>
      </c>
      <c r="U14" s="2">
        <v>0.03</v>
      </c>
    </row>
    <row r="15" spans="1:21" s="29" customFormat="1" ht="18.75">
      <c r="A15" s="9">
        <v>0</v>
      </c>
      <c r="B15" s="9">
        <v>11</v>
      </c>
      <c r="C15" s="8"/>
      <c r="D15" s="45" t="s">
        <v>43</v>
      </c>
      <c r="E15" s="32"/>
      <c r="F15" s="10">
        <v>4</v>
      </c>
      <c r="G15" s="10">
        <v>202</v>
      </c>
      <c r="H15" s="72" t="s">
        <v>30</v>
      </c>
      <c r="I15" s="53">
        <f t="shared" si="0"/>
        <v>15</v>
      </c>
      <c r="J15" s="50">
        <f t="shared" si="4"/>
        <v>6.06</v>
      </c>
      <c r="K15" s="10">
        <v>0</v>
      </c>
      <c r="L15" s="50">
        <f t="shared" si="1"/>
        <v>21.06</v>
      </c>
      <c r="M15" s="52">
        <v>96.257500000000022</v>
      </c>
      <c r="N15" s="59">
        <f t="shared" si="2"/>
        <v>117.31750000000002</v>
      </c>
      <c r="O15" s="17">
        <f t="shared" si="3"/>
        <v>15</v>
      </c>
      <c r="P15" s="53">
        <f t="shared" si="5"/>
        <v>102.31750000000002</v>
      </c>
      <c r="Q15" s="4"/>
      <c r="R15" s="4"/>
      <c r="S15" s="4"/>
      <c r="T15" s="2" t="s">
        <v>25</v>
      </c>
      <c r="U15" s="2">
        <v>2022</v>
      </c>
    </row>
    <row r="16" spans="1:21" s="29" customFormat="1" ht="18.75">
      <c r="A16" s="9">
        <v>0</v>
      </c>
      <c r="B16" s="9">
        <v>12</v>
      </c>
      <c r="C16" s="8"/>
      <c r="D16" s="45" t="s">
        <v>44</v>
      </c>
      <c r="E16" s="32"/>
      <c r="F16" s="10">
        <v>4</v>
      </c>
      <c r="G16" s="10">
        <v>198</v>
      </c>
      <c r="H16" s="73" t="s">
        <v>31</v>
      </c>
      <c r="I16" s="53">
        <f t="shared" si="0"/>
        <v>15</v>
      </c>
      <c r="J16" s="50">
        <f t="shared" si="4"/>
        <v>5.9399999999999995</v>
      </c>
      <c r="K16" s="10">
        <v>0</v>
      </c>
      <c r="L16" s="50">
        <f t="shared" si="1"/>
        <v>20.939999999999998</v>
      </c>
      <c r="M16" s="52">
        <v>90.389999999999986</v>
      </c>
      <c r="N16" s="59">
        <f t="shared" si="2"/>
        <v>111.32999999999998</v>
      </c>
      <c r="O16" s="17">
        <f t="shared" si="3"/>
        <v>9</v>
      </c>
      <c r="P16" s="53">
        <f t="shared" si="5"/>
        <v>102.32999999999998</v>
      </c>
      <c r="Q16" s="4"/>
      <c r="R16" s="4"/>
      <c r="S16" s="4"/>
      <c r="T16" s="2" t="s">
        <v>26</v>
      </c>
      <c r="U16" s="2">
        <v>4</v>
      </c>
    </row>
    <row r="17" spans="1:21" s="29" customFormat="1" ht="18.75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0"/>
        <v>0</v>
      </c>
      <c r="J17" s="50">
        <f t="shared" si="4"/>
        <v>5.7</v>
      </c>
      <c r="K17" s="10">
        <v>0</v>
      </c>
      <c r="L17" s="50">
        <f t="shared" si="1"/>
        <v>5.7</v>
      </c>
      <c r="M17" s="52">
        <v>97.49</v>
      </c>
      <c r="N17" s="59">
        <f t="shared" si="2"/>
        <v>103.19</v>
      </c>
      <c r="O17" s="17">
        <f t="shared" si="3"/>
        <v>0</v>
      </c>
      <c r="P17" s="53">
        <f t="shared" si="5"/>
        <v>103.19</v>
      </c>
      <c r="Q17" s="4"/>
      <c r="R17" s="4"/>
      <c r="S17" s="4"/>
      <c r="T17" s="2" t="s">
        <v>27</v>
      </c>
      <c r="U17" s="2">
        <v>16</v>
      </c>
    </row>
    <row r="18" spans="1:21" s="29" customFormat="1" ht="18.75">
      <c r="A18" s="9">
        <v>0</v>
      </c>
      <c r="B18" s="9">
        <v>14</v>
      </c>
      <c r="C18" s="8"/>
      <c r="D18" s="45" t="s">
        <v>46</v>
      </c>
      <c r="E18" s="32"/>
      <c r="F18" s="10">
        <v>2</v>
      </c>
      <c r="G18" s="10">
        <v>193</v>
      </c>
      <c r="H18" s="69" t="s">
        <v>32</v>
      </c>
      <c r="I18" s="53">
        <f t="shared" si="0"/>
        <v>6</v>
      </c>
      <c r="J18" s="50">
        <f t="shared" si="4"/>
        <v>5.79</v>
      </c>
      <c r="K18" s="10">
        <v>0</v>
      </c>
      <c r="L18" s="50">
        <f t="shared" si="1"/>
        <v>11.79</v>
      </c>
      <c r="M18" s="52">
        <v>97.91</v>
      </c>
      <c r="N18" s="59">
        <f t="shared" si="2"/>
        <v>109.69999999999999</v>
      </c>
      <c r="O18" s="17">
        <f t="shared" si="3"/>
        <v>5</v>
      </c>
      <c r="P18" s="53">
        <f t="shared" si="5"/>
        <v>104.69999999999999</v>
      </c>
      <c r="Q18" s="4"/>
      <c r="R18" s="4"/>
      <c r="S18" s="4"/>
      <c r="T18" s="37"/>
    </row>
    <row r="19" spans="1:21" s="29" customFormat="1" ht="18.75">
      <c r="A19" s="9">
        <v>0</v>
      </c>
      <c r="B19" s="9">
        <v>15</v>
      </c>
      <c r="C19" s="8"/>
      <c r="D19" s="45" t="s">
        <v>47</v>
      </c>
      <c r="E19" s="32"/>
      <c r="F19" s="10">
        <v>3</v>
      </c>
      <c r="G19" s="10">
        <v>185</v>
      </c>
      <c r="H19" s="69" t="s">
        <v>32</v>
      </c>
      <c r="I19" s="53">
        <f t="shared" si="0"/>
        <v>10.5</v>
      </c>
      <c r="J19" s="50">
        <f t="shared" si="4"/>
        <v>5.55</v>
      </c>
      <c r="K19" s="10">
        <v>0</v>
      </c>
      <c r="L19" s="50">
        <f t="shared" si="1"/>
        <v>16.05</v>
      </c>
      <c r="M19" s="52">
        <v>89.249999999999986</v>
      </c>
      <c r="N19" s="59">
        <f t="shared" si="2"/>
        <v>105.29999999999998</v>
      </c>
      <c r="O19" s="17">
        <f t="shared" si="3"/>
        <v>5</v>
      </c>
      <c r="P19" s="53">
        <f t="shared" si="5"/>
        <v>100.29999999999998</v>
      </c>
      <c r="Q19" s="4"/>
      <c r="R19" s="4"/>
      <c r="S19" s="4"/>
      <c r="T19" s="1"/>
      <c r="U19" s="1"/>
    </row>
    <row r="20" spans="1:21" s="29" customFormat="1" ht="18.75">
      <c r="A20" s="9">
        <v>0</v>
      </c>
      <c r="B20" s="9">
        <v>16</v>
      </c>
      <c r="C20" s="8"/>
      <c r="D20" s="45" t="s">
        <v>48</v>
      </c>
      <c r="E20" s="34"/>
      <c r="F20" s="10">
        <v>2</v>
      </c>
      <c r="G20" s="10">
        <v>186</v>
      </c>
      <c r="H20" s="69" t="s">
        <v>32</v>
      </c>
      <c r="I20" s="53">
        <f t="shared" si="0"/>
        <v>6</v>
      </c>
      <c r="J20" s="50">
        <f t="shared" si="4"/>
        <v>5.58</v>
      </c>
      <c r="K20" s="10">
        <v>0</v>
      </c>
      <c r="L20" s="50">
        <f t="shared" si="1"/>
        <v>11.58</v>
      </c>
      <c r="M20" s="52">
        <v>96.509999999999991</v>
      </c>
      <c r="N20" s="59">
        <f t="shared" si="2"/>
        <v>108.08999999999999</v>
      </c>
      <c r="O20" s="17">
        <f t="shared" si="3"/>
        <v>5</v>
      </c>
      <c r="P20" s="53">
        <f t="shared" si="5"/>
        <v>103.08999999999999</v>
      </c>
      <c r="Q20" s="4"/>
      <c r="R20" s="4"/>
      <c r="S20" s="4"/>
      <c r="T20" s="1"/>
      <c r="U20" s="1"/>
    </row>
    <row r="21" spans="1:21" s="29" customFormat="1" ht="18.75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180</v>
      </c>
      <c r="H21" s="69" t="s">
        <v>32</v>
      </c>
      <c r="I21" s="53">
        <f t="shared" si="0"/>
        <v>10.5</v>
      </c>
      <c r="J21" s="50">
        <f t="shared" si="4"/>
        <v>5.3999999999999995</v>
      </c>
      <c r="K21" s="10">
        <v>0</v>
      </c>
      <c r="L21" s="50">
        <f t="shared" si="1"/>
        <v>15.899999999999999</v>
      </c>
      <c r="M21" s="52">
        <v>94.902500000000003</v>
      </c>
      <c r="N21" s="59">
        <f t="shared" si="2"/>
        <v>110.80250000000001</v>
      </c>
      <c r="O21" s="17">
        <f t="shared" si="3"/>
        <v>5</v>
      </c>
      <c r="P21" s="53">
        <f t="shared" si="5"/>
        <v>105.80250000000001</v>
      </c>
      <c r="Q21" s="4"/>
      <c r="R21" s="4"/>
      <c r="S21" s="4"/>
      <c r="T21" s="1"/>
      <c r="U21" s="1"/>
    </row>
    <row r="22" spans="1:21" s="29" customFormat="1" ht="18.75">
      <c r="A22" s="9">
        <v>0</v>
      </c>
      <c r="B22" s="9">
        <v>18</v>
      </c>
      <c r="C22" s="8"/>
      <c r="D22" s="45" t="s">
        <v>50</v>
      </c>
      <c r="E22" s="32"/>
      <c r="F22" s="10">
        <v>3</v>
      </c>
      <c r="G22" s="10">
        <v>184</v>
      </c>
      <c r="H22" s="69" t="s">
        <v>32</v>
      </c>
      <c r="I22" s="53">
        <f t="shared" si="0"/>
        <v>10.5</v>
      </c>
      <c r="J22" s="50">
        <f t="shared" si="4"/>
        <v>5.52</v>
      </c>
      <c r="K22" s="10">
        <v>0</v>
      </c>
      <c r="L22" s="50">
        <f t="shared" si="1"/>
        <v>16.02</v>
      </c>
      <c r="M22" s="52">
        <v>84.774999999999991</v>
      </c>
      <c r="N22" s="59">
        <f t="shared" si="2"/>
        <v>100.79499999999999</v>
      </c>
      <c r="O22" s="17">
        <f t="shared" si="3"/>
        <v>5</v>
      </c>
      <c r="P22" s="53">
        <f t="shared" si="5"/>
        <v>95.794999999999987</v>
      </c>
      <c r="Q22" s="4"/>
      <c r="R22" s="4"/>
      <c r="S22" s="4"/>
      <c r="T22" s="1"/>
      <c r="U22" s="1"/>
    </row>
    <row r="23" spans="1:21" s="29" customFormat="1" ht="18.75">
      <c r="A23" s="9">
        <v>0</v>
      </c>
      <c r="B23" s="9">
        <v>19</v>
      </c>
      <c r="C23" s="8"/>
      <c r="D23" s="45" t="s">
        <v>51</v>
      </c>
      <c r="E23" s="34"/>
      <c r="F23" s="10">
        <v>2</v>
      </c>
      <c r="G23" s="10">
        <v>175</v>
      </c>
      <c r="H23" s="69" t="s">
        <v>32</v>
      </c>
      <c r="I23" s="53">
        <f t="shared" si="0"/>
        <v>6</v>
      </c>
      <c r="J23" s="50">
        <f t="shared" si="4"/>
        <v>5.25</v>
      </c>
      <c r="K23" s="10">
        <v>0</v>
      </c>
      <c r="L23" s="50">
        <f t="shared" si="1"/>
        <v>11.25</v>
      </c>
      <c r="M23" s="52">
        <v>93.97</v>
      </c>
      <c r="N23" s="59">
        <f t="shared" si="2"/>
        <v>105.22</v>
      </c>
      <c r="O23" s="17">
        <f t="shared" si="3"/>
        <v>5</v>
      </c>
      <c r="P23" s="53">
        <f t="shared" si="5"/>
        <v>100.22</v>
      </c>
      <c r="Q23" s="4"/>
      <c r="R23" s="4"/>
      <c r="S23" s="4"/>
      <c r="T23" s="1"/>
      <c r="U23" s="1"/>
    </row>
    <row r="24" spans="1:21" s="29" customFormat="1" ht="18.75">
      <c r="A24" s="9">
        <v>0</v>
      </c>
      <c r="B24" s="9">
        <v>20</v>
      </c>
      <c r="C24" s="8"/>
      <c r="D24" s="45" t="s">
        <v>52</v>
      </c>
      <c r="E24" s="34"/>
      <c r="F24" s="10">
        <v>3</v>
      </c>
      <c r="G24" s="10">
        <v>174</v>
      </c>
      <c r="H24" s="69" t="s">
        <v>32</v>
      </c>
      <c r="I24" s="53">
        <f t="shared" si="0"/>
        <v>10.5</v>
      </c>
      <c r="J24" s="50">
        <f t="shared" si="4"/>
        <v>5.22</v>
      </c>
      <c r="K24" s="10">
        <v>0</v>
      </c>
      <c r="L24" s="50">
        <f t="shared" si="1"/>
        <v>15.719999999999999</v>
      </c>
      <c r="M24" s="52">
        <v>90.329999999999984</v>
      </c>
      <c r="N24" s="59">
        <f t="shared" si="2"/>
        <v>106.04999999999998</v>
      </c>
      <c r="O24" s="17">
        <f t="shared" si="3"/>
        <v>5</v>
      </c>
      <c r="P24" s="53">
        <f t="shared" si="5"/>
        <v>101.04999999999998</v>
      </c>
      <c r="Q24" s="4"/>
      <c r="R24" s="4"/>
      <c r="S24" s="4"/>
      <c r="T24" s="1"/>
      <c r="U24" s="1"/>
    </row>
    <row r="25" spans="1:21" s="29" customFormat="1" ht="18.75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170</v>
      </c>
      <c r="H25" s="72" t="s">
        <v>30</v>
      </c>
      <c r="I25" s="53">
        <f t="shared" si="0"/>
        <v>10.5</v>
      </c>
      <c r="J25" s="50">
        <f t="shared" si="4"/>
        <v>5.0999999999999996</v>
      </c>
      <c r="K25" s="10">
        <v>0</v>
      </c>
      <c r="L25" s="50">
        <f t="shared" si="1"/>
        <v>15.6</v>
      </c>
      <c r="M25" s="52">
        <v>98.64</v>
      </c>
      <c r="N25" s="59">
        <f t="shared" si="2"/>
        <v>114.24</v>
      </c>
      <c r="O25" s="17">
        <f t="shared" si="3"/>
        <v>15</v>
      </c>
      <c r="P25" s="53">
        <f t="shared" si="5"/>
        <v>99.24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3</v>
      </c>
      <c r="G26" s="10">
        <v>166</v>
      </c>
      <c r="H26" s="73" t="s">
        <v>31</v>
      </c>
      <c r="I26" s="53">
        <f t="shared" si="0"/>
        <v>10.5</v>
      </c>
      <c r="J26" s="50">
        <f t="shared" si="4"/>
        <v>4.9799999999999995</v>
      </c>
      <c r="K26" s="10">
        <v>0</v>
      </c>
      <c r="L26" s="50">
        <f t="shared" si="1"/>
        <v>15.48</v>
      </c>
      <c r="M26" s="52">
        <v>96.13000000000001</v>
      </c>
      <c r="N26" s="59">
        <f t="shared" si="2"/>
        <v>111.61000000000001</v>
      </c>
      <c r="O26" s="17">
        <f t="shared" si="3"/>
        <v>9</v>
      </c>
      <c r="P26" s="53">
        <f t="shared" si="5"/>
        <v>102.61000000000001</v>
      </c>
      <c r="Q26" s="4"/>
      <c r="R26" s="4"/>
      <c r="S26" s="4"/>
      <c r="T26" s="1"/>
      <c r="U26" s="1"/>
    </row>
    <row r="27" spans="1:21" s="29" customFormat="1" ht="18.75">
      <c r="A27" s="9">
        <v>0</v>
      </c>
      <c r="B27" s="9">
        <v>23</v>
      </c>
      <c r="C27" s="8"/>
      <c r="D27" s="45" t="s">
        <v>55</v>
      </c>
      <c r="E27" s="34"/>
      <c r="F27" s="10">
        <v>4</v>
      </c>
      <c r="G27" s="10">
        <v>160</v>
      </c>
      <c r="H27" s="69" t="s">
        <v>32</v>
      </c>
      <c r="I27" s="53">
        <f t="shared" si="0"/>
        <v>15</v>
      </c>
      <c r="J27" s="50">
        <f t="shared" si="4"/>
        <v>4.8</v>
      </c>
      <c r="K27" s="10">
        <v>0</v>
      </c>
      <c r="L27" s="50">
        <f t="shared" si="1"/>
        <v>19.8</v>
      </c>
      <c r="M27" s="52">
        <v>33.057500000000005</v>
      </c>
      <c r="N27" s="59">
        <f t="shared" si="2"/>
        <v>52.857500000000002</v>
      </c>
      <c r="O27" s="17">
        <f t="shared" si="3"/>
        <v>5</v>
      </c>
      <c r="P27" s="53">
        <f t="shared" si="5"/>
        <v>47.857500000000002</v>
      </c>
      <c r="Q27" s="4"/>
      <c r="R27" s="4"/>
      <c r="S27" s="4"/>
      <c r="T27" s="1"/>
      <c r="U27" s="1"/>
    </row>
    <row r="28" spans="1:21" s="29" customFormat="1" ht="18.75">
      <c r="A28" s="9">
        <v>0</v>
      </c>
      <c r="B28" s="9">
        <v>24</v>
      </c>
      <c r="C28" s="8"/>
      <c r="D28" s="45" t="s">
        <v>56</v>
      </c>
      <c r="E28" s="34"/>
      <c r="F28" s="10">
        <v>3</v>
      </c>
      <c r="G28" s="10">
        <v>160</v>
      </c>
      <c r="H28" s="69" t="s">
        <v>32</v>
      </c>
      <c r="I28" s="53">
        <f t="shared" si="0"/>
        <v>10.5</v>
      </c>
      <c r="J28" s="50">
        <f t="shared" si="4"/>
        <v>4.8</v>
      </c>
      <c r="K28" s="10">
        <v>0</v>
      </c>
      <c r="L28" s="50">
        <f t="shared" si="1"/>
        <v>15.3</v>
      </c>
      <c r="M28" s="52">
        <v>95.640000000000015</v>
      </c>
      <c r="N28" s="59">
        <f t="shared" si="2"/>
        <v>110.94000000000001</v>
      </c>
      <c r="O28" s="17">
        <f t="shared" si="3"/>
        <v>5</v>
      </c>
      <c r="P28" s="53">
        <f t="shared" si="5"/>
        <v>105.94000000000001</v>
      </c>
      <c r="Q28" s="4"/>
      <c r="R28" s="4"/>
      <c r="S28" s="4"/>
      <c r="T28" s="1"/>
      <c r="U28" s="1"/>
    </row>
    <row r="29" spans="1:21" s="29" customFormat="1" ht="18.75">
      <c r="A29" s="9">
        <v>0</v>
      </c>
      <c r="B29" s="9">
        <v>25</v>
      </c>
      <c r="C29" s="8"/>
      <c r="D29" s="45" t="s">
        <v>57</v>
      </c>
      <c r="E29" s="34"/>
      <c r="F29" s="10">
        <v>4</v>
      </c>
      <c r="G29" s="10">
        <v>158</v>
      </c>
      <c r="H29" s="72" t="s">
        <v>30</v>
      </c>
      <c r="I29" s="53">
        <f t="shared" si="0"/>
        <v>15</v>
      </c>
      <c r="J29" s="50">
        <f t="shared" si="4"/>
        <v>4.74</v>
      </c>
      <c r="K29" s="10">
        <v>0</v>
      </c>
      <c r="L29" s="50">
        <f t="shared" si="1"/>
        <v>19.740000000000002</v>
      </c>
      <c r="M29" s="52">
        <v>95.460000000000036</v>
      </c>
      <c r="N29" s="59">
        <f t="shared" si="2"/>
        <v>115.20000000000005</v>
      </c>
      <c r="O29" s="17">
        <f t="shared" si="3"/>
        <v>15</v>
      </c>
      <c r="P29" s="53">
        <f t="shared" si="5"/>
        <v>100.20000000000005</v>
      </c>
      <c r="Q29" s="4"/>
      <c r="R29" s="4"/>
      <c r="S29" s="4"/>
      <c r="T29" s="1"/>
      <c r="U29" s="1"/>
    </row>
    <row r="30" spans="1:21" s="29" customFormat="1" ht="18.75">
      <c r="A30" s="9">
        <v>0</v>
      </c>
      <c r="B30" s="9">
        <v>26</v>
      </c>
      <c r="C30" s="8"/>
      <c r="D30" s="45" t="s">
        <v>58</v>
      </c>
      <c r="E30" s="34"/>
      <c r="F30" s="10">
        <v>3</v>
      </c>
      <c r="G30" s="10">
        <v>150</v>
      </c>
      <c r="H30" s="69" t="s">
        <v>32</v>
      </c>
      <c r="I30" s="53">
        <f t="shared" si="0"/>
        <v>10.5</v>
      </c>
      <c r="J30" s="50">
        <f t="shared" si="4"/>
        <v>4.5</v>
      </c>
      <c r="K30" s="10">
        <v>0</v>
      </c>
      <c r="L30" s="50">
        <f t="shared" si="1"/>
        <v>15</v>
      </c>
      <c r="M30" s="52">
        <v>94.219999999999985</v>
      </c>
      <c r="N30" s="59">
        <f t="shared" si="2"/>
        <v>109.21999999999998</v>
      </c>
      <c r="O30" s="17">
        <f t="shared" si="3"/>
        <v>5</v>
      </c>
      <c r="P30" s="53">
        <f t="shared" si="5"/>
        <v>104.21999999999998</v>
      </c>
      <c r="Q30" s="4"/>
      <c r="R30" s="4"/>
      <c r="S30" s="4"/>
      <c r="T30" s="1"/>
      <c r="U30" s="1"/>
    </row>
    <row r="31" spans="1:21" s="29" customFormat="1" ht="18.75">
      <c r="A31" s="9">
        <v>0</v>
      </c>
      <c r="B31" s="9">
        <v>27</v>
      </c>
      <c r="C31" s="8"/>
      <c r="D31" s="47" t="s">
        <v>59</v>
      </c>
      <c r="E31" s="34"/>
      <c r="F31" s="10">
        <v>4</v>
      </c>
      <c r="G31" s="10">
        <v>151</v>
      </c>
      <c r="H31" s="72" t="s">
        <v>30</v>
      </c>
      <c r="I31" s="53">
        <f t="shared" si="0"/>
        <v>15</v>
      </c>
      <c r="J31" s="50">
        <f t="shared" si="4"/>
        <v>4.53</v>
      </c>
      <c r="K31" s="10">
        <v>0</v>
      </c>
      <c r="L31" s="50">
        <f t="shared" si="1"/>
        <v>19.53</v>
      </c>
      <c r="M31" s="52">
        <v>95.6875</v>
      </c>
      <c r="N31" s="59">
        <f t="shared" si="2"/>
        <v>115.2175</v>
      </c>
      <c r="O31" s="17">
        <f t="shared" si="3"/>
        <v>15</v>
      </c>
      <c r="P31" s="53">
        <f t="shared" si="5"/>
        <v>100.2175</v>
      </c>
      <c r="Q31" s="4"/>
      <c r="R31" s="4"/>
      <c r="S31" s="4"/>
      <c r="T31" s="1"/>
      <c r="U31" s="1"/>
    </row>
    <row r="32" spans="1:21" s="29" customFormat="1" ht="18.75">
      <c r="A32" s="9">
        <v>0</v>
      </c>
      <c r="B32" s="9">
        <v>28</v>
      </c>
      <c r="C32" s="8"/>
      <c r="D32" s="49" t="s">
        <v>60</v>
      </c>
      <c r="E32" s="34"/>
      <c r="F32" s="10">
        <v>3</v>
      </c>
      <c r="G32" s="10">
        <v>143</v>
      </c>
      <c r="H32" s="69" t="s">
        <v>32</v>
      </c>
      <c r="I32" s="53">
        <f t="shared" si="0"/>
        <v>10.5</v>
      </c>
      <c r="J32" s="50">
        <f t="shared" si="4"/>
        <v>4.29</v>
      </c>
      <c r="K32" s="10">
        <v>0</v>
      </c>
      <c r="L32" s="50">
        <f t="shared" si="1"/>
        <v>14.79</v>
      </c>
      <c r="M32" s="52">
        <v>88.94</v>
      </c>
      <c r="N32" s="59">
        <f t="shared" si="2"/>
        <v>103.72999999999999</v>
      </c>
      <c r="O32" s="17">
        <f t="shared" si="3"/>
        <v>5</v>
      </c>
      <c r="P32" s="53">
        <f t="shared" si="5"/>
        <v>98.72999999999999</v>
      </c>
      <c r="Q32" s="4"/>
      <c r="R32" s="4"/>
      <c r="S32" s="4"/>
      <c r="T32" s="1"/>
      <c r="U32" s="1"/>
    </row>
    <row r="33" spans="1:21" s="29" customFormat="1" ht="18.75">
      <c r="A33" s="9">
        <v>0</v>
      </c>
      <c r="B33" s="9">
        <v>29</v>
      </c>
      <c r="C33" s="8"/>
      <c r="D33" s="60" t="s">
        <v>61</v>
      </c>
      <c r="E33" s="34"/>
      <c r="F33" s="10">
        <v>4</v>
      </c>
      <c r="G33" s="10">
        <v>144</v>
      </c>
      <c r="H33" s="69" t="s">
        <v>32</v>
      </c>
      <c r="I33" s="53">
        <f t="shared" si="0"/>
        <v>15</v>
      </c>
      <c r="J33" s="50">
        <f t="shared" si="4"/>
        <v>4.32</v>
      </c>
      <c r="K33" s="10">
        <v>0</v>
      </c>
      <c r="L33" s="50">
        <f>SUM(J33+I33+K33)</f>
        <v>19.32</v>
      </c>
      <c r="M33" s="52">
        <v>64.039999999999992</v>
      </c>
      <c r="N33" s="59">
        <f t="shared" si="2"/>
        <v>83.359999999999985</v>
      </c>
      <c r="O33" s="17">
        <f t="shared" si="3"/>
        <v>5</v>
      </c>
      <c r="P33" s="53">
        <f t="shared" si="5"/>
        <v>78.359999999999985</v>
      </c>
      <c r="Q33" s="4"/>
      <c r="R33" s="4"/>
      <c r="S33" s="4"/>
      <c r="T33" s="1"/>
      <c r="U33" s="1"/>
    </row>
    <row r="34" spans="1:21" s="29" customFormat="1" ht="18.75">
      <c r="A34" s="9">
        <v>0</v>
      </c>
      <c r="B34" s="9">
        <v>30</v>
      </c>
      <c r="C34" s="8"/>
      <c r="D34" s="48" t="s">
        <v>62</v>
      </c>
      <c r="E34" s="34"/>
      <c r="F34" s="10">
        <v>3</v>
      </c>
      <c r="G34" s="10">
        <v>131</v>
      </c>
      <c r="H34" s="69" t="s">
        <v>32</v>
      </c>
      <c r="I34" s="53">
        <f t="shared" si="0"/>
        <v>10.5</v>
      </c>
      <c r="J34" s="50">
        <f t="shared" si="4"/>
        <v>3.9299999999999997</v>
      </c>
      <c r="K34" s="10">
        <v>0</v>
      </c>
      <c r="L34" s="50">
        <f>SUM(J34+I34+K34)*(1-A34)</f>
        <v>14.43</v>
      </c>
      <c r="M34" s="52">
        <v>82.18</v>
      </c>
      <c r="N34" s="59">
        <f t="shared" si="2"/>
        <v>96.610000000000014</v>
      </c>
      <c r="O34" s="17">
        <f t="shared" si="3"/>
        <v>5</v>
      </c>
      <c r="P34" s="53">
        <f t="shared" si="5"/>
        <v>91.610000000000014</v>
      </c>
      <c r="Q34" s="4"/>
      <c r="R34" s="4"/>
      <c r="S34" s="4"/>
      <c r="T34" s="1"/>
      <c r="U34" s="1"/>
    </row>
    <row r="35" spans="1:21" s="29" customFormat="1" ht="18.75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0"/>
        <v>0</v>
      </c>
      <c r="J35" s="50">
        <f t="shared" si="4"/>
        <v>3.8699999999999997</v>
      </c>
      <c r="K35" s="10">
        <v>0</v>
      </c>
      <c r="L35" s="50">
        <f>SUM(J35+I35+K35)</f>
        <v>3.8699999999999997</v>
      </c>
      <c r="M35" s="52">
        <v>74.995000000000005</v>
      </c>
      <c r="N35" s="59">
        <f t="shared" si="2"/>
        <v>78.865000000000009</v>
      </c>
      <c r="O35" s="17">
        <f t="shared" si="3"/>
        <v>0</v>
      </c>
      <c r="P35" s="53">
        <f t="shared" si="5"/>
        <v>78.865000000000009</v>
      </c>
      <c r="Q35" s="4"/>
      <c r="R35" s="4"/>
      <c r="S35" s="4"/>
      <c r="T35" s="1"/>
      <c r="U35" s="1"/>
    </row>
    <row r="36" spans="1:21" s="29" customFormat="1" ht="18.75">
      <c r="A36" s="9">
        <v>0</v>
      </c>
      <c r="B36" s="9">
        <v>32</v>
      </c>
      <c r="C36" s="8"/>
      <c r="D36" s="45" t="s">
        <v>64</v>
      </c>
      <c r="E36" s="34"/>
      <c r="F36" s="10">
        <v>1</v>
      </c>
      <c r="G36" s="10">
        <v>128</v>
      </c>
      <c r="H36" s="69" t="s">
        <v>32</v>
      </c>
      <c r="I36" s="53">
        <f t="shared" si="0"/>
        <v>3</v>
      </c>
      <c r="J36" s="50">
        <f t="shared" si="4"/>
        <v>3.84</v>
      </c>
      <c r="K36" s="10">
        <v>0</v>
      </c>
      <c r="L36" s="50">
        <f>SUM(J36+I36+K36)*(1-A36)</f>
        <v>6.84</v>
      </c>
      <c r="M36" s="52">
        <v>27.430000000000007</v>
      </c>
      <c r="N36" s="59">
        <f t="shared" si="2"/>
        <v>34.27000000000001</v>
      </c>
      <c r="O36" s="17">
        <f t="shared" si="3"/>
        <v>5</v>
      </c>
      <c r="P36" s="53">
        <f t="shared" si="5"/>
        <v>29.27000000000001</v>
      </c>
      <c r="Q36" s="4"/>
      <c r="R36" s="4"/>
      <c r="S36" s="4"/>
      <c r="T36" s="1"/>
      <c r="U36" s="1"/>
    </row>
    <row r="37" spans="1:21" s="29" customFormat="1" ht="18.75">
      <c r="A37" s="9">
        <v>0</v>
      </c>
      <c r="B37" s="9">
        <v>33</v>
      </c>
      <c r="C37" s="8"/>
      <c r="D37" s="45" t="s">
        <v>65</v>
      </c>
      <c r="E37" s="32"/>
      <c r="F37" s="10">
        <v>2</v>
      </c>
      <c r="G37" s="10">
        <v>124</v>
      </c>
      <c r="H37" s="69" t="s">
        <v>32</v>
      </c>
      <c r="I37" s="53">
        <f t="shared" si="0"/>
        <v>6</v>
      </c>
      <c r="J37" s="50">
        <f t="shared" si="4"/>
        <v>3.7199999999999998</v>
      </c>
      <c r="K37" s="10">
        <v>0</v>
      </c>
      <c r="L37" s="50">
        <f>SUM(J37+I37+K37)</f>
        <v>9.7199999999999989</v>
      </c>
      <c r="M37" s="52">
        <v>74.759999999999991</v>
      </c>
      <c r="N37" s="59">
        <f t="shared" si="2"/>
        <v>84.47999999999999</v>
      </c>
      <c r="O37" s="17">
        <f t="shared" si="3"/>
        <v>5</v>
      </c>
      <c r="P37" s="53">
        <f t="shared" si="5"/>
        <v>79.47999999999999</v>
      </c>
      <c r="Q37" s="4"/>
      <c r="R37" s="4"/>
      <c r="S37" s="4"/>
      <c r="T37" s="1"/>
      <c r="U37" s="1"/>
    </row>
    <row r="38" spans="1:21" s="29" customFormat="1" ht="18.75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100</v>
      </c>
      <c r="H38" s="69" t="s">
        <v>32</v>
      </c>
      <c r="I38" s="53">
        <f t="shared" si="0"/>
        <v>10.5</v>
      </c>
      <c r="J38" s="50">
        <f t="shared" si="4"/>
        <v>3</v>
      </c>
      <c r="K38" s="10">
        <v>0</v>
      </c>
      <c r="L38" s="50">
        <f>SUM(J38+I38+K38)</f>
        <v>13.5</v>
      </c>
      <c r="M38" s="52">
        <v>83.25</v>
      </c>
      <c r="N38" s="59">
        <f t="shared" si="2"/>
        <v>96.75</v>
      </c>
      <c r="O38" s="17">
        <f t="shared" si="3"/>
        <v>5</v>
      </c>
      <c r="P38" s="53">
        <f t="shared" si="5"/>
        <v>91.75</v>
      </c>
      <c r="Q38" s="4"/>
      <c r="R38" s="4"/>
      <c r="S38" s="4"/>
      <c r="T38" s="1"/>
      <c r="U38" s="1"/>
    </row>
    <row r="39" spans="1:21" s="68" customFormat="1" ht="18.75">
      <c r="A39" s="9">
        <v>0</v>
      </c>
      <c r="B39" s="9">
        <v>35</v>
      </c>
      <c r="C39" s="8"/>
      <c r="D39" s="47" t="s">
        <v>67</v>
      </c>
      <c r="E39" s="2"/>
      <c r="F39" s="10">
        <v>3</v>
      </c>
      <c r="G39" s="10">
        <v>101</v>
      </c>
      <c r="H39" s="69" t="s">
        <v>32</v>
      </c>
      <c r="I39" s="53">
        <f t="shared" si="0"/>
        <v>10.5</v>
      </c>
      <c r="J39" s="50">
        <f t="shared" si="4"/>
        <v>3.03</v>
      </c>
      <c r="K39" s="10">
        <v>0</v>
      </c>
      <c r="L39" s="50">
        <f t="shared" ref="L39:L51" si="6">SUM(J39+I39+K39)*(1-A39)</f>
        <v>13.53</v>
      </c>
      <c r="M39" s="52">
        <v>49.2</v>
      </c>
      <c r="N39" s="59">
        <f t="shared" si="2"/>
        <v>62.730000000000004</v>
      </c>
      <c r="O39" s="17">
        <f t="shared" si="3"/>
        <v>5</v>
      </c>
      <c r="P39" s="53">
        <f t="shared" si="5"/>
        <v>57.730000000000004</v>
      </c>
      <c r="Q39" s="4"/>
      <c r="R39" s="4"/>
      <c r="S39" s="4"/>
      <c r="T39" s="3"/>
      <c r="U39" s="3"/>
    </row>
    <row r="40" spans="1:21" ht="18.75">
      <c r="A40" s="9">
        <v>0</v>
      </c>
      <c r="B40" s="9">
        <v>36</v>
      </c>
      <c r="C40" s="8"/>
      <c r="D40" s="49" t="s">
        <v>68</v>
      </c>
      <c r="E40" s="2"/>
      <c r="F40" s="10">
        <v>2</v>
      </c>
      <c r="G40" s="10">
        <v>29</v>
      </c>
      <c r="H40" s="69" t="s">
        <v>32</v>
      </c>
      <c r="I40" s="53">
        <f t="shared" si="0"/>
        <v>6</v>
      </c>
      <c r="J40" s="50">
        <f t="shared" si="4"/>
        <v>0.87</v>
      </c>
      <c r="K40" s="10">
        <v>0</v>
      </c>
      <c r="L40" s="50">
        <f t="shared" si="6"/>
        <v>6.87</v>
      </c>
      <c r="M40" s="52">
        <v>34.08</v>
      </c>
      <c r="N40" s="59">
        <f t="shared" si="2"/>
        <v>40.949999999999996</v>
      </c>
      <c r="O40" s="17">
        <f t="shared" si="3"/>
        <v>5</v>
      </c>
      <c r="P40" s="53">
        <f t="shared" si="5"/>
        <v>35.949999999999996</v>
      </c>
      <c r="Q40" s="4"/>
      <c r="R40" s="4"/>
      <c r="S40" s="4"/>
      <c r="T40"/>
      <c r="U40"/>
    </row>
    <row r="41" spans="1:21" ht="18.75">
      <c r="A41" s="9">
        <v>0</v>
      </c>
      <c r="B41" s="9">
        <v>37</v>
      </c>
      <c r="C41" s="8"/>
      <c r="D41" s="49" t="s">
        <v>69</v>
      </c>
      <c r="E41" s="2"/>
      <c r="F41" s="10">
        <v>0</v>
      </c>
      <c r="G41" s="10">
        <v>57</v>
      </c>
      <c r="H41" s="83" t="s">
        <v>23</v>
      </c>
      <c r="I41" s="53">
        <f t="shared" si="0"/>
        <v>0</v>
      </c>
      <c r="J41" s="50">
        <f t="shared" si="4"/>
        <v>1.71</v>
      </c>
      <c r="K41" s="10">
        <v>0</v>
      </c>
      <c r="L41" s="50">
        <f t="shared" si="6"/>
        <v>1.71</v>
      </c>
      <c r="M41" s="52">
        <v>-3.1099999999999994</v>
      </c>
      <c r="N41" s="59">
        <f t="shared" si="2"/>
        <v>-1.3999999999999995</v>
      </c>
      <c r="O41" s="17">
        <f t="shared" si="3"/>
        <v>0</v>
      </c>
      <c r="P41" s="53">
        <f t="shared" si="5"/>
        <v>-1.3999999999999995</v>
      </c>
      <c r="Q41" s="4"/>
      <c r="R41" s="4"/>
      <c r="S41" s="4"/>
      <c r="T41"/>
      <c r="U41"/>
    </row>
    <row r="42" spans="1:21" ht="18.75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69" t="s">
        <v>32</v>
      </c>
      <c r="I42" s="53">
        <f t="shared" si="0"/>
        <v>6</v>
      </c>
      <c r="J42" s="50">
        <f t="shared" si="4"/>
        <v>0.18</v>
      </c>
      <c r="K42" s="10">
        <v>0</v>
      </c>
      <c r="L42" s="50">
        <f t="shared" si="6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5"/>
        <v>4</v>
      </c>
      <c r="Q42" s="4"/>
      <c r="R42" s="4"/>
      <c r="S42" s="4"/>
      <c r="T42"/>
      <c r="U42"/>
    </row>
    <row r="43" spans="1:21" ht="18.75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0"/>
        <v>0</v>
      </c>
      <c r="J43" s="50">
        <f t="shared" si="4"/>
        <v>1.3499999999999999</v>
      </c>
      <c r="K43" s="10">
        <v>0</v>
      </c>
      <c r="L43" s="50">
        <f t="shared" si="6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5"/>
        <v>-3</v>
      </c>
      <c r="Q43" s="4"/>
      <c r="R43" s="4"/>
      <c r="S43" s="4"/>
      <c r="T43"/>
      <c r="U43"/>
    </row>
    <row r="44" spans="1:21" customFormat="1" ht="18.75">
      <c r="A44" s="9">
        <v>1</v>
      </c>
      <c r="B44" s="9">
        <v>40</v>
      </c>
      <c r="C44" s="8"/>
      <c r="D44" s="45" t="s">
        <v>72</v>
      </c>
      <c r="E44" s="34"/>
      <c r="F44" s="10">
        <v>1</v>
      </c>
      <c r="G44" s="10">
        <v>8</v>
      </c>
      <c r="H44" s="69" t="s">
        <v>32</v>
      </c>
      <c r="I44" s="53">
        <f t="shared" si="0"/>
        <v>3</v>
      </c>
      <c r="J44" s="50">
        <f t="shared" si="4"/>
        <v>0.24</v>
      </c>
      <c r="K44" s="10">
        <v>0</v>
      </c>
      <c r="L44" s="50">
        <f t="shared" si="6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5"/>
        <v>7</v>
      </c>
      <c r="Q44" s="4"/>
      <c r="R44" s="4"/>
      <c r="S44" s="4"/>
    </row>
    <row r="45" spans="1:21" customFormat="1" ht="18.75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4"/>
        <v>3.4499999999999997</v>
      </c>
      <c r="K45" s="62">
        <v>0</v>
      </c>
      <c r="L45" s="64">
        <f t="shared" si="6"/>
        <v>3.4499999999999997</v>
      </c>
      <c r="M45" s="65">
        <v>20.349999999999998</v>
      </c>
      <c r="N45" s="66">
        <f t="shared" si="2"/>
        <v>23.799999999999997</v>
      </c>
      <c r="O45" s="17">
        <f t="shared" si="3"/>
        <v>0</v>
      </c>
      <c r="P45" s="53">
        <f t="shared" si="5"/>
        <v>23.799999999999997</v>
      </c>
      <c r="Q45" s="67"/>
      <c r="R45" s="67"/>
      <c r="S45" s="67"/>
    </row>
    <row r="46" spans="1:21" customFormat="1" ht="18.75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32</v>
      </c>
      <c r="I46" s="53">
        <f t="shared" si="0"/>
        <v>6</v>
      </c>
      <c r="J46" s="50">
        <f t="shared" si="4"/>
        <v>0.18</v>
      </c>
      <c r="K46" s="10">
        <v>0</v>
      </c>
      <c r="L46" s="50">
        <f t="shared" si="6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5"/>
        <v>0</v>
      </c>
      <c r="Q46" s="4"/>
      <c r="R46" s="4"/>
      <c r="S46" s="4"/>
    </row>
    <row r="47" spans="1:21" ht="18.75">
      <c r="A47" s="9">
        <v>0</v>
      </c>
      <c r="B47" s="9">
        <v>43</v>
      </c>
      <c r="C47" s="61"/>
      <c r="D47" s="49" t="s">
        <v>84</v>
      </c>
      <c r="E47" s="33"/>
      <c r="F47" s="10">
        <v>2</v>
      </c>
      <c r="G47" s="10">
        <v>27</v>
      </c>
      <c r="H47" s="69" t="s">
        <v>32</v>
      </c>
      <c r="I47" s="53">
        <f t="shared" si="0"/>
        <v>6</v>
      </c>
      <c r="J47" s="50">
        <f t="shared" si="4"/>
        <v>0.80999999999999994</v>
      </c>
      <c r="K47" s="10">
        <v>0</v>
      </c>
      <c r="L47" s="50">
        <f t="shared" si="6"/>
        <v>6.81</v>
      </c>
      <c r="M47" s="52">
        <v>12.599999999999998</v>
      </c>
      <c r="N47" s="59">
        <f t="shared" si="2"/>
        <v>19.409999999999997</v>
      </c>
      <c r="O47" s="17">
        <f t="shared" si="3"/>
        <v>5</v>
      </c>
      <c r="P47" s="53">
        <f t="shared" si="5"/>
        <v>14.409999999999997</v>
      </c>
      <c r="Q47" s="4"/>
      <c r="R47" s="4"/>
      <c r="S47" s="4"/>
    </row>
    <row r="48" spans="1:21" ht="18.75">
      <c r="A48" s="9">
        <v>0</v>
      </c>
      <c r="B48" s="9">
        <v>44</v>
      </c>
      <c r="C48" s="61"/>
      <c r="D48" s="49" t="s">
        <v>83</v>
      </c>
      <c r="E48" s="33"/>
      <c r="F48" s="10">
        <v>4</v>
      </c>
      <c r="G48" s="10">
        <v>142</v>
      </c>
      <c r="H48" s="72" t="s">
        <v>30</v>
      </c>
      <c r="I48" s="53">
        <f t="shared" si="0"/>
        <v>15</v>
      </c>
      <c r="J48" s="50">
        <f t="shared" si="4"/>
        <v>4.26</v>
      </c>
      <c r="K48" s="10">
        <v>0</v>
      </c>
      <c r="L48" s="50">
        <f t="shared" si="6"/>
        <v>19.259999999999998</v>
      </c>
      <c r="M48" s="52">
        <v>96.179999999999993</v>
      </c>
      <c r="N48" s="59">
        <f t="shared" si="2"/>
        <v>115.44</v>
      </c>
      <c r="O48" s="17">
        <f t="shared" si="3"/>
        <v>15</v>
      </c>
      <c r="P48" s="53">
        <f t="shared" si="5"/>
        <v>100.44</v>
      </c>
      <c r="Q48" s="4"/>
      <c r="R48" s="4"/>
      <c r="S48" s="4"/>
    </row>
    <row r="49" spans="1:19" ht="18.75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83" t="s">
        <v>23</v>
      </c>
      <c r="I49" s="53">
        <f t="shared" si="0"/>
        <v>0</v>
      </c>
      <c r="J49" s="50">
        <f t="shared" si="4"/>
        <v>3.15</v>
      </c>
      <c r="K49" s="10">
        <v>0</v>
      </c>
      <c r="L49" s="50">
        <f t="shared" si="6"/>
        <v>3.15</v>
      </c>
      <c r="M49" s="52">
        <v>74.450000000000017</v>
      </c>
      <c r="N49" s="59">
        <f t="shared" si="2"/>
        <v>77.600000000000023</v>
      </c>
      <c r="O49" s="17">
        <f t="shared" si="3"/>
        <v>0</v>
      </c>
      <c r="P49" s="53">
        <f t="shared" si="5"/>
        <v>77.600000000000023</v>
      </c>
      <c r="Q49" s="4"/>
      <c r="R49" s="4"/>
      <c r="S49" s="4"/>
    </row>
    <row r="50" spans="1:19" ht="18.75">
      <c r="A50" s="9">
        <v>0</v>
      </c>
      <c r="B50" s="9">
        <v>46</v>
      </c>
      <c r="C50" s="61"/>
      <c r="D50" s="49" t="s">
        <v>87</v>
      </c>
      <c r="E50" s="33"/>
      <c r="F50" s="10">
        <v>2</v>
      </c>
      <c r="G50" s="10">
        <v>76</v>
      </c>
      <c r="H50" s="69" t="s">
        <v>32</v>
      </c>
      <c r="I50" s="53">
        <f t="shared" si="0"/>
        <v>6</v>
      </c>
      <c r="J50" s="50">
        <f t="shared" si="4"/>
        <v>2.2799999999999998</v>
      </c>
      <c r="K50" s="10">
        <v>0</v>
      </c>
      <c r="L50" s="50">
        <f t="shared" si="6"/>
        <v>8.2799999999999994</v>
      </c>
      <c r="M50" s="52">
        <v>56.5</v>
      </c>
      <c r="N50" s="59">
        <f t="shared" si="2"/>
        <v>64.78</v>
      </c>
      <c r="O50" s="17">
        <f t="shared" si="3"/>
        <v>5</v>
      </c>
      <c r="P50" s="53">
        <f t="shared" si="5"/>
        <v>59.78</v>
      </c>
      <c r="Q50" s="4"/>
      <c r="R50" s="4"/>
      <c r="S50" s="4"/>
    </row>
    <row r="51" spans="1:19" ht="18.75">
      <c r="A51" s="9">
        <v>0</v>
      </c>
      <c r="B51" s="9">
        <v>47</v>
      </c>
      <c r="C51" s="61"/>
      <c r="D51" s="49" t="s">
        <v>88</v>
      </c>
      <c r="E51" s="33"/>
      <c r="F51" s="10">
        <v>1</v>
      </c>
      <c r="G51" s="10">
        <v>46</v>
      </c>
      <c r="H51" s="69" t="s">
        <v>32</v>
      </c>
      <c r="I51" s="53">
        <f t="shared" si="0"/>
        <v>3</v>
      </c>
      <c r="J51" s="50">
        <f t="shared" si="4"/>
        <v>1.38</v>
      </c>
      <c r="K51" s="10">
        <v>0</v>
      </c>
      <c r="L51" s="50">
        <f t="shared" si="6"/>
        <v>4.38</v>
      </c>
      <c r="M51" s="52">
        <v>53</v>
      </c>
      <c r="N51" s="59">
        <f t="shared" si="2"/>
        <v>57.38</v>
      </c>
      <c r="O51" s="17">
        <f t="shared" si="3"/>
        <v>5</v>
      </c>
      <c r="P51" s="53">
        <f t="shared" si="5"/>
        <v>52.38</v>
      </c>
      <c r="Q51" s="4"/>
      <c r="R51" s="4"/>
      <c r="S51" s="4"/>
    </row>
  </sheetData>
  <autoFilter ref="A4:S51" xr:uid="{28593B8F-03E7-4BE1-B554-FC0AADC431B2}">
    <sortState xmlns:xlrd2="http://schemas.microsoft.com/office/spreadsheetml/2017/richdata2" ref="A5:S51">
      <sortCondition ref="B4:B51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20" priority="6" operator="lessThan">
      <formula>1</formula>
    </cfRule>
  </conditionalFormatting>
  <conditionalFormatting sqref="F5:F50">
    <cfRule type="cellIs" dxfId="19" priority="5" operator="lessThan">
      <formula>1</formula>
    </cfRule>
  </conditionalFormatting>
  <conditionalFormatting sqref="K47 G47">
    <cfRule type="cellIs" dxfId="18" priority="4" operator="lessThan">
      <formula>1</formula>
    </cfRule>
  </conditionalFormatting>
  <conditionalFormatting sqref="K48:K50 G48:G50">
    <cfRule type="cellIs" dxfId="17" priority="3" operator="lessThan">
      <formula>1</formula>
    </cfRule>
  </conditionalFormatting>
  <conditionalFormatting sqref="F51">
    <cfRule type="cellIs" dxfId="16" priority="2" operator="lessThan">
      <formula>1</formula>
    </cfRule>
  </conditionalFormatting>
  <conditionalFormatting sqref="K51 G51">
    <cfRule type="cellIs" dxfId="15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8BCB-1C73-4BD3-BB67-D7F53F95FB5A}">
  <dimension ref="A1:U51"/>
  <sheetViews>
    <sheetView zoomScale="70" zoomScaleNormal="70" workbookViewId="0">
      <selection activeCell="H5" sqref="H5"/>
    </sheetView>
  </sheetViews>
  <sheetFormatPr defaultColWidth="9" defaultRowHeight="13.5"/>
  <cols>
    <col min="1" max="1" width="7.625" customWidth="1"/>
    <col min="2" max="2" width="6.625" style="18" customWidth="1"/>
    <col min="3" max="3" width="19.75" style="68" hidden="1" customWidth="1"/>
    <col min="4" max="4" width="22.75" style="68" bestFit="1" customWidth="1"/>
    <col min="5" max="5" width="18.375" style="18" hidden="1" customWidth="1"/>
    <col min="6" max="6" width="13.125" style="18" customWidth="1"/>
    <col min="7" max="7" width="11.125" style="18" customWidth="1"/>
    <col min="8" max="8" width="20" style="18" customWidth="1"/>
    <col min="9" max="9" width="9" style="18" customWidth="1"/>
    <col min="10" max="10" width="9.625" style="18" customWidth="1"/>
    <col min="11" max="11" width="8.625" style="18" customWidth="1"/>
    <col min="12" max="12" width="9" style="18" customWidth="1"/>
    <col min="13" max="14" width="9.75" style="18" customWidth="1"/>
    <col min="15" max="15" width="9.25" style="18" customWidth="1"/>
    <col min="16" max="16" width="9.875" style="18" customWidth="1"/>
    <col min="17" max="19" width="11.125" style="18" customWidth="1"/>
    <col min="20" max="20" width="30.5" style="18" customWidth="1"/>
    <col min="21" max="21" width="10" style="18" bestFit="1" customWidth="1"/>
    <col min="22" max="16384" width="9" style="18"/>
  </cols>
  <sheetData>
    <row r="1" spans="1:21" ht="36.6" customHeight="1">
      <c r="B1" s="91" t="str">
        <f>CONCATENATE("101-104区 风の气息",U15,"年",U16,"月",U17,"日","分包贡献明细"," 统计：音")</f>
        <v>101-104区 风の气息2022年4月23日分包贡献明细 统计：音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41"/>
      <c r="R1" s="41"/>
      <c r="S1" s="41"/>
      <c r="T1" s="19" t="s">
        <v>8</v>
      </c>
      <c r="U1" s="5">
        <v>67</v>
      </c>
    </row>
    <row r="2" spans="1:21" ht="117.6" customHeight="1">
      <c r="B2" s="93" t="s">
        <v>82</v>
      </c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42"/>
      <c r="R2" s="42"/>
      <c r="S2" s="42"/>
      <c r="T2" s="20" t="s">
        <v>0</v>
      </c>
      <c r="U2" s="21" t="s">
        <v>9</v>
      </c>
    </row>
    <row r="3" spans="1:21" ht="20.25">
      <c r="B3" s="96" t="s">
        <v>13</v>
      </c>
      <c r="C3" s="96"/>
      <c r="D3" s="96"/>
      <c r="E3" s="96"/>
      <c r="F3" s="100" t="s">
        <v>10</v>
      </c>
      <c r="G3" s="101"/>
      <c r="H3" s="97" t="s">
        <v>14</v>
      </c>
      <c r="I3" s="98"/>
      <c r="J3" s="98"/>
      <c r="K3" s="98"/>
      <c r="L3" s="98"/>
      <c r="M3" s="98"/>
      <c r="N3" s="98"/>
      <c r="O3" s="98"/>
      <c r="P3" s="99"/>
      <c r="Q3" s="40"/>
      <c r="R3" s="40"/>
      <c r="S3" s="40"/>
      <c r="T3" s="70" t="s">
        <v>15</v>
      </c>
      <c r="U3" s="23">
        <v>22</v>
      </c>
    </row>
    <row r="4" spans="1:21" ht="40.5">
      <c r="A4" s="85" t="s">
        <v>76</v>
      </c>
      <c r="B4" s="85" t="s">
        <v>2</v>
      </c>
      <c r="C4" s="39" t="s">
        <v>16</v>
      </c>
      <c r="D4" s="85" t="s">
        <v>3</v>
      </c>
      <c r="E4" s="85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.75">
      <c r="A5" s="9">
        <v>0</v>
      </c>
      <c r="B5" s="9">
        <v>1</v>
      </c>
      <c r="C5" s="8"/>
      <c r="D5" s="45" t="s">
        <v>33</v>
      </c>
      <c r="E5" s="32"/>
      <c r="F5" s="10">
        <v>3</v>
      </c>
      <c r="G5" s="10">
        <v>298</v>
      </c>
      <c r="H5" s="70" t="s">
        <v>15</v>
      </c>
      <c r="I5" s="53">
        <f t="shared" ref="I5:I51" si="0">F5*$U$11+IF(F5&gt;2,(F5-2)*$U$12,0)</f>
        <v>10.5</v>
      </c>
      <c r="J5" s="50">
        <f>IF(MAX($F$5:$F$46)=0,0,G5*$U$14)</f>
        <v>8.94</v>
      </c>
      <c r="K5" s="10">
        <v>0</v>
      </c>
      <c r="L5" s="50">
        <f t="shared" ref="L5:L32" si="1">SUM(J5+I5+K5)*(1-A5)</f>
        <v>19.439999999999998</v>
      </c>
      <c r="M5" s="52">
        <v>94.254999999999967</v>
      </c>
      <c r="N5" s="59">
        <f t="shared" ref="N5:N51" si="2">(L5+M5)*(1-A5)</f>
        <v>113.69499999999996</v>
      </c>
      <c r="O5" s="17">
        <f t="shared" ref="O5:O51" si="3">VLOOKUP(H5,$T$3:$U$10,2,FALSE)*(1-A5)</f>
        <v>22</v>
      </c>
      <c r="P5" s="53">
        <f>L5+M5-O5</f>
        <v>91.694999999999965</v>
      </c>
      <c r="Q5" s="11"/>
      <c r="R5" s="11"/>
      <c r="S5" s="11"/>
      <c r="T5" s="69" t="s">
        <v>22</v>
      </c>
      <c r="U5" s="23">
        <v>10</v>
      </c>
    </row>
    <row r="6" spans="1:21" s="29" customFormat="1" ht="18.75">
      <c r="A6" s="9">
        <v>0</v>
      </c>
      <c r="B6" s="9">
        <v>2</v>
      </c>
      <c r="C6" s="8"/>
      <c r="D6" s="45" t="s">
        <v>34</v>
      </c>
      <c r="E6" s="32"/>
      <c r="F6" s="10">
        <v>3</v>
      </c>
      <c r="G6" s="10">
        <v>222</v>
      </c>
      <c r="H6" s="69" t="s">
        <v>22</v>
      </c>
      <c r="I6" s="53">
        <f t="shared" si="0"/>
        <v>10.5</v>
      </c>
      <c r="J6" s="50">
        <f>IF(MAX($F$5:$F$46)=0,0,G6*$U$14*F6/MAX($F$5:$F$46))</f>
        <v>6.66</v>
      </c>
      <c r="K6" s="10">
        <v>0</v>
      </c>
      <c r="L6" s="50">
        <f t="shared" si="1"/>
        <v>17.16</v>
      </c>
      <c r="M6" s="52">
        <v>86</v>
      </c>
      <c r="N6" s="59">
        <f t="shared" si="2"/>
        <v>103.16</v>
      </c>
      <c r="O6" s="17">
        <f t="shared" si="3"/>
        <v>10</v>
      </c>
      <c r="P6" s="53">
        <f>_xlfn.FLOOR.MATH(L6+M6-O6)</f>
        <v>93</v>
      </c>
      <c r="Q6" s="11"/>
      <c r="R6" s="11"/>
      <c r="S6" s="11"/>
      <c r="T6" s="69"/>
      <c r="U6" s="23"/>
    </row>
    <row r="7" spans="1:21" s="29" customFormat="1" ht="18.75">
      <c r="A7" s="9">
        <v>0</v>
      </c>
      <c r="B7" s="9">
        <v>3</v>
      </c>
      <c r="C7" s="8"/>
      <c r="D7" s="45" t="s">
        <v>35</v>
      </c>
      <c r="E7" s="32"/>
      <c r="F7" s="10">
        <v>3</v>
      </c>
      <c r="G7" s="10">
        <v>224</v>
      </c>
      <c r="H7" s="70" t="s">
        <v>15</v>
      </c>
      <c r="I7" s="53">
        <f t="shared" si="0"/>
        <v>10.5</v>
      </c>
      <c r="J7" s="50">
        <f t="shared" ref="J7:J51" si="4">IF(MAX($F$5:$F$46)=0,0,G7*$U$14)</f>
        <v>6.72</v>
      </c>
      <c r="K7" s="10">
        <v>0</v>
      </c>
      <c r="L7" s="50">
        <f t="shared" si="1"/>
        <v>17.22</v>
      </c>
      <c r="M7" s="52">
        <v>96.215000000000003</v>
      </c>
      <c r="N7" s="59">
        <f t="shared" si="2"/>
        <v>113.435</v>
      </c>
      <c r="O7" s="17">
        <f t="shared" si="3"/>
        <v>22</v>
      </c>
      <c r="P7" s="53">
        <f t="shared" ref="P7:P51" si="5">L7+M7-O7</f>
        <v>91.435000000000002</v>
      </c>
      <c r="Q7" s="11"/>
      <c r="R7" s="11"/>
      <c r="S7" s="11"/>
      <c r="T7" s="72" t="s">
        <v>30</v>
      </c>
      <c r="U7" s="23">
        <v>15</v>
      </c>
    </row>
    <row r="8" spans="1:21" s="29" customFormat="1" ht="18.75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220</v>
      </c>
      <c r="H8" s="70" t="s">
        <v>15</v>
      </c>
      <c r="I8" s="53">
        <f t="shared" si="0"/>
        <v>10.5</v>
      </c>
      <c r="J8" s="50">
        <f t="shared" si="4"/>
        <v>6.6</v>
      </c>
      <c r="K8" s="10">
        <v>0</v>
      </c>
      <c r="L8" s="50">
        <f t="shared" si="1"/>
        <v>17.100000000000001</v>
      </c>
      <c r="M8" s="52">
        <v>97.502500000000026</v>
      </c>
      <c r="N8" s="59">
        <f t="shared" si="2"/>
        <v>114.60250000000002</v>
      </c>
      <c r="O8" s="17">
        <f t="shared" si="3"/>
        <v>22</v>
      </c>
      <c r="P8" s="53">
        <f t="shared" si="5"/>
        <v>92.60250000000002</v>
      </c>
      <c r="Q8" s="11"/>
      <c r="R8" s="11"/>
      <c r="S8" s="11"/>
      <c r="T8" s="73" t="s">
        <v>31</v>
      </c>
      <c r="U8" s="23">
        <v>9</v>
      </c>
    </row>
    <row r="9" spans="1:21" s="29" customFormat="1" ht="18.75">
      <c r="A9" s="9">
        <v>0</v>
      </c>
      <c r="B9" s="9">
        <v>5</v>
      </c>
      <c r="C9" s="8"/>
      <c r="D9" s="45" t="s">
        <v>37</v>
      </c>
      <c r="E9" s="32"/>
      <c r="F9" s="10">
        <v>3</v>
      </c>
      <c r="G9" s="10">
        <v>217</v>
      </c>
      <c r="H9" s="71" t="s">
        <v>21</v>
      </c>
      <c r="I9" s="53">
        <f t="shared" si="0"/>
        <v>10.5</v>
      </c>
      <c r="J9" s="50">
        <f t="shared" si="4"/>
        <v>6.51</v>
      </c>
      <c r="K9" s="10">
        <v>0</v>
      </c>
      <c r="L9" s="50">
        <f t="shared" si="1"/>
        <v>17.009999999999998</v>
      </c>
      <c r="M9" s="52">
        <v>90.049999999999983</v>
      </c>
      <c r="N9" s="59">
        <f t="shared" si="2"/>
        <v>107.05999999999997</v>
      </c>
      <c r="O9" s="17">
        <f t="shared" si="3"/>
        <v>13</v>
      </c>
      <c r="P9" s="53">
        <f t="shared" si="5"/>
        <v>94.059999999999974</v>
      </c>
      <c r="Q9" s="11"/>
      <c r="R9" s="11"/>
      <c r="S9" s="25"/>
      <c r="T9" s="69" t="s">
        <v>32</v>
      </c>
      <c r="U9" s="23">
        <v>5</v>
      </c>
    </row>
    <row r="10" spans="1:21" s="29" customFormat="1" ht="18.75">
      <c r="A10" s="9">
        <v>0</v>
      </c>
      <c r="B10" s="9">
        <v>6</v>
      </c>
      <c r="C10" s="8"/>
      <c r="D10" s="45" t="s">
        <v>38</v>
      </c>
      <c r="E10" s="32"/>
      <c r="F10" s="10">
        <v>3</v>
      </c>
      <c r="G10" s="10">
        <v>216</v>
      </c>
      <c r="H10" s="69" t="s">
        <v>22</v>
      </c>
      <c r="I10" s="53">
        <f t="shared" si="0"/>
        <v>10.5</v>
      </c>
      <c r="J10" s="50">
        <f t="shared" si="4"/>
        <v>6.4799999999999995</v>
      </c>
      <c r="K10" s="10">
        <v>0</v>
      </c>
      <c r="L10" s="50">
        <f t="shared" si="1"/>
        <v>16.98</v>
      </c>
      <c r="M10" s="52">
        <v>89.54</v>
      </c>
      <c r="N10" s="59">
        <f t="shared" si="2"/>
        <v>106.52000000000001</v>
      </c>
      <c r="O10" s="17">
        <f t="shared" si="3"/>
        <v>10</v>
      </c>
      <c r="P10" s="53">
        <f t="shared" si="5"/>
        <v>96.52000000000001</v>
      </c>
      <c r="Q10" s="11"/>
      <c r="R10" s="11"/>
      <c r="S10" s="16"/>
      <c r="T10" s="2" t="s">
        <v>23</v>
      </c>
      <c r="U10" s="2">
        <v>0</v>
      </c>
    </row>
    <row r="11" spans="1:21" s="29" customFormat="1" ht="18.75">
      <c r="A11" s="9">
        <v>0</v>
      </c>
      <c r="B11" s="9">
        <v>7</v>
      </c>
      <c r="C11" s="8"/>
      <c r="D11" s="45" t="s">
        <v>39</v>
      </c>
      <c r="E11" s="32"/>
      <c r="F11" s="10">
        <v>3</v>
      </c>
      <c r="G11" s="10">
        <v>216</v>
      </c>
      <c r="H11" s="70" t="s">
        <v>15</v>
      </c>
      <c r="I11" s="53">
        <f t="shared" si="0"/>
        <v>10.5</v>
      </c>
      <c r="J11" s="50">
        <f t="shared" si="4"/>
        <v>6.4799999999999995</v>
      </c>
      <c r="K11" s="10">
        <v>0</v>
      </c>
      <c r="L11" s="50">
        <f t="shared" si="1"/>
        <v>16.98</v>
      </c>
      <c r="M11" s="52">
        <v>96.960000000000008</v>
      </c>
      <c r="N11" s="59">
        <f t="shared" si="2"/>
        <v>113.94000000000001</v>
      </c>
      <c r="O11" s="17">
        <f t="shared" si="3"/>
        <v>22</v>
      </c>
      <c r="P11" s="53">
        <f t="shared" si="5"/>
        <v>91.940000000000012</v>
      </c>
      <c r="Q11" s="11"/>
      <c r="R11" s="11"/>
      <c r="S11" s="26"/>
      <c r="T11" s="74" t="s">
        <v>79</v>
      </c>
      <c r="U11" s="75">
        <v>3</v>
      </c>
    </row>
    <row r="12" spans="1:21" s="29" customFormat="1" ht="18.75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206</v>
      </c>
      <c r="H12" s="69" t="s">
        <v>22</v>
      </c>
      <c r="I12" s="53">
        <f t="shared" si="0"/>
        <v>10.5</v>
      </c>
      <c r="J12" s="50">
        <f t="shared" si="4"/>
        <v>6.18</v>
      </c>
      <c r="K12" s="10">
        <v>0</v>
      </c>
      <c r="L12" s="50">
        <f t="shared" si="1"/>
        <v>16.68</v>
      </c>
      <c r="M12" s="52">
        <v>90.025000000000006</v>
      </c>
      <c r="N12" s="59">
        <f t="shared" si="2"/>
        <v>106.70500000000001</v>
      </c>
      <c r="O12" s="17">
        <f t="shared" si="3"/>
        <v>10</v>
      </c>
      <c r="P12" s="53">
        <f t="shared" si="5"/>
        <v>96.705000000000013</v>
      </c>
      <c r="Q12" s="11"/>
      <c r="R12" s="11"/>
      <c r="S12" s="26"/>
      <c r="T12" s="74" t="s">
        <v>80</v>
      </c>
      <c r="U12" s="74">
        <v>1.5</v>
      </c>
    </row>
    <row r="13" spans="1:21" s="29" customFormat="1" ht="18.75">
      <c r="A13" s="9">
        <v>0</v>
      </c>
      <c r="B13" s="9">
        <v>9</v>
      </c>
      <c r="C13" s="8"/>
      <c r="D13" s="45" t="s">
        <v>41</v>
      </c>
      <c r="E13" s="36"/>
      <c r="F13" s="10">
        <v>2</v>
      </c>
      <c r="G13" s="10">
        <v>205</v>
      </c>
      <c r="H13" s="69" t="s">
        <v>22</v>
      </c>
      <c r="I13" s="53">
        <f t="shared" si="0"/>
        <v>6</v>
      </c>
      <c r="J13" s="50">
        <f t="shared" si="4"/>
        <v>6.1499999999999995</v>
      </c>
      <c r="K13" s="10">
        <v>0</v>
      </c>
      <c r="L13" s="50">
        <f t="shared" si="1"/>
        <v>12.149999999999999</v>
      </c>
      <c r="M13" s="52">
        <v>91.882499999999993</v>
      </c>
      <c r="N13" s="59">
        <f t="shared" si="2"/>
        <v>104.0325</v>
      </c>
      <c r="O13" s="17">
        <f t="shared" si="3"/>
        <v>10</v>
      </c>
      <c r="P13" s="53">
        <f t="shared" si="5"/>
        <v>94.032499999999999</v>
      </c>
      <c r="Q13" s="11"/>
      <c r="R13" s="11"/>
      <c r="S13" s="25"/>
      <c r="T13" s="76" t="s">
        <v>24</v>
      </c>
      <c r="U13" s="2">
        <v>1</v>
      </c>
    </row>
    <row r="14" spans="1:21" s="29" customFormat="1" ht="18.75">
      <c r="A14" s="9">
        <v>0</v>
      </c>
      <c r="B14" s="9">
        <v>10</v>
      </c>
      <c r="C14" s="8"/>
      <c r="D14" s="45" t="s">
        <v>42</v>
      </c>
      <c r="E14" s="33"/>
      <c r="F14" s="10">
        <v>3</v>
      </c>
      <c r="G14" s="10">
        <v>208</v>
      </c>
      <c r="H14" s="71" t="s">
        <v>21</v>
      </c>
      <c r="I14" s="53">
        <f t="shared" si="0"/>
        <v>10.5</v>
      </c>
      <c r="J14" s="50">
        <f t="shared" si="4"/>
        <v>6.24</v>
      </c>
      <c r="K14" s="10">
        <v>0</v>
      </c>
      <c r="L14" s="50">
        <f t="shared" si="1"/>
        <v>16.740000000000002</v>
      </c>
      <c r="M14" s="52">
        <v>90.38</v>
      </c>
      <c r="N14" s="59">
        <f t="shared" si="2"/>
        <v>107.12</v>
      </c>
      <c r="O14" s="17">
        <f t="shared" si="3"/>
        <v>13</v>
      </c>
      <c r="P14" s="53">
        <f t="shared" si="5"/>
        <v>94.12</v>
      </c>
      <c r="Q14" s="11"/>
      <c r="R14" s="11"/>
      <c r="S14" s="25"/>
      <c r="T14" s="77" t="s">
        <v>78</v>
      </c>
      <c r="U14" s="2">
        <v>0.03</v>
      </c>
    </row>
    <row r="15" spans="1:21" s="29" customFormat="1" ht="18.75">
      <c r="A15" s="9">
        <v>0</v>
      </c>
      <c r="B15" s="9">
        <v>11</v>
      </c>
      <c r="C15" s="8"/>
      <c r="D15" s="45" t="s">
        <v>43</v>
      </c>
      <c r="E15" s="32"/>
      <c r="F15" s="10">
        <v>2</v>
      </c>
      <c r="G15" s="10">
        <v>202</v>
      </c>
      <c r="H15" s="71" t="s">
        <v>21</v>
      </c>
      <c r="I15" s="53">
        <f t="shared" si="0"/>
        <v>6</v>
      </c>
      <c r="J15" s="50">
        <f t="shared" si="4"/>
        <v>6.06</v>
      </c>
      <c r="K15" s="10">
        <v>0</v>
      </c>
      <c r="L15" s="50">
        <f t="shared" si="1"/>
        <v>12.059999999999999</v>
      </c>
      <c r="M15" s="52">
        <v>96.257500000000022</v>
      </c>
      <c r="N15" s="59">
        <f t="shared" si="2"/>
        <v>108.31750000000002</v>
      </c>
      <c r="O15" s="17">
        <f t="shared" si="3"/>
        <v>13</v>
      </c>
      <c r="P15" s="53">
        <f t="shared" si="5"/>
        <v>95.317500000000024</v>
      </c>
      <c r="Q15" s="4"/>
      <c r="R15" s="4"/>
      <c r="S15" s="4"/>
      <c r="T15" s="2" t="s">
        <v>25</v>
      </c>
      <c r="U15" s="2">
        <v>2022</v>
      </c>
    </row>
    <row r="16" spans="1:21" s="29" customFormat="1" ht="18.75">
      <c r="A16" s="9">
        <v>0</v>
      </c>
      <c r="B16" s="9">
        <v>12</v>
      </c>
      <c r="C16" s="8"/>
      <c r="D16" s="45" t="s">
        <v>44</v>
      </c>
      <c r="E16" s="32"/>
      <c r="F16" s="10">
        <v>3</v>
      </c>
      <c r="G16" s="10">
        <v>199</v>
      </c>
      <c r="H16" s="71" t="s">
        <v>21</v>
      </c>
      <c r="I16" s="53">
        <f t="shared" si="0"/>
        <v>10.5</v>
      </c>
      <c r="J16" s="50">
        <f t="shared" si="4"/>
        <v>5.97</v>
      </c>
      <c r="K16" s="10">
        <v>0</v>
      </c>
      <c r="L16" s="50">
        <f t="shared" si="1"/>
        <v>16.47</v>
      </c>
      <c r="M16" s="52">
        <v>90.389999999999986</v>
      </c>
      <c r="N16" s="59">
        <f t="shared" si="2"/>
        <v>106.85999999999999</v>
      </c>
      <c r="O16" s="17">
        <f t="shared" si="3"/>
        <v>13</v>
      </c>
      <c r="P16" s="53">
        <f t="shared" si="5"/>
        <v>93.859999999999985</v>
      </c>
      <c r="Q16" s="4"/>
      <c r="R16" s="4"/>
      <c r="S16" s="4"/>
      <c r="T16" s="2" t="s">
        <v>26</v>
      </c>
      <c r="U16" s="2">
        <v>4</v>
      </c>
    </row>
    <row r="17" spans="1:21" s="29" customFormat="1" ht="18.75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0"/>
        <v>0</v>
      </c>
      <c r="J17" s="50">
        <f t="shared" si="4"/>
        <v>5.7</v>
      </c>
      <c r="K17" s="10">
        <v>0</v>
      </c>
      <c r="L17" s="50">
        <f t="shared" si="1"/>
        <v>5.7</v>
      </c>
      <c r="M17" s="52">
        <v>97.49</v>
      </c>
      <c r="N17" s="59">
        <f t="shared" si="2"/>
        <v>103.19</v>
      </c>
      <c r="O17" s="17">
        <f t="shared" si="3"/>
        <v>0</v>
      </c>
      <c r="P17" s="53">
        <f t="shared" si="5"/>
        <v>103.19</v>
      </c>
      <c r="Q17" s="4"/>
      <c r="R17" s="4"/>
      <c r="S17" s="4"/>
      <c r="T17" s="2" t="s">
        <v>27</v>
      </c>
      <c r="U17" s="2">
        <v>23</v>
      </c>
    </row>
    <row r="18" spans="1:21" s="29" customFormat="1" ht="18.75">
      <c r="A18" s="9">
        <v>0</v>
      </c>
      <c r="B18" s="9">
        <v>14</v>
      </c>
      <c r="C18" s="8"/>
      <c r="D18" s="45" t="s">
        <v>46</v>
      </c>
      <c r="E18" s="32"/>
      <c r="F18" s="10">
        <v>3</v>
      </c>
      <c r="G18" s="10">
        <v>193</v>
      </c>
      <c r="H18" s="70" t="s">
        <v>15</v>
      </c>
      <c r="I18" s="53">
        <f t="shared" si="0"/>
        <v>10.5</v>
      </c>
      <c r="J18" s="50">
        <f t="shared" si="4"/>
        <v>5.79</v>
      </c>
      <c r="K18" s="10">
        <v>0</v>
      </c>
      <c r="L18" s="50">
        <f t="shared" si="1"/>
        <v>16.29</v>
      </c>
      <c r="M18" s="52">
        <v>97.91</v>
      </c>
      <c r="N18" s="59">
        <f t="shared" si="2"/>
        <v>114.19999999999999</v>
      </c>
      <c r="O18" s="17">
        <f t="shared" si="3"/>
        <v>22</v>
      </c>
      <c r="P18" s="53">
        <f t="shared" si="5"/>
        <v>92.199999999999989</v>
      </c>
      <c r="Q18" s="4"/>
      <c r="R18" s="4"/>
      <c r="S18" s="4"/>
      <c r="T18" s="37"/>
    </row>
    <row r="19" spans="1:21" s="29" customFormat="1" ht="18.75">
      <c r="A19" s="9">
        <v>0</v>
      </c>
      <c r="B19" s="9">
        <v>15</v>
      </c>
      <c r="C19" s="8"/>
      <c r="D19" s="45" t="s">
        <v>47</v>
      </c>
      <c r="E19" s="32"/>
      <c r="F19" s="10">
        <v>3</v>
      </c>
      <c r="G19" s="10">
        <v>185</v>
      </c>
      <c r="H19" s="69" t="s">
        <v>22</v>
      </c>
      <c r="I19" s="53">
        <f t="shared" si="0"/>
        <v>10.5</v>
      </c>
      <c r="J19" s="50">
        <f t="shared" si="4"/>
        <v>5.55</v>
      </c>
      <c r="K19" s="10">
        <v>0</v>
      </c>
      <c r="L19" s="50">
        <f t="shared" si="1"/>
        <v>16.05</v>
      </c>
      <c r="M19" s="52">
        <v>89.249999999999986</v>
      </c>
      <c r="N19" s="59">
        <f t="shared" si="2"/>
        <v>105.29999999999998</v>
      </c>
      <c r="O19" s="17">
        <f t="shared" si="3"/>
        <v>10</v>
      </c>
      <c r="P19" s="53">
        <f t="shared" si="5"/>
        <v>95.299999999999983</v>
      </c>
      <c r="Q19" s="4"/>
      <c r="R19" s="4"/>
      <c r="S19" s="4"/>
      <c r="T19" s="1"/>
      <c r="U19" s="1"/>
    </row>
    <row r="20" spans="1:21" s="29" customFormat="1" ht="18.75">
      <c r="A20" s="9">
        <v>0</v>
      </c>
      <c r="B20" s="9">
        <v>16</v>
      </c>
      <c r="C20" s="8"/>
      <c r="D20" s="45" t="s">
        <v>48</v>
      </c>
      <c r="E20" s="34"/>
      <c r="F20" s="10">
        <v>2</v>
      </c>
      <c r="G20" s="10">
        <v>186</v>
      </c>
      <c r="H20" s="71" t="s">
        <v>21</v>
      </c>
      <c r="I20" s="53">
        <f t="shared" si="0"/>
        <v>6</v>
      </c>
      <c r="J20" s="50">
        <f t="shared" si="4"/>
        <v>5.58</v>
      </c>
      <c r="K20" s="10">
        <v>0</v>
      </c>
      <c r="L20" s="50">
        <f t="shared" si="1"/>
        <v>11.58</v>
      </c>
      <c r="M20" s="52">
        <v>96.509999999999991</v>
      </c>
      <c r="N20" s="59">
        <f t="shared" si="2"/>
        <v>108.08999999999999</v>
      </c>
      <c r="O20" s="17">
        <f t="shared" si="3"/>
        <v>13</v>
      </c>
      <c r="P20" s="53">
        <f t="shared" si="5"/>
        <v>95.089999999999989</v>
      </c>
      <c r="Q20" s="4"/>
      <c r="R20" s="4"/>
      <c r="S20" s="4"/>
      <c r="T20" s="1"/>
      <c r="U20" s="1"/>
    </row>
    <row r="21" spans="1:21" s="29" customFormat="1" ht="18.75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180</v>
      </c>
      <c r="H21" s="71" t="s">
        <v>21</v>
      </c>
      <c r="I21" s="53">
        <f t="shared" si="0"/>
        <v>10.5</v>
      </c>
      <c r="J21" s="50">
        <f t="shared" si="4"/>
        <v>5.3999999999999995</v>
      </c>
      <c r="K21" s="10">
        <v>0</v>
      </c>
      <c r="L21" s="50">
        <f t="shared" si="1"/>
        <v>15.899999999999999</v>
      </c>
      <c r="M21" s="52">
        <v>94.902500000000003</v>
      </c>
      <c r="N21" s="59">
        <f t="shared" si="2"/>
        <v>110.80250000000001</v>
      </c>
      <c r="O21" s="17">
        <f t="shared" si="3"/>
        <v>13</v>
      </c>
      <c r="P21" s="53">
        <f t="shared" si="5"/>
        <v>97.802500000000009</v>
      </c>
      <c r="Q21" s="4"/>
      <c r="R21" s="4"/>
      <c r="S21" s="4"/>
      <c r="T21" s="1"/>
      <c r="U21" s="1"/>
    </row>
    <row r="22" spans="1:21" s="29" customFormat="1" ht="18.75">
      <c r="A22" s="9">
        <v>0</v>
      </c>
      <c r="B22" s="9">
        <v>18</v>
      </c>
      <c r="C22" s="8"/>
      <c r="D22" s="45" t="s">
        <v>50</v>
      </c>
      <c r="E22" s="32"/>
      <c r="F22" s="10">
        <v>1</v>
      </c>
      <c r="G22" s="10">
        <v>184</v>
      </c>
      <c r="H22" s="69" t="s">
        <v>22</v>
      </c>
      <c r="I22" s="53">
        <f t="shared" si="0"/>
        <v>3</v>
      </c>
      <c r="J22" s="50">
        <f t="shared" si="4"/>
        <v>5.52</v>
      </c>
      <c r="K22" s="10">
        <v>0</v>
      </c>
      <c r="L22" s="50">
        <f t="shared" si="1"/>
        <v>8.52</v>
      </c>
      <c r="M22" s="52">
        <v>84.774999999999991</v>
      </c>
      <c r="N22" s="59">
        <f t="shared" si="2"/>
        <v>93.294999999999987</v>
      </c>
      <c r="O22" s="17">
        <f t="shared" si="3"/>
        <v>10</v>
      </c>
      <c r="P22" s="53">
        <f t="shared" si="5"/>
        <v>83.294999999999987</v>
      </c>
      <c r="Q22" s="4"/>
      <c r="R22" s="4"/>
      <c r="S22" s="4"/>
      <c r="T22" s="1"/>
      <c r="U22" s="1"/>
    </row>
    <row r="23" spans="1:21" s="29" customFormat="1" ht="18.75">
      <c r="A23" s="9">
        <v>0</v>
      </c>
      <c r="B23" s="9">
        <v>19</v>
      </c>
      <c r="C23" s="8"/>
      <c r="D23" s="45" t="s">
        <v>51</v>
      </c>
      <c r="E23" s="34"/>
      <c r="F23" s="10">
        <v>3</v>
      </c>
      <c r="G23" s="10">
        <v>175</v>
      </c>
      <c r="H23" s="71" t="s">
        <v>21</v>
      </c>
      <c r="I23" s="53">
        <f t="shared" si="0"/>
        <v>10.5</v>
      </c>
      <c r="J23" s="50">
        <f t="shared" si="4"/>
        <v>5.25</v>
      </c>
      <c r="K23" s="10">
        <v>0</v>
      </c>
      <c r="L23" s="50">
        <f t="shared" si="1"/>
        <v>15.75</v>
      </c>
      <c r="M23" s="52">
        <v>93.97</v>
      </c>
      <c r="N23" s="59">
        <f t="shared" si="2"/>
        <v>109.72</v>
      </c>
      <c r="O23" s="17">
        <f t="shared" si="3"/>
        <v>13</v>
      </c>
      <c r="P23" s="53">
        <f t="shared" si="5"/>
        <v>96.72</v>
      </c>
      <c r="Q23" s="4"/>
      <c r="R23" s="4"/>
      <c r="S23" s="4"/>
      <c r="T23" s="1"/>
      <c r="U23" s="1"/>
    </row>
    <row r="24" spans="1:21" s="29" customFormat="1" ht="18.75">
      <c r="A24" s="9">
        <v>0</v>
      </c>
      <c r="B24" s="9">
        <v>20</v>
      </c>
      <c r="C24" s="8"/>
      <c r="D24" s="45" t="s">
        <v>52</v>
      </c>
      <c r="E24" s="34"/>
      <c r="F24" s="10">
        <v>2</v>
      </c>
      <c r="G24" s="10">
        <v>174</v>
      </c>
      <c r="H24" s="69" t="s">
        <v>22</v>
      </c>
      <c r="I24" s="53">
        <f t="shared" si="0"/>
        <v>6</v>
      </c>
      <c r="J24" s="50">
        <f t="shared" si="4"/>
        <v>5.22</v>
      </c>
      <c r="K24" s="10">
        <v>0</v>
      </c>
      <c r="L24" s="50">
        <f t="shared" si="1"/>
        <v>11.219999999999999</v>
      </c>
      <c r="M24" s="52">
        <v>90.329999999999984</v>
      </c>
      <c r="N24" s="59">
        <f t="shared" si="2"/>
        <v>101.54999999999998</v>
      </c>
      <c r="O24" s="17">
        <f t="shared" si="3"/>
        <v>10</v>
      </c>
      <c r="P24" s="53">
        <f t="shared" si="5"/>
        <v>91.549999999999983</v>
      </c>
      <c r="Q24" s="4"/>
      <c r="R24" s="4"/>
      <c r="S24" s="4"/>
      <c r="T24" s="1"/>
      <c r="U24" s="1"/>
    </row>
    <row r="25" spans="1:21" s="29" customFormat="1" ht="18.75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170</v>
      </c>
      <c r="H25" s="70" t="s">
        <v>15</v>
      </c>
      <c r="I25" s="53">
        <f t="shared" si="0"/>
        <v>10.5</v>
      </c>
      <c r="J25" s="50">
        <f t="shared" si="4"/>
        <v>5.0999999999999996</v>
      </c>
      <c r="K25" s="10">
        <v>0</v>
      </c>
      <c r="L25" s="50">
        <f t="shared" si="1"/>
        <v>15.6</v>
      </c>
      <c r="M25" s="52">
        <v>98.64</v>
      </c>
      <c r="N25" s="59">
        <f t="shared" si="2"/>
        <v>114.24</v>
      </c>
      <c r="O25" s="17">
        <f t="shared" si="3"/>
        <v>22</v>
      </c>
      <c r="P25" s="53">
        <f t="shared" si="5"/>
        <v>92.24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2</v>
      </c>
      <c r="G26" s="10">
        <v>166</v>
      </c>
      <c r="H26" s="71" t="s">
        <v>21</v>
      </c>
      <c r="I26" s="53">
        <f t="shared" si="0"/>
        <v>6</v>
      </c>
      <c r="J26" s="50">
        <f t="shared" si="4"/>
        <v>4.9799999999999995</v>
      </c>
      <c r="K26" s="10">
        <v>0</v>
      </c>
      <c r="L26" s="50">
        <f t="shared" si="1"/>
        <v>10.98</v>
      </c>
      <c r="M26" s="52">
        <v>96.13000000000001</v>
      </c>
      <c r="N26" s="59">
        <f t="shared" si="2"/>
        <v>107.11000000000001</v>
      </c>
      <c r="O26" s="17">
        <f t="shared" si="3"/>
        <v>13</v>
      </c>
      <c r="P26" s="53">
        <f t="shared" si="5"/>
        <v>94.110000000000014</v>
      </c>
      <c r="Q26" s="4"/>
      <c r="R26" s="4"/>
      <c r="S26" s="4"/>
      <c r="T26" s="1"/>
      <c r="U26" s="1"/>
    </row>
    <row r="27" spans="1:21" s="29" customFormat="1" ht="18.75">
      <c r="A27" s="9">
        <v>0</v>
      </c>
      <c r="B27" s="9">
        <v>23</v>
      </c>
      <c r="C27" s="8"/>
      <c r="D27" s="45" t="s">
        <v>55</v>
      </c>
      <c r="E27" s="34"/>
      <c r="F27" s="10">
        <v>0</v>
      </c>
      <c r="G27" s="10">
        <v>160</v>
      </c>
      <c r="H27" s="83" t="s">
        <v>23</v>
      </c>
      <c r="I27" s="53">
        <f t="shared" si="0"/>
        <v>0</v>
      </c>
      <c r="J27" s="50">
        <f t="shared" si="4"/>
        <v>4.8</v>
      </c>
      <c r="K27" s="10">
        <v>0</v>
      </c>
      <c r="L27" s="50">
        <f t="shared" si="1"/>
        <v>4.8</v>
      </c>
      <c r="M27" s="52">
        <v>33.057500000000005</v>
      </c>
      <c r="N27" s="59">
        <f t="shared" si="2"/>
        <v>37.857500000000002</v>
      </c>
      <c r="O27" s="17">
        <f t="shared" si="3"/>
        <v>0</v>
      </c>
      <c r="P27" s="53">
        <f t="shared" si="5"/>
        <v>37.857500000000002</v>
      </c>
      <c r="Q27" s="4"/>
      <c r="R27" s="4"/>
      <c r="S27" s="4"/>
      <c r="T27" s="1"/>
      <c r="U27" s="1"/>
    </row>
    <row r="28" spans="1:21" s="29" customFormat="1" ht="18.75">
      <c r="A28" s="9">
        <v>0</v>
      </c>
      <c r="B28" s="9">
        <v>24</v>
      </c>
      <c r="C28" s="8"/>
      <c r="D28" s="45" t="s">
        <v>56</v>
      </c>
      <c r="E28" s="34"/>
      <c r="F28" s="10">
        <v>3</v>
      </c>
      <c r="G28" s="10">
        <v>160</v>
      </c>
      <c r="H28" s="70" t="s">
        <v>15</v>
      </c>
      <c r="I28" s="53">
        <f t="shared" si="0"/>
        <v>10.5</v>
      </c>
      <c r="J28" s="50">
        <f t="shared" si="4"/>
        <v>4.8</v>
      </c>
      <c r="K28" s="10">
        <v>0</v>
      </c>
      <c r="L28" s="50">
        <f t="shared" si="1"/>
        <v>15.3</v>
      </c>
      <c r="M28" s="52">
        <v>95.640000000000015</v>
      </c>
      <c r="N28" s="59">
        <f t="shared" si="2"/>
        <v>110.94000000000001</v>
      </c>
      <c r="O28" s="17">
        <f t="shared" si="3"/>
        <v>22</v>
      </c>
      <c r="P28" s="53">
        <f t="shared" si="5"/>
        <v>88.940000000000012</v>
      </c>
      <c r="Q28" s="4"/>
      <c r="R28" s="4"/>
      <c r="S28" s="4"/>
      <c r="T28" s="1"/>
      <c r="U28" s="1"/>
    </row>
    <row r="29" spans="1:21" s="29" customFormat="1" ht="18.75">
      <c r="A29" s="9">
        <v>0</v>
      </c>
      <c r="B29" s="9">
        <v>25</v>
      </c>
      <c r="C29" s="8"/>
      <c r="D29" s="45" t="s">
        <v>57</v>
      </c>
      <c r="E29" s="34"/>
      <c r="F29" s="10">
        <v>2</v>
      </c>
      <c r="G29" s="10">
        <v>158</v>
      </c>
      <c r="H29" s="69" t="s">
        <v>22</v>
      </c>
      <c r="I29" s="53">
        <f t="shared" si="0"/>
        <v>6</v>
      </c>
      <c r="J29" s="50">
        <f t="shared" si="4"/>
        <v>4.74</v>
      </c>
      <c r="K29" s="10">
        <v>0</v>
      </c>
      <c r="L29" s="50">
        <f t="shared" si="1"/>
        <v>10.74</v>
      </c>
      <c r="M29" s="52">
        <v>95.460000000000036</v>
      </c>
      <c r="N29" s="59">
        <f t="shared" si="2"/>
        <v>106.20000000000003</v>
      </c>
      <c r="O29" s="17">
        <f t="shared" si="3"/>
        <v>10</v>
      </c>
      <c r="P29" s="53">
        <f t="shared" si="5"/>
        <v>96.200000000000031</v>
      </c>
      <c r="Q29" s="4"/>
      <c r="R29" s="4"/>
      <c r="S29" s="4"/>
      <c r="T29" s="1"/>
      <c r="U29" s="1"/>
    </row>
    <row r="30" spans="1:21" s="29" customFormat="1" ht="18.75">
      <c r="A30" s="9">
        <v>0</v>
      </c>
      <c r="B30" s="9">
        <v>26</v>
      </c>
      <c r="C30" s="8"/>
      <c r="D30" s="45" t="s">
        <v>58</v>
      </c>
      <c r="E30" s="34"/>
      <c r="F30" s="10">
        <v>2</v>
      </c>
      <c r="G30" s="10">
        <v>150</v>
      </c>
      <c r="H30" s="69" t="s">
        <v>22</v>
      </c>
      <c r="I30" s="53">
        <f t="shared" si="0"/>
        <v>6</v>
      </c>
      <c r="J30" s="50">
        <f t="shared" si="4"/>
        <v>4.5</v>
      </c>
      <c r="K30" s="10">
        <v>0</v>
      </c>
      <c r="L30" s="50">
        <f t="shared" si="1"/>
        <v>10.5</v>
      </c>
      <c r="M30" s="52">
        <v>94.219999999999985</v>
      </c>
      <c r="N30" s="59">
        <f t="shared" si="2"/>
        <v>104.71999999999998</v>
      </c>
      <c r="O30" s="17">
        <f t="shared" si="3"/>
        <v>10</v>
      </c>
      <c r="P30" s="53">
        <f t="shared" si="5"/>
        <v>94.719999999999985</v>
      </c>
      <c r="Q30" s="4"/>
      <c r="R30" s="4"/>
      <c r="S30" s="4"/>
      <c r="T30" s="1"/>
      <c r="U30" s="1"/>
    </row>
    <row r="31" spans="1:21" s="29" customFormat="1" ht="18.75">
      <c r="A31" s="9">
        <v>0</v>
      </c>
      <c r="B31" s="9">
        <v>27</v>
      </c>
      <c r="C31" s="8"/>
      <c r="D31" s="47" t="s">
        <v>59</v>
      </c>
      <c r="E31" s="34"/>
      <c r="F31" s="10">
        <v>2</v>
      </c>
      <c r="G31" s="10">
        <v>151</v>
      </c>
      <c r="H31" s="69" t="s">
        <v>22</v>
      </c>
      <c r="I31" s="53">
        <f t="shared" si="0"/>
        <v>6</v>
      </c>
      <c r="J31" s="50">
        <f t="shared" si="4"/>
        <v>4.53</v>
      </c>
      <c r="K31" s="10">
        <v>0</v>
      </c>
      <c r="L31" s="50">
        <f t="shared" si="1"/>
        <v>10.530000000000001</v>
      </c>
      <c r="M31" s="52">
        <v>95.6875</v>
      </c>
      <c r="N31" s="59">
        <f t="shared" si="2"/>
        <v>106.2175</v>
      </c>
      <c r="O31" s="17">
        <f t="shared" si="3"/>
        <v>10</v>
      </c>
      <c r="P31" s="53">
        <f t="shared" si="5"/>
        <v>96.217500000000001</v>
      </c>
      <c r="Q31" s="4"/>
      <c r="R31" s="4"/>
      <c r="S31" s="4"/>
      <c r="T31" s="1"/>
      <c r="U31" s="1"/>
    </row>
    <row r="32" spans="1:21" s="29" customFormat="1" ht="18.75">
      <c r="A32" s="9">
        <v>0</v>
      </c>
      <c r="B32" s="9">
        <v>28</v>
      </c>
      <c r="C32" s="8"/>
      <c r="D32" s="49" t="s">
        <v>60</v>
      </c>
      <c r="E32" s="34"/>
      <c r="F32" s="10">
        <v>2</v>
      </c>
      <c r="G32" s="10">
        <v>143</v>
      </c>
      <c r="H32" s="69" t="s">
        <v>22</v>
      </c>
      <c r="I32" s="53">
        <f t="shared" si="0"/>
        <v>6</v>
      </c>
      <c r="J32" s="50">
        <f t="shared" si="4"/>
        <v>4.29</v>
      </c>
      <c r="K32" s="10">
        <v>0</v>
      </c>
      <c r="L32" s="50">
        <f t="shared" si="1"/>
        <v>10.29</v>
      </c>
      <c r="M32" s="52">
        <v>88.94</v>
      </c>
      <c r="N32" s="59">
        <f t="shared" si="2"/>
        <v>99.22999999999999</v>
      </c>
      <c r="O32" s="17">
        <f t="shared" si="3"/>
        <v>10</v>
      </c>
      <c r="P32" s="53">
        <f t="shared" si="5"/>
        <v>89.22999999999999</v>
      </c>
      <c r="Q32" s="4"/>
      <c r="R32" s="4"/>
      <c r="S32" s="4"/>
      <c r="T32" s="1"/>
      <c r="U32" s="1"/>
    </row>
    <row r="33" spans="1:21" s="29" customFormat="1" ht="18.75">
      <c r="A33" s="9">
        <v>0</v>
      </c>
      <c r="B33" s="9">
        <v>29</v>
      </c>
      <c r="C33" s="8"/>
      <c r="D33" s="60" t="s">
        <v>61</v>
      </c>
      <c r="E33" s="34"/>
      <c r="F33" s="10">
        <v>3</v>
      </c>
      <c r="G33" s="10">
        <v>144</v>
      </c>
      <c r="H33" s="69" t="s">
        <v>22</v>
      </c>
      <c r="I33" s="53">
        <f t="shared" si="0"/>
        <v>10.5</v>
      </c>
      <c r="J33" s="50">
        <f t="shared" si="4"/>
        <v>4.32</v>
      </c>
      <c r="K33" s="10">
        <v>0</v>
      </c>
      <c r="L33" s="50">
        <f>SUM(J33+I33+K33)</f>
        <v>14.82</v>
      </c>
      <c r="M33" s="52">
        <v>64.039999999999992</v>
      </c>
      <c r="N33" s="59">
        <f t="shared" si="2"/>
        <v>78.859999999999985</v>
      </c>
      <c r="O33" s="17">
        <f t="shared" si="3"/>
        <v>10</v>
      </c>
      <c r="P33" s="53">
        <f t="shared" si="5"/>
        <v>68.859999999999985</v>
      </c>
      <c r="Q33" s="4"/>
      <c r="R33" s="4"/>
      <c r="S33" s="4"/>
      <c r="T33" s="1"/>
      <c r="U33" s="1"/>
    </row>
    <row r="34" spans="1:21" s="29" customFormat="1" ht="18.75">
      <c r="A34" s="9">
        <v>0</v>
      </c>
      <c r="B34" s="9">
        <v>30</v>
      </c>
      <c r="C34" s="8"/>
      <c r="D34" s="48" t="s">
        <v>62</v>
      </c>
      <c r="E34" s="34"/>
      <c r="F34" s="10">
        <v>3</v>
      </c>
      <c r="G34" s="10">
        <v>131</v>
      </c>
      <c r="H34" s="69" t="s">
        <v>22</v>
      </c>
      <c r="I34" s="53">
        <f t="shared" si="0"/>
        <v>10.5</v>
      </c>
      <c r="J34" s="50">
        <f t="shared" si="4"/>
        <v>3.9299999999999997</v>
      </c>
      <c r="K34" s="10">
        <v>0</v>
      </c>
      <c r="L34" s="50">
        <f>SUM(J34+I34+K34)*(1-A34)</f>
        <v>14.43</v>
      </c>
      <c r="M34" s="52">
        <v>82.18</v>
      </c>
      <c r="N34" s="59">
        <f t="shared" si="2"/>
        <v>96.610000000000014</v>
      </c>
      <c r="O34" s="17">
        <f t="shared" si="3"/>
        <v>10</v>
      </c>
      <c r="P34" s="53">
        <f t="shared" si="5"/>
        <v>86.610000000000014</v>
      </c>
      <c r="Q34" s="4"/>
      <c r="R34" s="4"/>
      <c r="S34" s="4"/>
      <c r="T34" s="1"/>
      <c r="U34" s="1"/>
    </row>
    <row r="35" spans="1:21" s="29" customFormat="1" ht="18.75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0"/>
        <v>0</v>
      </c>
      <c r="J35" s="50">
        <f t="shared" si="4"/>
        <v>3.8699999999999997</v>
      </c>
      <c r="K35" s="10">
        <v>0</v>
      </c>
      <c r="L35" s="50">
        <f>SUM(J35+I35+K35)</f>
        <v>3.8699999999999997</v>
      </c>
      <c r="M35" s="52">
        <v>74.995000000000005</v>
      </c>
      <c r="N35" s="59">
        <f t="shared" si="2"/>
        <v>78.865000000000009</v>
      </c>
      <c r="O35" s="17">
        <f t="shared" si="3"/>
        <v>0</v>
      </c>
      <c r="P35" s="53">
        <f t="shared" si="5"/>
        <v>78.865000000000009</v>
      </c>
      <c r="Q35" s="4"/>
      <c r="R35" s="4"/>
      <c r="S35" s="4"/>
      <c r="T35" s="1"/>
      <c r="U35" s="1"/>
    </row>
    <row r="36" spans="1:21" s="29" customFormat="1" ht="18.75">
      <c r="A36" s="9">
        <v>0</v>
      </c>
      <c r="B36" s="9">
        <v>32</v>
      </c>
      <c r="C36" s="8"/>
      <c r="D36" s="45" t="s">
        <v>64</v>
      </c>
      <c r="E36" s="34"/>
      <c r="F36" s="10">
        <v>2</v>
      </c>
      <c r="G36" s="10">
        <v>128</v>
      </c>
      <c r="H36" s="69" t="s">
        <v>22</v>
      </c>
      <c r="I36" s="53">
        <f t="shared" si="0"/>
        <v>6</v>
      </c>
      <c r="J36" s="50">
        <f t="shared" si="4"/>
        <v>3.84</v>
      </c>
      <c r="K36" s="10">
        <v>0</v>
      </c>
      <c r="L36" s="50">
        <f>SUM(J36+I36+K36)*(1-A36)</f>
        <v>9.84</v>
      </c>
      <c r="M36" s="52">
        <v>27.430000000000007</v>
      </c>
      <c r="N36" s="59">
        <f t="shared" si="2"/>
        <v>37.27000000000001</v>
      </c>
      <c r="O36" s="17">
        <f t="shared" si="3"/>
        <v>10</v>
      </c>
      <c r="P36" s="53">
        <f t="shared" si="5"/>
        <v>27.27000000000001</v>
      </c>
      <c r="Q36" s="4"/>
      <c r="R36" s="4"/>
      <c r="S36" s="4"/>
      <c r="T36" s="1"/>
      <c r="U36" s="1"/>
    </row>
    <row r="37" spans="1:21" s="29" customFormat="1" ht="18.75">
      <c r="A37" s="9">
        <v>0</v>
      </c>
      <c r="B37" s="9">
        <v>33</v>
      </c>
      <c r="C37" s="8"/>
      <c r="D37" s="45" t="s">
        <v>65</v>
      </c>
      <c r="E37" s="32"/>
      <c r="F37" s="10">
        <v>1</v>
      </c>
      <c r="G37" s="10">
        <v>124</v>
      </c>
      <c r="H37" s="69" t="s">
        <v>22</v>
      </c>
      <c r="I37" s="53">
        <f t="shared" si="0"/>
        <v>3</v>
      </c>
      <c r="J37" s="50">
        <f t="shared" si="4"/>
        <v>3.7199999999999998</v>
      </c>
      <c r="K37" s="10">
        <v>0</v>
      </c>
      <c r="L37" s="50">
        <f>SUM(J37+I37+K37)</f>
        <v>6.72</v>
      </c>
      <c r="M37" s="52">
        <v>74.759999999999991</v>
      </c>
      <c r="N37" s="59">
        <f t="shared" si="2"/>
        <v>81.47999999999999</v>
      </c>
      <c r="O37" s="17">
        <f t="shared" si="3"/>
        <v>10</v>
      </c>
      <c r="P37" s="53">
        <f t="shared" si="5"/>
        <v>71.47999999999999</v>
      </c>
      <c r="Q37" s="4"/>
      <c r="R37" s="4"/>
      <c r="S37" s="4"/>
      <c r="T37" s="1"/>
      <c r="U37" s="1"/>
    </row>
    <row r="38" spans="1:21" s="29" customFormat="1" ht="18.75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100</v>
      </c>
      <c r="H38" s="69" t="s">
        <v>22</v>
      </c>
      <c r="I38" s="53">
        <f t="shared" si="0"/>
        <v>10.5</v>
      </c>
      <c r="J38" s="50">
        <f t="shared" si="4"/>
        <v>3</v>
      </c>
      <c r="K38" s="10">
        <v>0</v>
      </c>
      <c r="L38" s="50">
        <f>SUM(J38+I38+K38)</f>
        <v>13.5</v>
      </c>
      <c r="M38" s="52">
        <v>83.25</v>
      </c>
      <c r="N38" s="59">
        <f t="shared" si="2"/>
        <v>96.75</v>
      </c>
      <c r="O38" s="17">
        <f t="shared" si="3"/>
        <v>10</v>
      </c>
      <c r="P38" s="53">
        <f t="shared" si="5"/>
        <v>86.75</v>
      </c>
      <c r="Q38" s="4"/>
      <c r="R38" s="4"/>
      <c r="S38" s="4"/>
      <c r="T38" s="1"/>
      <c r="U38" s="1"/>
    </row>
    <row r="39" spans="1:21" s="68" customFormat="1" ht="18.75">
      <c r="A39" s="9">
        <v>0</v>
      </c>
      <c r="B39" s="9">
        <v>35</v>
      </c>
      <c r="C39" s="8"/>
      <c r="D39" s="47" t="s">
        <v>67</v>
      </c>
      <c r="E39" s="2"/>
      <c r="F39" s="10">
        <v>3</v>
      </c>
      <c r="G39" s="10">
        <v>101</v>
      </c>
      <c r="H39" s="69" t="s">
        <v>22</v>
      </c>
      <c r="I39" s="53">
        <f t="shared" si="0"/>
        <v>10.5</v>
      </c>
      <c r="J39" s="50">
        <f t="shared" si="4"/>
        <v>3.03</v>
      </c>
      <c r="K39" s="10">
        <v>0</v>
      </c>
      <c r="L39" s="50">
        <f t="shared" ref="L39:L51" si="6">SUM(J39+I39+K39)*(1-A39)</f>
        <v>13.53</v>
      </c>
      <c r="M39" s="52">
        <v>49.2</v>
      </c>
      <c r="N39" s="59">
        <f t="shared" si="2"/>
        <v>62.730000000000004</v>
      </c>
      <c r="O39" s="17">
        <f t="shared" si="3"/>
        <v>10</v>
      </c>
      <c r="P39" s="53">
        <f t="shared" si="5"/>
        <v>52.730000000000004</v>
      </c>
      <c r="Q39" s="4"/>
      <c r="R39" s="4"/>
      <c r="S39" s="4"/>
      <c r="T39" s="3"/>
      <c r="U39" s="3"/>
    </row>
    <row r="40" spans="1:21" ht="18.75">
      <c r="A40" s="9">
        <v>0</v>
      </c>
      <c r="B40" s="9">
        <v>36</v>
      </c>
      <c r="C40" s="8"/>
      <c r="D40" s="49" t="s">
        <v>68</v>
      </c>
      <c r="E40" s="2"/>
      <c r="F40" s="10">
        <v>2</v>
      </c>
      <c r="G40" s="10">
        <v>29</v>
      </c>
      <c r="H40" s="69" t="s">
        <v>22</v>
      </c>
      <c r="I40" s="53">
        <f t="shared" si="0"/>
        <v>6</v>
      </c>
      <c r="J40" s="50">
        <f t="shared" si="4"/>
        <v>0.87</v>
      </c>
      <c r="K40" s="10">
        <v>0</v>
      </c>
      <c r="L40" s="50">
        <f t="shared" si="6"/>
        <v>6.87</v>
      </c>
      <c r="M40" s="52">
        <v>34.08</v>
      </c>
      <c r="N40" s="59">
        <f t="shared" si="2"/>
        <v>40.949999999999996</v>
      </c>
      <c r="O40" s="17">
        <f t="shared" si="3"/>
        <v>10</v>
      </c>
      <c r="P40" s="53">
        <f t="shared" si="5"/>
        <v>30.949999999999996</v>
      </c>
      <c r="Q40" s="4"/>
      <c r="R40" s="4"/>
      <c r="S40" s="4"/>
      <c r="T40"/>
      <c r="U40"/>
    </row>
    <row r="41" spans="1:21" ht="18.75">
      <c r="A41" s="9">
        <v>0</v>
      </c>
      <c r="B41" s="9">
        <v>37</v>
      </c>
      <c r="C41" s="8"/>
      <c r="D41" s="49" t="s">
        <v>69</v>
      </c>
      <c r="E41" s="2"/>
      <c r="F41" s="10">
        <v>2</v>
      </c>
      <c r="G41" s="10">
        <v>57</v>
      </c>
      <c r="H41" s="69" t="s">
        <v>22</v>
      </c>
      <c r="I41" s="53">
        <f t="shared" si="0"/>
        <v>6</v>
      </c>
      <c r="J41" s="50">
        <f t="shared" si="4"/>
        <v>1.71</v>
      </c>
      <c r="K41" s="10">
        <v>0</v>
      </c>
      <c r="L41" s="50">
        <f t="shared" si="6"/>
        <v>7.71</v>
      </c>
      <c r="M41" s="52">
        <v>-3.1099999999999994</v>
      </c>
      <c r="N41" s="59">
        <f t="shared" si="2"/>
        <v>4.6000000000000005</v>
      </c>
      <c r="O41" s="17">
        <f t="shared" si="3"/>
        <v>10</v>
      </c>
      <c r="P41" s="53">
        <f t="shared" si="5"/>
        <v>-5.3999999999999995</v>
      </c>
      <c r="Q41" s="4"/>
      <c r="R41" s="4"/>
      <c r="S41" s="4"/>
      <c r="T41"/>
      <c r="U41"/>
    </row>
    <row r="42" spans="1:21" ht="18.75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69" t="s">
        <v>22</v>
      </c>
      <c r="I42" s="53">
        <f t="shared" si="0"/>
        <v>6</v>
      </c>
      <c r="J42" s="50">
        <f t="shared" si="4"/>
        <v>0.18</v>
      </c>
      <c r="K42" s="10">
        <v>0</v>
      </c>
      <c r="L42" s="50">
        <f t="shared" si="6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5"/>
        <v>4</v>
      </c>
      <c r="Q42" s="4"/>
      <c r="R42" s="4"/>
      <c r="S42" s="4"/>
      <c r="T42"/>
      <c r="U42"/>
    </row>
    <row r="43" spans="1:21" ht="18.75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0"/>
        <v>0</v>
      </c>
      <c r="J43" s="50">
        <f t="shared" si="4"/>
        <v>1.3499999999999999</v>
      </c>
      <c r="K43" s="10">
        <v>0</v>
      </c>
      <c r="L43" s="50">
        <f t="shared" si="6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5"/>
        <v>-3</v>
      </c>
      <c r="Q43" s="4"/>
      <c r="R43" s="4"/>
      <c r="S43" s="4"/>
      <c r="T43"/>
      <c r="U43"/>
    </row>
    <row r="44" spans="1:21" customFormat="1" ht="18.75">
      <c r="A44" s="9">
        <v>1</v>
      </c>
      <c r="B44" s="9">
        <v>40</v>
      </c>
      <c r="C44" s="8"/>
      <c r="D44" s="45" t="s">
        <v>72</v>
      </c>
      <c r="E44" s="34"/>
      <c r="F44" s="10">
        <v>1</v>
      </c>
      <c r="G44" s="10">
        <v>8</v>
      </c>
      <c r="H44" s="69" t="s">
        <v>22</v>
      </c>
      <c r="I44" s="53">
        <f t="shared" si="0"/>
        <v>3</v>
      </c>
      <c r="J44" s="50">
        <f t="shared" si="4"/>
        <v>0.24</v>
      </c>
      <c r="K44" s="10">
        <v>0</v>
      </c>
      <c r="L44" s="50">
        <f t="shared" si="6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5"/>
        <v>7</v>
      </c>
      <c r="Q44" s="4"/>
      <c r="R44" s="4"/>
      <c r="S44" s="4"/>
    </row>
    <row r="45" spans="1:21" customFormat="1" ht="18.75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4"/>
        <v>3.4499999999999997</v>
      </c>
      <c r="K45" s="62">
        <v>0</v>
      </c>
      <c r="L45" s="64">
        <f t="shared" si="6"/>
        <v>3.4499999999999997</v>
      </c>
      <c r="M45" s="65">
        <v>20.349999999999998</v>
      </c>
      <c r="N45" s="66">
        <f t="shared" si="2"/>
        <v>23.799999999999997</v>
      </c>
      <c r="O45" s="17">
        <f t="shared" si="3"/>
        <v>0</v>
      </c>
      <c r="P45" s="53">
        <f t="shared" si="5"/>
        <v>23.799999999999997</v>
      </c>
      <c r="Q45" s="67"/>
      <c r="R45" s="67"/>
      <c r="S45" s="67"/>
    </row>
    <row r="46" spans="1:21" customFormat="1" ht="18.75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22</v>
      </c>
      <c r="I46" s="53">
        <f t="shared" si="0"/>
        <v>6</v>
      </c>
      <c r="J46" s="50">
        <f t="shared" si="4"/>
        <v>0.18</v>
      </c>
      <c r="K46" s="10">
        <v>0</v>
      </c>
      <c r="L46" s="50">
        <f t="shared" si="6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5"/>
        <v>0</v>
      </c>
      <c r="Q46" s="4"/>
      <c r="R46" s="4"/>
      <c r="S46" s="4"/>
    </row>
    <row r="47" spans="1:21" ht="18.75">
      <c r="A47" s="9">
        <v>0</v>
      </c>
      <c r="B47" s="9">
        <v>43</v>
      </c>
      <c r="C47" s="61"/>
      <c r="D47" s="49" t="s">
        <v>84</v>
      </c>
      <c r="E47" s="33"/>
      <c r="F47" s="10">
        <v>2</v>
      </c>
      <c r="G47" s="10">
        <v>27</v>
      </c>
      <c r="H47" s="69" t="s">
        <v>22</v>
      </c>
      <c r="I47" s="53">
        <f t="shared" si="0"/>
        <v>6</v>
      </c>
      <c r="J47" s="50">
        <f t="shared" si="4"/>
        <v>0.80999999999999994</v>
      </c>
      <c r="K47" s="10">
        <v>0</v>
      </c>
      <c r="L47" s="50">
        <f t="shared" si="6"/>
        <v>6.81</v>
      </c>
      <c r="M47" s="52">
        <v>12.599999999999998</v>
      </c>
      <c r="N47" s="59">
        <f t="shared" si="2"/>
        <v>19.409999999999997</v>
      </c>
      <c r="O47" s="17">
        <f t="shared" si="3"/>
        <v>10</v>
      </c>
      <c r="P47" s="53">
        <f t="shared" si="5"/>
        <v>9.4099999999999966</v>
      </c>
      <c r="Q47" s="4"/>
      <c r="R47" s="4"/>
      <c r="S47" s="4"/>
    </row>
    <row r="48" spans="1:21" ht="18.75">
      <c r="A48" s="9">
        <v>0</v>
      </c>
      <c r="B48" s="9">
        <v>44</v>
      </c>
      <c r="C48" s="61"/>
      <c r="D48" s="49" t="s">
        <v>83</v>
      </c>
      <c r="E48" s="33"/>
      <c r="F48" s="10">
        <v>3</v>
      </c>
      <c r="G48" s="10">
        <v>142</v>
      </c>
      <c r="H48" s="70" t="s">
        <v>15</v>
      </c>
      <c r="I48" s="53">
        <f t="shared" si="0"/>
        <v>10.5</v>
      </c>
      <c r="J48" s="50">
        <f t="shared" si="4"/>
        <v>4.26</v>
      </c>
      <c r="K48" s="10">
        <v>0</v>
      </c>
      <c r="L48" s="50">
        <f t="shared" si="6"/>
        <v>14.76</v>
      </c>
      <c r="M48" s="52">
        <v>96.179999999999993</v>
      </c>
      <c r="N48" s="59">
        <f t="shared" si="2"/>
        <v>110.94</v>
      </c>
      <c r="O48" s="17">
        <f t="shared" si="3"/>
        <v>22</v>
      </c>
      <c r="P48" s="53">
        <f t="shared" si="5"/>
        <v>88.94</v>
      </c>
      <c r="Q48" s="4"/>
      <c r="R48" s="4"/>
      <c r="S48" s="4"/>
    </row>
    <row r="49" spans="1:19" ht="18.75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83" t="s">
        <v>23</v>
      </c>
      <c r="I49" s="53">
        <f t="shared" si="0"/>
        <v>0</v>
      </c>
      <c r="J49" s="50">
        <f t="shared" si="4"/>
        <v>3.15</v>
      </c>
      <c r="K49" s="10">
        <v>0</v>
      </c>
      <c r="L49" s="50">
        <f t="shared" si="6"/>
        <v>3.15</v>
      </c>
      <c r="M49" s="52">
        <v>74.450000000000017</v>
      </c>
      <c r="N49" s="59">
        <f t="shared" si="2"/>
        <v>77.600000000000023</v>
      </c>
      <c r="O49" s="17">
        <f t="shared" si="3"/>
        <v>0</v>
      </c>
      <c r="P49" s="53">
        <f t="shared" si="5"/>
        <v>77.600000000000023</v>
      </c>
      <c r="Q49" s="4"/>
      <c r="R49" s="4"/>
      <c r="S49" s="4"/>
    </row>
    <row r="50" spans="1:19" ht="18.75">
      <c r="A50" s="9">
        <v>0</v>
      </c>
      <c r="B50" s="9">
        <v>46</v>
      </c>
      <c r="C50" s="61"/>
      <c r="D50" s="49" t="s">
        <v>87</v>
      </c>
      <c r="E50" s="33"/>
      <c r="F50" s="10">
        <v>1</v>
      </c>
      <c r="G50" s="10">
        <v>76</v>
      </c>
      <c r="H50" s="69" t="s">
        <v>22</v>
      </c>
      <c r="I50" s="53">
        <f t="shared" si="0"/>
        <v>3</v>
      </c>
      <c r="J50" s="50">
        <f t="shared" si="4"/>
        <v>2.2799999999999998</v>
      </c>
      <c r="K50" s="10">
        <v>0</v>
      </c>
      <c r="L50" s="50">
        <f t="shared" si="6"/>
        <v>5.2799999999999994</v>
      </c>
      <c r="M50" s="52">
        <v>56.5</v>
      </c>
      <c r="N50" s="59">
        <f t="shared" si="2"/>
        <v>61.78</v>
      </c>
      <c r="O50" s="17">
        <f t="shared" si="3"/>
        <v>10</v>
      </c>
      <c r="P50" s="53">
        <f t="shared" si="5"/>
        <v>51.78</v>
      </c>
      <c r="Q50" s="4"/>
      <c r="R50" s="4"/>
      <c r="S50" s="4"/>
    </row>
    <row r="51" spans="1:19" ht="18.75">
      <c r="A51" s="9">
        <v>0</v>
      </c>
      <c r="B51" s="9">
        <v>47</v>
      </c>
      <c r="C51" s="61"/>
      <c r="D51" s="49" t="s">
        <v>88</v>
      </c>
      <c r="E51" s="33"/>
      <c r="F51" s="10">
        <v>0</v>
      </c>
      <c r="G51" s="10">
        <v>46</v>
      </c>
      <c r="H51" s="83" t="s">
        <v>23</v>
      </c>
      <c r="I51" s="53">
        <f t="shared" si="0"/>
        <v>0</v>
      </c>
      <c r="J51" s="50">
        <f t="shared" si="4"/>
        <v>1.38</v>
      </c>
      <c r="K51" s="10">
        <v>0</v>
      </c>
      <c r="L51" s="50">
        <f t="shared" si="6"/>
        <v>1.38</v>
      </c>
      <c r="M51" s="52">
        <v>53</v>
      </c>
      <c r="N51" s="59">
        <f t="shared" si="2"/>
        <v>54.38</v>
      </c>
      <c r="O51" s="17">
        <f t="shared" si="3"/>
        <v>0</v>
      </c>
      <c r="P51" s="53">
        <f t="shared" si="5"/>
        <v>54.38</v>
      </c>
      <c r="Q51" s="4"/>
      <c r="R51" s="4"/>
      <c r="S51" s="4"/>
    </row>
  </sheetData>
  <autoFilter ref="A4:S51" xr:uid="{28593B8F-03E7-4BE1-B554-FC0AADC431B2}">
    <sortState xmlns:xlrd2="http://schemas.microsoft.com/office/spreadsheetml/2017/richdata2" ref="A5:S51">
      <sortCondition ref="B4:B51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14" priority="6" operator="lessThan">
      <formula>1</formula>
    </cfRule>
  </conditionalFormatting>
  <conditionalFormatting sqref="F5:F51">
    <cfRule type="cellIs" dxfId="13" priority="5" operator="lessThan">
      <formula>1</formula>
    </cfRule>
  </conditionalFormatting>
  <conditionalFormatting sqref="K47 G47">
    <cfRule type="cellIs" dxfId="12" priority="4" operator="lessThan">
      <formula>1</formula>
    </cfRule>
  </conditionalFormatting>
  <conditionalFormatting sqref="K48:K50 G48:G50">
    <cfRule type="cellIs" dxfId="11" priority="3" operator="lessThan">
      <formula>1</formula>
    </cfRule>
  </conditionalFormatting>
  <conditionalFormatting sqref="K51 G51">
    <cfRule type="cellIs" dxfId="1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B1AD-DEC0-4F8F-BF53-2965C6A4B2FC}">
  <dimension ref="A1:U51"/>
  <sheetViews>
    <sheetView topLeftCell="A4" zoomScaleNormal="100" workbookViewId="0">
      <selection activeCell="O21" sqref="O21"/>
    </sheetView>
  </sheetViews>
  <sheetFormatPr defaultColWidth="9" defaultRowHeight="13.5"/>
  <cols>
    <col min="1" max="1" width="7.625" customWidth="1"/>
    <col min="2" max="2" width="6.625" style="18" customWidth="1"/>
    <col min="3" max="3" width="19.75" style="68" hidden="1" customWidth="1"/>
    <col min="4" max="4" width="22.75" style="68" bestFit="1" customWidth="1"/>
    <col min="5" max="5" width="18.375" style="18" hidden="1" customWidth="1"/>
    <col min="6" max="6" width="13.125" style="18" customWidth="1"/>
    <col min="7" max="7" width="11.125" style="18" customWidth="1"/>
    <col min="8" max="8" width="20" style="18" customWidth="1"/>
    <col min="9" max="9" width="9" style="18" customWidth="1"/>
    <col min="10" max="10" width="9.625" style="18" customWidth="1"/>
    <col min="11" max="11" width="8.625" style="18" customWidth="1"/>
    <col min="12" max="12" width="9" style="18" customWidth="1"/>
    <col min="13" max="14" width="9.75" style="18" customWidth="1"/>
    <col min="15" max="15" width="9.25" style="18" customWidth="1"/>
    <col min="16" max="16" width="9.875" style="18" customWidth="1"/>
    <col min="17" max="19" width="11.125" style="18" customWidth="1"/>
    <col min="20" max="20" width="30.5" style="18" customWidth="1"/>
    <col min="21" max="21" width="10" style="18" bestFit="1" customWidth="1"/>
    <col min="22" max="16384" width="9" style="18"/>
  </cols>
  <sheetData>
    <row r="1" spans="1:21" ht="36.6" customHeight="1">
      <c r="B1" s="91" t="str">
        <f>CONCATENATE("101-104区 风の气息",U15,"年",U16,"月",U17,"日","分包贡献明细"," 统计：音")</f>
        <v>101-104区 风の气息2022年4月30日分包贡献明细 统计：音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41"/>
      <c r="R1" s="41"/>
      <c r="S1" s="41"/>
      <c r="T1" s="19" t="s">
        <v>8</v>
      </c>
      <c r="U1" s="5">
        <v>67</v>
      </c>
    </row>
    <row r="2" spans="1:21" ht="117.6" customHeight="1">
      <c r="B2" s="93" t="s">
        <v>82</v>
      </c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42"/>
      <c r="R2" s="42"/>
      <c r="S2" s="42"/>
      <c r="T2" s="20" t="s">
        <v>0</v>
      </c>
      <c r="U2" s="21" t="s">
        <v>9</v>
      </c>
    </row>
    <row r="3" spans="1:21" ht="20.25">
      <c r="B3" s="96" t="s">
        <v>13</v>
      </c>
      <c r="C3" s="96"/>
      <c r="D3" s="96"/>
      <c r="E3" s="96"/>
      <c r="F3" s="100" t="s">
        <v>10</v>
      </c>
      <c r="G3" s="101"/>
      <c r="H3" s="97" t="s">
        <v>14</v>
      </c>
      <c r="I3" s="98"/>
      <c r="J3" s="98"/>
      <c r="K3" s="98"/>
      <c r="L3" s="98"/>
      <c r="M3" s="98"/>
      <c r="N3" s="98"/>
      <c r="O3" s="98"/>
      <c r="P3" s="99"/>
      <c r="Q3" s="40"/>
      <c r="R3" s="40"/>
      <c r="S3" s="40"/>
      <c r="T3" s="70" t="s">
        <v>15</v>
      </c>
      <c r="U3" s="23">
        <v>22</v>
      </c>
    </row>
    <row r="4" spans="1:21" ht="40.5">
      <c r="A4" s="89" t="s">
        <v>76</v>
      </c>
      <c r="B4" s="89" t="s">
        <v>2</v>
      </c>
      <c r="C4" s="39" t="s">
        <v>16</v>
      </c>
      <c r="D4" s="89" t="s">
        <v>3</v>
      </c>
      <c r="E4" s="89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.75">
      <c r="A5" s="9">
        <v>0</v>
      </c>
      <c r="B5" s="9">
        <v>1</v>
      </c>
      <c r="C5" s="8"/>
      <c r="D5" s="45" t="s">
        <v>33</v>
      </c>
      <c r="E5" s="32"/>
      <c r="F5" s="10">
        <v>2</v>
      </c>
      <c r="G5" s="10">
        <v>301</v>
      </c>
      <c r="H5" s="69" t="s">
        <v>32</v>
      </c>
      <c r="I5" s="53">
        <f t="shared" ref="I5:I51" si="0">F5*$U$11+IF(F5&gt;2,(F5-2)*$U$12,0)</f>
        <v>6</v>
      </c>
      <c r="J5" s="50">
        <f>IF(MAX($F$5:$F$46)=0,0,G5*$U$14)</f>
        <v>9.0299999999999994</v>
      </c>
      <c r="K5" s="10">
        <v>0</v>
      </c>
      <c r="L5" s="50">
        <f t="shared" ref="L5:L32" si="1">SUM(J5+I5+K5)*(1-A5)</f>
        <v>15.03</v>
      </c>
      <c r="M5" s="52">
        <v>91.694999999999965</v>
      </c>
      <c r="N5" s="59">
        <f t="shared" ref="N5:N51" si="2">(L5+M5)*(1-A5)</f>
        <v>106.72499999999997</v>
      </c>
      <c r="O5" s="17">
        <f t="shared" ref="O5:O51" si="3">VLOOKUP(H5,$T$3:$U$10,2,FALSE)*(1-A5)</f>
        <v>5</v>
      </c>
      <c r="P5" s="53">
        <f>L5+M5-O5</f>
        <v>101.72499999999997</v>
      </c>
      <c r="Q5" s="11"/>
      <c r="R5" s="11"/>
      <c r="S5" s="11"/>
      <c r="T5" s="69" t="s">
        <v>22</v>
      </c>
      <c r="U5" s="23">
        <v>10</v>
      </c>
    </row>
    <row r="6" spans="1:21" s="29" customFormat="1" ht="18.75">
      <c r="A6" s="9">
        <v>0</v>
      </c>
      <c r="B6" s="9">
        <v>2</v>
      </c>
      <c r="C6" s="8"/>
      <c r="D6" s="45" t="s">
        <v>34</v>
      </c>
      <c r="E6" s="32"/>
      <c r="F6" s="10">
        <v>3</v>
      </c>
      <c r="G6" s="10">
        <v>222</v>
      </c>
      <c r="H6" s="69" t="s">
        <v>32</v>
      </c>
      <c r="I6" s="53">
        <f t="shared" si="0"/>
        <v>10.5</v>
      </c>
      <c r="J6" s="50">
        <f>IF(MAX($F$5:$F$46)=0,0,G6*$U$14*F6/MAX($F$5:$F$46))</f>
        <v>4.9950000000000001</v>
      </c>
      <c r="K6" s="10">
        <v>0</v>
      </c>
      <c r="L6" s="50">
        <f t="shared" si="1"/>
        <v>15.495000000000001</v>
      </c>
      <c r="M6" s="52">
        <v>93</v>
      </c>
      <c r="N6" s="59">
        <f t="shared" si="2"/>
        <v>108.495</v>
      </c>
      <c r="O6" s="17">
        <f t="shared" si="3"/>
        <v>5</v>
      </c>
      <c r="P6" s="53">
        <f>_xlfn.FLOOR.MATH(L6+M6-O6)</f>
        <v>103</v>
      </c>
      <c r="Q6" s="11"/>
      <c r="R6" s="11"/>
      <c r="S6" s="11"/>
      <c r="T6" s="69"/>
      <c r="U6" s="23"/>
    </row>
    <row r="7" spans="1:21" s="29" customFormat="1" ht="18.75">
      <c r="A7" s="9">
        <v>0</v>
      </c>
      <c r="B7" s="9">
        <v>3</v>
      </c>
      <c r="C7" s="8"/>
      <c r="D7" s="45" t="s">
        <v>35</v>
      </c>
      <c r="E7" s="32"/>
      <c r="F7" s="10">
        <v>4</v>
      </c>
      <c r="G7" s="10">
        <v>232</v>
      </c>
      <c r="H7" s="73" t="s">
        <v>31</v>
      </c>
      <c r="I7" s="53">
        <f t="shared" si="0"/>
        <v>15</v>
      </c>
      <c r="J7" s="50">
        <f t="shared" ref="J7:J51" si="4">IF(MAX($F$5:$F$46)=0,0,G7*$U$14)</f>
        <v>6.96</v>
      </c>
      <c r="K7" s="10">
        <v>0</v>
      </c>
      <c r="L7" s="50">
        <f t="shared" si="1"/>
        <v>21.96</v>
      </c>
      <c r="M7" s="52">
        <v>91.435000000000002</v>
      </c>
      <c r="N7" s="59">
        <f t="shared" si="2"/>
        <v>113.39500000000001</v>
      </c>
      <c r="O7" s="17">
        <f t="shared" si="3"/>
        <v>9</v>
      </c>
      <c r="P7" s="53">
        <f t="shared" ref="P7:P51" si="5">L7+M7-O7</f>
        <v>104.39500000000001</v>
      </c>
      <c r="Q7" s="11"/>
      <c r="R7" s="11"/>
      <c r="S7" s="11"/>
      <c r="T7" s="72" t="s">
        <v>30</v>
      </c>
      <c r="U7" s="23">
        <v>15</v>
      </c>
    </row>
    <row r="8" spans="1:21" s="29" customFormat="1" ht="18.75">
      <c r="A8" s="9">
        <v>0</v>
      </c>
      <c r="B8" s="9">
        <v>4</v>
      </c>
      <c r="C8" s="8"/>
      <c r="D8" s="45" t="s">
        <v>36</v>
      </c>
      <c r="E8" s="36"/>
      <c r="F8" s="10">
        <v>3</v>
      </c>
      <c r="G8" s="10">
        <v>229</v>
      </c>
      <c r="H8" s="69" t="s">
        <v>32</v>
      </c>
      <c r="I8" s="53">
        <f t="shared" si="0"/>
        <v>10.5</v>
      </c>
      <c r="J8" s="50">
        <f t="shared" si="4"/>
        <v>6.87</v>
      </c>
      <c r="K8" s="10">
        <v>0</v>
      </c>
      <c r="L8" s="50">
        <f t="shared" si="1"/>
        <v>17.37</v>
      </c>
      <c r="M8" s="52">
        <v>92.60250000000002</v>
      </c>
      <c r="N8" s="59">
        <f t="shared" si="2"/>
        <v>109.97250000000003</v>
      </c>
      <c r="O8" s="17">
        <f t="shared" si="3"/>
        <v>5</v>
      </c>
      <c r="P8" s="53">
        <f t="shared" si="5"/>
        <v>104.97250000000003</v>
      </c>
      <c r="Q8" s="11"/>
      <c r="R8" s="11"/>
      <c r="S8" s="11"/>
      <c r="T8" s="73" t="s">
        <v>31</v>
      </c>
      <c r="U8" s="23">
        <v>9</v>
      </c>
    </row>
    <row r="9" spans="1:21" s="29" customFormat="1" ht="18.75">
      <c r="A9" s="9">
        <v>0</v>
      </c>
      <c r="B9" s="9">
        <v>5</v>
      </c>
      <c r="C9" s="8"/>
      <c r="D9" s="45" t="s">
        <v>37</v>
      </c>
      <c r="E9" s="32"/>
      <c r="F9" s="10">
        <v>4</v>
      </c>
      <c r="G9" s="10">
        <v>217</v>
      </c>
      <c r="H9" s="72" t="s">
        <v>30</v>
      </c>
      <c r="I9" s="53">
        <f t="shared" si="0"/>
        <v>15</v>
      </c>
      <c r="J9" s="50">
        <f t="shared" si="4"/>
        <v>6.51</v>
      </c>
      <c r="K9" s="10">
        <v>0</v>
      </c>
      <c r="L9" s="50">
        <f t="shared" si="1"/>
        <v>21.509999999999998</v>
      </c>
      <c r="M9" s="52">
        <v>94.059999999999974</v>
      </c>
      <c r="N9" s="59">
        <f t="shared" si="2"/>
        <v>115.56999999999996</v>
      </c>
      <c r="O9" s="17">
        <f t="shared" si="3"/>
        <v>15</v>
      </c>
      <c r="P9" s="53">
        <f t="shared" si="5"/>
        <v>100.56999999999996</v>
      </c>
      <c r="Q9" s="11"/>
      <c r="R9" s="11"/>
      <c r="S9" s="25"/>
      <c r="T9" s="69" t="s">
        <v>32</v>
      </c>
      <c r="U9" s="23">
        <v>5</v>
      </c>
    </row>
    <row r="10" spans="1:21" s="29" customFormat="1" ht="18.75">
      <c r="A10" s="9">
        <v>0</v>
      </c>
      <c r="B10" s="9">
        <v>6</v>
      </c>
      <c r="C10" s="8"/>
      <c r="D10" s="45" t="s">
        <v>38</v>
      </c>
      <c r="E10" s="32"/>
      <c r="F10" s="10">
        <v>2</v>
      </c>
      <c r="G10" s="10">
        <v>224</v>
      </c>
      <c r="H10" s="69" t="s">
        <v>32</v>
      </c>
      <c r="I10" s="53">
        <f t="shared" si="0"/>
        <v>6</v>
      </c>
      <c r="J10" s="50">
        <f t="shared" si="4"/>
        <v>6.72</v>
      </c>
      <c r="K10" s="10">
        <v>0</v>
      </c>
      <c r="L10" s="50">
        <f t="shared" si="1"/>
        <v>12.719999999999999</v>
      </c>
      <c r="M10" s="52">
        <v>96.52000000000001</v>
      </c>
      <c r="N10" s="59">
        <f t="shared" si="2"/>
        <v>109.24000000000001</v>
      </c>
      <c r="O10" s="17">
        <f t="shared" si="3"/>
        <v>5</v>
      </c>
      <c r="P10" s="53">
        <f t="shared" si="5"/>
        <v>104.24000000000001</v>
      </c>
      <c r="Q10" s="11"/>
      <c r="R10" s="11"/>
      <c r="S10" s="16"/>
      <c r="T10" s="2" t="s">
        <v>23</v>
      </c>
      <c r="U10" s="2">
        <v>0</v>
      </c>
    </row>
    <row r="11" spans="1:21" s="29" customFormat="1" ht="18.75">
      <c r="A11" s="9">
        <v>0</v>
      </c>
      <c r="B11" s="9">
        <v>7</v>
      </c>
      <c r="C11" s="8"/>
      <c r="D11" s="45" t="s">
        <v>39</v>
      </c>
      <c r="E11" s="32"/>
      <c r="F11" s="10">
        <v>3</v>
      </c>
      <c r="G11" s="10">
        <v>226</v>
      </c>
      <c r="H11" s="69" t="s">
        <v>32</v>
      </c>
      <c r="I11" s="53">
        <f t="shared" si="0"/>
        <v>10.5</v>
      </c>
      <c r="J11" s="50">
        <f t="shared" si="4"/>
        <v>6.7799999999999994</v>
      </c>
      <c r="K11" s="10">
        <v>0</v>
      </c>
      <c r="L11" s="50">
        <f t="shared" si="1"/>
        <v>17.28</v>
      </c>
      <c r="M11" s="52">
        <v>91.940000000000012</v>
      </c>
      <c r="N11" s="59">
        <f t="shared" si="2"/>
        <v>109.22000000000001</v>
      </c>
      <c r="O11" s="17">
        <f t="shared" si="3"/>
        <v>5</v>
      </c>
      <c r="P11" s="53">
        <f t="shared" si="5"/>
        <v>104.22000000000001</v>
      </c>
      <c r="Q11" s="11"/>
      <c r="R11" s="11"/>
      <c r="S11" s="26"/>
      <c r="T11" s="74" t="s">
        <v>79</v>
      </c>
      <c r="U11" s="75">
        <v>3</v>
      </c>
    </row>
    <row r="12" spans="1:21" s="29" customFormat="1" ht="18.75">
      <c r="A12" s="9">
        <v>0</v>
      </c>
      <c r="B12" s="9">
        <v>8</v>
      </c>
      <c r="C12" s="8"/>
      <c r="D12" s="45" t="s">
        <v>40</v>
      </c>
      <c r="E12" s="32"/>
      <c r="F12" s="10">
        <v>3</v>
      </c>
      <c r="G12" s="10">
        <v>214</v>
      </c>
      <c r="H12" s="73" t="s">
        <v>31</v>
      </c>
      <c r="I12" s="53">
        <f t="shared" si="0"/>
        <v>10.5</v>
      </c>
      <c r="J12" s="50">
        <f t="shared" si="4"/>
        <v>6.42</v>
      </c>
      <c r="K12" s="10">
        <v>0</v>
      </c>
      <c r="L12" s="50">
        <f t="shared" si="1"/>
        <v>16.920000000000002</v>
      </c>
      <c r="M12" s="52">
        <v>96.705000000000013</v>
      </c>
      <c r="N12" s="59">
        <f t="shared" si="2"/>
        <v>113.62500000000001</v>
      </c>
      <c r="O12" s="17">
        <f t="shared" si="3"/>
        <v>9</v>
      </c>
      <c r="P12" s="53">
        <f t="shared" si="5"/>
        <v>104.62500000000001</v>
      </c>
      <c r="Q12" s="11"/>
      <c r="R12" s="11"/>
      <c r="S12" s="26"/>
      <c r="T12" s="74" t="s">
        <v>80</v>
      </c>
      <c r="U12" s="74">
        <v>1.5</v>
      </c>
    </row>
    <row r="13" spans="1:21" s="29" customFormat="1" ht="18.75">
      <c r="A13" s="9">
        <v>0</v>
      </c>
      <c r="B13" s="9">
        <v>9</v>
      </c>
      <c r="C13" s="8"/>
      <c r="D13" s="45" t="s">
        <v>41</v>
      </c>
      <c r="E13" s="36"/>
      <c r="F13" s="10">
        <v>2</v>
      </c>
      <c r="G13" s="10">
        <v>209</v>
      </c>
      <c r="H13" s="69" t="s">
        <v>32</v>
      </c>
      <c r="I13" s="53">
        <f t="shared" si="0"/>
        <v>6</v>
      </c>
      <c r="J13" s="50">
        <f t="shared" si="4"/>
        <v>6.27</v>
      </c>
      <c r="K13" s="10">
        <v>0</v>
      </c>
      <c r="L13" s="50">
        <f t="shared" si="1"/>
        <v>12.27</v>
      </c>
      <c r="M13" s="52">
        <v>94.032499999999999</v>
      </c>
      <c r="N13" s="59">
        <f t="shared" si="2"/>
        <v>106.30249999999999</v>
      </c>
      <c r="O13" s="17">
        <f t="shared" si="3"/>
        <v>5</v>
      </c>
      <c r="P13" s="53">
        <f t="shared" si="5"/>
        <v>101.30249999999999</v>
      </c>
      <c r="Q13" s="11"/>
      <c r="R13" s="11"/>
      <c r="S13" s="25"/>
      <c r="T13" s="76" t="s">
        <v>24</v>
      </c>
      <c r="U13" s="2">
        <v>1</v>
      </c>
    </row>
    <row r="14" spans="1:21" s="29" customFormat="1" ht="18.75">
      <c r="A14" s="9">
        <v>0</v>
      </c>
      <c r="B14" s="9">
        <v>10</v>
      </c>
      <c r="C14" s="8"/>
      <c r="D14" s="45" t="s">
        <v>42</v>
      </c>
      <c r="E14" s="33"/>
      <c r="F14" s="10">
        <v>4</v>
      </c>
      <c r="G14" s="10">
        <v>208</v>
      </c>
      <c r="H14" s="72" t="s">
        <v>30</v>
      </c>
      <c r="I14" s="53">
        <f t="shared" si="0"/>
        <v>15</v>
      </c>
      <c r="J14" s="50">
        <f t="shared" si="4"/>
        <v>6.24</v>
      </c>
      <c r="K14" s="10">
        <v>0</v>
      </c>
      <c r="L14" s="50">
        <f t="shared" si="1"/>
        <v>21.240000000000002</v>
      </c>
      <c r="M14" s="52">
        <v>94.12</v>
      </c>
      <c r="N14" s="59">
        <f t="shared" si="2"/>
        <v>115.36000000000001</v>
      </c>
      <c r="O14" s="17">
        <f t="shared" si="3"/>
        <v>15</v>
      </c>
      <c r="P14" s="53">
        <f t="shared" si="5"/>
        <v>100.36000000000001</v>
      </c>
      <c r="Q14" s="11"/>
      <c r="R14" s="11"/>
      <c r="S14" s="25"/>
      <c r="T14" s="77" t="s">
        <v>78</v>
      </c>
      <c r="U14" s="2">
        <v>0.03</v>
      </c>
    </row>
    <row r="15" spans="1:21" s="29" customFormat="1" ht="18.75">
      <c r="A15" s="9">
        <v>0</v>
      </c>
      <c r="B15" s="9">
        <v>11</v>
      </c>
      <c r="C15" s="8"/>
      <c r="D15" s="45" t="s">
        <v>43</v>
      </c>
      <c r="E15" s="32"/>
      <c r="F15" s="10">
        <v>3</v>
      </c>
      <c r="G15" s="10">
        <v>207</v>
      </c>
      <c r="H15" s="73" t="s">
        <v>31</v>
      </c>
      <c r="I15" s="53">
        <f t="shared" si="0"/>
        <v>10.5</v>
      </c>
      <c r="J15" s="50">
        <f t="shared" si="4"/>
        <v>6.21</v>
      </c>
      <c r="K15" s="10">
        <v>0</v>
      </c>
      <c r="L15" s="50">
        <f t="shared" si="1"/>
        <v>16.71</v>
      </c>
      <c r="M15" s="52">
        <v>95.317500000000024</v>
      </c>
      <c r="N15" s="59">
        <f t="shared" si="2"/>
        <v>112.02750000000003</v>
      </c>
      <c r="O15" s="17">
        <f t="shared" si="3"/>
        <v>9</v>
      </c>
      <c r="P15" s="53">
        <f t="shared" si="5"/>
        <v>103.02750000000003</v>
      </c>
      <c r="Q15" s="4"/>
      <c r="R15" s="4"/>
      <c r="S15" s="4"/>
      <c r="T15" s="2" t="s">
        <v>25</v>
      </c>
      <c r="U15" s="2">
        <v>2022</v>
      </c>
    </row>
    <row r="16" spans="1:21" s="29" customFormat="1" ht="18.75">
      <c r="A16" s="9">
        <v>0</v>
      </c>
      <c r="B16" s="9">
        <v>12</v>
      </c>
      <c r="C16" s="8"/>
      <c r="D16" s="45" t="s">
        <v>44</v>
      </c>
      <c r="E16" s="32"/>
      <c r="F16" s="10">
        <v>4</v>
      </c>
      <c r="G16" s="10">
        <v>201</v>
      </c>
      <c r="H16" s="72" t="s">
        <v>30</v>
      </c>
      <c r="I16" s="53">
        <f t="shared" si="0"/>
        <v>15</v>
      </c>
      <c r="J16" s="50">
        <f t="shared" si="4"/>
        <v>6.0299999999999994</v>
      </c>
      <c r="K16" s="10">
        <v>0</v>
      </c>
      <c r="L16" s="50">
        <f t="shared" si="1"/>
        <v>21.03</v>
      </c>
      <c r="M16" s="52">
        <v>93.859999999999985</v>
      </c>
      <c r="N16" s="59">
        <f t="shared" si="2"/>
        <v>114.88999999999999</v>
      </c>
      <c r="O16" s="17">
        <f t="shared" si="3"/>
        <v>15</v>
      </c>
      <c r="P16" s="53">
        <f t="shared" si="5"/>
        <v>99.889999999999986</v>
      </c>
      <c r="Q16" s="4"/>
      <c r="R16" s="4"/>
      <c r="S16" s="4"/>
      <c r="T16" s="2" t="s">
        <v>26</v>
      </c>
      <c r="U16" s="2">
        <v>4</v>
      </c>
    </row>
    <row r="17" spans="1:21" s="29" customFormat="1" ht="18.75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0"/>
        <v>0</v>
      </c>
      <c r="J17" s="50">
        <f t="shared" si="4"/>
        <v>5.7</v>
      </c>
      <c r="K17" s="10">
        <v>0</v>
      </c>
      <c r="L17" s="50">
        <f t="shared" si="1"/>
        <v>5.7</v>
      </c>
      <c r="M17" s="52">
        <v>103.19</v>
      </c>
      <c r="N17" s="59">
        <f t="shared" si="2"/>
        <v>108.89</v>
      </c>
      <c r="O17" s="17">
        <f t="shared" si="3"/>
        <v>0</v>
      </c>
      <c r="P17" s="53">
        <f t="shared" si="5"/>
        <v>108.89</v>
      </c>
      <c r="Q17" s="4"/>
      <c r="R17" s="4"/>
      <c r="S17" s="4"/>
      <c r="T17" s="2" t="s">
        <v>27</v>
      </c>
      <c r="U17" s="2">
        <v>30</v>
      </c>
    </row>
    <row r="18" spans="1:21" s="29" customFormat="1" ht="18.75">
      <c r="A18" s="9">
        <v>0</v>
      </c>
      <c r="B18" s="9">
        <v>14</v>
      </c>
      <c r="C18" s="8"/>
      <c r="D18" s="45" t="s">
        <v>46</v>
      </c>
      <c r="E18" s="32"/>
      <c r="F18" s="10">
        <v>4</v>
      </c>
      <c r="G18" s="10">
        <v>199</v>
      </c>
      <c r="H18" s="73" t="s">
        <v>31</v>
      </c>
      <c r="I18" s="53">
        <f t="shared" si="0"/>
        <v>15</v>
      </c>
      <c r="J18" s="50">
        <f t="shared" si="4"/>
        <v>5.97</v>
      </c>
      <c r="K18" s="10">
        <v>0</v>
      </c>
      <c r="L18" s="50">
        <f t="shared" si="1"/>
        <v>20.97</v>
      </c>
      <c r="M18" s="52">
        <v>92.199999999999989</v>
      </c>
      <c r="N18" s="59">
        <f t="shared" si="2"/>
        <v>113.16999999999999</v>
      </c>
      <c r="O18" s="17">
        <f t="shared" si="3"/>
        <v>9</v>
      </c>
      <c r="P18" s="53">
        <f t="shared" si="5"/>
        <v>104.16999999999999</v>
      </c>
      <c r="Q18" s="4"/>
      <c r="R18" s="4"/>
      <c r="S18" s="4"/>
      <c r="T18" s="37"/>
    </row>
    <row r="19" spans="1:21" s="29" customFormat="1" ht="18.75">
      <c r="A19" s="9">
        <v>0</v>
      </c>
      <c r="B19" s="9">
        <v>15</v>
      </c>
      <c r="C19" s="8"/>
      <c r="D19" s="45" t="s">
        <v>47</v>
      </c>
      <c r="E19" s="32"/>
      <c r="F19" s="10">
        <v>4</v>
      </c>
      <c r="G19" s="10">
        <v>185</v>
      </c>
      <c r="H19" s="72" t="s">
        <v>30</v>
      </c>
      <c r="I19" s="53">
        <f t="shared" si="0"/>
        <v>15</v>
      </c>
      <c r="J19" s="50">
        <f t="shared" si="4"/>
        <v>5.55</v>
      </c>
      <c r="K19" s="10">
        <v>0</v>
      </c>
      <c r="L19" s="50">
        <f t="shared" si="1"/>
        <v>20.55</v>
      </c>
      <c r="M19" s="52">
        <v>95.299999999999983</v>
      </c>
      <c r="N19" s="59">
        <f t="shared" si="2"/>
        <v>115.84999999999998</v>
      </c>
      <c r="O19" s="17">
        <f t="shared" si="3"/>
        <v>15</v>
      </c>
      <c r="P19" s="53">
        <f t="shared" si="5"/>
        <v>100.84999999999998</v>
      </c>
      <c r="Q19" s="4"/>
      <c r="R19" s="4"/>
      <c r="S19" s="4"/>
      <c r="T19" s="1"/>
      <c r="U19" s="1"/>
    </row>
    <row r="20" spans="1:21" s="29" customFormat="1" ht="18.75">
      <c r="A20" s="9">
        <v>0</v>
      </c>
      <c r="B20" s="9">
        <v>16</v>
      </c>
      <c r="C20" s="8"/>
      <c r="D20" s="45" t="s">
        <v>48</v>
      </c>
      <c r="E20" s="34"/>
      <c r="F20" s="10">
        <v>3</v>
      </c>
      <c r="G20" s="10">
        <v>195</v>
      </c>
      <c r="H20" s="69" t="s">
        <v>32</v>
      </c>
      <c r="I20" s="53">
        <f t="shared" si="0"/>
        <v>10.5</v>
      </c>
      <c r="J20" s="50">
        <f t="shared" si="4"/>
        <v>5.85</v>
      </c>
      <c r="K20" s="10">
        <v>0</v>
      </c>
      <c r="L20" s="50">
        <f t="shared" si="1"/>
        <v>16.350000000000001</v>
      </c>
      <c r="M20" s="52">
        <v>95.089999999999989</v>
      </c>
      <c r="N20" s="59">
        <f t="shared" si="2"/>
        <v>111.44</v>
      </c>
      <c r="O20" s="17">
        <f t="shared" si="3"/>
        <v>5</v>
      </c>
      <c r="P20" s="53">
        <f t="shared" si="5"/>
        <v>106.44</v>
      </c>
      <c r="Q20" s="4"/>
      <c r="R20" s="4"/>
      <c r="S20" s="4"/>
      <c r="T20" s="1"/>
      <c r="U20" s="1"/>
    </row>
    <row r="21" spans="1:21" s="29" customFormat="1" ht="18.75">
      <c r="A21" s="9">
        <v>0</v>
      </c>
      <c r="B21" s="9">
        <v>17</v>
      </c>
      <c r="C21" s="8"/>
      <c r="D21" s="45" t="s">
        <v>49</v>
      </c>
      <c r="E21" s="32"/>
      <c r="F21" s="10">
        <v>3</v>
      </c>
      <c r="G21" s="10">
        <v>189</v>
      </c>
      <c r="H21" s="73" t="s">
        <v>31</v>
      </c>
      <c r="I21" s="53">
        <f t="shared" si="0"/>
        <v>10.5</v>
      </c>
      <c r="J21" s="50">
        <f t="shared" si="4"/>
        <v>5.67</v>
      </c>
      <c r="K21" s="10">
        <v>0</v>
      </c>
      <c r="L21" s="50">
        <f t="shared" si="1"/>
        <v>16.170000000000002</v>
      </c>
      <c r="M21" s="52">
        <v>97.802500000000009</v>
      </c>
      <c r="N21" s="59">
        <f t="shared" si="2"/>
        <v>113.97250000000001</v>
      </c>
      <c r="O21" s="17">
        <f t="shared" si="3"/>
        <v>9</v>
      </c>
      <c r="P21" s="53">
        <f t="shared" si="5"/>
        <v>104.97250000000001</v>
      </c>
      <c r="Q21" s="4"/>
      <c r="R21" s="4"/>
      <c r="S21" s="4"/>
      <c r="T21" s="1"/>
      <c r="U21" s="1"/>
    </row>
    <row r="22" spans="1:21" s="29" customFormat="1" ht="18.75">
      <c r="A22" s="9">
        <v>0</v>
      </c>
      <c r="B22" s="9">
        <v>18</v>
      </c>
      <c r="C22" s="8"/>
      <c r="D22" s="45" t="s">
        <v>50</v>
      </c>
      <c r="E22" s="32"/>
      <c r="F22" s="10">
        <v>4</v>
      </c>
      <c r="G22" s="10">
        <v>189</v>
      </c>
      <c r="H22" s="69" t="s">
        <v>32</v>
      </c>
      <c r="I22" s="53">
        <f t="shared" si="0"/>
        <v>15</v>
      </c>
      <c r="J22" s="50">
        <f t="shared" si="4"/>
        <v>5.67</v>
      </c>
      <c r="K22" s="10">
        <v>0</v>
      </c>
      <c r="L22" s="50">
        <f t="shared" si="1"/>
        <v>20.67</v>
      </c>
      <c r="M22" s="52">
        <v>83.294999999999987</v>
      </c>
      <c r="N22" s="59">
        <f t="shared" si="2"/>
        <v>103.96499999999999</v>
      </c>
      <c r="O22" s="17">
        <f t="shared" si="3"/>
        <v>5</v>
      </c>
      <c r="P22" s="53">
        <f t="shared" si="5"/>
        <v>98.964999999999989</v>
      </c>
      <c r="Q22" s="4"/>
      <c r="R22" s="4"/>
      <c r="S22" s="4"/>
      <c r="T22" s="1"/>
      <c r="U22" s="1"/>
    </row>
    <row r="23" spans="1:21" s="29" customFormat="1" ht="18.75">
      <c r="A23" s="9">
        <v>0</v>
      </c>
      <c r="B23" s="9">
        <v>19</v>
      </c>
      <c r="C23" s="8"/>
      <c r="D23" s="45" t="s">
        <v>51</v>
      </c>
      <c r="E23" s="34"/>
      <c r="F23" s="10">
        <v>3</v>
      </c>
      <c r="G23" s="10">
        <v>177</v>
      </c>
      <c r="H23" s="73" t="s">
        <v>31</v>
      </c>
      <c r="I23" s="53">
        <f t="shared" si="0"/>
        <v>10.5</v>
      </c>
      <c r="J23" s="50">
        <f t="shared" si="4"/>
        <v>5.31</v>
      </c>
      <c r="K23" s="10">
        <v>0</v>
      </c>
      <c r="L23" s="50">
        <f t="shared" si="1"/>
        <v>15.809999999999999</v>
      </c>
      <c r="M23" s="52">
        <v>96.72</v>
      </c>
      <c r="N23" s="59">
        <f t="shared" si="2"/>
        <v>112.53</v>
      </c>
      <c r="O23" s="17">
        <f t="shared" si="3"/>
        <v>9</v>
      </c>
      <c r="P23" s="53">
        <f t="shared" si="5"/>
        <v>103.53</v>
      </c>
      <c r="Q23" s="4"/>
      <c r="R23" s="4"/>
      <c r="S23" s="4"/>
      <c r="T23" s="1"/>
      <c r="U23" s="1"/>
    </row>
    <row r="24" spans="1:21" s="29" customFormat="1" ht="18.75">
      <c r="A24" s="9">
        <v>0</v>
      </c>
      <c r="B24" s="9">
        <v>20</v>
      </c>
      <c r="C24" s="8"/>
      <c r="D24" s="45" t="s">
        <v>52</v>
      </c>
      <c r="E24" s="34"/>
      <c r="F24" s="10">
        <v>4</v>
      </c>
      <c r="G24" s="10">
        <v>182</v>
      </c>
      <c r="H24" s="73" t="s">
        <v>31</v>
      </c>
      <c r="I24" s="53">
        <f t="shared" si="0"/>
        <v>15</v>
      </c>
      <c r="J24" s="50">
        <f t="shared" si="4"/>
        <v>5.46</v>
      </c>
      <c r="K24" s="10">
        <v>0</v>
      </c>
      <c r="L24" s="50">
        <f t="shared" si="1"/>
        <v>20.46</v>
      </c>
      <c r="M24" s="52">
        <v>91.549999999999983</v>
      </c>
      <c r="N24" s="59">
        <f t="shared" si="2"/>
        <v>112.00999999999999</v>
      </c>
      <c r="O24" s="17">
        <f t="shared" si="3"/>
        <v>9</v>
      </c>
      <c r="P24" s="53">
        <f t="shared" si="5"/>
        <v>103.00999999999999</v>
      </c>
      <c r="Q24" s="4"/>
      <c r="R24" s="4"/>
      <c r="S24" s="4"/>
      <c r="T24" s="1"/>
      <c r="U24" s="1"/>
    </row>
    <row r="25" spans="1:21" s="29" customFormat="1" ht="18.75">
      <c r="A25" s="9">
        <v>0</v>
      </c>
      <c r="B25" s="9">
        <v>21</v>
      </c>
      <c r="C25" s="8"/>
      <c r="D25" s="45" t="s">
        <v>53</v>
      </c>
      <c r="E25" s="34"/>
      <c r="F25" s="10">
        <v>3</v>
      </c>
      <c r="G25" s="10">
        <v>176</v>
      </c>
      <c r="H25" s="69" t="s">
        <v>32</v>
      </c>
      <c r="I25" s="53">
        <f t="shared" si="0"/>
        <v>10.5</v>
      </c>
      <c r="J25" s="50">
        <f t="shared" si="4"/>
        <v>5.2799999999999994</v>
      </c>
      <c r="K25" s="10">
        <v>0</v>
      </c>
      <c r="L25" s="50">
        <f t="shared" si="1"/>
        <v>15.78</v>
      </c>
      <c r="M25" s="52">
        <v>92.24</v>
      </c>
      <c r="N25" s="59">
        <f t="shared" si="2"/>
        <v>108.02</v>
      </c>
      <c r="O25" s="17">
        <f t="shared" si="3"/>
        <v>5</v>
      </c>
      <c r="P25" s="53">
        <f t="shared" si="5"/>
        <v>103.02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4</v>
      </c>
      <c r="G26" s="10">
        <v>174</v>
      </c>
      <c r="H26" s="72" t="s">
        <v>30</v>
      </c>
      <c r="I26" s="53">
        <f t="shared" si="0"/>
        <v>15</v>
      </c>
      <c r="J26" s="50">
        <f t="shared" si="4"/>
        <v>5.22</v>
      </c>
      <c r="K26" s="10">
        <v>0</v>
      </c>
      <c r="L26" s="50">
        <f t="shared" si="1"/>
        <v>20.22</v>
      </c>
      <c r="M26" s="52">
        <v>94.110000000000014</v>
      </c>
      <c r="N26" s="59">
        <f t="shared" si="2"/>
        <v>114.33000000000001</v>
      </c>
      <c r="O26" s="17">
        <f t="shared" si="3"/>
        <v>15</v>
      </c>
      <c r="P26" s="53">
        <f t="shared" si="5"/>
        <v>99.330000000000013</v>
      </c>
      <c r="Q26" s="4"/>
      <c r="R26" s="4"/>
      <c r="S26" s="4"/>
      <c r="T26" s="1"/>
      <c r="U26" s="1"/>
    </row>
    <row r="27" spans="1:21" s="29" customFormat="1" ht="18.75">
      <c r="A27" s="9">
        <v>0</v>
      </c>
      <c r="B27" s="9">
        <v>23</v>
      </c>
      <c r="C27" s="8"/>
      <c r="D27" s="45" t="s">
        <v>55</v>
      </c>
      <c r="E27" s="34"/>
      <c r="F27" s="10">
        <v>0</v>
      </c>
      <c r="G27" s="10">
        <v>164</v>
      </c>
      <c r="H27" s="83" t="s">
        <v>23</v>
      </c>
      <c r="I27" s="53">
        <f t="shared" si="0"/>
        <v>0</v>
      </c>
      <c r="J27" s="50">
        <f t="shared" si="4"/>
        <v>4.92</v>
      </c>
      <c r="K27" s="10">
        <v>0</v>
      </c>
      <c r="L27" s="50">
        <f t="shared" si="1"/>
        <v>4.92</v>
      </c>
      <c r="M27" s="52">
        <v>37.857500000000002</v>
      </c>
      <c r="N27" s="59">
        <f t="shared" si="2"/>
        <v>42.777500000000003</v>
      </c>
      <c r="O27" s="17">
        <f t="shared" si="3"/>
        <v>0</v>
      </c>
      <c r="P27" s="53">
        <f t="shared" si="5"/>
        <v>42.777500000000003</v>
      </c>
      <c r="Q27" s="4"/>
      <c r="R27" s="4"/>
      <c r="S27" s="4"/>
      <c r="T27" s="1"/>
      <c r="U27" s="1"/>
    </row>
    <row r="28" spans="1:21" s="29" customFormat="1" ht="18.75">
      <c r="A28" s="9">
        <v>0</v>
      </c>
      <c r="B28" s="9">
        <v>24</v>
      </c>
      <c r="C28" s="8"/>
      <c r="D28" s="45" t="s">
        <v>56</v>
      </c>
      <c r="E28" s="34"/>
      <c r="F28" s="10">
        <v>4</v>
      </c>
      <c r="G28" s="10">
        <v>165</v>
      </c>
      <c r="H28" s="69" t="s">
        <v>32</v>
      </c>
      <c r="I28" s="53">
        <f t="shared" si="0"/>
        <v>15</v>
      </c>
      <c r="J28" s="50">
        <f t="shared" si="4"/>
        <v>4.95</v>
      </c>
      <c r="K28" s="10">
        <v>0</v>
      </c>
      <c r="L28" s="50">
        <f t="shared" si="1"/>
        <v>19.95</v>
      </c>
      <c r="M28" s="52">
        <v>88.940000000000012</v>
      </c>
      <c r="N28" s="59">
        <f t="shared" si="2"/>
        <v>108.89000000000001</v>
      </c>
      <c r="O28" s="17">
        <f t="shared" si="3"/>
        <v>5</v>
      </c>
      <c r="P28" s="53">
        <f t="shared" si="5"/>
        <v>103.89000000000001</v>
      </c>
      <c r="Q28" s="4"/>
      <c r="R28" s="4"/>
      <c r="S28" s="4"/>
      <c r="T28" s="1"/>
      <c r="U28" s="1"/>
    </row>
    <row r="29" spans="1:21" s="29" customFormat="1" ht="18.75">
      <c r="A29" s="9">
        <v>0</v>
      </c>
      <c r="B29" s="9">
        <v>25</v>
      </c>
      <c r="C29" s="8"/>
      <c r="D29" s="45" t="s">
        <v>57</v>
      </c>
      <c r="E29" s="34"/>
      <c r="F29" s="10">
        <v>4</v>
      </c>
      <c r="G29" s="10">
        <v>159</v>
      </c>
      <c r="H29" s="72" t="s">
        <v>30</v>
      </c>
      <c r="I29" s="53">
        <f t="shared" si="0"/>
        <v>15</v>
      </c>
      <c r="J29" s="50">
        <f t="shared" si="4"/>
        <v>4.7699999999999996</v>
      </c>
      <c r="K29" s="10">
        <v>0</v>
      </c>
      <c r="L29" s="50">
        <f t="shared" si="1"/>
        <v>19.77</v>
      </c>
      <c r="M29" s="52">
        <v>96.200000000000031</v>
      </c>
      <c r="N29" s="59">
        <f t="shared" si="2"/>
        <v>115.97000000000003</v>
      </c>
      <c r="O29" s="17">
        <f t="shared" si="3"/>
        <v>15</v>
      </c>
      <c r="P29" s="53">
        <f t="shared" si="5"/>
        <v>100.97000000000003</v>
      </c>
      <c r="Q29" s="4"/>
      <c r="R29" s="4"/>
      <c r="S29" s="4"/>
      <c r="T29" s="1"/>
      <c r="U29" s="1"/>
    </row>
    <row r="30" spans="1:21" s="29" customFormat="1" ht="18.75">
      <c r="A30" s="9">
        <v>0</v>
      </c>
      <c r="B30" s="9">
        <v>26</v>
      </c>
      <c r="C30" s="8"/>
      <c r="D30" s="45" t="s">
        <v>58</v>
      </c>
      <c r="E30" s="34"/>
      <c r="F30" s="10">
        <v>3</v>
      </c>
      <c r="G30" s="10">
        <v>153</v>
      </c>
      <c r="H30" s="69" t="s">
        <v>32</v>
      </c>
      <c r="I30" s="53">
        <f t="shared" si="0"/>
        <v>10.5</v>
      </c>
      <c r="J30" s="50">
        <f t="shared" si="4"/>
        <v>4.59</v>
      </c>
      <c r="K30" s="10">
        <v>0</v>
      </c>
      <c r="L30" s="50">
        <f t="shared" si="1"/>
        <v>15.09</v>
      </c>
      <c r="M30" s="52">
        <v>94.719999999999985</v>
      </c>
      <c r="N30" s="59">
        <f t="shared" si="2"/>
        <v>109.80999999999999</v>
      </c>
      <c r="O30" s="17">
        <f t="shared" si="3"/>
        <v>5</v>
      </c>
      <c r="P30" s="53">
        <f t="shared" si="5"/>
        <v>104.80999999999999</v>
      </c>
      <c r="Q30" s="4"/>
      <c r="R30" s="4"/>
      <c r="S30" s="4"/>
      <c r="T30" s="1"/>
      <c r="U30" s="1"/>
    </row>
    <row r="31" spans="1:21" s="29" customFormat="1" ht="18.75">
      <c r="A31" s="9">
        <v>0</v>
      </c>
      <c r="B31" s="9">
        <v>27</v>
      </c>
      <c r="C31" s="8"/>
      <c r="D31" s="47" t="s">
        <v>59</v>
      </c>
      <c r="E31" s="34"/>
      <c r="F31" s="10">
        <v>4</v>
      </c>
      <c r="G31" s="10">
        <v>157</v>
      </c>
      <c r="H31" s="72" t="s">
        <v>30</v>
      </c>
      <c r="I31" s="53">
        <f t="shared" si="0"/>
        <v>15</v>
      </c>
      <c r="J31" s="50">
        <f t="shared" si="4"/>
        <v>4.71</v>
      </c>
      <c r="K31" s="10">
        <v>0</v>
      </c>
      <c r="L31" s="50">
        <f t="shared" si="1"/>
        <v>19.71</v>
      </c>
      <c r="M31" s="52">
        <v>96.217500000000001</v>
      </c>
      <c r="N31" s="59">
        <f t="shared" si="2"/>
        <v>115.92750000000001</v>
      </c>
      <c r="O31" s="17">
        <f t="shared" si="3"/>
        <v>15</v>
      </c>
      <c r="P31" s="53">
        <f t="shared" si="5"/>
        <v>100.92750000000001</v>
      </c>
      <c r="Q31" s="4"/>
      <c r="R31" s="4"/>
      <c r="S31" s="4"/>
      <c r="T31" s="1"/>
      <c r="U31" s="1"/>
    </row>
    <row r="32" spans="1:21" s="29" customFormat="1" ht="18.75">
      <c r="A32" s="9">
        <v>0</v>
      </c>
      <c r="B32" s="9">
        <v>28</v>
      </c>
      <c r="C32" s="8"/>
      <c r="D32" s="49" t="s">
        <v>60</v>
      </c>
      <c r="E32" s="34"/>
      <c r="F32" s="10">
        <v>2</v>
      </c>
      <c r="G32" s="10">
        <v>146</v>
      </c>
      <c r="H32" s="69" t="s">
        <v>32</v>
      </c>
      <c r="I32" s="53">
        <f t="shared" si="0"/>
        <v>6</v>
      </c>
      <c r="J32" s="50">
        <f t="shared" si="4"/>
        <v>4.38</v>
      </c>
      <c r="K32" s="10">
        <v>0</v>
      </c>
      <c r="L32" s="50">
        <f t="shared" si="1"/>
        <v>10.379999999999999</v>
      </c>
      <c r="M32" s="52">
        <v>89.22999999999999</v>
      </c>
      <c r="N32" s="59">
        <f t="shared" si="2"/>
        <v>99.609999999999985</v>
      </c>
      <c r="O32" s="17">
        <f t="shared" si="3"/>
        <v>5</v>
      </c>
      <c r="P32" s="53">
        <f t="shared" si="5"/>
        <v>94.609999999999985</v>
      </c>
      <c r="Q32" s="4"/>
      <c r="R32" s="4"/>
      <c r="S32" s="4"/>
      <c r="T32" s="1"/>
      <c r="U32" s="1"/>
    </row>
    <row r="33" spans="1:21" s="29" customFormat="1" ht="18.75">
      <c r="A33" s="9">
        <v>0</v>
      </c>
      <c r="B33" s="9">
        <v>29</v>
      </c>
      <c r="C33" s="8"/>
      <c r="D33" s="60" t="s">
        <v>61</v>
      </c>
      <c r="E33" s="34"/>
      <c r="F33" s="10">
        <v>4</v>
      </c>
      <c r="G33" s="10">
        <v>144</v>
      </c>
      <c r="H33" s="69" t="s">
        <v>32</v>
      </c>
      <c r="I33" s="53">
        <f t="shared" si="0"/>
        <v>15</v>
      </c>
      <c r="J33" s="50">
        <f t="shared" si="4"/>
        <v>4.32</v>
      </c>
      <c r="K33" s="10">
        <v>0</v>
      </c>
      <c r="L33" s="50">
        <f>SUM(J33+I33+K33)</f>
        <v>19.32</v>
      </c>
      <c r="M33" s="52">
        <v>68.859999999999985</v>
      </c>
      <c r="N33" s="59">
        <f t="shared" si="2"/>
        <v>88.179999999999978</v>
      </c>
      <c r="O33" s="17">
        <f t="shared" si="3"/>
        <v>5</v>
      </c>
      <c r="P33" s="53">
        <f t="shared" si="5"/>
        <v>83.179999999999978</v>
      </c>
      <c r="Q33" s="4"/>
      <c r="R33" s="4"/>
      <c r="S33" s="4"/>
      <c r="T33" s="1"/>
      <c r="U33" s="1"/>
    </row>
    <row r="34" spans="1:21" s="29" customFormat="1" ht="18.75">
      <c r="A34" s="9">
        <v>0</v>
      </c>
      <c r="B34" s="9">
        <v>30</v>
      </c>
      <c r="C34" s="8"/>
      <c r="D34" s="48" t="s">
        <v>62</v>
      </c>
      <c r="E34" s="34"/>
      <c r="F34" s="10">
        <v>2</v>
      </c>
      <c r="G34" s="10">
        <v>136</v>
      </c>
      <c r="H34" s="69" t="s">
        <v>32</v>
      </c>
      <c r="I34" s="53">
        <f t="shared" si="0"/>
        <v>6</v>
      </c>
      <c r="J34" s="50">
        <f t="shared" si="4"/>
        <v>4.08</v>
      </c>
      <c r="K34" s="10">
        <v>0</v>
      </c>
      <c r="L34" s="50">
        <f>SUM(J34+I34+K34)*(1-A34)</f>
        <v>10.08</v>
      </c>
      <c r="M34" s="52">
        <v>86.610000000000014</v>
      </c>
      <c r="N34" s="59">
        <f t="shared" si="2"/>
        <v>96.690000000000012</v>
      </c>
      <c r="O34" s="17">
        <f t="shared" si="3"/>
        <v>5</v>
      </c>
      <c r="P34" s="53">
        <f t="shared" si="5"/>
        <v>91.690000000000012</v>
      </c>
      <c r="Q34" s="4"/>
      <c r="R34" s="4"/>
      <c r="S34" s="4"/>
      <c r="T34" s="1"/>
      <c r="U34" s="1"/>
    </row>
    <row r="35" spans="1:21" s="29" customFormat="1" ht="18.75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0"/>
        <v>0</v>
      </c>
      <c r="J35" s="50">
        <f t="shared" si="4"/>
        <v>3.8699999999999997</v>
      </c>
      <c r="K35" s="10">
        <v>0</v>
      </c>
      <c r="L35" s="50">
        <f>SUM(J35+I35+K35)</f>
        <v>3.8699999999999997</v>
      </c>
      <c r="M35" s="52">
        <v>78.865000000000009</v>
      </c>
      <c r="N35" s="59">
        <f t="shared" si="2"/>
        <v>82.735000000000014</v>
      </c>
      <c r="O35" s="17">
        <f t="shared" si="3"/>
        <v>0</v>
      </c>
      <c r="P35" s="53">
        <f t="shared" si="5"/>
        <v>82.735000000000014</v>
      </c>
      <c r="Q35" s="4"/>
      <c r="R35" s="4"/>
      <c r="S35" s="4"/>
      <c r="T35" s="1"/>
      <c r="U35" s="1"/>
    </row>
    <row r="36" spans="1:21" s="29" customFormat="1" ht="18.75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132</v>
      </c>
      <c r="H36" s="83" t="s">
        <v>23</v>
      </c>
      <c r="I36" s="53">
        <f t="shared" si="0"/>
        <v>0</v>
      </c>
      <c r="J36" s="50">
        <f t="shared" si="4"/>
        <v>3.96</v>
      </c>
      <c r="K36" s="10">
        <v>0</v>
      </c>
      <c r="L36" s="50">
        <f>SUM(J36+I36+K36)*(1-A36)</f>
        <v>3.96</v>
      </c>
      <c r="M36" s="52">
        <v>27.27000000000001</v>
      </c>
      <c r="N36" s="59">
        <f t="shared" si="2"/>
        <v>31.230000000000011</v>
      </c>
      <c r="O36" s="17">
        <f t="shared" si="3"/>
        <v>0</v>
      </c>
      <c r="P36" s="53">
        <f t="shared" si="5"/>
        <v>31.230000000000011</v>
      </c>
      <c r="Q36" s="4"/>
      <c r="R36" s="4"/>
      <c r="S36" s="4"/>
      <c r="T36" s="1"/>
      <c r="U36" s="1"/>
    </row>
    <row r="37" spans="1:21" s="29" customFormat="1" ht="18.75">
      <c r="A37" s="9">
        <v>0</v>
      </c>
      <c r="B37" s="9">
        <v>33</v>
      </c>
      <c r="C37" s="8"/>
      <c r="D37" s="45" t="s">
        <v>65</v>
      </c>
      <c r="E37" s="32"/>
      <c r="F37" s="10">
        <v>3</v>
      </c>
      <c r="G37" s="10">
        <v>125</v>
      </c>
      <c r="H37" s="69" t="s">
        <v>32</v>
      </c>
      <c r="I37" s="53">
        <f t="shared" si="0"/>
        <v>10.5</v>
      </c>
      <c r="J37" s="50">
        <f t="shared" si="4"/>
        <v>3.75</v>
      </c>
      <c r="K37" s="10">
        <v>0</v>
      </c>
      <c r="L37" s="50">
        <f>SUM(J37+I37+K37)</f>
        <v>14.25</v>
      </c>
      <c r="M37" s="52">
        <v>71.47999999999999</v>
      </c>
      <c r="N37" s="59">
        <f t="shared" si="2"/>
        <v>85.72999999999999</v>
      </c>
      <c r="O37" s="17">
        <f t="shared" si="3"/>
        <v>5</v>
      </c>
      <c r="P37" s="53">
        <f t="shared" si="5"/>
        <v>80.72999999999999</v>
      </c>
      <c r="Q37" s="4"/>
      <c r="R37" s="4"/>
      <c r="S37" s="4"/>
      <c r="T37" s="1"/>
      <c r="U37" s="1"/>
    </row>
    <row r="38" spans="1:21" s="29" customFormat="1" ht="18.75">
      <c r="A38" s="9">
        <v>0</v>
      </c>
      <c r="B38" s="9">
        <v>34</v>
      </c>
      <c r="C38" s="8"/>
      <c r="D38" s="45" t="s">
        <v>66</v>
      </c>
      <c r="E38" s="34"/>
      <c r="F38" s="10">
        <v>3</v>
      </c>
      <c r="G38" s="10">
        <v>107</v>
      </c>
      <c r="H38" s="69" t="s">
        <v>32</v>
      </c>
      <c r="I38" s="53">
        <f t="shared" si="0"/>
        <v>10.5</v>
      </c>
      <c r="J38" s="50">
        <f t="shared" si="4"/>
        <v>3.21</v>
      </c>
      <c r="K38" s="10">
        <v>0</v>
      </c>
      <c r="L38" s="50">
        <f>SUM(J38+I38+K38)</f>
        <v>13.71</v>
      </c>
      <c r="M38" s="52">
        <v>86.75</v>
      </c>
      <c r="N38" s="59">
        <f t="shared" si="2"/>
        <v>100.46000000000001</v>
      </c>
      <c r="O38" s="17">
        <f t="shared" si="3"/>
        <v>5</v>
      </c>
      <c r="P38" s="53">
        <f t="shared" si="5"/>
        <v>95.460000000000008</v>
      </c>
      <c r="Q38" s="4"/>
      <c r="R38" s="4"/>
      <c r="S38" s="4"/>
      <c r="T38" s="1"/>
      <c r="U38" s="1"/>
    </row>
    <row r="39" spans="1:21" s="68" customFormat="1" ht="18.75">
      <c r="A39" s="9">
        <v>0</v>
      </c>
      <c r="B39" s="9">
        <v>35</v>
      </c>
      <c r="C39" s="8"/>
      <c r="D39" s="47" t="s">
        <v>67</v>
      </c>
      <c r="E39" s="2"/>
      <c r="F39" s="10">
        <v>3</v>
      </c>
      <c r="G39" s="10">
        <v>109</v>
      </c>
      <c r="H39" s="69" t="s">
        <v>32</v>
      </c>
      <c r="I39" s="53">
        <f t="shared" si="0"/>
        <v>10.5</v>
      </c>
      <c r="J39" s="50">
        <f t="shared" si="4"/>
        <v>3.27</v>
      </c>
      <c r="K39" s="10">
        <v>0</v>
      </c>
      <c r="L39" s="50">
        <f t="shared" ref="L39:L51" si="6">SUM(J39+I39+K39)*(1-A39)</f>
        <v>13.77</v>
      </c>
      <c r="M39" s="52">
        <v>52.730000000000004</v>
      </c>
      <c r="N39" s="59">
        <f t="shared" si="2"/>
        <v>66.5</v>
      </c>
      <c r="O39" s="17">
        <f t="shared" si="3"/>
        <v>5</v>
      </c>
      <c r="P39" s="53">
        <f t="shared" si="5"/>
        <v>61.5</v>
      </c>
      <c r="Q39" s="4"/>
      <c r="R39" s="4"/>
      <c r="S39" s="4"/>
      <c r="T39" s="3"/>
      <c r="U39" s="3"/>
    </row>
    <row r="40" spans="1:21" ht="18.75">
      <c r="A40" s="9">
        <v>0</v>
      </c>
      <c r="B40" s="9">
        <v>36</v>
      </c>
      <c r="C40" s="8"/>
      <c r="D40" s="49" t="s">
        <v>68</v>
      </c>
      <c r="E40" s="2"/>
      <c r="F40" s="10">
        <v>1</v>
      </c>
      <c r="G40" s="10">
        <v>30</v>
      </c>
      <c r="H40" s="69" t="s">
        <v>32</v>
      </c>
      <c r="I40" s="53">
        <f t="shared" si="0"/>
        <v>3</v>
      </c>
      <c r="J40" s="50">
        <f t="shared" si="4"/>
        <v>0.89999999999999991</v>
      </c>
      <c r="K40" s="10">
        <v>0</v>
      </c>
      <c r="L40" s="50">
        <f t="shared" si="6"/>
        <v>3.9</v>
      </c>
      <c r="M40" s="52">
        <v>30.949999999999996</v>
      </c>
      <c r="N40" s="59">
        <f t="shared" si="2"/>
        <v>34.849999999999994</v>
      </c>
      <c r="O40" s="17">
        <f t="shared" si="3"/>
        <v>5</v>
      </c>
      <c r="P40" s="53">
        <f t="shared" si="5"/>
        <v>29.849999999999994</v>
      </c>
      <c r="Q40" s="4"/>
      <c r="R40" s="4"/>
      <c r="S40" s="4"/>
      <c r="T40"/>
      <c r="U40"/>
    </row>
    <row r="41" spans="1:21" ht="18.75">
      <c r="A41" s="9">
        <v>0</v>
      </c>
      <c r="B41" s="9">
        <v>37</v>
      </c>
      <c r="C41" s="8"/>
      <c r="D41" s="49" t="s">
        <v>69</v>
      </c>
      <c r="E41" s="2"/>
      <c r="F41" s="10">
        <v>1</v>
      </c>
      <c r="G41" s="10">
        <v>64</v>
      </c>
      <c r="H41" s="69" t="s">
        <v>32</v>
      </c>
      <c r="I41" s="53">
        <f t="shared" si="0"/>
        <v>3</v>
      </c>
      <c r="J41" s="50">
        <f t="shared" si="4"/>
        <v>1.92</v>
      </c>
      <c r="K41" s="10">
        <v>0</v>
      </c>
      <c r="L41" s="50">
        <f t="shared" si="6"/>
        <v>4.92</v>
      </c>
      <c r="M41" s="52">
        <v>-5.3999999999999995</v>
      </c>
      <c r="N41" s="59">
        <f t="shared" si="2"/>
        <v>-0.47999999999999954</v>
      </c>
      <c r="O41" s="17">
        <f t="shared" si="3"/>
        <v>5</v>
      </c>
      <c r="P41" s="53">
        <f t="shared" si="5"/>
        <v>-5.4799999999999995</v>
      </c>
      <c r="Q41" s="4"/>
      <c r="R41" s="4"/>
      <c r="S41" s="4"/>
      <c r="T41"/>
      <c r="U41"/>
    </row>
    <row r="42" spans="1:21" ht="18.75">
      <c r="A42" s="9">
        <v>1</v>
      </c>
      <c r="B42" s="9">
        <v>38</v>
      </c>
      <c r="C42" s="8"/>
      <c r="D42" s="48" t="s">
        <v>70</v>
      </c>
      <c r="E42" s="2"/>
      <c r="F42" s="10">
        <v>2</v>
      </c>
      <c r="G42" s="10">
        <v>6</v>
      </c>
      <c r="H42" s="69" t="s">
        <v>32</v>
      </c>
      <c r="I42" s="53">
        <f t="shared" si="0"/>
        <v>6</v>
      </c>
      <c r="J42" s="50">
        <f t="shared" si="4"/>
        <v>0.18</v>
      </c>
      <c r="K42" s="10">
        <v>0</v>
      </c>
      <c r="L42" s="50">
        <f t="shared" si="6"/>
        <v>0</v>
      </c>
      <c r="M42" s="52">
        <v>4</v>
      </c>
      <c r="N42" s="59">
        <f t="shared" si="2"/>
        <v>0</v>
      </c>
      <c r="O42" s="17">
        <f t="shared" si="3"/>
        <v>0</v>
      </c>
      <c r="P42" s="53">
        <f t="shared" si="5"/>
        <v>4</v>
      </c>
      <c r="Q42" s="4"/>
      <c r="R42" s="4"/>
      <c r="S42" s="4"/>
      <c r="T42"/>
      <c r="U42"/>
    </row>
    <row r="43" spans="1:21" ht="18.75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0"/>
        <v>0</v>
      </c>
      <c r="J43" s="50">
        <f t="shared" si="4"/>
        <v>1.3499999999999999</v>
      </c>
      <c r="K43" s="10">
        <v>0</v>
      </c>
      <c r="L43" s="50">
        <f t="shared" si="6"/>
        <v>0</v>
      </c>
      <c r="M43" s="52">
        <v>-3</v>
      </c>
      <c r="N43" s="59">
        <f t="shared" si="2"/>
        <v>0</v>
      </c>
      <c r="O43" s="17">
        <f t="shared" si="3"/>
        <v>0</v>
      </c>
      <c r="P43" s="53">
        <f t="shared" si="5"/>
        <v>-3</v>
      </c>
      <c r="Q43" s="4"/>
      <c r="R43" s="4"/>
      <c r="S43" s="4"/>
      <c r="T43"/>
      <c r="U43"/>
    </row>
    <row r="44" spans="1:21" customFormat="1" ht="18.75">
      <c r="A44" s="9">
        <v>1</v>
      </c>
      <c r="B44" s="9">
        <v>40</v>
      </c>
      <c r="C44" s="8"/>
      <c r="D44" s="45" t="s">
        <v>72</v>
      </c>
      <c r="E44" s="34"/>
      <c r="F44" s="10">
        <v>2</v>
      </c>
      <c r="G44" s="10">
        <v>8</v>
      </c>
      <c r="H44" s="69" t="s">
        <v>32</v>
      </c>
      <c r="I44" s="53">
        <f t="shared" si="0"/>
        <v>6</v>
      </c>
      <c r="J44" s="50">
        <f t="shared" si="4"/>
        <v>0.24</v>
      </c>
      <c r="K44" s="10">
        <v>0</v>
      </c>
      <c r="L44" s="50">
        <f t="shared" si="6"/>
        <v>0</v>
      </c>
      <c r="M44" s="52">
        <v>7</v>
      </c>
      <c r="N44" s="59">
        <f t="shared" si="2"/>
        <v>0</v>
      </c>
      <c r="O44" s="17">
        <f t="shared" si="3"/>
        <v>0</v>
      </c>
      <c r="P44" s="53">
        <f t="shared" si="5"/>
        <v>7</v>
      </c>
      <c r="Q44" s="4"/>
      <c r="R44" s="4"/>
      <c r="S44" s="4"/>
    </row>
    <row r="45" spans="1:21" customFormat="1" ht="18.75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0"/>
        <v>0</v>
      </c>
      <c r="J45" s="50">
        <f t="shared" si="4"/>
        <v>3.4499999999999997</v>
      </c>
      <c r="K45" s="62">
        <v>0</v>
      </c>
      <c r="L45" s="64">
        <f t="shared" si="6"/>
        <v>3.4499999999999997</v>
      </c>
      <c r="M45" s="65">
        <v>23.799999999999997</v>
      </c>
      <c r="N45" s="66">
        <f t="shared" si="2"/>
        <v>27.249999999999996</v>
      </c>
      <c r="O45" s="17">
        <f t="shared" si="3"/>
        <v>0</v>
      </c>
      <c r="P45" s="53">
        <f t="shared" si="5"/>
        <v>27.249999999999996</v>
      </c>
      <c r="Q45" s="67"/>
      <c r="R45" s="67"/>
      <c r="S45" s="67"/>
    </row>
    <row r="46" spans="1:21" customFormat="1" ht="18.75">
      <c r="A46" s="9">
        <v>1</v>
      </c>
      <c r="B46" s="9">
        <v>42</v>
      </c>
      <c r="C46" s="61"/>
      <c r="D46" s="49" t="s">
        <v>74</v>
      </c>
      <c r="E46" s="33"/>
      <c r="F46" s="10">
        <v>2</v>
      </c>
      <c r="G46" s="10">
        <v>6</v>
      </c>
      <c r="H46" s="69" t="s">
        <v>32</v>
      </c>
      <c r="I46" s="53">
        <f t="shared" si="0"/>
        <v>6</v>
      </c>
      <c r="J46" s="50">
        <f t="shared" si="4"/>
        <v>0.18</v>
      </c>
      <c r="K46" s="10">
        <v>0</v>
      </c>
      <c r="L46" s="50">
        <f t="shared" si="6"/>
        <v>0</v>
      </c>
      <c r="M46" s="52">
        <v>0</v>
      </c>
      <c r="N46" s="59">
        <f t="shared" si="2"/>
        <v>0</v>
      </c>
      <c r="O46" s="17">
        <f t="shared" si="3"/>
        <v>0</v>
      </c>
      <c r="P46" s="53">
        <f t="shared" si="5"/>
        <v>0</v>
      </c>
      <c r="Q46" s="4"/>
      <c r="R46" s="4"/>
      <c r="S46" s="4"/>
    </row>
    <row r="47" spans="1:21" ht="18.75">
      <c r="A47" s="9">
        <v>0</v>
      </c>
      <c r="B47" s="9">
        <v>43</v>
      </c>
      <c r="C47" s="61"/>
      <c r="D47" s="49" t="s">
        <v>89</v>
      </c>
      <c r="E47" s="33"/>
      <c r="F47" s="10">
        <v>4</v>
      </c>
      <c r="G47" s="10">
        <v>37</v>
      </c>
      <c r="H47" s="69" t="s">
        <v>32</v>
      </c>
      <c r="I47" s="53">
        <f t="shared" si="0"/>
        <v>15</v>
      </c>
      <c r="J47" s="50">
        <f t="shared" si="4"/>
        <v>1.1099999999999999</v>
      </c>
      <c r="K47" s="10">
        <v>0</v>
      </c>
      <c r="L47" s="50">
        <f t="shared" si="6"/>
        <v>16.11</v>
      </c>
      <c r="M47" s="52">
        <v>9</v>
      </c>
      <c r="N47" s="59">
        <f t="shared" si="2"/>
        <v>25.11</v>
      </c>
      <c r="O47" s="17">
        <f t="shared" si="3"/>
        <v>5</v>
      </c>
      <c r="P47" s="53">
        <f t="shared" si="5"/>
        <v>20.11</v>
      </c>
      <c r="Q47" s="4"/>
      <c r="R47" s="4"/>
      <c r="S47" s="4"/>
    </row>
    <row r="48" spans="1:21" ht="18.75">
      <c r="A48" s="9">
        <v>0</v>
      </c>
      <c r="B48" s="9">
        <v>44</v>
      </c>
      <c r="C48" s="61"/>
      <c r="D48" s="49" t="s">
        <v>83</v>
      </c>
      <c r="E48" s="33"/>
      <c r="F48" s="10">
        <v>2</v>
      </c>
      <c r="G48" s="10">
        <v>151</v>
      </c>
      <c r="H48" s="69" t="s">
        <v>32</v>
      </c>
      <c r="I48" s="53">
        <f t="shared" si="0"/>
        <v>6</v>
      </c>
      <c r="J48" s="50">
        <f t="shared" si="4"/>
        <v>4.53</v>
      </c>
      <c r="K48" s="10">
        <v>0</v>
      </c>
      <c r="L48" s="50">
        <f t="shared" si="6"/>
        <v>10.530000000000001</v>
      </c>
      <c r="M48" s="52">
        <v>88.94</v>
      </c>
      <c r="N48" s="59">
        <f t="shared" si="2"/>
        <v>99.47</v>
      </c>
      <c r="O48" s="17">
        <f t="shared" si="3"/>
        <v>5</v>
      </c>
      <c r="P48" s="53">
        <f t="shared" si="5"/>
        <v>94.47</v>
      </c>
      <c r="Q48" s="4"/>
      <c r="R48" s="4"/>
      <c r="S48" s="4"/>
    </row>
    <row r="49" spans="1:19" ht="18.75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83" t="s">
        <v>23</v>
      </c>
      <c r="I49" s="53">
        <f t="shared" si="0"/>
        <v>0</v>
      </c>
      <c r="J49" s="50">
        <f t="shared" si="4"/>
        <v>3.15</v>
      </c>
      <c r="K49" s="10">
        <v>0</v>
      </c>
      <c r="L49" s="50">
        <f t="shared" si="6"/>
        <v>3.15</v>
      </c>
      <c r="M49" s="52">
        <v>77.600000000000023</v>
      </c>
      <c r="N49" s="59">
        <f t="shared" si="2"/>
        <v>80.750000000000028</v>
      </c>
      <c r="O49" s="17">
        <f t="shared" si="3"/>
        <v>0</v>
      </c>
      <c r="P49" s="53">
        <f t="shared" si="5"/>
        <v>80.750000000000028</v>
      </c>
      <c r="Q49" s="4"/>
      <c r="R49" s="4"/>
      <c r="S49" s="4"/>
    </row>
    <row r="50" spans="1:19" ht="18.75">
      <c r="A50" s="9">
        <v>0</v>
      </c>
      <c r="B50" s="9">
        <v>46</v>
      </c>
      <c r="C50" s="61"/>
      <c r="D50" s="49" t="s">
        <v>87</v>
      </c>
      <c r="E50" s="33"/>
      <c r="F50" s="10">
        <v>3</v>
      </c>
      <c r="G50" s="10">
        <v>82</v>
      </c>
      <c r="H50" s="69" t="s">
        <v>32</v>
      </c>
      <c r="I50" s="53">
        <f t="shared" si="0"/>
        <v>10.5</v>
      </c>
      <c r="J50" s="50">
        <f t="shared" si="4"/>
        <v>2.46</v>
      </c>
      <c r="K50" s="10">
        <v>0</v>
      </c>
      <c r="L50" s="50">
        <f t="shared" si="6"/>
        <v>12.96</v>
      </c>
      <c r="M50" s="52">
        <v>51.78</v>
      </c>
      <c r="N50" s="59">
        <f t="shared" si="2"/>
        <v>64.740000000000009</v>
      </c>
      <c r="O50" s="17">
        <f t="shared" si="3"/>
        <v>5</v>
      </c>
      <c r="P50" s="53">
        <f t="shared" si="5"/>
        <v>59.740000000000009</v>
      </c>
      <c r="Q50" s="4"/>
      <c r="R50" s="4"/>
      <c r="S50" s="4"/>
    </row>
    <row r="51" spans="1:19" ht="18.75">
      <c r="A51" s="9">
        <v>0</v>
      </c>
      <c r="B51" s="9">
        <v>47</v>
      </c>
      <c r="C51" s="61"/>
      <c r="D51" s="49" t="s">
        <v>88</v>
      </c>
      <c r="E51" s="33"/>
      <c r="F51" s="10">
        <v>0</v>
      </c>
      <c r="G51" s="10">
        <v>46</v>
      </c>
      <c r="H51" s="83" t="s">
        <v>23</v>
      </c>
      <c r="I51" s="53">
        <f t="shared" si="0"/>
        <v>0</v>
      </c>
      <c r="J51" s="50">
        <f t="shared" si="4"/>
        <v>1.38</v>
      </c>
      <c r="K51" s="10">
        <v>0</v>
      </c>
      <c r="L51" s="50">
        <f t="shared" si="6"/>
        <v>1.38</v>
      </c>
      <c r="M51" s="52">
        <v>54.38</v>
      </c>
      <c r="N51" s="59">
        <f t="shared" si="2"/>
        <v>55.760000000000005</v>
      </c>
      <c r="O51" s="17">
        <f t="shared" si="3"/>
        <v>0</v>
      </c>
      <c r="P51" s="53">
        <f t="shared" si="5"/>
        <v>55.760000000000005</v>
      </c>
      <c r="Q51" s="4"/>
      <c r="R51" s="4"/>
      <c r="S51" s="4"/>
    </row>
  </sheetData>
  <autoFilter ref="A4:S51" xr:uid="{28593B8F-03E7-4BE1-B554-FC0AADC431B2}">
    <sortState xmlns:xlrd2="http://schemas.microsoft.com/office/spreadsheetml/2017/richdata2" ref="A5:S51">
      <sortCondition ref="B4:B51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9" priority="5" operator="lessThan">
      <formula>1</formula>
    </cfRule>
  </conditionalFormatting>
  <conditionalFormatting sqref="F5:F51">
    <cfRule type="cellIs" dxfId="8" priority="4" operator="lessThan">
      <formula>1</formula>
    </cfRule>
  </conditionalFormatting>
  <conditionalFormatting sqref="K47 G47">
    <cfRule type="cellIs" dxfId="7" priority="3" operator="lessThan">
      <formula>1</formula>
    </cfRule>
  </conditionalFormatting>
  <conditionalFormatting sqref="K48:K50 G48:G50">
    <cfRule type="cellIs" dxfId="6" priority="2" operator="lessThan">
      <formula>1</formula>
    </cfRule>
  </conditionalFormatting>
  <conditionalFormatting sqref="K51 G51">
    <cfRule type="cellIs" dxfId="5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EC0C-EA07-41A1-91D0-F50E4A92EECE}">
  <dimension ref="A1:U51"/>
  <sheetViews>
    <sheetView tabSelected="1" zoomScaleNormal="100" workbookViewId="0">
      <selection activeCell="M17" sqref="M17"/>
    </sheetView>
  </sheetViews>
  <sheetFormatPr defaultColWidth="9" defaultRowHeight="13.5"/>
  <cols>
    <col min="1" max="1" width="7.625" customWidth="1"/>
    <col min="2" max="2" width="6.625" style="18" customWidth="1"/>
    <col min="3" max="3" width="19.75" style="68" hidden="1" customWidth="1"/>
    <col min="4" max="4" width="22.75" style="68" bestFit="1" customWidth="1"/>
    <col min="5" max="5" width="18.375" style="18" hidden="1" customWidth="1"/>
    <col min="6" max="6" width="13.125" style="18" customWidth="1"/>
    <col min="7" max="7" width="11.125" style="18" customWidth="1"/>
    <col min="8" max="8" width="20" style="18" customWidth="1"/>
    <col min="9" max="9" width="9" style="18" customWidth="1"/>
    <col min="10" max="10" width="9.625" style="18" customWidth="1"/>
    <col min="11" max="11" width="8.625" style="18" customWidth="1"/>
    <col min="12" max="12" width="9" style="18" customWidth="1"/>
    <col min="13" max="14" width="9.75" style="18" customWidth="1"/>
    <col min="15" max="15" width="9.25" style="18" customWidth="1"/>
    <col min="16" max="16" width="9.875" style="18" customWidth="1"/>
    <col min="17" max="19" width="11.125" style="18" customWidth="1"/>
    <col min="20" max="20" width="30.5" style="18" customWidth="1"/>
    <col min="21" max="21" width="10" style="18" bestFit="1" customWidth="1"/>
    <col min="22" max="16384" width="9" style="18"/>
  </cols>
  <sheetData>
    <row r="1" spans="1:21" ht="36.6" customHeight="1">
      <c r="B1" s="91" t="str">
        <f>CONCATENATE("101-104区 风の气息",U17,"年",U18,"月",U19,"日","分包贡献明细"," 统计：音")</f>
        <v>101-104区 风の气息2022年5月7日分包贡献明细 统计：音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41"/>
      <c r="R1" s="41" t="str">
        <f>IF(INT(_xlfn.DAYS(DATE(U17,U18,U19),DATE(2022,4,30))/7)=_xlfn.DAYS(DATE(U17,U18,U19),DATE(2022,4,30))/7,IF(ISODD(_xlfn.DAYS(DATE(U17,U18,U19),DATE(2022,4,30))/7),"跨服","本服"),"日期错误")</f>
        <v>跨服</v>
      </c>
      <c r="S1" s="41"/>
      <c r="T1" s="19" t="s">
        <v>8</v>
      </c>
      <c r="U1" s="5">
        <v>67</v>
      </c>
    </row>
    <row r="2" spans="1:21" ht="117.6" customHeight="1">
      <c r="B2" s="93" t="s">
        <v>82</v>
      </c>
      <c r="C2" s="94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42"/>
      <c r="R2" s="42"/>
      <c r="S2" s="42"/>
      <c r="T2" s="20" t="s">
        <v>0</v>
      </c>
      <c r="U2" s="21" t="s">
        <v>9</v>
      </c>
    </row>
    <row r="3" spans="1:21" ht="20.25">
      <c r="B3" s="96" t="s">
        <v>13</v>
      </c>
      <c r="C3" s="96"/>
      <c r="D3" s="96"/>
      <c r="E3" s="96"/>
      <c r="F3" s="100" t="s">
        <v>10</v>
      </c>
      <c r="G3" s="101"/>
      <c r="H3" s="97" t="s">
        <v>14</v>
      </c>
      <c r="I3" s="98"/>
      <c r="J3" s="98"/>
      <c r="K3" s="98"/>
      <c r="L3" s="98"/>
      <c r="M3" s="98"/>
      <c r="N3" s="98"/>
      <c r="O3" s="98"/>
      <c r="P3" s="99"/>
      <c r="Q3" s="40"/>
      <c r="R3" s="40"/>
      <c r="S3" s="40"/>
      <c r="T3" s="70" t="s">
        <v>15</v>
      </c>
      <c r="U3" s="23">
        <v>22</v>
      </c>
    </row>
    <row r="4" spans="1:21" ht="40.5">
      <c r="A4" s="90" t="s">
        <v>76</v>
      </c>
      <c r="B4" s="90" t="s">
        <v>2</v>
      </c>
      <c r="C4" s="39" t="s">
        <v>16</v>
      </c>
      <c r="D4" s="90" t="s">
        <v>3</v>
      </c>
      <c r="E4" s="90" t="s">
        <v>4</v>
      </c>
      <c r="F4" s="54" t="s">
        <v>28</v>
      </c>
      <c r="G4" s="43" t="s">
        <v>77</v>
      </c>
      <c r="H4" s="6" t="s">
        <v>5</v>
      </c>
      <c r="I4" s="54" t="s">
        <v>17</v>
      </c>
      <c r="J4" s="57" t="s">
        <v>75</v>
      </c>
      <c r="K4" s="7" t="s">
        <v>29</v>
      </c>
      <c r="L4" s="15" t="s">
        <v>18</v>
      </c>
      <c r="M4" s="39" t="s">
        <v>19</v>
      </c>
      <c r="N4" s="58" t="s">
        <v>7</v>
      </c>
      <c r="O4" s="39" t="s">
        <v>6</v>
      </c>
      <c r="P4" s="39" t="s">
        <v>20</v>
      </c>
      <c r="Q4" s="39" t="s">
        <v>11</v>
      </c>
      <c r="R4" s="39" t="s">
        <v>12</v>
      </c>
      <c r="S4" s="39" t="s">
        <v>1</v>
      </c>
      <c r="T4" s="71" t="s">
        <v>21</v>
      </c>
      <c r="U4" s="23">
        <v>13</v>
      </c>
    </row>
    <row r="5" spans="1:21" s="29" customFormat="1" ht="18.75">
      <c r="A5" s="9">
        <v>0</v>
      </c>
      <c r="B5" s="9">
        <v>1</v>
      </c>
      <c r="C5" s="8"/>
      <c r="D5" s="45" t="s">
        <v>33</v>
      </c>
      <c r="E5" s="32"/>
      <c r="F5" s="10">
        <v>4</v>
      </c>
      <c r="G5" s="10">
        <v>301</v>
      </c>
      <c r="H5" s="83" t="s">
        <v>23</v>
      </c>
      <c r="I5" s="53">
        <f>F5*($U$11+IF($R$1="跨服",U13,0)+IF(F5&gt;2,(F5-2)*($U$12+IF($R$1="跨服",U13,0)),0))</f>
        <v>30</v>
      </c>
      <c r="J5" s="50">
        <f>IF(MAX($F$5:$F$46)=0,0,G5*$U$16)</f>
        <v>9.0299999999999994</v>
      </c>
      <c r="K5" s="10">
        <v>0</v>
      </c>
      <c r="L5" s="50">
        <f t="shared" ref="L5:L32" si="0">SUM(J5+I5+K5)*(1-A5)</f>
        <v>39.03</v>
      </c>
      <c r="M5" s="52">
        <v>101.72499999999997</v>
      </c>
      <c r="N5" s="59">
        <f t="shared" ref="N5:N51" si="1">(L5+M5)*(1-A5)</f>
        <v>140.75499999999997</v>
      </c>
      <c r="O5" s="17">
        <f t="shared" ref="O5:O51" si="2">VLOOKUP(H5,$T$3:$U$10,2,FALSE)*(1-A5)</f>
        <v>0</v>
      </c>
      <c r="P5" s="53">
        <f>L5+M5-O5</f>
        <v>140.75499999999997</v>
      </c>
      <c r="Q5" s="11"/>
      <c r="R5" s="11"/>
      <c r="S5" s="11"/>
      <c r="T5" s="69" t="s">
        <v>22</v>
      </c>
      <c r="U5" s="23">
        <v>10</v>
      </c>
    </row>
    <row r="6" spans="1:21" s="29" customFormat="1" ht="18.75">
      <c r="A6" s="9">
        <v>0</v>
      </c>
      <c r="B6" s="9">
        <v>2</v>
      </c>
      <c r="C6" s="8"/>
      <c r="D6" s="45" t="s">
        <v>34</v>
      </c>
      <c r="E6" s="32"/>
      <c r="F6" s="10">
        <v>0</v>
      </c>
      <c r="G6" s="10">
        <v>222</v>
      </c>
      <c r="H6" s="83" t="s">
        <v>23</v>
      </c>
      <c r="I6" s="53">
        <f t="shared" ref="I5:I51" si="3">F6*$U$11+IF(F6&gt;2,(F6-2)*$U$12,0)</f>
        <v>0</v>
      </c>
      <c r="J6" s="50">
        <f>IF(MAX($F$5:$F$46)=0,0,G6*$U$16*F6/MAX($F$5:$F$46))</f>
        <v>0</v>
      </c>
      <c r="K6" s="10">
        <v>0</v>
      </c>
      <c r="L6" s="50">
        <f t="shared" si="0"/>
        <v>0</v>
      </c>
      <c r="M6" s="52">
        <v>103</v>
      </c>
      <c r="N6" s="59">
        <f t="shared" si="1"/>
        <v>103</v>
      </c>
      <c r="O6" s="17">
        <f t="shared" si="2"/>
        <v>0</v>
      </c>
      <c r="P6" s="53">
        <f>_xlfn.FLOOR.MATH(L6+M6-O6)</f>
        <v>103</v>
      </c>
      <c r="Q6" s="11"/>
      <c r="R6" s="11"/>
      <c r="S6" s="11"/>
      <c r="T6" s="69"/>
      <c r="U6" s="23"/>
    </row>
    <row r="7" spans="1:21" s="29" customFormat="1" ht="18.75">
      <c r="A7" s="9">
        <v>0</v>
      </c>
      <c r="B7" s="9">
        <v>3</v>
      </c>
      <c r="C7" s="8"/>
      <c r="D7" s="45" t="s">
        <v>35</v>
      </c>
      <c r="E7" s="32"/>
      <c r="F7" s="10">
        <v>0</v>
      </c>
      <c r="G7" s="10">
        <v>232</v>
      </c>
      <c r="H7" s="83" t="s">
        <v>23</v>
      </c>
      <c r="I7" s="53">
        <f t="shared" si="3"/>
        <v>0</v>
      </c>
      <c r="J7" s="50">
        <f>IF(MAX($F$5:$F$46)=0,0,G7*$U$16)</f>
        <v>6.96</v>
      </c>
      <c r="K7" s="10">
        <v>0</v>
      </c>
      <c r="L7" s="50">
        <f t="shared" si="0"/>
        <v>6.96</v>
      </c>
      <c r="M7" s="52">
        <v>104.39500000000001</v>
      </c>
      <c r="N7" s="59">
        <f t="shared" si="1"/>
        <v>111.355</v>
      </c>
      <c r="O7" s="17">
        <f t="shared" si="2"/>
        <v>0</v>
      </c>
      <c r="P7" s="53">
        <f t="shared" ref="P7:P51" si="4">L7+M7-O7</f>
        <v>111.355</v>
      </c>
      <c r="Q7" s="11"/>
      <c r="R7" s="11"/>
      <c r="S7" s="11"/>
      <c r="T7" s="72" t="s">
        <v>30</v>
      </c>
      <c r="U7" s="23">
        <v>15</v>
      </c>
    </row>
    <row r="8" spans="1:21" s="29" customFormat="1" ht="18.75">
      <c r="A8" s="9">
        <v>0</v>
      </c>
      <c r="B8" s="9">
        <v>4</v>
      </c>
      <c r="C8" s="8"/>
      <c r="D8" s="45" t="s">
        <v>36</v>
      </c>
      <c r="E8" s="36"/>
      <c r="F8" s="10">
        <v>0</v>
      </c>
      <c r="G8" s="10">
        <v>229</v>
      </c>
      <c r="H8" s="83" t="s">
        <v>23</v>
      </c>
      <c r="I8" s="53">
        <f t="shared" si="3"/>
        <v>0</v>
      </c>
      <c r="J8" s="50">
        <f>IF(MAX($F$5:$F$46)=0,0,G8*$U$16)</f>
        <v>6.87</v>
      </c>
      <c r="K8" s="10">
        <v>0</v>
      </c>
      <c r="L8" s="50">
        <f t="shared" si="0"/>
        <v>6.87</v>
      </c>
      <c r="M8" s="52">
        <v>104.97250000000003</v>
      </c>
      <c r="N8" s="59">
        <f t="shared" si="1"/>
        <v>111.84250000000003</v>
      </c>
      <c r="O8" s="17">
        <f t="shared" si="2"/>
        <v>0</v>
      </c>
      <c r="P8" s="53">
        <f t="shared" si="4"/>
        <v>111.84250000000003</v>
      </c>
      <c r="Q8" s="11"/>
      <c r="R8" s="11"/>
      <c r="S8" s="11"/>
      <c r="T8" s="73" t="s">
        <v>31</v>
      </c>
      <c r="U8" s="23">
        <v>9</v>
      </c>
    </row>
    <row r="9" spans="1:21" s="29" customFormat="1" ht="18.75">
      <c r="A9" s="9">
        <v>0</v>
      </c>
      <c r="B9" s="9">
        <v>5</v>
      </c>
      <c r="C9" s="8"/>
      <c r="D9" s="45" t="s">
        <v>37</v>
      </c>
      <c r="E9" s="32"/>
      <c r="F9" s="10">
        <v>0</v>
      </c>
      <c r="G9" s="10">
        <v>217</v>
      </c>
      <c r="H9" s="83" t="s">
        <v>23</v>
      </c>
      <c r="I9" s="53">
        <f t="shared" si="3"/>
        <v>0</v>
      </c>
      <c r="J9" s="50">
        <f>IF(MAX($F$5:$F$46)=0,0,G9*$U$16)</f>
        <v>6.51</v>
      </c>
      <c r="K9" s="10">
        <v>0</v>
      </c>
      <c r="L9" s="50">
        <f t="shared" si="0"/>
        <v>6.51</v>
      </c>
      <c r="M9" s="52">
        <v>100.56999999999996</v>
      </c>
      <c r="N9" s="59">
        <f t="shared" si="1"/>
        <v>107.07999999999997</v>
      </c>
      <c r="O9" s="17">
        <f t="shared" si="2"/>
        <v>0</v>
      </c>
      <c r="P9" s="53">
        <f t="shared" si="4"/>
        <v>107.07999999999997</v>
      </c>
      <c r="Q9" s="11"/>
      <c r="R9" s="11"/>
      <c r="S9" s="25"/>
      <c r="T9" s="69" t="s">
        <v>32</v>
      </c>
      <c r="U9" s="23">
        <v>5</v>
      </c>
    </row>
    <row r="10" spans="1:21" s="29" customFormat="1" ht="18.75">
      <c r="A10" s="9">
        <v>0</v>
      </c>
      <c r="B10" s="9">
        <v>6</v>
      </c>
      <c r="C10" s="8"/>
      <c r="D10" s="45" t="s">
        <v>38</v>
      </c>
      <c r="E10" s="32"/>
      <c r="F10" s="10">
        <v>0</v>
      </c>
      <c r="G10" s="10">
        <v>224</v>
      </c>
      <c r="H10" s="83" t="s">
        <v>23</v>
      </c>
      <c r="I10" s="53">
        <f t="shared" si="3"/>
        <v>0</v>
      </c>
      <c r="J10" s="50">
        <f>IF(MAX($F$5:$F$46)=0,0,G10*$U$16)</f>
        <v>6.72</v>
      </c>
      <c r="K10" s="10">
        <v>0</v>
      </c>
      <c r="L10" s="50">
        <f t="shared" si="0"/>
        <v>6.72</v>
      </c>
      <c r="M10" s="52">
        <v>104.24000000000001</v>
      </c>
      <c r="N10" s="59">
        <f t="shared" si="1"/>
        <v>110.96000000000001</v>
      </c>
      <c r="O10" s="17">
        <f t="shared" si="2"/>
        <v>0</v>
      </c>
      <c r="P10" s="53">
        <f t="shared" si="4"/>
        <v>110.96000000000001</v>
      </c>
      <c r="Q10" s="11"/>
      <c r="R10" s="11"/>
      <c r="S10" s="16"/>
      <c r="T10" s="2" t="s">
        <v>23</v>
      </c>
      <c r="U10" s="2">
        <v>0</v>
      </c>
    </row>
    <row r="11" spans="1:21" s="29" customFormat="1" ht="18.75">
      <c r="A11" s="9">
        <v>0</v>
      </c>
      <c r="B11" s="9">
        <v>7</v>
      </c>
      <c r="C11" s="8"/>
      <c r="D11" s="45" t="s">
        <v>39</v>
      </c>
      <c r="E11" s="32"/>
      <c r="F11" s="10">
        <v>0</v>
      </c>
      <c r="G11" s="10">
        <v>226</v>
      </c>
      <c r="H11" s="83" t="s">
        <v>23</v>
      </c>
      <c r="I11" s="53">
        <f t="shared" si="3"/>
        <v>0</v>
      </c>
      <c r="J11" s="50">
        <f>IF(MAX($F$5:$F$46)=0,0,G11*$U$16)</f>
        <v>6.7799999999999994</v>
      </c>
      <c r="K11" s="10">
        <v>0</v>
      </c>
      <c r="L11" s="50">
        <f t="shared" si="0"/>
        <v>6.7799999999999994</v>
      </c>
      <c r="M11" s="52">
        <v>104.22000000000001</v>
      </c>
      <c r="N11" s="59">
        <f t="shared" si="1"/>
        <v>111.00000000000001</v>
      </c>
      <c r="O11" s="17">
        <f t="shared" si="2"/>
        <v>0</v>
      </c>
      <c r="P11" s="53">
        <f t="shared" si="4"/>
        <v>111.00000000000001</v>
      </c>
      <c r="Q11" s="11"/>
      <c r="R11" s="11"/>
      <c r="S11" s="26"/>
      <c r="T11" s="74" t="s">
        <v>79</v>
      </c>
      <c r="U11" s="75">
        <v>3</v>
      </c>
    </row>
    <row r="12" spans="1:21" s="29" customFormat="1" ht="18.75">
      <c r="A12" s="9">
        <v>0</v>
      </c>
      <c r="B12" s="9">
        <v>8</v>
      </c>
      <c r="C12" s="8"/>
      <c r="D12" s="45" t="s">
        <v>40</v>
      </c>
      <c r="E12" s="32"/>
      <c r="F12" s="10">
        <v>0</v>
      </c>
      <c r="G12" s="10">
        <v>214</v>
      </c>
      <c r="H12" s="83" t="s">
        <v>23</v>
      </c>
      <c r="I12" s="53">
        <f t="shared" si="3"/>
        <v>0</v>
      </c>
      <c r="J12" s="50">
        <f>IF(MAX($F$5:$F$46)=0,0,G12*$U$16)</f>
        <v>6.42</v>
      </c>
      <c r="K12" s="10">
        <v>0</v>
      </c>
      <c r="L12" s="50">
        <f t="shared" si="0"/>
        <v>6.42</v>
      </c>
      <c r="M12" s="52">
        <v>104.62500000000001</v>
      </c>
      <c r="N12" s="59">
        <f t="shared" si="1"/>
        <v>111.04500000000002</v>
      </c>
      <c r="O12" s="17">
        <f t="shared" si="2"/>
        <v>0</v>
      </c>
      <c r="P12" s="53">
        <f t="shared" si="4"/>
        <v>111.04500000000002</v>
      </c>
      <c r="Q12" s="11"/>
      <c r="R12" s="11"/>
      <c r="S12" s="26"/>
      <c r="T12" s="74" t="s">
        <v>80</v>
      </c>
      <c r="U12" s="74">
        <v>1.5</v>
      </c>
    </row>
    <row r="13" spans="1:21" s="29" customFormat="1" ht="18.75">
      <c r="A13" s="9">
        <v>0</v>
      </c>
      <c r="B13" s="9">
        <v>9</v>
      </c>
      <c r="C13" s="8"/>
      <c r="D13" s="45" t="s">
        <v>41</v>
      </c>
      <c r="E13" s="36"/>
      <c r="F13" s="10">
        <v>0</v>
      </c>
      <c r="G13" s="10">
        <v>209</v>
      </c>
      <c r="H13" s="83" t="s">
        <v>23</v>
      </c>
      <c r="I13" s="53">
        <f t="shared" si="3"/>
        <v>0</v>
      </c>
      <c r="J13" s="50">
        <f>IF(MAX($F$5:$F$46)=0,0,G13*$U$16)</f>
        <v>6.27</v>
      </c>
      <c r="K13" s="10">
        <v>0</v>
      </c>
      <c r="L13" s="50">
        <f t="shared" si="0"/>
        <v>6.27</v>
      </c>
      <c r="M13" s="52">
        <v>101.30249999999999</v>
      </c>
      <c r="N13" s="59">
        <f t="shared" si="1"/>
        <v>107.57249999999999</v>
      </c>
      <c r="O13" s="17">
        <f t="shared" si="2"/>
        <v>0</v>
      </c>
      <c r="P13" s="53">
        <f t="shared" si="4"/>
        <v>107.57249999999999</v>
      </c>
      <c r="Q13" s="11"/>
      <c r="R13" s="11"/>
      <c r="S13" s="25"/>
      <c r="T13" s="74" t="s">
        <v>90</v>
      </c>
      <c r="U13" s="74">
        <v>0.5</v>
      </c>
    </row>
    <row r="14" spans="1:21" s="29" customFormat="1" ht="18.75">
      <c r="A14" s="9">
        <v>0</v>
      </c>
      <c r="B14" s="9">
        <v>10</v>
      </c>
      <c r="C14" s="8"/>
      <c r="D14" s="45" t="s">
        <v>42</v>
      </c>
      <c r="E14" s="33"/>
      <c r="F14" s="10">
        <v>0</v>
      </c>
      <c r="G14" s="10">
        <v>208</v>
      </c>
      <c r="H14" s="83" t="s">
        <v>23</v>
      </c>
      <c r="I14" s="53">
        <f t="shared" si="3"/>
        <v>0</v>
      </c>
      <c r="J14" s="50">
        <f>IF(MAX($F$5:$F$46)=0,0,G14*$U$16)</f>
        <v>6.24</v>
      </c>
      <c r="K14" s="10">
        <v>0</v>
      </c>
      <c r="L14" s="50">
        <f t="shared" si="0"/>
        <v>6.24</v>
      </c>
      <c r="M14" s="52">
        <v>100.36000000000001</v>
      </c>
      <c r="N14" s="59">
        <f t="shared" si="1"/>
        <v>106.60000000000001</v>
      </c>
      <c r="O14" s="17">
        <f t="shared" si="2"/>
        <v>0</v>
      </c>
      <c r="P14" s="53">
        <f t="shared" si="4"/>
        <v>106.60000000000001</v>
      </c>
      <c r="Q14" s="11"/>
      <c r="R14" s="11"/>
      <c r="S14" s="25"/>
    </row>
    <row r="15" spans="1:21" s="29" customFormat="1" ht="18.75">
      <c r="A15" s="9">
        <v>0</v>
      </c>
      <c r="B15" s="9">
        <v>11</v>
      </c>
      <c r="C15" s="8"/>
      <c r="D15" s="45" t="s">
        <v>43</v>
      </c>
      <c r="E15" s="32"/>
      <c r="F15" s="10">
        <v>0</v>
      </c>
      <c r="G15" s="10">
        <v>207</v>
      </c>
      <c r="H15" s="83" t="s">
        <v>23</v>
      </c>
      <c r="I15" s="53">
        <f t="shared" si="3"/>
        <v>0</v>
      </c>
      <c r="J15" s="50">
        <f>IF(MAX($F$5:$F$46)=0,0,G15*$U$16)</f>
        <v>6.21</v>
      </c>
      <c r="K15" s="10">
        <v>0</v>
      </c>
      <c r="L15" s="50">
        <f t="shared" si="0"/>
        <v>6.21</v>
      </c>
      <c r="M15" s="52">
        <v>103.02750000000003</v>
      </c>
      <c r="N15" s="59">
        <f t="shared" si="1"/>
        <v>109.23750000000003</v>
      </c>
      <c r="O15" s="17">
        <f t="shared" si="2"/>
        <v>0</v>
      </c>
      <c r="P15" s="53">
        <f t="shared" si="4"/>
        <v>109.23750000000003</v>
      </c>
      <c r="Q15" s="4"/>
      <c r="R15" s="4"/>
      <c r="S15" s="4"/>
      <c r="T15" s="76" t="s">
        <v>24</v>
      </c>
      <c r="U15" s="2">
        <v>1</v>
      </c>
    </row>
    <row r="16" spans="1:21" s="29" customFormat="1" ht="18.75">
      <c r="A16" s="9">
        <v>0</v>
      </c>
      <c r="B16" s="9">
        <v>12</v>
      </c>
      <c r="C16" s="8"/>
      <c r="D16" s="45" t="s">
        <v>44</v>
      </c>
      <c r="E16" s="32"/>
      <c r="F16" s="10">
        <v>0</v>
      </c>
      <c r="G16" s="10">
        <v>201</v>
      </c>
      <c r="H16" s="83" t="s">
        <v>23</v>
      </c>
      <c r="I16" s="53">
        <f t="shared" si="3"/>
        <v>0</v>
      </c>
      <c r="J16" s="50">
        <f>IF(MAX($F$5:$F$46)=0,0,G16*$U$16)</f>
        <v>6.0299999999999994</v>
      </c>
      <c r="K16" s="10">
        <v>0</v>
      </c>
      <c r="L16" s="50">
        <f t="shared" si="0"/>
        <v>6.0299999999999994</v>
      </c>
      <c r="M16" s="52">
        <v>99.889999999999986</v>
      </c>
      <c r="N16" s="59">
        <f t="shared" si="1"/>
        <v>105.91999999999999</v>
      </c>
      <c r="O16" s="17">
        <f t="shared" si="2"/>
        <v>0</v>
      </c>
      <c r="P16" s="53">
        <f t="shared" si="4"/>
        <v>105.91999999999999</v>
      </c>
      <c r="Q16" s="4"/>
      <c r="R16" s="4"/>
      <c r="S16" s="4"/>
      <c r="T16" s="77" t="s">
        <v>78</v>
      </c>
      <c r="U16" s="2">
        <v>0.03</v>
      </c>
    </row>
    <row r="17" spans="1:21" s="29" customFormat="1" ht="18.75">
      <c r="A17" s="9">
        <v>0</v>
      </c>
      <c r="B17" s="9">
        <v>13</v>
      </c>
      <c r="C17" s="8"/>
      <c r="D17" s="45" t="s">
        <v>45</v>
      </c>
      <c r="E17" s="35"/>
      <c r="F17" s="10">
        <v>0</v>
      </c>
      <c r="G17" s="10">
        <v>190</v>
      </c>
      <c r="H17" s="83" t="s">
        <v>23</v>
      </c>
      <c r="I17" s="53">
        <f t="shared" si="3"/>
        <v>0</v>
      </c>
      <c r="J17" s="50">
        <f>IF(MAX($F$5:$F$46)=0,0,G17*$U$16)</f>
        <v>5.7</v>
      </c>
      <c r="K17" s="10">
        <v>0</v>
      </c>
      <c r="L17" s="50">
        <f t="shared" si="0"/>
        <v>5.7</v>
      </c>
      <c r="M17" s="52">
        <v>108.89</v>
      </c>
      <c r="N17" s="59">
        <f t="shared" si="1"/>
        <v>114.59</v>
      </c>
      <c r="O17" s="17">
        <f t="shared" si="2"/>
        <v>0</v>
      </c>
      <c r="P17" s="53">
        <f t="shared" si="4"/>
        <v>114.59</v>
      </c>
      <c r="Q17" s="4"/>
      <c r="R17" s="4"/>
      <c r="S17" s="4"/>
      <c r="T17" s="2" t="s">
        <v>25</v>
      </c>
      <c r="U17" s="2">
        <v>2022</v>
      </c>
    </row>
    <row r="18" spans="1:21" s="29" customFormat="1" ht="18.75">
      <c r="A18" s="9">
        <v>0</v>
      </c>
      <c r="B18" s="9">
        <v>14</v>
      </c>
      <c r="C18" s="8"/>
      <c r="D18" s="45" t="s">
        <v>46</v>
      </c>
      <c r="E18" s="32"/>
      <c r="F18" s="10">
        <v>0</v>
      </c>
      <c r="G18" s="10">
        <v>199</v>
      </c>
      <c r="H18" s="83" t="s">
        <v>23</v>
      </c>
      <c r="I18" s="53">
        <f t="shared" si="3"/>
        <v>0</v>
      </c>
      <c r="J18" s="50">
        <f>IF(MAX($F$5:$F$46)=0,0,G18*$U$16)</f>
        <v>5.97</v>
      </c>
      <c r="K18" s="10">
        <v>0</v>
      </c>
      <c r="L18" s="50">
        <f t="shared" si="0"/>
        <v>5.97</v>
      </c>
      <c r="M18" s="52">
        <v>104.16999999999999</v>
      </c>
      <c r="N18" s="59">
        <f t="shared" si="1"/>
        <v>110.13999999999999</v>
      </c>
      <c r="O18" s="17">
        <f t="shared" si="2"/>
        <v>0</v>
      </c>
      <c r="P18" s="53">
        <f t="shared" si="4"/>
        <v>110.13999999999999</v>
      </c>
      <c r="Q18" s="4"/>
      <c r="R18" s="4"/>
      <c r="S18" s="4"/>
      <c r="T18" s="2" t="s">
        <v>26</v>
      </c>
      <c r="U18" s="2">
        <v>5</v>
      </c>
    </row>
    <row r="19" spans="1:21" s="29" customFormat="1" ht="18.75">
      <c r="A19" s="9">
        <v>0</v>
      </c>
      <c r="B19" s="9">
        <v>15</v>
      </c>
      <c r="C19" s="8"/>
      <c r="D19" s="45" t="s">
        <v>47</v>
      </c>
      <c r="E19" s="32"/>
      <c r="F19" s="10">
        <v>0</v>
      </c>
      <c r="G19" s="10">
        <v>185</v>
      </c>
      <c r="H19" s="83" t="s">
        <v>23</v>
      </c>
      <c r="I19" s="53">
        <f t="shared" si="3"/>
        <v>0</v>
      </c>
      <c r="J19" s="50">
        <f>IF(MAX($F$5:$F$46)=0,0,G19*$U$16)</f>
        <v>5.55</v>
      </c>
      <c r="K19" s="10">
        <v>0</v>
      </c>
      <c r="L19" s="50">
        <f t="shared" si="0"/>
        <v>5.55</v>
      </c>
      <c r="M19" s="52">
        <v>100.84999999999998</v>
      </c>
      <c r="N19" s="59">
        <f t="shared" si="1"/>
        <v>106.39999999999998</v>
      </c>
      <c r="O19" s="17">
        <f t="shared" si="2"/>
        <v>0</v>
      </c>
      <c r="P19" s="53">
        <f t="shared" si="4"/>
        <v>106.39999999999998</v>
      </c>
      <c r="Q19" s="4"/>
      <c r="R19" s="4"/>
      <c r="S19" s="4"/>
      <c r="T19" s="2" t="s">
        <v>27</v>
      </c>
      <c r="U19" s="2">
        <v>7</v>
      </c>
    </row>
    <row r="20" spans="1:21" s="29" customFormat="1" ht="18.75">
      <c r="A20" s="9">
        <v>0</v>
      </c>
      <c r="B20" s="9">
        <v>16</v>
      </c>
      <c r="C20" s="8"/>
      <c r="D20" s="45" t="s">
        <v>48</v>
      </c>
      <c r="E20" s="34"/>
      <c r="F20" s="10">
        <v>0</v>
      </c>
      <c r="G20" s="10">
        <v>195</v>
      </c>
      <c r="H20" s="83" t="s">
        <v>23</v>
      </c>
      <c r="I20" s="53">
        <f t="shared" si="3"/>
        <v>0</v>
      </c>
      <c r="J20" s="50">
        <f>IF(MAX($F$5:$F$46)=0,0,G20*$U$16)</f>
        <v>5.85</v>
      </c>
      <c r="K20" s="10">
        <v>0</v>
      </c>
      <c r="L20" s="50">
        <f t="shared" si="0"/>
        <v>5.85</v>
      </c>
      <c r="M20" s="52">
        <v>106.44</v>
      </c>
      <c r="N20" s="59">
        <f t="shared" si="1"/>
        <v>112.28999999999999</v>
      </c>
      <c r="O20" s="17">
        <f t="shared" si="2"/>
        <v>0</v>
      </c>
      <c r="P20" s="53">
        <f t="shared" si="4"/>
        <v>112.28999999999999</v>
      </c>
      <c r="Q20" s="4"/>
      <c r="R20" s="4"/>
      <c r="S20" s="4"/>
      <c r="T20" s="1"/>
      <c r="U20" s="1"/>
    </row>
    <row r="21" spans="1:21" s="29" customFormat="1" ht="18.75">
      <c r="A21" s="9">
        <v>0</v>
      </c>
      <c r="B21" s="9">
        <v>17</v>
      </c>
      <c r="C21" s="8"/>
      <c r="D21" s="45" t="s">
        <v>49</v>
      </c>
      <c r="E21" s="32"/>
      <c r="F21" s="10">
        <v>0</v>
      </c>
      <c r="G21" s="10">
        <v>189</v>
      </c>
      <c r="H21" s="83" t="s">
        <v>23</v>
      </c>
      <c r="I21" s="53">
        <f t="shared" si="3"/>
        <v>0</v>
      </c>
      <c r="J21" s="50">
        <f>IF(MAX($F$5:$F$46)=0,0,G21*$U$16)</f>
        <v>5.67</v>
      </c>
      <c r="K21" s="10">
        <v>0</v>
      </c>
      <c r="L21" s="50">
        <f t="shared" si="0"/>
        <v>5.67</v>
      </c>
      <c r="M21" s="52">
        <v>104.97250000000001</v>
      </c>
      <c r="N21" s="59">
        <f t="shared" si="1"/>
        <v>110.64250000000001</v>
      </c>
      <c r="O21" s="17">
        <f t="shared" si="2"/>
        <v>0</v>
      </c>
      <c r="P21" s="53">
        <f t="shared" si="4"/>
        <v>110.64250000000001</v>
      </c>
      <c r="Q21" s="4"/>
      <c r="R21" s="4"/>
      <c r="S21" s="4"/>
      <c r="T21" s="1"/>
      <c r="U21" s="1"/>
    </row>
    <row r="22" spans="1:21" s="29" customFormat="1" ht="18.75">
      <c r="A22" s="9">
        <v>0</v>
      </c>
      <c r="B22" s="9">
        <v>18</v>
      </c>
      <c r="C22" s="8"/>
      <c r="D22" s="45" t="s">
        <v>50</v>
      </c>
      <c r="E22" s="32"/>
      <c r="F22" s="10">
        <v>0</v>
      </c>
      <c r="G22" s="10">
        <v>189</v>
      </c>
      <c r="H22" s="83" t="s">
        <v>23</v>
      </c>
      <c r="I22" s="53">
        <f t="shared" si="3"/>
        <v>0</v>
      </c>
      <c r="J22" s="50">
        <f>IF(MAX($F$5:$F$46)=0,0,G22*$U$16)</f>
        <v>5.67</v>
      </c>
      <c r="K22" s="10">
        <v>0</v>
      </c>
      <c r="L22" s="50">
        <f t="shared" si="0"/>
        <v>5.67</v>
      </c>
      <c r="M22" s="52">
        <v>98.964999999999989</v>
      </c>
      <c r="N22" s="59">
        <f t="shared" si="1"/>
        <v>104.63499999999999</v>
      </c>
      <c r="O22" s="17">
        <f t="shared" si="2"/>
        <v>0</v>
      </c>
      <c r="P22" s="53">
        <f t="shared" si="4"/>
        <v>104.63499999999999</v>
      </c>
      <c r="Q22" s="4"/>
      <c r="R22" s="4"/>
      <c r="S22" s="4"/>
      <c r="T22" s="1"/>
      <c r="U22" s="1"/>
    </row>
    <row r="23" spans="1:21" s="29" customFormat="1" ht="18.75">
      <c r="A23" s="9">
        <v>0</v>
      </c>
      <c r="B23" s="9">
        <v>19</v>
      </c>
      <c r="C23" s="8"/>
      <c r="D23" s="45" t="s">
        <v>51</v>
      </c>
      <c r="E23" s="34"/>
      <c r="F23" s="10">
        <v>0</v>
      </c>
      <c r="G23" s="10">
        <v>177</v>
      </c>
      <c r="H23" s="83" t="s">
        <v>23</v>
      </c>
      <c r="I23" s="53">
        <f t="shared" si="3"/>
        <v>0</v>
      </c>
      <c r="J23" s="50">
        <f>IF(MAX($F$5:$F$46)=0,0,G23*$U$16)</f>
        <v>5.31</v>
      </c>
      <c r="K23" s="10">
        <v>0</v>
      </c>
      <c r="L23" s="50">
        <f t="shared" si="0"/>
        <v>5.31</v>
      </c>
      <c r="M23" s="52">
        <v>103.53</v>
      </c>
      <c r="N23" s="59">
        <f t="shared" si="1"/>
        <v>108.84</v>
      </c>
      <c r="O23" s="17">
        <f t="shared" si="2"/>
        <v>0</v>
      </c>
      <c r="P23" s="53">
        <f t="shared" si="4"/>
        <v>108.84</v>
      </c>
      <c r="Q23" s="4"/>
      <c r="R23" s="4"/>
      <c r="S23" s="4"/>
      <c r="T23" s="1"/>
      <c r="U23" s="1"/>
    </row>
    <row r="24" spans="1:21" s="29" customFormat="1" ht="18.75">
      <c r="A24" s="9">
        <v>0</v>
      </c>
      <c r="B24" s="9">
        <v>20</v>
      </c>
      <c r="C24" s="8"/>
      <c r="D24" s="45" t="s">
        <v>52</v>
      </c>
      <c r="E24" s="34"/>
      <c r="F24" s="10">
        <v>0</v>
      </c>
      <c r="G24" s="10">
        <v>182</v>
      </c>
      <c r="H24" s="83" t="s">
        <v>23</v>
      </c>
      <c r="I24" s="53">
        <f t="shared" si="3"/>
        <v>0</v>
      </c>
      <c r="J24" s="50">
        <f>IF(MAX($F$5:$F$46)=0,0,G24*$U$16)</f>
        <v>5.46</v>
      </c>
      <c r="K24" s="10">
        <v>0</v>
      </c>
      <c r="L24" s="50">
        <f t="shared" si="0"/>
        <v>5.46</v>
      </c>
      <c r="M24" s="52">
        <v>103.00999999999999</v>
      </c>
      <c r="N24" s="59">
        <f t="shared" si="1"/>
        <v>108.46999999999998</v>
      </c>
      <c r="O24" s="17">
        <f t="shared" si="2"/>
        <v>0</v>
      </c>
      <c r="P24" s="53">
        <f t="shared" si="4"/>
        <v>108.46999999999998</v>
      </c>
      <c r="Q24" s="4"/>
      <c r="R24" s="4"/>
      <c r="S24" s="4"/>
      <c r="T24" s="1"/>
      <c r="U24" s="1"/>
    </row>
    <row r="25" spans="1:21" s="29" customFormat="1" ht="18.75">
      <c r="A25" s="9">
        <v>0</v>
      </c>
      <c r="B25" s="9">
        <v>21</v>
      </c>
      <c r="C25" s="8"/>
      <c r="D25" s="45" t="s">
        <v>53</v>
      </c>
      <c r="E25" s="34"/>
      <c r="F25" s="10">
        <v>0</v>
      </c>
      <c r="G25" s="10">
        <v>176</v>
      </c>
      <c r="H25" s="83" t="s">
        <v>23</v>
      </c>
      <c r="I25" s="53">
        <f t="shared" si="3"/>
        <v>0</v>
      </c>
      <c r="J25" s="50">
        <f>IF(MAX($F$5:$F$46)=0,0,G25*$U$16)</f>
        <v>5.2799999999999994</v>
      </c>
      <c r="K25" s="10">
        <v>0</v>
      </c>
      <c r="L25" s="50">
        <f t="shared" si="0"/>
        <v>5.2799999999999994</v>
      </c>
      <c r="M25" s="52">
        <v>103.02</v>
      </c>
      <c r="N25" s="59">
        <f t="shared" si="1"/>
        <v>108.3</v>
      </c>
      <c r="O25" s="17">
        <f t="shared" si="2"/>
        <v>0</v>
      </c>
      <c r="P25" s="53">
        <f t="shared" si="4"/>
        <v>108.3</v>
      </c>
      <c r="Q25" s="4"/>
      <c r="R25" s="4"/>
      <c r="S25" s="4"/>
      <c r="T25" s="1"/>
      <c r="U25" s="1"/>
    </row>
    <row r="26" spans="1:21" s="29" customFormat="1" ht="18.75" customHeight="1">
      <c r="A26" s="9">
        <v>0</v>
      </c>
      <c r="B26" s="9">
        <v>22</v>
      </c>
      <c r="C26" s="8"/>
      <c r="D26" s="45" t="s">
        <v>54</v>
      </c>
      <c r="E26" s="34"/>
      <c r="F26" s="10">
        <v>0</v>
      </c>
      <c r="G26" s="10">
        <v>174</v>
      </c>
      <c r="H26" s="83" t="s">
        <v>23</v>
      </c>
      <c r="I26" s="53">
        <f t="shared" si="3"/>
        <v>0</v>
      </c>
      <c r="J26" s="50">
        <f>IF(MAX($F$5:$F$46)=0,0,G26*$U$16)</f>
        <v>5.22</v>
      </c>
      <c r="K26" s="10">
        <v>0</v>
      </c>
      <c r="L26" s="50">
        <f t="shared" si="0"/>
        <v>5.22</v>
      </c>
      <c r="M26" s="52">
        <v>99.330000000000013</v>
      </c>
      <c r="N26" s="59">
        <f t="shared" si="1"/>
        <v>104.55000000000001</v>
      </c>
      <c r="O26" s="17">
        <f t="shared" si="2"/>
        <v>0</v>
      </c>
      <c r="P26" s="53">
        <f t="shared" si="4"/>
        <v>104.55000000000001</v>
      </c>
      <c r="Q26" s="4"/>
      <c r="R26" s="4"/>
      <c r="S26" s="4"/>
      <c r="T26" s="1"/>
      <c r="U26" s="1"/>
    </row>
    <row r="27" spans="1:21" s="29" customFormat="1" ht="18.75">
      <c r="A27" s="9">
        <v>0</v>
      </c>
      <c r="B27" s="9">
        <v>23</v>
      </c>
      <c r="C27" s="8"/>
      <c r="D27" s="45" t="s">
        <v>55</v>
      </c>
      <c r="E27" s="34"/>
      <c r="F27" s="10">
        <v>0</v>
      </c>
      <c r="G27" s="10">
        <v>164</v>
      </c>
      <c r="H27" s="83" t="s">
        <v>23</v>
      </c>
      <c r="I27" s="53">
        <f t="shared" si="3"/>
        <v>0</v>
      </c>
      <c r="J27" s="50">
        <f>IF(MAX($F$5:$F$46)=0,0,G27*$U$16)</f>
        <v>4.92</v>
      </c>
      <c r="K27" s="10">
        <v>0</v>
      </c>
      <c r="L27" s="50">
        <f t="shared" si="0"/>
        <v>4.92</v>
      </c>
      <c r="M27" s="52">
        <v>42.777500000000003</v>
      </c>
      <c r="N27" s="59">
        <f t="shared" si="1"/>
        <v>47.697500000000005</v>
      </c>
      <c r="O27" s="17">
        <f t="shared" si="2"/>
        <v>0</v>
      </c>
      <c r="P27" s="53">
        <f t="shared" si="4"/>
        <v>47.697500000000005</v>
      </c>
      <c r="Q27" s="4"/>
      <c r="R27" s="4"/>
      <c r="S27" s="4"/>
      <c r="T27" s="1"/>
      <c r="U27" s="1"/>
    </row>
    <row r="28" spans="1:21" s="29" customFormat="1" ht="18.75">
      <c r="A28" s="9">
        <v>0</v>
      </c>
      <c r="B28" s="9">
        <v>24</v>
      </c>
      <c r="C28" s="8"/>
      <c r="D28" s="45" t="s">
        <v>56</v>
      </c>
      <c r="E28" s="34"/>
      <c r="F28" s="10">
        <v>0</v>
      </c>
      <c r="G28" s="10">
        <v>165</v>
      </c>
      <c r="H28" s="83" t="s">
        <v>23</v>
      </c>
      <c r="I28" s="53">
        <f t="shared" si="3"/>
        <v>0</v>
      </c>
      <c r="J28" s="50">
        <f>IF(MAX($F$5:$F$46)=0,0,G28*$U$16)</f>
        <v>4.95</v>
      </c>
      <c r="K28" s="10">
        <v>0</v>
      </c>
      <c r="L28" s="50">
        <f t="shared" si="0"/>
        <v>4.95</v>
      </c>
      <c r="M28" s="52">
        <v>103.89000000000001</v>
      </c>
      <c r="N28" s="59">
        <f t="shared" si="1"/>
        <v>108.84000000000002</v>
      </c>
      <c r="O28" s="17">
        <f t="shared" si="2"/>
        <v>0</v>
      </c>
      <c r="P28" s="53">
        <f t="shared" si="4"/>
        <v>108.84000000000002</v>
      </c>
      <c r="Q28" s="4"/>
      <c r="R28" s="4"/>
      <c r="S28" s="4"/>
      <c r="T28" s="1"/>
      <c r="U28" s="1"/>
    </row>
    <row r="29" spans="1:21" s="29" customFormat="1" ht="18.75">
      <c r="A29" s="9">
        <v>0</v>
      </c>
      <c r="B29" s="9">
        <v>25</v>
      </c>
      <c r="C29" s="8"/>
      <c r="D29" s="45" t="s">
        <v>57</v>
      </c>
      <c r="E29" s="34"/>
      <c r="F29" s="10">
        <v>0</v>
      </c>
      <c r="G29" s="10">
        <v>159</v>
      </c>
      <c r="H29" s="83" t="s">
        <v>23</v>
      </c>
      <c r="I29" s="53">
        <f t="shared" si="3"/>
        <v>0</v>
      </c>
      <c r="J29" s="50">
        <f>IF(MAX($F$5:$F$46)=0,0,G29*$U$16)</f>
        <v>4.7699999999999996</v>
      </c>
      <c r="K29" s="10">
        <v>0</v>
      </c>
      <c r="L29" s="50">
        <f t="shared" si="0"/>
        <v>4.7699999999999996</v>
      </c>
      <c r="M29" s="52">
        <v>100.97000000000003</v>
      </c>
      <c r="N29" s="59">
        <f t="shared" si="1"/>
        <v>105.74000000000002</v>
      </c>
      <c r="O29" s="17">
        <f t="shared" si="2"/>
        <v>0</v>
      </c>
      <c r="P29" s="53">
        <f t="shared" si="4"/>
        <v>105.74000000000002</v>
      </c>
      <c r="Q29" s="4"/>
      <c r="R29" s="4"/>
      <c r="S29" s="4"/>
      <c r="T29" s="1"/>
      <c r="U29" s="1"/>
    </row>
    <row r="30" spans="1:21" s="29" customFormat="1" ht="18.75">
      <c r="A30" s="9">
        <v>0</v>
      </c>
      <c r="B30" s="9">
        <v>26</v>
      </c>
      <c r="C30" s="8"/>
      <c r="D30" s="45" t="s">
        <v>58</v>
      </c>
      <c r="E30" s="34"/>
      <c r="F30" s="10">
        <v>0</v>
      </c>
      <c r="G30" s="10">
        <v>153</v>
      </c>
      <c r="H30" s="83" t="s">
        <v>23</v>
      </c>
      <c r="I30" s="53">
        <f t="shared" si="3"/>
        <v>0</v>
      </c>
      <c r="J30" s="50">
        <f>IF(MAX($F$5:$F$46)=0,0,G30*$U$16)</f>
        <v>4.59</v>
      </c>
      <c r="K30" s="10">
        <v>0</v>
      </c>
      <c r="L30" s="50">
        <f t="shared" si="0"/>
        <v>4.59</v>
      </c>
      <c r="M30" s="52">
        <v>104.80999999999999</v>
      </c>
      <c r="N30" s="59">
        <f t="shared" si="1"/>
        <v>109.39999999999999</v>
      </c>
      <c r="O30" s="17">
        <f t="shared" si="2"/>
        <v>0</v>
      </c>
      <c r="P30" s="53">
        <f t="shared" si="4"/>
        <v>109.39999999999999</v>
      </c>
      <c r="Q30" s="4"/>
      <c r="R30" s="4"/>
      <c r="S30" s="4"/>
      <c r="T30" s="1"/>
      <c r="U30" s="1"/>
    </row>
    <row r="31" spans="1:21" s="29" customFormat="1" ht="18.75">
      <c r="A31" s="9">
        <v>0</v>
      </c>
      <c r="B31" s="9">
        <v>27</v>
      </c>
      <c r="C31" s="8"/>
      <c r="D31" s="47" t="s">
        <v>59</v>
      </c>
      <c r="E31" s="34"/>
      <c r="F31" s="10">
        <v>0</v>
      </c>
      <c r="G31" s="10">
        <v>157</v>
      </c>
      <c r="H31" s="83" t="s">
        <v>23</v>
      </c>
      <c r="I31" s="53">
        <f t="shared" si="3"/>
        <v>0</v>
      </c>
      <c r="J31" s="50">
        <f>IF(MAX($F$5:$F$46)=0,0,G31*$U$16)</f>
        <v>4.71</v>
      </c>
      <c r="K31" s="10">
        <v>0</v>
      </c>
      <c r="L31" s="50">
        <f t="shared" si="0"/>
        <v>4.71</v>
      </c>
      <c r="M31" s="52">
        <v>100.92750000000001</v>
      </c>
      <c r="N31" s="59">
        <f t="shared" si="1"/>
        <v>105.6375</v>
      </c>
      <c r="O31" s="17">
        <f t="shared" si="2"/>
        <v>0</v>
      </c>
      <c r="P31" s="53">
        <f t="shared" si="4"/>
        <v>105.6375</v>
      </c>
      <c r="Q31" s="4"/>
      <c r="R31" s="4"/>
      <c r="S31" s="4"/>
      <c r="T31" s="1"/>
      <c r="U31" s="1"/>
    </row>
    <row r="32" spans="1:21" s="29" customFormat="1" ht="18.75">
      <c r="A32" s="9">
        <v>0</v>
      </c>
      <c r="B32" s="9">
        <v>28</v>
      </c>
      <c r="C32" s="8"/>
      <c r="D32" s="49" t="s">
        <v>60</v>
      </c>
      <c r="E32" s="34"/>
      <c r="F32" s="10">
        <v>0</v>
      </c>
      <c r="G32" s="10">
        <v>146</v>
      </c>
      <c r="H32" s="83" t="s">
        <v>23</v>
      </c>
      <c r="I32" s="53">
        <f t="shared" si="3"/>
        <v>0</v>
      </c>
      <c r="J32" s="50">
        <f>IF(MAX($F$5:$F$46)=0,0,G32*$U$16)</f>
        <v>4.38</v>
      </c>
      <c r="K32" s="10">
        <v>0</v>
      </c>
      <c r="L32" s="50">
        <f t="shared" si="0"/>
        <v>4.38</v>
      </c>
      <c r="M32" s="52">
        <v>94.609999999999985</v>
      </c>
      <c r="N32" s="59">
        <f t="shared" si="1"/>
        <v>98.989999999999981</v>
      </c>
      <c r="O32" s="17">
        <f t="shared" si="2"/>
        <v>0</v>
      </c>
      <c r="P32" s="53">
        <f t="shared" si="4"/>
        <v>98.989999999999981</v>
      </c>
      <c r="Q32" s="4"/>
      <c r="R32" s="4"/>
      <c r="S32" s="4"/>
      <c r="T32" s="1"/>
      <c r="U32" s="1"/>
    </row>
    <row r="33" spans="1:21" s="29" customFormat="1" ht="18.75">
      <c r="A33" s="9">
        <v>0</v>
      </c>
      <c r="B33" s="9">
        <v>29</v>
      </c>
      <c r="C33" s="8"/>
      <c r="D33" s="60" t="s">
        <v>61</v>
      </c>
      <c r="E33" s="34"/>
      <c r="F33" s="10">
        <v>0</v>
      </c>
      <c r="G33" s="10">
        <v>144</v>
      </c>
      <c r="H33" s="83" t="s">
        <v>23</v>
      </c>
      <c r="I33" s="53">
        <f t="shared" si="3"/>
        <v>0</v>
      </c>
      <c r="J33" s="50">
        <f>IF(MAX($F$5:$F$46)=0,0,G33*$U$16)</f>
        <v>4.32</v>
      </c>
      <c r="K33" s="10">
        <v>0</v>
      </c>
      <c r="L33" s="50">
        <f>SUM(J33+I33+K33)</f>
        <v>4.32</v>
      </c>
      <c r="M33" s="52">
        <v>83.179999999999978</v>
      </c>
      <c r="N33" s="59">
        <f t="shared" si="1"/>
        <v>87.499999999999972</v>
      </c>
      <c r="O33" s="17">
        <f t="shared" si="2"/>
        <v>0</v>
      </c>
      <c r="P33" s="53">
        <f t="shared" si="4"/>
        <v>87.499999999999972</v>
      </c>
      <c r="Q33" s="4"/>
      <c r="R33" s="4"/>
      <c r="S33" s="4"/>
      <c r="T33" s="1"/>
      <c r="U33" s="1"/>
    </row>
    <row r="34" spans="1:21" s="29" customFormat="1" ht="18.75">
      <c r="A34" s="9">
        <v>0</v>
      </c>
      <c r="B34" s="9">
        <v>30</v>
      </c>
      <c r="C34" s="8"/>
      <c r="D34" s="48" t="s">
        <v>62</v>
      </c>
      <c r="E34" s="34"/>
      <c r="F34" s="10">
        <v>0</v>
      </c>
      <c r="G34" s="10">
        <v>136</v>
      </c>
      <c r="H34" s="83" t="s">
        <v>23</v>
      </c>
      <c r="I34" s="53">
        <f t="shared" si="3"/>
        <v>0</v>
      </c>
      <c r="J34" s="50">
        <f>IF(MAX($F$5:$F$46)=0,0,G34*$U$16)</f>
        <v>4.08</v>
      </c>
      <c r="K34" s="10">
        <v>0</v>
      </c>
      <c r="L34" s="50">
        <f>SUM(J34+I34+K34)*(1-A34)</f>
        <v>4.08</v>
      </c>
      <c r="M34" s="52">
        <v>91.690000000000012</v>
      </c>
      <c r="N34" s="59">
        <f t="shared" si="1"/>
        <v>95.77000000000001</v>
      </c>
      <c r="O34" s="17">
        <f t="shared" si="2"/>
        <v>0</v>
      </c>
      <c r="P34" s="53">
        <f t="shared" si="4"/>
        <v>95.77000000000001</v>
      </c>
      <c r="Q34" s="4"/>
      <c r="R34" s="4"/>
      <c r="S34" s="4"/>
      <c r="T34" s="1"/>
      <c r="U34" s="1"/>
    </row>
    <row r="35" spans="1:21" s="29" customFormat="1" ht="18.75">
      <c r="A35" s="9">
        <v>0</v>
      </c>
      <c r="B35" s="9">
        <v>31</v>
      </c>
      <c r="C35" s="8"/>
      <c r="D35" s="45" t="s">
        <v>63</v>
      </c>
      <c r="E35" s="34"/>
      <c r="F35" s="10">
        <v>0</v>
      </c>
      <c r="G35" s="10">
        <v>129</v>
      </c>
      <c r="H35" s="83" t="s">
        <v>23</v>
      </c>
      <c r="I35" s="53">
        <f t="shared" si="3"/>
        <v>0</v>
      </c>
      <c r="J35" s="50">
        <f>IF(MAX($F$5:$F$46)=0,0,G35*$U$16)</f>
        <v>3.8699999999999997</v>
      </c>
      <c r="K35" s="10">
        <v>0</v>
      </c>
      <c r="L35" s="50">
        <f>SUM(J35+I35+K35)</f>
        <v>3.8699999999999997</v>
      </c>
      <c r="M35" s="52">
        <v>82.735000000000014</v>
      </c>
      <c r="N35" s="59">
        <f t="shared" si="1"/>
        <v>86.605000000000018</v>
      </c>
      <c r="O35" s="17">
        <f t="shared" si="2"/>
        <v>0</v>
      </c>
      <c r="P35" s="53">
        <f t="shared" si="4"/>
        <v>86.605000000000018</v>
      </c>
      <c r="Q35" s="4"/>
      <c r="R35" s="4"/>
      <c r="S35" s="4"/>
      <c r="T35" s="1"/>
      <c r="U35" s="1"/>
    </row>
    <row r="36" spans="1:21" s="29" customFormat="1" ht="18.75">
      <c r="A36" s="9">
        <v>0</v>
      </c>
      <c r="B36" s="9">
        <v>32</v>
      </c>
      <c r="C36" s="8"/>
      <c r="D36" s="45" t="s">
        <v>64</v>
      </c>
      <c r="E36" s="34"/>
      <c r="F36" s="10">
        <v>0</v>
      </c>
      <c r="G36" s="10">
        <v>132</v>
      </c>
      <c r="H36" s="83" t="s">
        <v>23</v>
      </c>
      <c r="I36" s="53">
        <f t="shared" si="3"/>
        <v>0</v>
      </c>
      <c r="J36" s="50">
        <f>IF(MAX($F$5:$F$46)=0,0,G36*$U$16)</f>
        <v>3.96</v>
      </c>
      <c r="K36" s="10">
        <v>0</v>
      </c>
      <c r="L36" s="50">
        <f>SUM(J36+I36+K36)*(1-A36)</f>
        <v>3.96</v>
      </c>
      <c r="M36" s="52">
        <v>31.230000000000011</v>
      </c>
      <c r="N36" s="59">
        <f t="shared" si="1"/>
        <v>35.190000000000012</v>
      </c>
      <c r="O36" s="17">
        <f t="shared" si="2"/>
        <v>0</v>
      </c>
      <c r="P36" s="53">
        <f t="shared" si="4"/>
        <v>35.190000000000012</v>
      </c>
      <c r="Q36" s="4"/>
      <c r="R36" s="4"/>
      <c r="S36" s="4"/>
      <c r="T36" s="1"/>
      <c r="U36" s="1"/>
    </row>
    <row r="37" spans="1:21" s="29" customFormat="1" ht="18.75">
      <c r="A37" s="9">
        <v>0</v>
      </c>
      <c r="B37" s="9">
        <v>33</v>
      </c>
      <c r="C37" s="8"/>
      <c r="D37" s="45" t="s">
        <v>65</v>
      </c>
      <c r="E37" s="32"/>
      <c r="F37" s="10">
        <v>0</v>
      </c>
      <c r="G37" s="10">
        <v>125</v>
      </c>
      <c r="H37" s="83" t="s">
        <v>23</v>
      </c>
      <c r="I37" s="53">
        <f t="shared" si="3"/>
        <v>0</v>
      </c>
      <c r="J37" s="50">
        <f>IF(MAX($F$5:$F$46)=0,0,G37*$U$16)</f>
        <v>3.75</v>
      </c>
      <c r="K37" s="10">
        <v>0</v>
      </c>
      <c r="L37" s="50">
        <f>SUM(J37+I37+K37)</f>
        <v>3.75</v>
      </c>
      <c r="M37" s="52">
        <v>80.72999999999999</v>
      </c>
      <c r="N37" s="59">
        <f t="shared" si="1"/>
        <v>84.47999999999999</v>
      </c>
      <c r="O37" s="17">
        <f t="shared" si="2"/>
        <v>0</v>
      </c>
      <c r="P37" s="53">
        <f t="shared" si="4"/>
        <v>84.47999999999999</v>
      </c>
      <c r="Q37" s="4"/>
      <c r="R37" s="4"/>
      <c r="S37" s="4"/>
      <c r="T37" s="1"/>
      <c r="U37" s="1"/>
    </row>
    <row r="38" spans="1:21" s="29" customFormat="1" ht="18.75">
      <c r="A38" s="9">
        <v>0</v>
      </c>
      <c r="B38" s="9">
        <v>34</v>
      </c>
      <c r="C38" s="8"/>
      <c r="D38" s="45" t="s">
        <v>66</v>
      </c>
      <c r="E38" s="34"/>
      <c r="F38" s="10">
        <v>0</v>
      </c>
      <c r="G38" s="10">
        <v>107</v>
      </c>
      <c r="H38" s="83" t="s">
        <v>23</v>
      </c>
      <c r="I38" s="53">
        <f t="shared" si="3"/>
        <v>0</v>
      </c>
      <c r="J38" s="50">
        <f>IF(MAX($F$5:$F$46)=0,0,G38*$U$16)</f>
        <v>3.21</v>
      </c>
      <c r="K38" s="10">
        <v>0</v>
      </c>
      <c r="L38" s="50">
        <f>SUM(J38+I38+K38)</f>
        <v>3.21</v>
      </c>
      <c r="M38" s="52">
        <v>95.460000000000008</v>
      </c>
      <c r="N38" s="59">
        <f t="shared" si="1"/>
        <v>98.67</v>
      </c>
      <c r="O38" s="17">
        <f t="shared" si="2"/>
        <v>0</v>
      </c>
      <c r="P38" s="53">
        <f t="shared" si="4"/>
        <v>98.67</v>
      </c>
      <c r="Q38" s="4"/>
      <c r="R38" s="4"/>
      <c r="S38" s="4"/>
      <c r="T38" s="1"/>
      <c r="U38" s="1"/>
    </row>
    <row r="39" spans="1:21" s="68" customFormat="1" ht="18.75">
      <c r="A39" s="9">
        <v>0</v>
      </c>
      <c r="B39" s="9">
        <v>35</v>
      </c>
      <c r="C39" s="8"/>
      <c r="D39" s="47" t="s">
        <v>67</v>
      </c>
      <c r="E39" s="2"/>
      <c r="F39" s="10">
        <v>0</v>
      </c>
      <c r="G39" s="10">
        <v>109</v>
      </c>
      <c r="H39" s="83" t="s">
        <v>23</v>
      </c>
      <c r="I39" s="53">
        <f t="shared" si="3"/>
        <v>0</v>
      </c>
      <c r="J39" s="50">
        <f>IF(MAX($F$5:$F$46)=0,0,G39*$U$16)</f>
        <v>3.27</v>
      </c>
      <c r="K39" s="10">
        <v>0</v>
      </c>
      <c r="L39" s="50">
        <f t="shared" ref="L39:L51" si="5">SUM(J39+I39+K39)*(1-A39)</f>
        <v>3.27</v>
      </c>
      <c r="M39" s="52">
        <v>61.5</v>
      </c>
      <c r="N39" s="59">
        <f t="shared" si="1"/>
        <v>64.77</v>
      </c>
      <c r="O39" s="17">
        <f t="shared" si="2"/>
        <v>0</v>
      </c>
      <c r="P39" s="53">
        <f t="shared" si="4"/>
        <v>64.77</v>
      </c>
      <c r="Q39" s="4"/>
      <c r="R39" s="4"/>
      <c r="S39" s="4"/>
      <c r="T39" s="3"/>
      <c r="U39" s="3"/>
    </row>
    <row r="40" spans="1:21" ht="18.75">
      <c r="A40" s="9">
        <v>0</v>
      </c>
      <c r="B40" s="9">
        <v>36</v>
      </c>
      <c r="C40" s="8"/>
      <c r="D40" s="49" t="s">
        <v>68</v>
      </c>
      <c r="E40" s="2"/>
      <c r="F40" s="10">
        <v>0</v>
      </c>
      <c r="G40" s="10">
        <v>30</v>
      </c>
      <c r="H40" s="83" t="s">
        <v>23</v>
      </c>
      <c r="I40" s="53">
        <f t="shared" si="3"/>
        <v>0</v>
      </c>
      <c r="J40" s="50">
        <f>IF(MAX($F$5:$F$46)=0,0,G40*$U$16)</f>
        <v>0.89999999999999991</v>
      </c>
      <c r="K40" s="10">
        <v>0</v>
      </c>
      <c r="L40" s="50">
        <f t="shared" si="5"/>
        <v>0.89999999999999991</v>
      </c>
      <c r="M40" s="52">
        <v>29.849999999999994</v>
      </c>
      <c r="N40" s="59">
        <f t="shared" si="1"/>
        <v>30.749999999999993</v>
      </c>
      <c r="O40" s="17">
        <f t="shared" si="2"/>
        <v>0</v>
      </c>
      <c r="P40" s="53">
        <f t="shared" si="4"/>
        <v>30.749999999999993</v>
      </c>
      <c r="Q40" s="4"/>
      <c r="R40" s="4"/>
      <c r="S40" s="4"/>
      <c r="T40"/>
      <c r="U40"/>
    </row>
    <row r="41" spans="1:21" ht="18.75">
      <c r="A41" s="9">
        <v>0</v>
      </c>
      <c r="B41" s="9">
        <v>37</v>
      </c>
      <c r="C41" s="8"/>
      <c r="D41" s="49" t="s">
        <v>69</v>
      </c>
      <c r="E41" s="2"/>
      <c r="F41" s="10">
        <v>0</v>
      </c>
      <c r="G41" s="10">
        <v>64</v>
      </c>
      <c r="H41" s="83" t="s">
        <v>23</v>
      </c>
      <c r="I41" s="53">
        <f t="shared" si="3"/>
        <v>0</v>
      </c>
      <c r="J41" s="50">
        <f>IF(MAX($F$5:$F$46)=0,0,G41*$U$16)</f>
        <v>1.92</v>
      </c>
      <c r="K41" s="10">
        <v>0</v>
      </c>
      <c r="L41" s="50">
        <f t="shared" si="5"/>
        <v>1.92</v>
      </c>
      <c r="M41" s="52">
        <v>-5.4799999999999995</v>
      </c>
      <c r="N41" s="59">
        <f t="shared" si="1"/>
        <v>-3.5599999999999996</v>
      </c>
      <c r="O41" s="17">
        <f t="shared" si="2"/>
        <v>0</v>
      </c>
      <c r="P41" s="53">
        <f t="shared" si="4"/>
        <v>-3.5599999999999996</v>
      </c>
      <c r="Q41" s="4"/>
      <c r="R41" s="4"/>
      <c r="S41" s="4"/>
      <c r="T41"/>
      <c r="U41"/>
    </row>
    <row r="42" spans="1:21" ht="18.75">
      <c r="A42" s="9">
        <v>1</v>
      </c>
      <c r="B42" s="9">
        <v>38</v>
      </c>
      <c r="C42" s="8"/>
      <c r="D42" s="48" t="s">
        <v>70</v>
      </c>
      <c r="E42" s="2"/>
      <c r="F42" s="10">
        <v>0</v>
      </c>
      <c r="G42" s="10">
        <v>6</v>
      </c>
      <c r="H42" s="83" t="s">
        <v>23</v>
      </c>
      <c r="I42" s="53">
        <f t="shared" si="3"/>
        <v>0</v>
      </c>
      <c r="J42" s="50">
        <f>IF(MAX($F$5:$F$46)=0,0,G42*$U$16)</f>
        <v>0.18</v>
      </c>
      <c r="K42" s="10">
        <v>0</v>
      </c>
      <c r="L42" s="50">
        <f t="shared" si="5"/>
        <v>0</v>
      </c>
      <c r="M42" s="52">
        <v>4</v>
      </c>
      <c r="N42" s="59">
        <f t="shared" si="1"/>
        <v>0</v>
      </c>
      <c r="O42" s="17">
        <f t="shared" si="2"/>
        <v>0</v>
      </c>
      <c r="P42" s="53">
        <f t="shared" si="4"/>
        <v>4</v>
      </c>
      <c r="Q42" s="4"/>
      <c r="R42" s="4"/>
      <c r="S42" s="4"/>
      <c r="T42"/>
      <c r="U42"/>
    </row>
    <row r="43" spans="1:21" ht="18.75">
      <c r="A43" s="9">
        <v>1</v>
      </c>
      <c r="B43" s="9">
        <v>39</v>
      </c>
      <c r="C43" s="8"/>
      <c r="D43" s="45" t="s">
        <v>71</v>
      </c>
      <c r="E43" s="2"/>
      <c r="F43" s="10">
        <v>0</v>
      </c>
      <c r="G43" s="10">
        <v>45</v>
      </c>
      <c r="H43" s="83" t="s">
        <v>23</v>
      </c>
      <c r="I43" s="53">
        <f t="shared" si="3"/>
        <v>0</v>
      </c>
      <c r="J43" s="50">
        <f>IF(MAX($F$5:$F$46)=0,0,G43*$U$16)</f>
        <v>1.3499999999999999</v>
      </c>
      <c r="K43" s="10">
        <v>0</v>
      </c>
      <c r="L43" s="50">
        <f t="shared" si="5"/>
        <v>0</v>
      </c>
      <c r="M43" s="52">
        <v>-3</v>
      </c>
      <c r="N43" s="59">
        <f t="shared" si="1"/>
        <v>0</v>
      </c>
      <c r="O43" s="17">
        <f t="shared" si="2"/>
        <v>0</v>
      </c>
      <c r="P43" s="53">
        <f t="shared" si="4"/>
        <v>-3</v>
      </c>
      <c r="Q43" s="4"/>
      <c r="R43" s="4"/>
      <c r="S43" s="4"/>
      <c r="T43"/>
      <c r="U43"/>
    </row>
    <row r="44" spans="1:21" customFormat="1" ht="18.75">
      <c r="A44" s="9">
        <v>1</v>
      </c>
      <c r="B44" s="9">
        <v>40</v>
      </c>
      <c r="C44" s="8"/>
      <c r="D44" s="45" t="s">
        <v>72</v>
      </c>
      <c r="E44" s="34"/>
      <c r="F44" s="10">
        <v>0</v>
      </c>
      <c r="G44" s="10">
        <v>8</v>
      </c>
      <c r="H44" s="83" t="s">
        <v>23</v>
      </c>
      <c r="I44" s="53">
        <f t="shared" si="3"/>
        <v>0</v>
      </c>
      <c r="J44" s="50">
        <f>IF(MAX($F$5:$F$46)=0,0,G44*$U$16)</f>
        <v>0.24</v>
      </c>
      <c r="K44" s="10">
        <v>0</v>
      </c>
      <c r="L44" s="50">
        <f t="shared" si="5"/>
        <v>0</v>
      </c>
      <c r="M44" s="52">
        <v>7</v>
      </c>
      <c r="N44" s="59">
        <f t="shared" si="1"/>
        <v>0</v>
      </c>
      <c r="O44" s="17">
        <f t="shared" si="2"/>
        <v>0</v>
      </c>
      <c r="P44" s="53">
        <f t="shared" si="4"/>
        <v>7</v>
      </c>
      <c r="Q44" s="4"/>
      <c r="R44" s="4"/>
      <c r="S44" s="4"/>
    </row>
    <row r="45" spans="1:21" customFormat="1" ht="18.75">
      <c r="A45" s="9">
        <v>0</v>
      </c>
      <c r="B45" s="9">
        <v>41</v>
      </c>
      <c r="C45" s="8"/>
      <c r="D45" s="47" t="s">
        <v>73</v>
      </c>
      <c r="E45" s="82"/>
      <c r="F45" s="10">
        <v>0</v>
      </c>
      <c r="G45" s="62">
        <v>115</v>
      </c>
      <c r="H45" s="83" t="s">
        <v>23</v>
      </c>
      <c r="I45" s="53">
        <f t="shared" si="3"/>
        <v>0</v>
      </c>
      <c r="J45" s="50">
        <f>IF(MAX($F$5:$F$46)=0,0,G45*$U$16)</f>
        <v>3.4499999999999997</v>
      </c>
      <c r="K45" s="62">
        <v>0</v>
      </c>
      <c r="L45" s="64">
        <f t="shared" si="5"/>
        <v>3.4499999999999997</v>
      </c>
      <c r="M45" s="65">
        <v>27.249999999999996</v>
      </c>
      <c r="N45" s="66">
        <f t="shared" si="1"/>
        <v>30.699999999999996</v>
      </c>
      <c r="O45" s="17">
        <f t="shared" si="2"/>
        <v>0</v>
      </c>
      <c r="P45" s="53">
        <f t="shared" si="4"/>
        <v>30.699999999999996</v>
      </c>
      <c r="Q45" s="67"/>
      <c r="R45" s="67"/>
      <c r="S45" s="67"/>
    </row>
    <row r="46" spans="1:21" customFormat="1" ht="18.75">
      <c r="A46" s="9">
        <v>1</v>
      </c>
      <c r="B46" s="9">
        <v>42</v>
      </c>
      <c r="C46" s="61"/>
      <c r="D46" s="49" t="s">
        <v>74</v>
      </c>
      <c r="E46" s="33"/>
      <c r="F46" s="10">
        <v>0</v>
      </c>
      <c r="G46" s="10">
        <v>6</v>
      </c>
      <c r="H46" s="83" t="s">
        <v>23</v>
      </c>
      <c r="I46" s="53">
        <f t="shared" si="3"/>
        <v>0</v>
      </c>
      <c r="J46" s="50">
        <f>IF(MAX($F$5:$F$46)=0,0,G46*$U$16)</f>
        <v>0.18</v>
      </c>
      <c r="K46" s="10">
        <v>0</v>
      </c>
      <c r="L46" s="50">
        <f t="shared" si="5"/>
        <v>0</v>
      </c>
      <c r="M46" s="52">
        <v>0</v>
      </c>
      <c r="N46" s="59">
        <f t="shared" si="1"/>
        <v>0</v>
      </c>
      <c r="O46" s="17">
        <f t="shared" si="2"/>
        <v>0</v>
      </c>
      <c r="P46" s="53">
        <f t="shared" si="4"/>
        <v>0</v>
      </c>
      <c r="Q46" s="4"/>
      <c r="R46" s="4"/>
      <c r="S46" s="4"/>
    </row>
    <row r="47" spans="1:21" ht="18.75">
      <c r="A47" s="9">
        <v>0</v>
      </c>
      <c r="B47" s="9">
        <v>43</v>
      </c>
      <c r="C47" s="61"/>
      <c r="D47" s="49" t="s">
        <v>89</v>
      </c>
      <c r="E47" s="33"/>
      <c r="F47" s="10">
        <v>0</v>
      </c>
      <c r="G47" s="10">
        <v>37</v>
      </c>
      <c r="H47" s="83" t="s">
        <v>23</v>
      </c>
      <c r="I47" s="53">
        <f t="shared" si="3"/>
        <v>0</v>
      </c>
      <c r="J47" s="50">
        <f>IF(MAX($F$5:$F$46)=0,0,G47*$U$16)</f>
        <v>1.1099999999999999</v>
      </c>
      <c r="K47" s="10">
        <v>0</v>
      </c>
      <c r="L47" s="50">
        <f t="shared" si="5"/>
        <v>1.1099999999999999</v>
      </c>
      <c r="M47" s="52">
        <v>20.11</v>
      </c>
      <c r="N47" s="59">
        <f t="shared" si="1"/>
        <v>21.22</v>
      </c>
      <c r="O47" s="17">
        <f t="shared" si="2"/>
        <v>0</v>
      </c>
      <c r="P47" s="53">
        <f t="shared" si="4"/>
        <v>21.22</v>
      </c>
      <c r="Q47" s="4"/>
      <c r="R47" s="4"/>
      <c r="S47" s="4"/>
    </row>
    <row r="48" spans="1:21" ht="18.75">
      <c r="A48" s="9">
        <v>0</v>
      </c>
      <c r="B48" s="9">
        <v>44</v>
      </c>
      <c r="C48" s="61"/>
      <c r="D48" s="49" t="s">
        <v>83</v>
      </c>
      <c r="E48" s="33"/>
      <c r="F48" s="10">
        <v>0</v>
      </c>
      <c r="G48" s="10">
        <v>151</v>
      </c>
      <c r="H48" s="83" t="s">
        <v>23</v>
      </c>
      <c r="I48" s="53">
        <f t="shared" si="3"/>
        <v>0</v>
      </c>
      <c r="J48" s="50">
        <f>IF(MAX($F$5:$F$46)=0,0,G48*$U$16)</f>
        <v>4.53</v>
      </c>
      <c r="K48" s="10">
        <v>0</v>
      </c>
      <c r="L48" s="50">
        <f t="shared" si="5"/>
        <v>4.53</v>
      </c>
      <c r="M48" s="52">
        <v>94.47</v>
      </c>
      <c r="N48" s="59">
        <f t="shared" si="1"/>
        <v>99</v>
      </c>
      <c r="O48" s="17">
        <f t="shared" si="2"/>
        <v>0</v>
      </c>
      <c r="P48" s="53">
        <f t="shared" si="4"/>
        <v>99</v>
      </c>
      <c r="Q48" s="4"/>
      <c r="R48" s="4"/>
      <c r="S48" s="4"/>
    </row>
    <row r="49" spans="1:19" ht="18.75">
      <c r="A49" s="9">
        <v>0</v>
      </c>
      <c r="B49" s="9">
        <v>45</v>
      </c>
      <c r="C49" s="61"/>
      <c r="D49" s="49" t="s">
        <v>85</v>
      </c>
      <c r="E49" s="33"/>
      <c r="F49" s="10">
        <v>0</v>
      </c>
      <c r="G49" s="10">
        <v>105</v>
      </c>
      <c r="H49" s="83" t="s">
        <v>23</v>
      </c>
      <c r="I49" s="53">
        <f t="shared" si="3"/>
        <v>0</v>
      </c>
      <c r="J49" s="50">
        <f>IF(MAX($F$5:$F$46)=0,0,G49*$U$16)</f>
        <v>3.15</v>
      </c>
      <c r="K49" s="10">
        <v>0</v>
      </c>
      <c r="L49" s="50">
        <f t="shared" si="5"/>
        <v>3.15</v>
      </c>
      <c r="M49" s="52">
        <v>80.750000000000028</v>
      </c>
      <c r="N49" s="59">
        <f t="shared" si="1"/>
        <v>83.900000000000034</v>
      </c>
      <c r="O49" s="17">
        <f t="shared" si="2"/>
        <v>0</v>
      </c>
      <c r="P49" s="53">
        <f t="shared" si="4"/>
        <v>83.900000000000034</v>
      </c>
      <c r="Q49" s="4"/>
      <c r="R49" s="4"/>
      <c r="S49" s="4"/>
    </row>
    <row r="50" spans="1:19" ht="18.75">
      <c r="A50" s="9">
        <v>0</v>
      </c>
      <c r="B50" s="9">
        <v>46</v>
      </c>
      <c r="C50" s="61"/>
      <c r="D50" s="49" t="s">
        <v>87</v>
      </c>
      <c r="E50" s="33"/>
      <c r="F50" s="10">
        <v>0</v>
      </c>
      <c r="G50" s="10">
        <v>82</v>
      </c>
      <c r="H50" s="83" t="s">
        <v>23</v>
      </c>
      <c r="I50" s="53">
        <f t="shared" si="3"/>
        <v>0</v>
      </c>
      <c r="J50" s="50">
        <f>IF(MAX($F$5:$F$46)=0,0,G50*$U$16)</f>
        <v>2.46</v>
      </c>
      <c r="K50" s="10">
        <v>0</v>
      </c>
      <c r="L50" s="50">
        <f t="shared" si="5"/>
        <v>2.46</v>
      </c>
      <c r="M50" s="52">
        <v>59.740000000000009</v>
      </c>
      <c r="N50" s="59">
        <f t="shared" si="1"/>
        <v>62.20000000000001</v>
      </c>
      <c r="O50" s="17">
        <f t="shared" si="2"/>
        <v>0</v>
      </c>
      <c r="P50" s="53">
        <f t="shared" si="4"/>
        <v>62.20000000000001</v>
      </c>
      <c r="Q50" s="4"/>
      <c r="R50" s="4"/>
      <c r="S50" s="4"/>
    </row>
    <row r="51" spans="1:19" ht="18.75">
      <c r="A51" s="9">
        <v>0</v>
      </c>
      <c r="B51" s="9">
        <v>47</v>
      </c>
      <c r="C51" s="61"/>
      <c r="D51" s="49" t="s">
        <v>88</v>
      </c>
      <c r="E51" s="33"/>
      <c r="F51" s="10">
        <v>0</v>
      </c>
      <c r="G51" s="10">
        <v>46</v>
      </c>
      <c r="H51" s="83" t="s">
        <v>23</v>
      </c>
      <c r="I51" s="53">
        <f t="shared" si="3"/>
        <v>0</v>
      </c>
      <c r="J51" s="50">
        <f>IF(MAX($F$5:$F$46)=0,0,G51*$U$16)</f>
        <v>1.38</v>
      </c>
      <c r="K51" s="10">
        <v>0</v>
      </c>
      <c r="L51" s="50">
        <f t="shared" si="5"/>
        <v>1.38</v>
      </c>
      <c r="M51" s="52">
        <v>55.760000000000005</v>
      </c>
      <c r="N51" s="59">
        <f t="shared" si="1"/>
        <v>57.140000000000008</v>
      </c>
      <c r="O51" s="17">
        <f t="shared" si="2"/>
        <v>0</v>
      </c>
      <c r="P51" s="53">
        <f t="shared" si="4"/>
        <v>57.140000000000008</v>
      </c>
      <c r="Q51" s="4"/>
      <c r="R51" s="4"/>
      <c r="S51" s="4"/>
    </row>
  </sheetData>
  <autoFilter ref="A4:S51" xr:uid="{28593B8F-03E7-4BE1-B554-FC0AADC431B2}">
    <sortState xmlns:xlrd2="http://schemas.microsoft.com/office/spreadsheetml/2017/richdata2" ref="A5:S51">
      <sortCondition ref="B4:B51"/>
    </sortState>
  </autoFilter>
  <mergeCells count="5">
    <mergeCell ref="B1:P1"/>
    <mergeCell ref="B2:P2"/>
    <mergeCell ref="B3:E3"/>
    <mergeCell ref="F3:G3"/>
    <mergeCell ref="H3:P3"/>
  </mergeCells>
  <conditionalFormatting sqref="K5:K46 G5:G46">
    <cfRule type="cellIs" dxfId="4" priority="5" operator="lessThan">
      <formula>1</formula>
    </cfRule>
  </conditionalFormatting>
  <conditionalFormatting sqref="F5:F51">
    <cfRule type="cellIs" dxfId="3" priority="4" operator="lessThan">
      <formula>1</formula>
    </cfRule>
  </conditionalFormatting>
  <conditionalFormatting sqref="K47 G47">
    <cfRule type="cellIs" dxfId="2" priority="3" operator="lessThan">
      <formula>1</formula>
    </cfRule>
  </conditionalFormatting>
  <conditionalFormatting sqref="K48:K50 G48:G50">
    <cfRule type="cellIs" dxfId="1" priority="2" operator="lessThan">
      <formula>1</formula>
    </cfRule>
  </conditionalFormatting>
  <conditionalFormatting sqref="K51 G51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stat</vt:lpstr>
      <vt:lpstr>example</vt:lpstr>
      <vt:lpstr>Mar 12 22</vt:lpstr>
      <vt:lpstr>Mar 19 22</vt:lpstr>
      <vt:lpstr>Mar 26 22</vt:lpstr>
      <vt:lpstr>Apr 2 22</vt:lpstr>
      <vt:lpstr>Apr 9 22</vt:lpstr>
      <vt:lpstr>Apr 16 22</vt:lpstr>
      <vt:lpstr>Apr 23 22</vt:lpstr>
      <vt:lpstr>Apr 30 22</vt:lpstr>
      <vt:lpstr>May 7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 2S</dc:creator>
  <cp:lastModifiedBy>Jiang, Ruoli</cp:lastModifiedBy>
  <dcterms:created xsi:type="dcterms:W3CDTF">2006-09-14T08:00:00Z</dcterms:created>
  <dcterms:modified xsi:type="dcterms:W3CDTF">2022-05-03T20:32:45Z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2052-11.1.0.9582</vt:lpwstr>
  </property>
</Properties>
</file>