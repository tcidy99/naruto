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8C3C457A-F593-4E88-B271-E3496670D200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157狼" sheetId="1" r:id="rId1"/>
    <sheet name="157猫" sheetId="2" r:id="rId2"/>
    <sheet name="102" sheetId="3" r:id="rId3"/>
    <sheet name="猛虎" sheetId="4" r:id="rId4"/>
  </sheets>
  <definedNames>
    <definedName name="_xlnm._FilterDatabase" localSheetId="0" hidden="1">'157狼'!$B$1:$E$1</definedName>
    <definedName name="_xlnm._FilterDatabase" localSheetId="1" hidden="1">'157猫'!$A$1:$B$1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  <c r="G9" i="4" l="1"/>
  <c r="G10" i="4"/>
  <c r="G11" i="4"/>
  <c r="G12" i="4"/>
  <c r="G13" i="4"/>
  <c r="G8" i="4"/>
  <c r="D8" i="1"/>
  <c r="D3" i="1"/>
  <c r="D4" i="1"/>
  <c r="D6" i="1"/>
  <c r="D5" i="1"/>
  <c r="D7" i="1"/>
  <c r="D10" i="1"/>
  <c r="D11" i="1"/>
  <c r="D12" i="1"/>
  <c r="D9" i="1"/>
  <c r="D2" i="1"/>
  <c r="G14" i="4" l="1"/>
</calcChain>
</file>

<file path=xl/sharedStrings.xml><?xml version="1.0" encoding="utf-8"?>
<sst xmlns="http://schemas.openxmlformats.org/spreadsheetml/2006/main" count="29" uniqueCount="26">
  <si>
    <t>国庆</t>
  </si>
  <si>
    <t>狼数</t>
  </si>
  <si>
    <t>剩%</t>
  </si>
  <si>
    <t>妖妖</t>
  </si>
  <si>
    <t>一二三</t>
  </si>
  <si>
    <t>老梦</t>
  </si>
  <si>
    <t>小傻</t>
  </si>
  <si>
    <t>帆锅</t>
  </si>
  <si>
    <t>小楚楚</t>
  </si>
  <si>
    <t>乃子</t>
  </si>
  <si>
    <t>萌新</t>
  </si>
  <si>
    <t>山妹</t>
  </si>
  <si>
    <t>波数</t>
  </si>
  <si>
    <t>随风</t>
  </si>
  <si>
    <t>排名</t>
  </si>
  <si>
    <t>彬子</t>
  </si>
  <si>
    <t>铜币</t>
  </si>
  <si>
    <t>昵称</t>
  </si>
  <si>
    <t>猫</t>
  </si>
  <si>
    <t>橙</t>
  </si>
  <si>
    <t>紫</t>
  </si>
  <si>
    <t>蓝</t>
  </si>
  <si>
    <t xml:space="preserve">绿 </t>
  </si>
  <si>
    <t>白</t>
  </si>
  <si>
    <t>需万能</t>
  </si>
  <si>
    <t>兑换币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</si>
</sst>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82D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  <color rgb="FFB48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606241</xdr:colOff>
      <xdr:row>10</xdr:row>
      <xdr:rowOff>19932</xdr:rowOff>
    </xdr:from>
    <xdr:to>
      <xdr:col>8</xdr:col>
      <xdr:colOff>296559</xdr:colOff>
      <xdr:row>11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A68AD-94E5-480D-9C3D-790A6010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4641" y="1924932"/>
          <a:ext cx="2128718" cy="189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B12"/>
    </sheetView>
  </sheetViews>
  <sheetFormatPr defaultRowHeight="14.4" x14ac:dyDescent="0.3"/>
  <sheetData>
    <row r="1" spans="1:5" x14ac:dyDescent="0.3">
      <c r="A1" t="s">
        <v>14</v>
      </c>
      <c r="C1" t="s">
        <v>1</v>
      </c>
      <c r="D1" t="s">
        <v>12</v>
      </c>
      <c r="E1" t="s">
        <v>2</v>
      </c>
    </row>
    <row r="2" spans="1:5" x14ac:dyDescent="0.3">
      <c r="A2">
        <v>1</v>
      </c>
      <c r="B2" t="s">
        <v>6</v>
      </c>
      <c r="C2">
        <v>348</v>
      </c>
      <c r="D2">
        <f t="shared" ref="D2:D12" si="0">_xlfn.FLOOR.MATH((C2-4-5-6-7-8)/9)+5</f>
        <v>40</v>
      </c>
      <c r="E2">
        <v>20</v>
      </c>
    </row>
    <row r="3" spans="1:5" x14ac:dyDescent="0.3">
      <c r="A3">
        <v>2</v>
      </c>
      <c r="B3" t="s">
        <v>11</v>
      </c>
      <c r="C3">
        <v>324</v>
      </c>
      <c r="D3">
        <f t="shared" si="0"/>
        <v>37</v>
      </c>
      <c r="E3">
        <v>15</v>
      </c>
    </row>
    <row r="4" spans="1:5" x14ac:dyDescent="0.3">
      <c r="A4">
        <v>3</v>
      </c>
      <c r="B4" t="s">
        <v>10</v>
      </c>
      <c r="C4">
        <v>324</v>
      </c>
      <c r="D4">
        <f t="shared" si="0"/>
        <v>37</v>
      </c>
      <c r="E4">
        <v>22</v>
      </c>
    </row>
    <row r="5" spans="1:5" x14ac:dyDescent="0.3">
      <c r="A5">
        <v>4</v>
      </c>
      <c r="B5" t="s">
        <v>4</v>
      </c>
      <c r="C5">
        <v>318</v>
      </c>
      <c r="D5">
        <f t="shared" si="0"/>
        <v>37</v>
      </c>
      <c r="E5">
        <v>56</v>
      </c>
    </row>
    <row r="6" spans="1:5" x14ac:dyDescent="0.3">
      <c r="A6">
        <v>5</v>
      </c>
      <c r="B6" t="s">
        <v>9</v>
      </c>
      <c r="C6">
        <v>319</v>
      </c>
      <c r="D6">
        <f t="shared" si="0"/>
        <v>37</v>
      </c>
      <c r="E6">
        <v>57</v>
      </c>
    </row>
    <row r="7" spans="1:5" x14ac:dyDescent="0.3">
      <c r="A7">
        <v>6</v>
      </c>
      <c r="B7" t="s">
        <v>7</v>
      </c>
      <c r="C7">
        <v>318</v>
      </c>
      <c r="D7">
        <f t="shared" si="0"/>
        <v>37</v>
      </c>
      <c r="E7">
        <v>64</v>
      </c>
    </row>
    <row r="8" spans="1:5" x14ac:dyDescent="0.3">
      <c r="A8">
        <v>7</v>
      </c>
      <c r="B8" t="s">
        <v>13</v>
      </c>
      <c r="C8">
        <v>318</v>
      </c>
      <c r="D8">
        <f t="shared" si="0"/>
        <v>37</v>
      </c>
      <c r="E8">
        <v>69</v>
      </c>
    </row>
    <row r="9" spans="1:5" x14ac:dyDescent="0.3">
      <c r="A9">
        <v>8</v>
      </c>
      <c r="B9" t="s">
        <v>3</v>
      </c>
      <c r="C9">
        <v>318</v>
      </c>
      <c r="D9">
        <f t="shared" si="0"/>
        <v>37</v>
      </c>
      <c r="E9">
        <v>70</v>
      </c>
    </row>
    <row r="10" spans="1:5" x14ac:dyDescent="0.3">
      <c r="A10">
        <v>9</v>
      </c>
      <c r="B10" t="s">
        <v>5</v>
      </c>
      <c r="C10">
        <v>318</v>
      </c>
      <c r="D10">
        <f t="shared" si="0"/>
        <v>37</v>
      </c>
      <c r="E10">
        <v>72</v>
      </c>
    </row>
    <row r="11" spans="1:5" x14ac:dyDescent="0.3">
      <c r="A11">
        <v>10</v>
      </c>
      <c r="B11" s="1" t="s">
        <v>0</v>
      </c>
      <c r="C11">
        <v>318</v>
      </c>
      <c r="D11">
        <f t="shared" si="0"/>
        <v>37</v>
      </c>
      <c r="E11">
        <v>73</v>
      </c>
    </row>
    <row r="12" spans="1:5" x14ac:dyDescent="0.3">
      <c r="A12">
        <v>11</v>
      </c>
      <c r="B12" t="s">
        <v>8</v>
      </c>
      <c r="C12">
        <v>318</v>
      </c>
      <c r="D12">
        <f t="shared" si="0"/>
        <v>37</v>
      </c>
      <c r="E12">
        <v>73</v>
      </c>
    </row>
  </sheetData>
  <autoFilter ref="B1:E1" xr:uid="{02040AF4-DC69-422A-8281-70C1E7D4D914}">
    <sortState xmlns:xlrd2="http://schemas.microsoft.com/office/spreadsheetml/2017/richdata2" ref="B2:E12">
      <sortCondition descending="1" ref="D1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896E-4B73-4F46-B099-2AB832ED75F5}">
  <dimension ref="A1:B11"/>
  <sheetViews>
    <sheetView workbookViewId="0">
      <selection sqref="A1:B4"/>
    </sheetView>
  </sheetViews>
  <sheetFormatPr defaultRowHeight="14.4" x14ac:dyDescent="0.3"/>
  <sheetData>
    <row r="1" spans="1:2" x14ac:dyDescent="0.3">
      <c r="A1" s="2" t="s">
        <v>17</v>
      </c>
      <c r="B1" s="2" t="s">
        <v>16</v>
      </c>
    </row>
    <row r="2" spans="1:2" x14ac:dyDescent="0.3">
      <c r="A2" s="2" t="s">
        <v>4</v>
      </c>
      <c r="B2" s="2">
        <v>2697261</v>
      </c>
    </row>
    <row r="3" spans="1:2" x14ac:dyDescent="0.3">
      <c r="A3" s="2" t="s">
        <v>15</v>
      </c>
      <c r="B3" s="2">
        <v>2682047</v>
      </c>
    </row>
    <row r="4" spans="1:2" x14ac:dyDescent="0.3">
      <c r="A4" s="2" t="s">
        <v>5</v>
      </c>
      <c r="B4" s="2">
        <v>2677355</v>
      </c>
    </row>
    <row r="11" spans="1:2" x14ac:dyDescent="0.3">
      <c r="B11" s="1"/>
    </row>
  </sheetData>
  <autoFilter ref="A1:B1" xr:uid="{02EC69F9-3FF9-433F-BBF6-F9E6329397AC}">
    <sortState xmlns:xlrd2="http://schemas.microsoft.com/office/spreadsheetml/2017/richdata2" ref="A2:B4">
      <sortCondition descending="1"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944E-C916-47AA-A9B4-9FD2FD851FC8}">
  <dimension ref="A1:B11"/>
  <sheetViews>
    <sheetView workbookViewId="0">
      <selection activeCell="B11" sqref="B11"/>
    </sheetView>
  </sheetViews>
  <sheetFormatPr defaultRowHeight="14.4" x14ac:dyDescent="0.3"/>
  <sheetData>
    <row r="1" spans="1:2" x14ac:dyDescent="0.3">
      <c r="A1" t="s">
        <v>18</v>
      </c>
      <c r="B1" t="s">
        <v>16</v>
      </c>
    </row>
    <row r="2" spans="1:2" x14ac:dyDescent="0.3">
      <c r="A2">
        <v>1</v>
      </c>
      <c r="B2">
        <v>260000</v>
      </c>
    </row>
    <row r="3" spans="1:2" x14ac:dyDescent="0.3">
      <c r="A3">
        <v>2</v>
      </c>
      <c r="B3">
        <v>340000</v>
      </c>
    </row>
    <row r="4" spans="1:2" x14ac:dyDescent="0.3">
      <c r="A4">
        <v>3</v>
      </c>
      <c r="B4">
        <v>470000</v>
      </c>
    </row>
    <row r="5" spans="1:2" x14ac:dyDescent="0.3">
      <c r="A5">
        <v>4</v>
      </c>
    </row>
    <row r="6" spans="1:2" x14ac:dyDescent="0.3">
      <c r="A6">
        <v>5</v>
      </c>
      <c r="B6">
        <v>1308720</v>
      </c>
    </row>
    <row r="7" spans="1:2" x14ac:dyDescent="0.3">
      <c r="A7">
        <v>6</v>
      </c>
      <c r="B7">
        <v>1870000</v>
      </c>
    </row>
    <row r="8" spans="1:2" x14ac:dyDescent="0.3">
      <c r="A8">
        <v>7</v>
      </c>
      <c r="B8">
        <v>2478979</v>
      </c>
    </row>
    <row r="9" spans="1:2" x14ac:dyDescent="0.3">
      <c r="A9">
        <v>8</v>
      </c>
      <c r="B9">
        <v>2560000</v>
      </c>
    </row>
    <row r="10" spans="1:2" x14ac:dyDescent="0.3">
      <c r="A10">
        <v>9</v>
      </c>
      <c r="B10">
        <v>2640000</v>
      </c>
    </row>
    <row r="11" spans="1:2" x14ac:dyDescent="0.3">
      <c r="A11">
        <v>10</v>
      </c>
      <c r="B11">
        <v>2722421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0865-912B-4928-AFD6-3E25519AF944}">
  <dimension ref="A1:G14"/>
  <sheetViews>
    <sheetView tabSelected="1" zoomScale="160" zoomScaleNormal="160" workbookViewId="0">
      <selection activeCell="H17" sqref="H17"/>
    </sheetView>
  </sheetViews>
  <sheetFormatPr defaultRowHeight="14.4" x14ac:dyDescent="0.3"/>
  <sheetData>
    <row r="1" spans="1:7" x14ac:dyDescent="0.3">
      <c r="A1" s="3">
        <v>1</v>
      </c>
      <c r="C1" s="3">
        <v>4</v>
      </c>
    </row>
    <row r="3" spans="1:7" x14ac:dyDescent="0.3">
      <c r="A3" s="3">
        <v>2</v>
      </c>
      <c r="C3" s="3">
        <v>5</v>
      </c>
    </row>
    <row r="5" spans="1:7" x14ac:dyDescent="0.3">
      <c r="A5" s="3">
        <v>4</v>
      </c>
      <c r="C5" s="3">
        <v>6</v>
      </c>
      <c r="F5" t="s">
        <v>25</v>
      </c>
      <c r="G5">
        <v>500</v>
      </c>
    </row>
    <row r="7" spans="1:7" x14ac:dyDescent="0.3">
      <c r="B7" s="3" t="s">
        <v>19</v>
      </c>
      <c r="C7" s="4" t="s">
        <v>20</v>
      </c>
      <c r="D7" s="5" t="s">
        <v>21</v>
      </c>
      <c r="E7" s="6" t="s">
        <v>22</v>
      </c>
      <c r="F7" s="7" t="s">
        <v>23</v>
      </c>
      <c r="G7" s="8" t="s">
        <v>24</v>
      </c>
    </row>
    <row r="8" spans="1:7" x14ac:dyDescent="0.3">
      <c r="A8">
        <v>1</v>
      </c>
      <c r="B8">
        <v>2</v>
      </c>
      <c r="C8">
        <v>2</v>
      </c>
      <c r="D8">
        <v>2</v>
      </c>
      <c r="E8">
        <v>0</v>
      </c>
      <c r="F8">
        <v>0</v>
      </c>
      <c r="G8">
        <f>243-F8-E8*3-D8*9-C8*27-B8*81</f>
        <v>9</v>
      </c>
    </row>
    <row r="9" spans="1:7" x14ac:dyDescent="0.3">
      <c r="A9">
        <v>2</v>
      </c>
      <c r="B9">
        <v>3</v>
      </c>
      <c r="C9">
        <v>0</v>
      </c>
      <c r="D9">
        <v>0</v>
      </c>
      <c r="E9">
        <v>0</v>
      </c>
      <c r="F9">
        <v>0</v>
      </c>
      <c r="G9">
        <f t="shared" ref="G9:G13" si="0">243-F9-E9*3-D9*9-C9*27-B9*81</f>
        <v>0</v>
      </c>
    </row>
    <row r="10" spans="1:7" x14ac:dyDescent="0.3">
      <c r="A10">
        <v>3</v>
      </c>
      <c r="B10">
        <v>2</v>
      </c>
      <c r="C10">
        <v>2</v>
      </c>
      <c r="D10">
        <v>1</v>
      </c>
      <c r="E10">
        <v>0</v>
      </c>
      <c r="F10">
        <v>1</v>
      </c>
      <c r="G10">
        <f t="shared" si="0"/>
        <v>17</v>
      </c>
    </row>
    <row r="11" spans="1:7" x14ac:dyDescent="0.3">
      <c r="A11">
        <v>4</v>
      </c>
      <c r="B11">
        <v>2</v>
      </c>
      <c r="C11">
        <v>1</v>
      </c>
      <c r="D11">
        <v>2</v>
      </c>
      <c r="E11">
        <v>0</v>
      </c>
      <c r="F11">
        <v>0</v>
      </c>
      <c r="G11">
        <f t="shared" si="0"/>
        <v>36</v>
      </c>
    </row>
    <row r="12" spans="1:7" x14ac:dyDescent="0.3">
      <c r="A12">
        <v>5</v>
      </c>
      <c r="B12">
        <v>3</v>
      </c>
      <c r="C12">
        <v>0</v>
      </c>
      <c r="D12">
        <v>0</v>
      </c>
      <c r="E12">
        <v>0</v>
      </c>
      <c r="F12">
        <v>0</v>
      </c>
      <c r="G12">
        <f t="shared" si="0"/>
        <v>0</v>
      </c>
    </row>
    <row r="13" spans="1:7" x14ac:dyDescent="0.3">
      <c r="A13">
        <v>6</v>
      </c>
      <c r="B13">
        <v>3</v>
      </c>
      <c r="C13">
        <v>0</v>
      </c>
      <c r="D13">
        <v>0</v>
      </c>
      <c r="E13">
        <v>0</v>
      </c>
      <c r="F13">
        <v>0</v>
      </c>
      <c r="G13">
        <f t="shared" si="0"/>
        <v>0</v>
      </c>
    </row>
    <row r="14" spans="1:7" x14ac:dyDescent="0.3">
      <c r="F14">
        <f>SUM(B8:F13)</f>
        <v>26</v>
      </c>
      <c r="G14">
        <f>SUM(G8:G13)-G5/100</f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157狼</vt:lpstr>
      <vt:lpstr>157猫</vt:lpstr>
      <vt:lpstr>102</vt:lpstr>
      <vt:lpstr>猛虎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2022-11-05T19:38:57Z</dcterms:modified>
</cp:coreProperties>
</file>