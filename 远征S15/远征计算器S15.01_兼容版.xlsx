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tility\naruto\远征S15\"/>
    </mc:Choice>
  </mc:AlternateContent>
  <xr:revisionPtr revIDLastSave="0" documentId="13_ncr:1_{B314E6FD-8745-4EA5-87DB-379CBF9716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3" i="12" l="1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C2" i="12" s="1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G2" i="12" l="1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<sst xmlns="http://schemas.openxmlformats.org/spreadsheetml/2006/main" count="2356" uniqueCount="76">
  <si>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</si>
  <si>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</si>
  <si>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</si>
  <si>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</si>
  <si>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</si>
  <si>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</si>
  <si>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</si>
  <si>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</si>
  <si>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</si>
  <si>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</si>
  <si>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</si>
  <si>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</si>
  <si>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</si>
  <si>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</si>
  <si>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</si>
  <si>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</si>
  <si>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</si>
  <si>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</si>
  <si>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</si>
  <si>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</si>
  <si>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</si>
  <si>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</si>
  <si>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</si>
  <si>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</si>
  <si>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</si>
  <si>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</si>
  <si>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</si>
  <si>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</si>
  <si>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</si>
  <si>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</si>
  <si>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</si>
  <si>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</si>
  <si>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</si>
  <si>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</si>
  <si>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</si>
  <si>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</si>
  <si>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</si>
  <si>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</si>
  <si>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</si>
  <si>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</si>
  <si>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</si>
  <si>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</si>
  <si>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</si>
  <si>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</si>
  <si>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</si>
  <si>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</si>
  <si>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</si>
  <si>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</si>
  <si>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</si>
  <si>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</si>
  <si>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</si>
  <si>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</si>
  <si>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</si>
  <si>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</si>
  <si>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</si>
  <si>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</si>
  <si>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</si>
  <si>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营地+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</si>
  <si>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</si>
  <si>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</si>
  <si>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</si>
  <si>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</si>
  <si>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</si>
  <si>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</si>
  <si>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</si>
  <si>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</si>
  <si>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</si>
  <si>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</si>
  <si>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</si>
  <si>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</si>
  <si>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粮草调整</t>
  </si>
  <si>
    <t>明月</t>
  </si>
  <si>
    <t>不老情（不加500）</t>
  </si>
  <si>
    <t>3级卦</t>
  </si>
  <si>
    <t>巨卦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</si>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</sst>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4" xfId="0" applyFill="1" applyBorder="1"/>
    <xf numFmtId="0" fontId="0" fillId="10" borderId="9" xfId="0" applyFill="1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10" borderId="13" xfId="0" applyFill="1" applyBorder="1"/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2" fontId="0" fillId="19" borderId="0" xfId="0" applyNumberFormat="1" applyFill="1"/>
    <xf numFmtId="0" fontId="11" fillId="20" borderId="13" xfId="0" applyFont="1" applyFill="1" applyBorder="1"/>
    <xf numFmtId="0" fontId="13" fillId="13" borderId="13" xfId="0" applyFont="1" applyFill="1" applyBorder="1" applyAlignment="1">
      <alignment vertical="top"/>
    </xf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14" fontId="0" fillId="0" borderId="0" xfId="0" applyNumberFormat="1" applyFill="1"/>
    <xf numFmtId="0" fontId="18" fillId="3" borderId="0" xfId="0" applyFont="1" applyFill="1"/>
    <xf numFmtId="0" fontId="19" fillId="3" borderId="0" xfId="0" applyFont="1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3" fillId="19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20" fillId="5" borderId="13" xfId="0" applyFont="1" applyFill="1" applyBorder="1"/>
    <xf numFmtId="0" fontId="11" fillId="0" borderId="13" xfId="0" applyFont="1" applyBorder="1"/>
    <xf numFmtId="0" fontId="21" fillId="0" borderId="15" xfId="0" applyFont="1" applyBorder="1"/>
    <xf numFmtId="0" fontId="21" fillId="10" borderId="15" xfId="1" applyFont="1" applyFill="1" applyBorder="1"/>
    <xf numFmtId="0" fontId="21" fillId="0" borderId="15" xfId="1" applyFont="1" applyBorder="1"/>
    <xf numFmtId="0" fontId="22" fillId="13" borderId="13" xfId="0" applyFont="1" applyFill="1" applyBorder="1" applyAlignment="1">
      <alignment vertical="top"/>
    </xf>
    <xf numFmtId="14" fontId="0" fillId="27" borderId="0" xfId="0" applyNumberFormat="1" applyFill="1"/>
    <xf numFmtId="0" fontId="21" fillId="3" borderId="0" xfId="0" applyFont="1" applyFill="1"/>
    <xf numFmtId="0" fontId="21" fillId="18" borderId="0" xfId="0" applyFont="1" applyFill="1"/>
    <xf numFmtId="0" fontId="21" fillId="8" borderId="13" xfId="0" applyFont="1" applyFill="1" applyBorder="1" applyAlignment="1">
      <alignment vertical="top"/>
    </xf>
    <xf numFmtId="0" fontId="20" fillId="25" borderId="13" xfId="0" applyFont="1" applyFill="1" applyBorder="1"/>
    <xf numFmtId="0" fontId="21" fillId="11" borderId="5" xfId="0" applyFont="1" applyFill="1" applyBorder="1"/>
    <xf numFmtId="0" fontId="21" fillId="0" borderId="0" xfId="0" applyFont="1"/>
    <xf numFmtId="0" fontId="20" fillId="12" borderId="15" xfId="0" applyFont="1" applyFill="1" applyBorder="1" applyAlignment="1">
      <alignment horizontal="center"/>
    </xf>
    <xf numFmtId="0" fontId="21" fillId="21" borderId="13" xfId="0" applyFont="1" applyFill="1" applyBorder="1" applyAlignment="1">
      <alignment vertical="top"/>
    </xf>
    <xf numFmtId="0" fontId="20" fillId="26" borderId="13" xfId="0" applyFont="1" applyFill="1" applyBorder="1"/>
    <xf numFmtId="0" fontId="21" fillId="17" borderId="13" xfId="0" applyFont="1" applyFill="1" applyBorder="1" applyAlignment="1">
      <alignment vertical="top"/>
    </xf>
    <xf numFmtId="0" fontId="20" fillId="21" borderId="13" xfId="0" applyFont="1" applyFill="1" applyBorder="1" applyAlignment="1">
      <alignment vertical="top"/>
    </xf>
    <xf numFmtId="0" fontId="20" fillId="17" borderId="13" xfId="0" applyFont="1" applyFill="1" applyBorder="1" applyAlignment="1">
      <alignment vertical="top"/>
    </xf>
    <xf numFmtId="0" fontId="21" fillId="24" borderId="13" xfId="0" applyFont="1" applyFill="1" applyBorder="1" applyAlignment="1">
      <alignment vertical="top"/>
    </xf>
    <xf numFmtId="0" fontId="20" fillId="10" borderId="13" xfId="0" applyFont="1" applyFill="1" applyBorder="1"/>
    <xf numFmtId="0" fontId="20" fillId="12" borderId="15" xfId="1" applyFont="1" applyFill="1" applyBorder="1" applyAlignment="1">
      <alignment horizontal="center"/>
    </xf>
    <xf numFmtId="0" fontId="20" fillId="24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20" fillId="16" borderId="13" xfId="0" applyFont="1" applyFill="1" applyBorder="1"/>
    <xf numFmtId="0" fontId="20" fillId="19" borderId="13" xfId="0" applyFont="1" applyFill="1" applyBorder="1" applyAlignment="1">
      <alignment vertical="top"/>
    </xf>
    <xf numFmtId="0" fontId="20" fillId="15" borderId="13" xfId="0" applyFont="1" applyFill="1" applyBorder="1"/>
    <xf numFmtId="0" fontId="21" fillId="13" borderId="13" xfId="0" applyFont="1" applyFill="1" applyBorder="1" applyAlignment="1">
      <alignment vertical="top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0" fillId="13" borderId="13" xfId="0" applyFont="1" applyFill="1" applyBorder="1" applyAlignment="1">
      <alignment vertical="top"/>
    </xf>
    <xf numFmtId="0" fontId="20" fillId="20" borderId="13" xfId="0" applyFont="1" applyFill="1" applyBorder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85" zoomScaleNormal="85" workbookViewId="0">
      <pane ySplit="3" topLeftCell="A65" activePane="bottomLeft" state="frozen"/>
      <selection activeCell="AO32" sqref="AO32"/>
      <selection pane="bottomLeft" activeCell="H75" sqref="H75"/>
    </sheetView>
  </sheetViews>
  <sheetFormatPr defaultColWidth="9" defaultRowHeight="15"/>
  <cols>
    <col min="1" max="1" width="11.85546875" customWidth="1"/>
    <col min="2" max="2" width="9" customWidth="1"/>
    <col min="3" max="3" width="7.42578125" bestFit="1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128">
        <f ca="1">(_xlfn.DAYS(TODAY(),A4)+2)/((_xlfn.DAYS(A93,A4))+1)</f>
        <v>0.85555555555555551</v>
      </c>
      <c r="B1" s="129"/>
      <c r="C1" s="129"/>
      <c r="D1" s="129"/>
      <c r="E1" s="129"/>
      <c r="F1" s="129"/>
      <c r="G1" s="129"/>
      <c r="H1" s="130"/>
      <c r="I1" s="131" t="s">
        <v>0</v>
      </c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3"/>
      <c r="AH1" s="19"/>
      <c r="AI1" s="19"/>
      <c r="AJ1" s="19"/>
      <c r="AM1" s="126" t="s">
        <v>1</v>
      </c>
      <c r="AN1" s="126"/>
      <c r="AO1" s="126"/>
      <c r="AP1" s="44"/>
    </row>
    <row r="2" spans="1:53" ht="16.149999999999999" customHeight="1" thickBot="1">
      <c r="A2" s="61">
        <v>15.01</v>
      </c>
      <c r="B2" s="51" t="s">
        <v>67</v>
      </c>
      <c r="C2" s="52" t="e">
        <f>SUM(亏损!A4:X94)+SUM(AG4:AG14)*10</f>
        <v>#REF!</v>
      </c>
      <c r="D2" s="134" t="s">
        <v>2</v>
      </c>
      <c r="E2" s="135"/>
      <c r="F2" s="136">
        <f>SUM(F4:F93)+SUM(H4:H93)</f>
        <v>64590</v>
      </c>
      <c r="G2" s="136"/>
      <c r="H2" s="137"/>
      <c r="I2" s="138" t="s">
        <v>3</v>
      </c>
      <c r="J2" s="139"/>
      <c r="K2" s="58" t="s">
        <v>4</v>
      </c>
      <c r="L2" s="58">
        <f>COUNTIF(I4:P93,"&lt;&gt;空")</f>
        <v>43</v>
      </c>
      <c r="M2" s="139" t="s">
        <v>5</v>
      </c>
      <c r="N2" s="139"/>
      <c r="O2" s="139"/>
      <c r="P2" s="140"/>
      <c r="Q2" s="141" t="s">
        <v>6</v>
      </c>
      <c r="R2" s="142"/>
      <c r="S2" s="62" t="s">
        <v>4</v>
      </c>
      <c r="T2" s="62">
        <f>COUNTIF(Q4:X93,"&lt;&gt;空")</f>
        <v>500</v>
      </c>
      <c r="U2" s="142" t="s">
        <v>5</v>
      </c>
      <c r="V2" s="142"/>
      <c r="W2" s="142"/>
      <c r="X2" s="143"/>
      <c r="Y2" s="144" t="s">
        <v>7</v>
      </c>
      <c r="Z2" s="145"/>
      <c r="AA2" s="65" t="s">
        <v>8</v>
      </c>
      <c r="AB2" s="66">
        <f>COUNTIF(Y4:AF93,"&lt;&gt;空")</f>
        <v>516</v>
      </c>
      <c r="AC2" s="145" t="s">
        <v>5</v>
      </c>
      <c r="AD2" s="145"/>
      <c r="AE2" s="145"/>
      <c r="AF2" s="146"/>
      <c r="AG2" s="38">
        <f>SUM(AG4:AG93)</f>
        <v>47</v>
      </c>
      <c r="AH2" s="38">
        <f>SUM(AH4:AH93)</f>
        <v>3</v>
      </c>
      <c r="AI2" s="38">
        <f>SUM(AI4:AI93)</f>
        <v>10</v>
      </c>
      <c r="AJ2" s="18">
        <f>SUM(AJ4:AJ93)</f>
        <v>34</v>
      </c>
      <c r="AK2" s="123" t="s">
        <v>9</v>
      </c>
      <c r="AM2" s="127"/>
      <c r="AN2" s="127"/>
      <c r="AO2" s="127"/>
      <c r="AP2" s="49"/>
      <c r="AS2" t="s">
        <v>28</v>
      </c>
      <c r="AT2">
        <f>SUM(AT4:AT29)</f>
        <v>1059</v>
      </c>
      <c r="AV2" t="s">
        <v>58</v>
      </c>
      <c r="AW2" s="32">
        <f>SUM(AU4:AW29)+7000</f>
        <v>64590</v>
      </c>
      <c r="AX2" s="25"/>
      <c r="AY2" s="33" t="s">
        <v>10</v>
      </c>
    </row>
    <row r="3" spans="1:53" ht="31.5" customHeight="1" thickBot="1">
      <c r="A3" s="14" t="s">
        <v>11</v>
      </c>
      <c r="B3" s="15" t="s">
        <v>12</v>
      </c>
      <c r="C3" s="57" t="s">
        <v>70</v>
      </c>
      <c r="D3" s="15" t="s">
        <v>13</v>
      </c>
      <c r="E3" s="15" t="s">
        <v>14</v>
      </c>
      <c r="F3" s="16" t="s">
        <v>15</v>
      </c>
      <c r="G3" s="16" t="s">
        <v>16</v>
      </c>
      <c r="H3" s="56" t="s">
        <v>17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0">
        <v>6</v>
      </c>
      <c r="O3" s="60">
        <v>7</v>
      </c>
      <c r="P3" s="60">
        <v>8</v>
      </c>
      <c r="Q3" s="63">
        <v>1</v>
      </c>
      <c r="R3" s="64">
        <v>2</v>
      </c>
      <c r="S3" s="64">
        <v>3</v>
      </c>
      <c r="T3" s="64">
        <v>4</v>
      </c>
      <c r="U3" s="64">
        <v>5</v>
      </c>
      <c r="V3" s="64">
        <v>6</v>
      </c>
      <c r="W3" s="64">
        <v>7</v>
      </c>
      <c r="X3" s="64">
        <v>8</v>
      </c>
      <c r="Y3" s="67">
        <v>1</v>
      </c>
      <c r="Z3" s="68">
        <v>2</v>
      </c>
      <c r="AA3" s="68">
        <v>3</v>
      </c>
      <c r="AB3" s="68">
        <v>4</v>
      </c>
      <c r="AC3" s="68">
        <v>5</v>
      </c>
      <c r="AD3" s="68">
        <v>6</v>
      </c>
      <c r="AE3" s="68">
        <v>7</v>
      </c>
      <c r="AF3" s="69">
        <v>8</v>
      </c>
      <c r="AG3" s="39" t="s">
        <v>18</v>
      </c>
      <c r="AH3" s="40" t="s">
        <v>19</v>
      </c>
      <c r="AI3" s="40" t="s">
        <v>20</v>
      </c>
      <c r="AJ3" s="20" t="s">
        <v>21</v>
      </c>
      <c r="AK3" s="124"/>
      <c r="AL3" s="21"/>
      <c r="AM3" s="22" t="s">
        <v>22</v>
      </c>
      <c r="AN3" s="22" t="s">
        <v>23</v>
      </c>
      <c r="AO3" s="22" t="s">
        <v>24</v>
      </c>
      <c r="AP3" s="22" t="s">
        <v>66</v>
      </c>
      <c r="AQ3" s="26" t="s">
        <v>25</v>
      </c>
      <c r="AR3" s="27" t="s">
        <v>26</v>
      </c>
      <c r="AS3" s="28" t="s">
        <v>27</v>
      </c>
      <c r="AT3" s="29" t="s">
        <v>28</v>
      </c>
      <c r="AU3" s="26" t="s">
        <v>29</v>
      </c>
      <c r="AV3" s="27" t="s">
        <v>30</v>
      </c>
      <c r="AW3" s="28" t="s">
        <v>31</v>
      </c>
      <c r="AX3" s="30" t="s">
        <v>32</v>
      </c>
      <c r="AY3" s="34">
        <v>1</v>
      </c>
    </row>
    <row r="4" spans="1:53" s="35" customFormat="1" ht="15.75" thickBot="1">
      <c r="A4" s="101">
        <v>45366</v>
      </c>
      <c r="B4" s="102">
        <v>800</v>
      </c>
      <c r="C4" s="103">
        <v>4800</v>
      </c>
      <c r="D4" s="102">
        <f>(SUM(粮草!A4:X4)+AG4*10)*IF(AK4="是",$AY$4,$AY$3)</f>
        <v>1700</v>
      </c>
      <c r="E4" s="102">
        <f>SUM($B$4:B4)+SUM($C$4:C4)-SUM($D$4:D4)</f>
        <v>3900</v>
      </c>
      <c r="F4" s="102">
        <f>SUM(经验!A4:X4)</f>
        <v>415</v>
      </c>
      <c r="G4" s="102">
        <f>SUM($F$4:F4)+SUM($H$4:H4)</f>
        <v>915</v>
      </c>
      <c r="H4" s="102">
        <v>500</v>
      </c>
      <c r="I4" s="104" t="s">
        <v>33</v>
      </c>
      <c r="J4" s="104" t="s">
        <v>33</v>
      </c>
      <c r="K4" s="104" t="s">
        <v>33</v>
      </c>
      <c r="L4" s="104" t="s">
        <v>33</v>
      </c>
      <c r="M4" s="104" t="s">
        <v>33</v>
      </c>
      <c r="N4" s="105" t="s">
        <v>39</v>
      </c>
      <c r="O4" s="106" t="s">
        <v>34</v>
      </c>
      <c r="P4" s="106" t="s">
        <v>34</v>
      </c>
      <c r="Q4" s="104" t="s">
        <v>33</v>
      </c>
      <c r="R4" s="104" t="s">
        <v>33</v>
      </c>
      <c r="S4" s="104" t="s">
        <v>33</v>
      </c>
      <c r="T4" s="104" t="s">
        <v>33</v>
      </c>
      <c r="U4" s="104" t="s">
        <v>33</v>
      </c>
      <c r="V4" s="104" t="s">
        <v>33</v>
      </c>
      <c r="W4" s="106" t="s">
        <v>34</v>
      </c>
      <c r="X4" s="106" t="s">
        <v>34</v>
      </c>
      <c r="Y4" s="107" t="s">
        <v>34</v>
      </c>
      <c r="Z4" s="107" t="s">
        <v>34</v>
      </c>
      <c r="AA4" s="107" t="s">
        <v>34</v>
      </c>
      <c r="AB4" s="107" t="s">
        <v>34</v>
      </c>
      <c r="AC4" s="107" t="s">
        <v>34</v>
      </c>
      <c r="AD4" s="107" t="s">
        <v>34</v>
      </c>
      <c r="AE4" s="106" t="s">
        <v>34</v>
      </c>
      <c r="AF4" s="106" t="s">
        <v>34</v>
      </c>
      <c r="AG4" s="108">
        <f>AH4+AI4+AJ4</f>
        <v>0</v>
      </c>
      <c r="AH4" s="108"/>
      <c r="AI4" s="108"/>
      <c r="AJ4" s="108"/>
      <c r="AK4" s="97" t="s">
        <v>35</v>
      </c>
      <c r="AM4" s="80" t="s">
        <v>33</v>
      </c>
      <c r="AN4" s="22">
        <v>150</v>
      </c>
      <c r="AO4" s="22">
        <v>35</v>
      </c>
      <c r="AP4" s="42">
        <v>44.222109392472248</v>
      </c>
      <c r="AQ4" s="42">
        <f t="shared" ref="AQ4:AQ26" si="0">COUNTIF($I$4:$P$93,AM4)</f>
        <v>8</v>
      </c>
      <c r="AR4" s="42">
        <f t="shared" ref="AR4:AR26" si="1">COUNTIF($Q$4:$X$93,AM4)</f>
        <v>12</v>
      </c>
      <c r="AS4" s="42">
        <f t="shared" ref="AS4:AS26" si="2">COUNTIF($Y$4:$AF$93,AM4)</f>
        <v>7</v>
      </c>
      <c r="AT4" s="42">
        <f>AQ4+AR4+AS4</f>
        <v>27</v>
      </c>
      <c r="AU4" s="43">
        <f>AQ4*$AO4</f>
        <v>280</v>
      </c>
      <c r="AV4" s="43">
        <f t="shared" ref="AV4:AW19" si="3">AR4*$AO4</f>
        <v>420</v>
      </c>
      <c r="AW4" s="43">
        <f t="shared" si="3"/>
        <v>245</v>
      </c>
      <c r="AX4" s="36" t="s">
        <v>36</v>
      </c>
      <c r="AY4" s="37">
        <v>0.8</v>
      </c>
      <c r="BA4" s="41">
        <f>AN4*0.8</f>
        <v>120</v>
      </c>
    </row>
    <row r="5" spans="1:53" s="35" customFormat="1">
      <c r="A5" s="101">
        <v>45367</v>
      </c>
      <c r="B5" s="102">
        <v>1600</v>
      </c>
      <c r="C5" s="103">
        <v>1200</v>
      </c>
      <c r="D5" s="102">
        <f>(SUM(粮草!A5:X5)+AG5*10)*IF(AK5="是",$AY$4,$AY$3)</f>
        <v>1810</v>
      </c>
      <c r="E5" s="102">
        <f>SUM($B$4:B5)+SUM($C$4:C5)-SUM($D$4:D5)</f>
        <v>4890</v>
      </c>
      <c r="F5" s="102">
        <f>SUM(经验!A5:X5)</f>
        <v>480</v>
      </c>
      <c r="G5" s="102">
        <f>SUM($F$4:F5)+SUM($H$4:H5)</f>
        <v>1395</v>
      </c>
      <c r="H5" s="102">
        <v>0</v>
      </c>
      <c r="I5" s="107" t="s">
        <v>34</v>
      </c>
      <c r="J5" s="107" t="s">
        <v>34</v>
      </c>
      <c r="K5" s="107" t="s">
        <v>34</v>
      </c>
      <c r="L5" s="107" t="s">
        <v>34</v>
      </c>
      <c r="M5" s="107" t="s">
        <v>34</v>
      </c>
      <c r="N5" s="107" t="s">
        <v>34</v>
      </c>
      <c r="O5" s="106" t="s">
        <v>34</v>
      </c>
      <c r="P5" s="106" t="s">
        <v>34</v>
      </c>
      <c r="Q5" s="104" t="s">
        <v>33</v>
      </c>
      <c r="R5" s="105" t="s">
        <v>39</v>
      </c>
      <c r="S5" s="104" t="s">
        <v>33</v>
      </c>
      <c r="T5" s="104" t="s">
        <v>33</v>
      </c>
      <c r="U5" s="104" t="s">
        <v>33</v>
      </c>
      <c r="V5" s="105" t="s">
        <v>39</v>
      </c>
      <c r="W5" s="106" t="s">
        <v>34</v>
      </c>
      <c r="X5" s="106" t="s">
        <v>34</v>
      </c>
      <c r="Y5" s="104" t="s">
        <v>33</v>
      </c>
      <c r="Z5" s="104" t="s">
        <v>33</v>
      </c>
      <c r="AA5" s="104" t="s">
        <v>33</v>
      </c>
      <c r="AB5" s="105" t="s">
        <v>39</v>
      </c>
      <c r="AC5" s="104" t="s">
        <v>33</v>
      </c>
      <c r="AD5" s="104" t="s">
        <v>33</v>
      </c>
      <c r="AE5" s="104" t="s">
        <v>33</v>
      </c>
      <c r="AF5" s="109" t="s">
        <v>37</v>
      </c>
      <c r="AG5" s="108">
        <f t="shared" ref="AG5:AG68" si="4">AH5+AI5+AJ5</f>
        <v>0</v>
      </c>
      <c r="AH5" s="108"/>
      <c r="AI5" s="108"/>
      <c r="AJ5" s="108"/>
      <c r="AK5" s="97" t="s">
        <v>35</v>
      </c>
      <c r="AM5" s="81" t="s">
        <v>37</v>
      </c>
      <c r="AN5" s="22">
        <v>160</v>
      </c>
      <c r="AO5" s="22">
        <v>40</v>
      </c>
      <c r="AP5" s="42">
        <v>39.110982162825422</v>
      </c>
      <c r="AQ5" s="42">
        <f t="shared" si="0"/>
        <v>24</v>
      </c>
      <c r="AR5" s="42">
        <f t="shared" si="1"/>
        <v>15</v>
      </c>
      <c r="AS5" s="42">
        <f t="shared" si="2"/>
        <v>10</v>
      </c>
      <c r="AT5" s="42">
        <f t="shared" ref="AT5:AT26" si="5">AQ5+AR5+AS5</f>
        <v>49</v>
      </c>
      <c r="AU5" s="43">
        <f t="shared" ref="AU5:AW28" si="6">AQ5*$AO5</f>
        <v>960</v>
      </c>
      <c r="AV5" s="43">
        <f t="shared" si="3"/>
        <v>600</v>
      </c>
      <c r="AW5" s="43">
        <f t="shared" si="3"/>
        <v>400</v>
      </c>
      <c r="AX5" s="125" t="s">
        <v>38</v>
      </c>
      <c r="AY5" s="125"/>
      <c r="BA5" s="41">
        <f t="shared" ref="BA5:BA29" si="7">AN5*0.8</f>
        <v>128</v>
      </c>
    </row>
    <row r="6" spans="1:53" s="35" customFormat="1">
      <c r="A6" s="101">
        <v>45368</v>
      </c>
      <c r="B6" s="102">
        <v>1600</v>
      </c>
      <c r="C6" s="103"/>
      <c r="D6" s="102">
        <f>(SUM(粮草!A6:X6)+AG6*10)*IF(AK6="是",$AY$4,$AY$3)</f>
        <v>1700</v>
      </c>
      <c r="E6" s="102">
        <f>SUM($B$4:B6)+SUM($C$4:C6)-SUM($D$4:D6)</f>
        <v>4790</v>
      </c>
      <c r="F6" s="102">
        <f>SUM(经验!A6:X6)</f>
        <v>495</v>
      </c>
      <c r="G6" s="102">
        <f>SUM($F$4:F6)+SUM($H$4:H6)</f>
        <v>1890</v>
      </c>
      <c r="H6" s="102">
        <v>0</v>
      </c>
      <c r="I6" s="107" t="s">
        <v>34</v>
      </c>
      <c r="J6" s="107" t="s">
        <v>34</v>
      </c>
      <c r="K6" s="107" t="s">
        <v>34</v>
      </c>
      <c r="L6" s="107" t="s">
        <v>34</v>
      </c>
      <c r="M6" s="107" t="s">
        <v>34</v>
      </c>
      <c r="N6" s="107" t="s">
        <v>34</v>
      </c>
      <c r="O6" s="106" t="s">
        <v>34</v>
      </c>
      <c r="P6" s="106" t="s">
        <v>34</v>
      </c>
      <c r="Q6" s="104" t="s">
        <v>33</v>
      </c>
      <c r="R6" s="104" t="s">
        <v>33</v>
      </c>
      <c r="S6" s="109" t="s">
        <v>37</v>
      </c>
      <c r="T6" s="109" t="s">
        <v>37</v>
      </c>
      <c r="U6" s="110" t="s">
        <v>46</v>
      </c>
      <c r="V6" s="109" t="s">
        <v>37</v>
      </c>
      <c r="W6" s="106" t="s">
        <v>34</v>
      </c>
      <c r="X6" s="106" t="s">
        <v>34</v>
      </c>
      <c r="Y6" s="109" t="s">
        <v>37</v>
      </c>
      <c r="Z6" s="109" t="s">
        <v>37</v>
      </c>
      <c r="AA6" s="109" t="s">
        <v>37</v>
      </c>
      <c r="AB6" s="105" t="s">
        <v>39</v>
      </c>
      <c r="AC6" s="109" t="s">
        <v>37</v>
      </c>
      <c r="AD6" s="109" t="s">
        <v>37</v>
      </c>
      <c r="AE6" s="105" t="s">
        <v>39</v>
      </c>
      <c r="AF6" s="111" t="s">
        <v>40</v>
      </c>
      <c r="AG6" s="108">
        <f t="shared" si="4"/>
        <v>0</v>
      </c>
      <c r="AH6" s="108"/>
      <c r="AI6" s="108"/>
      <c r="AJ6" s="108"/>
      <c r="AK6" s="97" t="s">
        <v>35</v>
      </c>
      <c r="AM6" s="82" t="s">
        <v>40</v>
      </c>
      <c r="AN6" s="22">
        <v>170</v>
      </c>
      <c r="AO6" s="22">
        <v>45</v>
      </c>
      <c r="AP6" s="42">
        <v>34</v>
      </c>
      <c r="AQ6" s="42">
        <f t="shared" si="0"/>
        <v>0</v>
      </c>
      <c r="AR6" s="42">
        <f t="shared" si="1"/>
        <v>47</v>
      </c>
      <c r="AS6" s="42">
        <f t="shared" si="2"/>
        <v>156</v>
      </c>
      <c r="AT6" s="42">
        <f t="shared" si="5"/>
        <v>203</v>
      </c>
      <c r="AU6" s="43">
        <f t="shared" si="6"/>
        <v>0</v>
      </c>
      <c r="AV6" s="43">
        <f t="shared" si="3"/>
        <v>2115</v>
      </c>
      <c r="AW6" s="43">
        <f t="shared" si="3"/>
        <v>7020</v>
      </c>
      <c r="AX6" s="126"/>
      <c r="AY6" s="126"/>
      <c r="BA6" s="41">
        <f t="shared" si="7"/>
        <v>136</v>
      </c>
    </row>
    <row r="7" spans="1:53">
      <c r="A7" s="101">
        <v>45369</v>
      </c>
      <c r="B7" s="107">
        <v>1600</v>
      </c>
      <c r="C7" s="107"/>
      <c r="D7" s="102">
        <f>(SUM(粮草!A7:X7)+AG7*10)*IF(AK7="是",$AY$4,$AY$3)</f>
        <v>2110</v>
      </c>
      <c r="E7" s="102">
        <f>SUM($B$4:B7)+SUM($C$4:C7)-SUM($D$4:D7)</f>
        <v>4280</v>
      </c>
      <c r="F7" s="102">
        <f>SUM(经验!A7:X7)</f>
        <v>575</v>
      </c>
      <c r="G7" s="102">
        <f>SUM($F$4:F7)+SUM($H$4:H7)</f>
        <v>2665</v>
      </c>
      <c r="H7" s="107">
        <v>200</v>
      </c>
      <c r="I7" s="107" t="s">
        <v>34</v>
      </c>
      <c r="J7" s="107" t="s">
        <v>34</v>
      </c>
      <c r="K7" s="107" t="s">
        <v>34</v>
      </c>
      <c r="L7" s="107" t="s">
        <v>34</v>
      </c>
      <c r="M7" s="107" t="s">
        <v>34</v>
      </c>
      <c r="N7" s="107" t="s">
        <v>34</v>
      </c>
      <c r="O7" s="106" t="s">
        <v>34</v>
      </c>
      <c r="P7" s="106" t="s">
        <v>34</v>
      </c>
      <c r="Q7" s="109" t="s">
        <v>37</v>
      </c>
      <c r="R7" s="109" t="s">
        <v>37</v>
      </c>
      <c r="S7" s="105" t="s">
        <v>39</v>
      </c>
      <c r="T7" s="109" t="s">
        <v>37</v>
      </c>
      <c r="U7" s="112" t="s">
        <v>41</v>
      </c>
      <c r="V7" s="109" t="s">
        <v>37</v>
      </c>
      <c r="W7" s="106" t="s">
        <v>34</v>
      </c>
      <c r="X7" s="106" t="s">
        <v>34</v>
      </c>
      <c r="Y7" s="111" t="s">
        <v>40</v>
      </c>
      <c r="Z7" s="111" t="s">
        <v>40</v>
      </c>
      <c r="AA7" s="111" t="s">
        <v>40</v>
      </c>
      <c r="AB7" s="111" t="s">
        <v>40</v>
      </c>
      <c r="AC7" s="105" t="s">
        <v>39</v>
      </c>
      <c r="AD7" s="111" t="s">
        <v>40</v>
      </c>
      <c r="AE7" s="113" t="s">
        <v>47</v>
      </c>
      <c r="AF7" s="111" t="s">
        <v>40</v>
      </c>
      <c r="AG7" s="108">
        <f t="shared" si="4"/>
        <v>5</v>
      </c>
      <c r="AH7" s="108"/>
      <c r="AI7" s="108">
        <v>5</v>
      </c>
      <c r="AJ7" s="108"/>
      <c r="AK7" s="97" t="s">
        <v>35</v>
      </c>
      <c r="AM7" s="83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191</v>
      </c>
      <c r="AS7" s="22">
        <f t="shared" si="2"/>
        <v>78</v>
      </c>
      <c r="AT7" s="22">
        <f t="shared" si="5"/>
        <v>269</v>
      </c>
      <c r="AU7" s="31">
        <f t="shared" si="6"/>
        <v>0</v>
      </c>
      <c r="AV7" s="31">
        <f t="shared" si="3"/>
        <v>9550</v>
      </c>
      <c r="AW7" s="31">
        <f t="shared" si="3"/>
        <v>3900</v>
      </c>
      <c r="AX7" s="126"/>
      <c r="AY7" s="126"/>
      <c r="BA7">
        <f t="shared" si="7"/>
        <v>144</v>
      </c>
    </row>
    <row r="8" spans="1:53">
      <c r="A8" s="101">
        <v>45370</v>
      </c>
      <c r="B8" s="107">
        <v>1600</v>
      </c>
      <c r="C8" s="107"/>
      <c r="D8" s="102">
        <f>(SUM(粮草!A8:X8)+AG8*10)*IF(AK8="是",$AY$4,$AY$3)</f>
        <v>2040</v>
      </c>
      <c r="E8" s="102">
        <f>SUM($B$4:B8)+SUM($C$4:C8)-SUM($D$4:D8)</f>
        <v>3840</v>
      </c>
      <c r="F8" s="102">
        <f>SUM(经验!A8:X8)</f>
        <v>550</v>
      </c>
      <c r="G8" s="102">
        <f>SUM($F$4:F8)+SUM($H$4:H8)</f>
        <v>3315</v>
      </c>
      <c r="H8" s="107">
        <v>100</v>
      </c>
      <c r="I8" s="107" t="s">
        <v>34</v>
      </c>
      <c r="J8" s="107" t="s">
        <v>34</v>
      </c>
      <c r="K8" s="107" t="s">
        <v>34</v>
      </c>
      <c r="L8" s="107" t="s">
        <v>34</v>
      </c>
      <c r="M8" s="107" t="s">
        <v>34</v>
      </c>
      <c r="N8" s="107" t="s">
        <v>34</v>
      </c>
      <c r="O8" s="106" t="s">
        <v>34</v>
      </c>
      <c r="P8" s="106" t="s">
        <v>34</v>
      </c>
      <c r="Q8" s="109" t="s">
        <v>37</v>
      </c>
      <c r="R8" s="109" t="s">
        <v>37</v>
      </c>
      <c r="S8" s="114" t="s">
        <v>42</v>
      </c>
      <c r="T8" s="114" t="s">
        <v>42</v>
      </c>
      <c r="U8" s="114" t="s">
        <v>42</v>
      </c>
      <c r="V8" s="114" t="s">
        <v>42</v>
      </c>
      <c r="W8" s="106" t="s">
        <v>34</v>
      </c>
      <c r="X8" s="106" t="s">
        <v>34</v>
      </c>
      <c r="Y8" s="111" t="s">
        <v>40</v>
      </c>
      <c r="Z8" s="111" t="s">
        <v>40</v>
      </c>
      <c r="AA8" s="113" t="s">
        <v>47</v>
      </c>
      <c r="AB8" s="111" t="s">
        <v>40</v>
      </c>
      <c r="AC8" s="111" t="s">
        <v>40</v>
      </c>
      <c r="AD8" s="115" t="s">
        <v>73</v>
      </c>
      <c r="AE8" s="106" t="s">
        <v>34</v>
      </c>
      <c r="AF8" s="106" t="s">
        <v>34</v>
      </c>
      <c r="AG8" s="108">
        <f t="shared" si="4"/>
        <v>0</v>
      </c>
      <c r="AH8" s="108"/>
      <c r="AI8" s="108"/>
      <c r="AJ8" s="108"/>
      <c r="AK8" s="97" t="s">
        <v>35</v>
      </c>
      <c r="AM8" s="84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169</v>
      </c>
      <c r="AS8" s="22">
        <f t="shared" si="2"/>
        <v>66</v>
      </c>
      <c r="AT8" s="22">
        <f t="shared" si="5"/>
        <v>235</v>
      </c>
      <c r="AU8" s="31">
        <f t="shared" si="6"/>
        <v>0</v>
      </c>
      <c r="AV8" s="31">
        <f t="shared" si="3"/>
        <v>9295</v>
      </c>
      <c r="AW8" s="31">
        <f t="shared" si="3"/>
        <v>3630</v>
      </c>
      <c r="AX8" s="126"/>
      <c r="AY8" s="126"/>
      <c r="BA8">
        <f t="shared" si="7"/>
        <v>152</v>
      </c>
    </row>
    <row r="9" spans="1:53">
      <c r="A9" s="101">
        <v>45371</v>
      </c>
      <c r="B9" s="107">
        <v>1600</v>
      </c>
      <c r="C9" s="107"/>
      <c r="D9" s="102">
        <f>(SUM(粮草!A9:X9)+AG9*10)*IF(AK9="是",$AY$4,$AY$3)</f>
        <v>1280</v>
      </c>
      <c r="E9" s="102">
        <f>SUM($B$4:B9)+SUM($C$4:C9)-SUM($D$4:D9)</f>
        <v>4160</v>
      </c>
      <c r="F9" s="102">
        <f>SUM(经验!A9:X9)</f>
        <v>670</v>
      </c>
      <c r="G9" s="102">
        <f>SUM($F$4:F9)+SUM($H$4:H9)</f>
        <v>4185</v>
      </c>
      <c r="H9" s="107">
        <v>200</v>
      </c>
      <c r="I9" s="107" t="s">
        <v>34</v>
      </c>
      <c r="J9" s="107" t="s">
        <v>34</v>
      </c>
      <c r="K9" s="107" t="s">
        <v>34</v>
      </c>
      <c r="L9" s="107" t="s">
        <v>34</v>
      </c>
      <c r="M9" s="107" t="s">
        <v>34</v>
      </c>
      <c r="N9" s="107" t="s">
        <v>34</v>
      </c>
      <c r="O9" s="106" t="s">
        <v>34</v>
      </c>
      <c r="P9" s="106" t="s">
        <v>34</v>
      </c>
      <c r="Q9" s="115" t="s">
        <v>74</v>
      </c>
      <c r="R9" s="107" t="s">
        <v>34</v>
      </c>
      <c r="S9" s="107" t="s">
        <v>34</v>
      </c>
      <c r="T9" s="107" t="s">
        <v>34</v>
      </c>
      <c r="U9" s="107" t="s">
        <v>34</v>
      </c>
      <c r="V9" s="107" t="s">
        <v>34</v>
      </c>
      <c r="W9" s="106" t="s">
        <v>34</v>
      </c>
      <c r="X9" s="106" t="s">
        <v>34</v>
      </c>
      <c r="Y9" s="111" t="s">
        <v>40</v>
      </c>
      <c r="Z9" s="111" t="s">
        <v>40</v>
      </c>
      <c r="AA9" s="111" t="s">
        <v>40</v>
      </c>
      <c r="AB9" s="111" t="s">
        <v>40</v>
      </c>
      <c r="AC9" s="111" t="s">
        <v>40</v>
      </c>
      <c r="AD9" s="111" t="s">
        <v>40</v>
      </c>
      <c r="AE9" s="106" t="s">
        <v>34</v>
      </c>
      <c r="AF9" s="106" t="s">
        <v>34</v>
      </c>
      <c r="AG9" s="108">
        <f t="shared" si="4"/>
        <v>1</v>
      </c>
      <c r="AH9" s="108"/>
      <c r="AI9" s="108"/>
      <c r="AJ9" s="108">
        <v>1</v>
      </c>
      <c r="AK9" s="97" t="s">
        <v>35</v>
      </c>
      <c r="AM9" s="85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34</v>
      </c>
      <c r="AS9" s="22">
        <f t="shared" si="2"/>
        <v>157</v>
      </c>
      <c r="AT9" s="22">
        <f t="shared" si="5"/>
        <v>191</v>
      </c>
      <c r="AU9" s="31">
        <f t="shared" si="6"/>
        <v>0</v>
      </c>
      <c r="AV9" s="31">
        <f t="shared" si="3"/>
        <v>2040</v>
      </c>
      <c r="AW9" s="31">
        <f t="shared" si="3"/>
        <v>9420</v>
      </c>
      <c r="BA9">
        <f t="shared" si="7"/>
        <v>160</v>
      </c>
    </row>
    <row r="10" spans="1:53">
      <c r="A10" s="101">
        <v>45372</v>
      </c>
      <c r="B10" s="107">
        <v>1600</v>
      </c>
      <c r="C10" s="107">
        <v>50</v>
      </c>
      <c r="D10" s="102">
        <f>(SUM(粮草!A10:X10)+AG10*10)*IF(AK10="是",$AY$4,$AY$3)</f>
        <v>1020</v>
      </c>
      <c r="E10" s="102">
        <f>SUM($B$4:B10)+SUM($C$4:C10)-SUM($D$4:D10)</f>
        <v>4790</v>
      </c>
      <c r="F10" s="102">
        <f>SUM(经验!A10:X10)</f>
        <v>270</v>
      </c>
      <c r="G10" s="102">
        <f>SUM($F$4:F10)+SUM($H$4:H10)</f>
        <v>4455</v>
      </c>
      <c r="H10" s="107">
        <v>0</v>
      </c>
      <c r="I10" s="107" t="s">
        <v>34</v>
      </c>
      <c r="J10" s="107" t="s">
        <v>34</v>
      </c>
      <c r="K10" s="107" t="s">
        <v>34</v>
      </c>
      <c r="L10" s="107" t="s">
        <v>34</v>
      </c>
      <c r="M10" s="107" t="s">
        <v>34</v>
      </c>
      <c r="N10" s="107" t="s">
        <v>34</v>
      </c>
      <c r="O10" s="106" t="s">
        <v>34</v>
      </c>
      <c r="P10" s="106" t="s">
        <v>34</v>
      </c>
      <c r="Q10" s="107" t="s">
        <v>34</v>
      </c>
      <c r="R10" s="107" t="s">
        <v>34</v>
      </c>
      <c r="S10" s="107" t="s">
        <v>34</v>
      </c>
      <c r="T10" s="107" t="s">
        <v>34</v>
      </c>
      <c r="U10" s="107" t="s">
        <v>34</v>
      </c>
      <c r="V10" s="107" t="s">
        <v>34</v>
      </c>
      <c r="W10" s="106" t="s">
        <v>34</v>
      </c>
      <c r="X10" s="106" t="s">
        <v>34</v>
      </c>
      <c r="Y10" s="111" t="s">
        <v>40</v>
      </c>
      <c r="Z10" s="115" t="s">
        <v>73</v>
      </c>
      <c r="AA10" s="111" t="s">
        <v>40</v>
      </c>
      <c r="AB10" s="111" t="s">
        <v>40</v>
      </c>
      <c r="AC10" s="115" t="s">
        <v>73</v>
      </c>
      <c r="AD10" s="111" t="s">
        <v>40</v>
      </c>
      <c r="AE10" s="106" t="s">
        <v>34</v>
      </c>
      <c r="AF10" s="106" t="s">
        <v>34</v>
      </c>
      <c r="AG10" s="108">
        <f t="shared" si="4"/>
        <v>0</v>
      </c>
      <c r="AH10" s="108"/>
      <c r="AI10" s="108"/>
      <c r="AJ10" s="108"/>
      <c r="AK10" s="97" t="s">
        <v>35</v>
      </c>
      <c r="AM10" s="55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31">
        <f t="shared" si="6"/>
        <v>0</v>
      </c>
      <c r="AV10" s="31">
        <f t="shared" si="3"/>
        <v>0</v>
      </c>
      <c r="AW10" s="31">
        <f t="shared" si="3"/>
        <v>0</v>
      </c>
      <c r="BA10">
        <f t="shared" si="7"/>
        <v>120</v>
      </c>
    </row>
    <row r="11" spans="1:53">
      <c r="A11" s="101">
        <v>45373</v>
      </c>
      <c r="B11" s="107">
        <v>1600</v>
      </c>
      <c r="C11" s="107"/>
      <c r="D11" s="102">
        <f>(SUM(粮草!A11:X11)+AG11*10)*IF(AK11="是",$AY$4,$AY$3)</f>
        <v>900</v>
      </c>
      <c r="E11" s="102">
        <f>SUM($B$4:B11)+SUM($C$4:C11)-SUM($D$4:D11)</f>
        <v>5490</v>
      </c>
      <c r="F11" s="102">
        <f>SUM(经验!A11:X11)</f>
        <v>255</v>
      </c>
      <c r="G11" s="102">
        <f>SUM($F$4:F11)+SUM($H$4:H11)</f>
        <v>4710</v>
      </c>
      <c r="H11" s="107">
        <v>0</v>
      </c>
      <c r="I11" s="107" t="s">
        <v>34</v>
      </c>
      <c r="J11" s="107" t="s">
        <v>34</v>
      </c>
      <c r="K11" s="107" t="s">
        <v>34</v>
      </c>
      <c r="L11" s="107" t="s">
        <v>34</v>
      </c>
      <c r="M11" s="107" t="s">
        <v>34</v>
      </c>
      <c r="N11" s="107" t="s">
        <v>34</v>
      </c>
      <c r="O11" s="106" t="s">
        <v>34</v>
      </c>
      <c r="P11" s="106" t="s">
        <v>34</v>
      </c>
      <c r="Q11" s="107" t="s">
        <v>34</v>
      </c>
      <c r="R11" s="107" t="s">
        <v>34</v>
      </c>
      <c r="S11" s="107" t="s">
        <v>34</v>
      </c>
      <c r="T11" s="107" t="s">
        <v>34</v>
      </c>
      <c r="U11" s="107" t="s">
        <v>34</v>
      </c>
      <c r="V11" s="107" t="s">
        <v>34</v>
      </c>
      <c r="W11" s="106" t="s">
        <v>34</v>
      </c>
      <c r="X11" s="106" t="s">
        <v>34</v>
      </c>
      <c r="Y11" s="111" t="s">
        <v>40</v>
      </c>
      <c r="Z11" s="111" t="s">
        <v>40</v>
      </c>
      <c r="AA11" s="111" t="s">
        <v>40</v>
      </c>
      <c r="AB11" s="105" t="s">
        <v>39</v>
      </c>
      <c r="AC11" s="111" t="s">
        <v>40</v>
      </c>
      <c r="AD11" s="111" t="s">
        <v>40</v>
      </c>
      <c r="AE11" s="106" t="s">
        <v>34</v>
      </c>
      <c r="AF11" s="106" t="s">
        <v>34</v>
      </c>
      <c r="AG11" s="108">
        <f t="shared" si="4"/>
        <v>0</v>
      </c>
      <c r="AH11" s="108"/>
      <c r="AI11" s="108"/>
      <c r="AJ11" s="108"/>
      <c r="AK11" s="97" t="s">
        <v>35</v>
      </c>
      <c r="AM11" s="86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1</v>
      </c>
      <c r="AT11" s="22">
        <f t="shared" si="5"/>
        <v>2</v>
      </c>
      <c r="AU11" s="31">
        <f t="shared" si="6"/>
        <v>0</v>
      </c>
      <c r="AV11" s="31">
        <f t="shared" si="3"/>
        <v>40</v>
      </c>
      <c r="AW11" s="31">
        <f t="shared" si="3"/>
        <v>40</v>
      </c>
      <c r="BA11">
        <f t="shared" si="7"/>
        <v>120</v>
      </c>
    </row>
    <row r="12" spans="1:53">
      <c r="A12" s="101">
        <v>45374</v>
      </c>
      <c r="B12" s="107">
        <v>1600</v>
      </c>
      <c r="C12" s="107"/>
      <c r="D12" s="102">
        <f>(SUM(粮草!A12:X12)+AG12*10)*IF(AK12="是",$AY$4,$AY$3)</f>
        <v>980</v>
      </c>
      <c r="E12" s="102">
        <f>SUM($B$4:B12)+SUM($C$4:C12)-SUM($D$4:D12)</f>
        <v>6110</v>
      </c>
      <c r="F12" s="102">
        <f>SUM(经验!A12:X12)</f>
        <v>510</v>
      </c>
      <c r="G12" s="102">
        <f>SUM($F$4:F12)+SUM($H$4:H12)</f>
        <v>5220</v>
      </c>
      <c r="H12" s="107">
        <v>0</v>
      </c>
      <c r="I12" s="107" t="s">
        <v>34</v>
      </c>
      <c r="J12" s="107" t="s">
        <v>34</v>
      </c>
      <c r="K12" s="107" t="s">
        <v>34</v>
      </c>
      <c r="L12" s="107" t="s">
        <v>34</v>
      </c>
      <c r="M12" s="107" t="s">
        <v>34</v>
      </c>
      <c r="N12" s="107" t="s">
        <v>34</v>
      </c>
      <c r="O12" s="106" t="s">
        <v>34</v>
      </c>
      <c r="P12" s="106" t="s">
        <v>34</v>
      </c>
      <c r="Q12" s="107" t="s">
        <v>34</v>
      </c>
      <c r="R12" s="107" t="s">
        <v>34</v>
      </c>
      <c r="S12" s="107" t="s">
        <v>34</v>
      </c>
      <c r="T12" s="107" t="s">
        <v>34</v>
      </c>
      <c r="U12" s="107" t="s">
        <v>34</v>
      </c>
      <c r="V12" s="107" t="s">
        <v>34</v>
      </c>
      <c r="W12" s="106" t="s">
        <v>34</v>
      </c>
      <c r="X12" s="106" t="s">
        <v>34</v>
      </c>
      <c r="Y12" s="111" t="s">
        <v>40</v>
      </c>
      <c r="Z12" s="111" t="s">
        <v>40</v>
      </c>
      <c r="AA12" s="111" t="s">
        <v>40</v>
      </c>
      <c r="AB12" s="105" t="s">
        <v>39</v>
      </c>
      <c r="AC12" s="111" t="s">
        <v>40</v>
      </c>
      <c r="AD12" s="115" t="s">
        <v>69</v>
      </c>
      <c r="AE12" s="106" t="s">
        <v>34</v>
      </c>
      <c r="AF12" s="106" t="s">
        <v>34</v>
      </c>
      <c r="AG12" s="108">
        <f t="shared" si="4"/>
        <v>0</v>
      </c>
      <c r="AH12" s="108"/>
      <c r="AI12" s="108"/>
      <c r="AJ12" s="108"/>
      <c r="AK12" s="97" t="s">
        <v>35</v>
      </c>
      <c r="AM12" s="87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1</v>
      </c>
      <c r="AS12" s="22">
        <f t="shared" si="2"/>
        <v>5</v>
      </c>
      <c r="AT12" s="22">
        <f t="shared" si="5"/>
        <v>6</v>
      </c>
      <c r="AU12" s="31">
        <f t="shared" si="6"/>
        <v>0</v>
      </c>
      <c r="AV12" s="31">
        <f t="shared" si="3"/>
        <v>45</v>
      </c>
      <c r="AW12" s="31">
        <f t="shared" si="3"/>
        <v>225</v>
      </c>
      <c r="BA12">
        <f t="shared" si="7"/>
        <v>120</v>
      </c>
    </row>
    <row r="13" spans="1:53">
      <c r="A13" s="101">
        <v>45375</v>
      </c>
      <c r="B13" s="107">
        <v>1600</v>
      </c>
      <c r="C13" s="107"/>
      <c r="D13" s="102">
        <f>(SUM(粮草!A13:X13)+AG13*10)*IF(AK13="是",$AY$4,$AY$3)</f>
        <v>1070</v>
      </c>
      <c r="E13" s="102">
        <f>SUM($B$4:B13)+SUM($C$4:C13)-SUM($D$4:D13)</f>
        <v>6640</v>
      </c>
      <c r="F13" s="102">
        <f>SUM(经验!A13:X13)</f>
        <v>270</v>
      </c>
      <c r="G13" s="102">
        <f>SUM($F$4:F13)+SUM($H$4:H13)</f>
        <v>5490</v>
      </c>
      <c r="H13" s="107">
        <v>0</v>
      </c>
      <c r="I13" s="107" t="s">
        <v>34</v>
      </c>
      <c r="J13" s="107" t="s">
        <v>34</v>
      </c>
      <c r="K13" s="107" t="s">
        <v>34</v>
      </c>
      <c r="L13" s="107" t="s">
        <v>34</v>
      </c>
      <c r="M13" s="107" t="s">
        <v>34</v>
      </c>
      <c r="N13" s="107" t="s">
        <v>34</v>
      </c>
      <c r="O13" s="106" t="s">
        <v>34</v>
      </c>
      <c r="P13" s="106" t="s">
        <v>34</v>
      </c>
      <c r="Q13" s="107" t="s">
        <v>34</v>
      </c>
      <c r="R13" s="107" t="s">
        <v>34</v>
      </c>
      <c r="S13" s="107" t="s">
        <v>34</v>
      </c>
      <c r="T13" s="107" t="s">
        <v>34</v>
      </c>
      <c r="U13" s="107" t="s">
        <v>34</v>
      </c>
      <c r="V13" s="107" t="s">
        <v>34</v>
      </c>
      <c r="W13" s="106" t="s">
        <v>34</v>
      </c>
      <c r="X13" s="106" t="s">
        <v>34</v>
      </c>
      <c r="Y13" s="111" t="s">
        <v>40</v>
      </c>
      <c r="Z13" s="111" t="s">
        <v>40</v>
      </c>
      <c r="AA13" s="111" t="s">
        <v>40</v>
      </c>
      <c r="AB13" s="111" t="s">
        <v>40</v>
      </c>
      <c r="AC13" s="111" t="s">
        <v>40</v>
      </c>
      <c r="AD13" s="111" t="s">
        <v>40</v>
      </c>
      <c r="AE13" s="106" t="s">
        <v>34</v>
      </c>
      <c r="AF13" s="106" t="s">
        <v>34</v>
      </c>
      <c r="AG13" s="108">
        <f t="shared" si="4"/>
        <v>5</v>
      </c>
      <c r="AH13" s="116"/>
      <c r="AI13" s="116"/>
      <c r="AJ13" s="116">
        <v>5</v>
      </c>
      <c r="AK13" s="97" t="s">
        <v>35</v>
      </c>
      <c r="AM13" s="88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2</v>
      </c>
      <c r="AS13" s="22">
        <f t="shared" si="2"/>
        <v>1</v>
      </c>
      <c r="AT13" s="22">
        <f t="shared" si="5"/>
        <v>3</v>
      </c>
      <c r="AU13" s="31">
        <f t="shared" si="6"/>
        <v>0</v>
      </c>
      <c r="AV13" s="31">
        <f t="shared" si="3"/>
        <v>100</v>
      </c>
      <c r="AW13" s="31">
        <f t="shared" si="3"/>
        <v>50</v>
      </c>
      <c r="BA13">
        <f t="shared" si="7"/>
        <v>120</v>
      </c>
    </row>
    <row r="14" spans="1:53">
      <c r="A14" s="101">
        <v>45376</v>
      </c>
      <c r="B14" s="102">
        <v>1600</v>
      </c>
      <c r="C14" s="103"/>
      <c r="D14" s="102">
        <f>(SUM(粮草!A14:X14)+AG14*10)*IF(AK14="是",$AY$4,$AY$3)</f>
        <v>1100</v>
      </c>
      <c r="E14" s="102">
        <f>SUM($B$4:B14)+SUM($C$4:C14)-SUM($D$4:D14)</f>
        <v>7140</v>
      </c>
      <c r="F14" s="102">
        <f>SUM(经验!A14:X14)</f>
        <v>280</v>
      </c>
      <c r="G14" s="102">
        <f>SUM($F$4:F14)+SUM($H$4:H14)</f>
        <v>6070</v>
      </c>
      <c r="H14" s="102">
        <v>300</v>
      </c>
      <c r="I14" s="107" t="s">
        <v>34</v>
      </c>
      <c r="J14" s="107" t="s">
        <v>34</v>
      </c>
      <c r="K14" s="107" t="s">
        <v>34</v>
      </c>
      <c r="L14" s="107" t="s">
        <v>34</v>
      </c>
      <c r="M14" s="107" t="s">
        <v>34</v>
      </c>
      <c r="N14" s="107" t="s">
        <v>34</v>
      </c>
      <c r="O14" s="106" t="s">
        <v>34</v>
      </c>
      <c r="P14" s="106" t="s">
        <v>34</v>
      </c>
      <c r="Q14" s="107" t="s">
        <v>34</v>
      </c>
      <c r="R14" s="107" t="s">
        <v>34</v>
      </c>
      <c r="S14" s="107" t="s">
        <v>34</v>
      </c>
      <c r="T14" s="107" t="s">
        <v>34</v>
      </c>
      <c r="U14" s="107" t="s">
        <v>34</v>
      </c>
      <c r="V14" s="107" t="s">
        <v>34</v>
      </c>
      <c r="W14" s="106" t="s">
        <v>34</v>
      </c>
      <c r="X14" s="106" t="s">
        <v>34</v>
      </c>
      <c r="Y14" s="114" t="s">
        <v>42</v>
      </c>
      <c r="Z14" s="115" t="s">
        <v>75</v>
      </c>
      <c r="AA14" s="111" t="s">
        <v>40</v>
      </c>
      <c r="AB14" s="111" t="s">
        <v>40</v>
      </c>
      <c r="AC14" s="111" t="s">
        <v>40</v>
      </c>
      <c r="AD14" s="111" t="s">
        <v>40</v>
      </c>
      <c r="AE14" s="106" t="s">
        <v>34</v>
      </c>
      <c r="AF14" s="106" t="s">
        <v>34</v>
      </c>
      <c r="AG14" s="108">
        <f t="shared" si="4"/>
        <v>6</v>
      </c>
      <c r="AH14" s="116"/>
      <c r="AI14" s="116"/>
      <c r="AJ14" s="116">
        <v>6</v>
      </c>
      <c r="AK14" s="97" t="s">
        <v>35</v>
      </c>
      <c r="AM14" s="54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3</v>
      </c>
      <c r="AS14" s="22">
        <f t="shared" si="2"/>
        <v>0</v>
      </c>
      <c r="AT14" s="22">
        <f t="shared" si="5"/>
        <v>3</v>
      </c>
      <c r="AU14" s="31">
        <f t="shared" si="6"/>
        <v>0</v>
      </c>
      <c r="AV14" s="31">
        <f t="shared" si="3"/>
        <v>165</v>
      </c>
      <c r="AW14" s="31">
        <f t="shared" si="3"/>
        <v>0</v>
      </c>
      <c r="BA14">
        <f t="shared" si="7"/>
        <v>120</v>
      </c>
    </row>
    <row r="15" spans="1:53">
      <c r="A15" s="101">
        <v>45377</v>
      </c>
      <c r="B15" s="102">
        <v>1600</v>
      </c>
      <c r="C15" s="103"/>
      <c r="D15" s="102">
        <f>(SUM(粮草!A15:X15)+AG15*10)*IF(AK15="是",$AY$4,$AY$3)</f>
        <v>1120</v>
      </c>
      <c r="E15" s="102">
        <f>SUM($B$4:B15)+SUM($C$4:C15)-SUM($D$4:D15)</f>
        <v>7620</v>
      </c>
      <c r="F15" s="102">
        <f>SUM(经验!A15:X15)</f>
        <v>525</v>
      </c>
      <c r="G15" s="102">
        <f>SUM($F$4:F15)+SUM($H$4:H15)</f>
        <v>6595</v>
      </c>
      <c r="H15" s="102">
        <v>0</v>
      </c>
      <c r="I15" s="107" t="s">
        <v>34</v>
      </c>
      <c r="J15" s="107" t="s">
        <v>34</v>
      </c>
      <c r="K15" s="107" t="s">
        <v>34</v>
      </c>
      <c r="L15" s="107" t="s">
        <v>34</v>
      </c>
      <c r="M15" s="107" t="s">
        <v>34</v>
      </c>
      <c r="N15" s="107" t="s">
        <v>34</v>
      </c>
      <c r="O15" s="106" t="s">
        <v>34</v>
      </c>
      <c r="P15" s="106" t="s">
        <v>34</v>
      </c>
      <c r="Q15" s="107" t="s">
        <v>34</v>
      </c>
      <c r="R15" s="107" t="s">
        <v>34</v>
      </c>
      <c r="S15" s="107" t="s">
        <v>34</v>
      </c>
      <c r="T15" s="107" t="s">
        <v>34</v>
      </c>
      <c r="U15" s="107" t="s">
        <v>34</v>
      </c>
      <c r="V15" s="107" t="s">
        <v>34</v>
      </c>
      <c r="W15" s="106" t="s">
        <v>34</v>
      </c>
      <c r="X15" s="106" t="s">
        <v>34</v>
      </c>
      <c r="Y15" s="111" t="s">
        <v>40</v>
      </c>
      <c r="Z15" s="115" t="s">
        <v>69</v>
      </c>
      <c r="AA15" s="111" t="s">
        <v>40</v>
      </c>
      <c r="AB15" s="111" t="s">
        <v>40</v>
      </c>
      <c r="AC15" s="111" t="s">
        <v>40</v>
      </c>
      <c r="AD15" s="111" t="s">
        <v>40</v>
      </c>
      <c r="AE15" s="106" t="s">
        <v>34</v>
      </c>
      <c r="AF15" s="106" t="s">
        <v>34</v>
      </c>
      <c r="AG15" s="108">
        <f t="shared" si="4"/>
        <v>2</v>
      </c>
      <c r="AH15" s="116"/>
      <c r="AI15" s="116"/>
      <c r="AJ15" s="116">
        <v>2</v>
      </c>
      <c r="AK15" s="97" t="s">
        <v>35</v>
      </c>
      <c r="AM15" s="89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1</v>
      </c>
      <c r="AT15" s="22">
        <f t="shared" si="5"/>
        <v>1</v>
      </c>
      <c r="AU15" s="31">
        <f t="shared" si="6"/>
        <v>0</v>
      </c>
      <c r="AV15" s="31">
        <f t="shared" si="3"/>
        <v>0</v>
      </c>
      <c r="AW15" s="31">
        <f t="shared" si="3"/>
        <v>60</v>
      </c>
      <c r="BA15">
        <f t="shared" si="7"/>
        <v>120</v>
      </c>
    </row>
    <row r="16" spans="1:53">
      <c r="A16" s="101">
        <v>45378</v>
      </c>
      <c r="B16" s="102">
        <v>1600</v>
      </c>
      <c r="C16" s="103">
        <v>216</v>
      </c>
      <c r="D16" s="102">
        <f>(SUM(粮草!A16:X16)+AG16*10)*IF(AK16="是",$AY$4,$AY$3)</f>
        <v>2100</v>
      </c>
      <c r="E16" s="102">
        <f>SUM($B$4:B16)+SUM($C$4:C16)-SUM($D$4:D16)</f>
        <v>7336</v>
      </c>
      <c r="F16" s="102">
        <f>SUM(经验!A16:X16)</f>
        <v>570</v>
      </c>
      <c r="G16" s="102">
        <f>SUM($F$4:F16)+SUM($H$4:H16)</f>
        <v>7365</v>
      </c>
      <c r="H16" s="102">
        <v>200</v>
      </c>
      <c r="I16" s="107" t="s">
        <v>34</v>
      </c>
      <c r="J16" s="107" t="s">
        <v>34</v>
      </c>
      <c r="K16" s="107" t="s">
        <v>34</v>
      </c>
      <c r="L16" s="107" t="s">
        <v>34</v>
      </c>
      <c r="M16" s="107" t="s">
        <v>34</v>
      </c>
      <c r="N16" s="107" t="s">
        <v>34</v>
      </c>
      <c r="O16" s="106" t="s">
        <v>34</v>
      </c>
      <c r="P16" s="106" t="s">
        <v>34</v>
      </c>
      <c r="Q16" s="114" t="s">
        <v>42</v>
      </c>
      <c r="R16" s="114" t="s">
        <v>42</v>
      </c>
      <c r="S16" s="114" t="s">
        <v>42</v>
      </c>
      <c r="T16" s="114" t="s">
        <v>42</v>
      </c>
      <c r="U16" s="114" t="s">
        <v>42</v>
      </c>
      <c r="V16" s="114" t="s">
        <v>42</v>
      </c>
      <c r="W16" s="106" t="s">
        <v>34</v>
      </c>
      <c r="X16" s="106" t="s">
        <v>34</v>
      </c>
      <c r="Y16" s="111" t="s">
        <v>40</v>
      </c>
      <c r="Z16" s="111" t="s">
        <v>40</v>
      </c>
      <c r="AA16" s="111" t="s">
        <v>40</v>
      </c>
      <c r="AB16" s="111" t="s">
        <v>40</v>
      </c>
      <c r="AC16" s="111" t="s">
        <v>40</v>
      </c>
      <c r="AD16" s="115" t="s">
        <v>73</v>
      </c>
      <c r="AE16" s="106" t="s">
        <v>34</v>
      </c>
      <c r="AF16" s="106" t="s">
        <v>34</v>
      </c>
      <c r="AG16" s="108">
        <f t="shared" si="4"/>
        <v>0</v>
      </c>
      <c r="AH16" s="116"/>
      <c r="AI16" s="116"/>
      <c r="AJ16" s="116"/>
      <c r="AK16" s="97" t="s">
        <v>35</v>
      </c>
      <c r="AM16" s="90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31">
        <f t="shared" si="6"/>
        <v>0</v>
      </c>
      <c r="AV16" s="31">
        <f t="shared" si="3"/>
        <v>0</v>
      </c>
      <c r="AW16" s="31">
        <f t="shared" si="3"/>
        <v>0</v>
      </c>
      <c r="BA16">
        <f t="shared" si="7"/>
        <v>120</v>
      </c>
    </row>
    <row r="17" spans="1:53">
      <c r="A17" s="101">
        <v>45379</v>
      </c>
      <c r="B17" s="102">
        <v>1600</v>
      </c>
      <c r="C17" s="103"/>
      <c r="D17" s="102">
        <f>(SUM(粮草!A17:X17)+AG17*10)*IF(AK17="是",$AY$4,$AY$3)</f>
        <v>1584</v>
      </c>
      <c r="E17" s="102">
        <f>SUM($B$4:B17)+SUM($C$4:C17)-SUM($D$4:D17)</f>
        <v>7352</v>
      </c>
      <c r="F17" s="102">
        <f>SUM(经验!A17:X17)</f>
        <v>555</v>
      </c>
      <c r="G17" s="102">
        <f>SUM($F$4:F17)+SUM($H$4:H17)</f>
        <v>7920</v>
      </c>
      <c r="H17" s="102">
        <v>0</v>
      </c>
      <c r="I17" s="107" t="s">
        <v>34</v>
      </c>
      <c r="J17" s="107" t="s">
        <v>34</v>
      </c>
      <c r="K17" s="107" t="s">
        <v>34</v>
      </c>
      <c r="L17" s="107" t="s">
        <v>34</v>
      </c>
      <c r="M17" s="107" t="s">
        <v>34</v>
      </c>
      <c r="N17" s="107" t="s">
        <v>34</v>
      </c>
      <c r="O17" s="106" t="s">
        <v>34</v>
      </c>
      <c r="P17" s="106" t="s">
        <v>34</v>
      </c>
      <c r="Q17" s="114" t="s">
        <v>42</v>
      </c>
      <c r="R17" s="114" t="s">
        <v>42</v>
      </c>
      <c r="S17" s="114" t="s">
        <v>42</v>
      </c>
      <c r="T17" s="114" t="s">
        <v>42</v>
      </c>
      <c r="U17" s="114" t="s">
        <v>42</v>
      </c>
      <c r="V17" s="114" t="s">
        <v>42</v>
      </c>
      <c r="W17" s="106" t="s">
        <v>34</v>
      </c>
      <c r="X17" s="106" t="s">
        <v>34</v>
      </c>
      <c r="Y17" s="111" t="s">
        <v>40</v>
      </c>
      <c r="Z17" s="111" t="s">
        <v>40</v>
      </c>
      <c r="AA17" s="105" t="s">
        <v>39</v>
      </c>
      <c r="AB17" s="111" t="s">
        <v>40</v>
      </c>
      <c r="AC17" s="111" t="s">
        <v>40</v>
      </c>
      <c r="AD17" s="111" t="s">
        <v>40</v>
      </c>
      <c r="AE17" s="106" t="s">
        <v>34</v>
      </c>
      <c r="AF17" s="106" t="s">
        <v>34</v>
      </c>
      <c r="AG17" s="108">
        <f t="shared" si="4"/>
        <v>0</v>
      </c>
      <c r="AH17" s="116"/>
      <c r="AI17" s="116"/>
      <c r="AJ17" s="116"/>
      <c r="AK17" s="98" t="s">
        <v>52</v>
      </c>
      <c r="AM17" s="91" t="s">
        <v>39</v>
      </c>
      <c r="AN17" s="22">
        <v>50</v>
      </c>
      <c r="AO17" s="22">
        <v>30</v>
      </c>
      <c r="AP17" s="22">
        <v>10</v>
      </c>
      <c r="AQ17" s="22">
        <f t="shared" si="0"/>
        <v>9</v>
      </c>
      <c r="AR17" s="22">
        <f t="shared" si="1"/>
        <v>11</v>
      </c>
      <c r="AS17" s="22">
        <f t="shared" si="2"/>
        <v>20</v>
      </c>
      <c r="AT17" s="22">
        <f t="shared" si="5"/>
        <v>40</v>
      </c>
      <c r="AU17" s="31">
        <f t="shared" si="6"/>
        <v>270</v>
      </c>
      <c r="AV17" s="31">
        <f t="shared" si="3"/>
        <v>330</v>
      </c>
      <c r="AW17" s="31">
        <f t="shared" si="3"/>
        <v>600</v>
      </c>
      <c r="BA17">
        <f t="shared" si="7"/>
        <v>40</v>
      </c>
    </row>
    <row r="18" spans="1:53">
      <c r="A18" s="101">
        <v>45380</v>
      </c>
      <c r="B18" s="102">
        <v>1600</v>
      </c>
      <c r="C18" s="103"/>
      <c r="D18" s="102">
        <f>(SUM(粮草!A18:X18)+AG18*10)*IF(AK18="是",$AY$4,$AY$3)</f>
        <v>1688</v>
      </c>
      <c r="E18" s="102">
        <f>SUM($B$4:B18)+SUM($C$4:C18)-SUM($D$4:D18)</f>
        <v>7264</v>
      </c>
      <c r="F18" s="102">
        <f>SUM(经验!A18:X18)</f>
        <v>570</v>
      </c>
      <c r="G18" s="102">
        <f>SUM($F$4:F18)+SUM($H$4:H18)</f>
        <v>8490</v>
      </c>
      <c r="H18" s="102">
        <v>0</v>
      </c>
      <c r="I18" s="107" t="s">
        <v>34</v>
      </c>
      <c r="J18" s="107" t="s">
        <v>34</v>
      </c>
      <c r="K18" s="107" t="s">
        <v>34</v>
      </c>
      <c r="L18" s="107" t="s">
        <v>34</v>
      </c>
      <c r="M18" s="107" t="s">
        <v>34</v>
      </c>
      <c r="N18" s="107" t="s">
        <v>34</v>
      </c>
      <c r="O18" s="106" t="s">
        <v>34</v>
      </c>
      <c r="P18" s="106" t="s">
        <v>34</v>
      </c>
      <c r="Q18" s="114" t="s">
        <v>42</v>
      </c>
      <c r="R18" s="114" t="s">
        <v>42</v>
      </c>
      <c r="S18" s="114" t="s">
        <v>42</v>
      </c>
      <c r="T18" s="114" t="s">
        <v>42</v>
      </c>
      <c r="U18" s="114" t="s">
        <v>42</v>
      </c>
      <c r="V18" s="114" t="s">
        <v>42</v>
      </c>
      <c r="W18" s="106" t="s">
        <v>34</v>
      </c>
      <c r="X18" s="106" t="s">
        <v>34</v>
      </c>
      <c r="Y18" s="111" t="s">
        <v>40</v>
      </c>
      <c r="Z18" s="111" t="s">
        <v>40</v>
      </c>
      <c r="AA18" s="111" t="s">
        <v>40</v>
      </c>
      <c r="AB18" s="111" t="s">
        <v>40</v>
      </c>
      <c r="AC18" s="111" t="s">
        <v>40</v>
      </c>
      <c r="AD18" s="111" t="s">
        <v>40</v>
      </c>
      <c r="AE18" s="106" t="s">
        <v>34</v>
      </c>
      <c r="AF18" s="106" t="s">
        <v>34</v>
      </c>
      <c r="AG18" s="108">
        <f t="shared" si="4"/>
        <v>1</v>
      </c>
      <c r="AH18" s="116"/>
      <c r="AI18" s="116"/>
      <c r="AJ18" s="116">
        <v>1</v>
      </c>
      <c r="AK18" s="99" t="s">
        <v>52</v>
      </c>
      <c r="AL18" s="23" t="s">
        <v>32</v>
      </c>
      <c r="AM18" s="92" t="s">
        <v>46</v>
      </c>
      <c r="AN18" s="22">
        <v>-150</v>
      </c>
      <c r="AO18" s="22">
        <v>0</v>
      </c>
      <c r="AP18" s="22">
        <v>10</v>
      </c>
      <c r="AQ18" s="22">
        <f t="shared" si="0"/>
        <v>0</v>
      </c>
      <c r="AR18" s="22">
        <f t="shared" si="1"/>
        <v>1</v>
      </c>
      <c r="AS18" s="22">
        <f t="shared" si="2"/>
        <v>0</v>
      </c>
      <c r="AT18" s="22">
        <f t="shared" si="5"/>
        <v>1</v>
      </c>
      <c r="AU18" s="31">
        <f t="shared" si="6"/>
        <v>0</v>
      </c>
      <c r="AV18" s="31">
        <f t="shared" si="3"/>
        <v>0</v>
      </c>
      <c r="AW18" s="31">
        <f t="shared" si="3"/>
        <v>0</v>
      </c>
      <c r="BA18">
        <f t="shared" si="7"/>
        <v>-120</v>
      </c>
    </row>
    <row r="19" spans="1:53">
      <c r="A19" s="101">
        <v>45381</v>
      </c>
      <c r="B19" s="102">
        <v>1600</v>
      </c>
      <c r="C19" s="103"/>
      <c r="D19" s="102">
        <f>(SUM(粮草!A19:X19)+AG19*10)*IF(AK19="是",$AY$4,$AY$3)</f>
        <v>1384</v>
      </c>
      <c r="E19" s="102">
        <f>SUM($B$4:B19)+SUM($C$4:C19)-SUM($D$4:D19)</f>
        <v>7480</v>
      </c>
      <c r="F19" s="102">
        <f>SUM(经验!A19:X19)</f>
        <v>525</v>
      </c>
      <c r="G19" s="102">
        <f>SUM($F$4:F19)+SUM($H$4:H19)</f>
        <v>9015</v>
      </c>
      <c r="H19" s="102">
        <v>0</v>
      </c>
      <c r="I19" s="107" t="s">
        <v>34</v>
      </c>
      <c r="J19" s="107" t="s">
        <v>34</v>
      </c>
      <c r="K19" s="107" t="s">
        <v>34</v>
      </c>
      <c r="L19" s="107" t="s">
        <v>34</v>
      </c>
      <c r="M19" s="107" t="s">
        <v>34</v>
      </c>
      <c r="N19" s="107" t="s">
        <v>34</v>
      </c>
      <c r="O19" s="106" t="s">
        <v>34</v>
      </c>
      <c r="P19" s="106" t="s">
        <v>34</v>
      </c>
      <c r="Q19" s="114" t="s">
        <v>42</v>
      </c>
      <c r="R19" s="114" t="s">
        <v>42</v>
      </c>
      <c r="S19" s="114" t="s">
        <v>42</v>
      </c>
      <c r="T19" s="114" t="s">
        <v>42</v>
      </c>
      <c r="U19" s="114" t="s">
        <v>42</v>
      </c>
      <c r="V19" s="114" t="s">
        <v>42</v>
      </c>
      <c r="W19" s="106" t="s">
        <v>34</v>
      </c>
      <c r="X19" s="106" t="s">
        <v>34</v>
      </c>
      <c r="Y19" s="111" t="s">
        <v>40</v>
      </c>
      <c r="Z19" s="111" t="s">
        <v>40</v>
      </c>
      <c r="AA19" s="110" t="s">
        <v>57</v>
      </c>
      <c r="AB19" s="111" t="s">
        <v>40</v>
      </c>
      <c r="AC19" s="111" t="s">
        <v>40</v>
      </c>
      <c r="AD19" s="111" t="s">
        <v>40</v>
      </c>
      <c r="AE19" s="106" t="s">
        <v>34</v>
      </c>
      <c r="AF19" s="106" t="s">
        <v>34</v>
      </c>
      <c r="AG19" s="108">
        <f t="shared" si="4"/>
        <v>0</v>
      </c>
      <c r="AH19" s="116"/>
      <c r="AI19" s="116"/>
      <c r="AJ19" s="116"/>
      <c r="AK19" s="99" t="s">
        <v>52</v>
      </c>
      <c r="AM19" s="50" t="s">
        <v>69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0</v>
      </c>
      <c r="AS19" s="22">
        <f t="shared" si="2"/>
        <v>2</v>
      </c>
      <c r="AT19" s="22">
        <f t="shared" si="5"/>
        <v>2</v>
      </c>
      <c r="AU19" s="31">
        <f t="shared" si="6"/>
        <v>0</v>
      </c>
      <c r="AV19" s="31">
        <f t="shared" si="3"/>
        <v>0</v>
      </c>
      <c r="AW19" s="31">
        <f t="shared" si="3"/>
        <v>600</v>
      </c>
      <c r="BA19">
        <f t="shared" si="7"/>
        <v>200</v>
      </c>
    </row>
    <row r="20" spans="1:53">
      <c r="A20" s="101">
        <v>45382</v>
      </c>
      <c r="B20" s="102">
        <v>1600</v>
      </c>
      <c r="C20" s="103"/>
      <c r="D20" s="102">
        <f>(SUM(粮草!A20:X20)+AG20*10)*IF(AK20="是",$AY$4,$AY$3)</f>
        <v>1248</v>
      </c>
      <c r="E20" s="102">
        <f>SUM($B$4:B20)+SUM($C$4:C20)-SUM($D$4:D20)</f>
        <v>7832</v>
      </c>
      <c r="F20" s="102">
        <f>SUM(经验!A20:X20)</f>
        <v>445</v>
      </c>
      <c r="G20" s="102">
        <f>SUM($F$4:F20)+SUM($H$4:H20)</f>
        <v>9460</v>
      </c>
      <c r="H20" s="102">
        <v>0</v>
      </c>
      <c r="I20" s="107" t="s">
        <v>34</v>
      </c>
      <c r="J20" s="107" t="s">
        <v>34</v>
      </c>
      <c r="K20" s="107" t="s">
        <v>34</v>
      </c>
      <c r="L20" s="107" t="s">
        <v>34</v>
      </c>
      <c r="M20" s="107" t="s">
        <v>34</v>
      </c>
      <c r="N20" s="107" t="s">
        <v>34</v>
      </c>
      <c r="O20" s="106" t="s">
        <v>34</v>
      </c>
      <c r="P20" s="106" t="s">
        <v>34</v>
      </c>
      <c r="Q20" s="109" t="s">
        <v>37</v>
      </c>
      <c r="R20" s="109" t="s">
        <v>37</v>
      </c>
      <c r="S20" s="110" t="s">
        <v>57</v>
      </c>
      <c r="T20" s="109" t="s">
        <v>37</v>
      </c>
      <c r="U20" s="109" t="s">
        <v>37</v>
      </c>
      <c r="V20" s="109" t="s">
        <v>37</v>
      </c>
      <c r="W20" s="106" t="s">
        <v>34</v>
      </c>
      <c r="X20" s="106" t="s">
        <v>34</v>
      </c>
      <c r="Y20" s="111" t="s">
        <v>40</v>
      </c>
      <c r="Z20" s="112" t="s">
        <v>41</v>
      </c>
      <c r="AA20" s="109" t="s">
        <v>37</v>
      </c>
      <c r="AB20" s="109" t="s">
        <v>37</v>
      </c>
      <c r="AC20" s="109" t="s">
        <v>37</v>
      </c>
      <c r="AD20" s="109" t="s">
        <v>37</v>
      </c>
      <c r="AE20" s="106" t="s">
        <v>34</v>
      </c>
      <c r="AF20" s="106" t="s">
        <v>34</v>
      </c>
      <c r="AG20" s="108">
        <f t="shared" si="4"/>
        <v>0</v>
      </c>
      <c r="AH20" s="116"/>
      <c r="AI20" s="116"/>
      <c r="AJ20" s="116"/>
      <c r="AK20" s="99" t="s">
        <v>52</v>
      </c>
      <c r="AM20" s="50" t="s">
        <v>73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0</v>
      </c>
      <c r="AS20" s="22">
        <f t="shared" si="2"/>
        <v>4</v>
      </c>
      <c r="AT20" s="22">
        <f t="shared" si="5"/>
        <v>4</v>
      </c>
      <c r="AU20" s="31">
        <f t="shared" si="6"/>
        <v>0</v>
      </c>
      <c r="AV20" s="31">
        <f t="shared" si="6"/>
        <v>0</v>
      </c>
      <c r="AW20" s="31">
        <f t="shared" si="6"/>
        <v>180</v>
      </c>
      <c r="BA20">
        <f t="shared" si="7"/>
        <v>136</v>
      </c>
    </row>
    <row r="21" spans="1:53">
      <c r="A21" s="101">
        <v>45383</v>
      </c>
      <c r="B21" s="107">
        <v>1600</v>
      </c>
      <c r="C21" s="107"/>
      <c r="D21" s="102">
        <f>(SUM(粮草!A21:X21)+AG21*10)*IF(AK21="是",$AY$4,$AY$3)</f>
        <v>1472</v>
      </c>
      <c r="E21" s="102">
        <f>SUM($B$4:B21)+SUM($C$4:C21)-SUM($D$4:D21)</f>
        <v>7960</v>
      </c>
      <c r="F21" s="102">
        <f>SUM(经验!A21:X21)</f>
        <v>530</v>
      </c>
      <c r="G21" s="102">
        <f>SUM($F$4:F21)+SUM($H$4:H21)</f>
        <v>10190</v>
      </c>
      <c r="H21" s="107">
        <v>200</v>
      </c>
      <c r="I21" s="107" t="s">
        <v>34</v>
      </c>
      <c r="J21" s="107" t="s">
        <v>34</v>
      </c>
      <c r="K21" s="107" t="s">
        <v>34</v>
      </c>
      <c r="L21" s="107" t="s">
        <v>34</v>
      </c>
      <c r="M21" s="107" t="s">
        <v>34</v>
      </c>
      <c r="N21" s="107" t="s">
        <v>34</v>
      </c>
      <c r="O21" s="106" t="s">
        <v>34</v>
      </c>
      <c r="P21" s="106" t="s">
        <v>34</v>
      </c>
      <c r="Q21" s="109" t="s">
        <v>37</v>
      </c>
      <c r="R21" s="114" t="s">
        <v>42</v>
      </c>
      <c r="S21" s="114" t="s">
        <v>42</v>
      </c>
      <c r="T21" s="114" t="s">
        <v>42</v>
      </c>
      <c r="U21" s="114" t="s">
        <v>42</v>
      </c>
      <c r="V21" s="114" t="s">
        <v>42</v>
      </c>
      <c r="W21" s="106" t="s">
        <v>34</v>
      </c>
      <c r="X21" s="106" t="s">
        <v>34</v>
      </c>
      <c r="Y21" s="105" t="s">
        <v>39</v>
      </c>
      <c r="Z21" s="111" t="s">
        <v>40</v>
      </c>
      <c r="AA21" s="111" t="s">
        <v>40</v>
      </c>
      <c r="AB21" s="111" t="s">
        <v>40</v>
      </c>
      <c r="AC21" s="111" t="s">
        <v>40</v>
      </c>
      <c r="AD21" s="105" t="s">
        <v>39</v>
      </c>
      <c r="AE21" s="106" t="s">
        <v>34</v>
      </c>
      <c r="AF21" s="106" t="s">
        <v>34</v>
      </c>
      <c r="AG21" s="108">
        <f t="shared" si="4"/>
        <v>0</v>
      </c>
      <c r="AH21" s="116"/>
      <c r="AI21" s="116"/>
      <c r="AJ21" s="116"/>
      <c r="AK21" s="99" t="s">
        <v>52</v>
      </c>
      <c r="AM21" s="50" t="s">
        <v>74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1</v>
      </c>
      <c r="AS21" s="22">
        <f t="shared" si="2"/>
        <v>0</v>
      </c>
      <c r="AT21" s="22">
        <f t="shared" si="5"/>
        <v>1</v>
      </c>
      <c r="AU21" s="31">
        <f t="shared" si="6"/>
        <v>0</v>
      </c>
      <c r="AV21" s="31">
        <f t="shared" si="6"/>
        <v>400</v>
      </c>
      <c r="AW21" s="31">
        <f t="shared" si="6"/>
        <v>0</v>
      </c>
      <c r="BA21">
        <f t="shared" si="7"/>
        <v>200</v>
      </c>
    </row>
    <row r="22" spans="1:53">
      <c r="A22" s="101">
        <v>45384</v>
      </c>
      <c r="B22" s="107">
        <v>1600</v>
      </c>
      <c r="C22" s="107"/>
      <c r="D22" s="102">
        <f>(SUM(粮草!A22:X22)+AG22*10)*IF(AK22="是",$AY$4,$AY$3)</f>
        <v>1680</v>
      </c>
      <c r="E22" s="102">
        <f>SUM($B$4:B22)+SUM($C$4:C22)-SUM($D$4:D22)</f>
        <v>7880</v>
      </c>
      <c r="F22" s="102">
        <f>SUM(经验!A22:X22)</f>
        <v>570</v>
      </c>
      <c r="G22" s="102">
        <f>SUM($F$4:F22)+SUM($H$4:H22)</f>
        <v>10860</v>
      </c>
      <c r="H22" s="107">
        <v>100</v>
      </c>
      <c r="I22" s="107" t="s">
        <v>34</v>
      </c>
      <c r="J22" s="107" t="s">
        <v>34</v>
      </c>
      <c r="K22" s="107" t="s">
        <v>34</v>
      </c>
      <c r="L22" s="107" t="s">
        <v>34</v>
      </c>
      <c r="M22" s="107" t="s">
        <v>34</v>
      </c>
      <c r="N22" s="107" t="s">
        <v>34</v>
      </c>
      <c r="O22" s="106" t="s">
        <v>34</v>
      </c>
      <c r="P22" s="106" t="s">
        <v>34</v>
      </c>
      <c r="Q22" s="114" t="s">
        <v>42</v>
      </c>
      <c r="R22" s="114" t="s">
        <v>42</v>
      </c>
      <c r="S22" s="114" t="s">
        <v>42</v>
      </c>
      <c r="T22" s="114" t="s">
        <v>42</v>
      </c>
      <c r="U22" s="114" t="s">
        <v>42</v>
      </c>
      <c r="V22" s="114" t="s">
        <v>42</v>
      </c>
      <c r="W22" s="106" t="s">
        <v>34</v>
      </c>
      <c r="X22" s="106" t="s">
        <v>34</v>
      </c>
      <c r="Y22" s="111" t="s">
        <v>40</v>
      </c>
      <c r="Z22" s="111" t="s">
        <v>40</v>
      </c>
      <c r="AA22" s="111" t="s">
        <v>40</v>
      </c>
      <c r="AB22" s="111" t="s">
        <v>40</v>
      </c>
      <c r="AC22" s="111" t="s">
        <v>40</v>
      </c>
      <c r="AD22" s="111" t="s">
        <v>40</v>
      </c>
      <c r="AE22" s="106" t="s">
        <v>34</v>
      </c>
      <c r="AF22" s="106" t="s">
        <v>34</v>
      </c>
      <c r="AG22" s="108">
        <f t="shared" si="4"/>
        <v>0</v>
      </c>
      <c r="AH22" s="116"/>
      <c r="AI22" s="116"/>
      <c r="AJ22" s="116"/>
      <c r="AK22" s="99" t="s">
        <v>52</v>
      </c>
      <c r="AM22" s="93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5"/>
        <v>2</v>
      </c>
      <c r="AU22" s="31">
        <f t="shared" si="6"/>
        <v>0</v>
      </c>
      <c r="AV22" s="31">
        <f t="shared" si="6"/>
        <v>1000</v>
      </c>
      <c r="AW22" s="31">
        <f t="shared" si="6"/>
        <v>1000</v>
      </c>
      <c r="BA22">
        <f t="shared" si="7"/>
        <v>200</v>
      </c>
    </row>
    <row r="23" spans="1:53">
      <c r="A23" s="101">
        <v>45385</v>
      </c>
      <c r="B23" s="107">
        <v>1600</v>
      </c>
      <c r="C23" s="107"/>
      <c r="D23" s="102">
        <f>(SUM(粮草!A23:X23)+AG23*10)*IF(AK23="是",$AY$4,$AY$3)</f>
        <v>1680</v>
      </c>
      <c r="E23" s="102">
        <f>SUM($B$4:B23)+SUM($C$4:C23)-SUM($D$4:D23)</f>
        <v>7800</v>
      </c>
      <c r="F23" s="102">
        <f>SUM(经验!A23:X23)</f>
        <v>570</v>
      </c>
      <c r="G23" s="102">
        <f>SUM($F$4:F23)+SUM($H$4:H23)</f>
        <v>11630</v>
      </c>
      <c r="H23" s="107">
        <v>200</v>
      </c>
      <c r="I23" s="107" t="s">
        <v>34</v>
      </c>
      <c r="J23" s="107" t="s">
        <v>34</v>
      </c>
      <c r="K23" s="107" t="s">
        <v>34</v>
      </c>
      <c r="L23" s="107" t="s">
        <v>34</v>
      </c>
      <c r="M23" s="107" t="s">
        <v>34</v>
      </c>
      <c r="N23" s="107" t="s">
        <v>34</v>
      </c>
      <c r="O23" s="106" t="s">
        <v>34</v>
      </c>
      <c r="P23" s="106" t="s">
        <v>34</v>
      </c>
      <c r="Q23" s="114" t="s">
        <v>42</v>
      </c>
      <c r="R23" s="114" t="s">
        <v>42</v>
      </c>
      <c r="S23" s="114" t="s">
        <v>42</v>
      </c>
      <c r="T23" s="114" t="s">
        <v>42</v>
      </c>
      <c r="U23" s="114" t="s">
        <v>42</v>
      </c>
      <c r="V23" s="114" t="s">
        <v>42</v>
      </c>
      <c r="W23" s="106" t="s">
        <v>34</v>
      </c>
      <c r="X23" s="106" t="s">
        <v>34</v>
      </c>
      <c r="Y23" s="111" t="s">
        <v>40</v>
      </c>
      <c r="Z23" s="111" t="s">
        <v>40</v>
      </c>
      <c r="AA23" s="111" t="s">
        <v>40</v>
      </c>
      <c r="AB23" s="111" t="s">
        <v>40</v>
      </c>
      <c r="AC23" s="111" t="s">
        <v>40</v>
      </c>
      <c r="AD23" s="111" t="s">
        <v>40</v>
      </c>
      <c r="AE23" s="106" t="s">
        <v>34</v>
      </c>
      <c r="AF23" s="106" t="s">
        <v>34</v>
      </c>
      <c r="AG23" s="108">
        <f t="shared" si="4"/>
        <v>0</v>
      </c>
      <c r="AH23" s="116"/>
      <c r="AI23" s="116"/>
      <c r="AJ23" s="116"/>
      <c r="AK23" s="99" t="s">
        <v>52</v>
      </c>
      <c r="AM23" s="94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2</v>
      </c>
      <c r="AS23" s="22">
        <f t="shared" si="2"/>
        <v>0</v>
      </c>
      <c r="AT23" s="22">
        <f t="shared" si="5"/>
        <v>2</v>
      </c>
      <c r="AU23" s="31">
        <f t="shared" si="6"/>
        <v>0</v>
      </c>
      <c r="AV23" s="31">
        <f t="shared" si="6"/>
        <v>1000</v>
      </c>
      <c r="AW23" s="31">
        <f t="shared" si="6"/>
        <v>0</v>
      </c>
      <c r="BA23">
        <f t="shared" si="7"/>
        <v>200</v>
      </c>
    </row>
    <row r="24" spans="1:53">
      <c r="A24" s="101">
        <v>45386</v>
      </c>
      <c r="B24" s="107">
        <v>1600</v>
      </c>
      <c r="C24" s="107"/>
      <c r="D24" s="102">
        <f>(SUM(粮草!A24:X24)+AG24*10)*IF(AK24="是",$AY$4,$AY$3)</f>
        <v>1584</v>
      </c>
      <c r="E24" s="102">
        <f>SUM($B$4:B24)+SUM($C$4:C24)-SUM($D$4:D24)</f>
        <v>7816</v>
      </c>
      <c r="F24" s="102">
        <f>SUM(经验!A24:X24)</f>
        <v>550</v>
      </c>
      <c r="G24" s="102">
        <f>SUM($F$4:F24)+SUM($H$4:H24)</f>
        <v>12180</v>
      </c>
      <c r="H24" s="107">
        <v>0</v>
      </c>
      <c r="I24" s="107" t="s">
        <v>34</v>
      </c>
      <c r="J24" s="107" t="s">
        <v>34</v>
      </c>
      <c r="K24" s="107" t="s">
        <v>34</v>
      </c>
      <c r="L24" s="107" t="s">
        <v>34</v>
      </c>
      <c r="M24" s="107" t="s">
        <v>34</v>
      </c>
      <c r="N24" s="107" t="s">
        <v>34</v>
      </c>
      <c r="O24" s="106" t="s">
        <v>34</v>
      </c>
      <c r="P24" s="106" t="s">
        <v>34</v>
      </c>
      <c r="Q24" s="114" t="s">
        <v>42</v>
      </c>
      <c r="R24" s="114" t="s">
        <v>42</v>
      </c>
      <c r="S24" s="114" t="s">
        <v>42</v>
      </c>
      <c r="T24" s="114" t="s">
        <v>42</v>
      </c>
      <c r="U24" s="105" t="s">
        <v>39</v>
      </c>
      <c r="V24" s="114" t="s">
        <v>42</v>
      </c>
      <c r="W24" s="106" t="s">
        <v>34</v>
      </c>
      <c r="X24" s="106" t="s">
        <v>34</v>
      </c>
      <c r="Y24" s="111" t="s">
        <v>40</v>
      </c>
      <c r="Z24" s="111" t="s">
        <v>40</v>
      </c>
      <c r="AA24" s="111" t="s">
        <v>40</v>
      </c>
      <c r="AB24" s="111" t="s">
        <v>40</v>
      </c>
      <c r="AC24" s="111" t="s">
        <v>40</v>
      </c>
      <c r="AD24" s="111" t="s">
        <v>40</v>
      </c>
      <c r="AE24" s="106" t="s">
        <v>34</v>
      </c>
      <c r="AF24" s="106" t="s">
        <v>34</v>
      </c>
      <c r="AG24" s="108">
        <f t="shared" si="4"/>
        <v>1</v>
      </c>
      <c r="AH24" s="116"/>
      <c r="AI24" s="116">
        <v>1</v>
      </c>
      <c r="AJ24" s="116"/>
      <c r="AK24" s="99" t="s">
        <v>52</v>
      </c>
      <c r="AM24" s="50" t="s">
        <v>75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1</v>
      </c>
      <c r="AT24" s="22">
        <f t="shared" si="5"/>
        <v>1</v>
      </c>
      <c r="AU24" s="31">
        <f t="shared" si="6"/>
        <v>0</v>
      </c>
      <c r="AV24" s="31">
        <f t="shared" si="6"/>
        <v>0</v>
      </c>
      <c r="AW24" s="31">
        <f t="shared" si="6"/>
        <v>50</v>
      </c>
      <c r="BA24">
        <f t="shared" si="7"/>
        <v>144</v>
      </c>
    </row>
    <row r="25" spans="1:53">
      <c r="A25" s="101">
        <v>45387</v>
      </c>
      <c r="B25" s="107">
        <v>1600</v>
      </c>
      <c r="C25" s="107"/>
      <c r="D25" s="102">
        <f>(SUM(粮草!A25:X25)+AG25*10)*IF(AK25="是",$AY$4,$AY$3)</f>
        <v>1600</v>
      </c>
      <c r="E25" s="102">
        <f>SUM($B$4:B25)+SUM($C$4:C25)-SUM($D$4:D25)</f>
        <v>7816</v>
      </c>
      <c r="F25" s="102">
        <f>SUM(经验!A25:X25)</f>
        <v>555</v>
      </c>
      <c r="G25" s="102">
        <f>SUM($F$4:F25)+SUM($H$4:H25)</f>
        <v>12735</v>
      </c>
      <c r="H25" s="107">
        <v>0</v>
      </c>
      <c r="I25" s="107" t="s">
        <v>34</v>
      </c>
      <c r="J25" s="107" t="s">
        <v>34</v>
      </c>
      <c r="K25" s="107" t="s">
        <v>34</v>
      </c>
      <c r="L25" s="107" t="s">
        <v>34</v>
      </c>
      <c r="M25" s="107" t="s">
        <v>34</v>
      </c>
      <c r="N25" s="107" t="s">
        <v>34</v>
      </c>
      <c r="O25" s="106" t="s">
        <v>34</v>
      </c>
      <c r="P25" s="106" t="s">
        <v>34</v>
      </c>
      <c r="Q25" s="114" t="s">
        <v>42</v>
      </c>
      <c r="R25" s="114" t="s">
        <v>42</v>
      </c>
      <c r="S25" s="114" t="s">
        <v>42</v>
      </c>
      <c r="T25" s="114" t="s">
        <v>42</v>
      </c>
      <c r="U25" s="117" t="s">
        <v>48</v>
      </c>
      <c r="V25" s="114" t="s">
        <v>42</v>
      </c>
      <c r="W25" s="106" t="s">
        <v>34</v>
      </c>
      <c r="X25" s="106" t="s">
        <v>34</v>
      </c>
      <c r="Y25" s="105" t="s">
        <v>39</v>
      </c>
      <c r="Z25" s="111" t="s">
        <v>40</v>
      </c>
      <c r="AA25" s="111" t="s">
        <v>40</v>
      </c>
      <c r="AB25" s="111" t="s">
        <v>40</v>
      </c>
      <c r="AC25" s="111" t="s">
        <v>40</v>
      </c>
      <c r="AD25" s="111" t="s">
        <v>40</v>
      </c>
      <c r="AE25" s="106" t="s">
        <v>34</v>
      </c>
      <c r="AF25" s="106" t="s">
        <v>34</v>
      </c>
      <c r="AG25" s="108">
        <f t="shared" si="4"/>
        <v>5</v>
      </c>
      <c r="AH25" s="116"/>
      <c r="AI25" s="116">
        <v>3</v>
      </c>
      <c r="AJ25" s="116">
        <v>2</v>
      </c>
      <c r="AK25" s="99" t="s">
        <v>52</v>
      </c>
      <c r="AM25" s="95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31">
        <f t="shared" si="6"/>
        <v>0</v>
      </c>
      <c r="AV25" s="31">
        <f t="shared" si="6"/>
        <v>0</v>
      </c>
      <c r="AW25" s="31">
        <f t="shared" si="6"/>
        <v>0</v>
      </c>
      <c r="BA25">
        <f t="shared" si="7"/>
        <v>128</v>
      </c>
    </row>
    <row r="26" spans="1:53">
      <c r="A26" s="101">
        <v>45388</v>
      </c>
      <c r="B26" s="107">
        <v>1600</v>
      </c>
      <c r="C26" s="107"/>
      <c r="D26" s="102">
        <f>(SUM(粮草!A26:X26)+AG26*10)*IF(AK26="是",$AY$4,$AY$3)</f>
        <v>1688</v>
      </c>
      <c r="E26" s="102">
        <f>SUM($B$4:B26)+SUM($C$4:C26)-SUM($D$4:D26)</f>
        <v>7728</v>
      </c>
      <c r="F26" s="102">
        <f>SUM(经验!A26:X26)</f>
        <v>570</v>
      </c>
      <c r="G26" s="102">
        <f>SUM($F$4:F26)+SUM($H$4:H26)</f>
        <v>13305</v>
      </c>
      <c r="H26" s="107">
        <v>0</v>
      </c>
      <c r="I26" s="107" t="s">
        <v>34</v>
      </c>
      <c r="J26" s="107" t="s">
        <v>34</v>
      </c>
      <c r="K26" s="107" t="s">
        <v>34</v>
      </c>
      <c r="L26" s="107" t="s">
        <v>34</v>
      </c>
      <c r="M26" s="107" t="s">
        <v>34</v>
      </c>
      <c r="N26" s="107" t="s">
        <v>34</v>
      </c>
      <c r="O26" s="106" t="s">
        <v>34</v>
      </c>
      <c r="P26" s="106" t="s">
        <v>34</v>
      </c>
      <c r="Q26" s="114" t="s">
        <v>42</v>
      </c>
      <c r="R26" s="114" t="s">
        <v>42</v>
      </c>
      <c r="S26" s="114" t="s">
        <v>42</v>
      </c>
      <c r="T26" s="114" t="s">
        <v>42</v>
      </c>
      <c r="U26" s="114" t="s">
        <v>42</v>
      </c>
      <c r="V26" s="114" t="s">
        <v>42</v>
      </c>
      <c r="W26" s="106" t="s">
        <v>34</v>
      </c>
      <c r="X26" s="106" t="s">
        <v>34</v>
      </c>
      <c r="Y26" s="111" t="s">
        <v>40</v>
      </c>
      <c r="Z26" s="111" t="s">
        <v>40</v>
      </c>
      <c r="AA26" s="111" t="s">
        <v>40</v>
      </c>
      <c r="AB26" s="111" t="s">
        <v>40</v>
      </c>
      <c r="AC26" s="111" t="s">
        <v>40</v>
      </c>
      <c r="AD26" s="111" t="s">
        <v>40</v>
      </c>
      <c r="AE26" s="106" t="s">
        <v>34</v>
      </c>
      <c r="AF26" s="106" t="s">
        <v>34</v>
      </c>
      <c r="AG26" s="108">
        <f t="shared" si="4"/>
        <v>1</v>
      </c>
      <c r="AH26" s="116"/>
      <c r="AI26" s="116"/>
      <c r="AJ26" s="116">
        <v>1</v>
      </c>
      <c r="AK26" s="99" t="s">
        <v>52</v>
      </c>
      <c r="AM26" s="95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31">
        <f t="shared" si="6"/>
        <v>0</v>
      </c>
      <c r="AV26" s="31">
        <f t="shared" si="6"/>
        <v>0</v>
      </c>
      <c r="AW26" s="31">
        <f t="shared" si="6"/>
        <v>0</v>
      </c>
      <c r="BA26">
        <f t="shared" si="7"/>
        <v>120</v>
      </c>
    </row>
    <row r="27" spans="1:53">
      <c r="A27" s="101">
        <v>45389</v>
      </c>
      <c r="B27" s="107">
        <v>1600</v>
      </c>
      <c r="C27" s="107"/>
      <c r="D27" s="102">
        <f>(SUM(粮草!A27:X27)+AG27*10)*IF(AK27="是",$AY$4,$AY$3)</f>
        <v>1680</v>
      </c>
      <c r="E27" s="102">
        <f>SUM($B$4:B27)+SUM($C$4:C27)-SUM($D$4:D27)</f>
        <v>7648</v>
      </c>
      <c r="F27" s="102">
        <f>SUM(经验!A27:X27)</f>
        <v>570</v>
      </c>
      <c r="G27" s="102">
        <f>SUM($F$4:F27)+SUM($H$4:H27)</f>
        <v>13875</v>
      </c>
      <c r="H27" s="107">
        <v>0</v>
      </c>
      <c r="I27" s="107" t="s">
        <v>34</v>
      </c>
      <c r="J27" s="107" t="s">
        <v>34</v>
      </c>
      <c r="K27" s="107" t="s">
        <v>34</v>
      </c>
      <c r="L27" s="107" t="s">
        <v>34</v>
      </c>
      <c r="M27" s="107" t="s">
        <v>34</v>
      </c>
      <c r="N27" s="107" t="s">
        <v>34</v>
      </c>
      <c r="O27" s="106" t="s">
        <v>34</v>
      </c>
      <c r="P27" s="106" t="s">
        <v>34</v>
      </c>
      <c r="Q27" s="114" t="s">
        <v>42</v>
      </c>
      <c r="R27" s="114" t="s">
        <v>42</v>
      </c>
      <c r="S27" s="114" t="s">
        <v>42</v>
      </c>
      <c r="T27" s="114" t="s">
        <v>42</v>
      </c>
      <c r="U27" s="114" t="s">
        <v>42</v>
      </c>
      <c r="V27" s="114" t="s">
        <v>42</v>
      </c>
      <c r="W27" s="106" t="s">
        <v>34</v>
      </c>
      <c r="X27" s="106" t="s">
        <v>34</v>
      </c>
      <c r="Y27" s="111" t="s">
        <v>40</v>
      </c>
      <c r="Z27" s="111" t="s">
        <v>40</v>
      </c>
      <c r="AA27" s="111" t="s">
        <v>40</v>
      </c>
      <c r="AB27" s="111" t="s">
        <v>40</v>
      </c>
      <c r="AC27" s="111" t="s">
        <v>40</v>
      </c>
      <c r="AD27" s="111" t="s">
        <v>40</v>
      </c>
      <c r="AE27" s="106" t="s">
        <v>34</v>
      </c>
      <c r="AF27" s="106" t="s">
        <v>34</v>
      </c>
      <c r="AG27" s="108">
        <f t="shared" si="4"/>
        <v>0</v>
      </c>
      <c r="AH27" s="116"/>
      <c r="AI27" s="116"/>
      <c r="AJ27" s="116"/>
      <c r="AK27" s="99" t="s">
        <v>52</v>
      </c>
      <c r="AM27" s="96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31">
        <f t="shared" si="6"/>
        <v>0</v>
      </c>
      <c r="AV27" s="31">
        <f t="shared" si="6"/>
        <v>0</v>
      </c>
      <c r="AW27" s="31">
        <f t="shared" si="6"/>
        <v>0</v>
      </c>
      <c r="BA27">
        <f t="shared" si="7"/>
        <v>0</v>
      </c>
    </row>
    <row r="28" spans="1:53" ht="15.75" thickBot="1">
      <c r="A28" s="101">
        <v>45390</v>
      </c>
      <c r="B28" s="102">
        <v>1600</v>
      </c>
      <c r="C28" s="103"/>
      <c r="D28" s="102">
        <f>(SUM(粮草!A28:X28)+AG28*10)*IF(AK28="是",$AY$4,$AY$3)</f>
        <v>1680</v>
      </c>
      <c r="E28" s="102">
        <f>SUM($B$4:B28)+SUM($C$4:C28)-SUM($D$4:D28)</f>
        <v>7568</v>
      </c>
      <c r="F28" s="102">
        <f>SUM(经验!A28:X28)</f>
        <v>570</v>
      </c>
      <c r="G28" s="102">
        <f>SUM($F$4:F28)+SUM($H$4:H28)</f>
        <v>14645</v>
      </c>
      <c r="H28" s="102">
        <v>200</v>
      </c>
      <c r="I28" s="107" t="s">
        <v>34</v>
      </c>
      <c r="J28" s="107" t="s">
        <v>34</v>
      </c>
      <c r="K28" s="107" t="s">
        <v>34</v>
      </c>
      <c r="L28" s="107" t="s">
        <v>34</v>
      </c>
      <c r="M28" s="107" t="s">
        <v>34</v>
      </c>
      <c r="N28" s="107" t="s">
        <v>34</v>
      </c>
      <c r="O28" s="106" t="s">
        <v>34</v>
      </c>
      <c r="P28" s="106" t="s">
        <v>34</v>
      </c>
      <c r="Q28" s="114" t="s">
        <v>42</v>
      </c>
      <c r="R28" s="114" t="s">
        <v>42</v>
      </c>
      <c r="S28" s="114" t="s">
        <v>42</v>
      </c>
      <c r="T28" s="114" t="s">
        <v>42</v>
      </c>
      <c r="U28" s="114" t="s">
        <v>42</v>
      </c>
      <c r="V28" s="114" t="s">
        <v>42</v>
      </c>
      <c r="W28" s="106" t="s">
        <v>34</v>
      </c>
      <c r="X28" s="106" t="s">
        <v>34</v>
      </c>
      <c r="Y28" s="111" t="s">
        <v>40</v>
      </c>
      <c r="Z28" s="111" t="s">
        <v>40</v>
      </c>
      <c r="AA28" s="111" t="s">
        <v>40</v>
      </c>
      <c r="AB28" s="111" t="s">
        <v>40</v>
      </c>
      <c r="AC28" s="111" t="s">
        <v>40</v>
      </c>
      <c r="AD28" s="111" t="s">
        <v>40</v>
      </c>
      <c r="AE28" s="106" t="s">
        <v>34</v>
      </c>
      <c r="AF28" s="106" t="s">
        <v>34</v>
      </c>
      <c r="AG28" s="108">
        <f t="shared" si="4"/>
        <v>0</v>
      </c>
      <c r="AH28" s="116"/>
      <c r="AI28" s="116"/>
      <c r="AJ28" s="116"/>
      <c r="AK28" s="99" t="s">
        <v>52</v>
      </c>
      <c r="AL28" s="24" t="s">
        <v>36</v>
      </c>
      <c r="AM28" s="92" t="s">
        <v>57</v>
      </c>
      <c r="AN28" s="22">
        <v>-200</v>
      </c>
      <c r="AO28" s="22">
        <v>0</v>
      </c>
      <c r="AP28" s="22"/>
      <c r="AQ28" s="22">
        <f>COUNTIF($I$4:$P$93,AM28)</f>
        <v>1</v>
      </c>
      <c r="AR28" s="22">
        <f>COUNTIF($Q$4:$X$93,AM28)</f>
        <v>7</v>
      </c>
      <c r="AS28" s="22">
        <f>COUNTIF($Y$4:$AF$93,AM28)</f>
        <v>6</v>
      </c>
      <c r="AT28" s="22">
        <f>AQ28+AR28+AS28</f>
        <v>14</v>
      </c>
      <c r="AU28" s="31">
        <f t="shared" si="6"/>
        <v>0</v>
      </c>
      <c r="AV28" s="31">
        <f t="shared" si="6"/>
        <v>0</v>
      </c>
      <c r="AW28" s="31">
        <f t="shared" si="6"/>
        <v>0</v>
      </c>
      <c r="BA28">
        <f t="shared" si="7"/>
        <v>-160</v>
      </c>
    </row>
    <row r="29" spans="1:53">
      <c r="A29" s="101">
        <v>45391</v>
      </c>
      <c r="B29" s="102">
        <v>1600</v>
      </c>
      <c r="C29" s="103"/>
      <c r="D29" s="102">
        <f>(SUM(粮草!A29:X29)+AG29*10)*IF(AK29="是",$AY$4,$AY$3)</f>
        <v>1584</v>
      </c>
      <c r="E29" s="102">
        <f>SUM($B$4:B29)+SUM($C$4:C29)-SUM($D$4:D29)</f>
        <v>7584</v>
      </c>
      <c r="F29" s="102">
        <f>SUM(经验!A29:X29)</f>
        <v>555</v>
      </c>
      <c r="G29" s="102">
        <f>SUM($F$4:F29)+SUM($H$4:H29)</f>
        <v>15300</v>
      </c>
      <c r="H29" s="102">
        <v>100</v>
      </c>
      <c r="I29" s="107" t="s">
        <v>34</v>
      </c>
      <c r="J29" s="107" t="s">
        <v>34</v>
      </c>
      <c r="K29" s="107" t="s">
        <v>34</v>
      </c>
      <c r="L29" s="107" t="s">
        <v>34</v>
      </c>
      <c r="M29" s="107" t="s">
        <v>34</v>
      </c>
      <c r="N29" s="107" t="s">
        <v>34</v>
      </c>
      <c r="O29" s="106" t="s">
        <v>34</v>
      </c>
      <c r="P29" s="106" t="s">
        <v>34</v>
      </c>
      <c r="Q29" s="114" t="s">
        <v>42</v>
      </c>
      <c r="R29" s="114" t="s">
        <v>42</v>
      </c>
      <c r="S29" s="114" t="s">
        <v>42</v>
      </c>
      <c r="T29" s="114" t="s">
        <v>42</v>
      </c>
      <c r="U29" s="114" t="s">
        <v>42</v>
      </c>
      <c r="V29" s="114" t="s">
        <v>42</v>
      </c>
      <c r="W29" s="106" t="s">
        <v>34</v>
      </c>
      <c r="X29" s="106" t="s">
        <v>34</v>
      </c>
      <c r="Y29" s="105" t="s">
        <v>39</v>
      </c>
      <c r="Z29" s="111" t="s">
        <v>40</v>
      </c>
      <c r="AA29" s="111" t="s">
        <v>40</v>
      </c>
      <c r="AB29" s="111" t="s">
        <v>40</v>
      </c>
      <c r="AC29" s="111" t="s">
        <v>40</v>
      </c>
      <c r="AD29" s="111" t="s">
        <v>40</v>
      </c>
      <c r="AE29" s="106" t="s">
        <v>34</v>
      </c>
      <c r="AF29" s="106" t="s">
        <v>34</v>
      </c>
      <c r="AG29" s="108">
        <f t="shared" si="4"/>
        <v>0</v>
      </c>
      <c r="AH29" s="116"/>
      <c r="AI29" s="116"/>
      <c r="AJ29" s="116"/>
      <c r="AK29" s="99" t="s">
        <v>52</v>
      </c>
      <c r="AM29" s="53" t="s">
        <v>68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2</v>
      </c>
      <c r="AS29" s="22">
        <f>COUNTIF($Y$4:$AF$93,AM29)</f>
        <v>0</v>
      </c>
      <c r="AT29" s="22">
        <f>AQ29+AR29+AS29</f>
        <v>3</v>
      </c>
      <c r="AU29" s="31">
        <f t="shared" ref="AU29" si="8">AQ29*$AO29</f>
        <v>520</v>
      </c>
      <c r="AV29" s="31">
        <f t="shared" ref="AV29" si="9">AR29*$AO29</f>
        <v>1040</v>
      </c>
      <c r="AW29" s="31">
        <f t="shared" ref="AW29" si="10">AS29*$AO29</f>
        <v>0</v>
      </c>
      <c r="BA29">
        <f t="shared" si="7"/>
        <v>40</v>
      </c>
    </row>
    <row r="30" spans="1:53">
      <c r="A30" s="101">
        <v>45392</v>
      </c>
      <c r="B30" s="102">
        <v>1600</v>
      </c>
      <c r="C30" s="103"/>
      <c r="D30" s="102">
        <f>(SUM(粮草!A30:X30)+AG30*10)*IF(AK30="是",$AY$4,$AY$3)</f>
        <v>1480</v>
      </c>
      <c r="E30" s="102">
        <f>SUM($B$4:B30)+SUM($C$4:C30)-SUM($D$4:D30)</f>
        <v>7704</v>
      </c>
      <c r="F30" s="102">
        <f>SUM(经验!A30:X30)</f>
        <v>535</v>
      </c>
      <c r="G30" s="102">
        <f>SUM($F$4:F30)+SUM($H$4:H30)</f>
        <v>16035</v>
      </c>
      <c r="H30" s="102">
        <v>200</v>
      </c>
      <c r="I30" s="107" t="s">
        <v>34</v>
      </c>
      <c r="J30" s="107" t="s">
        <v>34</v>
      </c>
      <c r="K30" s="107" t="s">
        <v>34</v>
      </c>
      <c r="L30" s="107" t="s">
        <v>34</v>
      </c>
      <c r="M30" s="107" t="s">
        <v>34</v>
      </c>
      <c r="N30" s="107" t="s">
        <v>34</v>
      </c>
      <c r="O30" s="106" t="s">
        <v>34</v>
      </c>
      <c r="P30" s="106" t="s">
        <v>34</v>
      </c>
      <c r="Q30" s="114" t="s">
        <v>42</v>
      </c>
      <c r="R30" s="105" t="s">
        <v>39</v>
      </c>
      <c r="S30" s="114" t="s">
        <v>42</v>
      </c>
      <c r="T30" s="114" t="s">
        <v>42</v>
      </c>
      <c r="U30" s="114" t="s">
        <v>42</v>
      </c>
      <c r="V30" s="114" t="s">
        <v>42</v>
      </c>
      <c r="W30" s="106" t="s">
        <v>34</v>
      </c>
      <c r="X30" s="106" t="s">
        <v>34</v>
      </c>
      <c r="Y30" s="111" t="s">
        <v>40</v>
      </c>
      <c r="Z30" s="111" t="s">
        <v>40</v>
      </c>
      <c r="AA30" s="111" t="s">
        <v>40</v>
      </c>
      <c r="AB30" s="111" t="s">
        <v>40</v>
      </c>
      <c r="AC30" s="105" t="s">
        <v>39</v>
      </c>
      <c r="AD30" s="111" t="s">
        <v>40</v>
      </c>
      <c r="AE30" s="106" t="s">
        <v>34</v>
      </c>
      <c r="AF30" s="106" t="s">
        <v>34</v>
      </c>
      <c r="AG30" s="108">
        <f t="shared" si="4"/>
        <v>0</v>
      </c>
      <c r="AH30" s="116"/>
      <c r="AI30" s="116"/>
      <c r="AJ30" s="116"/>
      <c r="AK30" s="99" t="s">
        <v>52</v>
      </c>
      <c r="AM30" s="22"/>
      <c r="AN30" s="22"/>
      <c r="AO30" s="22"/>
      <c r="AP30" s="31"/>
    </row>
    <row r="31" spans="1:53">
      <c r="A31" s="101">
        <v>45393</v>
      </c>
      <c r="B31" s="102">
        <v>1600</v>
      </c>
      <c r="C31" s="103"/>
      <c r="D31" s="102">
        <f>(SUM(粮草!A31:X31)+AG31*10)*IF(AK31="是",$AY$4,$AY$3)</f>
        <v>968</v>
      </c>
      <c r="E31" s="102">
        <f>SUM($B$4:B31)+SUM($C$4:C31)-SUM($D$4:D31)</f>
        <v>8336</v>
      </c>
      <c r="F31" s="102">
        <f>SUM(经验!A31:X31)</f>
        <v>385</v>
      </c>
      <c r="G31" s="102">
        <f>SUM($F$4:F31)+SUM($H$4:H31)</f>
        <v>16420</v>
      </c>
      <c r="H31" s="102">
        <v>0</v>
      </c>
      <c r="I31" s="107" t="s">
        <v>34</v>
      </c>
      <c r="J31" s="107" t="s">
        <v>34</v>
      </c>
      <c r="K31" s="107" t="s">
        <v>34</v>
      </c>
      <c r="L31" s="107" t="s">
        <v>34</v>
      </c>
      <c r="M31" s="107" t="s">
        <v>34</v>
      </c>
      <c r="N31" s="107" t="s">
        <v>34</v>
      </c>
      <c r="O31" s="106" t="s">
        <v>34</v>
      </c>
      <c r="P31" s="106" t="s">
        <v>34</v>
      </c>
      <c r="Q31" s="114" t="s">
        <v>42</v>
      </c>
      <c r="R31" s="110" t="s">
        <v>57</v>
      </c>
      <c r="S31" s="114" t="s">
        <v>42</v>
      </c>
      <c r="T31" s="114" t="s">
        <v>42</v>
      </c>
      <c r="U31" s="114" t="s">
        <v>42</v>
      </c>
      <c r="V31" s="114" t="s">
        <v>42</v>
      </c>
      <c r="W31" s="106" t="s">
        <v>34</v>
      </c>
      <c r="X31" s="106" t="s">
        <v>34</v>
      </c>
      <c r="Y31" s="111" t="s">
        <v>40</v>
      </c>
      <c r="Z31" s="111" t="s">
        <v>40</v>
      </c>
      <c r="AA31" s="111" t="s">
        <v>40</v>
      </c>
      <c r="AB31" s="107" t="s">
        <v>34</v>
      </c>
      <c r="AC31" s="107" t="s">
        <v>34</v>
      </c>
      <c r="AD31" s="107" t="s">
        <v>34</v>
      </c>
      <c r="AE31" s="106" t="s">
        <v>34</v>
      </c>
      <c r="AF31" s="106" t="s">
        <v>34</v>
      </c>
      <c r="AG31" s="108">
        <f t="shared" si="4"/>
        <v>0</v>
      </c>
      <c r="AH31" s="116"/>
      <c r="AI31" s="116"/>
      <c r="AJ31" s="116"/>
      <c r="AK31" s="99" t="s">
        <v>52</v>
      </c>
      <c r="AM31" s="22"/>
      <c r="AN31" s="22"/>
      <c r="AO31" s="22"/>
      <c r="AP31" s="31"/>
    </row>
    <row r="32" spans="1:53">
      <c r="A32" s="101">
        <v>45394</v>
      </c>
      <c r="B32" s="102">
        <v>1600</v>
      </c>
      <c r="C32" s="103"/>
      <c r="D32" s="102">
        <f>(SUM(粮草!A32:X32)+AG32*10)*IF(AK32="是",$AY$4,$AY$3)</f>
        <v>1656</v>
      </c>
      <c r="E32" s="102">
        <f>SUM($B$4:B32)+SUM($C$4:C32)-SUM($D$4:D32)</f>
        <v>8280</v>
      </c>
      <c r="F32" s="102">
        <f>SUM(经验!A32:X32)</f>
        <v>555</v>
      </c>
      <c r="G32" s="102">
        <f>SUM($F$4:F32)+SUM($H$4:H32)</f>
        <v>16975</v>
      </c>
      <c r="H32" s="102">
        <v>0</v>
      </c>
      <c r="I32" s="107" t="s">
        <v>34</v>
      </c>
      <c r="J32" s="107" t="s">
        <v>34</v>
      </c>
      <c r="K32" s="107" t="s">
        <v>34</v>
      </c>
      <c r="L32" s="107" t="s">
        <v>34</v>
      </c>
      <c r="M32" s="107" t="s">
        <v>34</v>
      </c>
      <c r="N32" s="107" t="s">
        <v>34</v>
      </c>
      <c r="O32" s="106" t="s">
        <v>34</v>
      </c>
      <c r="P32" s="106" t="s">
        <v>34</v>
      </c>
      <c r="Q32" s="111" t="s">
        <v>40</v>
      </c>
      <c r="R32" s="111" t="s">
        <v>40</v>
      </c>
      <c r="S32" s="113" t="s">
        <v>47</v>
      </c>
      <c r="T32" s="111" t="s">
        <v>40</v>
      </c>
      <c r="U32" s="111" t="s">
        <v>40</v>
      </c>
      <c r="V32" s="111" t="s">
        <v>40</v>
      </c>
      <c r="W32" s="106" t="s">
        <v>34</v>
      </c>
      <c r="X32" s="106" t="s">
        <v>34</v>
      </c>
      <c r="Y32" s="111" t="s">
        <v>40</v>
      </c>
      <c r="Z32" s="111" t="s">
        <v>40</v>
      </c>
      <c r="AA32" s="111" t="s">
        <v>40</v>
      </c>
      <c r="AB32" s="114" t="s">
        <v>42</v>
      </c>
      <c r="AC32" s="114" t="s">
        <v>42</v>
      </c>
      <c r="AD32" s="114" t="s">
        <v>42</v>
      </c>
      <c r="AE32" s="106" t="s">
        <v>34</v>
      </c>
      <c r="AF32" s="106" t="s">
        <v>34</v>
      </c>
      <c r="AG32" s="108">
        <f t="shared" si="4"/>
        <v>2</v>
      </c>
      <c r="AH32" s="116"/>
      <c r="AI32" s="116"/>
      <c r="AJ32" s="116">
        <v>2</v>
      </c>
      <c r="AK32" s="99" t="s">
        <v>52</v>
      </c>
      <c r="AM32" s="22"/>
      <c r="AN32" s="22"/>
      <c r="AO32" s="22"/>
      <c r="AP32" s="31"/>
    </row>
    <row r="33" spans="1:42">
      <c r="A33" s="101">
        <v>45395</v>
      </c>
      <c r="B33" s="102">
        <v>1600</v>
      </c>
      <c r="C33" s="103"/>
      <c r="D33" s="102">
        <f>(SUM(粮草!A33:X33)+AG33*10)*IF(AK33="是",$AY$4,$AY$3)</f>
        <v>1656</v>
      </c>
      <c r="E33" s="102">
        <f>SUM($B$4:B33)+SUM($C$4:C33)-SUM($D$4:D33)</f>
        <v>8224</v>
      </c>
      <c r="F33" s="102">
        <f>SUM(经验!A33:X33)</f>
        <v>565</v>
      </c>
      <c r="G33" s="102">
        <f>SUM($F$4:F33)+SUM($H$4:H33)</f>
        <v>17540</v>
      </c>
      <c r="H33" s="102">
        <v>0</v>
      </c>
      <c r="I33" s="107" t="s">
        <v>34</v>
      </c>
      <c r="J33" s="107" t="s">
        <v>34</v>
      </c>
      <c r="K33" s="107" t="s">
        <v>34</v>
      </c>
      <c r="L33" s="107" t="s">
        <v>34</v>
      </c>
      <c r="M33" s="107" t="s">
        <v>34</v>
      </c>
      <c r="N33" s="107" t="s">
        <v>34</v>
      </c>
      <c r="O33" s="106" t="s">
        <v>34</v>
      </c>
      <c r="P33" s="106" t="s">
        <v>34</v>
      </c>
      <c r="Q33" s="111" t="s">
        <v>40</v>
      </c>
      <c r="R33" s="111" t="s">
        <v>40</v>
      </c>
      <c r="S33" s="111" t="s">
        <v>40</v>
      </c>
      <c r="T33" s="111" t="s">
        <v>40</v>
      </c>
      <c r="U33" s="111" t="s">
        <v>40</v>
      </c>
      <c r="V33" s="111" t="s">
        <v>40</v>
      </c>
      <c r="W33" s="106" t="s">
        <v>34</v>
      </c>
      <c r="X33" s="106" t="s">
        <v>34</v>
      </c>
      <c r="Y33" s="114" t="s">
        <v>42</v>
      </c>
      <c r="Z33" s="114" t="s">
        <v>42</v>
      </c>
      <c r="AA33" s="113" t="s">
        <v>47</v>
      </c>
      <c r="AB33" s="114" t="s">
        <v>42</v>
      </c>
      <c r="AC33" s="114" t="s">
        <v>42</v>
      </c>
      <c r="AD33" s="114" t="s">
        <v>42</v>
      </c>
      <c r="AE33" s="106" t="s">
        <v>34</v>
      </c>
      <c r="AF33" s="106" t="s">
        <v>34</v>
      </c>
      <c r="AG33" s="108">
        <f t="shared" si="4"/>
        <v>0</v>
      </c>
      <c r="AH33" s="116"/>
      <c r="AI33" s="116"/>
      <c r="AJ33" s="116"/>
      <c r="AK33" s="99" t="s">
        <v>52</v>
      </c>
      <c r="AM33" s="22"/>
      <c r="AN33" s="22"/>
      <c r="AO33" s="22"/>
      <c r="AP33" s="31"/>
    </row>
    <row r="34" spans="1:42">
      <c r="A34" s="101">
        <v>45396</v>
      </c>
      <c r="B34" s="102">
        <v>1600</v>
      </c>
      <c r="C34" s="103"/>
      <c r="D34" s="102">
        <f>(SUM(粮草!A34:X34)+AG34*10)*IF(AK34="是",$AY$4,$AY$3)</f>
        <v>1488</v>
      </c>
      <c r="E34" s="102">
        <f>SUM($B$4:B34)+SUM($C$4:C34)-SUM($D$4:D34)</f>
        <v>8336</v>
      </c>
      <c r="F34" s="102">
        <f>SUM(经验!A34:X34)</f>
        <v>540</v>
      </c>
      <c r="G34" s="102">
        <f>SUM($F$4:F34)+SUM($H$4:H34)</f>
        <v>18080</v>
      </c>
      <c r="H34" s="102">
        <v>0</v>
      </c>
      <c r="I34" s="107" t="s">
        <v>34</v>
      </c>
      <c r="J34" s="107" t="s">
        <v>34</v>
      </c>
      <c r="K34" s="107" t="s">
        <v>34</v>
      </c>
      <c r="L34" s="107" t="s">
        <v>34</v>
      </c>
      <c r="M34" s="107" t="s">
        <v>34</v>
      </c>
      <c r="N34" s="107" t="s">
        <v>34</v>
      </c>
      <c r="O34" s="106" t="s">
        <v>34</v>
      </c>
      <c r="P34" s="106" t="s">
        <v>34</v>
      </c>
      <c r="Q34" s="105" t="s">
        <v>39</v>
      </c>
      <c r="R34" s="111" t="s">
        <v>40</v>
      </c>
      <c r="S34" s="111" t="s">
        <v>40</v>
      </c>
      <c r="T34" s="111" t="s">
        <v>40</v>
      </c>
      <c r="U34" s="111" t="s">
        <v>40</v>
      </c>
      <c r="V34" s="114" t="s">
        <v>42</v>
      </c>
      <c r="W34" s="106" t="s">
        <v>34</v>
      </c>
      <c r="X34" s="106" t="s">
        <v>34</v>
      </c>
      <c r="Y34" s="105" t="s">
        <v>39</v>
      </c>
      <c r="Z34" s="114" t="s">
        <v>42</v>
      </c>
      <c r="AA34" s="114" t="s">
        <v>42</v>
      </c>
      <c r="AB34" s="114" t="s">
        <v>42</v>
      </c>
      <c r="AC34" s="114" t="s">
        <v>42</v>
      </c>
      <c r="AD34" s="114" t="s">
        <v>42</v>
      </c>
      <c r="AE34" s="106" t="s">
        <v>34</v>
      </c>
      <c r="AF34" s="106" t="s">
        <v>34</v>
      </c>
      <c r="AG34" s="108">
        <f t="shared" si="4"/>
        <v>0</v>
      </c>
      <c r="AH34" s="116"/>
      <c r="AI34" s="116"/>
      <c r="AJ34" s="116"/>
      <c r="AK34" s="99" t="s">
        <v>52</v>
      </c>
      <c r="AM34" s="22"/>
      <c r="AN34" s="22"/>
      <c r="AO34" s="22"/>
      <c r="AP34" s="31"/>
    </row>
    <row r="35" spans="1:42">
      <c r="A35" s="101">
        <v>45397</v>
      </c>
      <c r="B35" s="107">
        <v>1600</v>
      </c>
      <c r="C35" s="107"/>
      <c r="D35" s="102">
        <f>(SUM(粮草!A35:X35)+AG35*10)*IF(AK35="是",$AY$4,$AY$3)</f>
        <v>1440</v>
      </c>
      <c r="E35" s="102">
        <f>SUM($B$4:B35)+SUM($C$4:C35)-SUM($D$4:D35)</f>
        <v>8496</v>
      </c>
      <c r="F35" s="102">
        <f>SUM(经验!A35:X35)</f>
        <v>560</v>
      </c>
      <c r="G35" s="102">
        <f>SUM($F$4:F35)+SUM($H$4:H35)</f>
        <v>18840</v>
      </c>
      <c r="H35" s="107">
        <v>200</v>
      </c>
      <c r="I35" s="107" t="s">
        <v>34</v>
      </c>
      <c r="J35" s="107" t="s">
        <v>34</v>
      </c>
      <c r="K35" s="107" t="s">
        <v>34</v>
      </c>
      <c r="L35" s="107" t="s">
        <v>34</v>
      </c>
      <c r="M35" s="107" t="s">
        <v>34</v>
      </c>
      <c r="N35" s="107" t="s">
        <v>34</v>
      </c>
      <c r="O35" s="106" t="s">
        <v>34</v>
      </c>
      <c r="P35" s="106" t="s">
        <v>34</v>
      </c>
      <c r="Q35" s="114" t="s">
        <v>42</v>
      </c>
      <c r="R35" s="114" t="s">
        <v>42</v>
      </c>
      <c r="S35" s="114" t="s">
        <v>42</v>
      </c>
      <c r="T35" s="114" t="s">
        <v>42</v>
      </c>
      <c r="U35" s="114" t="s">
        <v>42</v>
      </c>
      <c r="V35" s="118" t="s">
        <v>44</v>
      </c>
      <c r="W35" s="106" t="s">
        <v>34</v>
      </c>
      <c r="X35" s="106" t="s">
        <v>34</v>
      </c>
      <c r="Y35" s="114" t="s">
        <v>42</v>
      </c>
      <c r="Z35" s="114" t="s">
        <v>42</v>
      </c>
      <c r="AA35" s="114" t="s">
        <v>42</v>
      </c>
      <c r="AB35" s="114" t="s">
        <v>42</v>
      </c>
      <c r="AC35" s="110" t="s">
        <v>57</v>
      </c>
      <c r="AD35" s="114" t="s">
        <v>42</v>
      </c>
      <c r="AE35" s="106" t="s">
        <v>34</v>
      </c>
      <c r="AF35" s="106" t="s">
        <v>34</v>
      </c>
      <c r="AG35" s="108">
        <f t="shared" si="4"/>
        <v>0</v>
      </c>
      <c r="AH35" s="116"/>
      <c r="AI35" s="116"/>
      <c r="AJ35" s="116"/>
      <c r="AK35" s="99" t="s">
        <v>52</v>
      </c>
      <c r="AM35" s="22"/>
      <c r="AN35" s="22"/>
      <c r="AO35" s="22"/>
      <c r="AP35" s="31"/>
    </row>
    <row r="36" spans="1:42">
      <c r="A36" s="101">
        <v>45398</v>
      </c>
      <c r="B36" s="107">
        <v>1600</v>
      </c>
      <c r="C36" s="107"/>
      <c r="D36" s="102">
        <f>(SUM(粮草!A36:X36)+AG36*10)*IF(AK36="是",$AY$4,$AY$3)</f>
        <v>1504</v>
      </c>
      <c r="E36" s="102">
        <f>SUM($B$4:B36)+SUM($C$4:C36)-SUM($D$4:D36)</f>
        <v>8592</v>
      </c>
      <c r="F36" s="102">
        <f>SUM(经验!A36:X36)</f>
        <v>600</v>
      </c>
      <c r="G36" s="102">
        <f>SUM($F$4:F36)+SUM($H$4:H36)</f>
        <v>19540</v>
      </c>
      <c r="H36" s="107">
        <v>100</v>
      </c>
      <c r="I36" s="107" t="s">
        <v>34</v>
      </c>
      <c r="J36" s="107" t="s">
        <v>34</v>
      </c>
      <c r="K36" s="107" t="s">
        <v>34</v>
      </c>
      <c r="L36" s="107" t="s">
        <v>34</v>
      </c>
      <c r="M36" s="107" t="s">
        <v>34</v>
      </c>
      <c r="N36" s="107" t="s">
        <v>34</v>
      </c>
      <c r="O36" s="106" t="s">
        <v>34</v>
      </c>
      <c r="P36" s="106" t="s">
        <v>34</v>
      </c>
      <c r="Q36" s="118" t="s">
        <v>44</v>
      </c>
      <c r="R36" s="110" t="s">
        <v>57</v>
      </c>
      <c r="S36" s="118" t="s">
        <v>44</v>
      </c>
      <c r="T36" s="118" t="s">
        <v>44</v>
      </c>
      <c r="U36" s="118" t="s">
        <v>44</v>
      </c>
      <c r="V36" s="118" t="s">
        <v>44</v>
      </c>
      <c r="W36" s="106" t="s">
        <v>34</v>
      </c>
      <c r="X36" s="106" t="s">
        <v>34</v>
      </c>
      <c r="Y36" s="114" t="s">
        <v>42</v>
      </c>
      <c r="Z36" s="114" t="s">
        <v>42</v>
      </c>
      <c r="AA36" s="114" t="s">
        <v>42</v>
      </c>
      <c r="AB36" s="114" t="s">
        <v>42</v>
      </c>
      <c r="AC36" s="114" t="s">
        <v>42</v>
      </c>
      <c r="AD36" s="114" t="s">
        <v>42</v>
      </c>
      <c r="AE36" s="106" t="s">
        <v>34</v>
      </c>
      <c r="AF36" s="106" t="s">
        <v>34</v>
      </c>
      <c r="AG36" s="108">
        <f t="shared" si="4"/>
        <v>0</v>
      </c>
      <c r="AH36" s="116"/>
      <c r="AI36" s="116"/>
      <c r="AJ36" s="116"/>
      <c r="AK36" s="99" t="s">
        <v>52</v>
      </c>
      <c r="AM36" s="22"/>
      <c r="AN36" s="22"/>
      <c r="AO36" s="22"/>
      <c r="AP36" s="31"/>
    </row>
    <row r="37" spans="1:42">
      <c r="A37" s="101">
        <v>45399</v>
      </c>
      <c r="B37" s="107">
        <v>1600</v>
      </c>
      <c r="C37" s="107"/>
      <c r="D37" s="102">
        <f>(SUM(粮草!A37:X37)+AG37*10)*IF(AK37="是",$AY$4,$AY$3)</f>
        <v>1792</v>
      </c>
      <c r="E37" s="102">
        <f>SUM($B$4:B37)+SUM($C$4:C37)-SUM($D$4:D37)</f>
        <v>8400</v>
      </c>
      <c r="F37" s="102">
        <f>SUM(经验!A37:X37)</f>
        <v>640</v>
      </c>
      <c r="G37" s="102">
        <f>SUM($F$4:F37)+SUM($H$4:H37)</f>
        <v>20380</v>
      </c>
      <c r="H37" s="107">
        <v>200</v>
      </c>
      <c r="I37" s="107" t="s">
        <v>34</v>
      </c>
      <c r="J37" s="107" t="s">
        <v>34</v>
      </c>
      <c r="K37" s="107" t="s">
        <v>34</v>
      </c>
      <c r="L37" s="107" t="s">
        <v>34</v>
      </c>
      <c r="M37" s="107" t="s">
        <v>34</v>
      </c>
      <c r="N37" s="107" t="s">
        <v>34</v>
      </c>
      <c r="O37" s="106" t="s">
        <v>34</v>
      </c>
      <c r="P37" s="106" t="s">
        <v>34</v>
      </c>
      <c r="Q37" s="118" t="s">
        <v>44</v>
      </c>
      <c r="R37" s="118" t="s">
        <v>44</v>
      </c>
      <c r="S37" s="114" t="s">
        <v>42</v>
      </c>
      <c r="T37" s="114" t="s">
        <v>42</v>
      </c>
      <c r="U37" s="114" t="s">
        <v>42</v>
      </c>
      <c r="V37" s="114" t="s">
        <v>42</v>
      </c>
      <c r="W37" s="106" t="s">
        <v>34</v>
      </c>
      <c r="X37" s="106" t="s">
        <v>34</v>
      </c>
      <c r="Y37" s="114" t="s">
        <v>42</v>
      </c>
      <c r="Z37" s="114" t="s">
        <v>42</v>
      </c>
      <c r="AA37" s="114" t="s">
        <v>42</v>
      </c>
      <c r="AB37" s="114" t="s">
        <v>42</v>
      </c>
      <c r="AC37" s="118" t="s">
        <v>44</v>
      </c>
      <c r="AD37" s="118" t="s">
        <v>44</v>
      </c>
      <c r="AE37" s="106" t="s">
        <v>34</v>
      </c>
      <c r="AF37" s="106" t="s">
        <v>34</v>
      </c>
      <c r="AG37" s="108">
        <f t="shared" si="4"/>
        <v>0</v>
      </c>
      <c r="AH37" s="116"/>
      <c r="AI37" s="116"/>
      <c r="AJ37" s="116"/>
      <c r="AK37" s="99" t="s">
        <v>52</v>
      </c>
      <c r="AM37" s="22"/>
      <c r="AN37" s="22"/>
      <c r="AO37" s="22"/>
      <c r="AP37" s="31"/>
    </row>
    <row r="38" spans="1:42">
      <c r="A38" s="101">
        <v>45400</v>
      </c>
      <c r="B38" s="107">
        <v>1600</v>
      </c>
      <c r="C38" s="107"/>
      <c r="D38" s="102">
        <f>(SUM(粮草!A38:X38)+AG38*10)*IF(AK38="是",$AY$4,$AY$3)</f>
        <v>1824</v>
      </c>
      <c r="E38" s="102">
        <f>SUM($B$4:B38)+SUM($C$4:C38)-SUM($D$4:D38)</f>
        <v>8176</v>
      </c>
      <c r="F38" s="102">
        <f>SUM(经验!A38:X38)</f>
        <v>660</v>
      </c>
      <c r="G38" s="102">
        <f>SUM($F$4:F38)+SUM($H$4:H38)</f>
        <v>21040</v>
      </c>
      <c r="H38" s="107">
        <v>0</v>
      </c>
      <c r="I38" s="107" t="s">
        <v>34</v>
      </c>
      <c r="J38" s="107" t="s">
        <v>34</v>
      </c>
      <c r="K38" s="107" t="s">
        <v>34</v>
      </c>
      <c r="L38" s="107" t="s">
        <v>34</v>
      </c>
      <c r="M38" s="107" t="s">
        <v>34</v>
      </c>
      <c r="N38" s="107" t="s">
        <v>34</v>
      </c>
      <c r="O38" s="106" t="s">
        <v>34</v>
      </c>
      <c r="P38" s="106" t="s">
        <v>34</v>
      </c>
      <c r="Q38" s="114" t="s">
        <v>42</v>
      </c>
      <c r="R38" s="118" t="s">
        <v>44</v>
      </c>
      <c r="S38" s="118" t="s">
        <v>44</v>
      </c>
      <c r="T38" s="118" t="s">
        <v>44</v>
      </c>
      <c r="U38" s="111" t="s">
        <v>40</v>
      </c>
      <c r="V38" s="111" t="s">
        <v>40</v>
      </c>
      <c r="W38" s="106" t="s">
        <v>34</v>
      </c>
      <c r="X38" s="106" t="s">
        <v>34</v>
      </c>
      <c r="Y38" s="118" t="s">
        <v>44</v>
      </c>
      <c r="Z38" s="118" t="s">
        <v>44</v>
      </c>
      <c r="AA38" s="118" t="s">
        <v>44</v>
      </c>
      <c r="AB38" s="118" t="s">
        <v>44</v>
      </c>
      <c r="AC38" s="114" t="s">
        <v>42</v>
      </c>
      <c r="AD38" s="114" t="s">
        <v>42</v>
      </c>
      <c r="AE38" s="106" t="s">
        <v>34</v>
      </c>
      <c r="AF38" s="106" t="s">
        <v>34</v>
      </c>
      <c r="AG38" s="108">
        <f t="shared" si="4"/>
        <v>0</v>
      </c>
      <c r="AH38" s="116"/>
      <c r="AI38" s="116"/>
      <c r="AJ38" s="116"/>
      <c r="AK38" s="99" t="s">
        <v>52</v>
      </c>
      <c r="AM38" s="22"/>
      <c r="AN38" s="22"/>
      <c r="AO38" s="22"/>
      <c r="AP38" s="31"/>
    </row>
    <row r="39" spans="1:42">
      <c r="A39" s="101">
        <v>45401</v>
      </c>
      <c r="B39" s="107">
        <v>1600</v>
      </c>
      <c r="C39" s="107"/>
      <c r="D39" s="102">
        <f>(SUM(粮草!A39:X39)+AG39*10)*IF(AK39="是",$AY$4,$AY$3)</f>
        <v>1496</v>
      </c>
      <c r="E39" s="102">
        <f>SUM($B$4:B39)+SUM($C$4:C39)-SUM($D$4:D39)</f>
        <v>8280</v>
      </c>
      <c r="F39" s="102">
        <f>SUM(经验!A39:X39)</f>
        <v>545</v>
      </c>
      <c r="G39" s="102">
        <f>SUM($F$4:F39)+SUM($H$4:H39)</f>
        <v>21585</v>
      </c>
      <c r="H39" s="107">
        <v>0</v>
      </c>
      <c r="I39" s="107" t="s">
        <v>34</v>
      </c>
      <c r="J39" s="107" t="s">
        <v>34</v>
      </c>
      <c r="K39" s="107" t="s">
        <v>34</v>
      </c>
      <c r="L39" s="107" t="s">
        <v>34</v>
      </c>
      <c r="M39" s="107" t="s">
        <v>34</v>
      </c>
      <c r="N39" s="107" t="s">
        <v>34</v>
      </c>
      <c r="O39" s="106" t="s">
        <v>34</v>
      </c>
      <c r="P39" s="106" t="s">
        <v>34</v>
      </c>
      <c r="Q39" s="111" t="s">
        <v>40</v>
      </c>
      <c r="R39" s="111" t="s">
        <v>40</v>
      </c>
      <c r="S39" s="114" t="s">
        <v>42</v>
      </c>
      <c r="T39" s="114" t="s">
        <v>42</v>
      </c>
      <c r="U39" s="114" t="s">
        <v>42</v>
      </c>
      <c r="V39" s="114" t="s">
        <v>42</v>
      </c>
      <c r="W39" s="106" t="s">
        <v>34</v>
      </c>
      <c r="X39" s="106" t="s">
        <v>34</v>
      </c>
      <c r="Y39" s="114" t="s">
        <v>42</v>
      </c>
      <c r="Z39" s="105" t="s">
        <v>39</v>
      </c>
      <c r="AA39" s="114" t="s">
        <v>42</v>
      </c>
      <c r="AB39" s="114" t="s">
        <v>42</v>
      </c>
      <c r="AC39" s="105" t="s">
        <v>39</v>
      </c>
      <c r="AD39" s="111" t="s">
        <v>40</v>
      </c>
      <c r="AE39" s="106" t="s">
        <v>34</v>
      </c>
      <c r="AF39" s="106" t="s">
        <v>34</v>
      </c>
      <c r="AG39" s="108">
        <f t="shared" si="4"/>
        <v>0</v>
      </c>
      <c r="AH39" s="116"/>
      <c r="AI39" s="116"/>
      <c r="AJ39" s="116"/>
      <c r="AK39" s="99" t="s">
        <v>52</v>
      </c>
      <c r="AM39" s="22" t="s">
        <v>61</v>
      </c>
      <c r="AN39" s="22"/>
      <c r="AO39" s="22"/>
      <c r="AP39" s="31"/>
    </row>
    <row r="40" spans="1:42">
      <c r="A40" s="101">
        <v>45402</v>
      </c>
      <c r="B40" s="107">
        <v>1600</v>
      </c>
      <c r="C40" s="107"/>
      <c r="D40" s="102">
        <f>(SUM(粮草!A40:X40)+AG40*10)*IF(AK40="是",$AY$4,$AY$3)</f>
        <v>1392</v>
      </c>
      <c r="E40" s="102">
        <f>SUM($B$4:B40)+SUM($C$4:C40)-SUM($D$4:D40)</f>
        <v>8488</v>
      </c>
      <c r="F40" s="102">
        <f>SUM(经验!A40:X40)</f>
        <v>530</v>
      </c>
      <c r="G40" s="102">
        <f>SUM($F$4:F40)+SUM($H$4:H40)</f>
        <v>22115</v>
      </c>
      <c r="H40" s="107">
        <v>0</v>
      </c>
      <c r="I40" s="107" t="s">
        <v>34</v>
      </c>
      <c r="J40" s="107" t="s">
        <v>34</v>
      </c>
      <c r="K40" s="107" t="s">
        <v>34</v>
      </c>
      <c r="L40" s="107" t="s">
        <v>34</v>
      </c>
      <c r="M40" s="107" t="s">
        <v>34</v>
      </c>
      <c r="N40" s="107" t="s">
        <v>34</v>
      </c>
      <c r="O40" s="106" t="s">
        <v>34</v>
      </c>
      <c r="P40" s="106" t="s">
        <v>34</v>
      </c>
      <c r="Q40" s="114" t="s">
        <v>42</v>
      </c>
      <c r="R40" s="114" t="s">
        <v>42</v>
      </c>
      <c r="S40" s="114" t="s">
        <v>42</v>
      </c>
      <c r="T40" s="114" t="s">
        <v>42</v>
      </c>
      <c r="U40" s="114" t="s">
        <v>42</v>
      </c>
      <c r="V40" s="114" t="s">
        <v>42</v>
      </c>
      <c r="W40" s="106" t="s">
        <v>34</v>
      </c>
      <c r="X40" s="106" t="s">
        <v>34</v>
      </c>
      <c r="Y40" s="111" t="s">
        <v>40</v>
      </c>
      <c r="Z40" s="111" t="s">
        <v>40</v>
      </c>
      <c r="AA40" s="111" t="s">
        <v>40</v>
      </c>
      <c r="AB40" s="110" t="s">
        <v>57</v>
      </c>
      <c r="AC40" s="111" t="s">
        <v>40</v>
      </c>
      <c r="AD40" s="114" t="s">
        <v>42</v>
      </c>
      <c r="AE40" s="106" t="s">
        <v>34</v>
      </c>
      <c r="AF40" s="106" t="s">
        <v>34</v>
      </c>
      <c r="AG40" s="108">
        <f t="shared" si="4"/>
        <v>0</v>
      </c>
      <c r="AH40" s="116"/>
      <c r="AI40" s="116"/>
      <c r="AJ40" s="116"/>
      <c r="AK40" s="99" t="s">
        <v>52</v>
      </c>
      <c r="AM40" s="22" t="s">
        <v>62</v>
      </c>
      <c r="AN40" s="22"/>
      <c r="AO40" s="22"/>
      <c r="AP40" s="31"/>
    </row>
    <row r="41" spans="1:42">
      <c r="A41" s="101">
        <v>45403</v>
      </c>
      <c r="B41" s="107">
        <v>1600</v>
      </c>
      <c r="C41" s="107"/>
      <c r="D41" s="102">
        <f>(SUM(粮草!A41:X41)+AG41*10)*IF(AK41="是",$AY$4,$AY$3)</f>
        <v>1648</v>
      </c>
      <c r="E41" s="102">
        <f>SUM($B$4:B41)+SUM($C$4:C41)-SUM($D$4:D41)</f>
        <v>8440</v>
      </c>
      <c r="F41" s="102">
        <f>SUM(经验!A41:X41)</f>
        <v>595</v>
      </c>
      <c r="G41" s="102">
        <f>SUM($F$4:F41)+SUM($H$4:H41)</f>
        <v>22710</v>
      </c>
      <c r="H41" s="107">
        <v>0</v>
      </c>
      <c r="I41" s="107" t="s">
        <v>34</v>
      </c>
      <c r="J41" s="107" t="s">
        <v>34</v>
      </c>
      <c r="K41" s="107" t="s">
        <v>34</v>
      </c>
      <c r="L41" s="107" t="s">
        <v>34</v>
      </c>
      <c r="M41" s="107" t="s">
        <v>34</v>
      </c>
      <c r="N41" s="107" t="s">
        <v>34</v>
      </c>
      <c r="O41" s="106" t="s">
        <v>34</v>
      </c>
      <c r="P41" s="106" t="s">
        <v>34</v>
      </c>
      <c r="Q41" s="114" t="s">
        <v>42</v>
      </c>
      <c r="R41" s="114" t="s">
        <v>42</v>
      </c>
      <c r="S41" s="105" t="s">
        <v>39</v>
      </c>
      <c r="T41" s="111" t="s">
        <v>40</v>
      </c>
      <c r="U41" s="111" t="s">
        <v>40</v>
      </c>
      <c r="V41" s="111" t="s">
        <v>40</v>
      </c>
      <c r="W41" s="106" t="s">
        <v>34</v>
      </c>
      <c r="X41" s="106" t="s">
        <v>34</v>
      </c>
      <c r="Y41" s="114" t="s">
        <v>42</v>
      </c>
      <c r="Z41" s="114" t="s">
        <v>42</v>
      </c>
      <c r="AA41" s="114" t="s">
        <v>42</v>
      </c>
      <c r="AB41" s="118" t="s">
        <v>44</v>
      </c>
      <c r="AC41" s="118" t="s">
        <v>44</v>
      </c>
      <c r="AD41" s="118" t="s">
        <v>44</v>
      </c>
      <c r="AE41" s="106" t="s">
        <v>34</v>
      </c>
      <c r="AF41" s="106" t="s">
        <v>34</v>
      </c>
      <c r="AG41" s="108">
        <f t="shared" si="4"/>
        <v>0</v>
      </c>
      <c r="AH41" s="116"/>
      <c r="AI41" s="116"/>
      <c r="AJ41" s="116"/>
      <c r="AK41" s="99" t="s">
        <v>52</v>
      </c>
      <c r="AM41" s="22" t="s">
        <v>63</v>
      </c>
      <c r="AN41" s="22"/>
      <c r="AO41" s="22"/>
      <c r="AP41" s="31"/>
    </row>
    <row r="42" spans="1:42">
      <c r="A42" s="101">
        <v>45404</v>
      </c>
      <c r="B42" s="102">
        <v>1600</v>
      </c>
      <c r="C42" s="103"/>
      <c r="D42" s="102">
        <f>(SUM(粮草!A42:X42)+AG42*10)*IF(AK42="是",$AY$4,$AY$3)</f>
        <v>1480</v>
      </c>
      <c r="E42" s="102">
        <f>SUM($B$4:B42)+SUM($C$4:C42)-SUM($D$4:D42)</f>
        <v>8560</v>
      </c>
      <c r="F42" s="102">
        <f>SUM(经验!A42:X42)</f>
        <v>585</v>
      </c>
      <c r="G42" s="102">
        <f>SUM($F$4:F42)+SUM($H$4:H42)</f>
        <v>23595</v>
      </c>
      <c r="H42" s="102">
        <v>300</v>
      </c>
      <c r="I42" s="107" t="s">
        <v>34</v>
      </c>
      <c r="J42" s="107" t="s">
        <v>34</v>
      </c>
      <c r="K42" s="107" t="s">
        <v>34</v>
      </c>
      <c r="L42" s="107" t="s">
        <v>34</v>
      </c>
      <c r="M42" s="107" t="s">
        <v>34</v>
      </c>
      <c r="N42" s="107" t="s">
        <v>34</v>
      </c>
      <c r="O42" s="106" t="s">
        <v>34</v>
      </c>
      <c r="P42" s="106" t="s">
        <v>34</v>
      </c>
      <c r="Q42" s="111" t="s">
        <v>40</v>
      </c>
      <c r="R42" s="110" t="s">
        <v>57</v>
      </c>
      <c r="S42" s="111" t="s">
        <v>40</v>
      </c>
      <c r="T42" s="111" t="s">
        <v>40</v>
      </c>
      <c r="U42" s="111" t="s">
        <v>40</v>
      </c>
      <c r="V42" s="111" t="s">
        <v>40</v>
      </c>
      <c r="W42" s="106" t="s">
        <v>34</v>
      </c>
      <c r="X42" s="106" t="s">
        <v>34</v>
      </c>
      <c r="Y42" s="118" t="s">
        <v>44</v>
      </c>
      <c r="Z42" s="118" t="s">
        <v>44</v>
      </c>
      <c r="AA42" s="118" t="s">
        <v>44</v>
      </c>
      <c r="AB42" s="118" t="s">
        <v>44</v>
      </c>
      <c r="AC42" s="118" t="s">
        <v>44</v>
      </c>
      <c r="AD42" s="118" t="s">
        <v>44</v>
      </c>
      <c r="AE42" s="106" t="s">
        <v>34</v>
      </c>
      <c r="AF42" s="106" t="s">
        <v>34</v>
      </c>
      <c r="AG42" s="108">
        <f t="shared" si="4"/>
        <v>0</v>
      </c>
      <c r="AH42" s="116"/>
      <c r="AI42" s="116"/>
      <c r="AJ42" s="116"/>
      <c r="AK42" s="99" t="s">
        <v>52</v>
      </c>
      <c r="AM42" s="22" t="s">
        <v>64</v>
      </c>
      <c r="AN42" s="22"/>
      <c r="AO42" s="22"/>
      <c r="AP42" s="31"/>
    </row>
    <row r="43" spans="1:42">
      <c r="A43" s="101">
        <v>45405</v>
      </c>
      <c r="B43" s="102">
        <v>1600</v>
      </c>
      <c r="C43" s="103"/>
      <c r="D43" s="102">
        <f>(SUM(粮草!A43:X43)+AG43*10)*IF(AK43="是",$AY$4,$AY$3)</f>
        <v>1376</v>
      </c>
      <c r="E43" s="102">
        <f>SUM($B$4:B43)+SUM($C$4:C43)-SUM($D$4:D43)</f>
        <v>8784</v>
      </c>
      <c r="F43" s="102">
        <f>SUM(经验!A43:X43)</f>
        <v>520</v>
      </c>
      <c r="G43" s="102">
        <f>SUM($F$4:F43)+SUM($H$4:H43)</f>
        <v>24115</v>
      </c>
      <c r="H43" s="102">
        <v>0</v>
      </c>
      <c r="I43" s="107" t="s">
        <v>34</v>
      </c>
      <c r="J43" s="107" t="s">
        <v>34</v>
      </c>
      <c r="K43" s="107" t="s">
        <v>34</v>
      </c>
      <c r="L43" s="107" t="s">
        <v>34</v>
      </c>
      <c r="M43" s="107" t="s">
        <v>34</v>
      </c>
      <c r="N43" s="107" t="s">
        <v>34</v>
      </c>
      <c r="O43" s="106" t="s">
        <v>34</v>
      </c>
      <c r="P43" s="106" t="s">
        <v>34</v>
      </c>
      <c r="Q43" s="111" t="s">
        <v>40</v>
      </c>
      <c r="R43" s="111" t="s">
        <v>40</v>
      </c>
      <c r="S43" s="111" t="s">
        <v>40</v>
      </c>
      <c r="T43" s="111" t="s">
        <v>40</v>
      </c>
      <c r="U43" s="111" t="s">
        <v>40</v>
      </c>
      <c r="V43" s="111" t="s">
        <v>40</v>
      </c>
      <c r="W43" s="106" t="s">
        <v>34</v>
      </c>
      <c r="X43" s="106" t="s">
        <v>34</v>
      </c>
      <c r="Y43" s="114" t="s">
        <v>42</v>
      </c>
      <c r="Z43" s="114" t="s">
        <v>42</v>
      </c>
      <c r="AA43" s="114" t="s">
        <v>42</v>
      </c>
      <c r="AB43" s="110" t="s">
        <v>57</v>
      </c>
      <c r="AC43" s="114" t="s">
        <v>42</v>
      </c>
      <c r="AD43" s="114" t="s">
        <v>42</v>
      </c>
      <c r="AE43" s="106" t="s">
        <v>34</v>
      </c>
      <c r="AF43" s="106" t="s">
        <v>34</v>
      </c>
      <c r="AG43" s="108">
        <f t="shared" si="4"/>
        <v>0</v>
      </c>
      <c r="AH43" s="116"/>
      <c r="AI43" s="116"/>
      <c r="AJ43" s="116"/>
      <c r="AK43" s="99" t="s">
        <v>52</v>
      </c>
      <c r="AM43" s="48" t="s">
        <v>65</v>
      </c>
      <c r="AN43" s="22"/>
      <c r="AO43" s="22"/>
      <c r="AP43" s="31"/>
    </row>
    <row r="44" spans="1:42">
      <c r="A44" s="101">
        <v>45406</v>
      </c>
      <c r="B44" s="102">
        <v>1600</v>
      </c>
      <c r="C44" s="103"/>
      <c r="D44" s="102">
        <f>(SUM(粮草!A44:X44)+AG44*10)*IF(AK44="是",$AY$4,$AY$3)</f>
        <v>1776</v>
      </c>
      <c r="E44" s="102">
        <f>SUM($B$4:B44)+SUM($C$4:C44)-SUM($D$4:D44)</f>
        <v>8608</v>
      </c>
      <c r="F44" s="102">
        <f>SUM(经验!A44:X44)</f>
        <v>645</v>
      </c>
      <c r="G44" s="102">
        <f>SUM($F$4:F44)+SUM($H$4:H44)</f>
        <v>24960</v>
      </c>
      <c r="H44" s="102">
        <v>200</v>
      </c>
      <c r="I44" s="107" t="s">
        <v>34</v>
      </c>
      <c r="J44" s="107" t="s">
        <v>34</v>
      </c>
      <c r="K44" s="107" t="s">
        <v>34</v>
      </c>
      <c r="L44" s="107" t="s">
        <v>34</v>
      </c>
      <c r="M44" s="107" t="s">
        <v>34</v>
      </c>
      <c r="N44" s="107" t="s">
        <v>34</v>
      </c>
      <c r="O44" s="106" t="s">
        <v>34</v>
      </c>
      <c r="P44" s="106" t="s">
        <v>34</v>
      </c>
      <c r="Q44" s="111" t="s">
        <v>40</v>
      </c>
      <c r="R44" s="118" t="s">
        <v>44</v>
      </c>
      <c r="S44" s="118" t="s">
        <v>44</v>
      </c>
      <c r="T44" s="118" t="s">
        <v>44</v>
      </c>
      <c r="U44" s="118" t="s">
        <v>44</v>
      </c>
      <c r="V44" s="118" t="s">
        <v>44</v>
      </c>
      <c r="W44" s="106" t="s">
        <v>34</v>
      </c>
      <c r="X44" s="106" t="s">
        <v>34</v>
      </c>
      <c r="Y44" s="114" t="s">
        <v>42</v>
      </c>
      <c r="Z44" s="117" t="s">
        <v>48</v>
      </c>
      <c r="AA44" s="114" t="s">
        <v>42</v>
      </c>
      <c r="AB44" s="114" t="s">
        <v>42</v>
      </c>
      <c r="AC44" s="114" t="s">
        <v>42</v>
      </c>
      <c r="AD44" s="114" t="s">
        <v>42</v>
      </c>
      <c r="AE44" s="106" t="s">
        <v>34</v>
      </c>
      <c r="AF44" s="106" t="s">
        <v>34</v>
      </c>
      <c r="AG44" s="108">
        <f t="shared" si="4"/>
        <v>0</v>
      </c>
      <c r="AH44" s="116"/>
      <c r="AI44" s="116"/>
      <c r="AJ44" s="116"/>
      <c r="AK44" s="99" t="s">
        <v>52</v>
      </c>
      <c r="AM44" s="22"/>
      <c r="AN44" s="22"/>
      <c r="AO44" s="22"/>
      <c r="AP44" s="31"/>
    </row>
    <row r="45" spans="1:42">
      <c r="A45" s="101">
        <v>45407</v>
      </c>
      <c r="B45" s="102">
        <v>1600</v>
      </c>
      <c r="C45" s="103"/>
      <c r="D45" s="102">
        <f>(SUM(粮草!A45:X45)+AG45*10)*IF(AK45="是",$AY$4,$AY$3)</f>
        <v>1824</v>
      </c>
      <c r="E45" s="102">
        <f>SUM($B$4:B45)+SUM($C$4:C45)-SUM($D$4:D45)</f>
        <v>8384</v>
      </c>
      <c r="F45" s="102">
        <f>SUM(经验!A45:X45)</f>
        <v>660</v>
      </c>
      <c r="G45" s="102">
        <f>SUM($F$4:F45)+SUM($H$4:H45)</f>
        <v>25620</v>
      </c>
      <c r="H45" s="102">
        <v>0</v>
      </c>
      <c r="I45" s="107" t="s">
        <v>34</v>
      </c>
      <c r="J45" s="107" t="s">
        <v>34</v>
      </c>
      <c r="K45" s="107" t="s">
        <v>34</v>
      </c>
      <c r="L45" s="107" t="s">
        <v>34</v>
      </c>
      <c r="M45" s="107" t="s">
        <v>34</v>
      </c>
      <c r="N45" s="107" t="s">
        <v>34</v>
      </c>
      <c r="O45" s="106" t="s">
        <v>34</v>
      </c>
      <c r="P45" s="106" t="s">
        <v>34</v>
      </c>
      <c r="Q45" s="118" t="s">
        <v>44</v>
      </c>
      <c r="R45" s="118" t="s">
        <v>44</v>
      </c>
      <c r="S45" s="118" t="s">
        <v>44</v>
      </c>
      <c r="T45" s="118" t="s">
        <v>44</v>
      </c>
      <c r="U45" s="118" t="s">
        <v>44</v>
      </c>
      <c r="V45" s="118" t="s">
        <v>44</v>
      </c>
      <c r="W45" s="106" t="s">
        <v>34</v>
      </c>
      <c r="X45" s="106" t="s">
        <v>34</v>
      </c>
      <c r="Y45" s="114" t="s">
        <v>42</v>
      </c>
      <c r="Z45" s="114" t="s">
        <v>42</v>
      </c>
      <c r="AA45" s="114" t="s">
        <v>42</v>
      </c>
      <c r="AB45" s="114" t="s">
        <v>42</v>
      </c>
      <c r="AC45" s="114" t="s">
        <v>42</v>
      </c>
      <c r="AD45" s="114" t="s">
        <v>42</v>
      </c>
      <c r="AE45" s="106" t="s">
        <v>34</v>
      </c>
      <c r="AF45" s="106" t="s">
        <v>34</v>
      </c>
      <c r="AG45" s="108">
        <f t="shared" si="4"/>
        <v>0</v>
      </c>
      <c r="AH45" s="116"/>
      <c r="AI45" s="116"/>
      <c r="AJ45" s="116"/>
      <c r="AK45" s="99" t="s">
        <v>52</v>
      </c>
    </row>
    <row r="46" spans="1:42">
      <c r="A46" s="101">
        <v>45408</v>
      </c>
      <c r="B46" s="102">
        <v>1600</v>
      </c>
      <c r="C46" s="103"/>
      <c r="D46" s="102">
        <f>(SUM(粮草!A46:X46)+AG46*10)*IF(AK46="是",$AY$4,$AY$3)</f>
        <v>1720</v>
      </c>
      <c r="E46" s="102">
        <f>SUM($B$4:B46)+SUM($C$4:C46)-SUM($D$4:D46)</f>
        <v>8264</v>
      </c>
      <c r="F46" s="102">
        <f>SUM(经验!A46:X46)</f>
        <v>640</v>
      </c>
      <c r="G46" s="102">
        <f>SUM($F$4:F46)+SUM($H$4:H46)</f>
        <v>26260</v>
      </c>
      <c r="H46" s="102">
        <v>0</v>
      </c>
      <c r="I46" s="107" t="s">
        <v>34</v>
      </c>
      <c r="J46" s="107" t="s">
        <v>34</v>
      </c>
      <c r="K46" s="107" t="s">
        <v>34</v>
      </c>
      <c r="L46" s="107" t="s">
        <v>34</v>
      </c>
      <c r="M46" s="107" t="s">
        <v>34</v>
      </c>
      <c r="N46" s="107" t="s">
        <v>34</v>
      </c>
      <c r="O46" s="106" t="s">
        <v>34</v>
      </c>
      <c r="P46" s="106" t="s">
        <v>34</v>
      </c>
      <c r="Q46" s="118" t="s">
        <v>44</v>
      </c>
      <c r="R46" s="118" t="s">
        <v>44</v>
      </c>
      <c r="S46" s="118" t="s">
        <v>44</v>
      </c>
      <c r="T46" s="118" t="s">
        <v>44</v>
      </c>
      <c r="U46" s="118" t="s">
        <v>44</v>
      </c>
      <c r="V46" s="118" t="s">
        <v>44</v>
      </c>
      <c r="W46" s="106" t="s">
        <v>34</v>
      </c>
      <c r="X46" s="106" t="s">
        <v>34</v>
      </c>
      <c r="Y46" s="114" t="s">
        <v>42</v>
      </c>
      <c r="Z46" s="114" t="s">
        <v>42</v>
      </c>
      <c r="AA46" s="114" t="s">
        <v>42</v>
      </c>
      <c r="AB46" s="114" t="s">
        <v>42</v>
      </c>
      <c r="AC46" s="114" t="s">
        <v>42</v>
      </c>
      <c r="AD46" s="105" t="s">
        <v>39</v>
      </c>
      <c r="AE46" s="106" t="s">
        <v>34</v>
      </c>
      <c r="AF46" s="106" t="s">
        <v>34</v>
      </c>
      <c r="AG46" s="108">
        <f t="shared" si="4"/>
        <v>0</v>
      </c>
      <c r="AH46" s="116"/>
      <c r="AI46" s="116"/>
      <c r="AJ46" s="116"/>
      <c r="AK46" s="99" t="s">
        <v>52</v>
      </c>
    </row>
    <row r="47" spans="1:42">
      <c r="A47" s="101">
        <v>45409</v>
      </c>
      <c r="B47" s="102">
        <v>1600</v>
      </c>
      <c r="C47" s="103"/>
      <c r="D47" s="102">
        <f>(SUM(粮草!A47:X47)+AG47*10)*IF(AK47="是",$AY$4,$AY$3)</f>
        <v>1872</v>
      </c>
      <c r="E47" s="102">
        <f>SUM($B$4:B47)+SUM($C$4:C47)-SUM($D$4:D47)</f>
        <v>7992</v>
      </c>
      <c r="F47" s="102">
        <f>SUM(经验!A47:X47)</f>
        <v>1600</v>
      </c>
      <c r="G47" s="102">
        <f>SUM($F$4:F47)+SUM($H$4:H47)</f>
        <v>27860</v>
      </c>
      <c r="H47" s="102">
        <v>0</v>
      </c>
      <c r="I47" s="107" t="s">
        <v>34</v>
      </c>
      <c r="J47" s="107" t="s">
        <v>34</v>
      </c>
      <c r="K47" s="107" t="s">
        <v>34</v>
      </c>
      <c r="L47" s="107" t="s">
        <v>34</v>
      </c>
      <c r="M47" s="107" t="s">
        <v>34</v>
      </c>
      <c r="N47" s="107" t="s">
        <v>34</v>
      </c>
      <c r="O47" s="106" t="s">
        <v>34</v>
      </c>
      <c r="P47" s="106" t="s">
        <v>34</v>
      </c>
      <c r="Q47" s="118" t="s">
        <v>44</v>
      </c>
      <c r="R47" s="118" t="s">
        <v>44</v>
      </c>
      <c r="S47" s="119" t="s">
        <v>53</v>
      </c>
      <c r="T47" s="118" t="s">
        <v>44</v>
      </c>
      <c r="U47" s="118" t="s">
        <v>44</v>
      </c>
      <c r="V47" s="118" t="s">
        <v>44</v>
      </c>
      <c r="W47" s="106" t="s">
        <v>34</v>
      </c>
      <c r="X47" s="106" t="s">
        <v>34</v>
      </c>
      <c r="Y47" s="114" t="s">
        <v>42</v>
      </c>
      <c r="Z47" s="114" t="s">
        <v>42</v>
      </c>
      <c r="AA47" s="114" t="s">
        <v>42</v>
      </c>
      <c r="AB47" s="114" t="s">
        <v>42</v>
      </c>
      <c r="AC47" s="114" t="s">
        <v>42</v>
      </c>
      <c r="AD47" s="114" t="s">
        <v>42</v>
      </c>
      <c r="AE47" s="106" t="s">
        <v>34</v>
      </c>
      <c r="AF47" s="106" t="s">
        <v>34</v>
      </c>
      <c r="AG47" s="108">
        <f t="shared" si="4"/>
        <v>1</v>
      </c>
      <c r="AH47" s="116"/>
      <c r="AI47" s="116">
        <v>1</v>
      </c>
      <c r="AJ47" s="116"/>
      <c r="AK47" s="99" t="s">
        <v>52</v>
      </c>
    </row>
    <row r="48" spans="1:42">
      <c r="A48" s="101">
        <v>45410</v>
      </c>
      <c r="B48" s="102">
        <v>1600</v>
      </c>
      <c r="C48" s="103"/>
      <c r="D48" s="102">
        <f>(SUM(粮草!A48:X48)+AG48*10)*IF(AK48="是",$AY$4,$AY$3)</f>
        <v>1632</v>
      </c>
      <c r="E48" s="102">
        <f>SUM($B$4:B48)+SUM($C$4:C48)-SUM($D$4:D48)</f>
        <v>7960</v>
      </c>
      <c r="F48" s="102">
        <f>SUM(经验!A48:X48)</f>
        <v>585</v>
      </c>
      <c r="G48" s="102">
        <f>SUM($F$4:F48)+SUM($H$4:H48)</f>
        <v>28445</v>
      </c>
      <c r="H48" s="102">
        <v>0</v>
      </c>
      <c r="I48" s="107" t="s">
        <v>34</v>
      </c>
      <c r="J48" s="107" t="s">
        <v>34</v>
      </c>
      <c r="K48" s="107" t="s">
        <v>34</v>
      </c>
      <c r="L48" s="107" t="s">
        <v>34</v>
      </c>
      <c r="M48" s="107" t="s">
        <v>34</v>
      </c>
      <c r="N48" s="107" t="s">
        <v>34</v>
      </c>
      <c r="O48" s="106" t="s">
        <v>34</v>
      </c>
      <c r="P48" s="106" t="s">
        <v>34</v>
      </c>
      <c r="Q48" s="118" t="s">
        <v>44</v>
      </c>
      <c r="R48" s="114" t="s">
        <v>42</v>
      </c>
      <c r="S48" s="114" t="s">
        <v>42</v>
      </c>
      <c r="T48" s="114" t="s">
        <v>42</v>
      </c>
      <c r="U48" s="114" t="s">
        <v>42</v>
      </c>
      <c r="V48" s="114" t="s">
        <v>42</v>
      </c>
      <c r="W48" s="106" t="s">
        <v>34</v>
      </c>
      <c r="X48" s="106" t="s">
        <v>34</v>
      </c>
      <c r="Y48" s="105" t="s">
        <v>39</v>
      </c>
      <c r="Z48" s="114" t="s">
        <v>42</v>
      </c>
      <c r="AA48" s="114" t="s">
        <v>42</v>
      </c>
      <c r="AB48" s="114" t="s">
        <v>42</v>
      </c>
      <c r="AC48" s="111" t="s">
        <v>40</v>
      </c>
      <c r="AD48" s="114" t="s">
        <v>42</v>
      </c>
      <c r="AE48" s="106" t="s">
        <v>34</v>
      </c>
      <c r="AF48" s="106" t="s">
        <v>34</v>
      </c>
      <c r="AG48" s="108">
        <f t="shared" si="4"/>
        <v>0</v>
      </c>
      <c r="AH48" s="116"/>
      <c r="AI48" s="116"/>
      <c r="AJ48" s="116"/>
      <c r="AK48" s="99" t="s">
        <v>52</v>
      </c>
    </row>
    <row r="49" spans="1:44">
      <c r="A49" s="101">
        <v>45411</v>
      </c>
      <c r="B49" s="107">
        <v>1600</v>
      </c>
      <c r="C49" s="107"/>
      <c r="D49" s="102">
        <f>(SUM(粮草!A49:X49)+AG49*10)*IF(AK49="是",$AY$4,$AY$3)</f>
        <v>864</v>
      </c>
      <c r="E49" s="102">
        <f>SUM($B$4:B49)+SUM($C$4:C49)-SUM($D$4:D49)</f>
        <v>8696</v>
      </c>
      <c r="F49" s="102">
        <f>SUM(经验!A49:X49)</f>
        <v>300</v>
      </c>
      <c r="G49" s="102">
        <f>SUM($F$4:F49)+SUM($H$4:H49)</f>
        <v>28945</v>
      </c>
      <c r="H49" s="107">
        <v>200</v>
      </c>
      <c r="I49" s="107" t="s">
        <v>34</v>
      </c>
      <c r="J49" s="107" t="s">
        <v>34</v>
      </c>
      <c r="K49" s="107" t="s">
        <v>34</v>
      </c>
      <c r="L49" s="107" t="s">
        <v>34</v>
      </c>
      <c r="M49" s="107" t="s">
        <v>34</v>
      </c>
      <c r="N49" s="107" t="s">
        <v>34</v>
      </c>
      <c r="O49" s="106" t="s">
        <v>34</v>
      </c>
      <c r="P49" s="106" t="s">
        <v>34</v>
      </c>
      <c r="Q49" s="114" t="s">
        <v>42</v>
      </c>
      <c r="R49" s="114" t="s">
        <v>42</v>
      </c>
      <c r="S49" s="114" t="s">
        <v>42</v>
      </c>
      <c r="T49" s="114" t="s">
        <v>42</v>
      </c>
      <c r="U49" s="114" t="s">
        <v>42</v>
      </c>
      <c r="V49" s="114" t="s">
        <v>42</v>
      </c>
      <c r="W49" s="106" t="s">
        <v>34</v>
      </c>
      <c r="X49" s="106" t="s">
        <v>34</v>
      </c>
      <c r="Y49" s="107" t="s">
        <v>34</v>
      </c>
      <c r="Z49" s="107" t="s">
        <v>34</v>
      </c>
      <c r="AA49" s="107" t="s">
        <v>34</v>
      </c>
      <c r="AB49" s="107" t="s">
        <v>34</v>
      </c>
      <c r="AC49" s="107" t="s">
        <v>34</v>
      </c>
      <c r="AD49" s="107" t="s">
        <v>34</v>
      </c>
      <c r="AE49" s="106" t="s">
        <v>34</v>
      </c>
      <c r="AF49" s="106" t="s">
        <v>34</v>
      </c>
      <c r="AG49" s="108">
        <f t="shared" si="4"/>
        <v>0</v>
      </c>
      <c r="AH49" s="116"/>
      <c r="AI49" s="116"/>
      <c r="AJ49" s="116"/>
      <c r="AK49" s="99" t="s">
        <v>52</v>
      </c>
    </row>
    <row r="50" spans="1:44">
      <c r="A50" s="101">
        <v>45412</v>
      </c>
      <c r="B50" s="107">
        <v>1600</v>
      </c>
      <c r="C50" s="107"/>
      <c r="D50" s="102">
        <f>(SUM(粮草!A50:X50)+AG50*10)*IF(AK50="是",$AY$4,$AY$3)</f>
        <v>840</v>
      </c>
      <c r="E50" s="102">
        <f>SUM($B$4:B50)+SUM($C$4:C50)-SUM($D$4:D50)</f>
        <v>9456</v>
      </c>
      <c r="F50" s="102">
        <f>SUM(经验!A50:X50)</f>
        <v>300</v>
      </c>
      <c r="G50" s="102">
        <f>SUM($F$4:F50)+SUM($H$4:H50)</f>
        <v>29345</v>
      </c>
      <c r="H50" s="107">
        <v>100</v>
      </c>
      <c r="I50" s="107" t="s">
        <v>34</v>
      </c>
      <c r="J50" s="107" t="s">
        <v>34</v>
      </c>
      <c r="K50" s="107" t="s">
        <v>34</v>
      </c>
      <c r="L50" s="107" t="s">
        <v>34</v>
      </c>
      <c r="M50" s="107" t="s">
        <v>34</v>
      </c>
      <c r="N50" s="107" t="s">
        <v>34</v>
      </c>
      <c r="O50" s="106" t="s">
        <v>34</v>
      </c>
      <c r="P50" s="106" t="s">
        <v>34</v>
      </c>
      <c r="Q50" s="117" t="s">
        <v>48</v>
      </c>
      <c r="R50" s="114" t="s">
        <v>42</v>
      </c>
      <c r="S50" s="114" t="s">
        <v>42</v>
      </c>
      <c r="T50" s="114" t="s">
        <v>42</v>
      </c>
      <c r="U50" s="114" t="s">
        <v>42</v>
      </c>
      <c r="V50" s="114" t="s">
        <v>42</v>
      </c>
      <c r="W50" s="106" t="s">
        <v>34</v>
      </c>
      <c r="X50" s="106" t="s">
        <v>34</v>
      </c>
      <c r="Y50" s="107" t="s">
        <v>34</v>
      </c>
      <c r="Z50" s="107" t="s">
        <v>34</v>
      </c>
      <c r="AA50" s="107" t="s">
        <v>34</v>
      </c>
      <c r="AB50" s="107" t="s">
        <v>34</v>
      </c>
      <c r="AC50" s="107" t="s">
        <v>34</v>
      </c>
      <c r="AD50" s="107" t="s">
        <v>34</v>
      </c>
      <c r="AE50" s="106" t="s">
        <v>34</v>
      </c>
      <c r="AF50" s="106" t="s">
        <v>34</v>
      </c>
      <c r="AG50" s="108">
        <f t="shared" si="4"/>
        <v>0</v>
      </c>
      <c r="AH50" s="116"/>
      <c r="AI50" s="116"/>
      <c r="AJ50" s="116"/>
      <c r="AK50" s="99" t="s">
        <v>52</v>
      </c>
    </row>
    <row r="51" spans="1:44">
      <c r="A51" s="101">
        <v>45413</v>
      </c>
      <c r="B51" s="107">
        <v>1600</v>
      </c>
      <c r="C51" s="107"/>
      <c r="D51" s="102">
        <f>(SUM(粮草!A51:X51)+AG51*10)*IF(AK51="是",$AY$4,$AY$3)</f>
        <v>1664</v>
      </c>
      <c r="E51" s="102">
        <f>SUM($B$4:B51)+SUM($C$4:C51)-SUM($D$4:D51)</f>
        <v>9392</v>
      </c>
      <c r="F51" s="102">
        <f>SUM(经验!A51:X51)</f>
        <v>570</v>
      </c>
      <c r="G51" s="102">
        <f>SUM($F$4:F51)+SUM($H$4:H51)</f>
        <v>30115</v>
      </c>
      <c r="H51" s="107">
        <v>200</v>
      </c>
      <c r="I51" s="107" t="s">
        <v>34</v>
      </c>
      <c r="J51" s="107" t="s">
        <v>34</v>
      </c>
      <c r="K51" s="107" t="s">
        <v>34</v>
      </c>
      <c r="L51" s="107" t="s">
        <v>34</v>
      </c>
      <c r="M51" s="107" t="s">
        <v>34</v>
      </c>
      <c r="N51" s="107" t="s">
        <v>34</v>
      </c>
      <c r="O51" s="106" t="s">
        <v>34</v>
      </c>
      <c r="P51" s="106" t="s">
        <v>34</v>
      </c>
      <c r="Q51" s="114" t="s">
        <v>42</v>
      </c>
      <c r="R51" s="114" t="s">
        <v>42</v>
      </c>
      <c r="S51" s="114" t="s">
        <v>42</v>
      </c>
      <c r="T51" s="114" t="s">
        <v>42</v>
      </c>
      <c r="U51" s="114" t="s">
        <v>42</v>
      </c>
      <c r="V51" s="114" t="s">
        <v>42</v>
      </c>
      <c r="W51" s="106" t="s">
        <v>34</v>
      </c>
      <c r="X51" s="106" t="s">
        <v>34</v>
      </c>
      <c r="Y51" s="113" t="s">
        <v>47</v>
      </c>
      <c r="Z51" s="111" t="s">
        <v>40</v>
      </c>
      <c r="AA51" s="111" t="s">
        <v>40</v>
      </c>
      <c r="AB51" s="111" t="s">
        <v>40</v>
      </c>
      <c r="AC51" s="111" t="s">
        <v>40</v>
      </c>
      <c r="AD51" s="111" t="s">
        <v>40</v>
      </c>
      <c r="AE51" s="106" t="s">
        <v>34</v>
      </c>
      <c r="AF51" s="106" t="s">
        <v>34</v>
      </c>
      <c r="AG51" s="108">
        <f t="shared" si="4"/>
        <v>0</v>
      </c>
      <c r="AH51" s="116"/>
      <c r="AI51" s="116"/>
      <c r="AJ51" s="116"/>
      <c r="AK51" s="99" t="s">
        <v>52</v>
      </c>
      <c r="AQ51" t="s">
        <v>72</v>
      </c>
      <c r="AR51" t="s">
        <v>71</v>
      </c>
    </row>
    <row r="52" spans="1:44">
      <c r="A52" s="101">
        <v>45414</v>
      </c>
      <c r="B52" s="107">
        <v>1600</v>
      </c>
      <c r="C52" s="107"/>
      <c r="D52" s="102">
        <f>(SUM(粮草!A52:X52)+AG52*10)*IF(AK52="是",$AY$4,$AY$3)</f>
        <v>1576</v>
      </c>
      <c r="E52" s="102">
        <f>SUM($B$4:B52)+SUM($C$4:C52)-SUM($D$4:D52)</f>
        <v>9416</v>
      </c>
      <c r="F52" s="102">
        <f>SUM(经验!A52:X52)</f>
        <v>550</v>
      </c>
      <c r="G52" s="102">
        <f>SUM($F$4:F52)+SUM($H$4:H52)</f>
        <v>30665</v>
      </c>
      <c r="H52" s="107">
        <v>0</v>
      </c>
      <c r="I52" s="107" t="s">
        <v>34</v>
      </c>
      <c r="J52" s="107" t="s">
        <v>34</v>
      </c>
      <c r="K52" s="107" t="s">
        <v>34</v>
      </c>
      <c r="L52" s="107" t="s">
        <v>34</v>
      </c>
      <c r="M52" s="107" t="s">
        <v>34</v>
      </c>
      <c r="N52" s="107" t="s">
        <v>34</v>
      </c>
      <c r="O52" s="106" t="s">
        <v>34</v>
      </c>
      <c r="P52" s="106" t="s">
        <v>34</v>
      </c>
      <c r="Q52" s="114" t="s">
        <v>42</v>
      </c>
      <c r="R52" s="105" t="s">
        <v>39</v>
      </c>
      <c r="S52" s="114" t="s">
        <v>42</v>
      </c>
      <c r="T52" s="114" t="s">
        <v>42</v>
      </c>
      <c r="U52" s="114" t="s">
        <v>42</v>
      </c>
      <c r="V52" s="114" t="s">
        <v>42</v>
      </c>
      <c r="W52" s="106" t="s">
        <v>34</v>
      </c>
      <c r="X52" s="106" t="s">
        <v>34</v>
      </c>
      <c r="Y52" s="111" t="s">
        <v>40</v>
      </c>
      <c r="Z52" s="111" t="s">
        <v>40</v>
      </c>
      <c r="AA52" s="111" t="s">
        <v>40</v>
      </c>
      <c r="AB52" s="111" t="s">
        <v>40</v>
      </c>
      <c r="AC52" s="111" t="s">
        <v>40</v>
      </c>
      <c r="AD52" s="111" t="s">
        <v>40</v>
      </c>
      <c r="AE52" s="106" t="s">
        <v>34</v>
      </c>
      <c r="AF52" s="106" t="s">
        <v>34</v>
      </c>
      <c r="AG52" s="108">
        <f t="shared" si="4"/>
        <v>0</v>
      </c>
      <c r="AH52" s="116"/>
      <c r="AI52" s="116"/>
      <c r="AJ52" s="116"/>
      <c r="AK52" s="99" t="s">
        <v>52</v>
      </c>
      <c r="AQ52">
        <v>26080</v>
      </c>
      <c r="AR52">
        <v>26065</v>
      </c>
    </row>
    <row r="53" spans="1:44">
      <c r="A53" s="101">
        <v>45415</v>
      </c>
      <c r="B53" s="107">
        <v>1600</v>
      </c>
      <c r="C53" s="107"/>
      <c r="D53" s="102">
        <f>(SUM(粮草!A53:X53)+AG53*10)*IF(AK53="是",$AY$4,$AY$3)</f>
        <v>1680</v>
      </c>
      <c r="E53" s="102">
        <f>SUM($B$4:B53)+SUM($C$4:C53)-SUM($D$4:D53)</f>
        <v>9336</v>
      </c>
      <c r="F53" s="102">
        <f>SUM(经验!A53:X53)</f>
        <v>615</v>
      </c>
      <c r="G53" s="102">
        <f>SUM($F$4:F53)+SUM($H$4:H53)</f>
        <v>31280</v>
      </c>
      <c r="H53" s="107">
        <v>0</v>
      </c>
      <c r="I53" s="107" t="s">
        <v>34</v>
      </c>
      <c r="J53" s="107" t="s">
        <v>34</v>
      </c>
      <c r="K53" s="107" t="s">
        <v>34</v>
      </c>
      <c r="L53" s="107" t="s">
        <v>34</v>
      </c>
      <c r="M53" s="107" t="s">
        <v>34</v>
      </c>
      <c r="N53" s="107" t="s">
        <v>34</v>
      </c>
      <c r="O53" s="106" t="s">
        <v>34</v>
      </c>
      <c r="P53" s="106" t="s">
        <v>34</v>
      </c>
      <c r="Q53" s="114" t="s">
        <v>42</v>
      </c>
      <c r="R53" s="114" t="s">
        <v>42</v>
      </c>
      <c r="S53" s="114" t="s">
        <v>42</v>
      </c>
      <c r="T53" s="114" t="s">
        <v>42</v>
      </c>
      <c r="U53" s="114" t="s">
        <v>42</v>
      </c>
      <c r="V53" s="114" t="s">
        <v>42</v>
      </c>
      <c r="W53" s="106" t="s">
        <v>34</v>
      </c>
      <c r="X53" s="106" t="s">
        <v>34</v>
      </c>
      <c r="Y53" s="111" t="s">
        <v>40</v>
      </c>
      <c r="Z53" s="105" t="s">
        <v>39</v>
      </c>
      <c r="AA53" s="118" t="s">
        <v>44</v>
      </c>
      <c r="AB53" s="118" t="s">
        <v>44</v>
      </c>
      <c r="AC53" s="118" t="s">
        <v>44</v>
      </c>
      <c r="AD53" s="118" t="s">
        <v>44</v>
      </c>
      <c r="AE53" s="106" t="s">
        <v>34</v>
      </c>
      <c r="AF53" s="106" t="s">
        <v>34</v>
      </c>
      <c r="AG53" s="108">
        <f t="shared" si="4"/>
        <v>0</v>
      </c>
      <c r="AH53" s="116"/>
      <c r="AI53" s="116"/>
      <c r="AJ53" s="116"/>
      <c r="AK53" s="99" t="s">
        <v>52</v>
      </c>
      <c r="AQ53">
        <v>26595</v>
      </c>
      <c r="AR53">
        <v>26740</v>
      </c>
    </row>
    <row r="54" spans="1:44">
      <c r="A54" s="101">
        <v>45416</v>
      </c>
      <c r="B54" s="107">
        <v>1600</v>
      </c>
      <c r="C54" s="107"/>
      <c r="D54" s="102">
        <f>(SUM(粮草!A54:X54)+AG54*10)*IF(AK54="是",$AY$4,$AY$3)</f>
        <v>1824</v>
      </c>
      <c r="E54" s="102">
        <f>SUM($B$4:B54)+SUM($C$4:C54)-SUM($D$4:D54)</f>
        <v>9112</v>
      </c>
      <c r="F54" s="102">
        <f>SUM(经验!A54:X54)</f>
        <v>660</v>
      </c>
      <c r="G54" s="102">
        <f>SUM($F$4:F54)+SUM($H$4:H54)</f>
        <v>31940</v>
      </c>
      <c r="H54" s="107">
        <v>0</v>
      </c>
      <c r="I54" s="107" t="s">
        <v>34</v>
      </c>
      <c r="J54" s="107" t="s">
        <v>34</v>
      </c>
      <c r="K54" s="107" t="s">
        <v>34</v>
      </c>
      <c r="L54" s="107" t="s">
        <v>34</v>
      </c>
      <c r="M54" s="107" t="s">
        <v>34</v>
      </c>
      <c r="N54" s="107" t="s">
        <v>34</v>
      </c>
      <c r="O54" s="106" t="s">
        <v>34</v>
      </c>
      <c r="P54" s="106" t="s">
        <v>34</v>
      </c>
      <c r="Q54" s="114" t="s">
        <v>42</v>
      </c>
      <c r="R54" s="114" t="s">
        <v>42</v>
      </c>
      <c r="S54" s="114" t="s">
        <v>42</v>
      </c>
      <c r="T54" s="114" t="s">
        <v>42</v>
      </c>
      <c r="U54" s="114" t="s">
        <v>42</v>
      </c>
      <c r="V54" s="114" t="s">
        <v>42</v>
      </c>
      <c r="W54" s="106" t="s">
        <v>34</v>
      </c>
      <c r="X54" s="106" t="s">
        <v>34</v>
      </c>
      <c r="Y54" s="118" t="s">
        <v>44</v>
      </c>
      <c r="Z54" s="118" t="s">
        <v>44</v>
      </c>
      <c r="AA54" s="118" t="s">
        <v>44</v>
      </c>
      <c r="AB54" s="118" t="s">
        <v>44</v>
      </c>
      <c r="AC54" s="118" t="s">
        <v>44</v>
      </c>
      <c r="AD54" s="118" t="s">
        <v>44</v>
      </c>
      <c r="AE54" s="106" t="s">
        <v>34</v>
      </c>
      <c r="AF54" s="106" t="s">
        <v>34</v>
      </c>
      <c r="AG54" s="108">
        <f t="shared" si="4"/>
        <v>0</v>
      </c>
      <c r="AH54" s="116"/>
      <c r="AI54" s="116"/>
      <c r="AJ54" s="116"/>
      <c r="AK54" s="99" t="s">
        <v>52</v>
      </c>
      <c r="AQ54">
        <v>27305</v>
      </c>
    </row>
    <row r="55" spans="1:44">
      <c r="A55" s="101">
        <v>45417</v>
      </c>
      <c r="B55" s="107">
        <v>1600</v>
      </c>
      <c r="C55" s="107"/>
      <c r="D55" s="102">
        <f>(SUM(粮草!A55:X55)+AG55*10)*IF(AK55="是",$AY$4,$AY$3)</f>
        <v>1824</v>
      </c>
      <c r="E55" s="102">
        <f>SUM($B$4:B55)+SUM($C$4:C55)-SUM($D$4:D55)</f>
        <v>8888</v>
      </c>
      <c r="F55" s="102">
        <f>SUM(经验!A55:X55)</f>
        <v>660</v>
      </c>
      <c r="G55" s="102">
        <f>SUM($F$4:F55)+SUM($H$4:H55)</f>
        <v>32600</v>
      </c>
      <c r="H55" s="107">
        <v>0</v>
      </c>
      <c r="I55" s="107" t="s">
        <v>34</v>
      </c>
      <c r="J55" s="107" t="s">
        <v>34</v>
      </c>
      <c r="K55" s="107" t="s">
        <v>34</v>
      </c>
      <c r="L55" s="107" t="s">
        <v>34</v>
      </c>
      <c r="M55" s="107" t="s">
        <v>34</v>
      </c>
      <c r="N55" s="107" t="s">
        <v>34</v>
      </c>
      <c r="O55" s="106" t="s">
        <v>34</v>
      </c>
      <c r="P55" s="106" t="s">
        <v>34</v>
      </c>
      <c r="Q55" s="114" t="s">
        <v>42</v>
      </c>
      <c r="R55" s="114" t="s">
        <v>42</v>
      </c>
      <c r="S55" s="114" t="s">
        <v>42</v>
      </c>
      <c r="T55" s="114" t="s">
        <v>42</v>
      </c>
      <c r="U55" s="114" t="s">
        <v>42</v>
      </c>
      <c r="V55" s="114" t="s">
        <v>42</v>
      </c>
      <c r="W55" s="106" t="s">
        <v>34</v>
      </c>
      <c r="X55" s="106" t="s">
        <v>34</v>
      </c>
      <c r="Y55" s="118" t="s">
        <v>44</v>
      </c>
      <c r="Z55" s="118" t="s">
        <v>44</v>
      </c>
      <c r="AA55" s="118" t="s">
        <v>44</v>
      </c>
      <c r="AB55" s="118" t="s">
        <v>44</v>
      </c>
      <c r="AC55" s="118" t="s">
        <v>44</v>
      </c>
      <c r="AD55" s="118" t="s">
        <v>44</v>
      </c>
      <c r="AE55" s="106" t="s">
        <v>34</v>
      </c>
      <c r="AF55" s="106" t="s">
        <v>34</v>
      </c>
      <c r="AG55" s="108">
        <f t="shared" si="4"/>
        <v>0</v>
      </c>
      <c r="AH55" s="116"/>
      <c r="AI55" s="116"/>
      <c r="AJ55" s="116"/>
      <c r="AK55" s="99" t="s">
        <v>52</v>
      </c>
    </row>
    <row r="56" spans="1:44">
      <c r="A56" s="101">
        <v>45418</v>
      </c>
      <c r="B56" s="102">
        <v>1600</v>
      </c>
      <c r="C56" s="103"/>
      <c r="D56" s="102">
        <f>(SUM(粮草!A56:X56)+AG56*10)*IF(AK56="是",$AY$4,$AY$3)</f>
        <v>1424</v>
      </c>
      <c r="E56" s="102">
        <f>SUM($B$4:B56)+SUM($C$4:C56)-SUM($D$4:D56)</f>
        <v>9064</v>
      </c>
      <c r="F56" s="102">
        <f>SUM(经验!A56:X56)</f>
        <v>580</v>
      </c>
      <c r="G56" s="102">
        <f>SUM($F$4:F56)+SUM($H$4:H56)</f>
        <v>33480</v>
      </c>
      <c r="H56" s="102">
        <v>300</v>
      </c>
      <c r="I56" s="107" t="s">
        <v>34</v>
      </c>
      <c r="J56" s="107" t="s">
        <v>34</v>
      </c>
      <c r="K56" s="107" t="s">
        <v>34</v>
      </c>
      <c r="L56" s="107" t="s">
        <v>34</v>
      </c>
      <c r="M56" s="107" t="s">
        <v>34</v>
      </c>
      <c r="N56" s="107" t="s">
        <v>34</v>
      </c>
      <c r="O56" s="106" t="s">
        <v>34</v>
      </c>
      <c r="P56" s="106" t="s">
        <v>34</v>
      </c>
      <c r="Q56" s="114" t="s">
        <v>42</v>
      </c>
      <c r="R56" s="114" t="s">
        <v>42</v>
      </c>
      <c r="S56" s="114" t="s">
        <v>42</v>
      </c>
      <c r="T56" s="105" t="s">
        <v>39</v>
      </c>
      <c r="U56" s="114" t="s">
        <v>42</v>
      </c>
      <c r="V56" s="114" t="s">
        <v>42</v>
      </c>
      <c r="W56" s="106" t="s">
        <v>34</v>
      </c>
      <c r="X56" s="106" t="s">
        <v>34</v>
      </c>
      <c r="Y56" s="110" t="s">
        <v>57</v>
      </c>
      <c r="Z56" s="118" t="s">
        <v>44</v>
      </c>
      <c r="AA56" s="118" t="s">
        <v>44</v>
      </c>
      <c r="AB56" s="118" t="s">
        <v>44</v>
      </c>
      <c r="AC56" s="118" t="s">
        <v>44</v>
      </c>
      <c r="AD56" s="118" t="s">
        <v>44</v>
      </c>
      <c r="AE56" s="106" t="s">
        <v>34</v>
      </c>
      <c r="AF56" s="106" t="s">
        <v>34</v>
      </c>
      <c r="AG56" s="108">
        <f t="shared" si="4"/>
        <v>3</v>
      </c>
      <c r="AH56" s="116"/>
      <c r="AI56" s="116"/>
      <c r="AJ56" s="116">
        <v>3</v>
      </c>
      <c r="AK56" s="99" t="s">
        <v>52</v>
      </c>
    </row>
    <row r="57" spans="1:44">
      <c r="A57" s="101">
        <v>45419</v>
      </c>
      <c r="B57" s="102">
        <v>1600</v>
      </c>
      <c r="C57" s="103"/>
      <c r="D57" s="102">
        <f>(SUM(粮草!A57:X57)+AG57*10)*IF(AK57="是",$AY$4,$AY$3)</f>
        <v>1784</v>
      </c>
      <c r="E57" s="102">
        <f>SUM($B$4:B57)+SUM($C$4:C57)-SUM($D$4:D57)</f>
        <v>8880</v>
      </c>
      <c r="F57" s="102">
        <f>SUM(经验!A57:X57)</f>
        <v>660</v>
      </c>
      <c r="G57" s="102">
        <f>SUM($F$4:F57)+SUM($H$4:H57)</f>
        <v>34140</v>
      </c>
      <c r="H57" s="102">
        <v>0</v>
      </c>
      <c r="I57" s="107" t="s">
        <v>34</v>
      </c>
      <c r="J57" s="107" t="s">
        <v>34</v>
      </c>
      <c r="K57" s="107" t="s">
        <v>34</v>
      </c>
      <c r="L57" s="107" t="s">
        <v>34</v>
      </c>
      <c r="M57" s="107" t="s">
        <v>34</v>
      </c>
      <c r="N57" s="107" t="s">
        <v>34</v>
      </c>
      <c r="O57" s="106" t="s">
        <v>34</v>
      </c>
      <c r="P57" s="106" t="s">
        <v>34</v>
      </c>
      <c r="Q57" s="114" t="s">
        <v>42</v>
      </c>
      <c r="R57" s="114" t="s">
        <v>42</v>
      </c>
      <c r="S57" s="114" t="s">
        <v>42</v>
      </c>
      <c r="T57" s="114" t="s">
        <v>42</v>
      </c>
      <c r="U57" s="114" t="s">
        <v>42</v>
      </c>
      <c r="V57" s="114" t="s">
        <v>42</v>
      </c>
      <c r="W57" s="106" t="s">
        <v>34</v>
      </c>
      <c r="X57" s="106" t="s">
        <v>34</v>
      </c>
      <c r="Y57" s="120" t="s">
        <v>50</v>
      </c>
      <c r="Z57" s="118" t="s">
        <v>44</v>
      </c>
      <c r="AA57" s="118" t="s">
        <v>44</v>
      </c>
      <c r="AB57" s="118" t="s">
        <v>44</v>
      </c>
      <c r="AC57" s="118" t="s">
        <v>44</v>
      </c>
      <c r="AD57" s="118" t="s">
        <v>44</v>
      </c>
      <c r="AE57" s="106" t="s">
        <v>34</v>
      </c>
      <c r="AF57" s="106" t="s">
        <v>34</v>
      </c>
      <c r="AG57" s="108">
        <f t="shared" si="4"/>
        <v>0</v>
      </c>
      <c r="AH57" s="116"/>
      <c r="AI57" s="116"/>
      <c r="AJ57" s="116"/>
      <c r="AK57" s="99" t="s">
        <v>52</v>
      </c>
    </row>
    <row r="58" spans="1:44">
      <c r="A58" s="101">
        <v>45420</v>
      </c>
      <c r="B58" s="102">
        <v>1600</v>
      </c>
      <c r="C58" s="103"/>
      <c r="D58" s="102">
        <f>(SUM(粮草!A58:X58)+AG58*10)*IF(AK58="是",$AY$4,$AY$3)</f>
        <v>1824</v>
      </c>
      <c r="E58" s="102">
        <f>SUM($B$4:B58)+SUM($C$4:C58)-SUM($D$4:D58)</f>
        <v>8656</v>
      </c>
      <c r="F58" s="102">
        <f>SUM(经验!A58:X58)</f>
        <v>660</v>
      </c>
      <c r="G58" s="102">
        <f>SUM($F$4:F58)+SUM($H$4:H58)</f>
        <v>35000</v>
      </c>
      <c r="H58" s="102">
        <v>200</v>
      </c>
      <c r="I58" s="107" t="s">
        <v>34</v>
      </c>
      <c r="J58" s="107" t="s">
        <v>34</v>
      </c>
      <c r="K58" s="107" t="s">
        <v>34</v>
      </c>
      <c r="L58" s="107" t="s">
        <v>34</v>
      </c>
      <c r="M58" s="107" t="s">
        <v>34</v>
      </c>
      <c r="N58" s="107" t="s">
        <v>34</v>
      </c>
      <c r="O58" s="106" t="s">
        <v>34</v>
      </c>
      <c r="P58" s="106" t="s">
        <v>34</v>
      </c>
      <c r="Q58" s="114" t="s">
        <v>42</v>
      </c>
      <c r="R58" s="114" t="s">
        <v>42</v>
      </c>
      <c r="S58" s="114" t="s">
        <v>42</v>
      </c>
      <c r="T58" s="114" t="s">
        <v>42</v>
      </c>
      <c r="U58" s="114" t="s">
        <v>42</v>
      </c>
      <c r="V58" s="114" t="s">
        <v>42</v>
      </c>
      <c r="W58" s="106" t="s">
        <v>34</v>
      </c>
      <c r="X58" s="106" t="s">
        <v>34</v>
      </c>
      <c r="Y58" s="118" t="s">
        <v>44</v>
      </c>
      <c r="Z58" s="118" t="s">
        <v>44</v>
      </c>
      <c r="AA58" s="118" t="s">
        <v>44</v>
      </c>
      <c r="AB58" s="118" t="s">
        <v>44</v>
      </c>
      <c r="AC58" s="118" t="s">
        <v>44</v>
      </c>
      <c r="AD58" s="118" t="s">
        <v>44</v>
      </c>
      <c r="AE58" s="106" t="s">
        <v>34</v>
      </c>
      <c r="AF58" s="106" t="s">
        <v>34</v>
      </c>
      <c r="AG58" s="108">
        <f t="shared" si="4"/>
        <v>0</v>
      </c>
      <c r="AH58" s="116"/>
      <c r="AI58" s="116"/>
      <c r="AJ58" s="116"/>
      <c r="AK58" s="99" t="s">
        <v>52</v>
      </c>
    </row>
    <row r="59" spans="1:44">
      <c r="A59" s="101">
        <v>45421</v>
      </c>
      <c r="B59" s="102">
        <v>1600</v>
      </c>
      <c r="C59" s="103"/>
      <c r="D59" s="102">
        <f>(SUM(粮草!A59:X59)+AG59*10)*IF(AK59="是",$AY$4,$AY$3)</f>
        <v>1824</v>
      </c>
      <c r="E59" s="102">
        <f>SUM($B$4:B59)+SUM($C$4:C59)-SUM($D$4:D59)</f>
        <v>8432</v>
      </c>
      <c r="F59" s="102">
        <f>SUM(经验!A59:X59)</f>
        <v>660</v>
      </c>
      <c r="G59" s="102">
        <f>SUM($F$4:F59)+SUM($H$4:H59)</f>
        <v>35660</v>
      </c>
      <c r="H59" s="102">
        <v>0</v>
      </c>
      <c r="I59" s="107" t="s">
        <v>34</v>
      </c>
      <c r="J59" s="107" t="s">
        <v>34</v>
      </c>
      <c r="K59" s="107" t="s">
        <v>34</v>
      </c>
      <c r="L59" s="107" t="s">
        <v>34</v>
      </c>
      <c r="M59" s="107" t="s">
        <v>34</v>
      </c>
      <c r="N59" s="107" t="s">
        <v>34</v>
      </c>
      <c r="O59" s="106" t="s">
        <v>34</v>
      </c>
      <c r="P59" s="106" t="s">
        <v>34</v>
      </c>
      <c r="Q59" s="114" t="s">
        <v>42</v>
      </c>
      <c r="R59" s="114" t="s">
        <v>42</v>
      </c>
      <c r="S59" s="114" t="s">
        <v>42</v>
      </c>
      <c r="T59" s="114" t="s">
        <v>42</v>
      </c>
      <c r="U59" s="114" t="s">
        <v>42</v>
      </c>
      <c r="V59" s="114" t="s">
        <v>42</v>
      </c>
      <c r="W59" s="106" t="s">
        <v>34</v>
      </c>
      <c r="X59" s="106" t="s">
        <v>34</v>
      </c>
      <c r="Y59" s="118" t="s">
        <v>44</v>
      </c>
      <c r="Z59" s="118" t="s">
        <v>44</v>
      </c>
      <c r="AA59" s="118" t="s">
        <v>44</v>
      </c>
      <c r="AB59" s="118" t="s">
        <v>44</v>
      </c>
      <c r="AC59" s="118" t="s">
        <v>44</v>
      </c>
      <c r="AD59" s="118" t="s">
        <v>44</v>
      </c>
      <c r="AE59" s="106" t="s">
        <v>34</v>
      </c>
      <c r="AF59" s="106" t="s">
        <v>34</v>
      </c>
      <c r="AG59" s="108">
        <f t="shared" si="4"/>
        <v>0</v>
      </c>
      <c r="AH59" s="116"/>
      <c r="AI59" s="116"/>
      <c r="AJ59" s="116"/>
      <c r="AK59" s="99" t="s">
        <v>52</v>
      </c>
    </row>
    <row r="60" spans="1:44">
      <c r="A60" s="101">
        <v>45422</v>
      </c>
      <c r="B60" s="102">
        <v>1600</v>
      </c>
      <c r="C60" s="103"/>
      <c r="D60" s="102">
        <f>(SUM(粮草!A60:X60)+AG60*10)*IF(AK60="是",$AY$4,$AY$3)</f>
        <v>1736</v>
      </c>
      <c r="E60" s="102">
        <f>SUM($B$4:B60)+SUM($C$4:C60)-SUM($D$4:D60)</f>
        <v>8296</v>
      </c>
      <c r="F60" s="102">
        <f>SUM(经验!A60:X60)</f>
        <v>605</v>
      </c>
      <c r="G60" s="102">
        <f>SUM($F$4:F60)+SUM($H$4:H60)</f>
        <v>36265</v>
      </c>
      <c r="H60" s="102">
        <v>0</v>
      </c>
      <c r="I60" s="107" t="s">
        <v>34</v>
      </c>
      <c r="J60" s="107" t="s">
        <v>34</v>
      </c>
      <c r="K60" s="107" t="s">
        <v>34</v>
      </c>
      <c r="L60" s="107" t="s">
        <v>34</v>
      </c>
      <c r="M60" s="107" t="s">
        <v>34</v>
      </c>
      <c r="N60" s="107" t="s">
        <v>34</v>
      </c>
      <c r="O60" s="106" t="s">
        <v>34</v>
      </c>
      <c r="P60" s="106" t="s">
        <v>34</v>
      </c>
      <c r="Q60" s="114" t="s">
        <v>42</v>
      </c>
      <c r="R60" s="114" t="s">
        <v>42</v>
      </c>
      <c r="S60" s="114" t="s">
        <v>42</v>
      </c>
      <c r="T60" s="114" t="s">
        <v>42</v>
      </c>
      <c r="U60" s="114" t="s">
        <v>42</v>
      </c>
      <c r="V60" s="114" t="s">
        <v>42</v>
      </c>
      <c r="W60" s="106" t="s">
        <v>34</v>
      </c>
      <c r="X60" s="106" t="s">
        <v>34</v>
      </c>
      <c r="Y60" s="118" t="s">
        <v>44</v>
      </c>
      <c r="Z60" s="118" t="s">
        <v>44</v>
      </c>
      <c r="AA60" s="118" t="s">
        <v>44</v>
      </c>
      <c r="AB60" s="104" t="s">
        <v>33</v>
      </c>
      <c r="AC60" s="111" t="s">
        <v>40</v>
      </c>
      <c r="AD60" s="111" t="s">
        <v>40</v>
      </c>
      <c r="AE60" s="106" t="s">
        <v>34</v>
      </c>
      <c r="AF60" s="106" t="s">
        <v>34</v>
      </c>
      <c r="AG60" s="108">
        <f t="shared" si="4"/>
        <v>0</v>
      </c>
      <c r="AH60" s="116"/>
      <c r="AI60" s="116"/>
      <c r="AJ60" s="116"/>
      <c r="AK60" s="99" t="s">
        <v>52</v>
      </c>
    </row>
    <row r="61" spans="1:44">
      <c r="A61" s="101">
        <v>45423</v>
      </c>
      <c r="B61" s="102">
        <v>1600</v>
      </c>
      <c r="C61" s="103"/>
      <c r="D61" s="102">
        <f>(SUM(粮草!A61:X61)+AG61*10)*IF(AK61="是",$AY$4,$AY$3)</f>
        <v>1752</v>
      </c>
      <c r="E61" s="102">
        <f>SUM($B$4:B61)+SUM($C$4:C61)-SUM($D$4:D61)</f>
        <v>8144</v>
      </c>
      <c r="F61" s="102">
        <f>SUM(经验!A61:X61)</f>
        <v>625</v>
      </c>
      <c r="G61" s="102">
        <f>SUM($F$4:F61)+SUM($H$4:H61)</f>
        <v>36890</v>
      </c>
      <c r="H61" s="102">
        <v>0</v>
      </c>
      <c r="I61" s="107" t="s">
        <v>34</v>
      </c>
      <c r="J61" s="107" t="s">
        <v>34</v>
      </c>
      <c r="K61" s="107" t="s">
        <v>34</v>
      </c>
      <c r="L61" s="107" t="s">
        <v>34</v>
      </c>
      <c r="M61" s="107" t="s">
        <v>34</v>
      </c>
      <c r="N61" s="107" t="s">
        <v>34</v>
      </c>
      <c r="O61" s="106" t="s">
        <v>34</v>
      </c>
      <c r="P61" s="106" t="s">
        <v>34</v>
      </c>
      <c r="Q61" s="114" t="s">
        <v>42</v>
      </c>
      <c r="R61" s="114" t="s">
        <v>42</v>
      </c>
      <c r="S61" s="114" t="s">
        <v>42</v>
      </c>
      <c r="T61" s="114" t="s">
        <v>42</v>
      </c>
      <c r="U61" s="114" t="s">
        <v>42</v>
      </c>
      <c r="V61" s="111" t="s">
        <v>40</v>
      </c>
      <c r="W61" s="106" t="s">
        <v>34</v>
      </c>
      <c r="X61" s="106" t="s">
        <v>34</v>
      </c>
      <c r="Y61" s="111" t="s">
        <v>40</v>
      </c>
      <c r="Z61" s="113" t="s">
        <v>47</v>
      </c>
      <c r="AA61" s="118" t="s">
        <v>44</v>
      </c>
      <c r="AB61" s="118" t="s">
        <v>44</v>
      </c>
      <c r="AC61" s="118" t="s">
        <v>44</v>
      </c>
      <c r="AD61" s="118" t="s">
        <v>44</v>
      </c>
      <c r="AE61" s="106" t="s">
        <v>34</v>
      </c>
      <c r="AF61" s="106" t="s">
        <v>34</v>
      </c>
      <c r="AG61" s="108">
        <f t="shared" si="4"/>
        <v>0</v>
      </c>
      <c r="AH61" s="116"/>
      <c r="AI61" s="116"/>
      <c r="AJ61" s="116"/>
      <c r="AK61" s="99" t="s">
        <v>52</v>
      </c>
    </row>
    <row r="62" spans="1:44">
      <c r="A62" s="101">
        <v>45424</v>
      </c>
      <c r="B62" s="102">
        <v>1600</v>
      </c>
      <c r="C62" s="103"/>
      <c r="D62" s="102">
        <f>(SUM(粮草!A62:X62)+AG62*10)*IF(AK62="是",$AY$4,$AY$3)</f>
        <v>1776</v>
      </c>
      <c r="E62" s="102">
        <f>SUM($B$4:B62)+SUM($C$4:C62)-SUM($D$4:D62)</f>
        <v>7968</v>
      </c>
      <c r="F62" s="102">
        <f>SUM(经验!A62:X62)</f>
        <v>630</v>
      </c>
      <c r="G62" s="102">
        <f>SUM($F$4:F62)+SUM($H$4:H62)</f>
        <v>37520</v>
      </c>
      <c r="H62" s="102">
        <v>0</v>
      </c>
      <c r="I62" s="107" t="s">
        <v>34</v>
      </c>
      <c r="J62" s="107" t="s">
        <v>34</v>
      </c>
      <c r="K62" s="107" t="s">
        <v>34</v>
      </c>
      <c r="L62" s="107" t="s">
        <v>34</v>
      </c>
      <c r="M62" s="107" t="s">
        <v>34</v>
      </c>
      <c r="N62" s="107" t="s">
        <v>34</v>
      </c>
      <c r="O62" s="106" t="s">
        <v>34</v>
      </c>
      <c r="P62" s="106" t="s">
        <v>34</v>
      </c>
      <c r="Q62" s="111" t="s">
        <v>40</v>
      </c>
      <c r="R62" s="111" t="s">
        <v>40</v>
      </c>
      <c r="S62" s="111" t="s">
        <v>40</v>
      </c>
      <c r="T62" s="111" t="s">
        <v>40</v>
      </c>
      <c r="U62" s="111" t="s">
        <v>40</v>
      </c>
      <c r="V62" s="111" t="s">
        <v>40</v>
      </c>
      <c r="W62" s="106" t="s">
        <v>34</v>
      </c>
      <c r="X62" s="106" t="s">
        <v>34</v>
      </c>
      <c r="Y62" s="118" t="s">
        <v>44</v>
      </c>
      <c r="Z62" s="118" t="s">
        <v>44</v>
      </c>
      <c r="AA62" s="118" t="s">
        <v>44</v>
      </c>
      <c r="AB62" s="118" t="s">
        <v>44</v>
      </c>
      <c r="AC62" s="118" t="s">
        <v>44</v>
      </c>
      <c r="AD62" s="118" t="s">
        <v>44</v>
      </c>
      <c r="AE62" s="106" t="s">
        <v>34</v>
      </c>
      <c r="AF62" s="106" t="s">
        <v>34</v>
      </c>
      <c r="AG62" s="108">
        <f t="shared" si="4"/>
        <v>0</v>
      </c>
      <c r="AH62" s="116"/>
      <c r="AI62" s="116"/>
      <c r="AJ62" s="116"/>
      <c r="AK62" s="99" t="s">
        <v>52</v>
      </c>
    </row>
    <row r="63" spans="1:44">
      <c r="A63" s="101">
        <v>45425</v>
      </c>
      <c r="B63" s="107">
        <v>1600</v>
      </c>
      <c r="C63" s="107"/>
      <c r="D63" s="102">
        <f>(SUM(粮草!A63:X63)+AG63*10)*IF(AK63="是",$AY$4,$AY$3)</f>
        <v>1976</v>
      </c>
      <c r="E63" s="102">
        <f>SUM($B$4:B63)+SUM($C$4:C63)-SUM($D$4:D63)</f>
        <v>7592</v>
      </c>
      <c r="F63" s="102">
        <f>SUM(经验!A63:X63)</f>
        <v>1130</v>
      </c>
      <c r="G63" s="102">
        <f>SUM($F$4:F63)+SUM($H$4:H63)</f>
        <v>38950</v>
      </c>
      <c r="H63" s="107">
        <v>300</v>
      </c>
      <c r="I63" s="107" t="s">
        <v>34</v>
      </c>
      <c r="J63" s="107" t="s">
        <v>34</v>
      </c>
      <c r="K63" s="107" t="s">
        <v>34</v>
      </c>
      <c r="L63" s="107" t="s">
        <v>34</v>
      </c>
      <c r="M63" s="107" t="s">
        <v>34</v>
      </c>
      <c r="N63" s="107" t="s">
        <v>34</v>
      </c>
      <c r="O63" s="106" t="s">
        <v>34</v>
      </c>
      <c r="P63" s="106" t="s">
        <v>34</v>
      </c>
      <c r="Q63" s="111" t="s">
        <v>40</v>
      </c>
      <c r="R63" s="111" t="s">
        <v>40</v>
      </c>
      <c r="S63" s="111" t="s">
        <v>40</v>
      </c>
      <c r="T63" s="111" t="s">
        <v>40</v>
      </c>
      <c r="U63" s="111" t="s">
        <v>40</v>
      </c>
      <c r="V63" s="111" t="s">
        <v>40</v>
      </c>
      <c r="W63" s="121" t="s">
        <v>54</v>
      </c>
      <c r="X63" s="106" t="s">
        <v>34</v>
      </c>
      <c r="Y63" s="118" t="s">
        <v>44</v>
      </c>
      <c r="Z63" s="118" t="s">
        <v>44</v>
      </c>
      <c r="AA63" s="118" t="s">
        <v>44</v>
      </c>
      <c r="AB63" s="118" t="s">
        <v>44</v>
      </c>
      <c r="AC63" s="118" t="s">
        <v>44</v>
      </c>
      <c r="AD63" s="118" t="s">
        <v>44</v>
      </c>
      <c r="AE63" s="106" t="s">
        <v>34</v>
      </c>
      <c r="AF63" s="106" t="s">
        <v>34</v>
      </c>
      <c r="AG63" s="108">
        <f t="shared" si="4"/>
        <v>0</v>
      </c>
      <c r="AH63" s="116"/>
      <c r="AI63" s="116"/>
      <c r="AJ63" s="116"/>
      <c r="AK63" s="99" t="s">
        <v>52</v>
      </c>
    </row>
    <row r="64" spans="1:44">
      <c r="A64" s="101">
        <v>45426</v>
      </c>
      <c r="B64" s="107">
        <v>1600</v>
      </c>
      <c r="C64" s="107"/>
      <c r="D64" s="102">
        <f>(SUM(粮草!A64:X64)+AG64*10)*IF(AK64="是",$AY$4,$AY$3)</f>
        <v>1872</v>
      </c>
      <c r="E64" s="102">
        <f>SUM($B$4:B64)+SUM($C$4:C64)-SUM($D$4:D64)</f>
        <v>7320</v>
      </c>
      <c r="F64" s="102">
        <f>SUM(经验!A64:X64)</f>
        <v>690</v>
      </c>
      <c r="G64" s="102">
        <f>SUM($F$4:F64)+SUM($H$4:H64)</f>
        <v>39640</v>
      </c>
      <c r="H64" s="107">
        <v>0</v>
      </c>
      <c r="I64" s="107" t="s">
        <v>34</v>
      </c>
      <c r="J64" s="107" t="s">
        <v>34</v>
      </c>
      <c r="K64" s="107" t="s">
        <v>34</v>
      </c>
      <c r="L64" s="107" t="s">
        <v>34</v>
      </c>
      <c r="M64" s="107" t="s">
        <v>34</v>
      </c>
      <c r="N64" s="107" t="s">
        <v>34</v>
      </c>
      <c r="O64" s="106" t="s">
        <v>34</v>
      </c>
      <c r="P64" s="106" t="s">
        <v>34</v>
      </c>
      <c r="Q64" s="122" t="s">
        <v>43</v>
      </c>
      <c r="R64" s="122" t="s">
        <v>43</v>
      </c>
      <c r="S64" s="122" t="s">
        <v>43</v>
      </c>
      <c r="T64" s="122" t="s">
        <v>43</v>
      </c>
      <c r="U64" s="122" t="s">
        <v>43</v>
      </c>
      <c r="V64" s="122" t="s">
        <v>43</v>
      </c>
      <c r="W64" s="106" t="s">
        <v>34</v>
      </c>
      <c r="X64" s="106" t="s">
        <v>34</v>
      </c>
      <c r="Y64" s="118" t="s">
        <v>44</v>
      </c>
      <c r="Z64" s="118" t="s">
        <v>44</v>
      </c>
      <c r="AA64" s="118" t="s">
        <v>44</v>
      </c>
      <c r="AB64" s="118" t="s">
        <v>44</v>
      </c>
      <c r="AC64" s="118" t="s">
        <v>44</v>
      </c>
      <c r="AD64" s="118" t="s">
        <v>44</v>
      </c>
      <c r="AE64" s="106" t="s">
        <v>34</v>
      </c>
      <c r="AF64" s="106" t="s">
        <v>34</v>
      </c>
      <c r="AG64" s="108">
        <f t="shared" si="4"/>
        <v>0</v>
      </c>
      <c r="AH64" s="116"/>
      <c r="AI64" s="116"/>
      <c r="AJ64" s="116"/>
      <c r="AK64" s="99" t="s">
        <v>52</v>
      </c>
    </row>
    <row r="65" spans="1:37">
      <c r="A65" s="101">
        <v>45427</v>
      </c>
      <c r="B65" s="107">
        <v>1600</v>
      </c>
      <c r="C65" s="107"/>
      <c r="D65" s="102">
        <f>(SUM(粮草!A65:X65)+AG65*10)*IF(AK65="是",$AY$4,$AY$3)</f>
        <v>1920</v>
      </c>
      <c r="E65" s="102">
        <f>SUM($B$4:B65)+SUM($C$4:C65)-SUM($D$4:D65)</f>
        <v>7000</v>
      </c>
      <c r="F65" s="102">
        <f>SUM(经验!A65:X65)</f>
        <v>1630</v>
      </c>
      <c r="G65" s="102">
        <f>SUM($F$4:F65)+SUM($H$4:H65)</f>
        <v>41470</v>
      </c>
      <c r="H65" s="107">
        <v>200</v>
      </c>
      <c r="I65" s="107" t="s">
        <v>34</v>
      </c>
      <c r="J65" s="107" t="s">
        <v>34</v>
      </c>
      <c r="K65" s="107" t="s">
        <v>34</v>
      </c>
      <c r="L65" s="107" t="s">
        <v>34</v>
      </c>
      <c r="M65" s="107" t="s">
        <v>34</v>
      </c>
      <c r="N65" s="107" t="s">
        <v>34</v>
      </c>
      <c r="O65" s="106" t="s">
        <v>34</v>
      </c>
      <c r="P65" s="106" t="s">
        <v>34</v>
      </c>
      <c r="Q65" s="122" t="s">
        <v>43</v>
      </c>
      <c r="R65" s="122" t="s">
        <v>43</v>
      </c>
      <c r="S65" s="122" t="s">
        <v>43</v>
      </c>
      <c r="T65" s="122" t="s">
        <v>43</v>
      </c>
      <c r="U65" s="122" t="s">
        <v>43</v>
      </c>
      <c r="V65" s="122" t="s">
        <v>43</v>
      </c>
      <c r="W65" s="106" t="s">
        <v>34</v>
      </c>
      <c r="X65" s="106" t="s">
        <v>34</v>
      </c>
      <c r="Y65" s="119" t="s">
        <v>53</v>
      </c>
      <c r="Z65" s="118" t="s">
        <v>44</v>
      </c>
      <c r="AA65" s="118" t="s">
        <v>44</v>
      </c>
      <c r="AB65" s="118" t="s">
        <v>44</v>
      </c>
      <c r="AC65" s="118" t="s">
        <v>44</v>
      </c>
      <c r="AD65" s="118" t="s">
        <v>44</v>
      </c>
      <c r="AE65" s="106" t="s">
        <v>34</v>
      </c>
      <c r="AF65" s="106" t="s">
        <v>34</v>
      </c>
      <c r="AG65" s="108">
        <f t="shared" si="4"/>
        <v>1</v>
      </c>
      <c r="AH65" s="116"/>
      <c r="AI65" s="116"/>
      <c r="AJ65" s="116">
        <v>1</v>
      </c>
      <c r="AK65" s="99" t="s">
        <v>52</v>
      </c>
    </row>
    <row r="66" spans="1:37">
      <c r="A66" s="101">
        <v>45428</v>
      </c>
      <c r="B66" s="107">
        <v>1600</v>
      </c>
      <c r="C66" s="107"/>
      <c r="D66" s="102">
        <f>(SUM(粮草!A66:X66)+AG66*10)*IF(AK66="是",$AY$4,$AY$3)</f>
        <v>1712</v>
      </c>
      <c r="E66" s="102">
        <f>SUM($B$4:B66)+SUM($C$4:C66)-SUM($D$4:D66)</f>
        <v>6888</v>
      </c>
      <c r="F66" s="102">
        <f>SUM(经验!A66:X66)</f>
        <v>690</v>
      </c>
      <c r="G66" s="102">
        <f>SUM($F$4:F66)+SUM($H$4:H66)</f>
        <v>42160</v>
      </c>
      <c r="H66" s="107">
        <v>0</v>
      </c>
      <c r="I66" s="107" t="s">
        <v>34</v>
      </c>
      <c r="J66" s="107" t="s">
        <v>34</v>
      </c>
      <c r="K66" s="107" t="s">
        <v>34</v>
      </c>
      <c r="L66" s="107" t="s">
        <v>34</v>
      </c>
      <c r="M66" s="107" t="s">
        <v>34</v>
      </c>
      <c r="N66" s="107" t="s">
        <v>34</v>
      </c>
      <c r="O66" s="106" t="s">
        <v>34</v>
      </c>
      <c r="P66" s="106" t="s">
        <v>34</v>
      </c>
      <c r="Q66" s="122" t="s">
        <v>43</v>
      </c>
      <c r="R66" s="122" t="s">
        <v>43</v>
      </c>
      <c r="S66" s="122" t="s">
        <v>43</v>
      </c>
      <c r="T66" s="122" t="s">
        <v>43</v>
      </c>
      <c r="U66" s="110" t="s">
        <v>57</v>
      </c>
      <c r="V66" s="122" t="s">
        <v>43</v>
      </c>
      <c r="W66" s="122" t="s">
        <v>43</v>
      </c>
      <c r="X66" s="106" t="s">
        <v>34</v>
      </c>
      <c r="Y66" s="118" t="s">
        <v>44</v>
      </c>
      <c r="Z66" s="118" t="s">
        <v>44</v>
      </c>
      <c r="AA66" s="118" t="s">
        <v>44</v>
      </c>
      <c r="AB66" s="118" t="s">
        <v>44</v>
      </c>
      <c r="AC66" s="118" t="s">
        <v>44</v>
      </c>
      <c r="AD66" s="118" t="s">
        <v>44</v>
      </c>
      <c r="AE66" s="106" t="s">
        <v>34</v>
      </c>
      <c r="AF66" s="106" t="s">
        <v>34</v>
      </c>
      <c r="AG66" s="108">
        <f t="shared" si="4"/>
        <v>0</v>
      </c>
      <c r="AH66" s="116"/>
      <c r="AI66" s="116"/>
      <c r="AJ66" s="116"/>
      <c r="AK66" s="99" t="s">
        <v>52</v>
      </c>
    </row>
    <row r="67" spans="1:37">
      <c r="A67" s="101">
        <v>45429</v>
      </c>
      <c r="B67" s="107">
        <v>1600</v>
      </c>
      <c r="C67" s="107"/>
      <c r="D67" s="102">
        <f>(SUM(粮草!A67:X67)+AG67*10)*IF(AK67="是",$AY$4,$AY$3)</f>
        <v>1840</v>
      </c>
      <c r="E67" s="102">
        <f>SUM($B$4:B67)+SUM($C$4:C67)-SUM($D$4:D67)</f>
        <v>6648</v>
      </c>
      <c r="F67" s="102">
        <f>SUM(经验!A67:X67)</f>
        <v>670</v>
      </c>
      <c r="G67" s="102">
        <f>SUM($F$4:F67)+SUM($H$4:H67)</f>
        <v>42830</v>
      </c>
      <c r="H67" s="107">
        <v>0</v>
      </c>
      <c r="I67" s="107" t="s">
        <v>34</v>
      </c>
      <c r="J67" s="107" t="s">
        <v>34</v>
      </c>
      <c r="K67" s="107" t="s">
        <v>34</v>
      </c>
      <c r="L67" s="107" t="s">
        <v>34</v>
      </c>
      <c r="M67" s="107" t="s">
        <v>34</v>
      </c>
      <c r="N67" s="107" t="s">
        <v>34</v>
      </c>
      <c r="O67" s="106" t="s">
        <v>34</v>
      </c>
      <c r="P67" s="106" t="s">
        <v>34</v>
      </c>
      <c r="Q67" s="122" t="s">
        <v>43</v>
      </c>
      <c r="R67" s="122" t="s">
        <v>43</v>
      </c>
      <c r="S67" s="122" t="s">
        <v>43</v>
      </c>
      <c r="T67" s="122" t="s">
        <v>43</v>
      </c>
      <c r="U67" s="122" t="s">
        <v>43</v>
      </c>
      <c r="V67" s="122" t="s">
        <v>43</v>
      </c>
      <c r="W67" s="106" t="s">
        <v>34</v>
      </c>
      <c r="X67" s="106" t="s">
        <v>34</v>
      </c>
      <c r="Y67" s="118" t="s">
        <v>44</v>
      </c>
      <c r="Z67" s="118" t="s">
        <v>44</v>
      </c>
      <c r="AA67" s="118" t="s">
        <v>44</v>
      </c>
      <c r="AB67" s="118" t="s">
        <v>44</v>
      </c>
      <c r="AC67" s="114" t="s">
        <v>42</v>
      </c>
      <c r="AD67" s="114" t="s">
        <v>42</v>
      </c>
      <c r="AE67" s="106" t="s">
        <v>34</v>
      </c>
      <c r="AF67" s="106" t="s">
        <v>34</v>
      </c>
      <c r="AG67" s="108">
        <f t="shared" si="4"/>
        <v>0</v>
      </c>
      <c r="AH67" s="116"/>
      <c r="AI67" s="116"/>
      <c r="AJ67" s="116"/>
      <c r="AK67" s="99" t="s">
        <v>52</v>
      </c>
    </row>
    <row r="68" spans="1:37">
      <c r="A68" s="101">
        <v>45430</v>
      </c>
      <c r="B68" s="107">
        <v>1600</v>
      </c>
      <c r="C68" s="107"/>
      <c r="D68" s="102">
        <f>(SUM(粮草!A68:X68)+AG68*10)*IF(AK68="是",$AY$4,$AY$3)</f>
        <v>1464</v>
      </c>
      <c r="E68" s="102">
        <f>SUM($B$4:B68)+SUM($C$4:C68)-SUM($D$4:D68)</f>
        <v>6784</v>
      </c>
      <c r="F68" s="102">
        <f>SUM(经验!A68:X68)</f>
        <v>575</v>
      </c>
      <c r="G68" s="102">
        <f>SUM($F$4:F68)+SUM($H$4:H68)</f>
        <v>43405</v>
      </c>
      <c r="H68" s="107">
        <v>0</v>
      </c>
      <c r="I68" s="107" t="s">
        <v>34</v>
      </c>
      <c r="J68" s="107" t="s">
        <v>34</v>
      </c>
      <c r="K68" s="107" t="s">
        <v>34</v>
      </c>
      <c r="L68" s="107" t="s">
        <v>34</v>
      </c>
      <c r="M68" s="107" t="s">
        <v>34</v>
      </c>
      <c r="N68" s="107" t="s">
        <v>34</v>
      </c>
      <c r="O68" s="106" t="s">
        <v>34</v>
      </c>
      <c r="P68" s="106" t="s">
        <v>34</v>
      </c>
      <c r="Q68" s="122" t="s">
        <v>43</v>
      </c>
      <c r="R68" s="110" t="s">
        <v>57</v>
      </c>
      <c r="S68" s="122" t="s">
        <v>43</v>
      </c>
      <c r="T68" s="122" t="s">
        <v>43</v>
      </c>
      <c r="U68" s="122" t="s">
        <v>43</v>
      </c>
      <c r="V68" s="122" t="s">
        <v>43</v>
      </c>
      <c r="W68" s="106" t="s">
        <v>34</v>
      </c>
      <c r="X68" s="106" t="s">
        <v>34</v>
      </c>
      <c r="Y68" s="114" t="s">
        <v>42</v>
      </c>
      <c r="Z68" s="114" t="s">
        <v>42</v>
      </c>
      <c r="AA68" s="114" t="s">
        <v>42</v>
      </c>
      <c r="AB68" s="114" t="s">
        <v>42</v>
      </c>
      <c r="AC68" s="114" t="s">
        <v>42</v>
      </c>
      <c r="AD68" s="114" t="s">
        <v>42</v>
      </c>
      <c r="AE68" s="106" t="s">
        <v>34</v>
      </c>
      <c r="AF68" s="106" t="s">
        <v>34</v>
      </c>
      <c r="AG68" s="108">
        <f t="shared" si="4"/>
        <v>0</v>
      </c>
      <c r="AH68" s="116"/>
      <c r="AI68" s="116"/>
      <c r="AJ68" s="116"/>
      <c r="AK68" s="99" t="s">
        <v>52</v>
      </c>
    </row>
    <row r="69" spans="1:37">
      <c r="A69" s="101">
        <v>45431</v>
      </c>
      <c r="B69" s="107">
        <v>1600</v>
      </c>
      <c r="C69" s="107"/>
      <c r="D69" s="102">
        <f>(SUM(粮草!A69:X69)+AG69*10)*IF(AK69="是",$AY$4,$AY$3)</f>
        <v>1736</v>
      </c>
      <c r="E69" s="102">
        <f>SUM($B$4:B69)+SUM($C$4:C69)-SUM($D$4:D69)</f>
        <v>6648</v>
      </c>
      <c r="F69" s="102">
        <f>SUM(经验!A69:X69)</f>
        <v>605</v>
      </c>
      <c r="G69" s="102">
        <f>SUM($F$4:F69)+SUM($H$4:H69)</f>
        <v>44010</v>
      </c>
      <c r="H69" s="107">
        <v>0</v>
      </c>
      <c r="I69" s="107" t="s">
        <v>34</v>
      </c>
      <c r="J69" s="107" t="s">
        <v>34</v>
      </c>
      <c r="K69" s="107" t="s">
        <v>34</v>
      </c>
      <c r="L69" s="107" t="s">
        <v>34</v>
      </c>
      <c r="M69" s="107" t="s">
        <v>34</v>
      </c>
      <c r="N69" s="107" t="s">
        <v>34</v>
      </c>
      <c r="O69" s="106" t="s">
        <v>34</v>
      </c>
      <c r="P69" s="106" t="s">
        <v>34</v>
      </c>
      <c r="Q69" s="122" t="s">
        <v>43</v>
      </c>
      <c r="R69" s="122" t="s">
        <v>43</v>
      </c>
      <c r="S69" s="122" t="s">
        <v>43</v>
      </c>
      <c r="T69" s="122" t="s">
        <v>43</v>
      </c>
      <c r="U69" s="122" t="s">
        <v>43</v>
      </c>
      <c r="V69" s="122" t="s">
        <v>43</v>
      </c>
      <c r="W69" s="106" t="s">
        <v>34</v>
      </c>
      <c r="X69" s="106" t="s">
        <v>34</v>
      </c>
      <c r="Y69" s="114" t="s">
        <v>42</v>
      </c>
      <c r="Z69" s="111" t="s">
        <v>40</v>
      </c>
      <c r="AA69" s="111" t="s">
        <v>40</v>
      </c>
      <c r="AB69" s="111" t="s">
        <v>40</v>
      </c>
      <c r="AC69" s="111" t="s">
        <v>40</v>
      </c>
      <c r="AD69" s="111" t="s">
        <v>40</v>
      </c>
      <c r="AE69" s="106" t="s">
        <v>34</v>
      </c>
      <c r="AF69" s="106" t="s">
        <v>34</v>
      </c>
      <c r="AG69" s="108">
        <f t="shared" ref="AG69:AG93" si="11">AH69+AI69+AJ69</f>
        <v>0</v>
      </c>
      <c r="AH69" s="116"/>
      <c r="AI69" s="116"/>
      <c r="AJ69" s="116"/>
      <c r="AK69" s="99" t="s">
        <v>52</v>
      </c>
    </row>
    <row r="70" spans="1:37">
      <c r="A70" s="101">
        <v>45432</v>
      </c>
      <c r="B70" s="102">
        <v>1600</v>
      </c>
      <c r="C70" s="103"/>
      <c r="D70" s="102">
        <f>(SUM(粮草!A70:X70)+AG70*10)*IF(AK70="是",$AY$4,$AY$3)</f>
        <v>1184</v>
      </c>
      <c r="E70" s="102">
        <f>SUM($B$4:B70)+SUM($C$4:C70)-SUM($D$4:D70)</f>
        <v>7064</v>
      </c>
      <c r="F70" s="102">
        <f>SUM(经验!A70:X70)</f>
        <v>420</v>
      </c>
      <c r="G70" s="102">
        <f>SUM($F$4:F70)+SUM($H$4:H70)</f>
        <v>44730</v>
      </c>
      <c r="H70" s="102">
        <v>300</v>
      </c>
      <c r="I70" s="107" t="s">
        <v>34</v>
      </c>
      <c r="J70" s="107" t="s">
        <v>34</v>
      </c>
      <c r="K70" s="107" t="s">
        <v>34</v>
      </c>
      <c r="L70" s="107" t="s">
        <v>34</v>
      </c>
      <c r="M70" s="107" t="s">
        <v>34</v>
      </c>
      <c r="N70" s="107" t="s">
        <v>34</v>
      </c>
      <c r="O70" s="106" t="s">
        <v>34</v>
      </c>
      <c r="P70" s="106" t="s">
        <v>34</v>
      </c>
      <c r="Q70" s="122" t="s">
        <v>43</v>
      </c>
      <c r="R70" s="122" t="s">
        <v>43</v>
      </c>
      <c r="S70" s="122" t="s">
        <v>43</v>
      </c>
      <c r="T70" s="122" t="s">
        <v>43</v>
      </c>
      <c r="U70" s="122" t="s">
        <v>43</v>
      </c>
      <c r="V70" s="122" t="s">
        <v>43</v>
      </c>
      <c r="W70" s="106" t="s">
        <v>34</v>
      </c>
      <c r="X70" s="106" t="s">
        <v>34</v>
      </c>
      <c r="Y70" s="111" t="s">
        <v>40</v>
      </c>
      <c r="Z70" s="111" t="s">
        <v>40</v>
      </c>
      <c r="AA70" s="107" t="s">
        <v>34</v>
      </c>
      <c r="AB70" s="107" t="s">
        <v>34</v>
      </c>
      <c r="AC70" s="107" t="s">
        <v>34</v>
      </c>
      <c r="AD70" s="107" t="s">
        <v>34</v>
      </c>
      <c r="AE70" s="106" t="s">
        <v>34</v>
      </c>
      <c r="AF70" s="106" t="s">
        <v>34</v>
      </c>
      <c r="AG70" s="108">
        <f t="shared" si="11"/>
        <v>0</v>
      </c>
      <c r="AH70" s="116"/>
      <c r="AI70" s="116"/>
      <c r="AJ70" s="116"/>
      <c r="AK70" s="99" t="s">
        <v>52</v>
      </c>
    </row>
    <row r="71" spans="1:37">
      <c r="A71" s="101">
        <v>45433</v>
      </c>
      <c r="B71" s="102">
        <v>1600</v>
      </c>
      <c r="C71" s="103"/>
      <c r="D71" s="102">
        <f>(SUM(粮草!A71:X71)+AG71*10)*IF(AK71="是",$AY$4,$AY$3)</f>
        <v>1912</v>
      </c>
      <c r="E71" s="102">
        <f>SUM($B$4:B71)+SUM($C$4:C71)-SUM($D$4:D71)</f>
        <v>6752</v>
      </c>
      <c r="F71" s="102">
        <f>SUM(经验!A71:X71)</f>
        <v>690</v>
      </c>
      <c r="G71" s="102">
        <f>SUM($F$4:F71)+SUM($H$4:H71)</f>
        <v>45420</v>
      </c>
      <c r="H71" s="102">
        <v>0</v>
      </c>
      <c r="I71" s="107" t="s">
        <v>34</v>
      </c>
      <c r="J71" s="107" t="s">
        <v>34</v>
      </c>
      <c r="K71" s="107" t="s">
        <v>34</v>
      </c>
      <c r="L71" s="107" t="s">
        <v>34</v>
      </c>
      <c r="M71" s="107" t="s">
        <v>34</v>
      </c>
      <c r="N71" s="107" t="s">
        <v>34</v>
      </c>
      <c r="O71" s="106" t="s">
        <v>34</v>
      </c>
      <c r="P71" s="106" t="s">
        <v>34</v>
      </c>
      <c r="Q71" s="122" t="s">
        <v>43</v>
      </c>
      <c r="R71" s="122" t="s">
        <v>43</v>
      </c>
      <c r="S71" s="122" t="s">
        <v>43</v>
      </c>
      <c r="T71" s="122" t="s">
        <v>43</v>
      </c>
      <c r="U71" s="122" t="s">
        <v>43</v>
      </c>
      <c r="V71" s="122" t="s">
        <v>43</v>
      </c>
      <c r="W71" s="106" t="s">
        <v>34</v>
      </c>
      <c r="X71" s="106" t="s">
        <v>34</v>
      </c>
      <c r="Y71" s="118" t="s">
        <v>44</v>
      </c>
      <c r="Z71" s="118" t="s">
        <v>44</v>
      </c>
      <c r="AA71" s="118" t="s">
        <v>44</v>
      </c>
      <c r="AB71" s="118" t="s">
        <v>44</v>
      </c>
      <c r="AC71" s="118" t="s">
        <v>44</v>
      </c>
      <c r="AD71" s="118" t="s">
        <v>44</v>
      </c>
      <c r="AE71" s="106" t="s">
        <v>34</v>
      </c>
      <c r="AF71" s="106" t="s">
        <v>34</v>
      </c>
      <c r="AG71" s="108">
        <f t="shared" si="11"/>
        <v>5</v>
      </c>
      <c r="AH71" s="116"/>
      <c r="AI71" s="116"/>
      <c r="AJ71" s="116">
        <v>5</v>
      </c>
      <c r="AK71" s="99" t="s">
        <v>52</v>
      </c>
    </row>
    <row r="72" spans="1:37">
      <c r="A72" s="101">
        <v>45434</v>
      </c>
      <c r="B72" s="102">
        <v>1600</v>
      </c>
      <c r="C72" s="103"/>
      <c r="D72" s="102">
        <f>(SUM(粮草!A72:X72)+AG72*10)*IF(AK72="是",$AY$4,$AY$3)</f>
        <v>1840</v>
      </c>
      <c r="E72" s="102">
        <f>SUM($B$4:B72)+SUM($C$4:C72)-SUM($D$4:D72)</f>
        <v>6512</v>
      </c>
      <c r="F72" s="102">
        <f>SUM(经验!A72:X72)</f>
        <v>690</v>
      </c>
      <c r="G72" s="102">
        <f>SUM($F$4:F72)+SUM($H$4:H72)</f>
        <v>46310</v>
      </c>
      <c r="H72" s="102">
        <v>200</v>
      </c>
      <c r="I72" s="107" t="s">
        <v>34</v>
      </c>
      <c r="J72" s="107" t="s">
        <v>34</v>
      </c>
      <c r="K72" s="107" t="s">
        <v>34</v>
      </c>
      <c r="L72" s="107" t="s">
        <v>34</v>
      </c>
      <c r="M72" s="107" t="s">
        <v>34</v>
      </c>
      <c r="N72" s="107" t="s">
        <v>34</v>
      </c>
      <c r="O72" s="106" t="s">
        <v>34</v>
      </c>
      <c r="P72" s="106" t="s">
        <v>34</v>
      </c>
      <c r="Q72" s="122" t="s">
        <v>43</v>
      </c>
      <c r="R72" s="122" t="s">
        <v>43</v>
      </c>
      <c r="S72" s="156" t="s">
        <v>49</v>
      </c>
      <c r="T72" s="122" t="s">
        <v>43</v>
      </c>
      <c r="U72" s="122" t="s">
        <v>43</v>
      </c>
      <c r="V72" s="122" t="s">
        <v>43</v>
      </c>
      <c r="W72" s="106" t="s">
        <v>34</v>
      </c>
      <c r="X72" s="106" t="s">
        <v>34</v>
      </c>
      <c r="Y72" s="118" t="s">
        <v>44</v>
      </c>
      <c r="Z72" s="118" t="s">
        <v>44</v>
      </c>
      <c r="AA72" s="118" t="s">
        <v>44</v>
      </c>
      <c r="AB72" s="118" t="s">
        <v>44</v>
      </c>
      <c r="AC72" s="118" t="s">
        <v>44</v>
      </c>
      <c r="AD72" s="118" t="s">
        <v>44</v>
      </c>
      <c r="AE72" s="106" t="s">
        <v>34</v>
      </c>
      <c r="AF72" s="106" t="s">
        <v>34</v>
      </c>
      <c r="AG72" s="108">
        <f t="shared" si="11"/>
        <v>0</v>
      </c>
      <c r="AH72" s="116"/>
      <c r="AI72" s="116"/>
      <c r="AJ72" s="116"/>
      <c r="AK72" s="99" t="s">
        <v>52</v>
      </c>
    </row>
    <row r="73" spans="1:37">
      <c r="A73" s="101">
        <v>45435</v>
      </c>
      <c r="B73" s="102">
        <v>1600</v>
      </c>
      <c r="C73" s="103"/>
      <c r="D73" s="102">
        <f>(SUM(粮草!A73:X73)+AG73*10)*IF(AK73="是",$AY$4,$AY$3)</f>
        <v>1872</v>
      </c>
      <c r="E73" s="102">
        <f>SUM($B$4:B73)+SUM($C$4:C73)-SUM($D$4:D73)</f>
        <v>6240</v>
      </c>
      <c r="F73" s="102">
        <f>SUM(经验!A73:X73)</f>
        <v>690</v>
      </c>
      <c r="G73" s="102">
        <f>SUM($F$4:F73)+SUM($H$4:H73)</f>
        <v>47000</v>
      </c>
      <c r="H73" s="102">
        <v>0</v>
      </c>
      <c r="I73" s="107" t="s">
        <v>34</v>
      </c>
      <c r="J73" s="107" t="s">
        <v>34</v>
      </c>
      <c r="K73" s="107" t="s">
        <v>34</v>
      </c>
      <c r="L73" s="107" t="s">
        <v>34</v>
      </c>
      <c r="M73" s="107" t="s">
        <v>34</v>
      </c>
      <c r="N73" s="107" t="s">
        <v>34</v>
      </c>
      <c r="O73" s="106" t="s">
        <v>34</v>
      </c>
      <c r="P73" s="106" t="s">
        <v>34</v>
      </c>
      <c r="Q73" s="122" t="s">
        <v>43</v>
      </c>
      <c r="R73" s="122" t="s">
        <v>43</v>
      </c>
      <c r="S73" s="122" t="s">
        <v>43</v>
      </c>
      <c r="T73" s="122" t="s">
        <v>43</v>
      </c>
      <c r="U73" s="122" t="s">
        <v>43</v>
      </c>
      <c r="V73" s="122" t="s">
        <v>43</v>
      </c>
      <c r="W73" s="106" t="s">
        <v>34</v>
      </c>
      <c r="X73" s="106" t="s">
        <v>34</v>
      </c>
      <c r="Y73" s="118" t="s">
        <v>44</v>
      </c>
      <c r="Z73" s="118" t="s">
        <v>44</v>
      </c>
      <c r="AA73" s="118" t="s">
        <v>44</v>
      </c>
      <c r="AB73" s="118" t="s">
        <v>44</v>
      </c>
      <c r="AC73" s="118" t="s">
        <v>44</v>
      </c>
      <c r="AD73" s="118" t="s">
        <v>44</v>
      </c>
      <c r="AE73" s="106" t="s">
        <v>34</v>
      </c>
      <c r="AF73" s="106" t="s">
        <v>34</v>
      </c>
      <c r="AG73" s="108">
        <f t="shared" si="11"/>
        <v>0</v>
      </c>
      <c r="AH73" s="116"/>
      <c r="AI73" s="116"/>
      <c r="AJ73" s="116"/>
      <c r="AK73" s="99" t="s">
        <v>52</v>
      </c>
    </row>
    <row r="74" spans="1:37">
      <c r="A74" s="101">
        <v>45436</v>
      </c>
      <c r="B74" s="102">
        <v>1600</v>
      </c>
      <c r="C74" s="103"/>
      <c r="D74" s="102">
        <f>(SUM(粮草!A74:X74)+AG74*10)*IF(AK74="是",$AY$4,$AY$3)</f>
        <v>1752</v>
      </c>
      <c r="E74" s="102">
        <f>SUM($B$4:B74)+SUM($C$4:C74)-SUM($D$4:D74)</f>
        <v>6088</v>
      </c>
      <c r="F74" s="102">
        <f>SUM(经验!A74:X74)</f>
        <v>660</v>
      </c>
      <c r="G74" s="102">
        <f>SUM($F$4:F74)+SUM($H$4:H74)</f>
        <v>47660</v>
      </c>
      <c r="H74" s="102">
        <v>0</v>
      </c>
      <c r="I74" s="107" t="s">
        <v>34</v>
      </c>
      <c r="J74" s="107" t="s">
        <v>34</v>
      </c>
      <c r="K74" s="107" t="s">
        <v>34</v>
      </c>
      <c r="L74" s="107" t="s">
        <v>34</v>
      </c>
      <c r="M74" s="107" t="s">
        <v>34</v>
      </c>
      <c r="N74" s="107" t="s">
        <v>34</v>
      </c>
      <c r="O74" s="106" t="s">
        <v>34</v>
      </c>
      <c r="P74" s="106" t="s">
        <v>34</v>
      </c>
      <c r="Q74" s="122" t="s">
        <v>43</v>
      </c>
      <c r="R74" s="122" t="s">
        <v>43</v>
      </c>
      <c r="S74" s="122" t="s">
        <v>43</v>
      </c>
      <c r="T74" s="122" t="s">
        <v>43</v>
      </c>
      <c r="U74" s="122" t="s">
        <v>43</v>
      </c>
      <c r="V74" s="122" t="s">
        <v>43</v>
      </c>
      <c r="W74" s="106" t="s">
        <v>34</v>
      </c>
      <c r="X74" s="106" t="s">
        <v>34</v>
      </c>
      <c r="Y74" s="105" t="s">
        <v>39</v>
      </c>
      <c r="Z74" s="118" t="s">
        <v>44</v>
      </c>
      <c r="AA74" s="118" t="s">
        <v>44</v>
      </c>
      <c r="AB74" s="118" t="s">
        <v>44</v>
      </c>
      <c r="AC74" s="118" t="s">
        <v>44</v>
      </c>
      <c r="AD74" s="118" t="s">
        <v>44</v>
      </c>
      <c r="AE74" s="106" t="s">
        <v>34</v>
      </c>
      <c r="AF74" s="106" t="s">
        <v>34</v>
      </c>
      <c r="AG74" s="108">
        <f t="shared" si="11"/>
        <v>0</v>
      </c>
      <c r="AH74" s="116"/>
      <c r="AI74" s="116"/>
      <c r="AJ74" s="116"/>
      <c r="AK74" s="99" t="s">
        <v>52</v>
      </c>
    </row>
    <row r="75" spans="1:37">
      <c r="A75" s="101">
        <v>45437</v>
      </c>
      <c r="B75" s="102">
        <v>1600</v>
      </c>
      <c r="C75" s="103"/>
      <c r="D75" s="102">
        <f>(SUM(粮草!A75:X75)+AG75*10)*IF(AK75="是",$AY$4,$AY$3)</f>
        <v>1872</v>
      </c>
      <c r="E75" s="102">
        <f>SUM($B$4:B75)+SUM($C$4:C75)-SUM($D$4:D75)</f>
        <v>5816</v>
      </c>
      <c r="F75" s="102">
        <f>SUM(经验!A75:X75)</f>
        <v>690</v>
      </c>
      <c r="G75" s="102">
        <f>SUM($F$4:F75)+SUM($H$4:H75)</f>
        <v>48350</v>
      </c>
      <c r="H75" s="102">
        <v>0</v>
      </c>
      <c r="I75" s="107" t="s">
        <v>34</v>
      </c>
      <c r="J75" s="107" t="s">
        <v>34</v>
      </c>
      <c r="K75" s="107" t="s">
        <v>34</v>
      </c>
      <c r="L75" s="107" t="s">
        <v>34</v>
      </c>
      <c r="M75" s="107" t="s">
        <v>34</v>
      </c>
      <c r="N75" s="107" t="s">
        <v>34</v>
      </c>
      <c r="O75" s="106" t="s">
        <v>34</v>
      </c>
      <c r="P75" s="106" t="s">
        <v>34</v>
      </c>
      <c r="Q75" s="122" t="s">
        <v>43</v>
      </c>
      <c r="R75" s="122" t="s">
        <v>43</v>
      </c>
      <c r="S75" s="122" t="s">
        <v>43</v>
      </c>
      <c r="T75" s="122" t="s">
        <v>43</v>
      </c>
      <c r="U75" s="122" t="s">
        <v>43</v>
      </c>
      <c r="V75" s="122" t="s">
        <v>43</v>
      </c>
      <c r="W75" s="106" t="s">
        <v>34</v>
      </c>
      <c r="X75" s="106" t="s">
        <v>34</v>
      </c>
      <c r="Y75" s="118" t="s">
        <v>44</v>
      </c>
      <c r="Z75" s="118" t="s">
        <v>44</v>
      </c>
      <c r="AA75" s="118" t="s">
        <v>44</v>
      </c>
      <c r="AB75" s="118" t="s">
        <v>44</v>
      </c>
      <c r="AC75" s="118" t="s">
        <v>44</v>
      </c>
      <c r="AD75" s="118" t="s">
        <v>44</v>
      </c>
      <c r="AE75" s="106" t="s">
        <v>34</v>
      </c>
      <c r="AF75" s="106" t="s">
        <v>34</v>
      </c>
      <c r="AG75" s="108">
        <f t="shared" si="11"/>
        <v>0</v>
      </c>
      <c r="AH75" s="116"/>
      <c r="AI75" s="116"/>
      <c r="AJ75" s="116"/>
      <c r="AK75" s="99" t="s">
        <v>52</v>
      </c>
    </row>
    <row r="76" spans="1:37">
      <c r="A76" s="101">
        <v>45438</v>
      </c>
      <c r="B76" s="102">
        <v>1600</v>
      </c>
      <c r="C76" s="103"/>
      <c r="D76" s="102">
        <f>(SUM(粮草!A76:X76)+AG76*10)*IF(AK76="是",$AY$4,$AY$3)</f>
        <v>1872</v>
      </c>
      <c r="E76" s="102">
        <f>SUM($B$4:B76)+SUM($C$4:C76)-SUM($D$4:D76)</f>
        <v>5544</v>
      </c>
      <c r="F76" s="102">
        <f>SUM(经验!A76:X76)</f>
        <v>690</v>
      </c>
      <c r="G76" s="102">
        <f>SUM($F$4:F76)+SUM($H$4:H76)</f>
        <v>49040</v>
      </c>
      <c r="H76" s="102">
        <v>0</v>
      </c>
      <c r="I76" s="107" t="s">
        <v>34</v>
      </c>
      <c r="J76" s="107" t="s">
        <v>34</v>
      </c>
      <c r="K76" s="107" t="s">
        <v>34</v>
      </c>
      <c r="L76" s="107" t="s">
        <v>34</v>
      </c>
      <c r="M76" s="107" t="s">
        <v>34</v>
      </c>
      <c r="N76" s="107" t="s">
        <v>34</v>
      </c>
      <c r="O76" s="106" t="s">
        <v>34</v>
      </c>
      <c r="P76" s="106" t="s">
        <v>34</v>
      </c>
      <c r="Q76" s="122" t="s">
        <v>43</v>
      </c>
      <c r="R76" s="122" t="s">
        <v>43</v>
      </c>
      <c r="S76" s="122" t="s">
        <v>43</v>
      </c>
      <c r="T76" s="122" t="s">
        <v>43</v>
      </c>
      <c r="U76" s="122" t="s">
        <v>43</v>
      </c>
      <c r="V76" s="122" t="s">
        <v>43</v>
      </c>
      <c r="W76" s="106" t="s">
        <v>34</v>
      </c>
      <c r="X76" s="106" t="s">
        <v>34</v>
      </c>
      <c r="Y76" s="118" t="s">
        <v>44</v>
      </c>
      <c r="Z76" s="118" t="s">
        <v>44</v>
      </c>
      <c r="AA76" s="118" t="s">
        <v>44</v>
      </c>
      <c r="AB76" s="118" t="s">
        <v>44</v>
      </c>
      <c r="AC76" s="118" t="s">
        <v>44</v>
      </c>
      <c r="AD76" s="118" t="s">
        <v>44</v>
      </c>
      <c r="AE76" s="106" t="s">
        <v>34</v>
      </c>
      <c r="AF76" s="106" t="s">
        <v>34</v>
      </c>
      <c r="AG76" s="108">
        <f t="shared" si="11"/>
        <v>0</v>
      </c>
      <c r="AH76" s="116"/>
      <c r="AI76" s="116"/>
      <c r="AJ76" s="116"/>
      <c r="AK76" s="99" t="s">
        <v>52</v>
      </c>
    </row>
    <row r="77" spans="1:37">
      <c r="A77" s="101">
        <v>45439</v>
      </c>
      <c r="B77" s="107">
        <v>1600</v>
      </c>
      <c r="C77" s="107"/>
      <c r="D77" s="102">
        <f>(SUM(粮草!A77:X77)+AG77*10)*IF(AK77="是",$AY$4,$AY$3)</f>
        <v>1872</v>
      </c>
      <c r="E77" s="102">
        <f>SUM($B$4:B77)+SUM($C$4:C77)-SUM($D$4:D77)</f>
        <v>5272</v>
      </c>
      <c r="F77" s="102">
        <f>SUM(经验!A77:X77)</f>
        <v>690</v>
      </c>
      <c r="G77" s="102">
        <f>SUM($F$4:F77)+SUM($H$4:H77)</f>
        <v>50030</v>
      </c>
      <c r="H77" s="107">
        <v>300</v>
      </c>
      <c r="I77" s="107" t="s">
        <v>34</v>
      </c>
      <c r="J77" s="107" t="s">
        <v>34</v>
      </c>
      <c r="K77" s="107" t="s">
        <v>34</v>
      </c>
      <c r="L77" s="107" t="s">
        <v>34</v>
      </c>
      <c r="M77" s="107" t="s">
        <v>34</v>
      </c>
      <c r="N77" s="107" t="s">
        <v>34</v>
      </c>
      <c r="O77" s="106" t="s">
        <v>34</v>
      </c>
      <c r="P77" s="106" t="s">
        <v>34</v>
      </c>
      <c r="Q77" s="122" t="s">
        <v>43</v>
      </c>
      <c r="R77" s="122" t="s">
        <v>43</v>
      </c>
      <c r="S77" s="122" t="s">
        <v>43</v>
      </c>
      <c r="T77" s="122" t="s">
        <v>43</v>
      </c>
      <c r="U77" s="122" t="s">
        <v>43</v>
      </c>
      <c r="V77" s="122" t="s">
        <v>43</v>
      </c>
      <c r="W77" s="106" t="s">
        <v>34</v>
      </c>
      <c r="X77" s="106" t="s">
        <v>34</v>
      </c>
      <c r="Y77" s="118" t="s">
        <v>44</v>
      </c>
      <c r="Z77" s="118" t="s">
        <v>44</v>
      </c>
      <c r="AA77" s="118" t="s">
        <v>44</v>
      </c>
      <c r="AB77" s="118" t="s">
        <v>44</v>
      </c>
      <c r="AC77" s="118" t="s">
        <v>44</v>
      </c>
      <c r="AD77" s="118" t="s">
        <v>44</v>
      </c>
      <c r="AE77" s="106" t="s">
        <v>34</v>
      </c>
      <c r="AF77" s="106" t="s">
        <v>34</v>
      </c>
      <c r="AG77" s="108">
        <f t="shared" si="11"/>
        <v>0</v>
      </c>
      <c r="AH77" s="116"/>
      <c r="AI77" s="116"/>
      <c r="AJ77" s="116"/>
      <c r="AK77" s="99" t="s">
        <v>52</v>
      </c>
    </row>
    <row r="78" spans="1:37">
      <c r="A78" s="101">
        <v>45440</v>
      </c>
      <c r="B78" s="107">
        <v>1600</v>
      </c>
      <c r="C78" s="107"/>
      <c r="D78" s="102">
        <f>(SUM(粮草!A78:X78)+AG78*10)*IF(AK78="是",$AY$4,$AY$3)</f>
        <v>1760</v>
      </c>
      <c r="E78" s="102">
        <f>SUM($B$4:B78)+SUM($C$4:C78)-SUM($D$4:D78)</f>
        <v>5112</v>
      </c>
      <c r="F78" s="102">
        <f>SUM(经验!A78:X78)</f>
        <v>1155</v>
      </c>
      <c r="G78" s="102">
        <f>SUM($F$4:F78)+SUM($H$4:H78)</f>
        <v>51185</v>
      </c>
      <c r="H78" s="107">
        <v>0</v>
      </c>
      <c r="I78" s="107" t="s">
        <v>34</v>
      </c>
      <c r="J78" s="107" t="s">
        <v>34</v>
      </c>
      <c r="K78" s="107" t="s">
        <v>34</v>
      </c>
      <c r="L78" s="107" t="s">
        <v>34</v>
      </c>
      <c r="M78" s="107" t="s">
        <v>34</v>
      </c>
      <c r="N78" s="107" t="s">
        <v>34</v>
      </c>
      <c r="O78" s="106" t="s">
        <v>34</v>
      </c>
      <c r="P78" s="106" t="s">
        <v>34</v>
      </c>
      <c r="Q78" s="122" t="s">
        <v>43</v>
      </c>
      <c r="R78" s="122" t="s">
        <v>43</v>
      </c>
      <c r="S78" s="157" t="s">
        <v>68</v>
      </c>
      <c r="T78" s="122" t="s">
        <v>43</v>
      </c>
      <c r="U78" s="122" t="s">
        <v>43</v>
      </c>
      <c r="V78" s="122" t="s">
        <v>43</v>
      </c>
      <c r="W78" s="106" t="s">
        <v>34</v>
      </c>
      <c r="X78" s="106" t="s">
        <v>34</v>
      </c>
      <c r="Y78" s="118" t="s">
        <v>44</v>
      </c>
      <c r="Z78" s="118" t="s">
        <v>44</v>
      </c>
      <c r="AA78" s="118" t="s">
        <v>44</v>
      </c>
      <c r="AB78" s="118" t="s">
        <v>44</v>
      </c>
      <c r="AC78" s="118" t="s">
        <v>44</v>
      </c>
      <c r="AD78" s="118" t="s">
        <v>44</v>
      </c>
      <c r="AE78" s="106" t="s">
        <v>34</v>
      </c>
      <c r="AF78" s="106" t="s">
        <v>34</v>
      </c>
      <c r="AG78" s="108">
        <f t="shared" si="11"/>
        <v>0</v>
      </c>
      <c r="AH78" s="116"/>
      <c r="AI78" s="116"/>
      <c r="AJ78" s="116"/>
      <c r="AK78" s="99" t="s">
        <v>52</v>
      </c>
    </row>
    <row r="79" spans="1:37">
      <c r="A79" s="101">
        <v>45441</v>
      </c>
      <c r="B79" s="107">
        <v>1600</v>
      </c>
      <c r="C79" s="107"/>
      <c r="D79" s="102">
        <f>(SUM(粮草!A79:X79)+AG79*10)*IF(AK79="是",$AY$4,$AY$3)</f>
        <v>1440</v>
      </c>
      <c r="E79" s="102">
        <f>SUM($B$4:B79)+SUM($C$4:C79)-SUM($D$4:D79)</f>
        <v>5272</v>
      </c>
      <c r="F79" s="102">
        <f>SUM(经验!A79:X79)</f>
        <v>605</v>
      </c>
      <c r="G79" s="102">
        <f>SUM($F$4:F79)+SUM($H$4:H79)</f>
        <v>51990</v>
      </c>
      <c r="H79" s="107">
        <v>200</v>
      </c>
      <c r="I79" s="107" t="s">
        <v>34</v>
      </c>
      <c r="J79" s="107" t="s">
        <v>34</v>
      </c>
      <c r="K79" s="107" t="s">
        <v>34</v>
      </c>
      <c r="L79" s="107" t="s">
        <v>34</v>
      </c>
      <c r="M79" s="107" t="s">
        <v>34</v>
      </c>
      <c r="N79" s="107" t="s">
        <v>34</v>
      </c>
      <c r="O79" s="106" t="s">
        <v>34</v>
      </c>
      <c r="P79" s="106" t="s">
        <v>34</v>
      </c>
      <c r="Q79" s="122" t="s">
        <v>43</v>
      </c>
      <c r="R79" s="122" t="s">
        <v>43</v>
      </c>
      <c r="S79" s="105" t="s">
        <v>39</v>
      </c>
      <c r="T79" s="122" t="s">
        <v>43</v>
      </c>
      <c r="U79" s="122" t="s">
        <v>43</v>
      </c>
      <c r="V79" s="122" t="s">
        <v>43</v>
      </c>
      <c r="W79" s="106" t="s">
        <v>34</v>
      </c>
      <c r="X79" s="106" t="s">
        <v>34</v>
      </c>
      <c r="Y79" s="118" t="s">
        <v>44</v>
      </c>
      <c r="Z79" s="118" t="s">
        <v>44</v>
      </c>
      <c r="AA79" s="118" t="s">
        <v>44</v>
      </c>
      <c r="AB79" s="118" t="s">
        <v>44</v>
      </c>
      <c r="AC79" s="110" t="s">
        <v>57</v>
      </c>
      <c r="AD79" s="118" t="s">
        <v>44</v>
      </c>
      <c r="AE79" s="106" t="s">
        <v>34</v>
      </c>
      <c r="AF79" s="106" t="s">
        <v>34</v>
      </c>
      <c r="AG79" s="108">
        <f t="shared" si="11"/>
        <v>0</v>
      </c>
      <c r="AH79" s="116"/>
      <c r="AI79" s="116"/>
      <c r="AJ79" s="116"/>
      <c r="AK79" s="99" t="s">
        <v>52</v>
      </c>
    </row>
    <row r="80" spans="1:37">
      <c r="A80" s="101">
        <v>45442</v>
      </c>
      <c r="B80" s="107">
        <v>1600</v>
      </c>
      <c r="C80" s="107"/>
      <c r="D80" s="102">
        <f>(SUM(粮草!A80:X80)+AG80*10)*IF(AK80="是",$AY$4,$AY$3)</f>
        <v>1872</v>
      </c>
      <c r="E80" s="102">
        <f>SUM($B$4:B80)+SUM($C$4:C80)-SUM($D$4:D80)</f>
        <v>5000</v>
      </c>
      <c r="F80" s="102">
        <f>SUM(经验!A80:X80)</f>
        <v>690</v>
      </c>
      <c r="G80" s="102">
        <f>SUM($F$4:F80)+SUM($H$4:H80)</f>
        <v>52680</v>
      </c>
      <c r="H80" s="107">
        <v>0</v>
      </c>
      <c r="I80" s="107" t="s">
        <v>34</v>
      </c>
      <c r="J80" s="107" t="s">
        <v>34</v>
      </c>
      <c r="K80" s="107" t="s">
        <v>34</v>
      </c>
      <c r="L80" s="107" t="s">
        <v>34</v>
      </c>
      <c r="M80" s="107" t="s">
        <v>34</v>
      </c>
      <c r="N80" s="107" t="s">
        <v>34</v>
      </c>
      <c r="O80" s="106" t="s">
        <v>34</v>
      </c>
      <c r="P80" s="106" t="s">
        <v>34</v>
      </c>
      <c r="Q80" s="122" t="s">
        <v>43</v>
      </c>
      <c r="R80" s="122" t="s">
        <v>43</v>
      </c>
      <c r="S80" s="122" t="s">
        <v>43</v>
      </c>
      <c r="T80" s="122" t="s">
        <v>43</v>
      </c>
      <c r="U80" s="122" t="s">
        <v>43</v>
      </c>
      <c r="V80" s="122" t="s">
        <v>43</v>
      </c>
      <c r="W80" s="106" t="s">
        <v>34</v>
      </c>
      <c r="X80" s="106" t="s">
        <v>34</v>
      </c>
      <c r="Y80" s="118" t="s">
        <v>44</v>
      </c>
      <c r="Z80" s="118" t="s">
        <v>44</v>
      </c>
      <c r="AA80" s="118" t="s">
        <v>44</v>
      </c>
      <c r="AB80" s="118" t="s">
        <v>44</v>
      </c>
      <c r="AC80" s="118" t="s">
        <v>44</v>
      </c>
      <c r="AD80" s="118" t="s">
        <v>44</v>
      </c>
      <c r="AE80" s="106" t="s">
        <v>34</v>
      </c>
      <c r="AF80" s="106" t="s">
        <v>34</v>
      </c>
      <c r="AG80" s="108">
        <f t="shared" si="11"/>
        <v>0</v>
      </c>
      <c r="AH80" s="116"/>
      <c r="AI80" s="116"/>
      <c r="AJ80" s="116"/>
      <c r="AK80" s="99" t="s">
        <v>52</v>
      </c>
    </row>
    <row r="81" spans="1:37">
      <c r="A81" s="77">
        <v>45443</v>
      </c>
      <c r="B81" s="72">
        <v>1600</v>
      </c>
      <c r="C81" s="72"/>
      <c r="D81" s="70">
        <f>(SUM(粮草!A81:X81)+AG81*10)*IF(AK81="是",$AY$4,$AY$3)</f>
        <v>1872</v>
      </c>
      <c r="E81" s="78">
        <f>SUM($B$4:B81)+SUM($C$4:C81)-SUM($D$4:D81)</f>
        <v>4728</v>
      </c>
      <c r="F81" s="70">
        <f>SUM(经验!A81:X81)</f>
        <v>690</v>
      </c>
      <c r="G81" s="79">
        <f>SUM($F$4:F81)+SUM($H$4:H81)</f>
        <v>53370</v>
      </c>
      <c r="H81" s="72">
        <v>0</v>
      </c>
      <c r="I81" s="72" t="s">
        <v>34</v>
      </c>
      <c r="J81" s="72" t="s">
        <v>34</v>
      </c>
      <c r="K81" s="72" t="s">
        <v>34</v>
      </c>
      <c r="L81" s="72" t="s">
        <v>34</v>
      </c>
      <c r="M81" s="72" t="s">
        <v>34</v>
      </c>
      <c r="N81" s="72" t="s">
        <v>34</v>
      </c>
      <c r="O81" s="73" t="s">
        <v>34</v>
      </c>
      <c r="P81" s="73" t="s">
        <v>34</v>
      </c>
      <c r="Q81" s="84" t="s">
        <v>43</v>
      </c>
      <c r="R81" s="84" t="s">
        <v>43</v>
      </c>
      <c r="S81" s="84" t="s">
        <v>43</v>
      </c>
      <c r="T81" s="84" t="s">
        <v>43</v>
      </c>
      <c r="U81" s="84" t="s">
        <v>43</v>
      </c>
      <c r="V81" s="84" t="s">
        <v>43</v>
      </c>
      <c r="W81" s="73" t="s">
        <v>34</v>
      </c>
      <c r="X81" s="73" t="s">
        <v>34</v>
      </c>
      <c r="Y81" s="85" t="s">
        <v>44</v>
      </c>
      <c r="Z81" s="85" t="s">
        <v>44</v>
      </c>
      <c r="AA81" s="85" t="s">
        <v>44</v>
      </c>
      <c r="AB81" s="85" t="s">
        <v>44</v>
      </c>
      <c r="AC81" s="85" t="s">
        <v>44</v>
      </c>
      <c r="AD81" s="85" t="s">
        <v>44</v>
      </c>
      <c r="AE81" s="73" t="s">
        <v>34</v>
      </c>
      <c r="AF81" s="73" t="s">
        <v>34</v>
      </c>
      <c r="AG81" s="74">
        <f t="shared" si="11"/>
        <v>0</v>
      </c>
      <c r="AH81" s="75"/>
      <c r="AI81" s="75"/>
      <c r="AJ81" s="75"/>
      <c r="AK81" s="99" t="s">
        <v>52</v>
      </c>
    </row>
    <row r="82" spans="1:37">
      <c r="A82" s="77">
        <v>45444</v>
      </c>
      <c r="B82" s="72">
        <v>1600</v>
      </c>
      <c r="C82" s="72"/>
      <c r="D82" s="70">
        <f>(SUM(粮草!A82:X82)+AG82*10)*IF(AK82="是",$AY$4,$AY$3)</f>
        <v>1864</v>
      </c>
      <c r="E82" s="78">
        <f>SUM($B$4:B82)+SUM($C$4:C82)-SUM($D$4:D82)</f>
        <v>4464</v>
      </c>
      <c r="F82" s="70">
        <f>SUM(经验!A82:X82)</f>
        <v>660</v>
      </c>
      <c r="G82" s="79">
        <f>SUM($F$4:F82)+SUM($H$4:H82)</f>
        <v>54030</v>
      </c>
      <c r="H82" s="72">
        <v>0</v>
      </c>
      <c r="I82" s="72" t="s">
        <v>34</v>
      </c>
      <c r="J82" s="72" t="s">
        <v>34</v>
      </c>
      <c r="K82" s="72" t="s">
        <v>34</v>
      </c>
      <c r="L82" s="72" t="s">
        <v>34</v>
      </c>
      <c r="M82" s="72" t="s">
        <v>34</v>
      </c>
      <c r="N82" s="72" t="s">
        <v>34</v>
      </c>
      <c r="O82" s="73" t="s">
        <v>34</v>
      </c>
      <c r="P82" s="73" t="s">
        <v>34</v>
      </c>
      <c r="Q82" s="84" t="s">
        <v>43</v>
      </c>
      <c r="R82" s="84" t="s">
        <v>43</v>
      </c>
      <c r="S82" s="84" t="s">
        <v>43</v>
      </c>
      <c r="T82" s="84" t="s">
        <v>43</v>
      </c>
      <c r="U82" s="84" t="s">
        <v>43</v>
      </c>
      <c r="V82" s="84" t="s">
        <v>43</v>
      </c>
      <c r="W82" s="73" t="s">
        <v>34</v>
      </c>
      <c r="X82" s="73" t="s">
        <v>34</v>
      </c>
      <c r="Y82" s="84" t="s">
        <v>43</v>
      </c>
      <c r="Z82" s="84" t="s">
        <v>43</v>
      </c>
      <c r="AA82" s="84" t="s">
        <v>43</v>
      </c>
      <c r="AB82" s="84" t="s">
        <v>43</v>
      </c>
      <c r="AC82" s="84" t="s">
        <v>43</v>
      </c>
      <c r="AD82" s="84" t="s">
        <v>43</v>
      </c>
      <c r="AE82" s="73" t="s">
        <v>34</v>
      </c>
      <c r="AF82" s="73" t="s">
        <v>34</v>
      </c>
      <c r="AG82" s="74">
        <f t="shared" si="11"/>
        <v>5</v>
      </c>
      <c r="AH82" s="75"/>
      <c r="AI82" s="75"/>
      <c r="AJ82" s="75">
        <v>5</v>
      </c>
      <c r="AK82" s="99" t="s">
        <v>52</v>
      </c>
    </row>
    <row r="83" spans="1:37">
      <c r="A83" s="77">
        <v>45445</v>
      </c>
      <c r="B83" s="72">
        <v>1600</v>
      </c>
      <c r="C83" s="72"/>
      <c r="D83" s="70">
        <f>(SUM(粮草!A83:X83)+AG83*10)*IF(AK83="是",$AY$4,$AY$3)</f>
        <v>1832</v>
      </c>
      <c r="E83" s="78">
        <f>SUM($B$4:B83)+SUM($C$4:C83)-SUM($D$4:D83)</f>
        <v>4232</v>
      </c>
      <c r="F83" s="70">
        <f>SUM(经验!A83:X83)</f>
        <v>660</v>
      </c>
      <c r="G83" s="79">
        <f>SUM($F$4:F83)+SUM($H$4:H83)</f>
        <v>54690</v>
      </c>
      <c r="H83" s="72">
        <v>0</v>
      </c>
      <c r="I83" s="72" t="s">
        <v>34</v>
      </c>
      <c r="J83" s="72" t="s">
        <v>34</v>
      </c>
      <c r="K83" s="72" t="s">
        <v>34</v>
      </c>
      <c r="L83" s="72" t="s">
        <v>34</v>
      </c>
      <c r="M83" s="72" t="s">
        <v>34</v>
      </c>
      <c r="N83" s="72" t="s">
        <v>34</v>
      </c>
      <c r="O83" s="73" t="s">
        <v>34</v>
      </c>
      <c r="P83" s="73" t="s">
        <v>34</v>
      </c>
      <c r="Q83" s="84" t="s">
        <v>43</v>
      </c>
      <c r="R83" s="84" t="s">
        <v>43</v>
      </c>
      <c r="S83" s="84" t="s">
        <v>43</v>
      </c>
      <c r="T83" s="84" t="s">
        <v>43</v>
      </c>
      <c r="U83" s="84" t="s">
        <v>43</v>
      </c>
      <c r="V83" s="84" t="s">
        <v>43</v>
      </c>
      <c r="W83" s="73" t="s">
        <v>34</v>
      </c>
      <c r="X83" s="73" t="s">
        <v>34</v>
      </c>
      <c r="Y83" s="84" t="s">
        <v>43</v>
      </c>
      <c r="Z83" s="84" t="s">
        <v>43</v>
      </c>
      <c r="AA83" s="84" t="s">
        <v>43</v>
      </c>
      <c r="AB83" s="84" t="s">
        <v>43</v>
      </c>
      <c r="AC83" s="84" t="s">
        <v>43</v>
      </c>
      <c r="AD83" s="84" t="s">
        <v>43</v>
      </c>
      <c r="AE83" s="73" t="s">
        <v>34</v>
      </c>
      <c r="AF83" s="73" t="s">
        <v>34</v>
      </c>
      <c r="AG83" s="74">
        <f t="shared" si="11"/>
        <v>1</v>
      </c>
      <c r="AH83" s="75">
        <v>1</v>
      </c>
      <c r="AI83" s="75"/>
      <c r="AJ83" s="75"/>
      <c r="AK83" s="99" t="s">
        <v>52</v>
      </c>
    </row>
    <row r="84" spans="1:37">
      <c r="A84" s="77">
        <v>45446</v>
      </c>
      <c r="B84" s="70">
        <v>1600</v>
      </c>
      <c r="C84" s="71"/>
      <c r="D84" s="70">
        <f>(SUM(粮草!A84:X84)+AG84*10)*IF(AK84="是",$AY$4,$AY$3)</f>
        <v>1824</v>
      </c>
      <c r="E84" s="78">
        <f>SUM($B$4:B84)+SUM($C$4:C84)-SUM($D$4:D84)</f>
        <v>4008</v>
      </c>
      <c r="F84" s="70">
        <f>SUM(经验!A84:X84)</f>
        <v>660</v>
      </c>
      <c r="G84" s="79">
        <f>SUM($F$4:F84)+SUM($H$4:H84)</f>
        <v>55550</v>
      </c>
      <c r="H84" s="70">
        <v>200</v>
      </c>
      <c r="I84" s="72" t="s">
        <v>34</v>
      </c>
      <c r="J84" s="72" t="s">
        <v>34</v>
      </c>
      <c r="K84" s="72" t="s">
        <v>34</v>
      </c>
      <c r="L84" s="72" t="s">
        <v>34</v>
      </c>
      <c r="M84" s="72" t="s">
        <v>34</v>
      </c>
      <c r="N84" s="72" t="s">
        <v>34</v>
      </c>
      <c r="O84" s="73" t="s">
        <v>34</v>
      </c>
      <c r="P84" s="73" t="s">
        <v>34</v>
      </c>
      <c r="Q84" s="84" t="s">
        <v>43</v>
      </c>
      <c r="R84" s="84" t="s">
        <v>43</v>
      </c>
      <c r="S84" s="84" t="s">
        <v>43</v>
      </c>
      <c r="T84" s="84" t="s">
        <v>43</v>
      </c>
      <c r="U84" s="84" t="s">
        <v>43</v>
      </c>
      <c r="V84" s="84" t="s">
        <v>43</v>
      </c>
      <c r="W84" s="73" t="s">
        <v>34</v>
      </c>
      <c r="X84" s="73" t="s">
        <v>34</v>
      </c>
      <c r="Y84" s="84" t="s">
        <v>43</v>
      </c>
      <c r="Z84" s="84" t="s">
        <v>43</v>
      </c>
      <c r="AA84" s="84" t="s">
        <v>43</v>
      </c>
      <c r="AB84" s="84" t="s">
        <v>43</v>
      </c>
      <c r="AC84" s="84" t="s">
        <v>43</v>
      </c>
      <c r="AD84" s="84" t="s">
        <v>43</v>
      </c>
      <c r="AE84" s="73" t="s">
        <v>34</v>
      </c>
      <c r="AF84" s="73" t="s">
        <v>34</v>
      </c>
      <c r="AG84" s="74">
        <f t="shared" si="11"/>
        <v>0</v>
      </c>
      <c r="AH84" s="75"/>
      <c r="AI84" s="75"/>
      <c r="AJ84" s="75"/>
      <c r="AK84" s="99" t="s">
        <v>52</v>
      </c>
    </row>
    <row r="85" spans="1:37">
      <c r="A85" s="77">
        <v>45447</v>
      </c>
      <c r="B85" s="70">
        <v>1600</v>
      </c>
      <c r="C85" s="71"/>
      <c r="D85" s="70">
        <f>(SUM(粮草!A85:X85)+AG85*10)*IF(AK85="是",$AY$4,$AY$3)</f>
        <v>1824</v>
      </c>
      <c r="E85" s="78">
        <f>SUM($B$4:B85)+SUM($C$4:C85)-SUM($D$4:D85)</f>
        <v>3784</v>
      </c>
      <c r="F85" s="70">
        <f>SUM(经验!A85:X85)</f>
        <v>660</v>
      </c>
      <c r="G85" s="79">
        <f>SUM($F$4:F85)+SUM($H$4:H85)</f>
        <v>56210</v>
      </c>
      <c r="H85" s="70">
        <v>0</v>
      </c>
      <c r="I85" s="72" t="s">
        <v>34</v>
      </c>
      <c r="J85" s="72" t="s">
        <v>34</v>
      </c>
      <c r="K85" s="72" t="s">
        <v>34</v>
      </c>
      <c r="L85" s="72" t="s">
        <v>34</v>
      </c>
      <c r="M85" s="72" t="s">
        <v>34</v>
      </c>
      <c r="N85" s="72" t="s">
        <v>34</v>
      </c>
      <c r="O85" s="73" t="s">
        <v>34</v>
      </c>
      <c r="P85" s="73" t="s">
        <v>34</v>
      </c>
      <c r="Q85" s="84" t="s">
        <v>43</v>
      </c>
      <c r="R85" s="84" t="s">
        <v>43</v>
      </c>
      <c r="S85" s="84" t="s">
        <v>43</v>
      </c>
      <c r="T85" s="84" t="s">
        <v>43</v>
      </c>
      <c r="U85" s="84" t="s">
        <v>43</v>
      </c>
      <c r="V85" s="84" t="s">
        <v>43</v>
      </c>
      <c r="W85" s="73" t="s">
        <v>34</v>
      </c>
      <c r="X85" s="73" t="s">
        <v>34</v>
      </c>
      <c r="Y85" s="84" t="s">
        <v>43</v>
      </c>
      <c r="Z85" s="84" t="s">
        <v>43</v>
      </c>
      <c r="AA85" s="84" t="s">
        <v>43</v>
      </c>
      <c r="AB85" s="84" t="s">
        <v>43</v>
      </c>
      <c r="AC85" s="84" t="s">
        <v>43</v>
      </c>
      <c r="AD85" s="84" t="s">
        <v>43</v>
      </c>
      <c r="AE85" s="73" t="s">
        <v>34</v>
      </c>
      <c r="AF85" s="73" t="s">
        <v>34</v>
      </c>
      <c r="AG85" s="74">
        <f t="shared" si="11"/>
        <v>0</v>
      </c>
      <c r="AH85" s="75"/>
      <c r="AI85" s="75"/>
      <c r="AJ85" s="75"/>
      <c r="AK85" s="99" t="s">
        <v>52</v>
      </c>
    </row>
    <row r="86" spans="1:37">
      <c r="A86" s="77">
        <v>45448</v>
      </c>
      <c r="B86" s="70">
        <v>1600</v>
      </c>
      <c r="C86" s="71">
        <v>40</v>
      </c>
      <c r="D86" s="70">
        <f>(SUM(粮草!A86:X86)+AG86*10)*IF(AK86="是",$AY$4,$AY$3)</f>
        <v>1568</v>
      </c>
      <c r="E86" s="78">
        <f>SUM($B$4:B86)+SUM($C$4:C86)-SUM($D$4:D86)</f>
        <v>3856</v>
      </c>
      <c r="F86" s="70">
        <f>SUM(经验!A86:X86)</f>
        <v>635</v>
      </c>
      <c r="G86" s="79">
        <f>SUM($F$4:F86)+SUM($H$4:H86)</f>
        <v>57145</v>
      </c>
      <c r="H86" s="70">
        <v>300</v>
      </c>
      <c r="I86" s="72" t="s">
        <v>34</v>
      </c>
      <c r="J86" s="72" t="s">
        <v>34</v>
      </c>
      <c r="K86" s="72" t="s">
        <v>34</v>
      </c>
      <c r="L86" s="72" t="s">
        <v>34</v>
      </c>
      <c r="M86" s="72" t="s">
        <v>34</v>
      </c>
      <c r="N86" s="72" t="s">
        <v>34</v>
      </c>
      <c r="O86" s="73" t="s">
        <v>34</v>
      </c>
      <c r="P86" s="73" t="s">
        <v>34</v>
      </c>
      <c r="Q86" s="84" t="s">
        <v>43</v>
      </c>
      <c r="R86" s="92" t="s">
        <v>57</v>
      </c>
      <c r="S86" s="84" t="s">
        <v>43</v>
      </c>
      <c r="T86" s="84" t="s">
        <v>43</v>
      </c>
      <c r="U86" s="84" t="s">
        <v>43</v>
      </c>
      <c r="V86" s="84" t="s">
        <v>43</v>
      </c>
      <c r="W86" s="73" t="s">
        <v>34</v>
      </c>
      <c r="X86" s="73" t="s">
        <v>34</v>
      </c>
      <c r="Y86" s="84" t="s">
        <v>43</v>
      </c>
      <c r="Z86" s="84" t="s">
        <v>43</v>
      </c>
      <c r="AA86" s="84" t="s">
        <v>43</v>
      </c>
      <c r="AB86" s="84" t="s">
        <v>43</v>
      </c>
      <c r="AC86" s="84" t="s">
        <v>43</v>
      </c>
      <c r="AD86" s="84" t="s">
        <v>43</v>
      </c>
      <c r="AE86" s="91" t="s">
        <v>39</v>
      </c>
      <c r="AF86" s="73" t="s">
        <v>34</v>
      </c>
      <c r="AG86" s="74">
        <f t="shared" si="11"/>
        <v>2</v>
      </c>
      <c r="AH86" s="75">
        <v>2</v>
      </c>
      <c r="AI86" s="75"/>
      <c r="AJ86" s="75"/>
      <c r="AK86" s="99" t="s">
        <v>52</v>
      </c>
    </row>
    <row r="87" spans="1:37">
      <c r="A87" s="77">
        <v>45449</v>
      </c>
      <c r="B87" s="70">
        <v>1600</v>
      </c>
      <c r="C87" s="71"/>
      <c r="D87" s="70">
        <f>(SUM(粮草!A87:X87)+AG87*10)*IF(AK87="是",$AY$4,$AY$3)</f>
        <v>2392</v>
      </c>
      <c r="E87" s="78">
        <f>SUM($B$4:B87)+SUM($C$4:C87)-SUM($D$4:D87)</f>
        <v>3064</v>
      </c>
      <c r="F87" s="70">
        <f>SUM(经验!A87:X87)</f>
        <v>865</v>
      </c>
      <c r="G87" s="79">
        <f>SUM($F$4:F87)+SUM($H$4:H87)</f>
        <v>58010</v>
      </c>
      <c r="H87" s="70">
        <v>0</v>
      </c>
      <c r="I87" s="80" t="s">
        <v>33</v>
      </c>
      <c r="J87" s="80" t="s">
        <v>33</v>
      </c>
      <c r="K87" s="91" t="s">
        <v>39</v>
      </c>
      <c r="L87" s="80" t="s">
        <v>33</v>
      </c>
      <c r="M87" s="81" t="s">
        <v>37</v>
      </c>
      <c r="N87" s="91" t="s">
        <v>39</v>
      </c>
      <c r="O87" s="73" t="s">
        <v>34</v>
      </c>
      <c r="P87" s="73" t="s">
        <v>34</v>
      </c>
      <c r="Q87" s="84" t="s">
        <v>43</v>
      </c>
      <c r="R87" s="84" t="s">
        <v>43</v>
      </c>
      <c r="S87" s="84" t="s">
        <v>43</v>
      </c>
      <c r="T87" s="84" t="s">
        <v>43</v>
      </c>
      <c r="U87" s="84" t="s">
        <v>43</v>
      </c>
      <c r="V87" s="84" t="s">
        <v>43</v>
      </c>
      <c r="W87" s="73" t="s">
        <v>34</v>
      </c>
      <c r="X87" s="73" t="s">
        <v>34</v>
      </c>
      <c r="Y87" s="84" t="s">
        <v>43</v>
      </c>
      <c r="Z87" s="84" t="s">
        <v>43</v>
      </c>
      <c r="AA87" s="84" t="s">
        <v>43</v>
      </c>
      <c r="AB87" s="84" t="s">
        <v>43</v>
      </c>
      <c r="AC87" s="84" t="s">
        <v>43</v>
      </c>
      <c r="AD87" s="84" t="s">
        <v>43</v>
      </c>
      <c r="AE87" s="73" t="s">
        <v>34</v>
      </c>
      <c r="AF87" s="73" t="s">
        <v>34</v>
      </c>
      <c r="AG87" s="74">
        <f t="shared" si="11"/>
        <v>0</v>
      </c>
      <c r="AH87" s="75"/>
      <c r="AI87" s="75"/>
      <c r="AJ87" s="75"/>
      <c r="AK87" s="99" t="s">
        <v>52</v>
      </c>
    </row>
    <row r="88" spans="1:37">
      <c r="A88" s="77">
        <v>45450</v>
      </c>
      <c r="B88" s="70">
        <v>1600</v>
      </c>
      <c r="C88" s="71">
        <v>40</v>
      </c>
      <c r="D88" s="70">
        <f>(SUM(粮草!A88:X88)+AG88*10)*IF(AK88="是",$AY$4,$AY$3)</f>
        <v>1888</v>
      </c>
      <c r="E88" s="78">
        <f>SUM($B$4:B88)+SUM($C$4:C88)-SUM($D$4:D88)</f>
        <v>2816</v>
      </c>
      <c r="F88" s="70">
        <f>SUM(经验!A88:X88)</f>
        <v>725</v>
      </c>
      <c r="G88" s="79">
        <f>SUM($F$4:F88)+SUM($H$4:H88)</f>
        <v>58735</v>
      </c>
      <c r="H88" s="70">
        <v>0</v>
      </c>
      <c r="I88" s="81" t="s">
        <v>37</v>
      </c>
      <c r="J88" s="92" t="s">
        <v>57</v>
      </c>
      <c r="K88" s="81" t="s">
        <v>37</v>
      </c>
      <c r="L88" s="81" t="s">
        <v>37</v>
      </c>
      <c r="M88" s="81" t="s">
        <v>37</v>
      </c>
      <c r="N88" s="81" t="s">
        <v>37</v>
      </c>
      <c r="O88" s="73" t="s">
        <v>34</v>
      </c>
      <c r="P88" s="73" t="s">
        <v>34</v>
      </c>
      <c r="Q88" s="84" t="s">
        <v>43</v>
      </c>
      <c r="R88" s="84" t="s">
        <v>43</v>
      </c>
      <c r="S88" s="84" t="s">
        <v>43</v>
      </c>
      <c r="T88" s="91" t="s">
        <v>39</v>
      </c>
      <c r="U88" s="72" t="s">
        <v>34</v>
      </c>
      <c r="V88" s="72" t="s">
        <v>34</v>
      </c>
      <c r="W88" s="73" t="s">
        <v>34</v>
      </c>
      <c r="X88" s="73" t="s">
        <v>34</v>
      </c>
      <c r="Y88" s="84" t="s">
        <v>43</v>
      </c>
      <c r="Z88" s="84" t="s">
        <v>43</v>
      </c>
      <c r="AA88" s="84" t="s">
        <v>43</v>
      </c>
      <c r="AB88" s="84" t="s">
        <v>43</v>
      </c>
      <c r="AC88" s="84" t="s">
        <v>43</v>
      </c>
      <c r="AD88" s="84" t="s">
        <v>43</v>
      </c>
      <c r="AE88" s="73" t="s">
        <v>34</v>
      </c>
      <c r="AF88" s="73" t="s">
        <v>34</v>
      </c>
      <c r="AG88" s="74">
        <f t="shared" si="11"/>
        <v>0</v>
      </c>
      <c r="AH88" s="75"/>
      <c r="AI88" s="75"/>
      <c r="AJ88" s="75"/>
      <c r="AK88" s="99" t="s">
        <v>52</v>
      </c>
    </row>
    <row r="89" spans="1:37">
      <c r="A89" s="77">
        <v>45451</v>
      </c>
      <c r="B89" s="70">
        <v>1600</v>
      </c>
      <c r="C89" s="71"/>
      <c r="D89" s="70">
        <f>(SUM(粮草!A89:X89)+AG89*10)*IF(AK89="是",$AY$4,$AY$3)</f>
        <v>2032</v>
      </c>
      <c r="E89" s="78">
        <f>SUM($B$4:B89)+SUM($C$4:C89)-SUM($D$4:D89)</f>
        <v>2384</v>
      </c>
      <c r="F89" s="70">
        <f>SUM(经验!A89:X89)</f>
        <v>1250</v>
      </c>
      <c r="G89" s="79">
        <f>SUM($F$4:F89)+SUM($H$4:H89)</f>
        <v>59985</v>
      </c>
      <c r="H89" s="70">
        <v>0</v>
      </c>
      <c r="I89" s="53" t="s">
        <v>68</v>
      </c>
      <c r="J89" s="81" t="s">
        <v>37</v>
      </c>
      <c r="K89" s="91" t="s">
        <v>39</v>
      </c>
      <c r="L89" s="72" t="s">
        <v>34</v>
      </c>
      <c r="M89" s="72" t="s">
        <v>34</v>
      </c>
      <c r="N89" s="72" t="s">
        <v>34</v>
      </c>
      <c r="O89" s="73" t="s">
        <v>34</v>
      </c>
      <c r="P89" s="73" t="s">
        <v>34</v>
      </c>
      <c r="Q89" s="84" t="s">
        <v>43</v>
      </c>
      <c r="R89" s="84" t="s">
        <v>43</v>
      </c>
      <c r="S89" s="84" t="s">
        <v>43</v>
      </c>
      <c r="T89" s="84" t="s">
        <v>43</v>
      </c>
      <c r="U89" s="84" t="s">
        <v>43</v>
      </c>
      <c r="V89" s="84" t="s">
        <v>43</v>
      </c>
      <c r="W89" s="73" t="s">
        <v>34</v>
      </c>
      <c r="X89" s="73" t="s">
        <v>34</v>
      </c>
      <c r="Y89" s="84" t="s">
        <v>43</v>
      </c>
      <c r="Z89" s="84" t="s">
        <v>43</v>
      </c>
      <c r="AA89" s="84" t="s">
        <v>43</v>
      </c>
      <c r="AB89" s="84" t="s">
        <v>43</v>
      </c>
      <c r="AC89" s="84" t="s">
        <v>43</v>
      </c>
      <c r="AD89" s="84" t="s">
        <v>43</v>
      </c>
      <c r="AE89" s="73" t="s">
        <v>34</v>
      </c>
      <c r="AF89" s="73" t="s">
        <v>34</v>
      </c>
      <c r="AG89" s="74">
        <f t="shared" si="11"/>
        <v>0</v>
      </c>
      <c r="AH89" s="75"/>
      <c r="AI89" s="75"/>
      <c r="AJ89" s="75"/>
      <c r="AK89" s="99" t="s">
        <v>52</v>
      </c>
    </row>
    <row r="90" spans="1:37">
      <c r="A90" s="77">
        <v>45452</v>
      </c>
      <c r="B90" s="70">
        <v>1600</v>
      </c>
      <c r="C90" s="71"/>
      <c r="D90" s="70">
        <f>(SUM(粮草!A90:X90)+AG90*10)*IF(AK90="是",$AY$4,$AY$3)</f>
        <v>2392</v>
      </c>
      <c r="E90" s="78">
        <f>SUM($B$4:B90)+SUM($C$4:C90)-SUM($D$4:D90)</f>
        <v>1592</v>
      </c>
      <c r="F90" s="70">
        <f>SUM(经验!A90:X90)</f>
        <v>1355</v>
      </c>
      <c r="G90" s="79">
        <f>SUM($F$4:F90)+SUM($H$4:H90)</f>
        <v>61340</v>
      </c>
      <c r="H90" s="70">
        <v>0</v>
      </c>
      <c r="I90" s="81" t="s">
        <v>37</v>
      </c>
      <c r="J90" s="81" t="s">
        <v>37</v>
      </c>
      <c r="K90" s="81" t="s">
        <v>37</v>
      </c>
      <c r="L90" s="81" t="s">
        <v>37</v>
      </c>
      <c r="M90" s="91" t="s">
        <v>39</v>
      </c>
      <c r="N90" s="81" t="s">
        <v>37</v>
      </c>
      <c r="O90" s="73" t="s">
        <v>34</v>
      </c>
      <c r="P90" s="73" t="s">
        <v>34</v>
      </c>
      <c r="Q90" s="84" t="s">
        <v>43</v>
      </c>
      <c r="R90" s="84" t="s">
        <v>43</v>
      </c>
      <c r="S90" s="84" t="s">
        <v>43</v>
      </c>
      <c r="T90" s="53" t="s">
        <v>68</v>
      </c>
      <c r="U90" s="84" t="s">
        <v>43</v>
      </c>
      <c r="V90" s="84" t="s">
        <v>43</v>
      </c>
      <c r="W90" s="73" t="s">
        <v>34</v>
      </c>
      <c r="X90" s="73" t="s">
        <v>34</v>
      </c>
      <c r="Y90" s="84" t="s">
        <v>43</v>
      </c>
      <c r="Z90" s="84" t="s">
        <v>43</v>
      </c>
      <c r="AA90" s="84" t="s">
        <v>43</v>
      </c>
      <c r="AB90" s="84" t="s">
        <v>43</v>
      </c>
      <c r="AC90" s="84" t="s">
        <v>43</v>
      </c>
      <c r="AD90" s="84" t="s">
        <v>43</v>
      </c>
      <c r="AE90" s="73" t="s">
        <v>34</v>
      </c>
      <c r="AF90" s="73" t="s">
        <v>34</v>
      </c>
      <c r="AG90" s="74">
        <f t="shared" si="11"/>
        <v>0</v>
      </c>
      <c r="AH90" s="75"/>
      <c r="AI90" s="75"/>
      <c r="AJ90" s="75"/>
      <c r="AK90" s="99" t="s">
        <v>52</v>
      </c>
    </row>
    <row r="91" spans="1:37">
      <c r="A91" s="77">
        <v>45453</v>
      </c>
      <c r="B91" s="72">
        <v>1600</v>
      </c>
      <c r="C91" s="72"/>
      <c r="D91" s="70">
        <f>(SUM(粮草!A91:X91)+AG91*10)*IF(AK91="是",$AY$4,$AY$3)</f>
        <v>2432</v>
      </c>
      <c r="E91" s="78">
        <f>SUM($B$4:B91)+SUM($C$4:C91)-SUM($D$4:D91)</f>
        <v>760</v>
      </c>
      <c r="F91" s="70">
        <f>SUM(经验!A91:X91)</f>
        <v>1325</v>
      </c>
      <c r="G91" s="79">
        <f>SUM($F$4:F91)+SUM($H$4:H91)</f>
        <v>62865</v>
      </c>
      <c r="H91" s="72">
        <v>200</v>
      </c>
      <c r="I91" s="91" t="s">
        <v>39</v>
      </c>
      <c r="J91" s="81" t="s">
        <v>37</v>
      </c>
      <c r="K91" s="81" t="s">
        <v>37</v>
      </c>
      <c r="L91" s="81" t="s">
        <v>37</v>
      </c>
      <c r="M91" s="81" t="s">
        <v>37</v>
      </c>
      <c r="N91" s="91" t="s">
        <v>39</v>
      </c>
      <c r="O91" s="73" t="s">
        <v>34</v>
      </c>
      <c r="P91" s="73" t="s">
        <v>34</v>
      </c>
      <c r="Q91" s="100" t="s">
        <v>49</v>
      </c>
      <c r="R91" s="84" t="s">
        <v>43</v>
      </c>
      <c r="S91" s="84" t="s">
        <v>43</v>
      </c>
      <c r="T91" s="94" t="s">
        <v>54</v>
      </c>
      <c r="U91" s="84" t="s">
        <v>43</v>
      </c>
      <c r="V91" s="84" t="s">
        <v>43</v>
      </c>
      <c r="W91" s="73" t="s">
        <v>34</v>
      </c>
      <c r="X91" s="73" t="s">
        <v>34</v>
      </c>
      <c r="Y91" s="84" t="s">
        <v>43</v>
      </c>
      <c r="Z91" s="84" t="s">
        <v>43</v>
      </c>
      <c r="AA91" s="84" t="s">
        <v>43</v>
      </c>
      <c r="AB91" s="84" t="s">
        <v>43</v>
      </c>
      <c r="AC91" s="84" t="s">
        <v>43</v>
      </c>
      <c r="AD91" s="84" t="s">
        <v>43</v>
      </c>
      <c r="AE91" s="73" t="s">
        <v>34</v>
      </c>
      <c r="AF91" s="73" t="s">
        <v>34</v>
      </c>
      <c r="AG91" s="74">
        <f t="shared" si="11"/>
        <v>0</v>
      </c>
      <c r="AH91" s="75"/>
      <c r="AI91" s="75"/>
      <c r="AJ91" s="75"/>
      <c r="AK91" s="99" t="s">
        <v>52</v>
      </c>
    </row>
    <row r="92" spans="1:37">
      <c r="A92" s="77">
        <v>45454</v>
      </c>
      <c r="B92" s="72">
        <v>1600</v>
      </c>
      <c r="C92" s="72"/>
      <c r="D92" s="70">
        <f>(SUM(粮草!A92:X92)+AG92*10)*IF(AK92="是",$AY$4,$AY$3)</f>
        <v>2272</v>
      </c>
      <c r="E92" s="78">
        <f>SUM($B$4:B92)+SUM($C$4:C92)-SUM($D$4:D92)</f>
        <v>88</v>
      </c>
      <c r="F92" s="70">
        <f>SUM(经验!A92:X92)</f>
        <v>805</v>
      </c>
      <c r="G92" s="79">
        <f>SUM($F$4:F92)+SUM($H$4:H92)</f>
        <v>63770</v>
      </c>
      <c r="H92" s="72">
        <v>100</v>
      </c>
      <c r="I92" s="81" t="s">
        <v>37</v>
      </c>
      <c r="J92" s="81" t="s">
        <v>37</v>
      </c>
      <c r="K92" s="91" t="s">
        <v>39</v>
      </c>
      <c r="L92" s="81" t="s">
        <v>37</v>
      </c>
      <c r="M92" s="81" t="s">
        <v>37</v>
      </c>
      <c r="N92" s="81" t="s">
        <v>37</v>
      </c>
      <c r="O92" s="81" t="s">
        <v>37</v>
      </c>
      <c r="P92" s="81" t="s">
        <v>37</v>
      </c>
      <c r="Q92" s="100" t="s">
        <v>49</v>
      </c>
      <c r="R92" s="84" t="s">
        <v>43</v>
      </c>
      <c r="S92" s="84" t="s">
        <v>43</v>
      </c>
      <c r="T92" s="84" t="s">
        <v>43</v>
      </c>
      <c r="U92" s="84" t="s">
        <v>43</v>
      </c>
      <c r="V92" s="84" t="s">
        <v>43</v>
      </c>
      <c r="W92" s="73" t="s">
        <v>34</v>
      </c>
      <c r="X92" s="73" t="s">
        <v>34</v>
      </c>
      <c r="Y92" s="84" t="s">
        <v>43</v>
      </c>
      <c r="Z92" s="84" t="s">
        <v>43</v>
      </c>
      <c r="AA92" s="84" t="s">
        <v>43</v>
      </c>
      <c r="AB92" s="72" t="s">
        <v>34</v>
      </c>
      <c r="AC92" s="72" t="s">
        <v>34</v>
      </c>
      <c r="AD92" s="72" t="s">
        <v>34</v>
      </c>
      <c r="AE92" s="73" t="s">
        <v>34</v>
      </c>
      <c r="AF92" s="73" t="s">
        <v>34</v>
      </c>
      <c r="AG92" s="74">
        <f t="shared" si="11"/>
        <v>0</v>
      </c>
      <c r="AH92" s="75"/>
      <c r="AI92" s="75"/>
      <c r="AJ92" s="75"/>
      <c r="AK92" s="76" t="s">
        <v>52</v>
      </c>
    </row>
    <row r="93" spans="1:37">
      <c r="A93" s="77">
        <v>45455</v>
      </c>
      <c r="B93" s="72">
        <v>1600</v>
      </c>
      <c r="C93" s="72"/>
      <c r="D93" s="70">
        <f>(SUM(粮草!A93:X93)+AG93*10)*IF(AK93="是",$AY$4,$AY$3)</f>
        <v>1688</v>
      </c>
      <c r="E93" s="78">
        <f>SUM($B$4:B93)+SUM($C$4:C93)-SUM($D$4:D93)</f>
        <v>0</v>
      </c>
      <c r="F93" s="70">
        <f>SUM(经验!A93:X93)</f>
        <v>620</v>
      </c>
      <c r="G93" s="79">
        <f>SUM($F$4:F93)+SUM($H$4:H93)</f>
        <v>64590</v>
      </c>
      <c r="H93" s="72">
        <v>200</v>
      </c>
      <c r="I93" s="72" t="s">
        <v>34</v>
      </c>
      <c r="J93" s="72" t="s">
        <v>34</v>
      </c>
      <c r="K93" s="81" t="s">
        <v>37</v>
      </c>
      <c r="L93" s="91" t="s">
        <v>39</v>
      </c>
      <c r="M93" s="72" t="s">
        <v>34</v>
      </c>
      <c r="N93" s="72" t="s">
        <v>34</v>
      </c>
      <c r="O93" s="73" t="s">
        <v>34</v>
      </c>
      <c r="P93" s="73" t="s">
        <v>34</v>
      </c>
      <c r="Q93" s="84" t="s">
        <v>43</v>
      </c>
      <c r="R93" s="84" t="s">
        <v>43</v>
      </c>
      <c r="S93" s="84" t="s">
        <v>43</v>
      </c>
      <c r="T93" s="84" t="s">
        <v>43</v>
      </c>
      <c r="U93" s="84" t="s">
        <v>43</v>
      </c>
      <c r="V93" s="84" t="s">
        <v>43</v>
      </c>
      <c r="W93" s="84" t="s">
        <v>43</v>
      </c>
      <c r="X93" s="73" t="s">
        <v>34</v>
      </c>
      <c r="Y93" s="84" t="s">
        <v>43</v>
      </c>
      <c r="Z93" s="84" t="s">
        <v>43</v>
      </c>
      <c r="AA93" s="84" t="s">
        <v>43</v>
      </c>
      <c r="AB93" s="72" t="s">
        <v>34</v>
      </c>
      <c r="AC93" s="72" t="s">
        <v>34</v>
      </c>
      <c r="AD93" s="72" t="s">
        <v>34</v>
      </c>
      <c r="AE93" s="73" t="s">
        <v>34</v>
      </c>
      <c r="AF93" s="73" t="s">
        <v>34</v>
      </c>
      <c r="AG93" s="74">
        <f t="shared" si="11"/>
        <v>0</v>
      </c>
      <c r="AH93" s="75"/>
      <c r="AI93" s="75"/>
      <c r="AJ93" s="75"/>
      <c r="AK93" s="76" t="s">
        <v>52</v>
      </c>
    </row>
    <row r="95" spans="1:37">
      <c r="D95" t="s">
        <v>59</v>
      </c>
      <c r="E95" s="17">
        <f>COUNTIF(E4:E93,"&lt;0")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49" t="s">
        <v>60</v>
      </c>
      <c r="B2" s="150"/>
      <c r="C2" s="1" t="s">
        <v>4</v>
      </c>
      <c r="D2" s="1">
        <f>COUNTIF(A4:H94,"&lt;&gt;空")</f>
        <v>728</v>
      </c>
      <c r="E2" s="150" t="s">
        <v>5</v>
      </c>
      <c r="F2" s="150"/>
      <c r="G2" s="150"/>
      <c r="H2" s="151"/>
      <c r="I2" s="152" t="s">
        <v>6</v>
      </c>
      <c r="J2" s="153"/>
      <c r="K2" s="6" t="s">
        <v>4</v>
      </c>
      <c r="L2" s="6">
        <f>COUNTIF(I4:P94,"&lt;&gt;空")</f>
        <v>728</v>
      </c>
      <c r="M2" s="153" t="s">
        <v>5</v>
      </c>
      <c r="N2" s="153"/>
      <c r="O2" s="153"/>
      <c r="P2" s="154"/>
      <c r="Q2" s="155" t="s">
        <v>7</v>
      </c>
      <c r="R2" s="147"/>
      <c r="S2" s="10" t="s">
        <v>8</v>
      </c>
      <c r="T2" s="9">
        <f>COUNTIF(Q4:X94,"&lt;&gt;空")</f>
        <v>728</v>
      </c>
      <c r="U2" s="147" t="s">
        <v>5</v>
      </c>
      <c r="V2" s="147"/>
      <c r="W2" s="147"/>
      <c r="X2" s="14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(VLOOKUP('15.01'!I4,'15.01'!$AM$4:$AO$55,2,FALSE))*IF('15.01'!AK$4="是",'15.01'!$AY$4,'15.01'!$AY$3)</f>
        <v>150</v>
      </c>
      <c r="B4" s="4">
        <f>(VLOOKUP('15.01'!J4,'15.01'!$AM$4:$AO$55,2,FALSE))*IF('15.01'!AL$4="是",'15.01'!$AY$4,'15.01'!$AY$3)</f>
        <v>150</v>
      </c>
      <c r="C4" s="4">
        <f>(VLOOKUP('15.01'!K4,'15.01'!$AM$4:$AO$55,2,FALSE))*IF('15.01'!AM$4="是",'15.01'!$AY$4,'15.01'!$AY$3)</f>
        <v>150</v>
      </c>
      <c r="D4" s="4">
        <f>(VLOOKUP('15.01'!L4,'15.01'!$AM$4:$AO$55,2,FALSE))*IF('15.01'!AN$4="是",'15.01'!$AY$4,'15.01'!$AY$3)</f>
        <v>150</v>
      </c>
      <c r="E4" s="4">
        <f>(VLOOKUP('15.01'!M4,'15.01'!$AM$4:$AO$55,2,FALSE))*IF('15.01'!AO$4="是",'15.01'!$AY$4,'15.01'!$AY$3)</f>
        <v>150</v>
      </c>
      <c r="F4" s="4">
        <f>(VLOOKUP('15.01'!N4,'15.01'!$AM$4:$AO$55,2,FALSE))*IF('15.01'!AQ$4="是",'15.01'!$AY$4,'15.01'!$AY$3)</f>
        <v>50</v>
      </c>
      <c r="G4" s="5">
        <f>(VLOOKUP('15.01'!O4,'15.01'!$AM$4:$AO$55,2,FALSE))*IF('15.01'!AR$4="是",'15.01'!$AY$4,'15.01'!$AY$3)</f>
        <v>0</v>
      </c>
      <c r="H4" s="5">
        <f>(VLOOKUP('15.01'!P4,'15.01'!$AM$4:$AO$55,2,FALSE))*IF('15.01'!AS$4="是",'15.01'!$AY$4,'15.01'!$AY$3)</f>
        <v>0</v>
      </c>
      <c r="I4" s="4">
        <f>(VLOOKUP('15.01'!Q4,'15.01'!$AM$4:$AO$55,2,FALSE))*IF('15.01'!AT$4="是",'15.01'!$AY$4,'15.01'!$AY$3)</f>
        <v>150</v>
      </c>
      <c r="J4" s="4">
        <f>(VLOOKUP('15.01'!R4,'15.01'!$AM$4:$AO$55,2,FALSE))*IF('15.01'!AU$4="是",'15.01'!$AY$4,'15.01'!$AY$3)</f>
        <v>150</v>
      </c>
      <c r="K4" s="4">
        <f>(VLOOKUP('15.01'!S4,'15.01'!$AM$4:$AO$55,2,FALSE))*IF('15.01'!AV$4="是",'15.01'!$AY$4,'15.01'!$AY$3)</f>
        <v>150</v>
      </c>
      <c r="L4" s="4">
        <f>(VLOOKUP('15.01'!T4,'15.01'!$AM$4:$AO$55,2,FALSE))*IF('15.01'!AW$4="是",'15.01'!$AY$4,'15.01'!$AY$3)</f>
        <v>150</v>
      </c>
      <c r="M4" s="4">
        <f>(VLOOKUP('15.01'!U4,'15.01'!$AM$4:$AO$55,2,FALSE))*IF('15.01'!AX$4="是",'15.01'!$AY$4,'15.01'!$AY$3)</f>
        <v>150</v>
      </c>
      <c r="N4" s="4">
        <f>(VLOOKUP('15.01'!V4,'15.01'!$AM$4:$AO$55,2,FALSE))*IF('15.01'!AY$4="是",'15.01'!$AY$4,'15.01'!$AY$3)</f>
        <v>150</v>
      </c>
      <c r="O4" s="5">
        <f>(VLOOKUP('15.01'!W4,'15.01'!$AM$4:$AO$55,2,FALSE))*IF('15.01'!AZ$4="是",'15.01'!$AY$4,'15.01'!$AY$3)</f>
        <v>0</v>
      </c>
      <c r="P4" s="5">
        <f>(VLOOKUP('15.01'!X4,'15.01'!$AM$4:$AO$55,2,FALSE))*IF('15.01'!BA$4="是",'15.01'!$AY$4,'15.01'!$AY$3)</f>
        <v>0</v>
      </c>
      <c r="Q4" s="4">
        <f>(VLOOKUP('15.01'!Y4,'15.01'!$AM$4:$AO$55,2,FALSE))*IF('15.01'!BB$4="是",'15.01'!$AY$4,'15.01'!$AY$3)</f>
        <v>0</v>
      </c>
      <c r="R4" s="4">
        <f>(VLOOKUP('15.01'!Z4,'15.01'!$AM$4:$AO$55,2,FALSE))*IF('15.01'!BC$4="是",'15.01'!$AY$4,'15.01'!$AY$3)</f>
        <v>0</v>
      </c>
      <c r="S4" s="4">
        <f>(VLOOKUP('15.01'!AA4,'15.01'!$AM$4:$AO$55,2,FALSE))*IF('15.01'!BD$4="是",'15.01'!$AY$4,'15.01'!$AY$3)</f>
        <v>0</v>
      </c>
      <c r="T4" s="4">
        <f>(VLOOKUP('15.01'!AB4,'15.01'!$AM$4:$AO$55,2,FALSE))*IF('15.01'!BE$4="是",'15.01'!$AY$4,'15.01'!$AY$3)</f>
        <v>0</v>
      </c>
      <c r="U4" s="4">
        <f>(VLOOKUP('15.01'!AC4,'15.01'!$AM$4:$AO$55,2,FALSE))*IF('15.01'!BF$4="是",'15.01'!$AY$4,'15.01'!$AY$3)</f>
        <v>0</v>
      </c>
      <c r="V4" s="4">
        <f>(VLOOKUP('15.01'!AD4,'15.01'!$AM$4:$AO$55,2,FALSE))*IF('15.01'!BG$4="是",'15.01'!$AY$4,'15.01'!$AY$3)</f>
        <v>0</v>
      </c>
      <c r="W4" s="5">
        <f>(VLOOKUP('15.01'!AE4,'15.01'!$AM$4:$AO$55,2,FALSE))*IF('15.01'!BH$4="是",'15.01'!$AY$4,'15.01'!$AY$3)</f>
        <v>0</v>
      </c>
      <c r="X4" s="5">
        <f>(VLOOKUP('15.01'!AF4,'15.01'!$AM$4:$AO$55,2,FALSE))*IF('15.01'!BI$4="是",'15.01'!$AY$4,'15.01'!$AY$3)</f>
        <v>0</v>
      </c>
    </row>
    <row r="5" spans="1:24">
      <c r="A5" s="4">
        <f>(VLOOKUP('15.01'!I5,'15.01'!$AM$4:$AO$55,2,FALSE))*IF('15.01'!AK$4="是",'15.01'!$AY$4,'15.01'!$AY$3)</f>
        <v>0</v>
      </c>
      <c r="B5" s="4">
        <f>(VLOOKUP('15.01'!J5,'15.01'!$AM$4:$AO$55,2,FALSE))*IF('15.01'!AL$4="是",'15.01'!$AY$4,'15.01'!$AY$3)</f>
        <v>0</v>
      </c>
      <c r="C5" s="4">
        <f>(VLOOKUP('15.01'!K5,'15.01'!$AM$4:$AO$55,2,FALSE))*IF('15.01'!AM$4="是",'15.01'!$AY$4,'15.01'!$AY$3)</f>
        <v>0</v>
      </c>
      <c r="D5" s="4">
        <f>(VLOOKUP('15.01'!L5,'15.01'!$AM$4:$AO$55,2,FALSE))*IF('15.01'!AN$4="是",'15.01'!$AY$4,'15.01'!$AY$3)</f>
        <v>0</v>
      </c>
      <c r="E5" s="4">
        <f>(VLOOKUP('15.01'!M5,'15.01'!$AM$4:$AO$55,2,FALSE))*IF('15.01'!AO$4="是",'15.01'!$AY$4,'15.01'!$AY$3)</f>
        <v>0</v>
      </c>
      <c r="F5" s="4">
        <f>(VLOOKUP('15.01'!N5,'15.01'!$AM$4:$AO$55,2,FALSE))*IF('15.01'!AQ$4="是",'15.01'!$AY$4,'15.01'!$AY$3)</f>
        <v>0</v>
      </c>
      <c r="G5" s="5">
        <f>(VLOOKUP('15.01'!O5,'15.01'!$AM$4:$AO$55,2,FALSE))*IF('15.01'!AR$4="是",'15.01'!$AY$4,'15.01'!$AY$3)</f>
        <v>0</v>
      </c>
      <c r="H5" s="5">
        <f>(VLOOKUP('15.01'!P5,'15.01'!$AM$4:$AO$55,2,FALSE))*IF('15.01'!AS$4="是",'15.01'!$AY$4,'15.01'!$AY$3)</f>
        <v>0</v>
      </c>
      <c r="I5" s="4">
        <f>(VLOOKUP('15.01'!Q5,'15.01'!$AM$4:$AO$55,2,FALSE))*IF('15.01'!AT$4="是",'15.01'!$AY$4,'15.01'!$AY$3)</f>
        <v>150</v>
      </c>
      <c r="J5" s="4">
        <f>(VLOOKUP('15.01'!R5,'15.01'!$AM$4:$AO$55,2,FALSE))*IF('15.01'!AU$4="是",'15.01'!$AY$4,'15.01'!$AY$3)</f>
        <v>50</v>
      </c>
      <c r="K5" s="4">
        <f>(VLOOKUP('15.01'!S5,'15.01'!$AM$4:$AO$55,2,FALSE))*IF('15.01'!AV$4="是",'15.01'!$AY$4,'15.01'!$AY$3)</f>
        <v>150</v>
      </c>
      <c r="L5" s="4">
        <f>(VLOOKUP('15.01'!T5,'15.01'!$AM$4:$AO$55,2,FALSE))*IF('15.01'!AW$4="是",'15.01'!$AY$4,'15.01'!$AY$3)</f>
        <v>150</v>
      </c>
      <c r="M5" s="4">
        <f>(VLOOKUP('15.01'!U5,'15.01'!$AM$4:$AO$55,2,FALSE))*IF('15.01'!AX$4="是",'15.01'!$AY$4,'15.01'!$AY$3)</f>
        <v>150</v>
      </c>
      <c r="N5" s="4">
        <f>(VLOOKUP('15.01'!V5,'15.01'!$AM$4:$AO$55,2,FALSE))*IF('15.01'!AY$4="是",'15.01'!$AY$4,'15.01'!$AY$3)</f>
        <v>50</v>
      </c>
      <c r="O5" s="5">
        <f>(VLOOKUP('15.01'!W5,'15.01'!$AM$4:$AO$55,2,FALSE))*IF('15.01'!AZ$4="是",'15.01'!$AY$4,'15.01'!$AY$3)</f>
        <v>0</v>
      </c>
      <c r="P5" s="5">
        <f>(VLOOKUP('15.01'!X5,'15.01'!$AM$4:$AO$55,2,FALSE))*IF('15.01'!BA$4="是",'15.01'!$AY$4,'15.01'!$AY$3)</f>
        <v>0</v>
      </c>
      <c r="Q5" s="4">
        <f>(VLOOKUP('15.01'!Y5,'15.01'!$AM$4:$AO$55,2,FALSE))*IF('15.01'!BB$4="是",'15.01'!$AY$4,'15.01'!$AY$3)</f>
        <v>150</v>
      </c>
      <c r="R5" s="4">
        <f>(VLOOKUP('15.01'!Z5,'15.01'!$AM$4:$AO$55,2,FALSE))*IF('15.01'!BC$4="是",'15.01'!$AY$4,'15.01'!$AY$3)</f>
        <v>150</v>
      </c>
      <c r="S5" s="4">
        <f>(VLOOKUP('15.01'!AA5,'15.01'!$AM$4:$AO$55,2,FALSE))*IF('15.01'!BD$4="是",'15.01'!$AY$4,'15.01'!$AY$3)</f>
        <v>150</v>
      </c>
      <c r="T5" s="4">
        <f>(VLOOKUP('15.01'!AB5,'15.01'!$AM$4:$AO$55,2,FALSE))*IF('15.01'!BE$4="是",'15.01'!$AY$4,'15.01'!$AY$3)</f>
        <v>50</v>
      </c>
      <c r="U5" s="4">
        <f>(VLOOKUP('15.01'!AC5,'15.01'!$AM$4:$AO$55,2,FALSE))*IF('15.01'!BF$4="是",'15.01'!$AY$4,'15.01'!$AY$3)</f>
        <v>150</v>
      </c>
      <c r="V5" s="4">
        <f>(VLOOKUP('15.01'!AD5,'15.01'!$AM$4:$AO$55,2,FALSE))*IF('15.01'!BG$4="是",'15.01'!$AY$4,'15.01'!$AY$3)</f>
        <v>150</v>
      </c>
      <c r="W5" s="5">
        <f>(VLOOKUP('15.01'!AE5,'15.01'!$AM$4:$AO$55,2,FALSE))*IF('15.01'!BH$4="是",'15.01'!$AY$4,'15.01'!$AY$3)</f>
        <v>150</v>
      </c>
      <c r="X5" s="5">
        <f>(VLOOKUP('15.01'!AF5,'15.01'!$AM$4:$AO$55,2,FALSE))*IF('15.01'!BI$4="是",'15.01'!$AY$4,'15.01'!$AY$3)</f>
        <v>160</v>
      </c>
    </row>
    <row r="6" spans="1:24">
      <c r="A6" s="4">
        <f>(VLOOKUP('15.01'!I6,'15.01'!$AM$4:$AO$55,2,FALSE))*IF('15.01'!AK$4="是",'15.01'!$AY$4,'15.01'!$AY$3)</f>
        <v>0</v>
      </c>
      <c r="B6" s="4">
        <f>(VLOOKUP('15.01'!J6,'15.01'!$AM$4:$AO$55,2,FALSE))*IF('15.01'!AL$4="是",'15.01'!$AY$4,'15.01'!$AY$3)</f>
        <v>0</v>
      </c>
      <c r="C6" s="4">
        <f>(VLOOKUP('15.01'!K6,'15.01'!$AM$4:$AO$55,2,FALSE))*IF('15.01'!AM$4="是",'15.01'!$AY$4,'15.01'!$AY$3)</f>
        <v>0</v>
      </c>
      <c r="D6" s="4">
        <f>(VLOOKUP('15.01'!L6,'15.01'!$AM$4:$AO$55,2,FALSE))*IF('15.01'!AN$4="是",'15.01'!$AY$4,'15.01'!$AY$3)</f>
        <v>0</v>
      </c>
      <c r="E6" s="4">
        <f>(VLOOKUP('15.01'!M6,'15.01'!$AM$4:$AO$55,2,FALSE))*IF('15.01'!AO$4="是",'15.01'!$AY$4,'15.01'!$AY$3)</f>
        <v>0</v>
      </c>
      <c r="F6" s="4">
        <f>(VLOOKUP('15.01'!N6,'15.01'!$AM$4:$AO$55,2,FALSE))*IF('15.01'!AQ$4="是",'15.01'!$AY$4,'15.01'!$AY$3)</f>
        <v>0</v>
      </c>
      <c r="G6" s="5">
        <f>(VLOOKUP('15.01'!O6,'15.01'!$AM$4:$AO$55,2,FALSE))*IF('15.01'!AR$4="是",'15.01'!$AY$4,'15.01'!$AY$3)</f>
        <v>0</v>
      </c>
      <c r="H6" s="5">
        <f>(VLOOKUP('15.01'!P6,'15.01'!$AM$4:$AO$55,2,FALSE))*IF('15.01'!AS$4="是",'15.01'!$AY$4,'15.01'!$AY$3)</f>
        <v>0</v>
      </c>
      <c r="I6" s="4">
        <f>(VLOOKUP('15.01'!Q6,'15.01'!$AM$4:$AO$55,2,FALSE))*IF('15.01'!AT$4="是",'15.01'!$AY$4,'15.01'!$AY$3)</f>
        <v>150</v>
      </c>
      <c r="J6" s="4">
        <f>(VLOOKUP('15.01'!R6,'15.01'!$AM$4:$AO$55,2,FALSE))*IF('15.01'!AU$4="是",'15.01'!$AY$4,'15.01'!$AY$3)</f>
        <v>150</v>
      </c>
      <c r="K6" s="4">
        <f>(VLOOKUP('15.01'!S6,'15.01'!$AM$4:$AO$55,2,FALSE))*IF('15.01'!AV$4="是",'15.01'!$AY$4,'15.01'!$AY$3)</f>
        <v>160</v>
      </c>
      <c r="L6" s="4">
        <f>(VLOOKUP('15.01'!T6,'15.01'!$AM$4:$AO$55,2,FALSE))*IF('15.01'!AW$4="是",'15.01'!$AY$4,'15.01'!$AY$3)</f>
        <v>160</v>
      </c>
      <c r="M6" s="4">
        <f>(VLOOKUP('15.01'!U6,'15.01'!$AM$4:$AO$55,2,FALSE))*IF('15.01'!AX$4="是",'15.01'!$AY$4,'15.01'!$AY$3)</f>
        <v>-150</v>
      </c>
      <c r="N6" s="4">
        <f>(VLOOKUP('15.01'!V6,'15.01'!$AM$4:$AO$55,2,FALSE))*IF('15.01'!AY$4="是",'15.01'!$AY$4,'15.01'!$AY$3)</f>
        <v>160</v>
      </c>
      <c r="O6" s="5">
        <f>(VLOOKUP('15.01'!W6,'15.01'!$AM$4:$AO$55,2,FALSE))*IF('15.01'!AZ$4="是",'15.01'!$AY$4,'15.01'!$AY$3)</f>
        <v>0</v>
      </c>
      <c r="P6" s="5">
        <f>(VLOOKUP('15.01'!X6,'15.01'!$AM$4:$AO$55,2,FALSE))*IF('15.01'!BA$4="是",'15.01'!$AY$4,'15.01'!$AY$3)</f>
        <v>0</v>
      </c>
      <c r="Q6" s="4">
        <f>(VLOOKUP('15.01'!Y6,'15.01'!$AM$4:$AO$55,2,FALSE))*IF('15.01'!BB$4="是",'15.01'!$AY$4,'15.01'!$AY$3)</f>
        <v>160</v>
      </c>
      <c r="R6" s="4">
        <f>(VLOOKUP('15.01'!Z6,'15.01'!$AM$4:$AO$55,2,FALSE))*IF('15.01'!BC$4="是",'15.01'!$AY$4,'15.01'!$AY$3)</f>
        <v>160</v>
      </c>
      <c r="S6" s="4">
        <f>(VLOOKUP('15.01'!AA6,'15.01'!$AM$4:$AO$55,2,FALSE))*IF('15.01'!BD$4="是",'15.01'!$AY$4,'15.01'!$AY$3)</f>
        <v>160</v>
      </c>
      <c r="T6" s="4">
        <f>(VLOOKUP('15.01'!AB6,'15.01'!$AM$4:$AO$55,2,FALSE))*IF('15.01'!BE$4="是",'15.01'!$AY$4,'15.01'!$AY$3)</f>
        <v>50</v>
      </c>
      <c r="U6" s="4">
        <f>(VLOOKUP('15.01'!AC6,'15.01'!$AM$4:$AO$55,2,FALSE))*IF('15.01'!BF$4="是",'15.01'!$AY$4,'15.01'!$AY$3)</f>
        <v>160</v>
      </c>
      <c r="V6" s="4">
        <f>(VLOOKUP('15.01'!AD6,'15.01'!$AM$4:$AO$55,2,FALSE))*IF('15.01'!BG$4="是",'15.01'!$AY$4,'15.01'!$AY$3)</f>
        <v>160</v>
      </c>
      <c r="W6" s="5">
        <f>(VLOOKUP('15.01'!AE6,'15.01'!$AM$4:$AO$55,2,FALSE))*IF('15.01'!BH$4="是",'15.01'!$AY$4,'15.01'!$AY$3)</f>
        <v>50</v>
      </c>
      <c r="X6" s="5">
        <f>(VLOOKUP('15.01'!AF6,'15.01'!$AM$4:$AO$55,2,FALSE))*IF('15.01'!BI$4="是",'15.01'!$AY$4,'15.01'!$AY$3)</f>
        <v>170</v>
      </c>
    </row>
    <row r="7" spans="1:24">
      <c r="A7" s="4">
        <f>(VLOOKUP('15.01'!I7,'15.01'!$AM$4:$AO$55,2,FALSE))*IF('15.01'!AK$4="是",'15.01'!$AY$4,'15.01'!$AY$3)</f>
        <v>0</v>
      </c>
      <c r="B7" s="4">
        <f>(VLOOKUP('15.01'!J7,'15.01'!$AM$4:$AO$55,2,FALSE))*IF('15.01'!AL$4="是",'15.01'!$AY$4,'15.01'!$AY$3)</f>
        <v>0</v>
      </c>
      <c r="C7" s="4">
        <f>(VLOOKUP('15.01'!K7,'15.01'!$AM$4:$AO$55,2,FALSE))*IF('15.01'!AM$4="是",'15.01'!$AY$4,'15.01'!$AY$3)</f>
        <v>0</v>
      </c>
      <c r="D7" s="4">
        <f>(VLOOKUP('15.01'!L7,'15.01'!$AM$4:$AO$55,2,FALSE))*IF('15.01'!AN$4="是",'15.01'!$AY$4,'15.01'!$AY$3)</f>
        <v>0</v>
      </c>
      <c r="E7" s="4">
        <f>(VLOOKUP('15.01'!M7,'15.01'!$AM$4:$AO$55,2,FALSE))*IF('15.01'!AO$4="是",'15.01'!$AY$4,'15.01'!$AY$3)</f>
        <v>0</v>
      </c>
      <c r="F7" s="4">
        <f>(VLOOKUP('15.01'!N7,'15.01'!$AM$4:$AO$55,2,FALSE))*IF('15.01'!AQ$4="是",'15.01'!$AY$4,'15.01'!$AY$3)</f>
        <v>0</v>
      </c>
      <c r="G7" s="5">
        <f>(VLOOKUP('15.01'!O7,'15.01'!$AM$4:$AO$55,2,FALSE))*IF('15.01'!AR$4="是",'15.01'!$AY$4,'15.01'!$AY$3)</f>
        <v>0</v>
      </c>
      <c r="H7" s="5">
        <f>(VLOOKUP('15.01'!P7,'15.01'!$AM$4:$AO$55,2,FALSE))*IF('15.01'!AS$4="是",'15.01'!$AY$4,'15.01'!$AY$3)</f>
        <v>0</v>
      </c>
      <c r="I7" s="4">
        <f>(VLOOKUP('15.01'!Q7,'15.01'!$AM$4:$AO$55,2,FALSE))*IF('15.01'!AT$4="是",'15.01'!$AY$4,'15.01'!$AY$3)</f>
        <v>160</v>
      </c>
      <c r="J7" s="4">
        <f>(VLOOKUP('15.01'!R7,'15.01'!$AM$4:$AO$55,2,FALSE))*IF('15.01'!AU$4="是",'15.01'!$AY$4,'15.01'!$AY$3)</f>
        <v>160</v>
      </c>
      <c r="K7" s="4">
        <f>(VLOOKUP('15.01'!S7,'15.01'!$AM$4:$AO$55,2,FALSE))*IF('15.01'!AV$4="是",'15.01'!$AY$4,'15.01'!$AY$3)</f>
        <v>50</v>
      </c>
      <c r="L7" s="4">
        <f>(VLOOKUP('15.01'!T7,'15.01'!$AM$4:$AO$55,2,FALSE))*IF('15.01'!AW$4="是",'15.01'!$AY$4,'15.01'!$AY$3)</f>
        <v>160</v>
      </c>
      <c r="M7" s="4">
        <f>(VLOOKUP('15.01'!U7,'15.01'!$AM$4:$AO$55,2,FALSE))*IF('15.01'!AX$4="是",'15.01'!$AY$4,'15.01'!$AY$3)</f>
        <v>150</v>
      </c>
      <c r="N7" s="4">
        <f>(VLOOKUP('15.01'!V7,'15.01'!$AM$4:$AO$55,2,FALSE))*IF('15.01'!AY$4="是",'15.01'!$AY$4,'15.01'!$AY$3)</f>
        <v>160</v>
      </c>
      <c r="O7" s="5">
        <f>(VLOOKUP('15.01'!W7,'15.01'!$AM$4:$AO$55,2,FALSE))*IF('15.01'!AZ$4="是",'15.01'!$AY$4,'15.01'!$AY$3)</f>
        <v>0</v>
      </c>
      <c r="P7" s="5">
        <f>(VLOOKUP('15.01'!X7,'15.01'!$AM$4:$AO$55,2,FALSE))*IF('15.01'!BA$4="是",'15.01'!$AY$4,'15.01'!$AY$3)</f>
        <v>0</v>
      </c>
      <c r="Q7" s="4">
        <f>(VLOOKUP('15.01'!Y7,'15.01'!$AM$4:$AO$55,2,FALSE))*IF('15.01'!BB$4="是",'15.01'!$AY$4,'15.01'!$AY$3)</f>
        <v>170</v>
      </c>
      <c r="R7" s="4">
        <f>(VLOOKUP('15.01'!Z7,'15.01'!$AM$4:$AO$55,2,FALSE))*IF('15.01'!BC$4="是",'15.01'!$AY$4,'15.01'!$AY$3)</f>
        <v>170</v>
      </c>
      <c r="S7" s="4">
        <f>(VLOOKUP('15.01'!AA7,'15.01'!$AM$4:$AO$55,2,FALSE))*IF('15.01'!BD$4="是",'15.01'!$AY$4,'15.01'!$AY$3)</f>
        <v>170</v>
      </c>
      <c r="T7" s="4">
        <f>(VLOOKUP('15.01'!AB7,'15.01'!$AM$4:$AO$55,2,FALSE))*IF('15.01'!BE$4="是",'15.01'!$AY$4,'15.01'!$AY$3)</f>
        <v>170</v>
      </c>
      <c r="U7" s="4">
        <f>(VLOOKUP('15.01'!AC7,'15.01'!$AM$4:$AO$55,2,FALSE))*IF('15.01'!BF$4="是",'15.01'!$AY$4,'15.01'!$AY$3)</f>
        <v>50</v>
      </c>
      <c r="V7" s="4">
        <f>(VLOOKUP('15.01'!AD7,'15.01'!$AM$4:$AO$55,2,FALSE))*IF('15.01'!BG$4="是",'15.01'!$AY$4,'15.01'!$AY$3)</f>
        <v>170</v>
      </c>
      <c r="W7" s="5">
        <f>(VLOOKUP('15.01'!AE7,'15.01'!$AM$4:$AO$55,2,FALSE))*IF('15.01'!BH$4="是",'15.01'!$AY$4,'15.01'!$AY$3)</f>
        <v>150</v>
      </c>
      <c r="X7" s="5">
        <f>(VLOOKUP('15.01'!AF7,'15.01'!$AM$4:$AO$55,2,FALSE))*IF('15.01'!BI$4="是",'15.01'!$AY$4,'15.01'!$AY$3)</f>
        <v>170</v>
      </c>
    </row>
    <row r="8" spans="1:24">
      <c r="A8" s="4">
        <f>(VLOOKUP('15.01'!I8,'15.01'!$AM$4:$AO$55,2,FALSE))*IF('15.01'!AK$4="是",'15.01'!$AY$4,'15.01'!$AY$3)</f>
        <v>0</v>
      </c>
      <c r="B8" s="4">
        <f>(VLOOKUP('15.01'!J8,'15.01'!$AM$4:$AO$55,2,FALSE))*IF('15.01'!AL$4="是",'15.01'!$AY$4,'15.01'!$AY$3)</f>
        <v>0</v>
      </c>
      <c r="C8" s="4">
        <f>(VLOOKUP('15.01'!K8,'15.01'!$AM$4:$AO$55,2,FALSE))*IF('15.01'!AM$4="是",'15.01'!$AY$4,'15.01'!$AY$3)</f>
        <v>0</v>
      </c>
      <c r="D8" s="4">
        <f>(VLOOKUP('15.01'!L8,'15.01'!$AM$4:$AO$55,2,FALSE))*IF('15.01'!AN$4="是",'15.01'!$AY$4,'15.01'!$AY$3)</f>
        <v>0</v>
      </c>
      <c r="E8" s="4">
        <f>(VLOOKUP('15.01'!M8,'15.01'!$AM$4:$AO$55,2,FALSE))*IF('15.01'!AO$4="是",'15.01'!$AY$4,'15.01'!$AY$3)</f>
        <v>0</v>
      </c>
      <c r="F8" s="4">
        <f>(VLOOKUP('15.01'!N8,'15.01'!$AM$4:$AO$55,2,FALSE))*IF('15.01'!AQ$4="是",'15.01'!$AY$4,'15.01'!$AY$3)</f>
        <v>0</v>
      </c>
      <c r="G8" s="5">
        <f>(VLOOKUP('15.01'!O8,'15.01'!$AM$4:$AO$55,2,FALSE))*IF('15.01'!AR$4="是",'15.01'!$AY$4,'15.01'!$AY$3)</f>
        <v>0</v>
      </c>
      <c r="H8" s="5">
        <f>(VLOOKUP('15.01'!P8,'15.01'!$AM$4:$AO$55,2,FALSE))*IF('15.01'!AS$4="是",'15.01'!$AY$4,'15.01'!$AY$3)</f>
        <v>0</v>
      </c>
      <c r="I8" s="4">
        <f>(VLOOKUP('15.01'!Q8,'15.01'!$AM$4:$AO$55,2,FALSE))*IF('15.01'!AT$4="是",'15.01'!$AY$4,'15.01'!$AY$3)</f>
        <v>160</v>
      </c>
      <c r="J8" s="4">
        <f>(VLOOKUP('15.01'!R8,'15.01'!$AM$4:$AO$55,2,FALSE))*IF('15.01'!AU$4="是",'15.01'!$AY$4,'15.01'!$AY$3)</f>
        <v>160</v>
      </c>
      <c r="K8" s="4">
        <f>(VLOOKUP('15.01'!S8,'15.01'!$AM$4:$AO$55,2,FALSE))*IF('15.01'!AV$4="是",'15.01'!$AY$4,'15.01'!$AY$3)</f>
        <v>180</v>
      </c>
      <c r="L8" s="4">
        <f>(VLOOKUP('15.01'!T8,'15.01'!$AM$4:$AO$55,2,FALSE))*IF('15.01'!AW$4="是",'15.01'!$AY$4,'15.01'!$AY$3)</f>
        <v>180</v>
      </c>
      <c r="M8" s="4">
        <f>(VLOOKUP('15.01'!U8,'15.01'!$AM$4:$AO$55,2,FALSE))*IF('15.01'!AX$4="是",'15.01'!$AY$4,'15.01'!$AY$3)</f>
        <v>180</v>
      </c>
      <c r="N8" s="4">
        <f>(VLOOKUP('15.01'!V8,'15.01'!$AM$4:$AO$55,2,FALSE))*IF('15.01'!AY$4="是",'15.01'!$AY$4,'15.01'!$AY$3)</f>
        <v>180</v>
      </c>
      <c r="O8" s="5">
        <f>(VLOOKUP('15.01'!W8,'15.01'!$AM$4:$AO$55,2,FALSE))*IF('15.01'!AZ$4="是",'15.01'!$AY$4,'15.01'!$AY$3)</f>
        <v>0</v>
      </c>
      <c r="P8" s="5">
        <f>(VLOOKUP('15.01'!X8,'15.01'!$AM$4:$AO$55,2,FALSE))*IF('15.01'!BA$4="是",'15.01'!$AY$4,'15.01'!$AY$3)</f>
        <v>0</v>
      </c>
      <c r="Q8" s="4">
        <f>(VLOOKUP('15.01'!Y8,'15.01'!$AM$4:$AO$55,2,FALSE))*IF('15.01'!BB$4="是",'15.01'!$AY$4,'15.01'!$AY$3)</f>
        <v>170</v>
      </c>
      <c r="R8" s="4">
        <f>(VLOOKUP('15.01'!Z8,'15.01'!$AM$4:$AO$55,2,FALSE))*IF('15.01'!BC$4="是",'15.01'!$AY$4,'15.01'!$AY$3)</f>
        <v>170</v>
      </c>
      <c r="S8" s="4">
        <f>(VLOOKUP('15.01'!AA8,'15.01'!$AM$4:$AO$55,2,FALSE))*IF('15.01'!BD$4="是",'15.01'!$AY$4,'15.01'!$AY$3)</f>
        <v>150</v>
      </c>
      <c r="T8" s="4">
        <f>(VLOOKUP('15.01'!AB8,'15.01'!$AM$4:$AO$55,2,FALSE))*IF('15.01'!BE$4="是",'15.01'!$AY$4,'15.01'!$AY$3)</f>
        <v>170</v>
      </c>
      <c r="U8" s="4">
        <f>(VLOOKUP('15.01'!AC8,'15.01'!$AM$4:$AO$55,2,FALSE))*IF('15.01'!BF$4="是",'15.01'!$AY$4,'15.01'!$AY$3)</f>
        <v>170</v>
      </c>
      <c r="V8" s="4">
        <f>(VLOOKUP('15.01'!AD8,'15.01'!$AM$4:$AO$55,2,FALSE))*IF('15.01'!BG$4="是",'15.01'!$AY$4,'15.01'!$AY$3)</f>
        <v>170</v>
      </c>
      <c r="W8" s="5">
        <f>(VLOOKUP('15.01'!AE8,'15.01'!$AM$4:$AO$55,2,FALSE))*IF('15.01'!BH$4="是",'15.01'!$AY$4,'15.01'!$AY$3)</f>
        <v>0</v>
      </c>
      <c r="X8" s="5">
        <f>(VLOOKUP('15.01'!AF8,'15.01'!$AM$4:$AO$55,2,FALSE))*IF('15.01'!BI$4="是",'15.01'!$AY$4,'15.01'!$AY$3)</f>
        <v>0</v>
      </c>
    </row>
    <row r="9" spans="1:24">
      <c r="A9" s="4">
        <f>(VLOOKUP('15.01'!I9,'15.01'!$AM$4:$AO$55,2,FALSE))*IF('15.01'!AK$4="是",'15.01'!$AY$4,'15.01'!$AY$3)</f>
        <v>0</v>
      </c>
      <c r="B9" s="4">
        <f>(VLOOKUP('15.01'!J9,'15.01'!$AM$4:$AO$55,2,FALSE))*IF('15.01'!AL$4="是",'15.01'!$AY$4,'15.01'!$AY$3)</f>
        <v>0</v>
      </c>
      <c r="C9" s="4">
        <f>(VLOOKUP('15.01'!K9,'15.01'!$AM$4:$AO$55,2,FALSE))*IF('15.01'!AM$4="是",'15.01'!$AY$4,'15.01'!$AY$3)</f>
        <v>0</v>
      </c>
      <c r="D9" s="4">
        <f>(VLOOKUP('15.01'!L9,'15.01'!$AM$4:$AO$55,2,FALSE))*IF('15.01'!AN$4="是",'15.01'!$AY$4,'15.01'!$AY$3)</f>
        <v>0</v>
      </c>
      <c r="E9" s="4">
        <f>(VLOOKUP('15.01'!M9,'15.01'!$AM$4:$AO$55,2,FALSE))*IF('15.01'!AO$4="是",'15.01'!$AY$4,'15.01'!$AY$3)</f>
        <v>0</v>
      </c>
      <c r="F9" s="4">
        <f>(VLOOKUP('15.01'!N9,'15.01'!$AM$4:$AO$55,2,FALSE))*IF('15.01'!AQ$4="是",'15.01'!$AY$4,'15.01'!$AY$3)</f>
        <v>0</v>
      </c>
      <c r="G9" s="5">
        <f>(VLOOKUP('15.01'!O9,'15.01'!$AM$4:$AO$55,2,FALSE))*IF('15.01'!AR$4="是",'15.01'!$AY$4,'15.01'!$AY$3)</f>
        <v>0</v>
      </c>
      <c r="H9" s="5">
        <f>(VLOOKUP('15.01'!P9,'15.01'!$AM$4:$AO$55,2,FALSE))*IF('15.01'!AS$4="是",'15.01'!$AY$4,'15.01'!$AY$3)</f>
        <v>0</v>
      </c>
      <c r="I9" s="4">
        <f>(VLOOKUP('15.01'!Q9,'15.01'!$AM$4:$AO$55,2,FALSE))*IF('15.01'!AT$4="是",'15.01'!$AY$4,'15.01'!$AY$3)</f>
        <v>250</v>
      </c>
      <c r="J9" s="4">
        <f>(VLOOKUP('15.01'!R9,'15.01'!$AM$4:$AO$55,2,FALSE))*IF('15.01'!AU$4="是",'15.01'!$AY$4,'15.01'!$AY$3)</f>
        <v>0</v>
      </c>
      <c r="K9" s="4">
        <f>(VLOOKUP('15.01'!S9,'15.01'!$AM$4:$AO$55,2,FALSE))*IF('15.01'!AV$4="是",'15.01'!$AY$4,'15.01'!$AY$3)</f>
        <v>0</v>
      </c>
      <c r="L9" s="4">
        <f>(VLOOKUP('15.01'!T9,'15.01'!$AM$4:$AO$55,2,FALSE))*IF('15.01'!AW$4="是",'15.01'!$AY$4,'15.01'!$AY$3)</f>
        <v>0</v>
      </c>
      <c r="M9" s="4">
        <f>(VLOOKUP('15.01'!U9,'15.01'!$AM$4:$AO$55,2,FALSE))*IF('15.01'!AX$4="是",'15.01'!$AY$4,'15.01'!$AY$3)</f>
        <v>0</v>
      </c>
      <c r="N9" s="4">
        <f>(VLOOKUP('15.01'!V9,'15.01'!$AM$4:$AO$55,2,FALSE))*IF('15.01'!AY$4="是",'15.01'!$AY$4,'15.01'!$AY$3)</f>
        <v>0</v>
      </c>
      <c r="O9" s="5">
        <f>(VLOOKUP('15.01'!W9,'15.01'!$AM$4:$AO$55,2,FALSE))*IF('15.01'!AZ$4="是",'15.01'!$AY$4,'15.01'!$AY$3)</f>
        <v>0</v>
      </c>
      <c r="P9" s="5">
        <f>(VLOOKUP('15.01'!X9,'15.01'!$AM$4:$AO$55,2,FALSE))*IF('15.01'!BA$4="是",'15.01'!$AY$4,'15.01'!$AY$3)</f>
        <v>0</v>
      </c>
      <c r="Q9" s="4">
        <f>(VLOOKUP('15.01'!Y9,'15.01'!$AM$4:$AO$55,2,FALSE))*IF('15.01'!BB$4="是",'15.01'!$AY$4,'15.01'!$AY$3)</f>
        <v>170</v>
      </c>
      <c r="R9" s="4">
        <f>(VLOOKUP('15.01'!Z9,'15.01'!$AM$4:$AO$55,2,FALSE))*IF('15.01'!BC$4="是",'15.01'!$AY$4,'15.01'!$AY$3)</f>
        <v>170</v>
      </c>
      <c r="S9" s="4">
        <f>(VLOOKUP('15.01'!AA9,'15.01'!$AM$4:$AO$55,2,FALSE))*IF('15.01'!BD$4="是",'15.01'!$AY$4,'15.01'!$AY$3)</f>
        <v>170</v>
      </c>
      <c r="T9" s="4">
        <f>(VLOOKUP('15.01'!AB9,'15.01'!$AM$4:$AO$55,2,FALSE))*IF('15.01'!BE$4="是",'15.01'!$AY$4,'15.01'!$AY$3)</f>
        <v>170</v>
      </c>
      <c r="U9" s="4">
        <f>(VLOOKUP('15.01'!AC9,'15.01'!$AM$4:$AO$55,2,FALSE))*IF('15.01'!BF$4="是",'15.01'!$AY$4,'15.01'!$AY$3)</f>
        <v>170</v>
      </c>
      <c r="V9" s="4">
        <f>(VLOOKUP('15.01'!AD9,'15.01'!$AM$4:$AO$55,2,FALSE))*IF('15.01'!BG$4="是",'15.01'!$AY$4,'15.01'!$AY$3)</f>
        <v>170</v>
      </c>
      <c r="W9" s="5">
        <f>(VLOOKUP('15.01'!AE9,'15.01'!$AM$4:$AO$55,2,FALSE))*IF('15.01'!BH$4="是",'15.01'!$AY$4,'15.01'!$AY$3)</f>
        <v>0</v>
      </c>
      <c r="X9" s="5">
        <f>(VLOOKUP('15.01'!AF9,'15.01'!$AM$4:$AO$55,2,FALSE))*IF('15.01'!BI$4="是",'15.01'!$AY$4,'15.01'!$AY$3)</f>
        <v>0</v>
      </c>
    </row>
    <row r="10" spans="1:24">
      <c r="A10" s="4">
        <f>(VLOOKUP('15.01'!I10,'15.01'!$AM$4:$AO$55,2,FALSE))*IF('15.01'!AK$4="是",'15.01'!$AY$4,'15.01'!$AY$3)</f>
        <v>0</v>
      </c>
      <c r="B10" s="4">
        <f>(VLOOKUP('15.01'!J10,'15.01'!$AM$4:$AO$55,2,FALSE))*IF('15.01'!AL$4="是",'15.01'!$AY$4,'15.01'!$AY$3)</f>
        <v>0</v>
      </c>
      <c r="C10" s="4">
        <f>(VLOOKUP('15.01'!K10,'15.01'!$AM$4:$AO$55,2,FALSE))*IF('15.01'!AM$4="是",'15.01'!$AY$4,'15.01'!$AY$3)</f>
        <v>0</v>
      </c>
      <c r="D10" s="4">
        <f>(VLOOKUP('15.01'!L10,'15.01'!$AM$4:$AO$55,2,FALSE))*IF('15.01'!AN$4="是",'15.01'!$AY$4,'15.01'!$AY$3)</f>
        <v>0</v>
      </c>
      <c r="E10" s="4">
        <f>(VLOOKUP('15.01'!M10,'15.01'!$AM$4:$AO$55,2,FALSE))*IF('15.01'!AO$4="是",'15.01'!$AY$4,'15.01'!$AY$3)</f>
        <v>0</v>
      </c>
      <c r="F10" s="4">
        <f>(VLOOKUP('15.01'!N10,'15.01'!$AM$4:$AO$55,2,FALSE))*IF('15.01'!AQ$4="是",'15.01'!$AY$4,'15.01'!$AY$3)</f>
        <v>0</v>
      </c>
      <c r="G10" s="5">
        <f>(VLOOKUP('15.01'!O10,'15.01'!$AM$4:$AO$55,2,FALSE))*IF('15.01'!AR$4="是",'15.01'!$AY$4,'15.01'!$AY$3)</f>
        <v>0</v>
      </c>
      <c r="H10" s="5">
        <f>(VLOOKUP('15.01'!P10,'15.01'!$AM$4:$AO$55,2,FALSE))*IF('15.01'!AS$4="是",'15.01'!$AY$4,'15.01'!$AY$3)</f>
        <v>0</v>
      </c>
      <c r="I10" s="4">
        <f>(VLOOKUP('15.01'!Q10,'15.01'!$AM$4:$AO$55,2,FALSE))*IF('15.01'!AT$4="是",'15.01'!$AY$4,'15.01'!$AY$3)</f>
        <v>0</v>
      </c>
      <c r="J10" s="4">
        <f>(VLOOKUP('15.01'!R10,'15.01'!$AM$4:$AO$55,2,FALSE))*IF('15.01'!AU$4="是",'15.01'!$AY$4,'15.01'!$AY$3)</f>
        <v>0</v>
      </c>
      <c r="K10" s="4">
        <f>(VLOOKUP('15.01'!S10,'15.01'!$AM$4:$AO$55,2,FALSE))*IF('15.01'!AV$4="是",'15.01'!$AY$4,'15.01'!$AY$3)</f>
        <v>0</v>
      </c>
      <c r="L10" s="4">
        <f>(VLOOKUP('15.01'!T10,'15.01'!$AM$4:$AO$55,2,FALSE))*IF('15.01'!AW$4="是",'15.01'!$AY$4,'15.01'!$AY$3)</f>
        <v>0</v>
      </c>
      <c r="M10" s="4">
        <f>(VLOOKUP('15.01'!U10,'15.01'!$AM$4:$AO$55,2,FALSE))*IF('15.01'!AX$4="是",'15.01'!$AY$4,'15.01'!$AY$3)</f>
        <v>0</v>
      </c>
      <c r="N10" s="4">
        <f>(VLOOKUP('15.01'!V10,'15.01'!$AM$4:$AO$55,2,FALSE))*IF('15.01'!AY$4="是",'15.01'!$AY$4,'15.01'!$AY$3)</f>
        <v>0</v>
      </c>
      <c r="O10" s="5">
        <f>(VLOOKUP('15.01'!W10,'15.01'!$AM$4:$AO$55,2,FALSE))*IF('15.01'!AZ$4="是",'15.01'!$AY$4,'15.01'!$AY$3)</f>
        <v>0</v>
      </c>
      <c r="P10" s="5">
        <f>(VLOOKUP('15.01'!X10,'15.01'!$AM$4:$AO$55,2,FALSE))*IF('15.01'!BA$4="是",'15.01'!$AY$4,'15.01'!$AY$3)</f>
        <v>0</v>
      </c>
      <c r="Q10" s="4">
        <f>(VLOOKUP('15.01'!Y10,'15.01'!$AM$4:$AO$55,2,FALSE))*IF('15.01'!BB$4="是",'15.01'!$AY$4,'15.01'!$AY$3)</f>
        <v>170</v>
      </c>
      <c r="R10" s="4">
        <f>(VLOOKUP('15.01'!Z10,'15.01'!$AM$4:$AO$55,2,FALSE))*IF('15.01'!BC$4="是",'15.01'!$AY$4,'15.01'!$AY$3)</f>
        <v>170</v>
      </c>
      <c r="S10" s="4">
        <f>(VLOOKUP('15.01'!AA10,'15.01'!$AM$4:$AO$55,2,FALSE))*IF('15.01'!BD$4="是",'15.01'!$AY$4,'15.01'!$AY$3)</f>
        <v>170</v>
      </c>
      <c r="T10" s="4">
        <f>(VLOOKUP('15.01'!AB10,'15.01'!$AM$4:$AO$55,2,FALSE))*IF('15.01'!BE$4="是",'15.01'!$AY$4,'15.01'!$AY$3)</f>
        <v>170</v>
      </c>
      <c r="U10" s="4">
        <f>(VLOOKUP('15.01'!AC10,'15.01'!$AM$4:$AO$55,2,FALSE))*IF('15.01'!BF$4="是",'15.01'!$AY$4,'15.01'!$AY$3)</f>
        <v>170</v>
      </c>
      <c r="V10" s="4">
        <f>(VLOOKUP('15.01'!AD10,'15.01'!$AM$4:$AO$55,2,FALSE))*IF('15.01'!BG$4="是",'15.01'!$AY$4,'15.01'!$AY$3)</f>
        <v>170</v>
      </c>
      <c r="W10" s="5">
        <f>(VLOOKUP('15.01'!AE10,'15.01'!$AM$4:$AO$55,2,FALSE))*IF('15.01'!BH$4="是",'15.01'!$AY$4,'15.01'!$AY$3)</f>
        <v>0</v>
      </c>
      <c r="X10" s="5">
        <f>(VLOOKUP('15.01'!AF10,'15.01'!$AM$4:$AO$55,2,FALSE))*IF('15.01'!BI$4="是",'15.01'!$AY$4,'15.01'!$AY$3)</f>
        <v>0</v>
      </c>
    </row>
    <row r="11" spans="1:24">
      <c r="A11" s="4">
        <f>(VLOOKUP('15.01'!I11,'15.01'!$AM$4:$AO$55,2,FALSE))*IF('15.01'!AK$4="是",'15.01'!$AY$4,'15.01'!$AY$3)</f>
        <v>0</v>
      </c>
      <c r="B11" s="4">
        <f>(VLOOKUP('15.01'!J11,'15.01'!$AM$4:$AO$55,2,FALSE))*IF('15.01'!AL$4="是",'15.01'!$AY$4,'15.01'!$AY$3)</f>
        <v>0</v>
      </c>
      <c r="C11" s="4">
        <f>(VLOOKUP('15.01'!K11,'15.01'!$AM$4:$AO$55,2,FALSE))*IF('15.01'!AM$4="是",'15.01'!$AY$4,'15.01'!$AY$3)</f>
        <v>0</v>
      </c>
      <c r="D11" s="4">
        <f>(VLOOKUP('15.01'!L11,'15.01'!$AM$4:$AO$55,2,FALSE))*IF('15.01'!AN$4="是",'15.01'!$AY$4,'15.01'!$AY$3)</f>
        <v>0</v>
      </c>
      <c r="E11" s="4">
        <f>(VLOOKUP('15.01'!M11,'15.01'!$AM$4:$AO$55,2,FALSE))*IF('15.01'!AO$4="是",'15.01'!$AY$4,'15.01'!$AY$3)</f>
        <v>0</v>
      </c>
      <c r="F11" s="4">
        <f>(VLOOKUP('15.01'!N11,'15.01'!$AM$4:$AO$55,2,FALSE))*IF('15.01'!AQ$4="是",'15.01'!$AY$4,'15.01'!$AY$3)</f>
        <v>0</v>
      </c>
      <c r="G11" s="5">
        <f>(VLOOKUP('15.01'!O11,'15.01'!$AM$4:$AO$55,2,FALSE))*IF('15.01'!AR$4="是",'15.01'!$AY$4,'15.01'!$AY$3)</f>
        <v>0</v>
      </c>
      <c r="H11" s="5">
        <f>(VLOOKUP('15.01'!P11,'15.01'!$AM$4:$AO$55,2,FALSE))*IF('15.01'!AS$4="是",'15.01'!$AY$4,'15.01'!$AY$3)</f>
        <v>0</v>
      </c>
      <c r="I11" s="4">
        <f>(VLOOKUP('15.01'!Q11,'15.01'!$AM$4:$AO$55,2,FALSE))*IF('15.01'!AT$4="是",'15.01'!$AY$4,'15.01'!$AY$3)</f>
        <v>0</v>
      </c>
      <c r="J11" s="4">
        <f>(VLOOKUP('15.01'!R11,'15.01'!$AM$4:$AO$55,2,FALSE))*IF('15.01'!AU$4="是",'15.01'!$AY$4,'15.01'!$AY$3)</f>
        <v>0</v>
      </c>
      <c r="K11" s="4">
        <f>(VLOOKUP('15.01'!S11,'15.01'!$AM$4:$AO$55,2,FALSE))*IF('15.01'!AV$4="是",'15.01'!$AY$4,'15.01'!$AY$3)</f>
        <v>0</v>
      </c>
      <c r="L11" s="4">
        <f>(VLOOKUP('15.01'!T11,'15.01'!$AM$4:$AO$55,2,FALSE))*IF('15.01'!AW$4="是",'15.01'!$AY$4,'15.01'!$AY$3)</f>
        <v>0</v>
      </c>
      <c r="M11" s="4">
        <f>(VLOOKUP('15.01'!U11,'15.01'!$AM$4:$AO$55,2,FALSE))*IF('15.01'!AX$4="是",'15.01'!$AY$4,'15.01'!$AY$3)</f>
        <v>0</v>
      </c>
      <c r="N11" s="4">
        <f>(VLOOKUP('15.01'!V11,'15.01'!$AM$4:$AO$55,2,FALSE))*IF('15.01'!AY$4="是",'15.01'!$AY$4,'15.01'!$AY$3)</f>
        <v>0</v>
      </c>
      <c r="O11" s="5">
        <f>(VLOOKUP('15.01'!W11,'15.01'!$AM$4:$AO$55,2,FALSE))*IF('15.01'!AZ$4="是",'15.01'!$AY$4,'15.01'!$AY$3)</f>
        <v>0</v>
      </c>
      <c r="P11" s="5">
        <f>(VLOOKUP('15.01'!X11,'15.01'!$AM$4:$AO$55,2,FALSE))*IF('15.01'!BA$4="是",'15.01'!$AY$4,'15.01'!$AY$3)</f>
        <v>0</v>
      </c>
      <c r="Q11" s="4">
        <f>(VLOOKUP('15.01'!Y11,'15.01'!$AM$4:$AO$55,2,FALSE))*IF('15.01'!BB$4="是",'15.01'!$AY$4,'15.01'!$AY$3)</f>
        <v>170</v>
      </c>
      <c r="R11" s="4">
        <f>(VLOOKUP('15.01'!Z11,'15.01'!$AM$4:$AO$55,2,FALSE))*IF('15.01'!BC$4="是",'15.01'!$AY$4,'15.01'!$AY$3)</f>
        <v>170</v>
      </c>
      <c r="S11" s="4">
        <f>(VLOOKUP('15.01'!AA11,'15.01'!$AM$4:$AO$55,2,FALSE))*IF('15.01'!BD$4="是",'15.01'!$AY$4,'15.01'!$AY$3)</f>
        <v>170</v>
      </c>
      <c r="T11" s="4">
        <f>(VLOOKUP('15.01'!AB11,'15.01'!$AM$4:$AO$55,2,FALSE))*IF('15.01'!BE$4="是",'15.01'!$AY$4,'15.01'!$AY$3)</f>
        <v>50</v>
      </c>
      <c r="U11" s="4">
        <f>(VLOOKUP('15.01'!AC11,'15.01'!$AM$4:$AO$55,2,FALSE))*IF('15.01'!BF$4="是",'15.01'!$AY$4,'15.01'!$AY$3)</f>
        <v>170</v>
      </c>
      <c r="V11" s="4">
        <f>(VLOOKUP('15.01'!AD11,'15.01'!$AM$4:$AO$55,2,FALSE))*IF('15.01'!BG$4="是",'15.01'!$AY$4,'15.01'!$AY$3)</f>
        <v>170</v>
      </c>
      <c r="W11" s="5">
        <f>(VLOOKUP('15.01'!AE11,'15.01'!$AM$4:$AO$55,2,FALSE))*IF('15.01'!BH$4="是",'15.01'!$AY$4,'15.01'!$AY$3)</f>
        <v>0</v>
      </c>
      <c r="X11" s="5">
        <f>(VLOOKUP('15.01'!AF11,'15.01'!$AM$4:$AO$55,2,FALSE))*IF('15.01'!BI$4="是",'15.01'!$AY$4,'15.01'!$AY$3)</f>
        <v>0</v>
      </c>
    </row>
    <row r="12" spans="1:24">
      <c r="A12" s="4">
        <f>(VLOOKUP('15.01'!I12,'15.01'!$AM$4:$AO$55,2,FALSE))*IF('15.01'!AK$4="是",'15.01'!$AY$4,'15.01'!$AY$3)</f>
        <v>0</v>
      </c>
      <c r="B12" s="4">
        <f>(VLOOKUP('15.01'!J12,'15.01'!$AM$4:$AO$55,2,FALSE))*IF('15.01'!AL$4="是",'15.01'!$AY$4,'15.01'!$AY$3)</f>
        <v>0</v>
      </c>
      <c r="C12" s="4">
        <f>(VLOOKUP('15.01'!K12,'15.01'!$AM$4:$AO$55,2,FALSE))*IF('15.01'!AM$4="是",'15.01'!$AY$4,'15.01'!$AY$3)</f>
        <v>0</v>
      </c>
      <c r="D12" s="4">
        <f>(VLOOKUP('15.01'!L12,'15.01'!$AM$4:$AO$55,2,FALSE))*IF('15.01'!AN$4="是",'15.01'!$AY$4,'15.01'!$AY$3)</f>
        <v>0</v>
      </c>
      <c r="E12" s="4">
        <f>(VLOOKUP('15.01'!M12,'15.01'!$AM$4:$AO$55,2,FALSE))*IF('15.01'!AO$4="是",'15.01'!$AY$4,'15.01'!$AY$3)</f>
        <v>0</v>
      </c>
      <c r="F12" s="4">
        <f>(VLOOKUP('15.01'!N12,'15.01'!$AM$4:$AO$55,2,FALSE))*IF('15.01'!AQ$4="是",'15.01'!$AY$4,'15.01'!$AY$3)</f>
        <v>0</v>
      </c>
      <c r="G12" s="5">
        <f>(VLOOKUP('15.01'!O12,'15.01'!$AM$4:$AO$55,2,FALSE))*IF('15.01'!AR$4="是",'15.01'!$AY$4,'15.01'!$AY$3)</f>
        <v>0</v>
      </c>
      <c r="H12" s="5">
        <f>(VLOOKUP('15.01'!P12,'15.01'!$AM$4:$AO$55,2,FALSE))*IF('15.01'!AS$4="是",'15.01'!$AY$4,'15.01'!$AY$3)</f>
        <v>0</v>
      </c>
      <c r="I12" s="4">
        <f>(VLOOKUP('15.01'!Q12,'15.01'!$AM$4:$AO$55,2,FALSE))*IF('15.01'!AT$4="是",'15.01'!$AY$4,'15.01'!$AY$3)</f>
        <v>0</v>
      </c>
      <c r="J12" s="4">
        <f>(VLOOKUP('15.01'!R12,'15.01'!$AM$4:$AO$55,2,FALSE))*IF('15.01'!AU$4="是",'15.01'!$AY$4,'15.01'!$AY$3)</f>
        <v>0</v>
      </c>
      <c r="K12" s="4">
        <f>(VLOOKUP('15.01'!S12,'15.01'!$AM$4:$AO$55,2,FALSE))*IF('15.01'!AV$4="是",'15.01'!$AY$4,'15.01'!$AY$3)</f>
        <v>0</v>
      </c>
      <c r="L12" s="4">
        <f>(VLOOKUP('15.01'!T12,'15.01'!$AM$4:$AO$55,2,FALSE))*IF('15.01'!AW$4="是",'15.01'!$AY$4,'15.01'!$AY$3)</f>
        <v>0</v>
      </c>
      <c r="M12" s="4">
        <f>(VLOOKUP('15.01'!U12,'15.01'!$AM$4:$AO$55,2,FALSE))*IF('15.01'!AX$4="是",'15.01'!$AY$4,'15.01'!$AY$3)</f>
        <v>0</v>
      </c>
      <c r="N12" s="4">
        <f>(VLOOKUP('15.01'!V12,'15.01'!$AM$4:$AO$55,2,FALSE))*IF('15.01'!AY$4="是",'15.01'!$AY$4,'15.01'!$AY$3)</f>
        <v>0</v>
      </c>
      <c r="O12" s="5">
        <f>(VLOOKUP('15.01'!W12,'15.01'!$AM$4:$AO$55,2,FALSE))*IF('15.01'!AZ$4="是",'15.01'!$AY$4,'15.01'!$AY$3)</f>
        <v>0</v>
      </c>
      <c r="P12" s="5">
        <f>(VLOOKUP('15.01'!X12,'15.01'!$AM$4:$AO$55,2,FALSE))*IF('15.01'!BA$4="是",'15.01'!$AY$4,'15.01'!$AY$3)</f>
        <v>0</v>
      </c>
      <c r="Q12" s="4">
        <f>(VLOOKUP('15.01'!Y12,'15.01'!$AM$4:$AO$55,2,FALSE))*IF('15.01'!BB$4="是",'15.01'!$AY$4,'15.01'!$AY$3)</f>
        <v>170</v>
      </c>
      <c r="R12" s="4">
        <f>(VLOOKUP('15.01'!Z12,'15.01'!$AM$4:$AO$55,2,FALSE))*IF('15.01'!BC$4="是",'15.01'!$AY$4,'15.01'!$AY$3)</f>
        <v>170</v>
      </c>
      <c r="S12" s="4">
        <f>(VLOOKUP('15.01'!AA12,'15.01'!$AM$4:$AO$55,2,FALSE))*IF('15.01'!BD$4="是",'15.01'!$AY$4,'15.01'!$AY$3)</f>
        <v>170</v>
      </c>
      <c r="T12" s="4">
        <f>(VLOOKUP('15.01'!AB12,'15.01'!$AM$4:$AO$55,2,FALSE))*IF('15.01'!BE$4="是",'15.01'!$AY$4,'15.01'!$AY$3)</f>
        <v>50</v>
      </c>
      <c r="U12" s="4">
        <f>(VLOOKUP('15.01'!AC12,'15.01'!$AM$4:$AO$55,2,FALSE))*IF('15.01'!BF$4="是",'15.01'!$AY$4,'15.01'!$AY$3)</f>
        <v>170</v>
      </c>
      <c r="V12" s="4">
        <f>(VLOOKUP('15.01'!AD12,'15.01'!$AM$4:$AO$55,2,FALSE))*IF('15.01'!BG$4="是",'15.01'!$AY$4,'15.01'!$AY$3)</f>
        <v>250</v>
      </c>
      <c r="W12" s="5">
        <f>(VLOOKUP('15.01'!AE12,'15.01'!$AM$4:$AO$55,2,FALSE))*IF('15.01'!BH$4="是",'15.01'!$AY$4,'15.01'!$AY$3)</f>
        <v>0</v>
      </c>
      <c r="X12" s="5">
        <f>(VLOOKUP('15.01'!AF12,'15.01'!$AM$4:$AO$55,2,FALSE))*IF('15.01'!BI$4="是",'15.01'!$AY$4,'15.01'!$AY$3)</f>
        <v>0</v>
      </c>
    </row>
    <row r="13" spans="1:24">
      <c r="A13" s="4">
        <f>(VLOOKUP('15.01'!I13,'15.01'!$AM$4:$AO$55,2,FALSE))*IF('15.01'!AK$4="是",'15.01'!$AY$4,'15.01'!$AY$3)</f>
        <v>0</v>
      </c>
      <c r="B13" s="4">
        <f>(VLOOKUP('15.01'!J13,'15.01'!$AM$4:$AO$55,2,FALSE))*IF('15.01'!AL$4="是",'15.01'!$AY$4,'15.01'!$AY$3)</f>
        <v>0</v>
      </c>
      <c r="C13" s="4">
        <f>(VLOOKUP('15.01'!K13,'15.01'!$AM$4:$AO$55,2,FALSE))*IF('15.01'!AM$4="是",'15.01'!$AY$4,'15.01'!$AY$3)</f>
        <v>0</v>
      </c>
      <c r="D13" s="4">
        <f>(VLOOKUP('15.01'!L13,'15.01'!$AM$4:$AO$55,2,FALSE))*IF('15.01'!AN$4="是",'15.01'!$AY$4,'15.01'!$AY$3)</f>
        <v>0</v>
      </c>
      <c r="E13" s="4">
        <f>(VLOOKUP('15.01'!M13,'15.01'!$AM$4:$AO$55,2,FALSE))*IF('15.01'!AO$4="是",'15.01'!$AY$4,'15.01'!$AY$3)</f>
        <v>0</v>
      </c>
      <c r="F13" s="4">
        <f>(VLOOKUP('15.01'!N13,'15.01'!$AM$4:$AO$55,2,FALSE))*IF('15.01'!AQ$4="是",'15.01'!$AY$4,'15.01'!$AY$3)</f>
        <v>0</v>
      </c>
      <c r="G13" s="5">
        <f>(VLOOKUP('15.01'!O13,'15.01'!$AM$4:$AO$55,2,FALSE))*IF('15.01'!AR$4="是",'15.01'!$AY$4,'15.01'!$AY$3)</f>
        <v>0</v>
      </c>
      <c r="H13" s="5">
        <f>(VLOOKUP('15.01'!P13,'15.01'!$AM$4:$AO$55,2,FALSE))*IF('15.01'!AS$4="是",'15.01'!$AY$4,'15.01'!$AY$3)</f>
        <v>0</v>
      </c>
      <c r="I13" s="4">
        <f>(VLOOKUP('15.01'!Q13,'15.01'!$AM$4:$AO$55,2,FALSE))*IF('15.01'!AT$4="是",'15.01'!$AY$4,'15.01'!$AY$3)</f>
        <v>0</v>
      </c>
      <c r="J13" s="4">
        <f>(VLOOKUP('15.01'!R13,'15.01'!$AM$4:$AO$55,2,FALSE))*IF('15.01'!AU$4="是",'15.01'!$AY$4,'15.01'!$AY$3)</f>
        <v>0</v>
      </c>
      <c r="K13" s="4">
        <f>(VLOOKUP('15.01'!S13,'15.01'!$AM$4:$AO$55,2,FALSE))*IF('15.01'!AV$4="是",'15.01'!$AY$4,'15.01'!$AY$3)</f>
        <v>0</v>
      </c>
      <c r="L13" s="4">
        <f>(VLOOKUP('15.01'!T13,'15.01'!$AM$4:$AO$55,2,FALSE))*IF('15.01'!AW$4="是",'15.01'!$AY$4,'15.01'!$AY$3)</f>
        <v>0</v>
      </c>
      <c r="M13" s="4">
        <f>(VLOOKUP('15.01'!U13,'15.01'!$AM$4:$AO$55,2,FALSE))*IF('15.01'!AX$4="是",'15.01'!$AY$4,'15.01'!$AY$3)</f>
        <v>0</v>
      </c>
      <c r="N13" s="4">
        <f>(VLOOKUP('15.01'!V13,'15.01'!$AM$4:$AO$55,2,FALSE))*IF('15.01'!AY$4="是",'15.01'!$AY$4,'15.01'!$AY$3)</f>
        <v>0</v>
      </c>
      <c r="O13" s="5">
        <f>(VLOOKUP('15.01'!W13,'15.01'!$AM$4:$AO$55,2,FALSE))*IF('15.01'!AZ$4="是",'15.01'!$AY$4,'15.01'!$AY$3)</f>
        <v>0</v>
      </c>
      <c r="P13" s="5">
        <f>(VLOOKUP('15.01'!X13,'15.01'!$AM$4:$AO$55,2,FALSE))*IF('15.01'!BA$4="是",'15.01'!$AY$4,'15.01'!$AY$3)</f>
        <v>0</v>
      </c>
      <c r="Q13" s="4">
        <f>(VLOOKUP('15.01'!Y13,'15.01'!$AM$4:$AO$55,2,FALSE))*IF('15.01'!BB$4="是",'15.01'!$AY$4,'15.01'!$AY$3)</f>
        <v>170</v>
      </c>
      <c r="R13" s="4">
        <f>(VLOOKUP('15.01'!Z13,'15.01'!$AM$4:$AO$55,2,FALSE))*IF('15.01'!BC$4="是",'15.01'!$AY$4,'15.01'!$AY$3)</f>
        <v>170</v>
      </c>
      <c r="S13" s="4">
        <f>(VLOOKUP('15.01'!AA13,'15.01'!$AM$4:$AO$55,2,FALSE))*IF('15.01'!BD$4="是",'15.01'!$AY$4,'15.01'!$AY$3)</f>
        <v>170</v>
      </c>
      <c r="T13" s="4">
        <f>(VLOOKUP('15.01'!AB13,'15.01'!$AM$4:$AO$55,2,FALSE))*IF('15.01'!BE$4="是",'15.01'!$AY$4,'15.01'!$AY$3)</f>
        <v>170</v>
      </c>
      <c r="U13" s="4">
        <f>(VLOOKUP('15.01'!AC13,'15.01'!$AM$4:$AO$55,2,FALSE))*IF('15.01'!BF$4="是",'15.01'!$AY$4,'15.01'!$AY$3)</f>
        <v>170</v>
      </c>
      <c r="V13" s="4">
        <f>(VLOOKUP('15.01'!AD13,'15.01'!$AM$4:$AO$55,2,FALSE))*IF('15.01'!BG$4="是",'15.01'!$AY$4,'15.01'!$AY$3)</f>
        <v>170</v>
      </c>
      <c r="W13" s="5">
        <f>(VLOOKUP('15.01'!AE13,'15.01'!$AM$4:$AO$55,2,FALSE))*IF('15.01'!BH$4="是",'15.01'!$AY$4,'15.01'!$AY$3)</f>
        <v>0</v>
      </c>
      <c r="X13" s="5">
        <f>(VLOOKUP('15.01'!AF13,'15.01'!$AM$4:$AO$55,2,FALSE))*IF('15.01'!BI$4="是",'15.01'!$AY$4,'15.01'!$AY$3)</f>
        <v>0</v>
      </c>
    </row>
    <row r="14" spans="1:24">
      <c r="A14" s="4">
        <f>(VLOOKUP('15.01'!I14,'15.01'!$AM$4:$AO$55,2,FALSE))*IF('15.01'!AK$4="是",'15.01'!$AY$4,'15.01'!$AY$3)</f>
        <v>0</v>
      </c>
      <c r="B14" s="4">
        <f>(VLOOKUP('15.01'!J14,'15.01'!$AM$4:$AO$55,2,FALSE))*IF('15.01'!AL$4="是",'15.01'!$AY$4,'15.01'!$AY$3)</f>
        <v>0</v>
      </c>
      <c r="C14" s="4">
        <f>(VLOOKUP('15.01'!K14,'15.01'!$AM$4:$AO$55,2,FALSE))*IF('15.01'!AM$4="是",'15.01'!$AY$4,'15.01'!$AY$3)</f>
        <v>0</v>
      </c>
      <c r="D14" s="4">
        <f>(VLOOKUP('15.01'!L14,'15.01'!$AM$4:$AO$55,2,FALSE))*IF('15.01'!AN$4="是",'15.01'!$AY$4,'15.01'!$AY$3)</f>
        <v>0</v>
      </c>
      <c r="E14" s="4">
        <f>(VLOOKUP('15.01'!M14,'15.01'!$AM$4:$AO$55,2,FALSE))*IF('15.01'!AO$4="是",'15.01'!$AY$4,'15.01'!$AY$3)</f>
        <v>0</v>
      </c>
      <c r="F14" s="4">
        <f>(VLOOKUP('15.01'!N14,'15.01'!$AM$4:$AO$55,2,FALSE))*IF('15.01'!AQ$4="是",'15.01'!$AY$4,'15.01'!$AY$3)</f>
        <v>0</v>
      </c>
      <c r="G14" s="5">
        <f>(VLOOKUP('15.01'!O14,'15.01'!$AM$4:$AO$55,2,FALSE))*IF('15.01'!AR$4="是",'15.01'!$AY$4,'15.01'!$AY$3)</f>
        <v>0</v>
      </c>
      <c r="H14" s="5">
        <f>(VLOOKUP('15.01'!P14,'15.01'!$AM$4:$AO$55,2,FALSE))*IF('15.01'!AS$4="是",'15.01'!$AY$4,'15.01'!$AY$3)</f>
        <v>0</v>
      </c>
      <c r="I14" s="4">
        <f>(VLOOKUP('15.01'!Q14,'15.01'!$AM$4:$AO$55,2,FALSE))*IF('15.01'!AT$4="是",'15.01'!$AY$4,'15.01'!$AY$3)</f>
        <v>0</v>
      </c>
      <c r="J14" s="4">
        <f>(VLOOKUP('15.01'!R14,'15.01'!$AM$4:$AO$55,2,FALSE))*IF('15.01'!AU$4="是",'15.01'!$AY$4,'15.01'!$AY$3)</f>
        <v>0</v>
      </c>
      <c r="K14" s="4">
        <f>(VLOOKUP('15.01'!S14,'15.01'!$AM$4:$AO$55,2,FALSE))*IF('15.01'!AV$4="是",'15.01'!$AY$4,'15.01'!$AY$3)</f>
        <v>0</v>
      </c>
      <c r="L14" s="4">
        <f>(VLOOKUP('15.01'!T14,'15.01'!$AM$4:$AO$55,2,FALSE))*IF('15.01'!AW$4="是",'15.01'!$AY$4,'15.01'!$AY$3)</f>
        <v>0</v>
      </c>
      <c r="M14" s="4">
        <f>(VLOOKUP('15.01'!U14,'15.01'!$AM$4:$AO$55,2,FALSE))*IF('15.01'!AX$4="是",'15.01'!$AY$4,'15.01'!$AY$3)</f>
        <v>0</v>
      </c>
      <c r="N14" s="4">
        <f>(VLOOKUP('15.01'!V14,'15.01'!$AM$4:$AO$55,2,FALSE))*IF('15.01'!AY$4="是",'15.01'!$AY$4,'15.01'!$AY$3)</f>
        <v>0</v>
      </c>
      <c r="O14" s="5">
        <f>(VLOOKUP('15.01'!W14,'15.01'!$AM$4:$AO$55,2,FALSE))*IF('15.01'!AZ$4="是",'15.01'!$AY$4,'15.01'!$AY$3)</f>
        <v>0</v>
      </c>
      <c r="P14" s="5">
        <f>(VLOOKUP('15.01'!X14,'15.01'!$AM$4:$AO$55,2,FALSE))*IF('15.01'!BA$4="是",'15.01'!$AY$4,'15.01'!$AY$3)</f>
        <v>0</v>
      </c>
      <c r="Q14" s="4">
        <f>(VLOOKUP('15.01'!Y14,'15.01'!$AM$4:$AO$55,2,FALSE))*IF('15.01'!BB$4="是",'15.01'!$AY$4,'15.01'!$AY$3)</f>
        <v>180</v>
      </c>
      <c r="R14" s="4">
        <f>(VLOOKUP('15.01'!Z14,'15.01'!$AM$4:$AO$55,2,FALSE))*IF('15.01'!BC$4="是",'15.01'!$AY$4,'15.01'!$AY$3)</f>
        <v>180</v>
      </c>
      <c r="S14" s="4">
        <f>(VLOOKUP('15.01'!AA14,'15.01'!$AM$4:$AO$55,2,FALSE))*IF('15.01'!BD$4="是",'15.01'!$AY$4,'15.01'!$AY$3)</f>
        <v>170</v>
      </c>
      <c r="T14" s="4">
        <f>(VLOOKUP('15.01'!AB14,'15.01'!$AM$4:$AO$55,2,FALSE))*IF('15.01'!BE$4="是",'15.01'!$AY$4,'15.01'!$AY$3)</f>
        <v>170</v>
      </c>
      <c r="U14" s="4">
        <f>(VLOOKUP('15.01'!AC14,'15.01'!$AM$4:$AO$55,2,FALSE))*IF('15.01'!BF$4="是",'15.01'!$AY$4,'15.01'!$AY$3)</f>
        <v>170</v>
      </c>
      <c r="V14" s="4">
        <f>(VLOOKUP('15.01'!AD14,'15.01'!$AM$4:$AO$55,2,FALSE))*IF('15.01'!BG$4="是",'15.01'!$AY$4,'15.01'!$AY$3)</f>
        <v>170</v>
      </c>
      <c r="W14" s="5">
        <f>(VLOOKUP('15.01'!AE14,'15.01'!$AM$4:$AO$55,2,FALSE))*IF('15.01'!BH$4="是",'15.01'!$AY$4,'15.01'!$AY$3)</f>
        <v>0</v>
      </c>
      <c r="X14" s="5">
        <f>(VLOOKUP('15.01'!AF14,'15.01'!$AM$4:$AO$55,2,FALSE))*IF('15.01'!BI$4="是",'15.01'!$AY$4,'15.01'!$AY$3)</f>
        <v>0</v>
      </c>
    </row>
    <row r="15" spans="1:24">
      <c r="A15" s="4">
        <f>(VLOOKUP('15.01'!I15,'15.01'!$AM$4:$AO$55,2,FALSE))*IF('15.01'!AK$4="是",'15.01'!$AY$4,'15.01'!$AY$3)</f>
        <v>0</v>
      </c>
      <c r="B15" s="4">
        <f>(VLOOKUP('15.01'!J15,'15.01'!$AM$4:$AO$55,2,FALSE))*IF('15.01'!AL$4="是",'15.01'!$AY$4,'15.01'!$AY$3)</f>
        <v>0</v>
      </c>
      <c r="C15" s="4">
        <f>(VLOOKUP('15.01'!K15,'15.01'!$AM$4:$AO$55,2,FALSE))*IF('15.01'!AM$4="是",'15.01'!$AY$4,'15.01'!$AY$3)</f>
        <v>0</v>
      </c>
      <c r="D15" s="4">
        <f>(VLOOKUP('15.01'!L15,'15.01'!$AM$4:$AO$55,2,FALSE))*IF('15.01'!AN$4="是",'15.01'!$AY$4,'15.01'!$AY$3)</f>
        <v>0</v>
      </c>
      <c r="E15" s="4">
        <f>(VLOOKUP('15.01'!M15,'15.01'!$AM$4:$AO$55,2,FALSE))*IF('15.01'!AO$4="是",'15.01'!$AY$4,'15.01'!$AY$3)</f>
        <v>0</v>
      </c>
      <c r="F15" s="4">
        <f>(VLOOKUP('15.01'!N15,'15.01'!$AM$4:$AO$55,2,FALSE))*IF('15.01'!AQ$4="是",'15.01'!$AY$4,'15.01'!$AY$3)</f>
        <v>0</v>
      </c>
      <c r="G15" s="5">
        <f>(VLOOKUP('15.01'!O15,'15.01'!$AM$4:$AO$55,2,FALSE))*IF('15.01'!AR$4="是",'15.01'!$AY$4,'15.01'!$AY$3)</f>
        <v>0</v>
      </c>
      <c r="H15" s="5">
        <f>(VLOOKUP('15.01'!P15,'15.01'!$AM$4:$AO$55,2,FALSE))*IF('15.01'!AS$4="是",'15.01'!$AY$4,'15.01'!$AY$3)</f>
        <v>0</v>
      </c>
      <c r="I15" s="4">
        <f>(VLOOKUP('15.01'!Q15,'15.01'!$AM$4:$AO$55,2,FALSE))*IF('15.01'!AT$4="是",'15.01'!$AY$4,'15.01'!$AY$3)</f>
        <v>0</v>
      </c>
      <c r="J15" s="4">
        <f>(VLOOKUP('15.01'!R15,'15.01'!$AM$4:$AO$55,2,FALSE))*IF('15.01'!AU$4="是",'15.01'!$AY$4,'15.01'!$AY$3)</f>
        <v>0</v>
      </c>
      <c r="K15" s="4">
        <f>(VLOOKUP('15.01'!S15,'15.01'!$AM$4:$AO$55,2,FALSE))*IF('15.01'!AV$4="是",'15.01'!$AY$4,'15.01'!$AY$3)</f>
        <v>0</v>
      </c>
      <c r="L15" s="4">
        <f>(VLOOKUP('15.01'!T15,'15.01'!$AM$4:$AO$55,2,FALSE))*IF('15.01'!AW$4="是",'15.01'!$AY$4,'15.01'!$AY$3)</f>
        <v>0</v>
      </c>
      <c r="M15" s="4">
        <f>(VLOOKUP('15.01'!U15,'15.01'!$AM$4:$AO$55,2,FALSE))*IF('15.01'!AX$4="是",'15.01'!$AY$4,'15.01'!$AY$3)</f>
        <v>0</v>
      </c>
      <c r="N15" s="4">
        <f>(VLOOKUP('15.01'!V15,'15.01'!$AM$4:$AO$55,2,FALSE))*IF('15.01'!AY$4="是",'15.01'!$AY$4,'15.01'!$AY$3)</f>
        <v>0</v>
      </c>
      <c r="O15" s="5">
        <f>(VLOOKUP('15.01'!W15,'15.01'!$AM$4:$AO$55,2,FALSE))*IF('15.01'!AZ$4="是",'15.01'!$AY$4,'15.01'!$AY$3)</f>
        <v>0</v>
      </c>
      <c r="P15" s="5">
        <f>(VLOOKUP('15.01'!X15,'15.01'!$AM$4:$AO$55,2,FALSE))*IF('15.01'!BA$4="是",'15.01'!$AY$4,'15.01'!$AY$3)</f>
        <v>0</v>
      </c>
      <c r="Q15" s="4">
        <f>(VLOOKUP('15.01'!Y15,'15.01'!$AM$4:$AO$55,2,FALSE))*IF('15.01'!BB$4="是",'15.01'!$AY$4,'15.01'!$AY$3)</f>
        <v>170</v>
      </c>
      <c r="R15" s="4">
        <f>(VLOOKUP('15.01'!Z15,'15.01'!$AM$4:$AO$55,2,FALSE))*IF('15.01'!BC$4="是",'15.01'!$AY$4,'15.01'!$AY$3)</f>
        <v>250</v>
      </c>
      <c r="S15" s="4">
        <f>(VLOOKUP('15.01'!AA15,'15.01'!$AM$4:$AO$55,2,FALSE))*IF('15.01'!BD$4="是",'15.01'!$AY$4,'15.01'!$AY$3)</f>
        <v>170</v>
      </c>
      <c r="T15" s="4">
        <f>(VLOOKUP('15.01'!AB15,'15.01'!$AM$4:$AO$55,2,FALSE))*IF('15.01'!BE$4="是",'15.01'!$AY$4,'15.01'!$AY$3)</f>
        <v>170</v>
      </c>
      <c r="U15" s="4">
        <f>(VLOOKUP('15.01'!AC15,'15.01'!$AM$4:$AO$55,2,FALSE))*IF('15.01'!BF$4="是",'15.01'!$AY$4,'15.01'!$AY$3)</f>
        <v>170</v>
      </c>
      <c r="V15" s="4">
        <f>(VLOOKUP('15.01'!AD15,'15.01'!$AM$4:$AO$55,2,FALSE))*IF('15.01'!BG$4="是",'15.01'!$AY$4,'15.01'!$AY$3)</f>
        <v>170</v>
      </c>
      <c r="W15" s="5">
        <f>(VLOOKUP('15.01'!AE15,'15.01'!$AM$4:$AO$55,2,FALSE))*IF('15.01'!BH$4="是",'15.01'!$AY$4,'15.01'!$AY$3)</f>
        <v>0</v>
      </c>
      <c r="X15" s="5">
        <f>(VLOOKUP('15.01'!AF15,'15.01'!$AM$4:$AO$55,2,FALSE))*IF('15.01'!BI$4="是",'15.01'!$AY$4,'15.01'!$AY$3)</f>
        <v>0</v>
      </c>
    </row>
    <row r="16" spans="1:24">
      <c r="A16" s="4">
        <f>(VLOOKUP('15.01'!I16,'15.01'!$AM$4:$AO$55,2,FALSE))*IF('15.01'!AK$4="是",'15.01'!$AY$4,'15.01'!$AY$3)</f>
        <v>0</v>
      </c>
      <c r="B16" s="4">
        <f>(VLOOKUP('15.01'!J16,'15.01'!$AM$4:$AO$55,2,FALSE))*IF('15.01'!AL$4="是",'15.01'!$AY$4,'15.01'!$AY$3)</f>
        <v>0</v>
      </c>
      <c r="C16" s="4">
        <f>(VLOOKUP('15.01'!K16,'15.01'!$AM$4:$AO$55,2,FALSE))*IF('15.01'!AM$4="是",'15.01'!$AY$4,'15.01'!$AY$3)</f>
        <v>0</v>
      </c>
      <c r="D16" s="4">
        <f>(VLOOKUP('15.01'!L16,'15.01'!$AM$4:$AO$55,2,FALSE))*IF('15.01'!AN$4="是",'15.01'!$AY$4,'15.01'!$AY$3)</f>
        <v>0</v>
      </c>
      <c r="E16" s="4">
        <f>(VLOOKUP('15.01'!M16,'15.01'!$AM$4:$AO$55,2,FALSE))*IF('15.01'!AO$4="是",'15.01'!$AY$4,'15.01'!$AY$3)</f>
        <v>0</v>
      </c>
      <c r="F16" s="4">
        <f>(VLOOKUP('15.01'!N16,'15.01'!$AM$4:$AO$55,2,FALSE))*IF('15.01'!AQ$4="是",'15.01'!$AY$4,'15.01'!$AY$3)</f>
        <v>0</v>
      </c>
      <c r="G16" s="5">
        <f>(VLOOKUP('15.01'!O16,'15.01'!$AM$4:$AO$55,2,FALSE))*IF('15.01'!AR$4="是",'15.01'!$AY$4,'15.01'!$AY$3)</f>
        <v>0</v>
      </c>
      <c r="H16" s="5">
        <f>(VLOOKUP('15.01'!P16,'15.01'!$AM$4:$AO$55,2,FALSE))*IF('15.01'!AS$4="是",'15.01'!$AY$4,'15.01'!$AY$3)</f>
        <v>0</v>
      </c>
      <c r="I16" s="4">
        <f>(VLOOKUP('15.01'!Q16,'15.01'!$AM$4:$AO$55,2,FALSE))*IF('15.01'!AT$4="是",'15.01'!$AY$4,'15.01'!$AY$3)</f>
        <v>180</v>
      </c>
      <c r="J16" s="4">
        <f>(VLOOKUP('15.01'!R16,'15.01'!$AM$4:$AO$55,2,FALSE))*IF('15.01'!AU$4="是",'15.01'!$AY$4,'15.01'!$AY$3)</f>
        <v>180</v>
      </c>
      <c r="K16" s="4">
        <f>(VLOOKUP('15.01'!S16,'15.01'!$AM$4:$AO$55,2,FALSE))*IF('15.01'!AV$4="是",'15.01'!$AY$4,'15.01'!$AY$3)</f>
        <v>180</v>
      </c>
      <c r="L16" s="4">
        <f>(VLOOKUP('15.01'!T16,'15.01'!$AM$4:$AO$55,2,FALSE))*IF('15.01'!AW$4="是",'15.01'!$AY$4,'15.01'!$AY$3)</f>
        <v>180</v>
      </c>
      <c r="M16" s="4">
        <f>(VLOOKUP('15.01'!U16,'15.01'!$AM$4:$AO$55,2,FALSE))*IF('15.01'!AX$4="是",'15.01'!$AY$4,'15.01'!$AY$3)</f>
        <v>180</v>
      </c>
      <c r="N16" s="4">
        <f>(VLOOKUP('15.01'!V16,'15.01'!$AM$4:$AO$55,2,FALSE))*IF('15.01'!AY$4="是",'15.01'!$AY$4,'15.01'!$AY$3)</f>
        <v>180</v>
      </c>
      <c r="O16" s="5">
        <f>(VLOOKUP('15.01'!W16,'15.01'!$AM$4:$AO$55,2,FALSE))*IF('15.01'!AZ$4="是",'15.01'!$AY$4,'15.01'!$AY$3)</f>
        <v>0</v>
      </c>
      <c r="P16" s="5">
        <f>(VLOOKUP('15.01'!X16,'15.01'!$AM$4:$AO$55,2,FALSE))*IF('15.01'!BA$4="是",'15.01'!$AY$4,'15.01'!$AY$3)</f>
        <v>0</v>
      </c>
      <c r="Q16" s="4">
        <f>(VLOOKUP('15.01'!Y16,'15.01'!$AM$4:$AO$55,2,FALSE))*IF('15.01'!BB$4="是",'15.01'!$AY$4,'15.01'!$AY$3)</f>
        <v>170</v>
      </c>
      <c r="R16" s="4">
        <f>(VLOOKUP('15.01'!Z16,'15.01'!$AM$4:$AO$55,2,FALSE))*IF('15.01'!BC$4="是",'15.01'!$AY$4,'15.01'!$AY$3)</f>
        <v>170</v>
      </c>
      <c r="S16" s="4">
        <f>(VLOOKUP('15.01'!AA16,'15.01'!$AM$4:$AO$55,2,FALSE))*IF('15.01'!BD$4="是",'15.01'!$AY$4,'15.01'!$AY$3)</f>
        <v>170</v>
      </c>
      <c r="T16" s="4">
        <f>(VLOOKUP('15.01'!AB16,'15.01'!$AM$4:$AO$55,2,FALSE))*IF('15.01'!BE$4="是",'15.01'!$AY$4,'15.01'!$AY$3)</f>
        <v>170</v>
      </c>
      <c r="U16" s="4">
        <f>(VLOOKUP('15.01'!AC16,'15.01'!$AM$4:$AO$55,2,FALSE))*IF('15.01'!BF$4="是",'15.01'!$AY$4,'15.01'!$AY$3)</f>
        <v>170</v>
      </c>
      <c r="V16" s="4">
        <f>(VLOOKUP('15.01'!AD16,'15.01'!$AM$4:$AO$55,2,FALSE))*IF('15.01'!BG$4="是",'15.01'!$AY$4,'15.01'!$AY$3)</f>
        <v>170</v>
      </c>
      <c r="W16" s="5">
        <f>(VLOOKUP('15.01'!AE16,'15.01'!$AM$4:$AO$55,2,FALSE))*IF('15.01'!BH$4="是",'15.01'!$AY$4,'15.01'!$AY$3)</f>
        <v>0</v>
      </c>
      <c r="X16" s="5">
        <f>(VLOOKUP('15.01'!AF16,'15.01'!$AM$4:$AO$55,2,FALSE))*IF('15.01'!BI$4="是",'15.01'!$AY$4,'15.01'!$AY$3)</f>
        <v>0</v>
      </c>
    </row>
    <row r="17" spans="1:24">
      <c r="A17" s="4">
        <f>(VLOOKUP('15.01'!I17,'15.01'!$AM$4:$AO$55,2,FALSE))*IF('15.01'!AK$4="是",'15.01'!$AY$4,'15.01'!$AY$3)</f>
        <v>0</v>
      </c>
      <c r="B17" s="4">
        <f>(VLOOKUP('15.01'!J17,'15.01'!$AM$4:$AO$55,2,FALSE))*IF('15.01'!AL$4="是",'15.01'!$AY$4,'15.01'!$AY$3)</f>
        <v>0</v>
      </c>
      <c r="C17" s="4">
        <f>(VLOOKUP('15.01'!K17,'15.01'!$AM$4:$AO$55,2,FALSE))*IF('15.01'!AM$4="是",'15.01'!$AY$4,'15.01'!$AY$3)</f>
        <v>0</v>
      </c>
      <c r="D17" s="4">
        <f>(VLOOKUP('15.01'!L17,'15.01'!$AM$4:$AO$55,2,FALSE))*IF('15.01'!AN$4="是",'15.01'!$AY$4,'15.01'!$AY$3)</f>
        <v>0</v>
      </c>
      <c r="E17" s="4">
        <f>(VLOOKUP('15.01'!M17,'15.01'!$AM$4:$AO$55,2,FALSE))*IF('15.01'!AO$4="是",'15.01'!$AY$4,'15.01'!$AY$3)</f>
        <v>0</v>
      </c>
      <c r="F17" s="4">
        <f>(VLOOKUP('15.01'!N17,'15.01'!$AM$4:$AO$55,2,FALSE))*IF('15.01'!AQ$4="是",'15.01'!$AY$4,'15.01'!$AY$3)</f>
        <v>0</v>
      </c>
      <c r="G17" s="5">
        <f>(VLOOKUP('15.01'!O17,'15.01'!$AM$4:$AO$55,2,FALSE))*IF('15.01'!AR$4="是",'15.01'!$AY$4,'15.01'!$AY$3)</f>
        <v>0</v>
      </c>
      <c r="H17" s="5">
        <f>(VLOOKUP('15.01'!P17,'15.01'!$AM$4:$AO$55,2,FALSE))*IF('15.01'!AS$4="是",'15.01'!$AY$4,'15.01'!$AY$3)</f>
        <v>0</v>
      </c>
      <c r="I17" s="4">
        <f>(VLOOKUP('15.01'!Q17,'15.01'!$AM$4:$AO$55,2,FALSE))*IF('15.01'!AT$4="是",'15.01'!$AY$4,'15.01'!$AY$3)</f>
        <v>180</v>
      </c>
      <c r="J17" s="4">
        <f>(VLOOKUP('15.01'!R17,'15.01'!$AM$4:$AO$55,2,FALSE))*IF('15.01'!AU$4="是",'15.01'!$AY$4,'15.01'!$AY$3)</f>
        <v>180</v>
      </c>
      <c r="K17" s="4">
        <f>(VLOOKUP('15.01'!S17,'15.01'!$AM$4:$AO$55,2,FALSE))*IF('15.01'!AV$4="是",'15.01'!$AY$4,'15.01'!$AY$3)</f>
        <v>180</v>
      </c>
      <c r="L17" s="4">
        <f>(VLOOKUP('15.01'!T17,'15.01'!$AM$4:$AO$55,2,FALSE))*IF('15.01'!AW$4="是",'15.01'!$AY$4,'15.01'!$AY$3)</f>
        <v>180</v>
      </c>
      <c r="M17" s="4">
        <f>(VLOOKUP('15.01'!U17,'15.01'!$AM$4:$AO$55,2,FALSE))*IF('15.01'!AX$4="是",'15.01'!$AY$4,'15.01'!$AY$3)</f>
        <v>180</v>
      </c>
      <c r="N17" s="4">
        <f>(VLOOKUP('15.01'!V17,'15.01'!$AM$4:$AO$55,2,FALSE))*IF('15.01'!AY$4="是",'15.01'!$AY$4,'15.01'!$AY$3)</f>
        <v>180</v>
      </c>
      <c r="O17" s="5">
        <f>(VLOOKUP('15.01'!W17,'15.01'!$AM$4:$AO$55,2,FALSE))*IF('15.01'!AZ$4="是",'15.01'!$AY$4,'15.01'!$AY$3)</f>
        <v>0</v>
      </c>
      <c r="P17" s="5">
        <f>(VLOOKUP('15.01'!X17,'15.01'!$AM$4:$AO$55,2,FALSE))*IF('15.01'!BA$4="是",'15.01'!$AY$4,'15.01'!$AY$3)</f>
        <v>0</v>
      </c>
      <c r="Q17" s="4">
        <f>(VLOOKUP('15.01'!Y17,'15.01'!$AM$4:$AO$55,2,FALSE))*IF('15.01'!BB$4="是",'15.01'!$AY$4,'15.01'!$AY$3)</f>
        <v>170</v>
      </c>
      <c r="R17" s="4">
        <f>(VLOOKUP('15.01'!Z17,'15.01'!$AM$4:$AO$55,2,FALSE))*IF('15.01'!BC$4="是",'15.01'!$AY$4,'15.01'!$AY$3)</f>
        <v>170</v>
      </c>
      <c r="S17" s="4">
        <f>(VLOOKUP('15.01'!AA17,'15.01'!$AM$4:$AO$55,2,FALSE))*IF('15.01'!BD$4="是",'15.01'!$AY$4,'15.01'!$AY$3)</f>
        <v>50</v>
      </c>
      <c r="T17" s="4">
        <f>(VLOOKUP('15.01'!AB17,'15.01'!$AM$4:$AO$55,2,FALSE))*IF('15.01'!BE$4="是",'15.01'!$AY$4,'15.01'!$AY$3)</f>
        <v>170</v>
      </c>
      <c r="U17" s="4">
        <f>(VLOOKUP('15.01'!AC17,'15.01'!$AM$4:$AO$55,2,FALSE))*IF('15.01'!BF$4="是",'15.01'!$AY$4,'15.01'!$AY$3)</f>
        <v>170</v>
      </c>
      <c r="V17" s="4">
        <f>(VLOOKUP('15.01'!AD17,'15.01'!$AM$4:$AO$55,2,FALSE))*IF('15.01'!BG$4="是",'15.01'!$AY$4,'15.01'!$AY$3)</f>
        <v>170</v>
      </c>
      <c r="W17" s="5">
        <f>(VLOOKUP('15.01'!AE17,'15.01'!$AM$4:$AO$55,2,FALSE))*IF('15.01'!BH$4="是",'15.01'!$AY$4,'15.01'!$AY$3)</f>
        <v>0</v>
      </c>
      <c r="X17" s="5">
        <f>(VLOOKUP('15.01'!AF17,'15.01'!$AM$4:$AO$55,2,FALSE))*IF('15.01'!BI$4="是",'15.01'!$AY$4,'15.01'!$AY$3)</f>
        <v>0</v>
      </c>
    </row>
    <row r="18" spans="1:24">
      <c r="A18" s="4">
        <f>(VLOOKUP('15.01'!I18,'15.01'!$AM$4:$AO$55,2,FALSE))*IF('15.01'!AK$4="是",'15.01'!$AY$4,'15.01'!$AY$3)</f>
        <v>0</v>
      </c>
      <c r="B18" s="4">
        <f>(VLOOKUP('15.01'!J18,'15.01'!$AM$4:$AO$55,2,FALSE))*IF('15.01'!AL$4="是",'15.01'!$AY$4,'15.01'!$AY$3)</f>
        <v>0</v>
      </c>
      <c r="C18" s="4">
        <f>(VLOOKUP('15.01'!K18,'15.01'!$AM$4:$AO$55,2,FALSE))*IF('15.01'!AM$4="是",'15.01'!$AY$4,'15.01'!$AY$3)</f>
        <v>0</v>
      </c>
      <c r="D18" s="4">
        <f>(VLOOKUP('15.01'!L18,'15.01'!$AM$4:$AO$55,2,FALSE))*IF('15.01'!AN$4="是",'15.01'!$AY$4,'15.01'!$AY$3)</f>
        <v>0</v>
      </c>
      <c r="E18" s="4">
        <f>(VLOOKUP('15.01'!M18,'15.01'!$AM$4:$AO$55,2,FALSE))*IF('15.01'!AO$4="是",'15.01'!$AY$4,'15.01'!$AY$3)</f>
        <v>0</v>
      </c>
      <c r="F18" s="4">
        <f>(VLOOKUP('15.01'!N18,'15.01'!$AM$4:$AO$55,2,FALSE))*IF('15.01'!AQ$4="是",'15.01'!$AY$4,'15.01'!$AY$3)</f>
        <v>0</v>
      </c>
      <c r="G18" s="5">
        <f>(VLOOKUP('15.01'!O18,'15.01'!$AM$4:$AO$55,2,FALSE))*IF('15.01'!AR$4="是",'15.01'!$AY$4,'15.01'!$AY$3)</f>
        <v>0</v>
      </c>
      <c r="H18" s="5">
        <f>(VLOOKUP('15.01'!P18,'15.01'!$AM$4:$AO$55,2,FALSE))*IF('15.01'!AS$4="是",'15.01'!$AY$4,'15.01'!$AY$3)</f>
        <v>0</v>
      </c>
      <c r="I18" s="4">
        <f>(VLOOKUP('15.01'!Q18,'15.01'!$AM$4:$AO$55,2,FALSE))*IF('15.01'!AT$4="是",'15.01'!$AY$4,'15.01'!$AY$3)</f>
        <v>180</v>
      </c>
      <c r="J18" s="4">
        <f>(VLOOKUP('15.01'!R18,'15.01'!$AM$4:$AO$55,2,FALSE))*IF('15.01'!AU$4="是",'15.01'!$AY$4,'15.01'!$AY$3)</f>
        <v>180</v>
      </c>
      <c r="K18" s="4">
        <f>(VLOOKUP('15.01'!S18,'15.01'!$AM$4:$AO$55,2,FALSE))*IF('15.01'!AV$4="是",'15.01'!$AY$4,'15.01'!$AY$3)</f>
        <v>180</v>
      </c>
      <c r="L18" s="4">
        <f>(VLOOKUP('15.01'!T18,'15.01'!$AM$4:$AO$55,2,FALSE))*IF('15.01'!AW$4="是",'15.01'!$AY$4,'15.01'!$AY$3)</f>
        <v>180</v>
      </c>
      <c r="M18" s="4">
        <f>(VLOOKUP('15.01'!U18,'15.01'!$AM$4:$AO$55,2,FALSE))*IF('15.01'!AX$4="是",'15.01'!$AY$4,'15.01'!$AY$3)</f>
        <v>180</v>
      </c>
      <c r="N18" s="4">
        <f>(VLOOKUP('15.01'!V18,'15.01'!$AM$4:$AO$55,2,FALSE))*IF('15.01'!AY$4="是",'15.01'!$AY$4,'15.01'!$AY$3)</f>
        <v>180</v>
      </c>
      <c r="O18" s="5">
        <f>(VLOOKUP('15.01'!W18,'15.01'!$AM$4:$AO$55,2,FALSE))*IF('15.01'!AZ$4="是",'15.01'!$AY$4,'15.01'!$AY$3)</f>
        <v>0</v>
      </c>
      <c r="P18" s="5">
        <f>(VLOOKUP('15.01'!X18,'15.01'!$AM$4:$AO$55,2,FALSE))*IF('15.01'!BA$4="是",'15.01'!$AY$4,'15.01'!$AY$3)</f>
        <v>0</v>
      </c>
      <c r="Q18" s="4">
        <f>(VLOOKUP('15.01'!Y18,'15.01'!$AM$4:$AO$55,2,FALSE))*IF('15.01'!BB$4="是",'15.01'!$AY$4,'15.01'!$AY$3)</f>
        <v>170</v>
      </c>
      <c r="R18" s="4">
        <f>(VLOOKUP('15.01'!Z18,'15.01'!$AM$4:$AO$55,2,FALSE))*IF('15.01'!BC$4="是",'15.01'!$AY$4,'15.01'!$AY$3)</f>
        <v>170</v>
      </c>
      <c r="S18" s="4">
        <f>(VLOOKUP('15.01'!AA18,'15.01'!$AM$4:$AO$55,2,FALSE))*IF('15.01'!BD$4="是",'15.01'!$AY$4,'15.01'!$AY$3)</f>
        <v>170</v>
      </c>
      <c r="T18" s="4">
        <f>(VLOOKUP('15.01'!AB18,'15.01'!$AM$4:$AO$55,2,FALSE))*IF('15.01'!BE$4="是",'15.01'!$AY$4,'15.01'!$AY$3)</f>
        <v>170</v>
      </c>
      <c r="U18" s="4">
        <f>(VLOOKUP('15.01'!AC18,'15.01'!$AM$4:$AO$55,2,FALSE))*IF('15.01'!BF$4="是",'15.01'!$AY$4,'15.01'!$AY$3)</f>
        <v>170</v>
      </c>
      <c r="V18" s="4">
        <f>(VLOOKUP('15.01'!AD18,'15.01'!$AM$4:$AO$55,2,FALSE))*IF('15.01'!BG$4="是",'15.01'!$AY$4,'15.01'!$AY$3)</f>
        <v>170</v>
      </c>
      <c r="W18" s="5">
        <f>(VLOOKUP('15.01'!AE18,'15.01'!$AM$4:$AO$55,2,FALSE))*IF('15.01'!BH$4="是",'15.01'!$AY$4,'15.01'!$AY$3)</f>
        <v>0</v>
      </c>
      <c r="X18" s="5">
        <f>(VLOOKUP('15.01'!AF18,'15.01'!$AM$4:$AO$55,2,FALSE))*IF('15.01'!BI$4="是",'15.01'!$AY$4,'15.01'!$AY$3)</f>
        <v>0</v>
      </c>
    </row>
    <row r="19" spans="1:24">
      <c r="A19" s="4">
        <f>(VLOOKUP('15.01'!I19,'15.01'!$AM$4:$AO$55,2,FALSE))*IF('15.01'!AK$4="是",'15.01'!$AY$4,'15.01'!$AY$3)</f>
        <v>0</v>
      </c>
      <c r="B19" s="4">
        <f>(VLOOKUP('15.01'!J19,'15.01'!$AM$4:$AO$55,2,FALSE))*IF('15.01'!AL$4="是",'15.01'!$AY$4,'15.01'!$AY$3)</f>
        <v>0</v>
      </c>
      <c r="C19" s="4">
        <f>(VLOOKUP('15.01'!K19,'15.01'!$AM$4:$AO$55,2,FALSE))*IF('15.01'!AM$4="是",'15.01'!$AY$4,'15.01'!$AY$3)</f>
        <v>0</v>
      </c>
      <c r="D19" s="4">
        <f>(VLOOKUP('15.01'!L19,'15.01'!$AM$4:$AO$55,2,FALSE))*IF('15.01'!AN$4="是",'15.01'!$AY$4,'15.01'!$AY$3)</f>
        <v>0</v>
      </c>
      <c r="E19" s="4">
        <f>(VLOOKUP('15.01'!M19,'15.01'!$AM$4:$AO$55,2,FALSE))*IF('15.01'!AO$4="是",'15.01'!$AY$4,'15.01'!$AY$3)</f>
        <v>0</v>
      </c>
      <c r="F19" s="4">
        <f>(VLOOKUP('15.01'!N19,'15.01'!$AM$4:$AO$55,2,FALSE))*IF('15.01'!AQ$4="是",'15.01'!$AY$4,'15.01'!$AY$3)</f>
        <v>0</v>
      </c>
      <c r="G19" s="5">
        <f>(VLOOKUP('15.01'!O19,'15.01'!$AM$4:$AO$55,2,FALSE))*IF('15.01'!AR$4="是",'15.01'!$AY$4,'15.01'!$AY$3)</f>
        <v>0</v>
      </c>
      <c r="H19" s="5">
        <f>(VLOOKUP('15.01'!P19,'15.01'!$AM$4:$AO$55,2,FALSE))*IF('15.01'!AS$4="是",'15.01'!$AY$4,'15.01'!$AY$3)</f>
        <v>0</v>
      </c>
      <c r="I19" s="4">
        <f>(VLOOKUP('15.01'!Q19,'15.01'!$AM$4:$AO$55,2,FALSE))*IF('15.01'!AT$4="是",'15.01'!$AY$4,'15.01'!$AY$3)</f>
        <v>180</v>
      </c>
      <c r="J19" s="4">
        <f>(VLOOKUP('15.01'!R19,'15.01'!$AM$4:$AO$55,2,FALSE))*IF('15.01'!AU$4="是",'15.01'!$AY$4,'15.01'!$AY$3)</f>
        <v>180</v>
      </c>
      <c r="K19" s="4">
        <f>(VLOOKUP('15.01'!S19,'15.01'!$AM$4:$AO$55,2,FALSE))*IF('15.01'!AV$4="是",'15.01'!$AY$4,'15.01'!$AY$3)</f>
        <v>180</v>
      </c>
      <c r="L19" s="4">
        <f>(VLOOKUP('15.01'!T19,'15.01'!$AM$4:$AO$55,2,FALSE))*IF('15.01'!AW$4="是",'15.01'!$AY$4,'15.01'!$AY$3)</f>
        <v>180</v>
      </c>
      <c r="M19" s="4">
        <f>(VLOOKUP('15.01'!U19,'15.01'!$AM$4:$AO$55,2,FALSE))*IF('15.01'!AX$4="是",'15.01'!$AY$4,'15.01'!$AY$3)</f>
        <v>180</v>
      </c>
      <c r="N19" s="4">
        <f>(VLOOKUP('15.01'!V19,'15.01'!$AM$4:$AO$55,2,FALSE))*IF('15.01'!AY$4="是",'15.01'!$AY$4,'15.01'!$AY$3)</f>
        <v>180</v>
      </c>
      <c r="O19" s="5">
        <f>(VLOOKUP('15.01'!W19,'15.01'!$AM$4:$AO$55,2,FALSE))*IF('15.01'!AZ$4="是",'15.01'!$AY$4,'15.01'!$AY$3)</f>
        <v>0</v>
      </c>
      <c r="P19" s="5">
        <f>(VLOOKUP('15.01'!X19,'15.01'!$AM$4:$AO$55,2,FALSE))*IF('15.01'!BA$4="是",'15.01'!$AY$4,'15.01'!$AY$3)</f>
        <v>0</v>
      </c>
      <c r="Q19" s="4">
        <f>(VLOOKUP('15.01'!Y19,'15.01'!$AM$4:$AO$55,2,FALSE))*IF('15.01'!BB$4="是",'15.01'!$AY$4,'15.01'!$AY$3)</f>
        <v>170</v>
      </c>
      <c r="R19" s="4">
        <f>(VLOOKUP('15.01'!Z19,'15.01'!$AM$4:$AO$55,2,FALSE))*IF('15.01'!BC$4="是",'15.01'!$AY$4,'15.01'!$AY$3)</f>
        <v>170</v>
      </c>
      <c r="S19" s="4">
        <f>(VLOOKUP('15.01'!AA19,'15.01'!$AM$4:$AO$55,2,FALSE))*IF('15.01'!BD$4="是",'15.01'!$AY$4,'15.01'!$AY$3)</f>
        <v>-200</v>
      </c>
      <c r="T19" s="4">
        <f>(VLOOKUP('15.01'!AB19,'15.01'!$AM$4:$AO$55,2,FALSE))*IF('15.01'!BE$4="是",'15.01'!$AY$4,'15.01'!$AY$3)</f>
        <v>170</v>
      </c>
      <c r="U19" s="4">
        <f>(VLOOKUP('15.01'!AC19,'15.01'!$AM$4:$AO$55,2,FALSE))*IF('15.01'!BF$4="是",'15.01'!$AY$4,'15.01'!$AY$3)</f>
        <v>170</v>
      </c>
      <c r="V19" s="4">
        <f>(VLOOKUP('15.01'!AD19,'15.01'!$AM$4:$AO$55,2,FALSE))*IF('15.01'!BG$4="是",'15.01'!$AY$4,'15.01'!$AY$3)</f>
        <v>170</v>
      </c>
      <c r="W19" s="5">
        <f>(VLOOKUP('15.01'!AE19,'15.01'!$AM$4:$AO$55,2,FALSE))*IF('15.01'!BH$4="是",'15.01'!$AY$4,'15.01'!$AY$3)</f>
        <v>0</v>
      </c>
      <c r="X19" s="5">
        <f>(VLOOKUP('15.01'!AF19,'15.01'!$AM$4:$AO$55,2,FALSE))*IF('15.01'!BI$4="是",'15.01'!$AY$4,'15.01'!$AY$3)</f>
        <v>0</v>
      </c>
    </row>
    <row r="20" spans="1:24">
      <c r="A20" s="4">
        <f>(VLOOKUP('15.01'!I20,'15.01'!$AM$4:$AO$55,2,FALSE))*IF('15.01'!AK$4="是",'15.01'!$AY$4,'15.01'!$AY$3)</f>
        <v>0</v>
      </c>
      <c r="B20" s="4">
        <f>(VLOOKUP('15.01'!J20,'15.01'!$AM$4:$AO$55,2,FALSE))*IF('15.01'!AL$4="是",'15.01'!$AY$4,'15.01'!$AY$3)</f>
        <v>0</v>
      </c>
      <c r="C20" s="4">
        <f>(VLOOKUP('15.01'!K20,'15.01'!$AM$4:$AO$55,2,FALSE))*IF('15.01'!AM$4="是",'15.01'!$AY$4,'15.01'!$AY$3)</f>
        <v>0</v>
      </c>
      <c r="D20" s="4">
        <f>(VLOOKUP('15.01'!L20,'15.01'!$AM$4:$AO$55,2,FALSE))*IF('15.01'!AN$4="是",'15.01'!$AY$4,'15.01'!$AY$3)</f>
        <v>0</v>
      </c>
      <c r="E20" s="4">
        <f>(VLOOKUP('15.01'!M20,'15.01'!$AM$4:$AO$55,2,FALSE))*IF('15.01'!AO$4="是",'15.01'!$AY$4,'15.01'!$AY$3)</f>
        <v>0</v>
      </c>
      <c r="F20" s="4">
        <f>(VLOOKUP('15.01'!N20,'15.01'!$AM$4:$AO$55,2,FALSE))*IF('15.01'!AQ$4="是",'15.01'!$AY$4,'15.01'!$AY$3)</f>
        <v>0</v>
      </c>
      <c r="G20" s="5">
        <f>(VLOOKUP('15.01'!O20,'15.01'!$AM$4:$AO$55,2,FALSE))*IF('15.01'!AR$4="是",'15.01'!$AY$4,'15.01'!$AY$3)</f>
        <v>0</v>
      </c>
      <c r="H20" s="5">
        <f>(VLOOKUP('15.01'!P20,'15.01'!$AM$4:$AO$55,2,FALSE))*IF('15.01'!AS$4="是",'15.01'!$AY$4,'15.01'!$AY$3)</f>
        <v>0</v>
      </c>
      <c r="I20" s="4">
        <f>(VLOOKUP('15.01'!Q20,'15.01'!$AM$4:$AO$55,2,FALSE))*IF('15.01'!AT$4="是",'15.01'!$AY$4,'15.01'!$AY$3)</f>
        <v>160</v>
      </c>
      <c r="J20" s="4">
        <f>(VLOOKUP('15.01'!R20,'15.01'!$AM$4:$AO$55,2,FALSE))*IF('15.01'!AU$4="是",'15.01'!$AY$4,'15.01'!$AY$3)</f>
        <v>160</v>
      </c>
      <c r="K20" s="4">
        <f>(VLOOKUP('15.01'!S20,'15.01'!$AM$4:$AO$55,2,FALSE))*IF('15.01'!AV$4="是",'15.01'!$AY$4,'15.01'!$AY$3)</f>
        <v>-200</v>
      </c>
      <c r="L20" s="4">
        <f>(VLOOKUP('15.01'!T20,'15.01'!$AM$4:$AO$55,2,FALSE))*IF('15.01'!AW$4="是",'15.01'!$AY$4,'15.01'!$AY$3)</f>
        <v>160</v>
      </c>
      <c r="M20" s="4">
        <f>(VLOOKUP('15.01'!U20,'15.01'!$AM$4:$AO$55,2,FALSE))*IF('15.01'!AX$4="是",'15.01'!$AY$4,'15.01'!$AY$3)</f>
        <v>160</v>
      </c>
      <c r="N20" s="4">
        <f>(VLOOKUP('15.01'!V20,'15.01'!$AM$4:$AO$55,2,FALSE))*IF('15.01'!AY$4="是",'15.01'!$AY$4,'15.01'!$AY$3)</f>
        <v>160</v>
      </c>
      <c r="O20" s="5">
        <f>(VLOOKUP('15.01'!W20,'15.01'!$AM$4:$AO$55,2,FALSE))*IF('15.01'!AZ$4="是",'15.01'!$AY$4,'15.01'!$AY$3)</f>
        <v>0</v>
      </c>
      <c r="P20" s="5">
        <f>(VLOOKUP('15.01'!X20,'15.01'!$AM$4:$AO$55,2,FALSE))*IF('15.01'!BA$4="是",'15.01'!$AY$4,'15.01'!$AY$3)</f>
        <v>0</v>
      </c>
      <c r="Q20" s="4">
        <f>(VLOOKUP('15.01'!Y20,'15.01'!$AM$4:$AO$55,2,FALSE))*IF('15.01'!BB$4="是",'15.01'!$AY$4,'15.01'!$AY$3)</f>
        <v>170</v>
      </c>
      <c r="R20" s="4">
        <f>(VLOOKUP('15.01'!Z20,'15.01'!$AM$4:$AO$55,2,FALSE))*IF('15.01'!BC$4="是",'15.01'!$AY$4,'15.01'!$AY$3)</f>
        <v>150</v>
      </c>
      <c r="S20" s="4">
        <f>(VLOOKUP('15.01'!AA20,'15.01'!$AM$4:$AO$55,2,FALSE))*IF('15.01'!BD$4="是",'15.01'!$AY$4,'15.01'!$AY$3)</f>
        <v>160</v>
      </c>
      <c r="T20" s="4">
        <f>(VLOOKUP('15.01'!AB20,'15.01'!$AM$4:$AO$55,2,FALSE))*IF('15.01'!BE$4="是",'15.01'!$AY$4,'15.01'!$AY$3)</f>
        <v>160</v>
      </c>
      <c r="U20" s="4">
        <f>(VLOOKUP('15.01'!AC20,'15.01'!$AM$4:$AO$55,2,FALSE))*IF('15.01'!BF$4="是",'15.01'!$AY$4,'15.01'!$AY$3)</f>
        <v>160</v>
      </c>
      <c r="V20" s="4">
        <f>(VLOOKUP('15.01'!AD20,'15.01'!$AM$4:$AO$55,2,FALSE))*IF('15.01'!BG$4="是",'15.01'!$AY$4,'15.01'!$AY$3)</f>
        <v>160</v>
      </c>
      <c r="W20" s="5">
        <f>(VLOOKUP('15.01'!AE20,'15.01'!$AM$4:$AO$55,2,FALSE))*IF('15.01'!BH$4="是",'15.01'!$AY$4,'15.01'!$AY$3)</f>
        <v>0</v>
      </c>
      <c r="X20" s="5">
        <f>(VLOOKUP('15.01'!AF20,'15.01'!$AM$4:$AO$55,2,FALSE))*IF('15.01'!BI$4="是",'15.01'!$AY$4,'15.01'!$AY$3)</f>
        <v>0</v>
      </c>
    </row>
    <row r="21" spans="1:24">
      <c r="A21" s="4">
        <f>(VLOOKUP('15.01'!I21,'15.01'!$AM$4:$AO$55,2,FALSE))*IF('15.01'!AK$4="是",'15.01'!$AY$4,'15.01'!$AY$3)</f>
        <v>0</v>
      </c>
      <c r="B21" s="4">
        <f>(VLOOKUP('15.01'!J21,'15.01'!$AM$4:$AO$55,2,FALSE))*IF('15.01'!AL$4="是",'15.01'!$AY$4,'15.01'!$AY$3)</f>
        <v>0</v>
      </c>
      <c r="C21" s="4">
        <f>(VLOOKUP('15.01'!K21,'15.01'!$AM$4:$AO$55,2,FALSE))*IF('15.01'!AM$4="是",'15.01'!$AY$4,'15.01'!$AY$3)</f>
        <v>0</v>
      </c>
      <c r="D21" s="4">
        <f>(VLOOKUP('15.01'!L21,'15.01'!$AM$4:$AO$55,2,FALSE))*IF('15.01'!AN$4="是",'15.01'!$AY$4,'15.01'!$AY$3)</f>
        <v>0</v>
      </c>
      <c r="E21" s="4">
        <f>(VLOOKUP('15.01'!M21,'15.01'!$AM$4:$AO$55,2,FALSE))*IF('15.01'!AO$4="是",'15.01'!$AY$4,'15.01'!$AY$3)</f>
        <v>0</v>
      </c>
      <c r="F21" s="4">
        <f>(VLOOKUP('15.01'!N21,'15.01'!$AM$4:$AO$55,2,FALSE))*IF('15.01'!AQ$4="是",'15.01'!$AY$4,'15.01'!$AY$3)</f>
        <v>0</v>
      </c>
      <c r="G21" s="5">
        <f>(VLOOKUP('15.01'!O21,'15.01'!$AM$4:$AO$55,2,FALSE))*IF('15.01'!AR$4="是",'15.01'!$AY$4,'15.01'!$AY$3)</f>
        <v>0</v>
      </c>
      <c r="H21" s="5">
        <f>(VLOOKUP('15.01'!P21,'15.01'!$AM$4:$AO$55,2,FALSE))*IF('15.01'!AS$4="是",'15.01'!$AY$4,'15.01'!$AY$3)</f>
        <v>0</v>
      </c>
      <c r="I21" s="4">
        <f>(VLOOKUP('15.01'!Q21,'15.01'!$AM$4:$AO$55,2,FALSE))*IF('15.01'!AT$4="是",'15.01'!$AY$4,'15.01'!$AY$3)</f>
        <v>160</v>
      </c>
      <c r="J21" s="4">
        <f>(VLOOKUP('15.01'!R21,'15.01'!$AM$4:$AO$55,2,FALSE))*IF('15.01'!AU$4="是",'15.01'!$AY$4,'15.01'!$AY$3)</f>
        <v>180</v>
      </c>
      <c r="K21" s="4">
        <f>(VLOOKUP('15.01'!S21,'15.01'!$AM$4:$AO$55,2,FALSE))*IF('15.01'!AV$4="是",'15.01'!$AY$4,'15.01'!$AY$3)</f>
        <v>180</v>
      </c>
      <c r="L21" s="4">
        <f>(VLOOKUP('15.01'!T21,'15.01'!$AM$4:$AO$55,2,FALSE))*IF('15.01'!AW$4="是",'15.01'!$AY$4,'15.01'!$AY$3)</f>
        <v>180</v>
      </c>
      <c r="M21" s="4">
        <f>(VLOOKUP('15.01'!U21,'15.01'!$AM$4:$AO$55,2,FALSE))*IF('15.01'!AX$4="是",'15.01'!$AY$4,'15.01'!$AY$3)</f>
        <v>180</v>
      </c>
      <c r="N21" s="4">
        <f>(VLOOKUP('15.01'!V21,'15.01'!$AM$4:$AO$55,2,FALSE))*IF('15.01'!AY$4="是",'15.01'!$AY$4,'15.01'!$AY$3)</f>
        <v>180</v>
      </c>
      <c r="O21" s="5">
        <f>(VLOOKUP('15.01'!W21,'15.01'!$AM$4:$AO$55,2,FALSE))*IF('15.01'!AZ$4="是",'15.01'!$AY$4,'15.01'!$AY$3)</f>
        <v>0</v>
      </c>
      <c r="P21" s="5">
        <f>(VLOOKUP('15.01'!X21,'15.01'!$AM$4:$AO$55,2,FALSE))*IF('15.01'!BA$4="是",'15.01'!$AY$4,'15.01'!$AY$3)</f>
        <v>0</v>
      </c>
      <c r="Q21" s="4">
        <f>(VLOOKUP('15.01'!Y21,'15.01'!$AM$4:$AO$55,2,FALSE))*IF('15.01'!BB$4="是",'15.01'!$AY$4,'15.01'!$AY$3)</f>
        <v>50</v>
      </c>
      <c r="R21" s="4">
        <f>(VLOOKUP('15.01'!Z21,'15.01'!$AM$4:$AO$55,2,FALSE))*IF('15.01'!BC$4="是",'15.01'!$AY$4,'15.01'!$AY$3)</f>
        <v>170</v>
      </c>
      <c r="S21" s="4">
        <f>(VLOOKUP('15.01'!AA21,'15.01'!$AM$4:$AO$55,2,FALSE))*IF('15.01'!BD$4="是",'15.01'!$AY$4,'15.01'!$AY$3)</f>
        <v>170</v>
      </c>
      <c r="T21" s="4">
        <f>(VLOOKUP('15.01'!AB21,'15.01'!$AM$4:$AO$55,2,FALSE))*IF('15.01'!BE$4="是",'15.01'!$AY$4,'15.01'!$AY$3)</f>
        <v>170</v>
      </c>
      <c r="U21" s="4">
        <f>(VLOOKUP('15.01'!AC21,'15.01'!$AM$4:$AO$55,2,FALSE))*IF('15.01'!BF$4="是",'15.01'!$AY$4,'15.01'!$AY$3)</f>
        <v>170</v>
      </c>
      <c r="V21" s="4">
        <f>(VLOOKUP('15.01'!AD21,'15.01'!$AM$4:$AO$55,2,FALSE))*IF('15.01'!BG$4="是",'15.01'!$AY$4,'15.01'!$AY$3)</f>
        <v>50</v>
      </c>
      <c r="W21" s="5">
        <f>(VLOOKUP('15.01'!AE21,'15.01'!$AM$4:$AO$55,2,FALSE))*IF('15.01'!BH$4="是",'15.01'!$AY$4,'15.01'!$AY$3)</f>
        <v>0</v>
      </c>
      <c r="X21" s="5">
        <f>(VLOOKUP('15.01'!AF21,'15.01'!$AM$4:$AO$55,2,FALSE))*IF('15.01'!BI$4="是",'15.01'!$AY$4,'15.01'!$AY$3)</f>
        <v>0</v>
      </c>
    </row>
    <row r="22" spans="1:24">
      <c r="A22" s="4">
        <f>(VLOOKUP('15.01'!I22,'15.01'!$AM$4:$AO$55,2,FALSE))*IF('15.01'!AK$4="是",'15.01'!$AY$4,'15.01'!$AY$3)</f>
        <v>0</v>
      </c>
      <c r="B22" s="4">
        <f>(VLOOKUP('15.01'!J22,'15.01'!$AM$4:$AO$55,2,FALSE))*IF('15.01'!AL$4="是",'15.01'!$AY$4,'15.01'!$AY$3)</f>
        <v>0</v>
      </c>
      <c r="C22" s="4">
        <f>(VLOOKUP('15.01'!K22,'15.01'!$AM$4:$AO$55,2,FALSE))*IF('15.01'!AM$4="是",'15.01'!$AY$4,'15.01'!$AY$3)</f>
        <v>0</v>
      </c>
      <c r="D22" s="4">
        <f>(VLOOKUP('15.01'!L22,'15.01'!$AM$4:$AO$55,2,FALSE))*IF('15.01'!AN$4="是",'15.01'!$AY$4,'15.01'!$AY$3)</f>
        <v>0</v>
      </c>
      <c r="E22" s="4">
        <f>(VLOOKUP('15.01'!M22,'15.01'!$AM$4:$AO$55,2,FALSE))*IF('15.01'!AO$4="是",'15.01'!$AY$4,'15.01'!$AY$3)</f>
        <v>0</v>
      </c>
      <c r="F22" s="4">
        <f>(VLOOKUP('15.01'!N22,'15.01'!$AM$4:$AO$55,2,FALSE))*IF('15.01'!AQ$4="是",'15.01'!$AY$4,'15.01'!$AY$3)</f>
        <v>0</v>
      </c>
      <c r="G22" s="5">
        <f>(VLOOKUP('15.01'!O22,'15.01'!$AM$4:$AO$55,2,FALSE))*IF('15.01'!AR$4="是",'15.01'!$AY$4,'15.01'!$AY$3)</f>
        <v>0</v>
      </c>
      <c r="H22" s="5">
        <f>(VLOOKUP('15.01'!P22,'15.01'!$AM$4:$AO$55,2,FALSE))*IF('15.01'!AS$4="是",'15.01'!$AY$4,'15.01'!$AY$3)</f>
        <v>0</v>
      </c>
      <c r="I22" s="4">
        <f>(VLOOKUP('15.01'!Q22,'15.01'!$AM$4:$AO$55,2,FALSE))*IF('15.01'!AT$4="是",'15.01'!$AY$4,'15.01'!$AY$3)</f>
        <v>180</v>
      </c>
      <c r="J22" s="4">
        <f>(VLOOKUP('15.01'!R22,'15.01'!$AM$4:$AO$55,2,FALSE))*IF('15.01'!AU$4="是",'15.01'!$AY$4,'15.01'!$AY$3)</f>
        <v>180</v>
      </c>
      <c r="K22" s="4">
        <f>(VLOOKUP('15.01'!S22,'15.01'!$AM$4:$AO$55,2,FALSE))*IF('15.01'!AV$4="是",'15.01'!$AY$4,'15.01'!$AY$3)</f>
        <v>180</v>
      </c>
      <c r="L22" s="4">
        <f>(VLOOKUP('15.01'!T22,'15.01'!$AM$4:$AO$55,2,FALSE))*IF('15.01'!AW$4="是",'15.01'!$AY$4,'15.01'!$AY$3)</f>
        <v>180</v>
      </c>
      <c r="M22" s="4">
        <f>(VLOOKUP('15.01'!U22,'15.01'!$AM$4:$AO$55,2,FALSE))*IF('15.01'!AX$4="是",'15.01'!$AY$4,'15.01'!$AY$3)</f>
        <v>180</v>
      </c>
      <c r="N22" s="4">
        <f>(VLOOKUP('15.01'!V22,'15.01'!$AM$4:$AO$55,2,FALSE))*IF('15.01'!AY$4="是",'15.01'!$AY$4,'15.01'!$AY$3)</f>
        <v>180</v>
      </c>
      <c r="O22" s="5">
        <f>(VLOOKUP('15.01'!W22,'15.01'!$AM$4:$AO$55,2,FALSE))*IF('15.01'!AZ$4="是",'15.01'!$AY$4,'15.01'!$AY$3)</f>
        <v>0</v>
      </c>
      <c r="P22" s="5">
        <f>(VLOOKUP('15.01'!X22,'15.01'!$AM$4:$AO$55,2,FALSE))*IF('15.01'!BA$4="是",'15.01'!$AY$4,'15.01'!$AY$3)</f>
        <v>0</v>
      </c>
      <c r="Q22" s="4">
        <f>(VLOOKUP('15.01'!Y22,'15.01'!$AM$4:$AO$55,2,FALSE))*IF('15.01'!BB$4="是",'15.01'!$AY$4,'15.01'!$AY$3)</f>
        <v>170</v>
      </c>
      <c r="R22" s="4">
        <f>(VLOOKUP('15.01'!Z22,'15.01'!$AM$4:$AO$55,2,FALSE))*IF('15.01'!BC$4="是",'15.01'!$AY$4,'15.01'!$AY$3)</f>
        <v>170</v>
      </c>
      <c r="S22" s="4">
        <f>(VLOOKUP('15.01'!AA22,'15.01'!$AM$4:$AO$55,2,FALSE))*IF('15.01'!BD$4="是",'15.01'!$AY$4,'15.01'!$AY$3)</f>
        <v>170</v>
      </c>
      <c r="T22" s="4">
        <f>(VLOOKUP('15.01'!AB22,'15.01'!$AM$4:$AO$55,2,FALSE))*IF('15.01'!BE$4="是",'15.01'!$AY$4,'15.01'!$AY$3)</f>
        <v>170</v>
      </c>
      <c r="U22" s="4">
        <f>(VLOOKUP('15.01'!AC22,'15.01'!$AM$4:$AO$55,2,FALSE))*IF('15.01'!BF$4="是",'15.01'!$AY$4,'15.01'!$AY$3)</f>
        <v>170</v>
      </c>
      <c r="V22" s="4">
        <f>(VLOOKUP('15.01'!AD22,'15.01'!$AM$4:$AO$55,2,FALSE))*IF('15.01'!BG$4="是",'15.01'!$AY$4,'15.01'!$AY$3)</f>
        <v>170</v>
      </c>
      <c r="W22" s="5">
        <f>(VLOOKUP('15.01'!AE22,'15.01'!$AM$4:$AO$55,2,FALSE))*IF('15.01'!BH$4="是",'15.01'!$AY$4,'15.01'!$AY$3)</f>
        <v>0</v>
      </c>
      <c r="X22" s="5">
        <f>(VLOOKUP('15.01'!AF22,'15.01'!$AM$4:$AO$55,2,FALSE))*IF('15.01'!BI$4="是",'15.01'!$AY$4,'15.01'!$AY$3)</f>
        <v>0</v>
      </c>
    </row>
    <row r="23" spans="1:24">
      <c r="A23" s="4">
        <f>(VLOOKUP('15.01'!I23,'15.01'!$AM$4:$AO$55,2,FALSE))*IF('15.01'!AK$4="是",'15.01'!$AY$4,'15.01'!$AY$3)</f>
        <v>0</v>
      </c>
      <c r="B23" s="4">
        <f>(VLOOKUP('15.01'!J23,'15.01'!$AM$4:$AO$55,2,FALSE))*IF('15.01'!AL$4="是",'15.01'!$AY$4,'15.01'!$AY$3)</f>
        <v>0</v>
      </c>
      <c r="C23" s="4">
        <f>(VLOOKUP('15.01'!K23,'15.01'!$AM$4:$AO$55,2,FALSE))*IF('15.01'!AM$4="是",'15.01'!$AY$4,'15.01'!$AY$3)</f>
        <v>0</v>
      </c>
      <c r="D23" s="4">
        <f>(VLOOKUP('15.01'!L23,'15.01'!$AM$4:$AO$55,2,FALSE))*IF('15.01'!AN$4="是",'15.01'!$AY$4,'15.01'!$AY$3)</f>
        <v>0</v>
      </c>
      <c r="E23" s="4">
        <f>(VLOOKUP('15.01'!M23,'15.01'!$AM$4:$AO$55,2,FALSE))*IF('15.01'!AO$4="是",'15.01'!$AY$4,'15.01'!$AY$3)</f>
        <v>0</v>
      </c>
      <c r="F23" s="4">
        <f>(VLOOKUP('15.01'!N23,'15.01'!$AM$4:$AO$55,2,FALSE))*IF('15.01'!AQ$4="是",'15.01'!$AY$4,'15.01'!$AY$3)</f>
        <v>0</v>
      </c>
      <c r="G23" s="5">
        <f>(VLOOKUP('15.01'!O23,'15.01'!$AM$4:$AO$55,2,FALSE))*IF('15.01'!AR$4="是",'15.01'!$AY$4,'15.01'!$AY$3)</f>
        <v>0</v>
      </c>
      <c r="H23" s="5">
        <f>(VLOOKUP('15.01'!P23,'15.01'!$AM$4:$AO$55,2,FALSE))*IF('15.01'!AS$4="是",'15.01'!$AY$4,'15.01'!$AY$3)</f>
        <v>0</v>
      </c>
      <c r="I23" s="4">
        <f>(VLOOKUP('15.01'!Q23,'15.01'!$AM$4:$AO$55,2,FALSE))*IF('15.01'!AT$4="是",'15.01'!$AY$4,'15.01'!$AY$3)</f>
        <v>180</v>
      </c>
      <c r="J23" s="4">
        <f>(VLOOKUP('15.01'!R23,'15.01'!$AM$4:$AO$55,2,FALSE))*IF('15.01'!AU$4="是",'15.01'!$AY$4,'15.01'!$AY$3)</f>
        <v>180</v>
      </c>
      <c r="K23" s="4">
        <f>(VLOOKUP('15.01'!S23,'15.01'!$AM$4:$AO$55,2,FALSE))*IF('15.01'!AV$4="是",'15.01'!$AY$4,'15.01'!$AY$3)</f>
        <v>180</v>
      </c>
      <c r="L23" s="4">
        <f>(VLOOKUP('15.01'!T23,'15.01'!$AM$4:$AO$55,2,FALSE))*IF('15.01'!AW$4="是",'15.01'!$AY$4,'15.01'!$AY$3)</f>
        <v>180</v>
      </c>
      <c r="M23" s="4">
        <f>(VLOOKUP('15.01'!U23,'15.01'!$AM$4:$AO$55,2,FALSE))*IF('15.01'!AX$4="是",'15.01'!$AY$4,'15.01'!$AY$3)</f>
        <v>180</v>
      </c>
      <c r="N23" s="4">
        <f>(VLOOKUP('15.01'!V23,'15.01'!$AM$4:$AO$55,2,FALSE))*IF('15.01'!AY$4="是",'15.01'!$AY$4,'15.01'!$AY$3)</f>
        <v>180</v>
      </c>
      <c r="O23" s="5">
        <f>(VLOOKUP('15.01'!W23,'15.01'!$AM$4:$AO$55,2,FALSE))*IF('15.01'!AZ$4="是",'15.01'!$AY$4,'15.01'!$AY$3)</f>
        <v>0</v>
      </c>
      <c r="P23" s="5">
        <f>(VLOOKUP('15.01'!X23,'15.01'!$AM$4:$AO$55,2,FALSE))*IF('15.01'!BA$4="是",'15.01'!$AY$4,'15.01'!$AY$3)</f>
        <v>0</v>
      </c>
      <c r="Q23" s="4">
        <f>(VLOOKUP('15.01'!Y23,'15.01'!$AM$4:$AO$55,2,FALSE))*IF('15.01'!BB$4="是",'15.01'!$AY$4,'15.01'!$AY$3)</f>
        <v>170</v>
      </c>
      <c r="R23" s="4">
        <f>(VLOOKUP('15.01'!Z23,'15.01'!$AM$4:$AO$55,2,FALSE))*IF('15.01'!BC$4="是",'15.01'!$AY$4,'15.01'!$AY$3)</f>
        <v>170</v>
      </c>
      <c r="S23" s="4">
        <f>(VLOOKUP('15.01'!AA23,'15.01'!$AM$4:$AO$55,2,FALSE))*IF('15.01'!BD$4="是",'15.01'!$AY$4,'15.01'!$AY$3)</f>
        <v>170</v>
      </c>
      <c r="T23" s="4">
        <f>(VLOOKUP('15.01'!AB23,'15.01'!$AM$4:$AO$55,2,FALSE))*IF('15.01'!BE$4="是",'15.01'!$AY$4,'15.01'!$AY$3)</f>
        <v>170</v>
      </c>
      <c r="U23" s="4">
        <f>(VLOOKUP('15.01'!AC23,'15.01'!$AM$4:$AO$55,2,FALSE))*IF('15.01'!BF$4="是",'15.01'!$AY$4,'15.01'!$AY$3)</f>
        <v>170</v>
      </c>
      <c r="V23" s="4">
        <f>(VLOOKUP('15.01'!AD23,'15.01'!$AM$4:$AO$55,2,FALSE))*IF('15.01'!BG$4="是",'15.01'!$AY$4,'15.01'!$AY$3)</f>
        <v>170</v>
      </c>
      <c r="W23" s="5">
        <f>(VLOOKUP('15.01'!AE23,'15.01'!$AM$4:$AO$55,2,FALSE))*IF('15.01'!BH$4="是",'15.01'!$AY$4,'15.01'!$AY$3)</f>
        <v>0</v>
      </c>
      <c r="X23" s="5">
        <f>(VLOOKUP('15.01'!AF23,'15.01'!$AM$4:$AO$55,2,FALSE))*IF('15.01'!BI$4="是",'15.01'!$AY$4,'15.01'!$AY$3)</f>
        <v>0</v>
      </c>
    </row>
    <row r="24" spans="1:24">
      <c r="A24" s="4">
        <f>(VLOOKUP('15.01'!I24,'15.01'!$AM$4:$AO$55,2,FALSE))*IF('15.01'!AK$4="是",'15.01'!$AY$4,'15.01'!$AY$3)</f>
        <v>0</v>
      </c>
      <c r="B24" s="4">
        <f>(VLOOKUP('15.01'!J24,'15.01'!$AM$4:$AO$55,2,FALSE))*IF('15.01'!AL$4="是",'15.01'!$AY$4,'15.01'!$AY$3)</f>
        <v>0</v>
      </c>
      <c r="C24" s="4">
        <f>(VLOOKUP('15.01'!K24,'15.01'!$AM$4:$AO$55,2,FALSE))*IF('15.01'!AM$4="是",'15.01'!$AY$4,'15.01'!$AY$3)</f>
        <v>0</v>
      </c>
      <c r="D24" s="4">
        <f>(VLOOKUP('15.01'!L24,'15.01'!$AM$4:$AO$55,2,FALSE))*IF('15.01'!AN$4="是",'15.01'!$AY$4,'15.01'!$AY$3)</f>
        <v>0</v>
      </c>
      <c r="E24" s="4">
        <f>(VLOOKUP('15.01'!M24,'15.01'!$AM$4:$AO$55,2,FALSE))*IF('15.01'!AO$4="是",'15.01'!$AY$4,'15.01'!$AY$3)</f>
        <v>0</v>
      </c>
      <c r="F24" s="4">
        <f>(VLOOKUP('15.01'!N24,'15.01'!$AM$4:$AO$55,2,FALSE))*IF('15.01'!AQ$4="是",'15.01'!$AY$4,'15.01'!$AY$3)</f>
        <v>0</v>
      </c>
      <c r="G24" s="5">
        <f>(VLOOKUP('15.01'!O24,'15.01'!$AM$4:$AO$55,2,FALSE))*IF('15.01'!AR$4="是",'15.01'!$AY$4,'15.01'!$AY$3)</f>
        <v>0</v>
      </c>
      <c r="H24" s="5">
        <f>(VLOOKUP('15.01'!P24,'15.01'!$AM$4:$AO$55,2,FALSE))*IF('15.01'!AS$4="是",'15.01'!$AY$4,'15.01'!$AY$3)</f>
        <v>0</v>
      </c>
      <c r="I24" s="4">
        <f>(VLOOKUP('15.01'!Q24,'15.01'!$AM$4:$AO$55,2,FALSE))*IF('15.01'!AT$4="是",'15.01'!$AY$4,'15.01'!$AY$3)</f>
        <v>180</v>
      </c>
      <c r="J24" s="4">
        <f>(VLOOKUP('15.01'!R24,'15.01'!$AM$4:$AO$55,2,FALSE))*IF('15.01'!AU$4="是",'15.01'!$AY$4,'15.01'!$AY$3)</f>
        <v>180</v>
      </c>
      <c r="K24" s="4">
        <f>(VLOOKUP('15.01'!S24,'15.01'!$AM$4:$AO$55,2,FALSE))*IF('15.01'!AV$4="是",'15.01'!$AY$4,'15.01'!$AY$3)</f>
        <v>180</v>
      </c>
      <c r="L24" s="4">
        <f>(VLOOKUP('15.01'!T24,'15.01'!$AM$4:$AO$55,2,FALSE))*IF('15.01'!AW$4="是",'15.01'!$AY$4,'15.01'!$AY$3)</f>
        <v>180</v>
      </c>
      <c r="M24" s="4">
        <f>(VLOOKUP('15.01'!U24,'15.01'!$AM$4:$AO$55,2,FALSE))*IF('15.01'!AX$4="是",'15.01'!$AY$4,'15.01'!$AY$3)</f>
        <v>50</v>
      </c>
      <c r="N24" s="4">
        <f>(VLOOKUP('15.01'!V24,'15.01'!$AM$4:$AO$55,2,FALSE))*IF('15.01'!AY$4="是",'15.01'!$AY$4,'15.01'!$AY$3)</f>
        <v>180</v>
      </c>
      <c r="O24" s="5">
        <f>(VLOOKUP('15.01'!W24,'15.01'!$AM$4:$AO$55,2,FALSE))*IF('15.01'!AZ$4="是",'15.01'!$AY$4,'15.01'!$AY$3)</f>
        <v>0</v>
      </c>
      <c r="P24" s="5">
        <f>(VLOOKUP('15.01'!X24,'15.01'!$AM$4:$AO$55,2,FALSE))*IF('15.01'!BA$4="是",'15.01'!$AY$4,'15.01'!$AY$3)</f>
        <v>0</v>
      </c>
      <c r="Q24" s="4">
        <f>(VLOOKUP('15.01'!Y24,'15.01'!$AM$4:$AO$55,2,FALSE))*IF('15.01'!BB$4="是",'15.01'!$AY$4,'15.01'!$AY$3)</f>
        <v>170</v>
      </c>
      <c r="R24" s="4">
        <f>(VLOOKUP('15.01'!Z24,'15.01'!$AM$4:$AO$55,2,FALSE))*IF('15.01'!BC$4="是",'15.01'!$AY$4,'15.01'!$AY$3)</f>
        <v>170</v>
      </c>
      <c r="S24" s="4">
        <f>(VLOOKUP('15.01'!AA24,'15.01'!$AM$4:$AO$55,2,FALSE))*IF('15.01'!BD$4="是",'15.01'!$AY$4,'15.01'!$AY$3)</f>
        <v>170</v>
      </c>
      <c r="T24" s="4">
        <f>(VLOOKUP('15.01'!AB24,'15.01'!$AM$4:$AO$55,2,FALSE))*IF('15.01'!BE$4="是",'15.01'!$AY$4,'15.01'!$AY$3)</f>
        <v>170</v>
      </c>
      <c r="U24" s="4">
        <f>(VLOOKUP('15.01'!AC24,'15.01'!$AM$4:$AO$55,2,FALSE))*IF('15.01'!BF$4="是",'15.01'!$AY$4,'15.01'!$AY$3)</f>
        <v>170</v>
      </c>
      <c r="V24" s="4">
        <f>(VLOOKUP('15.01'!AD24,'15.01'!$AM$4:$AO$55,2,FALSE))*IF('15.01'!BG$4="是",'15.01'!$AY$4,'15.01'!$AY$3)</f>
        <v>170</v>
      </c>
      <c r="W24" s="5">
        <f>(VLOOKUP('15.01'!AE24,'15.01'!$AM$4:$AO$55,2,FALSE))*IF('15.01'!BH$4="是",'15.01'!$AY$4,'15.01'!$AY$3)</f>
        <v>0</v>
      </c>
      <c r="X24" s="5">
        <f>(VLOOKUP('15.01'!AF24,'15.01'!$AM$4:$AO$55,2,FALSE))*IF('15.01'!BI$4="是",'15.01'!$AY$4,'15.01'!$AY$3)</f>
        <v>0</v>
      </c>
    </row>
    <row r="25" spans="1:24">
      <c r="A25" s="4">
        <f>(VLOOKUP('15.01'!I25,'15.01'!$AM$4:$AO$55,2,FALSE))*IF('15.01'!AK$4="是",'15.01'!$AY$4,'15.01'!$AY$3)</f>
        <v>0</v>
      </c>
      <c r="B25" s="4">
        <f>(VLOOKUP('15.01'!J25,'15.01'!$AM$4:$AO$55,2,FALSE))*IF('15.01'!AL$4="是",'15.01'!$AY$4,'15.01'!$AY$3)</f>
        <v>0</v>
      </c>
      <c r="C25" s="4">
        <f>(VLOOKUP('15.01'!K25,'15.01'!$AM$4:$AO$55,2,FALSE))*IF('15.01'!AM$4="是",'15.01'!$AY$4,'15.01'!$AY$3)</f>
        <v>0</v>
      </c>
      <c r="D25" s="4">
        <f>(VLOOKUP('15.01'!L25,'15.01'!$AM$4:$AO$55,2,FALSE))*IF('15.01'!AN$4="是",'15.01'!$AY$4,'15.01'!$AY$3)</f>
        <v>0</v>
      </c>
      <c r="E25" s="4">
        <f>(VLOOKUP('15.01'!M25,'15.01'!$AM$4:$AO$55,2,FALSE))*IF('15.01'!AO$4="是",'15.01'!$AY$4,'15.01'!$AY$3)</f>
        <v>0</v>
      </c>
      <c r="F25" s="4">
        <f>(VLOOKUP('15.01'!N25,'15.01'!$AM$4:$AO$55,2,FALSE))*IF('15.01'!AQ$4="是",'15.01'!$AY$4,'15.01'!$AY$3)</f>
        <v>0</v>
      </c>
      <c r="G25" s="5">
        <f>(VLOOKUP('15.01'!O25,'15.01'!$AM$4:$AO$55,2,FALSE))*IF('15.01'!AR$4="是",'15.01'!$AY$4,'15.01'!$AY$3)</f>
        <v>0</v>
      </c>
      <c r="H25" s="5">
        <f>(VLOOKUP('15.01'!P25,'15.01'!$AM$4:$AO$55,2,FALSE))*IF('15.01'!AS$4="是",'15.01'!$AY$4,'15.01'!$AY$3)</f>
        <v>0</v>
      </c>
      <c r="I25" s="4">
        <f>(VLOOKUP('15.01'!Q25,'15.01'!$AM$4:$AO$55,2,FALSE))*IF('15.01'!AT$4="是",'15.01'!$AY$4,'15.01'!$AY$3)</f>
        <v>180</v>
      </c>
      <c r="J25" s="4">
        <f>(VLOOKUP('15.01'!R25,'15.01'!$AM$4:$AO$55,2,FALSE))*IF('15.01'!AU$4="是",'15.01'!$AY$4,'15.01'!$AY$3)</f>
        <v>180</v>
      </c>
      <c r="K25" s="4">
        <f>(VLOOKUP('15.01'!S25,'15.01'!$AM$4:$AO$55,2,FALSE))*IF('15.01'!AV$4="是",'15.01'!$AY$4,'15.01'!$AY$3)</f>
        <v>180</v>
      </c>
      <c r="L25" s="4">
        <f>(VLOOKUP('15.01'!T25,'15.01'!$AM$4:$AO$55,2,FALSE))*IF('15.01'!AW$4="是",'15.01'!$AY$4,'15.01'!$AY$3)</f>
        <v>180</v>
      </c>
      <c r="M25" s="4">
        <f>(VLOOKUP('15.01'!U25,'15.01'!$AM$4:$AO$55,2,FALSE))*IF('15.01'!AX$4="是",'15.01'!$AY$4,'15.01'!$AY$3)</f>
        <v>150</v>
      </c>
      <c r="N25" s="4">
        <f>(VLOOKUP('15.01'!V25,'15.01'!$AM$4:$AO$55,2,FALSE))*IF('15.01'!AY$4="是",'15.01'!$AY$4,'15.01'!$AY$3)</f>
        <v>180</v>
      </c>
      <c r="O25" s="5">
        <f>(VLOOKUP('15.01'!W25,'15.01'!$AM$4:$AO$55,2,FALSE))*IF('15.01'!AZ$4="是",'15.01'!$AY$4,'15.01'!$AY$3)</f>
        <v>0</v>
      </c>
      <c r="P25" s="5">
        <f>(VLOOKUP('15.01'!X25,'15.01'!$AM$4:$AO$55,2,FALSE))*IF('15.01'!BA$4="是",'15.01'!$AY$4,'15.01'!$AY$3)</f>
        <v>0</v>
      </c>
      <c r="Q25" s="4">
        <f>(VLOOKUP('15.01'!Y25,'15.01'!$AM$4:$AO$55,2,FALSE))*IF('15.01'!BB$4="是",'15.01'!$AY$4,'15.01'!$AY$3)</f>
        <v>50</v>
      </c>
      <c r="R25" s="4">
        <f>(VLOOKUP('15.01'!Z25,'15.01'!$AM$4:$AO$55,2,FALSE))*IF('15.01'!BC$4="是",'15.01'!$AY$4,'15.01'!$AY$3)</f>
        <v>170</v>
      </c>
      <c r="S25" s="4">
        <f>(VLOOKUP('15.01'!AA25,'15.01'!$AM$4:$AO$55,2,FALSE))*IF('15.01'!BD$4="是",'15.01'!$AY$4,'15.01'!$AY$3)</f>
        <v>170</v>
      </c>
      <c r="T25" s="4">
        <f>(VLOOKUP('15.01'!AB25,'15.01'!$AM$4:$AO$55,2,FALSE))*IF('15.01'!BE$4="是",'15.01'!$AY$4,'15.01'!$AY$3)</f>
        <v>170</v>
      </c>
      <c r="U25" s="4">
        <f>(VLOOKUP('15.01'!AC25,'15.01'!$AM$4:$AO$55,2,FALSE))*IF('15.01'!BF$4="是",'15.01'!$AY$4,'15.01'!$AY$3)</f>
        <v>170</v>
      </c>
      <c r="V25" s="4">
        <f>(VLOOKUP('15.01'!AD25,'15.01'!$AM$4:$AO$55,2,FALSE))*IF('15.01'!BG$4="是",'15.01'!$AY$4,'15.01'!$AY$3)</f>
        <v>170</v>
      </c>
      <c r="W25" s="5">
        <f>(VLOOKUP('15.01'!AE25,'15.01'!$AM$4:$AO$55,2,FALSE))*IF('15.01'!BH$4="是",'15.01'!$AY$4,'15.01'!$AY$3)</f>
        <v>0</v>
      </c>
      <c r="X25" s="5">
        <f>(VLOOKUP('15.01'!AF25,'15.01'!$AM$4:$AO$55,2,FALSE))*IF('15.01'!BI$4="是",'15.01'!$AY$4,'15.01'!$AY$3)</f>
        <v>0</v>
      </c>
    </row>
    <row r="26" spans="1:24">
      <c r="A26" s="4">
        <f>(VLOOKUP('15.01'!I26,'15.01'!$AM$4:$AO$55,2,FALSE))*IF('15.01'!AK$4="是",'15.01'!$AY$4,'15.01'!$AY$3)</f>
        <v>0</v>
      </c>
      <c r="B26" s="4">
        <f>(VLOOKUP('15.01'!J26,'15.01'!$AM$4:$AO$55,2,FALSE))*IF('15.01'!AL$4="是",'15.01'!$AY$4,'15.01'!$AY$3)</f>
        <v>0</v>
      </c>
      <c r="C26" s="4">
        <f>(VLOOKUP('15.01'!K26,'15.01'!$AM$4:$AO$55,2,FALSE))*IF('15.01'!AM$4="是",'15.01'!$AY$4,'15.01'!$AY$3)</f>
        <v>0</v>
      </c>
      <c r="D26" s="4">
        <f>(VLOOKUP('15.01'!L26,'15.01'!$AM$4:$AO$55,2,FALSE))*IF('15.01'!AN$4="是",'15.01'!$AY$4,'15.01'!$AY$3)</f>
        <v>0</v>
      </c>
      <c r="E26" s="4">
        <f>(VLOOKUP('15.01'!M26,'15.01'!$AM$4:$AO$55,2,FALSE))*IF('15.01'!AO$4="是",'15.01'!$AY$4,'15.01'!$AY$3)</f>
        <v>0</v>
      </c>
      <c r="F26" s="4">
        <f>(VLOOKUP('15.01'!N26,'15.01'!$AM$4:$AO$55,2,FALSE))*IF('15.01'!AQ$4="是",'15.01'!$AY$4,'15.01'!$AY$3)</f>
        <v>0</v>
      </c>
      <c r="G26" s="5">
        <f>(VLOOKUP('15.01'!O26,'15.01'!$AM$4:$AO$55,2,FALSE))*IF('15.01'!AR$4="是",'15.01'!$AY$4,'15.01'!$AY$3)</f>
        <v>0</v>
      </c>
      <c r="H26" s="5">
        <f>(VLOOKUP('15.01'!P26,'15.01'!$AM$4:$AO$55,2,FALSE))*IF('15.01'!AS$4="是",'15.01'!$AY$4,'15.01'!$AY$3)</f>
        <v>0</v>
      </c>
      <c r="I26" s="4">
        <f>(VLOOKUP('15.01'!Q26,'15.01'!$AM$4:$AO$55,2,FALSE))*IF('15.01'!AT$4="是",'15.01'!$AY$4,'15.01'!$AY$3)</f>
        <v>180</v>
      </c>
      <c r="J26" s="4">
        <f>(VLOOKUP('15.01'!R26,'15.01'!$AM$4:$AO$55,2,FALSE))*IF('15.01'!AU$4="是",'15.01'!$AY$4,'15.01'!$AY$3)</f>
        <v>180</v>
      </c>
      <c r="K26" s="4">
        <f>(VLOOKUP('15.01'!S26,'15.01'!$AM$4:$AO$55,2,FALSE))*IF('15.01'!AV$4="是",'15.01'!$AY$4,'15.01'!$AY$3)</f>
        <v>180</v>
      </c>
      <c r="L26" s="4">
        <f>(VLOOKUP('15.01'!T26,'15.01'!$AM$4:$AO$55,2,FALSE))*IF('15.01'!AW$4="是",'15.01'!$AY$4,'15.01'!$AY$3)</f>
        <v>180</v>
      </c>
      <c r="M26" s="4">
        <f>(VLOOKUP('15.01'!U26,'15.01'!$AM$4:$AO$55,2,FALSE))*IF('15.01'!AX$4="是",'15.01'!$AY$4,'15.01'!$AY$3)</f>
        <v>180</v>
      </c>
      <c r="N26" s="4">
        <f>(VLOOKUP('15.01'!V26,'15.01'!$AM$4:$AO$55,2,FALSE))*IF('15.01'!AY$4="是",'15.01'!$AY$4,'15.01'!$AY$3)</f>
        <v>180</v>
      </c>
      <c r="O26" s="5">
        <f>(VLOOKUP('15.01'!W26,'15.01'!$AM$4:$AO$55,2,FALSE))*IF('15.01'!AZ$4="是",'15.01'!$AY$4,'15.01'!$AY$3)</f>
        <v>0</v>
      </c>
      <c r="P26" s="5">
        <f>(VLOOKUP('15.01'!X26,'15.01'!$AM$4:$AO$55,2,FALSE))*IF('15.01'!BA$4="是",'15.01'!$AY$4,'15.01'!$AY$3)</f>
        <v>0</v>
      </c>
      <c r="Q26" s="4">
        <f>(VLOOKUP('15.01'!Y26,'15.01'!$AM$4:$AO$55,2,FALSE))*IF('15.01'!BB$4="是",'15.01'!$AY$4,'15.01'!$AY$3)</f>
        <v>170</v>
      </c>
      <c r="R26" s="4">
        <f>(VLOOKUP('15.01'!Z26,'15.01'!$AM$4:$AO$55,2,FALSE))*IF('15.01'!BC$4="是",'15.01'!$AY$4,'15.01'!$AY$3)</f>
        <v>170</v>
      </c>
      <c r="S26" s="4">
        <f>(VLOOKUP('15.01'!AA26,'15.01'!$AM$4:$AO$55,2,FALSE))*IF('15.01'!BD$4="是",'15.01'!$AY$4,'15.01'!$AY$3)</f>
        <v>170</v>
      </c>
      <c r="T26" s="4">
        <f>(VLOOKUP('15.01'!AB26,'15.01'!$AM$4:$AO$55,2,FALSE))*IF('15.01'!BE$4="是",'15.01'!$AY$4,'15.01'!$AY$3)</f>
        <v>170</v>
      </c>
      <c r="U26" s="4">
        <f>(VLOOKUP('15.01'!AC26,'15.01'!$AM$4:$AO$55,2,FALSE))*IF('15.01'!BF$4="是",'15.01'!$AY$4,'15.01'!$AY$3)</f>
        <v>170</v>
      </c>
      <c r="V26" s="4">
        <f>(VLOOKUP('15.01'!AD26,'15.01'!$AM$4:$AO$55,2,FALSE))*IF('15.01'!BG$4="是",'15.01'!$AY$4,'15.01'!$AY$3)</f>
        <v>170</v>
      </c>
      <c r="W26" s="5">
        <f>(VLOOKUP('15.01'!AE26,'15.01'!$AM$4:$AO$55,2,FALSE))*IF('15.01'!BH$4="是",'15.01'!$AY$4,'15.01'!$AY$3)</f>
        <v>0</v>
      </c>
      <c r="X26" s="5">
        <f>(VLOOKUP('15.01'!AF26,'15.01'!$AM$4:$AO$55,2,FALSE))*IF('15.01'!BI$4="是",'15.01'!$AY$4,'15.01'!$AY$3)</f>
        <v>0</v>
      </c>
    </row>
    <row r="27" spans="1:24">
      <c r="A27" s="4">
        <f>(VLOOKUP('15.01'!I27,'15.01'!$AM$4:$AO$55,2,FALSE))*IF('15.01'!AK$4="是",'15.01'!$AY$4,'15.01'!$AY$3)</f>
        <v>0</v>
      </c>
      <c r="B27" s="4">
        <f>(VLOOKUP('15.01'!J27,'15.01'!$AM$4:$AO$55,2,FALSE))*IF('15.01'!AL$4="是",'15.01'!$AY$4,'15.01'!$AY$3)</f>
        <v>0</v>
      </c>
      <c r="C27" s="4">
        <f>(VLOOKUP('15.01'!K27,'15.01'!$AM$4:$AO$55,2,FALSE))*IF('15.01'!AM$4="是",'15.01'!$AY$4,'15.01'!$AY$3)</f>
        <v>0</v>
      </c>
      <c r="D27" s="4">
        <f>(VLOOKUP('15.01'!L27,'15.01'!$AM$4:$AO$55,2,FALSE))*IF('15.01'!AN$4="是",'15.01'!$AY$4,'15.01'!$AY$3)</f>
        <v>0</v>
      </c>
      <c r="E27" s="4">
        <f>(VLOOKUP('15.01'!M27,'15.01'!$AM$4:$AO$55,2,FALSE))*IF('15.01'!AO$4="是",'15.01'!$AY$4,'15.01'!$AY$3)</f>
        <v>0</v>
      </c>
      <c r="F27" s="4">
        <f>(VLOOKUP('15.01'!N27,'15.01'!$AM$4:$AO$55,2,FALSE))*IF('15.01'!AQ$4="是",'15.01'!$AY$4,'15.01'!$AY$3)</f>
        <v>0</v>
      </c>
      <c r="G27" s="5">
        <f>(VLOOKUP('15.01'!O27,'15.01'!$AM$4:$AO$55,2,FALSE))*IF('15.01'!AR$4="是",'15.01'!$AY$4,'15.01'!$AY$3)</f>
        <v>0</v>
      </c>
      <c r="H27" s="5">
        <f>(VLOOKUP('15.01'!P27,'15.01'!$AM$4:$AO$55,2,FALSE))*IF('15.01'!AS$4="是",'15.01'!$AY$4,'15.01'!$AY$3)</f>
        <v>0</v>
      </c>
      <c r="I27" s="4">
        <f>(VLOOKUP('15.01'!Q27,'15.01'!$AM$4:$AO$55,2,FALSE))*IF('15.01'!AT$4="是",'15.01'!$AY$4,'15.01'!$AY$3)</f>
        <v>180</v>
      </c>
      <c r="J27" s="4">
        <f>(VLOOKUP('15.01'!R27,'15.01'!$AM$4:$AO$55,2,FALSE))*IF('15.01'!AU$4="是",'15.01'!$AY$4,'15.01'!$AY$3)</f>
        <v>180</v>
      </c>
      <c r="K27" s="4">
        <f>(VLOOKUP('15.01'!S27,'15.01'!$AM$4:$AO$55,2,FALSE))*IF('15.01'!AV$4="是",'15.01'!$AY$4,'15.01'!$AY$3)</f>
        <v>180</v>
      </c>
      <c r="L27" s="4">
        <f>(VLOOKUP('15.01'!T27,'15.01'!$AM$4:$AO$55,2,FALSE))*IF('15.01'!AW$4="是",'15.01'!$AY$4,'15.01'!$AY$3)</f>
        <v>180</v>
      </c>
      <c r="M27" s="4">
        <f>(VLOOKUP('15.01'!U27,'15.01'!$AM$4:$AO$55,2,FALSE))*IF('15.01'!AX$4="是",'15.01'!$AY$4,'15.01'!$AY$3)</f>
        <v>180</v>
      </c>
      <c r="N27" s="4">
        <f>(VLOOKUP('15.01'!V27,'15.01'!$AM$4:$AO$55,2,FALSE))*IF('15.01'!AY$4="是",'15.01'!$AY$4,'15.01'!$AY$3)</f>
        <v>180</v>
      </c>
      <c r="O27" s="5">
        <f>(VLOOKUP('15.01'!W27,'15.01'!$AM$4:$AO$55,2,FALSE))*IF('15.01'!AZ$4="是",'15.01'!$AY$4,'15.01'!$AY$3)</f>
        <v>0</v>
      </c>
      <c r="P27" s="5">
        <f>(VLOOKUP('15.01'!X27,'15.01'!$AM$4:$AO$55,2,FALSE))*IF('15.01'!BA$4="是",'15.01'!$AY$4,'15.01'!$AY$3)</f>
        <v>0</v>
      </c>
      <c r="Q27" s="4">
        <f>(VLOOKUP('15.01'!Y27,'15.01'!$AM$4:$AO$55,2,FALSE))*IF('15.01'!BB$4="是",'15.01'!$AY$4,'15.01'!$AY$3)</f>
        <v>170</v>
      </c>
      <c r="R27" s="4">
        <f>(VLOOKUP('15.01'!Z27,'15.01'!$AM$4:$AO$55,2,FALSE))*IF('15.01'!BC$4="是",'15.01'!$AY$4,'15.01'!$AY$3)</f>
        <v>170</v>
      </c>
      <c r="S27" s="4">
        <f>(VLOOKUP('15.01'!AA27,'15.01'!$AM$4:$AO$55,2,FALSE))*IF('15.01'!BD$4="是",'15.01'!$AY$4,'15.01'!$AY$3)</f>
        <v>170</v>
      </c>
      <c r="T27" s="4">
        <f>(VLOOKUP('15.01'!AB27,'15.01'!$AM$4:$AO$55,2,FALSE))*IF('15.01'!BE$4="是",'15.01'!$AY$4,'15.01'!$AY$3)</f>
        <v>170</v>
      </c>
      <c r="U27" s="4">
        <f>(VLOOKUP('15.01'!AC27,'15.01'!$AM$4:$AO$55,2,FALSE))*IF('15.01'!BF$4="是",'15.01'!$AY$4,'15.01'!$AY$3)</f>
        <v>170</v>
      </c>
      <c r="V27" s="4">
        <f>(VLOOKUP('15.01'!AD27,'15.01'!$AM$4:$AO$55,2,FALSE))*IF('15.01'!BG$4="是",'15.01'!$AY$4,'15.01'!$AY$3)</f>
        <v>170</v>
      </c>
      <c r="W27" s="5">
        <f>(VLOOKUP('15.01'!AE27,'15.01'!$AM$4:$AO$55,2,FALSE))*IF('15.01'!BH$4="是",'15.01'!$AY$4,'15.01'!$AY$3)</f>
        <v>0</v>
      </c>
      <c r="X27" s="5">
        <f>(VLOOKUP('15.01'!AF27,'15.01'!$AM$4:$AO$55,2,FALSE))*IF('15.01'!BI$4="是",'15.01'!$AY$4,'15.01'!$AY$3)</f>
        <v>0</v>
      </c>
    </row>
    <row r="28" spans="1:24">
      <c r="A28" s="4">
        <f>(VLOOKUP('15.01'!I28,'15.01'!$AM$4:$AO$55,2,FALSE))*IF('15.01'!AK$4="是",'15.01'!$AY$4,'15.01'!$AY$3)</f>
        <v>0</v>
      </c>
      <c r="B28" s="4">
        <f>(VLOOKUP('15.01'!J28,'15.01'!$AM$4:$AO$55,2,FALSE))*IF('15.01'!AL$4="是",'15.01'!$AY$4,'15.01'!$AY$3)</f>
        <v>0</v>
      </c>
      <c r="C28" s="4">
        <f>(VLOOKUP('15.01'!K28,'15.01'!$AM$4:$AO$55,2,FALSE))*IF('15.01'!AM$4="是",'15.01'!$AY$4,'15.01'!$AY$3)</f>
        <v>0</v>
      </c>
      <c r="D28" s="4">
        <f>(VLOOKUP('15.01'!L28,'15.01'!$AM$4:$AO$55,2,FALSE))*IF('15.01'!AN$4="是",'15.01'!$AY$4,'15.01'!$AY$3)</f>
        <v>0</v>
      </c>
      <c r="E28" s="4">
        <f>(VLOOKUP('15.01'!M28,'15.01'!$AM$4:$AO$55,2,FALSE))*IF('15.01'!AO$4="是",'15.01'!$AY$4,'15.01'!$AY$3)</f>
        <v>0</v>
      </c>
      <c r="F28" s="4">
        <f>(VLOOKUP('15.01'!N28,'15.01'!$AM$4:$AO$55,2,FALSE))*IF('15.01'!AQ$4="是",'15.01'!$AY$4,'15.01'!$AY$3)</f>
        <v>0</v>
      </c>
      <c r="G28" s="5">
        <f>(VLOOKUP('15.01'!O28,'15.01'!$AM$4:$AO$55,2,FALSE))*IF('15.01'!AR$4="是",'15.01'!$AY$4,'15.01'!$AY$3)</f>
        <v>0</v>
      </c>
      <c r="H28" s="5">
        <f>(VLOOKUP('15.01'!P28,'15.01'!$AM$4:$AO$55,2,FALSE))*IF('15.01'!AS$4="是",'15.01'!$AY$4,'15.01'!$AY$3)</f>
        <v>0</v>
      </c>
      <c r="I28" s="4">
        <f>(VLOOKUP('15.01'!Q28,'15.01'!$AM$4:$AO$55,2,FALSE))*IF('15.01'!AT$4="是",'15.01'!$AY$4,'15.01'!$AY$3)</f>
        <v>180</v>
      </c>
      <c r="J28" s="4">
        <f>(VLOOKUP('15.01'!R28,'15.01'!$AM$4:$AO$55,2,FALSE))*IF('15.01'!AU$4="是",'15.01'!$AY$4,'15.01'!$AY$3)</f>
        <v>180</v>
      </c>
      <c r="K28" s="4">
        <f>(VLOOKUP('15.01'!S28,'15.01'!$AM$4:$AO$55,2,FALSE))*IF('15.01'!AV$4="是",'15.01'!$AY$4,'15.01'!$AY$3)</f>
        <v>180</v>
      </c>
      <c r="L28" s="4">
        <f>(VLOOKUP('15.01'!T28,'15.01'!$AM$4:$AO$55,2,FALSE))*IF('15.01'!AW$4="是",'15.01'!$AY$4,'15.01'!$AY$3)</f>
        <v>180</v>
      </c>
      <c r="M28" s="4">
        <f>(VLOOKUP('15.01'!U28,'15.01'!$AM$4:$AO$55,2,FALSE))*IF('15.01'!AX$4="是",'15.01'!$AY$4,'15.01'!$AY$3)</f>
        <v>180</v>
      </c>
      <c r="N28" s="4">
        <f>(VLOOKUP('15.01'!V28,'15.01'!$AM$4:$AO$55,2,FALSE))*IF('15.01'!AY$4="是",'15.01'!$AY$4,'15.01'!$AY$3)</f>
        <v>180</v>
      </c>
      <c r="O28" s="5">
        <f>(VLOOKUP('15.01'!W28,'15.01'!$AM$4:$AO$55,2,FALSE))*IF('15.01'!AZ$4="是",'15.01'!$AY$4,'15.01'!$AY$3)</f>
        <v>0</v>
      </c>
      <c r="P28" s="5">
        <f>(VLOOKUP('15.01'!X28,'15.01'!$AM$4:$AO$55,2,FALSE))*IF('15.01'!BA$4="是",'15.01'!$AY$4,'15.01'!$AY$3)</f>
        <v>0</v>
      </c>
      <c r="Q28" s="4">
        <f>(VLOOKUP('15.01'!Y28,'15.01'!$AM$4:$AO$55,2,FALSE))*IF('15.01'!BB$4="是",'15.01'!$AY$4,'15.01'!$AY$3)</f>
        <v>170</v>
      </c>
      <c r="R28" s="4">
        <f>(VLOOKUP('15.01'!Z28,'15.01'!$AM$4:$AO$55,2,FALSE))*IF('15.01'!BC$4="是",'15.01'!$AY$4,'15.01'!$AY$3)</f>
        <v>170</v>
      </c>
      <c r="S28" s="4">
        <f>(VLOOKUP('15.01'!AA28,'15.01'!$AM$4:$AO$55,2,FALSE))*IF('15.01'!BD$4="是",'15.01'!$AY$4,'15.01'!$AY$3)</f>
        <v>170</v>
      </c>
      <c r="T28" s="4">
        <f>(VLOOKUP('15.01'!AB28,'15.01'!$AM$4:$AO$55,2,FALSE))*IF('15.01'!BE$4="是",'15.01'!$AY$4,'15.01'!$AY$3)</f>
        <v>170</v>
      </c>
      <c r="U28" s="4">
        <f>(VLOOKUP('15.01'!AC28,'15.01'!$AM$4:$AO$55,2,FALSE))*IF('15.01'!BF$4="是",'15.01'!$AY$4,'15.01'!$AY$3)</f>
        <v>170</v>
      </c>
      <c r="V28" s="4">
        <f>(VLOOKUP('15.01'!AD28,'15.01'!$AM$4:$AO$55,2,FALSE))*IF('15.01'!BG$4="是",'15.01'!$AY$4,'15.01'!$AY$3)</f>
        <v>170</v>
      </c>
      <c r="W28" s="5">
        <f>(VLOOKUP('15.01'!AE28,'15.01'!$AM$4:$AO$55,2,FALSE))*IF('15.01'!BH$4="是",'15.01'!$AY$4,'15.01'!$AY$3)</f>
        <v>0</v>
      </c>
      <c r="X28" s="5">
        <f>(VLOOKUP('15.01'!AF28,'15.01'!$AM$4:$AO$55,2,FALSE))*IF('15.01'!BI$4="是",'15.01'!$AY$4,'15.01'!$AY$3)</f>
        <v>0</v>
      </c>
    </row>
    <row r="29" spans="1:24">
      <c r="A29" s="4">
        <f>(VLOOKUP('15.01'!I29,'15.01'!$AM$4:$AO$55,2,FALSE))*IF('15.01'!AK$4="是",'15.01'!$AY$4,'15.01'!$AY$3)</f>
        <v>0</v>
      </c>
      <c r="B29" s="4">
        <f>(VLOOKUP('15.01'!J29,'15.01'!$AM$4:$AO$55,2,FALSE))*IF('15.01'!AL$4="是",'15.01'!$AY$4,'15.01'!$AY$3)</f>
        <v>0</v>
      </c>
      <c r="C29" s="4">
        <f>(VLOOKUP('15.01'!K29,'15.01'!$AM$4:$AO$55,2,FALSE))*IF('15.01'!AM$4="是",'15.01'!$AY$4,'15.01'!$AY$3)</f>
        <v>0</v>
      </c>
      <c r="D29" s="4">
        <f>(VLOOKUP('15.01'!L29,'15.01'!$AM$4:$AO$55,2,FALSE))*IF('15.01'!AN$4="是",'15.01'!$AY$4,'15.01'!$AY$3)</f>
        <v>0</v>
      </c>
      <c r="E29" s="4">
        <f>(VLOOKUP('15.01'!M29,'15.01'!$AM$4:$AO$55,2,FALSE))*IF('15.01'!AO$4="是",'15.01'!$AY$4,'15.01'!$AY$3)</f>
        <v>0</v>
      </c>
      <c r="F29" s="4">
        <f>(VLOOKUP('15.01'!N29,'15.01'!$AM$4:$AO$55,2,FALSE))*IF('15.01'!AQ$4="是",'15.01'!$AY$4,'15.01'!$AY$3)</f>
        <v>0</v>
      </c>
      <c r="G29" s="5">
        <f>(VLOOKUP('15.01'!O29,'15.01'!$AM$4:$AO$55,2,FALSE))*IF('15.01'!AR$4="是",'15.01'!$AY$4,'15.01'!$AY$3)</f>
        <v>0</v>
      </c>
      <c r="H29" s="5">
        <f>(VLOOKUP('15.01'!P29,'15.01'!$AM$4:$AO$55,2,FALSE))*IF('15.01'!AS$4="是",'15.01'!$AY$4,'15.01'!$AY$3)</f>
        <v>0</v>
      </c>
      <c r="I29" s="4">
        <f>(VLOOKUP('15.01'!Q29,'15.01'!$AM$4:$AO$55,2,FALSE))*IF('15.01'!AT$4="是",'15.01'!$AY$4,'15.01'!$AY$3)</f>
        <v>180</v>
      </c>
      <c r="J29" s="4">
        <f>(VLOOKUP('15.01'!R29,'15.01'!$AM$4:$AO$55,2,FALSE))*IF('15.01'!AU$4="是",'15.01'!$AY$4,'15.01'!$AY$3)</f>
        <v>180</v>
      </c>
      <c r="K29" s="4">
        <f>(VLOOKUP('15.01'!S29,'15.01'!$AM$4:$AO$55,2,FALSE))*IF('15.01'!AV$4="是",'15.01'!$AY$4,'15.01'!$AY$3)</f>
        <v>180</v>
      </c>
      <c r="L29" s="4">
        <f>(VLOOKUP('15.01'!T29,'15.01'!$AM$4:$AO$55,2,FALSE))*IF('15.01'!AW$4="是",'15.01'!$AY$4,'15.01'!$AY$3)</f>
        <v>180</v>
      </c>
      <c r="M29" s="4">
        <f>(VLOOKUP('15.01'!U29,'15.01'!$AM$4:$AO$55,2,FALSE))*IF('15.01'!AX$4="是",'15.01'!$AY$4,'15.01'!$AY$3)</f>
        <v>180</v>
      </c>
      <c r="N29" s="4">
        <f>(VLOOKUP('15.01'!V29,'15.01'!$AM$4:$AO$55,2,FALSE))*IF('15.01'!AY$4="是",'15.01'!$AY$4,'15.01'!$AY$3)</f>
        <v>180</v>
      </c>
      <c r="O29" s="5">
        <f>(VLOOKUP('15.01'!W29,'15.01'!$AM$4:$AO$55,2,FALSE))*IF('15.01'!AZ$4="是",'15.01'!$AY$4,'15.01'!$AY$3)</f>
        <v>0</v>
      </c>
      <c r="P29" s="5">
        <f>(VLOOKUP('15.01'!X29,'15.01'!$AM$4:$AO$55,2,FALSE))*IF('15.01'!BA$4="是",'15.01'!$AY$4,'15.01'!$AY$3)</f>
        <v>0</v>
      </c>
      <c r="Q29" s="4">
        <f>(VLOOKUP('15.01'!Y29,'15.01'!$AM$4:$AO$55,2,FALSE))*IF('15.01'!BB$4="是",'15.01'!$AY$4,'15.01'!$AY$3)</f>
        <v>50</v>
      </c>
      <c r="R29" s="4">
        <f>(VLOOKUP('15.01'!Z29,'15.01'!$AM$4:$AO$55,2,FALSE))*IF('15.01'!BC$4="是",'15.01'!$AY$4,'15.01'!$AY$3)</f>
        <v>170</v>
      </c>
      <c r="S29" s="4">
        <f>(VLOOKUP('15.01'!AA29,'15.01'!$AM$4:$AO$55,2,FALSE))*IF('15.01'!BD$4="是",'15.01'!$AY$4,'15.01'!$AY$3)</f>
        <v>170</v>
      </c>
      <c r="T29" s="4">
        <f>(VLOOKUP('15.01'!AB29,'15.01'!$AM$4:$AO$55,2,FALSE))*IF('15.01'!BE$4="是",'15.01'!$AY$4,'15.01'!$AY$3)</f>
        <v>170</v>
      </c>
      <c r="U29" s="4">
        <f>(VLOOKUP('15.01'!AC29,'15.01'!$AM$4:$AO$55,2,FALSE))*IF('15.01'!BF$4="是",'15.01'!$AY$4,'15.01'!$AY$3)</f>
        <v>170</v>
      </c>
      <c r="V29" s="4">
        <f>(VLOOKUP('15.01'!AD29,'15.01'!$AM$4:$AO$55,2,FALSE))*IF('15.01'!BG$4="是",'15.01'!$AY$4,'15.01'!$AY$3)</f>
        <v>170</v>
      </c>
      <c r="W29" s="5">
        <f>(VLOOKUP('15.01'!AE29,'15.01'!$AM$4:$AO$55,2,FALSE))*IF('15.01'!BH$4="是",'15.01'!$AY$4,'15.01'!$AY$3)</f>
        <v>0</v>
      </c>
      <c r="X29" s="5">
        <f>(VLOOKUP('15.01'!AF29,'15.01'!$AM$4:$AO$55,2,FALSE))*IF('15.01'!BI$4="是",'15.01'!$AY$4,'15.01'!$AY$3)</f>
        <v>0</v>
      </c>
    </row>
    <row r="30" spans="1:24">
      <c r="A30" s="4">
        <f>(VLOOKUP('15.01'!I30,'15.01'!$AM$4:$AO$55,2,FALSE))*IF('15.01'!AK$4="是",'15.01'!$AY$4,'15.01'!$AY$3)</f>
        <v>0</v>
      </c>
      <c r="B30" s="4">
        <f>(VLOOKUP('15.01'!J30,'15.01'!$AM$4:$AO$55,2,FALSE))*IF('15.01'!AL$4="是",'15.01'!$AY$4,'15.01'!$AY$3)</f>
        <v>0</v>
      </c>
      <c r="C30" s="4">
        <f>(VLOOKUP('15.01'!K30,'15.01'!$AM$4:$AO$55,2,FALSE))*IF('15.01'!AM$4="是",'15.01'!$AY$4,'15.01'!$AY$3)</f>
        <v>0</v>
      </c>
      <c r="D30" s="4">
        <f>(VLOOKUP('15.01'!L30,'15.01'!$AM$4:$AO$55,2,FALSE))*IF('15.01'!AN$4="是",'15.01'!$AY$4,'15.01'!$AY$3)</f>
        <v>0</v>
      </c>
      <c r="E30" s="4">
        <f>(VLOOKUP('15.01'!M30,'15.01'!$AM$4:$AO$55,2,FALSE))*IF('15.01'!AO$4="是",'15.01'!$AY$4,'15.01'!$AY$3)</f>
        <v>0</v>
      </c>
      <c r="F30" s="4">
        <f>(VLOOKUP('15.01'!N30,'15.01'!$AM$4:$AO$55,2,FALSE))*IF('15.01'!AQ$4="是",'15.01'!$AY$4,'15.01'!$AY$3)</f>
        <v>0</v>
      </c>
      <c r="G30" s="5">
        <f>(VLOOKUP('15.01'!O30,'15.01'!$AM$4:$AO$55,2,FALSE))*IF('15.01'!AR$4="是",'15.01'!$AY$4,'15.01'!$AY$3)</f>
        <v>0</v>
      </c>
      <c r="H30" s="5">
        <f>(VLOOKUP('15.01'!P30,'15.01'!$AM$4:$AO$55,2,FALSE))*IF('15.01'!AS$4="是",'15.01'!$AY$4,'15.01'!$AY$3)</f>
        <v>0</v>
      </c>
      <c r="I30" s="4">
        <f>(VLOOKUP('15.01'!Q30,'15.01'!$AM$4:$AO$55,2,FALSE))*IF('15.01'!AT$4="是",'15.01'!$AY$4,'15.01'!$AY$3)</f>
        <v>180</v>
      </c>
      <c r="J30" s="4">
        <f>(VLOOKUP('15.01'!R30,'15.01'!$AM$4:$AO$55,2,FALSE))*IF('15.01'!AU$4="是",'15.01'!$AY$4,'15.01'!$AY$3)</f>
        <v>50</v>
      </c>
      <c r="K30" s="4">
        <f>(VLOOKUP('15.01'!S30,'15.01'!$AM$4:$AO$55,2,FALSE))*IF('15.01'!AV$4="是",'15.01'!$AY$4,'15.01'!$AY$3)</f>
        <v>180</v>
      </c>
      <c r="L30" s="4">
        <f>(VLOOKUP('15.01'!T30,'15.01'!$AM$4:$AO$55,2,FALSE))*IF('15.01'!AW$4="是",'15.01'!$AY$4,'15.01'!$AY$3)</f>
        <v>180</v>
      </c>
      <c r="M30" s="4">
        <f>(VLOOKUP('15.01'!U30,'15.01'!$AM$4:$AO$55,2,FALSE))*IF('15.01'!AX$4="是",'15.01'!$AY$4,'15.01'!$AY$3)</f>
        <v>180</v>
      </c>
      <c r="N30" s="4">
        <f>(VLOOKUP('15.01'!V30,'15.01'!$AM$4:$AO$55,2,FALSE))*IF('15.01'!AY$4="是",'15.01'!$AY$4,'15.01'!$AY$3)</f>
        <v>180</v>
      </c>
      <c r="O30" s="5">
        <f>(VLOOKUP('15.01'!W30,'15.01'!$AM$4:$AO$55,2,FALSE))*IF('15.01'!AZ$4="是",'15.01'!$AY$4,'15.01'!$AY$3)</f>
        <v>0</v>
      </c>
      <c r="P30" s="5">
        <f>(VLOOKUP('15.01'!X30,'15.01'!$AM$4:$AO$55,2,FALSE))*IF('15.01'!BA$4="是",'15.01'!$AY$4,'15.01'!$AY$3)</f>
        <v>0</v>
      </c>
      <c r="Q30" s="4">
        <f>(VLOOKUP('15.01'!Y30,'15.01'!$AM$4:$AO$55,2,FALSE))*IF('15.01'!BB$4="是",'15.01'!$AY$4,'15.01'!$AY$3)</f>
        <v>170</v>
      </c>
      <c r="R30" s="4">
        <f>(VLOOKUP('15.01'!Z30,'15.01'!$AM$4:$AO$55,2,FALSE))*IF('15.01'!BC$4="是",'15.01'!$AY$4,'15.01'!$AY$3)</f>
        <v>170</v>
      </c>
      <c r="S30" s="4">
        <f>(VLOOKUP('15.01'!AA30,'15.01'!$AM$4:$AO$55,2,FALSE))*IF('15.01'!BD$4="是",'15.01'!$AY$4,'15.01'!$AY$3)</f>
        <v>170</v>
      </c>
      <c r="T30" s="4">
        <f>(VLOOKUP('15.01'!AB30,'15.01'!$AM$4:$AO$55,2,FALSE))*IF('15.01'!BE$4="是",'15.01'!$AY$4,'15.01'!$AY$3)</f>
        <v>170</v>
      </c>
      <c r="U30" s="4">
        <f>(VLOOKUP('15.01'!AC30,'15.01'!$AM$4:$AO$55,2,FALSE))*IF('15.01'!BF$4="是",'15.01'!$AY$4,'15.01'!$AY$3)</f>
        <v>50</v>
      </c>
      <c r="V30" s="4">
        <f>(VLOOKUP('15.01'!AD30,'15.01'!$AM$4:$AO$55,2,FALSE))*IF('15.01'!BG$4="是",'15.01'!$AY$4,'15.01'!$AY$3)</f>
        <v>170</v>
      </c>
      <c r="W30" s="5">
        <f>(VLOOKUP('15.01'!AE30,'15.01'!$AM$4:$AO$55,2,FALSE))*IF('15.01'!BH$4="是",'15.01'!$AY$4,'15.01'!$AY$3)</f>
        <v>0</v>
      </c>
      <c r="X30" s="5">
        <f>(VLOOKUP('15.01'!AF30,'15.01'!$AM$4:$AO$55,2,FALSE))*IF('15.01'!BI$4="是",'15.01'!$AY$4,'15.01'!$AY$3)</f>
        <v>0</v>
      </c>
    </row>
    <row r="31" spans="1:24">
      <c r="A31" s="4">
        <f>(VLOOKUP('15.01'!I31,'15.01'!$AM$4:$AO$55,2,FALSE))*IF('15.01'!AK$4="是",'15.01'!$AY$4,'15.01'!$AY$3)</f>
        <v>0</v>
      </c>
      <c r="B31" s="4">
        <f>(VLOOKUP('15.01'!J31,'15.01'!$AM$4:$AO$55,2,FALSE))*IF('15.01'!AL$4="是",'15.01'!$AY$4,'15.01'!$AY$3)</f>
        <v>0</v>
      </c>
      <c r="C31" s="4">
        <f>(VLOOKUP('15.01'!K31,'15.01'!$AM$4:$AO$55,2,FALSE))*IF('15.01'!AM$4="是",'15.01'!$AY$4,'15.01'!$AY$3)</f>
        <v>0</v>
      </c>
      <c r="D31" s="4">
        <f>(VLOOKUP('15.01'!L31,'15.01'!$AM$4:$AO$55,2,FALSE))*IF('15.01'!AN$4="是",'15.01'!$AY$4,'15.01'!$AY$3)</f>
        <v>0</v>
      </c>
      <c r="E31" s="4">
        <f>(VLOOKUP('15.01'!M31,'15.01'!$AM$4:$AO$55,2,FALSE))*IF('15.01'!AO$4="是",'15.01'!$AY$4,'15.01'!$AY$3)</f>
        <v>0</v>
      </c>
      <c r="F31" s="4">
        <f>(VLOOKUP('15.01'!N31,'15.01'!$AM$4:$AO$55,2,FALSE))*IF('15.01'!AQ$4="是",'15.01'!$AY$4,'15.01'!$AY$3)</f>
        <v>0</v>
      </c>
      <c r="G31" s="5">
        <f>(VLOOKUP('15.01'!O31,'15.01'!$AM$4:$AO$55,2,FALSE))*IF('15.01'!AR$4="是",'15.01'!$AY$4,'15.01'!$AY$3)</f>
        <v>0</v>
      </c>
      <c r="H31" s="5">
        <f>(VLOOKUP('15.01'!P31,'15.01'!$AM$4:$AO$55,2,FALSE))*IF('15.01'!AS$4="是",'15.01'!$AY$4,'15.01'!$AY$3)</f>
        <v>0</v>
      </c>
      <c r="I31" s="4">
        <f>(VLOOKUP('15.01'!Q31,'15.01'!$AM$4:$AO$55,2,FALSE))*IF('15.01'!AT$4="是",'15.01'!$AY$4,'15.01'!$AY$3)</f>
        <v>180</v>
      </c>
      <c r="J31" s="4">
        <f>(VLOOKUP('15.01'!R31,'15.01'!$AM$4:$AO$55,2,FALSE))*IF('15.01'!AU$4="是",'15.01'!$AY$4,'15.01'!$AY$3)</f>
        <v>-200</v>
      </c>
      <c r="K31" s="4">
        <f>(VLOOKUP('15.01'!S31,'15.01'!$AM$4:$AO$55,2,FALSE))*IF('15.01'!AV$4="是",'15.01'!$AY$4,'15.01'!$AY$3)</f>
        <v>180</v>
      </c>
      <c r="L31" s="4">
        <f>(VLOOKUP('15.01'!T31,'15.01'!$AM$4:$AO$55,2,FALSE))*IF('15.01'!AW$4="是",'15.01'!$AY$4,'15.01'!$AY$3)</f>
        <v>180</v>
      </c>
      <c r="M31" s="4">
        <f>(VLOOKUP('15.01'!U31,'15.01'!$AM$4:$AO$55,2,FALSE))*IF('15.01'!AX$4="是",'15.01'!$AY$4,'15.01'!$AY$3)</f>
        <v>180</v>
      </c>
      <c r="N31" s="4">
        <f>(VLOOKUP('15.01'!V31,'15.01'!$AM$4:$AO$55,2,FALSE))*IF('15.01'!AY$4="是",'15.01'!$AY$4,'15.01'!$AY$3)</f>
        <v>180</v>
      </c>
      <c r="O31" s="5">
        <f>(VLOOKUP('15.01'!W31,'15.01'!$AM$4:$AO$55,2,FALSE))*IF('15.01'!AZ$4="是",'15.01'!$AY$4,'15.01'!$AY$3)</f>
        <v>0</v>
      </c>
      <c r="P31" s="5">
        <f>(VLOOKUP('15.01'!X31,'15.01'!$AM$4:$AO$55,2,FALSE))*IF('15.01'!BA$4="是",'15.01'!$AY$4,'15.01'!$AY$3)</f>
        <v>0</v>
      </c>
      <c r="Q31" s="4">
        <f>(VLOOKUP('15.01'!Y31,'15.01'!$AM$4:$AO$55,2,FALSE))*IF('15.01'!BB$4="是",'15.01'!$AY$4,'15.01'!$AY$3)</f>
        <v>170</v>
      </c>
      <c r="R31" s="4">
        <f>(VLOOKUP('15.01'!Z31,'15.01'!$AM$4:$AO$55,2,FALSE))*IF('15.01'!BC$4="是",'15.01'!$AY$4,'15.01'!$AY$3)</f>
        <v>170</v>
      </c>
      <c r="S31" s="4">
        <f>(VLOOKUP('15.01'!AA31,'15.01'!$AM$4:$AO$55,2,FALSE))*IF('15.01'!BD$4="是",'15.01'!$AY$4,'15.01'!$AY$3)</f>
        <v>170</v>
      </c>
      <c r="T31" s="4">
        <f>(VLOOKUP('15.01'!AB31,'15.01'!$AM$4:$AO$55,2,FALSE))*IF('15.01'!BE$4="是",'15.01'!$AY$4,'15.01'!$AY$3)</f>
        <v>0</v>
      </c>
      <c r="U31" s="4">
        <f>(VLOOKUP('15.01'!AC31,'15.01'!$AM$4:$AO$55,2,FALSE))*IF('15.01'!BF$4="是",'15.01'!$AY$4,'15.01'!$AY$3)</f>
        <v>0</v>
      </c>
      <c r="V31" s="4">
        <f>(VLOOKUP('15.01'!AD31,'15.01'!$AM$4:$AO$55,2,FALSE))*IF('15.01'!BG$4="是",'15.01'!$AY$4,'15.01'!$AY$3)</f>
        <v>0</v>
      </c>
      <c r="W31" s="5">
        <f>(VLOOKUP('15.01'!AE31,'15.01'!$AM$4:$AO$55,2,FALSE))*IF('15.01'!BH$4="是",'15.01'!$AY$4,'15.01'!$AY$3)</f>
        <v>0</v>
      </c>
      <c r="X31" s="5">
        <f>(VLOOKUP('15.01'!AF31,'15.01'!$AM$4:$AO$55,2,FALSE))*IF('15.01'!BI$4="是",'15.01'!$AY$4,'15.01'!$AY$3)</f>
        <v>0</v>
      </c>
    </row>
    <row r="32" spans="1:24">
      <c r="A32" s="4">
        <f>(VLOOKUP('15.01'!I32,'15.01'!$AM$4:$AO$55,2,FALSE))*IF('15.01'!AK$4="是",'15.01'!$AY$4,'15.01'!$AY$3)</f>
        <v>0</v>
      </c>
      <c r="B32" s="4">
        <f>(VLOOKUP('15.01'!J32,'15.01'!$AM$4:$AO$55,2,FALSE))*IF('15.01'!AL$4="是",'15.01'!$AY$4,'15.01'!$AY$3)</f>
        <v>0</v>
      </c>
      <c r="C32" s="4">
        <f>(VLOOKUP('15.01'!K32,'15.01'!$AM$4:$AO$55,2,FALSE))*IF('15.01'!AM$4="是",'15.01'!$AY$4,'15.01'!$AY$3)</f>
        <v>0</v>
      </c>
      <c r="D32" s="4">
        <f>(VLOOKUP('15.01'!L32,'15.01'!$AM$4:$AO$55,2,FALSE))*IF('15.01'!AN$4="是",'15.01'!$AY$4,'15.01'!$AY$3)</f>
        <v>0</v>
      </c>
      <c r="E32" s="4">
        <f>(VLOOKUP('15.01'!M32,'15.01'!$AM$4:$AO$55,2,FALSE))*IF('15.01'!AO$4="是",'15.01'!$AY$4,'15.01'!$AY$3)</f>
        <v>0</v>
      </c>
      <c r="F32" s="4">
        <f>(VLOOKUP('15.01'!N32,'15.01'!$AM$4:$AO$55,2,FALSE))*IF('15.01'!AQ$4="是",'15.01'!$AY$4,'15.01'!$AY$3)</f>
        <v>0</v>
      </c>
      <c r="G32" s="5">
        <f>(VLOOKUP('15.01'!O32,'15.01'!$AM$4:$AO$55,2,FALSE))*IF('15.01'!AR$4="是",'15.01'!$AY$4,'15.01'!$AY$3)</f>
        <v>0</v>
      </c>
      <c r="H32" s="5">
        <f>(VLOOKUP('15.01'!P32,'15.01'!$AM$4:$AO$55,2,FALSE))*IF('15.01'!AS$4="是",'15.01'!$AY$4,'15.01'!$AY$3)</f>
        <v>0</v>
      </c>
      <c r="I32" s="4">
        <f>(VLOOKUP('15.01'!Q32,'15.01'!$AM$4:$AO$55,2,FALSE))*IF('15.01'!AT$4="是",'15.01'!$AY$4,'15.01'!$AY$3)</f>
        <v>170</v>
      </c>
      <c r="J32" s="4">
        <f>(VLOOKUP('15.01'!R32,'15.01'!$AM$4:$AO$55,2,FALSE))*IF('15.01'!AU$4="是",'15.01'!$AY$4,'15.01'!$AY$3)</f>
        <v>170</v>
      </c>
      <c r="K32" s="4">
        <f>(VLOOKUP('15.01'!S32,'15.01'!$AM$4:$AO$55,2,FALSE))*IF('15.01'!AV$4="是",'15.01'!$AY$4,'15.01'!$AY$3)</f>
        <v>150</v>
      </c>
      <c r="L32" s="4">
        <f>(VLOOKUP('15.01'!T32,'15.01'!$AM$4:$AO$55,2,FALSE))*IF('15.01'!AW$4="是",'15.01'!$AY$4,'15.01'!$AY$3)</f>
        <v>170</v>
      </c>
      <c r="M32" s="4">
        <f>(VLOOKUP('15.01'!U32,'15.01'!$AM$4:$AO$55,2,FALSE))*IF('15.01'!AX$4="是",'15.01'!$AY$4,'15.01'!$AY$3)</f>
        <v>170</v>
      </c>
      <c r="N32" s="4">
        <f>(VLOOKUP('15.01'!V32,'15.01'!$AM$4:$AO$55,2,FALSE))*IF('15.01'!AY$4="是",'15.01'!$AY$4,'15.01'!$AY$3)</f>
        <v>170</v>
      </c>
      <c r="O32" s="5">
        <f>(VLOOKUP('15.01'!W32,'15.01'!$AM$4:$AO$55,2,FALSE))*IF('15.01'!AZ$4="是",'15.01'!$AY$4,'15.01'!$AY$3)</f>
        <v>0</v>
      </c>
      <c r="P32" s="5">
        <f>(VLOOKUP('15.01'!X32,'15.01'!$AM$4:$AO$55,2,FALSE))*IF('15.01'!BA$4="是",'15.01'!$AY$4,'15.01'!$AY$3)</f>
        <v>0</v>
      </c>
      <c r="Q32" s="4">
        <f>(VLOOKUP('15.01'!Y32,'15.01'!$AM$4:$AO$55,2,FALSE))*IF('15.01'!BB$4="是",'15.01'!$AY$4,'15.01'!$AY$3)</f>
        <v>170</v>
      </c>
      <c r="R32" s="4">
        <f>(VLOOKUP('15.01'!Z32,'15.01'!$AM$4:$AO$55,2,FALSE))*IF('15.01'!BC$4="是",'15.01'!$AY$4,'15.01'!$AY$3)</f>
        <v>170</v>
      </c>
      <c r="S32" s="4">
        <f>(VLOOKUP('15.01'!AA32,'15.01'!$AM$4:$AO$55,2,FALSE))*IF('15.01'!BD$4="是",'15.01'!$AY$4,'15.01'!$AY$3)</f>
        <v>170</v>
      </c>
      <c r="T32" s="4">
        <f>(VLOOKUP('15.01'!AB32,'15.01'!$AM$4:$AO$55,2,FALSE))*IF('15.01'!BE$4="是",'15.01'!$AY$4,'15.01'!$AY$3)</f>
        <v>180</v>
      </c>
      <c r="U32" s="4">
        <f>(VLOOKUP('15.01'!AC32,'15.01'!$AM$4:$AO$55,2,FALSE))*IF('15.01'!BF$4="是",'15.01'!$AY$4,'15.01'!$AY$3)</f>
        <v>180</v>
      </c>
      <c r="V32" s="4">
        <f>(VLOOKUP('15.01'!AD32,'15.01'!$AM$4:$AO$55,2,FALSE))*IF('15.01'!BG$4="是",'15.01'!$AY$4,'15.01'!$AY$3)</f>
        <v>180</v>
      </c>
      <c r="W32" s="5">
        <f>(VLOOKUP('15.01'!AE32,'15.01'!$AM$4:$AO$55,2,FALSE))*IF('15.01'!BH$4="是",'15.01'!$AY$4,'15.01'!$AY$3)</f>
        <v>0</v>
      </c>
      <c r="X32" s="5">
        <f>(VLOOKUP('15.01'!AF32,'15.01'!$AM$4:$AO$55,2,FALSE))*IF('15.01'!BI$4="是",'15.01'!$AY$4,'15.01'!$AY$3)</f>
        <v>0</v>
      </c>
    </row>
    <row r="33" spans="1:24">
      <c r="A33" s="4">
        <f>(VLOOKUP('15.01'!I33,'15.01'!$AM$4:$AO$55,2,FALSE))*IF('15.01'!AK$4="是",'15.01'!$AY$4,'15.01'!$AY$3)</f>
        <v>0</v>
      </c>
      <c r="B33" s="4">
        <f>(VLOOKUP('15.01'!J33,'15.01'!$AM$4:$AO$55,2,FALSE))*IF('15.01'!AL$4="是",'15.01'!$AY$4,'15.01'!$AY$3)</f>
        <v>0</v>
      </c>
      <c r="C33" s="4">
        <f>(VLOOKUP('15.01'!K33,'15.01'!$AM$4:$AO$55,2,FALSE))*IF('15.01'!AM$4="是",'15.01'!$AY$4,'15.01'!$AY$3)</f>
        <v>0</v>
      </c>
      <c r="D33" s="4">
        <f>(VLOOKUP('15.01'!L33,'15.01'!$AM$4:$AO$55,2,FALSE))*IF('15.01'!AN$4="是",'15.01'!$AY$4,'15.01'!$AY$3)</f>
        <v>0</v>
      </c>
      <c r="E33" s="4">
        <f>(VLOOKUP('15.01'!M33,'15.01'!$AM$4:$AO$55,2,FALSE))*IF('15.01'!AO$4="是",'15.01'!$AY$4,'15.01'!$AY$3)</f>
        <v>0</v>
      </c>
      <c r="F33" s="4">
        <f>(VLOOKUP('15.01'!N33,'15.01'!$AM$4:$AO$55,2,FALSE))*IF('15.01'!AQ$4="是",'15.01'!$AY$4,'15.01'!$AY$3)</f>
        <v>0</v>
      </c>
      <c r="G33" s="5">
        <f>(VLOOKUP('15.01'!O33,'15.01'!$AM$4:$AO$55,2,FALSE))*IF('15.01'!AR$4="是",'15.01'!$AY$4,'15.01'!$AY$3)</f>
        <v>0</v>
      </c>
      <c r="H33" s="5">
        <f>(VLOOKUP('15.01'!P33,'15.01'!$AM$4:$AO$55,2,FALSE))*IF('15.01'!AS$4="是",'15.01'!$AY$4,'15.01'!$AY$3)</f>
        <v>0</v>
      </c>
      <c r="I33" s="4">
        <f>(VLOOKUP('15.01'!Q33,'15.01'!$AM$4:$AO$55,2,FALSE))*IF('15.01'!AT$4="是",'15.01'!$AY$4,'15.01'!$AY$3)</f>
        <v>170</v>
      </c>
      <c r="J33" s="4">
        <f>(VLOOKUP('15.01'!R33,'15.01'!$AM$4:$AO$55,2,FALSE))*IF('15.01'!AU$4="是",'15.01'!$AY$4,'15.01'!$AY$3)</f>
        <v>170</v>
      </c>
      <c r="K33" s="4">
        <f>(VLOOKUP('15.01'!S33,'15.01'!$AM$4:$AO$55,2,FALSE))*IF('15.01'!AV$4="是",'15.01'!$AY$4,'15.01'!$AY$3)</f>
        <v>170</v>
      </c>
      <c r="L33" s="4">
        <f>(VLOOKUP('15.01'!T33,'15.01'!$AM$4:$AO$55,2,FALSE))*IF('15.01'!AW$4="是",'15.01'!$AY$4,'15.01'!$AY$3)</f>
        <v>170</v>
      </c>
      <c r="M33" s="4">
        <f>(VLOOKUP('15.01'!U33,'15.01'!$AM$4:$AO$55,2,FALSE))*IF('15.01'!AX$4="是",'15.01'!$AY$4,'15.01'!$AY$3)</f>
        <v>170</v>
      </c>
      <c r="N33" s="4">
        <f>(VLOOKUP('15.01'!V33,'15.01'!$AM$4:$AO$55,2,FALSE))*IF('15.01'!AY$4="是",'15.01'!$AY$4,'15.01'!$AY$3)</f>
        <v>170</v>
      </c>
      <c r="O33" s="5">
        <f>(VLOOKUP('15.01'!W33,'15.01'!$AM$4:$AO$55,2,FALSE))*IF('15.01'!AZ$4="是",'15.01'!$AY$4,'15.01'!$AY$3)</f>
        <v>0</v>
      </c>
      <c r="P33" s="5">
        <f>(VLOOKUP('15.01'!X33,'15.01'!$AM$4:$AO$55,2,FALSE))*IF('15.01'!BA$4="是",'15.01'!$AY$4,'15.01'!$AY$3)</f>
        <v>0</v>
      </c>
      <c r="Q33" s="4">
        <f>(VLOOKUP('15.01'!Y33,'15.01'!$AM$4:$AO$55,2,FALSE))*IF('15.01'!BB$4="是",'15.01'!$AY$4,'15.01'!$AY$3)</f>
        <v>180</v>
      </c>
      <c r="R33" s="4">
        <f>(VLOOKUP('15.01'!Z33,'15.01'!$AM$4:$AO$55,2,FALSE))*IF('15.01'!BC$4="是",'15.01'!$AY$4,'15.01'!$AY$3)</f>
        <v>180</v>
      </c>
      <c r="S33" s="4">
        <f>(VLOOKUP('15.01'!AA33,'15.01'!$AM$4:$AO$55,2,FALSE))*IF('15.01'!BD$4="是",'15.01'!$AY$4,'15.01'!$AY$3)</f>
        <v>150</v>
      </c>
      <c r="T33" s="4">
        <f>(VLOOKUP('15.01'!AB33,'15.01'!$AM$4:$AO$55,2,FALSE))*IF('15.01'!BE$4="是",'15.01'!$AY$4,'15.01'!$AY$3)</f>
        <v>180</v>
      </c>
      <c r="U33" s="4">
        <f>(VLOOKUP('15.01'!AC33,'15.01'!$AM$4:$AO$55,2,FALSE))*IF('15.01'!BF$4="是",'15.01'!$AY$4,'15.01'!$AY$3)</f>
        <v>180</v>
      </c>
      <c r="V33" s="4">
        <f>(VLOOKUP('15.01'!AD33,'15.01'!$AM$4:$AO$55,2,FALSE))*IF('15.01'!BG$4="是",'15.01'!$AY$4,'15.01'!$AY$3)</f>
        <v>180</v>
      </c>
      <c r="W33" s="5">
        <f>(VLOOKUP('15.01'!AE33,'15.01'!$AM$4:$AO$55,2,FALSE))*IF('15.01'!BH$4="是",'15.01'!$AY$4,'15.01'!$AY$3)</f>
        <v>0</v>
      </c>
      <c r="X33" s="5">
        <f>(VLOOKUP('15.01'!AF33,'15.01'!$AM$4:$AO$55,2,FALSE))*IF('15.01'!BI$4="是",'15.01'!$AY$4,'15.01'!$AY$3)</f>
        <v>0</v>
      </c>
    </row>
    <row r="34" spans="1:24">
      <c r="A34" s="4">
        <f>(VLOOKUP('15.01'!I34,'15.01'!$AM$4:$AO$55,2,FALSE))*IF('15.01'!AK$4="是",'15.01'!$AY$4,'15.01'!$AY$3)</f>
        <v>0</v>
      </c>
      <c r="B34" s="4">
        <f>(VLOOKUP('15.01'!J34,'15.01'!$AM$4:$AO$55,2,FALSE))*IF('15.01'!AL$4="是",'15.01'!$AY$4,'15.01'!$AY$3)</f>
        <v>0</v>
      </c>
      <c r="C34" s="4">
        <f>(VLOOKUP('15.01'!K34,'15.01'!$AM$4:$AO$55,2,FALSE))*IF('15.01'!AM$4="是",'15.01'!$AY$4,'15.01'!$AY$3)</f>
        <v>0</v>
      </c>
      <c r="D34" s="4">
        <f>(VLOOKUP('15.01'!L34,'15.01'!$AM$4:$AO$55,2,FALSE))*IF('15.01'!AN$4="是",'15.01'!$AY$4,'15.01'!$AY$3)</f>
        <v>0</v>
      </c>
      <c r="E34" s="4">
        <f>(VLOOKUP('15.01'!M34,'15.01'!$AM$4:$AO$55,2,FALSE))*IF('15.01'!AO$4="是",'15.01'!$AY$4,'15.01'!$AY$3)</f>
        <v>0</v>
      </c>
      <c r="F34" s="4">
        <f>(VLOOKUP('15.01'!N34,'15.01'!$AM$4:$AO$55,2,FALSE))*IF('15.01'!AQ$4="是",'15.01'!$AY$4,'15.01'!$AY$3)</f>
        <v>0</v>
      </c>
      <c r="G34" s="5">
        <f>(VLOOKUP('15.01'!O34,'15.01'!$AM$4:$AO$55,2,FALSE))*IF('15.01'!AR$4="是",'15.01'!$AY$4,'15.01'!$AY$3)</f>
        <v>0</v>
      </c>
      <c r="H34" s="5">
        <f>(VLOOKUP('15.01'!P34,'15.01'!$AM$4:$AO$55,2,FALSE))*IF('15.01'!AS$4="是",'15.01'!$AY$4,'15.01'!$AY$3)</f>
        <v>0</v>
      </c>
      <c r="I34" s="4">
        <f>(VLOOKUP('15.01'!Q34,'15.01'!$AM$4:$AO$55,2,FALSE))*IF('15.01'!AT$4="是",'15.01'!$AY$4,'15.01'!$AY$3)</f>
        <v>50</v>
      </c>
      <c r="J34" s="4">
        <f>(VLOOKUP('15.01'!R34,'15.01'!$AM$4:$AO$55,2,FALSE))*IF('15.01'!AU$4="是",'15.01'!$AY$4,'15.01'!$AY$3)</f>
        <v>170</v>
      </c>
      <c r="K34" s="4">
        <f>(VLOOKUP('15.01'!S34,'15.01'!$AM$4:$AO$55,2,FALSE))*IF('15.01'!AV$4="是",'15.01'!$AY$4,'15.01'!$AY$3)</f>
        <v>170</v>
      </c>
      <c r="L34" s="4">
        <f>(VLOOKUP('15.01'!T34,'15.01'!$AM$4:$AO$55,2,FALSE))*IF('15.01'!AW$4="是",'15.01'!$AY$4,'15.01'!$AY$3)</f>
        <v>170</v>
      </c>
      <c r="M34" s="4">
        <f>(VLOOKUP('15.01'!U34,'15.01'!$AM$4:$AO$55,2,FALSE))*IF('15.01'!AX$4="是",'15.01'!$AY$4,'15.01'!$AY$3)</f>
        <v>170</v>
      </c>
      <c r="N34" s="4">
        <f>(VLOOKUP('15.01'!V34,'15.01'!$AM$4:$AO$55,2,FALSE))*IF('15.01'!AY$4="是",'15.01'!$AY$4,'15.01'!$AY$3)</f>
        <v>180</v>
      </c>
      <c r="O34" s="5">
        <f>(VLOOKUP('15.01'!W34,'15.01'!$AM$4:$AO$55,2,FALSE))*IF('15.01'!AZ$4="是",'15.01'!$AY$4,'15.01'!$AY$3)</f>
        <v>0</v>
      </c>
      <c r="P34" s="5">
        <f>(VLOOKUP('15.01'!X34,'15.01'!$AM$4:$AO$55,2,FALSE))*IF('15.01'!BA$4="是",'15.01'!$AY$4,'15.01'!$AY$3)</f>
        <v>0</v>
      </c>
      <c r="Q34" s="4">
        <f>(VLOOKUP('15.01'!Y34,'15.01'!$AM$4:$AO$55,2,FALSE))*IF('15.01'!BB$4="是",'15.01'!$AY$4,'15.01'!$AY$3)</f>
        <v>50</v>
      </c>
      <c r="R34" s="4">
        <f>(VLOOKUP('15.01'!Z34,'15.01'!$AM$4:$AO$55,2,FALSE))*IF('15.01'!BC$4="是",'15.01'!$AY$4,'15.01'!$AY$3)</f>
        <v>180</v>
      </c>
      <c r="S34" s="4">
        <f>(VLOOKUP('15.01'!AA34,'15.01'!$AM$4:$AO$55,2,FALSE))*IF('15.01'!BD$4="是",'15.01'!$AY$4,'15.01'!$AY$3)</f>
        <v>180</v>
      </c>
      <c r="T34" s="4">
        <f>(VLOOKUP('15.01'!AB34,'15.01'!$AM$4:$AO$55,2,FALSE))*IF('15.01'!BE$4="是",'15.01'!$AY$4,'15.01'!$AY$3)</f>
        <v>180</v>
      </c>
      <c r="U34" s="4">
        <f>(VLOOKUP('15.01'!AC34,'15.01'!$AM$4:$AO$55,2,FALSE))*IF('15.01'!BF$4="是",'15.01'!$AY$4,'15.01'!$AY$3)</f>
        <v>180</v>
      </c>
      <c r="V34" s="4">
        <f>(VLOOKUP('15.01'!AD34,'15.01'!$AM$4:$AO$55,2,FALSE))*IF('15.01'!BG$4="是",'15.01'!$AY$4,'15.01'!$AY$3)</f>
        <v>180</v>
      </c>
      <c r="W34" s="5">
        <f>(VLOOKUP('15.01'!AE34,'15.01'!$AM$4:$AO$55,2,FALSE))*IF('15.01'!BH$4="是",'15.01'!$AY$4,'15.01'!$AY$3)</f>
        <v>0</v>
      </c>
      <c r="X34" s="5">
        <f>(VLOOKUP('15.01'!AF34,'15.01'!$AM$4:$AO$55,2,FALSE))*IF('15.01'!BI$4="是",'15.01'!$AY$4,'15.01'!$AY$3)</f>
        <v>0</v>
      </c>
    </row>
    <row r="35" spans="1:24">
      <c r="A35" s="4">
        <f>(VLOOKUP('15.01'!I35,'15.01'!$AM$4:$AO$55,2,FALSE))*IF('15.01'!AK$4="是",'15.01'!$AY$4,'15.01'!$AY$3)</f>
        <v>0</v>
      </c>
      <c r="B35" s="4">
        <f>(VLOOKUP('15.01'!J35,'15.01'!$AM$4:$AO$55,2,FALSE))*IF('15.01'!AL$4="是",'15.01'!$AY$4,'15.01'!$AY$3)</f>
        <v>0</v>
      </c>
      <c r="C35" s="4">
        <f>(VLOOKUP('15.01'!K35,'15.01'!$AM$4:$AO$55,2,FALSE))*IF('15.01'!AM$4="是",'15.01'!$AY$4,'15.01'!$AY$3)</f>
        <v>0</v>
      </c>
      <c r="D35" s="4">
        <f>(VLOOKUP('15.01'!L35,'15.01'!$AM$4:$AO$55,2,FALSE))*IF('15.01'!AN$4="是",'15.01'!$AY$4,'15.01'!$AY$3)</f>
        <v>0</v>
      </c>
      <c r="E35" s="4">
        <f>(VLOOKUP('15.01'!M35,'15.01'!$AM$4:$AO$55,2,FALSE))*IF('15.01'!AO$4="是",'15.01'!$AY$4,'15.01'!$AY$3)</f>
        <v>0</v>
      </c>
      <c r="F35" s="4">
        <f>(VLOOKUP('15.01'!N35,'15.01'!$AM$4:$AO$55,2,FALSE))*IF('15.01'!AQ$4="是",'15.01'!$AY$4,'15.01'!$AY$3)</f>
        <v>0</v>
      </c>
      <c r="G35" s="5">
        <f>(VLOOKUP('15.01'!O35,'15.01'!$AM$4:$AO$55,2,FALSE))*IF('15.01'!AR$4="是",'15.01'!$AY$4,'15.01'!$AY$3)</f>
        <v>0</v>
      </c>
      <c r="H35" s="5">
        <f>(VLOOKUP('15.01'!P35,'15.01'!$AM$4:$AO$55,2,FALSE))*IF('15.01'!AS$4="是",'15.01'!$AY$4,'15.01'!$AY$3)</f>
        <v>0</v>
      </c>
      <c r="I35" s="4">
        <f>(VLOOKUP('15.01'!Q35,'15.01'!$AM$4:$AO$55,2,FALSE))*IF('15.01'!AT$4="是",'15.01'!$AY$4,'15.01'!$AY$3)</f>
        <v>180</v>
      </c>
      <c r="J35" s="4">
        <f>(VLOOKUP('15.01'!R35,'15.01'!$AM$4:$AO$55,2,FALSE))*IF('15.01'!AU$4="是",'15.01'!$AY$4,'15.01'!$AY$3)</f>
        <v>180</v>
      </c>
      <c r="K35" s="4">
        <f>(VLOOKUP('15.01'!S35,'15.01'!$AM$4:$AO$55,2,FALSE))*IF('15.01'!AV$4="是",'15.01'!$AY$4,'15.01'!$AY$3)</f>
        <v>180</v>
      </c>
      <c r="L35" s="4">
        <f>(VLOOKUP('15.01'!T35,'15.01'!$AM$4:$AO$55,2,FALSE))*IF('15.01'!AW$4="是",'15.01'!$AY$4,'15.01'!$AY$3)</f>
        <v>180</v>
      </c>
      <c r="M35" s="4">
        <f>(VLOOKUP('15.01'!U35,'15.01'!$AM$4:$AO$55,2,FALSE))*IF('15.01'!AX$4="是",'15.01'!$AY$4,'15.01'!$AY$3)</f>
        <v>180</v>
      </c>
      <c r="N35" s="4">
        <f>(VLOOKUP('15.01'!V35,'15.01'!$AM$4:$AO$55,2,FALSE))*IF('15.01'!AY$4="是",'15.01'!$AY$4,'15.01'!$AY$3)</f>
        <v>200</v>
      </c>
      <c r="O35" s="5">
        <f>(VLOOKUP('15.01'!W35,'15.01'!$AM$4:$AO$55,2,FALSE))*IF('15.01'!AZ$4="是",'15.01'!$AY$4,'15.01'!$AY$3)</f>
        <v>0</v>
      </c>
      <c r="P35" s="5">
        <f>(VLOOKUP('15.01'!X35,'15.01'!$AM$4:$AO$55,2,FALSE))*IF('15.01'!BA$4="是",'15.01'!$AY$4,'15.01'!$AY$3)</f>
        <v>0</v>
      </c>
      <c r="Q35" s="4">
        <f>(VLOOKUP('15.01'!Y35,'15.01'!$AM$4:$AO$55,2,FALSE))*IF('15.01'!BB$4="是",'15.01'!$AY$4,'15.01'!$AY$3)</f>
        <v>180</v>
      </c>
      <c r="R35" s="4">
        <f>(VLOOKUP('15.01'!Z35,'15.01'!$AM$4:$AO$55,2,FALSE))*IF('15.01'!BC$4="是",'15.01'!$AY$4,'15.01'!$AY$3)</f>
        <v>180</v>
      </c>
      <c r="S35" s="4">
        <f>(VLOOKUP('15.01'!AA35,'15.01'!$AM$4:$AO$55,2,FALSE))*IF('15.01'!BD$4="是",'15.01'!$AY$4,'15.01'!$AY$3)</f>
        <v>180</v>
      </c>
      <c r="T35" s="4">
        <f>(VLOOKUP('15.01'!AB35,'15.01'!$AM$4:$AO$55,2,FALSE))*IF('15.01'!BE$4="是",'15.01'!$AY$4,'15.01'!$AY$3)</f>
        <v>180</v>
      </c>
      <c r="U35" s="4">
        <f>(VLOOKUP('15.01'!AC35,'15.01'!$AM$4:$AO$55,2,FALSE))*IF('15.01'!BF$4="是",'15.01'!$AY$4,'15.01'!$AY$3)</f>
        <v>-200</v>
      </c>
      <c r="V35" s="4">
        <f>(VLOOKUP('15.01'!AD35,'15.01'!$AM$4:$AO$55,2,FALSE))*IF('15.01'!BG$4="是",'15.01'!$AY$4,'15.01'!$AY$3)</f>
        <v>180</v>
      </c>
      <c r="W35" s="5">
        <f>(VLOOKUP('15.01'!AE35,'15.01'!$AM$4:$AO$55,2,FALSE))*IF('15.01'!BH$4="是",'15.01'!$AY$4,'15.01'!$AY$3)</f>
        <v>0</v>
      </c>
      <c r="X35" s="5">
        <f>(VLOOKUP('15.01'!AF35,'15.01'!$AM$4:$AO$55,2,FALSE))*IF('15.01'!BI$4="是",'15.01'!$AY$4,'15.01'!$AY$3)</f>
        <v>0</v>
      </c>
    </row>
    <row r="36" spans="1:24">
      <c r="A36" s="4">
        <f>(VLOOKUP('15.01'!I36,'15.01'!$AM$4:$AO$55,2,FALSE))*IF('15.01'!AK$4="是",'15.01'!$AY$4,'15.01'!$AY$3)</f>
        <v>0</v>
      </c>
      <c r="B36" s="4">
        <f>(VLOOKUP('15.01'!J36,'15.01'!$AM$4:$AO$55,2,FALSE))*IF('15.01'!AL$4="是",'15.01'!$AY$4,'15.01'!$AY$3)</f>
        <v>0</v>
      </c>
      <c r="C36" s="4">
        <f>(VLOOKUP('15.01'!K36,'15.01'!$AM$4:$AO$55,2,FALSE))*IF('15.01'!AM$4="是",'15.01'!$AY$4,'15.01'!$AY$3)</f>
        <v>0</v>
      </c>
      <c r="D36" s="4">
        <f>(VLOOKUP('15.01'!L36,'15.01'!$AM$4:$AO$55,2,FALSE))*IF('15.01'!AN$4="是",'15.01'!$AY$4,'15.01'!$AY$3)</f>
        <v>0</v>
      </c>
      <c r="E36" s="4">
        <f>(VLOOKUP('15.01'!M36,'15.01'!$AM$4:$AO$55,2,FALSE))*IF('15.01'!AO$4="是",'15.01'!$AY$4,'15.01'!$AY$3)</f>
        <v>0</v>
      </c>
      <c r="F36" s="4">
        <f>(VLOOKUP('15.01'!N36,'15.01'!$AM$4:$AO$55,2,FALSE))*IF('15.01'!AQ$4="是",'15.01'!$AY$4,'15.01'!$AY$3)</f>
        <v>0</v>
      </c>
      <c r="G36" s="5">
        <f>(VLOOKUP('15.01'!O36,'15.01'!$AM$4:$AO$55,2,FALSE))*IF('15.01'!AR$4="是",'15.01'!$AY$4,'15.01'!$AY$3)</f>
        <v>0</v>
      </c>
      <c r="H36" s="5">
        <f>(VLOOKUP('15.01'!P36,'15.01'!$AM$4:$AO$55,2,FALSE))*IF('15.01'!AS$4="是",'15.01'!$AY$4,'15.01'!$AY$3)</f>
        <v>0</v>
      </c>
      <c r="I36" s="4">
        <f>(VLOOKUP('15.01'!Q36,'15.01'!$AM$4:$AO$55,2,FALSE))*IF('15.01'!AT$4="是",'15.01'!$AY$4,'15.01'!$AY$3)</f>
        <v>200</v>
      </c>
      <c r="J36" s="4">
        <f>(VLOOKUP('15.01'!R36,'15.01'!$AM$4:$AO$55,2,FALSE))*IF('15.01'!AU$4="是",'15.01'!$AY$4,'15.01'!$AY$3)</f>
        <v>-200</v>
      </c>
      <c r="K36" s="4">
        <f>(VLOOKUP('15.01'!S36,'15.01'!$AM$4:$AO$55,2,FALSE))*IF('15.01'!AV$4="是",'15.01'!$AY$4,'15.01'!$AY$3)</f>
        <v>200</v>
      </c>
      <c r="L36" s="4">
        <f>(VLOOKUP('15.01'!T36,'15.01'!$AM$4:$AO$55,2,FALSE))*IF('15.01'!AW$4="是",'15.01'!$AY$4,'15.01'!$AY$3)</f>
        <v>200</v>
      </c>
      <c r="M36" s="4">
        <f>(VLOOKUP('15.01'!U36,'15.01'!$AM$4:$AO$55,2,FALSE))*IF('15.01'!AX$4="是",'15.01'!$AY$4,'15.01'!$AY$3)</f>
        <v>200</v>
      </c>
      <c r="N36" s="4">
        <f>(VLOOKUP('15.01'!V36,'15.01'!$AM$4:$AO$55,2,FALSE))*IF('15.01'!AY$4="是",'15.01'!$AY$4,'15.01'!$AY$3)</f>
        <v>200</v>
      </c>
      <c r="O36" s="5">
        <f>(VLOOKUP('15.01'!W36,'15.01'!$AM$4:$AO$55,2,FALSE))*IF('15.01'!AZ$4="是",'15.01'!$AY$4,'15.01'!$AY$3)</f>
        <v>0</v>
      </c>
      <c r="P36" s="5">
        <f>(VLOOKUP('15.01'!X36,'15.01'!$AM$4:$AO$55,2,FALSE))*IF('15.01'!BA$4="是",'15.01'!$AY$4,'15.01'!$AY$3)</f>
        <v>0</v>
      </c>
      <c r="Q36" s="4">
        <f>(VLOOKUP('15.01'!Y36,'15.01'!$AM$4:$AO$55,2,FALSE))*IF('15.01'!BB$4="是",'15.01'!$AY$4,'15.01'!$AY$3)</f>
        <v>180</v>
      </c>
      <c r="R36" s="4">
        <f>(VLOOKUP('15.01'!Z36,'15.01'!$AM$4:$AO$55,2,FALSE))*IF('15.01'!BC$4="是",'15.01'!$AY$4,'15.01'!$AY$3)</f>
        <v>180</v>
      </c>
      <c r="S36" s="4">
        <f>(VLOOKUP('15.01'!AA36,'15.01'!$AM$4:$AO$55,2,FALSE))*IF('15.01'!BD$4="是",'15.01'!$AY$4,'15.01'!$AY$3)</f>
        <v>180</v>
      </c>
      <c r="T36" s="4">
        <f>(VLOOKUP('15.01'!AB36,'15.01'!$AM$4:$AO$55,2,FALSE))*IF('15.01'!BE$4="是",'15.01'!$AY$4,'15.01'!$AY$3)</f>
        <v>180</v>
      </c>
      <c r="U36" s="4">
        <f>(VLOOKUP('15.01'!AC36,'15.01'!$AM$4:$AO$55,2,FALSE))*IF('15.01'!BF$4="是",'15.01'!$AY$4,'15.01'!$AY$3)</f>
        <v>180</v>
      </c>
      <c r="V36" s="4">
        <f>(VLOOKUP('15.01'!AD36,'15.01'!$AM$4:$AO$55,2,FALSE))*IF('15.01'!BG$4="是",'15.01'!$AY$4,'15.01'!$AY$3)</f>
        <v>180</v>
      </c>
      <c r="W36" s="5">
        <f>(VLOOKUP('15.01'!AE36,'15.01'!$AM$4:$AO$55,2,FALSE))*IF('15.01'!BH$4="是",'15.01'!$AY$4,'15.01'!$AY$3)</f>
        <v>0</v>
      </c>
      <c r="X36" s="5">
        <f>(VLOOKUP('15.01'!AF36,'15.01'!$AM$4:$AO$55,2,FALSE))*IF('15.01'!BI$4="是",'15.01'!$AY$4,'15.01'!$AY$3)</f>
        <v>0</v>
      </c>
    </row>
    <row r="37" spans="1:24">
      <c r="A37" s="4">
        <f>(VLOOKUP('15.01'!I37,'15.01'!$AM$4:$AO$55,2,FALSE))*IF('15.01'!AK$4="是",'15.01'!$AY$4,'15.01'!$AY$3)</f>
        <v>0</v>
      </c>
      <c r="B37" s="4">
        <f>(VLOOKUP('15.01'!J37,'15.01'!$AM$4:$AO$55,2,FALSE))*IF('15.01'!AL$4="是",'15.01'!$AY$4,'15.01'!$AY$3)</f>
        <v>0</v>
      </c>
      <c r="C37" s="4">
        <f>(VLOOKUP('15.01'!K37,'15.01'!$AM$4:$AO$55,2,FALSE))*IF('15.01'!AM$4="是",'15.01'!$AY$4,'15.01'!$AY$3)</f>
        <v>0</v>
      </c>
      <c r="D37" s="4">
        <f>(VLOOKUP('15.01'!L37,'15.01'!$AM$4:$AO$55,2,FALSE))*IF('15.01'!AN$4="是",'15.01'!$AY$4,'15.01'!$AY$3)</f>
        <v>0</v>
      </c>
      <c r="E37" s="4">
        <f>(VLOOKUP('15.01'!M37,'15.01'!$AM$4:$AO$55,2,FALSE))*IF('15.01'!AO$4="是",'15.01'!$AY$4,'15.01'!$AY$3)</f>
        <v>0</v>
      </c>
      <c r="F37" s="4">
        <f>(VLOOKUP('15.01'!N37,'15.01'!$AM$4:$AO$55,2,FALSE))*IF('15.01'!AQ$4="是",'15.01'!$AY$4,'15.01'!$AY$3)</f>
        <v>0</v>
      </c>
      <c r="G37" s="5">
        <f>(VLOOKUP('15.01'!O37,'15.01'!$AM$4:$AO$55,2,FALSE))*IF('15.01'!AR$4="是",'15.01'!$AY$4,'15.01'!$AY$3)</f>
        <v>0</v>
      </c>
      <c r="H37" s="5">
        <f>(VLOOKUP('15.01'!P37,'15.01'!$AM$4:$AO$55,2,FALSE))*IF('15.01'!AS$4="是",'15.01'!$AY$4,'15.01'!$AY$3)</f>
        <v>0</v>
      </c>
      <c r="I37" s="4">
        <f>(VLOOKUP('15.01'!Q37,'15.01'!$AM$4:$AO$55,2,FALSE))*IF('15.01'!AT$4="是",'15.01'!$AY$4,'15.01'!$AY$3)</f>
        <v>200</v>
      </c>
      <c r="J37" s="4">
        <f>(VLOOKUP('15.01'!R37,'15.01'!$AM$4:$AO$55,2,FALSE))*IF('15.01'!AU$4="是",'15.01'!$AY$4,'15.01'!$AY$3)</f>
        <v>200</v>
      </c>
      <c r="K37" s="4">
        <f>(VLOOKUP('15.01'!S37,'15.01'!$AM$4:$AO$55,2,FALSE))*IF('15.01'!AV$4="是",'15.01'!$AY$4,'15.01'!$AY$3)</f>
        <v>180</v>
      </c>
      <c r="L37" s="4">
        <f>(VLOOKUP('15.01'!T37,'15.01'!$AM$4:$AO$55,2,FALSE))*IF('15.01'!AW$4="是",'15.01'!$AY$4,'15.01'!$AY$3)</f>
        <v>180</v>
      </c>
      <c r="M37" s="4">
        <f>(VLOOKUP('15.01'!U37,'15.01'!$AM$4:$AO$55,2,FALSE))*IF('15.01'!AX$4="是",'15.01'!$AY$4,'15.01'!$AY$3)</f>
        <v>180</v>
      </c>
      <c r="N37" s="4">
        <f>(VLOOKUP('15.01'!V37,'15.01'!$AM$4:$AO$55,2,FALSE))*IF('15.01'!AY$4="是",'15.01'!$AY$4,'15.01'!$AY$3)</f>
        <v>180</v>
      </c>
      <c r="O37" s="5">
        <f>(VLOOKUP('15.01'!W37,'15.01'!$AM$4:$AO$55,2,FALSE))*IF('15.01'!AZ$4="是",'15.01'!$AY$4,'15.01'!$AY$3)</f>
        <v>0</v>
      </c>
      <c r="P37" s="5">
        <f>(VLOOKUP('15.01'!X37,'15.01'!$AM$4:$AO$55,2,FALSE))*IF('15.01'!BA$4="是",'15.01'!$AY$4,'15.01'!$AY$3)</f>
        <v>0</v>
      </c>
      <c r="Q37" s="4">
        <f>(VLOOKUP('15.01'!Y37,'15.01'!$AM$4:$AO$55,2,FALSE))*IF('15.01'!BB$4="是",'15.01'!$AY$4,'15.01'!$AY$3)</f>
        <v>180</v>
      </c>
      <c r="R37" s="4">
        <f>(VLOOKUP('15.01'!Z37,'15.01'!$AM$4:$AO$55,2,FALSE))*IF('15.01'!BC$4="是",'15.01'!$AY$4,'15.01'!$AY$3)</f>
        <v>180</v>
      </c>
      <c r="S37" s="4">
        <f>(VLOOKUP('15.01'!AA37,'15.01'!$AM$4:$AO$55,2,FALSE))*IF('15.01'!BD$4="是",'15.01'!$AY$4,'15.01'!$AY$3)</f>
        <v>180</v>
      </c>
      <c r="T37" s="4">
        <f>(VLOOKUP('15.01'!AB37,'15.01'!$AM$4:$AO$55,2,FALSE))*IF('15.01'!BE$4="是",'15.01'!$AY$4,'15.01'!$AY$3)</f>
        <v>180</v>
      </c>
      <c r="U37" s="4">
        <f>(VLOOKUP('15.01'!AC37,'15.01'!$AM$4:$AO$55,2,FALSE))*IF('15.01'!BF$4="是",'15.01'!$AY$4,'15.01'!$AY$3)</f>
        <v>200</v>
      </c>
      <c r="V37" s="4">
        <f>(VLOOKUP('15.01'!AD37,'15.01'!$AM$4:$AO$55,2,FALSE))*IF('15.01'!BG$4="是",'15.01'!$AY$4,'15.01'!$AY$3)</f>
        <v>200</v>
      </c>
      <c r="W37" s="5">
        <f>(VLOOKUP('15.01'!AE37,'15.01'!$AM$4:$AO$55,2,FALSE))*IF('15.01'!BH$4="是",'15.01'!$AY$4,'15.01'!$AY$3)</f>
        <v>0</v>
      </c>
      <c r="X37" s="5">
        <f>(VLOOKUP('15.01'!AF37,'15.01'!$AM$4:$AO$55,2,FALSE))*IF('15.01'!BI$4="是",'15.01'!$AY$4,'15.01'!$AY$3)</f>
        <v>0</v>
      </c>
    </row>
    <row r="38" spans="1:24">
      <c r="A38" s="4">
        <f>(VLOOKUP('15.01'!I38,'15.01'!$AM$4:$AO$55,2,FALSE))*IF('15.01'!AK$4="是",'15.01'!$AY$4,'15.01'!$AY$3)</f>
        <v>0</v>
      </c>
      <c r="B38" s="4">
        <f>(VLOOKUP('15.01'!J38,'15.01'!$AM$4:$AO$55,2,FALSE))*IF('15.01'!AL$4="是",'15.01'!$AY$4,'15.01'!$AY$3)</f>
        <v>0</v>
      </c>
      <c r="C38" s="4">
        <f>(VLOOKUP('15.01'!K38,'15.01'!$AM$4:$AO$55,2,FALSE))*IF('15.01'!AM$4="是",'15.01'!$AY$4,'15.01'!$AY$3)</f>
        <v>0</v>
      </c>
      <c r="D38" s="4">
        <f>(VLOOKUP('15.01'!L38,'15.01'!$AM$4:$AO$55,2,FALSE))*IF('15.01'!AN$4="是",'15.01'!$AY$4,'15.01'!$AY$3)</f>
        <v>0</v>
      </c>
      <c r="E38" s="4">
        <f>(VLOOKUP('15.01'!M38,'15.01'!$AM$4:$AO$55,2,FALSE))*IF('15.01'!AO$4="是",'15.01'!$AY$4,'15.01'!$AY$3)</f>
        <v>0</v>
      </c>
      <c r="F38" s="4">
        <f>(VLOOKUP('15.01'!N38,'15.01'!$AM$4:$AO$55,2,FALSE))*IF('15.01'!AQ$4="是",'15.01'!$AY$4,'15.01'!$AY$3)</f>
        <v>0</v>
      </c>
      <c r="G38" s="5">
        <f>(VLOOKUP('15.01'!O38,'15.01'!$AM$4:$AO$55,2,FALSE))*IF('15.01'!AR$4="是",'15.01'!$AY$4,'15.01'!$AY$3)</f>
        <v>0</v>
      </c>
      <c r="H38" s="5">
        <f>(VLOOKUP('15.01'!P38,'15.01'!$AM$4:$AO$55,2,FALSE))*IF('15.01'!AS$4="是",'15.01'!$AY$4,'15.01'!$AY$3)</f>
        <v>0</v>
      </c>
      <c r="I38" s="4">
        <f>(VLOOKUP('15.01'!Q38,'15.01'!$AM$4:$AO$55,2,FALSE))*IF('15.01'!AT$4="是",'15.01'!$AY$4,'15.01'!$AY$3)</f>
        <v>180</v>
      </c>
      <c r="J38" s="4">
        <f>(VLOOKUP('15.01'!R38,'15.01'!$AM$4:$AO$55,2,FALSE))*IF('15.01'!AU$4="是",'15.01'!$AY$4,'15.01'!$AY$3)</f>
        <v>200</v>
      </c>
      <c r="K38" s="4">
        <f>(VLOOKUP('15.01'!S38,'15.01'!$AM$4:$AO$55,2,FALSE))*IF('15.01'!AV$4="是",'15.01'!$AY$4,'15.01'!$AY$3)</f>
        <v>200</v>
      </c>
      <c r="L38" s="4">
        <f>(VLOOKUP('15.01'!T38,'15.01'!$AM$4:$AO$55,2,FALSE))*IF('15.01'!AW$4="是",'15.01'!$AY$4,'15.01'!$AY$3)</f>
        <v>200</v>
      </c>
      <c r="M38" s="4">
        <f>(VLOOKUP('15.01'!U38,'15.01'!$AM$4:$AO$55,2,FALSE))*IF('15.01'!AX$4="是",'15.01'!$AY$4,'15.01'!$AY$3)</f>
        <v>170</v>
      </c>
      <c r="N38" s="4">
        <f>(VLOOKUP('15.01'!V38,'15.01'!$AM$4:$AO$55,2,FALSE))*IF('15.01'!AY$4="是",'15.01'!$AY$4,'15.01'!$AY$3)</f>
        <v>170</v>
      </c>
      <c r="O38" s="5">
        <f>(VLOOKUP('15.01'!W38,'15.01'!$AM$4:$AO$55,2,FALSE))*IF('15.01'!AZ$4="是",'15.01'!$AY$4,'15.01'!$AY$3)</f>
        <v>0</v>
      </c>
      <c r="P38" s="5">
        <f>(VLOOKUP('15.01'!X38,'15.01'!$AM$4:$AO$55,2,FALSE))*IF('15.01'!BA$4="是",'15.01'!$AY$4,'15.01'!$AY$3)</f>
        <v>0</v>
      </c>
      <c r="Q38" s="4">
        <f>(VLOOKUP('15.01'!Y38,'15.01'!$AM$4:$AO$55,2,FALSE))*IF('15.01'!BB$4="是",'15.01'!$AY$4,'15.01'!$AY$3)</f>
        <v>200</v>
      </c>
      <c r="R38" s="4">
        <f>(VLOOKUP('15.01'!Z38,'15.01'!$AM$4:$AO$55,2,FALSE))*IF('15.01'!BC$4="是",'15.01'!$AY$4,'15.01'!$AY$3)</f>
        <v>200</v>
      </c>
      <c r="S38" s="4">
        <f>(VLOOKUP('15.01'!AA38,'15.01'!$AM$4:$AO$55,2,FALSE))*IF('15.01'!BD$4="是",'15.01'!$AY$4,'15.01'!$AY$3)</f>
        <v>200</v>
      </c>
      <c r="T38" s="4">
        <f>(VLOOKUP('15.01'!AB38,'15.01'!$AM$4:$AO$55,2,FALSE))*IF('15.01'!BE$4="是",'15.01'!$AY$4,'15.01'!$AY$3)</f>
        <v>200</v>
      </c>
      <c r="U38" s="4">
        <f>(VLOOKUP('15.01'!AC38,'15.01'!$AM$4:$AO$55,2,FALSE))*IF('15.01'!BF$4="是",'15.01'!$AY$4,'15.01'!$AY$3)</f>
        <v>180</v>
      </c>
      <c r="V38" s="4">
        <f>(VLOOKUP('15.01'!AD38,'15.01'!$AM$4:$AO$55,2,FALSE))*IF('15.01'!BG$4="是",'15.01'!$AY$4,'15.01'!$AY$3)</f>
        <v>180</v>
      </c>
      <c r="W38" s="5">
        <f>(VLOOKUP('15.01'!AE38,'15.01'!$AM$4:$AO$55,2,FALSE))*IF('15.01'!BH$4="是",'15.01'!$AY$4,'15.01'!$AY$3)</f>
        <v>0</v>
      </c>
      <c r="X38" s="5">
        <f>(VLOOKUP('15.01'!AF38,'15.01'!$AM$4:$AO$55,2,FALSE))*IF('15.01'!BI$4="是",'15.01'!$AY$4,'15.01'!$AY$3)</f>
        <v>0</v>
      </c>
    </row>
    <row r="39" spans="1:24">
      <c r="A39" s="4">
        <f>(VLOOKUP('15.01'!I39,'15.01'!$AM$4:$AO$55,2,FALSE))*IF('15.01'!AK$4="是",'15.01'!$AY$4,'15.01'!$AY$3)</f>
        <v>0</v>
      </c>
      <c r="B39" s="4">
        <f>(VLOOKUP('15.01'!J39,'15.01'!$AM$4:$AO$55,2,FALSE))*IF('15.01'!AL$4="是",'15.01'!$AY$4,'15.01'!$AY$3)</f>
        <v>0</v>
      </c>
      <c r="C39" s="4">
        <f>(VLOOKUP('15.01'!K39,'15.01'!$AM$4:$AO$55,2,FALSE))*IF('15.01'!AM$4="是",'15.01'!$AY$4,'15.01'!$AY$3)</f>
        <v>0</v>
      </c>
      <c r="D39" s="4">
        <f>(VLOOKUP('15.01'!L39,'15.01'!$AM$4:$AO$55,2,FALSE))*IF('15.01'!AN$4="是",'15.01'!$AY$4,'15.01'!$AY$3)</f>
        <v>0</v>
      </c>
      <c r="E39" s="4">
        <f>(VLOOKUP('15.01'!M39,'15.01'!$AM$4:$AO$55,2,FALSE))*IF('15.01'!AO$4="是",'15.01'!$AY$4,'15.01'!$AY$3)</f>
        <v>0</v>
      </c>
      <c r="F39" s="4">
        <f>(VLOOKUP('15.01'!N39,'15.01'!$AM$4:$AO$55,2,FALSE))*IF('15.01'!AQ$4="是",'15.01'!$AY$4,'15.01'!$AY$3)</f>
        <v>0</v>
      </c>
      <c r="G39" s="5">
        <f>(VLOOKUP('15.01'!O39,'15.01'!$AM$4:$AO$55,2,FALSE))*IF('15.01'!AR$4="是",'15.01'!$AY$4,'15.01'!$AY$3)</f>
        <v>0</v>
      </c>
      <c r="H39" s="5">
        <f>(VLOOKUP('15.01'!P39,'15.01'!$AM$4:$AO$55,2,FALSE))*IF('15.01'!AS$4="是",'15.01'!$AY$4,'15.01'!$AY$3)</f>
        <v>0</v>
      </c>
      <c r="I39" s="4">
        <f>(VLOOKUP('15.01'!Q39,'15.01'!$AM$4:$AO$55,2,FALSE))*IF('15.01'!AT$4="是",'15.01'!$AY$4,'15.01'!$AY$3)</f>
        <v>170</v>
      </c>
      <c r="J39" s="4">
        <f>(VLOOKUP('15.01'!R39,'15.01'!$AM$4:$AO$55,2,FALSE))*IF('15.01'!AU$4="是",'15.01'!$AY$4,'15.01'!$AY$3)</f>
        <v>170</v>
      </c>
      <c r="K39" s="4">
        <f>(VLOOKUP('15.01'!S39,'15.01'!$AM$4:$AO$55,2,FALSE))*IF('15.01'!AV$4="是",'15.01'!$AY$4,'15.01'!$AY$3)</f>
        <v>180</v>
      </c>
      <c r="L39" s="4">
        <f>(VLOOKUP('15.01'!T39,'15.01'!$AM$4:$AO$55,2,FALSE))*IF('15.01'!AW$4="是",'15.01'!$AY$4,'15.01'!$AY$3)</f>
        <v>180</v>
      </c>
      <c r="M39" s="4">
        <f>(VLOOKUP('15.01'!U39,'15.01'!$AM$4:$AO$55,2,FALSE))*IF('15.01'!AX$4="是",'15.01'!$AY$4,'15.01'!$AY$3)</f>
        <v>180</v>
      </c>
      <c r="N39" s="4">
        <f>(VLOOKUP('15.01'!V39,'15.01'!$AM$4:$AO$55,2,FALSE))*IF('15.01'!AY$4="是",'15.01'!$AY$4,'15.01'!$AY$3)</f>
        <v>180</v>
      </c>
      <c r="O39" s="5">
        <f>(VLOOKUP('15.01'!W39,'15.01'!$AM$4:$AO$55,2,FALSE))*IF('15.01'!AZ$4="是",'15.01'!$AY$4,'15.01'!$AY$3)</f>
        <v>0</v>
      </c>
      <c r="P39" s="5">
        <f>(VLOOKUP('15.01'!X39,'15.01'!$AM$4:$AO$55,2,FALSE))*IF('15.01'!BA$4="是",'15.01'!$AY$4,'15.01'!$AY$3)</f>
        <v>0</v>
      </c>
      <c r="Q39" s="4">
        <f>(VLOOKUP('15.01'!Y39,'15.01'!$AM$4:$AO$55,2,FALSE))*IF('15.01'!BB$4="是",'15.01'!$AY$4,'15.01'!$AY$3)</f>
        <v>180</v>
      </c>
      <c r="R39" s="4">
        <f>(VLOOKUP('15.01'!Z39,'15.01'!$AM$4:$AO$55,2,FALSE))*IF('15.01'!BC$4="是",'15.01'!$AY$4,'15.01'!$AY$3)</f>
        <v>50</v>
      </c>
      <c r="S39" s="4">
        <f>(VLOOKUP('15.01'!AA39,'15.01'!$AM$4:$AO$55,2,FALSE))*IF('15.01'!BD$4="是",'15.01'!$AY$4,'15.01'!$AY$3)</f>
        <v>180</v>
      </c>
      <c r="T39" s="4">
        <f>(VLOOKUP('15.01'!AB39,'15.01'!$AM$4:$AO$55,2,FALSE))*IF('15.01'!BE$4="是",'15.01'!$AY$4,'15.01'!$AY$3)</f>
        <v>180</v>
      </c>
      <c r="U39" s="4">
        <f>(VLOOKUP('15.01'!AC39,'15.01'!$AM$4:$AO$55,2,FALSE))*IF('15.01'!BF$4="是",'15.01'!$AY$4,'15.01'!$AY$3)</f>
        <v>50</v>
      </c>
      <c r="V39" s="4">
        <f>(VLOOKUP('15.01'!AD39,'15.01'!$AM$4:$AO$55,2,FALSE))*IF('15.01'!BG$4="是",'15.01'!$AY$4,'15.01'!$AY$3)</f>
        <v>170</v>
      </c>
      <c r="W39" s="5">
        <f>(VLOOKUP('15.01'!AE39,'15.01'!$AM$4:$AO$55,2,FALSE))*IF('15.01'!BH$4="是",'15.01'!$AY$4,'15.01'!$AY$3)</f>
        <v>0</v>
      </c>
      <c r="X39" s="5">
        <f>(VLOOKUP('15.01'!AF39,'15.01'!$AM$4:$AO$55,2,FALSE))*IF('15.01'!BI$4="是",'15.01'!$AY$4,'15.01'!$AY$3)</f>
        <v>0</v>
      </c>
    </row>
    <row r="40" spans="1:24">
      <c r="A40" s="4">
        <f>(VLOOKUP('15.01'!I40,'15.01'!$AM$4:$AO$55,2,FALSE))*IF('15.01'!AK$4="是",'15.01'!$AY$4,'15.01'!$AY$3)</f>
        <v>0</v>
      </c>
      <c r="B40" s="4">
        <f>(VLOOKUP('15.01'!J40,'15.01'!$AM$4:$AO$55,2,FALSE))*IF('15.01'!AL$4="是",'15.01'!$AY$4,'15.01'!$AY$3)</f>
        <v>0</v>
      </c>
      <c r="C40" s="4">
        <f>(VLOOKUP('15.01'!K40,'15.01'!$AM$4:$AO$55,2,FALSE))*IF('15.01'!AM$4="是",'15.01'!$AY$4,'15.01'!$AY$3)</f>
        <v>0</v>
      </c>
      <c r="D40" s="4">
        <f>(VLOOKUP('15.01'!L40,'15.01'!$AM$4:$AO$55,2,FALSE))*IF('15.01'!AN$4="是",'15.01'!$AY$4,'15.01'!$AY$3)</f>
        <v>0</v>
      </c>
      <c r="E40" s="4">
        <f>(VLOOKUP('15.01'!M40,'15.01'!$AM$4:$AO$55,2,FALSE))*IF('15.01'!AO$4="是",'15.01'!$AY$4,'15.01'!$AY$3)</f>
        <v>0</v>
      </c>
      <c r="F40" s="4">
        <f>(VLOOKUP('15.01'!N40,'15.01'!$AM$4:$AO$55,2,FALSE))*IF('15.01'!AQ$4="是",'15.01'!$AY$4,'15.01'!$AY$3)</f>
        <v>0</v>
      </c>
      <c r="G40" s="5">
        <f>(VLOOKUP('15.01'!O40,'15.01'!$AM$4:$AO$55,2,FALSE))*IF('15.01'!AR$4="是",'15.01'!$AY$4,'15.01'!$AY$3)</f>
        <v>0</v>
      </c>
      <c r="H40" s="5">
        <f>(VLOOKUP('15.01'!P40,'15.01'!$AM$4:$AO$55,2,FALSE))*IF('15.01'!AS$4="是",'15.01'!$AY$4,'15.01'!$AY$3)</f>
        <v>0</v>
      </c>
      <c r="I40" s="4">
        <f>(VLOOKUP('15.01'!Q40,'15.01'!$AM$4:$AO$55,2,FALSE))*IF('15.01'!AT$4="是",'15.01'!$AY$4,'15.01'!$AY$3)</f>
        <v>180</v>
      </c>
      <c r="J40" s="4">
        <f>(VLOOKUP('15.01'!R40,'15.01'!$AM$4:$AO$55,2,FALSE))*IF('15.01'!AU$4="是",'15.01'!$AY$4,'15.01'!$AY$3)</f>
        <v>180</v>
      </c>
      <c r="K40" s="4">
        <f>(VLOOKUP('15.01'!S40,'15.01'!$AM$4:$AO$55,2,FALSE))*IF('15.01'!AV$4="是",'15.01'!$AY$4,'15.01'!$AY$3)</f>
        <v>180</v>
      </c>
      <c r="L40" s="4">
        <f>(VLOOKUP('15.01'!T40,'15.01'!$AM$4:$AO$55,2,FALSE))*IF('15.01'!AW$4="是",'15.01'!$AY$4,'15.01'!$AY$3)</f>
        <v>180</v>
      </c>
      <c r="M40" s="4">
        <f>(VLOOKUP('15.01'!U40,'15.01'!$AM$4:$AO$55,2,FALSE))*IF('15.01'!AX$4="是",'15.01'!$AY$4,'15.01'!$AY$3)</f>
        <v>180</v>
      </c>
      <c r="N40" s="4">
        <f>(VLOOKUP('15.01'!V40,'15.01'!$AM$4:$AO$55,2,FALSE))*IF('15.01'!AY$4="是",'15.01'!$AY$4,'15.01'!$AY$3)</f>
        <v>180</v>
      </c>
      <c r="O40" s="5">
        <f>(VLOOKUP('15.01'!W40,'15.01'!$AM$4:$AO$55,2,FALSE))*IF('15.01'!AZ$4="是",'15.01'!$AY$4,'15.01'!$AY$3)</f>
        <v>0</v>
      </c>
      <c r="P40" s="5">
        <f>(VLOOKUP('15.01'!X40,'15.01'!$AM$4:$AO$55,2,FALSE))*IF('15.01'!BA$4="是",'15.01'!$AY$4,'15.01'!$AY$3)</f>
        <v>0</v>
      </c>
      <c r="Q40" s="4">
        <f>(VLOOKUP('15.01'!Y40,'15.01'!$AM$4:$AO$55,2,FALSE))*IF('15.01'!BB$4="是",'15.01'!$AY$4,'15.01'!$AY$3)</f>
        <v>170</v>
      </c>
      <c r="R40" s="4">
        <f>(VLOOKUP('15.01'!Z40,'15.01'!$AM$4:$AO$55,2,FALSE))*IF('15.01'!BC$4="是",'15.01'!$AY$4,'15.01'!$AY$3)</f>
        <v>170</v>
      </c>
      <c r="S40" s="4">
        <f>(VLOOKUP('15.01'!AA40,'15.01'!$AM$4:$AO$55,2,FALSE))*IF('15.01'!BD$4="是",'15.01'!$AY$4,'15.01'!$AY$3)</f>
        <v>170</v>
      </c>
      <c r="T40" s="4">
        <f>(VLOOKUP('15.01'!AB40,'15.01'!$AM$4:$AO$55,2,FALSE))*IF('15.01'!BE$4="是",'15.01'!$AY$4,'15.01'!$AY$3)</f>
        <v>-200</v>
      </c>
      <c r="U40" s="4">
        <f>(VLOOKUP('15.01'!AC40,'15.01'!$AM$4:$AO$55,2,FALSE))*IF('15.01'!BF$4="是",'15.01'!$AY$4,'15.01'!$AY$3)</f>
        <v>170</v>
      </c>
      <c r="V40" s="4">
        <f>(VLOOKUP('15.01'!AD40,'15.01'!$AM$4:$AO$55,2,FALSE))*IF('15.01'!BG$4="是",'15.01'!$AY$4,'15.01'!$AY$3)</f>
        <v>180</v>
      </c>
      <c r="W40" s="5">
        <f>(VLOOKUP('15.01'!AE40,'15.01'!$AM$4:$AO$55,2,FALSE))*IF('15.01'!BH$4="是",'15.01'!$AY$4,'15.01'!$AY$3)</f>
        <v>0</v>
      </c>
      <c r="X40" s="5">
        <f>(VLOOKUP('15.01'!AF40,'15.01'!$AM$4:$AO$55,2,FALSE))*IF('15.01'!BI$4="是",'15.01'!$AY$4,'15.01'!$AY$3)</f>
        <v>0</v>
      </c>
    </row>
    <row r="41" spans="1:24">
      <c r="A41" s="4">
        <f>(VLOOKUP('15.01'!I41,'15.01'!$AM$4:$AO$55,2,FALSE))*IF('15.01'!AK$4="是",'15.01'!$AY$4,'15.01'!$AY$3)</f>
        <v>0</v>
      </c>
      <c r="B41" s="4">
        <f>(VLOOKUP('15.01'!J41,'15.01'!$AM$4:$AO$55,2,FALSE))*IF('15.01'!AL$4="是",'15.01'!$AY$4,'15.01'!$AY$3)</f>
        <v>0</v>
      </c>
      <c r="C41" s="4">
        <f>(VLOOKUP('15.01'!K41,'15.01'!$AM$4:$AO$55,2,FALSE))*IF('15.01'!AM$4="是",'15.01'!$AY$4,'15.01'!$AY$3)</f>
        <v>0</v>
      </c>
      <c r="D41" s="4">
        <f>(VLOOKUP('15.01'!L41,'15.01'!$AM$4:$AO$55,2,FALSE))*IF('15.01'!AN$4="是",'15.01'!$AY$4,'15.01'!$AY$3)</f>
        <v>0</v>
      </c>
      <c r="E41" s="4">
        <f>(VLOOKUP('15.01'!M41,'15.01'!$AM$4:$AO$55,2,FALSE))*IF('15.01'!AO$4="是",'15.01'!$AY$4,'15.01'!$AY$3)</f>
        <v>0</v>
      </c>
      <c r="F41" s="4">
        <f>(VLOOKUP('15.01'!N41,'15.01'!$AM$4:$AO$55,2,FALSE))*IF('15.01'!AQ$4="是",'15.01'!$AY$4,'15.01'!$AY$3)</f>
        <v>0</v>
      </c>
      <c r="G41" s="5">
        <f>(VLOOKUP('15.01'!O41,'15.01'!$AM$4:$AO$55,2,FALSE))*IF('15.01'!AR$4="是",'15.01'!$AY$4,'15.01'!$AY$3)</f>
        <v>0</v>
      </c>
      <c r="H41" s="5">
        <f>(VLOOKUP('15.01'!P41,'15.01'!$AM$4:$AO$55,2,FALSE))*IF('15.01'!AS$4="是",'15.01'!$AY$4,'15.01'!$AY$3)</f>
        <v>0</v>
      </c>
      <c r="I41" s="4">
        <f>(VLOOKUP('15.01'!Q41,'15.01'!$AM$4:$AO$55,2,FALSE))*IF('15.01'!AT$4="是",'15.01'!$AY$4,'15.01'!$AY$3)</f>
        <v>180</v>
      </c>
      <c r="J41" s="4">
        <f>(VLOOKUP('15.01'!R41,'15.01'!$AM$4:$AO$55,2,FALSE))*IF('15.01'!AU$4="是",'15.01'!$AY$4,'15.01'!$AY$3)</f>
        <v>180</v>
      </c>
      <c r="K41" s="4">
        <f>(VLOOKUP('15.01'!S41,'15.01'!$AM$4:$AO$55,2,FALSE))*IF('15.01'!AV$4="是",'15.01'!$AY$4,'15.01'!$AY$3)</f>
        <v>50</v>
      </c>
      <c r="L41" s="4">
        <f>(VLOOKUP('15.01'!T41,'15.01'!$AM$4:$AO$55,2,FALSE))*IF('15.01'!AW$4="是",'15.01'!$AY$4,'15.01'!$AY$3)</f>
        <v>170</v>
      </c>
      <c r="M41" s="4">
        <f>(VLOOKUP('15.01'!U41,'15.01'!$AM$4:$AO$55,2,FALSE))*IF('15.01'!AX$4="是",'15.01'!$AY$4,'15.01'!$AY$3)</f>
        <v>170</v>
      </c>
      <c r="N41" s="4">
        <f>(VLOOKUP('15.01'!V41,'15.01'!$AM$4:$AO$55,2,FALSE))*IF('15.01'!AY$4="是",'15.01'!$AY$4,'15.01'!$AY$3)</f>
        <v>170</v>
      </c>
      <c r="O41" s="5">
        <f>(VLOOKUP('15.01'!W41,'15.01'!$AM$4:$AO$55,2,FALSE))*IF('15.01'!AZ$4="是",'15.01'!$AY$4,'15.01'!$AY$3)</f>
        <v>0</v>
      </c>
      <c r="P41" s="5">
        <f>(VLOOKUP('15.01'!X41,'15.01'!$AM$4:$AO$55,2,FALSE))*IF('15.01'!BA$4="是",'15.01'!$AY$4,'15.01'!$AY$3)</f>
        <v>0</v>
      </c>
      <c r="Q41" s="4">
        <f>(VLOOKUP('15.01'!Y41,'15.01'!$AM$4:$AO$55,2,FALSE))*IF('15.01'!BB$4="是",'15.01'!$AY$4,'15.01'!$AY$3)</f>
        <v>180</v>
      </c>
      <c r="R41" s="4">
        <f>(VLOOKUP('15.01'!Z41,'15.01'!$AM$4:$AO$55,2,FALSE))*IF('15.01'!BC$4="是",'15.01'!$AY$4,'15.01'!$AY$3)</f>
        <v>180</v>
      </c>
      <c r="S41" s="4">
        <f>(VLOOKUP('15.01'!AA41,'15.01'!$AM$4:$AO$55,2,FALSE))*IF('15.01'!BD$4="是",'15.01'!$AY$4,'15.01'!$AY$3)</f>
        <v>180</v>
      </c>
      <c r="T41" s="4">
        <f>(VLOOKUP('15.01'!AB41,'15.01'!$AM$4:$AO$55,2,FALSE))*IF('15.01'!BE$4="是",'15.01'!$AY$4,'15.01'!$AY$3)</f>
        <v>200</v>
      </c>
      <c r="U41" s="4">
        <f>(VLOOKUP('15.01'!AC41,'15.01'!$AM$4:$AO$55,2,FALSE))*IF('15.01'!BF$4="是",'15.01'!$AY$4,'15.01'!$AY$3)</f>
        <v>200</v>
      </c>
      <c r="V41" s="4">
        <f>(VLOOKUP('15.01'!AD41,'15.01'!$AM$4:$AO$55,2,FALSE))*IF('15.01'!BG$4="是",'15.01'!$AY$4,'15.01'!$AY$3)</f>
        <v>200</v>
      </c>
      <c r="W41" s="5">
        <f>(VLOOKUP('15.01'!AE41,'15.01'!$AM$4:$AO$55,2,FALSE))*IF('15.01'!BH$4="是",'15.01'!$AY$4,'15.01'!$AY$3)</f>
        <v>0</v>
      </c>
      <c r="X41" s="5">
        <f>(VLOOKUP('15.01'!AF41,'15.01'!$AM$4:$AO$55,2,FALSE))*IF('15.01'!BI$4="是",'15.01'!$AY$4,'15.01'!$AY$3)</f>
        <v>0</v>
      </c>
    </row>
    <row r="42" spans="1:24">
      <c r="A42" s="4">
        <f>(VLOOKUP('15.01'!I42,'15.01'!$AM$4:$AO$55,2,FALSE))*IF('15.01'!AK$4="是",'15.01'!$AY$4,'15.01'!$AY$3)</f>
        <v>0</v>
      </c>
      <c r="B42" s="4">
        <f>(VLOOKUP('15.01'!J42,'15.01'!$AM$4:$AO$55,2,FALSE))*IF('15.01'!AL$4="是",'15.01'!$AY$4,'15.01'!$AY$3)</f>
        <v>0</v>
      </c>
      <c r="C42" s="4">
        <f>(VLOOKUP('15.01'!K42,'15.01'!$AM$4:$AO$55,2,FALSE))*IF('15.01'!AM$4="是",'15.01'!$AY$4,'15.01'!$AY$3)</f>
        <v>0</v>
      </c>
      <c r="D42" s="4">
        <f>(VLOOKUP('15.01'!L42,'15.01'!$AM$4:$AO$55,2,FALSE))*IF('15.01'!AN$4="是",'15.01'!$AY$4,'15.01'!$AY$3)</f>
        <v>0</v>
      </c>
      <c r="E42" s="4">
        <f>(VLOOKUP('15.01'!M42,'15.01'!$AM$4:$AO$55,2,FALSE))*IF('15.01'!AO$4="是",'15.01'!$AY$4,'15.01'!$AY$3)</f>
        <v>0</v>
      </c>
      <c r="F42" s="4">
        <f>(VLOOKUP('15.01'!N42,'15.01'!$AM$4:$AO$55,2,FALSE))*IF('15.01'!AQ$4="是",'15.01'!$AY$4,'15.01'!$AY$3)</f>
        <v>0</v>
      </c>
      <c r="G42" s="5">
        <f>(VLOOKUP('15.01'!O42,'15.01'!$AM$4:$AO$55,2,FALSE))*IF('15.01'!AR$4="是",'15.01'!$AY$4,'15.01'!$AY$3)</f>
        <v>0</v>
      </c>
      <c r="H42" s="5">
        <f>(VLOOKUP('15.01'!P42,'15.01'!$AM$4:$AO$55,2,FALSE))*IF('15.01'!AS$4="是",'15.01'!$AY$4,'15.01'!$AY$3)</f>
        <v>0</v>
      </c>
      <c r="I42" s="4">
        <f>(VLOOKUP('15.01'!Q42,'15.01'!$AM$4:$AO$55,2,FALSE))*IF('15.01'!AT$4="是",'15.01'!$AY$4,'15.01'!$AY$3)</f>
        <v>170</v>
      </c>
      <c r="J42" s="4">
        <f>(VLOOKUP('15.01'!R42,'15.01'!$AM$4:$AO$55,2,FALSE))*IF('15.01'!AU$4="是",'15.01'!$AY$4,'15.01'!$AY$3)</f>
        <v>-200</v>
      </c>
      <c r="K42" s="4">
        <f>(VLOOKUP('15.01'!S42,'15.01'!$AM$4:$AO$55,2,FALSE))*IF('15.01'!AV$4="是",'15.01'!$AY$4,'15.01'!$AY$3)</f>
        <v>170</v>
      </c>
      <c r="L42" s="4">
        <f>(VLOOKUP('15.01'!T42,'15.01'!$AM$4:$AO$55,2,FALSE))*IF('15.01'!AW$4="是",'15.01'!$AY$4,'15.01'!$AY$3)</f>
        <v>170</v>
      </c>
      <c r="M42" s="4">
        <f>(VLOOKUP('15.01'!U42,'15.01'!$AM$4:$AO$55,2,FALSE))*IF('15.01'!AX$4="是",'15.01'!$AY$4,'15.01'!$AY$3)</f>
        <v>170</v>
      </c>
      <c r="N42" s="4">
        <f>(VLOOKUP('15.01'!V42,'15.01'!$AM$4:$AO$55,2,FALSE))*IF('15.01'!AY$4="是",'15.01'!$AY$4,'15.01'!$AY$3)</f>
        <v>170</v>
      </c>
      <c r="O42" s="5">
        <f>(VLOOKUP('15.01'!W42,'15.01'!$AM$4:$AO$55,2,FALSE))*IF('15.01'!AZ$4="是",'15.01'!$AY$4,'15.01'!$AY$3)</f>
        <v>0</v>
      </c>
      <c r="P42" s="5">
        <f>(VLOOKUP('15.01'!X42,'15.01'!$AM$4:$AO$55,2,FALSE))*IF('15.01'!BA$4="是",'15.01'!$AY$4,'15.01'!$AY$3)</f>
        <v>0</v>
      </c>
      <c r="Q42" s="4">
        <f>(VLOOKUP('15.01'!Y42,'15.01'!$AM$4:$AO$55,2,FALSE))*IF('15.01'!BB$4="是",'15.01'!$AY$4,'15.01'!$AY$3)</f>
        <v>200</v>
      </c>
      <c r="R42" s="4">
        <f>(VLOOKUP('15.01'!Z42,'15.01'!$AM$4:$AO$55,2,FALSE))*IF('15.01'!BC$4="是",'15.01'!$AY$4,'15.01'!$AY$3)</f>
        <v>200</v>
      </c>
      <c r="S42" s="4">
        <f>(VLOOKUP('15.01'!AA42,'15.01'!$AM$4:$AO$55,2,FALSE))*IF('15.01'!BD$4="是",'15.01'!$AY$4,'15.01'!$AY$3)</f>
        <v>200</v>
      </c>
      <c r="T42" s="4">
        <f>(VLOOKUP('15.01'!AB42,'15.01'!$AM$4:$AO$55,2,FALSE))*IF('15.01'!BE$4="是",'15.01'!$AY$4,'15.01'!$AY$3)</f>
        <v>200</v>
      </c>
      <c r="U42" s="4">
        <f>(VLOOKUP('15.01'!AC42,'15.01'!$AM$4:$AO$55,2,FALSE))*IF('15.01'!BF$4="是",'15.01'!$AY$4,'15.01'!$AY$3)</f>
        <v>200</v>
      </c>
      <c r="V42" s="4">
        <f>(VLOOKUP('15.01'!AD42,'15.01'!$AM$4:$AO$55,2,FALSE))*IF('15.01'!BG$4="是",'15.01'!$AY$4,'15.01'!$AY$3)</f>
        <v>200</v>
      </c>
      <c r="W42" s="5">
        <f>(VLOOKUP('15.01'!AE42,'15.01'!$AM$4:$AO$55,2,FALSE))*IF('15.01'!BH$4="是",'15.01'!$AY$4,'15.01'!$AY$3)</f>
        <v>0</v>
      </c>
      <c r="X42" s="5">
        <f>(VLOOKUP('15.01'!AF42,'15.01'!$AM$4:$AO$55,2,FALSE))*IF('15.01'!BI$4="是",'15.01'!$AY$4,'15.01'!$AY$3)</f>
        <v>0</v>
      </c>
    </row>
    <row r="43" spans="1:24">
      <c r="A43" s="4">
        <f>(VLOOKUP('15.01'!I43,'15.01'!$AM$4:$AO$55,2,FALSE))*IF('15.01'!AK$4="是",'15.01'!$AY$4,'15.01'!$AY$3)</f>
        <v>0</v>
      </c>
      <c r="B43" s="4">
        <f>(VLOOKUP('15.01'!J43,'15.01'!$AM$4:$AO$55,2,FALSE))*IF('15.01'!AL$4="是",'15.01'!$AY$4,'15.01'!$AY$3)</f>
        <v>0</v>
      </c>
      <c r="C43" s="4">
        <f>(VLOOKUP('15.01'!K43,'15.01'!$AM$4:$AO$55,2,FALSE))*IF('15.01'!AM$4="是",'15.01'!$AY$4,'15.01'!$AY$3)</f>
        <v>0</v>
      </c>
      <c r="D43" s="4">
        <f>(VLOOKUP('15.01'!L43,'15.01'!$AM$4:$AO$55,2,FALSE))*IF('15.01'!AN$4="是",'15.01'!$AY$4,'15.01'!$AY$3)</f>
        <v>0</v>
      </c>
      <c r="E43" s="4">
        <f>(VLOOKUP('15.01'!M43,'15.01'!$AM$4:$AO$55,2,FALSE))*IF('15.01'!AO$4="是",'15.01'!$AY$4,'15.01'!$AY$3)</f>
        <v>0</v>
      </c>
      <c r="F43" s="4">
        <f>(VLOOKUP('15.01'!N43,'15.01'!$AM$4:$AO$55,2,FALSE))*IF('15.01'!AQ$4="是",'15.01'!$AY$4,'15.01'!$AY$3)</f>
        <v>0</v>
      </c>
      <c r="G43" s="5">
        <f>(VLOOKUP('15.01'!O43,'15.01'!$AM$4:$AO$55,2,FALSE))*IF('15.01'!AR$4="是",'15.01'!$AY$4,'15.01'!$AY$3)</f>
        <v>0</v>
      </c>
      <c r="H43" s="5">
        <f>(VLOOKUP('15.01'!P43,'15.01'!$AM$4:$AO$55,2,FALSE))*IF('15.01'!AS$4="是",'15.01'!$AY$4,'15.01'!$AY$3)</f>
        <v>0</v>
      </c>
      <c r="I43" s="4">
        <f>(VLOOKUP('15.01'!Q43,'15.01'!$AM$4:$AO$55,2,FALSE))*IF('15.01'!AT$4="是",'15.01'!$AY$4,'15.01'!$AY$3)</f>
        <v>170</v>
      </c>
      <c r="J43" s="4">
        <f>(VLOOKUP('15.01'!R43,'15.01'!$AM$4:$AO$55,2,FALSE))*IF('15.01'!AU$4="是",'15.01'!$AY$4,'15.01'!$AY$3)</f>
        <v>170</v>
      </c>
      <c r="K43" s="4">
        <f>(VLOOKUP('15.01'!S43,'15.01'!$AM$4:$AO$55,2,FALSE))*IF('15.01'!AV$4="是",'15.01'!$AY$4,'15.01'!$AY$3)</f>
        <v>170</v>
      </c>
      <c r="L43" s="4">
        <f>(VLOOKUP('15.01'!T43,'15.01'!$AM$4:$AO$55,2,FALSE))*IF('15.01'!AW$4="是",'15.01'!$AY$4,'15.01'!$AY$3)</f>
        <v>170</v>
      </c>
      <c r="M43" s="4">
        <f>(VLOOKUP('15.01'!U43,'15.01'!$AM$4:$AO$55,2,FALSE))*IF('15.01'!AX$4="是",'15.01'!$AY$4,'15.01'!$AY$3)</f>
        <v>170</v>
      </c>
      <c r="N43" s="4">
        <f>(VLOOKUP('15.01'!V43,'15.01'!$AM$4:$AO$55,2,FALSE))*IF('15.01'!AY$4="是",'15.01'!$AY$4,'15.01'!$AY$3)</f>
        <v>170</v>
      </c>
      <c r="O43" s="5">
        <f>(VLOOKUP('15.01'!W43,'15.01'!$AM$4:$AO$55,2,FALSE))*IF('15.01'!AZ$4="是",'15.01'!$AY$4,'15.01'!$AY$3)</f>
        <v>0</v>
      </c>
      <c r="P43" s="5">
        <f>(VLOOKUP('15.01'!X43,'15.01'!$AM$4:$AO$55,2,FALSE))*IF('15.01'!BA$4="是",'15.01'!$AY$4,'15.01'!$AY$3)</f>
        <v>0</v>
      </c>
      <c r="Q43" s="4">
        <f>(VLOOKUP('15.01'!Y43,'15.01'!$AM$4:$AO$55,2,FALSE))*IF('15.01'!BB$4="是",'15.01'!$AY$4,'15.01'!$AY$3)</f>
        <v>180</v>
      </c>
      <c r="R43" s="4">
        <f>(VLOOKUP('15.01'!Z43,'15.01'!$AM$4:$AO$55,2,FALSE))*IF('15.01'!BC$4="是",'15.01'!$AY$4,'15.01'!$AY$3)</f>
        <v>180</v>
      </c>
      <c r="S43" s="4">
        <f>(VLOOKUP('15.01'!AA43,'15.01'!$AM$4:$AO$55,2,FALSE))*IF('15.01'!BD$4="是",'15.01'!$AY$4,'15.01'!$AY$3)</f>
        <v>180</v>
      </c>
      <c r="T43" s="4">
        <f>(VLOOKUP('15.01'!AB43,'15.01'!$AM$4:$AO$55,2,FALSE))*IF('15.01'!BE$4="是",'15.01'!$AY$4,'15.01'!$AY$3)</f>
        <v>-200</v>
      </c>
      <c r="U43" s="4">
        <f>(VLOOKUP('15.01'!AC43,'15.01'!$AM$4:$AO$55,2,FALSE))*IF('15.01'!BF$4="是",'15.01'!$AY$4,'15.01'!$AY$3)</f>
        <v>180</v>
      </c>
      <c r="V43" s="4">
        <f>(VLOOKUP('15.01'!AD43,'15.01'!$AM$4:$AO$55,2,FALSE))*IF('15.01'!BG$4="是",'15.01'!$AY$4,'15.01'!$AY$3)</f>
        <v>180</v>
      </c>
      <c r="W43" s="5">
        <f>(VLOOKUP('15.01'!AE43,'15.01'!$AM$4:$AO$55,2,FALSE))*IF('15.01'!BH$4="是",'15.01'!$AY$4,'15.01'!$AY$3)</f>
        <v>0</v>
      </c>
      <c r="X43" s="5">
        <f>(VLOOKUP('15.01'!AF43,'15.01'!$AM$4:$AO$55,2,FALSE))*IF('15.01'!BI$4="是",'15.01'!$AY$4,'15.01'!$AY$3)</f>
        <v>0</v>
      </c>
    </row>
    <row r="44" spans="1:24">
      <c r="A44" s="4">
        <f>(VLOOKUP('15.01'!I44,'15.01'!$AM$4:$AO$55,2,FALSE))*IF('15.01'!AK$4="是",'15.01'!$AY$4,'15.01'!$AY$3)</f>
        <v>0</v>
      </c>
      <c r="B44" s="4">
        <f>(VLOOKUP('15.01'!J44,'15.01'!$AM$4:$AO$55,2,FALSE))*IF('15.01'!AL$4="是",'15.01'!$AY$4,'15.01'!$AY$3)</f>
        <v>0</v>
      </c>
      <c r="C44" s="4">
        <f>(VLOOKUP('15.01'!K44,'15.01'!$AM$4:$AO$55,2,FALSE))*IF('15.01'!AM$4="是",'15.01'!$AY$4,'15.01'!$AY$3)</f>
        <v>0</v>
      </c>
      <c r="D44" s="4">
        <f>(VLOOKUP('15.01'!L44,'15.01'!$AM$4:$AO$55,2,FALSE))*IF('15.01'!AN$4="是",'15.01'!$AY$4,'15.01'!$AY$3)</f>
        <v>0</v>
      </c>
      <c r="E44" s="4">
        <f>(VLOOKUP('15.01'!M44,'15.01'!$AM$4:$AO$55,2,FALSE))*IF('15.01'!AO$4="是",'15.01'!$AY$4,'15.01'!$AY$3)</f>
        <v>0</v>
      </c>
      <c r="F44" s="4">
        <f>(VLOOKUP('15.01'!N44,'15.01'!$AM$4:$AO$55,2,FALSE))*IF('15.01'!AQ$4="是",'15.01'!$AY$4,'15.01'!$AY$3)</f>
        <v>0</v>
      </c>
      <c r="G44" s="5">
        <f>(VLOOKUP('15.01'!O44,'15.01'!$AM$4:$AO$55,2,FALSE))*IF('15.01'!AR$4="是",'15.01'!$AY$4,'15.01'!$AY$3)</f>
        <v>0</v>
      </c>
      <c r="H44" s="5">
        <f>(VLOOKUP('15.01'!P44,'15.01'!$AM$4:$AO$55,2,FALSE))*IF('15.01'!AS$4="是",'15.01'!$AY$4,'15.01'!$AY$3)</f>
        <v>0</v>
      </c>
      <c r="I44" s="4">
        <f>(VLOOKUP('15.01'!Q44,'15.01'!$AM$4:$AO$55,2,FALSE))*IF('15.01'!AT$4="是",'15.01'!$AY$4,'15.01'!$AY$3)</f>
        <v>170</v>
      </c>
      <c r="J44" s="4">
        <f>(VLOOKUP('15.01'!R44,'15.01'!$AM$4:$AO$55,2,FALSE))*IF('15.01'!AU$4="是",'15.01'!$AY$4,'15.01'!$AY$3)</f>
        <v>200</v>
      </c>
      <c r="K44" s="4">
        <f>(VLOOKUP('15.01'!S44,'15.01'!$AM$4:$AO$55,2,FALSE))*IF('15.01'!AV$4="是",'15.01'!$AY$4,'15.01'!$AY$3)</f>
        <v>200</v>
      </c>
      <c r="L44" s="4">
        <f>(VLOOKUP('15.01'!T44,'15.01'!$AM$4:$AO$55,2,FALSE))*IF('15.01'!AW$4="是",'15.01'!$AY$4,'15.01'!$AY$3)</f>
        <v>200</v>
      </c>
      <c r="M44" s="4">
        <f>(VLOOKUP('15.01'!U44,'15.01'!$AM$4:$AO$55,2,FALSE))*IF('15.01'!AX$4="是",'15.01'!$AY$4,'15.01'!$AY$3)</f>
        <v>200</v>
      </c>
      <c r="N44" s="4">
        <f>(VLOOKUP('15.01'!V44,'15.01'!$AM$4:$AO$55,2,FALSE))*IF('15.01'!AY$4="是",'15.01'!$AY$4,'15.01'!$AY$3)</f>
        <v>200</v>
      </c>
      <c r="O44" s="5">
        <f>(VLOOKUP('15.01'!W44,'15.01'!$AM$4:$AO$55,2,FALSE))*IF('15.01'!AZ$4="是",'15.01'!$AY$4,'15.01'!$AY$3)</f>
        <v>0</v>
      </c>
      <c r="P44" s="5">
        <f>(VLOOKUP('15.01'!X44,'15.01'!$AM$4:$AO$55,2,FALSE))*IF('15.01'!BA$4="是",'15.01'!$AY$4,'15.01'!$AY$3)</f>
        <v>0</v>
      </c>
      <c r="Q44" s="4">
        <f>(VLOOKUP('15.01'!Y44,'15.01'!$AM$4:$AO$55,2,FALSE))*IF('15.01'!BB$4="是",'15.01'!$AY$4,'15.01'!$AY$3)</f>
        <v>180</v>
      </c>
      <c r="R44" s="4">
        <f>(VLOOKUP('15.01'!Z44,'15.01'!$AM$4:$AO$55,2,FALSE))*IF('15.01'!BC$4="是",'15.01'!$AY$4,'15.01'!$AY$3)</f>
        <v>150</v>
      </c>
      <c r="S44" s="4">
        <f>(VLOOKUP('15.01'!AA44,'15.01'!$AM$4:$AO$55,2,FALSE))*IF('15.01'!BD$4="是",'15.01'!$AY$4,'15.01'!$AY$3)</f>
        <v>180</v>
      </c>
      <c r="T44" s="4">
        <f>(VLOOKUP('15.01'!AB44,'15.01'!$AM$4:$AO$55,2,FALSE))*IF('15.01'!BE$4="是",'15.01'!$AY$4,'15.01'!$AY$3)</f>
        <v>180</v>
      </c>
      <c r="U44" s="4">
        <f>(VLOOKUP('15.01'!AC44,'15.01'!$AM$4:$AO$55,2,FALSE))*IF('15.01'!BF$4="是",'15.01'!$AY$4,'15.01'!$AY$3)</f>
        <v>180</v>
      </c>
      <c r="V44" s="4">
        <f>(VLOOKUP('15.01'!AD44,'15.01'!$AM$4:$AO$55,2,FALSE))*IF('15.01'!BG$4="是",'15.01'!$AY$4,'15.01'!$AY$3)</f>
        <v>180</v>
      </c>
      <c r="W44" s="5">
        <f>(VLOOKUP('15.01'!AE44,'15.01'!$AM$4:$AO$55,2,FALSE))*IF('15.01'!BH$4="是",'15.01'!$AY$4,'15.01'!$AY$3)</f>
        <v>0</v>
      </c>
      <c r="X44" s="5">
        <f>(VLOOKUP('15.01'!AF44,'15.01'!$AM$4:$AO$55,2,FALSE))*IF('15.01'!BI$4="是",'15.01'!$AY$4,'15.01'!$AY$3)</f>
        <v>0</v>
      </c>
    </row>
    <row r="45" spans="1:24">
      <c r="A45" s="4">
        <f>(VLOOKUP('15.01'!I45,'15.01'!$AM$4:$AO$55,2,FALSE))*IF('15.01'!AK$4="是",'15.01'!$AY$4,'15.01'!$AY$3)</f>
        <v>0</v>
      </c>
      <c r="B45" s="4">
        <f>(VLOOKUP('15.01'!J45,'15.01'!$AM$4:$AO$55,2,FALSE))*IF('15.01'!AL$4="是",'15.01'!$AY$4,'15.01'!$AY$3)</f>
        <v>0</v>
      </c>
      <c r="C45" s="4">
        <f>(VLOOKUP('15.01'!K45,'15.01'!$AM$4:$AO$55,2,FALSE))*IF('15.01'!AM$4="是",'15.01'!$AY$4,'15.01'!$AY$3)</f>
        <v>0</v>
      </c>
      <c r="D45" s="4">
        <f>(VLOOKUP('15.01'!L45,'15.01'!$AM$4:$AO$55,2,FALSE))*IF('15.01'!AN$4="是",'15.01'!$AY$4,'15.01'!$AY$3)</f>
        <v>0</v>
      </c>
      <c r="E45" s="4">
        <f>(VLOOKUP('15.01'!M45,'15.01'!$AM$4:$AO$55,2,FALSE))*IF('15.01'!AO$4="是",'15.01'!$AY$4,'15.01'!$AY$3)</f>
        <v>0</v>
      </c>
      <c r="F45" s="4">
        <f>(VLOOKUP('15.01'!N45,'15.01'!$AM$4:$AO$55,2,FALSE))*IF('15.01'!AQ$4="是",'15.01'!$AY$4,'15.01'!$AY$3)</f>
        <v>0</v>
      </c>
      <c r="G45" s="5">
        <f>(VLOOKUP('15.01'!O45,'15.01'!$AM$4:$AO$55,2,FALSE))*IF('15.01'!AR$4="是",'15.01'!$AY$4,'15.01'!$AY$3)</f>
        <v>0</v>
      </c>
      <c r="H45" s="5">
        <f>(VLOOKUP('15.01'!P45,'15.01'!$AM$4:$AO$55,2,FALSE))*IF('15.01'!AS$4="是",'15.01'!$AY$4,'15.01'!$AY$3)</f>
        <v>0</v>
      </c>
      <c r="I45" s="4">
        <f>(VLOOKUP('15.01'!Q45,'15.01'!$AM$4:$AO$55,2,FALSE))*IF('15.01'!AT$4="是",'15.01'!$AY$4,'15.01'!$AY$3)</f>
        <v>200</v>
      </c>
      <c r="J45" s="4">
        <f>(VLOOKUP('15.01'!R45,'15.01'!$AM$4:$AO$55,2,FALSE))*IF('15.01'!AU$4="是",'15.01'!$AY$4,'15.01'!$AY$3)</f>
        <v>200</v>
      </c>
      <c r="K45" s="4">
        <f>(VLOOKUP('15.01'!S45,'15.01'!$AM$4:$AO$55,2,FALSE))*IF('15.01'!AV$4="是",'15.01'!$AY$4,'15.01'!$AY$3)</f>
        <v>200</v>
      </c>
      <c r="L45" s="4">
        <f>(VLOOKUP('15.01'!T45,'15.01'!$AM$4:$AO$55,2,FALSE))*IF('15.01'!AW$4="是",'15.01'!$AY$4,'15.01'!$AY$3)</f>
        <v>200</v>
      </c>
      <c r="M45" s="4">
        <f>(VLOOKUP('15.01'!U45,'15.01'!$AM$4:$AO$55,2,FALSE))*IF('15.01'!AX$4="是",'15.01'!$AY$4,'15.01'!$AY$3)</f>
        <v>200</v>
      </c>
      <c r="N45" s="4">
        <f>(VLOOKUP('15.01'!V45,'15.01'!$AM$4:$AO$55,2,FALSE))*IF('15.01'!AY$4="是",'15.01'!$AY$4,'15.01'!$AY$3)</f>
        <v>200</v>
      </c>
      <c r="O45" s="5">
        <f>(VLOOKUP('15.01'!W45,'15.01'!$AM$4:$AO$55,2,FALSE))*IF('15.01'!AZ$4="是",'15.01'!$AY$4,'15.01'!$AY$3)</f>
        <v>0</v>
      </c>
      <c r="P45" s="5">
        <f>(VLOOKUP('15.01'!X45,'15.01'!$AM$4:$AO$55,2,FALSE))*IF('15.01'!BA$4="是",'15.01'!$AY$4,'15.01'!$AY$3)</f>
        <v>0</v>
      </c>
      <c r="Q45" s="4">
        <f>(VLOOKUP('15.01'!Y45,'15.01'!$AM$4:$AO$55,2,FALSE))*IF('15.01'!BB$4="是",'15.01'!$AY$4,'15.01'!$AY$3)</f>
        <v>180</v>
      </c>
      <c r="R45" s="4">
        <f>(VLOOKUP('15.01'!Z45,'15.01'!$AM$4:$AO$55,2,FALSE))*IF('15.01'!BC$4="是",'15.01'!$AY$4,'15.01'!$AY$3)</f>
        <v>180</v>
      </c>
      <c r="S45" s="4">
        <f>(VLOOKUP('15.01'!AA45,'15.01'!$AM$4:$AO$55,2,FALSE))*IF('15.01'!BD$4="是",'15.01'!$AY$4,'15.01'!$AY$3)</f>
        <v>180</v>
      </c>
      <c r="T45" s="4">
        <f>(VLOOKUP('15.01'!AB45,'15.01'!$AM$4:$AO$55,2,FALSE))*IF('15.01'!BE$4="是",'15.01'!$AY$4,'15.01'!$AY$3)</f>
        <v>180</v>
      </c>
      <c r="U45" s="4">
        <f>(VLOOKUP('15.01'!AC45,'15.01'!$AM$4:$AO$55,2,FALSE))*IF('15.01'!BF$4="是",'15.01'!$AY$4,'15.01'!$AY$3)</f>
        <v>180</v>
      </c>
      <c r="V45" s="4">
        <f>(VLOOKUP('15.01'!AD45,'15.01'!$AM$4:$AO$55,2,FALSE))*IF('15.01'!BG$4="是",'15.01'!$AY$4,'15.01'!$AY$3)</f>
        <v>180</v>
      </c>
      <c r="W45" s="5">
        <f>(VLOOKUP('15.01'!AE45,'15.01'!$AM$4:$AO$55,2,FALSE))*IF('15.01'!BH$4="是",'15.01'!$AY$4,'15.01'!$AY$3)</f>
        <v>0</v>
      </c>
      <c r="X45" s="5">
        <f>(VLOOKUP('15.01'!AF45,'15.01'!$AM$4:$AO$55,2,FALSE))*IF('15.01'!BI$4="是",'15.01'!$AY$4,'15.01'!$AY$3)</f>
        <v>0</v>
      </c>
    </row>
    <row r="46" spans="1:24">
      <c r="A46" s="4">
        <f>(VLOOKUP('15.01'!I46,'15.01'!$AM$4:$AO$55,2,FALSE))*IF('15.01'!AK$4="是",'15.01'!$AY$4,'15.01'!$AY$3)</f>
        <v>0</v>
      </c>
      <c r="B46" s="4">
        <f>(VLOOKUP('15.01'!J46,'15.01'!$AM$4:$AO$55,2,FALSE))*IF('15.01'!AL$4="是",'15.01'!$AY$4,'15.01'!$AY$3)</f>
        <v>0</v>
      </c>
      <c r="C46" s="4">
        <f>(VLOOKUP('15.01'!K46,'15.01'!$AM$4:$AO$55,2,FALSE))*IF('15.01'!AM$4="是",'15.01'!$AY$4,'15.01'!$AY$3)</f>
        <v>0</v>
      </c>
      <c r="D46" s="4">
        <f>(VLOOKUP('15.01'!L46,'15.01'!$AM$4:$AO$55,2,FALSE))*IF('15.01'!AN$4="是",'15.01'!$AY$4,'15.01'!$AY$3)</f>
        <v>0</v>
      </c>
      <c r="E46" s="4">
        <f>(VLOOKUP('15.01'!M46,'15.01'!$AM$4:$AO$55,2,FALSE))*IF('15.01'!AO$4="是",'15.01'!$AY$4,'15.01'!$AY$3)</f>
        <v>0</v>
      </c>
      <c r="F46" s="4">
        <f>(VLOOKUP('15.01'!N46,'15.01'!$AM$4:$AO$55,2,FALSE))*IF('15.01'!AQ$4="是",'15.01'!$AY$4,'15.01'!$AY$3)</f>
        <v>0</v>
      </c>
      <c r="G46" s="5">
        <f>(VLOOKUP('15.01'!O46,'15.01'!$AM$4:$AO$55,2,FALSE))*IF('15.01'!AR$4="是",'15.01'!$AY$4,'15.01'!$AY$3)</f>
        <v>0</v>
      </c>
      <c r="H46" s="5">
        <f>(VLOOKUP('15.01'!P46,'15.01'!$AM$4:$AO$55,2,FALSE))*IF('15.01'!AS$4="是",'15.01'!$AY$4,'15.01'!$AY$3)</f>
        <v>0</v>
      </c>
      <c r="I46" s="4">
        <f>(VLOOKUP('15.01'!Q46,'15.01'!$AM$4:$AO$55,2,FALSE))*IF('15.01'!AT$4="是",'15.01'!$AY$4,'15.01'!$AY$3)</f>
        <v>200</v>
      </c>
      <c r="J46" s="4">
        <f>(VLOOKUP('15.01'!R46,'15.01'!$AM$4:$AO$55,2,FALSE))*IF('15.01'!AU$4="是",'15.01'!$AY$4,'15.01'!$AY$3)</f>
        <v>200</v>
      </c>
      <c r="K46" s="4">
        <f>(VLOOKUP('15.01'!S46,'15.01'!$AM$4:$AO$55,2,FALSE))*IF('15.01'!AV$4="是",'15.01'!$AY$4,'15.01'!$AY$3)</f>
        <v>200</v>
      </c>
      <c r="L46" s="4">
        <f>(VLOOKUP('15.01'!T46,'15.01'!$AM$4:$AO$55,2,FALSE))*IF('15.01'!AW$4="是",'15.01'!$AY$4,'15.01'!$AY$3)</f>
        <v>200</v>
      </c>
      <c r="M46" s="4">
        <f>(VLOOKUP('15.01'!U46,'15.01'!$AM$4:$AO$55,2,FALSE))*IF('15.01'!AX$4="是",'15.01'!$AY$4,'15.01'!$AY$3)</f>
        <v>200</v>
      </c>
      <c r="N46" s="4">
        <f>(VLOOKUP('15.01'!V46,'15.01'!$AM$4:$AO$55,2,FALSE))*IF('15.01'!AY$4="是",'15.01'!$AY$4,'15.01'!$AY$3)</f>
        <v>200</v>
      </c>
      <c r="O46" s="5">
        <f>(VLOOKUP('15.01'!W46,'15.01'!$AM$4:$AO$55,2,FALSE))*IF('15.01'!AZ$4="是",'15.01'!$AY$4,'15.01'!$AY$3)</f>
        <v>0</v>
      </c>
      <c r="P46" s="5">
        <f>(VLOOKUP('15.01'!X46,'15.01'!$AM$4:$AO$55,2,FALSE))*IF('15.01'!BA$4="是",'15.01'!$AY$4,'15.01'!$AY$3)</f>
        <v>0</v>
      </c>
      <c r="Q46" s="4">
        <f>(VLOOKUP('15.01'!Y46,'15.01'!$AM$4:$AO$55,2,FALSE))*IF('15.01'!BB$4="是",'15.01'!$AY$4,'15.01'!$AY$3)</f>
        <v>180</v>
      </c>
      <c r="R46" s="4">
        <f>(VLOOKUP('15.01'!Z46,'15.01'!$AM$4:$AO$55,2,FALSE))*IF('15.01'!BC$4="是",'15.01'!$AY$4,'15.01'!$AY$3)</f>
        <v>180</v>
      </c>
      <c r="S46" s="4">
        <f>(VLOOKUP('15.01'!AA46,'15.01'!$AM$4:$AO$55,2,FALSE))*IF('15.01'!BD$4="是",'15.01'!$AY$4,'15.01'!$AY$3)</f>
        <v>180</v>
      </c>
      <c r="T46" s="4">
        <f>(VLOOKUP('15.01'!AB46,'15.01'!$AM$4:$AO$55,2,FALSE))*IF('15.01'!BE$4="是",'15.01'!$AY$4,'15.01'!$AY$3)</f>
        <v>180</v>
      </c>
      <c r="U46" s="4">
        <f>(VLOOKUP('15.01'!AC46,'15.01'!$AM$4:$AO$55,2,FALSE))*IF('15.01'!BF$4="是",'15.01'!$AY$4,'15.01'!$AY$3)</f>
        <v>180</v>
      </c>
      <c r="V46" s="4">
        <f>(VLOOKUP('15.01'!AD46,'15.01'!$AM$4:$AO$55,2,FALSE))*IF('15.01'!BG$4="是",'15.01'!$AY$4,'15.01'!$AY$3)</f>
        <v>50</v>
      </c>
      <c r="W46" s="5">
        <f>(VLOOKUP('15.01'!AE46,'15.01'!$AM$4:$AO$55,2,FALSE))*IF('15.01'!BH$4="是",'15.01'!$AY$4,'15.01'!$AY$3)</f>
        <v>0</v>
      </c>
      <c r="X46" s="5">
        <f>(VLOOKUP('15.01'!AF46,'15.01'!$AM$4:$AO$55,2,FALSE))*IF('15.01'!BI$4="是",'15.01'!$AY$4,'15.01'!$AY$3)</f>
        <v>0</v>
      </c>
    </row>
    <row r="47" spans="1:24">
      <c r="A47" s="4">
        <f>(VLOOKUP('15.01'!I47,'15.01'!$AM$4:$AO$55,2,FALSE))*IF('15.01'!AK$4="是",'15.01'!$AY$4,'15.01'!$AY$3)</f>
        <v>0</v>
      </c>
      <c r="B47" s="4">
        <f>(VLOOKUP('15.01'!J47,'15.01'!$AM$4:$AO$55,2,FALSE))*IF('15.01'!AL$4="是",'15.01'!$AY$4,'15.01'!$AY$3)</f>
        <v>0</v>
      </c>
      <c r="C47" s="4">
        <f>(VLOOKUP('15.01'!K47,'15.01'!$AM$4:$AO$55,2,FALSE))*IF('15.01'!AM$4="是",'15.01'!$AY$4,'15.01'!$AY$3)</f>
        <v>0</v>
      </c>
      <c r="D47" s="4">
        <f>(VLOOKUP('15.01'!L47,'15.01'!$AM$4:$AO$55,2,FALSE))*IF('15.01'!AN$4="是",'15.01'!$AY$4,'15.01'!$AY$3)</f>
        <v>0</v>
      </c>
      <c r="E47" s="4">
        <f>(VLOOKUP('15.01'!M47,'15.01'!$AM$4:$AO$55,2,FALSE))*IF('15.01'!AO$4="是",'15.01'!$AY$4,'15.01'!$AY$3)</f>
        <v>0</v>
      </c>
      <c r="F47" s="4">
        <f>(VLOOKUP('15.01'!N47,'15.01'!$AM$4:$AO$55,2,FALSE))*IF('15.01'!AQ$4="是",'15.01'!$AY$4,'15.01'!$AY$3)</f>
        <v>0</v>
      </c>
      <c r="G47" s="5">
        <f>(VLOOKUP('15.01'!O47,'15.01'!$AM$4:$AO$55,2,FALSE))*IF('15.01'!AR$4="是",'15.01'!$AY$4,'15.01'!$AY$3)</f>
        <v>0</v>
      </c>
      <c r="H47" s="5">
        <f>(VLOOKUP('15.01'!P47,'15.01'!$AM$4:$AO$55,2,FALSE))*IF('15.01'!AS$4="是",'15.01'!$AY$4,'15.01'!$AY$3)</f>
        <v>0</v>
      </c>
      <c r="I47" s="4">
        <f>(VLOOKUP('15.01'!Q47,'15.01'!$AM$4:$AO$55,2,FALSE))*IF('15.01'!AT$4="是",'15.01'!$AY$4,'15.01'!$AY$3)</f>
        <v>200</v>
      </c>
      <c r="J47" s="4">
        <f>(VLOOKUP('15.01'!R47,'15.01'!$AM$4:$AO$55,2,FALSE))*IF('15.01'!AU$4="是",'15.01'!$AY$4,'15.01'!$AY$3)</f>
        <v>200</v>
      </c>
      <c r="K47" s="4">
        <f>(VLOOKUP('15.01'!S47,'15.01'!$AM$4:$AO$55,2,FALSE))*IF('15.01'!AV$4="是",'15.01'!$AY$4,'15.01'!$AY$3)</f>
        <v>250</v>
      </c>
      <c r="L47" s="4">
        <f>(VLOOKUP('15.01'!T47,'15.01'!$AM$4:$AO$55,2,FALSE))*IF('15.01'!AW$4="是",'15.01'!$AY$4,'15.01'!$AY$3)</f>
        <v>200</v>
      </c>
      <c r="M47" s="4">
        <f>(VLOOKUP('15.01'!U47,'15.01'!$AM$4:$AO$55,2,FALSE))*IF('15.01'!AX$4="是",'15.01'!$AY$4,'15.01'!$AY$3)</f>
        <v>200</v>
      </c>
      <c r="N47" s="4">
        <f>(VLOOKUP('15.01'!V47,'15.01'!$AM$4:$AO$55,2,FALSE))*IF('15.01'!AY$4="是",'15.01'!$AY$4,'15.01'!$AY$3)</f>
        <v>200</v>
      </c>
      <c r="O47" s="5">
        <f>(VLOOKUP('15.01'!W47,'15.01'!$AM$4:$AO$55,2,FALSE))*IF('15.01'!AZ$4="是",'15.01'!$AY$4,'15.01'!$AY$3)</f>
        <v>0</v>
      </c>
      <c r="P47" s="5">
        <f>(VLOOKUP('15.01'!X47,'15.01'!$AM$4:$AO$55,2,FALSE))*IF('15.01'!BA$4="是",'15.01'!$AY$4,'15.01'!$AY$3)</f>
        <v>0</v>
      </c>
      <c r="Q47" s="4">
        <f>(VLOOKUP('15.01'!Y47,'15.01'!$AM$4:$AO$55,2,FALSE))*IF('15.01'!BB$4="是",'15.01'!$AY$4,'15.01'!$AY$3)</f>
        <v>180</v>
      </c>
      <c r="R47" s="4">
        <f>(VLOOKUP('15.01'!Z47,'15.01'!$AM$4:$AO$55,2,FALSE))*IF('15.01'!BC$4="是",'15.01'!$AY$4,'15.01'!$AY$3)</f>
        <v>180</v>
      </c>
      <c r="S47" s="4">
        <f>(VLOOKUP('15.01'!AA47,'15.01'!$AM$4:$AO$55,2,FALSE))*IF('15.01'!BD$4="是",'15.01'!$AY$4,'15.01'!$AY$3)</f>
        <v>180</v>
      </c>
      <c r="T47" s="4">
        <f>(VLOOKUP('15.01'!AB47,'15.01'!$AM$4:$AO$55,2,FALSE))*IF('15.01'!BE$4="是",'15.01'!$AY$4,'15.01'!$AY$3)</f>
        <v>180</v>
      </c>
      <c r="U47" s="4">
        <f>(VLOOKUP('15.01'!AC47,'15.01'!$AM$4:$AO$55,2,FALSE))*IF('15.01'!BF$4="是",'15.01'!$AY$4,'15.01'!$AY$3)</f>
        <v>180</v>
      </c>
      <c r="V47" s="4">
        <f>(VLOOKUP('15.01'!AD47,'15.01'!$AM$4:$AO$55,2,FALSE))*IF('15.01'!BG$4="是",'15.01'!$AY$4,'15.01'!$AY$3)</f>
        <v>180</v>
      </c>
      <c r="W47" s="5">
        <f>(VLOOKUP('15.01'!AE47,'15.01'!$AM$4:$AO$55,2,FALSE))*IF('15.01'!BH$4="是",'15.01'!$AY$4,'15.01'!$AY$3)</f>
        <v>0</v>
      </c>
      <c r="X47" s="5">
        <f>(VLOOKUP('15.01'!AF47,'15.01'!$AM$4:$AO$55,2,FALSE))*IF('15.01'!BI$4="是",'15.01'!$AY$4,'15.01'!$AY$3)</f>
        <v>0</v>
      </c>
    </row>
    <row r="48" spans="1:24">
      <c r="A48" s="4">
        <f>(VLOOKUP('15.01'!I48,'15.01'!$AM$4:$AO$55,2,FALSE))*IF('15.01'!AK$4="是",'15.01'!$AY$4,'15.01'!$AY$3)</f>
        <v>0</v>
      </c>
      <c r="B48" s="4">
        <f>(VLOOKUP('15.01'!J48,'15.01'!$AM$4:$AO$55,2,FALSE))*IF('15.01'!AL$4="是",'15.01'!$AY$4,'15.01'!$AY$3)</f>
        <v>0</v>
      </c>
      <c r="C48" s="4">
        <f>(VLOOKUP('15.01'!K48,'15.01'!$AM$4:$AO$55,2,FALSE))*IF('15.01'!AM$4="是",'15.01'!$AY$4,'15.01'!$AY$3)</f>
        <v>0</v>
      </c>
      <c r="D48" s="4">
        <f>(VLOOKUP('15.01'!L48,'15.01'!$AM$4:$AO$55,2,FALSE))*IF('15.01'!AN$4="是",'15.01'!$AY$4,'15.01'!$AY$3)</f>
        <v>0</v>
      </c>
      <c r="E48" s="4">
        <f>(VLOOKUP('15.01'!M48,'15.01'!$AM$4:$AO$55,2,FALSE))*IF('15.01'!AO$4="是",'15.01'!$AY$4,'15.01'!$AY$3)</f>
        <v>0</v>
      </c>
      <c r="F48" s="4">
        <f>(VLOOKUP('15.01'!N48,'15.01'!$AM$4:$AO$55,2,FALSE))*IF('15.01'!AQ$4="是",'15.01'!$AY$4,'15.01'!$AY$3)</f>
        <v>0</v>
      </c>
      <c r="G48" s="5">
        <f>(VLOOKUP('15.01'!O48,'15.01'!$AM$4:$AO$55,2,FALSE))*IF('15.01'!AR$4="是",'15.01'!$AY$4,'15.01'!$AY$3)</f>
        <v>0</v>
      </c>
      <c r="H48" s="5">
        <f>(VLOOKUP('15.01'!P48,'15.01'!$AM$4:$AO$55,2,FALSE))*IF('15.01'!AS$4="是",'15.01'!$AY$4,'15.01'!$AY$3)</f>
        <v>0</v>
      </c>
      <c r="I48" s="4">
        <f>(VLOOKUP('15.01'!Q48,'15.01'!$AM$4:$AO$55,2,FALSE))*IF('15.01'!AT$4="是",'15.01'!$AY$4,'15.01'!$AY$3)</f>
        <v>200</v>
      </c>
      <c r="J48" s="4">
        <f>(VLOOKUP('15.01'!R48,'15.01'!$AM$4:$AO$55,2,FALSE))*IF('15.01'!AU$4="是",'15.01'!$AY$4,'15.01'!$AY$3)</f>
        <v>180</v>
      </c>
      <c r="K48" s="4">
        <f>(VLOOKUP('15.01'!S48,'15.01'!$AM$4:$AO$55,2,FALSE))*IF('15.01'!AV$4="是",'15.01'!$AY$4,'15.01'!$AY$3)</f>
        <v>180</v>
      </c>
      <c r="L48" s="4">
        <f>(VLOOKUP('15.01'!T48,'15.01'!$AM$4:$AO$55,2,FALSE))*IF('15.01'!AW$4="是",'15.01'!$AY$4,'15.01'!$AY$3)</f>
        <v>180</v>
      </c>
      <c r="M48" s="4">
        <f>(VLOOKUP('15.01'!U48,'15.01'!$AM$4:$AO$55,2,FALSE))*IF('15.01'!AX$4="是",'15.01'!$AY$4,'15.01'!$AY$3)</f>
        <v>180</v>
      </c>
      <c r="N48" s="4">
        <f>(VLOOKUP('15.01'!V48,'15.01'!$AM$4:$AO$55,2,FALSE))*IF('15.01'!AY$4="是",'15.01'!$AY$4,'15.01'!$AY$3)</f>
        <v>180</v>
      </c>
      <c r="O48" s="5">
        <f>(VLOOKUP('15.01'!W48,'15.01'!$AM$4:$AO$55,2,FALSE))*IF('15.01'!AZ$4="是",'15.01'!$AY$4,'15.01'!$AY$3)</f>
        <v>0</v>
      </c>
      <c r="P48" s="5">
        <f>(VLOOKUP('15.01'!X48,'15.01'!$AM$4:$AO$55,2,FALSE))*IF('15.01'!BA$4="是",'15.01'!$AY$4,'15.01'!$AY$3)</f>
        <v>0</v>
      </c>
      <c r="Q48" s="4">
        <f>(VLOOKUP('15.01'!Y48,'15.01'!$AM$4:$AO$55,2,FALSE))*IF('15.01'!BB$4="是",'15.01'!$AY$4,'15.01'!$AY$3)</f>
        <v>50</v>
      </c>
      <c r="R48" s="4">
        <f>(VLOOKUP('15.01'!Z48,'15.01'!$AM$4:$AO$55,2,FALSE))*IF('15.01'!BC$4="是",'15.01'!$AY$4,'15.01'!$AY$3)</f>
        <v>180</v>
      </c>
      <c r="S48" s="4">
        <f>(VLOOKUP('15.01'!AA48,'15.01'!$AM$4:$AO$55,2,FALSE))*IF('15.01'!BD$4="是",'15.01'!$AY$4,'15.01'!$AY$3)</f>
        <v>180</v>
      </c>
      <c r="T48" s="4">
        <f>(VLOOKUP('15.01'!AB48,'15.01'!$AM$4:$AO$55,2,FALSE))*IF('15.01'!BE$4="是",'15.01'!$AY$4,'15.01'!$AY$3)</f>
        <v>180</v>
      </c>
      <c r="U48" s="4">
        <f>(VLOOKUP('15.01'!AC48,'15.01'!$AM$4:$AO$55,2,FALSE))*IF('15.01'!BF$4="是",'15.01'!$AY$4,'15.01'!$AY$3)</f>
        <v>170</v>
      </c>
      <c r="V48" s="4">
        <f>(VLOOKUP('15.01'!AD48,'15.01'!$AM$4:$AO$55,2,FALSE))*IF('15.01'!BG$4="是",'15.01'!$AY$4,'15.01'!$AY$3)</f>
        <v>180</v>
      </c>
      <c r="W48" s="5">
        <f>(VLOOKUP('15.01'!AE48,'15.01'!$AM$4:$AO$55,2,FALSE))*IF('15.01'!BH$4="是",'15.01'!$AY$4,'15.01'!$AY$3)</f>
        <v>0</v>
      </c>
      <c r="X48" s="5">
        <f>(VLOOKUP('15.01'!AF48,'15.01'!$AM$4:$AO$55,2,FALSE))*IF('15.01'!BI$4="是",'15.01'!$AY$4,'15.01'!$AY$3)</f>
        <v>0</v>
      </c>
    </row>
    <row r="49" spans="1:24">
      <c r="A49" s="4">
        <f>(VLOOKUP('15.01'!I49,'15.01'!$AM$4:$AO$55,2,FALSE))*IF('15.01'!AK$4="是",'15.01'!$AY$4,'15.01'!$AY$3)</f>
        <v>0</v>
      </c>
      <c r="B49" s="4">
        <f>(VLOOKUP('15.01'!J49,'15.01'!$AM$4:$AO$55,2,FALSE))*IF('15.01'!AL$4="是",'15.01'!$AY$4,'15.01'!$AY$3)</f>
        <v>0</v>
      </c>
      <c r="C49" s="4">
        <f>(VLOOKUP('15.01'!K49,'15.01'!$AM$4:$AO$55,2,FALSE))*IF('15.01'!AM$4="是",'15.01'!$AY$4,'15.01'!$AY$3)</f>
        <v>0</v>
      </c>
      <c r="D49" s="4">
        <f>(VLOOKUP('15.01'!L49,'15.01'!$AM$4:$AO$55,2,FALSE))*IF('15.01'!AN$4="是",'15.01'!$AY$4,'15.01'!$AY$3)</f>
        <v>0</v>
      </c>
      <c r="E49" s="4">
        <f>(VLOOKUP('15.01'!M49,'15.01'!$AM$4:$AO$55,2,FALSE))*IF('15.01'!AO$4="是",'15.01'!$AY$4,'15.01'!$AY$3)</f>
        <v>0</v>
      </c>
      <c r="F49" s="4">
        <f>(VLOOKUP('15.01'!N49,'15.01'!$AM$4:$AO$55,2,FALSE))*IF('15.01'!AQ$4="是",'15.01'!$AY$4,'15.01'!$AY$3)</f>
        <v>0</v>
      </c>
      <c r="G49" s="5">
        <f>(VLOOKUP('15.01'!O49,'15.01'!$AM$4:$AO$55,2,FALSE))*IF('15.01'!AR$4="是",'15.01'!$AY$4,'15.01'!$AY$3)</f>
        <v>0</v>
      </c>
      <c r="H49" s="5">
        <f>(VLOOKUP('15.01'!P49,'15.01'!$AM$4:$AO$55,2,FALSE))*IF('15.01'!AS$4="是",'15.01'!$AY$4,'15.01'!$AY$3)</f>
        <v>0</v>
      </c>
      <c r="I49" s="4">
        <f>(VLOOKUP('15.01'!Q49,'15.01'!$AM$4:$AO$55,2,FALSE))*IF('15.01'!AT$4="是",'15.01'!$AY$4,'15.01'!$AY$3)</f>
        <v>180</v>
      </c>
      <c r="J49" s="4">
        <f>(VLOOKUP('15.01'!R49,'15.01'!$AM$4:$AO$55,2,FALSE))*IF('15.01'!AU$4="是",'15.01'!$AY$4,'15.01'!$AY$3)</f>
        <v>180</v>
      </c>
      <c r="K49" s="4">
        <f>(VLOOKUP('15.01'!S49,'15.01'!$AM$4:$AO$55,2,FALSE))*IF('15.01'!AV$4="是",'15.01'!$AY$4,'15.01'!$AY$3)</f>
        <v>180</v>
      </c>
      <c r="L49" s="4">
        <f>(VLOOKUP('15.01'!T49,'15.01'!$AM$4:$AO$55,2,FALSE))*IF('15.01'!AW$4="是",'15.01'!$AY$4,'15.01'!$AY$3)</f>
        <v>180</v>
      </c>
      <c r="M49" s="4">
        <f>(VLOOKUP('15.01'!U49,'15.01'!$AM$4:$AO$55,2,FALSE))*IF('15.01'!AX$4="是",'15.01'!$AY$4,'15.01'!$AY$3)</f>
        <v>180</v>
      </c>
      <c r="N49" s="4">
        <f>(VLOOKUP('15.01'!V49,'15.01'!$AM$4:$AO$55,2,FALSE))*IF('15.01'!AY$4="是",'15.01'!$AY$4,'15.01'!$AY$3)</f>
        <v>180</v>
      </c>
      <c r="O49" s="5">
        <f>(VLOOKUP('15.01'!W49,'15.01'!$AM$4:$AO$55,2,FALSE))*IF('15.01'!AZ$4="是",'15.01'!$AY$4,'15.01'!$AY$3)</f>
        <v>0</v>
      </c>
      <c r="P49" s="5">
        <f>(VLOOKUP('15.01'!X49,'15.01'!$AM$4:$AO$55,2,FALSE))*IF('15.01'!BA$4="是",'15.01'!$AY$4,'15.01'!$AY$3)</f>
        <v>0</v>
      </c>
      <c r="Q49" s="4">
        <f>(VLOOKUP('15.01'!Y49,'15.01'!$AM$4:$AO$55,2,FALSE))*IF('15.01'!BB$4="是",'15.01'!$AY$4,'15.01'!$AY$3)</f>
        <v>0</v>
      </c>
      <c r="R49" s="4">
        <f>(VLOOKUP('15.01'!Z49,'15.01'!$AM$4:$AO$55,2,FALSE))*IF('15.01'!BC$4="是",'15.01'!$AY$4,'15.01'!$AY$3)</f>
        <v>0</v>
      </c>
      <c r="S49" s="4">
        <f>(VLOOKUP('15.01'!AA49,'15.01'!$AM$4:$AO$55,2,FALSE))*IF('15.01'!BD$4="是",'15.01'!$AY$4,'15.01'!$AY$3)</f>
        <v>0</v>
      </c>
      <c r="T49" s="4">
        <f>(VLOOKUP('15.01'!AB49,'15.01'!$AM$4:$AO$55,2,FALSE))*IF('15.01'!BE$4="是",'15.01'!$AY$4,'15.01'!$AY$3)</f>
        <v>0</v>
      </c>
      <c r="U49" s="4">
        <f>(VLOOKUP('15.01'!AC49,'15.01'!$AM$4:$AO$55,2,FALSE))*IF('15.01'!BF$4="是",'15.01'!$AY$4,'15.01'!$AY$3)</f>
        <v>0</v>
      </c>
      <c r="V49" s="4">
        <f>(VLOOKUP('15.01'!AD49,'15.01'!$AM$4:$AO$55,2,FALSE))*IF('15.01'!BG$4="是",'15.01'!$AY$4,'15.01'!$AY$3)</f>
        <v>0</v>
      </c>
      <c r="W49" s="5">
        <f>(VLOOKUP('15.01'!AE49,'15.01'!$AM$4:$AO$55,2,FALSE))*IF('15.01'!BH$4="是",'15.01'!$AY$4,'15.01'!$AY$3)</f>
        <v>0</v>
      </c>
      <c r="X49" s="5">
        <f>(VLOOKUP('15.01'!AF49,'15.01'!$AM$4:$AO$55,2,FALSE))*IF('15.01'!BI$4="是",'15.01'!$AY$4,'15.01'!$AY$3)</f>
        <v>0</v>
      </c>
    </row>
    <row r="50" spans="1:24">
      <c r="A50" s="4">
        <f>(VLOOKUP('15.01'!I50,'15.01'!$AM$4:$AO$55,2,FALSE))*IF('15.01'!AK$4="是",'15.01'!$AY$4,'15.01'!$AY$3)</f>
        <v>0</v>
      </c>
      <c r="B50" s="4">
        <f>(VLOOKUP('15.01'!J50,'15.01'!$AM$4:$AO$55,2,FALSE))*IF('15.01'!AL$4="是",'15.01'!$AY$4,'15.01'!$AY$3)</f>
        <v>0</v>
      </c>
      <c r="C50" s="4">
        <f>(VLOOKUP('15.01'!K50,'15.01'!$AM$4:$AO$55,2,FALSE))*IF('15.01'!AM$4="是",'15.01'!$AY$4,'15.01'!$AY$3)</f>
        <v>0</v>
      </c>
      <c r="D50" s="4">
        <f>(VLOOKUP('15.01'!L50,'15.01'!$AM$4:$AO$55,2,FALSE))*IF('15.01'!AN$4="是",'15.01'!$AY$4,'15.01'!$AY$3)</f>
        <v>0</v>
      </c>
      <c r="E50" s="4">
        <f>(VLOOKUP('15.01'!M50,'15.01'!$AM$4:$AO$55,2,FALSE))*IF('15.01'!AO$4="是",'15.01'!$AY$4,'15.01'!$AY$3)</f>
        <v>0</v>
      </c>
      <c r="F50" s="4">
        <f>(VLOOKUP('15.01'!N50,'15.01'!$AM$4:$AO$55,2,FALSE))*IF('15.01'!AQ$4="是",'15.01'!$AY$4,'15.01'!$AY$3)</f>
        <v>0</v>
      </c>
      <c r="G50" s="5">
        <f>(VLOOKUP('15.01'!O50,'15.01'!$AM$4:$AO$55,2,FALSE))*IF('15.01'!AR$4="是",'15.01'!$AY$4,'15.01'!$AY$3)</f>
        <v>0</v>
      </c>
      <c r="H50" s="5">
        <f>(VLOOKUP('15.01'!P50,'15.01'!$AM$4:$AO$55,2,FALSE))*IF('15.01'!AS$4="是",'15.01'!$AY$4,'15.01'!$AY$3)</f>
        <v>0</v>
      </c>
      <c r="I50" s="4">
        <f>(VLOOKUP('15.01'!Q50,'15.01'!$AM$4:$AO$55,2,FALSE))*IF('15.01'!AT$4="是",'15.01'!$AY$4,'15.01'!$AY$3)</f>
        <v>150</v>
      </c>
      <c r="J50" s="4">
        <f>(VLOOKUP('15.01'!R50,'15.01'!$AM$4:$AO$55,2,FALSE))*IF('15.01'!AU$4="是",'15.01'!$AY$4,'15.01'!$AY$3)</f>
        <v>180</v>
      </c>
      <c r="K50" s="4">
        <f>(VLOOKUP('15.01'!S50,'15.01'!$AM$4:$AO$55,2,FALSE))*IF('15.01'!AV$4="是",'15.01'!$AY$4,'15.01'!$AY$3)</f>
        <v>180</v>
      </c>
      <c r="L50" s="4">
        <f>(VLOOKUP('15.01'!T50,'15.01'!$AM$4:$AO$55,2,FALSE))*IF('15.01'!AW$4="是",'15.01'!$AY$4,'15.01'!$AY$3)</f>
        <v>180</v>
      </c>
      <c r="M50" s="4">
        <f>(VLOOKUP('15.01'!U50,'15.01'!$AM$4:$AO$55,2,FALSE))*IF('15.01'!AX$4="是",'15.01'!$AY$4,'15.01'!$AY$3)</f>
        <v>180</v>
      </c>
      <c r="N50" s="4">
        <f>(VLOOKUP('15.01'!V50,'15.01'!$AM$4:$AO$55,2,FALSE))*IF('15.01'!AY$4="是",'15.01'!$AY$4,'15.01'!$AY$3)</f>
        <v>180</v>
      </c>
      <c r="O50" s="5">
        <f>(VLOOKUP('15.01'!W50,'15.01'!$AM$4:$AO$55,2,FALSE))*IF('15.01'!AZ$4="是",'15.01'!$AY$4,'15.01'!$AY$3)</f>
        <v>0</v>
      </c>
      <c r="P50" s="5">
        <f>(VLOOKUP('15.01'!X50,'15.01'!$AM$4:$AO$55,2,FALSE))*IF('15.01'!BA$4="是",'15.01'!$AY$4,'15.01'!$AY$3)</f>
        <v>0</v>
      </c>
      <c r="Q50" s="4">
        <f>(VLOOKUP('15.01'!Y50,'15.01'!$AM$4:$AO$55,2,FALSE))*IF('15.01'!BB$4="是",'15.01'!$AY$4,'15.01'!$AY$3)</f>
        <v>0</v>
      </c>
      <c r="R50" s="4">
        <f>(VLOOKUP('15.01'!Z50,'15.01'!$AM$4:$AO$55,2,FALSE))*IF('15.01'!BC$4="是",'15.01'!$AY$4,'15.01'!$AY$3)</f>
        <v>0</v>
      </c>
      <c r="S50" s="4">
        <f>(VLOOKUP('15.01'!AA50,'15.01'!$AM$4:$AO$55,2,FALSE))*IF('15.01'!BD$4="是",'15.01'!$AY$4,'15.01'!$AY$3)</f>
        <v>0</v>
      </c>
      <c r="T50" s="4">
        <f>(VLOOKUP('15.01'!AB50,'15.01'!$AM$4:$AO$55,2,FALSE))*IF('15.01'!BE$4="是",'15.01'!$AY$4,'15.01'!$AY$3)</f>
        <v>0</v>
      </c>
      <c r="U50" s="4">
        <f>(VLOOKUP('15.01'!AC50,'15.01'!$AM$4:$AO$55,2,FALSE))*IF('15.01'!BF$4="是",'15.01'!$AY$4,'15.01'!$AY$3)</f>
        <v>0</v>
      </c>
      <c r="V50" s="4">
        <f>(VLOOKUP('15.01'!AD50,'15.01'!$AM$4:$AO$55,2,FALSE))*IF('15.01'!BG$4="是",'15.01'!$AY$4,'15.01'!$AY$3)</f>
        <v>0</v>
      </c>
      <c r="W50" s="5">
        <f>(VLOOKUP('15.01'!AE50,'15.01'!$AM$4:$AO$55,2,FALSE))*IF('15.01'!BH$4="是",'15.01'!$AY$4,'15.01'!$AY$3)</f>
        <v>0</v>
      </c>
      <c r="X50" s="5">
        <f>(VLOOKUP('15.01'!AF50,'15.01'!$AM$4:$AO$55,2,FALSE))*IF('15.01'!BI$4="是",'15.01'!$AY$4,'15.01'!$AY$3)</f>
        <v>0</v>
      </c>
    </row>
    <row r="51" spans="1:24">
      <c r="A51" s="4">
        <f>(VLOOKUP('15.01'!I51,'15.01'!$AM$4:$AO$55,2,FALSE))*IF('15.01'!AK$4="是",'15.01'!$AY$4,'15.01'!$AY$3)</f>
        <v>0</v>
      </c>
      <c r="B51" s="4">
        <f>(VLOOKUP('15.01'!J51,'15.01'!$AM$4:$AO$55,2,FALSE))*IF('15.01'!AL$4="是",'15.01'!$AY$4,'15.01'!$AY$3)</f>
        <v>0</v>
      </c>
      <c r="C51" s="4">
        <f>(VLOOKUP('15.01'!K51,'15.01'!$AM$4:$AO$55,2,FALSE))*IF('15.01'!AM$4="是",'15.01'!$AY$4,'15.01'!$AY$3)</f>
        <v>0</v>
      </c>
      <c r="D51" s="4">
        <f>(VLOOKUP('15.01'!L51,'15.01'!$AM$4:$AO$55,2,FALSE))*IF('15.01'!AN$4="是",'15.01'!$AY$4,'15.01'!$AY$3)</f>
        <v>0</v>
      </c>
      <c r="E51" s="4">
        <f>(VLOOKUP('15.01'!M51,'15.01'!$AM$4:$AO$55,2,FALSE))*IF('15.01'!AO$4="是",'15.01'!$AY$4,'15.01'!$AY$3)</f>
        <v>0</v>
      </c>
      <c r="F51" s="4">
        <f>(VLOOKUP('15.01'!N51,'15.01'!$AM$4:$AO$55,2,FALSE))*IF('15.01'!AQ$4="是",'15.01'!$AY$4,'15.01'!$AY$3)</f>
        <v>0</v>
      </c>
      <c r="G51" s="5">
        <f>(VLOOKUP('15.01'!O51,'15.01'!$AM$4:$AO$55,2,FALSE))*IF('15.01'!AR$4="是",'15.01'!$AY$4,'15.01'!$AY$3)</f>
        <v>0</v>
      </c>
      <c r="H51" s="5">
        <f>(VLOOKUP('15.01'!P51,'15.01'!$AM$4:$AO$55,2,FALSE))*IF('15.01'!AS$4="是",'15.01'!$AY$4,'15.01'!$AY$3)</f>
        <v>0</v>
      </c>
      <c r="I51" s="4">
        <f>(VLOOKUP('15.01'!Q51,'15.01'!$AM$4:$AO$55,2,FALSE))*IF('15.01'!AT$4="是",'15.01'!$AY$4,'15.01'!$AY$3)</f>
        <v>180</v>
      </c>
      <c r="J51" s="4">
        <f>(VLOOKUP('15.01'!R51,'15.01'!$AM$4:$AO$55,2,FALSE))*IF('15.01'!AU$4="是",'15.01'!$AY$4,'15.01'!$AY$3)</f>
        <v>180</v>
      </c>
      <c r="K51" s="4">
        <f>(VLOOKUP('15.01'!S51,'15.01'!$AM$4:$AO$55,2,FALSE))*IF('15.01'!AV$4="是",'15.01'!$AY$4,'15.01'!$AY$3)</f>
        <v>180</v>
      </c>
      <c r="L51" s="4">
        <f>(VLOOKUP('15.01'!T51,'15.01'!$AM$4:$AO$55,2,FALSE))*IF('15.01'!AW$4="是",'15.01'!$AY$4,'15.01'!$AY$3)</f>
        <v>180</v>
      </c>
      <c r="M51" s="4">
        <f>(VLOOKUP('15.01'!U51,'15.01'!$AM$4:$AO$55,2,FALSE))*IF('15.01'!AX$4="是",'15.01'!$AY$4,'15.01'!$AY$3)</f>
        <v>180</v>
      </c>
      <c r="N51" s="4">
        <f>(VLOOKUP('15.01'!V51,'15.01'!$AM$4:$AO$55,2,FALSE))*IF('15.01'!AY$4="是",'15.01'!$AY$4,'15.01'!$AY$3)</f>
        <v>180</v>
      </c>
      <c r="O51" s="5">
        <f>(VLOOKUP('15.01'!W51,'15.01'!$AM$4:$AO$55,2,FALSE))*IF('15.01'!AZ$4="是",'15.01'!$AY$4,'15.01'!$AY$3)</f>
        <v>0</v>
      </c>
      <c r="P51" s="5">
        <f>(VLOOKUP('15.01'!X51,'15.01'!$AM$4:$AO$55,2,FALSE))*IF('15.01'!BA$4="是",'15.01'!$AY$4,'15.01'!$AY$3)</f>
        <v>0</v>
      </c>
      <c r="Q51" s="4">
        <f>(VLOOKUP('15.01'!Y51,'15.01'!$AM$4:$AO$55,2,FALSE))*IF('15.01'!BB$4="是",'15.01'!$AY$4,'15.01'!$AY$3)</f>
        <v>150</v>
      </c>
      <c r="R51" s="4">
        <f>(VLOOKUP('15.01'!Z51,'15.01'!$AM$4:$AO$55,2,FALSE))*IF('15.01'!BC$4="是",'15.01'!$AY$4,'15.01'!$AY$3)</f>
        <v>170</v>
      </c>
      <c r="S51" s="4">
        <f>(VLOOKUP('15.01'!AA51,'15.01'!$AM$4:$AO$55,2,FALSE))*IF('15.01'!BD$4="是",'15.01'!$AY$4,'15.01'!$AY$3)</f>
        <v>170</v>
      </c>
      <c r="T51" s="4">
        <f>(VLOOKUP('15.01'!AB51,'15.01'!$AM$4:$AO$55,2,FALSE))*IF('15.01'!BE$4="是",'15.01'!$AY$4,'15.01'!$AY$3)</f>
        <v>170</v>
      </c>
      <c r="U51" s="4">
        <f>(VLOOKUP('15.01'!AC51,'15.01'!$AM$4:$AO$55,2,FALSE))*IF('15.01'!BF$4="是",'15.01'!$AY$4,'15.01'!$AY$3)</f>
        <v>170</v>
      </c>
      <c r="V51" s="4">
        <f>(VLOOKUP('15.01'!AD51,'15.01'!$AM$4:$AO$55,2,FALSE))*IF('15.01'!BG$4="是",'15.01'!$AY$4,'15.01'!$AY$3)</f>
        <v>170</v>
      </c>
      <c r="W51" s="5">
        <f>(VLOOKUP('15.01'!AE51,'15.01'!$AM$4:$AO$55,2,FALSE))*IF('15.01'!BH$4="是",'15.01'!$AY$4,'15.01'!$AY$3)</f>
        <v>0</v>
      </c>
      <c r="X51" s="5">
        <f>(VLOOKUP('15.01'!AF51,'15.01'!$AM$4:$AO$55,2,FALSE))*IF('15.01'!BI$4="是",'15.01'!$AY$4,'15.01'!$AY$3)</f>
        <v>0</v>
      </c>
    </row>
    <row r="52" spans="1:24">
      <c r="A52" s="4">
        <f>(VLOOKUP('15.01'!I52,'15.01'!$AM$4:$AO$55,2,FALSE))*IF('15.01'!AK$4="是",'15.01'!$AY$4,'15.01'!$AY$3)</f>
        <v>0</v>
      </c>
      <c r="B52" s="4">
        <f>(VLOOKUP('15.01'!J52,'15.01'!$AM$4:$AO$55,2,FALSE))*IF('15.01'!AL$4="是",'15.01'!$AY$4,'15.01'!$AY$3)</f>
        <v>0</v>
      </c>
      <c r="C52" s="4">
        <f>(VLOOKUP('15.01'!K52,'15.01'!$AM$4:$AO$55,2,FALSE))*IF('15.01'!AM$4="是",'15.01'!$AY$4,'15.01'!$AY$3)</f>
        <v>0</v>
      </c>
      <c r="D52" s="4">
        <f>(VLOOKUP('15.01'!L52,'15.01'!$AM$4:$AO$55,2,FALSE))*IF('15.01'!AN$4="是",'15.01'!$AY$4,'15.01'!$AY$3)</f>
        <v>0</v>
      </c>
      <c r="E52" s="4">
        <f>(VLOOKUP('15.01'!M52,'15.01'!$AM$4:$AO$55,2,FALSE))*IF('15.01'!AO$4="是",'15.01'!$AY$4,'15.01'!$AY$3)</f>
        <v>0</v>
      </c>
      <c r="F52" s="4">
        <f>(VLOOKUP('15.01'!N52,'15.01'!$AM$4:$AO$55,2,FALSE))*IF('15.01'!AQ$4="是",'15.01'!$AY$4,'15.01'!$AY$3)</f>
        <v>0</v>
      </c>
      <c r="G52" s="5">
        <f>(VLOOKUP('15.01'!O52,'15.01'!$AM$4:$AO$55,2,FALSE))*IF('15.01'!AR$4="是",'15.01'!$AY$4,'15.01'!$AY$3)</f>
        <v>0</v>
      </c>
      <c r="H52" s="5">
        <f>(VLOOKUP('15.01'!P52,'15.01'!$AM$4:$AO$55,2,FALSE))*IF('15.01'!AS$4="是",'15.01'!$AY$4,'15.01'!$AY$3)</f>
        <v>0</v>
      </c>
      <c r="I52" s="4">
        <f>(VLOOKUP('15.01'!Q52,'15.01'!$AM$4:$AO$55,2,FALSE))*IF('15.01'!AT$4="是",'15.01'!$AY$4,'15.01'!$AY$3)</f>
        <v>180</v>
      </c>
      <c r="J52" s="4">
        <f>(VLOOKUP('15.01'!R52,'15.01'!$AM$4:$AO$55,2,FALSE))*IF('15.01'!AU$4="是",'15.01'!$AY$4,'15.01'!$AY$3)</f>
        <v>50</v>
      </c>
      <c r="K52" s="4">
        <f>(VLOOKUP('15.01'!S52,'15.01'!$AM$4:$AO$55,2,FALSE))*IF('15.01'!AV$4="是",'15.01'!$AY$4,'15.01'!$AY$3)</f>
        <v>180</v>
      </c>
      <c r="L52" s="4">
        <f>(VLOOKUP('15.01'!T52,'15.01'!$AM$4:$AO$55,2,FALSE))*IF('15.01'!AW$4="是",'15.01'!$AY$4,'15.01'!$AY$3)</f>
        <v>180</v>
      </c>
      <c r="M52" s="4">
        <f>(VLOOKUP('15.01'!U52,'15.01'!$AM$4:$AO$55,2,FALSE))*IF('15.01'!AX$4="是",'15.01'!$AY$4,'15.01'!$AY$3)</f>
        <v>180</v>
      </c>
      <c r="N52" s="4">
        <f>(VLOOKUP('15.01'!V52,'15.01'!$AM$4:$AO$55,2,FALSE))*IF('15.01'!AY$4="是",'15.01'!$AY$4,'15.01'!$AY$3)</f>
        <v>180</v>
      </c>
      <c r="O52" s="5">
        <f>(VLOOKUP('15.01'!W52,'15.01'!$AM$4:$AO$55,2,FALSE))*IF('15.01'!AZ$4="是",'15.01'!$AY$4,'15.01'!$AY$3)</f>
        <v>0</v>
      </c>
      <c r="P52" s="5">
        <f>(VLOOKUP('15.01'!X52,'15.01'!$AM$4:$AO$55,2,FALSE))*IF('15.01'!BA$4="是",'15.01'!$AY$4,'15.01'!$AY$3)</f>
        <v>0</v>
      </c>
      <c r="Q52" s="4">
        <f>(VLOOKUP('15.01'!Y52,'15.01'!$AM$4:$AO$55,2,FALSE))*IF('15.01'!BB$4="是",'15.01'!$AY$4,'15.01'!$AY$3)</f>
        <v>170</v>
      </c>
      <c r="R52" s="4">
        <f>(VLOOKUP('15.01'!Z52,'15.01'!$AM$4:$AO$55,2,FALSE))*IF('15.01'!BC$4="是",'15.01'!$AY$4,'15.01'!$AY$3)</f>
        <v>170</v>
      </c>
      <c r="S52" s="4">
        <f>(VLOOKUP('15.01'!AA52,'15.01'!$AM$4:$AO$55,2,FALSE))*IF('15.01'!BD$4="是",'15.01'!$AY$4,'15.01'!$AY$3)</f>
        <v>170</v>
      </c>
      <c r="T52" s="4">
        <f>(VLOOKUP('15.01'!AB52,'15.01'!$AM$4:$AO$55,2,FALSE))*IF('15.01'!BE$4="是",'15.01'!$AY$4,'15.01'!$AY$3)</f>
        <v>170</v>
      </c>
      <c r="U52" s="4">
        <f>(VLOOKUP('15.01'!AC52,'15.01'!$AM$4:$AO$55,2,FALSE))*IF('15.01'!BF$4="是",'15.01'!$AY$4,'15.01'!$AY$3)</f>
        <v>170</v>
      </c>
      <c r="V52" s="4">
        <f>(VLOOKUP('15.01'!AD52,'15.01'!$AM$4:$AO$55,2,FALSE))*IF('15.01'!BG$4="是",'15.01'!$AY$4,'15.01'!$AY$3)</f>
        <v>170</v>
      </c>
      <c r="W52" s="5">
        <f>(VLOOKUP('15.01'!AE52,'15.01'!$AM$4:$AO$55,2,FALSE))*IF('15.01'!BH$4="是",'15.01'!$AY$4,'15.01'!$AY$3)</f>
        <v>0</v>
      </c>
      <c r="X52" s="5">
        <f>(VLOOKUP('15.01'!AF52,'15.01'!$AM$4:$AO$55,2,FALSE))*IF('15.01'!BI$4="是",'15.01'!$AY$4,'15.01'!$AY$3)</f>
        <v>0</v>
      </c>
    </row>
    <row r="53" spans="1:24">
      <c r="A53" s="4">
        <f>(VLOOKUP('15.01'!I53,'15.01'!$AM$4:$AO$55,2,FALSE))*IF('15.01'!AK$4="是",'15.01'!$AY$4,'15.01'!$AY$3)</f>
        <v>0</v>
      </c>
      <c r="B53" s="4">
        <f>(VLOOKUP('15.01'!J53,'15.01'!$AM$4:$AO$55,2,FALSE))*IF('15.01'!AL$4="是",'15.01'!$AY$4,'15.01'!$AY$3)</f>
        <v>0</v>
      </c>
      <c r="C53" s="4">
        <f>(VLOOKUP('15.01'!K53,'15.01'!$AM$4:$AO$55,2,FALSE))*IF('15.01'!AM$4="是",'15.01'!$AY$4,'15.01'!$AY$3)</f>
        <v>0</v>
      </c>
      <c r="D53" s="4">
        <f>(VLOOKUP('15.01'!L53,'15.01'!$AM$4:$AO$55,2,FALSE))*IF('15.01'!AN$4="是",'15.01'!$AY$4,'15.01'!$AY$3)</f>
        <v>0</v>
      </c>
      <c r="E53" s="4">
        <f>(VLOOKUP('15.01'!M53,'15.01'!$AM$4:$AO$55,2,FALSE))*IF('15.01'!AO$4="是",'15.01'!$AY$4,'15.01'!$AY$3)</f>
        <v>0</v>
      </c>
      <c r="F53" s="4">
        <f>(VLOOKUP('15.01'!N53,'15.01'!$AM$4:$AO$55,2,FALSE))*IF('15.01'!AQ$4="是",'15.01'!$AY$4,'15.01'!$AY$3)</f>
        <v>0</v>
      </c>
      <c r="G53" s="5">
        <f>(VLOOKUP('15.01'!O53,'15.01'!$AM$4:$AO$55,2,FALSE))*IF('15.01'!AR$4="是",'15.01'!$AY$4,'15.01'!$AY$3)</f>
        <v>0</v>
      </c>
      <c r="H53" s="5">
        <f>(VLOOKUP('15.01'!P53,'15.01'!$AM$4:$AO$55,2,FALSE))*IF('15.01'!AS$4="是",'15.01'!$AY$4,'15.01'!$AY$3)</f>
        <v>0</v>
      </c>
      <c r="I53" s="4">
        <f>(VLOOKUP('15.01'!Q53,'15.01'!$AM$4:$AO$55,2,FALSE))*IF('15.01'!AT$4="是",'15.01'!$AY$4,'15.01'!$AY$3)</f>
        <v>180</v>
      </c>
      <c r="J53" s="4">
        <f>(VLOOKUP('15.01'!R53,'15.01'!$AM$4:$AO$55,2,FALSE))*IF('15.01'!AU$4="是",'15.01'!$AY$4,'15.01'!$AY$3)</f>
        <v>180</v>
      </c>
      <c r="K53" s="4">
        <f>(VLOOKUP('15.01'!S53,'15.01'!$AM$4:$AO$55,2,FALSE))*IF('15.01'!AV$4="是",'15.01'!$AY$4,'15.01'!$AY$3)</f>
        <v>180</v>
      </c>
      <c r="L53" s="4">
        <f>(VLOOKUP('15.01'!T53,'15.01'!$AM$4:$AO$55,2,FALSE))*IF('15.01'!AW$4="是",'15.01'!$AY$4,'15.01'!$AY$3)</f>
        <v>180</v>
      </c>
      <c r="M53" s="4">
        <f>(VLOOKUP('15.01'!U53,'15.01'!$AM$4:$AO$55,2,FALSE))*IF('15.01'!AX$4="是",'15.01'!$AY$4,'15.01'!$AY$3)</f>
        <v>180</v>
      </c>
      <c r="N53" s="4">
        <f>(VLOOKUP('15.01'!V53,'15.01'!$AM$4:$AO$55,2,FALSE))*IF('15.01'!AY$4="是",'15.01'!$AY$4,'15.01'!$AY$3)</f>
        <v>180</v>
      </c>
      <c r="O53" s="5">
        <f>(VLOOKUP('15.01'!W53,'15.01'!$AM$4:$AO$55,2,FALSE))*IF('15.01'!AZ$4="是",'15.01'!$AY$4,'15.01'!$AY$3)</f>
        <v>0</v>
      </c>
      <c r="P53" s="5">
        <f>(VLOOKUP('15.01'!X53,'15.01'!$AM$4:$AO$55,2,FALSE))*IF('15.01'!BA$4="是",'15.01'!$AY$4,'15.01'!$AY$3)</f>
        <v>0</v>
      </c>
      <c r="Q53" s="4">
        <f>(VLOOKUP('15.01'!Y53,'15.01'!$AM$4:$AO$55,2,FALSE))*IF('15.01'!BB$4="是",'15.01'!$AY$4,'15.01'!$AY$3)</f>
        <v>170</v>
      </c>
      <c r="R53" s="4">
        <f>(VLOOKUP('15.01'!Z53,'15.01'!$AM$4:$AO$55,2,FALSE))*IF('15.01'!BC$4="是",'15.01'!$AY$4,'15.01'!$AY$3)</f>
        <v>50</v>
      </c>
      <c r="S53" s="4">
        <f>(VLOOKUP('15.01'!AA53,'15.01'!$AM$4:$AO$55,2,FALSE))*IF('15.01'!BD$4="是",'15.01'!$AY$4,'15.01'!$AY$3)</f>
        <v>200</v>
      </c>
      <c r="T53" s="4">
        <f>(VLOOKUP('15.01'!AB53,'15.01'!$AM$4:$AO$55,2,FALSE))*IF('15.01'!BE$4="是",'15.01'!$AY$4,'15.01'!$AY$3)</f>
        <v>200</v>
      </c>
      <c r="U53" s="4">
        <f>(VLOOKUP('15.01'!AC53,'15.01'!$AM$4:$AO$55,2,FALSE))*IF('15.01'!BF$4="是",'15.01'!$AY$4,'15.01'!$AY$3)</f>
        <v>200</v>
      </c>
      <c r="V53" s="4">
        <f>(VLOOKUP('15.01'!AD53,'15.01'!$AM$4:$AO$55,2,FALSE))*IF('15.01'!BG$4="是",'15.01'!$AY$4,'15.01'!$AY$3)</f>
        <v>200</v>
      </c>
      <c r="W53" s="5">
        <f>(VLOOKUP('15.01'!AE53,'15.01'!$AM$4:$AO$55,2,FALSE))*IF('15.01'!BH$4="是",'15.01'!$AY$4,'15.01'!$AY$3)</f>
        <v>0</v>
      </c>
      <c r="X53" s="5">
        <f>(VLOOKUP('15.01'!AF53,'15.01'!$AM$4:$AO$55,2,FALSE))*IF('15.01'!BI$4="是",'15.01'!$AY$4,'15.01'!$AY$3)</f>
        <v>0</v>
      </c>
    </row>
    <row r="54" spans="1:24">
      <c r="A54" s="4">
        <f>(VLOOKUP('15.01'!I54,'15.01'!$AM$4:$AO$55,2,FALSE))*IF('15.01'!AK$4="是",'15.01'!$AY$4,'15.01'!$AY$3)</f>
        <v>0</v>
      </c>
      <c r="B54" s="4">
        <f>(VLOOKUP('15.01'!J54,'15.01'!$AM$4:$AO$55,2,FALSE))*IF('15.01'!AL$4="是",'15.01'!$AY$4,'15.01'!$AY$3)</f>
        <v>0</v>
      </c>
      <c r="C54" s="4">
        <f>(VLOOKUP('15.01'!K54,'15.01'!$AM$4:$AO$55,2,FALSE))*IF('15.01'!AM$4="是",'15.01'!$AY$4,'15.01'!$AY$3)</f>
        <v>0</v>
      </c>
      <c r="D54" s="4">
        <f>(VLOOKUP('15.01'!L54,'15.01'!$AM$4:$AO$55,2,FALSE))*IF('15.01'!AN$4="是",'15.01'!$AY$4,'15.01'!$AY$3)</f>
        <v>0</v>
      </c>
      <c r="E54" s="4">
        <f>(VLOOKUP('15.01'!M54,'15.01'!$AM$4:$AO$55,2,FALSE))*IF('15.01'!AO$4="是",'15.01'!$AY$4,'15.01'!$AY$3)</f>
        <v>0</v>
      </c>
      <c r="F54" s="4">
        <f>(VLOOKUP('15.01'!N54,'15.01'!$AM$4:$AO$55,2,FALSE))*IF('15.01'!AQ$4="是",'15.01'!$AY$4,'15.01'!$AY$3)</f>
        <v>0</v>
      </c>
      <c r="G54" s="5">
        <f>(VLOOKUP('15.01'!O54,'15.01'!$AM$4:$AO$55,2,FALSE))*IF('15.01'!AR$4="是",'15.01'!$AY$4,'15.01'!$AY$3)</f>
        <v>0</v>
      </c>
      <c r="H54" s="5">
        <f>(VLOOKUP('15.01'!P54,'15.01'!$AM$4:$AO$55,2,FALSE))*IF('15.01'!AS$4="是",'15.01'!$AY$4,'15.01'!$AY$3)</f>
        <v>0</v>
      </c>
      <c r="I54" s="4">
        <f>(VLOOKUP('15.01'!Q54,'15.01'!$AM$4:$AO$55,2,FALSE))*IF('15.01'!AT$4="是",'15.01'!$AY$4,'15.01'!$AY$3)</f>
        <v>180</v>
      </c>
      <c r="J54" s="4">
        <f>(VLOOKUP('15.01'!R54,'15.01'!$AM$4:$AO$55,2,FALSE))*IF('15.01'!AU$4="是",'15.01'!$AY$4,'15.01'!$AY$3)</f>
        <v>180</v>
      </c>
      <c r="K54" s="4">
        <f>(VLOOKUP('15.01'!S54,'15.01'!$AM$4:$AO$55,2,FALSE))*IF('15.01'!AV$4="是",'15.01'!$AY$4,'15.01'!$AY$3)</f>
        <v>180</v>
      </c>
      <c r="L54" s="4">
        <f>(VLOOKUP('15.01'!T54,'15.01'!$AM$4:$AO$55,2,FALSE))*IF('15.01'!AW$4="是",'15.01'!$AY$4,'15.01'!$AY$3)</f>
        <v>180</v>
      </c>
      <c r="M54" s="4">
        <f>(VLOOKUP('15.01'!U54,'15.01'!$AM$4:$AO$55,2,FALSE))*IF('15.01'!AX$4="是",'15.01'!$AY$4,'15.01'!$AY$3)</f>
        <v>180</v>
      </c>
      <c r="N54" s="4">
        <f>(VLOOKUP('15.01'!V54,'15.01'!$AM$4:$AO$55,2,FALSE))*IF('15.01'!AY$4="是",'15.01'!$AY$4,'15.01'!$AY$3)</f>
        <v>180</v>
      </c>
      <c r="O54" s="5">
        <f>(VLOOKUP('15.01'!W54,'15.01'!$AM$4:$AO$55,2,FALSE))*IF('15.01'!AZ$4="是",'15.01'!$AY$4,'15.01'!$AY$3)</f>
        <v>0</v>
      </c>
      <c r="P54" s="5">
        <f>(VLOOKUP('15.01'!X54,'15.01'!$AM$4:$AO$55,2,FALSE))*IF('15.01'!BA$4="是",'15.01'!$AY$4,'15.01'!$AY$3)</f>
        <v>0</v>
      </c>
      <c r="Q54" s="4">
        <f>(VLOOKUP('15.01'!Y54,'15.01'!$AM$4:$AO$55,2,FALSE))*IF('15.01'!BB$4="是",'15.01'!$AY$4,'15.01'!$AY$3)</f>
        <v>200</v>
      </c>
      <c r="R54" s="4">
        <f>(VLOOKUP('15.01'!Z54,'15.01'!$AM$4:$AO$55,2,FALSE))*IF('15.01'!BC$4="是",'15.01'!$AY$4,'15.01'!$AY$3)</f>
        <v>200</v>
      </c>
      <c r="S54" s="4">
        <f>(VLOOKUP('15.01'!AA54,'15.01'!$AM$4:$AO$55,2,FALSE))*IF('15.01'!BD$4="是",'15.01'!$AY$4,'15.01'!$AY$3)</f>
        <v>200</v>
      </c>
      <c r="T54" s="4">
        <f>(VLOOKUP('15.01'!AB54,'15.01'!$AM$4:$AO$55,2,FALSE))*IF('15.01'!BE$4="是",'15.01'!$AY$4,'15.01'!$AY$3)</f>
        <v>200</v>
      </c>
      <c r="U54" s="4">
        <f>(VLOOKUP('15.01'!AC54,'15.01'!$AM$4:$AO$55,2,FALSE))*IF('15.01'!BF$4="是",'15.01'!$AY$4,'15.01'!$AY$3)</f>
        <v>200</v>
      </c>
      <c r="V54" s="4">
        <f>(VLOOKUP('15.01'!AD54,'15.01'!$AM$4:$AO$55,2,FALSE))*IF('15.01'!BG$4="是",'15.01'!$AY$4,'15.01'!$AY$3)</f>
        <v>200</v>
      </c>
      <c r="W54" s="5">
        <f>(VLOOKUP('15.01'!AE54,'15.01'!$AM$4:$AO$55,2,FALSE))*IF('15.01'!BH$4="是",'15.01'!$AY$4,'15.01'!$AY$3)</f>
        <v>0</v>
      </c>
      <c r="X54" s="5">
        <f>(VLOOKUP('15.01'!AF54,'15.01'!$AM$4:$AO$55,2,FALSE))*IF('15.01'!BI$4="是",'15.01'!$AY$4,'15.01'!$AY$3)</f>
        <v>0</v>
      </c>
    </row>
    <row r="55" spans="1:24">
      <c r="A55" s="4">
        <f>(VLOOKUP('15.01'!I55,'15.01'!$AM$4:$AO$55,2,FALSE))*IF('15.01'!AK$4="是",'15.01'!$AY$4,'15.01'!$AY$3)</f>
        <v>0</v>
      </c>
      <c r="B55" s="4">
        <f>(VLOOKUP('15.01'!J55,'15.01'!$AM$4:$AO$55,2,FALSE))*IF('15.01'!AL$4="是",'15.01'!$AY$4,'15.01'!$AY$3)</f>
        <v>0</v>
      </c>
      <c r="C55" s="4">
        <f>(VLOOKUP('15.01'!K55,'15.01'!$AM$4:$AO$55,2,FALSE))*IF('15.01'!AM$4="是",'15.01'!$AY$4,'15.01'!$AY$3)</f>
        <v>0</v>
      </c>
      <c r="D55" s="4">
        <f>(VLOOKUP('15.01'!L55,'15.01'!$AM$4:$AO$55,2,FALSE))*IF('15.01'!AN$4="是",'15.01'!$AY$4,'15.01'!$AY$3)</f>
        <v>0</v>
      </c>
      <c r="E55" s="4">
        <f>(VLOOKUP('15.01'!M55,'15.01'!$AM$4:$AO$55,2,FALSE))*IF('15.01'!AO$4="是",'15.01'!$AY$4,'15.01'!$AY$3)</f>
        <v>0</v>
      </c>
      <c r="F55" s="4">
        <f>(VLOOKUP('15.01'!N55,'15.01'!$AM$4:$AO$55,2,FALSE))*IF('15.01'!AQ$4="是",'15.01'!$AY$4,'15.01'!$AY$3)</f>
        <v>0</v>
      </c>
      <c r="G55" s="5">
        <f>(VLOOKUP('15.01'!O55,'15.01'!$AM$4:$AO$55,2,FALSE))*IF('15.01'!AR$4="是",'15.01'!$AY$4,'15.01'!$AY$3)</f>
        <v>0</v>
      </c>
      <c r="H55" s="5">
        <f>(VLOOKUP('15.01'!P55,'15.01'!$AM$4:$AO$55,2,FALSE))*IF('15.01'!AS$4="是",'15.01'!$AY$4,'15.01'!$AY$3)</f>
        <v>0</v>
      </c>
      <c r="I55" s="4">
        <f>(VLOOKUP('15.01'!Q55,'15.01'!$AM$4:$AO$55,2,FALSE))*IF('15.01'!AT$4="是",'15.01'!$AY$4,'15.01'!$AY$3)</f>
        <v>180</v>
      </c>
      <c r="J55" s="4">
        <f>(VLOOKUP('15.01'!R55,'15.01'!$AM$4:$AO$55,2,FALSE))*IF('15.01'!AU$4="是",'15.01'!$AY$4,'15.01'!$AY$3)</f>
        <v>180</v>
      </c>
      <c r="K55" s="4">
        <f>(VLOOKUP('15.01'!S55,'15.01'!$AM$4:$AO$55,2,FALSE))*IF('15.01'!AV$4="是",'15.01'!$AY$4,'15.01'!$AY$3)</f>
        <v>180</v>
      </c>
      <c r="L55" s="4">
        <f>(VLOOKUP('15.01'!T55,'15.01'!$AM$4:$AO$55,2,FALSE))*IF('15.01'!AW$4="是",'15.01'!$AY$4,'15.01'!$AY$3)</f>
        <v>180</v>
      </c>
      <c r="M55" s="4">
        <f>(VLOOKUP('15.01'!U55,'15.01'!$AM$4:$AO$55,2,FALSE))*IF('15.01'!AX$4="是",'15.01'!$AY$4,'15.01'!$AY$3)</f>
        <v>180</v>
      </c>
      <c r="N55" s="4">
        <f>(VLOOKUP('15.01'!V55,'15.01'!$AM$4:$AO$55,2,FALSE))*IF('15.01'!AY$4="是",'15.01'!$AY$4,'15.01'!$AY$3)</f>
        <v>180</v>
      </c>
      <c r="O55" s="5">
        <f>(VLOOKUP('15.01'!W55,'15.01'!$AM$4:$AO$55,2,FALSE))*IF('15.01'!AZ$4="是",'15.01'!$AY$4,'15.01'!$AY$3)</f>
        <v>0</v>
      </c>
      <c r="P55" s="5">
        <f>(VLOOKUP('15.01'!X55,'15.01'!$AM$4:$AO$55,2,FALSE))*IF('15.01'!BA$4="是",'15.01'!$AY$4,'15.01'!$AY$3)</f>
        <v>0</v>
      </c>
      <c r="Q55" s="4">
        <f>(VLOOKUP('15.01'!Y55,'15.01'!$AM$4:$AO$55,2,FALSE))*IF('15.01'!BB$4="是",'15.01'!$AY$4,'15.01'!$AY$3)</f>
        <v>200</v>
      </c>
      <c r="R55" s="4">
        <f>(VLOOKUP('15.01'!Z55,'15.01'!$AM$4:$AO$55,2,FALSE))*IF('15.01'!BC$4="是",'15.01'!$AY$4,'15.01'!$AY$3)</f>
        <v>200</v>
      </c>
      <c r="S55" s="4">
        <f>(VLOOKUP('15.01'!AA55,'15.01'!$AM$4:$AO$55,2,FALSE))*IF('15.01'!BD$4="是",'15.01'!$AY$4,'15.01'!$AY$3)</f>
        <v>200</v>
      </c>
      <c r="T55" s="4">
        <f>(VLOOKUP('15.01'!AB55,'15.01'!$AM$4:$AO$55,2,FALSE))*IF('15.01'!BE$4="是",'15.01'!$AY$4,'15.01'!$AY$3)</f>
        <v>200</v>
      </c>
      <c r="U55" s="4">
        <f>(VLOOKUP('15.01'!AC55,'15.01'!$AM$4:$AO$55,2,FALSE))*IF('15.01'!BF$4="是",'15.01'!$AY$4,'15.01'!$AY$3)</f>
        <v>200</v>
      </c>
      <c r="V55" s="4">
        <f>(VLOOKUP('15.01'!AD55,'15.01'!$AM$4:$AO$55,2,FALSE))*IF('15.01'!BG$4="是",'15.01'!$AY$4,'15.01'!$AY$3)</f>
        <v>200</v>
      </c>
      <c r="W55" s="5">
        <f>(VLOOKUP('15.01'!AE55,'15.01'!$AM$4:$AO$55,2,FALSE))*IF('15.01'!BH$4="是",'15.01'!$AY$4,'15.01'!$AY$3)</f>
        <v>0</v>
      </c>
      <c r="X55" s="5">
        <f>(VLOOKUP('15.01'!AF55,'15.01'!$AM$4:$AO$55,2,FALSE))*IF('15.01'!BI$4="是",'15.01'!$AY$4,'15.01'!$AY$3)</f>
        <v>0</v>
      </c>
    </row>
    <row r="56" spans="1:24">
      <c r="A56" s="4">
        <f>(VLOOKUP('15.01'!I56,'15.01'!$AM$4:$AO$55,2,FALSE))*IF('15.01'!AK$4="是",'15.01'!$AY$4,'15.01'!$AY$3)</f>
        <v>0</v>
      </c>
      <c r="B56" s="4">
        <f>(VLOOKUP('15.01'!J56,'15.01'!$AM$4:$AO$55,2,FALSE))*IF('15.01'!AL$4="是",'15.01'!$AY$4,'15.01'!$AY$3)</f>
        <v>0</v>
      </c>
      <c r="C56" s="4">
        <f>(VLOOKUP('15.01'!K56,'15.01'!$AM$4:$AO$55,2,FALSE))*IF('15.01'!AM$4="是",'15.01'!$AY$4,'15.01'!$AY$3)</f>
        <v>0</v>
      </c>
      <c r="D56" s="4">
        <f>(VLOOKUP('15.01'!L56,'15.01'!$AM$4:$AO$55,2,FALSE))*IF('15.01'!AN$4="是",'15.01'!$AY$4,'15.01'!$AY$3)</f>
        <v>0</v>
      </c>
      <c r="E56" s="4">
        <f>(VLOOKUP('15.01'!M56,'15.01'!$AM$4:$AO$55,2,FALSE))*IF('15.01'!AO$4="是",'15.01'!$AY$4,'15.01'!$AY$3)</f>
        <v>0</v>
      </c>
      <c r="F56" s="4">
        <f>(VLOOKUP('15.01'!N56,'15.01'!$AM$4:$AO$55,2,FALSE))*IF('15.01'!AQ$4="是",'15.01'!$AY$4,'15.01'!$AY$3)</f>
        <v>0</v>
      </c>
      <c r="G56" s="5">
        <f>(VLOOKUP('15.01'!O56,'15.01'!$AM$4:$AO$55,2,FALSE))*IF('15.01'!AR$4="是",'15.01'!$AY$4,'15.01'!$AY$3)</f>
        <v>0</v>
      </c>
      <c r="H56" s="5">
        <f>(VLOOKUP('15.01'!P56,'15.01'!$AM$4:$AO$55,2,FALSE))*IF('15.01'!AS$4="是",'15.01'!$AY$4,'15.01'!$AY$3)</f>
        <v>0</v>
      </c>
      <c r="I56" s="4">
        <f>(VLOOKUP('15.01'!Q56,'15.01'!$AM$4:$AO$55,2,FALSE))*IF('15.01'!AT$4="是",'15.01'!$AY$4,'15.01'!$AY$3)</f>
        <v>180</v>
      </c>
      <c r="J56" s="4">
        <f>(VLOOKUP('15.01'!R56,'15.01'!$AM$4:$AO$55,2,FALSE))*IF('15.01'!AU$4="是",'15.01'!$AY$4,'15.01'!$AY$3)</f>
        <v>180</v>
      </c>
      <c r="K56" s="4">
        <f>(VLOOKUP('15.01'!S56,'15.01'!$AM$4:$AO$55,2,FALSE))*IF('15.01'!AV$4="是",'15.01'!$AY$4,'15.01'!$AY$3)</f>
        <v>180</v>
      </c>
      <c r="L56" s="4">
        <f>(VLOOKUP('15.01'!T56,'15.01'!$AM$4:$AO$55,2,FALSE))*IF('15.01'!AW$4="是",'15.01'!$AY$4,'15.01'!$AY$3)</f>
        <v>50</v>
      </c>
      <c r="M56" s="4">
        <f>(VLOOKUP('15.01'!U56,'15.01'!$AM$4:$AO$55,2,FALSE))*IF('15.01'!AX$4="是",'15.01'!$AY$4,'15.01'!$AY$3)</f>
        <v>180</v>
      </c>
      <c r="N56" s="4">
        <f>(VLOOKUP('15.01'!V56,'15.01'!$AM$4:$AO$55,2,FALSE))*IF('15.01'!AY$4="是",'15.01'!$AY$4,'15.01'!$AY$3)</f>
        <v>180</v>
      </c>
      <c r="O56" s="5">
        <f>(VLOOKUP('15.01'!W56,'15.01'!$AM$4:$AO$55,2,FALSE))*IF('15.01'!AZ$4="是",'15.01'!$AY$4,'15.01'!$AY$3)</f>
        <v>0</v>
      </c>
      <c r="P56" s="5">
        <f>(VLOOKUP('15.01'!X56,'15.01'!$AM$4:$AO$55,2,FALSE))*IF('15.01'!BA$4="是",'15.01'!$AY$4,'15.01'!$AY$3)</f>
        <v>0</v>
      </c>
      <c r="Q56" s="4">
        <f>(VLOOKUP('15.01'!Y56,'15.01'!$AM$4:$AO$55,2,FALSE))*IF('15.01'!BB$4="是",'15.01'!$AY$4,'15.01'!$AY$3)</f>
        <v>-200</v>
      </c>
      <c r="R56" s="4">
        <f>(VLOOKUP('15.01'!Z56,'15.01'!$AM$4:$AO$55,2,FALSE))*IF('15.01'!BC$4="是",'15.01'!$AY$4,'15.01'!$AY$3)</f>
        <v>200</v>
      </c>
      <c r="S56" s="4">
        <f>(VLOOKUP('15.01'!AA56,'15.01'!$AM$4:$AO$55,2,FALSE))*IF('15.01'!BD$4="是",'15.01'!$AY$4,'15.01'!$AY$3)</f>
        <v>200</v>
      </c>
      <c r="T56" s="4">
        <f>(VLOOKUP('15.01'!AB56,'15.01'!$AM$4:$AO$55,2,FALSE))*IF('15.01'!BE$4="是",'15.01'!$AY$4,'15.01'!$AY$3)</f>
        <v>200</v>
      </c>
      <c r="U56" s="4">
        <f>(VLOOKUP('15.01'!AC56,'15.01'!$AM$4:$AO$55,2,FALSE))*IF('15.01'!BF$4="是",'15.01'!$AY$4,'15.01'!$AY$3)</f>
        <v>200</v>
      </c>
      <c r="V56" s="4">
        <f>(VLOOKUP('15.01'!AD56,'15.01'!$AM$4:$AO$55,2,FALSE))*IF('15.01'!BG$4="是",'15.01'!$AY$4,'15.01'!$AY$3)</f>
        <v>200</v>
      </c>
      <c r="W56" s="5">
        <f>(VLOOKUP('15.01'!AE56,'15.01'!$AM$4:$AO$55,2,FALSE))*IF('15.01'!BH$4="是",'15.01'!$AY$4,'15.01'!$AY$3)</f>
        <v>0</v>
      </c>
      <c r="X56" s="5">
        <f>(VLOOKUP('15.01'!AF56,'15.01'!$AM$4:$AO$55,2,FALSE))*IF('15.01'!BI$4="是",'15.01'!$AY$4,'15.01'!$AY$3)</f>
        <v>0</v>
      </c>
    </row>
    <row r="57" spans="1:24">
      <c r="A57" s="4">
        <f>(VLOOKUP('15.01'!I57,'15.01'!$AM$4:$AO$55,2,FALSE))*IF('15.01'!AK$4="是",'15.01'!$AY$4,'15.01'!$AY$3)</f>
        <v>0</v>
      </c>
      <c r="B57" s="4">
        <f>(VLOOKUP('15.01'!J57,'15.01'!$AM$4:$AO$55,2,FALSE))*IF('15.01'!AL$4="是",'15.01'!$AY$4,'15.01'!$AY$3)</f>
        <v>0</v>
      </c>
      <c r="C57" s="4">
        <f>(VLOOKUP('15.01'!K57,'15.01'!$AM$4:$AO$55,2,FALSE))*IF('15.01'!AM$4="是",'15.01'!$AY$4,'15.01'!$AY$3)</f>
        <v>0</v>
      </c>
      <c r="D57" s="4">
        <f>(VLOOKUP('15.01'!L57,'15.01'!$AM$4:$AO$55,2,FALSE))*IF('15.01'!AN$4="是",'15.01'!$AY$4,'15.01'!$AY$3)</f>
        <v>0</v>
      </c>
      <c r="E57" s="4">
        <f>(VLOOKUP('15.01'!M57,'15.01'!$AM$4:$AO$55,2,FALSE))*IF('15.01'!AO$4="是",'15.01'!$AY$4,'15.01'!$AY$3)</f>
        <v>0</v>
      </c>
      <c r="F57" s="4">
        <f>(VLOOKUP('15.01'!N57,'15.01'!$AM$4:$AO$55,2,FALSE))*IF('15.01'!AQ$4="是",'15.01'!$AY$4,'15.01'!$AY$3)</f>
        <v>0</v>
      </c>
      <c r="G57" s="5">
        <f>(VLOOKUP('15.01'!O57,'15.01'!$AM$4:$AO$55,2,FALSE))*IF('15.01'!AR$4="是",'15.01'!$AY$4,'15.01'!$AY$3)</f>
        <v>0</v>
      </c>
      <c r="H57" s="5">
        <f>(VLOOKUP('15.01'!P57,'15.01'!$AM$4:$AO$55,2,FALSE))*IF('15.01'!AS$4="是",'15.01'!$AY$4,'15.01'!$AY$3)</f>
        <v>0</v>
      </c>
      <c r="I57" s="4">
        <f>(VLOOKUP('15.01'!Q57,'15.01'!$AM$4:$AO$55,2,FALSE))*IF('15.01'!AT$4="是",'15.01'!$AY$4,'15.01'!$AY$3)</f>
        <v>180</v>
      </c>
      <c r="J57" s="4">
        <f>(VLOOKUP('15.01'!R57,'15.01'!$AM$4:$AO$55,2,FALSE))*IF('15.01'!AU$4="是",'15.01'!$AY$4,'15.01'!$AY$3)</f>
        <v>180</v>
      </c>
      <c r="K57" s="4">
        <f>(VLOOKUP('15.01'!S57,'15.01'!$AM$4:$AO$55,2,FALSE))*IF('15.01'!AV$4="是",'15.01'!$AY$4,'15.01'!$AY$3)</f>
        <v>180</v>
      </c>
      <c r="L57" s="4">
        <f>(VLOOKUP('15.01'!T57,'15.01'!$AM$4:$AO$55,2,FALSE))*IF('15.01'!AW$4="是",'15.01'!$AY$4,'15.01'!$AY$3)</f>
        <v>180</v>
      </c>
      <c r="M57" s="4">
        <f>(VLOOKUP('15.01'!U57,'15.01'!$AM$4:$AO$55,2,FALSE))*IF('15.01'!AX$4="是",'15.01'!$AY$4,'15.01'!$AY$3)</f>
        <v>180</v>
      </c>
      <c r="N57" s="4">
        <f>(VLOOKUP('15.01'!V57,'15.01'!$AM$4:$AO$55,2,FALSE))*IF('15.01'!AY$4="是",'15.01'!$AY$4,'15.01'!$AY$3)</f>
        <v>180</v>
      </c>
      <c r="O57" s="5">
        <f>(VLOOKUP('15.01'!W57,'15.01'!$AM$4:$AO$55,2,FALSE))*IF('15.01'!AZ$4="是",'15.01'!$AY$4,'15.01'!$AY$3)</f>
        <v>0</v>
      </c>
      <c r="P57" s="5">
        <f>(VLOOKUP('15.01'!X57,'15.01'!$AM$4:$AO$55,2,FALSE))*IF('15.01'!BA$4="是",'15.01'!$AY$4,'15.01'!$AY$3)</f>
        <v>0</v>
      </c>
      <c r="Q57" s="4">
        <f>(VLOOKUP('15.01'!Y57,'15.01'!$AM$4:$AO$55,2,FALSE))*IF('15.01'!BB$4="是",'15.01'!$AY$4,'15.01'!$AY$3)</f>
        <v>150</v>
      </c>
      <c r="R57" s="4">
        <f>(VLOOKUP('15.01'!Z57,'15.01'!$AM$4:$AO$55,2,FALSE))*IF('15.01'!BC$4="是",'15.01'!$AY$4,'15.01'!$AY$3)</f>
        <v>200</v>
      </c>
      <c r="S57" s="4">
        <f>(VLOOKUP('15.01'!AA57,'15.01'!$AM$4:$AO$55,2,FALSE))*IF('15.01'!BD$4="是",'15.01'!$AY$4,'15.01'!$AY$3)</f>
        <v>200</v>
      </c>
      <c r="T57" s="4">
        <f>(VLOOKUP('15.01'!AB57,'15.01'!$AM$4:$AO$55,2,FALSE))*IF('15.01'!BE$4="是",'15.01'!$AY$4,'15.01'!$AY$3)</f>
        <v>200</v>
      </c>
      <c r="U57" s="4">
        <f>(VLOOKUP('15.01'!AC57,'15.01'!$AM$4:$AO$55,2,FALSE))*IF('15.01'!BF$4="是",'15.01'!$AY$4,'15.01'!$AY$3)</f>
        <v>200</v>
      </c>
      <c r="V57" s="4">
        <f>(VLOOKUP('15.01'!AD57,'15.01'!$AM$4:$AO$55,2,FALSE))*IF('15.01'!BG$4="是",'15.01'!$AY$4,'15.01'!$AY$3)</f>
        <v>200</v>
      </c>
      <c r="W57" s="5">
        <f>(VLOOKUP('15.01'!AE57,'15.01'!$AM$4:$AO$55,2,FALSE))*IF('15.01'!BH$4="是",'15.01'!$AY$4,'15.01'!$AY$3)</f>
        <v>0</v>
      </c>
      <c r="X57" s="5">
        <f>(VLOOKUP('15.01'!AF57,'15.01'!$AM$4:$AO$55,2,FALSE))*IF('15.01'!BI$4="是",'15.01'!$AY$4,'15.01'!$AY$3)</f>
        <v>0</v>
      </c>
    </row>
    <row r="58" spans="1:24">
      <c r="A58" s="4">
        <f>(VLOOKUP('15.01'!I58,'15.01'!$AM$4:$AO$55,2,FALSE))*IF('15.01'!AK$4="是",'15.01'!$AY$4,'15.01'!$AY$3)</f>
        <v>0</v>
      </c>
      <c r="B58" s="4">
        <f>(VLOOKUP('15.01'!J58,'15.01'!$AM$4:$AO$55,2,FALSE))*IF('15.01'!AL$4="是",'15.01'!$AY$4,'15.01'!$AY$3)</f>
        <v>0</v>
      </c>
      <c r="C58" s="4">
        <f>(VLOOKUP('15.01'!K58,'15.01'!$AM$4:$AO$55,2,FALSE))*IF('15.01'!AM$4="是",'15.01'!$AY$4,'15.01'!$AY$3)</f>
        <v>0</v>
      </c>
      <c r="D58" s="4">
        <f>(VLOOKUP('15.01'!L58,'15.01'!$AM$4:$AO$55,2,FALSE))*IF('15.01'!AN$4="是",'15.01'!$AY$4,'15.01'!$AY$3)</f>
        <v>0</v>
      </c>
      <c r="E58" s="4">
        <f>(VLOOKUP('15.01'!M58,'15.01'!$AM$4:$AO$55,2,FALSE))*IF('15.01'!AO$4="是",'15.01'!$AY$4,'15.01'!$AY$3)</f>
        <v>0</v>
      </c>
      <c r="F58" s="4">
        <f>(VLOOKUP('15.01'!N58,'15.01'!$AM$4:$AO$55,2,FALSE))*IF('15.01'!AQ$4="是",'15.01'!$AY$4,'15.01'!$AY$3)</f>
        <v>0</v>
      </c>
      <c r="G58" s="5">
        <f>(VLOOKUP('15.01'!O58,'15.01'!$AM$4:$AO$55,2,FALSE))*IF('15.01'!AR$4="是",'15.01'!$AY$4,'15.01'!$AY$3)</f>
        <v>0</v>
      </c>
      <c r="H58" s="5">
        <f>(VLOOKUP('15.01'!P58,'15.01'!$AM$4:$AO$55,2,FALSE))*IF('15.01'!AS$4="是",'15.01'!$AY$4,'15.01'!$AY$3)</f>
        <v>0</v>
      </c>
      <c r="I58" s="4">
        <f>(VLOOKUP('15.01'!Q58,'15.01'!$AM$4:$AO$55,2,FALSE))*IF('15.01'!AT$4="是",'15.01'!$AY$4,'15.01'!$AY$3)</f>
        <v>180</v>
      </c>
      <c r="J58" s="4">
        <f>(VLOOKUP('15.01'!R58,'15.01'!$AM$4:$AO$55,2,FALSE))*IF('15.01'!AU$4="是",'15.01'!$AY$4,'15.01'!$AY$3)</f>
        <v>180</v>
      </c>
      <c r="K58" s="4">
        <f>(VLOOKUP('15.01'!S58,'15.01'!$AM$4:$AO$55,2,FALSE))*IF('15.01'!AV$4="是",'15.01'!$AY$4,'15.01'!$AY$3)</f>
        <v>180</v>
      </c>
      <c r="L58" s="4">
        <f>(VLOOKUP('15.01'!T58,'15.01'!$AM$4:$AO$55,2,FALSE))*IF('15.01'!AW$4="是",'15.01'!$AY$4,'15.01'!$AY$3)</f>
        <v>180</v>
      </c>
      <c r="M58" s="4">
        <f>(VLOOKUP('15.01'!U58,'15.01'!$AM$4:$AO$55,2,FALSE))*IF('15.01'!AX$4="是",'15.01'!$AY$4,'15.01'!$AY$3)</f>
        <v>180</v>
      </c>
      <c r="N58" s="4">
        <f>(VLOOKUP('15.01'!V58,'15.01'!$AM$4:$AO$55,2,FALSE))*IF('15.01'!AY$4="是",'15.01'!$AY$4,'15.01'!$AY$3)</f>
        <v>180</v>
      </c>
      <c r="O58" s="5">
        <f>(VLOOKUP('15.01'!W58,'15.01'!$AM$4:$AO$55,2,FALSE))*IF('15.01'!AZ$4="是",'15.01'!$AY$4,'15.01'!$AY$3)</f>
        <v>0</v>
      </c>
      <c r="P58" s="5">
        <f>(VLOOKUP('15.01'!X58,'15.01'!$AM$4:$AO$55,2,FALSE))*IF('15.01'!BA$4="是",'15.01'!$AY$4,'15.01'!$AY$3)</f>
        <v>0</v>
      </c>
      <c r="Q58" s="4">
        <f>(VLOOKUP('15.01'!Y58,'15.01'!$AM$4:$AO$55,2,FALSE))*IF('15.01'!BB$4="是",'15.01'!$AY$4,'15.01'!$AY$3)</f>
        <v>200</v>
      </c>
      <c r="R58" s="4">
        <f>(VLOOKUP('15.01'!Z58,'15.01'!$AM$4:$AO$55,2,FALSE))*IF('15.01'!BC$4="是",'15.01'!$AY$4,'15.01'!$AY$3)</f>
        <v>200</v>
      </c>
      <c r="S58" s="4">
        <f>(VLOOKUP('15.01'!AA58,'15.01'!$AM$4:$AO$55,2,FALSE))*IF('15.01'!BD$4="是",'15.01'!$AY$4,'15.01'!$AY$3)</f>
        <v>200</v>
      </c>
      <c r="T58" s="4">
        <f>(VLOOKUP('15.01'!AB58,'15.01'!$AM$4:$AO$55,2,FALSE))*IF('15.01'!BE$4="是",'15.01'!$AY$4,'15.01'!$AY$3)</f>
        <v>200</v>
      </c>
      <c r="U58" s="4">
        <f>(VLOOKUP('15.01'!AC58,'15.01'!$AM$4:$AO$55,2,FALSE))*IF('15.01'!BF$4="是",'15.01'!$AY$4,'15.01'!$AY$3)</f>
        <v>200</v>
      </c>
      <c r="V58" s="4">
        <f>(VLOOKUP('15.01'!AD58,'15.01'!$AM$4:$AO$55,2,FALSE))*IF('15.01'!BG$4="是",'15.01'!$AY$4,'15.01'!$AY$3)</f>
        <v>200</v>
      </c>
      <c r="W58" s="5">
        <f>(VLOOKUP('15.01'!AE58,'15.01'!$AM$4:$AO$55,2,FALSE))*IF('15.01'!BH$4="是",'15.01'!$AY$4,'15.01'!$AY$3)</f>
        <v>0</v>
      </c>
      <c r="X58" s="5">
        <f>(VLOOKUP('15.01'!AF58,'15.01'!$AM$4:$AO$55,2,FALSE))*IF('15.01'!BI$4="是",'15.01'!$AY$4,'15.01'!$AY$3)</f>
        <v>0</v>
      </c>
    </row>
    <row r="59" spans="1:24">
      <c r="A59" s="4">
        <f>(VLOOKUP('15.01'!I59,'15.01'!$AM$4:$AO$55,2,FALSE))*IF('15.01'!AK$4="是",'15.01'!$AY$4,'15.01'!$AY$3)</f>
        <v>0</v>
      </c>
      <c r="B59" s="4">
        <f>(VLOOKUP('15.01'!J59,'15.01'!$AM$4:$AO$55,2,FALSE))*IF('15.01'!AL$4="是",'15.01'!$AY$4,'15.01'!$AY$3)</f>
        <v>0</v>
      </c>
      <c r="C59" s="4">
        <f>(VLOOKUP('15.01'!K59,'15.01'!$AM$4:$AO$55,2,FALSE))*IF('15.01'!AM$4="是",'15.01'!$AY$4,'15.01'!$AY$3)</f>
        <v>0</v>
      </c>
      <c r="D59" s="4">
        <f>(VLOOKUP('15.01'!L59,'15.01'!$AM$4:$AO$55,2,FALSE))*IF('15.01'!AN$4="是",'15.01'!$AY$4,'15.01'!$AY$3)</f>
        <v>0</v>
      </c>
      <c r="E59" s="4">
        <f>(VLOOKUP('15.01'!M59,'15.01'!$AM$4:$AO$55,2,FALSE))*IF('15.01'!AO$4="是",'15.01'!$AY$4,'15.01'!$AY$3)</f>
        <v>0</v>
      </c>
      <c r="F59" s="4">
        <f>(VLOOKUP('15.01'!N59,'15.01'!$AM$4:$AO$55,2,FALSE))*IF('15.01'!AQ$4="是",'15.01'!$AY$4,'15.01'!$AY$3)</f>
        <v>0</v>
      </c>
      <c r="G59" s="5">
        <f>(VLOOKUP('15.01'!O59,'15.01'!$AM$4:$AO$55,2,FALSE))*IF('15.01'!AR$4="是",'15.01'!$AY$4,'15.01'!$AY$3)</f>
        <v>0</v>
      </c>
      <c r="H59" s="5">
        <f>(VLOOKUP('15.01'!P59,'15.01'!$AM$4:$AO$55,2,FALSE))*IF('15.01'!AS$4="是",'15.01'!$AY$4,'15.01'!$AY$3)</f>
        <v>0</v>
      </c>
      <c r="I59" s="4">
        <f>(VLOOKUP('15.01'!Q59,'15.01'!$AM$4:$AO$55,2,FALSE))*IF('15.01'!AT$4="是",'15.01'!$AY$4,'15.01'!$AY$3)</f>
        <v>180</v>
      </c>
      <c r="J59" s="4">
        <f>(VLOOKUP('15.01'!R59,'15.01'!$AM$4:$AO$55,2,FALSE))*IF('15.01'!AU$4="是",'15.01'!$AY$4,'15.01'!$AY$3)</f>
        <v>180</v>
      </c>
      <c r="K59" s="4">
        <f>(VLOOKUP('15.01'!S59,'15.01'!$AM$4:$AO$55,2,FALSE))*IF('15.01'!AV$4="是",'15.01'!$AY$4,'15.01'!$AY$3)</f>
        <v>180</v>
      </c>
      <c r="L59" s="4">
        <f>(VLOOKUP('15.01'!T59,'15.01'!$AM$4:$AO$55,2,FALSE))*IF('15.01'!AW$4="是",'15.01'!$AY$4,'15.01'!$AY$3)</f>
        <v>180</v>
      </c>
      <c r="M59" s="4">
        <f>(VLOOKUP('15.01'!U59,'15.01'!$AM$4:$AO$55,2,FALSE))*IF('15.01'!AX$4="是",'15.01'!$AY$4,'15.01'!$AY$3)</f>
        <v>180</v>
      </c>
      <c r="N59" s="4">
        <f>(VLOOKUP('15.01'!V59,'15.01'!$AM$4:$AO$55,2,FALSE))*IF('15.01'!AY$4="是",'15.01'!$AY$4,'15.01'!$AY$3)</f>
        <v>180</v>
      </c>
      <c r="O59" s="5">
        <f>(VLOOKUP('15.01'!W59,'15.01'!$AM$4:$AO$55,2,FALSE))*IF('15.01'!AZ$4="是",'15.01'!$AY$4,'15.01'!$AY$3)</f>
        <v>0</v>
      </c>
      <c r="P59" s="5">
        <f>(VLOOKUP('15.01'!X59,'15.01'!$AM$4:$AO$55,2,FALSE))*IF('15.01'!BA$4="是",'15.01'!$AY$4,'15.01'!$AY$3)</f>
        <v>0</v>
      </c>
      <c r="Q59" s="4">
        <f>(VLOOKUP('15.01'!Y59,'15.01'!$AM$4:$AO$55,2,FALSE))*IF('15.01'!BB$4="是",'15.01'!$AY$4,'15.01'!$AY$3)</f>
        <v>200</v>
      </c>
      <c r="R59" s="4">
        <f>(VLOOKUP('15.01'!Z59,'15.01'!$AM$4:$AO$55,2,FALSE))*IF('15.01'!BC$4="是",'15.01'!$AY$4,'15.01'!$AY$3)</f>
        <v>200</v>
      </c>
      <c r="S59" s="4">
        <f>(VLOOKUP('15.01'!AA59,'15.01'!$AM$4:$AO$55,2,FALSE))*IF('15.01'!BD$4="是",'15.01'!$AY$4,'15.01'!$AY$3)</f>
        <v>200</v>
      </c>
      <c r="T59" s="4">
        <f>(VLOOKUP('15.01'!AB59,'15.01'!$AM$4:$AO$55,2,FALSE))*IF('15.01'!BE$4="是",'15.01'!$AY$4,'15.01'!$AY$3)</f>
        <v>200</v>
      </c>
      <c r="U59" s="4">
        <f>(VLOOKUP('15.01'!AC59,'15.01'!$AM$4:$AO$55,2,FALSE))*IF('15.01'!BF$4="是",'15.01'!$AY$4,'15.01'!$AY$3)</f>
        <v>200</v>
      </c>
      <c r="V59" s="4">
        <f>(VLOOKUP('15.01'!AD59,'15.01'!$AM$4:$AO$55,2,FALSE))*IF('15.01'!BG$4="是",'15.01'!$AY$4,'15.01'!$AY$3)</f>
        <v>200</v>
      </c>
      <c r="W59" s="5">
        <f>(VLOOKUP('15.01'!AE59,'15.01'!$AM$4:$AO$55,2,FALSE))*IF('15.01'!BH$4="是",'15.01'!$AY$4,'15.01'!$AY$3)</f>
        <v>0</v>
      </c>
      <c r="X59" s="5">
        <f>(VLOOKUP('15.01'!AF59,'15.01'!$AM$4:$AO$55,2,FALSE))*IF('15.01'!BI$4="是",'15.01'!$AY$4,'15.01'!$AY$3)</f>
        <v>0</v>
      </c>
    </row>
    <row r="60" spans="1:24">
      <c r="A60" s="4">
        <f>(VLOOKUP('15.01'!I60,'15.01'!$AM$4:$AO$55,2,FALSE))*IF('15.01'!AK$4="是",'15.01'!$AY$4,'15.01'!$AY$3)</f>
        <v>0</v>
      </c>
      <c r="B60" s="4">
        <f>(VLOOKUP('15.01'!J60,'15.01'!$AM$4:$AO$55,2,FALSE))*IF('15.01'!AL$4="是",'15.01'!$AY$4,'15.01'!$AY$3)</f>
        <v>0</v>
      </c>
      <c r="C60" s="4">
        <f>(VLOOKUP('15.01'!K60,'15.01'!$AM$4:$AO$55,2,FALSE))*IF('15.01'!AM$4="是",'15.01'!$AY$4,'15.01'!$AY$3)</f>
        <v>0</v>
      </c>
      <c r="D60" s="4">
        <f>(VLOOKUP('15.01'!L60,'15.01'!$AM$4:$AO$55,2,FALSE))*IF('15.01'!AN$4="是",'15.01'!$AY$4,'15.01'!$AY$3)</f>
        <v>0</v>
      </c>
      <c r="E60" s="4">
        <f>(VLOOKUP('15.01'!M60,'15.01'!$AM$4:$AO$55,2,FALSE))*IF('15.01'!AO$4="是",'15.01'!$AY$4,'15.01'!$AY$3)</f>
        <v>0</v>
      </c>
      <c r="F60" s="4">
        <f>(VLOOKUP('15.01'!N60,'15.01'!$AM$4:$AO$55,2,FALSE))*IF('15.01'!AQ$4="是",'15.01'!$AY$4,'15.01'!$AY$3)</f>
        <v>0</v>
      </c>
      <c r="G60" s="5">
        <f>(VLOOKUP('15.01'!O60,'15.01'!$AM$4:$AO$55,2,FALSE))*IF('15.01'!AR$4="是",'15.01'!$AY$4,'15.01'!$AY$3)</f>
        <v>0</v>
      </c>
      <c r="H60" s="5">
        <f>(VLOOKUP('15.01'!P60,'15.01'!$AM$4:$AO$55,2,FALSE))*IF('15.01'!AS$4="是",'15.01'!$AY$4,'15.01'!$AY$3)</f>
        <v>0</v>
      </c>
      <c r="I60" s="4">
        <f>(VLOOKUP('15.01'!Q60,'15.01'!$AM$4:$AO$55,2,FALSE))*IF('15.01'!AT$4="是",'15.01'!$AY$4,'15.01'!$AY$3)</f>
        <v>180</v>
      </c>
      <c r="J60" s="4">
        <f>(VLOOKUP('15.01'!R60,'15.01'!$AM$4:$AO$55,2,FALSE))*IF('15.01'!AU$4="是",'15.01'!$AY$4,'15.01'!$AY$3)</f>
        <v>180</v>
      </c>
      <c r="K60" s="4">
        <f>(VLOOKUP('15.01'!S60,'15.01'!$AM$4:$AO$55,2,FALSE))*IF('15.01'!AV$4="是",'15.01'!$AY$4,'15.01'!$AY$3)</f>
        <v>180</v>
      </c>
      <c r="L60" s="4">
        <f>(VLOOKUP('15.01'!T60,'15.01'!$AM$4:$AO$55,2,FALSE))*IF('15.01'!AW$4="是",'15.01'!$AY$4,'15.01'!$AY$3)</f>
        <v>180</v>
      </c>
      <c r="M60" s="4">
        <f>(VLOOKUP('15.01'!U60,'15.01'!$AM$4:$AO$55,2,FALSE))*IF('15.01'!AX$4="是",'15.01'!$AY$4,'15.01'!$AY$3)</f>
        <v>180</v>
      </c>
      <c r="N60" s="4">
        <f>(VLOOKUP('15.01'!V60,'15.01'!$AM$4:$AO$55,2,FALSE))*IF('15.01'!AY$4="是",'15.01'!$AY$4,'15.01'!$AY$3)</f>
        <v>180</v>
      </c>
      <c r="O60" s="5">
        <f>(VLOOKUP('15.01'!W60,'15.01'!$AM$4:$AO$55,2,FALSE))*IF('15.01'!AZ$4="是",'15.01'!$AY$4,'15.01'!$AY$3)</f>
        <v>0</v>
      </c>
      <c r="P60" s="5">
        <f>(VLOOKUP('15.01'!X60,'15.01'!$AM$4:$AO$55,2,FALSE))*IF('15.01'!BA$4="是",'15.01'!$AY$4,'15.01'!$AY$3)</f>
        <v>0</v>
      </c>
      <c r="Q60" s="4">
        <f>(VLOOKUP('15.01'!Y60,'15.01'!$AM$4:$AO$55,2,FALSE))*IF('15.01'!BB$4="是",'15.01'!$AY$4,'15.01'!$AY$3)</f>
        <v>200</v>
      </c>
      <c r="R60" s="4">
        <f>(VLOOKUP('15.01'!Z60,'15.01'!$AM$4:$AO$55,2,FALSE))*IF('15.01'!BC$4="是",'15.01'!$AY$4,'15.01'!$AY$3)</f>
        <v>200</v>
      </c>
      <c r="S60" s="4">
        <f>(VLOOKUP('15.01'!AA60,'15.01'!$AM$4:$AO$55,2,FALSE))*IF('15.01'!BD$4="是",'15.01'!$AY$4,'15.01'!$AY$3)</f>
        <v>200</v>
      </c>
      <c r="T60" s="4">
        <f>(VLOOKUP('15.01'!AB60,'15.01'!$AM$4:$AO$55,2,FALSE))*IF('15.01'!BE$4="是",'15.01'!$AY$4,'15.01'!$AY$3)</f>
        <v>150</v>
      </c>
      <c r="U60" s="4">
        <f>(VLOOKUP('15.01'!AC60,'15.01'!$AM$4:$AO$55,2,FALSE))*IF('15.01'!BF$4="是",'15.01'!$AY$4,'15.01'!$AY$3)</f>
        <v>170</v>
      </c>
      <c r="V60" s="4">
        <f>(VLOOKUP('15.01'!AD60,'15.01'!$AM$4:$AO$55,2,FALSE))*IF('15.01'!BG$4="是",'15.01'!$AY$4,'15.01'!$AY$3)</f>
        <v>170</v>
      </c>
      <c r="W60" s="5">
        <f>(VLOOKUP('15.01'!AE60,'15.01'!$AM$4:$AO$55,2,FALSE))*IF('15.01'!BH$4="是",'15.01'!$AY$4,'15.01'!$AY$3)</f>
        <v>0</v>
      </c>
      <c r="X60" s="5">
        <f>(VLOOKUP('15.01'!AF60,'15.01'!$AM$4:$AO$55,2,FALSE))*IF('15.01'!BI$4="是",'15.01'!$AY$4,'15.01'!$AY$3)</f>
        <v>0</v>
      </c>
    </row>
    <row r="61" spans="1:24">
      <c r="A61" s="4">
        <f>(VLOOKUP('15.01'!I61,'15.01'!$AM$4:$AO$55,2,FALSE))*IF('15.01'!AK$4="是",'15.01'!$AY$4,'15.01'!$AY$3)</f>
        <v>0</v>
      </c>
      <c r="B61" s="4">
        <f>(VLOOKUP('15.01'!J61,'15.01'!$AM$4:$AO$55,2,FALSE))*IF('15.01'!AL$4="是",'15.01'!$AY$4,'15.01'!$AY$3)</f>
        <v>0</v>
      </c>
      <c r="C61" s="4">
        <f>(VLOOKUP('15.01'!K61,'15.01'!$AM$4:$AO$55,2,FALSE))*IF('15.01'!AM$4="是",'15.01'!$AY$4,'15.01'!$AY$3)</f>
        <v>0</v>
      </c>
      <c r="D61" s="4">
        <f>(VLOOKUP('15.01'!L61,'15.01'!$AM$4:$AO$55,2,FALSE))*IF('15.01'!AN$4="是",'15.01'!$AY$4,'15.01'!$AY$3)</f>
        <v>0</v>
      </c>
      <c r="E61" s="4">
        <f>(VLOOKUP('15.01'!M61,'15.01'!$AM$4:$AO$55,2,FALSE))*IF('15.01'!AO$4="是",'15.01'!$AY$4,'15.01'!$AY$3)</f>
        <v>0</v>
      </c>
      <c r="F61" s="4">
        <f>(VLOOKUP('15.01'!N61,'15.01'!$AM$4:$AO$55,2,FALSE))*IF('15.01'!AQ$4="是",'15.01'!$AY$4,'15.01'!$AY$3)</f>
        <v>0</v>
      </c>
      <c r="G61" s="5">
        <f>(VLOOKUP('15.01'!O61,'15.01'!$AM$4:$AO$55,2,FALSE))*IF('15.01'!AR$4="是",'15.01'!$AY$4,'15.01'!$AY$3)</f>
        <v>0</v>
      </c>
      <c r="H61" s="5">
        <f>(VLOOKUP('15.01'!P61,'15.01'!$AM$4:$AO$55,2,FALSE))*IF('15.01'!AS$4="是",'15.01'!$AY$4,'15.01'!$AY$3)</f>
        <v>0</v>
      </c>
      <c r="I61" s="4">
        <f>(VLOOKUP('15.01'!Q61,'15.01'!$AM$4:$AO$55,2,FALSE))*IF('15.01'!AT$4="是",'15.01'!$AY$4,'15.01'!$AY$3)</f>
        <v>180</v>
      </c>
      <c r="J61" s="4">
        <f>(VLOOKUP('15.01'!R61,'15.01'!$AM$4:$AO$55,2,FALSE))*IF('15.01'!AU$4="是",'15.01'!$AY$4,'15.01'!$AY$3)</f>
        <v>180</v>
      </c>
      <c r="K61" s="4">
        <f>(VLOOKUP('15.01'!S61,'15.01'!$AM$4:$AO$55,2,FALSE))*IF('15.01'!AV$4="是",'15.01'!$AY$4,'15.01'!$AY$3)</f>
        <v>180</v>
      </c>
      <c r="L61" s="4">
        <f>(VLOOKUP('15.01'!T61,'15.01'!$AM$4:$AO$55,2,FALSE))*IF('15.01'!AW$4="是",'15.01'!$AY$4,'15.01'!$AY$3)</f>
        <v>180</v>
      </c>
      <c r="M61" s="4">
        <f>(VLOOKUP('15.01'!U61,'15.01'!$AM$4:$AO$55,2,FALSE))*IF('15.01'!AX$4="是",'15.01'!$AY$4,'15.01'!$AY$3)</f>
        <v>180</v>
      </c>
      <c r="N61" s="4">
        <f>(VLOOKUP('15.01'!V61,'15.01'!$AM$4:$AO$55,2,FALSE))*IF('15.01'!AY$4="是",'15.01'!$AY$4,'15.01'!$AY$3)</f>
        <v>170</v>
      </c>
      <c r="O61" s="5">
        <f>(VLOOKUP('15.01'!W61,'15.01'!$AM$4:$AO$55,2,FALSE))*IF('15.01'!AZ$4="是",'15.01'!$AY$4,'15.01'!$AY$3)</f>
        <v>0</v>
      </c>
      <c r="P61" s="5">
        <f>(VLOOKUP('15.01'!X61,'15.01'!$AM$4:$AO$55,2,FALSE))*IF('15.01'!BA$4="是",'15.01'!$AY$4,'15.01'!$AY$3)</f>
        <v>0</v>
      </c>
      <c r="Q61" s="4">
        <f>(VLOOKUP('15.01'!Y61,'15.01'!$AM$4:$AO$55,2,FALSE))*IF('15.01'!BB$4="是",'15.01'!$AY$4,'15.01'!$AY$3)</f>
        <v>170</v>
      </c>
      <c r="R61" s="4">
        <f>(VLOOKUP('15.01'!Z61,'15.01'!$AM$4:$AO$55,2,FALSE))*IF('15.01'!BC$4="是",'15.01'!$AY$4,'15.01'!$AY$3)</f>
        <v>150</v>
      </c>
      <c r="S61" s="4">
        <f>(VLOOKUP('15.01'!AA61,'15.01'!$AM$4:$AO$55,2,FALSE))*IF('15.01'!BD$4="是",'15.01'!$AY$4,'15.01'!$AY$3)</f>
        <v>200</v>
      </c>
      <c r="T61" s="4">
        <f>(VLOOKUP('15.01'!AB61,'15.01'!$AM$4:$AO$55,2,FALSE))*IF('15.01'!BE$4="是",'15.01'!$AY$4,'15.01'!$AY$3)</f>
        <v>200</v>
      </c>
      <c r="U61" s="4">
        <f>(VLOOKUP('15.01'!AC61,'15.01'!$AM$4:$AO$55,2,FALSE))*IF('15.01'!BF$4="是",'15.01'!$AY$4,'15.01'!$AY$3)</f>
        <v>200</v>
      </c>
      <c r="V61" s="4">
        <f>(VLOOKUP('15.01'!AD61,'15.01'!$AM$4:$AO$55,2,FALSE))*IF('15.01'!BG$4="是",'15.01'!$AY$4,'15.01'!$AY$3)</f>
        <v>200</v>
      </c>
      <c r="W61" s="5">
        <f>(VLOOKUP('15.01'!AE61,'15.01'!$AM$4:$AO$55,2,FALSE))*IF('15.01'!BH$4="是",'15.01'!$AY$4,'15.01'!$AY$3)</f>
        <v>0</v>
      </c>
      <c r="X61" s="5">
        <f>(VLOOKUP('15.01'!AF61,'15.01'!$AM$4:$AO$55,2,FALSE))*IF('15.01'!BI$4="是",'15.01'!$AY$4,'15.01'!$AY$3)</f>
        <v>0</v>
      </c>
    </row>
    <row r="62" spans="1:24">
      <c r="A62" s="4">
        <f>(VLOOKUP('15.01'!I62,'15.01'!$AM$4:$AO$55,2,FALSE))*IF('15.01'!AK$4="是",'15.01'!$AY$4,'15.01'!$AY$3)</f>
        <v>0</v>
      </c>
      <c r="B62" s="4">
        <f>(VLOOKUP('15.01'!J62,'15.01'!$AM$4:$AO$55,2,FALSE))*IF('15.01'!AL$4="是",'15.01'!$AY$4,'15.01'!$AY$3)</f>
        <v>0</v>
      </c>
      <c r="C62" s="4">
        <f>(VLOOKUP('15.01'!K62,'15.01'!$AM$4:$AO$55,2,FALSE))*IF('15.01'!AM$4="是",'15.01'!$AY$4,'15.01'!$AY$3)</f>
        <v>0</v>
      </c>
      <c r="D62" s="4">
        <f>(VLOOKUP('15.01'!L62,'15.01'!$AM$4:$AO$55,2,FALSE))*IF('15.01'!AN$4="是",'15.01'!$AY$4,'15.01'!$AY$3)</f>
        <v>0</v>
      </c>
      <c r="E62" s="4">
        <f>(VLOOKUP('15.01'!M62,'15.01'!$AM$4:$AO$55,2,FALSE))*IF('15.01'!AO$4="是",'15.01'!$AY$4,'15.01'!$AY$3)</f>
        <v>0</v>
      </c>
      <c r="F62" s="4">
        <f>(VLOOKUP('15.01'!N62,'15.01'!$AM$4:$AO$55,2,FALSE))*IF('15.01'!AQ$4="是",'15.01'!$AY$4,'15.01'!$AY$3)</f>
        <v>0</v>
      </c>
      <c r="G62" s="5">
        <f>(VLOOKUP('15.01'!O62,'15.01'!$AM$4:$AO$55,2,FALSE))*IF('15.01'!AR$4="是",'15.01'!$AY$4,'15.01'!$AY$3)</f>
        <v>0</v>
      </c>
      <c r="H62" s="5">
        <f>(VLOOKUP('15.01'!P62,'15.01'!$AM$4:$AO$55,2,FALSE))*IF('15.01'!AS$4="是",'15.01'!$AY$4,'15.01'!$AY$3)</f>
        <v>0</v>
      </c>
      <c r="I62" s="4">
        <f>(VLOOKUP('15.01'!Q62,'15.01'!$AM$4:$AO$55,2,FALSE))*IF('15.01'!AT$4="是",'15.01'!$AY$4,'15.01'!$AY$3)</f>
        <v>170</v>
      </c>
      <c r="J62" s="4">
        <f>(VLOOKUP('15.01'!R62,'15.01'!$AM$4:$AO$55,2,FALSE))*IF('15.01'!AU$4="是",'15.01'!$AY$4,'15.01'!$AY$3)</f>
        <v>170</v>
      </c>
      <c r="K62" s="4">
        <f>(VLOOKUP('15.01'!S62,'15.01'!$AM$4:$AO$55,2,FALSE))*IF('15.01'!AV$4="是",'15.01'!$AY$4,'15.01'!$AY$3)</f>
        <v>170</v>
      </c>
      <c r="L62" s="4">
        <f>(VLOOKUP('15.01'!T62,'15.01'!$AM$4:$AO$55,2,FALSE))*IF('15.01'!AW$4="是",'15.01'!$AY$4,'15.01'!$AY$3)</f>
        <v>170</v>
      </c>
      <c r="M62" s="4">
        <f>(VLOOKUP('15.01'!U62,'15.01'!$AM$4:$AO$55,2,FALSE))*IF('15.01'!AX$4="是",'15.01'!$AY$4,'15.01'!$AY$3)</f>
        <v>170</v>
      </c>
      <c r="N62" s="4">
        <f>(VLOOKUP('15.01'!V62,'15.01'!$AM$4:$AO$55,2,FALSE))*IF('15.01'!AY$4="是",'15.01'!$AY$4,'15.01'!$AY$3)</f>
        <v>170</v>
      </c>
      <c r="O62" s="5">
        <f>(VLOOKUP('15.01'!W62,'15.01'!$AM$4:$AO$55,2,FALSE))*IF('15.01'!AZ$4="是",'15.01'!$AY$4,'15.01'!$AY$3)</f>
        <v>0</v>
      </c>
      <c r="P62" s="5">
        <f>(VLOOKUP('15.01'!X62,'15.01'!$AM$4:$AO$55,2,FALSE))*IF('15.01'!BA$4="是",'15.01'!$AY$4,'15.01'!$AY$3)</f>
        <v>0</v>
      </c>
      <c r="Q62" s="4">
        <f>(VLOOKUP('15.01'!Y62,'15.01'!$AM$4:$AO$55,2,FALSE))*IF('15.01'!BB$4="是",'15.01'!$AY$4,'15.01'!$AY$3)</f>
        <v>200</v>
      </c>
      <c r="R62" s="4">
        <f>(VLOOKUP('15.01'!Z62,'15.01'!$AM$4:$AO$55,2,FALSE))*IF('15.01'!BC$4="是",'15.01'!$AY$4,'15.01'!$AY$3)</f>
        <v>200</v>
      </c>
      <c r="S62" s="4">
        <f>(VLOOKUP('15.01'!AA62,'15.01'!$AM$4:$AO$55,2,FALSE))*IF('15.01'!BD$4="是",'15.01'!$AY$4,'15.01'!$AY$3)</f>
        <v>200</v>
      </c>
      <c r="T62" s="4">
        <f>(VLOOKUP('15.01'!AB62,'15.01'!$AM$4:$AO$55,2,FALSE))*IF('15.01'!BE$4="是",'15.01'!$AY$4,'15.01'!$AY$3)</f>
        <v>200</v>
      </c>
      <c r="U62" s="4">
        <f>(VLOOKUP('15.01'!AC62,'15.01'!$AM$4:$AO$55,2,FALSE))*IF('15.01'!BF$4="是",'15.01'!$AY$4,'15.01'!$AY$3)</f>
        <v>200</v>
      </c>
      <c r="V62" s="4">
        <f>(VLOOKUP('15.01'!AD62,'15.01'!$AM$4:$AO$55,2,FALSE))*IF('15.01'!BG$4="是",'15.01'!$AY$4,'15.01'!$AY$3)</f>
        <v>200</v>
      </c>
      <c r="W62" s="5">
        <f>(VLOOKUP('15.01'!AE62,'15.01'!$AM$4:$AO$55,2,FALSE))*IF('15.01'!BH$4="是",'15.01'!$AY$4,'15.01'!$AY$3)</f>
        <v>0</v>
      </c>
      <c r="X62" s="5">
        <f>(VLOOKUP('15.01'!AF62,'15.01'!$AM$4:$AO$55,2,FALSE))*IF('15.01'!BI$4="是",'15.01'!$AY$4,'15.01'!$AY$3)</f>
        <v>0</v>
      </c>
    </row>
    <row r="63" spans="1:24">
      <c r="A63" s="4">
        <f>(VLOOKUP('15.01'!I63,'15.01'!$AM$4:$AO$55,2,FALSE))*IF('15.01'!AK$4="是",'15.01'!$AY$4,'15.01'!$AY$3)</f>
        <v>0</v>
      </c>
      <c r="B63" s="4">
        <f>(VLOOKUP('15.01'!J63,'15.01'!$AM$4:$AO$55,2,FALSE))*IF('15.01'!AL$4="是",'15.01'!$AY$4,'15.01'!$AY$3)</f>
        <v>0</v>
      </c>
      <c r="C63" s="4">
        <f>(VLOOKUP('15.01'!K63,'15.01'!$AM$4:$AO$55,2,FALSE))*IF('15.01'!AM$4="是",'15.01'!$AY$4,'15.01'!$AY$3)</f>
        <v>0</v>
      </c>
      <c r="D63" s="4">
        <f>(VLOOKUP('15.01'!L63,'15.01'!$AM$4:$AO$55,2,FALSE))*IF('15.01'!AN$4="是",'15.01'!$AY$4,'15.01'!$AY$3)</f>
        <v>0</v>
      </c>
      <c r="E63" s="4">
        <f>(VLOOKUP('15.01'!M63,'15.01'!$AM$4:$AO$55,2,FALSE))*IF('15.01'!AO$4="是",'15.01'!$AY$4,'15.01'!$AY$3)</f>
        <v>0</v>
      </c>
      <c r="F63" s="4">
        <f>(VLOOKUP('15.01'!N63,'15.01'!$AM$4:$AO$55,2,FALSE))*IF('15.01'!AQ$4="是",'15.01'!$AY$4,'15.01'!$AY$3)</f>
        <v>0</v>
      </c>
      <c r="G63" s="5">
        <f>(VLOOKUP('15.01'!O63,'15.01'!$AM$4:$AO$55,2,FALSE))*IF('15.01'!AR$4="是",'15.01'!$AY$4,'15.01'!$AY$3)</f>
        <v>0</v>
      </c>
      <c r="H63" s="5">
        <f>(VLOOKUP('15.01'!P63,'15.01'!$AM$4:$AO$55,2,FALSE))*IF('15.01'!AS$4="是",'15.01'!$AY$4,'15.01'!$AY$3)</f>
        <v>0</v>
      </c>
      <c r="I63" s="4">
        <f>(VLOOKUP('15.01'!Q63,'15.01'!$AM$4:$AO$55,2,FALSE))*IF('15.01'!AT$4="是",'15.01'!$AY$4,'15.01'!$AY$3)</f>
        <v>170</v>
      </c>
      <c r="J63" s="4">
        <f>(VLOOKUP('15.01'!R63,'15.01'!$AM$4:$AO$55,2,FALSE))*IF('15.01'!AU$4="是",'15.01'!$AY$4,'15.01'!$AY$3)</f>
        <v>170</v>
      </c>
      <c r="K63" s="4">
        <f>(VLOOKUP('15.01'!S63,'15.01'!$AM$4:$AO$55,2,FALSE))*IF('15.01'!AV$4="是",'15.01'!$AY$4,'15.01'!$AY$3)</f>
        <v>170</v>
      </c>
      <c r="L63" s="4">
        <f>(VLOOKUP('15.01'!T63,'15.01'!$AM$4:$AO$55,2,FALSE))*IF('15.01'!AW$4="是",'15.01'!$AY$4,'15.01'!$AY$3)</f>
        <v>170</v>
      </c>
      <c r="M63" s="4">
        <f>(VLOOKUP('15.01'!U63,'15.01'!$AM$4:$AO$55,2,FALSE))*IF('15.01'!AX$4="是",'15.01'!$AY$4,'15.01'!$AY$3)</f>
        <v>170</v>
      </c>
      <c r="N63" s="4">
        <f>(VLOOKUP('15.01'!V63,'15.01'!$AM$4:$AO$55,2,FALSE))*IF('15.01'!AY$4="是",'15.01'!$AY$4,'15.01'!$AY$3)</f>
        <v>170</v>
      </c>
      <c r="O63" s="5">
        <f>(VLOOKUP('15.01'!W63,'15.01'!$AM$4:$AO$55,2,FALSE))*IF('15.01'!AZ$4="是",'15.01'!$AY$4,'15.01'!$AY$3)</f>
        <v>250</v>
      </c>
      <c r="P63" s="5">
        <f>(VLOOKUP('15.01'!X63,'15.01'!$AM$4:$AO$55,2,FALSE))*IF('15.01'!BA$4="是",'15.01'!$AY$4,'15.01'!$AY$3)</f>
        <v>0</v>
      </c>
      <c r="Q63" s="4">
        <f>(VLOOKUP('15.01'!Y63,'15.01'!$AM$4:$AO$55,2,FALSE))*IF('15.01'!BB$4="是",'15.01'!$AY$4,'15.01'!$AY$3)</f>
        <v>200</v>
      </c>
      <c r="R63" s="4">
        <f>(VLOOKUP('15.01'!Z63,'15.01'!$AM$4:$AO$55,2,FALSE))*IF('15.01'!BC$4="是",'15.01'!$AY$4,'15.01'!$AY$3)</f>
        <v>200</v>
      </c>
      <c r="S63" s="4">
        <f>(VLOOKUP('15.01'!AA63,'15.01'!$AM$4:$AO$55,2,FALSE))*IF('15.01'!BD$4="是",'15.01'!$AY$4,'15.01'!$AY$3)</f>
        <v>200</v>
      </c>
      <c r="T63" s="4">
        <f>(VLOOKUP('15.01'!AB63,'15.01'!$AM$4:$AO$55,2,FALSE))*IF('15.01'!BE$4="是",'15.01'!$AY$4,'15.01'!$AY$3)</f>
        <v>200</v>
      </c>
      <c r="U63" s="4">
        <f>(VLOOKUP('15.01'!AC63,'15.01'!$AM$4:$AO$55,2,FALSE))*IF('15.01'!BF$4="是",'15.01'!$AY$4,'15.01'!$AY$3)</f>
        <v>200</v>
      </c>
      <c r="V63" s="4">
        <f>(VLOOKUP('15.01'!AD63,'15.01'!$AM$4:$AO$55,2,FALSE))*IF('15.01'!BG$4="是",'15.01'!$AY$4,'15.01'!$AY$3)</f>
        <v>200</v>
      </c>
      <c r="W63" s="5">
        <f>(VLOOKUP('15.01'!AE63,'15.01'!$AM$4:$AO$55,2,FALSE))*IF('15.01'!BH$4="是",'15.01'!$AY$4,'15.01'!$AY$3)</f>
        <v>0</v>
      </c>
      <c r="X63" s="5">
        <f>(VLOOKUP('15.01'!AF63,'15.01'!$AM$4:$AO$55,2,FALSE))*IF('15.01'!BI$4="是",'15.01'!$AY$4,'15.01'!$AY$3)</f>
        <v>0</v>
      </c>
    </row>
    <row r="64" spans="1:24">
      <c r="A64" s="4">
        <f>(VLOOKUP('15.01'!I64,'15.01'!$AM$4:$AO$55,2,FALSE))*IF('15.01'!AK$4="是",'15.01'!$AY$4,'15.01'!$AY$3)</f>
        <v>0</v>
      </c>
      <c r="B64" s="4">
        <f>(VLOOKUP('15.01'!J64,'15.01'!$AM$4:$AO$55,2,FALSE))*IF('15.01'!AL$4="是",'15.01'!$AY$4,'15.01'!$AY$3)</f>
        <v>0</v>
      </c>
      <c r="C64" s="4">
        <f>(VLOOKUP('15.01'!K64,'15.01'!$AM$4:$AO$55,2,FALSE))*IF('15.01'!AM$4="是",'15.01'!$AY$4,'15.01'!$AY$3)</f>
        <v>0</v>
      </c>
      <c r="D64" s="4">
        <f>(VLOOKUP('15.01'!L64,'15.01'!$AM$4:$AO$55,2,FALSE))*IF('15.01'!AN$4="是",'15.01'!$AY$4,'15.01'!$AY$3)</f>
        <v>0</v>
      </c>
      <c r="E64" s="4">
        <f>(VLOOKUP('15.01'!M64,'15.01'!$AM$4:$AO$55,2,FALSE))*IF('15.01'!AO$4="是",'15.01'!$AY$4,'15.01'!$AY$3)</f>
        <v>0</v>
      </c>
      <c r="F64" s="4">
        <f>(VLOOKUP('15.01'!N64,'15.01'!$AM$4:$AO$55,2,FALSE))*IF('15.01'!AQ$4="是",'15.01'!$AY$4,'15.01'!$AY$3)</f>
        <v>0</v>
      </c>
      <c r="G64" s="5">
        <f>(VLOOKUP('15.01'!O64,'15.01'!$AM$4:$AO$55,2,FALSE))*IF('15.01'!AR$4="是",'15.01'!$AY$4,'15.01'!$AY$3)</f>
        <v>0</v>
      </c>
      <c r="H64" s="5">
        <f>(VLOOKUP('15.01'!P64,'15.01'!$AM$4:$AO$55,2,FALSE))*IF('15.01'!AS$4="是",'15.01'!$AY$4,'15.01'!$AY$3)</f>
        <v>0</v>
      </c>
      <c r="I64" s="4">
        <f>(VLOOKUP('15.01'!Q64,'15.01'!$AM$4:$AO$55,2,FALSE))*IF('15.01'!AT$4="是",'15.01'!$AY$4,'15.01'!$AY$3)</f>
        <v>190</v>
      </c>
      <c r="J64" s="4">
        <f>(VLOOKUP('15.01'!R64,'15.01'!$AM$4:$AO$55,2,FALSE))*IF('15.01'!AU$4="是",'15.01'!$AY$4,'15.01'!$AY$3)</f>
        <v>190</v>
      </c>
      <c r="K64" s="4">
        <f>(VLOOKUP('15.01'!S64,'15.01'!$AM$4:$AO$55,2,FALSE))*IF('15.01'!AV$4="是",'15.01'!$AY$4,'15.01'!$AY$3)</f>
        <v>190</v>
      </c>
      <c r="L64" s="4">
        <f>(VLOOKUP('15.01'!T64,'15.01'!$AM$4:$AO$55,2,FALSE))*IF('15.01'!AW$4="是",'15.01'!$AY$4,'15.01'!$AY$3)</f>
        <v>190</v>
      </c>
      <c r="M64" s="4">
        <f>(VLOOKUP('15.01'!U64,'15.01'!$AM$4:$AO$55,2,FALSE))*IF('15.01'!AX$4="是",'15.01'!$AY$4,'15.01'!$AY$3)</f>
        <v>190</v>
      </c>
      <c r="N64" s="4">
        <f>(VLOOKUP('15.01'!V64,'15.01'!$AM$4:$AO$55,2,FALSE))*IF('15.01'!AY$4="是",'15.01'!$AY$4,'15.01'!$AY$3)</f>
        <v>190</v>
      </c>
      <c r="O64" s="5">
        <f>(VLOOKUP('15.01'!W64,'15.01'!$AM$4:$AO$55,2,FALSE))*IF('15.01'!AZ$4="是",'15.01'!$AY$4,'15.01'!$AY$3)</f>
        <v>0</v>
      </c>
      <c r="P64" s="5">
        <f>(VLOOKUP('15.01'!X64,'15.01'!$AM$4:$AO$55,2,FALSE))*IF('15.01'!BA$4="是",'15.01'!$AY$4,'15.01'!$AY$3)</f>
        <v>0</v>
      </c>
      <c r="Q64" s="4">
        <f>(VLOOKUP('15.01'!Y64,'15.01'!$AM$4:$AO$55,2,FALSE))*IF('15.01'!BB$4="是",'15.01'!$AY$4,'15.01'!$AY$3)</f>
        <v>200</v>
      </c>
      <c r="R64" s="4">
        <f>(VLOOKUP('15.01'!Z64,'15.01'!$AM$4:$AO$55,2,FALSE))*IF('15.01'!BC$4="是",'15.01'!$AY$4,'15.01'!$AY$3)</f>
        <v>200</v>
      </c>
      <c r="S64" s="4">
        <f>(VLOOKUP('15.01'!AA64,'15.01'!$AM$4:$AO$55,2,FALSE))*IF('15.01'!BD$4="是",'15.01'!$AY$4,'15.01'!$AY$3)</f>
        <v>200</v>
      </c>
      <c r="T64" s="4">
        <f>(VLOOKUP('15.01'!AB64,'15.01'!$AM$4:$AO$55,2,FALSE))*IF('15.01'!BE$4="是",'15.01'!$AY$4,'15.01'!$AY$3)</f>
        <v>200</v>
      </c>
      <c r="U64" s="4">
        <f>(VLOOKUP('15.01'!AC64,'15.01'!$AM$4:$AO$55,2,FALSE))*IF('15.01'!BF$4="是",'15.01'!$AY$4,'15.01'!$AY$3)</f>
        <v>200</v>
      </c>
      <c r="V64" s="4">
        <f>(VLOOKUP('15.01'!AD64,'15.01'!$AM$4:$AO$55,2,FALSE))*IF('15.01'!BG$4="是",'15.01'!$AY$4,'15.01'!$AY$3)</f>
        <v>200</v>
      </c>
      <c r="W64" s="5">
        <f>(VLOOKUP('15.01'!AE64,'15.01'!$AM$4:$AO$55,2,FALSE))*IF('15.01'!BH$4="是",'15.01'!$AY$4,'15.01'!$AY$3)</f>
        <v>0</v>
      </c>
      <c r="X64" s="5">
        <f>(VLOOKUP('15.01'!AF64,'15.01'!$AM$4:$AO$55,2,FALSE))*IF('15.01'!BI$4="是",'15.01'!$AY$4,'15.01'!$AY$3)</f>
        <v>0</v>
      </c>
    </row>
    <row r="65" spans="1:24">
      <c r="A65" s="4">
        <f>(VLOOKUP('15.01'!I65,'15.01'!$AM$4:$AO$55,2,FALSE))*IF('15.01'!AK$4="是",'15.01'!$AY$4,'15.01'!$AY$3)</f>
        <v>0</v>
      </c>
      <c r="B65" s="4">
        <f>(VLOOKUP('15.01'!J65,'15.01'!$AM$4:$AO$55,2,FALSE))*IF('15.01'!AL$4="是",'15.01'!$AY$4,'15.01'!$AY$3)</f>
        <v>0</v>
      </c>
      <c r="C65" s="4">
        <f>(VLOOKUP('15.01'!K65,'15.01'!$AM$4:$AO$55,2,FALSE))*IF('15.01'!AM$4="是",'15.01'!$AY$4,'15.01'!$AY$3)</f>
        <v>0</v>
      </c>
      <c r="D65" s="4">
        <f>(VLOOKUP('15.01'!L65,'15.01'!$AM$4:$AO$55,2,FALSE))*IF('15.01'!AN$4="是",'15.01'!$AY$4,'15.01'!$AY$3)</f>
        <v>0</v>
      </c>
      <c r="E65" s="4">
        <f>(VLOOKUP('15.01'!M65,'15.01'!$AM$4:$AO$55,2,FALSE))*IF('15.01'!AO$4="是",'15.01'!$AY$4,'15.01'!$AY$3)</f>
        <v>0</v>
      </c>
      <c r="F65" s="4">
        <f>(VLOOKUP('15.01'!N65,'15.01'!$AM$4:$AO$55,2,FALSE))*IF('15.01'!AQ$4="是",'15.01'!$AY$4,'15.01'!$AY$3)</f>
        <v>0</v>
      </c>
      <c r="G65" s="5">
        <f>(VLOOKUP('15.01'!O65,'15.01'!$AM$4:$AO$55,2,FALSE))*IF('15.01'!AR$4="是",'15.01'!$AY$4,'15.01'!$AY$3)</f>
        <v>0</v>
      </c>
      <c r="H65" s="5">
        <f>(VLOOKUP('15.01'!P65,'15.01'!$AM$4:$AO$55,2,FALSE))*IF('15.01'!AS$4="是",'15.01'!$AY$4,'15.01'!$AY$3)</f>
        <v>0</v>
      </c>
      <c r="I65" s="4">
        <f>(VLOOKUP('15.01'!Q65,'15.01'!$AM$4:$AO$55,2,FALSE))*IF('15.01'!AT$4="是",'15.01'!$AY$4,'15.01'!$AY$3)</f>
        <v>190</v>
      </c>
      <c r="J65" s="4">
        <f>(VLOOKUP('15.01'!R65,'15.01'!$AM$4:$AO$55,2,FALSE))*IF('15.01'!AU$4="是",'15.01'!$AY$4,'15.01'!$AY$3)</f>
        <v>190</v>
      </c>
      <c r="K65" s="4">
        <f>(VLOOKUP('15.01'!S65,'15.01'!$AM$4:$AO$55,2,FALSE))*IF('15.01'!AV$4="是",'15.01'!$AY$4,'15.01'!$AY$3)</f>
        <v>190</v>
      </c>
      <c r="L65" s="4">
        <f>(VLOOKUP('15.01'!T65,'15.01'!$AM$4:$AO$55,2,FALSE))*IF('15.01'!AW$4="是",'15.01'!$AY$4,'15.01'!$AY$3)</f>
        <v>190</v>
      </c>
      <c r="M65" s="4">
        <f>(VLOOKUP('15.01'!U65,'15.01'!$AM$4:$AO$55,2,FALSE))*IF('15.01'!AX$4="是",'15.01'!$AY$4,'15.01'!$AY$3)</f>
        <v>190</v>
      </c>
      <c r="N65" s="4">
        <f>(VLOOKUP('15.01'!V65,'15.01'!$AM$4:$AO$55,2,FALSE))*IF('15.01'!AY$4="是",'15.01'!$AY$4,'15.01'!$AY$3)</f>
        <v>190</v>
      </c>
      <c r="O65" s="5">
        <f>(VLOOKUP('15.01'!W65,'15.01'!$AM$4:$AO$55,2,FALSE))*IF('15.01'!AZ$4="是",'15.01'!$AY$4,'15.01'!$AY$3)</f>
        <v>0</v>
      </c>
      <c r="P65" s="5">
        <f>(VLOOKUP('15.01'!X65,'15.01'!$AM$4:$AO$55,2,FALSE))*IF('15.01'!BA$4="是",'15.01'!$AY$4,'15.01'!$AY$3)</f>
        <v>0</v>
      </c>
      <c r="Q65" s="4">
        <f>(VLOOKUP('15.01'!Y65,'15.01'!$AM$4:$AO$55,2,FALSE))*IF('15.01'!BB$4="是",'15.01'!$AY$4,'15.01'!$AY$3)</f>
        <v>250</v>
      </c>
      <c r="R65" s="4">
        <f>(VLOOKUP('15.01'!Z65,'15.01'!$AM$4:$AO$55,2,FALSE))*IF('15.01'!BC$4="是",'15.01'!$AY$4,'15.01'!$AY$3)</f>
        <v>200</v>
      </c>
      <c r="S65" s="4">
        <f>(VLOOKUP('15.01'!AA65,'15.01'!$AM$4:$AO$55,2,FALSE))*IF('15.01'!BD$4="是",'15.01'!$AY$4,'15.01'!$AY$3)</f>
        <v>200</v>
      </c>
      <c r="T65" s="4">
        <f>(VLOOKUP('15.01'!AB65,'15.01'!$AM$4:$AO$55,2,FALSE))*IF('15.01'!BE$4="是",'15.01'!$AY$4,'15.01'!$AY$3)</f>
        <v>200</v>
      </c>
      <c r="U65" s="4">
        <f>(VLOOKUP('15.01'!AC65,'15.01'!$AM$4:$AO$55,2,FALSE))*IF('15.01'!BF$4="是",'15.01'!$AY$4,'15.01'!$AY$3)</f>
        <v>200</v>
      </c>
      <c r="V65" s="4">
        <f>(VLOOKUP('15.01'!AD65,'15.01'!$AM$4:$AO$55,2,FALSE))*IF('15.01'!BG$4="是",'15.01'!$AY$4,'15.01'!$AY$3)</f>
        <v>200</v>
      </c>
      <c r="W65" s="5">
        <f>(VLOOKUP('15.01'!AE65,'15.01'!$AM$4:$AO$55,2,FALSE))*IF('15.01'!BH$4="是",'15.01'!$AY$4,'15.01'!$AY$3)</f>
        <v>0</v>
      </c>
      <c r="X65" s="5">
        <f>(VLOOKUP('15.01'!AF65,'15.01'!$AM$4:$AO$55,2,FALSE))*IF('15.01'!BI$4="是",'15.01'!$AY$4,'15.01'!$AY$3)</f>
        <v>0</v>
      </c>
    </row>
    <row r="66" spans="1:24">
      <c r="A66" s="4">
        <f>(VLOOKUP('15.01'!I66,'15.01'!$AM$4:$AO$55,2,FALSE))*IF('15.01'!AK$4="是",'15.01'!$AY$4,'15.01'!$AY$3)</f>
        <v>0</v>
      </c>
      <c r="B66" s="4">
        <f>(VLOOKUP('15.01'!J66,'15.01'!$AM$4:$AO$55,2,FALSE))*IF('15.01'!AL$4="是",'15.01'!$AY$4,'15.01'!$AY$3)</f>
        <v>0</v>
      </c>
      <c r="C66" s="4">
        <f>(VLOOKUP('15.01'!K66,'15.01'!$AM$4:$AO$55,2,FALSE))*IF('15.01'!AM$4="是",'15.01'!$AY$4,'15.01'!$AY$3)</f>
        <v>0</v>
      </c>
      <c r="D66" s="4">
        <f>(VLOOKUP('15.01'!L66,'15.01'!$AM$4:$AO$55,2,FALSE))*IF('15.01'!AN$4="是",'15.01'!$AY$4,'15.01'!$AY$3)</f>
        <v>0</v>
      </c>
      <c r="E66" s="4">
        <f>(VLOOKUP('15.01'!M66,'15.01'!$AM$4:$AO$55,2,FALSE))*IF('15.01'!AO$4="是",'15.01'!$AY$4,'15.01'!$AY$3)</f>
        <v>0</v>
      </c>
      <c r="F66" s="4">
        <f>(VLOOKUP('15.01'!N66,'15.01'!$AM$4:$AO$55,2,FALSE))*IF('15.01'!AQ$4="是",'15.01'!$AY$4,'15.01'!$AY$3)</f>
        <v>0</v>
      </c>
      <c r="G66" s="5">
        <f>(VLOOKUP('15.01'!O66,'15.01'!$AM$4:$AO$55,2,FALSE))*IF('15.01'!AR$4="是",'15.01'!$AY$4,'15.01'!$AY$3)</f>
        <v>0</v>
      </c>
      <c r="H66" s="5">
        <f>(VLOOKUP('15.01'!P66,'15.01'!$AM$4:$AO$55,2,FALSE))*IF('15.01'!AS$4="是",'15.01'!$AY$4,'15.01'!$AY$3)</f>
        <v>0</v>
      </c>
      <c r="I66" s="4">
        <f>(VLOOKUP('15.01'!Q66,'15.01'!$AM$4:$AO$55,2,FALSE))*IF('15.01'!AT$4="是",'15.01'!$AY$4,'15.01'!$AY$3)</f>
        <v>190</v>
      </c>
      <c r="J66" s="4">
        <f>(VLOOKUP('15.01'!R66,'15.01'!$AM$4:$AO$55,2,FALSE))*IF('15.01'!AU$4="是",'15.01'!$AY$4,'15.01'!$AY$3)</f>
        <v>190</v>
      </c>
      <c r="K66" s="4">
        <f>(VLOOKUP('15.01'!S66,'15.01'!$AM$4:$AO$55,2,FALSE))*IF('15.01'!AV$4="是",'15.01'!$AY$4,'15.01'!$AY$3)</f>
        <v>190</v>
      </c>
      <c r="L66" s="4">
        <f>(VLOOKUP('15.01'!T66,'15.01'!$AM$4:$AO$55,2,FALSE))*IF('15.01'!AW$4="是",'15.01'!$AY$4,'15.01'!$AY$3)</f>
        <v>190</v>
      </c>
      <c r="M66" s="4">
        <f>(VLOOKUP('15.01'!U66,'15.01'!$AM$4:$AO$55,2,FALSE))*IF('15.01'!AX$4="是",'15.01'!$AY$4,'15.01'!$AY$3)</f>
        <v>-200</v>
      </c>
      <c r="N66" s="4">
        <f>(VLOOKUP('15.01'!V66,'15.01'!$AM$4:$AO$55,2,FALSE))*IF('15.01'!AY$4="是",'15.01'!$AY$4,'15.01'!$AY$3)</f>
        <v>190</v>
      </c>
      <c r="O66" s="5">
        <f>(VLOOKUP('15.01'!W66,'15.01'!$AM$4:$AO$55,2,FALSE))*IF('15.01'!AZ$4="是",'15.01'!$AY$4,'15.01'!$AY$3)</f>
        <v>190</v>
      </c>
      <c r="P66" s="5">
        <f>(VLOOKUP('15.01'!X66,'15.01'!$AM$4:$AO$55,2,FALSE))*IF('15.01'!BA$4="是",'15.01'!$AY$4,'15.01'!$AY$3)</f>
        <v>0</v>
      </c>
      <c r="Q66" s="4">
        <f>(VLOOKUP('15.01'!Y66,'15.01'!$AM$4:$AO$55,2,FALSE))*IF('15.01'!BB$4="是",'15.01'!$AY$4,'15.01'!$AY$3)</f>
        <v>200</v>
      </c>
      <c r="R66" s="4">
        <f>(VLOOKUP('15.01'!Z66,'15.01'!$AM$4:$AO$55,2,FALSE))*IF('15.01'!BC$4="是",'15.01'!$AY$4,'15.01'!$AY$3)</f>
        <v>200</v>
      </c>
      <c r="S66" s="4">
        <f>(VLOOKUP('15.01'!AA66,'15.01'!$AM$4:$AO$55,2,FALSE))*IF('15.01'!BD$4="是",'15.01'!$AY$4,'15.01'!$AY$3)</f>
        <v>200</v>
      </c>
      <c r="T66" s="4">
        <f>(VLOOKUP('15.01'!AB66,'15.01'!$AM$4:$AO$55,2,FALSE))*IF('15.01'!BE$4="是",'15.01'!$AY$4,'15.01'!$AY$3)</f>
        <v>200</v>
      </c>
      <c r="U66" s="4">
        <f>(VLOOKUP('15.01'!AC66,'15.01'!$AM$4:$AO$55,2,FALSE))*IF('15.01'!BF$4="是",'15.01'!$AY$4,'15.01'!$AY$3)</f>
        <v>200</v>
      </c>
      <c r="V66" s="4">
        <f>(VLOOKUP('15.01'!AD66,'15.01'!$AM$4:$AO$55,2,FALSE))*IF('15.01'!BG$4="是",'15.01'!$AY$4,'15.01'!$AY$3)</f>
        <v>200</v>
      </c>
      <c r="W66" s="5">
        <f>(VLOOKUP('15.01'!AE66,'15.01'!$AM$4:$AO$55,2,FALSE))*IF('15.01'!BH$4="是",'15.01'!$AY$4,'15.01'!$AY$3)</f>
        <v>0</v>
      </c>
      <c r="X66" s="5">
        <f>(VLOOKUP('15.01'!AF66,'15.01'!$AM$4:$AO$55,2,FALSE))*IF('15.01'!BI$4="是",'15.01'!$AY$4,'15.01'!$AY$3)</f>
        <v>0</v>
      </c>
    </row>
    <row r="67" spans="1:24">
      <c r="A67" s="4">
        <f>(VLOOKUP('15.01'!I67,'15.01'!$AM$4:$AO$55,2,FALSE))*IF('15.01'!AK$4="是",'15.01'!$AY$4,'15.01'!$AY$3)</f>
        <v>0</v>
      </c>
      <c r="B67" s="4">
        <f>(VLOOKUP('15.01'!J67,'15.01'!$AM$4:$AO$55,2,FALSE))*IF('15.01'!AL$4="是",'15.01'!$AY$4,'15.01'!$AY$3)</f>
        <v>0</v>
      </c>
      <c r="C67" s="4">
        <f>(VLOOKUP('15.01'!K67,'15.01'!$AM$4:$AO$55,2,FALSE))*IF('15.01'!AM$4="是",'15.01'!$AY$4,'15.01'!$AY$3)</f>
        <v>0</v>
      </c>
      <c r="D67" s="4">
        <f>(VLOOKUP('15.01'!L67,'15.01'!$AM$4:$AO$55,2,FALSE))*IF('15.01'!AN$4="是",'15.01'!$AY$4,'15.01'!$AY$3)</f>
        <v>0</v>
      </c>
      <c r="E67" s="4">
        <f>(VLOOKUP('15.01'!M67,'15.01'!$AM$4:$AO$55,2,FALSE))*IF('15.01'!AO$4="是",'15.01'!$AY$4,'15.01'!$AY$3)</f>
        <v>0</v>
      </c>
      <c r="F67" s="4">
        <f>(VLOOKUP('15.01'!N67,'15.01'!$AM$4:$AO$55,2,FALSE))*IF('15.01'!AQ$4="是",'15.01'!$AY$4,'15.01'!$AY$3)</f>
        <v>0</v>
      </c>
      <c r="G67" s="5">
        <f>(VLOOKUP('15.01'!O67,'15.01'!$AM$4:$AO$55,2,FALSE))*IF('15.01'!AR$4="是",'15.01'!$AY$4,'15.01'!$AY$3)</f>
        <v>0</v>
      </c>
      <c r="H67" s="5">
        <f>(VLOOKUP('15.01'!P67,'15.01'!$AM$4:$AO$55,2,FALSE))*IF('15.01'!AS$4="是",'15.01'!$AY$4,'15.01'!$AY$3)</f>
        <v>0</v>
      </c>
      <c r="I67" s="4">
        <f>(VLOOKUP('15.01'!Q67,'15.01'!$AM$4:$AO$55,2,FALSE))*IF('15.01'!AT$4="是",'15.01'!$AY$4,'15.01'!$AY$3)</f>
        <v>190</v>
      </c>
      <c r="J67" s="4">
        <f>(VLOOKUP('15.01'!R67,'15.01'!$AM$4:$AO$55,2,FALSE))*IF('15.01'!AU$4="是",'15.01'!$AY$4,'15.01'!$AY$3)</f>
        <v>190</v>
      </c>
      <c r="K67" s="4">
        <f>(VLOOKUP('15.01'!S67,'15.01'!$AM$4:$AO$55,2,FALSE))*IF('15.01'!AV$4="是",'15.01'!$AY$4,'15.01'!$AY$3)</f>
        <v>190</v>
      </c>
      <c r="L67" s="4">
        <f>(VLOOKUP('15.01'!T67,'15.01'!$AM$4:$AO$55,2,FALSE))*IF('15.01'!AW$4="是",'15.01'!$AY$4,'15.01'!$AY$3)</f>
        <v>190</v>
      </c>
      <c r="M67" s="4">
        <f>(VLOOKUP('15.01'!U67,'15.01'!$AM$4:$AO$55,2,FALSE))*IF('15.01'!AX$4="是",'15.01'!$AY$4,'15.01'!$AY$3)</f>
        <v>190</v>
      </c>
      <c r="N67" s="4">
        <f>(VLOOKUP('15.01'!V67,'15.01'!$AM$4:$AO$55,2,FALSE))*IF('15.01'!AY$4="是",'15.01'!$AY$4,'15.01'!$AY$3)</f>
        <v>190</v>
      </c>
      <c r="O67" s="5">
        <f>(VLOOKUP('15.01'!W67,'15.01'!$AM$4:$AO$55,2,FALSE))*IF('15.01'!AZ$4="是",'15.01'!$AY$4,'15.01'!$AY$3)</f>
        <v>0</v>
      </c>
      <c r="P67" s="5">
        <f>(VLOOKUP('15.01'!X67,'15.01'!$AM$4:$AO$55,2,FALSE))*IF('15.01'!BA$4="是",'15.01'!$AY$4,'15.01'!$AY$3)</f>
        <v>0</v>
      </c>
      <c r="Q67" s="4">
        <f>(VLOOKUP('15.01'!Y67,'15.01'!$AM$4:$AO$55,2,FALSE))*IF('15.01'!BB$4="是",'15.01'!$AY$4,'15.01'!$AY$3)</f>
        <v>200</v>
      </c>
      <c r="R67" s="4">
        <f>(VLOOKUP('15.01'!Z67,'15.01'!$AM$4:$AO$55,2,FALSE))*IF('15.01'!BC$4="是",'15.01'!$AY$4,'15.01'!$AY$3)</f>
        <v>200</v>
      </c>
      <c r="S67" s="4">
        <f>(VLOOKUP('15.01'!AA67,'15.01'!$AM$4:$AO$55,2,FALSE))*IF('15.01'!BD$4="是",'15.01'!$AY$4,'15.01'!$AY$3)</f>
        <v>200</v>
      </c>
      <c r="T67" s="4">
        <f>(VLOOKUP('15.01'!AB67,'15.01'!$AM$4:$AO$55,2,FALSE))*IF('15.01'!BE$4="是",'15.01'!$AY$4,'15.01'!$AY$3)</f>
        <v>200</v>
      </c>
      <c r="U67" s="4">
        <f>(VLOOKUP('15.01'!AC67,'15.01'!$AM$4:$AO$55,2,FALSE))*IF('15.01'!BF$4="是",'15.01'!$AY$4,'15.01'!$AY$3)</f>
        <v>180</v>
      </c>
      <c r="V67" s="4">
        <f>(VLOOKUP('15.01'!AD67,'15.01'!$AM$4:$AO$55,2,FALSE))*IF('15.01'!BG$4="是",'15.01'!$AY$4,'15.01'!$AY$3)</f>
        <v>180</v>
      </c>
      <c r="W67" s="5">
        <f>(VLOOKUP('15.01'!AE67,'15.01'!$AM$4:$AO$55,2,FALSE))*IF('15.01'!BH$4="是",'15.01'!$AY$4,'15.01'!$AY$3)</f>
        <v>0</v>
      </c>
      <c r="X67" s="5">
        <f>(VLOOKUP('15.01'!AF67,'15.01'!$AM$4:$AO$55,2,FALSE))*IF('15.01'!BI$4="是",'15.01'!$AY$4,'15.01'!$AY$3)</f>
        <v>0</v>
      </c>
    </row>
    <row r="68" spans="1:24">
      <c r="A68" s="4">
        <f>(VLOOKUP('15.01'!I68,'15.01'!$AM$4:$AO$55,2,FALSE))*IF('15.01'!AK$4="是",'15.01'!$AY$4,'15.01'!$AY$3)</f>
        <v>0</v>
      </c>
      <c r="B68" s="4">
        <f>(VLOOKUP('15.01'!J68,'15.01'!$AM$4:$AO$55,2,FALSE))*IF('15.01'!AL$4="是",'15.01'!$AY$4,'15.01'!$AY$3)</f>
        <v>0</v>
      </c>
      <c r="C68" s="4">
        <f>(VLOOKUP('15.01'!K68,'15.01'!$AM$4:$AO$55,2,FALSE))*IF('15.01'!AM$4="是",'15.01'!$AY$4,'15.01'!$AY$3)</f>
        <v>0</v>
      </c>
      <c r="D68" s="4">
        <f>(VLOOKUP('15.01'!L68,'15.01'!$AM$4:$AO$55,2,FALSE))*IF('15.01'!AN$4="是",'15.01'!$AY$4,'15.01'!$AY$3)</f>
        <v>0</v>
      </c>
      <c r="E68" s="4">
        <f>(VLOOKUP('15.01'!M68,'15.01'!$AM$4:$AO$55,2,FALSE))*IF('15.01'!AO$4="是",'15.01'!$AY$4,'15.01'!$AY$3)</f>
        <v>0</v>
      </c>
      <c r="F68" s="4">
        <f>(VLOOKUP('15.01'!N68,'15.01'!$AM$4:$AO$55,2,FALSE))*IF('15.01'!AQ$4="是",'15.01'!$AY$4,'15.01'!$AY$3)</f>
        <v>0</v>
      </c>
      <c r="G68" s="5">
        <f>(VLOOKUP('15.01'!O68,'15.01'!$AM$4:$AO$55,2,FALSE))*IF('15.01'!AR$4="是",'15.01'!$AY$4,'15.01'!$AY$3)</f>
        <v>0</v>
      </c>
      <c r="H68" s="5">
        <f>(VLOOKUP('15.01'!P68,'15.01'!$AM$4:$AO$55,2,FALSE))*IF('15.01'!AS$4="是",'15.01'!$AY$4,'15.01'!$AY$3)</f>
        <v>0</v>
      </c>
      <c r="I68" s="4">
        <f>(VLOOKUP('15.01'!Q68,'15.01'!$AM$4:$AO$55,2,FALSE))*IF('15.01'!AT$4="是",'15.01'!$AY$4,'15.01'!$AY$3)</f>
        <v>190</v>
      </c>
      <c r="J68" s="4">
        <f>(VLOOKUP('15.01'!R68,'15.01'!$AM$4:$AO$55,2,FALSE))*IF('15.01'!AU$4="是",'15.01'!$AY$4,'15.01'!$AY$3)</f>
        <v>-200</v>
      </c>
      <c r="K68" s="4">
        <f>(VLOOKUP('15.01'!S68,'15.01'!$AM$4:$AO$55,2,FALSE))*IF('15.01'!AV$4="是",'15.01'!$AY$4,'15.01'!$AY$3)</f>
        <v>190</v>
      </c>
      <c r="L68" s="4">
        <f>(VLOOKUP('15.01'!T68,'15.01'!$AM$4:$AO$55,2,FALSE))*IF('15.01'!AW$4="是",'15.01'!$AY$4,'15.01'!$AY$3)</f>
        <v>190</v>
      </c>
      <c r="M68" s="4">
        <f>(VLOOKUP('15.01'!U68,'15.01'!$AM$4:$AO$55,2,FALSE))*IF('15.01'!AX$4="是",'15.01'!$AY$4,'15.01'!$AY$3)</f>
        <v>190</v>
      </c>
      <c r="N68" s="4">
        <f>(VLOOKUP('15.01'!V68,'15.01'!$AM$4:$AO$55,2,FALSE))*IF('15.01'!AY$4="是",'15.01'!$AY$4,'15.01'!$AY$3)</f>
        <v>190</v>
      </c>
      <c r="O68" s="5">
        <f>(VLOOKUP('15.01'!W68,'15.01'!$AM$4:$AO$55,2,FALSE))*IF('15.01'!AZ$4="是",'15.01'!$AY$4,'15.01'!$AY$3)</f>
        <v>0</v>
      </c>
      <c r="P68" s="5">
        <f>(VLOOKUP('15.01'!X68,'15.01'!$AM$4:$AO$55,2,FALSE))*IF('15.01'!BA$4="是",'15.01'!$AY$4,'15.01'!$AY$3)</f>
        <v>0</v>
      </c>
      <c r="Q68" s="4">
        <f>(VLOOKUP('15.01'!Y68,'15.01'!$AM$4:$AO$55,2,FALSE))*IF('15.01'!BB$4="是",'15.01'!$AY$4,'15.01'!$AY$3)</f>
        <v>180</v>
      </c>
      <c r="R68" s="4">
        <f>(VLOOKUP('15.01'!Z68,'15.01'!$AM$4:$AO$55,2,FALSE))*IF('15.01'!BC$4="是",'15.01'!$AY$4,'15.01'!$AY$3)</f>
        <v>180</v>
      </c>
      <c r="S68" s="4">
        <f>(VLOOKUP('15.01'!AA68,'15.01'!$AM$4:$AO$55,2,FALSE))*IF('15.01'!BD$4="是",'15.01'!$AY$4,'15.01'!$AY$3)</f>
        <v>180</v>
      </c>
      <c r="T68" s="4">
        <f>(VLOOKUP('15.01'!AB68,'15.01'!$AM$4:$AO$55,2,FALSE))*IF('15.01'!BE$4="是",'15.01'!$AY$4,'15.01'!$AY$3)</f>
        <v>180</v>
      </c>
      <c r="U68" s="4">
        <f>(VLOOKUP('15.01'!AC68,'15.01'!$AM$4:$AO$55,2,FALSE))*IF('15.01'!BF$4="是",'15.01'!$AY$4,'15.01'!$AY$3)</f>
        <v>180</v>
      </c>
      <c r="V68" s="4">
        <f>(VLOOKUP('15.01'!AD68,'15.01'!$AM$4:$AO$55,2,FALSE))*IF('15.01'!BG$4="是",'15.01'!$AY$4,'15.01'!$AY$3)</f>
        <v>180</v>
      </c>
      <c r="W68" s="5">
        <f>(VLOOKUP('15.01'!AE68,'15.01'!$AM$4:$AO$55,2,FALSE))*IF('15.01'!BH$4="是",'15.01'!$AY$4,'15.01'!$AY$3)</f>
        <v>0</v>
      </c>
      <c r="X68" s="5">
        <f>(VLOOKUP('15.01'!AF68,'15.01'!$AM$4:$AO$55,2,FALSE))*IF('15.01'!BI$4="是",'15.01'!$AY$4,'15.01'!$AY$3)</f>
        <v>0</v>
      </c>
    </row>
    <row r="69" spans="1:24">
      <c r="A69" s="4">
        <f>(VLOOKUP('15.01'!I69,'15.01'!$AM$4:$AO$55,2,FALSE))*IF('15.01'!AK$4="是",'15.01'!$AY$4,'15.01'!$AY$3)</f>
        <v>0</v>
      </c>
      <c r="B69" s="4">
        <f>(VLOOKUP('15.01'!J69,'15.01'!$AM$4:$AO$55,2,FALSE))*IF('15.01'!AL$4="是",'15.01'!$AY$4,'15.01'!$AY$3)</f>
        <v>0</v>
      </c>
      <c r="C69" s="4">
        <f>(VLOOKUP('15.01'!K69,'15.01'!$AM$4:$AO$55,2,FALSE))*IF('15.01'!AM$4="是",'15.01'!$AY$4,'15.01'!$AY$3)</f>
        <v>0</v>
      </c>
      <c r="D69" s="4">
        <f>(VLOOKUP('15.01'!L69,'15.01'!$AM$4:$AO$55,2,FALSE))*IF('15.01'!AN$4="是",'15.01'!$AY$4,'15.01'!$AY$3)</f>
        <v>0</v>
      </c>
      <c r="E69" s="4">
        <f>(VLOOKUP('15.01'!M69,'15.01'!$AM$4:$AO$55,2,FALSE))*IF('15.01'!AO$4="是",'15.01'!$AY$4,'15.01'!$AY$3)</f>
        <v>0</v>
      </c>
      <c r="F69" s="4">
        <f>(VLOOKUP('15.01'!N69,'15.01'!$AM$4:$AO$55,2,FALSE))*IF('15.01'!AQ$4="是",'15.01'!$AY$4,'15.01'!$AY$3)</f>
        <v>0</v>
      </c>
      <c r="G69" s="5">
        <f>(VLOOKUP('15.01'!O69,'15.01'!$AM$4:$AO$55,2,FALSE))*IF('15.01'!AR$4="是",'15.01'!$AY$4,'15.01'!$AY$3)</f>
        <v>0</v>
      </c>
      <c r="H69" s="5">
        <f>(VLOOKUP('15.01'!P69,'15.01'!$AM$4:$AO$55,2,FALSE))*IF('15.01'!AS$4="是",'15.01'!$AY$4,'15.01'!$AY$3)</f>
        <v>0</v>
      </c>
      <c r="I69" s="4">
        <f>(VLOOKUP('15.01'!Q69,'15.01'!$AM$4:$AO$55,2,FALSE))*IF('15.01'!AT$4="是",'15.01'!$AY$4,'15.01'!$AY$3)</f>
        <v>190</v>
      </c>
      <c r="J69" s="4">
        <f>(VLOOKUP('15.01'!R69,'15.01'!$AM$4:$AO$55,2,FALSE))*IF('15.01'!AU$4="是",'15.01'!$AY$4,'15.01'!$AY$3)</f>
        <v>190</v>
      </c>
      <c r="K69" s="4">
        <f>(VLOOKUP('15.01'!S69,'15.01'!$AM$4:$AO$55,2,FALSE))*IF('15.01'!AV$4="是",'15.01'!$AY$4,'15.01'!$AY$3)</f>
        <v>190</v>
      </c>
      <c r="L69" s="4">
        <f>(VLOOKUP('15.01'!T69,'15.01'!$AM$4:$AO$55,2,FALSE))*IF('15.01'!AW$4="是",'15.01'!$AY$4,'15.01'!$AY$3)</f>
        <v>190</v>
      </c>
      <c r="M69" s="4">
        <f>(VLOOKUP('15.01'!U69,'15.01'!$AM$4:$AO$55,2,FALSE))*IF('15.01'!AX$4="是",'15.01'!$AY$4,'15.01'!$AY$3)</f>
        <v>190</v>
      </c>
      <c r="N69" s="4">
        <f>(VLOOKUP('15.01'!V69,'15.01'!$AM$4:$AO$55,2,FALSE))*IF('15.01'!AY$4="是",'15.01'!$AY$4,'15.01'!$AY$3)</f>
        <v>190</v>
      </c>
      <c r="O69" s="5">
        <f>(VLOOKUP('15.01'!W69,'15.01'!$AM$4:$AO$55,2,FALSE))*IF('15.01'!AZ$4="是",'15.01'!$AY$4,'15.01'!$AY$3)</f>
        <v>0</v>
      </c>
      <c r="P69" s="5">
        <f>(VLOOKUP('15.01'!X69,'15.01'!$AM$4:$AO$55,2,FALSE))*IF('15.01'!BA$4="是",'15.01'!$AY$4,'15.01'!$AY$3)</f>
        <v>0</v>
      </c>
      <c r="Q69" s="4">
        <f>(VLOOKUP('15.01'!Y69,'15.01'!$AM$4:$AO$55,2,FALSE))*IF('15.01'!BB$4="是",'15.01'!$AY$4,'15.01'!$AY$3)</f>
        <v>180</v>
      </c>
      <c r="R69" s="4">
        <f>(VLOOKUP('15.01'!Z69,'15.01'!$AM$4:$AO$55,2,FALSE))*IF('15.01'!BC$4="是",'15.01'!$AY$4,'15.01'!$AY$3)</f>
        <v>170</v>
      </c>
      <c r="S69" s="4">
        <f>(VLOOKUP('15.01'!AA69,'15.01'!$AM$4:$AO$55,2,FALSE))*IF('15.01'!BD$4="是",'15.01'!$AY$4,'15.01'!$AY$3)</f>
        <v>170</v>
      </c>
      <c r="T69" s="4">
        <f>(VLOOKUP('15.01'!AB69,'15.01'!$AM$4:$AO$55,2,FALSE))*IF('15.01'!BE$4="是",'15.01'!$AY$4,'15.01'!$AY$3)</f>
        <v>170</v>
      </c>
      <c r="U69" s="4">
        <f>(VLOOKUP('15.01'!AC69,'15.01'!$AM$4:$AO$55,2,FALSE))*IF('15.01'!BF$4="是",'15.01'!$AY$4,'15.01'!$AY$3)</f>
        <v>170</v>
      </c>
      <c r="V69" s="4">
        <f>(VLOOKUP('15.01'!AD69,'15.01'!$AM$4:$AO$55,2,FALSE))*IF('15.01'!BG$4="是",'15.01'!$AY$4,'15.01'!$AY$3)</f>
        <v>170</v>
      </c>
      <c r="W69" s="5">
        <f>(VLOOKUP('15.01'!AE69,'15.01'!$AM$4:$AO$55,2,FALSE))*IF('15.01'!BH$4="是",'15.01'!$AY$4,'15.01'!$AY$3)</f>
        <v>0</v>
      </c>
      <c r="X69" s="5">
        <f>(VLOOKUP('15.01'!AF69,'15.01'!$AM$4:$AO$55,2,FALSE))*IF('15.01'!BI$4="是",'15.01'!$AY$4,'15.01'!$AY$3)</f>
        <v>0</v>
      </c>
    </row>
    <row r="70" spans="1:24">
      <c r="A70" s="4">
        <f>(VLOOKUP('15.01'!I70,'15.01'!$AM$4:$AO$55,2,FALSE))*IF('15.01'!AK$4="是",'15.01'!$AY$4,'15.01'!$AY$3)</f>
        <v>0</v>
      </c>
      <c r="B70" s="4">
        <f>(VLOOKUP('15.01'!J70,'15.01'!$AM$4:$AO$55,2,FALSE))*IF('15.01'!AL$4="是",'15.01'!$AY$4,'15.01'!$AY$3)</f>
        <v>0</v>
      </c>
      <c r="C70" s="4">
        <f>(VLOOKUP('15.01'!K70,'15.01'!$AM$4:$AO$55,2,FALSE))*IF('15.01'!AM$4="是",'15.01'!$AY$4,'15.01'!$AY$3)</f>
        <v>0</v>
      </c>
      <c r="D70" s="4">
        <f>(VLOOKUP('15.01'!L70,'15.01'!$AM$4:$AO$55,2,FALSE))*IF('15.01'!AN$4="是",'15.01'!$AY$4,'15.01'!$AY$3)</f>
        <v>0</v>
      </c>
      <c r="E70" s="4">
        <f>(VLOOKUP('15.01'!M70,'15.01'!$AM$4:$AO$55,2,FALSE))*IF('15.01'!AO$4="是",'15.01'!$AY$4,'15.01'!$AY$3)</f>
        <v>0</v>
      </c>
      <c r="F70" s="4">
        <f>(VLOOKUP('15.01'!N70,'15.01'!$AM$4:$AO$55,2,FALSE))*IF('15.01'!AQ$4="是",'15.01'!$AY$4,'15.01'!$AY$3)</f>
        <v>0</v>
      </c>
      <c r="G70" s="5">
        <f>(VLOOKUP('15.01'!O70,'15.01'!$AM$4:$AO$55,2,FALSE))*IF('15.01'!AR$4="是",'15.01'!$AY$4,'15.01'!$AY$3)</f>
        <v>0</v>
      </c>
      <c r="H70" s="5">
        <f>(VLOOKUP('15.01'!P70,'15.01'!$AM$4:$AO$55,2,FALSE))*IF('15.01'!AS$4="是",'15.01'!$AY$4,'15.01'!$AY$3)</f>
        <v>0</v>
      </c>
      <c r="I70" s="4">
        <f>(VLOOKUP('15.01'!Q70,'15.01'!$AM$4:$AO$55,2,FALSE))*IF('15.01'!AT$4="是",'15.01'!$AY$4,'15.01'!$AY$3)</f>
        <v>190</v>
      </c>
      <c r="J70" s="4">
        <f>(VLOOKUP('15.01'!R70,'15.01'!$AM$4:$AO$55,2,FALSE))*IF('15.01'!AU$4="是",'15.01'!$AY$4,'15.01'!$AY$3)</f>
        <v>190</v>
      </c>
      <c r="K70" s="4">
        <f>(VLOOKUP('15.01'!S70,'15.01'!$AM$4:$AO$55,2,FALSE))*IF('15.01'!AV$4="是",'15.01'!$AY$4,'15.01'!$AY$3)</f>
        <v>190</v>
      </c>
      <c r="L70" s="4">
        <f>(VLOOKUP('15.01'!T70,'15.01'!$AM$4:$AO$55,2,FALSE))*IF('15.01'!AW$4="是",'15.01'!$AY$4,'15.01'!$AY$3)</f>
        <v>190</v>
      </c>
      <c r="M70" s="4">
        <f>(VLOOKUP('15.01'!U70,'15.01'!$AM$4:$AO$55,2,FALSE))*IF('15.01'!AX$4="是",'15.01'!$AY$4,'15.01'!$AY$3)</f>
        <v>190</v>
      </c>
      <c r="N70" s="4">
        <f>(VLOOKUP('15.01'!V70,'15.01'!$AM$4:$AO$55,2,FALSE))*IF('15.01'!AY$4="是",'15.01'!$AY$4,'15.01'!$AY$3)</f>
        <v>190</v>
      </c>
      <c r="O70" s="5">
        <f>(VLOOKUP('15.01'!W70,'15.01'!$AM$4:$AO$55,2,FALSE))*IF('15.01'!AZ$4="是",'15.01'!$AY$4,'15.01'!$AY$3)</f>
        <v>0</v>
      </c>
      <c r="P70" s="5">
        <f>(VLOOKUP('15.01'!X70,'15.01'!$AM$4:$AO$55,2,FALSE))*IF('15.01'!BA$4="是",'15.01'!$AY$4,'15.01'!$AY$3)</f>
        <v>0</v>
      </c>
      <c r="Q70" s="4">
        <f>(VLOOKUP('15.01'!Y70,'15.01'!$AM$4:$AO$55,2,FALSE))*IF('15.01'!BB$4="是",'15.01'!$AY$4,'15.01'!$AY$3)</f>
        <v>170</v>
      </c>
      <c r="R70" s="4">
        <f>(VLOOKUP('15.01'!Z70,'15.01'!$AM$4:$AO$55,2,FALSE))*IF('15.01'!BC$4="是",'15.01'!$AY$4,'15.01'!$AY$3)</f>
        <v>170</v>
      </c>
      <c r="S70" s="4">
        <f>(VLOOKUP('15.01'!AA70,'15.01'!$AM$4:$AO$55,2,FALSE))*IF('15.01'!BD$4="是",'15.01'!$AY$4,'15.01'!$AY$3)</f>
        <v>0</v>
      </c>
      <c r="T70" s="4">
        <f>(VLOOKUP('15.01'!AB70,'15.01'!$AM$4:$AO$55,2,FALSE))*IF('15.01'!BE$4="是",'15.01'!$AY$4,'15.01'!$AY$3)</f>
        <v>0</v>
      </c>
      <c r="U70" s="4">
        <f>(VLOOKUP('15.01'!AC70,'15.01'!$AM$4:$AO$55,2,FALSE))*IF('15.01'!BF$4="是",'15.01'!$AY$4,'15.01'!$AY$3)</f>
        <v>0</v>
      </c>
      <c r="V70" s="4">
        <f>(VLOOKUP('15.01'!AD70,'15.01'!$AM$4:$AO$55,2,FALSE))*IF('15.01'!BG$4="是",'15.01'!$AY$4,'15.01'!$AY$3)</f>
        <v>0</v>
      </c>
      <c r="W70" s="5">
        <f>(VLOOKUP('15.01'!AE70,'15.01'!$AM$4:$AO$55,2,FALSE))*IF('15.01'!BH$4="是",'15.01'!$AY$4,'15.01'!$AY$3)</f>
        <v>0</v>
      </c>
      <c r="X70" s="5">
        <f>(VLOOKUP('15.01'!AF70,'15.01'!$AM$4:$AO$55,2,FALSE))*IF('15.01'!BI$4="是",'15.01'!$AY$4,'15.01'!$AY$3)</f>
        <v>0</v>
      </c>
    </row>
    <row r="71" spans="1:24">
      <c r="A71" s="4">
        <f>(VLOOKUP('15.01'!I71,'15.01'!$AM$4:$AO$55,2,FALSE))*IF('15.01'!AK$4="是",'15.01'!$AY$4,'15.01'!$AY$3)</f>
        <v>0</v>
      </c>
      <c r="B71" s="4">
        <f>(VLOOKUP('15.01'!J71,'15.01'!$AM$4:$AO$55,2,FALSE))*IF('15.01'!AL$4="是",'15.01'!$AY$4,'15.01'!$AY$3)</f>
        <v>0</v>
      </c>
      <c r="C71" s="4">
        <f>(VLOOKUP('15.01'!K71,'15.01'!$AM$4:$AO$55,2,FALSE))*IF('15.01'!AM$4="是",'15.01'!$AY$4,'15.01'!$AY$3)</f>
        <v>0</v>
      </c>
      <c r="D71" s="4">
        <f>(VLOOKUP('15.01'!L71,'15.01'!$AM$4:$AO$55,2,FALSE))*IF('15.01'!AN$4="是",'15.01'!$AY$4,'15.01'!$AY$3)</f>
        <v>0</v>
      </c>
      <c r="E71" s="4">
        <f>(VLOOKUP('15.01'!M71,'15.01'!$AM$4:$AO$55,2,FALSE))*IF('15.01'!AO$4="是",'15.01'!$AY$4,'15.01'!$AY$3)</f>
        <v>0</v>
      </c>
      <c r="F71" s="4">
        <f>(VLOOKUP('15.01'!N71,'15.01'!$AM$4:$AO$55,2,FALSE))*IF('15.01'!AQ$4="是",'15.01'!$AY$4,'15.01'!$AY$3)</f>
        <v>0</v>
      </c>
      <c r="G71" s="5">
        <f>(VLOOKUP('15.01'!O71,'15.01'!$AM$4:$AO$55,2,FALSE))*IF('15.01'!AR$4="是",'15.01'!$AY$4,'15.01'!$AY$3)</f>
        <v>0</v>
      </c>
      <c r="H71" s="5">
        <f>(VLOOKUP('15.01'!P71,'15.01'!$AM$4:$AO$55,2,FALSE))*IF('15.01'!AS$4="是",'15.01'!$AY$4,'15.01'!$AY$3)</f>
        <v>0</v>
      </c>
      <c r="I71" s="4">
        <f>(VLOOKUP('15.01'!Q71,'15.01'!$AM$4:$AO$55,2,FALSE))*IF('15.01'!AT$4="是",'15.01'!$AY$4,'15.01'!$AY$3)</f>
        <v>190</v>
      </c>
      <c r="J71" s="4">
        <f>(VLOOKUP('15.01'!R71,'15.01'!$AM$4:$AO$55,2,FALSE))*IF('15.01'!AU$4="是",'15.01'!$AY$4,'15.01'!$AY$3)</f>
        <v>190</v>
      </c>
      <c r="K71" s="4">
        <f>(VLOOKUP('15.01'!S71,'15.01'!$AM$4:$AO$55,2,FALSE))*IF('15.01'!AV$4="是",'15.01'!$AY$4,'15.01'!$AY$3)</f>
        <v>190</v>
      </c>
      <c r="L71" s="4">
        <f>(VLOOKUP('15.01'!T71,'15.01'!$AM$4:$AO$55,2,FALSE))*IF('15.01'!AW$4="是",'15.01'!$AY$4,'15.01'!$AY$3)</f>
        <v>190</v>
      </c>
      <c r="M71" s="4">
        <f>(VLOOKUP('15.01'!U71,'15.01'!$AM$4:$AO$55,2,FALSE))*IF('15.01'!AX$4="是",'15.01'!$AY$4,'15.01'!$AY$3)</f>
        <v>190</v>
      </c>
      <c r="N71" s="4">
        <f>(VLOOKUP('15.01'!V71,'15.01'!$AM$4:$AO$55,2,FALSE))*IF('15.01'!AY$4="是",'15.01'!$AY$4,'15.01'!$AY$3)</f>
        <v>190</v>
      </c>
      <c r="O71" s="5">
        <f>(VLOOKUP('15.01'!W71,'15.01'!$AM$4:$AO$55,2,FALSE))*IF('15.01'!AZ$4="是",'15.01'!$AY$4,'15.01'!$AY$3)</f>
        <v>0</v>
      </c>
      <c r="P71" s="5">
        <f>(VLOOKUP('15.01'!X71,'15.01'!$AM$4:$AO$55,2,FALSE))*IF('15.01'!BA$4="是",'15.01'!$AY$4,'15.01'!$AY$3)</f>
        <v>0</v>
      </c>
      <c r="Q71" s="4">
        <f>(VLOOKUP('15.01'!Y71,'15.01'!$AM$4:$AO$55,2,FALSE))*IF('15.01'!BB$4="是",'15.01'!$AY$4,'15.01'!$AY$3)</f>
        <v>200</v>
      </c>
      <c r="R71" s="4">
        <f>(VLOOKUP('15.01'!Z71,'15.01'!$AM$4:$AO$55,2,FALSE))*IF('15.01'!BC$4="是",'15.01'!$AY$4,'15.01'!$AY$3)</f>
        <v>200</v>
      </c>
      <c r="S71" s="4">
        <f>(VLOOKUP('15.01'!AA71,'15.01'!$AM$4:$AO$55,2,FALSE))*IF('15.01'!BD$4="是",'15.01'!$AY$4,'15.01'!$AY$3)</f>
        <v>200</v>
      </c>
      <c r="T71" s="4">
        <f>(VLOOKUP('15.01'!AB71,'15.01'!$AM$4:$AO$55,2,FALSE))*IF('15.01'!BE$4="是",'15.01'!$AY$4,'15.01'!$AY$3)</f>
        <v>200</v>
      </c>
      <c r="U71" s="4">
        <f>(VLOOKUP('15.01'!AC71,'15.01'!$AM$4:$AO$55,2,FALSE))*IF('15.01'!BF$4="是",'15.01'!$AY$4,'15.01'!$AY$3)</f>
        <v>200</v>
      </c>
      <c r="V71" s="4">
        <f>(VLOOKUP('15.01'!AD71,'15.01'!$AM$4:$AO$55,2,FALSE))*IF('15.01'!BG$4="是",'15.01'!$AY$4,'15.01'!$AY$3)</f>
        <v>200</v>
      </c>
      <c r="W71" s="5">
        <f>(VLOOKUP('15.01'!AE71,'15.01'!$AM$4:$AO$55,2,FALSE))*IF('15.01'!BH$4="是",'15.01'!$AY$4,'15.01'!$AY$3)</f>
        <v>0</v>
      </c>
      <c r="X71" s="5">
        <f>(VLOOKUP('15.01'!AF71,'15.01'!$AM$4:$AO$55,2,FALSE))*IF('15.01'!BI$4="是",'15.01'!$AY$4,'15.01'!$AY$3)</f>
        <v>0</v>
      </c>
    </row>
    <row r="72" spans="1:24">
      <c r="A72" s="4">
        <f>(VLOOKUP('15.01'!I72,'15.01'!$AM$4:$AO$55,2,FALSE))*IF('15.01'!AK$4="是",'15.01'!$AY$4,'15.01'!$AY$3)</f>
        <v>0</v>
      </c>
      <c r="B72" s="4">
        <f>(VLOOKUP('15.01'!J72,'15.01'!$AM$4:$AO$55,2,FALSE))*IF('15.01'!AL$4="是",'15.01'!$AY$4,'15.01'!$AY$3)</f>
        <v>0</v>
      </c>
      <c r="C72" s="4">
        <f>(VLOOKUP('15.01'!K72,'15.01'!$AM$4:$AO$55,2,FALSE))*IF('15.01'!AM$4="是",'15.01'!$AY$4,'15.01'!$AY$3)</f>
        <v>0</v>
      </c>
      <c r="D72" s="4">
        <f>(VLOOKUP('15.01'!L72,'15.01'!$AM$4:$AO$55,2,FALSE))*IF('15.01'!AN$4="是",'15.01'!$AY$4,'15.01'!$AY$3)</f>
        <v>0</v>
      </c>
      <c r="E72" s="4">
        <f>(VLOOKUP('15.01'!M72,'15.01'!$AM$4:$AO$55,2,FALSE))*IF('15.01'!AO$4="是",'15.01'!$AY$4,'15.01'!$AY$3)</f>
        <v>0</v>
      </c>
      <c r="F72" s="4">
        <f>(VLOOKUP('15.01'!N72,'15.01'!$AM$4:$AO$55,2,FALSE))*IF('15.01'!AQ$4="是",'15.01'!$AY$4,'15.01'!$AY$3)</f>
        <v>0</v>
      </c>
      <c r="G72" s="5">
        <f>(VLOOKUP('15.01'!O72,'15.01'!$AM$4:$AO$55,2,FALSE))*IF('15.01'!AR$4="是",'15.01'!$AY$4,'15.01'!$AY$3)</f>
        <v>0</v>
      </c>
      <c r="H72" s="5">
        <f>(VLOOKUP('15.01'!P72,'15.01'!$AM$4:$AO$55,2,FALSE))*IF('15.01'!AS$4="是",'15.01'!$AY$4,'15.01'!$AY$3)</f>
        <v>0</v>
      </c>
      <c r="I72" s="4">
        <f>(VLOOKUP('15.01'!Q72,'15.01'!$AM$4:$AO$55,2,FALSE))*IF('15.01'!AT$4="是",'15.01'!$AY$4,'15.01'!$AY$3)</f>
        <v>190</v>
      </c>
      <c r="J72" s="4">
        <f>(VLOOKUP('15.01'!R72,'15.01'!$AM$4:$AO$55,2,FALSE))*IF('15.01'!AU$4="是",'15.01'!$AY$4,'15.01'!$AY$3)</f>
        <v>190</v>
      </c>
      <c r="K72" s="4">
        <f>(VLOOKUP('15.01'!S72,'15.01'!$AM$4:$AO$55,2,FALSE))*IF('15.01'!AV$4="是",'15.01'!$AY$4,'15.01'!$AY$3)</f>
        <v>150</v>
      </c>
      <c r="L72" s="4">
        <f>(VLOOKUP('15.01'!T72,'15.01'!$AM$4:$AO$55,2,FALSE))*IF('15.01'!AW$4="是",'15.01'!$AY$4,'15.01'!$AY$3)</f>
        <v>190</v>
      </c>
      <c r="M72" s="4">
        <f>(VLOOKUP('15.01'!U72,'15.01'!$AM$4:$AO$55,2,FALSE))*IF('15.01'!AX$4="是",'15.01'!$AY$4,'15.01'!$AY$3)</f>
        <v>190</v>
      </c>
      <c r="N72" s="4">
        <f>(VLOOKUP('15.01'!V72,'15.01'!$AM$4:$AO$55,2,FALSE))*IF('15.01'!AY$4="是",'15.01'!$AY$4,'15.01'!$AY$3)</f>
        <v>190</v>
      </c>
      <c r="O72" s="5">
        <f>(VLOOKUP('15.01'!W72,'15.01'!$AM$4:$AO$55,2,FALSE))*IF('15.01'!AZ$4="是",'15.01'!$AY$4,'15.01'!$AY$3)</f>
        <v>0</v>
      </c>
      <c r="P72" s="5">
        <f>(VLOOKUP('15.01'!X72,'15.01'!$AM$4:$AO$55,2,FALSE))*IF('15.01'!BA$4="是",'15.01'!$AY$4,'15.01'!$AY$3)</f>
        <v>0</v>
      </c>
      <c r="Q72" s="4">
        <f>(VLOOKUP('15.01'!Y72,'15.01'!$AM$4:$AO$55,2,FALSE))*IF('15.01'!BB$4="是",'15.01'!$AY$4,'15.01'!$AY$3)</f>
        <v>200</v>
      </c>
      <c r="R72" s="4">
        <f>(VLOOKUP('15.01'!Z72,'15.01'!$AM$4:$AO$55,2,FALSE))*IF('15.01'!BC$4="是",'15.01'!$AY$4,'15.01'!$AY$3)</f>
        <v>200</v>
      </c>
      <c r="S72" s="4">
        <f>(VLOOKUP('15.01'!AA72,'15.01'!$AM$4:$AO$55,2,FALSE))*IF('15.01'!BD$4="是",'15.01'!$AY$4,'15.01'!$AY$3)</f>
        <v>200</v>
      </c>
      <c r="T72" s="4">
        <f>(VLOOKUP('15.01'!AB72,'15.01'!$AM$4:$AO$55,2,FALSE))*IF('15.01'!BE$4="是",'15.01'!$AY$4,'15.01'!$AY$3)</f>
        <v>200</v>
      </c>
      <c r="U72" s="4">
        <f>(VLOOKUP('15.01'!AC72,'15.01'!$AM$4:$AO$55,2,FALSE))*IF('15.01'!BF$4="是",'15.01'!$AY$4,'15.01'!$AY$3)</f>
        <v>200</v>
      </c>
      <c r="V72" s="4">
        <f>(VLOOKUP('15.01'!AD72,'15.01'!$AM$4:$AO$55,2,FALSE))*IF('15.01'!BG$4="是",'15.01'!$AY$4,'15.01'!$AY$3)</f>
        <v>200</v>
      </c>
      <c r="W72" s="5">
        <f>(VLOOKUP('15.01'!AE72,'15.01'!$AM$4:$AO$55,2,FALSE))*IF('15.01'!BH$4="是",'15.01'!$AY$4,'15.01'!$AY$3)</f>
        <v>0</v>
      </c>
      <c r="X72" s="5">
        <f>(VLOOKUP('15.01'!AF72,'15.01'!$AM$4:$AO$55,2,FALSE))*IF('15.01'!BI$4="是",'15.01'!$AY$4,'15.01'!$AY$3)</f>
        <v>0</v>
      </c>
    </row>
    <row r="73" spans="1:24">
      <c r="A73" s="4">
        <f>(VLOOKUP('15.01'!I73,'15.01'!$AM$4:$AO$55,2,FALSE))*IF('15.01'!AK$4="是",'15.01'!$AY$4,'15.01'!$AY$3)</f>
        <v>0</v>
      </c>
      <c r="B73" s="4">
        <f>(VLOOKUP('15.01'!J73,'15.01'!$AM$4:$AO$55,2,FALSE))*IF('15.01'!AL$4="是",'15.01'!$AY$4,'15.01'!$AY$3)</f>
        <v>0</v>
      </c>
      <c r="C73" s="4">
        <f>(VLOOKUP('15.01'!K73,'15.01'!$AM$4:$AO$55,2,FALSE))*IF('15.01'!AM$4="是",'15.01'!$AY$4,'15.01'!$AY$3)</f>
        <v>0</v>
      </c>
      <c r="D73" s="4">
        <f>(VLOOKUP('15.01'!L73,'15.01'!$AM$4:$AO$55,2,FALSE))*IF('15.01'!AN$4="是",'15.01'!$AY$4,'15.01'!$AY$3)</f>
        <v>0</v>
      </c>
      <c r="E73" s="4">
        <f>(VLOOKUP('15.01'!M73,'15.01'!$AM$4:$AO$55,2,FALSE))*IF('15.01'!AO$4="是",'15.01'!$AY$4,'15.01'!$AY$3)</f>
        <v>0</v>
      </c>
      <c r="F73" s="4">
        <f>(VLOOKUP('15.01'!N73,'15.01'!$AM$4:$AO$55,2,FALSE))*IF('15.01'!AQ$4="是",'15.01'!$AY$4,'15.01'!$AY$3)</f>
        <v>0</v>
      </c>
      <c r="G73" s="5">
        <f>(VLOOKUP('15.01'!O73,'15.01'!$AM$4:$AO$55,2,FALSE))*IF('15.01'!AR$4="是",'15.01'!$AY$4,'15.01'!$AY$3)</f>
        <v>0</v>
      </c>
      <c r="H73" s="5">
        <f>(VLOOKUP('15.01'!P73,'15.01'!$AM$4:$AO$55,2,FALSE))*IF('15.01'!AS$4="是",'15.01'!$AY$4,'15.01'!$AY$3)</f>
        <v>0</v>
      </c>
      <c r="I73" s="4">
        <f>(VLOOKUP('15.01'!Q73,'15.01'!$AM$4:$AO$55,2,FALSE))*IF('15.01'!AT$4="是",'15.01'!$AY$4,'15.01'!$AY$3)</f>
        <v>190</v>
      </c>
      <c r="J73" s="4">
        <f>(VLOOKUP('15.01'!R73,'15.01'!$AM$4:$AO$55,2,FALSE))*IF('15.01'!AU$4="是",'15.01'!$AY$4,'15.01'!$AY$3)</f>
        <v>190</v>
      </c>
      <c r="K73" s="4">
        <f>(VLOOKUP('15.01'!S73,'15.01'!$AM$4:$AO$55,2,FALSE))*IF('15.01'!AV$4="是",'15.01'!$AY$4,'15.01'!$AY$3)</f>
        <v>190</v>
      </c>
      <c r="L73" s="4">
        <f>(VLOOKUP('15.01'!T73,'15.01'!$AM$4:$AO$55,2,FALSE))*IF('15.01'!AW$4="是",'15.01'!$AY$4,'15.01'!$AY$3)</f>
        <v>190</v>
      </c>
      <c r="M73" s="4">
        <f>(VLOOKUP('15.01'!U73,'15.01'!$AM$4:$AO$55,2,FALSE))*IF('15.01'!AX$4="是",'15.01'!$AY$4,'15.01'!$AY$3)</f>
        <v>190</v>
      </c>
      <c r="N73" s="4">
        <f>(VLOOKUP('15.01'!V73,'15.01'!$AM$4:$AO$55,2,FALSE))*IF('15.01'!AY$4="是",'15.01'!$AY$4,'15.01'!$AY$3)</f>
        <v>190</v>
      </c>
      <c r="O73" s="5">
        <f>(VLOOKUP('15.01'!W73,'15.01'!$AM$4:$AO$55,2,FALSE))*IF('15.01'!AZ$4="是",'15.01'!$AY$4,'15.01'!$AY$3)</f>
        <v>0</v>
      </c>
      <c r="P73" s="5">
        <f>(VLOOKUP('15.01'!X73,'15.01'!$AM$4:$AO$55,2,FALSE))*IF('15.01'!BA$4="是",'15.01'!$AY$4,'15.01'!$AY$3)</f>
        <v>0</v>
      </c>
      <c r="Q73" s="4">
        <f>(VLOOKUP('15.01'!Y73,'15.01'!$AM$4:$AO$55,2,FALSE))*IF('15.01'!BB$4="是",'15.01'!$AY$4,'15.01'!$AY$3)</f>
        <v>200</v>
      </c>
      <c r="R73" s="4">
        <f>(VLOOKUP('15.01'!Z73,'15.01'!$AM$4:$AO$55,2,FALSE))*IF('15.01'!BC$4="是",'15.01'!$AY$4,'15.01'!$AY$3)</f>
        <v>200</v>
      </c>
      <c r="S73" s="4">
        <f>(VLOOKUP('15.01'!AA73,'15.01'!$AM$4:$AO$55,2,FALSE))*IF('15.01'!BD$4="是",'15.01'!$AY$4,'15.01'!$AY$3)</f>
        <v>200</v>
      </c>
      <c r="T73" s="4">
        <f>(VLOOKUP('15.01'!AB73,'15.01'!$AM$4:$AO$55,2,FALSE))*IF('15.01'!BE$4="是",'15.01'!$AY$4,'15.01'!$AY$3)</f>
        <v>200</v>
      </c>
      <c r="U73" s="4">
        <f>(VLOOKUP('15.01'!AC73,'15.01'!$AM$4:$AO$55,2,FALSE))*IF('15.01'!BF$4="是",'15.01'!$AY$4,'15.01'!$AY$3)</f>
        <v>200</v>
      </c>
      <c r="V73" s="4">
        <f>(VLOOKUP('15.01'!AD73,'15.01'!$AM$4:$AO$55,2,FALSE))*IF('15.01'!BG$4="是",'15.01'!$AY$4,'15.01'!$AY$3)</f>
        <v>200</v>
      </c>
      <c r="W73" s="5">
        <f>(VLOOKUP('15.01'!AE73,'15.01'!$AM$4:$AO$55,2,FALSE))*IF('15.01'!BH$4="是",'15.01'!$AY$4,'15.01'!$AY$3)</f>
        <v>0</v>
      </c>
      <c r="X73" s="5">
        <f>(VLOOKUP('15.01'!AF73,'15.01'!$AM$4:$AO$55,2,FALSE))*IF('15.01'!BI$4="是",'15.01'!$AY$4,'15.01'!$AY$3)</f>
        <v>0</v>
      </c>
    </row>
    <row r="74" spans="1:24">
      <c r="A74" s="4">
        <f>(VLOOKUP('15.01'!I74,'15.01'!$AM$4:$AO$55,2,FALSE))*IF('15.01'!AK$4="是",'15.01'!$AY$4,'15.01'!$AY$3)</f>
        <v>0</v>
      </c>
      <c r="B74" s="4">
        <f>(VLOOKUP('15.01'!J74,'15.01'!$AM$4:$AO$55,2,FALSE))*IF('15.01'!AL$4="是",'15.01'!$AY$4,'15.01'!$AY$3)</f>
        <v>0</v>
      </c>
      <c r="C74" s="4">
        <f>(VLOOKUP('15.01'!K74,'15.01'!$AM$4:$AO$55,2,FALSE))*IF('15.01'!AM$4="是",'15.01'!$AY$4,'15.01'!$AY$3)</f>
        <v>0</v>
      </c>
      <c r="D74" s="4">
        <f>(VLOOKUP('15.01'!L74,'15.01'!$AM$4:$AO$55,2,FALSE))*IF('15.01'!AN$4="是",'15.01'!$AY$4,'15.01'!$AY$3)</f>
        <v>0</v>
      </c>
      <c r="E74" s="4">
        <f>(VLOOKUP('15.01'!M74,'15.01'!$AM$4:$AO$55,2,FALSE))*IF('15.01'!AO$4="是",'15.01'!$AY$4,'15.01'!$AY$3)</f>
        <v>0</v>
      </c>
      <c r="F74" s="4">
        <f>(VLOOKUP('15.01'!N74,'15.01'!$AM$4:$AO$55,2,FALSE))*IF('15.01'!AQ$4="是",'15.01'!$AY$4,'15.01'!$AY$3)</f>
        <v>0</v>
      </c>
      <c r="G74" s="5">
        <f>(VLOOKUP('15.01'!O74,'15.01'!$AM$4:$AO$55,2,FALSE))*IF('15.01'!AR$4="是",'15.01'!$AY$4,'15.01'!$AY$3)</f>
        <v>0</v>
      </c>
      <c r="H74" s="5">
        <f>(VLOOKUP('15.01'!P74,'15.01'!$AM$4:$AO$55,2,FALSE))*IF('15.01'!AS$4="是",'15.01'!$AY$4,'15.01'!$AY$3)</f>
        <v>0</v>
      </c>
      <c r="I74" s="4">
        <f>(VLOOKUP('15.01'!Q74,'15.01'!$AM$4:$AO$55,2,FALSE))*IF('15.01'!AT$4="是",'15.01'!$AY$4,'15.01'!$AY$3)</f>
        <v>190</v>
      </c>
      <c r="J74" s="4">
        <f>(VLOOKUP('15.01'!R74,'15.01'!$AM$4:$AO$55,2,FALSE))*IF('15.01'!AU$4="是",'15.01'!$AY$4,'15.01'!$AY$3)</f>
        <v>190</v>
      </c>
      <c r="K74" s="4">
        <f>(VLOOKUP('15.01'!S74,'15.01'!$AM$4:$AO$55,2,FALSE))*IF('15.01'!AV$4="是",'15.01'!$AY$4,'15.01'!$AY$3)</f>
        <v>190</v>
      </c>
      <c r="L74" s="4">
        <f>(VLOOKUP('15.01'!T74,'15.01'!$AM$4:$AO$55,2,FALSE))*IF('15.01'!AW$4="是",'15.01'!$AY$4,'15.01'!$AY$3)</f>
        <v>190</v>
      </c>
      <c r="M74" s="4">
        <f>(VLOOKUP('15.01'!U74,'15.01'!$AM$4:$AO$55,2,FALSE))*IF('15.01'!AX$4="是",'15.01'!$AY$4,'15.01'!$AY$3)</f>
        <v>190</v>
      </c>
      <c r="N74" s="4">
        <f>(VLOOKUP('15.01'!V74,'15.01'!$AM$4:$AO$55,2,FALSE))*IF('15.01'!AY$4="是",'15.01'!$AY$4,'15.01'!$AY$3)</f>
        <v>190</v>
      </c>
      <c r="O74" s="5">
        <f>(VLOOKUP('15.01'!W74,'15.01'!$AM$4:$AO$55,2,FALSE))*IF('15.01'!AZ$4="是",'15.01'!$AY$4,'15.01'!$AY$3)</f>
        <v>0</v>
      </c>
      <c r="P74" s="5">
        <f>(VLOOKUP('15.01'!X74,'15.01'!$AM$4:$AO$55,2,FALSE))*IF('15.01'!BA$4="是",'15.01'!$AY$4,'15.01'!$AY$3)</f>
        <v>0</v>
      </c>
      <c r="Q74" s="4">
        <f>(VLOOKUP('15.01'!Y74,'15.01'!$AM$4:$AO$55,2,FALSE))*IF('15.01'!BB$4="是",'15.01'!$AY$4,'15.01'!$AY$3)</f>
        <v>50</v>
      </c>
      <c r="R74" s="4">
        <f>(VLOOKUP('15.01'!Z74,'15.01'!$AM$4:$AO$55,2,FALSE))*IF('15.01'!BC$4="是",'15.01'!$AY$4,'15.01'!$AY$3)</f>
        <v>200</v>
      </c>
      <c r="S74" s="4">
        <f>(VLOOKUP('15.01'!AA74,'15.01'!$AM$4:$AO$55,2,FALSE))*IF('15.01'!BD$4="是",'15.01'!$AY$4,'15.01'!$AY$3)</f>
        <v>200</v>
      </c>
      <c r="T74" s="4">
        <f>(VLOOKUP('15.01'!AB74,'15.01'!$AM$4:$AO$55,2,FALSE))*IF('15.01'!BE$4="是",'15.01'!$AY$4,'15.01'!$AY$3)</f>
        <v>200</v>
      </c>
      <c r="U74" s="4">
        <f>(VLOOKUP('15.01'!AC74,'15.01'!$AM$4:$AO$55,2,FALSE))*IF('15.01'!BF$4="是",'15.01'!$AY$4,'15.01'!$AY$3)</f>
        <v>200</v>
      </c>
      <c r="V74" s="4">
        <f>(VLOOKUP('15.01'!AD74,'15.01'!$AM$4:$AO$55,2,FALSE))*IF('15.01'!BG$4="是",'15.01'!$AY$4,'15.01'!$AY$3)</f>
        <v>200</v>
      </c>
      <c r="W74" s="5">
        <f>(VLOOKUP('15.01'!AE74,'15.01'!$AM$4:$AO$55,2,FALSE))*IF('15.01'!BH$4="是",'15.01'!$AY$4,'15.01'!$AY$3)</f>
        <v>0</v>
      </c>
      <c r="X74" s="5">
        <f>(VLOOKUP('15.01'!AF74,'15.01'!$AM$4:$AO$55,2,FALSE))*IF('15.01'!BI$4="是",'15.01'!$AY$4,'15.01'!$AY$3)</f>
        <v>0</v>
      </c>
    </row>
    <row r="75" spans="1:24">
      <c r="A75" s="4">
        <f>(VLOOKUP('15.01'!I75,'15.01'!$AM$4:$AO$55,2,FALSE))*IF('15.01'!AK$4="是",'15.01'!$AY$4,'15.01'!$AY$3)</f>
        <v>0</v>
      </c>
      <c r="B75" s="4">
        <f>(VLOOKUP('15.01'!J75,'15.01'!$AM$4:$AO$55,2,FALSE))*IF('15.01'!AL$4="是",'15.01'!$AY$4,'15.01'!$AY$3)</f>
        <v>0</v>
      </c>
      <c r="C75" s="4">
        <f>(VLOOKUP('15.01'!K75,'15.01'!$AM$4:$AO$55,2,FALSE))*IF('15.01'!AM$4="是",'15.01'!$AY$4,'15.01'!$AY$3)</f>
        <v>0</v>
      </c>
      <c r="D75" s="4">
        <f>(VLOOKUP('15.01'!L75,'15.01'!$AM$4:$AO$55,2,FALSE))*IF('15.01'!AN$4="是",'15.01'!$AY$4,'15.01'!$AY$3)</f>
        <v>0</v>
      </c>
      <c r="E75" s="4">
        <f>(VLOOKUP('15.01'!M75,'15.01'!$AM$4:$AO$55,2,FALSE))*IF('15.01'!AO$4="是",'15.01'!$AY$4,'15.01'!$AY$3)</f>
        <v>0</v>
      </c>
      <c r="F75" s="4">
        <f>(VLOOKUP('15.01'!N75,'15.01'!$AM$4:$AO$55,2,FALSE))*IF('15.01'!AQ$4="是",'15.01'!$AY$4,'15.01'!$AY$3)</f>
        <v>0</v>
      </c>
      <c r="G75" s="5">
        <f>(VLOOKUP('15.01'!O75,'15.01'!$AM$4:$AO$55,2,FALSE))*IF('15.01'!AR$4="是",'15.01'!$AY$4,'15.01'!$AY$3)</f>
        <v>0</v>
      </c>
      <c r="H75" s="5">
        <f>(VLOOKUP('15.01'!P75,'15.01'!$AM$4:$AO$55,2,FALSE))*IF('15.01'!AS$4="是",'15.01'!$AY$4,'15.01'!$AY$3)</f>
        <v>0</v>
      </c>
      <c r="I75" s="4">
        <f>(VLOOKUP('15.01'!Q75,'15.01'!$AM$4:$AO$55,2,FALSE))*IF('15.01'!AT$4="是",'15.01'!$AY$4,'15.01'!$AY$3)</f>
        <v>190</v>
      </c>
      <c r="J75" s="4">
        <f>(VLOOKUP('15.01'!R75,'15.01'!$AM$4:$AO$55,2,FALSE))*IF('15.01'!AU$4="是",'15.01'!$AY$4,'15.01'!$AY$3)</f>
        <v>190</v>
      </c>
      <c r="K75" s="4">
        <f>(VLOOKUP('15.01'!S75,'15.01'!$AM$4:$AO$55,2,FALSE))*IF('15.01'!AV$4="是",'15.01'!$AY$4,'15.01'!$AY$3)</f>
        <v>190</v>
      </c>
      <c r="L75" s="4">
        <f>(VLOOKUP('15.01'!T75,'15.01'!$AM$4:$AO$55,2,FALSE))*IF('15.01'!AW$4="是",'15.01'!$AY$4,'15.01'!$AY$3)</f>
        <v>190</v>
      </c>
      <c r="M75" s="4">
        <f>(VLOOKUP('15.01'!U75,'15.01'!$AM$4:$AO$55,2,FALSE))*IF('15.01'!AX$4="是",'15.01'!$AY$4,'15.01'!$AY$3)</f>
        <v>190</v>
      </c>
      <c r="N75" s="4">
        <f>(VLOOKUP('15.01'!V75,'15.01'!$AM$4:$AO$55,2,FALSE))*IF('15.01'!AY$4="是",'15.01'!$AY$4,'15.01'!$AY$3)</f>
        <v>190</v>
      </c>
      <c r="O75" s="5">
        <f>(VLOOKUP('15.01'!W75,'15.01'!$AM$4:$AO$55,2,FALSE))*IF('15.01'!AZ$4="是",'15.01'!$AY$4,'15.01'!$AY$3)</f>
        <v>0</v>
      </c>
      <c r="P75" s="5">
        <f>(VLOOKUP('15.01'!X75,'15.01'!$AM$4:$AO$55,2,FALSE))*IF('15.01'!BA$4="是",'15.01'!$AY$4,'15.01'!$AY$3)</f>
        <v>0</v>
      </c>
      <c r="Q75" s="4">
        <f>(VLOOKUP('15.01'!Y75,'15.01'!$AM$4:$AO$55,2,FALSE))*IF('15.01'!BB$4="是",'15.01'!$AY$4,'15.01'!$AY$3)</f>
        <v>200</v>
      </c>
      <c r="R75" s="4">
        <f>(VLOOKUP('15.01'!Z75,'15.01'!$AM$4:$AO$55,2,FALSE))*IF('15.01'!BC$4="是",'15.01'!$AY$4,'15.01'!$AY$3)</f>
        <v>200</v>
      </c>
      <c r="S75" s="4">
        <f>(VLOOKUP('15.01'!AA75,'15.01'!$AM$4:$AO$55,2,FALSE))*IF('15.01'!BD$4="是",'15.01'!$AY$4,'15.01'!$AY$3)</f>
        <v>200</v>
      </c>
      <c r="T75" s="4">
        <f>(VLOOKUP('15.01'!AB75,'15.01'!$AM$4:$AO$55,2,FALSE))*IF('15.01'!BE$4="是",'15.01'!$AY$4,'15.01'!$AY$3)</f>
        <v>200</v>
      </c>
      <c r="U75" s="4">
        <f>(VLOOKUP('15.01'!AC75,'15.01'!$AM$4:$AO$55,2,FALSE))*IF('15.01'!BF$4="是",'15.01'!$AY$4,'15.01'!$AY$3)</f>
        <v>200</v>
      </c>
      <c r="V75" s="4">
        <f>(VLOOKUP('15.01'!AD75,'15.01'!$AM$4:$AO$55,2,FALSE))*IF('15.01'!BG$4="是",'15.01'!$AY$4,'15.01'!$AY$3)</f>
        <v>200</v>
      </c>
      <c r="W75" s="5">
        <f>(VLOOKUP('15.01'!AE75,'15.01'!$AM$4:$AO$55,2,FALSE))*IF('15.01'!BH$4="是",'15.01'!$AY$4,'15.01'!$AY$3)</f>
        <v>0</v>
      </c>
      <c r="X75" s="5">
        <f>(VLOOKUP('15.01'!AF75,'15.01'!$AM$4:$AO$55,2,FALSE))*IF('15.01'!BI$4="是",'15.01'!$AY$4,'15.01'!$AY$3)</f>
        <v>0</v>
      </c>
    </row>
    <row r="76" spans="1:24">
      <c r="A76" s="4">
        <f>(VLOOKUP('15.01'!I76,'15.01'!$AM$4:$AO$55,2,FALSE))*IF('15.01'!AK$4="是",'15.01'!$AY$4,'15.01'!$AY$3)</f>
        <v>0</v>
      </c>
      <c r="B76" s="4">
        <f>(VLOOKUP('15.01'!J76,'15.01'!$AM$4:$AO$55,2,FALSE))*IF('15.01'!AL$4="是",'15.01'!$AY$4,'15.01'!$AY$3)</f>
        <v>0</v>
      </c>
      <c r="C76" s="4">
        <f>(VLOOKUP('15.01'!K76,'15.01'!$AM$4:$AO$55,2,FALSE))*IF('15.01'!AM$4="是",'15.01'!$AY$4,'15.01'!$AY$3)</f>
        <v>0</v>
      </c>
      <c r="D76" s="4">
        <f>(VLOOKUP('15.01'!L76,'15.01'!$AM$4:$AO$55,2,FALSE))*IF('15.01'!AN$4="是",'15.01'!$AY$4,'15.01'!$AY$3)</f>
        <v>0</v>
      </c>
      <c r="E76" s="4">
        <f>(VLOOKUP('15.01'!M76,'15.01'!$AM$4:$AO$55,2,FALSE))*IF('15.01'!AO$4="是",'15.01'!$AY$4,'15.01'!$AY$3)</f>
        <v>0</v>
      </c>
      <c r="F76" s="4">
        <f>(VLOOKUP('15.01'!N76,'15.01'!$AM$4:$AO$55,2,FALSE))*IF('15.01'!AQ$4="是",'15.01'!$AY$4,'15.01'!$AY$3)</f>
        <v>0</v>
      </c>
      <c r="G76" s="5">
        <f>(VLOOKUP('15.01'!O76,'15.01'!$AM$4:$AO$55,2,FALSE))*IF('15.01'!AR$4="是",'15.01'!$AY$4,'15.01'!$AY$3)</f>
        <v>0</v>
      </c>
      <c r="H76" s="5">
        <f>(VLOOKUP('15.01'!P76,'15.01'!$AM$4:$AO$55,2,FALSE))*IF('15.01'!AS$4="是",'15.01'!$AY$4,'15.01'!$AY$3)</f>
        <v>0</v>
      </c>
      <c r="I76" s="4">
        <f>(VLOOKUP('15.01'!Q76,'15.01'!$AM$4:$AO$55,2,FALSE))*IF('15.01'!AT$4="是",'15.01'!$AY$4,'15.01'!$AY$3)</f>
        <v>190</v>
      </c>
      <c r="J76" s="4">
        <f>(VLOOKUP('15.01'!R76,'15.01'!$AM$4:$AO$55,2,FALSE))*IF('15.01'!AU$4="是",'15.01'!$AY$4,'15.01'!$AY$3)</f>
        <v>190</v>
      </c>
      <c r="K76" s="4">
        <f>(VLOOKUP('15.01'!S76,'15.01'!$AM$4:$AO$55,2,FALSE))*IF('15.01'!AV$4="是",'15.01'!$AY$4,'15.01'!$AY$3)</f>
        <v>190</v>
      </c>
      <c r="L76" s="4">
        <f>(VLOOKUP('15.01'!T76,'15.01'!$AM$4:$AO$55,2,FALSE))*IF('15.01'!AW$4="是",'15.01'!$AY$4,'15.01'!$AY$3)</f>
        <v>190</v>
      </c>
      <c r="M76" s="4">
        <f>(VLOOKUP('15.01'!U76,'15.01'!$AM$4:$AO$55,2,FALSE))*IF('15.01'!AX$4="是",'15.01'!$AY$4,'15.01'!$AY$3)</f>
        <v>190</v>
      </c>
      <c r="N76" s="4">
        <f>(VLOOKUP('15.01'!V76,'15.01'!$AM$4:$AO$55,2,FALSE))*IF('15.01'!AY$4="是",'15.01'!$AY$4,'15.01'!$AY$3)</f>
        <v>190</v>
      </c>
      <c r="O76" s="5">
        <f>(VLOOKUP('15.01'!W76,'15.01'!$AM$4:$AO$55,2,FALSE))*IF('15.01'!AZ$4="是",'15.01'!$AY$4,'15.01'!$AY$3)</f>
        <v>0</v>
      </c>
      <c r="P76" s="5">
        <f>(VLOOKUP('15.01'!X76,'15.01'!$AM$4:$AO$55,2,FALSE))*IF('15.01'!BA$4="是",'15.01'!$AY$4,'15.01'!$AY$3)</f>
        <v>0</v>
      </c>
      <c r="Q76" s="4">
        <f>(VLOOKUP('15.01'!Y76,'15.01'!$AM$4:$AO$55,2,FALSE))*IF('15.01'!BB$4="是",'15.01'!$AY$4,'15.01'!$AY$3)</f>
        <v>200</v>
      </c>
      <c r="R76" s="4">
        <f>(VLOOKUP('15.01'!Z76,'15.01'!$AM$4:$AO$55,2,FALSE))*IF('15.01'!BC$4="是",'15.01'!$AY$4,'15.01'!$AY$3)</f>
        <v>200</v>
      </c>
      <c r="S76" s="4">
        <f>(VLOOKUP('15.01'!AA76,'15.01'!$AM$4:$AO$55,2,FALSE))*IF('15.01'!BD$4="是",'15.01'!$AY$4,'15.01'!$AY$3)</f>
        <v>200</v>
      </c>
      <c r="T76" s="4">
        <f>(VLOOKUP('15.01'!AB76,'15.01'!$AM$4:$AO$55,2,FALSE))*IF('15.01'!BE$4="是",'15.01'!$AY$4,'15.01'!$AY$3)</f>
        <v>200</v>
      </c>
      <c r="U76" s="4">
        <f>(VLOOKUP('15.01'!AC76,'15.01'!$AM$4:$AO$55,2,FALSE))*IF('15.01'!BF$4="是",'15.01'!$AY$4,'15.01'!$AY$3)</f>
        <v>200</v>
      </c>
      <c r="V76" s="4">
        <f>(VLOOKUP('15.01'!AD76,'15.01'!$AM$4:$AO$55,2,FALSE))*IF('15.01'!BG$4="是",'15.01'!$AY$4,'15.01'!$AY$3)</f>
        <v>200</v>
      </c>
      <c r="W76" s="5">
        <f>(VLOOKUP('15.01'!AE76,'15.01'!$AM$4:$AO$55,2,FALSE))*IF('15.01'!BH$4="是",'15.01'!$AY$4,'15.01'!$AY$3)</f>
        <v>0</v>
      </c>
      <c r="X76" s="5">
        <f>(VLOOKUP('15.01'!AF76,'15.01'!$AM$4:$AO$55,2,FALSE))*IF('15.01'!BI$4="是",'15.01'!$AY$4,'15.01'!$AY$3)</f>
        <v>0</v>
      </c>
    </row>
    <row r="77" spans="1:24">
      <c r="A77" s="4">
        <f>(VLOOKUP('15.01'!I77,'15.01'!$AM$4:$AO$55,2,FALSE))*IF('15.01'!AK$4="是",'15.01'!$AY$4,'15.01'!$AY$3)</f>
        <v>0</v>
      </c>
      <c r="B77" s="4">
        <f>(VLOOKUP('15.01'!J77,'15.01'!$AM$4:$AO$55,2,FALSE))*IF('15.01'!AL$4="是",'15.01'!$AY$4,'15.01'!$AY$3)</f>
        <v>0</v>
      </c>
      <c r="C77" s="4">
        <f>(VLOOKUP('15.01'!K77,'15.01'!$AM$4:$AO$55,2,FALSE))*IF('15.01'!AM$4="是",'15.01'!$AY$4,'15.01'!$AY$3)</f>
        <v>0</v>
      </c>
      <c r="D77" s="4">
        <f>(VLOOKUP('15.01'!L77,'15.01'!$AM$4:$AO$55,2,FALSE))*IF('15.01'!AN$4="是",'15.01'!$AY$4,'15.01'!$AY$3)</f>
        <v>0</v>
      </c>
      <c r="E77" s="4">
        <f>(VLOOKUP('15.01'!M77,'15.01'!$AM$4:$AO$55,2,FALSE))*IF('15.01'!AO$4="是",'15.01'!$AY$4,'15.01'!$AY$3)</f>
        <v>0</v>
      </c>
      <c r="F77" s="4">
        <f>(VLOOKUP('15.01'!N77,'15.01'!$AM$4:$AO$55,2,FALSE))*IF('15.01'!AQ$4="是",'15.01'!$AY$4,'15.01'!$AY$3)</f>
        <v>0</v>
      </c>
      <c r="G77" s="5">
        <f>(VLOOKUP('15.01'!O77,'15.01'!$AM$4:$AO$55,2,FALSE))*IF('15.01'!AR$4="是",'15.01'!$AY$4,'15.01'!$AY$3)</f>
        <v>0</v>
      </c>
      <c r="H77" s="5">
        <f>(VLOOKUP('15.01'!P77,'15.01'!$AM$4:$AO$55,2,FALSE))*IF('15.01'!AS$4="是",'15.01'!$AY$4,'15.01'!$AY$3)</f>
        <v>0</v>
      </c>
      <c r="I77" s="4">
        <f>(VLOOKUP('15.01'!Q77,'15.01'!$AM$4:$AO$55,2,FALSE))*IF('15.01'!AT$4="是",'15.01'!$AY$4,'15.01'!$AY$3)</f>
        <v>190</v>
      </c>
      <c r="J77" s="4">
        <f>(VLOOKUP('15.01'!R77,'15.01'!$AM$4:$AO$55,2,FALSE))*IF('15.01'!AU$4="是",'15.01'!$AY$4,'15.01'!$AY$3)</f>
        <v>190</v>
      </c>
      <c r="K77" s="4">
        <f>(VLOOKUP('15.01'!S77,'15.01'!$AM$4:$AO$55,2,FALSE))*IF('15.01'!AV$4="是",'15.01'!$AY$4,'15.01'!$AY$3)</f>
        <v>190</v>
      </c>
      <c r="L77" s="4">
        <f>(VLOOKUP('15.01'!T77,'15.01'!$AM$4:$AO$55,2,FALSE))*IF('15.01'!AW$4="是",'15.01'!$AY$4,'15.01'!$AY$3)</f>
        <v>190</v>
      </c>
      <c r="M77" s="4">
        <f>(VLOOKUP('15.01'!U77,'15.01'!$AM$4:$AO$55,2,FALSE))*IF('15.01'!AX$4="是",'15.01'!$AY$4,'15.01'!$AY$3)</f>
        <v>190</v>
      </c>
      <c r="N77" s="4">
        <f>(VLOOKUP('15.01'!V77,'15.01'!$AM$4:$AO$55,2,FALSE))*IF('15.01'!AY$4="是",'15.01'!$AY$4,'15.01'!$AY$3)</f>
        <v>190</v>
      </c>
      <c r="O77" s="5">
        <f>(VLOOKUP('15.01'!W77,'15.01'!$AM$4:$AO$55,2,FALSE))*IF('15.01'!AZ$4="是",'15.01'!$AY$4,'15.01'!$AY$3)</f>
        <v>0</v>
      </c>
      <c r="P77" s="5">
        <f>(VLOOKUP('15.01'!X77,'15.01'!$AM$4:$AO$55,2,FALSE))*IF('15.01'!BA$4="是",'15.01'!$AY$4,'15.01'!$AY$3)</f>
        <v>0</v>
      </c>
      <c r="Q77" s="4">
        <f>(VLOOKUP('15.01'!Y77,'15.01'!$AM$4:$AO$55,2,FALSE))*IF('15.01'!BB$4="是",'15.01'!$AY$4,'15.01'!$AY$3)</f>
        <v>200</v>
      </c>
      <c r="R77" s="4">
        <f>(VLOOKUP('15.01'!Z77,'15.01'!$AM$4:$AO$55,2,FALSE))*IF('15.01'!BC$4="是",'15.01'!$AY$4,'15.01'!$AY$3)</f>
        <v>200</v>
      </c>
      <c r="S77" s="4">
        <f>(VLOOKUP('15.01'!AA77,'15.01'!$AM$4:$AO$55,2,FALSE))*IF('15.01'!BD$4="是",'15.01'!$AY$4,'15.01'!$AY$3)</f>
        <v>200</v>
      </c>
      <c r="T77" s="4">
        <f>(VLOOKUP('15.01'!AB77,'15.01'!$AM$4:$AO$55,2,FALSE))*IF('15.01'!BE$4="是",'15.01'!$AY$4,'15.01'!$AY$3)</f>
        <v>200</v>
      </c>
      <c r="U77" s="4">
        <f>(VLOOKUP('15.01'!AC77,'15.01'!$AM$4:$AO$55,2,FALSE))*IF('15.01'!BF$4="是",'15.01'!$AY$4,'15.01'!$AY$3)</f>
        <v>200</v>
      </c>
      <c r="V77" s="4">
        <f>(VLOOKUP('15.01'!AD77,'15.01'!$AM$4:$AO$55,2,FALSE))*IF('15.01'!BG$4="是",'15.01'!$AY$4,'15.01'!$AY$3)</f>
        <v>200</v>
      </c>
      <c r="W77" s="5">
        <f>(VLOOKUP('15.01'!AE77,'15.01'!$AM$4:$AO$55,2,FALSE))*IF('15.01'!BH$4="是",'15.01'!$AY$4,'15.01'!$AY$3)</f>
        <v>0</v>
      </c>
      <c r="X77" s="5">
        <f>(VLOOKUP('15.01'!AF77,'15.01'!$AM$4:$AO$55,2,FALSE))*IF('15.01'!BI$4="是",'15.01'!$AY$4,'15.01'!$AY$3)</f>
        <v>0</v>
      </c>
    </row>
    <row r="78" spans="1:24">
      <c r="A78" s="4">
        <f>(VLOOKUP('15.01'!I78,'15.01'!$AM$4:$AO$55,2,FALSE))*IF('15.01'!AK$4="是",'15.01'!$AY$4,'15.01'!$AY$3)</f>
        <v>0</v>
      </c>
      <c r="B78" s="4">
        <f>(VLOOKUP('15.01'!J78,'15.01'!$AM$4:$AO$55,2,FALSE))*IF('15.01'!AL$4="是",'15.01'!$AY$4,'15.01'!$AY$3)</f>
        <v>0</v>
      </c>
      <c r="C78" s="4">
        <f>(VLOOKUP('15.01'!K78,'15.01'!$AM$4:$AO$55,2,FALSE))*IF('15.01'!AM$4="是",'15.01'!$AY$4,'15.01'!$AY$3)</f>
        <v>0</v>
      </c>
      <c r="D78" s="4">
        <f>(VLOOKUP('15.01'!L78,'15.01'!$AM$4:$AO$55,2,FALSE))*IF('15.01'!AN$4="是",'15.01'!$AY$4,'15.01'!$AY$3)</f>
        <v>0</v>
      </c>
      <c r="E78" s="4">
        <f>(VLOOKUP('15.01'!M78,'15.01'!$AM$4:$AO$55,2,FALSE))*IF('15.01'!AO$4="是",'15.01'!$AY$4,'15.01'!$AY$3)</f>
        <v>0</v>
      </c>
      <c r="F78" s="4">
        <f>(VLOOKUP('15.01'!N78,'15.01'!$AM$4:$AO$55,2,FALSE))*IF('15.01'!AQ$4="是",'15.01'!$AY$4,'15.01'!$AY$3)</f>
        <v>0</v>
      </c>
      <c r="G78" s="5">
        <f>(VLOOKUP('15.01'!O78,'15.01'!$AM$4:$AO$55,2,FALSE))*IF('15.01'!AR$4="是",'15.01'!$AY$4,'15.01'!$AY$3)</f>
        <v>0</v>
      </c>
      <c r="H78" s="5">
        <f>(VLOOKUP('15.01'!P78,'15.01'!$AM$4:$AO$55,2,FALSE))*IF('15.01'!AS$4="是",'15.01'!$AY$4,'15.01'!$AY$3)</f>
        <v>0</v>
      </c>
      <c r="I78" s="4">
        <f>(VLOOKUP('15.01'!Q78,'15.01'!$AM$4:$AO$55,2,FALSE))*IF('15.01'!AT$4="是",'15.01'!$AY$4,'15.01'!$AY$3)</f>
        <v>190</v>
      </c>
      <c r="J78" s="4">
        <f>(VLOOKUP('15.01'!R78,'15.01'!$AM$4:$AO$55,2,FALSE))*IF('15.01'!AU$4="是",'15.01'!$AY$4,'15.01'!$AY$3)</f>
        <v>190</v>
      </c>
      <c r="K78" s="4">
        <f>(VLOOKUP('15.01'!S78,'15.01'!$AM$4:$AO$55,2,FALSE))*IF('15.01'!AV$4="是",'15.01'!$AY$4,'15.01'!$AY$3)</f>
        <v>50</v>
      </c>
      <c r="L78" s="4">
        <f>(VLOOKUP('15.01'!T78,'15.01'!$AM$4:$AO$55,2,FALSE))*IF('15.01'!AW$4="是",'15.01'!$AY$4,'15.01'!$AY$3)</f>
        <v>190</v>
      </c>
      <c r="M78" s="4">
        <f>(VLOOKUP('15.01'!U78,'15.01'!$AM$4:$AO$55,2,FALSE))*IF('15.01'!AX$4="是",'15.01'!$AY$4,'15.01'!$AY$3)</f>
        <v>190</v>
      </c>
      <c r="N78" s="4">
        <f>(VLOOKUP('15.01'!V78,'15.01'!$AM$4:$AO$55,2,FALSE))*IF('15.01'!AY$4="是",'15.01'!$AY$4,'15.01'!$AY$3)</f>
        <v>190</v>
      </c>
      <c r="O78" s="5">
        <f>(VLOOKUP('15.01'!W78,'15.01'!$AM$4:$AO$55,2,FALSE))*IF('15.01'!AZ$4="是",'15.01'!$AY$4,'15.01'!$AY$3)</f>
        <v>0</v>
      </c>
      <c r="P78" s="5">
        <f>(VLOOKUP('15.01'!X78,'15.01'!$AM$4:$AO$55,2,FALSE))*IF('15.01'!BA$4="是",'15.01'!$AY$4,'15.01'!$AY$3)</f>
        <v>0</v>
      </c>
      <c r="Q78" s="4">
        <f>(VLOOKUP('15.01'!Y78,'15.01'!$AM$4:$AO$55,2,FALSE))*IF('15.01'!BB$4="是",'15.01'!$AY$4,'15.01'!$AY$3)</f>
        <v>200</v>
      </c>
      <c r="R78" s="4">
        <f>(VLOOKUP('15.01'!Z78,'15.01'!$AM$4:$AO$55,2,FALSE))*IF('15.01'!BC$4="是",'15.01'!$AY$4,'15.01'!$AY$3)</f>
        <v>200</v>
      </c>
      <c r="S78" s="4">
        <f>(VLOOKUP('15.01'!AA78,'15.01'!$AM$4:$AO$55,2,FALSE))*IF('15.01'!BD$4="是",'15.01'!$AY$4,'15.01'!$AY$3)</f>
        <v>200</v>
      </c>
      <c r="T78" s="4">
        <f>(VLOOKUP('15.01'!AB78,'15.01'!$AM$4:$AO$55,2,FALSE))*IF('15.01'!BE$4="是",'15.01'!$AY$4,'15.01'!$AY$3)</f>
        <v>200</v>
      </c>
      <c r="U78" s="4">
        <f>(VLOOKUP('15.01'!AC78,'15.01'!$AM$4:$AO$55,2,FALSE))*IF('15.01'!BF$4="是",'15.01'!$AY$4,'15.01'!$AY$3)</f>
        <v>200</v>
      </c>
      <c r="V78" s="4">
        <f>(VLOOKUP('15.01'!AD78,'15.01'!$AM$4:$AO$55,2,FALSE))*IF('15.01'!BG$4="是",'15.01'!$AY$4,'15.01'!$AY$3)</f>
        <v>200</v>
      </c>
      <c r="W78" s="5">
        <f>(VLOOKUP('15.01'!AE78,'15.01'!$AM$4:$AO$55,2,FALSE))*IF('15.01'!BH$4="是",'15.01'!$AY$4,'15.01'!$AY$3)</f>
        <v>0</v>
      </c>
      <c r="X78" s="5">
        <f>(VLOOKUP('15.01'!AF78,'15.01'!$AM$4:$AO$55,2,FALSE))*IF('15.01'!BI$4="是",'15.01'!$AY$4,'15.01'!$AY$3)</f>
        <v>0</v>
      </c>
    </row>
    <row r="79" spans="1:24">
      <c r="A79" s="4">
        <f>(VLOOKUP('15.01'!I79,'15.01'!$AM$4:$AO$55,2,FALSE))*IF('15.01'!AK$4="是",'15.01'!$AY$4,'15.01'!$AY$3)</f>
        <v>0</v>
      </c>
      <c r="B79" s="4">
        <f>(VLOOKUP('15.01'!J79,'15.01'!$AM$4:$AO$55,2,FALSE))*IF('15.01'!AL$4="是",'15.01'!$AY$4,'15.01'!$AY$3)</f>
        <v>0</v>
      </c>
      <c r="C79" s="4">
        <f>(VLOOKUP('15.01'!K79,'15.01'!$AM$4:$AO$55,2,FALSE))*IF('15.01'!AM$4="是",'15.01'!$AY$4,'15.01'!$AY$3)</f>
        <v>0</v>
      </c>
      <c r="D79" s="4">
        <f>(VLOOKUP('15.01'!L79,'15.01'!$AM$4:$AO$55,2,FALSE))*IF('15.01'!AN$4="是",'15.01'!$AY$4,'15.01'!$AY$3)</f>
        <v>0</v>
      </c>
      <c r="E79" s="4">
        <f>(VLOOKUP('15.01'!M79,'15.01'!$AM$4:$AO$55,2,FALSE))*IF('15.01'!AO$4="是",'15.01'!$AY$4,'15.01'!$AY$3)</f>
        <v>0</v>
      </c>
      <c r="F79" s="4">
        <f>(VLOOKUP('15.01'!N79,'15.01'!$AM$4:$AO$55,2,FALSE))*IF('15.01'!AQ$4="是",'15.01'!$AY$4,'15.01'!$AY$3)</f>
        <v>0</v>
      </c>
      <c r="G79" s="5">
        <f>(VLOOKUP('15.01'!O79,'15.01'!$AM$4:$AO$55,2,FALSE))*IF('15.01'!AR$4="是",'15.01'!$AY$4,'15.01'!$AY$3)</f>
        <v>0</v>
      </c>
      <c r="H79" s="5">
        <f>(VLOOKUP('15.01'!P79,'15.01'!$AM$4:$AO$55,2,FALSE))*IF('15.01'!AS$4="是",'15.01'!$AY$4,'15.01'!$AY$3)</f>
        <v>0</v>
      </c>
      <c r="I79" s="4">
        <f>(VLOOKUP('15.01'!Q79,'15.01'!$AM$4:$AO$55,2,FALSE))*IF('15.01'!AT$4="是",'15.01'!$AY$4,'15.01'!$AY$3)</f>
        <v>190</v>
      </c>
      <c r="J79" s="4">
        <f>(VLOOKUP('15.01'!R79,'15.01'!$AM$4:$AO$55,2,FALSE))*IF('15.01'!AU$4="是",'15.01'!$AY$4,'15.01'!$AY$3)</f>
        <v>190</v>
      </c>
      <c r="K79" s="4">
        <f>(VLOOKUP('15.01'!S79,'15.01'!$AM$4:$AO$55,2,FALSE))*IF('15.01'!AV$4="是",'15.01'!$AY$4,'15.01'!$AY$3)</f>
        <v>50</v>
      </c>
      <c r="L79" s="4">
        <f>(VLOOKUP('15.01'!T79,'15.01'!$AM$4:$AO$55,2,FALSE))*IF('15.01'!AW$4="是",'15.01'!$AY$4,'15.01'!$AY$3)</f>
        <v>190</v>
      </c>
      <c r="M79" s="4">
        <f>(VLOOKUP('15.01'!U79,'15.01'!$AM$4:$AO$55,2,FALSE))*IF('15.01'!AX$4="是",'15.01'!$AY$4,'15.01'!$AY$3)</f>
        <v>190</v>
      </c>
      <c r="N79" s="4">
        <f>(VLOOKUP('15.01'!V79,'15.01'!$AM$4:$AO$55,2,FALSE))*IF('15.01'!AY$4="是",'15.01'!$AY$4,'15.01'!$AY$3)</f>
        <v>190</v>
      </c>
      <c r="O79" s="5">
        <f>(VLOOKUP('15.01'!W79,'15.01'!$AM$4:$AO$55,2,FALSE))*IF('15.01'!AZ$4="是",'15.01'!$AY$4,'15.01'!$AY$3)</f>
        <v>0</v>
      </c>
      <c r="P79" s="5">
        <f>(VLOOKUP('15.01'!X79,'15.01'!$AM$4:$AO$55,2,FALSE))*IF('15.01'!BA$4="是",'15.01'!$AY$4,'15.01'!$AY$3)</f>
        <v>0</v>
      </c>
      <c r="Q79" s="4">
        <f>(VLOOKUP('15.01'!Y79,'15.01'!$AM$4:$AO$55,2,FALSE))*IF('15.01'!BB$4="是",'15.01'!$AY$4,'15.01'!$AY$3)</f>
        <v>200</v>
      </c>
      <c r="R79" s="4">
        <f>(VLOOKUP('15.01'!Z79,'15.01'!$AM$4:$AO$55,2,FALSE))*IF('15.01'!BC$4="是",'15.01'!$AY$4,'15.01'!$AY$3)</f>
        <v>200</v>
      </c>
      <c r="S79" s="4">
        <f>(VLOOKUP('15.01'!AA79,'15.01'!$AM$4:$AO$55,2,FALSE))*IF('15.01'!BD$4="是",'15.01'!$AY$4,'15.01'!$AY$3)</f>
        <v>200</v>
      </c>
      <c r="T79" s="4">
        <f>(VLOOKUP('15.01'!AB79,'15.01'!$AM$4:$AO$55,2,FALSE))*IF('15.01'!BE$4="是",'15.01'!$AY$4,'15.01'!$AY$3)</f>
        <v>200</v>
      </c>
      <c r="U79" s="4">
        <f>(VLOOKUP('15.01'!AC79,'15.01'!$AM$4:$AO$55,2,FALSE))*IF('15.01'!BF$4="是",'15.01'!$AY$4,'15.01'!$AY$3)</f>
        <v>-200</v>
      </c>
      <c r="V79" s="4">
        <f>(VLOOKUP('15.01'!AD79,'15.01'!$AM$4:$AO$55,2,FALSE))*IF('15.01'!BG$4="是",'15.01'!$AY$4,'15.01'!$AY$3)</f>
        <v>200</v>
      </c>
      <c r="W79" s="5">
        <f>(VLOOKUP('15.01'!AE79,'15.01'!$AM$4:$AO$55,2,FALSE))*IF('15.01'!BH$4="是",'15.01'!$AY$4,'15.01'!$AY$3)</f>
        <v>0</v>
      </c>
      <c r="X79" s="5">
        <f>(VLOOKUP('15.01'!AF79,'15.01'!$AM$4:$AO$55,2,FALSE))*IF('15.01'!BI$4="是",'15.01'!$AY$4,'15.01'!$AY$3)</f>
        <v>0</v>
      </c>
    </row>
    <row r="80" spans="1:24">
      <c r="A80" s="4">
        <f>(VLOOKUP('15.01'!I80,'15.01'!$AM$4:$AO$55,2,FALSE))*IF('15.01'!AK$4="是",'15.01'!$AY$4,'15.01'!$AY$3)</f>
        <v>0</v>
      </c>
      <c r="B80" s="4">
        <f>(VLOOKUP('15.01'!J80,'15.01'!$AM$4:$AO$55,2,FALSE))*IF('15.01'!AL$4="是",'15.01'!$AY$4,'15.01'!$AY$3)</f>
        <v>0</v>
      </c>
      <c r="C80" s="4">
        <f>(VLOOKUP('15.01'!K80,'15.01'!$AM$4:$AO$55,2,FALSE))*IF('15.01'!AM$4="是",'15.01'!$AY$4,'15.01'!$AY$3)</f>
        <v>0</v>
      </c>
      <c r="D80" s="4">
        <f>(VLOOKUP('15.01'!L80,'15.01'!$AM$4:$AO$55,2,FALSE))*IF('15.01'!AN$4="是",'15.01'!$AY$4,'15.01'!$AY$3)</f>
        <v>0</v>
      </c>
      <c r="E80" s="4">
        <f>(VLOOKUP('15.01'!M80,'15.01'!$AM$4:$AO$55,2,FALSE))*IF('15.01'!AO$4="是",'15.01'!$AY$4,'15.01'!$AY$3)</f>
        <v>0</v>
      </c>
      <c r="F80" s="4">
        <f>(VLOOKUP('15.01'!N80,'15.01'!$AM$4:$AO$55,2,FALSE))*IF('15.01'!AQ$4="是",'15.01'!$AY$4,'15.01'!$AY$3)</f>
        <v>0</v>
      </c>
      <c r="G80" s="5">
        <f>(VLOOKUP('15.01'!O80,'15.01'!$AM$4:$AO$55,2,FALSE))*IF('15.01'!AR$4="是",'15.01'!$AY$4,'15.01'!$AY$3)</f>
        <v>0</v>
      </c>
      <c r="H80" s="5">
        <f>(VLOOKUP('15.01'!P80,'15.01'!$AM$4:$AO$55,2,FALSE))*IF('15.01'!AS$4="是",'15.01'!$AY$4,'15.01'!$AY$3)</f>
        <v>0</v>
      </c>
      <c r="I80" s="4">
        <f>(VLOOKUP('15.01'!Q80,'15.01'!$AM$4:$AO$55,2,FALSE))*IF('15.01'!AT$4="是",'15.01'!$AY$4,'15.01'!$AY$3)</f>
        <v>190</v>
      </c>
      <c r="J80" s="4">
        <f>(VLOOKUP('15.01'!R80,'15.01'!$AM$4:$AO$55,2,FALSE))*IF('15.01'!AU$4="是",'15.01'!$AY$4,'15.01'!$AY$3)</f>
        <v>190</v>
      </c>
      <c r="K80" s="4">
        <f>(VLOOKUP('15.01'!S80,'15.01'!$AM$4:$AO$55,2,FALSE))*IF('15.01'!AV$4="是",'15.01'!$AY$4,'15.01'!$AY$3)</f>
        <v>190</v>
      </c>
      <c r="L80" s="4">
        <f>(VLOOKUP('15.01'!T80,'15.01'!$AM$4:$AO$55,2,FALSE))*IF('15.01'!AW$4="是",'15.01'!$AY$4,'15.01'!$AY$3)</f>
        <v>190</v>
      </c>
      <c r="M80" s="4">
        <f>(VLOOKUP('15.01'!U80,'15.01'!$AM$4:$AO$55,2,FALSE))*IF('15.01'!AX$4="是",'15.01'!$AY$4,'15.01'!$AY$3)</f>
        <v>190</v>
      </c>
      <c r="N80" s="4">
        <f>(VLOOKUP('15.01'!V80,'15.01'!$AM$4:$AO$55,2,FALSE))*IF('15.01'!AY$4="是",'15.01'!$AY$4,'15.01'!$AY$3)</f>
        <v>190</v>
      </c>
      <c r="O80" s="5">
        <f>(VLOOKUP('15.01'!W80,'15.01'!$AM$4:$AO$55,2,FALSE))*IF('15.01'!AZ$4="是",'15.01'!$AY$4,'15.01'!$AY$3)</f>
        <v>0</v>
      </c>
      <c r="P80" s="5">
        <f>(VLOOKUP('15.01'!X80,'15.01'!$AM$4:$AO$55,2,FALSE))*IF('15.01'!BA$4="是",'15.01'!$AY$4,'15.01'!$AY$3)</f>
        <v>0</v>
      </c>
      <c r="Q80" s="4">
        <f>(VLOOKUP('15.01'!Y80,'15.01'!$AM$4:$AO$55,2,FALSE))*IF('15.01'!BB$4="是",'15.01'!$AY$4,'15.01'!$AY$3)</f>
        <v>200</v>
      </c>
      <c r="R80" s="4">
        <f>(VLOOKUP('15.01'!Z80,'15.01'!$AM$4:$AO$55,2,FALSE))*IF('15.01'!BC$4="是",'15.01'!$AY$4,'15.01'!$AY$3)</f>
        <v>200</v>
      </c>
      <c r="S80" s="4">
        <f>(VLOOKUP('15.01'!AA80,'15.01'!$AM$4:$AO$55,2,FALSE))*IF('15.01'!BD$4="是",'15.01'!$AY$4,'15.01'!$AY$3)</f>
        <v>200</v>
      </c>
      <c r="T80" s="4">
        <f>(VLOOKUP('15.01'!AB80,'15.01'!$AM$4:$AO$55,2,FALSE))*IF('15.01'!BE$4="是",'15.01'!$AY$4,'15.01'!$AY$3)</f>
        <v>200</v>
      </c>
      <c r="U80" s="4">
        <f>(VLOOKUP('15.01'!AC80,'15.01'!$AM$4:$AO$55,2,FALSE))*IF('15.01'!BF$4="是",'15.01'!$AY$4,'15.01'!$AY$3)</f>
        <v>200</v>
      </c>
      <c r="V80" s="4">
        <f>(VLOOKUP('15.01'!AD80,'15.01'!$AM$4:$AO$55,2,FALSE))*IF('15.01'!BG$4="是",'15.01'!$AY$4,'15.01'!$AY$3)</f>
        <v>200</v>
      </c>
      <c r="W80" s="5">
        <f>(VLOOKUP('15.01'!AE80,'15.01'!$AM$4:$AO$55,2,FALSE))*IF('15.01'!BH$4="是",'15.01'!$AY$4,'15.01'!$AY$3)</f>
        <v>0</v>
      </c>
      <c r="X80" s="5">
        <f>(VLOOKUP('15.01'!AF80,'15.01'!$AM$4:$AO$55,2,FALSE))*IF('15.01'!BI$4="是",'15.01'!$AY$4,'15.01'!$AY$3)</f>
        <v>0</v>
      </c>
    </row>
    <row r="81" spans="1:24">
      <c r="A81" s="4">
        <f>(VLOOKUP('15.01'!I81,'15.01'!$AM$4:$AO$55,2,FALSE))*IF('15.01'!AK$4="是",'15.01'!$AY$4,'15.01'!$AY$3)</f>
        <v>0</v>
      </c>
      <c r="B81" s="4">
        <f>(VLOOKUP('15.01'!J81,'15.01'!$AM$4:$AO$55,2,FALSE))*IF('15.01'!AL$4="是",'15.01'!$AY$4,'15.01'!$AY$3)</f>
        <v>0</v>
      </c>
      <c r="C81" s="4">
        <f>(VLOOKUP('15.01'!K81,'15.01'!$AM$4:$AO$55,2,FALSE))*IF('15.01'!AM$4="是",'15.01'!$AY$4,'15.01'!$AY$3)</f>
        <v>0</v>
      </c>
      <c r="D81" s="4">
        <f>(VLOOKUP('15.01'!L81,'15.01'!$AM$4:$AO$55,2,FALSE))*IF('15.01'!AN$4="是",'15.01'!$AY$4,'15.01'!$AY$3)</f>
        <v>0</v>
      </c>
      <c r="E81" s="4">
        <f>(VLOOKUP('15.01'!M81,'15.01'!$AM$4:$AO$55,2,FALSE))*IF('15.01'!AO$4="是",'15.01'!$AY$4,'15.01'!$AY$3)</f>
        <v>0</v>
      </c>
      <c r="F81" s="4">
        <f>(VLOOKUP('15.01'!N81,'15.01'!$AM$4:$AO$55,2,FALSE))*IF('15.01'!AQ$4="是",'15.01'!$AY$4,'15.01'!$AY$3)</f>
        <v>0</v>
      </c>
      <c r="G81" s="5">
        <f>(VLOOKUP('15.01'!O81,'15.01'!$AM$4:$AO$55,2,FALSE))*IF('15.01'!AR$4="是",'15.01'!$AY$4,'15.01'!$AY$3)</f>
        <v>0</v>
      </c>
      <c r="H81" s="5">
        <f>(VLOOKUP('15.01'!P81,'15.01'!$AM$4:$AO$55,2,FALSE))*IF('15.01'!AS$4="是",'15.01'!$AY$4,'15.01'!$AY$3)</f>
        <v>0</v>
      </c>
      <c r="I81" s="4">
        <f>(VLOOKUP('15.01'!Q81,'15.01'!$AM$4:$AO$55,2,FALSE))*IF('15.01'!AT$4="是",'15.01'!$AY$4,'15.01'!$AY$3)</f>
        <v>190</v>
      </c>
      <c r="J81" s="4">
        <f>(VLOOKUP('15.01'!R81,'15.01'!$AM$4:$AO$55,2,FALSE))*IF('15.01'!AU$4="是",'15.01'!$AY$4,'15.01'!$AY$3)</f>
        <v>190</v>
      </c>
      <c r="K81" s="4">
        <f>(VLOOKUP('15.01'!S81,'15.01'!$AM$4:$AO$55,2,FALSE))*IF('15.01'!AV$4="是",'15.01'!$AY$4,'15.01'!$AY$3)</f>
        <v>190</v>
      </c>
      <c r="L81" s="4">
        <f>(VLOOKUP('15.01'!T81,'15.01'!$AM$4:$AO$55,2,FALSE))*IF('15.01'!AW$4="是",'15.01'!$AY$4,'15.01'!$AY$3)</f>
        <v>190</v>
      </c>
      <c r="M81" s="4">
        <f>(VLOOKUP('15.01'!U81,'15.01'!$AM$4:$AO$55,2,FALSE))*IF('15.01'!AX$4="是",'15.01'!$AY$4,'15.01'!$AY$3)</f>
        <v>190</v>
      </c>
      <c r="N81" s="4">
        <f>(VLOOKUP('15.01'!V81,'15.01'!$AM$4:$AO$55,2,FALSE))*IF('15.01'!AY$4="是",'15.01'!$AY$4,'15.01'!$AY$3)</f>
        <v>190</v>
      </c>
      <c r="O81" s="5">
        <f>(VLOOKUP('15.01'!W81,'15.01'!$AM$4:$AO$55,2,FALSE))*IF('15.01'!AZ$4="是",'15.01'!$AY$4,'15.01'!$AY$3)</f>
        <v>0</v>
      </c>
      <c r="P81" s="5">
        <f>(VLOOKUP('15.01'!X81,'15.01'!$AM$4:$AO$55,2,FALSE))*IF('15.01'!BA$4="是",'15.01'!$AY$4,'15.01'!$AY$3)</f>
        <v>0</v>
      </c>
      <c r="Q81" s="4">
        <f>(VLOOKUP('15.01'!Y81,'15.01'!$AM$4:$AO$55,2,FALSE))*IF('15.01'!BB$4="是",'15.01'!$AY$4,'15.01'!$AY$3)</f>
        <v>200</v>
      </c>
      <c r="R81" s="4">
        <f>(VLOOKUP('15.01'!Z81,'15.01'!$AM$4:$AO$55,2,FALSE))*IF('15.01'!BC$4="是",'15.01'!$AY$4,'15.01'!$AY$3)</f>
        <v>200</v>
      </c>
      <c r="S81" s="4">
        <f>(VLOOKUP('15.01'!AA81,'15.01'!$AM$4:$AO$55,2,FALSE))*IF('15.01'!BD$4="是",'15.01'!$AY$4,'15.01'!$AY$3)</f>
        <v>200</v>
      </c>
      <c r="T81" s="4">
        <f>(VLOOKUP('15.01'!AB81,'15.01'!$AM$4:$AO$55,2,FALSE))*IF('15.01'!BE$4="是",'15.01'!$AY$4,'15.01'!$AY$3)</f>
        <v>200</v>
      </c>
      <c r="U81" s="4">
        <f>(VLOOKUP('15.01'!AC81,'15.01'!$AM$4:$AO$55,2,FALSE))*IF('15.01'!BF$4="是",'15.01'!$AY$4,'15.01'!$AY$3)</f>
        <v>200</v>
      </c>
      <c r="V81" s="4">
        <f>(VLOOKUP('15.01'!AD81,'15.01'!$AM$4:$AO$55,2,FALSE))*IF('15.01'!BG$4="是",'15.01'!$AY$4,'15.01'!$AY$3)</f>
        <v>200</v>
      </c>
      <c r="W81" s="5">
        <f>(VLOOKUP('15.01'!AE81,'15.01'!$AM$4:$AO$55,2,FALSE))*IF('15.01'!BH$4="是",'15.01'!$AY$4,'15.01'!$AY$3)</f>
        <v>0</v>
      </c>
      <c r="X81" s="5">
        <f>(VLOOKUP('15.01'!AF81,'15.01'!$AM$4:$AO$55,2,FALSE))*IF('15.01'!BI$4="是",'15.01'!$AY$4,'15.01'!$AY$3)</f>
        <v>0</v>
      </c>
    </row>
    <row r="82" spans="1:24">
      <c r="A82" s="4">
        <f>(VLOOKUP('15.01'!I82,'15.01'!$AM$4:$AO$55,2,FALSE))*IF('15.01'!AK$4="是",'15.01'!$AY$4,'15.01'!$AY$3)</f>
        <v>0</v>
      </c>
      <c r="B82" s="4">
        <f>(VLOOKUP('15.01'!J82,'15.01'!$AM$4:$AO$55,2,FALSE))*IF('15.01'!AL$4="是",'15.01'!$AY$4,'15.01'!$AY$3)</f>
        <v>0</v>
      </c>
      <c r="C82" s="4">
        <f>(VLOOKUP('15.01'!K82,'15.01'!$AM$4:$AO$55,2,FALSE))*IF('15.01'!AM$4="是",'15.01'!$AY$4,'15.01'!$AY$3)</f>
        <v>0</v>
      </c>
      <c r="D82" s="4">
        <f>(VLOOKUP('15.01'!L82,'15.01'!$AM$4:$AO$55,2,FALSE))*IF('15.01'!AN$4="是",'15.01'!$AY$4,'15.01'!$AY$3)</f>
        <v>0</v>
      </c>
      <c r="E82" s="4">
        <f>(VLOOKUP('15.01'!M82,'15.01'!$AM$4:$AO$55,2,FALSE))*IF('15.01'!AO$4="是",'15.01'!$AY$4,'15.01'!$AY$3)</f>
        <v>0</v>
      </c>
      <c r="F82" s="4">
        <f>(VLOOKUP('15.01'!N82,'15.01'!$AM$4:$AO$55,2,FALSE))*IF('15.01'!AQ$4="是",'15.01'!$AY$4,'15.01'!$AY$3)</f>
        <v>0</v>
      </c>
      <c r="G82" s="5">
        <f>(VLOOKUP('15.01'!O82,'15.01'!$AM$4:$AO$55,2,FALSE))*IF('15.01'!AR$4="是",'15.01'!$AY$4,'15.01'!$AY$3)</f>
        <v>0</v>
      </c>
      <c r="H82" s="5">
        <f>(VLOOKUP('15.01'!P82,'15.01'!$AM$4:$AO$55,2,FALSE))*IF('15.01'!AS$4="是",'15.01'!$AY$4,'15.01'!$AY$3)</f>
        <v>0</v>
      </c>
      <c r="I82" s="4">
        <f>(VLOOKUP('15.01'!Q82,'15.01'!$AM$4:$AO$55,2,FALSE))*IF('15.01'!AT$4="是",'15.01'!$AY$4,'15.01'!$AY$3)</f>
        <v>190</v>
      </c>
      <c r="J82" s="4">
        <f>(VLOOKUP('15.01'!R82,'15.01'!$AM$4:$AO$55,2,FALSE))*IF('15.01'!AU$4="是",'15.01'!$AY$4,'15.01'!$AY$3)</f>
        <v>190</v>
      </c>
      <c r="K82" s="4">
        <f>(VLOOKUP('15.01'!S82,'15.01'!$AM$4:$AO$55,2,FALSE))*IF('15.01'!AV$4="是",'15.01'!$AY$4,'15.01'!$AY$3)</f>
        <v>190</v>
      </c>
      <c r="L82" s="4">
        <f>(VLOOKUP('15.01'!T82,'15.01'!$AM$4:$AO$55,2,FALSE))*IF('15.01'!AW$4="是",'15.01'!$AY$4,'15.01'!$AY$3)</f>
        <v>190</v>
      </c>
      <c r="M82" s="4">
        <f>(VLOOKUP('15.01'!U82,'15.01'!$AM$4:$AO$55,2,FALSE))*IF('15.01'!AX$4="是",'15.01'!$AY$4,'15.01'!$AY$3)</f>
        <v>190</v>
      </c>
      <c r="N82" s="4">
        <f>(VLOOKUP('15.01'!V82,'15.01'!$AM$4:$AO$55,2,FALSE))*IF('15.01'!AY$4="是",'15.01'!$AY$4,'15.01'!$AY$3)</f>
        <v>190</v>
      </c>
      <c r="O82" s="5">
        <f>(VLOOKUP('15.01'!W82,'15.01'!$AM$4:$AO$55,2,FALSE))*IF('15.01'!AZ$4="是",'15.01'!$AY$4,'15.01'!$AY$3)</f>
        <v>0</v>
      </c>
      <c r="P82" s="5">
        <f>(VLOOKUP('15.01'!X82,'15.01'!$AM$4:$AO$55,2,FALSE))*IF('15.01'!BA$4="是",'15.01'!$AY$4,'15.01'!$AY$3)</f>
        <v>0</v>
      </c>
      <c r="Q82" s="4">
        <f>(VLOOKUP('15.01'!Y82,'15.01'!$AM$4:$AO$55,2,FALSE))*IF('15.01'!BB$4="是",'15.01'!$AY$4,'15.01'!$AY$3)</f>
        <v>190</v>
      </c>
      <c r="R82" s="4">
        <f>(VLOOKUP('15.01'!Z82,'15.01'!$AM$4:$AO$55,2,FALSE))*IF('15.01'!BC$4="是",'15.01'!$AY$4,'15.01'!$AY$3)</f>
        <v>190</v>
      </c>
      <c r="S82" s="4">
        <f>(VLOOKUP('15.01'!AA82,'15.01'!$AM$4:$AO$55,2,FALSE))*IF('15.01'!BD$4="是",'15.01'!$AY$4,'15.01'!$AY$3)</f>
        <v>190</v>
      </c>
      <c r="T82" s="4">
        <f>(VLOOKUP('15.01'!AB82,'15.01'!$AM$4:$AO$55,2,FALSE))*IF('15.01'!BE$4="是",'15.01'!$AY$4,'15.01'!$AY$3)</f>
        <v>190</v>
      </c>
      <c r="U82" s="4">
        <f>(VLOOKUP('15.01'!AC82,'15.01'!$AM$4:$AO$55,2,FALSE))*IF('15.01'!BF$4="是",'15.01'!$AY$4,'15.01'!$AY$3)</f>
        <v>190</v>
      </c>
      <c r="V82" s="4">
        <f>(VLOOKUP('15.01'!AD82,'15.01'!$AM$4:$AO$55,2,FALSE))*IF('15.01'!BG$4="是",'15.01'!$AY$4,'15.01'!$AY$3)</f>
        <v>190</v>
      </c>
      <c r="W82" s="5">
        <f>(VLOOKUP('15.01'!AE82,'15.01'!$AM$4:$AO$55,2,FALSE))*IF('15.01'!BH$4="是",'15.01'!$AY$4,'15.01'!$AY$3)</f>
        <v>0</v>
      </c>
      <c r="X82" s="5">
        <f>(VLOOKUP('15.01'!AF82,'15.01'!$AM$4:$AO$55,2,FALSE))*IF('15.01'!BI$4="是",'15.01'!$AY$4,'15.01'!$AY$3)</f>
        <v>0</v>
      </c>
    </row>
    <row r="83" spans="1:24">
      <c r="A83" s="4">
        <f>(VLOOKUP('15.01'!I83,'15.01'!$AM$4:$AO$55,2,FALSE))*IF('15.01'!AK$4="是",'15.01'!$AY$4,'15.01'!$AY$3)</f>
        <v>0</v>
      </c>
      <c r="B83" s="4">
        <f>(VLOOKUP('15.01'!J83,'15.01'!$AM$4:$AO$55,2,FALSE))*IF('15.01'!AL$4="是",'15.01'!$AY$4,'15.01'!$AY$3)</f>
        <v>0</v>
      </c>
      <c r="C83" s="4">
        <f>(VLOOKUP('15.01'!K83,'15.01'!$AM$4:$AO$55,2,FALSE))*IF('15.01'!AM$4="是",'15.01'!$AY$4,'15.01'!$AY$3)</f>
        <v>0</v>
      </c>
      <c r="D83" s="4">
        <f>(VLOOKUP('15.01'!L83,'15.01'!$AM$4:$AO$55,2,FALSE))*IF('15.01'!AN$4="是",'15.01'!$AY$4,'15.01'!$AY$3)</f>
        <v>0</v>
      </c>
      <c r="E83" s="4">
        <f>(VLOOKUP('15.01'!M83,'15.01'!$AM$4:$AO$55,2,FALSE))*IF('15.01'!AO$4="是",'15.01'!$AY$4,'15.01'!$AY$3)</f>
        <v>0</v>
      </c>
      <c r="F83" s="4">
        <f>(VLOOKUP('15.01'!N83,'15.01'!$AM$4:$AO$55,2,FALSE))*IF('15.01'!AQ$4="是",'15.01'!$AY$4,'15.01'!$AY$3)</f>
        <v>0</v>
      </c>
      <c r="G83" s="5">
        <f>(VLOOKUP('15.01'!O83,'15.01'!$AM$4:$AO$55,2,FALSE))*IF('15.01'!AR$4="是",'15.01'!$AY$4,'15.01'!$AY$3)</f>
        <v>0</v>
      </c>
      <c r="H83" s="5">
        <f>(VLOOKUP('15.01'!P83,'15.01'!$AM$4:$AO$55,2,FALSE))*IF('15.01'!AS$4="是",'15.01'!$AY$4,'15.01'!$AY$3)</f>
        <v>0</v>
      </c>
      <c r="I83" s="4">
        <f>(VLOOKUP('15.01'!Q83,'15.01'!$AM$4:$AO$55,2,FALSE))*IF('15.01'!AT$4="是",'15.01'!$AY$4,'15.01'!$AY$3)</f>
        <v>190</v>
      </c>
      <c r="J83" s="4">
        <f>(VLOOKUP('15.01'!R83,'15.01'!$AM$4:$AO$55,2,FALSE))*IF('15.01'!AU$4="是",'15.01'!$AY$4,'15.01'!$AY$3)</f>
        <v>190</v>
      </c>
      <c r="K83" s="4">
        <f>(VLOOKUP('15.01'!S83,'15.01'!$AM$4:$AO$55,2,FALSE))*IF('15.01'!AV$4="是",'15.01'!$AY$4,'15.01'!$AY$3)</f>
        <v>190</v>
      </c>
      <c r="L83" s="4">
        <f>(VLOOKUP('15.01'!T83,'15.01'!$AM$4:$AO$55,2,FALSE))*IF('15.01'!AW$4="是",'15.01'!$AY$4,'15.01'!$AY$3)</f>
        <v>190</v>
      </c>
      <c r="M83" s="4">
        <f>(VLOOKUP('15.01'!U83,'15.01'!$AM$4:$AO$55,2,FALSE))*IF('15.01'!AX$4="是",'15.01'!$AY$4,'15.01'!$AY$3)</f>
        <v>190</v>
      </c>
      <c r="N83" s="4">
        <f>(VLOOKUP('15.01'!V83,'15.01'!$AM$4:$AO$55,2,FALSE))*IF('15.01'!AY$4="是",'15.01'!$AY$4,'15.01'!$AY$3)</f>
        <v>190</v>
      </c>
      <c r="O83" s="5">
        <f>(VLOOKUP('15.01'!W83,'15.01'!$AM$4:$AO$55,2,FALSE))*IF('15.01'!AZ$4="是",'15.01'!$AY$4,'15.01'!$AY$3)</f>
        <v>0</v>
      </c>
      <c r="P83" s="5">
        <f>(VLOOKUP('15.01'!X83,'15.01'!$AM$4:$AO$55,2,FALSE))*IF('15.01'!BA$4="是",'15.01'!$AY$4,'15.01'!$AY$3)</f>
        <v>0</v>
      </c>
      <c r="Q83" s="4">
        <f>(VLOOKUP('15.01'!Y83,'15.01'!$AM$4:$AO$55,2,FALSE))*IF('15.01'!BB$4="是",'15.01'!$AY$4,'15.01'!$AY$3)</f>
        <v>190</v>
      </c>
      <c r="R83" s="4">
        <f>(VLOOKUP('15.01'!Z83,'15.01'!$AM$4:$AO$55,2,FALSE))*IF('15.01'!BC$4="是",'15.01'!$AY$4,'15.01'!$AY$3)</f>
        <v>190</v>
      </c>
      <c r="S83" s="4">
        <f>(VLOOKUP('15.01'!AA83,'15.01'!$AM$4:$AO$55,2,FALSE))*IF('15.01'!BD$4="是",'15.01'!$AY$4,'15.01'!$AY$3)</f>
        <v>190</v>
      </c>
      <c r="T83" s="4">
        <f>(VLOOKUP('15.01'!AB83,'15.01'!$AM$4:$AO$55,2,FALSE))*IF('15.01'!BE$4="是",'15.01'!$AY$4,'15.01'!$AY$3)</f>
        <v>190</v>
      </c>
      <c r="U83" s="4">
        <f>(VLOOKUP('15.01'!AC83,'15.01'!$AM$4:$AO$55,2,FALSE))*IF('15.01'!BF$4="是",'15.01'!$AY$4,'15.01'!$AY$3)</f>
        <v>190</v>
      </c>
      <c r="V83" s="4">
        <f>(VLOOKUP('15.01'!AD83,'15.01'!$AM$4:$AO$55,2,FALSE))*IF('15.01'!BG$4="是",'15.01'!$AY$4,'15.01'!$AY$3)</f>
        <v>190</v>
      </c>
      <c r="W83" s="5">
        <f>(VLOOKUP('15.01'!AE83,'15.01'!$AM$4:$AO$55,2,FALSE))*IF('15.01'!BH$4="是",'15.01'!$AY$4,'15.01'!$AY$3)</f>
        <v>0</v>
      </c>
      <c r="X83" s="5">
        <f>(VLOOKUP('15.01'!AF83,'15.01'!$AM$4:$AO$55,2,FALSE))*IF('15.01'!BI$4="是",'15.01'!$AY$4,'15.01'!$AY$3)</f>
        <v>0</v>
      </c>
    </row>
    <row r="84" spans="1:24">
      <c r="A84" s="4">
        <f>(VLOOKUP('15.01'!I84,'15.01'!$AM$4:$AO$55,2,FALSE))*IF('15.01'!AK$4="是",'15.01'!$AY$4,'15.01'!$AY$3)</f>
        <v>0</v>
      </c>
      <c r="B84" s="4">
        <f>(VLOOKUP('15.01'!J84,'15.01'!$AM$4:$AO$55,2,FALSE))*IF('15.01'!AL$4="是",'15.01'!$AY$4,'15.01'!$AY$3)</f>
        <v>0</v>
      </c>
      <c r="C84" s="4">
        <f>(VLOOKUP('15.01'!K84,'15.01'!$AM$4:$AO$55,2,FALSE))*IF('15.01'!AM$4="是",'15.01'!$AY$4,'15.01'!$AY$3)</f>
        <v>0</v>
      </c>
      <c r="D84" s="4">
        <f>(VLOOKUP('15.01'!L84,'15.01'!$AM$4:$AO$55,2,FALSE))*IF('15.01'!AN$4="是",'15.01'!$AY$4,'15.01'!$AY$3)</f>
        <v>0</v>
      </c>
      <c r="E84" s="4">
        <f>(VLOOKUP('15.01'!M84,'15.01'!$AM$4:$AO$55,2,FALSE))*IF('15.01'!AO$4="是",'15.01'!$AY$4,'15.01'!$AY$3)</f>
        <v>0</v>
      </c>
      <c r="F84" s="4">
        <f>(VLOOKUP('15.01'!N84,'15.01'!$AM$4:$AO$55,2,FALSE))*IF('15.01'!AQ$4="是",'15.01'!$AY$4,'15.01'!$AY$3)</f>
        <v>0</v>
      </c>
      <c r="G84" s="5">
        <f>(VLOOKUP('15.01'!O84,'15.01'!$AM$4:$AO$55,2,FALSE))*IF('15.01'!AR$4="是",'15.01'!$AY$4,'15.01'!$AY$3)</f>
        <v>0</v>
      </c>
      <c r="H84" s="5">
        <f>(VLOOKUP('15.01'!P84,'15.01'!$AM$4:$AO$55,2,FALSE))*IF('15.01'!AS$4="是",'15.01'!$AY$4,'15.01'!$AY$3)</f>
        <v>0</v>
      </c>
      <c r="I84" s="4">
        <f>(VLOOKUP('15.01'!Q84,'15.01'!$AM$4:$AO$55,2,FALSE))*IF('15.01'!AT$4="是",'15.01'!$AY$4,'15.01'!$AY$3)</f>
        <v>190</v>
      </c>
      <c r="J84" s="4">
        <f>(VLOOKUP('15.01'!R84,'15.01'!$AM$4:$AO$55,2,FALSE))*IF('15.01'!AU$4="是",'15.01'!$AY$4,'15.01'!$AY$3)</f>
        <v>190</v>
      </c>
      <c r="K84" s="4">
        <f>(VLOOKUP('15.01'!S84,'15.01'!$AM$4:$AO$55,2,FALSE))*IF('15.01'!AV$4="是",'15.01'!$AY$4,'15.01'!$AY$3)</f>
        <v>190</v>
      </c>
      <c r="L84" s="4">
        <f>(VLOOKUP('15.01'!T84,'15.01'!$AM$4:$AO$55,2,FALSE))*IF('15.01'!AW$4="是",'15.01'!$AY$4,'15.01'!$AY$3)</f>
        <v>190</v>
      </c>
      <c r="M84" s="4">
        <f>(VLOOKUP('15.01'!U84,'15.01'!$AM$4:$AO$55,2,FALSE))*IF('15.01'!AX$4="是",'15.01'!$AY$4,'15.01'!$AY$3)</f>
        <v>190</v>
      </c>
      <c r="N84" s="4">
        <f>(VLOOKUP('15.01'!V84,'15.01'!$AM$4:$AO$55,2,FALSE))*IF('15.01'!AY$4="是",'15.01'!$AY$4,'15.01'!$AY$3)</f>
        <v>190</v>
      </c>
      <c r="O84" s="5">
        <f>(VLOOKUP('15.01'!W84,'15.01'!$AM$4:$AO$55,2,FALSE))*IF('15.01'!AZ$4="是",'15.01'!$AY$4,'15.01'!$AY$3)</f>
        <v>0</v>
      </c>
      <c r="P84" s="5">
        <f>(VLOOKUP('15.01'!X84,'15.01'!$AM$4:$AO$55,2,FALSE))*IF('15.01'!BA$4="是",'15.01'!$AY$4,'15.01'!$AY$3)</f>
        <v>0</v>
      </c>
      <c r="Q84" s="4">
        <f>(VLOOKUP('15.01'!Y84,'15.01'!$AM$4:$AO$55,2,FALSE))*IF('15.01'!BB$4="是",'15.01'!$AY$4,'15.01'!$AY$3)</f>
        <v>190</v>
      </c>
      <c r="R84" s="4">
        <f>(VLOOKUP('15.01'!Z84,'15.01'!$AM$4:$AO$55,2,FALSE))*IF('15.01'!BC$4="是",'15.01'!$AY$4,'15.01'!$AY$3)</f>
        <v>190</v>
      </c>
      <c r="S84" s="4">
        <f>(VLOOKUP('15.01'!AA84,'15.01'!$AM$4:$AO$55,2,FALSE))*IF('15.01'!BD$4="是",'15.01'!$AY$4,'15.01'!$AY$3)</f>
        <v>190</v>
      </c>
      <c r="T84" s="4">
        <f>(VLOOKUP('15.01'!AB84,'15.01'!$AM$4:$AO$55,2,FALSE))*IF('15.01'!BE$4="是",'15.01'!$AY$4,'15.01'!$AY$3)</f>
        <v>190</v>
      </c>
      <c r="U84" s="4">
        <f>(VLOOKUP('15.01'!AC84,'15.01'!$AM$4:$AO$55,2,FALSE))*IF('15.01'!BF$4="是",'15.01'!$AY$4,'15.01'!$AY$3)</f>
        <v>190</v>
      </c>
      <c r="V84" s="4">
        <f>(VLOOKUP('15.01'!AD84,'15.01'!$AM$4:$AO$55,2,FALSE))*IF('15.01'!BG$4="是",'15.01'!$AY$4,'15.01'!$AY$3)</f>
        <v>190</v>
      </c>
      <c r="W84" s="5">
        <f>(VLOOKUP('15.01'!AE84,'15.01'!$AM$4:$AO$55,2,FALSE))*IF('15.01'!BH$4="是",'15.01'!$AY$4,'15.01'!$AY$3)</f>
        <v>0</v>
      </c>
      <c r="X84" s="5">
        <f>(VLOOKUP('15.01'!AF84,'15.01'!$AM$4:$AO$55,2,FALSE))*IF('15.01'!BI$4="是",'15.01'!$AY$4,'15.01'!$AY$3)</f>
        <v>0</v>
      </c>
    </row>
    <row r="85" spans="1:24">
      <c r="A85" s="4">
        <f>(VLOOKUP('15.01'!I85,'15.01'!$AM$4:$AO$55,2,FALSE))*IF('15.01'!AK$4="是",'15.01'!$AY$4,'15.01'!$AY$3)</f>
        <v>0</v>
      </c>
      <c r="B85" s="4">
        <f>(VLOOKUP('15.01'!J85,'15.01'!$AM$4:$AO$55,2,FALSE))*IF('15.01'!AL$4="是",'15.01'!$AY$4,'15.01'!$AY$3)</f>
        <v>0</v>
      </c>
      <c r="C85" s="4">
        <f>(VLOOKUP('15.01'!K85,'15.01'!$AM$4:$AO$55,2,FALSE))*IF('15.01'!AM$4="是",'15.01'!$AY$4,'15.01'!$AY$3)</f>
        <v>0</v>
      </c>
      <c r="D85" s="4">
        <f>(VLOOKUP('15.01'!L85,'15.01'!$AM$4:$AO$55,2,FALSE))*IF('15.01'!AN$4="是",'15.01'!$AY$4,'15.01'!$AY$3)</f>
        <v>0</v>
      </c>
      <c r="E85" s="4">
        <f>(VLOOKUP('15.01'!M85,'15.01'!$AM$4:$AO$55,2,FALSE))*IF('15.01'!AO$4="是",'15.01'!$AY$4,'15.01'!$AY$3)</f>
        <v>0</v>
      </c>
      <c r="F85" s="4">
        <f>(VLOOKUP('15.01'!N85,'15.01'!$AM$4:$AO$55,2,FALSE))*IF('15.01'!AQ$4="是",'15.01'!$AY$4,'15.01'!$AY$3)</f>
        <v>0</v>
      </c>
      <c r="G85" s="5">
        <f>(VLOOKUP('15.01'!O85,'15.01'!$AM$4:$AO$55,2,FALSE))*IF('15.01'!AR$4="是",'15.01'!$AY$4,'15.01'!$AY$3)</f>
        <v>0</v>
      </c>
      <c r="H85" s="5">
        <f>(VLOOKUP('15.01'!P85,'15.01'!$AM$4:$AO$55,2,FALSE))*IF('15.01'!AS$4="是",'15.01'!$AY$4,'15.01'!$AY$3)</f>
        <v>0</v>
      </c>
      <c r="I85" s="4">
        <f>(VLOOKUP('15.01'!Q85,'15.01'!$AM$4:$AO$55,2,FALSE))*IF('15.01'!AT$4="是",'15.01'!$AY$4,'15.01'!$AY$3)</f>
        <v>190</v>
      </c>
      <c r="J85" s="4">
        <f>(VLOOKUP('15.01'!R85,'15.01'!$AM$4:$AO$55,2,FALSE))*IF('15.01'!AU$4="是",'15.01'!$AY$4,'15.01'!$AY$3)</f>
        <v>190</v>
      </c>
      <c r="K85" s="4">
        <f>(VLOOKUP('15.01'!S85,'15.01'!$AM$4:$AO$55,2,FALSE))*IF('15.01'!AV$4="是",'15.01'!$AY$4,'15.01'!$AY$3)</f>
        <v>190</v>
      </c>
      <c r="L85" s="4">
        <f>(VLOOKUP('15.01'!T85,'15.01'!$AM$4:$AO$55,2,FALSE))*IF('15.01'!AW$4="是",'15.01'!$AY$4,'15.01'!$AY$3)</f>
        <v>190</v>
      </c>
      <c r="M85" s="4">
        <f>(VLOOKUP('15.01'!U85,'15.01'!$AM$4:$AO$55,2,FALSE))*IF('15.01'!AX$4="是",'15.01'!$AY$4,'15.01'!$AY$3)</f>
        <v>190</v>
      </c>
      <c r="N85" s="4">
        <f>(VLOOKUP('15.01'!V85,'15.01'!$AM$4:$AO$55,2,FALSE))*IF('15.01'!AY$4="是",'15.01'!$AY$4,'15.01'!$AY$3)</f>
        <v>190</v>
      </c>
      <c r="O85" s="5">
        <f>(VLOOKUP('15.01'!W85,'15.01'!$AM$4:$AO$55,2,FALSE))*IF('15.01'!AZ$4="是",'15.01'!$AY$4,'15.01'!$AY$3)</f>
        <v>0</v>
      </c>
      <c r="P85" s="5">
        <f>(VLOOKUP('15.01'!X85,'15.01'!$AM$4:$AO$55,2,FALSE))*IF('15.01'!BA$4="是",'15.01'!$AY$4,'15.01'!$AY$3)</f>
        <v>0</v>
      </c>
      <c r="Q85" s="4">
        <f>(VLOOKUP('15.01'!Y85,'15.01'!$AM$4:$AO$55,2,FALSE))*IF('15.01'!BB$4="是",'15.01'!$AY$4,'15.01'!$AY$3)</f>
        <v>190</v>
      </c>
      <c r="R85" s="4">
        <f>(VLOOKUP('15.01'!Z85,'15.01'!$AM$4:$AO$55,2,FALSE))*IF('15.01'!BC$4="是",'15.01'!$AY$4,'15.01'!$AY$3)</f>
        <v>190</v>
      </c>
      <c r="S85" s="4">
        <f>(VLOOKUP('15.01'!AA85,'15.01'!$AM$4:$AO$55,2,FALSE))*IF('15.01'!BD$4="是",'15.01'!$AY$4,'15.01'!$AY$3)</f>
        <v>190</v>
      </c>
      <c r="T85" s="4">
        <f>(VLOOKUP('15.01'!AB85,'15.01'!$AM$4:$AO$55,2,FALSE))*IF('15.01'!BE$4="是",'15.01'!$AY$4,'15.01'!$AY$3)</f>
        <v>190</v>
      </c>
      <c r="U85" s="4">
        <f>(VLOOKUP('15.01'!AC85,'15.01'!$AM$4:$AO$55,2,FALSE))*IF('15.01'!BF$4="是",'15.01'!$AY$4,'15.01'!$AY$3)</f>
        <v>190</v>
      </c>
      <c r="V85" s="4">
        <f>(VLOOKUP('15.01'!AD85,'15.01'!$AM$4:$AO$55,2,FALSE))*IF('15.01'!BG$4="是",'15.01'!$AY$4,'15.01'!$AY$3)</f>
        <v>190</v>
      </c>
      <c r="W85" s="5">
        <f>(VLOOKUP('15.01'!AE85,'15.01'!$AM$4:$AO$55,2,FALSE))*IF('15.01'!BH$4="是",'15.01'!$AY$4,'15.01'!$AY$3)</f>
        <v>0</v>
      </c>
      <c r="X85" s="5">
        <f>(VLOOKUP('15.01'!AF85,'15.01'!$AM$4:$AO$55,2,FALSE))*IF('15.01'!BI$4="是",'15.01'!$AY$4,'15.01'!$AY$3)</f>
        <v>0</v>
      </c>
    </row>
    <row r="86" spans="1:24">
      <c r="A86" s="4">
        <f>(VLOOKUP('15.01'!I86,'15.01'!$AM$4:$AO$55,2,FALSE))*IF('15.01'!AK$4="是",'15.01'!$AY$4,'15.01'!$AY$3)</f>
        <v>0</v>
      </c>
      <c r="B86" s="4">
        <f>(VLOOKUP('15.01'!J86,'15.01'!$AM$4:$AO$55,2,FALSE))*IF('15.01'!AL$4="是",'15.01'!$AY$4,'15.01'!$AY$3)</f>
        <v>0</v>
      </c>
      <c r="C86" s="4">
        <f>(VLOOKUP('15.01'!K86,'15.01'!$AM$4:$AO$55,2,FALSE))*IF('15.01'!AM$4="是",'15.01'!$AY$4,'15.01'!$AY$3)</f>
        <v>0</v>
      </c>
      <c r="D86" s="4">
        <f>(VLOOKUP('15.01'!L86,'15.01'!$AM$4:$AO$55,2,FALSE))*IF('15.01'!AN$4="是",'15.01'!$AY$4,'15.01'!$AY$3)</f>
        <v>0</v>
      </c>
      <c r="E86" s="4">
        <f>(VLOOKUP('15.01'!M86,'15.01'!$AM$4:$AO$55,2,FALSE))*IF('15.01'!AO$4="是",'15.01'!$AY$4,'15.01'!$AY$3)</f>
        <v>0</v>
      </c>
      <c r="F86" s="4">
        <f>(VLOOKUP('15.01'!N86,'15.01'!$AM$4:$AO$55,2,FALSE))*IF('15.01'!AQ$4="是",'15.01'!$AY$4,'15.01'!$AY$3)</f>
        <v>0</v>
      </c>
      <c r="G86" s="5">
        <f>(VLOOKUP('15.01'!O86,'15.01'!$AM$4:$AO$55,2,FALSE))*IF('15.01'!AR$4="是",'15.01'!$AY$4,'15.01'!$AY$3)</f>
        <v>0</v>
      </c>
      <c r="H86" s="5">
        <f>(VLOOKUP('15.01'!P86,'15.01'!$AM$4:$AO$55,2,FALSE))*IF('15.01'!AS$4="是",'15.01'!$AY$4,'15.01'!$AY$3)</f>
        <v>0</v>
      </c>
      <c r="I86" s="4">
        <f>(VLOOKUP('15.01'!Q86,'15.01'!$AM$4:$AO$55,2,FALSE))*IF('15.01'!AT$4="是",'15.01'!$AY$4,'15.01'!$AY$3)</f>
        <v>190</v>
      </c>
      <c r="J86" s="4">
        <f>(VLOOKUP('15.01'!R86,'15.01'!$AM$4:$AO$55,2,FALSE))*IF('15.01'!AU$4="是",'15.01'!$AY$4,'15.01'!$AY$3)</f>
        <v>-200</v>
      </c>
      <c r="K86" s="4">
        <f>(VLOOKUP('15.01'!S86,'15.01'!$AM$4:$AO$55,2,FALSE))*IF('15.01'!AV$4="是",'15.01'!$AY$4,'15.01'!$AY$3)</f>
        <v>190</v>
      </c>
      <c r="L86" s="4">
        <f>(VLOOKUP('15.01'!T86,'15.01'!$AM$4:$AO$55,2,FALSE))*IF('15.01'!AW$4="是",'15.01'!$AY$4,'15.01'!$AY$3)</f>
        <v>190</v>
      </c>
      <c r="M86" s="4">
        <f>(VLOOKUP('15.01'!U86,'15.01'!$AM$4:$AO$55,2,FALSE))*IF('15.01'!AX$4="是",'15.01'!$AY$4,'15.01'!$AY$3)</f>
        <v>190</v>
      </c>
      <c r="N86" s="4">
        <f>(VLOOKUP('15.01'!V86,'15.01'!$AM$4:$AO$55,2,FALSE))*IF('15.01'!AY$4="是",'15.01'!$AY$4,'15.01'!$AY$3)</f>
        <v>190</v>
      </c>
      <c r="O86" s="5">
        <f>(VLOOKUP('15.01'!W86,'15.01'!$AM$4:$AO$55,2,FALSE))*IF('15.01'!AZ$4="是",'15.01'!$AY$4,'15.01'!$AY$3)</f>
        <v>0</v>
      </c>
      <c r="P86" s="5">
        <f>(VLOOKUP('15.01'!X86,'15.01'!$AM$4:$AO$55,2,FALSE))*IF('15.01'!BA$4="是",'15.01'!$AY$4,'15.01'!$AY$3)</f>
        <v>0</v>
      </c>
      <c r="Q86" s="4">
        <f>(VLOOKUP('15.01'!Y86,'15.01'!$AM$4:$AO$55,2,FALSE))*IF('15.01'!BB$4="是",'15.01'!$AY$4,'15.01'!$AY$3)</f>
        <v>190</v>
      </c>
      <c r="R86" s="4">
        <f>(VLOOKUP('15.01'!Z86,'15.01'!$AM$4:$AO$55,2,FALSE))*IF('15.01'!BC$4="是",'15.01'!$AY$4,'15.01'!$AY$3)</f>
        <v>190</v>
      </c>
      <c r="S86" s="4">
        <f>(VLOOKUP('15.01'!AA86,'15.01'!$AM$4:$AO$55,2,FALSE))*IF('15.01'!BD$4="是",'15.01'!$AY$4,'15.01'!$AY$3)</f>
        <v>190</v>
      </c>
      <c r="T86" s="4">
        <f>(VLOOKUP('15.01'!AB86,'15.01'!$AM$4:$AO$55,2,FALSE))*IF('15.01'!BE$4="是",'15.01'!$AY$4,'15.01'!$AY$3)</f>
        <v>190</v>
      </c>
      <c r="U86" s="4">
        <f>(VLOOKUP('15.01'!AC86,'15.01'!$AM$4:$AO$55,2,FALSE))*IF('15.01'!BF$4="是",'15.01'!$AY$4,'15.01'!$AY$3)</f>
        <v>190</v>
      </c>
      <c r="V86" s="4">
        <f>(VLOOKUP('15.01'!AD86,'15.01'!$AM$4:$AO$55,2,FALSE))*IF('15.01'!BG$4="是",'15.01'!$AY$4,'15.01'!$AY$3)</f>
        <v>190</v>
      </c>
      <c r="W86" s="5">
        <f>(VLOOKUP('15.01'!AE86,'15.01'!$AM$4:$AO$55,2,FALSE))*IF('15.01'!BH$4="是",'15.01'!$AY$4,'15.01'!$AY$3)</f>
        <v>50</v>
      </c>
      <c r="X86" s="5">
        <f>(VLOOKUP('15.01'!AF86,'15.01'!$AM$4:$AO$55,2,FALSE))*IF('15.01'!BI$4="是",'15.01'!$AY$4,'15.01'!$AY$3)</f>
        <v>0</v>
      </c>
    </row>
    <row r="87" spans="1:24">
      <c r="A87" s="4">
        <f>(VLOOKUP('15.01'!I87,'15.01'!$AM$4:$AO$55,2,FALSE))*IF('15.01'!AK$4="是",'15.01'!$AY$4,'15.01'!$AY$3)</f>
        <v>150</v>
      </c>
      <c r="B87" s="4">
        <f>(VLOOKUP('15.01'!J87,'15.01'!$AM$4:$AO$55,2,FALSE))*IF('15.01'!AL$4="是",'15.01'!$AY$4,'15.01'!$AY$3)</f>
        <v>150</v>
      </c>
      <c r="C87" s="4">
        <f>(VLOOKUP('15.01'!K87,'15.01'!$AM$4:$AO$55,2,FALSE))*IF('15.01'!AM$4="是",'15.01'!$AY$4,'15.01'!$AY$3)</f>
        <v>50</v>
      </c>
      <c r="D87" s="4">
        <f>(VLOOKUP('15.01'!L87,'15.01'!$AM$4:$AO$55,2,FALSE))*IF('15.01'!AN$4="是",'15.01'!$AY$4,'15.01'!$AY$3)</f>
        <v>150</v>
      </c>
      <c r="E87" s="4">
        <f>(VLOOKUP('15.01'!M87,'15.01'!$AM$4:$AO$55,2,FALSE))*IF('15.01'!AO$4="是",'15.01'!$AY$4,'15.01'!$AY$3)</f>
        <v>160</v>
      </c>
      <c r="F87" s="4">
        <f>(VLOOKUP('15.01'!N87,'15.01'!$AM$4:$AO$55,2,FALSE))*IF('15.01'!AQ$4="是",'15.01'!$AY$4,'15.01'!$AY$3)</f>
        <v>50</v>
      </c>
      <c r="G87" s="5">
        <f>(VLOOKUP('15.01'!O87,'15.01'!$AM$4:$AO$55,2,FALSE))*IF('15.01'!AR$4="是",'15.01'!$AY$4,'15.01'!$AY$3)</f>
        <v>0</v>
      </c>
      <c r="H87" s="5">
        <f>(VLOOKUP('15.01'!P87,'15.01'!$AM$4:$AO$55,2,FALSE))*IF('15.01'!AS$4="是",'15.01'!$AY$4,'15.01'!$AY$3)</f>
        <v>0</v>
      </c>
      <c r="I87" s="4">
        <f>(VLOOKUP('15.01'!Q87,'15.01'!$AM$4:$AO$55,2,FALSE))*IF('15.01'!AT$4="是",'15.01'!$AY$4,'15.01'!$AY$3)</f>
        <v>190</v>
      </c>
      <c r="J87" s="4">
        <f>(VLOOKUP('15.01'!R87,'15.01'!$AM$4:$AO$55,2,FALSE))*IF('15.01'!AU$4="是",'15.01'!$AY$4,'15.01'!$AY$3)</f>
        <v>190</v>
      </c>
      <c r="K87" s="4">
        <f>(VLOOKUP('15.01'!S87,'15.01'!$AM$4:$AO$55,2,FALSE))*IF('15.01'!AV$4="是",'15.01'!$AY$4,'15.01'!$AY$3)</f>
        <v>190</v>
      </c>
      <c r="L87" s="4">
        <f>(VLOOKUP('15.01'!T87,'15.01'!$AM$4:$AO$55,2,FALSE))*IF('15.01'!AW$4="是",'15.01'!$AY$4,'15.01'!$AY$3)</f>
        <v>190</v>
      </c>
      <c r="M87" s="4">
        <f>(VLOOKUP('15.01'!U87,'15.01'!$AM$4:$AO$55,2,FALSE))*IF('15.01'!AX$4="是",'15.01'!$AY$4,'15.01'!$AY$3)</f>
        <v>190</v>
      </c>
      <c r="N87" s="4">
        <f>(VLOOKUP('15.01'!V87,'15.01'!$AM$4:$AO$55,2,FALSE))*IF('15.01'!AY$4="是",'15.01'!$AY$4,'15.01'!$AY$3)</f>
        <v>190</v>
      </c>
      <c r="O87" s="5">
        <f>(VLOOKUP('15.01'!W87,'15.01'!$AM$4:$AO$55,2,FALSE))*IF('15.01'!AZ$4="是",'15.01'!$AY$4,'15.01'!$AY$3)</f>
        <v>0</v>
      </c>
      <c r="P87" s="5">
        <f>(VLOOKUP('15.01'!X87,'15.01'!$AM$4:$AO$55,2,FALSE))*IF('15.01'!BA$4="是",'15.01'!$AY$4,'15.01'!$AY$3)</f>
        <v>0</v>
      </c>
      <c r="Q87" s="4">
        <f>(VLOOKUP('15.01'!Y87,'15.01'!$AM$4:$AO$55,2,FALSE))*IF('15.01'!BB$4="是",'15.01'!$AY$4,'15.01'!$AY$3)</f>
        <v>190</v>
      </c>
      <c r="R87" s="4">
        <f>(VLOOKUP('15.01'!Z87,'15.01'!$AM$4:$AO$55,2,FALSE))*IF('15.01'!BC$4="是",'15.01'!$AY$4,'15.01'!$AY$3)</f>
        <v>190</v>
      </c>
      <c r="S87" s="4">
        <f>(VLOOKUP('15.01'!AA87,'15.01'!$AM$4:$AO$55,2,FALSE))*IF('15.01'!BD$4="是",'15.01'!$AY$4,'15.01'!$AY$3)</f>
        <v>190</v>
      </c>
      <c r="T87" s="4">
        <f>(VLOOKUP('15.01'!AB87,'15.01'!$AM$4:$AO$55,2,FALSE))*IF('15.01'!BE$4="是",'15.01'!$AY$4,'15.01'!$AY$3)</f>
        <v>190</v>
      </c>
      <c r="U87" s="4">
        <f>(VLOOKUP('15.01'!AC87,'15.01'!$AM$4:$AO$55,2,FALSE))*IF('15.01'!BF$4="是",'15.01'!$AY$4,'15.01'!$AY$3)</f>
        <v>190</v>
      </c>
      <c r="V87" s="4">
        <f>(VLOOKUP('15.01'!AD87,'15.01'!$AM$4:$AO$55,2,FALSE))*IF('15.01'!BG$4="是",'15.01'!$AY$4,'15.01'!$AY$3)</f>
        <v>190</v>
      </c>
      <c r="W87" s="5">
        <f>(VLOOKUP('15.01'!AE87,'15.01'!$AM$4:$AO$55,2,FALSE))*IF('15.01'!BH$4="是",'15.01'!$AY$4,'15.01'!$AY$3)</f>
        <v>0</v>
      </c>
      <c r="X87" s="5">
        <f>(VLOOKUP('15.01'!AF87,'15.01'!$AM$4:$AO$55,2,FALSE))*IF('15.01'!BI$4="是",'15.01'!$AY$4,'15.01'!$AY$3)</f>
        <v>0</v>
      </c>
    </row>
    <row r="88" spans="1:24">
      <c r="A88" s="4">
        <f>(VLOOKUP('15.01'!I88,'15.01'!$AM$4:$AO$55,2,FALSE))*IF('15.01'!AK$4="是",'15.01'!$AY$4,'15.01'!$AY$3)</f>
        <v>160</v>
      </c>
      <c r="B88" s="4">
        <f>(VLOOKUP('15.01'!J88,'15.01'!$AM$4:$AO$55,2,FALSE))*IF('15.01'!AL$4="是",'15.01'!$AY$4,'15.01'!$AY$3)</f>
        <v>-200</v>
      </c>
      <c r="C88" s="4">
        <f>(VLOOKUP('15.01'!K88,'15.01'!$AM$4:$AO$55,2,FALSE))*IF('15.01'!AM$4="是",'15.01'!$AY$4,'15.01'!$AY$3)</f>
        <v>160</v>
      </c>
      <c r="D88" s="4">
        <f>(VLOOKUP('15.01'!L88,'15.01'!$AM$4:$AO$55,2,FALSE))*IF('15.01'!AN$4="是",'15.01'!$AY$4,'15.01'!$AY$3)</f>
        <v>160</v>
      </c>
      <c r="E88" s="4">
        <f>(VLOOKUP('15.01'!M88,'15.01'!$AM$4:$AO$55,2,FALSE))*IF('15.01'!AO$4="是",'15.01'!$AY$4,'15.01'!$AY$3)</f>
        <v>160</v>
      </c>
      <c r="F88" s="4">
        <f>(VLOOKUP('15.01'!N88,'15.01'!$AM$4:$AO$55,2,FALSE))*IF('15.01'!AQ$4="是",'15.01'!$AY$4,'15.01'!$AY$3)</f>
        <v>160</v>
      </c>
      <c r="G88" s="5">
        <f>(VLOOKUP('15.01'!O88,'15.01'!$AM$4:$AO$55,2,FALSE))*IF('15.01'!AR$4="是",'15.01'!$AY$4,'15.01'!$AY$3)</f>
        <v>0</v>
      </c>
      <c r="H88" s="5">
        <f>(VLOOKUP('15.01'!P88,'15.01'!$AM$4:$AO$55,2,FALSE))*IF('15.01'!AS$4="是",'15.01'!$AY$4,'15.01'!$AY$3)</f>
        <v>0</v>
      </c>
      <c r="I88" s="4">
        <f>(VLOOKUP('15.01'!Q88,'15.01'!$AM$4:$AO$55,2,FALSE))*IF('15.01'!AT$4="是",'15.01'!$AY$4,'15.01'!$AY$3)</f>
        <v>190</v>
      </c>
      <c r="J88" s="4">
        <f>(VLOOKUP('15.01'!R88,'15.01'!$AM$4:$AO$55,2,FALSE))*IF('15.01'!AU$4="是",'15.01'!$AY$4,'15.01'!$AY$3)</f>
        <v>190</v>
      </c>
      <c r="K88" s="4">
        <f>(VLOOKUP('15.01'!S88,'15.01'!$AM$4:$AO$55,2,FALSE))*IF('15.01'!AV$4="是",'15.01'!$AY$4,'15.01'!$AY$3)</f>
        <v>190</v>
      </c>
      <c r="L88" s="4">
        <f>(VLOOKUP('15.01'!T88,'15.01'!$AM$4:$AO$55,2,FALSE))*IF('15.01'!AW$4="是",'15.01'!$AY$4,'15.01'!$AY$3)</f>
        <v>50</v>
      </c>
      <c r="M88" s="4">
        <f>(VLOOKUP('15.01'!U88,'15.01'!$AM$4:$AO$55,2,FALSE))*IF('15.01'!AX$4="是",'15.01'!$AY$4,'15.01'!$AY$3)</f>
        <v>0</v>
      </c>
      <c r="N88" s="4">
        <f>(VLOOKUP('15.01'!V88,'15.01'!$AM$4:$AO$55,2,FALSE))*IF('15.01'!AY$4="是",'15.01'!$AY$4,'15.01'!$AY$3)</f>
        <v>0</v>
      </c>
      <c r="O88" s="5">
        <f>(VLOOKUP('15.01'!W88,'15.01'!$AM$4:$AO$55,2,FALSE))*IF('15.01'!AZ$4="是",'15.01'!$AY$4,'15.01'!$AY$3)</f>
        <v>0</v>
      </c>
      <c r="P88" s="5">
        <f>(VLOOKUP('15.01'!X88,'15.01'!$AM$4:$AO$55,2,FALSE))*IF('15.01'!BA$4="是",'15.01'!$AY$4,'15.01'!$AY$3)</f>
        <v>0</v>
      </c>
      <c r="Q88" s="4">
        <f>(VLOOKUP('15.01'!Y88,'15.01'!$AM$4:$AO$55,2,FALSE))*IF('15.01'!BB$4="是",'15.01'!$AY$4,'15.01'!$AY$3)</f>
        <v>190</v>
      </c>
      <c r="R88" s="4">
        <f>(VLOOKUP('15.01'!Z88,'15.01'!$AM$4:$AO$55,2,FALSE))*IF('15.01'!BC$4="是",'15.01'!$AY$4,'15.01'!$AY$3)</f>
        <v>190</v>
      </c>
      <c r="S88" s="4">
        <f>(VLOOKUP('15.01'!AA88,'15.01'!$AM$4:$AO$55,2,FALSE))*IF('15.01'!BD$4="是",'15.01'!$AY$4,'15.01'!$AY$3)</f>
        <v>190</v>
      </c>
      <c r="T88" s="4">
        <f>(VLOOKUP('15.01'!AB88,'15.01'!$AM$4:$AO$55,2,FALSE))*IF('15.01'!BE$4="是",'15.01'!$AY$4,'15.01'!$AY$3)</f>
        <v>190</v>
      </c>
      <c r="U88" s="4">
        <f>(VLOOKUP('15.01'!AC88,'15.01'!$AM$4:$AO$55,2,FALSE))*IF('15.01'!BF$4="是",'15.01'!$AY$4,'15.01'!$AY$3)</f>
        <v>190</v>
      </c>
      <c r="V88" s="4">
        <f>(VLOOKUP('15.01'!AD88,'15.01'!$AM$4:$AO$55,2,FALSE))*IF('15.01'!BG$4="是",'15.01'!$AY$4,'15.01'!$AY$3)</f>
        <v>190</v>
      </c>
      <c r="W88" s="5">
        <f>(VLOOKUP('15.01'!AE88,'15.01'!$AM$4:$AO$55,2,FALSE))*IF('15.01'!BH$4="是",'15.01'!$AY$4,'15.01'!$AY$3)</f>
        <v>0</v>
      </c>
      <c r="X88" s="5">
        <f>(VLOOKUP('15.01'!AF88,'15.01'!$AM$4:$AO$55,2,FALSE))*IF('15.01'!BI$4="是",'15.01'!$AY$4,'15.01'!$AY$3)</f>
        <v>0</v>
      </c>
    </row>
    <row r="89" spans="1:24">
      <c r="A89" s="4">
        <f>(VLOOKUP('15.01'!I89,'15.01'!$AM$4:$AO$55,2,FALSE))*IF('15.01'!AK$4="是",'15.01'!$AY$4,'15.01'!$AY$3)</f>
        <v>50</v>
      </c>
      <c r="B89" s="4">
        <f>(VLOOKUP('15.01'!J89,'15.01'!$AM$4:$AO$55,2,FALSE))*IF('15.01'!AL$4="是",'15.01'!$AY$4,'15.01'!$AY$3)</f>
        <v>160</v>
      </c>
      <c r="C89" s="4">
        <f>(VLOOKUP('15.01'!K89,'15.01'!$AM$4:$AO$55,2,FALSE))*IF('15.01'!AM$4="是",'15.01'!$AY$4,'15.01'!$AY$3)</f>
        <v>50</v>
      </c>
      <c r="D89" s="4">
        <f>(VLOOKUP('15.01'!L89,'15.01'!$AM$4:$AO$55,2,FALSE))*IF('15.01'!AN$4="是",'15.01'!$AY$4,'15.01'!$AY$3)</f>
        <v>0</v>
      </c>
      <c r="E89" s="4">
        <f>(VLOOKUP('15.01'!M89,'15.01'!$AM$4:$AO$55,2,FALSE))*IF('15.01'!AO$4="是",'15.01'!$AY$4,'15.01'!$AY$3)</f>
        <v>0</v>
      </c>
      <c r="F89" s="4">
        <f>(VLOOKUP('15.01'!N89,'15.01'!$AM$4:$AO$55,2,FALSE))*IF('15.01'!AQ$4="是",'15.01'!$AY$4,'15.01'!$AY$3)</f>
        <v>0</v>
      </c>
      <c r="G89" s="5">
        <f>(VLOOKUP('15.01'!O89,'15.01'!$AM$4:$AO$55,2,FALSE))*IF('15.01'!AR$4="是",'15.01'!$AY$4,'15.01'!$AY$3)</f>
        <v>0</v>
      </c>
      <c r="H89" s="5">
        <f>(VLOOKUP('15.01'!P89,'15.01'!$AM$4:$AO$55,2,FALSE))*IF('15.01'!AS$4="是",'15.01'!$AY$4,'15.01'!$AY$3)</f>
        <v>0</v>
      </c>
      <c r="I89" s="4">
        <f>(VLOOKUP('15.01'!Q89,'15.01'!$AM$4:$AO$55,2,FALSE))*IF('15.01'!AT$4="是",'15.01'!$AY$4,'15.01'!$AY$3)</f>
        <v>190</v>
      </c>
      <c r="J89" s="4">
        <f>(VLOOKUP('15.01'!R89,'15.01'!$AM$4:$AO$55,2,FALSE))*IF('15.01'!AU$4="是",'15.01'!$AY$4,'15.01'!$AY$3)</f>
        <v>190</v>
      </c>
      <c r="K89" s="4">
        <f>(VLOOKUP('15.01'!S89,'15.01'!$AM$4:$AO$55,2,FALSE))*IF('15.01'!AV$4="是",'15.01'!$AY$4,'15.01'!$AY$3)</f>
        <v>190</v>
      </c>
      <c r="L89" s="4">
        <f>(VLOOKUP('15.01'!T89,'15.01'!$AM$4:$AO$55,2,FALSE))*IF('15.01'!AW$4="是",'15.01'!$AY$4,'15.01'!$AY$3)</f>
        <v>190</v>
      </c>
      <c r="M89" s="4">
        <f>(VLOOKUP('15.01'!U89,'15.01'!$AM$4:$AO$55,2,FALSE))*IF('15.01'!AX$4="是",'15.01'!$AY$4,'15.01'!$AY$3)</f>
        <v>190</v>
      </c>
      <c r="N89" s="4">
        <f>(VLOOKUP('15.01'!V89,'15.01'!$AM$4:$AO$55,2,FALSE))*IF('15.01'!AY$4="是",'15.01'!$AY$4,'15.01'!$AY$3)</f>
        <v>190</v>
      </c>
      <c r="O89" s="5">
        <f>(VLOOKUP('15.01'!W89,'15.01'!$AM$4:$AO$55,2,FALSE))*IF('15.01'!AZ$4="是",'15.01'!$AY$4,'15.01'!$AY$3)</f>
        <v>0</v>
      </c>
      <c r="P89" s="5">
        <f>(VLOOKUP('15.01'!X89,'15.01'!$AM$4:$AO$55,2,FALSE))*IF('15.01'!BA$4="是",'15.01'!$AY$4,'15.01'!$AY$3)</f>
        <v>0</v>
      </c>
      <c r="Q89" s="4">
        <f>(VLOOKUP('15.01'!Y89,'15.01'!$AM$4:$AO$55,2,FALSE))*IF('15.01'!BB$4="是",'15.01'!$AY$4,'15.01'!$AY$3)</f>
        <v>190</v>
      </c>
      <c r="R89" s="4">
        <f>(VLOOKUP('15.01'!Z89,'15.01'!$AM$4:$AO$55,2,FALSE))*IF('15.01'!BC$4="是",'15.01'!$AY$4,'15.01'!$AY$3)</f>
        <v>190</v>
      </c>
      <c r="S89" s="4">
        <f>(VLOOKUP('15.01'!AA89,'15.01'!$AM$4:$AO$55,2,FALSE))*IF('15.01'!BD$4="是",'15.01'!$AY$4,'15.01'!$AY$3)</f>
        <v>190</v>
      </c>
      <c r="T89" s="4">
        <f>(VLOOKUP('15.01'!AB89,'15.01'!$AM$4:$AO$55,2,FALSE))*IF('15.01'!BE$4="是",'15.01'!$AY$4,'15.01'!$AY$3)</f>
        <v>190</v>
      </c>
      <c r="U89" s="4">
        <f>(VLOOKUP('15.01'!AC89,'15.01'!$AM$4:$AO$55,2,FALSE))*IF('15.01'!BF$4="是",'15.01'!$AY$4,'15.01'!$AY$3)</f>
        <v>190</v>
      </c>
      <c r="V89" s="4">
        <f>(VLOOKUP('15.01'!AD89,'15.01'!$AM$4:$AO$55,2,FALSE))*IF('15.01'!BG$4="是",'15.01'!$AY$4,'15.01'!$AY$3)</f>
        <v>190</v>
      </c>
      <c r="W89" s="5">
        <f>(VLOOKUP('15.01'!AE89,'15.01'!$AM$4:$AO$55,2,FALSE))*IF('15.01'!BH$4="是",'15.01'!$AY$4,'15.01'!$AY$3)</f>
        <v>0</v>
      </c>
      <c r="X89" s="5">
        <f>(VLOOKUP('15.01'!AF89,'15.01'!$AM$4:$AO$55,2,FALSE))*IF('15.01'!BI$4="是",'15.01'!$AY$4,'15.01'!$AY$3)</f>
        <v>0</v>
      </c>
    </row>
    <row r="90" spans="1:24">
      <c r="A90" s="4">
        <f>(VLOOKUP('15.01'!I90,'15.01'!$AM$4:$AO$55,2,FALSE))*IF('15.01'!AK$4="是",'15.01'!$AY$4,'15.01'!$AY$3)</f>
        <v>160</v>
      </c>
      <c r="B90" s="4">
        <f>(VLOOKUP('15.01'!J90,'15.01'!$AM$4:$AO$55,2,FALSE))*IF('15.01'!AL$4="是",'15.01'!$AY$4,'15.01'!$AY$3)</f>
        <v>160</v>
      </c>
      <c r="C90" s="4">
        <f>(VLOOKUP('15.01'!K90,'15.01'!$AM$4:$AO$55,2,FALSE))*IF('15.01'!AM$4="是",'15.01'!$AY$4,'15.01'!$AY$3)</f>
        <v>160</v>
      </c>
      <c r="D90" s="4">
        <f>(VLOOKUP('15.01'!L90,'15.01'!$AM$4:$AO$55,2,FALSE))*IF('15.01'!AN$4="是",'15.01'!$AY$4,'15.01'!$AY$3)</f>
        <v>160</v>
      </c>
      <c r="E90" s="4">
        <f>(VLOOKUP('15.01'!M90,'15.01'!$AM$4:$AO$55,2,FALSE))*IF('15.01'!AO$4="是",'15.01'!$AY$4,'15.01'!$AY$3)</f>
        <v>50</v>
      </c>
      <c r="F90" s="4">
        <f>(VLOOKUP('15.01'!N90,'15.01'!$AM$4:$AO$55,2,FALSE))*IF('15.01'!AQ$4="是",'15.01'!$AY$4,'15.01'!$AY$3)</f>
        <v>160</v>
      </c>
      <c r="G90" s="5">
        <f>(VLOOKUP('15.01'!O90,'15.01'!$AM$4:$AO$55,2,FALSE))*IF('15.01'!AR$4="是",'15.01'!$AY$4,'15.01'!$AY$3)</f>
        <v>0</v>
      </c>
      <c r="H90" s="5">
        <f>(VLOOKUP('15.01'!P90,'15.01'!$AM$4:$AO$55,2,FALSE))*IF('15.01'!AS$4="是",'15.01'!$AY$4,'15.01'!$AY$3)</f>
        <v>0</v>
      </c>
      <c r="I90" s="4">
        <f>(VLOOKUP('15.01'!Q90,'15.01'!$AM$4:$AO$55,2,FALSE))*IF('15.01'!AT$4="是",'15.01'!$AY$4,'15.01'!$AY$3)</f>
        <v>190</v>
      </c>
      <c r="J90" s="4">
        <f>(VLOOKUP('15.01'!R90,'15.01'!$AM$4:$AO$55,2,FALSE))*IF('15.01'!AU$4="是",'15.01'!$AY$4,'15.01'!$AY$3)</f>
        <v>190</v>
      </c>
      <c r="K90" s="4">
        <f>(VLOOKUP('15.01'!S90,'15.01'!$AM$4:$AO$55,2,FALSE))*IF('15.01'!AV$4="是",'15.01'!$AY$4,'15.01'!$AY$3)</f>
        <v>190</v>
      </c>
      <c r="L90" s="4">
        <f>(VLOOKUP('15.01'!T90,'15.01'!$AM$4:$AO$55,2,FALSE))*IF('15.01'!AW$4="是",'15.01'!$AY$4,'15.01'!$AY$3)</f>
        <v>50</v>
      </c>
      <c r="M90" s="4">
        <f>(VLOOKUP('15.01'!U90,'15.01'!$AM$4:$AO$55,2,FALSE))*IF('15.01'!AX$4="是",'15.01'!$AY$4,'15.01'!$AY$3)</f>
        <v>190</v>
      </c>
      <c r="N90" s="4">
        <f>(VLOOKUP('15.01'!V90,'15.01'!$AM$4:$AO$55,2,FALSE))*IF('15.01'!AY$4="是",'15.01'!$AY$4,'15.01'!$AY$3)</f>
        <v>190</v>
      </c>
      <c r="O90" s="5">
        <f>(VLOOKUP('15.01'!W90,'15.01'!$AM$4:$AO$55,2,FALSE))*IF('15.01'!AZ$4="是",'15.01'!$AY$4,'15.01'!$AY$3)</f>
        <v>0</v>
      </c>
      <c r="P90" s="5">
        <f>(VLOOKUP('15.01'!X90,'15.01'!$AM$4:$AO$55,2,FALSE))*IF('15.01'!BA$4="是",'15.01'!$AY$4,'15.01'!$AY$3)</f>
        <v>0</v>
      </c>
      <c r="Q90" s="4">
        <f>(VLOOKUP('15.01'!Y90,'15.01'!$AM$4:$AO$55,2,FALSE))*IF('15.01'!BB$4="是",'15.01'!$AY$4,'15.01'!$AY$3)</f>
        <v>190</v>
      </c>
      <c r="R90" s="4">
        <f>(VLOOKUP('15.01'!Z90,'15.01'!$AM$4:$AO$55,2,FALSE))*IF('15.01'!BC$4="是",'15.01'!$AY$4,'15.01'!$AY$3)</f>
        <v>190</v>
      </c>
      <c r="S90" s="4">
        <f>(VLOOKUP('15.01'!AA90,'15.01'!$AM$4:$AO$55,2,FALSE))*IF('15.01'!BD$4="是",'15.01'!$AY$4,'15.01'!$AY$3)</f>
        <v>190</v>
      </c>
      <c r="T90" s="4">
        <f>(VLOOKUP('15.01'!AB90,'15.01'!$AM$4:$AO$55,2,FALSE))*IF('15.01'!BE$4="是",'15.01'!$AY$4,'15.01'!$AY$3)</f>
        <v>190</v>
      </c>
      <c r="U90" s="4">
        <f>(VLOOKUP('15.01'!AC90,'15.01'!$AM$4:$AO$55,2,FALSE))*IF('15.01'!BF$4="是",'15.01'!$AY$4,'15.01'!$AY$3)</f>
        <v>190</v>
      </c>
      <c r="V90" s="4">
        <f>(VLOOKUP('15.01'!AD90,'15.01'!$AM$4:$AO$55,2,FALSE))*IF('15.01'!BG$4="是",'15.01'!$AY$4,'15.01'!$AY$3)</f>
        <v>190</v>
      </c>
      <c r="W90" s="5">
        <f>(VLOOKUP('15.01'!AE90,'15.01'!$AM$4:$AO$55,2,FALSE))*IF('15.01'!BH$4="是",'15.01'!$AY$4,'15.01'!$AY$3)</f>
        <v>0</v>
      </c>
      <c r="X90" s="5">
        <f>(VLOOKUP('15.01'!AF90,'15.01'!$AM$4:$AO$55,2,FALSE))*IF('15.01'!BI$4="是",'15.01'!$AY$4,'15.01'!$AY$3)</f>
        <v>0</v>
      </c>
    </row>
    <row r="91" spans="1:24">
      <c r="A91" s="4">
        <f>(VLOOKUP('15.01'!I91,'15.01'!$AM$4:$AO$55,2,FALSE))*IF('15.01'!AK$4="是",'15.01'!$AY$4,'15.01'!$AY$3)</f>
        <v>50</v>
      </c>
      <c r="B91" s="4">
        <f>(VLOOKUP('15.01'!J91,'15.01'!$AM$4:$AO$55,2,FALSE))*IF('15.01'!AL$4="是",'15.01'!$AY$4,'15.01'!$AY$3)</f>
        <v>160</v>
      </c>
      <c r="C91" s="4">
        <f>(VLOOKUP('15.01'!K91,'15.01'!$AM$4:$AO$55,2,FALSE))*IF('15.01'!AM$4="是",'15.01'!$AY$4,'15.01'!$AY$3)</f>
        <v>160</v>
      </c>
      <c r="D91" s="4">
        <f>(VLOOKUP('15.01'!L91,'15.01'!$AM$4:$AO$55,2,FALSE))*IF('15.01'!AN$4="是",'15.01'!$AY$4,'15.01'!$AY$3)</f>
        <v>160</v>
      </c>
      <c r="E91" s="4">
        <f>(VLOOKUP('15.01'!M91,'15.01'!$AM$4:$AO$55,2,FALSE))*IF('15.01'!AO$4="是",'15.01'!$AY$4,'15.01'!$AY$3)</f>
        <v>160</v>
      </c>
      <c r="F91" s="4">
        <f>(VLOOKUP('15.01'!N91,'15.01'!$AM$4:$AO$55,2,FALSE))*IF('15.01'!AQ$4="是",'15.01'!$AY$4,'15.01'!$AY$3)</f>
        <v>50</v>
      </c>
      <c r="G91" s="5">
        <f>(VLOOKUP('15.01'!O91,'15.01'!$AM$4:$AO$55,2,FALSE))*IF('15.01'!AR$4="是",'15.01'!$AY$4,'15.01'!$AY$3)</f>
        <v>0</v>
      </c>
      <c r="H91" s="5">
        <f>(VLOOKUP('15.01'!P91,'15.01'!$AM$4:$AO$55,2,FALSE))*IF('15.01'!AS$4="是",'15.01'!$AY$4,'15.01'!$AY$3)</f>
        <v>0</v>
      </c>
      <c r="I91" s="4">
        <f>(VLOOKUP('15.01'!Q91,'15.01'!$AM$4:$AO$55,2,FALSE))*IF('15.01'!AT$4="是",'15.01'!$AY$4,'15.01'!$AY$3)</f>
        <v>150</v>
      </c>
      <c r="J91" s="4">
        <f>(VLOOKUP('15.01'!R91,'15.01'!$AM$4:$AO$55,2,FALSE))*IF('15.01'!AU$4="是",'15.01'!$AY$4,'15.01'!$AY$3)</f>
        <v>190</v>
      </c>
      <c r="K91" s="4">
        <f>(VLOOKUP('15.01'!S91,'15.01'!$AM$4:$AO$55,2,FALSE))*IF('15.01'!AV$4="是",'15.01'!$AY$4,'15.01'!$AY$3)</f>
        <v>190</v>
      </c>
      <c r="L91" s="4">
        <f>(VLOOKUP('15.01'!T91,'15.01'!$AM$4:$AO$55,2,FALSE))*IF('15.01'!AW$4="是",'15.01'!$AY$4,'15.01'!$AY$3)</f>
        <v>250</v>
      </c>
      <c r="M91" s="4">
        <f>(VLOOKUP('15.01'!U91,'15.01'!$AM$4:$AO$55,2,FALSE))*IF('15.01'!AX$4="是",'15.01'!$AY$4,'15.01'!$AY$3)</f>
        <v>190</v>
      </c>
      <c r="N91" s="4">
        <f>(VLOOKUP('15.01'!V91,'15.01'!$AM$4:$AO$55,2,FALSE))*IF('15.01'!AY$4="是",'15.01'!$AY$4,'15.01'!$AY$3)</f>
        <v>190</v>
      </c>
      <c r="O91" s="5">
        <f>(VLOOKUP('15.01'!W91,'15.01'!$AM$4:$AO$55,2,FALSE))*IF('15.01'!AZ$4="是",'15.01'!$AY$4,'15.01'!$AY$3)</f>
        <v>0</v>
      </c>
      <c r="P91" s="5">
        <f>(VLOOKUP('15.01'!X91,'15.01'!$AM$4:$AO$55,2,FALSE))*IF('15.01'!BA$4="是",'15.01'!$AY$4,'15.01'!$AY$3)</f>
        <v>0</v>
      </c>
      <c r="Q91" s="4">
        <f>(VLOOKUP('15.01'!Y91,'15.01'!$AM$4:$AO$55,2,FALSE))*IF('15.01'!BB$4="是",'15.01'!$AY$4,'15.01'!$AY$3)</f>
        <v>190</v>
      </c>
      <c r="R91" s="4">
        <f>(VLOOKUP('15.01'!Z91,'15.01'!$AM$4:$AO$55,2,FALSE))*IF('15.01'!BC$4="是",'15.01'!$AY$4,'15.01'!$AY$3)</f>
        <v>190</v>
      </c>
      <c r="S91" s="4">
        <f>(VLOOKUP('15.01'!AA91,'15.01'!$AM$4:$AO$55,2,FALSE))*IF('15.01'!BD$4="是",'15.01'!$AY$4,'15.01'!$AY$3)</f>
        <v>190</v>
      </c>
      <c r="T91" s="4">
        <f>(VLOOKUP('15.01'!AB91,'15.01'!$AM$4:$AO$55,2,FALSE))*IF('15.01'!BE$4="是",'15.01'!$AY$4,'15.01'!$AY$3)</f>
        <v>190</v>
      </c>
      <c r="U91" s="4">
        <f>(VLOOKUP('15.01'!AC91,'15.01'!$AM$4:$AO$55,2,FALSE))*IF('15.01'!BF$4="是",'15.01'!$AY$4,'15.01'!$AY$3)</f>
        <v>190</v>
      </c>
      <c r="V91" s="4">
        <f>(VLOOKUP('15.01'!AD91,'15.01'!$AM$4:$AO$55,2,FALSE))*IF('15.01'!BG$4="是",'15.01'!$AY$4,'15.01'!$AY$3)</f>
        <v>190</v>
      </c>
      <c r="W91" s="5">
        <f>(VLOOKUP('15.01'!AE91,'15.01'!$AM$4:$AO$55,2,FALSE))*IF('15.01'!BH$4="是",'15.01'!$AY$4,'15.01'!$AY$3)</f>
        <v>0</v>
      </c>
      <c r="X91" s="5">
        <f>(VLOOKUP('15.01'!AF91,'15.01'!$AM$4:$AO$55,2,FALSE))*IF('15.01'!BI$4="是",'15.01'!$AY$4,'15.01'!$AY$3)</f>
        <v>0</v>
      </c>
    </row>
    <row r="92" spans="1:24">
      <c r="A92" s="4">
        <f>(VLOOKUP('15.01'!I92,'15.01'!$AM$4:$AO$55,2,FALSE))*IF('15.01'!AK$4="是",'15.01'!$AY$4,'15.01'!$AY$3)</f>
        <v>160</v>
      </c>
      <c r="B92" s="4">
        <f>(VLOOKUP('15.01'!J92,'15.01'!$AM$4:$AO$55,2,FALSE))*IF('15.01'!AL$4="是",'15.01'!$AY$4,'15.01'!$AY$3)</f>
        <v>160</v>
      </c>
      <c r="C92" s="4">
        <f>(VLOOKUP('15.01'!K92,'15.01'!$AM$4:$AO$55,2,FALSE))*IF('15.01'!AM$4="是",'15.01'!$AY$4,'15.01'!$AY$3)</f>
        <v>50</v>
      </c>
      <c r="D92" s="4">
        <f>(VLOOKUP('15.01'!L92,'15.01'!$AM$4:$AO$55,2,FALSE))*IF('15.01'!AN$4="是",'15.01'!$AY$4,'15.01'!$AY$3)</f>
        <v>160</v>
      </c>
      <c r="E92" s="4">
        <f>(VLOOKUP('15.01'!M92,'15.01'!$AM$4:$AO$55,2,FALSE))*IF('15.01'!AO$4="是",'15.01'!$AY$4,'15.01'!$AY$3)</f>
        <v>160</v>
      </c>
      <c r="F92" s="4">
        <f>(VLOOKUP('15.01'!N92,'15.01'!$AM$4:$AO$55,2,FALSE))*IF('15.01'!AQ$4="是",'15.01'!$AY$4,'15.01'!$AY$3)</f>
        <v>160</v>
      </c>
      <c r="G92" s="5">
        <f>(VLOOKUP('15.01'!O92,'15.01'!$AM$4:$AO$55,2,FALSE))*IF('15.01'!AR$4="是",'15.01'!$AY$4,'15.01'!$AY$3)</f>
        <v>160</v>
      </c>
      <c r="H92" s="5">
        <f>(VLOOKUP('15.01'!P92,'15.01'!$AM$4:$AO$55,2,FALSE))*IF('15.01'!AS$4="是",'15.01'!$AY$4,'15.01'!$AY$3)</f>
        <v>160</v>
      </c>
      <c r="I92" s="4">
        <f>(VLOOKUP('15.01'!Q92,'15.01'!$AM$4:$AO$55,2,FALSE))*IF('15.01'!AT$4="是",'15.01'!$AY$4,'15.01'!$AY$3)</f>
        <v>150</v>
      </c>
      <c r="J92" s="4">
        <f>(VLOOKUP('15.01'!R92,'15.01'!$AM$4:$AO$55,2,FALSE))*IF('15.01'!AU$4="是",'15.01'!$AY$4,'15.01'!$AY$3)</f>
        <v>190</v>
      </c>
      <c r="K92" s="4">
        <f>(VLOOKUP('15.01'!S92,'15.01'!$AM$4:$AO$55,2,FALSE))*IF('15.01'!AV$4="是",'15.01'!$AY$4,'15.01'!$AY$3)</f>
        <v>190</v>
      </c>
      <c r="L92" s="4">
        <f>(VLOOKUP('15.01'!T92,'15.01'!$AM$4:$AO$55,2,FALSE))*IF('15.01'!AW$4="是",'15.01'!$AY$4,'15.01'!$AY$3)</f>
        <v>190</v>
      </c>
      <c r="M92" s="4">
        <f>(VLOOKUP('15.01'!U92,'15.01'!$AM$4:$AO$55,2,FALSE))*IF('15.01'!AX$4="是",'15.01'!$AY$4,'15.01'!$AY$3)</f>
        <v>190</v>
      </c>
      <c r="N92" s="4">
        <f>(VLOOKUP('15.01'!V92,'15.01'!$AM$4:$AO$55,2,FALSE))*IF('15.01'!AY$4="是",'15.01'!$AY$4,'15.01'!$AY$3)</f>
        <v>190</v>
      </c>
      <c r="O92" s="5">
        <f>(VLOOKUP('15.01'!W92,'15.01'!$AM$4:$AO$55,2,FALSE))*IF('15.01'!AZ$4="是",'15.01'!$AY$4,'15.01'!$AY$3)</f>
        <v>0</v>
      </c>
      <c r="P92" s="5">
        <f>(VLOOKUP('15.01'!X92,'15.01'!$AM$4:$AO$55,2,FALSE))*IF('15.01'!BA$4="是",'15.01'!$AY$4,'15.01'!$AY$3)</f>
        <v>0</v>
      </c>
      <c r="Q92" s="4">
        <f>(VLOOKUP('15.01'!Y92,'15.01'!$AM$4:$AO$55,2,FALSE))*IF('15.01'!BB$4="是",'15.01'!$AY$4,'15.01'!$AY$3)</f>
        <v>190</v>
      </c>
      <c r="R92" s="4">
        <f>(VLOOKUP('15.01'!Z92,'15.01'!$AM$4:$AO$55,2,FALSE))*IF('15.01'!BC$4="是",'15.01'!$AY$4,'15.01'!$AY$3)</f>
        <v>190</v>
      </c>
      <c r="S92" s="4">
        <f>(VLOOKUP('15.01'!AA92,'15.01'!$AM$4:$AO$55,2,FALSE))*IF('15.01'!BD$4="是",'15.01'!$AY$4,'15.01'!$AY$3)</f>
        <v>190</v>
      </c>
      <c r="T92" s="4">
        <f>(VLOOKUP('15.01'!AB92,'15.01'!$AM$4:$AO$55,2,FALSE))*IF('15.01'!BE$4="是",'15.01'!$AY$4,'15.01'!$AY$3)</f>
        <v>0</v>
      </c>
      <c r="U92" s="4">
        <f>(VLOOKUP('15.01'!AC92,'15.01'!$AM$4:$AO$55,2,FALSE))*IF('15.01'!BF$4="是",'15.01'!$AY$4,'15.01'!$AY$3)</f>
        <v>0</v>
      </c>
      <c r="V92" s="4">
        <f>(VLOOKUP('15.01'!AD92,'15.01'!$AM$4:$AO$55,2,FALSE))*IF('15.01'!BG$4="是",'15.01'!$AY$4,'15.01'!$AY$3)</f>
        <v>0</v>
      </c>
      <c r="W92" s="5">
        <f>(VLOOKUP('15.01'!AE92,'15.01'!$AM$4:$AO$55,2,FALSE))*IF('15.01'!BH$4="是",'15.01'!$AY$4,'15.01'!$AY$3)</f>
        <v>0</v>
      </c>
      <c r="X92" s="5">
        <f>(VLOOKUP('15.01'!AF92,'15.01'!$AM$4:$AO$55,2,FALSE))*IF('15.01'!BI$4="是",'15.01'!$AY$4,'15.01'!$AY$3)</f>
        <v>0</v>
      </c>
    </row>
    <row r="93" spans="1:24">
      <c r="A93" s="4">
        <f>(VLOOKUP('15.01'!I93,'15.01'!$AM$4:$AO$55,2,FALSE))*IF('15.01'!AK$4="是",'15.01'!$AY$4,'15.01'!$AY$3)</f>
        <v>0</v>
      </c>
      <c r="B93" s="4">
        <f>(VLOOKUP('15.01'!J93,'15.01'!$AM$4:$AO$55,2,FALSE))*IF('15.01'!AL$4="是",'15.01'!$AY$4,'15.01'!$AY$3)</f>
        <v>0</v>
      </c>
      <c r="C93" s="4">
        <f>(VLOOKUP('15.01'!K93,'15.01'!$AM$4:$AO$55,2,FALSE))*IF('15.01'!AM$4="是",'15.01'!$AY$4,'15.01'!$AY$3)</f>
        <v>160</v>
      </c>
      <c r="D93" s="4">
        <f>(VLOOKUP('15.01'!L93,'15.01'!$AM$4:$AO$55,2,FALSE))*IF('15.01'!AN$4="是",'15.01'!$AY$4,'15.01'!$AY$3)</f>
        <v>50</v>
      </c>
      <c r="E93" s="4">
        <f>(VLOOKUP('15.01'!M93,'15.01'!$AM$4:$AO$55,2,FALSE))*IF('15.01'!AO$4="是",'15.01'!$AY$4,'15.01'!$AY$3)</f>
        <v>0</v>
      </c>
      <c r="F93" s="4">
        <f>(VLOOKUP('15.01'!N93,'15.01'!$AM$4:$AO$55,2,FALSE))*IF('15.01'!AQ$4="是",'15.01'!$AY$4,'15.01'!$AY$3)</f>
        <v>0</v>
      </c>
      <c r="G93" s="5">
        <f>(VLOOKUP('15.01'!O93,'15.01'!$AM$4:$AO$55,2,FALSE))*IF('15.01'!AR$4="是",'15.01'!$AY$4,'15.01'!$AY$3)</f>
        <v>0</v>
      </c>
      <c r="H93" s="5">
        <f>(VLOOKUP('15.01'!P93,'15.01'!$AM$4:$AO$55,2,FALSE))*IF('15.01'!AS$4="是",'15.01'!$AY$4,'15.01'!$AY$3)</f>
        <v>0</v>
      </c>
      <c r="I93" s="4">
        <f>(VLOOKUP('15.01'!Q93,'15.01'!$AM$4:$AO$55,2,FALSE))*IF('15.01'!AT$4="是",'15.01'!$AY$4,'15.01'!$AY$3)</f>
        <v>190</v>
      </c>
      <c r="J93" s="4">
        <f>(VLOOKUP('15.01'!R93,'15.01'!$AM$4:$AO$55,2,FALSE))*IF('15.01'!AU$4="是",'15.01'!$AY$4,'15.01'!$AY$3)</f>
        <v>190</v>
      </c>
      <c r="K93" s="4">
        <f>(VLOOKUP('15.01'!S93,'15.01'!$AM$4:$AO$55,2,FALSE))*IF('15.01'!AV$4="是",'15.01'!$AY$4,'15.01'!$AY$3)</f>
        <v>190</v>
      </c>
      <c r="L93" s="4">
        <f>(VLOOKUP('15.01'!T93,'15.01'!$AM$4:$AO$55,2,FALSE))*IF('15.01'!AW$4="是",'15.01'!$AY$4,'15.01'!$AY$3)</f>
        <v>190</v>
      </c>
      <c r="M93" s="4">
        <f>(VLOOKUP('15.01'!U93,'15.01'!$AM$4:$AO$55,2,FALSE))*IF('15.01'!AX$4="是",'15.01'!$AY$4,'15.01'!$AY$3)</f>
        <v>190</v>
      </c>
      <c r="N93" s="4">
        <f>(VLOOKUP('15.01'!V93,'15.01'!$AM$4:$AO$55,2,FALSE))*IF('15.01'!AY$4="是",'15.01'!$AY$4,'15.01'!$AY$3)</f>
        <v>190</v>
      </c>
      <c r="O93" s="5">
        <f>(VLOOKUP('15.01'!W93,'15.01'!$AM$4:$AO$55,2,FALSE))*IF('15.01'!AZ$4="是",'15.01'!$AY$4,'15.01'!$AY$3)</f>
        <v>190</v>
      </c>
      <c r="P93" s="5">
        <f>(VLOOKUP('15.01'!X93,'15.01'!$AM$4:$AO$55,2,FALSE))*IF('15.01'!BA$4="是",'15.01'!$AY$4,'15.01'!$AY$3)</f>
        <v>0</v>
      </c>
      <c r="Q93" s="4">
        <f>(VLOOKUP('15.01'!Y93,'15.01'!$AM$4:$AO$55,2,FALSE))*IF('15.01'!BB$4="是",'15.01'!$AY$4,'15.01'!$AY$3)</f>
        <v>190</v>
      </c>
      <c r="R93" s="4">
        <f>(VLOOKUP('15.01'!Z93,'15.01'!$AM$4:$AO$55,2,FALSE))*IF('15.01'!BC$4="是",'15.01'!$AY$4,'15.01'!$AY$3)</f>
        <v>190</v>
      </c>
      <c r="S93" s="4">
        <f>(VLOOKUP('15.01'!AA93,'15.01'!$AM$4:$AO$55,2,FALSE))*IF('15.01'!BD$4="是",'15.01'!$AY$4,'15.01'!$AY$3)</f>
        <v>190</v>
      </c>
      <c r="T93" s="4">
        <f>(VLOOKUP('15.01'!AB93,'15.01'!$AM$4:$AO$55,2,FALSE))*IF('15.01'!BE$4="是",'15.01'!$AY$4,'15.01'!$AY$3)</f>
        <v>0</v>
      </c>
      <c r="U93" s="4">
        <f>(VLOOKUP('15.01'!AC93,'15.01'!$AM$4:$AO$55,2,FALSE))*IF('15.01'!BF$4="是",'15.01'!$AY$4,'15.01'!$AY$3)</f>
        <v>0</v>
      </c>
      <c r="V93" s="4">
        <f>(VLOOKUP('15.01'!AD93,'15.01'!$AM$4:$AO$55,2,FALSE))*IF('15.01'!BG$4="是",'15.01'!$AY$4,'15.01'!$AY$3)</f>
        <v>0</v>
      </c>
      <c r="W93" s="5">
        <f>(VLOOKUP('15.01'!AE93,'15.01'!$AM$4:$AO$55,2,FALSE))*IF('15.01'!BH$4="是",'15.01'!$AY$4,'15.01'!$AY$3)</f>
        <v>0</v>
      </c>
      <c r="X93" s="5">
        <f>(VLOOKUP('15.01'!AF93,'15.01'!$AM$4:$AO$55,2,FALSE))*IF('15.01'!BI$4="是",'15.01'!$AY$4,'15.01'!$AY$3)</f>
        <v>0</v>
      </c>
    </row>
    <row r="94" spans="1:24">
      <c r="A94" s="4" t="e">
        <f>(VLOOKUP('15.01'!#REF!,'15.01'!$AM$4:$AO$55,2,FALSE))*IF('15.01'!AK$4="是",'15.01'!$AY$4,'15.01'!$AY$3)</f>
        <v>#REF!</v>
      </c>
      <c r="B94" s="4" t="e">
        <f>(VLOOKUP('15.01'!#REF!,'15.01'!$AM$4:$AO$55,2,FALSE))*IF('15.01'!AL$4="是",'15.01'!$AY$4,'15.01'!$AY$3)</f>
        <v>#REF!</v>
      </c>
      <c r="C94" s="4" t="e">
        <f>(VLOOKUP('15.01'!#REF!,'15.01'!$AM$4:$AO$55,2,FALSE))*IF('15.01'!AM$4="是",'15.01'!$AY$4,'15.01'!$AY$3)</f>
        <v>#REF!</v>
      </c>
      <c r="D94" s="4" t="e">
        <f>(VLOOKUP('15.01'!#REF!,'15.01'!$AM$4:$AO$55,2,FALSE))*IF('15.01'!AN$4="是",'15.01'!$AY$4,'15.01'!$AY$3)</f>
        <v>#REF!</v>
      </c>
      <c r="E94" s="4" t="e">
        <f>(VLOOKUP('15.01'!#REF!,'15.01'!$AM$4:$AO$55,2,FALSE))*IF('15.01'!AO$4="是",'15.01'!$AY$4,'15.01'!$AY$3)</f>
        <v>#REF!</v>
      </c>
      <c r="F94" s="4" t="e">
        <f>(VLOOKUP('15.01'!#REF!,'15.01'!$AM$4:$AO$55,2,FALSE))*IF('15.01'!AQ$4="是",'15.01'!$AY$4,'15.01'!$AY$3)</f>
        <v>#REF!</v>
      </c>
      <c r="G94" s="5" t="e">
        <f>(VLOOKUP('15.01'!#REF!,'15.01'!$AM$4:$AO$55,2,FALSE))*IF('15.01'!AR$4="是",'15.01'!$AY$4,'15.01'!$AY$3)</f>
        <v>#REF!</v>
      </c>
      <c r="H94" s="5" t="e">
        <f>(VLOOKUP('15.01'!#REF!,'15.01'!$AM$4:$AO$55,2,FALSE))*IF('15.01'!AS$4="是",'15.01'!$AY$4,'15.01'!$AY$3)</f>
        <v>#REF!</v>
      </c>
      <c r="I94" s="4" t="e">
        <f>(VLOOKUP('15.01'!#REF!,'15.01'!$AM$4:$AO$55,2,FALSE))*IF('15.01'!AT$4="是",'15.01'!$AY$4,'15.01'!$AY$3)</f>
        <v>#REF!</v>
      </c>
      <c r="J94" s="4" t="e">
        <f>(VLOOKUP('15.01'!#REF!,'15.01'!$AM$4:$AO$55,2,FALSE))*IF('15.01'!AU$4="是",'15.01'!$AY$4,'15.01'!$AY$3)</f>
        <v>#REF!</v>
      </c>
      <c r="K94" s="4" t="e">
        <f>(VLOOKUP('15.01'!#REF!,'15.01'!$AM$4:$AO$55,2,FALSE))*IF('15.01'!AV$4="是",'15.01'!$AY$4,'15.01'!$AY$3)</f>
        <v>#REF!</v>
      </c>
      <c r="L94" s="4" t="e">
        <f>(VLOOKUP('15.01'!#REF!,'15.01'!$AM$4:$AO$55,2,FALSE))*IF('15.01'!AW$4="是",'15.01'!$AY$4,'15.01'!$AY$3)</f>
        <v>#REF!</v>
      </c>
      <c r="M94" s="4" t="e">
        <f>(VLOOKUP('15.01'!#REF!,'15.01'!$AM$4:$AO$55,2,FALSE))*IF('15.01'!AX$4="是",'15.01'!$AY$4,'15.01'!$AY$3)</f>
        <v>#REF!</v>
      </c>
      <c r="N94" s="4" t="e">
        <f>(VLOOKUP('15.01'!#REF!,'15.01'!$AM$4:$AO$55,2,FALSE))*IF('15.01'!AY$4="是",'15.01'!$AY$4,'15.01'!$AY$3)</f>
        <v>#REF!</v>
      </c>
      <c r="O94" s="5" t="e">
        <f>(VLOOKUP('15.01'!#REF!,'15.01'!$AM$4:$AO$55,2,FALSE))*IF('15.01'!AZ$4="是",'15.01'!$AY$4,'15.01'!$AY$3)</f>
        <v>#REF!</v>
      </c>
      <c r="P94" s="5" t="e">
        <f>(VLOOKUP('15.01'!#REF!,'15.01'!$AM$4:$AO$55,2,FALSE))*IF('15.01'!BA$4="是",'15.01'!$AY$4,'15.01'!$AY$3)</f>
        <v>#REF!</v>
      </c>
      <c r="Q94" s="4" t="e">
        <f>(VLOOKUP('15.01'!#REF!,'15.01'!$AM$4:$AO$55,2,FALSE))*IF('15.01'!BB$4="是",'15.01'!$AY$4,'15.01'!$AY$3)</f>
        <v>#REF!</v>
      </c>
      <c r="R94" s="4" t="e">
        <f>(VLOOKUP('15.01'!#REF!,'15.01'!$AM$4:$AO$55,2,FALSE))*IF('15.01'!BC$4="是",'15.01'!$AY$4,'15.01'!$AY$3)</f>
        <v>#REF!</v>
      </c>
      <c r="S94" s="4" t="e">
        <f>(VLOOKUP('15.01'!#REF!,'15.01'!$AM$4:$AO$55,2,FALSE))*IF('15.01'!BD$4="是",'15.01'!$AY$4,'15.01'!$AY$3)</f>
        <v>#REF!</v>
      </c>
      <c r="T94" s="4" t="e">
        <f>(VLOOKUP('15.01'!#REF!,'15.01'!$AM$4:$AO$55,2,FALSE))*IF('15.01'!BE$4="是",'15.01'!$AY$4,'15.01'!$AY$3)</f>
        <v>#REF!</v>
      </c>
      <c r="U94" s="4" t="e">
        <f>(VLOOKUP('15.01'!#REF!,'15.01'!$AM$4:$AO$55,2,FALSE))*IF('15.01'!BF$4="是",'15.01'!$AY$4,'15.01'!$AY$3)</f>
        <v>#REF!</v>
      </c>
      <c r="V94" s="4" t="e">
        <f>(VLOOKUP('15.01'!#REF!,'15.01'!$AM$4:$AO$55,2,FALSE))*IF('15.01'!BG$4="是",'15.01'!$AY$4,'15.01'!$AY$3)</f>
        <v>#REF!</v>
      </c>
      <c r="W94" s="5" t="e">
        <f>(VLOOKUP('15.01'!#REF!,'15.01'!$AM$4:$AO$55,2,FALSE))*IF('15.01'!BH$4="是",'15.01'!$AY$4,'15.01'!$AY$3)</f>
        <v>#REF!</v>
      </c>
      <c r="X94" s="5" t="e">
        <f>(VLOOKUP('15.01'!#REF!,'15.01'!$AM$4:$AO$55,2,FALSE))*IF('15.01'!BI$4="是",'15.01'!$AY$4,'15.01'!$AY$3)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49" t="s">
        <v>60</v>
      </c>
      <c r="B2" s="150"/>
      <c r="C2" s="1" t="s">
        <v>4</v>
      </c>
      <c r="D2" s="1">
        <f>COUNTIF(A4:H94,"&lt;&gt;空")</f>
        <v>728</v>
      </c>
      <c r="E2" s="150" t="s">
        <v>5</v>
      </c>
      <c r="F2" s="150"/>
      <c r="G2" s="150"/>
      <c r="H2" s="151"/>
      <c r="I2" s="152" t="s">
        <v>6</v>
      </c>
      <c r="J2" s="153"/>
      <c r="K2" s="6" t="s">
        <v>4</v>
      </c>
      <c r="L2" s="6">
        <f>COUNTIF(I4:P94,"&lt;&gt;空")</f>
        <v>728</v>
      </c>
      <c r="M2" s="153" t="s">
        <v>5</v>
      </c>
      <c r="N2" s="153"/>
      <c r="O2" s="153"/>
      <c r="P2" s="154"/>
      <c r="Q2" s="155" t="s">
        <v>7</v>
      </c>
      <c r="R2" s="147"/>
      <c r="S2" s="10" t="s">
        <v>8</v>
      </c>
      <c r="T2" s="9">
        <f>COUNTIF(Q4:X94,"&lt;&gt;空")</f>
        <v>728</v>
      </c>
      <c r="U2" s="147" t="s">
        <v>5</v>
      </c>
      <c r="V2" s="147"/>
      <c r="W2" s="147"/>
      <c r="X2" s="14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(VLOOKUP('15.01'!I4,'15.01'!$AM$4:$AO$55,3,FALSE))</f>
        <v>35</v>
      </c>
      <c r="B4" s="4">
        <f>(VLOOKUP('15.01'!J4,'15.01'!$AM$4:$AO$55,3,FALSE))</f>
        <v>35</v>
      </c>
      <c r="C4" s="4">
        <f>(VLOOKUP('15.01'!K4,'15.01'!$AM$4:$AO$55,3,FALSE))</f>
        <v>35</v>
      </c>
      <c r="D4" s="4">
        <f>(VLOOKUP('15.01'!L4,'15.01'!$AM$4:$AO$55,3,FALSE))</f>
        <v>35</v>
      </c>
      <c r="E4" s="4">
        <f>(VLOOKUP('15.01'!M4,'15.01'!$AM$4:$AO$55,3,FALSE))</f>
        <v>35</v>
      </c>
      <c r="F4" s="4">
        <f>(VLOOKUP('15.01'!N4,'15.01'!$AM$4:$AO$55,3,FALSE))</f>
        <v>30</v>
      </c>
      <c r="G4" s="5">
        <f>(VLOOKUP('15.01'!O4,'15.01'!$AM$4:$AO$55,3,FALSE))</f>
        <v>0</v>
      </c>
      <c r="H4" s="5">
        <f>(VLOOKUP('15.01'!P4,'15.01'!$AM$4:$AO$55,3,FALSE))</f>
        <v>0</v>
      </c>
      <c r="I4" s="4">
        <f>(VLOOKUP('15.01'!Q4,'15.01'!$AM$4:$AO$55,3,FALSE))</f>
        <v>35</v>
      </c>
      <c r="J4" s="4">
        <f>(VLOOKUP('15.01'!R4,'15.01'!$AM$4:$AO$55,3,FALSE))</f>
        <v>35</v>
      </c>
      <c r="K4" s="4">
        <f>(VLOOKUP('15.01'!S4,'15.01'!$AM$4:$AO$55,3,FALSE))</f>
        <v>35</v>
      </c>
      <c r="L4" s="4">
        <f>(VLOOKUP('15.01'!T4,'15.01'!$AM$4:$AO$55,3,FALSE))</f>
        <v>35</v>
      </c>
      <c r="M4" s="4">
        <f>(VLOOKUP('15.01'!U4,'15.01'!$AM$4:$AO$55,3,FALSE))</f>
        <v>35</v>
      </c>
      <c r="N4" s="4">
        <f>(VLOOKUP('15.01'!V4,'15.01'!$AM$4:$AO$55,3,FALSE))</f>
        <v>35</v>
      </c>
      <c r="O4" s="5">
        <f>(VLOOKUP('15.01'!W4,'15.01'!$AM$4:$AO$55,3,FALSE))</f>
        <v>0</v>
      </c>
      <c r="P4" s="5">
        <f>(VLOOKUP('15.01'!X4,'15.01'!$AM$4:$AO$55,3,FALSE))</f>
        <v>0</v>
      </c>
      <c r="Q4" s="4">
        <f>(VLOOKUP('15.01'!Y4,'15.01'!$AM$4:$AO$55,3,FALSE))</f>
        <v>0</v>
      </c>
      <c r="R4" s="4">
        <f>(VLOOKUP('15.01'!Z4,'15.01'!$AM$4:$AO$55,3,FALSE))</f>
        <v>0</v>
      </c>
      <c r="S4" s="4">
        <f>(VLOOKUP('15.01'!AA4,'15.01'!$AM$4:$AO$55,3,FALSE))</f>
        <v>0</v>
      </c>
      <c r="T4" s="4">
        <f>(VLOOKUP('15.01'!AB4,'15.01'!$AM$4:$AO$55,3,FALSE))</f>
        <v>0</v>
      </c>
      <c r="U4" s="4">
        <f>(VLOOKUP('15.01'!AC4,'15.01'!$AM$4:$AO$55,3,FALSE))</f>
        <v>0</v>
      </c>
      <c r="V4" s="4">
        <f>(VLOOKUP('15.01'!AD4,'15.01'!$AM$4:$AO$55,3,FALSE))</f>
        <v>0</v>
      </c>
      <c r="W4" s="5">
        <f>(VLOOKUP('15.01'!AE4,'15.01'!$AM$4:$AO$55,3,FALSE))</f>
        <v>0</v>
      </c>
      <c r="X4" s="5">
        <f>(VLOOKUP('15.01'!AF4,'15.01'!$AM$4:$AO$55,3,FALSE))</f>
        <v>0</v>
      </c>
    </row>
    <row r="5" spans="1:24">
      <c r="A5" s="4">
        <f>(VLOOKUP('15.01'!I5,'15.01'!$AM$4:$AO$55,3,FALSE))</f>
        <v>0</v>
      </c>
      <c r="B5" s="4">
        <f>(VLOOKUP('15.01'!J5,'15.01'!$AM$4:$AO$55,3,FALSE))</f>
        <v>0</v>
      </c>
      <c r="C5" s="4">
        <f>(VLOOKUP('15.01'!K5,'15.01'!$AM$4:$AO$55,3,FALSE))</f>
        <v>0</v>
      </c>
      <c r="D5" s="4">
        <f>(VLOOKUP('15.01'!L5,'15.01'!$AM$4:$AO$55,3,FALSE))</f>
        <v>0</v>
      </c>
      <c r="E5" s="4">
        <f>(VLOOKUP('15.01'!M5,'15.01'!$AM$4:$AO$55,3,FALSE))</f>
        <v>0</v>
      </c>
      <c r="F5" s="4">
        <f>(VLOOKUP('15.01'!N5,'15.01'!$AM$4:$AO$55,3,FALSE))</f>
        <v>0</v>
      </c>
      <c r="G5" s="5">
        <f>(VLOOKUP('15.01'!O5,'15.01'!$AM$4:$AO$55,3,FALSE))</f>
        <v>0</v>
      </c>
      <c r="H5" s="5">
        <f>(VLOOKUP('15.01'!P5,'15.01'!$AM$4:$AO$55,3,FALSE))</f>
        <v>0</v>
      </c>
      <c r="I5" s="4">
        <f>(VLOOKUP('15.01'!Q5,'15.01'!$AM$4:$AO$55,3,FALSE))</f>
        <v>35</v>
      </c>
      <c r="J5" s="4">
        <f>(VLOOKUP('15.01'!R5,'15.01'!$AM$4:$AO$55,3,FALSE))</f>
        <v>30</v>
      </c>
      <c r="K5" s="4">
        <f>(VLOOKUP('15.01'!S5,'15.01'!$AM$4:$AO$55,3,FALSE))</f>
        <v>35</v>
      </c>
      <c r="L5" s="4">
        <f>(VLOOKUP('15.01'!T5,'15.01'!$AM$4:$AO$55,3,FALSE))</f>
        <v>35</v>
      </c>
      <c r="M5" s="4">
        <f>(VLOOKUP('15.01'!U5,'15.01'!$AM$4:$AO$55,3,FALSE))</f>
        <v>35</v>
      </c>
      <c r="N5" s="4">
        <f>(VLOOKUP('15.01'!V5,'15.01'!$AM$4:$AO$55,3,FALSE))</f>
        <v>30</v>
      </c>
      <c r="O5" s="5">
        <f>(VLOOKUP('15.01'!W5,'15.01'!$AM$4:$AO$55,3,FALSE))</f>
        <v>0</v>
      </c>
      <c r="P5" s="5">
        <f>(VLOOKUP('15.01'!X5,'15.01'!$AM$4:$AO$55,3,FALSE))</f>
        <v>0</v>
      </c>
      <c r="Q5" s="4">
        <f>(VLOOKUP('15.01'!Y5,'15.01'!$AM$4:$AO$55,3,FALSE))</f>
        <v>35</v>
      </c>
      <c r="R5" s="4">
        <f>(VLOOKUP('15.01'!Z5,'15.01'!$AM$4:$AO$55,3,FALSE))</f>
        <v>35</v>
      </c>
      <c r="S5" s="4">
        <f>(VLOOKUP('15.01'!AA5,'15.01'!$AM$4:$AO$55,3,FALSE))</f>
        <v>35</v>
      </c>
      <c r="T5" s="4">
        <f>(VLOOKUP('15.01'!AB5,'15.01'!$AM$4:$AO$55,3,FALSE))</f>
        <v>30</v>
      </c>
      <c r="U5" s="4">
        <f>(VLOOKUP('15.01'!AC5,'15.01'!$AM$4:$AO$55,3,FALSE))</f>
        <v>35</v>
      </c>
      <c r="V5" s="4">
        <f>(VLOOKUP('15.01'!AD5,'15.01'!$AM$4:$AO$55,3,FALSE))</f>
        <v>35</v>
      </c>
      <c r="W5" s="5">
        <f>(VLOOKUP('15.01'!AE5,'15.01'!$AM$4:$AO$55,3,FALSE))</f>
        <v>35</v>
      </c>
      <c r="X5" s="5">
        <f>(VLOOKUP('15.01'!AF5,'15.01'!$AM$4:$AO$55,3,FALSE))</f>
        <v>40</v>
      </c>
    </row>
    <row r="6" spans="1:24">
      <c r="A6" s="4">
        <f>(VLOOKUP('15.01'!I6,'15.01'!$AM$4:$AO$55,3,FALSE))</f>
        <v>0</v>
      </c>
      <c r="B6" s="4">
        <f>(VLOOKUP('15.01'!J6,'15.01'!$AM$4:$AO$55,3,FALSE))</f>
        <v>0</v>
      </c>
      <c r="C6" s="4">
        <f>(VLOOKUP('15.01'!K6,'15.01'!$AM$4:$AO$55,3,FALSE))</f>
        <v>0</v>
      </c>
      <c r="D6" s="4">
        <f>(VLOOKUP('15.01'!L6,'15.01'!$AM$4:$AO$55,3,FALSE))</f>
        <v>0</v>
      </c>
      <c r="E6" s="4">
        <f>(VLOOKUP('15.01'!M6,'15.01'!$AM$4:$AO$55,3,FALSE))</f>
        <v>0</v>
      </c>
      <c r="F6" s="4">
        <f>(VLOOKUP('15.01'!N6,'15.01'!$AM$4:$AO$55,3,FALSE))</f>
        <v>0</v>
      </c>
      <c r="G6" s="5">
        <f>(VLOOKUP('15.01'!O6,'15.01'!$AM$4:$AO$55,3,FALSE))</f>
        <v>0</v>
      </c>
      <c r="H6" s="5">
        <f>(VLOOKUP('15.01'!P6,'15.01'!$AM$4:$AO$55,3,FALSE))</f>
        <v>0</v>
      </c>
      <c r="I6" s="4">
        <f>(VLOOKUP('15.01'!Q6,'15.01'!$AM$4:$AO$55,3,FALSE))</f>
        <v>35</v>
      </c>
      <c r="J6" s="4">
        <f>(VLOOKUP('15.01'!R6,'15.01'!$AM$4:$AO$55,3,FALSE))</f>
        <v>35</v>
      </c>
      <c r="K6" s="4">
        <f>(VLOOKUP('15.01'!S6,'15.01'!$AM$4:$AO$55,3,FALSE))</f>
        <v>40</v>
      </c>
      <c r="L6" s="4">
        <f>(VLOOKUP('15.01'!T6,'15.01'!$AM$4:$AO$55,3,FALSE))</f>
        <v>40</v>
      </c>
      <c r="M6" s="4">
        <f>(VLOOKUP('15.01'!U6,'15.01'!$AM$4:$AO$55,3,FALSE))</f>
        <v>0</v>
      </c>
      <c r="N6" s="4">
        <f>(VLOOKUP('15.01'!V6,'15.01'!$AM$4:$AO$55,3,FALSE))</f>
        <v>40</v>
      </c>
      <c r="O6" s="5">
        <f>(VLOOKUP('15.01'!W6,'15.01'!$AM$4:$AO$55,3,FALSE))</f>
        <v>0</v>
      </c>
      <c r="P6" s="5">
        <f>(VLOOKUP('15.01'!X6,'15.01'!$AM$4:$AO$55,3,FALSE))</f>
        <v>0</v>
      </c>
      <c r="Q6" s="4">
        <f>(VLOOKUP('15.01'!Y6,'15.01'!$AM$4:$AO$55,3,FALSE))</f>
        <v>40</v>
      </c>
      <c r="R6" s="4">
        <f>(VLOOKUP('15.01'!Z6,'15.01'!$AM$4:$AO$55,3,FALSE))</f>
        <v>40</v>
      </c>
      <c r="S6" s="4">
        <f>(VLOOKUP('15.01'!AA6,'15.01'!$AM$4:$AO$55,3,FALSE))</f>
        <v>40</v>
      </c>
      <c r="T6" s="4">
        <f>(VLOOKUP('15.01'!AB6,'15.01'!$AM$4:$AO$55,3,FALSE))</f>
        <v>30</v>
      </c>
      <c r="U6" s="4">
        <f>(VLOOKUP('15.01'!AC6,'15.01'!$AM$4:$AO$55,3,FALSE))</f>
        <v>40</v>
      </c>
      <c r="V6" s="4">
        <f>(VLOOKUP('15.01'!AD6,'15.01'!$AM$4:$AO$55,3,FALSE))</f>
        <v>40</v>
      </c>
      <c r="W6" s="5">
        <f>(VLOOKUP('15.01'!AE6,'15.01'!$AM$4:$AO$55,3,FALSE))</f>
        <v>30</v>
      </c>
      <c r="X6" s="5">
        <f>(VLOOKUP('15.01'!AF6,'15.01'!$AM$4:$AO$55,3,FALSE))</f>
        <v>45</v>
      </c>
    </row>
    <row r="7" spans="1:24">
      <c r="A7" s="4">
        <f>(VLOOKUP('15.01'!I7,'15.01'!$AM$4:$AO$55,3,FALSE))</f>
        <v>0</v>
      </c>
      <c r="B7" s="4">
        <f>(VLOOKUP('15.01'!J7,'15.01'!$AM$4:$AO$55,3,FALSE))</f>
        <v>0</v>
      </c>
      <c r="C7" s="4">
        <f>(VLOOKUP('15.01'!K7,'15.01'!$AM$4:$AO$55,3,FALSE))</f>
        <v>0</v>
      </c>
      <c r="D7" s="4">
        <f>(VLOOKUP('15.01'!L7,'15.01'!$AM$4:$AO$55,3,FALSE))</f>
        <v>0</v>
      </c>
      <c r="E7" s="4">
        <f>(VLOOKUP('15.01'!M7,'15.01'!$AM$4:$AO$55,3,FALSE))</f>
        <v>0</v>
      </c>
      <c r="F7" s="4">
        <f>(VLOOKUP('15.01'!N7,'15.01'!$AM$4:$AO$55,3,FALSE))</f>
        <v>0</v>
      </c>
      <c r="G7" s="5">
        <f>(VLOOKUP('15.01'!O7,'15.01'!$AM$4:$AO$55,3,FALSE))</f>
        <v>0</v>
      </c>
      <c r="H7" s="5">
        <f>(VLOOKUP('15.01'!P7,'15.01'!$AM$4:$AO$55,3,FALSE))</f>
        <v>0</v>
      </c>
      <c r="I7" s="4">
        <f>(VLOOKUP('15.01'!Q7,'15.01'!$AM$4:$AO$55,3,FALSE))</f>
        <v>40</v>
      </c>
      <c r="J7" s="4">
        <f>(VLOOKUP('15.01'!R7,'15.01'!$AM$4:$AO$55,3,FALSE))</f>
        <v>40</v>
      </c>
      <c r="K7" s="4">
        <f>(VLOOKUP('15.01'!S7,'15.01'!$AM$4:$AO$55,3,FALSE))</f>
        <v>30</v>
      </c>
      <c r="L7" s="4">
        <f>(VLOOKUP('15.01'!T7,'15.01'!$AM$4:$AO$55,3,FALSE))</f>
        <v>40</v>
      </c>
      <c r="M7" s="4">
        <f>(VLOOKUP('15.01'!U7,'15.01'!$AM$4:$AO$55,3,FALSE))</f>
        <v>40</v>
      </c>
      <c r="N7" s="4">
        <f>(VLOOKUP('15.01'!V7,'15.01'!$AM$4:$AO$55,3,FALSE))</f>
        <v>40</v>
      </c>
      <c r="O7" s="5">
        <f>(VLOOKUP('15.01'!W7,'15.01'!$AM$4:$AO$55,3,FALSE))</f>
        <v>0</v>
      </c>
      <c r="P7" s="5">
        <f>(VLOOKUP('15.01'!X7,'15.01'!$AM$4:$AO$55,3,FALSE))</f>
        <v>0</v>
      </c>
      <c r="Q7" s="4">
        <f>(VLOOKUP('15.01'!Y7,'15.01'!$AM$4:$AO$55,3,FALSE))</f>
        <v>45</v>
      </c>
      <c r="R7" s="4">
        <f>(VLOOKUP('15.01'!Z7,'15.01'!$AM$4:$AO$55,3,FALSE))</f>
        <v>45</v>
      </c>
      <c r="S7" s="4">
        <f>(VLOOKUP('15.01'!AA7,'15.01'!$AM$4:$AO$55,3,FALSE))</f>
        <v>45</v>
      </c>
      <c r="T7" s="4">
        <f>(VLOOKUP('15.01'!AB7,'15.01'!$AM$4:$AO$55,3,FALSE))</f>
        <v>45</v>
      </c>
      <c r="U7" s="4">
        <f>(VLOOKUP('15.01'!AC7,'15.01'!$AM$4:$AO$55,3,FALSE))</f>
        <v>30</v>
      </c>
      <c r="V7" s="4">
        <f>(VLOOKUP('15.01'!AD7,'15.01'!$AM$4:$AO$55,3,FALSE))</f>
        <v>45</v>
      </c>
      <c r="W7" s="5">
        <f>(VLOOKUP('15.01'!AE7,'15.01'!$AM$4:$AO$55,3,FALSE))</f>
        <v>45</v>
      </c>
      <c r="X7" s="5">
        <f>(VLOOKUP('15.01'!AF7,'15.01'!$AM$4:$AO$55,3,FALSE))</f>
        <v>45</v>
      </c>
    </row>
    <row r="8" spans="1:24">
      <c r="A8" s="4">
        <f>(VLOOKUP('15.01'!I8,'15.01'!$AM$4:$AO$55,3,FALSE))</f>
        <v>0</v>
      </c>
      <c r="B8" s="4">
        <f>(VLOOKUP('15.01'!J8,'15.01'!$AM$4:$AO$55,3,FALSE))</f>
        <v>0</v>
      </c>
      <c r="C8" s="4">
        <f>(VLOOKUP('15.01'!K8,'15.01'!$AM$4:$AO$55,3,FALSE))</f>
        <v>0</v>
      </c>
      <c r="D8" s="4">
        <f>(VLOOKUP('15.01'!L8,'15.01'!$AM$4:$AO$55,3,FALSE))</f>
        <v>0</v>
      </c>
      <c r="E8" s="4">
        <f>(VLOOKUP('15.01'!M8,'15.01'!$AM$4:$AO$55,3,FALSE))</f>
        <v>0</v>
      </c>
      <c r="F8" s="4">
        <f>(VLOOKUP('15.01'!N8,'15.01'!$AM$4:$AO$55,3,FALSE))</f>
        <v>0</v>
      </c>
      <c r="G8" s="5">
        <f>(VLOOKUP('15.01'!O8,'15.01'!$AM$4:$AO$55,3,FALSE))</f>
        <v>0</v>
      </c>
      <c r="H8" s="5">
        <f>(VLOOKUP('15.01'!P8,'15.01'!$AM$4:$AO$55,3,FALSE))</f>
        <v>0</v>
      </c>
      <c r="I8" s="4">
        <f>(VLOOKUP('15.01'!Q8,'15.01'!$AM$4:$AO$55,3,FALSE))</f>
        <v>40</v>
      </c>
      <c r="J8" s="4">
        <f>(VLOOKUP('15.01'!R8,'15.01'!$AM$4:$AO$55,3,FALSE))</f>
        <v>40</v>
      </c>
      <c r="K8" s="4">
        <f>(VLOOKUP('15.01'!S8,'15.01'!$AM$4:$AO$55,3,FALSE))</f>
        <v>50</v>
      </c>
      <c r="L8" s="4">
        <f>(VLOOKUP('15.01'!T8,'15.01'!$AM$4:$AO$55,3,FALSE))</f>
        <v>50</v>
      </c>
      <c r="M8" s="4">
        <f>(VLOOKUP('15.01'!U8,'15.01'!$AM$4:$AO$55,3,FALSE))</f>
        <v>50</v>
      </c>
      <c r="N8" s="4">
        <f>(VLOOKUP('15.01'!V8,'15.01'!$AM$4:$AO$55,3,FALSE))</f>
        <v>50</v>
      </c>
      <c r="O8" s="5">
        <f>(VLOOKUP('15.01'!W8,'15.01'!$AM$4:$AO$55,3,FALSE))</f>
        <v>0</v>
      </c>
      <c r="P8" s="5">
        <f>(VLOOKUP('15.01'!X8,'15.01'!$AM$4:$AO$55,3,FALSE))</f>
        <v>0</v>
      </c>
      <c r="Q8" s="4">
        <f>(VLOOKUP('15.01'!Y8,'15.01'!$AM$4:$AO$55,3,FALSE))</f>
        <v>45</v>
      </c>
      <c r="R8" s="4">
        <f>(VLOOKUP('15.01'!Z8,'15.01'!$AM$4:$AO$55,3,FALSE))</f>
        <v>45</v>
      </c>
      <c r="S8" s="4">
        <f>(VLOOKUP('15.01'!AA8,'15.01'!$AM$4:$AO$55,3,FALSE))</f>
        <v>45</v>
      </c>
      <c r="T8" s="4">
        <f>(VLOOKUP('15.01'!AB8,'15.01'!$AM$4:$AO$55,3,FALSE))</f>
        <v>45</v>
      </c>
      <c r="U8" s="4">
        <f>(VLOOKUP('15.01'!AC8,'15.01'!$AM$4:$AO$55,3,FALSE))</f>
        <v>45</v>
      </c>
      <c r="V8" s="4">
        <f>(VLOOKUP('15.01'!AD8,'15.01'!$AM$4:$AO$55,3,FALSE))</f>
        <v>45</v>
      </c>
      <c r="W8" s="5">
        <f>(VLOOKUP('15.01'!AE8,'15.01'!$AM$4:$AO$55,3,FALSE))</f>
        <v>0</v>
      </c>
      <c r="X8" s="5">
        <f>(VLOOKUP('15.01'!AF8,'15.01'!$AM$4:$AO$55,3,FALSE))</f>
        <v>0</v>
      </c>
    </row>
    <row r="9" spans="1:24">
      <c r="A9" s="4">
        <f>(VLOOKUP('15.01'!I9,'15.01'!$AM$4:$AO$55,3,FALSE))</f>
        <v>0</v>
      </c>
      <c r="B9" s="4">
        <f>(VLOOKUP('15.01'!J9,'15.01'!$AM$4:$AO$55,3,FALSE))</f>
        <v>0</v>
      </c>
      <c r="C9" s="4">
        <f>(VLOOKUP('15.01'!K9,'15.01'!$AM$4:$AO$55,3,FALSE))</f>
        <v>0</v>
      </c>
      <c r="D9" s="4">
        <f>(VLOOKUP('15.01'!L9,'15.01'!$AM$4:$AO$55,3,FALSE))</f>
        <v>0</v>
      </c>
      <c r="E9" s="4">
        <f>(VLOOKUP('15.01'!M9,'15.01'!$AM$4:$AO$55,3,FALSE))</f>
        <v>0</v>
      </c>
      <c r="F9" s="4">
        <f>(VLOOKUP('15.01'!N9,'15.01'!$AM$4:$AO$55,3,FALSE))</f>
        <v>0</v>
      </c>
      <c r="G9" s="5">
        <f>(VLOOKUP('15.01'!O9,'15.01'!$AM$4:$AO$55,3,FALSE))</f>
        <v>0</v>
      </c>
      <c r="H9" s="5">
        <f>(VLOOKUP('15.01'!P9,'15.01'!$AM$4:$AO$55,3,FALSE))</f>
        <v>0</v>
      </c>
      <c r="I9" s="4">
        <f>(VLOOKUP('15.01'!Q9,'15.01'!$AM$4:$AO$55,3,FALSE))</f>
        <v>400</v>
      </c>
      <c r="J9" s="4">
        <f>(VLOOKUP('15.01'!R9,'15.01'!$AM$4:$AO$55,3,FALSE))</f>
        <v>0</v>
      </c>
      <c r="K9" s="4">
        <f>(VLOOKUP('15.01'!S9,'15.01'!$AM$4:$AO$55,3,FALSE))</f>
        <v>0</v>
      </c>
      <c r="L9" s="4">
        <f>(VLOOKUP('15.01'!T9,'15.01'!$AM$4:$AO$55,3,FALSE))</f>
        <v>0</v>
      </c>
      <c r="M9" s="4">
        <f>(VLOOKUP('15.01'!U9,'15.01'!$AM$4:$AO$55,3,FALSE))</f>
        <v>0</v>
      </c>
      <c r="N9" s="4">
        <f>(VLOOKUP('15.01'!V9,'15.01'!$AM$4:$AO$55,3,FALSE))</f>
        <v>0</v>
      </c>
      <c r="O9" s="5">
        <f>(VLOOKUP('15.01'!W9,'15.01'!$AM$4:$AO$55,3,FALSE))</f>
        <v>0</v>
      </c>
      <c r="P9" s="5">
        <f>(VLOOKUP('15.01'!X9,'15.01'!$AM$4:$AO$55,3,FALSE))</f>
        <v>0</v>
      </c>
      <c r="Q9" s="4">
        <f>(VLOOKUP('15.01'!Y9,'15.01'!$AM$4:$AO$55,3,FALSE))</f>
        <v>45</v>
      </c>
      <c r="R9" s="4">
        <f>(VLOOKUP('15.01'!Z9,'15.01'!$AM$4:$AO$55,3,FALSE))</f>
        <v>45</v>
      </c>
      <c r="S9" s="4">
        <f>(VLOOKUP('15.01'!AA9,'15.01'!$AM$4:$AO$55,3,FALSE))</f>
        <v>45</v>
      </c>
      <c r="T9" s="4">
        <f>(VLOOKUP('15.01'!AB9,'15.01'!$AM$4:$AO$55,3,FALSE))</f>
        <v>45</v>
      </c>
      <c r="U9" s="4">
        <f>(VLOOKUP('15.01'!AC9,'15.01'!$AM$4:$AO$55,3,FALSE))</f>
        <v>45</v>
      </c>
      <c r="V9" s="4">
        <f>(VLOOKUP('15.01'!AD9,'15.01'!$AM$4:$AO$55,3,FALSE))</f>
        <v>45</v>
      </c>
      <c r="W9" s="5">
        <f>(VLOOKUP('15.01'!AE9,'15.01'!$AM$4:$AO$55,3,FALSE))</f>
        <v>0</v>
      </c>
      <c r="X9" s="5">
        <f>(VLOOKUP('15.01'!AF9,'15.01'!$AM$4:$AO$55,3,FALSE))</f>
        <v>0</v>
      </c>
    </row>
    <row r="10" spans="1:24">
      <c r="A10" s="4">
        <f>(VLOOKUP('15.01'!I10,'15.01'!$AM$4:$AO$55,3,FALSE))</f>
        <v>0</v>
      </c>
      <c r="B10" s="4">
        <f>(VLOOKUP('15.01'!J10,'15.01'!$AM$4:$AO$55,3,FALSE))</f>
        <v>0</v>
      </c>
      <c r="C10" s="4">
        <f>(VLOOKUP('15.01'!K10,'15.01'!$AM$4:$AO$55,3,FALSE))</f>
        <v>0</v>
      </c>
      <c r="D10" s="4">
        <f>(VLOOKUP('15.01'!L10,'15.01'!$AM$4:$AO$55,3,FALSE))</f>
        <v>0</v>
      </c>
      <c r="E10" s="4">
        <f>(VLOOKUP('15.01'!M10,'15.01'!$AM$4:$AO$55,3,FALSE))</f>
        <v>0</v>
      </c>
      <c r="F10" s="4">
        <f>(VLOOKUP('15.01'!N10,'15.01'!$AM$4:$AO$55,3,FALSE))</f>
        <v>0</v>
      </c>
      <c r="G10" s="5">
        <f>(VLOOKUP('15.01'!O10,'15.01'!$AM$4:$AO$55,3,FALSE))</f>
        <v>0</v>
      </c>
      <c r="H10" s="5">
        <f>(VLOOKUP('15.01'!P10,'15.01'!$AM$4:$AO$55,3,FALSE))</f>
        <v>0</v>
      </c>
      <c r="I10" s="4">
        <f>(VLOOKUP('15.01'!Q10,'15.01'!$AM$4:$AO$55,3,FALSE))</f>
        <v>0</v>
      </c>
      <c r="J10" s="4">
        <f>(VLOOKUP('15.01'!R10,'15.01'!$AM$4:$AO$55,3,FALSE))</f>
        <v>0</v>
      </c>
      <c r="K10" s="4">
        <f>(VLOOKUP('15.01'!S10,'15.01'!$AM$4:$AO$55,3,FALSE))</f>
        <v>0</v>
      </c>
      <c r="L10" s="4">
        <f>(VLOOKUP('15.01'!T10,'15.01'!$AM$4:$AO$55,3,FALSE))</f>
        <v>0</v>
      </c>
      <c r="M10" s="4">
        <f>(VLOOKUP('15.01'!U10,'15.01'!$AM$4:$AO$55,3,FALSE))</f>
        <v>0</v>
      </c>
      <c r="N10" s="4">
        <f>(VLOOKUP('15.01'!V10,'15.01'!$AM$4:$AO$55,3,FALSE))</f>
        <v>0</v>
      </c>
      <c r="O10" s="5">
        <f>(VLOOKUP('15.01'!W10,'15.01'!$AM$4:$AO$55,3,FALSE))</f>
        <v>0</v>
      </c>
      <c r="P10" s="5">
        <f>(VLOOKUP('15.01'!X10,'15.01'!$AM$4:$AO$55,3,FALSE))</f>
        <v>0</v>
      </c>
      <c r="Q10" s="4">
        <f>(VLOOKUP('15.01'!Y10,'15.01'!$AM$4:$AO$55,3,FALSE))</f>
        <v>45</v>
      </c>
      <c r="R10" s="4">
        <f>(VLOOKUP('15.01'!Z10,'15.01'!$AM$4:$AO$55,3,FALSE))</f>
        <v>45</v>
      </c>
      <c r="S10" s="4">
        <f>(VLOOKUP('15.01'!AA10,'15.01'!$AM$4:$AO$55,3,FALSE))</f>
        <v>45</v>
      </c>
      <c r="T10" s="4">
        <f>(VLOOKUP('15.01'!AB10,'15.01'!$AM$4:$AO$55,3,FALSE))</f>
        <v>45</v>
      </c>
      <c r="U10" s="4">
        <f>(VLOOKUP('15.01'!AC10,'15.01'!$AM$4:$AO$55,3,FALSE))</f>
        <v>45</v>
      </c>
      <c r="V10" s="4">
        <f>(VLOOKUP('15.01'!AD10,'15.01'!$AM$4:$AO$55,3,FALSE))</f>
        <v>45</v>
      </c>
      <c r="W10" s="5">
        <f>(VLOOKUP('15.01'!AE10,'15.01'!$AM$4:$AO$55,3,FALSE))</f>
        <v>0</v>
      </c>
      <c r="X10" s="5">
        <f>(VLOOKUP('15.01'!AF10,'15.01'!$AM$4:$AO$55,3,FALSE))</f>
        <v>0</v>
      </c>
    </row>
    <row r="11" spans="1:24">
      <c r="A11" s="4">
        <f>(VLOOKUP('15.01'!I11,'15.01'!$AM$4:$AO$55,3,FALSE))</f>
        <v>0</v>
      </c>
      <c r="B11" s="4">
        <f>(VLOOKUP('15.01'!J11,'15.01'!$AM$4:$AO$55,3,FALSE))</f>
        <v>0</v>
      </c>
      <c r="C11" s="4">
        <f>(VLOOKUP('15.01'!K11,'15.01'!$AM$4:$AO$55,3,FALSE))</f>
        <v>0</v>
      </c>
      <c r="D11" s="4">
        <f>(VLOOKUP('15.01'!L11,'15.01'!$AM$4:$AO$55,3,FALSE))</f>
        <v>0</v>
      </c>
      <c r="E11" s="4">
        <f>(VLOOKUP('15.01'!M11,'15.01'!$AM$4:$AO$55,3,FALSE))</f>
        <v>0</v>
      </c>
      <c r="F11" s="4">
        <f>(VLOOKUP('15.01'!N11,'15.01'!$AM$4:$AO$55,3,FALSE))</f>
        <v>0</v>
      </c>
      <c r="G11" s="5">
        <f>(VLOOKUP('15.01'!O11,'15.01'!$AM$4:$AO$55,3,FALSE))</f>
        <v>0</v>
      </c>
      <c r="H11" s="5">
        <f>(VLOOKUP('15.01'!P11,'15.01'!$AM$4:$AO$55,3,FALSE))</f>
        <v>0</v>
      </c>
      <c r="I11" s="4">
        <f>(VLOOKUP('15.01'!Q11,'15.01'!$AM$4:$AO$55,3,FALSE))</f>
        <v>0</v>
      </c>
      <c r="J11" s="4">
        <f>(VLOOKUP('15.01'!R11,'15.01'!$AM$4:$AO$55,3,FALSE))</f>
        <v>0</v>
      </c>
      <c r="K11" s="4">
        <f>(VLOOKUP('15.01'!S11,'15.01'!$AM$4:$AO$55,3,FALSE))</f>
        <v>0</v>
      </c>
      <c r="L11" s="4">
        <f>(VLOOKUP('15.01'!T11,'15.01'!$AM$4:$AO$55,3,FALSE))</f>
        <v>0</v>
      </c>
      <c r="M11" s="4">
        <f>(VLOOKUP('15.01'!U11,'15.01'!$AM$4:$AO$55,3,FALSE))</f>
        <v>0</v>
      </c>
      <c r="N11" s="4">
        <f>(VLOOKUP('15.01'!V11,'15.01'!$AM$4:$AO$55,3,FALSE))</f>
        <v>0</v>
      </c>
      <c r="O11" s="5">
        <f>(VLOOKUP('15.01'!W11,'15.01'!$AM$4:$AO$55,3,FALSE))</f>
        <v>0</v>
      </c>
      <c r="P11" s="5">
        <f>(VLOOKUP('15.01'!X11,'15.01'!$AM$4:$AO$55,3,FALSE))</f>
        <v>0</v>
      </c>
      <c r="Q11" s="4">
        <f>(VLOOKUP('15.01'!Y11,'15.01'!$AM$4:$AO$55,3,FALSE))</f>
        <v>45</v>
      </c>
      <c r="R11" s="4">
        <f>(VLOOKUP('15.01'!Z11,'15.01'!$AM$4:$AO$55,3,FALSE))</f>
        <v>45</v>
      </c>
      <c r="S11" s="4">
        <f>(VLOOKUP('15.01'!AA11,'15.01'!$AM$4:$AO$55,3,FALSE))</f>
        <v>45</v>
      </c>
      <c r="T11" s="4">
        <f>(VLOOKUP('15.01'!AB11,'15.01'!$AM$4:$AO$55,3,FALSE))</f>
        <v>30</v>
      </c>
      <c r="U11" s="4">
        <f>(VLOOKUP('15.01'!AC11,'15.01'!$AM$4:$AO$55,3,FALSE))</f>
        <v>45</v>
      </c>
      <c r="V11" s="4">
        <f>(VLOOKUP('15.01'!AD11,'15.01'!$AM$4:$AO$55,3,FALSE))</f>
        <v>45</v>
      </c>
      <c r="W11" s="5">
        <f>(VLOOKUP('15.01'!AE11,'15.01'!$AM$4:$AO$55,3,FALSE))</f>
        <v>0</v>
      </c>
      <c r="X11" s="5">
        <f>(VLOOKUP('15.01'!AF11,'15.01'!$AM$4:$AO$55,3,FALSE))</f>
        <v>0</v>
      </c>
    </row>
    <row r="12" spans="1:24">
      <c r="A12" s="4">
        <f>(VLOOKUP('15.01'!I12,'15.01'!$AM$4:$AO$55,3,FALSE))</f>
        <v>0</v>
      </c>
      <c r="B12" s="4">
        <f>(VLOOKUP('15.01'!J12,'15.01'!$AM$4:$AO$55,3,FALSE))</f>
        <v>0</v>
      </c>
      <c r="C12" s="4">
        <f>(VLOOKUP('15.01'!K12,'15.01'!$AM$4:$AO$55,3,FALSE))</f>
        <v>0</v>
      </c>
      <c r="D12" s="4">
        <f>(VLOOKUP('15.01'!L12,'15.01'!$AM$4:$AO$55,3,FALSE))</f>
        <v>0</v>
      </c>
      <c r="E12" s="4">
        <f>(VLOOKUP('15.01'!M12,'15.01'!$AM$4:$AO$55,3,FALSE))</f>
        <v>0</v>
      </c>
      <c r="F12" s="4">
        <f>(VLOOKUP('15.01'!N12,'15.01'!$AM$4:$AO$55,3,FALSE))</f>
        <v>0</v>
      </c>
      <c r="G12" s="5">
        <f>(VLOOKUP('15.01'!O12,'15.01'!$AM$4:$AO$55,3,FALSE))</f>
        <v>0</v>
      </c>
      <c r="H12" s="5">
        <f>(VLOOKUP('15.01'!P12,'15.01'!$AM$4:$AO$55,3,FALSE))</f>
        <v>0</v>
      </c>
      <c r="I12" s="4">
        <f>(VLOOKUP('15.01'!Q12,'15.01'!$AM$4:$AO$55,3,FALSE))</f>
        <v>0</v>
      </c>
      <c r="J12" s="4">
        <f>(VLOOKUP('15.01'!R12,'15.01'!$AM$4:$AO$55,3,FALSE))</f>
        <v>0</v>
      </c>
      <c r="K12" s="4">
        <f>(VLOOKUP('15.01'!S12,'15.01'!$AM$4:$AO$55,3,FALSE))</f>
        <v>0</v>
      </c>
      <c r="L12" s="4">
        <f>(VLOOKUP('15.01'!T12,'15.01'!$AM$4:$AO$55,3,FALSE))</f>
        <v>0</v>
      </c>
      <c r="M12" s="4">
        <f>(VLOOKUP('15.01'!U12,'15.01'!$AM$4:$AO$55,3,FALSE))</f>
        <v>0</v>
      </c>
      <c r="N12" s="4">
        <f>(VLOOKUP('15.01'!V12,'15.01'!$AM$4:$AO$55,3,FALSE))</f>
        <v>0</v>
      </c>
      <c r="O12" s="5">
        <f>(VLOOKUP('15.01'!W12,'15.01'!$AM$4:$AO$55,3,FALSE))</f>
        <v>0</v>
      </c>
      <c r="P12" s="5">
        <f>(VLOOKUP('15.01'!X12,'15.01'!$AM$4:$AO$55,3,FALSE))</f>
        <v>0</v>
      </c>
      <c r="Q12" s="4">
        <f>(VLOOKUP('15.01'!Y12,'15.01'!$AM$4:$AO$55,3,FALSE))</f>
        <v>45</v>
      </c>
      <c r="R12" s="4">
        <f>(VLOOKUP('15.01'!Z12,'15.01'!$AM$4:$AO$55,3,FALSE))</f>
        <v>45</v>
      </c>
      <c r="S12" s="4">
        <f>(VLOOKUP('15.01'!AA12,'15.01'!$AM$4:$AO$55,3,FALSE))</f>
        <v>45</v>
      </c>
      <c r="T12" s="4">
        <f>(VLOOKUP('15.01'!AB12,'15.01'!$AM$4:$AO$55,3,FALSE))</f>
        <v>30</v>
      </c>
      <c r="U12" s="4">
        <f>(VLOOKUP('15.01'!AC12,'15.01'!$AM$4:$AO$55,3,FALSE))</f>
        <v>45</v>
      </c>
      <c r="V12" s="4">
        <f>(VLOOKUP('15.01'!AD12,'15.01'!$AM$4:$AO$55,3,FALSE))</f>
        <v>300</v>
      </c>
      <c r="W12" s="5">
        <f>(VLOOKUP('15.01'!AE12,'15.01'!$AM$4:$AO$55,3,FALSE))</f>
        <v>0</v>
      </c>
      <c r="X12" s="5">
        <f>(VLOOKUP('15.01'!AF12,'15.01'!$AM$4:$AO$55,3,FALSE))</f>
        <v>0</v>
      </c>
    </row>
    <row r="13" spans="1:24">
      <c r="A13" s="4">
        <f>(VLOOKUP('15.01'!I13,'15.01'!$AM$4:$AO$55,3,FALSE))</f>
        <v>0</v>
      </c>
      <c r="B13" s="4">
        <f>(VLOOKUP('15.01'!J13,'15.01'!$AM$4:$AO$55,3,FALSE))</f>
        <v>0</v>
      </c>
      <c r="C13" s="4">
        <f>(VLOOKUP('15.01'!K13,'15.01'!$AM$4:$AO$55,3,FALSE))</f>
        <v>0</v>
      </c>
      <c r="D13" s="4">
        <f>(VLOOKUP('15.01'!L13,'15.01'!$AM$4:$AO$55,3,FALSE))</f>
        <v>0</v>
      </c>
      <c r="E13" s="4">
        <f>(VLOOKUP('15.01'!M13,'15.01'!$AM$4:$AO$55,3,FALSE))</f>
        <v>0</v>
      </c>
      <c r="F13" s="4">
        <f>(VLOOKUP('15.01'!N13,'15.01'!$AM$4:$AO$55,3,FALSE))</f>
        <v>0</v>
      </c>
      <c r="G13" s="5">
        <f>(VLOOKUP('15.01'!O13,'15.01'!$AM$4:$AO$55,3,FALSE))</f>
        <v>0</v>
      </c>
      <c r="H13" s="5">
        <f>(VLOOKUP('15.01'!P13,'15.01'!$AM$4:$AO$55,3,FALSE))</f>
        <v>0</v>
      </c>
      <c r="I13" s="4">
        <f>(VLOOKUP('15.01'!Q13,'15.01'!$AM$4:$AO$55,3,FALSE))</f>
        <v>0</v>
      </c>
      <c r="J13" s="4">
        <f>(VLOOKUP('15.01'!R13,'15.01'!$AM$4:$AO$55,3,FALSE))</f>
        <v>0</v>
      </c>
      <c r="K13" s="4">
        <f>(VLOOKUP('15.01'!S13,'15.01'!$AM$4:$AO$55,3,FALSE))</f>
        <v>0</v>
      </c>
      <c r="L13" s="4">
        <f>(VLOOKUP('15.01'!T13,'15.01'!$AM$4:$AO$55,3,FALSE))</f>
        <v>0</v>
      </c>
      <c r="M13" s="4">
        <f>(VLOOKUP('15.01'!U13,'15.01'!$AM$4:$AO$55,3,FALSE))</f>
        <v>0</v>
      </c>
      <c r="N13" s="4">
        <f>(VLOOKUP('15.01'!V13,'15.01'!$AM$4:$AO$55,3,FALSE))</f>
        <v>0</v>
      </c>
      <c r="O13" s="5">
        <f>(VLOOKUP('15.01'!W13,'15.01'!$AM$4:$AO$55,3,FALSE))</f>
        <v>0</v>
      </c>
      <c r="P13" s="5">
        <f>(VLOOKUP('15.01'!X13,'15.01'!$AM$4:$AO$55,3,FALSE))</f>
        <v>0</v>
      </c>
      <c r="Q13" s="4">
        <f>(VLOOKUP('15.01'!Y13,'15.01'!$AM$4:$AO$55,3,FALSE))</f>
        <v>45</v>
      </c>
      <c r="R13" s="4">
        <f>(VLOOKUP('15.01'!Z13,'15.01'!$AM$4:$AO$55,3,FALSE))</f>
        <v>45</v>
      </c>
      <c r="S13" s="4">
        <f>(VLOOKUP('15.01'!AA13,'15.01'!$AM$4:$AO$55,3,FALSE))</f>
        <v>45</v>
      </c>
      <c r="T13" s="4">
        <f>(VLOOKUP('15.01'!AB13,'15.01'!$AM$4:$AO$55,3,FALSE))</f>
        <v>45</v>
      </c>
      <c r="U13" s="4">
        <f>(VLOOKUP('15.01'!AC13,'15.01'!$AM$4:$AO$55,3,FALSE))</f>
        <v>45</v>
      </c>
      <c r="V13" s="4">
        <f>(VLOOKUP('15.01'!AD13,'15.01'!$AM$4:$AO$55,3,FALSE))</f>
        <v>45</v>
      </c>
      <c r="W13" s="5">
        <f>(VLOOKUP('15.01'!AE13,'15.01'!$AM$4:$AO$55,3,FALSE))</f>
        <v>0</v>
      </c>
      <c r="X13" s="5">
        <f>(VLOOKUP('15.01'!AF13,'15.01'!$AM$4:$AO$55,3,FALSE))</f>
        <v>0</v>
      </c>
    </row>
    <row r="14" spans="1:24">
      <c r="A14" s="4">
        <f>(VLOOKUP('15.01'!I14,'15.01'!$AM$4:$AO$55,3,FALSE))</f>
        <v>0</v>
      </c>
      <c r="B14" s="4">
        <f>(VLOOKUP('15.01'!J14,'15.01'!$AM$4:$AO$55,3,FALSE))</f>
        <v>0</v>
      </c>
      <c r="C14" s="4">
        <f>(VLOOKUP('15.01'!K14,'15.01'!$AM$4:$AO$55,3,FALSE))</f>
        <v>0</v>
      </c>
      <c r="D14" s="4">
        <f>(VLOOKUP('15.01'!L14,'15.01'!$AM$4:$AO$55,3,FALSE))</f>
        <v>0</v>
      </c>
      <c r="E14" s="4">
        <f>(VLOOKUP('15.01'!M14,'15.01'!$AM$4:$AO$55,3,FALSE))</f>
        <v>0</v>
      </c>
      <c r="F14" s="4">
        <f>(VLOOKUP('15.01'!N14,'15.01'!$AM$4:$AO$55,3,FALSE))</f>
        <v>0</v>
      </c>
      <c r="G14" s="5">
        <f>(VLOOKUP('15.01'!O14,'15.01'!$AM$4:$AO$55,3,FALSE))</f>
        <v>0</v>
      </c>
      <c r="H14" s="5">
        <f>(VLOOKUP('15.01'!P14,'15.01'!$AM$4:$AO$55,3,FALSE))</f>
        <v>0</v>
      </c>
      <c r="I14" s="4">
        <f>(VLOOKUP('15.01'!Q14,'15.01'!$AM$4:$AO$55,3,FALSE))</f>
        <v>0</v>
      </c>
      <c r="J14" s="4">
        <f>(VLOOKUP('15.01'!R14,'15.01'!$AM$4:$AO$55,3,FALSE))</f>
        <v>0</v>
      </c>
      <c r="K14" s="4">
        <f>(VLOOKUP('15.01'!S14,'15.01'!$AM$4:$AO$55,3,FALSE))</f>
        <v>0</v>
      </c>
      <c r="L14" s="4">
        <f>(VLOOKUP('15.01'!T14,'15.01'!$AM$4:$AO$55,3,FALSE))</f>
        <v>0</v>
      </c>
      <c r="M14" s="4">
        <f>(VLOOKUP('15.01'!U14,'15.01'!$AM$4:$AO$55,3,FALSE))</f>
        <v>0</v>
      </c>
      <c r="N14" s="4">
        <f>(VLOOKUP('15.01'!V14,'15.01'!$AM$4:$AO$55,3,FALSE))</f>
        <v>0</v>
      </c>
      <c r="O14" s="5">
        <f>(VLOOKUP('15.01'!W14,'15.01'!$AM$4:$AO$55,3,FALSE))</f>
        <v>0</v>
      </c>
      <c r="P14" s="5">
        <f>(VLOOKUP('15.01'!X14,'15.01'!$AM$4:$AO$55,3,FALSE))</f>
        <v>0</v>
      </c>
      <c r="Q14" s="4">
        <f>(VLOOKUP('15.01'!Y14,'15.01'!$AM$4:$AO$55,3,FALSE))</f>
        <v>50</v>
      </c>
      <c r="R14" s="4">
        <f>(VLOOKUP('15.01'!Z14,'15.01'!$AM$4:$AO$55,3,FALSE))</f>
        <v>50</v>
      </c>
      <c r="S14" s="4">
        <f>(VLOOKUP('15.01'!AA14,'15.01'!$AM$4:$AO$55,3,FALSE))</f>
        <v>45</v>
      </c>
      <c r="T14" s="4">
        <f>(VLOOKUP('15.01'!AB14,'15.01'!$AM$4:$AO$55,3,FALSE))</f>
        <v>45</v>
      </c>
      <c r="U14" s="4">
        <f>(VLOOKUP('15.01'!AC14,'15.01'!$AM$4:$AO$55,3,FALSE))</f>
        <v>45</v>
      </c>
      <c r="V14" s="4">
        <f>(VLOOKUP('15.01'!AD14,'15.01'!$AM$4:$AO$55,3,FALSE))</f>
        <v>45</v>
      </c>
      <c r="W14" s="5">
        <f>(VLOOKUP('15.01'!AE14,'15.01'!$AM$4:$AO$55,3,FALSE))</f>
        <v>0</v>
      </c>
      <c r="X14" s="5">
        <f>(VLOOKUP('15.01'!AF14,'15.01'!$AM$4:$AO$55,3,FALSE))</f>
        <v>0</v>
      </c>
    </row>
    <row r="15" spans="1:24">
      <c r="A15" s="4">
        <f>(VLOOKUP('15.01'!I15,'15.01'!$AM$4:$AO$55,3,FALSE))</f>
        <v>0</v>
      </c>
      <c r="B15" s="4">
        <f>(VLOOKUP('15.01'!J15,'15.01'!$AM$4:$AO$55,3,FALSE))</f>
        <v>0</v>
      </c>
      <c r="C15" s="4">
        <f>(VLOOKUP('15.01'!K15,'15.01'!$AM$4:$AO$55,3,FALSE))</f>
        <v>0</v>
      </c>
      <c r="D15" s="4">
        <f>(VLOOKUP('15.01'!L15,'15.01'!$AM$4:$AO$55,3,FALSE))</f>
        <v>0</v>
      </c>
      <c r="E15" s="4">
        <f>(VLOOKUP('15.01'!M15,'15.01'!$AM$4:$AO$55,3,FALSE))</f>
        <v>0</v>
      </c>
      <c r="F15" s="4">
        <f>(VLOOKUP('15.01'!N15,'15.01'!$AM$4:$AO$55,3,FALSE))</f>
        <v>0</v>
      </c>
      <c r="G15" s="5">
        <f>(VLOOKUP('15.01'!O15,'15.01'!$AM$4:$AO$55,3,FALSE))</f>
        <v>0</v>
      </c>
      <c r="H15" s="5">
        <f>(VLOOKUP('15.01'!P15,'15.01'!$AM$4:$AO$55,3,FALSE))</f>
        <v>0</v>
      </c>
      <c r="I15" s="4">
        <f>(VLOOKUP('15.01'!Q15,'15.01'!$AM$4:$AO$55,3,FALSE))</f>
        <v>0</v>
      </c>
      <c r="J15" s="4">
        <f>(VLOOKUP('15.01'!R15,'15.01'!$AM$4:$AO$55,3,FALSE))</f>
        <v>0</v>
      </c>
      <c r="K15" s="4">
        <f>(VLOOKUP('15.01'!S15,'15.01'!$AM$4:$AO$55,3,FALSE))</f>
        <v>0</v>
      </c>
      <c r="L15" s="4">
        <f>(VLOOKUP('15.01'!T15,'15.01'!$AM$4:$AO$55,3,FALSE))</f>
        <v>0</v>
      </c>
      <c r="M15" s="4">
        <f>(VLOOKUP('15.01'!U15,'15.01'!$AM$4:$AO$55,3,FALSE))</f>
        <v>0</v>
      </c>
      <c r="N15" s="4">
        <f>(VLOOKUP('15.01'!V15,'15.01'!$AM$4:$AO$55,3,FALSE))</f>
        <v>0</v>
      </c>
      <c r="O15" s="5">
        <f>(VLOOKUP('15.01'!W15,'15.01'!$AM$4:$AO$55,3,FALSE))</f>
        <v>0</v>
      </c>
      <c r="P15" s="5">
        <f>(VLOOKUP('15.01'!X15,'15.01'!$AM$4:$AO$55,3,FALSE))</f>
        <v>0</v>
      </c>
      <c r="Q15" s="4">
        <f>(VLOOKUP('15.01'!Y15,'15.01'!$AM$4:$AO$55,3,FALSE))</f>
        <v>45</v>
      </c>
      <c r="R15" s="4">
        <f>(VLOOKUP('15.01'!Z15,'15.01'!$AM$4:$AO$55,3,FALSE))</f>
        <v>300</v>
      </c>
      <c r="S15" s="4">
        <f>(VLOOKUP('15.01'!AA15,'15.01'!$AM$4:$AO$55,3,FALSE))</f>
        <v>45</v>
      </c>
      <c r="T15" s="4">
        <f>(VLOOKUP('15.01'!AB15,'15.01'!$AM$4:$AO$55,3,FALSE))</f>
        <v>45</v>
      </c>
      <c r="U15" s="4">
        <f>(VLOOKUP('15.01'!AC15,'15.01'!$AM$4:$AO$55,3,FALSE))</f>
        <v>45</v>
      </c>
      <c r="V15" s="4">
        <f>(VLOOKUP('15.01'!AD15,'15.01'!$AM$4:$AO$55,3,FALSE))</f>
        <v>45</v>
      </c>
      <c r="W15" s="5">
        <f>(VLOOKUP('15.01'!AE15,'15.01'!$AM$4:$AO$55,3,FALSE))</f>
        <v>0</v>
      </c>
      <c r="X15" s="5">
        <f>(VLOOKUP('15.01'!AF15,'15.01'!$AM$4:$AO$55,3,FALSE))</f>
        <v>0</v>
      </c>
    </row>
    <row r="16" spans="1:24">
      <c r="A16" s="4">
        <f>(VLOOKUP('15.01'!I16,'15.01'!$AM$4:$AO$55,3,FALSE))</f>
        <v>0</v>
      </c>
      <c r="B16" s="4">
        <f>(VLOOKUP('15.01'!J16,'15.01'!$AM$4:$AO$55,3,FALSE))</f>
        <v>0</v>
      </c>
      <c r="C16" s="4">
        <f>(VLOOKUP('15.01'!K16,'15.01'!$AM$4:$AO$55,3,FALSE))</f>
        <v>0</v>
      </c>
      <c r="D16" s="4">
        <f>(VLOOKUP('15.01'!L16,'15.01'!$AM$4:$AO$55,3,FALSE))</f>
        <v>0</v>
      </c>
      <c r="E16" s="4">
        <f>(VLOOKUP('15.01'!M16,'15.01'!$AM$4:$AO$55,3,FALSE))</f>
        <v>0</v>
      </c>
      <c r="F16" s="4">
        <f>(VLOOKUP('15.01'!N16,'15.01'!$AM$4:$AO$55,3,FALSE))</f>
        <v>0</v>
      </c>
      <c r="G16" s="5">
        <f>(VLOOKUP('15.01'!O16,'15.01'!$AM$4:$AO$55,3,FALSE))</f>
        <v>0</v>
      </c>
      <c r="H16" s="5">
        <f>(VLOOKUP('15.01'!P16,'15.01'!$AM$4:$AO$55,3,FALSE))</f>
        <v>0</v>
      </c>
      <c r="I16" s="4">
        <f>(VLOOKUP('15.01'!Q16,'15.01'!$AM$4:$AO$55,3,FALSE))</f>
        <v>50</v>
      </c>
      <c r="J16" s="4">
        <f>(VLOOKUP('15.01'!R16,'15.01'!$AM$4:$AO$55,3,FALSE))</f>
        <v>50</v>
      </c>
      <c r="K16" s="4">
        <f>(VLOOKUP('15.01'!S16,'15.01'!$AM$4:$AO$55,3,FALSE))</f>
        <v>50</v>
      </c>
      <c r="L16" s="4">
        <f>(VLOOKUP('15.01'!T16,'15.01'!$AM$4:$AO$55,3,FALSE))</f>
        <v>50</v>
      </c>
      <c r="M16" s="4">
        <f>(VLOOKUP('15.01'!U16,'15.01'!$AM$4:$AO$55,3,FALSE))</f>
        <v>50</v>
      </c>
      <c r="N16" s="4">
        <f>(VLOOKUP('15.01'!V16,'15.01'!$AM$4:$AO$55,3,FALSE))</f>
        <v>50</v>
      </c>
      <c r="O16" s="5">
        <f>(VLOOKUP('15.01'!W16,'15.01'!$AM$4:$AO$55,3,FALSE))</f>
        <v>0</v>
      </c>
      <c r="P16" s="5">
        <f>(VLOOKUP('15.01'!X16,'15.01'!$AM$4:$AO$55,3,FALSE))</f>
        <v>0</v>
      </c>
      <c r="Q16" s="4">
        <f>(VLOOKUP('15.01'!Y16,'15.01'!$AM$4:$AO$55,3,FALSE))</f>
        <v>45</v>
      </c>
      <c r="R16" s="4">
        <f>(VLOOKUP('15.01'!Z16,'15.01'!$AM$4:$AO$55,3,FALSE))</f>
        <v>45</v>
      </c>
      <c r="S16" s="4">
        <f>(VLOOKUP('15.01'!AA16,'15.01'!$AM$4:$AO$55,3,FALSE))</f>
        <v>45</v>
      </c>
      <c r="T16" s="4">
        <f>(VLOOKUP('15.01'!AB16,'15.01'!$AM$4:$AO$55,3,FALSE))</f>
        <v>45</v>
      </c>
      <c r="U16" s="4">
        <f>(VLOOKUP('15.01'!AC16,'15.01'!$AM$4:$AO$55,3,FALSE))</f>
        <v>45</v>
      </c>
      <c r="V16" s="4">
        <f>(VLOOKUP('15.01'!AD16,'15.01'!$AM$4:$AO$55,3,FALSE))</f>
        <v>45</v>
      </c>
      <c r="W16" s="5">
        <f>(VLOOKUP('15.01'!AE16,'15.01'!$AM$4:$AO$55,3,FALSE))</f>
        <v>0</v>
      </c>
      <c r="X16" s="5">
        <f>(VLOOKUP('15.01'!AF16,'15.01'!$AM$4:$AO$55,3,FALSE))</f>
        <v>0</v>
      </c>
    </row>
    <row r="17" spans="1:24">
      <c r="A17" s="4">
        <f>(VLOOKUP('15.01'!I17,'15.01'!$AM$4:$AO$55,3,FALSE))</f>
        <v>0</v>
      </c>
      <c r="B17" s="4">
        <f>(VLOOKUP('15.01'!J17,'15.01'!$AM$4:$AO$55,3,FALSE))</f>
        <v>0</v>
      </c>
      <c r="C17" s="4">
        <f>(VLOOKUP('15.01'!K17,'15.01'!$AM$4:$AO$55,3,FALSE))</f>
        <v>0</v>
      </c>
      <c r="D17" s="4">
        <f>(VLOOKUP('15.01'!L17,'15.01'!$AM$4:$AO$55,3,FALSE))</f>
        <v>0</v>
      </c>
      <c r="E17" s="4">
        <f>(VLOOKUP('15.01'!M17,'15.01'!$AM$4:$AO$55,3,FALSE))</f>
        <v>0</v>
      </c>
      <c r="F17" s="4">
        <f>(VLOOKUP('15.01'!N17,'15.01'!$AM$4:$AO$55,3,FALSE))</f>
        <v>0</v>
      </c>
      <c r="G17" s="5">
        <f>(VLOOKUP('15.01'!O17,'15.01'!$AM$4:$AO$55,3,FALSE))</f>
        <v>0</v>
      </c>
      <c r="H17" s="5">
        <f>(VLOOKUP('15.01'!P17,'15.01'!$AM$4:$AO$55,3,FALSE))</f>
        <v>0</v>
      </c>
      <c r="I17" s="4">
        <f>(VLOOKUP('15.01'!Q17,'15.01'!$AM$4:$AO$55,3,FALSE))</f>
        <v>50</v>
      </c>
      <c r="J17" s="4">
        <f>(VLOOKUP('15.01'!R17,'15.01'!$AM$4:$AO$55,3,FALSE))</f>
        <v>50</v>
      </c>
      <c r="K17" s="4">
        <f>(VLOOKUP('15.01'!S17,'15.01'!$AM$4:$AO$55,3,FALSE))</f>
        <v>50</v>
      </c>
      <c r="L17" s="4">
        <f>(VLOOKUP('15.01'!T17,'15.01'!$AM$4:$AO$55,3,FALSE))</f>
        <v>50</v>
      </c>
      <c r="M17" s="4">
        <f>(VLOOKUP('15.01'!U17,'15.01'!$AM$4:$AO$55,3,FALSE))</f>
        <v>50</v>
      </c>
      <c r="N17" s="4">
        <f>(VLOOKUP('15.01'!V17,'15.01'!$AM$4:$AO$55,3,FALSE))</f>
        <v>50</v>
      </c>
      <c r="O17" s="5">
        <f>(VLOOKUP('15.01'!W17,'15.01'!$AM$4:$AO$55,3,FALSE))</f>
        <v>0</v>
      </c>
      <c r="P17" s="5">
        <f>(VLOOKUP('15.01'!X17,'15.01'!$AM$4:$AO$55,3,FALSE))</f>
        <v>0</v>
      </c>
      <c r="Q17" s="4">
        <f>(VLOOKUP('15.01'!Y17,'15.01'!$AM$4:$AO$55,3,FALSE))</f>
        <v>45</v>
      </c>
      <c r="R17" s="4">
        <f>(VLOOKUP('15.01'!Z17,'15.01'!$AM$4:$AO$55,3,FALSE))</f>
        <v>45</v>
      </c>
      <c r="S17" s="4">
        <f>(VLOOKUP('15.01'!AA17,'15.01'!$AM$4:$AO$55,3,FALSE))</f>
        <v>30</v>
      </c>
      <c r="T17" s="4">
        <f>(VLOOKUP('15.01'!AB17,'15.01'!$AM$4:$AO$55,3,FALSE))</f>
        <v>45</v>
      </c>
      <c r="U17" s="4">
        <f>(VLOOKUP('15.01'!AC17,'15.01'!$AM$4:$AO$55,3,FALSE))</f>
        <v>45</v>
      </c>
      <c r="V17" s="4">
        <f>(VLOOKUP('15.01'!AD17,'15.01'!$AM$4:$AO$55,3,FALSE))</f>
        <v>45</v>
      </c>
      <c r="W17" s="5">
        <f>(VLOOKUP('15.01'!AE17,'15.01'!$AM$4:$AO$55,3,FALSE))</f>
        <v>0</v>
      </c>
      <c r="X17" s="5">
        <f>(VLOOKUP('15.01'!AF17,'15.01'!$AM$4:$AO$55,3,FALSE))</f>
        <v>0</v>
      </c>
    </row>
    <row r="18" spans="1:24">
      <c r="A18" s="4">
        <f>(VLOOKUP('15.01'!I18,'15.01'!$AM$4:$AO$55,3,FALSE))</f>
        <v>0</v>
      </c>
      <c r="B18" s="4">
        <f>(VLOOKUP('15.01'!J18,'15.01'!$AM$4:$AO$55,3,FALSE))</f>
        <v>0</v>
      </c>
      <c r="C18" s="4">
        <f>(VLOOKUP('15.01'!K18,'15.01'!$AM$4:$AO$55,3,FALSE))</f>
        <v>0</v>
      </c>
      <c r="D18" s="4">
        <f>(VLOOKUP('15.01'!L18,'15.01'!$AM$4:$AO$55,3,FALSE))</f>
        <v>0</v>
      </c>
      <c r="E18" s="4">
        <f>(VLOOKUP('15.01'!M18,'15.01'!$AM$4:$AO$55,3,FALSE))</f>
        <v>0</v>
      </c>
      <c r="F18" s="4">
        <f>(VLOOKUP('15.01'!N18,'15.01'!$AM$4:$AO$55,3,FALSE))</f>
        <v>0</v>
      </c>
      <c r="G18" s="5">
        <f>(VLOOKUP('15.01'!O18,'15.01'!$AM$4:$AO$55,3,FALSE))</f>
        <v>0</v>
      </c>
      <c r="H18" s="5">
        <f>(VLOOKUP('15.01'!P18,'15.01'!$AM$4:$AO$55,3,FALSE))</f>
        <v>0</v>
      </c>
      <c r="I18" s="4">
        <f>(VLOOKUP('15.01'!Q18,'15.01'!$AM$4:$AO$55,3,FALSE))</f>
        <v>50</v>
      </c>
      <c r="J18" s="4">
        <f>(VLOOKUP('15.01'!R18,'15.01'!$AM$4:$AO$55,3,FALSE))</f>
        <v>50</v>
      </c>
      <c r="K18" s="4">
        <f>(VLOOKUP('15.01'!S18,'15.01'!$AM$4:$AO$55,3,FALSE))</f>
        <v>50</v>
      </c>
      <c r="L18" s="4">
        <f>(VLOOKUP('15.01'!T18,'15.01'!$AM$4:$AO$55,3,FALSE))</f>
        <v>50</v>
      </c>
      <c r="M18" s="4">
        <f>(VLOOKUP('15.01'!U18,'15.01'!$AM$4:$AO$55,3,FALSE))</f>
        <v>50</v>
      </c>
      <c r="N18" s="4">
        <f>(VLOOKUP('15.01'!V18,'15.01'!$AM$4:$AO$55,3,FALSE))</f>
        <v>50</v>
      </c>
      <c r="O18" s="5">
        <f>(VLOOKUP('15.01'!W18,'15.01'!$AM$4:$AO$55,3,FALSE))</f>
        <v>0</v>
      </c>
      <c r="P18" s="5">
        <f>(VLOOKUP('15.01'!X18,'15.01'!$AM$4:$AO$55,3,FALSE))</f>
        <v>0</v>
      </c>
      <c r="Q18" s="4">
        <f>(VLOOKUP('15.01'!Y18,'15.01'!$AM$4:$AO$55,3,FALSE))</f>
        <v>45</v>
      </c>
      <c r="R18" s="4">
        <f>(VLOOKUP('15.01'!Z18,'15.01'!$AM$4:$AO$55,3,FALSE))</f>
        <v>45</v>
      </c>
      <c r="S18" s="4">
        <f>(VLOOKUP('15.01'!AA18,'15.01'!$AM$4:$AO$55,3,FALSE))</f>
        <v>45</v>
      </c>
      <c r="T18" s="4">
        <f>(VLOOKUP('15.01'!AB18,'15.01'!$AM$4:$AO$55,3,FALSE))</f>
        <v>45</v>
      </c>
      <c r="U18" s="4">
        <f>(VLOOKUP('15.01'!AC18,'15.01'!$AM$4:$AO$55,3,FALSE))</f>
        <v>45</v>
      </c>
      <c r="V18" s="4">
        <f>(VLOOKUP('15.01'!AD18,'15.01'!$AM$4:$AO$55,3,FALSE))</f>
        <v>45</v>
      </c>
      <c r="W18" s="5">
        <f>(VLOOKUP('15.01'!AE18,'15.01'!$AM$4:$AO$55,3,FALSE))</f>
        <v>0</v>
      </c>
      <c r="X18" s="5">
        <f>(VLOOKUP('15.01'!AF18,'15.01'!$AM$4:$AO$55,3,FALSE))</f>
        <v>0</v>
      </c>
    </row>
    <row r="19" spans="1:24">
      <c r="A19" s="4">
        <f>(VLOOKUP('15.01'!I19,'15.01'!$AM$4:$AO$55,3,FALSE))</f>
        <v>0</v>
      </c>
      <c r="B19" s="4">
        <f>(VLOOKUP('15.01'!J19,'15.01'!$AM$4:$AO$55,3,FALSE))</f>
        <v>0</v>
      </c>
      <c r="C19" s="4">
        <f>(VLOOKUP('15.01'!K19,'15.01'!$AM$4:$AO$55,3,FALSE))</f>
        <v>0</v>
      </c>
      <c r="D19" s="4">
        <f>(VLOOKUP('15.01'!L19,'15.01'!$AM$4:$AO$55,3,FALSE))</f>
        <v>0</v>
      </c>
      <c r="E19" s="4">
        <f>(VLOOKUP('15.01'!M19,'15.01'!$AM$4:$AO$55,3,FALSE))</f>
        <v>0</v>
      </c>
      <c r="F19" s="4">
        <f>(VLOOKUP('15.01'!N19,'15.01'!$AM$4:$AO$55,3,FALSE))</f>
        <v>0</v>
      </c>
      <c r="G19" s="5">
        <f>(VLOOKUP('15.01'!O19,'15.01'!$AM$4:$AO$55,3,FALSE))</f>
        <v>0</v>
      </c>
      <c r="H19" s="5">
        <f>(VLOOKUP('15.01'!P19,'15.01'!$AM$4:$AO$55,3,FALSE))</f>
        <v>0</v>
      </c>
      <c r="I19" s="4">
        <f>(VLOOKUP('15.01'!Q19,'15.01'!$AM$4:$AO$55,3,FALSE))</f>
        <v>50</v>
      </c>
      <c r="J19" s="4">
        <f>(VLOOKUP('15.01'!R19,'15.01'!$AM$4:$AO$55,3,FALSE))</f>
        <v>50</v>
      </c>
      <c r="K19" s="4">
        <f>(VLOOKUP('15.01'!S19,'15.01'!$AM$4:$AO$55,3,FALSE))</f>
        <v>50</v>
      </c>
      <c r="L19" s="4">
        <f>(VLOOKUP('15.01'!T19,'15.01'!$AM$4:$AO$55,3,FALSE))</f>
        <v>50</v>
      </c>
      <c r="M19" s="4">
        <f>(VLOOKUP('15.01'!U19,'15.01'!$AM$4:$AO$55,3,FALSE))</f>
        <v>50</v>
      </c>
      <c r="N19" s="4">
        <f>(VLOOKUP('15.01'!V19,'15.01'!$AM$4:$AO$55,3,FALSE))</f>
        <v>50</v>
      </c>
      <c r="O19" s="5">
        <f>(VLOOKUP('15.01'!W19,'15.01'!$AM$4:$AO$55,3,FALSE))</f>
        <v>0</v>
      </c>
      <c r="P19" s="5">
        <f>(VLOOKUP('15.01'!X19,'15.01'!$AM$4:$AO$55,3,FALSE))</f>
        <v>0</v>
      </c>
      <c r="Q19" s="4">
        <f>(VLOOKUP('15.01'!Y19,'15.01'!$AM$4:$AO$55,3,FALSE))</f>
        <v>45</v>
      </c>
      <c r="R19" s="4">
        <f>(VLOOKUP('15.01'!Z19,'15.01'!$AM$4:$AO$55,3,FALSE))</f>
        <v>45</v>
      </c>
      <c r="S19" s="4">
        <f>(VLOOKUP('15.01'!AA19,'15.01'!$AM$4:$AO$55,3,FALSE))</f>
        <v>0</v>
      </c>
      <c r="T19" s="4">
        <f>(VLOOKUP('15.01'!AB19,'15.01'!$AM$4:$AO$55,3,FALSE))</f>
        <v>45</v>
      </c>
      <c r="U19" s="4">
        <f>(VLOOKUP('15.01'!AC19,'15.01'!$AM$4:$AO$55,3,FALSE))</f>
        <v>45</v>
      </c>
      <c r="V19" s="4">
        <f>(VLOOKUP('15.01'!AD19,'15.01'!$AM$4:$AO$55,3,FALSE))</f>
        <v>45</v>
      </c>
      <c r="W19" s="5">
        <f>(VLOOKUP('15.01'!AE19,'15.01'!$AM$4:$AO$55,3,FALSE))</f>
        <v>0</v>
      </c>
      <c r="X19" s="5">
        <f>(VLOOKUP('15.01'!AF19,'15.01'!$AM$4:$AO$55,3,FALSE))</f>
        <v>0</v>
      </c>
    </row>
    <row r="20" spans="1:24">
      <c r="A20" s="4">
        <f>(VLOOKUP('15.01'!I20,'15.01'!$AM$4:$AO$55,3,FALSE))</f>
        <v>0</v>
      </c>
      <c r="B20" s="4">
        <f>(VLOOKUP('15.01'!J20,'15.01'!$AM$4:$AO$55,3,FALSE))</f>
        <v>0</v>
      </c>
      <c r="C20" s="4">
        <f>(VLOOKUP('15.01'!K20,'15.01'!$AM$4:$AO$55,3,FALSE))</f>
        <v>0</v>
      </c>
      <c r="D20" s="4">
        <f>(VLOOKUP('15.01'!L20,'15.01'!$AM$4:$AO$55,3,FALSE))</f>
        <v>0</v>
      </c>
      <c r="E20" s="4">
        <f>(VLOOKUP('15.01'!M20,'15.01'!$AM$4:$AO$55,3,FALSE))</f>
        <v>0</v>
      </c>
      <c r="F20" s="4">
        <f>(VLOOKUP('15.01'!N20,'15.01'!$AM$4:$AO$55,3,FALSE))</f>
        <v>0</v>
      </c>
      <c r="G20" s="5">
        <f>(VLOOKUP('15.01'!O20,'15.01'!$AM$4:$AO$55,3,FALSE))</f>
        <v>0</v>
      </c>
      <c r="H20" s="5">
        <f>(VLOOKUP('15.01'!P20,'15.01'!$AM$4:$AO$55,3,FALSE))</f>
        <v>0</v>
      </c>
      <c r="I20" s="4">
        <f>(VLOOKUP('15.01'!Q20,'15.01'!$AM$4:$AO$55,3,FALSE))</f>
        <v>40</v>
      </c>
      <c r="J20" s="4">
        <f>(VLOOKUP('15.01'!R20,'15.01'!$AM$4:$AO$55,3,FALSE))</f>
        <v>40</v>
      </c>
      <c r="K20" s="4">
        <f>(VLOOKUP('15.01'!S20,'15.01'!$AM$4:$AO$55,3,FALSE))</f>
        <v>0</v>
      </c>
      <c r="L20" s="4">
        <f>(VLOOKUP('15.01'!T20,'15.01'!$AM$4:$AO$55,3,FALSE))</f>
        <v>40</v>
      </c>
      <c r="M20" s="4">
        <f>(VLOOKUP('15.01'!U20,'15.01'!$AM$4:$AO$55,3,FALSE))</f>
        <v>40</v>
      </c>
      <c r="N20" s="4">
        <f>(VLOOKUP('15.01'!V20,'15.01'!$AM$4:$AO$55,3,FALSE))</f>
        <v>40</v>
      </c>
      <c r="O20" s="5">
        <f>(VLOOKUP('15.01'!W20,'15.01'!$AM$4:$AO$55,3,FALSE))</f>
        <v>0</v>
      </c>
      <c r="P20" s="5">
        <f>(VLOOKUP('15.01'!X20,'15.01'!$AM$4:$AO$55,3,FALSE))</f>
        <v>0</v>
      </c>
      <c r="Q20" s="4">
        <f>(VLOOKUP('15.01'!Y20,'15.01'!$AM$4:$AO$55,3,FALSE))</f>
        <v>45</v>
      </c>
      <c r="R20" s="4">
        <f>(VLOOKUP('15.01'!Z20,'15.01'!$AM$4:$AO$55,3,FALSE))</f>
        <v>40</v>
      </c>
      <c r="S20" s="4">
        <f>(VLOOKUP('15.01'!AA20,'15.01'!$AM$4:$AO$55,3,FALSE))</f>
        <v>40</v>
      </c>
      <c r="T20" s="4">
        <f>(VLOOKUP('15.01'!AB20,'15.01'!$AM$4:$AO$55,3,FALSE))</f>
        <v>40</v>
      </c>
      <c r="U20" s="4">
        <f>(VLOOKUP('15.01'!AC20,'15.01'!$AM$4:$AO$55,3,FALSE))</f>
        <v>40</v>
      </c>
      <c r="V20" s="4">
        <f>(VLOOKUP('15.01'!AD20,'15.01'!$AM$4:$AO$55,3,FALSE))</f>
        <v>40</v>
      </c>
      <c r="W20" s="5">
        <f>(VLOOKUP('15.01'!AE20,'15.01'!$AM$4:$AO$55,3,FALSE))</f>
        <v>0</v>
      </c>
      <c r="X20" s="5">
        <f>(VLOOKUP('15.01'!AF20,'15.01'!$AM$4:$AO$55,3,FALSE))</f>
        <v>0</v>
      </c>
    </row>
    <row r="21" spans="1:24">
      <c r="A21" s="4">
        <f>(VLOOKUP('15.01'!I21,'15.01'!$AM$4:$AO$55,3,FALSE))</f>
        <v>0</v>
      </c>
      <c r="B21" s="4">
        <f>(VLOOKUP('15.01'!J21,'15.01'!$AM$4:$AO$55,3,FALSE))</f>
        <v>0</v>
      </c>
      <c r="C21" s="4">
        <f>(VLOOKUP('15.01'!K21,'15.01'!$AM$4:$AO$55,3,FALSE))</f>
        <v>0</v>
      </c>
      <c r="D21" s="4">
        <f>(VLOOKUP('15.01'!L21,'15.01'!$AM$4:$AO$55,3,FALSE))</f>
        <v>0</v>
      </c>
      <c r="E21" s="4">
        <f>(VLOOKUP('15.01'!M21,'15.01'!$AM$4:$AO$55,3,FALSE))</f>
        <v>0</v>
      </c>
      <c r="F21" s="4">
        <f>(VLOOKUP('15.01'!N21,'15.01'!$AM$4:$AO$55,3,FALSE))</f>
        <v>0</v>
      </c>
      <c r="G21" s="5">
        <f>(VLOOKUP('15.01'!O21,'15.01'!$AM$4:$AO$55,3,FALSE))</f>
        <v>0</v>
      </c>
      <c r="H21" s="5">
        <f>(VLOOKUP('15.01'!P21,'15.01'!$AM$4:$AO$55,3,FALSE))</f>
        <v>0</v>
      </c>
      <c r="I21" s="4">
        <f>(VLOOKUP('15.01'!Q21,'15.01'!$AM$4:$AO$55,3,FALSE))</f>
        <v>40</v>
      </c>
      <c r="J21" s="4">
        <f>(VLOOKUP('15.01'!R21,'15.01'!$AM$4:$AO$55,3,FALSE))</f>
        <v>50</v>
      </c>
      <c r="K21" s="4">
        <f>(VLOOKUP('15.01'!S21,'15.01'!$AM$4:$AO$55,3,FALSE))</f>
        <v>50</v>
      </c>
      <c r="L21" s="4">
        <f>(VLOOKUP('15.01'!T21,'15.01'!$AM$4:$AO$55,3,FALSE))</f>
        <v>50</v>
      </c>
      <c r="M21" s="4">
        <f>(VLOOKUP('15.01'!U21,'15.01'!$AM$4:$AO$55,3,FALSE))</f>
        <v>50</v>
      </c>
      <c r="N21" s="4">
        <f>(VLOOKUP('15.01'!V21,'15.01'!$AM$4:$AO$55,3,FALSE))</f>
        <v>50</v>
      </c>
      <c r="O21" s="5">
        <f>(VLOOKUP('15.01'!W21,'15.01'!$AM$4:$AO$55,3,FALSE))</f>
        <v>0</v>
      </c>
      <c r="P21" s="5">
        <f>(VLOOKUP('15.01'!X21,'15.01'!$AM$4:$AO$55,3,FALSE))</f>
        <v>0</v>
      </c>
      <c r="Q21" s="4">
        <f>(VLOOKUP('15.01'!Y21,'15.01'!$AM$4:$AO$55,3,FALSE))</f>
        <v>30</v>
      </c>
      <c r="R21" s="4">
        <f>(VLOOKUP('15.01'!Z21,'15.01'!$AM$4:$AO$55,3,FALSE))</f>
        <v>45</v>
      </c>
      <c r="S21" s="4">
        <f>(VLOOKUP('15.01'!AA21,'15.01'!$AM$4:$AO$55,3,FALSE))</f>
        <v>45</v>
      </c>
      <c r="T21" s="4">
        <f>(VLOOKUP('15.01'!AB21,'15.01'!$AM$4:$AO$55,3,FALSE))</f>
        <v>45</v>
      </c>
      <c r="U21" s="4">
        <f>(VLOOKUP('15.01'!AC21,'15.01'!$AM$4:$AO$55,3,FALSE))</f>
        <v>45</v>
      </c>
      <c r="V21" s="4">
        <f>(VLOOKUP('15.01'!AD21,'15.01'!$AM$4:$AO$55,3,FALSE))</f>
        <v>30</v>
      </c>
      <c r="W21" s="5">
        <f>(VLOOKUP('15.01'!AE21,'15.01'!$AM$4:$AO$55,3,FALSE))</f>
        <v>0</v>
      </c>
      <c r="X21" s="5">
        <f>(VLOOKUP('15.01'!AF21,'15.01'!$AM$4:$AO$55,3,FALSE))</f>
        <v>0</v>
      </c>
    </row>
    <row r="22" spans="1:24">
      <c r="A22" s="4">
        <f>(VLOOKUP('15.01'!I22,'15.01'!$AM$4:$AO$55,3,FALSE))</f>
        <v>0</v>
      </c>
      <c r="B22" s="4">
        <f>(VLOOKUP('15.01'!J22,'15.01'!$AM$4:$AO$55,3,FALSE))</f>
        <v>0</v>
      </c>
      <c r="C22" s="4">
        <f>(VLOOKUP('15.01'!K22,'15.01'!$AM$4:$AO$55,3,FALSE))</f>
        <v>0</v>
      </c>
      <c r="D22" s="4">
        <f>(VLOOKUP('15.01'!L22,'15.01'!$AM$4:$AO$55,3,FALSE))</f>
        <v>0</v>
      </c>
      <c r="E22" s="4">
        <f>(VLOOKUP('15.01'!M22,'15.01'!$AM$4:$AO$55,3,FALSE))</f>
        <v>0</v>
      </c>
      <c r="F22" s="4">
        <f>(VLOOKUP('15.01'!N22,'15.01'!$AM$4:$AO$55,3,FALSE))</f>
        <v>0</v>
      </c>
      <c r="G22" s="5">
        <f>(VLOOKUP('15.01'!O22,'15.01'!$AM$4:$AO$55,3,FALSE))</f>
        <v>0</v>
      </c>
      <c r="H22" s="5">
        <f>(VLOOKUP('15.01'!P22,'15.01'!$AM$4:$AO$55,3,FALSE))</f>
        <v>0</v>
      </c>
      <c r="I22" s="4">
        <f>(VLOOKUP('15.01'!Q22,'15.01'!$AM$4:$AO$55,3,FALSE))</f>
        <v>50</v>
      </c>
      <c r="J22" s="4">
        <f>(VLOOKUP('15.01'!R22,'15.01'!$AM$4:$AO$55,3,FALSE))</f>
        <v>50</v>
      </c>
      <c r="K22" s="4">
        <f>(VLOOKUP('15.01'!S22,'15.01'!$AM$4:$AO$55,3,FALSE))</f>
        <v>50</v>
      </c>
      <c r="L22" s="4">
        <f>(VLOOKUP('15.01'!T22,'15.01'!$AM$4:$AO$55,3,FALSE))</f>
        <v>50</v>
      </c>
      <c r="M22" s="4">
        <f>(VLOOKUP('15.01'!U22,'15.01'!$AM$4:$AO$55,3,FALSE))</f>
        <v>50</v>
      </c>
      <c r="N22" s="4">
        <f>(VLOOKUP('15.01'!V22,'15.01'!$AM$4:$AO$55,3,FALSE))</f>
        <v>50</v>
      </c>
      <c r="O22" s="5">
        <f>(VLOOKUP('15.01'!W22,'15.01'!$AM$4:$AO$55,3,FALSE))</f>
        <v>0</v>
      </c>
      <c r="P22" s="5">
        <f>(VLOOKUP('15.01'!X22,'15.01'!$AM$4:$AO$55,3,FALSE))</f>
        <v>0</v>
      </c>
      <c r="Q22" s="4">
        <f>(VLOOKUP('15.01'!Y22,'15.01'!$AM$4:$AO$55,3,FALSE))</f>
        <v>45</v>
      </c>
      <c r="R22" s="4">
        <f>(VLOOKUP('15.01'!Z22,'15.01'!$AM$4:$AO$55,3,FALSE))</f>
        <v>45</v>
      </c>
      <c r="S22" s="4">
        <f>(VLOOKUP('15.01'!AA22,'15.01'!$AM$4:$AO$55,3,FALSE))</f>
        <v>45</v>
      </c>
      <c r="T22" s="4">
        <f>(VLOOKUP('15.01'!AB22,'15.01'!$AM$4:$AO$55,3,FALSE))</f>
        <v>45</v>
      </c>
      <c r="U22" s="4">
        <f>(VLOOKUP('15.01'!AC22,'15.01'!$AM$4:$AO$55,3,FALSE))</f>
        <v>45</v>
      </c>
      <c r="V22" s="4">
        <f>(VLOOKUP('15.01'!AD22,'15.01'!$AM$4:$AO$55,3,FALSE))</f>
        <v>45</v>
      </c>
      <c r="W22" s="5">
        <f>(VLOOKUP('15.01'!AE22,'15.01'!$AM$4:$AO$55,3,FALSE))</f>
        <v>0</v>
      </c>
      <c r="X22" s="5">
        <f>(VLOOKUP('15.01'!AF22,'15.01'!$AM$4:$AO$55,3,FALSE))</f>
        <v>0</v>
      </c>
    </row>
    <row r="23" spans="1:24">
      <c r="A23" s="4">
        <f>(VLOOKUP('15.01'!I23,'15.01'!$AM$4:$AO$55,3,FALSE))</f>
        <v>0</v>
      </c>
      <c r="B23" s="4">
        <f>(VLOOKUP('15.01'!J23,'15.01'!$AM$4:$AO$55,3,FALSE))</f>
        <v>0</v>
      </c>
      <c r="C23" s="4">
        <f>(VLOOKUP('15.01'!K23,'15.01'!$AM$4:$AO$55,3,FALSE))</f>
        <v>0</v>
      </c>
      <c r="D23" s="4">
        <f>(VLOOKUP('15.01'!L23,'15.01'!$AM$4:$AO$55,3,FALSE))</f>
        <v>0</v>
      </c>
      <c r="E23" s="4">
        <f>(VLOOKUP('15.01'!M23,'15.01'!$AM$4:$AO$55,3,FALSE))</f>
        <v>0</v>
      </c>
      <c r="F23" s="4">
        <f>(VLOOKUP('15.01'!N23,'15.01'!$AM$4:$AO$55,3,FALSE))</f>
        <v>0</v>
      </c>
      <c r="G23" s="5">
        <f>(VLOOKUP('15.01'!O23,'15.01'!$AM$4:$AO$55,3,FALSE))</f>
        <v>0</v>
      </c>
      <c r="H23" s="5">
        <f>(VLOOKUP('15.01'!P23,'15.01'!$AM$4:$AO$55,3,FALSE))</f>
        <v>0</v>
      </c>
      <c r="I23" s="4">
        <f>(VLOOKUP('15.01'!Q23,'15.01'!$AM$4:$AO$55,3,FALSE))</f>
        <v>50</v>
      </c>
      <c r="J23" s="4">
        <f>(VLOOKUP('15.01'!R23,'15.01'!$AM$4:$AO$55,3,FALSE))</f>
        <v>50</v>
      </c>
      <c r="K23" s="4">
        <f>(VLOOKUP('15.01'!S23,'15.01'!$AM$4:$AO$55,3,FALSE))</f>
        <v>50</v>
      </c>
      <c r="L23" s="4">
        <f>(VLOOKUP('15.01'!T23,'15.01'!$AM$4:$AO$55,3,FALSE))</f>
        <v>50</v>
      </c>
      <c r="M23" s="4">
        <f>(VLOOKUP('15.01'!U23,'15.01'!$AM$4:$AO$55,3,FALSE))</f>
        <v>50</v>
      </c>
      <c r="N23" s="4">
        <f>(VLOOKUP('15.01'!V23,'15.01'!$AM$4:$AO$55,3,FALSE))</f>
        <v>50</v>
      </c>
      <c r="O23" s="5">
        <f>(VLOOKUP('15.01'!W23,'15.01'!$AM$4:$AO$55,3,FALSE))</f>
        <v>0</v>
      </c>
      <c r="P23" s="5">
        <f>(VLOOKUP('15.01'!X23,'15.01'!$AM$4:$AO$55,3,FALSE))</f>
        <v>0</v>
      </c>
      <c r="Q23" s="4">
        <f>(VLOOKUP('15.01'!Y23,'15.01'!$AM$4:$AO$55,3,FALSE))</f>
        <v>45</v>
      </c>
      <c r="R23" s="4">
        <f>(VLOOKUP('15.01'!Z23,'15.01'!$AM$4:$AO$55,3,FALSE))</f>
        <v>45</v>
      </c>
      <c r="S23" s="4">
        <f>(VLOOKUP('15.01'!AA23,'15.01'!$AM$4:$AO$55,3,FALSE))</f>
        <v>45</v>
      </c>
      <c r="T23" s="4">
        <f>(VLOOKUP('15.01'!AB23,'15.01'!$AM$4:$AO$55,3,FALSE))</f>
        <v>45</v>
      </c>
      <c r="U23" s="4">
        <f>(VLOOKUP('15.01'!AC23,'15.01'!$AM$4:$AO$55,3,FALSE))</f>
        <v>45</v>
      </c>
      <c r="V23" s="4">
        <f>(VLOOKUP('15.01'!AD23,'15.01'!$AM$4:$AO$55,3,FALSE))</f>
        <v>45</v>
      </c>
      <c r="W23" s="5">
        <f>(VLOOKUP('15.01'!AE23,'15.01'!$AM$4:$AO$55,3,FALSE))</f>
        <v>0</v>
      </c>
      <c r="X23" s="5">
        <f>(VLOOKUP('15.01'!AF23,'15.01'!$AM$4:$AO$55,3,FALSE))</f>
        <v>0</v>
      </c>
    </row>
    <row r="24" spans="1:24">
      <c r="A24" s="4">
        <f>(VLOOKUP('15.01'!I24,'15.01'!$AM$4:$AO$55,3,FALSE))</f>
        <v>0</v>
      </c>
      <c r="B24" s="4">
        <f>(VLOOKUP('15.01'!J24,'15.01'!$AM$4:$AO$55,3,FALSE))</f>
        <v>0</v>
      </c>
      <c r="C24" s="4">
        <f>(VLOOKUP('15.01'!K24,'15.01'!$AM$4:$AO$55,3,FALSE))</f>
        <v>0</v>
      </c>
      <c r="D24" s="4">
        <f>(VLOOKUP('15.01'!L24,'15.01'!$AM$4:$AO$55,3,FALSE))</f>
        <v>0</v>
      </c>
      <c r="E24" s="4">
        <f>(VLOOKUP('15.01'!M24,'15.01'!$AM$4:$AO$55,3,FALSE))</f>
        <v>0</v>
      </c>
      <c r="F24" s="4">
        <f>(VLOOKUP('15.01'!N24,'15.01'!$AM$4:$AO$55,3,FALSE))</f>
        <v>0</v>
      </c>
      <c r="G24" s="5">
        <f>(VLOOKUP('15.01'!O24,'15.01'!$AM$4:$AO$55,3,FALSE))</f>
        <v>0</v>
      </c>
      <c r="H24" s="5">
        <f>(VLOOKUP('15.01'!P24,'15.01'!$AM$4:$AO$55,3,FALSE))</f>
        <v>0</v>
      </c>
      <c r="I24" s="4">
        <f>(VLOOKUP('15.01'!Q24,'15.01'!$AM$4:$AO$55,3,FALSE))</f>
        <v>50</v>
      </c>
      <c r="J24" s="4">
        <f>(VLOOKUP('15.01'!R24,'15.01'!$AM$4:$AO$55,3,FALSE))</f>
        <v>50</v>
      </c>
      <c r="K24" s="4">
        <f>(VLOOKUP('15.01'!S24,'15.01'!$AM$4:$AO$55,3,FALSE))</f>
        <v>50</v>
      </c>
      <c r="L24" s="4">
        <f>(VLOOKUP('15.01'!T24,'15.01'!$AM$4:$AO$55,3,FALSE))</f>
        <v>50</v>
      </c>
      <c r="M24" s="4">
        <f>(VLOOKUP('15.01'!U24,'15.01'!$AM$4:$AO$55,3,FALSE))</f>
        <v>30</v>
      </c>
      <c r="N24" s="4">
        <f>(VLOOKUP('15.01'!V24,'15.01'!$AM$4:$AO$55,3,FALSE))</f>
        <v>50</v>
      </c>
      <c r="O24" s="5">
        <f>(VLOOKUP('15.01'!W24,'15.01'!$AM$4:$AO$55,3,FALSE))</f>
        <v>0</v>
      </c>
      <c r="P24" s="5">
        <f>(VLOOKUP('15.01'!X24,'15.01'!$AM$4:$AO$55,3,FALSE))</f>
        <v>0</v>
      </c>
      <c r="Q24" s="4">
        <f>(VLOOKUP('15.01'!Y24,'15.01'!$AM$4:$AO$55,3,FALSE))</f>
        <v>45</v>
      </c>
      <c r="R24" s="4">
        <f>(VLOOKUP('15.01'!Z24,'15.01'!$AM$4:$AO$55,3,FALSE))</f>
        <v>45</v>
      </c>
      <c r="S24" s="4">
        <f>(VLOOKUP('15.01'!AA24,'15.01'!$AM$4:$AO$55,3,FALSE))</f>
        <v>45</v>
      </c>
      <c r="T24" s="4">
        <f>(VLOOKUP('15.01'!AB24,'15.01'!$AM$4:$AO$55,3,FALSE))</f>
        <v>45</v>
      </c>
      <c r="U24" s="4">
        <f>(VLOOKUP('15.01'!AC24,'15.01'!$AM$4:$AO$55,3,FALSE))</f>
        <v>45</v>
      </c>
      <c r="V24" s="4">
        <f>(VLOOKUP('15.01'!AD24,'15.01'!$AM$4:$AO$55,3,FALSE))</f>
        <v>45</v>
      </c>
      <c r="W24" s="5">
        <f>(VLOOKUP('15.01'!AE24,'15.01'!$AM$4:$AO$55,3,FALSE))</f>
        <v>0</v>
      </c>
      <c r="X24" s="5">
        <f>(VLOOKUP('15.01'!AF24,'15.01'!$AM$4:$AO$55,3,FALSE))</f>
        <v>0</v>
      </c>
    </row>
    <row r="25" spans="1:24">
      <c r="A25" s="4">
        <f>(VLOOKUP('15.01'!I25,'15.01'!$AM$4:$AO$55,3,FALSE))</f>
        <v>0</v>
      </c>
      <c r="B25" s="4">
        <f>(VLOOKUP('15.01'!J25,'15.01'!$AM$4:$AO$55,3,FALSE))</f>
        <v>0</v>
      </c>
      <c r="C25" s="4">
        <f>(VLOOKUP('15.01'!K25,'15.01'!$AM$4:$AO$55,3,FALSE))</f>
        <v>0</v>
      </c>
      <c r="D25" s="4">
        <f>(VLOOKUP('15.01'!L25,'15.01'!$AM$4:$AO$55,3,FALSE))</f>
        <v>0</v>
      </c>
      <c r="E25" s="4">
        <f>(VLOOKUP('15.01'!M25,'15.01'!$AM$4:$AO$55,3,FALSE))</f>
        <v>0</v>
      </c>
      <c r="F25" s="4">
        <f>(VLOOKUP('15.01'!N25,'15.01'!$AM$4:$AO$55,3,FALSE))</f>
        <v>0</v>
      </c>
      <c r="G25" s="5">
        <f>(VLOOKUP('15.01'!O25,'15.01'!$AM$4:$AO$55,3,FALSE))</f>
        <v>0</v>
      </c>
      <c r="H25" s="5">
        <f>(VLOOKUP('15.01'!P25,'15.01'!$AM$4:$AO$55,3,FALSE))</f>
        <v>0</v>
      </c>
      <c r="I25" s="4">
        <f>(VLOOKUP('15.01'!Q25,'15.01'!$AM$4:$AO$55,3,FALSE))</f>
        <v>50</v>
      </c>
      <c r="J25" s="4">
        <f>(VLOOKUP('15.01'!R25,'15.01'!$AM$4:$AO$55,3,FALSE))</f>
        <v>50</v>
      </c>
      <c r="K25" s="4">
        <f>(VLOOKUP('15.01'!S25,'15.01'!$AM$4:$AO$55,3,FALSE))</f>
        <v>50</v>
      </c>
      <c r="L25" s="4">
        <f>(VLOOKUP('15.01'!T25,'15.01'!$AM$4:$AO$55,3,FALSE))</f>
        <v>50</v>
      </c>
      <c r="M25" s="4">
        <f>(VLOOKUP('15.01'!U25,'15.01'!$AM$4:$AO$55,3,FALSE))</f>
        <v>50</v>
      </c>
      <c r="N25" s="4">
        <f>(VLOOKUP('15.01'!V25,'15.01'!$AM$4:$AO$55,3,FALSE))</f>
        <v>50</v>
      </c>
      <c r="O25" s="5">
        <f>(VLOOKUP('15.01'!W25,'15.01'!$AM$4:$AO$55,3,FALSE))</f>
        <v>0</v>
      </c>
      <c r="P25" s="5">
        <f>(VLOOKUP('15.01'!X25,'15.01'!$AM$4:$AO$55,3,FALSE))</f>
        <v>0</v>
      </c>
      <c r="Q25" s="4">
        <f>(VLOOKUP('15.01'!Y25,'15.01'!$AM$4:$AO$55,3,FALSE))</f>
        <v>30</v>
      </c>
      <c r="R25" s="4">
        <f>(VLOOKUP('15.01'!Z25,'15.01'!$AM$4:$AO$55,3,FALSE))</f>
        <v>45</v>
      </c>
      <c r="S25" s="4">
        <f>(VLOOKUP('15.01'!AA25,'15.01'!$AM$4:$AO$55,3,FALSE))</f>
        <v>45</v>
      </c>
      <c r="T25" s="4">
        <f>(VLOOKUP('15.01'!AB25,'15.01'!$AM$4:$AO$55,3,FALSE))</f>
        <v>45</v>
      </c>
      <c r="U25" s="4">
        <f>(VLOOKUP('15.01'!AC25,'15.01'!$AM$4:$AO$55,3,FALSE))</f>
        <v>45</v>
      </c>
      <c r="V25" s="4">
        <f>(VLOOKUP('15.01'!AD25,'15.01'!$AM$4:$AO$55,3,FALSE))</f>
        <v>45</v>
      </c>
      <c r="W25" s="5">
        <f>(VLOOKUP('15.01'!AE25,'15.01'!$AM$4:$AO$55,3,FALSE))</f>
        <v>0</v>
      </c>
      <c r="X25" s="5">
        <f>(VLOOKUP('15.01'!AF25,'15.01'!$AM$4:$AO$55,3,FALSE))</f>
        <v>0</v>
      </c>
    </row>
    <row r="26" spans="1:24">
      <c r="A26" s="4">
        <f>(VLOOKUP('15.01'!I26,'15.01'!$AM$4:$AO$55,3,FALSE))</f>
        <v>0</v>
      </c>
      <c r="B26" s="4">
        <f>(VLOOKUP('15.01'!J26,'15.01'!$AM$4:$AO$55,3,FALSE))</f>
        <v>0</v>
      </c>
      <c r="C26" s="4">
        <f>(VLOOKUP('15.01'!K26,'15.01'!$AM$4:$AO$55,3,FALSE))</f>
        <v>0</v>
      </c>
      <c r="D26" s="4">
        <f>(VLOOKUP('15.01'!L26,'15.01'!$AM$4:$AO$55,3,FALSE))</f>
        <v>0</v>
      </c>
      <c r="E26" s="4">
        <f>(VLOOKUP('15.01'!M26,'15.01'!$AM$4:$AO$55,3,FALSE))</f>
        <v>0</v>
      </c>
      <c r="F26" s="4">
        <f>(VLOOKUP('15.01'!N26,'15.01'!$AM$4:$AO$55,3,FALSE))</f>
        <v>0</v>
      </c>
      <c r="G26" s="5">
        <f>(VLOOKUP('15.01'!O26,'15.01'!$AM$4:$AO$55,3,FALSE))</f>
        <v>0</v>
      </c>
      <c r="H26" s="5">
        <f>(VLOOKUP('15.01'!P26,'15.01'!$AM$4:$AO$55,3,FALSE))</f>
        <v>0</v>
      </c>
      <c r="I26" s="4">
        <f>(VLOOKUP('15.01'!Q26,'15.01'!$AM$4:$AO$55,3,FALSE))</f>
        <v>50</v>
      </c>
      <c r="J26" s="4">
        <f>(VLOOKUP('15.01'!R26,'15.01'!$AM$4:$AO$55,3,FALSE))</f>
        <v>50</v>
      </c>
      <c r="K26" s="4">
        <f>(VLOOKUP('15.01'!S26,'15.01'!$AM$4:$AO$55,3,FALSE))</f>
        <v>50</v>
      </c>
      <c r="L26" s="4">
        <f>(VLOOKUP('15.01'!T26,'15.01'!$AM$4:$AO$55,3,FALSE))</f>
        <v>50</v>
      </c>
      <c r="M26" s="4">
        <f>(VLOOKUP('15.01'!U26,'15.01'!$AM$4:$AO$55,3,FALSE))</f>
        <v>50</v>
      </c>
      <c r="N26" s="4">
        <f>(VLOOKUP('15.01'!V26,'15.01'!$AM$4:$AO$55,3,FALSE))</f>
        <v>50</v>
      </c>
      <c r="O26" s="5">
        <f>(VLOOKUP('15.01'!W26,'15.01'!$AM$4:$AO$55,3,FALSE))</f>
        <v>0</v>
      </c>
      <c r="P26" s="5">
        <f>(VLOOKUP('15.01'!X26,'15.01'!$AM$4:$AO$55,3,FALSE))</f>
        <v>0</v>
      </c>
      <c r="Q26" s="4">
        <f>(VLOOKUP('15.01'!Y26,'15.01'!$AM$4:$AO$55,3,FALSE))</f>
        <v>45</v>
      </c>
      <c r="R26" s="4">
        <f>(VLOOKUP('15.01'!Z26,'15.01'!$AM$4:$AO$55,3,FALSE))</f>
        <v>45</v>
      </c>
      <c r="S26" s="4">
        <f>(VLOOKUP('15.01'!AA26,'15.01'!$AM$4:$AO$55,3,FALSE))</f>
        <v>45</v>
      </c>
      <c r="T26" s="4">
        <f>(VLOOKUP('15.01'!AB26,'15.01'!$AM$4:$AO$55,3,FALSE))</f>
        <v>45</v>
      </c>
      <c r="U26" s="4">
        <f>(VLOOKUP('15.01'!AC26,'15.01'!$AM$4:$AO$55,3,FALSE))</f>
        <v>45</v>
      </c>
      <c r="V26" s="4">
        <f>(VLOOKUP('15.01'!AD26,'15.01'!$AM$4:$AO$55,3,FALSE))</f>
        <v>45</v>
      </c>
      <c r="W26" s="5">
        <f>(VLOOKUP('15.01'!AE26,'15.01'!$AM$4:$AO$55,3,FALSE))</f>
        <v>0</v>
      </c>
      <c r="X26" s="5">
        <f>(VLOOKUP('15.01'!AF26,'15.01'!$AM$4:$AO$55,3,FALSE))</f>
        <v>0</v>
      </c>
    </row>
    <row r="27" spans="1:24">
      <c r="A27" s="4">
        <f>(VLOOKUP('15.01'!I27,'15.01'!$AM$4:$AO$55,3,FALSE))</f>
        <v>0</v>
      </c>
      <c r="B27" s="4">
        <f>(VLOOKUP('15.01'!J27,'15.01'!$AM$4:$AO$55,3,FALSE))</f>
        <v>0</v>
      </c>
      <c r="C27" s="4">
        <f>(VLOOKUP('15.01'!K27,'15.01'!$AM$4:$AO$55,3,FALSE))</f>
        <v>0</v>
      </c>
      <c r="D27" s="4">
        <f>(VLOOKUP('15.01'!L27,'15.01'!$AM$4:$AO$55,3,FALSE))</f>
        <v>0</v>
      </c>
      <c r="E27" s="4">
        <f>(VLOOKUP('15.01'!M27,'15.01'!$AM$4:$AO$55,3,FALSE))</f>
        <v>0</v>
      </c>
      <c r="F27" s="4">
        <f>(VLOOKUP('15.01'!N27,'15.01'!$AM$4:$AO$55,3,FALSE))</f>
        <v>0</v>
      </c>
      <c r="G27" s="5">
        <f>(VLOOKUP('15.01'!O27,'15.01'!$AM$4:$AO$55,3,FALSE))</f>
        <v>0</v>
      </c>
      <c r="H27" s="5">
        <f>(VLOOKUP('15.01'!P27,'15.01'!$AM$4:$AO$55,3,FALSE))</f>
        <v>0</v>
      </c>
      <c r="I27" s="4">
        <f>(VLOOKUP('15.01'!Q27,'15.01'!$AM$4:$AO$55,3,FALSE))</f>
        <v>50</v>
      </c>
      <c r="J27" s="4">
        <f>(VLOOKUP('15.01'!R27,'15.01'!$AM$4:$AO$55,3,FALSE))</f>
        <v>50</v>
      </c>
      <c r="K27" s="4">
        <f>(VLOOKUP('15.01'!S27,'15.01'!$AM$4:$AO$55,3,FALSE))</f>
        <v>50</v>
      </c>
      <c r="L27" s="4">
        <f>(VLOOKUP('15.01'!T27,'15.01'!$AM$4:$AO$55,3,FALSE))</f>
        <v>50</v>
      </c>
      <c r="M27" s="4">
        <f>(VLOOKUP('15.01'!U27,'15.01'!$AM$4:$AO$55,3,FALSE))</f>
        <v>50</v>
      </c>
      <c r="N27" s="4">
        <f>(VLOOKUP('15.01'!V27,'15.01'!$AM$4:$AO$55,3,FALSE))</f>
        <v>50</v>
      </c>
      <c r="O27" s="5">
        <f>(VLOOKUP('15.01'!W27,'15.01'!$AM$4:$AO$55,3,FALSE))</f>
        <v>0</v>
      </c>
      <c r="P27" s="5">
        <f>(VLOOKUP('15.01'!X27,'15.01'!$AM$4:$AO$55,3,FALSE))</f>
        <v>0</v>
      </c>
      <c r="Q27" s="4">
        <f>(VLOOKUP('15.01'!Y27,'15.01'!$AM$4:$AO$55,3,FALSE))</f>
        <v>45</v>
      </c>
      <c r="R27" s="4">
        <f>(VLOOKUP('15.01'!Z27,'15.01'!$AM$4:$AO$55,3,FALSE))</f>
        <v>45</v>
      </c>
      <c r="S27" s="4">
        <f>(VLOOKUP('15.01'!AA27,'15.01'!$AM$4:$AO$55,3,FALSE))</f>
        <v>45</v>
      </c>
      <c r="T27" s="4">
        <f>(VLOOKUP('15.01'!AB27,'15.01'!$AM$4:$AO$55,3,FALSE))</f>
        <v>45</v>
      </c>
      <c r="U27" s="4">
        <f>(VLOOKUP('15.01'!AC27,'15.01'!$AM$4:$AO$55,3,FALSE))</f>
        <v>45</v>
      </c>
      <c r="V27" s="4">
        <f>(VLOOKUP('15.01'!AD27,'15.01'!$AM$4:$AO$55,3,FALSE))</f>
        <v>45</v>
      </c>
      <c r="W27" s="5">
        <f>(VLOOKUP('15.01'!AE27,'15.01'!$AM$4:$AO$55,3,FALSE))</f>
        <v>0</v>
      </c>
      <c r="X27" s="5">
        <f>(VLOOKUP('15.01'!AF27,'15.01'!$AM$4:$AO$55,3,FALSE))</f>
        <v>0</v>
      </c>
    </row>
    <row r="28" spans="1:24">
      <c r="A28" s="4">
        <f>(VLOOKUP('15.01'!I28,'15.01'!$AM$4:$AO$55,3,FALSE))</f>
        <v>0</v>
      </c>
      <c r="B28" s="4">
        <f>(VLOOKUP('15.01'!J28,'15.01'!$AM$4:$AO$55,3,FALSE))</f>
        <v>0</v>
      </c>
      <c r="C28" s="4">
        <f>(VLOOKUP('15.01'!K28,'15.01'!$AM$4:$AO$55,3,FALSE))</f>
        <v>0</v>
      </c>
      <c r="D28" s="4">
        <f>(VLOOKUP('15.01'!L28,'15.01'!$AM$4:$AO$55,3,FALSE))</f>
        <v>0</v>
      </c>
      <c r="E28" s="4">
        <f>(VLOOKUP('15.01'!M28,'15.01'!$AM$4:$AO$55,3,FALSE))</f>
        <v>0</v>
      </c>
      <c r="F28" s="4">
        <f>(VLOOKUP('15.01'!N28,'15.01'!$AM$4:$AO$55,3,FALSE))</f>
        <v>0</v>
      </c>
      <c r="G28" s="5">
        <f>(VLOOKUP('15.01'!O28,'15.01'!$AM$4:$AO$55,3,FALSE))</f>
        <v>0</v>
      </c>
      <c r="H28" s="5">
        <f>(VLOOKUP('15.01'!P28,'15.01'!$AM$4:$AO$55,3,FALSE))</f>
        <v>0</v>
      </c>
      <c r="I28" s="4">
        <f>(VLOOKUP('15.01'!Q28,'15.01'!$AM$4:$AO$55,3,FALSE))</f>
        <v>50</v>
      </c>
      <c r="J28" s="4">
        <f>(VLOOKUP('15.01'!R28,'15.01'!$AM$4:$AO$55,3,FALSE))</f>
        <v>50</v>
      </c>
      <c r="K28" s="4">
        <f>(VLOOKUP('15.01'!S28,'15.01'!$AM$4:$AO$55,3,FALSE))</f>
        <v>50</v>
      </c>
      <c r="L28" s="4">
        <f>(VLOOKUP('15.01'!T28,'15.01'!$AM$4:$AO$55,3,FALSE))</f>
        <v>50</v>
      </c>
      <c r="M28" s="4">
        <f>(VLOOKUP('15.01'!U28,'15.01'!$AM$4:$AO$55,3,FALSE))</f>
        <v>50</v>
      </c>
      <c r="N28" s="4">
        <f>(VLOOKUP('15.01'!V28,'15.01'!$AM$4:$AO$55,3,FALSE))</f>
        <v>50</v>
      </c>
      <c r="O28" s="5">
        <f>(VLOOKUP('15.01'!W28,'15.01'!$AM$4:$AO$55,3,FALSE))</f>
        <v>0</v>
      </c>
      <c r="P28" s="5">
        <f>(VLOOKUP('15.01'!X28,'15.01'!$AM$4:$AO$55,3,FALSE))</f>
        <v>0</v>
      </c>
      <c r="Q28" s="4">
        <f>(VLOOKUP('15.01'!Y28,'15.01'!$AM$4:$AO$55,3,FALSE))</f>
        <v>45</v>
      </c>
      <c r="R28" s="4">
        <f>(VLOOKUP('15.01'!Z28,'15.01'!$AM$4:$AO$55,3,FALSE))</f>
        <v>45</v>
      </c>
      <c r="S28" s="4">
        <f>(VLOOKUP('15.01'!AA28,'15.01'!$AM$4:$AO$55,3,FALSE))</f>
        <v>45</v>
      </c>
      <c r="T28" s="4">
        <f>(VLOOKUP('15.01'!AB28,'15.01'!$AM$4:$AO$55,3,FALSE))</f>
        <v>45</v>
      </c>
      <c r="U28" s="4">
        <f>(VLOOKUP('15.01'!AC28,'15.01'!$AM$4:$AO$55,3,FALSE))</f>
        <v>45</v>
      </c>
      <c r="V28" s="4">
        <f>(VLOOKUP('15.01'!AD28,'15.01'!$AM$4:$AO$55,3,FALSE))</f>
        <v>45</v>
      </c>
      <c r="W28" s="5">
        <f>(VLOOKUP('15.01'!AE28,'15.01'!$AM$4:$AO$55,3,FALSE))</f>
        <v>0</v>
      </c>
      <c r="X28" s="5">
        <f>(VLOOKUP('15.01'!AF28,'15.01'!$AM$4:$AO$55,3,FALSE))</f>
        <v>0</v>
      </c>
    </row>
    <row r="29" spans="1:24">
      <c r="A29" s="4">
        <f>(VLOOKUP('15.01'!I29,'15.01'!$AM$4:$AO$55,3,FALSE))</f>
        <v>0</v>
      </c>
      <c r="B29" s="4">
        <f>(VLOOKUP('15.01'!J29,'15.01'!$AM$4:$AO$55,3,FALSE))</f>
        <v>0</v>
      </c>
      <c r="C29" s="4">
        <f>(VLOOKUP('15.01'!K29,'15.01'!$AM$4:$AO$55,3,FALSE))</f>
        <v>0</v>
      </c>
      <c r="D29" s="4">
        <f>(VLOOKUP('15.01'!L29,'15.01'!$AM$4:$AO$55,3,FALSE))</f>
        <v>0</v>
      </c>
      <c r="E29" s="4">
        <f>(VLOOKUP('15.01'!M29,'15.01'!$AM$4:$AO$55,3,FALSE))</f>
        <v>0</v>
      </c>
      <c r="F29" s="4">
        <f>(VLOOKUP('15.01'!N29,'15.01'!$AM$4:$AO$55,3,FALSE))</f>
        <v>0</v>
      </c>
      <c r="G29" s="5">
        <f>(VLOOKUP('15.01'!O29,'15.01'!$AM$4:$AO$55,3,FALSE))</f>
        <v>0</v>
      </c>
      <c r="H29" s="5">
        <f>(VLOOKUP('15.01'!P29,'15.01'!$AM$4:$AO$55,3,FALSE))</f>
        <v>0</v>
      </c>
      <c r="I29" s="4">
        <f>(VLOOKUP('15.01'!Q29,'15.01'!$AM$4:$AO$55,3,FALSE))</f>
        <v>50</v>
      </c>
      <c r="J29" s="4">
        <f>(VLOOKUP('15.01'!R29,'15.01'!$AM$4:$AO$55,3,FALSE))</f>
        <v>50</v>
      </c>
      <c r="K29" s="4">
        <f>(VLOOKUP('15.01'!S29,'15.01'!$AM$4:$AO$55,3,FALSE))</f>
        <v>50</v>
      </c>
      <c r="L29" s="4">
        <f>(VLOOKUP('15.01'!T29,'15.01'!$AM$4:$AO$55,3,FALSE))</f>
        <v>50</v>
      </c>
      <c r="M29" s="4">
        <f>(VLOOKUP('15.01'!U29,'15.01'!$AM$4:$AO$55,3,FALSE))</f>
        <v>50</v>
      </c>
      <c r="N29" s="4">
        <f>(VLOOKUP('15.01'!V29,'15.01'!$AM$4:$AO$55,3,FALSE))</f>
        <v>50</v>
      </c>
      <c r="O29" s="5">
        <f>(VLOOKUP('15.01'!W29,'15.01'!$AM$4:$AO$55,3,FALSE))</f>
        <v>0</v>
      </c>
      <c r="P29" s="5">
        <f>(VLOOKUP('15.01'!X29,'15.01'!$AM$4:$AO$55,3,FALSE))</f>
        <v>0</v>
      </c>
      <c r="Q29" s="4">
        <f>(VLOOKUP('15.01'!Y29,'15.01'!$AM$4:$AO$55,3,FALSE))</f>
        <v>30</v>
      </c>
      <c r="R29" s="4">
        <f>(VLOOKUP('15.01'!Z29,'15.01'!$AM$4:$AO$55,3,FALSE))</f>
        <v>45</v>
      </c>
      <c r="S29" s="4">
        <f>(VLOOKUP('15.01'!AA29,'15.01'!$AM$4:$AO$55,3,FALSE))</f>
        <v>45</v>
      </c>
      <c r="T29" s="4">
        <f>(VLOOKUP('15.01'!AB29,'15.01'!$AM$4:$AO$55,3,FALSE))</f>
        <v>45</v>
      </c>
      <c r="U29" s="4">
        <f>(VLOOKUP('15.01'!AC29,'15.01'!$AM$4:$AO$55,3,FALSE))</f>
        <v>45</v>
      </c>
      <c r="V29" s="4">
        <f>(VLOOKUP('15.01'!AD29,'15.01'!$AM$4:$AO$55,3,FALSE))</f>
        <v>45</v>
      </c>
      <c r="W29" s="5">
        <f>(VLOOKUP('15.01'!AE29,'15.01'!$AM$4:$AO$55,3,FALSE))</f>
        <v>0</v>
      </c>
      <c r="X29" s="5">
        <f>(VLOOKUP('15.01'!AF29,'15.01'!$AM$4:$AO$55,3,FALSE))</f>
        <v>0</v>
      </c>
    </row>
    <row r="30" spans="1:24">
      <c r="A30" s="4">
        <f>(VLOOKUP('15.01'!I30,'15.01'!$AM$4:$AO$55,3,FALSE))</f>
        <v>0</v>
      </c>
      <c r="B30" s="4">
        <f>(VLOOKUP('15.01'!J30,'15.01'!$AM$4:$AO$55,3,FALSE))</f>
        <v>0</v>
      </c>
      <c r="C30" s="4">
        <f>(VLOOKUP('15.01'!K30,'15.01'!$AM$4:$AO$55,3,FALSE))</f>
        <v>0</v>
      </c>
      <c r="D30" s="4">
        <f>(VLOOKUP('15.01'!L30,'15.01'!$AM$4:$AO$55,3,FALSE))</f>
        <v>0</v>
      </c>
      <c r="E30" s="4">
        <f>(VLOOKUP('15.01'!M30,'15.01'!$AM$4:$AO$55,3,FALSE))</f>
        <v>0</v>
      </c>
      <c r="F30" s="4">
        <f>(VLOOKUP('15.01'!N30,'15.01'!$AM$4:$AO$55,3,FALSE))</f>
        <v>0</v>
      </c>
      <c r="G30" s="5">
        <f>(VLOOKUP('15.01'!O30,'15.01'!$AM$4:$AO$55,3,FALSE))</f>
        <v>0</v>
      </c>
      <c r="H30" s="5">
        <f>(VLOOKUP('15.01'!P30,'15.01'!$AM$4:$AO$55,3,FALSE))</f>
        <v>0</v>
      </c>
      <c r="I30" s="4">
        <f>(VLOOKUP('15.01'!Q30,'15.01'!$AM$4:$AO$55,3,FALSE))</f>
        <v>50</v>
      </c>
      <c r="J30" s="4">
        <f>(VLOOKUP('15.01'!R30,'15.01'!$AM$4:$AO$55,3,FALSE))</f>
        <v>30</v>
      </c>
      <c r="K30" s="4">
        <f>(VLOOKUP('15.01'!S30,'15.01'!$AM$4:$AO$55,3,FALSE))</f>
        <v>50</v>
      </c>
      <c r="L30" s="4">
        <f>(VLOOKUP('15.01'!T30,'15.01'!$AM$4:$AO$55,3,FALSE))</f>
        <v>50</v>
      </c>
      <c r="M30" s="4">
        <f>(VLOOKUP('15.01'!U30,'15.01'!$AM$4:$AO$55,3,FALSE))</f>
        <v>50</v>
      </c>
      <c r="N30" s="4">
        <f>(VLOOKUP('15.01'!V30,'15.01'!$AM$4:$AO$55,3,FALSE))</f>
        <v>50</v>
      </c>
      <c r="O30" s="5">
        <f>(VLOOKUP('15.01'!W30,'15.01'!$AM$4:$AO$55,3,FALSE))</f>
        <v>0</v>
      </c>
      <c r="P30" s="5">
        <f>(VLOOKUP('15.01'!X30,'15.01'!$AM$4:$AO$55,3,FALSE))</f>
        <v>0</v>
      </c>
      <c r="Q30" s="4">
        <f>(VLOOKUP('15.01'!Y30,'15.01'!$AM$4:$AO$55,3,FALSE))</f>
        <v>45</v>
      </c>
      <c r="R30" s="4">
        <f>(VLOOKUP('15.01'!Z30,'15.01'!$AM$4:$AO$55,3,FALSE))</f>
        <v>45</v>
      </c>
      <c r="S30" s="4">
        <f>(VLOOKUP('15.01'!AA30,'15.01'!$AM$4:$AO$55,3,FALSE))</f>
        <v>45</v>
      </c>
      <c r="T30" s="4">
        <f>(VLOOKUP('15.01'!AB30,'15.01'!$AM$4:$AO$55,3,FALSE))</f>
        <v>45</v>
      </c>
      <c r="U30" s="4">
        <f>(VLOOKUP('15.01'!AC30,'15.01'!$AM$4:$AO$55,3,FALSE))</f>
        <v>30</v>
      </c>
      <c r="V30" s="4">
        <f>(VLOOKUP('15.01'!AD30,'15.01'!$AM$4:$AO$55,3,FALSE))</f>
        <v>45</v>
      </c>
      <c r="W30" s="5">
        <f>(VLOOKUP('15.01'!AE30,'15.01'!$AM$4:$AO$55,3,FALSE))</f>
        <v>0</v>
      </c>
      <c r="X30" s="5">
        <f>(VLOOKUP('15.01'!AF30,'15.01'!$AM$4:$AO$55,3,FALSE))</f>
        <v>0</v>
      </c>
    </row>
    <row r="31" spans="1:24">
      <c r="A31" s="4">
        <f>(VLOOKUP('15.01'!I31,'15.01'!$AM$4:$AO$55,3,FALSE))</f>
        <v>0</v>
      </c>
      <c r="B31" s="4">
        <f>(VLOOKUP('15.01'!J31,'15.01'!$AM$4:$AO$55,3,FALSE))</f>
        <v>0</v>
      </c>
      <c r="C31" s="4">
        <f>(VLOOKUP('15.01'!K31,'15.01'!$AM$4:$AO$55,3,FALSE))</f>
        <v>0</v>
      </c>
      <c r="D31" s="4">
        <f>(VLOOKUP('15.01'!L31,'15.01'!$AM$4:$AO$55,3,FALSE))</f>
        <v>0</v>
      </c>
      <c r="E31" s="4">
        <f>(VLOOKUP('15.01'!M31,'15.01'!$AM$4:$AO$55,3,FALSE))</f>
        <v>0</v>
      </c>
      <c r="F31" s="4">
        <f>(VLOOKUP('15.01'!N31,'15.01'!$AM$4:$AO$55,3,FALSE))</f>
        <v>0</v>
      </c>
      <c r="G31" s="5">
        <f>(VLOOKUP('15.01'!O31,'15.01'!$AM$4:$AO$55,3,FALSE))</f>
        <v>0</v>
      </c>
      <c r="H31" s="5">
        <f>(VLOOKUP('15.01'!P31,'15.01'!$AM$4:$AO$55,3,FALSE))</f>
        <v>0</v>
      </c>
      <c r="I31" s="4">
        <f>(VLOOKUP('15.01'!Q31,'15.01'!$AM$4:$AO$55,3,FALSE))</f>
        <v>50</v>
      </c>
      <c r="J31" s="4">
        <f>(VLOOKUP('15.01'!R31,'15.01'!$AM$4:$AO$55,3,FALSE))</f>
        <v>0</v>
      </c>
      <c r="K31" s="4">
        <f>(VLOOKUP('15.01'!S31,'15.01'!$AM$4:$AO$55,3,FALSE))</f>
        <v>50</v>
      </c>
      <c r="L31" s="4">
        <f>(VLOOKUP('15.01'!T31,'15.01'!$AM$4:$AO$55,3,FALSE))</f>
        <v>50</v>
      </c>
      <c r="M31" s="4">
        <f>(VLOOKUP('15.01'!U31,'15.01'!$AM$4:$AO$55,3,FALSE))</f>
        <v>50</v>
      </c>
      <c r="N31" s="4">
        <f>(VLOOKUP('15.01'!V31,'15.01'!$AM$4:$AO$55,3,FALSE))</f>
        <v>50</v>
      </c>
      <c r="O31" s="5">
        <f>(VLOOKUP('15.01'!W31,'15.01'!$AM$4:$AO$55,3,FALSE))</f>
        <v>0</v>
      </c>
      <c r="P31" s="5">
        <f>(VLOOKUP('15.01'!X31,'15.01'!$AM$4:$AO$55,3,FALSE))</f>
        <v>0</v>
      </c>
      <c r="Q31" s="4">
        <f>(VLOOKUP('15.01'!Y31,'15.01'!$AM$4:$AO$55,3,FALSE))</f>
        <v>45</v>
      </c>
      <c r="R31" s="4">
        <f>(VLOOKUP('15.01'!Z31,'15.01'!$AM$4:$AO$55,3,FALSE))</f>
        <v>45</v>
      </c>
      <c r="S31" s="4">
        <f>(VLOOKUP('15.01'!AA31,'15.01'!$AM$4:$AO$55,3,FALSE))</f>
        <v>45</v>
      </c>
      <c r="T31" s="4">
        <f>(VLOOKUP('15.01'!AB31,'15.01'!$AM$4:$AO$55,3,FALSE))</f>
        <v>0</v>
      </c>
      <c r="U31" s="4">
        <f>(VLOOKUP('15.01'!AC31,'15.01'!$AM$4:$AO$55,3,FALSE))</f>
        <v>0</v>
      </c>
      <c r="V31" s="4">
        <f>(VLOOKUP('15.01'!AD31,'15.01'!$AM$4:$AO$55,3,FALSE))</f>
        <v>0</v>
      </c>
      <c r="W31" s="5">
        <f>(VLOOKUP('15.01'!AE31,'15.01'!$AM$4:$AO$55,3,FALSE))</f>
        <v>0</v>
      </c>
      <c r="X31" s="5">
        <f>(VLOOKUP('15.01'!AF31,'15.01'!$AM$4:$AO$55,3,FALSE))</f>
        <v>0</v>
      </c>
    </row>
    <row r="32" spans="1:24">
      <c r="A32" s="4">
        <f>(VLOOKUP('15.01'!I32,'15.01'!$AM$4:$AO$55,3,FALSE))</f>
        <v>0</v>
      </c>
      <c r="B32" s="4">
        <f>(VLOOKUP('15.01'!J32,'15.01'!$AM$4:$AO$55,3,FALSE))</f>
        <v>0</v>
      </c>
      <c r="C32" s="4">
        <f>(VLOOKUP('15.01'!K32,'15.01'!$AM$4:$AO$55,3,FALSE))</f>
        <v>0</v>
      </c>
      <c r="D32" s="4">
        <f>(VLOOKUP('15.01'!L32,'15.01'!$AM$4:$AO$55,3,FALSE))</f>
        <v>0</v>
      </c>
      <c r="E32" s="4">
        <f>(VLOOKUP('15.01'!M32,'15.01'!$AM$4:$AO$55,3,FALSE))</f>
        <v>0</v>
      </c>
      <c r="F32" s="4">
        <f>(VLOOKUP('15.01'!N32,'15.01'!$AM$4:$AO$55,3,FALSE))</f>
        <v>0</v>
      </c>
      <c r="G32" s="5">
        <f>(VLOOKUP('15.01'!O32,'15.01'!$AM$4:$AO$55,3,FALSE))</f>
        <v>0</v>
      </c>
      <c r="H32" s="5">
        <f>(VLOOKUP('15.01'!P32,'15.01'!$AM$4:$AO$55,3,FALSE))</f>
        <v>0</v>
      </c>
      <c r="I32" s="4">
        <f>(VLOOKUP('15.01'!Q32,'15.01'!$AM$4:$AO$55,3,FALSE))</f>
        <v>45</v>
      </c>
      <c r="J32" s="4">
        <f>(VLOOKUP('15.01'!R32,'15.01'!$AM$4:$AO$55,3,FALSE))</f>
        <v>45</v>
      </c>
      <c r="K32" s="4">
        <f>(VLOOKUP('15.01'!S32,'15.01'!$AM$4:$AO$55,3,FALSE))</f>
        <v>45</v>
      </c>
      <c r="L32" s="4">
        <f>(VLOOKUP('15.01'!T32,'15.01'!$AM$4:$AO$55,3,FALSE))</f>
        <v>45</v>
      </c>
      <c r="M32" s="4">
        <f>(VLOOKUP('15.01'!U32,'15.01'!$AM$4:$AO$55,3,FALSE))</f>
        <v>45</v>
      </c>
      <c r="N32" s="4">
        <f>(VLOOKUP('15.01'!V32,'15.01'!$AM$4:$AO$55,3,FALSE))</f>
        <v>45</v>
      </c>
      <c r="O32" s="5">
        <f>(VLOOKUP('15.01'!W32,'15.01'!$AM$4:$AO$55,3,FALSE))</f>
        <v>0</v>
      </c>
      <c r="P32" s="5">
        <f>(VLOOKUP('15.01'!X32,'15.01'!$AM$4:$AO$55,3,FALSE))</f>
        <v>0</v>
      </c>
      <c r="Q32" s="4">
        <f>(VLOOKUP('15.01'!Y32,'15.01'!$AM$4:$AO$55,3,FALSE))</f>
        <v>45</v>
      </c>
      <c r="R32" s="4">
        <f>(VLOOKUP('15.01'!Z32,'15.01'!$AM$4:$AO$55,3,FALSE))</f>
        <v>45</v>
      </c>
      <c r="S32" s="4">
        <f>(VLOOKUP('15.01'!AA32,'15.01'!$AM$4:$AO$55,3,FALSE))</f>
        <v>45</v>
      </c>
      <c r="T32" s="4">
        <f>(VLOOKUP('15.01'!AB32,'15.01'!$AM$4:$AO$55,3,FALSE))</f>
        <v>50</v>
      </c>
      <c r="U32" s="4">
        <f>(VLOOKUP('15.01'!AC32,'15.01'!$AM$4:$AO$55,3,FALSE))</f>
        <v>50</v>
      </c>
      <c r="V32" s="4">
        <f>(VLOOKUP('15.01'!AD32,'15.01'!$AM$4:$AO$55,3,FALSE))</f>
        <v>50</v>
      </c>
      <c r="W32" s="5">
        <f>(VLOOKUP('15.01'!AE32,'15.01'!$AM$4:$AO$55,3,FALSE))</f>
        <v>0</v>
      </c>
      <c r="X32" s="5">
        <f>(VLOOKUP('15.01'!AF32,'15.01'!$AM$4:$AO$55,3,FALSE))</f>
        <v>0</v>
      </c>
    </row>
    <row r="33" spans="1:24">
      <c r="A33" s="4">
        <f>(VLOOKUP('15.01'!I33,'15.01'!$AM$4:$AO$55,3,FALSE))</f>
        <v>0</v>
      </c>
      <c r="B33" s="4">
        <f>(VLOOKUP('15.01'!J33,'15.01'!$AM$4:$AO$55,3,FALSE))</f>
        <v>0</v>
      </c>
      <c r="C33" s="4">
        <f>(VLOOKUP('15.01'!K33,'15.01'!$AM$4:$AO$55,3,FALSE))</f>
        <v>0</v>
      </c>
      <c r="D33" s="4">
        <f>(VLOOKUP('15.01'!L33,'15.01'!$AM$4:$AO$55,3,FALSE))</f>
        <v>0</v>
      </c>
      <c r="E33" s="4">
        <f>(VLOOKUP('15.01'!M33,'15.01'!$AM$4:$AO$55,3,FALSE))</f>
        <v>0</v>
      </c>
      <c r="F33" s="4">
        <f>(VLOOKUP('15.01'!N33,'15.01'!$AM$4:$AO$55,3,FALSE))</f>
        <v>0</v>
      </c>
      <c r="G33" s="5">
        <f>(VLOOKUP('15.01'!O33,'15.01'!$AM$4:$AO$55,3,FALSE))</f>
        <v>0</v>
      </c>
      <c r="H33" s="5">
        <f>(VLOOKUP('15.01'!P33,'15.01'!$AM$4:$AO$55,3,FALSE))</f>
        <v>0</v>
      </c>
      <c r="I33" s="4">
        <f>(VLOOKUP('15.01'!Q33,'15.01'!$AM$4:$AO$55,3,FALSE))</f>
        <v>45</v>
      </c>
      <c r="J33" s="4">
        <f>(VLOOKUP('15.01'!R33,'15.01'!$AM$4:$AO$55,3,FALSE))</f>
        <v>45</v>
      </c>
      <c r="K33" s="4">
        <f>(VLOOKUP('15.01'!S33,'15.01'!$AM$4:$AO$55,3,FALSE))</f>
        <v>45</v>
      </c>
      <c r="L33" s="4">
        <f>(VLOOKUP('15.01'!T33,'15.01'!$AM$4:$AO$55,3,FALSE))</f>
        <v>45</v>
      </c>
      <c r="M33" s="4">
        <f>(VLOOKUP('15.01'!U33,'15.01'!$AM$4:$AO$55,3,FALSE))</f>
        <v>45</v>
      </c>
      <c r="N33" s="4">
        <f>(VLOOKUP('15.01'!V33,'15.01'!$AM$4:$AO$55,3,FALSE))</f>
        <v>45</v>
      </c>
      <c r="O33" s="5">
        <f>(VLOOKUP('15.01'!W33,'15.01'!$AM$4:$AO$55,3,FALSE))</f>
        <v>0</v>
      </c>
      <c r="P33" s="5">
        <f>(VLOOKUP('15.01'!X33,'15.01'!$AM$4:$AO$55,3,FALSE))</f>
        <v>0</v>
      </c>
      <c r="Q33" s="4">
        <f>(VLOOKUP('15.01'!Y33,'15.01'!$AM$4:$AO$55,3,FALSE))</f>
        <v>50</v>
      </c>
      <c r="R33" s="4">
        <f>(VLOOKUP('15.01'!Z33,'15.01'!$AM$4:$AO$55,3,FALSE))</f>
        <v>50</v>
      </c>
      <c r="S33" s="4">
        <f>(VLOOKUP('15.01'!AA33,'15.01'!$AM$4:$AO$55,3,FALSE))</f>
        <v>45</v>
      </c>
      <c r="T33" s="4">
        <f>(VLOOKUP('15.01'!AB33,'15.01'!$AM$4:$AO$55,3,FALSE))</f>
        <v>50</v>
      </c>
      <c r="U33" s="4">
        <f>(VLOOKUP('15.01'!AC33,'15.01'!$AM$4:$AO$55,3,FALSE))</f>
        <v>50</v>
      </c>
      <c r="V33" s="4">
        <f>(VLOOKUP('15.01'!AD33,'15.01'!$AM$4:$AO$55,3,FALSE))</f>
        <v>50</v>
      </c>
      <c r="W33" s="5">
        <f>(VLOOKUP('15.01'!AE33,'15.01'!$AM$4:$AO$55,3,FALSE))</f>
        <v>0</v>
      </c>
      <c r="X33" s="5">
        <f>(VLOOKUP('15.01'!AF33,'15.01'!$AM$4:$AO$55,3,FALSE))</f>
        <v>0</v>
      </c>
    </row>
    <row r="34" spans="1:24">
      <c r="A34" s="4">
        <f>(VLOOKUP('15.01'!I34,'15.01'!$AM$4:$AO$55,3,FALSE))</f>
        <v>0</v>
      </c>
      <c r="B34" s="4">
        <f>(VLOOKUP('15.01'!J34,'15.01'!$AM$4:$AO$55,3,FALSE))</f>
        <v>0</v>
      </c>
      <c r="C34" s="4">
        <f>(VLOOKUP('15.01'!K34,'15.01'!$AM$4:$AO$55,3,FALSE))</f>
        <v>0</v>
      </c>
      <c r="D34" s="4">
        <f>(VLOOKUP('15.01'!L34,'15.01'!$AM$4:$AO$55,3,FALSE))</f>
        <v>0</v>
      </c>
      <c r="E34" s="4">
        <f>(VLOOKUP('15.01'!M34,'15.01'!$AM$4:$AO$55,3,FALSE))</f>
        <v>0</v>
      </c>
      <c r="F34" s="4">
        <f>(VLOOKUP('15.01'!N34,'15.01'!$AM$4:$AO$55,3,FALSE))</f>
        <v>0</v>
      </c>
      <c r="G34" s="5">
        <f>(VLOOKUP('15.01'!O34,'15.01'!$AM$4:$AO$55,3,FALSE))</f>
        <v>0</v>
      </c>
      <c r="H34" s="5">
        <f>(VLOOKUP('15.01'!P34,'15.01'!$AM$4:$AO$55,3,FALSE))</f>
        <v>0</v>
      </c>
      <c r="I34" s="4">
        <f>(VLOOKUP('15.01'!Q34,'15.01'!$AM$4:$AO$55,3,FALSE))</f>
        <v>30</v>
      </c>
      <c r="J34" s="4">
        <f>(VLOOKUP('15.01'!R34,'15.01'!$AM$4:$AO$55,3,FALSE))</f>
        <v>45</v>
      </c>
      <c r="K34" s="4">
        <f>(VLOOKUP('15.01'!S34,'15.01'!$AM$4:$AO$55,3,FALSE))</f>
        <v>45</v>
      </c>
      <c r="L34" s="4">
        <f>(VLOOKUP('15.01'!T34,'15.01'!$AM$4:$AO$55,3,FALSE))</f>
        <v>45</v>
      </c>
      <c r="M34" s="4">
        <f>(VLOOKUP('15.01'!U34,'15.01'!$AM$4:$AO$55,3,FALSE))</f>
        <v>45</v>
      </c>
      <c r="N34" s="4">
        <f>(VLOOKUP('15.01'!V34,'15.01'!$AM$4:$AO$55,3,FALSE))</f>
        <v>50</v>
      </c>
      <c r="O34" s="5">
        <f>(VLOOKUP('15.01'!W34,'15.01'!$AM$4:$AO$55,3,FALSE))</f>
        <v>0</v>
      </c>
      <c r="P34" s="5">
        <f>(VLOOKUP('15.01'!X34,'15.01'!$AM$4:$AO$55,3,FALSE))</f>
        <v>0</v>
      </c>
      <c r="Q34" s="4">
        <f>(VLOOKUP('15.01'!Y34,'15.01'!$AM$4:$AO$55,3,FALSE))</f>
        <v>30</v>
      </c>
      <c r="R34" s="4">
        <f>(VLOOKUP('15.01'!Z34,'15.01'!$AM$4:$AO$55,3,FALSE))</f>
        <v>50</v>
      </c>
      <c r="S34" s="4">
        <f>(VLOOKUP('15.01'!AA34,'15.01'!$AM$4:$AO$55,3,FALSE))</f>
        <v>50</v>
      </c>
      <c r="T34" s="4">
        <f>(VLOOKUP('15.01'!AB34,'15.01'!$AM$4:$AO$55,3,FALSE))</f>
        <v>50</v>
      </c>
      <c r="U34" s="4">
        <f>(VLOOKUP('15.01'!AC34,'15.01'!$AM$4:$AO$55,3,FALSE))</f>
        <v>50</v>
      </c>
      <c r="V34" s="4">
        <f>(VLOOKUP('15.01'!AD34,'15.01'!$AM$4:$AO$55,3,FALSE))</f>
        <v>50</v>
      </c>
      <c r="W34" s="5">
        <f>(VLOOKUP('15.01'!AE34,'15.01'!$AM$4:$AO$55,3,FALSE))</f>
        <v>0</v>
      </c>
      <c r="X34" s="5">
        <f>(VLOOKUP('15.01'!AF34,'15.01'!$AM$4:$AO$55,3,FALSE))</f>
        <v>0</v>
      </c>
    </row>
    <row r="35" spans="1:24">
      <c r="A35" s="4">
        <f>(VLOOKUP('15.01'!I35,'15.01'!$AM$4:$AO$55,3,FALSE))</f>
        <v>0</v>
      </c>
      <c r="B35" s="4">
        <f>(VLOOKUP('15.01'!J35,'15.01'!$AM$4:$AO$55,3,FALSE))</f>
        <v>0</v>
      </c>
      <c r="C35" s="4">
        <f>(VLOOKUP('15.01'!K35,'15.01'!$AM$4:$AO$55,3,FALSE))</f>
        <v>0</v>
      </c>
      <c r="D35" s="4">
        <f>(VLOOKUP('15.01'!L35,'15.01'!$AM$4:$AO$55,3,FALSE))</f>
        <v>0</v>
      </c>
      <c r="E35" s="4">
        <f>(VLOOKUP('15.01'!M35,'15.01'!$AM$4:$AO$55,3,FALSE))</f>
        <v>0</v>
      </c>
      <c r="F35" s="4">
        <f>(VLOOKUP('15.01'!N35,'15.01'!$AM$4:$AO$55,3,FALSE))</f>
        <v>0</v>
      </c>
      <c r="G35" s="5">
        <f>(VLOOKUP('15.01'!O35,'15.01'!$AM$4:$AO$55,3,FALSE))</f>
        <v>0</v>
      </c>
      <c r="H35" s="5">
        <f>(VLOOKUP('15.01'!P35,'15.01'!$AM$4:$AO$55,3,FALSE))</f>
        <v>0</v>
      </c>
      <c r="I35" s="4">
        <f>(VLOOKUP('15.01'!Q35,'15.01'!$AM$4:$AO$55,3,FALSE))</f>
        <v>50</v>
      </c>
      <c r="J35" s="4">
        <f>(VLOOKUP('15.01'!R35,'15.01'!$AM$4:$AO$55,3,FALSE))</f>
        <v>50</v>
      </c>
      <c r="K35" s="4">
        <f>(VLOOKUP('15.01'!S35,'15.01'!$AM$4:$AO$55,3,FALSE))</f>
        <v>50</v>
      </c>
      <c r="L35" s="4">
        <f>(VLOOKUP('15.01'!T35,'15.01'!$AM$4:$AO$55,3,FALSE))</f>
        <v>50</v>
      </c>
      <c r="M35" s="4">
        <f>(VLOOKUP('15.01'!U35,'15.01'!$AM$4:$AO$55,3,FALSE))</f>
        <v>50</v>
      </c>
      <c r="N35" s="4">
        <f>(VLOOKUP('15.01'!V35,'15.01'!$AM$4:$AO$55,3,FALSE))</f>
        <v>60</v>
      </c>
      <c r="O35" s="5">
        <f>(VLOOKUP('15.01'!W35,'15.01'!$AM$4:$AO$55,3,FALSE))</f>
        <v>0</v>
      </c>
      <c r="P35" s="5">
        <f>(VLOOKUP('15.01'!X35,'15.01'!$AM$4:$AO$55,3,FALSE))</f>
        <v>0</v>
      </c>
      <c r="Q35" s="4">
        <f>(VLOOKUP('15.01'!Y35,'15.01'!$AM$4:$AO$55,3,FALSE))</f>
        <v>50</v>
      </c>
      <c r="R35" s="4">
        <f>(VLOOKUP('15.01'!Z35,'15.01'!$AM$4:$AO$55,3,FALSE))</f>
        <v>50</v>
      </c>
      <c r="S35" s="4">
        <f>(VLOOKUP('15.01'!AA35,'15.01'!$AM$4:$AO$55,3,FALSE))</f>
        <v>50</v>
      </c>
      <c r="T35" s="4">
        <f>(VLOOKUP('15.01'!AB35,'15.01'!$AM$4:$AO$55,3,FALSE))</f>
        <v>50</v>
      </c>
      <c r="U35" s="4">
        <f>(VLOOKUP('15.01'!AC35,'15.01'!$AM$4:$AO$55,3,FALSE))</f>
        <v>0</v>
      </c>
      <c r="V35" s="4">
        <f>(VLOOKUP('15.01'!AD35,'15.01'!$AM$4:$AO$55,3,FALSE))</f>
        <v>50</v>
      </c>
      <c r="W35" s="5">
        <f>(VLOOKUP('15.01'!AE35,'15.01'!$AM$4:$AO$55,3,FALSE))</f>
        <v>0</v>
      </c>
      <c r="X35" s="5">
        <f>(VLOOKUP('15.01'!AF35,'15.01'!$AM$4:$AO$55,3,FALSE))</f>
        <v>0</v>
      </c>
    </row>
    <row r="36" spans="1:24">
      <c r="A36" s="4">
        <f>(VLOOKUP('15.01'!I36,'15.01'!$AM$4:$AO$55,3,FALSE))</f>
        <v>0</v>
      </c>
      <c r="B36" s="4">
        <f>(VLOOKUP('15.01'!J36,'15.01'!$AM$4:$AO$55,3,FALSE))</f>
        <v>0</v>
      </c>
      <c r="C36" s="4">
        <f>(VLOOKUP('15.01'!K36,'15.01'!$AM$4:$AO$55,3,FALSE))</f>
        <v>0</v>
      </c>
      <c r="D36" s="4">
        <f>(VLOOKUP('15.01'!L36,'15.01'!$AM$4:$AO$55,3,FALSE))</f>
        <v>0</v>
      </c>
      <c r="E36" s="4">
        <f>(VLOOKUP('15.01'!M36,'15.01'!$AM$4:$AO$55,3,FALSE))</f>
        <v>0</v>
      </c>
      <c r="F36" s="4">
        <f>(VLOOKUP('15.01'!N36,'15.01'!$AM$4:$AO$55,3,FALSE))</f>
        <v>0</v>
      </c>
      <c r="G36" s="5">
        <f>(VLOOKUP('15.01'!O36,'15.01'!$AM$4:$AO$55,3,FALSE))</f>
        <v>0</v>
      </c>
      <c r="H36" s="5">
        <f>(VLOOKUP('15.01'!P36,'15.01'!$AM$4:$AO$55,3,FALSE))</f>
        <v>0</v>
      </c>
      <c r="I36" s="4">
        <f>(VLOOKUP('15.01'!Q36,'15.01'!$AM$4:$AO$55,3,FALSE))</f>
        <v>60</v>
      </c>
      <c r="J36" s="4">
        <f>(VLOOKUP('15.01'!R36,'15.01'!$AM$4:$AO$55,3,FALSE))</f>
        <v>0</v>
      </c>
      <c r="K36" s="4">
        <f>(VLOOKUP('15.01'!S36,'15.01'!$AM$4:$AO$55,3,FALSE))</f>
        <v>60</v>
      </c>
      <c r="L36" s="4">
        <f>(VLOOKUP('15.01'!T36,'15.01'!$AM$4:$AO$55,3,FALSE))</f>
        <v>60</v>
      </c>
      <c r="M36" s="4">
        <f>(VLOOKUP('15.01'!U36,'15.01'!$AM$4:$AO$55,3,FALSE))</f>
        <v>60</v>
      </c>
      <c r="N36" s="4">
        <f>(VLOOKUP('15.01'!V36,'15.01'!$AM$4:$AO$55,3,FALSE))</f>
        <v>60</v>
      </c>
      <c r="O36" s="5">
        <f>(VLOOKUP('15.01'!W36,'15.01'!$AM$4:$AO$55,3,FALSE))</f>
        <v>0</v>
      </c>
      <c r="P36" s="5">
        <f>(VLOOKUP('15.01'!X36,'15.01'!$AM$4:$AO$55,3,FALSE))</f>
        <v>0</v>
      </c>
      <c r="Q36" s="4">
        <f>(VLOOKUP('15.01'!Y36,'15.01'!$AM$4:$AO$55,3,FALSE))</f>
        <v>50</v>
      </c>
      <c r="R36" s="4">
        <f>(VLOOKUP('15.01'!Z36,'15.01'!$AM$4:$AO$55,3,FALSE))</f>
        <v>50</v>
      </c>
      <c r="S36" s="4">
        <f>(VLOOKUP('15.01'!AA36,'15.01'!$AM$4:$AO$55,3,FALSE))</f>
        <v>50</v>
      </c>
      <c r="T36" s="4">
        <f>(VLOOKUP('15.01'!AB36,'15.01'!$AM$4:$AO$55,3,FALSE))</f>
        <v>50</v>
      </c>
      <c r="U36" s="4">
        <f>(VLOOKUP('15.01'!AC36,'15.01'!$AM$4:$AO$55,3,FALSE))</f>
        <v>50</v>
      </c>
      <c r="V36" s="4">
        <f>(VLOOKUP('15.01'!AD36,'15.01'!$AM$4:$AO$55,3,FALSE))</f>
        <v>50</v>
      </c>
      <c r="W36" s="5">
        <f>(VLOOKUP('15.01'!AE36,'15.01'!$AM$4:$AO$55,3,FALSE))</f>
        <v>0</v>
      </c>
      <c r="X36" s="5">
        <f>(VLOOKUP('15.01'!AF36,'15.01'!$AM$4:$AO$55,3,FALSE))</f>
        <v>0</v>
      </c>
    </row>
    <row r="37" spans="1:24">
      <c r="A37" s="4">
        <f>(VLOOKUP('15.01'!I37,'15.01'!$AM$4:$AO$55,3,FALSE))</f>
        <v>0</v>
      </c>
      <c r="B37" s="4">
        <f>(VLOOKUP('15.01'!J37,'15.01'!$AM$4:$AO$55,3,FALSE))</f>
        <v>0</v>
      </c>
      <c r="C37" s="4">
        <f>(VLOOKUP('15.01'!K37,'15.01'!$AM$4:$AO$55,3,FALSE))</f>
        <v>0</v>
      </c>
      <c r="D37" s="4">
        <f>(VLOOKUP('15.01'!L37,'15.01'!$AM$4:$AO$55,3,FALSE))</f>
        <v>0</v>
      </c>
      <c r="E37" s="4">
        <f>(VLOOKUP('15.01'!M37,'15.01'!$AM$4:$AO$55,3,FALSE))</f>
        <v>0</v>
      </c>
      <c r="F37" s="4">
        <f>(VLOOKUP('15.01'!N37,'15.01'!$AM$4:$AO$55,3,FALSE))</f>
        <v>0</v>
      </c>
      <c r="G37" s="5">
        <f>(VLOOKUP('15.01'!O37,'15.01'!$AM$4:$AO$55,3,FALSE))</f>
        <v>0</v>
      </c>
      <c r="H37" s="5">
        <f>(VLOOKUP('15.01'!P37,'15.01'!$AM$4:$AO$55,3,FALSE))</f>
        <v>0</v>
      </c>
      <c r="I37" s="4">
        <f>(VLOOKUP('15.01'!Q37,'15.01'!$AM$4:$AO$55,3,FALSE))</f>
        <v>60</v>
      </c>
      <c r="J37" s="4">
        <f>(VLOOKUP('15.01'!R37,'15.01'!$AM$4:$AO$55,3,FALSE))</f>
        <v>60</v>
      </c>
      <c r="K37" s="4">
        <f>(VLOOKUP('15.01'!S37,'15.01'!$AM$4:$AO$55,3,FALSE))</f>
        <v>50</v>
      </c>
      <c r="L37" s="4">
        <f>(VLOOKUP('15.01'!T37,'15.01'!$AM$4:$AO$55,3,FALSE))</f>
        <v>50</v>
      </c>
      <c r="M37" s="4">
        <f>(VLOOKUP('15.01'!U37,'15.01'!$AM$4:$AO$55,3,FALSE))</f>
        <v>50</v>
      </c>
      <c r="N37" s="4">
        <f>(VLOOKUP('15.01'!V37,'15.01'!$AM$4:$AO$55,3,FALSE))</f>
        <v>50</v>
      </c>
      <c r="O37" s="5">
        <f>(VLOOKUP('15.01'!W37,'15.01'!$AM$4:$AO$55,3,FALSE))</f>
        <v>0</v>
      </c>
      <c r="P37" s="5">
        <f>(VLOOKUP('15.01'!X37,'15.01'!$AM$4:$AO$55,3,FALSE))</f>
        <v>0</v>
      </c>
      <c r="Q37" s="4">
        <f>(VLOOKUP('15.01'!Y37,'15.01'!$AM$4:$AO$55,3,FALSE))</f>
        <v>50</v>
      </c>
      <c r="R37" s="4">
        <f>(VLOOKUP('15.01'!Z37,'15.01'!$AM$4:$AO$55,3,FALSE))</f>
        <v>50</v>
      </c>
      <c r="S37" s="4">
        <f>(VLOOKUP('15.01'!AA37,'15.01'!$AM$4:$AO$55,3,FALSE))</f>
        <v>50</v>
      </c>
      <c r="T37" s="4">
        <f>(VLOOKUP('15.01'!AB37,'15.01'!$AM$4:$AO$55,3,FALSE))</f>
        <v>50</v>
      </c>
      <c r="U37" s="4">
        <f>(VLOOKUP('15.01'!AC37,'15.01'!$AM$4:$AO$55,3,FALSE))</f>
        <v>60</v>
      </c>
      <c r="V37" s="4">
        <f>(VLOOKUP('15.01'!AD37,'15.01'!$AM$4:$AO$55,3,FALSE))</f>
        <v>60</v>
      </c>
      <c r="W37" s="5">
        <f>(VLOOKUP('15.01'!AE37,'15.01'!$AM$4:$AO$55,3,FALSE))</f>
        <v>0</v>
      </c>
      <c r="X37" s="5">
        <f>(VLOOKUP('15.01'!AF37,'15.01'!$AM$4:$AO$55,3,FALSE))</f>
        <v>0</v>
      </c>
    </row>
    <row r="38" spans="1:24">
      <c r="A38" s="4">
        <f>(VLOOKUP('15.01'!I38,'15.01'!$AM$4:$AO$55,3,FALSE))</f>
        <v>0</v>
      </c>
      <c r="B38" s="4">
        <f>(VLOOKUP('15.01'!J38,'15.01'!$AM$4:$AO$55,3,FALSE))</f>
        <v>0</v>
      </c>
      <c r="C38" s="4">
        <f>(VLOOKUP('15.01'!K38,'15.01'!$AM$4:$AO$55,3,FALSE))</f>
        <v>0</v>
      </c>
      <c r="D38" s="4">
        <f>(VLOOKUP('15.01'!L38,'15.01'!$AM$4:$AO$55,3,FALSE))</f>
        <v>0</v>
      </c>
      <c r="E38" s="4">
        <f>(VLOOKUP('15.01'!M38,'15.01'!$AM$4:$AO$55,3,FALSE))</f>
        <v>0</v>
      </c>
      <c r="F38" s="4">
        <f>(VLOOKUP('15.01'!N38,'15.01'!$AM$4:$AO$55,3,FALSE))</f>
        <v>0</v>
      </c>
      <c r="G38" s="5">
        <f>(VLOOKUP('15.01'!O38,'15.01'!$AM$4:$AO$55,3,FALSE))</f>
        <v>0</v>
      </c>
      <c r="H38" s="5">
        <f>(VLOOKUP('15.01'!P38,'15.01'!$AM$4:$AO$55,3,FALSE))</f>
        <v>0</v>
      </c>
      <c r="I38" s="4">
        <f>(VLOOKUP('15.01'!Q38,'15.01'!$AM$4:$AO$55,3,FALSE))</f>
        <v>50</v>
      </c>
      <c r="J38" s="4">
        <f>(VLOOKUP('15.01'!R38,'15.01'!$AM$4:$AO$55,3,FALSE))</f>
        <v>60</v>
      </c>
      <c r="K38" s="4">
        <f>(VLOOKUP('15.01'!S38,'15.01'!$AM$4:$AO$55,3,FALSE))</f>
        <v>60</v>
      </c>
      <c r="L38" s="4">
        <f>(VLOOKUP('15.01'!T38,'15.01'!$AM$4:$AO$55,3,FALSE))</f>
        <v>60</v>
      </c>
      <c r="M38" s="4">
        <f>(VLOOKUP('15.01'!U38,'15.01'!$AM$4:$AO$55,3,FALSE))</f>
        <v>45</v>
      </c>
      <c r="N38" s="4">
        <f>(VLOOKUP('15.01'!V38,'15.01'!$AM$4:$AO$55,3,FALSE))</f>
        <v>45</v>
      </c>
      <c r="O38" s="5">
        <f>(VLOOKUP('15.01'!W38,'15.01'!$AM$4:$AO$55,3,FALSE))</f>
        <v>0</v>
      </c>
      <c r="P38" s="5">
        <f>(VLOOKUP('15.01'!X38,'15.01'!$AM$4:$AO$55,3,FALSE))</f>
        <v>0</v>
      </c>
      <c r="Q38" s="4">
        <f>(VLOOKUP('15.01'!Y38,'15.01'!$AM$4:$AO$55,3,FALSE))</f>
        <v>60</v>
      </c>
      <c r="R38" s="4">
        <f>(VLOOKUP('15.01'!Z38,'15.01'!$AM$4:$AO$55,3,FALSE))</f>
        <v>60</v>
      </c>
      <c r="S38" s="4">
        <f>(VLOOKUP('15.01'!AA38,'15.01'!$AM$4:$AO$55,3,FALSE))</f>
        <v>60</v>
      </c>
      <c r="T38" s="4">
        <f>(VLOOKUP('15.01'!AB38,'15.01'!$AM$4:$AO$55,3,FALSE))</f>
        <v>60</v>
      </c>
      <c r="U38" s="4">
        <f>(VLOOKUP('15.01'!AC38,'15.01'!$AM$4:$AO$55,3,FALSE))</f>
        <v>50</v>
      </c>
      <c r="V38" s="4">
        <f>(VLOOKUP('15.01'!AD38,'15.01'!$AM$4:$AO$55,3,FALSE))</f>
        <v>50</v>
      </c>
      <c r="W38" s="5">
        <f>(VLOOKUP('15.01'!AE38,'15.01'!$AM$4:$AO$55,3,FALSE))</f>
        <v>0</v>
      </c>
      <c r="X38" s="5">
        <f>(VLOOKUP('15.01'!AF38,'15.01'!$AM$4:$AO$55,3,FALSE))</f>
        <v>0</v>
      </c>
    </row>
    <row r="39" spans="1:24">
      <c r="A39" s="4">
        <f>(VLOOKUP('15.01'!I39,'15.01'!$AM$4:$AO$55,3,FALSE))</f>
        <v>0</v>
      </c>
      <c r="B39" s="4">
        <f>(VLOOKUP('15.01'!J39,'15.01'!$AM$4:$AO$55,3,FALSE))</f>
        <v>0</v>
      </c>
      <c r="C39" s="4">
        <f>(VLOOKUP('15.01'!K39,'15.01'!$AM$4:$AO$55,3,FALSE))</f>
        <v>0</v>
      </c>
      <c r="D39" s="4">
        <f>(VLOOKUP('15.01'!L39,'15.01'!$AM$4:$AO$55,3,FALSE))</f>
        <v>0</v>
      </c>
      <c r="E39" s="4">
        <f>(VLOOKUP('15.01'!M39,'15.01'!$AM$4:$AO$55,3,FALSE))</f>
        <v>0</v>
      </c>
      <c r="F39" s="4">
        <f>(VLOOKUP('15.01'!N39,'15.01'!$AM$4:$AO$55,3,FALSE))</f>
        <v>0</v>
      </c>
      <c r="G39" s="5">
        <f>(VLOOKUP('15.01'!O39,'15.01'!$AM$4:$AO$55,3,FALSE))</f>
        <v>0</v>
      </c>
      <c r="H39" s="5">
        <f>(VLOOKUP('15.01'!P39,'15.01'!$AM$4:$AO$55,3,FALSE))</f>
        <v>0</v>
      </c>
      <c r="I39" s="4">
        <f>(VLOOKUP('15.01'!Q39,'15.01'!$AM$4:$AO$55,3,FALSE))</f>
        <v>45</v>
      </c>
      <c r="J39" s="4">
        <f>(VLOOKUP('15.01'!R39,'15.01'!$AM$4:$AO$55,3,FALSE))</f>
        <v>45</v>
      </c>
      <c r="K39" s="4">
        <f>(VLOOKUP('15.01'!S39,'15.01'!$AM$4:$AO$55,3,FALSE))</f>
        <v>50</v>
      </c>
      <c r="L39" s="4">
        <f>(VLOOKUP('15.01'!T39,'15.01'!$AM$4:$AO$55,3,FALSE))</f>
        <v>50</v>
      </c>
      <c r="M39" s="4">
        <f>(VLOOKUP('15.01'!U39,'15.01'!$AM$4:$AO$55,3,FALSE))</f>
        <v>50</v>
      </c>
      <c r="N39" s="4">
        <f>(VLOOKUP('15.01'!V39,'15.01'!$AM$4:$AO$55,3,FALSE))</f>
        <v>50</v>
      </c>
      <c r="O39" s="5">
        <f>(VLOOKUP('15.01'!W39,'15.01'!$AM$4:$AO$55,3,FALSE))</f>
        <v>0</v>
      </c>
      <c r="P39" s="5">
        <f>(VLOOKUP('15.01'!X39,'15.01'!$AM$4:$AO$55,3,FALSE))</f>
        <v>0</v>
      </c>
      <c r="Q39" s="4">
        <f>(VLOOKUP('15.01'!Y39,'15.01'!$AM$4:$AO$55,3,FALSE))</f>
        <v>50</v>
      </c>
      <c r="R39" s="4">
        <f>(VLOOKUP('15.01'!Z39,'15.01'!$AM$4:$AO$55,3,FALSE))</f>
        <v>30</v>
      </c>
      <c r="S39" s="4">
        <f>(VLOOKUP('15.01'!AA39,'15.01'!$AM$4:$AO$55,3,FALSE))</f>
        <v>50</v>
      </c>
      <c r="T39" s="4">
        <f>(VLOOKUP('15.01'!AB39,'15.01'!$AM$4:$AO$55,3,FALSE))</f>
        <v>50</v>
      </c>
      <c r="U39" s="4">
        <f>(VLOOKUP('15.01'!AC39,'15.01'!$AM$4:$AO$55,3,FALSE))</f>
        <v>30</v>
      </c>
      <c r="V39" s="4">
        <f>(VLOOKUP('15.01'!AD39,'15.01'!$AM$4:$AO$55,3,FALSE))</f>
        <v>45</v>
      </c>
      <c r="W39" s="5">
        <f>(VLOOKUP('15.01'!AE39,'15.01'!$AM$4:$AO$55,3,FALSE))</f>
        <v>0</v>
      </c>
      <c r="X39" s="5">
        <f>(VLOOKUP('15.01'!AF39,'15.01'!$AM$4:$AO$55,3,FALSE))</f>
        <v>0</v>
      </c>
    </row>
    <row r="40" spans="1:24">
      <c r="A40" s="4">
        <f>(VLOOKUP('15.01'!I40,'15.01'!$AM$4:$AO$55,3,FALSE))</f>
        <v>0</v>
      </c>
      <c r="B40" s="4">
        <f>(VLOOKUP('15.01'!J40,'15.01'!$AM$4:$AO$55,3,FALSE))</f>
        <v>0</v>
      </c>
      <c r="C40" s="4">
        <f>(VLOOKUP('15.01'!K40,'15.01'!$AM$4:$AO$55,3,FALSE))</f>
        <v>0</v>
      </c>
      <c r="D40" s="4">
        <f>(VLOOKUP('15.01'!L40,'15.01'!$AM$4:$AO$55,3,FALSE))</f>
        <v>0</v>
      </c>
      <c r="E40" s="4">
        <f>(VLOOKUP('15.01'!M40,'15.01'!$AM$4:$AO$55,3,FALSE))</f>
        <v>0</v>
      </c>
      <c r="F40" s="4">
        <f>(VLOOKUP('15.01'!N40,'15.01'!$AM$4:$AO$55,3,FALSE))</f>
        <v>0</v>
      </c>
      <c r="G40" s="5">
        <f>(VLOOKUP('15.01'!O40,'15.01'!$AM$4:$AO$55,3,FALSE))</f>
        <v>0</v>
      </c>
      <c r="H40" s="5">
        <f>(VLOOKUP('15.01'!P40,'15.01'!$AM$4:$AO$55,3,FALSE))</f>
        <v>0</v>
      </c>
      <c r="I40" s="4">
        <f>(VLOOKUP('15.01'!Q40,'15.01'!$AM$4:$AO$55,3,FALSE))</f>
        <v>50</v>
      </c>
      <c r="J40" s="4">
        <f>(VLOOKUP('15.01'!R40,'15.01'!$AM$4:$AO$55,3,FALSE))</f>
        <v>50</v>
      </c>
      <c r="K40" s="4">
        <f>(VLOOKUP('15.01'!S40,'15.01'!$AM$4:$AO$55,3,FALSE))</f>
        <v>50</v>
      </c>
      <c r="L40" s="4">
        <f>(VLOOKUP('15.01'!T40,'15.01'!$AM$4:$AO$55,3,FALSE))</f>
        <v>50</v>
      </c>
      <c r="M40" s="4">
        <f>(VLOOKUP('15.01'!U40,'15.01'!$AM$4:$AO$55,3,FALSE))</f>
        <v>50</v>
      </c>
      <c r="N40" s="4">
        <f>(VLOOKUP('15.01'!V40,'15.01'!$AM$4:$AO$55,3,FALSE))</f>
        <v>50</v>
      </c>
      <c r="O40" s="5">
        <f>(VLOOKUP('15.01'!W40,'15.01'!$AM$4:$AO$55,3,FALSE))</f>
        <v>0</v>
      </c>
      <c r="P40" s="5">
        <f>(VLOOKUP('15.01'!X40,'15.01'!$AM$4:$AO$55,3,FALSE))</f>
        <v>0</v>
      </c>
      <c r="Q40" s="4">
        <f>(VLOOKUP('15.01'!Y40,'15.01'!$AM$4:$AO$55,3,FALSE))</f>
        <v>45</v>
      </c>
      <c r="R40" s="4">
        <f>(VLOOKUP('15.01'!Z40,'15.01'!$AM$4:$AO$55,3,FALSE))</f>
        <v>45</v>
      </c>
      <c r="S40" s="4">
        <f>(VLOOKUP('15.01'!AA40,'15.01'!$AM$4:$AO$55,3,FALSE))</f>
        <v>45</v>
      </c>
      <c r="T40" s="4">
        <f>(VLOOKUP('15.01'!AB40,'15.01'!$AM$4:$AO$55,3,FALSE))</f>
        <v>0</v>
      </c>
      <c r="U40" s="4">
        <f>(VLOOKUP('15.01'!AC40,'15.01'!$AM$4:$AO$55,3,FALSE))</f>
        <v>45</v>
      </c>
      <c r="V40" s="4">
        <f>(VLOOKUP('15.01'!AD40,'15.01'!$AM$4:$AO$55,3,FALSE))</f>
        <v>50</v>
      </c>
      <c r="W40" s="5">
        <f>(VLOOKUP('15.01'!AE40,'15.01'!$AM$4:$AO$55,3,FALSE))</f>
        <v>0</v>
      </c>
      <c r="X40" s="5">
        <f>(VLOOKUP('15.01'!AF40,'15.01'!$AM$4:$AO$55,3,FALSE))</f>
        <v>0</v>
      </c>
    </row>
    <row r="41" spans="1:24">
      <c r="A41" s="4">
        <f>(VLOOKUP('15.01'!I41,'15.01'!$AM$4:$AO$55,3,FALSE))</f>
        <v>0</v>
      </c>
      <c r="B41" s="4">
        <f>(VLOOKUP('15.01'!J41,'15.01'!$AM$4:$AO$55,3,FALSE))</f>
        <v>0</v>
      </c>
      <c r="C41" s="4">
        <f>(VLOOKUP('15.01'!K41,'15.01'!$AM$4:$AO$55,3,FALSE))</f>
        <v>0</v>
      </c>
      <c r="D41" s="4">
        <f>(VLOOKUP('15.01'!L41,'15.01'!$AM$4:$AO$55,3,FALSE))</f>
        <v>0</v>
      </c>
      <c r="E41" s="4">
        <f>(VLOOKUP('15.01'!M41,'15.01'!$AM$4:$AO$55,3,FALSE))</f>
        <v>0</v>
      </c>
      <c r="F41" s="4">
        <f>(VLOOKUP('15.01'!N41,'15.01'!$AM$4:$AO$55,3,FALSE))</f>
        <v>0</v>
      </c>
      <c r="G41" s="5">
        <f>(VLOOKUP('15.01'!O41,'15.01'!$AM$4:$AO$55,3,FALSE))</f>
        <v>0</v>
      </c>
      <c r="H41" s="5">
        <f>(VLOOKUP('15.01'!P41,'15.01'!$AM$4:$AO$55,3,FALSE))</f>
        <v>0</v>
      </c>
      <c r="I41" s="4">
        <f>(VLOOKUP('15.01'!Q41,'15.01'!$AM$4:$AO$55,3,FALSE))</f>
        <v>50</v>
      </c>
      <c r="J41" s="4">
        <f>(VLOOKUP('15.01'!R41,'15.01'!$AM$4:$AO$55,3,FALSE))</f>
        <v>50</v>
      </c>
      <c r="K41" s="4">
        <f>(VLOOKUP('15.01'!S41,'15.01'!$AM$4:$AO$55,3,FALSE))</f>
        <v>30</v>
      </c>
      <c r="L41" s="4">
        <f>(VLOOKUP('15.01'!T41,'15.01'!$AM$4:$AO$55,3,FALSE))</f>
        <v>45</v>
      </c>
      <c r="M41" s="4">
        <f>(VLOOKUP('15.01'!U41,'15.01'!$AM$4:$AO$55,3,FALSE))</f>
        <v>45</v>
      </c>
      <c r="N41" s="4">
        <f>(VLOOKUP('15.01'!V41,'15.01'!$AM$4:$AO$55,3,FALSE))</f>
        <v>45</v>
      </c>
      <c r="O41" s="5">
        <f>(VLOOKUP('15.01'!W41,'15.01'!$AM$4:$AO$55,3,FALSE))</f>
        <v>0</v>
      </c>
      <c r="P41" s="5">
        <f>(VLOOKUP('15.01'!X41,'15.01'!$AM$4:$AO$55,3,FALSE))</f>
        <v>0</v>
      </c>
      <c r="Q41" s="4">
        <f>(VLOOKUP('15.01'!Y41,'15.01'!$AM$4:$AO$55,3,FALSE))</f>
        <v>50</v>
      </c>
      <c r="R41" s="4">
        <f>(VLOOKUP('15.01'!Z41,'15.01'!$AM$4:$AO$55,3,FALSE))</f>
        <v>50</v>
      </c>
      <c r="S41" s="4">
        <f>(VLOOKUP('15.01'!AA41,'15.01'!$AM$4:$AO$55,3,FALSE))</f>
        <v>50</v>
      </c>
      <c r="T41" s="4">
        <f>(VLOOKUP('15.01'!AB41,'15.01'!$AM$4:$AO$55,3,FALSE))</f>
        <v>60</v>
      </c>
      <c r="U41" s="4">
        <f>(VLOOKUP('15.01'!AC41,'15.01'!$AM$4:$AO$55,3,FALSE))</f>
        <v>60</v>
      </c>
      <c r="V41" s="4">
        <f>(VLOOKUP('15.01'!AD41,'15.01'!$AM$4:$AO$55,3,FALSE))</f>
        <v>60</v>
      </c>
      <c r="W41" s="5">
        <f>(VLOOKUP('15.01'!AE41,'15.01'!$AM$4:$AO$55,3,FALSE))</f>
        <v>0</v>
      </c>
      <c r="X41" s="5">
        <f>(VLOOKUP('15.01'!AF41,'15.01'!$AM$4:$AO$55,3,FALSE))</f>
        <v>0</v>
      </c>
    </row>
    <row r="42" spans="1:24">
      <c r="A42" s="4">
        <f>(VLOOKUP('15.01'!I42,'15.01'!$AM$4:$AO$55,3,FALSE))</f>
        <v>0</v>
      </c>
      <c r="B42" s="4">
        <f>(VLOOKUP('15.01'!J42,'15.01'!$AM$4:$AO$55,3,FALSE))</f>
        <v>0</v>
      </c>
      <c r="C42" s="4">
        <f>(VLOOKUP('15.01'!K42,'15.01'!$AM$4:$AO$55,3,FALSE))</f>
        <v>0</v>
      </c>
      <c r="D42" s="4">
        <f>(VLOOKUP('15.01'!L42,'15.01'!$AM$4:$AO$55,3,FALSE))</f>
        <v>0</v>
      </c>
      <c r="E42" s="4">
        <f>(VLOOKUP('15.01'!M42,'15.01'!$AM$4:$AO$55,3,FALSE))</f>
        <v>0</v>
      </c>
      <c r="F42" s="4">
        <f>(VLOOKUP('15.01'!N42,'15.01'!$AM$4:$AO$55,3,FALSE))</f>
        <v>0</v>
      </c>
      <c r="G42" s="5">
        <f>(VLOOKUP('15.01'!O42,'15.01'!$AM$4:$AO$55,3,FALSE))</f>
        <v>0</v>
      </c>
      <c r="H42" s="5">
        <f>(VLOOKUP('15.01'!P42,'15.01'!$AM$4:$AO$55,3,FALSE))</f>
        <v>0</v>
      </c>
      <c r="I42" s="4">
        <f>(VLOOKUP('15.01'!Q42,'15.01'!$AM$4:$AO$55,3,FALSE))</f>
        <v>45</v>
      </c>
      <c r="J42" s="4">
        <f>(VLOOKUP('15.01'!R42,'15.01'!$AM$4:$AO$55,3,FALSE))</f>
        <v>0</v>
      </c>
      <c r="K42" s="4">
        <f>(VLOOKUP('15.01'!S42,'15.01'!$AM$4:$AO$55,3,FALSE))</f>
        <v>45</v>
      </c>
      <c r="L42" s="4">
        <f>(VLOOKUP('15.01'!T42,'15.01'!$AM$4:$AO$55,3,FALSE))</f>
        <v>45</v>
      </c>
      <c r="M42" s="4">
        <f>(VLOOKUP('15.01'!U42,'15.01'!$AM$4:$AO$55,3,FALSE))</f>
        <v>45</v>
      </c>
      <c r="N42" s="4">
        <f>(VLOOKUP('15.01'!V42,'15.01'!$AM$4:$AO$55,3,FALSE))</f>
        <v>45</v>
      </c>
      <c r="O42" s="5">
        <f>(VLOOKUP('15.01'!W42,'15.01'!$AM$4:$AO$55,3,FALSE))</f>
        <v>0</v>
      </c>
      <c r="P42" s="5">
        <f>(VLOOKUP('15.01'!X42,'15.01'!$AM$4:$AO$55,3,FALSE))</f>
        <v>0</v>
      </c>
      <c r="Q42" s="4">
        <f>(VLOOKUP('15.01'!Y42,'15.01'!$AM$4:$AO$55,3,FALSE))</f>
        <v>60</v>
      </c>
      <c r="R42" s="4">
        <f>(VLOOKUP('15.01'!Z42,'15.01'!$AM$4:$AO$55,3,FALSE))</f>
        <v>60</v>
      </c>
      <c r="S42" s="4">
        <f>(VLOOKUP('15.01'!AA42,'15.01'!$AM$4:$AO$55,3,FALSE))</f>
        <v>60</v>
      </c>
      <c r="T42" s="4">
        <f>(VLOOKUP('15.01'!AB42,'15.01'!$AM$4:$AO$55,3,FALSE))</f>
        <v>60</v>
      </c>
      <c r="U42" s="4">
        <f>(VLOOKUP('15.01'!AC42,'15.01'!$AM$4:$AO$55,3,FALSE))</f>
        <v>60</v>
      </c>
      <c r="V42" s="4">
        <f>(VLOOKUP('15.01'!AD42,'15.01'!$AM$4:$AO$55,3,FALSE))</f>
        <v>60</v>
      </c>
      <c r="W42" s="5">
        <f>(VLOOKUP('15.01'!AE42,'15.01'!$AM$4:$AO$55,3,FALSE))</f>
        <v>0</v>
      </c>
      <c r="X42" s="5">
        <f>(VLOOKUP('15.01'!AF42,'15.01'!$AM$4:$AO$55,3,FALSE))</f>
        <v>0</v>
      </c>
    </row>
    <row r="43" spans="1:24">
      <c r="A43" s="4">
        <f>(VLOOKUP('15.01'!I43,'15.01'!$AM$4:$AO$55,3,FALSE))</f>
        <v>0</v>
      </c>
      <c r="B43" s="4">
        <f>(VLOOKUP('15.01'!J43,'15.01'!$AM$4:$AO$55,3,FALSE))</f>
        <v>0</v>
      </c>
      <c r="C43" s="4">
        <f>(VLOOKUP('15.01'!K43,'15.01'!$AM$4:$AO$55,3,FALSE))</f>
        <v>0</v>
      </c>
      <c r="D43" s="4">
        <f>(VLOOKUP('15.01'!L43,'15.01'!$AM$4:$AO$55,3,FALSE))</f>
        <v>0</v>
      </c>
      <c r="E43" s="4">
        <f>(VLOOKUP('15.01'!M43,'15.01'!$AM$4:$AO$55,3,FALSE))</f>
        <v>0</v>
      </c>
      <c r="F43" s="4">
        <f>(VLOOKUP('15.01'!N43,'15.01'!$AM$4:$AO$55,3,FALSE))</f>
        <v>0</v>
      </c>
      <c r="G43" s="5">
        <f>(VLOOKUP('15.01'!O43,'15.01'!$AM$4:$AO$55,3,FALSE))</f>
        <v>0</v>
      </c>
      <c r="H43" s="5">
        <f>(VLOOKUP('15.01'!P43,'15.01'!$AM$4:$AO$55,3,FALSE))</f>
        <v>0</v>
      </c>
      <c r="I43" s="4">
        <f>(VLOOKUP('15.01'!Q43,'15.01'!$AM$4:$AO$55,3,FALSE))</f>
        <v>45</v>
      </c>
      <c r="J43" s="4">
        <f>(VLOOKUP('15.01'!R43,'15.01'!$AM$4:$AO$55,3,FALSE))</f>
        <v>45</v>
      </c>
      <c r="K43" s="4">
        <f>(VLOOKUP('15.01'!S43,'15.01'!$AM$4:$AO$55,3,FALSE))</f>
        <v>45</v>
      </c>
      <c r="L43" s="4">
        <f>(VLOOKUP('15.01'!T43,'15.01'!$AM$4:$AO$55,3,FALSE))</f>
        <v>45</v>
      </c>
      <c r="M43" s="4">
        <f>(VLOOKUP('15.01'!U43,'15.01'!$AM$4:$AO$55,3,FALSE))</f>
        <v>45</v>
      </c>
      <c r="N43" s="4">
        <f>(VLOOKUP('15.01'!V43,'15.01'!$AM$4:$AO$55,3,FALSE))</f>
        <v>45</v>
      </c>
      <c r="O43" s="5">
        <f>(VLOOKUP('15.01'!W43,'15.01'!$AM$4:$AO$55,3,FALSE))</f>
        <v>0</v>
      </c>
      <c r="P43" s="5">
        <f>(VLOOKUP('15.01'!X43,'15.01'!$AM$4:$AO$55,3,FALSE))</f>
        <v>0</v>
      </c>
      <c r="Q43" s="4">
        <f>(VLOOKUP('15.01'!Y43,'15.01'!$AM$4:$AO$55,3,FALSE))</f>
        <v>50</v>
      </c>
      <c r="R43" s="4">
        <f>(VLOOKUP('15.01'!Z43,'15.01'!$AM$4:$AO$55,3,FALSE))</f>
        <v>50</v>
      </c>
      <c r="S43" s="4">
        <f>(VLOOKUP('15.01'!AA43,'15.01'!$AM$4:$AO$55,3,FALSE))</f>
        <v>50</v>
      </c>
      <c r="T43" s="4">
        <f>(VLOOKUP('15.01'!AB43,'15.01'!$AM$4:$AO$55,3,FALSE))</f>
        <v>0</v>
      </c>
      <c r="U43" s="4">
        <f>(VLOOKUP('15.01'!AC43,'15.01'!$AM$4:$AO$55,3,FALSE))</f>
        <v>50</v>
      </c>
      <c r="V43" s="4">
        <f>(VLOOKUP('15.01'!AD43,'15.01'!$AM$4:$AO$55,3,FALSE))</f>
        <v>50</v>
      </c>
      <c r="W43" s="5">
        <f>(VLOOKUP('15.01'!AE43,'15.01'!$AM$4:$AO$55,3,FALSE))</f>
        <v>0</v>
      </c>
      <c r="X43" s="5">
        <f>(VLOOKUP('15.01'!AF43,'15.01'!$AM$4:$AO$55,3,FALSE))</f>
        <v>0</v>
      </c>
    </row>
    <row r="44" spans="1:24">
      <c r="A44" s="4">
        <f>(VLOOKUP('15.01'!I44,'15.01'!$AM$4:$AO$55,3,FALSE))</f>
        <v>0</v>
      </c>
      <c r="B44" s="4">
        <f>(VLOOKUP('15.01'!J44,'15.01'!$AM$4:$AO$55,3,FALSE))</f>
        <v>0</v>
      </c>
      <c r="C44" s="4">
        <f>(VLOOKUP('15.01'!K44,'15.01'!$AM$4:$AO$55,3,FALSE))</f>
        <v>0</v>
      </c>
      <c r="D44" s="4">
        <f>(VLOOKUP('15.01'!L44,'15.01'!$AM$4:$AO$55,3,FALSE))</f>
        <v>0</v>
      </c>
      <c r="E44" s="4">
        <f>(VLOOKUP('15.01'!M44,'15.01'!$AM$4:$AO$55,3,FALSE))</f>
        <v>0</v>
      </c>
      <c r="F44" s="4">
        <f>(VLOOKUP('15.01'!N44,'15.01'!$AM$4:$AO$55,3,FALSE))</f>
        <v>0</v>
      </c>
      <c r="G44" s="5">
        <f>(VLOOKUP('15.01'!O44,'15.01'!$AM$4:$AO$55,3,FALSE))</f>
        <v>0</v>
      </c>
      <c r="H44" s="5">
        <f>(VLOOKUP('15.01'!P44,'15.01'!$AM$4:$AO$55,3,FALSE))</f>
        <v>0</v>
      </c>
      <c r="I44" s="4">
        <f>(VLOOKUP('15.01'!Q44,'15.01'!$AM$4:$AO$55,3,FALSE))</f>
        <v>45</v>
      </c>
      <c r="J44" s="4">
        <f>(VLOOKUP('15.01'!R44,'15.01'!$AM$4:$AO$55,3,FALSE))</f>
        <v>60</v>
      </c>
      <c r="K44" s="4">
        <f>(VLOOKUP('15.01'!S44,'15.01'!$AM$4:$AO$55,3,FALSE))</f>
        <v>60</v>
      </c>
      <c r="L44" s="4">
        <f>(VLOOKUP('15.01'!T44,'15.01'!$AM$4:$AO$55,3,FALSE))</f>
        <v>60</v>
      </c>
      <c r="M44" s="4">
        <f>(VLOOKUP('15.01'!U44,'15.01'!$AM$4:$AO$55,3,FALSE))</f>
        <v>60</v>
      </c>
      <c r="N44" s="4">
        <f>(VLOOKUP('15.01'!V44,'15.01'!$AM$4:$AO$55,3,FALSE))</f>
        <v>60</v>
      </c>
      <c r="O44" s="5">
        <f>(VLOOKUP('15.01'!W44,'15.01'!$AM$4:$AO$55,3,FALSE))</f>
        <v>0</v>
      </c>
      <c r="P44" s="5">
        <f>(VLOOKUP('15.01'!X44,'15.01'!$AM$4:$AO$55,3,FALSE))</f>
        <v>0</v>
      </c>
      <c r="Q44" s="4">
        <f>(VLOOKUP('15.01'!Y44,'15.01'!$AM$4:$AO$55,3,FALSE))</f>
        <v>50</v>
      </c>
      <c r="R44" s="4">
        <f>(VLOOKUP('15.01'!Z44,'15.01'!$AM$4:$AO$55,3,FALSE))</f>
        <v>50</v>
      </c>
      <c r="S44" s="4">
        <f>(VLOOKUP('15.01'!AA44,'15.01'!$AM$4:$AO$55,3,FALSE))</f>
        <v>50</v>
      </c>
      <c r="T44" s="4">
        <f>(VLOOKUP('15.01'!AB44,'15.01'!$AM$4:$AO$55,3,FALSE))</f>
        <v>50</v>
      </c>
      <c r="U44" s="4">
        <f>(VLOOKUP('15.01'!AC44,'15.01'!$AM$4:$AO$55,3,FALSE))</f>
        <v>50</v>
      </c>
      <c r="V44" s="4">
        <f>(VLOOKUP('15.01'!AD44,'15.01'!$AM$4:$AO$55,3,FALSE))</f>
        <v>50</v>
      </c>
      <c r="W44" s="5">
        <f>(VLOOKUP('15.01'!AE44,'15.01'!$AM$4:$AO$55,3,FALSE))</f>
        <v>0</v>
      </c>
      <c r="X44" s="5">
        <f>(VLOOKUP('15.01'!AF44,'15.01'!$AM$4:$AO$55,3,FALSE))</f>
        <v>0</v>
      </c>
    </row>
    <row r="45" spans="1:24">
      <c r="A45" s="4">
        <f>(VLOOKUP('15.01'!I45,'15.01'!$AM$4:$AO$55,3,FALSE))</f>
        <v>0</v>
      </c>
      <c r="B45" s="4">
        <f>(VLOOKUP('15.01'!J45,'15.01'!$AM$4:$AO$55,3,FALSE))</f>
        <v>0</v>
      </c>
      <c r="C45" s="4">
        <f>(VLOOKUP('15.01'!K45,'15.01'!$AM$4:$AO$55,3,FALSE))</f>
        <v>0</v>
      </c>
      <c r="D45" s="4">
        <f>(VLOOKUP('15.01'!L45,'15.01'!$AM$4:$AO$55,3,FALSE))</f>
        <v>0</v>
      </c>
      <c r="E45" s="4">
        <f>(VLOOKUP('15.01'!M45,'15.01'!$AM$4:$AO$55,3,FALSE))</f>
        <v>0</v>
      </c>
      <c r="F45" s="4">
        <f>(VLOOKUP('15.01'!N45,'15.01'!$AM$4:$AO$55,3,FALSE))</f>
        <v>0</v>
      </c>
      <c r="G45" s="5">
        <f>(VLOOKUP('15.01'!O45,'15.01'!$AM$4:$AO$55,3,FALSE))</f>
        <v>0</v>
      </c>
      <c r="H45" s="5">
        <f>(VLOOKUP('15.01'!P45,'15.01'!$AM$4:$AO$55,3,FALSE))</f>
        <v>0</v>
      </c>
      <c r="I45" s="4">
        <f>(VLOOKUP('15.01'!Q45,'15.01'!$AM$4:$AO$55,3,FALSE))</f>
        <v>60</v>
      </c>
      <c r="J45" s="4">
        <f>(VLOOKUP('15.01'!R45,'15.01'!$AM$4:$AO$55,3,FALSE))</f>
        <v>60</v>
      </c>
      <c r="K45" s="4">
        <f>(VLOOKUP('15.01'!S45,'15.01'!$AM$4:$AO$55,3,FALSE))</f>
        <v>60</v>
      </c>
      <c r="L45" s="4">
        <f>(VLOOKUP('15.01'!T45,'15.01'!$AM$4:$AO$55,3,FALSE))</f>
        <v>60</v>
      </c>
      <c r="M45" s="4">
        <f>(VLOOKUP('15.01'!U45,'15.01'!$AM$4:$AO$55,3,FALSE))</f>
        <v>60</v>
      </c>
      <c r="N45" s="4">
        <f>(VLOOKUP('15.01'!V45,'15.01'!$AM$4:$AO$55,3,FALSE))</f>
        <v>60</v>
      </c>
      <c r="O45" s="5">
        <f>(VLOOKUP('15.01'!W45,'15.01'!$AM$4:$AO$55,3,FALSE))</f>
        <v>0</v>
      </c>
      <c r="P45" s="5">
        <f>(VLOOKUP('15.01'!X45,'15.01'!$AM$4:$AO$55,3,FALSE))</f>
        <v>0</v>
      </c>
      <c r="Q45" s="4">
        <f>(VLOOKUP('15.01'!Y45,'15.01'!$AM$4:$AO$55,3,FALSE))</f>
        <v>50</v>
      </c>
      <c r="R45" s="4">
        <f>(VLOOKUP('15.01'!Z45,'15.01'!$AM$4:$AO$55,3,FALSE))</f>
        <v>50</v>
      </c>
      <c r="S45" s="4">
        <f>(VLOOKUP('15.01'!AA45,'15.01'!$AM$4:$AO$55,3,FALSE))</f>
        <v>50</v>
      </c>
      <c r="T45" s="4">
        <f>(VLOOKUP('15.01'!AB45,'15.01'!$AM$4:$AO$55,3,FALSE))</f>
        <v>50</v>
      </c>
      <c r="U45" s="4">
        <f>(VLOOKUP('15.01'!AC45,'15.01'!$AM$4:$AO$55,3,FALSE))</f>
        <v>50</v>
      </c>
      <c r="V45" s="4">
        <f>(VLOOKUP('15.01'!AD45,'15.01'!$AM$4:$AO$55,3,FALSE))</f>
        <v>50</v>
      </c>
      <c r="W45" s="5">
        <f>(VLOOKUP('15.01'!AE45,'15.01'!$AM$4:$AO$55,3,FALSE))</f>
        <v>0</v>
      </c>
      <c r="X45" s="5">
        <f>(VLOOKUP('15.01'!AF45,'15.01'!$AM$4:$AO$55,3,FALSE))</f>
        <v>0</v>
      </c>
    </row>
    <row r="46" spans="1:24">
      <c r="A46" s="4">
        <f>(VLOOKUP('15.01'!I46,'15.01'!$AM$4:$AO$55,3,FALSE))</f>
        <v>0</v>
      </c>
      <c r="B46" s="4">
        <f>(VLOOKUP('15.01'!J46,'15.01'!$AM$4:$AO$55,3,FALSE))</f>
        <v>0</v>
      </c>
      <c r="C46" s="4">
        <f>(VLOOKUP('15.01'!K46,'15.01'!$AM$4:$AO$55,3,FALSE))</f>
        <v>0</v>
      </c>
      <c r="D46" s="4">
        <f>(VLOOKUP('15.01'!L46,'15.01'!$AM$4:$AO$55,3,FALSE))</f>
        <v>0</v>
      </c>
      <c r="E46" s="4">
        <f>(VLOOKUP('15.01'!M46,'15.01'!$AM$4:$AO$55,3,FALSE))</f>
        <v>0</v>
      </c>
      <c r="F46" s="4">
        <f>(VLOOKUP('15.01'!N46,'15.01'!$AM$4:$AO$55,3,FALSE))</f>
        <v>0</v>
      </c>
      <c r="G46" s="5">
        <f>(VLOOKUP('15.01'!O46,'15.01'!$AM$4:$AO$55,3,FALSE))</f>
        <v>0</v>
      </c>
      <c r="H46" s="5">
        <f>(VLOOKUP('15.01'!P46,'15.01'!$AM$4:$AO$55,3,FALSE))</f>
        <v>0</v>
      </c>
      <c r="I46" s="4">
        <f>(VLOOKUP('15.01'!Q46,'15.01'!$AM$4:$AO$55,3,FALSE))</f>
        <v>60</v>
      </c>
      <c r="J46" s="4">
        <f>(VLOOKUP('15.01'!R46,'15.01'!$AM$4:$AO$55,3,FALSE))</f>
        <v>60</v>
      </c>
      <c r="K46" s="4">
        <f>(VLOOKUP('15.01'!S46,'15.01'!$AM$4:$AO$55,3,FALSE))</f>
        <v>60</v>
      </c>
      <c r="L46" s="4">
        <f>(VLOOKUP('15.01'!T46,'15.01'!$AM$4:$AO$55,3,FALSE))</f>
        <v>60</v>
      </c>
      <c r="M46" s="4">
        <f>(VLOOKUP('15.01'!U46,'15.01'!$AM$4:$AO$55,3,FALSE))</f>
        <v>60</v>
      </c>
      <c r="N46" s="4">
        <f>(VLOOKUP('15.01'!V46,'15.01'!$AM$4:$AO$55,3,FALSE))</f>
        <v>60</v>
      </c>
      <c r="O46" s="5">
        <f>(VLOOKUP('15.01'!W46,'15.01'!$AM$4:$AO$55,3,FALSE))</f>
        <v>0</v>
      </c>
      <c r="P46" s="5">
        <f>(VLOOKUP('15.01'!X46,'15.01'!$AM$4:$AO$55,3,FALSE))</f>
        <v>0</v>
      </c>
      <c r="Q46" s="4">
        <f>(VLOOKUP('15.01'!Y46,'15.01'!$AM$4:$AO$55,3,FALSE))</f>
        <v>50</v>
      </c>
      <c r="R46" s="4">
        <f>(VLOOKUP('15.01'!Z46,'15.01'!$AM$4:$AO$55,3,FALSE))</f>
        <v>50</v>
      </c>
      <c r="S46" s="4">
        <f>(VLOOKUP('15.01'!AA46,'15.01'!$AM$4:$AO$55,3,FALSE))</f>
        <v>50</v>
      </c>
      <c r="T46" s="4">
        <f>(VLOOKUP('15.01'!AB46,'15.01'!$AM$4:$AO$55,3,FALSE))</f>
        <v>50</v>
      </c>
      <c r="U46" s="4">
        <f>(VLOOKUP('15.01'!AC46,'15.01'!$AM$4:$AO$55,3,FALSE))</f>
        <v>50</v>
      </c>
      <c r="V46" s="4">
        <f>(VLOOKUP('15.01'!AD46,'15.01'!$AM$4:$AO$55,3,FALSE))</f>
        <v>30</v>
      </c>
      <c r="W46" s="5">
        <f>(VLOOKUP('15.01'!AE46,'15.01'!$AM$4:$AO$55,3,FALSE))</f>
        <v>0</v>
      </c>
      <c r="X46" s="5">
        <f>(VLOOKUP('15.01'!AF46,'15.01'!$AM$4:$AO$55,3,FALSE))</f>
        <v>0</v>
      </c>
    </row>
    <row r="47" spans="1:24">
      <c r="A47" s="4">
        <f>(VLOOKUP('15.01'!I47,'15.01'!$AM$4:$AO$55,3,FALSE))</f>
        <v>0</v>
      </c>
      <c r="B47" s="4">
        <f>(VLOOKUP('15.01'!J47,'15.01'!$AM$4:$AO$55,3,FALSE))</f>
        <v>0</v>
      </c>
      <c r="C47" s="4">
        <f>(VLOOKUP('15.01'!K47,'15.01'!$AM$4:$AO$55,3,FALSE))</f>
        <v>0</v>
      </c>
      <c r="D47" s="4">
        <f>(VLOOKUP('15.01'!L47,'15.01'!$AM$4:$AO$55,3,FALSE))</f>
        <v>0</v>
      </c>
      <c r="E47" s="4">
        <f>(VLOOKUP('15.01'!M47,'15.01'!$AM$4:$AO$55,3,FALSE))</f>
        <v>0</v>
      </c>
      <c r="F47" s="4">
        <f>(VLOOKUP('15.01'!N47,'15.01'!$AM$4:$AO$55,3,FALSE))</f>
        <v>0</v>
      </c>
      <c r="G47" s="5">
        <f>(VLOOKUP('15.01'!O47,'15.01'!$AM$4:$AO$55,3,FALSE))</f>
        <v>0</v>
      </c>
      <c r="H47" s="5">
        <f>(VLOOKUP('15.01'!P47,'15.01'!$AM$4:$AO$55,3,FALSE))</f>
        <v>0</v>
      </c>
      <c r="I47" s="4">
        <f>(VLOOKUP('15.01'!Q47,'15.01'!$AM$4:$AO$55,3,FALSE))</f>
        <v>60</v>
      </c>
      <c r="J47" s="4">
        <f>(VLOOKUP('15.01'!R47,'15.01'!$AM$4:$AO$55,3,FALSE))</f>
        <v>60</v>
      </c>
      <c r="K47" s="4">
        <f>(VLOOKUP('15.01'!S47,'15.01'!$AM$4:$AO$55,3,FALSE))</f>
        <v>1000</v>
      </c>
      <c r="L47" s="4">
        <f>(VLOOKUP('15.01'!T47,'15.01'!$AM$4:$AO$55,3,FALSE))</f>
        <v>60</v>
      </c>
      <c r="M47" s="4">
        <f>(VLOOKUP('15.01'!U47,'15.01'!$AM$4:$AO$55,3,FALSE))</f>
        <v>60</v>
      </c>
      <c r="N47" s="4">
        <f>(VLOOKUP('15.01'!V47,'15.01'!$AM$4:$AO$55,3,FALSE))</f>
        <v>60</v>
      </c>
      <c r="O47" s="5">
        <f>(VLOOKUP('15.01'!W47,'15.01'!$AM$4:$AO$55,3,FALSE))</f>
        <v>0</v>
      </c>
      <c r="P47" s="5">
        <f>(VLOOKUP('15.01'!X47,'15.01'!$AM$4:$AO$55,3,FALSE))</f>
        <v>0</v>
      </c>
      <c r="Q47" s="4">
        <f>(VLOOKUP('15.01'!Y47,'15.01'!$AM$4:$AO$55,3,FALSE))</f>
        <v>50</v>
      </c>
      <c r="R47" s="4">
        <f>(VLOOKUP('15.01'!Z47,'15.01'!$AM$4:$AO$55,3,FALSE))</f>
        <v>50</v>
      </c>
      <c r="S47" s="4">
        <f>(VLOOKUP('15.01'!AA47,'15.01'!$AM$4:$AO$55,3,FALSE))</f>
        <v>50</v>
      </c>
      <c r="T47" s="4">
        <f>(VLOOKUP('15.01'!AB47,'15.01'!$AM$4:$AO$55,3,FALSE))</f>
        <v>50</v>
      </c>
      <c r="U47" s="4">
        <f>(VLOOKUP('15.01'!AC47,'15.01'!$AM$4:$AO$55,3,FALSE))</f>
        <v>50</v>
      </c>
      <c r="V47" s="4">
        <f>(VLOOKUP('15.01'!AD47,'15.01'!$AM$4:$AO$55,3,FALSE))</f>
        <v>50</v>
      </c>
      <c r="W47" s="5">
        <f>(VLOOKUP('15.01'!AE47,'15.01'!$AM$4:$AO$55,3,FALSE))</f>
        <v>0</v>
      </c>
      <c r="X47" s="5">
        <f>(VLOOKUP('15.01'!AF47,'15.01'!$AM$4:$AO$55,3,FALSE))</f>
        <v>0</v>
      </c>
    </row>
    <row r="48" spans="1:24">
      <c r="A48" s="4">
        <f>(VLOOKUP('15.01'!I48,'15.01'!$AM$4:$AO$55,3,FALSE))</f>
        <v>0</v>
      </c>
      <c r="B48" s="4">
        <f>(VLOOKUP('15.01'!J48,'15.01'!$AM$4:$AO$55,3,FALSE))</f>
        <v>0</v>
      </c>
      <c r="C48" s="4">
        <f>(VLOOKUP('15.01'!K48,'15.01'!$AM$4:$AO$55,3,FALSE))</f>
        <v>0</v>
      </c>
      <c r="D48" s="4">
        <f>(VLOOKUP('15.01'!L48,'15.01'!$AM$4:$AO$55,3,FALSE))</f>
        <v>0</v>
      </c>
      <c r="E48" s="4">
        <f>(VLOOKUP('15.01'!M48,'15.01'!$AM$4:$AO$55,3,FALSE))</f>
        <v>0</v>
      </c>
      <c r="F48" s="4">
        <f>(VLOOKUP('15.01'!N48,'15.01'!$AM$4:$AO$55,3,FALSE))</f>
        <v>0</v>
      </c>
      <c r="G48" s="5">
        <f>(VLOOKUP('15.01'!O48,'15.01'!$AM$4:$AO$55,3,FALSE))</f>
        <v>0</v>
      </c>
      <c r="H48" s="5">
        <f>(VLOOKUP('15.01'!P48,'15.01'!$AM$4:$AO$55,3,FALSE))</f>
        <v>0</v>
      </c>
      <c r="I48" s="4">
        <f>(VLOOKUP('15.01'!Q48,'15.01'!$AM$4:$AO$55,3,FALSE))</f>
        <v>60</v>
      </c>
      <c r="J48" s="4">
        <f>(VLOOKUP('15.01'!R48,'15.01'!$AM$4:$AO$55,3,FALSE))</f>
        <v>50</v>
      </c>
      <c r="K48" s="4">
        <f>(VLOOKUP('15.01'!S48,'15.01'!$AM$4:$AO$55,3,FALSE))</f>
        <v>50</v>
      </c>
      <c r="L48" s="4">
        <f>(VLOOKUP('15.01'!T48,'15.01'!$AM$4:$AO$55,3,FALSE))</f>
        <v>50</v>
      </c>
      <c r="M48" s="4">
        <f>(VLOOKUP('15.01'!U48,'15.01'!$AM$4:$AO$55,3,FALSE))</f>
        <v>50</v>
      </c>
      <c r="N48" s="4">
        <f>(VLOOKUP('15.01'!V48,'15.01'!$AM$4:$AO$55,3,FALSE))</f>
        <v>50</v>
      </c>
      <c r="O48" s="5">
        <f>(VLOOKUP('15.01'!W48,'15.01'!$AM$4:$AO$55,3,FALSE))</f>
        <v>0</v>
      </c>
      <c r="P48" s="5">
        <f>(VLOOKUP('15.01'!X48,'15.01'!$AM$4:$AO$55,3,FALSE))</f>
        <v>0</v>
      </c>
      <c r="Q48" s="4">
        <f>(VLOOKUP('15.01'!Y48,'15.01'!$AM$4:$AO$55,3,FALSE))</f>
        <v>30</v>
      </c>
      <c r="R48" s="4">
        <f>(VLOOKUP('15.01'!Z48,'15.01'!$AM$4:$AO$55,3,FALSE))</f>
        <v>50</v>
      </c>
      <c r="S48" s="4">
        <f>(VLOOKUP('15.01'!AA48,'15.01'!$AM$4:$AO$55,3,FALSE))</f>
        <v>50</v>
      </c>
      <c r="T48" s="4">
        <f>(VLOOKUP('15.01'!AB48,'15.01'!$AM$4:$AO$55,3,FALSE))</f>
        <v>50</v>
      </c>
      <c r="U48" s="4">
        <f>(VLOOKUP('15.01'!AC48,'15.01'!$AM$4:$AO$55,3,FALSE))</f>
        <v>45</v>
      </c>
      <c r="V48" s="4">
        <f>(VLOOKUP('15.01'!AD48,'15.01'!$AM$4:$AO$55,3,FALSE))</f>
        <v>50</v>
      </c>
      <c r="W48" s="5">
        <f>(VLOOKUP('15.01'!AE48,'15.01'!$AM$4:$AO$55,3,FALSE))</f>
        <v>0</v>
      </c>
      <c r="X48" s="5">
        <f>(VLOOKUP('15.01'!AF48,'15.01'!$AM$4:$AO$55,3,FALSE))</f>
        <v>0</v>
      </c>
    </row>
    <row r="49" spans="1:24">
      <c r="A49" s="4">
        <f>(VLOOKUP('15.01'!I49,'15.01'!$AM$4:$AO$55,3,FALSE))</f>
        <v>0</v>
      </c>
      <c r="B49" s="4">
        <f>(VLOOKUP('15.01'!J49,'15.01'!$AM$4:$AO$55,3,FALSE))</f>
        <v>0</v>
      </c>
      <c r="C49" s="4">
        <f>(VLOOKUP('15.01'!K49,'15.01'!$AM$4:$AO$55,3,FALSE))</f>
        <v>0</v>
      </c>
      <c r="D49" s="4">
        <f>(VLOOKUP('15.01'!L49,'15.01'!$AM$4:$AO$55,3,FALSE))</f>
        <v>0</v>
      </c>
      <c r="E49" s="4">
        <f>(VLOOKUP('15.01'!M49,'15.01'!$AM$4:$AO$55,3,FALSE))</f>
        <v>0</v>
      </c>
      <c r="F49" s="4">
        <f>(VLOOKUP('15.01'!N49,'15.01'!$AM$4:$AO$55,3,FALSE))</f>
        <v>0</v>
      </c>
      <c r="G49" s="5">
        <f>(VLOOKUP('15.01'!O49,'15.01'!$AM$4:$AO$55,3,FALSE))</f>
        <v>0</v>
      </c>
      <c r="H49" s="5">
        <f>(VLOOKUP('15.01'!P49,'15.01'!$AM$4:$AO$55,3,FALSE))</f>
        <v>0</v>
      </c>
      <c r="I49" s="4">
        <f>(VLOOKUP('15.01'!Q49,'15.01'!$AM$4:$AO$55,3,FALSE))</f>
        <v>50</v>
      </c>
      <c r="J49" s="4">
        <f>(VLOOKUP('15.01'!R49,'15.01'!$AM$4:$AO$55,3,FALSE))</f>
        <v>50</v>
      </c>
      <c r="K49" s="4">
        <f>(VLOOKUP('15.01'!S49,'15.01'!$AM$4:$AO$55,3,FALSE))</f>
        <v>50</v>
      </c>
      <c r="L49" s="4">
        <f>(VLOOKUP('15.01'!T49,'15.01'!$AM$4:$AO$55,3,FALSE))</f>
        <v>50</v>
      </c>
      <c r="M49" s="4">
        <f>(VLOOKUP('15.01'!U49,'15.01'!$AM$4:$AO$55,3,FALSE))</f>
        <v>50</v>
      </c>
      <c r="N49" s="4">
        <f>(VLOOKUP('15.01'!V49,'15.01'!$AM$4:$AO$55,3,FALSE))</f>
        <v>50</v>
      </c>
      <c r="O49" s="5">
        <f>(VLOOKUP('15.01'!W49,'15.01'!$AM$4:$AO$55,3,FALSE))</f>
        <v>0</v>
      </c>
      <c r="P49" s="5">
        <f>(VLOOKUP('15.01'!X49,'15.01'!$AM$4:$AO$55,3,FALSE))</f>
        <v>0</v>
      </c>
      <c r="Q49" s="4">
        <f>(VLOOKUP('15.01'!Y49,'15.01'!$AM$4:$AO$55,3,FALSE))</f>
        <v>0</v>
      </c>
      <c r="R49" s="4">
        <f>(VLOOKUP('15.01'!Z49,'15.01'!$AM$4:$AO$55,3,FALSE))</f>
        <v>0</v>
      </c>
      <c r="S49" s="4">
        <f>(VLOOKUP('15.01'!AA49,'15.01'!$AM$4:$AO$55,3,FALSE))</f>
        <v>0</v>
      </c>
      <c r="T49" s="4">
        <f>(VLOOKUP('15.01'!AB49,'15.01'!$AM$4:$AO$55,3,FALSE))</f>
        <v>0</v>
      </c>
      <c r="U49" s="4">
        <f>(VLOOKUP('15.01'!AC49,'15.01'!$AM$4:$AO$55,3,FALSE))</f>
        <v>0</v>
      </c>
      <c r="V49" s="4">
        <f>(VLOOKUP('15.01'!AD49,'15.01'!$AM$4:$AO$55,3,FALSE))</f>
        <v>0</v>
      </c>
      <c r="W49" s="5">
        <f>(VLOOKUP('15.01'!AE49,'15.01'!$AM$4:$AO$55,3,FALSE))</f>
        <v>0</v>
      </c>
      <c r="X49" s="5">
        <f>(VLOOKUP('15.01'!AF49,'15.01'!$AM$4:$AO$55,3,FALSE))</f>
        <v>0</v>
      </c>
    </row>
    <row r="50" spans="1:24">
      <c r="A50" s="4">
        <f>(VLOOKUP('15.01'!I50,'15.01'!$AM$4:$AO$55,3,FALSE))</f>
        <v>0</v>
      </c>
      <c r="B50" s="4">
        <f>(VLOOKUP('15.01'!J50,'15.01'!$AM$4:$AO$55,3,FALSE))</f>
        <v>0</v>
      </c>
      <c r="C50" s="4">
        <f>(VLOOKUP('15.01'!K50,'15.01'!$AM$4:$AO$55,3,FALSE))</f>
        <v>0</v>
      </c>
      <c r="D50" s="4">
        <f>(VLOOKUP('15.01'!L50,'15.01'!$AM$4:$AO$55,3,FALSE))</f>
        <v>0</v>
      </c>
      <c r="E50" s="4">
        <f>(VLOOKUP('15.01'!M50,'15.01'!$AM$4:$AO$55,3,FALSE))</f>
        <v>0</v>
      </c>
      <c r="F50" s="4">
        <f>(VLOOKUP('15.01'!N50,'15.01'!$AM$4:$AO$55,3,FALSE))</f>
        <v>0</v>
      </c>
      <c r="G50" s="5">
        <f>(VLOOKUP('15.01'!O50,'15.01'!$AM$4:$AO$55,3,FALSE))</f>
        <v>0</v>
      </c>
      <c r="H50" s="5">
        <f>(VLOOKUP('15.01'!P50,'15.01'!$AM$4:$AO$55,3,FALSE))</f>
        <v>0</v>
      </c>
      <c r="I50" s="4">
        <f>(VLOOKUP('15.01'!Q50,'15.01'!$AM$4:$AO$55,3,FALSE))</f>
        <v>50</v>
      </c>
      <c r="J50" s="4">
        <f>(VLOOKUP('15.01'!R50,'15.01'!$AM$4:$AO$55,3,FALSE))</f>
        <v>50</v>
      </c>
      <c r="K50" s="4">
        <f>(VLOOKUP('15.01'!S50,'15.01'!$AM$4:$AO$55,3,FALSE))</f>
        <v>50</v>
      </c>
      <c r="L50" s="4">
        <f>(VLOOKUP('15.01'!T50,'15.01'!$AM$4:$AO$55,3,FALSE))</f>
        <v>50</v>
      </c>
      <c r="M50" s="4">
        <f>(VLOOKUP('15.01'!U50,'15.01'!$AM$4:$AO$55,3,FALSE))</f>
        <v>50</v>
      </c>
      <c r="N50" s="4">
        <f>(VLOOKUP('15.01'!V50,'15.01'!$AM$4:$AO$55,3,FALSE))</f>
        <v>50</v>
      </c>
      <c r="O50" s="5">
        <f>(VLOOKUP('15.01'!W50,'15.01'!$AM$4:$AO$55,3,FALSE))</f>
        <v>0</v>
      </c>
      <c r="P50" s="5">
        <f>(VLOOKUP('15.01'!X50,'15.01'!$AM$4:$AO$55,3,FALSE))</f>
        <v>0</v>
      </c>
      <c r="Q50" s="4">
        <f>(VLOOKUP('15.01'!Y50,'15.01'!$AM$4:$AO$55,3,FALSE))</f>
        <v>0</v>
      </c>
      <c r="R50" s="4">
        <f>(VLOOKUP('15.01'!Z50,'15.01'!$AM$4:$AO$55,3,FALSE))</f>
        <v>0</v>
      </c>
      <c r="S50" s="4">
        <f>(VLOOKUP('15.01'!AA50,'15.01'!$AM$4:$AO$55,3,FALSE))</f>
        <v>0</v>
      </c>
      <c r="T50" s="4">
        <f>(VLOOKUP('15.01'!AB50,'15.01'!$AM$4:$AO$55,3,FALSE))</f>
        <v>0</v>
      </c>
      <c r="U50" s="4">
        <f>(VLOOKUP('15.01'!AC50,'15.01'!$AM$4:$AO$55,3,FALSE))</f>
        <v>0</v>
      </c>
      <c r="V50" s="4">
        <f>(VLOOKUP('15.01'!AD50,'15.01'!$AM$4:$AO$55,3,FALSE))</f>
        <v>0</v>
      </c>
      <c r="W50" s="5">
        <f>(VLOOKUP('15.01'!AE50,'15.01'!$AM$4:$AO$55,3,FALSE))</f>
        <v>0</v>
      </c>
      <c r="X50" s="5">
        <f>(VLOOKUP('15.01'!AF50,'15.01'!$AM$4:$AO$55,3,FALSE))</f>
        <v>0</v>
      </c>
    </row>
    <row r="51" spans="1:24">
      <c r="A51" s="4">
        <f>(VLOOKUP('15.01'!I51,'15.01'!$AM$4:$AO$55,3,FALSE))</f>
        <v>0</v>
      </c>
      <c r="B51" s="4">
        <f>(VLOOKUP('15.01'!J51,'15.01'!$AM$4:$AO$55,3,FALSE))</f>
        <v>0</v>
      </c>
      <c r="C51" s="4">
        <f>(VLOOKUP('15.01'!K51,'15.01'!$AM$4:$AO$55,3,FALSE))</f>
        <v>0</v>
      </c>
      <c r="D51" s="4">
        <f>(VLOOKUP('15.01'!L51,'15.01'!$AM$4:$AO$55,3,FALSE))</f>
        <v>0</v>
      </c>
      <c r="E51" s="4">
        <f>(VLOOKUP('15.01'!M51,'15.01'!$AM$4:$AO$55,3,FALSE))</f>
        <v>0</v>
      </c>
      <c r="F51" s="4">
        <f>(VLOOKUP('15.01'!N51,'15.01'!$AM$4:$AO$55,3,FALSE))</f>
        <v>0</v>
      </c>
      <c r="G51" s="5">
        <f>(VLOOKUP('15.01'!O51,'15.01'!$AM$4:$AO$55,3,FALSE))</f>
        <v>0</v>
      </c>
      <c r="H51" s="5">
        <f>(VLOOKUP('15.01'!P51,'15.01'!$AM$4:$AO$55,3,FALSE))</f>
        <v>0</v>
      </c>
      <c r="I51" s="4">
        <f>(VLOOKUP('15.01'!Q51,'15.01'!$AM$4:$AO$55,3,FALSE))</f>
        <v>50</v>
      </c>
      <c r="J51" s="4">
        <f>(VLOOKUP('15.01'!R51,'15.01'!$AM$4:$AO$55,3,FALSE))</f>
        <v>50</v>
      </c>
      <c r="K51" s="4">
        <f>(VLOOKUP('15.01'!S51,'15.01'!$AM$4:$AO$55,3,FALSE))</f>
        <v>50</v>
      </c>
      <c r="L51" s="4">
        <f>(VLOOKUP('15.01'!T51,'15.01'!$AM$4:$AO$55,3,FALSE))</f>
        <v>50</v>
      </c>
      <c r="M51" s="4">
        <f>(VLOOKUP('15.01'!U51,'15.01'!$AM$4:$AO$55,3,FALSE))</f>
        <v>50</v>
      </c>
      <c r="N51" s="4">
        <f>(VLOOKUP('15.01'!V51,'15.01'!$AM$4:$AO$55,3,FALSE))</f>
        <v>50</v>
      </c>
      <c r="O51" s="5">
        <f>(VLOOKUP('15.01'!W51,'15.01'!$AM$4:$AO$55,3,FALSE))</f>
        <v>0</v>
      </c>
      <c r="P51" s="5">
        <f>(VLOOKUP('15.01'!X51,'15.01'!$AM$4:$AO$55,3,FALSE))</f>
        <v>0</v>
      </c>
      <c r="Q51" s="4">
        <f>(VLOOKUP('15.01'!Y51,'15.01'!$AM$4:$AO$55,3,FALSE))</f>
        <v>45</v>
      </c>
      <c r="R51" s="4">
        <f>(VLOOKUP('15.01'!Z51,'15.01'!$AM$4:$AO$55,3,FALSE))</f>
        <v>45</v>
      </c>
      <c r="S51" s="4">
        <f>(VLOOKUP('15.01'!AA51,'15.01'!$AM$4:$AO$55,3,FALSE))</f>
        <v>45</v>
      </c>
      <c r="T51" s="4">
        <f>(VLOOKUP('15.01'!AB51,'15.01'!$AM$4:$AO$55,3,FALSE))</f>
        <v>45</v>
      </c>
      <c r="U51" s="4">
        <f>(VLOOKUP('15.01'!AC51,'15.01'!$AM$4:$AO$55,3,FALSE))</f>
        <v>45</v>
      </c>
      <c r="V51" s="4">
        <f>(VLOOKUP('15.01'!AD51,'15.01'!$AM$4:$AO$55,3,FALSE))</f>
        <v>45</v>
      </c>
      <c r="W51" s="5">
        <f>(VLOOKUP('15.01'!AE51,'15.01'!$AM$4:$AO$55,3,FALSE))</f>
        <v>0</v>
      </c>
      <c r="X51" s="5">
        <f>(VLOOKUP('15.01'!AF51,'15.01'!$AM$4:$AO$55,3,FALSE))</f>
        <v>0</v>
      </c>
    </row>
    <row r="52" spans="1:24">
      <c r="A52" s="4">
        <f>(VLOOKUP('15.01'!I52,'15.01'!$AM$4:$AO$55,3,FALSE))</f>
        <v>0</v>
      </c>
      <c r="B52" s="4">
        <f>(VLOOKUP('15.01'!J52,'15.01'!$AM$4:$AO$55,3,FALSE))</f>
        <v>0</v>
      </c>
      <c r="C52" s="4">
        <f>(VLOOKUP('15.01'!K52,'15.01'!$AM$4:$AO$55,3,FALSE))</f>
        <v>0</v>
      </c>
      <c r="D52" s="4">
        <f>(VLOOKUP('15.01'!L52,'15.01'!$AM$4:$AO$55,3,FALSE))</f>
        <v>0</v>
      </c>
      <c r="E52" s="4">
        <f>(VLOOKUP('15.01'!M52,'15.01'!$AM$4:$AO$55,3,FALSE))</f>
        <v>0</v>
      </c>
      <c r="F52" s="4">
        <f>(VLOOKUP('15.01'!N52,'15.01'!$AM$4:$AO$55,3,FALSE))</f>
        <v>0</v>
      </c>
      <c r="G52" s="5">
        <f>(VLOOKUP('15.01'!O52,'15.01'!$AM$4:$AO$55,3,FALSE))</f>
        <v>0</v>
      </c>
      <c r="H52" s="5">
        <f>(VLOOKUP('15.01'!P52,'15.01'!$AM$4:$AO$55,3,FALSE))</f>
        <v>0</v>
      </c>
      <c r="I52" s="4">
        <f>(VLOOKUP('15.01'!Q52,'15.01'!$AM$4:$AO$55,3,FALSE))</f>
        <v>50</v>
      </c>
      <c r="J52" s="4">
        <f>(VLOOKUP('15.01'!R52,'15.01'!$AM$4:$AO$55,3,FALSE))</f>
        <v>30</v>
      </c>
      <c r="K52" s="4">
        <f>(VLOOKUP('15.01'!S52,'15.01'!$AM$4:$AO$55,3,FALSE))</f>
        <v>50</v>
      </c>
      <c r="L52" s="4">
        <f>(VLOOKUP('15.01'!T52,'15.01'!$AM$4:$AO$55,3,FALSE))</f>
        <v>50</v>
      </c>
      <c r="M52" s="4">
        <f>(VLOOKUP('15.01'!U52,'15.01'!$AM$4:$AO$55,3,FALSE))</f>
        <v>50</v>
      </c>
      <c r="N52" s="4">
        <f>(VLOOKUP('15.01'!V52,'15.01'!$AM$4:$AO$55,3,FALSE))</f>
        <v>50</v>
      </c>
      <c r="O52" s="5">
        <f>(VLOOKUP('15.01'!W52,'15.01'!$AM$4:$AO$55,3,FALSE))</f>
        <v>0</v>
      </c>
      <c r="P52" s="5">
        <f>(VLOOKUP('15.01'!X52,'15.01'!$AM$4:$AO$55,3,FALSE))</f>
        <v>0</v>
      </c>
      <c r="Q52" s="4">
        <f>(VLOOKUP('15.01'!Y52,'15.01'!$AM$4:$AO$55,3,FALSE))</f>
        <v>45</v>
      </c>
      <c r="R52" s="4">
        <f>(VLOOKUP('15.01'!Z52,'15.01'!$AM$4:$AO$55,3,FALSE))</f>
        <v>45</v>
      </c>
      <c r="S52" s="4">
        <f>(VLOOKUP('15.01'!AA52,'15.01'!$AM$4:$AO$55,3,FALSE))</f>
        <v>45</v>
      </c>
      <c r="T52" s="4">
        <f>(VLOOKUP('15.01'!AB52,'15.01'!$AM$4:$AO$55,3,FALSE))</f>
        <v>45</v>
      </c>
      <c r="U52" s="4">
        <f>(VLOOKUP('15.01'!AC52,'15.01'!$AM$4:$AO$55,3,FALSE))</f>
        <v>45</v>
      </c>
      <c r="V52" s="4">
        <f>(VLOOKUP('15.01'!AD52,'15.01'!$AM$4:$AO$55,3,FALSE))</f>
        <v>45</v>
      </c>
      <c r="W52" s="5">
        <f>(VLOOKUP('15.01'!AE52,'15.01'!$AM$4:$AO$55,3,FALSE))</f>
        <v>0</v>
      </c>
      <c r="X52" s="5">
        <f>(VLOOKUP('15.01'!AF52,'15.01'!$AM$4:$AO$55,3,FALSE))</f>
        <v>0</v>
      </c>
    </row>
    <row r="53" spans="1:24">
      <c r="A53" s="4">
        <f>(VLOOKUP('15.01'!I53,'15.01'!$AM$4:$AO$55,3,FALSE))</f>
        <v>0</v>
      </c>
      <c r="B53" s="4">
        <f>(VLOOKUP('15.01'!J53,'15.01'!$AM$4:$AO$55,3,FALSE))</f>
        <v>0</v>
      </c>
      <c r="C53" s="4">
        <f>(VLOOKUP('15.01'!K53,'15.01'!$AM$4:$AO$55,3,FALSE))</f>
        <v>0</v>
      </c>
      <c r="D53" s="4">
        <f>(VLOOKUP('15.01'!L53,'15.01'!$AM$4:$AO$55,3,FALSE))</f>
        <v>0</v>
      </c>
      <c r="E53" s="4">
        <f>(VLOOKUP('15.01'!M53,'15.01'!$AM$4:$AO$55,3,FALSE))</f>
        <v>0</v>
      </c>
      <c r="F53" s="4">
        <f>(VLOOKUP('15.01'!N53,'15.01'!$AM$4:$AO$55,3,FALSE))</f>
        <v>0</v>
      </c>
      <c r="G53" s="5">
        <f>(VLOOKUP('15.01'!O53,'15.01'!$AM$4:$AO$55,3,FALSE))</f>
        <v>0</v>
      </c>
      <c r="H53" s="5">
        <f>(VLOOKUP('15.01'!P53,'15.01'!$AM$4:$AO$55,3,FALSE))</f>
        <v>0</v>
      </c>
      <c r="I53" s="4">
        <f>(VLOOKUP('15.01'!Q53,'15.01'!$AM$4:$AO$55,3,FALSE))</f>
        <v>50</v>
      </c>
      <c r="J53" s="4">
        <f>(VLOOKUP('15.01'!R53,'15.01'!$AM$4:$AO$55,3,FALSE))</f>
        <v>50</v>
      </c>
      <c r="K53" s="4">
        <f>(VLOOKUP('15.01'!S53,'15.01'!$AM$4:$AO$55,3,FALSE))</f>
        <v>50</v>
      </c>
      <c r="L53" s="4">
        <f>(VLOOKUP('15.01'!T53,'15.01'!$AM$4:$AO$55,3,FALSE))</f>
        <v>50</v>
      </c>
      <c r="M53" s="4">
        <f>(VLOOKUP('15.01'!U53,'15.01'!$AM$4:$AO$55,3,FALSE))</f>
        <v>50</v>
      </c>
      <c r="N53" s="4">
        <f>(VLOOKUP('15.01'!V53,'15.01'!$AM$4:$AO$55,3,FALSE))</f>
        <v>50</v>
      </c>
      <c r="O53" s="5">
        <f>(VLOOKUP('15.01'!W53,'15.01'!$AM$4:$AO$55,3,FALSE))</f>
        <v>0</v>
      </c>
      <c r="P53" s="5">
        <f>(VLOOKUP('15.01'!X53,'15.01'!$AM$4:$AO$55,3,FALSE))</f>
        <v>0</v>
      </c>
      <c r="Q53" s="4">
        <f>(VLOOKUP('15.01'!Y53,'15.01'!$AM$4:$AO$55,3,FALSE))</f>
        <v>45</v>
      </c>
      <c r="R53" s="4">
        <f>(VLOOKUP('15.01'!Z53,'15.01'!$AM$4:$AO$55,3,FALSE))</f>
        <v>30</v>
      </c>
      <c r="S53" s="4">
        <f>(VLOOKUP('15.01'!AA53,'15.01'!$AM$4:$AO$55,3,FALSE))</f>
        <v>60</v>
      </c>
      <c r="T53" s="4">
        <f>(VLOOKUP('15.01'!AB53,'15.01'!$AM$4:$AO$55,3,FALSE))</f>
        <v>60</v>
      </c>
      <c r="U53" s="4">
        <f>(VLOOKUP('15.01'!AC53,'15.01'!$AM$4:$AO$55,3,FALSE))</f>
        <v>60</v>
      </c>
      <c r="V53" s="4">
        <f>(VLOOKUP('15.01'!AD53,'15.01'!$AM$4:$AO$55,3,FALSE))</f>
        <v>60</v>
      </c>
      <c r="W53" s="5">
        <f>(VLOOKUP('15.01'!AE53,'15.01'!$AM$4:$AO$55,3,FALSE))</f>
        <v>0</v>
      </c>
      <c r="X53" s="5">
        <f>(VLOOKUP('15.01'!AF53,'15.01'!$AM$4:$AO$55,3,FALSE))</f>
        <v>0</v>
      </c>
    </row>
    <row r="54" spans="1:24">
      <c r="A54" s="4">
        <f>(VLOOKUP('15.01'!I54,'15.01'!$AM$4:$AO$55,3,FALSE))</f>
        <v>0</v>
      </c>
      <c r="B54" s="4">
        <f>(VLOOKUP('15.01'!J54,'15.01'!$AM$4:$AO$55,3,FALSE))</f>
        <v>0</v>
      </c>
      <c r="C54" s="4">
        <f>(VLOOKUP('15.01'!K54,'15.01'!$AM$4:$AO$55,3,FALSE))</f>
        <v>0</v>
      </c>
      <c r="D54" s="4">
        <f>(VLOOKUP('15.01'!L54,'15.01'!$AM$4:$AO$55,3,FALSE))</f>
        <v>0</v>
      </c>
      <c r="E54" s="4">
        <f>(VLOOKUP('15.01'!M54,'15.01'!$AM$4:$AO$55,3,FALSE))</f>
        <v>0</v>
      </c>
      <c r="F54" s="4">
        <f>(VLOOKUP('15.01'!N54,'15.01'!$AM$4:$AO$55,3,FALSE))</f>
        <v>0</v>
      </c>
      <c r="G54" s="5">
        <f>(VLOOKUP('15.01'!O54,'15.01'!$AM$4:$AO$55,3,FALSE))</f>
        <v>0</v>
      </c>
      <c r="H54" s="5">
        <f>(VLOOKUP('15.01'!P54,'15.01'!$AM$4:$AO$55,3,FALSE))</f>
        <v>0</v>
      </c>
      <c r="I54" s="4">
        <f>(VLOOKUP('15.01'!Q54,'15.01'!$AM$4:$AO$55,3,FALSE))</f>
        <v>50</v>
      </c>
      <c r="J54" s="4">
        <f>(VLOOKUP('15.01'!R54,'15.01'!$AM$4:$AO$55,3,FALSE))</f>
        <v>50</v>
      </c>
      <c r="K54" s="4">
        <f>(VLOOKUP('15.01'!S54,'15.01'!$AM$4:$AO$55,3,FALSE))</f>
        <v>50</v>
      </c>
      <c r="L54" s="4">
        <f>(VLOOKUP('15.01'!T54,'15.01'!$AM$4:$AO$55,3,FALSE))</f>
        <v>50</v>
      </c>
      <c r="M54" s="4">
        <f>(VLOOKUP('15.01'!U54,'15.01'!$AM$4:$AO$55,3,FALSE))</f>
        <v>50</v>
      </c>
      <c r="N54" s="4">
        <f>(VLOOKUP('15.01'!V54,'15.01'!$AM$4:$AO$55,3,FALSE))</f>
        <v>50</v>
      </c>
      <c r="O54" s="5">
        <f>(VLOOKUP('15.01'!W54,'15.01'!$AM$4:$AO$55,3,FALSE))</f>
        <v>0</v>
      </c>
      <c r="P54" s="5">
        <f>(VLOOKUP('15.01'!X54,'15.01'!$AM$4:$AO$55,3,FALSE))</f>
        <v>0</v>
      </c>
      <c r="Q54" s="4">
        <f>(VLOOKUP('15.01'!Y54,'15.01'!$AM$4:$AO$55,3,FALSE))</f>
        <v>60</v>
      </c>
      <c r="R54" s="4">
        <f>(VLOOKUP('15.01'!Z54,'15.01'!$AM$4:$AO$55,3,FALSE))</f>
        <v>60</v>
      </c>
      <c r="S54" s="4">
        <f>(VLOOKUP('15.01'!AA54,'15.01'!$AM$4:$AO$55,3,FALSE))</f>
        <v>60</v>
      </c>
      <c r="T54" s="4">
        <f>(VLOOKUP('15.01'!AB54,'15.01'!$AM$4:$AO$55,3,FALSE))</f>
        <v>60</v>
      </c>
      <c r="U54" s="4">
        <f>(VLOOKUP('15.01'!AC54,'15.01'!$AM$4:$AO$55,3,FALSE))</f>
        <v>60</v>
      </c>
      <c r="V54" s="4">
        <f>(VLOOKUP('15.01'!AD54,'15.01'!$AM$4:$AO$55,3,FALSE))</f>
        <v>60</v>
      </c>
      <c r="W54" s="5">
        <f>(VLOOKUP('15.01'!AE54,'15.01'!$AM$4:$AO$55,3,FALSE))</f>
        <v>0</v>
      </c>
      <c r="X54" s="5">
        <f>(VLOOKUP('15.01'!AF54,'15.01'!$AM$4:$AO$55,3,FALSE))</f>
        <v>0</v>
      </c>
    </row>
    <row r="55" spans="1:24">
      <c r="A55" s="4">
        <f>(VLOOKUP('15.01'!I55,'15.01'!$AM$4:$AO$55,3,FALSE))</f>
        <v>0</v>
      </c>
      <c r="B55" s="4">
        <f>(VLOOKUP('15.01'!J55,'15.01'!$AM$4:$AO$55,3,FALSE))</f>
        <v>0</v>
      </c>
      <c r="C55" s="4">
        <f>(VLOOKUP('15.01'!K55,'15.01'!$AM$4:$AO$55,3,FALSE))</f>
        <v>0</v>
      </c>
      <c r="D55" s="4">
        <f>(VLOOKUP('15.01'!L55,'15.01'!$AM$4:$AO$55,3,FALSE))</f>
        <v>0</v>
      </c>
      <c r="E55" s="4">
        <f>(VLOOKUP('15.01'!M55,'15.01'!$AM$4:$AO$55,3,FALSE))</f>
        <v>0</v>
      </c>
      <c r="F55" s="4">
        <f>(VLOOKUP('15.01'!N55,'15.01'!$AM$4:$AO$55,3,FALSE))</f>
        <v>0</v>
      </c>
      <c r="G55" s="5">
        <f>(VLOOKUP('15.01'!O55,'15.01'!$AM$4:$AO$55,3,FALSE))</f>
        <v>0</v>
      </c>
      <c r="H55" s="5">
        <f>(VLOOKUP('15.01'!P55,'15.01'!$AM$4:$AO$55,3,FALSE))</f>
        <v>0</v>
      </c>
      <c r="I55" s="4">
        <f>(VLOOKUP('15.01'!Q55,'15.01'!$AM$4:$AO$55,3,FALSE))</f>
        <v>50</v>
      </c>
      <c r="J55" s="4">
        <f>(VLOOKUP('15.01'!R55,'15.01'!$AM$4:$AO$55,3,FALSE))</f>
        <v>50</v>
      </c>
      <c r="K55" s="4">
        <f>(VLOOKUP('15.01'!S55,'15.01'!$AM$4:$AO$55,3,FALSE))</f>
        <v>50</v>
      </c>
      <c r="L55" s="4">
        <f>(VLOOKUP('15.01'!T55,'15.01'!$AM$4:$AO$55,3,FALSE))</f>
        <v>50</v>
      </c>
      <c r="M55" s="4">
        <f>(VLOOKUP('15.01'!U55,'15.01'!$AM$4:$AO$55,3,FALSE))</f>
        <v>50</v>
      </c>
      <c r="N55" s="4">
        <f>(VLOOKUP('15.01'!V55,'15.01'!$AM$4:$AO$55,3,FALSE))</f>
        <v>50</v>
      </c>
      <c r="O55" s="5">
        <f>(VLOOKUP('15.01'!W55,'15.01'!$AM$4:$AO$55,3,FALSE))</f>
        <v>0</v>
      </c>
      <c r="P55" s="5">
        <f>(VLOOKUP('15.01'!X55,'15.01'!$AM$4:$AO$55,3,FALSE))</f>
        <v>0</v>
      </c>
      <c r="Q55" s="4">
        <f>(VLOOKUP('15.01'!Y55,'15.01'!$AM$4:$AO$55,3,FALSE))</f>
        <v>60</v>
      </c>
      <c r="R55" s="4">
        <f>(VLOOKUP('15.01'!Z55,'15.01'!$AM$4:$AO$55,3,FALSE))</f>
        <v>60</v>
      </c>
      <c r="S55" s="4">
        <f>(VLOOKUP('15.01'!AA55,'15.01'!$AM$4:$AO$55,3,FALSE))</f>
        <v>60</v>
      </c>
      <c r="T55" s="4">
        <f>(VLOOKUP('15.01'!AB55,'15.01'!$AM$4:$AO$55,3,FALSE))</f>
        <v>60</v>
      </c>
      <c r="U55" s="4">
        <f>(VLOOKUP('15.01'!AC55,'15.01'!$AM$4:$AO$55,3,FALSE))</f>
        <v>60</v>
      </c>
      <c r="V55" s="4">
        <f>(VLOOKUP('15.01'!AD55,'15.01'!$AM$4:$AO$55,3,FALSE))</f>
        <v>60</v>
      </c>
      <c r="W55" s="5">
        <f>(VLOOKUP('15.01'!AE55,'15.01'!$AM$4:$AO$55,3,FALSE))</f>
        <v>0</v>
      </c>
      <c r="X55" s="5">
        <f>(VLOOKUP('15.01'!AF55,'15.01'!$AM$4:$AO$55,3,FALSE))</f>
        <v>0</v>
      </c>
    </row>
    <row r="56" spans="1:24">
      <c r="A56" s="4">
        <f>(VLOOKUP('15.01'!I56,'15.01'!$AM$4:$AO$55,3,FALSE))</f>
        <v>0</v>
      </c>
      <c r="B56" s="4">
        <f>(VLOOKUP('15.01'!J56,'15.01'!$AM$4:$AO$55,3,FALSE))</f>
        <v>0</v>
      </c>
      <c r="C56" s="4">
        <f>(VLOOKUP('15.01'!K56,'15.01'!$AM$4:$AO$55,3,FALSE))</f>
        <v>0</v>
      </c>
      <c r="D56" s="4">
        <f>(VLOOKUP('15.01'!L56,'15.01'!$AM$4:$AO$55,3,FALSE))</f>
        <v>0</v>
      </c>
      <c r="E56" s="4">
        <f>(VLOOKUP('15.01'!M56,'15.01'!$AM$4:$AO$55,3,FALSE))</f>
        <v>0</v>
      </c>
      <c r="F56" s="4">
        <f>(VLOOKUP('15.01'!N56,'15.01'!$AM$4:$AO$55,3,FALSE))</f>
        <v>0</v>
      </c>
      <c r="G56" s="5">
        <f>(VLOOKUP('15.01'!O56,'15.01'!$AM$4:$AO$55,3,FALSE))</f>
        <v>0</v>
      </c>
      <c r="H56" s="5">
        <f>(VLOOKUP('15.01'!P56,'15.01'!$AM$4:$AO$55,3,FALSE))</f>
        <v>0</v>
      </c>
      <c r="I56" s="4">
        <f>(VLOOKUP('15.01'!Q56,'15.01'!$AM$4:$AO$55,3,FALSE))</f>
        <v>50</v>
      </c>
      <c r="J56" s="4">
        <f>(VLOOKUP('15.01'!R56,'15.01'!$AM$4:$AO$55,3,FALSE))</f>
        <v>50</v>
      </c>
      <c r="K56" s="4">
        <f>(VLOOKUP('15.01'!S56,'15.01'!$AM$4:$AO$55,3,FALSE))</f>
        <v>50</v>
      </c>
      <c r="L56" s="4">
        <f>(VLOOKUP('15.01'!T56,'15.01'!$AM$4:$AO$55,3,FALSE))</f>
        <v>30</v>
      </c>
      <c r="M56" s="4">
        <f>(VLOOKUP('15.01'!U56,'15.01'!$AM$4:$AO$55,3,FALSE))</f>
        <v>50</v>
      </c>
      <c r="N56" s="4">
        <f>(VLOOKUP('15.01'!V56,'15.01'!$AM$4:$AO$55,3,FALSE))</f>
        <v>50</v>
      </c>
      <c r="O56" s="5">
        <f>(VLOOKUP('15.01'!W56,'15.01'!$AM$4:$AO$55,3,FALSE))</f>
        <v>0</v>
      </c>
      <c r="P56" s="5">
        <f>(VLOOKUP('15.01'!X56,'15.01'!$AM$4:$AO$55,3,FALSE))</f>
        <v>0</v>
      </c>
      <c r="Q56" s="4">
        <f>(VLOOKUP('15.01'!Y56,'15.01'!$AM$4:$AO$55,3,FALSE))</f>
        <v>0</v>
      </c>
      <c r="R56" s="4">
        <f>(VLOOKUP('15.01'!Z56,'15.01'!$AM$4:$AO$55,3,FALSE))</f>
        <v>60</v>
      </c>
      <c r="S56" s="4">
        <f>(VLOOKUP('15.01'!AA56,'15.01'!$AM$4:$AO$55,3,FALSE))</f>
        <v>60</v>
      </c>
      <c r="T56" s="4">
        <f>(VLOOKUP('15.01'!AB56,'15.01'!$AM$4:$AO$55,3,FALSE))</f>
        <v>60</v>
      </c>
      <c r="U56" s="4">
        <f>(VLOOKUP('15.01'!AC56,'15.01'!$AM$4:$AO$55,3,FALSE))</f>
        <v>60</v>
      </c>
      <c r="V56" s="4">
        <f>(VLOOKUP('15.01'!AD56,'15.01'!$AM$4:$AO$55,3,FALSE))</f>
        <v>60</v>
      </c>
      <c r="W56" s="5">
        <f>(VLOOKUP('15.01'!AE56,'15.01'!$AM$4:$AO$55,3,FALSE))</f>
        <v>0</v>
      </c>
      <c r="X56" s="5">
        <f>(VLOOKUP('15.01'!AF56,'15.01'!$AM$4:$AO$55,3,FALSE))</f>
        <v>0</v>
      </c>
    </row>
    <row r="57" spans="1:24">
      <c r="A57" s="4">
        <f>(VLOOKUP('15.01'!I57,'15.01'!$AM$4:$AO$55,3,FALSE))</f>
        <v>0</v>
      </c>
      <c r="B57" s="4">
        <f>(VLOOKUP('15.01'!J57,'15.01'!$AM$4:$AO$55,3,FALSE))</f>
        <v>0</v>
      </c>
      <c r="C57" s="4">
        <f>(VLOOKUP('15.01'!K57,'15.01'!$AM$4:$AO$55,3,FALSE))</f>
        <v>0</v>
      </c>
      <c r="D57" s="4">
        <f>(VLOOKUP('15.01'!L57,'15.01'!$AM$4:$AO$55,3,FALSE))</f>
        <v>0</v>
      </c>
      <c r="E57" s="4">
        <f>(VLOOKUP('15.01'!M57,'15.01'!$AM$4:$AO$55,3,FALSE))</f>
        <v>0</v>
      </c>
      <c r="F57" s="4">
        <f>(VLOOKUP('15.01'!N57,'15.01'!$AM$4:$AO$55,3,FALSE))</f>
        <v>0</v>
      </c>
      <c r="G57" s="5">
        <f>(VLOOKUP('15.01'!O57,'15.01'!$AM$4:$AO$55,3,FALSE))</f>
        <v>0</v>
      </c>
      <c r="H57" s="5">
        <f>(VLOOKUP('15.01'!P57,'15.01'!$AM$4:$AO$55,3,FALSE))</f>
        <v>0</v>
      </c>
      <c r="I57" s="4">
        <f>(VLOOKUP('15.01'!Q57,'15.01'!$AM$4:$AO$55,3,FALSE))</f>
        <v>50</v>
      </c>
      <c r="J57" s="4">
        <f>(VLOOKUP('15.01'!R57,'15.01'!$AM$4:$AO$55,3,FALSE))</f>
        <v>50</v>
      </c>
      <c r="K57" s="4">
        <f>(VLOOKUP('15.01'!S57,'15.01'!$AM$4:$AO$55,3,FALSE))</f>
        <v>50</v>
      </c>
      <c r="L57" s="4">
        <f>(VLOOKUP('15.01'!T57,'15.01'!$AM$4:$AO$55,3,FALSE))</f>
        <v>50</v>
      </c>
      <c r="M57" s="4">
        <f>(VLOOKUP('15.01'!U57,'15.01'!$AM$4:$AO$55,3,FALSE))</f>
        <v>50</v>
      </c>
      <c r="N57" s="4">
        <f>(VLOOKUP('15.01'!V57,'15.01'!$AM$4:$AO$55,3,FALSE))</f>
        <v>50</v>
      </c>
      <c r="O57" s="5">
        <f>(VLOOKUP('15.01'!W57,'15.01'!$AM$4:$AO$55,3,FALSE))</f>
        <v>0</v>
      </c>
      <c r="P57" s="5">
        <f>(VLOOKUP('15.01'!X57,'15.01'!$AM$4:$AO$55,3,FALSE))</f>
        <v>0</v>
      </c>
      <c r="Q57" s="4">
        <f>(VLOOKUP('15.01'!Y57,'15.01'!$AM$4:$AO$55,3,FALSE))</f>
        <v>60</v>
      </c>
      <c r="R57" s="4">
        <f>(VLOOKUP('15.01'!Z57,'15.01'!$AM$4:$AO$55,3,FALSE))</f>
        <v>60</v>
      </c>
      <c r="S57" s="4">
        <f>(VLOOKUP('15.01'!AA57,'15.01'!$AM$4:$AO$55,3,FALSE))</f>
        <v>60</v>
      </c>
      <c r="T57" s="4">
        <f>(VLOOKUP('15.01'!AB57,'15.01'!$AM$4:$AO$55,3,FALSE))</f>
        <v>60</v>
      </c>
      <c r="U57" s="4">
        <f>(VLOOKUP('15.01'!AC57,'15.01'!$AM$4:$AO$55,3,FALSE))</f>
        <v>60</v>
      </c>
      <c r="V57" s="4">
        <f>(VLOOKUP('15.01'!AD57,'15.01'!$AM$4:$AO$55,3,FALSE))</f>
        <v>60</v>
      </c>
      <c r="W57" s="5">
        <f>(VLOOKUP('15.01'!AE57,'15.01'!$AM$4:$AO$55,3,FALSE))</f>
        <v>0</v>
      </c>
      <c r="X57" s="5">
        <f>(VLOOKUP('15.01'!AF57,'15.01'!$AM$4:$AO$55,3,FALSE))</f>
        <v>0</v>
      </c>
    </row>
    <row r="58" spans="1:24">
      <c r="A58" s="4">
        <f>(VLOOKUP('15.01'!I58,'15.01'!$AM$4:$AO$55,3,FALSE))</f>
        <v>0</v>
      </c>
      <c r="B58" s="4">
        <f>(VLOOKUP('15.01'!J58,'15.01'!$AM$4:$AO$55,3,FALSE))</f>
        <v>0</v>
      </c>
      <c r="C58" s="4">
        <f>(VLOOKUP('15.01'!K58,'15.01'!$AM$4:$AO$55,3,FALSE))</f>
        <v>0</v>
      </c>
      <c r="D58" s="4">
        <f>(VLOOKUP('15.01'!L58,'15.01'!$AM$4:$AO$55,3,FALSE))</f>
        <v>0</v>
      </c>
      <c r="E58" s="4">
        <f>(VLOOKUP('15.01'!M58,'15.01'!$AM$4:$AO$55,3,FALSE))</f>
        <v>0</v>
      </c>
      <c r="F58" s="4">
        <f>(VLOOKUP('15.01'!N58,'15.01'!$AM$4:$AO$55,3,FALSE))</f>
        <v>0</v>
      </c>
      <c r="G58" s="5">
        <f>(VLOOKUP('15.01'!O58,'15.01'!$AM$4:$AO$55,3,FALSE))</f>
        <v>0</v>
      </c>
      <c r="H58" s="5">
        <f>(VLOOKUP('15.01'!P58,'15.01'!$AM$4:$AO$55,3,FALSE))</f>
        <v>0</v>
      </c>
      <c r="I58" s="4">
        <f>(VLOOKUP('15.01'!Q58,'15.01'!$AM$4:$AO$55,3,FALSE))</f>
        <v>50</v>
      </c>
      <c r="J58" s="4">
        <f>(VLOOKUP('15.01'!R58,'15.01'!$AM$4:$AO$55,3,FALSE))</f>
        <v>50</v>
      </c>
      <c r="K58" s="4">
        <f>(VLOOKUP('15.01'!S58,'15.01'!$AM$4:$AO$55,3,FALSE))</f>
        <v>50</v>
      </c>
      <c r="L58" s="4">
        <f>(VLOOKUP('15.01'!T58,'15.01'!$AM$4:$AO$55,3,FALSE))</f>
        <v>50</v>
      </c>
      <c r="M58" s="4">
        <f>(VLOOKUP('15.01'!U58,'15.01'!$AM$4:$AO$55,3,FALSE))</f>
        <v>50</v>
      </c>
      <c r="N58" s="4">
        <f>(VLOOKUP('15.01'!V58,'15.01'!$AM$4:$AO$55,3,FALSE))</f>
        <v>50</v>
      </c>
      <c r="O58" s="5">
        <f>(VLOOKUP('15.01'!W58,'15.01'!$AM$4:$AO$55,3,FALSE))</f>
        <v>0</v>
      </c>
      <c r="P58" s="5">
        <f>(VLOOKUP('15.01'!X58,'15.01'!$AM$4:$AO$55,3,FALSE))</f>
        <v>0</v>
      </c>
      <c r="Q58" s="4">
        <f>(VLOOKUP('15.01'!Y58,'15.01'!$AM$4:$AO$55,3,FALSE))</f>
        <v>60</v>
      </c>
      <c r="R58" s="4">
        <f>(VLOOKUP('15.01'!Z58,'15.01'!$AM$4:$AO$55,3,FALSE))</f>
        <v>60</v>
      </c>
      <c r="S58" s="4">
        <f>(VLOOKUP('15.01'!AA58,'15.01'!$AM$4:$AO$55,3,FALSE))</f>
        <v>60</v>
      </c>
      <c r="T58" s="4">
        <f>(VLOOKUP('15.01'!AB58,'15.01'!$AM$4:$AO$55,3,FALSE))</f>
        <v>60</v>
      </c>
      <c r="U58" s="4">
        <f>(VLOOKUP('15.01'!AC58,'15.01'!$AM$4:$AO$55,3,FALSE))</f>
        <v>60</v>
      </c>
      <c r="V58" s="4">
        <f>(VLOOKUP('15.01'!AD58,'15.01'!$AM$4:$AO$55,3,FALSE))</f>
        <v>60</v>
      </c>
      <c r="W58" s="5">
        <f>(VLOOKUP('15.01'!AE58,'15.01'!$AM$4:$AO$55,3,FALSE))</f>
        <v>0</v>
      </c>
      <c r="X58" s="5">
        <f>(VLOOKUP('15.01'!AF58,'15.01'!$AM$4:$AO$55,3,FALSE))</f>
        <v>0</v>
      </c>
    </row>
    <row r="59" spans="1:24">
      <c r="A59" s="4">
        <f>(VLOOKUP('15.01'!I59,'15.01'!$AM$4:$AO$55,3,FALSE))</f>
        <v>0</v>
      </c>
      <c r="B59" s="4">
        <f>(VLOOKUP('15.01'!J59,'15.01'!$AM$4:$AO$55,3,FALSE))</f>
        <v>0</v>
      </c>
      <c r="C59" s="4">
        <f>(VLOOKUP('15.01'!K59,'15.01'!$AM$4:$AO$55,3,FALSE))</f>
        <v>0</v>
      </c>
      <c r="D59" s="4">
        <f>(VLOOKUP('15.01'!L59,'15.01'!$AM$4:$AO$55,3,FALSE))</f>
        <v>0</v>
      </c>
      <c r="E59" s="4">
        <f>(VLOOKUP('15.01'!M59,'15.01'!$AM$4:$AO$55,3,FALSE))</f>
        <v>0</v>
      </c>
      <c r="F59" s="4">
        <f>(VLOOKUP('15.01'!N59,'15.01'!$AM$4:$AO$55,3,FALSE))</f>
        <v>0</v>
      </c>
      <c r="G59" s="5">
        <f>(VLOOKUP('15.01'!O59,'15.01'!$AM$4:$AO$55,3,FALSE))</f>
        <v>0</v>
      </c>
      <c r="H59" s="5">
        <f>(VLOOKUP('15.01'!P59,'15.01'!$AM$4:$AO$55,3,FALSE))</f>
        <v>0</v>
      </c>
      <c r="I59" s="4">
        <f>(VLOOKUP('15.01'!Q59,'15.01'!$AM$4:$AO$55,3,FALSE))</f>
        <v>50</v>
      </c>
      <c r="J59" s="4">
        <f>(VLOOKUP('15.01'!R59,'15.01'!$AM$4:$AO$55,3,FALSE))</f>
        <v>50</v>
      </c>
      <c r="K59" s="4">
        <f>(VLOOKUP('15.01'!S59,'15.01'!$AM$4:$AO$55,3,FALSE))</f>
        <v>50</v>
      </c>
      <c r="L59" s="4">
        <f>(VLOOKUP('15.01'!T59,'15.01'!$AM$4:$AO$55,3,FALSE))</f>
        <v>50</v>
      </c>
      <c r="M59" s="4">
        <f>(VLOOKUP('15.01'!U59,'15.01'!$AM$4:$AO$55,3,FALSE))</f>
        <v>50</v>
      </c>
      <c r="N59" s="4">
        <f>(VLOOKUP('15.01'!V59,'15.01'!$AM$4:$AO$55,3,FALSE))</f>
        <v>50</v>
      </c>
      <c r="O59" s="5">
        <f>(VLOOKUP('15.01'!W59,'15.01'!$AM$4:$AO$55,3,FALSE))</f>
        <v>0</v>
      </c>
      <c r="P59" s="5">
        <f>(VLOOKUP('15.01'!X59,'15.01'!$AM$4:$AO$55,3,FALSE))</f>
        <v>0</v>
      </c>
      <c r="Q59" s="4">
        <f>(VLOOKUP('15.01'!Y59,'15.01'!$AM$4:$AO$55,3,FALSE))</f>
        <v>60</v>
      </c>
      <c r="R59" s="4">
        <f>(VLOOKUP('15.01'!Z59,'15.01'!$AM$4:$AO$55,3,FALSE))</f>
        <v>60</v>
      </c>
      <c r="S59" s="4">
        <f>(VLOOKUP('15.01'!AA59,'15.01'!$AM$4:$AO$55,3,FALSE))</f>
        <v>60</v>
      </c>
      <c r="T59" s="4">
        <f>(VLOOKUP('15.01'!AB59,'15.01'!$AM$4:$AO$55,3,FALSE))</f>
        <v>60</v>
      </c>
      <c r="U59" s="4">
        <f>(VLOOKUP('15.01'!AC59,'15.01'!$AM$4:$AO$55,3,FALSE))</f>
        <v>60</v>
      </c>
      <c r="V59" s="4">
        <f>(VLOOKUP('15.01'!AD59,'15.01'!$AM$4:$AO$55,3,FALSE))</f>
        <v>60</v>
      </c>
      <c r="W59" s="5">
        <f>(VLOOKUP('15.01'!AE59,'15.01'!$AM$4:$AO$55,3,FALSE))</f>
        <v>0</v>
      </c>
      <c r="X59" s="5">
        <f>(VLOOKUP('15.01'!AF59,'15.01'!$AM$4:$AO$55,3,FALSE))</f>
        <v>0</v>
      </c>
    </row>
    <row r="60" spans="1:24">
      <c r="A60" s="4">
        <f>(VLOOKUP('15.01'!I60,'15.01'!$AM$4:$AO$55,3,FALSE))</f>
        <v>0</v>
      </c>
      <c r="B60" s="4">
        <f>(VLOOKUP('15.01'!J60,'15.01'!$AM$4:$AO$55,3,FALSE))</f>
        <v>0</v>
      </c>
      <c r="C60" s="4">
        <f>(VLOOKUP('15.01'!K60,'15.01'!$AM$4:$AO$55,3,FALSE))</f>
        <v>0</v>
      </c>
      <c r="D60" s="4">
        <f>(VLOOKUP('15.01'!L60,'15.01'!$AM$4:$AO$55,3,FALSE))</f>
        <v>0</v>
      </c>
      <c r="E60" s="4">
        <f>(VLOOKUP('15.01'!M60,'15.01'!$AM$4:$AO$55,3,FALSE))</f>
        <v>0</v>
      </c>
      <c r="F60" s="4">
        <f>(VLOOKUP('15.01'!N60,'15.01'!$AM$4:$AO$55,3,FALSE))</f>
        <v>0</v>
      </c>
      <c r="G60" s="5">
        <f>(VLOOKUP('15.01'!O60,'15.01'!$AM$4:$AO$55,3,FALSE))</f>
        <v>0</v>
      </c>
      <c r="H60" s="5">
        <f>(VLOOKUP('15.01'!P60,'15.01'!$AM$4:$AO$55,3,FALSE))</f>
        <v>0</v>
      </c>
      <c r="I60" s="4">
        <f>(VLOOKUP('15.01'!Q60,'15.01'!$AM$4:$AO$55,3,FALSE))</f>
        <v>50</v>
      </c>
      <c r="J60" s="4">
        <f>(VLOOKUP('15.01'!R60,'15.01'!$AM$4:$AO$55,3,FALSE))</f>
        <v>50</v>
      </c>
      <c r="K60" s="4">
        <f>(VLOOKUP('15.01'!S60,'15.01'!$AM$4:$AO$55,3,FALSE))</f>
        <v>50</v>
      </c>
      <c r="L60" s="4">
        <f>(VLOOKUP('15.01'!T60,'15.01'!$AM$4:$AO$55,3,FALSE))</f>
        <v>50</v>
      </c>
      <c r="M60" s="4">
        <f>(VLOOKUP('15.01'!U60,'15.01'!$AM$4:$AO$55,3,FALSE))</f>
        <v>50</v>
      </c>
      <c r="N60" s="4">
        <f>(VLOOKUP('15.01'!V60,'15.01'!$AM$4:$AO$55,3,FALSE))</f>
        <v>50</v>
      </c>
      <c r="O60" s="5">
        <f>(VLOOKUP('15.01'!W60,'15.01'!$AM$4:$AO$55,3,FALSE))</f>
        <v>0</v>
      </c>
      <c r="P60" s="5">
        <f>(VLOOKUP('15.01'!X60,'15.01'!$AM$4:$AO$55,3,FALSE))</f>
        <v>0</v>
      </c>
      <c r="Q60" s="4">
        <f>(VLOOKUP('15.01'!Y60,'15.01'!$AM$4:$AO$55,3,FALSE))</f>
        <v>60</v>
      </c>
      <c r="R60" s="4">
        <f>(VLOOKUP('15.01'!Z60,'15.01'!$AM$4:$AO$55,3,FALSE))</f>
        <v>60</v>
      </c>
      <c r="S60" s="4">
        <f>(VLOOKUP('15.01'!AA60,'15.01'!$AM$4:$AO$55,3,FALSE))</f>
        <v>60</v>
      </c>
      <c r="T60" s="4">
        <f>(VLOOKUP('15.01'!AB60,'15.01'!$AM$4:$AO$55,3,FALSE))</f>
        <v>35</v>
      </c>
      <c r="U60" s="4">
        <f>(VLOOKUP('15.01'!AC60,'15.01'!$AM$4:$AO$55,3,FALSE))</f>
        <v>45</v>
      </c>
      <c r="V60" s="4">
        <f>(VLOOKUP('15.01'!AD60,'15.01'!$AM$4:$AO$55,3,FALSE))</f>
        <v>45</v>
      </c>
      <c r="W60" s="5">
        <f>(VLOOKUP('15.01'!AE60,'15.01'!$AM$4:$AO$55,3,FALSE))</f>
        <v>0</v>
      </c>
      <c r="X60" s="5">
        <f>(VLOOKUP('15.01'!AF60,'15.01'!$AM$4:$AO$55,3,FALSE))</f>
        <v>0</v>
      </c>
    </row>
    <row r="61" spans="1:24">
      <c r="A61" s="4">
        <f>(VLOOKUP('15.01'!I61,'15.01'!$AM$4:$AO$55,3,FALSE))</f>
        <v>0</v>
      </c>
      <c r="B61" s="4">
        <f>(VLOOKUP('15.01'!J61,'15.01'!$AM$4:$AO$55,3,FALSE))</f>
        <v>0</v>
      </c>
      <c r="C61" s="4">
        <f>(VLOOKUP('15.01'!K61,'15.01'!$AM$4:$AO$55,3,FALSE))</f>
        <v>0</v>
      </c>
      <c r="D61" s="4">
        <f>(VLOOKUP('15.01'!L61,'15.01'!$AM$4:$AO$55,3,FALSE))</f>
        <v>0</v>
      </c>
      <c r="E61" s="4">
        <f>(VLOOKUP('15.01'!M61,'15.01'!$AM$4:$AO$55,3,FALSE))</f>
        <v>0</v>
      </c>
      <c r="F61" s="4">
        <f>(VLOOKUP('15.01'!N61,'15.01'!$AM$4:$AO$55,3,FALSE))</f>
        <v>0</v>
      </c>
      <c r="G61" s="5">
        <f>(VLOOKUP('15.01'!O61,'15.01'!$AM$4:$AO$55,3,FALSE))</f>
        <v>0</v>
      </c>
      <c r="H61" s="5">
        <f>(VLOOKUP('15.01'!P61,'15.01'!$AM$4:$AO$55,3,FALSE))</f>
        <v>0</v>
      </c>
      <c r="I61" s="4">
        <f>(VLOOKUP('15.01'!Q61,'15.01'!$AM$4:$AO$55,3,FALSE))</f>
        <v>50</v>
      </c>
      <c r="J61" s="4">
        <f>(VLOOKUP('15.01'!R61,'15.01'!$AM$4:$AO$55,3,FALSE))</f>
        <v>50</v>
      </c>
      <c r="K61" s="4">
        <f>(VLOOKUP('15.01'!S61,'15.01'!$AM$4:$AO$55,3,FALSE))</f>
        <v>50</v>
      </c>
      <c r="L61" s="4">
        <f>(VLOOKUP('15.01'!T61,'15.01'!$AM$4:$AO$55,3,FALSE))</f>
        <v>50</v>
      </c>
      <c r="M61" s="4">
        <f>(VLOOKUP('15.01'!U61,'15.01'!$AM$4:$AO$55,3,FALSE))</f>
        <v>50</v>
      </c>
      <c r="N61" s="4">
        <f>(VLOOKUP('15.01'!V61,'15.01'!$AM$4:$AO$55,3,FALSE))</f>
        <v>45</v>
      </c>
      <c r="O61" s="5">
        <f>(VLOOKUP('15.01'!W61,'15.01'!$AM$4:$AO$55,3,FALSE))</f>
        <v>0</v>
      </c>
      <c r="P61" s="5">
        <f>(VLOOKUP('15.01'!X61,'15.01'!$AM$4:$AO$55,3,FALSE))</f>
        <v>0</v>
      </c>
      <c r="Q61" s="4">
        <f>(VLOOKUP('15.01'!Y61,'15.01'!$AM$4:$AO$55,3,FALSE))</f>
        <v>45</v>
      </c>
      <c r="R61" s="4">
        <f>(VLOOKUP('15.01'!Z61,'15.01'!$AM$4:$AO$55,3,FALSE))</f>
        <v>45</v>
      </c>
      <c r="S61" s="4">
        <f>(VLOOKUP('15.01'!AA61,'15.01'!$AM$4:$AO$55,3,FALSE))</f>
        <v>60</v>
      </c>
      <c r="T61" s="4">
        <f>(VLOOKUP('15.01'!AB61,'15.01'!$AM$4:$AO$55,3,FALSE))</f>
        <v>60</v>
      </c>
      <c r="U61" s="4">
        <f>(VLOOKUP('15.01'!AC61,'15.01'!$AM$4:$AO$55,3,FALSE))</f>
        <v>60</v>
      </c>
      <c r="V61" s="4">
        <f>(VLOOKUP('15.01'!AD61,'15.01'!$AM$4:$AO$55,3,FALSE))</f>
        <v>60</v>
      </c>
      <c r="W61" s="5">
        <f>(VLOOKUP('15.01'!AE61,'15.01'!$AM$4:$AO$55,3,FALSE))</f>
        <v>0</v>
      </c>
      <c r="X61" s="5">
        <f>(VLOOKUP('15.01'!AF61,'15.01'!$AM$4:$AO$55,3,FALSE))</f>
        <v>0</v>
      </c>
    </row>
    <row r="62" spans="1:24">
      <c r="A62" s="4">
        <f>(VLOOKUP('15.01'!I62,'15.01'!$AM$4:$AO$55,3,FALSE))</f>
        <v>0</v>
      </c>
      <c r="B62" s="4">
        <f>(VLOOKUP('15.01'!J62,'15.01'!$AM$4:$AO$55,3,FALSE))</f>
        <v>0</v>
      </c>
      <c r="C62" s="4">
        <f>(VLOOKUP('15.01'!K62,'15.01'!$AM$4:$AO$55,3,FALSE))</f>
        <v>0</v>
      </c>
      <c r="D62" s="4">
        <f>(VLOOKUP('15.01'!L62,'15.01'!$AM$4:$AO$55,3,FALSE))</f>
        <v>0</v>
      </c>
      <c r="E62" s="4">
        <f>(VLOOKUP('15.01'!M62,'15.01'!$AM$4:$AO$55,3,FALSE))</f>
        <v>0</v>
      </c>
      <c r="F62" s="4">
        <f>(VLOOKUP('15.01'!N62,'15.01'!$AM$4:$AO$55,3,FALSE))</f>
        <v>0</v>
      </c>
      <c r="G62" s="5">
        <f>(VLOOKUP('15.01'!O62,'15.01'!$AM$4:$AO$55,3,FALSE))</f>
        <v>0</v>
      </c>
      <c r="H62" s="5">
        <f>(VLOOKUP('15.01'!P62,'15.01'!$AM$4:$AO$55,3,FALSE))</f>
        <v>0</v>
      </c>
      <c r="I62" s="4">
        <f>(VLOOKUP('15.01'!Q62,'15.01'!$AM$4:$AO$55,3,FALSE))</f>
        <v>45</v>
      </c>
      <c r="J62" s="4">
        <f>(VLOOKUP('15.01'!R62,'15.01'!$AM$4:$AO$55,3,FALSE))</f>
        <v>45</v>
      </c>
      <c r="K62" s="4">
        <f>(VLOOKUP('15.01'!S62,'15.01'!$AM$4:$AO$55,3,FALSE))</f>
        <v>45</v>
      </c>
      <c r="L62" s="4">
        <f>(VLOOKUP('15.01'!T62,'15.01'!$AM$4:$AO$55,3,FALSE))</f>
        <v>45</v>
      </c>
      <c r="M62" s="4">
        <f>(VLOOKUP('15.01'!U62,'15.01'!$AM$4:$AO$55,3,FALSE))</f>
        <v>45</v>
      </c>
      <c r="N62" s="4">
        <f>(VLOOKUP('15.01'!V62,'15.01'!$AM$4:$AO$55,3,FALSE))</f>
        <v>45</v>
      </c>
      <c r="O62" s="5">
        <f>(VLOOKUP('15.01'!W62,'15.01'!$AM$4:$AO$55,3,FALSE))</f>
        <v>0</v>
      </c>
      <c r="P62" s="5">
        <f>(VLOOKUP('15.01'!X62,'15.01'!$AM$4:$AO$55,3,FALSE))</f>
        <v>0</v>
      </c>
      <c r="Q62" s="4">
        <f>(VLOOKUP('15.01'!Y62,'15.01'!$AM$4:$AO$55,3,FALSE))</f>
        <v>60</v>
      </c>
      <c r="R62" s="4">
        <f>(VLOOKUP('15.01'!Z62,'15.01'!$AM$4:$AO$55,3,FALSE))</f>
        <v>60</v>
      </c>
      <c r="S62" s="4">
        <f>(VLOOKUP('15.01'!AA62,'15.01'!$AM$4:$AO$55,3,FALSE))</f>
        <v>60</v>
      </c>
      <c r="T62" s="4">
        <f>(VLOOKUP('15.01'!AB62,'15.01'!$AM$4:$AO$55,3,FALSE))</f>
        <v>60</v>
      </c>
      <c r="U62" s="4">
        <f>(VLOOKUP('15.01'!AC62,'15.01'!$AM$4:$AO$55,3,FALSE))</f>
        <v>60</v>
      </c>
      <c r="V62" s="4">
        <f>(VLOOKUP('15.01'!AD62,'15.01'!$AM$4:$AO$55,3,FALSE))</f>
        <v>60</v>
      </c>
      <c r="W62" s="5">
        <f>(VLOOKUP('15.01'!AE62,'15.01'!$AM$4:$AO$55,3,FALSE))</f>
        <v>0</v>
      </c>
      <c r="X62" s="5">
        <f>(VLOOKUP('15.01'!AF62,'15.01'!$AM$4:$AO$55,3,FALSE))</f>
        <v>0</v>
      </c>
    </row>
    <row r="63" spans="1:24">
      <c r="A63" s="4">
        <f>(VLOOKUP('15.01'!I63,'15.01'!$AM$4:$AO$55,3,FALSE))</f>
        <v>0</v>
      </c>
      <c r="B63" s="4">
        <f>(VLOOKUP('15.01'!J63,'15.01'!$AM$4:$AO$55,3,FALSE))</f>
        <v>0</v>
      </c>
      <c r="C63" s="4">
        <f>(VLOOKUP('15.01'!K63,'15.01'!$AM$4:$AO$55,3,FALSE))</f>
        <v>0</v>
      </c>
      <c r="D63" s="4">
        <f>(VLOOKUP('15.01'!L63,'15.01'!$AM$4:$AO$55,3,FALSE))</f>
        <v>0</v>
      </c>
      <c r="E63" s="4">
        <f>(VLOOKUP('15.01'!M63,'15.01'!$AM$4:$AO$55,3,FALSE))</f>
        <v>0</v>
      </c>
      <c r="F63" s="4">
        <f>(VLOOKUP('15.01'!N63,'15.01'!$AM$4:$AO$55,3,FALSE))</f>
        <v>0</v>
      </c>
      <c r="G63" s="5">
        <f>(VLOOKUP('15.01'!O63,'15.01'!$AM$4:$AO$55,3,FALSE))</f>
        <v>0</v>
      </c>
      <c r="H63" s="5">
        <f>(VLOOKUP('15.01'!P63,'15.01'!$AM$4:$AO$55,3,FALSE))</f>
        <v>0</v>
      </c>
      <c r="I63" s="4">
        <f>(VLOOKUP('15.01'!Q63,'15.01'!$AM$4:$AO$55,3,FALSE))</f>
        <v>45</v>
      </c>
      <c r="J63" s="4">
        <f>(VLOOKUP('15.01'!R63,'15.01'!$AM$4:$AO$55,3,FALSE))</f>
        <v>45</v>
      </c>
      <c r="K63" s="4">
        <f>(VLOOKUP('15.01'!S63,'15.01'!$AM$4:$AO$55,3,FALSE))</f>
        <v>45</v>
      </c>
      <c r="L63" s="4">
        <f>(VLOOKUP('15.01'!T63,'15.01'!$AM$4:$AO$55,3,FALSE))</f>
        <v>45</v>
      </c>
      <c r="M63" s="4">
        <f>(VLOOKUP('15.01'!U63,'15.01'!$AM$4:$AO$55,3,FALSE))</f>
        <v>45</v>
      </c>
      <c r="N63" s="4">
        <f>(VLOOKUP('15.01'!V63,'15.01'!$AM$4:$AO$55,3,FALSE))</f>
        <v>45</v>
      </c>
      <c r="O63" s="5">
        <f>(VLOOKUP('15.01'!W63,'15.01'!$AM$4:$AO$55,3,FALSE))</f>
        <v>500</v>
      </c>
      <c r="P63" s="5">
        <f>(VLOOKUP('15.01'!X63,'15.01'!$AM$4:$AO$55,3,FALSE))</f>
        <v>0</v>
      </c>
      <c r="Q63" s="4">
        <f>(VLOOKUP('15.01'!Y63,'15.01'!$AM$4:$AO$55,3,FALSE))</f>
        <v>60</v>
      </c>
      <c r="R63" s="4">
        <f>(VLOOKUP('15.01'!Z63,'15.01'!$AM$4:$AO$55,3,FALSE))</f>
        <v>60</v>
      </c>
      <c r="S63" s="4">
        <f>(VLOOKUP('15.01'!AA63,'15.01'!$AM$4:$AO$55,3,FALSE))</f>
        <v>60</v>
      </c>
      <c r="T63" s="4">
        <f>(VLOOKUP('15.01'!AB63,'15.01'!$AM$4:$AO$55,3,FALSE))</f>
        <v>60</v>
      </c>
      <c r="U63" s="4">
        <f>(VLOOKUP('15.01'!AC63,'15.01'!$AM$4:$AO$55,3,FALSE))</f>
        <v>60</v>
      </c>
      <c r="V63" s="4">
        <f>(VLOOKUP('15.01'!AD63,'15.01'!$AM$4:$AO$55,3,FALSE))</f>
        <v>60</v>
      </c>
      <c r="W63" s="5">
        <f>(VLOOKUP('15.01'!AE63,'15.01'!$AM$4:$AO$55,3,FALSE))</f>
        <v>0</v>
      </c>
      <c r="X63" s="5">
        <f>(VLOOKUP('15.01'!AF63,'15.01'!$AM$4:$AO$55,3,FALSE))</f>
        <v>0</v>
      </c>
    </row>
    <row r="64" spans="1:24">
      <c r="A64" s="4">
        <f>(VLOOKUP('15.01'!I64,'15.01'!$AM$4:$AO$55,3,FALSE))</f>
        <v>0</v>
      </c>
      <c r="B64" s="4">
        <f>(VLOOKUP('15.01'!J64,'15.01'!$AM$4:$AO$55,3,FALSE))</f>
        <v>0</v>
      </c>
      <c r="C64" s="4">
        <f>(VLOOKUP('15.01'!K64,'15.01'!$AM$4:$AO$55,3,FALSE))</f>
        <v>0</v>
      </c>
      <c r="D64" s="4">
        <f>(VLOOKUP('15.01'!L64,'15.01'!$AM$4:$AO$55,3,FALSE))</f>
        <v>0</v>
      </c>
      <c r="E64" s="4">
        <f>(VLOOKUP('15.01'!M64,'15.01'!$AM$4:$AO$55,3,FALSE))</f>
        <v>0</v>
      </c>
      <c r="F64" s="4">
        <f>(VLOOKUP('15.01'!N64,'15.01'!$AM$4:$AO$55,3,FALSE))</f>
        <v>0</v>
      </c>
      <c r="G64" s="5">
        <f>(VLOOKUP('15.01'!O64,'15.01'!$AM$4:$AO$55,3,FALSE))</f>
        <v>0</v>
      </c>
      <c r="H64" s="5">
        <f>(VLOOKUP('15.01'!P64,'15.01'!$AM$4:$AO$55,3,FALSE))</f>
        <v>0</v>
      </c>
      <c r="I64" s="4">
        <f>(VLOOKUP('15.01'!Q64,'15.01'!$AM$4:$AO$55,3,FALSE))</f>
        <v>55</v>
      </c>
      <c r="J64" s="4">
        <f>(VLOOKUP('15.01'!R64,'15.01'!$AM$4:$AO$55,3,FALSE))</f>
        <v>55</v>
      </c>
      <c r="K64" s="4">
        <f>(VLOOKUP('15.01'!S64,'15.01'!$AM$4:$AO$55,3,FALSE))</f>
        <v>55</v>
      </c>
      <c r="L64" s="4">
        <f>(VLOOKUP('15.01'!T64,'15.01'!$AM$4:$AO$55,3,FALSE))</f>
        <v>55</v>
      </c>
      <c r="M64" s="4">
        <f>(VLOOKUP('15.01'!U64,'15.01'!$AM$4:$AO$55,3,FALSE))</f>
        <v>55</v>
      </c>
      <c r="N64" s="4">
        <f>(VLOOKUP('15.01'!V64,'15.01'!$AM$4:$AO$55,3,FALSE))</f>
        <v>55</v>
      </c>
      <c r="O64" s="5">
        <f>(VLOOKUP('15.01'!W64,'15.01'!$AM$4:$AO$55,3,FALSE))</f>
        <v>0</v>
      </c>
      <c r="P64" s="5">
        <f>(VLOOKUP('15.01'!X64,'15.01'!$AM$4:$AO$55,3,FALSE))</f>
        <v>0</v>
      </c>
      <c r="Q64" s="4">
        <f>(VLOOKUP('15.01'!Y64,'15.01'!$AM$4:$AO$55,3,FALSE))</f>
        <v>60</v>
      </c>
      <c r="R64" s="4">
        <f>(VLOOKUP('15.01'!Z64,'15.01'!$AM$4:$AO$55,3,FALSE))</f>
        <v>60</v>
      </c>
      <c r="S64" s="4">
        <f>(VLOOKUP('15.01'!AA64,'15.01'!$AM$4:$AO$55,3,FALSE))</f>
        <v>60</v>
      </c>
      <c r="T64" s="4">
        <f>(VLOOKUP('15.01'!AB64,'15.01'!$AM$4:$AO$55,3,FALSE))</f>
        <v>60</v>
      </c>
      <c r="U64" s="4">
        <f>(VLOOKUP('15.01'!AC64,'15.01'!$AM$4:$AO$55,3,FALSE))</f>
        <v>60</v>
      </c>
      <c r="V64" s="4">
        <f>(VLOOKUP('15.01'!AD64,'15.01'!$AM$4:$AO$55,3,FALSE))</f>
        <v>60</v>
      </c>
      <c r="W64" s="5">
        <f>(VLOOKUP('15.01'!AE64,'15.01'!$AM$4:$AO$55,3,FALSE))</f>
        <v>0</v>
      </c>
      <c r="X64" s="5">
        <f>(VLOOKUP('15.01'!AF64,'15.01'!$AM$4:$AO$55,3,FALSE))</f>
        <v>0</v>
      </c>
    </row>
    <row r="65" spans="1:24">
      <c r="A65" s="4">
        <f>(VLOOKUP('15.01'!I65,'15.01'!$AM$4:$AO$55,3,FALSE))</f>
        <v>0</v>
      </c>
      <c r="B65" s="4">
        <f>(VLOOKUP('15.01'!J65,'15.01'!$AM$4:$AO$55,3,FALSE))</f>
        <v>0</v>
      </c>
      <c r="C65" s="4">
        <f>(VLOOKUP('15.01'!K65,'15.01'!$AM$4:$AO$55,3,FALSE))</f>
        <v>0</v>
      </c>
      <c r="D65" s="4">
        <f>(VLOOKUP('15.01'!L65,'15.01'!$AM$4:$AO$55,3,FALSE))</f>
        <v>0</v>
      </c>
      <c r="E65" s="4">
        <f>(VLOOKUP('15.01'!M65,'15.01'!$AM$4:$AO$55,3,FALSE))</f>
        <v>0</v>
      </c>
      <c r="F65" s="4">
        <f>(VLOOKUP('15.01'!N65,'15.01'!$AM$4:$AO$55,3,FALSE))</f>
        <v>0</v>
      </c>
      <c r="G65" s="5">
        <f>(VLOOKUP('15.01'!O65,'15.01'!$AM$4:$AO$55,3,FALSE))</f>
        <v>0</v>
      </c>
      <c r="H65" s="5">
        <f>(VLOOKUP('15.01'!P65,'15.01'!$AM$4:$AO$55,3,FALSE))</f>
        <v>0</v>
      </c>
      <c r="I65" s="4">
        <f>(VLOOKUP('15.01'!Q65,'15.01'!$AM$4:$AO$55,3,FALSE))</f>
        <v>55</v>
      </c>
      <c r="J65" s="4">
        <f>(VLOOKUP('15.01'!R65,'15.01'!$AM$4:$AO$55,3,FALSE))</f>
        <v>55</v>
      </c>
      <c r="K65" s="4">
        <f>(VLOOKUP('15.01'!S65,'15.01'!$AM$4:$AO$55,3,FALSE))</f>
        <v>55</v>
      </c>
      <c r="L65" s="4">
        <f>(VLOOKUP('15.01'!T65,'15.01'!$AM$4:$AO$55,3,FALSE))</f>
        <v>55</v>
      </c>
      <c r="M65" s="4">
        <f>(VLOOKUP('15.01'!U65,'15.01'!$AM$4:$AO$55,3,FALSE))</f>
        <v>55</v>
      </c>
      <c r="N65" s="4">
        <f>(VLOOKUP('15.01'!V65,'15.01'!$AM$4:$AO$55,3,FALSE))</f>
        <v>55</v>
      </c>
      <c r="O65" s="5">
        <f>(VLOOKUP('15.01'!W65,'15.01'!$AM$4:$AO$55,3,FALSE))</f>
        <v>0</v>
      </c>
      <c r="P65" s="5">
        <f>(VLOOKUP('15.01'!X65,'15.01'!$AM$4:$AO$55,3,FALSE))</f>
        <v>0</v>
      </c>
      <c r="Q65" s="4">
        <f>(VLOOKUP('15.01'!Y65,'15.01'!$AM$4:$AO$55,3,FALSE))</f>
        <v>1000</v>
      </c>
      <c r="R65" s="4">
        <f>(VLOOKUP('15.01'!Z65,'15.01'!$AM$4:$AO$55,3,FALSE))</f>
        <v>60</v>
      </c>
      <c r="S65" s="4">
        <f>(VLOOKUP('15.01'!AA65,'15.01'!$AM$4:$AO$55,3,FALSE))</f>
        <v>60</v>
      </c>
      <c r="T65" s="4">
        <f>(VLOOKUP('15.01'!AB65,'15.01'!$AM$4:$AO$55,3,FALSE))</f>
        <v>60</v>
      </c>
      <c r="U65" s="4">
        <f>(VLOOKUP('15.01'!AC65,'15.01'!$AM$4:$AO$55,3,FALSE))</f>
        <v>60</v>
      </c>
      <c r="V65" s="4">
        <f>(VLOOKUP('15.01'!AD65,'15.01'!$AM$4:$AO$55,3,FALSE))</f>
        <v>60</v>
      </c>
      <c r="W65" s="5">
        <f>(VLOOKUP('15.01'!AE65,'15.01'!$AM$4:$AO$55,3,FALSE))</f>
        <v>0</v>
      </c>
      <c r="X65" s="5">
        <f>(VLOOKUP('15.01'!AF65,'15.01'!$AM$4:$AO$55,3,FALSE))</f>
        <v>0</v>
      </c>
    </row>
    <row r="66" spans="1:24">
      <c r="A66" s="4">
        <f>(VLOOKUP('15.01'!I66,'15.01'!$AM$4:$AO$55,3,FALSE))</f>
        <v>0</v>
      </c>
      <c r="B66" s="4">
        <f>(VLOOKUP('15.01'!J66,'15.01'!$AM$4:$AO$55,3,FALSE))</f>
        <v>0</v>
      </c>
      <c r="C66" s="4">
        <f>(VLOOKUP('15.01'!K66,'15.01'!$AM$4:$AO$55,3,FALSE))</f>
        <v>0</v>
      </c>
      <c r="D66" s="4">
        <f>(VLOOKUP('15.01'!L66,'15.01'!$AM$4:$AO$55,3,FALSE))</f>
        <v>0</v>
      </c>
      <c r="E66" s="4">
        <f>(VLOOKUP('15.01'!M66,'15.01'!$AM$4:$AO$55,3,FALSE))</f>
        <v>0</v>
      </c>
      <c r="F66" s="4">
        <f>(VLOOKUP('15.01'!N66,'15.01'!$AM$4:$AO$55,3,FALSE))</f>
        <v>0</v>
      </c>
      <c r="G66" s="5">
        <f>(VLOOKUP('15.01'!O66,'15.01'!$AM$4:$AO$55,3,FALSE))</f>
        <v>0</v>
      </c>
      <c r="H66" s="5">
        <f>(VLOOKUP('15.01'!P66,'15.01'!$AM$4:$AO$55,3,FALSE))</f>
        <v>0</v>
      </c>
      <c r="I66" s="4">
        <f>(VLOOKUP('15.01'!Q66,'15.01'!$AM$4:$AO$55,3,FALSE))</f>
        <v>55</v>
      </c>
      <c r="J66" s="4">
        <f>(VLOOKUP('15.01'!R66,'15.01'!$AM$4:$AO$55,3,FALSE))</f>
        <v>55</v>
      </c>
      <c r="K66" s="4">
        <f>(VLOOKUP('15.01'!S66,'15.01'!$AM$4:$AO$55,3,FALSE))</f>
        <v>55</v>
      </c>
      <c r="L66" s="4">
        <f>(VLOOKUP('15.01'!T66,'15.01'!$AM$4:$AO$55,3,FALSE))</f>
        <v>55</v>
      </c>
      <c r="M66" s="4">
        <f>(VLOOKUP('15.01'!U66,'15.01'!$AM$4:$AO$55,3,FALSE))</f>
        <v>0</v>
      </c>
      <c r="N66" s="4">
        <f>(VLOOKUP('15.01'!V66,'15.01'!$AM$4:$AO$55,3,FALSE))</f>
        <v>55</v>
      </c>
      <c r="O66" s="5">
        <f>(VLOOKUP('15.01'!W66,'15.01'!$AM$4:$AO$55,3,FALSE))</f>
        <v>55</v>
      </c>
      <c r="P66" s="5">
        <f>(VLOOKUP('15.01'!X66,'15.01'!$AM$4:$AO$55,3,FALSE))</f>
        <v>0</v>
      </c>
      <c r="Q66" s="4">
        <f>(VLOOKUP('15.01'!Y66,'15.01'!$AM$4:$AO$55,3,FALSE))</f>
        <v>60</v>
      </c>
      <c r="R66" s="4">
        <f>(VLOOKUP('15.01'!Z66,'15.01'!$AM$4:$AO$55,3,FALSE))</f>
        <v>60</v>
      </c>
      <c r="S66" s="4">
        <f>(VLOOKUP('15.01'!AA66,'15.01'!$AM$4:$AO$55,3,FALSE))</f>
        <v>60</v>
      </c>
      <c r="T66" s="4">
        <f>(VLOOKUP('15.01'!AB66,'15.01'!$AM$4:$AO$55,3,FALSE))</f>
        <v>60</v>
      </c>
      <c r="U66" s="4">
        <f>(VLOOKUP('15.01'!AC66,'15.01'!$AM$4:$AO$55,3,FALSE))</f>
        <v>60</v>
      </c>
      <c r="V66" s="4">
        <f>(VLOOKUP('15.01'!AD66,'15.01'!$AM$4:$AO$55,3,FALSE))</f>
        <v>60</v>
      </c>
      <c r="W66" s="5">
        <f>(VLOOKUP('15.01'!AE66,'15.01'!$AM$4:$AO$55,3,FALSE))</f>
        <v>0</v>
      </c>
      <c r="X66" s="5">
        <f>(VLOOKUP('15.01'!AF66,'15.01'!$AM$4:$AO$55,3,FALSE))</f>
        <v>0</v>
      </c>
    </row>
    <row r="67" spans="1:24">
      <c r="A67" s="4">
        <f>(VLOOKUP('15.01'!I67,'15.01'!$AM$4:$AO$55,3,FALSE))</f>
        <v>0</v>
      </c>
      <c r="B67" s="4">
        <f>(VLOOKUP('15.01'!J67,'15.01'!$AM$4:$AO$55,3,FALSE))</f>
        <v>0</v>
      </c>
      <c r="C67" s="4">
        <f>(VLOOKUP('15.01'!K67,'15.01'!$AM$4:$AO$55,3,FALSE))</f>
        <v>0</v>
      </c>
      <c r="D67" s="4">
        <f>(VLOOKUP('15.01'!L67,'15.01'!$AM$4:$AO$55,3,FALSE))</f>
        <v>0</v>
      </c>
      <c r="E67" s="4">
        <f>(VLOOKUP('15.01'!M67,'15.01'!$AM$4:$AO$55,3,FALSE))</f>
        <v>0</v>
      </c>
      <c r="F67" s="4">
        <f>(VLOOKUP('15.01'!N67,'15.01'!$AM$4:$AO$55,3,FALSE))</f>
        <v>0</v>
      </c>
      <c r="G67" s="5">
        <f>(VLOOKUP('15.01'!O67,'15.01'!$AM$4:$AO$55,3,FALSE))</f>
        <v>0</v>
      </c>
      <c r="H67" s="5">
        <f>(VLOOKUP('15.01'!P67,'15.01'!$AM$4:$AO$55,3,FALSE))</f>
        <v>0</v>
      </c>
      <c r="I67" s="4">
        <f>(VLOOKUP('15.01'!Q67,'15.01'!$AM$4:$AO$55,3,FALSE))</f>
        <v>55</v>
      </c>
      <c r="J67" s="4">
        <f>(VLOOKUP('15.01'!R67,'15.01'!$AM$4:$AO$55,3,FALSE))</f>
        <v>55</v>
      </c>
      <c r="K67" s="4">
        <f>(VLOOKUP('15.01'!S67,'15.01'!$AM$4:$AO$55,3,FALSE))</f>
        <v>55</v>
      </c>
      <c r="L67" s="4">
        <f>(VLOOKUP('15.01'!T67,'15.01'!$AM$4:$AO$55,3,FALSE))</f>
        <v>55</v>
      </c>
      <c r="M67" s="4">
        <f>(VLOOKUP('15.01'!U67,'15.01'!$AM$4:$AO$55,3,FALSE))</f>
        <v>55</v>
      </c>
      <c r="N67" s="4">
        <f>(VLOOKUP('15.01'!V67,'15.01'!$AM$4:$AO$55,3,FALSE))</f>
        <v>55</v>
      </c>
      <c r="O67" s="5">
        <f>(VLOOKUP('15.01'!W67,'15.01'!$AM$4:$AO$55,3,FALSE))</f>
        <v>0</v>
      </c>
      <c r="P67" s="5">
        <f>(VLOOKUP('15.01'!X67,'15.01'!$AM$4:$AO$55,3,FALSE))</f>
        <v>0</v>
      </c>
      <c r="Q67" s="4">
        <f>(VLOOKUP('15.01'!Y67,'15.01'!$AM$4:$AO$55,3,FALSE))</f>
        <v>60</v>
      </c>
      <c r="R67" s="4">
        <f>(VLOOKUP('15.01'!Z67,'15.01'!$AM$4:$AO$55,3,FALSE))</f>
        <v>60</v>
      </c>
      <c r="S67" s="4">
        <f>(VLOOKUP('15.01'!AA67,'15.01'!$AM$4:$AO$55,3,FALSE))</f>
        <v>60</v>
      </c>
      <c r="T67" s="4">
        <f>(VLOOKUP('15.01'!AB67,'15.01'!$AM$4:$AO$55,3,FALSE))</f>
        <v>60</v>
      </c>
      <c r="U67" s="4">
        <f>(VLOOKUP('15.01'!AC67,'15.01'!$AM$4:$AO$55,3,FALSE))</f>
        <v>50</v>
      </c>
      <c r="V67" s="4">
        <f>(VLOOKUP('15.01'!AD67,'15.01'!$AM$4:$AO$55,3,FALSE))</f>
        <v>50</v>
      </c>
      <c r="W67" s="5">
        <f>(VLOOKUP('15.01'!AE67,'15.01'!$AM$4:$AO$55,3,FALSE))</f>
        <v>0</v>
      </c>
      <c r="X67" s="5">
        <f>(VLOOKUP('15.01'!AF67,'15.01'!$AM$4:$AO$55,3,FALSE))</f>
        <v>0</v>
      </c>
    </row>
    <row r="68" spans="1:24">
      <c r="A68" s="4">
        <f>(VLOOKUP('15.01'!I68,'15.01'!$AM$4:$AO$55,3,FALSE))</f>
        <v>0</v>
      </c>
      <c r="B68" s="4">
        <f>(VLOOKUP('15.01'!J68,'15.01'!$AM$4:$AO$55,3,FALSE))</f>
        <v>0</v>
      </c>
      <c r="C68" s="4">
        <f>(VLOOKUP('15.01'!K68,'15.01'!$AM$4:$AO$55,3,FALSE))</f>
        <v>0</v>
      </c>
      <c r="D68" s="4">
        <f>(VLOOKUP('15.01'!L68,'15.01'!$AM$4:$AO$55,3,FALSE))</f>
        <v>0</v>
      </c>
      <c r="E68" s="4">
        <f>(VLOOKUP('15.01'!M68,'15.01'!$AM$4:$AO$55,3,FALSE))</f>
        <v>0</v>
      </c>
      <c r="F68" s="4">
        <f>(VLOOKUP('15.01'!N68,'15.01'!$AM$4:$AO$55,3,FALSE))</f>
        <v>0</v>
      </c>
      <c r="G68" s="5">
        <f>(VLOOKUP('15.01'!O68,'15.01'!$AM$4:$AO$55,3,FALSE))</f>
        <v>0</v>
      </c>
      <c r="H68" s="5">
        <f>(VLOOKUP('15.01'!P68,'15.01'!$AM$4:$AO$55,3,FALSE))</f>
        <v>0</v>
      </c>
      <c r="I68" s="4">
        <f>(VLOOKUP('15.01'!Q68,'15.01'!$AM$4:$AO$55,3,FALSE))</f>
        <v>55</v>
      </c>
      <c r="J68" s="4">
        <f>(VLOOKUP('15.01'!R68,'15.01'!$AM$4:$AO$55,3,FALSE))</f>
        <v>0</v>
      </c>
      <c r="K68" s="4">
        <f>(VLOOKUP('15.01'!S68,'15.01'!$AM$4:$AO$55,3,FALSE))</f>
        <v>55</v>
      </c>
      <c r="L68" s="4">
        <f>(VLOOKUP('15.01'!T68,'15.01'!$AM$4:$AO$55,3,FALSE))</f>
        <v>55</v>
      </c>
      <c r="M68" s="4">
        <f>(VLOOKUP('15.01'!U68,'15.01'!$AM$4:$AO$55,3,FALSE))</f>
        <v>55</v>
      </c>
      <c r="N68" s="4">
        <f>(VLOOKUP('15.01'!V68,'15.01'!$AM$4:$AO$55,3,FALSE))</f>
        <v>55</v>
      </c>
      <c r="O68" s="5">
        <f>(VLOOKUP('15.01'!W68,'15.01'!$AM$4:$AO$55,3,FALSE))</f>
        <v>0</v>
      </c>
      <c r="P68" s="5">
        <f>(VLOOKUP('15.01'!X68,'15.01'!$AM$4:$AO$55,3,FALSE))</f>
        <v>0</v>
      </c>
      <c r="Q68" s="4">
        <f>(VLOOKUP('15.01'!Y68,'15.01'!$AM$4:$AO$55,3,FALSE))</f>
        <v>50</v>
      </c>
      <c r="R68" s="4">
        <f>(VLOOKUP('15.01'!Z68,'15.01'!$AM$4:$AO$55,3,FALSE))</f>
        <v>50</v>
      </c>
      <c r="S68" s="4">
        <f>(VLOOKUP('15.01'!AA68,'15.01'!$AM$4:$AO$55,3,FALSE))</f>
        <v>50</v>
      </c>
      <c r="T68" s="4">
        <f>(VLOOKUP('15.01'!AB68,'15.01'!$AM$4:$AO$55,3,FALSE))</f>
        <v>50</v>
      </c>
      <c r="U68" s="4">
        <f>(VLOOKUP('15.01'!AC68,'15.01'!$AM$4:$AO$55,3,FALSE))</f>
        <v>50</v>
      </c>
      <c r="V68" s="4">
        <f>(VLOOKUP('15.01'!AD68,'15.01'!$AM$4:$AO$55,3,FALSE))</f>
        <v>50</v>
      </c>
      <c r="W68" s="5">
        <f>(VLOOKUP('15.01'!AE68,'15.01'!$AM$4:$AO$55,3,FALSE))</f>
        <v>0</v>
      </c>
      <c r="X68" s="5">
        <f>(VLOOKUP('15.01'!AF68,'15.01'!$AM$4:$AO$55,3,FALSE))</f>
        <v>0</v>
      </c>
    </row>
    <row r="69" spans="1:24">
      <c r="A69" s="4">
        <f>(VLOOKUP('15.01'!I69,'15.01'!$AM$4:$AO$55,3,FALSE))</f>
        <v>0</v>
      </c>
      <c r="B69" s="4">
        <f>(VLOOKUP('15.01'!J69,'15.01'!$AM$4:$AO$55,3,FALSE))</f>
        <v>0</v>
      </c>
      <c r="C69" s="4">
        <f>(VLOOKUP('15.01'!K69,'15.01'!$AM$4:$AO$55,3,FALSE))</f>
        <v>0</v>
      </c>
      <c r="D69" s="4">
        <f>(VLOOKUP('15.01'!L69,'15.01'!$AM$4:$AO$55,3,FALSE))</f>
        <v>0</v>
      </c>
      <c r="E69" s="4">
        <f>(VLOOKUP('15.01'!M69,'15.01'!$AM$4:$AO$55,3,FALSE))</f>
        <v>0</v>
      </c>
      <c r="F69" s="4">
        <f>(VLOOKUP('15.01'!N69,'15.01'!$AM$4:$AO$55,3,FALSE))</f>
        <v>0</v>
      </c>
      <c r="G69" s="5">
        <f>(VLOOKUP('15.01'!O69,'15.01'!$AM$4:$AO$55,3,FALSE))</f>
        <v>0</v>
      </c>
      <c r="H69" s="5">
        <f>(VLOOKUP('15.01'!P69,'15.01'!$AM$4:$AO$55,3,FALSE))</f>
        <v>0</v>
      </c>
      <c r="I69" s="4">
        <f>(VLOOKUP('15.01'!Q69,'15.01'!$AM$4:$AO$55,3,FALSE))</f>
        <v>55</v>
      </c>
      <c r="J69" s="4">
        <f>(VLOOKUP('15.01'!R69,'15.01'!$AM$4:$AO$55,3,FALSE))</f>
        <v>55</v>
      </c>
      <c r="K69" s="4">
        <f>(VLOOKUP('15.01'!S69,'15.01'!$AM$4:$AO$55,3,FALSE))</f>
        <v>55</v>
      </c>
      <c r="L69" s="4">
        <f>(VLOOKUP('15.01'!T69,'15.01'!$AM$4:$AO$55,3,FALSE))</f>
        <v>55</v>
      </c>
      <c r="M69" s="4">
        <f>(VLOOKUP('15.01'!U69,'15.01'!$AM$4:$AO$55,3,FALSE))</f>
        <v>55</v>
      </c>
      <c r="N69" s="4">
        <f>(VLOOKUP('15.01'!V69,'15.01'!$AM$4:$AO$55,3,FALSE))</f>
        <v>55</v>
      </c>
      <c r="O69" s="5">
        <f>(VLOOKUP('15.01'!W69,'15.01'!$AM$4:$AO$55,3,FALSE))</f>
        <v>0</v>
      </c>
      <c r="P69" s="5">
        <f>(VLOOKUP('15.01'!X69,'15.01'!$AM$4:$AO$55,3,FALSE))</f>
        <v>0</v>
      </c>
      <c r="Q69" s="4">
        <f>(VLOOKUP('15.01'!Y69,'15.01'!$AM$4:$AO$55,3,FALSE))</f>
        <v>50</v>
      </c>
      <c r="R69" s="4">
        <f>(VLOOKUP('15.01'!Z69,'15.01'!$AM$4:$AO$55,3,FALSE))</f>
        <v>45</v>
      </c>
      <c r="S69" s="4">
        <f>(VLOOKUP('15.01'!AA69,'15.01'!$AM$4:$AO$55,3,FALSE))</f>
        <v>45</v>
      </c>
      <c r="T69" s="4">
        <f>(VLOOKUP('15.01'!AB69,'15.01'!$AM$4:$AO$55,3,FALSE))</f>
        <v>45</v>
      </c>
      <c r="U69" s="4">
        <f>(VLOOKUP('15.01'!AC69,'15.01'!$AM$4:$AO$55,3,FALSE))</f>
        <v>45</v>
      </c>
      <c r="V69" s="4">
        <f>(VLOOKUP('15.01'!AD69,'15.01'!$AM$4:$AO$55,3,FALSE))</f>
        <v>45</v>
      </c>
      <c r="W69" s="5">
        <f>(VLOOKUP('15.01'!AE69,'15.01'!$AM$4:$AO$55,3,FALSE))</f>
        <v>0</v>
      </c>
      <c r="X69" s="5">
        <f>(VLOOKUP('15.01'!AF69,'15.01'!$AM$4:$AO$55,3,FALSE))</f>
        <v>0</v>
      </c>
    </row>
    <row r="70" spans="1:24">
      <c r="A70" s="4">
        <f>(VLOOKUP('15.01'!I70,'15.01'!$AM$4:$AO$55,3,FALSE))</f>
        <v>0</v>
      </c>
      <c r="B70" s="4">
        <f>(VLOOKUP('15.01'!J70,'15.01'!$AM$4:$AO$55,3,FALSE))</f>
        <v>0</v>
      </c>
      <c r="C70" s="4">
        <f>(VLOOKUP('15.01'!K70,'15.01'!$AM$4:$AO$55,3,FALSE))</f>
        <v>0</v>
      </c>
      <c r="D70" s="4">
        <f>(VLOOKUP('15.01'!L70,'15.01'!$AM$4:$AO$55,3,FALSE))</f>
        <v>0</v>
      </c>
      <c r="E70" s="4">
        <f>(VLOOKUP('15.01'!M70,'15.01'!$AM$4:$AO$55,3,FALSE))</f>
        <v>0</v>
      </c>
      <c r="F70" s="4">
        <f>(VLOOKUP('15.01'!N70,'15.01'!$AM$4:$AO$55,3,FALSE))</f>
        <v>0</v>
      </c>
      <c r="G70" s="5">
        <f>(VLOOKUP('15.01'!O70,'15.01'!$AM$4:$AO$55,3,FALSE))</f>
        <v>0</v>
      </c>
      <c r="H70" s="5">
        <f>(VLOOKUP('15.01'!P70,'15.01'!$AM$4:$AO$55,3,FALSE))</f>
        <v>0</v>
      </c>
      <c r="I70" s="4">
        <f>(VLOOKUP('15.01'!Q70,'15.01'!$AM$4:$AO$55,3,FALSE))</f>
        <v>55</v>
      </c>
      <c r="J70" s="4">
        <f>(VLOOKUP('15.01'!R70,'15.01'!$AM$4:$AO$55,3,FALSE))</f>
        <v>55</v>
      </c>
      <c r="K70" s="4">
        <f>(VLOOKUP('15.01'!S70,'15.01'!$AM$4:$AO$55,3,FALSE))</f>
        <v>55</v>
      </c>
      <c r="L70" s="4">
        <f>(VLOOKUP('15.01'!T70,'15.01'!$AM$4:$AO$55,3,FALSE))</f>
        <v>55</v>
      </c>
      <c r="M70" s="4">
        <f>(VLOOKUP('15.01'!U70,'15.01'!$AM$4:$AO$55,3,FALSE))</f>
        <v>55</v>
      </c>
      <c r="N70" s="4">
        <f>(VLOOKUP('15.01'!V70,'15.01'!$AM$4:$AO$55,3,FALSE))</f>
        <v>55</v>
      </c>
      <c r="O70" s="5">
        <f>(VLOOKUP('15.01'!W70,'15.01'!$AM$4:$AO$55,3,FALSE))</f>
        <v>0</v>
      </c>
      <c r="P70" s="5">
        <f>(VLOOKUP('15.01'!X70,'15.01'!$AM$4:$AO$55,3,FALSE))</f>
        <v>0</v>
      </c>
      <c r="Q70" s="4">
        <f>(VLOOKUP('15.01'!Y70,'15.01'!$AM$4:$AO$55,3,FALSE))</f>
        <v>45</v>
      </c>
      <c r="R70" s="4">
        <f>(VLOOKUP('15.01'!Z70,'15.01'!$AM$4:$AO$55,3,FALSE))</f>
        <v>45</v>
      </c>
      <c r="S70" s="4">
        <f>(VLOOKUP('15.01'!AA70,'15.01'!$AM$4:$AO$55,3,FALSE))</f>
        <v>0</v>
      </c>
      <c r="T70" s="4">
        <f>(VLOOKUP('15.01'!AB70,'15.01'!$AM$4:$AO$55,3,FALSE))</f>
        <v>0</v>
      </c>
      <c r="U70" s="4">
        <f>(VLOOKUP('15.01'!AC70,'15.01'!$AM$4:$AO$55,3,FALSE))</f>
        <v>0</v>
      </c>
      <c r="V70" s="4">
        <f>(VLOOKUP('15.01'!AD70,'15.01'!$AM$4:$AO$55,3,FALSE))</f>
        <v>0</v>
      </c>
      <c r="W70" s="5">
        <f>(VLOOKUP('15.01'!AE70,'15.01'!$AM$4:$AO$55,3,FALSE))</f>
        <v>0</v>
      </c>
      <c r="X70" s="5">
        <f>(VLOOKUP('15.01'!AF70,'15.01'!$AM$4:$AO$55,3,FALSE))</f>
        <v>0</v>
      </c>
    </row>
    <row r="71" spans="1:24">
      <c r="A71" s="4">
        <f>(VLOOKUP('15.01'!I71,'15.01'!$AM$4:$AO$55,3,FALSE))</f>
        <v>0</v>
      </c>
      <c r="B71" s="4">
        <f>(VLOOKUP('15.01'!J71,'15.01'!$AM$4:$AO$55,3,FALSE))</f>
        <v>0</v>
      </c>
      <c r="C71" s="4">
        <f>(VLOOKUP('15.01'!K71,'15.01'!$AM$4:$AO$55,3,FALSE))</f>
        <v>0</v>
      </c>
      <c r="D71" s="4">
        <f>(VLOOKUP('15.01'!L71,'15.01'!$AM$4:$AO$55,3,FALSE))</f>
        <v>0</v>
      </c>
      <c r="E71" s="4">
        <f>(VLOOKUP('15.01'!M71,'15.01'!$AM$4:$AO$55,3,FALSE))</f>
        <v>0</v>
      </c>
      <c r="F71" s="4">
        <f>(VLOOKUP('15.01'!N71,'15.01'!$AM$4:$AO$55,3,FALSE))</f>
        <v>0</v>
      </c>
      <c r="G71" s="5">
        <f>(VLOOKUP('15.01'!O71,'15.01'!$AM$4:$AO$55,3,FALSE))</f>
        <v>0</v>
      </c>
      <c r="H71" s="5">
        <f>(VLOOKUP('15.01'!P71,'15.01'!$AM$4:$AO$55,3,FALSE))</f>
        <v>0</v>
      </c>
      <c r="I71" s="4">
        <f>(VLOOKUP('15.01'!Q71,'15.01'!$AM$4:$AO$55,3,FALSE))</f>
        <v>55</v>
      </c>
      <c r="J71" s="4">
        <f>(VLOOKUP('15.01'!R71,'15.01'!$AM$4:$AO$55,3,FALSE))</f>
        <v>55</v>
      </c>
      <c r="K71" s="4">
        <f>(VLOOKUP('15.01'!S71,'15.01'!$AM$4:$AO$55,3,FALSE))</f>
        <v>55</v>
      </c>
      <c r="L71" s="4">
        <f>(VLOOKUP('15.01'!T71,'15.01'!$AM$4:$AO$55,3,FALSE))</f>
        <v>55</v>
      </c>
      <c r="M71" s="4">
        <f>(VLOOKUP('15.01'!U71,'15.01'!$AM$4:$AO$55,3,FALSE))</f>
        <v>55</v>
      </c>
      <c r="N71" s="4">
        <f>(VLOOKUP('15.01'!V71,'15.01'!$AM$4:$AO$55,3,FALSE))</f>
        <v>55</v>
      </c>
      <c r="O71" s="5">
        <f>(VLOOKUP('15.01'!W71,'15.01'!$AM$4:$AO$55,3,FALSE))</f>
        <v>0</v>
      </c>
      <c r="P71" s="5">
        <f>(VLOOKUP('15.01'!X71,'15.01'!$AM$4:$AO$55,3,FALSE))</f>
        <v>0</v>
      </c>
      <c r="Q71" s="4">
        <f>(VLOOKUP('15.01'!Y71,'15.01'!$AM$4:$AO$55,3,FALSE))</f>
        <v>60</v>
      </c>
      <c r="R71" s="4">
        <f>(VLOOKUP('15.01'!Z71,'15.01'!$AM$4:$AO$55,3,FALSE))</f>
        <v>60</v>
      </c>
      <c r="S71" s="4">
        <f>(VLOOKUP('15.01'!AA71,'15.01'!$AM$4:$AO$55,3,FALSE))</f>
        <v>60</v>
      </c>
      <c r="T71" s="4">
        <f>(VLOOKUP('15.01'!AB71,'15.01'!$AM$4:$AO$55,3,FALSE))</f>
        <v>60</v>
      </c>
      <c r="U71" s="4">
        <f>(VLOOKUP('15.01'!AC71,'15.01'!$AM$4:$AO$55,3,FALSE))</f>
        <v>60</v>
      </c>
      <c r="V71" s="4">
        <f>(VLOOKUP('15.01'!AD71,'15.01'!$AM$4:$AO$55,3,FALSE))</f>
        <v>60</v>
      </c>
      <c r="W71" s="5">
        <f>(VLOOKUP('15.01'!AE71,'15.01'!$AM$4:$AO$55,3,FALSE))</f>
        <v>0</v>
      </c>
      <c r="X71" s="5">
        <f>(VLOOKUP('15.01'!AF71,'15.01'!$AM$4:$AO$55,3,FALSE))</f>
        <v>0</v>
      </c>
    </row>
    <row r="72" spans="1:24">
      <c r="A72" s="4">
        <f>(VLOOKUP('15.01'!I72,'15.01'!$AM$4:$AO$55,3,FALSE))</f>
        <v>0</v>
      </c>
      <c r="B72" s="4">
        <f>(VLOOKUP('15.01'!J72,'15.01'!$AM$4:$AO$55,3,FALSE))</f>
        <v>0</v>
      </c>
      <c r="C72" s="4">
        <f>(VLOOKUP('15.01'!K72,'15.01'!$AM$4:$AO$55,3,FALSE))</f>
        <v>0</v>
      </c>
      <c r="D72" s="4">
        <f>(VLOOKUP('15.01'!L72,'15.01'!$AM$4:$AO$55,3,FALSE))</f>
        <v>0</v>
      </c>
      <c r="E72" s="4">
        <f>(VLOOKUP('15.01'!M72,'15.01'!$AM$4:$AO$55,3,FALSE))</f>
        <v>0</v>
      </c>
      <c r="F72" s="4">
        <f>(VLOOKUP('15.01'!N72,'15.01'!$AM$4:$AO$55,3,FALSE))</f>
        <v>0</v>
      </c>
      <c r="G72" s="5">
        <f>(VLOOKUP('15.01'!O72,'15.01'!$AM$4:$AO$55,3,FALSE))</f>
        <v>0</v>
      </c>
      <c r="H72" s="5">
        <f>(VLOOKUP('15.01'!P72,'15.01'!$AM$4:$AO$55,3,FALSE))</f>
        <v>0</v>
      </c>
      <c r="I72" s="4">
        <f>(VLOOKUP('15.01'!Q72,'15.01'!$AM$4:$AO$55,3,FALSE))</f>
        <v>55</v>
      </c>
      <c r="J72" s="4">
        <f>(VLOOKUP('15.01'!R72,'15.01'!$AM$4:$AO$55,3,FALSE))</f>
        <v>55</v>
      </c>
      <c r="K72" s="4">
        <f>(VLOOKUP('15.01'!S72,'15.01'!$AM$4:$AO$55,3,FALSE))</f>
        <v>55</v>
      </c>
      <c r="L72" s="4">
        <f>(VLOOKUP('15.01'!T72,'15.01'!$AM$4:$AO$55,3,FALSE))</f>
        <v>55</v>
      </c>
      <c r="M72" s="4">
        <f>(VLOOKUP('15.01'!U72,'15.01'!$AM$4:$AO$55,3,FALSE))</f>
        <v>55</v>
      </c>
      <c r="N72" s="4">
        <f>(VLOOKUP('15.01'!V72,'15.01'!$AM$4:$AO$55,3,FALSE))</f>
        <v>55</v>
      </c>
      <c r="O72" s="5">
        <f>(VLOOKUP('15.01'!W72,'15.01'!$AM$4:$AO$55,3,FALSE))</f>
        <v>0</v>
      </c>
      <c r="P72" s="5">
        <f>(VLOOKUP('15.01'!X72,'15.01'!$AM$4:$AO$55,3,FALSE))</f>
        <v>0</v>
      </c>
      <c r="Q72" s="4">
        <f>(VLOOKUP('15.01'!Y72,'15.01'!$AM$4:$AO$55,3,FALSE))</f>
        <v>60</v>
      </c>
      <c r="R72" s="4">
        <f>(VLOOKUP('15.01'!Z72,'15.01'!$AM$4:$AO$55,3,FALSE))</f>
        <v>60</v>
      </c>
      <c r="S72" s="4">
        <f>(VLOOKUP('15.01'!AA72,'15.01'!$AM$4:$AO$55,3,FALSE))</f>
        <v>60</v>
      </c>
      <c r="T72" s="4">
        <f>(VLOOKUP('15.01'!AB72,'15.01'!$AM$4:$AO$55,3,FALSE))</f>
        <v>60</v>
      </c>
      <c r="U72" s="4">
        <f>(VLOOKUP('15.01'!AC72,'15.01'!$AM$4:$AO$55,3,FALSE))</f>
        <v>60</v>
      </c>
      <c r="V72" s="4">
        <f>(VLOOKUP('15.01'!AD72,'15.01'!$AM$4:$AO$55,3,FALSE))</f>
        <v>60</v>
      </c>
      <c r="W72" s="5">
        <f>(VLOOKUP('15.01'!AE72,'15.01'!$AM$4:$AO$55,3,FALSE))</f>
        <v>0</v>
      </c>
      <c r="X72" s="5">
        <f>(VLOOKUP('15.01'!AF72,'15.01'!$AM$4:$AO$55,3,FALSE))</f>
        <v>0</v>
      </c>
    </row>
    <row r="73" spans="1:24">
      <c r="A73" s="4">
        <f>(VLOOKUP('15.01'!I73,'15.01'!$AM$4:$AO$55,3,FALSE))</f>
        <v>0</v>
      </c>
      <c r="B73" s="4">
        <f>(VLOOKUP('15.01'!J73,'15.01'!$AM$4:$AO$55,3,FALSE))</f>
        <v>0</v>
      </c>
      <c r="C73" s="4">
        <f>(VLOOKUP('15.01'!K73,'15.01'!$AM$4:$AO$55,3,FALSE))</f>
        <v>0</v>
      </c>
      <c r="D73" s="4">
        <f>(VLOOKUP('15.01'!L73,'15.01'!$AM$4:$AO$55,3,FALSE))</f>
        <v>0</v>
      </c>
      <c r="E73" s="4">
        <f>(VLOOKUP('15.01'!M73,'15.01'!$AM$4:$AO$55,3,FALSE))</f>
        <v>0</v>
      </c>
      <c r="F73" s="4">
        <f>(VLOOKUP('15.01'!N73,'15.01'!$AM$4:$AO$55,3,FALSE))</f>
        <v>0</v>
      </c>
      <c r="G73" s="5">
        <f>(VLOOKUP('15.01'!O73,'15.01'!$AM$4:$AO$55,3,FALSE))</f>
        <v>0</v>
      </c>
      <c r="H73" s="5">
        <f>(VLOOKUP('15.01'!P73,'15.01'!$AM$4:$AO$55,3,FALSE))</f>
        <v>0</v>
      </c>
      <c r="I73" s="4">
        <f>(VLOOKUP('15.01'!Q73,'15.01'!$AM$4:$AO$55,3,FALSE))</f>
        <v>55</v>
      </c>
      <c r="J73" s="4">
        <f>(VLOOKUP('15.01'!R73,'15.01'!$AM$4:$AO$55,3,FALSE))</f>
        <v>55</v>
      </c>
      <c r="K73" s="4">
        <f>(VLOOKUP('15.01'!S73,'15.01'!$AM$4:$AO$55,3,FALSE))</f>
        <v>55</v>
      </c>
      <c r="L73" s="4">
        <f>(VLOOKUP('15.01'!T73,'15.01'!$AM$4:$AO$55,3,FALSE))</f>
        <v>55</v>
      </c>
      <c r="M73" s="4">
        <f>(VLOOKUP('15.01'!U73,'15.01'!$AM$4:$AO$55,3,FALSE))</f>
        <v>55</v>
      </c>
      <c r="N73" s="4">
        <f>(VLOOKUP('15.01'!V73,'15.01'!$AM$4:$AO$55,3,FALSE))</f>
        <v>55</v>
      </c>
      <c r="O73" s="5">
        <f>(VLOOKUP('15.01'!W73,'15.01'!$AM$4:$AO$55,3,FALSE))</f>
        <v>0</v>
      </c>
      <c r="P73" s="5">
        <f>(VLOOKUP('15.01'!X73,'15.01'!$AM$4:$AO$55,3,FALSE))</f>
        <v>0</v>
      </c>
      <c r="Q73" s="4">
        <f>(VLOOKUP('15.01'!Y73,'15.01'!$AM$4:$AO$55,3,FALSE))</f>
        <v>60</v>
      </c>
      <c r="R73" s="4">
        <f>(VLOOKUP('15.01'!Z73,'15.01'!$AM$4:$AO$55,3,FALSE))</f>
        <v>60</v>
      </c>
      <c r="S73" s="4">
        <f>(VLOOKUP('15.01'!AA73,'15.01'!$AM$4:$AO$55,3,FALSE))</f>
        <v>60</v>
      </c>
      <c r="T73" s="4">
        <f>(VLOOKUP('15.01'!AB73,'15.01'!$AM$4:$AO$55,3,FALSE))</f>
        <v>60</v>
      </c>
      <c r="U73" s="4">
        <f>(VLOOKUP('15.01'!AC73,'15.01'!$AM$4:$AO$55,3,FALSE))</f>
        <v>60</v>
      </c>
      <c r="V73" s="4">
        <f>(VLOOKUP('15.01'!AD73,'15.01'!$AM$4:$AO$55,3,FALSE))</f>
        <v>60</v>
      </c>
      <c r="W73" s="5">
        <f>(VLOOKUP('15.01'!AE73,'15.01'!$AM$4:$AO$55,3,FALSE))</f>
        <v>0</v>
      </c>
      <c r="X73" s="5">
        <f>(VLOOKUP('15.01'!AF73,'15.01'!$AM$4:$AO$55,3,FALSE))</f>
        <v>0</v>
      </c>
    </row>
    <row r="74" spans="1:24">
      <c r="A74" s="4">
        <f>(VLOOKUP('15.01'!I74,'15.01'!$AM$4:$AO$55,3,FALSE))</f>
        <v>0</v>
      </c>
      <c r="B74" s="4">
        <f>(VLOOKUP('15.01'!J74,'15.01'!$AM$4:$AO$55,3,FALSE))</f>
        <v>0</v>
      </c>
      <c r="C74" s="4">
        <f>(VLOOKUP('15.01'!K74,'15.01'!$AM$4:$AO$55,3,FALSE))</f>
        <v>0</v>
      </c>
      <c r="D74" s="4">
        <f>(VLOOKUP('15.01'!L74,'15.01'!$AM$4:$AO$55,3,FALSE))</f>
        <v>0</v>
      </c>
      <c r="E74" s="4">
        <f>(VLOOKUP('15.01'!M74,'15.01'!$AM$4:$AO$55,3,FALSE))</f>
        <v>0</v>
      </c>
      <c r="F74" s="4">
        <f>(VLOOKUP('15.01'!N74,'15.01'!$AM$4:$AO$55,3,FALSE))</f>
        <v>0</v>
      </c>
      <c r="G74" s="5">
        <f>(VLOOKUP('15.01'!O74,'15.01'!$AM$4:$AO$55,3,FALSE))</f>
        <v>0</v>
      </c>
      <c r="H74" s="5">
        <f>(VLOOKUP('15.01'!P74,'15.01'!$AM$4:$AO$55,3,FALSE))</f>
        <v>0</v>
      </c>
      <c r="I74" s="4">
        <f>(VLOOKUP('15.01'!Q74,'15.01'!$AM$4:$AO$55,3,FALSE))</f>
        <v>55</v>
      </c>
      <c r="J74" s="4">
        <f>(VLOOKUP('15.01'!R74,'15.01'!$AM$4:$AO$55,3,FALSE))</f>
        <v>55</v>
      </c>
      <c r="K74" s="4">
        <f>(VLOOKUP('15.01'!S74,'15.01'!$AM$4:$AO$55,3,FALSE))</f>
        <v>55</v>
      </c>
      <c r="L74" s="4">
        <f>(VLOOKUP('15.01'!T74,'15.01'!$AM$4:$AO$55,3,FALSE))</f>
        <v>55</v>
      </c>
      <c r="M74" s="4">
        <f>(VLOOKUP('15.01'!U74,'15.01'!$AM$4:$AO$55,3,FALSE))</f>
        <v>55</v>
      </c>
      <c r="N74" s="4">
        <f>(VLOOKUP('15.01'!V74,'15.01'!$AM$4:$AO$55,3,FALSE))</f>
        <v>55</v>
      </c>
      <c r="O74" s="5">
        <f>(VLOOKUP('15.01'!W74,'15.01'!$AM$4:$AO$55,3,FALSE))</f>
        <v>0</v>
      </c>
      <c r="P74" s="5">
        <f>(VLOOKUP('15.01'!X74,'15.01'!$AM$4:$AO$55,3,FALSE))</f>
        <v>0</v>
      </c>
      <c r="Q74" s="4">
        <f>(VLOOKUP('15.01'!Y74,'15.01'!$AM$4:$AO$55,3,FALSE))</f>
        <v>30</v>
      </c>
      <c r="R74" s="4">
        <f>(VLOOKUP('15.01'!Z74,'15.01'!$AM$4:$AO$55,3,FALSE))</f>
        <v>60</v>
      </c>
      <c r="S74" s="4">
        <f>(VLOOKUP('15.01'!AA74,'15.01'!$AM$4:$AO$55,3,FALSE))</f>
        <v>60</v>
      </c>
      <c r="T74" s="4">
        <f>(VLOOKUP('15.01'!AB74,'15.01'!$AM$4:$AO$55,3,FALSE))</f>
        <v>60</v>
      </c>
      <c r="U74" s="4">
        <f>(VLOOKUP('15.01'!AC74,'15.01'!$AM$4:$AO$55,3,FALSE))</f>
        <v>60</v>
      </c>
      <c r="V74" s="4">
        <f>(VLOOKUP('15.01'!AD74,'15.01'!$AM$4:$AO$55,3,FALSE))</f>
        <v>60</v>
      </c>
      <c r="W74" s="5">
        <f>(VLOOKUP('15.01'!AE74,'15.01'!$AM$4:$AO$55,3,FALSE))</f>
        <v>0</v>
      </c>
      <c r="X74" s="5">
        <f>(VLOOKUP('15.01'!AF74,'15.01'!$AM$4:$AO$55,3,FALSE))</f>
        <v>0</v>
      </c>
    </row>
    <row r="75" spans="1:24">
      <c r="A75" s="4">
        <f>(VLOOKUP('15.01'!I75,'15.01'!$AM$4:$AO$55,3,FALSE))</f>
        <v>0</v>
      </c>
      <c r="B75" s="4">
        <f>(VLOOKUP('15.01'!J75,'15.01'!$AM$4:$AO$55,3,FALSE))</f>
        <v>0</v>
      </c>
      <c r="C75" s="4">
        <f>(VLOOKUP('15.01'!K75,'15.01'!$AM$4:$AO$55,3,FALSE))</f>
        <v>0</v>
      </c>
      <c r="D75" s="4">
        <f>(VLOOKUP('15.01'!L75,'15.01'!$AM$4:$AO$55,3,FALSE))</f>
        <v>0</v>
      </c>
      <c r="E75" s="4">
        <f>(VLOOKUP('15.01'!M75,'15.01'!$AM$4:$AO$55,3,FALSE))</f>
        <v>0</v>
      </c>
      <c r="F75" s="4">
        <f>(VLOOKUP('15.01'!N75,'15.01'!$AM$4:$AO$55,3,FALSE))</f>
        <v>0</v>
      </c>
      <c r="G75" s="5">
        <f>(VLOOKUP('15.01'!O75,'15.01'!$AM$4:$AO$55,3,FALSE))</f>
        <v>0</v>
      </c>
      <c r="H75" s="5">
        <f>(VLOOKUP('15.01'!P75,'15.01'!$AM$4:$AO$55,3,FALSE))</f>
        <v>0</v>
      </c>
      <c r="I75" s="4">
        <f>(VLOOKUP('15.01'!Q75,'15.01'!$AM$4:$AO$55,3,FALSE))</f>
        <v>55</v>
      </c>
      <c r="J75" s="4">
        <f>(VLOOKUP('15.01'!R75,'15.01'!$AM$4:$AO$55,3,FALSE))</f>
        <v>55</v>
      </c>
      <c r="K75" s="4">
        <f>(VLOOKUP('15.01'!S75,'15.01'!$AM$4:$AO$55,3,FALSE))</f>
        <v>55</v>
      </c>
      <c r="L75" s="4">
        <f>(VLOOKUP('15.01'!T75,'15.01'!$AM$4:$AO$55,3,FALSE))</f>
        <v>55</v>
      </c>
      <c r="M75" s="4">
        <f>(VLOOKUP('15.01'!U75,'15.01'!$AM$4:$AO$55,3,FALSE))</f>
        <v>55</v>
      </c>
      <c r="N75" s="4">
        <f>(VLOOKUP('15.01'!V75,'15.01'!$AM$4:$AO$55,3,FALSE))</f>
        <v>55</v>
      </c>
      <c r="O75" s="5">
        <f>(VLOOKUP('15.01'!W75,'15.01'!$AM$4:$AO$55,3,FALSE))</f>
        <v>0</v>
      </c>
      <c r="P75" s="5">
        <f>(VLOOKUP('15.01'!X75,'15.01'!$AM$4:$AO$55,3,FALSE))</f>
        <v>0</v>
      </c>
      <c r="Q75" s="4">
        <f>(VLOOKUP('15.01'!Y75,'15.01'!$AM$4:$AO$55,3,FALSE))</f>
        <v>60</v>
      </c>
      <c r="R75" s="4">
        <f>(VLOOKUP('15.01'!Z75,'15.01'!$AM$4:$AO$55,3,FALSE))</f>
        <v>60</v>
      </c>
      <c r="S75" s="4">
        <f>(VLOOKUP('15.01'!AA75,'15.01'!$AM$4:$AO$55,3,FALSE))</f>
        <v>60</v>
      </c>
      <c r="T75" s="4">
        <f>(VLOOKUP('15.01'!AB75,'15.01'!$AM$4:$AO$55,3,FALSE))</f>
        <v>60</v>
      </c>
      <c r="U75" s="4">
        <f>(VLOOKUP('15.01'!AC75,'15.01'!$AM$4:$AO$55,3,FALSE))</f>
        <v>60</v>
      </c>
      <c r="V75" s="4">
        <f>(VLOOKUP('15.01'!AD75,'15.01'!$AM$4:$AO$55,3,FALSE))</f>
        <v>60</v>
      </c>
      <c r="W75" s="5">
        <f>(VLOOKUP('15.01'!AE75,'15.01'!$AM$4:$AO$55,3,FALSE))</f>
        <v>0</v>
      </c>
      <c r="X75" s="5">
        <f>(VLOOKUP('15.01'!AF75,'15.01'!$AM$4:$AO$55,3,FALSE))</f>
        <v>0</v>
      </c>
    </row>
    <row r="76" spans="1:24">
      <c r="A76" s="4">
        <f>(VLOOKUP('15.01'!I76,'15.01'!$AM$4:$AO$55,3,FALSE))</f>
        <v>0</v>
      </c>
      <c r="B76" s="4">
        <f>(VLOOKUP('15.01'!J76,'15.01'!$AM$4:$AO$55,3,FALSE))</f>
        <v>0</v>
      </c>
      <c r="C76" s="4">
        <f>(VLOOKUP('15.01'!K76,'15.01'!$AM$4:$AO$55,3,FALSE))</f>
        <v>0</v>
      </c>
      <c r="D76" s="4">
        <f>(VLOOKUP('15.01'!L76,'15.01'!$AM$4:$AO$55,3,FALSE))</f>
        <v>0</v>
      </c>
      <c r="E76" s="4">
        <f>(VLOOKUP('15.01'!M76,'15.01'!$AM$4:$AO$55,3,FALSE))</f>
        <v>0</v>
      </c>
      <c r="F76" s="4">
        <f>(VLOOKUP('15.01'!N76,'15.01'!$AM$4:$AO$55,3,FALSE))</f>
        <v>0</v>
      </c>
      <c r="G76" s="5">
        <f>(VLOOKUP('15.01'!O76,'15.01'!$AM$4:$AO$55,3,FALSE))</f>
        <v>0</v>
      </c>
      <c r="H76" s="5">
        <f>(VLOOKUP('15.01'!P76,'15.01'!$AM$4:$AO$55,3,FALSE))</f>
        <v>0</v>
      </c>
      <c r="I76" s="4">
        <f>(VLOOKUP('15.01'!Q76,'15.01'!$AM$4:$AO$55,3,FALSE))</f>
        <v>55</v>
      </c>
      <c r="J76" s="4">
        <f>(VLOOKUP('15.01'!R76,'15.01'!$AM$4:$AO$55,3,FALSE))</f>
        <v>55</v>
      </c>
      <c r="K76" s="4">
        <f>(VLOOKUP('15.01'!S76,'15.01'!$AM$4:$AO$55,3,FALSE))</f>
        <v>55</v>
      </c>
      <c r="L76" s="4">
        <f>(VLOOKUP('15.01'!T76,'15.01'!$AM$4:$AO$55,3,FALSE))</f>
        <v>55</v>
      </c>
      <c r="M76" s="4">
        <f>(VLOOKUP('15.01'!U76,'15.01'!$AM$4:$AO$55,3,FALSE))</f>
        <v>55</v>
      </c>
      <c r="N76" s="4">
        <f>(VLOOKUP('15.01'!V76,'15.01'!$AM$4:$AO$55,3,FALSE))</f>
        <v>55</v>
      </c>
      <c r="O76" s="5">
        <f>(VLOOKUP('15.01'!W76,'15.01'!$AM$4:$AO$55,3,FALSE))</f>
        <v>0</v>
      </c>
      <c r="P76" s="5">
        <f>(VLOOKUP('15.01'!X76,'15.01'!$AM$4:$AO$55,3,FALSE))</f>
        <v>0</v>
      </c>
      <c r="Q76" s="4">
        <f>(VLOOKUP('15.01'!Y76,'15.01'!$AM$4:$AO$55,3,FALSE))</f>
        <v>60</v>
      </c>
      <c r="R76" s="4">
        <f>(VLOOKUP('15.01'!Z76,'15.01'!$AM$4:$AO$55,3,FALSE))</f>
        <v>60</v>
      </c>
      <c r="S76" s="4">
        <f>(VLOOKUP('15.01'!AA76,'15.01'!$AM$4:$AO$55,3,FALSE))</f>
        <v>60</v>
      </c>
      <c r="T76" s="4">
        <f>(VLOOKUP('15.01'!AB76,'15.01'!$AM$4:$AO$55,3,FALSE))</f>
        <v>60</v>
      </c>
      <c r="U76" s="4">
        <f>(VLOOKUP('15.01'!AC76,'15.01'!$AM$4:$AO$55,3,FALSE))</f>
        <v>60</v>
      </c>
      <c r="V76" s="4">
        <f>(VLOOKUP('15.01'!AD76,'15.01'!$AM$4:$AO$55,3,FALSE))</f>
        <v>60</v>
      </c>
      <c r="W76" s="5">
        <f>(VLOOKUP('15.01'!AE76,'15.01'!$AM$4:$AO$55,3,FALSE))</f>
        <v>0</v>
      </c>
      <c r="X76" s="5">
        <f>(VLOOKUP('15.01'!AF76,'15.01'!$AM$4:$AO$55,3,FALSE))</f>
        <v>0</v>
      </c>
    </row>
    <row r="77" spans="1:24">
      <c r="A77" s="4">
        <f>(VLOOKUP('15.01'!I77,'15.01'!$AM$4:$AO$55,3,FALSE))</f>
        <v>0</v>
      </c>
      <c r="B77" s="4">
        <f>(VLOOKUP('15.01'!J77,'15.01'!$AM$4:$AO$55,3,FALSE))</f>
        <v>0</v>
      </c>
      <c r="C77" s="4">
        <f>(VLOOKUP('15.01'!K77,'15.01'!$AM$4:$AO$55,3,FALSE))</f>
        <v>0</v>
      </c>
      <c r="D77" s="4">
        <f>(VLOOKUP('15.01'!L77,'15.01'!$AM$4:$AO$55,3,FALSE))</f>
        <v>0</v>
      </c>
      <c r="E77" s="4">
        <f>(VLOOKUP('15.01'!M77,'15.01'!$AM$4:$AO$55,3,FALSE))</f>
        <v>0</v>
      </c>
      <c r="F77" s="4">
        <f>(VLOOKUP('15.01'!N77,'15.01'!$AM$4:$AO$55,3,FALSE))</f>
        <v>0</v>
      </c>
      <c r="G77" s="5">
        <f>(VLOOKUP('15.01'!O77,'15.01'!$AM$4:$AO$55,3,FALSE))</f>
        <v>0</v>
      </c>
      <c r="H77" s="5">
        <f>(VLOOKUP('15.01'!P77,'15.01'!$AM$4:$AO$55,3,FALSE))</f>
        <v>0</v>
      </c>
      <c r="I77" s="4">
        <f>(VLOOKUP('15.01'!Q77,'15.01'!$AM$4:$AO$55,3,FALSE))</f>
        <v>55</v>
      </c>
      <c r="J77" s="4">
        <f>(VLOOKUP('15.01'!R77,'15.01'!$AM$4:$AO$55,3,FALSE))</f>
        <v>55</v>
      </c>
      <c r="K77" s="4">
        <f>(VLOOKUP('15.01'!S77,'15.01'!$AM$4:$AO$55,3,FALSE))</f>
        <v>55</v>
      </c>
      <c r="L77" s="4">
        <f>(VLOOKUP('15.01'!T77,'15.01'!$AM$4:$AO$55,3,FALSE))</f>
        <v>55</v>
      </c>
      <c r="M77" s="4">
        <f>(VLOOKUP('15.01'!U77,'15.01'!$AM$4:$AO$55,3,FALSE))</f>
        <v>55</v>
      </c>
      <c r="N77" s="4">
        <f>(VLOOKUP('15.01'!V77,'15.01'!$AM$4:$AO$55,3,FALSE))</f>
        <v>55</v>
      </c>
      <c r="O77" s="5">
        <f>(VLOOKUP('15.01'!W77,'15.01'!$AM$4:$AO$55,3,FALSE))</f>
        <v>0</v>
      </c>
      <c r="P77" s="5">
        <f>(VLOOKUP('15.01'!X77,'15.01'!$AM$4:$AO$55,3,FALSE))</f>
        <v>0</v>
      </c>
      <c r="Q77" s="4">
        <f>(VLOOKUP('15.01'!Y77,'15.01'!$AM$4:$AO$55,3,FALSE))</f>
        <v>60</v>
      </c>
      <c r="R77" s="4">
        <f>(VLOOKUP('15.01'!Z77,'15.01'!$AM$4:$AO$55,3,FALSE))</f>
        <v>60</v>
      </c>
      <c r="S77" s="4">
        <f>(VLOOKUP('15.01'!AA77,'15.01'!$AM$4:$AO$55,3,FALSE))</f>
        <v>60</v>
      </c>
      <c r="T77" s="4">
        <f>(VLOOKUP('15.01'!AB77,'15.01'!$AM$4:$AO$55,3,FALSE))</f>
        <v>60</v>
      </c>
      <c r="U77" s="4">
        <f>(VLOOKUP('15.01'!AC77,'15.01'!$AM$4:$AO$55,3,FALSE))</f>
        <v>60</v>
      </c>
      <c r="V77" s="4">
        <f>(VLOOKUP('15.01'!AD77,'15.01'!$AM$4:$AO$55,3,FALSE))</f>
        <v>60</v>
      </c>
      <c r="W77" s="5">
        <f>(VLOOKUP('15.01'!AE77,'15.01'!$AM$4:$AO$55,3,FALSE))</f>
        <v>0</v>
      </c>
      <c r="X77" s="5">
        <f>(VLOOKUP('15.01'!AF77,'15.01'!$AM$4:$AO$55,3,FALSE))</f>
        <v>0</v>
      </c>
    </row>
    <row r="78" spans="1:24">
      <c r="A78" s="4">
        <f>(VLOOKUP('15.01'!I78,'15.01'!$AM$4:$AO$55,3,FALSE))</f>
        <v>0</v>
      </c>
      <c r="B78" s="4">
        <f>(VLOOKUP('15.01'!J78,'15.01'!$AM$4:$AO$55,3,FALSE))</f>
        <v>0</v>
      </c>
      <c r="C78" s="4">
        <f>(VLOOKUP('15.01'!K78,'15.01'!$AM$4:$AO$55,3,FALSE))</f>
        <v>0</v>
      </c>
      <c r="D78" s="4">
        <f>(VLOOKUP('15.01'!L78,'15.01'!$AM$4:$AO$55,3,FALSE))</f>
        <v>0</v>
      </c>
      <c r="E78" s="4">
        <f>(VLOOKUP('15.01'!M78,'15.01'!$AM$4:$AO$55,3,FALSE))</f>
        <v>0</v>
      </c>
      <c r="F78" s="4">
        <f>(VLOOKUP('15.01'!N78,'15.01'!$AM$4:$AO$55,3,FALSE))</f>
        <v>0</v>
      </c>
      <c r="G78" s="5">
        <f>(VLOOKUP('15.01'!O78,'15.01'!$AM$4:$AO$55,3,FALSE))</f>
        <v>0</v>
      </c>
      <c r="H78" s="5">
        <f>(VLOOKUP('15.01'!P78,'15.01'!$AM$4:$AO$55,3,FALSE))</f>
        <v>0</v>
      </c>
      <c r="I78" s="4">
        <f>(VLOOKUP('15.01'!Q78,'15.01'!$AM$4:$AO$55,3,FALSE))</f>
        <v>55</v>
      </c>
      <c r="J78" s="4">
        <f>(VLOOKUP('15.01'!R78,'15.01'!$AM$4:$AO$55,3,FALSE))</f>
        <v>55</v>
      </c>
      <c r="K78" s="4">
        <f>(VLOOKUP('15.01'!S78,'15.01'!$AM$4:$AO$55,3,FALSE))</f>
        <v>520</v>
      </c>
      <c r="L78" s="4">
        <f>(VLOOKUP('15.01'!T78,'15.01'!$AM$4:$AO$55,3,FALSE))</f>
        <v>55</v>
      </c>
      <c r="M78" s="4">
        <f>(VLOOKUP('15.01'!U78,'15.01'!$AM$4:$AO$55,3,FALSE))</f>
        <v>55</v>
      </c>
      <c r="N78" s="4">
        <f>(VLOOKUP('15.01'!V78,'15.01'!$AM$4:$AO$55,3,FALSE))</f>
        <v>55</v>
      </c>
      <c r="O78" s="5">
        <f>(VLOOKUP('15.01'!W78,'15.01'!$AM$4:$AO$55,3,FALSE))</f>
        <v>0</v>
      </c>
      <c r="P78" s="5">
        <f>(VLOOKUP('15.01'!X78,'15.01'!$AM$4:$AO$55,3,FALSE))</f>
        <v>0</v>
      </c>
      <c r="Q78" s="4">
        <f>(VLOOKUP('15.01'!Y78,'15.01'!$AM$4:$AO$55,3,FALSE))</f>
        <v>60</v>
      </c>
      <c r="R78" s="4">
        <f>(VLOOKUP('15.01'!Z78,'15.01'!$AM$4:$AO$55,3,FALSE))</f>
        <v>60</v>
      </c>
      <c r="S78" s="4">
        <f>(VLOOKUP('15.01'!AA78,'15.01'!$AM$4:$AO$55,3,FALSE))</f>
        <v>60</v>
      </c>
      <c r="T78" s="4">
        <f>(VLOOKUP('15.01'!AB78,'15.01'!$AM$4:$AO$55,3,FALSE))</f>
        <v>60</v>
      </c>
      <c r="U78" s="4">
        <f>(VLOOKUP('15.01'!AC78,'15.01'!$AM$4:$AO$55,3,FALSE))</f>
        <v>60</v>
      </c>
      <c r="V78" s="4">
        <f>(VLOOKUP('15.01'!AD78,'15.01'!$AM$4:$AO$55,3,FALSE))</f>
        <v>60</v>
      </c>
      <c r="W78" s="5">
        <f>(VLOOKUP('15.01'!AE78,'15.01'!$AM$4:$AO$55,3,FALSE))</f>
        <v>0</v>
      </c>
      <c r="X78" s="5">
        <f>(VLOOKUP('15.01'!AF78,'15.01'!$AM$4:$AO$55,3,FALSE))</f>
        <v>0</v>
      </c>
    </row>
    <row r="79" spans="1:24">
      <c r="A79" s="4">
        <f>(VLOOKUP('15.01'!I79,'15.01'!$AM$4:$AO$55,3,FALSE))</f>
        <v>0</v>
      </c>
      <c r="B79" s="4">
        <f>(VLOOKUP('15.01'!J79,'15.01'!$AM$4:$AO$55,3,FALSE))</f>
        <v>0</v>
      </c>
      <c r="C79" s="4">
        <f>(VLOOKUP('15.01'!K79,'15.01'!$AM$4:$AO$55,3,FALSE))</f>
        <v>0</v>
      </c>
      <c r="D79" s="4">
        <f>(VLOOKUP('15.01'!L79,'15.01'!$AM$4:$AO$55,3,FALSE))</f>
        <v>0</v>
      </c>
      <c r="E79" s="4">
        <f>(VLOOKUP('15.01'!M79,'15.01'!$AM$4:$AO$55,3,FALSE))</f>
        <v>0</v>
      </c>
      <c r="F79" s="4">
        <f>(VLOOKUP('15.01'!N79,'15.01'!$AM$4:$AO$55,3,FALSE))</f>
        <v>0</v>
      </c>
      <c r="G79" s="5">
        <f>(VLOOKUP('15.01'!O79,'15.01'!$AM$4:$AO$55,3,FALSE))</f>
        <v>0</v>
      </c>
      <c r="H79" s="5">
        <f>(VLOOKUP('15.01'!P79,'15.01'!$AM$4:$AO$55,3,FALSE))</f>
        <v>0</v>
      </c>
      <c r="I79" s="4">
        <f>(VLOOKUP('15.01'!Q79,'15.01'!$AM$4:$AO$55,3,FALSE))</f>
        <v>55</v>
      </c>
      <c r="J79" s="4">
        <f>(VLOOKUP('15.01'!R79,'15.01'!$AM$4:$AO$55,3,FALSE))</f>
        <v>55</v>
      </c>
      <c r="K79" s="4">
        <f>(VLOOKUP('15.01'!S79,'15.01'!$AM$4:$AO$55,3,FALSE))</f>
        <v>30</v>
      </c>
      <c r="L79" s="4">
        <f>(VLOOKUP('15.01'!T79,'15.01'!$AM$4:$AO$55,3,FALSE))</f>
        <v>55</v>
      </c>
      <c r="M79" s="4">
        <f>(VLOOKUP('15.01'!U79,'15.01'!$AM$4:$AO$55,3,FALSE))</f>
        <v>55</v>
      </c>
      <c r="N79" s="4">
        <f>(VLOOKUP('15.01'!V79,'15.01'!$AM$4:$AO$55,3,FALSE))</f>
        <v>55</v>
      </c>
      <c r="O79" s="5">
        <f>(VLOOKUP('15.01'!W79,'15.01'!$AM$4:$AO$55,3,FALSE))</f>
        <v>0</v>
      </c>
      <c r="P79" s="5">
        <f>(VLOOKUP('15.01'!X79,'15.01'!$AM$4:$AO$55,3,FALSE))</f>
        <v>0</v>
      </c>
      <c r="Q79" s="4">
        <f>(VLOOKUP('15.01'!Y79,'15.01'!$AM$4:$AO$55,3,FALSE))</f>
        <v>60</v>
      </c>
      <c r="R79" s="4">
        <f>(VLOOKUP('15.01'!Z79,'15.01'!$AM$4:$AO$55,3,FALSE))</f>
        <v>60</v>
      </c>
      <c r="S79" s="4">
        <f>(VLOOKUP('15.01'!AA79,'15.01'!$AM$4:$AO$55,3,FALSE))</f>
        <v>60</v>
      </c>
      <c r="T79" s="4">
        <f>(VLOOKUP('15.01'!AB79,'15.01'!$AM$4:$AO$55,3,FALSE))</f>
        <v>60</v>
      </c>
      <c r="U79" s="4">
        <f>(VLOOKUP('15.01'!AC79,'15.01'!$AM$4:$AO$55,3,FALSE))</f>
        <v>0</v>
      </c>
      <c r="V79" s="4">
        <f>(VLOOKUP('15.01'!AD79,'15.01'!$AM$4:$AO$55,3,FALSE))</f>
        <v>60</v>
      </c>
      <c r="W79" s="5">
        <f>(VLOOKUP('15.01'!AE79,'15.01'!$AM$4:$AO$55,3,FALSE))</f>
        <v>0</v>
      </c>
      <c r="X79" s="5">
        <f>(VLOOKUP('15.01'!AF79,'15.01'!$AM$4:$AO$55,3,FALSE))</f>
        <v>0</v>
      </c>
    </row>
    <row r="80" spans="1:24">
      <c r="A80" s="4">
        <f>(VLOOKUP('15.01'!I80,'15.01'!$AM$4:$AO$55,3,FALSE))</f>
        <v>0</v>
      </c>
      <c r="B80" s="4">
        <f>(VLOOKUP('15.01'!J80,'15.01'!$AM$4:$AO$55,3,FALSE))</f>
        <v>0</v>
      </c>
      <c r="C80" s="4">
        <f>(VLOOKUP('15.01'!K80,'15.01'!$AM$4:$AO$55,3,FALSE))</f>
        <v>0</v>
      </c>
      <c r="D80" s="4">
        <f>(VLOOKUP('15.01'!L80,'15.01'!$AM$4:$AO$55,3,FALSE))</f>
        <v>0</v>
      </c>
      <c r="E80" s="4">
        <f>(VLOOKUP('15.01'!M80,'15.01'!$AM$4:$AO$55,3,FALSE))</f>
        <v>0</v>
      </c>
      <c r="F80" s="4">
        <f>(VLOOKUP('15.01'!N80,'15.01'!$AM$4:$AO$55,3,FALSE))</f>
        <v>0</v>
      </c>
      <c r="G80" s="5">
        <f>(VLOOKUP('15.01'!O80,'15.01'!$AM$4:$AO$55,3,FALSE))</f>
        <v>0</v>
      </c>
      <c r="H80" s="5">
        <f>(VLOOKUP('15.01'!P80,'15.01'!$AM$4:$AO$55,3,FALSE))</f>
        <v>0</v>
      </c>
      <c r="I80" s="4">
        <f>(VLOOKUP('15.01'!Q80,'15.01'!$AM$4:$AO$55,3,FALSE))</f>
        <v>55</v>
      </c>
      <c r="J80" s="4">
        <f>(VLOOKUP('15.01'!R80,'15.01'!$AM$4:$AO$55,3,FALSE))</f>
        <v>55</v>
      </c>
      <c r="K80" s="4">
        <f>(VLOOKUP('15.01'!S80,'15.01'!$AM$4:$AO$55,3,FALSE))</f>
        <v>55</v>
      </c>
      <c r="L80" s="4">
        <f>(VLOOKUP('15.01'!T80,'15.01'!$AM$4:$AO$55,3,FALSE))</f>
        <v>55</v>
      </c>
      <c r="M80" s="4">
        <f>(VLOOKUP('15.01'!U80,'15.01'!$AM$4:$AO$55,3,FALSE))</f>
        <v>55</v>
      </c>
      <c r="N80" s="4">
        <f>(VLOOKUP('15.01'!V80,'15.01'!$AM$4:$AO$55,3,FALSE))</f>
        <v>55</v>
      </c>
      <c r="O80" s="5">
        <f>(VLOOKUP('15.01'!W80,'15.01'!$AM$4:$AO$55,3,FALSE))</f>
        <v>0</v>
      </c>
      <c r="P80" s="5">
        <f>(VLOOKUP('15.01'!X80,'15.01'!$AM$4:$AO$55,3,FALSE))</f>
        <v>0</v>
      </c>
      <c r="Q80" s="4">
        <f>(VLOOKUP('15.01'!Y80,'15.01'!$AM$4:$AO$55,3,FALSE))</f>
        <v>60</v>
      </c>
      <c r="R80" s="4">
        <f>(VLOOKUP('15.01'!Z80,'15.01'!$AM$4:$AO$55,3,FALSE))</f>
        <v>60</v>
      </c>
      <c r="S80" s="4">
        <f>(VLOOKUP('15.01'!AA80,'15.01'!$AM$4:$AO$55,3,FALSE))</f>
        <v>60</v>
      </c>
      <c r="T80" s="4">
        <f>(VLOOKUP('15.01'!AB80,'15.01'!$AM$4:$AO$55,3,FALSE))</f>
        <v>60</v>
      </c>
      <c r="U80" s="4">
        <f>(VLOOKUP('15.01'!AC80,'15.01'!$AM$4:$AO$55,3,FALSE))</f>
        <v>60</v>
      </c>
      <c r="V80" s="4">
        <f>(VLOOKUP('15.01'!AD80,'15.01'!$AM$4:$AO$55,3,FALSE))</f>
        <v>60</v>
      </c>
      <c r="W80" s="5">
        <f>(VLOOKUP('15.01'!AE80,'15.01'!$AM$4:$AO$55,3,FALSE))</f>
        <v>0</v>
      </c>
      <c r="X80" s="5">
        <f>(VLOOKUP('15.01'!AF80,'15.01'!$AM$4:$AO$55,3,FALSE))</f>
        <v>0</v>
      </c>
    </row>
    <row r="81" spans="1:24">
      <c r="A81" s="4">
        <f>(VLOOKUP('15.01'!I81,'15.01'!$AM$4:$AO$55,3,FALSE))</f>
        <v>0</v>
      </c>
      <c r="B81" s="4">
        <f>(VLOOKUP('15.01'!J81,'15.01'!$AM$4:$AO$55,3,FALSE))</f>
        <v>0</v>
      </c>
      <c r="C81" s="4">
        <f>(VLOOKUP('15.01'!K81,'15.01'!$AM$4:$AO$55,3,FALSE))</f>
        <v>0</v>
      </c>
      <c r="D81" s="4">
        <f>(VLOOKUP('15.01'!L81,'15.01'!$AM$4:$AO$55,3,FALSE))</f>
        <v>0</v>
      </c>
      <c r="E81" s="4">
        <f>(VLOOKUP('15.01'!M81,'15.01'!$AM$4:$AO$55,3,FALSE))</f>
        <v>0</v>
      </c>
      <c r="F81" s="4">
        <f>(VLOOKUP('15.01'!N81,'15.01'!$AM$4:$AO$55,3,FALSE))</f>
        <v>0</v>
      </c>
      <c r="G81" s="5">
        <f>(VLOOKUP('15.01'!O81,'15.01'!$AM$4:$AO$55,3,FALSE))</f>
        <v>0</v>
      </c>
      <c r="H81" s="5">
        <f>(VLOOKUP('15.01'!P81,'15.01'!$AM$4:$AO$55,3,FALSE))</f>
        <v>0</v>
      </c>
      <c r="I81" s="4">
        <f>(VLOOKUP('15.01'!Q81,'15.01'!$AM$4:$AO$55,3,FALSE))</f>
        <v>55</v>
      </c>
      <c r="J81" s="4">
        <f>(VLOOKUP('15.01'!R81,'15.01'!$AM$4:$AO$55,3,FALSE))</f>
        <v>55</v>
      </c>
      <c r="K81" s="4">
        <f>(VLOOKUP('15.01'!S81,'15.01'!$AM$4:$AO$55,3,FALSE))</f>
        <v>55</v>
      </c>
      <c r="L81" s="4">
        <f>(VLOOKUP('15.01'!T81,'15.01'!$AM$4:$AO$55,3,FALSE))</f>
        <v>55</v>
      </c>
      <c r="M81" s="4">
        <f>(VLOOKUP('15.01'!U81,'15.01'!$AM$4:$AO$55,3,FALSE))</f>
        <v>55</v>
      </c>
      <c r="N81" s="4">
        <f>(VLOOKUP('15.01'!V81,'15.01'!$AM$4:$AO$55,3,FALSE))</f>
        <v>55</v>
      </c>
      <c r="O81" s="5">
        <f>(VLOOKUP('15.01'!W81,'15.01'!$AM$4:$AO$55,3,FALSE))</f>
        <v>0</v>
      </c>
      <c r="P81" s="5">
        <f>(VLOOKUP('15.01'!X81,'15.01'!$AM$4:$AO$55,3,FALSE))</f>
        <v>0</v>
      </c>
      <c r="Q81" s="4">
        <f>(VLOOKUP('15.01'!Y81,'15.01'!$AM$4:$AO$55,3,FALSE))</f>
        <v>60</v>
      </c>
      <c r="R81" s="4">
        <f>(VLOOKUP('15.01'!Z81,'15.01'!$AM$4:$AO$55,3,FALSE))</f>
        <v>60</v>
      </c>
      <c r="S81" s="4">
        <f>(VLOOKUP('15.01'!AA81,'15.01'!$AM$4:$AO$55,3,FALSE))</f>
        <v>60</v>
      </c>
      <c r="T81" s="4">
        <f>(VLOOKUP('15.01'!AB81,'15.01'!$AM$4:$AO$55,3,FALSE))</f>
        <v>60</v>
      </c>
      <c r="U81" s="4">
        <f>(VLOOKUP('15.01'!AC81,'15.01'!$AM$4:$AO$55,3,FALSE))</f>
        <v>60</v>
      </c>
      <c r="V81" s="4">
        <f>(VLOOKUP('15.01'!AD81,'15.01'!$AM$4:$AO$55,3,FALSE))</f>
        <v>60</v>
      </c>
      <c r="W81" s="5">
        <f>(VLOOKUP('15.01'!AE81,'15.01'!$AM$4:$AO$55,3,FALSE))</f>
        <v>0</v>
      </c>
      <c r="X81" s="5">
        <f>(VLOOKUP('15.01'!AF81,'15.01'!$AM$4:$AO$55,3,FALSE))</f>
        <v>0</v>
      </c>
    </row>
    <row r="82" spans="1:24">
      <c r="A82" s="4">
        <f>(VLOOKUP('15.01'!I82,'15.01'!$AM$4:$AO$55,3,FALSE))</f>
        <v>0</v>
      </c>
      <c r="B82" s="4">
        <f>(VLOOKUP('15.01'!J82,'15.01'!$AM$4:$AO$55,3,FALSE))</f>
        <v>0</v>
      </c>
      <c r="C82" s="4">
        <f>(VLOOKUP('15.01'!K82,'15.01'!$AM$4:$AO$55,3,FALSE))</f>
        <v>0</v>
      </c>
      <c r="D82" s="4">
        <f>(VLOOKUP('15.01'!L82,'15.01'!$AM$4:$AO$55,3,FALSE))</f>
        <v>0</v>
      </c>
      <c r="E82" s="4">
        <f>(VLOOKUP('15.01'!M82,'15.01'!$AM$4:$AO$55,3,FALSE))</f>
        <v>0</v>
      </c>
      <c r="F82" s="4">
        <f>(VLOOKUP('15.01'!N82,'15.01'!$AM$4:$AO$55,3,FALSE))</f>
        <v>0</v>
      </c>
      <c r="G82" s="5">
        <f>(VLOOKUP('15.01'!O82,'15.01'!$AM$4:$AO$55,3,FALSE))</f>
        <v>0</v>
      </c>
      <c r="H82" s="5">
        <f>(VLOOKUP('15.01'!P82,'15.01'!$AM$4:$AO$55,3,FALSE))</f>
        <v>0</v>
      </c>
      <c r="I82" s="4">
        <f>(VLOOKUP('15.01'!Q82,'15.01'!$AM$4:$AO$55,3,FALSE))</f>
        <v>55</v>
      </c>
      <c r="J82" s="4">
        <f>(VLOOKUP('15.01'!R82,'15.01'!$AM$4:$AO$55,3,FALSE))</f>
        <v>55</v>
      </c>
      <c r="K82" s="4">
        <f>(VLOOKUP('15.01'!S82,'15.01'!$AM$4:$AO$55,3,FALSE))</f>
        <v>55</v>
      </c>
      <c r="L82" s="4">
        <f>(VLOOKUP('15.01'!T82,'15.01'!$AM$4:$AO$55,3,FALSE))</f>
        <v>55</v>
      </c>
      <c r="M82" s="4">
        <f>(VLOOKUP('15.01'!U82,'15.01'!$AM$4:$AO$55,3,FALSE))</f>
        <v>55</v>
      </c>
      <c r="N82" s="4">
        <f>(VLOOKUP('15.01'!V82,'15.01'!$AM$4:$AO$55,3,FALSE))</f>
        <v>55</v>
      </c>
      <c r="O82" s="5">
        <f>(VLOOKUP('15.01'!W82,'15.01'!$AM$4:$AO$55,3,FALSE))</f>
        <v>0</v>
      </c>
      <c r="P82" s="5">
        <f>(VLOOKUP('15.01'!X82,'15.01'!$AM$4:$AO$55,3,FALSE))</f>
        <v>0</v>
      </c>
      <c r="Q82" s="4">
        <f>(VLOOKUP('15.01'!Y82,'15.01'!$AM$4:$AO$55,3,FALSE))</f>
        <v>55</v>
      </c>
      <c r="R82" s="4">
        <f>(VLOOKUP('15.01'!Z82,'15.01'!$AM$4:$AO$55,3,FALSE))</f>
        <v>55</v>
      </c>
      <c r="S82" s="4">
        <f>(VLOOKUP('15.01'!AA82,'15.01'!$AM$4:$AO$55,3,FALSE))</f>
        <v>55</v>
      </c>
      <c r="T82" s="4">
        <f>(VLOOKUP('15.01'!AB82,'15.01'!$AM$4:$AO$55,3,FALSE))</f>
        <v>55</v>
      </c>
      <c r="U82" s="4">
        <f>(VLOOKUP('15.01'!AC82,'15.01'!$AM$4:$AO$55,3,FALSE))</f>
        <v>55</v>
      </c>
      <c r="V82" s="4">
        <f>(VLOOKUP('15.01'!AD82,'15.01'!$AM$4:$AO$55,3,FALSE))</f>
        <v>55</v>
      </c>
      <c r="W82" s="5">
        <f>(VLOOKUP('15.01'!AE82,'15.01'!$AM$4:$AO$55,3,FALSE))</f>
        <v>0</v>
      </c>
      <c r="X82" s="5">
        <f>(VLOOKUP('15.01'!AF82,'15.01'!$AM$4:$AO$55,3,FALSE))</f>
        <v>0</v>
      </c>
    </row>
    <row r="83" spans="1:24">
      <c r="A83" s="4">
        <f>(VLOOKUP('15.01'!I83,'15.01'!$AM$4:$AO$55,3,FALSE))</f>
        <v>0</v>
      </c>
      <c r="B83" s="4">
        <f>(VLOOKUP('15.01'!J83,'15.01'!$AM$4:$AO$55,3,FALSE))</f>
        <v>0</v>
      </c>
      <c r="C83" s="4">
        <f>(VLOOKUP('15.01'!K83,'15.01'!$AM$4:$AO$55,3,FALSE))</f>
        <v>0</v>
      </c>
      <c r="D83" s="4">
        <f>(VLOOKUP('15.01'!L83,'15.01'!$AM$4:$AO$55,3,FALSE))</f>
        <v>0</v>
      </c>
      <c r="E83" s="4">
        <f>(VLOOKUP('15.01'!M83,'15.01'!$AM$4:$AO$55,3,FALSE))</f>
        <v>0</v>
      </c>
      <c r="F83" s="4">
        <f>(VLOOKUP('15.01'!N83,'15.01'!$AM$4:$AO$55,3,FALSE))</f>
        <v>0</v>
      </c>
      <c r="G83" s="5">
        <f>(VLOOKUP('15.01'!O83,'15.01'!$AM$4:$AO$55,3,FALSE))</f>
        <v>0</v>
      </c>
      <c r="H83" s="5">
        <f>(VLOOKUP('15.01'!P83,'15.01'!$AM$4:$AO$55,3,FALSE))</f>
        <v>0</v>
      </c>
      <c r="I83" s="4">
        <f>(VLOOKUP('15.01'!Q83,'15.01'!$AM$4:$AO$55,3,FALSE))</f>
        <v>55</v>
      </c>
      <c r="J83" s="4">
        <f>(VLOOKUP('15.01'!R83,'15.01'!$AM$4:$AO$55,3,FALSE))</f>
        <v>55</v>
      </c>
      <c r="K83" s="4">
        <f>(VLOOKUP('15.01'!S83,'15.01'!$AM$4:$AO$55,3,FALSE))</f>
        <v>55</v>
      </c>
      <c r="L83" s="4">
        <f>(VLOOKUP('15.01'!T83,'15.01'!$AM$4:$AO$55,3,FALSE))</f>
        <v>55</v>
      </c>
      <c r="M83" s="4">
        <f>(VLOOKUP('15.01'!U83,'15.01'!$AM$4:$AO$55,3,FALSE))</f>
        <v>55</v>
      </c>
      <c r="N83" s="4">
        <f>(VLOOKUP('15.01'!V83,'15.01'!$AM$4:$AO$55,3,FALSE))</f>
        <v>55</v>
      </c>
      <c r="O83" s="5">
        <f>(VLOOKUP('15.01'!W83,'15.01'!$AM$4:$AO$55,3,FALSE))</f>
        <v>0</v>
      </c>
      <c r="P83" s="5">
        <f>(VLOOKUP('15.01'!X83,'15.01'!$AM$4:$AO$55,3,FALSE))</f>
        <v>0</v>
      </c>
      <c r="Q83" s="4">
        <f>(VLOOKUP('15.01'!Y83,'15.01'!$AM$4:$AO$55,3,FALSE))</f>
        <v>55</v>
      </c>
      <c r="R83" s="4">
        <f>(VLOOKUP('15.01'!Z83,'15.01'!$AM$4:$AO$55,3,FALSE))</f>
        <v>55</v>
      </c>
      <c r="S83" s="4">
        <f>(VLOOKUP('15.01'!AA83,'15.01'!$AM$4:$AO$55,3,FALSE))</f>
        <v>55</v>
      </c>
      <c r="T83" s="4">
        <f>(VLOOKUP('15.01'!AB83,'15.01'!$AM$4:$AO$55,3,FALSE))</f>
        <v>55</v>
      </c>
      <c r="U83" s="4">
        <f>(VLOOKUP('15.01'!AC83,'15.01'!$AM$4:$AO$55,3,FALSE))</f>
        <v>55</v>
      </c>
      <c r="V83" s="4">
        <f>(VLOOKUP('15.01'!AD83,'15.01'!$AM$4:$AO$55,3,FALSE))</f>
        <v>55</v>
      </c>
      <c r="W83" s="5">
        <f>(VLOOKUP('15.01'!AE83,'15.01'!$AM$4:$AO$55,3,FALSE))</f>
        <v>0</v>
      </c>
      <c r="X83" s="5">
        <f>(VLOOKUP('15.01'!AF83,'15.01'!$AM$4:$AO$55,3,FALSE))</f>
        <v>0</v>
      </c>
    </row>
    <row r="84" spans="1:24">
      <c r="A84" s="4">
        <f>(VLOOKUP('15.01'!I84,'15.01'!$AM$4:$AO$55,3,FALSE))</f>
        <v>0</v>
      </c>
      <c r="B84" s="4">
        <f>(VLOOKUP('15.01'!J84,'15.01'!$AM$4:$AO$55,3,FALSE))</f>
        <v>0</v>
      </c>
      <c r="C84" s="4">
        <f>(VLOOKUP('15.01'!K84,'15.01'!$AM$4:$AO$55,3,FALSE))</f>
        <v>0</v>
      </c>
      <c r="D84" s="4">
        <f>(VLOOKUP('15.01'!L84,'15.01'!$AM$4:$AO$55,3,FALSE))</f>
        <v>0</v>
      </c>
      <c r="E84" s="4">
        <f>(VLOOKUP('15.01'!M84,'15.01'!$AM$4:$AO$55,3,FALSE))</f>
        <v>0</v>
      </c>
      <c r="F84" s="4">
        <f>(VLOOKUP('15.01'!N84,'15.01'!$AM$4:$AO$55,3,FALSE))</f>
        <v>0</v>
      </c>
      <c r="G84" s="5">
        <f>(VLOOKUP('15.01'!O84,'15.01'!$AM$4:$AO$55,3,FALSE))</f>
        <v>0</v>
      </c>
      <c r="H84" s="5">
        <f>(VLOOKUP('15.01'!P84,'15.01'!$AM$4:$AO$55,3,FALSE))</f>
        <v>0</v>
      </c>
      <c r="I84" s="4">
        <f>(VLOOKUP('15.01'!Q84,'15.01'!$AM$4:$AO$55,3,FALSE))</f>
        <v>55</v>
      </c>
      <c r="J84" s="4">
        <f>(VLOOKUP('15.01'!R84,'15.01'!$AM$4:$AO$55,3,FALSE))</f>
        <v>55</v>
      </c>
      <c r="K84" s="4">
        <f>(VLOOKUP('15.01'!S84,'15.01'!$AM$4:$AO$55,3,FALSE))</f>
        <v>55</v>
      </c>
      <c r="L84" s="4">
        <f>(VLOOKUP('15.01'!T84,'15.01'!$AM$4:$AO$55,3,FALSE))</f>
        <v>55</v>
      </c>
      <c r="M84" s="4">
        <f>(VLOOKUP('15.01'!U84,'15.01'!$AM$4:$AO$55,3,FALSE))</f>
        <v>55</v>
      </c>
      <c r="N84" s="4">
        <f>(VLOOKUP('15.01'!V84,'15.01'!$AM$4:$AO$55,3,FALSE))</f>
        <v>55</v>
      </c>
      <c r="O84" s="5">
        <f>(VLOOKUP('15.01'!W84,'15.01'!$AM$4:$AO$55,3,FALSE))</f>
        <v>0</v>
      </c>
      <c r="P84" s="5">
        <f>(VLOOKUP('15.01'!X84,'15.01'!$AM$4:$AO$55,3,FALSE))</f>
        <v>0</v>
      </c>
      <c r="Q84" s="4">
        <f>(VLOOKUP('15.01'!Y84,'15.01'!$AM$4:$AO$55,3,FALSE))</f>
        <v>55</v>
      </c>
      <c r="R84" s="4">
        <f>(VLOOKUP('15.01'!Z84,'15.01'!$AM$4:$AO$55,3,FALSE))</f>
        <v>55</v>
      </c>
      <c r="S84" s="4">
        <f>(VLOOKUP('15.01'!AA84,'15.01'!$AM$4:$AO$55,3,FALSE))</f>
        <v>55</v>
      </c>
      <c r="T84" s="4">
        <f>(VLOOKUP('15.01'!AB84,'15.01'!$AM$4:$AO$55,3,FALSE))</f>
        <v>55</v>
      </c>
      <c r="U84" s="4">
        <f>(VLOOKUP('15.01'!AC84,'15.01'!$AM$4:$AO$55,3,FALSE))</f>
        <v>55</v>
      </c>
      <c r="V84" s="4">
        <f>(VLOOKUP('15.01'!AD84,'15.01'!$AM$4:$AO$55,3,FALSE))</f>
        <v>55</v>
      </c>
      <c r="W84" s="5">
        <f>(VLOOKUP('15.01'!AE84,'15.01'!$AM$4:$AO$55,3,FALSE))</f>
        <v>0</v>
      </c>
      <c r="X84" s="5">
        <f>(VLOOKUP('15.01'!AF84,'15.01'!$AM$4:$AO$55,3,FALSE))</f>
        <v>0</v>
      </c>
    </row>
    <row r="85" spans="1:24">
      <c r="A85" s="4">
        <f>(VLOOKUP('15.01'!I85,'15.01'!$AM$4:$AO$55,3,FALSE))</f>
        <v>0</v>
      </c>
      <c r="B85" s="4">
        <f>(VLOOKUP('15.01'!J85,'15.01'!$AM$4:$AO$55,3,FALSE))</f>
        <v>0</v>
      </c>
      <c r="C85" s="4">
        <f>(VLOOKUP('15.01'!K85,'15.01'!$AM$4:$AO$55,3,FALSE))</f>
        <v>0</v>
      </c>
      <c r="D85" s="4">
        <f>(VLOOKUP('15.01'!L85,'15.01'!$AM$4:$AO$55,3,FALSE))</f>
        <v>0</v>
      </c>
      <c r="E85" s="4">
        <f>(VLOOKUP('15.01'!M85,'15.01'!$AM$4:$AO$55,3,FALSE))</f>
        <v>0</v>
      </c>
      <c r="F85" s="4">
        <f>(VLOOKUP('15.01'!N85,'15.01'!$AM$4:$AO$55,3,FALSE))</f>
        <v>0</v>
      </c>
      <c r="G85" s="5">
        <f>(VLOOKUP('15.01'!O85,'15.01'!$AM$4:$AO$55,3,FALSE))</f>
        <v>0</v>
      </c>
      <c r="H85" s="5">
        <f>(VLOOKUP('15.01'!P85,'15.01'!$AM$4:$AO$55,3,FALSE))</f>
        <v>0</v>
      </c>
      <c r="I85" s="4">
        <f>(VLOOKUP('15.01'!Q85,'15.01'!$AM$4:$AO$55,3,FALSE))</f>
        <v>55</v>
      </c>
      <c r="J85" s="4">
        <f>(VLOOKUP('15.01'!R85,'15.01'!$AM$4:$AO$55,3,FALSE))</f>
        <v>55</v>
      </c>
      <c r="K85" s="4">
        <f>(VLOOKUP('15.01'!S85,'15.01'!$AM$4:$AO$55,3,FALSE))</f>
        <v>55</v>
      </c>
      <c r="L85" s="4">
        <f>(VLOOKUP('15.01'!T85,'15.01'!$AM$4:$AO$55,3,FALSE))</f>
        <v>55</v>
      </c>
      <c r="M85" s="4">
        <f>(VLOOKUP('15.01'!U85,'15.01'!$AM$4:$AO$55,3,FALSE))</f>
        <v>55</v>
      </c>
      <c r="N85" s="4">
        <f>(VLOOKUP('15.01'!V85,'15.01'!$AM$4:$AO$55,3,FALSE))</f>
        <v>55</v>
      </c>
      <c r="O85" s="5">
        <f>(VLOOKUP('15.01'!W85,'15.01'!$AM$4:$AO$55,3,FALSE))</f>
        <v>0</v>
      </c>
      <c r="P85" s="5">
        <f>(VLOOKUP('15.01'!X85,'15.01'!$AM$4:$AO$55,3,FALSE))</f>
        <v>0</v>
      </c>
      <c r="Q85" s="4">
        <f>(VLOOKUP('15.01'!Y85,'15.01'!$AM$4:$AO$55,3,FALSE))</f>
        <v>55</v>
      </c>
      <c r="R85" s="4">
        <f>(VLOOKUP('15.01'!Z85,'15.01'!$AM$4:$AO$55,3,FALSE))</f>
        <v>55</v>
      </c>
      <c r="S85" s="4">
        <f>(VLOOKUP('15.01'!AA85,'15.01'!$AM$4:$AO$55,3,FALSE))</f>
        <v>55</v>
      </c>
      <c r="T85" s="4">
        <f>(VLOOKUP('15.01'!AB85,'15.01'!$AM$4:$AO$55,3,FALSE))</f>
        <v>55</v>
      </c>
      <c r="U85" s="4">
        <f>(VLOOKUP('15.01'!AC85,'15.01'!$AM$4:$AO$55,3,FALSE))</f>
        <v>55</v>
      </c>
      <c r="V85" s="4">
        <f>(VLOOKUP('15.01'!AD85,'15.01'!$AM$4:$AO$55,3,FALSE))</f>
        <v>55</v>
      </c>
      <c r="W85" s="5">
        <f>(VLOOKUP('15.01'!AE85,'15.01'!$AM$4:$AO$55,3,FALSE))</f>
        <v>0</v>
      </c>
      <c r="X85" s="5">
        <f>(VLOOKUP('15.01'!AF85,'15.01'!$AM$4:$AO$55,3,FALSE))</f>
        <v>0</v>
      </c>
    </row>
    <row r="86" spans="1:24">
      <c r="A86" s="4">
        <f>(VLOOKUP('15.01'!I86,'15.01'!$AM$4:$AO$55,3,FALSE))</f>
        <v>0</v>
      </c>
      <c r="B86" s="4">
        <f>(VLOOKUP('15.01'!J86,'15.01'!$AM$4:$AO$55,3,FALSE))</f>
        <v>0</v>
      </c>
      <c r="C86" s="4">
        <f>(VLOOKUP('15.01'!K86,'15.01'!$AM$4:$AO$55,3,FALSE))</f>
        <v>0</v>
      </c>
      <c r="D86" s="4">
        <f>(VLOOKUP('15.01'!L86,'15.01'!$AM$4:$AO$55,3,FALSE))</f>
        <v>0</v>
      </c>
      <c r="E86" s="4">
        <f>(VLOOKUP('15.01'!M86,'15.01'!$AM$4:$AO$55,3,FALSE))</f>
        <v>0</v>
      </c>
      <c r="F86" s="4">
        <f>(VLOOKUP('15.01'!N86,'15.01'!$AM$4:$AO$55,3,FALSE))</f>
        <v>0</v>
      </c>
      <c r="G86" s="5">
        <f>(VLOOKUP('15.01'!O86,'15.01'!$AM$4:$AO$55,3,FALSE))</f>
        <v>0</v>
      </c>
      <c r="H86" s="5">
        <f>(VLOOKUP('15.01'!P86,'15.01'!$AM$4:$AO$55,3,FALSE))</f>
        <v>0</v>
      </c>
      <c r="I86" s="4">
        <f>(VLOOKUP('15.01'!Q86,'15.01'!$AM$4:$AO$55,3,FALSE))</f>
        <v>55</v>
      </c>
      <c r="J86" s="4">
        <f>(VLOOKUP('15.01'!R86,'15.01'!$AM$4:$AO$55,3,FALSE))</f>
        <v>0</v>
      </c>
      <c r="K86" s="4">
        <f>(VLOOKUP('15.01'!S86,'15.01'!$AM$4:$AO$55,3,FALSE))</f>
        <v>55</v>
      </c>
      <c r="L86" s="4">
        <f>(VLOOKUP('15.01'!T86,'15.01'!$AM$4:$AO$55,3,FALSE))</f>
        <v>55</v>
      </c>
      <c r="M86" s="4">
        <f>(VLOOKUP('15.01'!U86,'15.01'!$AM$4:$AO$55,3,FALSE))</f>
        <v>55</v>
      </c>
      <c r="N86" s="4">
        <f>(VLOOKUP('15.01'!V86,'15.01'!$AM$4:$AO$55,3,FALSE))</f>
        <v>55</v>
      </c>
      <c r="O86" s="5">
        <f>(VLOOKUP('15.01'!W86,'15.01'!$AM$4:$AO$55,3,FALSE))</f>
        <v>0</v>
      </c>
      <c r="P86" s="5">
        <f>(VLOOKUP('15.01'!X86,'15.01'!$AM$4:$AO$55,3,FALSE))</f>
        <v>0</v>
      </c>
      <c r="Q86" s="4">
        <f>(VLOOKUP('15.01'!Y86,'15.01'!$AM$4:$AO$55,3,FALSE))</f>
        <v>55</v>
      </c>
      <c r="R86" s="4">
        <f>(VLOOKUP('15.01'!Z86,'15.01'!$AM$4:$AO$55,3,FALSE))</f>
        <v>55</v>
      </c>
      <c r="S86" s="4">
        <f>(VLOOKUP('15.01'!AA86,'15.01'!$AM$4:$AO$55,3,FALSE))</f>
        <v>55</v>
      </c>
      <c r="T86" s="4">
        <f>(VLOOKUP('15.01'!AB86,'15.01'!$AM$4:$AO$55,3,FALSE))</f>
        <v>55</v>
      </c>
      <c r="U86" s="4">
        <f>(VLOOKUP('15.01'!AC86,'15.01'!$AM$4:$AO$55,3,FALSE))</f>
        <v>55</v>
      </c>
      <c r="V86" s="4">
        <f>(VLOOKUP('15.01'!AD86,'15.01'!$AM$4:$AO$55,3,FALSE))</f>
        <v>55</v>
      </c>
      <c r="W86" s="5">
        <f>(VLOOKUP('15.01'!AE86,'15.01'!$AM$4:$AO$55,3,FALSE))</f>
        <v>30</v>
      </c>
      <c r="X86" s="5">
        <f>(VLOOKUP('15.01'!AF86,'15.01'!$AM$4:$AO$55,3,FALSE))</f>
        <v>0</v>
      </c>
    </row>
    <row r="87" spans="1:24">
      <c r="A87" s="4">
        <f>(VLOOKUP('15.01'!I87,'15.01'!$AM$4:$AO$55,3,FALSE))</f>
        <v>35</v>
      </c>
      <c r="B87" s="4">
        <f>(VLOOKUP('15.01'!J87,'15.01'!$AM$4:$AO$55,3,FALSE))</f>
        <v>35</v>
      </c>
      <c r="C87" s="4">
        <f>(VLOOKUP('15.01'!K87,'15.01'!$AM$4:$AO$55,3,FALSE))</f>
        <v>30</v>
      </c>
      <c r="D87" s="4">
        <f>(VLOOKUP('15.01'!L87,'15.01'!$AM$4:$AO$55,3,FALSE))</f>
        <v>35</v>
      </c>
      <c r="E87" s="4">
        <f>(VLOOKUP('15.01'!M87,'15.01'!$AM$4:$AO$55,3,FALSE))</f>
        <v>40</v>
      </c>
      <c r="F87" s="4">
        <f>(VLOOKUP('15.01'!N87,'15.01'!$AM$4:$AO$55,3,FALSE))</f>
        <v>30</v>
      </c>
      <c r="G87" s="5">
        <f>(VLOOKUP('15.01'!O87,'15.01'!$AM$4:$AO$55,3,FALSE))</f>
        <v>0</v>
      </c>
      <c r="H87" s="5">
        <f>(VLOOKUP('15.01'!P87,'15.01'!$AM$4:$AO$55,3,FALSE))</f>
        <v>0</v>
      </c>
      <c r="I87" s="4">
        <f>(VLOOKUP('15.01'!Q87,'15.01'!$AM$4:$AO$55,3,FALSE))</f>
        <v>55</v>
      </c>
      <c r="J87" s="4">
        <f>(VLOOKUP('15.01'!R87,'15.01'!$AM$4:$AO$55,3,FALSE))</f>
        <v>55</v>
      </c>
      <c r="K87" s="4">
        <f>(VLOOKUP('15.01'!S87,'15.01'!$AM$4:$AO$55,3,FALSE))</f>
        <v>55</v>
      </c>
      <c r="L87" s="4">
        <f>(VLOOKUP('15.01'!T87,'15.01'!$AM$4:$AO$55,3,FALSE))</f>
        <v>55</v>
      </c>
      <c r="M87" s="4">
        <f>(VLOOKUP('15.01'!U87,'15.01'!$AM$4:$AO$55,3,FALSE))</f>
        <v>55</v>
      </c>
      <c r="N87" s="4">
        <f>(VLOOKUP('15.01'!V87,'15.01'!$AM$4:$AO$55,3,FALSE))</f>
        <v>55</v>
      </c>
      <c r="O87" s="5">
        <f>(VLOOKUP('15.01'!W87,'15.01'!$AM$4:$AO$55,3,FALSE))</f>
        <v>0</v>
      </c>
      <c r="P87" s="5">
        <f>(VLOOKUP('15.01'!X87,'15.01'!$AM$4:$AO$55,3,FALSE))</f>
        <v>0</v>
      </c>
      <c r="Q87" s="4">
        <f>(VLOOKUP('15.01'!Y87,'15.01'!$AM$4:$AO$55,3,FALSE))</f>
        <v>55</v>
      </c>
      <c r="R87" s="4">
        <f>(VLOOKUP('15.01'!Z87,'15.01'!$AM$4:$AO$55,3,FALSE))</f>
        <v>55</v>
      </c>
      <c r="S87" s="4">
        <f>(VLOOKUP('15.01'!AA87,'15.01'!$AM$4:$AO$55,3,FALSE))</f>
        <v>55</v>
      </c>
      <c r="T87" s="4">
        <f>(VLOOKUP('15.01'!AB87,'15.01'!$AM$4:$AO$55,3,FALSE))</f>
        <v>55</v>
      </c>
      <c r="U87" s="4">
        <f>(VLOOKUP('15.01'!AC87,'15.01'!$AM$4:$AO$55,3,FALSE))</f>
        <v>55</v>
      </c>
      <c r="V87" s="4">
        <f>(VLOOKUP('15.01'!AD87,'15.01'!$AM$4:$AO$55,3,FALSE))</f>
        <v>55</v>
      </c>
      <c r="W87" s="5">
        <f>(VLOOKUP('15.01'!AE87,'15.01'!$AM$4:$AO$55,3,FALSE))</f>
        <v>0</v>
      </c>
      <c r="X87" s="5">
        <f>(VLOOKUP('15.01'!AF87,'15.01'!$AM$4:$AO$55,3,FALSE))</f>
        <v>0</v>
      </c>
    </row>
    <row r="88" spans="1:24">
      <c r="A88" s="4">
        <f>(VLOOKUP('15.01'!I88,'15.01'!$AM$4:$AO$55,3,FALSE))</f>
        <v>40</v>
      </c>
      <c r="B88" s="4">
        <f>(VLOOKUP('15.01'!J88,'15.01'!$AM$4:$AO$55,3,FALSE))</f>
        <v>0</v>
      </c>
      <c r="C88" s="4">
        <f>(VLOOKUP('15.01'!K88,'15.01'!$AM$4:$AO$55,3,FALSE))</f>
        <v>40</v>
      </c>
      <c r="D88" s="4">
        <f>(VLOOKUP('15.01'!L88,'15.01'!$AM$4:$AO$55,3,FALSE))</f>
        <v>40</v>
      </c>
      <c r="E88" s="4">
        <f>(VLOOKUP('15.01'!M88,'15.01'!$AM$4:$AO$55,3,FALSE))</f>
        <v>40</v>
      </c>
      <c r="F88" s="4">
        <f>(VLOOKUP('15.01'!N88,'15.01'!$AM$4:$AO$55,3,FALSE))</f>
        <v>40</v>
      </c>
      <c r="G88" s="5">
        <f>(VLOOKUP('15.01'!O88,'15.01'!$AM$4:$AO$55,3,FALSE))</f>
        <v>0</v>
      </c>
      <c r="H88" s="5">
        <f>(VLOOKUP('15.01'!P88,'15.01'!$AM$4:$AO$55,3,FALSE))</f>
        <v>0</v>
      </c>
      <c r="I88" s="4">
        <f>(VLOOKUP('15.01'!Q88,'15.01'!$AM$4:$AO$55,3,FALSE))</f>
        <v>55</v>
      </c>
      <c r="J88" s="4">
        <f>(VLOOKUP('15.01'!R88,'15.01'!$AM$4:$AO$55,3,FALSE))</f>
        <v>55</v>
      </c>
      <c r="K88" s="4">
        <f>(VLOOKUP('15.01'!S88,'15.01'!$AM$4:$AO$55,3,FALSE))</f>
        <v>55</v>
      </c>
      <c r="L88" s="4">
        <f>(VLOOKUP('15.01'!T88,'15.01'!$AM$4:$AO$55,3,FALSE))</f>
        <v>30</v>
      </c>
      <c r="M88" s="4">
        <f>(VLOOKUP('15.01'!U88,'15.01'!$AM$4:$AO$55,3,FALSE))</f>
        <v>0</v>
      </c>
      <c r="N88" s="4">
        <f>(VLOOKUP('15.01'!V88,'15.01'!$AM$4:$AO$55,3,FALSE))</f>
        <v>0</v>
      </c>
      <c r="O88" s="5">
        <f>(VLOOKUP('15.01'!W88,'15.01'!$AM$4:$AO$55,3,FALSE))</f>
        <v>0</v>
      </c>
      <c r="P88" s="5">
        <f>(VLOOKUP('15.01'!X88,'15.01'!$AM$4:$AO$55,3,FALSE))</f>
        <v>0</v>
      </c>
      <c r="Q88" s="4">
        <f>(VLOOKUP('15.01'!Y88,'15.01'!$AM$4:$AO$55,3,FALSE))</f>
        <v>55</v>
      </c>
      <c r="R88" s="4">
        <f>(VLOOKUP('15.01'!Z88,'15.01'!$AM$4:$AO$55,3,FALSE))</f>
        <v>55</v>
      </c>
      <c r="S88" s="4">
        <f>(VLOOKUP('15.01'!AA88,'15.01'!$AM$4:$AO$55,3,FALSE))</f>
        <v>55</v>
      </c>
      <c r="T88" s="4">
        <f>(VLOOKUP('15.01'!AB88,'15.01'!$AM$4:$AO$55,3,FALSE))</f>
        <v>55</v>
      </c>
      <c r="U88" s="4">
        <f>(VLOOKUP('15.01'!AC88,'15.01'!$AM$4:$AO$55,3,FALSE))</f>
        <v>55</v>
      </c>
      <c r="V88" s="4">
        <f>(VLOOKUP('15.01'!AD88,'15.01'!$AM$4:$AO$55,3,FALSE))</f>
        <v>55</v>
      </c>
      <c r="W88" s="5">
        <f>(VLOOKUP('15.01'!AE88,'15.01'!$AM$4:$AO$55,3,FALSE))</f>
        <v>0</v>
      </c>
      <c r="X88" s="5">
        <f>(VLOOKUP('15.01'!AF88,'15.01'!$AM$4:$AO$55,3,FALSE))</f>
        <v>0</v>
      </c>
    </row>
    <row r="89" spans="1:24">
      <c r="A89" s="4">
        <f>(VLOOKUP('15.01'!I89,'15.01'!$AM$4:$AO$55,3,FALSE))</f>
        <v>520</v>
      </c>
      <c r="B89" s="4">
        <f>(VLOOKUP('15.01'!J89,'15.01'!$AM$4:$AO$55,3,FALSE))</f>
        <v>40</v>
      </c>
      <c r="C89" s="4">
        <f>(VLOOKUP('15.01'!K89,'15.01'!$AM$4:$AO$55,3,FALSE))</f>
        <v>30</v>
      </c>
      <c r="D89" s="4">
        <f>(VLOOKUP('15.01'!L89,'15.01'!$AM$4:$AO$55,3,FALSE))</f>
        <v>0</v>
      </c>
      <c r="E89" s="4">
        <f>(VLOOKUP('15.01'!M89,'15.01'!$AM$4:$AO$55,3,FALSE))</f>
        <v>0</v>
      </c>
      <c r="F89" s="4">
        <f>(VLOOKUP('15.01'!N89,'15.01'!$AM$4:$AO$55,3,FALSE))</f>
        <v>0</v>
      </c>
      <c r="G89" s="5">
        <f>(VLOOKUP('15.01'!O89,'15.01'!$AM$4:$AO$55,3,FALSE))</f>
        <v>0</v>
      </c>
      <c r="H89" s="5">
        <f>(VLOOKUP('15.01'!P89,'15.01'!$AM$4:$AO$55,3,FALSE))</f>
        <v>0</v>
      </c>
      <c r="I89" s="4">
        <f>(VLOOKUP('15.01'!Q89,'15.01'!$AM$4:$AO$55,3,FALSE))</f>
        <v>55</v>
      </c>
      <c r="J89" s="4">
        <f>(VLOOKUP('15.01'!R89,'15.01'!$AM$4:$AO$55,3,FALSE))</f>
        <v>55</v>
      </c>
      <c r="K89" s="4">
        <f>(VLOOKUP('15.01'!S89,'15.01'!$AM$4:$AO$55,3,FALSE))</f>
        <v>55</v>
      </c>
      <c r="L89" s="4">
        <f>(VLOOKUP('15.01'!T89,'15.01'!$AM$4:$AO$55,3,FALSE))</f>
        <v>55</v>
      </c>
      <c r="M89" s="4">
        <f>(VLOOKUP('15.01'!U89,'15.01'!$AM$4:$AO$55,3,FALSE))</f>
        <v>55</v>
      </c>
      <c r="N89" s="4">
        <f>(VLOOKUP('15.01'!V89,'15.01'!$AM$4:$AO$55,3,FALSE))</f>
        <v>55</v>
      </c>
      <c r="O89" s="5">
        <f>(VLOOKUP('15.01'!W89,'15.01'!$AM$4:$AO$55,3,FALSE))</f>
        <v>0</v>
      </c>
      <c r="P89" s="5">
        <f>(VLOOKUP('15.01'!X89,'15.01'!$AM$4:$AO$55,3,FALSE))</f>
        <v>0</v>
      </c>
      <c r="Q89" s="4">
        <f>(VLOOKUP('15.01'!Y89,'15.01'!$AM$4:$AO$55,3,FALSE))</f>
        <v>55</v>
      </c>
      <c r="R89" s="4">
        <f>(VLOOKUP('15.01'!Z89,'15.01'!$AM$4:$AO$55,3,FALSE))</f>
        <v>55</v>
      </c>
      <c r="S89" s="4">
        <f>(VLOOKUP('15.01'!AA89,'15.01'!$AM$4:$AO$55,3,FALSE))</f>
        <v>55</v>
      </c>
      <c r="T89" s="4">
        <f>(VLOOKUP('15.01'!AB89,'15.01'!$AM$4:$AO$55,3,FALSE))</f>
        <v>55</v>
      </c>
      <c r="U89" s="4">
        <f>(VLOOKUP('15.01'!AC89,'15.01'!$AM$4:$AO$55,3,FALSE))</f>
        <v>55</v>
      </c>
      <c r="V89" s="4">
        <f>(VLOOKUP('15.01'!AD89,'15.01'!$AM$4:$AO$55,3,FALSE))</f>
        <v>55</v>
      </c>
      <c r="W89" s="5">
        <f>(VLOOKUP('15.01'!AE89,'15.01'!$AM$4:$AO$55,3,FALSE))</f>
        <v>0</v>
      </c>
      <c r="X89" s="5">
        <f>(VLOOKUP('15.01'!AF89,'15.01'!$AM$4:$AO$55,3,FALSE))</f>
        <v>0</v>
      </c>
    </row>
    <row r="90" spans="1:24">
      <c r="A90" s="4">
        <f>(VLOOKUP('15.01'!I90,'15.01'!$AM$4:$AO$55,3,FALSE))</f>
        <v>40</v>
      </c>
      <c r="B90" s="4">
        <f>(VLOOKUP('15.01'!J90,'15.01'!$AM$4:$AO$55,3,FALSE))</f>
        <v>40</v>
      </c>
      <c r="C90" s="4">
        <f>(VLOOKUP('15.01'!K90,'15.01'!$AM$4:$AO$55,3,FALSE))</f>
        <v>40</v>
      </c>
      <c r="D90" s="4">
        <f>(VLOOKUP('15.01'!L90,'15.01'!$AM$4:$AO$55,3,FALSE))</f>
        <v>40</v>
      </c>
      <c r="E90" s="4">
        <f>(VLOOKUP('15.01'!M90,'15.01'!$AM$4:$AO$55,3,FALSE))</f>
        <v>30</v>
      </c>
      <c r="F90" s="4">
        <f>(VLOOKUP('15.01'!N90,'15.01'!$AM$4:$AO$55,3,FALSE))</f>
        <v>40</v>
      </c>
      <c r="G90" s="5">
        <f>(VLOOKUP('15.01'!O90,'15.01'!$AM$4:$AO$55,3,FALSE))</f>
        <v>0</v>
      </c>
      <c r="H90" s="5">
        <f>(VLOOKUP('15.01'!P90,'15.01'!$AM$4:$AO$55,3,FALSE))</f>
        <v>0</v>
      </c>
      <c r="I90" s="4">
        <f>(VLOOKUP('15.01'!Q90,'15.01'!$AM$4:$AO$55,3,FALSE))</f>
        <v>55</v>
      </c>
      <c r="J90" s="4">
        <f>(VLOOKUP('15.01'!R90,'15.01'!$AM$4:$AO$55,3,FALSE))</f>
        <v>55</v>
      </c>
      <c r="K90" s="4">
        <f>(VLOOKUP('15.01'!S90,'15.01'!$AM$4:$AO$55,3,FALSE))</f>
        <v>55</v>
      </c>
      <c r="L90" s="4">
        <f>(VLOOKUP('15.01'!T90,'15.01'!$AM$4:$AO$55,3,FALSE))</f>
        <v>520</v>
      </c>
      <c r="M90" s="4">
        <f>(VLOOKUP('15.01'!U90,'15.01'!$AM$4:$AO$55,3,FALSE))</f>
        <v>55</v>
      </c>
      <c r="N90" s="4">
        <f>(VLOOKUP('15.01'!V90,'15.01'!$AM$4:$AO$55,3,FALSE))</f>
        <v>55</v>
      </c>
      <c r="O90" s="5">
        <f>(VLOOKUP('15.01'!W90,'15.01'!$AM$4:$AO$55,3,FALSE))</f>
        <v>0</v>
      </c>
      <c r="P90" s="5">
        <f>(VLOOKUP('15.01'!X90,'15.01'!$AM$4:$AO$55,3,FALSE))</f>
        <v>0</v>
      </c>
      <c r="Q90" s="4">
        <f>(VLOOKUP('15.01'!Y90,'15.01'!$AM$4:$AO$55,3,FALSE))</f>
        <v>55</v>
      </c>
      <c r="R90" s="4">
        <f>(VLOOKUP('15.01'!Z90,'15.01'!$AM$4:$AO$55,3,FALSE))</f>
        <v>55</v>
      </c>
      <c r="S90" s="4">
        <f>(VLOOKUP('15.01'!AA90,'15.01'!$AM$4:$AO$55,3,FALSE))</f>
        <v>55</v>
      </c>
      <c r="T90" s="4">
        <f>(VLOOKUP('15.01'!AB90,'15.01'!$AM$4:$AO$55,3,FALSE))</f>
        <v>55</v>
      </c>
      <c r="U90" s="4">
        <f>(VLOOKUP('15.01'!AC90,'15.01'!$AM$4:$AO$55,3,FALSE))</f>
        <v>55</v>
      </c>
      <c r="V90" s="4">
        <f>(VLOOKUP('15.01'!AD90,'15.01'!$AM$4:$AO$55,3,FALSE))</f>
        <v>55</v>
      </c>
      <c r="W90" s="5">
        <f>(VLOOKUP('15.01'!AE90,'15.01'!$AM$4:$AO$55,3,FALSE))</f>
        <v>0</v>
      </c>
      <c r="X90" s="5">
        <f>(VLOOKUP('15.01'!AF90,'15.01'!$AM$4:$AO$55,3,FALSE))</f>
        <v>0</v>
      </c>
    </row>
    <row r="91" spans="1:24">
      <c r="A91" s="4">
        <f>(VLOOKUP('15.01'!I91,'15.01'!$AM$4:$AO$55,3,FALSE))</f>
        <v>30</v>
      </c>
      <c r="B91" s="4">
        <f>(VLOOKUP('15.01'!J91,'15.01'!$AM$4:$AO$55,3,FALSE))</f>
        <v>40</v>
      </c>
      <c r="C91" s="4">
        <f>(VLOOKUP('15.01'!K91,'15.01'!$AM$4:$AO$55,3,FALSE))</f>
        <v>40</v>
      </c>
      <c r="D91" s="4">
        <f>(VLOOKUP('15.01'!L91,'15.01'!$AM$4:$AO$55,3,FALSE))</f>
        <v>40</v>
      </c>
      <c r="E91" s="4">
        <f>(VLOOKUP('15.01'!M91,'15.01'!$AM$4:$AO$55,3,FALSE))</f>
        <v>40</v>
      </c>
      <c r="F91" s="4">
        <f>(VLOOKUP('15.01'!N91,'15.01'!$AM$4:$AO$55,3,FALSE))</f>
        <v>30</v>
      </c>
      <c r="G91" s="5">
        <f>(VLOOKUP('15.01'!O91,'15.01'!$AM$4:$AO$55,3,FALSE))</f>
        <v>0</v>
      </c>
      <c r="H91" s="5">
        <f>(VLOOKUP('15.01'!P91,'15.01'!$AM$4:$AO$55,3,FALSE))</f>
        <v>0</v>
      </c>
      <c r="I91" s="4">
        <f>(VLOOKUP('15.01'!Q91,'15.01'!$AM$4:$AO$55,3,FALSE))</f>
        <v>55</v>
      </c>
      <c r="J91" s="4">
        <f>(VLOOKUP('15.01'!R91,'15.01'!$AM$4:$AO$55,3,FALSE))</f>
        <v>55</v>
      </c>
      <c r="K91" s="4">
        <f>(VLOOKUP('15.01'!S91,'15.01'!$AM$4:$AO$55,3,FALSE))</f>
        <v>55</v>
      </c>
      <c r="L91" s="4">
        <f>(VLOOKUP('15.01'!T91,'15.01'!$AM$4:$AO$55,3,FALSE))</f>
        <v>500</v>
      </c>
      <c r="M91" s="4">
        <f>(VLOOKUP('15.01'!U91,'15.01'!$AM$4:$AO$55,3,FALSE))</f>
        <v>55</v>
      </c>
      <c r="N91" s="4">
        <f>(VLOOKUP('15.01'!V91,'15.01'!$AM$4:$AO$55,3,FALSE))</f>
        <v>55</v>
      </c>
      <c r="O91" s="5">
        <f>(VLOOKUP('15.01'!W91,'15.01'!$AM$4:$AO$55,3,FALSE))</f>
        <v>0</v>
      </c>
      <c r="P91" s="5">
        <f>(VLOOKUP('15.01'!X91,'15.01'!$AM$4:$AO$55,3,FALSE))</f>
        <v>0</v>
      </c>
      <c r="Q91" s="4">
        <f>(VLOOKUP('15.01'!Y91,'15.01'!$AM$4:$AO$55,3,FALSE))</f>
        <v>55</v>
      </c>
      <c r="R91" s="4">
        <f>(VLOOKUP('15.01'!Z91,'15.01'!$AM$4:$AO$55,3,FALSE))</f>
        <v>55</v>
      </c>
      <c r="S91" s="4">
        <f>(VLOOKUP('15.01'!AA91,'15.01'!$AM$4:$AO$55,3,FALSE))</f>
        <v>55</v>
      </c>
      <c r="T91" s="4">
        <f>(VLOOKUP('15.01'!AB91,'15.01'!$AM$4:$AO$55,3,FALSE))</f>
        <v>55</v>
      </c>
      <c r="U91" s="4">
        <f>(VLOOKUP('15.01'!AC91,'15.01'!$AM$4:$AO$55,3,FALSE))</f>
        <v>55</v>
      </c>
      <c r="V91" s="4">
        <f>(VLOOKUP('15.01'!AD91,'15.01'!$AM$4:$AO$55,3,FALSE))</f>
        <v>55</v>
      </c>
      <c r="W91" s="5">
        <f>(VLOOKUP('15.01'!AE91,'15.01'!$AM$4:$AO$55,3,FALSE))</f>
        <v>0</v>
      </c>
      <c r="X91" s="5">
        <f>(VLOOKUP('15.01'!AF91,'15.01'!$AM$4:$AO$55,3,FALSE))</f>
        <v>0</v>
      </c>
    </row>
    <row r="92" spans="1:24">
      <c r="A92" s="4">
        <f>(VLOOKUP('15.01'!I92,'15.01'!$AM$4:$AO$55,3,FALSE))</f>
        <v>40</v>
      </c>
      <c r="B92" s="4">
        <f>(VLOOKUP('15.01'!J92,'15.01'!$AM$4:$AO$55,3,FALSE))</f>
        <v>40</v>
      </c>
      <c r="C92" s="4">
        <f>(VLOOKUP('15.01'!K92,'15.01'!$AM$4:$AO$55,3,FALSE))</f>
        <v>30</v>
      </c>
      <c r="D92" s="4">
        <f>(VLOOKUP('15.01'!L92,'15.01'!$AM$4:$AO$55,3,FALSE))</f>
        <v>40</v>
      </c>
      <c r="E92" s="4">
        <f>(VLOOKUP('15.01'!M92,'15.01'!$AM$4:$AO$55,3,FALSE))</f>
        <v>40</v>
      </c>
      <c r="F92" s="4">
        <f>(VLOOKUP('15.01'!N92,'15.01'!$AM$4:$AO$55,3,FALSE))</f>
        <v>40</v>
      </c>
      <c r="G92" s="5">
        <f>(VLOOKUP('15.01'!O92,'15.01'!$AM$4:$AO$55,3,FALSE))</f>
        <v>40</v>
      </c>
      <c r="H92" s="5">
        <f>(VLOOKUP('15.01'!P92,'15.01'!$AM$4:$AO$55,3,FALSE))</f>
        <v>40</v>
      </c>
      <c r="I92" s="4">
        <f>(VLOOKUP('15.01'!Q92,'15.01'!$AM$4:$AO$55,3,FALSE))</f>
        <v>55</v>
      </c>
      <c r="J92" s="4">
        <f>(VLOOKUP('15.01'!R92,'15.01'!$AM$4:$AO$55,3,FALSE))</f>
        <v>55</v>
      </c>
      <c r="K92" s="4">
        <f>(VLOOKUP('15.01'!S92,'15.01'!$AM$4:$AO$55,3,FALSE))</f>
        <v>55</v>
      </c>
      <c r="L92" s="4">
        <f>(VLOOKUP('15.01'!T92,'15.01'!$AM$4:$AO$55,3,FALSE))</f>
        <v>55</v>
      </c>
      <c r="M92" s="4">
        <f>(VLOOKUP('15.01'!U92,'15.01'!$AM$4:$AO$55,3,FALSE))</f>
        <v>55</v>
      </c>
      <c r="N92" s="4">
        <f>(VLOOKUP('15.01'!V92,'15.01'!$AM$4:$AO$55,3,FALSE))</f>
        <v>55</v>
      </c>
      <c r="O92" s="5">
        <f>(VLOOKUP('15.01'!W92,'15.01'!$AM$4:$AO$55,3,FALSE))</f>
        <v>0</v>
      </c>
      <c r="P92" s="5">
        <f>(VLOOKUP('15.01'!X92,'15.01'!$AM$4:$AO$55,3,FALSE))</f>
        <v>0</v>
      </c>
      <c r="Q92" s="4">
        <f>(VLOOKUP('15.01'!Y92,'15.01'!$AM$4:$AO$55,3,FALSE))</f>
        <v>55</v>
      </c>
      <c r="R92" s="4">
        <f>(VLOOKUP('15.01'!Z92,'15.01'!$AM$4:$AO$55,3,FALSE))</f>
        <v>55</v>
      </c>
      <c r="S92" s="4">
        <f>(VLOOKUP('15.01'!AA92,'15.01'!$AM$4:$AO$55,3,FALSE))</f>
        <v>55</v>
      </c>
      <c r="T92" s="4">
        <f>(VLOOKUP('15.01'!AB92,'15.01'!$AM$4:$AO$55,3,FALSE))</f>
        <v>0</v>
      </c>
      <c r="U92" s="4">
        <f>(VLOOKUP('15.01'!AC92,'15.01'!$AM$4:$AO$55,3,FALSE))</f>
        <v>0</v>
      </c>
      <c r="V92" s="4">
        <f>(VLOOKUP('15.01'!AD92,'15.01'!$AM$4:$AO$55,3,FALSE))</f>
        <v>0</v>
      </c>
      <c r="W92" s="5">
        <f>(VLOOKUP('15.01'!AE92,'15.01'!$AM$4:$AO$55,3,FALSE))</f>
        <v>0</v>
      </c>
      <c r="X92" s="5">
        <f>(VLOOKUP('15.01'!AF92,'15.01'!$AM$4:$AO$55,3,FALSE))</f>
        <v>0</v>
      </c>
    </row>
    <row r="93" spans="1:24">
      <c r="A93" s="4">
        <f>(VLOOKUP('15.01'!I93,'15.01'!$AM$4:$AO$55,3,FALSE))</f>
        <v>0</v>
      </c>
      <c r="B93" s="4">
        <f>(VLOOKUP('15.01'!J93,'15.01'!$AM$4:$AO$55,3,FALSE))</f>
        <v>0</v>
      </c>
      <c r="C93" s="4">
        <f>(VLOOKUP('15.01'!K93,'15.01'!$AM$4:$AO$55,3,FALSE))</f>
        <v>40</v>
      </c>
      <c r="D93" s="4">
        <f>(VLOOKUP('15.01'!L93,'15.01'!$AM$4:$AO$55,3,FALSE))</f>
        <v>30</v>
      </c>
      <c r="E93" s="4">
        <f>(VLOOKUP('15.01'!M93,'15.01'!$AM$4:$AO$55,3,FALSE))</f>
        <v>0</v>
      </c>
      <c r="F93" s="4">
        <f>(VLOOKUP('15.01'!N93,'15.01'!$AM$4:$AO$55,3,FALSE))</f>
        <v>0</v>
      </c>
      <c r="G93" s="5">
        <f>(VLOOKUP('15.01'!O93,'15.01'!$AM$4:$AO$55,3,FALSE))</f>
        <v>0</v>
      </c>
      <c r="H93" s="5">
        <f>(VLOOKUP('15.01'!P93,'15.01'!$AM$4:$AO$55,3,FALSE))</f>
        <v>0</v>
      </c>
      <c r="I93" s="4">
        <f>(VLOOKUP('15.01'!Q93,'15.01'!$AM$4:$AO$55,3,FALSE))</f>
        <v>55</v>
      </c>
      <c r="J93" s="4">
        <f>(VLOOKUP('15.01'!R93,'15.01'!$AM$4:$AO$55,3,FALSE))</f>
        <v>55</v>
      </c>
      <c r="K93" s="4">
        <f>(VLOOKUP('15.01'!S93,'15.01'!$AM$4:$AO$55,3,FALSE))</f>
        <v>55</v>
      </c>
      <c r="L93" s="4">
        <f>(VLOOKUP('15.01'!T93,'15.01'!$AM$4:$AO$55,3,FALSE))</f>
        <v>55</v>
      </c>
      <c r="M93" s="4">
        <f>(VLOOKUP('15.01'!U93,'15.01'!$AM$4:$AO$55,3,FALSE))</f>
        <v>55</v>
      </c>
      <c r="N93" s="4">
        <f>(VLOOKUP('15.01'!V93,'15.01'!$AM$4:$AO$55,3,FALSE))</f>
        <v>55</v>
      </c>
      <c r="O93" s="5">
        <f>(VLOOKUP('15.01'!W93,'15.01'!$AM$4:$AO$55,3,FALSE))</f>
        <v>55</v>
      </c>
      <c r="P93" s="5">
        <f>(VLOOKUP('15.01'!X93,'15.01'!$AM$4:$AO$55,3,FALSE))</f>
        <v>0</v>
      </c>
      <c r="Q93" s="4">
        <f>(VLOOKUP('15.01'!Y93,'15.01'!$AM$4:$AO$55,3,FALSE))</f>
        <v>55</v>
      </c>
      <c r="R93" s="4">
        <f>(VLOOKUP('15.01'!Z93,'15.01'!$AM$4:$AO$55,3,FALSE))</f>
        <v>55</v>
      </c>
      <c r="S93" s="4">
        <f>(VLOOKUP('15.01'!AA93,'15.01'!$AM$4:$AO$55,3,FALSE))</f>
        <v>55</v>
      </c>
      <c r="T93" s="4">
        <f>(VLOOKUP('15.01'!AB93,'15.01'!$AM$4:$AO$55,3,FALSE))</f>
        <v>0</v>
      </c>
      <c r="U93" s="4">
        <f>(VLOOKUP('15.01'!AC93,'15.01'!$AM$4:$AO$55,3,FALSE))</f>
        <v>0</v>
      </c>
      <c r="V93" s="4">
        <f>(VLOOKUP('15.01'!AD93,'15.01'!$AM$4:$AO$55,3,FALSE))</f>
        <v>0</v>
      </c>
      <c r="W93" s="5">
        <f>(VLOOKUP('15.01'!AE93,'15.01'!$AM$4:$AO$55,3,FALSE))</f>
        <v>0</v>
      </c>
      <c r="X93" s="5">
        <f>(VLOOKUP('15.01'!AF93,'15.01'!$AM$4:$AO$55,3,FALSE))</f>
        <v>0</v>
      </c>
    </row>
    <row r="94" spans="1:24">
      <c r="A94" s="4" t="e">
        <f>(VLOOKUP('15.01'!#REF!,'15.01'!$AM$4:$AO$55,3,FALSE))</f>
        <v>#REF!</v>
      </c>
      <c r="B94" s="4" t="e">
        <f>(VLOOKUP('15.01'!#REF!,'15.01'!$AM$4:$AO$55,3,FALSE))</f>
        <v>#REF!</v>
      </c>
      <c r="C94" s="4" t="e">
        <f>(VLOOKUP('15.01'!#REF!,'15.01'!$AM$4:$AO$55,3,FALSE))</f>
        <v>#REF!</v>
      </c>
      <c r="D94" s="4" t="e">
        <f>(VLOOKUP('15.01'!#REF!,'15.01'!$AM$4:$AO$55,3,FALSE))</f>
        <v>#REF!</v>
      </c>
      <c r="E94" s="4" t="e">
        <f>(VLOOKUP('15.01'!#REF!,'15.01'!$AM$4:$AO$55,3,FALSE))</f>
        <v>#REF!</v>
      </c>
      <c r="F94" s="4" t="e">
        <f>(VLOOKUP('15.01'!#REF!,'15.01'!$AM$4:$AO$55,3,FALSE))</f>
        <v>#REF!</v>
      </c>
      <c r="G94" s="5" t="e">
        <f>(VLOOKUP('15.01'!#REF!,'15.01'!$AM$4:$AO$55,3,FALSE))</f>
        <v>#REF!</v>
      </c>
      <c r="H94" s="5" t="e">
        <f>(VLOOKUP('15.01'!#REF!,'15.01'!$AM$4:$AO$55,3,FALSE))</f>
        <v>#REF!</v>
      </c>
      <c r="I94" s="4" t="e">
        <f>(VLOOKUP('15.01'!#REF!,'15.01'!$AM$4:$AO$55,3,FALSE))</f>
        <v>#REF!</v>
      </c>
      <c r="J94" s="4" t="e">
        <f>(VLOOKUP('15.01'!#REF!,'15.01'!$AM$4:$AO$55,3,FALSE))</f>
        <v>#REF!</v>
      </c>
      <c r="K94" s="4" t="e">
        <f>(VLOOKUP('15.01'!#REF!,'15.01'!$AM$4:$AO$55,3,FALSE))</f>
        <v>#REF!</v>
      </c>
      <c r="L94" s="4" t="e">
        <f>(VLOOKUP('15.01'!#REF!,'15.01'!$AM$4:$AO$55,3,FALSE))</f>
        <v>#REF!</v>
      </c>
      <c r="M94" s="4" t="e">
        <f>(VLOOKUP('15.01'!#REF!,'15.01'!$AM$4:$AO$55,3,FALSE))</f>
        <v>#REF!</v>
      </c>
      <c r="N94" s="4" t="e">
        <f>(VLOOKUP('15.01'!#REF!,'15.01'!$AM$4:$AO$55,3,FALSE))</f>
        <v>#REF!</v>
      </c>
      <c r="O94" s="5" t="e">
        <f>(VLOOKUP('15.01'!#REF!,'15.01'!$AM$4:$AO$55,3,FALSE))</f>
        <v>#REF!</v>
      </c>
      <c r="P94" s="5" t="e">
        <f>(VLOOKUP('15.01'!#REF!,'15.01'!$AM$4:$AO$55,3,FALSE))</f>
        <v>#REF!</v>
      </c>
      <c r="Q94" s="4" t="e">
        <f>(VLOOKUP('15.01'!#REF!,'15.01'!$AM$4:$AO$55,3,FALSE))</f>
        <v>#REF!</v>
      </c>
      <c r="R94" s="4" t="e">
        <f>(VLOOKUP('15.01'!#REF!,'15.01'!$AM$4:$AO$55,3,FALSE))</f>
        <v>#REF!</v>
      </c>
      <c r="S94" s="4" t="e">
        <f>(VLOOKUP('15.01'!#REF!,'15.01'!$AM$4:$AO$55,3,FALSE))</f>
        <v>#REF!</v>
      </c>
      <c r="T94" s="4" t="e">
        <f>(VLOOKUP('15.01'!#REF!,'15.01'!$AM$4:$AO$55,3,FALSE))</f>
        <v>#REF!</v>
      </c>
      <c r="U94" s="4" t="e">
        <f>(VLOOKUP('15.01'!#REF!,'15.01'!$AM$4:$AO$55,3,FALSE))</f>
        <v>#REF!</v>
      </c>
      <c r="V94" s="4" t="e">
        <f>(VLOOKUP('15.01'!#REF!,'15.01'!$AM$4:$AO$55,3,FALSE))</f>
        <v>#REF!</v>
      </c>
      <c r="W94" s="5" t="e">
        <f>(VLOOKUP('15.01'!#REF!,'15.01'!$AM$4:$AO$55,3,FALSE))</f>
        <v>#REF!</v>
      </c>
      <c r="X94" s="5" t="e">
        <f>(VLOOKUP('15.01'!#REF!,'15.01'!$AM$4:$AO$55,3,FALSE))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5"/>
  <sheetData>
    <row r="1" spans="1:24" ht="15.75" thickBot="1"/>
    <row r="2" spans="1:24">
      <c r="A2" s="149" t="s">
        <v>60</v>
      </c>
      <c r="B2" s="150"/>
      <c r="C2" s="45" t="s">
        <v>4</v>
      </c>
      <c r="D2" s="45">
        <f>COUNTIF(A4:H94,"&lt;&gt;空")</f>
        <v>728</v>
      </c>
      <c r="E2" s="150" t="s">
        <v>5</v>
      </c>
      <c r="F2" s="150"/>
      <c r="G2" s="150"/>
      <c r="H2" s="151"/>
      <c r="I2" s="152" t="s">
        <v>6</v>
      </c>
      <c r="J2" s="153"/>
      <c r="K2" s="46" t="s">
        <v>4</v>
      </c>
      <c r="L2" s="46">
        <f>COUNTIF(I4:P94,"&lt;&gt;空")</f>
        <v>728</v>
      </c>
      <c r="M2" s="153" t="s">
        <v>5</v>
      </c>
      <c r="N2" s="153"/>
      <c r="O2" s="153"/>
      <c r="P2" s="154"/>
      <c r="Q2" s="155" t="s">
        <v>7</v>
      </c>
      <c r="R2" s="147"/>
      <c r="S2" s="10" t="s">
        <v>8</v>
      </c>
      <c r="T2" s="47">
        <f>COUNTIF(Q4:X94,"&lt;&gt;空")</f>
        <v>728</v>
      </c>
      <c r="U2" s="147" t="s">
        <v>5</v>
      </c>
      <c r="V2" s="147"/>
      <c r="W2" s="147"/>
      <c r="X2" s="14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(VLOOKUP('15.01'!I4,'15.01'!$AM$4:$AP$55,4,FALSE))</f>
        <v>44.222109392472248</v>
      </c>
      <c r="B4" s="4">
        <f>(VLOOKUP('15.01'!J4,'15.01'!$AM$4:$AP$55,4,FALSE))</f>
        <v>44.222109392472248</v>
      </c>
      <c r="C4" s="4">
        <f>(VLOOKUP('15.01'!K4,'15.01'!$AM$4:$AP$55,4,FALSE))</f>
        <v>44.222109392472248</v>
      </c>
      <c r="D4" s="4">
        <f>(VLOOKUP('15.01'!L4,'15.01'!$AM$4:$AP$55,4,FALSE))</f>
        <v>44.222109392472248</v>
      </c>
      <c r="E4" s="4">
        <f>(VLOOKUP('15.01'!M4,'15.01'!$AM$4:$AP$55,4,FALSE))</f>
        <v>44.222109392472248</v>
      </c>
      <c r="F4" s="4">
        <f>(VLOOKUP('15.01'!N4,'15.01'!$AM$4:$AP$55,4,FALSE))</f>
        <v>10</v>
      </c>
      <c r="G4" s="4">
        <f>(VLOOKUP('15.01'!O4,'15.01'!$AM$4:$AP$55,4,FALSE))</f>
        <v>0</v>
      </c>
      <c r="H4" s="4">
        <f>(VLOOKUP('15.01'!P4,'15.01'!$AM$4:$AP$55,4,FALSE))</f>
        <v>0</v>
      </c>
      <c r="I4" s="4">
        <f>(VLOOKUP('15.01'!Q4,'15.01'!$AM$4:$AP$55,4,FALSE))</f>
        <v>44.222109392472248</v>
      </c>
      <c r="J4" s="4">
        <f>(VLOOKUP('15.01'!R4,'15.01'!$AM$4:$AP$55,4,FALSE))</f>
        <v>44.222109392472248</v>
      </c>
      <c r="K4" s="4">
        <f>(VLOOKUP('15.01'!S4,'15.01'!$AM$4:$AP$55,4,FALSE))</f>
        <v>44.222109392472248</v>
      </c>
      <c r="L4" s="4">
        <f>(VLOOKUP('15.01'!T4,'15.01'!$AM$4:$AP$55,4,FALSE))</f>
        <v>44.222109392472248</v>
      </c>
      <c r="M4" s="4">
        <f>(VLOOKUP('15.01'!U4,'15.01'!$AM$4:$AP$55,4,FALSE))</f>
        <v>44.222109392472248</v>
      </c>
      <c r="N4" s="4">
        <f>(VLOOKUP('15.01'!V4,'15.01'!$AM$4:$AP$55,4,FALSE))</f>
        <v>44.222109392472248</v>
      </c>
      <c r="O4" s="4">
        <f>(VLOOKUP('15.01'!W4,'15.01'!$AM$4:$AP$55,4,FALSE))</f>
        <v>0</v>
      </c>
      <c r="P4" s="4">
        <f>(VLOOKUP('15.01'!X4,'15.01'!$AM$4:$AP$55,4,FALSE))</f>
        <v>0</v>
      </c>
      <c r="Q4" s="4">
        <f>(VLOOKUP('15.01'!Y4,'15.01'!$AM$4:$AP$55,4,FALSE))</f>
        <v>0</v>
      </c>
      <c r="R4" s="4">
        <f>(VLOOKUP('15.01'!Z4,'15.01'!$AM$4:$AP$55,4,FALSE))</f>
        <v>0</v>
      </c>
      <c r="S4" s="4">
        <f>(VLOOKUP('15.01'!AA4,'15.01'!$AM$4:$AP$55,4,FALSE))</f>
        <v>0</v>
      </c>
      <c r="T4" s="4">
        <f>(VLOOKUP('15.01'!AB4,'15.01'!$AM$4:$AP$55,4,FALSE))</f>
        <v>0</v>
      </c>
      <c r="U4" s="4">
        <f>(VLOOKUP('15.01'!AC4,'15.01'!$AM$4:$AP$55,4,FALSE))</f>
        <v>0</v>
      </c>
      <c r="V4" s="4">
        <f>(VLOOKUP('15.01'!AD4,'15.01'!$AM$4:$AP$55,4,FALSE))</f>
        <v>0</v>
      </c>
      <c r="W4" s="4">
        <f>(VLOOKUP('15.01'!AE4,'15.01'!$AM$4:$AP$55,4,FALSE))</f>
        <v>0</v>
      </c>
      <c r="X4" s="4">
        <f>(VLOOKUP('15.01'!AF4,'15.01'!$AM$4:$AP$55,4,FALSE))</f>
        <v>0</v>
      </c>
    </row>
    <row r="5" spans="1:24">
      <c r="A5" s="4">
        <f>(VLOOKUP('15.01'!I5,'15.01'!$AM$4:$AP$55,4,FALSE))</f>
        <v>0</v>
      </c>
      <c r="B5" s="4">
        <f>(VLOOKUP('15.01'!J5,'15.01'!$AM$4:$AP$55,4,FALSE))</f>
        <v>0</v>
      </c>
      <c r="C5" s="4">
        <f>(VLOOKUP('15.01'!K5,'15.01'!$AM$4:$AP$55,4,FALSE))</f>
        <v>0</v>
      </c>
      <c r="D5" s="4">
        <f>(VLOOKUP('15.01'!L5,'15.01'!$AM$4:$AP$55,4,FALSE))</f>
        <v>0</v>
      </c>
      <c r="E5" s="4">
        <f>(VLOOKUP('15.01'!M5,'15.01'!$AM$4:$AP$55,4,FALSE))</f>
        <v>0</v>
      </c>
      <c r="F5" s="4">
        <f>(VLOOKUP('15.01'!N5,'15.01'!$AM$4:$AP$55,4,FALSE))</f>
        <v>0</v>
      </c>
      <c r="G5" s="4">
        <f>(VLOOKUP('15.01'!O5,'15.01'!$AM$4:$AP$55,4,FALSE))</f>
        <v>0</v>
      </c>
      <c r="H5" s="4">
        <f>(VLOOKUP('15.01'!P5,'15.01'!$AM$4:$AP$55,4,FALSE))</f>
        <v>0</v>
      </c>
      <c r="I5" s="4">
        <f>(VLOOKUP('15.01'!Q5,'15.01'!$AM$4:$AP$55,4,FALSE))</f>
        <v>44.222109392472248</v>
      </c>
      <c r="J5" s="4">
        <f>(VLOOKUP('15.01'!R5,'15.01'!$AM$4:$AP$55,4,FALSE))</f>
        <v>10</v>
      </c>
      <c r="K5" s="4">
        <f>(VLOOKUP('15.01'!S5,'15.01'!$AM$4:$AP$55,4,FALSE))</f>
        <v>44.222109392472248</v>
      </c>
      <c r="L5" s="4">
        <f>(VLOOKUP('15.01'!T5,'15.01'!$AM$4:$AP$55,4,FALSE))</f>
        <v>44.222109392472248</v>
      </c>
      <c r="M5" s="4">
        <f>(VLOOKUP('15.01'!U5,'15.01'!$AM$4:$AP$55,4,FALSE))</f>
        <v>44.222109392472248</v>
      </c>
      <c r="N5" s="4">
        <f>(VLOOKUP('15.01'!V5,'15.01'!$AM$4:$AP$55,4,FALSE))</f>
        <v>10</v>
      </c>
      <c r="O5" s="4">
        <f>(VLOOKUP('15.01'!W5,'15.01'!$AM$4:$AP$55,4,FALSE))</f>
        <v>0</v>
      </c>
      <c r="P5" s="4">
        <f>(VLOOKUP('15.01'!X5,'15.01'!$AM$4:$AP$55,4,FALSE))</f>
        <v>0</v>
      </c>
      <c r="Q5" s="4">
        <f>(VLOOKUP('15.01'!Y5,'15.01'!$AM$4:$AP$55,4,FALSE))</f>
        <v>44.222109392472248</v>
      </c>
      <c r="R5" s="4">
        <f>(VLOOKUP('15.01'!Z5,'15.01'!$AM$4:$AP$55,4,FALSE))</f>
        <v>44.222109392472248</v>
      </c>
      <c r="S5" s="4">
        <f>(VLOOKUP('15.01'!AA5,'15.01'!$AM$4:$AP$55,4,FALSE))</f>
        <v>44.222109392472248</v>
      </c>
      <c r="T5" s="4">
        <f>(VLOOKUP('15.01'!AB5,'15.01'!$AM$4:$AP$55,4,FALSE))</f>
        <v>10</v>
      </c>
      <c r="U5" s="4">
        <f>(VLOOKUP('15.01'!AC5,'15.01'!$AM$4:$AP$55,4,FALSE))</f>
        <v>44.222109392472248</v>
      </c>
      <c r="V5" s="4">
        <f>(VLOOKUP('15.01'!AD5,'15.01'!$AM$4:$AP$55,4,FALSE))</f>
        <v>44.222109392472248</v>
      </c>
      <c r="W5" s="4">
        <f>(VLOOKUP('15.01'!AE5,'15.01'!$AM$4:$AP$55,4,FALSE))</f>
        <v>44.222109392472248</v>
      </c>
      <c r="X5" s="4">
        <f>(VLOOKUP('15.01'!AF5,'15.01'!$AM$4:$AP$55,4,FALSE))</f>
        <v>39.110982162825422</v>
      </c>
    </row>
    <row r="6" spans="1:24">
      <c r="A6" s="4">
        <f>(VLOOKUP('15.01'!I6,'15.01'!$AM$4:$AP$55,4,FALSE))</f>
        <v>0</v>
      </c>
      <c r="B6" s="4">
        <f>(VLOOKUP('15.01'!J6,'15.01'!$AM$4:$AP$55,4,FALSE))</f>
        <v>0</v>
      </c>
      <c r="C6" s="4">
        <f>(VLOOKUP('15.01'!K6,'15.01'!$AM$4:$AP$55,4,FALSE))</f>
        <v>0</v>
      </c>
      <c r="D6" s="4">
        <f>(VLOOKUP('15.01'!L6,'15.01'!$AM$4:$AP$55,4,FALSE))</f>
        <v>0</v>
      </c>
      <c r="E6" s="4">
        <f>(VLOOKUP('15.01'!M6,'15.01'!$AM$4:$AP$55,4,FALSE))</f>
        <v>0</v>
      </c>
      <c r="F6" s="4">
        <f>(VLOOKUP('15.01'!N6,'15.01'!$AM$4:$AP$55,4,FALSE))</f>
        <v>0</v>
      </c>
      <c r="G6" s="4">
        <f>(VLOOKUP('15.01'!O6,'15.01'!$AM$4:$AP$55,4,FALSE))</f>
        <v>0</v>
      </c>
      <c r="H6" s="4">
        <f>(VLOOKUP('15.01'!P6,'15.01'!$AM$4:$AP$55,4,FALSE))</f>
        <v>0</v>
      </c>
      <c r="I6" s="4">
        <f>(VLOOKUP('15.01'!Q6,'15.01'!$AM$4:$AP$55,4,FALSE))</f>
        <v>44.222109392472248</v>
      </c>
      <c r="J6" s="4">
        <f>(VLOOKUP('15.01'!R6,'15.01'!$AM$4:$AP$55,4,FALSE))</f>
        <v>44.222109392472248</v>
      </c>
      <c r="K6" s="4">
        <f>(VLOOKUP('15.01'!S6,'15.01'!$AM$4:$AP$55,4,FALSE))</f>
        <v>39.110982162825422</v>
      </c>
      <c r="L6" s="4">
        <f>(VLOOKUP('15.01'!T6,'15.01'!$AM$4:$AP$55,4,FALSE))</f>
        <v>39.110982162825422</v>
      </c>
      <c r="M6" s="4">
        <f>(VLOOKUP('15.01'!U6,'15.01'!$AM$4:$AP$55,4,FALSE))</f>
        <v>10</v>
      </c>
      <c r="N6" s="4">
        <f>(VLOOKUP('15.01'!V6,'15.01'!$AM$4:$AP$55,4,FALSE))</f>
        <v>39.110982162825422</v>
      </c>
      <c r="O6" s="4">
        <f>(VLOOKUP('15.01'!W6,'15.01'!$AM$4:$AP$55,4,FALSE))</f>
        <v>0</v>
      </c>
      <c r="P6" s="4">
        <f>(VLOOKUP('15.01'!X6,'15.01'!$AM$4:$AP$55,4,FALSE))</f>
        <v>0</v>
      </c>
      <c r="Q6" s="4">
        <f>(VLOOKUP('15.01'!Y6,'15.01'!$AM$4:$AP$55,4,FALSE))</f>
        <v>39.110982162825422</v>
      </c>
      <c r="R6" s="4">
        <f>(VLOOKUP('15.01'!Z6,'15.01'!$AM$4:$AP$55,4,FALSE))</f>
        <v>39.110982162825422</v>
      </c>
      <c r="S6" s="4">
        <f>(VLOOKUP('15.01'!AA6,'15.01'!$AM$4:$AP$55,4,FALSE))</f>
        <v>39.110982162825422</v>
      </c>
      <c r="T6" s="4">
        <f>(VLOOKUP('15.01'!AB6,'15.01'!$AM$4:$AP$55,4,FALSE))</f>
        <v>10</v>
      </c>
      <c r="U6" s="4">
        <f>(VLOOKUP('15.01'!AC6,'15.01'!$AM$4:$AP$55,4,FALSE))</f>
        <v>39.110982162825422</v>
      </c>
      <c r="V6" s="4">
        <f>(VLOOKUP('15.01'!AD6,'15.01'!$AM$4:$AP$55,4,FALSE))</f>
        <v>39.110982162825422</v>
      </c>
      <c r="W6" s="4">
        <f>(VLOOKUP('15.01'!AE6,'15.01'!$AM$4:$AP$55,4,FALSE))</f>
        <v>10</v>
      </c>
      <c r="X6" s="4">
        <f>(VLOOKUP('15.01'!AF6,'15.01'!$AM$4:$AP$55,4,FALSE))</f>
        <v>34</v>
      </c>
    </row>
    <row r="7" spans="1:24">
      <c r="A7" s="4">
        <f>(VLOOKUP('15.01'!I7,'15.01'!$AM$4:$AP$55,4,FALSE))</f>
        <v>0</v>
      </c>
      <c r="B7" s="4">
        <f>(VLOOKUP('15.01'!J7,'15.01'!$AM$4:$AP$55,4,FALSE))</f>
        <v>0</v>
      </c>
      <c r="C7" s="4">
        <f>(VLOOKUP('15.01'!K7,'15.01'!$AM$4:$AP$55,4,FALSE))</f>
        <v>0</v>
      </c>
      <c r="D7" s="4">
        <f>(VLOOKUP('15.01'!L7,'15.01'!$AM$4:$AP$55,4,FALSE))</f>
        <v>0</v>
      </c>
      <c r="E7" s="4">
        <f>(VLOOKUP('15.01'!M7,'15.01'!$AM$4:$AP$55,4,FALSE))</f>
        <v>0</v>
      </c>
      <c r="F7" s="4">
        <f>(VLOOKUP('15.01'!N7,'15.01'!$AM$4:$AP$55,4,FALSE))</f>
        <v>0</v>
      </c>
      <c r="G7" s="4">
        <f>(VLOOKUP('15.01'!O7,'15.01'!$AM$4:$AP$55,4,FALSE))</f>
        <v>0</v>
      </c>
      <c r="H7" s="4">
        <f>(VLOOKUP('15.01'!P7,'15.01'!$AM$4:$AP$55,4,FALSE))</f>
        <v>0</v>
      </c>
      <c r="I7" s="4">
        <f>(VLOOKUP('15.01'!Q7,'15.01'!$AM$4:$AP$55,4,FALSE))</f>
        <v>39.110982162825422</v>
      </c>
      <c r="J7" s="4">
        <f>(VLOOKUP('15.01'!R7,'15.01'!$AM$4:$AP$55,4,FALSE))</f>
        <v>39.110982162825422</v>
      </c>
      <c r="K7" s="4">
        <f>(VLOOKUP('15.01'!S7,'15.01'!$AM$4:$AP$55,4,FALSE))</f>
        <v>10</v>
      </c>
      <c r="L7" s="4">
        <f>(VLOOKUP('15.01'!T7,'15.01'!$AM$4:$AP$55,4,FALSE))</f>
        <v>39.110982162825422</v>
      </c>
      <c r="M7" s="4">
        <f>(VLOOKUP('15.01'!U7,'15.01'!$AM$4:$AP$55,4,FALSE))</f>
        <v>29.110982162825422</v>
      </c>
      <c r="N7" s="4">
        <f>(VLOOKUP('15.01'!V7,'15.01'!$AM$4:$AP$55,4,FALSE))</f>
        <v>39.110982162825422</v>
      </c>
      <c r="O7" s="4">
        <f>(VLOOKUP('15.01'!W7,'15.01'!$AM$4:$AP$55,4,FALSE))</f>
        <v>0</v>
      </c>
      <c r="P7" s="4">
        <f>(VLOOKUP('15.01'!X7,'15.01'!$AM$4:$AP$55,4,FALSE))</f>
        <v>0</v>
      </c>
      <c r="Q7" s="4">
        <f>(VLOOKUP('15.01'!Y7,'15.01'!$AM$4:$AP$55,4,FALSE))</f>
        <v>34</v>
      </c>
      <c r="R7" s="4">
        <f>(VLOOKUP('15.01'!Z7,'15.01'!$AM$4:$AP$55,4,FALSE))</f>
        <v>34</v>
      </c>
      <c r="S7" s="4">
        <f>(VLOOKUP('15.01'!AA7,'15.01'!$AM$4:$AP$55,4,FALSE))</f>
        <v>34</v>
      </c>
      <c r="T7" s="4">
        <f>(VLOOKUP('15.01'!AB7,'15.01'!$AM$4:$AP$55,4,FALSE))</f>
        <v>34</v>
      </c>
      <c r="U7" s="4">
        <f>(VLOOKUP('15.01'!AC7,'15.01'!$AM$4:$AP$55,4,FALSE))</f>
        <v>10</v>
      </c>
      <c r="V7" s="4">
        <f>(VLOOKUP('15.01'!AD7,'15.01'!$AM$4:$AP$55,4,FALSE))</f>
        <v>34</v>
      </c>
      <c r="W7" s="4">
        <f>(VLOOKUP('15.01'!AE7,'15.01'!$AM$4:$AP$55,4,FALSE))</f>
        <v>13.999854933178597</v>
      </c>
      <c r="X7" s="4">
        <f>(VLOOKUP('15.01'!AF7,'15.01'!$AM$4:$AP$55,4,FALSE))</f>
        <v>34</v>
      </c>
    </row>
    <row r="8" spans="1:24">
      <c r="A8" s="4">
        <f>(VLOOKUP('15.01'!I8,'15.01'!$AM$4:$AP$55,4,FALSE))</f>
        <v>0</v>
      </c>
      <c r="B8" s="4">
        <f>(VLOOKUP('15.01'!J8,'15.01'!$AM$4:$AP$55,4,FALSE))</f>
        <v>0</v>
      </c>
      <c r="C8" s="4">
        <f>(VLOOKUP('15.01'!K8,'15.01'!$AM$4:$AP$55,4,FALSE))</f>
        <v>0</v>
      </c>
      <c r="D8" s="4">
        <f>(VLOOKUP('15.01'!L8,'15.01'!$AM$4:$AP$55,4,FALSE))</f>
        <v>0</v>
      </c>
      <c r="E8" s="4">
        <f>(VLOOKUP('15.01'!M8,'15.01'!$AM$4:$AP$55,4,FALSE))</f>
        <v>0</v>
      </c>
      <c r="F8" s="4">
        <f>(VLOOKUP('15.01'!N8,'15.01'!$AM$4:$AP$55,4,FALSE))</f>
        <v>0</v>
      </c>
      <c r="G8" s="4">
        <f>(VLOOKUP('15.01'!O8,'15.01'!$AM$4:$AP$55,4,FALSE))</f>
        <v>0</v>
      </c>
      <c r="H8" s="4">
        <f>(VLOOKUP('15.01'!P8,'15.01'!$AM$4:$AP$55,4,FALSE))</f>
        <v>0</v>
      </c>
      <c r="I8" s="4">
        <f>(VLOOKUP('15.01'!Q8,'15.01'!$AM$4:$AP$55,4,FALSE))</f>
        <v>39.110982162825422</v>
      </c>
      <c r="J8" s="4">
        <f>(VLOOKUP('15.01'!R8,'15.01'!$AM$4:$AP$55,4,FALSE))</f>
        <v>39.110982162825422</v>
      </c>
      <c r="K8" s="4">
        <f>(VLOOKUP('15.01'!S8,'15.01'!$AM$4:$AP$55,4,FALSE))</f>
        <v>36</v>
      </c>
      <c r="L8" s="4">
        <f>(VLOOKUP('15.01'!T8,'15.01'!$AM$4:$AP$55,4,FALSE))</f>
        <v>36</v>
      </c>
      <c r="M8" s="4">
        <f>(VLOOKUP('15.01'!U8,'15.01'!$AM$4:$AP$55,4,FALSE))</f>
        <v>36</v>
      </c>
      <c r="N8" s="4">
        <f>(VLOOKUP('15.01'!V8,'15.01'!$AM$4:$AP$55,4,FALSE))</f>
        <v>36</v>
      </c>
      <c r="O8" s="4">
        <f>(VLOOKUP('15.01'!W8,'15.01'!$AM$4:$AP$55,4,FALSE))</f>
        <v>0</v>
      </c>
      <c r="P8" s="4">
        <f>(VLOOKUP('15.01'!X8,'15.01'!$AM$4:$AP$55,4,FALSE))</f>
        <v>0</v>
      </c>
      <c r="Q8" s="4">
        <f>(VLOOKUP('15.01'!Y8,'15.01'!$AM$4:$AP$55,4,FALSE))</f>
        <v>34</v>
      </c>
      <c r="R8" s="4">
        <f>(VLOOKUP('15.01'!Z8,'15.01'!$AM$4:$AP$55,4,FALSE))</f>
        <v>34</v>
      </c>
      <c r="S8" s="4">
        <f>(VLOOKUP('15.01'!AA8,'15.01'!$AM$4:$AP$55,4,FALSE))</f>
        <v>13.999854933178597</v>
      </c>
      <c r="T8" s="4">
        <f>(VLOOKUP('15.01'!AB8,'15.01'!$AM$4:$AP$55,4,FALSE))</f>
        <v>34</v>
      </c>
      <c r="U8" s="4">
        <f>(VLOOKUP('15.01'!AC8,'15.01'!$AM$4:$AP$55,4,FALSE))</f>
        <v>34</v>
      </c>
      <c r="V8" s="4">
        <f>(VLOOKUP('15.01'!AD8,'15.01'!$AM$4:$AP$55,4,FALSE))</f>
        <v>0</v>
      </c>
      <c r="W8" s="4">
        <f>(VLOOKUP('15.01'!AE8,'15.01'!$AM$4:$AP$55,4,FALSE))</f>
        <v>0</v>
      </c>
      <c r="X8" s="4">
        <f>(VLOOKUP('15.01'!AF8,'15.01'!$AM$4:$AP$55,4,FALSE))</f>
        <v>0</v>
      </c>
    </row>
    <row r="9" spans="1:24">
      <c r="A9" s="4">
        <f>(VLOOKUP('15.01'!I9,'15.01'!$AM$4:$AP$55,4,FALSE))</f>
        <v>0</v>
      </c>
      <c r="B9" s="4">
        <f>(VLOOKUP('15.01'!J9,'15.01'!$AM$4:$AP$55,4,FALSE))</f>
        <v>0</v>
      </c>
      <c r="C9" s="4">
        <f>(VLOOKUP('15.01'!K9,'15.01'!$AM$4:$AP$55,4,FALSE))</f>
        <v>0</v>
      </c>
      <c r="D9" s="4">
        <f>(VLOOKUP('15.01'!L9,'15.01'!$AM$4:$AP$55,4,FALSE))</f>
        <v>0</v>
      </c>
      <c r="E9" s="4">
        <f>(VLOOKUP('15.01'!M9,'15.01'!$AM$4:$AP$55,4,FALSE))</f>
        <v>0</v>
      </c>
      <c r="F9" s="4">
        <f>(VLOOKUP('15.01'!N9,'15.01'!$AM$4:$AP$55,4,FALSE))</f>
        <v>0</v>
      </c>
      <c r="G9" s="4">
        <f>(VLOOKUP('15.01'!O9,'15.01'!$AM$4:$AP$55,4,FALSE))</f>
        <v>0</v>
      </c>
      <c r="H9" s="4">
        <f>(VLOOKUP('15.01'!P9,'15.01'!$AM$4:$AP$55,4,FALSE))</f>
        <v>0</v>
      </c>
      <c r="I9" s="4">
        <f>(VLOOKUP('15.01'!Q9,'15.01'!$AM$4:$AP$55,4,FALSE))</f>
        <v>0</v>
      </c>
      <c r="J9" s="4">
        <f>(VLOOKUP('15.01'!R9,'15.01'!$AM$4:$AP$55,4,FALSE))</f>
        <v>0</v>
      </c>
      <c r="K9" s="4">
        <f>(VLOOKUP('15.01'!S9,'15.01'!$AM$4:$AP$55,4,FALSE))</f>
        <v>0</v>
      </c>
      <c r="L9" s="4">
        <f>(VLOOKUP('15.01'!T9,'15.01'!$AM$4:$AP$55,4,FALSE))</f>
        <v>0</v>
      </c>
      <c r="M9" s="4">
        <f>(VLOOKUP('15.01'!U9,'15.01'!$AM$4:$AP$55,4,FALSE))</f>
        <v>0</v>
      </c>
      <c r="N9" s="4">
        <f>(VLOOKUP('15.01'!V9,'15.01'!$AM$4:$AP$55,4,FALSE))</f>
        <v>0</v>
      </c>
      <c r="O9" s="4">
        <f>(VLOOKUP('15.01'!W9,'15.01'!$AM$4:$AP$55,4,FALSE))</f>
        <v>0</v>
      </c>
      <c r="P9" s="4">
        <f>(VLOOKUP('15.01'!X9,'15.01'!$AM$4:$AP$55,4,FALSE))</f>
        <v>0</v>
      </c>
      <c r="Q9" s="4">
        <f>(VLOOKUP('15.01'!Y9,'15.01'!$AM$4:$AP$55,4,FALSE))</f>
        <v>34</v>
      </c>
      <c r="R9" s="4">
        <f>(VLOOKUP('15.01'!Z9,'15.01'!$AM$4:$AP$55,4,FALSE))</f>
        <v>34</v>
      </c>
      <c r="S9" s="4">
        <f>(VLOOKUP('15.01'!AA9,'15.01'!$AM$4:$AP$55,4,FALSE))</f>
        <v>34</v>
      </c>
      <c r="T9" s="4">
        <f>(VLOOKUP('15.01'!AB9,'15.01'!$AM$4:$AP$55,4,FALSE))</f>
        <v>34</v>
      </c>
      <c r="U9" s="4">
        <f>(VLOOKUP('15.01'!AC9,'15.01'!$AM$4:$AP$55,4,FALSE))</f>
        <v>34</v>
      </c>
      <c r="V9" s="4">
        <f>(VLOOKUP('15.01'!AD9,'15.01'!$AM$4:$AP$55,4,FALSE))</f>
        <v>34</v>
      </c>
      <c r="W9" s="4">
        <f>(VLOOKUP('15.01'!AE9,'15.01'!$AM$4:$AP$55,4,FALSE))</f>
        <v>0</v>
      </c>
      <c r="X9" s="4">
        <f>(VLOOKUP('15.01'!AF9,'15.01'!$AM$4:$AP$55,4,FALSE))</f>
        <v>0</v>
      </c>
    </row>
    <row r="10" spans="1:24">
      <c r="A10" s="4">
        <f>(VLOOKUP('15.01'!I10,'15.01'!$AM$4:$AP$55,4,FALSE))</f>
        <v>0</v>
      </c>
      <c r="B10" s="4">
        <f>(VLOOKUP('15.01'!J10,'15.01'!$AM$4:$AP$55,4,FALSE))</f>
        <v>0</v>
      </c>
      <c r="C10" s="4">
        <f>(VLOOKUP('15.01'!K10,'15.01'!$AM$4:$AP$55,4,FALSE))</f>
        <v>0</v>
      </c>
      <c r="D10" s="4">
        <f>(VLOOKUP('15.01'!L10,'15.01'!$AM$4:$AP$55,4,FALSE))</f>
        <v>0</v>
      </c>
      <c r="E10" s="4">
        <f>(VLOOKUP('15.01'!M10,'15.01'!$AM$4:$AP$55,4,FALSE))</f>
        <v>0</v>
      </c>
      <c r="F10" s="4">
        <f>(VLOOKUP('15.01'!N10,'15.01'!$AM$4:$AP$55,4,FALSE))</f>
        <v>0</v>
      </c>
      <c r="G10" s="4">
        <f>(VLOOKUP('15.01'!O10,'15.01'!$AM$4:$AP$55,4,FALSE))</f>
        <v>0</v>
      </c>
      <c r="H10" s="4">
        <f>(VLOOKUP('15.01'!P10,'15.01'!$AM$4:$AP$55,4,FALSE))</f>
        <v>0</v>
      </c>
      <c r="I10" s="4">
        <f>(VLOOKUP('15.01'!Q10,'15.01'!$AM$4:$AP$55,4,FALSE))</f>
        <v>0</v>
      </c>
      <c r="J10" s="4">
        <f>(VLOOKUP('15.01'!R10,'15.01'!$AM$4:$AP$55,4,FALSE))</f>
        <v>0</v>
      </c>
      <c r="K10" s="4">
        <f>(VLOOKUP('15.01'!S10,'15.01'!$AM$4:$AP$55,4,FALSE))</f>
        <v>0</v>
      </c>
      <c r="L10" s="4">
        <f>(VLOOKUP('15.01'!T10,'15.01'!$AM$4:$AP$55,4,FALSE))</f>
        <v>0</v>
      </c>
      <c r="M10" s="4">
        <f>(VLOOKUP('15.01'!U10,'15.01'!$AM$4:$AP$55,4,FALSE))</f>
        <v>0</v>
      </c>
      <c r="N10" s="4">
        <f>(VLOOKUP('15.01'!V10,'15.01'!$AM$4:$AP$55,4,FALSE))</f>
        <v>0</v>
      </c>
      <c r="O10" s="4">
        <f>(VLOOKUP('15.01'!W10,'15.01'!$AM$4:$AP$55,4,FALSE))</f>
        <v>0</v>
      </c>
      <c r="P10" s="4">
        <f>(VLOOKUP('15.01'!X10,'15.01'!$AM$4:$AP$55,4,FALSE))</f>
        <v>0</v>
      </c>
      <c r="Q10" s="4">
        <f>(VLOOKUP('15.01'!Y10,'15.01'!$AM$4:$AP$55,4,FALSE))</f>
        <v>34</v>
      </c>
      <c r="R10" s="4">
        <f>(VLOOKUP('15.01'!Z10,'15.01'!$AM$4:$AP$55,4,FALSE))</f>
        <v>0</v>
      </c>
      <c r="S10" s="4">
        <f>(VLOOKUP('15.01'!AA10,'15.01'!$AM$4:$AP$55,4,FALSE))</f>
        <v>34</v>
      </c>
      <c r="T10" s="4">
        <f>(VLOOKUP('15.01'!AB10,'15.01'!$AM$4:$AP$55,4,FALSE))</f>
        <v>34</v>
      </c>
      <c r="U10" s="4">
        <f>(VLOOKUP('15.01'!AC10,'15.01'!$AM$4:$AP$55,4,FALSE))</f>
        <v>0</v>
      </c>
      <c r="V10" s="4">
        <f>(VLOOKUP('15.01'!AD10,'15.01'!$AM$4:$AP$55,4,FALSE))</f>
        <v>34</v>
      </c>
      <c r="W10" s="4">
        <f>(VLOOKUP('15.01'!AE10,'15.01'!$AM$4:$AP$55,4,FALSE))</f>
        <v>0</v>
      </c>
      <c r="X10" s="4">
        <f>(VLOOKUP('15.01'!AF10,'15.01'!$AM$4:$AP$55,4,FALSE))</f>
        <v>0</v>
      </c>
    </row>
    <row r="11" spans="1:24">
      <c r="A11" s="4">
        <f>(VLOOKUP('15.01'!I11,'15.01'!$AM$4:$AP$55,4,FALSE))</f>
        <v>0</v>
      </c>
      <c r="B11" s="4">
        <f>(VLOOKUP('15.01'!J11,'15.01'!$AM$4:$AP$55,4,FALSE))</f>
        <v>0</v>
      </c>
      <c r="C11" s="4">
        <f>(VLOOKUP('15.01'!K11,'15.01'!$AM$4:$AP$55,4,FALSE))</f>
        <v>0</v>
      </c>
      <c r="D11" s="4">
        <f>(VLOOKUP('15.01'!L11,'15.01'!$AM$4:$AP$55,4,FALSE))</f>
        <v>0</v>
      </c>
      <c r="E11" s="4">
        <f>(VLOOKUP('15.01'!M11,'15.01'!$AM$4:$AP$55,4,FALSE))</f>
        <v>0</v>
      </c>
      <c r="F11" s="4">
        <f>(VLOOKUP('15.01'!N11,'15.01'!$AM$4:$AP$55,4,FALSE))</f>
        <v>0</v>
      </c>
      <c r="G11" s="4">
        <f>(VLOOKUP('15.01'!O11,'15.01'!$AM$4:$AP$55,4,FALSE))</f>
        <v>0</v>
      </c>
      <c r="H11" s="4">
        <f>(VLOOKUP('15.01'!P11,'15.01'!$AM$4:$AP$55,4,FALSE))</f>
        <v>0</v>
      </c>
      <c r="I11" s="4">
        <f>(VLOOKUP('15.01'!Q11,'15.01'!$AM$4:$AP$55,4,FALSE))</f>
        <v>0</v>
      </c>
      <c r="J11" s="4">
        <f>(VLOOKUP('15.01'!R11,'15.01'!$AM$4:$AP$55,4,FALSE))</f>
        <v>0</v>
      </c>
      <c r="K11" s="4">
        <f>(VLOOKUP('15.01'!S11,'15.01'!$AM$4:$AP$55,4,FALSE))</f>
        <v>0</v>
      </c>
      <c r="L11" s="4">
        <f>(VLOOKUP('15.01'!T11,'15.01'!$AM$4:$AP$55,4,FALSE))</f>
        <v>0</v>
      </c>
      <c r="M11" s="4">
        <f>(VLOOKUP('15.01'!U11,'15.01'!$AM$4:$AP$55,4,FALSE))</f>
        <v>0</v>
      </c>
      <c r="N11" s="4">
        <f>(VLOOKUP('15.01'!V11,'15.01'!$AM$4:$AP$55,4,FALSE))</f>
        <v>0</v>
      </c>
      <c r="O11" s="4">
        <f>(VLOOKUP('15.01'!W11,'15.01'!$AM$4:$AP$55,4,FALSE))</f>
        <v>0</v>
      </c>
      <c r="P11" s="4">
        <f>(VLOOKUP('15.01'!X11,'15.01'!$AM$4:$AP$55,4,FALSE))</f>
        <v>0</v>
      </c>
      <c r="Q11" s="4">
        <f>(VLOOKUP('15.01'!Y11,'15.01'!$AM$4:$AP$55,4,FALSE))</f>
        <v>34</v>
      </c>
      <c r="R11" s="4">
        <f>(VLOOKUP('15.01'!Z11,'15.01'!$AM$4:$AP$55,4,FALSE))</f>
        <v>34</v>
      </c>
      <c r="S11" s="4">
        <f>(VLOOKUP('15.01'!AA11,'15.01'!$AM$4:$AP$55,4,FALSE))</f>
        <v>34</v>
      </c>
      <c r="T11" s="4">
        <f>(VLOOKUP('15.01'!AB11,'15.01'!$AM$4:$AP$55,4,FALSE))</f>
        <v>10</v>
      </c>
      <c r="U11" s="4">
        <f>(VLOOKUP('15.01'!AC11,'15.01'!$AM$4:$AP$55,4,FALSE))</f>
        <v>34</v>
      </c>
      <c r="V11" s="4">
        <f>(VLOOKUP('15.01'!AD11,'15.01'!$AM$4:$AP$55,4,FALSE))</f>
        <v>34</v>
      </c>
      <c r="W11" s="4">
        <f>(VLOOKUP('15.01'!AE11,'15.01'!$AM$4:$AP$55,4,FALSE))</f>
        <v>0</v>
      </c>
      <c r="X11" s="4">
        <f>(VLOOKUP('15.01'!AF11,'15.01'!$AM$4:$AP$55,4,FALSE))</f>
        <v>0</v>
      </c>
    </row>
    <row r="12" spans="1:24">
      <c r="A12" s="4">
        <f>(VLOOKUP('15.01'!I12,'15.01'!$AM$4:$AP$55,4,FALSE))</f>
        <v>0</v>
      </c>
      <c r="B12" s="4">
        <f>(VLOOKUP('15.01'!J12,'15.01'!$AM$4:$AP$55,4,FALSE))</f>
        <v>0</v>
      </c>
      <c r="C12" s="4">
        <f>(VLOOKUP('15.01'!K12,'15.01'!$AM$4:$AP$55,4,FALSE))</f>
        <v>0</v>
      </c>
      <c r="D12" s="4">
        <f>(VLOOKUP('15.01'!L12,'15.01'!$AM$4:$AP$55,4,FALSE))</f>
        <v>0</v>
      </c>
      <c r="E12" s="4">
        <f>(VLOOKUP('15.01'!M12,'15.01'!$AM$4:$AP$55,4,FALSE))</f>
        <v>0</v>
      </c>
      <c r="F12" s="4">
        <f>(VLOOKUP('15.01'!N12,'15.01'!$AM$4:$AP$55,4,FALSE))</f>
        <v>0</v>
      </c>
      <c r="G12" s="4">
        <f>(VLOOKUP('15.01'!O12,'15.01'!$AM$4:$AP$55,4,FALSE))</f>
        <v>0</v>
      </c>
      <c r="H12" s="4">
        <f>(VLOOKUP('15.01'!P12,'15.01'!$AM$4:$AP$55,4,FALSE))</f>
        <v>0</v>
      </c>
      <c r="I12" s="4">
        <f>(VLOOKUP('15.01'!Q12,'15.01'!$AM$4:$AP$55,4,FALSE))</f>
        <v>0</v>
      </c>
      <c r="J12" s="4">
        <f>(VLOOKUP('15.01'!R12,'15.01'!$AM$4:$AP$55,4,FALSE))</f>
        <v>0</v>
      </c>
      <c r="K12" s="4">
        <f>(VLOOKUP('15.01'!S12,'15.01'!$AM$4:$AP$55,4,FALSE))</f>
        <v>0</v>
      </c>
      <c r="L12" s="4">
        <f>(VLOOKUP('15.01'!T12,'15.01'!$AM$4:$AP$55,4,FALSE))</f>
        <v>0</v>
      </c>
      <c r="M12" s="4">
        <f>(VLOOKUP('15.01'!U12,'15.01'!$AM$4:$AP$55,4,FALSE))</f>
        <v>0</v>
      </c>
      <c r="N12" s="4">
        <f>(VLOOKUP('15.01'!V12,'15.01'!$AM$4:$AP$55,4,FALSE))</f>
        <v>0</v>
      </c>
      <c r="O12" s="4">
        <f>(VLOOKUP('15.01'!W12,'15.01'!$AM$4:$AP$55,4,FALSE))</f>
        <v>0</v>
      </c>
      <c r="P12" s="4">
        <f>(VLOOKUP('15.01'!X12,'15.01'!$AM$4:$AP$55,4,FALSE))</f>
        <v>0</v>
      </c>
      <c r="Q12" s="4">
        <f>(VLOOKUP('15.01'!Y12,'15.01'!$AM$4:$AP$55,4,FALSE))</f>
        <v>34</v>
      </c>
      <c r="R12" s="4">
        <f>(VLOOKUP('15.01'!Z12,'15.01'!$AM$4:$AP$55,4,FALSE))</f>
        <v>34</v>
      </c>
      <c r="S12" s="4">
        <f>(VLOOKUP('15.01'!AA12,'15.01'!$AM$4:$AP$55,4,FALSE))</f>
        <v>34</v>
      </c>
      <c r="T12" s="4">
        <f>(VLOOKUP('15.01'!AB12,'15.01'!$AM$4:$AP$55,4,FALSE))</f>
        <v>10</v>
      </c>
      <c r="U12" s="4">
        <f>(VLOOKUP('15.01'!AC12,'15.01'!$AM$4:$AP$55,4,FALSE))</f>
        <v>34</v>
      </c>
      <c r="V12" s="4">
        <f>(VLOOKUP('15.01'!AD12,'15.01'!$AM$4:$AP$55,4,FALSE))</f>
        <v>0</v>
      </c>
      <c r="W12" s="4">
        <f>(VLOOKUP('15.01'!AE12,'15.01'!$AM$4:$AP$55,4,FALSE))</f>
        <v>0</v>
      </c>
      <c r="X12" s="4">
        <f>(VLOOKUP('15.01'!AF12,'15.01'!$AM$4:$AP$55,4,FALSE))</f>
        <v>0</v>
      </c>
    </row>
    <row r="13" spans="1:24">
      <c r="A13" s="4">
        <f>(VLOOKUP('15.01'!I13,'15.01'!$AM$4:$AP$55,4,FALSE))</f>
        <v>0</v>
      </c>
      <c r="B13" s="4">
        <f>(VLOOKUP('15.01'!J13,'15.01'!$AM$4:$AP$55,4,FALSE))</f>
        <v>0</v>
      </c>
      <c r="C13" s="4">
        <f>(VLOOKUP('15.01'!K13,'15.01'!$AM$4:$AP$55,4,FALSE))</f>
        <v>0</v>
      </c>
      <c r="D13" s="4">
        <f>(VLOOKUP('15.01'!L13,'15.01'!$AM$4:$AP$55,4,FALSE))</f>
        <v>0</v>
      </c>
      <c r="E13" s="4">
        <f>(VLOOKUP('15.01'!M13,'15.01'!$AM$4:$AP$55,4,FALSE))</f>
        <v>0</v>
      </c>
      <c r="F13" s="4">
        <f>(VLOOKUP('15.01'!N13,'15.01'!$AM$4:$AP$55,4,FALSE))</f>
        <v>0</v>
      </c>
      <c r="G13" s="4">
        <f>(VLOOKUP('15.01'!O13,'15.01'!$AM$4:$AP$55,4,FALSE))</f>
        <v>0</v>
      </c>
      <c r="H13" s="4">
        <f>(VLOOKUP('15.01'!P13,'15.01'!$AM$4:$AP$55,4,FALSE))</f>
        <v>0</v>
      </c>
      <c r="I13" s="4">
        <f>(VLOOKUP('15.01'!Q13,'15.01'!$AM$4:$AP$55,4,FALSE))</f>
        <v>0</v>
      </c>
      <c r="J13" s="4">
        <f>(VLOOKUP('15.01'!R13,'15.01'!$AM$4:$AP$55,4,FALSE))</f>
        <v>0</v>
      </c>
      <c r="K13" s="4">
        <f>(VLOOKUP('15.01'!S13,'15.01'!$AM$4:$AP$55,4,FALSE))</f>
        <v>0</v>
      </c>
      <c r="L13" s="4">
        <f>(VLOOKUP('15.01'!T13,'15.01'!$AM$4:$AP$55,4,FALSE))</f>
        <v>0</v>
      </c>
      <c r="M13" s="4">
        <f>(VLOOKUP('15.01'!U13,'15.01'!$AM$4:$AP$55,4,FALSE))</f>
        <v>0</v>
      </c>
      <c r="N13" s="4">
        <f>(VLOOKUP('15.01'!V13,'15.01'!$AM$4:$AP$55,4,FALSE))</f>
        <v>0</v>
      </c>
      <c r="O13" s="4">
        <f>(VLOOKUP('15.01'!W13,'15.01'!$AM$4:$AP$55,4,FALSE))</f>
        <v>0</v>
      </c>
      <c r="P13" s="4">
        <f>(VLOOKUP('15.01'!X13,'15.01'!$AM$4:$AP$55,4,FALSE))</f>
        <v>0</v>
      </c>
      <c r="Q13" s="4">
        <f>(VLOOKUP('15.01'!Y13,'15.01'!$AM$4:$AP$55,4,FALSE))</f>
        <v>34</v>
      </c>
      <c r="R13" s="4">
        <f>(VLOOKUP('15.01'!Z13,'15.01'!$AM$4:$AP$55,4,FALSE))</f>
        <v>34</v>
      </c>
      <c r="S13" s="4">
        <f>(VLOOKUP('15.01'!AA13,'15.01'!$AM$4:$AP$55,4,FALSE))</f>
        <v>34</v>
      </c>
      <c r="T13" s="4">
        <f>(VLOOKUP('15.01'!AB13,'15.01'!$AM$4:$AP$55,4,FALSE))</f>
        <v>34</v>
      </c>
      <c r="U13" s="4">
        <f>(VLOOKUP('15.01'!AC13,'15.01'!$AM$4:$AP$55,4,FALSE))</f>
        <v>34</v>
      </c>
      <c r="V13" s="4">
        <f>(VLOOKUP('15.01'!AD13,'15.01'!$AM$4:$AP$55,4,FALSE))</f>
        <v>34</v>
      </c>
      <c r="W13" s="4">
        <f>(VLOOKUP('15.01'!AE13,'15.01'!$AM$4:$AP$55,4,FALSE))</f>
        <v>0</v>
      </c>
      <c r="X13" s="4">
        <f>(VLOOKUP('15.01'!AF13,'15.01'!$AM$4:$AP$55,4,FALSE))</f>
        <v>0</v>
      </c>
    </row>
    <row r="14" spans="1:24">
      <c r="A14" s="4">
        <f>(VLOOKUP('15.01'!I14,'15.01'!$AM$4:$AP$55,4,FALSE))</f>
        <v>0</v>
      </c>
      <c r="B14" s="4">
        <f>(VLOOKUP('15.01'!J14,'15.01'!$AM$4:$AP$55,4,FALSE))</f>
        <v>0</v>
      </c>
      <c r="C14" s="4">
        <f>(VLOOKUP('15.01'!K14,'15.01'!$AM$4:$AP$55,4,FALSE))</f>
        <v>0</v>
      </c>
      <c r="D14" s="4">
        <f>(VLOOKUP('15.01'!L14,'15.01'!$AM$4:$AP$55,4,FALSE))</f>
        <v>0</v>
      </c>
      <c r="E14" s="4">
        <f>(VLOOKUP('15.01'!M14,'15.01'!$AM$4:$AP$55,4,FALSE))</f>
        <v>0</v>
      </c>
      <c r="F14" s="4">
        <f>(VLOOKUP('15.01'!N14,'15.01'!$AM$4:$AP$55,4,FALSE))</f>
        <v>0</v>
      </c>
      <c r="G14" s="4">
        <f>(VLOOKUP('15.01'!O14,'15.01'!$AM$4:$AP$55,4,FALSE))</f>
        <v>0</v>
      </c>
      <c r="H14" s="4">
        <f>(VLOOKUP('15.01'!P14,'15.01'!$AM$4:$AP$55,4,FALSE))</f>
        <v>0</v>
      </c>
      <c r="I14" s="4">
        <f>(VLOOKUP('15.01'!Q14,'15.01'!$AM$4:$AP$55,4,FALSE))</f>
        <v>0</v>
      </c>
      <c r="J14" s="4">
        <f>(VLOOKUP('15.01'!R14,'15.01'!$AM$4:$AP$55,4,FALSE))</f>
        <v>0</v>
      </c>
      <c r="K14" s="4">
        <f>(VLOOKUP('15.01'!S14,'15.01'!$AM$4:$AP$55,4,FALSE))</f>
        <v>0</v>
      </c>
      <c r="L14" s="4">
        <f>(VLOOKUP('15.01'!T14,'15.01'!$AM$4:$AP$55,4,FALSE))</f>
        <v>0</v>
      </c>
      <c r="M14" s="4">
        <f>(VLOOKUP('15.01'!U14,'15.01'!$AM$4:$AP$55,4,FALSE))</f>
        <v>0</v>
      </c>
      <c r="N14" s="4">
        <f>(VLOOKUP('15.01'!V14,'15.01'!$AM$4:$AP$55,4,FALSE))</f>
        <v>0</v>
      </c>
      <c r="O14" s="4">
        <f>(VLOOKUP('15.01'!W14,'15.01'!$AM$4:$AP$55,4,FALSE))</f>
        <v>0</v>
      </c>
      <c r="P14" s="4">
        <f>(VLOOKUP('15.01'!X14,'15.01'!$AM$4:$AP$55,4,FALSE))</f>
        <v>0</v>
      </c>
      <c r="Q14" s="4">
        <f>(VLOOKUP('15.01'!Y14,'15.01'!$AM$4:$AP$55,4,FALSE))</f>
        <v>36</v>
      </c>
      <c r="R14" s="4">
        <f>(VLOOKUP('15.01'!Z14,'15.01'!$AM$4:$AP$55,4,FALSE))</f>
        <v>39.110982162825422</v>
      </c>
      <c r="S14" s="4">
        <f>(VLOOKUP('15.01'!AA14,'15.01'!$AM$4:$AP$55,4,FALSE))</f>
        <v>34</v>
      </c>
      <c r="T14" s="4">
        <f>(VLOOKUP('15.01'!AB14,'15.01'!$AM$4:$AP$55,4,FALSE))</f>
        <v>34</v>
      </c>
      <c r="U14" s="4">
        <f>(VLOOKUP('15.01'!AC14,'15.01'!$AM$4:$AP$55,4,FALSE))</f>
        <v>34</v>
      </c>
      <c r="V14" s="4">
        <f>(VLOOKUP('15.01'!AD14,'15.01'!$AM$4:$AP$55,4,FALSE))</f>
        <v>34</v>
      </c>
      <c r="W14" s="4">
        <f>(VLOOKUP('15.01'!AE14,'15.01'!$AM$4:$AP$55,4,FALSE))</f>
        <v>0</v>
      </c>
      <c r="X14" s="4">
        <f>(VLOOKUP('15.01'!AF14,'15.01'!$AM$4:$AP$55,4,FALSE))</f>
        <v>0</v>
      </c>
    </row>
    <row r="15" spans="1:24">
      <c r="A15" s="4">
        <f>(VLOOKUP('15.01'!I15,'15.01'!$AM$4:$AP$55,4,FALSE))</f>
        <v>0</v>
      </c>
      <c r="B15" s="4">
        <f>(VLOOKUP('15.01'!J15,'15.01'!$AM$4:$AP$55,4,FALSE))</f>
        <v>0</v>
      </c>
      <c r="C15" s="4">
        <f>(VLOOKUP('15.01'!K15,'15.01'!$AM$4:$AP$55,4,FALSE))</f>
        <v>0</v>
      </c>
      <c r="D15" s="4">
        <f>(VLOOKUP('15.01'!L15,'15.01'!$AM$4:$AP$55,4,FALSE))</f>
        <v>0</v>
      </c>
      <c r="E15" s="4">
        <f>(VLOOKUP('15.01'!M15,'15.01'!$AM$4:$AP$55,4,FALSE))</f>
        <v>0</v>
      </c>
      <c r="F15" s="4">
        <f>(VLOOKUP('15.01'!N15,'15.01'!$AM$4:$AP$55,4,FALSE))</f>
        <v>0</v>
      </c>
      <c r="G15" s="4">
        <f>(VLOOKUP('15.01'!O15,'15.01'!$AM$4:$AP$55,4,FALSE))</f>
        <v>0</v>
      </c>
      <c r="H15" s="4">
        <f>(VLOOKUP('15.01'!P15,'15.01'!$AM$4:$AP$55,4,FALSE))</f>
        <v>0</v>
      </c>
      <c r="I15" s="4">
        <f>(VLOOKUP('15.01'!Q15,'15.01'!$AM$4:$AP$55,4,FALSE))</f>
        <v>0</v>
      </c>
      <c r="J15" s="4">
        <f>(VLOOKUP('15.01'!R15,'15.01'!$AM$4:$AP$55,4,FALSE))</f>
        <v>0</v>
      </c>
      <c r="K15" s="4">
        <f>(VLOOKUP('15.01'!S15,'15.01'!$AM$4:$AP$55,4,FALSE))</f>
        <v>0</v>
      </c>
      <c r="L15" s="4">
        <f>(VLOOKUP('15.01'!T15,'15.01'!$AM$4:$AP$55,4,FALSE))</f>
        <v>0</v>
      </c>
      <c r="M15" s="4">
        <f>(VLOOKUP('15.01'!U15,'15.01'!$AM$4:$AP$55,4,FALSE))</f>
        <v>0</v>
      </c>
      <c r="N15" s="4">
        <f>(VLOOKUP('15.01'!V15,'15.01'!$AM$4:$AP$55,4,FALSE))</f>
        <v>0</v>
      </c>
      <c r="O15" s="4">
        <f>(VLOOKUP('15.01'!W15,'15.01'!$AM$4:$AP$55,4,FALSE))</f>
        <v>0</v>
      </c>
      <c r="P15" s="4">
        <f>(VLOOKUP('15.01'!X15,'15.01'!$AM$4:$AP$55,4,FALSE))</f>
        <v>0</v>
      </c>
      <c r="Q15" s="4">
        <f>(VLOOKUP('15.01'!Y15,'15.01'!$AM$4:$AP$55,4,FALSE))</f>
        <v>34</v>
      </c>
      <c r="R15" s="4">
        <f>(VLOOKUP('15.01'!Z15,'15.01'!$AM$4:$AP$55,4,FALSE))</f>
        <v>0</v>
      </c>
      <c r="S15" s="4">
        <f>(VLOOKUP('15.01'!AA15,'15.01'!$AM$4:$AP$55,4,FALSE))</f>
        <v>34</v>
      </c>
      <c r="T15" s="4">
        <f>(VLOOKUP('15.01'!AB15,'15.01'!$AM$4:$AP$55,4,FALSE))</f>
        <v>34</v>
      </c>
      <c r="U15" s="4">
        <f>(VLOOKUP('15.01'!AC15,'15.01'!$AM$4:$AP$55,4,FALSE))</f>
        <v>34</v>
      </c>
      <c r="V15" s="4">
        <f>(VLOOKUP('15.01'!AD15,'15.01'!$AM$4:$AP$55,4,FALSE))</f>
        <v>34</v>
      </c>
      <c r="W15" s="4">
        <f>(VLOOKUP('15.01'!AE15,'15.01'!$AM$4:$AP$55,4,FALSE))</f>
        <v>0</v>
      </c>
      <c r="X15" s="4">
        <f>(VLOOKUP('15.01'!AF15,'15.01'!$AM$4:$AP$55,4,FALSE))</f>
        <v>0</v>
      </c>
    </row>
    <row r="16" spans="1:24">
      <c r="A16" s="4">
        <f>(VLOOKUP('15.01'!I16,'15.01'!$AM$4:$AP$55,4,FALSE))</f>
        <v>0</v>
      </c>
      <c r="B16" s="4">
        <f>(VLOOKUP('15.01'!J16,'15.01'!$AM$4:$AP$55,4,FALSE))</f>
        <v>0</v>
      </c>
      <c r="C16" s="4">
        <f>(VLOOKUP('15.01'!K16,'15.01'!$AM$4:$AP$55,4,FALSE))</f>
        <v>0</v>
      </c>
      <c r="D16" s="4">
        <f>(VLOOKUP('15.01'!L16,'15.01'!$AM$4:$AP$55,4,FALSE))</f>
        <v>0</v>
      </c>
      <c r="E16" s="4">
        <f>(VLOOKUP('15.01'!M16,'15.01'!$AM$4:$AP$55,4,FALSE))</f>
        <v>0</v>
      </c>
      <c r="F16" s="4">
        <f>(VLOOKUP('15.01'!N16,'15.01'!$AM$4:$AP$55,4,FALSE))</f>
        <v>0</v>
      </c>
      <c r="G16" s="4">
        <f>(VLOOKUP('15.01'!O16,'15.01'!$AM$4:$AP$55,4,FALSE))</f>
        <v>0</v>
      </c>
      <c r="H16" s="4">
        <f>(VLOOKUP('15.01'!P16,'15.01'!$AM$4:$AP$55,4,FALSE))</f>
        <v>0</v>
      </c>
      <c r="I16" s="4">
        <f>(VLOOKUP('15.01'!Q16,'15.01'!$AM$4:$AP$55,4,FALSE))</f>
        <v>36</v>
      </c>
      <c r="J16" s="4">
        <f>(VLOOKUP('15.01'!R16,'15.01'!$AM$4:$AP$55,4,FALSE))</f>
        <v>36</v>
      </c>
      <c r="K16" s="4">
        <f>(VLOOKUP('15.01'!S16,'15.01'!$AM$4:$AP$55,4,FALSE))</f>
        <v>36</v>
      </c>
      <c r="L16" s="4">
        <f>(VLOOKUP('15.01'!T16,'15.01'!$AM$4:$AP$55,4,FALSE))</f>
        <v>36</v>
      </c>
      <c r="M16" s="4">
        <f>(VLOOKUP('15.01'!U16,'15.01'!$AM$4:$AP$55,4,FALSE))</f>
        <v>36</v>
      </c>
      <c r="N16" s="4">
        <f>(VLOOKUP('15.01'!V16,'15.01'!$AM$4:$AP$55,4,FALSE))</f>
        <v>36</v>
      </c>
      <c r="O16" s="4">
        <f>(VLOOKUP('15.01'!W16,'15.01'!$AM$4:$AP$55,4,FALSE))</f>
        <v>0</v>
      </c>
      <c r="P16" s="4">
        <f>(VLOOKUP('15.01'!X16,'15.01'!$AM$4:$AP$55,4,FALSE))</f>
        <v>0</v>
      </c>
      <c r="Q16" s="4">
        <f>(VLOOKUP('15.01'!Y16,'15.01'!$AM$4:$AP$55,4,FALSE))</f>
        <v>34</v>
      </c>
      <c r="R16" s="4">
        <f>(VLOOKUP('15.01'!Z16,'15.01'!$AM$4:$AP$55,4,FALSE))</f>
        <v>34</v>
      </c>
      <c r="S16" s="4">
        <f>(VLOOKUP('15.01'!AA16,'15.01'!$AM$4:$AP$55,4,FALSE))</f>
        <v>34</v>
      </c>
      <c r="T16" s="4">
        <f>(VLOOKUP('15.01'!AB16,'15.01'!$AM$4:$AP$55,4,FALSE))</f>
        <v>34</v>
      </c>
      <c r="U16" s="4">
        <f>(VLOOKUP('15.01'!AC16,'15.01'!$AM$4:$AP$55,4,FALSE))</f>
        <v>34</v>
      </c>
      <c r="V16" s="4">
        <f>(VLOOKUP('15.01'!AD16,'15.01'!$AM$4:$AP$55,4,FALSE))</f>
        <v>0</v>
      </c>
      <c r="W16" s="4">
        <f>(VLOOKUP('15.01'!AE16,'15.01'!$AM$4:$AP$55,4,FALSE))</f>
        <v>0</v>
      </c>
      <c r="X16" s="4">
        <f>(VLOOKUP('15.01'!AF16,'15.01'!$AM$4:$AP$55,4,FALSE))</f>
        <v>0</v>
      </c>
    </row>
    <row r="17" spans="1:24">
      <c r="A17" s="4">
        <f>(VLOOKUP('15.01'!I17,'15.01'!$AM$4:$AP$55,4,FALSE))</f>
        <v>0</v>
      </c>
      <c r="B17" s="4">
        <f>(VLOOKUP('15.01'!J17,'15.01'!$AM$4:$AP$55,4,FALSE))</f>
        <v>0</v>
      </c>
      <c r="C17" s="4">
        <f>(VLOOKUP('15.01'!K17,'15.01'!$AM$4:$AP$55,4,FALSE))</f>
        <v>0</v>
      </c>
      <c r="D17" s="4">
        <f>(VLOOKUP('15.01'!L17,'15.01'!$AM$4:$AP$55,4,FALSE))</f>
        <v>0</v>
      </c>
      <c r="E17" s="4">
        <f>(VLOOKUP('15.01'!M17,'15.01'!$AM$4:$AP$55,4,FALSE))</f>
        <v>0</v>
      </c>
      <c r="F17" s="4">
        <f>(VLOOKUP('15.01'!N17,'15.01'!$AM$4:$AP$55,4,FALSE))</f>
        <v>0</v>
      </c>
      <c r="G17" s="4">
        <f>(VLOOKUP('15.01'!O17,'15.01'!$AM$4:$AP$55,4,FALSE))</f>
        <v>0</v>
      </c>
      <c r="H17" s="4">
        <f>(VLOOKUP('15.01'!P17,'15.01'!$AM$4:$AP$55,4,FALSE))</f>
        <v>0</v>
      </c>
      <c r="I17" s="4">
        <f>(VLOOKUP('15.01'!Q17,'15.01'!$AM$4:$AP$55,4,FALSE))</f>
        <v>36</v>
      </c>
      <c r="J17" s="4">
        <f>(VLOOKUP('15.01'!R17,'15.01'!$AM$4:$AP$55,4,FALSE))</f>
        <v>36</v>
      </c>
      <c r="K17" s="4">
        <f>(VLOOKUP('15.01'!S17,'15.01'!$AM$4:$AP$55,4,FALSE))</f>
        <v>36</v>
      </c>
      <c r="L17" s="4">
        <f>(VLOOKUP('15.01'!T17,'15.01'!$AM$4:$AP$55,4,FALSE))</f>
        <v>36</v>
      </c>
      <c r="M17" s="4">
        <f>(VLOOKUP('15.01'!U17,'15.01'!$AM$4:$AP$55,4,FALSE))</f>
        <v>36</v>
      </c>
      <c r="N17" s="4">
        <f>(VLOOKUP('15.01'!V17,'15.01'!$AM$4:$AP$55,4,FALSE))</f>
        <v>36</v>
      </c>
      <c r="O17" s="4">
        <f>(VLOOKUP('15.01'!W17,'15.01'!$AM$4:$AP$55,4,FALSE))</f>
        <v>0</v>
      </c>
      <c r="P17" s="4">
        <f>(VLOOKUP('15.01'!X17,'15.01'!$AM$4:$AP$55,4,FALSE))</f>
        <v>0</v>
      </c>
      <c r="Q17" s="4">
        <f>(VLOOKUP('15.01'!Y17,'15.01'!$AM$4:$AP$55,4,FALSE))</f>
        <v>34</v>
      </c>
      <c r="R17" s="4">
        <f>(VLOOKUP('15.01'!Z17,'15.01'!$AM$4:$AP$55,4,FALSE))</f>
        <v>34</v>
      </c>
      <c r="S17" s="4">
        <f>(VLOOKUP('15.01'!AA17,'15.01'!$AM$4:$AP$55,4,FALSE))</f>
        <v>10</v>
      </c>
      <c r="T17" s="4">
        <f>(VLOOKUP('15.01'!AB17,'15.01'!$AM$4:$AP$55,4,FALSE))</f>
        <v>34</v>
      </c>
      <c r="U17" s="4">
        <f>(VLOOKUP('15.01'!AC17,'15.01'!$AM$4:$AP$55,4,FALSE))</f>
        <v>34</v>
      </c>
      <c r="V17" s="4">
        <f>(VLOOKUP('15.01'!AD17,'15.01'!$AM$4:$AP$55,4,FALSE))</f>
        <v>34</v>
      </c>
      <c r="W17" s="4">
        <f>(VLOOKUP('15.01'!AE17,'15.01'!$AM$4:$AP$55,4,FALSE))</f>
        <v>0</v>
      </c>
      <c r="X17" s="4">
        <f>(VLOOKUP('15.01'!AF17,'15.01'!$AM$4:$AP$55,4,FALSE))</f>
        <v>0</v>
      </c>
    </row>
    <row r="18" spans="1:24">
      <c r="A18" s="4">
        <f>(VLOOKUP('15.01'!I18,'15.01'!$AM$4:$AP$55,4,FALSE))</f>
        <v>0</v>
      </c>
      <c r="B18" s="4">
        <f>(VLOOKUP('15.01'!J18,'15.01'!$AM$4:$AP$55,4,FALSE))</f>
        <v>0</v>
      </c>
      <c r="C18" s="4">
        <f>(VLOOKUP('15.01'!K18,'15.01'!$AM$4:$AP$55,4,FALSE))</f>
        <v>0</v>
      </c>
      <c r="D18" s="4">
        <f>(VLOOKUP('15.01'!L18,'15.01'!$AM$4:$AP$55,4,FALSE))</f>
        <v>0</v>
      </c>
      <c r="E18" s="4">
        <f>(VLOOKUP('15.01'!M18,'15.01'!$AM$4:$AP$55,4,FALSE))</f>
        <v>0</v>
      </c>
      <c r="F18" s="4">
        <f>(VLOOKUP('15.01'!N18,'15.01'!$AM$4:$AP$55,4,FALSE))</f>
        <v>0</v>
      </c>
      <c r="G18" s="4">
        <f>(VLOOKUP('15.01'!O18,'15.01'!$AM$4:$AP$55,4,FALSE))</f>
        <v>0</v>
      </c>
      <c r="H18" s="4">
        <f>(VLOOKUP('15.01'!P18,'15.01'!$AM$4:$AP$55,4,FALSE))</f>
        <v>0</v>
      </c>
      <c r="I18" s="4">
        <f>(VLOOKUP('15.01'!Q18,'15.01'!$AM$4:$AP$55,4,FALSE))</f>
        <v>36</v>
      </c>
      <c r="J18" s="4">
        <f>(VLOOKUP('15.01'!R18,'15.01'!$AM$4:$AP$55,4,FALSE))</f>
        <v>36</v>
      </c>
      <c r="K18" s="4">
        <f>(VLOOKUP('15.01'!S18,'15.01'!$AM$4:$AP$55,4,FALSE))</f>
        <v>36</v>
      </c>
      <c r="L18" s="4">
        <f>(VLOOKUP('15.01'!T18,'15.01'!$AM$4:$AP$55,4,FALSE))</f>
        <v>36</v>
      </c>
      <c r="M18" s="4">
        <f>(VLOOKUP('15.01'!U18,'15.01'!$AM$4:$AP$55,4,FALSE))</f>
        <v>36</v>
      </c>
      <c r="N18" s="4">
        <f>(VLOOKUP('15.01'!V18,'15.01'!$AM$4:$AP$55,4,FALSE))</f>
        <v>36</v>
      </c>
      <c r="O18" s="4">
        <f>(VLOOKUP('15.01'!W18,'15.01'!$AM$4:$AP$55,4,FALSE))</f>
        <v>0</v>
      </c>
      <c r="P18" s="4">
        <f>(VLOOKUP('15.01'!X18,'15.01'!$AM$4:$AP$55,4,FALSE))</f>
        <v>0</v>
      </c>
      <c r="Q18" s="4">
        <f>(VLOOKUP('15.01'!Y18,'15.01'!$AM$4:$AP$55,4,FALSE))</f>
        <v>34</v>
      </c>
      <c r="R18" s="4">
        <f>(VLOOKUP('15.01'!Z18,'15.01'!$AM$4:$AP$55,4,FALSE))</f>
        <v>34</v>
      </c>
      <c r="S18" s="4">
        <f>(VLOOKUP('15.01'!AA18,'15.01'!$AM$4:$AP$55,4,FALSE))</f>
        <v>34</v>
      </c>
      <c r="T18" s="4">
        <f>(VLOOKUP('15.01'!AB18,'15.01'!$AM$4:$AP$55,4,FALSE))</f>
        <v>34</v>
      </c>
      <c r="U18" s="4">
        <f>(VLOOKUP('15.01'!AC18,'15.01'!$AM$4:$AP$55,4,FALSE))</f>
        <v>34</v>
      </c>
      <c r="V18" s="4">
        <f>(VLOOKUP('15.01'!AD18,'15.01'!$AM$4:$AP$55,4,FALSE))</f>
        <v>34</v>
      </c>
      <c r="W18" s="4">
        <f>(VLOOKUP('15.01'!AE18,'15.01'!$AM$4:$AP$55,4,FALSE))</f>
        <v>0</v>
      </c>
      <c r="X18" s="4">
        <f>(VLOOKUP('15.01'!AF18,'15.01'!$AM$4:$AP$55,4,FALSE))</f>
        <v>0</v>
      </c>
    </row>
    <row r="19" spans="1:24">
      <c r="A19" s="4">
        <f>(VLOOKUP('15.01'!I19,'15.01'!$AM$4:$AP$55,4,FALSE))</f>
        <v>0</v>
      </c>
      <c r="B19" s="4">
        <f>(VLOOKUP('15.01'!J19,'15.01'!$AM$4:$AP$55,4,FALSE))</f>
        <v>0</v>
      </c>
      <c r="C19" s="4">
        <f>(VLOOKUP('15.01'!K19,'15.01'!$AM$4:$AP$55,4,FALSE))</f>
        <v>0</v>
      </c>
      <c r="D19" s="4">
        <f>(VLOOKUP('15.01'!L19,'15.01'!$AM$4:$AP$55,4,FALSE))</f>
        <v>0</v>
      </c>
      <c r="E19" s="4">
        <f>(VLOOKUP('15.01'!M19,'15.01'!$AM$4:$AP$55,4,FALSE))</f>
        <v>0</v>
      </c>
      <c r="F19" s="4">
        <f>(VLOOKUP('15.01'!N19,'15.01'!$AM$4:$AP$55,4,FALSE))</f>
        <v>0</v>
      </c>
      <c r="G19" s="4">
        <f>(VLOOKUP('15.01'!O19,'15.01'!$AM$4:$AP$55,4,FALSE))</f>
        <v>0</v>
      </c>
      <c r="H19" s="4">
        <f>(VLOOKUP('15.01'!P19,'15.01'!$AM$4:$AP$55,4,FALSE))</f>
        <v>0</v>
      </c>
      <c r="I19" s="4">
        <f>(VLOOKUP('15.01'!Q19,'15.01'!$AM$4:$AP$55,4,FALSE))</f>
        <v>36</v>
      </c>
      <c r="J19" s="4">
        <f>(VLOOKUP('15.01'!R19,'15.01'!$AM$4:$AP$55,4,FALSE))</f>
        <v>36</v>
      </c>
      <c r="K19" s="4">
        <f>(VLOOKUP('15.01'!S19,'15.01'!$AM$4:$AP$55,4,FALSE))</f>
        <v>36</v>
      </c>
      <c r="L19" s="4">
        <f>(VLOOKUP('15.01'!T19,'15.01'!$AM$4:$AP$55,4,FALSE))</f>
        <v>36</v>
      </c>
      <c r="M19" s="4">
        <f>(VLOOKUP('15.01'!U19,'15.01'!$AM$4:$AP$55,4,FALSE))</f>
        <v>36</v>
      </c>
      <c r="N19" s="4">
        <f>(VLOOKUP('15.01'!V19,'15.01'!$AM$4:$AP$55,4,FALSE))</f>
        <v>36</v>
      </c>
      <c r="O19" s="4">
        <f>(VLOOKUP('15.01'!W19,'15.01'!$AM$4:$AP$55,4,FALSE))</f>
        <v>0</v>
      </c>
      <c r="P19" s="4">
        <f>(VLOOKUP('15.01'!X19,'15.01'!$AM$4:$AP$55,4,FALSE))</f>
        <v>0</v>
      </c>
      <c r="Q19" s="4">
        <f>(VLOOKUP('15.01'!Y19,'15.01'!$AM$4:$AP$55,4,FALSE))</f>
        <v>34</v>
      </c>
      <c r="R19" s="4">
        <f>(VLOOKUP('15.01'!Z19,'15.01'!$AM$4:$AP$55,4,FALSE))</f>
        <v>34</v>
      </c>
      <c r="S19" s="4">
        <f>(VLOOKUP('15.01'!AA19,'15.01'!$AM$4:$AP$55,4,FALSE))</f>
        <v>0</v>
      </c>
      <c r="T19" s="4">
        <f>(VLOOKUP('15.01'!AB19,'15.01'!$AM$4:$AP$55,4,FALSE))</f>
        <v>34</v>
      </c>
      <c r="U19" s="4">
        <f>(VLOOKUP('15.01'!AC19,'15.01'!$AM$4:$AP$55,4,FALSE))</f>
        <v>34</v>
      </c>
      <c r="V19" s="4">
        <f>(VLOOKUP('15.01'!AD19,'15.01'!$AM$4:$AP$55,4,FALSE))</f>
        <v>34</v>
      </c>
      <c r="W19" s="4">
        <f>(VLOOKUP('15.01'!AE19,'15.01'!$AM$4:$AP$55,4,FALSE))</f>
        <v>0</v>
      </c>
      <c r="X19" s="4">
        <f>(VLOOKUP('15.01'!AF19,'15.01'!$AM$4:$AP$55,4,FALSE))</f>
        <v>0</v>
      </c>
    </row>
    <row r="20" spans="1:24">
      <c r="A20" s="4">
        <f>(VLOOKUP('15.01'!I20,'15.01'!$AM$4:$AP$55,4,FALSE))</f>
        <v>0</v>
      </c>
      <c r="B20" s="4">
        <f>(VLOOKUP('15.01'!J20,'15.01'!$AM$4:$AP$55,4,FALSE))</f>
        <v>0</v>
      </c>
      <c r="C20" s="4">
        <f>(VLOOKUP('15.01'!K20,'15.01'!$AM$4:$AP$55,4,FALSE))</f>
        <v>0</v>
      </c>
      <c r="D20" s="4">
        <f>(VLOOKUP('15.01'!L20,'15.01'!$AM$4:$AP$55,4,FALSE))</f>
        <v>0</v>
      </c>
      <c r="E20" s="4">
        <f>(VLOOKUP('15.01'!M20,'15.01'!$AM$4:$AP$55,4,FALSE))</f>
        <v>0</v>
      </c>
      <c r="F20" s="4">
        <f>(VLOOKUP('15.01'!N20,'15.01'!$AM$4:$AP$55,4,FALSE))</f>
        <v>0</v>
      </c>
      <c r="G20" s="4">
        <f>(VLOOKUP('15.01'!O20,'15.01'!$AM$4:$AP$55,4,FALSE))</f>
        <v>0</v>
      </c>
      <c r="H20" s="4">
        <f>(VLOOKUP('15.01'!P20,'15.01'!$AM$4:$AP$55,4,FALSE))</f>
        <v>0</v>
      </c>
      <c r="I20" s="4">
        <f>(VLOOKUP('15.01'!Q20,'15.01'!$AM$4:$AP$55,4,FALSE))</f>
        <v>39.110982162825422</v>
      </c>
      <c r="J20" s="4">
        <f>(VLOOKUP('15.01'!R20,'15.01'!$AM$4:$AP$55,4,FALSE))</f>
        <v>39.110982162825422</v>
      </c>
      <c r="K20" s="4">
        <f>(VLOOKUP('15.01'!S20,'15.01'!$AM$4:$AP$55,4,FALSE))</f>
        <v>0</v>
      </c>
      <c r="L20" s="4">
        <f>(VLOOKUP('15.01'!T20,'15.01'!$AM$4:$AP$55,4,FALSE))</f>
        <v>39.110982162825422</v>
      </c>
      <c r="M20" s="4">
        <f>(VLOOKUP('15.01'!U20,'15.01'!$AM$4:$AP$55,4,FALSE))</f>
        <v>39.110982162825422</v>
      </c>
      <c r="N20" s="4">
        <f>(VLOOKUP('15.01'!V20,'15.01'!$AM$4:$AP$55,4,FALSE))</f>
        <v>39.110982162825422</v>
      </c>
      <c r="O20" s="4">
        <f>(VLOOKUP('15.01'!W20,'15.01'!$AM$4:$AP$55,4,FALSE))</f>
        <v>0</v>
      </c>
      <c r="P20" s="4">
        <f>(VLOOKUP('15.01'!X20,'15.01'!$AM$4:$AP$55,4,FALSE))</f>
        <v>0</v>
      </c>
      <c r="Q20" s="4">
        <f>(VLOOKUP('15.01'!Y20,'15.01'!$AM$4:$AP$55,4,FALSE))</f>
        <v>34</v>
      </c>
      <c r="R20" s="4">
        <f>(VLOOKUP('15.01'!Z20,'15.01'!$AM$4:$AP$55,4,FALSE))</f>
        <v>29.110982162825422</v>
      </c>
      <c r="S20" s="4">
        <f>(VLOOKUP('15.01'!AA20,'15.01'!$AM$4:$AP$55,4,FALSE))</f>
        <v>39.110982162825422</v>
      </c>
      <c r="T20" s="4">
        <f>(VLOOKUP('15.01'!AB20,'15.01'!$AM$4:$AP$55,4,FALSE))</f>
        <v>39.110982162825422</v>
      </c>
      <c r="U20" s="4">
        <f>(VLOOKUP('15.01'!AC20,'15.01'!$AM$4:$AP$55,4,FALSE))</f>
        <v>39.110982162825422</v>
      </c>
      <c r="V20" s="4">
        <f>(VLOOKUP('15.01'!AD20,'15.01'!$AM$4:$AP$55,4,FALSE))</f>
        <v>39.110982162825422</v>
      </c>
      <c r="W20" s="4">
        <f>(VLOOKUP('15.01'!AE20,'15.01'!$AM$4:$AP$55,4,FALSE))</f>
        <v>0</v>
      </c>
      <c r="X20" s="4">
        <f>(VLOOKUP('15.01'!AF20,'15.01'!$AM$4:$AP$55,4,FALSE))</f>
        <v>0</v>
      </c>
    </row>
    <row r="21" spans="1:24">
      <c r="A21" s="4">
        <f>(VLOOKUP('15.01'!I21,'15.01'!$AM$4:$AP$55,4,FALSE))</f>
        <v>0</v>
      </c>
      <c r="B21" s="4">
        <f>(VLOOKUP('15.01'!J21,'15.01'!$AM$4:$AP$55,4,FALSE))</f>
        <v>0</v>
      </c>
      <c r="C21" s="4">
        <f>(VLOOKUP('15.01'!K21,'15.01'!$AM$4:$AP$55,4,FALSE))</f>
        <v>0</v>
      </c>
      <c r="D21" s="4">
        <f>(VLOOKUP('15.01'!L21,'15.01'!$AM$4:$AP$55,4,FALSE))</f>
        <v>0</v>
      </c>
      <c r="E21" s="4">
        <f>(VLOOKUP('15.01'!M21,'15.01'!$AM$4:$AP$55,4,FALSE))</f>
        <v>0</v>
      </c>
      <c r="F21" s="4">
        <f>(VLOOKUP('15.01'!N21,'15.01'!$AM$4:$AP$55,4,FALSE))</f>
        <v>0</v>
      </c>
      <c r="G21" s="4">
        <f>(VLOOKUP('15.01'!O21,'15.01'!$AM$4:$AP$55,4,FALSE))</f>
        <v>0</v>
      </c>
      <c r="H21" s="4">
        <f>(VLOOKUP('15.01'!P21,'15.01'!$AM$4:$AP$55,4,FALSE))</f>
        <v>0</v>
      </c>
      <c r="I21" s="4">
        <f>(VLOOKUP('15.01'!Q21,'15.01'!$AM$4:$AP$55,4,FALSE))</f>
        <v>39.110982162825422</v>
      </c>
      <c r="J21" s="4">
        <f>(VLOOKUP('15.01'!R21,'15.01'!$AM$4:$AP$55,4,FALSE))</f>
        <v>36</v>
      </c>
      <c r="K21" s="4">
        <f>(VLOOKUP('15.01'!S21,'15.01'!$AM$4:$AP$55,4,FALSE))</f>
        <v>36</v>
      </c>
      <c r="L21" s="4">
        <f>(VLOOKUP('15.01'!T21,'15.01'!$AM$4:$AP$55,4,FALSE))</f>
        <v>36</v>
      </c>
      <c r="M21" s="4">
        <f>(VLOOKUP('15.01'!U21,'15.01'!$AM$4:$AP$55,4,FALSE))</f>
        <v>36</v>
      </c>
      <c r="N21" s="4">
        <f>(VLOOKUP('15.01'!V21,'15.01'!$AM$4:$AP$55,4,FALSE))</f>
        <v>36</v>
      </c>
      <c r="O21" s="4">
        <f>(VLOOKUP('15.01'!W21,'15.01'!$AM$4:$AP$55,4,FALSE))</f>
        <v>0</v>
      </c>
      <c r="P21" s="4">
        <f>(VLOOKUP('15.01'!X21,'15.01'!$AM$4:$AP$55,4,FALSE))</f>
        <v>0</v>
      </c>
      <c r="Q21" s="4">
        <f>(VLOOKUP('15.01'!Y21,'15.01'!$AM$4:$AP$55,4,FALSE))</f>
        <v>10</v>
      </c>
      <c r="R21" s="4">
        <f>(VLOOKUP('15.01'!Z21,'15.01'!$AM$4:$AP$55,4,FALSE))</f>
        <v>34</v>
      </c>
      <c r="S21" s="4">
        <f>(VLOOKUP('15.01'!AA21,'15.01'!$AM$4:$AP$55,4,FALSE))</f>
        <v>34</v>
      </c>
      <c r="T21" s="4">
        <f>(VLOOKUP('15.01'!AB21,'15.01'!$AM$4:$AP$55,4,FALSE))</f>
        <v>34</v>
      </c>
      <c r="U21" s="4">
        <f>(VLOOKUP('15.01'!AC21,'15.01'!$AM$4:$AP$55,4,FALSE))</f>
        <v>34</v>
      </c>
      <c r="V21" s="4">
        <f>(VLOOKUP('15.01'!AD21,'15.01'!$AM$4:$AP$55,4,FALSE))</f>
        <v>10</v>
      </c>
      <c r="W21" s="4">
        <f>(VLOOKUP('15.01'!AE21,'15.01'!$AM$4:$AP$55,4,FALSE))</f>
        <v>0</v>
      </c>
      <c r="X21" s="4">
        <f>(VLOOKUP('15.01'!AF21,'15.01'!$AM$4:$AP$55,4,FALSE))</f>
        <v>0</v>
      </c>
    </row>
    <row r="22" spans="1:24">
      <c r="A22" s="4">
        <f>(VLOOKUP('15.01'!I22,'15.01'!$AM$4:$AP$55,4,FALSE))</f>
        <v>0</v>
      </c>
      <c r="B22" s="4">
        <f>(VLOOKUP('15.01'!J22,'15.01'!$AM$4:$AP$55,4,FALSE))</f>
        <v>0</v>
      </c>
      <c r="C22" s="4">
        <f>(VLOOKUP('15.01'!K22,'15.01'!$AM$4:$AP$55,4,FALSE))</f>
        <v>0</v>
      </c>
      <c r="D22" s="4">
        <f>(VLOOKUP('15.01'!L22,'15.01'!$AM$4:$AP$55,4,FALSE))</f>
        <v>0</v>
      </c>
      <c r="E22" s="4">
        <f>(VLOOKUP('15.01'!M22,'15.01'!$AM$4:$AP$55,4,FALSE))</f>
        <v>0</v>
      </c>
      <c r="F22" s="4">
        <f>(VLOOKUP('15.01'!N22,'15.01'!$AM$4:$AP$55,4,FALSE))</f>
        <v>0</v>
      </c>
      <c r="G22" s="4">
        <f>(VLOOKUP('15.01'!O22,'15.01'!$AM$4:$AP$55,4,FALSE))</f>
        <v>0</v>
      </c>
      <c r="H22" s="4">
        <f>(VLOOKUP('15.01'!P22,'15.01'!$AM$4:$AP$55,4,FALSE))</f>
        <v>0</v>
      </c>
      <c r="I22" s="4">
        <f>(VLOOKUP('15.01'!Q22,'15.01'!$AM$4:$AP$55,4,FALSE))</f>
        <v>36</v>
      </c>
      <c r="J22" s="4">
        <f>(VLOOKUP('15.01'!R22,'15.01'!$AM$4:$AP$55,4,FALSE))</f>
        <v>36</v>
      </c>
      <c r="K22" s="4">
        <f>(VLOOKUP('15.01'!S22,'15.01'!$AM$4:$AP$55,4,FALSE))</f>
        <v>36</v>
      </c>
      <c r="L22" s="4">
        <f>(VLOOKUP('15.01'!T22,'15.01'!$AM$4:$AP$55,4,FALSE))</f>
        <v>36</v>
      </c>
      <c r="M22" s="4">
        <f>(VLOOKUP('15.01'!U22,'15.01'!$AM$4:$AP$55,4,FALSE))</f>
        <v>36</v>
      </c>
      <c r="N22" s="4">
        <f>(VLOOKUP('15.01'!V22,'15.01'!$AM$4:$AP$55,4,FALSE))</f>
        <v>36</v>
      </c>
      <c r="O22" s="4">
        <f>(VLOOKUP('15.01'!W22,'15.01'!$AM$4:$AP$55,4,FALSE))</f>
        <v>0</v>
      </c>
      <c r="P22" s="4">
        <f>(VLOOKUP('15.01'!X22,'15.01'!$AM$4:$AP$55,4,FALSE))</f>
        <v>0</v>
      </c>
      <c r="Q22" s="4">
        <f>(VLOOKUP('15.01'!Y22,'15.01'!$AM$4:$AP$55,4,FALSE))</f>
        <v>34</v>
      </c>
      <c r="R22" s="4">
        <f>(VLOOKUP('15.01'!Z22,'15.01'!$AM$4:$AP$55,4,FALSE))</f>
        <v>34</v>
      </c>
      <c r="S22" s="4">
        <f>(VLOOKUP('15.01'!AA22,'15.01'!$AM$4:$AP$55,4,FALSE))</f>
        <v>34</v>
      </c>
      <c r="T22" s="4">
        <f>(VLOOKUP('15.01'!AB22,'15.01'!$AM$4:$AP$55,4,FALSE))</f>
        <v>34</v>
      </c>
      <c r="U22" s="4">
        <f>(VLOOKUP('15.01'!AC22,'15.01'!$AM$4:$AP$55,4,FALSE))</f>
        <v>34</v>
      </c>
      <c r="V22" s="4">
        <f>(VLOOKUP('15.01'!AD22,'15.01'!$AM$4:$AP$55,4,FALSE))</f>
        <v>34</v>
      </c>
      <c r="W22" s="4">
        <f>(VLOOKUP('15.01'!AE22,'15.01'!$AM$4:$AP$55,4,FALSE))</f>
        <v>0</v>
      </c>
      <c r="X22" s="4">
        <f>(VLOOKUP('15.01'!AF22,'15.01'!$AM$4:$AP$55,4,FALSE))</f>
        <v>0</v>
      </c>
    </row>
    <row r="23" spans="1:24">
      <c r="A23" s="4">
        <f>(VLOOKUP('15.01'!I23,'15.01'!$AM$4:$AP$55,4,FALSE))</f>
        <v>0</v>
      </c>
      <c r="B23" s="4">
        <f>(VLOOKUP('15.01'!J23,'15.01'!$AM$4:$AP$55,4,FALSE))</f>
        <v>0</v>
      </c>
      <c r="C23" s="4">
        <f>(VLOOKUP('15.01'!K23,'15.01'!$AM$4:$AP$55,4,FALSE))</f>
        <v>0</v>
      </c>
      <c r="D23" s="4">
        <f>(VLOOKUP('15.01'!L23,'15.01'!$AM$4:$AP$55,4,FALSE))</f>
        <v>0</v>
      </c>
      <c r="E23" s="4">
        <f>(VLOOKUP('15.01'!M23,'15.01'!$AM$4:$AP$55,4,FALSE))</f>
        <v>0</v>
      </c>
      <c r="F23" s="4">
        <f>(VLOOKUP('15.01'!N23,'15.01'!$AM$4:$AP$55,4,FALSE))</f>
        <v>0</v>
      </c>
      <c r="G23" s="4">
        <f>(VLOOKUP('15.01'!O23,'15.01'!$AM$4:$AP$55,4,FALSE))</f>
        <v>0</v>
      </c>
      <c r="H23" s="4">
        <f>(VLOOKUP('15.01'!P23,'15.01'!$AM$4:$AP$55,4,FALSE))</f>
        <v>0</v>
      </c>
      <c r="I23" s="4">
        <f>(VLOOKUP('15.01'!Q23,'15.01'!$AM$4:$AP$55,4,FALSE))</f>
        <v>36</v>
      </c>
      <c r="J23" s="4">
        <f>(VLOOKUP('15.01'!R23,'15.01'!$AM$4:$AP$55,4,FALSE))</f>
        <v>36</v>
      </c>
      <c r="K23" s="4">
        <f>(VLOOKUP('15.01'!S23,'15.01'!$AM$4:$AP$55,4,FALSE))</f>
        <v>36</v>
      </c>
      <c r="L23" s="4">
        <f>(VLOOKUP('15.01'!T23,'15.01'!$AM$4:$AP$55,4,FALSE))</f>
        <v>36</v>
      </c>
      <c r="M23" s="4">
        <f>(VLOOKUP('15.01'!U23,'15.01'!$AM$4:$AP$55,4,FALSE))</f>
        <v>36</v>
      </c>
      <c r="N23" s="4">
        <f>(VLOOKUP('15.01'!V23,'15.01'!$AM$4:$AP$55,4,FALSE))</f>
        <v>36</v>
      </c>
      <c r="O23" s="4">
        <f>(VLOOKUP('15.01'!W23,'15.01'!$AM$4:$AP$55,4,FALSE))</f>
        <v>0</v>
      </c>
      <c r="P23" s="4">
        <f>(VLOOKUP('15.01'!X23,'15.01'!$AM$4:$AP$55,4,FALSE))</f>
        <v>0</v>
      </c>
      <c r="Q23" s="4">
        <f>(VLOOKUP('15.01'!Y23,'15.01'!$AM$4:$AP$55,4,FALSE))</f>
        <v>34</v>
      </c>
      <c r="R23" s="4">
        <f>(VLOOKUP('15.01'!Z23,'15.01'!$AM$4:$AP$55,4,FALSE))</f>
        <v>34</v>
      </c>
      <c r="S23" s="4">
        <f>(VLOOKUP('15.01'!AA23,'15.01'!$AM$4:$AP$55,4,FALSE))</f>
        <v>34</v>
      </c>
      <c r="T23" s="4">
        <f>(VLOOKUP('15.01'!AB23,'15.01'!$AM$4:$AP$55,4,FALSE))</f>
        <v>34</v>
      </c>
      <c r="U23" s="4">
        <f>(VLOOKUP('15.01'!AC23,'15.01'!$AM$4:$AP$55,4,FALSE))</f>
        <v>34</v>
      </c>
      <c r="V23" s="4">
        <f>(VLOOKUP('15.01'!AD23,'15.01'!$AM$4:$AP$55,4,FALSE))</f>
        <v>34</v>
      </c>
      <c r="W23" s="4">
        <f>(VLOOKUP('15.01'!AE23,'15.01'!$AM$4:$AP$55,4,FALSE))</f>
        <v>0</v>
      </c>
      <c r="X23" s="4">
        <f>(VLOOKUP('15.01'!AF23,'15.01'!$AM$4:$AP$55,4,FALSE))</f>
        <v>0</v>
      </c>
    </row>
    <row r="24" spans="1:24">
      <c r="A24" s="4">
        <f>(VLOOKUP('15.01'!I24,'15.01'!$AM$4:$AP$55,4,FALSE))</f>
        <v>0</v>
      </c>
      <c r="B24" s="4">
        <f>(VLOOKUP('15.01'!J24,'15.01'!$AM$4:$AP$55,4,FALSE))</f>
        <v>0</v>
      </c>
      <c r="C24" s="4">
        <f>(VLOOKUP('15.01'!K24,'15.01'!$AM$4:$AP$55,4,FALSE))</f>
        <v>0</v>
      </c>
      <c r="D24" s="4">
        <f>(VLOOKUP('15.01'!L24,'15.01'!$AM$4:$AP$55,4,FALSE))</f>
        <v>0</v>
      </c>
      <c r="E24" s="4">
        <f>(VLOOKUP('15.01'!M24,'15.01'!$AM$4:$AP$55,4,FALSE))</f>
        <v>0</v>
      </c>
      <c r="F24" s="4">
        <f>(VLOOKUP('15.01'!N24,'15.01'!$AM$4:$AP$55,4,FALSE))</f>
        <v>0</v>
      </c>
      <c r="G24" s="4">
        <f>(VLOOKUP('15.01'!O24,'15.01'!$AM$4:$AP$55,4,FALSE))</f>
        <v>0</v>
      </c>
      <c r="H24" s="4">
        <f>(VLOOKUP('15.01'!P24,'15.01'!$AM$4:$AP$55,4,FALSE))</f>
        <v>0</v>
      </c>
      <c r="I24" s="4">
        <f>(VLOOKUP('15.01'!Q24,'15.01'!$AM$4:$AP$55,4,FALSE))</f>
        <v>36</v>
      </c>
      <c r="J24" s="4">
        <f>(VLOOKUP('15.01'!R24,'15.01'!$AM$4:$AP$55,4,FALSE))</f>
        <v>36</v>
      </c>
      <c r="K24" s="4">
        <f>(VLOOKUP('15.01'!S24,'15.01'!$AM$4:$AP$55,4,FALSE))</f>
        <v>36</v>
      </c>
      <c r="L24" s="4">
        <f>(VLOOKUP('15.01'!T24,'15.01'!$AM$4:$AP$55,4,FALSE))</f>
        <v>36</v>
      </c>
      <c r="M24" s="4">
        <f>(VLOOKUP('15.01'!U24,'15.01'!$AM$4:$AP$55,4,FALSE))</f>
        <v>10</v>
      </c>
      <c r="N24" s="4">
        <f>(VLOOKUP('15.01'!V24,'15.01'!$AM$4:$AP$55,4,FALSE))</f>
        <v>36</v>
      </c>
      <c r="O24" s="4">
        <f>(VLOOKUP('15.01'!W24,'15.01'!$AM$4:$AP$55,4,FALSE))</f>
        <v>0</v>
      </c>
      <c r="P24" s="4">
        <f>(VLOOKUP('15.01'!X24,'15.01'!$AM$4:$AP$55,4,FALSE))</f>
        <v>0</v>
      </c>
      <c r="Q24" s="4">
        <f>(VLOOKUP('15.01'!Y24,'15.01'!$AM$4:$AP$55,4,FALSE))</f>
        <v>34</v>
      </c>
      <c r="R24" s="4">
        <f>(VLOOKUP('15.01'!Z24,'15.01'!$AM$4:$AP$55,4,FALSE))</f>
        <v>34</v>
      </c>
      <c r="S24" s="4">
        <f>(VLOOKUP('15.01'!AA24,'15.01'!$AM$4:$AP$55,4,FALSE))</f>
        <v>34</v>
      </c>
      <c r="T24" s="4">
        <f>(VLOOKUP('15.01'!AB24,'15.01'!$AM$4:$AP$55,4,FALSE))</f>
        <v>34</v>
      </c>
      <c r="U24" s="4">
        <f>(VLOOKUP('15.01'!AC24,'15.01'!$AM$4:$AP$55,4,FALSE))</f>
        <v>34</v>
      </c>
      <c r="V24" s="4">
        <f>(VLOOKUP('15.01'!AD24,'15.01'!$AM$4:$AP$55,4,FALSE))</f>
        <v>34</v>
      </c>
      <c r="W24" s="4">
        <f>(VLOOKUP('15.01'!AE24,'15.01'!$AM$4:$AP$55,4,FALSE))</f>
        <v>0</v>
      </c>
      <c r="X24" s="4">
        <f>(VLOOKUP('15.01'!AF24,'15.01'!$AM$4:$AP$55,4,FALSE))</f>
        <v>0</v>
      </c>
    </row>
    <row r="25" spans="1:24">
      <c r="A25" s="4">
        <f>(VLOOKUP('15.01'!I25,'15.01'!$AM$4:$AP$55,4,FALSE))</f>
        <v>0</v>
      </c>
      <c r="B25" s="4">
        <f>(VLOOKUP('15.01'!J25,'15.01'!$AM$4:$AP$55,4,FALSE))</f>
        <v>0</v>
      </c>
      <c r="C25" s="4">
        <f>(VLOOKUP('15.01'!K25,'15.01'!$AM$4:$AP$55,4,FALSE))</f>
        <v>0</v>
      </c>
      <c r="D25" s="4">
        <f>(VLOOKUP('15.01'!L25,'15.01'!$AM$4:$AP$55,4,FALSE))</f>
        <v>0</v>
      </c>
      <c r="E25" s="4">
        <f>(VLOOKUP('15.01'!M25,'15.01'!$AM$4:$AP$55,4,FALSE))</f>
        <v>0</v>
      </c>
      <c r="F25" s="4">
        <f>(VLOOKUP('15.01'!N25,'15.01'!$AM$4:$AP$55,4,FALSE))</f>
        <v>0</v>
      </c>
      <c r="G25" s="4">
        <f>(VLOOKUP('15.01'!O25,'15.01'!$AM$4:$AP$55,4,FALSE))</f>
        <v>0</v>
      </c>
      <c r="H25" s="4">
        <f>(VLOOKUP('15.01'!P25,'15.01'!$AM$4:$AP$55,4,FALSE))</f>
        <v>0</v>
      </c>
      <c r="I25" s="4">
        <f>(VLOOKUP('15.01'!Q25,'15.01'!$AM$4:$AP$55,4,FALSE))</f>
        <v>36</v>
      </c>
      <c r="J25" s="4">
        <f>(VLOOKUP('15.01'!R25,'15.01'!$AM$4:$AP$55,4,FALSE))</f>
        <v>36</v>
      </c>
      <c r="K25" s="4">
        <f>(VLOOKUP('15.01'!S25,'15.01'!$AM$4:$AP$55,4,FALSE))</f>
        <v>36</v>
      </c>
      <c r="L25" s="4">
        <f>(VLOOKUP('15.01'!T25,'15.01'!$AM$4:$AP$55,4,FALSE))</f>
        <v>36</v>
      </c>
      <c r="M25" s="4">
        <f>(VLOOKUP('15.01'!U25,'15.01'!$AM$4:$AP$55,4,FALSE))</f>
        <v>0</v>
      </c>
      <c r="N25" s="4">
        <f>(VLOOKUP('15.01'!V25,'15.01'!$AM$4:$AP$55,4,FALSE))</f>
        <v>36</v>
      </c>
      <c r="O25" s="4">
        <f>(VLOOKUP('15.01'!W25,'15.01'!$AM$4:$AP$55,4,FALSE))</f>
        <v>0</v>
      </c>
      <c r="P25" s="4">
        <f>(VLOOKUP('15.01'!X25,'15.01'!$AM$4:$AP$55,4,FALSE))</f>
        <v>0</v>
      </c>
      <c r="Q25" s="4">
        <f>(VLOOKUP('15.01'!Y25,'15.01'!$AM$4:$AP$55,4,FALSE))</f>
        <v>10</v>
      </c>
      <c r="R25" s="4">
        <f>(VLOOKUP('15.01'!Z25,'15.01'!$AM$4:$AP$55,4,FALSE))</f>
        <v>34</v>
      </c>
      <c r="S25" s="4">
        <f>(VLOOKUP('15.01'!AA25,'15.01'!$AM$4:$AP$55,4,FALSE))</f>
        <v>34</v>
      </c>
      <c r="T25" s="4">
        <f>(VLOOKUP('15.01'!AB25,'15.01'!$AM$4:$AP$55,4,FALSE))</f>
        <v>34</v>
      </c>
      <c r="U25" s="4">
        <f>(VLOOKUP('15.01'!AC25,'15.01'!$AM$4:$AP$55,4,FALSE))</f>
        <v>34</v>
      </c>
      <c r="V25" s="4">
        <f>(VLOOKUP('15.01'!AD25,'15.01'!$AM$4:$AP$55,4,FALSE))</f>
        <v>34</v>
      </c>
      <c r="W25" s="4">
        <f>(VLOOKUP('15.01'!AE25,'15.01'!$AM$4:$AP$55,4,FALSE))</f>
        <v>0</v>
      </c>
      <c r="X25" s="4">
        <f>(VLOOKUP('15.01'!AF25,'15.01'!$AM$4:$AP$55,4,FALSE))</f>
        <v>0</v>
      </c>
    </row>
    <row r="26" spans="1:24">
      <c r="A26" s="4">
        <f>(VLOOKUP('15.01'!I26,'15.01'!$AM$4:$AP$55,4,FALSE))</f>
        <v>0</v>
      </c>
      <c r="B26" s="4">
        <f>(VLOOKUP('15.01'!J26,'15.01'!$AM$4:$AP$55,4,FALSE))</f>
        <v>0</v>
      </c>
      <c r="C26" s="4">
        <f>(VLOOKUP('15.01'!K26,'15.01'!$AM$4:$AP$55,4,FALSE))</f>
        <v>0</v>
      </c>
      <c r="D26" s="4">
        <f>(VLOOKUP('15.01'!L26,'15.01'!$AM$4:$AP$55,4,FALSE))</f>
        <v>0</v>
      </c>
      <c r="E26" s="4">
        <f>(VLOOKUP('15.01'!M26,'15.01'!$AM$4:$AP$55,4,FALSE))</f>
        <v>0</v>
      </c>
      <c r="F26" s="4">
        <f>(VLOOKUP('15.01'!N26,'15.01'!$AM$4:$AP$55,4,FALSE))</f>
        <v>0</v>
      </c>
      <c r="G26" s="4">
        <f>(VLOOKUP('15.01'!O26,'15.01'!$AM$4:$AP$55,4,FALSE))</f>
        <v>0</v>
      </c>
      <c r="H26" s="4">
        <f>(VLOOKUP('15.01'!P26,'15.01'!$AM$4:$AP$55,4,FALSE))</f>
        <v>0</v>
      </c>
      <c r="I26" s="4">
        <f>(VLOOKUP('15.01'!Q26,'15.01'!$AM$4:$AP$55,4,FALSE))</f>
        <v>36</v>
      </c>
      <c r="J26" s="4">
        <f>(VLOOKUP('15.01'!R26,'15.01'!$AM$4:$AP$55,4,FALSE))</f>
        <v>36</v>
      </c>
      <c r="K26" s="4">
        <f>(VLOOKUP('15.01'!S26,'15.01'!$AM$4:$AP$55,4,FALSE))</f>
        <v>36</v>
      </c>
      <c r="L26" s="4">
        <f>(VLOOKUP('15.01'!T26,'15.01'!$AM$4:$AP$55,4,FALSE))</f>
        <v>36</v>
      </c>
      <c r="M26" s="4">
        <f>(VLOOKUP('15.01'!U26,'15.01'!$AM$4:$AP$55,4,FALSE))</f>
        <v>36</v>
      </c>
      <c r="N26" s="4">
        <f>(VLOOKUP('15.01'!V26,'15.01'!$AM$4:$AP$55,4,FALSE))</f>
        <v>36</v>
      </c>
      <c r="O26" s="4">
        <f>(VLOOKUP('15.01'!W26,'15.01'!$AM$4:$AP$55,4,FALSE))</f>
        <v>0</v>
      </c>
      <c r="P26" s="4">
        <f>(VLOOKUP('15.01'!X26,'15.01'!$AM$4:$AP$55,4,FALSE))</f>
        <v>0</v>
      </c>
      <c r="Q26" s="4">
        <f>(VLOOKUP('15.01'!Y26,'15.01'!$AM$4:$AP$55,4,FALSE))</f>
        <v>34</v>
      </c>
      <c r="R26" s="4">
        <f>(VLOOKUP('15.01'!Z26,'15.01'!$AM$4:$AP$55,4,FALSE))</f>
        <v>34</v>
      </c>
      <c r="S26" s="4">
        <f>(VLOOKUP('15.01'!AA26,'15.01'!$AM$4:$AP$55,4,FALSE))</f>
        <v>34</v>
      </c>
      <c r="T26" s="4">
        <f>(VLOOKUP('15.01'!AB26,'15.01'!$AM$4:$AP$55,4,FALSE))</f>
        <v>34</v>
      </c>
      <c r="U26" s="4">
        <f>(VLOOKUP('15.01'!AC26,'15.01'!$AM$4:$AP$55,4,FALSE))</f>
        <v>34</v>
      </c>
      <c r="V26" s="4">
        <f>(VLOOKUP('15.01'!AD26,'15.01'!$AM$4:$AP$55,4,FALSE))</f>
        <v>34</v>
      </c>
      <c r="W26" s="4">
        <f>(VLOOKUP('15.01'!AE26,'15.01'!$AM$4:$AP$55,4,FALSE))</f>
        <v>0</v>
      </c>
      <c r="X26" s="4">
        <f>(VLOOKUP('15.01'!AF26,'15.01'!$AM$4:$AP$55,4,FALSE))</f>
        <v>0</v>
      </c>
    </row>
    <row r="27" spans="1:24">
      <c r="A27" s="4">
        <f>(VLOOKUP('15.01'!I27,'15.01'!$AM$4:$AP$55,4,FALSE))</f>
        <v>0</v>
      </c>
      <c r="B27" s="4">
        <f>(VLOOKUP('15.01'!J27,'15.01'!$AM$4:$AP$55,4,FALSE))</f>
        <v>0</v>
      </c>
      <c r="C27" s="4">
        <f>(VLOOKUP('15.01'!K27,'15.01'!$AM$4:$AP$55,4,FALSE))</f>
        <v>0</v>
      </c>
      <c r="D27" s="4">
        <f>(VLOOKUP('15.01'!L27,'15.01'!$AM$4:$AP$55,4,FALSE))</f>
        <v>0</v>
      </c>
      <c r="E27" s="4">
        <f>(VLOOKUP('15.01'!M27,'15.01'!$AM$4:$AP$55,4,FALSE))</f>
        <v>0</v>
      </c>
      <c r="F27" s="4">
        <f>(VLOOKUP('15.01'!N27,'15.01'!$AM$4:$AP$55,4,FALSE))</f>
        <v>0</v>
      </c>
      <c r="G27" s="4">
        <f>(VLOOKUP('15.01'!O27,'15.01'!$AM$4:$AP$55,4,FALSE))</f>
        <v>0</v>
      </c>
      <c r="H27" s="4">
        <f>(VLOOKUP('15.01'!P27,'15.01'!$AM$4:$AP$55,4,FALSE))</f>
        <v>0</v>
      </c>
      <c r="I27" s="4">
        <f>(VLOOKUP('15.01'!Q27,'15.01'!$AM$4:$AP$55,4,FALSE))</f>
        <v>36</v>
      </c>
      <c r="J27" s="4">
        <f>(VLOOKUP('15.01'!R27,'15.01'!$AM$4:$AP$55,4,FALSE))</f>
        <v>36</v>
      </c>
      <c r="K27" s="4">
        <f>(VLOOKUP('15.01'!S27,'15.01'!$AM$4:$AP$55,4,FALSE))</f>
        <v>36</v>
      </c>
      <c r="L27" s="4">
        <f>(VLOOKUP('15.01'!T27,'15.01'!$AM$4:$AP$55,4,FALSE))</f>
        <v>36</v>
      </c>
      <c r="M27" s="4">
        <f>(VLOOKUP('15.01'!U27,'15.01'!$AM$4:$AP$55,4,FALSE))</f>
        <v>36</v>
      </c>
      <c r="N27" s="4">
        <f>(VLOOKUP('15.01'!V27,'15.01'!$AM$4:$AP$55,4,FALSE))</f>
        <v>36</v>
      </c>
      <c r="O27" s="4">
        <f>(VLOOKUP('15.01'!W27,'15.01'!$AM$4:$AP$55,4,FALSE))</f>
        <v>0</v>
      </c>
      <c r="P27" s="4">
        <f>(VLOOKUP('15.01'!X27,'15.01'!$AM$4:$AP$55,4,FALSE))</f>
        <v>0</v>
      </c>
      <c r="Q27" s="4">
        <f>(VLOOKUP('15.01'!Y27,'15.01'!$AM$4:$AP$55,4,FALSE))</f>
        <v>34</v>
      </c>
      <c r="R27" s="4">
        <f>(VLOOKUP('15.01'!Z27,'15.01'!$AM$4:$AP$55,4,FALSE))</f>
        <v>34</v>
      </c>
      <c r="S27" s="4">
        <f>(VLOOKUP('15.01'!AA27,'15.01'!$AM$4:$AP$55,4,FALSE))</f>
        <v>34</v>
      </c>
      <c r="T27" s="4">
        <f>(VLOOKUP('15.01'!AB27,'15.01'!$AM$4:$AP$55,4,FALSE))</f>
        <v>34</v>
      </c>
      <c r="U27" s="4">
        <f>(VLOOKUP('15.01'!AC27,'15.01'!$AM$4:$AP$55,4,FALSE))</f>
        <v>34</v>
      </c>
      <c r="V27" s="4">
        <f>(VLOOKUP('15.01'!AD27,'15.01'!$AM$4:$AP$55,4,FALSE))</f>
        <v>34</v>
      </c>
      <c r="W27" s="4">
        <f>(VLOOKUP('15.01'!AE27,'15.01'!$AM$4:$AP$55,4,FALSE))</f>
        <v>0</v>
      </c>
      <c r="X27" s="4">
        <f>(VLOOKUP('15.01'!AF27,'15.01'!$AM$4:$AP$55,4,FALSE))</f>
        <v>0</v>
      </c>
    </row>
    <row r="28" spans="1:24">
      <c r="A28" s="4">
        <f>(VLOOKUP('15.01'!I28,'15.01'!$AM$4:$AP$55,4,FALSE))</f>
        <v>0</v>
      </c>
      <c r="B28" s="4">
        <f>(VLOOKUP('15.01'!J28,'15.01'!$AM$4:$AP$55,4,FALSE))</f>
        <v>0</v>
      </c>
      <c r="C28" s="4">
        <f>(VLOOKUP('15.01'!K28,'15.01'!$AM$4:$AP$55,4,FALSE))</f>
        <v>0</v>
      </c>
      <c r="D28" s="4">
        <f>(VLOOKUP('15.01'!L28,'15.01'!$AM$4:$AP$55,4,FALSE))</f>
        <v>0</v>
      </c>
      <c r="E28" s="4">
        <f>(VLOOKUP('15.01'!M28,'15.01'!$AM$4:$AP$55,4,FALSE))</f>
        <v>0</v>
      </c>
      <c r="F28" s="4">
        <f>(VLOOKUP('15.01'!N28,'15.01'!$AM$4:$AP$55,4,FALSE))</f>
        <v>0</v>
      </c>
      <c r="G28" s="4">
        <f>(VLOOKUP('15.01'!O28,'15.01'!$AM$4:$AP$55,4,FALSE))</f>
        <v>0</v>
      </c>
      <c r="H28" s="4">
        <f>(VLOOKUP('15.01'!P28,'15.01'!$AM$4:$AP$55,4,FALSE))</f>
        <v>0</v>
      </c>
      <c r="I28" s="4">
        <f>(VLOOKUP('15.01'!Q28,'15.01'!$AM$4:$AP$55,4,FALSE))</f>
        <v>36</v>
      </c>
      <c r="J28" s="4">
        <f>(VLOOKUP('15.01'!R28,'15.01'!$AM$4:$AP$55,4,FALSE))</f>
        <v>36</v>
      </c>
      <c r="K28" s="4">
        <f>(VLOOKUP('15.01'!S28,'15.01'!$AM$4:$AP$55,4,FALSE))</f>
        <v>36</v>
      </c>
      <c r="L28" s="4">
        <f>(VLOOKUP('15.01'!T28,'15.01'!$AM$4:$AP$55,4,FALSE))</f>
        <v>36</v>
      </c>
      <c r="M28" s="4">
        <f>(VLOOKUP('15.01'!U28,'15.01'!$AM$4:$AP$55,4,FALSE))</f>
        <v>36</v>
      </c>
      <c r="N28" s="4">
        <f>(VLOOKUP('15.01'!V28,'15.01'!$AM$4:$AP$55,4,FALSE))</f>
        <v>36</v>
      </c>
      <c r="O28" s="4">
        <f>(VLOOKUP('15.01'!W28,'15.01'!$AM$4:$AP$55,4,FALSE))</f>
        <v>0</v>
      </c>
      <c r="P28" s="4">
        <f>(VLOOKUP('15.01'!X28,'15.01'!$AM$4:$AP$55,4,FALSE))</f>
        <v>0</v>
      </c>
      <c r="Q28" s="4">
        <f>(VLOOKUP('15.01'!Y28,'15.01'!$AM$4:$AP$55,4,FALSE))</f>
        <v>34</v>
      </c>
      <c r="R28" s="4">
        <f>(VLOOKUP('15.01'!Z28,'15.01'!$AM$4:$AP$55,4,FALSE))</f>
        <v>34</v>
      </c>
      <c r="S28" s="4">
        <f>(VLOOKUP('15.01'!AA28,'15.01'!$AM$4:$AP$55,4,FALSE))</f>
        <v>34</v>
      </c>
      <c r="T28" s="4">
        <f>(VLOOKUP('15.01'!AB28,'15.01'!$AM$4:$AP$55,4,FALSE))</f>
        <v>34</v>
      </c>
      <c r="U28" s="4">
        <f>(VLOOKUP('15.01'!AC28,'15.01'!$AM$4:$AP$55,4,FALSE))</f>
        <v>34</v>
      </c>
      <c r="V28" s="4">
        <f>(VLOOKUP('15.01'!AD28,'15.01'!$AM$4:$AP$55,4,FALSE))</f>
        <v>34</v>
      </c>
      <c r="W28" s="4">
        <f>(VLOOKUP('15.01'!AE28,'15.01'!$AM$4:$AP$55,4,FALSE))</f>
        <v>0</v>
      </c>
      <c r="X28" s="4">
        <f>(VLOOKUP('15.01'!AF28,'15.01'!$AM$4:$AP$55,4,FALSE))</f>
        <v>0</v>
      </c>
    </row>
    <row r="29" spans="1:24">
      <c r="A29" s="4">
        <f>(VLOOKUP('15.01'!I29,'15.01'!$AM$4:$AP$55,4,FALSE))</f>
        <v>0</v>
      </c>
      <c r="B29" s="4">
        <f>(VLOOKUP('15.01'!J29,'15.01'!$AM$4:$AP$55,4,FALSE))</f>
        <v>0</v>
      </c>
      <c r="C29" s="4">
        <f>(VLOOKUP('15.01'!K29,'15.01'!$AM$4:$AP$55,4,FALSE))</f>
        <v>0</v>
      </c>
      <c r="D29" s="4">
        <f>(VLOOKUP('15.01'!L29,'15.01'!$AM$4:$AP$55,4,FALSE))</f>
        <v>0</v>
      </c>
      <c r="E29" s="4">
        <f>(VLOOKUP('15.01'!M29,'15.01'!$AM$4:$AP$55,4,FALSE))</f>
        <v>0</v>
      </c>
      <c r="F29" s="4">
        <f>(VLOOKUP('15.01'!N29,'15.01'!$AM$4:$AP$55,4,FALSE))</f>
        <v>0</v>
      </c>
      <c r="G29" s="4">
        <f>(VLOOKUP('15.01'!O29,'15.01'!$AM$4:$AP$55,4,FALSE))</f>
        <v>0</v>
      </c>
      <c r="H29" s="4">
        <f>(VLOOKUP('15.01'!P29,'15.01'!$AM$4:$AP$55,4,FALSE))</f>
        <v>0</v>
      </c>
      <c r="I29" s="4">
        <f>(VLOOKUP('15.01'!Q29,'15.01'!$AM$4:$AP$55,4,FALSE))</f>
        <v>36</v>
      </c>
      <c r="J29" s="4">
        <f>(VLOOKUP('15.01'!R29,'15.01'!$AM$4:$AP$55,4,FALSE))</f>
        <v>36</v>
      </c>
      <c r="K29" s="4">
        <f>(VLOOKUP('15.01'!S29,'15.01'!$AM$4:$AP$55,4,FALSE))</f>
        <v>36</v>
      </c>
      <c r="L29" s="4">
        <f>(VLOOKUP('15.01'!T29,'15.01'!$AM$4:$AP$55,4,FALSE))</f>
        <v>36</v>
      </c>
      <c r="M29" s="4">
        <f>(VLOOKUP('15.01'!U29,'15.01'!$AM$4:$AP$55,4,FALSE))</f>
        <v>36</v>
      </c>
      <c r="N29" s="4">
        <f>(VLOOKUP('15.01'!V29,'15.01'!$AM$4:$AP$55,4,FALSE))</f>
        <v>36</v>
      </c>
      <c r="O29" s="4">
        <f>(VLOOKUP('15.01'!W29,'15.01'!$AM$4:$AP$55,4,FALSE))</f>
        <v>0</v>
      </c>
      <c r="P29" s="4">
        <f>(VLOOKUP('15.01'!X29,'15.01'!$AM$4:$AP$55,4,FALSE))</f>
        <v>0</v>
      </c>
      <c r="Q29" s="4">
        <f>(VLOOKUP('15.01'!Y29,'15.01'!$AM$4:$AP$55,4,FALSE))</f>
        <v>10</v>
      </c>
      <c r="R29" s="4">
        <f>(VLOOKUP('15.01'!Z29,'15.01'!$AM$4:$AP$55,4,FALSE))</f>
        <v>34</v>
      </c>
      <c r="S29" s="4">
        <f>(VLOOKUP('15.01'!AA29,'15.01'!$AM$4:$AP$55,4,FALSE))</f>
        <v>34</v>
      </c>
      <c r="T29" s="4">
        <f>(VLOOKUP('15.01'!AB29,'15.01'!$AM$4:$AP$55,4,FALSE))</f>
        <v>34</v>
      </c>
      <c r="U29" s="4">
        <f>(VLOOKUP('15.01'!AC29,'15.01'!$AM$4:$AP$55,4,FALSE))</f>
        <v>34</v>
      </c>
      <c r="V29" s="4">
        <f>(VLOOKUP('15.01'!AD29,'15.01'!$AM$4:$AP$55,4,FALSE))</f>
        <v>34</v>
      </c>
      <c r="W29" s="4">
        <f>(VLOOKUP('15.01'!AE29,'15.01'!$AM$4:$AP$55,4,FALSE))</f>
        <v>0</v>
      </c>
      <c r="X29" s="4">
        <f>(VLOOKUP('15.01'!AF29,'15.01'!$AM$4:$AP$55,4,FALSE))</f>
        <v>0</v>
      </c>
    </row>
    <row r="30" spans="1:24">
      <c r="A30" s="4">
        <f>(VLOOKUP('15.01'!I30,'15.01'!$AM$4:$AP$55,4,FALSE))</f>
        <v>0</v>
      </c>
      <c r="B30" s="4">
        <f>(VLOOKUP('15.01'!J30,'15.01'!$AM$4:$AP$55,4,FALSE))</f>
        <v>0</v>
      </c>
      <c r="C30" s="4">
        <f>(VLOOKUP('15.01'!K30,'15.01'!$AM$4:$AP$55,4,FALSE))</f>
        <v>0</v>
      </c>
      <c r="D30" s="4">
        <f>(VLOOKUP('15.01'!L30,'15.01'!$AM$4:$AP$55,4,FALSE))</f>
        <v>0</v>
      </c>
      <c r="E30" s="4">
        <f>(VLOOKUP('15.01'!M30,'15.01'!$AM$4:$AP$55,4,FALSE))</f>
        <v>0</v>
      </c>
      <c r="F30" s="4">
        <f>(VLOOKUP('15.01'!N30,'15.01'!$AM$4:$AP$55,4,FALSE))</f>
        <v>0</v>
      </c>
      <c r="G30" s="4">
        <f>(VLOOKUP('15.01'!O30,'15.01'!$AM$4:$AP$55,4,FALSE))</f>
        <v>0</v>
      </c>
      <c r="H30" s="4">
        <f>(VLOOKUP('15.01'!P30,'15.01'!$AM$4:$AP$55,4,FALSE))</f>
        <v>0</v>
      </c>
      <c r="I30" s="4">
        <f>(VLOOKUP('15.01'!Q30,'15.01'!$AM$4:$AP$55,4,FALSE))</f>
        <v>36</v>
      </c>
      <c r="J30" s="4">
        <f>(VLOOKUP('15.01'!R30,'15.01'!$AM$4:$AP$55,4,FALSE))</f>
        <v>10</v>
      </c>
      <c r="K30" s="4">
        <f>(VLOOKUP('15.01'!S30,'15.01'!$AM$4:$AP$55,4,FALSE))</f>
        <v>36</v>
      </c>
      <c r="L30" s="4">
        <f>(VLOOKUP('15.01'!T30,'15.01'!$AM$4:$AP$55,4,FALSE))</f>
        <v>36</v>
      </c>
      <c r="M30" s="4">
        <f>(VLOOKUP('15.01'!U30,'15.01'!$AM$4:$AP$55,4,FALSE))</f>
        <v>36</v>
      </c>
      <c r="N30" s="4">
        <f>(VLOOKUP('15.01'!V30,'15.01'!$AM$4:$AP$55,4,FALSE))</f>
        <v>36</v>
      </c>
      <c r="O30" s="4">
        <f>(VLOOKUP('15.01'!W30,'15.01'!$AM$4:$AP$55,4,FALSE))</f>
        <v>0</v>
      </c>
      <c r="P30" s="4">
        <f>(VLOOKUP('15.01'!X30,'15.01'!$AM$4:$AP$55,4,FALSE))</f>
        <v>0</v>
      </c>
      <c r="Q30" s="4">
        <f>(VLOOKUP('15.01'!Y30,'15.01'!$AM$4:$AP$55,4,FALSE))</f>
        <v>34</v>
      </c>
      <c r="R30" s="4">
        <f>(VLOOKUP('15.01'!Z30,'15.01'!$AM$4:$AP$55,4,FALSE))</f>
        <v>34</v>
      </c>
      <c r="S30" s="4">
        <f>(VLOOKUP('15.01'!AA30,'15.01'!$AM$4:$AP$55,4,FALSE))</f>
        <v>34</v>
      </c>
      <c r="T30" s="4">
        <f>(VLOOKUP('15.01'!AB30,'15.01'!$AM$4:$AP$55,4,FALSE))</f>
        <v>34</v>
      </c>
      <c r="U30" s="4">
        <f>(VLOOKUP('15.01'!AC30,'15.01'!$AM$4:$AP$55,4,FALSE))</f>
        <v>10</v>
      </c>
      <c r="V30" s="4">
        <f>(VLOOKUP('15.01'!AD30,'15.01'!$AM$4:$AP$55,4,FALSE))</f>
        <v>34</v>
      </c>
      <c r="W30" s="4">
        <f>(VLOOKUP('15.01'!AE30,'15.01'!$AM$4:$AP$55,4,FALSE))</f>
        <v>0</v>
      </c>
      <c r="X30" s="4">
        <f>(VLOOKUP('15.01'!AF30,'15.01'!$AM$4:$AP$55,4,FALSE))</f>
        <v>0</v>
      </c>
    </row>
    <row r="31" spans="1:24">
      <c r="A31" s="4">
        <f>(VLOOKUP('15.01'!I31,'15.01'!$AM$4:$AP$55,4,FALSE))</f>
        <v>0</v>
      </c>
      <c r="B31" s="4">
        <f>(VLOOKUP('15.01'!J31,'15.01'!$AM$4:$AP$55,4,FALSE))</f>
        <v>0</v>
      </c>
      <c r="C31" s="4">
        <f>(VLOOKUP('15.01'!K31,'15.01'!$AM$4:$AP$55,4,FALSE))</f>
        <v>0</v>
      </c>
      <c r="D31" s="4">
        <f>(VLOOKUP('15.01'!L31,'15.01'!$AM$4:$AP$55,4,FALSE))</f>
        <v>0</v>
      </c>
      <c r="E31" s="4">
        <f>(VLOOKUP('15.01'!M31,'15.01'!$AM$4:$AP$55,4,FALSE))</f>
        <v>0</v>
      </c>
      <c r="F31" s="4">
        <f>(VLOOKUP('15.01'!N31,'15.01'!$AM$4:$AP$55,4,FALSE))</f>
        <v>0</v>
      </c>
      <c r="G31" s="4">
        <f>(VLOOKUP('15.01'!O31,'15.01'!$AM$4:$AP$55,4,FALSE))</f>
        <v>0</v>
      </c>
      <c r="H31" s="4">
        <f>(VLOOKUP('15.01'!P31,'15.01'!$AM$4:$AP$55,4,FALSE))</f>
        <v>0</v>
      </c>
      <c r="I31" s="4">
        <f>(VLOOKUP('15.01'!Q31,'15.01'!$AM$4:$AP$55,4,FALSE))</f>
        <v>36</v>
      </c>
      <c r="J31" s="4">
        <f>(VLOOKUP('15.01'!R31,'15.01'!$AM$4:$AP$55,4,FALSE))</f>
        <v>0</v>
      </c>
      <c r="K31" s="4">
        <f>(VLOOKUP('15.01'!S31,'15.01'!$AM$4:$AP$55,4,FALSE))</f>
        <v>36</v>
      </c>
      <c r="L31" s="4">
        <f>(VLOOKUP('15.01'!T31,'15.01'!$AM$4:$AP$55,4,FALSE))</f>
        <v>36</v>
      </c>
      <c r="M31" s="4">
        <f>(VLOOKUP('15.01'!U31,'15.01'!$AM$4:$AP$55,4,FALSE))</f>
        <v>36</v>
      </c>
      <c r="N31" s="4">
        <f>(VLOOKUP('15.01'!V31,'15.01'!$AM$4:$AP$55,4,FALSE))</f>
        <v>36</v>
      </c>
      <c r="O31" s="4">
        <f>(VLOOKUP('15.01'!W31,'15.01'!$AM$4:$AP$55,4,FALSE))</f>
        <v>0</v>
      </c>
      <c r="P31" s="4">
        <f>(VLOOKUP('15.01'!X31,'15.01'!$AM$4:$AP$55,4,FALSE))</f>
        <v>0</v>
      </c>
      <c r="Q31" s="4">
        <f>(VLOOKUP('15.01'!Y31,'15.01'!$AM$4:$AP$55,4,FALSE))</f>
        <v>34</v>
      </c>
      <c r="R31" s="4">
        <f>(VLOOKUP('15.01'!Z31,'15.01'!$AM$4:$AP$55,4,FALSE))</f>
        <v>34</v>
      </c>
      <c r="S31" s="4">
        <f>(VLOOKUP('15.01'!AA31,'15.01'!$AM$4:$AP$55,4,FALSE))</f>
        <v>34</v>
      </c>
      <c r="T31" s="4">
        <f>(VLOOKUP('15.01'!AB31,'15.01'!$AM$4:$AP$55,4,FALSE))</f>
        <v>0</v>
      </c>
      <c r="U31" s="4">
        <f>(VLOOKUP('15.01'!AC31,'15.01'!$AM$4:$AP$55,4,FALSE))</f>
        <v>0</v>
      </c>
      <c r="V31" s="4">
        <f>(VLOOKUP('15.01'!AD31,'15.01'!$AM$4:$AP$55,4,FALSE))</f>
        <v>0</v>
      </c>
      <c r="W31" s="4">
        <f>(VLOOKUP('15.01'!AE31,'15.01'!$AM$4:$AP$55,4,FALSE))</f>
        <v>0</v>
      </c>
      <c r="X31" s="4">
        <f>(VLOOKUP('15.01'!AF31,'15.01'!$AM$4:$AP$55,4,FALSE))</f>
        <v>0</v>
      </c>
    </row>
    <row r="32" spans="1:24">
      <c r="A32" s="4">
        <f>(VLOOKUP('15.01'!I32,'15.01'!$AM$4:$AP$55,4,FALSE))</f>
        <v>0</v>
      </c>
      <c r="B32" s="4">
        <f>(VLOOKUP('15.01'!J32,'15.01'!$AM$4:$AP$55,4,FALSE))</f>
        <v>0</v>
      </c>
      <c r="C32" s="4">
        <f>(VLOOKUP('15.01'!K32,'15.01'!$AM$4:$AP$55,4,FALSE))</f>
        <v>0</v>
      </c>
      <c r="D32" s="4">
        <f>(VLOOKUP('15.01'!L32,'15.01'!$AM$4:$AP$55,4,FALSE))</f>
        <v>0</v>
      </c>
      <c r="E32" s="4">
        <f>(VLOOKUP('15.01'!M32,'15.01'!$AM$4:$AP$55,4,FALSE))</f>
        <v>0</v>
      </c>
      <c r="F32" s="4">
        <f>(VLOOKUP('15.01'!N32,'15.01'!$AM$4:$AP$55,4,FALSE))</f>
        <v>0</v>
      </c>
      <c r="G32" s="4">
        <f>(VLOOKUP('15.01'!O32,'15.01'!$AM$4:$AP$55,4,FALSE))</f>
        <v>0</v>
      </c>
      <c r="H32" s="4">
        <f>(VLOOKUP('15.01'!P32,'15.01'!$AM$4:$AP$55,4,FALSE))</f>
        <v>0</v>
      </c>
      <c r="I32" s="4">
        <f>(VLOOKUP('15.01'!Q32,'15.01'!$AM$4:$AP$55,4,FALSE))</f>
        <v>34</v>
      </c>
      <c r="J32" s="4">
        <f>(VLOOKUP('15.01'!R32,'15.01'!$AM$4:$AP$55,4,FALSE))</f>
        <v>34</v>
      </c>
      <c r="K32" s="4">
        <f>(VLOOKUP('15.01'!S32,'15.01'!$AM$4:$AP$55,4,FALSE))</f>
        <v>13.999854933178597</v>
      </c>
      <c r="L32" s="4">
        <f>(VLOOKUP('15.01'!T32,'15.01'!$AM$4:$AP$55,4,FALSE))</f>
        <v>34</v>
      </c>
      <c r="M32" s="4">
        <f>(VLOOKUP('15.01'!U32,'15.01'!$AM$4:$AP$55,4,FALSE))</f>
        <v>34</v>
      </c>
      <c r="N32" s="4">
        <f>(VLOOKUP('15.01'!V32,'15.01'!$AM$4:$AP$55,4,FALSE))</f>
        <v>34</v>
      </c>
      <c r="O32" s="4">
        <f>(VLOOKUP('15.01'!W32,'15.01'!$AM$4:$AP$55,4,FALSE))</f>
        <v>0</v>
      </c>
      <c r="P32" s="4">
        <f>(VLOOKUP('15.01'!X32,'15.01'!$AM$4:$AP$55,4,FALSE))</f>
        <v>0</v>
      </c>
      <c r="Q32" s="4">
        <f>(VLOOKUP('15.01'!Y32,'15.01'!$AM$4:$AP$55,4,FALSE))</f>
        <v>34</v>
      </c>
      <c r="R32" s="4">
        <f>(VLOOKUP('15.01'!Z32,'15.01'!$AM$4:$AP$55,4,FALSE))</f>
        <v>34</v>
      </c>
      <c r="S32" s="4">
        <f>(VLOOKUP('15.01'!AA32,'15.01'!$AM$4:$AP$55,4,FALSE))</f>
        <v>34</v>
      </c>
      <c r="T32" s="4">
        <f>(VLOOKUP('15.01'!AB32,'15.01'!$AM$4:$AP$55,4,FALSE))</f>
        <v>36</v>
      </c>
      <c r="U32" s="4">
        <f>(VLOOKUP('15.01'!AC32,'15.01'!$AM$4:$AP$55,4,FALSE))</f>
        <v>36</v>
      </c>
      <c r="V32" s="4">
        <f>(VLOOKUP('15.01'!AD32,'15.01'!$AM$4:$AP$55,4,FALSE))</f>
        <v>36</v>
      </c>
      <c r="W32" s="4">
        <f>(VLOOKUP('15.01'!AE32,'15.01'!$AM$4:$AP$55,4,FALSE))</f>
        <v>0</v>
      </c>
      <c r="X32" s="4">
        <f>(VLOOKUP('15.01'!AF32,'15.01'!$AM$4:$AP$55,4,FALSE))</f>
        <v>0</v>
      </c>
    </row>
    <row r="33" spans="1:24">
      <c r="A33" s="4">
        <f>(VLOOKUP('15.01'!I33,'15.01'!$AM$4:$AP$55,4,FALSE))</f>
        <v>0</v>
      </c>
      <c r="B33" s="4">
        <f>(VLOOKUP('15.01'!J33,'15.01'!$AM$4:$AP$55,4,FALSE))</f>
        <v>0</v>
      </c>
      <c r="C33" s="4">
        <f>(VLOOKUP('15.01'!K33,'15.01'!$AM$4:$AP$55,4,FALSE))</f>
        <v>0</v>
      </c>
      <c r="D33" s="4">
        <f>(VLOOKUP('15.01'!L33,'15.01'!$AM$4:$AP$55,4,FALSE))</f>
        <v>0</v>
      </c>
      <c r="E33" s="4">
        <f>(VLOOKUP('15.01'!M33,'15.01'!$AM$4:$AP$55,4,FALSE))</f>
        <v>0</v>
      </c>
      <c r="F33" s="4">
        <f>(VLOOKUP('15.01'!N33,'15.01'!$AM$4:$AP$55,4,FALSE))</f>
        <v>0</v>
      </c>
      <c r="G33" s="4">
        <f>(VLOOKUP('15.01'!O33,'15.01'!$AM$4:$AP$55,4,FALSE))</f>
        <v>0</v>
      </c>
      <c r="H33" s="4">
        <f>(VLOOKUP('15.01'!P33,'15.01'!$AM$4:$AP$55,4,FALSE))</f>
        <v>0</v>
      </c>
      <c r="I33" s="4">
        <f>(VLOOKUP('15.01'!Q33,'15.01'!$AM$4:$AP$55,4,FALSE))</f>
        <v>34</v>
      </c>
      <c r="J33" s="4">
        <f>(VLOOKUP('15.01'!R33,'15.01'!$AM$4:$AP$55,4,FALSE))</f>
        <v>34</v>
      </c>
      <c r="K33" s="4">
        <f>(VLOOKUP('15.01'!S33,'15.01'!$AM$4:$AP$55,4,FALSE))</f>
        <v>34</v>
      </c>
      <c r="L33" s="4">
        <f>(VLOOKUP('15.01'!T33,'15.01'!$AM$4:$AP$55,4,FALSE))</f>
        <v>34</v>
      </c>
      <c r="M33" s="4">
        <f>(VLOOKUP('15.01'!U33,'15.01'!$AM$4:$AP$55,4,FALSE))</f>
        <v>34</v>
      </c>
      <c r="N33" s="4">
        <f>(VLOOKUP('15.01'!V33,'15.01'!$AM$4:$AP$55,4,FALSE))</f>
        <v>34</v>
      </c>
      <c r="O33" s="4">
        <f>(VLOOKUP('15.01'!W33,'15.01'!$AM$4:$AP$55,4,FALSE))</f>
        <v>0</v>
      </c>
      <c r="P33" s="4">
        <f>(VLOOKUP('15.01'!X33,'15.01'!$AM$4:$AP$55,4,FALSE))</f>
        <v>0</v>
      </c>
      <c r="Q33" s="4">
        <f>(VLOOKUP('15.01'!Y33,'15.01'!$AM$4:$AP$55,4,FALSE))</f>
        <v>36</v>
      </c>
      <c r="R33" s="4">
        <f>(VLOOKUP('15.01'!Z33,'15.01'!$AM$4:$AP$55,4,FALSE))</f>
        <v>36</v>
      </c>
      <c r="S33" s="4">
        <f>(VLOOKUP('15.01'!AA33,'15.01'!$AM$4:$AP$55,4,FALSE))</f>
        <v>13.999854933178597</v>
      </c>
      <c r="T33" s="4">
        <f>(VLOOKUP('15.01'!AB33,'15.01'!$AM$4:$AP$55,4,FALSE))</f>
        <v>36</v>
      </c>
      <c r="U33" s="4">
        <f>(VLOOKUP('15.01'!AC33,'15.01'!$AM$4:$AP$55,4,FALSE))</f>
        <v>36</v>
      </c>
      <c r="V33" s="4">
        <f>(VLOOKUP('15.01'!AD33,'15.01'!$AM$4:$AP$55,4,FALSE))</f>
        <v>36</v>
      </c>
      <c r="W33" s="4">
        <f>(VLOOKUP('15.01'!AE33,'15.01'!$AM$4:$AP$55,4,FALSE))</f>
        <v>0</v>
      </c>
      <c r="X33" s="4">
        <f>(VLOOKUP('15.01'!AF33,'15.01'!$AM$4:$AP$55,4,FALSE))</f>
        <v>0</v>
      </c>
    </row>
    <row r="34" spans="1:24">
      <c r="A34" s="4">
        <f>(VLOOKUP('15.01'!I34,'15.01'!$AM$4:$AP$55,4,FALSE))</f>
        <v>0</v>
      </c>
      <c r="B34" s="4">
        <f>(VLOOKUP('15.01'!J34,'15.01'!$AM$4:$AP$55,4,FALSE))</f>
        <v>0</v>
      </c>
      <c r="C34" s="4">
        <f>(VLOOKUP('15.01'!K34,'15.01'!$AM$4:$AP$55,4,FALSE))</f>
        <v>0</v>
      </c>
      <c r="D34" s="4">
        <f>(VLOOKUP('15.01'!L34,'15.01'!$AM$4:$AP$55,4,FALSE))</f>
        <v>0</v>
      </c>
      <c r="E34" s="4">
        <f>(VLOOKUP('15.01'!M34,'15.01'!$AM$4:$AP$55,4,FALSE))</f>
        <v>0</v>
      </c>
      <c r="F34" s="4">
        <f>(VLOOKUP('15.01'!N34,'15.01'!$AM$4:$AP$55,4,FALSE))</f>
        <v>0</v>
      </c>
      <c r="G34" s="4">
        <f>(VLOOKUP('15.01'!O34,'15.01'!$AM$4:$AP$55,4,FALSE))</f>
        <v>0</v>
      </c>
      <c r="H34" s="4">
        <f>(VLOOKUP('15.01'!P34,'15.01'!$AM$4:$AP$55,4,FALSE))</f>
        <v>0</v>
      </c>
      <c r="I34" s="4">
        <f>(VLOOKUP('15.01'!Q34,'15.01'!$AM$4:$AP$55,4,FALSE))</f>
        <v>10</v>
      </c>
      <c r="J34" s="4">
        <f>(VLOOKUP('15.01'!R34,'15.01'!$AM$4:$AP$55,4,FALSE))</f>
        <v>34</v>
      </c>
      <c r="K34" s="4">
        <f>(VLOOKUP('15.01'!S34,'15.01'!$AM$4:$AP$55,4,FALSE))</f>
        <v>34</v>
      </c>
      <c r="L34" s="4">
        <f>(VLOOKUP('15.01'!T34,'15.01'!$AM$4:$AP$55,4,FALSE))</f>
        <v>34</v>
      </c>
      <c r="M34" s="4">
        <f>(VLOOKUP('15.01'!U34,'15.01'!$AM$4:$AP$55,4,FALSE))</f>
        <v>34</v>
      </c>
      <c r="N34" s="4">
        <f>(VLOOKUP('15.01'!V34,'15.01'!$AM$4:$AP$55,4,FALSE))</f>
        <v>36</v>
      </c>
      <c r="O34" s="4">
        <f>(VLOOKUP('15.01'!W34,'15.01'!$AM$4:$AP$55,4,FALSE))</f>
        <v>0</v>
      </c>
      <c r="P34" s="4">
        <f>(VLOOKUP('15.01'!X34,'15.01'!$AM$4:$AP$55,4,FALSE))</f>
        <v>0</v>
      </c>
      <c r="Q34" s="4">
        <f>(VLOOKUP('15.01'!Y34,'15.01'!$AM$4:$AP$55,4,FALSE))</f>
        <v>10</v>
      </c>
      <c r="R34" s="4">
        <f>(VLOOKUP('15.01'!Z34,'15.01'!$AM$4:$AP$55,4,FALSE))</f>
        <v>36</v>
      </c>
      <c r="S34" s="4">
        <f>(VLOOKUP('15.01'!AA34,'15.01'!$AM$4:$AP$55,4,FALSE))</f>
        <v>36</v>
      </c>
      <c r="T34" s="4">
        <f>(VLOOKUP('15.01'!AB34,'15.01'!$AM$4:$AP$55,4,FALSE))</f>
        <v>36</v>
      </c>
      <c r="U34" s="4">
        <f>(VLOOKUP('15.01'!AC34,'15.01'!$AM$4:$AP$55,4,FALSE))</f>
        <v>36</v>
      </c>
      <c r="V34" s="4">
        <f>(VLOOKUP('15.01'!AD34,'15.01'!$AM$4:$AP$55,4,FALSE))</f>
        <v>36</v>
      </c>
      <c r="W34" s="4">
        <f>(VLOOKUP('15.01'!AE34,'15.01'!$AM$4:$AP$55,4,FALSE))</f>
        <v>0</v>
      </c>
      <c r="X34" s="4">
        <f>(VLOOKUP('15.01'!AF34,'15.01'!$AM$4:$AP$55,4,FALSE))</f>
        <v>0</v>
      </c>
    </row>
    <row r="35" spans="1:24">
      <c r="A35" s="4">
        <f>(VLOOKUP('15.01'!I35,'15.01'!$AM$4:$AP$55,4,FALSE))</f>
        <v>0</v>
      </c>
      <c r="B35" s="4">
        <f>(VLOOKUP('15.01'!J35,'15.01'!$AM$4:$AP$55,4,FALSE))</f>
        <v>0</v>
      </c>
      <c r="C35" s="4">
        <f>(VLOOKUP('15.01'!K35,'15.01'!$AM$4:$AP$55,4,FALSE))</f>
        <v>0</v>
      </c>
      <c r="D35" s="4">
        <f>(VLOOKUP('15.01'!L35,'15.01'!$AM$4:$AP$55,4,FALSE))</f>
        <v>0</v>
      </c>
      <c r="E35" s="4">
        <f>(VLOOKUP('15.01'!M35,'15.01'!$AM$4:$AP$55,4,FALSE))</f>
        <v>0</v>
      </c>
      <c r="F35" s="4">
        <f>(VLOOKUP('15.01'!N35,'15.01'!$AM$4:$AP$55,4,FALSE))</f>
        <v>0</v>
      </c>
      <c r="G35" s="4">
        <f>(VLOOKUP('15.01'!O35,'15.01'!$AM$4:$AP$55,4,FALSE))</f>
        <v>0</v>
      </c>
      <c r="H35" s="4">
        <f>(VLOOKUP('15.01'!P35,'15.01'!$AM$4:$AP$55,4,FALSE))</f>
        <v>0</v>
      </c>
      <c r="I35" s="4">
        <f>(VLOOKUP('15.01'!Q35,'15.01'!$AM$4:$AP$55,4,FALSE))</f>
        <v>36</v>
      </c>
      <c r="J35" s="4">
        <f>(VLOOKUP('15.01'!R35,'15.01'!$AM$4:$AP$55,4,FALSE))</f>
        <v>36</v>
      </c>
      <c r="K35" s="4">
        <f>(VLOOKUP('15.01'!S35,'15.01'!$AM$4:$AP$55,4,FALSE))</f>
        <v>36</v>
      </c>
      <c r="L35" s="4">
        <f>(VLOOKUP('15.01'!T35,'15.01'!$AM$4:$AP$55,4,FALSE))</f>
        <v>36</v>
      </c>
      <c r="M35" s="4">
        <f>(VLOOKUP('15.01'!U35,'15.01'!$AM$4:$AP$55,4,FALSE))</f>
        <v>36</v>
      </c>
      <c r="N35" s="4">
        <f>(VLOOKUP('15.01'!V35,'15.01'!$AM$4:$AP$55,4,FALSE))</f>
        <v>0</v>
      </c>
      <c r="O35" s="4">
        <f>(VLOOKUP('15.01'!W35,'15.01'!$AM$4:$AP$55,4,FALSE))</f>
        <v>0</v>
      </c>
      <c r="P35" s="4">
        <f>(VLOOKUP('15.01'!X35,'15.01'!$AM$4:$AP$55,4,FALSE))</f>
        <v>0</v>
      </c>
      <c r="Q35" s="4">
        <f>(VLOOKUP('15.01'!Y35,'15.01'!$AM$4:$AP$55,4,FALSE))</f>
        <v>36</v>
      </c>
      <c r="R35" s="4">
        <f>(VLOOKUP('15.01'!Z35,'15.01'!$AM$4:$AP$55,4,FALSE))</f>
        <v>36</v>
      </c>
      <c r="S35" s="4">
        <f>(VLOOKUP('15.01'!AA35,'15.01'!$AM$4:$AP$55,4,FALSE))</f>
        <v>36</v>
      </c>
      <c r="T35" s="4">
        <f>(VLOOKUP('15.01'!AB35,'15.01'!$AM$4:$AP$55,4,FALSE))</f>
        <v>36</v>
      </c>
      <c r="U35" s="4">
        <f>(VLOOKUP('15.01'!AC35,'15.01'!$AM$4:$AP$55,4,FALSE))</f>
        <v>0</v>
      </c>
      <c r="V35" s="4">
        <f>(VLOOKUP('15.01'!AD35,'15.01'!$AM$4:$AP$55,4,FALSE))</f>
        <v>36</v>
      </c>
      <c r="W35" s="4">
        <f>(VLOOKUP('15.01'!AE35,'15.01'!$AM$4:$AP$55,4,FALSE))</f>
        <v>0</v>
      </c>
      <c r="X35" s="4">
        <f>(VLOOKUP('15.01'!AF35,'15.01'!$AM$4:$AP$55,4,FALSE))</f>
        <v>0</v>
      </c>
    </row>
    <row r="36" spans="1:24">
      <c r="A36" s="4">
        <f>(VLOOKUP('15.01'!I36,'15.01'!$AM$4:$AP$55,4,FALSE))</f>
        <v>0</v>
      </c>
      <c r="B36" s="4">
        <f>(VLOOKUP('15.01'!J36,'15.01'!$AM$4:$AP$55,4,FALSE))</f>
        <v>0</v>
      </c>
      <c r="C36" s="4">
        <f>(VLOOKUP('15.01'!K36,'15.01'!$AM$4:$AP$55,4,FALSE))</f>
        <v>0</v>
      </c>
      <c r="D36" s="4">
        <f>(VLOOKUP('15.01'!L36,'15.01'!$AM$4:$AP$55,4,FALSE))</f>
        <v>0</v>
      </c>
      <c r="E36" s="4">
        <f>(VLOOKUP('15.01'!M36,'15.01'!$AM$4:$AP$55,4,FALSE))</f>
        <v>0</v>
      </c>
      <c r="F36" s="4">
        <f>(VLOOKUP('15.01'!N36,'15.01'!$AM$4:$AP$55,4,FALSE))</f>
        <v>0</v>
      </c>
      <c r="G36" s="4">
        <f>(VLOOKUP('15.01'!O36,'15.01'!$AM$4:$AP$55,4,FALSE))</f>
        <v>0</v>
      </c>
      <c r="H36" s="4">
        <f>(VLOOKUP('15.01'!P36,'15.01'!$AM$4:$AP$55,4,FALSE))</f>
        <v>0</v>
      </c>
      <c r="I36" s="4">
        <f>(VLOOKUP('15.01'!Q36,'15.01'!$AM$4:$AP$55,4,FALSE))</f>
        <v>0</v>
      </c>
      <c r="J36" s="4">
        <f>(VLOOKUP('15.01'!R36,'15.01'!$AM$4:$AP$55,4,FALSE))</f>
        <v>0</v>
      </c>
      <c r="K36" s="4">
        <f>(VLOOKUP('15.01'!S36,'15.01'!$AM$4:$AP$55,4,FALSE))</f>
        <v>0</v>
      </c>
      <c r="L36" s="4">
        <f>(VLOOKUP('15.01'!T36,'15.01'!$AM$4:$AP$55,4,FALSE))</f>
        <v>0</v>
      </c>
      <c r="M36" s="4">
        <f>(VLOOKUP('15.01'!U36,'15.01'!$AM$4:$AP$55,4,FALSE))</f>
        <v>0</v>
      </c>
      <c r="N36" s="4">
        <f>(VLOOKUP('15.01'!V36,'15.01'!$AM$4:$AP$55,4,FALSE))</f>
        <v>0</v>
      </c>
      <c r="O36" s="4">
        <f>(VLOOKUP('15.01'!W36,'15.01'!$AM$4:$AP$55,4,FALSE))</f>
        <v>0</v>
      </c>
      <c r="P36" s="4">
        <f>(VLOOKUP('15.01'!X36,'15.01'!$AM$4:$AP$55,4,FALSE))</f>
        <v>0</v>
      </c>
      <c r="Q36" s="4">
        <f>(VLOOKUP('15.01'!Y36,'15.01'!$AM$4:$AP$55,4,FALSE))</f>
        <v>36</v>
      </c>
      <c r="R36" s="4">
        <f>(VLOOKUP('15.01'!Z36,'15.01'!$AM$4:$AP$55,4,FALSE))</f>
        <v>36</v>
      </c>
      <c r="S36" s="4">
        <f>(VLOOKUP('15.01'!AA36,'15.01'!$AM$4:$AP$55,4,FALSE))</f>
        <v>36</v>
      </c>
      <c r="T36" s="4">
        <f>(VLOOKUP('15.01'!AB36,'15.01'!$AM$4:$AP$55,4,FALSE))</f>
        <v>36</v>
      </c>
      <c r="U36" s="4">
        <f>(VLOOKUP('15.01'!AC36,'15.01'!$AM$4:$AP$55,4,FALSE))</f>
        <v>36</v>
      </c>
      <c r="V36" s="4">
        <f>(VLOOKUP('15.01'!AD36,'15.01'!$AM$4:$AP$55,4,FALSE))</f>
        <v>36</v>
      </c>
      <c r="W36" s="4">
        <f>(VLOOKUP('15.01'!AE36,'15.01'!$AM$4:$AP$55,4,FALSE))</f>
        <v>0</v>
      </c>
      <c r="X36" s="4">
        <f>(VLOOKUP('15.01'!AF36,'15.01'!$AM$4:$AP$55,4,FALSE))</f>
        <v>0</v>
      </c>
    </row>
    <row r="37" spans="1:24">
      <c r="A37" s="4">
        <f>(VLOOKUP('15.01'!I37,'15.01'!$AM$4:$AP$55,4,FALSE))</f>
        <v>0</v>
      </c>
      <c r="B37" s="4">
        <f>(VLOOKUP('15.01'!J37,'15.01'!$AM$4:$AP$55,4,FALSE))</f>
        <v>0</v>
      </c>
      <c r="C37" s="4">
        <f>(VLOOKUP('15.01'!K37,'15.01'!$AM$4:$AP$55,4,FALSE))</f>
        <v>0</v>
      </c>
      <c r="D37" s="4">
        <f>(VLOOKUP('15.01'!L37,'15.01'!$AM$4:$AP$55,4,FALSE))</f>
        <v>0</v>
      </c>
      <c r="E37" s="4">
        <f>(VLOOKUP('15.01'!M37,'15.01'!$AM$4:$AP$55,4,FALSE))</f>
        <v>0</v>
      </c>
      <c r="F37" s="4">
        <f>(VLOOKUP('15.01'!N37,'15.01'!$AM$4:$AP$55,4,FALSE))</f>
        <v>0</v>
      </c>
      <c r="G37" s="4">
        <f>(VLOOKUP('15.01'!O37,'15.01'!$AM$4:$AP$55,4,FALSE))</f>
        <v>0</v>
      </c>
      <c r="H37" s="4">
        <f>(VLOOKUP('15.01'!P37,'15.01'!$AM$4:$AP$55,4,FALSE))</f>
        <v>0</v>
      </c>
      <c r="I37" s="4">
        <f>(VLOOKUP('15.01'!Q37,'15.01'!$AM$4:$AP$55,4,FALSE))</f>
        <v>0</v>
      </c>
      <c r="J37" s="4">
        <f>(VLOOKUP('15.01'!R37,'15.01'!$AM$4:$AP$55,4,FALSE))</f>
        <v>0</v>
      </c>
      <c r="K37" s="4">
        <f>(VLOOKUP('15.01'!S37,'15.01'!$AM$4:$AP$55,4,FALSE))</f>
        <v>36</v>
      </c>
      <c r="L37" s="4">
        <f>(VLOOKUP('15.01'!T37,'15.01'!$AM$4:$AP$55,4,FALSE))</f>
        <v>36</v>
      </c>
      <c r="M37" s="4">
        <f>(VLOOKUP('15.01'!U37,'15.01'!$AM$4:$AP$55,4,FALSE))</f>
        <v>36</v>
      </c>
      <c r="N37" s="4">
        <f>(VLOOKUP('15.01'!V37,'15.01'!$AM$4:$AP$55,4,FALSE))</f>
        <v>36</v>
      </c>
      <c r="O37" s="4">
        <f>(VLOOKUP('15.01'!W37,'15.01'!$AM$4:$AP$55,4,FALSE))</f>
        <v>0</v>
      </c>
      <c r="P37" s="4">
        <f>(VLOOKUP('15.01'!X37,'15.01'!$AM$4:$AP$55,4,FALSE))</f>
        <v>0</v>
      </c>
      <c r="Q37" s="4">
        <f>(VLOOKUP('15.01'!Y37,'15.01'!$AM$4:$AP$55,4,FALSE))</f>
        <v>36</v>
      </c>
      <c r="R37" s="4">
        <f>(VLOOKUP('15.01'!Z37,'15.01'!$AM$4:$AP$55,4,FALSE))</f>
        <v>36</v>
      </c>
      <c r="S37" s="4">
        <f>(VLOOKUP('15.01'!AA37,'15.01'!$AM$4:$AP$55,4,FALSE))</f>
        <v>36</v>
      </c>
      <c r="T37" s="4">
        <f>(VLOOKUP('15.01'!AB37,'15.01'!$AM$4:$AP$55,4,FALSE))</f>
        <v>36</v>
      </c>
      <c r="U37" s="4">
        <f>(VLOOKUP('15.01'!AC37,'15.01'!$AM$4:$AP$55,4,FALSE))</f>
        <v>0</v>
      </c>
      <c r="V37" s="4">
        <f>(VLOOKUP('15.01'!AD37,'15.01'!$AM$4:$AP$55,4,FALSE))</f>
        <v>0</v>
      </c>
      <c r="W37" s="4">
        <f>(VLOOKUP('15.01'!AE37,'15.01'!$AM$4:$AP$55,4,FALSE))</f>
        <v>0</v>
      </c>
      <c r="X37" s="4">
        <f>(VLOOKUP('15.01'!AF37,'15.01'!$AM$4:$AP$55,4,FALSE))</f>
        <v>0</v>
      </c>
    </row>
    <row r="38" spans="1:24">
      <c r="A38" s="4">
        <f>(VLOOKUP('15.01'!I38,'15.01'!$AM$4:$AP$55,4,FALSE))</f>
        <v>0</v>
      </c>
      <c r="B38" s="4">
        <f>(VLOOKUP('15.01'!J38,'15.01'!$AM$4:$AP$55,4,FALSE))</f>
        <v>0</v>
      </c>
      <c r="C38" s="4">
        <f>(VLOOKUP('15.01'!K38,'15.01'!$AM$4:$AP$55,4,FALSE))</f>
        <v>0</v>
      </c>
      <c r="D38" s="4">
        <f>(VLOOKUP('15.01'!L38,'15.01'!$AM$4:$AP$55,4,FALSE))</f>
        <v>0</v>
      </c>
      <c r="E38" s="4">
        <f>(VLOOKUP('15.01'!M38,'15.01'!$AM$4:$AP$55,4,FALSE))</f>
        <v>0</v>
      </c>
      <c r="F38" s="4">
        <f>(VLOOKUP('15.01'!N38,'15.01'!$AM$4:$AP$55,4,FALSE))</f>
        <v>0</v>
      </c>
      <c r="G38" s="4">
        <f>(VLOOKUP('15.01'!O38,'15.01'!$AM$4:$AP$55,4,FALSE))</f>
        <v>0</v>
      </c>
      <c r="H38" s="4">
        <f>(VLOOKUP('15.01'!P38,'15.01'!$AM$4:$AP$55,4,FALSE))</f>
        <v>0</v>
      </c>
      <c r="I38" s="4">
        <f>(VLOOKUP('15.01'!Q38,'15.01'!$AM$4:$AP$55,4,FALSE))</f>
        <v>36</v>
      </c>
      <c r="J38" s="4">
        <f>(VLOOKUP('15.01'!R38,'15.01'!$AM$4:$AP$55,4,FALSE))</f>
        <v>0</v>
      </c>
      <c r="K38" s="4">
        <f>(VLOOKUP('15.01'!S38,'15.01'!$AM$4:$AP$55,4,FALSE))</f>
        <v>0</v>
      </c>
      <c r="L38" s="4">
        <f>(VLOOKUP('15.01'!T38,'15.01'!$AM$4:$AP$55,4,FALSE))</f>
        <v>0</v>
      </c>
      <c r="M38" s="4">
        <f>(VLOOKUP('15.01'!U38,'15.01'!$AM$4:$AP$55,4,FALSE))</f>
        <v>34</v>
      </c>
      <c r="N38" s="4">
        <f>(VLOOKUP('15.01'!V38,'15.01'!$AM$4:$AP$55,4,FALSE))</f>
        <v>34</v>
      </c>
      <c r="O38" s="4">
        <f>(VLOOKUP('15.01'!W38,'15.01'!$AM$4:$AP$55,4,FALSE))</f>
        <v>0</v>
      </c>
      <c r="P38" s="4">
        <f>(VLOOKUP('15.01'!X38,'15.01'!$AM$4:$AP$55,4,FALSE))</f>
        <v>0</v>
      </c>
      <c r="Q38" s="4">
        <f>(VLOOKUP('15.01'!Y38,'15.01'!$AM$4:$AP$55,4,FALSE))</f>
        <v>0</v>
      </c>
      <c r="R38" s="4">
        <f>(VLOOKUP('15.01'!Z38,'15.01'!$AM$4:$AP$55,4,FALSE))</f>
        <v>0</v>
      </c>
      <c r="S38" s="4">
        <f>(VLOOKUP('15.01'!AA38,'15.01'!$AM$4:$AP$55,4,FALSE))</f>
        <v>0</v>
      </c>
      <c r="T38" s="4">
        <f>(VLOOKUP('15.01'!AB38,'15.01'!$AM$4:$AP$55,4,FALSE))</f>
        <v>0</v>
      </c>
      <c r="U38" s="4">
        <f>(VLOOKUP('15.01'!AC38,'15.01'!$AM$4:$AP$55,4,FALSE))</f>
        <v>36</v>
      </c>
      <c r="V38" s="4">
        <f>(VLOOKUP('15.01'!AD38,'15.01'!$AM$4:$AP$55,4,FALSE))</f>
        <v>36</v>
      </c>
      <c r="W38" s="4">
        <f>(VLOOKUP('15.01'!AE38,'15.01'!$AM$4:$AP$55,4,FALSE))</f>
        <v>0</v>
      </c>
      <c r="X38" s="4">
        <f>(VLOOKUP('15.01'!AF38,'15.01'!$AM$4:$AP$55,4,FALSE))</f>
        <v>0</v>
      </c>
    </row>
    <row r="39" spans="1:24">
      <c r="A39" s="4">
        <f>(VLOOKUP('15.01'!I39,'15.01'!$AM$4:$AP$55,4,FALSE))</f>
        <v>0</v>
      </c>
      <c r="B39" s="4">
        <f>(VLOOKUP('15.01'!J39,'15.01'!$AM$4:$AP$55,4,FALSE))</f>
        <v>0</v>
      </c>
      <c r="C39" s="4">
        <f>(VLOOKUP('15.01'!K39,'15.01'!$AM$4:$AP$55,4,FALSE))</f>
        <v>0</v>
      </c>
      <c r="D39" s="4">
        <f>(VLOOKUP('15.01'!L39,'15.01'!$AM$4:$AP$55,4,FALSE))</f>
        <v>0</v>
      </c>
      <c r="E39" s="4">
        <f>(VLOOKUP('15.01'!M39,'15.01'!$AM$4:$AP$55,4,FALSE))</f>
        <v>0</v>
      </c>
      <c r="F39" s="4">
        <f>(VLOOKUP('15.01'!N39,'15.01'!$AM$4:$AP$55,4,FALSE))</f>
        <v>0</v>
      </c>
      <c r="G39" s="4">
        <f>(VLOOKUP('15.01'!O39,'15.01'!$AM$4:$AP$55,4,FALSE))</f>
        <v>0</v>
      </c>
      <c r="H39" s="4">
        <f>(VLOOKUP('15.01'!P39,'15.01'!$AM$4:$AP$55,4,FALSE))</f>
        <v>0</v>
      </c>
      <c r="I39" s="4">
        <f>(VLOOKUP('15.01'!Q39,'15.01'!$AM$4:$AP$55,4,FALSE))</f>
        <v>34</v>
      </c>
      <c r="J39" s="4">
        <f>(VLOOKUP('15.01'!R39,'15.01'!$AM$4:$AP$55,4,FALSE))</f>
        <v>34</v>
      </c>
      <c r="K39" s="4">
        <f>(VLOOKUP('15.01'!S39,'15.01'!$AM$4:$AP$55,4,FALSE))</f>
        <v>36</v>
      </c>
      <c r="L39" s="4">
        <f>(VLOOKUP('15.01'!T39,'15.01'!$AM$4:$AP$55,4,FALSE))</f>
        <v>36</v>
      </c>
      <c r="M39" s="4">
        <f>(VLOOKUP('15.01'!U39,'15.01'!$AM$4:$AP$55,4,FALSE))</f>
        <v>36</v>
      </c>
      <c r="N39" s="4">
        <f>(VLOOKUP('15.01'!V39,'15.01'!$AM$4:$AP$55,4,FALSE))</f>
        <v>36</v>
      </c>
      <c r="O39" s="4">
        <f>(VLOOKUP('15.01'!W39,'15.01'!$AM$4:$AP$55,4,FALSE))</f>
        <v>0</v>
      </c>
      <c r="P39" s="4">
        <f>(VLOOKUP('15.01'!X39,'15.01'!$AM$4:$AP$55,4,FALSE))</f>
        <v>0</v>
      </c>
      <c r="Q39" s="4">
        <f>(VLOOKUP('15.01'!Y39,'15.01'!$AM$4:$AP$55,4,FALSE))</f>
        <v>36</v>
      </c>
      <c r="R39" s="4">
        <f>(VLOOKUP('15.01'!Z39,'15.01'!$AM$4:$AP$55,4,FALSE))</f>
        <v>10</v>
      </c>
      <c r="S39" s="4">
        <f>(VLOOKUP('15.01'!AA39,'15.01'!$AM$4:$AP$55,4,FALSE))</f>
        <v>36</v>
      </c>
      <c r="T39" s="4">
        <f>(VLOOKUP('15.01'!AB39,'15.01'!$AM$4:$AP$55,4,FALSE))</f>
        <v>36</v>
      </c>
      <c r="U39" s="4">
        <f>(VLOOKUP('15.01'!AC39,'15.01'!$AM$4:$AP$55,4,FALSE))</f>
        <v>10</v>
      </c>
      <c r="V39" s="4">
        <f>(VLOOKUP('15.01'!AD39,'15.01'!$AM$4:$AP$55,4,FALSE))</f>
        <v>34</v>
      </c>
      <c r="W39" s="4">
        <f>(VLOOKUP('15.01'!AE39,'15.01'!$AM$4:$AP$55,4,FALSE))</f>
        <v>0</v>
      </c>
      <c r="X39" s="4">
        <f>(VLOOKUP('15.01'!AF39,'15.01'!$AM$4:$AP$55,4,FALSE))</f>
        <v>0</v>
      </c>
    </row>
    <row r="40" spans="1:24">
      <c r="A40" s="4">
        <f>(VLOOKUP('15.01'!I40,'15.01'!$AM$4:$AP$55,4,FALSE))</f>
        <v>0</v>
      </c>
      <c r="B40" s="4">
        <f>(VLOOKUP('15.01'!J40,'15.01'!$AM$4:$AP$55,4,FALSE))</f>
        <v>0</v>
      </c>
      <c r="C40" s="4">
        <f>(VLOOKUP('15.01'!K40,'15.01'!$AM$4:$AP$55,4,FALSE))</f>
        <v>0</v>
      </c>
      <c r="D40" s="4">
        <f>(VLOOKUP('15.01'!L40,'15.01'!$AM$4:$AP$55,4,FALSE))</f>
        <v>0</v>
      </c>
      <c r="E40" s="4">
        <f>(VLOOKUP('15.01'!M40,'15.01'!$AM$4:$AP$55,4,FALSE))</f>
        <v>0</v>
      </c>
      <c r="F40" s="4">
        <f>(VLOOKUP('15.01'!N40,'15.01'!$AM$4:$AP$55,4,FALSE))</f>
        <v>0</v>
      </c>
      <c r="G40" s="4">
        <f>(VLOOKUP('15.01'!O40,'15.01'!$AM$4:$AP$55,4,FALSE))</f>
        <v>0</v>
      </c>
      <c r="H40" s="4">
        <f>(VLOOKUP('15.01'!P40,'15.01'!$AM$4:$AP$55,4,FALSE))</f>
        <v>0</v>
      </c>
      <c r="I40" s="4">
        <f>(VLOOKUP('15.01'!Q40,'15.01'!$AM$4:$AP$55,4,FALSE))</f>
        <v>36</v>
      </c>
      <c r="J40" s="4">
        <f>(VLOOKUP('15.01'!R40,'15.01'!$AM$4:$AP$55,4,FALSE))</f>
        <v>36</v>
      </c>
      <c r="K40" s="4">
        <f>(VLOOKUP('15.01'!S40,'15.01'!$AM$4:$AP$55,4,FALSE))</f>
        <v>36</v>
      </c>
      <c r="L40" s="4">
        <f>(VLOOKUP('15.01'!T40,'15.01'!$AM$4:$AP$55,4,FALSE))</f>
        <v>36</v>
      </c>
      <c r="M40" s="4">
        <f>(VLOOKUP('15.01'!U40,'15.01'!$AM$4:$AP$55,4,FALSE))</f>
        <v>36</v>
      </c>
      <c r="N40" s="4">
        <f>(VLOOKUP('15.01'!V40,'15.01'!$AM$4:$AP$55,4,FALSE))</f>
        <v>36</v>
      </c>
      <c r="O40" s="4">
        <f>(VLOOKUP('15.01'!W40,'15.01'!$AM$4:$AP$55,4,FALSE))</f>
        <v>0</v>
      </c>
      <c r="P40" s="4">
        <f>(VLOOKUP('15.01'!X40,'15.01'!$AM$4:$AP$55,4,FALSE))</f>
        <v>0</v>
      </c>
      <c r="Q40" s="4">
        <f>(VLOOKUP('15.01'!Y40,'15.01'!$AM$4:$AP$55,4,FALSE))</f>
        <v>34</v>
      </c>
      <c r="R40" s="4">
        <f>(VLOOKUP('15.01'!Z40,'15.01'!$AM$4:$AP$55,4,FALSE))</f>
        <v>34</v>
      </c>
      <c r="S40" s="4">
        <f>(VLOOKUP('15.01'!AA40,'15.01'!$AM$4:$AP$55,4,FALSE))</f>
        <v>34</v>
      </c>
      <c r="T40" s="4">
        <f>(VLOOKUP('15.01'!AB40,'15.01'!$AM$4:$AP$55,4,FALSE))</f>
        <v>0</v>
      </c>
      <c r="U40" s="4">
        <f>(VLOOKUP('15.01'!AC40,'15.01'!$AM$4:$AP$55,4,FALSE))</f>
        <v>34</v>
      </c>
      <c r="V40" s="4">
        <f>(VLOOKUP('15.01'!AD40,'15.01'!$AM$4:$AP$55,4,FALSE))</f>
        <v>36</v>
      </c>
      <c r="W40" s="4">
        <f>(VLOOKUP('15.01'!AE40,'15.01'!$AM$4:$AP$55,4,FALSE))</f>
        <v>0</v>
      </c>
      <c r="X40" s="4">
        <f>(VLOOKUP('15.01'!AF40,'15.01'!$AM$4:$AP$55,4,FALSE))</f>
        <v>0</v>
      </c>
    </row>
    <row r="41" spans="1:24">
      <c r="A41" s="4">
        <f>(VLOOKUP('15.01'!I41,'15.01'!$AM$4:$AP$55,4,FALSE))</f>
        <v>0</v>
      </c>
      <c r="B41" s="4">
        <f>(VLOOKUP('15.01'!J41,'15.01'!$AM$4:$AP$55,4,FALSE))</f>
        <v>0</v>
      </c>
      <c r="C41" s="4">
        <f>(VLOOKUP('15.01'!K41,'15.01'!$AM$4:$AP$55,4,FALSE))</f>
        <v>0</v>
      </c>
      <c r="D41" s="4">
        <f>(VLOOKUP('15.01'!L41,'15.01'!$AM$4:$AP$55,4,FALSE))</f>
        <v>0</v>
      </c>
      <c r="E41" s="4">
        <f>(VLOOKUP('15.01'!M41,'15.01'!$AM$4:$AP$55,4,FALSE))</f>
        <v>0</v>
      </c>
      <c r="F41" s="4">
        <f>(VLOOKUP('15.01'!N41,'15.01'!$AM$4:$AP$55,4,FALSE))</f>
        <v>0</v>
      </c>
      <c r="G41" s="4">
        <f>(VLOOKUP('15.01'!O41,'15.01'!$AM$4:$AP$55,4,FALSE))</f>
        <v>0</v>
      </c>
      <c r="H41" s="4">
        <f>(VLOOKUP('15.01'!P41,'15.01'!$AM$4:$AP$55,4,FALSE))</f>
        <v>0</v>
      </c>
      <c r="I41" s="4">
        <f>(VLOOKUP('15.01'!Q41,'15.01'!$AM$4:$AP$55,4,FALSE))</f>
        <v>36</v>
      </c>
      <c r="J41" s="4">
        <f>(VLOOKUP('15.01'!R41,'15.01'!$AM$4:$AP$55,4,FALSE))</f>
        <v>36</v>
      </c>
      <c r="K41" s="4">
        <f>(VLOOKUP('15.01'!S41,'15.01'!$AM$4:$AP$55,4,FALSE))</f>
        <v>10</v>
      </c>
      <c r="L41" s="4">
        <f>(VLOOKUP('15.01'!T41,'15.01'!$AM$4:$AP$55,4,FALSE))</f>
        <v>34</v>
      </c>
      <c r="M41" s="4">
        <f>(VLOOKUP('15.01'!U41,'15.01'!$AM$4:$AP$55,4,FALSE))</f>
        <v>34</v>
      </c>
      <c r="N41" s="4">
        <f>(VLOOKUP('15.01'!V41,'15.01'!$AM$4:$AP$55,4,FALSE))</f>
        <v>34</v>
      </c>
      <c r="O41" s="4">
        <f>(VLOOKUP('15.01'!W41,'15.01'!$AM$4:$AP$55,4,FALSE))</f>
        <v>0</v>
      </c>
      <c r="P41" s="4">
        <f>(VLOOKUP('15.01'!X41,'15.01'!$AM$4:$AP$55,4,FALSE))</f>
        <v>0</v>
      </c>
      <c r="Q41" s="4">
        <f>(VLOOKUP('15.01'!Y41,'15.01'!$AM$4:$AP$55,4,FALSE))</f>
        <v>36</v>
      </c>
      <c r="R41" s="4">
        <f>(VLOOKUP('15.01'!Z41,'15.01'!$AM$4:$AP$55,4,FALSE))</f>
        <v>36</v>
      </c>
      <c r="S41" s="4">
        <f>(VLOOKUP('15.01'!AA41,'15.01'!$AM$4:$AP$55,4,FALSE))</f>
        <v>36</v>
      </c>
      <c r="T41" s="4">
        <f>(VLOOKUP('15.01'!AB41,'15.01'!$AM$4:$AP$55,4,FALSE))</f>
        <v>0</v>
      </c>
      <c r="U41" s="4">
        <f>(VLOOKUP('15.01'!AC41,'15.01'!$AM$4:$AP$55,4,FALSE))</f>
        <v>0</v>
      </c>
      <c r="V41" s="4">
        <f>(VLOOKUP('15.01'!AD41,'15.01'!$AM$4:$AP$55,4,FALSE))</f>
        <v>0</v>
      </c>
      <c r="W41" s="4">
        <f>(VLOOKUP('15.01'!AE41,'15.01'!$AM$4:$AP$55,4,FALSE))</f>
        <v>0</v>
      </c>
      <c r="X41" s="4">
        <f>(VLOOKUP('15.01'!AF41,'15.01'!$AM$4:$AP$55,4,FALSE))</f>
        <v>0</v>
      </c>
    </row>
    <row r="42" spans="1:24">
      <c r="A42" s="4">
        <f>(VLOOKUP('15.01'!I42,'15.01'!$AM$4:$AP$55,4,FALSE))</f>
        <v>0</v>
      </c>
      <c r="B42" s="4">
        <f>(VLOOKUP('15.01'!J42,'15.01'!$AM$4:$AP$55,4,FALSE))</f>
        <v>0</v>
      </c>
      <c r="C42" s="4">
        <f>(VLOOKUP('15.01'!K42,'15.01'!$AM$4:$AP$55,4,FALSE))</f>
        <v>0</v>
      </c>
      <c r="D42" s="4">
        <f>(VLOOKUP('15.01'!L42,'15.01'!$AM$4:$AP$55,4,FALSE))</f>
        <v>0</v>
      </c>
      <c r="E42" s="4">
        <f>(VLOOKUP('15.01'!M42,'15.01'!$AM$4:$AP$55,4,FALSE))</f>
        <v>0</v>
      </c>
      <c r="F42" s="4">
        <f>(VLOOKUP('15.01'!N42,'15.01'!$AM$4:$AP$55,4,FALSE))</f>
        <v>0</v>
      </c>
      <c r="G42" s="4">
        <f>(VLOOKUP('15.01'!O42,'15.01'!$AM$4:$AP$55,4,FALSE))</f>
        <v>0</v>
      </c>
      <c r="H42" s="4">
        <f>(VLOOKUP('15.01'!P42,'15.01'!$AM$4:$AP$55,4,FALSE))</f>
        <v>0</v>
      </c>
      <c r="I42" s="4">
        <f>(VLOOKUP('15.01'!Q42,'15.01'!$AM$4:$AP$55,4,FALSE))</f>
        <v>34</v>
      </c>
      <c r="J42" s="4">
        <f>(VLOOKUP('15.01'!R42,'15.01'!$AM$4:$AP$55,4,FALSE))</f>
        <v>0</v>
      </c>
      <c r="K42" s="4">
        <f>(VLOOKUP('15.01'!S42,'15.01'!$AM$4:$AP$55,4,FALSE))</f>
        <v>34</v>
      </c>
      <c r="L42" s="4">
        <f>(VLOOKUP('15.01'!T42,'15.01'!$AM$4:$AP$55,4,FALSE))</f>
        <v>34</v>
      </c>
      <c r="M42" s="4">
        <f>(VLOOKUP('15.01'!U42,'15.01'!$AM$4:$AP$55,4,FALSE))</f>
        <v>34</v>
      </c>
      <c r="N42" s="4">
        <f>(VLOOKUP('15.01'!V42,'15.01'!$AM$4:$AP$55,4,FALSE))</f>
        <v>34</v>
      </c>
      <c r="O42" s="4">
        <f>(VLOOKUP('15.01'!W42,'15.01'!$AM$4:$AP$55,4,FALSE))</f>
        <v>0</v>
      </c>
      <c r="P42" s="4">
        <f>(VLOOKUP('15.01'!X42,'15.01'!$AM$4:$AP$55,4,FALSE))</f>
        <v>0</v>
      </c>
      <c r="Q42" s="4">
        <f>(VLOOKUP('15.01'!Y42,'15.01'!$AM$4:$AP$55,4,FALSE))</f>
        <v>0</v>
      </c>
      <c r="R42" s="4">
        <f>(VLOOKUP('15.01'!Z42,'15.01'!$AM$4:$AP$55,4,FALSE))</f>
        <v>0</v>
      </c>
      <c r="S42" s="4">
        <f>(VLOOKUP('15.01'!AA42,'15.01'!$AM$4:$AP$55,4,FALSE))</f>
        <v>0</v>
      </c>
      <c r="T42" s="4">
        <f>(VLOOKUP('15.01'!AB42,'15.01'!$AM$4:$AP$55,4,FALSE))</f>
        <v>0</v>
      </c>
      <c r="U42" s="4">
        <f>(VLOOKUP('15.01'!AC42,'15.01'!$AM$4:$AP$55,4,FALSE))</f>
        <v>0</v>
      </c>
      <c r="V42" s="4">
        <f>(VLOOKUP('15.01'!AD42,'15.01'!$AM$4:$AP$55,4,FALSE))</f>
        <v>0</v>
      </c>
      <c r="W42" s="4">
        <f>(VLOOKUP('15.01'!AE42,'15.01'!$AM$4:$AP$55,4,FALSE))</f>
        <v>0</v>
      </c>
      <c r="X42" s="4">
        <f>(VLOOKUP('15.01'!AF42,'15.01'!$AM$4:$AP$55,4,FALSE))</f>
        <v>0</v>
      </c>
    </row>
    <row r="43" spans="1:24">
      <c r="A43" s="4">
        <f>(VLOOKUP('15.01'!I43,'15.01'!$AM$4:$AP$55,4,FALSE))</f>
        <v>0</v>
      </c>
      <c r="B43" s="4">
        <f>(VLOOKUP('15.01'!J43,'15.01'!$AM$4:$AP$55,4,FALSE))</f>
        <v>0</v>
      </c>
      <c r="C43" s="4">
        <f>(VLOOKUP('15.01'!K43,'15.01'!$AM$4:$AP$55,4,FALSE))</f>
        <v>0</v>
      </c>
      <c r="D43" s="4">
        <f>(VLOOKUP('15.01'!L43,'15.01'!$AM$4:$AP$55,4,FALSE))</f>
        <v>0</v>
      </c>
      <c r="E43" s="4">
        <f>(VLOOKUP('15.01'!M43,'15.01'!$AM$4:$AP$55,4,FALSE))</f>
        <v>0</v>
      </c>
      <c r="F43" s="4">
        <f>(VLOOKUP('15.01'!N43,'15.01'!$AM$4:$AP$55,4,FALSE))</f>
        <v>0</v>
      </c>
      <c r="G43" s="4">
        <f>(VLOOKUP('15.01'!O43,'15.01'!$AM$4:$AP$55,4,FALSE))</f>
        <v>0</v>
      </c>
      <c r="H43" s="4">
        <f>(VLOOKUP('15.01'!P43,'15.01'!$AM$4:$AP$55,4,FALSE))</f>
        <v>0</v>
      </c>
      <c r="I43" s="4">
        <f>(VLOOKUP('15.01'!Q43,'15.01'!$AM$4:$AP$55,4,FALSE))</f>
        <v>34</v>
      </c>
      <c r="J43" s="4">
        <f>(VLOOKUP('15.01'!R43,'15.01'!$AM$4:$AP$55,4,FALSE))</f>
        <v>34</v>
      </c>
      <c r="K43" s="4">
        <f>(VLOOKUP('15.01'!S43,'15.01'!$AM$4:$AP$55,4,FALSE))</f>
        <v>34</v>
      </c>
      <c r="L43" s="4">
        <f>(VLOOKUP('15.01'!T43,'15.01'!$AM$4:$AP$55,4,FALSE))</f>
        <v>34</v>
      </c>
      <c r="M43" s="4">
        <f>(VLOOKUP('15.01'!U43,'15.01'!$AM$4:$AP$55,4,FALSE))</f>
        <v>34</v>
      </c>
      <c r="N43" s="4">
        <f>(VLOOKUP('15.01'!V43,'15.01'!$AM$4:$AP$55,4,FALSE))</f>
        <v>34</v>
      </c>
      <c r="O43" s="4">
        <f>(VLOOKUP('15.01'!W43,'15.01'!$AM$4:$AP$55,4,FALSE))</f>
        <v>0</v>
      </c>
      <c r="P43" s="4">
        <f>(VLOOKUP('15.01'!X43,'15.01'!$AM$4:$AP$55,4,FALSE))</f>
        <v>0</v>
      </c>
      <c r="Q43" s="4">
        <f>(VLOOKUP('15.01'!Y43,'15.01'!$AM$4:$AP$55,4,FALSE))</f>
        <v>36</v>
      </c>
      <c r="R43" s="4">
        <f>(VLOOKUP('15.01'!Z43,'15.01'!$AM$4:$AP$55,4,FALSE))</f>
        <v>36</v>
      </c>
      <c r="S43" s="4">
        <f>(VLOOKUP('15.01'!AA43,'15.01'!$AM$4:$AP$55,4,FALSE))</f>
        <v>36</v>
      </c>
      <c r="T43" s="4">
        <f>(VLOOKUP('15.01'!AB43,'15.01'!$AM$4:$AP$55,4,FALSE))</f>
        <v>0</v>
      </c>
      <c r="U43" s="4">
        <f>(VLOOKUP('15.01'!AC43,'15.01'!$AM$4:$AP$55,4,FALSE))</f>
        <v>36</v>
      </c>
      <c r="V43" s="4">
        <f>(VLOOKUP('15.01'!AD43,'15.01'!$AM$4:$AP$55,4,FALSE))</f>
        <v>36</v>
      </c>
      <c r="W43" s="4">
        <f>(VLOOKUP('15.01'!AE43,'15.01'!$AM$4:$AP$55,4,FALSE))</f>
        <v>0</v>
      </c>
      <c r="X43" s="4">
        <f>(VLOOKUP('15.01'!AF43,'15.01'!$AM$4:$AP$55,4,FALSE))</f>
        <v>0</v>
      </c>
    </row>
    <row r="44" spans="1:24">
      <c r="A44" s="4">
        <f>(VLOOKUP('15.01'!I44,'15.01'!$AM$4:$AP$55,4,FALSE))</f>
        <v>0</v>
      </c>
      <c r="B44" s="4">
        <f>(VLOOKUP('15.01'!J44,'15.01'!$AM$4:$AP$55,4,FALSE))</f>
        <v>0</v>
      </c>
      <c r="C44" s="4">
        <f>(VLOOKUP('15.01'!K44,'15.01'!$AM$4:$AP$55,4,FALSE))</f>
        <v>0</v>
      </c>
      <c r="D44" s="4">
        <f>(VLOOKUP('15.01'!L44,'15.01'!$AM$4:$AP$55,4,FALSE))</f>
        <v>0</v>
      </c>
      <c r="E44" s="4">
        <f>(VLOOKUP('15.01'!M44,'15.01'!$AM$4:$AP$55,4,FALSE))</f>
        <v>0</v>
      </c>
      <c r="F44" s="4">
        <f>(VLOOKUP('15.01'!N44,'15.01'!$AM$4:$AP$55,4,FALSE))</f>
        <v>0</v>
      </c>
      <c r="G44" s="4">
        <f>(VLOOKUP('15.01'!O44,'15.01'!$AM$4:$AP$55,4,FALSE))</f>
        <v>0</v>
      </c>
      <c r="H44" s="4">
        <f>(VLOOKUP('15.01'!P44,'15.01'!$AM$4:$AP$55,4,FALSE))</f>
        <v>0</v>
      </c>
      <c r="I44" s="4">
        <f>(VLOOKUP('15.01'!Q44,'15.01'!$AM$4:$AP$55,4,FALSE))</f>
        <v>34</v>
      </c>
      <c r="J44" s="4">
        <f>(VLOOKUP('15.01'!R44,'15.01'!$AM$4:$AP$55,4,FALSE))</f>
        <v>0</v>
      </c>
      <c r="K44" s="4">
        <f>(VLOOKUP('15.01'!S44,'15.01'!$AM$4:$AP$55,4,FALSE))</f>
        <v>0</v>
      </c>
      <c r="L44" s="4">
        <f>(VLOOKUP('15.01'!T44,'15.01'!$AM$4:$AP$55,4,FALSE))</f>
        <v>0</v>
      </c>
      <c r="M44" s="4">
        <f>(VLOOKUP('15.01'!U44,'15.01'!$AM$4:$AP$55,4,FALSE))</f>
        <v>0</v>
      </c>
      <c r="N44" s="4">
        <f>(VLOOKUP('15.01'!V44,'15.01'!$AM$4:$AP$55,4,FALSE))</f>
        <v>0</v>
      </c>
      <c r="O44" s="4">
        <f>(VLOOKUP('15.01'!W44,'15.01'!$AM$4:$AP$55,4,FALSE))</f>
        <v>0</v>
      </c>
      <c r="P44" s="4">
        <f>(VLOOKUP('15.01'!X44,'15.01'!$AM$4:$AP$55,4,FALSE))</f>
        <v>0</v>
      </c>
      <c r="Q44" s="4">
        <f>(VLOOKUP('15.01'!Y44,'15.01'!$AM$4:$AP$55,4,FALSE))</f>
        <v>36</v>
      </c>
      <c r="R44" s="4">
        <f>(VLOOKUP('15.01'!Z44,'15.01'!$AM$4:$AP$55,4,FALSE))</f>
        <v>0</v>
      </c>
      <c r="S44" s="4">
        <f>(VLOOKUP('15.01'!AA44,'15.01'!$AM$4:$AP$55,4,FALSE))</f>
        <v>36</v>
      </c>
      <c r="T44" s="4">
        <f>(VLOOKUP('15.01'!AB44,'15.01'!$AM$4:$AP$55,4,FALSE))</f>
        <v>36</v>
      </c>
      <c r="U44" s="4">
        <f>(VLOOKUP('15.01'!AC44,'15.01'!$AM$4:$AP$55,4,FALSE))</f>
        <v>36</v>
      </c>
      <c r="V44" s="4">
        <f>(VLOOKUP('15.01'!AD44,'15.01'!$AM$4:$AP$55,4,FALSE))</f>
        <v>36</v>
      </c>
      <c r="W44" s="4">
        <f>(VLOOKUP('15.01'!AE44,'15.01'!$AM$4:$AP$55,4,FALSE))</f>
        <v>0</v>
      </c>
      <c r="X44" s="4">
        <f>(VLOOKUP('15.01'!AF44,'15.01'!$AM$4:$AP$55,4,FALSE))</f>
        <v>0</v>
      </c>
    </row>
    <row r="45" spans="1:24">
      <c r="A45" s="4">
        <f>(VLOOKUP('15.01'!I45,'15.01'!$AM$4:$AP$55,4,FALSE))</f>
        <v>0</v>
      </c>
      <c r="B45" s="4">
        <f>(VLOOKUP('15.01'!J45,'15.01'!$AM$4:$AP$55,4,FALSE))</f>
        <v>0</v>
      </c>
      <c r="C45" s="4">
        <f>(VLOOKUP('15.01'!K45,'15.01'!$AM$4:$AP$55,4,FALSE))</f>
        <v>0</v>
      </c>
      <c r="D45" s="4">
        <f>(VLOOKUP('15.01'!L45,'15.01'!$AM$4:$AP$55,4,FALSE))</f>
        <v>0</v>
      </c>
      <c r="E45" s="4">
        <f>(VLOOKUP('15.01'!M45,'15.01'!$AM$4:$AP$55,4,FALSE))</f>
        <v>0</v>
      </c>
      <c r="F45" s="4">
        <f>(VLOOKUP('15.01'!N45,'15.01'!$AM$4:$AP$55,4,FALSE))</f>
        <v>0</v>
      </c>
      <c r="G45" s="4">
        <f>(VLOOKUP('15.01'!O45,'15.01'!$AM$4:$AP$55,4,FALSE))</f>
        <v>0</v>
      </c>
      <c r="H45" s="4">
        <f>(VLOOKUP('15.01'!P45,'15.01'!$AM$4:$AP$55,4,FALSE))</f>
        <v>0</v>
      </c>
      <c r="I45" s="4">
        <f>(VLOOKUP('15.01'!Q45,'15.01'!$AM$4:$AP$55,4,FALSE))</f>
        <v>0</v>
      </c>
      <c r="J45" s="4">
        <f>(VLOOKUP('15.01'!R45,'15.01'!$AM$4:$AP$55,4,FALSE))</f>
        <v>0</v>
      </c>
      <c r="K45" s="4">
        <f>(VLOOKUP('15.01'!S45,'15.01'!$AM$4:$AP$55,4,FALSE))</f>
        <v>0</v>
      </c>
      <c r="L45" s="4">
        <f>(VLOOKUP('15.01'!T45,'15.01'!$AM$4:$AP$55,4,FALSE))</f>
        <v>0</v>
      </c>
      <c r="M45" s="4">
        <f>(VLOOKUP('15.01'!U45,'15.01'!$AM$4:$AP$55,4,FALSE))</f>
        <v>0</v>
      </c>
      <c r="N45" s="4">
        <f>(VLOOKUP('15.01'!V45,'15.01'!$AM$4:$AP$55,4,FALSE))</f>
        <v>0</v>
      </c>
      <c r="O45" s="4">
        <f>(VLOOKUP('15.01'!W45,'15.01'!$AM$4:$AP$55,4,FALSE))</f>
        <v>0</v>
      </c>
      <c r="P45" s="4">
        <f>(VLOOKUP('15.01'!X45,'15.01'!$AM$4:$AP$55,4,FALSE))</f>
        <v>0</v>
      </c>
      <c r="Q45" s="4">
        <f>(VLOOKUP('15.01'!Y45,'15.01'!$AM$4:$AP$55,4,FALSE))</f>
        <v>36</v>
      </c>
      <c r="R45" s="4">
        <f>(VLOOKUP('15.01'!Z45,'15.01'!$AM$4:$AP$55,4,FALSE))</f>
        <v>36</v>
      </c>
      <c r="S45" s="4">
        <f>(VLOOKUP('15.01'!AA45,'15.01'!$AM$4:$AP$55,4,FALSE))</f>
        <v>36</v>
      </c>
      <c r="T45" s="4">
        <f>(VLOOKUP('15.01'!AB45,'15.01'!$AM$4:$AP$55,4,FALSE))</f>
        <v>36</v>
      </c>
      <c r="U45" s="4">
        <f>(VLOOKUP('15.01'!AC45,'15.01'!$AM$4:$AP$55,4,FALSE))</f>
        <v>36</v>
      </c>
      <c r="V45" s="4">
        <f>(VLOOKUP('15.01'!AD45,'15.01'!$AM$4:$AP$55,4,FALSE))</f>
        <v>36</v>
      </c>
      <c r="W45" s="4">
        <f>(VLOOKUP('15.01'!AE45,'15.01'!$AM$4:$AP$55,4,FALSE))</f>
        <v>0</v>
      </c>
      <c r="X45" s="4">
        <f>(VLOOKUP('15.01'!AF45,'15.01'!$AM$4:$AP$55,4,FALSE))</f>
        <v>0</v>
      </c>
    </row>
    <row r="46" spans="1:24">
      <c r="A46" s="4">
        <f>(VLOOKUP('15.01'!I46,'15.01'!$AM$4:$AP$55,4,FALSE))</f>
        <v>0</v>
      </c>
      <c r="B46" s="4">
        <f>(VLOOKUP('15.01'!J46,'15.01'!$AM$4:$AP$55,4,FALSE))</f>
        <v>0</v>
      </c>
      <c r="C46" s="4">
        <f>(VLOOKUP('15.01'!K46,'15.01'!$AM$4:$AP$55,4,FALSE))</f>
        <v>0</v>
      </c>
      <c r="D46" s="4">
        <f>(VLOOKUP('15.01'!L46,'15.01'!$AM$4:$AP$55,4,FALSE))</f>
        <v>0</v>
      </c>
      <c r="E46" s="4">
        <f>(VLOOKUP('15.01'!M46,'15.01'!$AM$4:$AP$55,4,FALSE))</f>
        <v>0</v>
      </c>
      <c r="F46" s="4">
        <f>(VLOOKUP('15.01'!N46,'15.01'!$AM$4:$AP$55,4,FALSE))</f>
        <v>0</v>
      </c>
      <c r="G46" s="4">
        <f>(VLOOKUP('15.01'!O46,'15.01'!$AM$4:$AP$55,4,FALSE))</f>
        <v>0</v>
      </c>
      <c r="H46" s="4">
        <f>(VLOOKUP('15.01'!P46,'15.01'!$AM$4:$AP$55,4,FALSE))</f>
        <v>0</v>
      </c>
      <c r="I46" s="4">
        <f>(VLOOKUP('15.01'!Q46,'15.01'!$AM$4:$AP$55,4,FALSE))</f>
        <v>0</v>
      </c>
      <c r="J46" s="4">
        <f>(VLOOKUP('15.01'!R46,'15.01'!$AM$4:$AP$55,4,FALSE))</f>
        <v>0</v>
      </c>
      <c r="K46" s="4">
        <f>(VLOOKUP('15.01'!S46,'15.01'!$AM$4:$AP$55,4,FALSE))</f>
        <v>0</v>
      </c>
      <c r="L46" s="4">
        <f>(VLOOKUP('15.01'!T46,'15.01'!$AM$4:$AP$55,4,FALSE))</f>
        <v>0</v>
      </c>
      <c r="M46" s="4">
        <f>(VLOOKUP('15.01'!U46,'15.01'!$AM$4:$AP$55,4,FALSE))</f>
        <v>0</v>
      </c>
      <c r="N46" s="4">
        <f>(VLOOKUP('15.01'!V46,'15.01'!$AM$4:$AP$55,4,FALSE))</f>
        <v>0</v>
      </c>
      <c r="O46" s="4">
        <f>(VLOOKUP('15.01'!W46,'15.01'!$AM$4:$AP$55,4,FALSE))</f>
        <v>0</v>
      </c>
      <c r="P46" s="4">
        <f>(VLOOKUP('15.01'!X46,'15.01'!$AM$4:$AP$55,4,FALSE))</f>
        <v>0</v>
      </c>
      <c r="Q46" s="4">
        <f>(VLOOKUP('15.01'!Y46,'15.01'!$AM$4:$AP$55,4,FALSE))</f>
        <v>36</v>
      </c>
      <c r="R46" s="4">
        <f>(VLOOKUP('15.01'!Z46,'15.01'!$AM$4:$AP$55,4,FALSE))</f>
        <v>36</v>
      </c>
      <c r="S46" s="4">
        <f>(VLOOKUP('15.01'!AA46,'15.01'!$AM$4:$AP$55,4,FALSE))</f>
        <v>36</v>
      </c>
      <c r="T46" s="4">
        <f>(VLOOKUP('15.01'!AB46,'15.01'!$AM$4:$AP$55,4,FALSE))</f>
        <v>36</v>
      </c>
      <c r="U46" s="4">
        <f>(VLOOKUP('15.01'!AC46,'15.01'!$AM$4:$AP$55,4,FALSE))</f>
        <v>36</v>
      </c>
      <c r="V46" s="4">
        <f>(VLOOKUP('15.01'!AD46,'15.01'!$AM$4:$AP$55,4,FALSE))</f>
        <v>10</v>
      </c>
      <c r="W46" s="4">
        <f>(VLOOKUP('15.01'!AE46,'15.01'!$AM$4:$AP$55,4,FALSE))</f>
        <v>0</v>
      </c>
      <c r="X46" s="4">
        <f>(VLOOKUP('15.01'!AF46,'15.01'!$AM$4:$AP$55,4,FALSE))</f>
        <v>0</v>
      </c>
    </row>
    <row r="47" spans="1:24">
      <c r="A47" s="4">
        <f>(VLOOKUP('15.01'!I47,'15.01'!$AM$4:$AP$55,4,FALSE))</f>
        <v>0</v>
      </c>
      <c r="B47" s="4">
        <f>(VLOOKUP('15.01'!J47,'15.01'!$AM$4:$AP$55,4,FALSE))</f>
        <v>0</v>
      </c>
      <c r="C47" s="4">
        <f>(VLOOKUP('15.01'!K47,'15.01'!$AM$4:$AP$55,4,FALSE))</f>
        <v>0</v>
      </c>
      <c r="D47" s="4">
        <f>(VLOOKUP('15.01'!L47,'15.01'!$AM$4:$AP$55,4,FALSE))</f>
        <v>0</v>
      </c>
      <c r="E47" s="4">
        <f>(VLOOKUP('15.01'!M47,'15.01'!$AM$4:$AP$55,4,FALSE))</f>
        <v>0</v>
      </c>
      <c r="F47" s="4">
        <f>(VLOOKUP('15.01'!N47,'15.01'!$AM$4:$AP$55,4,FALSE))</f>
        <v>0</v>
      </c>
      <c r="G47" s="4">
        <f>(VLOOKUP('15.01'!O47,'15.01'!$AM$4:$AP$55,4,FALSE))</f>
        <v>0</v>
      </c>
      <c r="H47" s="4">
        <f>(VLOOKUP('15.01'!P47,'15.01'!$AM$4:$AP$55,4,FALSE))</f>
        <v>0</v>
      </c>
      <c r="I47" s="4">
        <f>(VLOOKUP('15.01'!Q47,'15.01'!$AM$4:$AP$55,4,FALSE))</f>
        <v>0</v>
      </c>
      <c r="J47" s="4">
        <f>(VLOOKUP('15.01'!R47,'15.01'!$AM$4:$AP$55,4,FALSE))</f>
        <v>0</v>
      </c>
      <c r="K47" s="4">
        <f>(VLOOKUP('15.01'!S47,'15.01'!$AM$4:$AP$55,4,FALSE))</f>
        <v>0</v>
      </c>
      <c r="L47" s="4">
        <f>(VLOOKUP('15.01'!T47,'15.01'!$AM$4:$AP$55,4,FALSE))</f>
        <v>0</v>
      </c>
      <c r="M47" s="4">
        <f>(VLOOKUP('15.01'!U47,'15.01'!$AM$4:$AP$55,4,FALSE))</f>
        <v>0</v>
      </c>
      <c r="N47" s="4">
        <f>(VLOOKUP('15.01'!V47,'15.01'!$AM$4:$AP$55,4,FALSE))</f>
        <v>0</v>
      </c>
      <c r="O47" s="4">
        <f>(VLOOKUP('15.01'!W47,'15.01'!$AM$4:$AP$55,4,FALSE))</f>
        <v>0</v>
      </c>
      <c r="P47" s="4">
        <f>(VLOOKUP('15.01'!X47,'15.01'!$AM$4:$AP$55,4,FALSE))</f>
        <v>0</v>
      </c>
      <c r="Q47" s="4">
        <f>(VLOOKUP('15.01'!Y47,'15.01'!$AM$4:$AP$55,4,FALSE))</f>
        <v>36</v>
      </c>
      <c r="R47" s="4">
        <f>(VLOOKUP('15.01'!Z47,'15.01'!$AM$4:$AP$55,4,FALSE))</f>
        <v>36</v>
      </c>
      <c r="S47" s="4">
        <f>(VLOOKUP('15.01'!AA47,'15.01'!$AM$4:$AP$55,4,FALSE))</f>
        <v>36</v>
      </c>
      <c r="T47" s="4">
        <f>(VLOOKUP('15.01'!AB47,'15.01'!$AM$4:$AP$55,4,FALSE))</f>
        <v>36</v>
      </c>
      <c r="U47" s="4">
        <f>(VLOOKUP('15.01'!AC47,'15.01'!$AM$4:$AP$55,4,FALSE))</f>
        <v>36</v>
      </c>
      <c r="V47" s="4">
        <f>(VLOOKUP('15.01'!AD47,'15.01'!$AM$4:$AP$55,4,FALSE))</f>
        <v>36</v>
      </c>
      <c r="W47" s="4">
        <f>(VLOOKUP('15.01'!AE47,'15.01'!$AM$4:$AP$55,4,FALSE))</f>
        <v>0</v>
      </c>
      <c r="X47" s="4">
        <f>(VLOOKUP('15.01'!AF47,'15.01'!$AM$4:$AP$55,4,FALSE))</f>
        <v>0</v>
      </c>
    </row>
    <row r="48" spans="1:24">
      <c r="A48" s="4">
        <f>(VLOOKUP('15.01'!I48,'15.01'!$AM$4:$AP$55,4,FALSE))</f>
        <v>0</v>
      </c>
      <c r="B48" s="4">
        <f>(VLOOKUP('15.01'!J48,'15.01'!$AM$4:$AP$55,4,FALSE))</f>
        <v>0</v>
      </c>
      <c r="C48" s="4">
        <f>(VLOOKUP('15.01'!K48,'15.01'!$AM$4:$AP$55,4,FALSE))</f>
        <v>0</v>
      </c>
      <c r="D48" s="4">
        <f>(VLOOKUP('15.01'!L48,'15.01'!$AM$4:$AP$55,4,FALSE))</f>
        <v>0</v>
      </c>
      <c r="E48" s="4">
        <f>(VLOOKUP('15.01'!M48,'15.01'!$AM$4:$AP$55,4,FALSE))</f>
        <v>0</v>
      </c>
      <c r="F48" s="4">
        <f>(VLOOKUP('15.01'!N48,'15.01'!$AM$4:$AP$55,4,FALSE))</f>
        <v>0</v>
      </c>
      <c r="G48" s="4">
        <f>(VLOOKUP('15.01'!O48,'15.01'!$AM$4:$AP$55,4,FALSE))</f>
        <v>0</v>
      </c>
      <c r="H48" s="4">
        <f>(VLOOKUP('15.01'!P48,'15.01'!$AM$4:$AP$55,4,FALSE))</f>
        <v>0</v>
      </c>
      <c r="I48" s="4">
        <f>(VLOOKUP('15.01'!Q48,'15.01'!$AM$4:$AP$55,4,FALSE))</f>
        <v>0</v>
      </c>
      <c r="J48" s="4">
        <f>(VLOOKUP('15.01'!R48,'15.01'!$AM$4:$AP$55,4,FALSE))</f>
        <v>36</v>
      </c>
      <c r="K48" s="4">
        <f>(VLOOKUP('15.01'!S48,'15.01'!$AM$4:$AP$55,4,FALSE))</f>
        <v>36</v>
      </c>
      <c r="L48" s="4">
        <f>(VLOOKUP('15.01'!T48,'15.01'!$AM$4:$AP$55,4,FALSE))</f>
        <v>36</v>
      </c>
      <c r="M48" s="4">
        <f>(VLOOKUP('15.01'!U48,'15.01'!$AM$4:$AP$55,4,FALSE))</f>
        <v>36</v>
      </c>
      <c r="N48" s="4">
        <f>(VLOOKUP('15.01'!V48,'15.01'!$AM$4:$AP$55,4,FALSE))</f>
        <v>36</v>
      </c>
      <c r="O48" s="4">
        <f>(VLOOKUP('15.01'!W48,'15.01'!$AM$4:$AP$55,4,FALSE))</f>
        <v>0</v>
      </c>
      <c r="P48" s="4">
        <f>(VLOOKUP('15.01'!X48,'15.01'!$AM$4:$AP$55,4,FALSE))</f>
        <v>0</v>
      </c>
      <c r="Q48" s="4">
        <f>(VLOOKUP('15.01'!Y48,'15.01'!$AM$4:$AP$55,4,FALSE))</f>
        <v>10</v>
      </c>
      <c r="R48" s="4">
        <f>(VLOOKUP('15.01'!Z48,'15.01'!$AM$4:$AP$55,4,FALSE))</f>
        <v>36</v>
      </c>
      <c r="S48" s="4">
        <f>(VLOOKUP('15.01'!AA48,'15.01'!$AM$4:$AP$55,4,FALSE))</f>
        <v>36</v>
      </c>
      <c r="T48" s="4">
        <f>(VLOOKUP('15.01'!AB48,'15.01'!$AM$4:$AP$55,4,FALSE))</f>
        <v>36</v>
      </c>
      <c r="U48" s="4">
        <f>(VLOOKUP('15.01'!AC48,'15.01'!$AM$4:$AP$55,4,FALSE))</f>
        <v>34</v>
      </c>
      <c r="V48" s="4">
        <f>(VLOOKUP('15.01'!AD48,'15.01'!$AM$4:$AP$55,4,FALSE))</f>
        <v>36</v>
      </c>
      <c r="W48" s="4">
        <f>(VLOOKUP('15.01'!AE48,'15.01'!$AM$4:$AP$55,4,FALSE))</f>
        <v>0</v>
      </c>
      <c r="X48" s="4">
        <f>(VLOOKUP('15.01'!AF48,'15.01'!$AM$4:$AP$55,4,FALSE))</f>
        <v>0</v>
      </c>
    </row>
    <row r="49" spans="1:24">
      <c r="A49" s="4">
        <f>(VLOOKUP('15.01'!I49,'15.01'!$AM$4:$AP$55,4,FALSE))</f>
        <v>0</v>
      </c>
      <c r="B49" s="4">
        <f>(VLOOKUP('15.01'!J49,'15.01'!$AM$4:$AP$55,4,FALSE))</f>
        <v>0</v>
      </c>
      <c r="C49" s="4">
        <f>(VLOOKUP('15.01'!K49,'15.01'!$AM$4:$AP$55,4,FALSE))</f>
        <v>0</v>
      </c>
      <c r="D49" s="4">
        <f>(VLOOKUP('15.01'!L49,'15.01'!$AM$4:$AP$55,4,FALSE))</f>
        <v>0</v>
      </c>
      <c r="E49" s="4">
        <f>(VLOOKUP('15.01'!M49,'15.01'!$AM$4:$AP$55,4,FALSE))</f>
        <v>0</v>
      </c>
      <c r="F49" s="4">
        <f>(VLOOKUP('15.01'!N49,'15.01'!$AM$4:$AP$55,4,FALSE))</f>
        <v>0</v>
      </c>
      <c r="G49" s="4">
        <f>(VLOOKUP('15.01'!O49,'15.01'!$AM$4:$AP$55,4,FALSE))</f>
        <v>0</v>
      </c>
      <c r="H49" s="4">
        <f>(VLOOKUP('15.01'!P49,'15.01'!$AM$4:$AP$55,4,FALSE))</f>
        <v>0</v>
      </c>
      <c r="I49" s="4">
        <f>(VLOOKUP('15.01'!Q49,'15.01'!$AM$4:$AP$55,4,FALSE))</f>
        <v>36</v>
      </c>
      <c r="J49" s="4">
        <f>(VLOOKUP('15.01'!R49,'15.01'!$AM$4:$AP$55,4,FALSE))</f>
        <v>36</v>
      </c>
      <c r="K49" s="4">
        <f>(VLOOKUP('15.01'!S49,'15.01'!$AM$4:$AP$55,4,FALSE))</f>
        <v>36</v>
      </c>
      <c r="L49" s="4">
        <f>(VLOOKUP('15.01'!T49,'15.01'!$AM$4:$AP$55,4,FALSE))</f>
        <v>36</v>
      </c>
      <c r="M49" s="4">
        <f>(VLOOKUP('15.01'!U49,'15.01'!$AM$4:$AP$55,4,FALSE))</f>
        <v>36</v>
      </c>
      <c r="N49" s="4">
        <f>(VLOOKUP('15.01'!V49,'15.01'!$AM$4:$AP$55,4,FALSE))</f>
        <v>36</v>
      </c>
      <c r="O49" s="4">
        <f>(VLOOKUP('15.01'!W49,'15.01'!$AM$4:$AP$55,4,FALSE))</f>
        <v>0</v>
      </c>
      <c r="P49" s="4">
        <f>(VLOOKUP('15.01'!X49,'15.01'!$AM$4:$AP$55,4,FALSE))</f>
        <v>0</v>
      </c>
      <c r="Q49" s="4">
        <f>(VLOOKUP('15.01'!Y49,'15.01'!$AM$4:$AP$55,4,FALSE))</f>
        <v>0</v>
      </c>
      <c r="R49" s="4">
        <f>(VLOOKUP('15.01'!Z49,'15.01'!$AM$4:$AP$55,4,FALSE))</f>
        <v>0</v>
      </c>
      <c r="S49" s="4">
        <f>(VLOOKUP('15.01'!AA49,'15.01'!$AM$4:$AP$55,4,FALSE))</f>
        <v>0</v>
      </c>
      <c r="T49" s="4">
        <f>(VLOOKUP('15.01'!AB49,'15.01'!$AM$4:$AP$55,4,FALSE))</f>
        <v>0</v>
      </c>
      <c r="U49" s="4">
        <f>(VLOOKUP('15.01'!AC49,'15.01'!$AM$4:$AP$55,4,FALSE))</f>
        <v>0</v>
      </c>
      <c r="V49" s="4">
        <f>(VLOOKUP('15.01'!AD49,'15.01'!$AM$4:$AP$55,4,FALSE))</f>
        <v>0</v>
      </c>
      <c r="W49" s="4">
        <f>(VLOOKUP('15.01'!AE49,'15.01'!$AM$4:$AP$55,4,FALSE))</f>
        <v>0</v>
      </c>
      <c r="X49" s="4">
        <f>(VLOOKUP('15.01'!AF49,'15.01'!$AM$4:$AP$55,4,FALSE))</f>
        <v>0</v>
      </c>
    </row>
    <row r="50" spans="1:24">
      <c r="A50" s="4">
        <f>(VLOOKUP('15.01'!I50,'15.01'!$AM$4:$AP$55,4,FALSE))</f>
        <v>0</v>
      </c>
      <c r="B50" s="4">
        <f>(VLOOKUP('15.01'!J50,'15.01'!$AM$4:$AP$55,4,FALSE))</f>
        <v>0</v>
      </c>
      <c r="C50" s="4">
        <f>(VLOOKUP('15.01'!K50,'15.01'!$AM$4:$AP$55,4,FALSE))</f>
        <v>0</v>
      </c>
      <c r="D50" s="4">
        <f>(VLOOKUP('15.01'!L50,'15.01'!$AM$4:$AP$55,4,FALSE))</f>
        <v>0</v>
      </c>
      <c r="E50" s="4">
        <f>(VLOOKUP('15.01'!M50,'15.01'!$AM$4:$AP$55,4,FALSE))</f>
        <v>0</v>
      </c>
      <c r="F50" s="4">
        <f>(VLOOKUP('15.01'!N50,'15.01'!$AM$4:$AP$55,4,FALSE))</f>
        <v>0</v>
      </c>
      <c r="G50" s="4">
        <f>(VLOOKUP('15.01'!O50,'15.01'!$AM$4:$AP$55,4,FALSE))</f>
        <v>0</v>
      </c>
      <c r="H50" s="4">
        <f>(VLOOKUP('15.01'!P50,'15.01'!$AM$4:$AP$55,4,FALSE))</f>
        <v>0</v>
      </c>
      <c r="I50" s="4">
        <f>(VLOOKUP('15.01'!Q50,'15.01'!$AM$4:$AP$55,4,FALSE))</f>
        <v>0</v>
      </c>
      <c r="J50" s="4">
        <f>(VLOOKUP('15.01'!R50,'15.01'!$AM$4:$AP$55,4,FALSE))</f>
        <v>36</v>
      </c>
      <c r="K50" s="4">
        <f>(VLOOKUP('15.01'!S50,'15.01'!$AM$4:$AP$55,4,FALSE))</f>
        <v>36</v>
      </c>
      <c r="L50" s="4">
        <f>(VLOOKUP('15.01'!T50,'15.01'!$AM$4:$AP$55,4,FALSE))</f>
        <v>36</v>
      </c>
      <c r="M50" s="4">
        <f>(VLOOKUP('15.01'!U50,'15.01'!$AM$4:$AP$55,4,FALSE))</f>
        <v>36</v>
      </c>
      <c r="N50" s="4">
        <f>(VLOOKUP('15.01'!V50,'15.01'!$AM$4:$AP$55,4,FALSE))</f>
        <v>36</v>
      </c>
      <c r="O50" s="4">
        <f>(VLOOKUP('15.01'!W50,'15.01'!$AM$4:$AP$55,4,FALSE))</f>
        <v>0</v>
      </c>
      <c r="P50" s="4">
        <f>(VLOOKUP('15.01'!X50,'15.01'!$AM$4:$AP$55,4,FALSE))</f>
        <v>0</v>
      </c>
      <c r="Q50" s="4">
        <f>(VLOOKUP('15.01'!Y50,'15.01'!$AM$4:$AP$55,4,FALSE))</f>
        <v>0</v>
      </c>
      <c r="R50" s="4">
        <f>(VLOOKUP('15.01'!Z50,'15.01'!$AM$4:$AP$55,4,FALSE))</f>
        <v>0</v>
      </c>
      <c r="S50" s="4">
        <f>(VLOOKUP('15.01'!AA50,'15.01'!$AM$4:$AP$55,4,FALSE))</f>
        <v>0</v>
      </c>
      <c r="T50" s="4">
        <f>(VLOOKUP('15.01'!AB50,'15.01'!$AM$4:$AP$55,4,FALSE))</f>
        <v>0</v>
      </c>
      <c r="U50" s="4">
        <f>(VLOOKUP('15.01'!AC50,'15.01'!$AM$4:$AP$55,4,FALSE))</f>
        <v>0</v>
      </c>
      <c r="V50" s="4">
        <f>(VLOOKUP('15.01'!AD50,'15.01'!$AM$4:$AP$55,4,FALSE))</f>
        <v>0</v>
      </c>
      <c r="W50" s="4">
        <f>(VLOOKUP('15.01'!AE50,'15.01'!$AM$4:$AP$55,4,FALSE))</f>
        <v>0</v>
      </c>
      <c r="X50" s="4">
        <f>(VLOOKUP('15.01'!AF50,'15.01'!$AM$4:$AP$55,4,FALSE))</f>
        <v>0</v>
      </c>
    </row>
    <row r="51" spans="1:24">
      <c r="A51" s="4">
        <f>(VLOOKUP('15.01'!I51,'15.01'!$AM$4:$AP$55,4,FALSE))</f>
        <v>0</v>
      </c>
      <c r="B51" s="4">
        <f>(VLOOKUP('15.01'!J51,'15.01'!$AM$4:$AP$55,4,FALSE))</f>
        <v>0</v>
      </c>
      <c r="C51" s="4">
        <f>(VLOOKUP('15.01'!K51,'15.01'!$AM$4:$AP$55,4,FALSE))</f>
        <v>0</v>
      </c>
      <c r="D51" s="4">
        <f>(VLOOKUP('15.01'!L51,'15.01'!$AM$4:$AP$55,4,FALSE))</f>
        <v>0</v>
      </c>
      <c r="E51" s="4">
        <f>(VLOOKUP('15.01'!M51,'15.01'!$AM$4:$AP$55,4,FALSE))</f>
        <v>0</v>
      </c>
      <c r="F51" s="4">
        <f>(VLOOKUP('15.01'!N51,'15.01'!$AM$4:$AP$55,4,FALSE))</f>
        <v>0</v>
      </c>
      <c r="G51" s="4">
        <f>(VLOOKUP('15.01'!O51,'15.01'!$AM$4:$AP$55,4,FALSE))</f>
        <v>0</v>
      </c>
      <c r="H51" s="4">
        <f>(VLOOKUP('15.01'!P51,'15.01'!$AM$4:$AP$55,4,FALSE))</f>
        <v>0</v>
      </c>
      <c r="I51" s="4">
        <f>(VLOOKUP('15.01'!Q51,'15.01'!$AM$4:$AP$55,4,FALSE))</f>
        <v>36</v>
      </c>
      <c r="J51" s="4">
        <f>(VLOOKUP('15.01'!R51,'15.01'!$AM$4:$AP$55,4,FALSE))</f>
        <v>36</v>
      </c>
      <c r="K51" s="4">
        <f>(VLOOKUP('15.01'!S51,'15.01'!$AM$4:$AP$55,4,FALSE))</f>
        <v>36</v>
      </c>
      <c r="L51" s="4">
        <f>(VLOOKUP('15.01'!T51,'15.01'!$AM$4:$AP$55,4,FALSE))</f>
        <v>36</v>
      </c>
      <c r="M51" s="4">
        <f>(VLOOKUP('15.01'!U51,'15.01'!$AM$4:$AP$55,4,FALSE))</f>
        <v>36</v>
      </c>
      <c r="N51" s="4">
        <f>(VLOOKUP('15.01'!V51,'15.01'!$AM$4:$AP$55,4,FALSE))</f>
        <v>36</v>
      </c>
      <c r="O51" s="4">
        <f>(VLOOKUP('15.01'!W51,'15.01'!$AM$4:$AP$55,4,FALSE))</f>
        <v>0</v>
      </c>
      <c r="P51" s="4">
        <f>(VLOOKUP('15.01'!X51,'15.01'!$AM$4:$AP$55,4,FALSE))</f>
        <v>0</v>
      </c>
      <c r="Q51" s="4">
        <f>(VLOOKUP('15.01'!Y51,'15.01'!$AM$4:$AP$55,4,FALSE))</f>
        <v>13.999854933178597</v>
      </c>
      <c r="R51" s="4">
        <f>(VLOOKUP('15.01'!Z51,'15.01'!$AM$4:$AP$55,4,FALSE))</f>
        <v>34</v>
      </c>
      <c r="S51" s="4">
        <f>(VLOOKUP('15.01'!AA51,'15.01'!$AM$4:$AP$55,4,FALSE))</f>
        <v>34</v>
      </c>
      <c r="T51" s="4">
        <f>(VLOOKUP('15.01'!AB51,'15.01'!$AM$4:$AP$55,4,FALSE))</f>
        <v>34</v>
      </c>
      <c r="U51" s="4">
        <f>(VLOOKUP('15.01'!AC51,'15.01'!$AM$4:$AP$55,4,FALSE))</f>
        <v>34</v>
      </c>
      <c r="V51" s="4">
        <f>(VLOOKUP('15.01'!AD51,'15.01'!$AM$4:$AP$55,4,FALSE))</f>
        <v>34</v>
      </c>
      <c r="W51" s="4">
        <f>(VLOOKUP('15.01'!AE51,'15.01'!$AM$4:$AP$55,4,FALSE))</f>
        <v>0</v>
      </c>
      <c r="X51" s="4">
        <f>(VLOOKUP('15.01'!AF51,'15.01'!$AM$4:$AP$55,4,FALSE))</f>
        <v>0</v>
      </c>
    </row>
    <row r="52" spans="1:24">
      <c r="A52" s="4">
        <f>(VLOOKUP('15.01'!I52,'15.01'!$AM$4:$AP$55,4,FALSE))</f>
        <v>0</v>
      </c>
      <c r="B52" s="4">
        <f>(VLOOKUP('15.01'!J52,'15.01'!$AM$4:$AP$55,4,FALSE))</f>
        <v>0</v>
      </c>
      <c r="C52" s="4">
        <f>(VLOOKUP('15.01'!K52,'15.01'!$AM$4:$AP$55,4,FALSE))</f>
        <v>0</v>
      </c>
      <c r="D52" s="4">
        <f>(VLOOKUP('15.01'!L52,'15.01'!$AM$4:$AP$55,4,FALSE))</f>
        <v>0</v>
      </c>
      <c r="E52" s="4">
        <f>(VLOOKUP('15.01'!M52,'15.01'!$AM$4:$AP$55,4,FALSE))</f>
        <v>0</v>
      </c>
      <c r="F52" s="4">
        <f>(VLOOKUP('15.01'!N52,'15.01'!$AM$4:$AP$55,4,FALSE))</f>
        <v>0</v>
      </c>
      <c r="G52" s="4">
        <f>(VLOOKUP('15.01'!O52,'15.01'!$AM$4:$AP$55,4,FALSE))</f>
        <v>0</v>
      </c>
      <c r="H52" s="4">
        <f>(VLOOKUP('15.01'!P52,'15.01'!$AM$4:$AP$55,4,FALSE))</f>
        <v>0</v>
      </c>
      <c r="I52" s="4">
        <f>(VLOOKUP('15.01'!Q52,'15.01'!$AM$4:$AP$55,4,FALSE))</f>
        <v>36</v>
      </c>
      <c r="J52" s="4">
        <f>(VLOOKUP('15.01'!R52,'15.01'!$AM$4:$AP$55,4,FALSE))</f>
        <v>10</v>
      </c>
      <c r="K52" s="4">
        <f>(VLOOKUP('15.01'!S52,'15.01'!$AM$4:$AP$55,4,FALSE))</f>
        <v>36</v>
      </c>
      <c r="L52" s="4">
        <f>(VLOOKUP('15.01'!T52,'15.01'!$AM$4:$AP$55,4,FALSE))</f>
        <v>36</v>
      </c>
      <c r="M52" s="4">
        <f>(VLOOKUP('15.01'!U52,'15.01'!$AM$4:$AP$55,4,FALSE))</f>
        <v>36</v>
      </c>
      <c r="N52" s="4">
        <f>(VLOOKUP('15.01'!V52,'15.01'!$AM$4:$AP$55,4,FALSE))</f>
        <v>36</v>
      </c>
      <c r="O52" s="4">
        <f>(VLOOKUP('15.01'!W52,'15.01'!$AM$4:$AP$55,4,FALSE))</f>
        <v>0</v>
      </c>
      <c r="P52" s="4">
        <f>(VLOOKUP('15.01'!X52,'15.01'!$AM$4:$AP$55,4,FALSE))</f>
        <v>0</v>
      </c>
      <c r="Q52" s="4">
        <f>(VLOOKUP('15.01'!Y52,'15.01'!$AM$4:$AP$55,4,FALSE))</f>
        <v>34</v>
      </c>
      <c r="R52" s="4">
        <f>(VLOOKUP('15.01'!Z52,'15.01'!$AM$4:$AP$55,4,FALSE))</f>
        <v>34</v>
      </c>
      <c r="S52" s="4">
        <f>(VLOOKUP('15.01'!AA52,'15.01'!$AM$4:$AP$55,4,FALSE))</f>
        <v>34</v>
      </c>
      <c r="T52" s="4">
        <f>(VLOOKUP('15.01'!AB52,'15.01'!$AM$4:$AP$55,4,FALSE))</f>
        <v>34</v>
      </c>
      <c r="U52" s="4">
        <f>(VLOOKUP('15.01'!AC52,'15.01'!$AM$4:$AP$55,4,FALSE))</f>
        <v>34</v>
      </c>
      <c r="V52" s="4">
        <f>(VLOOKUP('15.01'!AD52,'15.01'!$AM$4:$AP$55,4,FALSE))</f>
        <v>34</v>
      </c>
      <c r="W52" s="4">
        <f>(VLOOKUP('15.01'!AE52,'15.01'!$AM$4:$AP$55,4,FALSE))</f>
        <v>0</v>
      </c>
      <c r="X52" s="4">
        <f>(VLOOKUP('15.01'!AF52,'15.01'!$AM$4:$AP$55,4,FALSE))</f>
        <v>0</v>
      </c>
    </row>
    <row r="53" spans="1:24">
      <c r="A53" s="4">
        <f>(VLOOKUP('15.01'!I53,'15.01'!$AM$4:$AP$55,4,FALSE))</f>
        <v>0</v>
      </c>
      <c r="B53" s="4">
        <f>(VLOOKUP('15.01'!J53,'15.01'!$AM$4:$AP$55,4,FALSE))</f>
        <v>0</v>
      </c>
      <c r="C53" s="4">
        <f>(VLOOKUP('15.01'!K53,'15.01'!$AM$4:$AP$55,4,FALSE))</f>
        <v>0</v>
      </c>
      <c r="D53" s="4">
        <f>(VLOOKUP('15.01'!L53,'15.01'!$AM$4:$AP$55,4,FALSE))</f>
        <v>0</v>
      </c>
      <c r="E53" s="4">
        <f>(VLOOKUP('15.01'!M53,'15.01'!$AM$4:$AP$55,4,FALSE))</f>
        <v>0</v>
      </c>
      <c r="F53" s="4">
        <f>(VLOOKUP('15.01'!N53,'15.01'!$AM$4:$AP$55,4,FALSE))</f>
        <v>0</v>
      </c>
      <c r="G53" s="4">
        <f>(VLOOKUP('15.01'!O53,'15.01'!$AM$4:$AP$55,4,FALSE))</f>
        <v>0</v>
      </c>
      <c r="H53" s="4">
        <f>(VLOOKUP('15.01'!P53,'15.01'!$AM$4:$AP$55,4,FALSE))</f>
        <v>0</v>
      </c>
      <c r="I53" s="4">
        <f>(VLOOKUP('15.01'!Q53,'15.01'!$AM$4:$AP$55,4,FALSE))</f>
        <v>36</v>
      </c>
      <c r="J53" s="4">
        <f>(VLOOKUP('15.01'!R53,'15.01'!$AM$4:$AP$55,4,FALSE))</f>
        <v>36</v>
      </c>
      <c r="K53" s="4">
        <f>(VLOOKUP('15.01'!S53,'15.01'!$AM$4:$AP$55,4,FALSE))</f>
        <v>36</v>
      </c>
      <c r="L53" s="4">
        <f>(VLOOKUP('15.01'!T53,'15.01'!$AM$4:$AP$55,4,FALSE))</f>
        <v>36</v>
      </c>
      <c r="M53" s="4">
        <f>(VLOOKUP('15.01'!U53,'15.01'!$AM$4:$AP$55,4,FALSE))</f>
        <v>36</v>
      </c>
      <c r="N53" s="4">
        <f>(VLOOKUP('15.01'!V53,'15.01'!$AM$4:$AP$55,4,FALSE))</f>
        <v>36</v>
      </c>
      <c r="O53" s="4">
        <f>(VLOOKUP('15.01'!W53,'15.01'!$AM$4:$AP$55,4,FALSE))</f>
        <v>0</v>
      </c>
      <c r="P53" s="4">
        <f>(VLOOKUP('15.01'!X53,'15.01'!$AM$4:$AP$55,4,FALSE))</f>
        <v>0</v>
      </c>
      <c r="Q53" s="4">
        <f>(VLOOKUP('15.01'!Y53,'15.01'!$AM$4:$AP$55,4,FALSE))</f>
        <v>34</v>
      </c>
      <c r="R53" s="4">
        <f>(VLOOKUP('15.01'!Z53,'15.01'!$AM$4:$AP$55,4,FALSE))</f>
        <v>10</v>
      </c>
      <c r="S53" s="4">
        <f>(VLOOKUP('15.01'!AA53,'15.01'!$AM$4:$AP$55,4,FALSE))</f>
        <v>0</v>
      </c>
      <c r="T53" s="4">
        <f>(VLOOKUP('15.01'!AB53,'15.01'!$AM$4:$AP$55,4,FALSE))</f>
        <v>0</v>
      </c>
      <c r="U53" s="4">
        <f>(VLOOKUP('15.01'!AC53,'15.01'!$AM$4:$AP$55,4,FALSE))</f>
        <v>0</v>
      </c>
      <c r="V53" s="4">
        <f>(VLOOKUP('15.01'!AD53,'15.01'!$AM$4:$AP$55,4,FALSE))</f>
        <v>0</v>
      </c>
      <c r="W53" s="4">
        <f>(VLOOKUP('15.01'!AE53,'15.01'!$AM$4:$AP$55,4,FALSE))</f>
        <v>0</v>
      </c>
      <c r="X53" s="4">
        <f>(VLOOKUP('15.01'!AF53,'15.01'!$AM$4:$AP$55,4,FALSE))</f>
        <v>0</v>
      </c>
    </row>
    <row r="54" spans="1:24">
      <c r="A54" s="4">
        <f>(VLOOKUP('15.01'!I54,'15.01'!$AM$4:$AP$55,4,FALSE))</f>
        <v>0</v>
      </c>
      <c r="B54" s="4">
        <f>(VLOOKUP('15.01'!J54,'15.01'!$AM$4:$AP$55,4,FALSE))</f>
        <v>0</v>
      </c>
      <c r="C54" s="4">
        <f>(VLOOKUP('15.01'!K54,'15.01'!$AM$4:$AP$55,4,FALSE))</f>
        <v>0</v>
      </c>
      <c r="D54" s="4">
        <f>(VLOOKUP('15.01'!L54,'15.01'!$AM$4:$AP$55,4,FALSE))</f>
        <v>0</v>
      </c>
      <c r="E54" s="4">
        <f>(VLOOKUP('15.01'!M54,'15.01'!$AM$4:$AP$55,4,FALSE))</f>
        <v>0</v>
      </c>
      <c r="F54" s="4">
        <f>(VLOOKUP('15.01'!N54,'15.01'!$AM$4:$AP$55,4,FALSE))</f>
        <v>0</v>
      </c>
      <c r="G54" s="4">
        <f>(VLOOKUP('15.01'!O54,'15.01'!$AM$4:$AP$55,4,FALSE))</f>
        <v>0</v>
      </c>
      <c r="H54" s="4">
        <f>(VLOOKUP('15.01'!P54,'15.01'!$AM$4:$AP$55,4,FALSE))</f>
        <v>0</v>
      </c>
      <c r="I54" s="4">
        <f>(VLOOKUP('15.01'!Q54,'15.01'!$AM$4:$AP$55,4,FALSE))</f>
        <v>36</v>
      </c>
      <c r="J54" s="4">
        <f>(VLOOKUP('15.01'!R54,'15.01'!$AM$4:$AP$55,4,FALSE))</f>
        <v>36</v>
      </c>
      <c r="K54" s="4">
        <f>(VLOOKUP('15.01'!S54,'15.01'!$AM$4:$AP$55,4,FALSE))</f>
        <v>36</v>
      </c>
      <c r="L54" s="4">
        <f>(VLOOKUP('15.01'!T54,'15.01'!$AM$4:$AP$55,4,FALSE))</f>
        <v>36</v>
      </c>
      <c r="M54" s="4">
        <f>(VLOOKUP('15.01'!U54,'15.01'!$AM$4:$AP$55,4,FALSE))</f>
        <v>36</v>
      </c>
      <c r="N54" s="4">
        <f>(VLOOKUP('15.01'!V54,'15.01'!$AM$4:$AP$55,4,FALSE))</f>
        <v>36</v>
      </c>
      <c r="O54" s="4">
        <f>(VLOOKUP('15.01'!W54,'15.01'!$AM$4:$AP$55,4,FALSE))</f>
        <v>0</v>
      </c>
      <c r="P54" s="4">
        <f>(VLOOKUP('15.01'!X54,'15.01'!$AM$4:$AP$55,4,FALSE))</f>
        <v>0</v>
      </c>
      <c r="Q54" s="4">
        <f>(VLOOKUP('15.01'!Y54,'15.01'!$AM$4:$AP$55,4,FALSE))</f>
        <v>0</v>
      </c>
      <c r="R54" s="4">
        <f>(VLOOKUP('15.01'!Z54,'15.01'!$AM$4:$AP$55,4,FALSE))</f>
        <v>0</v>
      </c>
      <c r="S54" s="4">
        <f>(VLOOKUP('15.01'!AA54,'15.01'!$AM$4:$AP$55,4,FALSE))</f>
        <v>0</v>
      </c>
      <c r="T54" s="4">
        <f>(VLOOKUP('15.01'!AB54,'15.01'!$AM$4:$AP$55,4,FALSE))</f>
        <v>0</v>
      </c>
      <c r="U54" s="4">
        <f>(VLOOKUP('15.01'!AC54,'15.01'!$AM$4:$AP$55,4,FALSE))</f>
        <v>0</v>
      </c>
      <c r="V54" s="4">
        <f>(VLOOKUP('15.01'!AD54,'15.01'!$AM$4:$AP$55,4,FALSE))</f>
        <v>0</v>
      </c>
      <c r="W54" s="4">
        <f>(VLOOKUP('15.01'!AE54,'15.01'!$AM$4:$AP$55,4,FALSE))</f>
        <v>0</v>
      </c>
      <c r="X54" s="4">
        <f>(VLOOKUP('15.01'!AF54,'15.01'!$AM$4:$AP$55,4,FALSE))</f>
        <v>0</v>
      </c>
    </row>
    <row r="55" spans="1:24">
      <c r="A55" s="4">
        <f>(VLOOKUP('15.01'!I55,'15.01'!$AM$4:$AP$55,4,FALSE))</f>
        <v>0</v>
      </c>
      <c r="B55" s="4">
        <f>(VLOOKUP('15.01'!J55,'15.01'!$AM$4:$AP$55,4,FALSE))</f>
        <v>0</v>
      </c>
      <c r="C55" s="4">
        <f>(VLOOKUP('15.01'!K55,'15.01'!$AM$4:$AP$55,4,FALSE))</f>
        <v>0</v>
      </c>
      <c r="D55" s="4">
        <f>(VLOOKUP('15.01'!L55,'15.01'!$AM$4:$AP$55,4,FALSE))</f>
        <v>0</v>
      </c>
      <c r="E55" s="4">
        <f>(VLOOKUP('15.01'!M55,'15.01'!$AM$4:$AP$55,4,FALSE))</f>
        <v>0</v>
      </c>
      <c r="F55" s="4">
        <f>(VLOOKUP('15.01'!N55,'15.01'!$AM$4:$AP$55,4,FALSE))</f>
        <v>0</v>
      </c>
      <c r="G55" s="4">
        <f>(VLOOKUP('15.01'!O55,'15.01'!$AM$4:$AP$55,4,FALSE))</f>
        <v>0</v>
      </c>
      <c r="H55" s="4">
        <f>(VLOOKUP('15.01'!P55,'15.01'!$AM$4:$AP$55,4,FALSE))</f>
        <v>0</v>
      </c>
      <c r="I55" s="4">
        <f>(VLOOKUP('15.01'!Q55,'15.01'!$AM$4:$AP$55,4,FALSE))</f>
        <v>36</v>
      </c>
      <c r="J55" s="4">
        <f>(VLOOKUP('15.01'!R55,'15.01'!$AM$4:$AP$55,4,FALSE))</f>
        <v>36</v>
      </c>
      <c r="K55" s="4">
        <f>(VLOOKUP('15.01'!S55,'15.01'!$AM$4:$AP$55,4,FALSE))</f>
        <v>36</v>
      </c>
      <c r="L55" s="4">
        <f>(VLOOKUP('15.01'!T55,'15.01'!$AM$4:$AP$55,4,FALSE))</f>
        <v>36</v>
      </c>
      <c r="M55" s="4">
        <f>(VLOOKUP('15.01'!U55,'15.01'!$AM$4:$AP$55,4,FALSE))</f>
        <v>36</v>
      </c>
      <c r="N55" s="4">
        <f>(VLOOKUP('15.01'!V55,'15.01'!$AM$4:$AP$55,4,FALSE))</f>
        <v>36</v>
      </c>
      <c r="O55" s="4">
        <f>(VLOOKUP('15.01'!W55,'15.01'!$AM$4:$AP$55,4,FALSE))</f>
        <v>0</v>
      </c>
      <c r="P55" s="4">
        <f>(VLOOKUP('15.01'!X55,'15.01'!$AM$4:$AP$55,4,FALSE))</f>
        <v>0</v>
      </c>
      <c r="Q55" s="4">
        <f>(VLOOKUP('15.01'!Y55,'15.01'!$AM$4:$AP$55,4,FALSE))</f>
        <v>0</v>
      </c>
      <c r="R55" s="4">
        <f>(VLOOKUP('15.01'!Z55,'15.01'!$AM$4:$AP$55,4,FALSE))</f>
        <v>0</v>
      </c>
      <c r="S55" s="4">
        <f>(VLOOKUP('15.01'!AA55,'15.01'!$AM$4:$AP$55,4,FALSE))</f>
        <v>0</v>
      </c>
      <c r="T55" s="4">
        <f>(VLOOKUP('15.01'!AB55,'15.01'!$AM$4:$AP$55,4,FALSE))</f>
        <v>0</v>
      </c>
      <c r="U55" s="4">
        <f>(VLOOKUP('15.01'!AC55,'15.01'!$AM$4:$AP$55,4,FALSE))</f>
        <v>0</v>
      </c>
      <c r="V55" s="4">
        <f>(VLOOKUP('15.01'!AD55,'15.01'!$AM$4:$AP$55,4,FALSE))</f>
        <v>0</v>
      </c>
      <c r="W55" s="4">
        <f>(VLOOKUP('15.01'!AE55,'15.01'!$AM$4:$AP$55,4,FALSE))</f>
        <v>0</v>
      </c>
      <c r="X55" s="4">
        <f>(VLOOKUP('15.01'!AF55,'15.01'!$AM$4:$AP$55,4,FALSE))</f>
        <v>0</v>
      </c>
    </row>
    <row r="56" spans="1:24">
      <c r="A56" s="4">
        <f>(VLOOKUP('15.01'!I56,'15.01'!$AM$4:$AP$55,4,FALSE))</f>
        <v>0</v>
      </c>
      <c r="B56" s="4">
        <f>(VLOOKUP('15.01'!J56,'15.01'!$AM$4:$AP$55,4,FALSE))</f>
        <v>0</v>
      </c>
      <c r="C56" s="4">
        <f>(VLOOKUP('15.01'!K56,'15.01'!$AM$4:$AP$55,4,FALSE))</f>
        <v>0</v>
      </c>
      <c r="D56" s="4">
        <f>(VLOOKUP('15.01'!L56,'15.01'!$AM$4:$AP$55,4,FALSE))</f>
        <v>0</v>
      </c>
      <c r="E56" s="4">
        <f>(VLOOKUP('15.01'!M56,'15.01'!$AM$4:$AP$55,4,FALSE))</f>
        <v>0</v>
      </c>
      <c r="F56" s="4">
        <f>(VLOOKUP('15.01'!N56,'15.01'!$AM$4:$AP$55,4,FALSE))</f>
        <v>0</v>
      </c>
      <c r="G56" s="4">
        <f>(VLOOKUP('15.01'!O56,'15.01'!$AM$4:$AP$55,4,FALSE))</f>
        <v>0</v>
      </c>
      <c r="H56" s="4">
        <f>(VLOOKUP('15.01'!P56,'15.01'!$AM$4:$AP$55,4,FALSE))</f>
        <v>0</v>
      </c>
      <c r="I56" s="4">
        <f>(VLOOKUP('15.01'!Q56,'15.01'!$AM$4:$AP$55,4,FALSE))</f>
        <v>36</v>
      </c>
      <c r="J56" s="4">
        <f>(VLOOKUP('15.01'!R56,'15.01'!$AM$4:$AP$55,4,FALSE))</f>
        <v>36</v>
      </c>
      <c r="K56" s="4">
        <f>(VLOOKUP('15.01'!S56,'15.01'!$AM$4:$AP$55,4,FALSE))</f>
        <v>36</v>
      </c>
      <c r="L56" s="4">
        <f>(VLOOKUP('15.01'!T56,'15.01'!$AM$4:$AP$55,4,FALSE))</f>
        <v>10</v>
      </c>
      <c r="M56" s="4">
        <f>(VLOOKUP('15.01'!U56,'15.01'!$AM$4:$AP$55,4,FALSE))</f>
        <v>36</v>
      </c>
      <c r="N56" s="4">
        <f>(VLOOKUP('15.01'!V56,'15.01'!$AM$4:$AP$55,4,FALSE))</f>
        <v>36</v>
      </c>
      <c r="O56" s="4">
        <f>(VLOOKUP('15.01'!W56,'15.01'!$AM$4:$AP$55,4,FALSE))</f>
        <v>0</v>
      </c>
      <c r="P56" s="4">
        <f>(VLOOKUP('15.01'!X56,'15.01'!$AM$4:$AP$55,4,FALSE))</f>
        <v>0</v>
      </c>
      <c r="Q56" s="4">
        <f>(VLOOKUP('15.01'!Y56,'15.01'!$AM$4:$AP$55,4,FALSE))</f>
        <v>0</v>
      </c>
      <c r="R56" s="4">
        <f>(VLOOKUP('15.01'!Z56,'15.01'!$AM$4:$AP$55,4,FALSE))</f>
        <v>0</v>
      </c>
      <c r="S56" s="4">
        <f>(VLOOKUP('15.01'!AA56,'15.01'!$AM$4:$AP$55,4,FALSE))</f>
        <v>0</v>
      </c>
      <c r="T56" s="4">
        <f>(VLOOKUP('15.01'!AB56,'15.01'!$AM$4:$AP$55,4,FALSE))</f>
        <v>0</v>
      </c>
      <c r="U56" s="4">
        <f>(VLOOKUP('15.01'!AC56,'15.01'!$AM$4:$AP$55,4,FALSE))</f>
        <v>0</v>
      </c>
      <c r="V56" s="4">
        <f>(VLOOKUP('15.01'!AD56,'15.01'!$AM$4:$AP$55,4,FALSE))</f>
        <v>0</v>
      </c>
      <c r="W56" s="4">
        <f>(VLOOKUP('15.01'!AE56,'15.01'!$AM$4:$AP$55,4,FALSE))</f>
        <v>0</v>
      </c>
      <c r="X56" s="4">
        <f>(VLOOKUP('15.01'!AF56,'15.01'!$AM$4:$AP$55,4,FALSE))</f>
        <v>0</v>
      </c>
    </row>
    <row r="57" spans="1:24">
      <c r="A57" s="4">
        <f>(VLOOKUP('15.01'!I57,'15.01'!$AM$4:$AP$55,4,FALSE))</f>
        <v>0</v>
      </c>
      <c r="B57" s="4">
        <f>(VLOOKUP('15.01'!J57,'15.01'!$AM$4:$AP$55,4,FALSE))</f>
        <v>0</v>
      </c>
      <c r="C57" s="4">
        <f>(VLOOKUP('15.01'!K57,'15.01'!$AM$4:$AP$55,4,FALSE))</f>
        <v>0</v>
      </c>
      <c r="D57" s="4">
        <f>(VLOOKUP('15.01'!L57,'15.01'!$AM$4:$AP$55,4,FALSE))</f>
        <v>0</v>
      </c>
      <c r="E57" s="4">
        <f>(VLOOKUP('15.01'!M57,'15.01'!$AM$4:$AP$55,4,FALSE))</f>
        <v>0</v>
      </c>
      <c r="F57" s="4">
        <f>(VLOOKUP('15.01'!N57,'15.01'!$AM$4:$AP$55,4,FALSE))</f>
        <v>0</v>
      </c>
      <c r="G57" s="4">
        <f>(VLOOKUP('15.01'!O57,'15.01'!$AM$4:$AP$55,4,FALSE))</f>
        <v>0</v>
      </c>
      <c r="H57" s="4">
        <f>(VLOOKUP('15.01'!P57,'15.01'!$AM$4:$AP$55,4,FALSE))</f>
        <v>0</v>
      </c>
      <c r="I57" s="4">
        <f>(VLOOKUP('15.01'!Q57,'15.01'!$AM$4:$AP$55,4,FALSE))</f>
        <v>36</v>
      </c>
      <c r="J57" s="4">
        <f>(VLOOKUP('15.01'!R57,'15.01'!$AM$4:$AP$55,4,FALSE))</f>
        <v>36</v>
      </c>
      <c r="K57" s="4">
        <f>(VLOOKUP('15.01'!S57,'15.01'!$AM$4:$AP$55,4,FALSE))</f>
        <v>36</v>
      </c>
      <c r="L57" s="4">
        <f>(VLOOKUP('15.01'!T57,'15.01'!$AM$4:$AP$55,4,FALSE))</f>
        <v>36</v>
      </c>
      <c r="M57" s="4">
        <f>(VLOOKUP('15.01'!U57,'15.01'!$AM$4:$AP$55,4,FALSE))</f>
        <v>36</v>
      </c>
      <c r="N57" s="4">
        <f>(VLOOKUP('15.01'!V57,'15.01'!$AM$4:$AP$55,4,FALSE))</f>
        <v>36</v>
      </c>
      <c r="O57" s="4">
        <f>(VLOOKUP('15.01'!W57,'15.01'!$AM$4:$AP$55,4,FALSE))</f>
        <v>0</v>
      </c>
      <c r="P57" s="4">
        <f>(VLOOKUP('15.01'!X57,'15.01'!$AM$4:$AP$55,4,FALSE))</f>
        <v>0</v>
      </c>
      <c r="Q57" s="4">
        <f>(VLOOKUP('15.01'!Y57,'15.01'!$AM$4:$AP$55,4,FALSE))</f>
        <v>0</v>
      </c>
      <c r="R57" s="4">
        <f>(VLOOKUP('15.01'!Z57,'15.01'!$AM$4:$AP$55,4,FALSE))</f>
        <v>0</v>
      </c>
      <c r="S57" s="4">
        <f>(VLOOKUP('15.01'!AA57,'15.01'!$AM$4:$AP$55,4,FALSE))</f>
        <v>0</v>
      </c>
      <c r="T57" s="4">
        <f>(VLOOKUP('15.01'!AB57,'15.01'!$AM$4:$AP$55,4,FALSE))</f>
        <v>0</v>
      </c>
      <c r="U57" s="4">
        <f>(VLOOKUP('15.01'!AC57,'15.01'!$AM$4:$AP$55,4,FALSE))</f>
        <v>0</v>
      </c>
      <c r="V57" s="4">
        <f>(VLOOKUP('15.01'!AD57,'15.01'!$AM$4:$AP$55,4,FALSE))</f>
        <v>0</v>
      </c>
      <c r="W57" s="4">
        <f>(VLOOKUP('15.01'!AE57,'15.01'!$AM$4:$AP$55,4,FALSE))</f>
        <v>0</v>
      </c>
      <c r="X57" s="4">
        <f>(VLOOKUP('15.01'!AF57,'15.01'!$AM$4:$AP$55,4,FALSE))</f>
        <v>0</v>
      </c>
    </row>
    <row r="58" spans="1:24">
      <c r="A58" s="4">
        <f>(VLOOKUP('15.01'!I58,'15.01'!$AM$4:$AP$55,4,FALSE))</f>
        <v>0</v>
      </c>
      <c r="B58" s="4">
        <f>(VLOOKUP('15.01'!J58,'15.01'!$AM$4:$AP$55,4,FALSE))</f>
        <v>0</v>
      </c>
      <c r="C58" s="4">
        <f>(VLOOKUP('15.01'!K58,'15.01'!$AM$4:$AP$55,4,FALSE))</f>
        <v>0</v>
      </c>
      <c r="D58" s="4">
        <f>(VLOOKUP('15.01'!L58,'15.01'!$AM$4:$AP$55,4,FALSE))</f>
        <v>0</v>
      </c>
      <c r="E58" s="4">
        <f>(VLOOKUP('15.01'!M58,'15.01'!$AM$4:$AP$55,4,FALSE))</f>
        <v>0</v>
      </c>
      <c r="F58" s="4">
        <f>(VLOOKUP('15.01'!N58,'15.01'!$AM$4:$AP$55,4,FALSE))</f>
        <v>0</v>
      </c>
      <c r="G58" s="4">
        <f>(VLOOKUP('15.01'!O58,'15.01'!$AM$4:$AP$55,4,FALSE))</f>
        <v>0</v>
      </c>
      <c r="H58" s="4">
        <f>(VLOOKUP('15.01'!P58,'15.01'!$AM$4:$AP$55,4,FALSE))</f>
        <v>0</v>
      </c>
      <c r="I58" s="4">
        <f>(VLOOKUP('15.01'!Q58,'15.01'!$AM$4:$AP$55,4,FALSE))</f>
        <v>36</v>
      </c>
      <c r="J58" s="4">
        <f>(VLOOKUP('15.01'!R58,'15.01'!$AM$4:$AP$55,4,FALSE))</f>
        <v>36</v>
      </c>
      <c r="K58" s="4">
        <f>(VLOOKUP('15.01'!S58,'15.01'!$AM$4:$AP$55,4,FALSE))</f>
        <v>36</v>
      </c>
      <c r="L58" s="4">
        <f>(VLOOKUP('15.01'!T58,'15.01'!$AM$4:$AP$55,4,FALSE))</f>
        <v>36</v>
      </c>
      <c r="M58" s="4">
        <f>(VLOOKUP('15.01'!U58,'15.01'!$AM$4:$AP$55,4,FALSE))</f>
        <v>36</v>
      </c>
      <c r="N58" s="4">
        <f>(VLOOKUP('15.01'!V58,'15.01'!$AM$4:$AP$55,4,FALSE))</f>
        <v>36</v>
      </c>
      <c r="O58" s="4">
        <f>(VLOOKUP('15.01'!W58,'15.01'!$AM$4:$AP$55,4,FALSE))</f>
        <v>0</v>
      </c>
      <c r="P58" s="4">
        <f>(VLOOKUP('15.01'!X58,'15.01'!$AM$4:$AP$55,4,FALSE))</f>
        <v>0</v>
      </c>
      <c r="Q58" s="4">
        <f>(VLOOKUP('15.01'!Y58,'15.01'!$AM$4:$AP$55,4,FALSE))</f>
        <v>0</v>
      </c>
      <c r="R58" s="4">
        <f>(VLOOKUP('15.01'!Z58,'15.01'!$AM$4:$AP$55,4,FALSE))</f>
        <v>0</v>
      </c>
      <c r="S58" s="4">
        <f>(VLOOKUP('15.01'!AA58,'15.01'!$AM$4:$AP$55,4,FALSE))</f>
        <v>0</v>
      </c>
      <c r="T58" s="4">
        <f>(VLOOKUP('15.01'!AB58,'15.01'!$AM$4:$AP$55,4,FALSE))</f>
        <v>0</v>
      </c>
      <c r="U58" s="4">
        <f>(VLOOKUP('15.01'!AC58,'15.01'!$AM$4:$AP$55,4,FALSE))</f>
        <v>0</v>
      </c>
      <c r="V58" s="4">
        <f>(VLOOKUP('15.01'!AD58,'15.01'!$AM$4:$AP$55,4,FALSE))</f>
        <v>0</v>
      </c>
      <c r="W58" s="4">
        <f>(VLOOKUP('15.01'!AE58,'15.01'!$AM$4:$AP$55,4,FALSE))</f>
        <v>0</v>
      </c>
      <c r="X58" s="4">
        <f>(VLOOKUP('15.01'!AF58,'15.01'!$AM$4:$AP$55,4,FALSE))</f>
        <v>0</v>
      </c>
    </row>
    <row r="59" spans="1:24">
      <c r="A59" s="4">
        <f>(VLOOKUP('15.01'!I59,'15.01'!$AM$4:$AP$55,4,FALSE))</f>
        <v>0</v>
      </c>
      <c r="B59" s="4">
        <f>(VLOOKUP('15.01'!J59,'15.01'!$AM$4:$AP$55,4,FALSE))</f>
        <v>0</v>
      </c>
      <c r="C59" s="4">
        <f>(VLOOKUP('15.01'!K59,'15.01'!$AM$4:$AP$55,4,FALSE))</f>
        <v>0</v>
      </c>
      <c r="D59" s="4">
        <f>(VLOOKUP('15.01'!L59,'15.01'!$AM$4:$AP$55,4,FALSE))</f>
        <v>0</v>
      </c>
      <c r="E59" s="4">
        <f>(VLOOKUP('15.01'!M59,'15.01'!$AM$4:$AP$55,4,FALSE))</f>
        <v>0</v>
      </c>
      <c r="F59" s="4">
        <f>(VLOOKUP('15.01'!N59,'15.01'!$AM$4:$AP$55,4,FALSE))</f>
        <v>0</v>
      </c>
      <c r="G59" s="4">
        <f>(VLOOKUP('15.01'!O59,'15.01'!$AM$4:$AP$55,4,FALSE))</f>
        <v>0</v>
      </c>
      <c r="H59" s="4">
        <f>(VLOOKUP('15.01'!P59,'15.01'!$AM$4:$AP$55,4,FALSE))</f>
        <v>0</v>
      </c>
      <c r="I59" s="4">
        <f>(VLOOKUP('15.01'!Q59,'15.01'!$AM$4:$AP$55,4,FALSE))</f>
        <v>36</v>
      </c>
      <c r="J59" s="4">
        <f>(VLOOKUP('15.01'!R59,'15.01'!$AM$4:$AP$55,4,FALSE))</f>
        <v>36</v>
      </c>
      <c r="K59" s="4">
        <f>(VLOOKUP('15.01'!S59,'15.01'!$AM$4:$AP$55,4,FALSE))</f>
        <v>36</v>
      </c>
      <c r="L59" s="4">
        <f>(VLOOKUP('15.01'!T59,'15.01'!$AM$4:$AP$55,4,FALSE))</f>
        <v>36</v>
      </c>
      <c r="M59" s="4">
        <f>(VLOOKUP('15.01'!U59,'15.01'!$AM$4:$AP$55,4,FALSE))</f>
        <v>36</v>
      </c>
      <c r="N59" s="4">
        <f>(VLOOKUP('15.01'!V59,'15.01'!$AM$4:$AP$55,4,FALSE))</f>
        <v>36</v>
      </c>
      <c r="O59" s="4">
        <f>(VLOOKUP('15.01'!W59,'15.01'!$AM$4:$AP$55,4,FALSE))</f>
        <v>0</v>
      </c>
      <c r="P59" s="4">
        <f>(VLOOKUP('15.01'!X59,'15.01'!$AM$4:$AP$55,4,FALSE))</f>
        <v>0</v>
      </c>
      <c r="Q59" s="4">
        <f>(VLOOKUP('15.01'!Y59,'15.01'!$AM$4:$AP$55,4,FALSE))</f>
        <v>0</v>
      </c>
      <c r="R59" s="4">
        <f>(VLOOKUP('15.01'!Z59,'15.01'!$AM$4:$AP$55,4,FALSE))</f>
        <v>0</v>
      </c>
      <c r="S59" s="4">
        <f>(VLOOKUP('15.01'!AA59,'15.01'!$AM$4:$AP$55,4,FALSE))</f>
        <v>0</v>
      </c>
      <c r="T59" s="4">
        <f>(VLOOKUP('15.01'!AB59,'15.01'!$AM$4:$AP$55,4,FALSE))</f>
        <v>0</v>
      </c>
      <c r="U59" s="4">
        <f>(VLOOKUP('15.01'!AC59,'15.01'!$AM$4:$AP$55,4,FALSE))</f>
        <v>0</v>
      </c>
      <c r="V59" s="4">
        <f>(VLOOKUP('15.01'!AD59,'15.01'!$AM$4:$AP$55,4,FALSE))</f>
        <v>0</v>
      </c>
      <c r="W59" s="4">
        <f>(VLOOKUP('15.01'!AE59,'15.01'!$AM$4:$AP$55,4,FALSE))</f>
        <v>0</v>
      </c>
      <c r="X59" s="4">
        <f>(VLOOKUP('15.01'!AF59,'15.01'!$AM$4:$AP$55,4,FALSE))</f>
        <v>0</v>
      </c>
    </row>
    <row r="60" spans="1:24">
      <c r="A60" s="4">
        <f>(VLOOKUP('15.01'!I60,'15.01'!$AM$4:$AP$55,4,FALSE))</f>
        <v>0</v>
      </c>
      <c r="B60" s="4">
        <f>(VLOOKUP('15.01'!J60,'15.01'!$AM$4:$AP$55,4,FALSE))</f>
        <v>0</v>
      </c>
      <c r="C60" s="4">
        <f>(VLOOKUP('15.01'!K60,'15.01'!$AM$4:$AP$55,4,FALSE))</f>
        <v>0</v>
      </c>
      <c r="D60" s="4">
        <f>(VLOOKUP('15.01'!L60,'15.01'!$AM$4:$AP$55,4,FALSE))</f>
        <v>0</v>
      </c>
      <c r="E60" s="4">
        <f>(VLOOKUP('15.01'!M60,'15.01'!$AM$4:$AP$55,4,FALSE))</f>
        <v>0</v>
      </c>
      <c r="F60" s="4">
        <f>(VLOOKUP('15.01'!N60,'15.01'!$AM$4:$AP$55,4,FALSE))</f>
        <v>0</v>
      </c>
      <c r="G60" s="4">
        <f>(VLOOKUP('15.01'!O60,'15.01'!$AM$4:$AP$55,4,FALSE))</f>
        <v>0</v>
      </c>
      <c r="H60" s="4">
        <f>(VLOOKUP('15.01'!P60,'15.01'!$AM$4:$AP$55,4,FALSE))</f>
        <v>0</v>
      </c>
      <c r="I60" s="4">
        <f>(VLOOKUP('15.01'!Q60,'15.01'!$AM$4:$AP$55,4,FALSE))</f>
        <v>36</v>
      </c>
      <c r="J60" s="4">
        <f>(VLOOKUP('15.01'!R60,'15.01'!$AM$4:$AP$55,4,FALSE))</f>
        <v>36</v>
      </c>
      <c r="K60" s="4">
        <f>(VLOOKUP('15.01'!S60,'15.01'!$AM$4:$AP$55,4,FALSE))</f>
        <v>36</v>
      </c>
      <c r="L60" s="4">
        <f>(VLOOKUP('15.01'!T60,'15.01'!$AM$4:$AP$55,4,FALSE))</f>
        <v>36</v>
      </c>
      <c r="M60" s="4">
        <f>(VLOOKUP('15.01'!U60,'15.01'!$AM$4:$AP$55,4,FALSE))</f>
        <v>36</v>
      </c>
      <c r="N60" s="4">
        <f>(VLOOKUP('15.01'!V60,'15.01'!$AM$4:$AP$55,4,FALSE))</f>
        <v>36</v>
      </c>
      <c r="O60" s="4">
        <f>(VLOOKUP('15.01'!W60,'15.01'!$AM$4:$AP$55,4,FALSE))</f>
        <v>0</v>
      </c>
      <c r="P60" s="4">
        <f>(VLOOKUP('15.01'!X60,'15.01'!$AM$4:$AP$55,4,FALSE))</f>
        <v>0</v>
      </c>
      <c r="Q60" s="4">
        <f>(VLOOKUP('15.01'!Y60,'15.01'!$AM$4:$AP$55,4,FALSE))</f>
        <v>0</v>
      </c>
      <c r="R60" s="4">
        <f>(VLOOKUP('15.01'!Z60,'15.01'!$AM$4:$AP$55,4,FALSE))</f>
        <v>0</v>
      </c>
      <c r="S60" s="4">
        <f>(VLOOKUP('15.01'!AA60,'15.01'!$AM$4:$AP$55,4,FALSE))</f>
        <v>0</v>
      </c>
      <c r="T60" s="4">
        <f>(VLOOKUP('15.01'!AB60,'15.01'!$AM$4:$AP$55,4,FALSE))</f>
        <v>44.222109392472248</v>
      </c>
      <c r="U60" s="4">
        <f>(VLOOKUP('15.01'!AC60,'15.01'!$AM$4:$AP$55,4,FALSE))</f>
        <v>34</v>
      </c>
      <c r="V60" s="4">
        <f>(VLOOKUP('15.01'!AD60,'15.01'!$AM$4:$AP$55,4,FALSE))</f>
        <v>34</v>
      </c>
      <c r="W60" s="4">
        <f>(VLOOKUP('15.01'!AE60,'15.01'!$AM$4:$AP$55,4,FALSE))</f>
        <v>0</v>
      </c>
      <c r="X60" s="4">
        <f>(VLOOKUP('15.01'!AF60,'15.01'!$AM$4:$AP$55,4,FALSE))</f>
        <v>0</v>
      </c>
    </row>
    <row r="61" spans="1:24">
      <c r="A61" s="4">
        <f>(VLOOKUP('15.01'!I61,'15.01'!$AM$4:$AP$55,4,FALSE))</f>
        <v>0</v>
      </c>
      <c r="B61" s="4">
        <f>(VLOOKUP('15.01'!J61,'15.01'!$AM$4:$AP$55,4,FALSE))</f>
        <v>0</v>
      </c>
      <c r="C61" s="4">
        <f>(VLOOKUP('15.01'!K61,'15.01'!$AM$4:$AP$55,4,FALSE))</f>
        <v>0</v>
      </c>
      <c r="D61" s="4">
        <f>(VLOOKUP('15.01'!L61,'15.01'!$AM$4:$AP$55,4,FALSE))</f>
        <v>0</v>
      </c>
      <c r="E61" s="4">
        <f>(VLOOKUP('15.01'!M61,'15.01'!$AM$4:$AP$55,4,FALSE))</f>
        <v>0</v>
      </c>
      <c r="F61" s="4">
        <f>(VLOOKUP('15.01'!N61,'15.01'!$AM$4:$AP$55,4,FALSE))</f>
        <v>0</v>
      </c>
      <c r="G61" s="4">
        <f>(VLOOKUP('15.01'!O61,'15.01'!$AM$4:$AP$55,4,FALSE))</f>
        <v>0</v>
      </c>
      <c r="H61" s="4">
        <f>(VLOOKUP('15.01'!P61,'15.01'!$AM$4:$AP$55,4,FALSE))</f>
        <v>0</v>
      </c>
      <c r="I61" s="4">
        <f>(VLOOKUP('15.01'!Q61,'15.01'!$AM$4:$AP$55,4,FALSE))</f>
        <v>36</v>
      </c>
      <c r="J61" s="4">
        <f>(VLOOKUP('15.01'!R61,'15.01'!$AM$4:$AP$55,4,FALSE))</f>
        <v>36</v>
      </c>
      <c r="K61" s="4">
        <f>(VLOOKUP('15.01'!S61,'15.01'!$AM$4:$AP$55,4,FALSE))</f>
        <v>36</v>
      </c>
      <c r="L61" s="4">
        <f>(VLOOKUP('15.01'!T61,'15.01'!$AM$4:$AP$55,4,FALSE))</f>
        <v>36</v>
      </c>
      <c r="M61" s="4">
        <f>(VLOOKUP('15.01'!U61,'15.01'!$AM$4:$AP$55,4,FALSE))</f>
        <v>36</v>
      </c>
      <c r="N61" s="4">
        <f>(VLOOKUP('15.01'!V61,'15.01'!$AM$4:$AP$55,4,FALSE))</f>
        <v>34</v>
      </c>
      <c r="O61" s="4">
        <f>(VLOOKUP('15.01'!W61,'15.01'!$AM$4:$AP$55,4,FALSE))</f>
        <v>0</v>
      </c>
      <c r="P61" s="4">
        <f>(VLOOKUP('15.01'!X61,'15.01'!$AM$4:$AP$55,4,FALSE))</f>
        <v>0</v>
      </c>
      <c r="Q61" s="4">
        <f>(VLOOKUP('15.01'!Y61,'15.01'!$AM$4:$AP$55,4,FALSE))</f>
        <v>34</v>
      </c>
      <c r="R61" s="4">
        <f>(VLOOKUP('15.01'!Z61,'15.01'!$AM$4:$AP$55,4,FALSE))</f>
        <v>13.999854933178597</v>
      </c>
      <c r="S61" s="4">
        <f>(VLOOKUP('15.01'!AA61,'15.01'!$AM$4:$AP$55,4,FALSE))</f>
        <v>0</v>
      </c>
      <c r="T61" s="4">
        <f>(VLOOKUP('15.01'!AB61,'15.01'!$AM$4:$AP$55,4,FALSE))</f>
        <v>0</v>
      </c>
      <c r="U61" s="4">
        <f>(VLOOKUP('15.01'!AC61,'15.01'!$AM$4:$AP$55,4,FALSE))</f>
        <v>0</v>
      </c>
      <c r="V61" s="4">
        <f>(VLOOKUP('15.01'!AD61,'15.01'!$AM$4:$AP$55,4,FALSE))</f>
        <v>0</v>
      </c>
      <c r="W61" s="4">
        <f>(VLOOKUP('15.01'!AE61,'15.01'!$AM$4:$AP$55,4,FALSE))</f>
        <v>0</v>
      </c>
      <c r="X61" s="4">
        <f>(VLOOKUP('15.01'!AF61,'15.01'!$AM$4:$AP$55,4,FALSE))</f>
        <v>0</v>
      </c>
    </row>
    <row r="62" spans="1:24">
      <c r="A62" s="4">
        <f>(VLOOKUP('15.01'!I62,'15.01'!$AM$4:$AP$55,4,FALSE))</f>
        <v>0</v>
      </c>
      <c r="B62" s="4">
        <f>(VLOOKUP('15.01'!J62,'15.01'!$AM$4:$AP$55,4,FALSE))</f>
        <v>0</v>
      </c>
      <c r="C62" s="4">
        <f>(VLOOKUP('15.01'!K62,'15.01'!$AM$4:$AP$55,4,FALSE))</f>
        <v>0</v>
      </c>
      <c r="D62" s="4">
        <f>(VLOOKUP('15.01'!L62,'15.01'!$AM$4:$AP$55,4,FALSE))</f>
        <v>0</v>
      </c>
      <c r="E62" s="4">
        <f>(VLOOKUP('15.01'!M62,'15.01'!$AM$4:$AP$55,4,FALSE))</f>
        <v>0</v>
      </c>
      <c r="F62" s="4">
        <f>(VLOOKUP('15.01'!N62,'15.01'!$AM$4:$AP$55,4,FALSE))</f>
        <v>0</v>
      </c>
      <c r="G62" s="4">
        <f>(VLOOKUP('15.01'!O62,'15.01'!$AM$4:$AP$55,4,FALSE))</f>
        <v>0</v>
      </c>
      <c r="H62" s="4">
        <f>(VLOOKUP('15.01'!P62,'15.01'!$AM$4:$AP$55,4,FALSE))</f>
        <v>0</v>
      </c>
      <c r="I62" s="4">
        <f>(VLOOKUP('15.01'!Q62,'15.01'!$AM$4:$AP$55,4,FALSE))</f>
        <v>34</v>
      </c>
      <c r="J62" s="4">
        <f>(VLOOKUP('15.01'!R62,'15.01'!$AM$4:$AP$55,4,FALSE))</f>
        <v>34</v>
      </c>
      <c r="K62" s="4">
        <f>(VLOOKUP('15.01'!S62,'15.01'!$AM$4:$AP$55,4,FALSE))</f>
        <v>34</v>
      </c>
      <c r="L62" s="4">
        <f>(VLOOKUP('15.01'!T62,'15.01'!$AM$4:$AP$55,4,FALSE))</f>
        <v>34</v>
      </c>
      <c r="M62" s="4">
        <f>(VLOOKUP('15.01'!U62,'15.01'!$AM$4:$AP$55,4,FALSE))</f>
        <v>34</v>
      </c>
      <c r="N62" s="4">
        <f>(VLOOKUP('15.01'!V62,'15.01'!$AM$4:$AP$55,4,FALSE))</f>
        <v>34</v>
      </c>
      <c r="O62" s="4">
        <f>(VLOOKUP('15.01'!W62,'15.01'!$AM$4:$AP$55,4,FALSE))</f>
        <v>0</v>
      </c>
      <c r="P62" s="4">
        <f>(VLOOKUP('15.01'!X62,'15.01'!$AM$4:$AP$55,4,FALSE))</f>
        <v>0</v>
      </c>
      <c r="Q62" s="4">
        <f>(VLOOKUP('15.01'!Y62,'15.01'!$AM$4:$AP$55,4,FALSE))</f>
        <v>0</v>
      </c>
      <c r="R62" s="4">
        <f>(VLOOKUP('15.01'!Z62,'15.01'!$AM$4:$AP$55,4,FALSE))</f>
        <v>0</v>
      </c>
      <c r="S62" s="4">
        <f>(VLOOKUP('15.01'!AA62,'15.01'!$AM$4:$AP$55,4,FALSE))</f>
        <v>0</v>
      </c>
      <c r="T62" s="4">
        <f>(VLOOKUP('15.01'!AB62,'15.01'!$AM$4:$AP$55,4,FALSE))</f>
        <v>0</v>
      </c>
      <c r="U62" s="4">
        <f>(VLOOKUP('15.01'!AC62,'15.01'!$AM$4:$AP$55,4,FALSE))</f>
        <v>0</v>
      </c>
      <c r="V62" s="4">
        <f>(VLOOKUP('15.01'!AD62,'15.01'!$AM$4:$AP$55,4,FALSE))</f>
        <v>0</v>
      </c>
      <c r="W62" s="4">
        <f>(VLOOKUP('15.01'!AE62,'15.01'!$AM$4:$AP$55,4,FALSE))</f>
        <v>0</v>
      </c>
      <c r="X62" s="4">
        <f>(VLOOKUP('15.01'!AF62,'15.01'!$AM$4:$AP$55,4,FALSE))</f>
        <v>0</v>
      </c>
    </row>
    <row r="63" spans="1:24">
      <c r="A63" s="4">
        <f>(VLOOKUP('15.01'!I63,'15.01'!$AM$4:$AP$55,4,FALSE))</f>
        <v>0</v>
      </c>
      <c r="B63" s="4">
        <f>(VLOOKUP('15.01'!J63,'15.01'!$AM$4:$AP$55,4,FALSE))</f>
        <v>0</v>
      </c>
      <c r="C63" s="4">
        <f>(VLOOKUP('15.01'!K63,'15.01'!$AM$4:$AP$55,4,FALSE))</f>
        <v>0</v>
      </c>
      <c r="D63" s="4">
        <f>(VLOOKUP('15.01'!L63,'15.01'!$AM$4:$AP$55,4,FALSE))</f>
        <v>0</v>
      </c>
      <c r="E63" s="4">
        <f>(VLOOKUP('15.01'!M63,'15.01'!$AM$4:$AP$55,4,FALSE))</f>
        <v>0</v>
      </c>
      <c r="F63" s="4">
        <f>(VLOOKUP('15.01'!N63,'15.01'!$AM$4:$AP$55,4,FALSE))</f>
        <v>0</v>
      </c>
      <c r="G63" s="4">
        <f>(VLOOKUP('15.01'!O63,'15.01'!$AM$4:$AP$55,4,FALSE))</f>
        <v>0</v>
      </c>
      <c r="H63" s="4">
        <f>(VLOOKUP('15.01'!P63,'15.01'!$AM$4:$AP$55,4,FALSE))</f>
        <v>0</v>
      </c>
      <c r="I63" s="4">
        <f>(VLOOKUP('15.01'!Q63,'15.01'!$AM$4:$AP$55,4,FALSE))</f>
        <v>34</v>
      </c>
      <c r="J63" s="4">
        <f>(VLOOKUP('15.01'!R63,'15.01'!$AM$4:$AP$55,4,FALSE))</f>
        <v>34</v>
      </c>
      <c r="K63" s="4">
        <f>(VLOOKUP('15.01'!S63,'15.01'!$AM$4:$AP$55,4,FALSE))</f>
        <v>34</v>
      </c>
      <c r="L63" s="4">
        <f>(VLOOKUP('15.01'!T63,'15.01'!$AM$4:$AP$55,4,FALSE))</f>
        <v>34</v>
      </c>
      <c r="M63" s="4">
        <f>(VLOOKUP('15.01'!U63,'15.01'!$AM$4:$AP$55,4,FALSE))</f>
        <v>34</v>
      </c>
      <c r="N63" s="4">
        <f>(VLOOKUP('15.01'!V63,'15.01'!$AM$4:$AP$55,4,FALSE))</f>
        <v>34</v>
      </c>
      <c r="O63" s="4">
        <f>(VLOOKUP('15.01'!W63,'15.01'!$AM$4:$AP$55,4,FALSE))</f>
        <v>0</v>
      </c>
      <c r="P63" s="4">
        <f>(VLOOKUP('15.01'!X63,'15.01'!$AM$4:$AP$55,4,FALSE))</f>
        <v>0</v>
      </c>
      <c r="Q63" s="4">
        <f>(VLOOKUP('15.01'!Y63,'15.01'!$AM$4:$AP$55,4,FALSE))</f>
        <v>0</v>
      </c>
      <c r="R63" s="4">
        <f>(VLOOKUP('15.01'!Z63,'15.01'!$AM$4:$AP$55,4,FALSE))</f>
        <v>0</v>
      </c>
      <c r="S63" s="4">
        <f>(VLOOKUP('15.01'!AA63,'15.01'!$AM$4:$AP$55,4,FALSE))</f>
        <v>0</v>
      </c>
      <c r="T63" s="4">
        <f>(VLOOKUP('15.01'!AB63,'15.01'!$AM$4:$AP$55,4,FALSE))</f>
        <v>0</v>
      </c>
      <c r="U63" s="4">
        <f>(VLOOKUP('15.01'!AC63,'15.01'!$AM$4:$AP$55,4,FALSE))</f>
        <v>0</v>
      </c>
      <c r="V63" s="4">
        <f>(VLOOKUP('15.01'!AD63,'15.01'!$AM$4:$AP$55,4,FALSE))</f>
        <v>0</v>
      </c>
      <c r="W63" s="4">
        <f>(VLOOKUP('15.01'!AE63,'15.01'!$AM$4:$AP$55,4,FALSE))</f>
        <v>0</v>
      </c>
      <c r="X63" s="4">
        <f>(VLOOKUP('15.01'!AF63,'15.01'!$AM$4:$AP$55,4,FALSE))</f>
        <v>0</v>
      </c>
    </row>
    <row r="64" spans="1:24">
      <c r="A64" s="4">
        <f>(VLOOKUP('15.01'!I64,'15.01'!$AM$4:$AP$55,4,FALSE))</f>
        <v>0</v>
      </c>
      <c r="B64" s="4">
        <f>(VLOOKUP('15.01'!J64,'15.01'!$AM$4:$AP$55,4,FALSE))</f>
        <v>0</v>
      </c>
      <c r="C64" s="4">
        <f>(VLOOKUP('15.01'!K64,'15.01'!$AM$4:$AP$55,4,FALSE))</f>
        <v>0</v>
      </c>
      <c r="D64" s="4">
        <f>(VLOOKUP('15.01'!L64,'15.01'!$AM$4:$AP$55,4,FALSE))</f>
        <v>0</v>
      </c>
      <c r="E64" s="4">
        <f>(VLOOKUP('15.01'!M64,'15.01'!$AM$4:$AP$55,4,FALSE))</f>
        <v>0</v>
      </c>
      <c r="F64" s="4">
        <f>(VLOOKUP('15.01'!N64,'15.01'!$AM$4:$AP$55,4,FALSE))</f>
        <v>0</v>
      </c>
      <c r="G64" s="4">
        <f>(VLOOKUP('15.01'!O64,'15.01'!$AM$4:$AP$55,4,FALSE))</f>
        <v>0</v>
      </c>
      <c r="H64" s="4">
        <f>(VLOOKUP('15.01'!P64,'15.01'!$AM$4:$AP$55,4,FALSE))</f>
        <v>0</v>
      </c>
      <c r="I64" s="4">
        <f>(VLOOKUP('15.01'!Q64,'15.01'!$AM$4:$AP$55,4,FALSE))</f>
        <v>38</v>
      </c>
      <c r="J64" s="4">
        <f>(VLOOKUP('15.01'!R64,'15.01'!$AM$4:$AP$55,4,FALSE))</f>
        <v>38</v>
      </c>
      <c r="K64" s="4">
        <f>(VLOOKUP('15.01'!S64,'15.01'!$AM$4:$AP$55,4,FALSE))</f>
        <v>38</v>
      </c>
      <c r="L64" s="4">
        <f>(VLOOKUP('15.01'!T64,'15.01'!$AM$4:$AP$55,4,FALSE))</f>
        <v>38</v>
      </c>
      <c r="M64" s="4">
        <f>(VLOOKUP('15.01'!U64,'15.01'!$AM$4:$AP$55,4,FALSE))</f>
        <v>38</v>
      </c>
      <c r="N64" s="4">
        <f>(VLOOKUP('15.01'!V64,'15.01'!$AM$4:$AP$55,4,FALSE))</f>
        <v>38</v>
      </c>
      <c r="O64" s="4">
        <f>(VLOOKUP('15.01'!W64,'15.01'!$AM$4:$AP$55,4,FALSE))</f>
        <v>0</v>
      </c>
      <c r="P64" s="4">
        <f>(VLOOKUP('15.01'!X64,'15.01'!$AM$4:$AP$55,4,FALSE))</f>
        <v>0</v>
      </c>
      <c r="Q64" s="4">
        <f>(VLOOKUP('15.01'!Y64,'15.01'!$AM$4:$AP$55,4,FALSE))</f>
        <v>0</v>
      </c>
      <c r="R64" s="4">
        <f>(VLOOKUP('15.01'!Z64,'15.01'!$AM$4:$AP$55,4,FALSE))</f>
        <v>0</v>
      </c>
      <c r="S64" s="4">
        <f>(VLOOKUP('15.01'!AA64,'15.01'!$AM$4:$AP$55,4,FALSE))</f>
        <v>0</v>
      </c>
      <c r="T64" s="4">
        <f>(VLOOKUP('15.01'!AB64,'15.01'!$AM$4:$AP$55,4,FALSE))</f>
        <v>0</v>
      </c>
      <c r="U64" s="4">
        <f>(VLOOKUP('15.01'!AC64,'15.01'!$AM$4:$AP$55,4,FALSE))</f>
        <v>0</v>
      </c>
      <c r="V64" s="4">
        <f>(VLOOKUP('15.01'!AD64,'15.01'!$AM$4:$AP$55,4,FALSE))</f>
        <v>0</v>
      </c>
      <c r="W64" s="4">
        <f>(VLOOKUP('15.01'!AE64,'15.01'!$AM$4:$AP$55,4,FALSE))</f>
        <v>0</v>
      </c>
      <c r="X64" s="4">
        <f>(VLOOKUP('15.01'!AF64,'15.01'!$AM$4:$AP$55,4,FALSE))</f>
        <v>0</v>
      </c>
    </row>
    <row r="65" spans="1:24">
      <c r="A65" s="4">
        <f>(VLOOKUP('15.01'!I65,'15.01'!$AM$4:$AP$55,4,FALSE))</f>
        <v>0</v>
      </c>
      <c r="B65" s="4">
        <f>(VLOOKUP('15.01'!J65,'15.01'!$AM$4:$AP$55,4,FALSE))</f>
        <v>0</v>
      </c>
      <c r="C65" s="4">
        <f>(VLOOKUP('15.01'!K65,'15.01'!$AM$4:$AP$55,4,FALSE))</f>
        <v>0</v>
      </c>
      <c r="D65" s="4">
        <f>(VLOOKUP('15.01'!L65,'15.01'!$AM$4:$AP$55,4,FALSE))</f>
        <v>0</v>
      </c>
      <c r="E65" s="4">
        <f>(VLOOKUP('15.01'!M65,'15.01'!$AM$4:$AP$55,4,FALSE))</f>
        <v>0</v>
      </c>
      <c r="F65" s="4">
        <f>(VLOOKUP('15.01'!N65,'15.01'!$AM$4:$AP$55,4,FALSE))</f>
        <v>0</v>
      </c>
      <c r="G65" s="4">
        <f>(VLOOKUP('15.01'!O65,'15.01'!$AM$4:$AP$55,4,FALSE))</f>
        <v>0</v>
      </c>
      <c r="H65" s="4">
        <f>(VLOOKUP('15.01'!P65,'15.01'!$AM$4:$AP$55,4,FALSE))</f>
        <v>0</v>
      </c>
      <c r="I65" s="4">
        <f>(VLOOKUP('15.01'!Q65,'15.01'!$AM$4:$AP$55,4,FALSE))</f>
        <v>38</v>
      </c>
      <c r="J65" s="4">
        <f>(VLOOKUP('15.01'!R65,'15.01'!$AM$4:$AP$55,4,FALSE))</f>
        <v>38</v>
      </c>
      <c r="K65" s="4">
        <f>(VLOOKUP('15.01'!S65,'15.01'!$AM$4:$AP$55,4,FALSE))</f>
        <v>38</v>
      </c>
      <c r="L65" s="4">
        <f>(VLOOKUP('15.01'!T65,'15.01'!$AM$4:$AP$55,4,FALSE))</f>
        <v>38</v>
      </c>
      <c r="M65" s="4">
        <f>(VLOOKUP('15.01'!U65,'15.01'!$AM$4:$AP$55,4,FALSE))</f>
        <v>38</v>
      </c>
      <c r="N65" s="4">
        <f>(VLOOKUP('15.01'!V65,'15.01'!$AM$4:$AP$55,4,FALSE))</f>
        <v>38</v>
      </c>
      <c r="O65" s="4">
        <f>(VLOOKUP('15.01'!W65,'15.01'!$AM$4:$AP$55,4,FALSE))</f>
        <v>0</v>
      </c>
      <c r="P65" s="4">
        <f>(VLOOKUP('15.01'!X65,'15.01'!$AM$4:$AP$55,4,FALSE))</f>
        <v>0</v>
      </c>
      <c r="Q65" s="4">
        <f>(VLOOKUP('15.01'!Y65,'15.01'!$AM$4:$AP$55,4,FALSE))</f>
        <v>0</v>
      </c>
      <c r="R65" s="4">
        <f>(VLOOKUP('15.01'!Z65,'15.01'!$AM$4:$AP$55,4,FALSE))</f>
        <v>0</v>
      </c>
      <c r="S65" s="4">
        <f>(VLOOKUP('15.01'!AA65,'15.01'!$AM$4:$AP$55,4,FALSE))</f>
        <v>0</v>
      </c>
      <c r="T65" s="4">
        <f>(VLOOKUP('15.01'!AB65,'15.01'!$AM$4:$AP$55,4,FALSE))</f>
        <v>0</v>
      </c>
      <c r="U65" s="4">
        <f>(VLOOKUP('15.01'!AC65,'15.01'!$AM$4:$AP$55,4,FALSE))</f>
        <v>0</v>
      </c>
      <c r="V65" s="4">
        <f>(VLOOKUP('15.01'!AD65,'15.01'!$AM$4:$AP$55,4,FALSE))</f>
        <v>0</v>
      </c>
      <c r="W65" s="4">
        <f>(VLOOKUP('15.01'!AE65,'15.01'!$AM$4:$AP$55,4,FALSE))</f>
        <v>0</v>
      </c>
      <c r="X65" s="4">
        <f>(VLOOKUP('15.01'!AF65,'15.01'!$AM$4:$AP$55,4,FALSE))</f>
        <v>0</v>
      </c>
    </row>
    <row r="66" spans="1:24">
      <c r="A66" s="4">
        <f>(VLOOKUP('15.01'!I66,'15.01'!$AM$4:$AP$55,4,FALSE))</f>
        <v>0</v>
      </c>
      <c r="B66" s="4">
        <f>(VLOOKUP('15.01'!J66,'15.01'!$AM$4:$AP$55,4,FALSE))</f>
        <v>0</v>
      </c>
      <c r="C66" s="4">
        <f>(VLOOKUP('15.01'!K66,'15.01'!$AM$4:$AP$55,4,FALSE))</f>
        <v>0</v>
      </c>
      <c r="D66" s="4">
        <f>(VLOOKUP('15.01'!L66,'15.01'!$AM$4:$AP$55,4,FALSE))</f>
        <v>0</v>
      </c>
      <c r="E66" s="4">
        <f>(VLOOKUP('15.01'!M66,'15.01'!$AM$4:$AP$55,4,FALSE))</f>
        <v>0</v>
      </c>
      <c r="F66" s="4">
        <f>(VLOOKUP('15.01'!N66,'15.01'!$AM$4:$AP$55,4,FALSE))</f>
        <v>0</v>
      </c>
      <c r="G66" s="4">
        <f>(VLOOKUP('15.01'!O66,'15.01'!$AM$4:$AP$55,4,FALSE))</f>
        <v>0</v>
      </c>
      <c r="H66" s="4">
        <f>(VLOOKUP('15.01'!P66,'15.01'!$AM$4:$AP$55,4,FALSE))</f>
        <v>0</v>
      </c>
      <c r="I66" s="4">
        <f>(VLOOKUP('15.01'!Q66,'15.01'!$AM$4:$AP$55,4,FALSE))</f>
        <v>38</v>
      </c>
      <c r="J66" s="4">
        <f>(VLOOKUP('15.01'!R66,'15.01'!$AM$4:$AP$55,4,FALSE))</f>
        <v>38</v>
      </c>
      <c r="K66" s="4">
        <f>(VLOOKUP('15.01'!S66,'15.01'!$AM$4:$AP$55,4,FALSE))</f>
        <v>38</v>
      </c>
      <c r="L66" s="4">
        <f>(VLOOKUP('15.01'!T66,'15.01'!$AM$4:$AP$55,4,FALSE))</f>
        <v>38</v>
      </c>
      <c r="M66" s="4">
        <f>(VLOOKUP('15.01'!U66,'15.01'!$AM$4:$AP$55,4,FALSE))</f>
        <v>0</v>
      </c>
      <c r="N66" s="4">
        <f>(VLOOKUP('15.01'!V66,'15.01'!$AM$4:$AP$55,4,FALSE))</f>
        <v>38</v>
      </c>
      <c r="O66" s="4">
        <f>(VLOOKUP('15.01'!W66,'15.01'!$AM$4:$AP$55,4,FALSE))</f>
        <v>38</v>
      </c>
      <c r="P66" s="4">
        <f>(VLOOKUP('15.01'!X66,'15.01'!$AM$4:$AP$55,4,FALSE))</f>
        <v>0</v>
      </c>
      <c r="Q66" s="4">
        <f>(VLOOKUP('15.01'!Y66,'15.01'!$AM$4:$AP$55,4,FALSE))</f>
        <v>0</v>
      </c>
      <c r="R66" s="4">
        <f>(VLOOKUP('15.01'!Z66,'15.01'!$AM$4:$AP$55,4,FALSE))</f>
        <v>0</v>
      </c>
      <c r="S66" s="4">
        <f>(VLOOKUP('15.01'!AA66,'15.01'!$AM$4:$AP$55,4,FALSE))</f>
        <v>0</v>
      </c>
      <c r="T66" s="4">
        <f>(VLOOKUP('15.01'!AB66,'15.01'!$AM$4:$AP$55,4,FALSE))</f>
        <v>0</v>
      </c>
      <c r="U66" s="4">
        <f>(VLOOKUP('15.01'!AC66,'15.01'!$AM$4:$AP$55,4,FALSE))</f>
        <v>0</v>
      </c>
      <c r="V66" s="4">
        <f>(VLOOKUP('15.01'!AD66,'15.01'!$AM$4:$AP$55,4,FALSE))</f>
        <v>0</v>
      </c>
      <c r="W66" s="4">
        <f>(VLOOKUP('15.01'!AE66,'15.01'!$AM$4:$AP$55,4,FALSE))</f>
        <v>0</v>
      </c>
      <c r="X66" s="4">
        <f>(VLOOKUP('15.01'!AF66,'15.01'!$AM$4:$AP$55,4,FALSE))</f>
        <v>0</v>
      </c>
    </row>
    <row r="67" spans="1:24">
      <c r="A67" s="4">
        <f>(VLOOKUP('15.01'!I67,'15.01'!$AM$4:$AP$55,4,FALSE))</f>
        <v>0</v>
      </c>
      <c r="B67" s="4">
        <f>(VLOOKUP('15.01'!J67,'15.01'!$AM$4:$AP$55,4,FALSE))</f>
        <v>0</v>
      </c>
      <c r="C67" s="4">
        <f>(VLOOKUP('15.01'!K67,'15.01'!$AM$4:$AP$55,4,FALSE))</f>
        <v>0</v>
      </c>
      <c r="D67" s="4">
        <f>(VLOOKUP('15.01'!L67,'15.01'!$AM$4:$AP$55,4,FALSE))</f>
        <v>0</v>
      </c>
      <c r="E67" s="4">
        <f>(VLOOKUP('15.01'!M67,'15.01'!$AM$4:$AP$55,4,FALSE))</f>
        <v>0</v>
      </c>
      <c r="F67" s="4">
        <f>(VLOOKUP('15.01'!N67,'15.01'!$AM$4:$AP$55,4,FALSE))</f>
        <v>0</v>
      </c>
      <c r="G67" s="4">
        <f>(VLOOKUP('15.01'!O67,'15.01'!$AM$4:$AP$55,4,FALSE))</f>
        <v>0</v>
      </c>
      <c r="H67" s="4">
        <f>(VLOOKUP('15.01'!P67,'15.01'!$AM$4:$AP$55,4,FALSE))</f>
        <v>0</v>
      </c>
      <c r="I67" s="4">
        <f>(VLOOKUP('15.01'!Q67,'15.01'!$AM$4:$AP$55,4,FALSE))</f>
        <v>38</v>
      </c>
      <c r="J67" s="4">
        <f>(VLOOKUP('15.01'!R67,'15.01'!$AM$4:$AP$55,4,FALSE))</f>
        <v>38</v>
      </c>
      <c r="K67" s="4">
        <f>(VLOOKUP('15.01'!S67,'15.01'!$AM$4:$AP$55,4,FALSE))</f>
        <v>38</v>
      </c>
      <c r="L67" s="4">
        <f>(VLOOKUP('15.01'!T67,'15.01'!$AM$4:$AP$55,4,FALSE))</f>
        <v>38</v>
      </c>
      <c r="M67" s="4">
        <f>(VLOOKUP('15.01'!U67,'15.01'!$AM$4:$AP$55,4,FALSE))</f>
        <v>38</v>
      </c>
      <c r="N67" s="4">
        <f>(VLOOKUP('15.01'!V67,'15.01'!$AM$4:$AP$55,4,FALSE))</f>
        <v>38</v>
      </c>
      <c r="O67" s="4">
        <f>(VLOOKUP('15.01'!W67,'15.01'!$AM$4:$AP$55,4,FALSE))</f>
        <v>0</v>
      </c>
      <c r="P67" s="4">
        <f>(VLOOKUP('15.01'!X67,'15.01'!$AM$4:$AP$55,4,FALSE))</f>
        <v>0</v>
      </c>
      <c r="Q67" s="4">
        <f>(VLOOKUP('15.01'!Y67,'15.01'!$AM$4:$AP$55,4,FALSE))</f>
        <v>0</v>
      </c>
      <c r="R67" s="4">
        <f>(VLOOKUP('15.01'!Z67,'15.01'!$AM$4:$AP$55,4,FALSE))</f>
        <v>0</v>
      </c>
      <c r="S67" s="4">
        <f>(VLOOKUP('15.01'!AA67,'15.01'!$AM$4:$AP$55,4,FALSE))</f>
        <v>0</v>
      </c>
      <c r="T67" s="4">
        <f>(VLOOKUP('15.01'!AB67,'15.01'!$AM$4:$AP$55,4,FALSE))</f>
        <v>0</v>
      </c>
      <c r="U67" s="4">
        <f>(VLOOKUP('15.01'!AC67,'15.01'!$AM$4:$AP$55,4,FALSE))</f>
        <v>36</v>
      </c>
      <c r="V67" s="4">
        <f>(VLOOKUP('15.01'!AD67,'15.01'!$AM$4:$AP$55,4,FALSE))</f>
        <v>36</v>
      </c>
      <c r="W67" s="4">
        <f>(VLOOKUP('15.01'!AE67,'15.01'!$AM$4:$AP$55,4,FALSE))</f>
        <v>0</v>
      </c>
      <c r="X67" s="4">
        <f>(VLOOKUP('15.01'!AF67,'15.01'!$AM$4:$AP$55,4,FALSE))</f>
        <v>0</v>
      </c>
    </row>
    <row r="68" spans="1:24">
      <c r="A68" s="4">
        <f>(VLOOKUP('15.01'!I68,'15.01'!$AM$4:$AP$55,4,FALSE))</f>
        <v>0</v>
      </c>
      <c r="B68" s="4">
        <f>(VLOOKUP('15.01'!J68,'15.01'!$AM$4:$AP$55,4,FALSE))</f>
        <v>0</v>
      </c>
      <c r="C68" s="4">
        <f>(VLOOKUP('15.01'!K68,'15.01'!$AM$4:$AP$55,4,FALSE))</f>
        <v>0</v>
      </c>
      <c r="D68" s="4">
        <f>(VLOOKUP('15.01'!L68,'15.01'!$AM$4:$AP$55,4,FALSE))</f>
        <v>0</v>
      </c>
      <c r="E68" s="4">
        <f>(VLOOKUP('15.01'!M68,'15.01'!$AM$4:$AP$55,4,FALSE))</f>
        <v>0</v>
      </c>
      <c r="F68" s="4">
        <f>(VLOOKUP('15.01'!N68,'15.01'!$AM$4:$AP$55,4,FALSE))</f>
        <v>0</v>
      </c>
      <c r="G68" s="4">
        <f>(VLOOKUP('15.01'!O68,'15.01'!$AM$4:$AP$55,4,FALSE))</f>
        <v>0</v>
      </c>
      <c r="H68" s="4">
        <f>(VLOOKUP('15.01'!P68,'15.01'!$AM$4:$AP$55,4,FALSE))</f>
        <v>0</v>
      </c>
      <c r="I68" s="4">
        <f>(VLOOKUP('15.01'!Q68,'15.01'!$AM$4:$AP$55,4,FALSE))</f>
        <v>38</v>
      </c>
      <c r="J68" s="4">
        <f>(VLOOKUP('15.01'!R68,'15.01'!$AM$4:$AP$55,4,FALSE))</f>
        <v>0</v>
      </c>
      <c r="K68" s="4">
        <f>(VLOOKUP('15.01'!S68,'15.01'!$AM$4:$AP$55,4,FALSE))</f>
        <v>38</v>
      </c>
      <c r="L68" s="4">
        <f>(VLOOKUP('15.01'!T68,'15.01'!$AM$4:$AP$55,4,FALSE))</f>
        <v>38</v>
      </c>
      <c r="M68" s="4">
        <f>(VLOOKUP('15.01'!U68,'15.01'!$AM$4:$AP$55,4,FALSE))</f>
        <v>38</v>
      </c>
      <c r="N68" s="4">
        <f>(VLOOKUP('15.01'!V68,'15.01'!$AM$4:$AP$55,4,FALSE))</f>
        <v>38</v>
      </c>
      <c r="O68" s="4">
        <f>(VLOOKUP('15.01'!W68,'15.01'!$AM$4:$AP$55,4,FALSE))</f>
        <v>0</v>
      </c>
      <c r="P68" s="4">
        <f>(VLOOKUP('15.01'!X68,'15.01'!$AM$4:$AP$55,4,FALSE))</f>
        <v>0</v>
      </c>
      <c r="Q68" s="4">
        <f>(VLOOKUP('15.01'!Y68,'15.01'!$AM$4:$AP$55,4,FALSE))</f>
        <v>36</v>
      </c>
      <c r="R68" s="4">
        <f>(VLOOKUP('15.01'!Z68,'15.01'!$AM$4:$AP$55,4,FALSE))</f>
        <v>36</v>
      </c>
      <c r="S68" s="4">
        <f>(VLOOKUP('15.01'!AA68,'15.01'!$AM$4:$AP$55,4,FALSE))</f>
        <v>36</v>
      </c>
      <c r="T68" s="4">
        <f>(VLOOKUP('15.01'!AB68,'15.01'!$AM$4:$AP$55,4,FALSE))</f>
        <v>36</v>
      </c>
      <c r="U68" s="4">
        <f>(VLOOKUP('15.01'!AC68,'15.01'!$AM$4:$AP$55,4,FALSE))</f>
        <v>36</v>
      </c>
      <c r="V68" s="4">
        <f>(VLOOKUP('15.01'!AD68,'15.01'!$AM$4:$AP$55,4,FALSE))</f>
        <v>36</v>
      </c>
      <c r="W68" s="4">
        <f>(VLOOKUP('15.01'!AE68,'15.01'!$AM$4:$AP$55,4,FALSE))</f>
        <v>0</v>
      </c>
      <c r="X68" s="4">
        <f>(VLOOKUP('15.01'!AF68,'15.01'!$AM$4:$AP$55,4,FALSE))</f>
        <v>0</v>
      </c>
    </row>
    <row r="69" spans="1:24">
      <c r="A69" s="4">
        <f>(VLOOKUP('15.01'!I69,'15.01'!$AM$4:$AP$55,4,FALSE))</f>
        <v>0</v>
      </c>
      <c r="B69" s="4">
        <f>(VLOOKUP('15.01'!J69,'15.01'!$AM$4:$AP$55,4,FALSE))</f>
        <v>0</v>
      </c>
      <c r="C69" s="4">
        <f>(VLOOKUP('15.01'!K69,'15.01'!$AM$4:$AP$55,4,FALSE))</f>
        <v>0</v>
      </c>
      <c r="D69" s="4">
        <f>(VLOOKUP('15.01'!L69,'15.01'!$AM$4:$AP$55,4,FALSE))</f>
        <v>0</v>
      </c>
      <c r="E69" s="4">
        <f>(VLOOKUP('15.01'!M69,'15.01'!$AM$4:$AP$55,4,FALSE))</f>
        <v>0</v>
      </c>
      <c r="F69" s="4">
        <f>(VLOOKUP('15.01'!N69,'15.01'!$AM$4:$AP$55,4,FALSE))</f>
        <v>0</v>
      </c>
      <c r="G69" s="4">
        <f>(VLOOKUP('15.01'!O69,'15.01'!$AM$4:$AP$55,4,FALSE))</f>
        <v>0</v>
      </c>
      <c r="H69" s="4">
        <f>(VLOOKUP('15.01'!P69,'15.01'!$AM$4:$AP$55,4,FALSE))</f>
        <v>0</v>
      </c>
      <c r="I69" s="4">
        <f>(VLOOKUP('15.01'!Q69,'15.01'!$AM$4:$AP$55,4,FALSE))</f>
        <v>38</v>
      </c>
      <c r="J69" s="4">
        <f>(VLOOKUP('15.01'!R69,'15.01'!$AM$4:$AP$55,4,FALSE))</f>
        <v>38</v>
      </c>
      <c r="K69" s="4">
        <f>(VLOOKUP('15.01'!S69,'15.01'!$AM$4:$AP$55,4,FALSE))</f>
        <v>38</v>
      </c>
      <c r="L69" s="4">
        <f>(VLOOKUP('15.01'!T69,'15.01'!$AM$4:$AP$55,4,FALSE))</f>
        <v>38</v>
      </c>
      <c r="M69" s="4">
        <f>(VLOOKUP('15.01'!U69,'15.01'!$AM$4:$AP$55,4,FALSE))</f>
        <v>38</v>
      </c>
      <c r="N69" s="4">
        <f>(VLOOKUP('15.01'!V69,'15.01'!$AM$4:$AP$55,4,FALSE))</f>
        <v>38</v>
      </c>
      <c r="O69" s="4">
        <f>(VLOOKUP('15.01'!W69,'15.01'!$AM$4:$AP$55,4,FALSE))</f>
        <v>0</v>
      </c>
      <c r="P69" s="4">
        <f>(VLOOKUP('15.01'!X69,'15.01'!$AM$4:$AP$55,4,FALSE))</f>
        <v>0</v>
      </c>
      <c r="Q69" s="4">
        <f>(VLOOKUP('15.01'!Y69,'15.01'!$AM$4:$AP$55,4,FALSE))</f>
        <v>36</v>
      </c>
      <c r="R69" s="4">
        <f>(VLOOKUP('15.01'!Z69,'15.01'!$AM$4:$AP$55,4,FALSE))</f>
        <v>34</v>
      </c>
      <c r="S69" s="4">
        <f>(VLOOKUP('15.01'!AA69,'15.01'!$AM$4:$AP$55,4,FALSE))</f>
        <v>34</v>
      </c>
      <c r="T69" s="4">
        <f>(VLOOKUP('15.01'!AB69,'15.01'!$AM$4:$AP$55,4,FALSE))</f>
        <v>34</v>
      </c>
      <c r="U69" s="4">
        <f>(VLOOKUP('15.01'!AC69,'15.01'!$AM$4:$AP$55,4,FALSE))</f>
        <v>34</v>
      </c>
      <c r="V69" s="4">
        <f>(VLOOKUP('15.01'!AD69,'15.01'!$AM$4:$AP$55,4,FALSE))</f>
        <v>34</v>
      </c>
      <c r="W69" s="4">
        <f>(VLOOKUP('15.01'!AE69,'15.01'!$AM$4:$AP$55,4,FALSE))</f>
        <v>0</v>
      </c>
      <c r="X69" s="4">
        <f>(VLOOKUP('15.01'!AF69,'15.01'!$AM$4:$AP$55,4,FALSE))</f>
        <v>0</v>
      </c>
    </row>
    <row r="70" spans="1:24">
      <c r="A70" s="4">
        <f>(VLOOKUP('15.01'!I70,'15.01'!$AM$4:$AP$55,4,FALSE))</f>
        <v>0</v>
      </c>
      <c r="B70" s="4">
        <f>(VLOOKUP('15.01'!J70,'15.01'!$AM$4:$AP$55,4,FALSE))</f>
        <v>0</v>
      </c>
      <c r="C70" s="4">
        <f>(VLOOKUP('15.01'!K70,'15.01'!$AM$4:$AP$55,4,FALSE))</f>
        <v>0</v>
      </c>
      <c r="D70" s="4">
        <f>(VLOOKUP('15.01'!L70,'15.01'!$AM$4:$AP$55,4,FALSE))</f>
        <v>0</v>
      </c>
      <c r="E70" s="4">
        <f>(VLOOKUP('15.01'!M70,'15.01'!$AM$4:$AP$55,4,FALSE))</f>
        <v>0</v>
      </c>
      <c r="F70" s="4">
        <f>(VLOOKUP('15.01'!N70,'15.01'!$AM$4:$AP$55,4,FALSE))</f>
        <v>0</v>
      </c>
      <c r="G70" s="4">
        <f>(VLOOKUP('15.01'!O70,'15.01'!$AM$4:$AP$55,4,FALSE))</f>
        <v>0</v>
      </c>
      <c r="H70" s="4">
        <f>(VLOOKUP('15.01'!P70,'15.01'!$AM$4:$AP$55,4,FALSE))</f>
        <v>0</v>
      </c>
      <c r="I70" s="4">
        <f>(VLOOKUP('15.01'!Q70,'15.01'!$AM$4:$AP$55,4,FALSE))</f>
        <v>38</v>
      </c>
      <c r="J70" s="4">
        <f>(VLOOKUP('15.01'!R70,'15.01'!$AM$4:$AP$55,4,FALSE))</f>
        <v>38</v>
      </c>
      <c r="K70" s="4">
        <f>(VLOOKUP('15.01'!S70,'15.01'!$AM$4:$AP$55,4,FALSE))</f>
        <v>38</v>
      </c>
      <c r="L70" s="4">
        <f>(VLOOKUP('15.01'!T70,'15.01'!$AM$4:$AP$55,4,FALSE))</f>
        <v>38</v>
      </c>
      <c r="M70" s="4">
        <f>(VLOOKUP('15.01'!U70,'15.01'!$AM$4:$AP$55,4,FALSE))</f>
        <v>38</v>
      </c>
      <c r="N70" s="4">
        <f>(VLOOKUP('15.01'!V70,'15.01'!$AM$4:$AP$55,4,FALSE))</f>
        <v>38</v>
      </c>
      <c r="O70" s="4">
        <f>(VLOOKUP('15.01'!W70,'15.01'!$AM$4:$AP$55,4,FALSE))</f>
        <v>0</v>
      </c>
      <c r="P70" s="4">
        <f>(VLOOKUP('15.01'!X70,'15.01'!$AM$4:$AP$55,4,FALSE))</f>
        <v>0</v>
      </c>
      <c r="Q70" s="4">
        <f>(VLOOKUP('15.01'!Y70,'15.01'!$AM$4:$AP$55,4,FALSE))</f>
        <v>34</v>
      </c>
      <c r="R70" s="4">
        <f>(VLOOKUP('15.01'!Z70,'15.01'!$AM$4:$AP$55,4,FALSE))</f>
        <v>34</v>
      </c>
      <c r="S70" s="4">
        <f>(VLOOKUP('15.01'!AA70,'15.01'!$AM$4:$AP$55,4,FALSE))</f>
        <v>0</v>
      </c>
      <c r="T70" s="4">
        <f>(VLOOKUP('15.01'!AB70,'15.01'!$AM$4:$AP$55,4,FALSE))</f>
        <v>0</v>
      </c>
      <c r="U70" s="4">
        <f>(VLOOKUP('15.01'!AC70,'15.01'!$AM$4:$AP$55,4,FALSE))</f>
        <v>0</v>
      </c>
      <c r="V70" s="4">
        <f>(VLOOKUP('15.01'!AD70,'15.01'!$AM$4:$AP$55,4,FALSE))</f>
        <v>0</v>
      </c>
      <c r="W70" s="4">
        <f>(VLOOKUP('15.01'!AE70,'15.01'!$AM$4:$AP$55,4,FALSE))</f>
        <v>0</v>
      </c>
      <c r="X70" s="4">
        <f>(VLOOKUP('15.01'!AF70,'15.01'!$AM$4:$AP$55,4,FALSE))</f>
        <v>0</v>
      </c>
    </row>
    <row r="71" spans="1:24">
      <c r="A71" s="4">
        <f>(VLOOKUP('15.01'!I71,'15.01'!$AM$4:$AP$55,4,FALSE))</f>
        <v>0</v>
      </c>
      <c r="B71" s="4">
        <f>(VLOOKUP('15.01'!J71,'15.01'!$AM$4:$AP$55,4,FALSE))</f>
        <v>0</v>
      </c>
      <c r="C71" s="4">
        <f>(VLOOKUP('15.01'!K71,'15.01'!$AM$4:$AP$55,4,FALSE))</f>
        <v>0</v>
      </c>
      <c r="D71" s="4">
        <f>(VLOOKUP('15.01'!L71,'15.01'!$AM$4:$AP$55,4,FALSE))</f>
        <v>0</v>
      </c>
      <c r="E71" s="4">
        <f>(VLOOKUP('15.01'!M71,'15.01'!$AM$4:$AP$55,4,FALSE))</f>
        <v>0</v>
      </c>
      <c r="F71" s="4">
        <f>(VLOOKUP('15.01'!N71,'15.01'!$AM$4:$AP$55,4,FALSE))</f>
        <v>0</v>
      </c>
      <c r="G71" s="4">
        <f>(VLOOKUP('15.01'!O71,'15.01'!$AM$4:$AP$55,4,FALSE))</f>
        <v>0</v>
      </c>
      <c r="H71" s="4">
        <f>(VLOOKUP('15.01'!P71,'15.01'!$AM$4:$AP$55,4,FALSE))</f>
        <v>0</v>
      </c>
      <c r="I71" s="4">
        <f>(VLOOKUP('15.01'!Q71,'15.01'!$AM$4:$AP$55,4,FALSE))</f>
        <v>38</v>
      </c>
      <c r="J71" s="4">
        <f>(VLOOKUP('15.01'!R71,'15.01'!$AM$4:$AP$55,4,FALSE))</f>
        <v>38</v>
      </c>
      <c r="K71" s="4">
        <f>(VLOOKUP('15.01'!S71,'15.01'!$AM$4:$AP$55,4,FALSE))</f>
        <v>38</v>
      </c>
      <c r="L71" s="4">
        <f>(VLOOKUP('15.01'!T71,'15.01'!$AM$4:$AP$55,4,FALSE))</f>
        <v>38</v>
      </c>
      <c r="M71" s="4">
        <f>(VLOOKUP('15.01'!U71,'15.01'!$AM$4:$AP$55,4,FALSE))</f>
        <v>38</v>
      </c>
      <c r="N71" s="4">
        <f>(VLOOKUP('15.01'!V71,'15.01'!$AM$4:$AP$55,4,FALSE))</f>
        <v>38</v>
      </c>
      <c r="O71" s="4">
        <f>(VLOOKUP('15.01'!W71,'15.01'!$AM$4:$AP$55,4,FALSE))</f>
        <v>0</v>
      </c>
      <c r="P71" s="4">
        <f>(VLOOKUP('15.01'!X71,'15.01'!$AM$4:$AP$55,4,FALSE))</f>
        <v>0</v>
      </c>
      <c r="Q71" s="4">
        <f>(VLOOKUP('15.01'!Y71,'15.01'!$AM$4:$AP$55,4,FALSE))</f>
        <v>0</v>
      </c>
      <c r="R71" s="4">
        <f>(VLOOKUP('15.01'!Z71,'15.01'!$AM$4:$AP$55,4,FALSE))</f>
        <v>0</v>
      </c>
      <c r="S71" s="4">
        <f>(VLOOKUP('15.01'!AA71,'15.01'!$AM$4:$AP$55,4,FALSE))</f>
        <v>0</v>
      </c>
      <c r="T71" s="4">
        <f>(VLOOKUP('15.01'!AB71,'15.01'!$AM$4:$AP$55,4,FALSE))</f>
        <v>0</v>
      </c>
      <c r="U71" s="4">
        <f>(VLOOKUP('15.01'!AC71,'15.01'!$AM$4:$AP$55,4,FALSE))</f>
        <v>0</v>
      </c>
      <c r="V71" s="4">
        <f>(VLOOKUP('15.01'!AD71,'15.01'!$AM$4:$AP$55,4,FALSE))</f>
        <v>0</v>
      </c>
      <c r="W71" s="4">
        <f>(VLOOKUP('15.01'!AE71,'15.01'!$AM$4:$AP$55,4,FALSE))</f>
        <v>0</v>
      </c>
      <c r="X71" s="4">
        <f>(VLOOKUP('15.01'!AF71,'15.01'!$AM$4:$AP$55,4,FALSE))</f>
        <v>0</v>
      </c>
    </row>
    <row r="72" spans="1:24">
      <c r="A72" s="4">
        <f>(VLOOKUP('15.01'!I72,'15.01'!$AM$4:$AP$55,4,FALSE))</f>
        <v>0</v>
      </c>
      <c r="B72" s="4">
        <f>(VLOOKUP('15.01'!J72,'15.01'!$AM$4:$AP$55,4,FALSE))</f>
        <v>0</v>
      </c>
      <c r="C72" s="4">
        <f>(VLOOKUP('15.01'!K72,'15.01'!$AM$4:$AP$55,4,FALSE))</f>
        <v>0</v>
      </c>
      <c r="D72" s="4">
        <f>(VLOOKUP('15.01'!L72,'15.01'!$AM$4:$AP$55,4,FALSE))</f>
        <v>0</v>
      </c>
      <c r="E72" s="4">
        <f>(VLOOKUP('15.01'!M72,'15.01'!$AM$4:$AP$55,4,FALSE))</f>
        <v>0</v>
      </c>
      <c r="F72" s="4">
        <f>(VLOOKUP('15.01'!N72,'15.01'!$AM$4:$AP$55,4,FALSE))</f>
        <v>0</v>
      </c>
      <c r="G72" s="4">
        <f>(VLOOKUP('15.01'!O72,'15.01'!$AM$4:$AP$55,4,FALSE))</f>
        <v>0</v>
      </c>
      <c r="H72" s="4">
        <f>(VLOOKUP('15.01'!P72,'15.01'!$AM$4:$AP$55,4,FALSE))</f>
        <v>0</v>
      </c>
      <c r="I72" s="4">
        <f>(VLOOKUP('15.01'!Q72,'15.01'!$AM$4:$AP$55,4,FALSE))</f>
        <v>38</v>
      </c>
      <c r="J72" s="4">
        <f>(VLOOKUP('15.01'!R72,'15.01'!$AM$4:$AP$55,4,FALSE))</f>
        <v>38</v>
      </c>
      <c r="K72" s="4">
        <f>(VLOOKUP('15.01'!S72,'15.01'!$AM$4:$AP$55,4,FALSE))</f>
        <v>0</v>
      </c>
      <c r="L72" s="4">
        <f>(VLOOKUP('15.01'!T72,'15.01'!$AM$4:$AP$55,4,FALSE))</f>
        <v>38</v>
      </c>
      <c r="M72" s="4">
        <f>(VLOOKUP('15.01'!U72,'15.01'!$AM$4:$AP$55,4,FALSE))</f>
        <v>38</v>
      </c>
      <c r="N72" s="4">
        <f>(VLOOKUP('15.01'!V72,'15.01'!$AM$4:$AP$55,4,FALSE))</f>
        <v>38</v>
      </c>
      <c r="O72" s="4">
        <f>(VLOOKUP('15.01'!W72,'15.01'!$AM$4:$AP$55,4,FALSE))</f>
        <v>0</v>
      </c>
      <c r="P72" s="4">
        <f>(VLOOKUP('15.01'!X72,'15.01'!$AM$4:$AP$55,4,FALSE))</f>
        <v>0</v>
      </c>
      <c r="Q72" s="4">
        <f>(VLOOKUP('15.01'!Y72,'15.01'!$AM$4:$AP$55,4,FALSE))</f>
        <v>0</v>
      </c>
      <c r="R72" s="4">
        <f>(VLOOKUP('15.01'!Z72,'15.01'!$AM$4:$AP$55,4,FALSE))</f>
        <v>0</v>
      </c>
      <c r="S72" s="4">
        <f>(VLOOKUP('15.01'!AA72,'15.01'!$AM$4:$AP$55,4,FALSE))</f>
        <v>0</v>
      </c>
      <c r="T72" s="4">
        <f>(VLOOKUP('15.01'!AB72,'15.01'!$AM$4:$AP$55,4,FALSE))</f>
        <v>0</v>
      </c>
      <c r="U72" s="4">
        <f>(VLOOKUP('15.01'!AC72,'15.01'!$AM$4:$AP$55,4,FALSE))</f>
        <v>0</v>
      </c>
      <c r="V72" s="4">
        <f>(VLOOKUP('15.01'!AD72,'15.01'!$AM$4:$AP$55,4,FALSE))</f>
        <v>0</v>
      </c>
      <c r="W72" s="4">
        <f>(VLOOKUP('15.01'!AE72,'15.01'!$AM$4:$AP$55,4,FALSE))</f>
        <v>0</v>
      </c>
      <c r="X72" s="4">
        <f>(VLOOKUP('15.01'!AF72,'15.01'!$AM$4:$AP$55,4,FALSE))</f>
        <v>0</v>
      </c>
    </row>
    <row r="73" spans="1:24">
      <c r="A73" s="4">
        <f>(VLOOKUP('15.01'!I73,'15.01'!$AM$4:$AP$55,4,FALSE))</f>
        <v>0</v>
      </c>
      <c r="B73" s="4">
        <f>(VLOOKUP('15.01'!J73,'15.01'!$AM$4:$AP$55,4,FALSE))</f>
        <v>0</v>
      </c>
      <c r="C73" s="4">
        <f>(VLOOKUP('15.01'!K73,'15.01'!$AM$4:$AP$55,4,FALSE))</f>
        <v>0</v>
      </c>
      <c r="D73" s="4">
        <f>(VLOOKUP('15.01'!L73,'15.01'!$AM$4:$AP$55,4,FALSE))</f>
        <v>0</v>
      </c>
      <c r="E73" s="4">
        <f>(VLOOKUP('15.01'!M73,'15.01'!$AM$4:$AP$55,4,FALSE))</f>
        <v>0</v>
      </c>
      <c r="F73" s="4">
        <f>(VLOOKUP('15.01'!N73,'15.01'!$AM$4:$AP$55,4,FALSE))</f>
        <v>0</v>
      </c>
      <c r="G73" s="4">
        <f>(VLOOKUP('15.01'!O73,'15.01'!$AM$4:$AP$55,4,FALSE))</f>
        <v>0</v>
      </c>
      <c r="H73" s="4">
        <f>(VLOOKUP('15.01'!P73,'15.01'!$AM$4:$AP$55,4,FALSE))</f>
        <v>0</v>
      </c>
      <c r="I73" s="4">
        <f>(VLOOKUP('15.01'!Q73,'15.01'!$AM$4:$AP$55,4,FALSE))</f>
        <v>38</v>
      </c>
      <c r="J73" s="4">
        <f>(VLOOKUP('15.01'!R73,'15.01'!$AM$4:$AP$55,4,FALSE))</f>
        <v>38</v>
      </c>
      <c r="K73" s="4">
        <f>(VLOOKUP('15.01'!S73,'15.01'!$AM$4:$AP$55,4,FALSE))</f>
        <v>38</v>
      </c>
      <c r="L73" s="4">
        <f>(VLOOKUP('15.01'!T73,'15.01'!$AM$4:$AP$55,4,FALSE))</f>
        <v>38</v>
      </c>
      <c r="M73" s="4">
        <f>(VLOOKUP('15.01'!U73,'15.01'!$AM$4:$AP$55,4,FALSE))</f>
        <v>38</v>
      </c>
      <c r="N73" s="4">
        <f>(VLOOKUP('15.01'!V73,'15.01'!$AM$4:$AP$55,4,FALSE))</f>
        <v>38</v>
      </c>
      <c r="O73" s="4">
        <f>(VLOOKUP('15.01'!W73,'15.01'!$AM$4:$AP$55,4,FALSE))</f>
        <v>0</v>
      </c>
      <c r="P73" s="4">
        <f>(VLOOKUP('15.01'!X73,'15.01'!$AM$4:$AP$55,4,FALSE))</f>
        <v>0</v>
      </c>
      <c r="Q73" s="4">
        <f>(VLOOKUP('15.01'!Y73,'15.01'!$AM$4:$AP$55,4,FALSE))</f>
        <v>0</v>
      </c>
      <c r="R73" s="4">
        <f>(VLOOKUP('15.01'!Z73,'15.01'!$AM$4:$AP$55,4,FALSE))</f>
        <v>0</v>
      </c>
      <c r="S73" s="4">
        <f>(VLOOKUP('15.01'!AA73,'15.01'!$AM$4:$AP$55,4,FALSE))</f>
        <v>0</v>
      </c>
      <c r="T73" s="4">
        <f>(VLOOKUP('15.01'!AB73,'15.01'!$AM$4:$AP$55,4,FALSE))</f>
        <v>0</v>
      </c>
      <c r="U73" s="4">
        <f>(VLOOKUP('15.01'!AC73,'15.01'!$AM$4:$AP$55,4,FALSE))</f>
        <v>0</v>
      </c>
      <c r="V73" s="4">
        <f>(VLOOKUP('15.01'!AD73,'15.01'!$AM$4:$AP$55,4,FALSE))</f>
        <v>0</v>
      </c>
      <c r="W73" s="4">
        <f>(VLOOKUP('15.01'!AE73,'15.01'!$AM$4:$AP$55,4,FALSE))</f>
        <v>0</v>
      </c>
      <c r="X73" s="4">
        <f>(VLOOKUP('15.01'!AF73,'15.01'!$AM$4:$AP$55,4,FALSE))</f>
        <v>0</v>
      </c>
    </row>
    <row r="74" spans="1:24">
      <c r="A74" s="4">
        <f>(VLOOKUP('15.01'!I74,'15.01'!$AM$4:$AP$55,4,FALSE))</f>
        <v>0</v>
      </c>
      <c r="B74" s="4">
        <f>(VLOOKUP('15.01'!J74,'15.01'!$AM$4:$AP$55,4,FALSE))</f>
        <v>0</v>
      </c>
      <c r="C74" s="4">
        <f>(VLOOKUP('15.01'!K74,'15.01'!$AM$4:$AP$55,4,FALSE))</f>
        <v>0</v>
      </c>
      <c r="D74" s="4">
        <f>(VLOOKUP('15.01'!L74,'15.01'!$AM$4:$AP$55,4,FALSE))</f>
        <v>0</v>
      </c>
      <c r="E74" s="4">
        <f>(VLOOKUP('15.01'!M74,'15.01'!$AM$4:$AP$55,4,FALSE))</f>
        <v>0</v>
      </c>
      <c r="F74" s="4">
        <f>(VLOOKUP('15.01'!N74,'15.01'!$AM$4:$AP$55,4,FALSE))</f>
        <v>0</v>
      </c>
      <c r="G74" s="4">
        <f>(VLOOKUP('15.01'!O74,'15.01'!$AM$4:$AP$55,4,FALSE))</f>
        <v>0</v>
      </c>
      <c r="H74" s="4">
        <f>(VLOOKUP('15.01'!P74,'15.01'!$AM$4:$AP$55,4,FALSE))</f>
        <v>0</v>
      </c>
      <c r="I74" s="4">
        <f>(VLOOKUP('15.01'!Q74,'15.01'!$AM$4:$AP$55,4,FALSE))</f>
        <v>38</v>
      </c>
      <c r="J74" s="4">
        <f>(VLOOKUP('15.01'!R74,'15.01'!$AM$4:$AP$55,4,FALSE))</f>
        <v>38</v>
      </c>
      <c r="K74" s="4">
        <f>(VLOOKUP('15.01'!S74,'15.01'!$AM$4:$AP$55,4,FALSE))</f>
        <v>38</v>
      </c>
      <c r="L74" s="4">
        <f>(VLOOKUP('15.01'!T74,'15.01'!$AM$4:$AP$55,4,FALSE))</f>
        <v>38</v>
      </c>
      <c r="M74" s="4">
        <f>(VLOOKUP('15.01'!U74,'15.01'!$AM$4:$AP$55,4,FALSE))</f>
        <v>38</v>
      </c>
      <c r="N74" s="4">
        <f>(VLOOKUP('15.01'!V74,'15.01'!$AM$4:$AP$55,4,FALSE))</f>
        <v>38</v>
      </c>
      <c r="O74" s="4">
        <f>(VLOOKUP('15.01'!W74,'15.01'!$AM$4:$AP$55,4,FALSE))</f>
        <v>0</v>
      </c>
      <c r="P74" s="4">
        <f>(VLOOKUP('15.01'!X74,'15.01'!$AM$4:$AP$55,4,FALSE))</f>
        <v>0</v>
      </c>
      <c r="Q74" s="4">
        <f>(VLOOKUP('15.01'!Y74,'15.01'!$AM$4:$AP$55,4,FALSE))</f>
        <v>10</v>
      </c>
      <c r="R74" s="4">
        <f>(VLOOKUP('15.01'!Z74,'15.01'!$AM$4:$AP$55,4,FALSE))</f>
        <v>0</v>
      </c>
      <c r="S74" s="4">
        <f>(VLOOKUP('15.01'!AA74,'15.01'!$AM$4:$AP$55,4,FALSE))</f>
        <v>0</v>
      </c>
      <c r="T74" s="4">
        <f>(VLOOKUP('15.01'!AB74,'15.01'!$AM$4:$AP$55,4,FALSE))</f>
        <v>0</v>
      </c>
      <c r="U74" s="4">
        <f>(VLOOKUP('15.01'!AC74,'15.01'!$AM$4:$AP$55,4,FALSE))</f>
        <v>0</v>
      </c>
      <c r="V74" s="4">
        <f>(VLOOKUP('15.01'!AD74,'15.01'!$AM$4:$AP$55,4,FALSE))</f>
        <v>0</v>
      </c>
      <c r="W74" s="4">
        <f>(VLOOKUP('15.01'!AE74,'15.01'!$AM$4:$AP$55,4,FALSE))</f>
        <v>0</v>
      </c>
      <c r="X74" s="4">
        <f>(VLOOKUP('15.01'!AF74,'15.01'!$AM$4:$AP$55,4,FALSE))</f>
        <v>0</v>
      </c>
    </row>
    <row r="75" spans="1:24">
      <c r="A75" s="4">
        <f>(VLOOKUP('15.01'!I75,'15.01'!$AM$4:$AP$55,4,FALSE))</f>
        <v>0</v>
      </c>
      <c r="B75" s="4">
        <f>(VLOOKUP('15.01'!J75,'15.01'!$AM$4:$AP$55,4,FALSE))</f>
        <v>0</v>
      </c>
      <c r="C75" s="4">
        <f>(VLOOKUP('15.01'!K75,'15.01'!$AM$4:$AP$55,4,FALSE))</f>
        <v>0</v>
      </c>
      <c r="D75" s="4">
        <f>(VLOOKUP('15.01'!L75,'15.01'!$AM$4:$AP$55,4,FALSE))</f>
        <v>0</v>
      </c>
      <c r="E75" s="4">
        <f>(VLOOKUP('15.01'!M75,'15.01'!$AM$4:$AP$55,4,FALSE))</f>
        <v>0</v>
      </c>
      <c r="F75" s="4">
        <f>(VLOOKUP('15.01'!N75,'15.01'!$AM$4:$AP$55,4,FALSE))</f>
        <v>0</v>
      </c>
      <c r="G75" s="4">
        <f>(VLOOKUP('15.01'!O75,'15.01'!$AM$4:$AP$55,4,FALSE))</f>
        <v>0</v>
      </c>
      <c r="H75" s="4">
        <f>(VLOOKUP('15.01'!P75,'15.01'!$AM$4:$AP$55,4,FALSE))</f>
        <v>0</v>
      </c>
      <c r="I75" s="4">
        <f>(VLOOKUP('15.01'!Q75,'15.01'!$AM$4:$AP$55,4,FALSE))</f>
        <v>38</v>
      </c>
      <c r="J75" s="4">
        <f>(VLOOKUP('15.01'!R75,'15.01'!$AM$4:$AP$55,4,FALSE))</f>
        <v>38</v>
      </c>
      <c r="K75" s="4">
        <f>(VLOOKUP('15.01'!S75,'15.01'!$AM$4:$AP$55,4,FALSE))</f>
        <v>38</v>
      </c>
      <c r="L75" s="4">
        <f>(VLOOKUP('15.01'!T75,'15.01'!$AM$4:$AP$55,4,FALSE))</f>
        <v>38</v>
      </c>
      <c r="M75" s="4">
        <f>(VLOOKUP('15.01'!U75,'15.01'!$AM$4:$AP$55,4,FALSE))</f>
        <v>38</v>
      </c>
      <c r="N75" s="4">
        <f>(VLOOKUP('15.01'!V75,'15.01'!$AM$4:$AP$55,4,FALSE))</f>
        <v>38</v>
      </c>
      <c r="O75" s="4">
        <f>(VLOOKUP('15.01'!W75,'15.01'!$AM$4:$AP$55,4,FALSE))</f>
        <v>0</v>
      </c>
      <c r="P75" s="4">
        <f>(VLOOKUP('15.01'!X75,'15.01'!$AM$4:$AP$55,4,FALSE))</f>
        <v>0</v>
      </c>
      <c r="Q75" s="4">
        <f>(VLOOKUP('15.01'!Y75,'15.01'!$AM$4:$AP$55,4,FALSE))</f>
        <v>0</v>
      </c>
      <c r="R75" s="4">
        <f>(VLOOKUP('15.01'!Z75,'15.01'!$AM$4:$AP$55,4,FALSE))</f>
        <v>0</v>
      </c>
      <c r="S75" s="4">
        <f>(VLOOKUP('15.01'!AA75,'15.01'!$AM$4:$AP$55,4,FALSE))</f>
        <v>0</v>
      </c>
      <c r="T75" s="4">
        <f>(VLOOKUP('15.01'!AB75,'15.01'!$AM$4:$AP$55,4,FALSE))</f>
        <v>0</v>
      </c>
      <c r="U75" s="4">
        <f>(VLOOKUP('15.01'!AC75,'15.01'!$AM$4:$AP$55,4,FALSE))</f>
        <v>0</v>
      </c>
      <c r="V75" s="4">
        <f>(VLOOKUP('15.01'!AD75,'15.01'!$AM$4:$AP$55,4,FALSE))</f>
        <v>0</v>
      </c>
      <c r="W75" s="4">
        <f>(VLOOKUP('15.01'!AE75,'15.01'!$AM$4:$AP$55,4,FALSE))</f>
        <v>0</v>
      </c>
      <c r="X75" s="4">
        <f>(VLOOKUP('15.01'!AF75,'15.01'!$AM$4:$AP$55,4,FALSE))</f>
        <v>0</v>
      </c>
    </row>
    <row r="76" spans="1:24">
      <c r="A76" s="4">
        <f>(VLOOKUP('15.01'!I76,'15.01'!$AM$4:$AP$55,4,FALSE))</f>
        <v>0</v>
      </c>
      <c r="B76" s="4">
        <f>(VLOOKUP('15.01'!J76,'15.01'!$AM$4:$AP$55,4,FALSE))</f>
        <v>0</v>
      </c>
      <c r="C76" s="4">
        <f>(VLOOKUP('15.01'!K76,'15.01'!$AM$4:$AP$55,4,FALSE))</f>
        <v>0</v>
      </c>
      <c r="D76" s="4">
        <f>(VLOOKUP('15.01'!L76,'15.01'!$AM$4:$AP$55,4,FALSE))</f>
        <v>0</v>
      </c>
      <c r="E76" s="4">
        <f>(VLOOKUP('15.01'!M76,'15.01'!$AM$4:$AP$55,4,FALSE))</f>
        <v>0</v>
      </c>
      <c r="F76" s="4">
        <f>(VLOOKUP('15.01'!N76,'15.01'!$AM$4:$AP$55,4,FALSE))</f>
        <v>0</v>
      </c>
      <c r="G76" s="4">
        <f>(VLOOKUP('15.01'!O76,'15.01'!$AM$4:$AP$55,4,FALSE))</f>
        <v>0</v>
      </c>
      <c r="H76" s="4">
        <f>(VLOOKUP('15.01'!P76,'15.01'!$AM$4:$AP$55,4,FALSE))</f>
        <v>0</v>
      </c>
      <c r="I76" s="4">
        <f>(VLOOKUP('15.01'!Q76,'15.01'!$AM$4:$AP$55,4,FALSE))</f>
        <v>38</v>
      </c>
      <c r="J76" s="4">
        <f>(VLOOKUP('15.01'!R76,'15.01'!$AM$4:$AP$55,4,FALSE))</f>
        <v>38</v>
      </c>
      <c r="K76" s="4">
        <f>(VLOOKUP('15.01'!S76,'15.01'!$AM$4:$AP$55,4,FALSE))</f>
        <v>38</v>
      </c>
      <c r="L76" s="4">
        <f>(VLOOKUP('15.01'!T76,'15.01'!$AM$4:$AP$55,4,FALSE))</f>
        <v>38</v>
      </c>
      <c r="M76" s="4">
        <f>(VLOOKUP('15.01'!U76,'15.01'!$AM$4:$AP$55,4,FALSE))</f>
        <v>38</v>
      </c>
      <c r="N76" s="4">
        <f>(VLOOKUP('15.01'!V76,'15.01'!$AM$4:$AP$55,4,FALSE))</f>
        <v>38</v>
      </c>
      <c r="O76" s="4">
        <f>(VLOOKUP('15.01'!W76,'15.01'!$AM$4:$AP$55,4,FALSE))</f>
        <v>0</v>
      </c>
      <c r="P76" s="4">
        <f>(VLOOKUP('15.01'!X76,'15.01'!$AM$4:$AP$55,4,FALSE))</f>
        <v>0</v>
      </c>
      <c r="Q76" s="4">
        <f>(VLOOKUP('15.01'!Y76,'15.01'!$AM$4:$AP$55,4,FALSE))</f>
        <v>0</v>
      </c>
      <c r="R76" s="4">
        <f>(VLOOKUP('15.01'!Z76,'15.01'!$AM$4:$AP$55,4,FALSE))</f>
        <v>0</v>
      </c>
      <c r="S76" s="4">
        <f>(VLOOKUP('15.01'!AA76,'15.01'!$AM$4:$AP$55,4,FALSE))</f>
        <v>0</v>
      </c>
      <c r="T76" s="4">
        <f>(VLOOKUP('15.01'!AB76,'15.01'!$AM$4:$AP$55,4,FALSE))</f>
        <v>0</v>
      </c>
      <c r="U76" s="4">
        <f>(VLOOKUP('15.01'!AC76,'15.01'!$AM$4:$AP$55,4,FALSE))</f>
        <v>0</v>
      </c>
      <c r="V76" s="4">
        <f>(VLOOKUP('15.01'!AD76,'15.01'!$AM$4:$AP$55,4,FALSE))</f>
        <v>0</v>
      </c>
      <c r="W76" s="4">
        <f>(VLOOKUP('15.01'!AE76,'15.01'!$AM$4:$AP$55,4,FALSE))</f>
        <v>0</v>
      </c>
      <c r="X76" s="4">
        <f>(VLOOKUP('15.01'!AF76,'15.01'!$AM$4:$AP$55,4,FALSE))</f>
        <v>0</v>
      </c>
    </row>
    <row r="77" spans="1:24">
      <c r="A77" s="4">
        <f>(VLOOKUP('15.01'!I77,'15.01'!$AM$4:$AP$55,4,FALSE))</f>
        <v>0</v>
      </c>
      <c r="B77" s="4">
        <f>(VLOOKUP('15.01'!J77,'15.01'!$AM$4:$AP$55,4,FALSE))</f>
        <v>0</v>
      </c>
      <c r="C77" s="4">
        <f>(VLOOKUP('15.01'!K77,'15.01'!$AM$4:$AP$55,4,FALSE))</f>
        <v>0</v>
      </c>
      <c r="D77" s="4">
        <f>(VLOOKUP('15.01'!L77,'15.01'!$AM$4:$AP$55,4,FALSE))</f>
        <v>0</v>
      </c>
      <c r="E77" s="4">
        <f>(VLOOKUP('15.01'!M77,'15.01'!$AM$4:$AP$55,4,FALSE))</f>
        <v>0</v>
      </c>
      <c r="F77" s="4">
        <f>(VLOOKUP('15.01'!N77,'15.01'!$AM$4:$AP$55,4,FALSE))</f>
        <v>0</v>
      </c>
      <c r="G77" s="4">
        <f>(VLOOKUP('15.01'!O77,'15.01'!$AM$4:$AP$55,4,FALSE))</f>
        <v>0</v>
      </c>
      <c r="H77" s="4">
        <f>(VLOOKUP('15.01'!P77,'15.01'!$AM$4:$AP$55,4,FALSE))</f>
        <v>0</v>
      </c>
      <c r="I77" s="4">
        <f>(VLOOKUP('15.01'!Q77,'15.01'!$AM$4:$AP$55,4,FALSE))</f>
        <v>38</v>
      </c>
      <c r="J77" s="4">
        <f>(VLOOKUP('15.01'!R77,'15.01'!$AM$4:$AP$55,4,FALSE))</f>
        <v>38</v>
      </c>
      <c r="K77" s="4">
        <f>(VLOOKUP('15.01'!S77,'15.01'!$AM$4:$AP$55,4,FALSE))</f>
        <v>38</v>
      </c>
      <c r="L77" s="4">
        <f>(VLOOKUP('15.01'!T77,'15.01'!$AM$4:$AP$55,4,FALSE))</f>
        <v>38</v>
      </c>
      <c r="M77" s="4">
        <f>(VLOOKUP('15.01'!U77,'15.01'!$AM$4:$AP$55,4,FALSE))</f>
        <v>38</v>
      </c>
      <c r="N77" s="4">
        <f>(VLOOKUP('15.01'!V77,'15.01'!$AM$4:$AP$55,4,FALSE))</f>
        <v>38</v>
      </c>
      <c r="O77" s="4">
        <f>(VLOOKUP('15.01'!W77,'15.01'!$AM$4:$AP$55,4,FALSE))</f>
        <v>0</v>
      </c>
      <c r="P77" s="4">
        <f>(VLOOKUP('15.01'!X77,'15.01'!$AM$4:$AP$55,4,FALSE))</f>
        <v>0</v>
      </c>
      <c r="Q77" s="4">
        <f>(VLOOKUP('15.01'!Y77,'15.01'!$AM$4:$AP$55,4,FALSE))</f>
        <v>0</v>
      </c>
      <c r="R77" s="4">
        <f>(VLOOKUP('15.01'!Z77,'15.01'!$AM$4:$AP$55,4,FALSE))</f>
        <v>0</v>
      </c>
      <c r="S77" s="4">
        <f>(VLOOKUP('15.01'!AA77,'15.01'!$AM$4:$AP$55,4,FALSE))</f>
        <v>0</v>
      </c>
      <c r="T77" s="4">
        <f>(VLOOKUP('15.01'!AB77,'15.01'!$AM$4:$AP$55,4,FALSE))</f>
        <v>0</v>
      </c>
      <c r="U77" s="4">
        <f>(VLOOKUP('15.01'!AC77,'15.01'!$AM$4:$AP$55,4,FALSE))</f>
        <v>0</v>
      </c>
      <c r="V77" s="4">
        <f>(VLOOKUP('15.01'!AD77,'15.01'!$AM$4:$AP$55,4,FALSE))</f>
        <v>0</v>
      </c>
      <c r="W77" s="4">
        <f>(VLOOKUP('15.01'!AE77,'15.01'!$AM$4:$AP$55,4,FALSE))</f>
        <v>0</v>
      </c>
      <c r="X77" s="4">
        <f>(VLOOKUP('15.01'!AF77,'15.01'!$AM$4:$AP$55,4,FALSE))</f>
        <v>0</v>
      </c>
    </row>
    <row r="78" spans="1:24">
      <c r="A78" s="4">
        <f>(VLOOKUP('15.01'!I78,'15.01'!$AM$4:$AP$55,4,FALSE))</f>
        <v>0</v>
      </c>
      <c r="B78" s="4">
        <f>(VLOOKUP('15.01'!J78,'15.01'!$AM$4:$AP$55,4,FALSE))</f>
        <v>0</v>
      </c>
      <c r="C78" s="4">
        <f>(VLOOKUP('15.01'!K78,'15.01'!$AM$4:$AP$55,4,FALSE))</f>
        <v>0</v>
      </c>
      <c r="D78" s="4">
        <f>(VLOOKUP('15.01'!L78,'15.01'!$AM$4:$AP$55,4,FALSE))</f>
        <v>0</v>
      </c>
      <c r="E78" s="4">
        <f>(VLOOKUP('15.01'!M78,'15.01'!$AM$4:$AP$55,4,FALSE))</f>
        <v>0</v>
      </c>
      <c r="F78" s="4">
        <f>(VLOOKUP('15.01'!N78,'15.01'!$AM$4:$AP$55,4,FALSE))</f>
        <v>0</v>
      </c>
      <c r="G78" s="4">
        <f>(VLOOKUP('15.01'!O78,'15.01'!$AM$4:$AP$55,4,FALSE))</f>
        <v>0</v>
      </c>
      <c r="H78" s="4">
        <f>(VLOOKUP('15.01'!P78,'15.01'!$AM$4:$AP$55,4,FALSE))</f>
        <v>0</v>
      </c>
      <c r="I78" s="4">
        <f>(VLOOKUP('15.01'!Q78,'15.01'!$AM$4:$AP$55,4,FALSE))</f>
        <v>38</v>
      </c>
      <c r="J78" s="4">
        <f>(VLOOKUP('15.01'!R78,'15.01'!$AM$4:$AP$55,4,FALSE))</f>
        <v>38</v>
      </c>
      <c r="K78" s="4">
        <f>(VLOOKUP('15.01'!S78,'15.01'!$AM$4:$AP$55,4,FALSE))</f>
        <v>0</v>
      </c>
      <c r="L78" s="4">
        <f>(VLOOKUP('15.01'!T78,'15.01'!$AM$4:$AP$55,4,FALSE))</f>
        <v>38</v>
      </c>
      <c r="M78" s="4">
        <f>(VLOOKUP('15.01'!U78,'15.01'!$AM$4:$AP$55,4,FALSE))</f>
        <v>38</v>
      </c>
      <c r="N78" s="4">
        <f>(VLOOKUP('15.01'!V78,'15.01'!$AM$4:$AP$55,4,FALSE))</f>
        <v>38</v>
      </c>
      <c r="O78" s="4">
        <f>(VLOOKUP('15.01'!W78,'15.01'!$AM$4:$AP$55,4,FALSE))</f>
        <v>0</v>
      </c>
      <c r="P78" s="4">
        <f>(VLOOKUP('15.01'!X78,'15.01'!$AM$4:$AP$55,4,FALSE))</f>
        <v>0</v>
      </c>
      <c r="Q78" s="4">
        <f>(VLOOKUP('15.01'!Y78,'15.01'!$AM$4:$AP$55,4,FALSE))</f>
        <v>0</v>
      </c>
      <c r="R78" s="4">
        <f>(VLOOKUP('15.01'!Z78,'15.01'!$AM$4:$AP$55,4,FALSE))</f>
        <v>0</v>
      </c>
      <c r="S78" s="4">
        <f>(VLOOKUP('15.01'!AA78,'15.01'!$AM$4:$AP$55,4,FALSE))</f>
        <v>0</v>
      </c>
      <c r="T78" s="4">
        <f>(VLOOKUP('15.01'!AB78,'15.01'!$AM$4:$AP$55,4,FALSE))</f>
        <v>0</v>
      </c>
      <c r="U78" s="4">
        <f>(VLOOKUP('15.01'!AC78,'15.01'!$AM$4:$AP$55,4,FALSE))</f>
        <v>0</v>
      </c>
      <c r="V78" s="4">
        <f>(VLOOKUP('15.01'!AD78,'15.01'!$AM$4:$AP$55,4,FALSE))</f>
        <v>0</v>
      </c>
      <c r="W78" s="4">
        <f>(VLOOKUP('15.01'!AE78,'15.01'!$AM$4:$AP$55,4,FALSE))</f>
        <v>0</v>
      </c>
      <c r="X78" s="4">
        <f>(VLOOKUP('15.01'!AF78,'15.01'!$AM$4:$AP$55,4,FALSE))</f>
        <v>0</v>
      </c>
    </row>
    <row r="79" spans="1:24">
      <c r="A79" s="4">
        <f>(VLOOKUP('15.01'!I79,'15.01'!$AM$4:$AP$55,4,FALSE))</f>
        <v>0</v>
      </c>
      <c r="B79" s="4">
        <f>(VLOOKUP('15.01'!J79,'15.01'!$AM$4:$AP$55,4,FALSE))</f>
        <v>0</v>
      </c>
      <c r="C79" s="4">
        <f>(VLOOKUP('15.01'!K79,'15.01'!$AM$4:$AP$55,4,FALSE))</f>
        <v>0</v>
      </c>
      <c r="D79" s="4">
        <f>(VLOOKUP('15.01'!L79,'15.01'!$AM$4:$AP$55,4,FALSE))</f>
        <v>0</v>
      </c>
      <c r="E79" s="4">
        <f>(VLOOKUP('15.01'!M79,'15.01'!$AM$4:$AP$55,4,FALSE))</f>
        <v>0</v>
      </c>
      <c r="F79" s="4">
        <f>(VLOOKUP('15.01'!N79,'15.01'!$AM$4:$AP$55,4,FALSE))</f>
        <v>0</v>
      </c>
      <c r="G79" s="4">
        <f>(VLOOKUP('15.01'!O79,'15.01'!$AM$4:$AP$55,4,FALSE))</f>
        <v>0</v>
      </c>
      <c r="H79" s="4">
        <f>(VLOOKUP('15.01'!P79,'15.01'!$AM$4:$AP$55,4,FALSE))</f>
        <v>0</v>
      </c>
      <c r="I79" s="4">
        <f>(VLOOKUP('15.01'!Q79,'15.01'!$AM$4:$AP$55,4,FALSE))</f>
        <v>38</v>
      </c>
      <c r="J79" s="4">
        <f>(VLOOKUP('15.01'!R79,'15.01'!$AM$4:$AP$55,4,FALSE))</f>
        <v>38</v>
      </c>
      <c r="K79" s="4">
        <f>(VLOOKUP('15.01'!S79,'15.01'!$AM$4:$AP$55,4,FALSE))</f>
        <v>10</v>
      </c>
      <c r="L79" s="4">
        <f>(VLOOKUP('15.01'!T79,'15.01'!$AM$4:$AP$55,4,FALSE))</f>
        <v>38</v>
      </c>
      <c r="M79" s="4">
        <f>(VLOOKUP('15.01'!U79,'15.01'!$AM$4:$AP$55,4,FALSE))</f>
        <v>38</v>
      </c>
      <c r="N79" s="4">
        <f>(VLOOKUP('15.01'!V79,'15.01'!$AM$4:$AP$55,4,FALSE))</f>
        <v>38</v>
      </c>
      <c r="O79" s="4">
        <f>(VLOOKUP('15.01'!W79,'15.01'!$AM$4:$AP$55,4,FALSE))</f>
        <v>0</v>
      </c>
      <c r="P79" s="4">
        <f>(VLOOKUP('15.01'!X79,'15.01'!$AM$4:$AP$55,4,FALSE))</f>
        <v>0</v>
      </c>
      <c r="Q79" s="4">
        <f>(VLOOKUP('15.01'!Y79,'15.01'!$AM$4:$AP$55,4,FALSE))</f>
        <v>0</v>
      </c>
      <c r="R79" s="4">
        <f>(VLOOKUP('15.01'!Z79,'15.01'!$AM$4:$AP$55,4,FALSE))</f>
        <v>0</v>
      </c>
      <c r="S79" s="4">
        <f>(VLOOKUP('15.01'!AA79,'15.01'!$AM$4:$AP$55,4,FALSE))</f>
        <v>0</v>
      </c>
      <c r="T79" s="4">
        <f>(VLOOKUP('15.01'!AB79,'15.01'!$AM$4:$AP$55,4,FALSE))</f>
        <v>0</v>
      </c>
      <c r="U79" s="4">
        <f>(VLOOKUP('15.01'!AC79,'15.01'!$AM$4:$AP$55,4,FALSE))</f>
        <v>0</v>
      </c>
      <c r="V79" s="4">
        <f>(VLOOKUP('15.01'!AD79,'15.01'!$AM$4:$AP$55,4,FALSE))</f>
        <v>0</v>
      </c>
      <c r="W79" s="4">
        <f>(VLOOKUP('15.01'!AE79,'15.01'!$AM$4:$AP$55,4,FALSE))</f>
        <v>0</v>
      </c>
      <c r="X79" s="4">
        <f>(VLOOKUP('15.01'!AF79,'15.01'!$AM$4:$AP$55,4,FALSE))</f>
        <v>0</v>
      </c>
    </row>
    <row r="80" spans="1:24">
      <c r="A80" s="4">
        <f>(VLOOKUP('15.01'!I80,'15.01'!$AM$4:$AP$55,4,FALSE))</f>
        <v>0</v>
      </c>
      <c r="B80" s="4">
        <f>(VLOOKUP('15.01'!J80,'15.01'!$AM$4:$AP$55,4,FALSE))</f>
        <v>0</v>
      </c>
      <c r="C80" s="4">
        <f>(VLOOKUP('15.01'!K80,'15.01'!$AM$4:$AP$55,4,FALSE))</f>
        <v>0</v>
      </c>
      <c r="D80" s="4">
        <f>(VLOOKUP('15.01'!L80,'15.01'!$AM$4:$AP$55,4,FALSE))</f>
        <v>0</v>
      </c>
      <c r="E80" s="4">
        <f>(VLOOKUP('15.01'!M80,'15.01'!$AM$4:$AP$55,4,FALSE))</f>
        <v>0</v>
      </c>
      <c r="F80" s="4">
        <f>(VLOOKUP('15.01'!N80,'15.01'!$AM$4:$AP$55,4,FALSE))</f>
        <v>0</v>
      </c>
      <c r="G80" s="4">
        <f>(VLOOKUP('15.01'!O80,'15.01'!$AM$4:$AP$55,4,FALSE))</f>
        <v>0</v>
      </c>
      <c r="H80" s="4">
        <f>(VLOOKUP('15.01'!P80,'15.01'!$AM$4:$AP$55,4,FALSE))</f>
        <v>0</v>
      </c>
      <c r="I80" s="4">
        <f>(VLOOKUP('15.01'!Q80,'15.01'!$AM$4:$AP$55,4,FALSE))</f>
        <v>38</v>
      </c>
      <c r="J80" s="4">
        <f>(VLOOKUP('15.01'!R80,'15.01'!$AM$4:$AP$55,4,FALSE))</f>
        <v>38</v>
      </c>
      <c r="K80" s="4">
        <f>(VLOOKUP('15.01'!S80,'15.01'!$AM$4:$AP$55,4,FALSE))</f>
        <v>38</v>
      </c>
      <c r="L80" s="4">
        <f>(VLOOKUP('15.01'!T80,'15.01'!$AM$4:$AP$55,4,FALSE))</f>
        <v>38</v>
      </c>
      <c r="M80" s="4">
        <f>(VLOOKUP('15.01'!U80,'15.01'!$AM$4:$AP$55,4,FALSE))</f>
        <v>38</v>
      </c>
      <c r="N80" s="4">
        <f>(VLOOKUP('15.01'!V80,'15.01'!$AM$4:$AP$55,4,FALSE))</f>
        <v>38</v>
      </c>
      <c r="O80" s="4">
        <f>(VLOOKUP('15.01'!W80,'15.01'!$AM$4:$AP$55,4,FALSE))</f>
        <v>0</v>
      </c>
      <c r="P80" s="4">
        <f>(VLOOKUP('15.01'!X80,'15.01'!$AM$4:$AP$55,4,FALSE))</f>
        <v>0</v>
      </c>
      <c r="Q80" s="4">
        <f>(VLOOKUP('15.01'!Y80,'15.01'!$AM$4:$AP$55,4,FALSE))</f>
        <v>0</v>
      </c>
      <c r="R80" s="4">
        <f>(VLOOKUP('15.01'!Z80,'15.01'!$AM$4:$AP$55,4,FALSE))</f>
        <v>0</v>
      </c>
      <c r="S80" s="4">
        <f>(VLOOKUP('15.01'!AA80,'15.01'!$AM$4:$AP$55,4,FALSE))</f>
        <v>0</v>
      </c>
      <c r="T80" s="4">
        <f>(VLOOKUP('15.01'!AB80,'15.01'!$AM$4:$AP$55,4,FALSE))</f>
        <v>0</v>
      </c>
      <c r="U80" s="4">
        <f>(VLOOKUP('15.01'!AC80,'15.01'!$AM$4:$AP$55,4,FALSE))</f>
        <v>0</v>
      </c>
      <c r="V80" s="4">
        <f>(VLOOKUP('15.01'!AD80,'15.01'!$AM$4:$AP$55,4,FALSE))</f>
        <v>0</v>
      </c>
      <c r="W80" s="4">
        <f>(VLOOKUP('15.01'!AE80,'15.01'!$AM$4:$AP$55,4,FALSE))</f>
        <v>0</v>
      </c>
      <c r="X80" s="4">
        <f>(VLOOKUP('15.01'!AF80,'15.01'!$AM$4:$AP$55,4,FALSE))</f>
        <v>0</v>
      </c>
    </row>
    <row r="81" spans="1:24">
      <c r="A81" s="4">
        <f>(VLOOKUP('15.01'!I81,'15.01'!$AM$4:$AP$55,4,FALSE))</f>
        <v>0</v>
      </c>
      <c r="B81" s="4">
        <f>(VLOOKUP('15.01'!J81,'15.01'!$AM$4:$AP$55,4,FALSE))</f>
        <v>0</v>
      </c>
      <c r="C81" s="4">
        <f>(VLOOKUP('15.01'!K81,'15.01'!$AM$4:$AP$55,4,FALSE))</f>
        <v>0</v>
      </c>
      <c r="D81" s="4">
        <f>(VLOOKUP('15.01'!L81,'15.01'!$AM$4:$AP$55,4,FALSE))</f>
        <v>0</v>
      </c>
      <c r="E81" s="4">
        <f>(VLOOKUP('15.01'!M81,'15.01'!$AM$4:$AP$55,4,FALSE))</f>
        <v>0</v>
      </c>
      <c r="F81" s="4">
        <f>(VLOOKUP('15.01'!N81,'15.01'!$AM$4:$AP$55,4,FALSE))</f>
        <v>0</v>
      </c>
      <c r="G81" s="4">
        <f>(VLOOKUP('15.01'!O81,'15.01'!$AM$4:$AP$55,4,FALSE))</f>
        <v>0</v>
      </c>
      <c r="H81" s="4">
        <f>(VLOOKUP('15.01'!P81,'15.01'!$AM$4:$AP$55,4,FALSE))</f>
        <v>0</v>
      </c>
      <c r="I81" s="4">
        <f>(VLOOKUP('15.01'!Q81,'15.01'!$AM$4:$AP$55,4,FALSE))</f>
        <v>38</v>
      </c>
      <c r="J81" s="4">
        <f>(VLOOKUP('15.01'!R81,'15.01'!$AM$4:$AP$55,4,FALSE))</f>
        <v>38</v>
      </c>
      <c r="K81" s="4">
        <f>(VLOOKUP('15.01'!S81,'15.01'!$AM$4:$AP$55,4,FALSE))</f>
        <v>38</v>
      </c>
      <c r="L81" s="4">
        <f>(VLOOKUP('15.01'!T81,'15.01'!$AM$4:$AP$55,4,FALSE))</f>
        <v>38</v>
      </c>
      <c r="M81" s="4">
        <f>(VLOOKUP('15.01'!U81,'15.01'!$AM$4:$AP$55,4,FALSE))</f>
        <v>38</v>
      </c>
      <c r="N81" s="4">
        <f>(VLOOKUP('15.01'!V81,'15.01'!$AM$4:$AP$55,4,FALSE))</f>
        <v>38</v>
      </c>
      <c r="O81" s="4">
        <f>(VLOOKUP('15.01'!W81,'15.01'!$AM$4:$AP$55,4,FALSE))</f>
        <v>0</v>
      </c>
      <c r="P81" s="4">
        <f>(VLOOKUP('15.01'!X81,'15.01'!$AM$4:$AP$55,4,FALSE))</f>
        <v>0</v>
      </c>
      <c r="Q81" s="4">
        <f>(VLOOKUP('15.01'!Y81,'15.01'!$AM$4:$AP$55,4,FALSE))</f>
        <v>0</v>
      </c>
      <c r="R81" s="4">
        <f>(VLOOKUP('15.01'!Z81,'15.01'!$AM$4:$AP$55,4,FALSE))</f>
        <v>0</v>
      </c>
      <c r="S81" s="4">
        <f>(VLOOKUP('15.01'!AA81,'15.01'!$AM$4:$AP$55,4,FALSE))</f>
        <v>0</v>
      </c>
      <c r="T81" s="4">
        <f>(VLOOKUP('15.01'!AB81,'15.01'!$AM$4:$AP$55,4,FALSE))</f>
        <v>0</v>
      </c>
      <c r="U81" s="4">
        <f>(VLOOKUP('15.01'!AC81,'15.01'!$AM$4:$AP$55,4,FALSE))</f>
        <v>0</v>
      </c>
      <c r="V81" s="4">
        <f>(VLOOKUP('15.01'!AD81,'15.01'!$AM$4:$AP$55,4,FALSE))</f>
        <v>0</v>
      </c>
      <c r="W81" s="4">
        <f>(VLOOKUP('15.01'!AE81,'15.01'!$AM$4:$AP$55,4,FALSE))</f>
        <v>0</v>
      </c>
      <c r="X81" s="4">
        <f>(VLOOKUP('15.01'!AF81,'15.01'!$AM$4:$AP$55,4,FALSE))</f>
        <v>0</v>
      </c>
    </row>
    <row r="82" spans="1:24">
      <c r="A82" s="4">
        <f>(VLOOKUP('15.01'!I82,'15.01'!$AM$4:$AP$55,4,FALSE))</f>
        <v>0</v>
      </c>
      <c r="B82" s="4">
        <f>(VLOOKUP('15.01'!J82,'15.01'!$AM$4:$AP$55,4,FALSE))</f>
        <v>0</v>
      </c>
      <c r="C82" s="4">
        <f>(VLOOKUP('15.01'!K82,'15.01'!$AM$4:$AP$55,4,FALSE))</f>
        <v>0</v>
      </c>
      <c r="D82" s="4">
        <f>(VLOOKUP('15.01'!L82,'15.01'!$AM$4:$AP$55,4,FALSE))</f>
        <v>0</v>
      </c>
      <c r="E82" s="4">
        <f>(VLOOKUP('15.01'!M82,'15.01'!$AM$4:$AP$55,4,FALSE))</f>
        <v>0</v>
      </c>
      <c r="F82" s="4">
        <f>(VLOOKUP('15.01'!N82,'15.01'!$AM$4:$AP$55,4,FALSE))</f>
        <v>0</v>
      </c>
      <c r="G82" s="4">
        <f>(VLOOKUP('15.01'!O82,'15.01'!$AM$4:$AP$55,4,FALSE))</f>
        <v>0</v>
      </c>
      <c r="H82" s="4">
        <f>(VLOOKUP('15.01'!P82,'15.01'!$AM$4:$AP$55,4,FALSE))</f>
        <v>0</v>
      </c>
      <c r="I82" s="4">
        <f>(VLOOKUP('15.01'!Q82,'15.01'!$AM$4:$AP$55,4,FALSE))</f>
        <v>38</v>
      </c>
      <c r="J82" s="4">
        <f>(VLOOKUP('15.01'!R82,'15.01'!$AM$4:$AP$55,4,FALSE))</f>
        <v>38</v>
      </c>
      <c r="K82" s="4">
        <f>(VLOOKUP('15.01'!S82,'15.01'!$AM$4:$AP$55,4,FALSE))</f>
        <v>38</v>
      </c>
      <c r="L82" s="4">
        <f>(VLOOKUP('15.01'!T82,'15.01'!$AM$4:$AP$55,4,FALSE))</f>
        <v>38</v>
      </c>
      <c r="M82" s="4">
        <f>(VLOOKUP('15.01'!U82,'15.01'!$AM$4:$AP$55,4,FALSE))</f>
        <v>38</v>
      </c>
      <c r="N82" s="4">
        <f>(VLOOKUP('15.01'!V82,'15.01'!$AM$4:$AP$55,4,FALSE))</f>
        <v>38</v>
      </c>
      <c r="O82" s="4">
        <f>(VLOOKUP('15.01'!W82,'15.01'!$AM$4:$AP$55,4,FALSE))</f>
        <v>0</v>
      </c>
      <c r="P82" s="4">
        <f>(VLOOKUP('15.01'!X82,'15.01'!$AM$4:$AP$55,4,FALSE))</f>
        <v>0</v>
      </c>
      <c r="Q82" s="4">
        <f>(VLOOKUP('15.01'!Y82,'15.01'!$AM$4:$AP$55,4,FALSE))</f>
        <v>38</v>
      </c>
      <c r="R82" s="4">
        <f>(VLOOKUP('15.01'!Z82,'15.01'!$AM$4:$AP$55,4,FALSE))</f>
        <v>38</v>
      </c>
      <c r="S82" s="4">
        <f>(VLOOKUP('15.01'!AA82,'15.01'!$AM$4:$AP$55,4,FALSE))</f>
        <v>38</v>
      </c>
      <c r="T82" s="4">
        <f>(VLOOKUP('15.01'!AB82,'15.01'!$AM$4:$AP$55,4,FALSE))</f>
        <v>38</v>
      </c>
      <c r="U82" s="4">
        <f>(VLOOKUP('15.01'!AC82,'15.01'!$AM$4:$AP$55,4,FALSE))</f>
        <v>38</v>
      </c>
      <c r="V82" s="4">
        <f>(VLOOKUP('15.01'!AD82,'15.01'!$AM$4:$AP$55,4,FALSE))</f>
        <v>38</v>
      </c>
      <c r="W82" s="4">
        <f>(VLOOKUP('15.01'!AE82,'15.01'!$AM$4:$AP$55,4,FALSE))</f>
        <v>0</v>
      </c>
      <c r="X82" s="4">
        <f>(VLOOKUP('15.01'!AF82,'15.01'!$AM$4:$AP$55,4,FALSE))</f>
        <v>0</v>
      </c>
    </row>
    <row r="83" spans="1:24">
      <c r="A83" s="4">
        <f>(VLOOKUP('15.01'!I83,'15.01'!$AM$4:$AP$55,4,FALSE))</f>
        <v>0</v>
      </c>
      <c r="B83" s="4">
        <f>(VLOOKUP('15.01'!J83,'15.01'!$AM$4:$AP$55,4,FALSE))</f>
        <v>0</v>
      </c>
      <c r="C83" s="4">
        <f>(VLOOKUP('15.01'!K83,'15.01'!$AM$4:$AP$55,4,FALSE))</f>
        <v>0</v>
      </c>
      <c r="D83" s="4">
        <f>(VLOOKUP('15.01'!L83,'15.01'!$AM$4:$AP$55,4,FALSE))</f>
        <v>0</v>
      </c>
      <c r="E83" s="4">
        <f>(VLOOKUP('15.01'!M83,'15.01'!$AM$4:$AP$55,4,FALSE))</f>
        <v>0</v>
      </c>
      <c r="F83" s="4">
        <f>(VLOOKUP('15.01'!N83,'15.01'!$AM$4:$AP$55,4,FALSE))</f>
        <v>0</v>
      </c>
      <c r="G83" s="4">
        <f>(VLOOKUP('15.01'!O83,'15.01'!$AM$4:$AP$55,4,FALSE))</f>
        <v>0</v>
      </c>
      <c r="H83" s="4">
        <f>(VLOOKUP('15.01'!P83,'15.01'!$AM$4:$AP$55,4,FALSE))</f>
        <v>0</v>
      </c>
      <c r="I83" s="4">
        <f>(VLOOKUP('15.01'!Q83,'15.01'!$AM$4:$AP$55,4,FALSE))</f>
        <v>38</v>
      </c>
      <c r="J83" s="4">
        <f>(VLOOKUP('15.01'!R83,'15.01'!$AM$4:$AP$55,4,FALSE))</f>
        <v>38</v>
      </c>
      <c r="K83" s="4">
        <f>(VLOOKUP('15.01'!S83,'15.01'!$AM$4:$AP$55,4,FALSE))</f>
        <v>38</v>
      </c>
      <c r="L83" s="4">
        <f>(VLOOKUP('15.01'!T83,'15.01'!$AM$4:$AP$55,4,FALSE))</f>
        <v>38</v>
      </c>
      <c r="M83" s="4">
        <f>(VLOOKUP('15.01'!U83,'15.01'!$AM$4:$AP$55,4,FALSE))</f>
        <v>38</v>
      </c>
      <c r="N83" s="4">
        <f>(VLOOKUP('15.01'!V83,'15.01'!$AM$4:$AP$55,4,FALSE))</f>
        <v>38</v>
      </c>
      <c r="O83" s="4">
        <f>(VLOOKUP('15.01'!W83,'15.01'!$AM$4:$AP$55,4,FALSE))</f>
        <v>0</v>
      </c>
      <c r="P83" s="4">
        <f>(VLOOKUP('15.01'!X83,'15.01'!$AM$4:$AP$55,4,FALSE))</f>
        <v>0</v>
      </c>
      <c r="Q83" s="4">
        <f>(VLOOKUP('15.01'!Y83,'15.01'!$AM$4:$AP$55,4,FALSE))</f>
        <v>38</v>
      </c>
      <c r="R83" s="4">
        <f>(VLOOKUP('15.01'!Z83,'15.01'!$AM$4:$AP$55,4,FALSE))</f>
        <v>38</v>
      </c>
      <c r="S83" s="4">
        <f>(VLOOKUP('15.01'!AA83,'15.01'!$AM$4:$AP$55,4,FALSE))</f>
        <v>38</v>
      </c>
      <c r="T83" s="4">
        <f>(VLOOKUP('15.01'!AB83,'15.01'!$AM$4:$AP$55,4,FALSE))</f>
        <v>38</v>
      </c>
      <c r="U83" s="4">
        <f>(VLOOKUP('15.01'!AC83,'15.01'!$AM$4:$AP$55,4,FALSE))</f>
        <v>38</v>
      </c>
      <c r="V83" s="4">
        <f>(VLOOKUP('15.01'!AD83,'15.01'!$AM$4:$AP$55,4,FALSE))</f>
        <v>38</v>
      </c>
      <c r="W83" s="4">
        <f>(VLOOKUP('15.01'!AE83,'15.01'!$AM$4:$AP$55,4,FALSE))</f>
        <v>0</v>
      </c>
      <c r="X83" s="4">
        <f>(VLOOKUP('15.01'!AF83,'15.01'!$AM$4:$AP$55,4,FALSE))</f>
        <v>0</v>
      </c>
    </row>
    <row r="84" spans="1:24">
      <c r="A84" s="4">
        <f>(VLOOKUP('15.01'!I84,'15.01'!$AM$4:$AP$55,4,FALSE))</f>
        <v>0</v>
      </c>
      <c r="B84" s="4">
        <f>(VLOOKUP('15.01'!J84,'15.01'!$AM$4:$AP$55,4,FALSE))</f>
        <v>0</v>
      </c>
      <c r="C84" s="4">
        <f>(VLOOKUP('15.01'!K84,'15.01'!$AM$4:$AP$55,4,FALSE))</f>
        <v>0</v>
      </c>
      <c r="D84" s="4">
        <f>(VLOOKUP('15.01'!L84,'15.01'!$AM$4:$AP$55,4,FALSE))</f>
        <v>0</v>
      </c>
      <c r="E84" s="4">
        <f>(VLOOKUP('15.01'!M84,'15.01'!$AM$4:$AP$55,4,FALSE))</f>
        <v>0</v>
      </c>
      <c r="F84" s="4">
        <f>(VLOOKUP('15.01'!N84,'15.01'!$AM$4:$AP$55,4,FALSE))</f>
        <v>0</v>
      </c>
      <c r="G84" s="4">
        <f>(VLOOKUP('15.01'!O84,'15.01'!$AM$4:$AP$55,4,FALSE))</f>
        <v>0</v>
      </c>
      <c r="H84" s="4">
        <f>(VLOOKUP('15.01'!P84,'15.01'!$AM$4:$AP$55,4,FALSE))</f>
        <v>0</v>
      </c>
      <c r="I84" s="4">
        <f>(VLOOKUP('15.01'!Q84,'15.01'!$AM$4:$AP$55,4,FALSE))</f>
        <v>38</v>
      </c>
      <c r="J84" s="4">
        <f>(VLOOKUP('15.01'!R84,'15.01'!$AM$4:$AP$55,4,FALSE))</f>
        <v>38</v>
      </c>
      <c r="K84" s="4">
        <f>(VLOOKUP('15.01'!S84,'15.01'!$AM$4:$AP$55,4,FALSE))</f>
        <v>38</v>
      </c>
      <c r="L84" s="4">
        <f>(VLOOKUP('15.01'!T84,'15.01'!$AM$4:$AP$55,4,FALSE))</f>
        <v>38</v>
      </c>
      <c r="M84" s="4">
        <f>(VLOOKUP('15.01'!U84,'15.01'!$AM$4:$AP$55,4,FALSE))</f>
        <v>38</v>
      </c>
      <c r="N84" s="4">
        <f>(VLOOKUP('15.01'!V84,'15.01'!$AM$4:$AP$55,4,FALSE))</f>
        <v>38</v>
      </c>
      <c r="O84" s="4">
        <f>(VLOOKUP('15.01'!W84,'15.01'!$AM$4:$AP$55,4,FALSE))</f>
        <v>0</v>
      </c>
      <c r="P84" s="4">
        <f>(VLOOKUP('15.01'!X84,'15.01'!$AM$4:$AP$55,4,FALSE))</f>
        <v>0</v>
      </c>
      <c r="Q84" s="4">
        <f>(VLOOKUP('15.01'!Y84,'15.01'!$AM$4:$AP$55,4,FALSE))</f>
        <v>38</v>
      </c>
      <c r="R84" s="4">
        <f>(VLOOKUP('15.01'!Z84,'15.01'!$AM$4:$AP$55,4,FALSE))</f>
        <v>38</v>
      </c>
      <c r="S84" s="4">
        <f>(VLOOKUP('15.01'!AA84,'15.01'!$AM$4:$AP$55,4,FALSE))</f>
        <v>38</v>
      </c>
      <c r="T84" s="4">
        <f>(VLOOKUP('15.01'!AB84,'15.01'!$AM$4:$AP$55,4,FALSE))</f>
        <v>38</v>
      </c>
      <c r="U84" s="4">
        <f>(VLOOKUP('15.01'!AC84,'15.01'!$AM$4:$AP$55,4,FALSE))</f>
        <v>38</v>
      </c>
      <c r="V84" s="4">
        <f>(VLOOKUP('15.01'!AD84,'15.01'!$AM$4:$AP$55,4,FALSE))</f>
        <v>38</v>
      </c>
      <c r="W84" s="4">
        <f>(VLOOKUP('15.01'!AE84,'15.01'!$AM$4:$AP$55,4,FALSE))</f>
        <v>0</v>
      </c>
      <c r="X84" s="4">
        <f>(VLOOKUP('15.01'!AF84,'15.01'!$AM$4:$AP$55,4,FALSE))</f>
        <v>0</v>
      </c>
    </row>
    <row r="85" spans="1:24">
      <c r="A85" s="4">
        <f>(VLOOKUP('15.01'!I85,'15.01'!$AM$4:$AP$55,4,FALSE))</f>
        <v>0</v>
      </c>
      <c r="B85" s="4">
        <f>(VLOOKUP('15.01'!J85,'15.01'!$AM$4:$AP$55,4,FALSE))</f>
        <v>0</v>
      </c>
      <c r="C85" s="4">
        <f>(VLOOKUP('15.01'!K85,'15.01'!$AM$4:$AP$55,4,FALSE))</f>
        <v>0</v>
      </c>
      <c r="D85" s="4">
        <f>(VLOOKUP('15.01'!L85,'15.01'!$AM$4:$AP$55,4,FALSE))</f>
        <v>0</v>
      </c>
      <c r="E85" s="4">
        <f>(VLOOKUP('15.01'!M85,'15.01'!$AM$4:$AP$55,4,FALSE))</f>
        <v>0</v>
      </c>
      <c r="F85" s="4">
        <f>(VLOOKUP('15.01'!N85,'15.01'!$AM$4:$AP$55,4,FALSE))</f>
        <v>0</v>
      </c>
      <c r="G85" s="4">
        <f>(VLOOKUP('15.01'!O85,'15.01'!$AM$4:$AP$55,4,FALSE))</f>
        <v>0</v>
      </c>
      <c r="H85" s="4">
        <f>(VLOOKUP('15.01'!P85,'15.01'!$AM$4:$AP$55,4,FALSE))</f>
        <v>0</v>
      </c>
      <c r="I85" s="4">
        <f>(VLOOKUP('15.01'!Q85,'15.01'!$AM$4:$AP$55,4,FALSE))</f>
        <v>38</v>
      </c>
      <c r="J85" s="4">
        <f>(VLOOKUP('15.01'!R85,'15.01'!$AM$4:$AP$55,4,FALSE))</f>
        <v>38</v>
      </c>
      <c r="K85" s="4">
        <f>(VLOOKUP('15.01'!S85,'15.01'!$AM$4:$AP$55,4,FALSE))</f>
        <v>38</v>
      </c>
      <c r="L85" s="4">
        <f>(VLOOKUP('15.01'!T85,'15.01'!$AM$4:$AP$55,4,FALSE))</f>
        <v>38</v>
      </c>
      <c r="M85" s="4">
        <f>(VLOOKUP('15.01'!U85,'15.01'!$AM$4:$AP$55,4,FALSE))</f>
        <v>38</v>
      </c>
      <c r="N85" s="4">
        <f>(VLOOKUP('15.01'!V85,'15.01'!$AM$4:$AP$55,4,FALSE))</f>
        <v>38</v>
      </c>
      <c r="O85" s="4">
        <f>(VLOOKUP('15.01'!W85,'15.01'!$AM$4:$AP$55,4,FALSE))</f>
        <v>0</v>
      </c>
      <c r="P85" s="4">
        <f>(VLOOKUP('15.01'!X85,'15.01'!$AM$4:$AP$55,4,FALSE))</f>
        <v>0</v>
      </c>
      <c r="Q85" s="4">
        <f>(VLOOKUP('15.01'!Y85,'15.01'!$AM$4:$AP$55,4,FALSE))</f>
        <v>38</v>
      </c>
      <c r="R85" s="4">
        <f>(VLOOKUP('15.01'!Z85,'15.01'!$AM$4:$AP$55,4,FALSE))</f>
        <v>38</v>
      </c>
      <c r="S85" s="4">
        <f>(VLOOKUP('15.01'!AA85,'15.01'!$AM$4:$AP$55,4,FALSE))</f>
        <v>38</v>
      </c>
      <c r="T85" s="4">
        <f>(VLOOKUP('15.01'!AB85,'15.01'!$AM$4:$AP$55,4,FALSE))</f>
        <v>38</v>
      </c>
      <c r="U85" s="4">
        <f>(VLOOKUP('15.01'!AC85,'15.01'!$AM$4:$AP$55,4,FALSE))</f>
        <v>38</v>
      </c>
      <c r="V85" s="4">
        <f>(VLOOKUP('15.01'!AD85,'15.01'!$AM$4:$AP$55,4,FALSE))</f>
        <v>38</v>
      </c>
      <c r="W85" s="4">
        <f>(VLOOKUP('15.01'!AE85,'15.01'!$AM$4:$AP$55,4,FALSE))</f>
        <v>0</v>
      </c>
      <c r="X85" s="4">
        <f>(VLOOKUP('15.01'!AF85,'15.01'!$AM$4:$AP$55,4,FALSE))</f>
        <v>0</v>
      </c>
    </row>
    <row r="86" spans="1:24">
      <c r="A86" s="4">
        <f>(VLOOKUP('15.01'!I86,'15.01'!$AM$4:$AP$55,4,FALSE))</f>
        <v>0</v>
      </c>
      <c r="B86" s="4">
        <f>(VLOOKUP('15.01'!J86,'15.01'!$AM$4:$AP$55,4,FALSE))</f>
        <v>0</v>
      </c>
      <c r="C86" s="4">
        <f>(VLOOKUP('15.01'!K86,'15.01'!$AM$4:$AP$55,4,FALSE))</f>
        <v>0</v>
      </c>
      <c r="D86" s="4">
        <f>(VLOOKUP('15.01'!L86,'15.01'!$AM$4:$AP$55,4,FALSE))</f>
        <v>0</v>
      </c>
      <c r="E86" s="4">
        <f>(VLOOKUP('15.01'!M86,'15.01'!$AM$4:$AP$55,4,FALSE))</f>
        <v>0</v>
      </c>
      <c r="F86" s="4">
        <f>(VLOOKUP('15.01'!N86,'15.01'!$AM$4:$AP$55,4,FALSE))</f>
        <v>0</v>
      </c>
      <c r="G86" s="4">
        <f>(VLOOKUP('15.01'!O86,'15.01'!$AM$4:$AP$55,4,FALSE))</f>
        <v>0</v>
      </c>
      <c r="H86" s="4">
        <f>(VLOOKUP('15.01'!P86,'15.01'!$AM$4:$AP$55,4,FALSE))</f>
        <v>0</v>
      </c>
      <c r="I86" s="4">
        <f>(VLOOKUP('15.01'!Q86,'15.01'!$AM$4:$AP$55,4,FALSE))</f>
        <v>38</v>
      </c>
      <c r="J86" s="4">
        <f>(VLOOKUP('15.01'!R86,'15.01'!$AM$4:$AP$55,4,FALSE))</f>
        <v>0</v>
      </c>
      <c r="K86" s="4">
        <f>(VLOOKUP('15.01'!S86,'15.01'!$AM$4:$AP$55,4,FALSE))</f>
        <v>38</v>
      </c>
      <c r="L86" s="4">
        <f>(VLOOKUP('15.01'!T86,'15.01'!$AM$4:$AP$55,4,FALSE))</f>
        <v>38</v>
      </c>
      <c r="M86" s="4">
        <f>(VLOOKUP('15.01'!U86,'15.01'!$AM$4:$AP$55,4,FALSE))</f>
        <v>38</v>
      </c>
      <c r="N86" s="4">
        <f>(VLOOKUP('15.01'!V86,'15.01'!$AM$4:$AP$55,4,FALSE))</f>
        <v>38</v>
      </c>
      <c r="O86" s="4">
        <f>(VLOOKUP('15.01'!W86,'15.01'!$AM$4:$AP$55,4,FALSE))</f>
        <v>0</v>
      </c>
      <c r="P86" s="4">
        <f>(VLOOKUP('15.01'!X86,'15.01'!$AM$4:$AP$55,4,FALSE))</f>
        <v>0</v>
      </c>
      <c r="Q86" s="4">
        <f>(VLOOKUP('15.01'!Y86,'15.01'!$AM$4:$AP$55,4,FALSE))</f>
        <v>38</v>
      </c>
      <c r="R86" s="4">
        <f>(VLOOKUP('15.01'!Z86,'15.01'!$AM$4:$AP$55,4,FALSE))</f>
        <v>38</v>
      </c>
      <c r="S86" s="4">
        <f>(VLOOKUP('15.01'!AA86,'15.01'!$AM$4:$AP$55,4,FALSE))</f>
        <v>38</v>
      </c>
      <c r="T86" s="4">
        <f>(VLOOKUP('15.01'!AB86,'15.01'!$AM$4:$AP$55,4,FALSE))</f>
        <v>38</v>
      </c>
      <c r="U86" s="4">
        <f>(VLOOKUP('15.01'!AC86,'15.01'!$AM$4:$AP$55,4,FALSE))</f>
        <v>38</v>
      </c>
      <c r="V86" s="4">
        <f>(VLOOKUP('15.01'!AD86,'15.01'!$AM$4:$AP$55,4,FALSE))</f>
        <v>38</v>
      </c>
      <c r="W86" s="4">
        <f>(VLOOKUP('15.01'!AE86,'15.01'!$AM$4:$AP$55,4,FALSE))</f>
        <v>10</v>
      </c>
      <c r="X86" s="4">
        <f>(VLOOKUP('15.01'!AF86,'15.01'!$AM$4:$AP$55,4,FALSE))</f>
        <v>0</v>
      </c>
    </row>
    <row r="87" spans="1:24">
      <c r="A87" s="4">
        <f>(VLOOKUP('15.01'!I87,'15.01'!$AM$4:$AP$55,4,FALSE))</f>
        <v>44.222109392472248</v>
      </c>
      <c r="B87" s="4">
        <f>(VLOOKUP('15.01'!J87,'15.01'!$AM$4:$AP$55,4,FALSE))</f>
        <v>44.222109392472248</v>
      </c>
      <c r="C87" s="4">
        <f>(VLOOKUP('15.01'!K87,'15.01'!$AM$4:$AP$55,4,FALSE))</f>
        <v>10</v>
      </c>
      <c r="D87" s="4">
        <f>(VLOOKUP('15.01'!L87,'15.01'!$AM$4:$AP$55,4,FALSE))</f>
        <v>44.222109392472248</v>
      </c>
      <c r="E87" s="4">
        <f>(VLOOKUP('15.01'!M87,'15.01'!$AM$4:$AP$55,4,FALSE))</f>
        <v>39.110982162825422</v>
      </c>
      <c r="F87" s="4">
        <f>(VLOOKUP('15.01'!N87,'15.01'!$AM$4:$AP$55,4,FALSE))</f>
        <v>10</v>
      </c>
      <c r="G87" s="4">
        <f>(VLOOKUP('15.01'!O87,'15.01'!$AM$4:$AP$55,4,FALSE))</f>
        <v>0</v>
      </c>
      <c r="H87" s="4">
        <f>(VLOOKUP('15.01'!P87,'15.01'!$AM$4:$AP$55,4,FALSE))</f>
        <v>0</v>
      </c>
      <c r="I87" s="4">
        <f>(VLOOKUP('15.01'!Q87,'15.01'!$AM$4:$AP$55,4,FALSE))</f>
        <v>38</v>
      </c>
      <c r="J87" s="4">
        <f>(VLOOKUP('15.01'!R87,'15.01'!$AM$4:$AP$55,4,FALSE))</f>
        <v>38</v>
      </c>
      <c r="K87" s="4">
        <f>(VLOOKUP('15.01'!S87,'15.01'!$AM$4:$AP$55,4,FALSE))</f>
        <v>38</v>
      </c>
      <c r="L87" s="4">
        <f>(VLOOKUP('15.01'!T87,'15.01'!$AM$4:$AP$55,4,FALSE))</f>
        <v>38</v>
      </c>
      <c r="M87" s="4">
        <f>(VLOOKUP('15.01'!U87,'15.01'!$AM$4:$AP$55,4,FALSE))</f>
        <v>38</v>
      </c>
      <c r="N87" s="4">
        <f>(VLOOKUP('15.01'!V87,'15.01'!$AM$4:$AP$55,4,FALSE))</f>
        <v>38</v>
      </c>
      <c r="O87" s="4">
        <f>(VLOOKUP('15.01'!W87,'15.01'!$AM$4:$AP$55,4,FALSE))</f>
        <v>0</v>
      </c>
      <c r="P87" s="4">
        <f>(VLOOKUP('15.01'!X87,'15.01'!$AM$4:$AP$55,4,FALSE))</f>
        <v>0</v>
      </c>
      <c r="Q87" s="4">
        <f>(VLOOKUP('15.01'!Y87,'15.01'!$AM$4:$AP$55,4,FALSE))</f>
        <v>38</v>
      </c>
      <c r="R87" s="4">
        <f>(VLOOKUP('15.01'!Z87,'15.01'!$AM$4:$AP$55,4,FALSE))</f>
        <v>38</v>
      </c>
      <c r="S87" s="4">
        <f>(VLOOKUP('15.01'!AA87,'15.01'!$AM$4:$AP$55,4,FALSE))</f>
        <v>38</v>
      </c>
      <c r="T87" s="4">
        <f>(VLOOKUP('15.01'!AB87,'15.01'!$AM$4:$AP$55,4,FALSE))</f>
        <v>38</v>
      </c>
      <c r="U87" s="4">
        <f>(VLOOKUP('15.01'!AC87,'15.01'!$AM$4:$AP$55,4,FALSE))</f>
        <v>38</v>
      </c>
      <c r="V87" s="4">
        <f>(VLOOKUP('15.01'!AD87,'15.01'!$AM$4:$AP$55,4,FALSE))</f>
        <v>38</v>
      </c>
      <c r="W87" s="4">
        <f>(VLOOKUP('15.01'!AE87,'15.01'!$AM$4:$AP$55,4,FALSE))</f>
        <v>0</v>
      </c>
      <c r="X87" s="4">
        <f>(VLOOKUP('15.01'!AF87,'15.01'!$AM$4:$AP$55,4,FALSE))</f>
        <v>0</v>
      </c>
    </row>
    <row r="88" spans="1:24">
      <c r="A88" s="4">
        <f>(VLOOKUP('15.01'!I88,'15.01'!$AM$4:$AP$55,4,FALSE))</f>
        <v>39.110982162825422</v>
      </c>
      <c r="B88" s="4">
        <f>(VLOOKUP('15.01'!J88,'15.01'!$AM$4:$AP$55,4,FALSE))</f>
        <v>0</v>
      </c>
      <c r="C88" s="4">
        <f>(VLOOKUP('15.01'!K88,'15.01'!$AM$4:$AP$55,4,FALSE))</f>
        <v>39.110982162825422</v>
      </c>
      <c r="D88" s="4">
        <f>(VLOOKUP('15.01'!L88,'15.01'!$AM$4:$AP$55,4,FALSE))</f>
        <v>39.110982162825422</v>
      </c>
      <c r="E88" s="4">
        <f>(VLOOKUP('15.01'!M88,'15.01'!$AM$4:$AP$55,4,FALSE))</f>
        <v>39.110982162825422</v>
      </c>
      <c r="F88" s="4">
        <f>(VLOOKUP('15.01'!N88,'15.01'!$AM$4:$AP$55,4,FALSE))</f>
        <v>39.110982162825422</v>
      </c>
      <c r="G88" s="4">
        <f>(VLOOKUP('15.01'!O88,'15.01'!$AM$4:$AP$55,4,FALSE))</f>
        <v>0</v>
      </c>
      <c r="H88" s="4">
        <f>(VLOOKUP('15.01'!P88,'15.01'!$AM$4:$AP$55,4,FALSE))</f>
        <v>0</v>
      </c>
      <c r="I88" s="4">
        <f>(VLOOKUP('15.01'!Q88,'15.01'!$AM$4:$AP$55,4,FALSE))</f>
        <v>38</v>
      </c>
      <c r="J88" s="4">
        <f>(VLOOKUP('15.01'!R88,'15.01'!$AM$4:$AP$55,4,FALSE))</f>
        <v>38</v>
      </c>
      <c r="K88" s="4">
        <f>(VLOOKUP('15.01'!S88,'15.01'!$AM$4:$AP$55,4,FALSE))</f>
        <v>38</v>
      </c>
      <c r="L88" s="4">
        <f>(VLOOKUP('15.01'!T88,'15.01'!$AM$4:$AP$55,4,FALSE))</f>
        <v>10</v>
      </c>
      <c r="M88" s="4">
        <f>(VLOOKUP('15.01'!U88,'15.01'!$AM$4:$AP$55,4,FALSE))</f>
        <v>0</v>
      </c>
      <c r="N88" s="4">
        <f>(VLOOKUP('15.01'!V88,'15.01'!$AM$4:$AP$55,4,FALSE))</f>
        <v>0</v>
      </c>
      <c r="O88" s="4">
        <f>(VLOOKUP('15.01'!W88,'15.01'!$AM$4:$AP$55,4,FALSE))</f>
        <v>0</v>
      </c>
      <c r="P88" s="4">
        <f>(VLOOKUP('15.01'!X88,'15.01'!$AM$4:$AP$55,4,FALSE))</f>
        <v>0</v>
      </c>
      <c r="Q88" s="4">
        <f>(VLOOKUP('15.01'!Y88,'15.01'!$AM$4:$AP$55,4,FALSE))</f>
        <v>38</v>
      </c>
      <c r="R88" s="4">
        <f>(VLOOKUP('15.01'!Z88,'15.01'!$AM$4:$AP$55,4,FALSE))</f>
        <v>38</v>
      </c>
      <c r="S88" s="4">
        <f>(VLOOKUP('15.01'!AA88,'15.01'!$AM$4:$AP$55,4,FALSE))</f>
        <v>38</v>
      </c>
      <c r="T88" s="4">
        <f>(VLOOKUP('15.01'!AB88,'15.01'!$AM$4:$AP$55,4,FALSE))</f>
        <v>38</v>
      </c>
      <c r="U88" s="4">
        <f>(VLOOKUP('15.01'!AC88,'15.01'!$AM$4:$AP$55,4,FALSE))</f>
        <v>38</v>
      </c>
      <c r="V88" s="4">
        <f>(VLOOKUP('15.01'!AD88,'15.01'!$AM$4:$AP$55,4,FALSE))</f>
        <v>38</v>
      </c>
      <c r="W88" s="4">
        <f>(VLOOKUP('15.01'!AE88,'15.01'!$AM$4:$AP$55,4,FALSE))</f>
        <v>0</v>
      </c>
      <c r="X88" s="4">
        <f>(VLOOKUP('15.01'!AF88,'15.01'!$AM$4:$AP$55,4,FALSE))</f>
        <v>0</v>
      </c>
    </row>
    <row r="89" spans="1:24">
      <c r="A89" s="4">
        <f>(VLOOKUP('15.01'!I89,'15.01'!$AM$4:$AP$55,4,FALSE))</f>
        <v>0</v>
      </c>
      <c r="B89" s="4">
        <f>(VLOOKUP('15.01'!J89,'15.01'!$AM$4:$AP$55,4,FALSE))</f>
        <v>39.110982162825422</v>
      </c>
      <c r="C89" s="4">
        <f>(VLOOKUP('15.01'!K89,'15.01'!$AM$4:$AP$55,4,FALSE))</f>
        <v>10</v>
      </c>
      <c r="D89" s="4">
        <f>(VLOOKUP('15.01'!L89,'15.01'!$AM$4:$AP$55,4,FALSE))</f>
        <v>0</v>
      </c>
      <c r="E89" s="4">
        <f>(VLOOKUP('15.01'!M89,'15.01'!$AM$4:$AP$55,4,FALSE))</f>
        <v>0</v>
      </c>
      <c r="F89" s="4">
        <f>(VLOOKUP('15.01'!N89,'15.01'!$AM$4:$AP$55,4,FALSE))</f>
        <v>0</v>
      </c>
      <c r="G89" s="4">
        <f>(VLOOKUP('15.01'!O89,'15.01'!$AM$4:$AP$55,4,FALSE))</f>
        <v>0</v>
      </c>
      <c r="H89" s="4">
        <f>(VLOOKUP('15.01'!P89,'15.01'!$AM$4:$AP$55,4,FALSE))</f>
        <v>0</v>
      </c>
      <c r="I89" s="4">
        <f>(VLOOKUP('15.01'!Q89,'15.01'!$AM$4:$AP$55,4,FALSE))</f>
        <v>38</v>
      </c>
      <c r="J89" s="4">
        <f>(VLOOKUP('15.01'!R89,'15.01'!$AM$4:$AP$55,4,FALSE))</f>
        <v>38</v>
      </c>
      <c r="K89" s="4">
        <f>(VLOOKUP('15.01'!S89,'15.01'!$AM$4:$AP$55,4,FALSE))</f>
        <v>38</v>
      </c>
      <c r="L89" s="4">
        <f>(VLOOKUP('15.01'!T89,'15.01'!$AM$4:$AP$55,4,FALSE))</f>
        <v>38</v>
      </c>
      <c r="M89" s="4">
        <f>(VLOOKUP('15.01'!U89,'15.01'!$AM$4:$AP$55,4,FALSE))</f>
        <v>38</v>
      </c>
      <c r="N89" s="4">
        <f>(VLOOKUP('15.01'!V89,'15.01'!$AM$4:$AP$55,4,FALSE))</f>
        <v>38</v>
      </c>
      <c r="O89" s="4">
        <f>(VLOOKUP('15.01'!W89,'15.01'!$AM$4:$AP$55,4,FALSE))</f>
        <v>0</v>
      </c>
      <c r="P89" s="4">
        <f>(VLOOKUP('15.01'!X89,'15.01'!$AM$4:$AP$55,4,FALSE))</f>
        <v>0</v>
      </c>
      <c r="Q89" s="4">
        <f>(VLOOKUP('15.01'!Y89,'15.01'!$AM$4:$AP$55,4,FALSE))</f>
        <v>38</v>
      </c>
      <c r="R89" s="4">
        <f>(VLOOKUP('15.01'!Z89,'15.01'!$AM$4:$AP$55,4,FALSE))</f>
        <v>38</v>
      </c>
      <c r="S89" s="4">
        <f>(VLOOKUP('15.01'!AA89,'15.01'!$AM$4:$AP$55,4,FALSE))</f>
        <v>38</v>
      </c>
      <c r="T89" s="4">
        <f>(VLOOKUP('15.01'!AB89,'15.01'!$AM$4:$AP$55,4,FALSE))</f>
        <v>38</v>
      </c>
      <c r="U89" s="4">
        <f>(VLOOKUP('15.01'!AC89,'15.01'!$AM$4:$AP$55,4,FALSE))</f>
        <v>38</v>
      </c>
      <c r="V89" s="4">
        <f>(VLOOKUP('15.01'!AD89,'15.01'!$AM$4:$AP$55,4,FALSE))</f>
        <v>38</v>
      </c>
      <c r="W89" s="4">
        <f>(VLOOKUP('15.01'!AE89,'15.01'!$AM$4:$AP$55,4,FALSE))</f>
        <v>0</v>
      </c>
      <c r="X89" s="4">
        <f>(VLOOKUP('15.01'!AF89,'15.01'!$AM$4:$AP$55,4,FALSE))</f>
        <v>0</v>
      </c>
    </row>
    <row r="90" spans="1:24">
      <c r="A90" s="4">
        <f>(VLOOKUP('15.01'!I90,'15.01'!$AM$4:$AP$55,4,FALSE))</f>
        <v>39.110982162825422</v>
      </c>
      <c r="B90" s="4">
        <f>(VLOOKUP('15.01'!J90,'15.01'!$AM$4:$AP$55,4,FALSE))</f>
        <v>39.110982162825422</v>
      </c>
      <c r="C90" s="4">
        <f>(VLOOKUP('15.01'!K90,'15.01'!$AM$4:$AP$55,4,FALSE))</f>
        <v>39.110982162825422</v>
      </c>
      <c r="D90" s="4">
        <f>(VLOOKUP('15.01'!L90,'15.01'!$AM$4:$AP$55,4,FALSE))</f>
        <v>39.110982162825422</v>
      </c>
      <c r="E90" s="4">
        <f>(VLOOKUP('15.01'!M90,'15.01'!$AM$4:$AP$55,4,FALSE))</f>
        <v>10</v>
      </c>
      <c r="F90" s="4">
        <f>(VLOOKUP('15.01'!N90,'15.01'!$AM$4:$AP$55,4,FALSE))</f>
        <v>39.110982162825422</v>
      </c>
      <c r="G90" s="4">
        <f>(VLOOKUP('15.01'!O90,'15.01'!$AM$4:$AP$55,4,FALSE))</f>
        <v>0</v>
      </c>
      <c r="H90" s="4">
        <f>(VLOOKUP('15.01'!P90,'15.01'!$AM$4:$AP$55,4,FALSE))</f>
        <v>0</v>
      </c>
      <c r="I90" s="4">
        <f>(VLOOKUP('15.01'!Q90,'15.01'!$AM$4:$AP$55,4,FALSE))</f>
        <v>38</v>
      </c>
      <c r="J90" s="4">
        <f>(VLOOKUP('15.01'!R90,'15.01'!$AM$4:$AP$55,4,FALSE))</f>
        <v>38</v>
      </c>
      <c r="K90" s="4">
        <f>(VLOOKUP('15.01'!S90,'15.01'!$AM$4:$AP$55,4,FALSE))</f>
        <v>38</v>
      </c>
      <c r="L90" s="4">
        <f>(VLOOKUP('15.01'!T90,'15.01'!$AM$4:$AP$55,4,FALSE))</f>
        <v>0</v>
      </c>
      <c r="M90" s="4">
        <f>(VLOOKUP('15.01'!U90,'15.01'!$AM$4:$AP$55,4,FALSE))</f>
        <v>38</v>
      </c>
      <c r="N90" s="4">
        <f>(VLOOKUP('15.01'!V90,'15.01'!$AM$4:$AP$55,4,FALSE))</f>
        <v>38</v>
      </c>
      <c r="O90" s="4">
        <f>(VLOOKUP('15.01'!W90,'15.01'!$AM$4:$AP$55,4,FALSE))</f>
        <v>0</v>
      </c>
      <c r="P90" s="4">
        <f>(VLOOKUP('15.01'!X90,'15.01'!$AM$4:$AP$55,4,FALSE))</f>
        <v>0</v>
      </c>
      <c r="Q90" s="4">
        <f>(VLOOKUP('15.01'!Y90,'15.01'!$AM$4:$AP$55,4,FALSE))</f>
        <v>38</v>
      </c>
      <c r="R90" s="4">
        <f>(VLOOKUP('15.01'!Z90,'15.01'!$AM$4:$AP$55,4,FALSE))</f>
        <v>38</v>
      </c>
      <c r="S90" s="4">
        <f>(VLOOKUP('15.01'!AA90,'15.01'!$AM$4:$AP$55,4,FALSE))</f>
        <v>38</v>
      </c>
      <c r="T90" s="4">
        <f>(VLOOKUP('15.01'!AB90,'15.01'!$AM$4:$AP$55,4,FALSE))</f>
        <v>38</v>
      </c>
      <c r="U90" s="4">
        <f>(VLOOKUP('15.01'!AC90,'15.01'!$AM$4:$AP$55,4,FALSE))</f>
        <v>38</v>
      </c>
      <c r="V90" s="4">
        <f>(VLOOKUP('15.01'!AD90,'15.01'!$AM$4:$AP$55,4,FALSE))</f>
        <v>38</v>
      </c>
      <c r="W90" s="4">
        <f>(VLOOKUP('15.01'!AE90,'15.01'!$AM$4:$AP$55,4,FALSE))</f>
        <v>0</v>
      </c>
      <c r="X90" s="4">
        <f>(VLOOKUP('15.01'!AF90,'15.01'!$AM$4:$AP$55,4,FALSE))</f>
        <v>0</v>
      </c>
    </row>
    <row r="91" spans="1:24">
      <c r="A91" s="4">
        <f>(VLOOKUP('15.01'!I91,'15.01'!$AM$4:$AP$55,4,FALSE))</f>
        <v>10</v>
      </c>
      <c r="B91" s="4">
        <f>(VLOOKUP('15.01'!J91,'15.01'!$AM$4:$AP$55,4,FALSE))</f>
        <v>39.110982162825422</v>
      </c>
      <c r="C91" s="4">
        <f>(VLOOKUP('15.01'!K91,'15.01'!$AM$4:$AP$55,4,FALSE))</f>
        <v>39.110982162825422</v>
      </c>
      <c r="D91" s="4">
        <f>(VLOOKUP('15.01'!L91,'15.01'!$AM$4:$AP$55,4,FALSE))</f>
        <v>39.110982162825422</v>
      </c>
      <c r="E91" s="4">
        <f>(VLOOKUP('15.01'!M91,'15.01'!$AM$4:$AP$55,4,FALSE))</f>
        <v>39.110982162825422</v>
      </c>
      <c r="F91" s="4">
        <f>(VLOOKUP('15.01'!N91,'15.01'!$AM$4:$AP$55,4,FALSE))</f>
        <v>10</v>
      </c>
      <c r="G91" s="4">
        <f>(VLOOKUP('15.01'!O91,'15.01'!$AM$4:$AP$55,4,FALSE))</f>
        <v>0</v>
      </c>
      <c r="H91" s="4">
        <f>(VLOOKUP('15.01'!P91,'15.01'!$AM$4:$AP$55,4,FALSE))</f>
        <v>0</v>
      </c>
      <c r="I91" s="4">
        <f>(VLOOKUP('15.01'!Q91,'15.01'!$AM$4:$AP$55,4,FALSE))</f>
        <v>0</v>
      </c>
      <c r="J91" s="4">
        <f>(VLOOKUP('15.01'!R91,'15.01'!$AM$4:$AP$55,4,FALSE))</f>
        <v>38</v>
      </c>
      <c r="K91" s="4">
        <f>(VLOOKUP('15.01'!S91,'15.01'!$AM$4:$AP$55,4,FALSE))</f>
        <v>38</v>
      </c>
      <c r="L91" s="4">
        <f>(VLOOKUP('15.01'!T91,'15.01'!$AM$4:$AP$55,4,FALSE))</f>
        <v>0</v>
      </c>
      <c r="M91" s="4">
        <f>(VLOOKUP('15.01'!U91,'15.01'!$AM$4:$AP$55,4,FALSE))</f>
        <v>38</v>
      </c>
      <c r="N91" s="4">
        <f>(VLOOKUP('15.01'!V91,'15.01'!$AM$4:$AP$55,4,FALSE))</f>
        <v>38</v>
      </c>
      <c r="O91" s="4">
        <f>(VLOOKUP('15.01'!W91,'15.01'!$AM$4:$AP$55,4,FALSE))</f>
        <v>0</v>
      </c>
      <c r="P91" s="4">
        <f>(VLOOKUP('15.01'!X91,'15.01'!$AM$4:$AP$55,4,FALSE))</f>
        <v>0</v>
      </c>
      <c r="Q91" s="4">
        <f>(VLOOKUP('15.01'!Y91,'15.01'!$AM$4:$AP$55,4,FALSE))</f>
        <v>38</v>
      </c>
      <c r="R91" s="4">
        <f>(VLOOKUP('15.01'!Z91,'15.01'!$AM$4:$AP$55,4,FALSE))</f>
        <v>38</v>
      </c>
      <c r="S91" s="4">
        <f>(VLOOKUP('15.01'!AA91,'15.01'!$AM$4:$AP$55,4,FALSE))</f>
        <v>38</v>
      </c>
      <c r="T91" s="4">
        <f>(VLOOKUP('15.01'!AB91,'15.01'!$AM$4:$AP$55,4,FALSE))</f>
        <v>38</v>
      </c>
      <c r="U91" s="4">
        <f>(VLOOKUP('15.01'!AC91,'15.01'!$AM$4:$AP$55,4,FALSE))</f>
        <v>38</v>
      </c>
      <c r="V91" s="4">
        <f>(VLOOKUP('15.01'!AD91,'15.01'!$AM$4:$AP$55,4,FALSE))</f>
        <v>38</v>
      </c>
      <c r="W91" s="4">
        <f>(VLOOKUP('15.01'!AE91,'15.01'!$AM$4:$AP$55,4,FALSE))</f>
        <v>0</v>
      </c>
      <c r="X91" s="4">
        <f>(VLOOKUP('15.01'!AF91,'15.01'!$AM$4:$AP$55,4,FALSE))</f>
        <v>0</v>
      </c>
    </row>
    <row r="92" spans="1:24">
      <c r="A92" s="4">
        <f>(VLOOKUP('15.01'!I92,'15.01'!$AM$4:$AP$55,4,FALSE))</f>
        <v>39.110982162825422</v>
      </c>
      <c r="B92" s="4">
        <f>(VLOOKUP('15.01'!J92,'15.01'!$AM$4:$AP$55,4,FALSE))</f>
        <v>39.110982162825422</v>
      </c>
      <c r="C92" s="4">
        <f>(VLOOKUP('15.01'!K92,'15.01'!$AM$4:$AP$55,4,FALSE))</f>
        <v>10</v>
      </c>
      <c r="D92" s="4">
        <f>(VLOOKUP('15.01'!L92,'15.01'!$AM$4:$AP$55,4,FALSE))</f>
        <v>39.110982162825422</v>
      </c>
      <c r="E92" s="4">
        <f>(VLOOKUP('15.01'!M92,'15.01'!$AM$4:$AP$55,4,FALSE))</f>
        <v>39.110982162825422</v>
      </c>
      <c r="F92" s="4">
        <f>(VLOOKUP('15.01'!N92,'15.01'!$AM$4:$AP$55,4,FALSE))</f>
        <v>39.110982162825422</v>
      </c>
      <c r="G92" s="4">
        <f>(VLOOKUP('15.01'!O92,'15.01'!$AM$4:$AP$55,4,FALSE))</f>
        <v>39.110982162825422</v>
      </c>
      <c r="H92" s="4">
        <f>(VLOOKUP('15.01'!P92,'15.01'!$AM$4:$AP$55,4,FALSE))</f>
        <v>39.110982162825422</v>
      </c>
      <c r="I92" s="4">
        <f>(VLOOKUP('15.01'!Q92,'15.01'!$AM$4:$AP$55,4,FALSE))</f>
        <v>0</v>
      </c>
      <c r="J92" s="4">
        <f>(VLOOKUP('15.01'!R92,'15.01'!$AM$4:$AP$55,4,FALSE))</f>
        <v>38</v>
      </c>
      <c r="K92" s="4">
        <f>(VLOOKUP('15.01'!S92,'15.01'!$AM$4:$AP$55,4,FALSE))</f>
        <v>38</v>
      </c>
      <c r="L92" s="4">
        <f>(VLOOKUP('15.01'!T92,'15.01'!$AM$4:$AP$55,4,FALSE))</f>
        <v>38</v>
      </c>
      <c r="M92" s="4">
        <f>(VLOOKUP('15.01'!U92,'15.01'!$AM$4:$AP$55,4,FALSE))</f>
        <v>38</v>
      </c>
      <c r="N92" s="4">
        <f>(VLOOKUP('15.01'!V92,'15.01'!$AM$4:$AP$55,4,FALSE))</f>
        <v>38</v>
      </c>
      <c r="O92" s="4">
        <f>(VLOOKUP('15.01'!W92,'15.01'!$AM$4:$AP$55,4,FALSE))</f>
        <v>0</v>
      </c>
      <c r="P92" s="4">
        <f>(VLOOKUP('15.01'!X92,'15.01'!$AM$4:$AP$55,4,FALSE))</f>
        <v>0</v>
      </c>
      <c r="Q92" s="4">
        <f>(VLOOKUP('15.01'!Y92,'15.01'!$AM$4:$AP$55,4,FALSE))</f>
        <v>38</v>
      </c>
      <c r="R92" s="4">
        <f>(VLOOKUP('15.01'!Z92,'15.01'!$AM$4:$AP$55,4,FALSE))</f>
        <v>38</v>
      </c>
      <c r="S92" s="4">
        <f>(VLOOKUP('15.01'!AA92,'15.01'!$AM$4:$AP$55,4,FALSE))</f>
        <v>38</v>
      </c>
      <c r="T92" s="4">
        <f>(VLOOKUP('15.01'!AB92,'15.01'!$AM$4:$AP$55,4,FALSE))</f>
        <v>0</v>
      </c>
      <c r="U92" s="4">
        <f>(VLOOKUP('15.01'!AC92,'15.01'!$AM$4:$AP$55,4,FALSE))</f>
        <v>0</v>
      </c>
      <c r="V92" s="4">
        <f>(VLOOKUP('15.01'!AD92,'15.01'!$AM$4:$AP$55,4,FALSE))</f>
        <v>0</v>
      </c>
      <c r="W92" s="4">
        <f>(VLOOKUP('15.01'!AE92,'15.01'!$AM$4:$AP$55,4,FALSE))</f>
        <v>0</v>
      </c>
      <c r="X92" s="4">
        <f>(VLOOKUP('15.01'!AF92,'15.01'!$AM$4:$AP$55,4,FALSE))</f>
        <v>0</v>
      </c>
    </row>
    <row r="93" spans="1:24">
      <c r="A93" s="4">
        <f>(VLOOKUP('15.01'!I93,'15.01'!$AM$4:$AP$55,4,FALSE))</f>
        <v>0</v>
      </c>
      <c r="B93" s="4">
        <f>(VLOOKUP('15.01'!J93,'15.01'!$AM$4:$AP$55,4,FALSE))</f>
        <v>0</v>
      </c>
      <c r="C93" s="4">
        <f>(VLOOKUP('15.01'!K93,'15.01'!$AM$4:$AP$55,4,FALSE))</f>
        <v>39.110982162825422</v>
      </c>
      <c r="D93" s="4">
        <f>(VLOOKUP('15.01'!L93,'15.01'!$AM$4:$AP$55,4,FALSE))</f>
        <v>10</v>
      </c>
      <c r="E93" s="4">
        <f>(VLOOKUP('15.01'!M93,'15.01'!$AM$4:$AP$55,4,FALSE))</f>
        <v>0</v>
      </c>
      <c r="F93" s="4">
        <f>(VLOOKUP('15.01'!N93,'15.01'!$AM$4:$AP$55,4,FALSE))</f>
        <v>0</v>
      </c>
      <c r="G93" s="4">
        <f>(VLOOKUP('15.01'!O93,'15.01'!$AM$4:$AP$55,4,FALSE))</f>
        <v>0</v>
      </c>
      <c r="H93" s="4">
        <f>(VLOOKUP('15.01'!P93,'15.01'!$AM$4:$AP$55,4,FALSE))</f>
        <v>0</v>
      </c>
      <c r="I93" s="4">
        <f>(VLOOKUP('15.01'!Q93,'15.01'!$AM$4:$AP$55,4,FALSE))</f>
        <v>38</v>
      </c>
      <c r="J93" s="4">
        <f>(VLOOKUP('15.01'!R93,'15.01'!$AM$4:$AP$55,4,FALSE))</f>
        <v>38</v>
      </c>
      <c r="K93" s="4">
        <f>(VLOOKUP('15.01'!S93,'15.01'!$AM$4:$AP$55,4,FALSE))</f>
        <v>38</v>
      </c>
      <c r="L93" s="4">
        <f>(VLOOKUP('15.01'!T93,'15.01'!$AM$4:$AP$55,4,FALSE))</f>
        <v>38</v>
      </c>
      <c r="M93" s="4">
        <f>(VLOOKUP('15.01'!U93,'15.01'!$AM$4:$AP$55,4,FALSE))</f>
        <v>38</v>
      </c>
      <c r="N93" s="4">
        <f>(VLOOKUP('15.01'!V93,'15.01'!$AM$4:$AP$55,4,FALSE))</f>
        <v>38</v>
      </c>
      <c r="O93" s="4">
        <f>(VLOOKUP('15.01'!W93,'15.01'!$AM$4:$AP$55,4,FALSE))</f>
        <v>38</v>
      </c>
      <c r="P93" s="4">
        <f>(VLOOKUP('15.01'!X93,'15.01'!$AM$4:$AP$55,4,FALSE))</f>
        <v>0</v>
      </c>
      <c r="Q93" s="4">
        <f>(VLOOKUP('15.01'!Y93,'15.01'!$AM$4:$AP$55,4,FALSE))</f>
        <v>38</v>
      </c>
      <c r="R93" s="4">
        <f>(VLOOKUP('15.01'!Z93,'15.01'!$AM$4:$AP$55,4,FALSE))</f>
        <v>38</v>
      </c>
      <c r="S93" s="4">
        <f>(VLOOKUP('15.01'!AA93,'15.01'!$AM$4:$AP$55,4,FALSE))</f>
        <v>38</v>
      </c>
      <c r="T93" s="4">
        <f>(VLOOKUP('15.01'!AB93,'15.01'!$AM$4:$AP$55,4,FALSE))</f>
        <v>0</v>
      </c>
      <c r="U93" s="4">
        <f>(VLOOKUP('15.01'!AC93,'15.01'!$AM$4:$AP$55,4,FALSE))</f>
        <v>0</v>
      </c>
      <c r="V93" s="4">
        <f>(VLOOKUP('15.01'!AD93,'15.01'!$AM$4:$AP$55,4,FALSE))</f>
        <v>0</v>
      </c>
      <c r="W93" s="4">
        <f>(VLOOKUP('15.01'!AE93,'15.01'!$AM$4:$AP$55,4,FALSE))</f>
        <v>0</v>
      </c>
      <c r="X93" s="4">
        <f>(VLOOKUP('15.01'!AF93,'15.01'!$AM$4:$AP$55,4,FALSE))</f>
        <v>0</v>
      </c>
    </row>
    <row r="94" spans="1:24">
      <c r="A94" s="4" t="e">
        <f>(VLOOKUP('15.01'!#REF!,'15.01'!$AM$4:$AP$55,4,FALSE))</f>
        <v>#REF!</v>
      </c>
      <c r="B94" s="4" t="e">
        <f>(VLOOKUP('15.01'!#REF!,'15.01'!$AM$4:$AP$55,4,FALSE))</f>
        <v>#REF!</v>
      </c>
      <c r="C94" s="4" t="e">
        <f>(VLOOKUP('15.01'!#REF!,'15.01'!$AM$4:$AP$55,4,FALSE))</f>
        <v>#REF!</v>
      </c>
      <c r="D94" s="4" t="e">
        <f>(VLOOKUP('15.01'!#REF!,'15.01'!$AM$4:$AP$55,4,FALSE))</f>
        <v>#REF!</v>
      </c>
      <c r="E94" s="4" t="e">
        <f>(VLOOKUP('15.01'!#REF!,'15.01'!$AM$4:$AP$55,4,FALSE))</f>
        <v>#REF!</v>
      </c>
      <c r="F94" s="4" t="e">
        <f>(VLOOKUP('15.01'!#REF!,'15.01'!$AM$4:$AP$55,4,FALSE))</f>
        <v>#REF!</v>
      </c>
      <c r="G94" s="4" t="e">
        <f>(VLOOKUP('15.01'!#REF!,'15.01'!$AM$4:$AP$55,4,FALSE))</f>
        <v>#REF!</v>
      </c>
      <c r="H94" s="4" t="e">
        <f>(VLOOKUP('15.01'!#REF!,'15.01'!$AM$4:$AP$55,4,FALSE))</f>
        <v>#REF!</v>
      </c>
      <c r="I94" s="4" t="e">
        <f>(VLOOKUP('15.01'!#REF!,'15.01'!$AM$4:$AP$55,4,FALSE))</f>
        <v>#REF!</v>
      </c>
      <c r="J94" s="4" t="e">
        <f>(VLOOKUP('15.01'!#REF!,'15.01'!$AM$4:$AP$55,4,FALSE))</f>
        <v>#REF!</v>
      </c>
      <c r="K94" s="4" t="e">
        <f>(VLOOKUP('15.01'!#REF!,'15.01'!$AM$4:$AP$55,4,FALSE))</f>
        <v>#REF!</v>
      </c>
      <c r="L94" s="4" t="e">
        <f>(VLOOKUP('15.01'!#REF!,'15.01'!$AM$4:$AP$55,4,FALSE))</f>
        <v>#REF!</v>
      </c>
      <c r="M94" s="4" t="e">
        <f>(VLOOKUP('15.01'!#REF!,'15.01'!$AM$4:$AP$55,4,FALSE))</f>
        <v>#REF!</v>
      </c>
      <c r="N94" s="4" t="e">
        <f>(VLOOKUP('15.01'!#REF!,'15.01'!$AM$4:$AP$55,4,FALSE))</f>
        <v>#REF!</v>
      </c>
      <c r="O94" s="4" t="e">
        <f>(VLOOKUP('15.01'!#REF!,'15.01'!$AM$4:$AP$55,4,FALSE))</f>
        <v>#REF!</v>
      </c>
      <c r="P94" s="4" t="e">
        <f>(VLOOKUP('15.01'!#REF!,'15.01'!$AM$4:$AP$55,4,FALSE))</f>
        <v>#REF!</v>
      </c>
      <c r="Q94" s="4" t="e">
        <f>(VLOOKUP('15.01'!#REF!,'15.01'!$AM$4:$AP$55,4,FALSE))</f>
        <v>#REF!</v>
      </c>
      <c r="R94" s="4" t="e">
        <f>(VLOOKUP('15.01'!#REF!,'15.01'!$AM$4:$AP$55,4,FALSE))</f>
        <v>#REF!</v>
      </c>
      <c r="S94" s="4" t="e">
        <f>(VLOOKUP('15.01'!#REF!,'15.01'!$AM$4:$AP$55,4,FALSE))</f>
        <v>#REF!</v>
      </c>
      <c r="T94" s="4" t="e">
        <f>(VLOOKUP('15.01'!#REF!,'15.01'!$AM$4:$AP$55,4,FALSE))</f>
        <v>#REF!</v>
      </c>
      <c r="U94" s="4" t="e">
        <f>(VLOOKUP('15.01'!#REF!,'15.01'!$AM$4:$AP$55,4,FALSE))</f>
        <v>#REF!</v>
      </c>
      <c r="V94" s="4" t="e">
        <f>(VLOOKUP('15.01'!#REF!,'15.01'!$AM$4:$AP$55,4,FALSE))</f>
        <v>#REF!</v>
      </c>
      <c r="W94" s="4" t="e">
        <f>(VLOOKUP('15.01'!#REF!,'15.01'!$AM$4:$AP$55,4,FALSE))</f>
        <v>#REF!</v>
      </c>
      <c r="X94" s="4" t="e">
        <f>(VLOOKUP('15.01'!#REF!,'15.01'!$AM$4:$AP$55,4,FALSE))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2024-05-29T21:16:51Z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