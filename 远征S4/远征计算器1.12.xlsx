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tility\naruto\"/>
    </mc:Choice>
  </mc:AlternateContent>
  <xr:revisionPtr revIDLastSave="0" documentId="13_ncr:1_{00FED4D0-7F5C-4B83-A90C-BD28A7FDC4D0}" xr6:coauthVersionLast="45" xr6:coauthVersionMax="45" xr10:uidLastSave="{00000000-0000-0000-0000-000000000000}"/>
  <bookViews>
    <workbookView xWindow="-108" yWindow="-108" windowWidth="23256" windowHeight="12576" activeTab="1" xr2:uid="{F795F130-7073-4777-9EA5-5BC922687BC8}"/>
  </bookViews>
  <sheets>
    <sheet name="102" sheetId="1" r:id="rId1"/>
    <sheet name="102 new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2" i="6" l="1"/>
  <c r="K2" i="6"/>
  <c r="E94" i="6" a="1"/>
  <c r="E94" i="6" s="1"/>
  <c r="C94" i="6" a="1"/>
  <c r="C94" i="6" s="1"/>
  <c r="E93" i="6" a="1"/>
  <c r="E93" i="6" s="1"/>
  <c r="C93" i="6" a="1"/>
  <c r="C93" i="6" s="1"/>
  <c r="E92" i="6" a="1"/>
  <c r="E92" i="6" s="1"/>
  <c r="C92" i="6" a="1"/>
  <c r="C92" i="6" s="1"/>
  <c r="E91" i="6" a="1"/>
  <c r="E91" i="6" s="1"/>
  <c r="C91" i="6" a="1"/>
  <c r="C91" i="6" s="1"/>
  <c r="E90" i="6" a="1"/>
  <c r="E90" i="6" s="1"/>
  <c r="C90" i="6" a="1"/>
  <c r="C90" i="6" s="1"/>
  <c r="E89" i="6" a="1"/>
  <c r="E89" i="6" s="1"/>
  <c r="C89" i="6" a="1"/>
  <c r="C89" i="6" s="1"/>
  <c r="E88" i="6" a="1"/>
  <c r="E88" i="6" s="1"/>
  <c r="C88" i="6" a="1"/>
  <c r="C88" i="6" s="1"/>
  <c r="E87" i="6" a="1"/>
  <c r="E87" i="6" s="1"/>
  <c r="C87" i="6" a="1"/>
  <c r="C87" i="6" s="1"/>
  <c r="E86" i="6" a="1"/>
  <c r="E86" i="6" s="1"/>
  <c r="C86" i="6" a="1"/>
  <c r="C86" i="6" s="1"/>
  <c r="E85" i="6" a="1"/>
  <c r="E85" i="6" s="1"/>
  <c r="C85" i="6" a="1"/>
  <c r="C85" i="6" s="1"/>
  <c r="E84" i="6" a="1"/>
  <c r="E84" i="6" s="1"/>
  <c r="C84" i="6" a="1"/>
  <c r="C84" i="6" s="1"/>
  <c r="E83" i="6" a="1"/>
  <c r="E83" i="6" s="1"/>
  <c r="C83" i="6" a="1"/>
  <c r="C83" i="6" s="1"/>
  <c r="E82" i="6" a="1"/>
  <c r="E82" i="6" s="1"/>
  <c r="C82" i="6" a="1"/>
  <c r="C82" i="6" s="1"/>
  <c r="E81" i="6" a="1"/>
  <c r="E81" i="6" s="1"/>
  <c r="C81" i="6" a="1"/>
  <c r="C81" i="6" s="1"/>
  <c r="E80" i="6" a="1"/>
  <c r="E80" i="6" s="1"/>
  <c r="C80" i="6" a="1"/>
  <c r="C80" i="6" s="1"/>
  <c r="E79" i="6" a="1"/>
  <c r="E79" i="6" s="1"/>
  <c r="C79" i="6" a="1"/>
  <c r="C79" i="6" s="1"/>
  <c r="E78" i="6" a="1"/>
  <c r="E78" i="6" s="1"/>
  <c r="C78" i="6" a="1"/>
  <c r="C78" i="6" s="1"/>
  <c r="E77" i="6" a="1"/>
  <c r="E77" i="6" s="1"/>
  <c r="C77" i="6" a="1"/>
  <c r="C77" i="6" s="1"/>
  <c r="E76" i="6" a="1"/>
  <c r="E76" i="6" s="1"/>
  <c r="C76" i="6" a="1"/>
  <c r="C76" i="6" s="1"/>
  <c r="E75" i="6" a="1"/>
  <c r="E75" i="6" s="1"/>
  <c r="C75" i="6" a="1"/>
  <c r="C75" i="6" s="1"/>
  <c r="E74" i="6" a="1"/>
  <c r="E74" i="6" s="1"/>
  <c r="C74" i="6" a="1"/>
  <c r="C74" i="6" s="1"/>
  <c r="E73" i="6" a="1"/>
  <c r="E73" i="6" s="1"/>
  <c r="C73" i="6" a="1"/>
  <c r="C73" i="6" s="1"/>
  <c r="E72" i="6" a="1"/>
  <c r="E72" i="6" s="1"/>
  <c r="C72" i="6" a="1"/>
  <c r="C72" i="6" s="1"/>
  <c r="E71" i="6" a="1"/>
  <c r="E71" i="6" s="1"/>
  <c r="C71" i="6" a="1"/>
  <c r="C71" i="6" s="1"/>
  <c r="E70" i="6" a="1"/>
  <c r="E70" i="6" s="1"/>
  <c r="C70" i="6" a="1"/>
  <c r="C70" i="6" s="1"/>
  <c r="E69" i="6" a="1"/>
  <c r="E69" i="6" s="1"/>
  <c r="C69" i="6" a="1"/>
  <c r="C69" i="6" s="1"/>
  <c r="E68" i="6" a="1"/>
  <c r="E68" i="6" s="1"/>
  <c r="C68" i="6" a="1"/>
  <c r="C68" i="6" s="1"/>
  <c r="E67" i="6" a="1"/>
  <c r="E67" i="6" s="1"/>
  <c r="C67" i="6" a="1"/>
  <c r="C67" i="6" s="1"/>
  <c r="E66" i="6" a="1"/>
  <c r="E66" i="6" s="1"/>
  <c r="C66" i="6" a="1"/>
  <c r="C66" i="6" s="1"/>
  <c r="E65" i="6" a="1"/>
  <c r="E65" i="6" s="1"/>
  <c r="C65" i="6" a="1"/>
  <c r="C65" i="6" s="1"/>
  <c r="E64" i="6" a="1"/>
  <c r="E64" i="6" s="1"/>
  <c r="C64" i="6" a="1"/>
  <c r="C64" i="6" s="1"/>
  <c r="E63" i="6" a="1"/>
  <c r="E63" i="6" s="1"/>
  <c r="C63" i="6" a="1"/>
  <c r="C63" i="6" s="1"/>
  <c r="E62" i="6" a="1"/>
  <c r="E62" i="6" s="1"/>
  <c r="C62" i="6" a="1"/>
  <c r="C62" i="6" s="1"/>
  <c r="E61" i="6" a="1"/>
  <c r="E61" i="6" s="1"/>
  <c r="C61" i="6" a="1"/>
  <c r="C61" i="6" s="1"/>
  <c r="E60" i="6" a="1"/>
  <c r="E60" i="6" s="1"/>
  <c r="C60" i="6" a="1"/>
  <c r="C60" i="6" s="1"/>
  <c r="E59" i="6" a="1"/>
  <c r="E59" i="6" s="1"/>
  <c r="C59" i="6" a="1"/>
  <c r="C59" i="6" s="1"/>
  <c r="E58" i="6" a="1"/>
  <c r="E58" i="6" s="1"/>
  <c r="C58" i="6" a="1"/>
  <c r="C58" i="6" s="1"/>
  <c r="E57" i="6" a="1"/>
  <c r="E57" i="6" s="1"/>
  <c r="C57" i="6" a="1"/>
  <c r="C57" i="6" s="1"/>
  <c r="E56" i="6" a="1"/>
  <c r="E56" i="6" s="1"/>
  <c r="C56" i="6" a="1"/>
  <c r="C56" i="6" s="1"/>
  <c r="E55" i="6" a="1"/>
  <c r="E55" i="6" s="1"/>
  <c r="C55" i="6" a="1"/>
  <c r="C55" i="6" s="1"/>
  <c r="E54" i="6" a="1"/>
  <c r="E54" i="6" s="1"/>
  <c r="C54" i="6" a="1"/>
  <c r="C54" i="6" s="1"/>
  <c r="E53" i="6" a="1"/>
  <c r="E53" i="6" s="1"/>
  <c r="C53" i="6" a="1"/>
  <c r="C53" i="6" s="1"/>
  <c r="E52" i="6" a="1"/>
  <c r="E52" i="6" s="1"/>
  <c r="C52" i="6" a="1"/>
  <c r="C52" i="6" s="1"/>
  <c r="E51" i="6" a="1"/>
  <c r="E51" i="6" s="1"/>
  <c r="C51" i="6" a="1"/>
  <c r="C51" i="6" s="1"/>
  <c r="E50" i="6" a="1"/>
  <c r="E50" i="6" s="1"/>
  <c r="C50" i="6" a="1"/>
  <c r="C50" i="6" s="1"/>
  <c r="E49" i="6" a="1"/>
  <c r="E49" i="6" s="1"/>
  <c r="C49" i="6" a="1"/>
  <c r="C49" i="6" s="1"/>
  <c r="E48" i="6" a="1"/>
  <c r="E48" i="6" s="1"/>
  <c r="C48" i="6" a="1"/>
  <c r="C48" i="6" s="1"/>
  <c r="E47" i="6" a="1"/>
  <c r="E47" i="6" s="1"/>
  <c r="C47" i="6" a="1"/>
  <c r="C47" i="6" s="1"/>
  <c r="E46" i="6" a="1"/>
  <c r="E46" i="6" s="1"/>
  <c r="C46" i="6" a="1"/>
  <c r="C46" i="6" s="1"/>
  <c r="E45" i="6" a="1"/>
  <c r="E45" i="6" s="1"/>
  <c r="C45" i="6" a="1"/>
  <c r="C45" i="6" s="1"/>
  <c r="E44" i="6" a="1"/>
  <c r="E44" i="6" s="1"/>
  <c r="C44" i="6" a="1"/>
  <c r="C44" i="6" s="1"/>
  <c r="E43" i="6" a="1"/>
  <c r="E43" i="6" s="1"/>
  <c r="C43" i="6" a="1"/>
  <c r="C43" i="6" s="1"/>
  <c r="E42" i="6" a="1"/>
  <c r="E42" i="6" s="1"/>
  <c r="C42" i="6" a="1"/>
  <c r="C42" i="6" s="1"/>
  <c r="E41" i="6" a="1"/>
  <c r="E41" i="6" s="1"/>
  <c r="C41" i="6" a="1"/>
  <c r="C41" i="6" s="1"/>
  <c r="E40" i="6" a="1"/>
  <c r="E40" i="6" s="1"/>
  <c r="C40" i="6" a="1"/>
  <c r="C40" i="6" s="1"/>
  <c r="E39" i="6" a="1"/>
  <c r="E39" i="6" s="1"/>
  <c r="C39" i="6" a="1"/>
  <c r="C39" i="6" s="1"/>
  <c r="E38" i="6" a="1"/>
  <c r="E38" i="6" s="1"/>
  <c r="C38" i="6" a="1"/>
  <c r="C38" i="6" s="1"/>
  <c r="E37" i="6" a="1"/>
  <c r="E37" i="6" s="1"/>
  <c r="C37" i="6" a="1"/>
  <c r="C37" i="6" s="1"/>
  <c r="E36" i="6" a="1"/>
  <c r="E36" i="6" s="1"/>
  <c r="C36" i="6" a="1"/>
  <c r="C36" i="6" s="1"/>
  <c r="E35" i="6" a="1"/>
  <c r="E35" i="6" s="1"/>
  <c r="C35" i="6" a="1"/>
  <c r="C35" i="6" s="1"/>
  <c r="E34" i="6" a="1"/>
  <c r="E34" i="6" s="1"/>
  <c r="E33" i="6" a="1"/>
  <c r="E33" i="6" s="1"/>
  <c r="C33" i="6" a="1"/>
  <c r="C33" i="6" s="1"/>
  <c r="E32" i="6" a="1"/>
  <c r="E32" i="6" s="1"/>
  <c r="C32" i="6" a="1"/>
  <c r="C32" i="6" s="1"/>
  <c r="E31" i="6" a="1"/>
  <c r="E31" i="6" s="1"/>
  <c r="C31" i="6" a="1"/>
  <c r="C31" i="6" s="1"/>
  <c r="E30" i="6" a="1"/>
  <c r="E30" i="6" s="1"/>
  <c r="C30" i="6" a="1"/>
  <c r="C30" i="6" s="1"/>
  <c r="E29" i="6" a="1"/>
  <c r="E29" i="6" s="1"/>
  <c r="AN28" i="6"/>
  <c r="AM28" i="6"/>
  <c r="AL28" i="6"/>
  <c r="AJ28" i="6"/>
  <c r="C29" i="6" s="1" a="1"/>
  <c r="C29" i="6" s="1"/>
  <c r="E28" i="6" a="1"/>
  <c r="E28" i="6" s="1"/>
  <c r="C28" i="6" a="1"/>
  <c r="C28" i="6" s="1"/>
  <c r="E27" i="6" a="1"/>
  <c r="E27" i="6" s="1"/>
  <c r="C27" i="6" a="1"/>
  <c r="C27" i="6" s="1"/>
  <c r="AN26" i="6"/>
  <c r="AM26" i="6"/>
  <c r="AL26" i="6"/>
  <c r="E26" i="6" a="1"/>
  <c r="E26" i="6" s="1"/>
  <c r="C26" i="6" a="1"/>
  <c r="C26" i="6" s="1"/>
  <c r="AN25" i="6"/>
  <c r="AM25" i="6"/>
  <c r="AL25" i="6"/>
  <c r="E25" i="6" a="1"/>
  <c r="E25" i="6" s="1"/>
  <c r="C25" i="6" a="1"/>
  <c r="C25" i="6" s="1"/>
  <c r="AN24" i="6"/>
  <c r="AM24" i="6"/>
  <c r="AL24" i="6"/>
  <c r="E24" i="6" a="1"/>
  <c r="E24" i="6" s="1"/>
  <c r="C24" i="6" a="1"/>
  <c r="C24" i="6" s="1"/>
  <c r="AN23" i="6"/>
  <c r="AM23" i="6"/>
  <c r="AL23" i="6"/>
  <c r="E23" i="6" a="1"/>
  <c r="E23" i="6" s="1"/>
  <c r="C23" i="6" a="1"/>
  <c r="C23" i="6" s="1"/>
  <c r="AN22" i="6"/>
  <c r="AM22" i="6"/>
  <c r="AL22" i="6"/>
  <c r="E22" i="6" a="1"/>
  <c r="E22" i="6" s="1"/>
  <c r="C22" i="6" a="1"/>
  <c r="C22" i="6" s="1"/>
  <c r="AN21" i="6"/>
  <c r="AM21" i="6"/>
  <c r="AL21" i="6"/>
  <c r="E21" i="6" a="1"/>
  <c r="E21" i="6" s="1"/>
  <c r="C21" i="6" a="1"/>
  <c r="C21" i="6" s="1"/>
  <c r="AN20" i="6"/>
  <c r="AM20" i="6"/>
  <c r="AL20" i="6"/>
  <c r="E20" i="6"/>
  <c r="E20" i="6" a="1"/>
  <c r="C20" i="6"/>
  <c r="C20" i="6" a="1"/>
  <c r="AN19" i="6"/>
  <c r="AM19" i="6"/>
  <c r="AL19" i="6"/>
  <c r="E19" i="6"/>
  <c r="E19" i="6" a="1"/>
  <c r="C19" i="6" a="1"/>
  <c r="C19" i="6" s="1"/>
  <c r="AN18" i="6"/>
  <c r="AM18" i="6"/>
  <c r="AL18" i="6"/>
  <c r="E18" i="6" a="1"/>
  <c r="E18" i="6" s="1"/>
  <c r="C18" i="6" a="1"/>
  <c r="C18" i="6" s="1"/>
  <c r="AN17" i="6"/>
  <c r="AM17" i="6"/>
  <c r="AL17" i="6"/>
  <c r="E17" i="6"/>
  <c r="E17" i="6" a="1"/>
  <c r="C17" i="6"/>
  <c r="C17" i="6" a="1"/>
  <c r="AN16" i="6"/>
  <c r="AM16" i="6"/>
  <c r="AL16" i="6"/>
  <c r="E16" i="6"/>
  <c r="E16" i="6" a="1"/>
  <c r="C16" i="6" a="1"/>
  <c r="C16" i="6" s="1"/>
  <c r="AN15" i="6"/>
  <c r="AM15" i="6"/>
  <c r="AL15" i="6"/>
  <c r="E15" i="6" a="1"/>
  <c r="E15" i="6" s="1"/>
  <c r="C15" i="6" a="1"/>
  <c r="C15" i="6" s="1"/>
  <c r="AN14" i="6"/>
  <c r="AM14" i="6"/>
  <c r="AL14" i="6"/>
  <c r="E14" i="6"/>
  <c r="E14" i="6" a="1"/>
  <c r="C14" i="6"/>
  <c r="C14" i="6" a="1"/>
  <c r="AN13" i="6"/>
  <c r="AM13" i="6"/>
  <c r="AL13" i="6"/>
  <c r="E13" i="6"/>
  <c r="E13" i="6" a="1"/>
  <c r="C13" i="6" a="1"/>
  <c r="C13" i="6" s="1"/>
  <c r="AN12" i="6"/>
  <c r="AM12" i="6"/>
  <c r="AL12" i="6"/>
  <c r="E12" i="6" a="1"/>
  <c r="E12" i="6" s="1"/>
  <c r="C12" i="6" a="1"/>
  <c r="C12" i="6" s="1"/>
  <c r="AN11" i="6"/>
  <c r="AM11" i="6"/>
  <c r="AL11" i="6"/>
  <c r="E11" i="6"/>
  <c r="E11" i="6" a="1"/>
  <c r="C11" i="6"/>
  <c r="C11" i="6" a="1"/>
  <c r="AN10" i="6"/>
  <c r="AM10" i="6"/>
  <c r="AL10" i="6"/>
  <c r="E10" i="6"/>
  <c r="E10" i="6" a="1"/>
  <c r="C10" i="6" a="1"/>
  <c r="C10" i="6" s="1"/>
  <c r="AN9" i="6"/>
  <c r="AM9" i="6"/>
  <c r="AL9" i="6"/>
  <c r="E9" i="6" a="1"/>
  <c r="E9" i="6" s="1"/>
  <c r="C9" i="6" a="1"/>
  <c r="C9" i="6" s="1"/>
  <c r="AN8" i="6"/>
  <c r="AM8" i="6"/>
  <c r="AL8" i="6"/>
  <c r="E8" i="6"/>
  <c r="E8" i="6" a="1"/>
  <c r="C8" i="6"/>
  <c r="C8" i="6" a="1"/>
  <c r="AN7" i="6"/>
  <c r="AM7" i="6"/>
  <c r="AL7" i="6"/>
  <c r="E7" i="6"/>
  <c r="E7" i="6" a="1"/>
  <c r="C7" i="6" a="1"/>
  <c r="C7" i="6" s="1"/>
  <c r="AN6" i="6"/>
  <c r="AM6" i="6"/>
  <c r="AL6" i="6"/>
  <c r="E6" i="6" a="1"/>
  <c r="E6" i="6" s="1"/>
  <c r="C6" i="6" a="1"/>
  <c r="C6" i="6" s="1"/>
  <c r="AN5" i="6"/>
  <c r="AM5" i="6"/>
  <c r="AL5" i="6"/>
  <c r="E5" i="6"/>
  <c r="E5" i="6" a="1"/>
  <c r="C5" i="6"/>
  <c r="C5" i="6" a="1"/>
  <c r="AN4" i="6"/>
  <c r="AM4" i="6"/>
  <c r="AL4" i="6"/>
  <c r="F4" i="6"/>
  <c r="E4" i="6"/>
  <c r="E4" i="6" a="1"/>
  <c r="C4" i="6" a="1"/>
  <c r="C4" i="6" s="1"/>
  <c r="AF2" i="6"/>
  <c r="AA2" i="6"/>
  <c r="C19" i="1" a="1"/>
  <c r="C19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 s="1"/>
  <c r="C67" i="1" a="1"/>
  <c r="C67" i="1" s="1"/>
  <c r="C68" i="1" a="1"/>
  <c r="C68" i="1" s="1"/>
  <c r="C69" i="1" a="1"/>
  <c r="C69" i="1" s="1"/>
  <c r="C70" i="1" a="1"/>
  <c r="C70" i="1" s="1"/>
  <c r="C71" i="1" a="1"/>
  <c r="C71" i="1" s="1"/>
  <c r="C72" i="1" a="1"/>
  <c r="C72" i="1" s="1"/>
  <c r="C73" i="1" a="1"/>
  <c r="C73" i="1" s="1"/>
  <c r="C74" i="1" a="1"/>
  <c r="C74" i="1" s="1"/>
  <c r="C75" i="1" a="1"/>
  <c r="C75" i="1" s="1"/>
  <c r="C76" i="1" a="1"/>
  <c r="C76" i="1" s="1"/>
  <c r="C77" i="1" a="1"/>
  <c r="C77" i="1" s="1"/>
  <c r="C78" i="1" a="1"/>
  <c r="C78" i="1" s="1"/>
  <c r="C79" i="1" a="1"/>
  <c r="C79" i="1" s="1"/>
  <c r="C80" i="1" a="1"/>
  <c r="C80" i="1" s="1"/>
  <c r="C81" i="1" a="1"/>
  <c r="C81" i="1" s="1"/>
  <c r="C82" i="1" a="1"/>
  <c r="C82" i="1" s="1"/>
  <c r="C83" i="1" a="1"/>
  <c r="C83" i="1" s="1"/>
  <c r="C84" i="1" a="1"/>
  <c r="C84" i="1" s="1"/>
  <c r="C85" i="1" a="1"/>
  <c r="C85" i="1" s="1"/>
  <c r="C86" i="1" a="1"/>
  <c r="C86" i="1" s="1"/>
  <c r="C87" i="1" a="1"/>
  <c r="C87" i="1" s="1"/>
  <c r="C88" i="1" a="1"/>
  <c r="C88" i="1" s="1"/>
  <c r="C89" i="1" a="1"/>
  <c r="C89" i="1" s="1"/>
  <c r="C90" i="1" a="1"/>
  <c r="C90" i="1" s="1"/>
  <c r="C91" i="1" a="1"/>
  <c r="C91" i="1" s="1"/>
  <c r="C92" i="1" a="1"/>
  <c r="C92" i="1" s="1"/>
  <c r="C93" i="1" a="1"/>
  <c r="C93" i="1" s="1"/>
  <c r="C94" i="1" a="1"/>
  <c r="C94" i="1" s="1"/>
  <c r="C20" i="1" a="1"/>
  <c r="C20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4" i="1" a="1"/>
  <c r="C4" i="1" s="1"/>
  <c r="AO21" i="6" l="1"/>
  <c r="AO15" i="6"/>
  <c r="AO9" i="6"/>
  <c r="AO12" i="6"/>
  <c r="AO7" i="6"/>
  <c r="AO5" i="6"/>
  <c r="AO13" i="6"/>
  <c r="AO4" i="6"/>
  <c r="AO6" i="6"/>
  <c r="AO19" i="6"/>
  <c r="AO17" i="6"/>
  <c r="AO25" i="6"/>
  <c r="AO11" i="6"/>
  <c r="AO23" i="6"/>
  <c r="AO8" i="6"/>
  <c r="AO10" i="6"/>
  <c r="AO14" i="6"/>
  <c r="AO16" i="6"/>
  <c r="AO18" i="6"/>
  <c r="AO28" i="6"/>
  <c r="AO20" i="6"/>
  <c r="AO22" i="6"/>
  <c r="AO24" i="6"/>
  <c r="AO26" i="6"/>
  <c r="F22" i="6"/>
  <c r="D20" i="6"/>
  <c r="D14" i="6"/>
  <c r="D8" i="6"/>
  <c r="D22" i="6"/>
  <c r="D26" i="6"/>
  <c r="D32" i="6"/>
  <c r="D30" i="6"/>
  <c r="D27" i="6"/>
  <c r="D21" i="6"/>
  <c r="D15" i="6"/>
  <c r="D9" i="6"/>
  <c r="D10" i="6"/>
  <c r="D11" i="6"/>
  <c r="D16" i="6"/>
  <c r="D23" i="6"/>
  <c r="D17" i="6"/>
  <c r="D5" i="6"/>
  <c r="D33" i="6"/>
  <c r="D31" i="6"/>
  <c r="D28" i="6"/>
  <c r="D24" i="6"/>
  <c r="D18" i="6"/>
  <c r="D12" i="6"/>
  <c r="D6" i="6"/>
  <c r="D25" i="6"/>
  <c r="D7" i="6"/>
  <c r="D29" i="6"/>
  <c r="D13" i="6"/>
  <c r="D4" i="6"/>
  <c r="D19" i="6"/>
  <c r="F94" i="6"/>
  <c r="F8" i="6"/>
  <c r="F14" i="6"/>
  <c r="F20" i="6"/>
  <c r="F26" i="6"/>
  <c r="F16" i="6"/>
  <c r="F19" i="6"/>
  <c r="F10" i="6"/>
  <c r="F13" i="6"/>
  <c r="F25" i="6"/>
  <c r="F29" i="6"/>
  <c r="F7" i="6"/>
  <c r="F6" i="6"/>
  <c r="F12" i="6"/>
  <c r="F18" i="6"/>
  <c r="F24" i="6"/>
  <c r="F28" i="6"/>
  <c r="F31" i="6"/>
  <c r="F33" i="6"/>
  <c r="F35" i="6"/>
  <c r="F37" i="6"/>
  <c r="F39" i="6"/>
  <c r="F41" i="6"/>
  <c r="F43" i="6"/>
  <c r="F45" i="6"/>
  <c r="F47" i="6"/>
  <c r="F49" i="6"/>
  <c r="F51" i="6"/>
  <c r="F53" i="6"/>
  <c r="F55" i="6"/>
  <c r="F57" i="6"/>
  <c r="F59" i="6"/>
  <c r="F61" i="6"/>
  <c r="F63" i="6"/>
  <c r="F65" i="6"/>
  <c r="F67" i="6"/>
  <c r="F69" i="6"/>
  <c r="F71" i="6"/>
  <c r="F73" i="6"/>
  <c r="F75" i="6"/>
  <c r="F77" i="6"/>
  <c r="F79" i="6"/>
  <c r="F81" i="6"/>
  <c r="F83" i="6"/>
  <c r="F85" i="6"/>
  <c r="F87" i="6"/>
  <c r="F89" i="6"/>
  <c r="F91" i="6"/>
  <c r="F93" i="6"/>
  <c r="C34" i="6" a="1"/>
  <c r="C34" i="6" s="1"/>
  <c r="D80" i="6" s="1"/>
  <c r="F5" i="6"/>
  <c r="F11" i="6"/>
  <c r="F17" i="6"/>
  <c r="F23" i="6"/>
  <c r="E2" i="6"/>
  <c r="F9" i="6"/>
  <c r="F15" i="6"/>
  <c r="F21" i="6"/>
  <c r="F27" i="6"/>
  <c r="F30" i="6"/>
  <c r="F32" i="6"/>
  <c r="F34" i="6"/>
  <c r="F36" i="6"/>
  <c r="F38" i="6"/>
  <c r="F40" i="6"/>
  <c r="F42" i="6"/>
  <c r="F44" i="6"/>
  <c r="F46" i="6"/>
  <c r="F48" i="6"/>
  <c r="F50" i="6"/>
  <c r="F52" i="6"/>
  <c r="F54" i="6"/>
  <c r="F56" i="6"/>
  <c r="F58" i="6"/>
  <c r="F60" i="6"/>
  <c r="F62" i="6"/>
  <c r="F64" i="6"/>
  <c r="F66" i="6"/>
  <c r="F68" i="6"/>
  <c r="F70" i="6"/>
  <c r="F72" i="6"/>
  <c r="F74" i="6"/>
  <c r="F76" i="6"/>
  <c r="F78" i="6"/>
  <c r="F80" i="6"/>
  <c r="F82" i="6"/>
  <c r="F84" i="6"/>
  <c r="F86" i="6"/>
  <c r="F88" i="6"/>
  <c r="F90" i="6"/>
  <c r="F92" i="6"/>
  <c r="S2" i="1"/>
  <c r="K2" i="1"/>
  <c r="AO29" i="6" l="1"/>
  <c r="D51" i="6"/>
  <c r="D75" i="6"/>
  <c r="D38" i="6"/>
  <c r="D62" i="6"/>
  <c r="D86" i="6"/>
  <c r="D71" i="6"/>
  <c r="D58" i="6"/>
  <c r="D49" i="6"/>
  <c r="D84" i="6"/>
  <c r="D53" i="6"/>
  <c r="D77" i="6"/>
  <c r="D40" i="6"/>
  <c r="D64" i="6"/>
  <c r="D88" i="6"/>
  <c r="D47" i="6"/>
  <c r="D34" i="6"/>
  <c r="D73" i="6"/>
  <c r="D60" i="6"/>
  <c r="D55" i="6"/>
  <c r="D79" i="6"/>
  <c r="D42" i="6"/>
  <c r="D66" i="6"/>
  <c r="D90" i="6"/>
  <c r="D82" i="6"/>
  <c r="D36" i="6"/>
  <c r="D57" i="6"/>
  <c r="D81" i="6"/>
  <c r="D44" i="6"/>
  <c r="D68" i="6"/>
  <c r="D92" i="6"/>
  <c r="D35" i="6"/>
  <c r="D59" i="6"/>
  <c r="D83" i="6"/>
  <c r="D46" i="6"/>
  <c r="D70" i="6"/>
  <c r="D94" i="6"/>
  <c r="D37" i="6"/>
  <c r="D61" i="6"/>
  <c r="D85" i="6"/>
  <c r="D48" i="6"/>
  <c r="D72" i="6"/>
  <c r="D39" i="6"/>
  <c r="D87" i="6"/>
  <c r="D50" i="6"/>
  <c r="D65" i="6"/>
  <c r="D52" i="6"/>
  <c r="D43" i="6"/>
  <c r="D67" i="6"/>
  <c r="D91" i="6"/>
  <c r="D54" i="6"/>
  <c r="D78" i="6"/>
  <c r="D63" i="6"/>
  <c r="D74" i="6"/>
  <c r="D41" i="6"/>
  <c r="D89" i="6"/>
  <c r="D76" i="6"/>
  <c r="D45" i="6"/>
  <c r="D69" i="6"/>
  <c r="D93" i="6"/>
  <c r="D56" i="6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8" i="1"/>
  <c r="AN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8" i="1"/>
  <c r="AM4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8" i="1"/>
  <c r="E5" i="1" a="1"/>
  <c r="E5" i="1" s="1"/>
  <c r="E6" i="1" a="1"/>
  <c r="E6" i="1" s="1"/>
  <c r="E7" i="1" a="1"/>
  <c r="E7" i="1" s="1"/>
  <c r="E8" i="1" a="1"/>
  <c r="E8" i="1" s="1"/>
  <c r="E9" i="1" a="1"/>
  <c r="E9" i="1" s="1"/>
  <c r="E10" i="1" a="1"/>
  <c r="E10" i="1" s="1"/>
  <c r="E11" i="1" a="1"/>
  <c r="E11" i="1" s="1"/>
  <c r="E12" i="1" a="1"/>
  <c r="E12" i="1" s="1"/>
  <c r="E13" i="1" a="1"/>
  <c r="E13" i="1" s="1"/>
  <c r="E14" i="1" a="1"/>
  <c r="E14" i="1" s="1"/>
  <c r="E15" i="1" a="1"/>
  <c r="E15" i="1" s="1"/>
  <c r="E16" i="1" a="1"/>
  <c r="E16" i="1" s="1"/>
  <c r="E17" i="1" a="1"/>
  <c r="E17" i="1" s="1"/>
  <c r="E18" i="1" a="1"/>
  <c r="E18" i="1" s="1"/>
  <c r="E19" i="1" a="1"/>
  <c r="E19" i="1" s="1"/>
  <c r="E20" i="1" a="1"/>
  <c r="E20" i="1" s="1"/>
  <c r="E21" i="1" a="1"/>
  <c r="E21" i="1" s="1"/>
  <c r="E22" i="1" a="1"/>
  <c r="E22" i="1" s="1"/>
  <c r="E23" i="1" a="1"/>
  <c r="E23" i="1" s="1"/>
  <c r="E24" i="1" a="1"/>
  <c r="E24" i="1" s="1"/>
  <c r="E25" i="1" a="1"/>
  <c r="E25" i="1" s="1"/>
  <c r="E26" i="1" a="1"/>
  <c r="E26" i="1" s="1"/>
  <c r="E27" i="1" a="1"/>
  <c r="E27" i="1" s="1"/>
  <c r="E28" i="1" a="1"/>
  <c r="E28" i="1" s="1"/>
  <c r="E29" i="1" a="1"/>
  <c r="E29" i="1" s="1"/>
  <c r="E30" i="1" a="1"/>
  <c r="E30" i="1" s="1"/>
  <c r="E31" i="1" a="1"/>
  <c r="E31" i="1" s="1"/>
  <c r="E32" i="1" a="1"/>
  <c r="E32" i="1" s="1"/>
  <c r="E33" i="1" a="1"/>
  <c r="E33" i="1" s="1"/>
  <c r="E34" i="1" a="1"/>
  <c r="E34" i="1" s="1"/>
  <c r="E35" i="1" a="1"/>
  <c r="E35" i="1" s="1"/>
  <c r="E36" i="1" a="1"/>
  <c r="E36" i="1" s="1"/>
  <c r="E37" i="1" a="1"/>
  <c r="E37" i="1" s="1"/>
  <c r="E38" i="1" a="1"/>
  <c r="E38" i="1" s="1"/>
  <c r="E39" i="1" a="1"/>
  <c r="E39" i="1" s="1"/>
  <c r="E40" i="1" a="1"/>
  <c r="E40" i="1" s="1"/>
  <c r="E41" i="1" a="1"/>
  <c r="E41" i="1" s="1"/>
  <c r="E42" i="1" a="1"/>
  <c r="E42" i="1" s="1"/>
  <c r="E43" i="1" a="1"/>
  <c r="E43" i="1" s="1"/>
  <c r="E44" i="1" a="1"/>
  <c r="E44" i="1" s="1"/>
  <c r="E45" i="1" a="1"/>
  <c r="E45" i="1" s="1"/>
  <c r="E46" i="1" a="1"/>
  <c r="E46" i="1" s="1"/>
  <c r="E47" i="1" a="1"/>
  <c r="E47" i="1" s="1"/>
  <c r="E48" i="1" a="1"/>
  <c r="E48" i="1" s="1"/>
  <c r="E49" i="1" a="1"/>
  <c r="E49" i="1" s="1"/>
  <c r="E50" i="1" a="1"/>
  <c r="E50" i="1" s="1"/>
  <c r="E51" i="1" a="1"/>
  <c r="E51" i="1" s="1"/>
  <c r="E52" i="1" a="1"/>
  <c r="E52" i="1" s="1"/>
  <c r="E53" i="1" a="1"/>
  <c r="E53" i="1" s="1"/>
  <c r="E54" i="1" a="1"/>
  <c r="E54" i="1" s="1"/>
  <c r="E55" i="1" a="1"/>
  <c r="E55" i="1" s="1"/>
  <c r="E56" i="1" a="1"/>
  <c r="E56" i="1" s="1"/>
  <c r="E57" i="1" a="1"/>
  <c r="E57" i="1" s="1"/>
  <c r="E58" i="1" a="1"/>
  <c r="E58" i="1" s="1"/>
  <c r="E59" i="1" a="1"/>
  <c r="E59" i="1" s="1"/>
  <c r="E60" i="1" a="1"/>
  <c r="E60" i="1" s="1"/>
  <c r="E61" i="1" a="1"/>
  <c r="E61" i="1" s="1"/>
  <c r="E62" i="1" a="1"/>
  <c r="E62" i="1" s="1"/>
  <c r="E63" i="1" a="1"/>
  <c r="E63" i="1" s="1"/>
  <c r="E64" i="1" a="1"/>
  <c r="E64" i="1" s="1"/>
  <c r="E65" i="1" a="1"/>
  <c r="E65" i="1" s="1"/>
  <c r="E66" i="1" a="1"/>
  <c r="E66" i="1" s="1"/>
  <c r="E67" i="1" a="1"/>
  <c r="E67" i="1" s="1"/>
  <c r="E68" i="1" a="1"/>
  <c r="E68" i="1" s="1"/>
  <c r="E69" i="1" a="1"/>
  <c r="E69" i="1" s="1"/>
  <c r="E70" i="1" a="1"/>
  <c r="E70" i="1" s="1"/>
  <c r="E71" i="1" a="1"/>
  <c r="E71" i="1" s="1"/>
  <c r="E72" i="1" a="1"/>
  <c r="E72" i="1" s="1"/>
  <c r="E73" i="1" a="1"/>
  <c r="E73" i="1" s="1"/>
  <c r="E74" i="1" a="1"/>
  <c r="E74" i="1" s="1"/>
  <c r="E75" i="1" a="1"/>
  <c r="E75" i="1" s="1"/>
  <c r="E76" i="1" a="1"/>
  <c r="E76" i="1" s="1"/>
  <c r="E77" i="1" a="1"/>
  <c r="E77" i="1" s="1"/>
  <c r="E78" i="1" a="1"/>
  <c r="E78" i="1" s="1"/>
  <c r="E79" i="1" a="1"/>
  <c r="E79" i="1" s="1"/>
  <c r="E80" i="1" a="1"/>
  <c r="E80" i="1" s="1"/>
  <c r="E81" i="1" a="1"/>
  <c r="E81" i="1" s="1"/>
  <c r="E82" i="1" a="1"/>
  <c r="E82" i="1" s="1"/>
  <c r="E83" i="1" a="1"/>
  <c r="E83" i="1" s="1"/>
  <c r="E84" i="1" a="1"/>
  <c r="E84" i="1" s="1"/>
  <c r="E85" i="1" a="1"/>
  <c r="E85" i="1" s="1"/>
  <c r="E86" i="1" a="1"/>
  <c r="E86" i="1" s="1"/>
  <c r="E87" i="1" a="1"/>
  <c r="E87" i="1" s="1"/>
  <c r="E88" i="1" a="1"/>
  <c r="E88" i="1" s="1"/>
  <c r="E89" i="1" a="1"/>
  <c r="E89" i="1" s="1"/>
  <c r="E90" i="1" a="1"/>
  <c r="E90" i="1" s="1"/>
  <c r="E91" i="1" a="1"/>
  <c r="E91" i="1" s="1"/>
  <c r="E92" i="1" a="1"/>
  <c r="E92" i="1" s="1"/>
  <c r="E93" i="1" a="1"/>
  <c r="E93" i="1" s="1"/>
  <c r="E94" i="1" a="1"/>
  <c r="E94" i="1" s="1"/>
  <c r="E4" i="1" a="1"/>
  <c r="E4" i="1" s="1"/>
  <c r="AJ28" i="1"/>
  <c r="AO12" i="1" l="1"/>
  <c r="AO8" i="1"/>
  <c r="AO5" i="1"/>
  <c r="AO13" i="1"/>
  <c r="AO10" i="1"/>
  <c r="AO6" i="1"/>
  <c r="AO11" i="1"/>
  <c r="AO14" i="1"/>
  <c r="AO20" i="1"/>
  <c r="AO26" i="1"/>
  <c r="AO17" i="1"/>
  <c r="AO25" i="1"/>
  <c r="AO24" i="1"/>
  <c r="AO22" i="1"/>
  <c r="AO21" i="1"/>
  <c r="AO19" i="1"/>
  <c r="AO7" i="1"/>
  <c r="AO4" i="1"/>
  <c r="AO23" i="1"/>
  <c r="AO9" i="1"/>
  <c r="AO18" i="1"/>
  <c r="AO28" i="1"/>
  <c r="AO16" i="1"/>
  <c r="AO15" i="1"/>
  <c r="AO29" i="1" l="1"/>
  <c r="AA2" i="1"/>
  <c r="AF2" i="1"/>
  <c r="E2" i="1" l="1"/>
  <c r="F5" i="1"/>
  <c r="F17" i="1"/>
  <c r="F29" i="1"/>
  <c r="F41" i="1"/>
  <c r="F53" i="1"/>
  <c r="F65" i="1"/>
  <c r="F77" i="1"/>
  <c r="F89" i="1"/>
  <c r="F58" i="1"/>
  <c r="F61" i="1"/>
  <c r="F39" i="1"/>
  <c r="F6" i="1"/>
  <c r="F18" i="1"/>
  <c r="F30" i="1"/>
  <c r="F42" i="1"/>
  <c r="F54" i="1"/>
  <c r="F66" i="1"/>
  <c r="F78" i="1"/>
  <c r="F90" i="1"/>
  <c r="F70" i="1"/>
  <c r="F73" i="1"/>
  <c r="F63" i="1"/>
  <c r="F52" i="1"/>
  <c r="F7" i="1"/>
  <c r="F19" i="1"/>
  <c r="F31" i="1"/>
  <c r="F43" i="1"/>
  <c r="F55" i="1"/>
  <c r="F67" i="1"/>
  <c r="F79" i="1"/>
  <c r="F91" i="1"/>
  <c r="F34" i="1"/>
  <c r="F94" i="1"/>
  <c r="F15" i="1"/>
  <c r="F88" i="1"/>
  <c r="F8" i="1"/>
  <c r="F20" i="1"/>
  <c r="F32" i="1"/>
  <c r="F44" i="1"/>
  <c r="F56" i="1"/>
  <c r="F68" i="1"/>
  <c r="F80" i="1"/>
  <c r="F92" i="1"/>
  <c r="F46" i="1"/>
  <c r="F82" i="1"/>
  <c r="F27" i="1"/>
  <c r="F76" i="1"/>
  <c r="F9" i="1"/>
  <c r="F21" i="1"/>
  <c r="F33" i="1"/>
  <c r="F45" i="1"/>
  <c r="F57" i="1"/>
  <c r="F69" i="1"/>
  <c r="F81" i="1"/>
  <c r="F93" i="1"/>
  <c r="F22" i="1"/>
  <c r="F74" i="1"/>
  <c r="F16" i="1"/>
  <c r="F10" i="1"/>
  <c r="F11" i="1"/>
  <c r="F23" i="1"/>
  <c r="F35" i="1"/>
  <c r="F47" i="1"/>
  <c r="F59" i="1"/>
  <c r="F71" i="1"/>
  <c r="F83" i="1"/>
  <c r="F4" i="1"/>
  <c r="F85" i="1"/>
  <c r="F51" i="1"/>
  <c r="F12" i="1"/>
  <c r="F24" i="1"/>
  <c r="F36" i="1"/>
  <c r="F48" i="1"/>
  <c r="F60" i="1"/>
  <c r="F72" i="1"/>
  <c r="F84" i="1"/>
  <c r="F25" i="1"/>
  <c r="F37" i="1"/>
  <c r="F49" i="1"/>
  <c r="F86" i="1"/>
  <c r="F87" i="1"/>
  <c r="F40" i="1"/>
  <c r="F13" i="1"/>
  <c r="F64" i="1"/>
  <c r="F14" i="1"/>
  <c r="F26" i="1"/>
  <c r="F38" i="1"/>
  <c r="F50" i="1"/>
  <c r="F62" i="1"/>
  <c r="F75" i="1"/>
  <c r="F28" i="1"/>
  <c r="D19" i="1"/>
  <c r="D6" i="1" l="1"/>
  <c r="D77" i="1"/>
  <c r="D65" i="1"/>
  <c r="D53" i="1"/>
  <c r="D41" i="1"/>
  <c r="D29" i="1"/>
  <c r="D17" i="1"/>
  <c r="D63" i="1"/>
  <c r="D51" i="1"/>
  <c r="D39" i="1"/>
  <c r="D27" i="1"/>
  <c r="D15" i="1"/>
  <c r="D52" i="1"/>
  <c r="D74" i="1"/>
  <c r="D62" i="1"/>
  <c r="D50" i="1"/>
  <c r="D38" i="1"/>
  <c r="D26" i="1"/>
  <c r="D14" i="1"/>
  <c r="D85" i="1"/>
  <c r="D73" i="1"/>
  <c r="D61" i="1"/>
  <c r="D49" i="1"/>
  <c r="D37" i="1"/>
  <c r="D25" i="1"/>
  <c r="D13" i="1"/>
  <c r="D89" i="1"/>
  <c r="D86" i="1"/>
  <c r="D4" i="1"/>
  <c r="D84" i="1"/>
  <c r="D72" i="1"/>
  <c r="D60" i="1"/>
  <c r="D48" i="1"/>
  <c r="D36" i="1"/>
  <c r="D24" i="1"/>
  <c r="D12" i="1"/>
  <c r="D75" i="1"/>
  <c r="D5" i="1"/>
  <c r="D83" i="1"/>
  <c r="D71" i="1"/>
  <c r="D59" i="1"/>
  <c r="D47" i="1"/>
  <c r="D35" i="1"/>
  <c r="D23" i="1"/>
  <c r="D11" i="1"/>
  <c r="D87" i="1"/>
  <c r="D94" i="1"/>
  <c r="D82" i="1"/>
  <c r="D70" i="1"/>
  <c r="D58" i="1"/>
  <c r="D46" i="1"/>
  <c r="D34" i="1"/>
  <c r="D22" i="1"/>
  <c r="D10" i="1"/>
  <c r="D88" i="1"/>
  <c r="D28" i="1"/>
  <c r="D93" i="1"/>
  <c r="D81" i="1"/>
  <c r="D69" i="1"/>
  <c r="D57" i="1"/>
  <c r="D45" i="1"/>
  <c r="D33" i="1"/>
  <c r="D21" i="1"/>
  <c r="D9" i="1"/>
  <c r="D40" i="1"/>
  <c r="D92" i="1"/>
  <c r="D80" i="1"/>
  <c r="D68" i="1"/>
  <c r="D56" i="1"/>
  <c r="D44" i="1"/>
  <c r="D32" i="1"/>
  <c r="D20" i="1"/>
  <c r="D8" i="1"/>
  <c r="D64" i="1"/>
  <c r="D91" i="1"/>
  <c r="D79" i="1"/>
  <c r="D67" i="1"/>
  <c r="D55" i="1"/>
  <c r="D43" i="1"/>
  <c r="D31" i="1"/>
  <c r="D7" i="1"/>
  <c r="D76" i="1"/>
  <c r="D16" i="1"/>
  <c r="D90" i="1"/>
  <c r="D78" i="1"/>
  <c r="D66" i="1"/>
  <c r="D54" i="1"/>
  <c r="D42" i="1"/>
  <c r="D30" i="1"/>
  <c r="D1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<sst xmlns="http://schemas.openxmlformats.org/spreadsheetml/2006/main" count="4668" uniqueCount="56">
  <si>
    <t>获得粮草</t>
  </si>
  <si>
    <t>剩余粮草</t>
  </si>
  <si>
    <t>地块</t>
  </si>
  <si>
    <t>粮草</t>
  </si>
  <si>
    <t>经验</t>
  </si>
  <si>
    <t>塔1</t>
  </si>
  <si>
    <t>塔2</t>
  </si>
  <si>
    <t>塔3</t>
  </si>
  <si>
    <t>塔4</t>
  </si>
  <si>
    <t>塔5</t>
  </si>
  <si>
    <t>塔6</t>
  </si>
  <si>
    <t>遗迹</t>
  </si>
  <si>
    <t>商人</t>
  </si>
  <si>
    <t>营地</t>
  </si>
  <si>
    <t>小boss</t>
  </si>
  <si>
    <t>大boss</t>
  </si>
  <si>
    <t>1级</t>
  </si>
  <si>
    <t>2级</t>
  </si>
  <si>
    <t>3级</t>
  </si>
  <si>
    <t>4级</t>
  </si>
  <si>
    <t>5级</t>
  </si>
  <si>
    <t>6级</t>
  </si>
  <si>
    <t>消耗粮草</t>
  </si>
  <si>
    <t>空</t>
  </si>
  <si>
    <t>获得经验</t>
  </si>
  <si>
    <t>八卦前</t>
  </si>
  <si>
    <t>八卦后</t>
  </si>
  <si>
    <t>任务经验</t>
  </si>
  <si>
    <t>跳步次数</t>
  </si>
  <si>
    <t>八卦全开</t>
  </si>
  <si>
    <t>否</t>
  </si>
  <si>
    <t>是</t>
  </si>
  <si>
    <t>粮草系数</t>
  </si>
  <si>
    <t>队伍三</t>
  </si>
  <si>
    <t>Note：开完八卦当天可能需要手动计算粮草</t>
  </si>
  <si>
    <t>合计经验</t>
  </si>
  <si>
    <t>日期</t>
  </si>
  <si>
    <t>工作区</t>
  </si>
  <si>
    <t>秋道</t>
  </si>
  <si>
    <t>奈良</t>
  </si>
  <si>
    <t>山中</t>
  </si>
  <si>
    <t>艮震巽坎</t>
  </si>
  <si>
    <t>离乾兑坤</t>
  </si>
  <si>
    <t>中boss</t>
  </si>
  <si>
    <t>使用方法：按自己规划的路线，将下表中的地块名复制粘贴至工作区。初次使用传送门，当天跳步次数+5。重复使用传送门，当天跳步次数+1</t>
  </si>
  <si>
    <t>累计经验</t>
  </si>
  <si>
    <t>总步数</t>
  </si>
  <si>
    <t>(不算跳步和传送)</t>
  </si>
  <si>
    <t>步数</t>
  </si>
  <si>
    <t>营地+</t>
  </si>
  <si>
    <t>队伍一 风</t>
  </si>
  <si>
    <t>队伍二 雷</t>
  </si>
  <si>
    <t>一队</t>
  </si>
  <si>
    <t>二队</t>
  </si>
  <si>
    <t>三队</t>
  </si>
  <si>
    <t>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</si>
</sst>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theme="9" tint="0.399975585192419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3">
    <xf numFmtId="0" fontId="0" fillId="0" borderId="0" xfId="0"/>
    <xf numFmtId="14" fontId="0" fillId="0" borderId="0" xfId="0" applyNumberFormat="1"/>
    <xf numFmtId="0" fontId="1" fillId="0" borderId="0" xfId="0" applyFont="1"/>
    <xf numFmtId="14" fontId="0" fillId="14" borderId="0" xfId="0" applyNumberFormat="1" applyFill="1"/>
    <xf numFmtId="0" fontId="0" fillId="14" borderId="0" xfId="0" applyFill="1"/>
    <xf numFmtId="0" fontId="0" fillId="4" borderId="4" xfId="0" applyFill="1" applyBorder="1"/>
    <xf numFmtId="0" fontId="0" fillId="4" borderId="0" xfId="0" applyFill="1" applyBorder="1"/>
    <xf numFmtId="0" fontId="0" fillId="0" borderId="0" xfId="0" applyFont="1" applyFill="1" applyBorder="1"/>
    <xf numFmtId="0" fontId="0" fillId="0" borderId="0" xfId="0" applyFill="1" applyBorder="1"/>
    <xf numFmtId="0" fontId="0" fillId="0" borderId="4" xfId="0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  <xf numFmtId="0" fontId="0" fillId="0" borderId="4" xfId="0" applyFont="1" applyFill="1" applyBorder="1"/>
    <xf numFmtId="0" fontId="0" fillId="3" borderId="4" xfId="0" applyFill="1" applyBorder="1"/>
    <xf numFmtId="0" fontId="0" fillId="3" borderId="0" xfId="0" applyFill="1" applyBorder="1"/>
    <xf numFmtId="0" fontId="0" fillId="3" borderId="5" xfId="0" applyFill="1" applyBorder="1"/>
    <xf numFmtId="0" fontId="0" fillId="15" borderId="5" xfId="0" applyFont="1" applyFill="1" applyBorder="1"/>
    <xf numFmtId="0" fontId="0" fillId="15" borderId="5" xfId="0" applyFill="1" applyBorder="1"/>
    <xf numFmtId="0" fontId="0" fillId="15" borderId="8" xfId="0" applyFill="1" applyBorder="1"/>
    <xf numFmtId="0" fontId="0" fillId="0" borderId="13" xfId="0" applyBorder="1"/>
    <xf numFmtId="0" fontId="0" fillId="0" borderId="14" xfId="0" applyBorder="1"/>
    <xf numFmtId="0" fontId="0" fillId="12" borderId="1" xfId="0" applyFill="1" applyBorder="1"/>
    <xf numFmtId="0" fontId="0" fillId="12" borderId="3" xfId="0" applyFill="1" applyBorder="1"/>
    <xf numFmtId="0" fontId="0" fillId="12" borderId="4" xfId="0" applyFill="1" applyBorder="1"/>
    <xf numFmtId="0" fontId="0" fillId="12" borderId="5" xfId="0" applyFill="1" applyBorder="1"/>
    <xf numFmtId="0" fontId="0" fillId="12" borderId="6" xfId="0" applyFill="1" applyBorder="1"/>
    <xf numFmtId="0" fontId="0" fillId="12" borderId="8" xfId="0" applyFill="1" applyBorder="1"/>
    <xf numFmtId="0" fontId="0" fillId="14" borderId="0" xfId="0" applyFill="1" applyAlignment="1">
      <alignment wrapText="1"/>
    </xf>
    <xf numFmtId="0" fontId="0" fillId="14" borderId="0" xfId="0" applyFill="1" applyAlignment="1">
      <alignment horizontal="center" vertical="center" wrapText="1"/>
    </xf>
    <xf numFmtId="0" fontId="3" fillId="14" borderId="0" xfId="0" applyFont="1" applyFill="1"/>
    <xf numFmtId="0" fontId="3" fillId="0" borderId="0" xfId="0" applyFont="1"/>
    <xf numFmtId="0" fontId="0" fillId="0" borderId="15" xfId="0" applyBorder="1"/>
    <xf numFmtId="0" fontId="0" fillId="6" borderId="15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0" fillId="2" borderId="15" xfId="0" applyFont="1" applyFill="1" applyBorder="1" applyAlignment="1">
      <alignment vertical="top"/>
    </xf>
    <xf numFmtId="0" fontId="0" fillId="7" borderId="15" xfId="0" applyFont="1" applyFill="1" applyBorder="1" applyAlignment="1">
      <alignment vertical="top"/>
    </xf>
    <xf numFmtId="0" fontId="0" fillId="8" borderId="15" xfId="0" applyFont="1" applyFill="1" applyBorder="1" applyAlignment="1">
      <alignment vertical="top"/>
    </xf>
    <xf numFmtId="0" fontId="0" fillId="4" borderId="15" xfId="0" applyFont="1" applyFill="1" applyBorder="1" applyAlignment="1">
      <alignment vertical="top"/>
    </xf>
    <xf numFmtId="0" fontId="1" fillId="9" borderId="15" xfId="0" applyFont="1" applyFill="1" applyBorder="1"/>
    <xf numFmtId="0" fontId="0" fillId="0" borderId="15" xfId="0" applyFill="1" applyBorder="1"/>
    <xf numFmtId="0" fontId="1" fillId="10" borderId="15" xfId="0" applyFont="1" applyFill="1" applyBorder="1"/>
    <xf numFmtId="0" fontId="1" fillId="11" borderId="15" xfId="0" applyFont="1" applyFill="1" applyBorder="1"/>
    <xf numFmtId="0" fontId="1" fillId="12" borderId="15" xfId="0" applyFont="1" applyFill="1" applyBorder="1"/>
    <xf numFmtId="0" fontId="1" fillId="3" borderId="15" xfId="0" applyFont="1" applyFill="1" applyBorder="1"/>
    <xf numFmtId="0" fontId="1" fillId="13" borderId="15" xfId="0" applyFont="1" applyFill="1" applyBorder="1"/>
    <xf numFmtId="0" fontId="1" fillId="0" borderId="15" xfId="0" applyFont="1" applyBorder="1"/>
    <xf numFmtId="0" fontId="1" fillId="19" borderId="15" xfId="0" applyFont="1" applyFill="1" applyBorder="1"/>
    <xf numFmtId="0" fontId="1" fillId="20" borderId="15" xfId="0" applyFont="1" applyFill="1" applyBorder="1"/>
    <xf numFmtId="0" fontId="1" fillId="17" borderId="13" xfId="0" applyFont="1" applyFill="1" applyBorder="1" applyAlignment="1">
      <alignment horizontal="center"/>
    </xf>
    <xf numFmtId="0" fontId="1" fillId="17" borderId="14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 applyBorder="1"/>
    <xf numFmtId="0" fontId="1" fillId="2" borderId="12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21" borderId="1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16" borderId="17" xfId="0" applyFill="1" applyBorder="1" applyAlignment="1">
      <alignment wrapText="1"/>
    </xf>
    <xf numFmtId="0" fontId="1" fillId="2" borderId="12" xfId="0" applyFont="1" applyFill="1" applyBorder="1" applyAlignment="1">
      <alignment wrapText="1"/>
    </xf>
    <xf numFmtId="0" fontId="1" fillId="3" borderId="1" xfId="0" applyFont="1" applyFill="1" applyBorder="1" applyAlignment="1"/>
    <xf numFmtId="0" fontId="1" fillId="3" borderId="2" xfId="0" applyFont="1" applyFill="1" applyBorder="1" applyAlignment="1"/>
    <xf numFmtId="0" fontId="1" fillId="4" borderId="1" xfId="0" applyFont="1" applyFill="1" applyBorder="1" applyAlignment="1">
      <alignment horizontal="center"/>
    </xf>
    <xf numFmtId="0" fontId="1" fillId="21" borderId="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 wrapText="1"/>
    </xf>
    <xf numFmtId="0" fontId="0" fillId="21" borderId="0" xfId="0" applyFill="1"/>
    <xf numFmtId="14" fontId="0" fillId="22" borderId="0" xfId="0" applyNumberFormat="1" applyFill="1"/>
    <xf numFmtId="0" fontId="0" fillId="0" borderId="18" xfId="0" applyFill="1" applyBorder="1"/>
    <xf numFmtId="0" fontId="1" fillId="21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4" fillId="16" borderId="7" xfId="0" applyFont="1" applyFill="1" applyBorder="1" applyAlignment="1">
      <alignment horizontal="center" vertical="center"/>
    </xf>
    <xf numFmtId="0" fontId="4" fillId="16" borderId="8" xfId="0" applyFont="1" applyFill="1" applyBorder="1" applyAlignment="1">
      <alignment horizontal="center" vertical="center"/>
    </xf>
    <xf numFmtId="0" fontId="0" fillId="16" borderId="6" xfId="0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5" fillId="18" borderId="9" xfId="0" applyFont="1" applyFill="1" applyBorder="1" applyAlignment="1">
      <alignment horizontal="center" vertical="center"/>
    </xf>
    <xf numFmtId="0" fontId="0" fillId="18" borderId="10" xfId="0" applyFill="1" applyBorder="1" applyAlignment="1">
      <alignment horizontal="center" vertical="center"/>
    </xf>
    <xf numFmtId="0" fontId="0" fillId="18" borderId="11" xfId="0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6" xfId="0" applyBorder="1" applyAlignment="1">
      <alignment horizontal="center" wrapText="1"/>
    </xf>
    <xf numFmtId="0" fontId="0" fillId="12" borderId="12" xfId="0" applyFill="1" applyBorder="1" applyAlignment="1">
      <alignment horizontal="center" wrapText="1"/>
    </xf>
    <xf numFmtId="0" fontId="0" fillId="12" borderId="13" xfId="0" applyFill="1" applyBorder="1" applyAlignment="1">
      <alignment horizontal="center" wrapText="1"/>
    </xf>
    <xf numFmtId="0" fontId="1" fillId="21" borderId="2" xfId="0" applyFont="1" applyFill="1" applyBorder="1" applyAlignment="1">
      <alignment horizontal="center"/>
    </xf>
    <xf numFmtId="0" fontId="1" fillId="21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243"/>
      <color rgb="FFFFCC00"/>
      <color rgb="FFFFCCFF"/>
      <color rgb="FF99FFCC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09BEF-7957-4372-9A58-B5396EBD7025}">
  <dimension ref="A1:AQ94"/>
  <sheetViews>
    <sheetView topLeftCell="A16" zoomScale="85" zoomScaleNormal="85" workbookViewId="0">
      <selection activeCell="M43" sqref="M43"/>
    </sheetView>
  </sheetViews>
  <sheetFormatPr defaultRowHeight="14.4" x14ac:dyDescent="0.3"/>
  <cols>
    <col min="1" max="1" width="9.5546875" bestFit="1" customWidth="1"/>
    <col min="2" max="3" width="5.109375" bestFit="1" customWidth="1"/>
    <col min="4" max="4" width="6" customWidth="1"/>
    <col min="5" max="5" width="5" bestFit="1" customWidth="1"/>
    <col min="6" max="6" width="5.88671875" customWidth="1"/>
    <col min="7" max="7" width="5" bestFit="1" customWidth="1"/>
    <col min="8" max="14" width="7.21875" bestFit="1" customWidth="1"/>
    <col min="15" max="15" width="7.21875" customWidth="1"/>
    <col min="16" max="22" width="7.21875" bestFit="1" customWidth="1"/>
    <col min="23" max="23" width="7.21875" customWidth="1"/>
    <col min="24" max="31" width="7.21875" hidden="1" customWidth="1"/>
    <col min="32" max="33" width="5.109375" bestFit="1" customWidth="1"/>
  </cols>
  <sheetData>
    <row r="1" spans="1:43" ht="81" customHeight="1" thickBot="1" x14ac:dyDescent="0.35">
      <c r="A1" s="81"/>
      <c r="B1" s="82"/>
      <c r="C1" s="82"/>
      <c r="D1" s="82"/>
      <c r="E1" s="82"/>
      <c r="F1" s="82"/>
      <c r="G1" s="83"/>
      <c r="H1" s="78" t="s">
        <v>37</v>
      </c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80"/>
      <c r="AI1" s="73" t="s">
        <v>44</v>
      </c>
      <c r="AJ1" s="73"/>
      <c r="AK1" s="73"/>
    </row>
    <row r="2" spans="1:43" ht="16.2" customHeight="1" thickBot="1" x14ac:dyDescent="0.35">
      <c r="C2" s="76" t="s">
        <v>35</v>
      </c>
      <c r="D2" s="77"/>
      <c r="E2" s="74">
        <f>SUM(E4:E94)+SUM(G4:G94)</f>
        <v>20925</v>
      </c>
      <c r="F2" s="74"/>
      <c r="G2" s="75"/>
      <c r="H2" s="54" t="s">
        <v>50</v>
      </c>
      <c r="I2" s="55"/>
      <c r="J2" s="55" t="s">
        <v>48</v>
      </c>
      <c r="K2" s="55">
        <f>COUNTIF(H4:N94,"&lt;&gt;空")</f>
        <v>183</v>
      </c>
      <c r="L2" s="91" t="s">
        <v>47</v>
      </c>
      <c r="M2" s="91"/>
      <c r="N2" s="91"/>
      <c r="O2" s="92"/>
      <c r="P2" s="56" t="s">
        <v>51</v>
      </c>
      <c r="Q2" s="57"/>
      <c r="R2" s="57" t="s">
        <v>48</v>
      </c>
      <c r="S2" s="57">
        <f>COUNTIF(P4:V94,"&lt;&gt;空")</f>
        <v>196</v>
      </c>
      <c r="T2" s="87" t="s">
        <v>47</v>
      </c>
      <c r="U2" s="87"/>
      <c r="V2" s="87"/>
      <c r="W2" s="88"/>
      <c r="X2" s="61" t="s">
        <v>33</v>
      </c>
      <c r="Y2" s="62"/>
      <c r="Z2" s="62" t="s">
        <v>46</v>
      </c>
      <c r="AA2" s="58">
        <f>COUNTIF(X4:AD94,"&lt;&gt;空")</f>
        <v>0</v>
      </c>
      <c r="AB2" s="89" t="s">
        <v>47</v>
      </c>
      <c r="AC2" s="89"/>
      <c r="AD2" s="89"/>
      <c r="AE2" s="90"/>
      <c r="AF2" s="53">
        <f>SUM(AF4:AF94)</f>
        <v>76</v>
      </c>
      <c r="AG2" s="85" t="s">
        <v>29</v>
      </c>
      <c r="AI2" s="84"/>
      <c r="AJ2" s="84"/>
      <c r="AK2" s="84"/>
      <c r="AP2" s="22"/>
      <c r="AQ2" s="23" t="s">
        <v>32</v>
      </c>
    </row>
    <row r="3" spans="1:43" ht="29.4" thickBot="1" x14ac:dyDescent="0.35">
      <c r="A3" s="29" t="s">
        <v>36</v>
      </c>
      <c r="B3" s="28" t="s">
        <v>0</v>
      </c>
      <c r="C3" s="28" t="s">
        <v>22</v>
      </c>
      <c r="D3" s="28" t="s">
        <v>1</v>
      </c>
      <c r="E3" s="59" t="s">
        <v>24</v>
      </c>
      <c r="F3" s="59" t="s">
        <v>45</v>
      </c>
      <c r="G3" s="5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51">
        <v>1</v>
      </c>
      <c r="Q3" s="52">
        <v>2</v>
      </c>
      <c r="R3" s="52">
        <v>3</v>
      </c>
      <c r="S3" s="52">
        <v>4</v>
      </c>
      <c r="T3" s="52">
        <v>5</v>
      </c>
      <c r="U3" s="52">
        <v>6</v>
      </c>
      <c r="V3" s="52">
        <v>7</v>
      </c>
      <c r="W3" s="52">
        <v>8</v>
      </c>
      <c r="X3" s="14">
        <v>1</v>
      </c>
      <c r="Y3" s="15">
        <v>2</v>
      </c>
      <c r="Z3" s="15">
        <v>3</v>
      </c>
      <c r="AA3" s="15">
        <v>4</v>
      </c>
      <c r="AB3" s="15">
        <v>5</v>
      </c>
      <c r="AC3" s="15">
        <v>6</v>
      </c>
      <c r="AD3" s="15">
        <v>7</v>
      </c>
      <c r="AE3" s="16">
        <v>8</v>
      </c>
      <c r="AF3" s="60" t="s">
        <v>28</v>
      </c>
      <c r="AG3" s="86"/>
      <c r="AH3" s="2"/>
      <c r="AI3" s="32" t="s">
        <v>2</v>
      </c>
      <c r="AJ3" s="32" t="s">
        <v>3</v>
      </c>
      <c r="AK3" s="32" t="s">
        <v>4</v>
      </c>
      <c r="AL3" s="68" t="s">
        <v>52</v>
      </c>
      <c r="AM3" s="68" t="s">
        <v>53</v>
      </c>
      <c r="AN3" s="68" t="s">
        <v>54</v>
      </c>
      <c r="AO3" s="68" t="s">
        <v>55</v>
      </c>
      <c r="AP3" s="24" t="s">
        <v>25</v>
      </c>
      <c r="AQ3" s="25">
        <v>1</v>
      </c>
    </row>
    <row r="4" spans="1:43" ht="15" thickBot="1" x14ac:dyDescent="0.35">
      <c r="A4" s="67">
        <v>44365</v>
      </c>
      <c r="B4" s="4">
        <v>800</v>
      </c>
      <c r="C4" s="4" cm="1">
        <f t="array" ref="C4">(SUM(VLOOKUP(H4:AE4,$AI$4:$AK$44,2,FALSE))+AF4*10)*IF(AG4="是",$AQ$4,$AQ$3)</f>
        <v>750</v>
      </c>
      <c r="D4" s="30">
        <f>SUM($B$4:B4)-SUM($C$4:C4)</f>
        <v>50</v>
      </c>
      <c r="E4" s="4" cm="1">
        <f t="array" ref="E4">SUM(VLOOKUP(H4:AD4,$AI$4:$AK$44,3,FALSE))</f>
        <v>175</v>
      </c>
      <c r="F4" s="4">
        <f>SUM($E$4:E4)+SUM($G$4:G4)</f>
        <v>175</v>
      </c>
      <c r="G4" s="4">
        <v>0</v>
      </c>
      <c r="H4" s="33" t="s">
        <v>16</v>
      </c>
      <c r="I4" s="33" t="s">
        <v>16</v>
      </c>
      <c r="J4" s="33" t="s">
        <v>16</v>
      </c>
      <c r="K4" s="33" t="s">
        <v>16</v>
      </c>
      <c r="L4" s="33" t="s">
        <v>16</v>
      </c>
      <c r="M4" s="7" t="s">
        <v>23</v>
      </c>
      <c r="N4" s="17" t="s">
        <v>23</v>
      </c>
      <c r="O4" s="17" t="s">
        <v>23</v>
      </c>
      <c r="P4" s="13" t="s">
        <v>23</v>
      </c>
      <c r="Q4" s="7" t="s">
        <v>23</v>
      </c>
      <c r="R4" s="7" t="s">
        <v>23</v>
      </c>
      <c r="S4" s="7" t="s">
        <v>23</v>
      </c>
      <c r="T4" s="8" t="s">
        <v>23</v>
      </c>
      <c r="U4" s="8" t="s">
        <v>23</v>
      </c>
      <c r="V4" s="18" t="s">
        <v>23</v>
      </c>
      <c r="W4" s="18" t="s">
        <v>23</v>
      </c>
      <c r="X4" s="9" t="s">
        <v>23</v>
      </c>
      <c r="Y4" s="8" t="s">
        <v>23</v>
      </c>
      <c r="Z4" s="8" t="s">
        <v>23</v>
      </c>
      <c r="AA4" s="8" t="s">
        <v>23</v>
      </c>
      <c r="AB4" s="8" t="s">
        <v>23</v>
      </c>
      <c r="AC4" s="8" t="s">
        <v>23</v>
      </c>
      <c r="AD4" s="18" t="s">
        <v>23</v>
      </c>
      <c r="AE4" s="18" t="s">
        <v>23</v>
      </c>
      <c r="AF4" s="49">
        <v>0</v>
      </c>
      <c r="AG4" s="20" t="s">
        <v>30</v>
      </c>
      <c r="AI4" s="33" t="s">
        <v>16</v>
      </c>
      <c r="AJ4" s="32">
        <v>150</v>
      </c>
      <c r="AK4" s="32">
        <v>35</v>
      </c>
      <c r="AL4">
        <f>COUNTIF($H$4:$N$94,AI4)</f>
        <v>9</v>
      </c>
      <c r="AM4">
        <f>COUNTIF($P$4:$V$94,AI4)</f>
        <v>0</v>
      </c>
      <c r="AN4">
        <f>COUNTIF($X$4:$AD$94,AI4)</f>
        <v>0</v>
      </c>
      <c r="AO4">
        <f>AL4+AM4+AN4</f>
        <v>9</v>
      </c>
      <c r="AP4" s="26" t="s">
        <v>26</v>
      </c>
      <c r="AQ4" s="27">
        <v>0.8</v>
      </c>
    </row>
    <row r="5" spans="1:43" x14ac:dyDescent="0.3">
      <c r="A5" s="67">
        <v>44366</v>
      </c>
      <c r="B5" s="4">
        <v>1600</v>
      </c>
      <c r="C5" s="4" cm="1">
        <f t="array" ref="C5">(SUM(VLOOKUP(H5:AE5,$AI$4:$AK$44,2,FALSE))+AF5*10)*IF(AG5="是",$AQ$4,$AQ$3)</f>
        <v>1630</v>
      </c>
      <c r="D5" s="30">
        <f>SUM($B$4:B5)-SUM($C$4:C5)</f>
        <v>20</v>
      </c>
      <c r="E5" s="4" cm="1">
        <f t="array" ref="E5">SUM(VLOOKUP(H5:AD5,$AI$4:$AK$44,3,FALSE))</f>
        <v>420</v>
      </c>
      <c r="F5" s="4">
        <f>SUM($E$4:E5)+SUM($G$4:G5)</f>
        <v>1095</v>
      </c>
      <c r="G5" s="4">
        <v>500</v>
      </c>
      <c r="H5" s="33" t="s">
        <v>16</v>
      </c>
      <c r="I5" s="33" t="s">
        <v>16</v>
      </c>
      <c r="J5" s="33" t="s">
        <v>16</v>
      </c>
      <c r="K5" s="33" t="s">
        <v>16</v>
      </c>
      <c r="L5" s="34" t="s">
        <v>17</v>
      </c>
      <c r="M5" s="34" t="s">
        <v>17</v>
      </c>
      <c r="N5" s="17" t="s">
        <v>23</v>
      </c>
      <c r="O5" s="17" t="s">
        <v>23</v>
      </c>
      <c r="P5" s="34" t="s">
        <v>17</v>
      </c>
      <c r="Q5" s="34" t="s">
        <v>17</v>
      </c>
      <c r="R5" s="42" t="s">
        <v>13</v>
      </c>
      <c r="S5" s="34" t="s">
        <v>17</v>
      </c>
      <c r="T5" s="34" t="s">
        <v>17</v>
      </c>
      <c r="U5" s="34" t="s">
        <v>17</v>
      </c>
      <c r="V5" s="18" t="s">
        <v>23</v>
      </c>
      <c r="W5" s="18" t="s">
        <v>23</v>
      </c>
      <c r="X5" s="9" t="s">
        <v>23</v>
      </c>
      <c r="Y5" s="8" t="s">
        <v>23</v>
      </c>
      <c r="Z5" s="8" t="s">
        <v>23</v>
      </c>
      <c r="AA5" s="8" t="s">
        <v>23</v>
      </c>
      <c r="AB5" s="8" t="s">
        <v>23</v>
      </c>
      <c r="AC5" s="8" t="s">
        <v>23</v>
      </c>
      <c r="AD5" s="18" t="s">
        <v>23</v>
      </c>
      <c r="AE5" s="18" t="s">
        <v>23</v>
      </c>
      <c r="AF5" s="49">
        <v>6</v>
      </c>
      <c r="AG5" s="20" t="s">
        <v>30</v>
      </c>
      <c r="AI5" s="34" t="s">
        <v>17</v>
      </c>
      <c r="AJ5" s="32">
        <v>160</v>
      </c>
      <c r="AK5" s="32">
        <v>40</v>
      </c>
      <c r="AL5">
        <f t="shared" ref="AL5:AL28" si="0">COUNTIF($H$4:$N$94,AI5)</f>
        <v>8</v>
      </c>
      <c r="AM5">
        <f t="shared" ref="AM5:AM28" si="1">COUNTIF($P$4:$V$94,AI5)</f>
        <v>10</v>
      </c>
      <c r="AN5">
        <f t="shared" ref="AN5:AN28" si="2">COUNTIF($X$4:$AD$94,AI5)</f>
        <v>0</v>
      </c>
      <c r="AO5">
        <f t="shared" ref="AO5:AO28" si="3">AL5+AM5+AN5</f>
        <v>18</v>
      </c>
      <c r="AP5" s="72" t="s">
        <v>34</v>
      </c>
      <c r="AQ5" s="72"/>
    </row>
    <row r="6" spans="1:43" x14ac:dyDescent="0.3">
      <c r="A6" s="67">
        <v>44367</v>
      </c>
      <c r="B6" s="4">
        <v>1600</v>
      </c>
      <c r="C6" s="4" cm="1">
        <f t="array" ref="C6">(SUM(VLOOKUP(H6:AE6,$AI$4:$AK$44,2,FALSE))+AF6*10)*IF(AG6="是",$AQ$4,$AQ$3)</f>
        <v>1460</v>
      </c>
      <c r="D6" s="30">
        <f>SUM($B$4:B6)-SUM($C$4:C6)</f>
        <v>160</v>
      </c>
      <c r="E6" s="4" cm="1">
        <f t="array" ref="E6">SUM(VLOOKUP(H6:AD6,$AI$4:$AK$44,3,FALSE))</f>
        <v>390</v>
      </c>
      <c r="F6" s="4">
        <f>SUM($E$4:E6)+SUM($G$4:G6)</f>
        <v>1485</v>
      </c>
      <c r="G6" s="4">
        <v>0</v>
      </c>
      <c r="H6" s="34" t="s">
        <v>17</v>
      </c>
      <c r="I6" s="34" t="s">
        <v>17</v>
      </c>
      <c r="J6" s="34" t="s">
        <v>17</v>
      </c>
      <c r="K6" s="41" t="s">
        <v>12</v>
      </c>
      <c r="L6" s="34" t="s">
        <v>17</v>
      </c>
      <c r="M6" s="34" t="s">
        <v>17</v>
      </c>
      <c r="N6" s="18" t="s">
        <v>23</v>
      </c>
      <c r="O6" s="17" t="s">
        <v>23</v>
      </c>
      <c r="P6" s="34" t="s">
        <v>17</v>
      </c>
      <c r="Q6" s="34" t="s">
        <v>17</v>
      </c>
      <c r="R6" s="34" t="s">
        <v>17</v>
      </c>
      <c r="S6" s="42" t="s">
        <v>13</v>
      </c>
      <c r="T6" s="34" t="s">
        <v>17</v>
      </c>
      <c r="U6" s="8" t="s">
        <v>23</v>
      </c>
      <c r="V6" s="18" t="s">
        <v>23</v>
      </c>
      <c r="W6" s="18" t="s">
        <v>23</v>
      </c>
      <c r="X6" s="9" t="s">
        <v>23</v>
      </c>
      <c r="Y6" s="8" t="s">
        <v>23</v>
      </c>
      <c r="Z6" s="8" t="s">
        <v>23</v>
      </c>
      <c r="AA6" s="8" t="s">
        <v>23</v>
      </c>
      <c r="AB6" s="8" t="s">
        <v>23</v>
      </c>
      <c r="AC6" s="8" t="s">
        <v>23</v>
      </c>
      <c r="AD6" s="18" t="s">
        <v>23</v>
      </c>
      <c r="AE6" s="18" t="s">
        <v>23</v>
      </c>
      <c r="AF6" s="49">
        <v>12</v>
      </c>
      <c r="AG6" s="20" t="s">
        <v>30</v>
      </c>
      <c r="AI6" s="35" t="s">
        <v>18</v>
      </c>
      <c r="AJ6" s="32">
        <v>170</v>
      </c>
      <c r="AK6" s="32">
        <v>45</v>
      </c>
      <c r="AL6">
        <f t="shared" si="0"/>
        <v>30</v>
      </c>
      <c r="AM6">
        <f t="shared" si="1"/>
        <v>30</v>
      </c>
      <c r="AN6">
        <f t="shared" si="2"/>
        <v>0</v>
      </c>
      <c r="AO6">
        <f t="shared" si="3"/>
        <v>60</v>
      </c>
      <c r="AP6" s="73"/>
      <c r="AQ6" s="73"/>
    </row>
    <row r="7" spans="1:43" x14ac:dyDescent="0.3">
      <c r="A7" s="1">
        <v>44368</v>
      </c>
      <c r="B7">
        <v>1600</v>
      </c>
      <c r="C7" s="4" cm="1">
        <f t="array" ref="C7">(SUM(VLOOKUP(H7:AE7,$AI$4:$AK$44,2,FALSE))+AF7*10)*IF(AG7="是",$AQ$4,$AQ$3)</f>
        <v>1720</v>
      </c>
      <c r="D7" s="31">
        <f>SUM($B$4:B7)-SUM($C$4:C7)</f>
        <v>40</v>
      </c>
      <c r="E7" s="4" cm="1">
        <f t="array" ref="E7">SUM(VLOOKUP(H7:AD7,$AI$4:$AK$44,3,FALSE))</f>
        <v>470</v>
      </c>
      <c r="F7" s="4">
        <f>SUM($E$4:E7)+SUM($G$4:G7)</f>
        <v>1955</v>
      </c>
      <c r="G7">
        <v>0</v>
      </c>
      <c r="H7" s="34" t="s">
        <v>17</v>
      </c>
      <c r="I7" s="41" t="s">
        <v>12</v>
      </c>
      <c r="J7" s="35" t="s">
        <v>18</v>
      </c>
      <c r="K7" s="34" t="s">
        <v>6</v>
      </c>
      <c r="L7" s="35" t="s">
        <v>18</v>
      </c>
      <c r="M7" s="35" t="s">
        <v>18</v>
      </c>
      <c r="N7" s="18" t="s">
        <v>23</v>
      </c>
      <c r="O7" s="17" t="s">
        <v>23</v>
      </c>
      <c r="P7" s="35" t="s">
        <v>18</v>
      </c>
      <c r="Q7" s="35" t="s">
        <v>18</v>
      </c>
      <c r="R7" s="35" t="s">
        <v>18</v>
      </c>
      <c r="S7" s="35" t="s">
        <v>18</v>
      </c>
      <c r="T7" s="43" t="s">
        <v>42</v>
      </c>
      <c r="U7" s="8" t="s">
        <v>23</v>
      </c>
      <c r="V7" s="18" t="s">
        <v>23</v>
      </c>
      <c r="W7" s="18" t="s">
        <v>23</v>
      </c>
      <c r="X7" s="9" t="s">
        <v>23</v>
      </c>
      <c r="Y7" s="8" t="s">
        <v>23</v>
      </c>
      <c r="Z7" s="8" t="s">
        <v>23</v>
      </c>
      <c r="AA7" s="8" t="s">
        <v>23</v>
      </c>
      <c r="AB7" s="8" t="s">
        <v>23</v>
      </c>
      <c r="AC7" s="8" t="s">
        <v>23</v>
      </c>
      <c r="AD7" s="18" t="s">
        <v>23</v>
      </c>
      <c r="AE7" s="18" t="s">
        <v>23</v>
      </c>
      <c r="AF7" s="49">
        <v>0</v>
      </c>
      <c r="AG7" s="20" t="s">
        <v>30</v>
      </c>
      <c r="AI7" s="36" t="s">
        <v>19</v>
      </c>
      <c r="AJ7" s="32">
        <v>180</v>
      </c>
      <c r="AK7" s="32">
        <v>50</v>
      </c>
      <c r="AL7">
        <f t="shared" si="0"/>
        <v>23</v>
      </c>
      <c r="AM7">
        <f t="shared" si="1"/>
        <v>50</v>
      </c>
      <c r="AN7">
        <f t="shared" si="2"/>
        <v>0</v>
      </c>
      <c r="AO7">
        <f t="shared" si="3"/>
        <v>73</v>
      </c>
      <c r="AP7" s="73"/>
      <c r="AQ7" s="73"/>
    </row>
    <row r="8" spans="1:43" x14ac:dyDescent="0.3">
      <c r="A8" s="1">
        <v>44369</v>
      </c>
      <c r="B8">
        <v>1600</v>
      </c>
      <c r="C8" s="4" cm="1">
        <f t="array" ref="C8">(SUM(VLOOKUP(H8:AE8,$AI$4:$AK$44,2,FALSE))+AF8*10)*IF(AG8="是",$AQ$4,$AQ$3)</f>
        <v>1600</v>
      </c>
      <c r="D8" s="31">
        <f>SUM($B$4:B8)-SUM($C$4:C8)</f>
        <v>40</v>
      </c>
      <c r="E8" s="4" cm="1">
        <f t="array" ref="E8">SUM(VLOOKUP(H8:AD8,$AI$4:$AK$44,3,FALSE))</f>
        <v>450</v>
      </c>
      <c r="F8" s="4">
        <f>SUM($E$4:E8)+SUM($G$4:G8)</f>
        <v>2405</v>
      </c>
      <c r="G8">
        <v>0</v>
      </c>
      <c r="H8" s="35" t="s">
        <v>18</v>
      </c>
      <c r="I8" s="35" t="s">
        <v>18</v>
      </c>
      <c r="J8" s="35" t="s">
        <v>18</v>
      </c>
      <c r="K8" s="42" t="s">
        <v>13</v>
      </c>
      <c r="L8" s="35" t="s">
        <v>18</v>
      </c>
      <c r="M8" s="35" t="s">
        <v>18</v>
      </c>
      <c r="N8" s="35" t="s">
        <v>18</v>
      </c>
      <c r="O8" s="17" t="s">
        <v>23</v>
      </c>
      <c r="P8" s="35" t="s">
        <v>18</v>
      </c>
      <c r="Q8" s="35" t="s">
        <v>18</v>
      </c>
      <c r="R8" s="35" t="s">
        <v>18</v>
      </c>
      <c r="S8" s="35" t="s">
        <v>18</v>
      </c>
      <c r="T8" s="8" t="s">
        <v>23</v>
      </c>
      <c r="U8" s="8" t="s">
        <v>23</v>
      </c>
      <c r="V8" s="18" t="s">
        <v>23</v>
      </c>
      <c r="W8" s="18" t="s">
        <v>23</v>
      </c>
      <c r="X8" s="9" t="s">
        <v>23</v>
      </c>
      <c r="Y8" s="8" t="s">
        <v>23</v>
      </c>
      <c r="Z8" s="8" t="s">
        <v>23</v>
      </c>
      <c r="AA8" s="8" t="s">
        <v>23</v>
      </c>
      <c r="AB8" s="8" t="s">
        <v>23</v>
      </c>
      <c r="AC8" s="8" t="s">
        <v>23</v>
      </c>
      <c r="AD8" s="18" t="s">
        <v>23</v>
      </c>
      <c r="AE8" s="18" t="s">
        <v>23</v>
      </c>
      <c r="AF8" s="49">
        <v>5</v>
      </c>
      <c r="AG8" s="20" t="s">
        <v>30</v>
      </c>
      <c r="AI8" s="37" t="s">
        <v>20</v>
      </c>
      <c r="AJ8" s="32">
        <v>190</v>
      </c>
      <c r="AK8" s="32">
        <v>55</v>
      </c>
      <c r="AL8">
        <f t="shared" si="0"/>
        <v>93</v>
      </c>
      <c r="AM8">
        <f t="shared" si="1"/>
        <v>50</v>
      </c>
      <c r="AN8">
        <f t="shared" si="2"/>
        <v>0</v>
      </c>
      <c r="AO8">
        <f t="shared" si="3"/>
        <v>143</v>
      </c>
      <c r="AP8" s="73"/>
      <c r="AQ8" s="73"/>
    </row>
    <row r="9" spans="1:43" x14ac:dyDescent="0.3">
      <c r="A9" s="1">
        <v>44370</v>
      </c>
      <c r="B9">
        <v>1600</v>
      </c>
      <c r="C9" s="4" cm="1">
        <f t="array" ref="C9">(SUM(VLOOKUP(H9:AE9,$AI$4:$AK$44,2,FALSE))+AF9*10)*IF(AG9="是",$AQ$4,$AQ$3)</f>
        <v>1630</v>
      </c>
      <c r="D9" s="31">
        <f>SUM($B$4:B9)-SUM($C$4:C9)</f>
        <v>10</v>
      </c>
      <c r="E9" s="4" cm="1">
        <f t="array" ref="E9">SUM(VLOOKUP(H9:AD9,$AI$4:$AK$44,3,FALSE))</f>
        <v>625</v>
      </c>
      <c r="F9" s="4">
        <f>SUM($E$4:E9)+SUM($G$4:G9)</f>
        <v>3030</v>
      </c>
      <c r="G9">
        <v>0</v>
      </c>
      <c r="H9" s="35" t="s">
        <v>18</v>
      </c>
      <c r="I9" s="41" t="s">
        <v>12</v>
      </c>
      <c r="J9" s="35" t="s">
        <v>18</v>
      </c>
      <c r="K9" s="43" t="s">
        <v>42</v>
      </c>
      <c r="L9" s="35" t="s">
        <v>18</v>
      </c>
      <c r="M9" s="8" t="s">
        <v>23</v>
      </c>
      <c r="N9" s="18" t="s">
        <v>23</v>
      </c>
      <c r="O9" s="17" t="s">
        <v>23</v>
      </c>
      <c r="P9" s="35" t="s">
        <v>18</v>
      </c>
      <c r="Q9" s="42" t="s">
        <v>13</v>
      </c>
      <c r="R9" s="35" t="s">
        <v>18</v>
      </c>
      <c r="S9" s="41" t="s">
        <v>12</v>
      </c>
      <c r="T9" s="35" t="s">
        <v>18</v>
      </c>
      <c r="U9" s="47" t="s">
        <v>14</v>
      </c>
      <c r="V9" s="36" t="s">
        <v>19</v>
      </c>
      <c r="W9" s="18" t="s">
        <v>23</v>
      </c>
      <c r="X9" s="9" t="s">
        <v>23</v>
      </c>
      <c r="Y9" s="8" t="s">
        <v>23</v>
      </c>
      <c r="Z9" s="8" t="s">
        <v>23</v>
      </c>
      <c r="AA9" s="8" t="s">
        <v>23</v>
      </c>
      <c r="AB9" s="8" t="s">
        <v>23</v>
      </c>
      <c r="AC9" s="8" t="s">
        <v>23</v>
      </c>
      <c r="AD9" s="18" t="s">
        <v>23</v>
      </c>
      <c r="AE9" s="18" t="s">
        <v>23</v>
      </c>
      <c r="AF9" s="49">
        <v>6</v>
      </c>
      <c r="AG9" s="20" t="s">
        <v>30</v>
      </c>
      <c r="AI9" s="38" t="s">
        <v>21</v>
      </c>
      <c r="AJ9" s="32">
        <v>200</v>
      </c>
      <c r="AK9" s="32">
        <v>60</v>
      </c>
      <c r="AL9">
        <f t="shared" si="0"/>
        <v>0</v>
      </c>
      <c r="AM9">
        <f t="shared" si="1"/>
        <v>37</v>
      </c>
      <c r="AN9">
        <f t="shared" si="2"/>
        <v>0</v>
      </c>
      <c r="AO9">
        <f t="shared" si="3"/>
        <v>37</v>
      </c>
    </row>
    <row r="10" spans="1:43" x14ac:dyDescent="0.3">
      <c r="A10" s="1">
        <v>44371</v>
      </c>
      <c r="B10">
        <v>1600</v>
      </c>
      <c r="C10" s="4" cm="1">
        <f t="array" ref="C10">(SUM(VLOOKUP(H10:AE10,$AI$4:$AK$44,2,FALSE))+AF10*10)*IF(AG10="是",$AQ$4,$AQ$3)</f>
        <v>1560</v>
      </c>
      <c r="D10" s="31">
        <f>SUM($B$4:B10)-SUM($C$4:C10)</f>
        <v>50</v>
      </c>
      <c r="E10" s="4" cm="1">
        <f t="array" ref="E10">SUM(VLOOKUP(H10:AD10,$AI$4:$AK$44,3,FALSE))</f>
        <v>420</v>
      </c>
      <c r="F10" s="4">
        <f>SUM($E$4:E10)+SUM($G$4:G10)</f>
        <v>3450</v>
      </c>
      <c r="G10">
        <v>0</v>
      </c>
      <c r="H10" s="35" t="s">
        <v>18</v>
      </c>
      <c r="I10" s="35" t="s">
        <v>18</v>
      </c>
      <c r="J10" s="35" t="s">
        <v>18</v>
      </c>
      <c r="K10" s="35" t="s">
        <v>18</v>
      </c>
      <c r="L10" s="35" t="s">
        <v>18</v>
      </c>
      <c r="M10" s="35" t="s">
        <v>18</v>
      </c>
      <c r="N10" s="18" t="s">
        <v>23</v>
      </c>
      <c r="O10" s="17" t="s">
        <v>23</v>
      </c>
      <c r="P10" s="36" t="s">
        <v>19</v>
      </c>
      <c r="Q10" s="36" t="s">
        <v>19</v>
      </c>
      <c r="R10" s="36" t="s">
        <v>19</v>
      </c>
      <c r="S10" s="8" t="s">
        <v>23</v>
      </c>
      <c r="T10" s="8" t="s">
        <v>23</v>
      </c>
      <c r="U10" s="8" t="s">
        <v>23</v>
      </c>
      <c r="V10" s="18" t="s">
        <v>23</v>
      </c>
      <c r="W10" s="18" t="s">
        <v>23</v>
      </c>
      <c r="X10" s="9" t="s">
        <v>23</v>
      </c>
      <c r="Y10" s="8" t="s">
        <v>23</v>
      </c>
      <c r="Z10" s="8" t="s">
        <v>23</v>
      </c>
      <c r="AA10" s="8" t="s">
        <v>23</v>
      </c>
      <c r="AB10" s="8" t="s">
        <v>23</v>
      </c>
      <c r="AC10" s="8" t="s">
        <v>23</v>
      </c>
      <c r="AD10" s="18" t="s">
        <v>23</v>
      </c>
      <c r="AE10" s="18" t="s">
        <v>23</v>
      </c>
      <c r="AF10" s="49">
        <v>0</v>
      </c>
      <c r="AG10" s="20" t="s">
        <v>30</v>
      </c>
      <c r="AI10" s="33" t="s">
        <v>5</v>
      </c>
      <c r="AJ10" s="32">
        <v>150</v>
      </c>
      <c r="AK10" s="32">
        <v>35</v>
      </c>
      <c r="AL10">
        <f t="shared" si="0"/>
        <v>0</v>
      </c>
      <c r="AM10">
        <f t="shared" si="1"/>
        <v>0</v>
      </c>
      <c r="AN10">
        <f t="shared" si="2"/>
        <v>0</v>
      </c>
      <c r="AO10">
        <f t="shared" si="3"/>
        <v>0</v>
      </c>
    </row>
    <row r="11" spans="1:43" x14ac:dyDescent="0.3">
      <c r="A11" s="1">
        <v>44372</v>
      </c>
      <c r="B11">
        <v>1600</v>
      </c>
      <c r="C11" s="4" cm="1">
        <f t="array" ref="C11">(SUM(VLOOKUP(H11:AE11,$AI$4:$AK$44,2,FALSE))+AF11*10)*IF(AG11="是",$AQ$4,$AQ$3)</f>
        <v>1590</v>
      </c>
      <c r="D11" s="31">
        <f>SUM($B$4:B11)-SUM($C$4:C11)</f>
        <v>60</v>
      </c>
      <c r="E11" s="4" cm="1">
        <f t="array" ref="E11">SUM(VLOOKUP(H11:AD11,$AI$4:$AK$44,3,FALSE))</f>
        <v>420</v>
      </c>
      <c r="F11" s="4">
        <f>SUM($E$4:E11)+SUM($G$4:G11)</f>
        <v>3870</v>
      </c>
      <c r="G11">
        <v>0</v>
      </c>
      <c r="H11" s="35" t="s">
        <v>18</v>
      </c>
      <c r="I11" s="35" t="s">
        <v>18</v>
      </c>
      <c r="J11" s="35" t="s">
        <v>18</v>
      </c>
      <c r="K11" s="35" t="s">
        <v>7</v>
      </c>
      <c r="L11" s="35" t="s">
        <v>18</v>
      </c>
      <c r="M11" s="35" t="s">
        <v>18</v>
      </c>
      <c r="N11" s="18" t="s">
        <v>23</v>
      </c>
      <c r="O11" s="17" t="s">
        <v>23</v>
      </c>
      <c r="P11" s="36" t="s">
        <v>19</v>
      </c>
      <c r="Q11" s="36" t="s">
        <v>19</v>
      </c>
      <c r="R11" s="36" t="s">
        <v>19</v>
      </c>
      <c r="S11" s="8" t="s">
        <v>23</v>
      </c>
      <c r="T11" s="8" t="s">
        <v>23</v>
      </c>
      <c r="U11" s="8" t="s">
        <v>23</v>
      </c>
      <c r="V11" s="18" t="s">
        <v>23</v>
      </c>
      <c r="W11" s="18" t="s">
        <v>23</v>
      </c>
      <c r="X11" s="9" t="s">
        <v>23</v>
      </c>
      <c r="Y11" s="8" t="s">
        <v>23</v>
      </c>
      <c r="Z11" s="8" t="s">
        <v>23</v>
      </c>
      <c r="AA11" s="8" t="s">
        <v>23</v>
      </c>
      <c r="AB11" s="8" t="s">
        <v>23</v>
      </c>
      <c r="AC11" s="8" t="s">
        <v>23</v>
      </c>
      <c r="AD11" s="18" t="s">
        <v>23</v>
      </c>
      <c r="AE11" s="18" t="s">
        <v>23</v>
      </c>
      <c r="AF11" s="49">
        <v>5</v>
      </c>
      <c r="AG11" s="20" t="s">
        <v>30</v>
      </c>
      <c r="AI11" s="34" t="s">
        <v>6</v>
      </c>
      <c r="AJ11" s="32">
        <v>150</v>
      </c>
      <c r="AK11" s="32">
        <v>40</v>
      </c>
      <c r="AL11">
        <f t="shared" si="0"/>
        <v>1</v>
      </c>
      <c r="AM11">
        <f t="shared" si="1"/>
        <v>0</v>
      </c>
      <c r="AN11">
        <f t="shared" si="2"/>
        <v>0</v>
      </c>
      <c r="AO11">
        <f t="shared" si="3"/>
        <v>1</v>
      </c>
    </row>
    <row r="12" spans="1:43" x14ac:dyDescent="0.3">
      <c r="A12" s="1">
        <v>44373</v>
      </c>
      <c r="B12">
        <v>1600</v>
      </c>
      <c r="C12" s="4" cm="1">
        <f t="array" ref="C12">(SUM(VLOOKUP(H12:AE12,$AI$4:$AK$44,2,FALSE))+AF12*10)*IF(AG12="是",$AQ$4,$AQ$3)</f>
        <v>1510</v>
      </c>
      <c r="D12" s="31">
        <f>SUM($B$4:B12)-SUM($C$4:C12)</f>
        <v>150</v>
      </c>
      <c r="E12" s="4" cm="1">
        <f t="array" ref="E12">SUM(VLOOKUP(H12:AD12,$AI$4:$AK$44,3,FALSE))</f>
        <v>385</v>
      </c>
      <c r="F12" s="4">
        <f>SUM($E$4:E12)+SUM($G$4:G12)</f>
        <v>4255</v>
      </c>
      <c r="G12">
        <v>0</v>
      </c>
      <c r="H12" s="35" t="s">
        <v>18</v>
      </c>
      <c r="I12" s="43" t="s">
        <v>42</v>
      </c>
      <c r="J12" s="35" t="s">
        <v>18</v>
      </c>
      <c r="K12" s="8" t="s">
        <v>23</v>
      </c>
      <c r="L12" s="8" t="s">
        <v>23</v>
      </c>
      <c r="M12" s="8" t="s">
        <v>23</v>
      </c>
      <c r="N12" s="18" t="s">
        <v>23</v>
      </c>
      <c r="O12" s="17" t="s">
        <v>23</v>
      </c>
      <c r="P12" s="36" t="s">
        <v>19</v>
      </c>
      <c r="Q12" s="36" t="s">
        <v>19</v>
      </c>
      <c r="R12" s="36" t="s">
        <v>19</v>
      </c>
      <c r="S12" s="36" t="s">
        <v>19</v>
      </c>
      <c r="T12" s="43" t="s">
        <v>41</v>
      </c>
      <c r="U12" s="8" t="s">
        <v>23</v>
      </c>
      <c r="V12" s="18" t="s">
        <v>23</v>
      </c>
      <c r="W12" s="18" t="s">
        <v>23</v>
      </c>
      <c r="X12" s="9" t="s">
        <v>23</v>
      </c>
      <c r="Y12" s="8" t="s">
        <v>23</v>
      </c>
      <c r="Z12" s="8" t="s">
        <v>23</v>
      </c>
      <c r="AA12" s="8" t="s">
        <v>23</v>
      </c>
      <c r="AB12" s="8" t="s">
        <v>23</v>
      </c>
      <c r="AC12" s="8" t="s">
        <v>23</v>
      </c>
      <c r="AD12" s="18" t="s">
        <v>23</v>
      </c>
      <c r="AE12" s="18" t="s">
        <v>23</v>
      </c>
      <c r="AF12" s="49">
        <v>10</v>
      </c>
      <c r="AG12" s="20" t="s">
        <v>30</v>
      </c>
      <c r="AI12" s="35" t="s">
        <v>7</v>
      </c>
      <c r="AJ12" s="32">
        <v>150</v>
      </c>
      <c r="AK12" s="32">
        <v>45</v>
      </c>
      <c r="AL12">
        <f t="shared" si="0"/>
        <v>1</v>
      </c>
      <c r="AM12">
        <f t="shared" si="1"/>
        <v>1</v>
      </c>
      <c r="AN12">
        <f t="shared" si="2"/>
        <v>0</v>
      </c>
      <c r="AO12">
        <f t="shared" si="3"/>
        <v>2</v>
      </c>
    </row>
    <row r="13" spans="1:43" x14ac:dyDescent="0.3">
      <c r="A13" s="1">
        <v>44374</v>
      </c>
      <c r="B13">
        <v>1600</v>
      </c>
      <c r="C13" s="4" cm="1">
        <f t="array" ref="C13">(SUM(VLOOKUP(H13:AE13,$AI$4:$AK$44,2,FALSE))+AF13*10)*IF(AG13="是",$AQ$4,$AQ$3)</f>
        <v>1630</v>
      </c>
      <c r="D13" s="31">
        <f>SUM($B$4:B13)-SUM($C$4:C13)</f>
        <v>120</v>
      </c>
      <c r="E13" s="4" cm="1">
        <f t="array" ref="E13">SUM(VLOOKUP(H13:AD13,$AI$4:$AK$44,3,FALSE))</f>
        <v>525</v>
      </c>
      <c r="F13" s="4">
        <f>SUM($E$4:E13)+SUM($G$4:G13)</f>
        <v>5280</v>
      </c>
      <c r="G13">
        <v>500</v>
      </c>
      <c r="H13" s="35" t="s">
        <v>18</v>
      </c>
      <c r="I13" s="35" t="s">
        <v>18</v>
      </c>
      <c r="J13" s="35" t="s">
        <v>18</v>
      </c>
      <c r="K13" s="35" t="s">
        <v>18</v>
      </c>
      <c r="L13" s="42" t="s">
        <v>13</v>
      </c>
      <c r="M13" s="35" t="s">
        <v>18</v>
      </c>
      <c r="N13" s="36" t="s">
        <v>19</v>
      </c>
      <c r="O13" s="17" t="s">
        <v>23</v>
      </c>
      <c r="P13" s="36" t="s">
        <v>19</v>
      </c>
      <c r="Q13" s="36" t="s">
        <v>19</v>
      </c>
      <c r="R13" s="36" t="s">
        <v>19</v>
      </c>
      <c r="S13" s="42" t="s">
        <v>13</v>
      </c>
      <c r="T13" s="36" t="s">
        <v>19</v>
      </c>
      <c r="U13" s="36" t="s">
        <v>19</v>
      </c>
      <c r="V13" s="18" t="s">
        <v>23</v>
      </c>
      <c r="W13" s="18" t="s">
        <v>23</v>
      </c>
      <c r="X13" s="9" t="s">
        <v>23</v>
      </c>
      <c r="Y13" s="8" t="s">
        <v>23</v>
      </c>
      <c r="Z13" s="8" t="s">
        <v>23</v>
      </c>
      <c r="AA13" s="8" t="s">
        <v>23</v>
      </c>
      <c r="AB13" s="8" t="s">
        <v>23</v>
      </c>
      <c r="AC13" s="8" t="s">
        <v>23</v>
      </c>
      <c r="AD13" s="18" t="s">
        <v>23</v>
      </c>
      <c r="AE13" s="18" t="s">
        <v>23</v>
      </c>
      <c r="AF13" s="49">
        <v>0</v>
      </c>
      <c r="AG13" s="20" t="s">
        <v>30</v>
      </c>
      <c r="AI13" s="36" t="s">
        <v>8</v>
      </c>
      <c r="AJ13" s="32">
        <v>150</v>
      </c>
      <c r="AK13" s="32">
        <v>50</v>
      </c>
      <c r="AL13">
        <f t="shared" si="0"/>
        <v>1</v>
      </c>
      <c r="AM13">
        <f t="shared" si="1"/>
        <v>0</v>
      </c>
      <c r="AN13">
        <f t="shared" si="2"/>
        <v>0</v>
      </c>
      <c r="AO13">
        <f t="shared" si="3"/>
        <v>1</v>
      </c>
    </row>
    <row r="14" spans="1:43" x14ac:dyDescent="0.3">
      <c r="A14" s="3">
        <v>44375</v>
      </c>
      <c r="B14" s="4">
        <v>1600</v>
      </c>
      <c r="C14" s="4" cm="1">
        <f t="array" ref="C14">(SUM(VLOOKUP(H14:AE14,$AI$4:$AK$44,2,FALSE))+AF14*10)*IF(AG14="是",$AQ$4,$AQ$3)</f>
        <v>1690</v>
      </c>
      <c r="D14" s="30">
        <f>SUM($B$4:B14)-SUM($C$4:C14)</f>
        <v>30</v>
      </c>
      <c r="E14" s="4" cm="1">
        <f t="array" ref="E14">SUM(VLOOKUP(H14:AD14,$AI$4:$AK$44,3,FALSE))</f>
        <v>460</v>
      </c>
      <c r="F14" s="4">
        <f>SUM($E$4:E14)+SUM($G$4:G14)</f>
        <v>5740</v>
      </c>
      <c r="G14" s="4">
        <v>0</v>
      </c>
      <c r="H14" s="36" t="s">
        <v>19</v>
      </c>
      <c r="I14" s="43" t="s">
        <v>41</v>
      </c>
      <c r="J14" s="36" t="s">
        <v>19</v>
      </c>
      <c r="K14" s="36" t="s">
        <v>19</v>
      </c>
      <c r="L14" s="36" t="s">
        <v>19</v>
      </c>
      <c r="M14" s="36" t="s">
        <v>19</v>
      </c>
      <c r="N14" s="18" t="s">
        <v>23</v>
      </c>
      <c r="O14" s="17" t="s">
        <v>23</v>
      </c>
      <c r="P14" s="36" t="s">
        <v>19</v>
      </c>
      <c r="Q14" s="37" t="s">
        <v>20</v>
      </c>
      <c r="R14" s="37" t="s">
        <v>20</v>
      </c>
      <c r="S14" s="8" t="s">
        <v>23</v>
      </c>
      <c r="T14" s="8" t="s">
        <v>23</v>
      </c>
      <c r="U14" s="8" t="s">
        <v>23</v>
      </c>
      <c r="V14" s="18" t="s">
        <v>23</v>
      </c>
      <c r="W14" s="18" t="s">
        <v>23</v>
      </c>
      <c r="X14" s="9" t="s">
        <v>23</v>
      </c>
      <c r="Y14" s="8" t="s">
        <v>23</v>
      </c>
      <c r="Z14" s="8" t="s">
        <v>23</v>
      </c>
      <c r="AA14" s="8" t="s">
        <v>23</v>
      </c>
      <c r="AB14" s="8" t="s">
        <v>23</v>
      </c>
      <c r="AC14" s="8" t="s">
        <v>23</v>
      </c>
      <c r="AD14" s="18" t="s">
        <v>23</v>
      </c>
      <c r="AE14" s="18" t="s">
        <v>23</v>
      </c>
      <c r="AF14" s="49">
        <v>5</v>
      </c>
      <c r="AG14" s="20" t="s">
        <v>30</v>
      </c>
      <c r="AI14" s="37" t="s">
        <v>9</v>
      </c>
      <c r="AJ14" s="32">
        <v>150</v>
      </c>
      <c r="AK14" s="32">
        <v>55</v>
      </c>
      <c r="AL14">
        <f t="shared" si="0"/>
        <v>2</v>
      </c>
      <c r="AM14">
        <f t="shared" si="1"/>
        <v>0</v>
      </c>
      <c r="AN14">
        <f t="shared" si="2"/>
        <v>0</v>
      </c>
      <c r="AO14">
        <f t="shared" si="3"/>
        <v>2</v>
      </c>
    </row>
    <row r="15" spans="1:43" x14ac:dyDescent="0.3">
      <c r="A15" s="3">
        <v>44376</v>
      </c>
      <c r="B15" s="4">
        <v>1600</v>
      </c>
      <c r="C15" s="4" cm="1">
        <f t="array" ref="C15">(SUM(VLOOKUP(H15:AE15,$AI$4:$AK$44,2,FALSE))+AF15*10)*IF(AG15="是",$AQ$4,$AQ$3)</f>
        <v>1590</v>
      </c>
      <c r="D15" s="30">
        <f>SUM($B$4:B15)-SUM($C$4:C15)</f>
        <v>40</v>
      </c>
      <c r="E15" s="4" cm="1">
        <f t="array" ref="E15">SUM(VLOOKUP(H15:AD15,$AI$4:$AK$44,3,FALSE))</f>
        <v>520</v>
      </c>
      <c r="F15" s="4">
        <f>SUM($E$4:E15)+SUM($G$4:G15)</f>
        <v>6260</v>
      </c>
      <c r="G15" s="4">
        <v>0</v>
      </c>
      <c r="H15" s="36" t="s">
        <v>19</v>
      </c>
      <c r="I15" s="42" t="s">
        <v>13</v>
      </c>
      <c r="J15" s="36" t="s">
        <v>19</v>
      </c>
      <c r="K15" s="36" t="s">
        <v>19</v>
      </c>
      <c r="L15" s="36" t="s">
        <v>19</v>
      </c>
      <c r="M15" s="36" t="s">
        <v>19</v>
      </c>
      <c r="N15" s="36" t="s">
        <v>19</v>
      </c>
      <c r="O15" s="17" t="s">
        <v>23</v>
      </c>
      <c r="P15" s="42" t="s">
        <v>13</v>
      </c>
      <c r="Q15" s="37" t="s">
        <v>20</v>
      </c>
      <c r="R15" s="37" t="s">
        <v>20</v>
      </c>
      <c r="S15" s="37" t="s">
        <v>20</v>
      </c>
      <c r="T15" s="37" t="s">
        <v>20</v>
      </c>
      <c r="U15" s="8" t="s">
        <v>23</v>
      </c>
      <c r="V15" s="18" t="s">
        <v>23</v>
      </c>
      <c r="W15" s="18" t="s">
        <v>23</v>
      </c>
      <c r="X15" s="9" t="s">
        <v>23</v>
      </c>
      <c r="Y15" s="8" t="s">
        <v>23</v>
      </c>
      <c r="Z15" s="8" t="s">
        <v>23</v>
      </c>
      <c r="AA15" s="8" t="s">
        <v>23</v>
      </c>
      <c r="AB15" s="8" t="s">
        <v>23</v>
      </c>
      <c r="AC15" s="8" t="s">
        <v>23</v>
      </c>
      <c r="AD15" s="18" t="s">
        <v>23</v>
      </c>
      <c r="AE15" s="18" t="s">
        <v>23</v>
      </c>
      <c r="AF15" s="49">
        <v>5</v>
      </c>
      <c r="AG15" s="20" t="s">
        <v>30</v>
      </c>
      <c r="AI15" s="38" t="s">
        <v>10</v>
      </c>
      <c r="AJ15" s="32">
        <v>150</v>
      </c>
      <c r="AK15" s="32">
        <v>60</v>
      </c>
      <c r="AL15">
        <f t="shared" si="0"/>
        <v>0</v>
      </c>
      <c r="AM15">
        <f t="shared" si="1"/>
        <v>0</v>
      </c>
      <c r="AN15">
        <f t="shared" si="2"/>
        <v>0</v>
      </c>
      <c r="AO15">
        <f t="shared" si="3"/>
        <v>0</v>
      </c>
    </row>
    <row r="16" spans="1:43" x14ac:dyDescent="0.3">
      <c r="A16" s="3">
        <v>44377</v>
      </c>
      <c r="B16" s="4">
        <v>1600</v>
      </c>
      <c r="C16" s="4" cm="1">
        <f t="array" ref="C16">(SUM(VLOOKUP(H16:AE16,$AI$4:$AK$44,2,FALSE))+AF16*10)*IF(AG16="是",$AQ$4,$AQ$3)</f>
        <v>1510</v>
      </c>
      <c r="D16" s="30">
        <f>SUM($B$4:B16)-SUM($C$4:C16)</f>
        <v>130</v>
      </c>
      <c r="E16" s="4" cm="1">
        <f t="array" ref="E16">SUM(VLOOKUP(H16:AD16,$AI$4:$AK$44,3,FALSE))</f>
        <v>565</v>
      </c>
      <c r="F16" s="4">
        <f>SUM($E$4:E16)+SUM($G$4:G16)</f>
        <v>7325</v>
      </c>
      <c r="G16" s="4">
        <v>500</v>
      </c>
      <c r="H16" s="43" t="s">
        <v>41</v>
      </c>
      <c r="I16" s="36" t="s">
        <v>19</v>
      </c>
      <c r="J16" s="8" t="s">
        <v>23</v>
      </c>
      <c r="K16" s="8" t="s">
        <v>23</v>
      </c>
      <c r="L16" s="8" t="s">
        <v>23</v>
      </c>
      <c r="M16" s="8" t="s">
        <v>23</v>
      </c>
      <c r="N16" s="18" t="s">
        <v>23</v>
      </c>
      <c r="O16" s="17" t="s">
        <v>23</v>
      </c>
      <c r="P16" s="37" t="s">
        <v>20</v>
      </c>
      <c r="Q16" s="37" t="s">
        <v>20</v>
      </c>
      <c r="R16" s="37" t="s">
        <v>20</v>
      </c>
      <c r="S16" s="36" t="s">
        <v>19</v>
      </c>
      <c r="T16" s="42" t="s">
        <v>13</v>
      </c>
      <c r="U16" s="36" t="s">
        <v>19</v>
      </c>
      <c r="V16" s="47" t="s">
        <v>14</v>
      </c>
      <c r="W16" s="18" t="s">
        <v>23</v>
      </c>
      <c r="X16" s="9" t="s">
        <v>23</v>
      </c>
      <c r="Y16" s="8" t="s">
        <v>23</v>
      </c>
      <c r="Z16" s="8" t="s">
        <v>23</v>
      </c>
      <c r="AA16" s="8" t="s">
        <v>23</v>
      </c>
      <c r="AB16" s="8" t="s">
        <v>23</v>
      </c>
      <c r="AC16" s="8" t="s">
        <v>23</v>
      </c>
      <c r="AD16" s="18" t="s">
        <v>23</v>
      </c>
      <c r="AE16" s="18" t="s">
        <v>23</v>
      </c>
      <c r="AF16" s="49">
        <v>12</v>
      </c>
      <c r="AG16" s="20" t="s">
        <v>30</v>
      </c>
      <c r="AI16" s="39" t="s">
        <v>11</v>
      </c>
      <c r="AJ16" s="40">
        <v>150</v>
      </c>
      <c r="AK16" s="32">
        <v>35</v>
      </c>
      <c r="AL16">
        <f t="shared" si="0"/>
        <v>0</v>
      </c>
      <c r="AM16">
        <f t="shared" si="1"/>
        <v>0</v>
      </c>
      <c r="AN16">
        <f t="shared" si="2"/>
        <v>0</v>
      </c>
      <c r="AO16">
        <f t="shared" si="3"/>
        <v>0</v>
      </c>
    </row>
    <row r="17" spans="1:41" x14ac:dyDescent="0.3">
      <c r="A17" s="3">
        <v>44378</v>
      </c>
      <c r="B17" s="4">
        <v>1600</v>
      </c>
      <c r="C17" s="4" cm="1">
        <f t="array" ref="C17">(SUM(VLOOKUP(H17:AE17,$AI$4:$AK$44,2,FALSE))+AF17*10)*IF(AG17="是",$AQ$4,$AQ$3)</f>
        <v>1580</v>
      </c>
      <c r="D17" s="30">
        <f>SUM($B$4:B17)-SUM($C$4:C17)</f>
        <v>150</v>
      </c>
      <c r="E17" s="4" cm="1">
        <f t="array" ref="E17">SUM(VLOOKUP(H17:AD17,$AI$4:$AK$44,3,FALSE))</f>
        <v>430</v>
      </c>
      <c r="F17" s="4">
        <f>SUM($E$4:E17)+SUM($G$4:G17)</f>
        <v>7755</v>
      </c>
      <c r="G17" s="4">
        <v>0</v>
      </c>
      <c r="H17" s="36" t="s">
        <v>19</v>
      </c>
      <c r="I17" s="36" t="s">
        <v>19</v>
      </c>
      <c r="J17" s="36" t="s">
        <v>19</v>
      </c>
      <c r="K17" s="36" t="s">
        <v>19</v>
      </c>
      <c r="L17" s="36" t="s">
        <v>19</v>
      </c>
      <c r="M17" s="8" t="s">
        <v>23</v>
      </c>
      <c r="N17" s="18" t="s">
        <v>23</v>
      </c>
      <c r="O17" s="17" t="s">
        <v>23</v>
      </c>
      <c r="P17" s="35" t="s">
        <v>18</v>
      </c>
      <c r="Q17" s="35" t="s">
        <v>18</v>
      </c>
      <c r="R17" s="35" t="s">
        <v>18</v>
      </c>
      <c r="S17" s="35" t="s">
        <v>18</v>
      </c>
      <c r="T17" s="8" t="s">
        <v>23</v>
      </c>
      <c r="U17" s="8" t="s">
        <v>23</v>
      </c>
      <c r="V17" s="18" t="s">
        <v>23</v>
      </c>
      <c r="W17" s="18" t="s">
        <v>23</v>
      </c>
      <c r="X17" s="9" t="s">
        <v>23</v>
      </c>
      <c r="Y17" s="8" t="s">
        <v>23</v>
      </c>
      <c r="Z17" s="8" t="s">
        <v>23</v>
      </c>
      <c r="AA17" s="8" t="s">
        <v>23</v>
      </c>
      <c r="AB17" s="8" t="s">
        <v>23</v>
      </c>
      <c r="AC17" s="8" t="s">
        <v>23</v>
      </c>
      <c r="AD17" s="18" t="s">
        <v>23</v>
      </c>
      <c r="AE17" s="18" t="s">
        <v>23</v>
      </c>
      <c r="AF17" s="49">
        <v>0</v>
      </c>
      <c r="AG17" s="20" t="s">
        <v>30</v>
      </c>
      <c r="AI17" s="41" t="s">
        <v>12</v>
      </c>
      <c r="AJ17" s="32">
        <v>50</v>
      </c>
      <c r="AK17" s="32">
        <v>30</v>
      </c>
      <c r="AL17">
        <f t="shared" si="0"/>
        <v>6</v>
      </c>
      <c r="AM17">
        <f t="shared" si="1"/>
        <v>5</v>
      </c>
      <c r="AN17">
        <f t="shared" si="2"/>
        <v>0</v>
      </c>
      <c r="AO17">
        <f t="shared" si="3"/>
        <v>11</v>
      </c>
    </row>
    <row r="18" spans="1:41" x14ac:dyDescent="0.3">
      <c r="A18" s="3">
        <v>44379</v>
      </c>
      <c r="B18" s="4">
        <v>1600</v>
      </c>
      <c r="C18" s="4" cm="1">
        <f t="array" ref="C18">(SUM(VLOOKUP(H18:AE18,$AI$4:$AK$44,2,FALSE))+AF18*10)*IF(AG18="是",$AQ$4,$AQ$3)</f>
        <v>1580</v>
      </c>
      <c r="D18" s="30">
        <f>SUM($B$4:B18)-SUM($C$4:C18)</f>
        <v>170</v>
      </c>
      <c r="E18" s="4" cm="1">
        <f t="array" ref="E18">SUM(VLOOKUP(H18:AD18,$AI$4:$AK$44,3,FALSE))</f>
        <v>430</v>
      </c>
      <c r="F18" s="4">
        <f>SUM($E$4:E18)+SUM($G$4:G18)</f>
        <v>8185</v>
      </c>
      <c r="G18" s="4">
        <v>0</v>
      </c>
      <c r="H18" s="36" t="s">
        <v>19</v>
      </c>
      <c r="I18" s="36" t="s">
        <v>19</v>
      </c>
      <c r="J18" s="36" t="s">
        <v>19</v>
      </c>
      <c r="K18" s="8" t="s">
        <v>23</v>
      </c>
      <c r="L18" s="8" t="s">
        <v>23</v>
      </c>
      <c r="M18" s="8" t="s">
        <v>23</v>
      </c>
      <c r="N18" s="18" t="s">
        <v>23</v>
      </c>
      <c r="O18" s="17" t="s">
        <v>23</v>
      </c>
      <c r="P18" s="35" t="s">
        <v>18</v>
      </c>
      <c r="Q18" s="36" t="s">
        <v>19</v>
      </c>
      <c r="R18" s="35" t="s">
        <v>18</v>
      </c>
      <c r="S18" s="35" t="s">
        <v>18</v>
      </c>
      <c r="T18" s="35" t="s">
        <v>18</v>
      </c>
      <c r="U18" s="36" t="s">
        <v>19</v>
      </c>
      <c r="V18" s="18" t="s">
        <v>23</v>
      </c>
      <c r="W18" s="18" t="s">
        <v>23</v>
      </c>
      <c r="X18" s="9" t="s">
        <v>23</v>
      </c>
      <c r="Y18" s="8" t="s">
        <v>23</v>
      </c>
      <c r="Z18" s="8" t="s">
        <v>23</v>
      </c>
      <c r="AA18" s="8" t="s">
        <v>23</v>
      </c>
      <c r="AB18" s="8" t="s">
        <v>23</v>
      </c>
      <c r="AC18" s="8" t="s">
        <v>23</v>
      </c>
      <c r="AD18" s="18" t="s">
        <v>23</v>
      </c>
      <c r="AE18" s="18" t="s">
        <v>23</v>
      </c>
      <c r="AF18" s="49">
        <v>0</v>
      </c>
      <c r="AG18" s="20" t="s">
        <v>30</v>
      </c>
      <c r="AH18" s="24" t="s">
        <v>25</v>
      </c>
      <c r="AI18" s="42" t="s">
        <v>13</v>
      </c>
      <c r="AJ18" s="32">
        <v>-150</v>
      </c>
      <c r="AK18" s="32">
        <v>0</v>
      </c>
      <c r="AL18">
        <f t="shared" si="0"/>
        <v>3</v>
      </c>
      <c r="AM18">
        <f t="shared" si="1"/>
        <v>6</v>
      </c>
      <c r="AN18">
        <f t="shared" si="2"/>
        <v>0</v>
      </c>
      <c r="AO18">
        <f t="shared" si="3"/>
        <v>9</v>
      </c>
    </row>
    <row r="19" spans="1:41" x14ac:dyDescent="0.3">
      <c r="A19" s="3">
        <v>44380</v>
      </c>
      <c r="B19" s="4">
        <v>1600</v>
      </c>
      <c r="C19" s="66" cm="1">
        <f t="array" ref="C19">(SUM(VLOOKUP(H19:AE19,$AI$4:$AK$44,2,FALSE))+AF19*10)*IF(AG19="是",$AQ$4,$AQ$3)-246</f>
        <v>1684</v>
      </c>
      <c r="D19" s="30">
        <f>SUM($B$4:B19)-SUM($C$4:C19)</f>
        <v>86</v>
      </c>
      <c r="E19" s="4" cm="1">
        <f t="array" ref="E19">SUM(VLOOKUP(H19:AD19,$AI$4:$AK$44,3,FALSE))</f>
        <v>540</v>
      </c>
      <c r="F19" s="4">
        <f>SUM($E$4:E19)+SUM($G$4:G19)</f>
        <v>8725</v>
      </c>
      <c r="G19" s="4">
        <v>0</v>
      </c>
      <c r="H19" s="36" t="s">
        <v>19</v>
      </c>
      <c r="I19" s="43" t="s">
        <v>41</v>
      </c>
      <c r="J19" s="36" t="s">
        <v>19</v>
      </c>
      <c r="K19" s="36" t="s">
        <v>8</v>
      </c>
      <c r="L19" s="37" t="s">
        <v>20</v>
      </c>
      <c r="M19" s="8" t="s">
        <v>23</v>
      </c>
      <c r="N19" s="18" t="s">
        <v>23</v>
      </c>
      <c r="O19" s="17" t="s">
        <v>23</v>
      </c>
      <c r="P19" s="35" t="s">
        <v>18</v>
      </c>
      <c r="Q19" s="43" t="s">
        <v>42</v>
      </c>
      <c r="R19" s="35" t="s">
        <v>18</v>
      </c>
      <c r="S19" s="36" t="s">
        <v>19</v>
      </c>
      <c r="T19" s="36" t="s">
        <v>19</v>
      </c>
      <c r="U19" s="36" t="s">
        <v>19</v>
      </c>
      <c r="V19" s="18" t="s">
        <v>23</v>
      </c>
      <c r="W19" s="18" t="s">
        <v>23</v>
      </c>
      <c r="X19" s="9" t="s">
        <v>23</v>
      </c>
      <c r="Y19" s="8" t="s">
        <v>23</v>
      </c>
      <c r="Z19" s="8" t="s">
        <v>23</v>
      </c>
      <c r="AA19" s="8" t="s">
        <v>23</v>
      </c>
      <c r="AB19" s="8" t="s">
        <v>23</v>
      </c>
      <c r="AC19" s="8" t="s">
        <v>23</v>
      </c>
      <c r="AD19" s="18" t="s">
        <v>23</v>
      </c>
      <c r="AE19" s="18" t="s">
        <v>23</v>
      </c>
      <c r="AF19" s="49">
        <v>0</v>
      </c>
      <c r="AG19" s="20" t="s">
        <v>30</v>
      </c>
      <c r="AI19" s="43" t="s">
        <v>42</v>
      </c>
      <c r="AJ19" s="32">
        <v>170</v>
      </c>
      <c r="AK19" s="32">
        <v>45</v>
      </c>
      <c r="AL19">
        <f t="shared" si="0"/>
        <v>2</v>
      </c>
      <c r="AM19">
        <f t="shared" si="1"/>
        <v>2</v>
      </c>
      <c r="AN19">
        <f t="shared" si="2"/>
        <v>0</v>
      </c>
      <c r="AO19">
        <f t="shared" si="3"/>
        <v>4</v>
      </c>
    </row>
    <row r="20" spans="1:41" x14ac:dyDescent="0.3">
      <c r="A20" s="3">
        <v>44381</v>
      </c>
      <c r="B20" s="4">
        <v>1600</v>
      </c>
      <c r="C20" s="4" cm="1">
        <f t="array" ref="C20">(SUM(VLOOKUP(H20:AE20,$AI$4:$AK$44,2,FALSE))+AF20*10)*IF(AG20="是",$AQ$4,$AQ$3)</f>
        <v>1624</v>
      </c>
      <c r="D20" s="30">
        <f>SUM($B$4:B20)-SUM($C$4:C20)</f>
        <v>62</v>
      </c>
      <c r="E20" s="4" cm="1">
        <f t="array" ref="E20">SUM(VLOOKUP(H20:AD20,$AI$4:$AK$44,3,FALSE))</f>
        <v>575</v>
      </c>
      <c r="F20" s="4">
        <f>SUM($E$4:E20)+SUM($G$4:G20)</f>
        <v>9300</v>
      </c>
      <c r="G20" s="4">
        <v>0</v>
      </c>
      <c r="H20" s="37" t="s">
        <v>20</v>
      </c>
      <c r="I20" s="37" t="s">
        <v>20</v>
      </c>
      <c r="J20" s="37" t="s">
        <v>20</v>
      </c>
      <c r="K20" s="37" t="s">
        <v>20</v>
      </c>
      <c r="L20" s="37" t="s">
        <v>20</v>
      </c>
      <c r="M20" s="9" t="s">
        <v>23</v>
      </c>
      <c r="N20" s="18" t="s">
        <v>23</v>
      </c>
      <c r="O20" s="17" t="s">
        <v>23</v>
      </c>
      <c r="P20" s="36" t="s">
        <v>19</v>
      </c>
      <c r="Q20" s="36" t="s">
        <v>19</v>
      </c>
      <c r="R20" s="36" t="s">
        <v>19</v>
      </c>
      <c r="S20" s="36" t="s">
        <v>19</v>
      </c>
      <c r="T20" s="36" t="s">
        <v>19</v>
      </c>
      <c r="U20" s="36" t="s">
        <v>19</v>
      </c>
      <c r="V20" s="18" t="s">
        <v>23</v>
      </c>
      <c r="W20" s="18" t="s">
        <v>23</v>
      </c>
      <c r="X20" s="9" t="s">
        <v>23</v>
      </c>
      <c r="Y20" s="8" t="s">
        <v>23</v>
      </c>
      <c r="Z20" s="8" t="s">
        <v>23</v>
      </c>
      <c r="AA20" s="8" t="s">
        <v>23</v>
      </c>
      <c r="AB20" s="8" t="s">
        <v>23</v>
      </c>
      <c r="AC20" s="8" t="s">
        <v>23</v>
      </c>
      <c r="AD20" s="18" t="s">
        <v>23</v>
      </c>
      <c r="AE20" s="18" t="s">
        <v>23</v>
      </c>
      <c r="AF20" s="49">
        <v>0</v>
      </c>
      <c r="AG20" s="20" t="s">
        <v>31</v>
      </c>
      <c r="AI20" s="43" t="s">
        <v>41</v>
      </c>
      <c r="AJ20" s="32">
        <v>180</v>
      </c>
      <c r="AK20" s="32">
        <v>50</v>
      </c>
      <c r="AL20">
        <f t="shared" si="0"/>
        <v>3</v>
      </c>
      <c r="AM20">
        <f t="shared" si="1"/>
        <v>1</v>
      </c>
      <c r="AN20">
        <f t="shared" si="2"/>
        <v>0</v>
      </c>
      <c r="AO20">
        <f t="shared" si="3"/>
        <v>4</v>
      </c>
    </row>
    <row r="21" spans="1:41" x14ac:dyDescent="0.3">
      <c r="A21" s="1">
        <v>44382</v>
      </c>
      <c r="B21">
        <v>1600</v>
      </c>
      <c r="C21" s="4" cm="1">
        <f t="array" ref="C21">(SUM(VLOOKUP(H21:AE21,$AI$4:$AK$44,2,FALSE))+AF21*10)*IF(AG21="是",$AQ$4,$AQ$3)</f>
        <v>1592</v>
      </c>
      <c r="D21" s="31">
        <f>SUM($B$4:B21)-SUM($C$4:C21)</f>
        <v>70</v>
      </c>
      <c r="E21" s="4" cm="1">
        <f t="array" ref="E21">SUM(VLOOKUP(H21:AD21,$AI$4:$AK$44,3,FALSE))</f>
        <v>575</v>
      </c>
      <c r="F21" s="4">
        <f>SUM($E$4:E21)+SUM($G$4:G21)</f>
        <v>9875</v>
      </c>
      <c r="G21">
        <v>0</v>
      </c>
      <c r="H21" s="37" t="s">
        <v>20</v>
      </c>
      <c r="I21" s="37" t="s">
        <v>9</v>
      </c>
      <c r="J21" s="37" t="s">
        <v>20</v>
      </c>
      <c r="K21" s="37" t="s">
        <v>20</v>
      </c>
      <c r="L21" s="37" t="s">
        <v>20</v>
      </c>
      <c r="M21" s="9" t="s">
        <v>23</v>
      </c>
      <c r="N21" s="18" t="s">
        <v>23</v>
      </c>
      <c r="O21" s="17" t="s">
        <v>23</v>
      </c>
      <c r="P21" s="36" t="s">
        <v>19</v>
      </c>
      <c r="Q21" s="36" t="s">
        <v>19</v>
      </c>
      <c r="R21" s="36" t="s">
        <v>19</v>
      </c>
      <c r="S21" s="36" t="s">
        <v>19</v>
      </c>
      <c r="T21" s="36" t="s">
        <v>19</v>
      </c>
      <c r="U21" s="36" t="s">
        <v>19</v>
      </c>
      <c r="V21" s="18" t="s">
        <v>23</v>
      </c>
      <c r="W21" s="18" t="s">
        <v>23</v>
      </c>
      <c r="X21" s="9" t="s">
        <v>23</v>
      </c>
      <c r="Y21" s="8" t="s">
        <v>23</v>
      </c>
      <c r="Z21" s="8" t="s">
        <v>23</v>
      </c>
      <c r="AA21" s="8" t="s">
        <v>23</v>
      </c>
      <c r="AB21" s="8" t="s">
        <v>23</v>
      </c>
      <c r="AC21" s="8" t="s">
        <v>23</v>
      </c>
      <c r="AD21" s="18" t="s">
        <v>23</v>
      </c>
      <c r="AE21" s="18" t="s">
        <v>23</v>
      </c>
      <c r="AF21" s="49">
        <v>0</v>
      </c>
      <c r="AG21" s="20" t="s">
        <v>31</v>
      </c>
      <c r="AI21" s="47" t="s">
        <v>14</v>
      </c>
      <c r="AJ21" s="32">
        <v>250</v>
      </c>
      <c r="AK21" s="32">
        <v>200</v>
      </c>
      <c r="AL21">
        <f t="shared" si="0"/>
        <v>0</v>
      </c>
      <c r="AM21">
        <f t="shared" si="1"/>
        <v>2</v>
      </c>
      <c r="AN21">
        <f t="shared" si="2"/>
        <v>0</v>
      </c>
      <c r="AO21">
        <f t="shared" si="3"/>
        <v>2</v>
      </c>
    </row>
    <row r="22" spans="1:41" x14ac:dyDescent="0.3">
      <c r="A22" s="1">
        <v>44383</v>
      </c>
      <c r="B22">
        <v>1600</v>
      </c>
      <c r="C22" s="4" cm="1">
        <f t="array" ref="C22">(SUM(VLOOKUP(H22:AE22,$AI$4:$AK$44,2,FALSE))+AF22*10)*IF(AG22="是",$AQ$4,$AQ$3)</f>
        <v>1584</v>
      </c>
      <c r="D22" s="31">
        <f>SUM($B$4:B22)-SUM($C$4:C22)</f>
        <v>86</v>
      </c>
      <c r="E22" s="4" cm="1">
        <f t="array" ref="E22">SUM(VLOOKUP(H22:AD22,$AI$4:$AK$44,3,FALSE))</f>
        <v>555</v>
      </c>
      <c r="F22" s="4">
        <f>SUM($E$4:E22)+SUM($G$4:G22)</f>
        <v>10430</v>
      </c>
      <c r="G22">
        <v>0</v>
      </c>
      <c r="H22" s="37" t="s">
        <v>20</v>
      </c>
      <c r="I22" s="37" t="s">
        <v>20</v>
      </c>
      <c r="J22" s="37" t="s">
        <v>20</v>
      </c>
      <c r="K22" s="37" t="s">
        <v>20</v>
      </c>
      <c r="L22" s="37" t="s">
        <v>20</v>
      </c>
      <c r="M22" s="9" t="s">
        <v>23</v>
      </c>
      <c r="N22" s="18" t="s">
        <v>23</v>
      </c>
      <c r="O22" s="17" t="s">
        <v>23</v>
      </c>
      <c r="P22" s="36" t="s">
        <v>19</v>
      </c>
      <c r="Q22" s="36" t="s">
        <v>19</v>
      </c>
      <c r="R22" s="35" t="s">
        <v>7</v>
      </c>
      <c r="S22" s="35" t="s">
        <v>18</v>
      </c>
      <c r="T22" s="35" t="s">
        <v>18</v>
      </c>
      <c r="U22" s="35" t="s">
        <v>18</v>
      </c>
      <c r="V22" s="18" t="s">
        <v>23</v>
      </c>
      <c r="W22" s="18" t="s">
        <v>23</v>
      </c>
      <c r="X22" s="9" t="s">
        <v>23</v>
      </c>
      <c r="Y22" s="8" t="s">
        <v>23</v>
      </c>
      <c r="Z22" s="8" t="s">
        <v>23</v>
      </c>
      <c r="AA22" s="8" t="s">
        <v>23</v>
      </c>
      <c r="AB22" s="8" t="s">
        <v>23</v>
      </c>
      <c r="AC22" s="8" t="s">
        <v>23</v>
      </c>
      <c r="AD22" s="18" t="s">
        <v>23</v>
      </c>
      <c r="AE22" s="18" t="s">
        <v>23</v>
      </c>
      <c r="AF22" s="49">
        <v>1</v>
      </c>
      <c r="AG22" s="20" t="s">
        <v>31</v>
      </c>
      <c r="AI22" s="45" t="s">
        <v>15</v>
      </c>
      <c r="AJ22" s="32">
        <v>250</v>
      </c>
      <c r="AK22" s="32">
        <v>1000</v>
      </c>
      <c r="AL22">
        <f t="shared" si="0"/>
        <v>0</v>
      </c>
      <c r="AM22">
        <f t="shared" si="1"/>
        <v>0</v>
      </c>
      <c r="AN22">
        <f t="shared" si="2"/>
        <v>0</v>
      </c>
      <c r="AO22">
        <f t="shared" si="3"/>
        <v>0</v>
      </c>
    </row>
    <row r="23" spans="1:41" x14ac:dyDescent="0.3">
      <c r="A23" s="1">
        <v>44384</v>
      </c>
      <c r="B23">
        <v>1600</v>
      </c>
      <c r="C23" s="4" cm="1">
        <f t="array" ref="C23">(SUM(VLOOKUP(H23:AE23,$AI$4:$AK$44,2,FALSE))+AF23*10)*IF(AG23="是",$AQ$4,$AQ$3)</f>
        <v>1632</v>
      </c>
      <c r="D23" s="31">
        <f>SUM($B$4:B23)-SUM($C$4:C23)</f>
        <v>54</v>
      </c>
      <c r="E23" s="4" cm="1">
        <f t="array" ref="E23">SUM(VLOOKUP(H23:AD23,$AI$4:$AK$44,3,FALSE))</f>
        <v>585</v>
      </c>
      <c r="F23" s="4">
        <f>SUM($E$4:E23)+SUM($G$4:G23)</f>
        <v>11015</v>
      </c>
      <c r="G23">
        <v>0</v>
      </c>
      <c r="H23" s="37" t="s">
        <v>20</v>
      </c>
      <c r="I23" s="37" t="s">
        <v>20</v>
      </c>
      <c r="J23" s="37" t="s">
        <v>20</v>
      </c>
      <c r="K23" s="37" t="s">
        <v>20</v>
      </c>
      <c r="L23" s="37" t="s">
        <v>20</v>
      </c>
      <c r="M23" s="37" t="s">
        <v>20</v>
      </c>
      <c r="N23" s="18" t="s">
        <v>23</v>
      </c>
      <c r="O23" s="17" t="s">
        <v>23</v>
      </c>
      <c r="P23" s="41" t="s">
        <v>12</v>
      </c>
      <c r="Q23" s="35" t="s">
        <v>18</v>
      </c>
      <c r="R23" s="35" t="s">
        <v>18</v>
      </c>
      <c r="S23" s="35" t="s">
        <v>18</v>
      </c>
      <c r="T23" s="35" t="s">
        <v>18</v>
      </c>
      <c r="U23" s="35" t="s">
        <v>18</v>
      </c>
      <c r="V23" s="18" t="s">
        <v>23</v>
      </c>
      <c r="W23" s="18" t="s">
        <v>23</v>
      </c>
      <c r="X23" s="9" t="s">
        <v>23</v>
      </c>
      <c r="Y23" s="8" t="s">
        <v>23</v>
      </c>
      <c r="Z23" s="8" t="s">
        <v>23</v>
      </c>
      <c r="AA23" s="8" t="s">
        <v>23</v>
      </c>
      <c r="AB23" s="8" t="s">
        <v>23</v>
      </c>
      <c r="AC23" s="8" t="s">
        <v>23</v>
      </c>
      <c r="AD23" s="18" t="s">
        <v>23</v>
      </c>
      <c r="AE23" s="18" t="s">
        <v>23</v>
      </c>
      <c r="AF23" s="49">
        <v>0</v>
      </c>
      <c r="AG23" s="20" t="s">
        <v>31</v>
      </c>
      <c r="AI23" s="48" t="s">
        <v>43</v>
      </c>
      <c r="AJ23" s="32">
        <v>250</v>
      </c>
      <c r="AK23" s="32">
        <v>500</v>
      </c>
      <c r="AL23">
        <f t="shared" si="0"/>
        <v>0</v>
      </c>
      <c r="AM23">
        <f t="shared" si="1"/>
        <v>1</v>
      </c>
      <c r="AN23">
        <f t="shared" si="2"/>
        <v>0</v>
      </c>
      <c r="AO23">
        <f t="shared" si="3"/>
        <v>1</v>
      </c>
    </row>
    <row r="24" spans="1:41" x14ac:dyDescent="0.3">
      <c r="A24" s="1">
        <v>44385</v>
      </c>
      <c r="B24">
        <v>1600</v>
      </c>
      <c r="C24" s="4" cm="1">
        <f t="array" ref="C24">(SUM(VLOOKUP(H24:AE24,$AI$4:$AK$44,2,FALSE))+AF24*10)*IF(AG24="是",$AQ$4,$AQ$3)</f>
        <v>1624</v>
      </c>
      <c r="D24" s="31">
        <f>SUM($B$4:B24)-SUM($C$4:C24)</f>
        <v>30</v>
      </c>
      <c r="E24" s="4" cm="1">
        <f t="array" ref="E24">SUM(VLOOKUP(H24:AD24,$AI$4:$AK$44,3,FALSE))</f>
        <v>595</v>
      </c>
      <c r="F24" s="4">
        <f>SUM($E$4:E24)+SUM($G$4:G24)</f>
        <v>11610</v>
      </c>
      <c r="G24">
        <v>0</v>
      </c>
      <c r="H24" s="37" t="s">
        <v>20</v>
      </c>
      <c r="I24" s="37" t="s">
        <v>9</v>
      </c>
      <c r="J24" s="37" t="s">
        <v>20</v>
      </c>
      <c r="K24" s="37" t="s">
        <v>20</v>
      </c>
      <c r="L24" s="37" t="s">
        <v>20</v>
      </c>
      <c r="M24" s="37" t="s">
        <v>20</v>
      </c>
      <c r="N24" s="18" t="s">
        <v>23</v>
      </c>
      <c r="O24" s="17" t="s">
        <v>23</v>
      </c>
      <c r="P24" s="36" t="s">
        <v>19</v>
      </c>
      <c r="Q24" s="35" t="s">
        <v>18</v>
      </c>
      <c r="R24" s="34" t="s">
        <v>17</v>
      </c>
      <c r="S24" s="41" t="s">
        <v>12</v>
      </c>
      <c r="T24" s="36" t="s">
        <v>19</v>
      </c>
      <c r="U24" s="36" t="s">
        <v>19</v>
      </c>
      <c r="V24" s="18" t="s">
        <v>23</v>
      </c>
      <c r="W24" s="18" t="s">
        <v>23</v>
      </c>
      <c r="X24" s="9" t="s">
        <v>23</v>
      </c>
      <c r="Y24" s="8" t="s">
        <v>23</v>
      </c>
      <c r="Z24" s="8" t="s">
        <v>23</v>
      </c>
      <c r="AA24" s="8" t="s">
        <v>23</v>
      </c>
      <c r="AB24" s="8" t="s">
        <v>23</v>
      </c>
      <c r="AC24" s="8" t="s">
        <v>23</v>
      </c>
      <c r="AD24" s="18" t="s">
        <v>23</v>
      </c>
      <c r="AE24" s="18" t="s">
        <v>23</v>
      </c>
      <c r="AF24" s="49">
        <v>1</v>
      </c>
      <c r="AG24" s="20" t="s">
        <v>31</v>
      </c>
      <c r="AI24" s="44" t="s">
        <v>39</v>
      </c>
      <c r="AJ24" s="32">
        <v>160</v>
      </c>
      <c r="AK24" s="32">
        <v>40</v>
      </c>
      <c r="AL24">
        <f t="shared" si="0"/>
        <v>0</v>
      </c>
      <c r="AM24">
        <f t="shared" si="1"/>
        <v>0</v>
      </c>
      <c r="AN24">
        <f t="shared" si="2"/>
        <v>0</v>
      </c>
      <c r="AO24">
        <f t="shared" si="3"/>
        <v>0</v>
      </c>
    </row>
    <row r="25" spans="1:41" x14ac:dyDescent="0.3">
      <c r="A25" s="1">
        <v>44386</v>
      </c>
      <c r="B25">
        <v>1600</v>
      </c>
      <c r="C25" s="4" cm="1">
        <f t="array" ref="C25">(SUM(VLOOKUP(H25:AE25,$AI$4:$AK$44,2,FALSE))+AF25*10)*IF(AG25="是",$AQ$4,$AQ$3)</f>
        <v>1624</v>
      </c>
      <c r="D25" s="31">
        <f>SUM($B$4:B25)-SUM($C$4:C25)</f>
        <v>6</v>
      </c>
      <c r="E25" s="4" cm="1">
        <f t="array" ref="E25">SUM(VLOOKUP(H25:AD25,$AI$4:$AK$44,3,FALSE))</f>
        <v>575</v>
      </c>
      <c r="F25" s="4">
        <f>SUM($E$4:E25)+SUM($G$4:G25)</f>
        <v>12185</v>
      </c>
      <c r="G25">
        <v>0</v>
      </c>
      <c r="H25" s="37" t="s">
        <v>20</v>
      </c>
      <c r="I25" s="37" t="s">
        <v>20</v>
      </c>
      <c r="J25" s="37" t="s">
        <v>20</v>
      </c>
      <c r="K25" s="37" t="s">
        <v>20</v>
      </c>
      <c r="L25" s="37" t="s">
        <v>20</v>
      </c>
      <c r="M25" s="9" t="s">
        <v>23</v>
      </c>
      <c r="N25" s="18" t="s">
        <v>23</v>
      </c>
      <c r="O25" s="17" t="s">
        <v>23</v>
      </c>
      <c r="P25" s="36" t="s">
        <v>19</v>
      </c>
      <c r="Q25" s="36" t="s">
        <v>19</v>
      </c>
      <c r="R25" s="36" t="s">
        <v>19</v>
      </c>
      <c r="S25" s="36" t="s">
        <v>19</v>
      </c>
      <c r="T25" s="36" t="s">
        <v>19</v>
      </c>
      <c r="U25" s="36" t="s">
        <v>19</v>
      </c>
      <c r="V25" s="18" t="s">
        <v>23</v>
      </c>
      <c r="W25" s="18" t="s">
        <v>23</v>
      </c>
      <c r="X25" s="9" t="s">
        <v>23</v>
      </c>
      <c r="Y25" s="8" t="s">
        <v>23</v>
      </c>
      <c r="Z25" s="8" t="s">
        <v>23</v>
      </c>
      <c r="AA25" s="8" t="s">
        <v>23</v>
      </c>
      <c r="AB25" s="8" t="s">
        <v>23</v>
      </c>
      <c r="AC25" s="8" t="s">
        <v>23</v>
      </c>
      <c r="AD25" s="18" t="s">
        <v>23</v>
      </c>
      <c r="AE25" s="18" t="s">
        <v>23</v>
      </c>
      <c r="AF25" s="49">
        <v>0</v>
      </c>
      <c r="AG25" s="20" t="s">
        <v>31</v>
      </c>
      <c r="AI25" s="44" t="s">
        <v>40</v>
      </c>
      <c r="AJ25" s="32">
        <v>160</v>
      </c>
      <c r="AK25" s="32">
        <v>40</v>
      </c>
      <c r="AL25">
        <f t="shared" si="0"/>
        <v>0</v>
      </c>
      <c r="AM25">
        <f t="shared" si="1"/>
        <v>0</v>
      </c>
      <c r="AN25">
        <f t="shared" si="2"/>
        <v>0</v>
      </c>
      <c r="AO25">
        <f t="shared" si="3"/>
        <v>0</v>
      </c>
    </row>
    <row r="26" spans="1:41" x14ac:dyDescent="0.3">
      <c r="A26" s="1">
        <v>44387</v>
      </c>
      <c r="B26">
        <v>1600</v>
      </c>
      <c r="C26" s="4" cm="1">
        <f t="array" ref="C26">(SUM(VLOOKUP(H26:AE26,$AI$4:$AK$44,2,FALSE))+AF26*10)*IF(AG26="是",$AQ$4,$AQ$3)</f>
        <v>1560</v>
      </c>
      <c r="D26" s="31">
        <f>SUM($B$4:B26)-SUM($C$4:C26)</f>
        <v>46</v>
      </c>
      <c r="E26" s="4" cm="1">
        <f t="array" ref="E26">SUM(VLOOKUP(H26:AD26,$AI$4:$AK$44,3,FALSE))</f>
        <v>565</v>
      </c>
      <c r="F26" s="4">
        <f>SUM($E$4:E26)+SUM($G$4:G26)</f>
        <v>12750</v>
      </c>
      <c r="G26">
        <v>0</v>
      </c>
      <c r="H26" s="41" t="s">
        <v>12</v>
      </c>
      <c r="I26" s="37" t="s">
        <v>20</v>
      </c>
      <c r="J26" s="37" t="s">
        <v>20</v>
      </c>
      <c r="K26" s="37" t="s">
        <v>20</v>
      </c>
      <c r="L26" s="37" t="s">
        <v>20</v>
      </c>
      <c r="M26" s="9" t="s">
        <v>23</v>
      </c>
      <c r="N26" s="18" t="s">
        <v>23</v>
      </c>
      <c r="O26" s="17" t="s">
        <v>23</v>
      </c>
      <c r="P26" s="36" t="s">
        <v>19</v>
      </c>
      <c r="Q26" s="36" t="s">
        <v>19</v>
      </c>
      <c r="R26" s="36" t="s">
        <v>19</v>
      </c>
      <c r="S26" s="37" t="s">
        <v>20</v>
      </c>
      <c r="T26" s="37" t="s">
        <v>20</v>
      </c>
      <c r="U26" s="37" t="s">
        <v>20</v>
      </c>
      <c r="V26" s="18" t="s">
        <v>23</v>
      </c>
      <c r="W26" s="18" t="s">
        <v>23</v>
      </c>
      <c r="X26" s="9" t="s">
        <v>23</v>
      </c>
      <c r="Y26" s="8" t="s">
        <v>23</v>
      </c>
      <c r="Z26" s="8" t="s">
        <v>23</v>
      </c>
      <c r="AA26" s="8" t="s">
        <v>23</v>
      </c>
      <c r="AB26" s="8" t="s">
        <v>23</v>
      </c>
      <c r="AC26" s="8" t="s">
        <v>23</v>
      </c>
      <c r="AD26" s="18" t="s">
        <v>23</v>
      </c>
      <c r="AE26" s="18" t="s">
        <v>23</v>
      </c>
      <c r="AF26" s="49">
        <v>3</v>
      </c>
      <c r="AG26" s="20" t="s">
        <v>31</v>
      </c>
      <c r="AI26" s="44" t="s">
        <v>38</v>
      </c>
      <c r="AJ26" s="32">
        <v>150</v>
      </c>
      <c r="AK26" s="32">
        <v>35</v>
      </c>
      <c r="AL26">
        <f t="shared" si="0"/>
        <v>0</v>
      </c>
      <c r="AM26">
        <f t="shared" si="1"/>
        <v>0</v>
      </c>
      <c r="AN26">
        <f t="shared" si="2"/>
        <v>0</v>
      </c>
      <c r="AO26">
        <f t="shared" si="3"/>
        <v>0</v>
      </c>
    </row>
    <row r="27" spans="1:41" x14ac:dyDescent="0.3">
      <c r="A27" s="1">
        <v>44388</v>
      </c>
      <c r="B27">
        <v>1600</v>
      </c>
      <c r="C27" s="4" cm="1">
        <f t="array" ref="C27">(SUM(VLOOKUP(H27:AE27,$AI$4:$AK$44,2,FALSE))+AF27*10)*IF(AG27="是",$AQ$4,$AQ$3)</f>
        <v>1560</v>
      </c>
      <c r="D27" s="31">
        <f>SUM($B$4:B27)-SUM($C$4:C27)</f>
        <v>86</v>
      </c>
      <c r="E27" s="4" cm="1">
        <f t="array" ref="E27">SUM(VLOOKUP(H27:AD27,$AI$4:$AK$44,3,FALSE))</f>
        <v>580</v>
      </c>
      <c r="F27" s="4">
        <f>SUM($E$4:E27)+SUM($G$4:G27)</f>
        <v>13330</v>
      </c>
      <c r="G27">
        <v>0</v>
      </c>
      <c r="H27" s="37" t="s">
        <v>20</v>
      </c>
      <c r="I27" s="37" t="s">
        <v>20</v>
      </c>
      <c r="J27" s="37" t="s">
        <v>20</v>
      </c>
      <c r="K27" s="37" t="s">
        <v>20</v>
      </c>
      <c r="L27" s="37" t="s">
        <v>20</v>
      </c>
      <c r="M27" s="9" t="s">
        <v>23</v>
      </c>
      <c r="N27" s="18" t="s">
        <v>23</v>
      </c>
      <c r="O27" s="17" t="s">
        <v>23</v>
      </c>
      <c r="P27" s="37" t="s">
        <v>20</v>
      </c>
      <c r="Q27" s="41" t="s">
        <v>12</v>
      </c>
      <c r="R27" s="37" t="s">
        <v>20</v>
      </c>
      <c r="S27" s="37" t="s">
        <v>20</v>
      </c>
      <c r="T27" s="37" t="s">
        <v>20</v>
      </c>
      <c r="U27" s="37" t="s">
        <v>20</v>
      </c>
      <c r="V27" s="18" t="s">
        <v>23</v>
      </c>
      <c r="W27" s="18" t="s">
        <v>23</v>
      </c>
      <c r="X27" s="9" t="s">
        <v>23</v>
      </c>
      <c r="Y27" s="8" t="s">
        <v>23</v>
      </c>
      <c r="Z27" s="8" t="s">
        <v>23</v>
      </c>
      <c r="AA27" s="8" t="s">
        <v>23</v>
      </c>
      <c r="AB27" s="8" t="s">
        <v>23</v>
      </c>
      <c r="AC27" s="8" t="s">
        <v>23</v>
      </c>
      <c r="AD27" s="18" t="s">
        <v>23</v>
      </c>
      <c r="AE27" s="18" t="s">
        <v>23</v>
      </c>
      <c r="AF27" s="49">
        <v>0</v>
      </c>
      <c r="AG27" s="20" t="s">
        <v>31</v>
      </c>
      <c r="AI27" s="46" t="s">
        <v>23</v>
      </c>
      <c r="AJ27" s="32">
        <v>0</v>
      </c>
      <c r="AK27" s="32">
        <v>0</v>
      </c>
    </row>
    <row r="28" spans="1:41" ht="15" thickBot="1" x14ac:dyDescent="0.35">
      <c r="A28" s="3">
        <v>44389</v>
      </c>
      <c r="B28" s="4">
        <v>1600</v>
      </c>
      <c r="C28" s="4" cm="1">
        <f t="array" ref="C28">(SUM(VLOOKUP(H28:AE28,$AI$4:$AK$44,2,FALSE))+AF28*10)*IF(AG28="是",$AQ$4,$AQ$3)</f>
        <v>1672</v>
      </c>
      <c r="D28" s="30">
        <f>SUM($B$4:B28)-SUM($C$4:C28)</f>
        <v>14</v>
      </c>
      <c r="E28" s="4" cm="1">
        <f t="array" ref="E28">SUM(VLOOKUP(H28:AD28,$AI$4:$AK$44,3,FALSE))</f>
        <v>605</v>
      </c>
      <c r="F28" s="4">
        <f>SUM($E$4:E28)+SUM($G$4:G28)</f>
        <v>13935</v>
      </c>
      <c r="G28" s="4">
        <v>0</v>
      </c>
      <c r="H28" s="37" t="s">
        <v>20</v>
      </c>
      <c r="I28" s="37" t="s">
        <v>20</v>
      </c>
      <c r="J28" s="37" t="s">
        <v>20</v>
      </c>
      <c r="K28" s="37" t="s">
        <v>20</v>
      </c>
      <c r="L28" s="37" t="s">
        <v>20</v>
      </c>
      <c r="M28" s="9" t="s">
        <v>23</v>
      </c>
      <c r="N28" s="18" t="s">
        <v>23</v>
      </c>
      <c r="O28" s="17" t="s">
        <v>23</v>
      </c>
      <c r="P28" s="37" t="s">
        <v>20</v>
      </c>
      <c r="Q28" s="37" t="s">
        <v>20</v>
      </c>
      <c r="R28" s="37" t="s">
        <v>20</v>
      </c>
      <c r="S28" s="37" t="s">
        <v>20</v>
      </c>
      <c r="T28" s="37" t="s">
        <v>20</v>
      </c>
      <c r="U28" s="37" t="s">
        <v>20</v>
      </c>
      <c r="V28" s="18" t="s">
        <v>23</v>
      </c>
      <c r="W28" s="18" t="s">
        <v>23</v>
      </c>
      <c r="X28" s="9" t="s">
        <v>23</v>
      </c>
      <c r="Y28" s="8" t="s">
        <v>23</v>
      </c>
      <c r="Z28" s="8" t="s">
        <v>23</v>
      </c>
      <c r="AA28" s="8" t="s">
        <v>23</v>
      </c>
      <c r="AB28" s="8" t="s">
        <v>23</v>
      </c>
      <c r="AC28" s="8" t="s">
        <v>23</v>
      </c>
      <c r="AD28" s="18" t="s">
        <v>23</v>
      </c>
      <c r="AE28" s="18" t="s">
        <v>23</v>
      </c>
      <c r="AF28" s="49">
        <v>0</v>
      </c>
      <c r="AG28" s="20" t="s">
        <v>31</v>
      </c>
      <c r="AH28" s="26" t="s">
        <v>26</v>
      </c>
      <c r="AI28" s="42" t="s">
        <v>49</v>
      </c>
      <c r="AJ28" s="32">
        <f>AJ18/0.8</f>
        <v>-187.5</v>
      </c>
      <c r="AK28" s="32">
        <v>0</v>
      </c>
      <c r="AL28">
        <f t="shared" si="0"/>
        <v>1</v>
      </c>
      <c r="AM28">
        <f t="shared" si="1"/>
        <v>1</v>
      </c>
      <c r="AN28">
        <f t="shared" si="2"/>
        <v>0</v>
      </c>
      <c r="AO28">
        <f t="shared" si="3"/>
        <v>2</v>
      </c>
    </row>
    <row r="29" spans="1:41" x14ac:dyDescent="0.3">
      <c r="A29" s="3">
        <v>44390</v>
      </c>
      <c r="B29" s="4">
        <v>1600</v>
      </c>
      <c r="C29" s="4" cm="1">
        <f t="array" ref="C29">(SUM(VLOOKUP(H29:AE29,$AI$4:$AK$44,2,FALSE))+AF29*10)*IF(AG29="是",$AQ$4,$AQ$3)</f>
        <v>1602</v>
      </c>
      <c r="D29" s="30">
        <f>SUM($B$4:B29)-SUM($C$4:C29)</f>
        <v>12</v>
      </c>
      <c r="E29" s="4" cm="1">
        <f t="array" ref="E29">SUM(VLOOKUP(H29:AD29,$AI$4:$AK$44,3,FALSE))</f>
        <v>665</v>
      </c>
      <c r="F29" s="4">
        <f>SUM($E$4:E29)+SUM($G$4:G29)</f>
        <v>14600</v>
      </c>
      <c r="G29" s="4">
        <v>0</v>
      </c>
      <c r="H29" s="42" t="s">
        <v>49</v>
      </c>
      <c r="I29" s="37" t="s">
        <v>20</v>
      </c>
      <c r="J29" s="37" t="s">
        <v>20</v>
      </c>
      <c r="K29" s="37" t="s">
        <v>20</v>
      </c>
      <c r="L29" s="41" t="s">
        <v>12</v>
      </c>
      <c r="M29" s="37" t="s">
        <v>20</v>
      </c>
      <c r="N29" s="37" t="s">
        <v>20</v>
      </c>
      <c r="O29" s="37" t="s">
        <v>20</v>
      </c>
      <c r="P29" s="37" t="s">
        <v>20</v>
      </c>
      <c r="Q29" s="37" t="s">
        <v>20</v>
      </c>
      <c r="R29" s="37" t="s">
        <v>20</v>
      </c>
      <c r="S29" s="37" t="s">
        <v>20</v>
      </c>
      <c r="T29" s="41" t="s">
        <v>12</v>
      </c>
      <c r="U29" s="37" t="s">
        <v>20</v>
      </c>
      <c r="V29" s="18" t="s">
        <v>23</v>
      </c>
      <c r="W29" s="18" t="s">
        <v>23</v>
      </c>
      <c r="X29" s="9" t="s">
        <v>23</v>
      </c>
      <c r="Y29" s="8" t="s">
        <v>23</v>
      </c>
      <c r="Z29" s="8" t="s">
        <v>23</v>
      </c>
      <c r="AA29" s="8" t="s">
        <v>23</v>
      </c>
      <c r="AB29" s="8" t="s">
        <v>23</v>
      </c>
      <c r="AC29" s="8" t="s">
        <v>23</v>
      </c>
      <c r="AD29" s="18" t="s">
        <v>23</v>
      </c>
      <c r="AE29" s="18" t="s">
        <v>23</v>
      </c>
      <c r="AF29" s="49">
        <v>0</v>
      </c>
      <c r="AG29" s="20" t="s">
        <v>31</v>
      </c>
      <c r="AI29" s="32"/>
      <c r="AJ29" s="32"/>
      <c r="AK29" s="32"/>
      <c r="AO29">
        <f>SUM(AO4:AO28)</f>
        <v>379</v>
      </c>
    </row>
    <row r="30" spans="1:41" x14ac:dyDescent="0.3">
      <c r="A30" s="3">
        <v>44391</v>
      </c>
      <c r="B30" s="4">
        <v>1600</v>
      </c>
      <c r="C30" s="4" cm="1">
        <f t="array" ref="C30">(SUM(VLOOKUP(H30:AE30,$AI$4:$AK$44,2,FALSE))+AF30*10)*IF(AG30="是",$AQ$4,$AQ$3)</f>
        <v>1520</v>
      </c>
      <c r="D30" s="30">
        <f>SUM($B$4:B30)-SUM($C$4:C30)</f>
        <v>92</v>
      </c>
      <c r="E30" s="4" cm="1">
        <f t="array" ref="E30">SUM(VLOOKUP(H30:AD30,$AI$4:$AK$44,3,FALSE))</f>
        <v>550</v>
      </c>
      <c r="F30" s="4">
        <f>SUM($E$4:E30)+SUM($G$4:G30)</f>
        <v>15150</v>
      </c>
      <c r="G30" s="4">
        <v>0</v>
      </c>
      <c r="H30" s="37" t="s">
        <v>20</v>
      </c>
      <c r="I30" s="37" t="s">
        <v>20</v>
      </c>
      <c r="J30" s="37" t="s">
        <v>20</v>
      </c>
      <c r="K30" s="37" t="s">
        <v>20</v>
      </c>
      <c r="L30" s="9" t="s">
        <v>23</v>
      </c>
      <c r="M30" s="9" t="s">
        <v>23</v>
      </c>
      <c r="N30" s="18" t="s">
        <v>23</v>
      </c>
      <c r="O30" s="17" t="s">
        <v>23</v>
      </c>
      <c r="P30" s="37" t="s">
        <v>20</v>
      </c>
      <c r="Q30" s="37" t="s">
        <v>20</v>
      </c>
      <c r="R30" s="37" t="s">
        <v>20</v>
      </c>
      <c r="S30" s="37" t="s">
        <v>20</v>
      </c>
      <c r="T30" s="37" t="s">
        <v>20</v>
      </c>
      <c r="U30" s="37" t="s">
        <v>20</v>
      </c>
      <c r="V30" s="18" t="s">
        <v>23</v>
      </c>
      <c r="W30" s="18" t="s">
        <v>23</v>
      </c>
      <c r="X30" s="9" t="s">
        <v>23</v>
      </c>
      <c r="Y30" s="8" t="s">
        <v>23</v>
      </c>
      <c r="Z30" s="8" t="s">
        <v>23</v>
      </c>
      <c r="AA30" s="8" t="s">
        <v>23</v>
      </c>
      <c r="AB30" s="8" t="s">
        <v>23</v>
      </c>
      <c r="AC30" s="8" t="s">
        <v>23</v>
      </c>
      <c r="AD30" s="18" t="s">
        <v>23</v>
      </c>
      <c r="AE30" s="18" t="s">
        <v>23</v>
      </c>
      <c r="AF30" s="49">
        <v>0</v>
      </c>
      <c r="AG30" s="20" t="s">
        <v>31</v>
      </c>
      <c r="AI30" s="32"/>
      <c r="AJ30" s="32"/>
      <c r="AK30" s="32"/>
    </row>
    <row r="31" spans="1:41" x14ac:dyDescent="0.3">
      <c r="A31" s="3">
        <v>44392</v>
      </c>
      <c r="B31" s="4">
        <v>1600</v>
      </c>
      <c r="C31" s="4" cm="1">
        <f t="array" ref="C31">(SUM(VLOOKUP(H31:AE31,$AI$4:$AK$44,2,FALSE))+AF31*10)*IF(AG31="是",$AQ$4,$AQ$3)</f>
        <v>1672</v>
      </c>
      <c r="D31" s="30">
        <f>SUM($B$4:B31)-SUM($C$4:C31)</f>
        <v>20</v>
      </c>
      <c r="E31" s="4" cm="1">
        <f t="array" ref="E31">SUM(VLOOKUP(H31:AD31,$AI$4:$AK$44,3,FALSE))</f>
        <v>605</v>
      </c>
      <c r="F31" s="4">
        <f>SUM($E$4:E31)+SUM($G$4:G31)</f>
        <v>15755</v>
      </c>
      <c r="G31" s="4">
        <v>0</v>
      </c>
      <c r="H31" s="37" t="s">
        <v>20</v>
      </c>
      <c r="I31" s="37" t="s">
        <v>20</v>
      </c>
      <c r="J31" s="37" t="s">
        <v>20</v>
      </c>
      <c r="K31" s="37" t="s">
        <v>20</v>
      </c>
      <c r="L31" s="37" t="s">
        <v>20</v>
      </c>
      <c r="M31" s="9" t="s">
        <v>23</v>
      </c>
      <c r="N31" s="18" t="s">
        <v>23</v>
      </c>
      <c r="O31" s="17" t="s">
        <v>23</v>
      </c>
      <c r="P31" s="37" t="s">
        <v>20</v>
      </c>
      <c r="Q31" s="37" t="s">
        <v>20</v>
      </c>
      <c r="R31" s="37" t="s">
        <v>20</v>
      </c>
      <c r="S31" s="37" t="s">
        <v>20</v>
      </c>
      <c r="T31" s="37" t="s">
        <v>20</v>
      </c>
      <c r="U31" s="37" t="s">
        <v>20</v>
      </c>
      <c r="V31" s="18" t="s">
        <v>23</v>
      </c>
      <c r="W31" s="18" t="s">
        <v>23</v>
      </c>
      <c r="X31" s="9" t="s">
        <v>23</v>
      </c>
      <c r="Y31" s="8" t="s">
        <v>23</v>
      </c>
      <c r="Z31" s="8" t="s">
        <v>23</v>
      </c>
      <c r="AA31" s="8" t="s">
        <v>23</v>
      </c>
      <c r="AB31" s="8" t="s">
        <v>23</v>
      </c>
      <c r="AC31" s="8" t="s">
        <v>23</v>
      </c>
      <c r="AD31" s="18" t="s">
        <v>23</v>
      </c>
      <c r="AE31" s="18" t="s">
        <v>23</v>
      </c>
      <c r="AF31" s="49">
        <v>0</v>
      </c>
      <c r="AG31" s="20" t="s">
        <v>31</v>
      </c>
      <c r="AI31" s="32"/>
      <c r="AJ31" s="32"/>
      <c r="AK31" s="32"/>
    </row>
    <row r="32" spans="1:41" x14ac:dyDescent="0.3">
      <c r="A32" s="3">
        <v>44393</v>
      </c>
      <c r="B32" s="4">
        <v>1600</v>
      </c>
      <c r="C32" s="4" cm="1">
        <f t="array" ref="C32">(SUM(VLOOKUP(H32:AE32,$AI$4:$AK$44,2,FALSE))+AF32*10)*IF(AG32="是",$AQ$4,$AQ$3)</f>
        <v>1520</v>
      </c>
      <c r="D32" s="30">
        <f>SUM($B$4:B32)-SUM($C$4:C32)</f>
        <v>100</v>
      </c>
      <c r="E32" s="4" cm="1">
        <f t="array" ref="E32">SUM(VLOOKUP(H32:AD32,$AI$4:$AK$44,3,FALSE))</f>
        <v>550</v>
      </c>
      <c r="F32" s="4">
        <f>SUM($E$4:E32)+SUM($G$4:G32)</f>
        <v>16305</v>
      </c>
      <c r="G32" s="4">
        <v>0</v>
      </c>
      <c r="H32" s="37" t="s">
        <v>20</v>
      </c>
      <c r="I32" s="37" t="s">
        <v>20</v>
      </c>
      <c r="J32" s="37" t="s">
        <v>20</v>
      </c>
      <c r="K32" s="37" t="s">
        <v>20</v>
      </c>
      <c r="L32" s="9" t="s">
        <v>23</v>
      </c>
      <c r="M32" s="9" t="s">
        <v>23</v>
      </c>
      <c r="N32" s="18" t="s">
        <v>23</v>
      </c>
      <c r="O32" s="17" t="s">
        <v>23</v>
      </c>
      <c r="P32" s="37" t="s">
        <v>20</v>
      </c>
      <c r="Q32" s="37" t="s">
        <v>20</v>
      </c>
      <c r="R32" s="37" t="s">
        <v>20</v>
      </c>
      <c r="S32" s="37" t="s">
        <v>20</v>
      </c>
      <c r="T32" s="37" t="s">
        <v>20</v>
      </c>
      <c r="U32" s="37" t="s">
        <v>20</v>
      </c>
      <c r="V32" s="18" t="s">
        <v>23</v>
      </c>
      <c r="W32" s="18" t="s">
        <v>23</v>
      </c>
      <c r="X32" s="9" t="s">
        <v>23</v>
      </c>
      <c r="Y32" s="8" t="s">
        <v>23</v>
      </c>
      <c r="Z32" s="8" t="s">
        <v>23</v>
      </c>
      <c r="AA32" s="8" t="s">
        <v>23</v>
      </c>
      <c r="AB32" s="8" t="s">
        <v>23</v>
      </c>
      <c r="AC32" s="8" t="s">
        <v>23</v>
      </c>
      <c r="AD32" s="18" t="s">
        <v>23</v>
      </c>
      <c r="AE32" s="18" t="s">
        <v>23</v>
      </c>
      <c r="AF32" s="49">
        <v>0</v>
      </c>
      <c r="AG32" s="20" t="s">
        <v>31</v>
      </c>
      <c r="AI32" s="32"/>
      <c r="AJ32" s="32"/>
      <c r="AK32" s="32"/>
    </row>
    <row r="33" spans="1:37" x14ac:dyDescent="0.3">
      <c r="A33" s="3">
        <v>44394</v>
      </c>
      <c r="B33" s="4">
        <v>1600</v>
      </c>
      <c r="C33" s="4" cm="1">
        <f t="array" ref="C33">(SUM(VLOOKUP(H33:AE33,$AI$4:$AK$44,2,FALSE))+AF33*10)*IF(AG33="是",$AQ$4,$AQ$3)</f>
        <v>1688</v>
      </c>
      <c r="D33" s="30">
        <f>SUM($B$4:B33)-SUM($C$4:C33)</f>
        <v>12</v>
      </c>
      <c r="E33" s="4" cm="1">
        <f t="array" ref="E33">SUM(VLOOKUP(H33:AD33,$AI$4:$AK$44,3,FALSE))</f>
        <v>615</v>
      </c>
      <c r="F33" s="4">
        <f>SUM($E$4:E33)+SUM($G$4:G33)</f>
        <v>16920</v>
      </c>
      <c r="G33" s="4">
        <v>0</v>
      </c>
      <c r="H33" s="37" t="s">
        <v>20</v>
      </c>
      <c r="I33" s="37" t="s">
        <v>20</v>
      </c>
      <c r="J33" s="37" t="s">
        <v>20</v>
      </c>
      <c r="K33" s="37" t="s">
        <v>20</v>
      </c>
      <c r="L33" s="37" t="s">
        <v>20</v>
      </c>
      <c r="M33" s="9" t="s">
        <v>23</v>
      </c>
      <c r="N33" s="18" t="s">
        <v>23</v>
      </c>
      <c r="O33" s="17" t="s">
        <v>23</v>
      </c>
      <c r="P33" s="37" t="s">
        <v>20</v>
      </c>
      <c r="Q33" s="37" t="s">
        <v>20</v>
      </c>
      <c r="R33" s="37" t="s">
        <v>20</v>
      </c>
      <c r="S33" s="37" t="s">
        <v>20</v>
      </c>
      <c r="T33" s="38" t="s">
        <v>21</v>
      </c>
      <c r="U33" s="38" t="s">
        <v>21</v>
      </c>
      <c r="V33" s="18" t="s">
        <v>23</v>
      </c>
      <c r="W33" s="18" t="s">
        <v>23</v>
      </c>
      <c r="X33" s="9" t="s">
        <v>23</v>
      </c>
      <c r="Y33" s="8" t="s">
        <v>23</v>
      </c>
      <c r="Z33" s="8" t="s">
        <v>23</v>
      </c>
      <c r="AA33" s="8" t="s">
        <v>23</v>
      </c>
      <c r="AB33" s="8" t="s">
        <v>23</v>
      </c>
      <c r="AC33" s="8" t="s">
        <v>23</v>
      </c>
      <c r="AD33" s="18" t="s">
        <v>23</v>
      </c>
      <c r="AE33" s="18" t="s">
        <v>23</v>
      </c>
      <c r="AF33" s="49">
        <v>0</v>
      </c>
      <c r="AG33" s="20" t="s">
        <v>31</v>
      </c>
      <c r="AI33" s="32"/>
      <c r="AJ33" s="32"/>
      <c r="AK33" s="32"/>
    </row>
    <row r="34" spans="1:37" x14ac:dyDescent="0.3">
      <c r="A34" s="3">
        <v>44395</v>
      </c>
      <c r="B34" s="4">
        <v>1600</v>
      </c>
      <c r="C34" s="4" cm="1">
        <f t="array" ref="C34">(SUM(VLOOKUP(H34:AE34,$AI$4:$AK$44,2,FALSE))+AF34*10)*IF(AG34="是",$AQ$4,$AQ$3)</f>
        <v>1498</v>
      </c>
      <c r="D34" s="30">
        <f>SUM($B$4:B34)-SUM($C$4:C34)</f>
        <v>114</v>
      </c>
      <c r="E34" s="4" cm="1">
        <f t="array" ref="E34">SUM(VLOOKUP(H34:AD34,$AI$4:$AK$44,3,FALSE))</f>
        <v>1020</v>
      </c>
      <c r="F34" s="4">
        <f>SUM($E$4:E34)+SUM($G$4:G34)</f>
        <v>17940</v>
      </c>
      <c r="G34" s="4">
        <v>0</v>
      </c>
      <c r="H34" s="37" t="s">
        <v>20</v>
      </c>
      <c r="I34" s="37" t="s">
        <v>20</v>
      </c>
      <c r="J34" s="37" t="s">
        <v>20</v>
      </c>
      <c r="K34" s="37" t="s">
        <v>20</v>
      </c>
      <c r="L34" s="9" t="s">
        <v>23</v>
      </c>
      <c r="M34" s="9" t="s">
        <v>23</v>
      </c>
      <c r="N34" s="18" t="s">
        <v>23</v>
      </c>
      <c r="O34" s="17" t="s">
        <v>23</v>
      </c>
      <c r="P34" s="38" t="s">
        <v>21</v>
      </c>
      <c r="Q34" s="38" t="s">
        <v>21</v>
      </c>
      <c r="R34" s="48" t="s">
        <v>43</v>
      </c>
      <c r="S34" s="38" t="s">
        <v>21</v>
      </c>
      <c r="T34" s="42" t="s">
        <v>49</v>
      </c>
      <c r="U34" s="38" t="s">
        <v>21</v>
      </c>
      <c r="V34" s="38" t="s">
        <v>21</v>
      </c>
      <c r="W34" s="18" t="s">
        <v>23</v>
      </c>
      <c r="X34" s="9" t="s">
        <v>23</v>
      </c>
      <c r="Y34" s="8" t="s">
        <v>23</v>
      </c>
      <c r="Z34" s="8" t="s">
        <v>23</v>
      </c>
      <c r="AA34" s="8" t="s">
        <v>23</v>
      </c>
      <c r="AB34" s="8" t="s">
        <v>23</v>
      </c>
      <c r="AC34" s="8" t="s">
        <v>23</v>
      </c>
      <c r="AD34" s="18" t="s">
        <v>23</v>
      </c>
      <c r="AE34" s="18" t="s">
        <v>23</v>
      </c>
      <c r="AF34" s="49">
        <v>5</v>
      </c>
      <c r="AG34" s="20" t="s">
        <v>31</v>
      </c>
      <c r="AI34" s="32"/>
      <c r="AJ34" s="32"/>
      <c r="AK34" s="32"/>
    </row>
    <row r="35" spans="1:37" x14ac:dyDescent="0.3">
      <c r="A35" s="1">
        <v>44396</v>
      </c>
      <c r="B35">
        <v>1600</v>
      </c>
      <c r="C35" s="4" cm="1">
        <f t="array" ref="C35">(SUM(VLOOKUP(H35:AE35,$AI$4:$AK$44,2,FALSE))+AF35*10)*IF(AG35="是",$AQ$4,$AQ$3)</f>
        <v>1568</v>
      </c>
      <c r="D35" s="31">
        <f>SUM($B$4:B35)-SUM($C$4:C35)</f>
        <v>146</v>
      </c>
      <c r="E35" s="4" cm="1">
        <f t="array" ref="E35">SUM(VLOOKUP(H35:AD35,$AI$4:$AK$44,3,FALSE))</f>
        <v>580</v>
      </c>
      <c r="F35" s="4">
        <f>SUM($E$4:E35)+SUM($G$4:G35)</f>
        <v>18520</v>
      </c>
      <c r="G35">
        <v>0</v>
      </c>
      <c r="H35" s="37" t="s">
        <v>20</v>
      </c>
      <c r="I35" s="37" t="s">
        <v>20</v>
      </c>
      <c r="J35" s="37" t="s">
        <v>20</v>
      </c>
      <c r="K35" s="37" t="s">
        <v>20</v>
      </c>
      <c r="L35" s="9" t="s">
        <v>23</v>
      </c>
      <c r="M35" s="9" t="s">
        <v>23</v>
      </c>
      <c r="N35" s="18" t="s">
        <v>23</v>
      </c>
      <c r="O35" s="17" t="s">
        <v>23</v>
      </c>
      <c r="P35" s="38" t="s">
        <v>21</v>
      </c>
      <c r="Q35" s="38" t="s">
        <v>21</v>
      </c>
      <c r="R35" s="38" t="s">
        <v>21</v>
      </c>
      <c r="S35" s="38" t="s">
        <v>21</v>
      </c>
      <c r="T35" s="38" t="s">
        <v>21</v>
      </c>
      <c r="U35" s="38" t="s">
        <v>21</v>
      </c>
      <c r="V35" s="18" t="s">
        <v>23</v>
      </c>
      <c r="W35" s="18" t="s">
        <v>23</v>
      </c>
      <c r="X35" s="9" t="s">
        <v>23</v>
      </c>
      <c r="Y35" s="8" t="s">
        <v>23</v>
      </c>
      <c r="Z35" s="8" t="s">
        <v>23</v>
      </c>
      <c r="AA35" s="8" t="s">
        <v>23</v>
      </c>
      <c r="AB35" s="8" t="s">
        <v>23</v>
      </c>
      <c r="AC35" s="8" t="s">
        <v>23</v>
      </c>
      <c r="AD35" s="18" t="s">
        <v>23</v>
      </c>
      <c r="AE35" s="18" t="s">
        <v>23</v>
      </c>
      <c r="AF35" s="49">
        <v>0</v>
      </c>
      <c r="AG35" s="20" t="s">
        <v>31</v>
      </c>
      <c r="AI35" s="32"/>
      <c r="AJ35" s="32"/>
      <c r="AK35" s="32"/>
    </row>
    <row r="36" spans="1:37" x14ac:dyDescent="0.3">
      <c r="A36" s="1">
        <v>44397</v>
      </c>
      <c r="B36">
        <v>1600</v>
      </c>
      <c r="C36" s="4" cm="1">
        <f t="array" ref="C36">(SUM(VLOOKUP(H36:AE36,$AI$4:$AK$44,2,FALSE))+AF36*10)*IF(AG36="是",$AQ$4,$AQ$3)</f>
        <v>1720</v>
      </c>
      <c r="D36" s="31">
        <f>SUM($B$4:B36)-SUM($C$4:C36)</f>
        <v>26</v>
      </c>
      <c r="E36" s="4" cm="1">
        <f t="array" ref="E36">SUM(VLOOKUP(H36:AD36,$AI$4:$AK$44,3,FALSE))</f>
        <v>635</v>
      </c>
      <c r="F36" s="4">
        <f>SUM($E$4:E36)+SUM($G$4:G36)</f>
        <v>19155</v>
      </c>
      <c r="G36">
        <v>0</v>
      </c>
      <c r="H36" s="37" t="s">
        <v>20</v>
      </c>
      <c r="I36" s="37" t="s">
        <v>20</v>
      </c>
      <c r="J36" s="37" t="s">
        <v>20</v>
      </c>
      <c r="K36" s="37" t="s">
        <v>20</v>
      </c>
      <c r="L36" s="37" t="s">
        <v>20</v>
      </c>
      <c r="M36" s="9" t="s">
        <v>23</v>
      </c>
      <c r="N36" s="18" t="s">
        <v>23</v>
      </c>
      <c r="O36" s="17" t="s">
        <v>23</v>
      </c>
      <c r="P36" s="38" t="s">
        <v>21</v>
      </c>
      <c r="Q36" s="38" t="s">
        <v>21</v>
      </c>
      <c r="R36" s="38" t="s">
        <v>21</v>
      </c>
      <c r="S36" s="38" t="s">
        <v>21</v>
      </c>
      <c r="T36" s="38" t="s">
        <v>21</v>
      </c>
      <c r="U36" s="38" t="s">
        <v>21</v>
      </c>
      <c r="V36" s="18" t="s">
        <v>23</v>
      </c>
      <c r="W36" s="18" t="s">
        <v>23</v>
      </c>
      <c r="X36" s="9" t="s">
        <v>23</v>
      </c>
      <c r="Y36" s="8" t="s">
        <v>23</v>
      </c>
      <c r="Z36" s="8" t="s">
        <v>23</v>
      </c>
      <c r="AA36" s="8" t="s">
        <v>23</v>
      </c>
      <c r="AB36" s="8" t="s">
        <v>23</v>
      </c>
      <c r="AC36" s="8" t="s">
        <v>23</v>
      </c>
      <c r="AD36" s="18" t="s">
        <v>23</v>
      </c>
      <c r="AE36" s="18" t="s">
        <v>23</v>
      </c>
      <c r="AF36" s="49">
        <v>0</v>
      </c>
      <c r="AG36" s="20" t="s">
        <v>31</v>
      </c>
      <c r="AI36" s="32"/>
      <c r="AJ36" s="32"/>
      <c r="AK36" s="32"/>
    </row>
    <row r="37" spans="1:37" x14ac:dyDescent="0.3">
      <c r="A37" s="1">
        <v>44398</v>
      </c>
      <c r="B37">
        <v>1600</v>
      </c>
      <c r="C37" s="4" cm="1">
        <f t="array" ref="C37">(SUM(VLOOKUP(H37:AE37,$AI$4:$AK$44,2,FALSE))+AF37*10)*IF(AG37="是",$AQ$4,$AQ$3)</f>
        <v>1568</v>
      </c>
      <c r="D37" s="31">
        <f>SUM($B$4:B37)-SUM($C$4:C37)</f>
        <v>58</v>
      </c>
      <c r="E37" s="4" cm="1">
        <f t="array" ref="E37">SUM(VLOOKUP(H37:AD37,$AI$4:$AK$44,3,FALSE))</f>
        <v>580</v>
      </c>
      <c r="F37" s="4">
        <f>SUM($E$4:E37)+SUM($G$4:G37)</f>
        <v>19735</v>
      </c>
      <c r="G37">
        <v>0</v>
      </c>
      <c r="H37" s="37" t="s">
        <v>20</v>
      </c>
      <c r="I37" s="37" t="s">
        <v>20</v>
      </c>
      <c r="J37" s="37" t="s">
        <v>20</v>
      </c>
      <c r="K37" s="37" t="s">
        <v>20</v>
      </c>
      <c r="L37" s="9" t="s">
        <v>23</v>
      </c>
      <c r="M37" s="9" t="s">
        <v>23</v>
      </c>
      <c r="N37" s="18" t="s">
        <v>23</v>
      </c>
      <c r="O37" s="17" t="s">
        <v>23</v>
      </c>
      <c r="P37" s="38" t="s">
        <v>21</v>
      </c>
      <c r="Q37" s="38" t="s">
        <v>21</v>
      </c>
      <c r="R37" s="38" t="s">
        <v>21</v>
      </c>
      <c r="S37" s="38" t="s">
        <v>21</v>
      </c>
      <c r="T37" s="38" t="s">
        <v>21</v>
      </c>
      <c r="U37" s="38" t="s">
        <v>21</v>
      </c>
      <c r="V37" s="18" t="s">
        <v>23</v>
      </c>
      <c r="W37" s="18" t="s">
        <v>23</v>
      </c>
      <c r="X37" s="9" t="s">
        <v>23</v>
      </c>
      <c r="Y37" s="8" t="s">
        <v>23</v>
      </c>
      <c r="Z37" s="8" t="s">
        <v>23</v>
      </c>
      <c r="AA37" s="8" t="s">
        <v>23</v>
      </c>
      <c r="AB37" s="8" t="s">
        <v>23</v>
      </c>
      <c r="AC37" s="8" t="s">
        <v>23</v>
      </c>
      <c r="AD37" s="18" t="s">
        <v>23</v>
      </c>
      <c r="AE37" s="18" t="s">
        <v>23</v>
      </c>
      <c r="AF37" s="49">
        <v>0</v>
      </c>
      <c r="AG37" s="20" t="s">
        <v>31</v>
      </c>
      <c r="AI37" s="32"/>
      <c r="AJ37" s="32"/>
      <c r="AK37" s="32"/>
    </row>
    <row r="38" spans="1:37" x14ac:dyDescent="0.3">
      <c r="A38" s="1">
        <v>44399</v>
      </c>
      <c r="B38">
        <v>1600</v>
      </c>
      <c r="C38" s="4" cm="1">
        <f t="array" ref="C38">(SUM(VLOOKUP(H38:AE38,$AI$4:$AK$44,2,FALSE))+AF38*10)*IF(AG38="是",$AQ$4,$AQ$3)</f>
        <v>1608</v>
      </c>
      <c r="D38" s="31">
        <f>SUM($B$4:B38)-SUM($C$4:C38)</f>
        <v>50</v>
      </c>
      <c r="E38" s="4" cm="1">
        <f t="array" ref="E38">SUM(VLOOKUP(H38:AD38,$AI$4:$AK$44,3,FALSE))</f>
        <v>610</v>
      </c>
      <c r="F38" s="4">
        <f>SUM($E$4:E38)+SUM($G$4:G38)</f>
        <v>20345</v>
      </c>
      <c r="G38">
        <v>0</v>
      </c>
      <c r="H38" s="37" t="s">
        <v>20</v>
      </c>
      <c r="I38" s="37" t="s">
        <v>20</v>
      </c>
      <c r="J38" s="37" t="s">
        <v>20</v>
      </c>
      <c r="K38" s="41" t="s">
        <v>12</v>
      </c>
      <c r="L38" s="37" t="s">
        <v>20</v>
      </c>
      <c r="M38" s="9" t="s">
        <v>23</v>
      </c>
      <c r="N38" s="18" t="s">
        <v>23</v>
      </c>
      <c r="O38" s="17" t="s">
        <v>23</v>
      </c>
      <c r="P38" s="38" t="s">
        <v>21</v>
      </c>
      <c r="Q38" s="38" t="s">
        <v>21</v>
      </c>
      <c r="R38" s="38" t="s">
        <v>21</v>
      </c>
      <c r="S38" s="38" t="s">
        <v>21</v>
      </c>
      <c r="T38" s="38" t="s">
        <v>21</v>
      </c>
      <c r="U38" s="38" t="s">
        <v>21</v>
      </c>
      <c r="V38" s="18" t="s">
        <v>23</v>
      </c>
      <c r="W38" s="18" t="s">
        <v>23</v>
      </c>
      <c r="X38" s="9" t="s">
        <v>23</v>
      </c>
      <c r="Y38" s="8" t="s">
        <v>23</v>
      </c>
      <c r="Z38" s="8" t="s">
        <v>23</v>
      </c>
      <c r="AA38" s="8" t="s">
        <v>23</v>
      </c>
      <c r="AB38" s="8" t="s">
        <v>23</v>
      </c>
      <c r="AC38" s="8" t="s">
        <v>23</v>
      </c>
      <c r="AD38" s="18" t="s">
        <v>23</v>
      </c>
      <c r="AE38" s="18" t="s">
        <v>23</v>
      </c>
      <c r="AF38" s="49">
        <v>0</v>
      </c>
      <c r="AG38" s="20" t="s">
        <v>31</v>
      </c>
      <c r="AI38" s="32"/>
      <c r="AJ38" s="32"/>
      <c r="AK38" s="32"/>
    </row>
    <row r="39" spans="1:37" x14ac:dyDescent="0.3">
      <c r="A39" s="1">
        <v>44400</v>
      </c>
      <c r="B39">
        <v>1600</v>
      </c>
      <c r="C39" s="4" cm="1">
        <f t="array" ref="C39">(SUM(VLOOKUP(H39:AE39,$AI$4:$AK$44,2,FALSE))+AF39*10)*IF(AG39="是",$AQ$4,$AQ$3)</f>
        <v>1568</v>
      </c>
      <c r="D39" s="31">
        <f>SUM($B$4:B39)-SUM($C$4:C39)</f>
        <v>82</v>
      </c>
      <c r="E39" s="4" cm="1">
        <f t="array" ref="E39">SUM(VLOOKUP(H39:AD39,$AI$4:$AK$44,3,FALSE))</f>
        <v>580</v>
      </c>
      <c r="F39" s="4">
        <f>SUM($E$4:E39)+SUM($G$4:G39)</f>
        <v>20925</v>
      </c>
      <c r="G39">
        <v>0</v>
      </c>
      <c r="H39" s="37" t="s">
        <v>20</v>
      </c>
      <c r="I39" s="37" t="s">
        <v>20</v>
      </c>
      <c r="J39" s="37" t="s">
        <v>20</v>
      </c>
      <c r="K39" s="37" t="s">
        <v>20</v>
      </c>
      <c r="L39" s="9" t="s">
        <v>23</v>
      </c>
      <c r="M39" s="9" t="s">
        <v>23</v>
      </c>
      <c r="N39" s="18" t="s">
        <v>23</v>
      </c>
      <c r="O39" s="17" t="s">
        <v>23</v>
      </c>
      <c r="P39" s="38" t="s">
        <v>21</v>
      </c>
      <c r="Q39" s="38" t="s">
        <v>21</v>
      </c>
      <c r="R39" s="38" t="s">
        <v>21</v>
      </c>
      <c r="S39" s="38" t="s">
        <v>21</v>
      </c>
      <c r="T39" s="38" t="s">
        <v>21</v>
      </c>
      <c r="U39" s="38" t="s">
        <v>21</v>
      </c>
      <c r="V39" s="18" t="s">
        <v>23</v>
      </c>
      <c r="W39" s="18" t="s">
        <v>23</v>
      </c>
      <c r="X39" s="9" t="s">
        <v>23</v>
      </c>
      <c r="Y39" s="8" t="s">
        <v>23</v>
      </c>
      <c r="Z39" s="8" t="s">
        <v>23</v>
      </c>
      <c r="AA39" s="8" t="s">
        <v>23</v>
      </c>
      <c r="AB39" s="8" t="s">
        <v>23</v>
      </c>
      <c r="AC39" s="8" t="s">
        <v>23</v>
      </c>
      <c r="AD39" s="18" t="s">
        <v>23</v>
      </c>
      <c r="AE39" s="18" t="s">
        <v>23</v>
      </c>
      <c r="AF39" s="49">
        <v>0</v>
      </c>
      <c r="AG39" s="20" t="s">
        <v>31</v>
      </c>
      <c r="AI39" s="32"/>
      <c r="AJ39" s="32"/>
      <c r="AK39" s="32"/>
    </row>
    <row r="40" spans="1:37" x14ac:dyDescent="0.3">
      <c r="A40" s="1">
        <v>44401</v>
      </c>
      <c r="B40">
        <v>1600</v>
      </c>
      <c r="C40" s="4" cm="1">
        <f t="array" ref="C40">(SUM(VLOOKUP(H40:AE40,$AI$4:$AK$44,2,FALSE))+AF40*10)*IF(AG40="是",$AQ$4,$AQ$3)</f>
        <v>0</v>
      </c>
      <c r="D40" s="31">
        <f>SUM($B$4:B40)-SUM($C$4:C40)</f>
        <v>1682</v>
      </c>
      <c r="E40" s="4" cm="1">
        <f t="array" ref="E40">SUM(VLOOKUP(H40:AD40,$AI$4:$AK$44,3,FALSE))</f>
        <v>0</v>
      </c>
      <c r="F40" s="4">
        <f>SUM($E$4:E40)+SUM($G$4:G40)</f>
        <v>20925</v>
      </c>
      <c r="G40">
        <v>0</v>
      </c>
      <c r="H40" s="9" t="s">
        <v>23</v>
      </c>
      <c r="I40" s="8" t="s">
        <v>23</v>
      </c>
      <c r="J40" s="8" t="s">
        <v>23</v>
      </c>
      <c r="K40" s="8" t="s">
        <v>23</v>
      </c>
      <c r="L40" s="8" t="s">
        <v>23</v>
      </c>
      <c r="M40" s="8" t="s">
        <v>23</v>
      </c>
      <c r="N40" s="18" t="s">
        <v>23</v>
      </c>
      <c r="O40" s="17" t="s">
        <v>23</v>
      </c>
      <c r="P40" s="9" t="s">
        <v>23</v>
      </c>
      <c r="Q40" s="8" t="s">
        <v>23</v>
      </c>
      <c r="R40" s="8" t="s">
        <v>23</v>
      </c>
      <c r="S40" s="8" t="s">
        <v>23</v>
      </c>
      <c r="T40" s="8" t="s">
        <v>23</v>
      </c>
      <c r="U40" s="8" t="s">
        <v>23</v>
      </c>
      <c r="V40" s="18" t="s">
        <v>23</v>
      </c>
      <c r="W40" s="18" t="s">
        <v>23</v>
      </c>
      <c r="X40" s="9" t="s">
        <v>23</v>
      </c>
      <c r="Y40" s="8" t="s">
        <v>23</v>
      </c>
      <c r="Z40" s="8" t="s">
        <v>23</v>
      </c>
      <c r="AA40" s="8" t="s">
        <v>23</v>
      </c>
      <c r="AB40" s="8" t="s">
        <v>23</v>
      </c>
      <c r="AC40" s="8" t="s">
        <v>23</v>
      </c>
      <c r="AD40" s="18" t="s">
        <v>23</v>
      </c>
      <c r="AE40" s="18" t="s">
        <v>23</v>
      </c>
      <c r="AF40" s="49">
        <v>0</v>
      </c>
      <c r="AG40" s="20" t="s">
        <v>31</v>
      </c>
      <c r="AI40" s="32"/>
      <c r="AJ40" s="32"/>
      <c r="AK40" s="32"/>
    </row>
    <row r="41" spans="1:37" x14ac:dyDescent="0.3">
      <c r="A41" s="1">
        <v>44402</v>
      </c>
      <c r="B41">
        <v>1600</v>
      </c>
      <c r="C41" s="4" cm="1">
        <f t="array" ref="C41">(SUM(VLOOKUP(H41:AE41,$AI$4:$AK$44,2,FALSE))+AF41*10)*IF(AG41="是",$AQ$4,$AQ$3)</f>
        <v>0</v>
      </c>
      <c r="D41" s="31">
        <f>SUM($B$4:B41)-SUM($C$4:C41)</f>
        <v>3282</v>
      </c>
      <c r="E41" s="4" cm="1">
        <f t="array" ref="E41">SUM(VLOOKUP(H41:AD41,$AI$4:$AK$44,3,FALSE))</f>
        <v>0</v>
      </c>
      <c r="F41" s="4">
        <f>SUM($E$4:E41)+SUM($G$4:G41)</f>
        <v>20925</v>
      </c>
      <c r="G41">
        <v>0</v>
      </c>
      <c r="H41" s="9" t="s">
        <v>23</v>
      </c>
      <c r="I41" s="8" t="s">
        <v>23</v>
      </c>
      <c r="J41" s="8" t="s">
        <v>23</v>
      </c>
      <c r="K41" s="8" t="s">
        <v>23</v>
      </c>
      <c r="L41" s="8" t="s">
        <v>23</v>
      </c>
      <c r="M41" s="8" t="s">
        <v>23</v>
      </c>
      <c r="N41" s="18" t="s">
        <v>23</v>
      </c>
      <c r="O41" s="17" t="s">
        <v>23</v>
      </c>
      <c r="P41" s="9" t="s">
        <v>23</v>
      </c>
      <c r="Q41" s="8" t="s">
        <v>23</v>
      </c>
      <c r="R41" s="8" t="s">
        <v>23</v>
      </c>
      <c r="S41" s="8" t="s">
        <v>23</v>
      </c>
      <c r="T41" s="8" t="s">
        <v>23</v>
      </c>
      <c r="U41" s="8" t="s">
        <v>23</v>
      </c>
      <c r="V41" s="18" t="s">
        <v>23</v>
      </c>
      <c r="W41" s="18" t="s">
        <v>23</v>
      </c>
      <c r="X41" s="9" t="s">
        <v>23</v>
      </c>
      <c r="Y41" s="8" t="s">
        <v>23</v>
      </c>
      <c r="Z41" s="8" t="s">
        <v>23</v>
      </c>
      <c r="AA41" s="8" t="s">
        <v>23</v>
      </c>
      <c r="AB41" s="8" t="s">
        <v>23</v>
      </c>
      <c r="AC41" s="8" t="s">
        <v>23</v>
      </c>
      <c r="AD41" s="18" t="s">
        <v>23</v>
      </c>
      <c r="AE41" s="18" t="s">
        <v>23</v>
      </c>
      <c r="AF41" s="49">
        <v>0</v>
      </c>
      <c r="AG41" s="20" t="s">
        <v>31</v>
      </c>
      <c r="AI41" s="32"/>
      <c r="AJ41" s="32"/>
      <c r="AK41" s="32"/>
    </row>
    <row r="42" spans="1:37" x14ac:dyDescent="0.3">
      <c r="A42" s="3">
        <v>44403</v>
      </c>
      <c r="B42" s="4">
        <v>1600</v>
      </c>
      <c r="C42" s="4" cm="1">
        <f t="array" ref="C42">(SUM(VLOOKUP(H42:AE42,$AI$4:$AK$44,2,FALSE))+AF42*10)*IF(AG42="是",$AQ$4,$AQ$3)</f>
        <v>0</v>
      </c>
      <c r="D42" s="30">
        <f>SUM($B$4:B42)-SUM($C$4:C42)</f>
        <v>4882</v>
      </c>
      <c r="E42" s="4" cm="1">
        <f t="array" ref="E42">SUM(VLOOKUP(H42:AD42,$AI$4:$AK$44,3,FALSE))</f>
        <v>0</v>
      </c>
      <c r="F42" s="4">
        <f>SUM($E$4:E42)+SUM($G$4:G42)</f>
        <v>20925</v>
      </c>
      <c r="G42" s="4">
        <v>0</v>
      </c>
      <c r="H42" s="9" t="s">
        <v>23</v>
      </c>
      <c r="I42" s="8" t="s">
        <v>23</v>
      </c>
      <c r="J42" s="8" t="s">
        <v>23</v>
      </c>
      <c r="K42" s="8" t="s">
        <v>23</v>
      </c>
      <c r="L42" s="8" t="s">
        <v>23</v>
      </c>
      <c r="M42" s="8" t="s">
        <v>23</v>
      </c>
      <c r="N42" s="18" t="s">
        <v>23</v>
      </c>
      <c r="O42" s="17" t="s">
        <v>23</v>
      </c>
      <c r="P42" s="9" t="s">
        <v>23</v>
      </c>
      <c r="Q42" s="8" t="s">
        <v>23</v>
      </c>
      <c r="R42" s="8" t="s">
        <v>23</v>
      </c>
      <c r="S42" s="8" t="s">
        <v>23</v>
      </c>
      <c r="T42" s="8" t="s">
        <v>23</v>
      </c>
      <c r="U42" s="8" t="s">
        <v>23</v>
      </c>
      <c r="V42" s="18" t="s">
        <v>23</v>
      </c>
      <c r="W42" s="18" t="s">
        <v>23</v>
      </c>
      <c r="X42" s="9" t="s">
        <v>23</v>
      </c>
      <c r="Y42" s="8" t="s">
        <v>23</v>
      </c>
      <c r="Z42" s="8" t="s">
        <v>23</v>
      </c>
      <c r="AA42" s="8" t="s">
        <v>23</v>
      </c>
      <c r="AB42" s="8" t="s">
        <v>23</v>
      </c>
      <c r="AC42" s="8" t="s">
        <v>23</v>
      </c>
      <c r="AD42" s="18" t="s">
        <v>23</v>
      </c>
      <c r="AE42" s="18" t="s">
        <v>23</v>
      </c>
      <c r="AF42" s="49">
        <v>0</v>
      </c>
      <c r="AG42" s="20" t="s">
        <v>31</v>
      </c>
      <c r="AI42" s="32"/>
      <c r="AJ42" s="32"/>
      <c r="AK42" s="32"/>
    </row>
    <row r="43" spans="1:37" x14ac:dyDescent="0.3">
      <c r="A43" s="3">
        <v>44404</v>
      </c>
      <c r="B43" s="4">
        <v>1600</v>
      </c>
      <c r="C43" s="4" cm="1">
        <f t="array" ref="C43">(SUM(VLOOKUP(H43:AE43,$AI$4:$AK$44,2,FALSE))+AF43*10)*IF(AG43="是",$AQ$4,$AQ$3)</f>
        <v>0</v>
      </c>
      <c r="D43" s="30">
        <f>SUM($B$4:B43)-SUM($C$4:C43)</f>
        <v>6482</v>
      </c>
      <c r="E43" s="4" cm="1">
        <f t="array" ref="E43">SUM(VLOOKUP(H43:AD43,$AI$4:$AK$44,3,FALSE))</f>
        <v>0</v>
      </c>
      <c r="F43" s="4">
        <f>SUM($E$4:E43)+SUM($G$4:G43)</f>
        <v>20925</v>
      </c>
      <c r="G43" s="4">
        <v>0</v>
      </c>
      <c r="H43" s="9" t="s">
        <v>23</v>
      </c>
      <c r="I43" s="8" t="s">
        <v>23</v>
      </c>
      <c r="J43" s="8" t="s">
        <v>23</v>
      </c>
      <c r="K43" s="8" t="s">
        <v>23</v>
      </c>
      <c r="L43" s="8" t="s">
        <v>23</v>
      </c>
      <c r="M43" s="8" t="s">
        <v>23</v>
      </c>
      <c r="N43" s="18" t="s">
        <v>23</v>
      </c>
      <c r="O43" s="17" t="s">
        <v>23</v>
      </c>
      <c r="P43" s="9" t="s">
        <v>23</v>
      </c>
      <c r="Q43" s="8" t="s">
        <v>23</v>
      </c>
      <c r="R43" s="8" t="s">
        <v>23</v>
      </c>
      <c r="S43" s="8" t="s">
        <v>23</v>
      </c>
      <c r="T43" s="8" t="s">
        <v>23</v>
      </c>
      <c r="U43" s="8" t="s">
        <v>23</v>
      </c>
      <c r="V43" s="18" t="s">
        <v>23</v>
      </c>
      <c r="W43" s="18" t="s">
        <v>23</v>
      </c>
      <c r="X43" s="9" t="s">
        <v>23</v>
      </c>
      <c r="Y43" s="8" t="s">
        <v>23</v>
      </c>
      <c r="Z43" s="8" t="s">
        <v>23</v>
      </c>
      <c r="AA43" s="8" t="s">
        <v>23</v>
      </c>
      <c r="AB43" s="8" t="s">
        <v>23</v>
      </c>
      <c r="AC43" s="8" t="s">
        <v>23</v>
      </c>
      <c r="AD43" s="18" t="s">
        <v>23</v>
      </c>
      <c r="AE43" s="18" t="s">
        <v>23</v>
      </c>
      <c r="AF43" s="49">
        <v>0</v>
      </c>
      <c r="AG43" s="20" t="s">
        <v>31</v>
      </c>
      <c r="AI43" s="32"/>
      <c r="AJ43" s="32"/>
      <c r="AK43" s="32"/>
    </row>
    <row r="44" spans="1:37" x14ac:dyDescent="0.3">
      <c r="A44" s="3">
        <v>44405</v>
      </c>
      <c r="B44" s="4">
        <v>1600</v>
      </c>
      <c r="C44" s="4" cm="1">
        <f t="array" ref="C44">(SUM(VLOOKUP(H44:AE44,$AI$4:$AK$44,2,FALSE))+AF44*10)*IF(AG44="是",$AQ$4,$AQ$3)</f>
        <v>0</v>
      </c>
      <c r="D44" s="30">
        <f>SUM($B$4:B44)-SUM($C$4:C44)</f>
        <v>8082</v>
      </c>
      <c r="E44" s="4" cm="1">
        <f t="array" ref="E44">SUM(VLOOKUP(H44:AD44,$AI$4:$AK$44,3,FALSE))</f>
        <v>0</v>
      </c>
      <c r="F44" s="4">
        <f>SUM($E$4:E44)+SUM($G$4:G44)</f>
        <v>20925</v>
      </c>
      <c r="G44" s="4">
        <v>0</v>
      </c>
      <c r="H44" s="9" t="s">
        <v>23</v>
      </c>
      <c r="I44" s="8" t="s">
        <v>23</v>
      </c>
      <c r="J44" s="8" t="s">
        <v>23</v>
      </c>
      <c r="K44" s="8" t="s">
        <v>23</v>
      </c>
      <c r="L44" s="8" t="s">
        <v>23</v>
      </c>
      <c r="M44" s="8" t="s">
        <v>23</v>
      </c>
      <c r="N44" s="18" t="s">
        <v>23</v>
      </c>
      <c r="O44" s="17" t="s">
        <v>23</v>
      </c>
      <c r="P44" s="9" t="s">
        <v>23</v>
      </c>
      <c r="Q44" s="8" t="s">
        <v>23</v>
      </c>
      <c r="R44" s="8" t="s">
        <v>23</v>
      </c>
      <c r="S44" s="8" t="s">
        <v>23</v>
      </c>
      <c r="T44" s="8" t="s">
        <v>23</v>
      </c>
      <c r="U44" s="8" t="s">
        <v>23</v>
      </c>
      <c r="V44" s="18" t="s">
        <v>23</v>
      </c>
      <c r="W44" s="18" t="s">
        <v>23</v>
      </c>
      <c r="X44" s="9" t="s">
        <v>23</v>
      </c>
      <c r="Y44" s="8" t="s">
        <v>23</v>
      </c>
      <c r="Z44" s="8" t="s">
        <v>23</v>
      </c>
      <c r="AA44" s="8" t="s">
        <v>23</v>
      </c>
      <c r="AB44" s="8" t="s">
        <v>23</v>
      </c>
      <c r="AC44" s="8" t="s">
        <v>23</v>
      </c>
      <c r="AD44" s="18" t="s">
        <v>23</v>
      </c>
      <c r="AE44" s="18" t="s">
        <v>23</v>
      </c>
      <c r="AF44" s="49">
        <v>0</v>
      </c>
      <c r="AG44" s="20" t="s">
        <v>31</v>
      </c>
      <c r="AI44" s="32"/>
      <c r="AJ44" s="32"/>
      <c r="AK44" s="32"/>
    </row>
    <row r="45" spans="1:37" x14ac:dyDescent="0.3">
      <c r="A45" s="3">
        <v>44406</v>
      </c>
      <c r="B45" s="4">
        <v>1600</v>
      </c>
      <c r="C45" s="4" cm="1">
        <f t="array" ref="C45">(SUM(VLOOKUP(H45:AE45,$AI$4:$AK$44,2,FALSE))+AF45*10)*IF(AG45="是",$AQ$4,$AQ$3)</f>
        <v>0</v>
      </c>
      <c r="D45" s="30">
        <f>SUM($B$4:B45)-SUM($C$4:C45)</f>
        <v>9682</v>
      </c>
      <c r="E45" s="4" cm="1">
        <f t="array" ref="E45">SUM(VLOOKUP(H45:AD45,$AI$4:$AK$44,3,FALSE))</f>
        <v>0</v>
      </c>
      <c r="F45" s="4">
        <f>SUM($E$4:E45)+SUM($G$4:G45)</f>
        <v>20925</v>
      </c>
      <c r="G45" s="4">
        <v>0</v>
      </c>
      <c r="H45" s="9" t="s">
        <v>23</v>
      </c>
      <c r="I45" s="8" t="s">
        <v>23</v>
      </c>
      <c r="J45" s="8" t="s">
        <v>23</v>
      </c>
      <c r="K45" s="8" t="s">
        <v>23</v>
      </c>
      <c r="L45" s="8" t="s">
        <v>23</v>
      </c>
      <c r="M45" s="8" t="s">
        <v>23</v>
      </c>
      <c r="N45" s="18" t="s">
        <v>23</v>
      </c>
      <c r="O45" s="17" t="s">
        <v>23</v>
      </c>
      <c r="P45" s="9" t="s">
        <v>23</v>
      </c>
      <c r="Q45" s="8" t="s">
        <v>23</v>
      </c>
      <c r="R45" s="8" t="s">
        <v>23</v>
      </c>
      <c r="S45" s="8" t="s">
        <v>23</v>
      </c>
      <c r="T45" s="8" t="s">
        <v>23</v>
      </c>
      <c r="U45" s="8" t="s">
        <v>23</v>
      </c>
      <c r="V45" s="18" t="s">
        <v>23</v>
      </c>
      <c r="W45" s="18" t="s">
        <v>23</v>
      </c>
      <c r="X45" s="9" t="s">
        <v>23</v>
      </c>
      <c r="Y45" s="8" t="s">
        <v>23</v>
      </c>
      <c r="Z45" s="8" t="s">
        <v>23</v>
      </c>
      <c r="AA45" s="8" t="s">
        <v>23</v>
      </c>
      <c r="AB45" s="8" t="s">
        <v>23</v>
      </c>
      <c r="AC45" s="8" t="s">
        <v>23</v>
      </c>
      <c r="AD45" s="18" t="s">
        <v>23</v>
      </c>
      <c r="AE45" s="18" t="s">
        <v>23</v>
      </c>
      <c r="AF45" s="49">
        <v>0</v>
      </c>
      <c r="AG45" s="20" t="s">
        <v>31</v>
      </c>
    </row>
    <row r="46" spans="1:37" x14ac:dyDescent="0.3">
      <c r="A46" s="3">
        <v>44407</v>
      </c>
      <c r="B46" s="4">
        <v>1600</v>
      </c>
      <c r="C46" s="4" cm="1">
        <f t="array" ref="C46">(SUM(VLOOKUP(H46:AE46,$AI$4:$AK$44,2,FALSE))+AF46*10)*IF(AG46="是",$AQ$4,$AQ$3)</f>
        <v>0</v>
      </c>
      <c r="D46" s="30">
        <f>SUM($B$4:B46)-SUM($C$4:C46)</f>
        <v>11282</v>
      </c>
      <c r="E46" s="4" cm="1">
        <f t="array" ref="E46">SUM(VLOOKUP(H46:AD46,$AI$4:$AK$44,3,FALSE))</f>
        <v>0</v>
      </c>
      <c r="F46" s="4">
        <f>SUM($E$4:E46)+SUM($G$4:G46)</f>
        <v>20925</v>
      </c>
      <c r="G46" s="4">
        <v>0</v>
      </c>
      <c r="H46" s="9" t="s">
        <v>23</v>
      </c>
      <c r="I46" s="8" t="s">
        <v>23</v>
      </c>
      <c r="J46" s="8" t="s">
        <v>23</v>
      </c>
      <c r="K46" s="8" t="s">
        <v>23</v>
      </c>
      <c r="L46" s="8" t="s">
        <v>23</v>
      </c>
      <c r="M46" s="8" t="s">
        <v>23</v>
      </c>
      <c r="N46" s="18" t="s">
        <v>23</v>
      </c>
      <c r="O46" s="17" t="s">
        <v>23</v>
      </c>
      <c r="P46" s="9" t="s">
        <v>23</v>
      </c>
      <c r="Q46" s="8" t="s">
        <v>23</v>
      </c>
      <c r="R46" s="8" t="s">
        <v>23</v>
      </c>
      <c r="S46" s="8" t="s">
        <v>23</v>
      </c>
      <c r="T46" s="8" t="s">
        <v>23</v>
      </c>
      <c r="U46" s="8" t="s">
        <v>23</v>
      </c>
      <c r="V46" s="18" t="s">
        <v>23</v>
      </c>
      <c r="W46" s="18" t="s">
        <v>23</v>
      </c>
      <c r="X46" s="9" t="s">
        <v>23</v>
      </c>
      <c r="Y46" s="8" t="s">
        <v>23</v>
      </c>
      <c r="Z46" s="8" t="s">
        <v>23</v>
      </c>
      <c r="AA46" s="8" t="s">
        <v>23</v>
      </c>
      <c r="AB46" s="8" t="s">
        <v>23</v>
      </c>
      <c r="AC46" s="8" t="s">
        <v>23</v>
      </c>
      <c r="AD46" s="18" t="s">
        <v>23</v>
      </c>
      <c r="AE46" s="18" t="s">
        <v>23</v>
      </c>
      <c r="AF46" s="49">
        <v>0</v>
      </c>
      <c r="AG46" s="20" t="s">
        <v>31</v>
      </c>
    </row>
    <row r="47" spans="1:37" x14ac:dyDescent="0.3">
      <c r="A47" s="3">
        <v>44408</v>
      </c>
      <c r="B47" s="4">
        <v>1600</v>
      </c>
      <c r="C47" s="4" cm="1">
        <f t="array" ref="C47">(SUM(VLOOKUP(H47:AE47,$AI$4:$AK$44,2,FALSE))+AF47*10)*IF(AG47="是",$AQ$4,$AQ$3)</f>
        <v>0</v>
      </c>
      <c r="D47" s="30">
        <f>SUM($B$4:B47)-SUM($C$4:C47)</f>
        <v>12882</v>
      </c>
      <c r="E47" s="4" cm="1">
        <f t="array" ref="E47">SUM(VLOOKUP(H47:AD47,$AI$4:$AK$44,3,FALSE))</f>
        <v>0</v>
      </c>
      <c r="F47" s="4">
        <f>SUM($E$4:E47)+SUM($G$4:G47)</f>
        <v>20925</v>
      </c>
      <c r="G47" s="4">
        <v>0</v>
      </c>
      <c r="H47" s="9" t="s">
        <v>23</v>
      </c>
      <c r="I47" s="8" t="s">
        <v>23</v>
      </c>
      <c r="J47" s="8" t="s">
        <v>23</v>
      </c>
      <c r="K47" s="8" t="s">
        <v>23</v>
      </c>
      <c r="L47" s="8" t="s">
        <v>23</v>
      </c>
      <c r="M47" s="8" t="s">
        <v>23</v>
      </c>
      <c r="N47" s="18" t="s">
        <v>23</v>
      </c>
      <c r="O47" s="17" t="s">
        <v>23</v>
      </c>
      <c r="P47" s="9" t="s">
        <v>23</v>
      </c>
      <c r="Q47" s="8" t="s">
        <v>23</v>
      </c>
      <c r="R47" s="8" t="s">
        <v>23</v>
      </c>
      <c r="S47" s="8" t="s">
        <v>23</v>
      </c>
      <c r="T47" s="8" t="s">
        <v>23</v>
      </c>
      <c r="U47" s="8" t="s">
        <v>23</v>
      </c>
      <c r="V47" s="18" t="s">
        <v>23</v>
      </c>
      <c r="W47" s="18" t="s">
        <v>23</v>
      </c>
      <c r="X47" s="9" t="s">
        <v>23</v>
      </c>
      <c r="Y47" s="8" t="s">
        <v>23</v>
      </c>
      <c r="Z47" s="8" t="s">
        <v>23</v>
      </c>
      <c r="AA47" s="8" t="s">
        <v>23</v>
      </c>
      <c r="AB47" s="8" t="s">
        <v>23</v>
      </c>
      <c r="AC47" s="8" t="s">
        <v>23</v>
      </c>
      <c r="AD47" s="18" t="s">
        <v>23</v>
      </c>
      <c r="AE47" s="18" t="s">
        <v>23</v>
      </c>
      <c r="AF47" s="49">
        <v>0</v>
      </c>
      <c r="AG47" s="20" t="s">
        <v>31</v>
      </c>
    </row>
    <row r="48" spans="1:37" x14ac:dyDescent="0.3">
      <c r="A48" s="3">
        <v>44409</v>
      </c>
      <c r="B48" s="4">
        <v>1600</v>
      </c>
      <c r="C48" s="4" cm="1">
        <f t="array" ref="C48">(SUM(VLOOKUP(H48:AE48,$AI$4:$AK$44,2,FALSE))+AF48*10)*IF(AG48="是",$AQ$4,$AQ$3)</f>
        <v>0</v>
      </c>
      <c r="D48" s="30">
        <f>SUM($B$4:B48)-SUM($C$4:C48)</f>
        <v>14482</v>
      </c>
      <c r="E48" s="4" cm="1">
        <f t="array" ref="E48">SUM(VLOOKUP(H48:AD48,$AI$4:$AK$44,3,FALSE))</f>
        <v>0</v>
      </c>
      <c r="F48" s="4">
        <f>SUM($E$4:E48)+SUM($G$4:G48)</f>
        <v>20925</v>
      </c>
      <c r="G48" s="4">
        <v>0</v>
      </c>
      <c r="H48" s="9" t="s">
        <v>23</v>
      </c>
      <c r="I48" s="8" t="s">
        <v>23</v>
      </c>
      <c r="J48" s="8" t="s">
        <v>23</v>
      </c>
      <c r="K48" s="8" t="s">
        <v>23</v>
      </c>
      <c r="L48" s="8" t="s">
        <v>23</v>
      </c>
      <c r="M48" s="8" t="s">
        <v>23</v>
      </c>
      <c r="N48" s="18" t="s">
        <v>23</v>
      </c>
      <c r="O48" s="17" t="s">
        <v>23</v>
      </c>
      <c r="P48" s="9" t="s">
        <v>23</v>
      </c>
      <c r="Q48" s="8" t="s">
        <v>23</v>
      </c>
      <c r="R48" s="8" t="s">
        <v>23</v>
      </c>
      <c r="S48" s="8" t="s">
        <v>23</v>
      </c>
      <c r="T48" s="8" t="s">
        <v>23</v>
      </c>
      <c r="U48" s="8" t="s">
        <v>23</v>
      </c>
      <c r="V48" s="18" t="s">
        <v>23</v>
      </c>
      <c r="W48" s="18" t="s">
        <v>23</v>
      </c>
      <c r="X48" s="9" t="s">
        <v>23</v>
      </c>
      <c r="Y48" s="8" t="s">
        <v>23</v>
      </c>
      <c r="Z48" s="8" t="s">
        <v>23</v>
      </c>
      <c r="AA48" s="8" t="s">
        <v>23</v>
      </c>
      <c r="AB48" s="8" t="s">
        <v>23</v>
      </c>
      <c r="AC48" s="8" t="s">
        <v>23</v>
      </c>
      <c r="AD48" s="18" t="s">
        <v>23</v>
      </c>
      <c r="AE48" s="18" t="s">
        <v>23</v>
      </c>
      <c r="AF48" s="49">
        <v>0</v>
      </c>
      <c r="AG48" s="20" t="s">
        <v>31</v>
      </c>
    </row>
    <row r="49" spans="1:33" x14ac:dyDescent="0.3">
      <c r="A49" s="1">
        <v>44410</v>
      </c>
      <c r="B49">
        <v>1600</v>
      </c>
      <c r="C49" s="4" cm="1">
        <f t="array" ref="C49">(SUM(VLOOKUP(H49:AE49,$AI$4:$AK$44,2,FALSE))+AF49*10)*IF(AG49="是",$AQ$4,$AQ$3)</f>
        <v>0</v>
      </c>
      <c r="D49" s="31">
        <f>SUM($B$4:B49)-SUM($C$4:C49)</f>
        <v>16082</v>
      </c>
      <c r="E49" s="4" cm="1">
        <f t="array" ref="E49">SUM(VLOOKUP(H49:AD49,$AI$4:$AK$44,3,FALSE))</f>
        <v>0</v>
      </c>
      <c r="F49" s="4">
        <f>SUM($E$4:E49)+SUM($G$4:G49)</f>
        <v>20925</v>
      </c>
      <c r="G49">
        <v>0</v>
      </c>
      <c r="H49" s="9" t="s">
        <v>23</v>
      </c>
      <c r="I49" s="8" t="s">
        <v>23</v>
      </c>
      <c r="J49" s="8" t="s">
        <v>23</v>
      </c>
      <c r="K49" s="8" t="s">
        <v>23</v>
      </c>
      <c r="L49" s="8" t="s">
        <v>23</v>
      </c>
      <c r="M49" s="8" t="s">
        <v>23</v>
      </c>
      <c r="N49" s="18" t="s">
        <v>23</v>
      </c>
      <c r="O49" s="17" t="s">
        <v>23</v>
      </c>
      <c r="P49" s="9" t="s">
        <v>23</v>
      </c>
      <c r="Q49" s="8" t="s">
        <v>23</v>
      </c>
      <c r="R49" s="8" t="s">
        <v>23</v>
      </c>
      <c r="S49" s="8" t="s">
        <v>23</v>
      </c>
      <c r="T49" s="8" t="s">
        <v>23</v>
      </c>
      <c r="U49" s="8" t="s">
        <v>23</v>
      </c>
      <c r="V49" s="18" t="s">
        <v>23</v>
      </c>
      <c r="W49" s="18" t="s">
        <v>23</v>
      </c>
      <c r="X49" s="9" t="s">
        <v>23</v>
      </c>
      <c r="Y49" s="8" t="s">
        <v>23</v>
      </c>
      <c r="Z49" s="8" t="s">
        <v>23</v>
      </c>
      <c r="AA49" s="8" t="s">
        <v>23</v>
      </c>
      <c r="AB49" s="8" t="s">
        <v>23</v>
      </c>
      <c r="AC49" s="8" t="s">
        <v>23</v>
      </c>
      <c r="AD49" s="18" t="s">
        <v>23</v>
      </c>
      <c r="AE49" s="18" t="s">
        <v>23</v>
      </c>
      <c r="AF49" s="49">
        <v>0</v>
      </c>
      <c r="AG49" s="20" t="s">
        <v>31</v>
      </c>
    </row>
    <row r="50" spans="1:33" x14ac:dyDescent="0.3">
      <c r="A50" s="1">
        <v>44411</v>
      </c>
      <c r="B50">
        <v>1600</v>
      </c>
      <c r="C50" s="4" cm="1">
        <f t="array" ref="C50">(SUM(VLOOKUP(H50:AE50,$AI$4:$AK$44,2,FALSE))+AF50*10)*IF(AG50="是",$AQ$4,$AQ$3)</f>
        <v>0</v>
      </c>
      <c r="D50" s="31">
        <f>SUM($B$4:B50)-SUM($C$4:C50)</f>
        <v>17682</v>
      </c>
      <c r="E50" s="4" cm="1">
        <f t="array" ref="E50">SUM(VLOOKUP(H50:AD50,$AI$4:$AK$44,3,FALSE))</f>
        <v>0</v>
      </c>
      <c r="F50" s="4">
        <f>SUM($E$4:E50)+SUM($G$4:G50)</f>
        <v>20925</v>
      </c>
      <c r="G50">
        <v>0</v>
      </c>
      <c r="H50" s="9" t="s">
        <v>23</v>
      </c>
      <c r="I50" s="8" t="s">
        <v>23</v>
      </c>
      <c r="J50" s="8" t="s">
        <v>23</v>
      </c>
      <c r="K50" s="8" t="s">
        <v>23</v>
      </c>
      <c r="L50" s="8" t="s">
        <v>23</v>
      </c>
      <c r="M50" s="8" t="s">
        <v>23</v>
      </c>
      <c r="N50" s="18" t="s">
        <v>23</v>
      </c>
      <c r="O50" s="17" t="s">
        <v>23</v>
      </c>
      <c r="P50" s="9" t="s">
        <v>23</v>
      </c>
      <c r="Q50" s="8" t="s">
        <v>23</v>
      </c>
      <c r="R50" s="8" t="s">
        <v>23</v>
      </c>
      <c r="S50" s="8" t="s">
        <v>23</v>
      </c>
      <c r="T50" s="8" t="s">
        <v>23</v>
      </c>
      <c r="U50" s="8" t="s">
        <v>23</v>
      </c>
      <c r="V50" s="18" t="s">
        <v>23</v>
      </c>
      <c r="W50" s="18" t="s">
        <v>23</v>
      </c>
      <c r="X50" s="9" t="s">
        <v>23</v>
      </c>
      <c r="Y50" s="8" t="s">
        <v>23</v>
      </c>
      <c r="Z50" s="8" t="s">
        <v>23</v>
      </c>
      <c r="AA50" s="8" t="s">
        <v>23</v>
      </c>
      <c r="AB50" s="8" t="s">
        <v>23</v>
      </c>
      <c r="AC50" s="8" t="s">
        <v>23</v>
      </c>
      <c r="AD50" s="18" t="s">
        <v>23</v>
      </c>
      <c r="AE50" s="18" t="s">
        <v>23</v>
      </c>
      <c r="AF50" s="49">
        <v>0</v>
      </c>
      <c r="AG50" s="20" t="s">
        <v>31</v>
      </c>
    </row>
    <row r="51" spans="1:33" x14ac:dyDescent="0.3">
      <c r="A51" s="1">
        <v>44412</v>
      </c>
      <c r="B51">
        <v>1600</v>
      </c>
      <c r="C51" s="4" cm="1">
        <f t="array" ref="C51">(SUM(VLOOKUP(H51:AE51,$AI$4:$AK$44,2,FALSE))+AF51*10)*IF(AG51="是",$AQ$4,$AQ$3)</f>
        <v>0</v>
      </c>
      <c r="D51" s="31">
        <f>SUM($B$4:B51)-SUM($C$4:C51)</f>
        <v>19282</v>
      </c>
      <c r="E51" s="4" cm="1">
        <f t="array" ref="E51">SUM(VLOOKUP(H51:AD51,$AI$4:$AK$44,3,FALSE))</f>
        <v>0</v>
      </c>
      <c r="F51" s="4">
        <f>SUM($E$4:E51)+SUM($G$4:G51)</f>
        <v>20925</v>
      </c>
      <c r="G51">
        <v>0</v>
      </c>
      <c r="H51" s="9" t="s">
        <v>23</v>
      </c>
      <c r="I51" s="8" t="s">
        <v>23</v>
      </c>
      <c r="J51" s="8" t="s">
        <v>23</v>
      </c>
      <c r="K51" s="8" t="s">
        <v>23</v>
      </c>
      <c r="L51" s="8" t="s">
        <v>23</v>
      </c>
      <c r="M51" s="8" t="s">
        <v>23</v>
      </c>
      <c r="N51" s="18" t="s">
        <v>23</v>
      </c>
      <c r="O51" s="17" t="s">
        <v>23</v>
      </c>
      <c r="P51" s="9" t="s">
        <v>23</v>
      </c>
      <c r="Q51" s="8" t="s">
        <v>23</v>
      </c>
      <c r="R51" s="8" t="s">
        <v>23</v>
      </c>
      <c r="S51" s="8" t="s">
        <v>23</v>
      </c>
      <c r="T51" s="8" t="s">
        <v>23</v>
      </c>
      <c r="U51" s="8" t="s">
        <v>23</v>
      </c>
      <c r="V51" s="18" t="s">
        <v>23</v>
      </c>
      <c r="W51" s="18" t="s">
        <v>23</v>
      </c>
      <c r="X51" s="9" t="s">
        <v>23</v>
      </c>
      <c r="Y51" s="8" t="s">
        <v>23</v>
      </c>
      <c r="Z51" s="8" t="s">
        <v>23</v>
      </c>
      <c r="AA51" s="8" t="s">
        <v>23</v>
      </c>
      <c r="AB51" s="8" t="s">
        <v>23</v>
      </c>
      <c r="AC51" s="8" t="s">
        <v>23</v>
      </c>
      <c r="AD51" s="18" t="s">
        <v>23</v>
      </c>
      <c r="AE51" s="18" t="s">
        <v>23</v>
      </c>
      <c r="AF51" s="49">
        <v>0</v>
      </c>
      <c r="AG51" s="20" t="s">
        <v>31</v>
      </c>
    </row>
    <row r="52" spans="1:33" x14ac:dyDescent="0.3">
      <c r="A52" s="1">
        <v>44413</v>
      </c>
      <c r="B52">
        <v>1600</v>
      </c>
      <c r="C52" s="4" cm="1">
        <f t="array" ref="C52">(SUM(VLOOKUP(H52:AE52,$AI$4:$AK$44,2,FALSE))+AF52*10)*IF(AG52="是",$AQ$4,$AQ$3)</f>
        <v>0</v>
      </c>
      <c r="D52" s="31">
        <f>SUM($B$4:B52)-SUM($C$4:C52)</f>
        <v>20882</v>
      </c>
      <c r="E52" s="4" cm="1">
        <f t="array" ref="E52">SUM(VLOOKUP(H52:AD52,$AI$4:$AK$44,3,FALSE))</f>
        <v>0</v>
      </c>
      <c r="F52" s="4">
        <f>SUM($E$4:E52)+SUM($G$4:G52)</f>
        <v>20925</v>
      </c>
      <c r="G52">
        <v>0</v>
      </c>
      <c r="H52" s="9" t="s">
        <v>23</v>
      </c>
      <c r="I52" s="8" t="s">
        <v>23</v>
      </c>
      <c r="J52" s="8" t="s">
        <v>23</v>
      </c>
      <c r="K52" s="8" t="s">
        <v>23</v>
      </c>
      <c r="L52" s="8" t="s">
        <v>23</v>
      </c>
      <c r="M52" s="8" t="s">
        <v>23</v>
      </c>
      <c r="N52" s="18" t="s">
        <v>23</v>
      </c>
      <c r="O52" s="17" t="s">
        <v>23</v>
      </c>
      <c r="P52" s="9" t="s">
        <v>23</v>
      </c>
      <c r="Q52" s="8" t="s">
        <v>23</v>
      </c>
      <c r="R52" s="8" t="s">
        <v>23</v>
      </c>
      <c r="S52" s="8" t="s">
        <v>23</v>
      </c>
      <c r="T52" s="8" t="s">
        <v>23</v>
      </c>
      <c r="U52" s="8" t="s">
        <v>23</v>
      </c>
      <c r="V52" s="18" t="s">
        <v>23</v>
      </c>
      <c r="W52" s="18" t="s">
        <v>23</v>
      </c>
      <c r="X52" s="9" t="s">
        <v>23</v>
      </c>
      <c r="Y52" s="8" t="s">
        <v>23</v>
      </c>
      <c r="Z52" s="8" t="s">
        <v>23</v>
      </c>
      <c r="AA52" s="8" t="s">
        <v>23</v>
      </c>
      <c r="AB52" s="8" t="s">
        <v>23</v>
      </c>
      <c r="AC52" s="8" t="s">
        <v>23</v>
      </c>
      <c r="AD52" s="18" t="s">
        <v>23</v>
      </c>
      <c r="AE52" s="18" t="s">
        <v>23</v>
      </c>
      <c r="AF52" s="49">
        <v>0</v>
      </c>
      <c r="AG52" s="20" t="s">
        <v>31</v>
      </c>
    </row>
    <row r="53" spans="1:33" x14ac:dyDescent="0.3">
      <c r="A53" s="1">
        <v>44414</v>
      </c>
      <c r="B53">
        <v>1600</v>
      </c>
      <c r="C53" s="4" cm="1">
        <f t="array" ref="C53">(SUM(VLOOKUP(H53:AE53,$AI$4:$AK$44,2,FALSE))+AF53*10)*IF(AG53="是",$AQ$4,$AQ$3)</f>
        <v>0</v>
      </c>
      <c r="D53" s="31">
        <f>SUM($B$4:B53)-SUM($C$4:C53)</f>
        <v>22482</v>
      </c>
      <c r="E53" s="4" cm="1">
        <f t="array" ref="E53">SUM(VLOOKUP(H53:AD53,$AI$4:$AK$44,3,FALSE))</f>
        <v>0</v>
      </c>
      <c r="F53" s="4">
        <f>SUM($E$4:E53)+SUM($G$4:G53)</f>
        <v>20925</v>
      </c>
      <c r="G53">
        <v>0</v>
      </c>
      <c r="H53" s="9" t="s">
        <v>23</v>
      </c>
      <c r="I53" s="8" t="s">
        <v>23</v>
      </c>
      <c r="J53" s="8" t="s">
        <v>23</v>
      </c>
      <c r="K53" s="8" t="s">
        <v>23</v>
      </c>
      <c r="L53" s="8" t="s">
        <v>23</v>
      </c>
      <c r="M53" s="8" t="s">
        <v>23</v>
      </c>
      <c r="N53" s="18" t="s">
        <v>23</v>
      </c>
      <c r="O53" s="17" t="s">
        <v>23</v>
      </c>
      <c r="P53" s="9" t="s">
        <v>23</v>
      </c>
      <c r="Q53" s="8" t="s">
        <v>23</v>
      </c>
      <c r="R53" s="8" t="s">
        <v>23</v>
      </c>
      <c r="S53" s="8" t="s">
        <v>23</v>
      </c>
      <c r="T53" s="8" t="s">
        <v>23</v>
      </c>
      <c r="U53" s="8" t="s">
        <v>23</v>
      </c>
      <c r="V53" s="18" t="s">
        <v>23</v>
      </c>
      <c r="W53" s="18" t="s">
        <v>23</v>
      </c>
      <c r="X53" s="9" t="s">
        <v>23</v>
      </c>
      <c r="Y53" s="8" t="s">
        <v>23</v>
      </c>
      <c r="Z53" s="8" t="s">
        <v>23</v>
      </c>
      <c r="AA53" s="8" t="s">
        <v>23</v>
      </c>
      <c r="AB53" s="8" t="s">
        <v>23</v>
      </c>
      <c r="AC53" s="8" t="s">
        <v>23</v>
      </c>
      <c r="AD53" s="18" t="s">
        <v>23</v>
      </c>
      <c r="AE53" s="18" t="s">
        <v>23</v>
      </c>
      <c r="AF53" s="49">
        <v>0</v>
      </c>
      <c r="AG53" s="20" t="s">
        <v>31</v>
      </c>
    </row>
    <row r="54" spans="1:33" x14ac:dyDescent="0.3">
      <c r="A54" s="1">
        <v>44415</v>
      </c>
      <c r="B54">
        <v>1600</v>
      </c>
      <c r="C54" s="4" cm="1">
        <f t="array" ref="C54">(SUM(VLOOKUP(H54:AE54,$AI$4:$AK$44,2,FALSE))+AF54*10)*IF(AG54="是",$AQ$4,$AQ$3)</f>
        <v>0</v>
      </c>
      <c r="D54" s="31">
        <f>SUM($B$4:B54)-SUM($C$4:C54)</f>
        <v>24082</v>
      </c>
      <c r="E54" s="4" cm="1">
        <f t="array" ref="E54">SUM(VLOOKUP(H54:AD54,$AI$4:$AK$44,3,FALSE))</f>
        <v>0</v>
      </c>
      <c r="F54" s="4">
        <f>SUM($E$4:E54)+SUM($G$4:G54)</f>
        <v>20925</v>
      </c>
      <c r="G54">
        <v>0</v>
      </c>
      <c r="H54" s="9" t="s">
        <v>23</v>
      </c>
      <c r="I54" s="8" t="s">
        <v>23</v>
      </c>
      <c r="J54" s="8" t="s">
        <v>23</v>
      </c>
      <c r="K54" s="8" t="s">
        <v>23</v>
      </c>
      <c r="L54" s="8" t="s">
        <v>23</v>
      </c>
      <c r="M54" s="8" t="s">
        <v>23</v>
      </c>
      <c r="N54" s="18" t="s">
        <v>23</v>
      </c>
      <c r="O54" s="17" t="s">
        <v>23</v>
      </c>
      <c r="P54" s="9" t="s">
        <v>23</v>
      </c>
      <c r="Q54" s="8" t="s">
        <v>23</v>
      </c>
      <c r="R54" s="8" t="s">
        <v>23</v>
      </c>
      <c r="S54" s="8" t="s">
        <v>23</v>
      </c>
      <c r="T54" s="8" t="s">
        <v>23</v>
      </c>
      <c r="U54" s="8" t="s">
        <v>23</v>
      </c>
      <c r="V54" s="18" t="s">
        <v>23</v>
      </c>
      <c r="W54" s="18" t="s">
        <v>23</v>
      </c>
      <c r="X54" s="9" t="s">
        <v>23</v>
      </c>
      <c r="Y54" s="8" t="s">
        <v>23</v>
      </c>
      <c r="Z54" s="8" t="s">
        <v>23</v>
      </c>
      <c r="AA54" s="8" t="s">
        <v>23</v>
      </c>
      <c r="AB54" s="8" t="s">
        <v>23</v>
      </c>
      <c r="AC54" s="8" t="s">
        <v>23</v>
      </c>
      <c r="AD54" s="18" t="s">
        <v>23</v>
      </c>
      <c r="AE54" s="18" t="s">
        <v>23</v>
      </c>
      <c r="AF54" s="49">
        <v>0</v>
      </c>
      <c r="AG54" s="20" t="s">
        <v>31</v>
      </c>
    </row>
    <row r="55" spans="1:33" x14ac:dyDescent="0.3">
      <c r="A55" s="1">
        <v>44416</v>
      </c>
      <c r="B55">
        <v>1600</v>
      </c>
      <c r="C55" s="4" cm="1">
        <f t="array" ref="C55">(SUM(VLOOKUP(H55:AE55,$AI$4:$AK$44,2,FALSE))+AF55*10)*IF(AG55="是",$AQ$4,$AQ$3)</f>
        <v>0</v>
      </c>
      <c r="D55" s="31">
        <f>SUM($B$4:B55)-SUM($C$4:C55)</f>
        <v>25682</v>
      </c>
      <c r="E55" s="4" cm="1">
        <f t="array" ref="E55">SUM(VLOOKUP(H55:AD55,$AI$4:$AK$44,3,FALSE))</f>
        <v>0</v>
      </c>
      <c r="F55" s="4">
        <f>SUM($E$4:E55)+SUM($G$4:G55)</f>
        <v>20925</v>
      </c>
      <c r="G55">
        <v>0</v>
      </c>
      <c r="H55" s="9" t="s">
        <v>23</v>
      </c>
      <c r="I55" s="8" t="s">
        <v>23</v>
      </c>
      <c r="J55" s="8" t="s">
        <v>23</v>
      </c>
      <c r="K55" s="8" t="s">
        <v>23</v>
      </c>
      <c r="L55" s="8" t="s">
        <v>23</v>
      </c>
      <c r="M55" s="8" t="s">
        <v>23</v>
      </c>
      <c r="N55" s="18" t="s">
        <v>23</v>
      </c>
      <c r="O55" s="17" t="s">
        <v>23</v>
      </c>
      <c r="P55" s="9" t="s">
        <v>23</v>
      </c>
      <c r="Q55" s="8" t="s">
        <v>23</v>
      </c>
      <c r="R55" s="8" t="s">
        <v>23</v>
      </c>
      <c r="S55" s="8" t="s">
        <v>23</v>
      </c>
      <c r="T55" s="8" t="s">
        <v>23</v>
      </c>
      <c r="U55" s="8" t="s">
        <v>23</v>
      </c>
      <c r="V55" s="18" t="s">
        <v>23</v>
      </c>
      <c r="W55" s="18" t="s">
        <v>23</v>
      </c>
      <c r="X55" s="9" t="s">
        <v>23</v>
      </c>
      <c r="Y55" s="8" t="s">
        <v>23</v>
      </c>
      <c r="Z55" s="8" t="s">
        <v>23</v>
      </c>
      <c r="AA55" s="8" t="s">
        <v>23</v>
      </c>
      <c r="AB55" s="8" t="s">
        <v>23</v>
      </c>
      <c r="AC55" s="8" t="s">
        <v>23</v>
      </c>
      <c r="AD55" s="18" t="s">
        <v>23</v>
      </c>
      <c r="AE55" s="18" t="s">
        <v>23</v>
      </c>
      <c r="AF55" s="49">
        <v>0</v>
      </c>
      <c r="AG55" s="20" t="s">
        <v>31</v>
      </c>
    </row>
    <row r="56" spans="1:33" x14ac:dyDescent="0.3">
      <c r="A56" s="3">
        <v>44417</v>
      </c>
      <c r="B56" s="4">
        <v>1600</v>
      </c>
      <c r="C56" s="4" cm="1">
        <f t="array" ref="C56">(SUM(VLOOKUP(H56:AE56,$AI$4:$AK$44,2,FALSE))+AF56*10)*IF(AG56="是",$AQ$4,$AQ$3)</f>
        <v>0</v>
      </c>
      <c r="D56" s="30">
        <f>SUM($B$4:B56)-SUM($C$4:C56)</f>
        <v>27282</v>
      </c>
      <c r="E56" s="4" cm="1">
        <f t="array" ref="E56">SUM(VLOOKUP(H56:AD56,$AI$4:$AK$44,3,FALSE))</f>
        <v>0</v>
      </c>
      <c r="F56" s="4">
        <f>SUM($E$4:E56)+SUM($G$4:G56)</f>
        <v>20925</v>
      </c>
      <c r="G56" s="4">
        <v>0</v>
      </c>
      <c r="H56" s="9" t="s">
        <v>23</v>
      </c>
      <c r="I56" s="8" t="s">
        <v>23</v>
      </c>
      <c r="J56" s="8" t="s">
        <v>23</v>
      </c>
      <c r="K56" s="8" t="s">
        <v>23</v>
      </c>
      <c r="L56" s="8" t="s">
        <v>23</v>
      </c>
      <c r="M56" s="8" t="s">
        <v>23</v>
      </c>
      <c r="N56" s="18" t="s">
        <v>23</v>
      </c>
      <c r="O56" s="17" t="s">
        <v>23</v>
      </c>
      <c r="P56" s="9" t="s">
        <v>23</v>
      </c>
      <c r="Q56" s="8" t="s">
        <v>23</v>
      </c>
      <c r="R56" s="8" t="s">
        <v>23</v>
      </c>
      <c r="S56" s="8" t="s">
        <v>23</v>
      </c>
      <c r="T56" s="8" t="s">
        <v>23</v>
      </c>
      <c r="U56" s="8" t="s">
        <v>23</v>
      </c>
      <c r="V56" s="18" t="s">
        <v>23</v>
      </c>
      <c r="W56" s="18" t="s">
        <v>23</v>
      </c>
      <c r="X56" s="9" t="s">
        <v>23</v>
      </c>
      <c r="Y56" s="8" t="s">
        <v>23</v>
      </c>
      <c r="Z56" s="8" t="s">
        <v>23</v>
      </c>
      <c r="AA56" s="8" t="s">
        <v>23</v>
      </c>
      <c r="AB56" s="8" t="s">
        <v>23</v>
      </c>
      <c r="AC56" s="8" t="s">
        <v>23</v>
      </c>
      <c r="AD56" s="18" t="s">
        <v>23</v>
      </c>
      <c r="AE56" s="18" t="s">
        <v>23</v>
      </c>
      <c r="AF56" s="49">
        <v>0</v>
      </c>
      <c r="AG56" s="20" t="s">
        <v>31</v>
      </c>
    </row>
    <row r="57" spans="1:33" x14ac:dyDescent="0.3">
      <c r="A57" s="3">
        <v>44418</v>
      </c>
      <c r="B57" s="4">
        <v>1600</v>
      </c>
      <c r="C57" s="4" cm="1">
        <f t="array" ref="C57">(SUM(VLOOKUP(H57:AE57,$AI$4:$AK$44,2,FALSE))+AF57*10)*IF(AG57="是",$AQ$4,$AQ$3)</f>
        <v>0</v>
      </c>
      <c r="D57" s="30">
        <f>SUM($B$4:B57)-SUM($C$4:C57)</f>
        <v>28882</v>
      </c>
      <c r="E57" s="4" cm="1">
        <f t="array" ref="E57">SUM(VLOOKUP(H57:AD57,$AI$4:$AK$44,3,FALSE))</f>
        <v>0</v>
      </c>
      <c r="F57" s="4">
        <f>SUM($E$4:E57)+SUM($G$4:G57)</f>
        <v>20925</v>
      </c>
      <c r="G57" s="4">
        <v>0</v>
      </c>
      <c r="H57" s="9" t="s">
        <v>23</v>
      </c>
      <c r="I57" s="8" t="s">
        <v>23</v>
      </c>
      <c r="J57" s="8" t="s">
        <v>23</v>
      </c>
      <c r="K57" s="8" t="s">
        <v>23</v>
      </c>
      <c r="L57" s="8" t="s">
        <v>23</v>
      </c>
      <c r="M57" s="8" t="s">
        <v>23</v>
      </c>
      <c r="N57" s="18" t="s">
        <v>23</v>
      </c>
      <c r="O57" s="17" t="s">
        <v>23</v>
      </c>
      <c r="P57" s="9" t="s">
        <v>23</v>
      </c>
      <c r="Q57" s="8" t="s">
        <v>23</v>
      </c>
      <c r="R57" s="8" t="s">
        <v>23</v>
      </c>
      <c r="S57" s="8" t="s">
        <v>23</v>
      </c>
      <c r="T57" s="8" t="s">
        <v>23</v>
      </c>
      <c r="U57" s="8" t="s">
        <v>23</v>
      </c>
      <c r="V57" s="18" t="s">
        <v>23</v>
      </c>
      <c r="W57" s="18" t="s">
        <v>23</v>
      </c>
      <c r="X57" s="9" t="s">
        <v>23</v>
      </c>
      <c r="Y57" s="8" t="s">
        <v>23</v>
      </c>
      <c r="Z57" s="8" t="s">
        <v>23</v>
      </c>
      <c r="AA57" s="8" t="s">
        <v>23</v>
      </c>
      <c r="AB57" s="8" t="s">
        <v>23</v>
      </c>
      <c r="AC57" s="8" t="s">
        <v>23</v>
      </c>
      <c r="AD57" s="18" t="s">
        <v>23</v>
      </c>
      <c r="AE57" s="18" t="s">
        <v>23</v>
      </c>
      <c r="AF57" s="49">
        <v>0</v>
      </c>
      <c r="AG57" s="20" t="s">
        <v>31</v>
      </c>
    </row>
    <row r="58" spans="1:33" x14ac:dyDescent="0.3">
      <c r="A58" s="3">
        <v>44419</v>
      </c>
      <c r="B58" s="4">
        <v>1600</v>
      </c>
      <c r="C58" s="4" cm="1">
        <f t="array" ref="C58">(SUM(VLOOKUP(H58:AE58,$AI$4:$AK$44,2,FALSE))+AF58*10)*IF(AG58="是",$AQ$4,$AQ$3)</f>
        <v>0</v>
      </c>
      <c r="D58" s="30">
        <f>SUM($B$4:B58)-SUM($C$4:C58)</f>
        <v>30482</v>
      </c>
      <c r="E58" s="4" cm="1">
        <f t="array" ref="E58">SUM(VLOOKUP(H58:AD58,$AI$4:$AK$44,3,FALSE))</f>
        <v>0</v>
      </c>
      <c r="F58" s="4">
        <f>SUM($E$4:E58)+SUM($G$4:G58)</f>
        <v>20925</v>
      </c>
      <c r="G58" s="4">
        <v>0</v>
      </c>
      <c r="H58" s="9" t="s">
        <v>23</v>
      </c>
      <c r="I58" s="8" t="s">
        <v>23</v>
      </c>
      <c r="J58" s="8" t="s">
        <v>23</v>
      </c>
      <c r="K58" s="8" t="s">
        <v>23</v>
      </c>
      <c r="L58" s="8" t="s">
        <v>23</v>
      </c>
      <c r="M58" s="8" t="s">
        <v>23</v>
      </c>
      <c r="N58" s="18" t="s">
        <v>23</v>
      </c>
      <c r="O58" s="17" t="s">
        <v>23</v>
      </c>
      <c r="P58" s="9" t="s">
        <v>23</v>
      </c>
      <c r="Q58" s="8" t="s">
        <v>23</v>
      </c>
      <c r="R58" s="8" t="s">
        <v>23</v>
      </c>
      <c r="S58" s="8" t="s">
        <v>23</v>
      </c>
      <c r="T58" s="8" t="s">
        <v>23</v>
      </c>
      <c r="U58" s="8" t="s">
        <v>23</v>
      </c>
      <c r="V58" s="18" t="s">
        <v>23</v>
      </c>
      <c r="W58" s="18" t="s">
        <v>23</v>
      </c>
      <c r="X58" s="9" t="s">
        <v>23</v>
      </c>
      <c r="Y58" s="8" t="s">
        <v>23</v>
      </c>
      <c r="Z58" s="8" t="s">
        <v>23</v>
      </c>
      <c r="AA58" s="8" t="s">
        <v>23</v>
      </c>
      <c r="AB58" s="8" t="s">
        <v>23</v>
      </c>
      <c r="AC58" s="8" t="s">
        <v>23</v>
      </c>
      <c r="AD58" s="18" t="s">
        <v>23</v>
      </c>
      <c r="AE58" s="18" t="s">
        <v>23</v>
      </c>
      <c r="AF58" s="49">
        <v>0</v>
      </c>
      <c r="AG58" s="20" t="s">
        <v>31</v>
      </c>
    </row>
    <row r="59" spans="1:33" x14ac:dyDescent="0.3">
      <c r="A59" s="3">
        <v>44420</v>
      </c>
      <c r="B59" s="4">
        <v>1600</v>
      </c>
      <c r="C59" s="4" cm="1">
        <f t="array" ref="C59">(SUM(VLOOKUP(H59:AE59,$AI$4:$AK$44,2,FALSE))+AF59*10)*IF(AG59="是",$AQ$4,$AQ$3)</f>
        <v>0</v>
      </c>
      <c r="D59" s="30">
        <f>SUM($B$4:B59)-SUM($C$4:C59)</f>
        <v>32082</v>
      </c>
      <c r="E59" s="4" cm="1">
        <f t="array" ref="E59">SUM(VLOOKUP(H59:AD59,$AI$4:$AK$44,3,FALSE))</f>
        <v>0</v>
      </c>
      <c r="F59" s="4">
        <f>SUM($E$4:E59)+SUM($G$4:G59)</f>
        <v>20925</v>
      </c>
      <c r="G59" s="4">
        <v>0</v>
      </c>
      <c r="H59" s="9" t="s">
        <v>23</v>
      </c>
      <c r="I59" s="8" t="s">
        <v>23</v>
      </c>
      <c r="J59" s="8" t="s">
        <v>23</v>
      </c>
      <c r="K59" s="8" t="s">
        <v>23</v>
      </c>
      <c r="L59" s="8" t="s">
        <v>23</v>
      </c>
      <c r="M59" s="8" t="s">
        <v>23</v>
      </c>
      <c r="N59" s="18" t="s">
        <v>23</v>
      </c>
      <c r="O59" s="17" t="s">
        <v>23</v>
      </c>
      <c r="P59" s="9" t="s">
        <v>23</v>
      </c>
      <c r="Q59" s="8" t="s">
        <v>23</v>
      </c>
      <c r="R59" s="8" t="s">
        <v>23</v>
      </c>
      <c r="S59" s="8" t="s">
        <v>23</v>
      </c>
      <c r="T59" s="8" t="s">
        <v>23</v>
      </c>
      <c r="U59" s="8" t="s">
        <v>23</v>
      </c>
      <c r="V59" s="18" t="s">
        <v>23</v>
      </c>
      <c r="W59" s="18" t="s">
        <v>23</v>
      </c>
      <c r="X59" s="9" t="s">
        <v>23</v>
      </c>
      <c r="Y59" s="8" t="s">
        <v>23</v>
      </c>
      <c r="Z59" s="8" t="s">
        <v>23</v>
      </c>
      <c r="AA59" s="8" t="s">
        <v>23</v>
      </c>
      <c r="AB59" s="8" t="s">
        <v>23</v>
      </c>
      <c r="AC59" s="8" t="s">
        <v>23</v>
      </c>
      <c r="AD59" s="18" t="s">
        <v>23</v>
      </c>
      <c r="AE59" s="18" t="s">
        <v>23</v>
      </c>
      <c r="AF59" s="49">
        <v>0</v>
      </c>
      <c r="AG59" s="20" t="s">
        <v>31</v>
      </c>
    </row>
    <row r="60" spans="1:33" x14ac:dyDescent="0.3">
      <c r="A60" s="3">
        <v>44421</v>
      </c>
      <c r="B60" s="4">
        <v>1600</v>
      </c>
      <c r="C60" s="4" cm="1">
        <f t="array" ref="C60">(SUM(VLOOKUP(H60:AE60,$AI$4:$AK$44,2,FALSE))+AF60*10)*IF(AG60="是",$AQ$4,$AQ$3)</f>
        <v>0</v>
      </c>
      <c r="D60" s="30">
        <f>SUM($B$4:B60)-SUM($C$4:C60)</f>
        <v>33682</v>
      </c>
      <c r="E60" s="4" cm="1">
        <f t="array" ref="E60">SUM(VLOOKUP(H60:AD60,$AI$4:$AK$44,3,FALSE))</f>
        <v>0</v>
      </c>
      <c r="F60" s="4">
        <f>SUM($E$4:E60)+SUM($G$4:G60)</f>
        <v>20925</v>
      </c>
      <c r="G60" s="4">
        <v>0</v>
      </c>
      <c r="H60" s="9" t="s">
        <v>23</v>
      </c>
      <c r="I60" s="8" t="s">
        <v>23</v>
      </c>
      <c r="J60" s="8" t="s">
        <v>23</v>
      </c>
      <c r="K60" s="8" t="s">
        <v>23</v>
      </c>
      <c r="L60" s="8" t="s">
        <v>23</v>
      </c>
      <c r="M60" s="8" t="s">
        <v>23</v>
      </c>
      <c r="N60" s="18" t="s">
        <v>23</v>
      </c>
      <c r="O60" s="17" t="s">
        <v>23</v>
      </c>
      <c r="P60" s="9" t="s">
        <v>23</v>
      </c>
      <c r="Q60" s="8" t="s">
        <v>23</v>
      </c>
      <c r="R60" s="8" t="s">
        <v>23</v>
      </c>
      <c r="S60" s="8" t="s">
        <v>23</v>
      </c>
      <c r="T60" s="8" t="s">
        <v>23</v>
      </c>
      <c r="U60" s="8" t="s">
        <v>23</v>
      </c>
      <c r="V60" s="18" t="s">
        <v>23</v>
      </c>
      <c r="W60" s="18" t="s">
        <v>23</v>
      </c>
      <c r="X60" s="9" t="s">
        <v>23</v>
      </c>
      <c r="Y60" s="8" t="s">
        <v>23</v>
      </c>
      <c r="Z60" s="8" t="s">
        <v>23</v>
      </c>
      <c r="AA60" s="8" t="s">
        <v>23</v>
      </c>
      <c r="AB60" s="8" t="s">
        <v>23</v>
      </c>
      <c r="AC60" s="8" t="s">
        <v>23</v>
      </c>
      <c r="AD60" s="18" t="s">
        <v>23</v>
      </c>
      <c r="AE60" s="18" t="s">
        <v>23</v>
      </c>
      <c r="AF60" s="49">
        <v>0</v>
      </c>
      <c r="AG60" s="20" t="s">
        <v>31</v>
      </c>
    </row>
    <row r="61" spans="1:33" x14ac:dyDescent="0.3">
      <c r="A61" s="3">
        <v>44422</v>
      </c>
      <c r="B61" s="4">
        <v>1600</v>
      </c>
      <c r="C61" s="4" cm="1">
        <f t="array" ref="C61">(SUM(VLOOKUP(H61:AE61,$AI$4:$AK$44,2,FALSE))+AF61*10)*IF(AG61="是",$AQ$4,$AQ$3)</f>
        <v>0</v>
      </c>
      <c r="D61" s="30">
        <f>SUM($B$4:B61)-SUM($C$4:C61)</f>
        <v>35282</v>
      </c>
      <c r="E61" s="4" cm="1">
        <f t="array" ref="E61">SUM(VLOOKUP(H61:AD61,$AI$4:$AK$44,3,FALSE))</f>
        <v>0</v>
      </c>
      <c r="F61" s="4">
        <f>SUM($E$4:E61)+SUM($G$4:G61)</f>
        <v>20925</v>
      </c>
      <c r="G61" s="4">
        <v>0</v>
      </c>
      <c r="H61" s="9" t="s">
        <v>23</v>
      </c>
      <c r="I61" s="8" t="s">
        <v>23</v>
      </c>
      <c r="J61" s="8" t="s">
        <v>23</v>
      </c>
      <c r="K61" s="8" t="s">
        <v>23</v>
      </c>
      <c r="L61" s="8" t="s">
        <v>23</v>
      </c>
      <c r="M61" s="8" t="s">
        <v>23</v>
      </c>
      <c r="N61" s="18" t="s">
        <v>23</v>
      </c>
      <c r="O61" s="17" t="s">
        <v>23</v>
      </c>
      <c r="P61" s="9" t="s">
        <v>23</v>
      </c>
      <c r="Q61" s="8" t="s">
        <v>23</v>
      </c>
      <c r="R61" s="8" t="s">
        <v>23</v>
      </c>
      <c r="S61" s="8" t="s">
        <v>23</v>
      </c>
      <c r="T61" s="8" t="s">
        <v>23</v>
      </c>
      <c r="U61" s="8" t="s">
        <v>23</v>
      </c>
      <c r="V61" s="18" t="s">
        <v>23</v>
      </c>
      <c r="W61" s="18" t="s">
        <v>23</v>
      </c>
      <c r="X61" s="9" t="s">
        <v>23</v>
      </c>
      <c r="Y61" s="8" t="s">
        <v>23</v>
      </c>
      <c r="Z61" s="8" t="s">
        <v>23</v>
      </c>
      <c r="AA61" s="8" t="s">
        <v>23</v>
      </c>
      <c r="AB61" s="8" t="s">
        <v>23</v>
      </c>
      <c r="AC61" s="8" t="s">
        <v>23</v>
      </c>
      <c r="AD61" s="18" t="s">
        <v>23</v>
      </c>
      <c r="AE61" s="18" t="s">
        <v>23</v>
      </c>
      <c r="AF61" s="49">
        <v>0</v>
      </c>
      <c r="AG61" s="20" t="s">
        <v>31</v>
      </c>
    </row>
    <row r="62" spans="1:33" x14ac:dyDescent="0.3">
      <c r="A62" s="3">
        <v>44423</v>
      </c>
      <c r="B62" s="4">
        <v>1600</v>
      </c>
      <c r="C62" s="4" cm="1">
        <f t="array" ref="C62">(SUM(VLOOKUP(H62:AE62,$AI$4:$AK$44,2,FALSE))+AF62*10)*IF(AG62="是",$AQ$4,$AQ$3)</f>
        <v>0</v>
      </c>
      <c r="D62" s="30">
        <f>SUM($B$4:B62)-SUM($C$4:C62)</f>
        <v>36882</v>
      </c>
      <c r="E62" s="4" cm="1">
        <f t="array" ref="E62">SUM(VLOOKUP(H62:AD62,$AI$4:$AK$44,3,FALSE))</f>
        <v>0</v>
      </c>
      <c r="F62" s="4">
        <f>SUM($E$4:E62)+SUM($G$4:G62)</f>
        <v>20925</v>
      </c>
      <c r="G62" s="4">
        <v>0</v>
      </c>
      <c r="H62" s="9" t="s">
        <v>23</v>
      </c>
      <c r="I62" s="8" t="s">
        <v>23</v>
      </c>
      <c r="J62" s="8" t="s">
        <v>23</v>
      </c>
      <c r="K62" s="8" t="s">
        <v>23</v>
      </c>
      <c r="L62" s="8" t="s">
        <v>23</v>
      </c>
      <c r="M62" s="8" t="s">
        <v>23</v>
      </c>
      <c r="N62" s="18" t="s">
        <v>23</v>
      </c>
      <c r="O62" s="17" t="s">
        <v>23</v>
      </c>
      <c r="P62" s="9" t="s">
        <v>23</v>
      </c>
      <c r="Q62" s="8" t="s">
        <v>23</v>
      </c>
      <c r="R62" s="8" t="s">
        <v>23</v>
      </c>
      <c r="S62" s="8" t="s">
        <v>23</v>
      </c>
      <c r="T62" s="8" t="s">
        <v>23</v>
      </c>
      <c r="U62" s="8" t="s">
        <v>23</v>
      </c>
      <c r="V62" s="18" t="s">
        <v>23</v>
      </c>
      <c r="W62" s="18" t="s">
        <v>23</v>
      </c>
      <c r="X62" s="9" t="s">
        <v>23</v>
      </c>
      <c r="Y62" s="8" t="s">
        <v>23</v>
      </c>
      <c r="Z62" s="8" t="s">
        <v>23</v>
      </c>
      <c r="AA62" s="8" t="s">
        <v>23</v>
      </c>
      <c r="AB62" s="8" t="s">
        <v>23</v>
      </c>
      <c r="AC62" s="8" t="s">
        <v>23</v>
      </c>
      <c r="AD62" s="18" t="s">
        <v>23</v>
      </c>
      <c r="AE62" s="18" t="s">
        <v>23</v>
      </c>
      <c r="AF62" s="49">
        <v>0</v>
      </c>
      <c r="AG62" s="20" t="s">
        <v>31</v>
      </c>
    </row>
    <row r="63" spans="1:33" x14ac:dyDescent="0.3">
      <c r="A63" s="1">
        <v>44424</v>
      </c>
      <c r="B63">
        <v>1600</v>
      </c>
      <c r="C63" s="4" cm="1">
        <f t="array" ref="C63">(SUM(VLOOKUP(H63:AE63,$AI$4:$AK$44,2,FALSE))+AF63*10)*IF(AG63="是",$AQ$4,$AQ$3)</f>
        <v>0</v>
      </c>
      <c r="D63" s="31">
        <f>SUM($B$4:B63)-SUM($C$4:C63)</f>
        <v>38482</v>
      </c>
      <c r="E63" s="4" cm="1">
        <f t="array" ref="E63">SUM(VLOOKUP(H63:AD63,$AI$4:$AK$44,3,FALSE))</f>
        <v>0</v>
      </c>
      <c r="F63" s="4">
        <f>SUM($E$4:E63)+SUM($G$4:G63)</f>
        <v>20925</v>
      </c>
      <c r="G63">
        <v>0</v>
      </c>
      <c r="H63" s="9" t="s">
        <v>23</v>
      </c>
      <c r="I63" s="8" t="s">
        <v>23</v>
      </c>
      <c r="J63" s="8" t="s">
        <v>23</v>
      </c>
      <c r="K63" s="8" t="s">
        <v>23</v>
      </c>
      <c r="L63" s="8" t="s">
        <v>23</v>
      </c>
      <c r="M63" s="8" t="s">
        <v>23</v>
      </c>
      <c r="N63" s="18" t="s">
        <v>23</v>
      </c>
      <c r="O63" s="17" t="s">
        <v>23</v>
      </c>
      <c r="P63" s="9" t="s">
        <v>23</v>
      </c>
      <c r="Q63" s="8" t="s">
        <v>23</v>
      </c>
      <c r="R63" s="8" t="s">
        <v>23</v>
      </c>
      <c r="S63" s="8" t="s">
        <v>23</v>
      </c>
      <c r="T63" s="8" t="s">
        <v>23</v>
      </c>
      <c r="U63" s="8" t="s">
        <v>23</v>
      </c>
      <c r="V63" s="18" t="s">
        <v>23</v>
      </c>
      <c r="W63" s="18" t="s">
        <v>23</v>
      </c>
      <c r="X63" s="9" t="s">
        <v>23</v>
      </c>
      <c r="Y63" s="8" t="s">
        <v>23</v>
      </c>
      <c r="Z63" s="8" t="s">
        <v>23</v>
      </c>
      <c r="AA63" s="8" t="s">
        <v>23</v>
      </c>
      <c r="AB63" s="8" t="s">
        <v>23</v>
      </c>
      <c r="AC63" s="8" t="s">
        <v>23</v>
      </c>
      <c r="AD63" s="18" t="s">
        <v>23</v>
      </c>
      <c r="AE63" s="18" t="s">
        <v>23</v>
      </c>
      <c r="AF63" s="49">
        <v>0</v>
      </c>
      <c r="AG63" s="20" t="s">
        <v>31</v>
      </c>
    </row>
    <row r="64" spans="1:33" x14ac:dyDescent="0.3">
      <c r="A64" s="1">
        <v>44425</v>
      </c>
      <c r="B64">
        <v>1600</v>
      </c>
      <c r="C64" s="4" cm="1">
        <f t="array" ref="C64">(SUM(VLOOKUP(H64:AE64,$AI$4:$AK$44,2,FALSE))+AF64*10)*IF(AG64="是",$AQ$4,$AQ$3)</f>
        <v>0</v>
      </c>
      <c r="D64" s="31">
        <f>SUM($B$4:B64)-SUM($C$4:C64)</f>
        <v>40082</v>
      </c>
      <c r="E64" s="4" cm="1">
        <f t="array" ref="E64">SUM(VLOOKUP(H64:AD64,$AI$4:$AK$44,3,FALSE))</f>
        <v>0</v>
      </c>
      <c r="F64" s="4">
        <f>SUM($E$4:E64)+SUM($G$4:G64)</f>
        <v>20925</v>
      </c>
      <c r="G64">
        <v>0</v>
      </c>
      <c r="H64" s="9" t="s">
        <v>23</v>
      </c>
      <c r="I64" s="8" t="s">
        <v>23</v>
      </c>
      <c r="J64" s="8" t="s">
        <v>23</v>
      </c>
      <c r="K64" s="8" t="s">
        <v>23</v>
      </c>
      <c r="L64" s="8" t="s">
        <v>23</v>
      </c>
      <c r="M64" s="8" t="s">
        <v>23</v>
      </c>
      <c r="N64" s="18" t="s">
        <v>23</v>
      </c>
      <c r="O64" s="17" t="s">
        <v>23</v>
      </c>
      <c r="P64" s="9" t="s">
        <v>23</v>
      </c>
      <c r="Q64" s="8" t="s">
        <v>23</v>
      </c>
      <c r="R64" s="8" t="s">
        <v>23</v>
      </c>
      <c r="S64" s="8" t="s">
        <v>23</v>
      </c>
      <c r="T64" s="8" t="s">
        <v>23</v>
      </c>
      <c r="U64" s="8" t="s">
        <v>23</v>
      </c>
      <c r="V64" s="18" t="s">
        <v>23</v>
      </c>
      <c r="W64" s="18" t="s">
        <v>23</v>
      </c>
      <c r="X64" s="9" t="s">
        <v>23</v>
      </c>
      <c r="Y64" s="8" t="s">
        <v>23</v>
      </c>
      <c r="Z64" s="8" t="s">
        <v>23</v>
      </c>
      <c r="AA64" s="8" t="s">
        <v>23</v>
      </c>
      <c r="AB64" s="8" t="s">
        <v>23</v>
      </c>
      <c r="AC64" s="8" t="s">
        <v>23</v>
      </c>
      <c r="AD64" s="18" t="s">
        <v>23</v>
      </c>
      <c r="AE64" s="18" t="s">
        <v>23</v>
      </c>
      <c r="AF64" s="49">
        <v>0</v>
      </c>
      <c r="AG64" s="20" t="s">
        <v>31</v>
      </c>
    </row>
    <row r="65" spans="1:33" x14ac:dyDescent="0.3">
      <c r="A65" s="1">
        <v>44426</v>
      </c>
      <c r="B65">
        <v>1600</v>
      </c>
      <c r="C65" s="4" cm="1">
        <f t="array" ref="C65">(SUM(VLOOKUP(H65:AE65,$AI$4:$AK$44,2,FALSE))+AF65*10)*IF(AG65="是",$AQ$4,$AQ$3)</f>
        <v>0</v>
      </c>
      <c r="D65" s="31">
        <f>SUM($B$4:B65)-SUM($C$4:C65)</f>
        <v>41682</v>
      </c>
      <c r="E65" s="4" cm="1">
        <f t="array" ref="E65">SUM(VLOOKUP(H65:AD65,$AI$4:$AK$44,3,FALSE))</f>
        <v>0</v>
      </c>
      <c r="F65" s="4">
        <f>SUM($E$4:E65)+SUM($G$4:G65)</f>
        <v>20925</v>
      </c>
      <c r="G65">
        <v>0</v>
      </c>
      <c r="H65" s="9" t="s">
        <v>23</v>
      </c>
      <c r="I65" s="8" t="s">
        <v>23</v>
      </c>
      <c r="J65" s="8" t="s">
        <v>23</v>
      </c>
      <c r="K65" s="8" t="s">
        <v>23</v>
      </c>
      <c r="L65" s="8" t="s">
        <v>23</v>
      </c>
      <c r="M65" s="8" t="s">
        <v>23</v>
      </c>
      <c r="N65" s="18" t="s">
        <v>23</v>
      </c>
      <c r="O65" s="17" t="s">
        <v>23</v>
      </c>
      <c r="P65" s="9" t="s">
        <v>23</v>
      </c>
      <c r="Q65" s="8" t="s">
        <v>23</v>
      </c>
      <c r="R65" s="8" t="s">
        <v>23</v>
      </c>
      <c r="S65" s="8" t="s">
        <v>23</v>
      </c>
      <c r="T65" s="8" t="s">
        <v>23</v>
      </c>
      <c r="U65" s="8" t="s">
        <v>23</v>
      </c>
      <c r="V65" s="18" t="s">
        <v>23</v>
      </c>
      <c r="W65" s="18" t="s">
        <v>23</v>
      </c>
      <c r="X65" s="9" t="s">
        <v>23</v>
      </c>
      <c r="Y65" s="8" t="s">
        <v>23</v>
      </c>
      <c r="Z65" s="8" t="s">
        <v>23</v>
      </c>
      <c r="AA65" s="8" t="s">
        <v>23</v>
      </c>
      <c r="AB65" s="8" t="s">
        <v>23</v>
      </c>
      <c r="AC65" s="8" t="s">
        <v>23</v>
      </c>
      <c r="AD65" s="18" t="s">
        <v>23</v>
      </c>
      <c r="AE65" s="18" t="s">
        <v>23</v>
      </c>
      <c r="AF65" s="49">
        <v>0</v>
      </c>
      <c r="AG65" s="20" t="s">
        <v>31</v>
      </c>
    </row>
    <row r="66" spans="1:33" x14ac:dyDescent="0.3">
      <c r="A66" s="1">
        <v>44427</v>
      </c>
      <c r="B66">
        <v>1600</v>
      </c>
      <c r="C66" s="4" cm="1">
        <f t="array" ref="C66">(SUM(VLOOKUP(H66:AE66,$AI$4:$AK$44,2,FALSE))+AF66*10)*IF(AG66="是",$AQ$4,$AQ$3)</f>
        <v>0</v>
      </c>
      <c r="D66" s="31">
        <f>SUM($B$4:B66)-SUM($C$4:C66)</f>
        <v>43282</v>
      </c>
      <c r="E66" s="4" cm="1">
        <f t="array" ref="E66">SUM(VLOOKUP(H66:AD66,$AI$4:$AK$44,3,FALSE))</f>
        <v>0</v>
      </c>
      <c r="F66" s="4">
        <f>SUM($E$4:E66)+SUM($G$4:G66)</f>
        <v>20925</v>
      </c>
      <c r="G66">
        <v>0</v>
      </c>
      <c r="H66" s="9" t="s">
        <v>23</v>
      </c>
      <c r="I66" s="8" t="s">
        <v>23</v>
      </c>
      <c r="J66" s="8" t="s">
        <v>23</v>
      </c>
      <c r="K66" s="8" t="s">
        <v>23</v>
      </c>
      <c r="L66" s="8" t="s">
        <v>23</v>
      </c>
      <c r="M66" s="8" t="s">
        <v>23</v>
      </c>
      <c r="N66" s="18" t="s">
        <v>23</v>
      </c>
      <c r="O66" s="17" t="s">
        <v>23</v>
      </c>
      <c r="P66" s="9" t="s">
        <v>23</v>
      </c>
      <c r="Q66" s="8" t="s">
        <v>23</v>
      </c>
      <c r="R66" s="8" t="s">
        <v>23</v>
      </c>
      <c r="S66" s="8" t="s">
        <v>23</v>
      </c>
      <c r="T66" s="8" t="s">
        <v>23</v>
      </c>
      <c r="U66" s="8" t="s">
        <v>23</v>
      </c>
      <c r="V66" s="18" t="s">
        <v>23</v>
      </c>
      <c r="W66" s="18" t="s">
        <v>23</v>
      </c>
      <c r="X66" s="9" t="s">
        <v>23</v>
      </c>
      <c r="Y66" s="8" t="s">
        <v>23</v>
      </c>
      <c r="Z66" s="8" t="s">
        <v>23</v>
      </c>
      <c r="AA66" s="8" t="s">
        <v>23</v>
      </c>
      <c r="AB66" s="8" t="s">
        <v>23</v>
      </c>
      <c r="AC66" s="8" t="s">
        <v>23</v>
      </c>
      <c r="AD66" s="18" t="s">
        <v>23</v>
      </c>
      <c r="AE66" s="18" t="s">
        <v>23</v>
      </c>
      <c r="AF66" s="49">
        <v>0</v>
      </c>
      <c r="AG66" s="20" t="s">
        <v>31</v>
      </c>
    </row>
    <row r="67" spans="1:33" x14ac:dyDescent="0.3">
      <c r="A67" s="1">
        <v>44428</v>
      </c>
      <c r="B67">
        <v>1600</v>
      </c>
      <c r="C67" s="4" cm="1">
        <f t="array" ref="C67">(SUM(VLOOKUP(H67:AE67,$AI$4:$AK$44,2,FALSE))+AF67*10)*IF(AG67="是",$AQ$4,$AQ$3)</f>
        <v>0</v>
      </c>
      <c r="D67" s="31">
        <f>SUM($B$4:B67)-SUM($C$4:C67)</f>
        <v>44882</v>
      </c>
      <c r="E67" s="4" cm="1">
        <f t="array" ref="E67">SUM(VLOOKUP(H67:AD67,$AI$4:$AK$44,3,FALSE))</f>
        <v>0</v>
      </c>
      <c r="F67" s="4">
        <f>SUM($E$4:E67)+SUM($G$4:G67)</f>
        <v>20925</v>
      </c>
      <c r="G67">
        <v>0</v>
      </c>
      <c r="H67" s="9" t="s">
        <v>23</v>
      </c>
      <c r="I67" s="8" t="s">
        <v>23</v>
      </c>
      <c r="J67" s="8" t="s">
        <v>23</v>
      </c>
      <c r="K67" s="8" t="s">
        <v>23</v>
      </c>
      <c r="L67" s="8" t="s">
        <v>23</v>
      </c>
      <c r="M67" s="8" t="s">
        <v>23</v>
      </c>
      <c r="N67" s="18" t="s">
        <v>23</v>
      </c>
      <c r="O67" s="17" t="s">
        <v>23</v>
      </c>
      <c r="P67" s="9" t="s">
        <v>23</v>
      </c>
      <c r="Q67" s="8" t="s">
        <v>23</v>
      </c>
      <c r="R67" s="8" t="s">
        <v>23</v>
      </c>
      <c r="S67" s="8" t="s">
        <v>23</v>
      </c>
      <c r="T67" s="8" t="s">
        <v>23</v>
      </c>
      <c r="U67" s="8" t="s">
        <v>23</v>
      </c>
      <c r="V67" s="18" t="s">
        <v>23</v>
      </c>
      <c r="W67" s="18" t="s">
        <v>23</v>
      </c>
      <c r="X67" s="9" t="s">
        <v>23</v>
      </c>
      <c r="Y67" s="8" t="s">
        <v>23</v>
      </c>
      <c r="Z67" s="8" t="s">
        <v>23</v>
      </c>
      <c r="AA67" s="8" t="s">
        <v>23</v>
      </c>
      <c r="AB67" s="8" t="s">
        <v>23</v>
      </c>
      <c r="AC67" s="8" t="s">
        <v>23</v>
      </c>
      <c r="AD67" s="18" t="s">
        <v>23</v>
      </c>
      <c r="AE67" s="18" t="s">
        <v>23</v>
      </c>
      <c r="AF67" s="49">
        <v>0</v>
      </c>
      <c r="AG67" s="20" t="s">
        <v>31</v>
      </c>
    </row>
    <row r="68" spans="1:33" x14ac:dyDescent="0.3">
      <c r="A68" s="1">
        <v>44429</v>
      </c>
      <c r="B68">
        <v>1600</v>
      </c>
      <c r="C68" s="4" cm="1">
        <f t="array" ref="C68">(SUM(VLOOKUP(H68:AE68,$AI$4:$AK$44,2,FALSE))+AF68*10)*IF(AG68="是",$AQ$4,$AQ$3)</f>
        <v>0</v>
      </c>
      <c r="D68" s="31">
        <f>SUM($B$4:B68)-SUM($C$4:C68)</f>
        <v>46482</v>
      </c>
      <c r="E68" s="4" cm="1">
        <f t="array" ref="E68">SUM(VLOOKUP(H68:AD68,$AI$4:$AK$44,3,FALSE))</f>
        <v>0</v>
      </c>
      <c r="F68" s="4">
        <f>SUM($E$4:E68)+SUM($G$4:G68)</f>
        <v>20925</v>
      </c>
      <c r="G68">
        <v>0</v>
      </c>
      <c r="H68" s="9" t="s">
        <v>23</v>
      </c>
      <c r="I68" s="8" t="s">
        <v>23</v>
      </c>
      <c r="J68" s="8" t="s">
        <v>23</v>
      </c>
      <c r="K68" s="8" t="s">
        <v>23</v>
      </c>
      <c r="L68" s="8" t="s">
        <v>23</v>
      </c>
      <c r="M68" s="8" t="s">
        <v>23</v>
      </c>
      <c r="N68" s="18" t="s">
        <v>23</v>
      </c>
      <c r="O68" s="17" t="s">
        <v>23</v>
      </c>
      <c r="P68" s="9" t="s">
        <v>23</v>
      </c>
      <c r="Q68" s="8" t="s">
        <v>23</v>
      </c>
      <c r="R68" s="8" t="s">
        <v>23</v>
      </c>
      <c r="S68" s="8" t="s">
        <v>23</v>
      </c>
      <c r="T68" s="8" t="s">
        <v>23</v>
      </c>
      <c r="U68" s="8" t="s">
        <v>23</v>
      </c>
      <c r="V68" s="18" t="s">
        <v>23</v>
      </c>
      <c r="W68" s="18" t="s">
        <v>23</v>
      </c>
      <c r="X68" s="9" t="s">
        <v>23</v>
      </c>
      <c r="Y68" s="8" t="s">
        <v>23</v>
      </c>
      <c r="Z68" s="8" t="s">
        <v>23</v>
      </c>
      <c r="AA68" s="8" t="s">
        <v>23</v>
      </c>
      <c r="AB68" s="8" t="s">
        <v>23</v>
      </c>
      <c r="AC68" s="8" t="s">
        <v>23</v>
      </c>
      <c r="AD68" s="18" t="s">
        <v>23</v>
      </c>
      <c r="AE68" s="18" t="s">
        <v>23</v>
      </c>
      <c r="AF68" s="49">
        <v>0</v>
      </c>
      <c r="AG68" s="20" t="s">
        <v>31</v>
      </c>
    </row>
    <row r="69" spans="1:33" x14ac:dyDescent="0.3">
      <c r="A69" s="1">
        <v>44430</v>
      </c>
      <c r="B69">
        <v>1600</v>
      </c>
      <c r="C69" s="4" cm="1">
        <f t="array" ref="C69">(SUM(VLOOKUP(H69:AE69,$AI$4:$AK$44,2,FALSE))+AF69*10)*IF(AG69="是",$AQ$4,$AQ$3)</f>
        <v>0</v>
      </c>
      <c r="D69" s="31">
        <f>SUM($B$4:B69)-SUM($C$4:C69)</f>
        <v>48082</v>
      </c>
      <c r="E69" s="4" cm="1">
        <f t="array" ref="E69">SUM(VLOOKUP(H69:AD69,$AI$4:$AK$44,3,FALSE))</f>
        <v>0</v>
      </c>
      <c r="F69" s="4">
        <f>SUM($E$4:E69)+SUM($G$4:G69)</f>
        <v>20925</v>
      </c>
      <c r="G69">
        <v>0</v>
      </c>
      <c r="H69" s="9" t="s">
        <v>23</v>
      </c>
      <c r="I69" s="8" t="s">
        <v>23</v>
      </c>
      <c r="J69" s="8" t="s">
        <v>23</v>
      </c>
      <c r="K69" s="8" t="s">
        <v>23</v>
      </c>
      <c r="L69" s="8" t="s">
        <v>23</v>
      </c>
      <c r="M69" s="8" t="s">
        <v>23</v>
      </c>
      <c r="N69" s="18" t="s">
        <v>23</v>
      </c>
      <c r="O69" s="17" t="s">
        <v>23</v>
      </c>
      <c r="P69" s="9" t="s">
        <v>23</v>
      </c>
      <c r="Q69" s="8" t="s">
        <v>23</v>
      </c>
      <c r="R69" s="8" t="s">
        <v>23</v>
      </c>
      <c r="S69" s="8" t="s">
        <v>23</v>
      </c>
      <c r="T69" s="8" t="s">
        <v>23</v>
      </c>
      <c r="U69" s="8" t="s">
        <v>23</v>
      </c>
      <c r="V69" s="18" t="s">
        <v>23</v>
      </c>
      <c r="W69" s="18" t="s">
        <v>23</v>
      </c>
      <c r="X69" s="9" t="s">
        <v>23</v>
      </c>
      <c r="Y69" s="8" t="s">
        <v>23</v>
      </c>
      <c r="Z69" s="8" t="s">
        <v>23</v>
      </c>
      <c r="AA69" s="8" t="s">
        <v>23</v>
      </c>
      <c r="AB69" s="8" t="s">
        <v>23</v>
      </c>
      <c r="AC69" s="8" t="s">
        <v>23</v>
      </c>
      <c r="AD69" s="18" t="s">
        <v>23</v>
      </c>
      <c r="AE69" s="18" t="s">
        <v>23</v>
      </c>
      <c r="AF69" s="49">
        <v>0</v>
      </c>
      <c r="AG69" s="20" t="s">
        <v>31</v>
      </c>
    </row>
    <row r="70" spans="1:33" x14ac:dyDescent="0.3">
      <c r="A70" s="3">
        <v>44431</v>
      </c>
      <c r="B70" s="4">
        <v>1600</v>
      </c>
      <c r="C70" s="4" cm="1">
        <f t="array" ref="C70">(SUM(VLOOKUP(H70:AE70,$AI$4:$AK$44,2,FALSE))+AF70*10)*IF(AG70="是",$AQ$4,$AQ$3)</f>
        <v>0</v>
      </c>
      <c r="D70" s="30">
        <f>SUM($B$4:B70)-SUM($C$4:C70)</f>
        <v>49682</v>
      </c>
      <c r="E70" s="4" cm="1">
        <f t="array" ref="E70">SUM(VLOOKUP(H70:AD70,$AI$4:$AK$44,3,FALSE))</f>
        <v>0</v>
      </c>
      <c r="F70" s="4">
        <f>SUM($E$4:E70)+SUM($G$4:G70)</f>
        <v>20925</v>
      </c>
      <c r="G70" s="4">
        <v>0</v>
      </c>
      <c r="H70" s="9" t="s">
        <v>23</v>
      </c>
      <c r="I70" s="8" t="s">
        <v>23</v>
      </c>
      <c r="J70" s="8" t="s">
        <v>23</v>
      </c>
      <c r="K70" s="8" t="s">
        <v>23</v>
      </c>
      <c r="L70" s="8" t="s">
        <v>23</v>
      </c>
      <c r="M70" s="8" t="s">
        <v>23</v>
      </c>
      <c r="N70" s="18" t="s">
        <v>23</v>
      </c>
      <c r="O70" s="17" t="s">
        <v>23</v>
      </c>
      <c r="P70" s="9" t="s">
        <v>23</v>
      </c>
      <c r="Q70" s="8" t="s">
        <v>23</v>
      </c>
      <c r="R70" s="8" t="s">
        <v>23</v>
      </c>
      <c r="S70" s="8" t="s">
        <v>23</v>
      </c>
      <c r="T70" s="8" t="s">
        <v>23</v>
      </c>
      <c r="U70" s="8" t="s">
        <v>23</v>
      </c>
      <c r="V70" s="18" t="s">
        <v>23</v>
      </c>
      <c r="W70" s="18" t="s">
        <v>23</v>
      </c>
      <c r="X70" s="9" t="s">
        <v>23</v>
      </c>
      <c r="Y70" s="8" t="s">
        <v>23</v>
      </c>
      <c r="Z70" s="8" t="s">
        <v>23</v>
      </c>
      <c r="AA70" s="8" t="s">
        <v>23</v>
      </c>
      <c r="AB70" s="8" t="s">
        <v>23</v>
      </c>
      <c r="AC70" s="8" t="s">
        <v>23</v>
      </c>
      <c r="AD70" s="18" t="s">
        <v>23</v>
      </c>
      <c r="AE70" s="18" t="s">
        <v>23</v>
      </c>
      <c r="AF70" s="49">
        <v>0</v>
      </c>
      <c r="AG70" s="20" t="s">
        <v>31</v>
      </c>
    </row>
    <row r="71" spans="1:33" x14ac:dyDescent="0.3">
      <c r="A71" s="3">
        <v>44432</v>
      </c>
      <c r="B71" s="4">
        <v>1600</v>
      </c>
      <c r="C71" s="4" cm="1">
        <f t="array" ref="C71">(SUM(VLOOKUP(H71:AE71,$AI$4:$AK$44,2,FALSE))+AF71*10)*IF(AG71="是",$AQ$4,$AQ$3)</f>
        <v>0</v>
      </c>
      <c r="D71" s="30">
        <f>SUM($B$4:B71)-SUM($C$4:C71)</f>
        <v>51282</v>
      </c>
      <c r="E71" s="4" cm="1">
        <f t="array" ref="E71">SUM(VLOOKUP(H71:AD71,$AI$4:$AK$44,3,FALSE))</f>
        <v>0</v>
      </c>
      <c r="F71" s="4">
        <f>SUM($E$4:E71)+SUM($G$4:G71)</f>
        <v>20925</v>
      </c>
      <c r="G71" s="4">
        <v>0</v>
      </c>
      <c r="H71" s="9" t="s">
        <v>23</v>
      </c>
      <c r="I71" s="8" t="s">
        <v>23</v>
      </c>
      <c r="J71" s="8" t="s">
        <v>23</v>
      </c>
      <c r="K71" s="8" t="s">
        <v>23</v>
      </c>
      <c r="L71" s="8" t="s">
        <v>23</v>
      </c>
      <c r="M71" s="8" t="s">
        <v>23</v>
      </c>
      <c r="N71" s="18" t="s">
        <v>23</v>
      </c>
      <c r="O71" s="17" t="s">
        <v>23</v>
      </c>
      <c r="P71" s="9" t="s">
        <v>23</v>
      </c>
      <c r="Q71" s="8" t="s">
        <v>23</v>
      </c>
      <c r="R71" s="8" t="s">
        <v>23</v>
      </c>
      <c r="S71" s="8" t="s">
        <v>23</v>
      </c>
      <c r="T71" s="8" t="s">
        <v>23</v>
      </c>
      <c r="U71" s="8" t="s">
        <v>23</v>
      </c>
      <c r="V71" s="18" t="s">
        <v>23</v>
      </c>
      <c r="W71" s="18" t="s">
        <v>23</v>
      </c>
      <c r="X71" s="9" t="s">
        <v>23</v>
      </c>
      <c r="Y71" s="8" t="s">
        <v>23</v>
      </c>
      <c r="Z71" s="8" t="s">
        <v>23</v>
      </c>
      <c r="AA71" s="8" t="s">
        <v>23</v>
      </c>
      <c r="AB71" s="8" t="s">
        <v>23</v>
      </c>
      <c r="AC71" s="8" t="s">
        <v>23</v>
      </c>
      <c r="AD71" s="18" t="s">
        <v>23</v>
      </c>
      <c r="AE71" s="18" t="s">
        <v>23</v>
      </c>
      <c r="AF71" s="49">
        <v>0</v>
      </c>
      <c r="AG71" s="20" t="s">
        <v>31</v>
      </c>
    </row>
    <row r="72" spans="1:33" x14ac:dyDescent="0.3">
      <c r="A72" s="3">
        <v>44433</v>
      </c>
      <c r="B72" s="4">
        <v>1600</v>
      </c>
      <c r="C72" s="4" cm="1">
        <f t="array" ref="C72">(SUM(VLOOKUP(H72:AE72,$AI$4:$AK$44,2,FALSE))+AF72*10)*IF(AG72="是",$AQ$4,$AQ$3)</f>
        <v>0</v>
      </c>
      <c r="D72" s="30">
        <f>SUM($B$4:B72)-SUM($C$4:C72)</f>
        <v>52882</v>
      </c>
      <c r="E72" s="4" cm="1">
        <f t="array" ref="E72">SUM(VLOOKUP(H72:AD72,$AI$4:$AK$44,3,FALSE))</f>
        <v>0</v>
      </c>
      <c r="F72" s="4">
        <f>SUM($E$4:E72)+SUM($G$4:G72)</f>
        <v>20925</v>
      </c>
      <c r="G72" s="4">
        <v>0</v>
      </c>
      <c r="H72" s="9" t="s">
        <v>23</v>
      </c>
      <c r="I72" s="8" t="s">
        <v>23</v>
      </c>
      <c r="J72" s="8" t="s">
        <v>23</v>
      </c>
      <c r="K72" s="8" t="s">
        <v>23</v>
      </c>
      <c r="L72" s="8" t="s">
        <v>23</v>
      </c>
      <c r="M72" s="8" t="s">
        <v>23</v>
      </c>
      <c r="N72" s="18" t="s">
        <v>23</v>
      </c>
      <c r="O72" s="17" t="s">
        <v>23</v>
      </c>
      <c r="P72" s="9" t="s">
        <v>23</v>
      </c>
      <c r="Q72" s="8" t="s">
        <v>23</v>
      </c>
      <c r="R72" s="8" t="s">
        <v>23</v>
      </c>
      <c r="S72" s="8" t="s">
        <v>23</v>
      </c>
      <c r="T72" s="8" t="s">
        <v>23</v>
      </c>
      <c r="U72" s="8" t="s">
        <v>23</v>
      </c>
      <c r="V72" s="18" t="s">
        <v>23</v>
      </c>
      <c r="W72" s="18" t="s">
        <v>23</v>
      </c>
      <c r="X72" s="9" t="s">
        <v>23</v>
      </c>
      <c r="Y72" s="8" t="s">
        <v>23</v>
      </c>
      <c r="Z72" s="8" t="s">
        <v>23</v>
      </c>
      <c r="AA72" s="8" t="s">
        <v>23</v>
      </c>
      <c r="AB72" s="8" t="s">
        <v>23</v>
      </c>
      <c r="AC72" s="8" t="s">
        <v>23</v>
      </c>
      <c r="AD72" s="18" t="s">
        <v>23</v>
      </c>
      <c r="AE72" s="18" t="s">
        <v>23</v>
      </c>
      <c r="AF72" s="49">
        <v>0</v>
      </c>
      <c r="AG72" s="20" t="s">
        <v>31</v>
      </c>
    </row>
    <row r="73" spans="1:33" x14ac:dyDescent="0.3">
      <c r="A73" s="3">
        <v>44434</v>
      </c>
      <c r="B73" s="4">
        <v>1600</v>
      </c>
      <c r="C73" s="4" cm="1">
        <f t="array" ref="C73">(SUM(VLOOKUP(H73:AE73,$AI$4:$AK$44,2,FALSE))+AF73*10)*IF(AG73="是",$AQ$4,$AQ$3)</f>
        <v>0</v>
      </c>
      <c r="D73" s="30">
        <f>SUM($B$4:B73)-SUM($C$4:C73)</f>
        <v>54482</v>
      </c>
      <c r="E73" s="4" cm="1">
        <f t="array" ref="E73">SUM(VLOOKUP(H73:AD73,$AI$4:$AK$44,3,FALSE))</f>
        <v>0</v>
      </c>
      <c r="F73" s="4">
        <f>SUM($E$4:E73)+SUM($G$4:G73)</f>
        <v>20925</v>
      </c>
      <c r="G73" s="4">
        <v>0</v>
      </c>
      <c r="H73" s="9" t="s">
        <v>23</v>
      </c>
      <c r="I73" s="8" t="s">
        <v>23</v>
      </c>
      <c r="J73" s="8" t="s">
        <v>23</v>
      </c>
      <c r="K73" s="8" t="s">
        <v>23</v>
      </c>
      <c r="L73" s="8" t="s">
        <v>23</v>
      </c>
      <c r="M73" s="8" t="s">
        <v>23</v>
      </c>
      <c r="N73" s="18" t="s">
        <v>23</v>
      </c>
      <c r="O73" s="17" t="s">
        <v>23</v>
      </c>
      <c r="P73" s="9" t="s">
        <v>23</v>
      </c>
      <c r="Q73" s="8" t="s">
        <v>23</v>
      </c>
      <c r="R73" s="8" t="s">
        <v>23</v>
      </c>
      <c r="S73" s="8" t="s">
        <v>23</v>
      </c>
      <c r="T73" s="8" t="s">
        <v>23</v>
      </c>
      <c r="U73" s="8" t="s">
        <v>23</v>
      </c>
      <c r="V73" s="18" t="s">
        <v>23</v>
      </c>
      <c r="W73" s="18" t="s">
        <v>23</v>
      </c>
      <c r="X73" s="9" t="s">
        <v>23</v>
      </c>
      <c r="Y73" s="8" t="s">
        <v>23</v>
      </c>
      <c r="Z73" s="8" t="s">
        <v>23</v>
      </c>
      <c r="AA73" s="8" t="s">
        <v>23</v>
      </c>
      <c r="AB73" s="8" t="s">
        <v>23</v>
      </c>
      <c r="AC73" s="8" t="s">
        <v>23</v>
      </c>
      <c r="AD73" s="18" t="s">
        <v>23</v>
      </c>
      <c r="AE73" s="18" t="s">
        <v>23</v>
      </c>
      <c r="AF73" s="49">
        <v>0</v>
      </c>
      <c r="AG73" s="20" t="s">
        <v>31</v>
      </c>
    </row>
    <row r="74" spans="1:33" x14ac:dyDescent="0.3">
      <c r="A74" s="3">
        <v>44435</v>
      </c>
      <c r="B74" s="4">
        <v>1600</v>
      </c>
      <c r="C74" s="4" cm="1">
        <f t="array" ref="C74">(SUM(VLOOKUP(H74:AE74,$AI$4:$AK$44,2,FALSE))+AF74*10)*IF(AG74="是",$AQ$4,$AQ$3)</f>
        <v>0</v>
      </c>
      <c r="D74" s="30">
        <f>SUM($B$4:B74)-SUM($C$4:C74)</f>
        <v>56082</v>
      </c>
      <c r="E74" s="4" cm="1">
        <f t="array" ref="E74">SUM(VLOOKUP(H74:AD74,$AI$4:$AK$44,3,FALSE))</f>
        <v>0</v>
      </c>
      <c r="F74" s="4">
        <f>SUM($E$4:E74)+SUM($G$4:G74)</f>
        <v>20925</v>
      </c>
      <c r="G74" s="4">
        <v>0</v>
      </c>
      <c r="H74" s="9" t="s">
        <v>23</v>
      </c>
      <c r="I74" s="8" t="s">
        <v>23</v>
      </c>
      <c r="J74" s="8" t="s">
        <v>23</v>
      </c>
      <c r="K74" s="8" t="s">
        <v>23</v>
      </c>
      <c r="L74" s="8" t="s">
        <v>23</v>
      </c>
      <c r="M74" s="8" t="s">
        <v>23</v>
      </c>
      <c r="N74" s="18" t="s">
        <v>23</v>
      </c>
      <c r="O74" s="17" t="s">
        <v>23</v>
      </c>
      <c r="P74" s="9" t="s">
        <v>23</v>
      </c>
      <c r="Q74" s="8" t="s">
        <v>23</v>
      </c>
      <c r="R74" s="8" t="s">
        <v>23</v>
      </c>
      <c r="S74" s="8" t="s">
        <v>23</v>
      </c>
      <c r="T74" s="8" t="s">
        <v>23</v>
      </c>
      <c r="U74" s="8" t="s">
        <v>23</v>
      </c>
      <c r="V74" s="18" t="s">
        <v>23</v>
      </c>
      <c r="W74" s="18" t="s">
        <v>23</v>
      </c>
      <c r="X74" s="9" t="s">
        <v>23</v>
      </c>
      <c r="Y74" s="8" t="s">
        <v>23</v>
      </c>
      <c r="Z74" s="8" t="s">
        <v>23</v>
      </c>
      <c r="AA74" s="8" t="s">
        <v>23</v>
      </c>
      <c r="AB74" s="8" t="s">
        <v>23</v>
      </c>
      <c r="AC74" s="8" t="s">
        <v>23</v>
      </c>
      <c r="AD74" s="18" t="s">
        <v>23</v>
      </c>
      <c r="AE74" s="18" t="s">
        <v>23</v>
      </c>
      <c r="AF74" s="49">
        <v>0</v>
      </c>
      <c r="AG74" s="20" t="s">
        <v>31</v>
      </c>
    </row>
    <row r="75" spans="1:33" x14ac:dyDescent="0.3">
      <c r="A75" s="3">
        <v>44436</v>
      </c>
      <c r="B75" s="4">
        <v>1600</v>
      </c>
      <c r="C75" s="4" cm="1">
        <f t="array" ref="C75">(SUM(VLOOKUP(H75:AE75,$AI$4:$AK$44,2,FALSE))+AF75*10)*IF(AG75="是",$AQ$4,$AQ$3)</f>
        <v>0</v>
      </c>
      <c r="D75" s="30">
        <f>SUM($B$4:B75)-SUM($C$4:C75)</f>
        <v>57682</v>
      </c>
      <c r="E75" s="4" cm="1">
        <f t="array" ref="E75">SUM(VLOOKUP(H75:AD75,$AI$4:$AK$44,3,FALSE))</f>
        <v>0</v>
      </c>
      <c r="F75" s="4">
        <f>SUM($E$4:E75)+SUM($G$4:G75)</f>
        <v>20925</v>
      </c>
      <c r="G75" s="4">
        <v>0</v>
      </c>
      <c r="H75" s="9" t="s">
        <v>23</v>
      </c>
      <c r="I75" s="8" t="s">
        <v>23</v>
      </c>
      <c r="J75" s="8" t="s">
        <v>23</v>
      </c>
      <c r="K75" s="8" t="s">
        <v>23</v>
      </c>
      <c r="L75" s="8" t="s">
        <v>23</v>
      </c>
      <c r="M75" s="8" t="s">
        <v>23</v>
      </c>
      <c r="N75" s="18" t="s">
        <v>23</v>
      </c>
      <c r="O75" s="17" t="s">
        <v>23</v>
      </c>
      <c r="P75" s="9" t="s">
        <v>23</v>
      </c>
      <c r="Q75" s="8" t="s">
        <v>23</v>
      </c>
      <c r="R75" s="8" t="s">
        <v>23</v>
      </c>
      <c r="S75" s="8" t="s">
        <v>23</v>
      </c>
      <c r="T75" s="8" t="s">
        <v>23</v>
      </c>
      <c r="U75" s="8" t="s">
        <v>23</v>
      </c>
      <c r="V75" s="18" t="s">
        <v>23</v>
      </c>
      <c r="W75" s="18" t="s">
        <v>23</v>
      </c>
      <c r="X75" s="9" t="s">
        <v>23</v>
      </c>
      <c r="Y75" s="8" t="s">
        <v>23</v>
      </c>
      <c r="Z75" s="8" t="s">
        <v>23</v>
      </c>
      <c r="AA75" s="8" t="s">
        <v>23</v>
      </c>
      <c r="AB75" s="8" t="s">
        <v>23</v>
      </c>
      <c r="AC75" s="8" t="s">
        <v>23</v>
      </c>
      <c r="AD75" s="18" t="s">
        <v>23</v>
      </c>
      <c r="AE75" s="18" t="s">
        <v>23</v>
      </c>
      <c r="AF75" s="49">
        <v>0</v>
      </c>
      <c r="AG75" s="20" t="s">
        <v>31</v>
      </c>
    </row>
    <row r="76" spans="1:33" x14ac:dyDescent="0.3">
      <c r="A76" s="3">
        <v>44437</v>
      </c>
      <c r="B76" s="4">
        <v>1600</v>
      </c>
      <c r="C76" s="4" cm="1">
        <f t="array" ref="C76">(SUM(VLOOKUP(H76:AE76,$AI$4:$AK$44,2,FALSE))+AF76*10)*IF(AG76="是",$AQ$4,$AQ$3)</f>
        <v>0</v>
      </c>
      <c r="D76" s="30">
        <f>SUM($B$4:B76)-SUM($C$4:C76)</f>
        <v>59282</v>
      </c>
      <c r="E76" s="4" cm="1">
        <f t="array" ref="E76">SUM(VLOOKUP(H76:AD76,$AI$4:$AK$44,3,FALSE))</f>
        <v>0</v>
      </c>
      <c r="F76" s="4">
        <f>SUM($E$4:E76)+SUM($G$4:G76)</f>
        <v>20925</v>
      </c>
      <c r="G76" s="4">
        <v>0</v>
      </c>
      <c r="H76" s="9" t="s">
        <v>23</v>
      </c>
      <c r="I76" s="8" t="s">
        <v>23</v>
      </c>
      <c r="J76" s="8" t="s">
        <v>23</v>
      </c>
      <c r="K76" s="8" t="s">
        <v>23</v>
      </c>
      <c r="L76" s="8" t="s">
        <v>23</v>
      </c>
      <c r="M76" s="8" t="s">
        <v>23</v>
      </c>
      <c r="N76" s="18" t="s">
        <v>23</v>
      </c>
      <c r="O76" s="17" t="s">
        <v>23</v>
      </c>
      <c r="P76" s="9" t="s">
        <v>23</v>
      </c>
      <c r="Q76" s="8" t="s">
        <v>23</v>
      </c>
      <c r="R76" s="8" t="s">
        <v>23</v>
      </c>
      <c r="S76" s="8" t="s">
        <v>23</v>
      </c>
      <c r="T76" s="8" t="s">
        <v>23</v>
      </c>
      <c r="U76" s="8" t="s">
        <v>23</v>
      </c>
      <c r="V76" s="18" t="s">
        <v>23</v>
      </c>
      <c r="W76" s="18" t="s">
        <v>23</v>
      </c>
      <c r="X76" s="9" t="s">
        <v>23</v>
      </c>
      <c r="Y76" s="8" t="s">
        <v>23</v>
      </c>
      <c r="Z76" s="8" t="s">
        <v>23</v>
      </c>
      <c r="AA76" s="8" t="s">
        <v>23</v>
      </c>
      <c r="AB76" s="8" t="s">
        <v>23</v>
      </c>
      <c r="AC76" s="8" t="s">
        <v>23</v>
      </c>
      <c r="AD76" s="18" t="s">
        <v>23</v>
      </c>
      <c r="AE76" s="18" t="s">
        <v>23</v>
      </c>
      <c r="AF76" s="49">
        <v>0</v>
      </c>
      <c r="AG76" s="20" t="s">
        <v>31</v>
      </c>
    </row>
    <row r="77" spans="1:33" x14ac:dyDescent="0.3">
      <c r="A77" s="1">
        <v>44438</v>
      </c>
      <c r="B77">
        <v>1600</v>
      </c>
      <c r="C77" s="4" cm="1">
        <f t="array" ref="C77">(SUM(VLOOKUP(H77:AE77,$AI$4:$AK$44,2,FALSE))+AF77*10)*IF(AG77="是",$AQ$4,$AQ$3)</f>
        <v>0</v>
      </c>
      <c r="D77" s="31">
        <f>SUM($B$4:B77)-SUM($C$4:C77)</f>
        <v>60882</v>
      </c>
      <c r="E77" s="4" cm="1">
        <f t="array" ref="E77">SUM(VLOOKUP(H77:AD77,$AI$4:$AK$44,3,FALSE))</f>
        <v>0</v>
      </c>
      <c r="F77" s="4">
        <f>SUM($E$4:E77)+SUM($G$4:G77)</f>
        <v>20925</v>
      </c>
      <c r="G77">
        <v>0</v>
      </c>
      <c r="H77" s="9" t="s">
        <v>23</v>
      </c>
      <c r="I77" s="8" t="s">
        <v>23</v>
      </c>
      <c r="J77" s="8" t="s">
        <v>23</v>
      </c>
      <c r="K77" s="8" t="s">
        <v>23</v>
      </c>
      <c r="L77" s="8" t="s">
        <v>23</v>
      </c>
      <c r="M77" s="8" t="s">
        <v>23</v>
      </c>
      <c r="N77" s="18" t="s">
        <v>23</v>
      </c>
      <c r="O77" s="17" t="s">
        <v>23</v>
      </c>
      <c r="P77" s="9" t="s">
        <v>23</v>
      </c>
      <c r="Q77" s="8" t="s">
        <v>23</v>
      </c>
      <c r="R77" s="8" t="s">
        <v>23</v>
      </c>
      <c r="S77" s="8" t="s">
        <v>23</v>
      </c>
      <c r="T77" s="8" t="s">
        <v>23</v>
      </c>
      <c r="U77" s="8" t="s">
        <v>23</v>
      </c>
      <c r="V77" s="18" t="s">
        <v>23</v>
      </c>
      <c r="W77" s="18" t="s">
        <v>23</v>
      </c>
      <c r="X77" s="9" t="s">
        <v>23</v>
      </c>
      <c r="Y77" s="8" t="s">
        <v>23</v>
      </c>
      <c r="Z77" s="8" t="s">
        <v>23</v>
      </c>
      <c r="AA77" s="8" t="s">
        <v>23</v>
      </c>
      <c r="AB77" s="8" t="s">
        <v>23</v>
      </c>
      <c r="AC77" s="8" t="s">
        <v>23</v>
      </c>
      <c r="AD77" s="18" t="s">
        <v>23</v>
      </c>
      <c r="AE77" s="18" t="s">
        <v>23</v>
      </c>
      <c r="AF77" s="49">
        <v>0</v>
      </c>
      <c r="AG77" s="20" t="s">
        <v>31</v>
      </c>
    </row>
    <row r="78" spans="1:33" x14ac:dyDescent="0.3">
      <c r="A78" s="1">
        <v>44439</v>
      </c>
      <c r="B78">
        <v>1600</v>
      </c>
      <c r="C78" s="4" cm="1">
        <f t="array" ref="C78">(SUM(VLOOKUP(H78:AE78,$AI$4:$AK$44,2,FALSE))+AF78*10)*IF(AG78="是",$AQ$4,$AQ$3)</f>
        <v>0</v>
      </c>
      <c r="D78" s="31">
        <f>SUM($B$4:B78)-SUM($C$4:C78)</f>
        <v>62482</v>
      </c>
      <c r="E78" s="4" cm="1">
        <f t="array" ref="E78">SUM(VLOOKUP(H78:AD78,$AI$4:$AK$44,3,FALSE))</f>
        <v>0</v>
      </c>
      <c r="F78" s="4">
        <f>SUM($E$4:E78)+SUM($G$4:G78)</f>
        <v>20925</v>
      </c>
      <c r="G78">
        <v>0</v>
      </c>
      <c r="H78" s="9" t="s">
        <v>23</v>
      </c>
      <c r="I78" s="8" t="s">
        <v>23</v>
      </c>
      <c r="J78" s="8" t="s">
        <v>23</v>
      </c>
      <c r="K78" s="8" t="s">
        <v>23</v>
      </c>
      <c r="L78" s="8" t="s">
        <v>23</v>
      </c>
      <c r="M78" s="8" t="s">
        <v>23</v>
      </c>
      <c r="N78" s="18" t="s">
        <v>23</v>
      </c>
      <c r="O78" s="17" t="s">
        <v>23</v>
      </c>
      <c r="P78" s="9" t="s">
        <v>23</v>
      </c>
      <c r="Q78" s="8" t="s">
        <v>23</v>
      </c>
      <c r="R78" s="8" t="s">
        <v>23</v>
      </c>
      <c r="S78" s="8" t="s">
        <v>23</v>
      </c>
      <c r="T78" s="8" t="s">
        <v>23</v>
      </c>
      <c r="U78" s="8" t="s">
        <v>23</v>
      </c>
      <c r="V78" s="18" t="s">
        <v>23</v>
      </c>
      <c r="W78" s="18" t="s">
        <v>23</v>
      </c>
      <c r="X78" s="9" t="s">
        <v>23</v>
      </c>
      <c r="Y78" s="8" t="s">
        <v>23</v>
      </c>
      <c r="Z78" s="8" t="s">
        <v>23</v>
      </c>
      <c r="AA78" s="8" t="s">
        <v>23</v>
      </c>
      <c r="AB78" s="8" t="s">
        <v>23</v>
      </c>
      <c r="AC78" s="8" t="s">
        <v>23</v>
      </c>
      <c r="AD78" s="18" t="s">
        <v>23</v>
      </c>
      <c r="AE78" s="18" t="s">
        <v>23</v>
      </c>
      <c r="AF78" s="49">
        <v>0</v>
      </c>
      <c r="AG78" s="20" t="s">
        <v>31</v>
      </c>
    </row>
    <row r="79" spans="1:33" x14ac:dyDescent="0.3">
      <c r="A79" s="1">
        <v>44440</v>
      </c>
      <c r="B79">
        <v>1600</v>
      </c>
      <c r="C79" s="4" cm="1">
        <f t="array" ref="C79">(SUM(VLOOKUP(H79:AE79,$AI$4:$AK$44,2,FALSE))+AF79*10)*IF(AG79="是",$AQ$4,$AQ$3)</f>
        <v>0</v>
      </c>
      <c r="D79" s="31">
        <f>SUM($B$4:B79)-SUM($C$4:C79)</f>
        <v>64082</v>
      </c>
      <c r="E79" s="4" cm="1">
        <f t="array" ref="E79">SUM(VLOOKUP(H79:AD79,$AI$4:$AK$44,3,FALSE))</f>
        <v>0</v>
      </c>
      <c r="F79" s="4">
        <f>SUM($E$4:E79)+SUM($G$4:G79)</f>
        <v>20925</v>
      </c>
      <c r="G79">
        <v>0</v>
      </c>
      <c r="H79" s="9" t="s">
        <v>23</v>
      </c>
      <c r="I79" s="8" t="s">
        <v>23</v>
      </c>
      <c r="J79" s="8" t="s">
        <v>23</v>
      </c>
      <c r="K79" s="8" t="s">
        <v>23</v>
      </c>
      <c r="L79" s="8" t="s">
        <v>23</v>
      </c>
      <c r="M79" s="8" t="s">
        <v>23</v>
      </c>
      <c r="N79" s="18" t="s">
        <v>23</v>
      </c>
      <c r="O79" s="17" t="s">
        <v>23</v>
      </c>
      <c r="P79" s="9" t="s">
        <v>23</v>
      </c>
      <c r="Q79" s="8" t="s">
        <v>23</v>
      </c>
      <c r="R79" s="8" t="s">
        <v>23</v>
      </c>
      <c r="S79" s="8" t="s">
        <v>23</v>
      </c>
      <c r="T79" s="8" t="s">
        <v>23</v>
      </c>
      <c r="U79" s="8" t="s">
        <v>23</v>
      </c>
      <c r="V79" s="18" t="s">
        <v>23</v>
      </c>
      <c r="W79" s="18" t="s">
        <v>23</v>
      </c>
      <c r="X79" s="9" t="s">
        <v>23</v>
      </c>
      <c r="Y79" s="8" t="s">
        <v>23</v>
      </c>
      <c r="Z79" s="8" t="s">
        <v>23</v>
      </c>
      <c r="AA79" s="8" t="s">
        <v>23</v>
      </c>
      <c r="AB79" s="8" t="s">
        <v>23</v>
      </c>
      <c r="AC79" s="8" t="s">
        <v>23</v>
      </c>
      <c r="AD79" s="18" t="s">
        <v>23</v>
      </c>
      <c r="AE79" s="18" t="s">
        <v>23</v>
      </c>
      <c r="AF79" s="49">
        <v>0</v>
      </c>
      <c r="AG79" s="20" t="s">
        <v>31</v>
      </c>
    </row>
    <row r="80" spans="1:33" x14ac:dyDescent="0.3">
      <c r="A80" s="1">
        <v>44441</v>
      </c>
      <c r="B80">
        <v>1600</v>
      </c>
      <c r="C80" s="4" cm="1">
        <f t="array" ref="C80">(SUM(VLOOKUP(H80:AE80,$AI$4:$AK$44,2,FALSE))+AF80*10)*IF(AG80="是",$AQ$4,$AQ$3)</f>
        <v>0</v>
      </c>
      <c r="D80" s="31">
        <f>SUM($B$4:B80)-SUM($C$4:C80)</f>
        <v>65682</v>
      </c>
      <c r="E80" s="4" cm="1">
        <f t="array" ref="E80">SUM(VLOOKUP(H80:AD80,$AI$4:$AK$44,3,FALSE))</f>
        <v>0</v>
      </c>
      <c r="F80" s="4">
        <f>SUM($E$4:E80)+SUM($G$4:G80)</f>
        <v>20925</v>
      </c>
      <c r="G80">
        <v>0</v>
      </c>
      <c r="H80" s="9" t="s">
        <v>23</v>
      </c>
      <c r="I80" s="8" t="s">
        <v>23</v>
      </c>
      <c r="J80" s="8" t="s">
        <v>23</v>
      </c>
      <c r="K80" s="8" t="s">
        <v>23</v>
      </c>
      <c r="L80" s="8" t="s">
        <v>23</v>
      </c>
      <c r="M80" s="8" t="s">
        <v>23</v>
      </c>
      <c r="N80" s="18" t="s">
        <v>23</v>
      </c>
      <c r="O80" s="17" t="s">
        <v>23</v>
      </c>
      <c r="P80" s="9" t="s">
        <v>23</v>
      </c>
      <c r="Q80" s="8" t="s">
        <v>23</v>
      </c>
      <c r="R80" s="8" t="s">
        <v>23</v>
      </c>
      <c r="S80" s="8" t="s">
        <v>23</v>
      </c>
      <c r="T80" s="8" t="s">
        <v>23</v>
      </c>
      <c r="U80" s="8" t="s">
        <v>23</v>
      </c>
      <c r="V80" s="18" t="s">
        <v>23</v>
      </c>
      <c r="W80" s="18" t="s">
        <v>23</v>
      </c>
      <c r="X80" s="9" t="s">
        <v>23</v>
      </c>
      <c r="Y80" s="8" t="s">
        <v>23</v>
      </c>
      <c r="Z80" s="8" t="s">
        <v>23</v>
      </c>
      <c r="AA80" s="8" t="s">
        <v>23</v>
      </c>
      <c r="AB80" s="8" t="s">
        <v>23</v>
      </c>
      <c r="AC80" s="8" t="s">
        <v>23</v>
      </c>
      <c r="AD80" s="18" t="s">
        <v>23</v>
      </c>
      <c r="AE80" s="18" t="s">
        <v>23</v>
      </c>
      <c r="AF80" s="49">
        <v>0</v>
      </c>
      <c r="AG80" s="20" t="s">
        <v>31</v>
      </c>
    </row>
    <row r="81" spans="1:33" x14ac:dyDescent="0.3">
      <c r="A81" s="1">
        <v>44442</v>
      </c>
      <c r="B81">
        <v>1600</v>
      </c>
      <c r="C81" s="4" cm="1">
        <f t="array" ref="C81">(SUM(VLOOKUP(H81:AE81,$AI$4:$AK$44,2,FALSE))+AF81*10)*IF(AG81="是",$AQ$4,$AQ$3)</f>
        <v>0</v>
      </c>
      <c r="D81" s="31">
        <f>SUM($B$4:B81)-SUM($C$4:C81)</f>
        <v>67282</v>
      </c>
      <c r="E81" s="4" cm="1">
        <f t="array" ref="E81">SUM(VLOOKUP(H81:AD81,$AI$4:$AK$44,3,FALSE))</f>
        <v>0</v>
      </c>
      <c r="F81" s="4">
        <f>SUM($E$4:E81)+SUM($G$4:G81)</f>
        <v>20925</v>
      </c>
      <c r="G81">
        <v>0</v>
      </c>
      <c r="H81" s="9" t="s">
        <v>23</v>
      </c>
      <c r="I81" s="8" t="s">
        <v>23</v>
      </c>
      <c r="J81" s="8" t="s">
        <v>23</v>
      </c>
      <c r="K81" s="8" t="s">
        <v>23</v>
      </c>
      <c r="L81" s="8" t="s">
        <v>23</v>
      </c>
      <c r="M81" s="8" t="s">
        <v>23</v>
      </c>
      <c r="N81" s="18" t="s">
        <v>23</v>
      </c>
      <c r="O81" s="17" t="s">
        <v>23</v>
      </c>
      <c r="P81" s="9" t="s">
        <v>23</v>
      </c>
      <c r="Q81" s="8" t="s">
        <v>23</v>
      </c>
      <c r="R81" s="8" t="s">
        <v>23</v>
      </c>
      <c r="S81" s="8" t="s">
        <v>23</v>
      </c>
      <c r="T81" s="8" t="s">
        <v>23</v>
      </c>
      <c r="U81" s="8" t="s">
        <v>23</v>
      </c>
      <c r="V81" s="18" t="s">
        <v>23</v>
      </c>
      <c r="W81" s="18" t="s">
        <v>23</v>
      </c>
      <c r="X81" s="9" t="s">
        <v>23</v>
      </c>
      <c r="Y81" s="8" t="s">
        <v>23</v>
      </c>
      <c r="Z81" s="8" t="s">
        <v>23</v>
      </c>
      <c r="AA81" s="8" t="s">
        <v>23</v>
      </c>
      <c r="AB81" s="8" t="s">
        <v>23</v>
      </c>
      <c r="AC81" s="8" t="s">
        <v>23</v>
      </c>
      <c r="AD81" s="18" t="s">
        <v>23</v>
      </c>
      <c r="AE81" s="18" t="s">
        <v>23</v>
      </c>
      <c r="AF81" s="49">
        <v>0</v>
      </c>
      <c r="AG81" s="20" t="s">
        <v>31</v>
      </c>
    </row>
    <row r="82" spans="1:33" x14ac:dyDescent="0.3">
      <c r="A82" s="1">
        <v>44443</v>
      </c>
      <c r="B82">
        <v>1600</v>
      </c>
      <c r="C82" s="4" cm="1">
        <f t="array" ref="C82">(SUM(VLOOKUP(H82:AE82,$AI$4:$AK$44,2,FALSE))+AF82*10)*IF(AG82="是",$AQ$4,$AQ$3)</f>
        <v>0</v>
      </c>
      <c r="D82" s="31">
        <f>SUM($B$4:B82)-SUM($C$4:C82)</f>
        <v>68882</v>
      </c>
      <c r="E82" s="4" cm="1">
        <f t="array" ref="E82">SUM(VLOOKUP(H82:AD82,$AI$4:$AK$44,3,FALSE))</f>
        <v>0</v>
      </c>
      <c r="F82" s="4">
        <f>SUM($E$4:E82)+SUM($G$4:G82)</f>
        <v>20925</v>
      </c>
      <c r="G82">
        <v>0</v>
      </c>
      <c r="H82" s="9" t="s">
        <v>23</v>
      </c>
      <c r="I82" s="8" t="s">
        <v>23</v>
      </c>
      <c r="J82" s="8" t="s">
        <v>23</v>
      </c>
      <c r="K82" s="8" t="s">
        <v>23</v>
      </c>
      <c r="L82" s="8" t="s">
        <v>23</v>
      </c>
      <c r="M82" s="8" t="s">
        <v>23</v>
      </c>
      <c r="N82" s="18" t="s">
        <v>23</v>
      </c>
      <c r="O82" s="17" t="s">
        <v>23</v>
      </c>
      <c r="P82" s="9" t="s">
        <v>23</v>
      </c>
      <c r="Q82" s="8" t="s">
        <v>23</v>
      </c>
      <c r="R82" s="8" t="s">
        <v>23</v>
      </c>
      <c r="S82" s="8" t="s">
        <v>23</v>
      </c>
      <c r="T82" s="8" t="s">
        <v>23</v>
      </c>
      <c r="U82" s="8" t="s">
        <v>23</v>
      </c>
      <c r="V82" s="18" t="s">
        <v>23</v>
      </c>
      <c r="W82" s="18" t="s">
        <v>23</v>
      </c>
      <c r="X82" s="9" t="s">
        <v>23</v>
      </c>
      <c r="Y82" s="8" t="s">
        <v>23</v>
      </c>
      <c r="Z82" s="8" t="s">
        <v>23</v>
      </c>
      <c r="AA82" s="8" t="s">
        <v>23</v>
      </c>
      <c r="AB82" s="8" t="s">
        <v>23</v>
      </c>
      <c r="AC82" s="8" t="s">
        <v>23</v>
      </c>
      <c r="AD82" s="18" t="s">
        <v>23</v>
      </c>
      <c r="AE82" s="18" t="s">
        <v>23</v>
      </c>
      <c r="AF82" s="49">
        <v>0</v>
      </c>
      <c r="AG82" s="20" t="s">
        <v>31</v>
      </c>
    </row>
    <row r="83" spans="1:33" x14ac:dyDescent="0.3">
      <c r="A83" s="1">
        <v>44444</v>
      </c>
      <c r="B83">
        <v>1600</v>
      </c>
      <c r="C83" s="4" cm="1">
        <f t="array" ref="C83">(SUM(VLOOKUP(H83:AE83,$AI$4:$AK$44,2,FALSE))+AF83*10)*IF(AG83="是",$AQ$4,$AQ$3)</f>
        <v>0</v>
      </c>
      <c r="D83" s="31">
        <f>SUM($B$4:B83)-SUM($C$4:C83)</f>
        <v>70482</v>
      </c>
      <c r="E83" s="4" cm="1">
        <f t="array" ref="E83">SUM(VLOOKUP(H83:AD83,$AI$4:$AK$44,3,FALSE))</f>
        <v>0</v>
      </c>
      <c r="F83" s="4">
        <f>SUM($E$4:E83)+SUM($G$4:G83)</f>
        <v>20925</v>
      </c>
      <c r="G83">
        <v>0</v>
      </c>
      <c r="H83" s="9" t="s">
        <v>23</v>
      </c>
      <c r="I83" s="8" t="s">
        <v>23</v>
      </c>
      <c r="J83" s="8" t="s">
        <v>23</v>
      </c>
      <c r="K83" s="8" t="s">
        <v>23</v>
      </c>
      <c r="L83" s="8" t="s">
        <v>23</v>
      </c>
      <c r="M83" s="8" t="s">
        <v>23</v>
      </c>
      <c r="N83" s="18" t="s">
        <v>23</v>
      </c>
      <c r="O83" s="17" t="s">
        <v>23</v>
      </c>
      <c r="P83" s="9" t="s">
        <v>23</v>
      </c>
      <c r="Q83" s="8" t="s">
        <v>23</v>
      </c>
      <c r="R83" s="8" t="s">
        <v>23</v>
      </c>
      <c r="S83" s="8" t="s">
        <v>23</v>
      </c>
      <c r="T83" s="8" t="s">
        <v>23</v>
      </c>
      <c r="U83" s="8" t="s">
        <v>23</v>
      </c>
      <c r="V83" s="18" t="s">
        <v>23</v>
      </c>
      <c r="W83" s="18" t="s">
        <v>23</v>
      </c>
      <c r="X83" s="9" t="s">
        <v>23</v>
      </c>
      <c r="Y83" s="8" t="s">
        <v>23</v>
      </c>
      <c r="Z83" s="8" t="s">
        <v>23</v>
      </c>
      <c r="AA83" s="8" t="s">
        <v>23</v>
      </c>
      <c r="AB83" s="8" t="s">
        <v>23</v>
      </c>
      <c r="AC83" s="8" t="s">
        <v>23</v>
      </c>
      <c r="AD83" s="18" t="s">
        <v>23</v>
      </c>
      <c r="AE83" s="18" t="s">
        <v>23</v>
      </c>
      <c r="AF83" s="49">
        <v>0</v>
      </c>
      <c r="AG83" s="20" t="s">
        <v>31</v>
      </c>
    </row>
    <row r="84" spans="1:33" x14ac:dyDescent="0.3">
      <c r="A84" s="3">
        <v>44445</v>
      </c>
      <c r="B84" s="4">
        <v>1600</v>
      </c>
      <c r="C84" s="4" cm="1">
        <f t="array" ref="C84">(SUM(VLOOKUP(H84:AE84,$AI$4:$AK$44,2,FALSE))+AF84*10)*IF(AG84="是",$AQ$4,$AQ$3)</f>
        <v>0</v>
      </c>
      <c r="D84" s="30">
        <f>SUM($B$4:B84)-SUM($C$4:C84)</f>
        <v>72082</v>
      </c>
      <c r="E84" s="4" cm="1">
        <f t="array" ref="E84">SUM(VLOOKUP(H84:AD84,$AI$4:$AK$44,3,FALSE))</f>
        <v>0</v>
      </c>
      <c r="F84" s="4">
        <f>SUM($E$4:E84)+SUM($G$4:G84)</f>
        <v>20925</v>
      </c>
      <c r="G84" s="4">
        <v>0</v>
      </c>
      <c r="H84" s="9" t="s">
        <v>23</v>
      </c>
      <c r="I84" s="8" t="s">
        <v>23</v>
      </c>
      <c r="J84" s="8" t="s">
        <v>23</v>
      </c>
      <c r="K84" s="8" t="s">
        <v>23</v>
      </c>
      <c r="L84" s="8" t="s">
        <v>23</v>
      </c>
      <c r="M84" s="8" t="s">
        <v>23</v>
      </c>
      <c r="N84" s="18" t="s">
        <v>23</v>
      </c>
      <c r="O84" s="17" t="s">
        <v>23</v>
      </c>
      <c r="P84" s="9" t="s">
        <v>23</v>
      </c>
      <c r="Q84" s="8" t="s">
        <v>23</v>
      </c>
      <c r="R84" s="8" t="s">
        <v>23</v>
      </c>
      <c r="S84" s="8" t="s">
        <v>23</v>
      </c>
      <c r="T84" s="8" t="s">
        <v>23</v>
      </c>
      <c r="U84" s="8" t="s">
        <v>23</v>
      </c>
      <c r="V84" s="18" t="s">
        <v>23</v>
      </c>
      <c r="W84" s="18" t="s">
        <v>23</v>
      </c>
      <c r="X84" s="9" t="s">
        <v>23</v>
      </c>
      <c r="Y84" s="8" t="s">
        <v>23</v>
      </c>
      <c r="Z84" s="8" t="s">
        <v>23</v>
      </c>
      <c r="AA84" s="8" t="s">
        <v>23</v>
      </c>
      <c r="AB84" s="8" t="s">
        <v>23</v>
      </c>
      <c r="AC84" s="8" t="s">
        <v>23</v>
      </c>
      <c r="AD84" s="18" t="s">
        <v>23</v>
      </c>
      <c r="AE84" s="18" t="s">
        <v>23</v>
      </c>
      <c r="AF84" s="49">
        <v>0</v>
      </c>
      <c r="AG84" s="20" t="s">
        <v>31</v>
      </c>
    </row>
    <row r="85" spans="1:33" x14ac:dyDescent="0.3">
      <c r="A85" s="3">
        <v>44446</v>
      </c>
      <c r="B85" s="4">
        <v>1600</v>
      </c>
      <c r="C85" s="4" cm="1">
        <f t="array" ref="C85">(SUM(VLOOKUP(H85:AE85,$AI$4:$AK$44,2,FALSE))+AF85*10)*IF(AG85="是",$AQ$4,$AQ$3)</f>
        <v>0</v>
      </c>
      <c r="D85" s="30">
        <f>SUM($B$4:B85)-SUM($C$4:C85)</f>
        <v>73682</v>
      </c>
      <c r="E85" s="4" cm="1">
        <f t="array" ref="E85">SUM(VLOOKUP(H85:AD85,$AI$4:$AK$44,3,FALSE))</f>
        <v>0</v>
      </c>
      <c r="F85" s="4">
        <f>SUM($E$4:E85)+SUM($G$4:G85)</f>
        <v>20925</v>
      </c>
      <c r="G85" s="4">
        <v>0</v>
      </c>
      <c r="H85" s="9" t="s">
        <v>23</v>
      </c>
      <c r="I85" s="8" t="s">
        <v>23</v>
      </c>
      <c r="J85" s="8" t="s">
        <v>23</v>
      </c>
      <c r="K85" s="8" t="s">
        <v>23</v>
      </c>
      <c r="L85" s="8" t="s">
        <v>23</v>
      </c>
      <c r="M85" s="8" t="s">
        <v>23</v>
      </c>
      <c r="N85" s="18" t="s">
        <v>23</v>
      </c>
      <c r="O85" s="17" t="s">
        <v>23</v>
      </c>
      <c r="P85" s="9" t="s">
        <v>23</v>
      </c>
      <c r="Q85" s="8" t="s">
        <v>23</v>
      </c>
      <c r="R85" s="8" t="s">
        <v>23</v>
      </c>
      <c r="S85" s="8" t="s">
        <v>23</v>
      </c>
      <c r="T85" s="8" t="s">
        <v>23</v>
      </c>
      <c r="U85" s="8" t="s">
        <v>23</v>
      </c>
      <c r="V85" s="18" t="s">
        <v>23</v>
      </c>
      <c r="W85" s="18" t="s">
        <v>23</v>
      </c>
      <c r="X85" s="9" t="s">
        <v>23</v>
      </c>
      <c r="Y85" s="8" t="s">
        <v>23</v>
      </c>
      <c r="Z85" s="8" t="s">
        <v>23</v>
      </c>
      <c r="AA85" s="8" t="s">
        <v>23</v>
      </c>
      <c r="AB85" s="8" t="s">
        <v>23</v>
      </c>
      <c r="AC85" s="8" t="s">
        <v>23</v>
      </c>
      <c r="AD85" s="18" t="s">
        <v>23</v>
      </c>
      <c r="AE85" s="18" t="s">
        <v>23</v>
      </c>
      <c r="AF85" s="49">
        <v>0</v>
      </c>
      <c r="AG85" s="20" t="s">
        <v>31</v>
      </c>
    </row>
    <row r="86" spans="1:33" x14ac:dyDescent="0.3">
      <c r="A86" s="3">
        <v>44447</v>
      </c>
      <c r="B86" s="4">
        <v>1600</v>
      </c>
      <c r="C86" s="4" cm="1">
        <f t="array" ref="C86">(SUM(VLOOKUP(H86:AE86,$AI$4:$AK$44,2,FALSE))+AF86*10)*IF(AG86="是",$AQ$4,$AQ$3)</f>
        <v>0</v>
      </c>
      <c r="D86" s="30">
        <f>SUM($B$4:B86)-SUM($C$4:C86)</f>
        <v>75282</v>
      </c>
      <c r="E86" s="4" cm="1">
        <f t="array" ref="E86">SUM(VLOOKUP(H86:AD86,$AI$4:$AK$44,3,FALSE))</f>
        <v>0</v>
      </c>
      <c r="F86" s="4">
        <f>SUM($E$4:E86)+SUM($G$4:G86)</f>
        <v>20925</v>
      </c>
      <c r="G86" s="4">
        <v>0</v>
      </c>
      <c r="H86" s="9" t="s">
        <v>23</v>
      </c>
      <c r="I86" s="8" t="s">
        <v>23</v>
      </c>
      <c r="J86" s="8" t="s">
        <v>23</v>
      </c>
      <c r="K86" s="8" t="s">
        <v>23</v>
      </c>
      <c r="L86" s="8" t="s">
        <v>23</v>
      </c>
      <c r="M86" s="8" t="s">
        <v>23</v>
      </c>
      <c r="N86" s="18" t="s">
        <v>23</v>
      </c>
      <c r="O86" s="17" t="s">
        <v>23</v>
      </c>
      <c r="P86" s="9" t="s">
        <v>23</v>
      </c>
      <c r="Q86" s="8" t="s">
        <v>23</v>
      </c>
      <c r="R86" s="8" t="s">
        <v>23</v>
      </c>
      <c r="S86" s="8" t="s">
        <v>23</v>
      </c>
      <c r="T86" s="8" t="s">
        <v>23</v>
      </c>
      <c r="U86" s="8" t="s">
        <v>23</v>
      </c>
      <c r="V86" s="18" t="s">
        <v>23</v>
      </c>
      <c r="W86" s="18" t="s">
        <v>23</v>
      </c>
      <c r="X86" s="9" t="s">
        <v>23</v>
      </c>
      <c r="Y86" s="8" t="s">
        <v>23</v>
      </c>
      <c r="Z86" s="8" t="s">
        <v>23</v>
      </c>
      <c r="AA86" s="8" t="s">
        <v>23</v>
      </c>
      <c r="AB86" s="8" t="s">
        <v>23</v>
      </c>
      <c r="AC86" s="8" t="s">
        <v>23</v>
      </c>
      <c r="AD86" s="18" t="s">
        <v>23</v>
      </c>
      <c r="AE86" s="18" t="s">
        <v>23</v>
      </c>
      <c r="AF86" s="49">
        <v>0</v>
      </c>
      <c r="AG86" s="20" t="s">
        <v>31</v>
      </c>
    </row>
    <row r="87" spans="1:33" x14ac:dyDescent="0.3">
      <c r="A87" s="3">
        <v>44448</v>
      </c>
      <c r="B87" s="4">
        <v>1600</v>
      </c>
      <c r="C87" s="4" cm="1">
        <f t="array" ref="C87">(SUM(VLOOKUP(H87:AE87,$AI$4:$AK$44,2,FALSE))+AF87*10)*IF(AG87="是",$AQ$4,$AQ$3)</f>
        <v>0</v>
      </c>
      <c r="D87" s="30">
        <f>SUM($B$4:B87)-SUM($C$4:C87)</f>
        <v>76882</v>
      </c>
      <c r="E87" s="4" cm="1">
        <f t="array" ref="E87">SUM(VLOOKUP(H87:AD87,$AI$4:$AK$44,3,FALSE))</f>
        <v>0</v>
      </c>
      <c r="F87" s="4">
        <f>SUM($E$4:E87)+SUM($G$4:G87)</f>
        <v>20925</v>
      </c>
      <c r="G87" s="4">
        <v>0</v>
      </c>
      <c r="H87" s="9" t="s">
        <v>23</v>
      </c>
      <c r="I87" s="8" t="s">
        <v>23</v>
      </c>
      <c r="J87" s="8" t="s">
        <v>23</v>
      </c>
      <c r="K87" s="8" t="s">
        <v>23</v>
      </c>
      <c r="L87" s="8" t="s">
        <v>23</v>
      </c>
      <c r="M87" s="8" t="s">
        <v>23</v>
      </c>
      <c r="N87" s="18" t="s">
        <v>23</v>
      </c>
      <c r="O87" s="17" t="s">
        <v>23</v>
      </c>
      <c r="P87" s="9" t="s">
        <v>23</v>
      </c>
      <c r="Q87" s="8" t="s">
        <v>23</v>
      </c>
      <c r="R87" s="8" t="s">
        <v>23</v>
      </c>
      <c r="S87" s="8" t="s">
        <v>23</v>
      </c>
      <c r="T87" s="8" t="s">
        <v>23</v>
      </c>
      <c r="U87" s="8" t="s">
        <v>23</v>
      </c>
      <c r="V87" s="18" t="s">
        <v>23</v>
      </c>
      <c r="W87" s="18" t="s">
        <v>23</v>
      </c>
      <c r="X87" s="9" t="s">
        <v>23</v>
      </c>
      <c r="Y87" s="8" t="s">
        <v>23</v>
      </c>
      <c r="Z87" s="8" t="s">
        <v>23</v>
      </c>
      <c r="AA87" s="8" t="s">
        <v>23</v>
      </c>
      <c r="AB87" s="8" t="s">
        <v>23</v>
      </c>
      <c r="AC87" s="8" t="s">
        <v>23</v>
      </c>
      <c r="AD87" s="18" t="s">
        <v>23</v>
      </c>
      <c r="AE87" s="18" t="s">
        <v>23</v>
      </c>
      <c r="AF87" s="49">
        <v>0</v>
      </c>
      <c r="AG87" s="20" t="s">
        <v>31</v>
      </c>
    </row>
    <row r="88" spans="1:33" x14ac:dyDescent="0.3">
      <c r="A88" s="3">
        <v>44449</v>
      </c>
      <c r="B88" s="4">
        <v>1600</v>
      </c>
      <c r="C88" s="4" cm="1">
        <f t="array" ref="C88">(SUM(VLOOKUP(H88:AE88,$AI$4:$AK$44,2,FALSE))+AF88*10)*IF(AG88="是",$AQ$4,$AQ$3)</f>
        <v>0</v>
      </c>
      <c r="D88" s="30">
        <f>SUM($B$4:B88)-SUM($C$4:C88)</f>
        <v>78482</v>
      </c>
      <c r="E88" s="4" cm="1">
        <f t="array" ref="E88">SUM(VLOOKUP(H88:AD88,$AI$4:$AK$44,3,FALSE))</f>
        <v>0</v>
      </c>
      <c r="F88" s="4">
        <f>SUM($E$4:E88)+SUM($G$4:G88)</f>
        <v>20925</v>
      </c>
      <c r="G88" s="4">
        <v>0</v>
      </c>
      <c r="H88" s="9" t="s">
        <v>23</v>
      </c>
      <c r="I88" s="8" t="s">
        <v>23</v>
      </c>
      <c r="J88" s="8" t="s">
        <v>23</v>
      </c>
      <c r="K88" s="8" t="s">
        <v>23</v>
      </c>
      <c r="L88" s="8" t="s">
        <v>23</v>
      </c>
      <c r="M88" s="8" t="s">
        <v>23</v>
      </c>
      <c r="N88" s="18" t="s">
        <v>23</v>
      </c>
      <c r="O88" s="17" t="s">
        <v>23</v>
      </c>
      <c r="P88" s="9" t="s">
        <v>23</v>
      </c>
      <c r="Q88" s="8" t="s">
        <v>23</v>
      </c>
      <c r="R88" s="8" t="s">
        <v>23</v>
      </c>
      <c r="S88" s="8" t="s">
        <v>23</v>
      </c>
      <c r="T88" s="8" t="s">
        <v>23</v>
      </c>
      <c r="U88" s="8" t="s">
        <v>23</v>
      </c>
      <c r="V88" s="18" t="s">
        <v>23</v>
      </c>
      <c r="W88" s="18" t="s">
        <v>23</v>
      </c>
      <c r="X88" s="9" t="s">
        <v>23</v>
      </c>
      <c r="Y88" s="8" t="s">
        <v>23</v>
      </c>
      <c r="Z88" s="8" t="s">
        <v>23</v>
      </c>
      <c r="AA88" s="8" t="s">
        <v>23</v>
      </c>
      <c r="AB88" s="8" t="s">
        <v>23</v>
      </c>
      <c r="AC88" s="8" t="s">
        <v>23</v>
      </c>
      <c r="AD88" s="18" t="s">
        <v>23</v>
      </c>
      <c r="AE88" s="18" t="s">
        <v>23</v>
      </c>
      <c r="AF88" s="49">
        <v>0</v>
      </c>
      <c r="AG88" s="20" t="s">
        <v>31</v>
      </c>
    </row>
    <row r="89" spans="1:33" x14ac:dyDescent="0.3">
      <c r="A89" s="3">
        <v>44450</v>
      </c>
      <c r="B89" s="4">
        <v>1600</v>
      </c>
      <c r="C89" s="4" cm="1">
        <f t="array" ref="C89">(SUM(VLOOKUP(H89:AE89,$AI$4:$AK$44,2,FALSE))+AF89*10)*IF(AG89="是",$AQ$4,$AQ$3)</f>
        <v>0</v>
      </c>
      <c r="D89" s="30">
        <f>SUM($B$4:B89)-SUM($C$4:C89)</f>
        <v>80082</v>
      </c>
      <c r="E89" s="4" cm="1">
        <f t="array" ref="E89">SUM(VLOOKUP(H89:AD89,$AI$4:$AK$44,3,FALSE))</f>
        <v>0</v>
      </c>
      <c r="F89" s="4">
        <f>SUM($E$4:E89)+SUM($G$4:G89)</f>
        <v>20925</v>
      </c>
      <c r="G89" s="4">
        <v>0</v>
      </c>
      <c r="H89" s="9" t="s">
        <v>23</v>
      </c>
      <c r="I89" s="8" t="s">
        <v>23</v>
      </c>
      <c r="J89" s="8" t="s">
        <v>23</v>
      </c>
      <c r="K89" s="8" t="s">
        <v>23</v>
      </c>
      <c r="L89" s="8" t="s">
        <v>23</v>
      </c>
      <c r="M89" s="8" t="s">
        <v>23</v>
      </c>
      <c r="N89" s="18" t="s">
        <v>23</v>
      </c>
      <c r="O89" s="17" t="s">
        <v>23</v>
      </c>
      <c r="P89" s="9" t="s">
        <v>23</v>
      </c>
      <c r="Q89" s="8" t="s">
        <v>23</v>
      </c>
      <c r="R89" s="8" t="s">
        <v>23</v>
      </c>
      <c r="S89" s="8" t="s">
        <v>23</v>
      </c>
      <c r="T89" s="8" t="s">
        <v>23</v>
      </c>
      <c r="U89" s="8" t="s">
        <v>23</v>
      </c>
      <c r="V89" s="18" t="s">
        <v>23</v>
      </c>
      <c r="W89" s="18" t="s">
        <v>23</v>
      </c>
      <c r="X89" s="9" t="s">
        <v>23</v>
      </c>
      <c r="Y89" s="8" t="s">
        <v>23</v>
      </c>
      <c r="Z89" s="8" t="s">
        <v>23</v>
      </c>
      <c r="AA89" s="8" t="s">
        <v>23</v>
      </c>
      <c r="AB89" s="8" t="s">
        <v>23</v>
      </c>
      <c r="AC89" s="8" t="s">
        <v>23</v>
      </c>
      <c r="AD89" s="18" t="s">
        <v>23</v>
      </c>
      <c r="AE89" s="18" t="s">
        <v>23</v>
      </c>
      <c r="AF89" s="49">
        <v>0</v>
      </c>
      <c r="AG89" s="20" t="s">
        <v>31</v>
      </c>
    </row>
    <row r="90" spans="1:33" x14ac:dyDescent="0.3">
      <c r="A90" s="3">
        <v>44451</v>
      </c>
      <c r="B90" s="4">
        <v>1600</v>
      </c>
      <c r="C90" s="4" cm="1">
        <f t="array" ref="C90">(SUM(VLOOKUP(H90:AE90,$AI$4:$AK$44,2,FALSE))+AF90*10)*IF(AG90="是",$AQ$4,$AQ$3)</f>
        <v>0</v>
      </c>
      <c r="D90" s="30">
        <f>SUM($B$4:B90)-SUM($C$4:C90)</f>
        <v>81682</v>
      </c>
      <c r="E90" s="4" cm="1">
        <f t="array" ref="E90">SUM(VLOOKUP(H90:AD90,$AI$4:$AK$44,3,FALSE))</f>
        <v>0</v>
      </c>
      <c r="F90" s="4">
        <f>SUM($E$4:E90)+SUM($G$4:G90)</f>
        <v>20925</v>
      </c>
      <c r="G90" s="4">
        <v>0</v>
      </c>
      <c r="H90" s="9" t="s">
        <v>23</v>
      </c>
      <c r="I90" s="8" t="s">
        <v>23</v>
      </c>
      <c r="J90" s="8" t="s">
        <v>23</v>
      </c>
      <c r="K90" s="8" t="s">
        <v>23</v>
      </c>
      <c r="L90" s="8" t="s">
        <v>23</v>
      </c>
      <c r="M90" s="8" t="s">
        <v>23</v>
      </c>
      <c r="N90" s="18" t="s">
        <v>23</v>
      </c>
      <c r="O90" s="17" t="s">
        <v>23</v>
      </c>
      <c r="P90" s="9" t="s">
        <v>23</v>
      </c>
      <c r="Q90" s="8" t="s">
        <v>23</v>
      </c>
      <c r="R90" s="8" t="s">
        <v>23</v>
      </c>
      <c r="S90" s="8" t="s">
        <v>23</v>
      </c>
      <c r="T90" s="8" t="s">
        <v>23</v>
      </c>
      <c r="U90" s="8" t="s">
        <v>23</v>
      </c>
      <c r="V90" s="18" t="s">
        <v>23</v>
      </c>
      <c r="W90" s="18" t="s">
        <v>23</v>
      </c>
      <c r="X90" s="9" t="s">
        <v>23</v>
      </c>
      <c r="Y90" s="8" t="s">
        <v>23</v>
      </c>
      <c r="Z90" s="8" t="s">
        <v>23</v>
      </c>
      <c r="AA90" s="8" t="s">
        <v>23</v>
      </c>
      <c r="AB90" s="8" t="s">
        <v>23</v>
      </c>
      <c r="AC90" s="8" t="s">
        <v>23</v>
      </c>
      <c r="AD90" s="18" t="s">
        <v>23</v>
      </c>
      <c r="AE90" s="18" t="s">
        <v>23</v>
      </c>
      <c r="AF90" s="49">
        <v>0</v>
      </c>
      <c r="AG90" s="20" t="s">
        <v>31</v>
      </c>
    </row>
    <row r="91" spans="1:33" x14ac:dyDescent="0.3">
      <c r="A91" s="1">
        <v>44452</v>
      </c>
      <c r="B91">
        <v>1600</v>
      </c>
      <c r="C91" s="4" cm="1">
        <f t="array" ref="C91">(SUM(VLOOKUP(H91:AE91,$AI$4:$AK$44,2,FALSE))+AF91*10)*IF(AG91="是",$AQ$4,$AQ$3)</f>
        <v>0</v>
      </c>
      <c r="D91" s="31">
        <f>SUM($B$4:B91)-SUM($C$4:C91)</f>
        <v>83282</v>
      </c>
      <c r="E91" s="4" cm="1">
        <f t="array" ref="E91">SUM(VLOOKUP(H91:AD91,$AI$4:$AK$44,3,FALSE))</f>
        <v>0</v>
      </c>
      <c r="F91" s="4">
        <f>SUM($E$4:E91)+SUM($G$4:G91)</f>
        <v>20925</v>
      </c>
      <c r="G91">
        <v>0</v>
      </c>
      <c r="H91" s="9" t="s">
        <v>23</v>
      </c>
      <c r="I91" s="8" t="s">
        <v>23</v>
      </c>
      <c r="J91" s="8" t="s">
        <v>23</v>
      </c>
      <c r="K91" s="8" t="s">
        <v>23</v>
      </c>
      <c r="L91" s="8" t="s">
        <v>23</v>
      </c>
      <c r="M91" s="8" t="s">
        <v>23</v>
      </c>
      <c r="N91" s="18" t="s">
        <v>23</v>
      </c>
      <c r="O91" s="17" t="s">
        <v>23</v>
      </c>
      <c r="P91" s="9" t="s">
        <v>23</v>
      </c>
      <c r="Q91" s="8" t="s">
        <v>23</v>
      </c>
      <c r="R91" s="8" t="s">
        <v>23</v>
      </c>
      <c r="S91" s="8" t="s">
        <v>23</v>
      </c>
      <c r="T91" s="8" t="s">
        <v>23</v>
      </c>
      <c r="U91" s="8" t="s">
        <v>23</v>
      </c>
      <c r="V91" s="18" t="s">
        <v>23</v>
      </c>
      <c r="W91" s="18" t="s">
        <v>23</v>
      </c>
      <c r="X91" s="9" t="s">
        <v>23</v>
      </c>
      <c r="Y91" s="8" t="s">
        <v>23</v>
      </c>
      <c r="Z91" s="8" t="s">
        <v>23</v>
      </c>
      <c r="AA91" s="8" t="s">
        <v>23</v>
      </c>
      <c r="AB91" s="8" t="s">
        <v>23</v>
      </c>
      <c r="AC91" s="8" t="s">
        <v>23</v>
      </c>
      <c r="AD91" s="18" t="s">
        <v>23</v>
      </c>
      <c r="AE91" s="18" t="s">
        <v>23</v>
      </c>
      <c r="AF91" s="49">
        <v>0</v>
      </c>
      <c r="AG91" s="20" t="s">
        <v>31</v>
      </c>
    </row>
    <row r="92" spans="1:33" x14ac:dyDescent="0.3">
      <c r="A92" s="1">
        <v>44453</v>
      </c>
      <c r="B92">
        <v>1600</v>
      </c>
      <c r="C92" s="4" cm="1">
        <f t="array" ref="C92">(SUM(VLOOKUP(H92:AE92,$AI$4:$AK$44,2,FALSE))+AF92*10)*IF(AG92="是",$AQ$4,$AQ$3)</f>
        <v>0</v>
      </c>
      <c r="D92" s="31">
        <f>SUM($B$4:B92)-SUM($C$4:C92)</f>
        <v>84882</v>
      </c>
      <c r="E92" s="4" cm="1">
        <f t="array" ref="E92">SUM(VLOOKUP(H92:AD92,$AI$4:$AK$44,3,FALSE))</f>
        <v>0</v>
      </c>
      <c r="F92" s="4">
        <f>SUM($E$4:E92)+SUM($G$4:G92)</f>
        <v>20925</v>
      </c>
      <c r="G92">
        <v>0</v>
      </c>
      <c r="H92" s="9" t="s">
        <v>23</v>
      </c>
      <c r="I92" s="8" t="s">
        <v>23</v>
      </c>
      <c r="J92" s="8" t="s">
        <v>23</v>
      </c>
      <c r="K92" s="8" t="s">
        <v>23</v>
      </c>
      <c r="L92" s="8" t="s">
        <v>23</v>
      </c>
      <c r="M92" s="8" t="s">
        <v>23</v>
      </c>
      <c r="N92" s="18" t="s">
        <v>23</v>
      </c>
      <c r="O92" s="17" t="s">
        <v>23</v>
      </c>
      <c r="P92" s="9" t="s">
        <v>23</v>
      </c>
      <c r="Q92" s="8" t="s">
        <v>23</v>
      </c>
      <c r="R92" s="8" t="s">
        <v>23</v>
      </c>
      <c r="S92" s="8" t="s">
        <v>23</v>
      </c>
      <c r="T92" s="8" t="s">
        <v>23</v>
      </c>
      <c r="U92" s="8" t="s">
        <v>23</v>
      </c>
      <c r="V92" s="18" t="s">
        <v>23</v>
      </c>
      <c r="W92" s="18" t="s">
        <v>23</v>
      </c>
      <c r="X92" s="9" t="s">
        <v>23</v>
      </c>
      <c r="Y92" s="8" t="s">
        <v>23</v>
      </c>
      <c r="Z92" s="8" t="s">
        <v>23</v>
      </c>
      <c r="AA92" s="8" t="s">
        <v>23</v>
      </c>
      <c r="AB92" s="8" t="s">
        <v>23</v>
      </c>
      <c r="AC92" s="8" t="s">
        <v>23</v>
      </c>
      <c r="AD92" s="18" t="s">
        <v>23</v>
      </c>
      <c r="AE92" s="18" t="s">
        <v>23</v>
      </c>
      <c r="AF92" s="49">
        <v>0</v>
      </c>
      <c r="AG92" s="20" t="s">
        <v>31</v>
      </c>
    </row>
    <row r="93" spans="1:33" x14ac:dyDescent="0.3">
      <c r="A93" s="1">
        <v>44454</v>
      </c>
      <c r="B93">
        <v>1600</v>
      </c>
      <c r="C93" s="4" cm="1">
        <f t="array" ref="C93">(SUM(VLOOKUP(H93:AE93,$AI$4:$AK$44,2,FALSE))+AF93*10)*IF(AG93="是",$AQ$4,$AQ$3)</f>
        <v>0</v>
      </c>
      <c r="D93" s="31">
        <f>SUM($B$4:B93)-SUM($C$4:C93)</f>
        <v>86482</v>
      </c>
      <c r="E93" s="4" cm="1">
        <f t="array" ref="E93">SUM(VLOOKUP(H93:AD93,$AI$4:$AK$44,3,FALSE))</f>
        <v>0</v>
      </c>
      <c r="F93" s="4">
        <f>SUM($E$4:E93)+SUM($G$4:G93)</f>
        <v>20925</v>
      </c>
      <c r="G93">
        <v>0</v>
      </c>
      <c r="H93" s="9" t="s">
        <v>23</v>
      </c>
      <c r="I93" s="8" t="s">
        <v>23</v>
      </c>
      <c r="J93" s="8" t="s">
        <v>23</v>
      </c>
      <c r="K93" s="8" t="s">
        <v>23</v>
      </c>
      <c r="L93" s="8" t="s">
        <v>23</v>
      </c>
      <c r="M93" s="8" t="s">
        <v>23</v>
      </c>
      <c r="N93" s="18" t="s">
        <v>23</v>
      </c>
      <c r="O93" s="17" t="s">
        <v>23</v>
      </c>
      <c r="P93" s="9" t="s">
        <v>23</v>
      </c>
      <c r="Q93" s="8" t="s">
        <v>23</v>
      </c>
      <c r="R93" s="8" t="s">
        <v>23</v>
      </c>
      <c r="S93" s="8" t="s">
        <v>23</v>
      </c>
      <c r="T93" s="8" t="s">
        <v>23</v>
      </c>
      <c r="U93" s="8" t="s">
        <v>23</v>
      </c>
      <c r="V93" s="18" t="s">
        <v>23</v>
      </c>
      <c r="W93" s="18" t="s">
        <v>23</v>
      </c>
      <c r="X93" s="9" t="s">
        <v>23</v>
      </c>
      <c r="Y93" s="8" t="s">
        <v>23</v>
      </c>
      <c r="Z93" s="8" t="s">
        <v>23</v>
      </c>
      <c r="AA93" s="8" t="s">
        <v>23</v>
      </c>
      <c r="AB93" s="8" t="s">
        <v>23</v>
      </c>
      <c r="AC93" s="8" t="s">
        <v>23</v>
      </c>
      <c r="AD93" s="18" t="s">
        <v>23</v>
      </c>
      <c r="AE93" s="18" t="s">
        <v>23</v>
      </c>
      <c r="AF93" s="49">
        <v>0</v>
      </c>
      <c r="AG93" s="20" t="s">
        <v>31</v>
      </c>
    </row>
    <row r="94" spans="1:33" ht="15" thickBot="1" x14ac:dyDescent="0.35">
      <c r="A94" s="1">
        <v>44455</v>
      </c>
      <c r="B94">
        <v>1600</v>
      </c>
      <c r="C94" s="4" cm="1">
        <f t="array" ref="C94">(SUM(VLOOKUP(H94:AE94,$AI$4:$AK$44,2,FALSE))+AF94*10)*IF(AG94="是",$AQ$4,$AQ$3)</f>
        <v>0</v>
      </c>
      <c r="D94" s="31">
        <f>SUM($B$4:B94)-SUM($C$4:C94)</f>
        <v>88082</v>
      </c>
      <c r="E94" s="4" cm="1">
        <f t="array" ref="E94">SUM(VLOOKUP(H94:AD94,$AI$4:$AK$44,3,FALSE))</f>
        <v>0</v>
      </c>
      <c r="F94" s="4">
        <f>SUM($E$4:E94)+SUM($G$4:G94)</f>
        <v>20925</v>
      </c>
      <c r="G94">
        <v>0</v>
      </c>
      <c r="H94" s="10" t="s">
        <v>23</v>
      </c>
      <c r="I94" s="11" t="s">
        <v>23</v>
      </c>
      <c r="J94" s="11" t="s">
        <v>23</v>
      </c>
      <c r="K94" s="11" t="s">
        <v>23</v>
      </c>
      <c r="L94" s="11" t="s">
        <v>23</v>
      </c>
      <c r="M94" s="11" t="s">
        <v>23</v>
      </c>
      <c r="N94" s="19" t="s">
        <v>23</v>
      </c>
      <c r="O94" s="17" t="s">
        <v>23</v>
      </c>
      <c r="P94" s="10" t="s">
        <v>23</v>
      </c>
      <c r="Q94" s="11" t="s">
        <v>23</v>
      </c>
      <c r="R94" s="11" t="s">
        <v>23</v>
      </c>
      <c r="S94" s="11" t="s">
        <v>23</v>
      </c>
      <c r="T94" s="11" t="s">
        <v>23</v>
      </c>
      <c r="U94" s="11" t="s">
        <v>23</v>
      </c>
      <c r="V94" s="19" t="s">
        <v>23</v>
      </c>
      <c r="W94" s="18" t="s">
        <v>23</v>
      </c>
      <c r="X94" s="10" t="s">
        <v>23</v>
      </c>
      <c r="Y94" s="11" t="s">
        <v>23</v>
      </c>
      <c r="Z94" s="11" t="s">
        <v>23</v>
      </c>
      <c r="AA94" s="11" t="s">
        <v>23</v>
      </c>
      <c r="AB94" s="11" t="s">
        <v>23</v>
      </c>
      <c r="AC94" s="11" t="s">
        <v>23</v>
      </c>
      <c r="AD94" s="12" t="s">
        <v>23</v>
      </c>
      <c r="AE94" s="18" t="s">
        <v>23</v>
      </c>
      <c r="AF94" s="50">
        <v>0</v>
      </c>
      <c r="AG94" s="21" t="s">
        <v>31</v>
      </c>
    </row>
  </sheetData>
  <mergeCells count="10">
    <mergeCell ref="AP5:AQ8"/>
    <mergeCell ref="E2:G2"/>
    <mergeCell ref="C2:D2"/>
    <mergeCell ref="H1:AF1"/>
    <mergeCell ref="A1:G1"/>
    <mergeCell ref="AI1:AK2"/>
    <mergeCell ref="AG2:AG3"/>
    <mergeCell ref="T2:W2"/>
    <mergeCell ref="L2:O2"/>
    <mergeCell ref="AB2:AE2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098DE-35F0-4CA8-B249-A789D7D52534}">
  <dimension ref="A1:AQ94"/>
  <sheetViews>
    <sheetView tabSelected="1" topLeftCell="A22" zoomScale="70" zoomScaleNormal="70" workbookViewId="0">
      <selection activeCell="K42" sqref="K42"/>
    </sheetView>
  </sheetViews>
  <sheetFormatPr defaultRowHeight="14.4" x14ac:dyDescent="0.3"/>
  <cols>
    <col min="1" max="1" width="9.5546875" bestFit="1" customWidth="1"/>
    <col min="2" max="3" width="5.109375" bestFit="1" customWidth="1"/>
    <col min="4" max="4" width="6" customWidth="1"/>
    <col min="5" max="5" width="5" bestFit="1" customWidth="1"/>
    <col min="6" max="6" width="5.88671875" customWidth="1"/>
    <col min="7" max="7" width="5" bestFit="1" customWidth="1"/>
    <col min="8" max="14" width="7.21875" bestFit="1" customWidth="1"/>
    <col min="15" max="15" width="7.21875" customWidth="1"/>
    <col min="16" max="22" width="7.21875" bestFit="1" customWidth="1"/>
    <col min="23" max="23" width="7.21875" customWidth="1"/>
    <col min="24" max="31" width="7.21875" hidden="1" customWidth="1"/>
    <col min="32" max="33" width="5.109375" bestFit="1" customWidth="1"/>
  </cols>
  <sheetData>
    <row r="1" spans="1:43" ht="81" customHeight="1" thickBot="1" x14ac:dyDescent="0.35">
      <c r="A1" s="81"/>
      <c r="B1" s="82"/>
      <c r="C1" s="82"/>
      <c r="D1" s="82"/>
      <c r="E1" s="82"/>
      <c r="F1" s="82"/>
      <c r="G1" s="83"/>
      <c r="H1" s="78" t="s">
        <v>37</v>
      </c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80"/>
      <c r="AI1" s="73" t="s">
        <v>44</v>
      </c>
      <c r="AJ1" s="73"/>
      <c r="AK1" s="73"/>
    </row>
    <row r="2" spans="1:43" ht="16.2" customHeight="1" thickBot="1" x14ac:dyDescent="0.35">
      <c r="C2" s="76" t="s">
        <v>35</v>
      </c>
      <c r="D2" s="77"/>
      <c r="E2" s="74">
        <f>SUM(E4:E94)+SUM(G4:G94)</f>
        <v>37330</v>
      </c>
      <c r="F2" s="74"/>
      <c r="G2" s="75"/>
      <c r="H2" s="63" t="s">
        <v>50</v>
      </c>
      <c r="I2" s="71"/>
      <c r="J2" s="71" t="s">
        <v>48</v>
      </c>
      <c r="K2" s="71">
        <f>COUNTIF(H20:O94,"&lt;&gt;空")+3</f>
        <v>114</v>
      </c>
      <c r="L2" s="91" t="s">
        <v>47</v>
      </c>
      <c r="M2" s="91"/>
      <c r="N2" s="91"/>
      <c r="O2" s="92"/>
      <c r="P2" s="64" t="s">
        <v>51</v>
      </c>
      <c r="Q2" s="69"/>
      <c r="R2" s="69" t="s">
        <v>48</v>
      </c>
      <c r="S2" s="69">
        <f>COUNTIF(P20:W94,"&lt;&gt;空")+4</f>
        <v>382</v>
      </c>
      <c r="T2" s="87" t="s">
        <v>47</v>
      </c>
      <c r="U2" s="87"/>
      <c r="V2" s="87"/>
      <c r="W2" s="88"/>
      <c r="X2" s="61" t="s">
        <v>33</v>
      </c>
      <c r="Y2" s="62"/>
      <c r="Z2" s="62" t="s">
        <v>46</v>
      </c>
      <c r="AA2" s="70">
        <f>COUNTIF(X4:AD94,"&lt;&gt;空")</f>
        <v>0</v>
      </c>
      <c r="AB2" s="89" t="s">
        <v>47</v>
      </c>
      <c r="AC2" s="89"/>
      <c r="AD2" s="89"/>
      <c r="AE2" s="90"/>
      <c r="AF2" s="65">
        <f>SUM(AF4:AF94)</f>
        <v>89</v>
      </c>
      <c r="AG2" s="85" t="s">
        <v>29</v>
      </c>
      <c r="AI2" s="84"/>
      <c r="AJ2" s="84"/>
      <c r="AK2" s="84"/>
      <c r="AP2" s="22"/>
      <c r="AQ2" s="23" t="s">
        <v>32</v>
      </c>
    </row>
    <row r="3" spans="1:43" ht="29.4" thickBot="1" x14ac:dyDescent="0.35">
      <c r="A3" s="29" t="s">
        <v>36</v>
      </c>
      <c r="B3" s="28" t="s">
        <v>0</v>
      </c>
      <c r="C3" s="28" t="s">
        <v>22</v>
      </c>
      <c r="D3" s="28" t="s">
        <v>1</v>
      </c>
      <c r="E3" s="59" t="s">
        <v>24</v>
      </c>
      <c r="F3" s="59" t="s">
        <v>45</v>
      </c>
      <c r="G3" s="5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51">
        <v>1</v>
      </c>
      <c r="Q3" s="52">
        <v>2</v>
      </c>
      <c r="R3" s="52">
        <v>3</v>
      </c>
      <c r="S3" s="52">
        <v>4</v>
      </c>
      <c r="T3" s="52">
        <v>5</v>
      </c>
      <c r="U3" s="52">
        <v>6</v>
      </c>
      <c r="V3" s="52">
        <v>7</v>
      </c>
      <c r="W3" s="52">
        <v>8</v>
      </c>
      <c r="X3" s="14">
        <v>1</v>
      </c>
      <c r="Y3" s="15">
        <v>2</v>
      </c>
      <c r="Z3" s="15">
        <v>3</v>
      </c>
      <c r="AA3" s="15">
        <v>4</v>
      </c>
      <c r="AB3" s="15">
        <v>5</v>
      </c>
      <c r="AC3" s="15">
        <v>6</v>
      </c>
      <c r="AD3" s="15">
        <v>7</v>
      </c>
      <c r="AE3" s="16">
        <v>8</v>
      </c>
      <c r="AF3" s="60" t="s">
        <v>28</v>
      </c>
      <c r="AG3" s="86"/>
      <c r="AH3" s="2"/>
      <c r="AI3" s="32" t="s">
        <v>2</v>
      </c>
      <c r="AJ3" s="32" t="s">
        <v>3</v>
      </c>
      <c r="AK3" s="32" t="s">
        <v>4</v>
      </c>
      <c r="AL3" s="68" t="s">
        <v>52</v>
      </c>
      <c r="AM3" s="68" t="s">
        <v>53</v>
      </c>
      <c r="AN3" s="68" t="s">
        <v>54</v>
      </c>
      <c r="AO3" s="68" t="s">
        <v>55</v>
      </c>
      <c r="AP3" s="24" t="s">
        <v>25</v>
      </c>
      <c r="AQ3" s="25">
        <v>1</v>
      </c>
    </row>
    <row r="4" spans="1:43" ht="15" thickBot="1" x14ac:dyDescent="0.35">
      <c r="A4" s="67">
        <v>44365</v>
      </c>
      <c r="B4" s="4">
        <v>800</v>
      </c>
      <c r="C4" s="4" cm="1">
        <f t="array" ref="C4">(SUM(VLOOKUP(H4:AE4,$AI$4:$AK$44,2,FALSE))+AF4*10)*IF(AG4="是",$AQ$4,$AQ$3)</f>
        <v>750</v>
      </c>
      <c r="D4" s="30">
        <f>SUM($B$4:B4)-SUM($C$4:C4)</f>
        <v>50</v>
      </c>
      <c r="E4" s="4" cm="1">
        <f t="array" ref="E4">SUM(VLOOKUP(H4:AD4,$AI$4:$AK$44,3,FALSE))</f>
        <v>175</v>
      </c>
      <c r="F4" s="4">
        <f>SUM($E$4:E4)+SUM($G$4:G4)</f>
        <v>175</v>
      </c>
      <c r="G4" s="4">
        <v>0</v>
      </c>
      <c r="H4" s="33" t="s">
        <v>16</v>
      </c>
      <c r="I4" s="33" t="s">
        <v>16</v>
      </c>
      <c r="J4" s="33" t="s">
        <v>16</v>
      </c>
      <c r="K4" s="33" t="s">
        <v>16</v>
      </c>
      <c r="L4" s="33" t="s">
        <v>16</v>
      </c>
      <c r="M4" s="7" t="s">
        <v>23</v>
      </c>
      <c r="N4" s="17" t="s">
        <v>23</v>
      </c>
      <c r="O4" s="17" t="s">
        <v>23</v>
      </c>
      <c r="P4" s="13" t="s">
        <v>23</v>
      </c>
      <c r="Q4" s="7" t="s">
        <v>23</v>
      </c>
      <c r="R4" s="7" t="s">
        <v>23</v>
      </c>
      <c r="S4" s="7" t="s">
        <v>23</v>
      </c>
      <c r="T4" s="8" t="s">
        <v>23</v>
      </c>
      <c r="U4" s="8" t="s">
        <v>23</v>
      </c>
      <c r="V4" s="18" t="s">
        <v>23</v>
      </c>
      <c r="W4" s="18" t="s">
        <v>23</v>
      </c>
      <c r="X4" s="9" t="s">
        <v>23</v>
      </c>
      <c r="Y4" s="8" t="s">
        <v>23</v>
      </c>
      <c r="Z4" s="8" t="s">
        <v>23</v>
      </c>
      <c r="AA4" s="8" t="s">
        <v>23</v>
      </c>
      <c r="AB4" s="8" t="s">
        <v>23</v>
      </c>
      <c r="AC4" s="8" t="s">
        <v>23</v>
      </c>
      <c r="AD4" s="18" t="s">
        <v>23</v>
      </c>
      <c r="AE4" s="18" t="s">
        <v>23</v>
      </c>
      <c r="AF4" s="49">
        <v>0</v>
      </c>
      <c r="AG4" s="20" t="s">
        <v>30</v>
      </c>
      <c r="AI4" s="33" t="s">
        <v>16</v>
      </c>
      <c r="AJ4" s="32">
        <v>150</v>
      </c>
      <c r="AK4" s="32">
        <v>35</v>
      </c>
      <c r="AL4">
        <f>COUNTIF($H$4:$N$94,AI4)</f>
        <v>9</v>
      </c>
      <c r="AM4">
        <f>COUNTIF($P$4:$V$94,AI4)</f>
        <v>0</v>
      </c>
      <c r="AN4">
        <f>COUNTIF($X$4:$AD$94,AI4)</f>
        <v>0</v>
      </c>
      <c r="AO4">
        <f>AL4+AM4+AN4</f>
        <v>9</v>
      </c>
      <c r="AP4" s="26" t="s">
        <v>26</v>
      </c>
      <c r="AQ4" s="27">
        <v>0.8</v>
      </c>
    </row>
    <row r="5" spans="1:43" x14ac:dyDescent="0.3">
      <c r="A5" s="67">
        <v>44366</v>
      </c>
      <c r="B5" s="4">
        <v>1600</v>
      </c>
      <c r="C5" s="4" cm="1">
        <f t="array" ref="C5">(SUM(VLOOKUP(H5:AE5,$AI$4:$AK$44,2,FALSE))+AF5*10)*IF(AG5="是",$AQ$4,$AQ$3)</f>
        <v>1630</v>
      </c>
      <c r="D5" s="30">
        <f>SUM($B$4:B5)-SUM($C$4:C5)</f>
        <v>20</v>
      </c>
      <c r="E5" s="4" cm="1">
        <f t="array" ref="E5">SUM(VLOOKUP(H5:AD5,$AI$4:$AK$44,3,FALSE))</f>
        <v>420</v>
      </c>
      <c r="F5" s="4">
        <f>SUM($E$4:E5)+SUM($G$4:G5)</f>
        <v>1095</v>
      </c>
      <c r="G5" s="4">
        <v>500</v>
      </c>
      <c r="H5" s="33" t="s">
        <v>16</v>
      </c>
      <c r="I5" s="33" t="s">
        <v>16</v>
      </c>
      <c r="J5" s="33" t="s">
        <v>16</v>
      </c>
      <c r="K5" s="33" t="s">
        <v>16</v>
      </c>
      <c r="L5" s="34" t="s">
        <v>17</v>
      </c>
      <c r="M5" s="34" t="s">
        <v>17</v>
      </c>
      <c r="N5" s="17" t="s">
        <v>23</v>
      </c>
      <c r="O5" s="17" t="s">
        <v>23</v>
      </c>
      <c r="P5" s="34" t="s">
        <v>17</v>
      </c>
      <c r="Q5" s="34" t="s">
        <v>17</v>
      </c>
      <c r="R5" s="42" t="s">
        <v>13</v>
      </c>
      <c r="S5" s="34" t="s">
        <v>17</v>
      </c>
      <c r="T5" s="34" t="s">
        <v>17</v>
      </c>
      <c r="U5" s="34" t="s">
        <v>17</v>
      </c>
      <c r="V5" s="18" t="s">
        <v>23</v>
      </c>
      <c r="W5" s="18" t="s">
        <v>23</v>
      </c>
      <c r="X5" s="9" t="s">
        <v>23</v>
      </c>
      <c r="Y5" s="8" t="s">
        <v>23</v>
      </c>
      <c r="Z5" s="8" t="s">
        <v>23</v>
      </c>
      <c r="AA5" s="8" t="s">
        <v>23</v>
      </c>
      <c r="AB5" s="8" t="s">
        <v>23</v>
      </c>
      <c r="AC5" s="8" t="s">
        <v>23</v>
      </c>
      <c r="AD5" s="18" t="s">
        <v>23</v>
      </c>
      <c r="AE5" s="18" t="s">
        <v>23</v>
      </c>
      <c r="AF5" s="49">
        <v>6</v>
      </c>
      <c r="AG5" s="20" t="s">
        <v>30</v>
      </c>
      <c r="AI5" s="34" t="s">
        <v>17</v>
      </c>
      <c r="AJ5" s="32">
        <v>160</v>
      </c>
      <c r="AK5" s="32">
        <v>40</v>
      </c>
      <c r="AL5">
        <f t="shared" ref="AL5:AL28" si="0">COUNTIF($H$4:$N$94,AI5)</f>
        <v>8</v>
      </c>
      <c r="AM5">
        <f t="shared" ref="AM5:AM28" si="1">COUNTIF($P$4:$V$94,AI5)</f>
        <v>10</v>
      </c>
      <c r="AN5">
        <f t="shared" ref="AN5:AN28" si="2">COUNTIF($X$4:$AD$94,AI5)</f>
        <v>0</v>
      </c>
      <c r="AO5">
        <f t="shared" ref="AO5:AO28" si="3">AL5+AM5+AN5</f>
        <v>18</v>
      </c>
      <c r="AP5" s="72" t="s">
        <v>34</v>
      </c>
      <c r="AQ5" s="72"/>
    </row>
    <row r="6" spans="1:43" x14ac:dyDescent="0.3">
      <c r="A6" s="67">
        <v>44367</v>
      </c>
      <c r="B6" s="4">
        <v>1600</v>
      </c>
      <c r="C6" s="4" cm="1">
        <f t="array" ref="C6">(SUM(VLOOKUP(H6:AE6,$AI$4:$AK$44,2,FALSE))+AF6*10)*IF(AG6="是",$AQ$4,$AQ$3)</f>
        <v>1460</v>
      </c>
      <c r="D6" s="30">
        <f>SUM($B$4:B6)-SUM($C$4:C6)</f>
        <v>160</v>
      </c>
      <c r="E6" s="4" cm="1">
        <f t="array" ref="E6">SUM(VLOOKUP(H6:AD6,$AI$4:$AK$44,3,FALSE))</f>
        <v>390</v>
      </c>
      <c r="F6" s="4">
        <f>SUM($E$4:E6)+SUM($G$4:G6)</f>
        <v>1485</v>
      </c>
      <c r="G6" s="4">
        <v>0</v>
      </c>
      <c r="H6" s="34" t="s">
        <v>17</v>
      </c>
      <c r="I6" s="34" t="s">
        <v>17</v>
      </c>
      <c r="J6" s="34" t="s">
        <v>17</v>
      </c>
      <c r="K6" s="41" t="s">
        <v>12</v>
      </c>
      <c r="L6" s="34" t="s">
        <v>17</v>
      </c>
      <c r="M6" s="34" t="s">
        <v>17</v>
      </c>
      <c r="N6" s="18" t="s">
        <v>23</v>
      </c>
      <c r="O6" s="17" t="s">
        <v>23</v>
      </c>
      <c r="P6" s="34" t="s">
        <v>17</v>
      </c>
      <c r="Q6" s="34" t="s">
        <v>17</v>
      </c>
      <c r="R6" s="34" t="s">
        <v>17</v>
      </c>
      <c r="S6" s="42" t="s">
        <v>13</v>
      </c>
      <c r="T6" s="34" t="s">
        <v>17</v>
      </c>
      <c r="U6" s="8" t="s">
        <v>23</v>
      </c>
      <c r="V6" s="18" t="s">
        <v>23</v>
      </c>
      <c r="W6" s="18" t="s">
        <v>23</v>
      </c>
      <c r="X6" s="9" t="s">
        <v>23</v>
      </c>
      <c r="Y6" s="8" t="s">
        <v>23</v>
      </c>
      <c r="Z6" s="8" t="s">
        <v>23</v>
      </c>
      <c r="AA6" s="8" t="s">
        <v>23</v>
      </c>
      <c r="AB6" s="8" t="s">
        <v>23</v>
      </c>
      <c r="AC6" s="8" t="s">
        <v>23</v>
      </c>
      <c r="AD6" s="18" t="s">
        <v>23</v>
      </c>
      <c r="AE6" s="18" t="s">
        <v>23</v>
      </c>
      <c r="AF6" s="49">
        <v>12</v>
      </c>
      <c r="AG6" s="20" t="s">
        <v>30</v>
      </c>
      <c r="AI6" s="35" t="s">
        <v>18</v>
      </c>
      <c r="AJ6" s="32">
        <v>170</v>
      </c>
      <c r="AK6" s="32">
        <v>45</v>
      </c>
      <c r="AL6">
        <f t="shared" si="0"/>
        <v>30</v>
      </c>
      <c r="AM6">
        <f t="shared" si="1"/>
        <v>29</v>
      </c>
      <c r="AN6">
        <f t="shared" si="2"/>
        <v>0</v>
      </c>
      <c r="AO6">
        <f t="shared" si="3"/>
        <v>59</v>
      </c>
      <c r="AP6" s="73"/>
      <c r="AQ6" s="73"/>
    </row>
    <row r="7" spans="1:43" x14ac:dyDescent="0.3">
      <c r="A7" s="1">
        <v>44368</v>
      </c>
      <c r="B7">
        <v>1600</v>
      </c>
      <c r="C7" s="4" cm="1">
        <f t="array" ref="C7">(SUM(VLOOKUP(H7:AE7,$AI$4:$AK$44,2,FALSE))+AF7*10)*IF(AG7="是",$AQ$4,$AQ$3)</f>
        <v>1720</v>
      </c>
      <c r="D7" s="31">
        <f>SUM($B$4:B7)-SUM($C$4:C7)</f>
        <v>40</v>
      </c>
      <c r="E7" s="4" cm="1">
        <f t="array" ref="E7">SUM(VLOOKUP(H7:AD7,$AI$4:$AK$44,3,FALSE))</f>
        <v>470</v>
      </c>
      <c r="F7" s="4">
        <f>SUM($E$4:E7)+SUM($G$4:G7)</f>
        <v>1955</v>
      </c>
      <c r="G7">
        <v>0</v>
      </c>
      <c r="H7" s="34" t="s">
        <v>17</v>
      </c>
      <c r="I7" s="41" t="s">
        <v>12</v>
      </c>
      <c r="J7" s="35" t="s">
        <v>18</v>
      </c>
      <c r="K7" s="34" t="s">
        <v>6</v>
      </c>
      <c r="L7" s="35" t="s">
        <v>18</v>
      </c>
      <c r="M7" s="35" t="s">
        <v>18</v>
      </c>
      <c r="N7" s="18" t="s">
        <v>23</v>
      </c>
      <c r="O7" s="17" t="s">
        <v>23</v>
      </c>
      <c r="P7" s="35" t="s">
        <v>18</v>
      </c>
      <c r="Q7" s="35" t="s">
        <v>18</v>
      </c>
      <c r="R7" s="35" t="s">
        <v>18</v>
      </c>
      <c r="S7" s="35" t="s">
        <v>18</v>
      </c>
      <c r="T7" s="43" t="s">
        <v>42</v>
      </c>
      <c r="U7" s="8" t="s">
        <v>23</v>
      </c>
      <c r="V7" s="18" t="s">
        <v>23</v>
      </c>
      <c r="W7" s="18" t="s">
        <v>23</v>
      </c>
      <c r="X7" s="9" t="s">
        <v>23</v>
      </c>
      <c r="Y7" s="8" t="s">
        <v>23</v>
      </c>
      <c r="Z7" s="8" t="s">
        <v>23</v>
      </c>
      <c r="AA7" s="8" t="s">
        <v>23</v>
      </c>
      <c r="AB7" s="8" t="s">
        <v>23</v>
      </c>
      <c r="AC7" s="8" t="s">
        <v>23</v>
      </c>
      <c r="AD7" s="18" t="s">
        <v>23</v>
      </c>
      <c r="AE7" s="18" t="s">
        <v>23</v>
      </c>
      <c r="AF7" s="49">
        <v>0</v>
      </c>
      <c r="AG7" s="20" t="s">
        <v>30</v>
      </c>
      <c r="AI7" s="36" t="s">
        <v>19</v>
      </c>
      <c r="AJ7" s="32">
        <v>180</v>
      </c>
      <c r="AK7" s="32">
        <v>50</v>
      </c>
      <c r="AL7">
        <f t="shared" si="0"/>
        <v>27</v>
      </c>
      <c r="AM7">
        <f t="shared" si="1"/>
        <v>82</v>
      </c>
      <c r="AN7">
        <f t="shared" si="2"/>
        <v>0</v>
      </c>
      <c r="AO7">
        <f t="shared" si="3"/>
        <v>109</v>
      </c>
      <c r="AP7" s="73"/>
      <c r="AQ7" s="73"/>
    </row>
    <row r="8" spans="1:43" x14ac:dyDescent="0.3">
      <c r="A8" s="1">
        <v>44369</v>
      </c>
      <c r="B8">
        <v>1600</v>
      </c>
      <c r="C8" s="4" cm="1">
        <f t="array" ref="C8">(SUM(VLOOKUP(H8:AE8,$AI$4:$AK$44,2,FALSE))+AF8*10)*IF(AG8="是",$AQ$4,$AQ$3)</f>
        <v>1600</v>
      </c>
      <c r="D8" s="31">
        <f>SUM($B$4:B8)-SUM($C$4:C8)</f>
        <v>40</v>
      </c>
      <c r="E8" s="4" cm="1">
        <f t="array" ref="E8">SUM(VLOOKUP(H8:AD8,$AI$4:$AK$44,3,FALSE))</f>
        <v>450</v>
      </c>
      <c r="F8" s="4">
        <f>SUM($E$4:E8)+SUM($G$4:G8)</f>
        <v>2405</v>
      </c>
      <c r="G8">
        <v>0</v>
      </c>
      <c r="H8" s="35" t="s">
        <v>18</v>
      </c>
      <c r="I8" s="35" t="s">
        <v>18</v>
      </c>
      <c r="J8" s="35" t="s">
        <v>18</v>
      </c>
      <c r="K8" s="42" t="s">
        <v>13</v>
      </c>
      <c r="L8" s="35" t="s">
        <v>18</v>
      </c>
      <c r="M8" s="35" t="s">
        <v>18</v>
      </c>
      <c r="N8" s="35" t="s">
        <v>18</v>
      </c>
      <c r="O8" s="17" t="s">
        <v>23</v>
      </c>
      <c r="P8" s="35" t="s">
        <v>18</v>
      </c>
      <c r="Q8" s="35" t="s">
        <v>18</v>
      </c>
      <c r="R8" s="35" t="s">
        <v>18</v>
      </c>
      <c r="S8" s="35" t="s">
        <v>18</v>
      </c>
      <c r="T8" s="8" t="s">
        <v>23</v>
      </c>
      <c r="U8" s="8" t="s">
        <v>23</v>
      </c>
      <c r="V8" s="18" t="s">
        <v>23</v>
      </c>
      <c r="W8" s="18" t="s">
        <v>23</v>
      </c>
      <c r="X8" s="9" t="s">
        <v>23</v>
      </c>
      <c r="Y8" s="8" t="s">
        <v>23</v>
      </c>
      <c r="Z8" s="8" t="s">
        <v>23</v>
      </c>
      <c r="AA8" s="8" t="s">
        <v>23</v>
      </c>
      <c r="AB8" s="8" t="s">
        <v>23</v>
      </c>
      <c r="AC8" s="8" t="s">
        <v>23</v>
      </c>
      <c r="AD8" s="18" t="s">
        <v>23</v>
      </c>
      <c r="AE8" s="18" t="s">
        <v>23</v>
      </c>
      <c r="AF8" s="49">
        <v>5</v>
      </c>
      <c r="AG8" s="20" t="s">
        <v>30</v>
      </c>
      <c r="AI8" s="37" t="s">
        <v>20</v>
      </c>
      <c r="AJ8" s="32">
        <v>190</v>
      </c>
      <c r="AK8" s="32">
        <v>55</v>
      </c>
      <c r="AL8">
        <f t="shared" si="0"/>
        <v>101</v>
      </c>
      <c r="AM8">
        <f t="shared" si="1"/>
        <v>116</v>
      </c>
      <c r="AN8">
        <f t="shared" si="2"/>
        <v>0</v>
      </c>
      <c r="AO8">
        <f t="shared" si="3"/>
        <v>217</v>
      </c>
      <c r="AP8" s="73"/>
      <c r="AQ8" s="73"/>
    </row>
    <row r="9" spans="1:43" x14ac:dyDescent="0.3">
      <c r="A9" s="1">
        <v>44370</v>
      </c>
      <c r="B9">
        <v>1600</v>
      </c>
      <c r="C9" s="4" cm="1">
        <f t="array" ref="C9">(SUM(VLOOKUP(H9:AE9,$AI$4:$AK$44,2,FALSE))+AF9*10)*IF(AG9="是",$AQ$4,$AQ$3)</f>
        <v>1630</v>
      </c>
      <c r="D9" s="31">
        <f>SUM($B$4:B9)-SUM($C$4:C9)</f>
        <v>10</v>
      </c>
      <c r="E9" s="4" cm="1">
        <f t="array" ref="E9">SUM(VLOOKUP(H9:AD9,$AI$4:$AK$44,3,FALSE))</f>
        <v>625</v>
      </c>
      <c r="F9" s="4">
        <f>SUM($E$4:E9)+SUM($G$4:G9)</f>
        <v>3030</v>
      </c>
      <c r="G9">
        <v>0</v>
      </c>
      <c r="H9" s="35" t="s">
        <v>18</v>
      </c>
      <c r="I9" s="41" t="s">
        <v>12</v>
      </c>
      <c r="J9" s="35" t="s">
        <v>18</v>
      </c>
      <c r="K9" s="43" t="s">
        <v>42</v>
      </c>
      <c r="L9" s="35" t="s">
        <v>18</v>
      </c>
      <c r="M9" s="8" t="s">
        <v>23</v>
      </c>
      <c r="N9" s="18" t="s">
        <v>23</v>
      </c>
      <c r="O9" s="17" t="s">
        <v>23</v>
      </c>
      <c r="P9" s="35" t="s">
        <v>18</v>
      </c>
      <c r="Q9" s="42" t="s">
        <v>13</v>
      </c>
      <c r="R9" s="35" t="s">
        <v>18</v>
      </c>
      <c r="S9" s="41" t="s">
        <v>12</v>
      </c>
      <c r="T9" s="35" t="s">
        <v>18</v>
      </c>
      <c r="U9" s="47" t="s">
        <v>14</v>
      </c>
      <c r="V9" s="36" t="s">
        <v>19</v>
      </c>
      <c r="W9" s="18" t="s">
        <v>23</v>
      </c>
      <c r="X9" s="9" t="s">
        <v>23</v>
      </c>
      <c r="Y9" s="8" t="s">
        <v>23</v>
      </c>
      <c r="Z9" s="8" t="s">
        <v>23</v>
      </c>
      <c r="AA9" s="8" t="s">
        <v>23</v>
      </c>
      <c r="AB9" s="8" t="s">
        <v>23</v>
      </c>
      <c r="AC9" s="8" t="s">
        <v>23</v>
      </c>
      <c r="AD9" s="18" t="s">
        <v>23</v>
      </c>
      <c r="AE9" s="18" t="s">
        <v>23</v>
      </c>
      <c r="AF9" s="49">
        <v>6</v>
      </c>
      <c r="AG9" s="20" t="s">
        <v>30</v>
      </c>
      <c r="AI9" s="38" t="s">
        <v>21</v>
      </c>
      <c r="AJ9" s="32">
        <v>200</v>
      </c>
      <c r="AK9" s="32">
        <v>60</v>
      </c>
      <c r="AL9">
        <f t="shared" si="0"/>
        <v>0</v>
      </c>
      <c r="AM9">
        <f t="shared" si="1"/>
        <v>173</v>
      </c>
      <c r="AN9">
        <f t="shared" si="2"/>
        <v>0</v>
      </c>
      <c r="AO9">
        <f t="shared" si="3"/>
        <v>173</v>
      </c>
    </row>
    <row r="10" spans="1:43" x14ac:dyDescent="0.3">
      <c r="A10" s="1">
        <v>44371</v>
      </c>
      <c r="B10">
        <v>1600</v>
      </c>
      <c r="C10" s="4" cm="1">
        <f t="array" ref="C10">(SUM(VLOOKUP(H10:AE10,$AI$4:$AK$44,2,FALSE))+AF10*10)*IF(AG10="是",$AQ$4,$AQ$3)</f>
        <v>1560</v>
      </c>
      <c r="D10" s="31">
        <f>SUM($B$4:B10)-SUM($C$4:C10)</f>
        <v>50</v>
      </c>
      <c r="E10" s="4" cm="1">
        <f t="array" ref="E10">SUM(VLOOKUP(H10:AD10,$AI$4:$AK$44,3,FALSE))</f>
        <v>420</v>
      </c>
      <c r="F10" s="4">
        <f>SUM($E$4:E10)+SUM($G$4:G10)</f>
        <v>3450</v>
      </c>
      <c r="G10">
        <v>0</v>
      </c>
      <c r="H10" s="35" t="s">
        <v>18</v>
      </c>
      <c r="I10" s="35" t="s">
        <v>18</v>
      </c>
      <c r="J10" s="35" t="s">
        <v>18</v>
      </c>
      <c r="K10" s="35" t="s">
        <v>18</v>
      </c>
      <c r="L10" s="35" t="s">
        <v>18</v>
      </c>
      <c r="M10" s="35" t="s">
        <v>18</v>
      </c>
      <c r="N10" s="18" t="s">
        <v>23</v>
      </c>
      <c r="O10" s="17" t="s">
        <v>23</v>
      </c>
      <c r="P10" s="36" t="s">
        <v>19</v>
      </c>
      <c r="Q10" s="36" t="s">
        <v>19</v>
      </c>
      <c r="R10" s="36" t="s">
        <v>19</v>
      </c>
      <c r="S10" s="8" t="s">
        <v>23</v>
      </c>
      <c r="T10" s="8" t="s">
        <v>23</v>
      </c>
      <c r="U10" s="8" t="s">
        <v>23</v>
      </c>
      <c r="V10" s="18" t="s">
        <v>23</v>
      </c>
      <c r="W10" s="18" t="s">
        <v>23</v>
      </c>
      <c r="X10" s="9" t="s">
        <v>23</v>
      </c>
      <c r="Y10" s="8" t="s">
        <v>23</v>
      </c>
      <c r="Z10" s="8" t="s">
        <v>23</v>
      </c>
      <c r="AA10" s="8" t="s">
        <v>23</v>
      </c>
      <c r="AB10" s="8" t="s">
        <v>23</v>
      </c>
      <c r="AC10" s="8" t="s">
        <v>23</v>
      </c>
      <c r="AD10" s="18" t="s">
        <v>23</v>
      </c>
      <c r="AE10" s="18" t="s">
        <v>23</v>
      </c>
      <c r="AF10" s="49">
        <v>0</v>
      </c>
      <c r="AG10" s="20" t="s">
        <v>30</v>
      </c>
      <c r="AI10" s="33" t="s">
        <v>5</v>
      </c>
      <c r="AJ10" s="32">
        <v>150</v>
      </c>
      <c r="AK10" s="32">
        <v>35</v>
      </c>
      <c r="AL10">
        <f t="shared" si="0"/>
        <v>0</v>
      </c>
      <c r="AM10">
        <f t="shared" si="1"/>
        <v>0</v>
      </c>
      <c r="AN10">
        <f t="shared" si="2"/>
        <v>0</v>
      </c>
      <c r="AO10">
        <f t="shared" si="3"/>
        <v>0</v>
      </c>
    </row>
    <row r="11" spans="1:43" x14ac:dyDescent="0.3">
      <c r="A11" s="1">
        <v>44372</v>
      </c>
      <c r="B11">
        <v>1600</v>
      </c>
      <c r="C11" s="4" cm="1">
        <f t="array" ref="C11">(SUM(VLOOKUP(H11:AE11,$AI$4:$AK$44,2,FALSE))+AF11*10)*IF(AG11="是",$AQ$4,$AQ$3)</f>
        <v>1590</v>
      </c>
      <c r="D11" s="31">
        <f>SUM($B$4:B11)-SUM($C$4:C11)</f>
        <v>60</v>
      </c>
      <c r="E11" s="4" cm="1">
        <f t="array" ref="E11">SUM(VLOOKUP(H11:AD11,$AI$4:$AK$44,3,FALSE))</f>
        <v>420</v>
      </c>
      <c r="F11" s="4">
        <f>SUM($E$4:E11)+SUM($G$4:G11)</f>
        <v>3870</v>
      </c>
      <c r="G11">
        <v>0</v>
      </c>
      <c r="H11" s="35" t="s">
        <v>18</v>
      </c>
      <c r="I11" s="35" t="s">
        <v>18</v>
      </c>
      <c r="J11" s="35" t="s">
        <v>18</v>
      </c>
      <c r="K11" s="35" t="s">
        <v>7</v>
      </c>
      <c r="L11" s="35" t="s">
        <v>18</v>
      </c>
      <c r="M11" s="35" t="s">
        <v>18</v>
      </c>
      <c r="N11" s="18" t="s">
        <v>23</v>
      </c>
      <c r="O11" s="17" t="s">
        <v>23</v>
      </c>
      <c r="P11" s="36" t="s">
        <v>19</v>
      </c>
      <c r="Q11" s="36" t="s">
        <v>19</v>
      </c>
      <c r="R11" s="36" t="s">
        <v>19</v>
      </c>
      <c r="S11" s="8" t="s">
        <v>23</v>
      </c>
      <c r="T11" s="8" t="s">
        <v>23</v>
      </c>
      <c r="U11" s="8" t="s">
        <v>23</v>
      </c>
      <c r="V11" s="18" t="s">
        <v>23</v>
      </c>
      <c r="W11" s="18" t="s">
        <v>23</v>
      </c>
      <c r="X11" s="9" t="s">
        <v>23</v>
      </c>
      <c r="Y11" s="8" t="s">
        <v>23</v>
      </c>
      <c r="Z11" s="8" t="s">
        <v>23</v>
      </c>
      <c r="AA11" s="8" t="s">
        <v>23</v>
      </c>
      <c r="AB11" s="8" t="s">
        <v>23</v>
      </c>
      <c r="AC11" s="8" t="s">
        <v>23</v>
      </c>
      <c r="AD11" s="18" t="s">
        <v>23</v>
      </c>
      <c r="AE11" s="18" t="s">
        <v>23</v>
      </c>
      <c r="AF11" s="49">
        <v>5</v>
      </c>
      <c r="AG11" s="20" t="s">
        <v>30</v>
      </c>
      <c r="AI11" s="34" t="s">
        <v>6</v>
      </c>
      <c r="AJ11" s="32">
        <v>150</v>
      </c>
      <c r="AK11" s="32">
        <v>40</v>
      </c>
      <c r="AL11">
        <f t="shared" si="0"/>
        <v>1</v>
      </c>
      <c r="AM11">
        <f t="shared" si="1"/>
        <v>0</v>
      </c>
      <c r="AN11">
        <f t="shared" si="2"/>
        <v>0</v>
      </c>
      <c r="AO11">
        <f t="shared" si="3"/>
        <v>1</v>
      </c>
    </row>
    <row r="12" spans="1:43" x14ac:dyDescent="0.3">
      <c r="A12" s="1">
        <v>44373</v>
      </c>
      <c r="B12">
        <v>1600</v>
      </c>
      <c r="C12" s="4" cm="1">
        <f t="array" ref="C12">(SUM(VLOOKUP(H12:AE12,$AI$4:$AK$44,2,FALSE))+AF12*10)*IF(AG12="是",$AQ$4,$AQ$3)</f>
        <v>1510</v>
      </c>
      <c r="D12" s="31">
        <f>SUM($B$4:B12)-SUM($C$4:C12)</f>
        <v>150</v>
      </c>
      <c r="E12" s="4" cm="1">
        <f t="array" ref="E12">SUM(VLOOKUP(H12:AD12,$AI$4:$AK$44,3,FALSE))</f>
        <v>385</v>
      </c>
      <c r="F12" s="4">
        <f>SUM($E$4:E12)+SUM($G$4:G12)</f>
        <v>4255</v>
      </c>
      <c r="G12">
        <v>0</v>
      </c>
      <c r="H12" s="35" t="s">
        <v>18</v>
      </c>
      <c r="I12" s="43" t="s">
        <v>42</v>
      </c>
      <c r="J12" s="35" t="s">
        <v>18</v>
      </c>
      <c r="K12" s="8" t="s">
        <v>23</v>
      </c>
      <c r="L12" s="8" t="s">
        <v>23</v>
      </c>
      <c r="M12" s="8" t="s">
        <v>23</v>
      </c>
      <c r="N12" s="18" t="s">
        <v>23</v>
      </c>
      <c r="O12" s="17" t="s">
        <v>23</v>
      </c>
      <c r="P12" s="36" t="s">
        <v>19</v>
      </c>
      <c r="Q12" s="36" t="s">
        <v>19</v>
      </c>
      <c r="R12" s="36" t="s">
        <v>19</v>
      </c>
      <c r="S12" s="36" t="s">
        <v>19</v>
      </c>
      <c r="T12" s="43" t="s">
        <v>41</v>
      </c>
      <c r="U12" s="8" t="s">
        <v>23</v>
      </c>
      <c r="V12" s="18" t="s">
        <v>23</v>
      </c>
      <c r="W12" s="18" t="s">
        <v>23</v>
      </c>
      <c r="X12" s="9" t="s">
        <v>23</v>
      </c>
      <c r="Y12" s="8" t="s">
        <v>23</v>
      </c>
      <c r="Z12" s="8" t="s">
        <v>23</v>
      </c>
      <c r="AA12" s="8" t="s">
        <v>23</v>
      </c>
      <c r="AB12" s="8" t="s">
        <v>23</v>
      </c>
      <c r="AC12" s="8" t="s">
        <v>23</v>
      </c>
      <c r="AD12" s="18" t="s">
        <v>23</v>
      </c>
      <c r="AE12" s="18" t="s">
        <v>23</v>
      </c>
      <c r="AF12" s="49">
        <v>10</v>
      </c>
      <c r="AG12" s="20" t="s">
        <v>30</v>
      </c>
      <c r="AI12" s="35" t="s">
        <v>7</v>
      </c>
      <c r="AJ12" s="32">
        <v>150</v>
      </c>
      <c r="AK12" s="32">
        <v>45</v>
      </c>
      <c r="AL12">
        <f t="shared" si="0"/>
        <v>1</v>
      </c>
      <c r="AM12">
        <f t="shared" si="1"/>
        <v>1</v>
      </c>
      <c r="AN12">
        <f t="shared" si="2"/>
        <v>0</v>
      </c>
      <c r="AO12">
        <f t="shared" si="3"/>
        <v>2</v>
      </c>
    </row>
    <row r="13" spans="1:43" x14ac:dyDescent="0.3">
      <c r="A13" s="1">
        <v>44374</v>
      </c>
      <c r="B13">
        <v>1600</v>
      </c>
      <c r="C13" s="4" cm="1">
        <f t="array" ref="C13">(SUM(VLOOKUP(H13:AE13,$AI$4:$AK$44,2,FALSE))+AF13*10)*IF(AG13="是",$AQ$4,$AQ$3)</f>
        <v>1630</v>
      </c>
      <c r="D13" s="31">
        <f>SUM($B$4:B13)-SUM($C$4:C13)</f>
        <v>120</v>
      </c>
      <c r="E13" s="4" cm="1">
        <f t="array" ref="E13">SUM(VLOOKUP(H13:AD13,$AI$4:$AK$44,3,FALSE))</f>
        <v>525</v>
      </c>
      <c r="F13" s="4">
        <f>SUM($E$4:E13)+SUM($G$4:G13)</f>
        <v>5280</v>
      </c>
      <c r="G13">
        <v>500</v>
      </c>
      <c r="H13" s="35" t="s">
        <v>18</v>
      </c>
      <c r="I13" s="35" t="s">
        <v>18</v>
      </c>
      <c r="J13" s="35" t="s">
        <v>18</v>
      </c>
      <c r="K13" s="35" t="s">
        <v>18</v>
      </c>
      <c r="L13" s="42" t="s">
        <v>13</v>
      </c>
      <c r="M13" s="35" t="s">
        <v>18</v>
      </c>
      <c r="N13" s="36" t="s">
        <v>19</v>
      </c>
      <c r="O13" s="17" t="s">
        <v>23</v>
      </c>
      <c r="P13" s="36" t="s">
        <v>19</v>
      </c>
      <c r="Q13" s="36" t="s">
        <v>19</v>
      </c>
      <c r="R13" s="36" t="s">
        <v>19</v>
      </c>
      <c r="S13" s="42" t="s">
        <v>13</v>
      </c>
      <c r="T13" s="36" t="s">
        <v>19</v>
      </c>
      <c r="U13" s="36" t="s">
        <v>19</v>
      </c>
      <c r="V13" s="18" t="s">
        <v>23</v>
      </c>
      <c r="W13" s="18" t="s">
        <v>23</v>
      </c>
      <c r="X13" s="9" t="s">
        <v>23</v>
      </c>
      <c r="Y13" s="8" t="s">
        <v>23</v>
      </c>
      <c r="Z13" s="8" t="s">
        <v>23</v>
      </c>
      <c r="AA13" s="8" t="s">
        <v>23</v>
      </c>
      <c r="AB13" s="8" t="s">
        <v>23</v>
      </c>
      <c r="AC13" s="8" t="s">
        <v>23</v>
      </c>
      <c r="AD13" s="18" t="s">
        <v>23</v>
      </c>
      <c r="AE13" s="18" t="s">
        <v>23</v>
      </c>
      <c r="AF13" s="49">
        <v>0</v>
      </c>
      <c r="AG13" s="20" t="s">
        <v>30</v>
      </c>
      <c r="AI13" s="36" t="s">
        <v>8</v>
      </c>
      <c r="AJ13" s="32">
        <v>150</v>
      </c>
      <c r="AK13" s="32">
        <v>50</v>
      </c>
      <c r="AL13">
        <f t="shared" si="0"/>
        <v>1</v>
      </c>
      <c r="AM13">
        <f t="shared" si="1"/>
        <v>12</v>
      </c>
      <c r="AN13">
        <f t="shared" si="2"/>
        <v>0</v>
      </c>
      <c r="AO13">
        <f t="shared" si="3"/>
        <v>13</v>
      </c>
    </row>
    <row r="14" spans="1:43" x14ac:dyDescent="0.3">
      <c r="A14" s="3">
        <v>44375</v>
      </c>
      <c r="B14" s="4">
        <v>1600</v>
      </c>
      <c r="C14" s="4" cm="1">
        <f t="array" ref="C14">(SUM(VLOOKUP(H14:AE14,$AI$4:$AK$44,2,FALSE))+AF14*10)*IF(AG14="是",$AQ$4,$AQ$3)</f>
        <v>1690</v>
      </c>
      <c r="D14" s="30">
        <f>SUM($B$4:B14)-SUM($C$4:C14)</f>
        <v>30</v>
      </c>
      <c r="E14" s="4" cm="1">
        <f t="array" ref="E14">SUM(VLOOKUP(H14:AD14,$AI$4:$AK$44,3,FALSE))</f>
        <v>460</v>
      </c>
      <c r="F14" s="4">
        <f>SUM($E$4:E14)+SUM($G$4:G14)</f>
        <v>5740</v>
      </c>
      <c r="G14" s="4">
        <v>0</v>
      </c>
      <c r="H14" s="36" t="s">
        <v>19</v>
      </c>
      <c r="I14" s="43" t="s">
        <v>41</v>
      </c>
      <c r="J14" s="36" t="s">
        <v>19</v>
      </c>
      <c r="K14" s="36" t="s">
        <v>19</v>
      </c>
      <c r="L14" s="36" t="s">
        <v>19</v>
      </c>
      <c r="M14" s="36" t="s">
        <v>19</v>
      </c>
      <c r="N14" s="18" t="s">
        <v>23</v>
      </c>
      <c r="O14" s="17" t="s">
        <v>23</v>
      </c>
      <c r="P14" s="36" t="s">
        <v>19</v>
      </c>
      <c r="Q14" s="37" t="s">
        <v>20</v>
      </c>
      <c r="R14" s="37" t="s">
        <v>20</v>
      </c>
      <c r="S14" s="8" t="s">
        <v>23</v>
      </c>
      <c r="T14" s="8" t="s">
        <v>23</v>
      </c>
      <c r="U14" s="8" t="s">
        <v>23</v>
      </c>
      <c r="V14" s="18" t="s">
        <v>23</v>
      </c>
      <c r="W14" s="18" t="s">
        <v>23</v>
      </c>
      <c r="X14" s="9" t="s">
        <v>23</v>
      </c>
      <c r="Y14" s="8" t="s">
        <v>23</v>
      </c>
      <c r="Z14" s="8" t="s">
        <v>23</v>
      </c>
      <c r="AA14" s="8" t="s">
        <v>23</v>
      </c>
      <c r="AB14" s="8" t="s">
        <v>23</v>
      </c>
      <c r="AC14" s="8" t="s">
        <v>23</v>
      </c>
      <c r="AD14" s="18" t="s">
        <v>23</v>
      </c>
      <c r="AE14" s="18" t="s">
        <v>23</v>
      </c>
      <c r="AF14" s="49">
        <v>5</v>
      </c>
      <c r="AG14" s="20" t="s">
        <v>30</v>
      </c>
      <c r="AI14" s="37" t="s">
        <v>9</v>
      </c>
      <c r="AJ14" s="32">
        <v>150</v>
      </c>
      <c r="AK14" s="32">
        <v>55</v>
      </c>
      <c r="AL14">
        <f t="shared" si="0"/>
        <v>2</v>
      </c>
      <c r="AM14">
        <f t="shared" si="1"/>
        <v>2</v>
      </c>
      <c r="AN14">
        <f t="shared" si="2"/>
        <v>0</v>
      </c>
      <c r="AO14">
        <f t="shared" si="3"/>
        <v>4</v>
      </c>
    </row>
    <row r="15" spans="1:43" x14ac:dyDescent="0.3">
      <c r="A15" s="3">
        <v>44376</v>
      </c>
      <c r="B15" s="4">
        <v>1600</v>
      </c>
      <c r="C15" s="4" cm="1">
        <f t="array" ref="C15">(SUM(VLOOKUP(H15:AE15,$AI$4:$AK$44,2,FALSE))+AF15*10)*IF(AG15="是",$AQ$4,$AQ$3)</f>
        <v>1590</v>
      </c>
      <c r="D15" s="30">
        <f>SUM($B$4:B15)-SUM($C$4:C15)</f>
        <v>40</v>
      </c>
      <c r="E15" s="4" cm="1">
        <f t="array" ref="E15">SUM(VLOOKUP(H15:AD15,$AI$4:$AK$44,3,FALSE))</f>
        <v>520</v>
      </c>
      <c r="F15" s="4">
        <f>SUM($E$4:E15)+SUM($G$4:G15)</f>
        <v>6260</v>
      </c>
      <c r="G15" s="4">
        <v>0</v>
      </c>
      <c r="H15" s="36" t="s">
        <v>19</v>
      </c>
      <c r="I15" s="42" t="s">
        <v>13</v>
      </c>
      <c r="J15" s="36" t="s">
        <v>19</v>
      </c>
      <c r="K15" s="36" t="s">
        <v>19</v>
      </c>
      <c r="L15" s="36" t="s">
        <v>19</v>
      </c>
      <c r="M15" s="36" t="s">
        <v>19</v>
      </c>
      <c r="N15" s="36" t="s">
        <v>19</v>
      </c>
      <c r="O15" s="17" t="s">
        <v>23</v>
      </c>
      <c r="P15" s="42" t="s">
        <v>13</v>
      </c>
      <c r="Q15" s="37" t="s">
        <v>20</v>
      </c>
      <c r="R15" s="37" t="s">
        <v>20</v>
      </c>
      <c r="S15" s="37" t="s">
        <v>20</v>
      </c>
      <c r="T15" s="37" t="s">
        <v>20</v>
      </c>
      <c r="U15" s="8" t="s">
        <v>23</v>
      </c>
      <c r="V15" s="18" t="s">
        <v>23</v>
      </c>
      <c r="W15" s="18" t="s">
        <v>23</v>
      </c>
      <c r="X15" s="9" t="s">
        <v>23</v>
      </c>
      <c r="Y15" s="8" t="s">
        <v>23</v>
      </c>
      <c r="Z15" s="8" t="s">
        <v>23</v>
      </c>
      <c r="AA15" s="8" t="s">
        <v>23</v>
      </c>
      <c r="AB15" s="8" t="s">
        <v>23</v>
      </c>
      <c r="AC15" s="8" t="s">
        <v>23</v>
      </c>
      <c r="AD15" s="18" t="s">
        <v>23</v>
      </c>
      <c r="AE15" s="18" t="s">
        <v>23</v>
      </c>
      <c r="AF15" s="49">
        <v>5</v>
      </c>
      <c r="AG15" s="20" t="s">
        <v>30</v>
      </c>
      <c r="AI15" s="38" t="s">
        <v>10</v>
      </c>
      <c r="AJ15" s="32">
        <v>150</v>
      </c>
      <c r="AK15" s="32">
        <v>60</v>
      </c>
      <c r="AL15">
        <f t="shared" si="0"/>
        <v>0</v>
      </c>
      <c r="AM15">
        <f t="shared" si="1"/>
        <v>1</v>
      </c>
      <c r="AN15">
        <f t="shared" si="2"/>
        <v>0</v>
      </c>
      <c r="AO15">
        <f t="shared" si="3"/>
        <v>1</v>
      </c>
    </row>
    <row r="16" spans="1:43" x14ac:dyDescent="0.3">
      <c r="A16" s="3">
        <v>44377</v>
      </c>
      <c r="B16" s="4">
        <v>1600</v>
      </c>
      <c r="C16" s="4" cm="1">
        <f t="array" ref="C16">(SUM(VLOOKUP(H16:AE16,$AI$4:$AK$44,2,FALSE))+AF16*10)*IF(AG16="是",$AQ$4,$AQ$3)</f>
        <v>1510</v>
      </c>
      <c r="D16" s="30">
        <f>SUM($B$4:B16)-SUM($C$4:C16)</f>
        <v>130</v>
      </c>
      <c r="E16" s="4" cm="1">
        <f t="array" ref="E16">SUM(VLOOKUP(H16:AD16,$AI$4:$AK$44,3,FALSE))</f>
        <v>565</v>
      </c>
      <c r="F16" s="4">
        <f>SUM($E$4:E16)+SUM($G$4:G16)</f>
        <v>7325</v>
      </c>
      <c r="G16" s="4">
        <v>500</v>
      </c>
      <c r="H16" s="43" t="s">
        <v>41</v>
      </c>
      <c r="I16" s="36" t="s">
        <v>19</v>
      </c>
      <c r="J16" s="8" t="s">
        <v>23</v>
      </c>
      <c r="K16" s="8" t="s">
        <v>23</v>
      </c>
      <c r="L16" s="8" t="s">
        <v>23</v>
      </c>
      <c r="M16" s="8" t="s">
        <v>23</v>
      </c>
      <c r="N16" s="18" t="s">
        <v>23</v>
      </c>
      <c r="O16" s="17" t="s">
        <v>23</v>
      </c>
      <c r="P16" s="37" t="s">
        <v>20</v>
      </c>
      <c r="Q16" s="37" t="s">
        <v>20</v>
      </c>
      <c r="R16" s="37" t="s">
        <v>20</v>
      </c>
      <c r="S16" s="36" t="s">
        <v>19</v>
      </c>
      <c r="T16" s="42" t="s">
        <v>13</v>
      </c>
      <c r="U16" s="36" t="s">
        <v>19</v>
      </c>
      <c r="V16" s="47" t="s">
        <v>14</v>
      </c>
      <c r="W16" s="18" t="s">
        <v>23</v>
      </c>
      <c r="X16" s="9" t="s">
        <v>23</v>
      </c>
      <c r="Y16" s="8" t="s">
        <v>23</v>
      </c>
      <c r="Z16" s="8" t="s">
        <v>23</v>
      </c>
      <c r="AA16" s="8" t="s">
        <v>23</v>
      </c>
      <c r="AB16" s="8" t="s">
        <v>23</v>
      </c>
      <c r="AC16" s="8" t="s">
        <v>23</v>
      </c>
      <c r="AD16" s="18" t="s">
        <v>23</v>
      </c>
      <c r="AE16" s="18" t="s">
        <v>23</v>
      </c>
      <c r="AF16" s="49">
        <v>12</v>
      </c>
      <c r="AG16" s="20" t="s">
        <v>30</v>
      </c>
      <c r="AI16" s="39" t="s">
        <v>11</v>
      </c>
      <c r="AJ16" s="40">
        <v>150</v>
      </c>
      <c r="AK16" s="32">
        <v>35</v>
      </c>
      <c r="AL16">
        <f t="shared" si="0"/>
        <v>0</v>
      </c>
      <c r="AM16">
        <f t="shared" si="1"/>
        <v>0</v>
      </c>
      <c r="AN16">
        <f t="shared" si="2"/>
        <v>0</v>
      </c>
      <c r="AO16">
        <f t="shared" si="3"/>
        <v>0</v>
      </c>
    </row>
    <row r="17" spans="1:41" x14ac:dyDescent="0.3">
      <c r="A17" s="3">
        <v>44378</v>
      </c>
      <c r="B17" s="4">
        <v>1600</v>
      </c>
      <c r="C17" s="4" cm="1">
        <f t="array" ref="C17">(SUM(VLOOKUP(H17:AE17,$AI$4:$AK$44,2,FALSE))+AF17*10)*IF(AG17="是",$AQ$4,$AQ$3)</f>
        <v>1580</v>
      </c>
      <c r="D17" s="30">
        <f>SUM($B$4:B17)-SUM($C$4:C17)</f>
        <v>150</v>
      </c>
      <c r="E17" s="4" cm="1">
        <f t="array" ref="E17">SUM(VLOOKUP(H17:AD17,$AI$4:$AK$44,3,FALSE))</f>
        <v>430</v>
      </c>
      <c r="F17" s="4">
        <f>SUM($E$4:E17)+SUM($G$4:G17)</f>
        <v>7755</v>
      </c>
      <c r="G17" s="4">
        <v>0</v>
      </c>
      <c r="H17" s="36" t="s">
        <v>19</v>
      </c>
      <c r="I17" s="36" t="s">
        <v>19</v>
      </c>
      <c r="J17" s="36" t="s">
        <v>19</v>
      </c>
      <c r="K17" s="36" t="s">
        <v>19</v>
      </c>
      <c r="L17" s="36" t="s">
        <v>19</v>
      </c>
      <c r="M17" s="8" t="s">
        <v>23</v>
      </c>
      <c r="N17" s="18" t="s">
        <v>23</v>
      </c>
      <c r="O17" s="17" t="s">
        <v>23</v>
      </c>
      <c r="P17" s="35" t="s">
        <v>18</v>
      </c>
      <c r="Q17" s="35" t="s">
        <v>18</v>
      </c>
      <c r="R17" s="35" t="s">
        <v>18</v>
      </c>
      <c r="S17" s="35" t="s">
        <v>18</v>
      </c>
      <c r="T17" s="8" t="s">
        <v>23</v>
      </c>
      <c r="U17" s="8" t="s">
        <v>23</v>
      </c>
      <c r="V17" s="18" t="s">
        <v>23</v>
      </c>
      <c r="W17" s="18" t="s">
        <v>23</v>
      </c>
      <c r="X17" s="9" t="s">
        <v>23</v>
      </c>
      <c r="Y17" s="8" t="s">
        <v>23</v>
      </c>
      <c r="Z17" s="8" t="s">
        <v>23</v>
      </c>
      <c r="AA17" s="8" t="s">
        <v>23</v>
      </c>
      <c r="AB17" s="8" t="s">
        <v>23</v>
      </c>
      <c r="AC17" s="8" t="s">
        <v>23</v>
      </c>
      <c r="AD17" s="18" t="s">
        <v>23</v>
      </c>
      <c r="AE17" s="18" t="s">
        <v>23</v>
      </c>
      <c r="AF17" s="49">
        <v>0</v>
      </c>
      <c r="AG17" s="20" t="s">
        <v>30</v>
      </c>
      <c r="AI17" s="41" t="s">
        <v>12</v>
      </c>
      <c r="AJ17" s="32">
        <v>50</v>
      </c>
      <c r="AK17" s="32">
        <v>30</v>
      </c>
      <c r="AL17">
        <f t="shared" si="0"/>
        <v>6</v>
      </c>
      <c r="AM17">
        <f t="shared" si="1"/>
        <v>10</v>
      </c>
      <c r="AN17">
        <f t="shared" si="2"/>
        <v>0</v>
      </c>
      <c r="AO17">
        <f t="shared" si="3"/>
        <v>16</v>
      </c>
    </row>
    <row r="18" spans="1:41" x14ac:dyDescent="0.3">
      <c r="A18" s="3">
        <v>44379</v>
      </c>
      <c r="B18" s="4">
        <v>1600</v>
      </c>
      <c r="C18" s="4" cm="1">
        <f t="array" ref="C18">(SUM(VLOOKUP(H18:AE18,$AI$4:$AK$44,2,FALSE))+AF18*10)*IF(AG18="是",$AQ$4,$AQ$3)</f>
        <v>1580</v>
      </c>
      <c r="D18" s="30">
        <f>SUM($B$4:B18)-SUM($C$4:C18)</f>
        <v>170</v>
      </c>
      <c r="E18" s="4" cm="1">
        <f t="array" ref="E18">SUM(VLOOKUP(H18:AD18,$AI$4:$AK$44,3,FALSE))</f>
        <v>430</v>
      </c>
      <c r="F18" s="4">
        <f>SUM($E$4:E18)+SUM($G$4:G18)</f>
        <v>8185</v>
      </c>
      <c r="G18" s="4">
        <v>0</v>
      </c>
      <c r="H18" s="36" t="s">
        <v>19</v>
      </c>
      <c r="I18" s="36" t="s">
        <v>19</v>
      </c>
      <c r="J18" s="36" t="s">
        <v>19</v>
      </c>
      <c r="K18" s="8" t="s">
        <v>23</v>
      </c>
      <c r="L18" s="8" t="s">
        <v>23</v>
      </c>
      <c r="M18" s="8" t="s">
        <v>23</v>
      </c>
      <c r="N18" s="18" t="s">
        <v>23</v>
      </c>
      <c r="O18" s="17" t="s">
        <v>23</v>
      </c>
      <c r="P18" s="35" t="s">
        <v>18</v>
      </c>
      <c r="Q18" s="36" t="s">
        <v>19</v>
      </c>
      <c r="R18" s="35" t="s">
        <v>18</v>
      </c>
      <c r="S18" s="35" t="s">
        <v>18</v>
      </c>
      <c r="T18" s="35" t="s">
        <v>18</v>
      </c>
      <c r="U18" s="36" t="s">
        <v>19</v>
      </c>
      <c r="V18" s="18" t="s">
        <v>23</v>
      </c>
      <c r="W18" s="18" t="s">
        <v>23</v>
      </c>
      <c r="X18" s="9" t="s">
        <v>23</v>
      </c>
      <c r="Y18" s="8" t="s">
        <v>23</v>
      </c>
      <c r="Z18" s="8" t="s">
        <v>23</v>
      </c>
      <c r="AA18" s="8" t="s">
        <v>23</v>
      </c>
      <c r="AB18" s="8" t="s">
        <v>23</v>
      </c>
      <c r="AC18" s="8" t="s">
        <v>23</v>
      </c>
      <c r="AD18" s="18" t="s">
        <v>23</v>
      </c>
      <c r="AE18" s="18" t="s">
        <v>23</v>
      </c>
      <c r="AF18" s="49">
        <v>0</v>
      </c>
      <c r="AG18" s="20" t="s">
        <v>30</v>
      </c>
      <c r="AH18" s="24" t="s">
        <v>25</v>
      </c>
      <c r="AI18" s="42" t="s">
        <v>13</v>
      </c>
      <c r="AJ18" s="32">
        <v>-150</v>
      </c>
      <c r="AK18" s="32">
        <v>0</v>
      </c>
      <c r="AL18">
        <f t="shared" si="0"/>
        <v>3</v>
      </c>
      <c r="AM18">
        <f t="shared" si="1"/>
        <v>6</v>
      </c>
      <c r="AN18">
        <f t="shared" si="2"/>
        <v>0</v>
      </c>
      <c r="AO18">
        <f t="shared" si="3"/>
        <v>9</v>
      </c>
    </row>
    <row r="19" spans="1:41" x14ac:dyDescent="0.3">
      <c r="A19" s="3">
        <v>44380</v>
      </c>
      <c r="B19" s="4">
        <v>1600</v>
      </c>
      <c r="C19" s="66" cm="1">
        <f t="array" ref="C19">(SUM(VLOOKUP(H19:AE19,$AI$4:$AK$44,2,FALSE))+AF19*10)*IF(AG19="是",$AQ$4,$AQ$3)-246</f>
        <v>1684</v>
      </c>
      <c r="D19" s="30">
        <f>SUM($B$4:B19)-SUM($C$4:C19)</f>
        <v>86</v>
      </c>
      <c r="E19" s="4" cm="1">
        <f t="array" ref="E19">SUM(VLOOKUP(H19:AD19,$AI$4:$AK$44,3,FALSE))</f>
        <v>540</v>
      </c>
      <c r="F19" s="4">
        <f>SUM($E$4:E19)+SUM($G$4:G19)</f>
        <v>8725</v>
      </c>
      <c r="G19" s="4">
        <v>0</v>
      </c>
      <c r="H19" s="36" t="s">
        <v>19</v>
      </c>
      <c r="I19" s="43" t="s">
        <v>41</v>
      </c>
      <c r="J19" s="36" t="s">
        <v>19</v>
      </c>
      <c r="K19" s="36" t="s">
        <v>8</v>
      </c>
      <c r="L19" s="37" t="s">
        <v>20</v>
      </c>
      <c r="M19" s="8" t="s">
        <v>23</v>
      </c>
      <c r="N19" s="18" t="s">
        <v>23</v>
      </c>
      <c r="O19" s="17" t="s">
        <v>23</v>
      </c>
      <c r="P19" s="35" t="s">
        <v>18</v>
      </c>
      <c r="Q19" s="43" t="s">
        <v>42</v>
      </c>
      <c r="R19" s="35" t="s">
        <v>18</v>
      </c>
      <c r="S19" s="36" t="s">
        <v>19</v>
      </c>
      <c r="T19" s="36" t="s">
        <v>19</v>
      </c>
      <c r="U19" s="36" t="s">
        <v>19</v>
      </c>
      <c r="V19" s="18" t="s">
        <v>23</v>
      </c>
      <c r="W19" s="18" t="s">
        <v>23</v>
      </c>
      <c r="X19" s="9" t="s">
        <v>23</v>
      </c>
      <c r="Y19" s="8" t="s">
        <v>23</v>
      </c>
      <c r="Z19" s="8" t="s">
        <v>23</v>
      </c>
      <c r="AA19" s="8" t="s">
        <v>23</v>
      </c>
      <c r="AB19" s="8" t="s">
        <v>23</v>
      </c>
      <c r="AC19" s="8" t="s">
        <v>23</v>
      </c>
      <c r="AD19" s="18" t="s">
        <v>23</v>
      </c>
      <c r="AE19" s="18" t="s">
        <v>23</v>
      </c>
      <c r="AF19" s="49">
        <v>0</v>
      </c>
      <c r="AG19" s="20" t="s">
        <v>30</v>
      </c>
      <c r="AI19" s="43" t="s">
        <v>42</v>
      </c>
      <c r="AJ19" s="32">
        <v>170</v>
      </c>
      <c r="AK19" s="32">
        <v>45</v>
      </c>
      <c r="AL19">
        <f t="shared" si="0"/>
        <v>2</v>
      </c>
      <c r="AM19">
        <f t="shared" si="1"/>
        <v>2</v>
      </c>
      <c r="AN19">
        <f t="shared" si="2"/>
        <v>0</v>
      </c>
      <c r="AO19">
        <f t="shared" si="3"/>
        <v>4</v>
      </c>
    </row>
    <row r="20" spans="1:41" x14ac:dyDescent="0.3">
      <c r="A20" s="3">
        <v>44381</v>
      </c>
      <c r="B20" s="4">
        <v>1600</v>
      </c>
      <c r="C20" s="4" cm="1">
        <f t="array" ref="C20">(SUM(VLOOKUP(H20:AE20,$AI$4:$AK$44,2,FALSE))+AF20*10)*IF(AG20="是",$AQ$4,$AQ$3)</f>
        <v>1624</v>
      </c>
      <c r="D20" s="30">
        <f>SUM($B$4:B20)-SUM($C$4:C20)</f>
        <v>62</v>
      </c>
      <c r="E20" s="4" cm="1">
        <f t="array" ref="E20">SUM(VLOOKUP(H20:AD20,$AI$4:$AK$44,3,FALSE))</f>
        <v>575</v>
      </c>
      <c r="F20" s="4">
        <f>SUM($E$4:E20)+SUM($G$4:G20)</f>
        <v>9300</v>
      </c>
      <c r="G20" s="4">
        <v>0</v>
      </c>
      <c r="H20" s="37" t="s">
        <v>20</v>
      </c>
      <c r="I20" s="37" t="s">
        <v>20</v>
      </c>
      <c r="J20" s="37" t="s">
        <v>20</v>
      </c>
      <c r="K20" s="37" t="s">
        <v>20</v>
      </c>
      <c r="L20" s="37" t="s">
        <v>20</v>
      </c>
      <c r="M20" s="9" t="s">
        <v>23</v>
      </c>
      <c r="N20" s="18" t="s">
        <v>23</v>
      </c>
      <c r="O20" s="17" t="s">
        <v>23</v>
      </c>
      <c r="P20" s="36" t="s">
        <v>19</v>
      </c>
      <c r="Q20" s="36" t="s">
        <v>19</v>
      </c>
      <c r="R20" s="36" t="s">
        <v>19</v>
      </c>
      <c r="S20" s="36" t="s">
        <v>19</v>
      </c>
      <c r="T20" s="36" t="s">
        <v>19</v>
      </c>
      <c r="U20" s="36" t="s">
        <v>19</v>
      </c>
      <c r="V20" s="18" t="s">
        <v>23</v>
      </c>
      <c r="W20" s="18" t="s">
        <v>23</v>
      </c>
      <c r="X20" s="9" t="s">
        <v>23</v>
      </c>
      <c r="Y20" s="8" t="s">
        <v>23</v>
      </c>
      <c r="Z20" s="8" t="s">
        <v>23</v>
      </c>
      <c r="AA20" s="8" t="s">
        <v>23</v>
      </c>
      <c r="AB20" s="8" t="s">
        <v>23</v>
      </c>
      <c r="AC20" s="8" t="s">
        <v>23</v>
      </c>
      <c r="AD20" s="18" t="s">
        <v>23</v>
      </c>
      <c r="AE20" s="18" t="s">
        <v>23</v>
      </c>
      <c r="AF20" s="49">
        <v>0</v>
      </c>
      <c r="AG20" s="20" t="s">
        <v>31</v>
      </c>
      <c r="AI20" s="43" t="s">
        <v>41</v>
      </c>
      <c r="AJ20" s="32">
        <v>180</v>
      </c>
      <c r="AK20" s="32">
        <v>50</v>
      </c>
      <c r="AL20">
        <f t="shared" si="0"/>
        <v>3</v>
      </c>
      <c r="AM20">
        <f t="shared" si="1"/>
        <v>1</v>
      </c>
      <c r="AN20">
        <f t="shared" si="2"/>
        <v>0</v>
      </c>
      <c r="AO20">
        <f t="shared" si="3"/>
        <v>4</v>
      </c>
    </row>
    <row r="21" spans="1:41" x14ac:dyDescent="0.3">
      <c r="A21" s="1">
        <v>44382</v>
      </c>
      <c r="B21">
        <v>1600</v>
      </c>
      <c r="C21" s="4" cm="1">
        <f t="array" ref="C21">(SUM(VLOOKUP(H21:AE21,$AI$4:$AK$44,2,FALSE))+AF21*10)*IF(AG21="是",$AQ$4,$AQ$3)</f>
        <v>1592</v>
      </c>
      <c r="D21" s="31">
        <f>SUM($B$4:B21)-SUM($C$4:C21)</f>
        <v>70</v>
      </c>
      <c r="E21" s="4" cm="1">
        <f t="array" ref="E21">SUM(VLOOKUP(H21:AD21,$AI$4:$AK$44,3,FALSE))</f>
        <v>575</v>
      </c>
      <c r="F21" s="4">
        <f>SUM($E$4:E21)+SUM($G$4:G21)</f>
        <v>9875</v>
      </c>
      <c r="G21">
        <v>0</v>
      </c>
      <c r="H21" s="37" t="s">
        <v>20</v>
      </c>
      <c r="I21" s="37" t="s">
        <v>9</v>
      </c>
      <c r="J21" s="37" t="s">
        <v>20</v>
      </c>
      <c r="K21" s="37" t="s">
        <v>20</v>
      </c>
      <c r="L21" s="37" t="s">
        <v>20</v>
      </c>
      <c r="M21" s="9" t="s">
        <v>23</v>
      </c>
      <c r="N21" s="18" t="s">
        <v>23</v>
      </c>
      <c r="O21" s="17" t="s">
        <v>23</v>
      </c>
      <c r="P21" s="36" t="s">
        <v>19</v>
      </c>
      <c r="Q21" s="36" t="s">
        <v>19</v>
      </c>
      <c r="R21" s="36" t="s">
        <v>19</v>
      </c>
      <c r="S21" s="36" t="s">
        <v>19</v>
      </c>
      <c r="T21" s="36" t="s">
        <v>19</v>
      </c>
      <c r="U21" s="36" t="s">
        <v>19</v>
      </c>
      <c r="V21" s="18" t="s">
        <v>23</v>
      </c>
      <c r="W21" s="18" t="s">
        <v>23</v>
      </c>
      <c r="X21" s="9" t="s">
        <v>23</v>
      </c>
      <c r="Y21" s="8" t="s">
        <v>23</v>
      </c>
      <c r="Z21" s="8" t="s">
        <v>23</v>
      </c>
      <c r="AA21" s="8" t="s">
        <v>23</v>
      </c>
      <c r="AB21" s="8" t="s">
        <v>23</v>
      </c>
      <c r="AC21" s="8" t="s">
        <v>23</v>
      </c>
      <c r="AD21" s="18" t="s">
        <v>23</v>
      </c>
      <c r="AE21" s="18" t="s">
        <v>23</v>
      </c>
      <c r="AF21" s="49">
        <v>0</v>
      </c>
      <c r="AG21" s="20" t="s">
        <v>31</v>
      </c>
      <c r="AI21" s="47" t="s">
        <v>14</v>
      </c>
      <c r="AJ21" s="32">
        <v>250</v>
      </c>
      <c r="AK21" s="32">
        <v>200</v>
      </c>
      <c r="AL21">
        <f t="shared" si="0"/>
        <v>0</v>
      </c>
      <c r="AM21">
        <f t="shared" si="1"/>
        <v>2</v>
      </c>
      <c r="AN21">
        <f t="shared" si="2"/>
        <v>0</v>
      </c>
      <c r="AO21">
        <f t="shared" si="3"/>
        <v>2</v>
      </c>
    </row>
    <row r="22" spans="1:41" x14ac:dyDescent="0.3">
      <c r="A22" s="1">
        <v>44383</v>
      </c>
      <c r="B22">
        <v>1600</v>
      </c>
      <c r="C22" s="4" cm="1">
        <f t="array" ref="C22">(SUM(VLOOKUP(H22:AE22,$AI$4:$AK$44,2,FALSE))+AF22*10)*IF(AG22="是",$AQ$4,$AQ$3)</f>
        <v>1600</v>
      </c>
      <c r="D22" s="31">
        <f>SUM($B$4:B22)-SUM($C$4:C22)</f>
        <v>70</v>
      </c>
      <c r="E22" s="4" cm="1">
        <f t="array" ref="E22">SUM(VLOOKUP(H22:AD22,$AI$4:$AK$44,3,FALSE))</f>
        <v>565</v>
      </c>
      <c r="F22" s="4">
        <f>SUM($E$4:E22)+SUM($G$4:G22)</f>
        <v>10440</v>
      </c>
      <c r="G22">
        <v>0</v>
      </c>
      <c r="H22" s="37" t="s">
        <v>20</v>
      </c>
      <c r="I22" s="37" t="s">
        <v>20</v>
      </c>
      <c r="J22" s="37" t="s">
        <v>20</v>
      </c>
      <c r="K22" s="37" t="s">
        <v>20</v>
      </c>
      <c r="L22" s="37" t="s">
        <v>20</v>
      </c>
      <c r="M22" s="9" t="s">
        <v>23</v>
      </c>
      <c r="N22" s="18" t="s">
        <v>23</v>
      </c>
      <c r="O22" s="17" t="s">
        <v>23</v>
      </c>
      <c r="P22" s="36" t="s">
        <v>19</v>
      </c>
      <c r="Q22" s="36" t="s">
        <v>19</v>
      </c>
      <c r="R22" s="36" t="s">
        <v>19</v>
      </c>
      <c r="S22" s="35" t="s">
        <v>7</v>
      </c>
      <c r="T22" s="36" t="s">
        <v>19</v>
      </c>
      <c r="U22" s="35" t="s">
        <v>18</v>
      </c>
      <c r="V22" s="18" t="s">
        <v>23</v>
      </c>
      <c r="W22" s="18" t="s">
        <v>23</v>
      </c>
      <c r="X22" s="9" t="s">
        <v>23</v>
      </c>
      <c r="Y22" s="8" t="s">
        <v>23</v>
      </c>
      <c r="Z22" s="8" t="s">
        <v>23</v>
      </c>
      <c r="AA22" s="8" t="s">
        <v>23</v>
      </c>
      <c r="AB22" s="8" t="s">
        <v>23</v>
      </c>
      <c r="AC22" s="8" t="s">
        <v>23</v>
      </c>
      <c r="AD22" s="18" t="s">
        <v>23</v>
      </c>
      <c r="AE22" s="18" t="s">
        <v>23</v>
      </c>
      <c r="AF22" s="49">
        <v>1</v>
      </c>
      <c r="AG22" s="20" t="s">
        <v>31</v>
      </c>
      <c r="AI22" s="45" t="s">
        <v>15</v>
      </c>
      <c r="AJ22" s="32">
        <v>250</v>
      </c>
      <c r="AK22" s="32">
        <v>1000</v>
      </c>
      <c r="AL22">
        <f t="shared" si="0"/>
        <v>0</v>
      </c>
      <c r="AM22">
        <f t="shared" si="1"/>
        <v>1</v>
      </c>
      <c r="AN22">
        <f t="shared" si="2"/>
        <v>0</v>
      </c>
      <c r="AO22">
        <f t="shared" si="3"/>
        <v>1</v>
      </c>
    </row>
    <row r="23" spans="1:41" x14ac:dyDescent="0.3">
      <c r="A23" s="1">
        <v>44384</v>
      </c>
      <c r="B23">
        <v>1600</v>
      </c>
      <c r="C23" s="4" cm="1">
        <f t="array" ref="C23">(SUM(VLOOKUP(H23:AE23,$AI$4:$AK$44,2,FALSE))+AF23*10)*IF(AG23="是",$AQ$4,$AQ$3)</f>
        <v>1632</v>
      </c>
      <c r="D23" s="31">
        <f>SUM($B$4:B23)-SUM($C$4:C23)</f>
        <v>38</v>
      </c>
      <c r="E23" s="4" cm="1">
        <f t="array" ref="E23">SUM(VLOOKUP(H23:AD23,$AI$4:$AK$44,3,FALSE))</f>
        <v>585</v>
      </c>
      <c r="F23" s="4">
        <f>SUM($E$4:E23)+SUM($G$4:G23)</f>
        <v>11025</v>
      </c>
      <c r="G23">
        <v>0</v>
      </c>
      <c r="H23" s="37" t="s">
        <v>20</v>
      </c>
      <c r="I23" s="37" t="s">
        <v>20</v>
      </c>
      <c r="J23" s="37" t="s">
        <v>20</v>
      </c>
      <c r="K23" s="37" t="s">
        <v>20</v>
      </c>
      <c r="L23" s="37" t="s">
        <v>20</v>
      </c>
      <c r="M23" s="37" t="s">
        <v>20</v>
      </c>
      <c r="N23" s="18" t="s">
        <v>23</v>
      </c>
      <c r="O23" s="17" t="s">
        <v>23</v>
      </c>
      <c r="P23" s="35" t="s">
        <v>18</v>
      </c>
      <c r="Q23" s="41" t="s">
        <v>12</v>
      </c>
      <c r="R23" s="35" t="s">
        <v>18</v>
      </c>
      <c r="S23" s="35" t="s">
        <v>18</v>
      </c>
      <c r="T23" s="35" t="s">
        <v>18</v>
      </c>
      <c r="U23" s="35" t="s">
        <v>18</v>
      </c>
      <c r="V23" s="18" t="s">
        <v>23</v>
      </c>
      <c r="W23" s="18" t="s">
        <v>23</v>
      </c>
      <c r="X23" s="9" t="s">
        <v>23</v>
      </c>
      <c r="Y23" s="8" t="s">
        <v>23</v>
      </c>
      <c r="Z23" s="8" t="s">
        <v>23</v>
      </c>
      <c r="AA23" s="8" t="s">
        <v>23</v>
      </c>
      <c r="AB23" s="8" t="s">
        <v>23</v>
      </c>
      <c r="AC23" s="8" t="s">
        <v>23</v>
      </c>
      <c r="AD23" s="18" t="s">
        <v>23</v>
      </c>
      <c r="AE23" s="18" t="s">
        <v>23</v>
      </c>
      <c r="AF23" s="49">
        <v>0</v>
      </c>
      <c r="AG23" s="20" t="s">
        <v>31</v>
      </c>
      <c r="AI23" s="48" t="s">
        <v>43</v>
      </c>
      <c r="AJ23" s="32">
        <v>250</v>
      </c>
      <c r="AK23" s="32">
        <v>500</v>
      </c>
      <c r="AL23">
        <f t="shared" si="0"/>
        <v>0</v>
      </c>
      <c r="AM23">
        <f t="shared" si="1"/>
        <v>2</v>
      </c>
      <c r="AN23">
        <f t="shared" si="2"/>
        <v>0</v>
      </c>
      <c r="AO23">
        <f t="shared" si="3"/>
        <v>2</v>
      </c>
    </row>
    <row r="24" spans="1:41" x14ac:dyDescent="0.3">
      <c r="A24" s="1">
        <v>44385</v>
      </c>
      <c r="B24">
        <v>1600</v>
      </c>
      <c r="C24" s="4" cm="1">
        <f t="array" ref="C24">(SUM(VLOOKUP(H24:AE24,$AI$4:$AK$44,2,FALSE))+AF24*10)*IF(AG24="是",$AQ$4,$AQ$3)</f>
        <v>1616</v>
      </c>
      <c r="D24" s="31">
        <f>SUM($B$4:B24)-SUM($C$4:C24)</f>
        <v>22</v>
      </c>
      <c r="E24" s="4" cm="1">
        <f t="array" ref="E24">SUM(VLOOKUP(H24:AD24,$AI$4:$AK$44,3,FALSE))</f>
        <v>590</v>
      </c>
      <c r="F24" s="4">
        <f>SUM($E$4:E24)+SUM($G$4:G24)</f>
        <v>11615</v>
      </c>
      <c r="G24">
        <v>0</v>
      </c>
      <c r="H24" s="37" t="s">
        <v>20</v>
      </c>
      <c r="I24" s="37" t="s">
        <v>9</v>
      </c>
      <c r="J24" s="37" t="s">
        <v>20</v>
      </c>
      <c r="K24" s="37" t="s">
        <v>20</v>
      </c>
      <c r="L24" s="37" t="s">
        <v>20</v>
      </c>
      <c r="M24" s="37" t="s">
        <v>20</v>
      </c>
      <c r="N24" s="18" t="s">
        <v>23</v>
      </c>
      <c r="O24" s="17" t="s">
        <v>23</v>
      </c>
      <c r="P24" s="35" t="s">
        <v>18</v>
      </c>
      <c r="Q24" s="36" t="s">
        <v>19</v>
      </c>
      <c r="R24" s="35" t="s">
        <v>18</v>
      </c>
      <c r="S24" s="34" t="s">
        <v>17</v>
      </c>
      <c r="T24" s="41" t="s">
        <v>12</v>
      </c>
      <c r="U24" s="36" t="s">
        <v>19</v>
      </c>
      <c r="V24" s="18" t="s">
        <v>23</v>
      </c>
      <c r="W24" s="18" t="s">
        <v>23</v>
      </c>
      <c r="X24" s="9" t="s">
        <v>23</v>
      </c>
      <c r="Y24" s="8" t="s">
        <v>23</v>
      </c>
      <c r="Z24" s="8" t="s">
        <v>23</v>
      </c>
      <c r="AA24" s="8" t="s">
        <v>23</v>
      </c>
      <c r="AB24" s="8" t="s">
        <v>23</v>
      </c>
      <c r="AC24" s="8" t="s">
        <v>23</v>
      </c>
      <c r="AD24" s="18" t="s">
        <v>23</v>
      </c>
      <c r="AE24" s="18" t="s">
        <v>23</v>
      </c>
      <c r="AF24" s="49">
        <v>1</v>
      </c>
      <c r="AG24" s="20" t="s">
        <v>31</v>
      </c>
      <c r="AI24" s="44" t="s">
        <v>39</v>
      </c>
      <c r="AJ24" s="32">
        <v>160</v>
      </c>
      <c r="AK24" s="32">
        <v>40</v>
      </c>
      <c r="AL24">
        <f t="shared" si="0"/>
        <v>0</v>
      </c>
      <c r="AM24">
        <f t="shared" si="1"/>
        <v>0</v>
      </c>
      <c r="AN24">
        <f t="shared" si="2"/>
        <v>0</v>
      </c>
      <c r="AO24">
        <f t="shared" si="3"/>
        <v>0</v>
      </c>
    </row>
    <row r="25" spans="1:41" x14ac:dyDescent="0.3">
      <c r="A25" s="1">
        <v>44386</v>
      </c>
      <c r="B25">
        <v>1600</v>
      </c>
      <c r="C25" s="4" cm="1">
        <f t="array" ref="C25">(SUM(VLOOKUP(H25:AE25,$AI$4:$AK$44,2,FALSE))+AF25*10)*IF(AG25="是",$AQ$4,$AQ$3)</f>
        <v>1472</v>
      </c>
      <c r="D25" s="31">
        <f>SUM($B$4:B25)-SUM($C$4:C25)</f>
        <v>150</v>
      </c>
      <c r="E25" s="4" cm="1">
        <f t="array" ref="E25">SUM(VLOOKUP(H25:AD25,$AI$4:$AK$44,3,FALSE))</f>
        <v>520</v>
      </c>
      <c r="F25" s="4">
        <f>SUM($E$4:E25)+SUM($G$4:G25)</f>
        <v>12135</v>
      </c>
      <c r="G25">
        <v>0</v>
      </c>
      <c r="H25" s="37" t="s">
        <v>20</v>
      </c>
      <c r="I25" s="37" t="s">
        <v>20</v>
      </c>
      <c r="J25" s="37" t="s">
        <v>20</v>
      </c>
      <c r="K25" s="37" t="s">
        <v>20</v>
      </c>
      <c r="L25" s="9" t="s">
        <v>23</v>
      </c>
      <c r="M25" s="9" t="s">
        <v>23</v>
      </c>
      <c r="N25" s="18" t="s">
        <v>23</v>
      </c>
      <c r="O25" s="17" t="s">
        <v>23</v>
      </c>
      <c r="P25" s="36" t="s">
        <v>19</v>
      </c>
      <c r="Q25" s="36" t="s">
        <v>19</v>
      </c>
      <c r="R25" s="36" t="s">
        <v>19</v>
      </c>
      <c r="S25" s="36" t="s">
        <v>19</v>
      </c>
      <c r="T25" s="36" t="s">
        <v>19</v>
      </c>
      <c r="U25" s="36" t="s">
        <v>19</v>
      </c>
      <c r="V25" s="18" t="s">
        <v>23</v>
      </c>
      <c r="W25" s="18" t="s">
        <v>23</v>
      </c>
      <c r="X25" s="9" t="s">
        <v>23</v>
      </c>
      <c r="Y25" s="8" t="s">
        <v>23</v>
      </c>
      <c r="Z25" s="8" t="s">
        <v>23</v>
      </c>
      <c r="AA25" s="8" t="s">
        <v>23</v>
      </c>
      <c r="AB25" s="8" t="s">
        <v>23</v>
      </c>
      <c r="AC25" s="8" t="s">
        <v>23</v>
      </c>
      <c r="AD25" s="18" t="s">
        <v>23</v>
      </c>
      <c r="AE25" s="18" t="s">
        <v>23</v>
      </c>
      <c r="AF25" s="49">
        <v>0</v>
      </c>
      <c r="AG25" s="20" t="s">
        <v>31</v>
      </c>
      <c r="AI25" s="44" t="s">
        <v>40</v>
      </c>
      <c r="AJ25" s="32">
        <v>160</v>
      </c>
      <c r="AK25" s="32">
        <v>40</v>
      </c>
      <c r="AL25">
        <f t="shared" si="0"/>
        <v>0</v>
      </c>
      <c r="AM25">
        <f t="shared" si="1"/>
        <v>0</v>
      </c>
      <c r="AN25">
        <f t="shared" si="2"/>
        <v>0</v>
      </c>
      <c r="AO25">
        <f t="shared" si="3"/>
        <v>0</v>
      </c>
    </row>
    <row r="26" spans="1:41" x14ac:dyDescent="0.3">
      <c r="A26" s="1">
        <v>44387</v>
      </c>
      <c r="B26">
        <v>1600</v>
      </c>
      <c r="C26" s="4" cm="1">
        <f t="array" ref="C26">(SUM(VLOOKUP(H26:AE26,$AI$4:$AK$44,2,FALSE))+AF26*10)*IF(AG26="是",$AQ$4,$AQ$3)</f>
        <v>1704</v>
      </c>
      <c r="D26" s="31">
        <f>SUM($B$4:B26)-SUM($C$4:C26)</f>
        <v>46</v>
      </c>
      <c r="E26" s="4" cm="1">
        <f t="array" ref="E26">SUM(VLOOKUP(H26:AD26,$AI$4:$AK$44,3,FALSE))</f>
        <v>615</v>
      </c>
      <c r="F26" s="4">
        <f>SUM($E$4:E26)+SUM($G$4:G26)</f>
        <v>12750</v>
      </c>
      <c r="G26">
        <v>0</v>
      </c>
      <c r="H26" s="37" t="s">
        <v>20</v>
      </c>
      <c r="I26" s="41" t="s">
        <v>12</v>
      </c>
      <c r="J26" s="37" t="s">
        <v>20</v>
      </c>
      <c r="K26" s="37" t="s">
        <v>20</v>
      </c>
      <c r="L26" s="37" t="s">
        <v>20</v>
      </c>
      <c r="M26" s="37" t="s">
        <v>20</v>
      </c>
      <c r="N26" s="18" t="s">
        <v>23</v>
      </c>
      <c r="O26" s="17" t="s">
        <v>23</v>
      </c>
      <c r="P26" s="36" t="s">
        <v>19</v>
      </c>
      <c r="Q26" s="36" t="s">
        <v>19</v>
      </c>
      <c r="R26" s="36" t="s">
        <v>19</v>
      </c>
      <c r="S26" s="36" t="s">
        <v>19</v>
      </c>
      <c r="T26" s="37" t="s">
        <v>20</v>
      </c>
      <c r="U26" s="37" t="s">
        <v>20</v>
      </c>
      <c r="V26" s="18" t="s">
        <v>23</v>
      </c>
      <c r="W26" s="18" t="s">
        <v>23</v>
      </c>
      <c r="X26" s="9" t="s">
        <v>23</v>
      </c>
      <c r="Y26" s="8" t="s">
        <v>23</v>
      </c>
      <c r="Z26" s="8" t="s">
        <v>23</v>
      </c>
      <c r="AA26" s="8" t="s">
        <v>23</v>
      </c>
      <c r="AB26" s="8" t="s">
        <v>23</v>
      </c>
      <c r="AC26" s="8" t="s">
        <v>23</v>
      </c>
      <c r="AD26" s="18" t="s">
        <v>23</v>
      </c>
      <c r="AE26" s="18" t="s">
        <v>23</v>
      </c>
      <c r="AF26" s="49">
        <v>3</v>
      </c>
      <c r="AG26" s="20" t="s">
        <v>31</v>
      </c>
      <c r="AI26" s="44" t="s">
        <v>38</v>
      </c>
      <c r="AJ26" s="32">
        <v>150</v>
      </c>
      <c r="AK26" s="32">
        <v>35</v>
      </c>
      <c r="AL26">
        <f t="shared" si="0"/>
        <v>0</v>
      </c>
      <c r="AM26">
        <f t="shared" si="1"/>
        <v>0</v>
      </c>
      <c r="AN26">
        <f t="shared" si="2"/>
        <v>0</v>
      </c>
      <c r="AO26">
        <f t="shared" si="3"/>
        <v>0</v>
      </c>
    </row>
    <row r="27" spans="1:41" x14ac:dyDescent="0.3">
      <c r="A27" s="1">
        <v>44388</v>
      </c>
      <c r="B27">
        <v>1600</v>
      </c>
      <c r="C27" s="4" cm="1">
        <f t="array" ref="C27">(SUM(VLOOKUP(H27:AE27,$AI$4:$AK$44,2,FALSE))+AF27*10)*IF(AG27="是",$AQ$4,$AQ$3)</f>
        <v>1560</v>
      </c>
      <c r="D27" s="31">
        <f>SUM($B$4:B27)-SUM($C$4:C27)</f>
        <v>86</v>
      </c>
      <c r="E27" s="4" cm="1">
        <f t="array" ref="E27">SUM(VLOOKUP(H27:AD27,$AI$4:$AK$44,3,FALSE))</f>
        <v>580</v>
      </c>
      <c r="F27" s="4">
        <f>SUM($E$4:E27)+SUM($G$4:G27)</f>
        <v>13330</v>
      </c>
      <c r="G27">
        <v>0</v>
      </c>
      <c r="H27" s="37" t="s">
        <v>20</v>
      </c>
      <c r="I27" s="37" t="s">
        <v>20</v>
      </c>
      <c r="J27" s="37" t="s">
        <v>20</v>
      </c>
      <c r="K27" s="37" t="s">
        <v>20</v>
      </c>
      <c r="L27" s="37" t="s">
        <v>20</v>
      </c>
      <c r="M27" s="9" t="s">
        <v>23</v>
      </c>
      <c r="N27" s="18" t="s">
        <v>23</v>
      </c>
      <c r="O27" s="17" t="s">
        <v>23</v>
      </c>
      <c r="P27" s="37" t="s">
        <v>20</v>
      </c>
      <c r="Q27" s="37" t="s">
        <v>20</v>
      </c>
      <c r="R27" s="41" t="s">
        <v>12</v>
      </c>
      <c r="S27" s="37" t="s">
        <v>20</v>
      </c>
      <c r="T27" s="37" t="s">
        <v>20</v>
      </c>
      <c r="U27" s="37" t="s">
        <v>20</v>
      </c>
      <c r="V27" s="18" t="s">
        <v>23</v>
      </c>
      <c r="W27" s="18" t="s">
        <v>23</v>
      </c>
      <c r="X27" s="9" t="s">
        <v>23</v>
      </c>
      <c r="Y27" s="8" t="s">
        <v>23</v>
      </c>
      <c r="Z27" s="8" t="s">
        <v>23</v>
      </c>
      <c r="AA27" s="8" t="s">
        <v>23</v>
      </c>
      <c r="AB27" s="8" t="s">
        <v>23</v>
      </c>
      <c r="AC27" s="8" t="s">
        <v>23</v>
      </c>
      <c r="AD27" s="18" t="s">
        <v>23</v>
      </c>
      <c r="AE27" s="18" t="s">
        <v>23</v>
      </c>
      <c r="AF27" s="49">
        <v>0</v>
      </c>
      <c r="AG27" s="20" t="s">
        <v>31</v>
      </c>
      <c r="AI27" s="46" t="s">
        <v>23</v>
      </c>
      <c r="AJ27" s="32">
        <v>0</v>
      </c>
      <c r="AK27" s="32">
        <v>0</v>
      </c>
    </row>
    <row r="28" spans="1:41" ht="15" thickBot="1" x14ac:dyDescent="0.35">
      <c r="A28" s="3">
        <v>44389</v>
      </c>
      <c r="B28" s="4">
        <v>1600</v>
      </c>
      <c r="C28" s="4" cm="1">
        <f t="array" ref="C28">(SUM(VLOOKUP(H28:AE28,$AI$4:$AK$44,2,FALSE))+AF28*10)*IF(AG28="是",$AQ$4,$AQ$3)</f>
        <v>1672</v>
      </c>
      <c r="D28" s="30">
        <f>SUM($B$4:B28)-SUM($C$4:C28)</f>
        <v>14</v>
      </c>
      <c r="E28" s="4" cm="1">
        <f t="array" ref="E28">SUM(VLOOKUP(H28:AD28,$AI$4:$AK$44,3,FALSE))</f>
        <v>605</v>
      </c>
      <c r="F28" s="4">
        <f>SUM($E$4:E28)+SUM($G$4:G28)</f>
        <v>13935</v>
      </c>
      <c r="G28" s="4">
        <v>0</v>
      </c>
      <c r="H28" s="37" t="s">
        <v>20</v>
      </c>
      <c r="I28" s="37" t="s">
        <v>20</v>
      </c>
      <c r="J28" s="37" t="s">
        <v>20</v>
      </c>
      <c r="K28" s="37" t="s">
        <v>20</v>
      </c>
      <c r="L28" s="37" t="s">
        <v>20</v>
      </c>
      <c r="M28" s="9" t="s">
        <v>23</v>
      </c>
      <c r="N28" s="18" t="s">
        <v>23</v>
      </c>
      <c r="O28" s="17" t="s">
        <v>23</v>
      </c>
      <c r="P28" s="37" t="s">
        <v>20</v>
      </c>
      <c r="Q28" s="37" t="s">
        <v>20</v>
      </c>
      <c r="R28" s="37" t="s">
        <v>20</v>
      </c>
      <c r="S28" s="37" t="s">
        <v>20</v>
      </c>
      <c r="T28" s="37" t="s">
        <v>20</v>
      </c>
      <c r="U28" s="37" t="s">
        <v>20</v>
      </c>
      <c r="V28" s="18" t="s">
        <v>23</v>
      </c>
      <c r="W28" s="18" t="s">
        <v>23</v>
      </c>
      <c r="X28" s="9" t="s">
        <v>23</v>
      </c>
      <c r="Y28" s="8" t="s">
        <v>23</v>
      </c>
      <c r="Z28" s="8" t="s">
        <v>23</v>
      </c>
      <c r="AA28" s="8" t="s">
        <v>23</v>
      </c>
      <c r="AB28" s="8" t="s">
        <v>23</v>
      </c>
      <c r="AC28" s="8" t="s">
        <v>23</v>
      </c>
      <c r="AD28" s="18" t="s">
        <v>23</v>
      </c>
      <c r="AE28" s="18" t="s">
        <v>23</v>
      </c>
      <c r="AF28" s="49">
        <v>0</v>
      </c>
      <c r="AG28" s="20" t="s">
        <v>31</v>
      </c>
      <c r="AH28" s="26" t="s">
        <v>26</v>
      </c>
      <c r="AI28" s="42" t="s">
        <v>49</v>
      </c>
      <c r="AJ28" s="32">
        <f>AJ18/0.8</f>
        <v>-187.5</v>
      </c>
      <c r="AK28" s="32">
        <v>0</v>
      </c>
      <c r="AL28">
        <f t="shared" ref="AL28:AL51" si="4">COUNTIF($H$4:$N$94,AI28)</f>
        <v>1</v>
      </c>
      <c r="AM28">
        <f t="shared" ref="AM28:AM51" si="5">COUNTIF($P$4:$V$94,AI28)</f>
        <v>3</v>
      </c>
      <c r="AN28">
        <f t="shared" ref="AN28:AN51" si="6">COUNTIF($X$4:$AD$94,AI28)</f>
        <v>0</v>
      </c>
      <c r="AO28">
        <f t="shared" ref="AO28:AO51" si="7">AL28+AM28+AN28</f>
        <v>4</v>
      </c>
    </row>
    <row r="29" spans="1:41" x14ac:dyDescent="0.3">
      <c r="A29" s="3">
        <v>44390</v>
      </c>
      <c r="B29" s="4">
        <v>1600</v>
      </c>
      <c r="C29" s="4" cm="1">
        <f t="array" ref="C29">(SUM(VLOOKUP(H29:AE29,$AI$4:$AK$44,2,FALSE))+AF29*10)*IF(AG29="是",$AQ$4,$AQ$3)</f>
        <v>1602</v>
      </c>
      <c r="D29" s="30">
        <f>SUM($B$4:B29)-SUM($C$4:C29)</f>
        <v>12</v>
      </c>
      <c r="E29" s="4" cm="1">
        <f t="array" ref="E29">SUM(VLOOKUP(H29:AD29,$AI$4:$AK$44,3,FALSE))</f>
        <v>665</v>
      </c>
      <c r="F29" s="4">
        <f>SUM($E$4:E29)+SUM($G$4:G29)</f>
        <v>14600</v>
      </c>
      <c r="G29" s="4">
        <v>0</v>
      </c>
      <c r="H29" s="42" t="s">
        <v>49</v>
      </c>
      <c r="I29" s="37" t="s">
        <v>20</v>
      </c>
      <c r="J29" s="37" t="s">
        <v>20</v>
      </c>
      <c r="K29" s="37" t="s">
        <v>20</v>
      </c>
      <c r="L29" s="41" t="s">
        <v>12</v>
      </c>
      <c r="M29" s="37" t="s">
        <v>20</v>
      </c>
      <c r="N29" s="37" t="s">
        <v>20</v>
      </c>
      <c r="O29" s="37" t="s">
        <v>20</v>
      </c>
      <c r="P29" s="37" t="s">
        <v>20</v>
      </c>
      <c r="Q29" s="37" t="s">
        <v>20</v>
      </c>
      <c r="R29" s="37" t="s">
        <v>20</v>
      </c>
      <c r="S29" s="37" t="s">
        <v>20</v>
      </c>
      <c r="T29" s="37" t="s">
        <v>20</v>
      </c>
      <c r="U29" s="41" t="s">
        <v>12</v>
      </c>
      <c r="V29" s="18" t="s">
        <v>23</v>
      </c>
      <c r="W29" s="18" t="s">
        <v>23</v>
      </c>
      <c r="X29" s="9" t="s">
        <v>23</v>
      </c>
      <c r="Y29" s="8" t="s">
        <v>23</v>
      </c>
      <c r="Z29" s="8" t="s">
        <v>23</v>
      </c>
      <c r="AA29" s="8" t="s">
        <v>23</v>
      </c>
      <c r="AB29" s="8" t="s">
        <v>23</v>
      </c>
      <c r="AC29" s="8" t="s">
        <v>23</v>
      </c>
      <c r="AD29" s="18" t="s">
        <v>23</v>
      </c>
      <c r="AE29" s="18" t="s">
        <v>23</v>
      </c>
      <c r="AF29" s="49">
        <v>0</v>
      </c>
      <c r="AG29" s="20" t="s">
        <v>31</v>
      </c>
      <c r="AI29" s="32"/>
      <c r="AJ29" s="32"/>
      <c r="AK29" s="32"/>
      <c r="AO29">
        <f>SUM(AO4:AO28)</f>
        <v>648</v>
      </c>
    </row>
    <row r="30" spans="1:41" x14ac:dyDescent="0.3">
      <c r="A30" s="3">
        <v>44391</v>
      </c>
      <c r="B30" s="4">
        <v>1600</v>
      </c>
      <c r="C30" s="4" cm="1">
        <f t="array" ref="C30">(SUM(VLOOKUP(H30:AE30,$AI$4:$AK$44,2,FALSE))+AF30*10)*IF(AG30="是",$AQ$4,$AQ$3)</f>
        <v>1520</v>
      </c>
      <c r="D30" s="30">
        <f>SUM($B$4:B30)-SUM($C$4:C30)</f>
        <v>92</v>
      </c>
      <c r="E30" s="4" cm="1">
        <f t="array" ref="E30">SUM(VLOOKUP(H30:AD30,$AI$4:$AK$44,3,FALSE))</f>
        <v>550</v>
      </c>
      <c r="F30" s="4">
        <f>SUM($E$4:E30)+SUM($G$4:G30)</f>
        <v>15150</v>
      </c>
      <c r="G30" s="4">
        <v>0</v>
      </c>
      <c r="H30" s="37" t="s">
        <v>20</v>
      </c>
      <c r="I30" s="37" t="s">
        <v>20</v>
      </c>
      <c r="J30" s="37" t="s">
        <v>20</v>
      </c>
      <c r="K30" s="37" t="s">
        <v>20</v>
      </c>
      <c r="L30" s="9" t="s">
        <v>23</v>
      </c>
      <c r="M30" s="9" t="s">
        <v>23</v>
      </c>
      <c r="N30" s="18" t="s">
        <v>23</v>
      </c>
      <c r="O30" s="17" t="s">
        <v>23</v>
      </c>
      <c r="P30" s="37" t="s">
        <v>20</v>
      </c>
      <c r="Q30" s="37" t="s">
        <v>20</v>
      </c>
      <c r="R30" s="37" t="s">
        <v>20</v>
      </c>
      <c r="S30" s="37" t="s">
        <v>20</v>
      </c>
      <c r="T30" s="37" t="s">
        <v>20</v>
      </c>
      <c r="U30" s="37" t="s">
        <v>20</v>
      </c>
      <c r="V30" s="18" t="s">
        <v>23</v>
      </c>
      <c r="W30" s="18" t="s">
        <v>23</v>
      </c>
      <c r="X30" s="9" t="s">
        <v>23</v>
      </c>
      <c r="Y30" s="8" t="s">
        <v>23</v>
      </c>
      <c r="Z30" s="8" t="s">
        <v>23</v>
      </c>
      <c r="AA30" s="8" t="s">
        <v>23</v>
      </c>
      <c r="AB30" s="8" t="s">
        <v>23</v>
      </c>
      <c r="AC30" s="8" t="s">
        <v>23</v>
      </c>
      <c r="AD30" s="18" t="s">
        <v>23</v>
      </c>
      <c r="AE30" s="18" t="s">
        <v>23</v>
      </c>
      <c r="AF30" s="49">
        <v>0</v>
      </c>
      <c r="AG30" s="20" t="s">
        <v>31</v>
      </c>
      <c r="AI30" s="32"/>
      <c r="AJ30" s="32"/>
      <c r="AK30" s="32"/>
    </row>
    <row r="31" spans="1:41" x14ac:dyDescent="0.3">
      <c r="A31" s="3">
        <v>44392</v>
      </c>
      <c r="B31" s="4">
        <v>1600</v>
      </c>
      <c r="C31" s="4" cm="1">
        <f t="array" ref="C31">(SUM(VLOOKUP(H31:AE31,$AI$4:$AK$44,2,FALSE))+AF31*10)*IF(AG31="是",$AQ$4,$AQ$3)</f>
        <v>1672</v>
      </c>
      <c r="D31" s="30">
        <f>SUM($B$4:B31)-SUM($C$4:C31)</f>
        <v>20</v>
      </c>
      <c r="E31" s="4" cm="1">
        <f t="array" ref="E31">SUM(VLOOKUP(H31:AD31,$AI$4:$AK$44,3,FALSE))</f>
        <v>605</v>
      </c>
      <c r="F31" s="4">
        <f>SUM($E$4:E31)+SUM($G$4:G31)</f>
        <v>15755</v>
      </c>
      <c r="G31" s="4">
        <v>0</v>
      </c>
      <c r="H31" s="37" t="s">
        <v>20</v>
      </c>
      <c r="I31" s="37" t="s">
        <v>20</v>
      </c>
      <c r="J31" s="37" t="s">
        <v>20</v>
      </c>
      <c r="K31" s="37" t="s">
        <v>20</v>
      </c>
      <c r="L31" s="37" t="s">
        <v>20</v>
      </c>
      <c r="M31" s="9" t="s">
        <v>23</v>
      </c>
      <c r="N31" s="18" t="s">
        <v>23</v>
      </c>
      <c r="O31" s="17" t="s">
        <v>23</v>
      </c>
      <c r="P31" s="37" t="s">
        <v>20</v>
      </c>
      <c r="Q31" s="37" t="s">
        <v>20</v>
      </c>
      <c r="R31" s="37" t="s">
        <v>20</v>
      </c>
      <c r="S31" s="37" t="s">
        <v>20</v>
      </c>
      <c r="T31" s="37" t="s">
        <v>20</v>
      </c>
      <c r="U31" s="37" t="s">
        <v>20</v>
      </c>
      <c r="V31" s="18" t="s">
        <v>23</v>
      </c>
      <c r="W31" s="18" t="s">
        <v>23</v>
      </c>
      <c r="X31" s="9" t="s">
        <v>23</v>
      </c>
      <c r="Y31" s="8" t="s">
        <v>23</v>
      </c>
      <c r="Z31" s="8" t="s">
        <v>23</v>
      </c>
      <c r="AA31" s="8" t="s">
        <v>23</v>
      </c>
      <c r="AB31" s="8" t="s">
        <v>23</v>
      </c>
      <c r="AC31" s="8" t="s">
        <v>23</v>
      </c>
      <c r="AD31" s="18" t="s">
        <v>23</v>
      </c>
      <c r="AE31" s="18" t="s">
        <v>23</v>
      </c>
      <c r="AF31" s="49">
        <v>0</v>
      </c>
      <c r="AG31" s="20" t="s">
        <v>31</v>
      </c>
      <c r="AI31" s="32"/>
      <c r="AJ31" s="32"/>
      <c r="AK31" s="32"/>
    </row>
    <row r="32" spans="1:41" x14ac:dyDescent="0.3">
      <c r="A32" s="3">
        <v>44393</v>
      </c>
      <c r="B32" s="4">
        <v>1600</v>
      </c>
      <c r="C32" s="4" cm="1">
        <f t="array" ref="C32">(SUM(VLOOKUP(H32:AE32,$AI$4:$AK$44,2,FALSE))+AF32*10)*IF(AG32="是",$AQ$4,$AQ$3)</f>
        <v>1520</v>
      </c>
      <c r="D32" s="30">
        <f>SUM($B$4:B32)-SUM($C$4:C32)</f>
        <v>100</v>
      </c>
      <c r="E32" s="4" cm="1">
        <f t="array" ref="E32">SUM(VLOOKUP(H32:AD32,$AI$4:$AK$44,3,FALSE))</f>
        <v>550</v>
      </c>
      <c r="F32" s="4">
        <f>SUM($E$4:E32)+SUM($G$4:G32)</f>
        <v>16305</v>
      </c>
      <c r="G32" s="4">
        <v>0</v>
      </c>
      <c r="H32" s="37" t="s">
        <v>20</v>
      </c>
      <c r="I32" s="37" t="s">
        <v>20</v>
      </c>
      <c r="J32" s="37" t="s">
        <v>20</v>
      </c>
      <c r="K32" s="37" t="s">
        <v>20</v>
      </c>
      <c r="L32" s="9" t="s">
        <v>23</v>
      </c>
      <c r="M32" s="9" t="s">
        <v>23</v>
      </c>
      <c r="N32" s="18" t="s">
        <v>23</v>
      </c>
      <c r="O32" s="17" t="s">
        <v>23</v>
      </c>
      <c r="P32" s="37" t="s">
        <v>20</v>
      </c>
      <c r="Q32" s="37" t="s">
        <v>20</v>
      </c>
      <c r="R32" s="37" t="s">
        <v>20</v>
      </c>
      <c r="S32" s="37" t="s">
        <v>20</v>
      </c>
      <c r="T32" s="37" t="s">
        <v>20</v>
      </c>
      <c r="U32" s="37" t="s">
        <v>20</v>
      </c>
      <c r="V32" s="18" t="s">
        <v>23</v>
      </c>
      <c r="W32" s="18" t="s">
        <v>23</v>
      </c>
      <c r="X32" s="9" t="s">
        <v>23</v>
      </c>
      <c r="Y32" s="8" t="s">
        <v>23</v>
      </c>
      <c r="Z32" s="8" t="s">
        <v>23</v>
      </c>
      <c r="AA32" s="8" t="s">
        <v>23</v>
      </c>
      <c r="AB32" s="8" t="s">
        <v>23</v>
      </c>
      <c r="AC32" s="8" t="s">
        <v>23</v>
      </c>
      <c r="AD32" s="18" t="s">
        <v>23</v>
      </c>
      <c r="AE32" s="18" t="s">
        <v>23</v>
      </c>
      <c r="AF32" s="49">
        <v>0</v>
      </c>
      <c r="AG32" s="20" t="s">
        <v>31</v>
      </c>
      <c r="AI32" s="32"/>
      <c r="AJ32" s="32"/>
      <c r="AK32" s="32"/>
    </row>
    <row r="33" spans="1:37" x14ac:dyDescent="0.3">
      <c r="A33" s="3">
        <v>44394</v>
      </c>
      <c r="B33" s="4">
        <v>1600</v>
      </c>
      <c r="C33" s="4" cm="1">
        <f t="array" ref="C33">(SUM(VLOOKUP(H33:AE33,$AI$4:$AK$44,2,FALSE))+AF33*10)*IF(AG33="是",$AQ$4,$AQ$3)</f>
        <v>1680</v>
      </c>
      <c r="D33" s="30">
        <f>SUM($B$4:B33)-SUM($C$4:C33)</f>
        <v>20</v>
      </c>
      <c r="E33" s="4" cm="1">
        <f t="array" ref="E33">SUM(VLOOKUP(H33:AD33,$AI$4:$AK$44,3,FALSE))</f>
        <v>610</v>
      </c>
      <c r="F33" s="4">
        <f>SUM($E$4:E33)+SUM($G$4:G33)</f>
        <v>16915</v>
      </c>
      <c r="G33" s="4">
        <v>0</v>
      </c>
      <c r="H33" s="37" t="s">
        <v>20</v>
      </c>
      <c r="I33" s="37" t="s">
        <v>20</v>
      </c>
      <c r="J33" s="37" t="s">
        <v>20</v>
      </c>
      <c r="K33" s="37" t="s">
        <v>20</v>
      </c>
      <c r="L33" s="37" t="s">
        <v>20</v>
      </c>
      <c r="M33" s="9" t="s">
        <v>23</v>
      </c>
      <c r="N33" s="18" t="s">
        <v>23</v>
      </c>
      <c r="O33" s="17" t="s">
        <v>23</v>
      </c>
      <c r="P33" s="37" t="s">
        <v>20</v>
      </c>
      <c r="Q33" s="37" t="s">
        <v>20</v>
      </c>
      <c r="R33" s="37" t="s">
        <v>20</v>
      </c>
      <c r="S33" s="37" t="s">
        <v>20</v>
      </c>
      <c r="T33" s="37" t="s">
        <v>20</v>
      </c>
      <c r="U33" s="38" t="s">
        <v>21</v>
      </c>
      <c r="V33" s="18" t="s">
        <v>23</v>
      </c>
      <c r="W33" s="18" t="s">
        <v>23</v>
      </c>
      <c r="X33" s="9" t="s">
        <v>23</v>
      </c>
      <c r="Y33" s="8" t="s">
        <v>23</v>
      </c>
      <c r="Z33" s="8" t="s">
        <v>23</v>
      </c>
      <c r="AA33" s="8" t="s">
        <v>23</v>
      </c>
      <c r="AB33" s="8" t="s">
        <v>23</v>
      </c>
      <c r="AC33" s="8" t="s">
        <v>23</v>
      </c>
      <c r="AD33" s="18" t="s">
        <v>23</v>
      </c>
      <c r="AE33" s="18" t="s">
        <v>23</v>
      </c>
      <c r="AF33" s="49">
        <v>0</v>
      </c>
      <c r="AG33" s="20" t="s">
        <v>31</v>
      </c>
      <c r="AI33" s="32"/>
      <c r="AJ33" s="32"/>
      <c r="AK33" s="32"/>
    </row>
    <row r="34" spans="1:37" x14ac:dyDescent="0.3">
      <c r="A34" s="3">
        <v>44395</v>
      </c>
      <c r="B34" s="4">
        <v>1600</v>
      </c>
      <c r="C34" s="4" cm="1">
        <f t="array" ref="C34">(SUM(VLOOKUP(H34:AE34,$AI$4:$AK$44,2,FALSE))+AF34*10)*IF(AG34="是",$AQ$4,$AQ$3)</f>
        <v>1498</v>
      </c>
      <c r="D34" s="30">
        <f>SUM($B$4:B34)-SUM($C$4:C34)</f>
        <v>122</v>
      </c>
      <c r="E34" s="4" cm="1">
        <f t="array" ref="E34">SUM(VLOOKUP(H34:AD34,$AI$4:$AK$44,3,FALSE))</f>
        <v>1020</v>
      </c>
      <c r="F34" s="4">
        <f>SUM($E$4:E34)+SUM($G$4:G34)</f>
        <v>17935</v>
      </c>
      <c r="G34" s="4">
        <v>0</v>
      </c>
      <c r="H34" s="37" t="s">
        <v>20</v>
      </c>
      <c r="I34" s="37" t="s">
        <v>20</v>
      </c>
      <c r="J34" s="37" t="s">
        <v>20</v>
      </c>
      <c r="K34" s="37" t="s">
        <v>20</v>
      </c>
      <c r="L34" s="9" t="s">
        <v>23</v>
      </c>
      <c r="M34" s="9" t="s">
        <v>23</v>
      </c>
      <c r="N34" s="18" t="s">
        <v>23</v>
      </c>
      <c r="O34" s="17" t="s">
        <v>23</v>
      </c>
      <c r="P34" s="38" t="s">
        <v>21</v>
      </c>
      <c r="Q34" s="38" t="s">
        <v>21</v>
      </c>
      <c r="R34" s="38" t="s">
        <v>21</v>
      </c>
      <c r="S34" s="48" t="s">
        <v>43</v>
      </c>
      <c r="T34" s="38" t="s">
        <v>21</v>
      </c>
      <c r="U34" s="42" t="s">
        <v>49</v>
      </c>
      <c r="V34" s="38" t="s">
        <v>21</v>
      </c>
      <c r="W34" s="18" t="s">
        <v>23</v>
      </c>
      <c r="X34" s="9" t="s">
        <v>23</v>
      </c>
      <c r="Y34" s="8" t="s">
        <v>23</v>
      </c>
      <c r="Z34" s="8" t="s">
        <v>23</v>
      </c>
      <c r="AA34" s="8" t="s">
        <v>23</v>
      </c>
      <c r="AB34" s="8" t="s">
        <v>23</v>
      </c>
      <c r="AC34" s="8" t="s">
        <v>23</v>
      </c>
      <c r="AD34" s="18" t="s">
        <v>23</v>
      </c>
      <c r="AE34" s="18" t="s">
        <v>23</v>
      </c>
      <c r="AF34" s="49">
        <v>5</v>
      </c>
      <c r="AG34" s="20" t="s">
        <v>31</v>
      </c>
      <c r="AI34" s="32"/>
      <c r="AJ34" s="32"/>
      <c r="AK34" s="32"/>
    </row>
    <row r="35" spans="1:37" x14ac:dyDescent="0.3">
      <c r="A35" s="1">
        <v>44396</v>
      </c>
      <c r="B35">
        <v>1600</v>
      </c>
      <c r="C35" s="4" cm="1">
        <f t="array" ref="C35">(SUM(VLOOKUP(H35:AE35,$AI$4:$AK$44,2,FALSE))+AF35*10)*IF(AG35="是",$AQ$4,$AQ$3)</f>
        <v>1720</v>
      </c>
      <c r="D35" s="31">
        <f>SUM($B$4:B35)-SUM($C$4:C35)</f>
        <v>2</v>
      </c>
      <c r="E35" s="4" cm="1">
        <f t="array" ref="E35">SUM(VLOOKUP(H35:AD35,$AI$4:$AK$44,3,FALSE))</f>
        <v>635</v>
      </c>
      <c r="F35" s="4">
        <f>SUM($E$4:E35)+SUM($G$4:G35)</f>
        <v>18570</v>
      </c>
      <c r="G35">
        <v>0</v>
      </c>
      <c r="H35" s="37" t="s">
        <v>20</v>
      </c>
      <c r="I35" s="37" t="s">
        <v>20</v>
      </c>
      <c r="J35" s="37" t="s">
        <v>20</v>
      </c>
      <c r="K35" s="37" t="s">
        <v>20</v>
      </c>
      <c r="L35" s="37" t="s">
        <v>20</v>
      </c>
      <c r="M35" s="9" t="s">
        <v>23</v>
      </c>
      <c r="N35" s="18" t="s">
        <v>23</v>
      </c>
      <c r="O35" s="17" t="s">
        <v>23</v>
      </c>
      <c r="P35" s="38" t="s">
        <v>21</v>
      </c>
      <c r="Q35" s="38" t="s">
        <v>21</v>
      </c>
      <c r="R35" s="38" t="s">
        <v>21</v>
      </c>
      <c r="S35" s="38" t="s">
        <v>21</v>
      </c>
      <c r="T35" s="38" t="s">
        <v>21</v>
      </c>
      <c r="U35" s="38" t="s">
        <v>21</v>
      </c>
      <c r="V35" s="18" t="s">
        <v>23</v>
      </c>
      <c r="W35" s="18" t="s">
        <v>23</v>
      </c>
      <c r="X35" s="9" t="s">
        <v>23</v>
      </c>
      <c r="Y35" s="8" t="s">
        <v>23</v>
      </c>
      <c r="Z35" s="8" t="s">
        <v>23</v>
      </c>
      <c r="AA35" s="8" t="s">
        <v>23</v>
      </c>
      <c r="AB35" s="8" t="s">
        <v>23</v>
      </c>
      <c r="AC35" s="8" t="s">
        <v>23</v>
      </c>
      <c r="AD35" s="18" t="s">
        <v>23</v>
      </c>
      <c r="AE35" s="18" t="s">
        <v>23</v>
      </c>
      <c r="AF35" s="49">
        <v>0</v>
      </c>
      <c r="AG35" s="20" t="s">
        <v>31</v>
      </c>
      <c r="AI35" s="32"/>
      <c r="AJ35" s="32"/>
      <c r="AK35" s="32"/>
    </row>
    <row r="36" spans="1:37" x14ac:dyDescent="0.3">
      <c r="A36" s="1">
        <v>44397</v>
      </c>
      <c r="B36">
        <v>1600</v>
      </c>
      <c r="C36" s="4" cm="1">
        <f t="array" ref="C36">(SUM(VLOOKUP(H36:AE36,$AI$4:$AK$44,2,FALSE))+AF36*10)*IF(AG36="是",$AQ$4,$AQ$3)</f>
        <v>1568</v>
      </c>
      <c r="D36" s="31">
        <f>SUM($B$4:B36)-SUM($C$4:C36)</f>
        <v>34</v>
      </c>
      <c r="E36" s="4" cm="1">
        <f t="array" ref="E36">SUM(VLOOKUP(H36:AD36,$AI$4:$AK$44,3,FALSE))</f>
        <v>580</v>
      </c>
      <c r="F36" s="4">
        <f>SUM($E$4:E36)+SUM($G$4:G36)</f>
        <v>19150</v>
      </c>
      <c r="G36">
        <v>0</v>
      </c>
      <c r="H36" s="37" t="s">
        <v>20</v>
      </c>
      <c r="I36" s="37" t="s">
        <v>20</v>
      </c>
      <c r="J36" s="37" t="s">
        <v>20</v>
      </c>
      <c r="K36" s="37" t="s">
        <v>20</v>
      </c>
      <c r="L36" s="9" t="s">
        <v>23</v>
      </c>
      <c r="M36" s="9" t="s">
        <v>23</v>
      </c>
      <c r="N36" s="18" t="s">
        <v>23</v>
      </c>
      <c r="O36" s="17" t="s">
        <v>23</v>
      </c>
      <c r="P36" s="38" t="s">
        <v>21</v>
      </c>
      <c r="Q36" s="38" t="s">
        <v>21</v>
      </c>
      <c r="R36" s="38" t="s">
        <v>21</v>
      </c>
      <c r="S36" s="38" t="s">
        <v>21</v>
      </c>
      <c r="T36" s="38" t="s">
        <v>21</v>
      </c>
      <c r="U36" s="38" t="s">
        <v>21</v>
      </c>
      <c r="V36" s="18" t="s">
        <v>23</v>
      </c>
      <c r="W36" s="18" t="s">
        <v>23</v>
      </c>
      <c r="X36" s="9" t="s">
        <v>23</v>
      </c>
      <c r="Y36" s="8" t="s">
        <v>23</v>
      </c>
      <c r="Z36" s="8" t="s">
        <v>23</v>
      </c>
      <c r="AA36" s="8" t="s">
        <v>23</v>
      </c>
      <c r="AB36" s="8" t="s">
        <v>23</v>
      </c>
      <c r="AC36" s="8" t="s">
        <v>23</v>
      </c>
      <c r="AD36" s="18" t="s">
        <v>23</v>
      </c>
      <c r="AE36" s="18" t="s">
        <v>23</v>
      </c>
      <c r="AF36" s="49">
        <v>0</v>
      </c>
      <c r="AG36" s="20" t="s">
        <v>31</v>
      </c>
      <c r="AI36" s="32"/>
      <c r="AJ36" s="32"/>
      <c r="AK36" s="32"/>
    </row>
    <row r="37" spans="1:37" x14ac:dyDescent="0.3">
      <c r="A37" s="1">
        <v>44398</v>
      </c>
      <c r="B37">
        <v>1600</v>
      </c>
      <c r="C37" s="4" cm="1">
        <f t="array" ref="C37">(SUM(VLOOKUP(H37:AE37,$AI$4:$AK$44,2,FALSE))+AF37*10)*IF(AG37="是",$AQ$4,$AQ$3)</f>
        <v>1568</v>
      </c>
      <c r="D37" s="31">
        <f>SUM($B$4:B37)-SUM($C$4:C37)</f>
        <v>66</v>
      </c>
      <c r="E37" s="4" cm="1">
        <f t="array" ref="E37">SUM(VLOOKUP(H37:AD37,$AI$4:$AK$44,3,FALSE))</f>
        <v>580</v>
      </c>
      <c r="F37" s="4">
        <f>SUM($E$4:E37)+SUM($G$4:G37)</f>
        <v>19730</v>
      </c>
      <c r="G37">
        <v>0</v>
      </c>
      <c r="H37" s="37" t="s">
        <v>20</v>
      </c>
      <c r="I37" s="37" t="s">
        <v>20</v>
      </c>
      <c r="J37" s="37" t="s">
        <v>20</v>
      </c>
      <c r="K37" s="37" t="s">
        <v>20</v>
      </c>
      <c r="L37" s="9" t="s">
        <v>23</v>
      </c>
      <c r="M37" s="9" t="s">
        <v>23</v>
      </c>
      <c r="N37" s="18" t="s">
        <v>23</v>
      </c>
      <c r="O37" s="17" t="s">
        <v>23</v>
      </c>
      <c r="P37" s="38" t="s">
        <v>21</v>
      </c>
      <c r="Q37" s="38" t="s">
        <v>21</v>
      </c>
      <c r="R37" s="38" t="s">
        <v>21</v>
      </c>
      <c r="S37" s="38" t="s">
        <v>21</v>
      </c>
      <c r="T37" s="38" t="s">
        <v>21</v>
      </c>
      <c r="U37" s="38" t="s">
        <v>21</v>
      </c>
      <c r="V37" s="18" t="s">
        <v>23</v>
      </c>
      <c r="W37" s="18" t="s">
        <v>23</v>
      </c>
      <c r="X37" s="9" t="s">
        <v>23</v>
      </c>
      <c r="Y37" s="8" t="s">
        <v>23</v>
      </c>
      <c r="Z37" s="8" t="s">
        <v>23</v>
      </c>
      <c r="AA37" s="8" t="s">
        <v>23</v>
      </c>
      <c r="AB37" s="8" t="s">
        <v>23</v>
      </c>
      <c r="AC37" s="8" t="s">
        <v>23</v>
      </c>
      <c r="AD37" s="18" t="s">
        <v>23</v>
      </c>
      <c r="AE37" s="18" t="s">
        <v>23</v>
      </c>
      <c r="AF37" s="49">
        <v>0</v>
      </c>
      <c r="AG37" s="20" t="s">
        <v>31</v>
      </c>
      <c r="AI37" s="32"/>
      <c r="AJ37" s="32"/>
      <c r="AK37" s="32"/>
    </row>
    <row r="38" spans="1:37" x14ac:dyDescent="0.3">
      <c r="A38" s="1">
        <v>44399</v>
      </c>
      <c r="B38">
        <v>1600</v>
      </c>
      <c r="C38" s="4" cm="1">
        <f t="array" ref="C38">(SUM(VLOOKUP(H38:AE38,$AI$4:$AK$44,2,FALSE))+AF38*10)*IF(AG38="是",$AQ$4,$AQ$3)</f>
        <v>1608</v>
      </c>
      <c r="D38" s="31">
        <f>SUM($B$4:B38)-SUM($C$4:C38)</f>
        <v>58</v>
      </c>
      <c r="E38" s="4" cm="1">
        <f t="array" ref="E38">SUM(VLOOKUP(H38:AD38,$AI$4:$AK$44,3,FALSE))</f>
        <v>610</v>
      </c>
      <c r="F38" s="4">
        <f>SUM($E$4:E38)+SUM($G$4:G38)</f>
        <v>20340</v>
      </c>
      <c r="G38">
        <v>0</v>
      </c>
      <c r="H38" s="37" t="s">
        <v>20</v>
      </c>
      <c r="I38" s="37" t="s">
        <v>20</v>
      </c>
      <c r="J38" s="37" t="s">
        <v>20</v>
      </c>
      <c r="K38" s="41" t="s">
        <v>12</v>
      </c>
      <c r="L38" s="37" t="s">
        <v>20</v>
      </c>
      <c r="M38" s="9" t="s">
        <v>23</v>
      </c>
      <c r="N38" s="18" t="s">
        <v>23</v>
      </c>
      <c r="O38" s="17" t="s">
        <v>23</v>
      </c>
      <c r="P38" s="38" t="s">
        <v>21</v>
      </c>
      <c r="Q38" s="38" t="s">
        <v>21</v>
      </c>
      <c r="R38" s="38" t="s">
        <v>21</v>
      </c>
      <c r="S38" s="38" t="s">
        <v>21</v>
      </c>
      <c r="T38" s="38" t="s">
        <v>21</v>
      </c>
      <c r="U38" s="38" t="s">
        <v>21</v>
      </c>
      <c r="V38" s="18" t="s">
        <v>23</v>
      </c>
      <c r="W38" s="18" t="s">
        <v>23</v>
      </c>
      <c r="X38" s="9" t="s">
        <v>23</v>
      </c>
      <c r="Y38" s="8" t="s">
        <v>23</v>
      </c>
      <c r="Z38" s="8" t="s">
        <v>23</v>
      </c>
      <c r="AA38" s="8" t="s">
        <v>23</v>
      </c>
      <c r="AB38" s="8" t="s">
        <v>23</v>
      </c>
      <c r="AC38" s="8" t="s">
        <v>23</v>
      </c>
      <c r="AD38" s="18" t="s">
        <v>23</v>
      </c>
      <c r="AE38" s="18" t="s">
        <v>23</v>
      </c>
      <c r="AF38" s="49">
        <v>0</v>
      </c>
      <c r="AG38" s="20" t="s">
        <v>31</v>
      </c>
      <c r="AI38" s="32"/>
      <c r="AJ38" s="32"/>
      <c r="AK38" s="32"/>
    </row>
    <row r="39" spans="1:37" x14ac:dyDescent="0.3">
      <c r="A39" s="1">
        <v>44400</v>
      </c>
      <c r="B39">
        <v>1600</v>
      </c>
      <c r="C39" s="4" cm="1">
        <f t="array" ref="C39">(SUM(VLOOKUP(H39:AE39,$AI$4:$AK$44,2,FALSE))+AF39*10)*IF(AG39="是",$AQ$4,$AQ$3)</f>
        <v>1568</v>
      </c>
      <c r="D39" s="31">
        <f>SUM($B$4:B39)-SUM($C$4:C39)</f>
        <v>90</v>
      </c>
      <c r="E39" s="4" cm="1">
        <f t="array" ref="E39">SUM(VLOOKUP(H39:AD39,$AI$4:$AK$44,3,FALSE))</f>
        <v>580</v>
      </c>
      <c r="F39" s="4">
        <f>SUM($E$4:E39)+SUM($G$4:G39)</f>
        <v>20920</v>
      </c>
      <c r="G39">
        <v>0</v>
      </c>
      <c r="H39" s="37" t="s">
        <v>20</v>
      </c>
      <c r="I39" s="37" t="s">
        <v>20</v>
      </c>
      <c r="J39" s="37" t="s">
        <v>20</v>
      </c>
      <c r="K39" s="37" t="s">
        <v>20</v>
      </c>
      <c r="L39" s="9" t="s">
        <v>23</v>
      </c>
      <c r="M39" s="9" t="s">
        <v>23</v>
      </c>
      <c r="N39" s="18" t="s">
        <v>23</v>
      </c>
      <c r="O39" s="17" t="s">
        <v>23</v>
      </c>
      <c r="P39" s="38" t="s">
        <v>21</v>
      </c>
      <c r="Q39" s="38" t="s">
        <v>21</v>
      </c>
      <c r="R39" s="38" t="s">
        <v>21</v>
      </c>
      <c r="S39" s="38" t="s">
        <v>21</v>
      </c>
      <c r="T39" s="38" t="s">
        <v>21</v>
      </c>
      <c r="U39" s="38" t="s">
        <v>21</v>
      </c>
      <c r="V39" s="18" t="s">
        <v>23</v>
      </c>
      <c r="W39" s="18" t="s">
        <v>23</v>
      </c>
      <c r="X39" s="9" t="s">
        <v>23</v>
      </c>
      <c r="Y39" s="8" t="s">
        <v>23</v>
      </c>
      <c r="Z39" s="8" t="s">
        <v>23</v>
      </c>
      <c r="AA39" s="8" t="s">
        <v>23</v>
      </c>
      <c r="AB39" s="8" t="s">
        <v>23</v>
      </c>
      <c r="AC39" s="8" t="s">
        <v>23</v>
      </c>
      <c r="AD39" s="18" t="s">
        <v>23</v>
      </c>
      <c r="AE39" s="18" t="s">
        <v>23</v>
      </c>
      <c r="AF39" s="49">
        <v>0</v>
      </c>
      <c r="AG39" s="20" t="s">
        <v>31</v>
      </c>
      <c r="AI39" s="32"/>
      <c r="AJ39" s="32"/>
      <c r="AK39" s="32"/>
    </row>
    <row r="40" spans="1:37" x14ac:dyDescent="0.3">
      <c r="A40" s="1">
        <v>44401</v>
      </c>
      <c r="B40">
        <v>1600</v>
      </c>
      <c r="C40" s="4" cm="1">
        <f t="array" ref="C40">(SUM(VLOOKUP(H40:AE40,$AI$4:$AK$44,2,FALSE))+AF40*10)*IF(AG40="是",$AQ$4,$AQ$3)</f>
        <v>1560</v>
      </c>
      <c r="D40" s="31">
        <f>SUM($B$4:B40)-SUM($C$4:C40)</f>
        <v>130</v>
      </c>
      <c r="E40" s="4" cm="1">
        <f t="array" ref="E40">SUM(VLOOKUP(H40:AD40,$AI$4:$AK$44,3,FALSE))</f>
        <v>575</v>
      </c>
      <c r="F40" s="4">
        <f>SUM($E$4:E40)+SUM($G$4:G40)</f>
        <v>21495</v>
      </c>
      <c r="G40">
        <v>0</v>
      </c>
      <c r="H40" s="37" t="s">
        <v>20</v>
      </c>
      <c r="I40" s="37" t="s">
        <v>20</v>
      </c>
      <c r="J40" s="37" t="s">
        <v>20</v>
      </c>
      <c r="K40" s="37" t="s">
        <v>20</v>
      </c>
      <c r="L40" s="37" t="s">
        <v>20</v>
      </c>
      <c r="M40" s="8" t="s">
        <v>23</v>
      </c>
      <c r="N40" s="18" t="s">
        <v>23</v>
      </c>
      <c r="O40" s="17" t="s">
        <v>23</v>
      </c>
      <c r="P40" s="38" t="s">
        <v>21</v>
      </c>
      <c r="Q40" s="38" t="s">
        <v>21</v>
      </c>
      <c r="R40" s="38" t="s">
        <v>21</v>
      </c>
      <c r="S40" s="38" t="s">
        <v>21</v>
      </c>
      <c r="T40" s="38" t="s">
        <v>21</v>
      </c>
      <c r="U40" s="8" t="s">
        <v>23</v>
      </c>
      <c r="V40" s="18" t="s">
        <v>23</v>
      </c>
      <c r="W40" s="18" t="s">
        <v>23</v>
      </c>
      <c r="X40" s="9" t="s">
        <v>23</v>
      </c>
      <c r="Y40" s="8" t="s">
        <v>23</v>
      </c>
      <c r="Z40" s="8" t="s">
        <v>23</v>
      </c>
      <c r="AA40" s="8" t="s">
        <v>23</v>
      </c>
      <c r="AB40" s="8" t="s">
        <v>23</v>
      </c>
      <c r="AC40" s="8" t="s">
        <v>23</v>
      </c>
      <c r="AD40" s="18" t="s">
        <v>23</v>
      </c>
      <c r="AE40" s="18" t="s">
        <v>23</v>
      </c>
      <c r="AF40" s="49">
        <v>0</v>
      </c>
      <c r="AG40" s="20" t="s">
        <v>31</v>
      </c>
      <c r="AI40" s="32"/>
      <c r="AJ40" s="32"/>
      <c r="AK40" s="32"/>
    </row>
    <row r="41" spans="1:37" x14ac:dyDescent="0.3">
      <c r="A41" s="1">
        <v>44402</v>
      </c>
      <c r="B41">
        <v>1600</v>
      </c>
      <c r="C41" s="4" cm="1">
        <f t="array" ref="C41">(SUM(VLOOKUP(H41:AE41,$AI$4:$AK$44,2,FALSE))+AF41*10)*IF(AG41="是",$AQ$4,$AQ$3)</f>
        <v>1256</v>
      </c>
      <c r="D41" s="31">
        <f>SUM($B$4:B41)-SUM($C$4:C41)</f>
        <v>474</v>
      </c>
      <c r="E41" s="4" cm="1">
        <f t="array" ref="E41">SUM(VLOOKUP(H41:AD41,$AI$4:$AK$44,3,FALSE))</f>
        <v>465</v>
      </c>
      <c r="F41" s="4">
        <f>SUM($E$4:E41)+SUM($G$4:G41)</f>
        <v>21960</v>
      </c>
      <c r="G41">
        <v>0</v>
      </c>
      <c r="H41" s="37" t="s">
        <v>20</v>
      </c>
      <c r="I41" s="37" t="s">
        <v>20</v>
      </c>
      <c r="J41" s="37" t="s">
        <v>20</v>
      </c>
      <c r="K41" s="8" t="s">
        <v>23</v>
      </c>
      <c r="L41" s="8" t="s">
        <v>23</v>
      </c>
      <c r="M41" s="8" t="s">
        <v>23</v>
      </c>
      <c r="N41" s="18" t="s">
        <v>23</v>
      </c>
      <c r="O41" s="17" t="s">
        <v>23</v>
      </c>
      <c r="P41" s="38" t="s">
        <v>21</v>
      </c>
      <c r="Q41" s="38" t="s">
        <v>21</v>
      </c>
      <c r="R41" s="38" t="s">
        <v>21</v>
      </c>
      <c r="S41" s="38" t="s">
        <v>21</v>
      </c>
      <c r="T41" s="38" t="s">
        <v>21</v>
      </c>
      <c r="U41" s="8" t="s">
        <v>23</v>
      </c>
      <c r="V41" s="18" t="s">
        <v>23</v>
      </c>
      <c r="W41" s="18" t="s">
        <v>23</v>
      </c>
      <c r="X41" s="9" t="s">
        <v>23</v>
      </c>
      <c r="Y41" s="8" t="s">
        <v>23</v>
      </c>
      <c r="Z41" s="8" t="s">
        <v>23</v>
      </c>
      <c r="AA41" s="8" t="s">
        <v>23</v>
      </c>
      <c r="AB41" s="8" t="s">
        <v>23</v>
      </c>
      <c r="AC41" s="8" t="s">
        <v>23</v>
      </c>
      <c r="AD41" s="18" t="s">
        <v>23</v>
      </c>
      <c r="AE41" s="18" t="s">
        <v>23</v>
      </c>
      <c r="AF41" s="49">
        <v>0</v>
      </c>
      <c r="AG41" s="20" t="s">
        <v>31</v>
      </c>
      <c r="AI41" s="32"/>
      <c r="AJ41" s="32"/>
      <c r="AK41" s="32"/>
    </row>
    <row r="42" spans="1:37" x14ac:dyDescent="0.3">
      <c r="A42" s="3">
        <v>44403</v>
      </c>
      <c r="B42" s="4">
        <v>1600</v>
      </c>
      <c r="C42" s="4" cm="1">
        <f t="array" ref="C42">(SUM(VLOOKUP(H42:AE42,$AI$4:$AK$44,2,FALSE))+AF42*10)*IF(AG42="是",$AQ$4,$AQ$3)</f>
        <v>1066</v>
      </c>
      <c r="D42" s="30">
        <f>SUM($B$4:B42)-SUM($C$4:C42)</f>
        <v>1008</v>
      </c>
      <c r="E42" s="4" cm="1">
        <f t="array" ref="E42">SUM(VLOOKUP(H42:AD42,$AI$4:$AK$44,3,FALSE))</f>
        <v>440</v>
      </c>
      <c r="F42" s="4">
        <f>SUM($E$4:E42)+SUM($G$4:G42)</f>
        <v>22400</v>
      </c>
      <c r="G42" s="4">
        <v>0</v>
      </c>
      <c r="H42" s="36" t="s">
        <v>19</v>
      </c>
      <c r="I42" s="36" t="s">
        <v>19</v>
      </c>
      <c r="J42" s="36" t="s">
        <v>19</v>
      </c>
      <c r="K42" s="36" t="s">
        <v>19</v>
      </c>
      <c r="L42" s="8" t="s">
        <v>23</v>
      </c>
      <c r="M42" s="8" t="s">
        <v>23</v>
      </c>
      <c r="N42" s="18" t="s">
        <v>23</v>
      </c>
      <c r="O42" s="17" t="s">
        <v>23</v>
      </c>
      <c r="P42" s="38" t="s">
        <v>21</v>
      </c>
      <c r="Q42" s="42" t="s">
        <v>49</v>
      </c>
      <c r="R42" s="38" t="s">
        <v>21</v>
      </c>
      <c r="S42" s="38" t="s">
        <v>21</v>
      </c>
      <c r="T42" s="38" t="s">
        <v>21</v>
      </c>
      <c r="U42" s="8" t="s">
        <v>23</v>
      </c>
      <c r="V42" s="18" t="s">
        <v>23</v>
      </c>
      <c r="W42" s="18" t="s">
        <v>23</v>
      </c>
      <c r="X42" s="9" t="s">
        <v>23</v>
      </c>
      <c r="Y42" s="8" t="s">
        <v>23</v>
      </c>
      <c r="Z42" s="8" t="s">
        <v>23</v>
      </c>
      <c r="AA42" s="8" t="s">
        <v>23</v>
      </c>
      <c r="AB42" s="8" t="s">
        <v>23</v>
      </c>
      <c r="AC42" s="8" t="s">
        <v>23</v>
      </c>
      <c r="AD42" s="18" t="s">
        <v>23</v>
      </c>
      <c r="AE42" s="18" t="s">
        <v>23</v>
      </c>
      <c r="AF42" s="49">
        <v>0</v>
      </c>
      <c r="AG42" s="20" t="s">
        <v>31</v>
      </c>
      <c r="AI42" s="32"/>
      <c r="AJ42" s="32"/>
      <c r="AK42" s="32"/>
    </row>
    <row r="43" spans="1:37" x14ac:dyDescent="0.3">
      <c r="A43" s="3">
        <v>44404</v>
      </c>
      <c r="B43" s="4">
        <v>1600</v>
      </c>
      <c r="C43" s="4" cm="1">
        <f t="array" ref="C43">(SUM(VLOOKUP(H43:AE43,$AI$4:$AK$44,2,FALSE))+AF43*10)*IF(AG43="是",$AQ$4,$AQ$3)</f>
        <v>800</v>
      </c>
      <c r="D43" s="30">
        <f>SUM($B$4:B43)-SUM($C$4:C43)</f>
        <v>1808</v>
      </c>
      <c r="E43" s="4" cm="1">
        <f t="array" ref="E43">SUM(VLOOKUP(H43:AD43,$AI$4:$AK$44,3,FALSE))</f>
        <v>300</v>
      </c>
      <c r="F43" s="4">
        <f>SUM($E$4:E43)+SUM($G$4:G43)</f>
        <v>22700</v>
      </c>
      <c r="G43" s="4">
        <v>0</v>
      </c>
      <c r="H43" s="9" t="s">
        <v>23</v>
      </c>
      <c r="I43" s="8" t="s">
        <v>23</v>
      </c>
      <c r="J43" s="8" t="s">
        <v>23</v>
      </c>
      <c r="K43" s="8" t="s">
        <v>23</v>
      </c>
      <c r="L43" s="8" t="s">
        <v>23</v>
      </c>
      <c r="M43" s="8" t="s">
        <v>23</v>
      </c>
      <c r="N43" s="18" t="s">
        <v>23</v>
      </c>
      <c r="O43" s="17" t="s">
        <v>23</v>
      </c>
      <c r="P43" s="38" t="s">
        <v>21</v>
      </c>
      <c r="Q43" s="38" t="s">
        <v>21</v>
      </c>
      <c r="R43" s="38" t="s">
        <v>21</v>
      </c>
      <c r="S43" s="38" t="s">
        <v>21</v>
      </c>
      <c r="T43" s="38" t="s">
        <v>21</v>
      </c>
      <c r="U43" s="8" t="s">
        <v>23</v>
      </c>
      <c r="V43" s="18" t="s">
        <v>23</v>
      </c>
      <c r="W43" s="18" t="s">
        <v>23</v>
      </c>
      <c r="X43" s="9" t="s">
        <v>23</v>
      </c>
      <c r="Y43" s="8" t="s">
        <v>23</v>
      </c>
      <c r="Z43" s="8" t="s">
        <v>23</v>
      </c>
      <c r="AA43" s="8" t="s">
        <v>23</v>
      </c>
      <c r="AB43" s="8" t="s">
        <v>23</v>
      </c>
      <c r="AC43" s="8" t="s">
        <v>23</v>
      </c>
      <c r="AD43" s="18" t="s">
        <v>23</v>
      </c>
      <c r="AE43" s="18" t="s">
        <v>23</v>
      </c>
      <c r="AF43" s="49">
        <v>0</v>
      </c>
      <c r="AG43" s="20" t="s">
        <v>31</v>
      </c>
      <c r="AI43" s="32"/>
      <c r="AJ43" s="32"/>
      <c r="AK43" s="32"/>
    </row>
    <row r="44" spans="1:37" x14ac:dyDescent="0.3">
      <c r="A44" s="3">
        <v>44405</v>
      </c>
      <c r="B44" s="4">
        <v>1600</v>
      </c>
      <c r="C44" s="4" cm="1">
        <f t="array" ref="C44">(SUM(VLOOKUP(H44:AE44,$AI$4:$AK$44,2,FALSE))+AF44*10)*IF(AG44="是",$AQ$4,$AQ$3)</f>
        <v>800</v>
      </c>
      <c r="D44" s="30">
        <f>SUM($B$4:B44)-SUM($C$4:C44)</f>
        <v>2608</v>
      </c>
      <c r="E44" s="4" cm="1">
        <f t="array" ref="E44">SUM(VLOOKUP(H44:AD44,$AI$4:$AK$44,3,FALSE))</f>
        <v>300</v>
      </c>
      <c r="F44" s="4">
        <f>SUM($E$4:E44)+SUM($G$4:G44)</f>
        <v>23000</v>
      </c>
      <c r="G44" s="4">
        <v>0</v>
      </c>
      <c r="H44" s="9" t="s">
        <v>23</v>
      </c>
      <c r="I44" s="8" t="s">
        <v>23</v>
      </c>
      <c r="J44" s="8" t="s">
        <v>23</v>
      </c>
      <c r="K44" s="8" t="s">
        <v>23</v>
      </c>
      <c r="L44" s="8" t="s">
        <v>23</v>
      </c>
      <c r="M44" s="8" t="s">
        <v>23</v>
      </c>
      <c r="N44" s="18" t="s">
        <v>23</v>
      </c>
      <c r="O44" s="17" t="s">
        <v>23</v>
      </c>
      <c r="P44" s="38" t="s">
        <v>21</v>
      </c>
      <c r="Q44" s="38" t="s">
        <v>21</v>
      </c>
      <c r="R44" s="38" t="s">
        <v>21</v>
      </c>
      <c r="S44" s="38" t="s">
        <v>21</v>
      </c>
      <c r="T44" s="38" t="s">
        <v>21</v>
      </c>
      <c r="U44" s="8" t="s">
        <v>23</v>
      </c>
      <c r="V44" s="18" t="s">
        <v>23</v>
      </c>
      <c r="W44" s="18" t="s">
        <v>23</v>
      </c>
      <c r="X44" s="9" t="s">
        <v>23</v>
      </c>
      <c r="Y44" s="8" t="s">
        <v>23</v>
      </c>
      <c r="Z44" s="8" t="s">
        <v>23</v>
      </c>
      <c r="AA44" s="8" t="s">
        <v>23</v>
      </c>
      <c r="AB44" s="8" t="s">
        <v>23</v>
      </c>
      <c r="AC44" s="8" t="s">
        <v>23</v>
      </c>
      <c r="AD44" s="18" t="s">
        <v>23</v>
      </c>
      <c r="AE44" s="18" t="s">
        <v>23</v>
      </c>
      <c r="AF44" s="49">
        <v>0</v>
      </c>
      <c r="AG44" s="20" t="s">
        <v>31</v>
      </c>
      <c r="AI44" s="32"/>
      <c r="AJ44" s="32"/>
      <c r="AK44" s="32"/>
    </row>
    <row r="45" spans="1:37" x14ac:dyDescent="0.3">
      <c r="A45" s="3">
        <v>44406</v>
      </c>
      <c r="B45" s="4">
        <v>1600</v>
      </c>
      <c r="C45" s="4" cm="1">
        <f t="array" ref="C45">(SUM(VLOOKUP(H45:AE45,$AI$4:$AK$44,2,FALSE))+AF45*10)*IF(AG45="是",$AQ$4,$AQ$3)</f>
        <v>800</v>
      </c>
      <c r="D45" s="30">
        <f>SUM($B$4:B45)-SUM($C$4:C45)</f>
        <v>3408</v>
      </c>
      <c r="E45" s="4" cm="1">
        <f t="array" ref="E45">SUM(VLOOKUP(H45:AD45,$AI$4:$AK$44,3,FALSE))</f>
        <v>300</v>
      </c>
      <c r="F45" s="4">
        <f>SUM($E$4:E45)+SUM($G$4:G45)</f>
        <v>23300</v>
      </c>
      <c r="G45" s="4">
        <v>0</v>
      </c>
      <c r="H45" s="9" t="s">
        <v>23</v>
      </c>
      <c r="I45" s="8" t="s">
        <v>23</v>
      </c>
      <c r="J45" s="8" t="s">
        <v>23</v>
      </c>
      <c r="K45" s="8" t="s">
        <v>23</v>
      </c>
      <c r="L45" s="8" t="s">
        <v>23</v>
      </c>
      <c r="M45" s="8" t="s">
        <v>23</v>
      </c>
      <c r="N45" s="18" t="s">
        <v>23</v>
      </c>
      <c r="O45" s="17" t="s">
        <v>23</v>
      </c>
      <c r="P45" s="38" t="s">
        <v>21</v>
      </c>
      <c r="Q45" s="38" t="s">
        <v>21</v>
      </c>
      <c r="R45" s="38" t="s">
        <v>21</v>
      </c>
      <c r="S45" s="38" t="s">
        <v>21</v>
      </c>
      <c r="T45" s="38" t="s">
        <v>21</v>
      </c>
      <c r="U45" s="8" t="s">
        <v>23</v>
      </c>
      <c r="V45" s="18" t="s">
        <v>23</v>
      </c>
      <c r="W45" s="18" t="s">
        <v>23</v>
      </c>
      <c r="X45" s="9" t="s">
        <v>23</v>
      </c>
      <c r="Y45" s="8" t="s">
        <v>23</v>
      </c>
      <c r="Z45" s="8" t="s">
        <v>23</v>
      </c>
      <c r="AA45" s="8" t="s">
        <v>23</v>
      </c>
      <c r="AB45" s="8" t="s">
        <v>23</v>
      </c>
      <c r="AC45" s="8" t="s">
        <v>23</v>
      </c>
      <c r="AD45" s="18" t="s">
        <v>23</v>
      </c>
      <c r="AE45" s="18" t="s">
        <v>23</v>
      </c>
      <c r="AF45" s="49">
        <v>0</v>
      </c>
      <c r="AG45" s="20" t="s">
        <v>31</v>
      </c>
    </row>
    <row r="46" spans="1:37" x14ac:dyDescent="0.3">
      <c r="A46" s="3">
        <v>44407</v>
      </c>
      <c r="B46" s="4">
        <v>1600</v>
      </c>
      <c r="C46" s="4" cm="1">
        <f t="array" ref="C46">(SUM(VLOOKUP(H46:AE46,$AI$4:$AK$44,2,FALSE))+AF46*10)*IF(AG46="是",$AQ$4,$AQ$3)</f>
        <v>800</v>
      </c>
      <c r="D46" s="30">
        <f>SUM($B$4:B46)-SUM($C$4:C46)</f>
        <v>4208</v>
      </c>
      <c r="E46" s="4" cm="1">
        <f t="array" ref="E46">SUM(VLOOKUP(H46:AD46,$AI$4:$AK$44,3,FALSE))</f>
        <v>300</v>
      </c>
      <c r="F46" s="4">
        <f>SUM($E$4:E46)+SUM($G$4:G46)</f>
        <v>23600</v>
      </c>
      <c r="G46" s="4">
        <v>0</v>
      </c>
      <c r="H46" s="9" t="s">
        <v>23</v>
      </c>
      <c r="I46" s="8" t="s">
        <v>23</v>
      </c>
      <c r="J46" s="8" t="s">
        <v>23</v>
      </c>
      <c r="K46" s="8" t="s">
        <v>23</v>
      </c>
      <c r="L46" s="8" t="s">
        <v>23</v>
      </c>
      <c r="M46" s="8" t="s">
        <v>23</v>
      </c>
      <c r="N46" s="18" t="s">
        <v>23</v>
      </c>
      <c r="O46" s="17" t="s">
        <v>23</v>
      </c>
      <c r="P46" s="38" t="s">
        <v>21</v>
      </c>
      <c r="Q46" s="38" t="s">
        <v>21</v>
      </c>
      <c r="R46" s="38" t="s">
        <v>21</v>
      </c>
      <c r="S46" s="38" t="s">
        <v>21</v>
      </c>
      <c r="T46" s="38" t="s">
        <v>21</v>
      </c>
      <c r="U46" s="8" t="s">
        <v>23</v>
      </c>
      <c r="V46" s="18" t="s">
        <v>23</v>
      </c>
      <c r="W46" s="18" t="s">
        <v>23</v>
      </c>
      <c r="X46" s="9" t="s">
        <v>23</v>
      </c>
      <c r="Y46" s="8" t="s">
        <v>23</v>
      </c>
      <c r="Z46" s="8" t="s">
        <v>23</v>
      </c>
      <c r="AA46" s="8" t="s">
        <v>23</v>
      </c>
      <c r="AB46" s="8" t="s">
        <v>23</v>
      </c>
      <c r="AC46" s="8" t="s">
        <v>23</v>
      </c>
      <c r="AD46" s="18" t="s">
        <v>23</v>
      </c>
      <c r="AE46" s="18" t="s">
        <v>23</v>
      </c>
      <c r="AF46" s="49">
        <v>0</v>
      </c>
      <c r="AG46" s="20" t="s">
        <v>31</v>
      </c>
    </row>
    <row r="47" spans="1:37" x14ac:dyDescent="0.3">
      <c r="A47" s="3">
        <v>44408</v>
      </c>
      <c r="B47" s="4">
        <v>1600</v>
      </c>
      <c r="C47" s="4" cm="1">
        <f t="array" ref="C47">(SUM(VLOOKUP(H47:AE47,$AI$4:$AK$44,2,FALSE))+AF47*10)*IF(AG47="是",$AQ$4,$AQ$3)</f>
        <v>800</v>
      </c>
      <c r="D47" s="30">
        <f>SUM($B$4:B47)-SUM($C$4:C47)</f>
        <v>5008</v>
      </c>
      <c r="E47" s="4" cm="1">
        <f t="array" ref="E47">SUM(VLOOKUP(H47:AD47,$AI$4:$AK$44,3,FALSE))</f>
        <v>300</v>
      </c>
      <c r="F47" s="4">
        <f>SUM($E$4:E47)+SUM($G$4:G47)</f>
        <v>23900</v>
      </c>
      <c r="G47" s="4">
        <v>0</v>
      </c>
      <c r="H47" s="9" t="s">
        <v>23</v>
      </c>
      <c r="I47" s="8" t="s">
        <v>23</v>
      </c>
      <c r="J47" s="8" t="s">
        <v>23</v>
      </c>
      <c r="K47" s="8" t="s">
        <v>23</v>
      </c>
      <c r="L47" s="8" t="s">
        <v>23</v>
      </c>
      <c r="M47" s="8" t="s">
        <v>23</v>
      </c>
      <c r="N47" s="18" t="s">
        <v>23</v>
      </c>
      <c r="O47" s="17" t="s">
        <v>23</v>
      </c>
      <c r="P47" s="38" t="s">
        <v>21</v>
      </c>
      <c r="Q47" s="38" t="s">
        <v>21</v>
      </c>
      <c r="R47" s="38" t="s">
        <v>21</v>
      </c>
      <c r="S47" s="38" t="s">
        <v>21</v>
      </c>
      <c r="T47" s="38" t="s">
        <v>21</v>
      </c>
      <c r="U47" s="8" t="s">
        <v>23</v>
      </c>
      <c r="V47" s="18" t="s">
        <v>23</v>
      </c>
      <c r="W47" s="18" t="s">
        <v>23</v>
      </c>
      <c r="X47" s="9" t="s">
        <v>23</v>
      </c>
      <c r="Y47" s="8" t="s">
        <v>23</v>
      </c>
      <c r="Z47" s="8" t="s">
        <v>23</v>
      </c>
      <c r="AA47" s="8" t="s">
        <v>23</v>
      </c>
      <c r="AB47" s="8" t="s">
        <v>23</v>
      </c>
      <c r="AC47" s="8" t="s">
        <v>23</v>
      </c>
      <c r="AD47" s="18" t="s">
        <v>23</v>
      </c>
      <c r="AE47" s="18" t="s">
        <v>23</v>
      </c>
      <c r="AF47" s="49">
        <v>0</v>
      </c>
      <c r="AG47" s="20" t="s">
        <v>31</v>
      </c>
    </row>
    <row r="48" spans="1:37" x14ac:dyDescent="0.3">
      <c r="A48" s="3">
        <v>44409</v>
      </c>
      <c r="B48" s="4">
        <v>1600</v>
      </c>
      <c r="C48" s="4" cm="1">
        <f t="array" ref="C48">(SUM(VLOOKUP(H48:AE48,$AI$4:$AK$44,2,FALSE))+AF48*10)*IF(AG48="是",$AQ$4,$AQ$3)</f>
        <v>800</v>
      </c>
      <c r="D48" s="30">
        <f>SUM($B$4:B48)-SUM($C$4:C48)</f>
        <v>5808</v>
      </c>
      <c r="E48" s="4" cm="1">
        <f t="array" ref="E48">SUM(VLOOKUP(H48:AD48,$AI$4:$AK$44,3,FALSE))</f>
        <v>300</v>
      </c>
      <c r="F48" s="4">
        <f>SUM($E$4:E48)+SUM($G$4:G48)</f>
        <v>24200</v>
      </c>
      <c r="G48" s="4">
        <v>0</v>
      </c>
      <c r="H48" s="9" t="s">
        <v>23</v>
      </c>
      <c r="I48" s="8" t="s">
        <v>23</v>
      </c>
      <c r="J48" s="8" t="s">
        <v>23</v>
      </c>
      <c r="K48" s="8" t="s">
        <v>23</v>
      </c>
      <c r="L48" s="8" t="s">
        <v>23</v>
      </c>
      <c r="M48" s="8" t="s">
        <v>23</v>
      </c>
      <c r="N48" s="18" t="s">
        <v>23</v>
      </c>
      <c r="O48" s="17" t="s">
        <v>23</v>
      </c>
      <c r="P48" s="38" t="s">
        <v>21</v>
      </c>
      <c r="Q48" s="38" t="s">
        <v>21</v>
      </c>
      <c r="R48" s="38" t="s">
        <v>21</v>
      </c>
      <c r="S48" s="38" t="s">
        <v>21</v>
      </c>
      <c r="T48" s="38" t="s">
        <v>21</v>
      </c>
      <c r="U48" s="8" t="s">
        <v>23</v>
      </c>
      <c r="V48" s="18" t="s">
        <v>23</v>
      </c>
      <c r="W48" s="18" t="s">
        <v>23</v>
      </c>
      <c r="X48" s="9" t="s">
        <v>23</v>
      </c>
      <c r="Y48" s="8" t="s">
        <v>23</v>
      </c>
      <c r="Z48" s="8" t="s">
        <v>23</v>
      </c>
      <c r="AA48" s="8" t="s">
        <v>23</v>
      </c>
      <c r="AB48" s="8" t="s">
        <v>23</v>
      </c>
      <c r="AC48" s="8" t="s">
        <v>23</v>
      </c>
      <c r="AD48" s="18" t="s">
        <v>23</v>
      </c>
      <c r="AE48" s="18" t="s">
        <v>23</v>
      </c>
      <c r="AF48" s="49">
        <v>0</v>
      </c>
      <c r="AG48" s="20" t="s">
        <v>31</v>
      </c>
    </row>
    <row r="49" spans="1:33" x14ac:dyDescent="0.3">
      <c r="A49" s="1">
        <v>44410</v>
      </c>
      <c r="B49">
        <v>1600</v>
      </c>
      <c r="C49" s="4" cm="1">
        <f t="array" ref="C49">(SUM(VLOOKUP(H49:AE49,$AI$4:$AK$44,2,FALSE))+AF49*10)*IF(AG49="是",$AQ$4,$AQ$3)</f>
        <v>840</v>
      </c>
      <c r="D49" s="31">
        <f>SUM($B$4:B49)-SUM($C$4:C49)</f>
        <v>6568</v>
      </c>
      <c r="E49" s="4" cm="1">
        <f t="array" ref="E49">SUM(VLOOKUP(H49:AD49,$AI$4:$AK$44,3,FALSE))</f>
        <v>1240</v>
      </c>
      <c r="F49" s="4">
        <f>SUM($E$4:E49)+SUM($G$4:G49)</f>
        <v>25440</v>
      </c>
      <c r="G49">
        <v>0</v>
      </c>
      <c r="H49" s="9" t="s">
        <v>23</v>
      </c>
      <c r="I49" s="8" t="s">
        <v>23</v>
      </c>
      <c r="J49" s="8" t="s">
        <v>23</v>
      </c>
      <c r="K49" s="8" t="s">
        <v>23</v>
      </c>
      <c r="L49" s="8" t="s">
        <v>23</v>
      </c>
      <c r="M49" s="8" t="s">
        <v>23</v>
      </c>
      <c r="N49" s="18" t="s">
        <v>23</v>
      </c>
      <c r="O49" s="17" t="s">
        <v>23</v>
      </c>
      <c r="P49" s="45" t="s">
        <v>15</v>
      </c>
      <c r="Q49" s="38" t="s">
        <v>21</v>
      </c>
      <c r="R49" s="38" t="s">
        <v>21</v>
      </c>
      <c r="S49" s="38" t="s">
        <v>21</v>
      </c>
      <c r="T49" s="38" t="s">
        <v>21</v>
      </c>
      <c r="U49" s="8" t="s">
        <v>23</v>
      </c>
      <c r="V49" s="18" t="s">
        <v>23</v>
      </c>
      <c r="W49" s="18" t="s">
        <v>23</v>
      </c>
      <c r="X49" s="9" t="s">
        <v>23</v>
      </c>
      <c r="Y49" s="8" t="s">
        <v>23</v>
      </c>
      <c r="Z49" s="8" t="s">
        <v>23</v>
      </c>
      <c r="AA49" s="8" t="s">
        <v>23</v>
      </c>
      <c r="AB49" s="8" t="s">
        <v>23</v>
      </c>
      <c r="AC49" s="8" t="s">
        <v>23</v>
      </c>
      <c r="AD49" s="18" t="s">
        <v>23</v>
      </c>
      <c r="AE49" s="18" t="s">
        <v>23</v>
      </c>
      <c r="AF49" s="49">
        <v>0</v>
      </c>
      <c r="AG49" s="20" t="s">
        <v>31</v>
      </c>
    </row>
    <row r="50" spans="1:33" x14ac:dyDescent="0.3">
      <c r="A50" s="1">
        <v>44411</v>
      </c>
      <c r="B50">
        <v>1600</v>
      </c>
      <c r="C50" s="4" cm="1">
        <f t="array" ref="C50">(SUM(VLOOKUP(H50:AE50,$AI$4:$AK$44,2,FALSE))+AF50*10)*IF(AG50="是",$AQ$4,$AQ$3)</f>
        <v>800</v>
      </c>
      <c r="D50" s="31">
        <f>SUM($B$4:B50)-SUM($C$4:C50)</f>
        <v>7368</v>
      </c>
      <c r="E50" s="4" cm="1">
        <f t="array" ref="E50">SUM(VLOOKUP(H50:AD50,$AI$4:$AK$44,3,FALSE))</f>
        <v>300</v>
      </c>
      <c r="F50" s="4">
        <f>SUM($E$4:E50)+SUM($G$4:G50)</f>
        <v>25740</v>
      </c>
      <c r="G50">
        <v>0</v>
      </c>
      <c r="H50" s="9" t="s">
        <v>23</v>
      </c>
      <c r="I50" s="8" t="s">
        <v>23</v>
      </c>
      <c r="J50" s="8" t="s">
        <v>23</v>
      </c>
      <c r="K50" s="8" t="s">
        <v>23</v>
      </c>
      <c r="L50" s="8" t="s">
        <v>23</v>
      </c>
      <c r="M50" s="8" t="s">
        <v>23</v>
      </c>
      <c r="N50" s="18" t="s">
        <v>23</v>
      </c>
      <c r="O50" s="17" t="s">
        <v>23</v>
      </c>
      <c r="P50" s="38" t="s">
        <v>21</v>
      </c>
      <c r="Q50" s="38" t="s">
        <v>21</v>
      </c>
      <c r="R50" s="38" t="s">
        <v>21</v>
      </c>
      <c r="S50" s="38" t="s">
        <v>21</v>
      </c>
      <c r="T50" s="38" t="s">
        <v>21</v>
      </c>
      <c r="U50" s="8" t="s">
        <v>23</v>
      </c>
      <c r="V50" s="18" t="s">
        <v>23</v>
      </c>
      <c r="W50" s="18" t="s">
        <v>23</v>
      </c>
      <c r="X50" s="9" t="s">
        <v>23</v>
      </c>
      <c r="Y50" s="8" t="s">
        <v>23</v>
      </c>
      <c r="Z50" s="8" t="s">
        <v>23</v>
      </c>
      <c r="AA50" s="8" t="s">
        <v>23</v>
      </c>
      <c r="AB50" s="8" t="s">
        <v>23</v>
      </c>
      <c r="AC50" s="8" t="s">
        <v>23</v>
      </c>
      <c r="AD50" s="18" t="s">
        <v>23</v>
      </c>
      <c r="AE50" s="18" t="s">
        <v>23</v>
      </c>
      <c r="AF50" s="49">
        <v>0</v>
      </c>
      <c r="AG50" s="20" t="s">
        <v>31</v>
      </c>
    </row>
    <row r="51" spans="1:33" x14ac:dyDescent="0.3">
      <c r="A51" s="1">
        <v>44412</v>
      </c>
      <c r="B51">
        <v>1600</v>
      </c>
      <c r="C51" s="4" cm="1">
        <f t="array" ref="C51">(SUM(VLOOKUP(H51:AE51,$AI$4:$AK$44,2,FALSE))+AF51*10)*IF(AG51="是",$AQ$4,$AQ$3)</f>
        <v>800</v>
      </c>
      <c r="D51" s="31">
        <f>SUM($B$4:B51)-SUM($C$4:C51)</f>
        <v>8168</v>
      </c>
      <c r="E51" s="4" cm="1">
        <f t="array" ref="E51">SUM(VLOOKUP(H51:AD51,$AI$4:$AK$44,3,FALSE))</f>
        <v>300</v>
      </c>
      <c r="F51" s="4">
        <f>SUM($E$4:E51)+SUM($G$4:G51)</f>
        <v>26040</v>
      </c>
      <c r="G51">
        <v>0</v>
      </c>
      <c r="H51" s="9" t="s">
        <v>23</v>
      </c>
      <c r="I51" s="8" t="s">
        <v>23</v>
      </c>
      <c r="J51" s="8" t="s">
        <v>23</v>
      </c>
      <c r="K51" s="8" t="s">
        <v>23</v>
      </c>
      <c r="L51" s="8" t="s">
        <v>23</v>
      </c>
      <c r="M51" s="8" t="s">
        <v>23</v>
      </c>
      <c r="N51" s="18" t="s">
        <v>23</v>
      </c>
      <c r="O51" s="17" t="s">
        <v>23</v>
      </c>
      <c r="P51" s="38" t="s">
        <v>21</v>
      </c>
      <c r="Q51" s="38" t="s">
        <v>21</v>
      </c>
      <c r="R51" s="38" t="s">
        <v>21</v>
      </c>
      <c r="S51" s="38" t="s">
        <v>21</v>
      </c>
      <c r="T51" s="38" t="s">
        <v>21</v>
      </c>
      <c r="U51" s="8" t="s">
        <v>23</v>
      </c>
      <c r="V51" s="18" t="s">
        <v>23</v>
      </c>
      <c r="W51" s="18" t="s">
        <v>23</v>
      </c>
      <c r="X51" s="9" t="s">
        <v>23</v>
      </c>
      <c r="Y51" s="8" t="s">
        <v>23</v>
      </c>
      <c r="Z51" s="8" t="s">
        <v>23</v>
      </c>
      <c r="AA51" s="8" t="s">
        <v>23</v>
      </c>
      <c r="AB51" s="8" t="s">
        <v>23</v>
      </c>
      <c r="AC51" s="8" t="s">
        <v>23</v>
      </c>
      <c r="AD51" s="18" t="s">
        <v>23</v>
      </c>
      <c r="AE51" s="18" t="s">
        <v>23</v>
      </c>
      <c r="AF51" s="49">
        <v>0</v>
      </c>
      <c r="AG51" s="20" t="s">
        <v>31</v>
      </c>
    </row>
    <row r="52" spans="1:33" x14ac:dyDescent="0.3">
      <c r="A52" s="1">
        <v>44413</v>
      </c>
      <c r="B52">
        <v>1600</v>
      </c>
      <c r="C52" s="4" cm="1">
        <f t="array" ref="C52">(SUM(VLOOKUP(H52:AE52,$AI$4:$AK$44,2,FALSE))+AF52*10)*IF(AG52="是",$AQ$4,$AQ$3)</f>
        <v>800</v>
      </c>
      <c r="D52" s="31">
        <f>SUM($B$4:B52)-SUM($C$4:C52)</f>
        <v>8968</v>
      </c>
      <c r="E52" s="4" cm="1">
        <f t="array" ref="E52">SUM(VLOOKUP(H52:AD52,$AI$4:$AK$44,3,FALSE))</f>
        <v>300</v>
      </c>
      <c r="F52" s="4">
        <f>SUM($E$4:E52)+SUM($G$4:G52)</f>
        <v>26340</v>
      </c>
      <c r="G52">
        <v>0</v>
      </c>
      <c r="H52" s="9" t="s">
        <v>23</v>
      </c>
      <c r="I52" s="8" t="s">
        <v>23</v>
      </c>
      <c r="J52" s="8" t="s">
        <v>23</v>
      </c>
      <c r="K52" s="8" t="s">
        <v>23</v>
      </c>
      <c r="L52" s="8" t="s">
        <v>23</v>
      </c>
      <c r="M52" s="8" t="s">
        <v>23</v>
      </c>
      <c r="N52" s="18" t="s">
        <v>23</v>
      </c>
      <c r="O52" s="17" t="s">
        <v>23</v>
      </c>
      <c r="P52" s="38" t="s">
        <v>21</v>
      </c>
      <c r="Q52" s="38" t="s">
        <v>21</v>
      </c>
      <c r="R52" s="38" t="s">
        <v>21</v>
      </c>
      <c r="S52" s="38" t="s">
        <v>21</v>
      </c>
      <c r="T52" s="38" t="s">
        <v>21</v>
      </c>
      <c r="U52" s="8" t="s">
        <v>23</v>
      </c>
      <c r="V52" s="18" t="s">
        <v>23</v>
      </c>
      <c r="W52" s="18" t="s">
        <v>23</v>
      </c>
      <c r="X52" s="9" t="s">
        <v>23</v>
      </c>
      <c r="Y52" s="8" t="s">
        <v>23</v>
      </c>
      <c r="Z52" s="8" t="s">
        <v>23</v>
      </c>
      <c r="AA52" s="8" t="s">
        <v>23</v>
      </c>
      <c r="AB52" s="8" t="s">
        <v>23</v>
      </c>
      <c r="AC52" s="8" t="s">
        <v>23</v>
      </c>
      <c r="AD52" s="18" t="s">
        <v>23</v>
      </c>
      <c r="AE52" s="18" t="s">
        <v>23</v>
      </c>
      <c r="AF52" s="49">
        <v>0</v>
      </c>
      <c r="AG52" s="20" t="s">
        <v>31</v>
      </c>
    </row>
    <row r="53" spans="1:33" x14ac:dyDescent="0.3">
      <c r="A53" s="1">
        <v>44414</v>
      </c>
      <c r="B53">
        <v>1600</v>
      </c>
      <c r="C53" s="4" cm="1">
        <f t="array" ref="C53">(SUM(VLOOKUP(H53:AE53,$AI$4:$AK$44,2,FALSE))+AF53*10)*IF(AG53="是",$AQ$4,$AQ$3)</f>
        <v>800</v>
      </c>
      <c r="D53" s="31">
        <f>SUM($B$4:B53)-SUM($C$4:C53)</f>
        <v>9768</v>
      </c>
      <c r="E53" s="4" cm="1">
        <f t="array" ref="E53">SUM(VLOOKUP(H53:AD53,$AI$4:$AK$44,3,FALSE))</f>
        <v>300</v>
      </c>
      <c r="F53" s="4">
        <f>SUM($E$4:E53)+SUM($G$4:G53)</f>
        <v>26640</v>
      </c>
      <c r="G53">
        <v>0</v>
      </c>
      <c r="H53" s="9" t="s">
        <v>23</v>
      </c>
      <c r="I53" s="8" t="s">
        <v>23</v>
      </c>
      <c r="J53" s="8" t="s">
        <v>23</v>
      </c>
      <c r="K53" s="8" t="s">
        <v>23</v>
      </c>
      <c r="L53" s="8" t="s">
        <v>23</v>
      </c>
      <c r="M53" s="8" t="s">
        <v>23</v>
      </c>
      <c r="N53" s="18" t="s">
        <v>23</v>
      </c>
      <c r="O53" s="17" t="s">
        <v>23</v>
      </c>
      <c r="P53" s="38" t="s">
        <v>21</v>
      </c>
      <c r="Q53" s="38" t="s">
        <v>21</v>
      </c>
      <c r="R53" s="38" t="s">
        <v>21</v>
      </c>
      <c r="S53" s="38" t="s">
        <v>21</v>
      </c>
      <c r="T53" s="38" t="s">
        <v>21</v>
      </c>
      <c r="U53" s="8" t="s">
        <v>23</v>
      </c>
      <c r="V53" s="18" t="s">
        <v>23</v>
      </c>
      <c r="W53" s="18" t="s">
        <v>23</v>
      </c>
      <c r="X53" s="9" t="s">
        <v>23</v>
      </c>
      <c r="Y53" s="8" t="s">
        <v>23</v>
      </c>
      <c r="Z53" s="8" t="s">
        <v>23</v>
      </c>
      <c r="AA53" s="8" t="s">
        <v>23</v>
      </c>
      <c r="AB53" s="8" t="s">
        <v>23</v>
      </c>
      <c r="AC53" s="8" t="s">
        <v>23</v>
      </c>
      <c r="AD53" s="18" t="s">
        <v>23</v>
      </c>
      <c r="AE53" s="18" t="s">
        <v>23</v>
      </c>
      <c r="AF53" s="49">
        <v>0</v>
      </c>
      <c r="AG53" s="20" t="s">
        <v>31</v>
      </c>
    </row>
    <row r="54" spans="1:33" x14ac:dyDescent="0.3">
      <c r="A54" s="1">
        <v>44415</v>
      </c>
      <c r="B54">
        <v>1600</v>
      </c>
      <c r="C54" s="4" cm="1">
        <f t="array" ref="C54">(SUM(VLOOKUP(H54:AE54,$AI$4:$AK$44,2,FALSE))+AF54*10)*IF(AG54="是",$AQ$4,$AQ$3)</f>
        <v>800</v>
      </c>
      <c r="D54" s="31">
        <f>SUM($B$4:B54)-SUM($C$4:C54)</f>
        <v>10568</v>
      </c>
      <c r="E54" s="4" cm="1">
        <f t="array" ref="E54">SUM(VLOOKUP(H54:AD54,$AI$4:$AK$44,3,FALSE))</f>
        <v>300</v>
      </c>
      <c r="F54" s="4">
        <f>SUM($E$4:E54)+SUM($G$4:G54)</f>
        <v>26940</v>
      </c>
      <c r="G54">
        <v>0</v>
      </c>
      <c r="H54" s="9" t="s">
        <v>23</v>
      </c>
      <c r="I54" s="8" t="s">
        <v>23</v>
      </c>
      <c r="J54" s="8" t="s">
        <v>23</v>
      </c>
      <c r="K54" s="8" t="s">
        <v>23</v>
      </c>
      <c r="L54" s="8" t="s">
        <v>23</v>
      </c>
      <c r="M54" s="8" t="s">
        <v>23</v>
      </c>
      <c r="N54" s="18" t="s">
        <v>23</v>
      </c>
      <c r="O54" s="17" t="s">
        <v>23</v>
      </c>
      <c r="P54" s="38" t="s">
        <v>21</v>
      </c>
      <c r="Q54" s="38" t="s">
        <v>21</v>
      </c>
      <c r="R54" s="38" t="s">
        <v>21</v>
      </c>
      <c r="S54" s="38" t="s">
        <v>21</v>
      </c>
      <c r="T54" s="38" t="s">
        <v>21</v>
      </c>
      <c r="U54" s="8" t="s">
        <v>23</v>
      </c>
      <c r="V54" s="18" t="s">
        <v>23</v>
      </c>
      <c r="W54" s="18" t="s">
        <v>23</v>
      </c>
      <c r="X54" s="9" t="s">
        <v>23</v>
      </c>
      <c r="Y54" s="8" t="s">
        <v>23</v>
      </c>
      <c r="Z54" s="8" t="s">
        <v>23</v>
      </c>
      <c r="AA54" s="8" t="s">
        <v>23</v>
      </c>
      <c r="AB54" s="8" t="s">
        <v>23</v>
      </c>
      <c r="AC54" s="8" t="s">
        <v>23</v>
      </c>
      <c r="AD54" s="18" t="s">
        <v>23</v>
      </c>
      <c r="AE54" s="18" t="s">
        <v>23</v>
      </c>
      <c r="AF54" s="49">
        <v>0</v>
      </c>
      <c r="AG54" s="20" t="s">
        <v>31</v>
      </c>
    </row>
    <row r="55" spans="1:33" x14ac:dyDescent="0.3">
      <c r="A55" s="1">
        <v>44416</v>
      </c>
      <c r="B55">
        <v>1600</v>
      </c>
      <c r="C55" s="4" cm="1">
        <f t="array" ref="C55">(SUM(VLOOKUP(H55:AE55,$AI$4:$AK$44,2,FALSE))+AF55*10)*IF(AG55="是",$AQ$4,$AQ$3)</f>
        <v>800</v>
      </c>
      <c r="D55" s="31">
        <f>SUM($B$4:B55)-SUM($C$4:C55)</f>
        <v>11368</v>
      </c>
      <c r="E55" s="4" cm="1">
        <f t="array" ref="E55">SUM(VLOOKUP(H55:AD55,$AI$4:$AK$44,3,FALSE))</f>
        <v>300</v>
      </c>
      <c r="F55" s="4">
        <f>SUM($E$4:E55)+SUM($G$4:G55)</f>
        <v>27240</v>
      </c>
      <c r="G55">
        <v>0</v>
      </c>
      <c r="H55" s="9" t="s">
        <v>23</v>
      </c>
      <c r="I55" s="8" t="s">
        <v>23</v>
      </c>
      <c r="J55" s="8" t="s">
        <v>23</v>
      </c>
      <c r="K55" s="8" t="s">
        <v>23</v>
      </c>
      <c r="L55" s="8" t="s">
        <v>23</v>
      </c>
      <c r="M55" s="8" t="s">
        <v>23</v>
      </c>
      <c r="N55" s="18" t="s">
        <v>23</v>
      </c>
      <c r="O55" s="17" t="s">
        <v>23</v>
      </c>
      <c r="P55" s="38" t="s">
        <v>21</v>
      </c>
      <c r="Q55" s="38" t="s">
        <v>21</v>
      </c>
      <c r="R55" s="38" t="s">
        <v>21</v>
      </c>
      <c r="S55" s="38" t="s">
        <v>21</v>
      </c>
      <c r="T55" s="38" t="s">
        <v>21</v>
      </c>
      <c r="U55" s="8" t="s">
        <v>23</v>
      </c>
      <c r="V55" s="18" t="s">
        <v>23</v>
      </c>
      <c r="W55" s="18" t="s">
        <v>23</v>
      </c>
      <c r="X55" s="9" t="s">
        <v>23</v>
      </c>
      <c r="Y55" s="8" t="s">
        <v>23</v>
      </c>
      <c r="Z55" s="8" t="s">
        <v>23</v>
      </c>
      <c r="AA55" s="8" t="s">
        <v>23</v>
      </c>
      <c r="AB55" s="8" t="s">
        <v>23</v>
      </c>
      <c r="AC55" s="8" t="s">
        <v>23</v>
      </c>
      <c r="AD55" s="18" t="s">
        <v>23</v>
      </c>
      <c r="AE55" s="18" t="s">
        <v>23</v>
      </c>
      <c r="AF55" s="49">
        <v>0</v>
      </c>
      <c r="AG55" s="20" t="s">
        <v>31</v>
      </c>
    </row>
    <row r="56" spans="1:33" x14ac:dyDescent="0.3">
      <c r="A56" s="3">
        <v>44417</v>
      </c>
      <c r="B56" s="4">
        <v>1600</v>
      </c>
      <c r="C56" s="4" cm="1">
        <f t="array" ref="C56">(SUM(VLOOKUP(H56:AE56,$AI$4:$AK$44,2,FALSE))+AF56*10)*IF(AG56="是",$AQ$4,$AQ$3)</f>
        <v>800</v>
      </c>
      <c r="D56" s="30">
        <f>SUM($B$4:B56)-SUM($C$4:C56)</f>
        <v>12168</v>
      </c>
      <c r="E56" s="4" cm="1">
        <f t="array" ref="E56">SUM(VLOOKUP(H56:AD56,$AI$4:$AK$44,3,FALSE))</f>
        <v>300</v>
      </c>
      <c r="F56" s="4">
        <f>SUM($E$4:E56)+SUM($G$4:G56)</f>
        <v>27540</v>
      </c>
      <c r="G56" s="4">
        <v>0</v>
      </c>
      <c r="H56" s="9" t="s">
        <v>23</v>
      </c>
      <c r="I56" s="8" t="s">
        <v>23</v>
      </c>
      <c r="J56" s="8" t="s">
        <v>23</v>
      </c>
      <c r="K56" s="8" t="s">
        <v>23</v>
      </c>
      <c r="L56" s="8" t="s">
        <v>23</v>
      </c>
      <c r="M56" s="8" t="s">
        <v>23</v>
      </c>
      <c r="N56" s="18" t="s">
        <v>23</v>
      </c>
      <c r="O56" s="17" t="s">
        <v>23</v>
      </c>
      <c r="P56" s="38" t="s">
        <v>21</v>
      </c>
      <c r="Q56" s="38" t="s">
        <v>21</v>
      </c>
      <c r="R56" s="38" t="s">
        <v>21</v>
      </c>
      <c r="S56" s="38" t="s">
        <v>21</v>
      </c>
      <c r="T56" s="38" t="s">
        <v>21</v>
      </c>
      <c r="U56" s="8" t="s">
        <v>23</v>
      </c>
      <c r="V56" s="18" t="s">
        <v>23</v>
      </c>
      <c r="W56" s="18" t="s">
        <v>23</v>
      </c>
      <c r="X56" s="9" t="s">
        <v>23</v>
      </c>
      <c r="Y56" s="8" t="s">
        <v>23</v>
      </c>
      <c r="Z56" s="8" t="s">
        <v>23</v>
      </c>
      <c r="AA56" s="8" t="s">
        <v>23</v>
      </c>
      <c r="AB56" s="8" t="s">
        <v>23</v>
      </c>
      <c r="AC56" s="8" t="s">
        <v>23</v>
      </c>
      <c r="AD56" s="18" t="s">
        <v>23</v>
      </c>
      <c r="AE56" s="18" t="s">
        <v>23</v>
      </c>
      <c r="AF56" s="49">
        <v>0</v>
      </c>
      <c r="AG56" s="20" t="s">
        <v>31</v>
      </c>
    </row>
    <row r="57" spans="1:33" x14ac:dyDescent="0.3">
      <c r="A57" s="3">
        <v>44418</v>
      </c>
      <c r="B57" s="4">
        <v>1600</v>
      </c>
      <c r="C57" s="4" cm="1">
        <f t="array" ref="C57">(SUM(VLOOKUP(H57:AE57,$AI$4:$AK$44,2,FALSE))+AF57*10)*IF(AG57="是",$AQ$4,$AQ$3)</f>
        <v>808</v>
      </c>
      <c r="D57" s="30">
        <f>SUM($B$4:B57)-SUM($C$4:C57)</f>
        <v>12960</v>
      </c>
      <c r="E57" s="4" cm="1">
        <f t="array" ref="E57">SUM(VLOOKUP(H57:AD57,$AI$4:$AK$44,3,FALSE))</f>
        <v>300</v>
      </c>
      <c r="F57" s="4">
        <f>SUM($E$4:E57)+SUM($G$4:G57)</f>
        <v>27840</v>
      </c>
      <c r="G57" s="4">
        <v>0</v>
      </c>
      <c r="H57" s="9" t="s">
        <v>23</v>
      </c>
      <c r="I57" s="8" t="s">
        <v>23</v>
      </c>
      <c r="J57" s="8" t="s">
        <v>23</v>
      </c>
      <c r="K57" s="8" t="s">
        <v>23</v>
      </c>
      <c r="L57" s="8" t="s">
        <v>23</v>
      </c>
      <c r="M57" s="8" t="s">
        <v>23</v>
      </c>
      <c r="N57" s="18" t="s">
        <v>23</v>
      </c>
      <c r="O57" s="17" t="s">
        <v>23</v>
      </c>
      <c r="P57" s="38" t="s">
        <v>21</v>
      </c>
      <c r="Q57" s="38" t="s">
        <v>21</v>
      </c>
      <c r="R57" s="38" t="s">
        <v>21</v>
      </c>
      <c r="S57" s="38" t="s">
        <v>21</v>
      </c>
      <c r="T57" s="38" t="s">
        <v>21</v>
      </c>
      <c r="U57" s="8" t="s">
        <v>23</v>
      </c>
      <c r="V57" s="18" t="s">
        <v>23</v>
      </c>
      <c r="W57" s="18" t="s">
        <v>23</v>
      </c>
      <c r="X57" s="9" t="s">
        <v>23</v>
      </c>
      <c r="Y57" s="8" t="s">
        <v>23</v>
      </c>
      <c r="Z57" s="8" t="s">
        <v>23</v>
      </c>
      <c r="AA57" s="8" t="s">
        <v>23</v>
      </c>
      <c r="AB57" s="8" t="s">
        <v>23</v>
      </c>
      <c r="AC57" s="8" t="s">
        <v>23</v>
      </c>
      <c r="AD57" s="18" t="s">
        <v>23</v>
      </c>
      <c r="AE57" s="18" t="s">
        <v>23</v>
      </c>
      <c r="AF57" s="49">
        <v>1</v>
      </c>
      <c r="AG57" s="20" t="s">
        <v>31</v>
      </c>
    </row>
    <row r="58" spans="1:33" x14ac:dyDescent="0.3">
      <c r="A58" s="3">
        <v>44419</v>
      </c>
      <c r="B58" s="4">
        <v>1600</v>
      </c>
      <c r="C58" s="4" cm="1">
        <f t="array" ref="C58">(SUM(VLOOKUP(H58:AE58,$AI$4:$AK$44,2,FALSE))+AF58*10)*IF(AG58="是",$AQ$4,$AQ$3)</f>
        <v>800</v>
      </c>
      <c r="D58" s="30">
        <f>SUM($B$4:B58)-SUM($C$4:C58)</f>
        <v>13760</v>
      </c>
      <c r="E58" s="4" cm="1">
        <f t="array" ref="E58">SUM(VLOOKUP(H58:AD58,$AI$4:$AK$44,3,FALSE))</f>
        <v>300</v>
      </c>
      <c r="F58" s="4">
        <f>SUM($E$4:E58)+SUM($G$4:G58)</f>
        <v>28140</v>
      </c>
      <c r="G58" s="4">
        <v>0</v>
      </c>
      <c r="H58" s="9" t="s">
        <v>23</v>
      </c>
      <c r="I58" s="8" t="s">
        <v>23</v>
      </c>
      <c r="J58" s="8" t="s">
        <v>23</v>
      </c>
      <c r="K58" s="8" t="s">
        <v>23</v>
      </c>
      <c r="L58" s="8" t="s">
        <v>23</v>
      </c>
      <c r="M58" s="8" t="s">
        <v>23</v>
      </c>
      <c r="N58" s="18" t="s">
        <v>23</v>
      </c>
      <c r="O58" s="17" t="s">
        <v>23</v>
      </c>
      <c r="P58" s="38" t="s">
        <v>21</v>
      </c>
      <c r="Q58" s="38" t="s">
        <v>21</v>
      </c>
      <c r="R58" s="38" t="s">
        <v>21</v>
      </c>
      <c r="S58" s="38" t="s">
        <v>21</v>
      </c>
      <c r="T58" s="38" t="s">
        <v>21</v>
      </c>
      <c r="U58" s="8" t="s">
        <v>23</v>
      </c>
      <c r="V58" s="18" t="s">
        <v>23</v>
      </c>
      <c r="W58" s="18" t="s">
        <v>23</v>
      </c>
      <c r="X58" s="9" t="s">
        <v>23</v>
      </c>
      <c r="Y58" s="8" t="s">
        <v>23</v>
      </c>
      <c r="Z58" s="8" t="s">
        <v>23</v>
      </c>
      <c r="AA58" s="8" t="s">
        <v>23</v>
      </c>
      <c r="AB58" s="8" t="s">
        <v>23</v>
      </c>
      <c r="AC58" s="8" t="s">
        <v>23</v>
      </c>
      <c r="AD58" s="18" t="s">
        <v>23</v>
      </c>
      <c r="AE58" s="18" t="s">
        <v>23</v>
      </c>
      <c r="AF58" s="49">
        <v>0</v>
      </c>
      <c r="AG58" s="20" t="s">
        <v>31</v>
      </c>
    </row>
    <row r="59" spans="1:33" x14ac:dyDescent="0.3">
      <c r="A59" s="3">
        <v>44420</v>
      </c>
      <c r="B59" s="4">
        <v>1600</v>
      </c>
      <c r="C59" s="4" cm="1">
        <f t="array" ref="C59">(SUM(VLOOKUP(H59:AE59,$AI$4:$AK$44,2,FALSE))+AF59*10)*IF(AG59="是",$AQ$4,$AQ$3)</f>
        <v>808</v>
      </c>
      <c r="D59" s="30">
        <f>SUM($B$4:B59)-SUM($C$4:C59)</f>
        <v>14552</v>
      </c>
      <c r="E59" s="4" cm="1">
        <f t="array" ref="E59">SUM(VLOOKUP(H59:AD59,$AI$4:$AK$44,3,FALSE))</f>
        <v>300</v>
      </c>
      <c r="F59" s="4">
        <f>SUM($E$4:E59)+SUM($G$4:G59)</f>
        <v>28440</v>
      </c>
      <c r="G59" s="4">
        <v>0</v>
      </c>
      <c r="H59" s="9" t="s">
        <v>23</v>
      </c>
      <c r="I59" s="8" t="s">
        <v>23</v>
      </c>
      <c r="J59" s="8" t="s">
        <v>23</v>
      </c>
      <c r="K59" s="8" t="s">
        <v>23</v>
      </c>
      <c r="L59" s="8" t="s">
        <v>23</v>
      </c>
      <c r="M59" s="8" t="s">
        <v>23</v>
      </c>
      <c r="N59" s="18" t="s">
        <v>23</v>
      </c>
      <c r="O59" s="17" t="s">
        <v>23</v>
      </c>
      <c r="P59" s="38" t="s">
        <v>21</v>
      </c>
      <c r="Q59" s="38" t="s">
        <v>21</v>
      </c>
      <c r="R59" s="38" t="s">
        <v>21</v>
      </c>
      <c r="S59" s="38" t="s">
        <v>21</v>
      </c>
      <c r="T59" s="38" t="s">
        <v>21</v>
      </c>
      <c r="U59" s="8" t="s">
        <v>23</v>
      </c>
      <c r="V59" s="18" t="s">
        <v>23</v>
      </c>
      <c r="W59" s="18" t="s">
        <v>23</v>
      </c>
      <c r="X59" s="9" t="s">
        <v>23</v>
      </c>
      <c r="Y59" s="8" t="s">
        <v>23</v>
      </c>
      <c r="Z59" s="8" t="s">
        <v>23</v>
      </c>
      <c r="AA59" s="8" t="s">
        <v>23</v>
      </c>
      <c r="AB59" s="8" t="s">
        <v>23</v>
      </c>
      <c r="AC59" s="8" t="s">
        <v>23</v>
      </c>
      <c r="AD59" s="18" t="s">
        <v>23</v>
      </c>
      <c r="AE59" s="18" t="s">
        <v>23</v>
      </c>
      <c r="AF59" s="49">
        <v>1</v>
      </c>
      <c r="AG59" s="20" t="s">
        <v>31</v>
      </c>
    </row>
    <row r="60" spans="1:33" x14ac:dyDescent="0.3">
      <c r="A60" s="3">
        <v>44421</v>
      </c>
      <c r="B60" s="4">
        <v>1600</v>
      </c>
      <c r="C60" s="4" cm="1">
        <f t="array" ref="C60">(SUM(VLOOKUP(H60:AE60,$AI$4:$AK$44,2,FALSE))+AF60*10)*IF(AG60="是",$AQ$4,$AQ$3)</f>
        <v>800</v>
      </c>
      <c r="D60" s="30">
        <f>SUM($B$4:B60)-SUM($C$4:C60)</f>
        <v>15352</v>
      </c>
      <c r="E60" s="4" cm="1">
        <f t="array" ref="E60">SUM(VLOOKUP(H60:AD60,$AI$4:$AK$44,3,FALSE))</f>
        <v>300</v>
      </c>
      <c r="F60" s="4">
        <f>SUM($E$4:E60)+SUM($G$4:G60)</f>
        <v>28740</v>
      </c>
      <c r="G60" s="4">
        <v>0</v>
      </c>
      <c r="H60" s="9" t="s">
        <v>23</v>
      </c>
      <c r="I60" s="8" t="s">
        <v>23</v>
      </c>
      <c r="J60" s="8" t="s">
        <v>23</v>
      </c>
      <c r="K60" s="8" t="s">
        <v>23</v>
      </c>
      <c r="L60" s="8" t="s">
        <v>23</v>
      </c>
      <c r="M60" s="8" t="s">
        <v>23</v>
      </c>
      <c r="N60" s="18" t="s">
        <v>23</v>
      </c>
      <c r="O60" s="17" t="s">
        <v>23</v>
      </c>
      <c r="P60" s="38" t="s">
        <v>21</v>
      </c>
      <c r="Q60" s="38" t="s">
        <v>21</v>
      </c>
      <c r="R60" s="38" t="s">
        <v>21</v>
      </c>
      <c r="S60" s="38" t="s">
        <v>21</v>
      </c>
      <c r="T60" s="38" t="s">
        <v>21</v>
      </c>
      <c r="U60" s="8" t="s">
        <v>23</v>
      </c>
      <c r="V60" s="18" t="s">
        <v>23</v>
      </c>
      <c r="W60" s="18" t="s">
        <v>23</v>
      </c>
      <c r="X60" s="9" t="s">
        <v>23</v>
      </c>
      <c r="Y60" s="8" t="s">
        <v>23</v>
      </c>
      <c r="Z60" s="8" t="s">
        <v>23</v>
      </c>
      <c r="AA60" s="8" t="s">
        <v>23</v>
      </c>
      <c r="AB60" s="8" t="s">
        <v>23</v>
      </c>
      <c r="AC60" s="8" t="s">
        <v>23</v>
      </c>
      <c r="AD60" s="18" t="s">
        <v>23</v>
      </c>
      <c r="AE60" s="18" t="s">
        <v>23</v>
      </c>
      <c r="AF60" s="49">
        <v>0</v>
      </c>
      <c r="AG60" s="20" t="s">
        <v>31</v>
      </c>
    </row>
    <row r="61" spans="1:33" x14ac:dyDescent="0.3">
      <c r="A61" s="3">
        <v>44422</v>
      </c>
      <c r="B61" s="4">
        <v>1600</v>
      </c>
      <c r="C61" s="4" cm="1">
        <f t="array" ref="C61">(SUM(VLOOKUP(H61:AE61,$AI$4:$AK$44,2,FALSE))+AF61*10)*IF(AG61="是",$AQ$4,$AQ$3)</f>
        <v>800</v>
      </c>
      <c r="D61" s="30">
        <f>SUM($B$4:B61)-SUM($C$4:C61)</f>
        <v>16152</v>
      </c>
      <c r="E61" s="4" cm="1">
        <f t="array" ref="E61">SUM(VLOOKUP(H61:AD61,$AI$4:$AK$44,3,FALSE))</f>
        <v>300</v>
      </c>
      <c r="F61" s="4">
        <f>SUM($E$4:E61)+SUM($G$4:G61)</f>
        <v>29040</v>
      </c>
      <c r="G61" s="4">
        <v>0</v>
      </c>
      <c r="H61" s="9" t="s">
        <v>23</v>
      </c>
      <c r="I61" s="8" t="s">
        <v>23</v>
      </c>
      <c r="J61" s="8" t="s">
        <v>23</v>
      </c>
      <c r="K61" s="8" t="s">
        <v>23</v>
      </c>
      <c r="L61" s="8" t="s">
        <v>23</v>
      </c>
      <c r="M61" s="8" t="s">
        <v>23</v>
      </c>
      <c r="N61" s="18" t="s">
        <v>23</v>
      </c>
      <c r="O61" s="17" t="s">
        <v>23</v>
      </c>
      <c r="P61" s="38" t="s">
        <v>21</v>
      </c>
      <c r="Q61" s="38" t="s">
        <v>21</v>
      </c>
      <c r="R61" s="38" t="s">
        <v>21</v>
      </c>
      <c r="S61" s="38" t="s">
        <v>21</v>
      </c>
      <c r="T61" s="38" t="s">
        <v>21</v>
      </c>
      <c r="U61" s="8" t="s">
        <v>23</v>
      </c>
      <c r="V61" s="18" t="s">
        <v>23</v>
      </c>
      <c r="W61" s="18" t="s">
        <v>23</v>
      </c>
      <c r="X61" s="9" t="s">
        <v>23</v>
      </c>
      <c r="Y61" s="8" t="s">
        <v>23</v>
      </c>
      <c r="Z61" s="8" t="s">
        <v>23</v>
      </c>
      <c r="AA61" s="8" t="s">
        <v>23</v>
      </c>
      <c r="AB61" s="8" t="s">
        <v>23</v>
      </c>
      <c r="AC61" s="8" t="s">
        <v>23</v>
      </c>
      <c r="AD61" s="18" t="s">
        <v>23</v>
      </c>
      <c r="AE61" s="18" t="s">
        <v>23</v>
      </c>
      <c r="AF61" s="49">
        <v>0</v>
      </c>
      <c r="AG61" s="20" t="s">
        <v>31</v>
      </c>
    </row>
    <row r="62" spans="1:33" x14ac:dyDescent="0.3">
      <c r="A62" s="3">
        <v>44423</v>
      </c>
      <c r="B62" s="4">
        <v>1600</v>
      </c>
      <c r="C62" s="4" cm="1">
        <f t="array" ref="C62">(SUM(VLOOKUP(H62:AE62,$AI$4:$AK$44,2,FALSE))+AF62*10)*IF(AG62="是",$AQ$4,$AQ$3)</f>
        <v>800</v>
      </c>
      <c r="D62" s="30">
        <f>SUM($B$4:B62)-SUM($C$4:C62)</f>
        <v>16952</v>
      </c>
      <c r="E62" s="4" cm="1">
        <f t="array" ref="E62">SUM(VLOOKUP(H62:AD62,$AI$4:$AK$44,3,FALSE))</f>
        <v>300</v>
      </c>
      <c r="F62" s="4">
        <f>SUM($E$4:E62)+SUM($G$4:G62)</f>
        <v>29340</v>
      </c>
      <c r="G62" s="4">
        <v>0</v>
      </c>
      <c r="H62" s="9" t="s">
        <v>23</v>
      </c>
      <c r="I62" s="8" t="s">
        <v>23</v>
      </c>
      <c r="J62" s="8" t="s">
        <v>23</v>
      </c>
      <c r="K62" s="8" t="s">
        <v>23</v>
      </c>
      <c r="L62" s="8" t="s">
        <v>23</v>
      </c>
      <c r="M62" s="8" t="s">
        <v>23</v>
      </c>
      <c r="N62" s="18" t="s">
        <v>23</v>
      </c>
      <c r="O62" s="17" t="s">
        <v>23</v>
      </c>
      <c r="P62" s="38" t="s">
        <v>21</v>
      </c>
      <c r="Q62" s="38" t="s">
        <v>21</v>
      </c>
      <c r="R62" s="38" t="s">
        <v>21</v>
      </c>
      <c r="S62" s="38" t="s">
        <v>21</v>
      </c>
      <c r="T62" s="38" t="s">
        <v>21</v>
      </c>
      <c r="U62" s="8" t="s">
        <v>23</v>
      </c>
      <c r="V62" s="18" t="s">
        <v>23</v>
      </c>
      <c r="W62" s="18" t="s">
        <v>23</v>
      </c>
      <c r="X62" s="9" t="s">
        <v>23</v>
      </c>
      <c r="Y62" s="8" t="s">
        <v>23</v>
      </c>
      <c r="Z62" s="8" t="s">
        <v>23</v>
      </c>
      <c r="AA62" s="8" t="s">
        <v>23</v>
      </c>
      <c r="AB62" s="8" t="s">
        <v>23</v>
      </c>
      <c r="AC62" s="8" t="s">
        <v>23</v>
      </c>
      <c r="AD62" s="18" t="s">
        <v>23</v>
      </c>
      <c r="AE62" s="18" t="s">
        <v>23</v>
      </c>
      <c r="AF62" s="49">
        <v>0</v>
      </c>
      <c r="AG62" s="20" t="s">
        <v>31</v>
      </c>
    </row>
    <row r="63" spans="1:33" x14ac:dyDescent="0.3">
      <c r="A63" s="1">
        <v>44424</v>
      </c>
      <c r="B63">
        <v>1600</v>
      </c>
      <c r="C63" s="4" cm="1">
        <f t="array" ref="C63">(SUM(VLOOKUP(H63:AE63,$AI$4:$AK$44,2,FALSE))+AF63*10)*IF(AG63="是",$AQ$4,$AQ$3)</f>
        <v>816</v>
      </c>
      <c r="D63" s="31">
        <f>SUM($B$4:B63)-SUM($C$4:C63)</f>
        <v>17736</v>
      </c>
      <c r="E63" s="4" cm="1">
        <f t="array" ref="E63">SUM(VLOOKUP(H63:AD63,$AI$4:$AK$44,3,FALSE))</f>
        <v>300</v>
      </c>
      <c r="F63" s="4">
        <f>SUM($E$4:E63)+SUM($G$4:G63)</f>
        <v>29640</v>
      </c>
      <c r="G63">
        <v>0</v>
      </c>
      <c r="H63" s="9" t="s">
        <v>23</v>
      </c>
      <c r="I63" s="8" t="s">
        <v>23</v>
      </c>
      <c r="J63" s="8" t="s">
        <v>23</v>
      </c>
      <c r="K63" s="8" t="s">
        <v>23</v>
      </c>
      <c r="L63" s="8" t="s">
        <v>23</v>
      </c>
      <c r="M63" s="8" t="s">
        <v>23</v>
      </c>
      <c r="N63" s="18" t="s">
        <v>23</v>
      </c>
      <c r="O63" s="17" t="s">
        <v>23</v>
      </c>
      <c r="P63" s="38" t="s">
        <v>21</v>
      </c>
      <c r="Q63" s="38" t="s">
        <v>21</v>
      </c>
      <c r="R63" s="38" t="s">
        <v>21</v>
      </c>
      <c r="S63" s="38" t="s">
        <v>21</v>
      </c>
      <c r="T63" s="38" t="s">
        <v>21</v>
      </c>
      <c r="U63" s="8" t="s">
        <v>23</v>
      </c>
      <c r="V63" s="18" t="s">
        <v>23</v>
      </c>
      <c r="W63" s="18" t="s">
        <v>23</v>
      </c>
      <c r="X63" s="9" t="s">
        <v>23</v>
      </c>
      <c r="Y63" s="8" t="s">
        <v>23</v>
      </c>
      <c r="Z63" s="8" t="s">
        <v>23</v>
      </c>
      <c r="AA63" s="8" t="s">
        <v>23</v>
      </c>
      <c r="AB63" s="8" t="s">
        <v>23</v>
      </c>
      <c r="AC63" s="8" t="s">
        <v>23</v>
      </c>
      <c r="AD63" s="18" t="s">
        <v>23</v>
      </c>
      <c r="AE63" s="18" t="s">
        <v>23</v>
      </c>
      <c r="AF63" s="49">
        <v>2</v>
      </c>
      <c r="AG63" s="20" t="s">
        <v>31</v>
      </c>
    </row>
    <row r="64" spans="1:33" x14ac:dyDescent="0.3">
      <c r="A64" s="1">
        <v>44425</v>
      </c>
      <c r="B64">
        <v>1600</v>
      </c>
      <c r="C64" s="4" cm="1">
        <f t="array" ref="C64">(SUM(VLOOKUP(H64:AE64,$AI$4:$AK$44,2,FALSE))+AF64*10)*IF(AG64="是",$AQ$4,$AQ$3)</f>
        <v>800</v>
      </c>
      <c r="D64" s="31">
        <f>SUM($B$4:B64)-SUM($C$4:C64)</f>
        <v>18536</v>
      </c>
      <c r="E64" s="4" cm="1">
        <f t="array" ref="E64">SUM(VLOOKUP(H64:AD64,$AI$4:$AK$44,3,FALSE))</f>
        <v>300</v>
      </c>
      <c r="F64" s="4">
        <f>SUM($E$4:E64)+SUM($G$4:G64)</f>
        <v>29940</v>
      </c>
      <c r="G64">
        <v>0</v>
      </c>
      <c r="H64" s="9" t="s">
        <v>23</v>
      </c>
      <c r="I64" s="8" t="s">
        <v>23</v>
      </c>
      <c r="J64" s="8" t="s">
        <v>23</v>
      </c>
      <c r="K64" s="8" t="s">
        <v>23</v>
      </c>
      <c r="L64" s="8" t="s">
        <v>23</v>
      </c>
      <c r="M64" s="8" t="s">
        <v>23</v>
      </c>
      <c r="N64" s="18" t="s">
        <v>23</v>
      </c>
      <c r="O64" s="17" t="s">
        <v>23</v>
      </c>
      <c r="P64" s="38" t="s">
        <v>21</v>
      </c>
      <c r="Q64" s="38" t="s">
        <v>21</v>
      </c>
      <c r="R64" s="38" t="s">
        <v>21</v>
      </c>
      <c r="S64" s="38" t="s">
        <v>21</v>
      </c>
      <c r="T64" s="38" t="s">
        <v>21</v>
      </c>
      <c r="U64" s="8" t="s">
        <v>23</v>
      </c>
      <c r="V64" s="18" t="s">
        <v>23</v>
      </c>
      <c r="W64" s="18" t="s">
        <v>23</v>
      </c>
      <c r="X64" s="9" t="s">
        <v>23</v>
      </c>
      <c r="Y64" s="8" t="s">
        <v>23</v>
      </c>
      <c r="Z64" s="8" t="s">
        <v>23</v>
      </c>
      <c r="AA64" s="8" t="s">
        <v>23</v>
      </c>
      <c r="AB64" s="8" t="s">
        <v>23</v>
      </c>
      <c r="AC64" s="8" t="s">
        <v>23</v>
      </c>
      <c r="AD64" s="18" t="s">
        <v>23</v>
      </c>
      <c r="AE64" s="18" t="s">
        <v>23</v>
      </c>
      <c r="AF64" s="49">
        <v>0</v>
      </c>
      <c r="AG64" s="20" t="s">
        <v>31</v>
      </c>
    </row>
    <row r="65" spans="1:33" x14ac:dyDescent="0.3">
      <c r="A65" s="1">
        <v>44426</v>
      </c>
      <c r="B65">
        <v>1600</v>
      </c>
      <c r="C65" s="4" cm="1">
        <f t="array" ref="C65">(SUM(VLOOKUP(H65:AE65,$AI$4:$AK$44,2,FALSE))+AF65*10)*IF(AG65="是",$AQ$4,$AQ$3)</f>
        <v>816</v>
      </c>
      <c r="D65" s="31">
        <f>SUM($B$4:B65)-SUM($C$4:C65)</f>
        <v>19320</v>
      </c>
      <c r="E65" s="4" cm="1">
        <f t="array" ref="E65">SUM(VLOOKUP(H65:AD65,$AI$4:$AK$44,3,FALSE))</f>
        <v>300</v>
      </c>
      <c r="F65" s="4">
        <f>SUM($E$4:E65)+SUM($G$4:G65)</f>
        <v>30240</v>
      </c>
      <c r="G65">
        <v>0</v>
      </c>
      <c r="H65" s="9" t="s">
        <v>23</v>
      </c>
      <c r="I65" s="8" t="s">
        <v>23</v>
      </c>
      <c r="J65" s="8" t="s">
        <v>23</v>
      </c>
      <c r="K65" s="8" t="s">
        <v>23</v>
      </c>
      <c r="L65" s="8" t="s">
        <v>23</v>
      </c>
      <c r="M65" s="8" t="s">
        <v>23</v>
      </c>
      <c r="N65" s="18" t="s">
        <v>23</v>
      </c>
      <c r="O65" s="17" t="s">
        <v>23</v>
      </c>
      <c r="P65" s="38" t="s">
        <v>21</v>
      </c>
      <c r="Q65" s="38" t="s">
        <v>21</v>
      </c>
      <c r="R65" s="38" t="s">
        <v>21</v>
      </c>
      <c r="S65" s="38" t="s">
        <v>21</v>
      </c>
      <c r="T65" s="38" t="s">
        <v>21</v>
      </c>
      <c r="U65" s="8" t="s">
        <v>23</v>
      </c>
      <c r="V65" s="18" t="s">
        <v>23</v>
      </c>
      <c r="W65" s="18" t="s">
        <v>23</v>
      </c>
      <c r="X65" s="9" t="s">
        <v>23</v>
      </c>
      <c r="Y65" s="8" t="s">
        <v>23</v>
      </c>
      <c r="Z65" s="8" t="s">
        <v>23</v>
      </c>
      <c r="AA65" s="8" t="s">
        <v>23</v>
      </c>
      <c r="AB65" s="8" t="s">
        <v>23</v>
      </c>
      <c r="AC65" s="8" t="s">
        <v>23</v>
      </c>
      <c r="AD65" s="18" t="s">
        <v>23</v>
      </c>
      <c r="AE65" s="18" t="s">
        <v>23</v>
      </c>
      <c r="AF65" s="49">
        <v>2</v>
      </c>
      <c r="AG65" s="20" t="s">
        <v>31</v>
      </c>
    </row>
    <row r="66" spans="1:33" x14ac:dyDescent="0.3">
      <c r="A66" s="1">
        <v>44427</v>
      </c>
      <c r="B66">
        <v>1600</v>
      </c>
      <c r="C66" s="4" cm="1">
        <f t="array" ref="C66">(SUM(VLOOKUP(H66:AE66,$AI$4:$AK$44,2,FALSE))+AF66*10)*IF(AG66="是",$AQ$4,$AQ$3)</f>
        <v>760</v>
      </c>
      <c r="D66" s="31">
        <f>SUM($B$4:B66)-SUM($C$4:C66)</f>
        <v>20160</v>
      </c>
      <c r="E66" s="4" cm="1">
        <f t="array" ref="E66">SUM(VLOOKUP(H66:AD66,$AI$4:$AK$44,3,FALSE))</f>
        <v>300</v>
      </c>
      <c r="F66" s="4">
        <f>SUM($E$4:E66)+SUM($G$4:G66)</f>
        <v>30540</v>
      </c>
      <c r="G66">
        <v>0</v>
      </c>
      <c r="H66" s="9" t="s">
        <v>23</v>
      </c>
      <c r="I66" s="8" t="s">
        <v>23</v>
      </c>
      <c r="J66" s="8" t="s">
        <v>23</v>
      </c>
      <c r="K66" s="8" t="s">
        <v>23</v>
      </c>
      <c r="L66" s="8" t="s">
        <v>23</v>
      </c>
      <c r="M66" s="8" t="s">
        <v>23</v>
      </c>
      <c r="N66" s="18" t="s">
        <v>23</v>
      </c>
      <c r="O66" s="17" t="s">
        <v>23</v>
      </c>
      <c r="P66" s="38" t="s">
        <v>10</v>
      </c>
      <c r="Q66" s="38" t="s">
        <v>21</v>
      </c>
      <c r="R66" s="38" t="s">
        <v>21</v>
      </c>
      <c r="S66" s="38" t="s">
        <v>21</v>
      </c>
      <c r="T66" s="38" t="s">
        <v>21</v>
      </c>
      <c r="U66" s="8" t="s">
        <v>23</v>
      </c>
      <c r="V66" s="18" t="s">
        <v>23</v>
      </c>
      <c r="W66" s="18" t="s">
        <v>23</v>
      </c>
      <c r="X66" s="9" t="s">
        <v>23</v>
      </c>
      <c r="Y66" s="8" t="s">
        <v>23</v>
      </c>
      <c r="Z66" s="8" t="s">
        <v>23</v>
      </c>
      <c r="AA66" s="8" t="s">
        <v>23</v>
      </c>
      <c r="AB66" s="8" t="s">
        <v>23</v>
      </c>
      <c r="AC66" s="8" t="s">
        <v>23</v>
      </c>
      <c r="AD66" s="18" t="s">
        <v>23</v>
      </c>
      <c r="AE66" s="18" t="s">
        <v>23</v>
      </c>
      <c r="AF66" s="49">
        <v>0</v>
      </c>
      <c r="AG66" s="20" t="s">
        <v>31</v>
      </c>
    </row>
    <row r="67" spans="1:33" x14ac:dyDescent="0.3">
      <c r="A67" s="1">
        <v>44428</v>
      </c>
      <c r="B67">
        <v>1600</v>
      </c>
      <c r="C67" s="4" cm="1">
        <f t="array" ref="C67">(SUM(VLOOKUP(H67:AE67,$AI$4:$AK$44,2,FALSE))+AF67*10)*IF(AG67="是",$AQ$4,$AQ$3)</f>
        <v>760</v>
      </c>
      <c r="D67" s="31">
        <f>SUM($B$4:B67)-SUM($C$4:C67)</f>
        <v>21000</v>
      </c>
      <c r="E67" s="4" cm="1">
        <f t="array" ref="E67">SUM(VLOOKUP(H67:AD67,$AI$4:$AK$44,3,FALSE))</f>
        <v>295</v>
      </c>
      <c r="F67" s="4">
        <f>SUM($E$4:E67)+SUM($G$4:G67)</f>
        <v>30835</v>
      </c>
      <c r="G67">
        <v>0</v>
      </c>
      <c r="H67" s="9" t="s">
        <v>23</v>
      </c>
      <c r="I67" s="8" t="s">
        <v>23</v>
      </c>
      <c r="J67" s="8" t="s">
        <v>23</v>
      </c>
      <c r="K67" s="8" t="s">
        <v>23</v>
      </c>
      <c r="L67" s="8" t="s">
        <v>23</v>
      </c>
      <c r="M67" s="8" t="s">
        <v>23</v>
      </c>
      <c r="N67" s="18" t="s">
        <v>23</v>
      </c>
      <c r="O67" s="17" t="s">
        <v>23</v>
      </c>
      <c r="P67" s="38" t="s">
        <v>21</v>
      </c>
      <c r="Q67" s="37" t="s">
        <v>9</v>
      </c>
      <c r="R67" s="38" t="s">
        <v>21</v>
      </c>
      <c r="S67" s="38" t="s">
        <v>21</v>
      </c>
      <c r="T67" s="38" t="s">
        <v>21</v>
      </c>
      <c r="U67" s="8" t="s">
        <v>23</v>
      </c>
      <c r="V67" s="18" t="s">
        <v>23</v>
      </c>
      <c r="W67" s="18" t="s">
        <v>23</v>
      </c>
      <c r="X67" s="9" t="s">
        <v>23</v>
      </c>
      <c r="Y67" s="8" t="s">
        <v>23</v>
      </c>
      <c r="Z67" s="8" t="s">
        <v>23</v>
      </c>
      <c r="AA67" s="8" t="s">
        <v>23</v>
      </c>
      <c r="AB67" s="8" t="s">
        <v>23</v>
      </c>
      <c r="AC67" s="8" t="s">
        <v>23</v>
      </c>
      <c r="AD67" s="18" t="s">
        <v>23</v>
      </c>
      <c r="AE67" s="18" t="s">
        <v>23</v>
      </c>
      <c r="AF67" s="49">
        <v>0</v>
      </c>
      <c r="AG67" s="20" t="s">
        <v>31</v>
      </c>
    </row>
    <row r="68" spans="1:33" x14ac:dyDescent="0.3">
      <c r="A68" s="1">
        <v>44429</v>
      </c>
      <c r="B68">
        <v>1600</v>
      </c>
      <c r="C68" s="4" cm="1">
        <f t="array" ref="C68">(SUM(VLOOKUP(H68:AE68,$AI$4:$AK$44,2,FALSE))+AF68*10)*IF(AG68="是",$AQ$4,$AQ$3)</f>
        <v>768</v>
      </c>
      <c r="D68" s="31">
        <f>SUM($B$4:B68)-SUM($C$4:C68)</f>
        <v>21832</v>
      </c>
      <c r="E68" s="4" cm="1">
        <f t="array" ref="E68">SUM(VLOOKUP(H68:AD68,$AI$4:$AK$44,3,FALSE))</f>
        <v>280</v>
      </c>
      <c r="F68" s="4">
        <f>SUM($E$4:E68)+SUM($G$4:G68)</f>
        <v>31115</v>
      </c>
      <c r="G68">
        <v>0</v>
      </c>
      <c r="H68" s="9" t="s">
        <v>23</v>
      </c>
      <c r="I68" s="8" t="s">
        <v>23</v>
      </c>
      <c r="J68" s="8" t="s">
        <v>23</v>
      </c>
      <c r="K68" s="8" t="s">
        <v>23</v>
      </c>
      <c r="L68" s="8" t="s">
        <v>23</v>
      </c>
      <c r="M68" s="8" t="s">
        <v>23</v>
      </c>
      <c r="N68" s="18" t="s">
        <v>23</v>
      </c>
      <c r="O68" s="17" t="s">
        <v>23</v>
      </c>
      <c r="P68" s="38" t="s">
        <v>21</v>
      </c>
      <c r="Q68" s="37" t="s">
        <v>20</v>
      </c>
      <c r="R68" s="37" t="s">
        <v>20</v>
      </c>
      <c r="S68" s="37" t="s">
        <v>20</v>
      </c>
      <c r="T68" s="37" t="s">
        <v>20</v>
      </c>
      <c r="U68" s="8" t="s">
        <v>23</v>
      </c>
      <c r="V68" s="18" t="s">
        <v>23</v>
      </c>
      <c r="W68" s="18" t="s">
        <v>23</v>
      </c>
      <c r="X68" s="9" t="s">
        <v>23</v>
      </c>
      <c r="Y68" s="8" t="s">
        <v>23</v>
      </c>
      <c r="Z68" s="8" t="s">
        <v>23</v>
      </c>
      <c r="AA68" s="8" t="s">
        <v>23</v>
      </c>
      <c r="AB68" s="8" t="s">
        <v>23</v>
      </c>
      <c r="AC68" s="8" t="s">
        <v>23</v>
      </c>
      <c r="AD68" s="18" t="s">
        <v>23</v>
      </c>
      <c r="AE68" s="18" t="s">
        <v>23</v>
      </c>
      <c r="AF68" s="49">
        <v>0</v>
      </c>
      <c r="AG68" s="20" t="s">
        <v>31</v>
      </c>
    </row>
    <row r="69" spans="1:33" x14ac:dyDescent="0.3">
      <c r="A69" s="1">
        <v>44430</v>
      </c>
      <c r="B69">
        <v>1600</v>
      </c>
      <c r="C69" s="4" cm="1">
        <f t="array" ref="C69">(SUM(VLOOKUP(H69:AE69,$AI$4:$AK$44,2,FALSE))+AF69*10)*IF(AG69="是",$AQ$4,$AQ$3)</f>
        <v>458</v>
      </c>
      <c r="D69" s="31">
        <f>SUM($B$4:B69)-SUM($C$4:C69)</f>
        <v>22974</v>
      </c>
      <c r="E69" s="4" cm="1">
        <f t="array" ref="E69">SUM(VLOOKUP(H69:AD69,$AI$4:$AK$44,3,FALSE))</f>
        <v>220</v>
      </c>
      <c r="F69" s="4">
        <f>SUM($E$4:E69)+SUM($G$4:G69)</f>
        <v>31335</v>
      </c>
      <c r="G69">
        <v>0</v>
      </c>
      <c r="H69" s="9" t="s">
        <v>23</v>
      </c>
      <c r="I69" s="8" t="s">
        <v>23</v>
      </c>
      <c r="J69" s="8" t="s">
        <v>23</v>
      </c>
      <c r="K69" s="8" t="s">
        <v>23</v>
      </c>
      <c r="L69" s="8" t="s">
        <v>23</v>
      </c>
      <c r="M69" s="8" t="s">
        <v>23</v>
      </c>
      <c r="N69" s="18" t="s">
        <v>23</v>
      </c>
      <c r="O69" s="17" t="s">
        <v>23</v>
      </c>
      <c r="P69" s="37" t="s">
        <v>20</v>
      </c>
      <c r="Q69" s="42" t="s">
        <v>49</v>
      </c>
      <c r="R69" s="37" t="s">
        <v>20</v>
      </c>
      <c r="S69" s="37" t="s">
        <v>20</v>
      </c>
      <c r="T69" s="37" t="s">
        <v>20</v>
      </c>
      <c r="U69" s="8" t="s">
        <v>23</v>
      </c>
      <c r="V69" s="18" t="s">
        <v>23</v>
      </c>
      <c r="W69" s="18" t="s">
        <v>23</v>
      </c>
      <c r="X69" s="9" t="s">
        <v>23</v>
      </c>
      <c r="Y69" s="8" t="s">
        <v>23</v>
      </c>
      <c r="Z69" s="8" t="s">
        <v>23</v>
      </c>
      <c r="AA69" s="8" t="s">
        <v>23</v>
      </c>
      <c r="AB69" s="8" t="s">
        <v>23</v>
      </c>
      <c r="AC69" s="8" t="s">
        <v>23</v>
      </c>
      <c r="AD69" s="18" t="s">
        <v>23</v>
      </c>
      <c r="AE69" s="18" t="s">
        <v>23</v>
      </c>
      <c r="AF69" s="49">
        <v>0</v>
      </c>
      <c r="AG69" s="20" t="s">
        <v>31</v>
      </c>
    </row>
    <row r="70" spans="1:33" x14ac:dyDescent="0.3">
      <c r="A70" s="3">
        <v>44431</v>
      </c>
      <c r="B70" s="4">
        <v>1600</v>
      </c>
      <c r="C70" s="4" cm="1">
        <f t="array" ref="C70">(SUM(VLOOKUP(H70:AE70,$AI$4:$AK$44,2,FALSE))+AF70*10)*IF(AG70="是",$AQ$4,$AQ$3)</f>
        <v>760</v>
      </c>
      <c r="D70" s="30">
        <f>SUM($B$4:B70)-SUM($C$4:C70)</f>
        <v>23814</v>
      </c>
      <c r="E70" s="4" cm="1">
        <f t="array" ref="E70">SUM(VLOOKUP(H70:AD70,$AI$4:$AK$44,3,FALSE))</f>
        <v>275</v>
      </c>
      <c r="F70" s="4">
        <f>SUM($E$4:E70)+SUM($G$4:G70)</f>
        <v>31610</v>
      </c>
      <c r="G70" s="4">
        <v>0</v>
      </c>
      <c r="H70" s="9" t="s">
        <v>23</v>
      </c>
      <c r="I70" s="8" t="s">
        <v>23</v>
      </c>
      <c r="J70" s="8" t="s">
        <v>23</v>
      </c>
      <c r="K70" s="8" t="s">
        <v>23</v>
      </c>
      <c r="L70" s="8" t="s">
        <v>23</v>
      </c>
      <c r="M70" s="8" t="s">
        <v>23</v>
      </c>
      <c r="N70" s="18" t="s">
        <v>23</v>
      </c>
      <c r="O70" s="17" t="s">
        <v>23</v>
      </c>
      <c r="P70" s="37" t="s">
        <v>20</v>
      </c>
      <c r="Q70" s="37" t="s">
        <v>20</v>
      </c>
      <c r="R70" s="37" t="s">
        <v>20</v>
      </c>
      <c r="S70" s="37" t="s">
        <v>20</v>
      </c>
      <c r="T70" s="37" t="s">
        <v>20</v>
      </c>
      <c r="U70" s="8" t="s">
        <v>23</v>
      </c>
      <c r="V70" s="18" t="s">
        <v>23</v>
      </c>
      <c r="W70" s="18" t="s">
        <v>23</v>
      </c>
      <c r="X70" s="9" t="s">
        <v>23</v>
      </c>
      <c r="Y70" s="8" t="s">
        <v>23</v>
      </c>
      <c r="Z70" s="8" t="s">
        <v>23</v>
      </c>
      <c r="AA70" s="8" t="s">
        <v>23</v>
      </c>
      <c r="AB70" s="8" t="s">
        <v>23</v>
      </c>
      <c r="AC70" s="8" t="s">
        <v>23</v>
      </c>
      <c r="AD70" s="18" t="s">
        <v>23</v>
      </c>
      <c r="AE70" s="18" t="s">
        <v>23</v>
      </c>
      <c r="AF70" s="49">
        <v>0</v>
      </c>
      <c r="AG70" s="20" t="s">
        <v>31</v>
      </c>
    </row>
    <row r="71" spans="1:33" x14ac:dyDescent="0.3">
      <c r="A71" s="3">
        <v>44432</v>
      </c>
      <c r="B71" s="4">
        <v>1600</v>
      </c>
      <c r="C71" s="4" cm="1">
        <f t="array" ref="C71">(SUM(VLOOKUP(H71:AE71,$AI$4:$AK$44,2,FALSE))+AF71*10)*IF(AG71="是",$AQ$4,$AQ$3)</f>
        <v>760</v>
      </c>
      <c r="D71" s="30">
        <f>SUM($B$4:B71)-SUM($C$4:C71)</f>
        <v>24654</v>
      </c>
      <c r="E71" s="4" cm="1">
        <f t="array" ref="E71">SUM(VLOOKUP(H71:AD71,$AI$4:$AK$44,3,FALSE))</f>
        <v>275</v>
      </c>
      <c r="F71" s="4">
        <f>SUM($E$4:E71)+SUM($G$4:G71)</f>
        <v>31885</v>
      </c>
      <c r="G71" s="4">
        <v>0</v>
      </c>
      <c r="H71" s="9" t="s">
        <v>23</v>
      </c>
      <c r="I71" s="8" t="s">
        <v>23</v>
      </c>
      <c r="J71" s="8" t="s">
        <v>23</v>
      </c>
      <c r="K71" s="8" t="s">
        <v>23</v>
      </c>
      <c r="L71" s="8" t="s">
        <v>23</v>
      </c>
      <c r="M71" s="8" t="s">
        <v>23</v>
      </c>
      <c r="N71" s="18" t="s">
        <v>23</v>
      </c>
      <c r="O71" s="17" t="s">
        <v>23</v>
      </c>
      <c r="P71" s="37" t="s">
        <v>20</v>
      </c>
      <c r="Q71" s="37" t="s">
        <v>20</v>
      </c>
      <c r="R71" s="37" t="s">
        <v>20</v>
      </c>
      <c r="S71" s="37" t="s">
        <v>20</v>
      </c>
      <c r="T71" s="37" t="s">
        <v>20</v>
      </c>
      <c r="U71" s="8" t="s">
        <v>23</v>
      </c>
      <c r="V71" s="18" t="s">
        <v>23</v>
      </c>
      <c r="W71" s="18" t="s">
        <v>23</v>
      </c>
      <c r="X71" s="9" t="s">
        <v>23</v>
      </c>
      <c r="Y71" s="8" t="s">
        <v>23</v>
      </c>
      <c r="Z71" s="8" t="s">
        <v>23</v>
      </c>
      <c r="AA71" s="8" t="s">
        <v>23</v>
      </c>
      <c r="AB71" s="8" t="s">
        <v>23</v>
      </c>
      <c r="AC71" s="8" t="s">
        <v>23</v>
      </c>
      <c r="AD71" s="18" t="s">
        <v>23</v>
      </c>
      <c r="AE71" s="18" t="s">
        <v>23</v>
      </c>
      <c r="AF71" s="49">
        <v>0</v>
      </c>
      <c r="AG71" s="20" t="s">
        <v>31</v>
      </c>
    </row>
    <row r="72" spans="1:33" x14ac:dyDescent="0.3">
      <c r="A72" s="3">
        <v>44433</v>
      </c>
      <c r="B72" s="4">
        <v>1600</v>
      </c>
      <c r="C72" s="4" cm="1">
        <f t="array" ref="C72">(SUM(VLOOKUP(H72:AE72,$AI$4:$AK$44,2,FALSE))+AF72*10)*IF(AG72="是",$AQ$4,$AQ$3)</f>
        <v>760</v>
      </c>
      <c r="D72" s="30">
        <f>SUM($B$4:B72)-SUM($C$4:C72)</f>
        <v>25494</v>
      </c>
      <c r="E72" s="4" cm="1">
        <f t="array" ref="E72">SUM(VLOOKUP(H72:AD72,$AI$4:$AK$44,3,FALSE))</f>
        <v>275</v>
      </c>
      <c r="F72" s="4">
        <f>SUM($E$4:E72)+SUM($G$4:G72)</f>
        <v>32160</v>
      </c>
      <c r="G72" s="4">
        <v>0</v>
      </c>
      <c r="H72" s="9" t="s">
        <v>23</v>
      </c>
      <c r="I72" s="8" t="s">
        <v>23</v>
      </c>
      <c r="J72" s="8" t="s">
        <v>23</v>
      </c>
      <c r="K72" s="8" t="s">
        <v>23</v>
      </c>
      <c r="L72" s="8" t="s">
        <v>23</v>
      </c>
      <c r="M72" s="8" t="s">
        <v>23</v>
      </c>
      <c r="N72" s="18" t="s">
        <v>23</v>
      </c>
      <c r="O72" s="17" t="s">
        <v>23</v>
      </c>
      <c r="P72" s="37" t="s">
        <v>20</v>
      </c>
      <c r="Q72" s="37" t="s">
        <v>20</v>
      </c>
      <c r="R72" s="37" t="s">
        <v>20</v>
      </c>
      <c r="S72" s="37" t="s">
        <v>20</v>
      </c>
      <c r="T72" s="37" t="s">
        <v>20</v>
      </c>
      <c r="U72" s="8" t="s">
        <v>23</v>
      </c>
      <c r="V72" s="18" t="s">
        <v>23</v>
      </c>
      <c r="W72" s="18" t="s">
        <v>23</v>
      </c>
      <c r="X72" s="9" t="s">
        <v>23</v>
      </c>
      <c r="Y72" s="8" t="s">
        <v>23</v>
      </c>
      <c r="Z72" s="8" t="s">
        <v>23</v>
      </c>
      <c r="AA72" s="8" t="s">
        <v>23</v>
      </c>
      <c r="AB72" s="8" t="s">
        <v>23</v>
      </c>
      <c r="AC72" s="8" t="s">
        <v>23</v>
      </c>
      <c r="AD72" s="18" t="s">
        <v>23</v>
      </c>
      <c r="AE72" s="18" t="s">
        <v>23</v>
      </c>
      <c r="AF72" s="49">
        <v>0</v>
      </c>
      <c r="AG72" s="20" t="s">
        <v>31</v>
      </c>
    </row>
    <row r="73" spans="1:33" x14ac:dyDescent="0.3">
      <c r="A73" s="3">
        <v>44434</v>
      </c>
      <c r="B73" s="4">
        <v>1600</v>
      </c>
      <c r="C73" s="4" cm="1">
        <f t="array" ref="C73">(SUM(VLOOKUP(H73:AE73,$AI$4:$AK$44,2,FALSE))+AF73*10)*IF(AG73="是",$AQ$4,$AQ$3)</f>
        <v>808</v>
      </c>
      <c r="D73" s="30">
        <f>SUM($B$4:B73)-SUM($C$4:C73)</f>
        <v>26286</v>
      </c>
      <c r="E73" s="4" cm="1">
        <f t="array" ref="E73">SUM(VLOOKUP(H73:AD73,$AI$4:$AK$44,3,FALSE))</f>
        <v>720</v>
      </c>
      <c r="F73" s="4">
        <f>SUM($E$4:E73)+SUM($G$4:G73)</f>
        <v>32880</v>
      </c>
      <c r="G73" s="4">
        <v>0</v>
      </c>
      <c r="H73" s="9" t="s">
        <v>23</v>
      </c>
      <c r="I73" s="8" t="s">
        <v>23</v>
      </c>
      <c r="J73" s="8" t="s">
        <v>23</v>
      </c>
      <c r="K73" s="8" t="s">
        <v>23</v>
      </c>
      <c r="L73" s="8" t="s">
        <v>23</v>
      </c>
      <c r="M73" s="8" t="s">
        <v>23</v>
      </c>
      <c r="N73" s="18" t="s">
        <v>23</v>
      </c>
      <c r="O73" s="17" t="s">
        <v>23</v>
      </c>
      <c r="P73" s="48" t="s">
        <v>43</v>
      </c>
      <c r="Q73" s="37" t="s">
        <v>20</v>
      </c>
      <c r="R73" s="37" t="s">
        <v>20</v>
      </c>
      <c r="S73" s="37" t="s">
        <v>20</v>
      </c>
      <c r="T73" s="37" t="s">
        <v>20</v>
      </c>
      <c r="U73" s="8" t="s">
        <v>23</v>
      </c>
      <c r="V73" s="18" t="s">
        <v>23</v>
      </c>
      <c r="W73" s="18" t="s">
        <v>23</v>
      </c>
      <c r="X73" s="9" t="s">
        <v>23</v>
      </c>
      <c r="Y73" s="8" t="s">
        <v>23</v>
      </c>
      <c r="Z73" s="8" t="s">
        <v>23</v>
      </c>
      <c r="AA73" s="8" t="s">
        <v>23</v>
      </c>
      <c r="AB73" s="8" t="s">
        <v>23</v>
      </c>
      <c r="AC73" s="8" t="s">
        <v>23</v>
      </c>
      <c r="AD73" s="18" t="s">
        <v>23</v>
      </c>
      <c r="AE73" s="18" t="s">
        <v>23</v>
      </c>
      <c r="AF73" s="49">
        <v>0</v>
      </c>
      <c r="AG73" s="20" t="s">
        <v>31</v>
      </c>
    </row>
    <row r="74" spans="1:33" x14ac:dyDescent="0.3">
      <c r="A74" s="3">
        <v>44435</v>
      </c>
      <c r="B74" s="4">
        <v>1600</v>
      </c>
      <c r="C74" s="4" cm="1">
        <f t="array" ref="C74">(SUM(VLOOKUP(H74:AE74,$AI$4:$AK$44,2,FALSE))+AF74*10)*IF(AG74="是",$AQ$4,$AQ$3)</f>
        <v>760</v>
      </c>
      <c r="D74" s="30">
        <f>SUM($B$4:B74)-SUM($C$4:C74)</f>
        <v>27126</v>
      </c>
      <c r="E74" s="4" cm="1">
        <f t="array" ref="E74">SUM(VLOOKUP(H74:AD74,$AI$4:$AK$44,3,FALSE))</f>
        <v>275</v>
      </c>
      <c r="F74" s="4">
        <f>SUM($E$4:E74)+SUM($G$4:G74)</f>
        <v>33155</v>
      </c>
      <c r="G74" s="4">
        <v>0</v>
      </c>
      <c r="H74" s="9" t="s">
        <v>23</v>
      </c>
      <c r="I74" s="8" t="s">
        <v>23</v>
      </c>
      <c r="J74" s="8" t="s">
        <v>23</v>
      </c>
      <c r="K74" s="8" t="s">
        <v>23</v>
      </c>
      <c r="L74" s="8" t="s">
        <v>23</v>
      </c>
      <c r="M74" s="8" t="s">
        <v>23</v>
      </c>
      <c r="N74" s="18" t="s">
        <v>23</v>
      </c>
      <c r="O74" s="17" t="s">
        <v>23</v>
      </c>
      <c r="P74" s="37" t="s">
        <v>20</v>
      </c>
      <c r="Q74" s="37" t="s">
        <v>20</v>
      </c>
      <c r="R74" s="37" t="s">
        <v>20</v>
      </c>
      <c r="S74" s="37" t="s">
        <v>20</v>
      </c>
      <c r="T74" s="37" t="s">
        <v>20</v>
      </c>
      <c r="U74" s="8" t="s">
        <v>23</v>
      </c>
      <c r="V74" s="18" t="s">
        <v>23</v>
      </c>
      <c r="W74" s="18" t="s">
        <v>23</v>
      </c>
      <c r="X74" s="9" t="s">
        <v>23</v>
      </c>
      <c r="Y74" s="8" t="s">
        <v>23</v>
      </c>
      <c r="Z74" s="8" t="s">
        <v>23</v>
      </c>
      <c r="AA74" s="8" t="s">
        <v>23</v>
      </c>
      <c r="AB74" s="8" t="s">
        <v>23</v>
      </c>
      <c r="AC74" s="8" t="s">
        <v>23</v>
      </c>
      <c r="AD74" s="18" t="s">
        <v>23</v>
      </c>
      <c r="AE74" s="18" t="s">
        <v>23</v>
      </c>
      <c r="AF74" s="49">
        <v>0</v>
      </c>
      <c r="AG74" s="20" t="s">
        <v>31</v>
      </c>
    </row>
    <row r="75" spans="1:33" x14ac:dyDescent="0.3">
      <c r="A75" s="3">
        <v>44436</v>
      </c>
      <c r="B75" s="4">
        <v>1600</v>
      </c>
      <c r="C75" s="4" cm="1">
        <f t="array" ref="C75">(SUM(VLOOKUP(H75:AE75,$AI$4:$AK$44,2,FALSE))+AF75*10)*IF(AG75="是",$AQ$4,$AQ$3)</f>
        <v>648</v>
      </c>
      <c r="D75" s="30">
        <f>SUM($B$4:B75)-SUM($C$4:C75)</f>
        <v>28078</v>
      </c>
      <c r="E75" s="4" cm="1">
        <f t="array" ref="E75">SUM(VLOOKUP(H75:AD75,$AI$4:$AK$44,3,FALSE))</f>
        <v>250</v>
      </c>
      <c r="F75" s="4">
        <f>SUM($E$4:E75)+SUM($G$4:G75)</f>
        <v>33405</v>
      </c>
      <c r="G75" s="4">
        <v>0</v>
      </c>
      <c r="H75" s="9" t="s">
        <v>23</v>
      </c>
      <c r="I75" s="8" t="s">
        <v>23</v>
      </c>
      <c r="J75" s="8" t="s">
        <v>23</v>
      </c>
      <c r="K75" s="8" t="s">
        <v>23</v>
      </c>
      <c r="L75" s="8" t="s">
        <v>23</v>
      </c>
      <c r="M75" s="8" t="s">
        <v>23</v>
      </c>
      <c r="N75" s="18" t="s">
        <v>23</v>
      </c>
      <c r="O75" s="17" t="s">
        <v>23</v>
      </c>
      <c r="P75" s="37" t="s">
        <v>20</v>
      </c>
      <c r="Q75" s="37" t="s">
        <v>20</v>
      </c>
      <c r="R75" s="37" t="s">
        <v>20</v>
      </c>
      <c r="S75" s="41" t="s">
        <v>12</v>
      </c>
      <c r="T75" s="37" t="s">
        <v>20</v>
      </c>
      <c r="U75" s="8" t="s">
        <v>23</v>
      </c>
      <c r="V75" s="18" t="s">
        <v>23</v>
      </c>
      <c r="W75" s="18" t="s">
        <v>23</v>
      </c>
      <c r="X75" s="9" t="s">
        <v>23</v>
      </c>
      <c r="Y75" s="8" t="s">
        <v>23</v>
      </c>
      <c r="Z75" s="8" t="s">
        <v>23</v>
      </c>
      <c r="AA75" s="8" t="s">
        <v>23</v>
      </c>
      <c r="AB75" s="8" t="s">
        <v>23</v>
      </c>
      <c r="AC75" s="8" t="s">
        <v>23</v>
      </c>
      <c r="AD75" s="18" t="s">
        <v>23</v>
      </c>
      <c r="AE75" s="18" t="s">
        <v>23</v>
      </c>
      <c r="AF75" s="49">
        <v>0</v>
      </c>
      <c r="AG75" s="20" t="s">
        <v>31</v>
      </c>
    </row>
    <row r="76" spans="1:33" x14ac:dyDescent="0.3">
      <c r="A76" s="3">
        <v>44437</v>
      </c>
      <c r="B76" s="4">
        <v>1600</v>
      </c>
      <c r="C76" s="4" cm="1">
        <f t="array" ref="C76">(SUM(VLOOKUP(H76:AE76,$AI$4:$AK$44,2,FALSE))+AF76*10)*IF(AG76="是",$AQ$4,$AQ$3)</f>
        <v>760</v>
      </c>
      <c r="D76" s="30">
        <f>SUM($B$4:B76)-SUM($C$4:C76)</f>
        <v>28918</v>
      </c>
      <c r="E76" s="4" cm="1">
        <f t="array" ref="E76">SUM(VLOOKUP(H76:AD76,$AI$4:$AK$44,3,FALSE))</f>
        <v>275</v>
      </c>
      <c r="F76" s="4">
        <f>SUM($E$4:E76)+SUM($G$4:G76)</f>
        <v>33680</v>
      </c>
      <c r="G76" s="4">
        <v>0</v>
      </c>
      <c r="H76" s="9" t="s">
        <v>23</v>
      </c>
      <c r="I76" s="8" t="s">
        <v>23</v>
      </c>
      <c r="J76" s="8" t="s">
        <v>23</v>
      </c>
      <c r="K76" s="8" t="s">
        <v>23</v>
      </c>
      <c r="L76" s="8" t="s">
        <v>23</v>
      </c>
      <c r="M76" s="8" t="s">
        <v>23</v>
      </c>
      <c r="N76" s="18" t="s">
        <v>23</v>
      </c>
      <c r="O76" s="17" t="s">
        <v>23</v>
      </c>
      <c r="P76" s="37" t="s">
        <v>20</v>
      </c>
      <c r="Q76" s="37" t="s">
        <v>20</v>
      </c>
      <c r="R76" s="37" t="s">
        <v>20</v>
      </c>
      <c r="S76" s="37" t="s">
        <v>20</v>
      </c>
      <c r="T76" s="37" t="s">
        <v>20</v>
      </c>
      <c r="U76" s="8" t="s">
        <v>23</v>
      </c>
      <c r="V76" s="18" t="s">
        <v>23</v>
      </c>
      <c r="W76" s="18" t="s">
        <v>23</v>
      </c>
      <c r="X76" s="9" t="s">
        <v>23</v>
      </c>
      <c r="Y76" s="8" t="s">
        <v>23</v>
      </c>
      <c r="Z76" s="8" t="s">
        <v>23</v>
      </c>
      <c r="AA76" s="8" t="s">
        <v>23</v>
      </c>
      <c r="AB76" s="8" t="s">
        <v>23</v>
      </c>
      <c r="AC76" s="8" t="s">
        <v>23</v>
      </c>
      <c r="AD76" s="18" t="s">
        <v>23</v>
      </c>
      <c r="AE76" s="18" t="s">
        <v>23</v>
      </c>
      <c r="AF76" s="49">
        <v>0</v>
      </c>
      <c r="AG76" s="20" t="s">
        <v>31</v>
      </c>
    </row>
    <row r="77" spans="1:33" x14ac:dyDescent="0.3">
      <c r="A77" s="1">
        <v>44438</v>
      </c>
      <c r="B77">
        <v>1600</v>
      </c>
      <c r="C77" s="4" cm="1">
        <f t="array" ref="C77">(SUM(VLOOKUP(H77:AE77,$AI$4:$AK$44,2,FALSE))+AF77*10)*IF(AG77="是",$AQ$4,$AQ$3)</f>
        <v>760</v>
      </c>
      <c r="D77" s="31">
        <f>SUM($B$4:B77)-SUM($C$4:C77)</f>
        <v>29758</v>
      </c>
      <c r="E77" s="4" cm="1">
        <f t="array" ref="E77">SUM(VLOOKUP(H77:AD77,$AI$4:$AK$44,3,FALSE))</f>
        <v>275</v>
      </c>
      <c r="F77" s="4">
        <f>SUM($E$4:E77)+SUM($G$4:G77)</f>
        <v>33955</v>
      </c>
      <c r="G77">
        <v>0</v>
      </c>
      <c r="H77" s="9" t="s">
        <v>23</v>
      </c>
      <c r="I77" s="8" t="s">
        <v>23</v>
      </c>
      <c r="J77" s="8" t="s">
        <v>23</v>
      </c>
      <c r="K77" s="8" t="s">
        <v>23</v>
      </c>
      <c r="L77" s="8" t="s">
        <v>23</v>
      </c>
      <c r="M77" s="8" t="s">
        <v>23</v>
      </c>
      <c r="N77" s="18" t="s">
        <v>23</v>
      </c>
      <c r="O77" s="17" t="s">
        <v>23</v>
      </c>
      <c r="P77" s="37" t="s">
        <v>20</v>
      </c>
      <c r="Q77" s="37" t="s">
        <v>20</v>
      </c>
      <c r="R77" s="37" t="s">
        <v>20</v>
      </c>
      <c r="S77" s="37" t="s">
        <v>20</v>
      </c>
      <c r="T77" s="37" t="s">
        <v>20</v>
      </c>
      <c r="U77" s="8" t="s">
        <v>23</v>
      </c>
      <c r="V77" s="18" t="s">
        <v>23</v>
      </c>
      <c r="W77" s="18" t="s">
        <v>23</v>
      </c>
      <c r="X77" s="9" t="s">
        <v>23</v>
      </c>
      <c r="Y77" s="8" t="s">
        <v>23</v>
      </c>
      <c r="Z77" s="8" t="s">
        <v>23</v>
      </c>
      <c r="AA77" s="8" t="s">
        <v>23</v>
      </c>
      <c r="AB77" s="8" t="s">
        <v>23</v>
      </c>
      <c r="AC77" s="8" t="s">
        <v>23</v>
      </c>
      <c r="AD77" s="18" t="s">
        <v>23</v>
      </c>
      <c r="AE77" s="18" t="s">
        <v>23</v>
      </c>
      <c r="AF77" s="49">
        <v>0</v>
      </c>
      <c r="AG77" s="20" t="s">
        <v>31</v>
      </c>
    </row>
    <row r="78" spans="1:33" x14ac:dyDescent="0.3">
      <c r="A78" s="1">
        <v>44439</v>
      </c>
      <c r="B78">
        <v>1600</v>
      </c>
      <c r="C78" s="4" cm="1">
        <f t="array" ref="C78">(SUM(VLOOKUP(H78:AE78,$AI$4:$AK$44,2,FALSE))+AF78*10)*IF(AG78="是",$AQ$4,$AQ$3)</f>
        <v>728</v>
      </c>
      <c r="D78" s="31">
        <f>SUM($B$4:B78)-SUM($C$4:C78)</f>
        <v>30630</v>
      </c>
      <c r="E78" s="4" cm="1">
        <f t="array" ref="E78">SUM(VLOOKUP(H78:AD78,$AI$4:$AK$44,3,FALSE))</f>
        <v>275</v>
      </c>
      <c r="F78" s="4">
        <f>SUM($E$4:E78)+SUM($G$4:G78)</f>
        <v>34230</v>
      </c>
      <c r="G78">
        <v>0</v>
      </c>
      <c r="H78" s="9" t="s">
        <v>23</v>
      </c>
      <c r="I78" s="8" t="s">
        <v>23</v>
      </c>
      <c r="J78" s="8" t="s">
        <v>23</v>
      </c>
      <c r="K78" s="8" t="s">
        <v>23</v>
      </c>
      <c r="L78" s="8" t="s">
        <v>23</v>
      </c>
      <c r="M78" s="8" t="s">
        <v>23</v>
      </c>
      <c r="N78" s="18" t="s">
        <v>23</v>
      </c>
      <c r="O78" s="17" t="s">
        <v>23</v>
      </c>
      <c r="P78" s="37" t="s">
        <v>20</v>
      </c>
      <c r="Q78" s="37" t="s">
        <v>20</v>
      </c>
      <c r="R78" s="37" t="s">
        <v>9</v>
      </c>
      <c r="S78" s="37" t="s">
        <v>20</v>
      </c>
      <c r="T78" s="37" t="s">
        <v>20</v>
      </c>
      <c r="U78" s="8" t="s">
        <v>23</v>
      </c>
      <c r="V78" s="18" t="s">
        <v>23</v>
      </c>
      <c r="W78" s="18" t="s">
        <v>23</v>
      </c>
      <c r="X78" s="9" t="s">
        <v>23</v>
      </c>
      <c r="Y78" s="8" t="s">
        <v>23</v>
      </c>
      <c r="Z78" s="8" t="s">
        <v>23</v>
      </c>
      <c r="AA78" s="8" t="s">
        <v>23</v>
      </c>
      <c r="AB78" s="8" t="s">
        <v>23</v>
      </c>
      <c r="AC78" s="8" t="s">
        <v>23</v>
      </c>
      <c r="AD78" s="18" t="s">
        <v>23</v>
      </c>
      <c r="AE78" s="18" t="s">
        <v>23</v>
      </c>
      <c r="AF78" s="49">
        <v>0</v>
      </c>
      <c r="AG78" s="20" t="s">
        <v>31</v>
      </c>
    </row>
    <row r="79" spans="1:33" x14ac:dyDescent="0.3">
      <c r="A79" s="1">
        <v>44440</v>
      </c>
      <c r="B79">
        <v>1600</v>
      </c>
      <c r="C79" s="4" cm="1">
        <f t="array" ref="C79">(SUM(VLOOKUP(H79:AE79,$AI$4:$AK$44,2,FALSE))+AF79*10)*IF(AG79="是",$AQ$4,$AQ$3)</f>
        <v>760</v>
      </c>
      <c r="D79" s="31">
        <f>SUM($B$4:B79)-SUM($C$4:C79)</f>
        <v>31470</v>
      </c>
      <c r="E79" s="4" cm="1">
        <f t="array" ref="E79">SUM(VLOOKUP(H79:AD79,$AI$4:$AK$44,3,FALSE))</f>
        <v>275</v>
      </c>
      <c r="F79" s="4">
        <f>SUM($E$4:E79)+SUM($G$4:G79)</f>
        <v>34505</v>
      </c>
      <c r="G79">
        <v>0</v>
      </c>
      <c r="H79" s="9" t="s">
        <v>23</v>
      </c>
      <c r="I79" s="8" t="s">
        <v>23</v>
      </c>
      <c r="J79" s="8" t="s">
        <v>23</v>
      </c>
      <c r="K79" s="8" t="s">
        <v>23</v>
      </c>
      <c r="L79" s="8" t="s">
        <v>23</v>
      </c>
      <c r="M79" s="8" t="s">
        <v>23</v>
      </c>
      <c r="N79" s="18" t="s">
        <v>23</v>
      </c>
      <c r="O79" s="17" t="s">
        <v>23</v>
      </c>
      <c r="P79" s="37" t="s">
        <v>20</v>
      </c>
      <c r="Q79" s="37" t="s">
        <v>20</v>
      </c>
      <c r="R79" s="37" t="s">
        <v>20</v>
      </c>
      <c r="S79" s="37" t="s">
        <v>20</v>
      </c>
      <c r="T79" s="37" t="s">
        <v>20</v>
      </c>
      <c r="U79" s="8" t="s">
        <v>23</v>
      </c>
      <c r="V79" s="18" t="s">
        <v>23</v>
      </c>
      <c r="W79" s="18" t="s">
        <v>23</v>
      </c>
      <c r="X79" s="9" t="s">
        <v>23</v>
      </c>
      <c r="Y79" s="8" t="s">
        <v>23</v>
      </c>
      <c r="Z79" s="8" t="s">
        <v>23</v>
      </c>
      <c r="AA79" s="8" t="s">
        <v>23</v>
      </c>
      <c r="AB79" s="8" t="s">
        <v>23</v>
      </c>
      <c r="AC79" s="8" t="s">
        <v>23</v>
      </c>
      <c r="AD79" s="18" t="s">
        <v>23</v>
      </c>
      <c r="AE79" s="18" t="s">
        <v>23</v>
      </c>
      <c r="AF79" s="49">
        <v>0</v>
      </c>
      <c r="AG79" s="20" t="s">
        <v>31</v>
      </c>
    </row>
    <row r="80" spans="1:33" x14ac:dyDescent="0.3">
      <c r="A80" s="1">
        <v>44441</v>
      </c>
      <c r="B80">
        <v>1600</v>
      </c>
      <c r="C80" s="4" cm="1">
        <f t="array" ref="C80">(SUM(VLOOKUP(H80:AE80,$AI$4:$AK$44,2,FALSE))+AF80*10)*IF(AG80="是",$AQ$4,$AQ$3)</f>
        <v>760</v>
      </c>
      <c r="D80" s="31">
        <f>SUM($B$4:B80)-SUM($C$4:C80)</f>
        <v>32310</v>
      </c>
      <c r="E80" s="4" cm="1">
        <f t="array" ref="E80">SUM(VLOOKUP(H80:AD80,$AI$4:$AK$44,3,FALSE))</f>
        <v>275</v>
      </c>
      <c r="F80" s="4">
        <f>SUM($E$4:E80)+SUM($G$4:G80)</f>
        <v>34780</v>
      </c>
      <c r="G80">
        <v>0</v>
      </c>
      <c r="H80" s="9" t="s">
        <v>23</v>
      </c>
      <c r="I80" s="8" t="s">
        <v>23</v>
      </c>
      <c r="J80" s="8" t="s">
        <v>23</v>
      </c>
      <c r="K80" s="8" t="s">
        <v>23</v>
      </c>
      <c r="L80" s="8" t="s">
        <v>23</v>
      </c>
      <c r="M80" s="8" t="s">
        <v>23</v>
      </c>
      <c r="N80" s="18" t="s">
        <v>23</v>
      </c>
      <c r="O80" s="17" t="s">
        <v>23</v>
      </c>
      <c r="P80" s="37" t="s">
        <v>20</v>
      </c>
      <c r="Q80" s="37" t="s">
        <v>20</v>
      </c>
      <c r="R80" s="37" t="s">
        <v>20</v>
      </c>
      <c r="S80" s="37" t="s">
        <v>20</v>
      </c>
      <c r="T80" s="37" t="s">
        <v>20</v>
      </c>
      <c r="U80" s="8" t="s">
        <v>23</v>
      </c>
      <c r="V80" s="18" t="s">
        <v>23</v>
      </c>
      <c r="W80" s="18" t="s">
        <v>23</v>
      </c>
      <c r="X80" s="9" t="s">
        <v>23</v>
      </c>
      <c r="Y80" s="8" t="s">
        <v>23</v>
      </c>
      <c r="Z80" s="8" t="s">
        <v>23</v>
      </c>
      <c r="AA80" s="8" t="s">
        <v>23</v>
      </c>
      <c r="AB80" s="8" t="s">
        <v>23</v>
      </c>
      <c r="AC80" s="8" t="s">
        <v>23</v>
      </c>
      <c r="AD80" s="18" t="s">
        <v>23</v>
      </c>
      <c r="AE80" s="18" t="s">
        <v>23</v>
      </c>
      <c r="AF80" s="49">
        <v>0</v>
      </c>
      <c r="AG80" s="20" t="s">
        <v>31</v>
      </c>
    </row>
    <row r="81" spans="1:33" x14ac:dyDescent="0.3">
      <c r="A81" s="1">
        <v>44442</v>
      </c>
      <c r="B81">
        <v>1600</v>
      </c>
      <c r="C81" s="4" cm="1">
        <f t="array" ref="C81">(SUM(VLOOKUP(H81:AE81,$AI$4:$AK$44,2,FALSE))+AF81*10)*IF(AG81="是",$AQ$4,$AQ$3)</f>
        <v>768</v>
      </c>
      <c r="D81" s="31">
        <f>SUM($B$4:B81)-SUM($C$4:C81)</f>
        <v>33142</v>
      </c>
      <c r="E81" s="4" cm="1">
        <f t="array" ref="E81">SUM(VLOOKUP(H81:AD81,$AI$4:$AK$44,3,FALSE))</f>
        <v>275</v>
      </c>
      <c r="F81" s="4">
        <f>SUM($E$4:E81)+SUM($G$4:G81)</f>
        <v>35055</v>
      </c>
      <c r="G81">
        <v>0</v>
      </c>
      <c r="H81" s="9" t="s">
        <v>23</v>
      </c>
      <c r="I81" s="8" t="s">
        <v>23</v>
      </c>
      <c r="J81" s="8" t="s">
        <v>23</v>
      </c>
      <c r="K81" s="8" t="s">
        <v>23</v>
      </c>
      <c r="L81" s="8" t="s">
        <v>23</v>
      </c>
      <c r="M81" s="8" t="s">
        <v>23</v>
      </c>
      <c r="N81" s="18" t="s">
        <v>23</v>
      </c>
      <c r="O81" s="17" t="s">
        <v>23</v>
      </c>
      <c r="P81" s="37" t="s">
        <v>20</v>
      </c>
      <c r="Q81" s="37" t="s">
        <v>20</v>
      </c>
      <c r="R81" s="37" t="s">
        <v>20</v>
      </c>
      <c r="S81" s="37" t="s">
        <v>20</v>
      </c>
      <c r="T81" s="37" t="s">
        <v>20</v>
      </c>
      <c r="U81" s="8" t="s">
        <v>23</v>
      </c>
      <c r="V81" s="18" t="s">
        <v>23</v>
      </c>
      <c r="W81" s="18" t="s">
        <v>23</v>
      </c>
      <c r="X81" s="9" t="s">
        <v>23</v>
      </c>
      <c r="Y81" s="8" t="s">
        <v>23</v>
      </c>
      <c r="Z81" s="8" t="s">
        <v>23</v>
      </c>
      <c r="AA81" s="8" t="s">
        <v>23</v>
      </c>
      <c r="AB81" s="8" t="s">
        <v>23</v>
      </c>
      <c r="AC81" s="8" t="s">
        <v>23</v>
      </c>
      <c r="AD81" s="18" t="s">
        <v>23</v>
      </c>
      <c r="AE81" s="18" t="s">
        <v>23</v>
      </c>
      <c r="AF81" s="49">
        <v>1</v>
      </c>
      <c r="AG81" s="20" t="s">
        <v>31</v>
      </c>
    </row>
    <row r="82" spans="1:33" x14ac:dyDescent="0.3">
      <c r="A82" s="1">
        <v>44443</v>
      </c>
      <c r="B82">
        <v>1600</v>
      </c>
      <c r="C82" s="4" cm="1">
        <f t="array" ref="C82">(SUM(VLOOKUP(H82:AE82,$AI$4:$AK$44,2,FALSE))+AF82*10)*IF(AG82="是",$AQ$4,$AQ$3)</f>
        <v>648</v>
      </c>
      <c r="D82" s="31">
        <f>SUM($B$4:B82)-SUM($C$4:C82)</f>
        <v>34094</v>
      </c>
      <c r="E82" s="4" cm="1">
        <f t="array" ref="E82">SUM(VLOOKUP(H82:AD82,$AI$4:$AK$44,3,FALSE))</f>
        <v>235</v>
      </c>
      <c r="F82" s="4">
        <f>SUM($E$4:E82)+SUM($G$4:G82)</f>
        <v>35290</v>
      </c>
      <c r="G82">
        <v>0</v>
      </c>
      <c r="H82" s="9" t="s">
        <v>23</v>
      </c>
      <c r="I82" s="8" t="s">
        <v>23</v>
      </c>
      <c r="J82" s="8" t="s">
        <v>23</v>
      </c>
      <c r="K82" s="8" t="s">
        <v>23</v>
      </c>
      <c r="L82" s="8" t="s">
        <v>23</v>
      </c>
      <c r="M82" s="8" t="s">
        <v>23</v>
      </c>
      <c r="N82" s="18" t="s">
        <v>23</v>
      </c>
      <c r="O82" s="17" t="s">
        <v>23</v>
      </c>
      <c r="P82" s="41" t="s">
        <v>12</v>
      </c>
      <c r="Q82" s="37" t="s">
        <v>20</v>
      </c>
      <c r="R82" s="36" t="s">
        <v>19</v>
      </c>
      <c r="S82" s="36" t="s">
        <v>19</v>
      </c>
      <c r="T82" s="36" t="s">
        <v>19</v>
      </c>
      <c r="U82" s="8" t="s">
        <v>23</v>
      </c>
      <c r="V82" s="18" t="s">
        <v>23</v>
      </c>
      <c r="W82" s="18" t="s">
        <v>23</v>
      </c>
      <c r="X82" s="9" t="s">
        <v>23</v>
      </c>
      <c r="Y82" s="8" t="s">
        <v>23</v>
      </c>
      <c r="Z82" s="8" t="s">
        <v>23</v>
      </c>
      <c r="AA82" s="8" t="s">
        <v>23</v>
      </c>
      <c r="AB82" s="8" t="s">
        <v>23</v>
      </c>
      <c r="AC82" s="8" t="s">
        <v>23</v>
      </c>
      <c r="AD82" s="18" t="s">
        <v>23</v>
      </c>
      <c r="AE82" s="18" t="s">
        <v>23</v>
      </c>
      <c r="AF82" s="49">
        <v>3</v>
      </c>
      <c r="AG82" s="20" t="s">
        <v>31</v>
      </c>
    </row>
    <row r="83" spans="1:33" x14ac:dyDescent="0.3">
      <c r="A83" s="1">
        <v>44444</v>
      </c>
      <c r="B83">
        <v>1600</v>
      </c>
      <c r="C83" s="4" cm="1">
        <f t="array" ref="C83">(SUM(VLOOKUP(H83:AE83,$AI$4:$AK$44,2,FALSE))+AF83*10)*IF(AG83="是",$AQ$4,$AQ$3)</f>
        <v>720</v>
      </c>
      <c r="D83" s="31">
        <f>SUM($B$4:B83)-SUM($C$4:C83)</f>
        <v>34974</v>
      </c>
      <c r="E83" s="4" cm="1">
        <f t="array" ref="E83">SUM(VLOOKUP(H83:AD83,$AI$4:$AK$44,3,FALSE))</f>
        <v>250</v>
      </c>
      <c r="F83" s="4">
        <f>SUM($E$4:E83)+SUM($G$4:G83)</f>
        <v>35540</v>
      </c>
      <c r="G83">
        <v>0</v>
      </c>
      <c r="H83" s="9" t="s">
        <v>23</v>
      </c>
      <c r="I83" s="8" t="s">
        <v>23</v>
      </c>
      <c r="J83" s="8" t="s">
        <v>23</v>
      </c>
      <c r="K83" s="8" t="s">
        <v>23</v>
      </c>
      <c r="L83" s="8" t="s">
        <v>23</v>
      </c>
      <c r="M83" s="8" t="s">
        <v>23</v>
      </c>
      <c r="N83" s="18" t="s">
        <v>23</v>
      </c>
      <c r="O83" s="17" t="s">
        <v>23</v>
      </c>
      <c r="P83" s="36" t="s">
        <v>19</v>
      </c>
      <c r="Q83" s="36" t="s">
        <v>19</v>
      </c>
      <c r="R83" s="36" t="s">
        <v>19</v>
      </c>
      <c r="S83" s="36" t="s">
        <v>19</v>
      </c>
      <c r="T83" s="36" t="s">
        <v>19</v>
      </c>
      <c r="U83" s="8" t="s">
        <v>23</v>
      </c>
      <c r="V83" s="18" t="s">
        <v>23</v>
      </c>
      <c r="W83" s="18" t="s">
        <v>23</v>
      </c>
      <c r="X83" s="9" t="s">
        <v>23</v>
      </c>
      <c r="Y83" s="8" t="s">
        <v>23</v>
      </c>
      <c r="Z83" s="8" t="s">
        <v>23</v>
      </c>
      <c r="AA83" s="8" t="s">
        <v>23</v>
      </c>
      <c r="AB83" s="8" t="s">
        <v>23</v>
      </c>
      <c r="AC83" s="8" t="s">
        <v>23</v>
      </c>
      <c r="AD83" s="18" t="s">
        <v>23</v>
      </c>
      <c r="AE83" s="18" t="s">
        <v>23</v>
      </c>
      <c r="AF83" s="49">
        <v>0</v>
      </c>
      <c r="AG83" s="20" t="s">
        <v>31</v>
      </c>
    </row>
    <row r="84" spans="1:33" x14ac:dyDescent="0.3">
      <c r="A84" s="3">
        <v>44445</v>
      </c>
      <c r="B84" s="4">
        <v>1600</v>
      </c>
      <c r="C84" s="4" cm="1">
        <f t="array" ref="C84">(SUM(VLOOKUP(H84:AE84,$AI$4:$AK$44,2,FALSE))+AF84*10)*IF(AG84="是",$AQ$4,$AQ$3)</f>
        <v>624</v>
      </c>
      <c r="D84" s="30">
        <f>SUM($B$4:B84)-SUM($C$4:C84)</f>
        <v>35950</v>
      </c>
      <c r="E84" s="4" cm="1">
        <f t="array" ref="E84">SUM(VLOOKUP(H84:AD84,$AI$4:$AK$44,3,FALSE))</f>
        <v>230</v>
      </c>
      <c r="F84" s="4">
        <f>SUM($E$4:E84)+SUM($G$4:G84)</f>
        <v>35770</v>
      </c>
      <c r="G84" s="4">
        <v>0</v>
      </c>
      <c r="H84" s="9" t="s">
        <v>23</v>
      </c>
      <c r="I84" s="8" t="s">
        <v>23</v>
      </c>
      <c r="J84" s="8" t="s">
        <v>23</v>
      </c>
      <c r="K84" s="8" t="s">
        <v>23</v>
      </c>
      <c r="L84" s="8" t="s">
        <v>23</v>
      </c>
      <c r="M84" s="8" t="s">
        <v>23</v>
      </c>
      <c r="N84" s="18" t="s">
        <v>23</v>
      </c>
      <c r="O84" s="17" t="s">
        <v>23</v>
      </c>
      <c r="P84" s="36" t="s">
        <v>19</v>
      </c>
      <c r="Q84" s="36" t="s">
        <v>19</v>
      </c>
      <c r="R84" s="36" t="s">
        <v>19</v>
      </c>
      <c r="S84" s="41" t="s">
        <v>12</v>
      </c>
      <c r="T84" s="36" t="s">
        <v>19</v>
      </c>
      <c r="U84" s="8" t="s">
        <v>23</v>
      </c>
      <c r="V84" s="18" t="s">
        <v>23</v>
      </c>
      <c r="W84" s="18" t="s">
        <v>23</v>
      </c>
      <c r="X84" s="9" t="s">
        <v>23</v>
      </c>
      <c r="Y84" s="8" t="s">
        <v>23</v>
      </c>
      <c r="Z84" s="8" t="s">
        <v>23</v>
      </c>
      <c r="AA84" s="8" t="s">
        <v>23</v>
      </c>
      <c r="AB84" s="8" t="s">
        <v>23</v>
      </c>
      <c r="AC84" s="8" t="s">
        <v>23</v>
      </c>
      <c r="AD84" s="18" t="s">
        <v>23</v>
      </c>
      <c r="AE84" s="18" t="s">
        <v>23</v>
      </c>
      <c r="AF84" s="49">
        <v>1</v>
      </c>
      <c r="AG84" s="20" t="s">
        <v>31</v>
      </c>
    </row>
    <row r="85" spans="1:33" x14ac:dyDescent="0.3">
      <c r="A85" s="3">
        <v>44446</v>
      </c>
      <c r="B85" s="4">
        <v>1600</v>
      </c>
      <c r="C85" s="4" cm="1">
        <f t="array" ref="C85">(SUM(VLOOKUP(H85:AE85,$AI$4:$AK$44,2,FALSE))+AF85*10)*IF(AG85="是",$AQ$4,$AQ$3)</f>
        <v>720</v>
      </c>
      <c r="D85" s="30">
        <f>SUM($B$4:B85)-SUM($C$4:C85)</f>
        <v>36830</v>
      </c>
      <c r="E85" s="4" cm="1">
        <f t="array" ref="E85">SUM(VLOOKUP(H85:AD85,$AI$4:$AK$44,3,FALSE))</f>
        <v>250</v>
      </c>
      <c r="F85" s="4">
        <f>SUM($E$4:E85)+SUM($G$4:G85)</f>
        <v>36020</v>
      </c>
      <c r="G85" s="4">
        <v>0</v>
      </c>
      <c r="H85" s="9" t="s">
        <v>23</v>
      </c>
      <c r="I85" s="8" t="s">
        <v>23</v>
      </c>
      <c r="J85" s="8" t="s">
        <v>23</v>
      </c>
      <c r="K85" s="8" t="s">
        <v>23</v>
      </c>
      <c r="L85" s="8" t="s">
        <v>23</v>
      </c>
      <c r="M85" s="8" t="s">
        <v>23</v>
      </c>
      <c r="N85" s="18" t="s">
        <v>23</v>
      </c>
      <c r="O85" s="17" t="s">
        <v>23</v>
      </c>
      <c r="P85" s="36" t="s">
        <v>19</v>
      </c>
      <c r="Q85" s="36" t="s">
        <v>19</v>
      </c>
      <c r="R85" s="36" t="s">
        <v>19</v>
      </c>
      <c r="S85" s="36" t="s">
        <v>19</v>
      </c>
      <c r="T85" s="36" t="s">
        <v>19</v>
      </c>
      <c r="U85" s="8" t="s">
        <v>23</v>
      </c>
      <c r="V85" s="18" t="s">
        <v>23</v>
      </c>
      <c r="W85" s="18" t="s">
        <v>23</v>
      </c>
      <c r="X85" s="9" t="s">
        <v>23</v>
      </c>
      <c r="Y85" s="8" t="s">
        <v>23</v>
      </c>
      <c r="Z85" s="8" t="s">
        <v>23</v>
      </c>
      <c r="AA85" s="8" t="s">
        <v>23</v>
      </c>
      <c r="AB85" s="8" t="s">
        <v>23</v>
      </c>
      <c r="AC85" s="8" t="s">
        <v>23</v>
      </c>
      <c r="AD85" s="18" t="s">
        <v>23</v>
      </c>
      <c r="AE85" s="18" t="s">
        <v>23</v>
      </c>
      <c r="AF85" s="49">
        <v>0</v>
      </c>
      <c r="AG85" s="20" t="s">
        <v>31</v>
      </c>
    </row>
    <row r="86" spans="1:33" x14ac:dyDescent="0.3">
      <c r="A86" s="3">
        <v>44447</v>
      </c>
      <c r="B86" s="4">
        <v>1600</v>
      </c>
      <c r="C86" s="4" cm="1">
        <f t="array" ref="C86">(SUM(VLOOKUP(H86:AE86,$AI$4:$AK$44,2,FALSE))+AF86*10)*IF(AG86="是",$AQ$4,$AQ$3)</f>
        <v>720</v>
      </c>
      <c r="D86" s="30">
        <f>SUM($B$4:B86)-SUM($C$4:C86)</f>
        <v>37710</v>
      </c>
      <c r="E86" s="4" cm="1">
        <f t="array" ref="E86">SUM(VLOOKUP(H86:AD86,$AI$4:$AK$44,3,FALSE))</f>
        <v>250</v>
      </c>
      <c r="F86" s="4">
        <f>SUM($E$4:E86)+SUM($G$4:G86)</f>
        <v>36270</v>
      </c>
      <c r="G86" s="4">
        <v>0</v>
      </c>
      <c r="H86" s="9" t="s">
        <v>23</v>
      </c>
      <c r="I86" s="8" t="s">
        <v>23</v>
      </c>
      <c r="J86" s="8" t="s">
        <v>23</v>
      </c>
      <c r="K86" s="8" t="s">
        <v>23</v>
      </c>
      <c r="L86" s="8" t="s">
        <v>23</v>
      </c>
      <c r="M86" s="8" t="s">
        <v>23</v>
      </c>
      <c r="N86" s="18" t="s">
        <v>23</v>
      </c>
      <c r="O86" s="17" t="s">
        <v>23</v>
      </c>
      <c r="P86" s="36" t="s">
        <v>19</v>
      </c>
      <c r="Q86" s="36" t="s">
        <v>19</v>
      </c>
      <c r="R86" s="36" t="s">
        <v>19</v>
      </c>
      <c r="S86" s="36" t="s">
        <v>19</v>
      </c>
      <c r="T86" s="36" t="s">
        <v>19</v>
      </c>
      <c r="U86" s="8" t="s">
        <v>23</v>
      </c>
      <c r="V86" s="18" t="s">
        <v>23</v>
      </c>
      <c r="W86" s="18" t="s">
        <v>23</v>
      </c>
      <c r="X86" s="9" t="s">
        <v>23</v>
      </c>
      <c r="Y86" s="8" t="s">
        <v>23</v>
      </c>
      <c r="Z86" s="8" t="s">
        <v>23</v>
      </c>
      <c r="AA86" s="8" t="s">
        <v>23</v>
      </c>
      <c r="AB86" s="8" t="s">
        <v>23</v>
      </c>
      <c r="AC86" s="8" t="s">
        <v>23</v>
      </c>
      <c r="AD86" s="18" t="s">
        <v>23</v>
      </c>
      <c r="AE86" s="18" t="s">
        <v>23</v>
      </c>
      <c r="AF86" s="49">
        <v>0</v>
      </c>
      <c r="AG86" s="20" t="s">
        <v>31</v>
      </c>
    </row>
    <row r="87" spans="1:33" x14ac:dyDescent="0.3">
      <c r="A87" s="3">
        <v>44448</v>
      </c>
      <c r="B87" s="4">
        <v>1600</v>
      </c>
      <c r="C87" s="4" cm="1">
        <f t="array" ref="C87">(SUM(VLOOKUP(H87:AE87,$AI$4:$AK$44,2,FALSE))+AF87*10)*IF(AG87="是",$AQ$4,$AQ$3)</f>
        <v>720</v>
      </c>
      <c r="D87" s="30">
        <f>SUM($B$4:B87)-SUM($C$4:C87)</f>
        <v>38590</v>
      </c>
      <c r="E87" s="4" cm="1">
        <f t="array" ref="E87">SUM(VLOOKUP(H87:AD87,$AI$4:$AK$44,3,FALSE))</f>
        <v>250</v>
      </c>
      <c r="F87" s="4">
        <f>SUM($E$4:E87)+SUM($G$4:G87)</f>
        <v>36520</v>
      </c>
      <c r="G87" s="4">
        <v>0</v>
      </c>
      <c r="H87" s="9" t="s">
        <v>23</v>
      </c>
      <c r="I87" s="8" t="s">
        <v>23</v>
      </c>
      <c r="J87" s="8" t="s">
        <v>23</v>
      </c>
      <c r="K87" s="8" t="s">
        <v>23</v>
      </c>
      <c r="L87" s="8" t="s">
        <v>23</v>
      </c>
      <c r="M87" s="8" t="s">
        <v>23</v>
      </c>
      <c r="N87" s="18" t="s">
        <v>23</v>
      </c>
      <c r="O87" s="17" t="s">
        <v>23</v>
      </c>
      <c r="P87" s="36" t="s">
        <v>19</v>
      </c>
      <c r="Q87" s="36" t="s">
        <v>19</v>
      </c>
      <c r="R87" s="36" t="s">
        <v>19</v>
      </c>
      <c r="S87" s="36" t="s">
        <v>19</v>
      </c>
      <c r="T87" s="36" t="s">
        <v>19</v>
      </c>
      <c r="U87" s="8" t="s">
        <v>23</v>
      </c>
      <c r="V87" s="18" t="s">
        <v>23</v>
      </c>
      <c r="W87" s="18" t="s">
        <v>23</v>
      </c>
      <c r="X87" s="9" t="s">
        <v>23</v>
      </c>
      <c r="Y87" s="8" t="s">
        <v>23</v>
      </c>
      <c r="Z87" s="8" t="s">
        <v>23</v>
      </c>
      <c r="AA87" s="8" t="s">
        <v>23</v>
      </c>
      <c r="AB87" s="8" t="s">
        <v>23</v>
      </c>
      <c r="AC87" s="8" t="s">
        <v>23</v>
      </c>
      <c r="AD87" s="18" t="s">
        <v>23</v>
      </c>
      <c r="AE87" s="18" t="s">
        <v>23</v>
      </c>
      <c r="AF87" s="49">
        <v>0</v>
      </c>
      <c r="AG87" s="20" t="s">
        <v>31</v>
      </c>
    </row>
    <row r="88" spans="1:33" x14ac:dyDescent="0.3">
      <c r="A88" s="3">
        <v>44449</v>
      </c>
      <c r="B88" s="4">
        <v>1600</v>
      </c>
      <c r="C88" s="4" cm="1">
        <f t="array" ref="C88">(SUM(VLOOKUP(H88:AE88,$AI$4:$AK$44,2,FALSE))+AF88*10)*IF(AG88="是",$AQ$4,$AQ$3)</f>
        <v>592</v>
      </c>
      <c r="D88" s="30">
        <f>SUM($B$4:B88)-SUM($C$4:C88)</f>
        <v>39598</v>
      </c>
      <c r="E88" s="4" cm="1">
        <f t="array" ref="E88">SUM(VLOOKUP(H88:AD88,$AI$4:$AK$44,3,FALSE))</f>
        <v>230</v>
      </c>
      <c r="F88" s="4">
        <f>SUM($E$4:E88)+SUM($G$4:G88)</f>
        <v>36750</v>
      </c>
      <c r="G88" s="4">
        <v>0</v>
      </c>
      <c r="H88" s="9" t="s">
        <v>23</v>
      </c>
      <c r="I88" s="8" t="s">
        <v>23</v>
      </c>
      <c r="J88" s="8" t="s">
        <v>23</v>
      </c>
      <c r="K88" s="8" t="s">
        <v>23</v>
      </c>
      <c r="L88" s="8" t="s">
        <v>23</v>
      </c>
      <c r="M88" s="8" t="s">
        <v>23</v>
      </c>
      <c r="N88" s="18" t="s">
        <v>23</v>
      </c>
      <c r="O88" s="17" t="s">
        <v>23</v>
      </c>
      <c r="P88" s="41" t="s">
        <v>12</v>
      </c>
      <c r="Q88" s="36" t="s">
        <v>19</v>
      </c>
      <c r="R88" s="36" t="s">
        <v>8</v>
      </c>
      <c r="S88" s="36" t="s">
        <v>19</v>
      </c>
      <c r="T88" s="36" t="s">
        <v>19</v>
      </c>
      <c r="U88" s="8" t="s">
        <v>23</v>
      </c>
      <c r="V88" s="18" t="s">
        <v>23</v>
      </c>
      <c r="W88" s="18" t="s">
        <v>23</v>
      </c>
      <c r="X88" s="9" t="s">
        <v>23</v>
      </c>
      <c r="Y88" s="8" t="s">
        <v>23</v>
      </c>
      <c r="Z88" s="8" t="s">
        <v>23</v>
      </c>
      <c r="AA88" s="8" t="s">
        <v>23</v>
      </c>
      <c r="AB88" s="8" t="s">
        <v>23</v>
      </c>
      <c r="AC88" s="8" t="s">
        <v>23</v>
      </c>
      <c r="AD88" s="18" t="s">
        <v>23</v>
      </c>
      <c r="AE88" s="18" t="s">
        <v>23</v>
      </c>
      <c r="AF88" s="49">
        <v>0</v>
      </c>
      <c r="AG88" s="20" t="s">
        <v>31</v>
      </c>
    </row>
    <row r="89" spans="1:33" x14ac:dyDescent="0.3">
      <c r="A89" s="3">
        <v>44450</v>
      </c>
      <c r="B89" s="4">
        <v>1600</v>
      </c>
      <c r="C89" s="4" cm="1">
        <f t="array" ref="C89">(SUM(VLOOKUP(H89:AE89,$AI$4:$AK$44,2,FALSE))+AF89*10)*IF(AG89="是",$AQ$4,$AQ$3)</f>
        <v>368</v>
      </c>
      <c r="D89" s="30">
        <f>SUM($B$4:B89)-SUM($C$4:C89)</f>
        <v>40830</v>
      </c>
      <c r="E89" s="4" cm="1">
        <f t="array" ref="E89">SUM(VLOOKUP(H89:AD89,$AI$4:$AK$44,3,FALSE))</f>
        <v>150</v>
      </c>
      <c r="F89" s="4">
        <f>SUM($E$4:E89)+SUM($G$4:G89)</f>
        <v>36900</v>
      </c>
      <c r="G89" s="4">
        <v>0</v>
      </c>
      <c r="H89" s="9" t="s">
        <v>23</v>
      </c>
      <c r="I89" s="8" t="s">
        <v>23</v>
      </c>
      <c r="J89" s="8" t="s">
        <v>23</v>
      </c>
      <c r="K89" s="8" t="s">
        <v>23</v>
      </c>
      <c r="L89" s="8" t="s">
        <v>23</v>
      </c>
      <c r="M89" s="8" t="s">
        <v>23</v>
      </c>
      <c r="N89" s="18" t="s">
        <v>23</v>
      </c>
      <c r="O89" s="17" t="s">
        <v>23</v>
      </c>
      <c r="P89" s="36" t="s">
        <v>8</v>
      </c>
      <c r="Q89" s="36" t="s">
        <v>8</v>
      </c>
      <c r="R89" s="36" t="s">
        <v>8</v>
      </c>
      <c r="S89" s="8" t="s">
        <v>23</v>
      </c>
      <c r="T89" s="8" t="s">
        <v>23</v>
      </c>
      <c r="U89" s="8" t="s">
        <v>23</v>
      </c>
      <c r="V89" s="18" t="s">
        <v>23</v>
      </c>
      <c r="W89" s="18" t="s">
        <v>23</v>
      </c>
      <c r="X89" s="9" t="s">
        <v>23</v>
      </c>
      <c r="Y89" s="8" t="s">
        <v>23</v>
      </c>
      <c r="Z89" s="8" t="s">
        <v>23</v>
      </c>
      <c r="AA89" s="8" t="s">
        <v>23</v>
      </c>
      <c r="AB89" s="8" t="s">
        <v>23</v>
      </c>
      <c r="AC89" s="8" t="s">
        <v>23</v>
      </c>
      <c r="AD89" s="18" t="s">
        <v>23</v>
      </c>
      <c r="AE89" s="18" t="s">
        <v>23</v>
      </c>
      <c r="AF89" s="49">
        <v>1</v>
      </c>
      <c r="AG89" s="20" t="s">
        <v>31</v>
      </c>
    </row>
    <row r="90" spans="1:33" x14ac:dyDescent="0.3">
      <c r="A90" s="3">
        <v>44451</v>
      </c>
      <c r="B90" s="4">
        <v>1600</v>
      </c>
      <c r="C90" s="4" cm="1">
        <f t="array" ref="C90">(SUM(VLOOKUP(H90:AE90,$AI$4:$AK$44,2,FALSE))+AF90*10)*IF(AG90="是",$AQ$4,$AQ$3)</f>
        <v>240</v>
      </c>
      <c r="D90" s="30">
        <f>SUM($B$4:B90)-SUM($C$4:C90)</f>
        <v>42190</v>
      </c>
      <c r="E90" s="4" cm="1">
        <f t="array" ref="E90">SUM(VLOOKUP(H90:AD90,$AI$4:$AK$44,3,FALSE))</f>
        <v>100</v>
      </c>
      <c r="F90" s="4">
        <f>SUM($E$4:E90)+SUM($G$4:G90)</f>
        <v>37000</v>
      </c>
      <c r="G90" s="4">
        <v>0</v>
      </c>
      <c r="H90" s="9" t="s">
        <v>23</v>
      </c>
      <c r="I90" s="8" t="s">
        <v>23</v>
      </c>
      <c r="J90" s="8" t="s">
        <v>23</v>
      </c>
      <c r="K90" s="8" t="s">
        <v>23</v>
      </c>
      <c r="L90" s="8" t="s">
        <v>23</v>
      </c>
      <c r="M90" s="8" t="s">
        <v>23</v>
      </c>
      <c r="N90" s="18" t="s">
        <v>23</v>
      </c>
      <c r="O90" s="17" t="s">
        <v>23</v>
      </c>
      <c r="P90" s="36" t="s">
        <v>8</v>
      </c>
      <c r="Q90" s="36" t="s">
        <v>8</v>
      </c>
      <c r="R90" s="8" t="s">
        <v>23</v>
      </c>
      <c r="S90" s="8" t="s">
        <v>23</v>
      </c>
      <c r="T90" s="8" t="s">
        <v>23</v>
      </c>
      <c r="U90" s="8" t="s">
        <v>23</v>
      </c>
      <c r="V90" s="18" t="s">
        <v>23</v>
      </c>
      <c r="W90" s="18" t="s">
        <v>23</v>
      </c>
      <c r="X90" s="9" t="s">
        <v>23</v>
      </c>
      <c r="Y90" s="8" t="s">
        <v>23</v>
      </c>
      <c r="Z90" s="8" t="s">
        <v>23</v>
      </c>
      <c r="AA90" s="8" t="s">
        <v>23</v>
      </c>
      <c r="AB90" s="8" t="s">
        <v>23</v>
      </c>
      <c r="AC90" s="8" t="s">
        <v>23</v>
      </c>
      <c r="AD90" s="18" t="s">
        <v>23</v>
      </c>
      <c r="AE90" s="18" t="s">
        <v>23</v>
      </c>
      <c r="AF90" s="49">
        <v>0</v>
      </c>
      <c r="AG90" s="20" t="s">
        <v>31</v>
      </c>
    </row>
    <row r="91" spans="1:33" x14ac:dyDescent="0.3">
      <c r="A91" s="1">
        <v>44452</v>
      </c>
      <c r="B91">
        <v>1600</v>
      </c>
      <c r="C91" s="4" cm="1">
        <f t="array" ref="C91">(SUM(VLOOKUP(H91:AE91,$AI$4:$AK$44,2,FALSE))+AF91*10)*IF(AG91="是",$AQ$4,$AQ$3)</f>
        <v>160</v>
      </c>
      <c r="D91" s="31">
        <f>SUM($B$4:B91)-SUM($C$4:C91)</f>
        <v>43630</v>
      </c>
      <c r="E91" s="4" cm="1">
        <f t="array" ref="E91">SUM(VLOOKUP(H91:AD91,$AI$4:$AK$44,3,FALSE))</f>
        <v>80</v>
      </c>
      <c r="F91" s="4">
        <f>SUM($E$4:E91)+SUM($G$4:G91)</f>
        <v>37080</v>
      </c>
      <c r="G91">
        <v>0</v>
      </c>
      <c r="H91" s="9" t="s">
        <v>23</v>
      </c>
      <c r="I91" s="8" t="s">
        <v>23</v>
      </c>
      <c r="J91" s="8" t="s">
        <v>23</v>
      </c>
      <c r="K91" s="8" t="s">
        <v>23</v>
      </c>
      <c r="L91" s="8" t="s">
        <v>23</v>
      </c>
      <c r="M91" s="8" t="s">
        <v>23</v>
      </c>
      <c r="N91" s="18" t="s">
        <v>23</v>
      </c>
      <c r="O91" s="17" t="s">
        <v>23</v>
      </c>
      <c r="P91" s="36" t="s">
        <v>8</v>
      </c>
      <c r="Q91" s="41" t="s">
        <v>12</v>
      </c>
      <c r="R91" s="8" t="s">
        <v>23</v>
      </c>
      <c r="S91" s="8" t="s">
        <v>23</v>
      </c>
      <c r="T91" s="8" t="s">
        <v>23</v>
      </c>
      <c r="U91" s="8" t="s">
        <v>23</v>
      </c>
      <c r="V91" s="18" t="s">
        <v>23</v>
      </c>
      <c r="W91" s="18" t="s">
        <v>23</v>
      </c>
      <c r="X91" s="9" t="s">
        <v>23</v>
      </c>
      <c r="Y91" s="8" t="s">
        <v>23</v>
      </c>
      <c r="Z91" s="8" t="s">
        <v>23</v>
      </c>
      <c r="AA91" s="8" t="s">
        <v>23</v>
      </c>
      <c r="AB91" s="8" t="s">
        <v>23</v>
      </c>
      <c r="AC91" s="8" t="s">
        <v>23</v>
      </c>
      <c r="AD91" s="18" t="s">
        <v>23</v>
      </c>
      <c r="AE91" s="18" t="s">
        <v>23</v>
      </c>
      <c r="AF91" s="49">
        <v>0</v>
      </c>
      <c r="AG91" s="20" t="s">
        <v>31</v>
      </c>
    </row>
    <row r="92" spans="1:33" x14ac:dyDescent="0.3">
      <c r="A92" s="1">
        <v>44453</v>
      </c>
      <c r="B92">
        <v>1600</v>
      </c>
      <c r="C92" s="4" cm="1">
        <f t="array" ref="C92">(SUM(VLOOKUP(H92:AE92,$AI$4:$AK$44,2,FALSE))+AF92*10)*IF(AG92="是",$AQ$4,$AQ$3)</f>
        <v>240</v>
      </c>
      <c r="D92" s="31">
        <f>SUM($B$4:B92)-SUM($C$4:C92)</f>
        <v>44990</v>
      </c>
      <c r="E92" s="4" cm="1">
        <f t="array" ref="E92">SUM(VLOOKUP(H92:AD92,$AI$4:$AK$44,3,FALSE))</f>
        <v>100</v>
      </c>
      <c r="F92" s="4">
        <f>SUM($E$4:E92)+SUM($G$4:G92)</f>
        <v>37180</v>
      </c>
      <c r="G92">
        <v>0</v>
      </c>
      <c r="H92" s="9" t="s">
        <v>23</v>
      </c>
      <c r="I92" s="8" t="s">
        <v>23</v>
      </c>
      <c r="J92" s="8" t="s">
        <v>23</v>
      </c>
      <c r="K92" s="8" t="s">
        <v>23</v>
      </c>
      <c r="L92" s="8" t="s">
        <v>23</v>
      </c>
      <c r="M92" s="8" t="s">
        <v>23</v>
      </c>
      <c r="N92" s="18" t="s">
        <v>23</v>
      </c>
      <c r="O92" s="17" t="s">
        <v>23</v>
      </c>
      <c r="P92" s="36" t="s">
        <v>8</v>
      </c>
      <c r="Q92" s="36" t="s">
        <v>8</v>
      </c>
      <c r="R92" s="8" t="s">
        <v>23</v>
      </c>
      <c r="S92" s="8" t="s">
        <v>23</v>
      </c>
      <c r="T92" s="8" t="s">
        <v>23</v>
      </c>
      <c r="U92" s="8" t="s">
        <v>23</v>
      </c>
      <c r="V92" s="18" t="s">
        <v>23</v>
      </c>
      <c r="W92" s="18" t="s">
        <v>23</v>
      </c>
      <c r="X92" s="9" t="s">
        <v>23</v>
      </c>
      <c r="Y92" s="8" t="s">
        <v>23</v>
      </c>
      <c r="Z92" s="8" t="s">
        <v>23</v>
      </c>
      <c r="AA92" s="8" t="s">
        <v>23</v>
      </c>
      <c r="AB92" s="8" t="s">
        <v>23</v>
      </c>
      <c r="AC92" s="8" t="s">
        <v>23</v>
      </c>
      <c r="AD92" s="18" t="s">
        <v>23</v>
      </c>
      <c r="AE92" s="18" t="s">
        <v>23</v>
      </c>
      <c r="AF92" s="49">
        <v>0</v>
      </c>
      <c r="AG92" s="20" t="s">
        <v>31</v>
      </c>
    </row>
    <row r="93" spans="1:33" x14ac:dyDescent="0.3">
      <c r="A93" s="1">
        <v>44454</v>
      </c>
      <c r="B93">
        <v>1600</v>
      </c>
      <c r="C93" s="4" cm="1">
        <f t="array" ref="C93">(SUM(VLOOKUP(H93:AE93,$AI$4:$AK$44,2,FALSE))+AF93*10)*IF(AG93="是",$AQ$4,$AQ$3)</f>
        <v>248</v>
      </c>
      <c r="D93" s="31">
        <f>SUM($B$4:B93)-SUM($C$4:C93)</f>
        <v>46342</v>
      </c>
      <c r="E93" s="4" cm="1">
        <f t="array" ref="E93">SUM(VLOOKUP(H93:AD93,$AI$4:$AK$44,3,FALSE))</f>
        <v>100</v>
      </c>
      <c r="F93" s="4">
        <f>SUM($E$4:E93)+SUM($G$4:G93)</f>
        <v>37280</v>
      </c>
      <c r="G93">
        <v>0</v>
      </c>
      <c r="H93" s="9" t="s">
        <v>23</v>
      </c>
      <c r="I93" s="8" t="s">
        <v>23</v>
      </c>
      <c r="J93" s="8" t="s">
        <v>23</v>
      </c>
      <c r="K93" s="8" t="s">
        <v>23</v>
      </c>
      <c r="L93" s="8" t="s">
        <v>23</v>
      </c>
      <c r="M93" s="8" t="s">
        <v>23</v>
      </c>
      <c r="N93" s="18" t="s">
        <v>23</v>
      </c>
      <c r="O93" s="17" t="s">
        <v>23</v>
      </c>
      <c r="P93" s="36" t="s">
        <v>8</v>
      </c>
      <c r="Q93" s="36" t="s">
        <v>8</v>
      </c>
      <c r="R93" s="8" t="s">
        <v>23</v>
      </c>
      <c r="S93" s="8" t="s">
        <v>23</v>
      </c>
      <c r="T93" s="8" t="s">
        <v>23</v>
      </c>
      <c r="U93" s="8" t="s">
        <v>23</v>
      </c>
      <c r="V93" s="18" t="s">
        <v>23</v>
      </c>
      <c r="W93" s="18" t="s">
        <v>23</v>
      </c>
      <c r="X93" s="9" t="s">
        <v>23</v>
      </c>
      <c r="Y93" s="8" t="s">
        <v>23</v>
      </c>
      <c r="Z93" s="8" t="s">
        <v>23</v>
      </c>
      <c r="AA93" s="8" t="s">
        <v>23</v>
      </c>
      <c r="AB93" s="8" t="s">
        <v>23</v>
      </c>
      <c r="AC93" s="8" t="s">
        <v>23</v>
      </c>
      <c r="AD93" s="18" t="s">
        <v>23</v>
      </c>
      <c r="AE93" s="18" t="s">
        <v>23</v>
      </c>
      <c r="AF93" s="49">
        <v>1</v>
      </c>
      <c r="AG93" s="20" t="s">
        <v>31</v>
      </c>
    </row>
    <row r="94" spans="1:33" ht="15" thickBot="1" x14ac:dyDescent="0.35">
      <c r="A94" s="1">
        <v>44455</v>
      </c>
      <c r="B94">
        <v>1600</v>
      </c>
      <c r="C94" s="4" cm="1">
        <f t="array" ref="C94">(SUM(VLOOKUP(H94:AE94,$AI$4:$AK$44,2,FALSE))+AF94*10)*IF(AG94="是",$AQ$4,$AQ$3)</f>
        <v>120</v>
      </c>
      <c r="D94" s="31">
        <f>SUM($B$4:B94)-SUM($C$4:C94)</f>
        <v>47822</v>
      </c>
      <c r="E94" s="4" cm="1">
        <f t="array" ref="E94">SUM(VLOOKUP(H94:AD94,$AI$4:$AK$44,3,FALSE))</f>
        <v>50</v>
      </c>
      <c r="F94" s="4">
        <f>SUM($E$4:E94)+SUM($G$4:G94)</f>
        <v>37330</v>
      </c>
      <c r="G94">
        <v>0</v>
      </c>
      <c r="H94" s="10" t="s">
        <v>23</v>
      </c>
      <c r="I94" s="11" t="s">
        <v>23</v>
      </c>
      <c r="J94" s="11" t="s">
        <v>23</v>
      </c>
      <c r="K94" s="11" t="s">
        <v>23</v>
      </c>
      <c r="L94" s="11" t="s">
        <v>23</v>
      </c>
      <c r="M94" s="11" t="s">
        <v>23</v>
      </c>
      <c r="N94" s="19" t="s">
        <v>23</v>
      </c>
      <c r="O94" s="17" t="s">
        <v>23</v>
      </c>
      <c r="P94" s="36" t="s">
        <v>8</v>
      </c>
      <c r="Q94" s="11" t="s">
        <v>23</v>
      </c>
      <c r="R94" s="11" t="s">
        <v>23</v>
      </c>
      <c r="S94" s="11" t="s">
        <v>23</v>
      </c>
      <c r="T94" s="11" t="s">
        <v>23</v>
      </c>
      <c r="U94" s="11" t="s">
        <v>23</v>
      </c>
      <c r="V94" s="19" t="s">
        <v>23</v>
      </c>
      <c r="W94" s="18" t="s">
        <v>23</v>
      </c>
      <c r="X94" s="10" t="s">
        <v>23</v>
      </c>
      <c r="Y94" s="11" t="s">
        <v>23</v>
      </c>
      <c r="Z94" s="11" t="s">
        <v>23</v>
      </c>
      <c r="AA94" s="11" t="s">
        <v>23</v>
      </c>
      <c r="AB94" s="11" t="s">
        <v>23</v>
      </c>
      <c r="AC94" s="11" t="s">
        <v>23</v>
      </c>
      <c r="AD94" s="12" t="s">
        <v>23</v>
      </c>
      <c r="AE94" s="18" t="s">
        <v>23</v>
      </c>
      <c r="AF94" s="50">
        <v>0</v>
      </c>
      <c r="AG94" s="21" t="s">
        <v>31</v>
      </c>
    </row>
  </sheetData>
  <mergeCells count="10">
    <mergeCell ref="AP5:AQ8"/>
    <mergeCell ref="A1:G1"/>
    <mergeCell ref="H1:AF1"/>
    <mergeCell ref="AI1:AK2"/>
    <mergeCell ref="C2:D2"/>
    <mergeCell ref="E2:G2"/>
    <mergeCell ref="L2:O2"/>
    <mergeCell ref="T2:W2"/>
    <mergeCell ref="AB2:AE2"/>
    <mergeCell ref="AG2:AG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102</vt:lpstr>
      <vt:lpstr>102 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2021-06-17T16:09:24Z</dcterms:created>
  <dcterms:modified xsi:type="dcterms:W3CDTF">2021-06-20T20:44:53Z</dcterms:modified>
</cp:coreProperties>
</file>