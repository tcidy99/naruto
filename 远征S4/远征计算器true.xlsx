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68A7C5D5-24A7-4E77-B54E-D16C16B8F9C3}" xr6:coauthVersionLast="45" xr6:coauthVersionMax="45" xr10:uidLastSave="{00000000-0000-0000-0000-000000000000}"/>
  <bookViews>
    <workbookView xWindow="-120" yWindow="-120" windowWidth="29040" windowHeight="17640" xr2:uid="{F795F130-7073-4777-9EA5-5BC922687BC8}"/>
  </bookViews>
  <sheets>
    <sheet name="true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94" i="13" l="1"/>
  <c r="F93" i="13"/>
  <c r="F92" i="13"/>
  <c r="F91" i="13"/>
  <c r="F90" i="13"/>
  <c r="F89" i="13"/>
  <c r="F88" i="13"/>
  <c r="F87" i="13"/>
  <c r="F86" i="13"/>
  <c r="F85" i="13"/>
  <c r="F84" i="13"/>
  <c r="F83" i="13"/>
  <c r="F82" i="13"/>
  <c r="F81" i="13"/>
  <c r="F80" i="13"/>
  <c r="F79" i="13"/>
  <c r="F78" i="13"/>
  <c r="F77" i="13"/>
  <c r="F76" i="13"/>
  <c r="F75" i="13"/>
  <c r="E94" i="13" l="1" a="1"/>
  <c r="E94" i="13" s="1"/>
  <c r="C94" i="13" a="1"/>
  <c r="C94" i="13" s="1"/>
  <c r="E93" i="13" a="1"/>
  <c r="E93" i="13" s="1"/>
  <c r="C93" i="13" a="1"/>
  <c r="C93" i="13" s="1"/>
  <c r="E92" i="13" a="1"/>
  <c r="E92" i="13" s="1"/>
  <c r="C92" i="13" a="1"/>
  <c r="C92" i="13" s="1"/>
  <c r="E91" i="13" a="1"/>
  <c r="E91" i="13" s="1"/>
  <c r="C91" i="13" a="1"/>
  <c r="C91" i="13" s="1"/>
  <c r="E90" i="13" a="1"/>
  <c r="E90" i="13" s="1"/>
  <c r="C90" i="13" a="1"/>
  <c r="C90" i="13" s="1"/>
  <c r="E89" i="13" a="1"/>
  <c r="E89" i="13" s="1"/>
  <c r="C89" i="13" a="1"/>
  <c r="C89" i="13" s="1"/>
  <c r="E88" i="13" a="1"/>
  <c r="E88" i="13" s="1"/>
  <c r="C88" i="13" a="1"/>
  <c r="C88" i="13" s="1"/>
  <c r="E87" i="13" a="1"/>
  <c r="E87" i="13" s="1"/>
  <c r="C87" i="13" a="1"/>
  <c r="C87" i="13" s="1"/>
  <c r="E86" i="13" a="1"/>
  <c r="E86" i="13" s="1"/>
  <c r="C86" i="13" a="1"/>
  <c r="C86" i="13" s="1"/>
  <c r="E85" i="13" a="1"/>
  <c r="E85" i="13" s="1"/>
  <c r="C85" i="13" a="1"/>
  <c r="C85" i="13" s="1"/>
  <c r="E84" i="13" a="1"/>
  <c r="E84" i="13" s="1"/>
  <c r="C84" i="13" a="1"/>
  <c r="C84" i="13" s="1"/>
  <c r="E83" i="13" a="1"/>
  <c r="E83" i="13" s="1"/>
  <c r="C83" i="13" a="1"/>
  <c r="C83" i="13" s="1"/>
  <c r="E82" i="13" a="1"/>
  <c r="E82" i="13" s="1"/>
  <c r="C82" i="13" a="1"/>
  <c r="C82" i="13" s="1"/>
  <c r="E81" i="13" a="1"/>
  <c r="E81" i="13" s="1"/>
  <c r="C81" i="13" a="1"/>
  <c r="C81" i="13" s="1"/>
  <c r="E80" i="13" a="1"/>
  <c r="E80" i="13" s="1"/>
  <c r="C80" i="13" a="1"/>
  <c r="C80" i="13" s="1"/>
  <c r="E79" i="13" a="1"/>
  <c r="E79" i="13" s="1"/>
  <c r="C79" i="13" a="1"/>
  <c r="C79" i="13" s="1"/>
  <c r="E78" i="13" a="1"/>
  <c r="E78" i="13" s="1"/>
  <c r="C78" i="13" a="1"/>
  <c r="C78" i="13" s="1"/>
  <c r="E77" i="13" a="1"/>
  <c r="E77" i="13" s="1"/>
  <c r="C77" i="13" a="1"/>
  <c r="C77" i="13" s="1"/>
  <c r="E76" i="13" a="1"/>
  <c r="E76" i="13" s="1"/>
  <c r="C76" i="13" a="1"/>
  <c r="C76" i="13" s="1"/>
  <c r="E75" i="13" a="1"/>
  <c r="E75" i="13" s="1"/>
  <c r="C75" i="13" a="1"/>
  <c r="C75" i="13" s="1"/>
  <c r="E74" i="13" a="1"/>
  <c r="E74" i="13" s="1"/>
  <c r="C74" i="13" a="1"/>
  <c r="C74" i="13" s="1"/>
  <c r="E73" i="13" a="1"/>
  <c r="E73" i="13" s="1"/>
  <c r="C73" i="13" a="1"/>
  <c r="C73" i="13" s="1"/>
  <c r="E72" i="13" a="1"/>
  <c r="E72" i="13" s="1"/>
  <c r="C72" i="13" a="1"/>
  <c r="C72" i="13" s="1"/>
  <c r="E71" i="13" a="1"/>
  <c r="E71" i="13" s="1"/>
  <c r="C71" i="13" a="1"/>
  <c r="C71" i="13" s="1"/>
  <c r="E70" i="13" a="1"/>
  <c r="E70" i="13" s="1"/>
  <c r="C70" i="13" a="1"/>
  <c r="C70" i="13" s="1"/>
  <c r="E69" i="13" a="1"/>
  <c r="E69" i="13" s="1"/>
  <c r="C69" i="13" a="1"/>
  <c r="C69" i="13" s="1"/>
  <c r="E68" i="13" a="1"/>
  <c r="E68" i="13" s="1"/>
  <c r="C68" i="13" a="1"/>
  <c r="C68" i="13" s="1"/>
  <c r="E67" i="13" a="1"/>
  <c r="E67" i="13" s="1"/>
  <c r="C67" i="13" a="1"/>
  <c r="C67" i="13" s="1"/>
  <c r="E66" i="13" a="1"/>
  <c r="E66" i="13" s="1"/>
  <c r="C66" i="13" a="1"/>
  <c r="C66" i="13" s="1"/>
  <c r="E65" i="13" a="1"/>
  <c r="E65" i="13" s="1"/>
  <c r="C65" i="13" a="1"/>
  <c r="C65" i="13" s="1"/>
  <c r="E64" i="13" a="1"/>
  <c r="E64" i="13" s="1"/>
  <c r="C64" i="13" a="1"/>
  <c r="C64" i="13" s="1"/>
  <c r="E63" i="13" a="1"/>
  <c r="E63" i="13" s="1"/>
  <c r="C63" i="13" a="1"/>
  <c r="C63" i="13" s="1"/>
  <c r="E62" i="13" a="1"/>
  <c r="E62" i="13" s="1"/>
  <c r="C62" i="13" a="1"/>
  <c r="C62" i="13" s="1"/>
  <c r="E61" i="13" a="1"/>
  <c r="E61" i="13" s="1"/>
  <c r="C61" i="13" a="1"/>
  <c r="C61" i="13" s="1"/>
  <c r="E60" i="13" a="1"/>
  <c r="E60" i="13" s="1"/>
  <c r="C60" i="13" a="1"/>
  <c r="C60" i="13" s="1"/>
  <c r="E59" i="13" a="1"/>
  <c r="E59" i="13" s="1"/>
  <c r="C59" i="13" a="1"/>
  <c r="C59" i="13" s="1"/>
  <c r="E58" i="13" a="1"/>
  <c r="E58" i="13" s="1"/>
  <c r="C58" i="13" a="1"/>
  <c r="C58" i="13" s="1"/>
  <c r="E57" i="13" a="1"/>
  <c r="E57" i="13" s="1"/>
  <c r="C57" i="13" a="1"/>
  <c r="C57" i="13" s="1"/>
  <c r="E56" i="13" a="1"/>
  <c r="E56" i="13" s="1"/>
  <c r="C56" i="13" a="1"/>
  <c r="C56" i="13" s="1"/>
  <c r="E55" i="13" a="1"/>
  <c r="E55" i="13" s="1"/>
  <c r="C55" i="13" a="1"/>
  <c r="C55" i="13" s="1"/>
  <c r="E54" i="13" a="1"/>
  <c r="E54" i="13" s="1"/>
  <c r="C54" i="13" a="1"/>
  <c r="C54" i="13" s="1"/>
  <c r="E53" i="13" a="1"/>
  <c r="E53" i="13" s="1"/>
  <c r="C53" i="13" a="1"/>
  <c r="C53" i="13" s="1"/>
  <c r="E52" i="13" a="1"/>
  <c r="E52" i="13" s="1"/>
  <c r="C52" i="13" a="1"/>
  <c r="C52" i="13" s="1"/>
  <c r="E51" i="13" a="1"/>
  <c r="E51" i="13" s="1"/>
  <c r="C51" i="13" a="1"/>
  <c r="C51" i="13" s="1"/>
  <c r="E50" i="13" a="1"/>
  <c r="E50" i="13" s="1"/>
  <c r="C50" i="13" a="1"/>
  <c r="C50" i="13" s="1"/>
  <c r="E49" i="13" a="1"/>
  <c r="E49" i="13" s="1"/>
  <c r="C49" i="13" a="1"/>
  <c r="C49" i="13" s="1"/>
  <c r="E48" i="13" a="1"/>
  <c r="E48" i="13" s="1"/>
  <c r="C48" i="13" a="1"/>
  <c r="C48" i="13" s="1"/>
  <c r="E47" i="13" a="1"/>
  <c r="E47" i="13" s="1"/>
  <c r="C47" i="13" a="1"/>
  <c r="C47" i="13" s="1"/>
  <c r="E46" i="13" a="1"/>
  <c r="E46" i="13" s="1"/>
  <c r="C46" i="13" a="1"/>
  <c r="C46" i="13" s="1"/>
  <c r="E45" i="13" a="1"/>
  <c r="E45" i="13" s="1"/>
  <c r="C45" i="13" a="1"/>
  <c r="C45" i="13" s="1"/>
  <c r="E44" i="13" a="1"/>
  <c r="E44" i="13" s="1"/>
  <c r="C44" i="13" a="1"/>
  <c r="C44" i="13" s="1"/>
  <c r="E43" i="13" a="1"/>
  <c r="E43" i="13" s="1"/>
  <c r="C43" i="13" a="1"/>
  <c r="C43" i="13" s="1"/>
  <c r="E42" i="13" a="1"/>
  <c r="E42" i="13" s="1"/>
  <c r="C42" i="13" a="1"/>
  <c r="C42" i="13" s="1"/>
  <c r="E41" i="13" a="1"/>
  <c r="E41" i="13" s="1"/>
  <c r="C41" i="13" a="1"/>
  <c r="C41" i="13" s="1"/>
  <c r="E40" i="13" a="1"/>
  <c r="E40" i="13" s="1"/>
  <c r="C40" i="13" a="1"/>
  <c r="C40" i="13" s="1"/>
  <c r="E39" i="13" a="1"/>
  <c r="E39" i="13" s="1"/>
  <c r="C39" i="13" a="1"/>
  <c r="C39" i="13" s="1"/>
  <c r="E38" i="13" a="1"/>
  <c r="E38" i="13" s="1"/>
  <c r="C38" i="13" a="1"/>
  <c r="C38" i="13" s="1"/>
  <c r="E37" i="13" a="1"/>
  <c r="E37" i="13" s="1"/>
  <c r="C37" i="13" a="1"/>
  <c r="C37" i="13" s="1"/>
  <c r="E36" i="13" a="1"/>
  <c r="E36" i="13" s="1"/>
  <c r="C36" i="13" a="1"/>
  <c r="C36" i="13" s="1"/>
  <c r="E35" i="13" a="1"/>
  <c r="E35" i="13" s="1"/>
  <c r="C35" i="13" a="1"/>
  <c r="C35" i="13" s="1"/>
  <c r="E34" i="13" a="1"/>
  <c r="E34" i="13" s="1"/>
  <c r="C34" i="13" a="1"/>
  <c r="C34" i="13" s="1"/>
  <c r="E33" i="13" a="1"/>
  <c r="E33" i="13" s="1"/>
  <c r="C33" i="13" a="1"/>
  <c r="C33" i="13" s="1"/>
  <c r="E32" i="13" a="1"/>
  <c r="E32" i="13" s="1"/>
  <c r="C32" i="13" a="1"/>
  <c r="C32" i="13" s="1"/>
  <c r="E31" i="13" a="1"/>
  <c r="E31" i="13" s="1"/>
  <c r="C31" i="13" a="1"/>
  <c r="C31" i="13" s="1"/>
  <c r="E30" i="13" a="1"/>
  <c r="E30" i="13" s="1"/>
  <c r="C30" i="13" a="1"/>
  <c r="C30" i="13" s="1"/>
  <c r="E29" i="13" a="1"/>
  <c r="E29" i="13" s="1"/>
  <c r="C29" i="13" a="1"/>
  <c r="C29" i="13" s="1"/>
  <c r="AY28" i="13"/>
  <c r="AQ28" i="13"/>
  <c r="AU28" i="13" s="1"/>
  <c r="AP28" i="13"/>
  <c r="AT28" i="13" s="1"/>
  <c r="AO28" i="13"/>
  <c r="E28" i="13"/>
  <c r="E28" i="13" a="1"/>
  <c r="C28" i="13"/>
  <c r="C28" i="13" a="1"/>
  <c r="AY27" i="13"/>
  <c r="AU27" i="13"/>
  <c r="AT27" i="13"/>
  <c r="AS27" i="13"/>
  <c r="E27" i="13"/>
  <c r="E27" i="13" a="1"/>
  <c r="C27" i="13" a="1"/>
  <c r="C27" i="13" s="1"/>
  <c r="AY26" i="13"/>
  <c r="AQ26" i="13"/>
  <c r="AU26" i="13" s="1"/>
  <c r="AP26" i="13"/>
  <c r="AT26" i="13" s="1"/>
  <c r="AO26" i="13"/>
  <c r="E26" i="13"/>
  <c r="E26" i="13" a="1"/>
  <c r="C26" i="13"/>
  <c r="C26" i="13" a="1"/>
  <c r="AY25" i="13"/>
  <c r="AQ25" i="13"/>
  <c r="AU25" i="13" s="1"/>
  <c r="AP25" i="13"/>
  <c r="AT25" i="13" s="1"/>
  <c r="AO25" i="13"/>
  <c r="AS25" i="13" s="1"/>
  <c r="E25" i="13" a="1"/>
  <c r="E25" i="13" s="1"/>
  <c r="C25" i="13" a="1"/>
  <c r="C25" i="13" s="1"/>
  <c r="AY24" i="13"/>
  <c r="AQ24" i="13"/>
  <c r="AU24" i="13" s="1"/>
  <c r="AP24" i="13"/>
  <c r="AT24" i="13" s="1"/>
  <c r="AO24" i="13"/>
  <c r="E24" i="13"/>
  <c r="E24" i="13" a="1"/>
  <c r="C24" i="13" a="1"/>
  <c r="C24" i="13" s="1"/>
  <c r="AY23" i="13"/>
  <c r="AQ23" i="13"/>
  <c r="AU23" i="13" s="1"/>
  <c r="AP23" i="13"/>
  <c r="AO23" i="13"/>
  <c r="AS23" i="13" s="1"/>
  <c r="E23" i="13"/>
  <c r="E23" i="13" a="1"/>
  <c r="C23" i="13"/>
  <c r="C23" i="13" a="1"/>
  <c r="AY22" i="13"/>
  <c r="AU22" i="13"/>
  <c r="AQ22" i="13"/>
  <c r="AP22" i="13"/>
  <c r="AT22" i="13" s="1"/>
  <c r="AO22" i="13"/>
  <c r="AS22" i="13" s="1"/>
  <c r="E22" i="13" a="1"/>
  <c r="E22" i="13" s="1"/>
  <c r="C22" i="13" a="1"/>
  <c r="C22" i="13" s="1"/>
  <c r="AY21" i="13"/>
  <c r="AQ21" i="13"/>
  <c r="AU21" i="13" s="1"/>
  <c r="AP21" i="13"/>
  <c r="AT21" i="13" s="1"/>
  <c r="AO21" i="13"/>
  <c r="AS21" i="13" s="1"/>
  <c r="E21" i="13"/>
  <c r="E21" i="13" a="1"/>
  <c r="C21" i="13" a="1"/>
  <c r="C21" i="13" s="1"/>
  <c r="AY20" i="13"/>
  <c r="AQ20" i="13"/>
  <c r="AU20" i="13" s="1"/>
  <c r="AP20" i="13"/>
  <c r="AT20" i="13" s="1"/>
  <c r="AO20" i="13"/>
  <c r="E20" i="13"/>
  <c r="E20" i="13" a="1"/>
  <c r="C20" i="13"/>
  <c r="C20" i="13" a="1"/>
  <c r="AY19" i="13"/>
  <c r="AQ19" i="13"/>
  <c r="AU19" i="13" s="1"/>
  <c r="AP19" i="13"/>
  <c r="AT19" i="13" s="1"/>
  <c r="AO19" i="13"/>
  <c r="E19" i="13" a="1"/>
  <c r="E19" i="13" s="1"/>
  <c r="C19" i="13" a="1"/>
  <c r="C19" i="13" s="1"/>
  <c r="AY18" i="13"/>
  <c r="AQ18" i="13"/>
  <c r="AU18" i="13" s="1"/>
  <c r="AP18" i="13"/>
  <c r="AT18" i="13" s="1"/>
  <c r="AO18" i="13"/>
  <c r="E18" i="13"/>
  <c r="E18" i="13" a="1"/>
  <c r="C18" i="13" a="1"/>
  <c r="C18" i="13" s="1"/>
  <c r="AY17" i="13"/>
  <c r="AQ17" i="13"/>
  <c r="AU17" i="13" s="1"/>
  <c r="AP17" i="13"/>
  <c r="AT17" i="13" s="1"/>
  <c r="AO17" i="13"/>
  <c r="AS17" i="13" s="1"/>
  <c r="E17" i="13"/>
  <c r="E17" i="13" a="1"/>
  <c r="C17" i="13"/>
  <c r="C17" i="13" a="1"/>
  <c r="AY16" i="13"/>
  <c r="AU16" i="13"/>
  <c r="AQ16" i="13"/>
  <c r="AP16" i="13"/>
  <c r="AT16" i="13" s="1"/>
  <c r="AO16" i="13"/>
  <c r="AS16" i="13" s="1"/>
  <c r="E16" i="13" a="1"/>
  <c r="E16" i="13" s="1"/>
  <c r="C16" i="13" a="1"/>
  <c r="C16" i="13" s="1"/>
  <c r="AY15" i="13"/>
  <c r="AQ15" i="13"/>
  <c r="AU15" i="13" s="1"/>
  <c r="AP15" i="13"/>
  <c r="AT15" i="13" s="1"/>
  <c r="AO15" i="13"/>
  <c r="AS15" i="13" s="1"/>
  <c r="E15" i="13"/>
  <c r="E15" i="13" a="1"/>
  <c r="C15" i="13" a="1"/>
  <c r="C15" i="13" s="1"/>
  <c r="AY14" i="13"/>
  <c r="AQ14" i="13"/>
  <c r="AU14" i="13" s="1"/>
  <c r="AP14" i="13"/>
  <c r="AT14" i="13" s="1"/>
  <c r="AO14" i="13"/>
  <c r="E14" i="13"/>
  <c r="E14" i="13" a="1"/>
  <c r="C14" i="13"/>
  <c r="C14" i="13" a="1"/>
  <c r="AY13" i="13"/>
  <c r="AU13" i="13"/>
  <c r="AQ13" i="13"/>
  <c r="AP13" i="13"/>
  <c r="AT13" i="13" s="1"/>
  <c r="AO13" i="13"/>
  <c r="AS13" i="13" s="1"/>
  <c r="E13" i="13" a="1"/>
  <c r="E13" i="13" s="1"/>
  <c r="C13" i="13" a="1"/>
  <c r="C13" i="13" s="1"/>
  <c r="AY12" i="13"/>
  <c r="AQ12" i="13"/>
  <c r="AU12" i="13" s="1"/>
  <c r="AP12" i="13"/>
  <c r="AT12" i="13" s="1"/>
  <c r="AO12" i="13"/>
  <c r="AS12" i="13" s="1"/>
  <c r="E12" i="13"/>
  <c r="E12" i="13" a="1"/>
  <c r="C12" i="13" a="1"/>
  <c r="C12" i="13" s="1"/>
  <c r="AY11" i="13"/>
  <c r="AQ11" i="13"/>
  <c r="AU11" i="13" s="1"/>
  <c r="AP11" i="13"/>
  <c r="AO11" i="13"/>
  <c r="AS11" i="13" s="1"/>
  <c r="E11" i="13"/>
  <c r="E11" i="13" a="1"/>
  <c r="C11" i="13"/>
  <c r="C11" i="13" a="1"/>
  <c r="AY10" i="13"/>
  <c r="AQ10" i="13"/>
  <c r="AU10" i="13" s="1"/>
  <c r="AP10" i="13"/>
  <c r="AT10" i="13" s="1"/>
  <c r="AO10" i="13"/>
  <c r="AS10" i="13" s="1"/>
  <c r="E10" i="13" a="1"/>
  <c r="E10" i="13" s="1"/>
  <c r="C10" i="13" a="1"/>
  <c r="C10" i="13" s="1"/>
  <c r="AY9" i="13"/>
  <c r="AT9" i="13"/>
  <c r="AQ9" i="13"/>
  <c r="AU9" i="13" s="1"/>
  <c r="AP9" i="13"/>
  <c r="AO9" i="13"/>
  <c r="E9" i="13"/>
  <c r="E9" i="13" a="1"/>
  <c r="C9" i="13" a="1"/>
  <c r="C9" i="13" s="1"/>
  <c r="AY8" i="13"/>
  <c r="AQ8" i="13"/>
  <c r="AU8" i="13" s="1"/>
  <c r="AP8" i="13"/>
  <c r="AT8" i="13" s="1"/>
  <c r="AO8" i="13"/>
  <c r="AS8" i="13" s="1"/>
  <c r="E8" i="13"/>
  <c r="E8" i="13" a="1"/>
  <c r="C8" i="13"/>
  <c r="C8" i="13" a="1"/>
  <c r="AY7" i="13"/>
  <c r="AQ7" i="13"/>
  <c r="AU7" i="13" s="1"/>
  <c r="AP7" i="13"/>
  <c r="AT7" i="13" s="1"/>
  <c r="AO7" i="13"/>
  <c r="AS7" i="13" s="1"/>
  <c r="E7" i="13" a="1"/>
  <c r="E7" i="13" s="1"/>
  <c r="C7" i="13" a="1"/>
  <c r="C7" i="13" s="1"/>
  <c r="AY6" i="13"/>
  <c r="AQ6" i="13"/>
  <c r="AU6" i="13" s="1"/>
  <c r="AP6" i="13"/>
  <c r="AT6" i="13" s="1"/>
  <c r="AO6" i="13"/>
  <c r="AS6" i="13" s="1"/>
  <c r="E6" i="13"/>
  <c r="E6" i="13" a="1"/>
  <c r="C6" i="13" a="1"/>
  <c r="C6" i="13" s="1"/>
  <c r="AY5" i="13"/>
  <c r="AQ5" i="13"/>
  <c r="AU5" i="13" s="1"/>
  <c r="AP5" i="13"/>
  <c r="AO5" i="13"/>
  <c r="AS5" i="13" s="1"/>
  <c r="E5" i="13"/>
  <c r="E5" i="13" a="1"/>
  <c r="C5" i="13"/>
  <c r="C5" i="13" a="1"/>
  <c r="AY4" i="13"/>
  <c r="AT4" i="13"/>
  <c r="AQ4" i="13"/>
  <c r="AU4" i="13" s="1"/>
  <c r="AP4" i="13"/>
  <c r="AO4" i="13"/>
  <c r="AS4" i="13" s="1"/>
  <c r="E4" i="13" a="1"/>
  <c r="E4" i="13" s="1"/>
  <c r="C4" i="13" a="1"/>
  <c r="C4" i="13" s="1"/>
  <c r="AI2" i="13"/>
  <c r="AH2" i="13"/>
  <c r="AG2" i="13"/>
  <c r="AF2" i="13"/>
  <c r="AA2" i="13"/>
  <c r="S2" i="13"/>
  <c r="K2" i="13"/>
  <c r="A1" i="13"/>
  <c r="D76" i="13" l="1"/>
  <c r="D86" i="13"/>
  <c r="D85" i="13"/>
  <c r="D87" i="13"/>
  <c r="D84" i="13"/>
  <c r="D75" i="13"/>
  <c r="D83" i="13"/>
  <c r="D94" i="13"/>
  <c r="D82" i="13"/>
  <c r="D93" i="13"/>
  <c r="D81" i="13"/>
  <c r="D92" i="13"/>
  <c r="D80" i="13"/>
  <c r="D91" i="13"/>
  <c r="D79" i="13"/>
  <c r="D90" i="13"/>
  <c r="D78" i="13"/>
  <c r="D89" i="13"/>
  <c r="D77" i="13"/>
  <c r="D88" i="13"/>
  <c r="AR8" i="13"/>
  <c r="AR24" i="13"/>
  <c r="AR6" i="13"/>
  <c r="AR16" i="13"/>
  <c r="AR12" i="13"/>
  <c r="AR18" i="13"/>
  <c r="AR14" i="13"/>
  <c r="AR26" i="13"/>
  <c r="AR17" i="13"/>
  <c r="AR20" i="13"/>
  <c r="AR28" i="13"/>
  <c r="AR19" i="13"/>
  <c r="AR9" i="13"/>
  <c r="AS18" i="13"/>
  <c r="AS14" i="13"/>
  <c r="AS24" i="13"/>
  <c r="AS20" i="13"/>
  <c r="AR5" i="13"/>
  <c r="AS9" i="13"/>
  <c r="AR23" i="13"/>
  <c r="AR4" i="13"/>
  <c r="AR22" i="13"/>
  <c r="AS26" i="13"/>
  <c r="AR11" i="13"/>
  <c r="AS28" i="13"/>
  <c r="AR10" i="13"/>
  <c r="F72" i="13"/>
  <c r="F70" i="13"/>
  <c r="F68" i="13"/>
  <c r="F66" i="13"/>
  <c r="F64" i="13"/>
  <c r="F62" i="13"/>
  <c r="F60" i="13"/>
  <c r="F58" i="13"/>
  <c r="F56" i="13"/>
  <c r="F54" i="13"/>
  <c r="F52" i="13"/>
  <c r="F50" i="13"/>
  <c r="F48" i="13"/>
  <c r="F46" i="13"/>
  <c r="F44" i="13"/>
  <c r="F42" i="13"/>
  <c r="F40" i="13"/>
  <c r="F38" i="13"/>
  <c r="F36" i="13"/>
  <c r="F34" i="13"/>
  <c r="F32" i="13"/>
  <c r="F30" i="13"/>
  <c r="F25" i="13"/>
  <c r="F19" i="13"/>
  <c r="F13" i="13"/>
  <c r="F7" i="13"/>
  <c r="F12" i="13"/>
  <c r="F23" i="13"/>
  <c r="F17" i="13"/>
  <c r="F11" i="13"/>
  <c r="F5" i="13"/>
  <c r="F6" i="13"/>
  <c r="F73" i="13"/>
  <c r="F71" i="13"/>
  <c r="F69" i="13"/>
  <c r="F67" i="13"/>
  <c r="F65" i="13"/>
  <c r="F63" i="13"/>
  <c r="F61" i="13"/>
  <c r="F59" i="13"/>
  <c r="F57" i="13"/>
  <c r="F55" i="13"/>
  <c r="F53" i="13"/>
  <c r="F51" i="13"/>
  <c r="F49" i="13"/>
  <c r="F47" i="13"/>
  <c r="F45" i="13"/>
  <c r="F43" i="13"/>
  <c r="F41" i="13"/>
  <c r="F39" i="13"/>
  <c r="F37" i="13"/>
  <c r="F35" i="13"/>
  <c r="F33" i="13"/>
  <c r="F31" i="13"/>
  <c r="F22" i="13"/>
  <c r="F16" i="13"/>
  <c r="F10" i="13"/>
  <c r="F4" i="13"/>
  <c r="E2" i="13"/>
  <c r="F27" i="13"/>
  <c r="F21" i="13"/>
  <c r="F15" i="13"/>
  <c r="F24" i="13"/>
  <c r="F18" i="13"/>
  <c r="F29" i="13"/>
  <c r="F9" i="13"/>
  <c r="F28" i="13"/>
  <c r="F26" i="13"/>
  <c r="F20" i="13"/>
  <c r="F14" i="13"/>
  <c r="F8" i="13"/>
  <c r="D29" i="13"/>
  <c r="D27" i="13"/>
  <c r="D28" i="13"/>
  <c r="D26" i="13"/>
  <c r="D20" i="13"/>
  <c r="D14" i="13"/>
  <c r="D8" i="13"/>
  <c r="D72" i="13"/>
  <c r="D70" i="13"/>
  <c r="D68" i="13"/>
  <c r="D66" i="13"/>
  <c r="D64" i="13"/>
  <c r="D62" i="13"/>
  <c r="D60" i="13"/>
  <c r="D58" i="13"/>
  <c r="D56" i="13"/>
  <c r="D54" i="13"/>
  <c r="D52" i="13"/>
  <c r="D50" i="13"/>
  <c r="D48" i="13"/>
  <c r="D46" i="13"/>
  <c r="D44" i="13"/>
  <c r="D42" i="13"/>
  <c r="D40" i="13"/>
  <c r="D38" i="13"/>
  <c r="D36" i="13"/>
  <c r="D34" i="13"/>
  <c r="D32" i="13"/>
  <c r="D30" i="13"/>
  <c r="D25" i="13"/>
  <c r="D19" i="13"/>
  <c r="D13" i="13"/>
  <c r="D7" i="13"/>
  <c r="D24" i="13"/>
  <c r="D18" i="13"/>
  <c r="D12" i="13"/>
  <c r="D6" i="13"/>
  <c r="D11" i="13"/>
  <c r="D5" i="13"/>
  <c r="D23" i="13"/>
  <c r="D17" i="13"/>
  <c r="D73" i="13"/>
  <c r="D71" i="13"/>
  <c r="D69" i="13"/>
  <c r="D67" i="13"/>
  <c r="D65" i="13"/>
  <c r="D63" i="13"/>
  <c r="D61" i="13"/>
  <c r="D59" i="13"/>
  <c r="D57" i="13"/>
  <c r="D55" i="13"/>
  <c r="D53" i="13"/>
  <c r="D51" i="13"/>
  <c r="D49" i="13"/>
  <c r="D47" i="13"/>
  <c r="D45" i="13"/>
  <c r="D43" i="13"/>
  <c r="D41" i="13"/>
  <c r="D39" i="13"/>
  <c r="D37" i="13"/>
  <c r="D35" i="13"/>
  <c r="D33" i="13"/>
  <c r="D31" i="13"/>
  <c r="D22" i="13"/>
  <c r="D16" i="13"/>
  <c r="D10" i="13"/>
  <c r="D4" i="13"/>
  <c r="D15" i="13"/>
  <c r="D9" i="13"/>
  <c r="D21" i="13"/>
  <c r="AT5" i="13"/>
  <c r="AT11" i="13"/>
  <c r="AT23" i="13"/>
  <c r="AR7" i="13"/>
  <c r="AR25" i="13"/>
  <c r="AR13" i="13"/>
  <c r="AS19" i="13"/>
  <c r="AR15" i="13"/>
  <c r="AR21" i="13"/>
  <c r="AU29" i="13" l="1"/>
  <c r="AR29" i="13"/>
  <c r="D96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<sst xmlns="http://schemas.openxmlformats.org/spreadsheetml/2006/main" count="2344" uniqueCount="65">
  <si>
    <t>获得粮草</t>
  </si>
  <si>
    <t>剩余粮草</t>
  </si>
  <si>
    <t>地块</t>
  </si>
  <si>
    <t>粮草</t>
  </si>
  <si>
    <t>经验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</si>
  <si>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</si>
  <si>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</si>
  <si>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</si>
  <si>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</si>
  <si>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</si>
  <si>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</si>
  <si>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</si>
  <si>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</si>
  <si>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</si>
  <si>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小boss</t>
  </si>
  <si>
    <t>大boss</t>
  </si>
  <si>
    <t>1级</t>
  </si>
  <si>
    <t>2级</t>
  </si>
  <si>
    <t>3级</t>
  </si>
  <si>
    <t>4级</t>
  </si>
  <si>
    <t>5级</t>
  </si>
  <si>
    <t>6级</t>
  </si>
  <si>
    <t>消耗粮草</t>
  </si>
  <si>
    <t>空</t>
  </si>
  <si>
    <t>获得经验</t>
  </si>
  <si>
    <t>八卦前</t>
  </si>
  <si>
    <t>八卦后</t>
  </si>
  <si>
    <t>任务经验</t>
  </si>
  <si>
    <t>跳步次数</t>
  </si>
  <si>
    <t>八卦全开</t>
  </si>
  <si>
    <t>否</t>
  </si>
  <si>
    <t>是</t>
  </si>
  <si>
    <t>粮草系数</t>
  </si>
  <si>
    <t>队伍三</t>
  </si>
  <si>
    <t>Note：开完八卦当天可能需要手动计算粮草</t>
  </si>
  <si>
    <t>合计经验</t>
  </si>
  <si>
    <t>日期</t>
  </si>
  <si>
    <t>工作区</t>
  </si>
  <si>
    <t>秋道</t>
  </si>
  <si>
    <t>奈良</t>
  </si>
  <si>
    <t>山中</t>
  </si>
  <si>
    <t>艮震巽坎</t>
  </si>
  <si>
    <t>离乾兑坤</t>
  </si>
  <si>
    <t>中boss</t>
  </si>
  <si>
    <t>使用方法：按自己规划的路线，将下表中的地块名复制粘贴至工作区。初次使用传送门，当天跳步次数+5。重复使用传送门，当天跳步次数+1</t>
  </si>
  <si>
    <t>累计经验</t>
  </si>
  <si>
    <t>总步数</t>
  </si>
  <si>
    <t>(不算跳步和传送)</t>
  </si>
  <si>
    <t>步数</t>
  </si>
  <si>
    <t>营地+</t>
  </si>
  <si>
    <t>队伍一 风</t>
  </si>
  <si>
    <t>队伍二 雷</t>
  </si>
  <si>
    <t>2队跳步</t>
  </si>
  <si>
    <t>3队跳步</t>
  </si>
  <si>
    <t>1队跳步</t>
  </si>
  <si>
    <t>负粮草</t>
  </si>
  <si>
    <t>一队经验</t>
  </si>
  <si>
    <t>二队经验</t>
  </si>
  <si>
    <t>三队经验</t>
  </si>
  <si>
    <t>一队地块</t>
  </si>
  <si>
    <t>二队地块</t>
  </si>
  <si>
    <t>三队地块</t>
  </si>
  <si>
    <t>总地块</t>
  </si>
  <si>
    <t>总经验</t>
  </si>
  <si>
    <t>version 1.20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</si>
</sst>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14" fontId="0" fillId="0" borderId="0" xfId="0" applyNumberFormat="1"/>
    <xf numFmtId="0" fontId="1" fillId="0" borderId="0" xfId="0" applyFont="1"/>
    <xf numFmtId="14" fontId="0" fillId="14" borderId="0" xfId="0" applyNumberFormat="1" applyFill="1"/>
    <xf numFmtId="0" fontId="0" fillId="14" borderId="0" xfId="0" applyFill="1"/>
    <xf numFmtId="0" fontId="0" fillId="4" borderId="4" xfId="0" applyFill="1" applyBorder="1"/>
    <xf numFmtId="0" fontId="0" fillId="4" borderId="0" xfId="0" applyFill="1" applyBorder="1"/>
    <xf numFmtId="0" fontId="0" fillId="0" borderId="0" xfId="0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0" fontId="0" fillId="15" borderId="5" xfId="0" applyFill="1" applyBorder="1"/>
    <xf numFmtId="0" fontId="0" fillId="15" borderId="8" xfId="0" applyFill="1" applyBorder="1"/>
    <xf numFmtId="0" fontId="0" fillId="0" borderId="13" xfId="0" applyBorder="1"/>
    <xf numFmtId="0" fontId="0" fillId="0" borderId="14" xfId="0" applyBorder="1"/>
    <xf numFmtId="0" fontId="0" fillId="12" borderId="1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2" borderId="8" xfId="0" applyFill="1" applyBorder="1"/>
    <xf numFmtId="0" fontId="0" fillId="14" borderId="0" xfId="0" applyFill="1" applyAlignment="1">
      <alignment wrapText="1"/>
    </xf>
    <xf numFmtId="0" fontId="0" fillId="14" borderId="0" xfId="0" applyFill="1" applyAlignment="1">
      <alignment horizontal="center" vertical="center" wrapText="1"/>
    </xf>
    <xf numFmtId="0" fontId="2" fillId="14" borderId="0" xfId="0" applyFont="1" applyFill="1"/>
    <xf numFmtId="0" fontId="2" fillId="0" borderId="0" xfId="0" applyFont="1"/>
    <xf numFmtId="0" fontId="0" fillId="0" borderId="15" xfId="0" applyBorder="1"/>
    <xf numFmtId="0" fontId="0" fillId="6" borderId="15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0" fillId="2" borderId="15" xfId="0" applyFont="1" applyFill="1" applyBorder="1" applyAlignment="1">
      <alignment vertical="top"/>
    </xf>
    <xf numFmtId="0" fontId="0" fillId="7" borderId="15" xfId="0" applyFont="1" applyFill="1" applyBorder="1" applyAlignment="1">
      <alignment vertical="top"/>
    </xf>
    <xf numFmtId="0" fontId="0" fillId="8" borderId="15" xfId="0" applyFont="1" applyFill="1" applyBorder="1" applyAlignment="1">
      <alignment vertical="top"/>
    </xf>
    <xf numFmtId="0" fontId="0" fillId="4" borderId="15" xfId="0" applyFont="1" applyFill="1" applyBorder="1" applyAlignment="1">
      <alignment vertical="top"/>
    </xf>
    <xf numFmtId="0" fontId="1" fillId="9" borderId="15" xfId="0" applyFont="1" applyFill="1" applyBorder="1"/>
    <xf numFmtId="0" fontId="0" fillId="0" borderId="15" xfId="0" applyFill="1" applyBorder="1"/>
    <xf numFmtId="0" fontId="1" fillId="10" borderId="15" xfId="0" applyFont="1" applyFill="1" applyBorder="1"/>
    <xf numFmtId="0" fontId="1" fillId="11" borderId="15" xfId="0" applyFont="1" applyFill="1" applyBorder="1"/>
    <xf numFmtId="0" fontId="1" fillId="12" borderId="15" xfId="0" applyFont="1" applyFill="1" applyBorder="1"/>
    <xf numFmtId="0" fontId="1" fillId="3" borderId="15" xfId="0" applyFont="1" applyFill="1" applyBorder="1"/>
    <xf numFmtId="0" fontId="1" fillId="13" borderId="15" xfId="0" applyFont="1" applyFill="1" applyBorder="1"/>
    <xf numFmtId="0" fontId="1" fillId="0" borderId="15" xfId="0" applyFont="1" applyBorder="1"/>
    <xf numFmtId="0" fontId="1" fillId="19" borderId="15" xfId="0" applyFont="1" applyFill="1" applyBorder="1"/>
    <xf numFmtId="0" fontId="1" fillId="20" borderId="15" xfId="0" applyFont="1" applyFill="1" applyBorder="1"/>
    <xf numFmtId="0" fontId="1" fillId="17" borderId="13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0" fillId="16" borderId="17" xfId="0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" fillId="3" borderId="2" xfId="0" applyFont="1" applyFill="1" applyBorder="1" applyAlignment="1"/>
    <xf numFmtId="0" fontId="1" fillId="2" borderId="12" xfId="0" applyFont="1" applyFill="1" applyBorder="1" applyAlignment="1">
      <alignment horizontal="center" wrapText="1"/>
    </xf>
    <xf numFmtId="14" fontId="0" fillId="22" borderId="0" xfId="0" applyNumberFormat="1" applyFill="1"/>
    <xf numFmtId="0" fontId="0" fillId="18" borderId="0" xfId="0" applyFill="1" applyBorder="1" applyAlignment="1">
      <alignment horizontal="center" vertical="center"/>
    </xf>
    <xf numFmtId="0" fontId="1" fillId="2" borderId="13" xfId="0" applyFont="1" applyFill="1" applyBorder="1" applyAlignment="1">
      <alignment wrapText="1"/>
    </xf>
    <xf numFmtId="0" fontId="0" fillId="12" borderId="0" xfId="0" applyFill="1" applyBorder="1"/>
    <xf numFmtId="0" fontId="0" fillId="12" borderId="7" xfId="0" applyFill="1" applyBorder="1"/>
    <xf numFmtId="0" fontId="0" fillId="4" borderId="15" xfId="0" applyFill="1" applyBorder="1"/>
    <xf numFmtId="0" fontId="0" fillId="21" borderId="15" xfId="0" applyFill="1" applyBorder="1"/>
    <xf numFmtId="0" fontId="0" fillId="3" borderId="15" xfId="0" applyFill="1" applyBorder="1"/>
    <xf numFmtId="0" fontId="0" fillId="6" borderId="15" xfId="0" applyFill="1" applyBorder="1"/>
    <xf numFmtId="0" fontId="0" fillId="0" borderId="0" xfId="0" applyBorder="1"/>
    <xf numFmtId="0" fontId="5" fillId="14" borderId="0" xfId="0" applyFont="1" applyFill="1"/>
    <xf numFmtId="0" fontId="5" fillId="6" borderId="15" xfId="0" applyFont="1" applyFill="1" applyBorder="1" applyAlignment="1">
      <alignment vertical="top"/>
    </xf>
    <xf numFmtId="0" fontId="5" fillId="0" borderId="0" xfId="0" applyFont="1" applyFill="1" applyBorder="1"/>
    <xf numFmtId="0" fontId="5" fillId="15" borderId="5" xfId="0" applyFont="1" applyFill="1" applyBorder="1"/>
    <xf numFmtId="0" fontId="5" fillId="0" borderId="4" xfId="0" applyFont="1" applyFill="1" applyBorder="1"/>
    <xf numFmtId="0" fontId="5" fillId="5" borderId="15" xfId="0" applyFont="1" applyFill="1" applyBorder="1" applyAlignment="1">
      <alignment vertical="top"/>
    </xf>
    <xf numFmtId="0" fontId="6" fillId="11" borderId="15" xfId="0" applyFont="1" applyFill="1" applyBorder="1"/>
    <xf numFmtId="0" fontId="6" fillId="10" borderId="15" xfId="0" applyFont="1" applyFill="1" applyBorder="1"/>
    <xf numFmtId="0" fontId="5" fillId="0" borderId="0" xfId="0" applyFont="1"/>
    <xf numFmtId="0" fontId="5" fillId="2" borderId="15" xfId="0" applyFont="1" applyFill="1" applyBorder="1" applyAlignment="1">
      <alignment vertical="top"/>
    </xf>
    <xf numFmtId="0" fontId="6" fillId="12" borderId="15" xfId="0" applyFont="1" applyFill="1" applyBorder="1"/>
    <xf numFmtId="0" fontId="6" fillId="19" borderId="15" xfId="0" applyFont="1" applyFill="1" applyBorder="1"/>
    <xf numFmtId="0" fontId="5" fillId="7" borderId="15" xfId="0" applyFont="1" applyFill="1" applyBorder="1" applyAlignment="1">
      <alignment vertical="top"/>
    </xf>
    <xf numFmtId="0" fontId="5" fillId="8" borderId="15" xfId="0" applyFont="1" applyFill="1" applyBorder="1" applyAlignment="1">
      <alignment vertical="top"/>
    </xf>
    <xf numFmtId="0" fontId="5" fillId="21" borderId="0" xfId="0" applyFont="1" applyFill="1"/>
    <xf numFmtId="10" fontId="0" fillId="0" borderId="0" xfId="0" applyNumberFormat="1"/>
    <xf numFmtId="0" fontId="5" fillId="4" borderId="15" xfId="0" applyFont="1" applyFill="1" applyBorder="1" applyAlignment="1">
      <alignment vertical="top"/>
    </xf>
    <xf numFmtId="0" fontId="6" fillId="13" borderId="15" xfId="0" applyFont="1" applyFill="1" applyBorder="1"/>
    <xf numFmtId="0" fontId="6" fillId="4" borderId="15" xfId="0" applyFont="1" applyFill="1" applyBorder="1" applyAlignment="1">
      <alignment vertical="top"/>
    </xf>
    <xf numFmtId="0" fontId="6" fillId="20" borderId="15" xfId="0" applyFont="1" applyFill="1" applyBorder="1"/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12" borderId="12" xfId="0" applyFill="1" applyBorder="1" applyAlignment="1">
      <alignment horizontal="center" wrapText="1"/>
    </xf>
    <xf numFmtId="0" fontId="0" fillId="12" borderId="13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4" fillId="18" borderId="9" xfId="0" applyFont="1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0" fillId="16" borderId="6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43"/>
      <color rgb="FFFFCC00"/>
      <color rgb="FFFFCCFF"/>
      <color rgb="FF99FFCC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E1E5-9978-4297-A74D-AD3666A10A8E}">
  <dimension ref="A1:AY96"/>
  <sheetViews>
    <sheetView tabSelected="1" topLeftCell="A55" zoomScaleNormal="100" workbookViewId="0">
      <selection activeCell="AL1" sqref="AL1:AN2"/>
    </sheetView>
  </sheetViews>
  <sheetFormatPr defaultRowHeight="14.4" x14ac:dyDescent="0.3"/>
  <cols>
    <col min="1" max="1" width="11.88671875" bestFit="1" customWidth="1"/>
    <col min="2" max="2" width="9" customWidth="1"/>
    <col min="3" max="3" width="5.6640625" bestFit="1" customWidth="1"/>
    <col min="4" max="4" width="6.44140625" customWidth="1"/>
    <col min="5" max="5" width="5.6640625" bestFit="1" customWidth="1"/>
    <col min="6" max="6" width="6.5546875" customWidth="1"/>
    <col min="7" max="7" width="5" bestFit="1" customWidth="1"/>
    <col min="8" max="14" width="7.33203125" customWidth="1"/>
    <col min="15" max="15" width="7.109375" customWidth="1"/>
    <col min="16" max="31" width="7.33203125" customWidth="1"/>
    <col min="32" max="32" width="5.109375" bestFit="1" customWidth="1"/>
    <col min="33" max="35" width="5.109375" customWidth="1"/>
    <col min="36" max="36" width="5.109375" bestFit="1" customWidth="1"/>
  </cols>
  <sheetData>
    <row r="1" spans="1:51" ht="28.2" customHeight="1" thickBot="1" x14ac:dyDescent="0.35">
      <c r="A1" s="88">
        <f ca="1">(_xlfn.DAYS(TODAY(),A4)+1)/((_xlfn.DAYS(A94,A4))+1)</f>
        <v>0.78021978021978022</v>
      </c>
      <c r="B1" s="89"/>
      <c r="C1" s="89"/>
      <c r="D1" s="89"/>
      <c r="E1" s="89"/>
      <c r="F1" s="89"/>
      <c r="G1" s="90"/>
      <c r="H1" s="91" t="s">
        <v>37</v>
      </c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3"/>
      <c r="AG1" s="50"/>
      <c r="AH1" s="50"/>
      <c r="AI1" s="50"/>
      <c r="AL1" s="87" t="s">
        <v>44</v>
      </c>
      <c r="AM1" s="87"/>
      <c r="AN1" s="87"/>
    </row>
    <row r="2" spans="1:51" ht="54" customHeight="1" thickBot="1" x14ac:dyDescent="0.35">
      <c r="A2" t="s">
        <v>64</v>
      </c>
      <c r="B2" s="74"/>
      <c r="C2" s="95" t="s">
        <v>35</v>
      </c>
      <c r="D2" s="96"/>
      <c r="E2" s="97">
        <f>SUM(E4:E94)+SUM(G4:G94)</f>
        <v>48625</v>
      </c>
      <c r="F2" s="97"/>
      <c r="G2" s="98"/>
      <c r="H2" s="99" t="s">
        <v>50</v>
      </c>
      <c r="I2" s="100"/>
      <c r="J2" s="80" t="s">
        <v>48</v>
      </c>
      <c r="K2" s="80">
        <f>COUNTIF(H4:O94,"&lt;&gt;空")</f>
        <v>390</v>
      </c>
      <c r="L2" s="100" t="s">
        <v>47</v>
      </c>
      <c r="M2" s="100"/>
      <c r="N2" s="100"/>
      <c r="O2" s="101"/>
      <c r="P2" s="102" t="s">
        <v>51</v>
      </c>
      <c r="Q2" s="103"/>
      <c r="R2" s="81" t="s">
        <v>48</v>
      </c>
      <c r="S2" s="81">
        <f>COUNTIF(P4:W94,"&lt;&gt;空")</f>
        <v>371</v>
      </c>
      <c r="T2" s="103" t="s">
        <v>47</v>
      </c>
      <c r="U2" s="103"/>
      <c r="V2" s="103"/>
      <c r="W2" s="104"/>
      <c r="X2" s="105" t="s">
        <v>33</v>
      </c>
      <c r="Y2" s="82"/>
      <c r="Z2" s="47" t="s">
        <v>46</v>
      </c>
      <c r="AA2" s="79">
        <f>COUNTIF(X4:AE94,"&lt;&gt;空")</f>
        <v>9</v>
      </c>
      <c r="AB2" s="82" t="s">
        <v>47</v>
      </c>
      <c r="AC2" s="82"/>
      <c r="AD2" s="82"/>
      <c r="AE2" s="83"/>
      <c r="AF2" s="48">
        <f>SUM(AF4:AF94)</f>
        <v>92</v>
      </c>
      <c r="AG2" s="48">
        <f t="shared" ref="AG2:AI2" si="0">SUM(AG4:AG94)</f>
        <v>54</v>
      </c>
      <c r="AH2" s="48">
        <f t="shared" si="0"/>
        <v>31</v>
      </c>
      <c r="AI2" s="48">
        <f t="shared" si="0"/>
        <v>7</v>
      </c>
      <c r="AJ2" s="84" t="s">
        <v>29</v>
      </c>
      <c r="AL2" s="94"/>
      <c r="AM2" s="94"/>
      <c r="AN2" s="94"/>
      <c r="AV2" s="15"/>
      <c r="AW2" s="16" t="s">
        <v>32</v>
      </c>
    </row>
    <row r="3" spans="1:51" ht="29.4" thickBot="1" x14ac:dyDescent="0.35">
      <c r="A3" s="22" t="s">
        <v>36</v>
      </c>
      <c r="B3" s="21" t="s">
        <v>0</v>
      </c>
      <c r="C3" s="21" t="s">
        <v>22</v>
      </c>
      <c r="D3" s="21" t="s">
        <v>1</v>
      </c>
      <c r="E3" s="45" t="s">
        <v>24</v>
      </c>
      <c r="F3" s="45" t="s">
        <v>45</v>
      </c>
      <c r="G3" s="45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43">
        <v>1</v>
      </c>
      <c r="Q3" s="44">
        <v>2</v>
      </c>
      <c r="R3" s="44">
        <v>3</v>
      </c>
      <c r="S3" s="44">
        <v>4</v>
      </c>
      <c r="T3" s="44">
        <v>5</v>
      </c>
      <c r="U3" s="44">
        <v>6</v>
      </c>
      <c r="V3" s="44">
        <v>7</v>
      </c>
      <c r="W3" s="44">
        <v>8</v>
      </c>
      <c r="X3" s="8">
        <v>1</v>
      </c>
      <c r="Y3" s="9">
        <v>2</v>
      </c>
      <c r="Z3" s="9">
        <v>3</v>
      </c>
      <c r="AA3" s="9">
        <v>4</v>
      </c>
      <c r="AB3" s="9">
        <v>5</v>
      </c>
      <c r="AC3" s="9">
        <v>6</v>
      </c>
      <c r="AD3" s="9">
        <v>7</v>
      </c>
      <c r="AE3" s="10">
        <v>8</v>
      </c>
      <c r="AF3" s="46" t="s">
        <v>28</v>
      </c>
      <c r="AG3" s="51" t="s">
        <v>54</v>
      </c>
      <c r="AH3" s="51" t="s">
        <v>52</v>
      </c>
      <c r="AI3" s="51" t="s">
        <v>53</v>
      </c>
      <c r="AJ3" s="85"/>
      <c r="AK3" s="2"/>
      <c r="AL3" s="25" t="s">
        <v>2</v>
      </c>
      <c r="AM3" s="25" t="s">
        <v>3</v>
      </c>
      <c r="AN3" s="25" t="s">
        <v>4</v>
      </c>
      <c r="AO3" s="54" t="s">
        <v>59</v>
      </c>
      <c r="AP3" s="55" t="s">
        <v>60</v>
      </c>
      <c r="AQ3" s="56" t="s">
        <v>61</v>
      </c>
      <c r="AR3" s="57" t="s">
        <v>62</v>
      </c>
      <c r="AS3" s="54" t="s">
        <v>56</v>
      </c>
      <c r="AT3" s="55" t="s">
        <v>57</v>
      </c>
      <c r="AU3" s="56" t="s">
        <v>58</v>
      </c>
      <c r="AV3" s="52" t="s">
        <v>25</v>
      </c>
      <c r="AW3" s="18">
        <v>1</v>
      </c>
    </row>
    <row r="4" spans="1:51" ht="15" thickBot="1" x14ac:dyDescent="0.35">
      <c r="A4" s="49">
        <v>44365</v>
      </c>
      <c r="B4" s="59">
        <v>800</v>
      </c>
      <c r="C4" s="59" cm="1">
        <f t="array" ref="C4">(SUM(VLOOKUP(H4:AE4,$AL$4:$AN$44,2,FALSE))+AF4*10)*IF(AJ4="是",$AW$4,$AW$3)</f>
        <v>750</v>
      </c>
      <c r="D4" s="59">
        <f>SUM($B$4:B4)-SUM($C$4:C4)</f>
        <v>50</v>
      </c>
      <c r="E4" s="59" cm="1">
        <f t="array" ref="E4">SUM(VLOOKUP(H4:AE4,$AL$4:$AN$44,3,FALSE))</f>
        <v>175</v>
      </c>
      <c r="F4" s="59">
        <f>SUM($E$4:E4)+SUM($G$4:G4)</f>
        <v>175</v>
      </c>
      <c r="G4" s="59">
        <v>0</v>
      </c>
      <c r="H4" s="60" t="s">
        <v>16</v>
      </c>
      <c r="I4" s="60" t="s">
        <v>16</v>
      </c>
      <c r="J4" s="60" t="s">
        <v>16</v>
      </c>
      <c r="K4" s="60" t="s">
        <v>16</v>
      </c>
      <c r="L4" s="60" t="s">
        <v>16</v>
      </c>
      <c r="M4" s="61" t="s">
        <v>23</v>
      </c>
      <c r="N4" s="62" t="s">
        <v>23</v>
      </c>
      <c r="O4" s="62" t="s">
        <v>23</v>
      </c>
      <c r="P4" s="63" t="s">
        <v>23</v>
      </c>
      <c r="Q4" s="61" t="s">
        <v>23</v>
      </c>
      <c r="R4" s="61" t="s">
        <v>23</v>
      </c>
      <c r="S4" s="61" t="s">
        <v>23</v>
      </c>
      <c r="T4" s="61" t="s">
        <v>23</v>
      </c>
      <c r="U4" s="61" t="s">
        <v>23</v>
      </c>
      <c r="V4" s="62" t="s">
        <v>23</v>
      </c>
      <c r="W4" s="62" t="s">
        <v>23</v>
      </c>
      <c r="X4" s="63" t="s">
        <v>23</v>
      </c>
      <c r="Y4" s="61" t="s">
        <v>23</v>
      </c>
      <c r="Z4" s="61" t="s">
        <v>23</v>
      </c>
      <c r="AA4" s="61" t="s">
        <v>23</v>
      </c>
      <c r="AB4" s="61" t="s">
        <v>23</v>
      </c>
      <c r="AC4" s="61" t="s">
        <v>23</v>
      </c>
      <c r="AD4" s="62" t="s">
        <v>23</v>
      </c>
      <c r="AE4" s="62" t="s">
        <v>23</v>
      </c>
      <c r="AF4" s="42">
        <v>0</v>
      </c>
      <c r="AG4" s="42"/>
      <c r="AH4" s="42"/>
      <c r="AI4" s="42"/>
      <c r="AJ4" s="13" t="s">
        <v>30</v>
      </c>
      <c r="AL4" s="26" t="s">
        <v>16</v>
      </c>
      <c r="AM4" s="25">
        <v>150</v>
      </c>
      <c r="AN4" s="25">
        <v>35</v>
      </c>
      <c r="AO4" s="25">
        <f>COUNTIF($H$4:$O$94,AL4)</f>
        <v>9</v>
      </c>
      <c r="AP4" s="25">
        <f>COUNTIF($P$4:$W$94,AL4)</f>
        <v>0</v>
      </c>
      <c r="AQ4" s="25">
        <f>COUNTIF($X$4:$AE$94,AL4)</f>
        <v>1</v>
      </c>
      <c r="AR4" s="25">
        <f>AO4+AP4+AQ4</f>
        <v>10</v>
      </c>
      <c r="AS4" s="58">
        <f>AO4*$AN4</f>
        <v>315</v>
      </c>
      <c r="AT4" s="58">
        <f t="shared" ref="AT4:AU19" si="1">AP4*$AN4</f>
        <v>0</v>
      </c>
      <c r="AU4" s="58">
        <f t="shared" si="1"/>
        <v>35</v>
      </c>
      <c r="AV4" s="53" t="s">
        <v>26</v>
      </c>
      <c r="AW4" s="20">
        <v>0.8</v>
      </c>
      <c r="AY4">
        <f>AM4*0.8</f>
        <v>120</v>
      </c>
    </row>
    <row r="5" spans="1:51" x14ac:dyDescent="0.3">
      <c r="A5" s="49">
        <v>44366</v>
      </c>
      <c r="B5" s="59">
        <v>1600</v>
      </c>
      <c r="C5" s="59" cm="1">
        <f t="array" ref="C5">(SUM(VLOOKUP(H5:AE5,$AL$4:$AN$44,2,FALSE))+AF5*10)*IF(AJ5="是",$AW$4,$AW$3)</f>
        <v>1630</v>
      </c>
      <c r="D5" s="59">
        <f>SUM($B$4:B5)-SUM($C$4:C5)</f>
        <v>20</v>
      </c>
      <c r="E5" s="59" cm="1">
        <f t="array" ref="E5">SUM(VLOOKUP(H5:AE5,$AL$4:$AN$44,3,FALSE))</f>
        <v>420</v>
      </c>
      <c r="F5" s="59">
        <f>SUM($E$4:E5)+SUM($G$4:G5)</f>
        <v>1095</v>
      </c>
      <c r="G5" s="59">
        <v>500</v>
      </c>
      <c r="H5" s="60" t="s">
        <v>16</v>
      </c>
      <c r="I5" s="60" t="s">
        <v>16</v>
      </c>
      <c r="J5" s="60" t="s">
        <v>16</v>
      </c>
      <c r="K5" s="60" t="s">
        <v>16</v>
      </c>
      <c r="L5" s="64" t="s">
        <v>17</v>
      </c>
      <c r="M5" s="64" t="s">
        <v>17</v>
      </c>
      <c r="N5" s="62" t="s">
        <v>23</v>
      </c>
      <c r="O5" s="62" t="s">
        <v>23</v>
      </c>
      <c r="P5" s="64" t="s">
        <v>17</v>
      </c>
      <c r="Q5" s="64" t="s">
        <v>17</v>
      </c>
      <c r="R5" s="65" t="s">
        <v>13</v>
      </c>
      <c r="S5" s="64" t="s">
        <v>17</v>
      </c>
      <c r="T5" s="64" t="s">
        <v>17</v>
      </c>
      <c r="U5" s="64" t="s">
        <v>17</v>
      </c>
      <c r="V5" s="62" t="s">
        <v>23</v>
      </c>
      <c r="W5" s="62" t="s">
        <v>23</v>
      </c>
      <c r="X5" s="63" t="s">
        <v>23</v>
      </c>
      <c r="Y5" s="61" t="s">
        <v>23</v>
      </c>
      <c r="Z5" s="61" t="s">
        <v>23</v>
      </c>
      <c r="AA5" s="61" t="s">
        <v>23</v>
      </c>
      <c r="AB5" s="61" t="s">
        <v>23</v>
      </c>
      <c r="AC5" s="61" t="s">
        <v>23</v>
      </c>
      <c r="AD5" s="62" t="s">
        <v>23</v>
      </c>
      <c r="AE5" s="62" t="s">
        <v>23</v>
      </c>
      <c r="AF5" s="42">
        <v>6</v>
      </c>
      <c r="AG5" s="42">
        <v>6</v>
      </c>
      <c r="AH5" s="42"/>
      <c r="AI5" s="42"/>
      <c r="AJ5" s="13" t="s">
        <v>30</v>
      </c>
      <c r="AL5" s="27" t="s">
        <v>17</v>
      </c>
      <c r="AM5" s="25">
        <v>160</v>
      </c>
      <c r="AN5" s="25">
        <v>40</v>
      </c>
      <c r="AO5" s="25">
        <f t="shared" ref="AO5:AO26" si="2">COUNTIF($H$4:$O$94,AL5)</f>
        <v>8</v>
      </c>
      <c r="AP5" s="25">
        <f t="shared" ref="AP5:AP26" si="3">COUNTIF($P$4:$W$94,AL5)</f>
        <v>10</v>
      </c>
      <c r="AQ5" s="25">
        <f t="shared" ref="AQ5:AQ26" si="4">COUNTIF($X$4:$AE$94,AL5)</f>
        <v>5</v>
      </c>
      <c r="AR5" s="25">
        <f t="shared" ref="AR5:AR26" si="5">AO5+AP5+AQ5</f>
        <v>23</v>
      </c>
      <c r="AS5" s="58">
        <f t="shared" ref="AS5:AU28" si="6">AO5*$AN5</f>
        <v>320</v>
      </c>
      <c r="AT5" s="58">
        <f t="shared" si="1"/>
        <v>400</v>
      </c>
      <c r="AU5" s="58">
        <f t="shared" si="1"/>
        <v>200</v>
      </c>
      <c r="AV5" s="86" t="s">
        <v>34</v>
      </c>
      <c r="AW5" s="86"/>
      <c r="AY5">
        <f t="shared" ref="AY5:AY28" si="7">AM5*0.8</f>
        <v>128</v>
      </c>
    </row>
    <row r="6" spans="1:51" x14ac:dyDescent="0.3">
      <c r="A6" s="49">
        <v>44367</v>
      </c>
      <c r="B6" s="59">
        <v>1600</v>
      </c>
      <c r="C6" s="59" cm="1">
        <f t="array" ref="C6">(SUM(VLOOKUP(H6:AE6,$AL$4:$AN$44,2,FALSE))+AF6*10)*IF(AJ6="是",$AW$4,$AW$3)</f>
        <v>1460</v>
      </c>
      <c r="D6" s="59">
        <f>SUM($B$4:B6)-SUM($C$4:C6)</f>
        <v>160</v>
      </c>
      <c r="E6" s="59" cm="1">
        <f t="array" ref="E6">SUM(VLOOKUP(H6:AE6,$AL$4:$AN$44,3,FALSE))</f>
        <v>390</v>
      </c>
      <c r="F6" s="59">
        <f>SUM($E$4:E6)+SUM($G$4:G6)</f>
        <v>1485</v>
      </c>
      <c r="G6" s="59">
        <v>0</v>
      </c>
      <c r="H6" s="64" t="s">
        <v>17</v>
      </c>
      <c r="I6" s="64" t="s">
        <v>17</v>
      </c>
      <c r="J6" s="64" t="s">
        <v>17</v>
      </c>
      <c r="K6" s="66" t="s">
        <v>12</v>
      </c>
      <c r="L6" s="64" t="s">
        <v>17</v>
      </c>
      <c r="M6" s="64" t="s">
        <v>17</v>
      </c>
      <c r="N6" s="62" t="s">
        <v>23</v>
      </c>
      <c r="O6" s="62" t="s">
        <v>23</v>
      </c>
      <c r="P6" s="64" t="s">
        <v>17</v>
      </c>
      <c r="Q6" s="64" t="s">
        <v>17</v>
      </c>
      <c r="R6" s="64" t="s">
        <v>17</v>
      </c>
      <c r="S6" s="65" t="s">
        <v>13</v>
      </c>
      <c r="T6" s="64" t="s">
        <v>17</v>
      </c>
      <c r="U6" s="61" t="s">
        <v>23</v>
      </c>
      <c r="V6" s="62" t="s">
        <v>23</v>
      </c>
      <c r="W6" s="62" t="s">
        <v>23</v>
      </c>
      <c r="X6" s="63" t="s">
        <v>23</v>
      </c>
      <c r="Y6" s="61" t="s">
        <v>23</v>
      </c>
      <c r="Z6" s="61" t="s">
        <v>23</v>
      </c>
      <c r="AA6" s="61" t="s">
        <v>23</v>
      </c>
      <c r="AB6" s="61" t="s">
        <v>23</v>
      </c>
      <c r="AC6" s="61" t="s">
        <v>23</v>
      </c>
      <c r="AD6" s="62" t="s">
        <v>23</v>
      </c>
      <c r="AE6" s="62" t="s">
        <v>23</v>
      </c>
      <c r="AF6" s="42">
        <v>12</v>
      </c>
      <c r="AG6" s="42">
        <v>12</v>
      </c>
      <c r="AH6" s="42"/>
      <c r="AI6" s="42"/>
      <c r="AJ6" s="13" t="s">
        <v>30</v>
      </c>
      <c r="AL6" s="28" t="s">
        <v>18</v>
      </c>
      <c r="AM6" s="25">
        <v>170</v>
      </c>
      <c r="AN6" s="25">
        <v>45</v>
      </c>
      <c r="AO6" s="25">
        <f t="shared" si="2"/>
        <v>100</v>
      </c>
      <c r="AP6" s="25">
        <f t="shared" si="3"/>
        <v>29</v>
      </c>
      <c r="AQ6" s="25">
        <f t="shared" si="4"/>
        <v>0</v>
      </c>
      <c r="AR6" s="25">
        <f t="shared" si="5"/>
        <v>129</v>
      </c>
      <c r="AS6" s="58">
        <f t="shared" si="6"/>
        <v>4500</v>
      </c>
      <c r="AT6" s="58">
        <f t="shared" si="1"/>
        <v>1305</v>
      </c>
      <c r="AU6" s="58">
        <f t="shared" si="1"/>
        <v>0</v>
      </c>
      <c r="AV6" s="87"/>
      <c r="AW6" s="87"/>
      <c r="AY6">
        <f t="shared" si="7"/>
        <v>136</v>
      </c>
    </row>
    <row r="7" spans="1:51" x14ac:dyDescent="0.3">
      <c r="A7" s="49">
        <v>44368</v>
      </c>
      <c r="B7" s="67">
        <v>1600</v>
      </c>
      <c r="C7" s="59" cm="1">
        <f t="array" ref="C7">(SUM(VLOOKUP(H7:AE7,$AL$4:$AN$44,2,FALSE))+AF7*10)*IF(AJ7="是",$AW$4,$AW$3)</f>
        <v>1720</v>
      </c>
      <c r="D7" s="67">
        <f>SUM($B$4:B7)-SUM($C$4:C7)</f>
        <v>40</v>
      </c>
      <c r="E7" s="59" cm="1">
        <f t="array" ref="E7">SUM(VLOOKUP(H7:AE7,$AL$4:$AN$44,3,FALSE))</f>
        <v>470</v>
      </c>
      <c r="F7" s="59">
        <f>SUM($E$4:E7)+SUM($G$4:G7)</f>
        <v>2155</v>
      </c>
      <c r="G7" s="67">
        <v>200</v>
      </c>
      <c r="H7" s="64" t="s">
        <v>17</v>
      </c>
      <c r="I7" s="66" t="s">
        <v>12</v>
      </c>
      <c r="J7" s="68" t="s">
        <v>18</v>
      </c>
      <c r="K7" s="64" t="s">
        <v>6</v>
      </c>
      <c r="L7" s="68" t="s">
        <v>18</v>
      </c>
      <c r="M7" s="68" t="s">
        <v>18</v>
      </c>
      <c r="N7" s="62" t="s">
        <v>23</v>
      </c>
      <c r="O7" s="62" t="s">
        <v>23</v>
      </c>
      <c r="P7" s="68" t="s">
        <v>18</v>
      </c>
      <c r="Q7" s="68" t="s">
        <v>18</v>
      </c>
      <c r="R7" s="68" t="s">
        <v>18</v>
      </c>
      <c r="S7" s="68" t="s">
        <v>18</v>
      </c>
      <c r="T7" s="69" t="s">
        <v>42</v>
      </c>
      <c r="U7" s="61" t="s">
        <v>23</v>
      </c>
      <c r="V7" s="62" t="s">
        <v>23</v>
      </c>
      <c r="W7" s="62" t="s">
        <v>23</v>
      </c>
      <c r="X7" s="63" t="s">
        <v>23</v>
      </c>
      <c r="Y7" s="61" t="s">
        <v>23</v>
      </c>
      <c r="Z7" s="61" t="s">
        <v>23</v>
      </c>
      <c r="AA7" s="61" t="s">
        <v>23</v>
      </c>
      <c r="AB7" s="61" t="s">
        <v>23</v>
      </c>
      <c r="AC7" s="61" t="s">
        <v>23</v>
      </c>
      <c r="AD7" s="62" t="s">
        <v>23</v>
      </c>
      <c r="AE7" s="62" t="s">
        <v>23</v>
      </c>
      <c r="AF7" s="42">
        <v>0</v>
      </c>
      <c r="AG7" s="42"/>
      <c r="AH7" s="42"/>
      <c r="AI7" s="42"/>
      <c r="AJ7" s="13" t="s">
        <v>30</v>
      </c>
      <c r="AL7" s="29" t="s">
        <v>19</v>
      </c>
      <c r="AM7" s="25">
        <v>180</v>
      </c>
      <c r="AN7" s="25">
        <v>50</v>
      </c>
      <c r="AO7" s="25">
        <f t="shared" si="2"/>
        <v>138</v>
      </c>
      <c r="AP7" s="25">
        <f t="shared" si="3"/>
        <v>52</v>
      </c>
      <c r="AQ7" s="25">
        <f t="shared" si="4"/>
        <v>0</v>
      </c>
      <c r="AR7" s="25">
        <f t="shared" si="5"/>
        <v>190</v>
      </c>
      <c r="AS7" s="58">
        <f t="shared" si="6"/>
        <v>6900</v>
      </c>
      <c r="AT7" s="58">
        <f t="shared" si="1"/>
        <v>2600</v>
      </c>
      <c r="AU7" s="58">
        <f t="shared" si="1"/>
        <v>0</v>
      </c>
      <c r="AV7" s="87"/>
      <c r="AW7" s="87"/>
      <c r="AY7">
        <f t="shared" si="7"/>
        <v>144</v>
      </c>
    </row>
    <row r="8" spans="1:51" x14ac:dyDescent="0.3">
      <c r="A8" s="49">
        <v>44369</v>
      </c>
      <c r="B8" s="67">
        <v>1600</v>
      </c>
      <c r="C8" s="59" cm="1">
        <f t="array" ref="C8">(SUM(VLOOKUP(H8:AE8,$AL$4:$AN$44,2,FALSE))+AF8*10)*IF(AJ8="是",$AW$4,$AW$3)</f>
        <v>1600</v>
      </c>
      <c r="D8" s="67">
        <f>SUM($B$4:B8)-SUM($C$4:C8)</f>
        <v>40</v>
      </c>
      <c r="E8" s="59" cm="1">
        <f t="array" ref="E8">SUM(VLOOKUP(H8:AE8,$AL$4:$AN$44,3,FALSE))</f>
        <v>450</v>
      </c>
      <c r="F8" s="59">
        <f>SUM($E$4:E8)+SUM($G$4:G8)</f>
        <v>2705</v>
      </c>
      <c r="G8" s="67">
        <v>100</v>
      </c>
      <c r="H8" s="68" t="s">
        <v>18</v>
      </c>
      <c r="I8" s="68" t="s">
        <v>18</v>
      </c>
      <c r="J8" s="68" t="s">
        <v>18</v>
      </c>
      <c r="K8" s="65" t="s">
        <v>13</v>
      </c>
      <c r="L8" s="68" t="s">
        <v>18</v>
      </c>
      <c r="M8" s="68" t="s">
        <v>18</v>
      </c>
      <c r="N8" s="68" t="s">
        <v>18</v>
      </c>
      <c r="O8" s="62" t="s">
        <v>23</v>
      </c>
      <c r="P8" s="68" t="s">
        <v>18</v>
      </c>
      <c r="Q8" s="68" t="s">
        <v>18</v>
      </c>
      <c r="R8" s="68" t="s">
        <v>18</v>
      </c>
      <c r="S8" s="68" t="s">
        <v>18</v>
      </c>
      <c r="T8" s="61" t="s">
        <v>23</v>
      </c>
      <c r="U8" s="61" t="s">
        <v>23</v>
      </c>
      <c r="V8" s="62" t="s">
        <v>23</v>
      </c>
      <c r="W8" s="62" t="s">
        <v>23</v>
      </c>
      <c r="X8" s="63" t="s">
        <v>23</v>
      </c>
      <c r="Y8" s="61" t="s">
        <v>23</v>
      </c>
      <c r="Z8" s="61" t="s">
        <v>23</v>
      </c>
      <c r="AA8" s="61" t="s">
        <v>23</v>
      </c>
      <c r="AB8" s="61" t="s">
        <v>23</v>
      </c>
      <c r="AC8" s="61" t="s">
        <v>23</v>
      </c>
      <c r="AD8" s="62" t="s">
        <v>23</v>
      </c>
      <c r="AE8" s="62" t="s">
        <v>23</v>
      </c>
      <c r="AF8" s="42">
        <v>5</v>
      </c>
      <c r="AG8" s="42">
        <v>5</v>
      </c>
      <c r="AH8" s="42"/>
      <c r="AI8" s="42"/>
      <c r="AJ8" s="13" t="s">
        <v>30</v>
      </c>
      <c r="AL8" s="30" t="s">
        <v>20</v>
      </c>
      <c r="AM8" s="25">
        <v>190</v>
      </c>
      <c r="AN8" s="25">
        <v>55</v>
      </c>
      <c r="AO8" s="25">
        <f t="shared" si="2"/>
        <v>105</v>
      </c>
      <c r="AP8" s="25">
        <f t="shared" si="3"/>
        <v>82</v>
      </c>
      <c r="AQ8" s="25">
        <f t="shared" si="4"/>
        <v>0</v>
      </c>
      <c r="AR8" s="25">
        <f t="shared" si="5"/>
        <v>187</v>
      </c>
      <c r="AS8" s="58">
        <f t="shared" si="6"/>
        <v>5775</v>
      </c>
      <c r="AT8" s="58">
        <f t="shared" si="1"/>
        <v>4510</v>
      </c>
      <c r="AU8" s="58">
        <f t="shared" si="1"/>
        <v>0</v>
      </c>
      <c r="AV8" s="87"/>
      <c r="AW8" s="87"/>
      <c r="AY8">
        <f t="shared" si="7"/>
        <v>152</v>
      </c>
    </row>
    <row r="9" spans="1:51" x14ac:dyDescent="0.3">
      <c r="A9" s="49">
        <v>44370</v>
      </c>
      <c r="B9" s="67">
        <v>1600</v>
      </c>
      <c r="C9" s="59" cm="1">
        <f t="array" ref="C9">(SUM(VLOOKUP(H9:AE9,$AL$4:$AN$44,2,FALSE))+AF9*10)*IF(AJ9="是",$AW$4,$AW$3)</f>
        <v>1630</v>
      </c>
      <c r="D9" s="67">
        <f>SUM($B$4:B9)-SUM($C$4:C9)</f>
        <v>10</v>
      </c>
      <c r="E9" s="59" cm="1">
        <f t="array" ref="E9">SUM(VLOOKUP(H9:AE9,$AL$4:$AN$44,3,FALSE))</f>
        <v>625</v>
      </c>
      <c r="F9" s="59">
        <f>SUM($E$4:E9)+SUM($G$4:G9)</f>
        <v>3530</v>
      </c>
      <c r="G9" s="67">
        <v>200</v>
      </c>
      <c r="H9" s="68" t="s">
        <v>18</v>
      </c>
      <c r="I9" s="66" t="s">
        <v>12</v>
      </c>
      <c r="J9" s="68" t="s">
        <v>18</v>
      </c>
      <c r="K9" s="69" t="s">
        <v>42</v>
      </c>
      <c r="L9" s="68" t="s">
        <v>18</v>
      </c>
      <c r="M9" s="61" t="s">
        <v>23</v>
      </c>
      <c r="N9" s="62" t="s">
        <v>23</v>
      </c>
      <c r="O9" s="62" t="s">
        <v>23</v>
      </c>
      <c r="P9" s="68" t="s">
        <v>18</v>
      </c>
      <c r="Q9" s="65" t="s">
        <v>13</v>
      </c>
      <c r="R9" s="68" t="s">
        <v>18</v>
      </c>
      <c r="S9" s="66" t="s">
        <v>12</v>
      </c>
      <c r="T9" s="68" t="s">
        <v>18</v>
      </c>
      <c r="U9" s="70" t="s">
        <v>14</v>
      </c>
      <c r="V9" s="71" t="s">
        <v>19</v>
      </c>
      <c r="W9" s="62" t="s">
        <v>23</v>
      </c>
      <c r="X9" s="63" t="s">
        <v>23</v>
      </c>
      <c r="Y9" s="61" t="s">
        <v>23</v>
      </c>
      <c r="Z9" s="61" t="s">
        <v>23</v>
      </c>
      <c r="AA9" s="61" t="s">
        <v>23</v>
      </c>
      <c r="AB9" s="61" t="s">
        <v>23</v>
      </c>
      <c r="AC9" s="61" t="s">
        <v>23</v>
      </c>
      <c r="AD9" s="62" t="s">
        <v>23</v>
      </c>
      <c r="AE9" s="62" t="s">
        <v>23</v>
      </c>
      <c r="AF9" s="42">
        <v>6</v>
      </c>
      <c r="AG9" s="42">
        <v>1</v>
      </c>
      <c r="AH9" s="42">
        <v>5</v>
      </c>
      <c r="AI9" s="42"/>
      <c r="AJ9" s="13" t="s">
        <v>30</v>
      </c>
      <c r="AL9" s="31" t="s">
        <v>21</v>
      </c>
      <c r="AM9" s="25">
        <v>200</v>
      </c>
      <c r="AN9" s="25">
        <v>60</v>
      </c>
      <c r="AO9" s="25">
        <f t="shared" si="2"/>
        <v>0</v>
      </c>
      <c r="AP9" s="25">
        <f t="shared" si="3"/>
        <v>173</v>
      </c>
      <c r="AQ9" s="25">
        <f t="shared" si="4"/>
        <v>0</v>
      </c>
      <c r="AR9" s="25">
        <f t="shared" si="5"/>
        <v>173</v>
      </c>
      <c r="AS9" s="58">
        <f t="shared" si="6"/>
        <v>0</v>
      </c>
      <c r="AT9" s="58">
        <f t="shared" si="1"/>
        <v>10380</v>
      </c>
      <c r="AU9" s="58">
        <f t="shared" si="1"/>
        <v>0</v>
      </c>
      <c r="AY9">
        <f t="shared" si="7"/>
        <v>160</v>
      </c>
    </row>
    <row r="10" spans="1:51" x14ac:dyDescent="0.3">
      <c r="A10" s="49">
        <v>44371</v>
      </c>
      <c r="B10" s="67">
        <v>1600</v>
      </c>
      <c r="C10" s="59" cm="1">
        <f t="array" ref="C10">(SUM(VLOOKUP(H10:AE10,$AL$4:$AN$44,2,FALSE))+AF10*10)*IF(AJ10="是",$AW$4,$AW$3)</f>
        <v>1560</v>
      </c>
      <c r="D10" s="67">
        <f>SUM($B$4:B10)-SUM($C$4:C10)</f>
        <v>50</v>
      </c>
      <c r="E10" s="59" cm="1">
        <f t="array" ref="E10">SUM(VLOOKUP(H10:AE10,$AL$4:$AN$44,3,FALSE))</f>
        <v>420</v>
      </c>
      <c r="F10" s="59">
        <f>SUM($E$4:E10)+SUM($G$4:G10)</f>
        <v>3950</v>
      </c>
      <c r="G10" s="67">
        <v>0</v>
      </c>
      <c r="H10" s="68" t="s">
        <v>18</v>
      </c>
      <c r="I10" s="68" t="s">
        <v>18</v>
      </c>
      <c r="J10" s="68" t="s">
        <v>18</v>
      </c>
      <c r="K10" s="68" t="s">
        <v>18</v>
      </c>
      <c r="L10" s="68" t="s">
        <v>18</v>
      </c>
      <c r="M10" s="68" t="s">
        <v>18</v>
      </c>
      <c r="N10" s="62" t="s">
        <v>23</v>
      </c>
      <c r="O10" s="62" t="s">
        <v>23</v>
      </c>
      <c r="P10" s="71" t="s">
        <v>19</v>
      </c>
      <c r="Q10" s="71" t="s">
        <v>19</v>
      </c>
      <c r="R10" s="71" t="s">
        <v>19</v>
      </c>
      <c r="S10" s="61" t="s">
        <v>23</v>
      </c>
      <c r="T10" s="61" t="s">
        <v>23</v>
      </c>
      <c r="U10" s="61" t="s">
        <v>23</v>
      </c>
      <c r="V10" s="62" t="s">
        <v>23</v>
      </c>
      <c r="W10" s="62" t="s">
        <v>23</v>
      </c>
      <c r="X10" s="63" t="s">
        <v>23</v>
      </c>
      <c r="Y10" s="61" t="s">
        <v>23</v>
      </c>
      <c r="Z10" s="61" t="s">
        <v>23</v>
      </c>
      <c r="AA10" s="61" t="s">
        <v>23</v>
      </c>
      <c r="AB10" s="61" t="s">
        <v>23</v>
      </c>
      <c r="AC10" s="61" t="s">
        <v>23</v>
      </c>
      <c r="AD10" s="62" t="s">
        <v>23</v>
      </c>
      <c r="AE10" s="62" t="s">
        <v>23</v>
      </c>
      <c r="AF10" s="42">
        <v>0</v>
      </c>
      <c r="AG10" s="42"/>
      <c r="AH10" s="42"/>
      <c r="AI10" s="42"/>
      <c r="AJ10" s="13" t="s">
        <v>30</v>
      </c>
      <c r="AL10" s="26" t="s">
        <v>5</v>
      </c>
      <c r="AM10" s="25">
        <v>150</v>
      </c>
      <c r="AN10" s="25">
        <v>35</v>
      </c>
      <c r="AO10" s="25">
        <f t="shared" si="2"/>
        <v>0</v>
      </c>
      <c r="AP10" s="25">
        <f t="shared" si="3"/>
        <v>0</v>
      </c>
      <c r="AQ10" s="25">
        <f t="shared" si="4"/>
        <v>0</v>
      </c>
      <c r="AR10" s="25">
        <f t="shared" si="5"/>
        <v>0</v>
      </c>
      <c r="AS10" s="58">
        <f t="shared" si="6"/>
        <v>0</v>
      </c>
      <c r="AT10" s="58">
        <f t="shared" si="1"/>
        <v>0</v>
      </c>
      <c r="AU10" s="58">
        <f t="shared" si="1"/>
        <v>0</v>
      </c>
      <c r="AY10">
        <f t="shared" si="7"/>
        <v>120</v>
      </c>
    </row>
    <row r="11" spans="1:51" x14ac:dyDescent="0.3">
      <c r="A11" s="49">
        <v>44372</v>
      </c>
      <c r="B11" s="67">
        <v>1600</v>
      </c>
      <c r="C11" s="59" cm="1">
        <f t="array" ref="C11">(SUM(VLOOKUP(H11:AE11,$AL$4:$AN$44,2,FALSE))+AF11*10)*IF(AJ11="是",$AW$4,$AW$3)</f>
        <v>1590</v>
      </c>
      <c r="D11" s="67">
        <f>SUM($B$4:B11)-SUM($C$4:C11)</f>
        <v>60</v>
      </c>
      <c r="E11" s="59" cm="1">
        <f t="array" ref="E11">SUM(VLOOKUP(H11:AE11,$AL$4:$AN$44,3,FALSE))</f>
        <v>420</v>
      </c>
      <c r="F11" s="59">
        <f>SUM($E$4:E11)+SUM($G$4:G11)</f>
        <v>4370</v>
      </c>
      <c r="G11" s="67">
        <v>0</v>
      </c>
      <c r="H11" s="68" t="s">
        <v>18</v>
      </c>
      <c r="I11" s="68" t="s">
        <v>18</v>
      </c>
      <c r="J11" s="68" t="s">
        <v>18</v>
      </c>
      <c r="K11" s="68" t="s">
        <v>7</v>
      </c>
      <c r="L11" s="68" t="s">
        <v>18</v>
      </c>
      <c r="M11" s="68" t="s">
        <v>18</v>
      </c>
      <c r="N11" s="62" t="s">
        <v>23</v>
      </c>
      <c r="O11" s="62" t="s">
        <v>23</v>
      </c>
      <c r="P11" s="71" t="s">
        <v>19</v>
      </c>
      <c r="Q11" s="71" t="s">
        <v>19</v>
      </c>
      <c r="R11" s="71" t="s">
        <v>19</v>
      </c>
      <c r="S11" s="61" t="s">
        <v>23</v>
      </c>
      <c r="T11" s="61" t="s">
        <v>23</v>
      </c>
      <c r="U11" s="61" t="s">
        <v>23</v>
      </c>
      <c r="V11" s="62" t="s">
        <v>23</v>
      </c>
      <c r="W11" s="62" t="s">
        <v>23</v>
      </c>
      <c r="X11" s="63" t="s">
        <v>23</v>
      </c>
      <c r="Y11" s="61" t="s">
        <v>23</v>
      </c>
      <c r="Z11" s="61" t="s">
        <v>23</v>
      </c>
      <c r="AA11" s="61" t="s">
        <v>23</v>
      </c>
      <c r="AB11" s="61" t="s">
        <v>23</v>
      </c>
      <c r="AC11" s="61" t="s">
        <v>23</v>
      </c>
      <c r="AD11" s="62" t="s">
        <v>23</v>
      </c>
      <c r="AE11" s="62" t="s">
        <v>23</v>
      </c>
      <c r="AF11" s="42">
        <v>5</v>
      </c>
      <c r="AG11" s="42">
        <v>5</v>
      </c>
      <c r="AH11" s="42"/>
      <c r="AI11" s="42"/>
      <c r="AJ11" s="13" t="s">
        <v>30</v>
      </c>
      <c r="AL11" s="27" t="s">
        <v>6</v>
      </c>
      <c r="AM11" s="25">
        <v>150</v>
      </c>
      <c r="AN11" s="25">
        <v>40</v>
      </c>
      <c r="AO11" s="25">
        <f t="shared" si="2"/>
        <v>1</v>
      </c>
      <c r="AP11" s="25">
        <f t="shared" si="3"/>
        <v>0</v>
      </c>
      <c r="AQ11" s="25">
        <f t="shared" si="4"/>
        <v>0</v>
      </c>
      <c r="AR11" s="25">
        <f t="shared" si="5"/>
        <v>1</v>
      </c>
      <c r="AS11" s="58">
        <f t="shared" si="6"/>
        <v>40</v>
      </c>
      <c r="AT11" s="58">
        <f t="shared" si="1"/>
        <v>0</v>
      </c>
      <c r="AU11" s="58">
        <f t="shared" si="1"/>
        <v>0</v>
      </c>
      <c r="AY11">
        <f t="shared" si="7"/>
        <v>120</v>
      </c>
    </row>
    <row r="12" spans="1:51" x14ac:dyDescent="0.3">
      <c r="A12" s="49">
        <v>44373</v>
      </c>
      <c r="B12" s="67">
        <v>1600</v>
      </c>
      <c r="C12" s="59" cm="1">
        <f t="array" ref="C12">(SUM(VLOOKUP(H12:AE12,$AL$4:$AN$44,2,FALSE))+AF12*10)*IF(AJ12="是",$AW$4,$AW$3)</f>
        <v>1510</v>
      </c>
      <c r="D12" s="67">
        <f>SUM($B$4:B12)-SUM($C$4:C12)</f>
        <v>150</v>
      </c>
      <c r="E12" s="59" cm="1">
        <f t="array" ref="E12">SUM(VLOOKUP(H12:AE12,$AL$4:$AN$44,3,FALSE))</f>
        <v>385</v>
      </c>
      <c r="F12" s="59">
        <f>SUM($E$4:E12)+SUM($G$4:G12)</f>
        <v>4755</v>
      </c>
      <c r="G12" s="67">
        <v>0</v>
      </c>
      <c r="H12" s="68" t="s">
        <v>18</v>
      </c>
      <c r="I12" s="69" t="s">
        <v>42</v>
      </c>
      <c r="J12" s="68" t="s">
        <v>18</v>
      </c>
      <c r="K12" s="61" t="s">
        <v>23</v>
      </c>
      <c r="L12" s="61" t="s">
        <v>23</v>
      </c>
      <c r="M12" s="61" t="s">
        <v>23</v>
      </c>
      <c r="N12" s="62" t="s">
        <v>23</v>
      </c>
      <c r="O12" s="62" t="s">
        <v>23</v>
      </c>
      <c r="P12" s="71" t="s">
        <v>19</v>
      </c>
      <c r="Q12" s="71" t="s">
        <v>19</v>
      </c>
      <c r="R12" s="71" t="s">
        <v>19</v>
      </c>
      <c r="S12" s="71" t="s">
        <v>19</v>
      </c>
      <c r="T12" s="69" t="s">
        <v>41</v>
      </c>
      <c r="U12" s="61" t="s">
        <v>23</v>
      </c>
      <c r="V12" s="62" t="s">
        <v>23</v>
      </c>
      <c r="W12" s="62" t="s">
        <v>23</v>
      </c>
      <c r="X12" s="63" t="s">
        <v>23</v>
      </c>
      <c r="Y12" s="61" t="s">
        <v>23</v>
      </c>
      <c r="Z12" s="61" t="s">
        <v>23</v>
      </c>
      <c r="AA12" s="61" t="s">
        <v>23</v>
      </c>
      <c r="AB12" s="61" t="s">
        <v>23</v>
      </c>
      <c r="AC12" s="61" t="s">
        <v>23</v>
      </c>
      <c r="AD12" s="62" t="s">
        <v>23</v>
      </c>
      <c r="AE12" s="62" t="s">
        <v>23</v>
      </c>
      <c r="AF12" s="42">
        <v>10</v>
      </c>
      <c r="AG12" s="42">
        <v>10</v>
      </c>
      <c r="AH12" s="42"/>
      <c r="AI12" s="42"/>
      <c r="AJ12" s="13" t="s">
        <v>30</v>
      </c>
      <c r="AL12" s="28" t="s">
        <v>7</v>
      </c>
      <c r="AM12" s="25">
        <v>150</v>
      </c>
      <c r="AN12" s="25">
        <v>45</v>
      </c>
      <c r="AO12" s="25">
        <f t="shared" si="2"/>
        <v>1</v>
      </c>
      <c r="AP12" s="25">
        <f t="shared" si="3"/>
        <v>1</v>
      </c>
      <c r="AQ12" s="25">
        <f t="shared" si="4"/>
        <v>0</v>
      </c>
      <c r="AR12" s="25">
        <f t="shared" si="5"/>
        <v>2</v>
      </c>
      <c r="AS12" s="58">
        <f t="shared" si="6"/>
        <v>45</v>
      </c>
      <c r="AT12" s="58">
        <f t="shared" si="1"/>
        <v>45</v>
      </c>
      <c r="AU12" s="58">
        <f t="shared" si="1"/>
        <v>0</v>
      </c>
      <c r="AY12">
        <f t="shared" si="7"/>
        <v>120</v>
      </c>
    </row>
    <row r="13" spans="1:51" x14ac:dyDescent="0.3">
      <c r="A13" s="49">
        <v>44374</v>
      </c>
      <c r="B13" s="67">
        <v>1600</v>
      </c>
      <c r="C13" s="59" cm="1">
        <f t="array" ref="C13">(SUM(VLOOKUP(H13:AE13,$AL$4:$AN$44,2,FALSE))+AF13*10)*IF(AJ13="是",$AW$4,$AW$3)</f>
        <v>1630</v>
      </c>
      <c r="D13" s="67">
        <f>SUM($B$4:B13)-SUM($C$4:C13)</f>
        <v>120</v>
      </c>
      <c r="E13" s="59" cm="1">
        <f t="array" ref="E13">SUM(VLOOKUP(H13:AE13,$AL$4:$AN$44,3,FALSE))</f>
        <v>525</v>
      </c>
      <c r="F13" s="59">
        <f>SUM($E$4:E13)+SUM($G$4:G13)</f>
        <v>5280</v>
      </c>
      <c r="G13" s="67">
        <v>0</v>
      </c>
      <c r="H13" s="68" t="s">
        <v>18</v>
      </c>
      <c r="I13" s="68" t="s">
        <v>18</v>
      </c>
      <c r="J13" s="68" t="s">
        <v>18</v>
      </c>
      <c r="K13" s="68" t="s">
        <v>18</v>
      </c>
      <c r="L13" s="65" t="s">
        <v>13</v>
      </c>
      <c r="M13" s="68" t="s">
        <v>18</v>
      </c>
      <c r="N13" s="71" t="s">
        <v>19</v>
      </c>
      <c r="O13" s="62" t="s">
        <v>23</v>
      </c>
      <c r="P13" s="71" t="s">
        <v>19</v>
      </c>
      <c r="Q13" s="71" t="s">
        <v>19</v>
      </c>
      <c r="R13" s="71" t="s">
        <v>19</v>
      </c>
      <c r="S13" s="65" t="s">
        <v>13</v>
      </c>
      <c r="T13" s="71" t="s">
        <v>19</v>
      </c>
      <c r="U13" s="71" t="s">
        <v>19</v>
      </c>
      <c r="V13" s="62" t="s">
        <v>23</v>
      </c>
      <c r="W13" s="62" t="s">
        <v>23</v>
      </c>
      <c r="X13" s="63" t="s">
        <v>23</v>
      </c>
      <c r="Y13" s="61" t="s">
        <v>23</v>
      </c>
      <c r="Z13" s="61" t="s">
        <v>23</v>
      </c>
      <c r="AA13" s="61" t="s">
        <v>23</v>
      </c>
      <c r="AB13" s="61" t="s">
        <v>23</v>
      </c>
      <c r="AC13" s="61" t="s">
        <v>23</v>
      </c>
      <c r="AD13" s="62" t="s">
        <v>23</v>
      </c>
      <c r="AE13" s="62" t="s">
        <v>23</v>
      </c>
      <c r="AF13" s="42">
        <v>0</v>
      </c>
      <c r="AG13" s="42"/>
      <c r="AH13" s="42"/>
      <c r="AI13" s="42"/>
      <c r="AJ13" s="13" t="s">
        <v>30</v>
      </c>
      <c r="AL13" s="29" t="s">
        <v>8</v>
      </c>
      <c r="AM13" s="25">
        <v>150</v>
      </c>
      <c r="AN13" s="25">
        <v>50</v>
      </c>
      <c r="AO13" s="25">
        <f t="shared" si="2"/>
        <v>3</v>
      </c>
      <c r="AP13" s="25">
        <f t="shared" si="3"/>
        <v>0</v>
      </c>
      <c r="AQ13" s="25">
        <f t="shared" si="4"/>
        <v>0</v>
      </c>
      <c r="AR13" s="25">
        <f t="shared" si="5"/>
        <v>3</v>
      </c>
      <c r="AS13" s="58">
        <f t="shared" si="6"/>
        <v>150</v>
      </c>
      <c r="AT13" s="58">
        <f t="shared" si="1"/>
        <v>0</v>
      </c>
      <c r="AU13" s="58">
        <f t="shared" si="1"/>
        <v>0</v>
      </c>
      <c r="AY13">
        <f t="shared" si="7"/>
        <v>120</v>
      </c>
    </row>
    <row r="14" spans="1:51" x14ac:dyDescent="0.3">
      <c r="A14" s="49">
        <v>44375</v>
      </c>
      <c r="B14" s="59">
        <v>1600</v>
      </c>
      <c r="C14" s="59" cm="1">
        <f t="array" ref="C14">(SUM(VLOOKUP(H14:AE14,$AL$4:$AN$44,2,FALSE))+AF14*10)*IF(AJ14="是",$AW$4,$AW$3)</f>
        <v>1690</v>
      </c>
      <c r="D14" s="59">
        <f>SUM($B$4:B14)-SUM($C$4:C14)</f>
        <v>30</v>
      </c>
      <c r="E14" s="59" cm="1">
        <f t="array" ref="E14">SUM(VLOOKUP(H14:AE14,$AL$4:$AN$44,3,FALSE))</f>
        <v>460</v>
      </c>
      <c r="F14" s="59">
        <f>SUM($E$4:E14)+SUM($G$4:G14)</f>
        <v>6040</v>
      </c>
      <c r="G14" s="59">
        <v>300</v>
      </c>
      <c r="H14" s="71" t="s">
        <v>19</v>
      </c>
      <c r="I14" s="69" t="s">
        <v>41</v>
      </c>
      <c r="J14" s="71" t="s">
        <v>19</v>
      </c>
      <c r="K14" s="71" t="s">
        <v>19</v>
      </c>
      <c r="L14" s="71" t="s">
        <v>19</v>
      </c>
      <c r="M14" s="71" t="s">
        <v>19</v>
      </c>
      <c r="N14" s="62" t="s">
        <v>23</v>
      </c>
      <c r="O14" s="62" t="s">
        <v>23</v>
      </c>
      <c r="P14" s="71" t="s">
        <v>19</v>
      </c>
      <c r="Q14" s="72" t="s">
        <v>20</v>
      </c>
      <c r="R14" s="72" t="s">
        <v>20</v>
      </c>
      <c r="S14" s="61" t="s">
        <v>23</v>
      </c>
      <c r="T14" s="61" t="s">
        <v>23</v>
      </c>
      <c r="U14" s="61" t="s">
        <v>23</v>
      </c>
      <c r="V14" s="62" t="s">
        <v>23</v>
      </c>
      <c r="W14" s="62" t="s">
        <v>23</v>
      </c>
      <c r="X14" s="63" t="s">
        <v>23</v>
      </c>
      <c r="Y14" s="61" t="s">
        <v>23</v>
      </c>
      <c r="Z14" s="61" t="s">
        <v>23</v>
      </c>
      <c r="AA14" s="61" t="s">
        <v>23</v>
      </c>
      <c r="AB14" s="61" t="s">
        <v>23</v>
      </c>
      <c r="AC14" s="61" t="s">
        <v>23</v>
      </c>
      <c r="AD14" s="62" t="s">
        <v>23</v>
      </c>
      <c r="AE14" s="62" t="s">
        <v>23</v>
      </c>
      <c r="AF14" s="42">
        <v>5</v>
      </c>
      <c r="AG14" s="42">
        <v>5</v>
      </c>
      <c r="AH14" s="42"/>
      <c r="AI14" s="42"/>
      <c r="AJ14" s="13" t="s">
        <v>30</v>
      </c>
      <c r="AL14" s="30" t="s">
        <v>9</v>
      </c>
      <c r="AM14" s="25">
        <v>150</v>
      </c>
      <c r="AN14" s="25">
        <v>55</v>
      </c>
      <c r="AO14" s="25">
        <f t="shared" si="2"/>
        <v>2</v>
      </c>
      <c r="AP14" s="25">
        <f t="shared" si="3"/>
        <v>1</v>
      </c>
      <c r="AQ14" s="25">
        <f t="shared" si="4"/>
        <v>0</v>
      </c>
      <c r="AR14" s="25">
        <f t="shared" si="5"/>
        <v>3</v>
      </c>
      <c r="AS14" s="58">
        <f t="shared" si="6"/>
        <v>110</v>
      </c>
      <c r="AT14" s="58">
        <f t="shared" si="1"/>
        <v>55</v>
      </c>
      <c r="AU14" s="58">
        <f t="shared" si="1"/>
        <v>0</v>
      </c>
      <c r="AY14">
        <f t="shared" si="7"/>
        <v>120</v>
      </c>
    </row>
    <row r="15" spans="1:51" x14ac:dyDescent="0.3">
      <c r="A15" s="49">
        <v>44376</v>
      </c>
      <c r="B15" s="59">
        <v>1600</v>
      </c>
      <c r="C15" s="59" cm="1">
        <f t="array" ref="C15">(SUM(VLOOKUP(H15:AE15,$AL$4:$AN$44,2,FALSE))+AF15*10)*IF(AJ15="是",$AW$4,$AW$3)</f>
        <v>1590</v>
      </c>
      <c r="D15" s="59">
        <f>SUM($B$4:B15)-SUM($C$4:C15)</f>
        <v>40</v>
      </c>
      <c r="E15" s="59" cm="1">
        <f t="array" ref="E15">SUM(VLOOKUP(H15:AE15,$AL$4:$AN$44,3,FALSE))</f>
        <v>520</v>
      </c>
      <c r="F15" s="59">
        <f>SUM($E$4:E15)+SUM($G$4:G15)</f>
        <v>6560</v>
      </c>
      <c r="G15" s="59">
        <v>0</v>
      </c>
      <c r="H15" s="71" t="s">
        <v>19</v>
      </c>
      <c r="I15" s="65" t="s">
        <v>13</v>
      </c>
      <c r="J15" s="71" t="s">
        <v>19</v>
      </c>
      <c r="K15" s="71" t="s">
        <v>19</v>
      </c>
      <c r="L15" s="71" t="s">
        <v>19</v>
      </c>
      <c r="M15" s="71" t="s">
        <v>19</v>
      </c>
      <c r="N15" s="71" t="s">
        <v>19</v>
      </c>
      <c r="O15" s="62" t="s">
        <v>23</v>
      </c>
      <c r="P15" s="65" t="s">
        <v>13</v>
      </c>
      <c r="Q15" s="72" t="s">
        <v>20</v>
      </c>
      <c r="R15" s="72" t="s">
        <v>20</v>
      </c>
      <c r="S15" s="72" t="s">
        <v>20</v>
      </c>
      <c r="T15" s="72" t="s">
        <v>20</v>
      </c>
      <c r="U15" s="61" t="s">
        <v>23</v>
      </c>
      <c r="V15" s="62" t="s">
        <v>23</v>
      </c>
      <c r="W15" s="62" t="s">
        <v>23</v>
      </c>
      <c r="X15" s="63" t="s">
        <v>23</v>
      </c>
      <c r="Y15" s="61" t="s">
        <v>23</v>
      </c>
      <c r="Z15" s="61" t="s">
        <v>23</v>
      </c>
      <c r="AA15" s="61" t="s">
        <v>23</v>
      </c>
      <c r="AB15" s="61" t="s">
        <v>23</v>
      </c>
      <c r="AC15" s="61" t="s">
        <v>23</v>
      </c>
      <c r="AD15" s="62" t="s">
        <v>23</v>
      </c>
      <c r="AE15" s="62" t="s">
        <v>23</v>
      </c>
      <c r="AF15" s="42">
        <v>5</v>
      </c>
      <c r="AG15" s="42"/>
      <c r="AH15" s="42">
        <v>5</v>
      </c>
      <c r="AI15" s="42"/>
      <c r="AJ15" s="13" t="s">
        <v>30</v>
      </c>
      <c r="AL15" s="31" t="s">
        <v>10</v>
      </c>
      <c r="AM15" s="25">
        <v>150</v>
      </c>
      <c r="AN15" s="25">
        <v>60</v>
      </c>
      <c r="AO15" s="25">
        <f t="shared" si="2"/>
        <v>0</v>
      </c>
      <c r="AP15" s="25">
        <f t="shared" si="3"/>
        <v>1</v>
      </c>
      <c r="AQ15" s="25">
        <f t="shared" si="4"/>
        <v>0</v>
      </c>
      <c r="AR15" s="25">
        <f t="shared" si="5"/>
        <v>1</v>
      </c>
      <c r="AS15" s="58">
        <f t="shared" si="6"/>
        <v>0</v>
      </c>
      <c r="AT15" s="58">
        <f t="shared" si="1"/>
        <v>60</v>
      </c>
      <c r="AU15" s="58">
        <f t="shared" si="1"/>
        <v>0</v>
      </c>
      <c r="AY15">
        <f t="shared" si="7"/>
        <v>120</v>
      </c>
    </row>
    <row r="16" spans="1:51" x14ac:dyDescent="0.3">
      <c r="A16" s="49">
        <v>44377</v>
      </c>
      <c r="B16" s="59">
        <v>1600</v>
      </c>
      <c r="C16" s="59" cm="1">
        <f t="array" ref="C16">(SUM(VLOOKUP(H16:AE16,$AL$4:$AN$44,2,FALSE))+AF16*10)*IF(AJ16="是",$AW$4,$AW$3)</f>
        <v>1490</v>
      </c>
      <c r="D16" s="59">
        <f>SUM($B$4:B16)-SUM($C$4:C16)</f>
        <v>150</v>
      </c>
      <c r="E16" s="59" cm="1">
        <f t="array" ref="E16">SUM(VLOOKUP(H16:AE16,$AL$4:$AN$44,3,FALSE))</f>
        <v>555</v>
      </c>
      <c r="F16" s="59">
        <f>SUM($E$4:E16)+SUM($G$4:G16)</f>
        <v>7315</v>
      </c>
      <c r="G16" s="59">
        <v>200</v>
      </c>
      <c r="H16" s="69" t="s">
        <v>41</v>
      </c>
      <c r="I16" s="71" t="s">
        <v>19</v>
      </c>
      <c r="J16" s="61" t="s">
        <v>23</v>
      </c>
      <c r="K16" s="61" t="s">
        <v>23</v>
      </c>
      <c r="L16" s="61" t="s">
        <v>23</v>
      </c>
      <c r="M16" s="61" t="s">
        <v>23</v>
      </c>
      <c r="N16" s="62" t="s">
        <v>23</v>
      </c>
      <c r="O16" s="62" t="s">
        <v>23</v>
      </c>
      <c r="P16" s="72" t="s">
        <v>20</v>
      </c>
      <c r="Q16" s="72" t="s">
        <v>20</v>
      </c>
      <c r="R16" s="71" t="s">
        <v>19</v>
      </c>
      <c r="S16" s="65" t="s">
        <v>13</v>
      </c>
      <c r="T16" s="71" t="s">
        <v>19</v>
      </c>
      <c r="U16" s="70" t="s">
        <v>14</v>
      </c>
      <c r="V16" s="68" t="s">
        <v>18</v>
      </c>
      <c r="W16" s="62" t="s">
        <v>23</v>
      </c>
      <c r="X16" s="63" t="s">
        <v>23</v>
      </c>
      <c r="Y16" s="61" t="s">
        <v>23</v>
      </c>
      <c r="Z16" s="61" t="s">
        <v>23</v>
      </c>
      <c r="AA16" s="61" t="s">
        <v>23</v>
      </c>
      <c r="AB16" s="61" t="s">
        <v>23</v>
      </c>
      <c r="AC16" s="61" t="s">
        <v>23</v>
      </c>
      <c r="AD16" s="62" t="s">
        <v>23</v>
      </c>
      <c r="AE16" s="62" t="s">
        <v>23</v>
      </c>
      <c r="AF16" s="42">
        <v>12</v>
      </c>
      <c r="AG16" s="42">
        <v>7</v>
      </c>
      <c r="AH16" s="42">
        <v>5</v>
      </c>
      <c r="AI16" s="42"/>
      <c r="AJ16" s="13" t="s">
        <v>30</v>
      </c>
      <c r="AL16" s="32" t="s">
        <v>11</v>
      </c>
      <c r="AM16" s="33">
        <v>150</v>
      </c>
      <c r="AN16" s="25">
        <v>35</v>
      </c>
      <c r="AO16" s="25">
        <f t="shared" si="2"/>
        <v>0</v>
      </c>
      <c r="AP16" s="25">
        <f t="shared" si="3"/>
        <v>0</v>
      </c>
      <c r="AQ16" s="25">
        <f t="shared" si="4"/>
        <v>0</v>
      </c>
      <c r="AR16" s="25">
        <f t="shared" si="5"/>
        <v>0</v>
      </c>
      <c r="AS16" s="58">
        <f t="shared" si="6"/>
        <v>0</v>
      </c>
      <c r="AT16" s="58">
        <f t="shared" si="1"/>
        <v>0</v>
      </c>
      <c r="AU16" s="58">
        <f t="shared" si="1"/>
        <v>0</v>
      </c>
      <c r="AY16">
        <f t="shared" si="7"/>
        <v>120</v>
      </c>
    </row>
    <row r="17" spans="1:51" x14ac:dyDescent="0.3">
      <c r="A17" s="49">
        <v>44378</v>
      </c>
      <c r="B17" s="59">
        <v>1600</v>
      </c>
      <c r="C17" s="59" cm="1">
        <f t="array" ref="C17">(SUM(VLOOKUP(H17:AE17,$AL$4:$AN$44,2,FALSE))+AF17*10)*IF(AJ17="是",$AW$4,$AW$3)</f>
        <v>1580</v>
      </c>
      <c r="D17" s="59">
        <f>SUM($B$4:B17)-SUM($C$4:C17)</f>
        <v>170</v>
      </c>
      <c r="E17" s="59" cm="1">
        <f t="array" ref="E17">SUM(VLOOKUP(H17:AE17,$AL$4:$AN$44,3,FALSE))</f>
        <v>430</v>
      </c>
      <c r="F17" s="59">
        <f>SUM($E$4:E17)+SUM($G$4:G17)</f>
        <v>7745</v>
      </c>
      <c r="G17" s="59">
        <v>0</v>
      </c>
      <c r="H17" s="71" t="s">
        <v>19</v>
      </c>
      <c r="I17" s="71" t="s">
        <v>19</v>
      </c>
      <c r="J17" s="71" t="s">
        <v>19</v>
      </c>
      <c r="K17" s="71" t="s">
        <v>19</v>
      </c>
      <c r="L17" s="71" t="s">
        <v>19</v>
      </c>
      <c r="M17" s="61" t="s">
        <v>23</v>
      </c>
      <c r="N17" s="62" t="s">
        <v>23</v>
      </c>
      <c r="O17" s="62" t="s">
        <v>23</v>
      </c>
      <c r="P17" s="68" t="s">
        <v>18</v>
      </c>
      <c r="Q17" s="68" t="s">
        <v>18</v>
      </c>
      <c r="R17" s="68" t="s">
        <v>18</v>
      </c>
      <c r="S17" s="68" t="s">
        <v>18</v>
      </c>
      <c r="T17" s="61" t="s">
        <v>23</v>
      </c>
      <c r="U17" s="61" t="s">
        <v>23</v>
      </c>
      <c r="V17" s="62" t="s">
        <v>23</v>
      </c>
      <c r="W17" s="62" t="s">
        <v>23</v>
      </c>
      <c r="X17" s="63" t="s">
        <v>23</v>
      </c>
      <c r="Y17" s="61" t="s">
        <v>23</v>
      </c>
      <c r="Z17" s="61" t="s">
        <v>23</v>
      </c>
      <c r="AA17" s="61" t="s">
        <v>23</v>
      </c>
      <c r="AB17" s="61" t="s">
        <v>23</v>
      </c>
      <c r="AC17" s="61" t="s">
        <v>23</v>
      </c>
      <c r="AD17" s="62" t="s">
        <v>23</v>
      </c>
      <c r="AE17" s="62" t="s">
        <v>23</v>
      </c>
      <c r="AF17" s="42">
        <v>0</v>
      </c>
      <c r="AG17" s="42"/>
      <c r="AH17" s="42"/>
      <c r="AI17" s="42"/>
      <c r="AJ17" s="13" t="s">
        <v>30</v>
      </c>
      <c r="AL17" s="34" t="s">
        <v>12</v>
      </c>
      <c r="AM17" s="25">
        <v>50</v>
      </c>
      <c r="AN17" s="25">
        <v>30</v>
      </c>
      <c r="AO17" s="25">
        <f t="shared" si="2"/>
        <v>13</v>
      </c>
      <c r="AP17" s="25">
        <f t="shared" si="3"/>
        <v>5</v>
      </c>
      <c r="AQ17" s="25">
        <f t="shared" si="4"/>
        <v>2</v>
      </c>
      <c r="AR17" s="25">
        <f t="shared" si="5"/>
        <v>20</v>
      </c>
      <c r="AS17" s="58">
        <f t="shared" si="6"/>
        <v>390</v>
      </c>
      <c r="AT17" s="58">
        <f t="shared" si="1"/>
        <v>150</v>
      </c>
      <c r="AU17" s="58">
        <f t="shared" si="1"/>
        <v>60</v>
      </c>
      <c r="AY17">
        <f t="shared" si="7"/>
        <v>40</v>
      </c>
    </row>
    <row r="18" spans="1:51" x14ac:dyDescent="0.3">
      <c r="A18" s="49">
        <v>44379</v>
      </c>
      <c r="B18" s="59">
        <v>1600</v>
      </c>
      <c r="C18" s="59" cm="1">
        <f t="array" ref="C18">(SUM(VLOOKUP(H18:AE18,$AL$4:$AN$44,2,FALSE))+AF18*10)*IF(AJ18="是",$AW$4,$AW$3)</f>
        <v>1760</v>
      </c>
      <c r="D18" s="59">
        <f>SUM($B$4:B18)-SUM($C$4:C18)</f>
        <v>10</v>
      </c>
      <c r="E18" s="59" cm="1">
        <f t="array" ref="E18">SUM(VLOOKUP(H18:AE18,$AL$4:$AN$44,3,FALSE))</f>
        <v>480</v>
      </c>
      <c r="F18" s="59">
        <f>SUM($E$4:E18)+SUM($G$4:G18)</f>
        <v>8225</v>
      </c>
      <c r="G18" s="59">
        <v>0</v>
      </c>
      <c r="H18" s="71" t="s">
        <v>19</v>
      </c>
      <c r="I18" s="71" t="s">
        <v>19</v>
      </c>
      <c r="J18" s="71" t="s">
        <v>19</v>
      </c>
      <c r="K18" s="71" t="s">
        <v>19</v>
      </c>
      <c r="L18" s="61" t="s">
        <v>23</v>
      </c>
      <c r="M18" s="61" t="s">
        <v>23</v>
      </c>
      <c r="N18" s="62" t="s">
        <v>23</v>
      </c>
      <c r="O18" s="62" t="s">
        <v>23</v>
      </c>
      <c r="P18" s="71" t="s">
        <v>19</v>
      </c>
      <c r="Q18" s="68" t="s">
        <v>18</v>
      </c>
      <c r="R18" s="68" t="s">
        <v>18</v>
      </c>
      <c r="S18" s="68" t="s">
        <v>18</v>
      </c>
      <c r="T18" s="71" t="s">
        <v>19</v>
      </c>
      <c r="U18" s="68" t="s">
        <v>18</v>
      </c>
      <c r="V18" s="62" t="s">
        <v>23</v>
      </c>
      <c r="W18" s="62" t="s">
        <v>23</v>
      </c>
      <c r="X18" s="63" t="s">
        <v>23</v>
      </c>
      <c r="Y18" s="61" t="s">
        <v>23</v>
      </c>
      <c r="Z18" s="61" t="s">
        <v>23</v>
      </c>
      <c r="AA18" s="61" t="s">
        <v>23</v>
      </c>
      <c r="AB18" s="61" t="s">
        <v>23</v>
      </c>
      <c r="AC18" s="61" t="s">
        <v>23</v>
      </c>
      <c r="AD18" s="62" t="s">
        <v>23</v>
      </c>
      <c r="AE18" s="62" t="s">
        <v>23</v>
      </c>
      <c r="AF18" s="42">
        <v>0</v>
      </c>
      <c r="AG18" s="42"/>
      <c r="AH18" s="42"/>
      <c r="AI18" s="42"/>
      <c r="AJ18" s="13" t="s">
        <v>30</v>
      </c>
      <c r="AK18" s="17" t="s">
        <v>25</v>
      </c>
      <c r="AL18" s="35" t="s">
        <v>13</v>
      </c>
      <c r="AM18" s="25">
        <v>-150</v>
      </c>
      <c r="AN18" s="25">
        <v>0</v>
      </c>
      <c r="AO18" s="25">
        <f t="shared" si="2"/>
        <v>3</v>
      </c>
      <c r="AP18" s="25">
        <f t="shared" si="3"/>
        <v>6</v>
      </c>
      <c r="AQ18" s="25">
        <f t="shared" si="4"/>
        <v>0</v>
      </c>
      <c r="AR18" s="25">
        <f t="shared" si="5"/>
        <v>9</v>
      </c>
      <c r="AS18" s="58">
        <f t="shared" si="6"/>
        <v>0</v>
      </c>
      <c r="AT18" s="58">
        <f t="shared" si="1"/>
        <v>0</v>
      </c>
      <c r="AU18" s="58">
        <f t="shared" si="1"/>
        <v>0</v>
      </c>
      <c r="AY18">
        <f t="shared" si="7"/>
        <v>-120</v>
      </c>
    </row>
    <row r="19" spans="1:51" x14ac:dyDescent="0.3">
      <c r="A19" s="49">
        <v>44380</v>
      </c>
      <c r="B19" s="59">
        <v>1600</v>
      </c>
      <c r="C19" s="73" cm="1">
        <f t="array" ref="C19">(SUM(VLOOKUP(H19:AE19,$AL$4:$AN$44,2,FALSE))+AF19*10)*IF(AJ19="是",$AW$4,$AW$3)-246</f>
        <v>1334</v>
      </c>
      <c r="D19" s="59">
        <f>SUM($B$4:B19)-SUM($C$4:C19)</f>
        <v>276</v>
      </c>
      <c r="E19" s="59" cm="1">
        <f t="array" ref="E19">SUM(VLOOKUP(H19:AE19,$AL$4:$AN$44,3,FALSE))</f>
        <v>445</v>
      </c>
      <c r="F19" s="59">
        <f>SUM($E$4:E19)+SUM($G$4:G19)</f>
        <v>8670</v>
      </c>
      <c r="G19" s="59">
        <v>0</v>
      </c>
      <c r="H19" s="69" t="s">
        <v>41</v>
      </c>
      <c r="I19" s="71" t="s">
        <v>19</v>
      </c>
      <c r="J19" s="71" t="s">
        <v>8</v>
      </c>
      <c r="K19" s="72" t="s">
        <v>20</v>
      </c>
      <c r="L19" s="61" t="s">
        <v>23</v>
      </c>
      <c r="M19" s="61" t="s">
        <v>23</v>
      </c>
      <c r="N19" s="62" t="s">
        <v>23</v>
      </c>
      <c r="O19" s="62" t="s">
        <v>23</v>
      </c>
      <c r="P19" s="69" t="s">
        <v>42</v>
      </c>
      <c r="Q19" s="68" t="s">
        <v>18</v>
      </c>
      <c r="R19" s="71" t="s">
        <v>19</v>
      </c>
      <c r="S19" s="71" t="s">
        <v>19</v>
      </c>
      <c r="T19" s="71" t="s">
        <v>19</v>
      </c>
      <c r="U19" s="61" t="s">
        <v>23</v>
      </c>
      <c r="V19" s="62" t="s">
        <v>23</v>
      </c>
      <c r="W19" s="62" t="s">
        <v>23</v>
      </c>
      <c r="X19" s="63" t="s">
        <v>23</v>
      </c>
      <c r="Y19" s="61" t="s">
        <v>23</v>
      </c>
      <c r="Z19" s="61" t="s">
        <v>23</v>
      </c>
      <c r="AA19" s="61" t="s">
        <v>23</v>
      </c>
      <c r="AB19" s="61" t="s">
        <v>23</v>
      </c>
      <c r="AC19" s="61" t="s">
        <v>23</v>
      </c>
      <c r="AD19" s="62" t="s">
        <v>23</v>
      </c>
      <c r="AE19" s="62" t="s">
        <v>23</v>
      </c>
      <c r="AF19" s="42">
        <v>0</v>
      </c>
      <c r="AG19" s="42"/>
      <c r="AH19" s="42"/>
      <c r="AI19" s="42"/>
      <c r="AJ19" s="13" t="s">
        <v>30</v>
      </c>
      <c r="AL19" s="36" t="s">
        <v>42</v>
      </c>
      <c r="AM19" s="25">
        <v>170</v>
      </c>
      <c r="AN19" s="25">
        <v>45</v>
      </c>
      <c r="AO19" s="25">
        <f t="shared" si="2"/>
        <v>2</v>
      </c>
      <c r="AP19" s="25">
        <f t="shared" si="3"/>
        <v>2</v>
      </c>
      <c r="AQ19" s="25">
        <f t="shared" si="4"/>
        <v>0</v>
      </c>
      <c r="AR19" s="25">
        <f t="shared" si="5"/>
        <v>4</v>
      </c>
      <c r="AS19" s="58">
        <f t="shared" si="6"/>
        <v>90</v>
      </c>
      <c r="AT19" s="58">
        <f t="shared" si="1"/>
        <v>90</v>
      </c>
      <c r="AU19" s="58">
        <f t="shared" si="1"/>
        <v>0</v>
      </c>
      <c r="AY19">
        <f t="shared" si="7"/>
        <v>136</v>
      </c>
    </row>
    <row r="20" spans="1:51" x14ac:dyDescent="0.3">
      <c r="A20" s="49">
        <v>44381</v>
      </c>
      <c r="B20" s="59">
        <v>1600</v>
      </c>
      <c r="C20" s="59" cm="1">
        <f t="array" ref="C20">(SUM(VLOOKUP(H20:AE20,$AL$4:$AN$44,2,FALSE))+AF20*10)*IF(AJ20="是",$AW$4,$AW$3)</f>
        <v>1776</v>
      </c>
      <c r="D20" s="59">
        <f>SUM($B$4:B20)-SUM($C$4:C20)</f>
        <v>100</v>
      </c>
      <c r="E20" s="59" cm="1">
        <f t="array" ref="E20">SUM(VLOOKUP(H20:AE20,$AL$4:$AN$44,3,FALSE))</f>
        <v>630</v>
      </c>
      <c r="F20" s="59">
        <f>SUM($E$4:E20)+SUM($G$4:G20)</f>
        <v>9300</v>
      </c>
      <c r="G20" s="59">
        <v>0</v>
      </c>
      <c r="H20" s="72" t="s">
        <v>20</v>
      </c>
      <c r="I20" s="72" t="s">
        <v>20</v>
      </c>
      <c r="J20" s="72" t="s">
        <v>20</v>
      </c>
      <c r="K20" s="72" t="s">
        <v>20</v>
      </c>
      <c r="L20" s="72" t="s">
        <v>20</v>
      </c>
      <c r="M20" s="72" t="s">
        <v>20</v>
      </c>
      <c r="N20" s="62" t="s">
        <v>23</v>
      </c>
      <c r="O20" s="62" t="s">
        <v>23</v>
      </c>
      <c r="P20" s="71" t="s">
        <v>19</v>
      </c>
      <c r="Q20" s="71" t="s">
        <v>19</v>
      </c>
      <c r="R20" s="71" t="s">
        <v>19</v>
      </c>
      <c r="S20" s="71" t="s">
        <v>19</v>
      </c>
      <c r="T20" s="71" t="s">
        <v>19</v>
      </c>
      <c r="U20" s="71" t="s">
        <v>19</v>
      </c>
      <c r="V20" s="62" t="s">
        <v>23</v>
      </c>
      <c r="W20" s="62" t="s">
        <v>23</v>
      </c>
      <c r="X20" s="63" t="s">
        <v>23</v>
      </c>
      <c r="Y20" s="61" t="s">
        <v>23</v>
      </c>
      <c r="Z20" s="61" t="s">
        <v>23</v>
      </c>
      <c r="AA20" s="61" t="s">
        <v>23</v>
      </c>
      <c r="AB20" s="61" t="s">
        <v>23</v>
      </c>
      <c r="AC20" s="61" t="s">
        <v>23</v>
      </c>
      <c r="AD20" s="62" t="s">
        <v>23</v>
      </c>
      <c r="AE20" s="62" t="s">
        <v>23</v>
      </c>
      <c r="AF20" s="42">
        <v>0</v>
      </c>
      <c r="AG20" s="42"/>
      <c r="AH20" s="42"/>
      <c r="AI20" s="42"/>
      <c r="AJ20" s="13" t="s">
        <v>31</v>
      </c>
      <c r="AL20" s="36" t="s">
        <v>41</v>
      </c>
      <c r="AM20" s="25">
        <v>180</v>
      </c>
      <c r="AN20" s="25">
        <v>50</v>
      </c>
      <c r="AO20" s="25">
        <f t="shared" si="2"/>
        <v>3</v>
      </c>
      <c r="AP20" s="25">
        <f t="shared" si="3"/>
        <v>1</v>
      </c>
      <c r="AQ20" s="25">
        <f t="shared" si="4"/>
        <v>0</v>
      </c>
      <c r="AR20" s="25">
        <f t="shared" si="5"/>
        <v>4</v>
      </c>
      <c r="AS20" s="58">
        <f t="shared" si="6"/>
        <v>150</v>
      </c>
      <c r="AT20" s="58">
        <f t="shared" si="6"/>
        <v>50</v>
      </c>
      <c r="AU20" s="58">
        <f t="shared" si="6"/>
        <v>0</v>
      </c>
      <c r="AY20">
        <f t="shared" si="7"/>
        <v>144</v>
      </c>
    </row>
    <row r="21" spans="1:51" x14ac:dyDescent="0.3">
      <c r="A21" s="49">
        <v>44382</v>
      </c>
      <c r="B21" s="67">
        <v>1600</v>
      </c>
      <c r="C21" s="59" cm="1">
        <f t="array" ref="C21">(SUM(VLOOKUP(H21:AE21,$AL$4:$AN$44,2,FALSE))+AF21*10)*IF(AJ21="是",$AW$4,$AW$3)</f>
        <v>1592</v>
      </c>
      <c r="D21" s="67">
        <f>SUM($B$4:B21)-SUM($C$4:C21)</f>
        <v>108</v>
      </c>
      <c r="E21" s="59" cm="1">
        <f t="array" ref="E21">SUM(VLOOKUP(H21:AE21,$AL$4:$AN$44,3,FALSE))</f>
        <v>575</v>
      </c>
      <c r="F21" s="59">
        <f>SUM($E$4:E21)+SUM($G$4:G21)</f>
        <v>10075</v>
      </c>
      <c r="G21" s="67">
        <v>200</v>
      </c>
      <c r="H21" s="72" t="s">
        <v>20</v>
      </c>
      <c r="I21" s="72" t="s">
        <v>20</v>
      </c>
      <c r="J21" s="72" t="s">
        <v>20</v>
      </c>
      <c r="K21" s="72" t="s">
        <v>9</v>
      </c>
      <c r="L21" s="72" t="s">
        <v>20</v>
      </c>
      <c r="M21" s="63" t="s">
        <v>23</v>
      </c>
      <c r="N21" s="62" t="s">
        <v>23</v>
      </c>
      <c r="O21" s="62" t="s">
        <v>23</v>
      </c>
      <c r="P21" s="71" t="s">
        <v>19</v>
      </c>
      <c r="Q21" s="71" t="s">
        <v>19</v>
      </c>
      <c r="R21" s="71" t="s">
        <v>19</v>
      </c>
      <c r="S21" s="71" t="s">
        <v>19</v>
      </c>
      <c r="T21" s="71" t="s">
        <v>19</v>
      </c>
      <c r="U21" s="71" t="s">
        <v>19</v>
      </c>
      <c r="V21" s="62" t="s">
        <v>23</v>
      </c>
      <c r="W21" s="62" t="s">
        <v>23</v>
      </c>
      <c r="X21" s="63" t="s">
        <v>23</v>
      </c>
      <c r="Y21" s="61" t="s">
        <v>23</v>
      </c>
      <c r="Z21" s="61" t="s">
        <v>23</v>
      </c>
      <c r="AA21" s="61" t="s">
        <v>23</v>
      </c>
      <c r="AB21" s="61" t="s">
        <v>23</v>
      </c>
      <c r="AC21" s="61" t="s">
        <v>23</v>
      </c>
      <c r="AD21" s="62" t="s">
        <v>23</v>
      </c>
      <c r="AE21" s="62" t="s">
        <v>23</v>
      </c>
      <c r="AF21" s="42">
        <v>0</v>
      </c>
      <c r="AG21" s="42"/>
      <c r="AH21" s="42"/>
      <c r="AI21" s="42"/>
      <c r="AJ21" s="13" t="s">
        <v>31</v>
      </c>
      <c r="AL21" s="40" t="s">
        <v>14</v>
      </c>
      <c r="AM21" s="25">
        <v>250</v>
      </c>
      <c r="AN21" s="25">
        <v>200</v>
      </c>
      <c r="AO21" s="25">
        <f t="shared" si="2"/>
        <v>0</v>
      </c>
      <c r="AP21" s="25">
        <f t="shared" si="3"/>
        <v>2</v>
      </c>
      <c r="AQ21" s="25">
        <f t="shared" si="4"/>
        <v>0</v>
      </c>
      <c r="AR21" s="25">
        <f t="shared" si="5"/>
        <v>2</v>
      </c>
      <c r="AS21" s="58">
        <f t="shared" si="6"/>
        <v>0</v>
      </c>
      <c r="AT21" s="58">
        <f t="shared" si="6"/>
        <v>400</v>
      </c>
      <c r="AU21" s="58">
        <f t="shared" si="6"/>
        <v>0</v>
      </c>
      <c r="AY21">
        <f t="shared" si="7"/>
        <v>200</v>
      </c>
    </row>
    <row r="22" spans="1:51" x14ac:dyDescent="0.3">
      <c r="A22" s="49">
        <v>44383</v>
      </c>
      <c r="B22" s="67">
        <v>1600</v>
      </c>
      <c r="C22" s="59" cm="1">
        <f t="array" ref="C22">(SUM(VLOOKUP(H22:AE22,$AL$4:$AN$44,2,FALSE))+AF22*10)*IF(AJ22="是",$AW$4,$AW$3)</f>
        <v>1600</v>
      </c>
      <c r="D22" s="67">
        <f>SUM($B$4:B22)-SUM($C$4:C22)</f>
        <v>108</v>
      </c>
      <c r="E22" s="59" cm="1">
        <f t="array" ref="E22">SUM(VLOOKUP(H22:AE22,$AL$4:$AN$44,3,FALSE))</f>
        <v>565</v>
      </c>
      <c r="F22" s="59">
        <f>SUM($E$4:E22)+SUM($G$4:G22)</f>
        <v>10740</v>
      </c>
      <c r="G22" s="67">
        <v>100</v>
      </c>
      <c r="H22" s="72" t="s">
        <v>20</v>
      </c>
      <c r="I22" s="72" t="s">
        <v>20</v>
      </c>
      <c r="J22" s="72" t="s">
        <v>20</v>
      </c>
      <c r="K22" s="72" t="s">
        <v>20</v>
      </c>
      <c r="L22" s="72" t="s">
        <v>20</v>
      </c>
      <c r="M22" s="63" t="s">
        <v>23</v>
      </c>
      <c r="N22" s="62" t="s">
        <v>23</v>
      </c>
      <c r="O22" s="62" t="s">
        <v>23</v>
      </c>
      <c r="P22" s="71" t="s">
        <v>19</v>
      </c>
      <c r="Q22" s="71" t="s">
        <v>19</v>
      </c>
      <c r="R22" s="71" t="s">
        <v>19</v>
      </c>
      <c r="S22" s="68" t="s">
        <v>7</v>
      </c>
      <c r="T22" s="71" t="s">
        <v>19</v>
      </c>
      <c r="U22" s="68" t="s">
        <v>18</v>
      </c>
      <c r="V22" s="62" t="s">
        <v>23</v>
      </c>
      <c r="W22" s="62" t="s">
        <v>23</v>
      </c>
      <c r="X22" s="63" t="s">
        <v>23</v>
      </c>
      <c r="Y22" s="61" t="s">
        <v>23</v>
      </c>
      <c r="Z22" s="61" t="s">
        <v>23</v>
      </c>
      <c r="AA22" s="61" t="s">
        <v>23</v>
      </c>
      <c r="AB22" s="61" t="s">
        <v>23</v>
      </c>
      <c r="AC22" s="61" t="s">
        <v>23</v>
      </c>
      <c r="AD22" s="62" t="s">
        <v>23</v>
      </c>
      <c r="AE22" s="62" t="s">
        <v>23</v>
      </c>
      <c r="AF22" s="42">
        <v>1</v>
      </c>
      <c r="AG22" s="42"/>
      <c r="AH22" s="42">
        <v>1</v>
      </c>
      <c r="AI22" s="42"/>
      <c r="AJ22" s="13" t="s">
        <v>31</v>
      </c>
      <c r="AL22" s="38" t="s">
        <v>15</v>
      </c>
      <c r="AM22" s="25">
        <v>250</v>
      </c>
      <c r="AN22" s="25">
        <v>1000</v>
      </c>
      <c r="AO22" s="25">
        <f t="shared" si="2"/>
        <v>0</v>
      </c>
      <c r="AP22" s="25">
        <f t="shared" si="3"/>
        <v>2</v>
      </c>
      <c r="AQ22" s="25">
        <f t="shared" si="4"/>
        <v>0</v>
      </c>
      <c r="AR22" s="25">
        <f t="shared" si="5"/>
        <v>2</v>
      </c>
      <c r="AS22" s="58">
        <f t="shared" si="6"/>
        <v>0</v>
      </c>
      <c r="AT22" s="58">
        <f t="shared" si="6"/>
        <v>2000</v>
      </c>
      <c r="AU22" s="58">
        <f t="shared" si="6"/>
        <v>0</v>
      </c>
      <c r="AY22">
        <f t="shared" si="7"/>
        <v>200</v>
      </c>
    </row>
    <row r="23" spans="1:51" x14ac:dyDescent="0.3">
      <c r="A23" s="49">
        <v>44384</v>
      </c>
      <c r="B23" s="67">
        <v>1600</v>
      </c>
      <c r="C23" s="59" cm="1">
        <f t="array" ref="C23">(SUM(VLOOKUP(H23:AE23,$AL$4:$AN$44,2,FALSE))+AF23*10)*IF(AJ23="是",$AW$4,$AW$3)</f>
        <v>1632</v>
      </c>
      <c r="D23" s="67">
        <f>SUM($B$4:B23)-SUM($C$4:C23)</f>
        <v>76</v>
      </c>
      <c r="E23" s="59" cm="1">
        <f t="array" ref="E23">SUM(VLOOKUP(H23:AE23,$AL$4:$AN$44,3,FALSE))</f>
        <v>585</v>
      </c>
      <c r="F23" s="59">
        <f>SUM($E$4:E23)+SUM($G$4:G23)</f>
        <v>11525</v>
      </c>
      <c r="G23" s="67">
        <v>200</v>
      </c>
      <c r="H23" s="72" t="s">
        <v>20</v>
      </c>
      <c r="I23" s="72" t="s">
        <v>20</v>
      </c>
      <c r="J23" s="72" t="s">
        <v>20</v>
      </c>
      <c r="K23" s="72" t="s">
        <v>20</v>
      </c>
      <c r="L23" s="72" t="s">
        <v>20</v>
      </c>
      <c r="M23" s="72" t="s">
        <v>20</v>
      </c>
      <c r="N23" s="62" t="s">
        <v>23</v>
      </c>
      <c r="O23" s="62" t="s">
        <v>23</v>
      </c>
      <c r="P23" s="68" t="s">
        <v>18</v>
      </c>
      <c r="Q23" s="66" t="s">
        <v>12</v>
      </c>
      <c r="R23" s="68" t="s">
        <v>18</v>
      </c>
      <c r="S23" s="68" t="s">
        <v>18</v>
      </c>
      <c r="T23" s="68" t="s">
        <v>18</v>
      </c>
      <c r="U23" s="68" t="s">
        <v>18</v>
      </c>
      <c r="V23" s="62" t="s">
        <v>23</v>
      </c>
      <c r="W23" s="62" t="s">
        <v>23</v>
      </c>
      <c r="X23" s="63" t="s">
        <v>23</v>
      </c>
      <c r="Y23" s="61" t="s">
        <v>23</v>
      </c>
      <c r="Z23" s="61" t="s">
        <v>23</v>
      </c>
      <c r="AA23" s="61" t="s">
        <v>23</v>
      </c>
      <c r="AB23" s="61" t="s">
        <v>23</v>
      </c>
      <c r="AC23" s="61" t="s">
        <v>23</v>
      </c>
      <c r="AD23" s="62" t="s">
        <v>23</v>
      </c>
      <c r="AE23" s="62" t="s">
        <v>23</v>
      </c>
      <c r="AF23" s="42">
        <v>0</v>
      </c>
      <c r="AG23" s="42"/>
      <c r="AH23" s="42"/>
      <c r="AI23" s="42"/>
      <c r="AJ23" s="13" t="s">
        <v>31</v>
      </c>
      <c r="AL23" s="41" t="s">
        <v>43</v>
      </c>
      <c r="AM23" s="25">
        <v>250</v>
      </c>
      <c r="AN23" s="25">
        <v>500</v>
      </c>
      <c r="AO23" s="25">
        <f t="shared" si="2"/>
        <v>0</v>
      </c>
      <c r="AP23" s="25">
        <f t="shared" si="3"/>
        <v>1</v>
      </c>
      <c r="AQ23" s="25">
        <f t="shared" si="4"/>
        <v>0</v>
      </c>
      <c r="AR23" s="25">
        <f t="shared" si="5"/>
        <v>1</v>
      </c>
      <c r="AS23" s="58">
        <f t="shared" si="6"/>
        <v>0</v>
      </c>
      <c r="AT23" s="58">
        <f t="shared" si="6"/>
        <v>500</v>
      </c>
      <c r="AU23" s="58">
        <f t="shared" si="6"/>
        <v>0</v>
      </c>
      <c r="AY23">
        <f t="shared" si="7"/>
        <v>200</v>
      </c>
    </row>
    <row r="24" spans="1:51" x14ac:dyDescent="0.3">
      <c r="A24" s="49">
        <v>44385</v>
      </c>
      <c r="B24" s="67">
        <v>1600</v>
      </c>
      <c r="C24" s="59" cm="1">
        <f t="array" ref="C24">(SUM(VLOOKUP(H24:AE24,$AL$4:$AN$44,2,FALSE))+AF24*10)*IF(AJ24="是",$AW$4,$AW$3)</f>
        <v>1616</v>
      </c>
      <c r="D24" s="67">
        <f>SUM($B$4:B24)-SUM($C$4:C24)</f>
        <v>60</v>
      </c>
      <c r="E24" s="59" cm="1">
        <f t="array" ref="E24">SUM(VLOOKUP(H24:AE24,$AL$4:$AN$44,3,FALSE))</f>
        <v>590</v>
      </c>
      <c r="F24" s="59">
        <f>SUM($E$4:E24)+SUM($G$4:G24)</f>
        <v>12115</v>
      </c>
      <c r="G24" s="67">
        <v>0</v>
      </c>
      <c r="H24" s="72" t="s">
        <v>20</v>
      </c>
      <c r="I24" s="72" t="s">
        <v>20</v>
      </c>
      <c r="J24" s="72" t="s">
        <v>20</v>
      </c>
      <c r="K24" s="72" t="s">
        <v>9</v>
      </c>
      <c r="L24" s="72" t="s">
        <v>20</v>
      </c>
      <c r="M24" s="72" t="s">
        <v>20</v>
      </c>
      <c r="N24" s="62" t="s">
        <v>23</v>
      </c>
      <c r="O24" s="62" t="s">
        <v>23</v>
      </c>
      <c r="P24" s="68" t="s">
        <v>18</v>
      </c>
      <c r="Q24" s="71" t="s">
        <v>19</v>
      </c>
      <c r="R24" s="68" t="s">
        <v>18</v>
      </c>
      <c r="S24" s="64" t="s">
        <v>17</v>
      </c>
      <c r="T24" s="66" t="s">
        <v>12</v>
      </c>
      <c r="U24" s="71" t="s">
        <v>19</v>
      </c>
      <c r="V24" s="62" t="s">
        <v>23</v>
      </c>
      <c r="W24" s="62" t="s">
        <v>23</v>
      </c>
      <c r="X24" s="63" t="s">
        <v>23</v>
      </c>
      <c r="Y24" s="61" t="s">
        <v>23</v>
      </c>
      <c r="Z24" s="61" t="s">
        <v>23</v>
      </c>
      <c r="AA24" s="61" t="s">
        <v>23</v>
      </c>
      <c r="AB24" s="61" t="s">
        <v>23</v>
      </c>
      <c r="AC24" s="61" t="s">
        <v>23</v>
      </c>
      <c r="AD24" s="62" t="s">
        <v>23</v>
      </c>
      <c r="AE24" s="62" t="s">
        <v>23</v>
      </c>
      <c r="AF24" s="42">
        <v>1</v>
      </c>
      <c r="AG24" s="42"/>
      <c r="AH24" s="42">
        <v>1</v>
      </c>
      <c r="AI24" s="42"/>
      <c r="AJ24" s="13" t="s">
        <v>31</v>
      </c>
      <c r="AL24" s="37" t="s">
        <v>39</v>
      </c>
      <c r="AM24" s="25">
        <v>160</v>
      </c>
      <c r="AN24" s="25">
        <v>40</v>
      </c>
      <c r="AO24" s="25">
        <f t="shared" si="2"/>
        <v>0</v>
      </c>
      <c r="AP24" s="25">
        <f t="shared" si="3"/>
        <v>0</v>
      </c>
      <c r="AQ24" s="25">
        <f t="shared" si="4"/>
        <v>0</v>
      </c>
      <c r="AR24" s="25">
        <f t="shared" si="5"/>
        <v>0</v>
      </c>
      <c r="AS24" s="58">
        <f t="shared" si="6"/>
        <v>0</v>
      </c>
      <c r="AT24" s="58">
        <f t="shared" si="6"/>
        <v>0</v>
      </c>
      <c r="AU24" s="58">
        <f t="shared" si="6"/>
        <v>0</v>
      </c>
      <c r="AY24">
        <f t="shared" si="7"/>
        <v>128</v>
      </c>
    </row>
    <row r="25" spans="1:51" x14ac:dyDescent="0.3">
      <c r="A25" s="49">
        <v>44386</v>
      </c>
      <c r="B25" s="67">
        <v>1600</v>
      </c>
      <c r="C25" s="59" cm="1">
        <f t="array" ref="C25">(SUM(VLOOKUP(H25:AE25,$AL$4:$AN$44,2,FALSE))+AF25*10)*IF(AJ25="是",$AW$4,$AW$3)</f>
        <v>1624</v>
      </c>
      <c r="D25" s="67">
        <f>SUM($B$4:B25)-SUM($C$4:C25)</f>
        <v>36</v>
      </c>
      <c r="E25" s="59" cm="1">
        <f t="array" ref="E25">SUM(VLOOKUP(H25:AE25,$AL$4:$AN$44,3,FALSE))</f>
        <v>575</v>
      </c>
      <c r="F25" s="59">
        <f>SUM($E$4:E25)+SUM($G$4:G25)</f>
        <v>12690</v>
      </c>
      <c r="G25" s="67">
        <v>0</v>
      </c>
      <c r="H25" s="72" t="s">
        <v>20</v>
      </c>
      <c r="I25" s="72" t="s">
        <v>20</v>
      </c>
      <c r="J25" s="72" t="s">
        <v>20</v>
      </c>
      <c r="K25" s="72" t="s">
        <v>20</v>
      </c>
      <c r="L25" s="72" t="s">
        <v>20</v>
      </c>
      <c r="M25" s="63" t="s">
        <v>23</v>
      </c>
      <c r="N25" s="62" t="s">
        <v>23</v>
      </c>
      <c r="O25" s="62" t="s">
        <v>23</v>
      </c>
      <c r="P25" s="71" t="s">
        <v>19</v>
      </c>
      <c r="Q25" s="71" t="s">
        <v>19</v>
      </c>
      <c r="R25" s="71" t="s">
        <v>19</v>
      </c>
      <c r="S25" s="71" t="s">
        <v>19</v>
      </c>
      <c r="T25" s="71" t="s">
        <v>19</v>
      </c>
      <c r="U25" s="71" t="s">
        <v>19</v>
      </c>
      <c r="V25" s="62" t="s">
        <v>23</v>
      </c>
      <c r="W25" s="62" t="s">
        <v>23</v>
      </c>
      <c r="X25" s="63" t="s">
        <v>23</v>
      </c>
      <c r="Y25" s="61" t="s">
        <v>23</v>
      </c>
      <c r="Z25" s="61" t="s">
        <v>23</v>
      </c>
      <c r="AA25" s="61" t="s">
        <v>23</v>
      </c>
      <c r="AB25" s="61" t="s">
        <v>23</v>
      </c>
      <c r="AC25" s="61" t="s">
        <v>23</v>
      </c>
      <c r="AD25" s="62" t="s">
        <v>23</v>
      </c>
      <c r="AE25" s="62" t="s">
        <v>23</v>
      </c>
      <c r="AF25" s="42">
        <v>0</v>
      </c>
      <c r="AG25" s="42"/>
      <c r="AH25" s="42"/>
      <c r="AI25" s="42"/>
      <c r="AJ25" s="13" t="s">
        <v>31</v>
      </c>
      <c r="AL25" s="37" t="s">
        <v>40</v>
      </c>
      <c r="AM25" s="25">
        <v>160</v>
      </c>
      <c r="AN25" s="25">
        <v>40</v>
      </c>
      <c r="AO25" s="25">
        <f t="shared" si="2"/>
        <v>0</v>
      </c>
      <c r="AP25" s="25">
        <f t="shared" si="3"/>
        <v>0</v>
      </c>
      <c r="AQ25" s="25">
        <f t="shared" si="4"/>
        <v>0</v>
      </c>
      <c r="AR25" s="25">
        <f t="shared" si="5"/>
        <v>0</v>
      </c>
      <c r="AS25" s="58">
        <f t="shared" si="6"/>
        <v>0</v>
      </c>
      <c r="AT25" s="58">
        <f t="shared" si="6"/>
        <v>0</v>
      </c>
      <c r="AU25" s="58">
        <f t="shared" si="6"/>
        <v>0</v>
      </c>
      <c r="AY25">
        <f t="shared" si="7"/>
        <v>128</v>
      </c>
    </row>
    <row r="26" spans="1:51" x14ac:dyDescent="0.3">
      <c r="A26" s="49">
        <v>44387</v>
      </c>
      <c r="B26" s="67">
        <v>1600</v>
      </c>
      <c r="C26" s="59" cm="1">
        <f t="array" ref="C26">(SUM(VLOOKUP(H26:AE26,$AL$4:$AN$44,2,FALSE))+AF26*10)*IF(AJ26="是",$AW$4,$AW$3)</f>
        <v>1552</v>
      </c>
      <c r="D26" s="67">
        <f>SUM($B$4:B26)-SUM($C$4:C26)</f>
        <v>84</v>
      </c>
      <c r="E26" s="59" cm="1">
        <f t="array" ref="E26">SUM(VLOOKUP(H26:AE26,$AL$4:$AN$44,3,FALSE))</f>
        <v>560</v>
      </c>
      <c r="F26" s="59">
        <f>SUM($E$4:E26)+SUM($G$4:G26)</f>
        <v>13250</v>
      </c>
      <c r="G26" s="67">
        <v>0</v>
      </c>
      <c r="H26" s="72" t="s">
        <v>20</v>
      </c>
      <c r="I26" s="72" t="s">
        <v>20</v>
      </c>
      <c r="J26" s="66" t="s">
        <v>12</v>
      </c>
      <c r="K26" s="72" t="s">
        <v>20</v>
      </c>
      <c r="L26" s="72" t="s">
        <v>20</v>
      </c>
      <c r="M26" s="63" t="s">
        <v>23</v>
      </c>
      <c r="N26" s="62" t="s">
        <v>23</v>
      </c>
      <c r="O26" s="62" t="s">
        <v>23</v>
      </c>
      <c r="P26" s="71" t="s">
        <v>19</v>
      </c>
      <c r="Q26" s="71" t="s">
        <v>19</v>
      </c>
      <c r="R26" s="71" t="s">
        <v>19</v>
      </c>
      <c r="S26" s="71" t="s">
        <v>19</v>
      </c>
      <c r="T26" s="72" t="s">
        <v>20</v>
      </c>
      <c r="U26" s="72" t="s">
        <v>20</v>
      </c>
      <c r="V26" s="62" t="s">
        <v>23</v>
      </c>
      <c r="W26" s="62" t="s">
        <v>23</v>
      </c>
      <c r="X26" s="63" t="s">
        <v>23</v>
      </c>
      <c r="Y26" s="61" t="s">
        <v>23</v>
      </c>
      <c r="Z26" s="61" t="s">
        <v>23</v>
      </c>
      <c r="AA26" s="61" t="s">
        <v>23</v>
      </c>
      <c r="AB26" s="61" t="s">
        <v>23</v>
      </c>
      <c r="AC26" s="61" t="s">
        <v>23</v>
      </c>
      <c r="AD26" s="62" t="s">
        <v>23</v>
      </c>
      <c r="AE26" s="62" t="s">
        <v>23</v>
      </c>
      <c r="AF26" s="42">
        <v>3</v>
      </c>
      <c r="AG26" s="42"/>
      <c r="AH26" s="42">
        <v>3</v>
      </c>
      <c r="AI26" s="42"/>
      <c r="AJ26" s="13" t="s">
        <v>31</v>
      </c>
      <c r="AL26" s="37" t="s">
        <v>38</v>
      </c>
      <c r="AM26" s="25">
        <v>150</v>
      </c>
      <c r="AN26" s="25">
        <v>35</v>
      </c>
      <c r="AO26" s="25">
        <f t="shared" si="2"/>
        <v>0</v>
      </c>
      <c r="AP26" s="25">
        <f t="shared" si="3"/>
        <v>0</v>
      </c>
      <c r="AQ26" s="25">
        <f t="shared" si="4"/>
        <v>0</v>
      </c>
      <c r="AR26" s="25">
        <f t="shared" si="5"/>
        <v>0</v>
      </c>
      <c r="AS26" s="58">
        <f t="shared" si="6"/>
        <v>0</v>
      </c>
      <c r="AT26" s="58">
        <f t="shared" si="6"/>
        <v>0</v>
      </c>
      <c r="AU26" s="58">
        <f t="shared" si="6"/>
        <v>0</v>
      </c>
      <c r="AY26">
        <f t="shared" si="7"/>
        <v>120</v>
      </c>
    </row>
    <row r="27" spans="1:51" x14ac:dyDescent="0.3">
      <c r="A27" s="49">
        <v>44388</v>
      </c>
      <c r="B27" s="67">
        <v>1600</v>
      </c>
      <c r="C27" s="59" cm="1">
        <f t="array" ref="C27">(SUM(VLOOKUP(H27:AE27,$AL$4:$AN$44,2,FALSE))+AF27*10)*IF(AJ27="是",$AW$4,$AW$3)</f>
        <v>1568</v>
      </c>
      <c r="D27" s="67">
        <f>SUM($B$4:B27)-SUM($C$4:C27)</f>
        <v>116</v>
      </c>
      <c r="E27" s="59" cm="1">
        <f t="array" ref="E27">SUM(VLOOKUP(H27:AE27,$AL$4:$AN$44,3,FALSE))</f>
        <v>580</v>
      </c>
      <c r="F27" s="59">
        <f>SUM($E$4:E27)+SUM($G$4:G27)</f>
        <v>13830</v>
      </c>
      <c r="G27" s="67">
        <v>0</v>
      </c>
      <c r="H27" s="72" t="s">
        <v>20</v>
      </c>
      <c r="I27" s="72" t="s">
        <v>20</v>
      </c>
      <c r="J27" s="72" t="s">
        <v>20</v>
      </c>
      <c r="K27" s="72" t="s">
        <v>20</v>
      </c>
      <c r="L27" s="72" t="s">
        <v>20</v>
      </c>
      <c r="M27" s="63" t="s">
        <v>23</v>
      </c>
      <c r="N27" s="62" t="s">
        <v>23</v>
      </c>
      <c r="O27" s="62" t="s">
        <v>23</v>
      </c>
      <c r="P27" s="72" t="s">
        <v>20</v>
      </c>
      <c r="Q27" s="72" t="s">
        <v>20</v>
      </c>
      <c r="R27" s="72" t="s">
        <v>20</v>
      </c>
      <c r="S27" s="66" t="s">
        <v>12</v>
      </c>
      <c r="T27" s="72" t="s">
        <v>20</v>
      </c>
      <c r="U27" s="72" t="s">
        <v>20</v>
      </c>
      <c r="V27" s="62" t="s">
        <v>23</v>
      </c>
      <c r="W27" s="62" t="s">
        <v>23</v>
      </c>
      <c r="X27" s="63" t="s">
        <v>23</v>
      </c>
      <c r="Y27" s="61" t="s">
        <v>23</v>
      </c>
      <c r="Z27" s="61" t="s">
        <v>23</v>
      </c>
      <c r="AA27" s="61" t="s">
        <v>23</v>
      </c>
      <c r="AB27" s="61" t="s">
        <v>23</v>
      </c>
      <c r="AC27" s="61" t="s">
        <v>23</v>
      </c>
      <c r="AD27" s="62" t="s">
        <v>23</v>
      </c>
      <c r="AE27" s="62" t="s">
        <v>23</v>
      </c>
      <c r="AF27" s="42">
        <v>1</v>
      </c>
      <c r="AG27" s="42"/>
      <c r="AH27" s="42">
        <v>1</v>
      </c>
      <c r="AI27" s="42"/>
      <c r="AJ27" s="13" t="s">
        <v>31</v>
      </c>
      <c r="AL27" s="39" t="s">
        <v>23</v>
      </c>
      <c r="AM27" s="25">
        <v>0</v>
      </c>
      <c r="AN27" s="25">
        <v>0</v>
      </c>
      <c r="AO27" s="25"/>
      <c r="AP27" s="25"/>
      <c r="AQ27" s="25"/>
      <c r="AR27" s="25"/>
      <c r="AS27" s="58">
        <f t="shared" si="6"/>
        <v>0</v>
      </c>
      <c r="AT27" s="58">
        <f t="shared" si="6"/>
        <v>0</v>
      </c>
      <c r="AU27" s="58">
        <f t="shared" si="6"/>
        <v>0</v>
      </c>
      <c r="AY27">
        <f t="shared" si="7"/>
        <v>0</v>
      </c>
    </row>
    <row r="28" spans="1:51" ht="15" thickBot="1" x14ac:dyDescent="0.35">
      <c r="A28" s="49">
        <v>44389</v>
      </c>
      <c r="B28" s="59">
        <v>1600</v>
      </c>
      <c r="C28" s="59" cm="1">
        <f t="array" ref="C28">(SUM(VLOOKUP(H28:AE28,$AL$4:$AN$44,2,FALSE))+AF28*10)*IF(AJ28="是",$AW$4,$AW$3)</f>
        <v>1672</v>
      </c>
      <c r="D28" s="59">
        <f>SUM($B$4:B28)-SUM($C$4:C28)</f>
        <v>44</v>
      </c>
      <c r="E28" s="59" cm="1">
        <f t="array" ref="E28">SUM(VLOOKUP(H28:AE28,$AL$4:$AN$44,3,FALSE))</f>
        <v>605</v>
      </c>
      <c r="F28" s="59">
        <f>SUM($E$4:E28)+SUM($G$4:G28)</f>
        <v>14635</v>
      </c>
      <c r="G28" s="59">
        <v>200</v>
      </c>
      <c r="H28" s="72" t="s">
        <v>20</v>
      </c>
      <c r="I28" s="72" t="s">
        <v>20</v>
      </c>
      <c r="J28" s="72" t="s">
        <v>20</v>
      </c>
      <c r="K28" s="72" t="s">
        <v>20</v>
      </c>
      <c r="L28" s="72" t="s">
        <v>20</v>
      </c>
      <c r="M28" s="63" t="s">
        <v>23</v>
      </c>
      <c r="N28" s="62" t="s">
        <v>23</v>
      </c>
      <c r="O28" s="62" t="s">
        <v>23</v>
      </c>
      <c r="P28" s="72" t="s">
        <v>20</v>
      </c>
      <c r="Q28" s="72" t="s">
        <v>20</v>
      </c>
      <c r="R28" s="72" t="s">
        <v>20</v>
      </c>
      <c r="S28" s="72" t="s">
        <v>20</v>
      </c>
      <c r="T28" s="72" t="s">
        <v>20</v>
      </c>
      <c r="U28" s="72" t="s">
        <v>20</v>
      </c>
      <c r="V28" s="62" t="s">
        <v>23</v>
      </c>
      <c r="W28" s="62" t="s">
        <v>23</v>
      </c>
      <c r="X28" s="63" t="s">
        <v>23</v>
      </c>
      <c r="Y28" s="61" t="s">
        <v>23</v>
      </c>
      <c r="Z28" s="61" t="s">
        <v>23</v>
      </c>
      <c r="AA28" s="61" t="s">
        <v>23</v>
      </c>
      <c r="AB28" s="61" t="s">
        <v>23</v>
      </c>
      <c r="AC28" s="61" t="s">
        <v>23</v>
      </c>
      <c r="AD28" s="62" t="s">
        <v>23</v>
      </c>
      <c r="AE28" s="62" t="s">
        <v>23</v>
      </c>
      <c r="AF28" s="42">
        <v>0</v>
      </c>
      <c r="AG28" s="42"/>
      <c r="AH28" s="42"/>
      <c r="AI28" s="42"/>
      <c r="AJ28" s="13" t="s">
        <v>31</v>
      </c>
      <c r="AK28" s="19" t="s">
        <v>26</v>
      </c>
      <c r="AL28" s="35" t="s">
        <v>49</v>
      </c>
      <c r="AM28" s="25">
        <v>-200</v>
      </c>
      <c r="AN28" s="25">
        <v>0</v>
      </c>
      <c r="AO28" s="25">
        <f>COUNTIF($H$4:$O$94,AL28)</f>
        <v>2</v>
      </c>
      <c r="AP28" s="25">
        <f>COUNTIF($P$4:$W$94,AL28)</f>
        <v>3</v>
      </c>
      <c r="AQ28" s="25">
        <f>COUNTIF($X$4:$AE$94,AL28)</f>
        <v>1</v>
      </c>
      <c r="AR28" s="25">
        <f>AO28+AP28+AQ28</f>
        <v>6</v>
      </c>
      <c r="AS28" s="58">
        <f t="shared" si="6"/>
        <v>0</v>
      </c>
      <c r="AT28" s="58">
        <f t="shared" si="6"/>
        <v>0</v>
      </c>
      <c r="AU28" s="58">
        <f t="shared" si="6"/>
        <v>0</v>
      </c>
      <c r="AY28">
        <f t="shared" si="7"/>
        <v>-160</v>
      </c>
    </row>
    <row r="29" spans="1:51" x14ac:dyDescent="0.3">
      <c r="A29" s="49">
        <v>44390</v>
      </c>
      <c r="B29" s="59">
        <v>1600</v>
      </c>
      <c r="C29" s="59" cm="1">
        <f t="array" ref="C29">(SUM(VLOOKUP(H29:AE29,$AL$4:$AN$44,2,FALSE))+AF29*10)*IF(AJ29="是",$AW$4,$AW$3)</f>
        <v>1512</v>
      </c>
      <c r="D29" s="59">
        <f>SUM($B$4:B29)-SUM($C$4:C29)</f>
        <v>132</v>
      </c>
      <c r="E29" s="59" cm="1">
        <f t="array" ref="E29">SUM(VLOOKUP(H29:AE29,$AL$4:$AN$44,3,FALSE))</f>
        <v>605</v>
      </c>
      <c r="F29" s="59">
        <f>SUM($E$4:E29)+SUM($G$4:G29)</f>
        <v>15340</v>
      </c>
      <c r="G29" s="59">
        <v>100</v>
      </c>
      <c r="H29" s="72" t="s">
        <v>20</v>
      </c>
      <c r="I29" s="72" t="s">
        <v>20</v>
      </c>
      <c r="J29" s="65" t="s">
        <v>49</v>
      </c>
      <c r="K29" s="72" t="s">
        <v>20</v>
      </c>
      <c r="L29" s="72" t="s">
        <v>20</v>
      </c>
      <c r="M29" s="72" t="s">
        <v>20</v>
      </c>
      <c r="N29" s="62" t="s">
        <v>23</v>
      </c>
      <c r="O29" s="62" t="s">
        <v>23</v>
      </c>
      <c r="P29" s="72" t="s">
        <v>20</v>
      </c>
      <c r="Q29" s="72" t="s">
        <v>20</v>
      </c>
      <c r="R29" s="72" t="s">
        <v>20</v>
      </c>
      <c r="S29" s="72" t="s">
        <v>20</v>
      </c>
      <c r="T29" s="72" t="s">
        <v>20</v>
      </c>
      <c r="U29" s="72" t="s">
        <v>20</v>
      </c>
      <c r="V29" s="62" t="s">
        <v>23</v>
      </c>
      <c r="W29" s="62" t="s">
        <v>23</v>
      </c>
      <c r="X29" s="63" t="s">
        <v>23</v>
      </c>
      <c r="Y29" s="61" t="s">
        <v>23</v>
      </c>
      <c r="Z29" s="61" t="s">
        <v>23</v>
      </c>
      <c r="AA29" s="61" t="s">
        <v>23</v>
      </c>
      <c r="AB29" s="61" t="s">
        <v>23</v>
      </c>
      <c r="AC29" s="61" t="s">
        <v>23</v>
      </c>
      <c r="AD29" s="62" t="s">
        <v>23</v>
      </c>
      <c r="AE29" s="62" t="s">
        <v>23</v>
      </c>
      <c r="AF29" s="42">
        <v>0</v>
      </c>
      <c r="AG29" s="42"/>
      <c r="AH29" s="42"/>
      <c r="AI29" s="42"/>
      <c r="AJ29" s="13" t="s">
        <v>31</v>
      </c>
      <c r="AL29" s="25"/>
      <c r="AM29" s="25"/>
      <c r="AN29" s="25"/>
      <c r="AQ29" t="s">
        <v>62</v>
      </c>
      <c r="AR29">
        <f>SUM(AR4:AR28)</f>
        <v>770</v>
      </c>
      <c r="AT29" t="s">
        <v>63</v>
      </c>
      <c r="AU29" s="7">
        <f>SUM(AS4:AU28)+7000</f>
        <v>48625</v>
      </c>
    </row>
    <row r="30" spans="1:51" x14ac:dyDescent="0.3">
      <c r="A30" s="49">
        <v>44391</v>
      </c>
      <c r="B30" s="59">
        <v>1600</v>
      </c>
      <c r="C30" s="59" cm="1">
        <f t="array" ref="C30">(SUM(VLOOKUP(H30:AE30,$AL$4:$AN$44,2,FALSE))+AF30*10)*IF(AJ30="是",$AW$4,$AW$3)</f>
        <v>1600</v>
      </c>
      <c r="D30" s="59">
        <f>SUM($B$4:B30)-SUM($C$4:C30)</f>
        <v>132</v>
      </c>
      <c r="E30" s="59" cm="1">
        <f t="array" ref="E30">SUM(VLOOKUP(H30:AE30,$AL$4:$AN$44,3,FALSE))</f>
        <v>610</v>
      </c>
      <c r="F30" s="59">
        <f>SUM($E$4:E30)+SUM($G$4:G30)</f>
        <v>16150</v>
      </c>
      <c r="G30" s="59">
        <v>200</v>
      </c>
      <c r="H30" s="66" t="s">
        <v>12</v>
      </c>
      <c r="I30" s="72" t="s">
        <v>20</v>
      </c>
      <c r="J30" s="72" t="s">
        <v>20</v>
      </c>
      <c r="K30" s="72" t="s">
        <v>20</v>
      </c>
      <c r="L30" s="72" t="s">
        <v>20</v>
      </c>
      <c r="M30" s="72" t="s">
        <v>20</v>
      </c>
      <c r="N30" s="62" t="s">
        <v>23</v>
      </c>
      <c r="O30" s="62" t="s">
        <v>23</v>
      </c>
      <c r="P30" s="66" t="s">
        <v>12</v>
      </c>
      <c r="Q30" s="72" t="s">
        <v>20</v>
      </c>
      <c r="R30" s="72" t="s">
        <v>20</v>
      </c>
      <c r="S30" s="72" t="s">
        <v>20</v>
      </c>
      <c r="T30" s="72" t="s">
        <v>20</v>
      </c>
      <c r="U30" s="72" t="s">
        <v>20</v>
      </c>
      <c r="V30" s="62" t="s">
        <v>23</v>
      </c>
      <c r="W30" s="62" t="s">
        <v>23</v>
      </c>
      <c r="X30" s="63" t="s">
        <v>23</v>
      </c>
      <c r="Y30" s="61" t="s">
        <v>23</v>
      </c>
      <c r="Z30" s="61" t="s">
        <v>23</v>
      </c>
      <c r="AA30" s="61" t="s">
        <v>23</v>
      </c>
      <c r="AB30" s="61" t="s">
        <v>23</v>
      </c>
      <c r="AC30" s="61" t="s">
        <v>23</v>
      </c>
      <c r="AD30" s="62" t="s">
        <v>23</v>
      </c>
      <c r="AE30" s="62" t="s">
        <v>23</v>
      </c>
      <c r="AF30" s="42">
        <v>0</v>
      </c>
      <c r="AG30" s="42"/>
      <c r="AH30" s="42"/>
      <c r="AI30" s="42"/>
      <c r="AJ30" s="13" t="s">
        <v>31</v>
      </c>
      <c r="AL30" s="25"/>
      <c r="AM30" s="25"/>
      <c r="AN30" s="25"/>
    </row>
    <row r="31" spans="1:51" x14ac:dyDescent="0.3">
      <c r="A31" s="49">
        <v>44392</v>
      </c>
      <c r="B31" s="59">
        <v>1600</v>
      </c>
      <c r="C31" s="59" cm="1">
        <f t="array" ref="C31">(SUM(VLOOKUP(H31:AE31,$AL$4:$AN$44,2,FALSE))+AF31*10)*IF(AJ31="是",$AW$4,$AW$3)</f>
        <v>1672</v>
      </c>
      <c r="D31" s="59">
        <f>SUM($B$4:B31)-SUM($C$4:C31)</f>
        <v>60</v>
      </c>
      <c r="E31" s="59" cm="1">
        <f t="array" ref="E31">SUM(VLOOKUP(H31:AE31,$AL$4:$AN$44,3,FALSE))</f>
        <v>605</v>
      </c>
      <c r="F31" s="59">
        <f>SUM($E$4:E31)+SUM($G$4:G31)</f>
        <v>16755</v>
      </c>
      <c r="G31" s="59">
        <v>0</v>
      </c>
      <c r="H31" s="72" t="s">
        <v>20</v>
      </c>
      <c r="I31" s="72" t="s">
        <v>20</v>
      </c>
      <c r="J31" s="72" t="s">
        <v>20</v>
      </c>
      <c r="K31" s="72" t="s">
        <v>20</v>
      </c>
      <c r="L31" s="72" t="s">
        <v>20</v>
      </c>
      <c r="M31" s="63" t="s">
        <v>23</v>
      </c>
      <c r="N31" s="62" t="s">
        <v>23</v>
      </c>
      <c r="O31" s="62" t="s">
        <v>23</v>
      </c>
      <c r="P31" s="72" t="s">
        <v>20</v>
      </c>
      <c r="Q31" s="72" t="s">
        <v>20</v>
      </c>
      <c r="R31" s="72" t="s">
        <v>20</v>
      </c>
      <c r="S31" s="72" t="s">
        <v>20</v>
      </c>
      <c r="T31" s="72" t="s">
        <v>20</v>
      </c>
      <c r="U31" s="72" t="s">
        <v>20</v>
      </c>
      <c r="V31" s="62" t="s">
        <v>23</v>
      </c>
      <c r="W31" s="62" t="s">
        <v>23</v>
      </c>
      <c r="X31" s="63" t="s">
        <v>23</v>
      </c>
      <c r="Y31" s="61" t="s">
        <v>23</v>
      </c>
      <c r="Z31" s="61" t="s">
        <v>23</v>
      </c>
      <c r="AA31" s="61" t="s">
        <v>23</v>
      </c>
      <c r="AB31" s="61" t="s">
        <v>23</v>
      </c>
      <c r="AC31" s="61" t="s">
        <v>23</v>
      </c>
      <c r="AD31" s="62" t="s">
        <v>23</v>
      </c>
      <c r="AE31" s="62" t="s">
        <v>23</v>
      </c>
      <c r="AF31" s="42">
        <v>0</v>
      </c>
      <c r="AG31" s="42"/>
      <c r="AH31" s="42"/>
      <c r="AI31" s="42"/>
      <c r="AJ31" s="13" t="s">
        <v>31</v>
      </c>
      <c r="AL31" s="25"/>
      <c r="AM31" s="25"/>
      <c r="AN31" s="25"/>
    </row>
    <row r="32" spans="1:51" x14ac:dyDescent="0.3">
      <c r="A32" s="49">
        <v>44393</v>
      </c>
      <c r="B32" s="59">
        <v>1600</v>
      </c>
      <c r="C32" s="59" cm="1">
        <f t="array" ref="C32">(SUM(VLOOKUP(H32:AE32,$AL$4:$AN$44,2,FALSE))+AF32*10)*IF(AJ32="是",$AW$4,$AW$3)</f>
        <v>1520</v>
      </c>
      <c r="D32" s="59">
        <f>SUM($B$4:B32)-SUM($C$4:C32)</f>
        <v>140</v>
      </c>
      <c r="E32" s="59" cm="1">
        <f t="array" ref="E32">SUM(VLOOKUP(H32:AE32,$AL$4:$AN$44,3,FALSE))</f>
        <v>550</v>
      </c>
      <c r="F32" s="59">
        <f>SUM($E$4:E32)+SUM($G$4:G32)</f>
        <v>17305</v>
      </c>
      <c r="G32" s="59">
        <v>0</v>
      </c>
      <c r="H32" s="72" t="s">
        <v>20</v>
      </c>
      <c r="I32" s="72" t="s">
        <v>20</v>
      </c>
      <c r="J32" s="72" t="s">
        <v>20</v>
      </c>
      <c r="K32" s="72" t="s">
        <v>20</v>
      </c>
      <c r="L32" s="63" t="s">
        <v>23</v>
      </c>
      <c r="M32" s="63" t="s">
        <v>23</v>
      </c>
      <c r="N32" s="62" t="s">
        <v>23</v>
      </c>
      <c r="O32" s="62" t="s">
        <v>23</v>
      </c>
      <c r="P32" s="72" t="s">
        <v>20</v>
      </c>
      <c r="Q32" s="72" t="s">
        <v>20</v>
      </c>
      <c r="R32" s="72" t="s">
        <v>20</v>
      </c>
      <c r="S32" s="72" t="s">
        <v>20</v>
      </c>
      <c r="T32" s="72" t="s">
        <v>20</v>
      </c>
      <c r="U32" s="72" t="s">
        <v>20</v>
      </c>
      <c r="V32" s="62" t="s">
        <v>23</v>
      </c>
      <c r="W32" s="62" t="s">
        <v>23</v>
      </c>
      <c r="X32" s="63" t="s">
        <v>23</v>
      </c>
      <c r="Y32" s="61" t="s">
        <v>23</v>
      </c>
      <c r="Z32" s="61" t="s">
        <v>23</v>
      </c>
      <c r="AA32" s="61" t="s">
        <v>23</v>
      </c>
      <c r="AB32" s="61" t="s">
        <v>23</v>
      </c>
      <c r="AC32" s="61" t="s">
        <v>23</v>
      </c>
      <c r="AD32" s="62" t="s">
        <v>23</v>
      </c>
      <c r="AE32" s="62" t="s">
        <v>23</v>
      </c>
      <c r="AF32" s="42">
        <v>0</v>
      </c>
      <c r="AG32" s="42"/>
      <c r="AH32" s="42"/>
      <c r="AI32" s="42"/>
      <c r="AJ32" s="13" t="s">
        <v>31</v>
      </c>
      <c r="AL32" s="25"/>
      <c r="AM32" s="25"/>
      <c r="AN32" s="25"/>
    </row>
    <row r="33" spans="1:40" x14ac:dyDescent="0.3">
      <c r="A33" s="49">
        <v>44394</v>
      </c>
      <c r="B33" s="59">
        <v>1600</v>
      </c>
      <c r="C33" s="59" cm="1">
        <f t="array" ref="C33">(SUM(VLOOKUP(H33:AE33,$AL$4:$AN$44,2,FALSE))+AF33*10)*IF(AJ33="是",$AW$4,$AW$3)</f>
        <v>1672</v>
      </c>
      <c r="D33" s="59">
        <f>SUM($B$4:B33)-SUM($C$4:C33)</f>
        <v>68</v>
      </c>
      <c r="E33" s="59" cm="1">
        <f t="array" ref="E33">SUM(VLOOKUP(H33:AE33,$AL$4:$AN$44,3,FALSE))</f>
        <v>605</v>
      </c>
      <c r="F33" s="59">
        <f>SUM($E$4:E33)+SUM($G$4:G33)</f>
        <v>17910</v>
      </c>
      <c r="G33" s="59">
        <v>0</v>
      </c>
      <c r="H33" s="72" t="s">
        <v>20</v>
      </c>
      <c r="I33" s="72" t="s">
        <v>20</v>
      </c>
      <c r="J33" s="72" t="s">
        <v>20</v>
      </c>
      <c r="K33" s="72" t="s">
        <v>20</v>
      </c>
      <c r="L33" s="72" t="s">
        <v>20</v>
      </c>
      <c r="M33" s="63" t="s">
        <v>23</v>
      </c>
      <c r="N33" s="62" t="s">
        <v>23</v>
      </c>
      <c r="O33" s="62" t="s">
        <v>23</v>
      </c>
      <c r="P33" s="72" t="s">
        <v>20</v>
      </c>
      <c r="Q33" s="72" t="s">
        <v>20</v>
      </c>
      <c r="R33" s="72" t="s">
        <v>20</v>
      </c>
      <c r="S33" s="72" t="s">
        <v>20</v>
      </c>
      <c r="T33" s="72" t="s">
        <v>20</v>
      </c>
      <c r="U33" s="72" t="s">
        <v>20</v>
      </c>
      <c r="V33" s="62" t="s">
        <v>23</v>
      </c>
      <c r="W33" s="62" t="s">
        <v>23</v>
      </c>
      <c r="X33" s="63" t="s">
        <v>23</v>
      </c>
      <c r="Y33" s="61" t="s">
        <v>23</v>
      </c>
      <c r="Z33" s="61" t="s">
        <v>23</v>
      </c>
      <c r="AA33" s="61" t="s">
        <v>23</v>
      </c>
      <c r="AB33" s="61" t="s">
        <v>23</v>
      </c>
      <c r="AC33" s="61" t="s">
        <v>23</v>
      </c>
      <c r="AD33" s="62" t="s">
        <v>23</v>
      </c>
      <c r="AE33" s="62" t="s">
        <v>23</v>
      </c>
      <c r="AF33" s="42">
        <v>0</v>
      </c>
      <c r="AG33" s="42"/>
      <c r="AH33" s="42"/>
      <c r="AI33" s="42"/>
      <c r="AJ33" s="13" t="s">
        <v>31</v>
      </c>
      <c r="AL33" s="25"/>
      <c r="AM33" s="25"/>
      <c r="AN33" s="25"/>
    </row>
    <row r="34" spans="1:40" x14ac:dyDescent="0.3">
      <c r="A34" s="49">
        <v>44395</v>
      </c>
      <c r="B34" s="59">
        <v>1600</v>
      </c>
      <c r="C34" s="59" cm="1">
        <f t="array" ref="C34">(SUM(VLOOKUP(H34:AE34,$AL$4:$AN$44,2,FALSE))+AF34*10)*IF(AJ34="是",$AW$4,$AW$3)</f>
        <v>1648</v>
      </c>
      <c r="D34" s="59">
        <f>SUM($B$4:B34)-SUM($C$4:C34)</f>
        <v>20</v>
      </c>
      <c r="E34" s="59" cm="1">
        <f t="array" ref="E34">SUM(VLOOKUP(H34:AE34,$AL$4:$AN$44,3,FALSE))</f>
        <v>1580</v>
      </c>
      <c r="F34" s="59">
        <f>SUM($E$4:E34)+SUM($G$4:G34)</f>
        <v>19490</v>
      </c>
      <c r="G34" s="59">
        <v>0</v>
      </c>
      <c r="H34" s="72" t="s">
        <v>20</v>
      </c>
      <c r="I34" s="72" t="s">
        <v>20</v>
      </c>
      <c r="J34" s="72" t="s">
        <v>20</v>
      </c>
      <c r="K34" s="72" t="s">
        <v>20</v>
      </c>
      <c r="L34" s="63" t="s">
        <v>23</v>
      </c>
      <c r="M34" s="63" t="s">
        <v>23</v>
      </c>
      <c r="N34" s="62" t="s">
        <v>23</v>
      </c>
      <c r="O34" s="62" t="s">
        <v>23</v>
      </c>
      <c r="P34" s="75" t="s">
        <v>21</v>
      </c>
      <c r="Q34" s="75" t="s">
        <v>21</v>
      </c>
      <c r="R34" s="75" t="s">
        <v>21</v>
      </c>
      <c r="S34" s="75" t="s">
        <v>21</v>
      </c>
      <c r="T34" s="76" t="s">
        <v>15</v>
      </c>
      <c r="U34" s="75" t="s">
        <v>21</v>
      </c>
      <c r="V34" s="65" t="s">
        <v>49</v>
      </c>
      <c r="W34" s="75" t="s">
        <v>21</v>
      </c>
      <c r="X34" s="63" t="s">
        <v>23</v>
      </c>
      <c r="Y34" s="61" t="s">
        <v>23</v>
      </c>
      <c r="Z34" s="61" t="s">
        <v>23</v>
      </c>
      <c r="AA34" s="61" t="s">
        <v>23</v>
      </c>
      <c r="AB34" s="61" t="s">
        <v>23</v>
      </c>
      <c r="AC34" s="61" t="s">
        <v>23</v>
      </c>
      <c r="AD34" s="62" t="s">
        <v>23</v>
      </c>
      <c r="AE34" s="62" t="s">
        <v>23</v>
      </c>
      <c r="AF34" s="42">
        <v>5</v>
      </c>
      <c r="AG34" s="42"/>
      <c r="AH34" s="42">
        <v>5</v>
      </c>
      <c r="AI34" s="42"/>
      <c r="AJ34" s="13" t="s">
        <v>31</v>
      </c>
      <c r="AL34" s="25"/>
      <c r="AM34" s="25"/>
      <c r="AN34" s="25"/>
    </row>
    <row r="35" spans="1:40" x14ac:dyDescent="0.3">
      <c r="A35" s="49">
        <v>44396</v>
      </c>
      <c r="B35" s="67">
        <v>1600</v>
      </c>
      <c r="C35" s="59" cm="1">
        <f t="array" ref="C35">(SUM(VLOOKUP(H35:AE35,$AL$4:$AN$44,2,FALSE))+AF35*10)*IF(AJ35="是",$AW$4,$AW$3)</f>
        <v>1568</v>
      </c>
      <c r="D35" s="67">
        <f>SUM($B$4:B35)-SUM($C$4:C35)</f>
        <v>52</v>
      </c>
      <c r="E35" s="59" cm="1">
        <f t="array" ref="E35">SUM(VLOOKUP(H35:AE35,$AL$4:$AN$44,3,FALSE))</f>
        <v>580</v>
      </c>
      <c r="F35" s="59">
        <f>SUM($E$4:E35)+SUM($G$4:G35)</f>
        <v>20270</v>
      </c>
      <c r="G35" s="67">
        <v>200</v>
      </c>
      <c r="H35" s="72" t="s">
        <v>20</v>
      </c>
      <c r="I35" s="72" t="s">
        <v>20</v>
      </c>
      <c r="J35" s="72" t="s">
        <v>20</v>
      </c>
      <c r="K35" s="72" t="s">
        <v>20</v>
      </c>
      <c r="L35" s="63" t="s">
        <v>23</v>
      </c>
      <c r="M35" s="63" t="s">
        <v>23</v>
      </c>
      <c r="N35" s="62" t="s">
        <v>23</v>
      </c>
      <c r="O35" s="62" t="s">
        <v>23</v>
      </c>
      <c r="P35" s="75" t="s">
        <v>21</v>
      </c>
      <c r="Q35" s="75" t="s">
        <v>21</v>
      </c>
      <c r="R35" s="75" t="s">
        <v>21</v>
      </c>
      <c r="S35" s="75" t="s">
        <v>21</v>
      </c>
      <c r="T35" s="75" t="s">
        <v>21</v>
      </c>
      <c r="U35" s="75" t="s">
        <v>21</v>
      </c>
      <c r="V35" s="62" t="s">
        <v>23</v>
      </c>
      <c r="W35" s="62" t="s">
        <v>23</v>
      </c>
      <c r="X35" s="63" t="s">
        <v>23</v>
      </c>
      <c r="Y35" s="61" t="s">
        <v>23</v>
      </c>
      <c r="Z35" s="61" t="s">
        <v>23</v>
      </c>
      <c r="AA35" s="61" t="s">
        <v>23</v>
      </c>
      <c r="AB35" s="61" t="s">
        <v>23</v>
      </c>
      <c r="AC35" s="61" t="s">
        <v>23</v>
      </c>
      <c r="AD35" s="62" t="s">
        <v>23</v>
      </c>
      <c r="AE35" s="62" t="s">
        <v>23</v>
      </c>
      <c r="AF35" s="42">
        <v>0</v>
      </c>
      <c r="AG35" s="42"/>
      <c r="AH35" s="42"/>
      <c r="AI35" s="42"/>
      <c r="AJ35" s="13" t="s">
        <v>31</v>
      </c>
      <c r="AL35" s="25"/>
      <c r="AM35" s="25"/>
      <c r="AN35" s="25"/>
    </row>
    <row r="36" spans="1:40" x14ac:dyDescent="0.3">
      <c r="A36" s="49">
        <v>44397</v>
      </c>
      <c r="B36" s="67">
        <v>1600</v>
      </c>
      <c r="C36" s="59" cm="1">
        <f t="array" ref="C36">(SUM(VLOOKUP(H36:AE36,$AL$4:$AN$44,2,FALSE))+AF36*10)*IF(AJ36="是",$AW$4,$AW$3)</f>
        <v>1568</v>
      </c>
      <c r="D36" s="67">
        <f>SUM($B$4:B36)-SUM($C$4:C36)</f>
        <v>84</v>
      </c>
      <c r="E36" s="59" cm="1">
        <f t="array" ref="E36">SUM(VLOOKUP(H36:AE36,$AL$4:$AN$44,3,FALSE))</f>
        <v>580</v>
      </c>
      <c r="F36" s="59">
        <f>SUM($E$4:E36)+SUM($G$4:G36)</f>
        <v>20950</v>
      </c>
      <c r="G36" s="67">
        <v>100</v>
      </c>
      <c r="H36" s="72" t="s">
        <v>20</v>
      </c>
      <c r="I36" s="72" t="s">
        <v>20</v>
      </c>
      <c r="J36" s="72" t="s">
        <v>20</v>
      </c>
      <c r="K36" s="72" t="s">
        <v>20</v>
      </c>
      <c r="L36" s="63" t="s">
        <v>23</v>
      </c>
      <c r="M36" s="63" t="s">
        <v>23</v>
      </c>
      <c r="N36" s="62" t="s">
        <v>23</v>
      </c>
      <c r="O36" s="62" t="s">
        <v>23</v>
      </c>
      <c r="P36" s="75" t="s">
        <v>21</v>
      </c>
      <c r="Q36" s="75" t="s">
        <v>21</v>
      </c>
      <c r="R36" s="75" t="s">
        <v>21</v>
      </c>
      <c r="S36" s="75" t="s">
        <v>21</v>
      </c>
      <c r="T36" s="75" t="s">
        <v>21</v>
      </c>
      <c r="U36" s="75" t="s">
        <v>21</v>
      </c>
      <c r="V36" s="62" t="s">
        <v>23</v>
      </c>
      <c r="W36" s="62" t="s">
        <v>23</v>
      </c>
      <c r="X36" s="63" t="s">
        <v>23</v>
      </c>
      <c r="Y36" s="61" t="s">
        <v>23</v>
      </c>
      <c r="Z36" s="61" t="s">
        <v>23</v>
      </c>
      <c r="AA36" s="61" t="s">
        <v>23</v>
      </c>
      <c r="AB36" s="61" t="s">
        <v>23</v>
      </c>
      <c r="AC36" s="61" t="s">
        <v>23</v>
      </c>
      <c r="AD36" s="62" t="s">
        <v>23</v>
      </c>
      <c r="AE36" s="62" t="s">
        <v>23</v>
      </c>
      <c r="AF36" s="42">
        <v>0</v>
      </c>
      <c r="AG36" s="42"/>
      <c r="AH36" s="42"/>
      <c r="AI36" s="42"/>
      <c r="AJ36" s="13" t="s">
        <v>31</v>
      </c>
      <c r="AL36" s="25"/>
      <c r="AM36" s="25"/>
      <c r="AN36" s="25"/>
    </row>
    <row r="37" spans="1:40" x14ac:dyDescent="0.3">
      <c r="A37" s="49">
        <v>44398</v>
      </c>
      <c r="B37" s="67">
        <v>1600</v>
      </c>
      <c r="C37" s="59" cm="1">
        <f t="array" ref="C37">(SUM(VLOOKUP(H37:AE37,$AL$4:$AN$44,2,FALSE))+AF37*10)*IF(AJ37="是",$AW$4,$AW$3)</f>
        <v>1568</v>
      </c>
      <c r="D37" s="67">
        <f>SUM($B$4:B37)-SUM($C$4:C37)</f>
        <v>116</v>
      </c>
      <c r="E37" s="59" cm="1">
        <f t="array" ref="E37">SUM(VLOOKUP(H37:AE37,$AL$4:$AN$44,3,FALSE))</f>
        <v>580</v>
      </c>
      <c r="F37" s="59">
        <f>SUM($E$4:E37)+SUM($G$4:G37)</f>
        <v>21730</v>
      </c>
      <c r="G37" s="67">
        <v>200</v>
      </c>
      <c r="H37" s="72" t="s">
        <v>20</v>
      </c>
      <c r="I37" s="72" t="s">
        <v>20</v>
      </c>
      <c r="J37" s="72" t="s">
        <v>20</v>
      </c>
      <c r="K37" s="72" t="s">
        <v>20</v>
      </c>
      <c r="L37" s="63" t="s">
        <v>23</v>
      </c>
      <c r="M37" s="63" t="s">
        <v>23</v>
      </c>
      <c r="N37" s="62" t="s">
        <v>23</v>
      </c>
      <c r="O37" s="62" t="s">
        <v>23</v>
      </c>
      <c r="P37" s="75" t="s">
        <v>21</v>
      </c>
      <c r="Q37" s="75" t="s">
        <v>21</v>
      </c>
      <c r="R37" s="75" t="s">
        <v>21</v>
      </c>
      <c r="S37" s="75" t="s">
        <v>21</v>
      </c>
      <c r="T37" s="75" t="s">
        <v>21</v>
      </c>
      <c r="U37" s="75" t="s">
        <v>21</v>
      </c>
      <c r="V37" s="62" t="s">
        <v>23</v>
      </c>
      <c r="W37" s="62" t="s">
        <v>23</v>
      </c>
      <c r="X37" s="63" t="s">
        <v>23</v>
      </c>
      <c r="Y37" s="61" t="s">
        <v>23</v>
      </c>
      <c r="Z37" s="61" t="s">
        <v>23</v>
      </c>
      <c r="AA37" s="61" t="s">
        <v>23</v>
      </c>
      <c r="AB37" s="61" t="s">
        <v>23</v>
      </c>
      <c r="AC37" s="61" t="s">
        <v>23</v>
      </c>
      <c r="AD37" s="62" t="s">
        <v>23</v>
      </c>
      <c r="AE37" s="62" t="s">
        <v>23</v>
      </c>
      <c r="AF37" s="42">
        <v>0</v>
      </c>
      <c r="AG37" s="42"/>
      <c r="AH37" s="42"/>
      <c r="AI37" s="42"/>
      <c r="AJ37" s="13" t="s">
        <v>31</v>
      </c>
      <c r="AL37" s="25"/>
      <c r="AM37" s="25"/>
      <c r="AN37" s="25"/>
    </row>
    <row r="38" spans="1:40" x14ac:dyDescent="0.3">
      <c r="A38" s="49">
        <v>44399</v>
      </c>
      <c r="B38" s="67">
        <v>1600</v>
      </c>
      <c r="C38" s="59" cm="1">
        <f t="array" ref="C38">(SUM(VLOOKUP(H38:AE38,$AL$4:$AN$44,2,FALSE))+AF38*10)*IF(AJ38="是",$AW$4,$AW$3)</f>
        <v>1568</v>
      </c>
      <c r="D38" s="67">
        <f>SUM($B$4:B38)-SUM($C$4:C38)</f>
        <v>148</v>
      </c>
      <c r="E38" s="59" cm="1">
        <f t="array" ref="E38">SUM(VLOOKUP(H38:AE38,$AL$4:$AN$44,3,FALSE))</f>
        <v>580</v>
      </c>
      <c r="F38" s="59">
        <f>SUM($E$4:E38)+SUM($G$4:G38)</f>
        <v>22310</v>
      </c>
      <c r="G38" s="67">
        <v>0</v>
      </c>
      <c r="H38" s="72" t="s">
        <v>20</v>
      </c>
      <c r="I38" s="72" t="s">
        <v>20</v>
      </c>
      <c r="J38" s="72" t="s">
        <v>20</v>
      </c>
      <c r="K38" s="72" t="s">
        <v>20</v>
      </c>
      <c r="L38" s="63" t="s">
        <v>23</v>
      </c>
      <c r="M38" s="63" t="s">
        <v>23</v>
      </c>
      <c r="N38" s="62" t="s">
        <v>23</v>
      </c>
      <c r="O38" s="62" t="s">
        <v>23</v>
      </c>
      <c r="P38" s="75" t="s">
        <v>21</v>
      </c>
      <c r="Q38" s="75" t="s">
        <v>21</v>
      </c>
      <c r="R38" s="75" t="s">
        <v>21</v>
      </c>
      <c r="S38" s="75" t="s">
        <v>21</v>
      </c>
      <c r="T38" s="75" t="s">
        <v>21</v>
      </c>
      <c r="U38" s="75" t="s">
        <v>21</v>
      </c>
      <c r="V38" s="62" t="s">
        <v>23</v>
      </c>
      <c r="W38" s="62" t="s">
        <v>23</v>
      </c>
      <c r="X38" s="63" t="s">
        <v>23</v>
      </c>
      <c r="Y38" s="61" t="s">
        <v>23</v>
      </c>
      <c r="Z38" s="61" t="s">
        <v>23</v>
      </c>
      <c r="AA38" s="61" t="s">
        <v>23</v>
      </c>
      <c r="AB38" s="61" t="s">
        <v>23</v>
      </c>
      <c r="AC38" s="61" t="s">
        <v>23</v>
      </c>
      <c r="AD38" s="62" t="s">
        <v>23</v>
      </c>
      <c r="AE38" s="62" t="s">
        <v>23</v>
      </c>
      <c r="AF38" s="42">
        <v>0</v>
      </c>
      <c r="AG38" s="42"/>
      <c r="AH38" s="42"/>
      <c r="AI38" s="42"/>
      <c r="AJ38" s="13" t="s">
        <v>31</v>
      </c>
      <c r="AL38" s="25"/>
      <c r="AM38" s="25"/>
      <c r="AN38" s="25"/>
    </row>
    <row r="39" spans="1:40" x14ac:dyDescent="0.3">
      <c r="A39" s="49">
        <v>44400</v>
      </c>
      <c r="B39" s="67">
        <v>1600</v>
      </c>
      <c r="C39" s="59" cm="1">
        <f t="array" ref="C39">(SUM(VLOOKUP(H39:AE39,$AL$4:$AN$44,2,FALSE))+AF39*10)*IF(AJ39="是",$AW$4,$AW$3)</f>
        <v>1608</v>
      </c>
      <c r="D39" s="67">
        <f>SUM($B$4:B39)-SUM($C$4:C39)</f>
        <v>140</v>
      </c>
      <c r="E39" s="59" cm="1">
        <f t="array" ref="E39">SUM(VLOOKUP(H39:AE39,$AL$4:$AN$44,3,FALSE))</f>
        <v>610</v>
      </c>
      <c r="F39" s="59">
        <f>SUM($E$4:E39)+SUM($G$4:G39)</f>
        <v>22920</v>
      </c>
      <c r="G39" s="67">
        <v>0</v>
      </c>
      <c r="H39" s="72" t="s">
        <v>20</v>
      </c>
      <c r="I39" s="72" t="s">
        <v>20</v>
      </c>
      <c r="J39" s="66" t="s">
        <v>12</v>
      </c>
      <c r="K39" s="72" t="s">
        <v>20</v>
      </c>
      <c r="L39" s="72" t="s">
        <v>20</v>
      </c>
      <c r="M39" s="63" t="s">
        <v>23</v>
      </c>
      <c r="N39" s="62" t="s">
        <v>23</v>
      </c>
      <c r="O39" s="62" t="s">
        <v>23</v>
      </c>
      <c r="P39" s="75" t="s">
        <v>21</v>
      </c>
      <c r="Q39" s="75" t="s">
        <v>21</v>
      </c>
      <c r="R39" s="75" t="s">
        <v>21</v>
      </c>
      <c r="S39" s="75" t="s">
        <v>21</v>
      </c>
      <c r="T39" s="75" t="s">
        <v>21</v>
      </c>
      <c r="U39" s="75" t="s">
        <v>21</v>
      </c>
      <c r="V39" s="62" t="s">
        <v>23</v>
      </c>
      <c r="W39" s="62" t="s">
        <v>23</v>
      </c>
      <c r="X39" s="63" t="s">
        <v>23</v>
      </c>
      <c r="Y39" s="61" t="s">
        <v>23</v>
      </c>
      <c r="Z39" s="61" t="s">
        <v>23</v>
      </c>
      <c r="AA39" s="61" t="s">
        <v>23</v>
      </c>
      <c r="AB39" s="61" t="s">
        <v>23</v>
      </c>
      <c r="AC39" s="61" t="s">
        <v>23</v>
      </c>
      <c r="AD39" s="62" t="s">
        <v>23</v>
      </c>
      <c r="AE39" s="62" t="s">
        <v>23</v>
      </c>
      <c r="AF39" s="42">
        <v>0</v>
      </c>
      <c r="AG39" s="42"/>
      <c r="AH39" s="42"/>
      <c r="AI39" s="42"/>
      <c r="AJ39" s="13" t="s">
        <v>31</v>
      </c>
      <c r="AL39" s="25"/>
      <c r="AM39" s="25"/>
      <c r="AN39" s="25"/>
    </row>
    <row r="40" spans="1:40" x14ac:dyDescent="0.3">
      <c r="A40" s="49">
        <v>44401</v>
      </c>
      <c r="B40" s="67">
        <v>1600</v>
      </c>
      <c r="C40" s="59" cm="1">
        <f t="array" ref="C40">(SUM(VLOOKUP(H40:AE40,$AL$4:$AN$44,2,FALSE))+AF40*10)*IF(AJ40="是",$AW$4,$AW$3)</f>
        <v>1712</v>
      </c>
      <c r="D40" s="67">
        <f>SUM($B$4:B40)-SUM($C$4:C40)</f>
        <v>28</v>
      </c>
      <c r="E40" s="59" cm="1">
        <f t="array" ref="E40">SUM(VLOOKUP(H40:AE40,$AL$4:$AN$44,3,FALSE))</f>
        <v>630</v>
      </c>
      <c r="F40" s="59">
        <f>SUM($E$4:E40)+SUM($G$4:G40)</f>
        <v>23550</v>
      </c>
      <c r="G40" s="67">
        <v>0</v>
      </c>
      <c r="H40" s="72" t="s">
        <v>20</v>
      </c>
      <c r="I40" s="72" t="s">
        <v>20</v>
      </c>
      <c r="J40" s="72" t="s">
        <v>20</v>
      </c>
      <c r="K40" s="72" t="s">
        <v>20</v>
      </c>
      <c r="L40" s="72" t="s">
        <v>20</v>
      </c>
      <c r="M40" s="72" t="s">
        <v>20</v>
      </c>
      <c r="N40" s="62" t="s">
        <v>23</v>
      </c>
      <c r="O40" s="62" t="s">
        <v>23</v>
      </c>
      <c r="P40" s="75" t="s">
        <v>21</v>
      </c>
      <c r="Q40" s="75" t="s">
        <v>21</v>
      </c>
      <c r="R40" s="75" t="s">
        <v>21</v>
      </c>
      <c r="S40" s="75" t="s">
        <v>21</v>
      </c>
      <c r="T40" s="75" t="s">
        <v>21</v>
      </c>
      <c r="U40" s="61" t="s">
        <v>23</v>
      </c>
      <c r="V40" s="62" t="s">
        <v>23</v>
      </c>
      <c r="W40" s="62" t="s">
        <v>23</v>
      </c>
      <c r="X40" s="63" t="s">
        <v>23</v>
      </c>
      <c r="Y40" s="61" t="s">
        <v>23</v>
      </c>
      <c r="Z40" s="61" t="s">
        <v>23</v>
      </c>
      <c r="AA40" s="61" t="s">
        <v>23</v>
      </c>
      <c r="AB40" s="61" t="s">
        <v>23</v>
      </c>
      <c r="AC40" s="61" t="s">
        <v>23</v>
      </c>
      <c r="AD40" s="62" t="s">
        <v>23</v>
      </c>
      <c r="AE40" s="62" t="s">
        <v>23</v>
      </c>
      <c r="AF40" s="42">
        <v>0</v>
      </c>
      <c r="AG40" s="42"/>
      <c r="AH40" s="42"/>
      <c r="AI40" s="42"/>
      <c r="AJ40" s="13" t="s">
        <v>31</v>
      </c>
      <c r="AL40" s="25"/>
      <c r="AM40" s="25"/>
      <c r="AN40" s="25"/>
    </row>
    <row r="41" spans="1:40" x14ac:dyDescent="0.3">
      <c r="A41" s="49">
        <v>44402</v>
      </c>
      <c r="B41" s="67">
        <v>1600</v>
      </c>
      <c r="C41" s="59" cm="1">
        <f t="array" ref="C41">(SUM(VLOOKUP(H41:AE41,$AL$4:$AN$44,2,FALSE))+AF41*10)*IF(AJ41="是",$AW$4,$AW$3)</f>
        <v>1560</v>
      </c>
      <c r="D41" s="67">
        <f>SUM($B$4:B41)-SUM($C$4:C41)</f>
        <v>68</v>
      </c>
      <c r="E41" s="59" cm="1">
        <f t="array" ref="E41">SUM(VLOOKUP(H41:AE41,$AL$4:$AN$44,3,FALSE))</f>
        <v>575</v>
      </c>
      <c r="F41" s="59">
        <f>SUM($E$4:E41)+SUM($G$4:G41)</f>
        <v>24125</v>
      </c>
      <c r="G41" s="67">
        <v>0</v>
      </c>
      <c r="H41" s="72" t="s">
        <v>20</v>
      </c>
      <c r="I41" s="72" t="s">
        <v>20</v>
      </c>
      <c r="J41" s="72" t="s">
        <v>20</v>
      </c>
      <c r="K41" s="72" t="s">
        <v>20</v>
      </c>
      <c r="L41" s="72" t="s">
        <v>20</v>
      </c>
      <c r="M41" s="63" t="s">
        <v>23</v>
      </c>
      <c r="N41" s="62" t="s">
        <v>23</v>
      </c>
      <c r="O41" s="62" t="s">
        <v>23</v>
      </c>
      <c r="P41" s="75" t="s">
        <v>21</v>
      </c>
      <c r="Q41" s="75" t="s">
        <v>21</v>
      </c>
      <c r="R41" s="75" t="s">
        <v>21</v>
      </c>
      <c r="S41" s="75" t="s">
        <v>21</v>
      </c>
      <c r="T41" s="75" t="s">
        <v>21</v>
      </c>
      <c r="U41" s="61" t="s">
        <v>23</v>
      </c>
      <c r="V41" s="62" t="s">
        <v>23</v>
      </c>
      <c r="W41" s="62" t="s">
        <v>23</v>
      </c>
      <c r="X41" s="63" t="s">
        <v>23</v>
      </c>
      <c r="Y41" s="61" t="s">
        <v>23</v>
      </c>
      <c r="Z41" s="61" t="s">
        <v>23</v>
      </c>
      <c r="AA41" s="61" t="s">
        <v>23</v>
      </c>
      <c r="AB41" s="61" t="s">
        <v>23</v>
      </c>
      <c r="AC41" s="61" t="s">
        <v>23</v>
      </c>
      <c r="AD41" s="62" t="s">
        <v>23</v>
      </c>
      <c r="AE41" s="62" t="s">
        <v>23</v>
      </c>
      <c r="AF41" s="42">
        <v>0</v>
      </c>
      <c r="AG41" s="42"/>
      <c r="AH41" s="42"/>
      <c r="AI41" s="42"/>
      <c r="AJ41" s="13" t="s">
        <v>31</v>
      </c>
      <c r="AL41" s="25"/>
      <c r="AM41" s="25"/>
      <c r="AN41" s="25"/>
    </row>
    <row r="42" spans="1:40" x14ac:dyDescent="0.3">
      <c r="A42" s="49">
        <v>44403</v>
      </c>
      <c r="B42" s="59">
        <v>1600</v>
      </c>
      <c r="C42" s="59" cm="1">
        <f t="array" ref="C42">(SUM(VLOOKUP(H42:AE42,$AL$4:$AN$44,2,FALSE))+AF42*10)*IF(AJ42="是",$AW$4,$AW$3)</f>
        <v>1664</v>
      </c>
      <c r="D42" s="59">
        <f>SUM($B$4:B42)-SUM($C$4:C42)</f>
        <v>4</v>
      </c>
      <c r="E42" s="59" cm="1">
        <f t="array" ref="E42">SUM(VLOOKUP(H42:AE42,$AL$4:$AN$44,3,FALSE))</f>
        <v>600</v>
      </c>
      <c r="F42" s="59">
        <f>SUM($E$4:E42)+SUM($G$4:G42)</f>
        <v>25025</v>
      </c>
      <c r="G42" s="59">
        <v>300</v>
      </c>
      <c r="H42" s="71" t="s">
        <v>19</v>
      </c>
      <c r="I42" s="71" t="s">
        <v>19</v>
      </c>
      <c r="J42" s="71" t="s">
        <v>19</v>
      </c>
      <c r="K42" s="71" t="s">
        <v>19</v>
      </c>
      <c r="L42" s="71" t="s">
        <v>19</v>
      </c>
      <c r="M42" s="71" t="s">
        <v>19</v>
      </c>
      <c r="N42" s="62" t="s">
        <v>23</v>
      </c>
      <c r="O42" s="62" t="s">
        <v>23</v>
      </c>
      <c r="P42" s="75" t="s">
        <v>21</v>
      </c>
      <c r="Q42" s="75" t="s">
        <v>21</v>
      </c>
      <c r="R42" s="75" t="s">
        <v>21</v>
      </c>
      <c r="S42" s="75" t="s">
        <v>21</v>
      </c>
      <c r="T42" s="75" t="s">
        <v>21</v>
      </c>
      <c r="U42" s="61" t="s">
        <v>23</v>
      </c>
      <c r="V42" s="62" t="s">
        <v>23</v>
      </c>
      <c r="W42" s="62" t="s">
        <v>23</v>
      </c>
      <c r="X42" s="63" t="s">
        <v>23</v>
      </c>
      <c r="Y42" s="61" t="s">
        <v>23</v>
      </c>
      <c r="Z42" s="61" t="s">
        <v>23</v>
      </c>
      <c r="AA42" s="61" t="s">
        <v>23</v>
      </c>
      <c r="AB42" s="61" t="s">
        <v>23</v>
      </c>
      <c r="AC42" s="61" t="s">
        <v>23</v>
      </c>
      <c r="AD42" s="62" t="s">
        <v>23</v>
      </c>
      <c r="AE42" s="62" t="s">
        <v>23</v>
      </c>
      <c r="AF42" s="42">
        <v>0</v>
      </c>
      <c r="AG42" s="42"/>
      <c r="AH42" s="42"/>
      <c r="AI42" s="42"/>
      <c r="AJ42" s="13" t="s">
        <v>31</v>
      </c>
      <c r="AL42" s="25"/>
      <c r="AM42" s="25"/>
      <c r="AN42" s="25"/>
    </row>
    <row r="43" spans="1:40" x14ac:dyDescent="0.3">
      <c r="A43" s="49">
        <v>44404</v>
      </c>
      <c r="B43" s="59">
        <v>1600</v>
      </c>
      <c r="C43" s="59" cm="1">
        <f t="array" ref="C43">(SUM(VLOOKUP(H43:AE43,$AL$4:$AN$44,2,FALSE))+AF43*10)*IF(AJ43="是",$AW$4,$AW$3)</f>
        <v>1560</v>
      </c>
      <c r="D43" s="59">
        <f>SUM($B$4:B43)-SUM($C$4:C43)</f>
        <v>44</v>
      </c>
      <c r="E43" s="59" cm="1">
        <f t="array" ref="E43">SUM(VLOOKUP(H43:AE43,$AL$4:$AN$44,3,FALSE))</f>
        <v>580</v>
      </c>
      <c r="F43" s="59">
        <f>SUM($E$4:E43)+SUM($G$4:G43)</f>
        <v>25605</v>
      </c>
      <c r="G43" s="59">
        <v>0</v>
      </c>
      <c r="H43" s="66" t="s">
        <v>12</v>
      </c>
      <c r="I43" s="71" t="s">
        <v>19</v>
      </c>
      <c r="J43" s="71" t="s">
        <v>19</v>
      </c>
      <c r="K43" s="71" t="s">
        <v>19</v>
      </c>
      <c r="L43" s="71" t="s">
        <v>19</v>
      </c>
      <c r="M43" s="71" t="s">
        <v>19</v>
      </c>
      <c r="N43" s="62" t="s">
        <v>23</v>
      </c>
      <c r="O43" s="62" t="s">
        <v>23</v>
      </c>
      <c r="P43" s="75" t="s">
        <v>21</v>
      </c>
      <c r="Q43" s="75" t="s">
        <v>21</v>
      </c>
      <c r="R43" s="75" t="s">
        <v>21</v>
      </c>
      <c r="S43" s="75" t="s">
        <v>21</v>
      </c>
      <c r="T43" s="75" t="s">
        <v>21</v>
      </c>
      <c r="U43" s="61" t="s">
        <v>23</v>
      </c>
      <c r="V43" s="62" t="s">
        <v>23</v>
      </c>
      <c r="W43" s="62" t="s">
        <v>23</v>
      </c>
      <c r="X43" s="63" t="s">
        <v>23</v>
      </c>
      <c r="Y43" s="61" t="s">
        <v>23</v>
      </c>
      <c r="Z43" s="61" t="s">
        <v>23</v>
      </c>
      <c r="AA43" s="61" t="s">
        <v>23</v>
      </c>
      <c r="AB43" s="61" t="s">
        <v>23</v>
      </c>
      <c r="AC43" s="61" t="s">
        <v>23</v>
      </c>
      <c r="AD43" s="62" t="s">
        <v>23</v>
      </c>
      <c r="AE43" s="62" t="s">
        <v>23</v>
      </c>
      <c r="AF43" s="42">
        <v>0</v>
      </c>
      <c r="AG43" s="42"/>
      <c r="AH43" s="42"/>
      <c r="AI43" s="42"/>
      <c r="AJ43" s="13" t="s">
        <v>31</v>
      </c>
      <c r="AL43" s="25"/>
      <c r="AM43" s="25"/>
      <c r="AN43" s="25"/>
    </row>
    <row r="44" spans="1:40" x14ac:dyDescent="0.3">
      <c r="A44" s="49">
        <v>44405</v>
      </c>
      <c r="B44" s="59">
        <v>1600</v>
      </c>
      <c r="C44" s="59" cm="1">
        <f t="array" ref="C44">(SUM(VLOOKUP(H44:AE44,$AL$4:$AN$44,2,FALSE))+AF44*10)*IF(AJ44="是",$AW$4,$AW$3)</f>
        <v>1520</v>
      </c>
      <c r="D44" s="59">
        <f>SUM($B$4:B44)-SUM($C$4:C44)</f>
        <v>124</v>
      </c>
      <c r="E44" s="59" cm="1">
        <f t="array" ref="E44">SUM(VLOOKUP(H44:AE44,$AL$4:$AN$44,3,FALSE))</f>
        <v>550</v>
      </c>
      <c r="F44" s="59">
        <f>SUM($E$4:E44)+SUM($G$4:G44)</f>
        <v>26355</v>
      </c>
      <c r="G44" s="59">
        <v>200</v>
      </c>
      <c r="H44" s="71" t="s">
        <v>19</v>
      </c>
      <c r="I44" s="71" t="s">
        <v>19</v>
      </c>
      <c r="J44" s="71" t="s">
        <v>19</v>
      </c>
      <c r="K44" s="71" t="s">
        <v>19</v>
      </c>
      <c r="L44" s="71" t="s">
        <v>19</v>
      </c>
      <c r="M44" s="63" t="s">
        <v>23</v>
      </c>
      <c r="N44" s="62" t="s">
        <v>23</v>
      </c>
      <c r="O44" s="62" t="s">
        <v>23</v>
      </c>
      <c r="P44" s="75" t="s">
        <v>21</v>
      </c>
      <c r="Q44" s="75" t="s">
        <v>21</v>
      </c>
      <c r="R44" s="75" t="s">
        <v>21</v>
      </c>
      <c r="S44" s="75" t="s">
        <v>21</v>
      </c>
      <c r="T44" s="75" t="s">
        <v>21</v>
      </c>
      <c r="U44" s="61" t="s">
        <v>23</v>
      </c>
      <c r="V44" s="62" t="s">
        <v>23</v>
      </c>
      <c r="W44" s="62" t="s">
        <v>23</v>
      </c>
      <c r="X44" s="63" t="s">
        <v>23</v>
      </c>
      <c r="Y44" s="61" t="s">
        <v>23</v>
      </c>
      <c r="Z44" s="61" t="s">
        <v>23</v>
      </c>
      <c r="AA44" s="61" t="s">
        <v>23</v>
      </c>
      <c r="AB44" s="61" t="s">
        <v>23</v>
      </c>
      <c r="AC44" s="61" t="s">
        <v>23</v>
      </c>
      <c r="AD44" s="62" t="s">
        <v>23</v>
      </c>
      <c r="AE44" s="62" t="s">
        <v>23</v>
      </c>
      <c r="AF44" s="42">
        <v>0</v>
      </c>
      <c r="AG44" s="42"/>
      <c r="AH44" s="42"/>
      <c r="AI44" s="42"/>
      <c r="AJ44" s="13" t="s">
        <v>31</v>
      </c>
      <c r="AL44" s="25"/>
      <c r="AM44" s="25"/>
      <c r="AN44" s="25"/>
    </row>
    <row r="45" spans="1:40" x14ac:dyDescent="0.3">
      <c r="A45" s="49">
        <v>44406</v>
      </c>
      <c r="B45" s="59">
        <v>1600</v>
      </c>
      <c r="C45" s="59" cm="1">
        <f t="array" ref="C45">(SUM(VLOOKUP(H45:AE45,$AL$4:$AN$44,2,FALSE))+AF45*10)*IF(AJ45="是",$AW$4,$AW$3)</f>
        <v>1640</v>
      </c>
      <c r="D45" s="59">
        <f>SUM($B$4:B45)-SUM($C$4:C45)</f>
        <v>84</v>
      </c>
      <c r="E45" s="59" cm="1">
        <f t="array" ref="E45">SUM(VLOOKUP(H45:AE45,$AL$4:$AN$44,3,FALSE))</f>
        <v>600</v>
      </c>
      <c r="F45" s="59">
        <f>SUM($E$4:E45)+SUM($G$4:G45)</f>
        <v>26955</v>
      </c>
      <c r="G45" s="59">
        <v>0</v>
      </c>
      <c r="H45" s="71" t="s">
        <v>19</v>
      </c>
      <c r="I45" s="71" t="s">
        <v>8</v>
      </c>
      <c r="J45" s="71" t="s">
        <v>19</v>
      </c>
      <c r="K45" s="71" t="s">
        <v>19</v>
      </c>
      <c r="L45" s="71" t="s">
        <v>19</v>
      </c>
      <c r="M45" s="71" t="s">
        <v>19</v>
      </c>
      <c r="N45" s="62" t="s">
        <v>23</v>
      </c>
      <c r="O45" s="62" t="s">
        <v>23</v>
      </c>
      <c r="P45" s="75" t="s">
        <v>21</v>
      </c>
      <c r="Q45" s="75" t="s">
        <v>21</v>
      </c>
      <c r="R45" s="75" t="s">
        <v>21</v>
      </c>
      <c r="S45" s="75" t="s">
        <v>21</v>
      </c>
      <c r="T45" s="75" t="s">
        <v>21</v>
      </c>
      <c r="U45" s="61" t="s">
        <v>23</v>
      </c>
      <c r="V45" s="62" t="s">
        <v>23</v>
      </c>
      <c r="W45" s="62" t="s">
        <v>23</v>
      </c>
      <c r="X45" s="63" t="s">
        <v>23</v>
      </c>
      <c r="Y45" s="61" t="s">
        <v>23</v>
      </c>
      <c r="Z45" s="61" t="s">
        <v>23</v>
      </c>
      <c r="AA45" s="61" t="s">
        <v>23</v>
      </c>
      <c r="AB45" s="61" t="s">
        <v>23</v>
      </c>
      <c r="AC45" s="61" t="s">
        <v>23</v>
      </c>
      <c r="AD45" s="62" t="s">
        <v>23</v>
      </c>
      <c r="AE45" s="62" t="s">
        <v>23</v>
      </c>
      <c r="AF45" s="42">
        <v>0</v>
      </c>
      <c r="AG45" s="42"/>
      <c r="AH45" s="42"/>
      <c r="AI45" s="42"/>
      <c r="AJ45" s="13" t="s">
        <v>31</v>
      </c>
    </row>
    <row r="46" spans="1:40" x14ac:dyDescent="0.3">
      <c r="A46" s="49">
        <v>44407</v>
      </c>
      <c r="B46" s="59">
        <v>1600</v>
      </c>
      <c r="C46" s="59" cm="1">
        <f t="array" ref="C46">(SUM(VLOOKUP(H46:AE46,$AL$4:$AN$44,2,FALSE))+AF46*10)*IF(AJ46="是",$AW$4,$AW$3)</f>
        <v>1512</v>
      </c>
      <c r="D46" s="59">
        <f>SUM($B$4:B46)-SUM($C$4:C46)</f>
        <v>172</v>
      </c>
      <c r="E46" s="59" cm="1">
        <f t="array" ref="E46">SUM(VLOOKUP(H46:AE46,$AL$4:$AN$44,3,FALSE))</f>
        <v>540</v>
      </c>
      <c r="F46" s="59">
        <f>SUM($E$4:E46)+SUM($G$4:G46)</f>
        <v>27495</v>
      </c>
      <c r="G46" s="59">
        <v>0</v>
      </c>
      <c r="H46" s="71" t="s">
        <v>19</v>
      </c>
      <c r="I46" s="71" t="s">
        <v>19</v>
      </c>
      <c r="J46" s="71" t="s">
        <v>19</v>
      </c>
      <c r="K46" s="71" t="s">
        <v>19</v>
      </c>
      <c r="L46" s="71" t="s">
        <v>19</v>
      </c>
      <c r="M46" s="71" t="s">
        <v>19</v>
      </c>
      <c r="N46" s="62" t="s">
        <v>23</v>
      </c>
      <c r="O46" s="62" t="s">
        <v>23</v>
      </c>
      <c r="P46" s="75" t="s">
        <v>21</v>
      </c>
      <c r="Q46" s="75" t="s">
        <v>21</v>
      </c>
      <c r="R46" s="75" t="s">
        <v>21</v>
      </c>
      <c r="S46" s="75" t="s">
        <v>21</v>
      </c>
      <c r="T46" s="61" t="s">
        <v>23</v>
      </c>
      <c r="U46" s="61" t="s">
        <v>23</v>
      </c>
      <c r="V46" s="62" t="s">
        <v>23</v>
      </c>
      <c r="W46" s="62" t="s">
        <v>23</v>
      </c>
      <c r="X46" s="63" t="s">
        <v>23</v>
      </c>
      <c r="Y46" s="61" t="s">
        <v>23</v>
      </c>
      <c r="Z46" s="61" t="s">
        <v>23</v>
      </c>
      <c r="AA46" s="61" t="s">
        <v>23</v>
      </c>
      <c r="AB46" s="61" t="s">
        <v>23</v>
      </c>
      <c r="AC46" s="61" t="s">
        <v>23</v>
      </c>
      <c r="AD46" s="62" t="s">
        <v>23</v>
      </c>
      <c r="AE46" s="62" t="s">
        <v>23</v>
      </c>
      <c r="AF46" s="42">
        <v>1</v>
      </c>
      <c r="AG46" s="42">
        <v>1</v>
      </c>
      <c r="AH46" s="42"/>
      <c r="AI46" s="42"/>
      <c r="AJ46" s="13" t="s">
        <v>31</v>
      </c>
    </row>
    <row r="47" spans="1:40" x14ac:dyDescent="0.3">
      <c r="A47" s="49">
        <v>44408</v>
      </c>
      <c r="B47" s="59">
        <v>1600</v>
      </c>
      <c r="C47" s="59" cm="1">
        <f t="array" ref="C47">(SUM(VLOOKUP(H47:AE47,$AL$4:$AN$44,2,FALSE))+AF47*10)*IF(AJ47="是",$AW$4,$AW$3)</f>
        <v>1648</v>
      </c>
      <c r="D47" s="59">
        <f>SUM($B$4:B47)-SUM($C$4:C47)</f>
        <v>124</v>
      </c>
      <c r="E47" s="59" cm="1">
        <f t="array" ref="E47">SUM(VLOOKUP(H47:AE47,$AL$4:$AN$44,3,FALSE))</f>
        <v>650</v>
      </c>
      <c r="F47" s="59">
        <f>SUM($E$4:E47)+SUM($G$4:G47)</f>
        <v>28145</v>
      </c>
      <c r="G47" s="59">
        <v>0</v>
      </c>
      <c r="H47" s="71" t="s">
        <v>19</v>
      </c>
      <c r="I47" s="71" t="s">
        <v>19</v>
      </c>
      <c r="J47" s="65" t="s">
        <v>49</v>
      </c>
      <c r="K47" s="71" t="s">
        <v>19</v>
      </c>
      <c r="L47" s="71" t="s">
        <v>19</v>
      </c>
      <c r="M47" s="71" t="s">
        <v>19</v>
      </c>
      <c r="N47" s="71" t="s">
        <v>19</v>
      </c>
      <c r="O47" s="71" t="s">
        <v>19</v>
      </c>
      <c r="P47" s="75" t="s">
        <v>21</v>
      </c>
      <c r="Q47" s="75" t="s">
        <v>21</v>
      </c>
      <c r="R47" s="75" t="s">
        <v>21</v>
      </c>
      <c r="S47" s="75" t="s">
        <v>21</v>
      </c>
      <c r="T47" s="75" t="s">
        <v>21</v>
      </c>
      <c r="U47" s="61" t="s">
        <v>23</v>
      </c>
      <c r="V47" s="62" t="s">
        <v>23</v>
      </c>
      <c r="W47" s="62" t="s">
        <v>23</v>
      </c>
      <c r="X47" s="63" t="s">
        <v>23</v>
      </c>
      <c r="Y47" s="61" t="s">
        <v>23</v>
      </c>
      <c r="Z47" s="61" t="s">
        <v>23</v>
      </c>
      <c r="AA47" s="61" t="s">
        <v>23</v>
      </c>
      <c r="AB47" s="61" t="s">
        <v>23</v>
      </c>
      <c r="AC47" s="61" t="s">
        <v>23</v>
      </c>
      <c r="AD47" s="62" t="s">
        <v>23</v>
      </c>
      <c r="AE47" s="62" t="s">
        <v>23</v>
      </c>
      <c r="AF47" s="42">
        <v>0</v>
      </c>
      <c r="AG47" s="42"/>
      <c r="AH47" s="42"/>
      <c r="AI47" s="42"/>
      <c r="AJ47" s="13" t="s">
        <v>31</v>
      </c>
    </row>
    <row r="48" spans="1:40" x14ac:dyDescent="0.3">
      <c r="A48" s="49">
        <v>44409</v>
      </c>
      <c r="B48" s="59">
        <v>1600</v>
      </c>
      <c r="C48" s="59" cm="1">
        <f t="array" ref="C48">(SUM(VLOOKUP(H48:AE48,$AL$4:$AN$44,2,FALSE))+AF48*10)*IF(AJ48="是",$AW$4,$AW$3)</f>
        <v>1568</v>
      </c>
      <c r="D48" s="59">
        <f>SUM($B$4:B48)-SUM($C$4:C48)</f>
        <v>156</v>
      </c>
      <c r="E48" s="59" cm="1">
        <f t="array" ref="E48">SUM(VLOOKUP(H48:AE48,$AL$4:$AN$44,3,FALSE))</f>
        <v>580</v>
      </c>
      <c r="F48" s="59">
        <f>SUM($E$4:E48)+SUM($G$4:G48)</f>
        <v>28725</v>
      </c>
      <c r="G48" s="59">
        <v>0</v>
      </c>
      <c r="H48" s="71" t="s">
        <v>19</v>
      </c>
      <c r="I48" s="66" t="s">
        <v>12</v>
      </c>
      <c r="J48" s="71" t="s">
        <v>19</v>
      </c>
      <c r="K48" s="71" t="s">
        <v>19</v>
      </c>
      <c r="L48" s="71" t="s">
        <v>19</v>
      </c>
      <c r="M48" s="71" t="s">
        <v>19</v>
      </c>
      <c r="N48" s="62" t="s">
        <v>23</v>
      </c>
      <c r="O48" s="62" t="s">
        <v>23</v>
      </c>
      <c r="P48" s="75" t="s">
        <v>21</v>
      </c>
      <c r="Q48" s="75" t="s">
        <v>21</v>
      </c>
      <c r="R48" s="75" t="s">
        <v>21</v>
      </c>
      <c r="S48" s="75" t="s">
        <v>21</v>
      </c>
      <c r="T48" s="75" t="s">
        <v>21</v>
      </c>
      <c r="U48" s="61" t="s">
        <v>23</v>
      </c>
      <c r="V48" s="62" t="s">
        <v>23</v>
      </c>
      <c r="W48" s="62" t="s">
        <v>23</v>
      </c>
      <c r="X48" s="63" t="s">
        <v>23</v>
      </c>
      <c r="Y48" s="61" t="s">
        <v>23</v>
      </c>
      <c r="Z48" s="61" t="s">
        <v>23</v>
      </c>
      <c r="AA48" s="61" t="s">
        <v>23</v>
      </c>
      <c r="AB48" s="61" t="s">
        <v>23</v>
      </c>
      <c r="AC48" s="61" t="s">
        <v>23</v>
      </c>
      <c r="AD48" s="62" t="s">
        <v>23</v>
      </c>
      <c r="AE48" s="62" t="s">
        <v>23</v>
      </c>
      <c r="AF48" s="42">
        <v>1</v>
      </c>
      <c r="AG48" s="42">
        <v>1</v>
      </c>
      <c r="AH48" s="42"/>
      <c r="AI48" s="42"/>
      <c r="AJ48" s="13" t="s">
        <v>31</v>
      </c>
    </row>
    <row r="49" spans="1:36" x14ac:dyDescent="0.3">
      <c r="A49" s="49">
        <v>44410</v>
      </c>
      <c r="B49" s="67">
        <v>1600</v>
      </c>
      <c r="C49" s="59" cm="1">
        <f t="array" ref="C49">(SUM(VLOOKUP(H49:AE49,$AL$4:$AN$44,2,FALSE))+AF49*10)*IF(AJ49="是",$AW$4,$AW$3)</f>
        <v>1704</v>
      </c>
      <c r="D49" s="67">
        <f>SUM($B$4:B49)-SUM($C$4:C49)</f>
        <v>52</v>
      </c>
      <c r="E49" s="59" cm="1">
        <f t="array" ref="E49">SUM(VLOOKUP(H49:AE49,$AL$4:$AN$44,3,FALSE))</f>
        <v>1540</v>
      </c>
      <c r="F49" s="59">
        <f>SUM($E$4:E49)+SUM($G$4:G49)</f>
        <v>30465</v>
      </c>
      <c r="G49" s="67">
        <v>200</v>
      </c>
      <c r="H49" s="71" t="s">
        <v>19</v>
      </c>
      <c r="I49" s="71" t="s">
        <v>19</v>
      </c>
      <c r="J49" s="71" t="s">
        <v>19</v>
      </c>
      <c r="K49" s="71" t="s">
        <v>19</v>
      </c>
      <c r="L49" s="71" t="s">
        <v>19</v>
      </c>
      <c r="M49" s="71" t="s">
        <v>19</v>
      </c>
      <c r="N49" s="62" t="s">
        <v>23</v>
      </c>
      <c r="O49" s="62" t="s">
        <v>23</v>
      </c>
      <c r="P49" s="76" t="s">
        <v>15</v>
      </c>
      <c r="Q49" s="75" t="s">
        <v>21</v>
      </c>
      <c r="R49" s="75" t="s">
        <v>21</v>
      </c>
      <c r="S49" s="75" t="s">
        <v>21</v>
      </c>
      <c r="T49" s="75" t="s">
        <v>21</v>
      </c>
      <c r="U49" s="61" t="s">
        <v>23</v>
      </c>
      <c r="V49" s="62" t="s">
        <v>23</v>
      </c>
      <c r="W49" s="62" t="s">
        <v>23</v>
      </c>
      <c r="X49" s="63" t="s">
        <v>23</v>
      </c>
      <c r="Y49" s="61" t="s">
        <v>23</v>
      </c>
      <c r="Z49" s="61" t="s">
        <v>23</v>
      </c>
      <c r="AA49" s="61" t="s">
        <v>23</v>
      </c>
      <c r="AB49" s="61" t="s">
        <v>23</v>
      </c>
      <c r="AC49" s="61" t="s">
        <v>23</v>
      </c>
      <c r="AD49" s="62" t="s">
        <v>23</v>
      </c>
      <c r="AE49" s="62" t="s">
        <v>23</v>
      </c>
      <c r="AF49" s="42">
        <v>0</v>
      </c>
      <c r="AG49" s="42"/>
      <c r="AH49" s="42"/>
      <c r="AI49" s="42"/>
      <c r="AJ49" s="13" t="s">
        <v>31</v>
      </c>
    </row>
    <row r="50" spans="1:36" x14ac:dyDescent="0.3">
      <c r="A50" s="49">
        <v>44411</v>
      </c>
      <c r="B50" s="67">
        <v>1600</v>
      </c>
      <c r="C50" s="59" cm="1">
        <f t="array" ref="C50">(SUM(VLOOKUP(H50:AE50,$AL$4:$AN$44,2,FALSE))+AF50*10)*IF(AJ50="是",$AW$4,$AW$3)</f>
        <v>1504</v>
      </c>
      <c r="D50" s="67">
        <f>SUM($B$4:B50)-SUM($C$4:C50)</f>
        <v>148</v>
      </c>
      <c r="E50" s="59" cm="1">
        <f t="array" ref="E50">SUM(VLOOKUP(H50:AE50,$AL$4:$AN$44,3,FALSE))</f>
        <v>540</v>
      </c>
      <c r="F50" s="59">
        <f>SUM($E$4:E50)+SUM($G$4:G50)</f>
        <v>31105</v>
      </c>
      <c r="G50" s="67">
        <v>100</v>
      </c>
      <c r="H50" s="71" t="s">
        <v>19</v>
      </c>
      <c r="I50" s="71" t="s">
        <v>19</v>
      </c>
      <c r="J50" s="71" t="s">
        <v>19</v>
      </c>
      <c r="K50" s="71" t="s">
        <v>19</v>
      </c>
      <c r="L50" s="71" t="s">
        <v>19</v>
      </c>
      <c r="M50" s="71" t="s">
        <v>19</v>
      </c>
      <c r="N50" s="62" t="s">
        <v>23</v>
      </c>
      <c r="O50" s="62" t="s">
        <v>23</v>
      </c>
      <c r="P50" s="75" t="s">
        <v>21</v>
      </c>
      <c r="Q50" s="75" t="s">
        <v>21</v>
      </c>
      <c r="R50" s="75" t="s">
        <v>21</v>
      </c>
      <c r="S50" s="75" t="s">
        <v>21</v>
      </c>
      <c r="T50" s="61" t="s">
        <v>23</v>
      </c>
      <c r="U50" s="61" t="s">
        <v>23</v>
      </c>
      <c r="V50" s="62" t="s">
        <v>23</v>
      </c>
      <c r="W50" s="62" t="s">
        <v>23</v>
      </c>
      <c r="X50" s="63" t="s">
        <v>23</v>
      </c>
      <c r="Y50" s="61" t="s">
        <v>23</v>
      </c>
      <c r="Z50" s="61" t="s">
        <v>23</v>
      </c>
      <c r="AA50" s="61" t="s">
        <v>23</v>
      </c>
      <c r="AB50" s="61" t="s">
        <v>23</v>
      </c>
      <c r="AC50" s="61" t="s">
        <v>23</v>
      </c>
      <c r="AD50" s="62" t="s">
        <v>23</v>
      </c>
      <c r="AE50" s="62" t="s">
        <v>23</v>
      </c>
      <c r="AF50" s="42">
        <v>0</v>
      </c>
      <c r="AG50" s="42"/>
      <c r="AH50" s="42"/>
      <c r="AI50" s="42"/>
      <c r="AJ50" s="13" t="s">
        <v>31</v>
      </c>
    </row>
    <row r="51" spans="1:36" x14ac:dyDescent="0.3">
      <c r="A51" s="49">
        <v>44412</v>
      </c>
      <c r="B51" s="67">
        <v>1600</v>
      </c>
      <c r="C51" s="59" cm="1">
        <f t="array" ref="C51">(SUM(VLOOKUP(H51:AE51,$AL$4:$AN$44,2,FALSE))+AF51*10)*IF(AJ51="是",$AW$4,$AW$3)</f>
        <v>1664</v>
      </c>
      <c r="D51" s="67">
        <f>SUM($B$4:B51)-SUM($C$4:C51)</f>
        <v>84</v>
      </c>
      <c r="E51" s="59" cm="1">
        <f t="array" ref="E51">SUM(VLOOKUP(H51:AE51,$AL$4:$AN$44,3,FALSE))</f>
        <v>660</v>
      </c>
      <c r="F51" s="59">
        <f>SUM($E$4:E51)+SUM($G$4:G51)</f>
        <v>31965</v>
      </c>
      <c r="G51" s="67">
        <v>200</v>
      </c>
      <c r="H51" s="71" t="s">
        <v>19</v>
      </c>
      <c r="I51" s="71" t="s">
        <v>19</v>
      </c>
      <c r="J51" s="71" t="s">
        <v>19</v>
      </c>
      <c r="K51" s="71" t="s">
        <v>19</v>
      </c>
      <c r="L51" s="71" t="s">
        <v>19</v>
      </c>
      <c r="M51" s="71" t="s">
        <v>19</v>
      </c>
      <c r="N51" s="62" t="s">
        <v>23</v>
      </c>
      <c r="O51" s="62" t="s">
        <v>23</v>
      </c>
      <c r="P51" s="75" t="s">
        <v>21</v>
      </c>
      <c r="Q51" s="65" t="s">
        <v>49</v>
      </c>
      <c r="R51" s="75" t="s">
        <v>21</v>
      </c>
      <c r="S51" s="75" t="s">
        <v>21</v>
      </c>
      <c r="T51" s="75" t="s">
        <v>21</v>
      </c>
      <c r="U51" s="75" t="s">
        <v>21</v>
      </c>
      <c r="V51" s="75" t="s">
        <v>21</v>
      </c>
      <c r="W51" s="62" t="s">
        <v>23</v>
      </c>
      <c r="X51" s="63" t="s">
        <v>23</v>
      </c>
      <c r="Y51" s="61" t="s">
        <v>23</v>
      </c>
      <c r="Z51" s="61" t="s">
        <v>23</v>
      </c>
      <c r="AA51" s="61" t="s">
        <v>23</v>
      </c>
      <c r="AB51" s="61" t="s">
        <v>23</v>
      </c>
      <c r="AC51" s="61" t="s">
        <v>23</v>
      </c>
      <c r="AD51" s="62" t="s">
        <v>23</v>
      </c>
      <c r="AE51" s="62" t="s">
        <v>23</v>
      </c>
      <c r="AF51" s="42">
        <v>0</v>
      </c>
      <c r="AG51" s="42"/>
      <c r="AH51" s="42"/>
      <c r="AI51" s="42"/>
      <c r="AJ51" s="13" t="s">
        <v>31</v>
      </c>
    </row>
    <row r="52" spans="1:36" x14ac:dyDescent="0.3">
      <c r="A52" s="49">
        <v>44413</v>
      </c>
      <c r="B52" s="67">
        <v>1600</v>
      </c>
      <c r="C52" s="59" cm="1">
        <f t="array" ref="C52">(SUM(VLOOKUP(H52:AE52,$AL$4:$AN$44,2,FALSE))+AF52*10)*IF(AJ52="是",$AW$4,$AW$3)</f>
        <v>1560</v>
      </c>
      <c r="D52" s="67">
        <f>SUM($B$4:B52)-SUM($C$4:C52)</f>
        <v>124</v>
      </c>
      <c r="E52" s="59" cm="1">
        <f t="array" ref="E52">SUM(VLOOKUP(H52:AE52,$AL$4:$AN$44,3,FALSE))</f>
        <v>580</v>
      </c>
      <c r="F52" s="59">
        <f>SUM($E$4:E52)+SUM($G$4:G52)</f>
        <v>32545</v>
      </c>
      <c r="G52" s="67">
        <v>0</v>
      </c>
      <c r="H52" s="71" t="s">
        <v>19</v>
      </c>
      <c r="I52" s="71" t="s">
        <v>19</v>
      </c>
      <c r="J52" s="66" t="s">
        <v>12</v>
      </c>
      <c r="K52" s="71" t="s">
        <v>19</v>
      </c>
      <c r="L52" s="71" t="s">
        <v>19</v>
      </c>
      <c r="M52" s="71" t="s">
        <v>19</v>
      </c>
      <c r="N52" s="62" t="s">
        <v>23</v>
      </c>
      <c r="O52" s="62" t="s">
        <v>23</v>
      </c>
      <c r="P52" s="75" t="s">
        <v>21</v>
      </c>
      <c r="Q52" s="75" t="s">
        <v>21</v>
      </c>
      <c r="R52" s="75" t="s">
        <v>21</v>
      </c>
      <c r="S52" s="75" t="s">
        <v>21</v>
      </c>
      <c r="T52" s="75" t="s">
        <v>21</v>
      </c>
      <c r="U52" s="61" t="s">
        <v>23</v>
      </c>
      <c r="V52" s="62" t="s">
        <v>23</v>
      </c>
      <c r="W52" s="62" t="s">
        <v>23</v>
      </c>
      <c r="X52" s="63" t="s">
        <v>23</v>
      </c>
      <c r="Y52" s="61" t="s">
        <v>23</v>
      </c>
      <c r="Z52" s="61" t="s">
        <v>23</v>
      </c>
      <c r="AA52" s="61" t="s">
        <v>23</v>
      </c>
      <c r="AB52" s="61" t="s">
        <v>23</v>
      </c>
      <c r="AC52" s="61" t="s">
        <v>23</v>
      </c>
      <c r="AD52" s="62" t="s">
        <v>23</v>
      </c>
      <c r="AE52" s="62" t="s">
        <v>23</v>
      </c>
      <c r="AF52" s="42">
        <v>0</v>
      </c>
      <c r="AG52" s="42"/>
      <c r="AH52" s="42"/>
      <c r="AI52" s="42"/>
      <c r="AJ52" s="13" t="s">
        <v>31</v>
      </c>
    </row>
    <row r="53" spans="1:36" x14ac:dyDescent="0.3">
      <c r="A53" s="49">
        <v>44414</v>
      </c>
      <c r="B53" s="67">
        <v>1600</v>
      </c>
      <c r="C53" s="59" cm="1">
        <f t="array" ref="C53">(SUM(VLOOKUP(H53:AE53,$AL$4:$AN$44,2,FALSE))+AF53*10)*IF(AJ53="是",$AW$4,$AW$3)</f>
        <v>1664</v>
      </c>
      <c r="D53" s="67">
        <f>SUM($B$4:B53)-SUM($C$4:C53)</f>
        <v>60</v>
      </c>
      <c r="E53" s="59" cm="1">
        <f t="array" ref="E53">SUM(VLOOKUP(H53:AE53,$AL$4:$AN$44,3,FALSE))</f>
        <v>600</v>
      </c>
      <c r="F53" s="59">
        <f>SUM($E$4:E53)+SUM($G$4:G53)</f>
        <v>33145</v>
      </c>
      <c r="G53" s="67">
        <v>0</v>
      </c>
      <c r="H53" s="71" t="s">
        <v>19</v>
      </c>
      <c r="I53" s="71" t="s">
        <v>19</v>
      </c>
      <c r="J53" s="71" t="s">
        <v>19</v>
      </c>
      <c r="K53" s="71" t="s">
        <v>19</v>
      </c>
      <c r="L53" s="71" t="s">
        <v>19</v>
      </c>
      <c r="M53" s="71" t="s">
        <v>19</v>
      </c>
      <c r="N53" s="62" t="s">
        <v>23</v>
      </c>
      <c r="O53" s="62" t="s">
        <v>23</v>
      </c>
      <c r="P53" s="75" t="s">
        <v>21</v>
      </c>
      <c r="Q53" s="75" t="s">
        <v>21</v>
      </c>
      <c r="R53" s="75" t="s">
        <v>21</v>
      </c>
      <c r="S53" s="75" t="s">
        <v>21</v>
      </c>
      <c r="T53" s="75" t="s">
        <v>21</v>
      </c>
      <c r="U53" s="61" t="s">
        <v>23</v>
      </c>
      <c r="V53" s="62" t="s">
        <v>23</v>
      </c>
      <c r="W53" s="62" t="s">
        <v>23</v>
      </c>
      <c r="X53" s="63" t="s">
        <v>23</v>
      </c>
      <c r="Y53" s="61" t="s">
        <v>23</v>
      </c>
      <c r="Z53" s="61" t="s">
        <v>23</v>
      </c>
      <c r="AA53" s="61" t="s">
        <v>23</v>
      </c>
      <c r="AB53" s="61" t="s">
        <v>23</v>
      </c>
      <c r="AC53" s="61" t="s">
        <v>23</v>
      </c>
      <c r="AD53" s="62" t="s">
        <v>23</v>
      </c>
      <c r="AE53" s="62" t="s">
        <v>23</v>
      </c>
      <c r="AF53" s="42">
        <v>0</v>
      </c>
      <c r="AG53" s="42"/>
      <c r="AH53" s="42"/>
      <c r="AI53" s="42"/>
      <c r="AJ53" s="13" t="s">
        <v>31</v>
      </c>
    </row>
    <row r="54" spans="1:36" x14ac:dyDescent="0.3">
      <c r="A54" s="49">
        <v>44415</v>
      </c>
      <c r="B54" s="67">
        <v>1600</v>
      </c>
      <c r="C54" s="59" cm="1">
        <f t="array" ref="C54">(SUM(VLOOKUP(H54:AE54,$AL$4:$AN$44,2,FALSE))+AF54*10)*IF(AJ54="是",$AW$4,$AW$3)</f>
        <v>1520</v>
      </c>
      <c r="D54" s="67">
        <f>SUM($B$4:B54)-SUM($C$4:C54)</f>
        <v>140</v>
      </c>
      <c r="E54" s="59" cm="1">
        <f t="array" ref="E54">SUM(VLOOKUP(H54:AE54,$AL$4:$AN$44,3,FALSE))</f>
        <v>550</v>
      </c>
      <c r="F54" s="59">
        <f>SUM($E$4:E54)+SUM($G$4:G54)</f>
        <v>33695</v>
      </c>
      <c r="G54" s="67">
        <v>0</v>
      </c>
      <c r="H54" s="71" t="s">
        <v>19</v>
      </c>
      <c r="I54" s="71" t="s">
        <v>19</v>
      </c>
      <c r="J54" s="71" t="s">
        <v>19</v>
      </c>
      <c r="K54" s="71" t="s">
        <v>19</v>
      </c>
      <c r="L54" s="71" t="s">
        <v>19</v>
      </c>
      <c r="M54" s="63" t="s">
        <v>23</v>
      </c>
      <c r="N54" s="62" t="s">
        <v>23</v>
      </c>
      <c r="O54" s="62" t="s">
        <v>23</v>
      </c>
      <c r="P54" s="75" t="s">
        <v>21</v>
      </c>
      <c r="Q54" s="75" t="s">
        <v>21</v>
      </c>
      <c r="R54" s="75" t="s">
        <v>21</v>
      </c>
      <c r="S54" s="75" t="s">
        <v>21</v>
      </c>
      <c r="T54" s="75" t="s">
        <v>21</v>
      </c>
      <c r="U54" s="61" t="s">
        <v>23</v>
      </c>
      <c r="V54" s="62" t="s">
        <v>23</v>
      </c>
      <c r="W54" s="62" t="s">
        <v>23</v>
      </c>
      <c r="X54" s="63" t="s">
        <v>23</v>
      </c>
      <c r="Y54" s="61" t="s">
        <v>23</v>
      </c>
      <c r="Z54" s="61" t="s">
        <v>23</v>
      </c>
      <c r="AA54" s="61" t="s">
        <v>23</v>
      </c>
      <c r="AB54" s="61" t="s">
        <v>23</v>
      </c>
      <c r="AC54" s="61" t="s">
        <v>23</v>
      </c>
      <c r="AD54" s="62" t="s">
        <v>23</v>
      </c>
      <c r="AE54" s="62" t="s">
        <v>23</v>
      </c>
      <c r="AF54" s="42">
        <v>0</v>
      </c>
      <c r="AG54" s="42"/>
      <c r="AH54" s="42"/>
      <c r="AI54" s="42"/>
      <c r="AJ54" s="13" t="s">
        <v>31</v>
      </c>
    </row>
    <row r="55" spans="1:36" x14ac:dyDescent="0.3">
      <c r="A55" s="49">
        <v>44416</v>
      </c>
      <c r="B55" s="67">
        <v>1600</v>
      </c>
      <c r="C55" s="59" cm="1">
        <f t="array" ref="C55">(SUM(VLOOKUP(H55:AE55,$AL$4:$AN$44,2,FALSE))+AF55*10)*IF(AJ55="是",$AW$4,$AW$3)</f>
        <v>1664</v>
      </c>
      <c r="D55" s="67">
        <f>SUM($B$4:B55)-SUM($C$4:C55)</f>
        <v>76</v>
      </c>
      <c r="E55" s="59" cm="1">
        <f t="array" ref="E55">SUM(VLOOKUP(H55:AE55,$AL$4:$AN$44,3,FALSE))</f>
        <v>600</v>
      </c>
      <c r="F55" s="59">
        <f>SUM($E$4:E55)+SUM($G$4:G55)</f>
        <v>34295</v>
      </c>
      <c r="G55" s="67">
        <v>0</v>
      </c>
      <c r="H55" s="71" t="s">
        <v>19</v>
      </c>
      <c r="I55" s="71" t="s">
        <v>19</v>
      </c>
      <c r="J55" s="71" t="s">
        <v>19</v>
      </c>
      <c r="K55" s="71" t="s">
        <v>19</v>
      </c>
      <c r="L55" s="71" t="s">
        <v>19</v>
      </c>
      <c r="M55" s="71" t="s">
        <v>19</v>
      </c>
      <c r="N55" s="62" t="s">
        <v>23</v>
      </c>
      <c r="O55" s="62" t="s">
        <v>23</v>
      </c>
      <c r="P55" s="75" t="s">
        <v>21</v>
      </c>
      <c r="Q55" s="75" t="s">
        <v>21</v>
      </c>
      <c r="R55" s="75" t="s">
        <v>21</v>
      </c>
      <c r="S55" s="75" t="s">
        <v>21</v>
      </c>
      <c r="T55" s="75" t="s">
        <v>21</v>
      </c>
      <c r="U55" s="61" t="s">
        <v>23</v>
      </c>
      <c r="V55" s="62" t="s">
        <v>23</v>
      </c>
      <c r="W55" s="62" t="s">
        <v>23</v>
      </c>
      <c r="X55" s="63" t="s">
        <v>23</v>
      </c>
      <c r="Y55" s="61" t="s">
        <v>23</v>
      </c>
      <c r="Z55" s="61" t="s">
        <v>23</v>
      </c>
      <c r="AA55" s="61" t="s">
        <v>23</v>
      </c>
      <c r="AB55" s="61" t="s">
        <v>23</v>
      </c>
      <c r="AC55" s="61" t="s">
        <v>23</v>
      </c>
      <c r="AD55" s="62" t="s">
        <v>23</v>
      </c>
      <c r="AE55" s="62" t="s">
        <v>23</v>
      </c>
      <c r="AF55" s="42">
        <v>0</v>
      </c>
      <c r="AG55" s="42"/>
      <c r="AH55" s="42"/>
      <c r="AI55" s="42"/>
      <c r="AJ55" s="13" t="s">
        <v>31</v>
      </c>
    </row>
    <row r="56" spans="1:36" x14ac:dyDescent="0.3">
      <c r="A56" s="49">
        <v>44417</v>
      </c>
      <c r="B56" s="59">
        <v>1600</v>
      </c>
      <c r="C56" s="59" cm="1">
        <f t="array" ref="C56">(SUM(VLOOKUP(H56:AE56,$AL$4:$AN$44,2,FALSE))+AF56*10)*IF(AJ56="是",$AW$4,$AW$3)</f>
        <v>1672</v>
      </c>
      <c r="D56" s="59">
        <f>SUM($B$4:B56)-SUM($C$4:C56)</f>
        <v>4</v>
      </c>
      <c r="E56" s="59" cm="1">
        <f t="array" ref="E56">SUM(VLOOKUP(H56:AE56,$AL$4:$AN$44,3,FALSE))</f>
        <v>600</v>
      </c>
      <c r="F56" s="59">
        <f>SUM($E$4:E56)+SUM($G$4:G56)</f>
        <v>35195</v>
      </c>
      <c r="G56" s="59">
        <v>300</v>
      </c>
      <c r="H56" s="71" t="s">
        <v>19</v>
      </c>
      <c r="I56" s="71" t="s">
        <v>19</v>
      </c>
      <c r="J56" s="71" t="s">
        <v>19</v>
      </c>
      <c r="K56" s="71" t="s">
        <v>19</v>
      </c>
      <c r="L56" s="71" t="s">
        <v>19</v>
      </c>
      <c r="M56" s="71" t="s">
        <v>19</v>
      </c>
      <c r="N56" s="62" t="s">
        <v>23</v>
      </c>
      <c r="O56" s="62" t="s">
        <v>23</v>
      </c>
      <c r="P56" s="75" t="s">
        <v>21</v>
      </c>
      <c r="Q56" s="75" t="s">
        <v>21</v>
      </c>
      <c r="R56" s="75" t="s">
        <v>21</v>
      </c>
      <c r="S56" s="75" t="s">
        <v>21</v>
      </c>
      <c r="T56" s="75" t="s">
        <v>21</v>
      </c>
      <c r="U56" s="61" t="s">
        <v>23</v>
      </c>
      <c r="V56" s="62" t="s">
        <v>23</v>
      </c>
      <c r="W56" s="62" t="s">
        <v>23</v>
      </c>
      <c r="X56" s="63" t="s">
        <v>23</v>
      </c>
      <c r="Y56" s="61" t="s">
        <v>23</v>
      </c>
      <c r="Z56" s="61" t="s">
        <v>23</v>
      </c>
      <c r="AA56" s="61" t="s">
        <v>23</v>
      </c>
      <c r="AB56" s="61" t="s">
        <v>23</v>
      </c>
      <c r="AC56" s="61" t="s">
        <v>23</v>
      </c>
      <c r="AD56" s="62" t="s">
        <v>23</v>
      </c>
      <c r="AE56" s="62" t="s">
        <v>23</v>
      </c>
      <c r="AF56" s="42">
        <v>1</v>
      </c>
      <c r="AG56" s="42">
        <v>1</v>
      </c>
      <c r="AH56" s="42"/>
      <c r="AI56" s="42"/>
      <c r="AJ56" s="13" t="s">
        <v>31</v>
      </c>
    </row>
    <row r="57" spans="1:36" x14ac:dyDescent="0.3">
      <c r="A57" s="49">
        <v>44418</v>
      </c>
      <c r="B57" s="59">
        <v>1600</v>
      </c>
      <c r="C57" s="59" cm="1">
        <f t="array" ref="C57">(SUM(VLOOKUP(H57:AE57,$AL$4:$AN$44,2,FALSE))+AF57*10)*IF(AJ57="是",$AW$4,$AW$3)</f>
        <v>1560</v>
      </c>
      <c r="D57" s="59">
        <f>SUM($B$4:B57)-SUM($C$4:C57)</f>
        <v>44</v>
      </c>
      <c r="E57" s="59" cm="1">
        <f t="array" ref="E57">SUM(VLOOKUP(H57:AE57,$AL$4:$AN$44,3,FALSE))</f>
        <v>580</v>
      </c>
      <c r="F57" s="59">
        <f>SUM($E$4:E57)+SUM($G$4:G57)</f>
        <v>35775</v>
      </c>
      <c r="G57" s="59">
        <v>0</v>
      </c>
      <c r="H57" s="71" t="s">
        <v>19</v>
      </c>
      <c r="I57" s="71" t="s">
        <v>19</v>
      </c>
      <c r="J57" s="71" t="s">
        <v>19</v>
      </c>
      <c r="K57" s="71" t="s">
        <v>19</v>
      </c>
      <c r="L57" s="66" t="s">
        <v>12</v>
      </c>
      <c r="M57" s="71" t="s">
        <v>19</v>
      </c>
      <c r="N57" s="62" t="s">
        <v>23</v>
      </c>
      <c r="O57" s="62" t="s">
        <v>23</v>
      </c>
      <c r="P57" s="75" t="s">
        <v>21</v>
      </c>
      <c r="Q57" s="75" t="s">
        <v>21</v>
      </c>
      <c r="R57" s="75" t="s">
        <v>21</v>
      </c>
      <c r="S57" s="75" t="s">
        <v>21</v>
      </c>
      <c r="T57" s="75" t="s">
        <v>21</v>
      </c>
      <c r="U57" s="61" t="s">
        <v>23</v>
      </c>
      <c r="V57" s="62" t="s">
        <v>23</v>
      </c>
      <c r="W57" s="62" t="s">
        <v>23</v>
      </c>
      <c r="X57" s="63" t="s">
        <v>23</v>
      </c>
      <c r="Y57" s="61" t="s">
        <v>23</v>
      </c>
      <c r="Z57" s="61" t="s">
        <v>23</v>
      </c>
      <c r="AA57" s="61" t="s">
        <v>23</v>
      </c>
      <c r="AB57" s="61" t="s">
        <v>23</v>
      </c>
      <c r="AC57" s="61" t="s">
        <v>23</v>
      </c>
      <c r="AD57" s="62" t="s">
        <v>23</v>
      </c>
      <c r="AE57" s="62" t="s">
        <v>23</v>
      </c>
      <c r="AF57" s="42">
        <v>0</v>
      </c>
      <c r="AG57" s="42"/>
      <c r="AH57" s="42"/>
      <c r="AI57" s="42"/>
      <c r="AJ57" s="13" t="s">
        <v>31</v>
      </c>
    </row>
    <row r="58" spans="1:36" x14ac:dyDescent="0.3">
      <c r="A58" s="49">
        <v>44419</v>
      </c>
      <c r="B58" s="59">
        <v>1600</v>
      </c>
      <c r="C58" s="59" cm="1">
        <f t="array" ref="C58">(SUM(VLOOKUP(H58:AE58,$AL$4:$AN$44,2,FALSE))+AF58*10)*IF(AJ58="是",$AW$4,$AW$3)</f>
        <v>1504</v>
      </c>
      <c r="D58" s="59">
        <f>SUM($B$4:B58)-SUM($C$4:C58)</f>
        <v>140</v>
      </c>
      <c r="E58" s="59" cm="1">
        <f t="array" ref="E58">SUM(VLOOKUP(H58:AE58,$AL$4:$AN$44,3,FALSE))</f>
        <v>540</v>
      </c>
      <c r="F58" s="59">
        <f>SUM($E$4:E58)+SUM($G$4:G58)</f>
        <v>36515</v>
      </c>
      <c r="G58" s="59">
        <v>200</v>
      </c>
      <c r="H58" s="71" t="s">
        <v>19</v>
      </c>
      <c r="I58" s="71" t="s">
        <v>19</v>
      </c>
      <c r="J58" s="71" t="s">
        <v>19</v>
      </c>
      <c r="K58" s="68" t="s">
        <v>18</v>
      </c>
      <c r="L58" s="68" t="s">
        <v>18</v>
      </c>
      <c r="M58" s="63" t="s">
        <v>23</v>
      </c>
      <c r="N58" s="62" t="s">
        <v>23</v>
      </c>
      <c r="O58" s="62" t="s">
        <v>23</v>
      </c>
      <c r="P58" s="75" t="s">
        <v>21</v>
      </c>
      <c r="Q58" s="75" t="s">
        <v>21</v>
      </c>
      <c r="R58" s="75" t="s">
        <v>21</v>
      </c>
      <c r="S58" s="75" t="s">
        <v>21</v>
      </c>
      <c r="T58" s="75" t="s">
        <v>21</v>
      </c>
      <c r="U58" s="61" t="s">
        <v>23</v>
      </c>
      <c r="V58" s="62" t="s">
        <v>23</v>
      </c>
      <c r="W58" s="62" t="s">
        <v>23</v>
      </c>
      <c r="X58" s="63" t="s">
        <v>23</v>
      </c>
      <c r="Y58" s="61" t="s">
        <v>23</v>
      </c>
      <c r="Z58" s="61" t="s">
        <v>23</v>
      </c>
      <c r="AA58" s="61" t="s">
        <v>23</v>
      </c>
      <c r="AB58" s="61" t="s">
        <v>23</v>
      </c>
      <c r="AC58" s="61" t="s">
        <v>23</v>
      </c>
      <c r="AD58" s="62" t="s">
        <v>23</v>
      </c>
      <c r="AE58" s="62" t="s">
        <v>23</v>
      </c>
      <c r="AF58" s="42">
        <v>0</v>
      </c>
      <c r="AG58" s="42"/>
      <c r="AH58" s="42"/>
      <c r="AI58" s="42"/>
      <c r="AJ58" s="13" t="s">
        <v>31</v>
      </c>
    </row>
    <row r="59" spans="1:36" x14ac:dyDescent="0.3">
      <c r="A59" s="49">
        <v>44420</v>
      </c>
      <c r="B59" s="59">
        <v>1600</v>
      </c>
      <c r="C59" s="59" cm="1">
        <f t="array" ref="C59">(SUM(VLOOKUP(H59:AE59,$AL$4:$AN$44,2,FALSE))+AF59*10)*IF(AJ59="是",$AW$4,$AW$3)</f>
        <v>1656</v>
      </c>
      <c r="D59" s="59">
        <f>SUM($B$4:B59)-SUM($C$4:C59)</f>
        <v>84</v>
      </c>
      <c r="E59" s="59" cm="1">
        <f t="array" ref="E59">SUM(VLOOKUP(H59:AE59,$AL$4:$AN$44,3,FALSE))</f>
        <v>590</v>
      </c>
      <c r="F59" s="59">
        <f>SUM($E$4:E59)+SUM($G$4:G59)</f>
        <v>37105</v>
      </c>
      <c r="G59" s="59">
        <v>0</v>
      </c>
      <c r="H59" s="68" t="s">
        <v>18</v>
      </c>
      <c r="I59" s="68" t="s">
        <v>18</v>
      </c>
      <c r="J59" s="71" t="s">
        <v>19</v>
      </c>
      <c r="K59" s="71" t="s">
        <v>19</v>
      </c>
      <c r="L59" s="71" t="s">
        <v>19</v>
      </c>
      <c r="M59" s="71" t="s">
        <v>19</v>
      </c>
      <c r="N59" s="62" t="s">
        <v>23</v>
      </c>
      <c r="O59" s="62" t="s">
        <v>23</v>
      </c>
      <c r="P59" s="75" t="s">
        <v>21</v>
      </c>
      <c r="Q59" s="75" t="s">
        <v>21</v>
      </c>
      <c r="R59" s="75" t="s">
        <v>21</v>
      </c>
      <c r="S59" s="77" t="s">
        <v>21</v>
      </c>
      <c r="T59" s="77" t="s">
        <v>21</v>
      </c>
      <c r="U59" s="61" t="s">
        <v>23</v>
      </c>
      <c r="V59" s="62" t="s">
        <v>23</v>
      </c>
      <c r="W59" s="62" t="s">
        <v>23</v>
      </c>
      <c r="X59" s="63" t="s">
        <v>23</v>
      </c>
      <c r="Y59" s="61" t="s">
        <v>23</v>
      </c>
      <c r="Z59" s="61" t="s">
        <v>23</v>
      </c>
      <c r="AA59" s="61" t="s">
        <v>23</v>
      </c>
      <c r="AB59" s="61" t="s">
        <v>23</v>
      </c>
      <c r="AC59" s="61" t="s">
        <v>23</v>
      </c>
      <c r="AD59" s="62" t="s">
        <v>23</v>
      </c>
      <c r="AE59" s="62" t="s">
        <v>23</v>
      </c>
      <c r="AF59" s="42">
        <v>1</v>
      </c>
      <c r="AG59" s="42"/>
      <c r="AH59" s="42">
        <v>1</v>
      </c>
      <c r="AI59" s="42"/>
      <c r="AJ59" s="13" t="s">
        <v>31</v>
      </c>
    </row>
    <row r="60" spans="1:36" x14ac:dyDescent="0.3">
      <c r="A60" s="49">
        <v>44421</v>
      </c>
      <c r="B60" s="59">
        <v>1600</v>
      </c>
      <c r="C60" s="59" cm="1">
        <f t="array" ref="C60">(SUM(VLOOKUP(H60:AE60,$AL$4:$AN$44,2,FALSE))+AF60*10)*IF(AJ60="是",$AW$4,$AW$3)</f>
        <v>1640</v>
      </c>
      <c r="D60" s="59">
        <f>SUM($B$4:B60)-SUM($C$4:C60)</f>
        <v>44</v>
      </c>
      <c r="E60" s="59" cm="1">
        <f t="array" ref="E60">SUM(VLOOKUP(H60:AE60,$AL$4:$AN$44,3,FALSE))</f>
        <v>600</v>
      </c>
      <c r="F60" s="59">
        <f>SUM($E$4:E60)+SUM($G$4:G60)</f>
        <v>37705</v>
      </c>
      <c r="G60" s="59">
        <v>0</v>
      </c>
      <c r="H60" s="71" t="s">
        <v>19</v>
      </c>
      <c r="I60" s="71" t="s">
        <v>19</v>
      </c>
      <c r="J60" s="71" t="s">
        <v>8</v>
      </c>
      <c r="K60" s="71" t="s">
        <v>19</v>
      </c>
      <c r="L60" s="71" t="s">
        <v>19</v>
      </c>
      <c r="M60" s="71" t="s">
        <v>19</v>
      </c>
      <c r="N60" s="62" t="s">
        <v>23</v>
      </c>
      <c r="O60" s="62" t="s">
        <v>23</v>
      </c>
      <c r="P60" s="75" t="s">
        <v>21</v>
      </c>
      <c r="Q60" s="75" t="s">
        <v>21</v>
      </c>
      <c r="R60" s="75" t="s">
        <v>21</v>
      </c>
      <c r="S60" s="75" t="s">
        <v>21</v>
      </c>
      <c r="T60" s="75" t="s">
        <v>21</v>
      </c>
      <c r="U60" s="61" t="s">
        <v>23</v>
      </c>
      <c r="V60" s="62" t="s">
        <v>23</v>
      </c>
      <c r="W60" s="62" t="s">
        <v>23</v>
      </c>
      <c r="X60" s="63" t="s">
        <v>23</v>
      </c>
      <c r="Y60" s="61" t="s">
        <v>23</v>
      </c>
      <c r="Z60" s="61" t="s">
        <v>23</v>
      </c>
      <c r="AA60" s="61" t="s">
        <v>23</v>
      </c>
      <c r="AB60" s="61" t="s">
        <v>23</v>
      </c>
      <c r="AC60" s="61" t="s">
        <v>23</v>
      </c>
      <c r="AD60" s="62" t="s">
        <v>23</v>
      </c>
      <c r="AE60" s="62" t="s">
        <v>23</v>
      </c>
      <c r="AF60" s="42">
        <v>0</v>
      </c>
      <c r="AG60" s="42"/>
      <c r="AH60" s="42"/>
      <c r="AI60" s="42"/>
      <c r="AJ60" s="13" t="s">
        <v>31</v>
      </c>
    </row>
    <row r="61" spans="1:36" x14ac:dyDescent="0.3">
      <c r="A61" s="49">
        <v>44422</v>
      </c>
      <c r="B61" s="59">
        <v>1600</v>
      </c>
      <c r="C61" s="59" cm="1">
        <f t="array" ref="C61">(SUM(VLOOKUP(H61:AE61,$AL$4:$AN$44,2,FALSE))+AF61*10)*IF(AJ61="是",$AW$4,$AW$3)</f>
        <v>1520</v>
      </c>
      <c r="D61" s="59">
        <f>SUM($B$4:B61)-SUM($C$4:C61)</f>
        <v>124</v>
      </c>
      <c r="E61" s="59" cm="1">
        <f t="array" ref="E61">SUM(VLOOKUP(H61:AE61,$AL$4:$AN$44,3,FALSE))</f>
        <v>550</v>
      </c>
      <c r="F61" s="59">
        <f>SUM($E$4:E61)+SUM($G$4:G61)</f>
        <v>38255</v>
      </c>
      <c r="G61" s="59">
        <v>0</v>
      </c>
      <c r="H61" s="71" t="s">
        <v>19</v>
      </c>
      <c r="I61" s="71" t="s">
        <v>19</v>
      </c>
      <c r="J61" s="71" t="s">
        <v>19</v>
      </c>
      <c r="K61" s="71" t="s">
        <v>19</v>
      </c>
      <c r="L61" s="71" t="s">
        <v>19</v>
      </c>
      <c r="M61" s="63" t="s">
        <v>23</v>
      </c>
      <c r="N61" s="62" t="s">
        <v>23</v>
      </c>
      <c r="O61" s="62" t="s">
        <v>23</v>
      </c>
      <c r="P61" s="75" t="s">
        <v>21</v>
      </c>
      <c r="Q61" s="75" t="s">
        <v>21</v>
      </c>
      <c r="R61" s="75" t="s">
        <v>21</v>
      </c>
      <c r="S61" s="75" t="s">
        <v>21</v>
      </c>
      <c r="T61" s="75" t="s">
        <v>21</v>
      </c>
      <c r="U61" s="61" t="s">
        <v>23</v>
      </c>
      <c r="V61" s="62" t="s">
        <v>23</v>
      </c>
      <c r="W61" s="62" t="s">
        <v>23</v>
      </c>
      <c r="X61" s="63" t="s">
        <v>23</v>
      </c>
      <c r="Y61" s="61" t="s">
        <v>23</v>
      </c>
      <c r="Z61" s="61" t="s">
        <v>23</v>
      </c>
      <c r="AA61" s="61" t="s">
        <v>23</v>
      </c>
      <c r="AB61" s="61" t="s">
        <v>23</v>
      </c>
      <c r="AC61" s="61" t="s">
        <v>23</v>
      </c>
      <c r="AD61" s="62" t="s">
        <v>23</v>
      </c>
      <c r="AE61" s="62" t="s">
        <v>23</v>
      </c>
      <c r="AF61" s="42">
        <v>0</v>
      </c>
      <c r="AG61" s="42"/>
      <c r="AH61" s="42"/>
      <c r="AI61" s="42"/>
      <c r="AJ61" s="13" t="s">
        <v>31</v>
      </c>
    </row>
    <row r="62" spans="1:36" x14ac:dyDescent="0.3">
      <c r="A62" s="49">
        <v>44423</v>
      </c>
      <c r="B62" s="59">
        <v>1600</v>
      </c>
      <c r="C62" s="59" cm="1">
        <f t="array" ref="C62">(SUM(VLOOKUP(H62:AE62,$AL$4:$AN$44,2,FALSE))+AF62*10)*IF(AJ62="是",$AW$4,$AW$3)</f>
        <v>1664</v>
      </c>
      <c r="D62" s="59">
        <f>SUM($B$4:B62)-SUM($C$4:C62)</f>
        <v>60</v>
      </c>
      <c r="E62" s="59" cm="1">
        <f t="array" ref="E62">SUM(VLOOKUP(H62:AE62,$AL$4:$AN$44,3,FALSE))</f>
        <v>600</v>
      </c>
      <c r="F62" s="59">
        <f>SUM($E$4:E62)+SUM($G$4:G62)</f>
        <v>38855</v>
      </c>
      <c r="G62" s="59">
        <v>0</v>
      </c>
      <c r="H62" s="71" t="s">
        <v>19</v>
      </c>
      <c r="I62" s="71" t="s">
        <v>19</v>
      </c>
      <c r="J62" s="71" t="s">
        <v>19</v>
      </c>
      <c r="K62" s="71" t="s">
        <v>19</v>
      </c>
      <c r="L62" s="71" t="s">
        <v>19</v>
      </c>
      <c r="M62" s="71" t="s">
        <v>19</v>
      </c>
      <c r="N62" s="62" t="s">
        <v>23</v>
      </c>
      <c r="O62" s="62" t="s">
        <v>23</v>
      </c>
      <c r="P62" s="75" t="s">
        <v>21</v>
      </c>
      <c r="Q62" s="75" t="s">
        <v>21</v>
      </c>
      <c r="R62" s="75" t="s">
        <v>21</v>
      </c>
      <c r="S62" s="75" t="s">
        <v>21</v>
      </c>
      <c r="T62" s="77" t="s">
        <v>21</v>
      </c>
      <c r="U62" s="61" t="s">
        <v>23</v>
      </c>
      <c r="V62" s="62" t="s">
        <v>23</v>
      </c>
      <c r="W62" s="62" t="s">
        <v>23</v>
      </c>
      <c r="X62" s="63" t="s">
        <v>23</v>
      </c>
      <c r="Y62" s="61" t="s">
        <v>23</v>
      </c>
      <c r="Z62" s="61" t="s">
        <v>23</v>
      </c>
      <c r="AA62" s="61" t="s">
        <v>23</v>
      </c>
      <c r="AB62" s="61" t="s">
        <v>23</v>
      </c>
      <c r="AC62" s="61" t="s">
        <v>23</v>
      </c>
      <c r="AD62" s="62" t="s">
        <v>23</v>
      </c>
      <c r="AE62" s="62" t="s">
        <v>23</v>
      </c>
      <c r="AF62" s="42">
        <v>0</v>
      </c>
      <c r="AG62" s="42"/>
      <c r="AH62" s="42"/>
      <c r="AI62" s="42"/>
      <c r="AJ62" s="13" t="s">
        <v>31</v>
      </c>
    </row>
    <row r="63" spans="1:36" x14ac:dyDescent="0.3">
      <c r="A63" s="49">
        <v>44424</v>
      </c>
      <c r="B63" s="67">
        <v>1600</v>
      </c>
      <c r="C63" s="59" cm="1">
        <f t="array" ref="C63">(SUM(VLOOKUP(H63:AE63,$AL$4:$AN$44,2,FALSE))+AF63*10)*IF(AJ63="是",$AW$4,$AW$3)</f>
        <v>1592</v>
      </c>
      <c r="D63" s="67">
        <f>SUM($B$4:B63)-SUM($C$4:C63)</f>
        <v>68</v>
      </c>
      <c r="E63" s="59" cm="1">
        <f t="array" ref="E63">SUM(VLOOKUP(H63:AE63,$AL$4:$AN$44,3,FALSE))</f>
        <v>630</v>
      </c>
      <c r="F63" s="59">
        <f>SUM($E$4:E63)+SUM($G$4:G63)</f>
        <v>39785</v>
      </c>
      <c r="G63" s="67">
        <v>300</v>
      </c>
      <c r="H63" s="71" t="s">
        <v>19</v>
      </c>
      <c r="I63" s="71" t="s">
        <v>19</v>
      </c>
      <c r="J63" s="68" t="s">
        <v>18</v>
      </c>
      <c r="K63" s="68" t="s">
        <v>18</v>
      </c>
      <c r="L63" s="66" t="s">
        <v>12</v>
      </c>
      <c r="M63" s="68" t="s">
        <v>18</v>
      </c>
      <c r="N63" s="62" t="s">
        <v>23</v>
      </c>
      <c r="O63" s="62" t="s">
        <v>23</v>
      </c>
      <c r="P63" s="77" t="s">
        <v>21</v>
      </c>
      <c r="Q63" s="75" t="s">
        <v>21</v>
      </c>
      <c r="R63" s="75" t="s">
        <v>21</v>
      </c>
      <c r="S63" s="77" t="s">
        <v>21</v>
      </c>
      <c r="T63" s="77" t="s">
        <v>21</v>
      </c>
      <c r="U63" s="61" t="s">
        <v>23</v>
      </c>
      <c r="V63" s="62" t="s">
        <v>23</v>
      </c>
      <c r="W63" s="62" t="s">
        <v>23</v>
      </c>
      <c r="X63" s="65" t="s">
        <v>49</v>
      </c>
      <c r="Y63" s="60" t="s">
        <v>16</v>
      </c>
      <c r="Z63" s="66" t="s">
        <v>12</v>
      </c>
      <c r="AA63" s="61" t="s">
        <v>23</v>
      </c>
      <c r="AB63" s="61" t="s">
        <v>23</v>
      </c>
      <c r="AC63" s="61" t="s">
        <v>23</v>
      </c>
      <c r="AD63" s="62" t="s">
        <v>23</v>
      </c>
      <c r="AE63" s="62" t="s">
        <v>23</v>
      </c>
      <c r="AF63" s="42">
        <v>7</v>
      </c>
      <c r="AG63" s="42"/>
      <c r="AH63" s="42">
        <v>2</v>
      </c>
      <c r="AI63" s="42">
        <v>5</v>
      </c>
      <c r="AJ63" s="13" t="s">
        <v>31</v>
      </c>
    </row>
    <row r="64" spans="1:36" x14ac:dyDescent="0.3">
      <c r="A64" s="49">
        <v>44425</v>
      </c>
      <c r="B64" s="67">
        <v>1600</v>
      </c>
      <c r="C64" s="59" cm="1">
        <f t="array" ref="C64">(SUM(VLOOKUP(H64:AE64,$AL$4:$AN$44,2,FALSE))+AF64*10)*IF(AJ64="是",$AW$4,$AW$3)</f>
        <v>1616</v>
      </c>
      <c r="D64" s="67">
        <f>SUM($B$4:B64)-SUM($C$4:C64)</f>
        <v>52</v>
      </c>
      <c r="E64" s="59" cm="1">
        <f t="array" ref="E64">SUM(VLOOKUP(H64:AE64,$AL$4:$AN$44,3,FALSE))</f>
        <v>570</v>
      </c>
      <c r="F64" s="59">
        <f>SUM($E$4:E64)+SUM($G$4:G64)</f>
        <v>40355</v>
      </c>
      <c r="G64" s="67">
        <v>0</v>
      </c>
      <c r="H64" s="68" t="s">
        <v>18</v>
      </c>
      <c r="I64" s="68" t="s">
        <v>18</v>
      </c>
      <c r="J64" s="68" t="s">
        <v>18</v>
      </c>
      <c r="K64" s="68" t="s">
        <v>18</v>
      </c>
      <c r="L64" s="68" t="s">
        <v>18</v>
      </c>
      <c r="M64" s="68" t="s">
        <v>18</v>
      </c>
      <c r="N64" s="62" t="s">
        <v>23</v>
      </c>
      <c r="O64" s="62" t="s">
        <v>23</v>
      </c>
      <c r="P64" s="75" t="s">
        <v>21</v>
      </c>
      <c r="Q64" s="75" t="s">
        <v>21</v>
      </c>
      <c r="R64" s="75" t="s">
        <v>21</v>
      </c>
      <c r="S64" s="75" t="s">
        <v>21</v>
      </c>
      <c r="T64" s="75" t="s">
        <v>21</v>
      </c>
      <c r="U64" s="61" t="s">
        <v>23</v>
      </c>
      <c r="V64" s="62" t="s">
        <v>23</v>
      </c>
      <c r="W64" s="62" t="s">
        <v>23</v>
      </c>
      <c r="X64" s="63" t="s">
        <v>23</v>
      </c>
      <c r="Y64" s="61" t="s">
        <v>23</v>
      </c>
      <c r="Z64" s="61" t="s">
        <v>23</v>
      </c>
      <c r="AA64" s="61" t="s">
        <v>23</v>
      </c>
      <c r="AB64" s="61" t="s">
        <v>23</v>
      </c>
      <c r="AC64" s="61" t="s">
        <v>23</v>
      </c>
      <c r="AD64" s="62" t="s">
        <v>23</v>
      </c>
      <c r="AE64" s="62" t="s">
        <v>23</v>
      </c>
      <c r="AF64" s="42">
        <v>0</v>
      </c>
      <c r="AG64" s="42"/>
      <c r="AH64" s="42"/>
      <c r="AI64" s="42"/>
      <c r="AJ64" s="13" t="s">
        <v>31</v>
      </c>
    </row>
    <row r="65" spans="1:36" x14ac:dyDescent="0.3">
      <c r="A65" s="49">
        <v>44426</v>
      </c>
      <c r="B65" s="67">
        <v>1600</v>
      </c>
      <c r="C65" s="59" cm="1">
        <f t="array" ref="C65">(SUM(VLOOKUP(H65:AE65,$AL$4:$AN$44,2,FALSE))+AF65*10)*IF(AJ65="是",$AW$4,$AW$3)</f>
        <v>1536</v>
      </c>
      <c r="D65" s="67">
        <f>SUM($B$4:B65)-SUM($C$4:C65)</f>
        <v>116</v>
      </c>
      <c r="E65" s="59" cm="1">
        <f t="array" ref="E65">SUM(VLOOKUP(H65:AE65,$AL$4:$AN$44,3,FALSE))</f>
        <v>555</v>
      </c>
      <c r="F65" s="59">
        <f>SUM($E$4:E65)+SUM($G$4:G65)</f>
        <v>41110</v>
      </c>
      <c r="G65" s="67">
        <v>200</v>
      </c>
      <c r="H65" s="68" t="s">
        <v>18</v>
      </c>
      <c r="I65" s="68" t="s">
        <v>18</v>
      </c>
      <c r="J65" s="66" t="s">
        <v>12</v>
      </c>
      <c r="K65" s="68" t="s">
        <v>18</v>
      </c>
      <c r="L65" s="68" t="s">
        <v>18</v>
      </c>
      <c r="M65" s="68" t="s">
        <v>18</v>
      </c>
      <c r="N65" s="62" t="s">
        <v>23</v>
      </c>
      <c r="O65" s="62" t="s">
        <v>23</v>
      </c>
      <c r="P65" s="75" t="s">
        <v>21</v>
      </c>
      <c r="Q65" s="77" t="s">
        <v>21</v>
      </c>
      <c r="R65" s="77" t="s">
        <v>21</v>
      </c>
      <c r="S65" s="75" t="s">
        <v>21</v>
      </c>
      <c r="T65" s="75" t="s">
        <v>21</v>
      </c>
      <c r="U65" s="61" t="s">
        <v>23</v>
      </c>
      <c r="V65" s="62" t="s">
        <v>23</v>
      </c>
      <c r="W65" s="62" t="s">
        <v>23</v>
      </c>
      <c r="X65" s="63" t="s">
        <v>23</v>
      </c>
      <c r="Y65" s="61" t="s">
        <v>23</v>
      </c>
      <c r="Z65" s="61" t="s">
        <v>23</v>
      </c>
      <c r="AA65" s="61" t="s">
        <v>23</v>
      </c>
      <c r="AB65" s="61" t="s">
        <v>23</v>
      </c>
      <c r="AC65" s="61" t="s">
        <v>23</v>
      </c>
      <c r="AD65" s="62" t="s">
        <v>23</v>
      </c>
      <c r="AE65" s="62" t="s">
        <v>23</v>
      </c>
      <c r="AF65" s="42">
        <v>2</v>
      </c>
      <c r="AG65" s="42"/>
      <c r="AH65" s="42">
        <v>2</v>
      </c>
      <c r="AI65" s="42"/>
      <c r="AJ65" s="13" t="s">
        <v>31</v>
      </c>
    </row>
    <row r="66" spans="1:36" x14ac:dyDescent="0.3">
      <c r="A66" s="49">
        <v>44427</v>
      </c>
      <c r="B66" s="67">
        <v>1600</v>
      </c>
      <c r="C66" s="59" cm="1">
        <f t="array" ref="C66">(SUM(VLOOKUP(H66:AE66,$AL$4:$AN$44,2,FALSE))+AF66*10)*IF(AJ66="是",$AW$4,$AW$3)</f>
        <v>1576</v>
      </c>
      <c r="D66" s="67">
        <f>SUM($B$4:B66)-SUM($C$4:C66)</f>
        <v>140</v>
      </c>
      <c r="E66" s="59" cm="1">
        <f t="array" ref="E66">SUM(VLOOKUP(H66:AE66,$AL$4:$AN$44,3,FALSE))</f>
        <v>570</v>
      </c>
      <c r="F66" s="59">
        <f>SUM($E$4:E66)+SUM($G$4:G66)</f>
        <v>41680</v>
      </c>
      <c r="G66" s="67">
        <v>0</v>
      </c>
      <c r="H66" s="68" t="s">
        <v>18</v>
      </c>
      <c r="I66" s="68" t="s">
        <v>18</v>
      </c>
      <c r="J66" s="68" t="s">
        <v>18</v>
      </c>
      <c r="K66" s="68" t="s">
        <v>18</v>
      </c>
      <c r="L66" s="68" t="s">
        <v>18</v>
      </c>
      <c r="M66" s="68" t="s">
        <v>18</v>
      </c>
      <c r="N66" s="62" t="s">
        <v>23</v>
      </c>
      <c r="O66" s="62" t="s">
        <v>23</v>
      </c>
      <c r="P66" s="75" t="s">
        <v>10</v>
      </c>
      <c r="Q66" s="75" t="s">
        <v>21</v>
      </c>
      <c r="R66" s="75" t="s">
        <v>21</v>
      </c>
      <c r="S66" s="75" t="s">
        <v>21</v>
      </c>
      <c r="T66" s="75" t="s">
        <v>21</v>
      </c>
      <c r="U66" s="61" t="s">
        <v>23</v>
      </c>
      <c r="V66" s="62" t="s">
        <v>23</v>
      </c>
      <c r="W66" s="62" t="s">
        <v>23</v>
      </c>
      <c r="X66" s="61" t="s">
        <v>23</v>
      </c>
      <c r="Y66" s="61" t="s">
        <v>23</v>
      </c>
      <c r="Z66" s="61" t="s">
        <v>23</v>
      </c>
      <c r="AA66" s="61" t="s">
        <v>23</v>
      </c>
      <c r="AB66" s="61" t="s">
        <v>23</v>
      </c>
      <c r="AC66" s="61" t="s">
        <v>23</v>
      </c>
      <c r="AD66" s="62" t="s">
        <v>23</v>
      </c>
      <c r="AE66" s="62" t="s">
        <v>23</v>
      </c>
      <c r="AF66" s="42">
        <v>0</v>
      </c>
      <c r="AG66" s="42"/>
      <c r="AH66" s="42"/>
      <c r="AI66" s="42"/>
      <c r="AJ66" s="13" t="s">
        <v>31</v>
      </c>
    </row>
    <row r="67" spans="1:36" x14ac:dyDescent="0.3">
      <c r="A67" s="49">
        <v>44428</v>
      </c>
      <c r="B67" s="67">
        <v>1600</v>
      </c>
      <c r="C67" s="59" cm="1">
        <f t="array" ref="C67">(SUM(VLOOKUP(H67:AE67,$AL$4:$AN$44,2,FALSE))+AF67*10)*IF(AJ67="是",$AW$4,$AW$3)</f>
        <v>1720</v>
      </c>
      <c r="D67" s="67">
        <f>SUM($B$4:B67)-SUM($C$4:C67)</f>
        <v>20</v>
      </c>
      <c r="E67" s="59" cm="1">
        <f t="array" ref="E67">SUM(VLOOKUP(H67:AE67,$AL$4:$AN$44,3,FALSE))</f>
        <v>605</v>
      </c>
      <c r="F67" s="59">
        <f>SUM($E$4:E67)+SUM($G$4:G67)</f>
        <v>42285</v>
      </c>
      <c r="G67" s="67">
        <v>0</v>
      </c>
      <c r="H67" s="68" t="s">
        <v>18</v>
      </c>
      <c r="I67" s="68" t="s">
        <v>18</v>
      </c>
      <c r="J67" s="68" t="s">
        <v>18</v>
      </c>
      <c r="K67" s="68" t="s">
        <v>18</v>
      </c>
      <c r="L67" s="68" t="s">
        <v>18</v>
      </c>
      <c r="M67" s="68" t="s">
        <v>18</v>
      </c>
      <c r="N67" s="62" t="s">
        <v>23</v>
      </c>
      <c r="O67" s="62" t="s">
        <v>23</v>
      </c>
      <c r="P67" s="75" t="s">
        <v>21</v>
      </c>
      <c r="Q67" s="72" t="s">
        <v>9</v>
      </c>
      <c r="R67" s="75" t="s">
        <v>21</v>
      </c>
      <c r="S67" s="75" t="s">
        <v>21</v>
      </c>
      <c r="T67" s="75" t="s">
        <v>21</v>
      </c>
      <c r="U67" s="61" t="s">
        <v>23</v>
      </c>
      <c r="V67" s="62" t="s">
        <v>23</v>
      </c>
      <c r="W67" s="62" t="s">
        <v>23</v>
      </c>
      <c r="X67" s="64" t="s">
        <v>17</v>
      </c>
      <c r="Y67" s="61" t="s">
        <v>23</v>
      </c>
      <c r="Z67" s="61" t="s">
        <v>23</v>
      </c>
      <c r="AA67" s="61" t="s">
        <v>23</v>
      </c>
      <c r="AB67" s="61" t="s">
        <v>23</v>
      </c>
      <c r="AC67" s="61" t="s">
        <v>23</v>
      </c>
      <c r="AD67" s="62" t="s">
        <v>23</v>
      </c>
      <c r="AE67" s="62" t="s">
        <v>23</v>
      </c>
      <c r="AF67" s="42">
        <v>2</v>
      </c>
      <c r="AG67" s="42"/>
      <c r="AH67" s="42"/>
      <c r="AI67" s="42">
        <v>2</v>
      </c>
      <c r="AJ67" s="13" t="s">
        <v>31</v>
      </c>
    </row>
    <row r="68" spans="1:36" x14ac:dyDescent="0.3">
      <c r="A68" s="49">
        <v>44429</v>
      </c>
      <c r="B68" s="67">
        <v>1600</v>
      </c>
      <c r="C68" s="59" cm="1">
        <f t="array" ref="C68">(SUM(VLOOKUP(H68:AE68,$AL$4:$AN$44,2,FALSE))+AF68*10)*IF(AJ68="是",$AW$4,$AW$3)</f>
        <v>1608</v>
      </c>
      <c r="D68" s="67">
        <f>SUM($B$4:B68)-SUM($C$4:C68)</f>
        <v>12</v>
      </c>
      <c r="E68" s="59" cm="1">
        <f t="array" ref="E68">SUM(VLOOKUP(H68:AE68,$AL$4:$AN$44,3,FALSE))</f>
        <v>570</v>
      </c>
      <c r="F68" s="59">
        <f>SUM($E$4:E68)+SUM($G$4:G68)</f>
        <v>42855</v>
      </c>
      <c r="G68" s="67">
        <v>0</v>
      </c>
      <c r="H68" s="68" t="s">
        <v>18</v>
      </c>
      <c r="I68" s="68" t="s">
        <v>18</v>
      </c>
      <c r="J68" s="68" t="s">
        <v>18</v>
      </c>
      <c r="K68" s="68" t="s">
        <v>18</v>
      </c>
      <c r="L68" s="66" t="s">
        <v>12</v>
      </c>
      <c r="M68" s="63" t="s">
        <v>23</v>
      </c>
      <c r="N68" s="62" t="s">
        <v>23</v>
      </c>
      <c r="O68" s="62" t="s">
        <v>23</v>
      </c>
      <c r="P68" s="75" t="s">
        <v>21</v>
      </c>
      <c r="Q68" s="72" t="s">
        <v>20</v>
      </c>
      <c r="R68" s="72" t="s">
        <v>20</v>
      </c>
      <c r="S68" s="72" t="s">
        <v>20</v>
      </c>
      <c r="T68" s="72" t="s">
        <v>20</v>
      </c>
      <c r="U68" s="61" t="s">
        <v>23</v>
      </c>
      <c r="V68" s="62" t="s">
        <v>23</v>
      </c>
      <c r="W68" s="62" t="s">
        <v>23</v>
      </c>
      <c r="X68" s="64" t="s">
        <v>17</v>
      </c>
      <c r="Y68" s="64" t="s">
        <v>17</v>
      </c>
      <c r="Z68" s="61" t="s">
        <v>23</v>
      </c>
      <c r="AA68" s="61" t="s">
        <v>23</v>
      </c>
      <c r="AB68" s="61" t="s">
        <v>23</v>
      </c>
      <c r="AC68" s="61" t="s">
        <v>23</v>
      </c>
      <c r="AD68" s="62" t="s">
        <v>23</v>
      </c>
      <c r="AE68" s="62" t="s">
        <v>23</v>
      </c>
      <c r="AF68" s="42">
        <v>0</v>
      </c>
      <c r="AG68" s="42"/>
      <c r="AH68" s="42"/>
      <c r="AI68" s="42"/>
      <c r="AJ68" s="13" t="s">
        <v>31</v>
      </c>
    </row>
    <row r="69" spans="1:36" x14ac:dyDescent="0.3">
      <c r="A69" s="49">
        <v>44430</v>
      </c>
      <c r="B69" s="67">
        <v>1600</v>
      </c>
      <c r="C69" s="59" cm="1">
        <f t="array" ref="C69">(SUM(VLOOKUP(H69:AE69,$AL$4:$AN$44,2,FALSE))+AF69*10)*IF(AJ69="是",$AW$4,$AW$3)</f>
        <v>1560</v>
      </c>
      <c r="D69" s="67">
        <f>SUM($B$4:B69)-SUM($C$4:C69)</f>
        <v>52</v>
      </c>
      <c r="E69" s="59" cm="1">
        <f t="array" ref="E69">SUM(VLOOKUP(H69:AE69,$AL$4:$AN$44,3,FALSE))</f>
        <v>600</v>
      </c>
      <c r="F69" s="59">
        <f>SUM($E$4:E69)+SUM($G$4:G69)</f>
        <v>43455</v>
      </c>
      <c r="G69" s="67">
        <v>0</v>
      </c>
      <c r="H69" s="68" t="s">
        <v>18</v>
      </c>
      <c r="I69" s="68" t="s">
        <v>18</v>
      </c>
      <c r="J69" s="68" t="s">
        <v>18</v>
      </c>
      <c r="K69" s="68" t="s">
        <v>18</v>
      </c>
      <c r="L69" s="68" t="s">
        <v>18</v>
      </c>
      <c r="M69" s="68" t="s">
        <v>18</v>
      </c>
      <c r="N69" s="62" t="s">
        <v>23</v>
      </c>
      <c r="O69" s="62" t="s">
        <v>23</v>
      </c>
      <c r="P69" s="72" t="s">
        <v>20</v>
      </c>
      <c r="Q69" s="65" t="s">
        <v>49</v>
      </c>
      <c r="R69" s="72" t="s">
        <v>20</v>
      </c>
      <c r="S69" s="72" t="s">
        <v>20</v>
      </c>
      <c r="T69" s="72" t="s">
        <v>20</v>
      </c>
      <c r="U69" s="61" t="s">
        <v>23</v>
      </c>
      <c r="V69" s="62" t="s">
        <v>23</v>
      </c>
      <c r="W69" s="62" t="s">
        <v>23</v>
      </c>
      <c r="X69" s="66" t="s">
        <v>12</v>
      </c>
      <c r="Y69" s="64" t="s">
        <v>17</v>
      </c>
      <c r="Z69" s="64" t="s">
        <v>17</v>
      </c>
      <c r="AA69" s="61" t="s">
        <v>23</v>
      </c>
      <c r="AB69" s="61" t="s">
        <v>23</v>
      </c>
      <c r="AC69" s="61" t="s">
        <v>23</v>
      </c>
      <c r="AD69" s="62" t="s">
        <v>23</v>
      </c>
      <c r="AE69" s="62" t="s">
        <v>23</v>
      </c>
      <c r="AF69" s="42">
        <v>0</v>
      </c>
      <c r="AG69" s="42"/>
      <c r="AH69" s="42"/>
      <c r="AI69" s="42"/>
      <c r="AJ69" s="13" t="s">
        <v>31</v>
      </c>
    </row>
    <row r="70" spans="1:36" x14ac:dyDescent="0.3">
      <c r="A70" s="49">
        <v>44431</v>
      </c>
      <c r="B70" s="59">
        <v>1600</v>
      </c>
      <c r="C70" s="59" cm="1">
        <f t="array" ref="C70">(SUM(VLOOKUP(H70:AE70,$AL$4:$AN$44,2,FALSE))+AF70*10)*IF(AJ70="是",$AW$4,$AW$3)</f>
        <v>1576</v>
      </c>
      <c r="D70" s="59">
        <f>SUM($B$4:B70)-SUM($C$4:C70)</f>
        <v>76</v>
      </c>
      <c r="E70" s="59" cm="1">
        <f t="array" ref="E70">SUM(VLOOKUP(H70:AE70,$AL$4:$AN$44,3,FALSE))</f>
        <v>545</v>
      </c>
      <c r="F70" s="59">
        <f>SUM($E$4:E70)+SUM($G$4:G70)</f>
        <v>44300</v>
      </c>
      <c r="G70" s="59">
        <v>300</v>
      </c>
      <c r="H70" s="68" t="s">
        <v>18</v>
      </c>
      <c r="I70" s="68" t="s">
        <v>18</v>
      </c>
      <c r="J70" s="68" t="s">
        <v>18</v>
      </c>
      <c r="K70" s="68" t="s">
        <v>18</v>
      </c>
      <c r="L70" s="68" t="s">
        <v>18</v>
      </c>
      <c r="M70" s="68" t="s">
        <v>18</v>
      </c>
      <c r="N70" s="62" t="s">
        <v>23</v>
      </c>
      <c r="O70" s="62" t="s">
        <v>23</v>
      </c>
      <c r="P70" s="72" t="s">
        <v>20</v>
      </c>
      <c r="Q70" s="72" t="s">
        <v>20</v>
      </c>
      <c r="R70" s="72" t="s">
        <v>20</v>
      </c>
      <c r="S70" s="72" t="s">
        <v>20</v>
      </c>
      <c r="T70" s="72" t="s">
        <v>20</v>
      </c>
      <c r="U70" s="61" t="s">
        <v>23</v>
      </c>
      <c r="V70" s="62" t="s">
        <v>23</v>
      </c>
      <c r="W70" s="62" t="s">
        <v>23</v>
      </c>
      <c r="X70" s="63" t="s">
        <v>23</v>
      </c>
      <c r="Y70" s="61" t="s">
        <v>23</v>
      </c>
      <c r="Z70" s="61" t="s">
        <v>23</v>
      </c>
      <c r="AA70" s="61" t="s">
        <v>23</v>
      </c>
      <c r="AB70" s="61" t="s">
        <v>23</v>
      </c>
      <c r="AC70" s="61" t="s">
        <v>23</v>
      </c>
      <c r="AD70" s="62" t="s">
        <v>23</v>
      </c>
      <c r="AE70" s="62" t="s">
        <v>23</v>
      </c>
      <c r="AF70" s="42">
        <v>0</v>
      </c>
      <c r="AG70" s="42"/>
      <c r="AH70" s="42"/>
      <c r="AI70" s="42"/>
      <c r="AJ70" s="13" t="s">
        <v>31</v>
      </c>
    </row>
    <row r="71" spans="1:36" x14ac:dyDescent="0.3">
      <c r="A71" s="49">
        <v>44432</v>
      </c>
      <c r="B71" s="59">
        <v>1600</v>
      </c>
      <c r="C71" s="59" cm="1">
        <f t="array" ref="C71">(SUM(VLOOKUP(H71:AE71,$AL$4:$AN$44,2,FALSE))+AF71*10)*IF(AJ71="是",$AW$4,$AW$3)</f>
        <v>1576</v>
      </c>
      <c r="D71" s="59">
        <f>SUM($B$4:B71)-SUM($C$4:C71)</f>
        <v>100</v>
      </c>
      <c r="E71" s="59" cm="1">
        <f t="array" ref="E71">SUM(VLOOKUP(H71:AE71,$AL$4:$AN$44,3,FALSE))</f>
        <v>545</v>
      </c>
      <c r="F71" s="59">
        <f>SUM($E$4:E71)+SUM($G$4:G71)</f>
        <v>44845</v>
      </c>
      <c r="G71" s="59">
        <v>0</v>
      </c>
      <c r="H71" s="68" t="s">
        <v>18</v>
      </c>
      <c r="I71" s="68" t="s">
        <v>18</v>
      </c>
      <c r="J71" s="68" t="s">
        <v>18</v>
      </c>
      <c r="K71" s="68" t="s">
        <v>18</v>
      </c>
      <c r="L71" s="68" t="s">
        <v>18</v>
      </c>
      <c r="M71" s="68" t="s">
        <v>18</v>
      </c>
      <c r="N71" s="62" t="s">
        <v>23</v>
      </c>
      <c r="O71" s="62" t="s">
        <v>23</v>
      </c>
      <c r="P71" s="72" t="s">
        <v>20</v>
      </c>
      <c r="Q71" s="72" t="s">
        <v>20</v>
      </c>
      <c r="R71" s="72" t="s">
        <v>20</v>
      </c>
      <c r="S71" s="72" t="s">
        <v>20</v>
      </c>
      <c r="T71" s="72" t="s">
        <v>20</v>
      </c>
      <c r="U71" s="61" t="s">
        <v>23</v>
      </c>
      <c r="V71" s="62" t="s">
        <v>23</v>
      </c>
      <c r="W71" s="62" t="s">
        <v>23</v>
      </c>
      <c r="X71" s="63" t="s">
        <v>23</v>
      </c>
      <c r="Y71" s="61" t="s">
        <v>23</v>
      </c>
      <c r="Z71" s="61" t="s">
        <v>23</v>
      </c>
      <c r="AA71" s="61" t="s">
        <v>23</v>
      </c>
      <c r="AB71" s="61" t="s">
        <v>23</v>
      </c>
      <c r="AC71" s="61" t="s">
        <v>23</v>
      </c>
      <c r="AD71" s="62" t="s">
        <v>23</v>
      </c>
      <c r="AE71" s="62" t="s">
        <v>23</v>
      </c>
      <c r="AF71" s="42">
        <v>0</v>
      </c>
      <c r="AG71" s="42"/>
      <c r="AH71" s="42"/>
      <c r="AI71" s="42"/>
      <c r="AJ71" s="13" t="s">
        <v>31</v>
      </c>
    </row>
    <row r="72" spans="1:36" x14ac:dyDescent="0.3">
      <c r="A72" s="49">
        <v>44433</v>
      </c>
      <c r="B72" s="59">
        <v>1600</v>
      </c>
      <c r="C72" s="59" cm="1">
        <f t="array" ref="C72">(SUM(VLOOKUP(H72:AE72,$AL$4:$AN$44,2,FALSE))+AF72*10)*IF(AJ72="是",$AW$4,$AW$3)</f>
        <v>1576</v>
      </c>
      <c r="D72" s="59">
        <f>SUM($B$4:B72)-SUM($C$4:C72)</f>
        <v>124</v>
      </c>
      <c r="E72" s="59" cm="1">
        <f t="array" ref="E72">SUM(VLOOKUP(H72:AE72,$AL$4:$AN$44,3,FALSE))</f>
        <v>545</v>
      </c>
      <c r="F72" s="59">
        <f>SUM($E$4:E72)+SUM($G$4:G72)</f>
        <v>45590</v>
      </c>
      <c r="G72" s="59">
        <v>200</v>
      </c>
      <c r="H72" s="68" t="s">
        <v>18</v>
      </c>
      <c r="I72" s="68" t="s">
        <v>18</v>
      </c>
      <c r="J72" s="68" t="s">
        <v>18</v>
      </c>
      <c r="K72" s="68" t="s">
        <v>18</v>
      </c>
      <c r="L72" s="68" t="s">
        <v>18</v>
      </c>
      <c r="M72" s="68" t="s">
        <v>18</v>
      </c>
      <c r="N72" s="62" t="s">
        <v>23</v>
      </c>
      <c r="O72" s="62" t="s">
        <v>23</v>
      </c>
      <c r="P72" s="72" t="s">
        <v>20</v>
      </c>
      <c r="Q72" s="72" t="s">
        <v>20</v>
      </c>
      <c r="R72" s="72" t="s">
        <v>20</v>
      </c>
      <c r="S72" s="72" t="s">
        <v>20</v>
      </c>
      <c r="T72" s="72" t="s">
        <v>20</v>
      </c>
      <c r="U72" s="61" t="s">
        <v>23</v>
      </c>
      <c r="V72" s="62" t="s">
        <v>23</v>
      </c>
      <c r="W72" s="62" t="s">
        <v>23</v>
      </c>
      <c r="X72" s="63" t="s">
        <v>23</v>
      </c>
      <c r="Y72" s="61" t="s">
        <v>23</v>
      </c>
      <c r="Z72" s="61" t="s">
        <v>23</v>
      </c>
      <c r="AA72" s="61" t="s">
        <v>23</v>
      </c>
      <c r="AB72" s="61" t="s">
        <v>23</v>
      </c>
      <c r="AC72" s="61" t="s">
        <v>23</v>
      </c>
      <c r="AD72" s="62" t="s">
        <v>23</v>
      </c>
      <c r="AE72" s="62" t="s">
        <v>23</v>
      </c>
      <c r="AF72" s="42">
        <v>0</v>
      </c>
      <c r="AG72" s="42"/>
      <c r="AH72" s="42"/>
      <c r="AI72" s="42"/>
      <c r="AJ72" s="13" t="s">
        <v>31</v>
      </c>
    </row>
    <row r="73" spans="1:36" x14ac:dyDescent="0.3">
      <c r="A73" s="49">
        <v>44434</v>
      </c>
      <c r="B73" s="59">
        <v>1600</v>
      </c>
      <c r="C73" s="59" cm="1">
        <f t="array" ref="C73">(SUM(VLOOKUP(H73:AE73,$AL$4:$AN$44,2,FALSE))+AF73*10)*IF(AJ73="是",$AW$4,$AW$3)</f>
        <v>1624</v>
      </c>
      <c r="D73" s="59">
        <f>SUM($B$4:B73)-SUM($C$4:C73)</f>
        <v>100</v>
      </c>
      <c r="E73" s="59" cm="1">
        <f t="array" ref="E73">SUM(VLOOKUP(H73:AE73,$AL$4:$AN$44,3,FALSE))</f>
        <v>990</v>
      </c>
      <c r="F73" s="59">
        <f>SUM($E$4:E73)+SUM($G$4:G73)</f>
        <v>46580</v>
      </c>
      <c r="G73" s="59">
        <v>0</v>
      </c>
      <c r="H73" s="68" t="s">
        <v>18</v>
      </c>
      <c r="I73" s="68" t="s">
        <v>18</v>
      </c>
      <c r="J73" s="68" t="s">
        <v>18</v>
      </c>
      <c r="K73" s="68" t="s">
        <v>18</v>
      </c>
      <c r="L73" s="68" t="s">
        <v>18</v>
      </c>
      <c r="M73" s="68" t="s">
        <v>18</v>
      </c>
      <c r="N73" s="62" t="s">
        <v>23</v>
      </c>
      <c r="O73" s="62" t="s">
        <v>23</v>
      </c>
      <c r="P73" s="78" t="s">
        <v>43</v>
      </c>
      <c r="Q73" s="72" t="s">
        <v>20</v>
      </c>
      <c r="R73" s="72" t="s">
        <v>20</v>
      </c>
      <c r="S73" s="72" t="s">
        <v>20</v>
      </c>
      <c r="T73" s="72" t="s">
        <v>20</v>
      </c>
      <c r="U73" s="61" t="s">
        <v>23</v>
      </c>
      <c r="V73" s="62" t="s">
        <v>23</v>
      </c>
      <c r="W73" s="62" t="s">
        <v>23</v>
      </c>
      <c r="X73" s="63" t="s">
        <v>23</v>
      </c>
      <c r="Y73" s="61" t="s">
        <v>23</v>
      </c>
      <c r="Z73" s="61" t="s">
        <v>23</v>
      </c>
      <c r="AA73" s="61" t="s">
        <v>23</v>
      </c>
      <c r="AB73" s="61" t="s">
        <v>23</v>
      </c>
      <c r="AC73" s="61" t="s">
        <v>23</v>
      </c>
      <c r="AD73" s="62" t="s">
        <v>23</v>
      </c>
      <c r="AE73" s="62" t="s">
        <v>23</v>
      </c>
      <c r="AF73" s="42">
        <v>0</v>
      </c>
      <c r="AG73" s="42"/>
      <c r="AH73" s="42"/>
      <c r="AI73" s="42"/>
      <c r="AJ73" s="13" t="s">
        <v>31</v>
      </c>
    </row>
    <row r="74" spans="1:36" x14ac:dyDescent="0.3">
      <c r="A74" s="49">
        <v>44435</v>
      </c>
      <c r="B74" s="59">
        <v>1600</v>
      </c>
      <c r="C74" s="59" cm="1">
        <f t="array" ref="C74">(SUM(VLOOKUP(H74:AE74,$AL$4:$AN$44,2,FALSE))+AF74*10)*IF(AJ74="是",$AW$4,$AW$3)</f>
        <v>1576</v>
      </c>
      <c r="D74" s="23">
        <v>136</v>
      </c>
      <c r="E74" s="59" cm="1">
        <f t="array" ref="E74">SUM(VLOOKUP(H74:AE74,$AL$4:$AN$44,3,FALSE))</f>
        <v>545</v>
      </c>
      <c r="F74" s="23">
        <v>47215</v>
      </c>
      <c r="G74" s="59">
        <v>0</v>
      </c>
      <c r="H74" s="68" t="s">
        <v>18</v>
      </c>
      <c r="I74" s="68" t="s">
        <v>18</v>
      </c>
      <c r="J74" s="68" t="s">
        <v>18</v>
      </c>
      <c r="K74" s="68" t="s">
        <v>18</v>
      </c>
      <c r="L74" s="68" t="s">
        <v>18</v>
      </c>
      <c r="M74" s="68" t="s">
        <v>18</v>
      </c>
      <c r="N74" s="62" t="s">
        <v>23</v>
      </c>
      <c r="O74" s="62" t="s">
        <v>23</v>
      </c>
      <c r="P74" s="72" t="s">
        <v>20</v>
      </c>
      <c r="Q74" s="72" t="s">
        <v>20</v>
      </c>
      <c r="R74" s="72" t="s">
        <v>20</v>
      </c>
      <c r="S74" s="72" t="s">
        <v>20</v>
      </c>
      <c r="T74" s="72" t="s">
        <v>20</v>
      </c>
      <c r="U74" s="61" t="s">
        <v>23</v>
      </c>
      <c r="V74" s="62" t="s">
        <v>23</v>
      </c>
      <c r="W74" s="62" t="s">
        <v>23</v>
      </c>
      <c r="X74" s="63" t="s">
        <v>23</v>
      </c>
      <c r="Y74" s="61" t="s">
        <v>23</v>
      </c>
      <c r="Z74" s="61" t="s">
        <v>23</v>
      </c>
      <c r="AA74" s="61" t="s">
        <v>23</v>
      </c>
      <c r="AB74" s="61" t="s">
        <v>23</v>
      </c>
      <c r="AC74" s="61" t="s">
        <v>23</v>
      </c>
      <c r="AD74" s="62" t="s">
        <v>23</v>
      </c>
      <c r="AE74" s="62" t="s">
        <v>23</v>
      </c>
      <c r="AF74" s="42">
        <v>0</v>
      </c>
      <c r="AG74" s="42"/>
      <c r="AH74" s="42"/>
      <c r="AI74" s="42"/>
      <c r="AJ74" s="13" t="s">
        <v>31</v>
      </c>
    </row>
    <row r="75" spans="1:36" x14ac:dyDescent="0.3">
      <c r="A75" s="3">
        <v>44436</v>
      </c>
      <c r="B75" s="4">
        <v>1600</v>
      </c>
      <c r="C75" s="4" cm="1">
        <f t="array" ref="C75">(SUM(VLOOKUP(H75:AE75,$AL$4:$AN$44,2,FALSE))+AF75*10)*IF(AJ75="是",$AW$4,$AW$3)</f>
        <v>0</v>
      </c>
      <c r="D75" s="23">
        <f>SUM($B$75:B75)-SUM($C$75:C75)+$D$74</f>
        <v>1736</v>
      </c>
      <c r="E75" s="4" cm="1">
        <f t="array" ref="E75">SUM(VLOOKUP(H75:AE75,$AL$4:$AN$44,3,FALSE))</f>
        <v>0</v>
      </c>
      <c r="F75" s="4">
        <f>SUM($E$75:E75)+SUM($G$75:G75)+$F$74</f>
        <v>47215</v>
      </c>
      <c r="G75" s="4">
        <v>0</v>
      </c>
      <c r="H75" s="7" t="s">
        <v>23</v>
      </c>
      <c r="I75" s="7" t="s">
        <v>23</v>
      </c>
      <c r="J75" s="7" t="s">
        <v>23</v>
      </c>
      <c r="K75" s="7" t="s">
        <v>23</v>
      </c>
      <c r="L75" s="7" t="s">
        <v>23</v>
      </c>
      <c r="M75" s="7" t="s">
        <v>23</v>
      </c>
      <c r="N75" s="11" t="s">
        <v>23</v>
      </c>
      <c r="O75" s="11" t="s">
        <v>23</v>
      </c>
      <c r="P75" s="7" t="s">
        <v>23</v>
      </c>
      <c r="Q75" s="7" t="s">
        <v>23</v>
      </c>
      <c r="R75" s="7" t="s">
        <v>23</v>
      </c>
      <c r="S75" s="7" t="s">
        <v>23</v>
      </c>
      <c r="T75" s="7" t="s">
        <v>23</v>
      </c>
      <c r="U75" s="7" t="s">
        <v>23</v>
      </c>
      <c r="V75" s="11" t="s">
        <v>23</v>
      </c>
      <c r="W75" s="11" t="s">
        <v>23</v>
      </c>
      <c r="X75" s="7" t="s">
        <v>23</v>
      </c>
      <c r="Y75" s="7" t="s">
        <v>23</v>
      </c>
      <c r="Z75" s="7" t="s">
        <v>23</v>
      </c>
      <c r="AA75" s="7" t="s">
        <v>23</v>
      </c>
      <c r="AB75" s="7" t="s">
        <v>23</v>
      </c>
      <c r="AC75" s="7" t="s">
        <v>23</v>
      </c>
      <c r="AD75" s="11" t="s">
        <v>23</v>
      </c>
      <c r="AE75" s="11" t="s">
        <v>23</v>
      </c>
      <c r="AF75" s="42">
        <v>0</v>
      </c>
      <c r="AG75" s="42"/>
      <c r="AH75" s="42"/>
      <c r="AI75" s="42"/>
      <c r="AJ75" s="13" t="s">
        <v>31</v>
      </c>
    </row>
    <row r="76" spans="1:36" x14ac:dyDescent="0.3">
      <c r="A76" s="3">
        <v>44437</v>
      </c>
      <c r="B76" s="4">
        <v>1600</v>
      </c>
      <c r="C76" s="4" cm="1">
        <f t="array" ref="C76">(SUM(VLOOKUP(H76:AE76,$AL$4:$AN$44,2,FALSE))+AF76*10)*IF(AJ76="是",$AW$4,$AW$3)</f>
        <v>0</v>
      </c>
      <c r="D76" s="23">
        <f>SUM($B$75:B76)-SUM($C$75:C76)+$D$74</f>
        <v>3336</v>
      </c>
      <c r="E76" s="4" cm="1">
        <f t="array" ref="E76">SUM(VLOOKUP(H76:AE76,$AL$4:$AN$44,3,FALSE))</f>
        <v>0</v>
      </c>
      <c r="F76" s="4">
        <f>SUM($E$75:E76)+SUM($G$75:G76)+$F$74</f>
        <v>47215</v>
      </c>
      <c r="G76" s="4">
        <v>0</v>
      </c>
      <c r="H76" s="7" t="s">
        <v>23</v>
      </c>
      <c r="I76" s="7" t="s">
        <v>23</v>
      </c>
      <c r="J76" s="7" t="s">
        <v>23</v>
      </c>
      <c r="K76" s="7" t="s">
        <v>23</v>
      </c>
      <c r="L76" s="7" t="s">
        <v>23</v>
      </c>
      <c r="M76" s="7" t="s">
        <v>23</v>
      </c>
      <c r="N76" s="11" t="s">
        <v>23</v>
      </c>
      <c r="O76" s="11" t="s">
        <v>23</v>
      </c>
      <c r="P76" s="7" t="s">
        <v>23</v>
      </c>
      <c r="Q76" s="7" t="s">
        <v>23</v>
      </c>
      <c r="R76" s="7" t="s">
        <v>23</v>
      </c>
      <c r="S76" s="7" t="s">
        <v>23</v>
      </c>
      <c r="T76" s="7" t="s">
        <v>23</v>
      </c>
      <c r="U76" s="7" t="s">
        <v>23</v>
      </c>
      <c r="V76" s="11" t="s">
        <v>23</v>
      </c>
      <c r="W76" s="11" t="s">
        <v>23</v>
      </c>
      <c r="X76" s="7" t="s">
        <v>23</v>
      </c>
      <c r="Y76" s="7" t="s">
        <v>23</v>
      </c>
      <c r="Z76" s="7" t="s">
        <v>23</v>
      </c>
      <c r="AA76" s="7" t="s">
        <v>23</v>
      </c>
      <c r="AB76" s="7" t="s">
        <v>23</v>
      </c>
      <c r="AC76" s="7" t="s">
        <v>23</v>
      </c>
      <c r="AD76" s="11" t="s">
        <v>23</v>
      </c>
      <c r="AE76" s="11" t="s">
        <v>23</v>
      </c>
      <c r="AF76" s="42">
        <v>0</v>
      </c>
      <c r="AG76" s="42"/>
      <c r="AH76" s="42"/>
      <c r="AI76" s="42"/>
      <c r="AJ76" s="13" t="s">
        <v>31</v>
      </c>
    </row>
    <row r="77" spans="1:36" x14ac:dyDescent="0.3">
      <c r="A77" s="1">
        <v>44438</v>
      </c>
      <c r="B77">
        <v>1600</v>
      </c>
      <c r="C77" s="4" cm="1">
        <f t="array" ref="C77">(SUM(VLOOKUP(H77:AE77,$AL$4:$AN$44,2,FALSE))+AF77*10)*IF(AJ77="是",$AW$4,$AW$3)</f>
        <v>0</v>
      </c>
      <c r="D77" s="23">
        <f>SUM($B$75:B77)-SUM($C$75:C77)+$D$74</f>
        <v>4936</v>
      </c>
      <c r="E77" s="4" cm="1">
        <f t="array" ref="E77">SUM(VLOOKUP(H77:AE77,$AL$4:$AN$44,3,FALSE))</f>
        <v>0</v>
      </c>
      <c r="F77" s="4">
        <f>SUM($E$75:E77)+SUM($G$75:G77)+$F$74</f>
        <v>47415</v>
      </c>
      <c r="G77">
        <v>200</v>
      </c>
      <c r="H77" s="7" t="s">
        <v>23</v>
      </c>
      <c r="I77" s="7" t="s">
        <v>23</v>
      </c>
      <c r="J77" s="7" t="s">
        <v>23</v>
      </c>
      <c r="K77" s="7" t="s">
        <v>23</v>
      </c>
      <c r="L77" s="7" t="s">
        <v>23</v>
      </c>
      <c r="M77" s="7" t="s">
        <v>23</v>
      </c>
      <c r="N77" s="11" t="s">
        <v>23</v>
      </c>
      <c r="O77" s="11" t="s">
        <v>23</v>
      </c>
      <c r="P77" s="7" t="s">
        <v>23</v>
      </c>
      <c r="Q77" s="7" t="s">
        <v>23</v>
      </c>
      <c r="R77" s="7" t="s">
        <v>23</v>
      </c>
      <c r="S77" s="7" t="s">
        <v>23</v>
      </c>
      <c r="T77" s="7" t="s">
        <v>23</v>
      </c>
      <c r="U77" s="7" t="s">
        <v>23</v>
      </c>
      <c r="V77" s="11" t="s">
        <v>23</v>
      </c>
      <c r="W77" s="11" t="s">
        <v>23</v>
      </c>
      <c r="X77" s="7" t="s">
        <v>23</v>
      </c>
      <c r="Y77" s="7" t="s">
        <v>23</v>
      </c>
      <c r="Z77" s="7" t="s">
        <v>23</v>
      </c>
      <c r="AA77" s="7" t="s">
        <v>23</v>
      </c>
      <c r="AB77" s="7" t="s">
        <v>23</v>
      </c>
      <c r="AC77" s="7" t="s">
        <v>23</v>
      </c>
      <c r="AD77" s="11" t="s">
        <v>23</v>
      </c>
      <c r="AE77" s="11" t="s">
        <v>23</v>
      </c>
      <c r="AF77" s="42">
        <v>0</v>
      </c>
      <c r="AG77" s="42"/>
      <c r="AH77" s="42"/>
      <c r="AI77" s="42"/>
      <c r="AJ77" s="13" t="s">
        <v>31</v>
      </c>
    </row>
    <row r="78" spans="1:36" x14ac:dyDescent="0.3">
      <c r="A78" s="1">
        <v>44439</v>
      </c>
      <c r="B78">
        <v>1600</v>
      </c>
      <c r="C78" s="4" cm="1">
        <f t="array" ref="C78">(SUM(VLOOKUP(H78:AE78,$AL$4:$AN$44,2,FALSE))+AF78*10)*IF(AJ78="是",$AW$4,$AW$3)</f>
        <v>0</v>
      </c>
      <c r="D78" s="23">
        <f>SUM($B$75:B78)-SUM($C$75:C78)+$D$74</f>
        <v>6536</v>
      </c>
      <c r="E78" s="4" cm="1">
        <f t="array" ref="E78">SUM(VLOOKUP(H78:AE78,$AL$4:$AN$44,3,FALSE))</f>
        <v>0</v>
      </c>
      <c r="F78" s="4">
        <f>SUM($E$75:E78)+SUM($G$75:G78)+$F$74</f>
        <v>47515</v>
      </c>
      <c r="G78">
        <v>100</v>
      </c>
      <c r="H78" s="7" t="s">
        <v>23</v>
      </c>
      <c r="I78" s="7" t="s">
        <v>23</v>
      </c>
      <c r="J78" s="7" t="s">
        <v>23</v>
      </c>
      <c r="K78" s="7" t="s">
        <v>23</v>
      </c>
      <c r="L78" s="7" t="s">
        <v>23</v>
      </c>
      <c r="M78" s="7" t="s">
        <v>23</v>
      </c>
      <c r="N78" s="11" t="s">
        <v>23</v>
      </c>
      <c r="O78" s="11" t="s">
        <v>23</v>
      </c>
      <c r="P78" s="7" t="s">
        <v>23</v>
      </c>
      <c r="Q78" s="7" t="s">
        <v>23</v>
      </c>
      <c r="R78" s="7" t="s">
        <v>23</v>
      </c>
      <c r="S78" s="7" t="s">
        <v>23</v>
      </c>
      <c r="T78" s="7" t="s">
        <v>23</v>
      </c>
      <c r="U78" s="7" t="s">
        <v>23</v>
      </c>
      <c r="V78" s="11" t="s">
        <v>23</v>
      </c>
      <c r="W78" s="11" t="s">
        <v>23</v>
      </c>
      <c r="X78" s="7" t="s">
        <v>23</v>
      </c>
      <c r="Y78" s="7" t="s">
        <v>23</v>
      </c>
      <c r="Z78" s="7" t="s">
        <v>23</v>
      </c>
      <c r="AA78" s="7" t="s">
        <v>23</v>
      </c>
      <c r="AB78" s="7" t="s">
        <v>23</v>
      </c>
      <c r="AC78" s="7" t="s">
        <v>23</v>
      </c>
      <c r="AD78" s="11" t="s">
        <v>23</v>
      </c>
      <c r="AE78" s="11" t="s">
        <v>23</v>
      </c>
      <c r="AF78" s="42">
        <v>0</v>
      </c>
      <c r="AG78" s="42"/>
      <c r="AH78" s="42"/>
      <c r="AI78" s="42"/>
      <c r="AJ78" s="13" t="s">
        <v>31</v>
      </c>
    </row>
    <row r="79" spans="1:36" x14ac:dyDescent="0.3">
      <c r="A79" s="1">
        <v>44440</v>
      </c>
      <c r="B79">
        <v>1600</v>
      </c>
      <c r="C79" s="4" cm="1">
        <f t="array" ref="C79">(SUM(VLOOKUP(H79:AE79,$AL$4:$AN$44,2,FALSE))+AF79*10)*IF(AJ79="是",$AW$4,$AW$3)</f>
        <v>0</v>
      </c>
      <c r="D79" s="23">
        <f>SUM($B$75:B79)-SUM($C$75:C79)+$D$74</f>
        <v>8136</v>
      </c>
      <c r="E79" s="4" cm="1">
        <f t="array" ref="E79">SUM(VLOOKUP(H79:AE79,$AL$4:$AN$44,3,FALSE))</f>
        <v>0</v>
      </c>
      <c r="F79" s="4">
        <f>SUM($E$75:E79)+SUM($G$75:G79)+$F$74</f>
        <v>47715</v>
      </c>
      <c r="G79">
        <v>200</v>
      </c>
      <c r="H79" s="7" t="s">
        <v>23</v>
      </c>
      <c r="I79" s="7" t="s">
        <v>23</v>
      </c>
      <c r="J79" s="7" t="s">
        <v>23</v>
      </c>
      <c r="K79" s="7" t="s">
        <v>23</v>
      </c>
      <c r="L79" s="7" t="s">
        <v>23</v>
      </c>
      <c r="M79" s="7" t="s">
        <v>23</v>
      </c>
      <c r="N79" s="11" t="s">
        <v>23</v>
      </c>
      <c r="O79" s="11" t="s">
        <v>23</v>
      </c>
      <c r="P79" s="7" t="s">
        <v>23</v>
      </c>
      <c r="Q79" s="7" t="s">
        <v>23</v>
      </c>
      <c r="R79" s="7" t="s">
        <v>23</v>
      </c>
      <c r="S79" s="7" t="s">
        <v>23</v>
      </c>
      <c r="T79" s="7" t="s">
        <v>23</v>
      </c>
      <c r="U79" s="7" t="s">
        <v>23</v>
      </c>
      <c r="V79" s="11" t="s">
        <v>23</v>
      </c>
      <c r="W79" s="11" t="s">
        <v>23</v>
      </c>
      <c r="X79" s="7" t="s">
        <v>23</v>
      </c>
      <c r="Y79" s="7" t="s">
        <v>23</v>
      </c>
      <c r="Z79" s="7" t="s">
        <v>23</v>
      </c>
      <c r="AA79" s="7" t="s">
        <v>23</v>
      </c>
      <c r="AB79" s="7" t="s">
        <v>23</v>
      </c>
      <c r="AC79" s="7" t="s">
        <v>23</v>
      </c>
      <c r="AD79" s="11" t="s">
        <v>23</v>
      </c>
      <c r="AE79" s="11" t="s">
        <v>23</v>
      </c>
      <c r="AF79" s="42">
        <v>0</v>
      </c>
      <c r="AG79" s="42"/>
      <c r="AH79" s="42"/>
      <c r="AI79" s="42"/>
      <c r="AJ79" s="13" t="s">
        <v>31</v>
      </c>
    </row>
    <row r="80" spans="1:36" x14ac:dyDescent="0.3">
      <c r="A80" s="1">
        <v>44441</v>
      </c>
      <c r="B80">
        <v>1600</v>
      </c>
      <c r="C80" s="4" cm="1">
        <f t="array" ref="C80">(SUM(VLOOKUP(H80:AE80,$AL$4:$AN$44,2,FALSE))+AF80*10)*IF(AJ80="是",$AW$4,$AW$3)</f>
        <v>0</v>
      </c>
      <c r="D80" s="23">
        <f>SUM($B$75:B80)-SUM($C$75:C80)+$D$74</f>
        <v>9736</v>
      </c>
      <c r="E80" s="4" cm="1">
        <f t="array" ref="E80">SUM(VLOOKUP(H80:AE80,$AL$4:$AN$44,3,FALSE))</f>
        <v>0</v>
      </c>
      <c r="F80" s="4">
        <f>SUM($E$75:E80)+SUM($G$75:G80)+$F$74</f>
        <v>47715</v>
      </c>
      <c r="G80">
        <v>0</v>
      </c>
      <c r="H80" s="7" t="s">
        <v>23</v>
      </c>
      <c r="I80" s="7" t="s">
        <v>23</v>
      </c>
      <c r="J80" s="7" t="s">
        <v>23</v>
      </c>
      <c r="K80" s="7" t="s">
        <v>23</v>
      </c>
      <c r="L80" s="7" t="s">
        <v>23</v>
      </c>
      <c r="M80" s="7" t="s">
        <v>23</v>
      </c>
      <c r="N80" s="11" t="s">
        <v>23</v>
      </c>
      <c r="O80" s="11" t="s">
        <v>23</v>
      </c>
      <c r="P80" s="7" t="s">
        <v>23</v>
      </c>
      <c r="Q80" s="7" t="s">
        <v>23</v>
      </c>
      <c r="R80" s="7" t="s">
        <v>23</v>
      </c>
      <c r="S80" s="7" t="s">
        <v>23</v>
      </c>
      <c r="T80" s="7" t="s">
        <v>23</v>
      </c>
      <c r="U80" s="7" t="s">
        <v>23</v>
      </c>
      <c r="V80" s="11" t="s">
        <v>23</v>
      </c>
      <c r="W80" s="11" t="s">
        <v>23</v>
      </c>
      <c r="X80" s="7" t="s">
        <v>23</v>
      </c>
      <c r="Y80" s="7" t="s">
        <v>23</v>
      </c>
      <c r="Z80" s="7" t="s">
        <v>23</v>
      </c>
      <c r="AA80" s="7" t="s">
        <v>23</v>
      </c>
      <c r="AB80" s="7" t="s">
        <v>23</v>
      </c>
      <c r="AC80" s="7" t="s">
        <v>23</v>
      </c>
      <c r="AD80" s="11" t="s">
        <v>23</v>
      </c>
      <c r="AE80" s="11" t="s">
        <v>23</v>
      </c>
      <c r="AF80" s="42">
        <v>0</v>
      </c>
      <c r="AG80" s="42"/>
      <c r="AH80" s="42"/>
      <c r="AI80" s="42"/>
      <c r="AJ80" s="13" t="s">
        <v>31</v>
      </c>
    </row>
    <row r="81" spans="1:36" x14ac:dyDescent="0.3">
      <c r="A81" s="1">
        <v>44442</v>
      </c>
      <c r="B81">
        <v>1600</v>
      </c>
      <c r="C81" s="4" cm="1">
        <f t="array" ref="C81">(SUM(VLOOKUP(H81:AE81,$AL$4:$AN$44,2,FALSE))+AF81*10)*IF(AJ81="是",$AW$4,$AW$3)</f>
        <v>0</v>
      </c>
      <c r="D81" s="23">
        <f>SUM($B$75:B81)-SUM($C$75:C81)+$D$74</f>
        <v>11336</v>
      </c>
      <c r="E81" s="4" cm="1">
        <f t="array" ref="E81">SUM(VLOOKUP(H81:AE81,$AL$4:$AN$44,3,FALSE))</f>
        <v>0</v>
      </c>
      <c r="F81" s="4">
        <f>SUM($E$75:E81)+SUM($G$75:G81)+$F$74</f>
        <v>47715</v>
      </c>
      <c r="G81">
        <v>0</v>
      </c>
      <c r="H81" s="7" t="s">
        <v>23</v>
      </c>
      <c r="I81" s="7" t="s">
        <v>23</v>
      </c>
      <c r="J81" s="7" t="s">
        <v>23</v>
      </c>
      <c r="K81" s="7" t="s">
        <v>23</v>
      </c>
      <c r="L81" s="7" t="s">
        <v>23</v>
      </c>
      <c r="M81" s="7" t="s">
        <v>23</v>
      </c>
      <c r="N81" s="11" t="s">
        <v>23</v>
      </c>
      <c r="O81" s="11" t="s">
        <v>23</v>
      </c>
      <c r="P81" s="7" t="s">
        <v>23</v>
      </c>
      <c r="Q81" s="7" t="s">
        <v>23</v>
      </c>
      <c r="R81" s="7" t="s">
        <v>23</v>
      </c>
      <c r="S81" s="7" t="s">
        <v>23</v>
      </c>
      <c r="T81" s="7" t="s">
        <v>23</v>
      </c>
      <c r="U81" s="7" t="s">
        <v>23</v>
      </c>
      <c r="V81" s="11" t="s">
        <v>23</v>
      </c>
      <c r="W81" s="11" t="s">
        <v>23</v>
      </c>
      <c r="X81" s="7" t="s">
        <v>23</v>
      </c>
      <c r="Y81" s="7" t="s">
        <v>23</v>
      </c>
      <c r="Z81" s="7" t="s">
        <v>23</v>
      </c>
      <c r="AA81" s="7" t="s">
        <v>23</v>
      </c>
      <c r="AB81" s="7" t="s">
        <v>23</v>
      </c>
      <c r="AC81" s="7" t="s">
        <v>23</v>
      </c>
      <c r="AD81" s="11" t="s">
        <v>23</v>
      </c>
      <c r="AE81" s="11" t="s">
        <v>23</v>
      </c>
      <c r="AF81" s="42">
        <v>0</v>
      </c>
      <c r="AG81" s="42"/>
      <c r="AH81" s="42"/>
      <c r="AI81" s="42"/>
      <c r="AJ81" s="13" t="s">
        <v>31</v>
      </c>
    </row>
    <row r="82" spans="1:36" x14ac:dyDescent="0.3">
      <c r="A82" s="1">
        <v>44443</v>
      </c>
      <c r="B82">
        <v>1600</v>
      </c>
      <c r="C82" s="4" cm="1">
        <f t="array" ref="C82">(SUM(VLOOKUP(H82:AE82,$AL$4:$AN$44,2,FALSE))+AF82*10)*IF(AJ82="是",$AW$4,$AW$3)</f>
        <v>0</v>
      </c>
      <c r="D82" s="23">
        <f>SUM($B$75:B82)-SUM($C$75:C82)+$D$74</f>
        <v>12936</v>
      </c>
      <c r="E82" s="4" cm="1">
        <f t="array" ref="E82">SUM(VLOOKUP(H82:AE82,$AL$4:$AN$44,3,FALSE))</f>
        <v>0</v>
      </c>
      <c r="F82" s="4">
        <f>SUM($E$75:E82)+SUM($G$75:G82)+$F$74</f>
        <v>47715</v>
      </c>
      <c r="G82">
        <v>0</v>
      </c>
      <c r="H82" s="7" t="s">
        <v>23</v>
      </c>
      <c r="I82" s="7" t="s">
        <v>23</v>
      </c>
      <c r="J82" s="7" t="s">
        <v>23</v>
      </c>
      <c r="K82" s="7" t="s">
        <v>23</v>
      </c>
      <c r="L82" s="7" t="s">
        <v>23</v>
      </c>
      <c r="M82" s="7" t="s">
        <v>23</v>
      </c>
      <c r="N82" s="11" t="s">
        <v>23</v>
      </c>
      <c r="O82" s="11" t="s">
        <v>23</v>
      </c>
      <c r="P82" s="7" t="s">
        <v>23</v>
      </c>
      <c r="Q82" s="7" t="s">
        <v>23</v>
      </c>
      <c r="R82" s="7" t="s">
        <v>23</v>
      </c>
      <c r="S82" s="7" t="s">
        <v>23</v>
      </c>
      <c r="T82" s="7" t="s">
        <v>23</v>
      </c>
      <c r="U82" s="7" t="s">
        <v>23</v>
      </c>
      <c r="V82" s="11" t="s">
        <v>23</v>
      </c>
      <c r="W82" s="11" t="s">
        <v>23</v>
      </c>
      <c r="X82" s="7" t="s">
        <v>23</v>
      </c>
      <c r="Y82" s="7" t="s">
        <v>23</v>
      </c>
      <c r="Z82" s="7" t="s">
        <v>23</v>
      </c>
      <c r="AA82" s="7" t="s">
        <v>23</v>
      </c>
      <c r="AB82" s="7" t="s">
        <v>23</v>
      </c>
      <c r="AC82" s="7" t="s">
        <v>23</v>
      </c>
      <c r="AD82" s="11" t="s">
        <v>23</v>
      </c>
      <c r="AE82" s="11" t="s">
        <v>23</v>
      </c>
      <c r="AF82" s="42">
        <v>0</v>
      </c>
      <c r="AG82" s="42"/>
      <c r="AH82" s="42"/>
      <c r="AI82" s="42"/>
      <c r="AJ82" s="13" t="s">
        <v>31</v>
      </c>
    </row>
    <row r="83" spans="1:36" x14ac:dyDescent="0.3">
      <c r="A83" s="1">
        <v>44444</v>
      </c>
      <c r="B83">
        <v>1600</v>
      </c>
      <c r="C83" s="4" cm="1">
        <f t="array" ref="C83">(SUM(VLOOKUP(H83:AE83,$AL$4:$AN$44,2,FALSE))+AF83*10)*IF(AJ83="是",$AW$4,$AW$3)</f>
        <v>0</v>
      </c>
      <c r="D83" s="23">
        <f>SUM($B$75:B83)-SUM($C$75:C83)+$D$74</f>
        <v>14536</v>
      </c>
      <c r="E83" s="4" cm="1">
        <f t="array" ref="E83">SUM(VLOOKUP(H83:AE83,$AL$4:$AN$44,3,FALSE))</f>
        <v>0</v>
      </c>
      <c r="F83" s="4">
        <f>SUM($E$75:E83)+SUM($G$75:G83)+$F$74</f>
        <v>47715</v>
      </c>
      <c r="G83">
        <v>0</v>
      </c>
      <c r="H83" s="7" t="s">
        <v>23</v>
      </c>
      <c r="I83" s="7" t="s">
        <v>23</v>
      </c>
      <c r="J83" s="7" t="s">
        <v>23</v>
      </c>
      <c r="K83" s="7" t="s">
        <v>23</v>
      </c>
      <c r="L83" s="7" t="s">
        <v>23</v>
      </c>
      <c r="M83" s="7" t="s">
        <v>23</v>
      </c>
      <c r="N83" s="11" t="s">
        <v>23</v>
      </c>
      <c r="O83" s="11" t="s">
        <v>23</v>
      </c>
      <c r="P83" s="7" t="s">
        <v>23</v>
      </c>
      <c r="Q83" s="7" t="s">
        <v>23</v>
      </c>
      <c r="R83" s="7" t="s">
        <v>23</v>
      </c>
      <c r="S83" s="7" t="s">
        <v>23</v>
      </c>
      <c r="T83" s="7" t="s">
        <v>23</v>
      </c>
      <c r="U83" s="7" t="s">
        <v>23</v>
      </c>
      <c r="V83" s="11" t="s">
        <v>23</v>
      </c>
      <c r="W83" s="11" t="s">
        <v>23</v>
      </c>
      <c r="X83" s="7" t="s">
        <v>23</v>
      </c>
      <c r="Y83" s="7" t="s">
        <v>23</v>
      </c>
      <c r="Z83" s="7" t="s">
        <v>23</v>
      </c>
      <c r="AA83" s="7" t="s">
        <v>23</v>
      </c>
      <c r="AB83" s="7" t="s">
        <v>23</v>
      </c>
      <c r="AC83" s="7" t="s">
        <v>23</v>
      </c>
      <c r="AD83" s="11" t="s">
        <v>23</v>
      </c>
      <c r="AE83" s="11" t="s">
        <v>23</v>
      </c>
      <c r="AF83" s="42">
        <v>0</v>
      </c>
      <c r="AG83" s="42"/>
      <c r="AH83" s="42"/>
      <c r="AI83" s="42"/>
      <c r="AJ83" s="13" t="s">
        <v>31</v>
      </c>
    </row>
    <row r="84" spans="1:36" x14ac:dyDescent="0.3">
      <c r="A84" s="3">
        <v>44445</v>
      </c>
      <c r="B84" s="4">
        <v>1600</v>
      </c>
      <c r="C84" s="4" cm="1">
        <f t="array" ref="C84">(SUM(VLOOKUP(H84:AE84,$AL$4:$AN$44,2,FALSE))+AF84*10)*IF(AJ84="是",$AW$4,$AW$3)</f>
        <v>0</v>
      </c>
      <c r="D84" s="23">
        <f>SUM($B$75:B84)-SUM($C$75:C84)+$D$74</f>
        <v>16136</v>
      </c>
      <c r="E84" s="4" cm="1">
        <f t="array" ref="E84">SUM(VLOOKUP(H84:AE84,$AL$4:$AN$44,3,FALSE))</f>
        <v>0</v>
      </c>
      <c r="F84" s="4">
        <f>SUM($E$75:E84)+SUM($G$75:G84)+$F$74</f>
        <v>47915</v>
      </c>
      <c r="G84" s="4">
        <v>200</v>
      </c>
      <c r="H84" s="7" t="s">
        <v>23</v>
      </c>
      <c r="I84" s="7" t="s">
        <v>23</v>
      </c>
      <c r="J84" s="7" t="s">
        <v>23</v>
      </c>
      <c r="K84" s="7" t="s">
        <v>23</v>
      </c>
      <c r="L84" s="7" t="s">
        <v>23</v>
      </c>
      <c r="M84" s="7" t="s">
        <v>23</v>
      </c>
      <c r="N84" s="11" t="s">
        <v>23</v>
      </c>
      <c r="O84" s="11" t="s">
        <v>23</v>
      </c>
      <c r="P84" s="7" t="s">
        <v>23</v>
      </c>
      <c r="Q84" s="7" t="s">
        <v>23</v>
      </c>
      <c r="R84" s="7" t="s">
        <v>23</v>
      </c>
      <c r="S84" s="7" t="s">
        <v>23</v>
      </c>
      <c r="T84" s="7" t="s">
        <v>23</v>
      </c>
      <c r="U84" s="7" t="s">
        <v>23</v>
      </c>
      <c r="V84" s="11" t="s">
        <v>23</v>
      </c>
      <c r="W84" s="11" t="s">
        <v>23</v>
      </c>
      <c r="X84" s="7" t="s">
        <v>23</v>
      </c>
      <c r="Y84" s="7" t="s">
        <v>23</v>
      </c>
      <c r="Z84" s="7" t="s">
        <v>23</v>
      </c>
      <c r="AA84" s="7" t="s">
        <v>23</v>
      </c>
      <c r="AB84" s="7" t="s">
        <v>23</v>
      </c>
      <c r="AC84" s="7" t="s">
        <v>23</v>
      </c>
      <c r="AD84" s="11" t="s">
        <v>23</v>
      </c>
      <c r="AE84" s="11" t="s">
        <v>23</v>
      </c>
      <c r="AF84" s="42">
        <v>0</v>
      </c>
      <c r="AG84" s="42"/>
      <c r="AH84" s="42"/>
      <c r="AI84" s="42"/>
      <c r="AJ84" s="13" t="s">
        <v>31</v>
      </c>
    </row>
    <row r="85" spans="1:36" x14ac:dyDescent="0.3">
      <c r="A85" s="3">
        <v>44446</v>
      </c>
      <c r="B85" s="4">
        <v>1600</v>
      </c>
      <c r="C85" s="4" cm="1">
        <f t="array" ref="C85">(SUM(VLOOKUP(H85:AE85,$AL$4:$AN$44,2,FALSE))+AF85*10)*IF(AJ85="是",$AW$4,$AW$3)</f>
        <v>0</v>
      </c>
      <c r="D85" s="23">
        <f>SUM($B$75:B85)-SUM($C$75:C85)+$D$74</f>
        <v>17736</v>
      </c>
      <c r="E85" s="4" cm="1">
        <f t="array" ref="E85">SUM(VLOOKUP(H85:AE85,$AL$4:$AN$44,3,FALSE))</f>
        <v>0</v>
      </c>
      <c r="F85" s="4">
        <f>SUM($E$75:E85)+SUM($G$75:G85)+$F$74</f>
        <v>47915</v>
      </c>
      <c r="G85" s="4">
        <v>0</v>
      </c>
      <c r="H85" s="7" t="s">
        <v>23</v>
      </c>
      <c r="I85" s="7" t="s">
        <v>23</v>
      </c>
      <c r="J85" s="7" t="s">
        <v>23</v>
      </c>
      <c r="K85" s="7" t="s">
        <v>23</v>
      </c>
      <c r="L85" s="7" t="s">
        <v>23</v>
      </c>
      <c r="M85" s="7" t="s">
        <v>23</v>
      </c>
      <c r="N85" s="11" t="s">
        <v>23</v>
      </c>
      <c r="O85" s="11" t="s">
        <v>23</v>
      </c>
      <c r="P85" s="7" t="s">
        <v>23</v>
      </c>
      <c r="Q85" s="7" t="s">
        <v>23</v>
      </c>
      <c r="R85" s="7" t="s">
        <v>23</v>
      </c>
      <c r="S85" s="7" t="s">
        <v>23</v>
      </c>
      <c r="T85" s="7" t="s">
        <v>23</v>
      </c>
      <c r="U85" s="7" t="s">
        <v>23</v>
      </c>
      <c r="V85" s="11" t="s">
        <v>23</v>
      </c>
      <c r="W85" s="11" t="s">
        <v>23</v>
      </c>
      <c r="X85" s="7" t="s">
        <v>23</v>
      </c>
      <c r="Y85" s="7" t="s">
        <v>23</v>
      </c>
      <c r="Z85" s="7" t="s">
        <v>23</v>
      </c>
      <c r="AA85" s="7" t="s">
        <v>23</v>
      </c>
      <c r="AB85" s="7" t="s">
        <v>23</v>
      </c>
      <c r="AC85" s="7" t="s">
        <v>23</v>
      </c>
      <c r="AD85" s="11" t="s">
        <v>23</v>
      </c>
      <c r="AE85" s="11" t="s">
        <v>23</v>
      </c>
      <c r="AF85" s="42">
        <v>0</v>
      </c>
      <c r="AG85" s="42"/>
      <c r="AH85" s="42"/>
      <c r="AI85" s="42"/>
      <c r="AJ85" s="13" t="s">
        <v>31</v>
      </c>
    </row>
    <row r="86" spans="1:36" x14ac:dyDescent="0.3">
      <c r="A86" s="3">
        <v>44447</v>
      </c>
      <c r="B86" s="4">
        <v>1600</v>
      </c>
      <c r="C86" s="4" cm="1">
        <f t="array" ref="C86">(SUM(VLOOKUP(H86:AE86,$AL$4:$AN$44,2,FALSE))+AF86*10)*IF(AJ86="是",$AW$4,$AW$3)</f>
        <v>0</v>
      </c>
      <c r="D86" s="23">
        <f>SUM($B$75:B86)-SUM($C$75:C86)+$D$74</f>
        <v>19336</v>
      </c>
      <c r="E86" s="4" cm="1">
        <f t="array" ref="E86">SUM(VLOOKUP(H86:AE86,$AL$4:$AN$44,3,FALSE))</f>
        <v>0</v>
      </c>
      <c r="F86" s="4">
        <f>SUM($E$75:E86)+SUM($G$75:G86)+$F$74</f>
        <v>48215</v>
      </c>
      <c r="G86" s="4">
        <v>300</v>
      </c>
      <c r="H86" s="7" t="s">
        <v>23</v>
      </c>
      <c r="I86" s="7" t="s">
        <v>23</v>
      </c>
      <c r="J86" s="7" t="s">
        <v>23</v>
      </c>
      <c r="K86" s="7" t="s">
        <v>23</v>
      </c>
      <c r="L86" s="7" t="s">
        <v>23</v>
      </c>
      <c r="M86" s="7" t="s">
        <v>23</v>
      </c>
      <c r="N86" s="11" t="s">
        <v>23</v>
      </c>
      <c r="O86" s="11" t="s">
        <v>23</v>
      </c>
      <c r="P86" s="7" t="s">
        <v>23</v>
      </c>
      <c r="Q86" s="7" t="s">
        <v>23</v>
      </c>
      <c r="R86" s="7" t="s">
        <v>23</v>
      </c>
      <c r="S86" s="7" t="s">
        <v>23</v>
      </c>
      <c r="T86" s="7" t="s">
        <v>23</v>
      </c>
      <c r="U86" s="7" t="s">
        <v>23</v>
      </c>
      <c r="V86" s="11" t="s">
        <v>23</v>
      </c>
      <c r="W86" s="11" t="s">
        <v>23</v>
      </c>
      <c r="X86" s="7" t="s">
        <v>23</v>
      </c>
      <c r="Y86" s="7" t="s">
        <v>23</v>
      </c>
      <c r="Z86" s="7" t="s">
        <v>23</v>
      </c>
      <c r="AA86" s="7" t="s">
        <v>23</v>
      </c>
      <c r="AB86" s="7" t="s">
        <v>23</v>
      </c>
      <c r="AC86" s="7" t="s">
        <v>23</v>
      </c>
      <c r="AD86" s="11" t="s">
        <v>23</v>
      </c>
      <c r="AE86" s="11" t="s">
        <v>23</v>
      </c>
      <c r="AF86" s="42">
        <v>0</v>
      </c>
      <c r="AG86" s="42"/>
      <c r="AH86" s="42"/>
      <c r="AI86" s="42"/>
      <c r="AJ86" s="13" t="s">
        <v>31</v>
      </c>
    </row>
    <row r="87" spans="1:36" x14ac:dyDescent="0.3">
      <c r="A87" s="3">
        <v>44448</v>
      </c>
      <c r="B87" s="4">
        <v>1600</v>
      </c>
      <c r="C87" s="4" cm="1">
        <f t="array" ref="C87">(SUM(VLOOKUP(H87:AE87,$AL$4:$AN$44,2,FALSE))+AF87*10)*IF(AJ87="是",$AW$4,$AW$3)</f>
        <v>0</v>
      </c>
      <c r="D87" s="23">
        <f>SUM($B$75:B87)-SUM($C$75:C87)+$D$74</f>
        <v>20936</v>
      </c>
      <c r="E87" s="4" cm="1">
        <f t="array" ref="E87">SUM(VLOOKUP(H87:AE87,$AL$4:$AN$44,3,FALSE))</f>
        <v>0</v>
      </c>
      <c r="F87" s="4">
        <f>SUM($E$75:E87)+SUM($G$75:G87)+$F$74</f>
        <v>48215</v>
      </c>
      <c r="G87" s="4">
        <v>0</v>
      </c>
      <c r="H87" s="7" t="s">
        <v>23</v>
      </c>
      <c r="I87" s="7" t="s">
        <v>23</v>
      </c>
      <c r="J87" s="7" t="s">
        <v>23</v>
      </c>
      <c r="K87" s="7" t="s">
        <v>23</v>
      </c>
      <c r="L87" s="7" t="s">
        <v>23</v>
      </c>
      <c r="M87" s="7" t="s">
        <v>23</v>
      </c>
      <c r="N87" s="11" t="s">
        <v>23</v>
      </c>
      <c r="O87" s="11" t="s">
        <v>23</v>
      </c>
      <c r="P87" s="7" t="s">
        <v>23</v>
      </c>
      <c r="Q87" s="7" t="s">
        <v>23</v>
      </c>
      <c r="R87" s="7" t="s">
        <v>23</v>
      </c>
      <c r="S87" s="7" t="s">
        <v>23</v>
      </c>
      <c r="T87" s="7" t="s">
        <v>23</v>
      </c>
      <c r="U87" s="7" t="s">
        <v>23</v>
      </c>
      <c r="V87" s="11" t="s">
        <v>23</v>
      </c>
      <c r="W87" s="11" t="s">
        <v>23</v>
      </c>
      <c r="X87" s="7" t="s">
        <v>23</v>
      </c>
      <c r="Y87" s="7" t="s">
        <v>23</v>
      </c>
      <c r="Z87" s="7" t="s">
        <v>23</v>
      </c>
      <c r="AA87" s="7" t="s">
        <v>23</v>
      </c>
      <c r="AB87" s="7" t="s">
        <v>23</v>
      </c>
      <c r="AC87" s="7" t="s">
        <v>23</v>
      </c>
      <c r="AD87" s="11" t="s">
        <v>23</v>
      </c>
      <c r="AE87" s="11" t="s">
        <v>23</v>
      </c>
      <c r="AF87" s="42">
        <v>0</v>
      </c>
      <c r="AG87" s="42"/>
      <c r="AH87" s="42"/>
      <c r="AI87" s="42"/>
      <c r="AJ87" s="13" t="s">
        <v>31</v>
      </c>
    </row>
    <row r="88" spans="1:36" x14ac:dyDescent="0.3">
      <c r="A88" s="3">
        <v>44449</v>
      </c>
      <c r="B88" s="4">
        <v>1600</v>
      </c>
      <c r="C88" s="4" cm="1">
        <f t="array" ref="C88">(SUM(VLOOKUP(H88:AE88,$AL$4:$AN$44,2,FALSE))+AF88*10)*IF(AJ88="是",$AW$4,$AW$3)</f>
        <v>0</v>
      </c>
      <c r="D88" s="23">
        <f>SUM($B$75:B88)-SUM($C$75:C88)+$D$74</f>
        <v>22536</v>
      </c>
      <c r="E88" s="4" cm="1">
        <f t="array" ref="E88">SUM(VLOOKUP(H88:AE88,$AL$4:$AN$44,3,FALSE))</f>
        <v>0</v>
      </c>
      <c r="F88" s="4">
        <f>SUM($E$75:E88)+SUM($G$75:G88)+$F$74</f>
        <v>48215</v>
      </c>
      <c r="G88" s="4">
        <v>0</v>
      </c>
      <c r="H88" s="7" t="s">
        <v>23</v>
      </c>
      <c r="I88" s="7" t="s">
        <v>23</v>
      </c>
      <c r="J88" s="7" t="s">
        <v>23</v>
      </c>
      <c r="K88" s="7" t="s">
        <v>23</v>
      </c>
      <c r="L88" s="7" t="s">
        <v>23</v>
      </c>
      <c r="M88" s="7" t="s">
        <v>23</v>
      </c>
      <c r="N88" s="11" t="s">
        <v>23</v>
      </c>
      <c r="O88" s="11" t="s">
        <v>23</v>
      </c>
      <c r="P88" s="7" t="s">
        <v>23</v>
      </c>
      <c r="Q88" s="7" t="s">
        <v>23</v>
      </c>
      <c r="R88" s="7" t="s">
        <v>23</v>
      </c>
      <c r="S88" s="7" t="s">
        <v>23</v>
      </c>
      <c r="T88" s="7" t="s">
        <v>23</v>
      </c>
      <c r="U88" s="7" t="s">
        <v>23</v>
      </c>
      <c r="V88" s="11" t="s">
        <v>23</v>
      </c>
      <c r="W88" s="11" t="s">
        <v>23</v>
      </c>
      <c r="X88" s="7" t="s">
        <v>23</v>
      </c>
      <c r="Y88" s="7" t="s">
        <v>23</v>
      </c>
      <c r="Z88" s="7" t="s">
        <v>23</v>
      </c>
      <c r="AA88" s="7" t="s">
        <v>23</v>
      </c>
      <c r="AB88" s="7" t="s">
        <v>23</v>
      </c>
      <c r="AC88" s="7" t="s">
        <v>23</v>
      </c>
      <c r="AD88" s="11" t="s">
        <v>23</v>
      </c>
      <c r="AE88" s="11" t="s">
        <v>23</v>
      </c>
      <c r="AF88" s="42">
        <v>0</v>
      </c>
      <c r="AG88" s="42"/>
      <c r="AH88" s="42"/>
      <c r="AI88" s="42"/>
      <c r="AJ88" s="13" t="s">
        <v>31</v>
      </c>
    </row>
    <row r="89" spans="1:36" x14ac:dyDescent="0.3">
      <c r="A89" s="3">
        <v>44450</v>
      </c>
      <c r="B89" s="4">
        <v>1600</v>
      </c>
      <c r="C89" s="4" cm="1">
        <f t="array" ref="C89">(SUM(VLOOKUP(H89:AE89,$AL$4:$AN$44,2,FALSE))+AF89*10)*IF(AJ89="是",$AW$4,$AW$3)</f>
        <v>0</v>
      </c>
      <c r="D89" s="23">
        <f>SUM($B$75:B89)-SUM($C$75:C89)+$D$74</f>
        <v>24136</v>
      </c>
      <c r="E89" s="4" cm="1">
        <f t="array" ref="E89">SUM(VLOOKUP(H89:AE89,$AL$4:$AN$44,3,FALSE))</f>
        <v>0</v>
      </c>
      <c r="F89" s="4">
        <f>SUM($E$75:E89)+SUM($G$75:G89)+$F$74</f>
        <v>48215</v>
      </c>
      <c r="G89" s="4">
        <v>0</v>
      </c>
      <c r="H89" s="7" t="s">
        <v>23</v>
      </c>
      <c r="I89" s="7" t="s">
        <v>23</v>
      </c>
      <c r="J89" s="7" t="s">
        <v>23</v>
      </c>
      <c r="K89" s="7" t="s">
        <v>23</v>
      </c>
      <c r="L89" s="7" t="s">
        <v>23</v>
      </c>
      <c r="M89" s="7" t="s">
        <v>23</v>
      </c>
      <c r="N89" s="11" t="s">
        <v>23</v>
      </c>
      <c r="O89" s="11" t="s">
        <v>23</v>
      </c>
      <c r="P89" s="7" t="s">
        <v>23</v>
      </c>
      <c r="Q89" s="7" t="s">
        <v>23</v>
      </c>
      <c r="R89" s="7" t="s">
        <v>23</v>
      </c>
      <c r="S89" s="7" t="s">
        <v>23</v>
      </c>
      <c r="T89" s="7" t="s">
        <v>23</v>
      </c>
      <c r="U89" s="7" t="s">
        <v>23</v>
      </c>
      <c r="V89" s="11" t="s">
        <v>23</v>
      </c>
      <c r="W89" s="11" t="s">
        <v>23</v>
      </c>
      <c r="X89" s="7" t="s">
        <v>23</v>
      </c>
      <c r="Y89" s="7" t="s">
        <v>23</v>
      </c>
      <c r="Z89" s="7" t="s">
        <v>23</v>
      </c>
      <c r="AA89" s="7" t="s">
        <v>23</v>
      </c>
      <c r="AB89" s="7" t="s">
        <v>23</v>
      </c>
      <c r="AC89" s="7" t="s">
        <v>23</v>
      </c>
      <c r="AD89" s="11" t="s">
        <v>23</v>
      </c>
      <c r="AE89" s="11" t="s">
        <v>23</v>
      </c>
      <c r="AF89" s="42">
        <v>0</v>
      </c>
      <c r="AG89" s="42"/>
      <c r="AH89" s="42"/>
      <c r="AI89" s="42"/>
      <c r="AJ89" s="13" t="s">
        <v>31</v>
      </c>
    </row>
    <row r="90" spans="1:36" x14ac:dyDescent="0.3">
      <c r="A90" s="3">
        <v>44451</v>
      </c>
      <c r="B90" s="4">
        <v>1600</v>
      </c>
      <c r="C90" s="4" cm="1">
        <f t="array" ref="C90">(SUM(VLOOKUP(H90:AE90,$AL$4:$AN$44,2,FALSE))+AF90*10)*IF(AJ90="是",$AW$4,$AW$3)</f>
        <v>0</v>
      </c>
      <c r="D90" s="23">
        <f>SUM($B$75:B90)-SUM($C$75:C90)+$D$74</f>
        <v>25736</v>
      </c>
      <c r="E90" s="4" cm="1">
        <f t="array" ref="E90">SUM(VLOOKUP(H90:AE90,$AL$4:$AN$44,3,FALSE))</f>
        <v>0</v>
      </c>
      <c r="F90" s="4">
        <f>SUM($E$75:E90)+SUM($G$75:G90)+$F$74</f>
        <v>48215</v>
      </c>
      <c r="G90" s="4">
        <v>0</v>
      </c>
      <c r="H90" s="7" t="s">
        <v>23</v>
      </c>
      <c r="I90" s="7" t="s">
        <v>23</v>
      </c>
      <c r="J90" s="7" t="s">
        <v>23</v>
      </c>
      <c r="K90" s="7" t="s">
        <v>23</v>
      </c>
      <c r="L90" s="7" t="s">
        <v>23</v>
      </c>
      <c r="M90" s="7" t="s">
        <v>23</v>
      </c>
      <c r="N90" s="11" t="s">
        <v>23</v>
      </c>
      <c r="O90" s="11" t="s">
        <v>23</v>
      </c>
      <c r="P90" s="7" t="s">
        <v>23</v>
      </c>
      <c r="Q90" s="7" t="s">
        <v>23</v>
      </c>
      <c r="R90" s="7" t="s">
        <v>23</v>
      </c>
      <c r="S90" s="7" t="s">
        <v>23</v>
      </c>
      <c r="T90" s="7" t="s">
        <v>23</v>
      </c>
      <c r="U90" s="7" t="s">
        <v>23</v>
      </c>
      <c r="V90" s="11" t="s">
        <v>23</v>
      </c>
      <c r="W90" s="11" t="s">
        <v>23</v>
      </c>
      <c r="X90" s="7" t="s">
        <v>23</v>
      </c>
      <c r="Y90" s="7" t="s">
        <v>23</v>
      </c>
      <c r="Z90" s="7" t="s">
        <v>23</v>
      </c>
      <c r="AA90" s="7" t="s">
        <v>23</v>
      </c>
      <c r="AB90" s="7" t="s">
        <v>23</v>
      </c>
      <c r="AC90" s="7" t="s">
        <v>23</v>
      </c>
      <c r="AD90" s="11" t="s">
        <v>23</v>
      </c>
      <c r="AE90" s="11" t="s">
        <v>23</v>
      </c>
      <c r="AF90" s="42">
        <v>0</v>
      </c>
      <c r="AG90" s="42"/>
      <c r="AH90" s="42"/>
      <c r="AI90" s="42"/>
      <c r="AJ90" s="13" t="s">
        <v>31</v>
      </c>
    </row>
    <row r="91" spans="1:36" x14ac:dyDescent="0.3">
      <c r="A91" s="1">
        <v>44452</v>
      </c>
      <c r="B91">
        <v>1600</v>
      </c>
      <c r="C91" s="4" cm="1">
        <f t="array" ref="C91">(SUM(VLOOKUP(H91:AE91,$AL$4:$AN$44,2,FALSE))+AF91*10)*IF(AJ91="是",$AW$4,$AW$3)</f>
        <v>0</v>
      </c>
      <c r="D91" s="23">
        <f>SUM($B$75:B91)-SUM($C$75:C91)+$D$74</f>
        <v>27336</v>
      </c>
      <c r="E91" s="4" cm="1">
        <f t="array" ref="E91">SUM(VLOOKUP(H91:AE91,$AL$4:$AN$44,3,FALSE))</f>
        <v>0</v>
      </c>
      <c r="F91" s="4">
        <f>SUM($E$75:E91)+SUM($G$75:G91)+$F$74</f>
        <v>48415</v>
      </c>
      <c r="G91">
        <v>200</v>
      </c>
      <c r="H91" s="7" t="s">
        <v>23</v>
      </c>
      <c r="I91" s="7" t="s">
        <v>23</v>
      </c>
      <c r="J91" s="7" t="s">
        <v>23</v>
      </c>
      <c r="K91" s="7" t="s">
        <v>23</v>
      </c>
      <c r="L91" s="7" t="s">
        <v>23</v>
      </c>
      <c r="M91" s="7" t="s">
        <v>23</v>
      </c>
      <c r="N91" s="11" t="s">
        <v>23</v>
      </c>
      <c r="O91" s="11" t="s">
        <v>23</v>
      </c>
      <c r="P91" s="7" t="s">
        <v>23</v>
      </c>
      <c r="Q91" s="7" t="s">
        <v>23</v>
      </c>
      <c r="R91" s="7" t="s">
        <v>23</v>
      </c>
      <c r="S91" s="7" t="s">
        <v>23</v>
      </c>
      <c r="T91" s="7" t="s">
        <v>23</v>
      </c>
      <c r="U91" s="7" t="s">
        <v>23</v>
      </c>
      <c r="V91" s="11" t="s">
        <v>23</v>
      </c>
      <c r="W91" s="11" t="s">
        <v>23</v>
      </c>
      <c r="X91" s="7" t="s">
        <v>23</v>
      </c>
      <c r="Y91" s="7" t="s">
        <v>23</v>
      </c>
      <c r="Z91" s="7" t="s">
        <v>23</v>
      </c>
      <c r="AA91" s="7" t="s">
        <v>23</v>
      </c>
      <c r="AB91" s="7" t="s">
        <v>23</v>
      </c>
      <c r="AC91" s="7" t="s">
        <v>23</v>
      </c>
      <c r="AD91" s="11" t="s">
        <v>23</v>
      </c>
      <c r="AE91" s="11" t="s">
        <v>23</v>
      </c>
      <c r="AF91" s="42">
        <v>0</v>
      </c>
      <c r="AG91" s="42"/>
      <c r="AH91" s="42"/>
      <c r="AI91" s="42"/>
      <c r="AJ91" s="13" t="s">
        <v>31</v>
      </c>
    </row>
    <row r="92" spans="1:36" x14ac:dyDescent="0.3">
      <c r="A92" s="1">
        <v>44453</v>
      </c>
      <c r="B92">
        <v>1600</v>
      </c>
      <c r="C92" s="4" cm="1">
        <f t="array" ref="C92">(SUM(VLOOKUP(H92:AE92,$AL$4:$AN$44,2,FALSE))+AF92*10)*IF(AJ92="是",$AW$4,$AW$3)</f>
        <v>0</v>
      </c>
      <c r="D92" s="23">
        <f>SUM($B$75:B92)-SUM($C$75:C92)+$D$74</f>
        <v>28936</v>
      </c>
      <c r="E92" s="4" cm="1">
        <f t="array" ref="E92">SUM(VLOOKUP(H92:AE92,$AL$4:$AN$44,3,FALSE))</f>
        <v>0</v>
      </c>
      <c r="F92" s="4">
        <f>SUM($E$75:E92)+SUM($G$75:G92)+$F$74</f>
        <v>48515</v>
      </c>
      <c r="G92">
        <v>100</v>
      </c>
      <c r="H92" s="7" t="s">
        <v>23</v>
      </c>
      <c r="I92" s="7" t="s">
        <v>23</v>
      </c>
      <c r="J92" s="7" t="s">
        <v>23</v>
      </c>
      <c r="K92" s="7" t="s">
        <v>23</v>
      </c>
      <c r="L92" s="7" t="s">
        <v>23</v>
      </c>
      <c r="M92" s="7" t="s">
        <v>23</v>
      </c>
      <c r="N92" s="11" t="s">
        <v>23</v>
      </c>
      <c r="O92" s="11" t="s">
        <v>23</v>
      </c>
      <c r="P92" s="7" t="s">
        <v>23</v>
      </c>
      <c r="Q92" s="7" t="s">
        <v>23</v>
      </c>
      <c r="R92" s="7" t="s">
        <v>23</v>
      </c>
      <c r="S92" s="7" t="s">
        <v>23</v>
      </c>
      <c r="T92" s="7" t="s">
        <v>23</v>
      </c>
      <c r="U92" s="7" t="s">
        <v>23</v>
      </c>
      <c r="V92" s="11" t="s">
        <v>23</v>
      </c>
      <c r="W92" s="11" t="s">
        <v>23</v>
      </c>
      <c r="X92" s="7" t="s">
        <v>23</v>
      </c>
      <c r="Y92" s="7" t="s">
        <v>23</v>
      </c>
      <c r="Z92" s="7" t="s">
        <v>23</v>
      </c>
      <c r="AA92" s="7" t="s">
        <v>23</v>
      </c>
      <c r="AB92" s="7" t="s">
        <v>23</v>
      </c>
      <c r="AC92" s="7" t="s">
        <v>23</v>
      </c>
      <c r="AD92" s="11" t="s">
        <v>23</v>
      </c>
      <c r="AE92" s="11" t="s">
        <v>23</v>
      </c>
      <c r="AF92" s="42">
        <v>0</v>
      </c>
      <c r="AG92" s="42"/>
      <c r="AH92" s="42"/>
      <c r="AI92" s="42"/>
      <c r="AJ92" s="13" t="s">
        <v>31</v>
      </c>
    </row>
    <row r="93" spans="1:36" x14ac:dyDescent="0.3">
      <c r="A93" s="1">
        <v>44454</v>
      </c>
      <c r="B93">
        <v>1600</v>
      </c>
      <c r="C93" s="4" cm="1">
        <f t="array" ref="C93">(SUM(VLOOKUP(H93:AE93,$AL$4:$AN$44,2,FALSE))+AF93*10)*IF(AJ93="是",$AW$4,$AW$3)</f>
        <v>0</v>
      </c>
      <c r="D93" s="23">
        <f>SUM($B$75:B93)-SUM($C$75:C93)+$D$74</f>
        <v>30536</v>
      </c>
      <c r="E93" s="4" cm="1">
        <f t="array" ref="E93">SUM(VLOOKUP(H93:AE93,$AL$4:$AN$44,3,FALSE))</f>
        <v>0</v>
      </c>
      <c r="F93" s="4">
        <f>SUM($E$75:E93)+SUM($G$75:G93)+$F$74</f>
        <v>48715</v>
      </c>
      <c r="G93">
        <v>200</v>
      </c>
      <c r="H93" s="7" t="s">
        <v>23</v>
      </c>
      <c r="I93" s="7" t="s">
        <v>23</v>
      </c>
      <c r="J93" s="7" t="s">
        <v>23</v>
      </c>
      <c r="K93" s="7" t="s">
        <v>23</v>
      </c>
      <c r="L93" s="7" t="s">
        <v>23</v>
      </c>
      <c r="M93" s="7" t="s">
        <v>23</v>
      </c>
      <c r="N93" s="11" t="s">
        <v>23</v>
      </c>
      <c r="O93" s="11" t="s">
        <v>23</v>
      </c>
      <c r="P93" s="7" t="s">
        <v>23</v>
      </c>
      <c r="Q93" s="7" t="s">
        <v>23</v>
      </c>
      <c r="R93" s="7" t="s">
        <v>23</v>
      </c>
      <c r="S93" s="7" t="s">
        <v>23</v>
      </c>
      <c r="T93" s="7" t="s">
        <v>23</v>
      </c>
      <c r="U93" s="7" t="s">
        <v>23</v>
      </c>
      <c r="V93" s="11" t="s">
        <v>23</v>
      </c>
      <c r="W93" s="11" t="s">
        <v>23</v>
      </c>
      <c r="X93" s="7" t="s">
        <v>23</v>
      </c>
      <c r="Y93" s="7" t="s">
        <v>23</v>
      </c>
      <c r="Z93" s="7" t="s">
        <v>23</v>
      </c>
      <c r="AA93" s="7" t="s">
        <v>23</v>
      </c>
      <c r="AB93" s="7" t="s">
        <v>23</v>
      </c>
      <c r="AC93" s="7" t="s">
        <v>23</v>
      </c>
      <c r="AD93" s="11" t="s">
        <v>23</v>
      </c>
      <c r="AE93" s="11" t="s">
        <v>23</v>
      </c>
      <c r="AF93" s="42">
        <v>0</v>
      </c>
      <c r="AG93" s="42"/>
      <c r="AH93" s="42"/>
      <c r="AI93" s="42"/>
      <c r="AJ93" s="13" t="s">
        <v>31</v>
      </c>
    </row>
    <row r="94" spans="1:36" ht="15" thickBot="1" x14ac:dyDescent="0.35">
      <c r="A94" s="1">
        <v>44455</v>
      </c>
      <c r="B94">
        <v>1600</v>
      </c>
      <c r="C94" s="4" cm="1">
        <f t="array" ref="C94">(SUM(VLOOKUP(H94:AE94,$AL$4:$AN$44,2,FALSE))+AF94*10)*IF(AJ94="是",$AW$4,$AW$3)</f>
        <v>0</v>
      </c>
      <c r="D94" s="23">
        <f>SUM($B$75:B94)-SUM($C$75:C94)+$D$74</f>
        <v>32136</v>
      </c>
      <c r="E94" s="4" cm="1">
        <f t="array" ref="E94">SUM(VLOOKUP(H94:AE94,$AL$4:$AN$44,3,FALSE))</f>
        <v>0</v>
      </c>
      <c r="F94" s="4">
        <f>SUM($E$75:E94)+SUM($G$75:G94)+$F$74</f>
        <v>48715</v>
      </c>
      <c r="G94">
        <v>0</v>
      </c>
      <c r="H94" s="7" t="s">
        <v>23</v>
      </c>
      <c r="I94" s="7" t="s">
        <v>23</v>
      </c>
      <c r="J94" s="7" t="s">
        <v>23</v>
      </c>
      <c r="K94" s="7" t="s">
        <v>23</v>
      </c>
      <c r="L94" s="7" t="s">
        <v>23</v>
      </c>
      <c r="M94" s="7" t="s">
        <v>23</v>
      </c>
      <c r="N94" s="11" t="s">
        <v>23</v>
      </c>
      <c r="O94" s="11" t="s">
        <v>23</v>
      </c>
      <c r="P94" s="7" t="s">
        <v>23</v>
      </c>
      <c r="Q94" s="7" t="s">
        <v>23</v>
      </c>
      <c r="R94" s="7" t="s">
        <v>23</v>
      </c>
      <c r="S94" s="7" t="s">
        <v>23</v>
      </c>
      <c r="T94" s="7" t="s">
        <v>23</v>
      </c>
      <c r="U94" s="7" t="s">
        <v>23</v>
      </c>
      <c r="V94" s="12" t="s">
        <v>23</v>
      </c>
      <c r="W94" s="11" t="s">
        <v>23</v>
      </c>
      <c r="X94" s="7" t="s">
        <v>23</v>
      </c>
      <c r="Y94" s="7" t="s">
        <v>23</v>
      </c>
      <c r="Z94" s="7" t="s">
        <v>23</v>
      </c>
      <c r="AA94" s="7" t="s">
        <v>23</v>
      </c>
      <c r="AB94" s="7" t="s">
        <v>23</v>
      </c>
      <c r="AC94" s="7" t="s">
        <v>23</v>
      </c>
      <c r="AD94" s="11" t="s">
        <v>23</v>
      </c>
      <c r="AE94" s="11" t="s">
        <v>23</v>
      </c>
      <c r="AF94" s="42">
        <v>0</v>
      </c>
      <c r="AG94" s="42"/>
      <c r="AH94" s="42"/>
      <c r="AI94" s="42"/>
      <c r="AJ94" s="14" t="s">
        <v>31</v>
      </c>
    </row>
    <row r="96" spans="1:36" x14ac:dyDescent="0.3">
      <c r="C96" t="s">
        <v>55</v>
      </c>
      <c r="D96" s="24">
        <f>COUNTIF(D4:D94,"&lt;0")</f>
        <v>0</v>
      </c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{1DD88526-9D7E-437F-B748-AFD15DD04EEA}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D88526-9D7E-437F-B748-AFD15DD04EE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2021-06-17T16:09:24Z</dcterms:created>
  <dcterms:modified xsi:type="dcterms:W3CDTF">2021-08-27T17:36:52Z</dcterms:modified>
</cp:coreProperties>
</file>