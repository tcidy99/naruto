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activeTab="8"/>
  </bookViews>
  <sheets>
    <sheet name="黑名单" sheetId="42" r:id="rId1"/>
    <sheet name="Sep 27 2020" sheetId="73" r:id="rId2"/>
    <sheet name="Oct 3 2020" sheetId="74" r:id="rId3"/>
    <sheet name="Oct 10 2020" sheetId="75" r:id="rId4"/>
    <sheet name="Oct 18 2020" sheetId="76" r:id="rId5"/>
    <sheet name="Oct 24 2020" sheetId="77" r:id="rId6"/>
    <sheet name="Oct 31 2020" sheetId="78" r:id="rId7"/>
    <sheet name="Nov 7 2020" sheetId="79" r:id="rId8"/>
    <sheet name="Sheet1" sheetId="80" r:id="rId9"/>
  </sheets>
  <definedNames>
    <definedName name="_xlnm._FilterDatabase" localSheetId="0" hidden="1">黑名单!#REF!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80" l="1"/>
  <c r="N101" i="80"/>
  <c r="I101" i="80"/>
  <c r="H101" i="80"/>
  <c r="K101" i="80" s="1"/>
  <c r="M101" i="80" s="1"/>
  <c r="O101" i="80" s="1"/>
  <c r="N100" i="80"/>
  <c r="I100" i="80"/>
  <c r="K100" i="80" s="1"/>
  <c r="M100" i="80" s="1"/>
  <c r="O100" i="80" s="1"/>
  <c r="H100" i="80"/>
  <c r="N99" i="80"/>
  <c r="K99" i="80"/>
  <c r="M99" i="80" s="1"/>
  <c r="O99" i="80" s="1"/>
  <c r="I99" i="80"/>
  <c r="H99" i="80"/>
  <c r="N98" i="80"/>
  <c r="I98" i="80"/>
  <c r="K98" i="80" s="1"/>
  <c r="M98" i="80" s="1"/>
  <c r="O98" i="80" s="1"/>
  <c r="H98" i="80"/>
  <c r="N97" i="80"/>
  <c r="I97" i="80"/>
  <c r="H97" i="80"/>
  <c r="K97" i="80" s="1"/>
  <c r="M97" i="80" s="1"/>
  <c r="O97" i="80" s="1"/>
  <c r="N96" i="80"/>
  <c r="I96" i="80"/>
  <c r="H96" i="80"/>
  <c r="K96" i="80" s="1"/>
  <c r="M96" i="80" s="1"/>
  <c r="O96" i="80" s="1"/>
  <c r="N95" i="80"/>
  <c r="K95" i="80"/>
  <c r="M95" i="80" s="1"/>
  <c r="O95" i="80" s="1"/>
  <c r="I95" i="80"/>
  <c r="H95" i="80"/>
  <c r="N94" i="80"/>
  <c r="I94" i="80"/>
  <c r="K94" i="80" s="1"/>
  <c r="M94" i="80" s="1"/>
  <c r="O94" i="80" s="1"/>
  <c r="H94" i="80"/>
  <c r="N93" i="80"/>
  <c r="I93" i="80"/>
  <c r="H93" i="80"/>
  <c r="K93" i="80" s="1"/>
  <c r="M93" i="80" s="1"/>
  <c r="O93" i="80" s="1"/>
  <c r="N92" i="80"/>
  <c r="I92" i="80"/>
  <c r="H92" i="80"/>
  <c r="K92" i="80" s="1"/>
  <c r="M92" i="80" s="1"/>
  <c r="O92" i="80" s="1"/>
  <c r="N91" i="80"/>
  <c r="K91" i="80"/>
  <c r="M91" i="80" s="1"/>
  <c r="O91" i="80" s="1"/>
  <c r="I91" i="80"/>
  <c r="H91" i="80"/>
  <c r="N90" i="80"/>
  <c r="I90" i="80"/>
  <c r="K90" i="80" s="1"/>
  <c r="M90" i="80" s="1"/>
  <c r="O90" i="80" s="1"/>
  <c r="H90" i="80"/>
  <c r="N89" i="80"/>
  <c r="I89" i="80"/>
  <c r="H89" i="80"/>
  <c r="K89" i="80" s="1"/>
  <c r="M89" i="80" s="1"/>
  <c r="O89" i="80" s="1"/>
  <c r="N88" i="80"/>
  <c r="I88" i="80"/>
  <c r="H88" i="80"/>
  <c r="K88" i="80" s="1"/>
  <c r="M88" i="80" s="1"/>
  <c r="O88" i="80" s="1"/>
  <c r="N87" i="80"/>
  <c r="K87" i="80"/>
  <c r="M87" i="80" s="1"/>
  <c r="O87" i="80" s="1"/>
  <c r="I87" i="80"/>
  <c r="H87" i="80"/>
  <c r="N86" i="80"/>
  <c r="I86" i="80"/>
  <c r="K86" i="80" s="1"/>
  <c r="M86" i="80" s="1"/>
  <c r="O86" i="80" s="1"/>
  <c r="H86" i="80"/>
  <c r="N85" i="80"/>
  <c r="I85" i="80"/>
  <c r="H85" i="80"/>
  <c r="K85" i="80" s="1"/>
  <c r="M85" i="80" s="1"/>
  <c r="O85" i="80" s="1"/>
  <c r="N84" i="80"/>
  <c r="I84" i="80"/>
  <c r="H84" i="80"/>
  <c r="K84" i="80" s="1"/>
  <c r="M84" i="80" s="1"/>
  <c r="O84" i="80" s="1"/>
  <c r="N83" i="80"/>
  <c r="K83" i="80"/>
  <c r="M83" i="80" s="1"/>
  <c r="O83" i="80" s="1"/>
  <c r="I83" i="80"/>
  <c r="H83" i="80"/>
  <c r="N82" i="80"/>
  <c r="I82" i="80"/>
  <c r="K82" i="80" s="1"/>
  <c r="M82" i="80" s="1"/>
  <c r="O82" i="80" s="1"/>
  <c r="H82" i="80"/>
  <c r="N81" i="80"/>
  <c r="I81" i="80"/>
  <c r="H81" i="80"/>
  <c r="K81" i="80" s="1"/>
  <c r="M81" i="80" s="1"/>
  <c r="O81" i="80" s="1"/>
  <c r="N80" i="80"/>
  <c r="I80" i="80"/>
  <c r="H80" i="80"/>
  <c r="K80" i="80" s="1"/>
  <c r="M80" i="80" s="1"/>
  <c r="O80" i="80" s="1"/>
  <c r="N79" i="80"/>
  <c r="K79" i="80"/>
  <c r="M79" i="80" s="1"/>
  <c r="O79" i="80" s="1"/>
  <c r="I79" i="80"/>
  <c r="H79" i="80"/>
  <c r="N78" i="80"/>
  <c r="I78" i="80"/>
  <c r="K78" i="80" s="1"/>
  <c r="M78" i="80" s="1"/>
  <c r="O78" i="80" s="1"/>
  <c r="H78" i="80"/>
  <c r="N77" i="80"/>
  <c r="I77" i="80"/>
  <c r="H77" i="80"/>
  <c r="K77" i="80" s="1"/>
  <c r="M77" i="80" s="1"/>
  <c r="O77" i="80" s="1"/>
  <c r="N76" i="80"/>
  <c r="I76" i="80"/>
  <c r="H76" i="80"/>
  <c r="K76" i="80" s="1"/>
  <c r="M76" i="80" s="1"/>
  <c r="O76" i="80" s="1"/>
  <c r="N75" i="80"/>
  <c r="K75" i="80"/>
  <c r="M75" i="80" s="1"/>
  <c r="O75" i="80" s="1"/>
  <c r="I75" i="80"/>
  <c r="H75" i="80"/>
  <c r="N74" i="80"/>
  <c r="I74" i="80"/>
  <c r="K74" i="80" s="1"/>
  <c r="M74" i="80" s="1"/>
  <c r="O74" i="80" s="1"/>
  <c r="H74" i="80"/>
  <c r="N73" i="80"/>
  <c r="I73" i="80"/>
  <c r="H73" i="80"/>
  <c r="K73" i="80" s="1"/>
  <c r="M73" i="80" s="1"/>
  <c r="O73" i="80" s="1"/>
  <c r="N72" i="80"/>
  <c r="I72" i="80"/>
  <c r="H72" i="80"/>
  <c r="K72" i="80" s="1"/>
  <c r="M72" i="80" s="1"/>
  <c r="O72" i="80" s="1"/>
  <c r="N71" i="80"/>
  <c r="K71" i="80"/>
  <c r="M71" i="80" s="1"/>
  <c r="O71" i="80" s="1"/>
  <c r="I71" i="80"/>
  <c r="H71" i="80"/>
  <c r="N70" i="80"/>
  <c r="I70" i="80"/>
  <c r="K70" i="80" s="1"/>
  <c r="M70" i="80" s="1"/>
  <c r="O70" i="80" s="1"/>
  <c r="H70" i="80"/>
  <c r="N69" i="80"/>
  <c r="I69" i="80"/>
  <c r="H69" i="80"/>
  <c r="K69" i="80" s="1"/>
  <c r="M69" i="80" s="1"/>
  <c r="O69" i="80" s="1"/>
  <c r="N68" i="80"/>
  <c r="I68" i="80"/>
  <c r="H68" i="80"/>
  <c r="K68" i="80" s="1"/>
  <c r="M68" i="80" s="1"/>
  <c r="O68" i="80" s="1"/>
  <c r="N67" i="80"/>
  <c r="K67" i="80"/>
  <c r="M67" i="80" s="1"/>
  <c r="O67" i="80" s="1"/>
  <c r="I67" i="80"/>
  <c r="H67" i="80"/>
  <c r="N66" i="80"/>
  <c r="I66" i="80"/>
  <c r="K66" i="80" s="1"/>
  <c r="M66" i="80" s="1"/>
  <c r="O66" i="80" s="1"/>
  <c r="H66" i="80"/>
  <c r="N65" i="80"/>
  <c r="I65" i="80"/>
  <c r="H65" i="80"/>
  <c r="K65" i="80" s="1"/>
  <c r="M65" i="80" s="1"/>
  <c r="O65" i="80" s="1"/>
  <c r="N64" i="80"/>
  <c r="I64" i="80"/>
  <c r="H64" i="80"/>
  <c r="K64" i="80" s="1"/>
  <c r="M64" i="80" s="1"/>
  <c r="O64" i="80" s="1"/>
  <c r="N63" i="80"/>
  <c r="K63" i="80"/>
  <c r="M63" i="80" s="1"/>
  <c r="O63" i="80" s="1"/>
  <c r="I63" i="80"/>
  <c r="H63" i="80"/>
  <c r="N62" i="80"/>
  <c r="I62" i="80"/>
  <c r="K62" i="80" s="1"/>
  <c r="M62" i="80" s="1"/>
  <c r="O62" i="80" s="1"/>
  <c r="H62" i="80"/>
  <c r="N61" i="80"/>
  <c r="I61" i="80"/>
  <c r="H61" i="80"/>
  <c r="K61" i="80" s="1"/>
  <c r="M61" i="80" s="1"/>
  <c r="O61" i="80" s="1"/>
  <c r="N60" i="80"/>
  <c r="I60" i="80"/>
  <c r="H60" i="80"/>
  <c r="K60" i="80" s="1"/>
  <c r="M60" i="80" s="1"/>
  <c r="O60" i="80" s="1"/>
  <c r="N59" i="80"/>
  <c r="K59" i="80"/>
  <c r="M59" i="80" s="1"/>
  <c r="O59" i="80" s="1"/>
  <c r="I59" i="80"/>
  <c r="H59" i="80"/>
  <c r="N58" i="80"/>
  <c r="I58" i="80"/>
  <c r="K58" i="80" s="1"/>
  <c r="M58" i="80" s="1"/>
  <c r="O58" i="80" s="1"/>
  <c r="H58" i="80"/>
  <c r="N57" i="80"/>
  <c r="I57" i="80"/>
  <c r="H57" i="80"/>
  <c r="K57" i="80" s="1"/>
  <c r="M57" i="80" s="1"/>
  <c r="O57" i="80" s="1"/>
  <c r="N56" i="80"/>
  <c r="I56" i="80"/>
  <c r="H56" i="80"/>
  <c r="K56" i="80" s="1"/>
  <c r="M56" i="80" s="1"/>
  <c r="O56" i="80" s="1"/>
  <c r="N55" i="80"/>
  <c r="K55" i="80"/>
  <c r="M55" i="80" s="1"/>
  <c r="O55" i="80" s="1"/>
  <c r="I55" i="80"/>
  <c r="H55" i="80"/>
  <c r="N54" i="80"/>
  <c r="I54" i="80"/>
  <c r="K54" i="80" s="1"/>
  <c r="M54" i="80" s="1"/>
  <c r="O54" i="80" s="1"/>
  <c r="H54" i="80"/>
  <c r="N53" i="80"/>
  <c r="I53" i="80"/>
  <c r="H53" i="80"/>
  <c r="K53" i="80" s="1"/>
  <c r="M53" i="80" s="1"/>
  <c r="O53" i="80" s="1"/>
  <c r="N52" i="80"/>
  <c r="I52" i="80"/>
  <c r="H52" i="80"/>
  <c r="K52" i="80" s="1"/>
  <c r="M52" i="80" s="1"/>
  <c r="O52" i="80" s="1"/>
  <c r="N51" i="80"/>
  <c r="K51" i="80"/>
  <c r="M51" i="80" s="1"/>
  <c r="O51" i="80" s="1"/>
  <c r="I51" i="80"/>
  <c r="H51" i="80"/>
  <c r="N50" i="80"/>
  <c r="I50" i="80"/>
  <c r="K50" i="80" s="1"/>
  <c r="M50" i="80" s="1"/>
  <c r="O50" i="80" s="1"/>
  <c r="H50" i="80"/>
  <c r="N49" i="80"/>
  <c r="I49" i="80"/>
  <c r="H49" i="80"/>
  <c r="K49" i="80" s="1"/>
  <c r="M49" i="80" s="1"/>
  <c r="O49" i="80" s="1"/>
  <c r="N48" i="80"/>
  <c r="I48" i="80"/>
  <c r="H48" i="80"/>
  <c r="K48" i="80" s="1"/>
  <c r="M48" i="80" s="1"/>
  <c r="O48" i="80" s="1"/>
  <c r="N47" i="80"/>
  <c r="K47" i="80"/>
  <c r="M47" i="80" s="1"/>
  <c r="O47" i="80" s="1"/>
  <c r="I47" i="80"/>
  <c r="H47" i="80"/>
  <c r="N46" i="80"/>
  <c r="I46" i="80"/>
  <c r="K46" i="80" s="1"/>
  <c r="M46" i="80" s="1"/>
  <c r="O46" i="80" s="1"/>
  <c r="H46" i="80"/>
  <c r="N45" i="80"/>
  <c r="I45" i="80"/>
  <c r="H45" i="80"/>
  <c r="K45" i="80" s="1"/>
  <c r="M45" i="80" s="1"/>
  <c r="O45" i="80" s="1"/>
  <c r="N44" i="80"/>
  <c r="I44" i="80"/>
  <c r="H44" i="80"/>
  <c r="K44" i="80" s="1"/>
  <c r="M44" i="80" s="1"/>
  <c r="O44" i="80" s="1"/>
  <c r="N43" i="80"/>
  <c r="K43" i="80"/>
  <c r="M43" i="80" s="1"/>
  <c r="O43" i="80" s="1"/>
  <c r="I43" i="80"/>
  <c r="H43" i="80"/>
  <c r="N42" i="80"/>
  <c r="I42" i="80"/>
  <c r="K42" i="80" s="1"/>
  <c r="M42" i="80" s="1"/>
  <c r="O42" i="80" s="1"/>
  <c r="H42" i="80"/>
  <c r="N41" i="80"/>
  <c r="I41" i="80"/>
  <c r="H41" i="80"/>
  <c r="K41" i="80" s="1"/>
  <c r="M41" i="80" s="1"/>
  <c r="O41" i="80" s="1"/>
  <c r="N40" i="80"/>
  <c r="I40" i="80"/>
  <c r="H40" i="80"/>
  <c r="K40" i="80" s="1"/>
  <c r="M40" i="80" s="1"/>
  <c r="O40" i="80" s="1"/>
  <c r="N39" i="80"/>
  <c r="K39" i="80"/>
  <c r="M39" i="80" s="1"/>
  <c r="O39" i="80" s="1"/>
  <c r="I39" i="80"/>
  <c r="H39" i="80"/>
  <c r="N38" i="80"/>
  <c r="I38" i="80"/>
  <c r="K38" i="80" s="1"/>
  <c r="M38" i="80" s="1"/>
  <c r="O38" i="80" s="1"/>
  <c r="H38" i="80"/>
  <c r="N37" i="80"/>
  <c r="I37" i="80"/>
  <c r="H37" i="80"/>
  <c r="K37" i="80" s="1"/>
  <c r="M37" i="80" s="1"/>
  <c r="O37" i="80" s="1"/>
  <c r="N36" i="80"/>
  <c r="I36" i="80"/>
  <c r="H36" i="80"/>
  <c r="K36" i="80" s="1"/>
  <c r="M36" i="80" s="1"/>
  <c r="O36" i="80" s="1"/>
  <c r="N34" i="80"/>
  <c r="I34" i="80"/>
  <c r="H34" i="80"/>
  <c r="N25" i="80"/>
  <c r="I25" i="80"/>
  <c r="H25" i="80"/>
  <c r="N33" i="80"/>
  <c r="I33" i="80"/>
  <c r="H33" i="80"/>
  <c r="N8" i="80"/>
  <c r="I8" i="80"/>
  <c r="H8" i="80"/>
  <c r="K8" i="80" s="1"/>
  <c r="M8" i="80" s="1"/>
  <c r="N7" i="80"/>
  <c r="I7" i="80"/>
  <c r="H7" i="80"/>
  <c r="N20" i="80"/>
  <c r="I20" i="80"/>
  <c r="H20" i="80"/>
  <c r="N18" i="80"/>
  <c r="I18" i="80"/>
  <c r="H18" i="80"/>
  <c r="N16" i="80"/>
  <c r="I16" i="80"/>
  <c r="H16" i="80"/>
  <c r="N10" i="80"/>
  <c r="I10" i="80"/>
  <c r="H10" i="80"/>
  <c r="N21" i="80"/>
  <c r="I21" i="80"/>
  <c r="H21" i="80"/>
  <c r="N15" i="80"/>
  <c r="I15" i="80"/>
  <c r="H15" i="80"/>
  <c r="K15" i="80" s="1"/>
  <c r="M15" i="80" s="1"/>
  <c r="N31" i="80"/>
  <c r="I31" i="80"/>
  <c r="H31" i="80"/>
  <c r="K31" i="80" s="1"/>
  <c r="M31" i="80" s="1"/>
  <c r="O31" i="80" s="1"/>
  <c r="N6" i="80"/>
  <c r="I6" i="80"/>
  <c r="H6" i="80"/>
  <c r="N23" i="80"/>
  <c r="I23" i="80"/>
  <c r="H23" i="80"/>
  <c r="N14" i="80"/>
  <c r="I14" i="80"/>
  <c r="H14" i="80"/>
  <c r="N13" i="80"/>
  <c r="I13" i="80"/>
  <c r="H13" i="80"/>
  <c r="K13" i="80" s="1"/>
  <c r="M13" i="80" s="1"/>
  <c r="N30" i="80"/>
  <c r="I30" i="80"/>
  <c r="H30" i="80"/>
  <c r="N12" i="80"/>
  <c r="I12" i="80"/>
  <c r="H12" i="80"/>
  <c r="N11" i="80"/>
  <c r="I11" i="80"/>
  <c r="H11" i="80"/>
  <c r="K11" i="80" s="1"/>
  <c r="M11" i="80" s="1"/>
  <c r="O11" i="80" s="1"/>
  <c r="N28" i="80"/>
  <c r="I28" i="80"/>
  <c r="H28" i="80"/>
  <c r="K28" i="80" s="1"/>
  <c r="M28" i="80" s="1"/>
  <c r="O28" i="80" s="1"/>
  <c r="N32" i="80"/>
  <c r="I32" i="80"/>
  <c r="H32" i="80"/>
  <c r="N26" i="80"/>
  <c r="I26" i="80"/>
  <c r="H26" i="80"/>
  <c r="I17" i="80"/>
  <c r="H17" i="80"/>
  <c r="N9" i="80"/>
  <c r="I9" i="80"/>
  <c r="H9" i="80"/>
  <c r="T10" i="80"/>
  <c r="N27" i="80"/>
  <c r="I27" i="80"/>
  <c r="H27" i="80"/>
  <c r="T9" i="80"/>
  <c r="N17" i="80" s="1"/>
  <c r="N24" i="80"/>
  <c r="I24" i="80"/>
  <c r="H24" i="80"/>
  <c r="T8" i="80"/>
  <c r="N29" i="80"/>
  <c r="I29" i="80"/>
  <c r="H29" i="80"/>
  <c r="N22" i="80"/>
  <c r="I22" i="80"/>
  <c r="H22" i="80"/>
  <c r="T6" i="80"/>
  <c r="N19" i="80"/>
  <c r="I19" i="80"/>
  <c r="H19" i="80"/>
  <c r="N5" i="80"/>
  <c r="I5" i="80"/>
  <c r="K5" i="80" s="1"/>
  <c r="M5" i="80" s="1"/>
  <c r="T4" i="80"/>
  <c r="T3" i="80"/>
  <c r="A1" i="80"/>
  <c r="K6" i="80" l="1"/>
  <c r="M6" i="80" s="1"/>
  <c r="O6" i="80" s="1"/>
  <c r="O5" i="80"/>
  <c r="O8" i="80"/>
  <c r="K14" i="80"/>
  <c r="M14" i="80" s="1"/>
  <c r="O14" i="80" s="1"/>
  <c r="K18" i="80"/>
  <c r="M18" i="80" s="1"/>
  <c r="O18" i="80" s="1"/>
  <c r="K7" i="80"/>
  <c r="M7" i="80" s="1"/>
  <c r="O7" i="80" s="1"/>
  <c r="K19" i="80"/>
  <c r="M19" i="80" s="1"/>
  <c r="O19" i="80" s="1"/>
  <c r="K9" i="80"/>
  <c r="M9" i="80" s="1"/>
  <c r="O9" i="80" s="1"/>
  <c r="K34" i="80"/>
  <c r="M34" i="80" s="1"/>
  <c r="O34" i="80" s="1"/>
  <c r="K32" i="80"/>
  <c r="M32" i="80" s="1"/>
  <c r="O32" i="80" s="1"/>
  <c r="K29" i="80"/>
  <c r="M29" i="80" s="1"/>
  <c r="O29" i="80" s="1"/>
  <c r="K30" i="80"/>
  <c r="M30" i="80" s="1"/>
  <c r="O30" i="80" s="1"/>
  <c r="K10" i="80"/>
  <c r="M10" i="80" s="1"/>
  <c r="O10" i="80" s="1"/>
  <c r="K24" i="80"/>
  <c r="M24" i="80" s="1"/>
  <c r="O24" i="80" s="1"/>
  <c r="K27" i="80"/>
  <c r="M27" i="80" s="1"/>
  <c r="O27" i="80" s="1"/>
  <c r="K21" i="80"/>
  <c r="M21" i="80" s="1"/>
  <c r="O21" i="80" s="1"/>
  <c r="K26" i="80"/>
  <c r="M26" i="80" s="1"/>
  <c r="O26" i="80" s="1"/>
  <c r="K25" i="80"/>
  <c r="M25" i="80" s="1"/>
  <c r="O25" i="80" s="1"/>
  <c r="K23" i="80"/>
  <c r="M23" i="80" s="1"/>
  <c r="O23" i="80" s="1"/>
  <c r="K22" i="80"/>
  <c r="M22" i="80" s="1"/>
  <c r="O22" i="80" s="1"/>
  <c r="K20" i="80"/>
  <c r="M20" i="80" s="1"/>
  <c r="O20" i="80" s="1"/>
  <c r="K17" i="80"/>
  <c r="M17" i="80" s="1"/>
  <c r="O17" i="80" s="1"/>
  <c r="K12" i="80"/>
  <c r="M12" i="80" s="1"/>
  <c r="O12" i="80" s="1"/>
  <c r="K16" i="80"/>
  <c r="M16" i="80" s="1"/>
  <c r="O16" i="80" s="1"/>
  <c r="K33" i="80"/>
  <c r="M33" i="80" s="1"/>
  <c r="O33" i="80" s="1"/>
  <c r="O13" i="80"/>
  <c r="O15" i="80"/>
  <c r="N34" i="79"/>
  <c r="I34" i="79"/>
  <c r="H34" i="79"/>
  <c r="N101" i="79"/>
  <c r="I101" i="79"/>
  <c r="H101" i="79"/>
  <c r="N100" i="79"/>
  <c r="I100" i="79"/>
  <c r="K100" i="79" s="1"/>
  <c r="M100" i="79" s="1"/>
  <c r="H100" i="79"/>
  <c r="N99" i="79"/>
  <c r="I99" i="79"/>
  <c r="H99" i="79"/>
  <c r="N98" i="79"/>
  <c r="I98" i="79"/>
  <c r="H98" i="79"/>
  <c r="N97" i="79"/>
  <c r="I97" i="79"/>
  <c r="H97" i="79"/>
  <c r="N96" i="79"/>
  <c r="I96" i="79"/>
  <c r="H96" i="79"/>
  <c r="N95" i="79"/>
  <c r="I95" i="79"/>
  <c r="H95" i="79"/>
  <c r="N94" i="79"/>
  <c r="I94" i="79"/>
  <c r="H94" i="79"/>
  <c r="N93" i="79"/>
  <c r="I93" i="79"/>
  <c r="H93" i="79"/>
  <c r="N92" i="79"/>
  <c r="I92" i="79"/>
  <c r="H92" i="79"/>
  <c r="N91" i="79"/>
  <c r="I91" i="79"/>
  <c r="H91" i="79"/>
  <c r="N90" i="79"/>
  <c r="I90" i="79"/>
  <c r="H90" i="79"/>
  <c r="N89" i="79"/>
  <c r="I89" i="79"/>
  <c r="H89" i="79"/>
  <c r="N88" i="79"/>
  <c r="I88" i="79"/>
  <c r="H88" i="79"/>
  <c r="N87" i="79"/>
  <c r="I87" i="79"/>
  <c r="H87" i="79"/>
  <c r="N86" i="79"/>
  <c r="I86" i="79"/>
  <c r="H86" i="79"/>
  <c r="N85" i="79"/>
  <c r="I85" i="79"/>
  <c r="H85" i="79"/>
  <c r="N84" i="79"/>
  <c r="I84" i="79"/>
  <c r="H84" i="79"/>
  <c r="N83" i="79"/>
  <c r="I83" i="79"/>
  <c r="H83" i="79"/>
  <c r="N82" i="79"/>
  <c r="I82" i="79"/>
  <c r="H82" i="79"/>
  <c r="N81" i="79"/>
  <c r="I81" i="79"/>
  <c r="H81" i="79"/>
  <c r="N80" i="79"/>
  <c r="I80" i="79"/>
  <c r="H80" i="79"/>
  <c r="N79" i="79"/>
  <c r="I79" i="79"/>
  <c r="H79" i="79"/>
  <c r="N78" i="79"/>
  <c r="I78" i="79"/>
  <c r="H78" i="79"/>
  <c r="N77" i="79"/>
  <c r="I77" i="79"/>
  <c r="H77" i="79"/>
  <c r="N76" i="79"/>
  <c r="I76" i="79"/>
  <c r="H76" i="79"/>
  <c r="N75" i="79"/>
  <c r="I75" i="79"/>
  <c r="H75" i="79"/>
  <c r="N74" i="79"/>
  <c r="I74" i="79"/>
  <c r="H74" i="79"/>
  <c r="N73" i="79"/>
  <c r="I73" i="79"/>
  <c r="H73" i="79"/>
  <c r="N72" i="79"/>
  <c r="I72" i="79"/>
  <c r="H72" i="79"/>
  <c r="N71" i="79"/>
  <c r="I71" i="79"/>
  <c r="H71" i="79"/>
  <c r="N70" i="79"/>
  <c r="I70" i="79"/>
  <c r="H70" i="79"/>
  <c r="N69" i="79"/>
  <c r="I69" i="79"/>
  <c r="H69" i="79"/>
  <c r="N68" i="79"/>
  <c r="I68" i="79"/>
  <c r="H68" i="79"/>
  <c r="N67" i="79"/>
  <c r="I67" i="79"/>
  <c r="H67" i="79"/>
  <c r="N66" i="79"/>
  <c r="I66" i="79"/>
  <c r="H66" i="79"/>
  <c r="N65" i="79"/>
  <c r="I65" i="79"/>
  <c r="H65" i="79"/>
  <c r="N64" i="79"/>
  <c r="I64" i="79"/>
  <c r="H64" i="79"/>
  <c r="N63" i="79"/>
  <c r="I63" i="79"/>
  <c r="H63" i="79"/>
  <c r="N62" i="79"/>
  <c r="I62" i="79"/>
  <c r="H62" i="79"/>
  <c r="N61" i="79"/>
  <c r="I61" i="79"/>
  <c r="H61" i="79"/>
  <c r="N60" i="79"/>
  <c r="I60" i="79"/>
  <c r="H60" i="79"/>
  <c r="N59" i="79"/>
  <c r="I59" i="79"/>
  <c r="H59" i="79"/>
  <c r="N58" i="79"/>
  <c r="I58" i="79"/>
  <c r="H58" i="79"/>
  <c r="N57" i="79"/>
  <c r="I57" i="79"/>
  <c r="H57" i="79"/>
  <c r="N56" i="79"/>
  <c r="I56" i="79"/>
  <c r="H56" i="79"/>
  <c r="N55" i="79"/>
  <c r="I55" i="79"/>
  <c r="H55" i="79"/>
  <c r="N54" i="79"/>
  <c r="I54" i="79"/>
  <c r="H54" i="79"/>
  <c r="N53" i="79"/>
  <c r="I53" i="79"/>
  <c r="H53" i="79"/>
  <c r="N52" i="79"/>
  <c r="I52" i="79"/>
  <c r="H52" i="79"/>
  <c r="N51" i="79"/>
  <c r="I51" i="79"/>
  <c r="H51" i="79"/>
  <c r="N50" i="79"/>
  <c r="I50" i="79"/>
  <c r="H50" i="79"/>
  <c r="N49" i="79"/>
  <c r="I49" i="79"/>
  <c r="H49" i="79"/>
  <c r="N48" i="79"/>
  <c r="I48" i="79"/>
  <c r="H48" i="79"/>
  <c r="N47" i="79"/>
  <c r="I47" i="79"/>
  <c r="H47" i="79"/>
  <c r="N46" i="79"/>
  <c r="I46" i="79"/>
  <c r="H46" i="79"/>
  <c r="N45" i="79"/>
  <c r="I45" i="79"/>
  <c r="H45" i="79"/>
  <c r="N44" i="79"/>
  <c r="I44" i="79"/>
  <c r="H44" i="79"/>
  <c r="N43" i="79"/>
  <c r="I43" i="79"/>
  <c r="H43" i="79"/>
  <c r="N42" i="79"/>
  <c r="I42" i="79"/>
  <c r="H42" i="79"/>
  <c r="N41" i="79"/>
  <c r="I41" i="79"/>
  <c r="H41" i="79"/>
  <c r="N40" i="79"/>
  <c r="I40" i="79"/>
  <c r="H40" i="79"/>
  <c r="N39" i="79"/>
  <c r="I39" i="79"/>
  <c r="H39" i="79"/>
  <c r="N38" i="79"/>
  <c r="I38" i="79"/>
  <c r="H38" i="79"/>
  <c r="N37" i="79"/>
  <c r="I37" i="79"/>
  <c r="H37" i="79"/>
  <c r="N36" i="79"/>
  <c r="I36" i="79"/>
  <c r="H36" i="79"/>
  <c r="N33" i="79"/>
  <c r="I33" i="79"/>
  <c r="H33" i="79"/>
  <c r="N32" i="79"/>
  <c r="I32" i="79"/>
  <c r="H32" i="79"/>
  <c r="N28" i="79"/>
  <c r="I28" i="79"/>
  <c r="H28" i="79"/>
  <c r="N24" i="79"/>
  <c r="I24" i="79"/>
  <c r="H24" i="79"/>
  <c r="I13" i="79"/>
  <c r="H13" i="79"/>
  <c r="I7" i="79"/>
  <c r="H7" i="79"/>
  <c r="I6" i="79"/>
  <c r="H6" i="79"/>
  <c r="N29" i="79"/>
  <c r="I29" i="79"/>
  <c r="H29" i="79"/>
  <c r="N27" i="79"/>
  <c r="I27" i="79"/>
  <c r="H27" i="79"/>
  <c r="N22" i="79"/>
  <c r="I22" i="79"/>
  <c r="H22" i="79"/>
  <c r="I15" i="79"/>
  <c r="H15" i="79"/>
  <c r="I14" i="79"/>
  <c r="H14" i="79"/>
  <c r="I23" i="79"/>
  <c r="H23" i="79"/>
  <c r="I30" i="79"/>
  <c r="H30" i="79"/>
  <c r="N17" i="79"/>
  <c r="I17" i="79"/>
  <c r="H17" i="79"/>
  <c r="N16" i="79"/>
  <c r="I16" i="79"/>
  <c r="H16" i="79"/>
  <c r="I10" i="79"/>
  <c r="H10" i="79"/>
  <c r="I9" i="79"/>
  <c r="H9" i="79"/>
  <c r="I25" i="79"/>
  <c r="H25" i="79"/>
  <c r="I26" i="79"/>
  <c r="H26" i="79"/>
  <c r="N11" i="79"/>
  <c r="I11" i="79"/>
  <c r="H11" i="79"/>
  <c r="I19" i="79"/>
  <c r="H19" i="79"/>
  <c r="I20" i="79"/>
  <c r="H20" i="79"/>
  <c r="T10" i="79"/>
  <c r="N30" i="79" s="1"/>
  <c r="I18" i="79"/>
  <c r="H18" i="79"/>
  <c r="T9" i="79"/>
  <c r="N18" i="79" s="1"/>
  <c r="I12" i="79"/>
  <c r="H12" i="79"/>
  <c r="T8" i="79"/>
  <c r="N7" i="79" s="1"/>
  <c r="I31" i="79"/>
  <c r="H31" i="79"/>
  <c r="I21" i="79"/>
  <c r="H21" i="79"/>
  <c r="T6" i="79"/>
  <c r="I8" i="79"/>
  <c r="H8" i="79"/>
  <c r="N5" i="79"/>
  <c r="I5" i="79"/>
  <c r="H5" i="79"/>
  <c r="T4" i="79"/>
  <c r="T3" i="79"/>
  <c r="A1" i="79"/>
  <c r="K10" i="79" l="1"/>
  <c r="M10" i="79" s="1"/>
  <c r="K43" i="79"/>
  <c r="M43" i="79" s="1"/>
  <c r="O43" i="79" s="1"/>
  <c r="K51" i="79"/>
  <c r="M51" i="79" s="1"/>
  <c r="O51" i="79" s="1"/>
  <c r="K96" i="79"/>
  <c r="M96" i="79" s="1"/>
  <c r="O96" i="79" s="1"/>
  <c r="K99" i="79"/>
  <c r="M99" i="79" s="1"/>
  <c r="O99" i="79" s="1"/>
  <c r="K57" i="79"/>
  <c r="M57" i="79" s="1"/>
  <c r="O57" i="79" s="1"/>
  <c r="K101" i="79"/>
  <c r="M101" i="79" s="1"/>
  <c r="O101" i="79" s="1"/>
  <c r="K36" i="79"/>
  <c r="M36" i="79" s="1"/>
  <c r="O36" i="79" s="1"/>
  <c r="K39" i="79"/>
  <c r="M39" i="79" s="1"/>
  <c r="K52" i="79"/>
  <c r="M52" i="79" s="1"/>
  <c r="O52" i="79" s="1"/>
  <c r="K55" i="79"/>
  <c r="M55" i="79" s="1"/>
  <c r="O55" i="79" s="1"/>
  <c r="K60" i="79"/>
  <c r="M60" i="79" s="1"/>
  <c r="O60" i="79" s="1"/>
  <c r="K63" i="79"/>
  <c r="M63" i="79" s="1"/>
  <c r="O63" i="79" s="1"/>
  <c r="K87" i="79"/>
  <c r="M87" i="79" s="1"/>
  <c r="O87" i="79" s="1"/>
  <c r="K95" i="79"/>
  <c r="M95" i="79" s="1"/>
  <c r="K40" i="79"/>
  <c r="M40" i="79" s="1"/>
  <c r="O40" i="79" s="1"/>
  <c r="O100" i="79"/>
  <c r="K48" i="79"/>
  <c r="M48" i="79" s="1"/>
  <c r="O48" i="79" s="1"/>
  <c r="K58" i="79"/>
  <c r="M58" i="79" s="1"/>
  <c r="O58" i="79" s="1"/>
  <c r="K76" i="79"/>
  <c r="M76" i="79" s="1"/>
  <c r="O76" i="79" s="1"/>
  <c r="K84" i="79"/>
  <c r="M84" i="79" s="1"/>
  <c r="O84" i="79" s="1"/>
  <c r="N20" i="79"/>
  <c r="N12" i="79"/>
  <c r="N13" i="79"/>
  <c r="O13" i="79" s="1"/>
  <c r="K44" i="79"/>
  <c r="M44" i="79" s="1"/>
  <c r="O44" i="79" s="1"/>
  <c r="K47" i="79"/>
  <c r="M47" i="79" s="1"/>
  <c r="O47" i="79" s="1"/>
  <c r="K64" i="79"/>
  <c r="M64" i="79" s="1"/>
  <c r="O64" i="79" s="1"/>
  <c r="K67" i="79"/>
  <c r="M67" i="79" s="1"/>
  <c r="O67" i="79" s="1"/>
  <c r="K72" i="79"/>
  <c r="M72" i="79" s="1"/>
  <c r="O72" i="79" s="1"/>
  <c r="K75" i="79"/>
  <c r="M75" i="79" s="1"/>
  <c r="O75" i="79" s="1"/>
  <c r="K80" i="79"/>
  <c r="M80" i="79" s="1"/>
  <c r="O80" i="79" s="1"/>
  <c r="K88" i="79"/>
  <c r="M88" i="79" s="1"/>
  <c r="O88" i="79" s="1"/>
  <c r="K91" i="79"/>
  <c r="M91" i="79" s="1"/>
  <c r="K68" i="79"/>
  <c r="M68" i="79" s="1"/>
  <c r="O68" i="79" s="1"/>
  <c r="K92" i="79"/>
  <c r="M92" i="79" s="1"/>
  <c r="O92" i="79" s="1"/>
  <c r="K53" i="79"/>
  <c r="M53" i="79" s="1"/>
  <c r="O53" i="79" s="1"/>
  <c r="K46" i="79"/>
  <c r="M46" i="79" s="1"/>
  <c r="O46" i="79" s="1"/>
  <c r="K56" i="79"/>
  <c r="M56" i="79" s="1"/>
  <c r="O56" i="79" s="1"/>
  <c r="K59" i="79"/>
  <c r="M59" i="79" s="1"/>
  <c r="O59" i="79" s="1"/>
  <c r="K45" i="79"/>
  <c r="M45" i="79" s="1"/>
  <c r="O45" i="79" s="1"/>
  <c r="O39" i="79"/>
  <c r="K41" i="79"/>
  <c r="M41" i="79" s="1"/>
  <c r="O41" i="79" s="1"/>
  <c r="K89" i="79"/>
  <c r="M89" i="79" s="1"/>
  <c r="O89" i="79" s="1"/>
  <c r="K94" i="79"/>
  <c r="M94" i="79" s="1"/>
  <c r="O94" i="79" s="1"/>
  <c r="K70" i="79"/>
  <c r="M70" i="79" s="1"/>
  <c r="O70" i="79" s="1"/>
  <c r="K82" i="79"/>
  <c r="M82" i="79" s="1"/>
  <c r="O82" i="79" s="1"/>
  <c r="N21" i="79"/>
  <c r="N19" i="79"/>
  <c r="N25" i="79"/>
  <c r="N6" i="79"/>
  <c r="K37" i="79"/>
  <c r="M37" i="79" s="1"/>
  <c r="O37" i="79" s="1"/>
  <c r="K42" i="79"/>
  <c r="M42" i="79" s="1"/>
  <c r="O42" i="79" s="1"/>
  <c r="K49" i="79"/>
  <c r="M49" i="79" s="1"/>
  <c r="O49" i="79" s="1"/>
  <c r="K54" i="79"/>
  <c r="M54" i="79" s="1"/>
  <c r="O54" i="79" s="1"/>
  <c r="K61" i="79"/>
  <c r="M61" i="79" s="1"/>
  <c r="O61" i="79" s="1"/>
  <c r="O95" i="79"/>
  <c r="K97" i="79"/>
  <c r="M97" i="79" s="1"/>
  <c r="O97" i="79" s="1"/>
  <c r="K11" i="79"/>
  <c r="M11" i="79" s="1"/>
  <c r="O11" i="79" s="1"/>
  <c r="N14" i="79"/>
  <c r="K66" i="79"/>
  <c r="M66" i="79" s="1"/>
  <c r="O66" i="79" s="1"/>
  <c r="K71" i="79"/>
  <c r="M71" i="79" s="1"/>
  <c r="O71" i="79" s="1"/>
  <c r="K73" i="79"/>
  <c r="M73" i="79" s="1"/>
  <c r="O73" i="79" s="1"/>
  <c r="K78" i="79"/>
  <c r="M78" i="79" s="1"/>
  <c r="O78" i="79" s="1"/>
  <c r="K83" i="79"/>
  <c r="M83" i="79" s="1"/>
  <c r="O83" i="79" s="1"/>
  <c r="K85" i="79"/>
  <c r="M85" i="79" s="1"/>
  <c r="O85" i="79" s="1"/>
  <c r="K90" i="79"/>
  <c r="M90" i="79" s="1"/>
  <c r="O90" i="79" s="1"/>
  <c r="K65" i="79"/>
  <c r="M65" i="79" s="1"/>
  <c r="K77" i="79"/>
  <c r="M77" i="79" s="1"/>
  <c r="O77" i="79" s="1"/>
  <c r="K38" i="79"/>
  <c r="M38" i="79" s="1"/>
  <c r="O38" i="79" s="1"/>
  <c r="K50" i="79"/>
  <c r="M50" i="79" s="1"/>
  <c r="O50" i="79" s="1"/>
  <c r="K62" i="79"/>
  <c r="M62" i="79" s="1"/>
  <c r="O62" i="79" s="1"/>
  <c r="O91" i="79"/>
  <c r="K93" i="79"/>
  <c r="M93" i="79" s="1"/>
  <c r="O93" i="79" s="1"/>
  <c r="K98" i="79"/>
  <c r="M98" i="79" s="1"/>
  <c r="O98" i="79" s="1"/>
  <c r="N15" i="79"/>
  <c r="K69" i="79"/>
  <c r="M69" i="79" s="1"/>
  <c r="O69" i="79" s="1"/>
  <c r="K74" i="79"/>
  <c r="M74" i="79" s="1"/>
  <c r="O74" i="79" s="1"/>
  <c r="K79" i="79"/>
  <c r="M79" i="79" s="1"/>
  <c r="O79" i="79" s="1"/>
  <c r="K81" i="79"/>
  <c r="M81" i="79" s="1"/>
  <c r="O81" i="79" s="1"/>
  <c r="K86" i="79"/>
  <c r="M86" i="79" s="1"/>
  <c r="O86" i="79" s="1"/>
  <c r="K27" i="79"/>
  <c r="M27" i="79" s="1"/>
  <c r="O27" i="79" s="1"/>
  <c r="K33" i="79"/>
  <c r="M33" i="79" s="1"/>
  <c r="O33" i="79" s="1"/>
  <c r="K34" i="79"/>
  <c r="M34" i="79" s="1"/>
  <c r="O34" i="79" s="1"/>
  <c r="K16" i="79"/>
  <c r="M16" i="79" s="1"/>
  <c r="O16" i="79" s="1"/>
  <c r="K23" i="79"/>
  <c r="M23" i="79" s="1"/>
  <c r="K13" i="79"/>
  <c r="M13" i="79" s="1"/>
  <c r="K7" i="79"/>
  <c r="M7" i="79" s="1"/>
  <c r="O7" i="79" s="1"/>
  <c r="K8" i="79"/>
  <c r="M8" i="79" s="1"/>
  <c r="K20" i="79"/>
  <c r="M20" i="79" s="1"/>
  <c r="K15" i="79"/>
  <c r="M15" i="79" s="1"/>
  <c r="K28" i="79"/>
  <c r="M28" i="79" s="1"/>
  <c r="O28" i="79" s="1"/>
  <c r="K12" i="79"/>
  <c r="M12" i="79" s="1"/>
  <c r="K26" i="79"/>
  <c r="M26" i="79" s="1"/>
  <c r="K30" i="79"/>
  <c r="M30" i="79" s="1"/>
  <c r="O30" i="79" s="1"/>
  <c r="K29" i="79"/>
  <c r="M29" i="79" s="1"/>
  <c r="O29" i="79" s="1"/>
  <c r="K21" i="79"/>
  <c r="M21" i="79" s="1"/>
  <c r="K19" i="79"/>
  <c r="M19" i="79" s="1"/>
  <c r="K25" i="79"/>
  <c r="M25" i="79" s="1"/>
  <c r="K22" i="79"/>
  <c r="M22" i="79" s="1"/>
  <c r="O22" i="79" s="1"/>
  <c r="K32" i="79"/>
  <c r="M32" i="79" s="1"/>
  <c r="O32" i="79" s="1"/>
  <c r="K6" i="79"/>
  <c r="M6" i="79" s="1"/>
  <c r="K5" i="79"/>
  <c r="M5" i="79" s="1"/>
  <c r="O5" i="79" s="1"/>
  <c r="K14" i="79"/>
  <c r="M14" i="79" s="1"/>
  <c r="K24" i="79"/>
  <c r="M24" i="79" s="1"/>
  <c r="O24" i="79" s="1"/>
  <c r="K31" i="79"/>
  <c r="M31" i="79" s="1"/>
  <c r="K9" i="79"/>
  <c r="M9" i="79" s="1"/>
  <c r="K17" i="79"/>
  <c r="M17" i="79" s="1"/>
  <c r="O17" i="79" s="1"/>
  <c r="N8" i="79"/>
  <c r="N31" i="79"/>
  <c r="O65" i="79"/>
  <c r="K18" i="79"/>
  <c r="M18" i="79" s="1"/>
  <c r="O18" i="79" s="1"/>
  <c r="N26" i="79"/>
  <c r="N10" i="79"/>
  <c r="O10" i="79" s="1"/>
  <c r="N23" i="79"/>
  <c r="N9" i="79"/>
  <c r="N100" i="78"/>
  <c r="I100" i="78"/>
  <c r="H100" i="78"/>
  <c r="K100" i="78" s="1"/>
  <c r="M100" i="78" s="1"/>
  <c r="O100" i="78" s="1"/>
  <c r="N99" i="78"/>
  <c r="K99" i="78"/>
  <c r="M99" i="78" s="1"/>
  <c r="O99" i="78" s="1"/>
  <c r="I99" i="78"/>
  <c r="H99" i="78"/>
  <c r="N98" i="78"/>
  <c r="I98" i="78"/>
  <c r="H98" i="78"/>
  <c r="K98" i="78" s="1"/>
  <c r="M98" i="78" s="1"/>
  <c r="O98" i="78" s="1"/>
  <c r="N97" i="78"/>
  <c r="K97" i="78"/>
  <c r="M97" i="78" s="1"/>
  <c r="O97" i="78" s="1"/>
  <c r="I97" i="78"/>
  <c r="H97" i="78"/>
  <c r="N96" i="78"/>
  <c r="I96" i="78"/>
  <c r="H96" i="78"/>
  <c r="K96" i="78" s="1"/>
  <c r="M96" i="78" s="1"/>
  <c r="O96" i="78" s="1"/>
  <c r="N95" i="78"/>
  <c r="I95" i="78"/>
  <c r="H95" i="78"/>
  <c r="K95" i="78" s="1"/>
  <c r="M95" i="78" s="1"/>
  <c r="O95" i="78" s="1"/>
  <c r="N94" i="78"/>
  <c r="I94" i="78"/>
  <c r="H94" i="78"/>
  <c r="K94" i="78" s="1"/>
  <c r="M94" i="78" s="1"/>
  <c r="O94" i="78" s="1"/>
  <c r="N93" i="78"/>
  <c r="K93" i="78"/>
  <c r="M93" i="78" s="1"/>
  <c r="O93" i="78" s="1"/>
  <c r="I93" i="78"/>
  <c r="H93" i="78"/>
  <c r="N92" i="78"/>
  <c r="I92" i="78"/>
  <c r="H92" i="78"/>
  <c r="K92" i="78" s="1"/>
  <c r="M92" i="78" s="1"/>
  <c r="O92" i="78" s="1"/>
  <c r="N91" i="78"/>
  <c r="I91" i="78"/>
  <c r="H91" i="78"/>
  <c r="K91" i="78" s="1"/>
  <c r="M91" i="78" s="1"/>
  <c r="O91" i="78" s="1"/>
  <c r="N90" i="78"/>
  <c r="I90" i="78"/>
  <c r="H90" i="78"/>
  <c r="K90" i="78" s="1"/>
  <c r="M90" i="78" s="1"/>
  <c r="O90" i="78" s="1"/>
  <c r="N89" i="78"/>
  <c r="K89" i="78"/>
  <c r="M89" i="78" s="1"/>
  <c r="O89" i="78" s="1"/>
  <c r="I89" i="78"/>
  <c r="H89" i="78"/>
  <c r="N88" i="78"/>
  <c r="I88" i="78"/>
  <c r="H88" i="78"/>
  <c r="K88" i="78" s="1"/>
  <c r="M88" i="78" s="1"/>
  <c r="O88" i="78" s="1"/>
  <c r="N87" i="78"/>
  <c r="I87" i="78"/>
  <c r="H87" i="78"/>
  <c r="K87" i="78" s="1"/>
  <c r="M87" i="78" s="1"/>
  <c r="O87" i="78" s="1"/>
  <c r="N86" i="78"/>
  <c r="I86" i="78"/>
  <c r="H86" i="78"/>
  <c r="K86" i="78" s="1"/>
  <c r="M86" i="78" s="1"/>
  <c r="O86" i="78" s="1"/>
  <c r="N85" i="78"/>
  <c r="K85" i="78"/>
  <c r="M85" i="78" s="1"/>
  <c r="O85" i="78" s="1"/>
  <c r="I85" i="78"/>
  <c r="H85" i="78"/>
  <c r="N84" i="78"/>
  <c r="I84" i="78"/>
  <c r="H84" i="78"/>
  <c r="K84" i="78" s="1"/>
  <c r="M84" i="78" s="1"/>
  <c r="O84" i="78" s="1"/>
  <c r="N83" i="78"/>
  <c r="I83" i="78"/>
  <c r="H83" i="78"/>
  <c r="K83" i="78" s="1"/>
  <c r="M83" i="78" s="1"/>
  <c r="O83" i="78" s="1"/>
  <c r="N82" i="78"/>
  <c r="K82" i="78"/>
  <c r="M82" i="78" s="1"/>
  <c r="O82" i="78" s="1"/>
  <c r="I82" i="78"/>
  <c r="H82" i="78"/>
  <c r="N81" i="78"/>
  <c r="K81" i="78"/>
  <c r="M81" i="78" s="1"/>
  <c r="O81" i="78" s="1"/>
  <c r="I81" i="78"/>
  <c r="H81" i="78"/>
  <c r="N80" i="78"/>
  <c r="I80" i="78"/>
  <c r="H80" i="78"/>
  <c r="K80" i="78" s="1"/>
  <c r="M80" i="78" s="1"/>
  <c r="O80" i="78" s="1"/>
  <c r="N79" i="78"/>
  <c r="I79" i="78"/>
  <c r="H79" i="78"/>
  <c r="K79" i="78" s="1"/>
  <c r="M79" i="78" s="1"/>
  <c r="O79" i="78" s="1"/>
  <c r="N78" i="78"/>
  <c r="I78" i="78"/>
  <c r="H78" i="78"/>
  <c r="K78" i="78" s="1"/>
  <c r="M78" i="78" s="1"/>
  <c r="O78" i="78" s="1"/>
  <c r="N77" i="78"/>
  <c r="K77" i="78"/>
  <c r="M77" i="78" s="1"/>
  <c r="O77" i="78" s="1"/>
  <c r="I77" i="78"/>
  <c r="H77" i="78"/>
  <c r="N76" i="78"/>
  <c r="I76" i="78"/>
  <c r="H76" i="78"/>
  <c r="K76" i="78" s="1"/>
  <c r="M76" i="78" s="1"/>
  <c r="O76" i="78" s="1"/>
  <c r="N75" i="78"/>
  <c r="I75" i="78"/>
  <c r="H75" i="78"/>
  <c r="K75" i="78" s="1"/>
  <c r="M75" i="78" s="1"/>
  <c r="O75" i="78" s="1"/>
  <c r="N74" i="78"/>
  <c r="I74" i="78"/>
  <c r="H74" i="78"/>
  <c r="K74" i="78" s="1"/>
  <c r="M74" i="78" s="1"/>
  <c r="O74" i="78" s="1"/>
  <c r="N73" i="78"/>
  <c r="K73" i="78"/>
  <c r="M73" i="78" s="1"/>
  <c r="O73" i="78" s="1"/>
  <c r="I73" i="78"/>
  <c r="H73" i="78"/>
  <c r="N72" i="78"/>
  <c r="I72" i="78"/>
  <c r="H72" i="78"/>
  <c r="K72" i="78" s="1"/>
  <c r="M72" i="78" s="1"/>
  <c r="O72" i="78" s="1"/>
  <c r="N71" i="78"/>
  <c r="I71" i="78"/>
  <c r="H71" i="78"/>
  <c r="K71" i="78" s="1"/>
  <c r="M71" i="78" s="1"/>
  <c r="O71" i="78" s="1"/>
  <c r="N70" i="78"/>
  <c r="I70" i="78"/>
  <c r="H70" i="78"/>
  <c r="K70" i="78" s="1"/>
  <c r="M70" i="78" s="1"/>
  <c r="O70" i="78" s="1"/>
  <c r="N69" i="78"/>
  <c r="K69" i="78"/>
  <c r="M69" i="78" s="1"/>
  <c r="O69" i="78" s="1"/>
  <c r="I69" i="78"/>
  <c r="H69" i="78"/>
  <c r="N68" i="78"/>
  <c r="I68" i="78"/>
  <c r="H68" i="78"/>
  <c r="K68" i="78" s="1"/>
  <c r="M68" i="78" s="1"/>
  <c r="O68" i="78" s="1"/>
  <c r="N67" i="78"/>
  <c r="I67" i="78"/>
  <c r="H67" i="78"/>
  <c r="K67" i="78" s="1"/>
  <c r="M67" i="78" s="1"/>
  <c r="O67" i="78" s="1"/>
  <c r="N66" i="78"/>
  <c r="I66" i="78"/>
  <c r="H66" i="78"/>
  <c r="K66" i="78" s="1"/>
  <c r="M66" i="78" s="1"/>
  <c r="O66" i="78" s="1"/>
  <c r="N65" i="78"/>
  <c r="K65" i="78"/>
  <c r="M65" i="78" s="1"/>
  <c r="O65" i="78" s="1"/>
  <c r="I65" i="78"/>
  <c r="H65" i="78"/>
  <c r="N64" i="78"/>
  <c r="I64" i="78"/>
  <c r="H64" i="78"/>
  <c r="K64" i="78" s="1"/>
  <c r="M64" i="78" s="1"/>
  <c r="O64" i="78" s="1"/>
  <c r="N63" i="78"/>
  <c r="I63" i="78"/>
  <c r="H63" i="78"/>
  <c r="K63" i="78" s="1"/>
  <c r="M63" i="78" s="1"/>
  <c r="O63" i="78" s="1"/>
  <c r="N62" i="78"/>
  <c r="I62" i="78"/>
  <c r="H62" i="78"/>
  <c r="K62" i="78" s="1"/>
  <c r="M62" i="78" s="1"/>
  <c r="O62" i="78" s="1"/>
  <c r="N61" i="78"/>
  <c r="K61" i="78"/>
  <c r="M61" i="78" s="1"/>
  <c r="O61" i="78" s="1"/>
  <c r="I61" i="78"/>
  <c r="H61" i="78"/>
  <c r="N60" i="78"/>
  <c r="I60" i="78"/>
  <c r="H60" i="78"/>
  <c r="K60" i="78" s="1"/>
  <c r="M60" i="78" s="1"/>
  <c r="O60" i="78" s="1"/>
  <c r="N59" i="78"/>
  <c r="I59" i="78"/>
  <c r="H59" i="78"/>
  <c r="K59" i="78" s="1"/>
  <c r="M59" i="78" s="1"/>
  <c r="O59" i="78" s="1"/>
  <c r="N58" i="78"/>
  <c r="I58" i="78"/>
  <c r="H58" i="78"/>
  <c r="K58" i="78" s="1"/>
  <c r="M58" i="78" s="1"/>
  <c r="O58" i="78" s="1"/>
  <c r="N57" i="78"/>
  <c r="K57" i="78"/>
  <c r="M57" i="78" s="1"/>
  <c r="O57" i="78" s="1"/>
  <c r="I57" i="78"/>
  <c r="H57" i="78"/>
  <c r="N56" i="78"/>
  <c r="I56" i="78"/>
  <c r="H56" i="78"/>
  <c r="K56" i="78" s="1"/>
  <c r="M56" i="78" s="1"/>
  <c r="O56" i="78" s="1"/>
  <c r="N55" i="78"/>
  <c r="I55" i="78"/>
  <c r="H55" i="78"/>
  <c r="K55" i="78" s="1"/>
  <c r="M55" i="78" s="1"/>
  <c r="O55" i="78" s="1"/>
  <c r="N54" i="78"/>
  <c r="I54" i="78"/>
  <c r="H54" i="78"/>
  <c r="K54" i="78" s="1"/>
  <c r="M54" i="78" s="1"/>
  <c r="O54" i="78" s="1"/>
  <c r="N53" i="78"/>
  <c r="K53" i="78"/>
  <c r="M53" i="78" s="1"/>
  <c r="O53" i="78" s="1"/>
  <c r="I53" i="78"/>
  <c r="H53" i="78"/>
  <c r="N52" i="78"/>
  <c r="I52" i="78"/>
  <c r="H52" i="78"/>
  <c r="K52" i="78" s="1"/>
  <c r="M52" i="78" s="1"/>
  <c r="O52" i="78" s="1"/>
  <c r="N51" i="78"/>
  <c r="I51" i="78"/>
  <c r="H51" i="78"/>
  <c r="K51" i="78" s="1"/>
  <c r="M51" i="78" s="1"/>
  <c r="O51" i="78" s="1"/>
  <c r="N50" i="78"/>
  <c r="I50" i="78"/>
  <c r="H50" i="78"/>
  <c r="K50" i="78" s="1"/>
  <c r="M50" i="78" s="1"/>
  <c r="O50" i="78" s="1"/>
  <c r="N49" i="78"/>
  <c r="K49" i="78"/>
  <c r="M49" i="78" s="1"/>
  <c r="O49" i="78" s="1"/>
  <c r="I49" i="78"/>
  <c r="H49" i="78"/>
  <c r="N48" i="78"/>
  <c r="I48" i="78"/>
  <c r="H48" i="78"/>
  <c r="K48" i="78" s="1"/>
  <c r="M48" i="78" s="1"/>
  <c r="O48" i="78" s="1"/>
  <c r="N47" i="78"/>
  <c r="I47" i="78"/>
  <c r="H47" i="78"/>
  <c r="K47" i="78" s="1"/>
  <c r="M47" i="78" s="1"/>
  <c r="O47" i="78" s="1"/>
  <c r="N46" i="78"/>
  <c r="I46" i="78"/>
  <c r="H46" i="78"/>
  <c r="K46" i="78" s="1"/>
  <c r="M46" i="78" s="1"/>
  <c r="O46" i="78" s="1"/>
  <c r="N45" i="78"/>
  <c r="K45" i="78"/>
  <c r="M45" i="78" s="1"/>
  <c r="O45" i="78" s="1"/>
  <c r="I45" i="78"/>
  <c r="H45" i="78"/>
  <c r="N44" i="78"/>
  <c r="I44" i="78"/>
  <c r="H44" i="78"/>
  <c r="K44" i="78" s="1"/>
  <c r="M44" i="78" s="1"/>
  <c r="O44" i="78" s="1"/>
  <c r="N43" i="78"/>
  <c r="I43" i="78"/>
  <c r="H43" i="78"/>
  <c r="K43" i="78" s="1"/>
  <c r="M43" i="78" s="1"/>
  <c r="O43" i="78" s="1"/>
  <c r="N42" i="78"/>
  <c r="I42" i="78"/>
  <c r="H42" i="78"/>
  <c r="K42" i="78" s="1"/>
  <c r="M42" i="78" s="1"/>
  <c r="O42" i="78" s="1"/>
  <c r="N41" i="78"/>
  <c r="K41" i="78"/>
  <c r="M41" i="78" s="1"/>
  <c r="O41" i="78" s="1"/>
  <c r="I41" i="78"/>
  <c r="H41" i="78"/>
  <c r="N40" i="78"/>
  <c r="I40" i="78"/>
  <c r="H40" i="78"/>
  <c r="K40" i="78" s="1"/>
  <c r="M40" i="78" s="1"/>
  <c r="O40" i="78" s="1"/>
  <c r="N39" i="78"/>
  <c r="I39" i="78"/>
  <c r="H39" i="78"/>
  <c r="K39" i="78" s="1"/>
  <c r="M39" i="78" s="1"/>
  <c r="O39" i="78" s="1"/>
  <c r="N38" i="78"/>
  <c r="I38" i="78"/>
  <c r="H38" i="78"/>
  <c r="K38" i="78" s="1"/>
  <c r="M38" i="78" s="1"/>
  <c r="O38" i="78" s="1"/>
  <c r="N37" i="78"/>
  <c r="K37" i="78"/>
  <c r="M37" i="78" s="1"/>
  <c r="O37" i="78" s="1"/>
  <c r="I37" i="78"/>
  <c r="H37" i="78"/>
  <c r="N36" i="78"/>
  <c r="I36" i="78"/>
  <c r="H36" i="78"/>
  <c r="K36" i="78" s="1"/>
  <c r="M36" i="78" s="1"/>
  <c r="O36" i="78" s="1"/>
  <c r="N35" i="78"/>
  <c r="I35" i="78"/>
  <c r="H35" i="78"/>
  <c r="K35" i="78" s="1"/>
  <c r="M35" i="78" s="1"/>
  <c r="O35" i="78" s="1"/>
  <c r="N30" i="78"/>
  <c r="I30" i="78"/>
  <c r="H30" i="78"/>
  <c r="N32" i="78"/>
  <c r="I32" i="78"/>
  <c r="H32" i="78"/>
  <c r="K32" i="78" s="1"/>
  <c r="M32" i="78" s="1"/>
  <c r="O32" i="78" s="1"/>
  <c r="N31" i="78"/>
  <c r="I31" i="78"/>
  <c r="H31" i="78"/>
  <c r="N14" i="78"/>
  <c r="I14" i="78"/>
  <c r="H14" i="78"/>
  <c r="N7" i="78"/>
  <c r="I7" i="78"/>
  <c r="H7" i="78"/>
  <c r="N24" i="78"/>
  <c r="I24" i="78"/>
  <c r="H24" i="78"/>
  <c r="N22" i="78"/>
  <c r="I22" i="78"/>
  <c r="H22" i="78"/>
  <c r="K22" i="78" s="1"/>
  <c r="M22" i="78" s="1"/>
  <c r="N19" i="78"/>
  <c r="I19" i="78"/>
  <c r="H19" i="78"/>
  <c r="K19" i="78" s="1"/>
  <c r="M19" i="78" s="1"/>
  <c r="N18" i="78"/>
  <c r="I18" i="78"/>
  <c r="H18" i="78"/>
  <c r="K18" i="78" s="1"/>
  <c r="M18" i="78" s="1"/>
  <c r="O18" i="78" s="1"/>
  <c r="N25" i="78"/>
  <c r="I25" i="78"/>
  <c r="H25" i="78"/>
  <c r="K25" i="78" s="1"/>
  <c r="M25" i="78" s="1"/>
  <c r="N13" i="78"/>
  <c r="I13" i="78"/>
  <c r="H13" i="78"/>
  <c r="N9" i="78"/>
  <c r="I9" i="78"/>
  <c r="H9" i="78"/>
  <c r="N6" i="78"/>
  <c r="I6" i="78"/>
  <c r="H6" i="78"/>
  <c r="N16" i="78"/>
  <c r="I16" i="78"/>
  <c r="H16" i="78"/>
  <c r="N10" i="78"/>
  <c r="I10" i="78"/>
  <c r="H10" i="78"/>
  <c r="K10" i="78" s="1"/>
  <c r="M10" i="78" s="1"/>
  <c r="N12" i="78"/>
  <c r="I12" i="78"/>
  <c r="H12" i="78"/>
  <c r="K12" i="78" s="1"/>
  <c r="M12" i="78" s="1"/>
  <c r="N11" i="78"/>
  <c r="I11" i="78"/>
  <c r="H11" i="78"/>
  <c r="N27" i="78"/>
  <c r="I27" i="78"/>
  <c r="H27" i="78"/>
  <c r="K27" i="78" s="1"/>
  <c r="M27" i="78" s="1"/>
  <c r="I29" i="78"/>
  <c r="H29" i="78"/>
  <c r="K29" i="78" s="1"/>
  <c r="M29" i="78" s="1"/>
  <c r="I17" i="78"/>
  <c r="H17" i="78"/>
  <c r="N26" i="78"/>
  <c r="I26" i="78"/>
  <c r="H26" i="78"/>
  <c r="K26" i="78" s="1"/>
  <c r="M26" i="78" s="1"/>
  <c r="I23" i="78"/>
  <c r="H23" i="78"/>
  <c r="I8" i="78"/>
  <c r="H8" i="78"/>
  <c r="T10" i="78"/>
  <c r="N15" i="78"/>
  <c r="I15" i="78"/>
  <c r="H15" i="78"/>
  <c r="T9" i="78"/>
  <c r="N29" i="78" s="1"/>
  <c r="N33" i="78"/>
  <c r="I33" i="78"/>
  <c r="H33" i="78"/>
  <c r="T8" i="78"/>
  <c r="N21" i="78"/>
  <c r="I21" i="78"/>
  <c r="H21" i="78"/>
  <c r="N28" i="78"/>
  <c r="I28" i="78"/>
  <c r="H28" i="78"/>
  <c r="T6" i="78"/>
  <c r="N20" i="78"/>
  <c r="I20" i="78"/>
  <c r="H20" i="78"/>
  <c r="K20" i="78" s="1"/>
  <c r="M20" i="78" s="1"/>
  <c r="N5" i="78"/>
  <c r="I5" i="78"/>
  <c r="H5" i="78"/>
  <c r="T4" i="78"/>
  <c r="T3" i="78"/>
  <c r="A1" i="78"/>
  <c r="O12" i="79" l="1"/>
  <c r="O15" i="79"/>
  <c r="O26" i="79"/>
  <c r="O20" i="79"/>
  <c r="O14" i="79"/>
  <c r="O25" i="79"/>
  <c r="O19" i="79"/>
  <c r="O6" i="79"/>
  <c r="O21" i="79"/>
  <c r="O23" i="79"/>
  <c r="O9" i="79"/>
  <c r="O31" i="79"/>
  <c r="O8" i="79"/>
  <c r="O10" i="78"/>
  <c r="O12" i="78"/>
  <c r="K6" i="78"/>
  <c r="M6" i="78" s="1"/>
  <c r="K7" i="78"/>
  <c r="M7" i="78" s="1"/>
  <c r="K17" i="78"/>
  <c r="M17" i="78" s="1"/>
  <c r="K24" i="78"/>
  <c r="M24" i="78" s="1"/>
  <c r="O24" i="78" s="1"/>
  <c r="K33" i="78"/>
  <c r="M33" i="78" s="1"/>
  <c r="O33" i="78" s="1"/>
  <c r="K8" i="78"/>
  <c r="M8" i="78" s="1"/>
  <c r="K13" i="78"/>
  <c r="M13" i="78" s="1"/>
  <c r="O13" i="78" s="1"/>
  <c r="K31" i="78"/>
  <c r="M31" i="78" s="1"/>
  <c r="O31" i="78" s="1"/>
  <c r="K23" i="78"/>
  <c r="M23" i="78" s="1"/>
  <c r="K16" i="78"/>
  <c r="M16" i="78" s="1"/>
  <c r="O16" i="78" s="1"/>
  <c r="K30" i="78"/>
  <c r="M30" i="78" s="1"/>
  <c r="O30" i="78" s="1"/>
  <c r="K11" i="78"/>
  <c r="M11" i="78" s="1"/>
  <c r="O11" i="78" s="1"/>
  <c r="K9" i="78"/>
  <c r="M9" i="78" s="1"/>
  <c r="O9" i="78" s="1"/>
  <c r="K14" i="78"/>
  <c r="M14" i="78" s="1"/>
  <c r="O14" i="78" s="1"/>
  <c r="K21" i="78"/>
  <c r="M21" i="78" s="1"/>
  <c r="K15" i="78"/>
  <c r="M15" i="78" s="1"/>
  <c r="O15" i="78" s="1"/>
  <c r="K28" i="78"/>
  <c r="M28" i="78" s="1"/>
  <c r="O28" i="78" s="1"/>
  <c r="K5" i="78"/>
  <c r="M5" i="78" s="1"/>
  <c r="O5" i="78" s="1"/>
  <c r="O7" i="78"/>
  <c r="O25" i="78"/>
  <c r="O22" i="78"/>
  <c r="O21" i="78"/>
  <c r="O26" i="78"/>
  <c r="O6" i="78"/>
  <c r="O19" i="78"/>
  <c r="O20" i="78"/>
  <c r="O27" i="78"/>
  <c r="O29" i="78"/>
  <c r="N8" i="78"/>
  <c r="O8" i="78" s="1"/>
  <c r="N23" i="78"/>
  <c r="O23" i="78" s="1"/>
  <c r="N17" i="78"/>
  <c r="O17" i="78" s="1"/>
  <c r="H33" i="77"/>
  <c r="I33" i="77"/>
  <c r="N33" i="77"/>
  <c r="N100" i="77"/>
  <c r="I100" i="77"/>
  <c r="H100" i="77"/>
  <c r="N99" i="77"/>
  <c r="I99" i="77"/>
  <c r="H99" i="77"/>
  <c r="N98" i="77"/>
  <c r="I98" i="77"/>
  <c r="K98" i="77" s="1"/>
  <c r="M98" i="77" s="1"/>
  <c r="O98" i="77" s="1"/>
  <c r="H98" i="77"/>
  <c r="N97" i="77"/>
  <c r="I97" i="77"/>
  <c r="H97" i="77"/>
  <c r="N96" i="77"/>
  <c r="I96" i="77"/>
  <c r="K96" i="77" s="1"/>
  <c r="M96" i="77" s="1"/>
  <c r="O96" i="77" s="1"/>
  <c r="H96" i="77"/>
  <c r="N95" i="77"/>
  <c r="I95" i="77"/>
  <c r="H95" i="77"/>
  <c r="K95" i="77" s="1"/>
  <c r="M95" i="77" s="1"/>
  <c r="O95" i="77" s="1"/>
  <c r="N94" i="77"/>
  <c r="I94" i="77"/>
  <c r="K94" i="77" s="1"/>
  <c r="M94" i="77" s="1"/>
  <c r="O94" i="77" s="1"/>
  <c r="H94" i="77"/>
  <c r="N93" i="77"/>
  <c r="I93" i="77"/>
  <c r="H93" i="77"/>
  <c r="N92" i="77"/>
  <c r="I92" i="77"/>
  <c r="H92" i="77"/>
  <c r="N91" i="77"/>
  <c r="I91" i="77"/>
  <c r="H91" i="77"/>
  <c r="K91" i="77" s="1"/>
  <c r="M91" i="77" s="1"/>
  <c r="N90" i="77"/>
  <c r="I90" i="77"/>
  <c r="K90" i="77" s="1"/>
  <c r="M90" i="77" s="1"/>
  <c r="O90" i="77" s="1"/>
  <c r="H90" i="77"/>
  <c r="N89" i="77"/>
  <c r="I89" i="77"/>
  <c r="H89" i="77"/>
  <c r="N88" i="77"/>
  <c r="I88" i="77"/>
  <c r="K88" i="77" s="1"/>
  <c r="M88" i="77" s="1"/>
  <c r="O88" i="77" s="1"/>
  <c r="H88" i="77"/>
  <c r="N87" i="77"/>
  <c r="I87" i="77"/>
  <c r="H87" i="77"/>
  <c r="N86" i="77"/>
  <c r="I86" i="77"/>
  <c r="H86" i="77"/>
  <c r="N85" i="77"/>
  <c r="I85" i="77"/>
  <c r="H85" i="77"/>
  <c r="N84" i="77"/>
  <c r="I84" i="77"/>
  <c r="H84" i="77"/>
  <c r="N83" i="77"/>
  <c r="I83" i="77"/>
  <c r="H83" i="77"/>
  <c r="K83" i="77" s="1"/>
  <c r="M83" i="77" s="1"/>
  <c r="N82" i="77"/>
  <c r="I82" i="77"/>
  <c r="H82" i="77"/>
  <c r="N81" i="77"/>
  <c r="I81" i="77"/>
  <c r="K81" i="77" s="1"/>
  <c r="M81" i="77" s="1"/>
  <c r="H81" i="77"/>
  <c r="N80" i="77"/>
  <c r="K80" i="77"/>
  <c r="M80" i="77" s="1"/>
  <c r="O80" i="77" s="1"/>
  <c r="I80" i="77"/>
  <c r="H80" i="77"/>
  <c r="N79" i="77"/>
  <c r="I79" i="77"/>
  <c r="H79" i="77"/>
  <c r="K79" i="77" s="1"/>
  <c r="M79" i="77" s="1"/>
  <c r="O79" i="77" s="1"/>
  <c r="N78" i="77"/>
  <c r="I78" i="77"/>
  <c r="H78" i="77"/>
  <c r="N77" i="77"/>
  <c r="I77" i="77"/>
  <c r="H77" i="77"/>
  <c r="N76" i="77"/>
  <c r="I76" i="77"/>
  <c r="K76" i="77" s="1"/>
  <c r="M76" i="77" s="1"/>
  <c r="O76" i="77" s="1"/>
  <c r="H76" i="77"/>
  <c r="N75" i="77"/>
  <c r="I75" i="77"/>
  <c r="H75" i="77"/>
  <c r="N74" i="77"/>
  <c r="I74" i="77"/>
  <c r="K74" i="77" s="1"/>
  <c r="M74" i="77" s="1"/>
  <c r="O74" i="77" s="1"/>
  <c r="H74" i="77"/>
  <c r="N73" i="77"/>
  <c r="I73" i="77"/>
  <c r="H73" i="77"/>
  <c r="N72" i="77"/>
  <c r="I72" i="77"/>
  <c r="H72" i="77"/>
  <c r="N71" i="77"/>
  <c r="I71" i="77"/>
  <c r="H71" i="77"/>
  <c r="N70" i="77"/>
  <c r="I70" i="77"/>
  <c r="K70" i="77" s="1"/>
  <c r="M70" i="77" s="1"/>
  <c r="O70" i="77" s="1"/>
  <c r="H70" i="77"/>
  <c r="N69" i="77"/>
  <c r="I69" i="77"/>
  <c r="H69" i="77"/>
  <c r="N68" i="77"/>
  <c r="I68" i="77"/>
  <c r="H68" i="77"/>
  <c r="N67" i="77"/>
  <c r="I67" i="77"/>
  <c r="H67" i="77"/>
  <c r="K67" i="77" s="1"/>
  <c r="M67" i="77" s="1"/>
  <c r="N66" i="77"/>
  <c r="I66" i="77"/>
  <c r="H66" i="77"/>
  <c r="N65" i="77"/>
  <c r="I65" i="77"/>
  <c r="H65" i="77"/>
  <c r="N64" i="77"/>
  <c r="I64" i="77"/>
  <c r="K64" i="77" s="1"/>
  <c r="M64" i="77" s="1"/>
  <c r="O64" i="77" s="1"/>
  <c r="H64" i="77"/>
  <c r="N63" i="77"/>
  <c r="I63" i="77"/>
  <c r="H63" i="77"/>
  <c r="K63" i="77" s="1"/>
  <c r="M63" i="77" s="1"/>
  <c r="N62" i="77"/>
  <c r="I62" i="77"/>
  <c r="H62" i="77"/>
  <c r="N61" i="77"/>
  <c r="I61" i="77"/>
  <c r="H61" i="77"/>
  <c r="N60" i="77"/>
  <c r="I60" i="77"/>
  <c r="H60" i="77"/>
  <c r="N59" i="77"/>
  <c r="I59" i="77"/>
  <c r="H59" i="77"/>
  <c r="K59" i="77" s="1"/>
  <c r="M59" i="77" s="1"/>
  <c r="O59" i="77" s="1"/>
  <c r="N58" i="77"/>
  <c r="K58" i="77"/>
  <c r="M58" i="77" s="1"/>
  <c r="O58" i="77" s="1"/>
  <c r="I58" i="77"/>
  <c r="H58" i="77"/>
  <c r="N57" i="77"/>
  <c r="I57" i="77"/>
  <c r="H57" i="77"/>
  <c r="N56" i="77"/>
  <c r="I56" i="77"/>
  <c r="H56" i="77"/>
  <c r="N55" i="77"/>
  <c r="I55" i="77"/>
  <c r="H55" i="77"/>
  <c r="N54" i="77"/>
  <c r="I54" i="77"/>
  <c r="H54" i="77"/>
  <c r="N53" i="77"/>
  <c r="I53" i="77"/>
  <c r="H53" i="77"/>
  <c r="N52" i="77"/>
  <c r="I52" i="77"/>
  <c r="K52" i="77" s="1"/>
  <c r="M52" i="77" s="1"/>
  <c r="O52" i="77" s="1"/>
  <c r="H52" i="77"/>
  <c r="N51" i="77"/>
  <c r="I51" i="77"/>
  <c r="H51" i="77"/>
  <c r="K51" i="77" s="1"/>
  <c r="M51" i="77" s="1"/>
  <c r="N50" i="77"/>
  <c r="I50" i="77"/>
  <c r="H50" i="77"/>
  <c r="N49" i="77"/>
  <c r="I49" i="77"/>
  <c r="H49" i="77"/>
  <c r="N48" i="77"/>
  <c r="I48" i="77"/>
  <c r="K48" i="77" s="1"/>
  <c r="M48" i="77" s="1"/>
  <c r="O48" i="77" s="1"/>
  <c r="H48" i="77"/>
  <c r="N47" i="77"/>
  <c r="I47" i="77"/>
  <c r="H47" i="77"/>
  <c r="N46" i="77"/>
  <c r="I46" i="77"/>
  <c r="H46" i="77"/>
  <c r="N45" i="77"/>
  <c r="I45" i="77"/>
  <c r="H45" i="77"/>
  <c r="N44" i="77"/>
  <c r="I44" i="77"/>
  <c r="H44" i="77"/>
  <c r="N43" i="77"/>
  <c r="I43" i="77"/>
  <c r="H43" i="77"/>
  <c r="K43" i="77" s="1"/>
  <c r="M43" i="77" s="1"/>
  <c r="N42" i="77"/>
  <c r="I42" i="77"/>
  <c r="K42" i="77" s="1"/>
  <c r="M42" i="77" s="1"/>
  <c r="O42" i="77" s="1"/>
  <c r="H42" i="77"/>
  <c r="N41" i="77"/>
  <c r="I41" i="77"/>
  <c r="H41" i="77"/>
  <c r="N40" i="77"/>
  <c r="I40" i="77"/>
  <c r="H40" i="77"/>
  <c r="N38" i="77"/>
  <c r="I38" i="77"/>
  <c r="H38" i="77"/>
  <c r="N39" i="77"/>
  <c r="I39" i="77"/>
  <c r="H39" i="77"/>
  <c r="K39" i="77" s="1"/>
  <c r="M39" i="77" s="1"/>
  <c r="O39" i="77" s="1"/>
  <c r="N32" i="77"/>
  <c r="I32" i="77"/>
  <c r="H32" i="77"/>
  <c r="N37" i="77"/>
  <c r="I37" i="77"/>
  <c r="H37" i="77"/>
  <c r="N36" i="77"/>
  <c r="I36" i="77"/>
  <c r="H36" i="77"/>
  <c r="N14" i="77"/>
  <c r="I14" i="77"/>
  <c r="H14" i="77"/>
  <c r="N35" i="77"/>
  <c r="I35" i="77"/>
  <c r="H35" i="77"/>
  <c r="N12" i="77"/>
  <c r="I12" i="77"/>
  <c r="H12" i="77"/>
  <c r="N23" i="77"/>
  <c r="I23" i="77"/>
  <c r="H23" i="77"/>
  <c r="N11" i="77"/>
  <c r="I11" i="77"/>
  <c r="H11" i="77"/>
  <c r="N26" i="77"/>
  <c r="I26" i="77"/>
  <c r="H26" i="77"/>
  <c r="N10" i="77"/>
  <c r="I10" i="77"/>
  <c r="H10" i="77"/>
  <c r="N25" i="77"/>
  <c r="I25" i="77"/>
  <c r="H25" i="77"/>
  <c r="N9" i="77"/>
  <c r="I9" i="77"/>
  <c r="H9" i="77"/>
  <c r="N7" i="77"/>
  <c r="I7" i="77"/>
  <c r="H7" i="77"/>
  <c r="N6" i="77"/>
  <c r="I6" i="77"/>
  <c r="H6" i="77"/>
  <c r="N13" i="77"/>
  <c r="I13" i="77"/>
  <c r="H13" i="77"/>
  <c r="N19" i="77"/>
  <c r="I19" i="77"/>
  <c r="H19" i="77"/>
  <c r="K19" i="77" s="1"/>
  <c r="M19" i="77" s="1"/>
  <c r="N24" i="77"/>
  <c r="I24" i="77"/>
  <c r="H24" i="77"/>
  <c r="N18" i="77"/>
  <c r="I18" i="77"/>
  <c r="H18" i="77"/>
  <c r="N17" i="77"/>
  <c r="I17" i="77"/>
  <c r="H17" i="77"/>
  <c r="N29" i="77"/>
  <c r="I29" i="77"/>
  <c r="H29" i="77"/>
  <c r="N16" i="77"/>
  <c r="I16" i="77"/>
  <c r="H16" i="77"/>
  <c r="N8" i="77"/>
  <c r="I8" i="77"/>
  <c r="H8" i="77"/>
  <c r="N31" i="77"/>
  <c r="I31" i="77"/>
  <c r="H31" i="77"/>
  <c r="I21" i="77"/>
  <c r="H21" i="77"/>
  <c r="K21" i="77" s="1"/>
  <c r="M21" i="77" s="1"/>
  <c r="I28" i="77"/>
  <c r="H28" i="77"/>
  <c r="T10" i="77"/>
  <c r="I27" i="77"/>
  <c r="H27" i="77"/>
  <c r="T9" i="77"/>
  <c r="N30" i="77"/>
  <c r="I30" i="77"/>
  <c r="H30" i="77"/>
  <c r="T8" i="77"/>
  <c r="I22" i="77"/>
  <c r="H22" i="77"/>
  <c r="N15" i="77"/>
  <c r="I15" i="77"/>
  <c r="H15" i="77"/>
  <c r="T6" i="77"/>
  <c r="I20" i="77"/>
  <c r="H20" i="77"/>
  <c r="N5" i="77"/>
  <c r="I5" i="77"/>
  <c r="H5" i="77"/>
  <c r="T4" i="77"/>
  <c r="T3" i="77"/>
  <c r="A1" i="77"/>
  <c r="O19" i="77" l="1"/>
  <c r="K46" i="77"/>
  <c r="M46" i="77" s="1"/>
  <c r="O46" i="77" s="1"/>
  <c r="K97" i="77"/>
  <c r="M97" i="77" s="1"/>
  <c r="O97" i="77" s="1"/>
  <c r="K72" i="77"/>
  <c r="M72" i="77" s="1"/>
  <c r="O72" i="77" s="1"/>
  <c r="K56" i="77"/>
  <c r="M56" i="77" s="1"/>
  <c r="O56" i="77" s="1"/>
  <c r="K66" i="77"/>
  <c r="M66" i="77" s="1"/>
  <c r="O66" i="77" s="1"/>
  <c r="K84" i="77"/>
  <c r="M84" i="77" s="1"/>
  <c r="O84" i="77" s="1"/>
  <c r="K92" i="77"/>
  <c r="M92" i="77" s="1"/>
  <c r="O92" i="77" s="1"/>
  <c r="K54" i="77"/>
  <c r="M54" i="77" s="1"/>
  <c r="O54" i="77" s="1"/>
  <c r="K82" i="77"/>
  <c r="M82" i="77" s="1"/>
  <c r="O82" i="77" s="1"/>
  <c r="K100" i="77"/>
  <c r="M100" i="77" s="1"/>
  <c r="O100" i="77" s="1"/>
  <c r="K14" i="77"/>
  <c r="M14" i="77" s="1"/>
  <c r="O14" i="77" s="1"/>
  <c r="K44" i="77"/>
  <c r="M44" i="77" s="1"/>
  <c r="O44" i="77" s="1"/>
  <c r="K47" i="77"/>
  <c r="M47" i="77" s="1"/>
  <c r="O47" i="77" s="1"/>
  <c r="K49" i="77"/>
  <c r="M49" i="77" s="1"/>
  <c r="O49" i="77" s="1"/>
  <c r="K62" i="77"/>
  <c r="M62" i="77" s="1"/>
  <c r="O62" i="77" s="1"/>
  <c r="K75" i="77"/>
  <c r="M75" i="77" s="1"/>
  <c r="O75" i="77" s="1"/>
  <c r="K60" i="77"/>
  <c r="M60" i="77" s="1"/>
  <c r="O60" i="77" s="1"/>
  <c r="O63" i="77"/>
  <c r="K65" i="77"/>
  <c r="M65" i="77" s="1"/>
  <c r="O65" i="77" s="1"/>
  <c r="K78" i="77"/>
  <c r="M78" i="77" s="1"/>
  <c r="O78" i="77" s="1"/>
  <c r="O91" i="77"/>
  <c r="K40" i="77"/>
  <c r="M40" i="77" s="1"/>
  <c r="O40" i="77" s="1"/>
  <c r="K50" i="77"/>
  <c r="M50" i="77" s="1"/>
  <c r="O50" i="77" s="1"/>
  <c r="K68" i="77"/>
  <c r="M68" i="77" s="1"/>
  <c r="O68" i="77" s="1"/>
  <c r="K86" i="77"/>
  <c r="M86" i="77" s="1"/>
  <c r="O86" i="77" s="1"/>
  <c r="K99" i="77"/>
  <c r="M99" i="77" s="1"/>
  <c r="O99" i="77" s="1"/>
  <c r="K45" i="77"/>
  <c r="M45" i="77" s="1"/>
  <c r="K41" i="77"/>
  <c r="M41" i="77" s="1"/>
  <c r="O41" i="77" s="1"/>
  <c r="O43" i="77"/>
  <c r="K55" i="77"/>
  <c r="M55" i="77" s="1"/>
  <c r="O55" i="77" s="1"/>
  <c r="K71" i="77"/>
  <c r="M71" i="77" s="1"/>
  <c r="O71" i="77" s="1"/>
  <c r="K87" i="77"/>
  <c r="M87" i="77" s="1"/>
  <c r="O87" i="77" s="1"/>
  <c r="K31" i="77"/>
  <c r="M31" i="77" s="1"/>
  <c r="O31" i="77" s="1"/>
  <c r="K37" i="77"/>
  <c r="M37" i="77" s="1"/>
  <c r="O37" i="77" s="1"/>
  <c r="K12" i="77"/>
  <c r="M12" i="77" s="1"/>
  <c r="K9" i="77"/>
  <c r="M9" i="77" s="1"/>
  <c r="O9" i="77" s="1"/>
  <c r="K38" i="77"/>
  <c r="M38" i="77" s="1"/>
  <c r="O38" i="77" s="1"/>
  <c r="K17" i="77"/>
  <c r="M17" i="77" s="1"/>
  <c r="O17" i="77" s="1"/>
  <c r="K25" i="77"/>
  <c r="M25" i="77" s="1"/>
  <c r="O25" i="77" s="1"/>
  <c r="K36" i="77"/>
  <c r="M36" i="77" s="1"/>
  <c r="O36" i="77" s="1"/>
  <c r="K33" i="77"/>
  <c r="M33" i="77" s="1"/>
  <c r="O33" i="77" s="1"/>
  <c r="K29" i="77"/>
  <c r="M29" i="77" s="1"/>
  <c r="O29" i="77" s="1"/>
  <c r="K18" i="77"/>
  <c r="M18" i="77" s="1"/>
  <c r="O18" i="77" s="1"/>
  <c r="K30" i="77"/>
  <c r="M30" i="77" s="1"/>
  <c r="O30" i="77" s="1"/>
  <c r="K23" i="77"/>
  <c r="M23" i="77" s="1"/>
  <c r="O23" i="77" s="1"/>
  <c r="K20" i="77"/>
  <c r="M20" i="77" s="1"/>
  <c r="K22" i="77"/>
  <c r="M22" i="77" s="1"/>
  <c r="K8" i="77"/>
  <c r="M8" i="77" s="1"/>
  <c r="O8" i="77" s="1"/>
  <c r="K6" i="77"/>
  <c r="M6" i="77" s="1"/>
  <c r="O6" i="77" s="1"/>
  <c r="K10" i="77"/>
  <c r="M10" i="77" s="1"/>
  <c r="O10" i="77" s="1"/>
  <c r="O12" i="77"/>
  <c r="K13" i="77"/>
  <c r="M13" i="77" s="1"/>
  <c r="O13" i="77" s="1"/>
  <c r="K11" i="77"/>
  <c r="M11" i="77" s="1"/>
  <c r="O11" i="77" s="1"/>
  <c r="K15" i="77"/>
  <c r="M15" i="77" s="1"/>
  <c r="O15" i="77" s="1"/>
  <c r="K16" i="77"/>
  <c r="M16" i="77" s="1"/>
  <c r="O16" i="77" s="1"/>
  <c r="N27" i="77"/>
  <c r="N21" i="77"/>
  <c r="O21" i="77" s="1"/>
  <c r="K73" i="77"/>
  <c r="M73" i="77" s="1"/>
  <c r="O73" i="77" s="1"/>
  <c r="K27" i="77"/>
  <c r="M27" i="77" s="1"/>
  <c r="K26" i="77"/>
  <c r="M26" i="77" s="1"/>
  <c r="O26" i="77" s="1"/>
  <c r="N22" i="77"/>
  <c r="N20" i="77"/>
  <c r="K35" i="77"/>
  <c r="M35" i="77" s="1"/>
  <c r="O35" i="77" s="1"/>
  <c r="O51" i="77"/>
  <c r="K53" i="77"/>
  <c r="M53" i="77" s="1"/>
  <c r="O53" i="77" s="1"/>
  <c r="O67" i="77"/>
  <c r="K69" i="77"/>
  <c r="M69" i="77" s="1"/>
  <c r="O69" i="77" s="1"/>
  <c r="O83" i="77"/>
  <c r="K85" i="77"/>
  <c r="M85" i="77" s="1"/>
  <c r="O85" i="77" s="1"/>
  <c r="K5" i="77"/>
  <c r="M5" i="77" s="1"/>
  <c r="O5" i="77" s="1"/>
  <c r="K32" i="77"/>
  <c r="M32" i="77" s="1"/>
  <c r="O32" i="77" s="1"/>
  <c r="O45" i="77"/>
  <c r="O81" i="77"/>
  <c r="K61" i="77"/>
  <c r="M61" i="77" s="1"/>
  <c r="O61" i="77" s="1"/>
  <c r="K77" i="77"/>
  <c r="M77" i="77" s="1"/>
  <c r="O77" i="77" s="1"/>
  <c r="K93" i="77"/>
  <c r="M93" i="77" s="1"/>
  <c r="O93" i="77" s="1"/>
  <c r="K28" i="77"/>
  <c r="M28" i="77" s="1"/>
  <c r="N28" i="77"/>
  <c r="K24" i="77"/>
  <c r="M24" i="77" s="1"/>
  <c r="O24" i="77" s="1"/>
  <c r="K7" i="77"/>
  <c r="M7" i="77" s="1"/>
  <c r="O7" i="77" s="1"/>
  <c r="K57" i="77"/>
  <c r="M57" i="77" s="1"/>
  <c r="O57" i="77" s="1"/>
  <c r="K89" i="77"/>
  <c r="M89" i="77" s="1"/>
  <c r="O89" i="77" s="1"/>
  <c r="N8" i="76"/>
  <c r="H17" i="76"/>
  <c r="I17" i="76"/>
  <c r="N17" i="76"/>
  <c r="H22" i="76"/>
  <c r="I22" i="76"/>
  <c r="N22" i="76"/>
  <c r="N99" i="76"/>
  <c r="I99" i="76"/>
  <c r="H99" i="76"/>
  <c r="N98" i="76"/>
  <c r="I98" i="76"/>
  <c r="H98" i="76"/>
  <c r="N97" i="76"/>
  <c r="I97" i="76"/>
  <c r="H97" i="76"/>
  <c r="N96" i="76"/>
  <c r="I96" i="76"/>
  <c r="H96" i="76"/>
  <c r="N95" i="76"/>
  <c r="I95" i="76"/>
  <c r="H95" i="76"/>
  <c r="N94" i="76"/>
  <c r="I94" i="76"/>
  <c r="H94" i="76"/>
  <c r="N93" i="76"/>
  <c r="I93" i="76"/>
  <c r="H93" i="76"/>
  <c r="N92" i="76"/>
  <c r="I92" i="76"/>
  <c r="K92" i="76" s="1"/>
  <c r="M92" i="76" s="1"/>
  <c r="O92" i="76" s="1"/>
  <c r="H92" i="76"/>
  <c r="N91" i="76"/>
  <c r="I91" i="76"/>
  <c r="H91" i="76"/>
  <c r="N90" i="76"/>
  <c r="I90" i="76"/>
  <c r="H90" i="76"/>
  <c r="N89" i="76"/>
  <c r="I89" i="76"/>
  <c r="H89" i="76"/>
  <c r="N88" i="76"/>
  <c r="I88" i="76"/>
  <c r="H88" i="76"/>
  <c r="N87" i="76"/>
  <c r="I87" i="76"/>
  <c r="H87" i="76"/>
  <c r="N86" i="76"/>
  <c r="I86" i="76"/>
  <c r="H86" i="76"/>
  <c r="N85" i="76"/>
  <c r="I85" i="76"/>
  <c r="H85" i="76"/>
  <c r="N84" i="76"/>
  <c r="I84" i="76"/>
  <c r="K84" i="76" s="1"/>
  <c r="M84" i="76" s="1"/>
  <c r="O84" i="76" s="1"/>
  <c r="H84" i="76"/>
  <c r="N83" i="76"/>
  <c r="I83" i="76"/>
  <c r="H83" i="76"/>
  <c r="N82" i="76"/>
  <c r="I82" i="76"/>
  <c r="H82" i="76"/>
  <c r="N81" i="76"/>
  <c r="I81" i="76"/>
  <c r="H81" i="76"/>
  <c r="N80" i="76"/>
  <c r="I80" i="76"/>
  <c r="H80" i="76"/>
  <c r="N79" i="76"/>
  <c r="I79" i="76"/>
  <c r="H79" i="76"/>
  <c r="N78" i="76"/>
  <c r="I78" i="76"/>
  <c r="H78" i="76"/>
  <c r="N77" i="76"/>
  <c r="I77" i="76"/>
  <c r="H77" i="76"/>
  <c r="K77" i="76" s="1"/>
  <c r="M77" i="76" s="1"/>
  <c r="O77" i="76" s="1"/>
  <c r="N76" i="76"/>
  <c r="I76" i="76"/>
  <c r="K76" i="76" s="1"/>
  <c r="M76" i="76" s="1"/>
  <c r="O76" i="76" s="1"/>
  <c r="H76" i="76"/>
  <c r="N75" i="76"/>
  <c r="I75" i="76"/>
  <c r="H75" i="76"/>
  <c r="N74" i="76"/>
  <c r="I74" i="76"/>
  <c r="H74" i="76"/>
  <c r="N73" i="76"/>
  <c r="I73" i="76"/>
  <c r="H73" i="76"/>
  <c r="K73" i="76" s="1"/>
  <c r="M73" i="76" s="1"/>
  <c r="N72" i="76"/>
  <c r="I72" i="76"/>
  <c r="H72" i="76"/>
  <c r="N71" i="76"/>
  <c r="I71" i="76"/>
  <c r="H71" i="76"/>
  <c r="N70" i="76"/>
  <c r="I70" i="76"/>
  <c r="H70" i="76"/>
  <c r="N69" i="76"/>
  <c r="I69" i="76"/>
  <c r="H69" i="76"/>
  <c r="K69" i="76" s="1"/>
  <c r="M69" i="76" s="1"/>
  <c r="O69" i="76" s="1"/>
  <c r="N68" i="76"/>
  <c r="I68" i="76"/>
  <c r="K68" i="76" s="1"/>
  <c r="M68" i="76" s="1"/>
  <c r="O68" i="76" s="1"/>
  <c r="H68" i="76"/>
  <c r="N67" i="76"/>
  <c r="I67" i="76"/>
  <c r="H67" i="76"/>
  <c r="N66" i="76"/>
  <c r="I66" i="76"/>
  <c r="H66" i="76"/>
  <c r="N65" i="76"/>
  <c r="I65" i="76"/>
  <c r="H65" i="76"/>
  <c r="K65" i="76" s="1"/>
  <c r="M65" i="76" s="1"/>
  <c r="N64" i="76"/>
  <c r="I64" i="76"/>
  <c r="H64" i="76"/>
  <c r="N63" i="76"/>
  <c r="I63" i="76"/>
  <c r="H63" i="76"/>
  <c r="N62" i="76"/>
  <c r="I62" i="76"/>
  <c r="H62" i="76"/>
  <c r="N61" i="76"/>
  <c r="I61" i="76"/>
  <c r="H61" i="76"/>
  <c r="K61" i="76" s="1"/>
  <c r="M61" i="76" s="1"/>
  <c r="O61" i="76" s="1"/>
  <c r="N60" i="76"/>
  <c r="I60" i="76"/>
  <c r="K60" i="76" s="1"/>
  <c r="M60" i="76" s="1"/>
  <c r="O60" i="76" s="1"/>
  <c r="H60" i="76"/>
  <c r="N59" i="76"/>
  <c r="I59" i="76"/>
  <c r="H59" i="76"/>
  <c r="N58" i="76"/>
  <c r="I58" i="76"/>
  <c r="H58" i="76"/>
  <c r="N57" i="76"/>
  <c r="I57" i="76"/>
  <c r="H57" i="76"/>
  <c r="K57" i="76" s="1"/>
  <c r="M57" i="76" s="1"/>
  <c r="N56" i="76"/>
  <c r="I56" i="76"/>
  <c r="H56" i="76"/>
  <c r="N55" i="76"/>
  <c r="I55" i="76"/>
  <c r="H55" i="76"/>
  <c r="N54" i="76"/>
  <c r="I54" i="76"/>
  <c r="H54" i="76"/>
  <c r="N53" i="76"/>
  <c r="I53" i="76"/>
  <c r="H53" i="76"/>
  <c r="K53" i="76" s="1"/>
  <c r="M53" i="76" s="1"/>
  <c r="O53" i="76" s="1"/>
  <c r="N52" i="76"/>
  <c r="I52" i="76"/>
  <c r="K52" i="76" s="1"/>
  <c r="M52" i="76" s="1"/>
  <c r="O52" i="76" s="1"/>
  <c r="H52" i="76"/>
  <c r="N51" i="76"/>
  <c r="I51" i="76"/>
  <c r="H51" i="76"/>
  <c r="N50" i="76"/>
  <c r="I50" i="76"/>
  <c r="H50" i="76"/>
  <c r="N49" i="76"/>
  <c r="I49" i="76"/>
  <c r="H49" i="76"/>
  <c r="K49" i="76" s="1"/>
  <c r="M49" i="76" s="1"/>
  <c r="N48" i="76"/>
  <c r="I48" i="76"/>
  <c r="H48" i="76"/>
  <c r="N47" i="76"/>
  <c r="I47" i="76"/>
  <c r="H47" i="76"/>
  <c r="N46" i="76"/>
  <c r="I46" i="76"/>
  <c r="H46" i="76"/>
  <c r="N45" i="76"/>
  <c r="I45" i="76"/>
  <c r="H45" i="76"/>
  <c r="K45" i="76" s="1"/>
  <c r="M45" i="76" s="1"/>
  <c r="O45" i="76" s="1"/>
  <c r="N44" i="76"/>
  <c r="I44" i="76"/>
  <c r="K44" i="76" s="1"/>
  <c r="M44" i="76" s="1"/>
  <c r="O44" i="76" s="1"/>
  <c r="H44" i="76"/>
  <c r="N43" i="76"/>
  <c r="I43" i="76"/>
  <c r="H43" i="76"/>
  <c r="N42" i="76"/>
  <c r="I42" i="76"/>
  <c r="H42" i="76"/>
  <c r="N37" i="76"/>
  <c r="I37" i="76"/>
  <c r="H37" i="76"/>
  <c r="N41" i="76"/>
  <c r="I41" i="76"/>
  <c r="H41" i="76"/>
  <c r="N40" i="76"/>
  <c r="I40" i="76"/>
  <c r="H40" i="76"/>
  <c r="N39" i="76"/>
  <c r="I39" i="76"/>
  <c r="H39" i="76"/>
  <c r="N35" i="76"/>
  <c r="I35" i="76"/>
  <c r="H35" i="76"/>
  <c r="N36" i="76"/>
  <c r="I36" i="76"/>
  <c r="H36" i="76"/>
  <c r="N29" i="76"/>
  <c r="I29" i="76"/>
  <c r="H29" i="76"/>
  <c r="N33" i="76"/>
  <c r="I33" i="76"/>
  <c r="H33" i="76"/>
  <c r="N10" i="76"/>
  <c r="I10" i="76"/>
  <c r="H10" i="76"/>
  <c r="N27" i="76"/>
  <c r="I27" i="76"/>
  <c r="H27" i="76"/>
  <c r="N25" i="76"/>
  <c r="I25" i="76"/>
  <c r="H25" i="76"/>
  <c r="I13" i="76"/>
  <c r="H13" i="76"/>
  <c r="N19" i="76"/>
  <c r="I19" i="76"/>
  <c r="H19" i="76"/>
  <c r="I8" i="76"/>
  <c r="H8" i="76"/>
  <c r="N14" i="76"/>
  <c r="I14" i="76"/>
  <c r="H14" i="76"/>
  <c r="N6" i="76"/>
  <c r="I6" i="76"/>
  <c r="H6" i="76"/>
  <c r="N7" i="76"/>
  <c r="I7" i="76"/>
  <c r="H7" i="76"/>
  <c r="N11" i="76"/>
  <c r="I11" i="76"/>
  <c r="H11" i="76"/>
  <c r="I9" i="76"/>
  <c r="H9" i="76"/>
  <c r="N28" i="76"/>
  <c r="I28" i="76"/>
  <c r="H28" i="76"/>
  <c r="N23" i="76"/>
  <c r="I23" i="76"/>
  <c r="H23" i="76"/>
  <c r="N12" i="76"/>
  <c r="I12" i="76"/>
  <c r="H12" i="76"/>
  <c r="I32" i="76"/>
  <c r="H32" i="76"/>
  <c r="N31" i="76"/>
  <c r="I31" i="76"/>
  <c r="H31" i="76"/>
  <c r="N21" i="76"/>
  <c r="I21" i="76"/>
  <c r="H21" i="76"/>
  <c r="I18" i="76"/>
  <c r="H18" i="76"/>
  <c r="N16" i="76"/>
  <c r="I16" i="76"/>
  <c r="H16" i="76"/>
  <c r="N15" i="76"/>
  <c r="I15" i="76"/>
  <c r="H15" i="76"/>
  <c r="T10" i="76"/>
  <c r="N32" i="76" s="1"/>
  <c r="N26" i="76"/>
  <c r="I26" i="76"/>
  <c r="H26" i="76"/>
  <c r="T9" i="76"/>
  <c r="N18" i="76" s="1"/>
  <c r="N20" i="76"/>
  <c r="I20" i="76"/>
  <c r="H20" i="76"/>
  <c r="T8" i="76"/>
  <c r="N34" i="76"/>
  <c r="I34" i="76"/>
  <c r="H34" i="76"/>
  <c r="N30" i="76"/>
  <c r="I30" i="76"/>
  <c r="H30" i="76"/>
  <c r="T6" i="76"/>
  <c r="N24" i="76"/>
  <c r="I24" i="76"/>
  <c r="H24" i="76"/>
  <c r="N5" i="76"/>
  <c r="I5" i="76"/>
  <c r="H5" i="76"/>
  <c r="T4" i="76"/>
  <c r="T3" i="76"/>
  <c r="A1" i="76"/>
  <c r="O22" i="77" l="1"/>
  <c r="O20" i="77"/>
  <c r="O28" i="77"/>
  <c r="O27" i="77"/>
  <c r="K10" i="76"/>
  <c r="M10" i="76" s="1"/>
  <c r="K37" i="76"/>
  <c r="M37" i="76" s="1"/>
  <c r="O37" i="76" s="1"/>
  <c r="N13" i="76"/>
  <c r="N9" i="76"/>
  <c r="K17" i="76"/>
  <c r="M17" i="76" s="1"/>
  <c r="O17" i="76" s="1"/>
  <c r="K8" i="76"/>
  <c r="M8" i="76" s="1"/>
  <c r="O8" i="76" s="1"/>
  <c r="K36" i="76"/>
  <c r="M36" i="76" s="1"/>
  <c r="O36" i="76" s="1"/>
  <c r="K22" i="76"/>
  <c r="K63" i="76"/>
  <c r="M63" i="76" s="1"/>
  <c r="O63" i="76" s="1"/>
  <c r="K58" i="76"/>
  <c r="M58" i="76" s="1"/>
  <c r="O58" i="76" s="1"/>
  <c r="K48" i="76"/>
  <c r="M48" i="76" s="1"/>
  <c r="O48" i="76" s="1"/>
  <c r="O10" i="76"/>
  <c r="K39" i="76"/>
  <c r="M39" i="76" s="1"/>
  <c r="O39" i="76" s="1"/>
  <c r="K46" i="76"/>
  <c r="M46" i="76" s="1"/>
  <c r="O46" i="76" s="1"/>
  <c r="O49" i="76"/>
  <c r="K54" i="76"/>
  <c r="M54" i="76" s="1"/>
  <c r="O54" i="76" s="1"/>
  <c r="O57" i="76"/>
  <c r="K62" i="76"/>
  <c r="M62" i="76" s="1"/>
  <c r="O62" i="76" s="1"/>
  <c r="O65" i="76"/>
  <c r="K70" i="76"/>
  <c r="M70" i="76" s="1"/>
  <c r="O70" i="76" s="1"/>
  <c r="O73" i="76"/>
  <c r="K78" i="76"/>
  <c r="M78" i="76" s="1"/>
  <c r="O78" i="76" s="1"/>
  <c r="K86" i="76"/>
  <c r="M86" i="76" s="1"/>
  <c r="O86" i="76" s="1"/>
  <c r="K94" i="76"/>
  <c r="M94" i="76" s="1"/>
  <c r="O94" i="76" s="1"/>
  <c r="K5" i="76"/>
  <c r="M5" i="76" s="1"/>
  <c r="O5" i="76" s="1"/>
  <c r="K7" i="76"/>
  <c r="M7" i="76" s="1"/>
  <c r="O7" i="76" s="1"/>
  <c r="K81" i="76"/>
  <c r="M81" i="76" s="1"/>
  <c r="O81" i="76" s="1"/>
  <c r="K89" i="76"/>
  <c r="M89" i="76" s="1"/>
  <c r="O89" i="76" s="1"/>
  <c r="K97" i="76"/>
  <c r="M97" i="76" s="1"/>
  <c r="O97" i="76" s="1"/>
  <c r="K71" i="76"/>
  <c r="M71" i="76" s="1"/>
  <c r="O71" i="76" s="1"/>
  <c r="K79" i="76"/>
  <c r="M79" i="76" s="1"/>
  <c r="O79" i="76" s="1"/>
  <c r="K87" i="76"/>
  <c r="M87" i="76" s="1"/>
  <c r="O87" i="76" s="1"/>
  <c r="K74" i="76"/>
  <c r="M74" i="76" s="1"/>
  <c r="O74" i="76" s="1"/>
  <c r="K82" i="76"/>
  <c r="M82" i="76" s="1"/>
  <c r="O82" i="76" s="1"/>
  <c r="K90" i="76"/>
  <c r="M90" i="76" s="1"/>
  <c r="O90" i="76" s="1"/>
  <c r="K98" i="76"/>
  <c r="M98" i="76" s="1"/>
  <c r="O98" i="76" s="1"/>
  <c r="K85" i="76"/>
  <c r="M85" i="76" s="1"/>
  <c r="O85" i="76" s="1"/>
  <c r="K93" i="76"/>
  <c r="M93" i="76" s="1"/>
  <c r="O93" i="76" s="1"/>
  <c r="K25" i="76"/>
  <c r="M25" i="76" s="1"/>
  <c r="O25" i="76" s="1"/>
  <c r="K47" i="76"/>
  <c r="M47" i="76" s="1"/>
  <c r="O47" i="76" s="1"/>
  <c r="K55" i="76"/>
  <c r="M55" i="76" s="1"/>
  <c r="O55" i="76" s="1"/>
  <c r="K95" i="76"/>
  <c r="M95" i="76" s="1"/>
  <c r="O95" i="76" s="1"/>
  <c r="K66" i="76"/>
  <c r="M66" i="76" s="1"/>
  <c r="O66" i="76" s="1"/>
  <c r="K41" i="76"/>
  <c r="M41" i="76" s="1"/>
  <c r="O41" i="76" s="1"/>
  <c r="K56" i="76"/>
  <c r="M56" i="76" s="1"/>
  <c r="O56" i="76" s="1"/>
  <c r="K64" i="76"/>
  <c r="M64" i="76" s="1"/>
  <c r="O64" i="76" s="1"/>
  <c r="K72" i="76"/>
  <c r="M72" i="76" s="1"/>
  <c r="O72" i="76" s="1"/>
  <c r="K80" i="76"/>
  <c r="M80" i="76" s="1"/>
  <c r="O80" i="76" s="1"/>
  <c r="K88" i="76"/>
  <c r="M88" i="76" s="1"/>
  <c r="O88" i="76" s="1"/>
  <c r="K96" i="76"/>
  <c r="M96" i="76" s="1"/>
  <c r="O96" i="76" s="1"/>
  <c r="K40" i="76"/>
  <c r="M40" i="76" s="1"/>
  <c r="O40" i="76" s="1"/>
  <c r="K33" i="76"/>
  <c r="M33" i="76" s="1"/>
  <c r="O33" i="76" s="1"/>
  <c r="K42" i="76"/>
  <c r="M42" i="76" s="1"/>
  <c r="O42" i="76" s="1"/>
  <c r="K50" i="76"/>
  <c r="M50" i="76" s="1"/>
  <c r="O50" i="76" s="1"/>
  <c r="K43" i="76"/>
  <c r="M43" i="76" s="1"/>
  <c r="O43" i="76" s="1"/>
  <c r="K51" i="76"/>
  <c r="M51" i="76" s="1"/>
  <c r="O51" i="76" s="1"/>
  <c r="K59" i="76"/>
  <c r="M59" i="76" s="1"/>
  <c r="O59" i="76" s="1"/>
  <c r="K67" i="76"/>
  <c r="M67" i="76" s="1"/>
  <c r="O67" i="76" s="1"/>
  <c r="K75" i="76"/>
  <c r="M75" i="76" s="1"/>
  <c r="O75" i="76" s="1"/>
  <c r="K83" i="76"/>
  <c r="M83" i="76" s="1"/>
  <c r="O83" i="76" s="1"/>
  <c r="K91" i="76"/>
  <c r="M91" i="76" s="1"/>
  <c r="O91" i="76" s="1"/>
  <c r="K99" i="76"/>
  <c r="M99" i="76" s="1"/>
  <c r="O99" i="76" s="1"/>
  <c r="K19" i="76"/>
  <c r="M19" i="76" s="1"/>
  <c r="O19" i="76" s="1"/>
  <c r="K35" i="76"/>
  <c r="M35" i="76" s="1"/>
  <c r="O35" i="76" s="1"/>
  <c r="K12" i="76"/>
  <c r="M12" i="76" s="1"/>
  <c r="O12" i="76" s="1"/>
  <c r="K28" i="76"/>
  <c r="M28" i="76" s="1"/>
  <c r="O28" i="76" s="1"/>
  <c r="K20" i="76"/>
  <c r="M20" i="76" s="1"/>
  <c r="O20" i="76" s="1"/>
  <c r="K15" i="76"/>
  <c r="M15" i="76" s="1"/>
  <c r="O15" i="76" s="1"/>
  <c r="K21" i="76"/>
  <c r="M21" i="76" s="1"/>
  <c r="O21" i="76" s="1"/>
  <c r="K23" i="76"/>
  <c r="M23" i="76" s="1"/>
  <c r="O23" i="76" s="1"/>
  <c r="K11" i="76"/>
  <c r="M11" i="76" s="1"/>
  <c r="O11" i="76" s="1"/>
  <c r="K18" i="76"/>
  <c r="M18" i="76" s="1"/>
  <c r="O18" i="76" s="1"/>
  <c r="K14" i="76"/>
  <c r="M14" i="76" s="1"/>
  <c r="O14" i="76" s="1"/>
  <c r="K30" i="76"/>
  <c r="M30" i="76" s="1"/>
  <c r="O30" i="76" s="1"/>
  <c r="K13" i="76"/>
  <c r="M13" i="76" s="1"/>
  <c r="O13" i="76" s="1"/>
  <c r="K31" i="76"/>
  <c r="M31" i="76" s="1"/>
  <c r="O31" i="76" s="1"/>
  <c r="K9" i="76"/>
  <c r="M9" i="76" s="1"/>
  <c r="K34" i="76"/>
  <c r="M34" i="76" s="1"/>
  <c r="O34" i="76" s="1"/>
  <c r="K24" i="76"/>
  <c r="M24" i="76" s="1"/>
  <c r="O24" i="76" s="1"/>
  <c r="K26" i="76"/>
  <c r="M26" i="76" s="1"/>
  <c r="O26" i="76" s="1"/>
  <c r="K16" i="76"/>
  <c r="M16" i="76" s="1"/>
  <c r="O16" i="76" s="1"/>
  <c r="K32" i="76"/>
  <c r="M32" i="76" s="1"/>
  <c r="O32" i="76" s="1"/>
  <c r="K6" i="76"/>
  <c r="M6" i="76" s="1"/>
  <c r="O6" i="76" s="1"/>
  <c r="K27" i="76"/>
  <c r="M27" i="76" s="1"/>
  <c r="O27" i="76" s="1"/>
  <c r="K29" i="76"/>
  <c r="M29" i="76" s="1"/>
  <c r="O29" i="76" s="1"/>
  <c r="I26" i="75"/>
  <c r="N35" i="75"/>
  <c r="I35" i="75"/>
  <c r="H35" i="75"/>
  <c r="H26" i="75"/>
  <c r="N20" i="75"/>
  <c r="I20" i="75"/>
  <c r="H20" i="75"/>
  <c r="N19" i="75"/>
  <c r="I19" i="75"/>
  <c r="H19" i="75"/>
  <c r="N98" i="75"/>
  <c r="I98" i="75"/>
  <c r="H98" i="75"/>
  <c r="N97" i="75"/>
  <c r="I97" i="75"/>
  <c r="H97" i="75"/>
  <c r="N96" i="75"/>
  <c r="I96" i="75"/>
  <c r="H96" i="75"/>
  <c r="N95" i="75"/>
  <c r="I95" i="75"/>
  <c r="H95" i="75"/>
  <c r="N94" i="75"/>
  <c r="I94" i="75"/>
  <c r="H94" i="75"/>
  <c r="N93" i="75"/>
  <c r="I93" i="75"/>
  <c r="H93" i="75"/>
  <c r="N92" i="75"/>
  <c r="I92" i="75"/>
  <c r="H92" i="75"/>
  <c r="N91" i="75"/>
  <c r="I91" i="75"/>
  <c r="H91" i="75"/>
  <c r="N90" i="75"/>
  <c r="I90" i="75"/>
  <c r="H90" i="75"/>
  <c r="N89" i="75"/>
  <c r="I89" i="75"/>
  <c r="H89" i="75"/>
  <c r="N88" i="75"/>
  <c r="I88" i="75"/>
  <c r="H88" i="75"/>
  <c r="N87" i="75"/>
  <c r="I87" i="75"/>
  <c r="H87" i="75"/>
  <c r="N86" i="75"/>
  <c r="I86" i="75"/>
  <c r="H86" i="75"/>
  <c r="N85" i="75"/>
  <c r="I85" i="75"/>
  <c r="H85" i="75"/>
  <c r="N84" i="75"/>
  <c r="I84" i="75"/>
  <c r="H84" i="75"/>
  <c r="N83" i="75"/>
  <c r="I83" i="75"/>
  <c r="H83" i="75"/>
  <c r="N82" i="75"/>
  <c r="I82" i="75"/>
  <c r="H82" i="75"/>
  <c r="N81" i="75"/>
  <c r="I81" i="75"/>
  <c r="H81" i="75"/>
  <c r="N80" i="75"/>
  <c r="I80" i="75"/>
  <c r="H80" i="75"/>
  <c r="N79" i="75"/>
  <c r="I79" i="75"/>
  <c r="H79" i="75"/>
  <c r="N78" i="75"/>
  <c r="I78" i="75"/>
  <c r="H78" i="75"/>
  <c r="N77" i="75"/>
  <c r="I77" i="75"/>
  <c r="H77" i="75"/>
  <c r="N76" i="75"/>
  <c r="I76" i="75"/>
  <c r="H76" i="75"/>
  <c r="N75" i="75"/>
  <c r="I75" i="75"/>
  <c r="H75" i="75"/>
  <c r="N74" i="75"/>
  <c r="I74" i="75"/>
  <c r="H74" i="75"/>
  <c r="N73" i="75"/>
  <c r="I73" i="75"/>
  <c r="H73" i="75"/>
  <c r="N72" i="75"/>
  <c r="I72" i="75"/>
  <c r="H72" i="75"/>
  <c r="N71" i="75"/>
  <c r="I71" i="75"/>
  <c r="H71" i="75"/>
  <c r="K71" i="75" s="1"/>
  <c r="M71" i="75" s="1"/>
  <c r="N70" i="75"/>
  <c r="I70" i="75"/>
  <c r="H70" i="75"/>
  <c r="N69" i="75"/>
  <c r="I69" i="75"/>
  <c r="H69" i="75"/>
  <c r="N68" i="75"/>
  <c r="I68" i="75"/>
  <c r="H68" i="75"/>
  <c r="N67" i="75"/>
  <c r="I67" i="75"/>
  <c r="H67" i="75"/>
  <c r="N66" i="75"/>
  <c r="I66" i="75"/>
  <c r="H66" i="75"/>
  <c r="N65" i="75"/>
  <c r="I65" i="75"/>
  <c r="H65" i="75"/>
  <c r="N64" i="75"/>
  <c r="I64" i="75"/>
  <c r="H64" i="75"/>
  <c r="N63" i="75"/>
  <c r="I63" i="75"/>
  <c r="H63" i="75"/>
  <c r="N62" i="75"/>
  <c r="I62" i="75"/>
  <c r="H62" i="75"/>
  <c r="N61" i="75"/>
  <c r="I61" i="75"/>
  <c r="H61" i="75"/>
  <c r="N60" i="75"/>
  <c r="I60" i="75"/>
  <c r="H60" i="75"/>
  <c r="N59" i="75"/>
  <c r="I59" i="75"/>
  <c r="H59" i="75"/>
  <c r="N58" i="75"/>
  <c r="I58" i="75"/>
  <c r="H58" i="75"/>
  <c r="N57" i="75"/>
  <c r="I57" i="75"/>
  <c r="H57" i="75"/>
  <c r="N56" i="75"/>
  <c r="I56" i="75"/>
  <c r="H56" i="75"/>
  <c r="N55" i="75"/>
  <c r="I55" i="75"/>
  <c r="H55" i="75"/>
  <c r="K55" i="75" s="1"/>
  <c r="M55" i="75" s="1"/>
  <c r="N54" i="75"/>
  <c r="I54" i="75"/>
  <c r="H54" i="75"/>
  <c r="N53" i="75"/>
  <c r="I53" i="75"/>
  <c r="H53" i="75"/>
  <c r="N52" i="75"/>
  <c r="I52" i="75"/>
  <c r="H52" i="75"/>
  <c r="N51" i="75"/>
  <c r="I51" i="75"/>
  <c r="H51" i="75"/>
  <c r="N50" i="75"/>
  <c r="I50" i="75"/>
  <c r="H50" i="75"/>
  <c r="N49" i="75"/>
  <c r="I49" i="75"/>
  <c r="H49" i="75"/>
  <c r="N48" i="75"/>
  <c r="I48" i="75"/>
  <c r="H48" i="75"/>
  <c r="N47" i="75"/>
  <c r="I47" i="75"/>
  <c r="H47" i="75"/>
  <c r="N46" i="75"/>
  <c r="I46" i="75"/>
  <c r="H46" i="75"/>
  <c r="N45" i="75"/>
  <c r="I45" i="75"/>
  <c r="H45" i="75"/>
  <c r="N44" i="75"/>
  <c r="I44" i="75"/>
  <c r="H44" i="75"/>
  <c r="N43" i="75"/>
  <c r="I43" i="75"/>
  <c r="H43" i="75"/>
  <c r="N42" i="75"/>
  <c r="I42" i="75"/>
  <c r="H42" i="75"/>
  <c r="N41" i="75"/>
  <c r="I41" i="75"/>
  <c r="H41" i="75"/>
  <c r="N40" i="75"/>
  <c r="I40" i="75"/>
  <c r="H40" i="75"/>
  <c r="N38" i="75"/>
  <c r="I38" i="75"/>
  <c r="H38" i="75"/>
  <c r="K38" i="75" s="1"/>
  <c r="N37" i="75"/>
  <c r="I37" i="75"/>
  <c r="H37" i="75"/>
  <c r="N32" i="75"/>
  <c r="I32" i="75"/>
  <c r="H32" i="75"/>
  <c r="N10" i="75"/>
  <c r="I10" i="75"/>
  <c r="H10" i="75"/>
  <c r="N30" i="75"/>
  <c r="I30" i="75"/>
  <c r="H30" i="75"/>
  <c r="N12" i="75"/>
  <c r="I12" i="75"/>
  <c r="H12" i="75"/>
  <c r="N9" i="75"/>
  <c r="I9" i="75"/>
  <c r="H9" i="75"/>
  <c r="N29" i="75"/>
  <c r="I29" i="75"/>
  <c r="H29" i="75"/>
  <c r="N28" i="75"/>
  <c r="I28" i="75"/>
  <c r="H28" i="75"/>
  <c r="K28" i="75" s="1"/>
  <c r="M28" i="75" s="1"/>
  <c r="N8" i="75"/>
  <c r="I8" i="75"/>
  <c r="H8" i="75"/>
  <c r="N21" i="75"/>
  <c r="I21" i="75"/>
  <c r="H21" i="75"/>
  <c r="N25" i="75"/>
  <c r="I25" i="75"/>
  <c r="H25" i="75"/>
  <c r="N7" i="75"/>
  <c r="I7" i="75"/>
  <c r="H7" i="75"/>
  <c r="N6" i="75"/>
  <c r="I6" i="75"/>
  <c r="H6" i="75"/>
  <c r="N22" i="75"/>
  <c r="I22" i="75"/>
  <c r="H22" i="75"/>
  <c r="N34" i="75"/>
  <c r="I34" i="75"/>
  <c r="H34" i="75"/>
  <c r="N27" i="75"/>
  <c r="I27" i="75"/>
  <c r="H27" i="75"/>
  <c r="N16" i="75"/>
  <c r="I16" i="75"/>
  <c r="H16" i="75"/>
  <c r="N39" i="75"/>
  <c r="I39" i="75"/>
  <c r="H39" i="75"/>
  <c r="N15" i="75"/>
  <c r="I15" i="75"/>
  <c r="H15" i="75"/>
  <c r="N24" i="75"/>
  <c r="I24" i="75"/>
  <c r="H24" i="75"/>
  <c r="N13" i="75"/>
  <c r="I13" i="75"/>
  <c r="H13" i="75"/>
  <c r="N11" i="75"/>
  <c r="I11" i="75"/>
  <c r="H11" i="75"/>
  <c r="N23" i="75"/>
  <c r="I23" i="75"/>
  <c r="H23" i="75"/>
  <c r="T10" i="75"/>
  <c r="I33" i="75"/>
  <c r="H33" i="75"/>
  <c r="T9" i="75"/>
  <c r="N17" i="75" s="1"/>
  <c r="I14" i="75"/>
  <c r="H14" i="75"/>
  <c r="T8" i="75"/>
  <c r="I17" i="75"/>
  <c r="H17" i="75"/>
  <c r="N31" i="75"/>
  <c r="I31" i="75"/>
  <c r="H31" i="75"/>
  <c r="T6" i="75"/>
  <c r="N18" i="75"/>
  <c r="I18" i="75"/>
  <c r="H18" i="75"/>
  <c r="N5" i="75"/>
  <c r="I5" i="75"/>
  <c r="H5" i="75"/>
  <c r="T4" i="75"/>
  <c r="T3" i="75"/>
  <c r="A1" i="75"/>
  <c r="O9" i="76" l="1"/>
  <c r="M22" i="76"/>
  <c r="O22" i="76" s="1"/>
  <c r="O55" i="75"/>
  <c r="K42" i="75"/>
  <c r="M42" i="75" s="1"/>
  <c r="O42" i="75" s="1"/>
  <c r="K50" i="75"/>
  <c r="M50" i="75" s="1"/>
  <c r="O50" i="75" s="1"/>
  <c r="K58" i="75"/>
  <c r="M58" i="75" s="1"/>
  <c r="K82" i="75"/>
  <c r="M82" i="75" s="1"/>
  <c r="O82" i="75" s="1"/>
  <c r="K90" i="75"/>
  <c r="M90" i="75" s="1"/>
  <c r="K52" i="75"/>
  <c r="M52" i="75" s="1"/>
  <c r="O52" i="75" s="1"/>
  <c r="K26" i="75"/>
  <c r="M26" i="75" s="1"/>
  <c r="K93" i="75"/>
  <c r="M93" i="75" s="1"/>
  <c r="O93" i="75" s="1"/>
  <c r="K61" i="75"/>
  <c r="M61" i="75" s="1"/>
  <c r="O61" i="75" s="1"/>
  <c r="K69" i="75"/>
  <c r="M69" i="75" s="1"/>
  <c r="O69" i="75" s="1"/>
  <c r="K40" i="75"/>
  <c r="M40" i="75" s="1"/>
  <c r="O40" i="75" s="1"/>
  <c r="K56" i="75"/>
  <c r="M56" i="75" s="1"/>
  <c r="O56" i="75" s="1"/>
  <c r="K62" i="75"/>
  <c r="M62" i="75" s="1"/>
  <c r="O62" i="75" s="1"/>
  <c r="K78" i="75"/>
  <c r="M78" i="75" s="1"/>
  <c r="O78" i="75" s="1"/>
  <c r="K86" i="75"/>
  <c r="M86" i="75" s="1"/>
  <c r="O86" i="75" s="1"/>
  <c r="K94" i="75"/>
  <c r="M94" i="75" s="1"/>
  <c r="O94" i="75" s="1"/>
  <c r="K57" i="75"/>
  <c r="M57" i="75" s="1"/>
  <c r="O57" i="75" s="1"/>
  <c r="K65" i="75"/>
  <c r="M65" i="75" s="1"/>
  <c r="O65" i="75" s="1"/>
  <c r="K76" i="75"/>
  <c r="M76" i="75" s="1"/>
  <c r="K81" i="75"/>
  <c r="M81" i="75" s="1"/>
  <c r="O81" i="75" s="1"/>
  <c r="K89" i="75"/>
  <c r="M89" i="75" s="1"/>
  <c r="O89" i="75" s="1"/>
  <c r="K97" i="75"/>
  <c r="M97" i="75" s="1"/>
  <c r="O97" i="75" s="1"/>
  <c r="K39" i="75"/>
  <c r="M39" i="75" s="1"/>
  <c r="O39" i="75" s="1"/>
  <c r="O26" i="75"/>
  <c r="K84" i="75"/>
  <c r="M84" i="75" s="1"/>
  <c r="O84" i="75" s="1"/>
  <c r="K54" i="75"/>
  <c r="M54" i="75" s="1"/>
  <c r="O54" i="75" s="1"/>
  <c r="K59" i="75"/>
  <c r="M59" i="75" s="1"/>
  <c r="O59" i="75" s="1"/>
  <c r="K64" i="75"/>
  <c r="M64" i="75" s="1"/>
  <c r="O64" i="75" s="1"/>
  <c r="K67" i="75"/>
  <c r="M67" i="75" s="1"/>
  <c r="O67" i="75" s="1"/>
  <c r="K72" i="75"/>
  <c r="M72" i="75" s="1"/>
  <c r="O72" i="75" s="1"/>
  <c r="K83" i="75"/>
  <c r="M83" i="75" s="1"/>
  <c r="O83" i="75" s="1"/>
  <c r="K88" i="75"/>
  <c r="M88" i="75" s="1"/>
  <c r="O88" i="75" s="1"/>
  <c r="K91" i="75"/>
  <c r="M91" i="75" s="1"/>
  <c r="O91" i="75" s="1"/>
  <c r="K25" i="75"/>
  <c r="M25" i="75" s="1"/>
  <c r="O25" i="75" s="1"/>
  <c r="K10" i="75"/>
  <c r="M10" i="75" s="1"/>
  <c r="O10" i="75" s="1"/>
  <c r="K44" i="75"/>
  <c r="M44" i="75" s="1"/>
  <c r="O44" i="75" s="1"/>
  <c r="K49" i="75"/>
  <c r="M49" i="75" s="1"/>
  <c r="O49" i="75" s="1"/>
  <c r="O28" i="75"/>
  <c r="K41" i="75"/>
  <c r="M41" i="75" s="1"/>
  <c r="O41" i="75" s="1"/>
  <c r="K77" i="75"/>
  <c r="M77" i="75" s="1"/>
  <c r="O77" i="75" s="1"/>
  <c r="K70" i="75"/>
  <c r="M70" i="75" s="1"/>
  <c r="O70" i="75" s="1"/>
  <c r="K75" i="75"/>
  <c r="M75" i="75" s="1"/>
  <c r="O75" i="75" s="1"/>
  <c r="K80" i="75"/>
  <c r="M80" i="75" s="1"/>
  <c r="O80" i="75" s="1"/>
  <c r="K85" i="75"/>
  <c r="M85" i="75" s="1"/>
  <c r="O85" i="75" s="1"/>
  <c r="K60" i="75"/>
  <c r="M60" i="75" s="1"/>
  <c r="O60" i="75" s="1"/>
  <c r="K96" i="75"/>
  <c r="M96" i="75" s="1"/>
  <c r="O96" i="75" s="1"/>
  <c r="K45" i="75"/>
  <c r="M45" i="75" s="1"/>
  <c r="O45" i="75" s="1"/>
  <c r="K68" i="75"/>
  <c r="M68" i="75" s="1"/>
  <c r="O68" i="75" s="1"/>
  <c r="O71" i="75"/>
  <c r="K73" i="75"/>
  <c r="M73" i="75" s="1"/>
  <c r="O73" i="75" s="1"/>
  <c r="O76" i="75"/>
  <c r="K37" i="75"/>
  <c r="M37" i="75" s="1"/>
  <c r="O37" i="75" s="1"/>
  <c r="K43" i="75"/>
  <c r="M43" i="75" s="1"/>
  <c r="O43" i="75" s="1"/>
  <c r="K48" i="75"/>
  <c r="M48" i="75" s="1"/>
  <c r="O48" i="75" s="1"/>
  <c r="K53" i="75"/>
  <c r="M53" i="75" s="1"/>
  <c r="O53" i="75" s="1"/>
  <c r="K66" i="75"/>
  <c r="M66" i="75" s="1"/>
  <c r="O66" i="75" s="1"/>
  <c r="K35" i="75"/>
  <c r="M35" i="75" s="1"/>
  <c r="O35" i="75" s="1"/>
  <c r="K46" i="75"/>
  <c r="M46" i="75" s="1"/>
  <c r="O46" i="75" s="1"/>
  <c r="K51" i="75"/>
  <c r="M51" i="75" s="1"/>
  <c r="O51" i="75" s="1"/>
  <c r="K87" i="75"/>
  <c r="M87" i="75" s="1"/>
  <c r="O87" i="75" s="1"/>
  <c r="K92" i="75"/>
  <c r="M92" i="75" s="1"/>
  <c r="O92" i="75" s="1"/>
  <c r="K16" i="75"/>
  <c r="M16" i="75" s="1"/>
  <c r="O16" i="75" s="1"/>
  <c r="K9" i="75"/>
  <c r="M9" i="75" s="1"/>
  <c r="O9" i="75" s="1"/>
  <c r="K19" i="75"/>
  <c r="M19" i="75" s="1"/>
  <c r="O19" i="75" s="1"/>
  <c r="K98" i="75"/>
  <c r="M98" i="75" s="1"/>
  <c r="O98" i="75" s="1"/>
  <c r="K21" i="75"/>
  <c r="M21" i="75" s="1"/>
  <c r="O21" i="75" s="1"/>
  <c r="O58" i="75"/>
  <c r="K74" i="75"/>
  <c r="M74" i="75" s="1"/>
  <c r="O74" i="75" s="1"/>
  <c r="O90" i="75"/>
  <c r="K34" i="75"/>
  <c r="M34" i="75" s="1"/>
  <c r="O34" i="75" s="1"/>
  <c r="K29" i="75"/>
  <c r="M29" i="75" s="1"/>
  <c r="O29" i="75" s="1"/>
  <c r="K47" i="75"/>
  <c r="M47" i="75" s="1"/>
  <c r="O47" i="75" s="1"/>
  <c r="K63" i="75"/>
  <c r="M63" i="75" s="1"/>
  <c r="O63" i="75" s="1"/>
  <c r="K79" i="75"/>
  <c r="M79" i="75" s="1"/>
  <c r="O79" i="75" s="1"/>
  <c r="K95" i="75"/>
  <c r="M95" i="75" s="1"/>
  <c r="O95" i="75" s="1"/>
  <c r="K7" i="75"/>
  <c r="M7" i="75" s="1"/>
  <c r="O7" i="75" s="1"/>
  <c r="K32" i="75"/>
  <c r="M32" i="75" s="1"/>
  <c r="O32" i="75" s="1"/>
  <c r="K27" i="75"/>
  <c r="M27" i="75" s="1"/>
  <c r="O27" i="75" s="1"/>
  <c r="K6" i="75"/>
  <c r="M6" i="75" s="1"/>
  <c r="O6" i="75" s="1"/>
  <c r="K23" i="75"/>
  <c r="M23" i="75" s="1"/>
  <c r="O23" i="75" s="1"/>
  <c r="K18" i="75"/>
  <c r="M18" i="75" s="1"/>
  <c r="O18" i="75" s="1"/>
  <c r="K13" i="75"/>
  <c r="M13" i="75" s="1"/>
  <c r="O13" i="75" s="1"/>
  <c r="K33" i="75"/>
  <c r="M33" i="75" s="1"/>
  <c r="K11" i="75"/>
  <c r="M11" i="75" s="1"/>
  <c r="O11" i="75" s="1"/>
  <c r="K20" i="75"/>
  <c r="M20" i="75" s="1"/>
  <c r="O20" i="75" s="1"/>
  <c r="K5" i="75"/>
  <c r="M5" i="75" s="1"/>
  <c r="O5" i="75" s="1"/>
  <c r="K15" i="75"/>
  <c r="M15" i="75" s="1"/>
  <c r="O15" i="75" s="1"/>
  <c r="K22" i="75"/>
  <c r="M22" i="75" s="1"/>
  <c r="O22" i="75" s="1"/>
  <c r="K8" i="75"/>
  <c r="M8" i="75" s="1"/>
  <c r="O8" i="75" s="1"/>
  <c r="K30" i="75"/>
  <c r="M30" i="75" s="1"/>
  <c r="O30" i="75" s="1"/>
  <c r="K14" i="75"/>
  <c r="M14" i="75" s="1"/>
  <c r="K24" i="75"/>
  <c r="M24" i="75" s="1"/>
  <c r="O24" i="75" s="1"/>
  <c r="K12" i="75"/>
  <c r="M12" i="75" s="1"/>
  <c r="O12" i="75" s="1"/>
  <c r="K17" i="75"/>
  <c r="M17" i="75" s="1"/>
  <c r="O17" i="75" s="1"/>
  <c r="K31" i="75"/>
  <c r="M31" i="75" s="1"/>
  <c r="O31" i="75" s="1"/>
  <c r="M38" i="75"/>
  <c r="O38" i="75" s="1"/>
  <c r="N33" i="75"/>
  <c r="N14" i="75"/>
  <c r="H32" i="74"/>
  <c r="I32" i="74"/>
  <c r="K32" i="74" s="1"/>
  <c r="M32" i="74" s="1"/>
  <c r="N32" i="74"/>
  <c r="N94" i="74"/>
  <c r="I94" i="74"/>
  <c r="H94" i="74"/>
  <c r="N93" i="74"/>
  <c r="I93" i="74"/>
  <c r="K93" i="74" s="1"/>
  <c r="M93" i="74" s="1"/>
  <c r="O93" i="74" s="1"/>
  <c r="H93" i="74"/>
  <c r="N92" i="74"/>
  <c r="I92" i="74"/>
  <c r="K92" i="74" s="1"/>
  <c r="M92" i="74" s="1"/>
  <c r="O92" i="74" s="1"/>
  <c r="H92" i="74"/>
  <c r="N91" i="74"/>
  <c r="I91" i="74"/>
  <c r="H91" i="74"/>
  <c r="N90" i="74"/>
  <c r="I90" i="74"/>
  <c r="H90" i="74"/>
  <c r="N89" i="74"/>
  <c r="I89" i="74"/>
  <c r="H89" i="74"/>
  <c r="N88" i="74"/>
  <c r="K88" i="74"/>
  <c r="I88" i="74"/>
  <c r="H88" i="74"/>
  <c r="N87" i="74"/>
  <c r="I87" i="74"/>
  <c r="H87" i="74"/>
  <c r="N9" i="74"/>
  <c r="I9" i="74"/>
  <c r="H9" i="74"/>
  <c r="N86" i="74"/>
  <c r="I86" i="74"/>
  <c r="H86" i="74"/>
  <c r="N85" i="74"/>
  <c r="I85" i="74"/>
  <c r="H85" i="74"/>
  <c r="N84" i="74"/>
  <c r="I84" i="74"/>
  <c r="H84" i="74"/>
  <c r="N83" i="74"/>
  <c r="I83" i="74"/>
  <c r="H83" i="74"/>
  <c r="N82" i="74"/>
  <c r="I82" i="74"/>
  <c r="H82" i="74"/>
  <c r="N81" i="74"/>
  <c r="I81" i="74"/>
  <c r="H81" i="74"/>
  <c r="N80" i="74"/>
  <c r="I80" i="74"/>
  <c r="H80" i="74"/>
  <c r="N79" i="74"/>
  <c r="I79" i="74"/>
  <c r="H79" i="74"/>
  <c r="N78" i="74"/>
  <c r="I78" i="74"/>
  <c r="H78" i="74"/>
  <c r="N77" i="74"/>
  <c r="I77" i="74"/>
  <c r="H77" i="74"/>
  <c r="N76" i="74"/>
  <c r="I76" i="74"/>
  <c r="K76" i="74" s="1"/>
  <c r="H76" i="74"/>
  <c r="N75" i="74"/>
  <c r="I75" i="74"/>
  <c r="H75" i="74"/>
  <c r="N74" i="74"/>
  <c r="I74" i="74"/>
  <c r="H74" i="74"/>
  <c r="N73" i="74"/>
  <c r="I73" i="74"/>
  <c r="H73" i="74"/>
  <c r="K73" i="74" s="1"/>
  <c r="N72" i="74"/>
  <c r="I72" i="74"/>
  <c r="H72" i="74"/>
  <c r="N71" i="74"/>
  <c r="I71" i="74"/>
  <c r="H71" i="74"/>
  <c r="N70" i="74"/>
  <c r="I70" i="74"/>
  <c r="H70" i="74"/>
  <c r="K70" i="74" s="1"/>
  <c r="M70" i="74" s="1"/>
  <c r="O70" i="74" s="1"/>
  <c r="N69" i="74"/>
  <c r="I69" i="74"/>
  <c r="H69" i="74"/>
  <c r="N68" i="74"/>
  <c r="I68" i="74"/>
  <c r="H68" i="74"/>
  <c r="N67" i="74"/>
  <c r="I67" i="74"/>
  <c r="H67" i="74"/>
  <c r="N66" i="74"/>
  <c r="I66" i="74"/>
  <c r="H66" i="74"/>
  <c r="N65" i="74"/>
  <c r="I65" i="74"/>
  <c r="H65" i="74"/>
  <c r="N64" i="74"/>
  <c r="I64" i="74"/>
  <c r="H64" i="74"/>
  <c r="N63" i="74"/>
  <c r="I63" i="74"/>
  <c r="H63" i="74"/>
  <c r="N62" i="74"/>
  <c r="I62" i="74"/>
  <c r="H62" i="74"/>
  <c r="N61" i="74"/>
  <c r="I61" i="74"/>
  <c r="K61" i="74" s="1"/>
  <c r="M61" i="74" s="1"/>
  <c r="O61" i="74" s="1"/>
  <c r="H61" i="74"/>
  <c r="N60" i="74"/>
  <c r="I60" i="74"/>
  <c r="H60" i="74"/>
  <c r="N59" i="74"/>
  <c r="I59" i="74"/>
  <c r="H59" i="74"/>
  <c r="N58" i="74"/>
  <c r="I58" i="74"/>
  <c r="H58" i="74"/>
  <c r="K58" i="74" s="1"/>
  <c r="N57" i="74"/>
  <c r="I57" i="74"/>
  <c r="K57" i="74" s="1"/>
  <c r="H57" i="74"/>
  <c r="N56" i="74"/>
  <c r="I56" i="74"/>
  <c r="K56" i="74" s="1"/>
  <c r="M56" i="74" s="1"/>
  <c r="H56" i="74"/>
  <c r="N55" i="74"/>
  <c r="I55" i="74"/>
  <c r="H55" i="74"/>
  <c r="N54" i="74"/>
  <c r="I54" i="74"/>
  <c r="H54" i="74"/>
  <c r="K54" i="74" s="1"/>
  <c r="M54" i="74" s="1"/>
  <c r="O54" i="74" s="1"/>
  <c r="N53" i="74"/>
  <c r="I53" i="74"/>
  <c r="H53" i="74"/>
  <c r="N52" i="74"/>
  <c r="I52" i="74"/>
  <c r="H52" i="74"/>
  <c r="N51" i="74"/>
  <c r="I51" i="74"/>
  <c r="H51" i="74"/>
  <c r="N50" i="74"/>
  <c r="I50" i="74"/>
  <c r="H50" i="74"/>
  <c r="N49" i="74"/>
  <c r="I49" i="74"/>
  <c r="H49" i="74"/>
  <c r="N48" i="74"/>
  <c r="I48" i="74"/>
  <c r="H48" i="74"/>
  <c r="N47" i="74"/>
  <c r="I47" i="74"/>
  <c r="H47" i="74"/>
  <c r="N46" i="74"/>
  <c r="I46" i="74"/>
  <c r="H46" i="74"/>
  <c r="N45" i="74"/>
  <c r="I45" i="74"/>
  <c r="H45" i="74"/>
  <c r="N44" i="74"/>
  <c r="I44" i="74"/>
  <c r="H44" i="74"/>
  <c r="N43" i="74"/>
  <c r="I43" i="74"/>
  <c r="H43" i="74"/>
  <c r="N42" i="74"/>
  <c r="I42" i="74"/>
  <c r="H42" i="74"/>
  <c r="N41" i="74"/>
  <c r="I41" i="74"/>
  <c r="H41" i="74"/>
  <c r="K41" i="74" s="1"/>
  <c r="N40" i="74"/>
  <c r="I40" i="74"/>
  <c r="K40" i="74" s="1"/>
  <c r="M40" i="74" s="1"/>
  <c r="O40" i="74" s="1"/>
  <c r="H40" i="74"/>
  <c r="N39" i="74"/>
  <c r="I39" i="74"/>
  <c r="H39" i="74"/>
  <c r="N38" i="74"/>
  <c r="I38" i="74"/>
  <c r="H38" i="74"/>
  <c r="K38" i="74" s="1"/>
  <c r="M38" i="74" s="1"/>
  <c r="O38" i="74" s="1"/>
  <c r="N37" i="74"/>
  <c r="I37" i="74"/>
  <c r="H37" i="74"/>
  <c r="N36" i="74"/>
  <c r="I36" i="74"/>
  <c r="H36" i="74"/>
  <c r="N34" i="74"/>
  <c r="I34" i="74"/>
  <c r="H34" i="74"/>
  <c r="I19" i="74"/>
  <c r="H19" i="74"/>
  <c r="N27" i="74"/>
  <c r="I27" i="74"/>
  <c r="H27" i="74"/>
  <c r="N30" i="74"/>
  <c r="I30" i="74"/>
  <c r="H30" i="74"/>
  <c r="N24" i="74"/>
  <c r="I24" i="74"/>
  <c r="H24" i="74"/>
  <c r="N20" i="74"/>
  <c r="I20" i="74"/>
  <c r="H20" i="74"/>
  <c r="N33" i="74"/>
  <c r="I33" i="74"/>
  <c r="H33" i="74"/>
  <c r="I10" i="74"/>
  <c r="H10" i="74"/>
  <c r="N18" i="74"/>
  <c r="I18" i="74"/>
  <c r="H18" i="74"/>
  <c r="I8" i="74"/>
  <c r="H8" i="74"/>
  <c r="N6" i="74"/>
  <c r="I6" i="74"/>
  <c r="H6" i="74"/>
  <c r="N16" i="74"/>
  <c r="I16" i="74"/>
  <c r="H16" i="74"/>
  <c r="N7" i="74"/>
  <c r="I7" i="74"/>
  <c r="H7" i="74"/>
  <c r="N23" i="74"/>
  <c r="I23" i="74"/>
  <c r="H23" i="74"/>
  <c r="N12" i="74"/>
  <c r="I12" i="74"/>
  <c r="H12" i="74"/>
  <c r="I11" i="74"/>
  <c r="H11" i="74"/>
  <c r="N26" i="74"/>
  <c r="I26" i="74"/>
  <c r="H26" i="74"/>
  <c r="N25" i="74"/>
  <c r="I25" i="74"/>
  <c r="H25" i="74"/>
  <c r="I21" i="74"/>
  <c r="H21" i="74"/>
  <c r="N17" i="74"/>
  <c r="I17" i="74"/>
  <c r="H17" i="74"/>
  <c r="I15" i="74"/>
  <c r="H15" i="74"/>
  <c r="N14" i="74"/>
  <c r="I14" i="74"/>
  <c r="H14" i="74"/>
  <c r="I28" i="74"/>
  <c r="H28" i="74"/>
  <c r="T10" i="74"/>
  <c r="N19" i="74" s="1"/>
  <c r="N31" i="74"/>
  <c r="I31" i="74"/>
  <c r="H31" i="74"/>
  <c r="T9" i="74"/>
  <c r="N21" i="74" s="1"/>
  <c r="N22" i="74"/>
  <c r="I22" i="74"/>
  <c r="H22" i="74"/>
  <c r="T8" i="74"/>
  <c r="N5" i="74"/>
  <c r="I5" i="74"/>
  <c r="H5" i="74"/>
  <c r="K5" i="74" s="1"/>
  <c r="M5" i="74" s="1"/>
  <c r="N29" i="74"/>
  <c r="I29" i="74"/>
  <c r="H29" i="74"/>
  <c r="T6" i="74"/>
  <c r="N13" i="74"/>
  <c r="I13" i="74"/>
  <c r="H13" i="74"/>
  <c r="T4" i="74"/>
  <c r="T3" i="74"/>
  <c r="A1" i="74"/>
  <c r="O14" i="75" l="1"/>
  <c r="O33" i="75"/>
  <c r="N15" i="74"/>
  <c r="N8" i="74"/>
  <c r="K37" i="74"/>
  <c r="M37" i="74" s="1"/>
  <c r="O37" i="74" s="1"/>
  <c r="K45" i="74"/>
  <c r="M45" i="74" s="1"/>
  <c r="O45" i="74" s="1"/>
  <c r="K53" i="74"/>
  <c r="M53" i="74" s="1"/>
  <c r="O53" i="74" s="1"/>
  <c r="K71" i="74"/>
  <c r="M71" i="74" s="1"/>
  <c r="O71" i="74" s="1"/>
  <c r="K74" i="74"/>
  <c r="M74" i="74" s="1"/>
  <c r="K82" i="74"/>
  <c r="K49" i="74"/>
  <c r="M49" i="74" s="1"/>
  <c r="O49" i="74" s="1"/>
  <c r="K83" i="74"/>
  <c r="K85" i="74"/>
  <c r="M85" i="74" s="1"/>
  <c r="O85" i="74" s="1"/>
  <c r="K67" i="74"/>
  <c r="M67" i="74" s="1"/>
  <c r="O67" i="74" s="1"/>
  <c r="K44" i="74"/>
  <c r="K51" i="74"/>
  <c r="M51" i="74" s="1"/>
  <c r="O51" i="74" s="1"/>
  <c r="K69" i="74"/>
  <c r="M69" i="74" s="1"/>
  <c r="O69" i="74" s="1"/>
  <c r="K77" i="74"/>
  <c r="M77" i="74" s="1"/>
  <c r="O77" i="74" s="1"/>
  <c r="K72" i="74"/>
  <c r="M72" i="74" s="1"/>
  <c r="O72" i="74" s="1"/>
  <c r="K87" i="74"/>
  <c r="M87" i="74" s="1"/>
  <c r="N11" i="74"/>
  <c r="N10" i="74"/>
  <c r="K39" i="74"/>
  <c r="M39" i="74" s="1"/>
  <c r="O39" i="74" s="1"/>
  <c r="K42" i="74"/>
  <c r="M42" i="74" s="1"/>
  <c r="O42" i="74" s="1"/>
  <c r="K50" i="74"/>
  <c r="K65" i="74"/>
  <c r="K81" i="74"/>
  <c r="M81" i="74" s="1"/>
  <c r="O81" i="74" s="1"/>
  <c r="K34" i="74"/>
  <c r="M34" i="74" s="1"/>
  <c r="O34" i="74" s="1"/>
  <c r="K21" i="74"/>
  <c r="M21" i="74" s="1"/>
  <c r="O21" i="74" s="1"/>
  <c r="K27" i="74"/>
  <c r="M27" i="74" s="1"/>
  <c r="O27" i="74" s="1"/>
  <c r="O5" i="74"/>
  <c r="K13" i="74"/>
  <c r="M13" i="74" s="1"/>
  <c r="O13" i="74" s="1"/>
  <c r="O32" i="74"/>
  <c r="K12" i="74"/>
  <c r="M12" i="74" s="1"/>
  <c r="O12" i="74" s="1"/>
  <c r="K6" i="74"/>
  <c r="M6" i="74" s="1"/>
  <c r="O6" i="74" s="1"/>
  <c r="K22" i="74"/>
  <c r="M22" i="74" s="1"/>
  <c r="O22" i="74" s="1"/>
  <c r="K28" i="74"/>
  <c r="M28" i="74" s="1"/>
  <c r="K30" i="74"/>
  <c r="M30" i="74" s="1"/>
  <c r="O30" i="74" s="1"/>
  <c r="K59" i="74"/>
  <c r="M59" i="74" s="1"/>
  <c r="O59" i="74" s="1"/>
  <c r="K64" i="74"/>
  <c r="M64" i="74" s="1"/>
  <c r="O64" i="74" s="1"/>
  <c r="O74" i="74"/>
  <c r="K86" i="74"/>
  <c r="M86" i="74" s="1"/>
  <c r="O86" i="74" s="1"/>
  <c r="K90" i="74"/>
  <c r="M90" i="74" s="1"/>
  <c r="O90" i="74" s="1"/>
  <c r="K29" i="74"/>
  <c r="M29" i="74" s="1"/>
  <c r="O29" i="74" s="1"/>
  <c r="K20" i="74"/>
  <c r="M20" i="74" s="1"/>
  <c r="O20" i="74" s="1"/>
  <c r="K47" i="74"/>
  <c r="M47" i="74" s="1"/>
  <c r="O47" i="74" s="1"/>
  <c r="K52" i="74"/>
  <c r="M52" i="74" s="1"/>
  <c r="O52" i="74" s="1"/>
  <c r="K62" i="74"/>
  <c r="M62" i="74" s="1"/>
  <c r="O62" i="74" s="1"/>
  <c r="K79" i="74"/>
  <c r="M79" i="74" s="1"/>
  <c r="O79" i="74" s="1"/>
  <c r="K84" i="74"/>
  <c r="M84" i="74" s="1"/>
  <c r="O84" i="74" s="1"/>
  <c r="K55" i="74"/>
  <c r="M55" i="74" s="1"/>
  <c r="O55" i="74" s="1"/>
  <c r="K9" i="74"/>
  <c r="M9" i="74" s="1"/>
  <c r="O9" i="74" s="1"/>
  <c r="K91" i="74"/>
  <c r="M91" i="74" s="1"/>
  <c r="O91" i="74" s="1"/>
  <c r="K43" i="74"/>
  <c r="M43" i="74" s="1"/>
  <c r="O43" i="74" s="1"/>
  <c r="K48" i="74"/>
  <c r="M48" i="74" s="1"/>
  <c r="O48" i="74" s="1"/>
  <c r="K75" i="74"/>
  <c r="K80" i="74"/>
  <c r="M80" i="74" s="1"/>
  <c r="O80" i="74" s="1"/>
  <c r="K8" i="74"/>
  <c r="M8" i="74" s="1"/>
  <c r="K24" i="74"/>
  <c r="M24" i="74" s="1"/>
  <c r="O24" i="74" s="1"/>
  <c r="K36" i="74"/>
  <c r="K46" i="74"/>
  <c r="M46" i="74" s="1"/>
  <c r="O46" i="74" s="1"/>
  <c r="K63" i="74"/>
  <c r="M63" i="74" s="1"/>
  <c r="O63" i="74" s="1"/>
  <c r="K68" i="74"/>
  <c r="M68" i="74" s="1"/>
  <c r="O68" i="74" s="1"/>
  <c r="K78" i="74"/>
  <c r="M78" i="74" s="1"/>
  <c r="O78" i="74" s="1"/>
  <c r="K89" i="74"/>
  <c r="M89" i="74" s="1"/>
  <c r="O89" i="74" s="1"/>
  <c r="K94" i="74"/>
  <c r="M94" i="74" s="1"/>
  <c r="O94" i="74" s="1"/>
  <c r="K60" i="74"/>
  <c r="M60" i="74" s="1"/>
  <c r="O60" i="74" s="1"/>
  <c r="K33" i="74"/>
  <c r="M33" i="74" s="1"/>
  <c r="O33" i="74" s="1"/>
  <c r="O56" i="74"/>
  <c r="K66" i="74"/>
  <c r="M66" i="74" s="1"/>
  <c r="O66" i="74" s="1"/>
  <c r="O87" i="74"/>
  <c r="K14" i="74"/>
  <c r="M14" i="74" s="1"/>
  <c r="O14" i="74" s="1"/>
  <c r="K23" i="74"/>
  <c r="M23" i="74" s="1"/>
  <c r="O23" i="74" s="1"/>
  <c r="K25" i="74"/>
  <c r="M25" i="74" s="1"/>
  <c r="O25" i="74" s="1"/>
  <c r="K19" i="74"/>
  <c r="M19" i="74" s="1"/>
  <c r="O19" i="74" s="1"/>
  <c r="K17" i="74"/>
  <c r="M17" i="74" s="1"/>
  <c r="O17" i="74" s="1"/>
  <c r="K26" i="74"/>
  <c r="M26" i="74" s="1"/>
  <c r="O26" i="74" s="1"/>
  <c r="K16" i="74"/>
  <c r="M16" i="74" s="1"/>
  <c r="O16" i="74" s="1"/>
  <c r="K31" i="74"/>
  <c r="M31" i="74" s="1"/>
  <c r="O31" i="74" s="1"/>
  <c r="K18" i="74"/>
  <c r="M18" i="74" s="1"/>
  <c r="O18" i="74" s="1"/>
  <c r="K11" i="74"/>
  <c r="M11" i="74" s="1"/>
  <c r="K15" i="74"/>
  <c r="M15" i="74" s="1"/>
  <c r="O15" i="74" s="1"/>
  <c r="K7" i="74"/>
  <c r="M7" i="74" s="1"/>
  <c r="O7" i="74" s="1"/>
  <c r="K10" i="74"/>
  <c r="M10" i="74" s="1"/>
  <c r="M50" i="74"/>
  <c r="O50" i="74" s="1"/>
  <c r="M57" i="74"/>
  <c r="O57" i="74" s="1"/>
  <c r="M44" i="74"/>
  <c r="O44" i="74" s="1"/>
  <c r="M76" i="74"/>
  <c r="O76" i="74" s="1"/>
  <c r="M58" i="74"/>
  <c r="O58" i="74" s="1"/>
  <c r="M65" i="74"/>
  <c r="O65" i="74" s="1"/>
  <c r="M75" i="74"/>
  <c r="O75" i="74" s="1"/>
  <c r="M82" i="74"/>
  <c r="O82" i="74" s="1"/>
  <c r="M36" i="74"/>
  <c r="O36" i="74" s="1"/>
  <c r="M88" i="74"/>
  <c r="O88" i="74" s="1"/>
  <c r="M41" i="74"/>
  <c r="O41" i="74" s="1"/>
  <c r="M73" i="74"/>
  <c r="O73" i="74" s="1"/>
  <c r="M83" i="74"/>
  <c r="O83" i="74" s="1"/>
  <c r="N28" i="74"/>
  <c r="H30" i="73"/>
  <c r="H24" i="73"/>
  <c r="H26" i="73"/>
  <c r="H25" i="73"/>
  <c r="H27" i="73"/>
  <c r="K14" i="73"/>
  <c r="M14" i="73" s="1"/>
  <c r="K5" i="73"/>
  <c r="M5" i="73" s="1"/>
  <c r="N31" i="73"/>
  <c r="N28" i="73"/>
  <c r="N10" i="73"/>
  <c r="N11" i="73"/>
  <c r="N12" i="73"/>
  <c r="N13" i="73"/>
  <c r="N6" i="73"/>
  <c r="N14" i="73"/>
  <c r="N19" i="73"/>
  <c r="N18" i="73"/>
  <c r="N20" i="73"/>
  <c r="N21" i="73"/>
  <c r="N22" i="73"/>
  <c r="N23" i="73"/>
  <c r="N24" i="73"/>
  <c r="N26" i="73"/>
  <c r="N25" i="73"/>
  <c r="N27" i="73"/>
  <c r="N29" i="73"/>
  <c r="N32" i="73"/>
  <c r="N30" i="73"/>
  <c r="I32" i="73"/>
  <c r="H32" i="73"/>
  <c r="I30" i="73"/>
  <c r="K30" i="73" s="1"/>
  <c r="M30" i="73" s="1"/>
  <c r="I31" i="73"/>
  <c r="I28" i="73"/>
  <c r="K28" i="73" s="1"/>
  <c r="M28" i="73" s="1"/>
  <c r="I9" i="73"/>
  <c r="I8" i="73"/>
  <c r="I10" i="73"/>
  <c r="I11" i="73"/>
  <c r="I12" i="73"/>
  <c r="K12" i="73" s="1"/>
  <c r="M12" i="73" s="1"/>
  <c r="I13" i="73"/>
  <c r="I6" i="73"/>
  <c r="I15" i="73"/>
  <c r="K15" i="73" s="1"/>
  <c r="M15" i="73" s="1"/>
  <c r="I14" i="73"/>
  <c r="I16" i="73"/>
  <c r="I5" i="73"/>
  <c r="I17" i="73"/>
  <c r="K17" i="73" s="1"/>
  <c r="M17" i="73" s="1"/>
  <c r="I19" i="73"/>
  <c r="K19" i="73" s="1"/>
  <c r="M19" i="73" s="1"/>
  <c r="I18" i="73"/>
  <c r="I20" i="73"/>
  <c r="I21" i="73"/>
  <c r="I22" i="73"/>
  <c r="I23" i="73"/>
  <c r="I24" i="73"/>
  <c r="K24" i="73" s="1"/>
  <c r="M24" i="73" s="1"/>
  <c r="I26" i="73"/>
  <c r="I25" i="73"/>
  <c r="I27" i="73"/>
  <c r="I34" i="73"/>
  <c r="I29" i="73"/>
  <c r="I35" i="73"/>
  <c r="H19" i="73"/>
  <c r="H8" i="73"/>
  <c r="H12" i="73"/>
  <c r="H16" i="73"/>
  <c r="K16" i="73" s="1"/>
  <c r="M16" i="73" s="1"/>
  <c r="H20" i="73"/>
  <c r="H21" i="73"/>
  <c r="H23" i="73"/>
  <c r="H31" i="73"/>
  <c r="H28" i="73"/>
  <c r="H22" i="73"/>
  <c r="H6" i="73"/>
  <c r="H11" i="73"/>
  <c r="H10" i="73"/>
  <c r="H13" i="73"/>
  <c r="H15" i="73"/>
  <c r="H14" i="73"/>
  <c r="H5" i="73"/>
  <c r="H17" i="73"/>
  <c r="H18" i="73"/>
  <c r="H7" i="73"/>
  <c r="N93" i="73"/>
  <c r="I93" i="73"/>
  <c r="H93" i="73"/>
  <c r="N92" i="73"/>
  <c r="I92" i="73"/>
  <c r="H92" i="73"/>
  <c r="N91" i="73"/>
  <c r="I91" i="73"/>
  <c r="H91" i="73"/>
  <c r="N90" i="73"/>
  <c r="I90" i="73"/>
  <c r="H90" i="73"/>
  <c r="N89" i="73"/>
  <c r="I89" i="73"/>
  <c r="H89" i="73"/>
  <c r="N88" i="73"/>
  <c r="I88" i="73"/>
  <c r="H88" i="73"/>
  <c r="N87" i="73"/>
  <c r="I87" i="73"/>
  <c r="H87" i="73"/>
  <c r="N86" i="73"/>
  <c r="I86" i="73"/>
  <c r="H86" i="73"/>
  <c r="N85" i="73"/>
  <c r="I85" i="73"/>
  <c r="H85" i="73"/>
  <c r="N84" i="73"/>
  <c r="I84" i="73"/>
  <c r="H84" i="73"/>
  <c r="N83" i="73"/>
  <c r="I83" i="73"/>
  <c r="H83" i="73"/>
  <c r="N82" i="73"/>
  <c r="I82" i="73"/>
  <c r="H82" i="73"/>
  <c r="N81" i="73"/>
  <c r="I81" i="73"/>
  <c r="H81" i="73"/>
  <c r="N80" i="73"/>
  <c r="I80" i="73"/>
  <c r="H80" i="73"/>
  <c r="N79" i="73"/>
  <c r="I79" i="73"/>
  <c r="H79" i="73"/>
  <c r="N78" i="73"/>
  <c r="I78" i="73"/>
  <c r="H78" i="73"/>
  <c r="H9" i="73"/>
  <c r="H29" i="73"/>
  <c r="N77" i="73"/>
  <c r="I77" i="73"/>
  <c r="H77" i="73"/>
  <c r="N76" i="73"/>
  <c r="I76" i="73"/>
  <c r="H76" i="73"/>
  <c r="N75" i="73"/>
  <c r="I75" i="73"/>
  <c r="H75" i="73"/>
  <c r="N74" i="73"/>
  <c r="I74" i="73"/>
  <c r="H74" i="73"/>
  <c r="N34" i="73"/>
  <c r="H34" i="73"/>
  <c r="I7" i="73"/>
  <c r="N73" i="73"/>
  <c r="I73" i="73"/>
  <c r="H73" i="73"/>
  <c r="N72" i="73"/>
  <c r="I72" i="73"/>
  <c r="H72" i="73"/>
  <c r="N71" i="73"/>
  <c r="I71" i="73"/>
  <c r="H71" i="73"/>
  <c r="N70" i="73"/>
  <c r="I70" i="73"/>
  <c r="H70" i="73"/>
  <c r="N69" i="73"/>
  <c r="I69" i="73"/>
  <c r="H69" i="73"/>
  <c r="N68" i="73"/>
  <c r="I68" i="73"/>
  <c r="H68" i="73"/>
  <c r="N67" i="73"/>
  <c r="I67" i="73"/>
  <c r="H67" i="73"/>
  <c r="N66" i="73"/>
  <c r="I66" i="73"/>
  <c r="H66" i="73"/>
  <c r="N65" i="73"/>
  <c r="I65" i="73"/>
  <c r="H65" i="73"/>
  <c r="N64" i="73"/>
  <c r="I64" i="73"/>
  <c r="H64" i="73"/>
  <c r="N63" i="73"/>
  <c r="I63" i="73"/>
  <c r="H63" i="73"/>
  <c r="N62" i="73"/>
  <c r="I62" i="73"/>
  <c r="H62" i="73"/>
  <c r="N61" i="73"/>
  <c r="I61" i="73"/>
  <c r="H61" i="73"/>
  <c r="N60" i="73"/>
  <c r="I60" i="73"/>
  <c r="H60" i="73"/>
  <c r="N59" i="73"/>
  <c r="I59" i="73"/>
  <c r="H59" i="73"/>
  <c r="N58" i="73"/>
  <c r="I58" i="73"/>
  <c r="H58" i="73"/>
  <c r="N57" i="73"/>
  <c r="I57" i="73"/>
  <c r="H57" i="73"/>
  <c r="N56" i="73"/>
  <c r="I56" i="73"/>
  <c r="H56" i="73"/>
  <c r="N55" i="73"/>
  <c r="I55" i="73"/>
  <c r="H55" i="73"/>
  <c r="N54" i="73"/>
  <c r="I54" i="73"/>
  <c r="H54" i="73"/>
  <c r="N53" i="73"/>
  <c r="I53" i="73"/>
  <c r="H53" i="73"/>
  <c r="N52" i="73"/>
  <c r="I52" i="73"/>
  <c r="H52" i="73"/>
  <c r="N51" i="73"/>
  <c r="I51" i="73"/>
  <c r="H51" i="73"/>
  <c r="N50" i="73"/>
  <c r="I50" i="73"/>
  <c r="H50" i="73"/>
  <c r="N49" i="73"/>
  <c r="I49" i="73"/>
  <c r="H49" i="73"/>
  <c r="N48" i="73"/>
  <c r="I48" i="73"/>
  <c r="H48" i="73"/>
  <c r="N47" i="73"/>
  <c r="I47" i="73"/>
  <c r="H47" i="73"/>
  <c r="N46" i="73"/>
  <c r="I46" i="73"/>
  <c r="H46" i="73"/>
  <c r="N45" i="73"/>
  <c r="I45" i="73"/>
  <c r="H45" i="73"/>
  <c r="N44" i="73"/>
  <c r="I44" i="73"/>
  <c r="H44" i="73"/>
  <c r="N43" i="73"/>
  <c r="I43" i="73"/>
  <c r="H43" i="73"/>
  <c r="N42" i="73"/>
  <c r="I42" i="73"/>
  <c r="H42" i="73"/>
  <c r="N41" i="73"/>
  <c r="I41" i="73"/>
  <c r="H41" i="73"/>
  <c r="N40" i="73"/>
  <c r="I40" i="73"/>
  <c r="H40" i="73"/>
  <c r="T9" i="73"/>
  <c r="N15" i="73" s="1"/>
  <c r="N39" i="73"/>
  <c r="I39" i="73"/>
  <c r="H39" i="73"/>
  <c r="T8" i="73"/>
  <c r="N38" i="73"/>
  <c r="I38" i="73"/>
  <c r="H38" i="73"/>
  <c r="T7" i="73"/>
  <c r="N9" i="73" s="1"/>
  <c r="N37" i="73"/>
  <c r="I37" i="73"/>
  <c r="H37" i="73"/>
  <c r="N36" i="73"/>
  <c r="I36" i="73"/>
  <c r="H36" i="73"/>
  <c r="T5" i="73"/>
  <c r="N35" i="73"/>
  <c r="H35" i="73"/>
  <c r="T4" i="73"/>
  <c r="T3" i="73"/>
  <c r="A1" i="73"/>
  <c r="O8" i="74" l="1"/>
  <c r="O11" i="74"/>
  <c r="O10" i="74"/>
  <c r="O28" i="74"/>
  <c r="O15" i="73"/>
  <c r="K21" i="73"/>
  <c r="M21" i="73" s="1"/>
  <c r="N7" i="73"/>
  <c r="N17" i="73"/>
  <c r="N5" i="73"/>
  <c r="O5" i="73" s="1"/>
  <c r="N16" i="73"/>
  <c r="O16" i="73" s="1"/>
  <c r="N8" i="73"/>
  <c r="O8" i="73" s="1"/>
  <c r="K10" i="73"/>
  <c r="M10" i="73" s="1"/>
  <c r="O14" i="73"/>
  <c r="K23" i="73"/>
  <c r="M23" i="73" s="1"/>
  <c r="K8" i="73"/>
  <c r="M8" i="73" s="1"/>
  <c r="K22" i="73"/>
  <c r="M22" i="73" s="1"/>
  <c r="O19" i="73"/>
  <c r="O12" i="73"/>
  <c r="O17" i="73"/>
  <c r="O10" i="73"/>
  <c r="O23" i="73"/>
  <c r="O22" i="73"/>
  <c r="O28" i="73"/>
  <c r="K29" i="73"/>
  <c r="M29" i="73" s="1"/>
  <c r="O29" i="73" s="1"/>
  <c r="K11" i="73"/>
  <c r="M11" i="73" s="1"/>
  <c r="O11" i="73" s="1"/>
  <c r="O21" i="73"/>
  <c r="K20" i="73"/>
  <c r="M20" i="73" s="1"/>
  <c r="O20" i="73" s="1"/>
  <c r="K6" i="73"/>
  <c r="M6" i="73" s="1"/>
  <c r="O6" i="73" s="1"/>
  <c r="K31" i="73"/>
  <c r="M31" i="73" s="1"/>
  <c r="O31" i="73" s="1"/>
  <c r="K32" i="73"/>
  <c r="M32" i="73" s="1"/>
  <c r="O32" i="73" s="1"/>
  <c r="K9" i="73"/>
  <c r="M9" i="73" s="1"/>
  <c r="O9" i="73" s="1"/>
  <c r="K18" i="73"/>
  <c r="M18" i="73" s="1"/>
  <c r="O18" i="73" s="1"/>
  <c r="K13" i="73"/>
  <c r="M13" i="73" s="1"/>
  <c r="O13" i="73" s="1"/>
  <c r="O30" i="73"/>
  <c r="K27" i="73"/>
  <c r="M27" i="73" s="1"/>
  <c r="O27" i="73" s="1"/>
  <c r="K25" i="73"/>
  <c r="M25" i="73" s="1"/>
  <c r="O25" i="73" s="1"/>
  <c r="K26" i="73"/>
  <c r="M26" i="73" s="1"/>
  <c r="O26" i="73" s="1"/>
  <c r="O24" i="73"/>
  <c r="K55" i="73"/>
  <c r="M55" i="73" s="1"/>
  <c r="O55" i="73" s="1"/>
  <c r="K63" i="73"/>
  <c r="M63" i="73" s="1"/>
  <c r="O63" i="73" s="1"/>
  <c r="K76" i="73"/>
  <c r="M76" i="73" s="1"/>
  <c r="O76" i="73" s="1"/>
  <c r="K92" i="73"/>
  <c r="M92" i="73" s="1"/>
  <c r="O92" i="73" s="1"/>
  <c r="K36" i="73"/>
  <c r="M36" i="73" s="1"/>
  <c r="O36" i="73" s="1"/>
  <c r="K74" i="73"/>
  <c r="M74" i="73" s="1"/>
  <c r="O74" i="73" s="1"/>
  <c r="K79" i="73"/>
  <c r="M79" i="73" s="1"/>
  <c r="O79" i="73" s="1"/>
  <c r="K87" i="73"/>
  <c r="M87" i="73" s="1"/>
  <c r="O87" i="73" s="1"/>
  <c r="K78" i="73"/>
  <c r="M78" i="73" s="1"/>
  <c r="O78" i="73" s="1"/>
  <c r="K85" i="73"/>
  <c r="M85" i="73" s="1"/>
  <c r="O85" i="73" s="1"/>
  <c r="K52" i="73"/>
  <c r="M52" i="73" s="1"/>
  <c r="O52" i="73" s="1"/>
  <c r="K60" i="73"/>
  <c r="M60" i="73" s="1"/>
  <c r="O60" i="73" s="1"/>
  <c r="K88" i="73"/>
  <c r="M88" i="73" s="1"/>
  <c r="O88" i="73" s="1"/>
  <c r="K75" i="73"/>
  <c r="M75" i="73" s="1"/>
  <c r="O75" i="73" s="1"/>
  <c r="K86" i="73"/>
  <c r="M86" i="73" s="1"/>
  <c r="O86" i="73" s="1"/>
  <c r="K89" i="73"/>
  <c r="M89" i="73" s="1"/>
  <c r="O89" i="73" s="1"/>
  <c r="K59" i="73"/>
  <c r="M59" i="73" s="1"/>
  <c r="O59" i="73" s="1"/>
  <c r="K67" i="73"/>
  <c r="M67" i="73" s="1"/>
  <c r="O67" i="73" s="1"/>
  <c r="K51" i="73"/>
  <c r="M51" i="73" s="1"/>
  <c r="O51" i="73" s="1"/>
  <c r="K43" i="73"/>
  <c r="M43" i="73" s="1"/>
  <c r="O43" i="73" s="1"/>
  <c r="K50" i="73"/>
  <c r="M50" i="73" s="1"/>
  <c r="O50" i="73" s="1"/>
  <c r="K57" i="73"/>
  <c r="M57" i="73" s="1"/>
  <c r="O57" i="73" s="1"/>
  <c r="K65" i="73"/>
  <c r="M65" i="73" s="1"/>
  <c r="O65" i="73" s="1"/>
  <c r="K72" i="73"/>
  <c r="M72" i="73" s="1"/>
  <c r="O72" i="73" s="1"/>
  <c r="K37" i="73"/>
  <c r="M37" i="73" s="1"/>
  <c r="O37" i="73" s="1"/>
  <c r="K39" i="73"/>
  <c r="M39" i="73" s="1"/>
  <c r="O39" i="73" s="1"/>
  <c r="K68" i="73"/>
  <c r="M68" i="73" s="1"/>
  <c r="O68" i="73" s="1"/>
  <c r="K73" i="73"/>
  <c r="M73" i="73" s="1"/>
  <c r="O73" i="73" s="1"/>
  <c r="K80" i="73"/>
  <c r="M80" i="73" s="1"/>
  <c r="O80" i="73" s="1"/>
  <c r="K53" i="73"/>
  <c r="M53" i="73" s="1"/>
  <c r="O53" i="73" s="1"/>
  <c r="K66" i="73"/>
  <c r="M66" i="73" s="1"/>
  <c r="O66" i="73" s="1"/>
  <c r="K70" i="73"/>
  <c r="M70" i="73" s="1"/>
  <c r="O70" i="73" s="1"/>
  <c r="K83" i="73"/>
  <c r="M83" i="73" s="1"/>
  <c r="O83" i="73" s="1"/>
  <c r="K91" i="73"/>
  <c r="M91" i="73" s="1"/>
  <c r="O91" i="73" s="1"/>
  <c r="K42" i="73"/>
  <c r="M42" i="73" s="1"/>
  <c r="O42" i="73" s="1"/>
  <c r="K69" i="73"/>
  <c r="M69" i="73" s="1"/>
  <c r="O69" i="73" s="1"/>
  <c r="K45" i="73"/>
  <c r="M45" i="73" s="1"/>
  <c r="O45" i="73" s="1"/>
  <c r="K46" i="73"/>
  <c r="M46" i="73" s="1"/>
  <c r="O46" i="73" s="1"/>
  <c r="K41" i="73"/>
  <c r="M41" i="73" s="1"/>
  <c r="O41" i="73" s="1"/>
  <c r="K48" i="73"/>
  <c r="M48" i="73" s="1"/>
  <c r="O48" i="73" s="1"/>
  <c r="K35" i="73"/>
  <c r="M35" i="73" s="1"/>
  <c r="O35" i="73" s="1"/>
  <c r="K44" i="73"/>
  <c r="M44" i="73" s="1"/>
  <c r="O44" i="73" s="1"/>
  <c r="K62" i="73"/>
  <c r="M62" i="73" s="1"/>
  <c r="O62" i="73" s="1"/>
  <c r="K71" i="73"/>
  <c r="M71" i="73" s="1"/>
  <c r="O71" i="73" s="1"/>
  <c r="K7" i="73"/>
  <c r="M7" i="73" s="1"/>
  <c r="K82" i="73"/>
  <c r="M82" i="73" s="1"/>
  <c r="O82" i="73" s="1"/>
  <c r="K38" i="73"/>
  <c r="M38" i="73" s="1"/>
  <c r="O38" i="73" s="1"/>
  <c r="K40" i="73"/>
  <c r="M40" i="73" s="1"/>
  <c r="O40" i="73" s="1"/>
  <c r="K47" i="73"/>
  <c r="M47" i="73" s="1"/>
  <c r="O47" i="73" s="1"/>
  <c r="K56" i="73"/>
  <c r="M56" i="73" s="1"/>
  <c r="O56" i="73" s="1"/>
  <c r="K61" i="73"/>
  <c r="M61" i="73" s="1"/>
  <c r="O61" i="73" s="1"/>
  <c r="K34" i="73"/>
  <c r="M34" i="73" s="1"/>
  <c r="O34" i="73" s="1"/>
  <c r="K81" i="73"/>
  <c r="M81" i="73" s="1"/>
  <c r="O81" i="73" s="1"/>
  <c r="K93" i="73"/>
  <c r="M93" i="73" s="1"/>
  <c r="O93" i="73" s="1"/>
  <c r="K49" i="73"/>
  <c r="M49" i="73" s="1"/>
  <c r="O49" i="73" s="1"/>
  <c r="K58" i="73"/>
  <c r="M58" i="73" s="1"/>
  <c r="O58" i="73" s="1"/>
  <c r="K90" i="73"/>
  <c r="M90" i="73" s="1"/>
  <c r="O90" i="73" s="1"/>
  <c r="K54" i="73"/>
  <c r="M54" i="73" s="1"/>
  <c r="O54" i="73" s="1"/>
  <c r="K64" i="73"/>
  <c r="M64" i="73" s="1"/>
  <c r="O64" i="73" s="1"/>
  <c r="K77" i="73"/>
  <c r="M77" i="73" s="1"/>
  <c r="O77" i="73" s="1"/>
  <c r="K84" i="73"/>
  <c r="M84" i="73" s="1"/>
  <c r="O84" i="73" s="1"/>
  <c r="O7" i="73" l="1"/>
</calcChain>
</file>

<file path=xl/sharedStrings.xml><?xml version="1.0" encoding="utf-8"?>
<sst xmlns="http://schemas.openxmlformats.org/spreadsheetml/2006/main" count="2093" uniqueCount="181">
  <si>
    <t>礼包类别</t>
  </si>
  <si>
    <t>备注</t>
  </si>
  <si>
    <t>编号</t>
  </si>
  <si>
    <t>昵称</t>
  </si>
  <si>
    <t>曾用名</t>
  </si>
  <si>
    <t>分包</t>
  </si>
  <si>
    <t>礼包耗费</t>
  </si>
  <si>
    <t>分包总分</t>
  </si>
  <si>
    <t>Forever`欢喜</t>
  </si>
  <si>
    <t>Forever`輪回</t>
  </si>
  <si>
    <t>Forever`随风</t>
  </si>
  <si>
    <t>Forever`Gai</t>
  </si>
  <si>
    <t>Forever`二傻</t>
  </si>
  <si>
    <t>Forever`大傻</t>
  </si>
  <si>
    <t>Forever`阿良</t>
  </si>
  <si>
    <t>Forever`帆锅</t>
  </si>
  <si>
    <t>Forever`清风</t>
  </si>
  <si>
    <t>人数</t>
  </si>
  <si>
    <t>消耗分数</t>
  </si>
  <si>
    <t>封印卷個數</t>
  </si>
  <si>
    <t>通靈卷個數</t>
  </si>
  <si>
    <t>價值（金幣）</t>
  </si>
  <si>
    <t>参战</t>
  </si>
  <si>
    <t>新人战力排名</t>
  </si>
  <si>
    <t>新人初始分</t>
  </si>
  <si>
    <t>Forever`纯</t>
  </si>
  <si>
    <t>人物信息</t>
  </si>
  <si>
    <t>积分统计</t>
  </si>
  <si>
    <t>人物账号</t>
  </si>
  <si>
    <t>参战得分</t>
  </si>
  <si>
    <t>本周得分</t>
  </si>
  <si>
    <t>上周得分</t>
  </si>
  <si>
    <t>结余分数</t>
  </si>
  <si>
    <t>c跨服精英礼包</t>
  </si>
  <si>
    <t>(未分包)</t>
  </si>
  <si>
    <t>Forever`暖男</t>
  </si>
  <si>
    <t>周贡献参数</t>
  </si>
  <si>
    <t>礼包消耗参数</t>
  </si>
  <si>
    <t>年</t>
  </si>
  <si>
    <t>月</t>
  </si>
  <si>
    <t>日</t>
  </si>
  <si>
    <t>爱思妍</t>
  </si>
  <si>
    <t>甲贺忍蛙</t>
  </si>
  <si>
    <t>合肥推拿</t>
  </si>
  <si>
    <t>Forever`逆战</t>
  </si>
  <si>
    <t>Forever`hill</t>
  </si>
  <si>
    <t>Forever`wow1</t>
  </si>
  <si>
    <t>Forever手术刀</t>
  </si>
  <si>
    <t>组织集结</t>
  </si>
  <si>
    <t>次数</t>
  </si>
  <si>
    <t>波数</t>
  </si>
  <si>
    <t>组织集结得分</t>
  </si>
  <si>
    <t>*组织集结指数</t>
  </si>
  <si>
    <t>Forever`熊猫</t>
  </si>
  <si>
    <t>Forever`暗宝</t>
  </si>
  <si>
    <t>永恒小雨</t>
  </si>
  <si>
    <t>奖励得分</t>
  </si>
  <si>
    <t>喜来乐</t>
  </si>
  <si>
    <t>Forever`柠檬</t>
  </si>
  <si>
    <t>千手源</t>
  </si>
  <si>
    <t>阿飘</t>
  </si>
  <si>
    <t>Forever`玩偶</t>
  </si>
  <si>
    <t>Forever`止水</t>
  </si>
  <si>
    <t>Forever`白嫖</t>
  </si>
  <si>
    <t>积分计算规则：
1.每周礼包按照分包总分由高到低分配。组织成员的结余分数=分包总分-礼包耗费。结余分数将计入下周表格的上周得分。
2.分包总分=本周得分+上周得分。
3.本周得分=参战得分+组织集结得分+奖励得分。
4.参战得分= 组织成员本周参战次数,参战两次以上，每次有0.5分额外奖励。
5.组织集结得分 = 组织集结波数/组织集结指数
6.奖励得分包含并不限于：满参战，分包统计，接引新人。详情见备注
7.每周的组织新人将在本周分包完成后得到新人初始分，公式为AGGREGATE(16,6,全体老成员结余分数数列,1-(新人组织内战力排名-1)/组织人数)。新人初始分将计入新人的上周得分</t>
  </si>
  <si>
    <t>受伤虎</t>
  </si>
  <si>
    <t>Fqyyy∞</t>
  </si>
  <si>
    <t>LENG男妓</t>
  </si>
  <si>
    <t>刘昊然</t>
  </si>
  <si>
    <t>泷泽晚剑心</t>
  </si>
  <si>
    <t>波多野洁衣</t>
  </si>
  <si>
    <t>陌上花开·鼬</t>
  </si>
  <si>
    <t>皮皮and薯条</t>
  </si>
  <si>
    <t>始于光明终成劫</t>
  </si>
  <si>
    <t>原石</t>
  </si>
  <si>
    <t>Mr丶糯米团এ</t>
  </si>
  <si>
    <t>Mr丶一二三এ</t>
  </si>
  <si>
    <t>Mr丶毛球এ</t>
  </si>
  <si>
    <t>Mr丶良闪闪এ</t>
  </si>
  <si>
    <t>Mr丶帆锅锅এ</t>
  </si>
  <si>
    <t>Mr丶君莫笑এ</t>
  </si>
  <si>
    <t>Ms丶山栀এ</t>
  </si>
  <si>
    <t>Mr丶爱思妍এ</t>
  </si>
  <si>
    <t>Mr丶手术刀এ</t>
  </si>
  <si>
    <t>Mr丶奶粉熊এ</t>
  </si>
  <si>
    <t>Mr丶小萌新এ</t>
  </si>
  <si>
    <t>Mr丶东鹏এ</t>
  </si>
  <si>
    <t>Mr丶柠檬এ</t>
  </si>
  <si>
    <t>Mr丶TRUEএ</t>
  </si>
  <si>
    <t>Mr丶拿肾肝এ</t>
  </si>
  <si>
    <t>Mr丶止水এ</t>
  </si>
  <si>
    <t>Mr丶潇梦临এ</t>
  </si>
  <si>
    <t>Mr丶吒少এ</t>
  </si>
  <si>
    <t>Mr丶枫渐渐এ</t>
  </si>
  <si>
    <t>Mr丶阳光幽灵এ</t>
  </si>
  <si>
    <t>Mr丶星辰এ</t>
  </si>
  <si>
    <t>Mr丶羊肉串串এ</t>
  </si>
  <si>
    <t>Mr丶上头猫এ</t>
  </si>
  <si>
    <t>Mr丶云恺এ</t>
  </si>
  <si>
    <t>Mr丶花满溪এ</t>
  </si>
  <si>
    <t>Mr丶破红尘এ</t>
  </si>
  <si>
    <t>Mr丶夜未央এ</t>
  </si>
  <si>
    <t>Mr丶盖世英雄এ</t>
  </si>
  <si>
    <t>Mr丶飞段এ</t>
  </si>
  <si>
    <t>天道の周易八卦</t>
  </si>
  <si>
    <t>Ms丶惜悦এ</t>
  </si>
  <si>
    <t>Mr丶桜咲এ</t>
  </si>
  <si>
    <t>Mr丶迪亚波罗এ</t>
  </si>
  <si>
    <t>の不诉离殇</t>
  </si>
  <si>
    <t>Mr丶橘子এ</t>
  </si>
  <si>
    <t>Mr丶雏田田এ</t>
  </si>
  <si>
    <t>Mr丶阿修罗এ</t>
  </si>
  <si>
    <t>Mr丶路槡এ</t>
  </si>
  <si>
    <t>Mr丶山兮এ</t>
  </si>
  <si>
    <t>Mr丶可乐এ</t>
  </si>
  <si>
    <t>Mr丶截拳道এ</t>
  </si>
  <si>
    <t>Mr丶晚剑心এ</t>
  </si>
  <si>
    <t>Mr丶哈撒给এ</t>
  </si>
  <si>
    <t>哦豁</t>
  </si>
  <si>
    <t>持久的蛤蟆助</t>
  </si>
  <si>
    <t>Mr丶小太阳এ</t>
  </si>
  <si>
    <t>Mr丶多喝热水এ</t>
  </si>
  <si>
    <t>帅气的蟾蜍</t>
  </si>
  <si>
    <t>Mr丶承欢এ</t>
  </si>
  <si>
    <t>ぜ八岐信ぜ</t>
    <phoneticPr fontId="4" type="noConversion"/>
  </si>
  <si>
    <t>Forever`小傻</t>
    <phoneticPr fontId="13" type="noConversion"/>
  </si>
  <si>
    <t>Mr丶小傻傻এ</t>
    <phoneticPr fontId="13" type="noConversion"/>
  </si>
  <si>
    <t>Mr丶Zhuএ</t>
    <phoneticPr fontId="13" type="noConversion"/>
  </si>
  <si>
    <t>zhuzhuzhu</t>
    <phoneticPr fontId="13" type="noConversion"/>
  </si>
  <si>
    <t>Mr丶窝窝头香香</t>
    <phoneticPr fontId="13" type="noConversion"/>
  </si>
  <si>
    <t>Mr丶userএ</t>
    <phoneticPr fontId="13" type="noConversion"/>
  </si>
  <si>
    <t>Mr丶上步এ</t>
    <phoneticPr fontId="13" type="noConversion"/>
  </si>
  <si>
    <t>上步横跨斜劈</t>
    <phoneticPr fontId="13" type="noConversion"/>
  </si>
  <si>
    <t>Forever`劳模</t>
    <phoneticPr fontId="13" type="noConversion"/>
  </si>
  <si>
    <t>Mr丶醉清风এ</t>
    <phoneticPr fontId="13" type="noConversion"/>
  </si>
  <si>
    <t>Mr丶欢喜এ</t>
    <phoneticPr fontId="13" type="noConversion"/>
  </si>
  <si>
    <t>Mr丶三傻এ</t>
    <phoneticPr fontId="13" type="noConversion"/>
  </si>
  <si>
    <t>Hosee</t>
    <phoneticPr fontId="13" type="noConversion"/>
  </si>
  <si>
    <t>Mr丶随风এ</t>
    <phoneticPr fontId="13" type="noConversion"/>
  </si>
  <si>
    <t>Mr丶辰萌照顾এ</t>
    <phoneticPr fontId="13" type="noConversion"/>
  </si>
  <si>
    <t>Mr丶玄月এ</t>
    <phoneticPr fontId="13" type="noConversion"/>
  </si>
  <si>
    <t>Mr丶回忆এ</t>
    <phoneticPr fontId="13" type="noConversion"/>
  </si>
  <si>
    <t>宇智波波攒</t>
    <phoneticPr fontId="13" type="noConversion"/>
  </si>
  <si>
    <t>Forever`大九</t>
    <phoneticPr fontId="13" type="noConversion"/>
  </si>
  <si>
    <t>Mr丶呐安静些এ</t>
    <phoneticPr fontId="13" type="noConversion"/>
  </si>
  <si>
    <t>随风转</t>
    <phoneticPr fontId="13" type="noConversion"/>
  </si>
  <si>
    <t>尧吧吧吧丶</t>
    <phoneticPr fontId="13" type="noConversion"/>
  </si>
  <si>
    <t>Mr丶凶暴兽এ</t>
    <phoneticPr fontId="13" type="noConversion"/>
  </si>
  <si>
    <t>Mr丶柒夏এ</t>
    <phoneticPr fontId="13" type="noConversion"/>
  </si>
  <si>
    <t>陌上花开丶柒夏</t>
    <phoneticPr fontId="13" type="noConversion"/>
  </si>
  <si>
    <t>阿迦修罗</t>
    <phoneticPr fontId="13" type="noConversion"/>
  </si>
  <si>
    <t>Mr丶影诠释এ</t>
    <phoneticPr fontId="13" type="noConversion"/>
  </si>
  <si>
    <t>Mr丶Hinataএ</t>
    <phoneticPr fontId="13" type="noConversion"/>
  </si>
  <si>
    <t>醉街拍档</t>
    <phoneticPr fontId="13" type="noConversion"/>
  </si>
  <si>
    <t>a跨服传说礼包</t>
    <phoneticPr fontId="13" type="noConversion"/>
  </si>
  <si>
    <t>b跨服英雄礼包</t>
    <phoneticPr fontId="13" type="noConversion"/>
  </si>
  <si>
    <t>a传说功勋礼包</t>
    <phoneticPr fontId="13" type="noConversion"/>
  </si>
  <si>
    <t>b英雄功勋礼包</t>
    <phoneticPr fontId="13" type="noConversion"/>
  </si>
  <si>
    <t>c精英功勋礼包</t>
    <phoneticPr fontId="13" type="noConversion"/>
  </si>
  <si>
    <t>诸星四沙</t>
    <phoneticPr fontId="13" type="noConversion"/>
  </si>
  <si>
    <t>Mr丶呐安静些এ</t>
    <phoneticPr fontId="13" type="noConversion"/>
  </si>
  <si>
    <t>上步横跨斜劈</t>
    <phoneticPr fontId="13" type="noConversion"/>
  </si>
  <si>
    <t>呐安静些</t>
    <phoneticPr fontId="13" type="noConversion"/>
  </si>
  <si>
    <t>古月哥欠</t>
    <phoneticPr fontId="13" type="noConversion"/>
  </si>
  <si>
    <t>Mr、追梦</t>
    <phoneticPr fontId="13" type="noConversion"/>
  </si>
  <si>
    <t>前列县_发盐</t>
    <phoneticPr fontId="13" type="noConversion"/>
  </si>
  <si>
    <t>Mr丶玄月এ</t>
    <phoneticPr fontId="13" type="noConversion"/>
  </si>
  <si>
    <t>Mr丶洪荒</t>
    <phoneticPr fontId="13" type="noConversion"/>
  </si>
  <si>
    <t>Ms丶喵喵এ</t>
    <phoneticPr fontId="13" type="noConversion"/>
  </si>
  <si>
    <t>波多野洁衣</t>
    <phoneticPr fontId="13" type="noConversion"/>
  </si>
  <si>
    <t>新人初始分</t>
    <phoneticPr fontId="13" type="noConversion"/>
  </si>
  <si>
    <t>Ms丶喵喵এ</t>
    <phoneticPr fontId="13" type="noConversion"/>
  </si>
  <si>
    <t>Ms丶Baconএ</t>
    <phoneticPr fontId="13" type="noConversion"/>
  </si>
  <si>
    <t>卡卡西分身</t>
    <phoneticPr fontId="13" type="noConversion"/>
  </si>
  <si>
    <t>剑影疾风</t>
    <phoneticPr fontId="13" type="noConversion"/>
  </si>
  <si>
    <t>Mr丶劫এ</t>
    <phoneticPr fontId="13" type="noConversion"/>
  </si>
  <si>
    <t>宇智波有话直说</t>
    <phoneticPr fontId="13" type="noConversion"/>
  </si>
  <si>
    <r>
      <t>美什</t>
    </r>
    <r>
      <rPr>
        <sz val="14"/>
        <rFont val="宋体"/>
        <family val="3"/>
        <charset val="134"/>
      </rPr>
      <t>·</t>
    </r>
    <r>
      <rPr>
        <sz val="14"/>
        <rFont val="黑体"/>
        <family val="3"/>
        <charset val="134"/>
      </rPr>
      <t>银</t>
    </r>
    <phoneticPr fontId="13" type="noConversion"/>
  </si>
  <si>
    <t>雾雨文姬</t>
    <phoneticPr fontId="13" type="noConversion"/>
  </si>
  <si>
    <t>Mr丶三傻এ</t>
    <phoneticPr fontId="13" type="noConversion"/>
  </si>
  <si>
    <t>Mr-雾雨文姬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</si>
</sst>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9">
    <font>
      <sz val="11"/>
      <name val="宋体"/>
      <charset val="134"/>
    </font>
    <font>
      <b/>
      <sz val="16"/>
      <color rgb="FF1E1E1E"/>
      <name val="黑体"/>
      <family val="3"/>
      <charset val="134"/>
    </font>
    <font>
      <b/>
      <sz val="12"/>
      <color rgb="FF1E1E1E"/>
      <name val="黑体"/>
      <family val="3"/>
      <charset val="134"/>
    </font>
    <font>
      <b/>
      <sz val="14"/>
      <name val="楷体"/>
      <family val="3"/>
      <charset val="134"/>
    </font>
    <font>
      <sz val="11"/>
      <color theme="9" tint="-0.249977111117893"/>
      <name val="宋体"/>
      <family val="3"/>
      <charset val="134"/>
    </font>
    <font>
      <b/>
      <sz val="14"/>
      <color rgb="FF1E1E1E"/>
      <name val="楷体"/>
      <family val="3"/>
      <charset val="134"/>
    </font>
    <font>
      <b/>
      <sz val="12"/>
      <color rgb="FFE36B09"/>
      <name val="宋体"/>
      <family val="3"/>
      <charset val="134"/>
    </font>
    <font>
      <b/>
      <sz val="12"/>
      <color rgb="FF7030A0"/>
      <name val="宋体"/>
      <family val="3"/>
      <charset val="134"/>
    </font>
    <font>
      <b/>
      <sz val="12"/>
      <color rgb="FF0070C0"/>
      <name val="宋体"/>
      <family val="3"/>
      <charset val="134"/>
    </font>
    <font>
      <b/>
      <sz val="16"/>
      <name val="黑体"/>
      <family val="3"/>
      <charset val="134"/>
    </font>
    <font>
      <b/>
      <sz val="14"/>
      <color rgb="FFFF0000"/>
      <name val="楷体"/>
      <family val="3"/>
      <charset val="134"/>
    </font>
    <font>
      <b/>
      <sz val="14"/>
      <name val="宋体"/>
      <family val="3"/>
      <charset val="134"/>
    </font>
    <font>
      <sz val="11"/>
      <color rgb="FF1E1E1E"/>
      <name val="宋体"/>
      <family val="3"/>
      <charset val="134"/>
    </font>
    <font>
      <sz val="9"/>
      <name val="宋体"/>
      <family val="3"/>
      <charset val="134"/>
    </font>
    <font>
      <sz val="14"/>
      <name val="黑体"/>
      <family val="3"/>
      <charset val="134"/>
    </font>
    <font>
      <sz val="11"/>
      <name val="黑体"/>
      <family val="3"/>
      <charset val="134"/>
    </font>
    <font>
      <sz val="14"/>
      <color rgb="FF1E1E1E"/>
      <name val="黑体"/>
      <family val="3"/>
      <charset val="134"/>
    </font>
    <font>
      <sz val="14"/>
      <name val="楷体"/>
      <family val="3"/>
      <charset val="134"/>
    </font>
    <font>
      <sz val="14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ill="1" applyBorder="1" applyProtection="1">
      <alignment vertical="center"/>
    </xf>
    <xf numFmtId="0" fontId="0" fillId="7" borderId="1" xfId="0" applyFont="1" applyFill="1" applyBorder="1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1" xfId="0" applyFont="1" applyFill="1" applyBorder="1" applyAlignment="1" applyProtection="1">
      <alignment vertical="center" wrapText="1"/>
    </xf>
    <xf numFmtId="0" fontId="6" fillId="2" borderId="4" xfId="0" applyFont="1" applyFill="1" applyBorder="1" applyAlignment="1" applyProtection="1">
      <alignment horizontal="center" vertical="center"/>
    </xf>
    <xf numFmtId="0" fontId="0" fillId="7" borderId="1" xfId="0" applyFill="1" applyBorder="1" applyProtection="1">
      <alignment vertical="center"/>
    </xf>
    <xf numFmtId="0" fontId="7" fillId="2" borderId="4" xfId="0" applyFont="1" applyFill="1" applyBorder="1" applyAlignment="1" applyProtection="1">
      <alignment horizontal="center" vertical="center"/>
    </xf>
    <xf numFmtId="0" fontId="0" fillId="0" borderId="1" xfId="0" applyFill="1" applyBorder="1" applyProtection="1">
      <alignment vertical="center"/>
    </xf>
    <xf numFmtId="0" fontId="11" fillId="0" borderId="1" xfId="0" applyFont="1" applyFill="1" applyBorder="1">
      <alignment vertical="center"/>
    </xf>
    <xf numFmtId="0" fontId="11" fillId="2" borderId="1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5" borderId="0" xfId="0" applyFill="1">
      <alignment vertical="center"/>
    </xf>
    <xf numFmtId="0" fontId="0" fillId="4" borderId="0" xfId="0" applyFill="1" applyBorder="1">
      <alignment vertical="center"/>
    </xf>
    <xf numFmtId="0" fontId="0" fillId="7" borderId="0" xfId="0" applyFill="1" applyBorder="1">
      <alignment vertical="center"/>
    </xf>
    <xf numFmtId="0" fontId="0" fillId="0" borderId="0" xfId="0" applyFill="1" applyBorder="1">
      <alignment vertical="center"/>
    </xf>
    <xf numFmtId="0" fontId="0" fillId="5" borderId="0" xfId="0" applyFont="1" applyFill="1">
      <alignment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4" fillId="0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4" fillId="0" borderId="0" xfId="0" applyFont="1" applyBorder="1">
      <alignment vertical="center"/>
    </xf>
    <xf numFmtId="0" fontId="16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top" wrapText="1"/>
    </xf>
    <xf numFmtId="14" fontId="1" fillId="4" borderId="4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5" fillId="8" borderId="1" xfId="0" applyFont="1" applyFill="1" applyBorder="1">
      <alignment vertical="center"/>
    </xf>
    <xf numFmtId="0" fontId="3" fillId="8" borderId="1" xfId="0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4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218533</xdr:colOff>
      <xdr:row>7</xdr:row>
      <xdr:rowOff>76040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33240" cy="12757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85725</xdr:rowOff>
    </xdr:from>
    <xdr:to>
      <xdr:col>6</xdr:col>
      <xdr:colOff>485200</xdr:colOff>
      <xdr:row>15</xdr:row>
      <xdr:rowOff>123649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5875"/>
          <a:ext cx="4599940" cy="1409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114300</xdr:rowOff>
    </xdr:from>
    <xdr:to>
      <xdr:col>6</xdr:col>
      <xdr:colOff>447105</xdr:colOff>
      <xdr:row>24</xdr:row>
      <xdr:rowOff>37917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86050"/>
          <a:ext cx="4561840" cy="146621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24</xdr:row>
      <xdr:rowOff>38100</xdr:rowOff>
    </xdr:from>
    <xdr:to>
      <xdr:col>6</xdr:col>
      <xdr:colOff>361393</xdr:colOff>
      <xdr:row>32</xdr:row>
      <xdr:rowOff>18881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4152900"/>
          <a:ext cx="4457065" cy="135191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31</xdr:row>
      <xdr:rowOff>161925</xdr:rowOff>
    </xdr:from>
    <xdr:to>
      <xdr:col>6</xdr:col>
      <xdr:colOff>428058</xdr:colOff>
      <xdr:row>40</xdr:row>
      <xdr:rowOff>123637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5476875"/>
          <a:ext cx="4533265" cy="1504315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276225</xdr:colOff>
      <xdr:row>0</xdr:row>
      <xdr:rowOff>0</xdr:rowOff>
    </xdr:from>
    <xdr:to>
      <xdr:col>13</xdr:col>
      <xdr:colOff>304196</xdr:colOff>
      <xdr:row>10</xdr:row>
      <xdr:rowOff>152167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91025" y="0"/>
          <a:ext cx="4828540" cy="1866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1"/>
  <sheetViews>
    <sheetView showGridLines="0" workbookViewId="0">
      <selection activeCell="K42" sqref="K42"/>
    </sheetView>
  </sheetViews>
  <sheetFormatPr defaultColWidth="9" defaultRowHeight="13.5"/>
  <cols>
    <col min="2" max="8" width="9" style="43"/>
    <col min="9" max="12" width="9" style="44"/>
    <col min="38" max="39" width="9" style="1"/>
  </cols>
  <sheetData/>
  <phoneticPr fontId="1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3"/>
  <sheetViews>
    <sheetView topLeftCell="A3" workbookViewId="0">
      <selection activeCell="Q18" sqref="Q18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活动中心",T15,"年",T16,"月",T17,"日","分包贡献明细","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X3/$T$13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54" t="s">
        <v>2</v>
      </c>
      <c r="B4" s="55" t="s">
        <v>28</v>
      </c>
      <c r="C4" s="54" t="s">
        <v>3</v>
      </c>
      <c r="D4" s="54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24</v>
      </c>
      <c r="R4" s="55" t="s">
        <v>1</v>
      </c>
      <c r="S4" s="29" t="s">
        <v>155</v>
      </c>
      <c r="T4" s="28">
        <f>X4/$T$13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8">
        <v>200</v>
      </c>
      <c r="B5" s="8">
        <v>967589156</v>
      </c>
      <c r="C5" s="47" t="s">
        <v>109</v>
      </c>
      <c r="D5" s="46"/>
      <c r="E5" s="10">
        <v>3</v>
      </c>
      <c r="F5" s="10">
        <v>70</v>
      </c>
      <c r="G5" s="12" t="s">
        <v>156</v>
      </c>
      <c r="H5" s="11">
        <f t="shared" ref="H5:H32" si="0">E5+IF(E5&gt;2,(E5-2)*0.5,0)</f>
        <v>3.5</v>
      </c>
      <c r="I5" s="10">
        <f t="shared" ref="I5:I32" si="1">F5/$T$14</f>
        <v>1.4</v>
      </c>
      <c r="J5" s="10">
        <v>0</v>
      </c>
      <c r="K5" s="10">
        <f t="shared" ref="K5:K32" si="2">SUM(I5+H5+J5)</f>
        <v>4.9000000000000004</v>
      </c>
      <c r="L5" s="17">
        <v>5</v>
      </c>
      <c r="M5" s="18">
        <f t="shared" ref="M5:M32" si="3">K5+L5</f>
        <v>9.9</v>
      </c>
      <c r="N5" s="19">
        <f t="shared" ref="N5:N32" si="4">VLOOKUP(G5,$S$3:$T$10,2,FALSE)</f>
        <v>8.125</v>
      </c>
      <c r="O5" s="20">
        <f t="shared" ref="O5:O32" si="5">M5-N5</f>
        <v>1.7750000000000004</v>
      </c>
      <c r="P5" s="11"/>
      <c r="Q5" s="11"/>
      <c r="R5" s="31"/>
      <c r="S5" s="14" t="s">
        <v>33</v>
      </c>
      <c r="T5" s="28">
        <f>X5/$T$13</f>
        <v>7.5</v>
      </c>
      <c r="U5" s="30">
        <v>3</v>
      </c>
      <c r="V5" s="30">
        <v>5</v>
      </c>
      <c r="W5" s="30">
        <v>10</v>
      </c>
      <c r="X5" s="30">
        <v>1200</v>
      </c>
    </row>
    <row r="6" spans="1:24" ht="18.75">
      <c r="A6" s="8">
        <v>212</v>
      </c>
      <c r="B6" s="8">
        <v>2133045883</v>
      </c>
      <c r="C6" s="47" t="s">
        <v>122</v>
      </c>
      <c r="D6" s="46"/>
      <c r="E6" s="10">
        <v>4</v>
      </c>
      <c r="F6" s="10">
        <v>60</v>
      </c>
      <c r="G6" s="12" t="s">
        <v>156</v>
      </c>
      <c r="H6" s="11">
        <f t="shared" si="0"/>
        <v>5</v>
      </c>
      <c r="I6" s="10">
        <f t="shared" si="1"/>
        <v>1.2</v>
      </c>
      <c r="J6" s="10">
        <v>0</v>
      </c>
      <c r="K6" s="10">
        <f t="shared" si="2"/>
        <v>6.2</v>
      </c>
      <c r="L6" s="17">
        <v>1</v>
      </c>
      <c r="M6" s="18">
        <f t="shared" si="3"/>
        <v>7.2</v>
      </c>
      <c r="N6" s="19">
        <f t="shared" si="4"/>
        <v>8.125</v>
      </c>
      <c r="O6" s="20">
        <f t="shared" si="5"/>
        <v>-0.92499999999999982</v>
      </c>
      <c r="P6" s="4"/>
      <c r="Q6" s="4"/>
      <c r="R6" s="4"/>
      <c r="S6" s="14"/>
      <c r="T6" s="28"/>
      <c r="U6" s="30"/>
      <c r="V6" s="30"/>
      <c r="W6" s="30"/>
      <c r="X6" s="30"/>
    </row>
    <row r="7" spans="1:24" ht="18.75">
      <c r="A7" s="9">
        <v>49</v>
      </c>
      <c r="B7" s="8">
        <v>311361673</v>
      </c>
      <c r="C7" s="48" t="s">
        <v>126</v>
      </c>
      <c r="D7" s="49" t="s">
        <v>125</v>
      </c>
      <c r="E7" s="10">
        <v>4</v>
      </c>
      <c r="F7" s="10">
        <v>70</v>
      </c>
      <c r="G7" s="12" t="s">
        <v>34</v>
      </c>
      <c r="H7" s="11">
        <f t="shared" si="0"/>
        <v>5</v>
      </c>
      <c r="I7" s="10">
        <f t="shared" si="1"/>
        <v>1.4</v>
      </c>
      <c r="J7" s="10">
        <v>0</v>
      </c>
      <c r="K7" s="10">
        <f t="shared" si="2"/>
        <v>6.4</v>
      </c>
      <c r="L7" s="17">
        <v>0</v>
      </c>
      <c r="M7" s="18">
        <f t="shared" si="3"/>
        <v>6.4</v>
      </c>
      <c r="N7" s="19">
        <f t="shared" si="4"/>
        <v>0</v>
      </c>
      <c r="O7" s="20">
        <f t="shared" si="5"/>
        <v>6.4</v>
      </c>
      <c r="P7" s="4"/>
      <c r="Q7" s="4"/>
      <c r="R7" s="4"/>
      <c r="S7" s="12" t="s">
        <v>156</v>
      </c>
      <c r="T7" s="28">
        <f>X7/$T$13</f>
        <v>8.125</v>
      </c>
      <c r="U7" s="30">
        <v>4</v>
      </c>
      <c r="V7" s="30">
        <v>5</v>
      </c>
      <c r="W7" s="30"/>
      <c r="X7" s="30">
        <v>1300</v>
      </c>
    </row>
    <row r="8" spans="1:24" ht="18.75">
      <c r="A8" s="8">
        <v>118</v>
      </c>
      <c r="B8" s="8">
        <v>2018112397</v>
      </c>
      <c r="C8" s="47" t="s">
        <v>152</v>
      </c>
      <c r="D8" s="48" t="s">
        <v>63</v>
      </c>
      <c r="E8" s="10">
        <v>4</v>
      </c>
      <c r="F8" s="10">
        <v>70</v>
      </c>
      <c r="G8" s="12" t="s">
        <v>156</v>
      </c>
      <c r="H8" s="11">
        <f t="shared" si="0"/>
        <v>5</v>
      </c>
      <c r="I8" s="10">
        <f t="shared" si="1"/>
        <v>1.4</v>
      </c>
      <c r="J8" s="10">
        <v>0</v>
      </c>
      <c r="K8" s="10">
        <f t="shared" si="2"/>
        <v>6.4</v>
      </c>
      <c r="L8" s="17">
        <v>0</v>
      </c>
      <c r="M8" s="18">
        <f t="shared" si="3"/>
        <v>6.4</v>
      </c>
      <c r="N8" s="19">
        <f t="shared" si="4"/>
        <v>8.125</v>
      </c>
      <c r="O8" s="20">
        <f t="shared" si="5"/>
        <v>-1.7249999999999996</v>
      </c>
      <c r="P8" s="11"/>
      <c r="Q8" s="11"/>
      <c r="R8" s="11"/>
      <c r="S8" s="13" t="s">
        <v>157</v>
      </c>
      <c r="T8" s="28">
        <f>X8/$T$13</f>
        <v>6.25</v>
      </c>
      <c r="U8" s="30">
        <v>3</v>
      </c>
      <c r="V8" s="30">
        <v>4</v>
      </c>
      <c r="W8" s="30"/>
      <c r="X8" s="30">
        <v>1000</v>
      </c>
    </row>
    <row r="9" spans="1:24" ht="18.75">
      <c r="A9" s="8">
        <v>176</v>
      </c>
      <c r="B9" s="8">
        <v>128748910</v>
      </c>
      <c r="C9" s="47" t="s">
        <v>70</v>
      </c>
      <c r="D9" s="46"/>
      <c r="E9" s="10">
        <v>4</v>
      </c>
      <c r="F9" s="10">
        <v>70</v>
      </c>
      <c r="G9" s="12" t="s">
        <v>156</v>
      </c>
      <c r="H9" s="11">
        <f t="shared" si="0"/>
        <v>5</v>
      </c>
      <c r="I9" s="10">
        <f t="shared" si="1"/>
        <v>1.4</v>
      </c>
      <c r="J9" s="10">
        <v>0</v>
      </c>
      <c r="K9" s="10">
        <f t="shared" si="2"/>
        <v>6.4</v>
      </c>
      <c r="L9" s="17">
        <v>0</v>
      </c>
      <c r="M9" s="18">
        <f t="shared" si="3"/>
        <v>6.4</v>
      </c>
      <c r="N9" s="19">
        <f t="shared" si="4"/>
        <v>8.125</v>
      </c>
      <c r="O9" s="20">
        <f t="shared" si="5"/>
        <v>-1.7249999999999996</v>
      </c>
      <c r="P9" s="4"/>
      <c r="Q9" s="4"/>
      <c r="R9" s="4"/>
      <c r="S9" s="14" t="s">
        <v>158</v>
      </c>
      <c r="T9" s="28">
        <f>X9/$T$13</f>
        <v>4.375</v>
      </c>
      <c r="U9" s="30">
        <v>2</v>
      </c>
      <c r="V9" s="30">
        <v>3</v>
      </c>
      <c r="W9" s="30"/>
      <c r="X9" s="30">
        <v>700</v>
      </c>
    </row>
    <row r="10" spans="1:24" ht="18.75">
      <c r="A10" s="8"/>
      <c r="B10" s="8"/>
      <c r="C10" s="47" t="s">
        <v>151</v>
      </c>
      <c r="D10" s="48"/>
      <c r="E10" s="10">
        <v>4</v>
      </c>
      <c r="F10" s="10">
        <v>70</v>
      </c>
      <c r="G10" s="13" t="s">
        <v>157</v>
      </c>
      <c r="H10" s="11">
        <f t="shared" si="0"/>
        <v>5</v>
      </c>
      <c r="I10" s="10">
        <f t="shared" si="1"/>
        <v>1.4</v>
      </c>
      <c r="J10" s="10">
        <v>0</v>
      </c>
      <c r="K10" s="10">
        <f t="shared" si="2"/>
        <v>6.4</v>
      </c>
      <c r="L10" s="17">
        <v>0</v>
      </c>
      <c r="M10" s="18">
        <f t="shared" si="3"/>
        <v>6.4</v>
      </c>
      <c r="N10" s="19">
        <f t="shared" si="4"/>
        <v>6.25</v>
      </c>
      <c r="O10" s="20">
        <f t="shared" si="5"/>
        <v>0.15000000000000036</v>
      </c>
      <c r="P10" s="4"/>
      <c r="Q10" s="4"/>
      <c r="R10" s="4"/>
      <c r="S10" s="33" t="s">
        <v>34</v>
      </c>
      <c r="T10" s="2">
        <v>0</v>
      </c>
      <c r="U10" s="2"/>
      <c r="V10" s="2"/>
      <c r="W10" s="2"/>
      <c r="X10" s="2"/>
    </row>
    <row r="11" spans="1:24" ht="18.75">
      <c r="A11" s="9"/>
      <c r="B11" s="8">
        <v>331155825</v>
      </c>
      <c r="C11" s="48" t="s">
        <v>131</v>
      </c>
      <c r="D11" s="49" t="s">
        <v>132</v>
      </c>
      <c r="E11" s="10">
        <v>4</v>
      </c>
      <c r="F11" s="10">
        <v>70</v>
      </c>
      <c r="G11" s="13" t="s">
        <v>157</v>
      </c>
      <c r="H11" s="11">
        <f t="shared" si="0"/>
        <v>5</v>
      </c>
      <c r="I11" s="10">
        <f t="shared" si="1"/>
        <v>1.4</v>
      </c>
      <c r="J11" s="10">
        <v>0</v>
      </c>
      <c r="K11" s="10">
        <f t="shared" si="2"/>
        <v>6.4</v>
      </c>
      <c r="L11" s="17">
        <v>0</v>
      </c>
      <c r="M11" s="18">
        <f t="shared" si="3"/>
        <v>6.4</v>
      </c>
      <c r="N11" s="19">
        <f t="shared" si="4"/>
        <v>6.25</v>
      </c>
      <c r="O11" s="20">
        <f t="shared" si="5"/>
        <v>0.15000000000000036</v>
      </c>
      <c r="P11" s="4"/>
      <c r="Q11" s="4"/>
      <c r="R11" s="4"/>
      <c r="S11" s="34"/>
      <c r="T11" s="1"/>
      <c r="U11" s="1"/>
      <c r="V11" s="1"/>
      <c r="W11" s="1"/>
      <c r="X11" s="1"/>
    </row>
    <row r="12" spans="1:24" ht="18.75">
      <c r="A12" s="8"/>
      <c r="B12" s="8"/>
      <c r="C12" s="47" t="s">
        <v>150</v>
      </c>
      <c r="D12" s="48"/>
      <c r="E12" s="10">
        <v>4</v>
      </c>
      <c r="F12" s="10">
        <v>70</v>
      </c>
      <c r="G12" s="13" t="s">
        <v>157</v>
      </c>
      <c r="H12" s="11">
        <f t="shared" si="0"/>
        <v>5</v>
      </c>
      <c r="I12" s="10">
        <f t="shared" si="1"/>
        <v>1.4</v>
      </c>
      <c r="J12" s="10">
        <v>0</v>
      </c>
      <c r="K12" s="10">
        <f t="shared" si="2"/>
        <v>6.4</v>
      </c>
      <c r="L12" s="17">
        <v>0</v>
      </c>
      <c r="M12" s="18">
        <f t="shared" si="3"/>
        <v>6.4</v>
      </c>
      <c r="N12" s="19">
        <f t="shared" si="4"/>
        <v>6.25</v>
      </c>
      <c r="O12" s="20">
        <f t="shared" si="5"/>
        <v>0.15000000000000036</v>
      </c>
      <c r="P12" s="4"/>
      <c r="Q12" s="4"/>
      <c r="R12" s="4"/>
      <c r="S12" s="35" t="s">
        <v>36</v>
      </c>
      <c r="T12" s="1">
        <v>15000</v>
      </c>
      <c r="U12" s="1"/>
      <c r="V12" s="1"/>
      <c r="W12" s="1"/>
      <c r="X12" s="1"/>
    </row>
    <row r="13" spans="1:24" ht="18.75">
      <c r="A13" s="9">
        <v>1</v>
      </c>
      <c r="B13" s="8">
        <v>1782151946</v>
      </c>
      <c r="C13" s="47" t="s">
        <v>135</v>
      </c>
      <c r="D13" s="48" t="s">
        <v>8</v>
      </c>
      <c r="E13" s="10">
        <v>4</v>
      </c>
      <c r="F13" s="10">
        <v>60</v>
      </c>
      <c r="G13" s="13" t="s">
        <v>157</v>
      </c>
      <c r="H13" s="11">
        <f t="shared" si="0"/>
        <v>5</v>
      </c>
      <c r="I13" s="10">
        <f t="shared" si="1"/>
        <v>1.2</v>
      </c>
      <c r="J13" s="10">
        <v>0</v>
      </c>
      <c r="K13" s="10">
        <f t="shared" si="2"/>
        <v>6.2</v>
      </c>
      <c r="L13" s="17">
        <v>0</v>
      </c>
      <c r="M13" s="18">
        <f t="shared" si="3"/>
        <v>6.2</v>
      </c>
      <c r="N13" s="19">
        <f t="shared" si="4"/>
        <v>6.25</v>
      </c>
      <c r="O13" s="20">
        <f t="shared" si="5"/>
        <v>-4.9999999999999822E-2</v>
      </c>
      <c r="P13" s="11"/>
      <c r="Q13" s="11"/>
      <c r="R13" s="11"/>
      <c r="S13" s="36" t="s">
        <v>37</v>
      </c>
      <c r="T13" s="37">
        <v>160</v>
      </c>
      <c r="U13" s="1"/>
      <c r="V13" s="1"/>
      <c r="W13" s="1"/>
      <c r="X13" s="1"/>
    </row>
    <row r="14" spans="1:24" ht="18.75">
      <c r="A14" s="9">
        <v>34</v>
      </c>
      <c r="B14" s="8">
        <v>2021794494</v>
      </c>
      <c r="C14" s="48" t="s">
        <v>136</v>
      </c>
      <c r="D14" s="49" t="s">
        <v>133</v>
      </c>
      <c r="E14" s="10">
        <v>4</v>
      </c>
      <c r="F14" s="10">
        <v>60</v>
      </c>
      <c r="G14" s="13" t="s">
        <v>157</v>
      </c>
      <c r="H14" s="11">
        <f t="shared" si="0"/>
        <v>5</v>
      </c>
      <c r="I14" s="10">
        <f t="shared" si="1"/>
        <v>1.2</v>
      </c>
      <c r="J14" s="10">
        <v>0</v>
      </c>
      <c r="K14" s="10">
        <f t="shared" si="2"/>
        <v>6.2</v>
      </c>
      <c r="L14" s="17">
        <v>0</v>
      </c>
      <c r="M14" s="18">
        <f t="shared" si="3"/>
        <v>6.2</v>
      </c>
      <c r="N14" s="19">
        <f t="shared" si="4"/>
        <v>6.25</v>
      </c>
      <c r="O14" s="20">
        <f t="shared" si="5"/>
        <v>-4.9999999999999822E-2</v>
      </c>
      <c r="P14" s="11"/>
      <c r="Q14" s="11"/>
      <c r="R14" s="11"/>
      <c r="S14" s="38" t="s">
        <v>52</v>
      </c>
      <c r="T14" s="37">
        <v>50</v>
      </c>
      <c r="U14" s="1"/>
      <c r="V14" s="1"/>
      <c r="W14" s="1"/>
      <c r="X14" s="1"/>
    </row>
    <row r="15" spans="1:24" ht="18.75">
      <c r="A15" s="9">
        <v>53</v>
      </c>
      <c r="B15" s="8">
        <v>500959924</v>
      </c>
      <c r="C15" s="47" t="s">
        <v>134</v>
      </c>
      <c r="D15" s="49" t="s">
        <v>16</v>
      </c>
      <c r="E15" s="10">
        <v>4</v>
      </c>
      <c r="F15" s="10">
        <v>60</v>
      </c>
      <c r="G15" s="14" t="s">
        <v>158</v>
      </c>
      <c r="H15" s="11">
        <f t="shared" si="0"/>
        <v>5</v>
      </c>
      <c r="I15" s="10">
        <f t="shared" si="1"/>
        <v>1.2</v>
      </c>
      <c r="J15" s="10">
        <v>0</v>
      </c>
      <c r="K15" s="10">
        <f t="shared" si="2"/>
        <v>6.2</v>
      </c>
      <c r="L15" s="17">
        <v>0</v>
      </c>
      <c r="M15" s="18">
        <f t="shared" si="3"/>
        <v>6.2</v>
      </c>
      <c r="N15" s="19">
        <f t="shared" si="4"/>
        <v>4.375</v>
      </c>
      <c r="O15" s="20">
        <f t="shared" si="5"/>
        <v>1.8250000000000002</v>
      </c>
      <c r="P15" s="11"/>
      <c r="Q15" s="11"/>
      <c r="R15" s="32"/>
      <c r="S15" s="1" t="s">
        <v>38</v>
      </c>
      <c r="T15" s="37">
        <v>2020</v>
      </c>
      <c r="U15" s="1"/>
      <c r="V15" s="1"/>
      <c r="W15" s="1"/>
      <c r="X15" s="1"/>
    </row>
    <row r="16" spans="1:24" ht="18.75">
      <c r="A16" s="9"/>
      <c r="B16" s="8"/>
      <c r="C16" s="48" t="s">
        <v>148</v>
      </c>
      <c r="D16" s="49" t="s">
        <v>149</v>
      </c>
      <c r="E16" s="10">
        <v>4</v>
      </c>
      <c r="F16" s="10">
        <v>50</v>
      </c>
      <c r="G16" s="14" t="s">
        <v>158</v>
      </c>
      <c r="H16" s="11">
        <f t="shared" si="0"/>
        <v>5</v>
      </c>
      <c r="I16" s="10">
        <f t="shared" si="1"/>
        <v>1</v>
      </c>
      <c r="J16" s="10">
        <v>0</v>
      </c>
      <c r="K16" s="10">
        <f t="shared" si="2"/>
        <v>6</v>
      </c>
      <c r="L16" s="17">
        <v>0</v>
      </c>
      <c r="M16" s="18">
        <f t="shared" si="3"/>
        <v>6</v>
      </c>
      <c r="N16" s="19">
        <f t="shared" si="4"/>
        <v>4.375</v>
      </c>
      <c r="O16" s="20">
        <f t="shared" si="5"/>
        <v>1.625</v>
      </c>
      <c r="P16" s="11"/>
      <c r="Q16" s="11"/>
      <c r="R16" s="31"/>
      <c r="S16" s="1" t="s">
        <v>39</v>
      </c>
      <c r="T16" s="37">
        <v>9</v>
      </c>
      <c r="U16" s="1"/>
      <c r="V16" s="1"/>
      <c r="W16" s="1"/>
      <c r="X16" s="1"/>
    </row>
    <row r="17" spans="1:24" ht="18.75">
      <c r="A17" s="9">
        <v>10</v>
      </c>
      <c r="B17" s="8">
        <v>2108977014</v>
      </c>
      <c r="C17" s="47" t="s">
        <v>138</v>
      </c>
      <c r="D17" s="48" t="s">
        <v>10</v>
      </c>
      <c r="E17" s="10">
        <v>3</v>
      </c>
      <c r="F17" s="10">
        <v>70</v>
      </c>
      <c r="G17" s="14" t="s">
        <v>158</v>
      </c>
      <c r="H17" s="11">
        <f t="shared" si="0"/>
        <v>3.5</v>
      </c>
      <c r="I17" s="10">
        <f t="shared" si="1"/>
        <v>1.4</v>
      </c>
      <c r="J17" s="10">
        <v>0</v>
      </c>
      <c r="K17" s="10">
        <f t="shared" si="2"/>
        <v>4.9000000000000004</v>
      </c>
      <c r="L17" s="17">
        <v>0</v>
      </c>
      <c r="M17" s="18">
        <f t="shared" si="3"/>
        <v>4.9000000000000004</v>
      </c>
      <c r="N17" s="19">
        <f t="shared" si="4"/>
        <v>4.375</v>
      </c>
      <c r="O17" s="20">
        <f t="shared" si="5"/>
        <v>0.52500000000000036</v>
      </c>
      <c r="P17" s="11"/>
      <c r="Q17" s="11"/>
      <c r="R17" s="11"/>
      <c r="S17" s="1" t="s">
        <v>40</v>
      </c>
      <c r="T17" s="37">
        <v>27</v>
      </c>
    </row>
    <row r="18" spans="1:24" ht="18.75">
      <c r="A18" s="8">
        <v>173</v>
      </c>
      <c r="B18" s="8">
        <v>1106175185</v>
      </c>
      <c r="C18" s="47" t="s">
        <v>145</v>
      </c>
      <c r="D18" s="46"/>
      <c r="E18" s="10">
        <v>3</v>
      </c>
      <c r="F18" s="10">
        <v>70</v>
      </c>
      <c r="G18" s="14" t="s">
        <v>158</v>
      </c>
      <c r="H18" s="11">
        <f t="shared" si="0"/>
        <v>3.5</v>
      </c>
      <c r="I18" s="10">
        <f t="shared" si="1"/>
        <v>1.4</v>
      </c>
      <c r="J18" s="10">
        <v>0</v>
      </c>
      <c r="K18" s="10">
        <f t="shared" si="2"/>
        <v>4.9000000000000004</v>
      </c>
      <c r="L18" s="17">
        <v>0</v>
      </c>
      <c r="M18" s="18">
        <f t="shared" si="3"/>
        <v>4.9000000000000004</v>
      </c>
      <c r="N18" s="19">
        <f t="shared" si="4"/>
        <v>4.375</v>
      </c>
      <c r="O18" s="20">
        <f t="shared" si="5"/>
        <v>0.52500000000000036</v>
      </c>
      <c r="P18" s="11"/>
      <c r="Q18" s="11"/>
      <c r="R18" s="11"/>
      <c r="U18" s="1"/>
      <c r="V18" s="1"/>
      <c r="W18" s="1"/>
      <c r="X18" s="1"/>
    </row>
    <row r="19" spans="1:24" ht="18.75">
      <c r="A19" s="9"/>
      <c r="B19" s="8"/>
      <c r="C19" s="47" t="s">
        <v>147</v>
      </c>
      <c r="D19" s="48"/>
      <c r="E19" s="10">
        <v>3</v>
      </c>
      <c r="F19" s="10">
        <v>70</v>
      </c>
      <c r="G19" s="14" t="s">
        <v>158</v>
      </c>
      <c r="H19" s="11">
        <f t="shared" si="0"/>
        <v>3.5</v>
      </c>
      <c r="I19" s="10">
        <f t="shared" si="1"/>
        <v>1.4</v>
      </c>
      <c r="J19" s="10">
        <v>0</v>
      </c>
      <c r="K19" s="10">
        <f t="shared" si="2"/>
        <v>4.9000000000000004</v>
      </c>
      <c r="L19" s="17">
        <v>0</v>
      </c>
      <c r="M19" s="18">
        <f t="shared" si="3"/>
        <v>4.9000000000000004</v>
      </c>
      <c r="N19" s="19">
        <f t="shared" si="4"/>
        <v>4.375</v>
      </c>
      <c r="O19" s="20">
        <f t="shared" si="5"/>
        <v>0.52500000000000036</v>
      </c>
      <c r="P19" s="11"/>
      <c r="Q19" s="11"/>
      <c r="R19" s="11"/>
    </row>
    <row r="20" spans="1:24" ht="18.75">
      <c r="A20" s="8"/>
      <c r="B20" s="8"/>
      <c r="C20" s="47" t="s">
        <v>146</v>
      </c>
      <c r="D20" s="46"/>
      <c r="E20" s="10">
        <v>3</v>
      </c>
      <c r="F20" s="10">
        <v>60</v>
      </c>
      <c r="G20" s="39" t="s">
        <v>34</v>
      </c>
      <c r="H20" s="11">
        <f t="shared" si="0"/>
        <v>3.5</v>
      </c>
      <c r="I20" s="10">
        <f t="shared" si="1"/>
        <v>1.2</v>
      </c>
      <c r="J20" s="10">
        <v>0</v>
      </c>
      <c r="K20" s="10">
        <f t="shared" si="2"/>
        <v>4.7</v>
      </c>
      <c r="L20" s="17">
        <v>0</v>
      </c>
      <c r="M20" s="18">
        <f t="shared" si="3"/>
        <v>4.7</v>
      </c>
      <c r="N20" s="19">
        <f t="shared" si="4"/>
        <v>0</v>
      </c>
      <c r="O20" s="20">
        <f t="shared" si="5"/>
        <v>4.7</v>
      </c>
      <c r="P20" s="4"/>
      <c r="Q20" s="4"/>
      <c r="R20" s="4"/>
    </row>
    <row r="21" spans="1:24" ht="18.75">
      <c r="A21" s="8"/>
      <c r="B21" s="8"/>
      <c r="C21" s="47" t="s">
        <v>144</v>
      </c>
      <c r="D21" s="46"/>
      <c r="E21" s="10">
        <v>3</v>
      </c>
      <c r="F21" s="10">
        <v>50</v>
      </c>
      <c r="G21" s="39" t="s">
        <v>34</v>
      </c>
      <c r="H21" s="11">
        <f t="shared" si="0"/>
        <v>3.5</v>
      </c>
      <c r="I21" s="10">
        <f t="shared" si="1"/>
        <v>1</v>
      </c>
      <c r="J21" s="10">
        <v>0</v>
      </c>
      <c r="K21" s="10">
        <f t="shared" si="2"/>
        <v>4.5</v>
      </c>
      <c r="L21" s="17">
        <v>0</v>
      </c>
      <c r="M21" s="18">
        <f t="shared" si="3"/>
        <v>4.5</v>
      </c>
      <c r="N21" s="19">
        <f t="shared" si="4"/>
        <v>0</v>
      </c>
      <c r="O21" s="20">
        <f t="shared" si="5"/>
        <v>4.5</v>
      </c>
      <c r="P21" s="4"/>
      <c r="Q21" s="4"/>
      <c r="R21" s="4"/>
    </row>
    <row r="22" spans="1:24" ht="18.75">
      <c r="A22" s="9">
        <v>92</v>
      </c>
      <c r="B22" s="8">
        <v>1367873925</v>
      </c>
      <c r="C22" s="47" t="s">
        <v>130</v>
      </c>
      <c r="D22" s="48" t="s">
        <v>143</v>
      </c>
      <c r="E22" s="10">
        <v>2</v>
      </c>
      <c r="F22" s="10">
        <v>70</v>
      </c>
      <c r="G22" s="39" t="s">
        <v>34</v>
      </c>
      <c r="H22" s="11">
        <f t="shared" si="0"/>
        <v>2</v>
      </c>
      <c r="I22" s="10">
        <f t="shared" si="1"/>
        <v>1.4</v>
      </c>
      <c r="J22" s="10">
        <v>0</v>
      </c>
      <c r="K22" s="10">
        <f t="shared" si="2"/>
        <v>3.4</v>
      </c>
      <c r="L22" s="17">
        <v>0</v>
      </c>
      <c r="M22" s="18">
        <f t="shared" si="3"/>
        <v>3.4</v>
      </c>
      <c r="N22" s="19">
        <f t="shared" si="4"/>
        <v>0</v>
      </c>
      <c r="O22" s="20">
        <f t="shared" si="5"/>
        <v>3.4</v>
      </c>
      <c r="P22" s="11"/>
      <c r="Q22" s="11"/>
      <c r="R22" s="32"/>
    </row>
    <row r="23" spans="1:24" ht="18.75">
      <c r="A23" s="9"/>
      <c r="B23" s="8"/>
      <c r="C23" s="48" t="s">
        <v>142</v>
      </c>
      <c r="D23" s="49"/>
      <c r="E23" s="10">
        <v>2</v>
      </c>
      <c r="F23" s="10">
        <v>60</v>
      </c>
      <c r="G23" s="39" t="s">
        <v>34</v>
      </c>
      <c r="H23" s="11">
        <f t="shared" si="0"/>
        <v>2</v>
      </c>
      <c r="I23" s="10">
        <f t="shared" si="1"/>
        <v>1.2</v>
      </c>
      <c r="J23" s="10">
        <v>0</v>
      </c>
      <c r="K23" s="10">
        <f t="shared" si="2"/>
        <v>3.2</v>
      </c>
      <c r="L23" s="17">
        <v>0</v>
      </c>
      <c r="M23" s="18">
        <f t="shared" si="3"/>
        <v>3.2</v>
      </c>
      <c r="N23" s="19">
        <f t="shared" si="4"/>
        <v>0</v>
      </c>
      <c r="O23" s="20">
        <f t="shared" si="5"/>
        <v>3.2</v>
      </c>
      <c r="P23" s="4"/>
      <c r="Q23" s="4"/>
      <c r="R23" s="4"/>
    </row>
    <row r="24" spans="1:24" ht="18.75">
      <c r="A24" s="8"/>
      <c r="B24" s="8"/>
      <c r="C24" s="47" t="s">
        <v>141</v>
      </c>
      <c r="D24" s="47"/>
      <c r="E24" s="10">
        <v>2</v>
      </c>
      <c r="F24" s="10">
        <v>50</v>
      </c>
      <c r="G24" s="39" t="s">
        <v>34</v>
      </c>
      <c r="H24" s="11">
        <f t="shared" si="0"/>
        <v>2</v>
      </c>
      <c r="I24" s="10">
        <f t="shared" si="1"/>
        <v>1</v>
      </c>
      <c r="J24" s="10">
        <v>0</v>
      </c>
      <c r="K24" s="10">
        <f t="shared" si="2"/>
        <v>3</v>
      </c>
      <c r="L24" s="17">
        <v>0</v>
      </c>
      <c r="M24" s="18">
        <f t="shared" si="3"/>
        <v>3</v>
      </c>
      <c r="N24" s="19">
        <f t="shared" si="4"/>
        <v>0</v>
      </c>
      <c r="O24" s="20">
        <f t="shared" si="5"/>
        <v>3</v>
      </c>
      <c r="P24" s="4"/>
      <c r="Q24" s="4"/>
      <c r="R24" s="4"/>
    </row>
    <row r="25" spans="1:24" ht="18.75">
      <c r="A25" s="8"/>
      <c r="B25" s="8"/>
      <c r="C25" s="47" t="s">
        <v>139</v>
      </c>
      <c r="D25" s="46"/>
      <c r="E25" s="10">
        <v>1</v>
      </c>
      <c r="F25" s="10">
        <v>70</v>
      </c>
      <c r="G25" s="39" t="s">
        <v>34</v>
      </c>
      <c r="H25" s="11">
        <f t="shared" si="0"/>
        <v>1</v>
      </c>
      <c r="I25" s="10">
        <f t="shared" si="1"/>
        <v>1.4</v>
      </c>
      <c r="J25" s="10">
        <v>0</v>
      </c>
      <c r="K25" s="10">
        <f t="shared" si="2"/>
        <v>2.4</v>
      </c>
      <c r="L25" s="17">
        <v>0</v>
      </c>
      <c r="M25" s="18">
        <f t="shared" si="3"/>
        <v>2.4</v>
      </c>
      <c r="N25" s="19">
        <f t="shared" si="4"/>
        <v>0</v>
      </c>
      <c r="O25" s="20">
        <f t="shared" si="5"/>
        <v>2.4</v>
      </c>
      <c r="P25" s="4"/>
      <c r="Q25" s="4"/>
      <c r="R25" s="4"/>
      <c r="S25" s="29"/>
      <c r="T25" s="28"/>
      <c r="U25" s="23"/>
      <c r="V25" s="23"/>
      <c r="W25" s="23"/>
      <c r="X25" s="23"/>
    </row>
    <row r="26" spans="1:24" ht="18.75">
      <c r="A26" s="8">
        <v>155</v>
      </c>
      <c r="B26" s="8">
        <v>1532576874</v>
      </c>
      <c r="C26" s="47" t="s">
        <v>140</v>
      </c>
      <c r="D26" s="47" t="s">
        <v>61</v>
      </c>
      <c r="E26" s="10">
        <v>2</v>
      </c>
      <c r="F26" s="10">
        <v>0</v>
      </c>
      <c r="G26" s="39" t="s">
        <v>34</v>
      </c>
      <c r="H26" s="11">
        <f t="shared" si="0"/>
        <v>2</v>
      </c>
      <c r="I26" s="10">
        <f t="shared" si="1"/>
        <v>0</v>
      </c>
      <c r="J26" s="10">
        <v>0</v>
      </c>
      <c r="K26" s="10">
        <f t="shared" si="2"/>
        <v>2</v>
      </c>
      <c r="L26" s="17">
        <v>0</v>
      </c>
      <c r="M26" s="18">
        <f t="shared" si="3"/>
        <v>2</v>
      </c>
      <c r="N26" s="19">
        <f t="shared" si="4"/>
        <v>0</v>
      </c>
      <c r="O26" s="20">
        <f t="shared" si="5"/>
        <v>2</v>
      </c>
      <c r="P26" s="11"/>
      <c r="Q26" s="11"/>
      <c r="R26" s="32"/>
    </row>
    <row r="27" spans="1:24" ht="18.75">
      <c r="A27" s="8"/>
      <c r="B27" s="8"/>
      <c r="C27" s="47" t="s">
        <v>137</v>
      </c>
      <c r="D27" s="46"/>
      <c r="E27" s="10">
        <v>1</v>
      </c>
      <c r="F27" s="10">
        <v>50</v>
      </c>
      <c r="G27" s="39" t="s">
        <v>34</v>
      </c>
      <c r="H27" s="11">
        <f t="shared" si="0"/>
        <v>1</v>
      </c>
      <c r="I27" s="10">
        <f t="shared" si="1"/>
        <v>1</v>
      </c>
      <c r="J27" s="10">
        <v>0</v>
      </c>
      <c r="K27" s="10">
        <f t="shared" si="2"/>
        <v>2</v>
      </c>
      <c r="L27" s="17">
        <v>0</v>
      </c>
      <c r="M27" s="18">
        <f t="shared" si="3"/>
        <v>2</v>
      </c>
      <c r="N27" s="19">
        <f t="shared" si="4"/>
        <v>0</v>
      </c>
      <c r="O27" s="20">
        <f t="shared" si="5"/>
        <v>2</v>
      </c>
      <c r="P27" s="4"/>
      <c r="Q27" s="4"/>
      <c r="R27" s="4"/>
    </row>
    <row r="28" spans="1:24" ht="18.75">
      <c r="A28" s="9"/>
      <c r="B28" s="8">
        <v>910452107</v>
      </c>
      <c r="C28" s="48" t="s">
        <v>129</v>
      </c>
      <c r="D28" s="49"/>
      <c r="E28" s="10">
        <v>0</v>
      </c>
      <c r="F28" s="10">
        <v>70</v>
      </c>
      <c r="G28" s="39" t="s">
        <v>34</v>
      </c>
      <c r="H28" s="11">
        <f t="shared" si="0"/>
        <v>0</v>
      </c>
      <c r="I28" s="10">
        <f t="shared" si="1"/>
        <v>1.4</v>
      </c>
      <c r="J28" s="10">
        <v>0</v>
      </c>
      <c r="K28" s="10">
        <f t="shared" si="2"/>
        <v>1.4</v>
      </c>
      <c r="L28" s="17">
        <v>0</v>
      </c>
      <c r="M28" s="18">
        <f t="shared" si="3"/>
        <v>1.4</v>
      </c>
      <c r="N28" s="19">
        <f t="shared" si="4"/>
        <v>0</v>
      </c>
      <c r="O28" s="20">
        <f t="shared" si="5"/>
        <v>1.4</v>
      </c>
      <c r="P28" s="11"/>
      <c r="Q28" s="11"/>
      <c r="R28" s="11"/>
    </row>
    <row r="29" spans="1:24" ht="18.75">
      <c r="A29" s="8">
        <v>181</v>
      </c>
      <c r="B29" s="8">
        <v>1467442697</v>
      </c>
      <c r="C29" s="47" t="s">
        <v>73</v>
      </c>
      <c r="D29" s="46"/>
      <c r="E29" s="10">
        <v>0</v>
      </c>
      <c r="F29" s="10">
        <v>60</v>
      </c>
      <c r="G29" s="39" t="s">
        <v>34</v>
      </c>
      <c r="H29" s="11">
        <f t="shared" si="0"/>
        <v>0</v>
      </c>
      <c r="I29" s="10">
        <f t="shared" si="1"/>
        <v>1.2</v>
      </c>
      <c r="J29" s="10">
        <v>0</v>
      </c>
      <c r="K29" s="10">
        <f t="shared" si="2"/>
        <v>1.2</v>
      </c>
      <c r="L29" s="17">
        <v>0</v>
      </c>
      <c r="M29" s="18">
        <f t="shared" si="3"/>
        <v>1.2</v>
      </c>
      <c r="N29" s="19">
        <f t="shared" si="4"/>
        <v>0</v>
      </c>
      <c r="O29" s="20">
        <f t="shared" si="5"/>
        <v>1.2</v>
      </c>
      <c r="P29" s="11"/>
      <c r="Q29" s="11"/>
      <c r="R29" s="31"/>
    </row>
    <row r="30" spans="1:24" ht="18.75">
      <c r="A30" s="8"/>
      <c r="B30" s="8"/>
      <c r="C30" s="47" t="s">
        <v>153</v>
      </c>
      <c r="D30" s="46"/>
      <c r="E30" s="10"/>
      <c r="F30" s="10">
        <v>59</v>
      </c>
      <c r="G30" s="39" t="s">
        <v>34</v>
      </c>
      <c r="H30" s="11">
        <f t="shared" si="0"/>
        <v>0</v>
      </c>
      <c r="I30" s="10">
        <f t="shared" si="1"/>
        <v>1.18</v>
      </c>
      <c r="J30" s="10"/>
      <c r="K30" s="10">
        <f t="shared" si="2"/>
        <v>1.18</v>
      </c>
      <c r="L30" s="17">
        <v>0</v>
      </c>
      <c r="M30" s="18">
        <f t="shared" si="3"/>
        <v>1.18</v>
      </c>
      <c r="N30" s="19">
        <f t="shared" si="4"/>
        <v>0</v>
      </c>
      <c r="O30" s="20">
        <f t="shared" si="5"/>
        <v>1.18</v>
      </c>
      <c r="P30" s="4"/>
      <c r="Q30" s="4"/>
      <c r="R30" s="4"/>
    </row>
    <row r="31" spans="1:24" ht="18.75">
      <c r="A31" s="9"/>
      <c r="B31" s="8">
        <v>1065313201</v>
      </c>
      <c r="C31" s="48" t="s">
        <v>127</v>
      </c>
      <c r="D31" s="49" t="s">
        <v>128</v>
      </c>
      <c r="E31" s="10">
        <v>0</v>
      </c>
      <c r="F31" s="10">
        <v>20</v>
      </c>
      <c r="G31" s="39" t="s">
        <v>34</v>
      </c>
      <c r="H31" s="11">
        <f t="shared" si="0"/>
        <v>0</v>
      </c>
      <c r="I31" s="10">
        <f t="shared" si="1"/>
        <v>0.4</v>
      </c>
      <c r="J31" s="10">
        <v>0</v>
      </c>
      <c r="K31" s="10">
        <f t="shared" si="2"/>
        <v>0.4</v>
      </c>
      <c r="L31" s="17">
        <v>0</v>
      </c>
      <c r="M31" s="18">
        <f t="shared" si="3"/>
        <v>0.4</v>
      </c>
      <c r="N31" s="19">
        <f t="shared" si="4"/>
        <v>0</v>
      </c>
      <c r="O31" s="20">
        <f t="shared" si="5"/>
        <v>0.4</v>
      </c>
      <c r="P31" s="11"/>
      <c r="Q31" s="11"/>
      <c r="R31" s="11"/>
    </row>
    <row r="32" spans="1:24" ht="18.75">
      <c r="A32" s="8">
        <v>180</v>
      </c>
      <c r="B32" s="8">
        <v>24633249</v>
      </c>
      <c r="C32" s="48" t="s">
        <v>72</v>
      </c>
      <c r="D32" s="46"/>
      <c r="E32" s="10">
        <v>0</v>
      </c>
      <c r="F32" s="10">
        <v>30</v>
      </c>
      <c r="G32" s="39" t="s">
        <v>34</v>
      </c>
      <c r="H32" s="11">
        <f t="shared" si="0"/>
        <v>0</v>
      </c>
      <c r="I32" s="10">
        <f t="shared" si="1"/>
        <v>0.6</v>
      </c>
      <c r="J32" s="10">
        <v>0</v>
      </c>
      <c r="K32" s="10">
        <f t="shared" si="2"/>
        <v>0.6</v>
      </c>
      <c r="L32" s="17">
        <v>-3.125</v>
      </c>
      <c r="M32" s="18">
        <f t="shared" si="3"/>
        <v>-2.5249999999999999</v>
      </c>
      <c r="N32" s="19">
        <f t="shared" si="4"/>
        <v>0</v>
      </c>
      <c r="O32" s="20">
        <f t="shared" si="5"/>
        <v>-2.5249999999999999</v>
      </c>
      <c r="P32" s="11"/>
      <c r="Q32" s="11"/>
      <c r="R32" s="11"/>
    </row>
    <row r="33" spans="1:24" ht="18.75">
      <c r="A33" s="62"/>
      <c r="B33" s="62"/>
      <c r="C33" s="63"/>
      <c r="D33" s="64"/>
      <c r="E33" s="65"/>
      <c r="F33" s="65"/>
      <c r="G33" s="66"/>
      <c r="H33" s="67"/>
      <c r="I33" s="65"/>
      <c r="J33" s="65"/>
      <c r="K33" s="65"/>
      <c r="L33" s="68"/>
      <c r="M33" s="69"/>
      <c r="N33" s="70"/>
      <c r="O33" s="71"/>
      <c r="P33" s="72"/>
      <c r="Q33" s="72"/>
      <c r="R33" s="72"/>
    </row>
    <row r="34" spans="1:24" ht="18.75">
      <c r="A34" s="8">
        <v>169</v>
      </c>
      <c r="B34" s="8">
        <v>1280938546</v>
      </c>
      <c r="C34" s="47" t="s">
        <v>89</v>
      </c>
      <c r="D34" s="45"/>
      <c r="E34" s="10">
        <v>0</v>
      </c>
      <c r="F34" s="10">
        <v>0</v>
      </c>
      <c r="G34" s="39" t="s">
        <v>34</v>
      </c>
      <c r="H34" s="11">
        <f>E34+IF(E34&gt;2,(E34-2)*0.5,0)</f>
        <v>0</v>
      </c>
      <c r="I34" s="10">
        <f t="shared" ref="I34:I65" si="6">F34/$T$14</f>
        <v>0</v>
      </c>
      <c r="J34" s="10">
        <v>0</v>
      </c>
      <c r="K34" s="10">
        <f>SUM(I34+H34+J34)</f>
        <v>0</v>
      </c>
      <c r="L34" s="17">
        <v>0</v>
      </c>
      <c r="M34" s="18">
        <f>K34+L34</f>
        <v>0</v>
      </c>
      <c r="N34" s="19">
        <f t="shared" ref="N34:N65" si="7">VLOOKUP(G34,$S$3:$T$10,2,FALSE)</f>
        <v>0</v>
      </c>
      <c r="O34" s="20">
        <f>M34-N34</f>
        <v>0</v>
      </c>
      <c r="P34" s="4"/>
      <c r="Q34" s="4"/>
      <c r="R34" s="4"/>
    </row>
    <row r="35" spans="1:24" ht="18.75">
      <c r="A35" s="8">
        <v>130</v>
      </c>
      <c r="B35" s="8">
        <v>1957463045</v>
      </c>
      <c r="C35" s="47" t="s">
        <v>44</v>
      </c>
      <c r="D35" s="50"/>
      <c r="E35" s="10">
        <v>0</v>
      </c>
      <c r="F35" s="10">
        <v>0</v>
      </c>
      <c r="G35" s="39" t="s">
        <v>34</v>
      </c>
      <c r="H35" s="11">
        <f t="shared" ref="H35:H84" si="8">E35+IF(E35&gt;2,(E35-2)*0.5,0)</f>
        <v>0</v>
      </c>
      <c r="I35" s="10">
        <f t="shared" si="6"/>
        <v>0</v>
      </c>
      <c r="J35" s="10">
        <v>0</v>
      </c>
      <c r="K35" s="10">
        <f t="shared" ref="K35:K50" si="9">SUM(I35+H35+J35)</f>
        <v>0</v>
      </c>
      <c r="L35" s="17">
        <v>5</v>
      </c>
      <c r="M35" s="18">
        <f t="shared" ref="M35:M84" si="10">K35+L35</f>
        <v>5</v>
      </c>
      <c r="N35" s="19">
        <f t="shared" si="7"/>
        <v>0</v>
      </c>
      <c r="O35" s="20">
        <f t="shared" ref="O35:O84" si="11">M35-N35</f>
        <v>5</v>
      </c>
      <c r="P35" s="11"/>
      <c r="Q35" s="11"/>
      <c r="R35" s="31"/>
    </row>
    <row r="36" spans="1:24" ht="18.75">
      <c r="A36" s="9">
        <v>26</v>
      </c>
      <c r="B36" s="8">
        <v>1754932067</v>
      </c>
      <c r="C36" s="47" t="s">
        <v>76</v>
      </c>
      <c r="D36" s="48" t="s">
        <v>12</v>
      </c>
      <c r="E36" s="10">
        <v>0</v>
      </c>
      <c r="F36" s="10">
        <v>0</v>
      </c>
      <c r="G36" s="39" t="s">
        <v>34</v>
      </c>
      <c r="H36" s="11">
        <f t="shared" si="8"/>
        <v>0</v>
      </c>
      <c r="I36" s="10">
        <f t="shared" si="6"/>
        <v>0</v>
      </c>
      <c r="J36" s="10">
        <v>0</v>
      </c>
      <c r="K36" s="10">
        <f t="shared" si="9"/>
        <v>0</v>
      </c>
      <c r="L36" s="17">
        <v>5</v>
      </c>
      <c r="M36" s="18">
        <f t="shared" si="10"/>
        <v>5</v>
      </c>
      <c r="N36" s="19">
        <f t="shared" si="7"/>
        <v>0</v>
      </c>
      <c r="O36" s="20">
        <f t="shared" si="11"/>
        <v>5</v>
      </c>
      <c r="P36" s="11"/>
      <c r="Q36" s="11"/>
      <c r="R36" s="11"/>
    </row>
    <row r="37" spans="1:24" ht="18.75">
      <c r="A37" s="8">
        <v>187</v>
      </c>
      <c r="B37" s="8">
        <v>1241038267</v>
      </c>
      <c r="C37" s="47" t="s">
        <v>97</v>
      </c>
      <c r="D37" s="46"/>
      <c r="E37" s="10">
        <v>0</v>
      </c>
      <c r="F37" s="10">
        <v>0</v>
      </c>
      <c r="G37" s="39" t="s">
        <v>34</v>
      </c>
      <c r="H37" s="11">
        <f t="shared" si="8"/>
        <v>0</v>
      </c>
      <c r="I37" s="10">
        <f t="shared" si="6"/>
        <v>0</v>
      </c>
      <c r="J37" s="10">
        <v>0</v>
      </c>
      <c r="K37" s="10">
        <f t="shared" si="9"/>
        <v>0</v>
      </c>
      <c r="L37" s="17">
        <v>5</v>
      </c>
      <c r="M37" s="18">
        <f t="shared" si="10"/>
        <v>5</v>
      </c>
      <c r="N37" s="19">
        <f t="shared" si="7"/>
        <v>0</v>
      </c>
      <c r="O37" s="20">
        <f t="shared" si="11"/>
        <v>5</v>
      </c>
      <c r="P37" s="4"/>
      <c r="Q37" s="4"/>
      <c r="R37" s="4"/>
    </row>
    <row r="38" spans="1:24" ht="18.75">
      <c r="A38" s="8">
        <v>188</v>
      </c>
      <c r="B38" s="8">
        <v>1504984957</v>
      </c>
      <c r="C38" s="47" t="s">
        <v>98</v>
      </c>
      <c r="D38" s="46"/>
      <c r="E38" s="10">
        <v>0</v>
      </c>
      <c r="F38" s="10">
        <v>0</v>
      </c>
      <c r="G38" s="39" t="s">
        <v>34</v>
      </c>
      <c r="H38" s="11">
        <f t="shared" si="8"/>
        <v>0</v>
      </c>
      <c r="I38" s="10">
        <f t="shared" si="6"/>
        <v>0</v>
      </c>
      <c r="J38" s="10">
        <v>0</v>
      </c>
      <c r="K38" s="10">
        <f t="shared" si="9"/>
        <v>0</v>
      </c>
      <c r="L38" s="17">
        <v>5</v>
      </c>
      <c r="M38" s="18">
        <f t="shared" si="10"/>
        <v>5</v>
      </c>
      <c r="N38" s="19">
        <f t="shared" si="7"/>
        <v>0</v>
      </c>
      <c r="O38" s="20">
        <f t="shared" si="11"/>
        <v>5</v>
      </c>
      <c r="P38" s="4"/>
      <c r="Q38" s="4"/>
      <c r="R38" s="4"/>
    </row>
    <row r="39" spans="1:24" ht="18.75">
      <c r="A39" s="8">
        <v>205</v>
      </c>
      <c r="B39" s="8">
        <v>141303545</v>
      </c>
      <c r="C39" s="47" t="s">
        <v>114</v>
      </c>
      <c r="D39" s="46"/>
      <c r="E39" s="10">
        <v>0</v>
      </c>
      <c r="F39" s="10">
        <v>0</v>
      </c>
      <c r="G39" s="39" t="s">
        <v>34</v>
      </c>
      <c r="H39" s="11">
        <f t="shared" si="8"/>
        <v>0</v>
      </c>
      <c r="I39" s="10">
        <f t="shared" si="6"/>
        <v>0</v>
      </c>
      <c r="J39" s="10">
        <v>0</v>
      </c>
      <c r="K39" s="10">
        <f t="shared" si="9"/>
        <v>0</v>
      </c>
      <c r="L39" s="17">
        <v>5</v>
      </c>
      <c r="M39" s="18">
        <f t="shared" si="10"/>
        <v>5</v>
      </c>
      <c r="N39" s="19">
        <f t="shared" si="7"/>
        <v>0</v>
      </c>
      <c r="O39" s="20">
        <f t="shared" si="11"/>
        <v>5</v>
      </c>
      <c r="P39" s="4"/>
      <c r="Q39" s="4"/>
      <c r="R39" s="4"/>
    </row>
    <row r="40" spans="1:24" ht="18.75">
      <c r="A40" s="8">
        <v>182</v>
      </c>
      <c r="B40" s="8">
        <v>828260319</v>
      </c>
      <c r="C40" s="47" t="s">
        <v>92</v>
      </c>
      <c r="D40" s="46"/>
      <c r="E40" s="10">
        <v>0</v>
      </c>
      <c r="F40" s="10">
        <v>0</v>
      </c>
      <c r="G40" s="39" t="s">
        <v>34</v>
      </c>
      <c r="H40" s="11">
        <f t="shared" si="8"/>
        <v>0</v>
      </c>
      <c r="I40" s="10">
        <f t="shared" si="6"/>
        <v>0</v>
      </c>
      <c r="J40" s="10">
        <v>0</v>
      </c>
      <c r="K40" s="10">
        <f t="shared" si="9"/>
        <v>0</v>
      </c>
      <c r="L40" s="17">
        <v>5</v>
      </c>
      <c r="M40" s="18">
        <f t="shared" si="10"/>
        <v>5</v>
      </c>
      <c r="N40" s="19">
        <f t="shared" si="7"/>
        <v>0</v>
      </c>
      <c r="O40" s="20">
        <f t="shared" si="11"/>
        <v>5</v>
      </c>
      <c r="P40" s="4"/>
      <c r="Q40" s="4"/>
      <c r="R40" s="4"/>
    </row>
    <row r="41" spans="1:24" ht="18.75">
      <c r="A41" s="9">
        <v>82</v>
      </c>
      <c r="B41" s="8">
        <v>982362214</v>
      </c>
      <c r="C41" s="47" t="s">
        <v>80</v>
      </c>
      <c r="D41" s="48" t="s">
        <v>25</v>
      </c>
      <c r="E41" s="10">
        <v>0</v>
      </c>
      <c r="F41" s="10">
        <v>0</v>
      </c>
      <c r="G41" s="39" t="s">
        <v>34</v>
      </c>
      <c r="H41" s="11">
        <f t="shared" si="8"/>
        <v>0</v>
      </c>
      <c r="I41" s="10">
        <f t="shared" si="6"/>
        <v>0</v>
      </c>
      <c r="J41" s="10">
        <v>0</v>
      </c>
      <c r="K41" s="10">
        <f t="shared" si="9"/>
        <v>0</v>
      </c>
      <c r="L41" s="17">
        <v>5</v>
      </c>
      <c r="M41" s="18">
        <f t="shared" si="10"/>
        <v>5</v>
      </c>
      <c r="N41" s="19">
        <f t="shared" si="7"/>
        <v>0</v>
      </c>
      <c r="O41" s="20">
        <f t="shared" si="11"/>
        <v>5</v>
      </c>
      <c r="P41" s="11"/>
      <c r="Q41" s="11"/>
      <c r="R41" s="11"/>
    </row>
    <row r="42" spans="1:24" ht="18.75">
      <c r="A42" s="8">
        <v>191</v>
      </c>
      <c r="B42" s="8">
        <v>1037173857</v>
      </c>
      <c r="C42" s="47" t="s">
        <v>101</v>
      </c>
      <c r="D42" s="46"/>
      <c r="E42" s="10">
        <v>0</v>
      </c>
      <c r="F42" s="10">
        <v>0</v>
      </c>
      <c r="G42" s="39" t="s">
        <v>34</v>
      </c>
      <c r="H42" s="11">
        <f t="shared" si="8"/>
        <v>0</v>
      </c>
      <c r="I42" s="10">
        <f t="shared" si="6"/>
        <v>0</v>
      </c>
      <c r="J42" s="10">
        <v>0</v>
      </c>
      <c r="K42" s="10">
        <f t="shared" si="9"/>
        <v>0</v>
      </c>
      <c r="L42" s="17">
        <v>5</v>
      </c>
      <c r="M42" s="18">
        <f t="shared" si="10"/>
        <v>5</v>
      </c>
      <c r="N42" s="19">
        <f t="shared" si="7"/>
        <v>0</v>
      </c>
      <c r="O42" s="20">
        <f t="shared" si="11"/>
        <v>5</v>
      </c>
      <c r="P42" s="4"/>
      <c r="Q42" s="4"/>
      <c r="R42" s="4"/>
    </row>
    <row r="43" spans="1:24" ht="18.75">
      <c r="A43" s="8">
        <v>128</v>
      </c>
      <c r="B43" s="8">
        <v>1214614935</v>
      </c>
      <c r="C43" s="47" t="s">
        <v>85</v>
      </c>
      <c r="D43" s="50" t="s">
        <v>53</v>
      </c>
      <c r="E43" s="10">
        <v>0</v>
      </c>
      <c r="F43" s="10">
        <v>0</v>
      </c>
      <c r="G43" s="39" t="s">
        <v>34</v>
      </c>
      <c r="H43" s="11">
        <f t="shared" si="8"/>
        <v>0</v>
      </c>
      <c r="I43" s="10">
        <f t="shared" si="6"/>
        <v>0</v>
      </c>
      <c r="J43" s="10">
        <v>0</v>
      </c>
      <c r="K43" s="10">
        <f t="shared" si="9"/>
        <v>0</v>
      </c>
      <c r="L43" s="17">
        <v>5</v>
      </c>
      <c r="M43" s="18">
        <f t="shared" si="10"/>
        <v>5</v>
      </c>
      <c r="N43" s="19">
        <f t="shared" si="7"/>
        <v>0</v>
      </c>
      <c r="O43" s="20">
        <f t="shared" si="11"/>
        <v>5</v>
      </c>
      <c r="P43" s="11"/>
      <c r="Q43" s="11"/>
      <c r="R43" s="31"/>
    </row>
    <row r="44" spans="1:24" ht="18.75">
      <c r="A44" s="9">
        <v>46</v>
      </c>
      <c r="B44" s="8">
        <v>2109182835</v>
      </c>
      <c r="C44" s="47" t="s">
        <v>79</v>
      </c>
      <c r="D44" s="48" t="s">
        <v>15</v>
      </c>
      <c r="E44" s="10">
        <v>0</v>
      </c>
      <c r="F44" s="10">
        <v>0</v>
      </c>
      <c r="G44" s="39" t="s">
        <v>34</v>
      </c>
      <c r="H44" s="11">
        <f t="shared" si="8"/>
        <v>0</v>
      </c>
      <c r="I44" s="10">
        <f t="shared" si="6"/>
        <v>0</v>
      </c>
      <c r="J44" s="10">
        <v>0</v>
      </c>
      <c r="K44" s="10">
        <f t="shared" si="9"/>
        <v>0</v>
      </c>
      <c r="L44" s="17">
        <v>5</v>
      </c>
      <c r="M44" s="18">
        <f t="shared" si="10"/>
        <v>5</v>
      </c>
      <c r="N44" s="19">
        <f t="shared" si="7"/>
        <v>0</v>
      </c>
      <c r="O44" s="20">
        <f t="shared" si="11"/>
        <v>5</v>
      </c>
      <c r="P44" s="11"/>
      <c r="Q44" s="11"/>
      <c r="R44" s="11"/>
    </row>
    <row r="45" spans="1:24" ht="18.75">
      <c r="A45" s="9">
        <v>120</v>
      </c>
      <c r="B45" s="8">
        <v>171422146</v>
      </c>
      <c r="C45" s="47" t="s">
        <v>83</v>
      </c>
      <c r="D45" s="48" t="s">
        <v>47</v>
      </c>
      <c r="E45" s="10">
        <v>0</v>
      </c>
      <c r="F45" s="10">
        <v>0</v>
      </c>
      <c r="G45" s="39" t="s">
        <v>34</v>
      </c>
      <c r="H45" s="11">
        <f t="shared" si="8"/>
        <v>0</v>
      </c>
      <c r="I45" s="10">
        <f t="shared" si="6"/>
        <v>0</v>
      </c>
      <c r="J45" s="10">
        <v>0</v>
      </c>
      <c r="K45" s="10">
        <f t="shared" si="9"/>
        <v>0</v>
      </c>
      <c r="L45" s="17">
        <v>5</v>
      </c>
      <c r="M45" s="18">
        <f t="shared" si="10"/>
        <v>5</v>
      </c>
      <c r="N45" s="19">
        <f t="shared" si="7"/>
        <v>0</v>
      </c>
      <c r="O45" s="20">
        <f t="shared" si="11"/>
        <v>5</v>
      </c>
      <c r="P45" s="11"/>
      <c r="Q45" s="11"/>
      <c r="R45" s="32"/>
    </row>
    <row r="46" spans="1:24" ht="18.75">
      <c r="A46" s="8">
        <v>143</v>
      </c>
      <c r="B46" s="8">
        <v>1963007427</v>
      </c>
      <c r="C46" s="47" t="s">
        <v>87</v>
      </c>
      <c r="D46" s="47" t="s">
        <v>58</v>
      </c>
      <c r="E46" s="10">
        <v>0</v>
      </c>
      <c r="F46" s="10">
        <v>0</v>
      </c>
      <c r="G46" s="39" t="s">
        <v>34</v>
      </c>
      <c r="H46" s="11">
        <f t="shared" si="8"/>
        <v>0</v>
      </c>
      <c r="I46" s="10">
        <f t="shared" si="6"/>
        <v>0</v>
      </c>
      <c r="J46" s="10">
        <v>0</v>
      </c>
      <c r="K46" s="10">
        <f t="shared" si="9"/>
        <v>0</v>
      </c>
      <c r="L46" s="17">
        <v>5</v>
      </c>
      <c r="M46" s="18">
        <f t="shared" si="10"/>
        <v>5</v>
      </c>
      <c r="N46" s="19">
        <f t="shared" si="7"/>
        <v>0</v>
      </c>
      <c r="O46" s="20">
        <f t="shared" si="11"/>
        <v>5</v>
      </c>
      <c r="P46" s="11"/>
      <c r="Q46" s="11"/>
      <c r="R46" s="31"/>
    </row>
    <row r="47" spans="1:24" ht="18.75">
      <c r="A47" s="8">
        <v>190</v>
      </c>
      <c r="B47" s="8">
        <v>684634207</v>
      </c>
      <c r="C47" s="47" t="s">
        <v>100</v>
      </c>
      <c r="D47" s="46"/>
      <c r="E47" s="10">
        <v>0</v>
      </c>
      <c r="F47" s="10">
        <v>0</v>
      </c>
      <c r="G47" s="39" t="s">
        <v>34</v>
      </c>
      <c r="H47" s="11">
        <f t="shared" si="8"/>
        <v>0</v>
      </c>
      <c r="I47" s="10">
        <f t="shared" si="6"/>
        <v>0</v>
      </c>
      <c r="J47" s="10">
        <v>0</v>
      </c>
      <c r="K47" s="10">
        <f t="shared" si="9"/>
        <v>0</v>
      </c>
      <c r="L47" s="17">
        <v>5</v>
      </c>
      <c r="M47" s="18">
        <f t="shared" si="10"/>
        <v>5</v>
      </c>
      <c r="N47" s="19">
        <f t="shared" si="7"/>
        <v>0</v>
      </c>
      <c r="O47" s="20">
        <f t="shared" si="11"/>
        <v>5</v>
      </c>
      <c r="P47" s="4"/>
      <c r="Q47" s="4"/>
      <c r="R47" s="4"/>
      <c r="S47" s="1"/>
      <c r="T47" s="1"/>
      <c r="U47" s="1"/>
      <c r="V47" s="1"/>
      <c r="W47" s="1"/>
      <c r="X47" s="1"/>
    </row>
    <row r="48" spans="1:24" ht="18.75">
      <c r="A48" s="8">
        <v>186</v>
      </c>
      <c r="B48" s="8">
        <v>595953188</v>
      </c>
      <c r="C48" s="47" t="s">
        <v>96</v>
      </c>
      <c r="D48" s="46"/>
      <c r="E48" s="10">
        <v>0</v>
      </c>
      <c r="F48" s="10">
        <v>0</v>
      </c>
      <c r="G48" s="39" t="s">
        <v>34</v>
      </c>
      <c r="H48" s="11">
        <f t="shared" si="8"/>
        <v>0</v>
      </c>
      <c r="I48" s="10">
        <f t="shared" si="6"/>
        <v>0</v>
      </c>
      <c r="J48" s="10">
        <v>0</v>
      </c>
      <c r="K48" s="10">
        <f t="shared" si="9"/>
        <v>0</v>
      </c>
      <c r="L48" s="17">
        <v>5</v>
      </c>
      <c r="M48" s="18">
        <f t="shared" si="10"/>
        <v>5</v>
      </c>
      <c r="N48" s="19">
        <f t="shared" si="7"/>
        <v>0</v>
      </c>
      <c r="O48" s="20">
        <f t="shared" si="11"/>
        <v>5</v>
      </c>
      <c r="P48" s="4"/>
      <c r="Q48" s="4"/>
      <c r="R48" s="4"/>
      <c r="S48" s="1"/>
      <c r="T48" s="1"/>
      <c r="U48" s="1"/>
      <c r="V48" s="1"/>
      <c r="W48" s="1"/>
      <c r="X48" s="1"/>
    </row>
    <row r="49" spans="1:24" ht="18.75">
      <c r="A49" s="8">
        <v>198</v>
      </c>
      <c r="B49" s="8">
        <v>723448640</v>
      </c>
      <c r="C49" s="47" t="s">
        <v>108</v>
      </c>
      <c r="D49" s="46"/>
      <c r="E49" s="10">
        <v>0</v>
      </c>
      <c r="F49" s="10">
        <v>0</v>
      </c>
      <c r="G49" s="39" t="s">
        <v>34</v>
      </c>
      <c r="H49" s="11">
        <f t="shared" si="8"/>
        <v>0</v>
      </c>
      <c r="I49" s="10">
        <f t="shared" si="6"/>
        <v>0</v>
      </c>
      <c r="J49" s="10">
        <v>0</v>
      </c>
      <c r="K49" s="10">
        <f t="shared" si="9"/>
        <v>0</v>
      </c>
      <c r="L49" s="17">
        <v>5</v>
      </c>
      <c r="M49" s="18">
        <f t="shared" si="10"/>
        <v>5</v>
      </c>
      <c r="N49" s="19">
        <f t="shared" si="7"/>
        <v>0</v>
      </c>
      <c r="O49" s="20">
        <f t="shared" si="11"/>
        <v>5</v>
      </c>
      <c r="P49" s="4"/>
      <c r="Q49" s="4"/>
      <c r="R49" s="4"/>
      <c r="S49" s="1"/>
      <c r="T49" s="1"/>
      <c r="U49" s="1"/>
      <c r="V49" s="1"/>
      <c r="W49" s="1"/>
      <c r="X49" s="1"/>
    </row>
    <row r="50" spans="1:24" ht="18.75">
      <c r="A50" s="8">
        <v>208</v>
      </c>
      <c r="B50" s="8">
        <v>92129464</v>
      </c>
      <c r="C50" s="47" t="s">
        <v>118</v>
      </c>
      <c r="D50" s="46"/>
      <c r="E50" s="10">
        <v>0</v>
      </c>
      <c r="F50" s="10">
        <v>0</v>
      </c>
      <c r="G50" s="39" t="s">
        <v>34</v>
      </c>
      <c r="H50" s="11">
        <f t="shared" si="8"/>
        <v>0</v>
      </c>
      <c r="I50" s="10">
        <f t="shared" si="6"/>
        <v>0</v>
      </c>
      <c r="J50" s="10">
        <v>0</v>
      </c>
      <c r="K50" s="10">
        <f t="shared" si="9"/>
        <v>0</v>
      </c>
      <c r="L50" s="17">
        <v>5</v>
      </c>
      <c r="M50" s="18">
        <f t="shared" si="10"/>
        <v>5</v>
      </c>
      <c r="N50" s="19">
        <f t="shared" si="7"/>
        <v>0</v>
      </c>
      <c r="O50" s="20">
        <f t="shared" si="11"/>
        <v>5</v>
      </c>
      <c r="P50" s="4"/>
      <c r="Q50" s="4"/>
      <c r="R50" s="4"/>
      <c r="S50" s="1"/>
      <c r="T50" s="1"/>
      <c r="U50" s="1"/>
      <c r="V50" s="1"/>
      <c r="W50" s="1"/>
      <c r="X50" s="1"/>
    </row>
    <row r="51" spans="1:24" ht="18.75">
      <c r="A51" s="8">
        <v>209</v>
      </c>
      <c r="B51" s="8">
        <v>1525950050</v>
      </c>
      <c r="C51" s="47" t="s">
        <v>119</v>
      </c>
      <c r="D51" s="46"/>
      <c r="E51" s="10">
        <v>0</v>
      </c>
      <c r="F51" s="10">
        <v>0</v>
      </c>
      <c r="G51" s="39" t="s">
        <v>34</v>
      </c>
      <c r="H51" s="11">
        <f t="shared" si="8"/>
        <v>0</v>
      </c>
      <c r="I51" s="10">
        <f t="shared" si="6"/>
        <v>0</v>
      </c>
      <c r="J51" s="10">
        <v>0</v>
      </c>
      <c r="K51" s="10">
        <f t="shared" ref="K51:K93" si="12">SUM(I51+H51+J51)</f>
        <v>0</v>
      </c>
      <c r="L51" s="17">
        <v>5</v>
      </c>
      <c r="M51" s="18">
        <f t="shared" si="10"/>
        <v>5</v>
      </c>
      <c r="N51" s="19">
        <f t="shared" si="7"/>
        <v>0</v>
      </c>
      <c r="O51" s="20">
        <f t="shared" si="11"/>
        <v>5</v>
      </c>
      <c r="P51" s="4"/>
      <c r="Q51" s="4"/>
      <c r="R51" s="4"/>
      <c r="S51" s="1"/>
      <c r="T51" s="1"/>
      <c r="U51" s="1"/>
      <c r="V51" s="1"/>
      <c r="W51" s="1"/>
      <c r="X51" s="1"/>
    </row>
    <row r="52" spans="1:24" ht="18.75">
      <c r="A52" s="8">
        <v>210</v>
      </c>
      <c r="B52" s="8">
        <v>1675792665</v>
      </c>
      <c r="C52" s="47" t="s">
        <v>120</v>
      </c>
      <c r="D52" s="46"/>
      <c r="E52" s="10">
        <v>0</v>
      </c>
      <c r="F52" s="10">
        <v>0</v>
      </c>
      <c r="G52" s="39" t="s">
        <v>34</v>
      </c>
      <c r="H52" s="11">
        <f t="shared" si="8"/>
        <v>0</v>
      </c>
      <c r="I52" s="10">
        <f t="shared" si="6"/>
        <v>0</v>
      </c>
      <c r="J52" s="10">
        <v>0</v>
      </c>
      <c r="K52" s="10">
        <f t="shared" si="12"/>
        <v>0</v>
      </c>
      <c r="L52" s="17">
        <v>3.5</v>
      </c>
      <c r="M52" s="18">
        <f t="shared" si="10"/>
        <v>3.5</v>
      </c>
      <c r="N52" s="19">
        <f t="shared" si="7"/>
        <v>0</v>
      </c>
      <c r="O52" s="20">
        <f t="shared" si="11"/>
        <v>3.5</v>
      </c>
      <c r="P52" s="4"/>
      <c r="Q52" s="4"/>
      <c r="R52" s="4"/>
      <c r="S52" s="1"/>
      <c r="T52" s="1"/>
      <c r="U52" s="1"/>
      <c r="V52" s="1"/>
      <c r="W52" s="1"/>
      <c r="X52" s="1"/>
    </row>
    <row r="53" spans="1:24" ht="18.75">
      <c r="A53" s="8">
        <v>183</v>
      </c>
      <c r="B53" s="8">
        <v>1250030371</v>
      </c>
      <c r="C53" s="47" t="s">
        <v>123</v>
      </c>
      <c r="D53" s="47" t="s">
        <v>93</v>
      </c>
      <c r="E53" s="10">
        <v>0</v>
      </c>
      <c r="F53" s="10">
        <v>0</v>
      </c>
      <c r="G53" s="39" t="s">
        <v>34</v>
      </c>
      <c r="H53" s="11">
        <f t="shared" si="8"/>
        <v>0</v>
      </c>
      <c r="I53" s="10">
        <f t="shared" si="6"/>
        <v>0</v>
      </c>
      <c r="J53" s="10">
        <v>0</v>
      </c>
      <c r="K53" s="10">
        <f t="shared" si="12"/>
        <v>0</v>
      </c>
      <c r="L53" s="17">
        <v>3.5</v>
      </c>
      <c r="M53" s="18">
        <f t="shared" si="10"/>
        <v>3.5</v>
      </c>
      <c r="N53" s="19">
        <f t="shared" si="7"/>
        <v>0</v>
      </c>
      <c r="O53" s="20">
        <f t="shared" si="11"/>
        <v>3.5</v>
      </c>
      <c r="P53" s="4"/>
      <c r="Q53" s="4"/>
      <c r="R53" s="4"/>
      <c r="S53" s="1"/>
      <c r="T53" s="1"/>
      <c r="U53" s="1"/>
      <c r="V53" s="1"/>
      <c r="W53" s="1"/>
      <c r="X53" s="1"/>
    </row>
    <row r="54" spans="1:24" ht="18.75">
      <c r="A54" s="8">
        <v>196</v>
      </c>
      <c r="B54" s="8">
        <v>1065641844</v>
      </c>
      <c r="C54" s="47" t="s">
        <v>106</v>
      </c>
      <c r="D54" s="46"/>
      <c r="E54" s="10">
        <v>0</v>
      </c>
      <c r="F54" s="10">
        <v>0</v>
      </c>
      <c r="G54" s="39" t="s">
        <v>34</v>
      </c>
      <c r="H54" s="11">
        <f t="shared" si="8"/>
        <v>0</v>
      </c>
      <c r="I54" s="10">
        <f t="shared" si="6"/>
        <v>0</v>
      </c>
      <c r="J54" s="10">
        <v>0</v>
      </c>
      <c r="K54" s="10">
        <f t="shared" si="12"/>
        <v>0</v>
      </c>
      <c r="L54" s="17">
        <v>3.5</v>
      </c>
      <c r="M54" s="18">
        <f t="shared" si="10"/>
        <v>3.5</v>
      </c>
      <c r="N54" s="19">
        <f t="shared" si="7"/>
        <v>0</v>
      </c>
      <c r="O54" s="20">
        <f t="shared" si="11"/>
        <v>3.5</v>
      </c>
      <c r="P54" s="4"/>
      <c r="Q54" s="4"/>
      <c r="R54" s="4"/>
      <c r="S54" s="1"/>
      <c r="T54" s="1"/>
      <c r="U54" s="1"/>
      <c r="V54" s="1"/>
      <c r="W54" s="1"/>
      <c r="X54" s="1"/>
    </row>
    <row r="55" spans="1:24" ht="18.75">
      <c r="A55" s="8">
        <v>203</v>
      </c>
      <c r="B55" s="8">
        <v>382695365</v>
      </c>
      <c r="C55" s="47" t="s">
        <v>112</v>
      </c>
      <c r="D55" s="46"/>
      <c r="E55" s="10">
        <v>0</v>
      </c>
      <c r="F55" s="10">
        <v>0</v>
      </c>
      <c r="G55" s="39" t="s">
        <v>34</v>
      </c>
      <c r="H55" s="11">
        <f t="shared" si="8"/>
        <v>0</v>
      </c>
      <c r="I55" s="10">
        <f t="shared" si="6"/>
        <v>0</v>
      </c>
      <c r="J55" s="10">
        <v>0</v>
      </c>
      <c r="K55" s="10">
        <f t="shared" si="12"/>
        <v>0</v>
      </c>
      <c r="L55" s="17">
        <v>3.5</v>
      </c>
      <c r="M55" s="18">
        <f t="shared" si="10"/>
        <v>3.5</v>
      </c>
      <c r="N55" s="19">
        <f t="shared" si="7"/>
        <v>0</v>
      </c>
      <c r="O55" s="20">
        <f t="shared" si="11"/>
        <v>3.5</v>
      </c>
      <c r="P55" s="4"/>
      <c r="Q55" s="4"/>
      <c r="R55" s="4"/>
      <c r="S55" s="1"/>
      <c r="T55" s="1"/>
      <c r="U55" s="1"/>
      <c r="V55" s="1"/>
      <c r="W55" s="1"/>
      <c r="X55" s="1"/>
    </row>
    <row r="56" spans="1:24" ht="18.75">
      <c r="A56" s="8">
        <v>184</v>
      </c>
      <c r="B56" s="8">
        <v>1814130074</v>
      </c>
      <c r="C56" s="47" t="s">
        <v>94</v>
      </c>
      <c r="D56" s="46"/>
      <c r="E56" s="10">
        <v>0</v>
      </c>
      <c r="F56" s="10">
        <v>0</v>
      </c>
      <c r="G56" s="39" t="s">
        <v>34</v>
      </c>
      <c r="H56" s="11">
        <f t="shared" si="8"/>
        <v>0</v>
      </c>
      <c r="I56" s="10">
        <f t="shared" si="6"/>
        <v>0</v>
      </c>
      <c r="J56" s="10">
        <v>0</v>
      </c>
      <c r="K56" s="10">
        <f t="shared" si="12"/>
        <v>0</v>
      </c>
      <c r="L56" s="17">
        <v>3.5</v>
      </c>
      <c r="M56" s="18">
        <f t="shared" si="10"/>
        <v>3.5</v>
      </c>
      <c r="N56" s="19">
        <f t="shared" si="7"/>
        <v>0</v>
      </c>
      <c r="O56" s="20">
        <f t="shared" si="11"/>
        <v>3.5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110</v>
      </c>
      <c r="B57" s="8">
        <v>1968703358</v>
      </c>
      <c r="C57" s="47" t="s">
        <v>81</v>
      </c>
      <c r="D57" s="48" t="s">
        <v>45</v>
      </c>
      <c r="E57" s="10">
        <v>0</v>
      </c>
      <c r="F57" s="10">
        <v>0</v>
      </c>
      <c r="G57" s="39" t="s">
        <v>34</v>
      </c>
      <c r="H57" s="11">
        <f t="shared" si="8"/>
        <v>0</v>
      </c>
      <c r="I57" s="10">
        <f t="shared" si="6"/>
        <v>0</v>
      </c>
      <c r="J57" s="10">
        <v>0</v>
      </c>
      <c r="K57" s="10">
        <f t="shared" si="12"/>
        <v>0</v>
      </c>
      <c r="L57" s="17">
        <v>3.5</v>
      </c>
      <c r="M57" s="18">
        <f t="shared" si="10"/>
        <v>3.5</v>
      </c>
      <c r="N57" s="19">
        <f t="shared" si="7"/>
        <v>0</v>
      </c>
      <c r="O57" s="20">
        <f t="shared" si="11"/>
        <v>3.5</v>
      </c>
      <c r="P57" s="11"/>
      <c r="Q57" s="11"/>
      <c r="R57" s="17"/>
      <c r="S57" s="1"/>
      <c r="T57" s="1"/>
      <c r="U57" s="1"/>
      <c r="V57" s="1"/>
      <c r="W57" s="1"/>
      <c r="X57" s="1"/>
    </row>
    <row r="58" spans="1:24" ht="18.75">
      <c r="A58" s="8">
        <v>211</v>
      </c>
      <c r="B58" s="8">
        <v>1030769255</v>
      </c>
      <c r="C58" s="47" t="s">
        <v>121</v>
      </c>
      <c r="D58" s="46"/>
      <c r="E58" s="10">
        <v>0</v>
      </c>
      <c r="F58" s="10">
        <v>0</v>
      </c>
      <c r="G58" s="39" t="s">
        <v>34</v>
      </c>
      <c r="H58" s="11">
        <f t="shared" si="8"/>
        <v>0</v>
      </c>
      <c r="I58" s="10">
        <f t="shared" si="6"/>
        <v>0</v>
      </c>
      <c r="J58" s="10">
        <v>0</v>
      </c>
      <c r="K58" s="10">
        <f t="shared" si="12"/>
        <v>0</v>
      </c>
      <c r="L58" s="17">
        <v>2</v>
      </c>
      <c r="M58" s="18">
        <f t="shared" si="10"/>
        <v>2</v>
      </c>
      <c r="N58" s="19">
        <f t="shared" si="7"/>
        <v>0</v>
      </c>
      <c r="O58" s="20">
        <f t="shared" si="11"/>
        <v>2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206</v>
      </c>
      <c r="B59" s="8">
        <v>1835375380</v>
      </c>
      <c r="C59" s="47" t="s">
        <v>115</v>
      </c>
      <c r="D59" s="46"/>
      <c r="E59" s="10">
        <v>0</v>
      </c>
      <c r="F59" s="10">
        <v>0</v>
      </c>
      <c r="G59" s="39" t="s">
        <v>34</v>
      </c>
      <c r="H59" s="11">
        <f t="shared" si="8"/>
        <v>0</v>
      </c>
      <c r="I59" s="10">
        <f t="shared" si="6"/>
        <v>0</v>
      </c>
      <c r="J59" s="10">
        <v>0</v>
      </c>
      <c r="K59" s="10">
        <f t="shared" si="12"/>
        <v>0</v>
      </c>
      <c r="L59" s="17">
        <v>2</v>
      </c>
      <c r="M59" s="18">
        <f t="shared" si="10"/>
        <v>2</v>
      </c>
      <c r="N59" s="19">
        <f t="shared" si="7"/>
        <v>0</v>
      </c>
      <c r="O59" s="20">
        <f t="shared" si="11"/>
        <v>2</v>
      </c>
      <c r="P59" s="4"/>
      <c r="Q59" s="4"/>
      <c r="R59" s="4"/>
      <c r="S59" s="1"/>
      <c r="T59" s="1"/>
      <c r="U59" s="1"/>
      <c r="V59" s="1"/>
      <c r="W59" s="1"/>
      <c r="X59" s="1"/>
    </row>
    <row r="60" spans="1:24" ht="18.75">
      <c r="A60" s="9">
        <v>5</v>
      </c>
      <c r="B60" s="8">
        <v>1044399218</v>
      </c>
      <c r="C60" s="47" t="s">
        <v>75</v>
      </c>
      <c r="D60" s="48" t="s">
        <v>9</v>
      </c>
      <c r="E60" s="10">
        <v>0</v>
      </c>
      <c r="F60" s="10">
        <v>0</v>
      </c>
      <c r="G60" s="39" t="s">
        <v>34</v>
      </c>
      <c r="H60" s="11">
        <f t="shared" si="8"/>
        <v>0</v>
      </c>
      <c r="I60" s="10">
        <f t="shared" si="6"/>
        <v>0</v>
      </c>
      <c r="J60" s="10">
        <v>0</v>
      </c>
      <c r="K60" s="10">
        <f t="shared" si="12"/>
        <v>0</v>
      </c>
      <c r="L60" s="17">
        <v>2</v>
      </c>
      <c r="M60" s="18">
        <f t="shared" si="10"/>
        <v>2</v>
      </c>
      <c r="N60" s="19">
        <f t="shared" si="7"/>
        <v>0</v>
      </c>
      <c r="O60" s="20">
        <f t="shared" si="11"/>
        <v>2</v>
      </c>
      <c r="P60" s="11"/>
      <c r="Q60" s="11"/>
      <c r="R60" s="11"/>
      <c r="S60" s="1"/>
      <c r="T60" s="1"/>
      <c r="U60" s="1"/>
      <c r="V60" s="1"/>
      <c r="W60" s="1"/>
      <c r="X60" s="1"/>
    </row>
    <row r="61" spans="1:24" ht="18.75">
      <c r="A61" s="9">
        <v>103</v>
      </c>
      <c r="B61" s="8">
        <v>1540443440</v>
      </c>
      <c r="C61" s="48" t="s">
        <v>68</v>
      </c>
      <c r="D61" s="48" t="s">
        <v>35</v>
      </c>
      <c r="E61" s="10">
        <v>0</v>
      </c>
      <c r="F61" s="10">
        <v>0</v>
      </c>
      <c r="G61" s="39" t="s">
        <v>34</v>
      </c>
      <c r="H61" s="11">
        <f t="shared" si="8"/>
        <v>0</v>
      </c>
      <c r="I61" s="10">
        <f t="shared" si="6"/>
        <v>0</v>
      </c>
      <c r="J61" s="10">
        <v>0</v>
      </c>
      <c r="K61" s="10">
        <f t="shared" si="12"/>
        <v>0</v>
      </c>
      <c r="L61" s="17">
        <v>2</v>
      </c>
      <c r="M61" s="18">
        <f t="shared" si="10"/>
        <v>2</v>
      </c>
      <c r="N61" s="19">
        <f t="shared" si="7"/>
        <v>0</v>
      </c>
      <c r="O61" s="20">
        <f t="shared" si="11"/>
        <v>2</v>
      </c>
      <c r="P61" s="11"/>
      <c r="Q61" s="11"/>
      <c r="R61" s="11"/>
      <c r="S61" s="1"/>
      <c r="T61" s="1"/>
      <c r="U61" s="1"/>
      <c r="V61" s="1"/>
      <c r="W61" s="1"/>
      <c r="X61" s="1"/>
    </row>
    <row r="62" spans="1:24" ht="18.75">
      <c r="A62" s="8">
        <v>141</v>
      </c>
      <c r="B62" s="8">
        <v>1190305158</v>
      </c>
      <c r="C62" s="47" t="s">
        <v>55</v>
      </c>
      <c r="D62" s="50"/>
      <c r="E62" s="10">
        <v>0</v>
      </c>
      <c r="F62" s="10">
        <v>0</v>
      </c>
      <c r="G62" s="39" t="s">
        <v>34</v>
      </c>
      <c r="H62" s="11">
        <f t="shared" si="8"/>
        <v>0</v>
      </c>
      <c r="I62" s="10">
        <f t="shared" si="6"/>
        <v>0</v>
      </c>
      <c r="J62" s="10">
        <v>0</v>
      </c>
      <c r="K62" s="10">
        <f t="shared" si="12"/>
        <v>0</v>
      </c>
      <c r="L62" s="17">
        <v>2</v>
      </c>
      <c r="M62" s="18">
        <f t="shared" si="10"/>
        <v>2</v>
      </c>
      <c r="N62" s="19">
        <f t="shared" si="7"/>
        <v>0</v>
      </c>
      <c r="O62" s="20">
        <f t="shared" si="11"/>
        <v>2</v>
      </c>
      <c r="P62" s="11"/>
      <c r="Q62" s="11"/>
      <c r="R62" s="31"/>
      <c r="S62" s="1"/>
      <c r="T62" s="1"/>
      <c r="U62" s="1"/>
      <c r="V62" s="1"/>
      <c r="W62" s="1"/>
      <c r="X62" s="1"/>
    </row>
    <row r="63" spans="1:24" ht="18.75">
      <c r="A63" s="8">
        <v>199</v>
      </c>
      <c r="B63" s="8">
        <v>1190213504</v>
      </c>
      <c r="C63" s="47" t="s">
        <v>117</v>
      </c>
      <c r="D63" s="46"/>
      <c r="E63" s="10">
        <v>0</v>
      </c>
      <c r="F63" s="10">
        <v>0</v>
      </c>
      <c r="G63" s="39" t="s">
        <v>34</v>
      </c>
      <c r="H63" s="11">
        <f t="shared" si="8"/>
        <v>0</v>
      </c>
      <c r="I63" s="10">
        <f t="shared" si="6"/>
        <v>0</v>
      </c>
      <c r="J63" s="10">
        <v>0</v>
      </c>
      <c r="K63" s="10">
        <f t="shared" si="12"/>
        <v>0</v>
      </c>
      <c r="L63" s="17">
        <v>1</v>
      </c>
      <c r="M63" s="18">
        <f t="shared" si="10"/>
        <v>1</v>
      </c>
      <c r="N63" s="19">
        <f t="shared" si="7"/>
        <v>0</v>
      </c>
      <c r="O63" s="20">
        <f t="shared" si="11"/>
        <v>1</v>
      </c>
      <c r="P63" s="4"/>
      <c r="Q63" s="4"/>
      <c r="R63" s="4"/>
      <c r="S63" s="1"/>
      <c r="T63" s="1"/>
      <c r="U63" s="1"/>
      <c r="V63" s="1"/>
      <c r="W63" s="1"/>
      <c r="X63" s="1"/>
    </row>
    <row r="64" spans="1:24" ht="18.75">
      <c r="A64" s="8">
        <v>204</v>
      </c>
      <c r="B64" s="8">
        <v>1449474852</v>
      </c>
      <c r="C64" s="47" t="s">
        <v>113</v>
      </c>
      <c r="D64" s="46"/>
      <c r="E64" s="10">
        <v>0</v>
      </c>
      <c r="F64" s="10">
        <v>0</v>
      </c>
      <c r="G64" s="39" t="s">
        <v>34</v>
      </c>
      <c r="H64" s="11">
        <f t="shared" si="8"/>
        <v>0</v>
      </c>
      <c r="I64" s="10">
        <f t="shared" si="6"/>
        <v>0</v>
      </c>
      <c r="J64" s="10">
        <v>0</v>
      </c>
      <c r="K64" s="10">
        <f t="shared" si="12"/>
        <v>0</v>
      </c>
      <c r="L64" s="17">
        <v>1</v>
      </c>
      <c r="M64" s="18">
        <f t="shared" si="10"/>
        <v>1</v>
      </c>
      <c r="N64" s="19">
        <f t="shared" si="7"/>
        <v>0</v>
      </c>
      <c r="O64" s="20">
        <f t="shared" si="11"/>
        <v>1</v>
      </c>
      <c r="P64" s="4"/>
      <c r="Q64" s="4"/>
      <c r="R64" s="4"/>
      <c r="S64" s="1"/>
      <c r="T64" s="1"/>
      <c r="U64" s="1"/>
      <c r="V64" s="1"/>
      <c r="W64" s="1"/>
      <c r="X64" s="1"/>
    </row>
    <row r="65" spans="1:24" ht="18.75">
      <c r="A65" s="8">
        <v>192</v>
      </c>
      <c r="B65" s="8">
        <v>1725281178</v>
      </c>
      <c r="C65" s="47" t="s">
        <v>102</v>
      </c>
      <c r="D65" s="46"/>
      <c r="E65" s="10">
        <v>0</v>
      </c>
      <c r="F65" s="10">
        <v>0</v>
      </c>
      <c r="G65" s="39" t="s">
        <v>34</v>
      </c>
      <c r="H65" s="11">
        <f t="shared" si="8"/>
        <v>0</v>
      </c>
      <c r="I65" s="10">
        <f t="shared" si="6"/>
        <v>0</v>
      </c>
      <c r="J65" s="10">
        <v>0</v>
      </c>
      <c r="K65" s="10">
        <f t="shared" si="12"/>
        <v>0</v>
      </c>
      <c r="L65" s="17">
        <v>1</v>
      </c>
      <c r="M65" s="18">
        <f t="shared" si="10"/>
        <v>1</v>
      </c>
      <c r="N65" s="19">
        <f t="shared" si="7"/>
        <v>0</v>
      </c>
      <c r="O65" s="20">
        <f t="shared" si="11"/>
        <v>1</v>
      </c>
      <c r="P65" s="4"/>
      <c r="Q65" s="4"/>
      <c r="R65" s="4"/>
      <c r="S65" s="1"/>
      <c r="T65" s="1"/>
      <c r="U65" s="1"/>
      <c r="V65" s="1"/>
      <c r="W65" s="1"/>
      <c r="X65" s="1"/>
    </row>
    <row r="66" spans="1:24" ht="18.75">
      <c r="A66" s="8">
        <v>201</v>
      </c>
      <c r="B66" s="8">
        <v>251334814</v>
      </c>
      <c r="C66" s="47" t="s">
        <v>110</v>
      </c>
      <c r="D66" s="46"/>
      <c r="E66" s="10">
        <v>0</v>
      </c>
      <c r="F66" s="10">
        <v>0</v>
      </c>
      <c r="G66" s="39" t="s">
        <v>34</v>
      </c>
      <c r="H66" s="11">
        <f t="shared" si="8"/>
        <v>0</v>
      </c>
      <c r="I66" s="10">
        <f t="shared" ref="I66:I93" si="13">F66/$T$14</f>
        <v>0</v>
      </c>
      <c r="J66" s="10">
        <v>0</v>
      </c>
      <c r="K66" s="10">
        <f t="shared" si="12"/>
        <v>0</v>
      </c>
      <c r="L66" s="17">
        <v>1</v>
      </c>
      <c r="M66" s="18">
        <f t="shared" si="10"/>
        <v>1</v>
      </c>
      <c r="N66" s="19">
        <f t="shared" ref="N66:N93" si="14">VLOOKUP(G66,$S$3:$T$10,2,FALSE)</f>
        <v>0</v>
      </c>
      <c r="O66" s="20">
        <f t="shared" si="11"/>
        <v>1</v>
      </c>
      <c r="P66" s="4"/>
      <c r="Q66" s="4"/>
      <c r="R66" s="4"/>
      <c r="S66" s="1"/>
      <c r="T66" s="1"/>
      <c r="U66" s="1"/>
      <c r="V66" s="1"/>
      <c r="W66" s="1"/>
      <c r="X66" s="1"/>
    </row>
    <row r="67" spans="1:24" ht="18.75">
      <c r="A67" s="8">
        <v>148</v>
      </c>
      <c r="B67" s="8">
        <v>1579518877</v>
      </c>
      <c r="C67" s="47" t="s">
        <v>59</v>
      </c>
      <c r="D67" s="50"/>
      <c r="E67" s="10">
        <v>0</v>
      </c>
      <c r="F67" s="10">
        <v>0</v>
      </c>
      <c r="G67" s="39" t="s">
        <v>34</v>
      </c>
      <c r="H67" s="11">
        <f t="shared" si="8"/>
        <v>0</v>
      </c>
      <c r="I67" s="10">
        <f t="shared" si="13"/>
        <v>0</v>
      </c>
      <c r="J67" s="10">
        <v>0</v>
      </c>
      <c r="K67" s="10">
        <f t="shared" si="12"/>
        <v>0</v>
      </c>
      <c r="L67" s="17">
        <v>1</v>
      </c>
      <c r="M67" s="18">
        <f t="shared" si="10"/>
        <v>1</v>
      </c>
      <c r="N67" s="19">
        <f t="shared" si="14"/>
        <v>0</v>
      </c>
      <c r="O67" s="20">
        <f t="shared" si="11"/>
        <v>1</v>
      </c>
      <c r="P67" s="4"/>
      <c r="Q67" s="4"/>
      <c r="R67" s="4"/>
      <c r="S67" s="3"/>
      <c r="T67" s="3"/>
      <c r="U67" s="3"/>
      <c r="V67" s="3"/>
      <c r="W67" s="3"/>
      <c r="X67" s="3"/>
    </row>
    <row r="68" spans="1:24" ht="18.75">
      <c r="A68" s="8">
        <v>144</v>
      </c>
      <c r="B68" s="8">
        <v>1763923855</v>
      </c>
      <c r="C68" s="47" t="s">
        <v>57</v>
      </c>
      <c r="D68" s="53"/>
      <c r="E68" s="10">
        <v>0</v>
      </c>
      <c r="F68" s="10">
        <v>0</v>
      </c>
      <c r="G68" s="39" t="s">
        <v>34</v>
      </c>
      <c r="H68" s="11">
        <f t="shared" si="8"/>
        <v>0</v>
      </c>
      <c r="I68" s="10">
        <f t="shared" si="13"/>
        <v>0</v>
      </c>
      <c r="J68" s="10">
        <v>0</v>
      </c>
      <c r="K68" s="10">
        <f t="shared" si="12"/>
        <v>0</v>
      </c>
      <c r="L68" s="17">
        <v>1</v>
      </c>
      <c r="M68" s="18">
        <f t="shared" si="10"/>
        <v>1</v>
      </c>
      <c r="N68" s="19">
        <f t="shared" si="14"/>
        <v>0</v>
      </c>
      <c r="O68" s="20">
        <f t="shared" si="11"/>
        <v>1</v>
      </c>
      <c r="P68" s="4"/>
      <c r="Q68" s="4"/>
      <c r="R68" s="4"/>
    </row>
    <row r="69" spans="1:24" ht="18.75">
      <c r="A69" s="8">
        <v>152</v>
      </c>
      <c r="B69" s="8">
        <v>808637979</v>
      </c>
      <c r="C69" s="47" t="s">
        <v>62</v>
      </c>
      <c r="D69" s="47" t="s">
        <v>60</v>
      </c>
      <c r="E69" s="10">
        <v>0</v>
      </c>
      <c r="F69" s="10">
        <v>0</v>
      </c>
      <c r="G69" s="39" t="s">
        <v>34</v>
      </c>
      <c r="H69" s="11">
        <f t="shared" si="8"/>
        <v>0</v>
      </c>
      <c r="I69" s="10">
        <f t="shared" si="13"/>
        <v>0</v>
      </c>
      <c r="J69" s="10">
        <v>0</v>
      </c>
      <c r="K69" s="10">
        <f t="shared" si="12"/>
        <v>0</v>
      </c>
      <c r="L69" s="17">
        <v>0</v>
      </c>
      <c r="M69" s="18">
        <f t="shared" si="10"/>
        <v>0</v>
      </c>
      <c r="N69" s="19">
        <f t="shared" si="14"/>
        <v>0</v>
      </c>
      <c r="O69" s="20">
        <f t="shared" si="11"/>
        <v>0</v>
      </c>
      <c r="P69" s="4"/>
      <c r="Q69" s="4"/>
      <c r="R69" s="4"/>
    </row>
    <row r="70" spans="1:24" ht="18.75">
      <c r="A70" s="8">
        <v>170</v>
      </c>
      <c r="B70" s="8">
        <v>1659068972</v>
      </c>
      <c r="C70" s="47" t="s">
        <v>66</v>
      </c>
      <c r="D70" s="46"/>
      <c r="E70" s="10">
        <v>0</v>
      </c>
      <c r="F70" s="10">
        <v>0</v>
      </c>
      <c r="G70" s="39" t="s">
        <v>34</v>
      </c>
      <c r="H70" s="11">
        <f t="shared" si="8"/>
        <v>0</v>
      </c>
      <c r="I70" s="10">
        <f t="shared" si="13"/>
        <v>0</v>
      </c>
      <c r="J70" s="10">
        <v>0</v>
      </c>
      <c r="K70" s="10">
        <f t="shared" si="12"/>
        <v>0</v>
      </c>
      <c r="L70" s="17">
        <v>0</v>
      </c>
      <c r="M70" s="18">
        <f t="shared" si="10"/>
        <v>0</v>
      </c>
      <c r="N70" s="19">
        <f t="shared" si="14"/>
        <v>0</v>
      </c>
      <c r="O70" s="20">
        <f t="shared" si="11"/>
        <v>0</v>
      </c>
      <c r="P70" s="4"/>
      <c r="Q70" s="4"/>
      <c r="R70" s="4"/>
    </row>
    <row r="71" spans="1:24" ht="18.75">
      <c r="A71" s="8">
        <v>167</v>
      </c>
      <c r="B71" s="8">
        <v>1173807161</v>
      </c>
      <c r="C71" s="47" t="s">
        <v>67</v>
      </c>
      <c r="D71" s="52"/>
      <c r="E71" s="10">
        <v>0</v>
      </c>
      <c r="F71" s="10">
        <v>0</v>
      </c>
      <c r="G71" s="39" t="s">
        <v>34</v>
      </c>
      <c r="H71" s="11">
        <f t="shared" si="8"/>
        <v>0</v>
      </c>
      <c r="I71" s="10">
        <f t="shared" si="13"/>
        <v>0</v>
      </c>
      <c r="J71" s="10">
        <v>0</v>
      </c>
      <c r="K71" s="10">
        <f t="shared" si="12"/>
        <v>0</v>
      </c>
      <c r="L71" s="17">
        <v>0</v>
      </c>
      <c r="M71" s="18">
        <f t="shared" si="10"/>
        <v>0</v>
      </c>
      <c r="N71" s="19">
        <f t="shared" si="14"/>
        <v>0</v>
      </c>
      <c r="O71" s="20">
        <f t="shared" si="11"/>
        <v>0</v>
      </c>
      <c r="P71" s="4"/>
      <c r="Q71" s="4"/>
      <c r="R71" s="4"/>
    </row>
    <row r="72" spans="1:24" ht="18.75">
      <c r="A72" s="8">
        <v>138</v>
      </c>
      <c r="B72" s="8">
        <v>1440730282</v>
      </c>
      <c r="C72" s="47" t="s">
        <v>86</v>
      </c>
      <c r="D72" s="47" t="s">
        <v>54</v>
      </c>
      <c r="E72" s="10">
        <v>0</v>
      </c>
      <c r="F72" s="10">
        <v>0</v>
      </c>
      <c r="G72" s="39" t="s">
        <v>34</v>
      </c>
      <c r="H72" s="11">
        <f t="shared" si="8"/>
        <v>0</v>
      </c>
      <c r="I72" s="10">
        <f t="shared" si="13"/>
        <v>0</v>
      </c>
      <c r="J72" s="10">
        <v>0</v>
      </c>
      <c r="K72" s="10">
        <f t="shared" si="12"/>
        <v>0</v>
      </c>
      <c r="L72" s="17">
        <v>0</v>
      </c>
      <c r="M72" s="18">
        <f t="shared" si="10"/>
        <v>0</v>
      </c>
      <c r="N72" s="19">
        <f t="shared" si="14"/>
        <v>0</v>
      </c>
      <c r="O72" s="20">
        <f t="shared" si="11"/>
        <v>0</v>
      </c>
      <c r="P72" s="11"/>
      <c r="Q72" s="11"/>
      <c r="R72" s="31"/>
    </row>
    <row r="73" spans="1:24" ht="18.75">
      <c r="A73" s="8">
        <v>127</v>
      </c>
      <c r="B73" s="8">
        <v>615908706</v>
      </c>
      <c r="C73" s="47" t="s">
        <v>84</v>
      </c>
      <c r="D73" s="50" t="s">
        <v>46</v>
      </c>
      <c r="E73" s="10">
        <v>0</v>
      </c>
      <c r="F73" s="10">
        <v>0</v>
      </c>
      <c r="G73" s="39" t="s">
        <v>34</v>
      </c>
      <c r="H73" s="11">
        <f t="shared" si="8"/>
        <v>0</v>
      </c>
      <c r="I73" s="10">
        <f t="shared" si="13"/>
        <v>0</v>
      </c>
      <c r="J73" s="10">
        <v>0</v>
      </c>
      <c r="K73" s="10">
        <f t="shared" si="12"/>
        <v>0</v>
      </c>
      <c r="L73" s="17">
        <v>0</v>
      </c>
      <c r="M73" s="18">
        <f t="shared" si="10"/>
        <v>0</v>
      </c>
      <c r="N73" s="19">
        <f t="shared" si="14"/>
        <v>0</v>
      </c>
      <c r="O73" s="20">
        <f t="shared" si="11"/>
        <v>0</v>
      </c>
      <c r="P73" s="40"/>
      <c r="Q73" s="40"/>
      <c r="R73" s="41"/>
    </row>
    <row r="74" spans="1:24" ht="18.75">
      <c r="A74" s="9">
        <v>43</v>
      </c>
      <c r="B74" s="8">
        <v>1853818182</v>
      </c>
      <c r="C74" s="48" t="s">
        <v>78</v>
      </c>
      <c r="D74" s="48" t="s">
        <v>14</v>
      </c>
      <c r="E74" s="10">
        <v>0</v>
      </c>
      <c r="F74" s="10">
        <v>0</v>
      </c>
      <c r="G74" s="39" t="s">
        <v>34</v>
      </c>
      <c r="H74" s="11">
        <f t="shared" si="8"/>
        <v>0</v>
      </c>
      <c r="I74" s="10">
        <f t="shared" si="13"/>
        <v>0</v>
      </c>
      <c r="J74" s="10">
        <v>0</v>
      </c>
      <c r="K74" s="10">
        <f t="shared" si="12"/>
        <v>0</v>
      </c>
      <c r="L74" s="17">
        <v>0</v>
      </c>
      <c r="M74" s="18">
        <f t="shared" si="10"/>
        <v>0</v>
      </c>
      <c r="N74" s="19">
        <f t="shared" si="14"/>
        <v>0</v>
      </c>
      <c r="O74" s="20">
        <f t="shared" si="11"/>
        <v>0</v>
      </c>
      <c r="P74" s="40"/>
      <c r="Q74" s="40"/>
    </row>
    <row r="75" spans="1:24" ht="18.75">
      <c r="A75" s="8">
        <v>197</v>
      </c>
      <c r="B75" s="8">
        <v>2012003193</v>
      </c>
      <c r="C75" s="47" t="s">
        <v>107</v>
      </c>
      <c r="D75" s="46"/>
      <c r="E75" s="10">
        <v>0</v>
      </c>
      <c r="F75" s="10">
        <v>0</v>
      </c>
      <c r="G75" s="39" t="s">
        <v>34</v>
      </c>
      <c r="H75" s="11">
        <f t="shared" si="8"/>
        <v>0</v>
      </c>
      <c r="I75" s="10">
        <f t="shared" si="13"/>
        <v>0</v>
      </c>
      <c r="J75" s="10">
        <v>0</v>
      </c>
      <c r="K75" s="10">
        <f t="shared" si="12"/>
        <v>0</v>
      </c>
      <c r="L75" s="17">
        <v>0</v>
      </c>
      <c r="M75" s="18">
        <f t="shared" si="10"/>
        <v>0</v>
      </c>
      <c r="N75" s="19">
        <f t="shared" si="14"/>
        <v>0</v>
      </c>
      <c r="O75" s="20">
        <f t="shared" si="11"/>
        <v>0</v>
      </c>
    </row>
    <row r="76" spans="1:24" ht="18.75">
      <c r="A76" s="8">
        <v>164</v>
      </c>
      <c r="B76" s="8">
        <v>1005320430</v>
      </c>
      <c r="C76" s="47" t="s">
        <v>65</v>
      </c>
      <c r="D76" s="45"/>
      <c r="E76" s="10">
        <v>0</v>
      </c>
      <c r="F76" s="10">
        <v>0</v>
      </c>
      <c r="G76" s="39" t="s">
        <v>34</v>
      </c>
      <c r="H76" s="11">
        <f t="shared" si="8"/>
        <v>0</v>
      </c>
      <c r="I76" s="10">
        <f t="shared" si="13"/>
        <v>0</v>
      </c>
      <c r="J76" s="10">
        <v>0</v>
      </c>
      <c r="K76" s="10">
        <f t="shared" si="12"/>
        <v>0</v>
      </c>
      <c r="L76" s="17">
        <v>0</v>
      </c>
      <c r="M76" s="18">
        <f t="shared" si="10"/>
        <v>0</v>
      </c>
      <c r="N76" s="19">
        <f t="shared" si="14"/>
        <v>0</v>
      </c>
      <c r="O76" s="20">
        <f t="shared" si="11"/>
        <v>0</v>
      </c>
    </row>
    <row r="77" spans="1:24" ht="18.75">
      <c r="A77" s="9">
        <v>122</v>
      </c>
      <c r="B77" s="8">
        <v>1940099728</v>
      </c>
      <c r="C77" s="48" t="s">
        <v>43</v>
      </c>
      <c r="D77" s="49"/>
      <c r="E77" s="10">
        <v>0</v>
      </c>
      <c r="F77" s="10">
        <v>0</v>
      </c>
      <c r="G77" s="39" t="s">
        <v>34</v>
      </c>
      <c r="H77" s="11">
        <f t="shared" si="8"/>
        <v>0</v>
      </c>
      <c r="I77" s="10">
        <f t="shared" si="13"/>
        <v>0</v>
      </c>
      <c r="J77" s="10">
        <v>0</v>
      </c>
      <c r="K77" s="10">
        <f t="shared" si="12"/>
        <v>0</v>
      </c>
      <c r="L77" s="17">
        <v>0</v>
      </c>
      <c r="M77" s="18">
        <f t="shared" si="10"/>
        <v>0</v>
      </c>
      <c r="N77" s="19">
        <f t="shared" si="14"/>
        <v>0</v>
      </c>
      <c r="O77" s="20">
        <f t="shared" si="11"/>
        <v>0</v>
      </c>
      <c r="P77" s="40"/>
      <c r="Q77" s="40"/>
      <c r="R77" s="41"/>
    </row>
    <row r="78" spans="1:24" ht="18.75">
      <c r="A78" s="8">
        <v>179</v>
      </c>
      <c r="B78" s="8">
        <v>1412638269</v>
      </c>
      <c r="C78" s="48" t="s">
        <v>42</v>
      </c>
      <c r="D78" s="46"/>
      <c r="E78" s="10">
        <v>0</v>
      </c>
      <c r="F78" s="10">
        <v>0</v>
      </c>
      <c r="G78" s="39" t="s">
        <v>34</v>
      </c>
      <c r="H78" s="11">
        <f t="shared" si="8"/>
        <v>0</v>
      </c>
      <c r="I78" s="10">
        <f t="shared" si="13"/>
        <v>0</v>
      </c>
      <c r="J78" s="10">
        <v>0</v>
      </c>
      <c r="K78" s="10">
        <f t="shared" si="12"/>
        <v>0</v>
      </c>
      <c r="L78" s="17">
        <v>0</v>
      </c>
      <c r="M78" s="18">
        <f t="shared" si="10"/>
        <v>0</v>
      </c>
      <c r="N78" s="19">
        <f t="shared" si="14"/>
        <v>0</v>
      </c>
      <c r="O78" s="20">
        <f t="shared" si="11"/>
        <v>0</v>
      </c>
    </row>
    <row r="79" spans="1:24" ht="18.75">
      <c r="A79" s="8">
        <v>156</v>
      </c>
      <c r="B79" s="8">
        <v>1754610165</v>
      </c>
      <c r="C79" s="47" t="s">
        <v>88</v>
      </c>
      <c r="D79" s="45"/>
      <c r="E79" s="10">
        <v>0</v>
      </c>
      <c r="F79" s="10">
        <v>0</v>
      </c>
      <c r="G79" s="39" t="s">
        <v>34</v>
      </c>
      <c r="H79" s="11">
        <f t="shared" si="8"/>
        <v>0</v>
      </c>
      <c r="I79" s="10">
        <f t="shared" si="13"/>
        <v>0</v>
      </c>
      <c r="J79" s="10">
        <v>0</v>
      </c>
      <c r="K79" s="10">
        <f t="shared" si="12"/>
        <v>0</v>
      </c>
      <c r="L79" s="17">
        <v>-3.125</v>
      </c>
      <c r="M79" s="18">
        <f t="shared" si="10"/>
        <v>-3.125</v>
      </c>
      <c r="N79" s="19">
        <f t="shared" si="14"/>
        <v>0</v>
      </c>
      <c r="O79" s="20">
        <f t="shared" si="11"/>
        <v>-3.125</v>
      </c>
    </row>
    <row r="80" spans="1:24" ht="18.75">
      <c r="A80" s="8">
        <v>172</v>
      </c>
      <c r="B80" s="8">
        <v>724061220</v>
      </c>
      <c r="C80" s="47" t="s">
        <v>90</v>
      </c>
      <c r="D80" s="47" t="s">
        <v>71</v>
      </c>
      <c r="E80" s="10">
        <v>0</v>
      </c>
      <c r="F80" s="10">
        <v>0</v>
      </c>
      <c r="G80" s="39" t="s">
        <v>34</v>
      </c>
      <c r="H80" s="11">
        <f t="shared" si="8"/>
        <v>0</v>
      </c>
      <c r="I80" s="10">
        <f t="shared" si="13"/>
        <v>0</v>
      </c>
      <c r="J80" s="10">
        <v>0</v>
      </c>
      <c r="K80" s="10">
        <f t="shared" si="12"/>
        <v>0</v>
      </c>
      <c r="L80" s="17">
        <v>-3.125</v>
      </c>
      <c r="M80" s="18">
        <f t="shared" si="10"/>
        <v>-3.125</v>
      </c>
      <c r="N80" s="19">
        <f t="shared" si="14"/>
        <v>0</v>
      </c>
      <c r="O80" s="20">
        <f t="shared" si="11"/>
        <v>-3.125</v>
      </c>
    </row>
    <row r="81" spans="1:18" ht="18.75">
      <c r="A81" s="8">
        <v>195</v>
      </c>
      <c r="B81" s="8">
        <v>1634663314</v>
      </c>
      <c r="C81" s="47" t="s">
        <v>105</v>
      </c>
      <c r="D81" s="46"/>
      <c r="E81" s="10">
        <v>0</v>
      </c>
      <c r="F81" s="10">
        <v>0</v>
      </c>
      <c r="G81" s="39" t="s">
        <v>34</v>
      </c>
      <c r="H81" s="11">
        <f t="shared" si="8"/>
        <v>0</v>
      </c>
      <c r="I81" s="10">
        <f t="shared" si="13"/>
        <v>0</v>
      </c>
      <c r="J81" s="10">
        <v>0</v>
      </c>
      <c r="K81" s="10">
        <f t="shared" si="12"/>
        <v>0</v>
      </c>
      <c r="L81" s="17">
        <v>-3.125</v>
      </c>
      <c r="M81" s="18">
        <f t="shared" si="10"/>
        <v>-3.125</v>
      </c>
      <c r="N81" s="19">
        <f t="shared" si="14"/>
        <v>0</v>
      </c>
      <c r="O81" s="20">
        <f t="shared" si="11"/>
        <v>-3.125</v>
      </c>
    </row>
    <row r="82" spans="1:18" ht="18.75">
      <c r="A82" s="8">
        <v>194</v>
      </c>
      <c r="B82" s="8">
        <v>648785109</v>
      </c>
      <c r="C82" s="47" t="s">
        <v>104</v>
      </c>
      <c r="D82" s="46"/>
      <c r="E82" s="10">
        <v>0</v>
      </c>
      <c r="F82" s="10">
        <v>0</v>
      </c>
      <c r="G82" s="39" t="s">
        <v>34</v>
      </c>
      <c r="H82" s="11">
        <f t="shared" si="8"/>
        <v>0</v>
      </c>
      <c r="I82" s="10">
        <f t="shared" si="13"/>
        <v>0</v>
      </c>
      <c r="J82" s="10">
        <v>0</v>
      </c>
      <c r="K82" s="10">
        <f t="shared" si="12"/>
        <v>0</v>
      </c>
      <c r="L82" s="17">
        <v>-3.125</v>
      </c>
      <c r="M82" s="18">
        <f t="shared" si="10"/>
        <v>-3.125</v>
      </c>
      <c r="N82" s="19">
        <f t="shared" si="14"/>
        <v>0</v>
      </c>
      <c r="O82" s="20">
        <f t="shared" si="11"/>
        <v>-3.125</v>
      </c>
    </row>
    <row r="83" spans="1:18" ht="18.75">
      <c r="A83" s="8">
        <v>180</v>
      </c>
      <c r="B83" s="8">
        <v>24633249</v>
      </c>
      <c r="C83" s="48" t="s">
        <v>72</v>
      </c>
      <c r="D83" s="46"/>
      <c r="E83" s="10">
        <v>0</v>
      </c>
      <c r="F83" s="10">
        <v>0</v>
      </c>
      <c r="G83" s="39" t="s">
        <v>34</v>
      </c>
      <c r="H83" s="11">
        <f t="shared" si="8"/>
        <v>0</v>
      </c>
      <c r="I83" s="10">
        <f t="shared" si="13"/>
        <v>0</v>
      </c>
      <c r="J83" s="10">
        <v>0</v>
      </c>
      <c r="K83" s="10">
        <f t="shared" si="12"/>
        <v>0</v>
      </c>
      <c r="L83" s="17">
        <v>-3.125</v>
      </c>
      <c r="M83" s="18">
        <f t="shared" si="10"/>
        <v>-3.125</v>
      </c>
      <c r="N83" s="19">
        <f t="shared" si="14"/>
        <v>0</v>
      </c>
      <c r="O83" s="20">
        <f t="shared" si="11"/>
        <v>-3.125</v>
      </c>
    </row>
    <row r="84" spans="1:18" ht="18.75">
      <c r="A84" s="8">
        <v>174</v>
      </c>
      <c r="B84" s="8">
        <v>775720958</v>
      </c>
      <c r="C84" s="47" t="s">
        <v>116</v>
      </c>
      <c r="D84" s="47" t="s">
        <v>69</v>
      </c>
      <c r="E84" s="10">
        <v>0</v>
      </c>
      <c r="F84" s="10">
        <v>0</v>
      </c>
      <c r="G84" s="39" t="s">
        <v>34</v>
      </c>
      <c r="H84" s="11">
        <f t="shared" si="8"/>
        <v>0</v>
      </c>
      <c r="I84" s="10">
        <f t="shared" si="13"/>
        <v>0</v>
      </c>
      <c r="J84" s="10">
        <v>0</v>
      </c>
      <c r="K84" s="10">
        <f t="shared" si="12"/>
        <v>0</v>
      </c>
      <c r="L84" s="17">
        <v>-1.25</v>
      </c>
      <c r="M84" s="18">
        <f t="shared" si="10"/>
        <v>-1.25</v>
      </c>
      <c r="N84" s="19">
        <f t="shared" si="14"/>
        <v>0</v>
      </c>
      <c r="O84" s="20">
        <f t="shared" si="11"/>
        <v>-1.25</v>
      </c>
    </row>
    <row r="85" spans="1:18" ht="18.75">
      <c r="A85" s="9">
        <v>33</v>
      </c>
      <c r="B85" s="8">
        <v>1006436515</v>
      </c>
      <c r="C85" s="47" t="s">
        <v>77</v>
      </c>
      <c r="D85" s="48" t="s">
        <v>13</v>
      </c>
      <c r="E85" s="10">
        <v>0</v>
      </c>
      <c r="F85" s="10">
        <v>0</v>
      </c>
      <c r="G85" s="39" t="s">
        <v>34</v>
      </c>
      <c r="H85" s="11">
        <f t="shared" ref="H85:H93" si="15">E85+IF(E85&gt;2,(E85-2)*0.5,0)</f>
        <v>0</v>
      </c>
      <c r="I85" s="10">
        <f t="shared" si="13"/>
        <v>0</v>
      </c>
      <c r="J85" s="10">
        <v>0</v>
      </c>
      <c r="K85" s="10">
        <f t="shared" si="12"/>
        <v>0</v>
      </c>
      <c r="L85" s="17">
        <v>-1.25</v>
      </c>
      <c r="M85" s="18">
        <f t="shared" ref="M85:M93" si="16">K85+L85</f>
        <v>-1.25</v>
      </c>
      <c r="N85" s="19">
        <f t="shared" si="14"/>
        <v>0</v>
      </c>
      <c r="O85" s="20">
        <f t="shared" ref="O85:O93" si="17">M85-N85</f>
        <v>-1.25</v>
      </c>
      <c r="P85" s="40"/>
      <c r="Q85" s="40"/>
    </row>
    <row r="86" spans="1:18" ht="18.75">
      <c r="A86" s="8">
        <v>116</v>
      </c>
      <c r="B86" s="8">
        <v>2122596917</v>
      </c>
      <c r="C86" s="47" t="s">
        <v>82</v>
      </c>
      <c r="D86" s="48" t="s">
        <v>41</v>
      </c>
      <c r="E86" s="10">
        <v>0</v>
      </c>
      <c r="F86" s="10">
        <v>0</v>
      </c>
      <c r="G86" s="39" t="s">
        <v>34</v>
      </c>
      <c r="H86" s="11">
        <f t="shared" si="15"/>
        <v>0</v>
      </c>
      <c r="I86" s="10">
        <f t="shared" si="13"/>
        <v>0</v>
      </c>
      <c r="J86" s="10">
        <v>0</v>
      </c>
      <c r="K86" s="10">
        <f t="shared" si="12"/>
        <v>0</v>
      </c>
      <c r="L86" s="17">
        <v>-1.25</v>
      </c>
      <c r="M86" s="18">
        <f t="shared" si="16"/>
        <v>-1.25</v>
      </c>
      <c r="N86" s="19">
        <f t="shared" si="14"/>
        <v>0</v>
      </c>
      <c r="O86" s="20">
        <f t="shared" si="17"/>
        <v>-1.25</v>
      </c>
      <c r="P86" s="40"/>
      <c r="Q86" s="40"/>
      <c r="R86" s="42"/>
    </row>
    <row r="87" spans="1:18" ht="18.75">
      <c r="A87" s="8">
        <v>202</v>
      </c>
      <c r="B87" s="8">
        <v>471245585</v>
      </c>
      <c r="C87" s="47" t="s">
        <v>111</v>
      </c>
      <c r="D87" s="46"/>
      <c r="E87" s="10">
        <v>0</v>
      </c>
      <c r="F87" s="10">
        <v>0</v>
      </c>
      <c r="G87" s="39" t="s">
        <v>34</v>
      </c>
      <c r="H87" s="11">
        <f t="shared" si="15"/>
        <v>0</v>
      </c>
      <c r="I87" s="10">
        <f t="shared" si="13"/>
        <v>0</v>
      </c>
      <c r="J87" s="10">
        <v>0</v>
      </c>
      <c r="K87" s="10">
        <f t="shared" si="12"/>
        <v>0</v>
      </c>
      <c r="L87" s="17">
        <v>-1.25</v>
      </c>
      <c r="M87" s="18">
        <f t="shared" si="16"/>
        <v>-1.25</v>
      </c>
      <c r="N87" s="19">
        <f t="shared" si="14"/>
        <v>0</v>
      </c>
      <c r="O87" s="20">
        <f t="shared" si="17"/>
        <v>-1.25</v>
      </c>
    </row>
    <row r="88" spans="1:18" ht="18.75">
      <c r="A88" s="8">
        <v>193</v>
      </c>
      <c r="B88" s="8">
        <v>2125731287</v>
      </c>
      <c r="C88" s="47" t="s">
        <v>103</v>
      </c>
      <c r="D88" s="46"/>
      <c r="E88" s="10">
        <v>0</v>
      </c>
      <c r="F88" s="10">
        <v>0</v>
      </c>
      <c r="G88" s="39" t="s">
        <v>34</v>
      </c>
      <c r="H88" s="11">
        <f t="shared" si="15"/>
        <v>0</v>
      </c>
      <c r="I88" s="10">
        <f t="shared" si="13"/>
        <v>0</v>
      </c>
      <c r="J88" s="10">
        <v>0</v>
      </c>
      <c r="K88" s="10">
        <f t="shared" si="12"/>
        <v>0</v>
      </c>
      <c r="L88" s="17">
        <v>-1.25</v>
      </c>
      <c r="M88" s="18">
        <f t="shared" si="16"/>
        <v>-1.25</v>
      </c>
      <c r="N88" s="19">
        <f t="shared" si="14"/>
        <v>0</v>
      </c>
      <c r="O88" s="20">
        <f t="shared" si="17"/>
        <v>-1.25</v>
      </c>
    </row>
    <row r="89" spans="1:18" ht="18.75">
      <c r="A89" s="9">
        <v>15</v>
      </c>
      <c r="B89" s="8">
        <v>388960345</v>
      </c>
      <c r="C89" s="48" t="s">
        <v>11</v>
      </c>
      <c r="D89" s="49"/>
      <c r="E89" s="10">
        <v>0</v>
      </c>
      <c r="F89" s="10">
        <v>0</v>
      </c>
      <c r="G89" s="39" t="s">
        <v>34</v>
      </c>
      <c r="H89" s="11">
        <f t="shared" si="15"/>
        <v>0</v>
      </c>
      <c r="I89" s="10">
        <f t="shared" si="13"/>
        <v>0</v>
      </c>
      <c r="J89" s="10">
        <v>0</v>
      </c>
      <c r="K89" s="10">
        <f t="shared" si="12"/>
        <v>0</v>
      </c>
      <c r="L89" s="17">
        <v>0.625</v>
      </c>
      <c r="M89" s="18">
        <f t="shared" si="16"/>
        <v>0.625</v>
      </c>
      <c r="N89" s="19">
        <f t="shared" si="14"/>
        <v>0</v>
      </c>
      <c r="O89" s="20">
        <f t="shared" si="17"/>
        <v>0.625</v>
      </c>
      <c r="P89" s="40"/>
      <c r="Q89" s="40"/>
      <c r="R89" s="40"/>
    </row>
    <row r="90" spans="1:18" ht="18.75">
      <c r="A90" s="8">
        <v>185</v>
      </c>
      <c r="B90" s="8">
        <v>30705222</v>
      </c>
      <c r="C90" s="47" t="s">
        <v>95</v>
      </c>
      <c r="D90" s="46"/>
      <c r="E90" s="10">
        <v>0</v>
      </c>
      <c r="F90" s="10">
        <v>0</v>
      </c>
      <c r="G90" s="39" t="s">
        <v>34</v>
      </c>
      <c r="H90" s="11">
        <f t="shared" si="15"/>
        <v>0</v>
      </c>
      <c r="I90" s="10">
        <f t="shared" si="13"/>
        <v>0</v>
      </c>
      <c r="J90" s="10">
        <v>0</v>
      </c>
      <c r="K90" s="10">
        <f t="shared" si="12"/>
        <v>0</v>
      </c>
      <c r="L90" s="17">
        <v>0.625</v>
      </c>
      <c r="M90" s="18">
        <f t="shared" si="16"/>
        <v>0.625</v>
      </c>
      <c r="N90" s="19">
        <f t="shared" si="14"/>
        <v>0</v>
      </c>
      <c r="O90" s="20">
        <f t="shared" si="17"/>
        <v>0.625</v>
      </c>
    </row>
    <row r="91" spans="1:18" ht="18.75">
      <c r="A91" s="8">
        <v>178</v>
      </c>
      <c r="B91" s="8">
        <v>1059185275</v>
      </c>
      <c r="C91" s="47" t="s">
        <v>91</v>
      </c>
      <c r="D91" s="46"/>
      <c r="E91" s="10">
        <v>0</v>
      </c>
      <c r="F91" s="10">
        <v>0</v>
      </c>
      <c r="G91" s="39" t="s">
        <v>34</v>
      </c>
      <c r="H91" s="11">
        <f t="shared" si="15"/>
        <v>0</v>
      </c>
      <c r="I91" s="10">
        <f t="shared" si="13"/>
        <v>0</v>
      </c>
      <c r="J91" s="10">
        <v>0</v>
      </c>
      <c r="K91" s="10">
        <f t="shared" si="12"/>
        <v>0</v>
      </c>
      <c r="L91" s="17">
        <v>0.625</v>
      </c>
      <c r="M91" s="18">
        <f t="shared" si="16"/>
        <v>0.625</v>
      </c>
      <c r="N91" s="19">
        <f t="shared" si="14"/>
        <v>0</v>
      </c>
      <c r="O91" s="20">
        <f t="shared" si="17"/>
        <v>0.625</v>
      </c>
    </row>
    <row r="92" spans="1:18" ht="18.75">
      <c r="A92" s="8">
        <v>189</v>
      </c>
      <c r="B92" s="8">
        <v>522812489</v>
      </c>
      <c r="C92" s="47" t="s">
        <v>99</v>
      </c>
      <c r="D92" s="46"/>
      <c r="E92" s="10">
        <v>0</v>
      </c>
      <c r="F92" s="10">
        <v>0</v>
      </c>
      <c r="G92" s="39" t="s">
        <v>34</v>
      </c>
      <c r="H92" s="11">
        <f t="shared" si="15"/>
        <v>0</v>
      </c>
      <c r="I92" s="10">
        <f t="shared" si="13"/>
        <v>0</v>
      </c>
      <c r="J92" s="10">
        <v>0</v>
      </c>
      <c r="K92" s="10">
        <f t="shared" si="12"/>
        <v>0</v>
      </c>
      <c r="L92" s="17">
        <v>0.625</v>
      </c>
      <c r="M92" s="18">
        <f t="shared" si="16"/>
        <v>0.625</v>
      </c>
      <c r="N92" s="19">
        <f t="shared" si="14"/>
        <v>0</v>
      </c>
      <c r="O92" s="20">
        <f t="shared" si="17"/>
        <v>0.625</v>
      </c>
    </row>
    <row r="93" spans="1:18" ht="18.75">
      <c r="A93" s="8">
        <v>207</v>
      </c>
      <c r="B93" s="8">
        <v>721273803</v>
      </c>
      <c r="C93" s="51" t="s">
        <v>124</v>
      </c>
      <c r="D93" s="46"/>
      <c r="E93" s="10">
        <v>0</v>
      </c>
      <c r="F93" s="10">
        <v>0</v>
      </c>
      <c r="G93" s="39" t="s">
        <v>34</v>
      </c>
      <c r="H93" s="11">
        <f t="shared" si="15"/>
        <v>0</v>
      </c>
      <c r="I93" s="10">
        <f t="shared" si="13"/>
        <v>0</v>
      </c>
      <c r="J93" s="10">
        <v>0</v>
      </c>
      <c r="K93" s="10">
        <f t="shared" si="12"/>
        <v>0</v>
      </c>
      <c r="L93" s="17">
        <v>0.625</v>
      </c>
      <c r="M93" s="18">
        <f t="shared" si="16"/>
        <v>0.625</v>
      </c>
      <c r="N93" s="19">
        <f t="shared" si="14"/>
        <v>0</v>
      </c>
      <c r="O93" s="20">
        <f t="shared" si="17"/>
        <v>0.625</v>
      </c>
    </row>
  </sheetData>
  <sortState ref="A5:R32">
    <sortCondition descending="1" ref="M5:M32"/>
  </sortState>
  <mergeCells count="4">
    <mergeCell ref="A1:O1"/>
    <mergeCell ref="A2:O2"/>
    <mergeCell ref="A3:D3"/>
    <mergeCell ref="G3:O3"/>
  </mergeCells>
  <phoneticPr fontId="13" type="noConversion"/>
  <conditionalFormatting sqref="J75 J77 J80 J82 J84 J86 J88 J90 J92:J93 E18:E25 E10:E16 E5:F5 E6:E8 E27:E29 F6:F29 J34:J73 J30 E30:F30 E32:F93 J32">
    <cfRule type="cellIs" dxfId="45" priority="6" operator="lessThan">
      <formula>1</formula>
    </cfRule>
  </conditionalFormatting>
  <conditionalFormatting sqref="J74 J76 J78:J79 J81 J83 J85 J87 J89 J91 J5:J29 J33">
    <cfRule type="cellIs" dxfId="44" priority="7" operator="lessThan">
      <formula>1</formula>
    </cfRule>
  </conditionalFormatting>
  <conditionalFormatting sqref="E26">
    <cfRule type="cellIs" dxfId="43" priority="5" operator="lessThan">
      <formula>1</formula>
    </cfRule>
  </conditionalFormatting>
  <conditionalFormatting sqref="E17">
    <cfRule type="cellIs" dxfId="42" priority="4" operator="lessThan">
      <formula>1</formula>
    </cfRule>
  </conditionalFormatting>
  <conditionalFormatting sqref="E9">
    <cfRule type="cellIs" dxfId="41" priority="3" operator="lessThan">
      <formula>1</formula>
    </cfRule>
  </conditionalFormatting>
  <conditionalFormatting sqref="E31:F31">
    <cfRule type="cellIs" dxfId="40" priority="1" operator="lessThan">
      <formula>1</formula>
    </cfRule>
  </conditionalFormatting>
  <conditionalFormatting sqref="J31">
    <cfRule type="cellIs" dxfId="39" priority="2" operator="lessThan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4"/>
  <sheetViews>
    <sheetView topLeftCell="A3" workbookViewId="0">
      <selection activeCell="D32" sqref="D32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活动中心",T16,"年",T17,"月",T18,"日","分包贡献明细","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X3/$T$14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61" t="s">
        <v>2</v>
      </c>
      <c r="B4" s="55" t="s">
        <v>28</v>
      </c>
      <c r="C4" s="61" t="s">
        <v>3</v>
      </c>
      <c r="D4" s="61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24</v>
      </c>
      <c r="R4" s="55" t="s">
        <v>1</v>
      </c>
      <c r="S4" s="29" t="s">
        <v>155</v>
      </c>
      <c r="T4" s="28">
        <f>X4/$T$14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9">
        <v>49</v>
      </c>
      <c r="B5" s="8">
        <v>311361673</v>
      </c>
      <c r="C5" s="48" t="s">
        <v>126</v>
      </c>
      <c r="D5" s="49" t="s">
        <v>125</v>
      </c>
      <c r="E5" s="10">
        <v>3</v>
      </c>
      <c r="F5" s="10">
        <v>60</v>
      </c>
      <c r="G5" s="39" t="s">
        <v>34</v>
      </c>
      <c r="H5" s="11">
        <f t="shared" ref="H5:H34" si="0">E5+IF(E5&gt;2,(E5-2)*0.5,0)</f>
        <v>3.5</v>
      </c>
      <c r="I5" s="10">
        <f t="shared" ref="I5:I34" si="1">F5/$T$15</f>
        <v>1.2</v>
      </c>
      <c r="J5" s="10">
        <v>0</v>
      </c>
      <c r="K5" s="10">
        <f t="shared" ref="K5:K34" si="2">SUM(I5+H5+J5)</f>
        <v>4.7</v>
      </c>
      <c r="L5" s="17">
        <v>6.4</v>
      </c>
      <c r="M5" s="18">
        <f t="shared" ref="M5:M34" si="3">K5+L5</f>
        <v>11.100000000000001</v>
      </c>
      <c r="N5" s="19">
        <f t="shared" ref="N5:N34" si="4">VLOOKUP(G5,$S$3:$T$11,2,FALSE)</f>
        <v>0</v>
      </c>
      <c r="O5" s="20">
        <f t="shared" ref="O5:O34" si="5">M5-N5</f>
        <v>11.100000000000001</v>
      </c>
      <c r="P5" s="40"/>
      <c r="Q5" s="40"/>
    </row>
    <row r="6" spans="1:24" ht="18.75">
      <c r="A6" s="9">
        <v>92</v>
      </c>
      <c r="B6" s="8">
        <v>1367873925</v>
      </c>
      <c r="C6" s="47" t="s">
        <v>130</v>
      </c>
      <c r="D6" s="48" t="s">
        <v>143</v>
      </c>
      <c r="E6" s="10">
        <v>3</v>
      </c>
      <c r="F6" s="10">
        <v>60</v>
      </c>
      <c r="G6" s="12" t="s">
        <v>156</v>
      </c>
      <c r="H6" s="11">
        <f t="shared" si="0"/>
        <v>3.5</v>
      </c>
      <c r="I6" s="10">
        <f t="shared" si="1"/>
        <v>1.2</v>
      </c>
      <c r="J6" s="10">
        <v>0</v>
      </c>
      <c r="K6" s="10">
        <f t="shared" si="2"/>
        <v>4.7</v>
      </c>
      <c r="L6" s="17">
        <v>3.4</v>
      </c>
      <c r="M6" s="18">
        <f t="shared" si="3"/>
        <v>8.1</v>
      </c>
      <c r="N6" s="19">
        <f t="shared" si="4"/>
        <v>8.125</v>
      </c>
      <c r="O6" s="20">
        <f t="shared" si="5"/>
        <v>-2.5000000000000355E-2</v>
      </c>
      <c r="P6" s="11"/>
      <c r="Q6" s="11"/>
      <c r="R6" s="31"/>
      <c r="S6" s="14" t="s">
        <v>33</v>
      </c>
      <c r="T6" s="28">
        <f>X6/$T$14</f>
        <v>7.5</v>
      </c>
      <c r="U6" s="30">
        <v>3</v>
      </c>
      <c r="V6" s="30">
        <v>5</v>
      </c>
      <c r="W6" s="30">
        <v>10</v>
      </c>
      <c r="X6" s="30">
        <v>1200</v>
      </c>
    </row>
    <row r="7" spans="1:24" ht="18.75">
      <c r="A7" s="8"/>
      <c r="B7" s="8"/>
      <c r="C7" s="47" t="s">
        <v>146</v>
      </c>
      <c r="D7" s="46"/>
      <c r="E7" s="10">
        <v>2</v>
      </c>
      <c r="F7" s="10">
        <v>60</v>
      </c>
      <c r="G7" s="12" t="s">
        <v>156</v>
      </c>
      <c r="H7" s="11">
        <f t="shared" si="0"/>
        <v>2</v>
      </c>
      <c r="I7" s="10">
        <f t="shared" si="1"/>
        <v>1.2</v>
      </c>
      <c r="J7" s="10">
        <v>0</v>
      </c>
      <c r="K7" s="10">
        <f t="shared" si="2"/>
        <v>3.2</v>
      </c>
      <c r="L7" s="17">
        <v>4.7</v>
      </c>
      <c r="M7" s="18">
        <f t="shared" si="3"/>
        <v>7.9</v>
      </c>
      <c r="N7" s="19">
        <f t="shared" si="4"/>
        <v>8.125</v>
      </c>
      <c r="O7" s="20">
        <f t="shared" si="5"/>
        <v>-0.22499999999999964</v>
      </c>
      <c r="P7" s="4"/>
      <c r="Q7" s="4"/>
      <c r="R7" s="4"/>
      <c r="S7" s="14"/>
      <c r="T7" s="28"/>
      <c r="U7" s="30"/>
      <c r="V7" s="30"/>
      <c r="W7" s="30"/>
      <c r="X7" s="30"/>
    </row>
    <row r="8" spans="1:24" ht="18.75">
      <c r="A8" s="9"/>
      <c r="B8" s="8"/>
      <c r="C8" s="48" t="s">
        <v>142</v>
      </c>
      <c r="D8" s="49"/>
      <c r="E8" s="10">
        <v>3</v>
      </c>
      <c r="F8" s="10">
        <v>60</v>
      </c>
      <c r="G8" s="13" t="s">
        <v>157</v>
      </c>
      <c r="H8" s="11">
        <f t="shared" si="0"/>
        <v>3.5</v>
      </c>
      <c r="I8" s="10">
        <f t="shared" si="1"/>
        <v>1.2</v>
      </c>
      <c r="J8" s="10">
        <v>0</v>
      </c>
      <c r="K8" s="10">
        <f t="shared" si="2"/>
        <v>4.7</v>
      </c>
      <c r="L8" s="17">
        <v>3.2</v>
      </c>
      <c r="M8" s="18">
        <f t="shared" si="3"/>
        <v>7.9</v>
      </c>
      <c r="N8" s="19">
        <f t="shared" si="4"/>
        <v>6.25</v>
      </c>
      <c r="O8" s="20">
        <f t="shared" si="5"/>
        <v>1.6500000000000004</v>
      </c>
      <c r="P8" s="4"/>
      <c r="Q8" s="4"/>
      <c r="R8" s="4"/>
      <c r="S8" s="12" t="s">
        <v>156</v>
      </c>
      <c r="T8" s="28">
        <f>X8/$T$14</f>
        <v>8.125</v>
      </c>
      <c r="U8" s="30">
        <v>4</v>
      </c>
      <c r="V8" s="30">
        <v>5</v>
      </c>
      <c r="W8" s="30"/>
      <c r="X8" s="30">
        <v>1300</v>
      </c>
    </row>
    <row r="9" spans="1:24" ht="18.75">
      <c r="A9" s="9">
        <v>33</v>
      </c>
      <c r="B9" s="8">
        <v>1006436515</v>
      </c>
      <c r="C9" s="47" t="s">
        <v>77</v>
      </c>
      <c r="D9" s="48" t="s">
        <v>13</v>
      </c>
      <c r="E9" s="10">
        <v>2</v>
      </c>
      <c r="F9" s="10">
        <v>60</v>
      </c>
      <c r="G9" s="13" t="s">
        <v>157</v>
      </c>
      <c r="H9" s="11">
        <f t="shared" si="0"/>
        <v>2</v>
      </c>
      <c r="I9" s="10">
        <f t="shared" si="1"/>
        <v>1.2</v>
      </c>
      <c r="J9" s="10">
        <v>0</v>
      </c>
      <c r="K9" s="10">
        <f t="shared" si="2"/>
        <v>3.2</v>
      </c>
      <c r="L9" s="17">
        <v>3.45</v>
      </c>
      <c r="M9" s="18">
        <f t="shared" si="3"/>
        <v>6.65</v>
      </c>
      <c r="N9" s="19">
        <f t="shared" si="4"/>
        <v>6.25</v>
      </c>
      <c r="O9" s="20">
        <f t="shared" si="5"/>
        <v>0.40000000000000036</v>
      </c>
      <c r="P9" s="11"/>
      <c r="Q9" s="11"/>
      <c r="R9" s="11"/>
      <c r="S9" s="13" t="s">
        <v>157</v>
      </c>
      <c r="T9" s="28">
        <f>X9/$T$14</f>
        <v>6.25</v>
      </c>
      <c r="U9" s="30">
        <v>3</v>
      </c>
      <c r="V9" s="30">
        <v>4</v>
      </c>
      <c r="W9" s="30"/>
      <c r="X9" s="30">
        <v>1000</v>
      </c>
    </row>
    <row r="10" spans="1:24" ht="18.75">
      <c r="A10" s="8"/>
      <c r="B10" s="8">
        <v>2134752758</v>
      </c>
      <c r="C10" s="47" t="s">
        <v>139</v>
      </c>
      <c r="D10" s="46"/>
      <c r="E10" s="10">
        <v>2</v>
      </c>
      <c r="F10" s="10">
        <v>60</v>
      </c>
      <c r="G10" s="13" t="s">
        <v>157</v>
      </c>
      <c r="H10" s="11">
        <f t="shared" si="0"/>
        <v>2</v>
      </c>
      <c r="I10" s="10">
        <f t="shared" si="1"/>
        <v>1.2</v>
      </c>
      <c r="J10" s="10">
        <v>0</v>
      </c>
      <c r="K10" s="10">
        <f t="shared" si="2"/>
        <v>3.2</v>
      </c>
      <c r="L10" s="17">
        <v>2.4</v>
      </c>
      <c r="M10" s="18">
        <f t="shared" si="3"/>
        <v>5.6</v>
      </c>
      <c r="N10" s="19">
        <f t="shared" si="4"/>
        <v>6.25</v>
      </c>
      <c r="O10" s="20">
        <f t="shared" si="5"/>
        <v>-0.65000000000000036</v>
      </c>
      <c r="P10" s="4"/>
      <c r="Q10" s="4"/>
      <c r="R10" s="4"/>
      <c r="S10" s="14" t="s">
        <v>158</v>
      </c>
      <c r="T10" s="28">
        <f>X10/$T$14</f>
        <v>4.375</v>
      </c>
      <c r="U10" s="30">
        <v>2</v>
      </c>
      <c r="V10" s="30">
        <v>3</v>
      </c>
      <c r="W10" s="30"/>
      <c r="X10" s="30">
        <v>700</v>
      </c>
    </row>
    <row r="11" spans="1:24" ht="18.75">
      <c r="A11" s="9">
        <v>10</v>
      </c>
      <c r="B11" s="8">
        <v>2108977014</v>
      </c>
      <c r="C11" s="47" t="s">
        <v>138</v>
      </c>
      <c r="D11" s="48" t="s">
        <v>10</v>
      </c>
      <c r="E11" s="10">
        <v>3</v>
      </c>
      <c r="F11" s="10">
        <v>60</v>
      </c>
      <c r="G11" s="13" t="s">
        <v>157</v>
      </c>
      <c r="H11" s="11">
        <f t="shared" si="0"/>
        <v>3.5</v>
      </c>
      <c r="I11" s="10">
        <f t="shared" si="1"/>
        <v>1.2</v>
      </c>
      <c r="J11" s="10">
        <v>0</v>
      </c>
      <c r="K11" s="10">
        <f t="shared" si="2"/>
        <v>4.7</v>
      </c>
      <c r="L11" s="17">
        <v>0.52500000000000036</v>
      </c>
      <c r="M11" s="18">
        <f t="shared" si="3"/>
        <v>5.2250000000000005</v>
      </c>
      <c r="N11" s="19">
        <f t="shared" si="4"/>
        <v>6.25</v>
      </c>
      <c r="O11" s="20">
        <f t="shared" si="5"/>
        <v>-1.0249999999999995</v>
      </c>
      <c r="P11" s="4"/>
      <c r="Q11" s="4"/>
      <c r="R11" s="4"/>
      <c r="S11" s="33" t="s">
        <v>34</v>
      </c>
      <c r="T11" s="2">
        <v>0</v>
      </c>
      <c r="U11" s="2"/>
      <c r="V11" s="2"/>
      <c r="W11" s="2"/>
      <c r="X11" s="2"/>
    </row>
    <row r="12" spans="1:24" ht="18.75">
      <c r="A12" s="8">
        <v>173</v>
      </c>
      <c r="B12" s="8">
        <v>1106175185</v>
      </c>
      <c r="C12" s="47" t="s">
        <v>145</v>
      </c>
      <c r="D12" s="46"/>
      <c r="E12" s="10">
        <v>3</v>
      </c>
      <c r="F12" s="10">
        <v>60</v>
      </c>
      <c r="G12" s="14" t="s">
        <v>158</v>
      </c>
      <c r="H12" s="11">
        <f t="shared" si="0"/>
        <v>3.5</v>
      </c>
      <c r="I12" s="10">
        <f t="shared" si="1"/>
        <v>1.2</v>
      </c>
      <c r="J12" s="10">
        <v>0</v>
      </c>
      <c r="K12" s="10">
        <f t="shared" si="2"/>
        <v>4.7</v>
      </c>
      <c r="L12" s="17">
        <v>0.52500000000000036</v>
      </c>
      <c r="M12" s="18">
        <f t="shared" si="3"/>
        <v>5.2250000000000005</v>
      </c>
      <c r="N12" s="19">
        <f t="shared" si="4"/>
        <v>4.375</v>
      </c>
      <c r="O12" s="20">
        <f t="shared" si="5"/>
        <v>0.85000000000000053</v>
      </c>
      <c r="P12" s="4"/>
      <c r="Q12" s="4"/>
      <c r="R12" s="4"/>
      <c r="S12" s="34"/>
      <c r="T12" s="1"/>
      <c r="U12" s="1"/>
      <c r="V12" s="1"/>
      <c r="W12" s="1"/>
      <c r="X12" s="1"/>
    </row>
    <row r="13" spans="1:24" ht="18.75">
      <c r="A13" s="8">
        <v>200</v>
      </c>
      <c r="B13" s="8">
        <v>967589156</v>
      </c>
      <c r="C13" s="47" t="s">
        <v>109</v>
      </c>
      <c r="D13" s="46"/>
      <c r="E13" s="10">
        <v>2</v>
      </c>
      <c r="F13" s="10">
        <v>60</v>
      </c>
      <c r="G13" s="14" t="s">
        <v>158</v>
      </c>
      <c r="H13" s="11">
        <f t="shared" si="0"/>
        <v>2</v>
      </c>
      <c r="I13" s="10">
        <f t="shared" si="1"/>
        <v>1.2</v>
      </c>
      <c r="J13" s="10">
        <v>0</v>
      </c>
      <c r="K13" s="10">
        <f t="shared" si="2"/>
        <v>3.2</v>
      </c>
      <c r="L13" s="17">
        <v>1.7750000000000004</v>
      </c>
      <c r="M13" s="18">
        <f t="shared" si="3"/>
        <v>4.9750000000000005</v>
      </c>
      <c r="N13" s="19">
        <f t="shared" si="4"/>
        <v>4.375</v>
      </c>
      <c r="O13" s="20">
        <f t="shared" si="5"/>
        <v>0.60000000000000053</v>
      </c>
      <c r="P13" s="4"/>
      <c r="Q13" s="4"/>
      <c r="R13" s="4"/>
      <c r="S13" s="35" t="s">
        <v>36</v>
      </c>
      <c r="T13" s="1">
        <v>15000</v>
      </c>
      <c r="U13" s="1"/>
      <c r="V13" s="1"/>
      <c r="W13" s="1"/>
      <c r="X13" s="1"/>
    </row>
    <row r="14" spans="1:24" ht="18.75">
      <c r="A14" s="9"/>
      <c r="B14" s="8">
        <v>331155825</v>
      </c>
      <c r="C14" s="48" t="s">
        <v>131</v>
      </c>
      <c r="D14" s="49" t="s">
        <v>161</v>
      </c>
      <c r="E14" s="10">
        <v>3</v>
      </c>
      <c r="F14" s="10">
        <v>60</v>
      </c>
      <c r="G14" s="14" t="s">
        <v>158</v>
      </c>
      <c r="H14" s="11">
        <f t="shared" si="0"/>
        <v>3.5</v>
      </c>
      <c r="I14" s="10">
        <f t="shared" si="1"/>
        <v>1.2</v>
      </c>
      <c r="J14" s="10">
        <v>0</v>
      </c>
      <c r="K14" s="10">
        <f t="shared" si="2"/>
        <v>4.7</v>
      </c>
      <c r="L14" s="17">
        <v>0.15000000000000036</v>
      </c>
      <c r="M14" s="18">
        <f t="shared" si="3"/>
        <v>4.8500000000000005</v>
      </c>
      <c r="N14" s="19">
        <f t="shared" si="4"/>
        <v>4.375</v>
      </c>
      <c r="O14" s="20">
        <f t="shared" si="5"/>
        <v>0.47500000000000053</v>
      </c>
      <c r="P14" s="11"/>
      <c r="Q14" s="11"/>
      <c r="R14" s="11"/>
      <c r="S14" s="36" t="s">
        <v>37</v>
      </c>
      <c r="T14" s="37">
        <v>160</v>
      </c>
      <c r="U14" s="1"/>
      <c r="V14" s="1"/>
      <c r="W14" s="1"/>
      <c r="X14" s="1"/>
    </row>
    <row r="15" spans="1:24" ht="18.75">
      <c r="A15" s="8"/>
      <c r="B15" s="8">
        <v>1333428907</v>
      </c>
      <c r="C15" s="47" t="s">
        <v>150</v>
      </c>
      <c r="D15" s="48"/>
      <c r="E15" s="10">
        <v>3</v>
      </c>
      <c r="F15" s="10">
        <v>60</v>
      </c>
      <c r="G15" s="14" t="s">
        <v>158</v>
      </c>
      <c r="H15" s="11">
        <f t="shared" si="0"/>
        <v>3.5</v>
      </c>
      <c r="I15" s="10">
        <f t="shared" si="1"/>
        <v>1.2</v>
      </c>
      <c r="J15" s="10">
        <v>0</v>
      </c>
      <c r="K15" s="10">
        <f t="shared" si="2"/>
        <v>4.7</v>
      </c>
      <c r="L15" s="17">
        <v>0.15000000000000036</v>
      </c>
      <c r="M15" s="18">
        <f t="shared" si="3"/>
        <v>4.8500000000000005</v>
      </c>
      <c r="N15" s="19">
        <f t="shared" si="4"/>
        <v>4.375</v>
      </c>
      <c r="O15" s="20">
        <f t="shared" si="5"/>
        <v>0.47500000000000053</v>
      </c>
      <c r="P15" s="11"/>
      <c r="Q15" s="11"/>
      <c r="R15" s="11"/>
      <c r="S15" s="38" t="s">
        <v>52</v>
      </c>
      <c r="T15" s="37">
        <v>50</v>
      </c>
      <c r="U15" s="1"/>
      <c r="V15" s="1"/>
      <c r="W15" s="1"/>
      <c r="X15" s="1"/>
    </row>
    <row r="16" spans="1:24" ht="18.75">
      <c r="A16" s="8"/>
      <c r="B16" s="8">
        <v>488712245</v>
      </c>
      <c r="C16" s="47" t="s">
        <v>160</v>
      </c>
      <c r="D16" s="49" t="s">
        <v>162</v>
      </c>
      <c r="E16" s="10">
        <v>0</v>
      </c>
      <c r="F16" s="10">
        <v>10</v>
      </c>
      <c r="G16" s="39" t="s">
        <v>34</v>
      </c>
      <c r="H16" s="11">
        <f t="shared" si="0"/>
        <v>0</v>
      </c>
      <c r="I16" s="10">
        <f t="shared" si="1"/>
        <v>0.2</v>
      </c>
      <c r="J16" s="10">
        <v>0</v>
      </c>
      <c r="K16" s="10">
        <f t="shared" si="2"/>
        <v>0.2</v>
      </c>
      <c r="L16" s="17">
        <v>4.5</v>
      </c>
      <c r="M16" s="18">
        <f t="shared" si="3"/>
        <v>4.7</v>
      </c>
      <c r="N16" s="19">
        <f t="shared" si="4"/>
        <v>0</v>
      </c>
      <c r="O16" s="20">
        <f t="shared" si="5"/>
        <v>4.7</v>
      </c>
      <c r="P16" s="11"/>
      <c r="Q16" s="11"/>
      <c r="R16" s="32"/>
      <c r="S16" s="1" t="s">
        <v>38</v>
      </c>
      <c r="T16" s="37">
        <v>2020</v>
      </c>
      <c r="U16" s="1"/>
      <c r="V16" s="1"/>
      <c r="W16" s="1"/>
      <c r="X16" s="1"/>
    </row>
    <row r="17" spans="1:24" ht="18.75">
      <c r="A17" s="9">
        <v>1</v>
      </c>
      <c r="B17" s="8">
        <v>1782151946</v>
      </c>
      <c r="C17" s="47" t="s">
        <v>135</v>
      </c>
      <c r="D17" s="48" t="s">
        <v>8</v>
      </c>
      <c r="E17" s="10">
        <v>3</v>
      </c>
      <c r="F17" s="10">
        <v>60</v>
      </c>
      <c r="G17" s="14" t="s">
        <v>158</v>
      </c>
      <c r="H17" s="11">
        <f t="shared" si="0"/>
        <v>3.5</v>
      </c>
      <c r="I17" s="10">
        <f t="shared" si="1"/>
        <v>1.2</v>
      </c>
      <c r="J17" s="10">
        <v>0</v>
      </c>
      <c r="K17" s="10">
        <f t="shared" si="2"/>
        <v>4.7</v>
      </c>
      <c r="L17" s="17">
        <v>-4.9999999999999822E-2</v>
      </c>
      <c r="M17" s="18">
        <f t="shared" si="3"/>
        <v>4.6500000000000004</v>
      </c>
      <c r="N17" s="19">
        <f t="shared" si="4"/>
        <v>4.375</v>
      </c>
      <c r="O17" s="20">
        <f t="shared" si="5"/>
        <v>0.27500000000000036</v>
      </c>
      <c r="P17" s="11"/>
      <c r="Q17" s="11"/>
      <c r="R17" s="31"/>
      <c r="S17" s="1" t="s">
        <v>39</v>
      </c>
      <c r="T17" s="37">
        <v>9</v>
      </c>
      <c r="U17" s="1"/>
      <c r="V17" s="1"/>
      <c r="W17" s="1"/>
      <c r="X17" s="1"/>
    </row>
    <row r="18" spans="1:24" ht="18.75">
      <c r="A18" s="8"/>
      <c r="B18" s="8">
        <v>863510644</v>
      </c>
      <c r="C18" s="47" t="s">
        <v>141</v>
      </c>
      <c r="D18" s="47"/>
      <c r="E18" s="10">
        <v>0</v>
      </c>
      <c r="F18" s="10">
        <v>40</v>
      </c>
      <c r="G18" s="39" t="s">
        <v>34</v>
      </c>
      <c r="H18" s="11">
        <f t="shared" si="0"/>
        <v>0</v>
      </c>
      <c r="I18" s="10">
        <f t="shared" si="1"/>
        <v>0.8</v>
      </c>
      <c r="J18" s="10">
        <v>0</v>
      </c>
      <c r="K18" s="10">
        <f t="shared" si="2"/>
        <v>0.8</v>
      </c>
      <c r="L18" s="17">
        <v>3</v>
      </c>
      <c r="M18" s="18">
        <f t="shared" si="3"/>
        <v>3.8</v>
      </c>
      <c r="N18" s="19">
        <f t="shared" si="4"/>
        <v>0</v>
      </c>
      <c r="O18" s="20">
        <f t="shared" si="5"/>
        <v>3.8</v>
      </c>
      <c r="P18" s="11"/>
      <c r="Q18" s="11"/>
      <c r="R18" s="11"/>
      <c r="S18" s="1" t="s">
        <v>40</v>
      </c>
      <c r="T18" s="37">
        <v>27</v>
      </c>
    </row>
    <row r="19" spans="1:24" ht="18.75">
      <c r="A19" s="9"/>
      <c r="B19" s="8">
        <v>1065313201</v>
      </c>
      <c r="C19" s="48" t="s">
        <v>127</v>
      </c>
      <c r="D19" s="49" t="s">
        <v>128</v>
      </c>
      <c r="E19" s="10">
        <v>2</v>
      </c>
      <c r="F19" s="10">
        <v>60</v>
      </c>
      <c r="G19" s="14" t="s">
        <v>158</v>
      </c>
      <c r="H19" s="11">
        <f t="shared" si="0"/>
        <v>2</v>
      </c>
      <c r="I19" s="10">
        <f t="shared" si="1"/>
        <v>1.2</v>
      </c>
      <c r="J19" s="10">
        <v>0</v>
      </c>
      <c r="K19" s="10">
        <f t="shared" si="2"/>
        <v>3.2</v>
      </c>
      <c r="L19" s="17">
        <v>0.4</v>
      </c>
      <c r="M19" s="18">
        <f t="shared" si="3"/>
        <v>3.6</v>
      </c>
      <c r="N19" s="19">
        <f t="shared" si="4"/>
        <v>4.375</v>
      </c>
      <c r="O19" s="20">
        <f t="shared" si="5"/>
        <v>-0.77499999999999991</v>
      </c>
      <c r="P19" s="11"/>
      <c r="Q19" s="11"/>
      <c r="R19" s="11"/>
      <c r="U19" s="1"/>
      <c r="V19" s="1"/>
      <c r="W19" s="1"/>
      <c r="X19" s="1"/>
    </row>
    <row r="20" spans="1:24" ht="18.75">
      <c r="A20" s="8"/>
      <c r="B20" s="8">
        <v>700083217</v>
      </c>
      <c r="C20" s="47" t="s">
        <v>137</v>
      </c>
      <c r="D20" s="46"/>
      <c r="E20" s="10">
        <v>0</v>
      </c>
      <c r="F20" s="10">
        <v>60</v>
      </c>
      <c r="G20" s="39" t="s">
        <v>34</v>
      </c>
      <c r="H20" s="11">
        <f t="shared" si="0"/>
        <v>0</v>
      </c>
      <c r="I20" s="10">
        <f t="shared" si="1"/>
        <v>1.2</v>
      </c>
      <c r="J20" s="10">
        <v>0</v>
      </c>
      <c r="K20" s="10">
        <f t="shared" si="2"/>
        <v>1.2</v>
      </c>
      <c r="L20" s="17">
        <v>2</v>
      </c>
      <c r="M20" s="18">
        <f t="shared" si="3"/>
        <v>3.2</v>
      </c>
      <c r="N20" s="19">
        <f t="shared" si="4"/>
        <v>0</v>
      </c>
      <c r="O20" s="20">
        <f t="shared" si="5"/>
        <v>3.2</v>
      </c>
      <c r="P20" s="11"/>
      <c r="Q20" s="11"/>
      <c r="R20" s="11"/>
    </row>
    <row r="21" spans="1:24" ht="18.75">
      <c r="A21" s="9">
        <v>34</v>
      </c>
      <c r="B21" s="8">
        <v>2021794494</v>
      </c>
      <c r="C21" s="48" t="s">
        <v>136</v>
      </c>
      <c r="D21" s="49" t="s">
        <v>133</v>
      </c>
      <c r="E21" s="10">
        <v>2</v>
      </c>
      <c r="F21" s="10">
        <v>60</v>
      </c>
      <c r="G21" s="39" t="s">
        <v>34</v>
      </c>
      <c r="H21" s="11">
        <f t="shared" si="0"/>
        <v>2</v>
      </c>
      <c r="I21" s="10">
        <f t="shared" si="1"/>
        <v>1.2</v>
      </c>
      <c r="J21" s="10">
        <v>0</v>
      </c>
      <c r="K21" s="10">
        <f t="shared" si="2"/>
        <v>3.2</v>
      </c>
      <c r="L21" s="17">
        <v>-4.9999999999999822E-2</v>
      </c>
      <c r="M21" s="18">
        <f t="shared" si="3"/>
        <v>3.1500000000000004</v>
      </c>
      <c r="N21" s="19">
        <f t="shared" si="4"/>
        <v>0</v>
      </c>
      <c r="O21" s="20">
        <f t="shared" si="5"/>
        <v>3.1500000000000004</v>
      </c>
      <c r="P21" s="4"/>
      <c r="Q21" s="4"/>
      <c r="R21" s="4"/>
    </row>
    <row r="22" spans="1:24" ht="18.75">
      <c r="A22" s="8">
        <v>118</v>
      </c>
      <c r="B22" s="8">
        <v>2018112397</v>
      </c>
      <c r="C22" s="47" t="s">
        <v>152</v>
      </c>
      <c r="D22" s="48" t="s">
        <v>63</v>
      </c>
      <c r="E22" s="10">
        <v>3</v>
      </c>
      <c r="F22" s="10">
        <v>60</v>
      </c>
      <c r="G22" s="39" t="s">
        <v>34</v>
      </c>
      <c r="H22" s="11">
        <f t="shared" si="0"/>
        <v>3.5</v>
      </c>
      <c r="I22" s="10">
        <f t="shared" si="1"/>
        <v>1.2</v>
      </c>
      <c r="J22" s="10">
        <v>0</v>
      </c>
      <c r="K22" s="10">
        <f t="shared" si="2"/>
        <v>4.7</v>
      </c>
      <c r="L22" s="17">
        <v>-1.7249999999999996</v>
      </c>
      <c r="M22" s="18">
        <f t="shared" si="3"/>
        <v>2.9750000000000005</v>
      </c>
      <c r="N22" s="19">
        <f t="shared" si="4"/>
        <v>0</v>
      </c>
      <c r="O22" s="20">
        <f t="shared" si="5"/>
        <v>2.9750000000000005</v>
      </c>
      <c r="P22" s="4"/>
      <c r="Q22" s="4"/>
      <c r="R22" s="4"/>
    </row>
    <row r="23" spans="1:24" ht="18.75">
      <c r="A23" s="9"/>
      <c r="B23" s="8">
        <v>2092029101</v>
      </c>
      <c r="C23" s="47" t="s">
        <v>147</v>
      </c>
      <c r="D23" s="48"/>
      <c r="E23" s="10">
        <v>1</v>
      </c>
      <c r="F23" s="10">
        <v>60</v>
      </c>
      <c r="G23" s="39" t="s">
        <v>34</v>
      </c>
      <c r="H23" s="11">
        <f t="shared" si="0"/>
        <v>1</v>
      </c>
      <c r="I23" s="10">
        <f t="shared" si="1"/>
        <v>1.2</v>
      </c>
      <c r="J23" s="10">
        <v>0</v>
      </c>
      <c r="K23" s="10">
        <f t="shared" si="2"/>
        <v>2.2000000000000002</v>
      </c>
      <c r="L23" s="17">
        <v>0.52500000000000036</v>
      </c>
      <c r="M23" s="18">
        <f t="shared" si="3"/>
        <v>2.7250000000000005</v>
      </c>
      <c r="N23" s="19">
        <f t="shared" si="4"/>
        <v>0</v>
      </c>
      <c r="O23" s="20">
        <f t="shared" si="5"/>
        <v>2.7250000000000005</v>
      </c>
      <c r="P23" s="11"/>
      <c r="Q23" s="11"/>
      <c r="R23" s="32"/>
    </row>
    <row r="24" spans="1:24" ht="18.75">
      <c r="A24" s="9"/>
      <c r="B24" s="8">
        <v>910452107</v>
      </c>
      <c r="C24" s="48" t="s">
        <v>129</v>
      </c>
      <c r="D24" s="49"/>
      <c r="E24" s="10">
        <v>0</v>
      </c>
      <c r="F24" s="10">
        <v>60</v>
      </c>
      <c r="G24" s="39" t="s">
        <v>34</v>
      </c>
      <c r="H24" s="11">
        <f t="shared" si="0"/>
        <v>0</v>
      </c>
      <c r="I24" s="10">
        <f t="shared" si="1"/>
        <v>1.2</v>
      </c>
      <c r="J24" s="10">
        <v>0</v>
      </c>
      <c r="K24" s="10">
        <f t="shared" si="2"/>
        <v>1.2</v>
      </c>
      <c r="L24" s="17">
        <v>1.4</v>
      </c>
      <c r="M24" s="18">
        <f t="shared" si="3"/>
        <v>2.5999999999999996</v>
      </c>
      <c r="N24" s="19">
        <f t="shared" si="4"/>
        <v>0</v>
      </c>
      <c r="O24" s="20">
        <f t="shared" si="5"/>
        <v>2.5999999999999996</v>
      </c>
      <c r="P24" s="4"/>
      <c r="Q24" s="4"/>
      <c r="R24" s="4"/>
    </row>
    <row r="25" spans="1:24" ht="18.75">
      <c r="A25" s="9">
        <v>53</v>
      </c>
      <c r="B25" s="8">
        <v>500959924</v>
      </c>
      <c r="C25" s="47" t="s">
        <v>134</v>
      </c>
      <c r="D25" s="49" t="s">
        <v>16</v>
      </c>
      <c r="E25" s="10">
        <v>0</v>
      </c>
      <c r="F25" s="10">
        <v>30</v>
      </c>
      <c r="G25" s="39" t="s">
        <v>34</v>
      </c>
      <c r="H25" s="11">
        <f t="shared" si="0"/>
        <v>0</v>
      </c>
      <c r="I25" s="10">
        <f t="shared" si="1"/>
        <v>0.6</v>
      </c>
      <c r="J25" s="10">
        <v>0</v>
      </c>
      <c r="K25" s="10">
        <f t="shared" si="2"/>
        <v>0.6</v>
      </c>
      <c r="L25" s="17">
        <v>1.8250000000000002</v>
      </c>
      <c r="M25" s="18">
        <f t="shared" si="3"/>
        <v>2.4250000000000003</v>
      </c>
      <c r="N25" s="19">
        <f t="shared" si="4"/>
        <v>0</v>
      </c>
      <c r="O25" s="20">
        <f t="shared" si="5"/>
        <v>2.4250000000000003</v>
      </c>
      <c r="P25" s="4"/>
      <c r="Q25" s="4"/>
      <c r="R25" s="4"/>
    </row>
    <row r="26" spans="1:24" ht="18.75">
      <c r="A26" s="9"/>
      <c r="B26" s="8">
        <v>1078240937</v>
      </c>
      <c r="C26" s="48" t="s">
        <v>148</v>
      </c>
      <c r="D26" s="49" t="s">
        <v>149</v>
      </c>
      <c r="E26" s="10">
        <v>0</v>
      </c>
      <c r="F26" s="10">
        <v>40</v>
      </c>
      <c r="G26" s="39" t="s">
        <v>34</v>
      </c>
      <c r="H26" s="11">
        <f t="shared" si="0"/>
        <v>0</v>
      </c>
      <c r="I26" s="10">
        <f t="shared" si="1"/>
        <v>0.8</v>
      </c>
      <c r="J26" s="10">
        <v>0</v>
      </c>
      <c r="K26" s="10">
        <f t="shared" si="2"/>
        <v>0.8</v>
      </c>
      <c r="L26" s="17">
        <v>1.625</v>
      </c>
      <c r="M26" s="18">
        <f t="shared" si="3"/>
        <v>2.4249999999999998</v>
      </c>
      <c r="N26" s="19">
        <f t="shared" si="4"/>
        <v>0</v>
      </c>
      <c r="O26" s="20">
        <f t="shared" si="5"/>
        <v>2.4249999999999998</v>
      </c>
      <c r="P26" s="4"/>
      <c r="Q26" s="4"/>
      <c r="R26" s="4"/>
      <c r="S26" s="29"/>
      <c r="T26" s="28"/>
      <c r="U26" s="23"/>
      <c r="V26" s="23"/>
      <c r="W26" s="23"/>
      <c r="X26" s="23"/>
    </row>
    <row r="27" spans="1:24" ht="18.75">
      <c r="A27" s="8"/>
      <c r="B27" s="8">
        <v>610681537</v>
      </c>
      <c r="C27" s="47" t="s">
        <v>153</v>
      </c>
      <c r="D27" s="46"/>
      <c r="E27" s="10"/>
      <c r="F27" s="10">
        <v>59</v>
      </c>
      <c r="G27" s="39" t="s">
        <v>34</v>
      </c>
      <c r="H27" s="11">
        <f t="shared" si="0"/>
        <v>0</v>
      </c>
      <c r="I27" s="10">
        <f t="shared" si="1"/>
        <v>1.18</v>
      </c>
      <c r="J27" s="10"/>
      <c r="K27" s="10">
        <f t="shared" si="2"/>
        <v>1.18</v>
      </c>
      <c r="L27" s="17">
        <v>1.18</v>
      </c>
      <c r="M27" s="18">
        <f t="shared" si="3"/>
        <v>2.36</v>
      </c>
      <c r="N27" s="19">
        <f t="shared" si="4"/>
        <v>0</v>
      </c>
      <c r="O27" s="20">
        <f t="shared" si="5"/>
        <v>2.36</v>
      </c>
      <c r="P27" s="11"/>
      <c r="Q27" s="11"/>
      <c r="R27" s="32"/>
    </row>
    <row r="28" spans="1:24" ht="18.75">
      <c r="A28" s="8"/>
      <c r="B28" s="8">
        <v>1804880865</v>
      </c>
      <c r="C28" s="47" t="s">
        <v>151</v>
      </c>
      <c r="D28" s="48"/>
      <c r="E28" s="10">
        <v>1</v>
      </c>
      <c r="F28" s="10">
        <v>60</v>
      </c>
      <c r="G28" s="39" t="s">
        <v>34</v>
      </c>
      <c r="H28" s="11">
        <f t="shared" si="0"/>
        <v>1</v>
      </c>
      <c r="I28" s="10">
        <f t="shared" si="1"/>
        <v>1.2</v>
      </c>
      <c r="J28" s="10">
        <v>0</v>
      </c>
      <c r="K28" s="10">
        <f t="shared" si="2"/>
        <v>2.2000000000000002</v>
      </c>
      <c r="L28" s="17">
        <v>0.15000000000000036</v>
      </c>
      <c r="M28" s="18">
        <f t="shared" si="3"/>
        <v>2.3500000000000005</v>
      </c>
      <c r="N28" s="19">
        <f t="shared" si="4"/>
        <v>0</v>
      </c>
      <c r="O28" s="20">
        <f t="shared" si="5"/>
        <v>2.3500000000000005</v>
      </c>
      <c r="P28" s="4"/>
      <c r="Q28" s="4"/>
      <c r="R28" s="4"/>
    </row>
    <row r="29" spans="1:24" ht="18.75">
      <c r="A29" s="8">
        <v>212</v>
      </c>
      <c r="B29" s="8">
        <v>2133045883</v>
      </c>
      <c r="C29" s="47" t="s">
        <v>122</v>
      </c>
      <c r="D29" s="46"/>
      <c r="E29" s="10">
        <v>2</v>
      </c>
      <c r="F29" s="10">
        <v>60</v>
      </c>
      <c r="G29" s="39" t="s">
        <v>34</v>
      </c>
      <c r="H29" s="11">
        <f t="shared" si="0"/>
        <v>2</v>
      </c>
      <c r="I29" s="10">
        <f t="shared" si="1"/>
        <v>1.2</v>
      </c>
      <c r="J29" s="10">
        <v>0</v>
      </c>
      <c r="K29" s="10">
        <f t="shared" si="2"/>
        <v>3.2</v>
      </c>
      <c r="L29" s="17">
        <v>-0.92499999999999982</v>
      </c>
      <c r="M29" s="18">
        <f t="shared" si="3"/>
        <v>2.2750000000000004</v>
      </c>
      <c r="N29" s="19">
        <f t="shared" si="4"/>
        <v>0</v>
      </c>
      <c r="O29" s="20">
        <f t="shared" si="5"/>
        <v>2.2750000000000004</v>
      </c>
      <c r="P29" s="11"/>
      <c r="Q29" s="11"/>
      <c r="R29" s="11"/>
    </row>
    <row r="30" spans="1:24" ht="18.75">
      <c r="A30" s="8">
        <v>181</v>
      </c>
      <c r="B30" s="8">
        <v>1467442697</v>
      </c>
      <c r="C30" s="47" t="s">
        <v>73</v>
      </c>
      <c r="D30" s="46"/>
      <c r="E30" s="10">
        <v>0</v>
      </c>
      <c r="F30" s="10">
        <v>37</v>
      </c>
      <c r="G30" s="39" t="s">
        <v>34</v>
      </c>
      <c r="H30" s="11">
        <f t="shared" si="0"/>
        <v>0</v>
      </c>
      <c r="I30" s="10">
        <f t="shared" si="1"/>
        <v>0.74</v>
      </c>
      <c r="J30" s="10">
        <v>0</v>
      </c>
      <c r="K30" s="10">
        <f t="shared" si="2"/>
        <v>0.74</v>
      </c>
      <c r="L30" s="17">
        <v>1.2</v>
      </c>
      <c r="M30" s="18">
        <f t="shared" si="3"/>
        <v>1.94</v>
      </c>
      <c r="N30" s="19">
        <f t="shared" si="4"/>
        <v>0</v>
      </c>
      <c r="O30" s="20">
        <f t="shared" si="5"/>
        <v>1.94</v>
      </c>
      <c r="P30" s="4"/>
      <c r="Q30" s="4"/>
      <c r="R30" s="4"/>
    </row>
    <row r="31" spans="1:24" ht="18.75">
      <c r="A31" s="8">
        <v>176</v>
      </c>
      <c r="B31" s="8">
        <v>128748910</v>
      </c>
      <c r="C31" s="47" t="s">
        <v>70</v>
      </c>
      <c r="D31" s="46"/>
      <c r="E31" s="10">
        <v>2</v>
      </c>
      <c r="F31" s="10">
        <v>60</v>
      </c>
      <c r="G31" s="39" t="s">
        <v>34</v>
      </c>
      <c r="H31" s="11">
        <f t="shared" si="0"/>
        <v>2</v>
      </c>
      <c r="I31" s="10">
        <f t="shared" si="1"/>
        <v>1.2</v>
      </c>
      <c r="J31" s="10">
        <v>0</v>
      </c>
      <c r="K31" s="10">
        <f t="shared" si="2"/>
        <v>3.2</v>
      </c>
      <c r="L31" s="17">
        <v>-1.7249999999999996</v>
      </c>
      <c r="M31" s="18">
        <f t="shared" si="3"/>
        <v>1.4750000000000005</v>
      </c>
      <c r="N31" s="19">
        <f t="shared" si="4"/>
        <v>0</v>
      </c>
      <c r="O31" s="20">
        <f t="shared" si="5"/>
        <v>1.4750000000000005</v>
      </c>
      <c r="P31" s="11"/>
      <c r="Q31" s="11"/>
      <c r="R31" s="11"/>
    </row>
    <row r="32" spans="1:24" ht="18.75">
      <c r="A32" s="8"/>
      <c r="B32" s="8"/>
      <c r="C32" s="48" t="s">
        <v>159</v>
      </c>
      <c r="D32" s="46"/>
      <c r="E32" s="10">
        <v>1</v>
      </c>
      <c r="F32" s="10">
        <v>39</v>
      </c>
      <c r="G32" s="39" t="s">
        <v>34</v>
      </c>
      <c r="H32" s="11">
        <f t="shared" si="0"/>
        <v>1</v>
      </c>
      <c r="I32" s="10">
        <f t="shared" si="1"/>
        <v>0.78</v>
      </c>
      <c r="J32" s="10">
        <v>1</v>
      </c>
      <c r="K32" s="10">
        <f t="shared" si="2"/>
        <v>2.7800000000000002</v>
      </c>
      <c r="L32" s="17">
        <v>-1.5249999999999999</v>
      </c>
      <c r="M32" s="18">
        <f t="shared" si="3"/>
        <v>1.2550000000000003</v>
      </c>
      <c r="N32" s="19">
        <f t="shared" si="4"/>
        <v>0</v>
      </c>
      <c r="O32" s="20">
        <f t="shared" si="5"/>
        <v>1.2550000000000003</v>
      </c>
      <c r="P32" s="11"/>
      <c r="Q32" s="11"/>
      <c r="R32" s="11"/>
    </row>
    <row r="33" spans="1:18" ht="18.75">
      <c r="A33" s="8">
        <v>155</v>
      </c>
      <c r="B33" s="8">
        <v>1532576874</v>
      </c>
      <c r="C33" s="47" t="s">
        <v>140</v>
      </c>
      <c r="D33" s="47" t="s">
        <v>61</v>
      </c>
      <c r="E33" s="10">
        <v>0</v>
      </c>
      <c r="F33" s="10">
        <v>0</v>
      </c>
      <c r="G33" s="39" t="s">
        <v>34</v>
      </c>
      <c r="H33" s="11">
        <f t="shared" si="0"/>
        <v>0</v>
      </c>
      <c r="I33" s="10">
        <f t="shared" si="1"/>
        <v>0</v>
      </c>
      <c r="J33" s="10">
        <v>0</v>
      </c>
      <c r="K33" s="10">
        <f t="shared" si="2"/>
        <v>0</v>
      </c>
      <c r="L33" s="17">
        <v>2</v>
      </c>
      <c r="M33" s="18">
        <f t="shared" si="3"/>
        <v>2</v>
      </c>
      <c r="N33" s="19">
        <f t="shared" si="4"/>
        <v>0</v>
      </c>
      <c r="O33" s="20">
        <f t="shared" si="5"/>
        <v>2</v>
      </c>
      <c r="P33" s="11"/>
      <c r="Q33" s="11"/>
      <c r="R33" s="31"/>
    </row>
    <row r="34" spans="1:18" ht="18.75">
      <c r="A34" s="8">
        <v>180</v>
      </c>
      <c r="B34" s="8">
        <v>24633249</v>
      </c>
      <c r="C34" s="48" t="s">
        <v>72</v>
      </c>
      <c r="D34" s="46"/>
      <c r="E34" s="10">
        <v>0</v>
      </c>
      <c r="F34" s="10">
        <v>0</v>
      </c>
      <c r="G34" s="39" t="s">
        <v>34</v>
      </c>
      <c r="H34" s="11">
        <f t="shared" si="0"/>
        <v>0</v>
      </c>
      <c r="I34" s="10">
        <f t="shared" si="1"/>
        <v>0</v>
      </c>
      <c r="J34" s="10">
        <v>0</v>
      </c>
      <c r="K34" s="10">
        <f t="shared" si="2"/>
        <v>0</v>
      </c>
      <c r="L34" s="17">
        <v>-2.5249999999999999</v>
      </c>
      <c r="M34" s="18">
        <f t="shared" si="3"/>
        <v>-2.5249999999999999</v>
      </c>
      <c r="N34" s="19">
        <f t="shared" si="4"/>
        <v>0</v>
      </c>
      <c r="O34" s="20">
        <f t="shared" si="5"/>
        <v>-2.5249999999999999</v>
      </c>
      <c r="P34" s="11"/>
      <c r="Q34" s="11"/>
      <c r="R34" s="11"/>
    </row>
    <row r="35" spans="1:18" ht="18.75">
      <c r="A35" s="62"/>
      <c r="B35" s="62"/>
      <c r="C35" s="63"/>
      <c r="D35" s="64"/>
      <c r="E35" s="65"/>
      <c r="F35" s="65"/>
      <c r="G35" s="66"/>
      <c r="H35" s="67"/>
      <c r="I35" s="65"/>
      <c r="J35" s="65"/>
      <c r="K35" s="65"/>
      <c r="L35" s="68"/>
      <c r="M35" s="69"/>
      <c r="N35" s="70"/>
      <c r="O35" s="71"/>
      <c r="P35" s="72"/>
      <c r="Q35" s="72"/>
      <c r="R35" s="72"/>
    </row>
    <row r="36" spans="1:18" ht="18.75">
      <c r="A36" s="8">
        <v>169</v>
      </c>
      <c r="B36" s="8">
        <v>1280938546</v>
      </c>
      <c r="C36" s="47" t="s">
        <v>89</v>
      </c>
      <c r="D36" s="45"/>
      <c r="E36" s="10">
        <v>0</v>
      </c>
      <c r="F36" s="10">
        <v>0</v>
      </c>
      <c r="G36" s="39" t="s">
        <v>34</v>
      </c>
      <c r="H36" s="11">
        <f>E36+IF(E36&gt;2,(E36-2)*0.5,0)</f>
        <v>0</v>
      </c>
      <c r="I36" s="10">
        <f t="shared" ref="I36:I94" si="6">F36/$T$15</f>
        <v>0</v>
      </c>
      <c r="J36" s="10">
        <v>0</v>
      </c>
      <c r="K36" s="10">
        <f>SUM(I36+H36+J36)</f>
        <v>0</v>
      </c>
      <c r="L36" s="17">
        <v>0</v>
      </c>
      <c r="M36" s="18">
        <f>K36+L36</f>
        <v>0</v>
      </c>
      <c r="N36" s="19">
        <f t="shared" ref="N36:N94" si="7">VLOOKUP(G36,$S$3:$T$11,2,FALSE)</f>
        <v>0</v>
      </c>
      <c r="O36" s="20">
        <f>M36-N36</f>
        <v>0</v>
      </c>
      <c r="P36" s="4"/>
      <c r="Q36" s="4"/>
      <c r="R36" s="4"/>
    </row>
    <row r="37" spans="1:18" ht="18.75">
      <c r="A37" s="8">
        <v>130</v>
      </c>
      <c r="B37" s="8">
        <v>1957463045</v>
      </c>
      <c r="C37" s="47" t="s">
        <v>44</v>
      </c>
      <c r="D37" s="50"/>
      <c r="E37" s="10">
        <v>0</v>
      </c>
      <c r="F37" s="10">
        <v>0</v>
      </c>
      <c r="G37" s="39" t="s">
        <v>34</v>
      </c>
      <c r="H37" s="11">
        <f t="shared" ref="H37:H94" si="8">E37+IF(E37&gt;2,(E37-2)*0.5,0)</f>
        <v>0</v>
      </c>
      <c r="I37" s="10">
        <f t="shared" si="6"/>
        <v>0</v>
      </c>
      <c r="J37" s="10">
        <v>0</v>
      </c>
      <c r="K37" s="10">
        <f t="shared" ref="K37:K94" si="9">SUM(I37+H37+J37)</f>
        <v>0</v>
      </c>
      <c r="L37" s="17">
        <v>5</v>
      </c>
      <c r="M37" s="18">
        <f t="shared" ref="M37:M94" si="10">K37+L37</f>
        <v>5</v>
      </c>
      <c r="N37" s="19">
        <f t="shared" si="7"/>
        <v>0</v>
      </c>
      <c r="O37" s="20">
        <f t="shared" ref="O37:O94" si="11">M37-N37</f>
        <v>5</v>
      </c>
      <c r="P37" s="11"/>
      <c r="Q37" s="11"/>
      <c r="R37" s="31"/>
    </row>
    <row r="38" spans="1:18" ht="18.75">
      <c r="A38" s="9">
        <v>26</v>
      </c>
      <c r="B38" s="8">
        <v>1754932067</v>
      </c>
      <c r="C38" s="47" t="s">
        <v>76</v>
      </c>
      <c r="D38" s="48" t="s">
        <v>12</v>
      </c>
      <c r="E38" s="10">
        <v>0</v>
      </c>
      <c r="F38" s="10">
        <v>0</v>
      </c>
      <c r="G38" s="39" t="s">
        <v>34</v>
      </c>
      <c r="H38" s="11">
        <f t="shared" si="8"/>
        <v>0</v>
      </c>
      <c r="I38" s="10">
        <f t="shared" si="6"/>
        <v>0</v>
      </c>
      <c r="J38" s="10">
        <v>0</v>
      </c>
      <c r="K38" s="10">
        <f t="shared" si="9"/>
        <v>0</v>
      </c>
      <c r="L38" s="17">
        <v>5</v>
      </c>
      <c r="M38" s="18">
        <f t="shared" si="10"/>
        <v>5</v>
      </c>
      <c r="N38" s="19">
        <f t="shared" si="7"/>
        <v>0</v>
      </c>
      <c r="O38" s="20">
        <f t="shared" si="11"/>
        <v>5</v>
      </c>
      <c r="P38" s="11"/>
      <c r="Q38" s="11"/>
      <c r="R38" s="11"/>
    </row>
    <row r="39" spans="1:18" ht="18.75">
      <c r="A39" s="8">
        <v>187</v>
      </c>
      <c r="B39" s="8">
        <v>1241038267</v>
      </c>
      <c r="C39" s="47" t="s">
        <v>97</v>
      </c>
      <c r="D39" s="46"/>
      <c r="E39" s="10">
        <v>0</v>
      </c>
      <c r="F39" s="10">
        <v>0</v>
      </c>
      <c r="G39" s="39" t="s">
        <v>34</v>
      </c>
      <c r="H39" s="11">
        <f t="shared" si="8"/>
        <v>0</v>
      </c>
      <c r="I39" s="10">
        <f t="shared" si="6"/>
        <v>0</v>
      </c>
      <c r="J39" s="10">
        <v>0</v>
      </c>
      <c r="K39" s="10">
        <f t="shared" si="9"/>
        <v>0</v>
      </c>
      <c r="L39" s="17">
        <v>5</v>
      </c>
      <c r="M39" s="18">
        <f t="shared" si="10"/>
        <v>5</v>
      </c>
      <c r="N39" s="19">
        <f t="shared" si="7"/>
        <v>0</v>
      </c>
      <c r="O39" s="20">
        <f t="shared" si="11"/>
        <v>5</v>
      </c>
      <c r="P39" s="4"/>
      <c r="Q39" s="4"/>
      <c r="R39" s="4"/>
    </row>
    <row r="40" spans="1:18" ht="18.75">
      <c r="A40" s="8">
        <v>188</v>
      </c>
      <c r="B40" s="8">
        <v>1504984957</v>
      </c>
      <c r="C40" s="47" t="s">
        <v>98</v>
      </c>
      <c r="D40" s="46"/>
      <c r="E40" s="10">
        <v>0</v>
      </c>
      <c r="F40" s="10">
        <v>0</v>
      </c>
      <c r="G40" s="39" t="s">
        <v>34</v>
      </c>
      <c r="H40" s="11">
        <f t="shared" si="8"/>
        <v>0</v>
      </c>
      <c r="I40" s="10">
        <f t="shared" si="6"/>
        <v>0</v>
      </c>
      <c r="J40" s="10">
        <v>0</v>
      </c>
      <c r="K40" s="10">
        <f t="shared" si="9"/>
        <v>0</v>
      </c>
      <c r="L40" s="17">
        <v>5</v>
      </c>
      <c r="M40" s="18">
        <f t="shared" si="10"/>
        <v>5</v>
      </c>
      <c r="N40" s="19">
        <f t="shared" si="7"/>
        <v>0</v>
      </c>
      <c r="O40" s="20">
        <f t="shared" si="11"/>
        <v>5</v>
      </c>
      <c r="P40" s="4"/>
      <c r="Q40" s="4"/>
      <c r="R40" s="4"/>
    </row>
    <row r="41" spans="1:18" ht="18.75">
      <c r="A41" s="8">
        <v>205</v>
      </c>
      <c r="B41" s="8">
        <v>141303545</v>
      </c>
      <c r="C41" s="47" t="s">
        <v>114</v>
      </c>
      <c r="D41" s="46"/>
      <c r="E41" s="10">
        <v>0</v>
      </c>
      <c r="F41" s="10">
        <v>0</v>
      </c>
      <c r="G41" s="39" t="s">
        <v>34</v>
      </c>
      <c r="H41" s="11">
        <f t="shared" si="8"/>
        <v>0</v>
      </c>
      <c r="I41" s="10">
        <f t="shared" si="6"/>
        <v>0</v>
      </c>
      <c r="J41" s="10">
        <v>0</v>
      </c>
      <c r="K41" s="10">
        <f t="shared" si="9"/>
        <v>0</v>
      </c>
      <c r="L41" s="17">
        <v>5</v>
      </c>
      <c r="M41" s="18">
        <f t="shared" si="10"/>
        <v>5</v>
      </c>
      <c r="N41" s="19">
        <f t="shared" si="7"/>
        <v>0</v>
      </c>
      <c r="O41" s="20">
        <f t="shared" si="11"/>
        <v>5</v>
      </c>
      <c r="P41" s="4"/>
      <c r="Q41" s="4"/>
      <c r="R41" s="4"/>
    </row>
    <row r="42" spans="1:18" ht="18.75">
      <c r="A42" s="8">
        <v>182</v>
      </c>
      <c r="B42" s="8">
        <v>828260319</v>
      </c>
      <c r="C42" s="47" t="s">
        <v>92</v>
      </c>
      <c r="D42" s="46"/>
      <c r="E42" s="10">
        <v>0</v>
      </c>
      <c r="F42" s="10">
        <v>0</v>
      </c>
      <c r="G42" s="39" t="s">
        <v>34</v>
      </c>
      <c r="H42" s="11">
        <f t="shared" si="8"/>
        <v>0</v>
      </c>
      <c r="I42" s="10">
        <f t="shared" si="6"/>
        <v>0</v>
      </c>
      <c r="J42" s="10">
        <v>0</v>
      </c>
      <c r="K42" s="10">
        <f t="shared" si="9"/>
        <v>0</v>
      </c>
      <c r="L42" s="17">
        <v>5</v>
      </c>
      <c r="M42" s="18">
        <f t="shared" si="10"/>
        <v>5</v>
      </c>
      <c r="N42" s="19">
        <f t="shared" si="7"/>
        <v>0</v>
      </c>
      <c r="O42" s="20">
        <f t="shared" si="11"/>
        <v>5</v>
      </c>
      <c r="P42" s="4"/>
      <c r="Q42" s="4"/>
      <c r="R42" s="4"/>
    </row>
    <row r="43" spans="1:18" ht="18.75">
      <c r="A43" s="9">
        <v>82</v>
      </c>
      <c r="B43" s="8">
        <v>982362214</v>
      </c>
      <c r="C43" s="47" t="s">
        <v>80</v>
      </c>
      <c r="D43" s="48" t="s">
        <v>25</v>
      </c>
      <c r="E43" s="10">
        <v>0</v>
      </c>
      <c r="F43" s="10">
        <v>0</v>
      </c>
      <c r="G43" s="39" t="s">
        <v>34</v>
      </c>
      <c r="H43" s="11">
        <f t="shared" si="8"/>
        <v>0</v>
      </c>
      <c r="I43" s="10">
        <f t="shared" si="6"/>
        <v>0</v>
      </c>
      <c r="J43" s="10">
        <v>0</v>
      </c>
      <c r="K43" s="10">
        <f t="shared" si="9"/>
        <v>0</v>
      </c>
      <c r="L43" s="17">
        <v>5</v>
      </c>
      <c r="M43" s="18">
        <f t="shared" si="10"/>
        <v>5</v>
      </c>
      <c r="N43" s="19">
        <f t="shared" si="7"/>
        <v>0</v>
      </c>
      <c r="O43" s="20">
        <f t="shared" si="11"/>
        <v>5</v>
      </c>
      <c r="P43" s="11"/>
      <c r="Q43" s="11"/>
      <c r="R43" s="11"/>
    </row>
    <row r="44" spans="1:18" ht="18.75">
      <c r="A44" s="8">
        <v>191</v>
      </c>
      <c r="B44" s="8">
        <v>1037173857</v>
      </c>
      <c r="C44" s="47" t="s">
        <v>101</v>
      </c>
      <c r="D44" s="46"/>
      <c r="E44" s="10">
        <v>0</v>
      </c>
      <c r="F44" s="10">
        <v>0</v>
      </c>
      <c r="G44" s="39" t="s">
        <v>34</v>
      </c>
      <c r="H44" s="11">
        <f t="shared" si="8"/>
        <v>0</v>
      </c>
      <c r="I44" s="10">
        <f t="shared" si="6"/>
        <v>0</v>
      </c>
      <c r="J44" s="10">
        <v>0</v>
      </c>
      <c r="K44" s="10">
        <f t="shared" si="9"/>
        <v>0</v>
      </c>
      <c r="L44" s="17">
        <v>5</v>
      </c>
      <c r="M44" s="18">
        <f t="shared" si="10"/>
        <v>5</v>
      </c>
      <c r="N44" s="19">
        <f t="shared" si="7"/>
        <v>0</v>
      </c>
      <c r="O44" s="20">
        <f t="shared" si="11"/>
        <v>5</v>
      </c>
      <c r="P44" s="4"/>
      <c r="Q44" s="4"/>
      <c r="R44" s="4"/>
    </row>
    <row r="45" spans="1:18" ht="18.75">
      <c r="A45" s="8">
        <v>128</v>
      </c>
      <c r="B45" s="8">
        <v>1214614935</v>
      </c>
      <c r="C45" s="47" t="s">
        <v>85</v>
      </c>
      <c r="D45" s="50" t="s">
        <v>53</v>
      </c>
      <c r="E45" s="10">
        <v>0</v>
      </c>
      <c r="F45" s="10">
        <v>0</v>
      </c>
      <c r="G45" s="39" t="s">
        <v>34</v>
      </c>
      <c r="H45" s="11">
        <f t="shared" si="8"/>
        <v>0</v>
      </c>
      <c r="I45" s="10">
        <f t="shared" si="6"/>
        <v>0</v>
      </c>
      <c r="J45" s="10">
        <v>0</v>
      </c>
      <c r="K45" s="10">
        <f t="shared" si="9"/>
        <v>0</v>
      </c>
      <c r="L45" s="17">
        <v>5</v>
      </c>
      <c r="M45" s="18">
        <f t="shared" si="10"/>
        <v>5</v>
      </c>
      <c r="N45" s="19">
        <f t="shared" si="7"/>
        <v>0</v>
      </c>
      <c r="O45" s="20">
        <f t="shared" si="11"/>
        <v>5</v>
      </c>
      <c r="P45" s="11"/>
      <c r="Q45" s="11"/>
      <c r="R45" s="31"/>
    </row>
    <row r="46" spans="1:18" ht="18.75">
      <c r="A46" s="9">
        <v>46</v>
      </c>
      <c r="B46" s="8">
        <v>2109182835</v>
      </c>
      <c r="C46" s="47" t="s">
        <v>79</v>
      </c>
      <c r="D46" s="48" t="s">
        <v>15</v>
      </c>
      <c r="E46" s="10">
        <v>0</v>
      </c>
      <c r="F46" s="10">
        <v>0</v>
      </c>
      <c r="G46" s="39" t="s">
        <v>34</v>
      </c>
      <c r="H46" s="11">
        <f t="shared" si="8"/>
        <v>0</v>
      </c>
      <c r="I46" s="10">
        <f t="shared" si="6"/>
        <v>0</v>
      </c>
      <c r="J46" s="10">
        <v>0</v>
      </c>
      <c r="K46" s="10">
        <f t="shared" si="9"/>
        <v>0</v>
      </c>
      <c r="L46" s="17">
        <v>5</v>
      </c>
      <c r="M46" s="18">
        <f t="shared" si="10"/>
        <v>5</v>
      </c>
      <c r="N46" s="19">
        <f t="shared" si="7"/>
        <v>0</v>
      </c>
      <c r="O46" s="20">
        <f t="shared" si="11"/>
        <v>5</v>
      </c>
      <c r="P46" s="11"/>
      <c r="Q46" s="11"/>
      <c r="R46" s="11"/>
    </row>
    <row r="47" spans="1:18" ht="18.75">
      <c r="A47" s="9">
        <v>120</v>
      </c>
      <c r="B47" s="8">
        <v>171422146</v>
      </c>
      <c r="C47" s="47" t="s">
        <v>83</v>
      </c>
      <c r="D47" s="48" t="s">
        <v>47</v>
      </c>
      <c r="E47" s="10">
        <v>0</v>
      </c>
      <c r="F47" s="10">
        <v>0</v>
      </c>
      <c r="G47" s="39" t="s">
        <v>34</v>
      </c>
      <c r="H47" s="11">
        <f t="shared" si="8"/>
        <v>0</v>
      </c>
      <c r="I47" s="10">
        <f t="shared" si="6"/>
        <v>0</v>
      </c>
      <c r="J47" s="10">
        <v>0</v>
      </c>
      <c r="K47" s="10">
        <f t="shared" si="9"/>
        <v>0</v>
      </c>
      <c r="L47" s="17">
        <v>5</v>
      </c>
      <c r="M47" s="18">
        <f t="shared" si="10"/>
        <v>5</v>
      </c>
      <c r="N47" s="19">
        <f t="shared" si="7"/>
        <v>0</v>
      </c>
      <c r="O47" s="20">
        <f t="shared" si="11"/>
        <v>5</v>
      </c>
      <c r="P47" s="11"/>
      <c r="Q47" s="11"/>
      <c r="R47" s="32"/>
    </row>
    <row r="48" spans="1:18" ht="18.75">
      <c r="A48" s="8">
        <v>143</v>
      </c>
      <c r="B48" s="8">
        <v>1963007427</v>
      </c>
      <c r="C48" s="47" t="s">
        <v>87</v>
      </c>
      <c r="D48" s="47" t="s">
        <v>58</v>
      </c>
      <c r="E48" s="10">
        <v>0</v>
      </c>
      <c r="F48" s="10">
        <v>0</v>
      </c>
      <c r="G48" s="39" t="s">
        <v>34</v>
      </c>
      <c r="H48" s="11">
        <f t="shared" si="8"/>
        <v>0</v>
      </c>
      <c r="I48" s="10">
        <f t="shared" si="6"/>
        <v>0</v>
      </c>
      <c r="J48" s="10">
        <v>0</v>
      </c>
      <c r="K48" s="10">
        <f t="shared" si="9"/>
        <v>0</v>
      </c>
      <c r="L48" s="17">
        <v>5</v>
      </c>
      <c r="M48" s="18">
        <f t="shared" si="10"/>
        <v>5</v>
      </c>
      <c r="N48" s="19">
        <f t="shared" si="7"/>
        <v>0</v>
      </c>
      <c r="O48" s="20">
        <f t="shared" si="11"/>
        <v>5</v>
      </c>
      <c r="P48" s="11"/>
      <c r="Q48" s="11"/>
      <c r="R48" s="31"/>
    </row>
    <row r="49" spans="1:24" ht="18.75">
      <c r="A49" s="8">
        <v>190</v>
      </c>
      <c r="B49" s="8">
        <v>684634207</v>
      </c>
      <c r="C49" s="47" t="s">
        <v>100</v>
      </c>
      <c r="D49" s="46"/>
      <c r="E49" s="10">
        <v>0</v>
      </c>
      <c r="F49" s="10">
        <v>0</v>
      </c>
      <c r="G49" s="39" t="s">
        <v>34</v>
      </c>
      <c r="H49" s="11">
        <f t="shared" si="8"/>
        <v>0</v>
      </c>
      <c r="I49" s="10">
        <f t="shared" si="6"/>
        <v>0</v>
      </c>
      <c r="J49" s="10">
        <v>0</v>
      </c>
      <c r="K49" s="10">
        <f t="shared" si="9"/>
        <v>0</v>
      </c>
      <c r="L49" s="17">
        <v>5</v>
      </c>
      <c r="M49" s="18">
        <f t="shared" si="10"/>
        <v>5</v>
      </c>
      <c r="N49" s="19">
        <f t="shared" si="7"/>
        <v>0</v>
      </c>
      <c r="O49" s="20">
        <f t="shared" si="11"/>
        <v>5</v>
      </c>
      <c r="P49" s="4"/>
      <c r="Q49" s="4"/>
      <c r="R49" s="4"/>
      <c r="S49" s="1"/>
      <c r="T49" s="1"/>
      <c r="U49" s="1"/>
      <c r="V49" s="1"/>
      <c r="W49" s="1"/>
      <c r="X49" s="1"/>
    </row>
    <row r="50" spans="1:24" ht="18.75">
      <c r="A50" s="8">
        <v>186</v>
      </c>
      <c r="B50" s="8">
        <v>595953188</v>
      </c>
      <c r="C50" s="47" t="s">
        <v>96</v>
      </c>
      <c r="D50" s="46"/>
      <c r="E50" s="10">
        <v>0</v>
      </c>
      <c r="F50" s="10">
        <v>0</v>
      </c>
      <c r="G50" s="39" t="s">
        <v>34</v>
      </c>
      <c r="H50" s="11">
        <f t="shared" si="8"/>
        <v>0</v>
      </c>
      <c r="I50" s="10">
        <f t="shared" si="6"/>
        <v>0</v>
      </c>
      <c r="J50" s="10">
        <v>0</v>
      </c>
      <c r="K50" s="10">
        <f t="shared" si="9"/>
        <v>0</v>
      </c>
      <c r="L50" s="17">
        <v>5</v>
      </c>
      <c r="M50" s="18">
        <f t="shared" si="10"/>
        <v>5</v>
      </c>
      <c r="N50" s="19">
        <f t="shared" si="7"/>
        <v>0</v>
      </c>
      <c r="O50" s="20">
        <f t="shared" si="11"/>
        <v>5</v>
      </c>
      <c r="P50" s="4"/>
      <c r="Q50" s="4"/>
      <c r="R50" s="4"/>
      <c r="S50" s="1"/>
      <c r="T50" s="1"/>
      <c r="U50" s="1"/>
      <c r="V50" s="1"/>
      <c r="W50" s="1"/>
      <c r="X50" s="1"/>
    </row>
    <row r="51" spans="1:24" ht="18.75">
      <c r="A51" s="8">
        <v>198</v>
      </c>
      <c r="B51" s="8">
        <v>723448640</v>
      </c>
      <c r="C51" s="47" t="s">
        <v>108</v>
      </c>
      <c r="D51" s="46"/>
      <c r="E51" s="10">
        <v>0</v>
      </c>
      <c r="F51" s="10">
        <v>0</v>
      </c>
      <c r="G51" s="39" t="s">
        <v>34</v>
      </c>
      <c r="H51" s="11">
        <f t="shared" si="8"/>
        <v>0</v>
      </c>
      <c r="I51" s="10">
        <f t="shared" si="6"/>
        <v>0</v>
      </c>
      <c r="J51" s="10">
        <v>0</v>
      </c>
      <c r="K51" s="10">
        <f t="shared" si="9"/>
        <v>0</v>
      </c>
      <c r="L51" s="17">
        <v>5</v>
      </c>
      <c r="M51" s="18">
        <f t="shared" si="10"/>
        <v>5</v>
      </c>
      <c r="N51" s="19">
        <f t="shared" si="7"/>
        <v>0</v>
      </c>
      <c r="O51" s="20">
        <f t="shared" si="11"/>
        <v>5</v>
      </c>
      <c r="P51" s="4"/>
      <c r="Q51" s="4"/>
      <c r="R51" s="4"/>
      <c r="S51" s="1"/>
      <c r="T51" s="1"/>
      <c r="U51" s="1"/>
      <c r="V51" s="1"/>
      <c r="W51" s="1"/>
      <c r="X51" s="1"/>
    </row>
    <row r="52" spans="1:24" ht="18.75">
      <c r="A52" s="8">
        <v>208</v>
      </c>
      <c r="B52" s="8">
        <v>92129464</v>
      </c>
      <c r="C52" s="47" t="s">
        <v>118</v>
      </c>
      <c r="D52" s="46"/>
      <c r="E52" s="10">
        <v>0</v>
      </c>
      <c r="F52" s="10">
        <v>0</v>
      </c>
      <c r="G52" s="39" t="s">
        <v>34</v>
      </c>
      <c r="H52" s="11">
        <f t="shared" si="8"/>
        <v>0</v>
      </c>
      <c r="I52" s="10">
        <f t="shared" si="6"/>
        <v>0</v>
      </c>
      <c r="J52" s="10">
        <v>0</v>
      </c>
      <c r="K52" s="10">
        <f t="shared" si="9"/>
        <v>0</v>
      </c>
      <c r="L52" s="17">
        <v>5</v>
      </c>
      <c r="M52" s="18">
        <f t="shared" si="10"/>
        <v>5</v>
      </c>
      <c r="N52" s="19">
        <f t="shared" si="7"/>
        <v>0</v>
      </c>
      <c r="O52" s="20">
        <f t="shared" si="11"/>
        <v>5</v>
      </c>
      <c r="P52" s="4"/>
      <c r="Q52" s="4"/>
      <c r="R52" s="4"/>
      <c r="S52" s="1"/>
      <c r="T52" s="1"/>
      <c r="U52" s="1"/>
      <c r="V52" s="1"/>
      <c r="W52" s="1"/>
      <c r="X52" s="1"/>
    </row>
    <row r="53" spans="1:24" ht="18.75">
      <c r="A53" s="8">
        <v>209</v>
      </c>
      <c r="B53" s="8">
        <v>1525950050</v>
      </c>
      <c r="C53" s="47" t="s">
        <v>119</v>
      </c>
      <c r="D53" s="46"/>
      <c r="E53" s="10">
        <v>0</v>
      </c>
      <c r="F53" s="10">
        <v>0</v>
      </c>
      <c r="G53" s="39" t="s">
        <v>34</v>
      </c>
      <c r="H53" s="11">
        <f t="shared" si="8"/>
        <v>0</v>
      </c>
      <c r="I53" s="10">
        <f t="shared" si="6"/>
        <v>0</v>
      </c>
      <c r="J53" s="10">
        <v>0</v>
      </c>
      <c r="K53" s="10">
        <f t="shared" si="9"/>
        <v>0</v>
      </c>
      <c r="L53" s="17">
        <v>5</v>
      </c>
      <c r="M53" s="18">
        <f t="shared" si="10"/>
        <v>5</v>
      </c>
      <c r="N53" s="19">
        <f t="shared" si="7"/>
        <v>0</v>
      </c>
      <c r="O53" s="20">
        <f t="shared" si="11"/>
        <v>5</v>
      </c>
      <c r="P53" s="4"/>
      <c r="Q53" s="4"/>
      <c r="R53" s="4"/>
      <c r="S53" s="1"/>
      <c r="T53" s="1"/>
      <c r="U53" s="1"/>
      <c r="V53" s="1"/>
      <c r="W53" s="1"/>
      <c r="X53" s="1"/>
    </row>
    <row r="54" spans="1:24" ht="18.75">
      <c r="A54" s="8">
        <v>210</v>
      </c>
      <c r="B54" s="8">
        <v>1675792665</v>
      </c>
      <c r="C54" s="47" t="s">
        <v>120</v>
      </c>
      <c r="D54" s="46"/>
      <c r="E54" s="10">
        <v>0</v>
      </c>
      <c r="F54" s="10">
        <v>0</v>
      </c>
      <c r="G54" s="39" t="s">
        <v>34</v>
      </c>
      <c r="H54" s="11">
        <f t="shared" si="8"/>
        <v>0</v>
      </c>
      <c r="I54" s="10">
        <f t="shared" si="6"/>
        <v>0</v>
      </c>
      <c r="J54" s="10">
        <v>0</v>
      </c>
      <c r="K54" s="10">
        <f t="shared" si="9"/>
        <v>0</v>
      </c>
      <c r="L54" s="17">
        <v>3.5</v>
      </c>
      <c r="M54" s="18">
        <f t="shared" si="10"/>
        <v>3.5</v>
      </c>
      <c r="N54" s="19">
        <f t="shared" si="7"/>
        <v>0</v>
      </c>
      <c r="O54" s="20">
        <f t="shared" si="11"/>
        <v>3.5</v>
      </c>
      <c r="P54" s="4"/>
      <c r="Q54" s="4"/>
      <c r="R54" s="4"/>
      <c r="S54" s="1"/>
      <c r="T54" s="1"/>
      <c r="U54" s="1"/>
      <c r="V54" s="1"/>
      <c r="W54" s="1"/>
      <c r="X54" s="1"/>
    </row>
    <row r="55" spans="1:24" ht="18.75">
      <c r="A55" s="8">
        <v>183</v>
      </c>
      <c r="B55" s="8">
        <v>1250030371</v>
      </c>
      <c r="C55" s="47" t="s">
        <v>123</v>
      </c>
      <c r="D55" s="47" t="s">
        <v>93</v>
      </c>
      <c r="E55" s="10">
        <v>0</v>
      </c>
      <c r="F55" s="10">
        <v>0</v>
      </c>
      <c r="G55" s="39" t="s">
        <v>34</v>
      </c>
      <c r="H55" s="11">
        <f t="shared" si="8"/>
        <v>0</v>
      </c>
      <c r="I55" s="10">
        <f t="shared" si="6"/>
        <v>0</v>
      </c>
      <c r="J55" s="10">
        <v>0</v>
      </c>
      <c r="K55" s="10">
        <f t="shared" si="9"/>
        <v>0</v>
      </c>
      <c r="L55" s="17">
        <v>3.5</v>
      </c>
      <c r="M55" s="18">
        <f t="shared" si="10"/>
        <v>3.5</v>
      </c>
      <c r="N55" s="19">
        <f t="shared" si="7"/>
        <v>0</v>
      </c>
      <c r="O55" s="20">
        <f t="shared" si="11"/>
        <v>3.5</v>
      </c>
      <c r="P55" s="4"/>
      <c r="Q55" s="4"/>
      <c r="R55" s="4"/>
      <c r="S55" s="1"/>
      <c r="T55" s="1"/>
      <c r="U55" s="1"/>
      <c r="V55" s="1"/>
      <c r="W55" s="1"/>
      <c r="X55" s="1"/>
    </row>
    <row r="56" spans="1:24" ht="18.75">
      <c r="A56" s="8">
        <v>196</v>
      </c>
      <c r="B56" s="8">
        <v>1065641844</v>
      </c>
      <c r="C56" s="47" t="s">
        <v>106</v>
      </c>
      <c r="D56" s="46"/>
      <c r="E56" s="10">
        <v>0</v>
      </c>
      <c r="F56" s="10">
        <v>0</v>
      </c>
      <c r="G56" s="39" t="s">
        <v>34</v>
      </c>
      <c r="H56" s="11">
        <f t="shared" si="8"/>
        <v>0</v>
      </c>
      <c r="I56" s="10">
        <f t="shared" si="6"/>
        <v>0</v>
      </c>
      <c r="J56" s="10">
        <v>0</v>
      </c>
      <c r="K56" s="10">
        <f t="shared" si="9"/>
        <v>0</v>
      </c>
      <c r="L56" s="17">
        <v>3.5</v>
      </c>
      <c r="M56" s="18">
        <f t="shared" si="10"/>
        <v>3.5</v>
      </c>
      <c r="N56" s="19">
        <f t="shared" si="7"/>
        <v>0</v>
      </c>
      <c r="O56" s="20">
        <f t="shared" si="11"/>
        <v>3.5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203</v>
      </c>
      <c r="B57" s="8">
        <v>382695365</v>
      </c>
      <c r="C57" s="47" t="s">
        <v>112</v>
      </c>
      <c r="D57" s="46"/>
      <c r="E57" s="10">
        <v>0</v>
      </c>
      <c r="F57" s="10">
        <v>0</v>
      </c>
      <c r="G57" s="39" t="s">
        <v>34</v>
      </c>
      <c r="H57" s="11">
        <f t="shared" si="8"/>
        <v>0</v>
      </c>
      <c r="I57" s="10">
        <f t="shared" si="6"/>
        <v>0</v>
      </c>
      <c r="J57" s="10">
        <v>0</v>
      </c>
      <c r="K57" s="10">
        <f t="shared" si="9"/>
        <v>0</v>
      </c>
      <c r="L57" s="17">
        <v>3.5</v>
      </c>
      <c r="M57" s="18">
        <f t="shared" si="10"/>
        <v>3.5</v>
      </c>
      <c r="N57" s="19">
        <f t="shared" si="7"/>
        <v>0</v>
      </c>
      <c r="O57" s="20">
        <f t="shared" si="11"/>
        <v>3.5</v>
      </c>
      <c r="P57" s="4"/>
      <c r="Q57" s="4"/>
      <c r="R57" s="4"/>
      <c r="S57" s="1"/>
      <c r="T57" s="1"/>
      <c r="U57" s="1"/>
      <c r="V57" s="1"/>
      <c r="W57" s="1"/>
      <c r="X57" s="1"/>
    </row>
    <row r="58" spans="1:24" ht="18.75">
      <c r="A58" s="8">
        <v>184</v>
      </c>
      <c r="B58" s="8">
        <v>1814130074</v>
      </c>
      <c r="C58" s="47" t="s">
        <v>94</v>
      </c>
      <c r="D58" s="46"/>
      <c r="E58" s="10">
        <v>0</v>
      </c>
      <c r="F58" s="10">
        <v>0</v>
      </c>
      <c r="G58" s="39" t="s">
        <v>34</v>
      </c>
      <c r="H58" s="11">
        <f t="shared" si="8"/>
        <v>0</v>
      </c>
      <c r="I58" s="10">
        <f t="shared" si="6"/>
        <v>0</v>
      </c>
      <c r="J58" s="10">
        <v>0</v>
      </c>
      <c r="K58" s="10">
        <f t="shared" si="9"/>
        <v>0</v>
      </c>
      <c r="L58" s="17">
        <v>3.5</v>
      </c>
      <c r="M58" s="18">
        <f t="shared" si="10"/>
        <v>3.5</v>
      </c>
      <c r="N58" s="19">
        <f t="shared" si="7"/>
        <v>0</v>
      </c>
      <c r="O58" s="20">
        <f t="shared" si="11"/>
        <v>3.5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110</v>
      </c>
      <c r="B59" s="8">
        <v>1968703358</v>
      </c>
      <c r="C59" s="47" t="s">
        <v>81</v>
      </c>
      <c r="D59" s="48" t="s">
        <v>45</v>
      </c>
      <c r="E59" s="10">
        <v>0</v>
      </c>
      <c r="F59" s="10">
        <v>0</v>
      </c>
      <c r="G59" s="39" t="s">
        <v>34</v>
      </c>
      <c r="H59" s="11">
        <f t="shared" si="8"/>
        <v>0</v>
      </c>
      <c r="I59" s="10">
        <f t="shared" si="6"/>
        <v>0</v>
      </c>
      <c r="J59" s="10">
        <v>0</v>
      </c>
      <c r="K59" s="10">
        <f t="shared" si="9"/>
        <v>0</v>
      </c>
      <c r="L59" s="17">
        <v>3.5</v>
      </c>
      <c r="M59" s="18">
        <f t="shared" si="10"/>
        <v>3.5</v>
      </c>
      <c r="N59" s="19">
        <f t="shared" si="7"/>
        <v>0</v>
      </c>
      <c r="O59" s="20">
        <f t="shared" si="11"/>
        <v>3.5</v>
      </c>
      <c r="P59" s="11"/>
      <c r="Q59" s="11"/>
      <c r="R59" s="17"/>
      <c r="S59" s="1"/>
      <c r="T59" s="1"/>
      <c r="U59" s="1"/>
      <c r="V59" s="1"/>
      <c r="W59" s="1"/>
      <c r="X59" s="1"/>
    </row>
    <row r="60" spans="1:24" ht="18.75">
      <c r="A60" s="8">
        <v>211</v>
      </c>
      <c r="B60" s="8">
        <v>1030769255</v>
      </c>
      <c r="C60" s="47" t="s">
        <v>121</v>
      </c>
      <c r="D60" s="46"/>
      <c r="E60" s="10">
        <v>0</v>
      </c>
      <c r="F60" s="10">
        <v>0</v>
      </c>
      <c r="G60" s="39" t="s">
        <v>34</v>
      </c>
      <c r="H60" s="11">
        <f t="shared" si="8"/>
        <v>0</v>
      </c>
      <c r="I60" s="10">
        <f t="shared" si="6"/>
        <v>0</v>
      </c>
      <c r="J60" s="10">
        <v>0</v>
      </c>
      <c r="K60" s="10">
        <f t="shared" si="9"/>
        <v>0</v>
      </c>
      <c r="L60" s="17">
        <v>2</v>
      </c>
      <c r="M60" s="18">
        <f t="shared" si="10"/>
        <v>2</v>
      </c>
      <c r="N60" s="19">
        <f t="shared" si="7"/>
        <v>0</v>
      </c>
      <c r="O60" s="20">
        <f t="shared" si="11"/>
        <v>2</v>
      </c>
      <c r="P60" s="4"/>
      <c r="Q60" s="4"/>
      <c r="R60" s="4"/>
      <c r="S60" s="1"/>
      <c r="T60" s="1"/>
      <c r="U60" s="1"/>
      <c r="V60" s="1"/>
      <c r="W60" s="1"/>
      <c r="X60" s="1"/>
    </row>
    <row r="61" spans="1:24" ht="18.75">
      <c r="A61" s="8">
        <v>206</v>
      </c>
      <c r="B61" s="8">
        <v>1835375380</v>
      </c>
      <c r="C61" s="47" t="s">
        <v>115</v>
      </c>
      <c r="D61" s="46"/>
      <c r="E61" s="10">
        <v>0</v>
      </c>
      <c r="F61" s="10">
        <v>0</v>
      </c>
      <c r="G61" s="39" t="s">
        <v>34</v>
      </c>
      <c r="H61" s="11">
        <f t="shared" si="8"/>
        <v>0</v>
      </c>
      <c r="I61" s="10">
        <f t="shared" si="6"/>
        <v>0</v>
      </c>
      <c r="J61" s="10">
        <v>0</v>
      </c>
      <c r="K61" s="10">
        <f t="shared" si="9"/>
        <v>0</v>
      </c>
      <c r="L61" s="17">
        <v>2</v>
      </c>
      <c r="M61" s="18">
        <f t="shared" si="10"/>
        <v>2</v>
      </c>
      <c r="N61" s="19">
        <f t="shared" si="7"/>
        <v>0</v>
      </c>
      <c r="O61" s="20">
        <f t="shared" si="11"/>
        <v>2</v>
      </c>
      <c r="P61" s="4"/>
      <c r="Q61" s="4"/>
      <c r="R61" s="4"/>
      <c r="S61" s="1"/>
      <c r="T61" s="1"/>
      <c r="U61" s="1"/>
      <c r="V61" s="1"/>
      <c r="W61" s="1"/>
      <c r="X61" s="1"/>
    </row>
    <row r="62" spans="1:24" ht="18.75">
      <c r="A62" s="9">
        <v>5</v>
      </c>
      <c r="B62" s="8">
        <v>1044399218</v>
      </c>
      <c r="C62" s="47" t="s">
        <v>75</v>
      </c>
      <c r="D62" s="48" t="s">
        <v>9</v>
      </c>
      <c r="E62" s="10">
        <v>0</v>
      </c>
      <c r="F62" s="10">
        <v>0</v>
      </c>
      <c r="G62" s="39" t="s">
        <v>34</v>
      </c>
      <c r="H62" s="11">
        <f t="shared" si="8"/>
        <v>0</v>
      </c>
      <c r="I62" s="10">
        <f t="shared" si="6"/>
        <v>0</v>
      </c>
      <c r="J62" s="10">
        <v>0</v>
      </c>
      <c r="K62" s="10">
        <f t="shared" si="9"/>
        <v>0</v>
      </c>
      <c r="L62" s="17">
        <v>2</v>
      </c>
      <c r="M62" s="18">
        <f t="shared" si="10"/>
        <v>2</v>
      </c>
      <c r="N62" s="19">
        <f t="shared" si="7"/>
        <v>0</v>
      </c>
      <c r="O62" s="20">
        <f t="shared" si="11"/>
        <v>2</v>
      </c>
      <c r="P62" s="11"/>
      <c r="Q62" s="11"/>
      <c r="R62" s="11"/>
      <c r="S62" s="1"/>
      <c r="T62" s="1"/>
      <c r="U62" s="1"/>
      <c r="V62" s="1"/>
      <c r="W62" s="1"/>
      <c r="X62" s="1"/>
    </row>
    <row r="63" spans="1:24" ht="18.75">
      <c r="A63" s="9">
        <v>103</v>
      </c>
      <c r="B63" s="8">
        <v>1540443440</v>
      </c>
      <c r="C63" s="48" t="s">
        <v>68</v>
      </c>
      <c r="D63" s="48" t="s">
        <v>35</v>
      </c>
      <c r="E63" s="10">
        <v>0</v>
      </c>
      <c r="F63" s="10">
        <v>0</v>
      </c>
      <c r="G63" s="39" t="s">
        <v>34</v>
      </c>
      <c r="H63" s="11">
        <f t="shared" si="8"/>
        <v>0</v>
      </c>
      <c r="I63" s="10">
        <f t="shared" si="6"/>
        <v>0</v>
      </c>
      <c r="J63" s="10">
        <v>0</v>
      </c>
      <c r="K63" s="10">
        <f t="shared" si="9"/>
        <v>0</v>
      </c>
      <c r="L63" s="17">
        <v>2</v>
      </c>
      <c r="M63" s="18">
        <f t="shared" si="10"/>
        <v>2</v>
      </c>
      <c r="N63" s="19">
        <f t="shared" si="7"/>
        <v>0</v>
      </c>
      <c r="O63" s="20">
        <f t="shared" si="11"/>
        <v>2</v>
      </c>
      <c r="P63" s="11"/>
      <c r="Q63" s="11"/>
      <c r="R63" s="11"/>
      <c r="S63" s="1"/>
      <c r="T63" s="1"/>
      <c r="U63" s="1"/>
      <c r="V63" s="1"/>
      <c r="W63" s="1"/>
      <c r="X63" s="1"/>
    </row>
    <row r="64" spans="1:24" ht="18.75">
      <c r="A64" s="8">
        <v>141</v>
      </c>
      <c r="B64" s="8">
        <v>1190305158</v>
      </c>
      <c r="C64" s="47" t="s">
        <v>55</v>
      </c>
      <c r="D64" s="50"/>
      <c r="E64" s="10">
        <v>0</v>
      </c>
      <c r="F64" s="10">
        <v>0</v>
      </c>
      <c r="G64" s="39" t="s">
        <v>34</v>
      </c>
      <c r="H64" s="11">
        <f t="shared" si="8"/>
        <v>0</v>
      </c>
      <c r="I64" s="10">
        <f t="shared" si="6"/>
        <v>0</v>
      </c>
      <c r="J64" s="10">
        <v>0</v>
      </c>
      <c r="K64" s="10">
        <f t="shared" si="9"/>
        <v>0</v>
      </c>
      <c r="L64" s="17">
        <v>2</v>
      </c>
      <c r="M64" s="18">
        <f t="shared" si="10"/>
        <v>2</v>
      </c>
      <c r="N64" s="19">
        <f t="shared" si="7"/>
        <v>0</v>
      </c>
      <c r="O64" s="20">
        <f t="shared" si="11"/>
        <v>2</v>
      </c>
      <c r="P64" s="11"/>
      <c r="Q64" s="11"/>
      <c r="R64" s="31"/>
      <c r="S64" s="1"/>
      <c r="T64" s="1"/>
      <c r="U64" s="1"/>
      <c r="V64" s="1"/>
      <c r="W64" s="1"/>
      <c r="X64" s="1"/>
    </row>
    <row r="65" spans="1:24" ht="18.75">
      <c r="A65" s="8">
        <v>199</v>
      </c>
      <c r="B65" s="8">
        <v>1190213504</v>
      </c>
      <c r="C65" s="47" t="s">
        <v>117</v>
      </c>
      <c r="D65" s="46"/>
      <c r="E65" s="10">
        <v>0</v>
      </c>
      <c r="F65" s="10">
        <v>0</v>
      </c>
      <c r="G65" s="39" t="s">
        <v>34</v>
      </c>
      <c r="H65" s="11">
        <f t="shared" si="8"/>
        <v>0</v>
      </c>
      <c r="I65" s="10">
        <f t="shared" si="6"/>
        <v>0</v>
      </c>
      <c r="J65" s="10">
        <v>0</v>
      </c>
      <c r="K65" s="10">
        <f t="shared" si="9"/>
        <v>0</v>
      </c>
      <c r="L65" s="17">
        <v>1</v>
      </c>
      <c r="M65" s="18">
        <f t="shared" si="10"/>
        <v>1</v>
      </c>
      <c r="N65" s="19">
        <f t="shared" si="7"/>
        <v>0</v>
      </c>
      <c r="O65" s="20">
        <f t="shared" si="11"/>
        <v>1</v>
      </c>
      <c r="P65" s="4"/>
      <c r="Q65" s="4"/>
      <c r="R65" s="4"/>
      <c r="S65" s="1"/>
      <c r="T65" s="1"/>
      <c r="U65" s="1"/>
      <c r="V65" s="1"/>
      <c r="W65" s="1"/>
      <c r="X65" s="1"/>
    </row>
    <row r="66" spans="1:24" ht="18.75">
      <c r="A66" s="8">
        <v>204</v>
      </c>
      <c r="B66" s="8">
        <v>1449474852</v>
      </c>
      <c r="C66" s="47" t="s">
        <v>113</v>
      </c>
      <c r="D66" s="46"/>
      <c r="E66" s="10">
        <v>0</v>
      </c>
      <c r="F66" s="10">
        <v>0</v>
      </c>
      <c r="G66" s="39" t="s">
        <v>34</v>
      </c>
      <c r="H66" s="11">
        <f t="shared" si="8"/>
        <v>0</v>
      </c>
      <c r="I66" s="10">
        <f t="shared" si="6"/>
        <v>0</v>
      </c>
      <c r="J66" s="10">
        <v>0</v>
      </c>
      <c r="K66" s="10">
        <f t="shared" si="9"/>
        <v>0</v>
      </c>
      <c r="L66" s="17">
        <v>1</v>
      </c>
      <c r="M66" s="18">
        <f t="shared" si="10"/>
        <v>1</v>
      </c>
      <c r="N66" s="19">
        <f t="shared" si="7"/>
        <v>0</v>
      </c>
      <c r="O66" s="20">
        <f t="shared" si="11"/>
        <v>1</v>
      </c>
      <c r="P66" s="4"/>
      <c r="Q66" s="4"/>
      <c r="R66" s="4"/>
      <c r="S66" s="1"/>
      <c r="T66" s="1"/>
      <c r="U66" s="1"/>
      <c r="V66" s="1"/>
      <c r="W66" s="1"/>
      <c r="X66" s="1"/>
    </row>
    <row r="67" spans="1:24" ht="18.75">
      <c r="A67" s="8">
        <v>192</v>
      </c>
      <c r="B67" s="8">
        <v>1725281178</v>
      </c>
      <c r="C67" s="47" t="s">
        <v>102</v>
      </c>
      <c r="D67" s="46"/>
      <c r="E67" s="10">
        <v>0</v>
      </c>
      <c r="F67" s="10">
        <v>0</v>
      </c>
      <c r="G67" s="39" t="s">
        <v>34</v>
      </c>
      <c r="H67" s="11">
        <f t="shared" si="8"/>
        <v>0</v>
      </c>
      <c r="I67" s="10">
        <f t="shared" si="6"/>
        <v>0</v>
      </c>
      <c r="J67" s="10">
        <v>0</v>
      </c>
      <c r="K67" s="10">
        <f t="shared" si="9"/>
        <v>0</v>
      </c>
      <c r="L67" s="17">
        <v>1</v>
      </c>
      <c r="M67" s="18">
        <f t="shared" si="10"/>
        <v>1</v>
      </c>
      <c r="N67" s="19">
        <f t="shared" si="7"/>
        <v>0</v>
      </c>
      <c r="O67" s="20">
        <f t="shared" si="11"/>
        <v>1</v>
      </c>
      <c r="P67" s="4"/>
      <c r="Q67" s="4"/>
      <c r="R67" s="4"/>
      <c r="S67" s="1"/>
      <c r="T67" s="1"/>
      <c r="U67" s="1"/>
      <c r="V67" s="1"/>
      <c r="W67" s="1"/>
      <c r="X67" s="1"/>
    </row>
    <row r="68" spans="1:24" ht="18.75">
      <c r="A68" s="8">
        <v>201</v>
      </c>
      <c r="B68" s="8">
        <v>251334814</v>
      </c>
      <c r="C68" s="47" t="s">
        <v>110</v>
      </c>
      <c r="D68" s="46"/>
      <c r="E68" s="10">
        <v>0</v>
      </c>
      <c r="F68" s="10">
        <v>0</v>
      </c>
      <c r="G68" s="39" t="s">
        <v>34</v>
      </c>
      <c r="H68" s="11">
        <f t="shared" si="8"/>
        <v>0</v>
      </c>
      <c r="I68" s="10">
        <f t="shared" si="6"/>
        <v>0</v>
      </c>
      <c r="J68" s="10">
        <v>0</v>
      </c>
      <c r="K68" s="10">
        <f t="shared" si="9"/>
        <v>0</v>
      </c>
      <c r="L68" s="17">
        <v>1</v>
      </c>
      <c r="M68" s="18">
        <f t="shared" si="10"/>
        <v>1</v>
      </c>
      <c r="N68" s="19">
        <f t="shared" si="7"/>
        <v>0</v>
      </c>
      <c r="O68" s="20">
        <f t="shared" si="11"/>
        <v>1</v>
      </c>
      <c r="P68" s="4"/>
      <c r="Q68" s="4"/>
      <c r="R68" s="4"/>
      <c r="S68" s="1"/>
      <c r="T68" s="1"/>
      <c r="U68" s="1"/>
      <c r="V68" s="1"/>
      <c r="W68" s="1"/>
      <c r="X68" s="1"/>
    </row>
    <row r="69" spans="1:24" ht="18.75">
      <c r="A69" s="8">
        <v>148</v>
      </c>
      <c r="B69" s="8">
        <v>1579518877</v>
      </c>
      <c r="C69" s="47" t="s">
        <v>59</v>
      </c>
      <c r="D69" s="50"/>
      <c r="E69" s="10">
        <v>0</v>
      </c>
      <c r="F69" s="10">
        <v>0</v>
      </c>
      <c r="G69" s="39" t="s">
        <v>34</v>
      </c>
      <c r="H69" s="11">
        <f t="shared" si="8"/>
        <v>0</v>
      </c>
      <c r="I69" s="10">
        <f t="shared" si="6"/>
        <v>0</v>
      </c>
      <c r="J69" s="10">
        <v>0</v>
      </c>
      <c r="K69" s="10">
        <f t="shared" si="9"/>
        <v>0</v>
      </c>
      <c r="L69" s="17">
        <v>1</v>
      </c>
      <c r="M69" s="18">
        <f t="shared" si="10"/>
        <v>1</v>
      </c>
      <c r="N69" s="19">
        <f t="shared" si="7"/>
        <v>0</v>
      </c>
      <c r="O69" s="20">
        <f t="shared" si="11"/>
        <v>1</v>
      </c>
      <c r="P69" s="4"/>
      <c r="Q69" s="4"/>
      <c r="R69" s="4"/>
      <c r="S69" s="3"/>
      <c r="T69" s="3"/>
      <c r="U69" s="3"/>
      <c r="V69" s="3"/>
      <c r="W69" s="3"/>
      <c r="X69" s="3"/>
    </row>
    <row r="70" spans="1:24" ht="18.75">
      <c r="A70" s="8">
        <v>144</v>
      </c>
      <c r="B70" s="8">
        <v>1763923855</v>
      </c>
      <c r="C70" s="47" t="s">
        <v>57</v>
      </c>
      <c r="D70" s="53"/>
      <c r="E70" s="10">
        <v>0</v>
      </c>
      <c r="F70" s="10">
        <v>0</v>
      </c>
      <c r="G70" s="39" t="s">
        <v>34</v>
      </c>
      <c r="H70" s="11">
        <f t="shared" si="8"/>
        <v>0</v>
      </c>
      <c r="I70" s="10">
        <f t="shared" si="6"/>
        <v>0</v>
      </c>
      <c r="J70" s="10">
        <v>0</v>
      </c>
      <c r="K70" s="10">
        <f t="shared" si="9"/>
        <v>0</v>
      </c>
      <c r="L70" s="17">
        <v>1</v>
      </c>
      <c r="M70" s="18">
        <f t="shared" si="10"/>
        <v>1</v>
      </c>
      <c r="N70" s="19">
        <f t="shared" si="7"/>
        <v>0</v>
      </c>
      <c r="O70" s="20">
        <f t="shared" si="11"/>
        <v>1</v>
      </c>
      <c r="P70" s="4"/>
      <c r="Q70" s="4"/>
      <c r="R70" s="4"/>
    </row>
    <row r="71" spans="1:24" ht="18.75">
      <c r="A71" s="8">
        <v>152</v>
      </c>
      <c r="B71" s="8">
        <v>808637979</v>
      </c>
      <c r="C71" s="47" t="s">
        <v>62</v>
      </c>
      <c r="D71" s="47" t="s">
        <v>60</v>
      </c>
      <c r="E71" s="10">
        <v>0</v>
      </c>
      <c r="F71" s="10">
        <v>0</v>
      </c>
      <c r="G71" s="39" t="s">
        <v>34</v>
      </c>
      <c r="H71" s="11">
        <f t="shared" si="8"/>
        <v>0</v>
      </c>
      <c r="I71" s="10">
        <f t="shared" si="6"/>
        <v>0</v>
      </c>
      <c r="J71" s="10">
        <v>0</v>
      </c>
      <c r="K71" s="10">
        <f t="shared" si="9"/>
        <v>0</v>
      </c>
      <c r="L71" s="17">
        <v>0</v>
      </c>
      <c r="M71" s="18">
        <f t="shared" si="10"/>
        <v>0</v>
      </c>
      <c r="N71" s="19">
        <f t="shared" si="7"/>
        <v>0</v>
      </c>
      <c r="O71" s="20">
        <f t="shared" si="11"/>
        <v>0</v>
      </c>
      <c r="P71" s="4"/>
      <c r="Q71" s="4"/>
      <c r="R71" s="4"/>
    </row>
    <row r="72" spans="1:24" ht="18.75">
      <c r="A72" s="8">
        <v>170</v>
      </c>
      <c r="B72" s="8">
        <v>1659068972</v>
      </c>
      <c r="C72" s="47" t="s">
        <v>66</v>
      </c>
      <c r="D72" s="46"/>
      <c r="E72" s="10">
        <v>0</v>
      </c>
      <c r="F72" s="10">
        <v>0</v>
      </c>
      <c r="G72" s="39" t="s">
        <v>34</v>
      </c>
      <c r="H72" s="11">
        <f t="shared" si="8"/>
        <v>0</v>
      </c>
      <c r="I72" s="10">
        <f t="shared" si="6"/>
        <v>0</v>
      </c>
      <c r="J72" s="10">
        <v>0</v>
      </c>
      <c r="K72" s="10">
        <f t="shared" si="9"/>
        <v>0</v>
      </c>
      <c r="L72" s="17">
        <v>0</v>
      </c>
      <c r="M72" s="18">
        <f t="shared" si="10"/>
        <v>0</v>
      </c>
      <c r="N72" s="19">
        <f t="shared" si="7"/>
        <v>0</v>
      </c>
      <c r="O72" s="20">
        <f t="shared" si="11"/>
        <v>0</v>
      </c>
      <c r="P72" s="4"/>
      <c r="Q72" s="4"/>
      <c r="R72" s="4"/>
    </row>
    <row r="73" spans="1:24" ht="18.75">
      <c r="A73" s="8">
        <v>167</v>
      </c>
      <c r="B73" s="8">
        <v>1173807161</v>
      </c>
      <c r="C73" s="47" t="s">
        <v>67</v>
      </c>
      <c r="D73" s="52"/>
      <c r="E73" s="10">
        <v>0</v>
      </c>
      <c r="F73" s="10">
        <v>0</v>
      </c>
      <c r="G73" s="39" t="s">
        <v>34</v>
      </c>
      <c r="H73" s="11">
        <f t="shared" si="8"/>
        <v>0</v>
      </c>
      <c r="I73" s="10">
        <f t="shared" si="6"/>
        <v>0</v>
      </c>
      <c r="J73" s="10">
        <v>0</v>
      </c>
      <c r="K73" s="10">
        <f t="shared" si="9"/>
        <v>0</v>
      </c>
      <c r="L73" s="17">
        <v>0</v>
      </c>
      <c r="M73" s="18">
        <f t="shared" si="10"/>
        <v>0</v>
      </c>
      <c r="N73" s="19">
        <f t="shared" si="7"/>
        <v>0</v>
      </c>
      <c r="O73" s="20">
        <f t="shared" si="11"/>
        <v>0</v>
      </c>
      <c r="P73" s="4"/>
      <c r="Q73" s="4"/>
      <c r="R73" s="4"/>
    </row>
    <row r="74" spans="1:24" ht="18.75">
      <c r="A74" s="8">
        <v>138</v>
      </c>
      <c r="B74" s="8">
        <v>1440730282</v>
      </c>
      <c r="C74" s="47" t="s">
        <v>86</v>
      </c>
      <c r="D74" s="47" t="s">
        <v>54</v>
      </c>
      <c r="E74" s="10">
        <v>0</v>
      </c>
      <c r="F74" s="10">
        <v>0</v>
      </c>
      <c r="G74" s="39" t="s">
        <v>34</v>
      </c>
      <c r="H74" s="11">
        <f t="shared" si="8"/>
        <v>0</v>
      </c>
      <c r="I74" s="10">
        <f t="shared" si="6"/>
        <v>0</v>
      </c>
      <c r="J74" s="10">
        <v>0</v>
      </c>
      <c r="K74" s="10">
        <f t="shared" si="9"/>
        <v>0</v>
      </c>
      <c r="L74" s="17">
        <v>0</v>
      </c>
      <c r="M74" s="18">
        <f t="shared" si="10"/>
        <v>0</v>
      </c>
      <c r="N74" s="19">
        <f t="shared" si="7"/>
        <v>0</v>
      </c>
      <c r="O74" s="20">
        <f t="shared" si="11"/>
        <v>0</v>
      </c>
      <c r="P74" s="11"/>
      <c r="Q74" s="11"/>
      <c r="R74" s="31"/>
    </row>
    <row r="75" spans="1:24" ht="18.75">
      <c r="A75" s="8">
        <v>127</v>
      </c>
      <c r="B75" s="8">
        <v>615908706</v>
      </c>
      <c r="C75" s="47" t="s">
        <v>84</v>
      </c>
      <c r="D75" s="50" t="s">
        <v>46</v>
      </c>
      <c r="E75" s="10">
        <v>0</v>
      </c>
      <c r="F75" s="10">
        <v>0</v>
      </c>
      <c r="G75" s="39" t="s">
        <v>34</v>
      </c>
      <c r="H75" s="11">
        <f t="shared" si="8"/>
        <v>0</v>
      </c>
      <c r="I75" s="10">
        <f t="shared" si="6"/>
        <v>0</v>
      </c>
      <c r="J75" s="10">
        <v>0</v>
      </c>
      <c r="K75" s="10">
        <f t="shared" si="9"/>
        <v>0</v>
      </c>
      <c r="L75" s="17">
        <v>0</v>
      </c>
      <c r="M75" s="18">
        <f t="shared" si="10"/>
        <v>0</v>
      </c>
      <c r="N75" s="19">
        <f t="shared" si="7"/>
        <v>0</v>
      </c>
      <c r="O75" s="20">
        <f t="shared" si="11"/>
        <v>0</v>
      </c>
      <c r="P75" s="40"/>
      <c r="Q75" s="40"/>
      <c r="R75" s="41"/>
    </row>
    <row r="76" spans="1:24" ht="18.75">
      <c r="A76" s="9">
        <v>43</v>
      </c>
      <c r="B76" s="8">
        <v>1853818182</v>
      </c>
      <c r="C76" s="48" t="s">
        <v>78</v>
      </c>
      <c r="D76" s="48" t="s">
        <v>14</v>
      </c>
      <c r="E76" s="10">
        <v>0</v>
      </c>
      <c r="F76" s="10">
        <v>0</v>
      </c>
      <c r="G76" s="39" t="s">
        <v>34</v>
      </c>
      <c r="H76" s="11">
        <f t="shared" si="8"/>
        <v>0</v>
      </c>
      <c r="I76" s="10">
        <f t="shared" si="6"/>
        <v>0</v>
      </c>
      <c r="J76" s="10">
        <v>0</v>
      </c>
      <c r="K76" s="10">
        <f t="shared" si="9"/>
        <v>0</v>
      </c>
      <c r="L76" s="17">
        <v>0</v>
      </c>
      <c r="M76" s="18">
        <f t="shared" si="10"/>
        <v>0</v>
      </c>
      <c r="N76" s="19">
        <f t="shared" si="7"/>
        <v>0</v>
      </c>
      <c r="O76" s="20">
        <f t="shared" si="11"/>
        <v>0</v>
      </c>
      <c r="P76" s="40"/>
      <c r="Q76" s="40"/>
    </row>
    <row r="77" spans="1:24" ht="18.75">
      <c r="A77" s="8">
        <v>197</v>
      </c>
      <c r="B77" s="8">
        <v>2012003193</v>
      </c>
      <c r="C77" s="47" t="s">
        <v>107</v>
      </c>
      <c r="D77" s="46"/>
      <c r="E77" s="10">
        <v>0</v>
      </c>
      <c r="F77" s="10">
        <v>0</v>
      </c>
      <c r="G77" s="39" t="s">
        <v>34</v>
      </c>
      <c r="H77" s="11">
        <f t="shared" si="8"/>
        <v>0</v>
      </c>
      <c r="I77" s="10">
        <f t="shared" si="6"/>
        <v>0</v>
      </c>
      <c r="J77" s="10">
        <v>0</v>
      </c>
      <c r="K77" s="10">
        <f t="shared" si="9"/>
        <v>0</v>
      </c>
      <c r="L77" s="17">
        <v>0</v>
      </c>
      <c r="M77" s="18">
        <f t="shared" si="10"/>
        <v>0</v>
      </c>
      <c r="N77" s="19">
        <f t="shared" si="7"/>
        <v>0</v>
      </c>
      <c r="O77" s="20">
        <f t="shared" si="11"/>
        <v>0</v>
      </c>
    </row>
    <row r="78" spans="1:24" ht="18.75">
      <c r="A78" s="8">
        <v>164</v>
      </c>
      <c r="B78" s="8">
        <v>1005320430</v>
      </c>
      <c r="C78" s="47" t="s">
        <v>65</v>
      </c>
      <c r="D78" s="45"/>
      <c r="E78" s="10">
        <v>0</v>
      </c>
      <c r="F78" s="10">
        <v>0</v>
      </c>
      <c r="G78" s="39" t="s">
        <v>34</v>
      </c>
      <c r="H78" s="11">
        <f t="shared" si="8"/>
        <v>0</v>
      </c>
      <c r="I78" s="10">
        <f t="shared" si="6"/>
        <v>0</v>
      </c>
      <c r="J78" s="10">
        <v>0</v>
      </c>
      <c r="K78" s="10">
        <f t="shared" si="9"/>
        <v>0</v>
      </c>
      <c r="L78" s="17">
        <v>0</v>
      </c>
      <c r="M78" s="18">
        <f t="shared" si="10"/>
        <v>0</v>
      </c>
      <c r="N78" s="19">
        <f t="shared" si="7"/>
        <v>0</v>
      </c>
      <c r="O78" s="20">
        <f t="shared" si="11"/>
        <v>0</v>
      </c>
    </row>
    <row r="79" spans="1:24" ht="18.75">
      <c r="A79" s="9">
        <v>122</v>
      </c>
      <c r="B79" s="8">
        <v>1940099728</v>
      </c>
      <c r="C79" s="48" t="s">
        <v>43</v>
      </c>
      <c r="D79" s="49"/>
      <c r="E79" s="10">
        <v>0</v>
      </c>
      <c r="F79" s="10">
        <v>0</v>
      </c>
      <c r="G79" s="39" t="s">
        <v>34</v>
      </c>
      <c r="H79" s="11">
        <f t="shared" si="8"/>
        <v>0</v>
      </c>
      <c r="I79" s="10">
        <f t="shared" si="6"/>
        <v>0</v>
      </c>
      <c r="J79" s="10">
        <v>0</v>
      </c>
      <c r="K79" s="10">
        <f t="shared" si="9"/>
        <v>0</v>
      </c>
      <c r="L79" s="17">
        <v>0</v>
      </c>
      <c r="M79" s="18">
        <f t="shared" si="10"/>
        <v>0</v>
      </c>
      <c r="N79" s="19">
        <f t="shared" si="7"/>
        <v>0</v>
      </c>
      <c r="O79" s="20">
        <f t="shared" si="11"/>
        <v>0</v>
      </c>
      <c r="P79" s="40"/>
      <c r="Q79" s="40"/>
      <c r="R79" s="41"/>
    </row>
    <row r="80" spans="1:24" ht="18.75">
      <c r="A80" s="8">
        <v>179</v>
      </c>
      <c r="B80" s="8">
        <v>1412638269</v>
      </c>
      <c r="C80" s="48" t="s">
        <v>42</v>
      </c>
      <c r="D80" s="46"/>
      <c r="E80" s="10">
        <v>0</v>
      </c>
      <c r="F80" s="10">
        <v>0</v>
      </c>
      <c r="G80" s="39" t="s">
        <v>34</v>
      </c>
      <c r="H80" s="11">
        <f t="shared" si="8"/>
        <v>0</v>
      </c>
      <c r="I80" s="10">
        <f t="shared" si="6"/>
        <v>0</v>
      </c>
      <c r="J80" s="10">
        <v>0</v>
      </c>
      <c r="K80" s="10">
        <f t="shared" si="9"/>
        <v>0</v>
      </c>
      <c r="L80" s="17">
        <v>0</v>
      </c>
      <c r="M80" s="18">
        <f t="shared" si="10"/>
        <v>0</v>
      </c>
      <c r="N80" s="19">
        <f t="shared" si="7"/>
        <v>0</v>
      </c>
      <c r="O80" s="20">
        <f t="shared" si="11"/>
        <v>0</v>
      </c>
    </row>
    <row r="81" spans="1:18" ht="18.75">
      <c r="A81" s="8">
        <v>156</v>
      </c>
      <c r="B81" s="8">
        <v>1754610165</v>
      </c>
      <c r="C81" s="47" t="s">
        <v>88</v>
      </c>
      <c r="D81" s="45"/>
      <c r="E81" s="10">
        <v>0</v>
      </c>
      <c r="F81" s="10">
        <v>0</v>
      </c>
      <c r="G81" s="39" t="s">
        <v>34</v>
      </c>
      <c r="H81" s="11">
        <f t="shared" si="8"/>
        <v>0</v>
      </c>
      <c r="I81" s="10">
        <f t="shared" si="6"/>
        <v>0</v>
      </c>
      <c r="J81" s="10">
        <v>0</v>
      </c>
      <c r="K81" s="10">
        <f t="shared" si="9"/>
        <v>0</v>
      </c>
      <c r="L81" s="17">
        <v>-3.125</v>
      </c>
      <c r="M81" s="18">
        <f t="shared" si="10"/>
        <v>-3.125</v>
      </c>
      <c r="N81" s="19">
        <f t="shared" si="7"/>
        <v>0</v>
      </c>
      <c r="O81" s="20">
        <f t="shared" si="11"/>
        <v>-3.125</v>
      </c>
    </row>
    <row r="82" spans="1:18" ht="18.75">
      <c r="A82" s="8">
        <v>172</v>
      </c>
      <c r="B82" s="8">
        <v>724061220</v>
      </c>
      <c r="C82" s="47" t="s">
        <v>90</v>
      </c>
      <c r="D82" s="47" t="s">
        <v>71</v>
      </c>
      <c r="E82" s="10">
        <v>0</v>
      </c>
      <c r="F82" s="10">
        <v>0</v>
      </c>
      <c r="G82" s="39" t="s">
        <v>34</v>
      </c>
      <c r="H82" s="11">
        <f t="shared" si="8"/>
        <v>0</v>
      </c>
      <c r="I82" s="10">
        <f t="shared" si="6"/>
        <v>0</v>
      </c>
      <c r="J82" s="10">
        <v>0</v>
      </c>
      <c r="K82" s="10">
        <f t="shared" si="9"/>
        <v>0</v>
      </c>
      <c r="L82" s="17">
        <v>-3.125</v>
      </c>
      <c r="M82" s="18">
        <f t="shared" si="10"/>
        <v>-3.125</v>
      </c>
      <c r="N82" s="19">
        <f t="shared" si="7"/>
        <v>0</v>
      </c>
      <c r="O82" s="20">
        <f t="shared" si="11"/>
        <v>-3.125</v>
      </c>
    </row>
    <row r="83" spans="1:18" ht="18.75">
      <c r="A83" s="8">
        <v>195</v>
      </c>
      <c r="B83" s="8">
        <v>1634663314</v>
      </c>
      <c r="C83" s="47" t="s">
        <v>105</v>
      </c>
      <c r="D83" s="46"/>
      <c r="E83" s="10">
        <v>0</v>
      </c>
      <c r="F83" s="10">
        <v>0</v>
      </c>
      <c r="G83" s="39" t="s">
        <v>34</v>
      </c>
      <c r="H83" s="11">
        <f t="shared" si="8"/>
        <v>0</v>
      </c>
      <c r="I83" s="10">
        <f t="shared" si="6"/>
        <v>0</v>
      </c>
      <c r="J83" s="10">
        <v>0</v>
      </c>
      <c r="K83" s="10">
        <f t="shared" si="9"/>
        <v>0</v>
      </c>
      <c r="L83" s="17">
        <v>-3.125</v>
      </c>
      <c r="M83" s="18">
        <f t="shared" si="10"/>
        <v>-3.125</v>
      </c>
      <c r="N83" s="19">
        <f t="shared" si="7"/>
        <v>0</v>
      </c>
      <c r="O83" s="20">
        <f t="shared" si="11"/>
        <v>-3.125</v>
      </c>
    </row>
    <row r="84" spans="1:18" ht="18.75">
      <c r="A84" s="8">
        <v>194</v>
      </c>
      <c r="B84" s="8">
        <v>648785109</v>
      </c>
      <c r="C84" s="47" t="s">
        <v>104</v>
      </c>
      <c r="D84" s="46"/>
      <c r="E84" s="10">
        <v>0</v>
      </c>
      <c r="F84" s="10">
        <v>0</v>
      </c>
      <c r="G84" s="39" t="s">
        <v>34</v>
      </c>
      <c r="H84" s="11">
        <f t="shared" si="8"/>
        <v>0</v>
      </c>
      <c r="I84" s="10">
        <f t="shared" si="6"/>
        <v>0</v>
      </c>
      <c r="J84" s="10">
        <v>0</v>
      </c>
      <c r="K84" s="10">
        <f t="shared" si="9"/>
        <v>0</v>
      </c>
      <c r="L84" s="17">
        <v>-3.125</v>
      </c>
      <c r="M84" s="18">
        <f t="shared" si="10"/>
        <v>-3.125</v>
      </c>
      <c r="N84" s="19">
        <f t="shared" si="7"/>
        <v>0</v>
      </c>
      <c r="O84" s="20">
        <f t="shared" si="11"/>
        <v>-3.125</v>
      </c>
    </row>
    <row r="85" spans="1:18" ht="18.75">
      <c r="A85" s="8">
        <v>180</v>
      </c>
      <c r="B85" s="8">
        <v>24633249</v>
      </c>
      <c r="C85" s="48" t="s">
        <v>72</v>
      </c>
      <c r="D85" s="46"/>
      <c r="E85" s="10">
        <v>0</v>
      </c>
      <c r="F85" s="10">
        <v>0</v>
      </c>
      <c r="G85" s="39" t="s">
        <v>34</v>
      </c>
      <c r="H85" s="11">
        <f t="shared" si="8"/>
        <v>0</v>
      </c>
      <c r="I85" s="10">
        <f t="shared" si="6"/>
        <v>0</v>
      </c>
      <c r="J85" s="10">
        <v>0</v>
      </c>
      <c r="K85" s="10">
        <f t="shared" si="9"/>
        <v>0</v>
      </c>
      <c r="L85" s="17">
        <v>-3.125</v>
      </c>
      <c r="M85" s="18">
        <f t="shared" si="10"/>
        <v>-3.125</v>
      </c>
      <c r="N85" s="19">
        <f t="shared" si="7"/>
        <v>0</v>
      </c>
      <c r="O85" s="20">
        <f t="shared" si="11"/>
        <v>-3.125</v>
      </c>
    </row>
    <row r="86" spans="1:18" ht="18.75">
      <c r="A86" s="8">
        <v>174</v>
      </c>
      <c r="B86" s="8">
        <v>775720958</v>
      </c>
      <c r="C86" s="47" t="s">
        <v>116</v>
      </c>
      <c r="D86" s="47" t="s">
        <v>69</v>
      </c>
      <c r="E86" s="10">
        <v>0</v>
      </c>
      <c r="F86" s="10">
        <v>0</v>
      </c>
      <c r="G86" s="39" t="s">
        <v>34</v>
      </c>
      <c r="H86" s="11">
        <f t="shared" si="8"/>
        <v>0</v>
      </c>
      <c r="I86" s="10">
        <f t="shared" si="6"/>
        <v>0</v>
      </c>
      <c r="J86" s="10">
        <v>0</v>
      </c>
      <c r="K86" s="10">
        <f t="shared" si="9"/>
        <v>0</v>
      </c>
      <c r="L86" s="17">
        <v>-1.25</v>
      </c>
      <c r="M86" s="18">
        <f t="shared" si="10"/>
        <v>-1.25</v>
      </c>
      <c r="N86" s="19">
        <f t="shared" si="7"/>
        <v>0</v>
      </c>
      <c r="O86" s="20">
        <f t="shared" si="11"/>
        <v>-1.25</v>
      </c>
    </row>
    <row r="87" spans="1:18" ht="18.75">
      <c r="A87" s="8">
        <v>116</v>
      </c>
      <c r="B87" s="8">
        <v>2122596917</v>
      </c>
      <c r="C87" s="47" t="s">
        <v>82</v>
      </c>
      <c r="D87" s="48" t="s">
        <v>41</v>
      </c>
      <c r="E87" s="10">
        <v>0</v>
      </c>
      <c r="F87" s="10">
        <v>0</v>
      </c>
      <c r="G87" s="39" t="s">
        <v>34</v>
      </c>
      <c r="H87" s="11">
        <f t="shared" si="8"/>
        <v>0</v>
      </c>
      <c r="I87" s="10">
        <f t="shared" si="6"/>
        <v>0</v>
      </c>
      <c r="J87" s="10">
        <v>0</v>
      </c>
      <c r="K87" s="10">
        <f t="shared" si="9"/>
        <v>0</v>
      </c>
      <c r="L87" s="17">
        <v>-1.25</v>
      </c>
      <c r="M87" s="18">
        <f t="shared" si="10"/>
        <v>-1.25</v>
      </c>
      <c r="N87" s="19">
        <f t="shared" si="7"/>
        <v>0</v>
      </c>
      <c r="O87" s="20">
        <f t="shared" si="11"/>
        <v>-1.25</v>
      </c>
      <c r="P87" s="40"/>
      <c r="Q87" s="40"/>
      <c r="R87" s="42"/>
    </row>
    <row r="88" spans="1:18" ht="18.75">
      <c r="A88" s="8">
        <v>202</v>
      </c>
      <c r="B88" s="8">
        <v>471245585</v>
      </c>
      <c r="C88" s="47" t="s">
        <v>111</v>
      </c>
      <c r="D88" s="46"/>
      <c r="E88" s="10">
        <v>0</v>
      </c>
      <c r="F88" s="10">
        <v>0</v>
      </c>
      <c r="G88" s="39" t="s">
        <v>34</v>
      </c>
      <c r="H88" s="11">
        <f t="shared" si="8"/>
        <v>0</v>
      </c>
      <c r="I88" s="10">
        <f t="shared" si="6"/>
        <v>0</v>
      </c>
      <c r="J88" s="10">
        <v>0</v>
      </c>
      <c r="K88" s="10">
        <f t="shared" si="9"/>
        <v>0</v>
      </c>
      <c r="L88" s="17">
        <v>-1.25</v>
      </c>
      <c r="M88" s="18">
        <f t="shared" si="10"/>
        <v>-1.25</v>
      </c>
      <c r="N88" s="19">
        <f t="shared" si="7"/>
        <v>0</v>
      </c>
      <c r="O88" s="20">
        <f t="shared" si="11"/>
        <v>-1.25</v>
      </c>
    </row>
    <row r="89" spans="1:18" ht="18.75">
      <c r="A89" s="8">
        <v>193</v>
      </c>
      <c r="B89" s="8">
        <v>2125731287</v>
      </c>
      <c r="C89" s="47" t="s">
        <v>103</v>
      </c>
      <c r="D89" s="46"/>
      <c r="E89" s="10">
        <v>0</v>
      </c>
      <c r="F89" s="10">
        <v>0</v>
      </c>
      <c r="G89" s="39" t="s">
        <v>34</v>
      </c>
      <c r="H89" s="11">
        <f t="shared" si="8"/>
        <v>0</v>
      </c>
      <c r="I89" s="10">
        <f t="shared" si="6"/>
        <v>0</v>
      </c>
      <c r="J89" s="10">
        <v>0</v>
      </c>
      <c r="K89" s="10">
        <f t="shared" si="9"/>
        <v>0</v>
      </c>
      <c r="L89" s="17">
        <v>-1.25</v>
      </c>
      <c r="M89" s="18">
        <f t="shared" si="10"/>
        <v>-1.25</v>
      </c>
      <c r="N89" s="19">
        <f t="shared" si="7"/>
        <v>0</v>
      </c>
      <c r="O89" s="20">
        <f t="shared" si="11"/>
        <v>-1.25</v>
      </c>
    </row>
    <row r="90" spans="1:18" ht="18.75">
      <c r="A90" s="9">
        <v>15</v>
      </c>
      <c r="B90" s="8">
        <v>388960345</v>
      </c>
      <c r="C90" s="48" t="s">
        <v>11</v>
      </c>
      <c r="D90" s="49"/>
      <c r="E90" s="10">
        <v>0</v>
      </c>
      <c r="F90" s="10">
        <v>0</v>
      </c>
      <c r="G90" s="39" t="s">
        <v>34</v>
      </c>
      <c r="H90" s="11">
        <f t="shared" si="8"/>
        <v>0</v>
      </c>
      <c r="I90" s="10">
        <f t="shared" si="6"/>
        <v>0</v>
      </c>
      <c r="J90" s="10">
        <v>0</v>
      </c>
      <c r="K90" s="10">
        <f t="shared" si="9"/>
        <v>0</v>
      </c>
      <c r="L90" s="17">
        <v>0.625</v>
      </c>
      <c r="M90" s="18">
        <f t="shared" si="10"/>
        <v>0.625</v>
      </c>
      <c r="N90" s="19">
        <f t="shared" si="7"/>
        <v>0</v>
      </c>
      <c r="O90" s="20">
        <f t="shared" si="11"/>
        <v>0.625</v>
      </c>
      <c r="P90" s="40"/>
      <c r="Q90" s="40"/>
      <c r="R90" s="40"/>
    </row>
    <row r="91" spans="1:18" ht="18.75">
      <c r="A91" s="8">
        <v>185</v>
      </c>
      <c r="B91" s="8">
        <v>30705222</v>
      </c>
      <c r="C91" s="47" t="s">
        <v>95</v>
      </c>
      <c r="D91" s="46"/>
      <c r="E91" s="10">
        <v>0</v>
      </c>
      <c r="F91" s="10">
        <v>0</v>
      </c>
      <c r="G91" s="39" t="s">
        <v>34</v>
      </c>
      <c r="H91" s="11">
        <f t="shared" si="8"/>
        <v>0</v>
      </c>
      <c r="I91" s="10">
        <f t="shared" si="6"/>
        <v>0</v>
      </c>
      <c r="J91" s="10">
        <v>0</v>
      </c>
      <c r="K91" s="10">
        <f t="shared" si="9"/>
        <v>0</v>
      </c>
      <c r="L91" s="17">
        <v>0.625</v>
      </c>
      <c r="M91" s="18">
        <f t="shared" si="10"/>
        <v>0.625</v>
      </c>
      <c r="N91" s="19">
        <f t="shared" si="7"/>
        <v>0</v>
      </c>
      <c r="O91" s="20">
        <f t="shared" si="11"/>
        <v>0.625</v>
      </c>
    </row>
    <row r="92" spans="1:18" ht="18.75">
      <c r="A92" s="8">
        <v>178</v>
      </c>
      <c r="B92" s="8">
        <v>1059185275</v>
      </c>
      <c r="C92" s="47" t="s">
        <v>91</v>
      </c>
      <c r="D92" s="46"/>
      <c r="E92" s="10">
        <v>0</v>
      </c>
      <c r="F92" s="10">
        <v>0</v>
      </c>
      <c r="G92" s="39" t="s">
        <v>34</v>
      </c>
      <c r="H92" s="11">
        <f t="shared" si="8"/>
        <v>0</v>
      </c>
      <c r="I92" s="10">
        <f t="shared" si="6"/>
        <v>0</v>
      </c>
      <c r="J92" s="10">
        <v>0</v>
      </c>
      <c r="K92" s="10">
        <f t="shared" si="9"/>
        <v>0</v>
      </c>
      <c r="L92" s="17">
        <v>0.625</v>
      </c>
      <c r="M92" s="18">
        <f t="shared" si="10"/>
        <v>0.625</v>
      </c>
      <c r="N92" s="19">
        <f t="shared" si="7"/>
        <v>0</v>
      </c>
      <c r="O92" s="20">
        <f t="shared" si="11"/>
        <v>0.625</v>
      </c>
    </row>
    <row r="93" spans="1:18" ht="18.75">
      <c r="A93" s="8">
        <v>189</v>
      </c>
      <c r="B93" s="8">
        <v>522812489</v>
      </c>
      <c r="C93" s="47" t="s">
        <v>99</v>
      </c>
      <c r="D93" s="46"/>
      <c r="E93" s="10">
        <v>0</v>
      </c>
      <c r="F93" s="10">
        <v>0</v>
      </c>
      <c r="G93" s="39" t="s">
        <v>34</v>
      </c>
      <c r="H93" s="11">
        <f t="shared" si="8"/>
        <v>0</v>
      </c>
      <c r="I93" s="10">
        <f t="shared" si="6"/>
        <v>0</v>
      </c>
      <c r="J93" s="10">
        <v>0</v>
      </c>
      <c r="K93" s="10">
        <f t="shared" si="9"/>
        <v>0</v>
      </c>
      <c r="L93" s="17">
        <v>0.625</v>
      </c>
      <c r="M93" s="18">
        <f t="shared" si="10"/>
        <v>0.625</v>
      </c>
      <c r="N93" s="19">
        <f t="shared" si="7"/>
        <v>0</v>
      </c>
      <c r="O93" s="20">
        <f t="shared" si="11"/>
        <v>0.625</v>
      </c>
    </row>
    <row r="94" spans="1:18" ht="18.75">
      <c r="A94" s="8">
        <v>207</v>
      </c>
      <c r="B94" s="8">
        <v>721273803</v>
      </c>
      <c r="C94" s="51" t="s">
        <v>124</v>
      </c>
      <c r="D94" s="46"/>
      <c r="E94" s="10">
        <v>0</v>
      </c>
      <c r="F94" s="10">
        <v>0</v>
      </c>
      <c r="G94" s="39" t="s">
        <v>34</v>
      </c>
      <c r="H94" s="11">
        <f t="shared" si="8"/>
        <v>0</v>
      </c>
      <c r="I94" s="10">
        <f t="shared" si="6"/>
        <v>0</v>
      </c>
      <c r="J94" s="10">
        <v>0</v>
      </c>
      <c r="K94" s="10">
        <f t="shared" si="9"/>
        <v>0</v>
      </c>
      <c r="L94" s="17">
        <v>0.625</v>
      </c>
      <c r="M94" s="18">
        <f t="shared" si="10"/>
        <v>0.625</v>
      </c>
      <c r="N94" s="19">
        <f t="shared" si="7"/>
        <v>0</v>
      </c>
      <c r="O94" s="20">
        <f t="shared" si="11"/>
        <v>0.625</v>
      </c>
    </row>
  </sheetData>
  <sortState ref="A5:O34">
    <sortCondition descending="1" ref="M5:M34"/>
  </sortState>
  <mergeCells count="4">
    <mergeCell ref="A1:O1"/>
    <mergeCell ref="A2:O2"/>
    <mergeCell ref="A3:D3"/>
    <mergeCell ref="G3:O3"/>
  </mergeCells>
  <phoneticPr fontId="13" type="noConversion"/>
  <conditionalFormatting sqref="J77 J79 J82 J84 J86:J87 J89 J91 J93:J94 J36:J75 E34:F94 E30 E32:E33 E5:F29 F30:F33 J5:J30 J32:J34">
    <cfRule type="cellIs" dxfId="38" priority="6" operator="lessThan">
      <formula>1</formula>
    </cfRule>
  </conditionalFormatting>
  <conditionalFormatting sqref="J76 J78 J80:J81 J83 J85 J88 J90 J92 J35">
    <cfRule type="cellIs" dxfId="37" priority="7" operator="lessThan">
      <formula>1</formula>
    </cfRule>
  </conditionalFormatting>
  <conditionalFormatting sqref="E31">
    <cfRule type="cellIs" dxfId="36" priority="1" operator="lessThan">
      <formula>1</formula>
    </cfRule>
  </conditionalFormatting>
  <conditionalFormatting sqref="J31">
    <cfRule type="cellIs" dxfId="35" priority="2" operator="lessThan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Views>
    <sheetView topLeftCell="A3" workbookViewId="0">
      <selection activeCell="O5" sqref="O5:O35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活动中心",T16,"年",T17,"月",T18,"日","分包贡献明细","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X3/$T$14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73" t="s">
        <v>2</v>
      </c>
      <c r="B4" s="55" t="s">
        <v>28</v>
      </c>
      <c r="C4" s="73" t="s">
        <v>3</v>
      </c>
      <c r="D4" s="73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170</v>
      </c>
      <c r="R4" s="55" t="s">
        <v>1</v>
      </c>
      <c r="S4" s="29" t="s">
        <v>155</v>
      </c>
      <c r="T4" s="28">
        <f>X4/$T$14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9">
        <v>49</v>
      </c>
      <c r="B5" s="8">
        <v>311361673</v>
      </c>
      <c r="C5" s="48" t="s">
        <v>126</v>
      </c>
      <c r="D5" s="49" t="s">
        <v>125</v>
      </c>
      <c r="E5" s="10">
        <v>4</v>
      </c>
      <c r="F5" s="10">
        <v>60</v>
      </c>
      <c r="G5" s="39" t="s">
        <v>34</v>
      </c>
      <c r="H5" s="11">
        <f t="shared" ref="H5:H35" si="0">E5+IF(E5&gt;2,(E5-2)*0.5,0)</f>
        <v>5</v>
      </c>
      <c r="I5" s="10">
        <f t="shared" ref="I5:I35" si="1">F5/$T$15</f>
        <v>1.2</v>
      </c>
      <c r="J5" s="10">
        <v>0</v>
      </c>
      <c r="K5" s="10">
        <f t="shared" ref="K5:K35" si="2">SUM(I5+H5+J5)</f>
        <v>6.2</v>
      </c>
      <c r="L5" s="17">
        <v>11.100000000000001</v>
      </c>
      <c r="M5" s="18">
        <f t="shared" ref="M5:M35" si="3">K5+L5</f>
        <v>17.3</v>
      </c>
      <c r="N5" s="19">
        <f t="shared" ref="N5:N25" si="4">VLOOKUP(G5,$S$3:$T$11,2,FALSE)</f>
        <v>0</v>
      </c>
      <c r="O5" s="20">
        <f t="shared" ref="O5:O35" si="5">M5-N5</f>
        <v>17.3</v>
      </c>
      <c r="P5" s="40"/>
      <c r="Q5" s="40"/>
    </row>
    <row r="6" spans="1:24" ht="18.75">
      <c r="A6" s="9">
        <v>34</v>
      </c>
      <c r="B6" s="8">
        <v>2021794494</v>
      </c>
      <c r="C6" s="48" t="s">
        <v>136</v>
      </c>
      <c r="D6" s="49" t="s">
        <v>133</v>
      </c>
      <c r="E6" s="10">
        <v>4</v>
      </c>
      <c r="F6" s="10">
        <v>60</v>
      </c>
      <c r="G6" s="12" t="s">
        <v>156</v>
      </c>
      <c r="H6" s="11">
        <f t="shared" si="0"/>
        <v>5</v>
      </c>
      <c r="I6" s="10">
        <f t="shared" si="1"/>
        <v>1.2</v>
      </c>
      <c r="J6" s="10">
        <v>0</v>
      </c>
      <c r="K6" s="10">
        <f t="shared" si="2"/>
        <v>6.2</v>
      </c>
      <c r="L6" s="17">
        <v>3.1500000000000004</v>
      </c>
      <c r="M6" s="18">
        <f t="shared" si="3"/>
        <v>9.3500000000000014</v>
      </c>
      <c r="N6" s="19">
        <f t="shared" si="4"/>
        <v>8.125</v>
      </c>
      <c r="O6" s="20">
        <f t="shared" si="5"/>
        <v>1.2250000000000014</v>
      </c>
      <c r="P6" s="11"/>
      <c r="Q6" s="11"/>
      <c r="R6" s="31"/>
      <c r="S6" s="14" t="s">
        <v>33</v>
      </c>
      <c r="T6" s="28">
        <f>X6/$T$14</f>
        <v>7.5</v>
      </c>
      <c r="U6" s="30">
        <v>3</v>
      </c>
      <c r="V6" s="30">
        <v>5</v>
      </c>
      <c r="W6" s="30">
        <v>10</v>
      </c>
      <c r="X6" s="30">
        <v>1200</v>
      </c>
    </row>
    <row r="7" spans="1:24" ht="18.75">
      <c r="A7" s="8">
        <v>118</v>
      </c>
      <c r="B7" s="8">
        <v>2018112397</v>
      </c>
      <c r="C7" s="47" t="s">
        <v>152</v>
      </c>
      <c r="D7" s="48" t="s">
        <v>63</v>
      </c>
      <c r="E7" s="10">
        <v>4</v>
      </c>
      <c r="F7" s="10">
        <v>50</v>
      </c>
      <c r="G7" s="12" t="s">
        <v>156</v>
      </c>
      <c r="H7" s="11">
        <f t="shared" si="0"/>
        <v>5</v>
      </c>
      <c r="I7" s="10">
        <f t="shared" si="1"/>
        <v>1</v>
      </c>
      <c r="J7" s="10">
        <v>0</v>
      </c>
      <c r="K7" s="10">
        <f t="shared" si="2"/>
        <v>6</v>
      </c>
      <c r="L7" s="17">
        <v>2.9750000000000005</v>
      </c>
      <c r="M7" s="18">
        <f t="shared" si="3"/>
        <v>8.9750000000000014</v>
      </c>
      <c r="N7" s="19">
        <f t="shared" si="4"/>
        <v>8.125</v>
      </c>
      <c r="O7" s="20">
        <f t="shared" si="5"/>
        <v>0.85000000000000142</v>
      </c>
      <c r="P7" s="4"/>
      <c r="Q7" s="4"/>
      <c r="R7" s="4"/>
      <c r="S7" s="14"/>
      <c r="T7" s="28"/>
      <c r="U7" s="30"/>
      <c r="V7" s="30"/>
      <c r="W7" s="30"/>
      <c r="X7" s="30"/>
    </row>
    <row r="8" spans="1:24" ht="18.75">
      <c r="A8" s="9">
        <v>53</v>
      </c>
      <c r="B8" s="8">
        <v>500959924</v>
      </c>
      <c r="C8" s="47" t="s">
        <v>134</v>
      </c>
      <c r="D8" s="49" t="s">
        <v>16</v>
      </c>
      <c r="E8" s="10">
        <v>4</v>
      </c>
      <c r="F8" s="10">
        <v>60</v>
      </c>
      <c r="G8" s="12" t="s">
        <v>156</v>
      </c>
      <c r="H8" s="11">
        <f t="shared" si="0"/>
        <v>5</v>
      </c>
      <c r="I8" s="10">
        <f t="shared" si="1"/>
        <v>1.2</v>
      </c>
      <c r="J8" s="10">
        <v>0</v>
      </c>
      <c r="K8" s="10">
        <f t="shared" si="2"/>
        <v>6.2</v>
      </c>
      <c r="L8" s="17">
        <v>2.4250000000000003</v>
      </c>
      <c r="M8" s="18">
        <f t="shared" si="3"/>
        <v>8.625</v>
      </c>
      <c r="N8" s="19">
        <f t="shared" si="4"/>
        <v>8.125</v>
      </c>
      <c r="O8" s="20">
        <f t="shared" si="5"/>
        <v>0.5</v>
      </c>
      <c r="P8" s="4"/>
      <c r="Q8" s="4"/>
      <c r="R8" s="4"/>
      <c r="S8" s="12" t="s">
        <v>156</v>
      </c>
      <c r="T8" s="28">
        <f>X8/$T$14</f>
        <v>8.125</v>
      </c>
      <c r="U8" s="30">
        <v>4</v>
      </c>
      <c r="V8" s="30">
        <v>5</v>
      </c>
      <c r="W8" s="30"/>
      <c r="X8" s="30">
        <v>1300</v>
      </c>
    </row>
    <row r="9" spans="1:24" ht="18.75">
      <c r="A9" s="8"/>
      <c r="B9" s="8">
        <v>1804880865</v>
      </c>
      <c r="C9" s="47" t="s">
        <v>151</v>
      </c>
      <c r="D9" s="48"/>
      <c r="E9" s="10">
        <v>4</v>
      </c>
      <c r="F9" s="10">
        <v>60</v>
      </c>
      <c r="G9" s="12" t="s">
        <v>156</v>
      </c>
      <c r="H9" s="11">
        <f t="shared" si="0"/>
        <v>5</v>
      </c>
      <c r="I9" s="10">
        <f t="shared" si="1"/>
        <v>1.2</v>
      </c>
      <c r="J9" s="10">
        <v>0</v>
      </c>
      <c r="K9" s="10">
        <f t="shared" si="2"/>
        <v>6.2</v>
      </c>
      <c r="L9" s="17">
        <v>2.3500000000000005</v>
      </c>
      <c r="M9" s="18">
        <f t="shared" si="3"/>
        <v>8.5500000000000007</v>
      </c>
      <c r="N9" s="19">
        <f t="shared" si="4"/>
        <v>8.125</v>
      </c>
      <c r="O9" s="20">
        <f t="shared" si="5"/>
        <v>0.42500000000000071</v>
      </c>
      <c r="P9" s="11"/>
      <c r="Q9" s="11"/>
      <c r="R9" s="11"/>
      <c r="S9" s="13" t="s">
        <v>157</v>
      </c>
      <c r="T9" s="28">
        <f>X9/$T$14</f>
        <v>6.25</v>
      </c>
      <c r="U9" s="30">
        <v>3</v>
      </c>
      <c r="V9" s="30">
        <v>4</v>
      </c>
      <c r="W9" s="30"/>
      <c r="X9" s="30">
        <v>1000</v>
      </c>
    </row>
    <row r="10" spans="1:24" ht="18.75">
      <c r="A10" s="8">
        <v>176</v>
      </c>
      <c r="B10" s="8">
        <v>128748910</v>
      </c>
      <c r="C10" s="48" t="s">
        <v>165</v>
      </c>
      <c r="D10" s="47" t="s">
        <v>169</v>
      </c>
      <c r="E10" s="10">
        <v>4</v>
      </c>
      <c r="F10" s="10">
        <v>60</v>
      </c>
      <c r="G10" s="12" t="s">
        <v>156</v>
      </c>
      <c r="H10" s="11">
        <f t="shared" si="0"/>
        <v>5</v>
      </c>
      <c r="I10" s="10">
        <f t="shared" si="1"/>
        <v>1.2</v>
      </c>
      <c r="J10" s="10">
        <v>0</v>
      </c>
      <c r="K10" s="10">
        <f t="shared" si="2"/>
        <v>6.2</v>
      </c>
      <c r="L10" s="17">
        <v>1.4750000000000005</v>
      </c>
      <c r="M10" s="18">
        <f t="shared" si="3"/>
        <v>7.6750000000000007</v>
      </c>
      <c r="N10" s="19">
        <f t="shared" si="4"/>
        <v>8.125</v>
      </c>
      <c r="O10" s="20">
        <f t="shared" si="5"/>
        <v>-0.44999999999999929</v>
      </c>
      <c r="P10" s="4"/>
      <c r="Q10" s="4"/>
      <c r="R10" s="4"/>
      <c r="S10" s="14" t="s">
        <v>158</v>
      </c>
      <c r="T10" s="28">
        <f>X10/$T$14</f>
        <v>4.375</v>
      </c>
      <c r="U10" s="30">
        <v>2</v>
      </c>
      <c r="V10" s="30">
        <v>3</v>
      </c>
      <c r="W10" s="30"/>
      <c r="X10" s="30">
        <v>700</v>
      </c>
    </row>
    <row r="11" spans="1:24" ht="18.75">
      <c r="A11" s="8">
        <v>173</v>
      </c>
      <c r="B11" s="8">
        <v>1106175185</v>
      </c>
      <c r="C11" s="47" t="s">
        <v>145</v>
      </c>
      <c r="D11" s="46"/>
      <c r="E11" s="10">
        <v>4</v>
      </c>
      <c r="F11" s="10">
        <v>60</v>
      </c>
      <c r="G11" s="13" t="s">
        <v>157</v>
      </c>
      <c r="H11" s="11">
        <f t="shared" si="0"/>
        <v>5</v>
      </c>
      <c r="I11" s="10">
        <f t="shared" si="1"/>
        <v>1.2</v>
      </c>
      <c r="J11" s="10">
        <v>0</v>
      </c>
      <c r="K11" s="10">
        <f t="shared" si="2"/>
        <v>6.2</v>
      </c>
      <c r="L11" s="17">
        <v>0.85000000000000053</v>
      </c>
      <c r="M11" s="18">
        <f t="shared" si="3"/>
        <v>7.0500000000000007</v>
      </c>
      <c r="N11" s="19">
        <f t="shared" si="4"/>
        <v>6.25</v>
      </c>
      <c r="O11" s="20">
        <f t="shared" si="5"/>
        <v>0.80000000000000071</v>
      </c>
      <c r="P11" s="4"/>
      <c r="Q11" s="4"/>
      <c r="R11" s="4"/>
      <c r="S11" s="33" t="s">
        <v>34</v>
      </c>
      <c r="T11" s="2">
        <v>0</v>
      </c>
      <c r="U11" s="2"/>
      <c r="V11" s="2"/>
      <c r="W11" s="2"/>
      <c r="X11" s="2"/>
    </row>
    <row r="12" spans="1:24" ht="18.75">
      <c r="A12" s="8">
        <v>212</v>
      </c>
      <c r="B12" s="8">
        <v>2133045883</v>
      </c>
      <c r="C12" s="47" t="s">
        <v>122</v>
      </c>
      <c r="D12" s="46"/>
      <c r="E12" s="10">
        <v>3</v>
      </c>
      <c r="F12" s="10">
        <v>60</v>
      </c>
      <c r="G12" s="13" t="s">
        <v>157</v>
      </c>
      <c r="H12" s="11">
        <f t="shared" si="0"/>
        <v>3.5</v>
      </c>
      <c r="I12" s="10">
        <f t="shared" si="1"/>
        <v>1.2</v>
      </c>
      <c r="J12" s="10">
        <v>0</v>
      </c>
      <c r="K12" s="10">
        <f t="shared" si="2"/>
        <v>4.7</v>
      </c>
      <c r="L12" s="17">
        <v>2.2750000000000004</v>
      </c>
      <c r="M12" s="18">
        <f t="shared" si="3"/>
        <v>6.9750000000000005</v>
      </c>
      <c r="N12" s="19">
        <f t="shared" si="4"/>
        <v>6.25</v>
      </c>
      <c r="O12" s="20">
        <f t="shared" si="5"/>
        <v>0.72500000000000053</v>
      </c>
      <c r="P12" s="4"/>
      <c r="Q12" s="4"/>
      <c r="R12" s="4"/>
      <c r="S12" s="34"/>
      <c r="T12" s="1"/>
      <c r="U12" s="1"/>
      <c r="V12" s="1"/>
      <c r="W12" s="1"/>
      <c r="X12" s="1"/>
    </row>
    <row r="13" spans="1:24" ht="18.75">
      <c r="A13" s="8">
        <v>200</v>
      </c>
      <c r="B13" s="8">
        <v>967589156</v>
      </c>
      <c r="C13" s="47" t="s">
        <v>109</v>
      </c>
      <c r="D13" s="46"/>
      <c r="E13" s="10">
        <v>4</v>
      </c>
      <c r="F13" s="10">
        <v>60</v>
      </c>
      <c r="G13" s="13" t="s">
        <v>157</v>
      </c>
      <c r="H13" s="11">
        <f t="shared" si="0"/>
        <v>5</v>
      </c>
      <c r="I13" s="10">
        <f t="shared" si="1"/>
        <v>1.2</v>
      </c>
      <c r="J13" s="10">
        <v>0</v>
      </c>
      <c r="K13" s="10">
        <f t="shared" si="2"/>
        <v>6.2</v>
      </c>
      <c r="L13" s="17">
        <v>0.60000000000000053</v>
      </c>
      <c r="M13" s="18">
        <f t="shared" si="3"/>
        <v>6.8000000000000007</v>
      </c>
      <c r="N13" s="19">
        <f t="shared" si="4"/>
        <v>6.25</v>
      </c>
      <c r="O13" s="20">
        <f t="shared" si="5"/>
        <v>0.55000000000000071</v>
      </c>
      <c r="P13" s="4"/>
      <c r="Q13" s="4"/>
      <c r="R13" s="4"/>
      <c r="S13" s="35" t="s">
        <v>36</v>
      </c>
      <c r="T13" s="1">
        <v>15000</v>
      </c>
      <c r="U13" s="1"/>
      <c r="V13" s="1"/>
      <c r="W13" s="1"/>
      <c r="X13" s="1"/>
    </row>
    <row r="14" spans="1:24" ht="18.75">
      <c r="A14" s="9">
        <v>33</v>
      </c>
      <c r="B14" s="8">
        <v>1006436515</v>
      </c>
      <c r="C14" s="47" t="s">
        <v>77</v>
      </c>
      <c r="D14" s="48" t="s">
        <v>13</v>
      </c>
      <c r="E14" s="10">
        <v>4</v>
      </c>
      <c r="F14" s="10">
        <v>60</v>
      </c>
      <c r="G14" s="13" t="s">
        <v>157</v>
      </c>
      <c r="H14" s="11">
        <f t="shared" si="0"/>
        <v>5</v>
      </c>
      <c r="I14" s="10">
        <f t="shared" si="1"/>
        <v>1.2</v>
      </c>
      <c r="J14" s="10">
        <v>0</v>
      </c>
      <c r="K14" s="10">
        <f t="shared" si="2"/>
        <v>6.2</v>
      </c>
      <c r="L14" s="17">
        <v>0.40000000000000036</v>
      </c>
      <c r="M14" s="18">
        <f t="shared" si="3"/>
        <v>6.6000000000000005</v>
      </c>
      <c r="N14" s="19">
        <f t="shared" si="4"/>
        <v>6.25</v>
      </c>
      <c r="O14" s="20">
        <f t="shared" si="5"/>
        <v>0.35000000000000053</v>
      </c>
      <c r="P14" s="11"/>
      <c r="Q14" s="11"/>
      <c r="R14" s="11"/>
      <c r="S14" s="36" t="s">
        <v>37</v>
      </c>
      <c r="T14" s="37">
        <v>160</v>
      </c>
      <c r="U14" s="1"/>
      <c r="V14" s="1"/>
      <c r="W14" s="1"/>
      <c r="X14" s="1"/>
    </row>
    <row r="15" spans="1:24" ht="18.75">
      <c r="A15" s="8"/>
      <c r="B15" s="8">
        <v>1333428907</v>
      </c>
      <c r="C15" s="47" t="s">
        <v>150</v>
      </c>
      <c r="D15" s="48"/>
      <c r="E15" s="10">
        <v>4</v>
      </c>
      <c r="F15" s="10">
        <v>50</v>
      </c>
      <c r="G15" s="13" t="s">
        <v>157</v>
      </c>
      <c r="H15" s="11">
        <f t="shared" si="0"/>
        <v>5</v>
      </c>
      <c r="I15" s="10">
        <f t="shared" si="1"/>
        <v>1</v>
      </c>
      <c r="J15" s="10">
        <v>0</v>
      </c>
      <c r="K15" s="10">
        <f t="shared" si="2"/>
        <v>6</v>
      </c>
      <c r="L15" s="17">
        <v>0.47500000000000053</v>
      </c>
      <c r="M15" s="18">
        <f t="shared" si="3"/>
        <v>6.4750000000000005</v>
      </c>
      <c r="N15" s="19">
        <f t="shared" si="4"/>
        <v>6.25</v>
      </c>
      <c r="O15" s="20">
        <f t="shared" si="5"/>
        <v>0.22500000000000053</v>
      </c>
      <c r="P15" s="11"/>
      <c r="Q15" s="11"/>
      <c r="R15" s="11"/>
      <c r="S15" s="38" t="s">
        <v>52</v>
      </c>
      <c r="T15" s="37">
        <v>50</v>
      </c>
      <c r="U15" s="1"/>
      <c r="V15" s="1"/>
      <c r="W15" s="1"/>
      <c r="X15" s="1"/>
    </row>
    <row r="16" spans="1:24" ht="18.75">
      <c r="A16" s="9">
        <v>1</v>
      </c>
      <c r="B16" s="8">
        <v>1782151946</v>
      </c>
      <c r="C16" s="47" t="s">
        <v>135</v>
      </c>
      <c r="D16" s="48" t="s">
        <v>8</v>
      </c>
      <c r="E16" s="10">
        <v>4</v>
      </c>
      <c r="F16" s="10">
        <v>60</v>
      </c>
      <c r="G16" s="14" t="s">
        <v>158</v>
      </c>
      <c r="H16" s="11">
        <f t="shared" si="0"/>
        <v>5</v>
      </c>
      <c r="I16" s="10">
        <f t="shared" si="1"/>
        <v>1.2</v>
      </c>
      <c r="J16" s="10">
        <v>0</v>
      </c>
      <c r="K16" s="10">
        <f t="shared" si="2"/>
        <v>6.2</v>
      </c>
      <c r="L16" s="17">
        <v>0.27500000000000036</v>
      </c>
      <c r="M16" s="18">
        <f t="shared" si="3"/>
        <v>6.4750000000000005</v>
      </c>
      <c r="N16" s="19">
        <f t="shared" si="4"/>
        <v>4.375</v>
      </c>
      <c r="O16" s="20">
        <f t="shared" si="5"/>
        <v>2.1000000000000005</v>
      </c>
      <c r="P16" s="11"/>
      <c r="Q16" s="11"/>
      <c r="R16" s="32"/>
      <c r="S16" s="1" t="s">
        <v>38</v>
      </c>
      <c r="T16" s="37">
        <v>2020</v>
      </c>
      <c r="U16" s="1"/>
      <c r="V16" s="1"/>
      <c r="W16" s="1"/>
      <c r="X16" s="1"/>
    </row>
    <row r="17" spans="1:24" ht="18.75">
      <c r="A17" s="9"/>
      <c r="B17" s="8">
        <v>1238792963</v>
      </c>
      <c r="C17" s="48" t="s">
        <v>142</v>
      </c>
      <c r="D17" s="49"/>
      <c r="E17" s="10">
        <v>3</v>
      </c>
      <c r="F17" s="10">
        <v>60</v>
      </c>
      <c r="G17" s="14" t="s">
        <v>158</v>
      </c>
      <c r="H17" s="11">
        <f t="shared" si="0"/>
        <v>3.5</v>
      </c>
      <c r="I17" s="10">
        <f t="shared" si="1"/>
        <v>1.2</v>
      </c>
      <c r="J17" s="10">
        <v>0</v>
      </c>
      <c r="K17" s="10">
        <f t="shared" si="2"/>
        <v>4.7</v>
      </c>
      <c r="L17" s="17">
        <v>1.6500000000000004</v>
      </c>
      <c r="M17" s="18">
        <f t="shared" si="3"/>
        <v>6.3500000000000005</v>
      </c>
      <c r="N17" s="19">
        <f t="shared" si="4"/>
        <v>4.375</v>
      </c>
      <c r="O17" s="20">
        <f t="shared" si="5"/>
        <v>1.9750000000000005</v>
      </c>
      <c r="P17" s="11"/>
      <c r="Q17" s="11"/>
      <c r="R17" s="31"/>
      <c r="S17" s="1" t="s">
        <v>39</v>
      </c>
      <c r="T17" s="37">
        <v>9</v>
      </c>
      <c r="U17" s="1"/>
      <c r="V17" s="1"/>
      <c r="W17" s="1"/>
      <c r="X17" s="1"/>
    </row>
    <row r="18" spans="1:24" ht="18.75">
      <c r="A18" s="9">
        <v>92</v>
      </c>
      <c r="B18" s="8">
        <v>1367873925</v>
      </c>
      <c r="C18" s="47" t="s">
        <v>130</v>
      </c>
      <c r="D18" s="48" t="s">
        <v>143</v>
      </c>
      <c r="E18" s="10">
        <v>4</v>
      </c>
      <c r="F18" s="10">
        <v>60</v>
      </c>
      <c r="G18" s="14" t="s">
        <v>158</v>
      </c>
      <c r="H18" s="11">
        <f t="shared" si="0"/>
        <v>5</v>
      </c>
      <c r="I18" s="10">
        <f t="shared" si="1"/>
        <v>1.2</v>
      </c>
      <c r="J18" s="10">
        <v>0</v>
      </c>
      <c r="K18" s="10">
        <f t="shared" si="2"/>
        <v>6.2</v>
      </c>
      <c r="L18" s="17">
        <v>-2.5000000000000355E-2</v>
      </c>
      <c r="M18" s="18">
        <f t="shared" si="3"/>
        <v>6.1749999999999998</v>
      </c>
      <c r="N18" s="19">
        <f t="shared" si="4"/>
        <v>4.375</v>
      </c>
      <c r="O18" s="20">
        <f t="shared" si="5"/>
        <v>1.7999999999999998</v>
      </c>
      <c r="P18" s="11"/>
      <c r="Q18" s="11"/>
      <c r="R18" s="11"/>
      <c r="S18" s="1" t="s">
        <v>40</v>
      </c>
      <c r="T18" s="37">
        <v>27</v>
      </c>
    </row>
    <row r="19" spans="1:24" ht="18.75">
      <c r="A19" s="8"/>
      <c r="B19" s="8">
        <v>1128309198</v>
      </c>
      <c r="C19" s="47" t="s">
        <v>163</v>
      </c>
      <c r="D19" s="47"/>
      <c r="E19" s="10">
        <v>4</v>
      </c>
      <c r="F19" s="10">
        <v>50</v>
      </c>
      <c r="G19" s="14" t="s">
        <v>158</v>
      </c>
      <c r="H19" s="11">
        <f t="shared" si="0"/>
        <v>5</v>
      </c>
      <c r="I19" s="10">
        <f t="shared" si="1"/>
        <v>1</v>
      </c>
      <c r="J19" s="10">
        <v>0</v>
      </c>
      <c r="K19" s="10">
        <f t="shared" si="2"/>
        <v>6</v>
      </c>
      <c r="L19" s="17">
        <v>0</v>
      </c>
      <c r="M19" s="18">
        <f t="shared" si="3"/>
        <v>6</v>
      </c>
      <c r="N19" s="19">
        <f t="shared" si="4"/>
        <v>4.375</v>
      </c>
      <c r="O19" s="20">
        <f t="shared" si="5"/>
        <v>1.625</v>
      </c>
      <c r="P19" s="11"/>
      <c r="Q19" s="11"/>
      <c r="R19" s="11"/>
      <c r="U19" s="1"/>
      <c r="V19" s="1"/>
      <c r="W19" s="1"/>
      <c r="X19" s="1"/>
    </row>
    <row r="20" spans="1:24" ht="18.75">
      <c r="A20" s="8"/>
      <c r="B20" s="8">
        <v>353335311</v>
      </c>
      <c r="C20" s="48" t="s">
        <v>164</v>
      </c>
      <c r="D20" s="46"/>
      <c r="E20" s="10">
        <v>4</v>
      </c>
      <c r="F20" s="10">
        <v>50</v>
      </c>
      <c r="G20" s="14" t="s">
        <v>158</v>
      </c>
      <c r="H20" s="11">
        <f t="shared" si="0"/>
        <v>5</v>
      </c>
      <c r="I20" s="10">
        <f t="shared" si="1"/>
        <v>1</v>
      </c>
      <c r="J20" s="10">
        <v>0</v>
      </c>
      <c r="K20" s="10">
        <f t="shared" si="2"/>
        <v>6</v>
      </c>
      <c r="L20" s="17">
        <v>0</v>
      </c>
      <c r="M20" s="18">
        <f t="shared" si="3"/>
        <v>6</v>
      </c>
      <c r="N20" s="19">
        <f t="shared" si="4"/>
        <v>4.375</v>
      </c>
      <c r="O20" s="20">
        <f t="shared" si="5"/>
        <v>1.625</v>
      </c>
      <c r="P20" s="11"/>
      <c r="Q20" s="11"/>
      <c r="R20" s="11"/>
    </row>
    <row r="21" spans="1:24" ht="18.75">
      <c r="A21" s="9"/>
      <c r="B21" s="8">
        <v>910452107</v>
      </c>
      <c r="C21" s="48" t="s">
        <v>129</v>
      </c>
      <c r="D21" s="49"/>
      <c r="E21" s="10">
        <v>2</v>
      </c>
      <c r="F21" s="10">
        <v>60</v>
      </c>
      <c r="G21" s="39" t="s">
        <v>34</v>
      </c>
      <c r="H21" s="11">
        <f t="shared" si="0"/>
        <v>2</v>
      </c>
      <c r="I21" s="10">
        <f t="shared" si="1"/>
        <v>1.2</v>
      </c>
      <c r="J21" s="10">
        <v>0</v>
      </c>
      <c r="K21" s="10">
        <f t="shared" si="2"/>
        <v>3.2</v>
      </c>
      <c r="L21" s="17">
        <v>2.5999999999999996</v>
      </c>
      <c r="M21" s="18">
        <f t="shared" si="3"/>
        <v>5.8</v>
      </c>
      <c r="N21" s="19">
        <f t="shared" si="4"/>
        <v>0</v>
      </c>
      <c r="O21" s="20">
        <f t="shared" si="5"/>
        <v>5.8</v>
      </c>
      <c r="P21" s="4"/>
      <c r="Q21" s="4"/>
      <c r="R21" s="4"/>
    </row>
    <row r="22" spans="1:24" ht="18.75">
      <c r="A22" s="8"/>
      <c r="B22" s="8">
        <v>700083217</v>
      </c>
      <c r="C22" s="47" t="s">
        <v>137</v>
      </c>
      <c r="D22" s="46"/>
      <c r="E22" s="10">
        <v>1</v>
      </c>
      <c r="F22" s="10">
        <v>60</v>
      </c>
      <c r="G22" s="39" t="s">
        <v>34</v>
      </c>
      <c r="H22" s="11">
        <f t="shared" si="0"/>
        <v>1</v>
      </c>
      <c r="I22" s="10">
        <f t="shared" si="1"/>
        <v>1.2</v>
      </c>
      <c r="J22" s="10">
        <v>0</v>
      </c>
      <c r="K22" s="10">
        <f t="shared" si="2"/>
        <v>2.2000000000000002</v>
      </c>
      <c r="L22" s="17">
        <v>3.2</v>
      </c>
      <c r="M22" s="18">
        <f t="shared" si="3"/>
        <v>5.4</v>
      </c>
      <c r="N22" s="19">
        <f t="shared" si="4"/>
        <v>0</v>
      </c>
      <c r="O22" s="20">
        <f t="shared" si="5"/>
        <v>5.4</v>
      </c>
      <c r="P22" s="4"/>
      <c r="Q22" s="4"/>
      <c r="R22" s="4"/>
    </row>
    <row r="23" spans="1:24" ht="18.75">
      <c r="A23" s="9">
        <v>10</v>
      </c>
      <c r="B23" s="8">
        <v>2108977014</v>
      </c>
      <c r="C23" s="47" t="s">
        <v>138</v>
      </c>
      <c r="D23" s="48" t="s">
        <v>10</v>
      </c>
      <c r="E23" s="10">
        <v>4</v>
      </c>
      <c r="F23" s="10">
        <v>60</v>
      </c>
      <c r="G23" s="39" t="s">
        <v>34</v>
      </c>
      <c r="H23" s="11">
        <f t="shared" si="0"/>
        <v>5</v>
      </c>
      <c r="I23" s="10">
        <f t="shared" si="1"/>
        <v>1.2</v>
      </c>
      <c r="J23" s="10">
        <v>0</v>
      </c>
      <c r="K23" s="10">
        <f t="shared" si="2"/>
        <v>6.2</v>
      </c>
      <c r="L23" s="17">
        <v>-1.0249999999999995</v>
      </c>
      <c r="M23" s="18">
        <f t="shared" si="3"/>
        <v>5.1750000000000007</v>
      </c>
      <c r="N23" s="19">
        <f t="shared" si="4"/>
        <v>0</v>
      </c>
      <c r="O23" s="20">
        <f t="shared" si="5"/>
        <v>5.1750000000000007</v>
      </c>
      <c r="P23" s="11"/>
      <c r="Q23" s="11"/>
      <c r="R23" s="32"/>
    </row>
    <row r="24" spans="1:24" ht="18.75">
      <c r="A24" s="9"/>
      <c r="B24" s="8">
        <v>331155825</v>
      </c>
      <c r="C24" s="48" t="s">
        <v>131</v>
      </c>
      <c r="D24" s="49" t="s">
        <v>132</v>
      </c>
      <c r="E24" s="10">
        <v>3</v>
      </c>
      <c r="F24" s="10">
        <v>60</v>
      </c>
      <c r="G24" s="39" t="s">
        <v>34</v>
      </c>
      <c r="H24" s="11">
        <f t="shared" si="0"/>
        <v>3.5</v>
      </c>
      <c r="I24" s="10">
        <f t="shared" si="1"/>
        <v>1.2</v>
      </c>
      <c r="J24" s="10">
        <v>0</v>
      </c>
      <c r="K24" s="10">
        <f t="shared" si="2"/>
        <v>4.7</v>
      </c>
      <c r="L24" s="17">
        <v>0.47500000000000053</v>
      </c>
      <c r="M24" s="18">
        <f t="shared" si="3"/>
        <v>5.1750000000000007</v>
      </c>
      <c r="N24" s="19">
        <f t="shared" si="4"/>
        <v>0</v>
      </c>
      <c r="O24" s="20">
        <f t="shared" si="5"/>
        <v>5.1750000000000007</v>
      </c>
      <c r="P24" s="4"/>
      <c r="Q24" s="4"/>
      <c r="R24" s="4"/>
    </row>
    <row r="25" spans="1:24" ht="18.75">
      <c r="A25" s="9"/>
      <c r="B25" s="8">
        <v>2092029101</v>
      </c>
      <c r="C25" s="47" t="s">
        <v>147</v>
      </c>
      <c r="D25" s="48"/>
      <c r="E25" s="10">
        <v>1</v>
      </c>
      <c r="F25" s="10">
        <v>60</v>
      </c>
      <c r="G25" s="39" t="s">
        <v>34</v>
      </c>
      <c r="H25" s="11">
        <f t="shared" si="0"/>
        <v>1</v>
      </c>
      <c r="I25" s="10">
        <f t="shared" si="1"/>
        <v>1.2</v>
      </c>
      <c r="J25" s="10">
        <v>0</v>
      </c>
      <c r="K25" s="10">
        <f t="shared" si="2"/>
        <v>2.2000000000000002</v>
      </c>
      <c r="L25" s="17">
        <v>2.7250000000000005</v>
      </c>
      <c r="M25" s="18">
        <f t="shared" si="3"/>
        <v>4.9250000000000007</v>
      </c>
      <c r="N25" s="19">
        <f t="shared" si="4"/>
        <v>0</v>
      </c>
      <c r="O25" s="20">
        <f t="shared" si="5"/>
        <v>4.9250000000000007</v>
      </c>
      <c r="P25" s="4"/>
      <c r="Q25" s="4"/>
      <c r="R25" s="4"/>
    </row>
    <row r="26" spans="1:24" ht="18.75">
      <c r="A26" s="8"/>
      <c r="B26" s="8">
        <v>1176673438</v>
      </c>
      <c r="C26" s="48" t="s">
        <v>167</v>
      </c>
      <c r="D26" s="46"/>
      <c r="E26" s="10">
        <v>3</v>
      </c>
      <c r="F26" s="10">
        <v>60</v>
      </c>
      <c r="G26" s="39" t="s">
        <v>34</v>
      </c>
      <c r="H26" s="11">
        <f t="shared" si="0"/>
        <v>3.5</v>
      </c>
      <c r="I26" s="10">
        <f t="shared" si="1"/>
        <v>1.2</v>
      </c>
      <c r="J26" s="10">
        <v>0</v>
      </c>
      <c r="K26" s="10">
        <f t="shared" si="2"/>
        <v>4.7</v>
      </c>
      <c r="L26" s="17">
        <v>0</v>
      </c>
      <c r="M26" s="18">
        <f t="shared" si="3"/>
        <v>4.7</v>
      </c>
      <c r="N26" s="19">
        <v>0</v>
      </c>
      <c r="O26" s="20">
        <f t="shared" si="5"/>
        <v>4.7</v>
      </c>
      <c r="P26" s="11"/>
      <c r="Q26" s="11"/>
      <c r="R26" s="32"/>
    </row>
    <row r="27" spans="1:24" ht="18.75">
      <c r="A27" s="8"/>
      <c r="B27" s="8">
        <v>863510644</v>
      </c>
      <c r="C27" s="47" t="s">
        <v>141</v>
      </c>
      <c r="D27" s="47"/>
      <c r="E27" s="10">
        <v>0</v>
      </c>
      <c r="F27" s="10">
        <v>40</v>
      </c>
      <c r="G27" s="39" t="s">
        <v>34</v>
      </c>
      <c r="H27" s="11">
        <f t="shared" si="0"/>
        <v>0</v>
      </c>
      <c r="I27" s="10">
        <f t="shared" si="1"/>
        <v>0.8</v>
      </c>
      <c r="J27" s="10">
        <v>0</v>
      </c>
      <c r="K27" s="10">
        <f t="shared" si="2"/>
        <v>0.8</v>
      </c>
      <c r="L27" s="17">
        <v>3.8</v>
      </c>
      <c r="M27" s="18">
        <f t="shared" si="3"/>
        <v>4.5999999999999996</v>
      </c>
      <c r="N27" s="19">
        <f t="shared" ref="N27:N35" si="6">VLOOKUP(G27,$S$3:$T$11,2,FALSE)</f>
        <v>0</v>
      </c>
      <c r="O27" s="20">
        <f t="shared" si="5"/>
        <v>4.5999999999999996</v>
      </c>
      <c r="P27" s="4"/>
      <c r="Q27" s="4"/>
      <c r="R27" s="4"/>
    </row>
    <row r="28" spans="1:24" ht="18.75">
      <c r="A28" s="9"/>
      <c r="B28" s="8">
        <v>1078240937</v>
      </c>
      <c r="C28" s="48" t="s">
        <v>148</v>
      </c>
      <c r="D28" s="49" t="s">
        <v>149</v>
      </c>
      <c r="E28" s="10">
        <v>1</v>
      </c>
      <c r="F28" s="10">
        <v>10</v>
      </c>
      <c r="G28" s="39" t="s">
        <v>34</v>
      </c>
      <c r="H28" s="11">
        <f t="shared" si="0"/>
        <v>1</v>
      </c>
      <c r="I28" s="10">
        <f t="shared" si="1"/>
        <v>0.2</v>
      </c>
      <c r="J28" s="10">
        <v>0</v>
      </c>
      <c r="K28" s="10">
        <f t="shared" si="2"/>
        <v>1.2</v>
      </c>
      <c r="L28" s="17">
        <v>2.4249999999999998</v>
      </c>
      <c r="M28" s="18">
        <f t="shared" si="3"/>
        <v>3.625</v>
      </c>
      <c r="N28" s="19">
        <f t="shared" si="6"/>
        <v>0</v>
      </c>
      <c r="O28" s="20">
        <f t="shared" si="5"/>
        <v>3.625</v>
      </c>
      <c r="P28" s="11"/>
      <c r="Q28" s="11"/>
      <c r="R28" s="11"/>
    </row>
    <row r="29" spans="1:24" ht="18.75">
      <c r="A29" s="8"/>
      <c r="B29" s="8">
        <v>610681537</v>
      </c>
      <c r="C29" s="47" t="s">
        <v>153</v>
      </c>
      <c r="D29" s="46"/>
      <c r="E29" s="10">
        <v>0</v>
      </c>
      <c r="F29" s="10">
        <v>60</v>
      </c>
      <c r="G29" s="39" t="s">
        <v>34</v>
      </c>
      <c r="H29" s="11">
        <f t="shared" si="0"/>
        <v>0</v>
      </c>
      <c r="I29" s="10">
        <f t="shared" si="1"/>
        <v>1.2</v>
      </c>
      <c r="J29" s="10">
        <v>0</v>
      </c>
      <c r="K29" s="10">
        <f t="shared" si="2"/>
        <v>1.2</v>
      </c>
      <c r="L29" s="17">
        <v>2.36</v>
      </c>
      <c r="M29" s="18">
        <f t="shared" si="3"/>
        <v>3.5599999999999996</v>
      </c>
      <c r="N29" s="19">
        <f t="shared" si="6"/>
        <v>0</v>
      </c>
      <c r="O29" s="20">
        <f t="shared" si="5"/>
        <v>3.5599999999999996</v>
      </c>
      <c r="P29" s="4"/>
      <c r="Q29" s="4"/>
      <c r="R29" s="4"/>
    </row>
    <row r="30" spans="1:24" ht="18.75">
      <c r="A30" s="8">
        <v>181</v>
      </c>
      <c r="B30" s="8">
        <v>1467442697</v>
      </c>
      <c r="C30" s="47" t="s">
        <v>73</v>
      </c>
      <c r="D30" s="46"/>
      <c r="E30" s="10">
        <v>0</v>
      </c>
      <c r="F30" s="10">
        <v>56</v>
      </c>
      <c r="G30" s="39" t="s">
        <v>34</v>
      </c>
      <c r="H30" s="11">
        <f t="shared" si="0"/>
        <v>0</v>
      </c>
      <c r="I30" s="10">
        <f t="shared" si="1"/>
        <v>1.1200000000000001</v>
      </c>
      <c r="J30" s="10">
        <v>0</v>
      </c>
      <c r="K30" s="10">
        <f t="shared" si="2"/>
        <v>1.1200000000000001</v>
      </c>
      <c r="L30" s="17">
        <v>1.94</v>
      </c>
      <c r="M30" s="18">
        <f t="shared" si="3"/>
        <v>3.06</v>
      </c>
      <c r="N30" s="19">
        <f t="shared" si="6"/>
        <v>0</v>
      </c>
      <c r="O30" s="20">
        <f t="shared" si="5"/>
        <v>3.06</v>
      </c>
      <c r="P30" s="11"/>
      <c r="Q30" s="11"/>
      <c r="R30" s="11"/>
    </row>
    <row r="31" spans="1:24" ht="18.75">
      <c r="A31" s="8"/>
      <c r="B31" s="8">
        <v>334151795</v>
      </c>
      <c r="C31" s="47" t="s">
        <v>146</v>
      </c>
      <c r="D31" s="46"/>
      <c r="E31" s="10">
        <v>2</v>
      </c>
      <c r="F31" s="10">
        <v>60</v>
      </c>
      <c r="G31" s="39" t="s">
        <v>34</v>
      </c>
      <c r="H31" s="11">
        <f t="shared" si="0"/>
        <v>2</v>
      </c>
      <c r="I31" s="10">
        <f t="shared" si="1"/>
        <v>1.2</v>
      </c>
      <c r="J31" s="10">
        <v>0</v>
      </c>
      <c r="K31" s="10">
        <f t="shared" si="2"/>
        <v>3.2</v>
      </c>
      <c r="L31" s="17">
        <v>-0.22499999999999964</v>
      </c>
      <c r="M31" s="18">
        <f t="shared" si="3"/>
        <v>2.9750000000000005</v>
      </c>
      <c r="N31" s="19">
        <f t="shared" si="6"/>
        <v>0</v>
      </c>
      <c r="O31" s="20">
        <f t="shared" si="5"/>
        <v>2.9750000000000005</v>
      </c>
      <c r="P31" s="11"/>
      <c r="Q31" s="11"/>
      <c r="R31" s="11"/>
    </row>
    <row r="32" spans="1:24" ht="18.75">
      <c r="A32" s="8"/>
      <c r="B32" s="8">
        <v>1042293940</v>
      </c>
      <c r="C32" s="48" t="s">
        <v>159</v>
      </c>
      <c r="D32" s="46"/>
      <c r="E32" s="10">
        <v>0</v>
      </c>
      <c r="F32" s="10">
        <v>18</v>
      </c>
      <c r="G32" s="39" t="s">
        <v>34</v>
      </c>
      <c r="H32" s="11">
        <f t="shared" si="0"/>
        <v>0</v>
      </c>
      <c r="I32" s="10">
        <f t="shared" si="1"/>
        <v>0.36</v>
      </c>
      <c r="J32" s="10">
        <v>0</v>
      </c>
      <c r="K32" s="10">
        <f t="shared" si="2"/>
        <v>0.36</v>
      </c>
      <c r="L32" s="17">
        <v>1.2550000000000003</v>
      </c>
      <c r="M32" s="18">
        <f t="shared" si="3"/>
        <v>1.6150000000000002</v>
      </c>
      <c r="N32" s="19">
        <f t="shared" si="6"/>
        <v>0</v>
      </c>
      <c r="O32" s="20">
        <f t="shared" si="5"/>
        <v>1.6150000000000002</v>
      </c>
      <c r="P32" s="11"/>
      <c r="Q32" s="11"/>
      <c r="R32" s="31"/>
    </row>
    <row r="33" spans="1:24" ht="18.75">
      <c r="A33" s="8"/>
      <c r="B33" s="8">
        <v>2134752758</v>
      </c>
      <c r="C33" s="47" t="s">
        <v>139</v>
      </c>
      <c r="D33" s="46"/>
      <c r="E33" s="10">
        <v>1</v>
      </c>
      <c r="F33" s="10">
        <v>60</v>
      </c>
      <c r="G33" s="39" t="s">
        <v>34</v>
      </c>
      <c r="H33" s="11">
        <f t="shared" si="0"/>
        <v>1</v>
      </c>
      <c r="I33" s="10">
        <f t="shared" si="1"/>
        <v>1.2</v>
      </c>
      <c r="J33" s="10">
        <v>0</v>
      </c>
      <c r="K33" s="10">
        <f t="shared" si="2"/>
        <v>2.2000000000000002</v>
      </c>
      <c r="L33" s="17">
        <v>-0.65000000000000036</v>
      </c>
      <c r="M33" s="18">
        <f t="shared" si="3"/>
        <v>1.5499999999999998</v>
      </c>
      <c r="N33" s="19">
        <f t="shared" si="6"/>
        <v>0</v>
      </c>
      <c r="O33" s="20">
        <f t="shared" si="5"/>
        <v>1.5499999999999998</v>
      </c>
      <c r="P33" s="11"/>
      <c r="Q33" s="11"/>
      <c r="R33" s="11"/>
    </row>
    <row r="34" spans="1:24" ht="18.75">
      <c r="A34" s="9"/>
      <c r="B34" s="8">
        <v>1065313201</v>
      </c>
      <c r="C34" s="48" t="s">
        <v>127</v>
      </c>
      <c r="D34" s="49" t="s">
        <v>128</v>
      </c>
      <c r="E34" s="10">
        <v>0</v>
      </c>
      <c r="F34" s="10">
        <v>50</v>
      </c>
      <c r="G34" s="39" t="s">
        <v>34</v>
      </c>
      <c r="H34" s="11">
        <f t="shared" si="0"/>
        <v>0</v>
      </c>
      <c r="I34" s="10">
        <f t="shared" si="1"/>
        <v>1</v>
      </c>
      <c r="J34" s="10">
        <v>0</v>
      </c>
      <c r="K34" s="10">
        <f t="shared" si="2"/>
        <v>1</v>
      </c>
      <c r="L34" s="17">
        <v>-0.77499999999999991</v>
      </c>
      <c r="M34" s="18">
        <f t="shared" si="3"/>
        <v>0.22500000000000009</v>
      </c>
      <c r="N34" s="19">
        <f t="shared" si="6"/>
        <v>0</v>
      </c>
      <c r="O34" s="20">
        <f t="shared" si="5"/>
        <v>0.22500000000000009</v>
      </c>
      <c r="P34" s="11"/>
      <c r="Q34" s="11"/>
      <c r="R34" s="11"/>
    </row>
    <row r="35" spans="1:24" ht="18.75">
      <c r="A35" s="8"/>
      <c r="B35" s="8">
        <v>597728301</v>
      </c>
      <c r="C35" s="47" t="s">
        <v>168</v>
      </c>
      <c r="D35" s="47"/>
      <c r="E35" s="10">
        <v>0</v>
      </c>
      <c r="F35" s="10">
        <v>10</v>
      </c>
      <c r="G35" s="39" t="s">
        <v>34</v>
      </c>
      <c r="H35" s="11">
        <f t="shared" si="0"/>
        <v>0</v>
      </c>
      <c r="I35" s="10">
        <f t="shared" si="1"/>
        <v>0.2</v>
      </c>
      <c r="J35" s="10">
        <v>0</v>
      </c>
      <c r="K35" s="10">
        <f t="shared" si="2"/>
        <v>0.2</v>
      </c>
      <c r="L35" s="17">
        <v>0</v>
      </c>
      <c r="M35" s="18">
        <f t="shared" si="3"/>
        <v>0.2</v>
      </c>
      <c r="N35" s="19">
        <f t="shared" si="6"/>
        <v>0</v>
      </c>
      <c r="O35" s="20">
        <f t="shared" si="5"/>
        <v>0.2</v>
      </c>
      <c r="P35" s="11"/>
      <c r="Q35" s="11"/>
      <c r="R35" s="31"/>
    </row>
    <row r="36" spans="1:24" ht="18.75">
      <c r="A36" s="62"/>
      <c r="B36" s="62"/>
      <c r="C36" s="63"/>
      <c r="D36" s="64"/>
      <c r="E36" s="65"/>
      <c r="F36" s="65"/>
      <c r="G36" s="66"/>
      <c r="H36" s="67"/>
      <c r="I36" s="65"/>
      <c r="J36" s="65"/>
      <c r="K36" s="65"/>
      <c r="L36" s="68"/>
      <c r="M36" s="69"/>
      <c r="N36" s="70"/>
      <c r="O36" s="71"/>
      <c r="P36" s="72"/>
      <c r="Q36" s="72"/>
      <c r="R36" s="72"/>
    </row>
    <row r="37" spans="1:24" ht="18.75">
      <c r="A37" s="8">
        <v>155</v>
      </c>
      <c r="B37" s="8">
        <v>1532576874</v>
      </c>
      <c r="C37" s="47" t="s">
        <v>166</v>
      </c>
      <c r="D37" s="47" t="s">
        <v>61</v>
      </c>
      <c r="E37" s="10">
        <v>0</v>
      </c>
      <c r="F37" s="10">
        <v>0</v>
      </c>
      <c r="G37" s="39" t="s">
        <v>34</v>
      </c>
      <c r="H37" s="11">
        <f>E37+IF(E37&gt;2,(E37-2)*0.5,0)</f>
        <v>0</v>
      </c>
      <c r="I37" s="10">
        <f>F37/$T$15</f>
        <v>0</v>
      </c>
      <c r="J37" s="10">
        <v>0</v>
      </c>
      <c r="K37" s="10">
        <f>SUM(I37+H37+J37)</f>
        <v>0</v>
      </c>
      <c r="L37" s="17">
        <v>0</v>
      </c>
      <c r="M37" s="18">
        <f>K37+L37</f>
        <v>0</v>
      </c>
      <c r="N37" s="19">
        <f>VLOOKUP(G37,$S$3:$T$11,2,FALSE)</f>
        <v>0</v>
      </c>
      <c r="O37" s="20">
        <f>M37-N37</f>
        <v>0</v>
      </c>
      <c r="P37" s="11"/>
      <c r="Q37" s="11"/>
      <c r="R37" s="31"/>
    </row>
    <row r="38" spans="1:24" ht="18.75">
      <c r="A38" s="8">
        <v>180</v>
      </c>
      <c r="B38" s="8">
        <v>24633249</v>
      </c>
      <c r="C38" s="48" t="s">
        <v>72</v>
      </c>
      <c r="D38" s="46"/>
      <c r="E38" s="10">
        <v>0</v>
      </c>
      <c r="F38" s="10">
        <v>0</v>
      </c>
      <c r="G38" s="39" t="s">
        <v>34</v>
      </c>
      <c r="H38" s="11">
        <f>E38+IF(E38&gt;2,(E38-2)*0.5,0)</f>
        <v>0</v>
      </c>
      <c r="I38" s="10">
        <f>F38/$T$15</f>
        <v>0</v>
      </c>
      <c r="J38" s="10">
        <v>0</v>
      </c>
      <c r="K38" s="10">
        <f>SUM(I38+H38+J38)</f>
        <v>0</v>
      </c>
      <c r="L38" s="17">
        <v>-2.5249999999999999</v>
      </c>
      <c r="M38" s="18">
        <f>K38+L38</f>
        <v>-2.5249999999999999</v>
      </c>
      <c r="N38" s="19">
        <f>VLOOKUP(G38,$S$3:$T$11,2,FALSE)</f>
        <v>0</v>
      </c>
      <c r="O38" s="20">
        <f>M38-N38</f>
        <v>-2.5249999999999999</v>
      </c>
      <c r="P38" s="11"/>
      <c r="Q38" s="11"/>
      <c r="R38" s="11"/>
    </row>
    <row r="39" spans="1:24" ht="18.75">
      <c r="A39" s="8"/>
      <c r="B39" s="8">
        <v>488712245</v>
      </c>
      <c r="C39" s="47" t="s">
        <v>144</v>
      </c>
      <c r="D39" s="49" t="s">
        <v>162</v>
      </c>
      <c r="E39" s="10">
        <v>0</v>
      </c>
      <c r="F39" s="10">
        <v>0</v>
      </c>
      <c r="G39" s="39" t="s">
        <v>34</v>
      </c>
      <c r="H39" s="11">
        <f>E39+IF(E39&gt;2,(E39-2)*0.5,0)</f>
        <v>0</v>
      </c>
      <c r="I39" s="10">
        <f>F39/$T$15</f>
        <v>0</v>
      </c>
      <c r="J39" s="10">
        <v>0</v>
      </c>
      <c r="K39" s="10">
        <f>SUM(I39+H39+J39)</f>
        <v>0</v>
      </c>
      <c r="L39" s="17">
        <v>4.7</v>
      </c>
      <c r="M39" s="18">
        <f>K39+L39</f>
        <v>4.7</v>
      </c>
      <c r="N39" s="19">
        <f>VLOOKUP(G39,$S$3:$T$11,2,FALSE)</f>
        <v>0</v>
      </c>
      <c r="O39" s="20">
        <f>M39-N39</f>
        <v>4.7</v>
      </c>
      <c r="P39" s="4"/>
      <c r="Q39" s="4"/>
      <c r="R39" s="4"/>
    </row>
    <row r="40" spans="1:24" ht="18.75">
      <c r="A40" s="8">
        <v>169</v>
      </c>
      <c r="B40" s="8">
        <v>1280938546</v>
      </c>
      <c r="C40" s="47" t="s">
        <v>89</v>
      </c>
      <c r="D40" s="45"/>
      <c r="E40" s="10">
        <v>0</v>
      </c>
      <c r="F40" s="10">
        <v>0</v>
      </c>
      <c r="G40" s="39" t="s">
        <v>34</v>
      </c>
      <c r="H40" s="11">
        <f>E40+IF(E40&gt;2,(E40-2)*0.5,0)</f>
        <v>0</v>
      </c>
      <c r="I40" s="10">
        <f t="shared" ref="I40:I98" si="7">F40/$T$15</f>
        <v>0</v>
      </c>
      <c r="J40" s="10">
        <v>0</v>
      </c>
      <c r="K40" s="10">
        <f>SUM(I40+H40+J40)</f>
        <v>0</v>
      </c>
      <c r="L40" s="17">
        <v>0</v>
      </c>
      <c r="M40" s="18">
        <f>K40+L40</f>
        <v>0</v>
      </c>
      <c r="N40" s="19">
        <f t="shared" ref="N40:N98" si="8">VLOOKUP(G40,$S$3:$T$11,2,FALSE)</f>
        <v>0</v>
      </c>
      <c r="O40" s="20">
        <f>M40-N40</f>
        <v>0</v>
      </c>
      <c r="P40" s="4"/>
      <c r="Q40" s="4"/>
      <c r="R40" s="4"/>
    </row>
    <row r="41" spans="1:24" ht="18.75">
      <c r="A41" s="8">
        <v>130</v>
      </c>
      <c r="B41" s="8">
        <v>1957463045</v>
      </c>
      <c r="C41" s="47" t="s">
        <v>44</v>
      </c>
      <c r="D41" s="50"/>
      <c r="E41" s="10">
        <v>0</v>
      </c>
      <c r="F41" s="10">
        <v>0</v>
      </c>
      <c r="G41" s="39" t="s">
        <v>34</v>
      </c>
      <c r="H41" s="11">
        <f t="shared" ref="H41:H98" si="9">E41+IF(E41&gt;2,(E41-2)*0.5,0)</f>
        <v>0</v>
      </c>
      <c r="I41" s="10">
        <f t="shared" si="7"/>
        <v>0</v>
      </c>
      <c r="J41" s="10">
        <v>0</v>
      </c>
      <c r="K41" s="10">
        <f t="shared" ref="K41:K98" si="10">SUM(I41+H41+J41)</f>
        <v>0</v>
      </c>
      <c r="L41" s="17">
        <v>5</v>
      </c>
      <c r="M41" s="18">
        <f t="shared" ref="M41:M98" si="11">K41+L41</f>
        <v>5</v>
      </c>
      <c r="N41" s="19">
        <f t="shared" si="8"/>
        <v>0</v>
      </c>
      <c r="O41" s="20">
        <f t="shared" ref="O41:O98" si="12">M41-N41</f>
        <v>5</v>
      </c>
      <c r="P41" s="11"/>
      <c r="Q41" s="11"/>
      <c r="R41" s="31"/>
    </row>
    <row r="42" spans="1:24" ht="18.75">
      <c r="A42" s="9">
        <v>26</v>
      </c>
      <c r="B42" s="8">
        <v>1754932067</v>
      </c>
      <c r="C42" s="47" t="s">
        <v>76</v>
      </c>
      <c r="D42" s="48" t="s">
        <v>12</v>
      </c>
      <c r="E42" s="10">
        <v>0</v>
      </c>
      <c r="F42" s="10">
        <v>0</v>
      </c>
      <c r="G42" s="39" t="s">
        <v>34</v>
      </c>
      <c r="H42" s="11">
        <f t="shared" si="9"/>
        <v>0</v>
      </c>
      <c r="I42" s="10">
        <f t="shared" si="7"/>
        <v>0</v>
      </c>
      <c r="J42" s="10">
        <v>0</v>
      </c>
      <c r="K42" s="10">
        <f t="shared" si="10"/>
        <v>0</v>
      </c>
      <c r="L42" s="17">
        <v>5</v>
      </c>
      <c r="M42" s="18">
        <f t="shared" si="11"/>
        <v>5</v>
      </c>
      <c r="N42" s="19">
        <f t="shared" si="8"/>
        <v>0</v>
      </c>
      <c r="O42" s="20">
        <f t="shared" si="12"/>
        <v>5</v>
      </c>
      <c r="P42" s="11"/>
      <c r="Q42" s="11"/>
      <c r="R42" s="11"/>
    </row>
    <row r="43" spans="1:24" ht="18.75">
      <c r="A43" s="8">
        <v>187</v>
      </c>
      <c r="B43" s="8">
        <v>1241038267</v>
      </c>
      <c r="C43" s="47" t="s">
        <v>97</v>
      </c>
      <c r="D43" s="46"/>
      <c r="E43" s="10">
        <v>0</v>
      </c>
      <c r="F43" s="10">
        <v>0</v>
      </c>
      <c r="G43" s="39" t="s">
        <v>34</v>
      </c>
      <c r="H43" s="11">
        <f t="shared" si="9"/>
        <v>0</v>
      </c>
      <c r="I43" s="10">
        <f t="shared" si="7"/>
        <v>0</v>
      </c>
      <c r="J43" s="10">
        <v>0</v>
      </c>
      <c r="K43" s="10">
        <f t="shared" si="10"/>
        <v>0</v>
      </c>
      <c r="L43" s="17">
        <v>5</v>
      </c>
      <c r="M43" s="18">
        <f t="shared" si="11"/>
        <v>5</v>
      </c>
      <c r="N43" s="19">
        <f t="shared" si="8"/>
        <v>0</v>
      </c>
      <c r="O43" s="20">
        <f t="shared" si="12"/>
        <v>5</v>
      </c>
      <c r="P43" s="4"/>
      <c r="Q43" s="4"/>
      <c r="R43" s="4"/>
    </row>
    <row r="44" spans="1:24" ht="18.75">
      <c r="A44" s="8">
        <v>188</v>
      </c>
      <c r="B44" s="8">
        <v>1504984957</v>
      </c>
      <c r="C44" s="47" t="s">
        <v>98</v>
      </c>
      <c r="D44" s="46"/>
      <c r="E44" s="10">
        <v>0</v>
      </c>
      <c r="F44" s="10">
        <v>0</v>
      </c>
      <c r="G44" s="39" t="s">
        <v>34</v>
      </c>
      <c r="H44" s="11">
        <f t="shared" si="9"/>
        <v>0</v>
      </c>
      <c r="I44" s="10">
        <f t="shared" si="7"/>
        <v>0</v>
      </c>
      <c r="J44" s="10">
        <v>0</v>
      </c>
      <c r="K44" s="10">
        <f t="shared" si="10"/>
        <v>0</v>
      </c>
      <c r="L44" s="17">
        <v>5</v>
      </c>
      <c r="M44" s="18">
        <f t="shared" si="11"/>
        <v>5</v>
      </c>
      <c r="N44" s="19">
        <f t="shared" si="8"/>
        <v>0</v>
      </c>
      <c r="O44" s="20">
        <f t="shared" si="12"/>
        <v>5</v>
      </c>
      <c r="P44" s="4"/>
      <c r="Q44" s="4"/>
      <c r="R44" s="4"/>
    </row>
    <row r="45" spans="1:24" ht="18.75">
      <c r="A45" s="8">
        <v>205</v>
      </c>
      <c r="B45" s="8">
        <v>141303545</v>
      </c>
      <c r="C45" s="47" t="s">
        <v>114</v>
      </c>
      <c r="D45" s="46"/>
      <c r="E45" s="10">
        <v>0</v>
      </c>
      <c r="F45" s="10">
        <v>0</v>
      </c>
      <c r="G45" s="39" t="s">
        <v>34</v>
      </c>
      <c r="H45" s="11">
        <f t="shared" si="9"/>
        <v>0</v>
      </c>
      <c r="I45" s="10">
        <f t="shared" si="7"/>
        <v>0</v>
      </c>
      <c r="J45" s="10">
        <v>0</v>
      </c>
      <c r="K45" s="10">
        <f t="shared" si="10"/>
        <v>0</v>
      </c>
      <c r="L45" s="17">
        <v>5</v>
      </c>
      <c r="M45" s="18">
        <f t="shared" si="11"/>
        <v>5</v>
      </c>
      <c r="N45" s="19">
        <f t="shared" si="8"/>
        <v>0</v>
      </c>
      <c r="O45" s="20">
        <f t="shared" si="12"/>
        <v>5</v>
      </c>
      <c r="P45" s="4"/>
      <c r="Q45" s="4"/>
      <c r="R45" s="4"/>
    </row>
    <row r="46" spans="1:24" ht="18.75">
      <c r="A46" s="8">
        <v>182</v>
      </c>
      <c r="B46" s="8">
        <v>828260319</v>
      </c>
      <c r="C46" s="47" t="s">
        <v>92</v>
      </c>
      <c r="D46" s="46"/>
      <c r="E46" s="10">
        <v>0</v>
      </c>
      <c r="F46" s="10">
        <v>0</v>
      </c>
      <c r="G46" s="39" t="s">
        <v>34</v>
      </c>
      <c r="H46" s="11">
        <f t="shared" si="9"/>
        <v>0</v>
      </c>
      <c r="I46" s="10">
        <f t="shared" si="7"/>
        <v>0</v>
      </c>
      <c r="J46" s="10">
        <v>0</v>
      </c>
      <c r="K46" s="10">
        <f t="shared" si="10"/>
        <v>0</v>
      </c>
      <c r="L46" s="17">
        <v>5</v>
      </c>
      <c r="M46" s="18">
        <f t="shared" si="11"/>
        <v>5</v>
      </c>
      <c r="N46" s="19">
        <f t="shared" si="8"/>
        <v>0</v>
      </c>
      <c r="O46" s="20">
        <f t="shared" si="12"/>
        <v>5</v>
      </c>
      <c r="P46" s="4"/>
      <c r="Q46" s="4"/>
      <c r="R46" s="4"/>
    </row>
    <row r="47" spans="1:24" ht="18.75">
      <c r="A47" s="9">
        <v>82</v>
      </c>
      <c r="B47" s="8">
        <v>982362214</v>
      </c>
      <c r="C47" s="47" t="s">
        <v>80</v>
      </c>
      <c r="D47" s="48" t="s">
        <v>25</v>
      </c>
      <c r="E47" s="10">
        <v>0</v>
      </c>
      <c r="F47" s="10">
        <v>0</v>
      </c>
      <c r="G47" s="39" t="s">
        <v>34</v>
      </c>
      <c r="H47" s="11">
        <f t="shared" si="9"/>
        <v>0</v>
      </c>
      <c r="I47" s="10">
        <f t="shared" si="7"/>
        <v>0</v>
      </c>
      <c r="J47" s="10">
        <v>0</v>
      </c>
      <c r="K47" s="10">
        <f t="shared" si="10"/>
        <v>0</v>
      </c>
      <c r="L47" s="17">
        <v>5</v>
      </c>
      <c r="M47" s="18">
        <f t="shared" si="11"/>
        <v>5</v>
      </c>
      <c r="N47" s="19">
        <f t="shared" si="8"/>
        <v>0</v>
      </c>
      <c r="O47" s="20">
        <f t="shared" si="12"/>
        <v>5</v>
      </c>
      <c r="P47" s="11"/>
      <c r="Q47" s="11"/>
      <c r="R47" s="11"/>
      <c r="S47" s="1"/>
      <c r="T47" s="1"/>
      <c r="U47" s="1"/>
      <c r="V47" s="1"/>
      <c r="W47" s="1"/>
      <c r="X47" s="1"/>
    </row>
    <row r="48" spans="1:24" ht="18.75">
      <c r="A48" s="8">
        <v>191</v>
      </c>
      <c r="B48" s="8">
        <v>1037173857</v>
      </c>
      <c r="C48" s="47" t="s">
        <v>101</v>
      </c>
      <c r="D48" s="46"/>
      <c r="E48" s="10">
        <v>0</v>
      </c>
      <c r="F48" s="10">
        <v>0</v>
      </c>
      <c r="G48" s="39" t="s">
        <v>34</v>
      </c>
      <c r="H48" s="11">
        <f t="shared" si="9"/>
        <v>0</v>
      </c>
      <c r="I48" s="10">
        <f t="shared" si="7"/>
        <v>0</v>
      </c>
      <c r="J48" s="10">
        <v>0</v>
      </c>
      <c r="K48" s="10">
        <f t="shared" si="10"/>
        <v>0</v>
      </c>
      <c r="L48" s="17">
        <v>5</v>
      </c>
      <c r="M48" s="18">
        <f t="shared" si="11"/>
        <v>5</v>
      </c>
      <c r="N48" s="19">
        <f t="shared" si="8"/>
        <v>0</v>
      </c>
      <c r="O48" s="20">
        <f t="shared" si="12"/>
        <v>5</v>
      </c>
      <c r="P48" s="4"/>
      <c r="Q48" s="4"/>
      <c r="R48" s="4"/>
      <c r="S48" s="1"/>
      <c r="T48" s="1"/>
      <c r="U48" s="1"/>
      <c r="V48" s="1"/>
      <c r="W48" s="1"/>
      <c r="X48" s="1"/>
    </row>
    <row r="49" spans="1:24" ht="18.75">
      <c r="A49" s="8">
        <v>128</v>
      </c>
      <c r="B49" s="8">
        <v>1214614935</v>
      </c>
      <c r="C49" s="47" t="s">
        <v>85</v>
      </c>
      <c r="D49" s="50" t="s">
        <v>53</v>
      </c>
      <c r="E49" s="10">
        <v>0</v>
      </c>
      <c r="F49" s="10">
        <v>0</v>
      </c>
      <c r="G49" s="39" t="s">
        <v>34</v>
      </c>
      <c r="H49" s="11">
        <f t="shared" si="9"/>
        <v>0</v>
      </c>
      <c r="I49" s="10">
        <f t="shared" si="7"/>
        <v>0</v>
      </c>
      <c r="J49" s="10">
        <v>0</v>
      </c>
      <c r="K49" s="10">
        <f t="shared" si="10"/>
        <v>0</v>
      </c>
      <c r="L49" s="17">
        <v>5</v>
      </c>
      <c r="M49" s="18">
        <f t="shared" si="11"/>
        <v>5</v>
      </c>
      <c r="N49" s="19">
        <f t="shared" si="8"/>
        <v>0</v>
      </c>
      <c r="O49" s="20">
        <f t="shared" si="12"/>
        <v>5</v>
      </c>
      <c r="P49" s="11"/>
      <c r="Q49" s="11"/>
      <c r="R49" s="31"/>
      <c r="S49" s="1"/>
      <c r="T49" s="1"/>
      <c r="U49" s="1"/>
      <c r="V49" s="1"/>
      <c r="W49" s="1"/>
      <c r="X49" s="1"/>
    </row>
    <row r="50" spans="1:24" ht="18.75">
      <c r="A50" s="9">
        <v>46</v>
      </c>
      <c r="B50" s="8">
        <v>2109182835</v>
      </c>
      <c r="C50" s="47" t="s">
        <v>79</v>
      </c>
      <c r="D50" s="48" t="s">
        <v>15</v>
      </c>
      <c r="E50" s="10">
        <v>0</v>
      </c>
      <c r="F50" s="10">
        <v>0</v>
      </c>
      <c r="G50" s="39" t="s">
        <v>34</v>
      </c>
      <c r="H50" s="11">
        <f t="shared" si="9"/>
        <v>0</v>
      </c>
      <c r="I50" s="10">
        <f t="shared" si="7"/>
        <v>0</v>
      </c>
      <c r="J50" s="10">
        <v>0</v>
      </c>
      <c r="K50" s="10">
        <f t="shared" si="10"/>
        <v>0</v>
      </c>
      <c r="L50" s="17">
        <v>5</v>
      </c>
      <c r="M50" s="18">
        <f t="shared" si="11"/>
        <v>5</v>
      </c>
      <c r="N50" s="19">
        <f t="shared" si="8"/>
        <v>0</v>
      </c>
      <c r="O50" s="20">
        <f t="shared" si="12"/>
        <v>5</v>
      </c>
      <c r="P50" s="11"/>
      <c r="Q50" s="11"/>
      <c r="R50" s="11"/>
      <c r="S50" s="1"/>
      <c r="T50" s="1"/>
      <c r="U50" s="1"/>
      <c r="V50" s="1"/>
      <c r="W50" s="1"/>
      <c r="X50" s="1"/>
    </row>
    <row r="51" spans="1:24" ht="18.75">
      <c r="A51" s="9">
        <v>120</v>
      </c>
      <c r="B51" s="8">
        <v>171422146</v>
      </c>
      <c r="C51" s="47" t="s">
        <v>83</v>
      </c>
      <c r="D51" s="48" t="s">
        <v>47</v>
      </c>
      <c r="E51" s="10">
        <v>0</v>
      </c>
      <c r="F51" s="10">
        <v>0</v>
      </c>
      <c r="G51" s="39" t="s">
        <v>34</v>
      </c>
      <c r="H51" s="11">
        <f t="shared" si="9"/>
        <v>0</v>
      </c>
      <c r="I51" s="10">
        <f t="shared" si="7"/>
        <v>0</v>
      </c>
      <c r="J51" s="10">
        <v>0</v>
      </c>
      <c r="K51" s="10">
        <f t="shared" si="10"/>
        <v>0</v>
      </c>
      <c r="L51" s="17">
        <v>5</v>
      </c>
      <c r="M51" s="18">
        <f t="shared" si="11"/>
        <v>5</v>
      </c>
      <c r="N51" s="19">
        <f t="shared" si="8"/>
        <v>0</v>
      </c>
      <c r="O51" s="20">
        <f t="shared" si="12"/>
        <v>5</v>
      </c>
      <c r="P51" s="11"/>
      <c r="Q51" s="11"/>
      <c r="R51" s="32"/>
      <c r="S51" s="1"/>
      <c r="T51" s="1"/>
      <c r="U51" s="1"/>
      <c r="V51" s="1"/>
      <c r="W51" s="1"/>
      <c r="X51" s="1"/>
    </row>
    <row r="52" spans="1:24" ht="18.75">
      <c r="A52" s="8">
        <v>143</v>
      </c>
      <c r="B52" s="8">
        <v>1963007427</v>
      </c>
      <c r="C52" s="47" t="s">
        <v>87</v>
      </c>
      <c r="D52" s="47" t="s">
        <v>58</v>
      </c>
      <c r="E52" s="10">
        <v>0</v>
      </c>
      <c r="F52" s="10">
        <v>0</v>
      </c>
      <c r="G52" s="39" t="s">
        <v>34</v>
      </c>
      <c r="H52" s="11">
        <f t="shared" si="9"/>
        <v>0</v>
      </c>
      <c r="I52" s="10">
        <f t="shared" si="7"/>
        <v>0</v>
      </c>
      <c r="J52" s="10">
        <v>0</v>
      </c>
      <c r="K52" s="10">
        <f t="shared" si="10"/>
        <v>0</v>
      </c>
      <c r="L52" s="17">
        <v>5</v>
      </c>
      <c r="M52" s="18">
        <f t="shared" si="11"/>
        <v>5</v>
      </c>
      <c r="N52" s="19">
        <f t="shared" si="8"/>
        <v>0</v>
      </c>
      <c r="O52" s="20">
        <f t="shared" si="12"/>
        <v>5</v>
      </c>
      <c r="P52" s="11"/>
      <c r="Q52" s="11"/>
      <c r="R52" s="31"/>
      <c r="S52" s="1"/>
      <c r="T52" s="1"/>
      <c r="U52" s="1"/>
      <c r="V52" s="1"/>
      <c r="W52" s="1"/>
      <c r="X52" s="1"/>
    </row>
    <row r="53" spans="1:24" ht="18.75">
      <c r="A53" s="8">
        <v>190</v>
      </c>
      <c r="B53" s="8">
        <v>684634207</v>
      </c>
      <c r="C53" s="47" t="s">
        <v>100</v>
      </c>
      <c r="D53" s="46"/>
      <c r="E53" s="10">
        <v>0</v>
      </c>
      <c r="F53" s="10">
        <v>0</v>
      </c>
      <c r="G53" s="39" t="s">
        <v>34</v>
      </c>
      <c r="H53" s="11">
        <f t="shared" si="9"/>
        <v>0</v>
      </c>
      <c r="I53" s="10">
        <f t="shared" si="7"/>
        <v>0</v>
      </c>
      <c r="J53" s="10">
        <v>0</v>
      </c>
      <c r="K53" s="10">
        <f t="shared" si="10"/>
        <v>0</v>
      </c>
      <c r="L53" s="17">
        <v>5</v>
      </c>
      <c r="M53" s="18">
        <f t="shared" si="11"/>
        <v>5</v>
      </c>
      <c r="N53" s="19">
        <f t="shared" si="8"/>
        <v>0</v>
      </c>
      <c r="O53" s="20">
        <f t="shared" si="12"/>
        <v>5</v>
      </c>
      <c r="P53" s="4"/>
      <c r="Q53" s="4"/>
      <c r="R53" s="4"/>
      <c r="S53" s="1"/>
      <c r="T53" s="1"/>
      <c r="U53" s="1"/>
      <c r="V53" s="1"/>
      <c r="W53" s="1"/>
      <c r="X53" s="1"/>
    </row>
    <row r="54" spans="1:24" ht="18.75">
      <c r="A54" s="8">
        <v>186</v>
      </c>
      <c r="B54" s="8">
        <v>595953188</v>
      </c>
      <c r="C54" s="47" t="s">
        <v>96</v>
      </c>
      <c r="D54" s="46"/>
      <c r="E54" s="10">
        <v>0</v>
      </c>
      <c r="F54" s="10">
        <v>0</v>
      </c>
      <c r="G54" s="39" t="s">
        <v>34</v>
      </c>
      <c r="H54" s="11">
        <f t="shared" si="9"/>
        <v>0</v>
      </c>
      <c r="I54" s="10">
        <f t="shared" si="7"/>
        <v>0</v>
      </c>
      <c r="J54" s="10">
        <v>0</v>
      </c>
      <c r="K54" s="10">
        <f t="shared" si="10"/>
        <v>0</v>
      </c>
      <c r="L54" s="17">
        <v>5</v>
      </c>
      <c r="M54" s="18">
        <f t="shared" si="11"/>
        <v>5</v>
      </c>
      <c r="N54" s="19">
        <f t="shared" si="8"/>
        <v>0</v>
      </c>
      <c r="O54" s="20">
        <f t="shared" si="12"/>
        <v>5</v>
      </c>
      <c r="P54" s="4"/>
      <c r="Q54" s="4"/>
      <c r="R54" s="4"/>
      <c r="S54" s="1"/>
      <c r="T54" s="1"/>
      <c r="U54" s="1"/>
      <c r="V54" s="1"/>
      <c r="W54" s="1"/>
      <c r="X54" s="1"/>
    </row>
    <row r="55" spans="1:24" ht="18.75">
      <c r="A55" s="8">
        <v>198</v>
      </c>
      <c r="B55" s="8">
        <v>723448640</v>
      </c>
      <c r="C55" s="47" t="s">
        <v>108</v>
      </c>
      <c r="D55" s="46"/>
      <c r="E55" s="10">
        <v>0</v>
      </c>
      <c r="F55" s="10">
        <v>0</v>
      </c>
      <c r="G55" s="39" t="s">
        <v>34</v>
      </c>
      <c r="H55" s="11">
        <f t="shared" si="9"/>
        <v>0</v>
      </c>
      <c r="I55" s="10">
        <f t="shared" si="7"/>
        <v>0</v>
      </c>
      <c r="J55" s="10">
        <v>0</v>
      </c>
      <c r="K55" s="10">
        <f t="shared" si="10"/>
        <v>0</v>
      </c>
      <c r="L55" s="17">
        <v>5</v>
      </c>
      <c r="M55" s="18">
        <f t="shared" si="11"/>
        <v>5</v>
      </c>
      <c r="N55" s="19">
        <f t="shared" si="8"/>
        <v>0</v>
      </c>
      <c r="O55" s="20">
        <f t="shared" si="12"/>
        <v>5</v>
      </c>
      <c r="P55" s="4"/>
      <c r="Q55" s="4"/>
      <c r="R55" s="4"/>
      <c r="S55" s="1"/>
      <c r="T55" s="1"/>
      <c r="U55" s="1"/>
      <c r="V55" s="1"/>
      <c r="W55" s="1"/>
      <c r="X55" s="1"/>
    </row>
    <row r="56" spans="1:24" ht="18.75">
      <c r="A56" s="8">
        <v>208</v>
      </c>
      <c r="B56" s="8">
        <v>92129464</v>
      </c>
      <c r="C56" s="47" t="s">
        <v>118</v>
      </c>
      <c r="D56" s="46"/>
      <c r="E56" s="10">
        <v>0</v>
      </c>
      <c r="F56" s="10">
        <v>0</v>
      </c>
      <c r="G56" s="39" t="s">
        <v>34</v>
      </c>
      <c r="H56" s="11">
        <f t="shared" si="9"/>
        <v>0</v>
      </c>
      <c r="I56" s="10">
        <f t="shared" si="7"/>
        <v>0</v>
      </c>
      <c r="J56" s="10">
        <v>0</v>
      </c>
      <c r="K56" s="10">
        <f t="shared" si="10"/>
        <v>0</v>
      </c>
      <c r="L56" s="17">
        <v>5</v>
      </c>
      <c r="M56" s="18">
        <f t="shared" si="11"/>
        <v>5</v>
      </c>
      <c r="N56" s="19">
        <f t="shared" si="8"/>
        <v>0</v>
      </c>
      <c r="O56" s="20">
        <f t="shared" si="12"/>
        <v>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209</v>
      </c>
      <c r="B57" s="8">
        <v>1525950050</v>
      </c>
      <c r="C57" s="47" t="s">
        <v>119</v>
      </c>
      <c r="D57" s="46"/>
      <c r="E57" s="10">
        <v>0</v>
      </c>
      <c r="F57" s="10">
        <v>0</v>
      </c>
      <c r="G57" s="39" t="s">
        <v>34</v>
      </c>
      <c r="H57" s="11">
        <f t="shared" si="9"/>
        <v>0</v>
      </c>
      <c r="I57" s="10">
        <f t="shared" si="7"/>
        <v>0</v>
      </c>
      <c r="J57" s="10">
        <v>0</v>
      </c>
      <c r="K57" s="10">
        <f t="shared" si="10"/>
        <v>0</v>
      </c>
      <c r="L57" s="17">
        <v>5</v>
      </c>
      <c r="M57" s="18">
        <f t="shared" si="11"/>
        <v>5</v>
      </c>
      <c r="N57" s="19">
        <f t="shared" si="8"/>
        <v>0</v>
      </c>
      <c r="O57" s="20">
        <f t="shared" si="12"/>
        <v>5</v>
      </c>
      <c r="P57" s="4"/>
      <c r="Q57" s="4"/>
      <c r="R57" s="4"/>
      <c r="S57" s="1"/>
      <c r="T57" s="1"/>
      <c r="U57" s="1"/>
      <c r="V57" s="1"/>
      <c r="W57" s="1"/>
      <c r="X57" s="1"/>
    </row>
    <row r="58" spans="1:24" ht="18.75">
      <c r="A58" s="8">
        <v>210</v>
      </c>
      <c r="B58" s="8">
        <v>1675792665</v>
      </c>
      <c r="C58" s="47" t="s">
        <v>120</v>
      </c>
      <c r="D58" s="46"/>
      <c r="E58" s="10">
        <v>0</v>
      </c>
      <c r="F58" s="10">
        <v>0</v>
      </c>
      <c r="G58" s="39" t="s">
        <v>34</v>
      </c>
      <c r="H58" s="11">
        <f t="shared" si="9"/>
        <v>0</v>
      </c>
      <c r="I58" s="10">
        <f t="shared" si="7"/>
        <v>0</v>
      </c>
      <c r="J58" s="10">
        <v>0</v>
      </c>
      <c r="K58" s="10">
        <f t="shared" si="10"/>
        <v>0</v>
      </c>
      <c r="L58" s="17">
        <v>3.5</v>
      </c>
      <c r="M58" s="18">
        <f t="shared" si="11"/>
        <v>3.5</v>
      </c>
      <c r="N58" s="19">
        <f t="shared" si="8"/>
        <v>0</v>
      </c>
      <c r="O58" s="20">
        <f t="shared" si="12"/>
        <v>3.5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183</v>
      </c>
      <c r="B59" s="8">
        <v>1250030371</v>
      </c>
      <c r="C59" s="47" t="s">
        <v>123</v>
      </c>
      <c r="D59" s="47" t="s">
        <v>93</v>
      </c>
      <c r="E59" s="10">
        <v>0</v>
      </c>
      <c r="F59" s="10">
        <v>0</v>
      </c>
      <c r="G59" s="39" t="s">
        <v>34</v>
      </c>
      <c r="H59" s="11">
        <f t="shared" si="9"/>
        <v>0</v>
      </c>
      <c r="I59" s="10">
        <f t="shared" si="7"/>
        <v>0</v>
      </c>
      <c r="J59" s="10">
        <v>0</v>
      </c>
      <c r="K59" s="10">
        <f t="shared" si="10"/>
        <v>0</v>
      </c>
      <c r="L59" s="17">
        <v>3.5</v>
      </c>
      <c r="M59" s="18">
        <f t="shared" si="11"/>
        <v>3.5</v>
      </c>
      <c r="N59" s="19">
        <f t="shared" si="8"/>
        <v>0</v>
      </c>
      <c r="O59" s="20">
        <f t="shared" si="12"/>
        <v>3.5</v>
      </c>
      <c r="P59" s="4"/>
      <c r="Q59" s="4"/>
      <c r="R59" s="4"/>
      <c r="S59" s="1"/>
      <c r="T59" s="1"/>
      <c r="U59" s="1"/>
      <c r="V59" s="1"/>
      <c r="W59" s="1"/>
      <c r="X59" s="1"/>
    </row>
    <row r="60" spans="1:24" ht="18.75">
      <c r="A60" s="8">
        <v>196</v>
      </c>
      <c r="B60" s="8">
        <v>1065641844</v>
      </c>
      <c r="C60" s="47" t="s">
        <v>106</v>
      </c>
      <c r="D60" s="46"/>
      <c r="E60" s="10">
        <v>0</v>
      </c>
      <c r="F60" s="10">
        <v>0</v>
      </c>
      <c r="G60" s="39" t="s">
        <v>34</v>
      </c>
      <c r="H60" s="11">
        <f t="shared" si="9"/>
        <v>0</v>
      </c>
      <c r="I60" s="10">
        <f t="shared" si="7"/>
        <v>0</v>
      </c>
      <c r="J60" s="10">
        <v>0</v>
      </c>
      <c r="K60" s="10">
        <f t="shared" si="10"/>
        <v>0</v>
      </c>
      <c r="L60" s="17">
        <v>3.5</v>
      </c>
      <c r="M60" s="18">
        <f t="shared" si="11"/>
        <v>3.5</v>
      </c>
      <c r="N60" s="19">
        <f t="shared" si="8"/>
        <v>0</v>
      </c>
      <c r="O60" s="20">
        <f t="shared" si="12"/>
        <v>3.5</v>
      </c>
      <c r="P60" s="4"/>
      <c r="Q60" s="4"/>
      <c r="R60" s="4"/>
      <c r="S60" s="1"/>
      <c r="T60" s="1"/>
      <c r="U60" s="1"/>
      <c r="V60" s="1"/>
      <c r="W60" s="1"/>
      <c r="X60" s="1"/>
    </row>
    <row r="61" spans="1:24" ht="18.75">
      <c r="A61" s="8">
        <v>203</v>
      </c>
      <c r="B61" s="8">
        <v>382695365</v>
      </c>
      <c r="C61" s="47" t="s">
        <v>112</v>
      </c>
      <c r="D61" s="46"/>
      <c r="E61" s="10">
        <v>0</v>
      </c>
      <c r="F61" s="10">
        <v>0</v>
      </c>
      <c r="G61" s="39" t="s">
        <v>34</v>
      </c>
      <c r="H61" s="11">
        <f t="shared" si="9"/>
        <v>0</v>
      </c>
      <c r="I61" s="10">
        <f t="shared" si="7"/>
        <v>0</v>
      </c>
      <c r="J61" s="10">
        <v>0</v>
      </c>
      <c r="K61" s="10">
        <f t="shared" si="10"/>
        <v>0</v>
      </c>
      <c r="L61" s="17">
        <v>3.5</v>
      </c>
      <c r="M61" s="18">
        <f t="shared" si="11"/>
        <v>3.5</v>
      </c>
      <c r="N61" s="19">
        <f t="shared" si="8"/>
        <v>0</v>
      </c>
      <c r="O61" s="20">
        <f t="shared" si="12"/>
        <v>3.5</v>
      </c>
      <c r="P61" s="4"/>
      <c r="Q61" s="4"/>
      <c r="R61" s="4"/>
      <c r="S61" s="1"/>
      <c r="T61" s="1"/>
      <c r="U61" s="1"/>
      <c r="V61" s="1"/>
      <c r="W61" s="1"/>
      <c r="X61" s="1"/>
    </row>
    <row r="62" spans="1:24" ht="18.75">
      <c r="A62" s="8">
        <v>184</v>
      </c>
      <c r="B62" s="8">
        <v>1814130074</v>
      </c>
      <c r="C62" s="47" t="s">
        <v>94</v>
      </c>
      <c r="D62" s="46"/>
      <c r="E62" s="10">
        <v>0</v>
      </c>
      <c r="F62" s="10">
        <v>0</v>
      </c>
      <c r="G62" s="39" t="s">
        <v>34</v>
      </c>
      <c r="H62" s="11">
        <f t="shared" si="9"/>
        <v>0</v>
      </c>
      <c r="I62" s="10">
        <f t="shared" si="7"/>
        <v>0</v>
      </c>
      <c r="J62" s="10">
        <v>0</v>
      </c>
      <c r="K62" s="10">
        <f t="shared" si="10"/>
        <v>0</v>
      </c>
      <c r="L62" s="17">
        <v>3.5</v>
      </c>
      <c r="M62" s="18">
        <f t="shared" si="11"/>
        <v>3.5</v>
      </c>
      <c r="N62" s="19">
        <f t="shared" si="8"/>
        <v>0</v>
      </c>
      <c r="O62" s="20">
        <f t="shared" si="12"/>
        <v>3.5</v>
      </c>
      <c r="P62" s="4"/>
      <c r="Q62" s="4"/>
      <c r="R62" s="4"/>
      <c r="S62" s="1"/>
      <c r="T62" s="1"/>
      <c r="U62" s="1"/>
      <c r="V62" s="1"/>
      <c r="W62" s="1"/>
      <c r="X62" s="1"/>
    </row>
    <row r="63" spans="1:24" ht="18.75">
      <c r="A63" s="8">
        <v>110</v>
      </c>
      <c r="B63" s="8">
        <v>1968703358</v>
      </c>
      <c r="C63" s="47" t="s">
        <v>81</v>
      </c>
      <c r="D63" s="48" t="s">
        <v>45</v>
      </c>
      <c r="E63" s="10">
        <v>0</v>
      </c>
      <c r="F63" s="10">
        <v>0</v>
      </c>
      <c r="G63" s="39" t="s">
        <v>34</v>
      </c>
      <c r="H63" s="11">
        <f t="shared" si="9"/>
        <v>0</v>
      </c>
      <c r="I63" s="10">
        <f t="shared" si="7"/>
        <v>0</v>
      </c>
      <c r="J63" s="10">
        <v>0</v>
      </c>
      <c r="K63" s="10">
        <f t="shared" si="10"/>
        <v>0</v>
      </c>
      <c r="L63" s="17">
        <v>3.5</v>
      </c>
      <c r="M63" s="18">
        <f t="shared" si="11"/>
        <v>3.5</v>
      </c>
      <c r="N63" s="19">
        <f t="shared" si="8"/>
        <v>0</v>
      </c>
      <c r="O63" s="20">
        <f t="shared" si="12"/>
        <v>3.5</v>
      </c>
      <c r="P63" s="11"/>
      <c r="Q63" s="11"/>
      <c r="R63" s="17"/>
      <c r="S63" s="1"/>
      <c r="T63" s="1"/>
      <c r="U63" s="1"/>
      <c r="V63" s="1"/>
      <c r="W63" s="1"/>
      <c r="X63" s="1"/>
    </row>
    <row r="64" spans="1:24" ht="18.75">
      <c r="A64" s="8">
        <v>211</v>
      </c>
      <c r="B64" s="8">
        <v>1030769255</v>
      </c>
      <c r="C64" s="47" t="s">
        <v>121</v>
      </c>
      <c r="D64" s="46"/>
      <c r="E64" s="10">
        <v>0</v>
      </c>
      <c r="F64" s="10">
        <v>0</v>
      </c>
      <c r="G64" s="39" t="s">
        <v>34</v>
      </c>
      <c r="H64" s="11">
        <f t="shared" si="9"/>
        <v>0</v>
      </c>
      <c r="I64" s="10">
        <f t="shared" si="7"/>
        <v>0</v>
      </c>
      <c r="J64" s="10">
        <v>0</v>
      </c>
      <c r="K64" s="10">
        <f t="shared" si="10"/>
        <v>0</v>
      </c>
      <c r="L64" s="17">
        <v>2</v>
      </c>
      <c r="M64" s="18">
        <f t="shared" si="11"/>
        <v>2</v>
      </c>
      <c r="N64" s="19">
        <f t="shared" si="8"/>
        <v>0</v>
      </c>
      <c r="O64" s="20">
        <f t="shared" si="12"/>
        <v>2</v>
      </c>
      <c r="P64" s="4"/>
      <c r="Q64" s="4"/>
      <c r="R64" s="4"/>
      <c r="S64" s="1"/>
      <c r="T64" s="1"/>
      <c r="U64" s="1"/>
      <c r="V64" s="1"/>
      <c r="W64" s="1"/>
      <c r="X64" s="1"/>
    </row>
    <row r="65" spans="1:24" ht="18.75">
      <c r="A65" s="8">
        <v>206</v>
      </c>
      <c r="B65" s="8">
        <v>1835375380</v>
      </c>
      <c r="C65" s="47" t="s">
        <v>115</v>
      </c>
      <c r="D65" s="46"/>
      <c r="E65" s="10">
        <v>0</v>
      </c>
      <c r="F65" s="10">
        <v>0</v>
      </c>
      <c r="G65" s="39" t="s">
        <v>34</v>
      </c>
      <c r="H65" s="11">
        <f t="shared" si="9"/>
        <v>0</v>
      </c>
      <c r="I65" s="10">
        <f t="shared" si="7"/>
        <v>0</v>
      </c>
      <c r="J65" s="10">
        <v>0</v>
      </c>
      <c r="K65" s="10">
        <f t="shared" si="10"/>
        <v>0</v>
      </c>
      <c r="L65" s="17">
        <v>2</v>
      </c>
      <c r="M65" s="18">
        <f t="shared" si="11"/>
        <v>2</v>
      </c>
      <c r="N65" s="19">
        <f t="shared" si="8"/>
        <v>0</v>
      </c>
      <c r="O65" s="20">
        <f t="shared" si="12"/>
        <v>2</v>
      </c>
      <c r="P65" s="4"/>
      <c r="Q65" s="4"/>
      <c r="R65" s="4"/>
      <c r="S65" s="1"/>
      <c r="T65" s="1"/>
      <c r="U65" s="1"/>
      <c r="V65" s="1"/>
      <c r="W65" s="1"/>
      <c r="X65" s="1"/>
    </row>
    <row r="66" spans="1:24" ht="18.75">
      <c r="A66" s="9">
        <v>5</v>
      </c>
      <c r="B66" s="8">
        <v>1044399218</v>
      </c>
      <c r="C66" s="47" t="s">
        <v>75</v>
      </c>
      <c r="D66" s="48" t="s">
        <v>9</v>
      </c>
      <c r="E66" s="10">
        <v>0</v>
      </c>
      <c r="F66" s="10">
        <v>0</v>
      </c>
      <c r="G66" s="39" t="s">
        <v>34</v>
      </c>
      <c r="H66" s="11">
        <f t="shared" si="9"/>
        <v>0</v>
      </c>
      <c r="I66" s="10">
        <f t="shared" si="7"/>
        <v>0</v>
      </c>
      <c r="J66" s="10">
        <v>0</v>
      </c>
      <c r="K66" s="10">
        <f t="shared" si="10"/>
        <v>0</v>
      </c>
      <c r="L66" s="17">
        <v>2</v>
      </c>
      <c r="M66" s="18">
        <f t="shared" si="11"/>
        <v>2</v>
      </c>
      <c r="N66" s="19">
        <f t="shared" si="8"/>
        <v>0</v>
      </c>
      <c r="O66" s="20">
        <f t="shared" si="12"/>
        <v>2</v>
      </c>
      <c r="P66" s="11"/>
      <c r="Q66" s="11"/>
      <c r="R66" s="11"/>
      <c r="S66" s="1"/>
      <c r="T66" s="1"/>
      <c r="U66" s="1"/>
      <c r="V66" s="1"/>
      <c r="W66" s="1"/>
      <c r="X66" s="1"/>
    </row>
    <row r="67" spans="1:24" ht="18.75">
      <c r="A67" s="9">
        <v>103</v>
      </c>
      <c r="B67" s="8">
        <v>1540443440</v>
      </c>
      <c r="C67" s="48" t="s">
        <v>68</v>
      </c>
      <c r="D67" s="48" t="s">
        <v>35</v>
      </c>
      <c r="E67" s="10">
        <v>0</v>
      </c>
      <c r="F67" s="10">
        <v>0</v>
      </c>
      <c r="G67" s="39" t="s">
        <v>34</v>
      </c>
      <c r="H67" s="11">
        <f t="shared" si="9"/>
        <v>0</v>
      </c>
      <c r="I67" s="10">
        <f t="shared" si="7"/>
        <v>0</v>
      </c>
      <c r="J67" s="10">
        <v>0</v>
      </c>
      <c r="K67" s="10">
        <f t="shared" si="10"/>
        <v>0</v>
      </c>
      <c r="L67" s="17">
        <v>2</v>
      </c>
      <c r="M67" s="18">
        <f t="shared" si="11"/>
        <v>2</v>
      </c>
      <c r="N67" s="19">
        <f t="shared" si="8"/>
        <v>0</v>
      </c>
      <c r="O67" s="20">
        <f t="shared" si="12"/>
        <v>2</v>
      </c>
      <c r="P67" s="11"/>
      <c r="Q67" s="11"/>
      <c r="R67" s="11"/>
      <c r="S67" s="3"/>
      <c r="T67" s="3"/>
      <c r="U67" s="3"/>
      <c r="V67" s="3"/>
      <c r="W67" s="3"/>
      <c r="X67" s="3"/>
    </row>
    <row r="68" spans="1:24" ht="18.75">
      <c r="A68" s="8">
        <v>141</v>
      </c>
      <c r="B68" s="8">
        <v>1190305158</v>
      </c>
      <c r="C68" s="47" t="s">
        <v>55</v>
      </c>
      <c r="D68" s="50"/>
      <c r="E68" s="10">
        <v>0</v>
      </c>
      <c r="F68" s="10">
        <v>0</v>
      </c>
      <c r="G68" s="39" t="s">
        <v>34</v>
      </c>
      <c r="H68" s="11">
        <f t="shared" si="9"/>
        <v>0</v>
      </c>
      <c r="I68" s="10">
        <f t="shared" si="7"/>
        <v>0</v>
      </c>
      <c r="J68" s="10">
        <v>0</v>
      </c>
      <c r="K68" s="10">
        <f t="shared" si="10"/>
        <v>0</v>
      </c>
      <c r="L68" s="17">
        <v>2</v>
      </c>
      <c r="M68" s="18">
        <f t="shared" si="11"/>
        <v>2</v>
      </c>
      <c r="N68" s="19">
        <f t="shared" si="8"/>
        <v>0</v>
      </c>
      <c r="O68" s="20">
        <f t="shared" si="12"/>
        <v>2</v>
      </c>
      <c r="P68" s="11"/>
      <c r="Q68" s="11"/>
      <c r="R68" s="31"/>
    </row>
    <row r="69" spans="1:24" ht="18.75">
      <c r="A69" s="8">
        <v>199</v>
      </c>
      <c r="B69" s="8">
        <v>1190213504</v>
      </c>
      <c r="C69" s="47" t="s">
        <v>117</v>
      </c>
      <c r="D69" s="46"/>
      <c r="E69" s="10">
        <v>0</v>
      </c>
      <c r="F69" s="10">
        <v>0</v>
      </c>
      <c r="G69" s="39" t="s">
        <v>34</v>
      </c>
      <c r="H69" s="11">
        <f t="shared" si="9"/>
        <v>0</v>
      </c>
      <c r="I69" s="10">
        <f t="shared" si="7"/>
        <v>0</v>
      </c>
      <c r="J69" s="10">
        <v>0</v>
      </c>
      <c r="K69" s="10">
        <f t="shared" si="10"/>
        <v>0</v>
      </c>
      <c r="L69" s="17">
        <v>1</v>
      </c>
      <c r="M69" s="18">
        <f t="shared" si="11"/>
        <v>1</v>
      </c>
      <c r="N69" s="19">
        <f t="shared" si="8"/>
        <v>0</v>
      </c>
      <c r="O69" s="20">
        <f t="shared" si="12"/>
        <v>1</v>
      </c>
      <c r="P69" s="4"/>
      <c r="Q69" s="4"/>
      <c r="R69" s="4"/>
    </row>
    <row r="70" spans="1:24" ht="18.75">
      <c r="A70" s="8">
        <v>204</v>
      </c>
      <c r="B70" s="8">
        <v>1449474852</v>
      </c>
      <c r="C70" s="47" t="s">
        <v>113</v>
      </c>
      <c r="D70" s="46"/>
      <c r="E70" s="10">
        <v>0</v>
      </c>
      <c r="F70" s="10">
        <v>0</v>
      </c>
      <c r="G70" s="39" t="s">
        <v>34</v>
      </c>
      <c r="H70" s="11">
        <f t="shared" si="9"/>
        <v>0</v>
      </c>
      <c r="I70" s="10">
        <f t="shared" si="7"/>
        <v>0</v>
      </c>
      <c r="J70" s="10">
        <v>0</v>
      </c>
      <c r="K70" s="10">
        <f t="shared" si="10"/>
        <v>0</v>
      </c>
      <c r="L70" s="17">
        <v>1</v>
      </c>
      <c r="M70" s="18">
        <f t="shared" si="11"/>
        <v>1</v>
      </c>
      <c r="N70" s="19">
        <f t="shared" si="8"/>
        <v>0</v>
      </c>
      <c r="O70" s="20">
        <f t="shared" si="12"/>
        <v>1</v>
      </c>
      <c r="P70" s="4"/>
      <c r="Q70" s="4"/>
      <c r="R70" s="4"/>
    </row>
    <row r="71" spans="1:24" ht="18.75">
      <c r="A71" s="8">
        <v>192</v>
      </c>
      <c r="B71" s="8">
        <v>1725281178</v>
      </c>
      <c r="C71" s="47" t="s">
        <v>102</v>
      </c>
      <c r="D71" s="46"/>
      <c r="E71" s="10">
        <v>0</v>
      </c>
      <c r="F71" s="10">
        <v>0</v>
      </c>
      <c r="G71" s="39" t="s">
        <v>34</v>
      </c>
      <c r="H71" s="11">
        <f t="shared" si="9"/>
        <v>0</v>
      </c>
      <c r="I71" s="10">
        <f t="shared" si="7"/>
        <v>0</v>
      </c>
      <c r="J71" s="10">
        <v>0</v>
      </c>
      <c r="K71" s="10">
        <f t="shared" si="10"/>
        <v>0</v>
      </c>
      <c r="L71" s="17">
        <v>1</v>
      </c>
      <c r="M71" s="18">
        <f t="shared" si="11"/>
        <v>1</v>
      </c>
      <c r="N71" s="19">
        <f t="shared" si="8"/>
        <v>0</v>
      </c>
      <c r="O71" s="20">
        <f t="shared" si="12"/>
        <v>1</v>
      </c>
      <c r="P71" s="4"/>
      <c r="Q71" s="4"/>
      <c r="R71" s="4"/>
    </row>
    <row r="72" spans="1:24" ht="18.75">
      <c r="A72" s="8">
        <v>201</v>
      </c>
      <c r="B72" s="8">
        <v>251334814</v>
      </c>
      <c r="C72" s="47" t="s">
        <v>110</v>
      </c>
      <c r="D72" s="46"/>
      <c r="E72" s="10">
        <v>0</v>
      </c>
      <c r="F72" s="10">
        <v>0</v>
      </c>
      <c r="G72" s="39" t="s">
        <v>34</v>
      </c>
      <c r="H72" s="11">
        <f t="shared" si="9"/>
        <v>0</v>
      </c>
      <c r="I72" s="10">
        <f t="shared" si="7"/>
        <v>0</v>
      </c>
      <c r="J72" s="10">
        <v>0</v>
      </c>
      <c r="K72" s="10">
        <f t="shared" si="10"/>
        <v>0</v>
      </c>
      <c r="L72" s="17">
        <v>1</v>
      </c>
      <c r="M72" s="18">
        <f t="shared" si="11"/>
        <v>1</v>
      </c>
      <c r="N72" s="19">
        <f t="shared" si="8"/>
        <v>0</v>
      </c>
      <c r="O72" s="20">
        <f t="shared" si="12"/>
        <v>1</v>
      </c>
      <c r="P72" s="4"/>
      <c r="Q72" s="4"/>
      <c r="R72" s="4"/>
    </row>
    <row r="73" spans="1:24" ht="18.75">
      <c r="A73" s="8">
        <v>148</v>
      </c>
      <c r="B73" s="8">
        <v>1579518877</v>
      </c>
      <c r="C73" s="47" t="s">
        <v>59</v>
      </c>
      <c r="D73" s="50"/>
      <c r="E73" s="10">
        <v>0</v>
      </c>
      <c r="F73" s="10">
        <v>0</v>
      </c>
      <c r="G73" s="39" t="s">
        <v>34</v>
      </c>
      <c r="H73" s="11">
        <f t="shared" si="9"/>
        <v>0</v>
      </c>
      <c r="I73" s="10">
        <f t="shared" si="7"/>
        <v>0</v>
      </c>
      <c r="J73" s="10">
        <v>0</v>
      </c>
      <c r="K73" s="10">
        <f t="shared" si="10"/>
        <v>0</v>
      </c>
      <c r="L73" s="17">
        <v>1</v>
      </c>
      <c r="M73" s="18">
        <f t="shared" si="11"/>
        <v>1</v>
      </c>
      <c r="N73" s="19">
        <f t="shared" si="8"/>
        <v>0</v>
      </c>
      <c r="O73" s="20">
        <f t="shared" si="12"/>
        <v>1</v>
      </c>
      <c r="P73" s="4"/>
      <c r="Q73" s="4"/>
      <c r="R73" s="4"/>
    </row>
    <row r="74" spans="1:24" ht="18.75">
      <c r="A74" s="8">
        <v>144</v>
      </c>
      <c r="B74" s="8">
        <v>1763923855</v>
      </c>
      <c r="C74" s="47" t="s">
        <v>57</v>
      </c>
      <c r="D74" s="53"/>
      <c r="E74" s="10">
        <v>0</v>
      </c>
      <c r="F74" s="10">
        <v>0</v>
      </c>
      <c r="G74" s="39" t="s">
        <v>34</v>
      </c>
      <c r="H74" s="11">
        <f t="shared" si="9"/>
        <v>0</v>
      </c>
      <c r="I74" s="10">
        <f t="shared" si="7"/>
        <v>0</v>
      </c>
      <c r="J74" s="10">
        <v>0</v>
      </c>
      <c r="K74" s="10">
        <f t="shared" si="10"/>
        <v>0</v>
      </c>
      <c r="L74" s="17">
        <v>1</v>
      </c>
      <c r="M74" s="18">
        <f t="shared" si="11"/>
        <v>1</v>
      </c>
      <c r="N74" s="19">
        <f t="shared" si="8"/>
        <v>0</v>
      </c>
      <c r="O74" s="20">
        <f t="shared" si="12"/>
        <v>1</v>
      </c>
      <c r="P74" s="4"/>
      <c r="Q74" s="4"/>
      <c r="R74" s="4"/>
    </row>
    <row r="75" spans="1:24" ht="18.75">
      <c r="A75" s="8">
        <v>152</v>
      </c>
      <c r="B75" s="8">
        <v>808637979</v>
      </c>
      <c r="C75" s="47" t="s">
        <v>62</v>
      </c>
      <c r="D75" s="47" t="s">
        <v>60</v>
      </c>
      <c r="E75" s="10">
        <v>0</v>
      </c>
      <c r="F75" s="10">
        <v>0</v>
      </c>
      <c r="G75" s="39" t="s">
        <v>34</v>
      </c>
      <c r="H75" s="11">
        <f t="shared" si="9"/>
        <v>0</v>
      </c>
      <c r="I75" s="10">
        <f t="shared" si="7"/>
        <v>0</v>
      </c>
      <c r="J75" s="10">
        <v>0</v>
      </c>
      <c r="K75" s="10">
        <f t="shared" si="10"/>
        <v>0</v>
      </c>
      <c r="L75" s="17">
        <v>0</v>
      </c>
      <c r="M75" s="18">
        <f t="shared" si="11"/>
        <v>0</v>
      </c>
      <c r="N75" s="19">
        <f t="shared" si="8"/>
        <v>0</v>
      </c>
      <c r="O75" s="20">
        <f t="shared" si="12"/>
        <v>0</v>
      </c>
      <c r="P75" s="4"/>
      <c r="Q75" s="4"/>
      <c r="R75" s="4"/>
    </row>
    <row r="76" spans="1:24" ht="18.75">
      <c r="A76" s="8">
        <v>170</v>
      </c>
      <c r="B76" s="8">
        <v>1659068972</v>
      </c>
      <c r="C76" s="47" t="s">
        <v>66</v>
      </c>
      <c r="D76" s="46"/>
      <c r="E76" s="10">
        <v>0</v>
      </c>
      <c r="F76" s="10">
        <v>0</v>
      </c>
      <c r="G76" s="39" t="s">
        <v>34</v>
      </c>
      <c r="H76" s="11">
        <f t="shared" si="9"/>
        <v>0</v>
      </c>
      <c r="I76" s="10">
        <f t="shared" si="7"/>
        <v>0</v>
      </c>
      <c r="J76" s="10">
        <v>0</v>
      </c>
      <c r="K76" s="10">
        <f t="shared" si="10"/>
        <v>0</v>
      </c>
      <c r="L76" s="17">
        <v>0</v>
      </c>
      <c r="M76" s="18">
        <f t="shared" si="11"/>
        <v>0</v>
      </c>
      <c r="N76" s="19">
        <f t="shared" si="8"/>
        <v>0</v>
      </c>
      <c r="O76" s="20">
        <f t="shared" si="12"/>
        <v>0</v>
      </c>
      <c r="P76" s="4"/>
      <c r="Q76" s="4"/>
      <c r="R76" s="4"/>
    </row>
    <row r="77" spans="1:24" ht="18.75">
      <c r="A77" s="8">
        <v>167</v>
      </c>
      <c r="B77" s="8">
        <v>1173807161</v>
      </c>
      <c r="C77" s="47" t="s">
        <v>67</v>
      </c>
      <c r="D77" s="52"/>
      <c r="E77" s="10">
        <v>0</v>
      </c>
      <c r="F77" s="10">
        <v>0</v>
      </c>
      <c r="G77" s="39" t="s">
        <v>34</v>
      </c>
      <c r="H77" s="11">
        <f t="shared" si="9"/>
        <v>0</v>
      </c>
      <c r="I77" s="10">
        <f t="shared" si="7"/>
        <v>0</v>
      </c>
      <c r="J77" s="10">
        <v>0</v>
      </c>
      <c r="K77" s="10">
        <f t="shared" si="10"/>
        <v>0</v>
      </c>
      <c r="L77" s="17">
        <v>0</v>
      </c>
      <c r="M77" s="18">
        <f t="shared" si="11"/>
        <v>0</v>
      </c>
      <c r="N77" s="19">
        <f t="shared" si="8"/>
        <v>0</v>
      </c>
      <c r="O77" s="20">
        <f t="shared" si="12"/>
        <v>0</v>
      </c>
      <c r="P77" s="4"/>
      <c r="Q77" s="4"/>
      <c r="R77" s="4"/>
    </row>
    <row r="78" spans="1:24" ht="18.75">
      <c r="A78" s="8">
        <v>138</v>
      </c>
      <c r="B78" s="8">
        <v>1440730282</v>
      </c>
      <c r="C78" s="47" t="s">
        <v>86</v>
      </c>
      <c r="D78" s="47" t="s">
        <v>54</v>
      </c>
      <c r="E78" s="10">
        <v>0</v>
      </c>
      <c r="F78" s="10">
        <v>0</v>
      </c>
      <c r="G78" s="39" t="s">
        <v>34</v>
      </c>
      <c r="H78" s="11">
        <f t="shared" si="9"/>
        <v>0</v>
      </c>
      <c r="I78" s="10">
        <f t="shared" si="7"/>
        <v>0</v>
      </c>
      <c r="J78" s="10">
        <v>0</v>
      </c>
      <c r="K78" s="10">
        <f t="shared" si="10"/>
        <v>0</v>
      </c>
      <c r="L78" s="17">
        <v>0</v>
      </c>
      <c r="M78" s="18">
        <f t="shared" si="11"/>
        <v>0</v>
      </c>
      <c r="N78" s="19">
        <f t="shared" si="8"/>
        <v>0</v>
      </c>
      <c r="O78" s="20">
        <f t="shared" si="12"/>
        <v>0</v>
      </c>
      <c r="P78" s="11"/>
      <c r="Q78" s="11"/>
      <c r="R78" s="31"/>
    </row>
    <row r="79" spans="1:24" ht="18.75">
      <c r="A79" s="8">
        <v>127</v>
      </c>
      <c r="B79" s="8">
        <v>615908706</v>
      </c>
      <c r="C79" s="47" t="s">
        <v>84</v>
      </c>
      <c r="D79" s="50" t="s">
        <v>46</v>
      </c>
      <c r="E79" s="10">
        <v>0</v>
      </c>
      <c r="F79" s="10">
        <v>0</v>
      </c>
      <c r="G79" s="39" t="s">
        <v>34</v>
      </c>
      <c r="H79" s="11">
        <f t="shared" si="9"/>
        <v>0</v>
      </c>
      <c r="I79" s="10">
        <f t="shared" si="7"/>
        <v>0</v>
      </c>
      <c r="J79" s="10">
        <v>0</v>
      </c>
      <c r="K79" s="10">
        <f t="shared" si="10"/>
        <v>0</v>
      </c>
      <c r="L79" s="17">
        <v>0</v>
      </c>
      <c r="M79" s="18">
        <f t="shared" si="11"/>
        <v>0</v>
      </c>
      <c r="N79" s="19">
        <f t="shared" si="8"/>
        <v>0</v>
      </c>
      <c r="O79" s="20">
        <f t="shared" si="12"/>
        <v>0</v>
      </c>
      <c r="P79" s="40"/>
      <c r="Q79" s="40"/>
      <c r="R79" s="41"/>
    </row>
    <row r="80" spans="1:24" ht="18.75">
      <c r="A80" s="9">
        <v>43</v>
      </c>
      <c r="B80" s="8">
        <v>1853818182</v>
      </c>
      <c r="C80" s="48" t="s">
        <v>78</v>
      </c>
      <c r="D80" s="48" t="s">
        <v>14</v>
      </c>
      <c r="E80" s="10">
        <v>0</v>
      </c>
      <c r="F80" s="10">
        <v>0</v>
      </c>
      <c r="G80" s="39" t="s">
        <v>34</v>
      </c>
      <c r="H80" s="11">
        <f t="shared" si="9"/>
        <v>0</v>
      </c>
      <c r="I80" s="10">
        <f t="shared" si="7"/>
        <v>0</v>
      </c>
      <c r="J80" s="10">
        <v>0</v>
      </c>
      <c r="K80" s="10">
        <f t="shared" si="10"/>
        <v>0</v>
      </c>
      <c r="L80" s="17">
        <v>0</v>
      </c>
      <c r="M80" s="18">
        <f t="shared" si="11"/>
        <v>0</v>
      </c>
      <c r="N80" s="19">
        <f t="shared" si="8"/>
        <v>0</v>
      </c>
      <c r="O80" s="20">
        <f t="shared" si="12"/>
        <v>0</v>
      </c>
      <c r="P80" s="40"/>
      <c r="Q80" s="40"/>
    </row>
    <row r="81" spans="1:18" ht="18.75">
      <c r="A81" s="8">
        <v>197</v>
      </c>
      <c r="B81" s="8">
        <v>2012003193</v>
      </c>
      <c r="C81" s="47" t="s">
        <v>107</v>
      </c>
      <c r="D81" s="46"/>
      <c r="E81" s="10">
        <v>0</v>
      </c>
      <c r="F81" s="10">
        <v>0</v>
      </c>
      <c r="G81" s="39" t="s">
        <v>34</v>
      </c>
      <c r="H81" s="11">
        <f t="shared" si="9"/>
        <v>0</v>
      </c>
      <c r="I81" s="10">
        <f t="shared" si="7"/>
        <v>0</v>
      </c>
      <c r="J81" s="10">
        <v>0</v>
      </c>
      <c r="K81" s="10">
        <f t="shared" si="10"/>
        <v>0</v>
      </c>
      <c r="L81" s="17">
        <v>0</v>
      </c>
      <c r="M81" s="18">
        <f t="shared" si="11"/>
        <v>0</v>
      </c>
      <c r="N81" s="19">
        <f t="shared" si="8"/>
        <v>0</v>
      </c>
      <c r="O81" s="20">
        <f t="shared" si="12"/>
        <v>0</v>
      </c>
    </row>
    <row r="82" spans="1:18" ht="18.75">
      <c r="A82" s="8">
        <v>164</v>
      </c>
      <c r="B82" s="8">
        <v>1005320430</v>
      </c>
      <c r="C82" s="47" t="s">
        <v>65</v>
      </c>
      <c r="D82" s="45"/>
      <c r="E82" s="10">
        <v>0</v>
      </c>
      <c r="F82" s="10">
        <v>0</v>
      </c>
      <c r="G82" s="39" t="s">
        <v>34</v>
      </c>
      <c r="H82" s="11">
        <f t="shared" si="9"/>
        <v>0</v>
      </c>
      <c r="I82" s="10">
        <f t="shared" si="7"/>
        <v>0</v>
      </c>
      <c r="J82" s="10">
        <v>0</v>
      </c>
      <c r="K82" s="10">
        <f t="shared" si="10"/>
        <v>0</v>
      </c>
      <c r="L82" s="17">
        <v>0</v>
      </c>
      <c r="M82" s="18">
        <f t="shared" si="11"/>
        <v>0</v>
      </c>
      <c r="N82" s="19">
        <f t="shared" si="8"/>
        <v>0</v>
      </c>
      <c r="O82" s="20">
        <f t="shared" si="12"/>
        <v>0</v>
      </c>
    </row>
    <row r="83" spans="1:18" ht="18.75">
      <c r="A83" s="9">
        <v>122</v>
      </c>
      <c r="B83" s="8">
        <v>1940099728</v>
      </c>
      <c r="C83" s="48" t="s">
        <v>43</v>
      </c>
      <c r="D83" s="49"/>
      <c r="E83" s="10">
        <v>0</v>
      </c>
      <c r="F83" s="10">
        <v>0</v>
      </c>
      <c r="G83" s="39" t="s">
        <v>34</v>
      </c>
      <c r="H83" s="11">
        <f t="shared" si="9"/>
        <v>0</v>
      </c>
      <c r="I83" s="10">
        <f t="shared" si="7"/>
        <v>0</v>
      </c>
      <c r="J83" s="10">
        <v>0</v>
      </c>
      <c r="K83" s="10">
        <f t="shared" si="10"/>
        <v>0</v>
      </c>
      <c r="L83" s="17">
        <v>0</v>
      </c>
      <c r="M83" s="18">
        <f t="shared" si="11"/>
        <v>0</v>
      </c>
      <c r="N83" s="19">
        <f t="shared" si="8"/>
        <v>0</v>
      </c>
      <c r="O83" s="20">
        <f t="shared" si="12"/>
        <v>0</v>
      </c>
      <c r="P83" s="40"/>
      <c r="Q83" s="40"/>
      <c r="R83" s="41"/>
    </row>
    <row r="84" spans="1:18" ht="18.75">
      <c r="A84" s="8">
        <v>179</v>
      </c>
      <c r="B84" s="8">
        <v>1412638269</v>
      </c>
      <c r="C84" s="48" t="s">
        <v>42</v>
      </c>
      <c r="D84" s="46"/>
      <c r="E84" s="10">
        <v>0</v>
      </c>
      <c r="F84" s="10">
        <v>0</v>
      </c>
      <c r="G84" s="39" t="s">
        <v>34</v>
      </c>
      <c r="H84" s="11">
        <f t="shared" si="9"/>
        <v>0</v>
      </c>
      <c r="I84" s="10">
        <f t="shared" si="7"/>
        <v>0</v>
      </c>
      <c r="J84" s="10">
        <v>0</v>
      </c>
      <c r="K84" s="10">
        <f t="shared" si="10"/>
        <v>0</v>
      </c>
      <c r="L84" s="17">
        <v>0</v>
      </c>
      <c r="M84" s="18">
        <f t="shared" si="11"/>
        <v>0</v>
      </c>
      <c r="N84" s="19">
        <f t="shared" si="8"/>
        <v>0</v>
      </c>
      <c r="O84" s="20">
        <f t="shared" si="12"/>
        <v>0</v>
      </c>
    </row>
    <row r="85" spans="1:18" ht="18.75">
      <c r="A85" s="8">
        <v>156</v>
      </c>
      <c r="B85" s="8">
        <v>1754610165</v>
      </c>
      <c r="C85" s="47" t="s">
        <v>88</v>
      </c>
      <c r="D85" s="45"/>
      <c r="E85" s="10">
        <v>0</v>
      </c>
      <c r="F85" s="10">
        <v>0</v>
      </c>
      <c r="G85" s="39" t="s">
        <v>34</v>
      </c>
      <c r="H85" s="11">
        <f t="shared" si="9"/>
        <v>0</v>
      </c>
      <c r="I85" s="10">
        <f t="shared" si="7"/>
        <v>0</v>
      </c>
      <c r="J85" s="10">
        <v>0</v>
      </c>
      <c r="K85" s="10">
        <f t="shared" si="10"/>
        <v>0</v>
      </c>
      <c r="L85" s="17">
        <v>-3.125</v>
      </c>
      <c r="M85" s="18">
        <f t="shared" si="11"/>
        <v>-3.125</v>
      </c>
      <c r="N85" s="19">
        <f t="shared" si="8"/>
        <v>0</v>
      </c>
      <c r="O85" s="20">
        <f t="shared" si="12"/>
        <v>-3.125</v>
      </c>
    </row>
    <row r="86" spans="1:18" ht="18.75">
      <c r="A86" s="8">
        <v>172</v>
      </c>
      <c r="B86" s="8">
        <v>724061220</v>
      </c>
      <c r="C86" s="47" t="s">
        <v>90</v>
      </c>
      <c r="D86" s="47" t="s">
        <v>71</v>
      </c>
      <c r="E86" s="10">
        <v>0</v>
      </c>
      <c r="F86" s="10">
        <v>0</v>
      </c>
      <c r="G86" s="39" t="s">
        <v>34</v>
      </c>
      <c r="H86" s="11">
        <f t="shared" si="9"/>
        <v>0</v>
      </c>
      <c r="I86" s="10">
        <f t="shared" si="7"/>
        <v>0</v>
      </c>
      <c r="J86" s="10">
        <v>0</v>
      </c>
      <c r="K86" s="10">
        <f t="shared" si="10"/>
        <v>0</v>
      </c>
      <c r="L86" s="17">
        <v>-3.125</v>
      </c>
      <c r="M86" s="18">
        <f t="shared" si="11"/>
        <v>-3.125</v>
      </c>
      <c r="N86" s="19">
        <f t="shared" si="8"/>
        <v>0</v>
      </c>
      <c r="O86" s="20">
        <f t="shared" si="12"/>
        <v>-3.125</v>
      </c>
    </row>
    <row r="87" spans="1:18" ht="18.75">
      <c r="A87" s="8">
        <v>195</v>
      </c>
      <c r="B87" s="8">
        <v>1634663314</v>
      </c>
      <c r="C87" s="47" t="s">
        <v>105</v>
      </c>
      <c r="D87" s="46"/>
      <c r="E87" s="10">
        <v>0</v>
      </c>
      <c r="F87" s="10">
        <v>0</v>
      </c>
      <c r="G87" s="39" t="s">
        <v>34</v>
      </c>
      <c r="H87" s="11">
        <f t="shared" si="9"/>
        <v>0</v>
      </c>
      <c r="I87" s="10">
        <f t="shared" si="7"/>
        <v>0</v>
      </c>
      <c r="J87" s="10">
        <v>0</v>
      </c>
      <c r="K87" s="10">
        <f t="shared" si="10"/>
        <v>0</v>
      </c>
      <c r="L87" s="17">
        <v>-3.125</v>
      </c>
      <c r="M87" s="18">
        <f t="shared" si="11"/>
        <v>-3.125</v>
      </c>
      <c r="N87" s="19">
        <f t="shared" si="8"/>
        <v>0</v>
      </c>
      <c r="O87" s="20">
        <f t="shared" si="12"/>
        <v>-3.125</v>
      </c>
    </row>
    <row r="88" spans="1:18" ht="18.75">
      <c r="A88" s="8">
        <v>194</v>
      </c>
      <c r="B88" s="8">
        <v>648785109</v>
      </c>
      <c r="C88" s="47" t="s">
        <v>104</v>
      </c>
      <c r="D88" s="46"/>
      <c r="E88" s="10">
        <v>0</v>
      </c>
      <c r="F88" s="10">
        <v>0</v>
      </c>
      <c r="G88" s="39" t="s">
        <v>34</v>
      </c>
      <c r="H88" s="11">
        <f t="shared" si="9"/>
        <v>0</v>
      </c>
      <c r="I88" s="10">
        <f t="shared" si="7"/>
        <v>0</v>
      </c>
      <c r="J88" s="10">
        <v>0</v>
      </c>
      <c r="K88" s="10">
        <f t="shared" si="10"/>
        <v>0</v>
      </c>
      <c r="L88" s="17">
        <v>-3.125</v>
      </c>
      <c r="M88" s="18">
        <f t="shared" si="11"/>
        <v>-3.125</v>
      </c>
      <c r="N88" s="19">
        <f t="shared" si="8"/>
        <v>0</v>
      </c>
      <c r="O88" s="20">
        <f t="shared" si="12"/>
        <v>-3.125</v>
      </c>
    </row>
    <row r="89" spans="1:18" ht="18.75">
      <c r="A89" s="8">
        <v>180</v>
      </c>
      <c r="B89" s="8">
        <v>24633249</v>
      </c>
      <c r="C89" s="48" t="s">
        <v>72</v>
      </c>
      <c r="D89" s="46"/>
      <c r="E89" s="10">
        <v>0</v>
      </c>
      <c r="F89" s="10">
        <v>0</v>
      </c>
      <c r="G89" s="39" t="s">
        <v>34</v>
      </c>
      <c r="H89" s="11">
        <f t="shared" si="9"/>
        <v>0</v>
      </c>
      <c r="I89" s="10">
        <f t="shared" si="7"/>
        <v>0</v>
      </c>
      <c r="J89" s="10">
        <v>0</v>
      </c>
      <c r="K89" s="10">
        <f t="shared" si="10"/>
        <v>0</v>
      </c>
      <c r="L89" s="17">
        <v>-3.125</v>
      </c>
      <c r="M89" s="18">
        <f t="shared" si="11"/>
        <v>-3.125</v>
      </c>
      <c r="N89" s="19">
        <f t="shared" si="8"/>
        <v>0</v>
      </c>
      <c r="O89" s="20">
        <f t="shared" si="12"/>
        <v>-3.125</v>
      </c>
    </row>
    <row r="90" spans="1:18" ht="18.75">
      <c r="A90" s="8">
        <v>174</v>
      </c>
      <c r="B90" s="8">
        <v>775720958</v>
      </c>
      <c r="C90" s="47" t="s">
        <v>116</v>
      </c>
      <c r="D90" s="47" t="s">
        <v>69</v>
      </c>
      <c r="E90" s="10">
        <v>0</v>
      </c>
      <c r="F90" s="10">
        <v>0</v>
      </c>
      <c r="G90" s="39" t="s">
        <v>34</v>
      </c>
      <c r="H90" s="11">
        <f t="shared" si="9"/>
        <v>0</v>
      </c>
      <c r="I90" s="10">
        <f t="shared" si="7"/>
        <v>0</v>
      </c>
      <c r="J90" s="10">
        <v>0</v>
      </c>
      <c r="K90" s="10">
        <f t="shared" si="10"/>
        <v>0</v>
      </c>
      <c r="L90" s="17">
        <v>-1.25</v>
      </c>
      <c r="M90" s="18">
        <f t="shared" si="11"/>
        <v>-1.25</v>
      </c>
      <c r="N90" s="19">
        <f t="shared" si="8"/>
        <v>0</v>
      </c>
      <c r="O90" s="20">
        <f t="shared" si="12"/>
        <v>-1.25</v>
      </c>
    </row>
    <row r="91" spans="1:18" ht="18.75">
      <c r="A91" s="8">
        <v>116</v>
      </c>
      <c r="B91" s="8">
        <v>2122596917</v>
      </c>
      <c r="C91" s="47" t="s">
        <v>82</v>
      </c>
      <c r="D91" s="48" t="s">
        <v>41</v>
      </c>
      <c r="E91" s="10">
        <v>0</v>
      </c>
      <c r="F91" s="10">
        <v>0</v>
      </c>
      <c r="G91" s="39" t="s">
        <v>34</v>
      </c>
      <c r="H91" s="11">
        <f t="shared" si="9"/>
        <v>0</v>
      </c>
      <c r="I91" s="10">
        <f t="shared" si="7"/>
        <v>0</v>
      </c>
      <c r="J91" s="10">
        <v>0</v>
      </c>
      <c r="K91" s="10">
        <f t="shared" si="10"/>
        <v>0</v>
      </c>
      <c r="L91" s="17">
        <v>-1.25</v>
      </c>
      <c r="M91" s="18">
        <f t="shared" si="11"/>
        <v>-1.25</v>
      </c>
      <c r="N91" s="19">
        <f t="shared" si="8"/>
        <v>0</v>
      </c>
      <c r="O91" s="20">
        <f t="shared" si="12"/>
        <v>-1.25</v>
      </c>
      <c r="P91" s="40"/>
      <c r="Q91" s="40"/>
      <c r="R91" s="42"/>
    </row>
    <row r="92" spans="1:18" ht="18.75">
      <c r="A92" s="8">
        <v>202</v>
      </c>
      <c r="B92" s="8">
        <v>471245585</v>
      </c>
      <c r="C92" s="47" t="s">
        <v>111</v>
      </c>
      <c r="D92" s="46"/>
      <c r="E92" s="10">
        <v>0</v>
      </c>
      <c r="F92" s="10">
        <v>0</v>
      </c>
      <c r="G92" s="39" t="s">
        <v>34</v>
      </c>
      <c r="H92" s="11">
        <f t="shared" si="9"/>
        <v>0</v>
      </c>
      <c r="I92" s="10">
        <f t="shared" si="7"/>
        <v>0</v>
      </c>
      <c r="J92" s="10">
        <v>0</v>
      </c>
      <c r="K92" s="10">
        <f t="shared" si="10"/>
        <v>0</v>
      </c>
      <c r="L92" s="17">
        <v>-1.25</v>
      </c>
      <c r="M92" s="18">
        <f t="shared" si="11"/>
        <v>-1.25</v>
      </c>
      <c r="N92" s="19">
        <f t="shared" si="8"/>
        <v>0</v>
      </c>
      <c r="O92" s="20">
        <f t="shared" si="12"/>
        <v>-1.25</v>
      </c>
    </row>
    <row r="93" spans="1:18" ht="18.75">
      <c r="A93" s="8">
        <v>193</v>
      </c>
      <c r="B93" s="8">
        <v>2125731287</v>
      </c>
      <c r="C93" s="47" t="s">
        <v>103</v>
      </c>
      <c r="D93" s="46"/>
      <c r="E93" s="10">
        <v>0</v>
      </c>
      <c r="F93" s="10">
        <v>0</v>
      </c>
      <c r="G93" s="39" t="s">
        <v>34</v>
      </c>
      <c r="H93" s="11">
        <f t="shared" si="9"/>
        <v>0</v>
      </c>
      <c r="I93" s="10">
        <f t="shared" si="7"/>
        <v>0</v>
      </c>
      <c r="J93" s="10">
        <v>0</v>
      </c>
      <c r="K93" s="10">
        <f t="shared" si="10"/>
        <v>0</v>
      </c>
      <c r="L93" s="17">
        <v>-1.25</v>
      </c>
      <c r="M93" s="18">
        <f t="shared" si="11"/>
        <v>-1.25</v>
      </c>
      <c r="N93" s="19">
        <f t="shared" si="8"/>
        <v>0</v>
      </c>
      <c r="O93" s="20">
        <f t="shared" si="12"/>
        <v>-1.25</v>
      </c>
    </row>
    <row r="94" spans="1:18" ht="18.75">
      <c r="A94" s="9">
        <v>15</v>
      </c>
      <c r="B94" s="8">
        <v>388960345</v>
      </c>
      <c r="C94" s="48" t="s">
        <v>11</v>
      </c>
      <c r="D94" s="49"/>
      <c r="E94" s="10">
        <v>0</v>
      </c>
      <c r="F94" s="10">
        <v>0</v>
      </c>
      <c r="G94" s="39" t="s">
        <v>34</v>
      </c>
      <c r="H94" s="11">
        <f t="shared" si="9"/>
        <v>0</v>
      </c>
      <c r="I94" s="10">
        <f t="shared" si="7"/>
        <v>0</v>
      </c>
      <c r="J94" s="10">
        <v>0</v>
      </c>
      <c r="K94" s="10">
        <f t="shared" si="10"/>
        <v>0</v>
      </c>
      <c r="L94" s="17">
        <v>0.625</v>
      </c>
      <c r="M94" s="18">
        <f t="shared" si="11"/>
        <v>0.625</v>
      </c>
      <c r="N94" s="19">
        <f t="shared" si="8"/>
        <v>0</v>
      </c>
      <c r="O94" s="20">
        <f t="shared" si="12"/>
        <v>0.625</v>
      </c>
      <c r="P94" s="40"/>
      <c r="Q94" s="40"/>
      <c r="R94" s="40"/>
    </row>
    <row r="95" spans="1:18" ht="18.75">
      <c r="A95" s="8">
        <v>185</v>
      </c>
      <c r="B95" s="8">
        <v>30705222</v>
      </c>
      <c r="C95" s="47" t="s">
        <v>95</v>
      </c>
      <c r="D95" s="46"/>
      <c r="E95" s="10">
        <v>0</v>
      </c>
      <c r="F95" s="10">
        <v>0</v>
      </c>
      <c r="G95" s="39" t="s">
        <v>34</v>
      </c>
      <c r="H95" s="11">
        <f t="shared" si="9"/>
        <v>0</v>
      </c>
      <c r="I95" s="10">
        <f t="shared" si="7"/>
        <v>0</v>
      </c>
      <c r="J95" s="10">
        <v>0</v>
      </c>
      <c r="K95" s="10">
        <f t="shared" si="10"/>
        <v>0</v>
      </c>
      <c r="L95" s="17">
        <v>0.625</v>
      </c>
      <c r="M95" s="18">
        <f t="shared" si="11"/>
        <v>0.625</v>
      </c>
      <c r="N95" s="19">
        <f t="shared" si="8"/>
        <v>0</v>
      </c>
      <c r="O95" s="20">
        <f t="shared" si="12"/>
        <v>0.625</v>
      </c>
    </row>
    <row r="96" spans="1:18" ht="18.75">
      <c r="A96" s="8">
        <v>178</v>
      </c>
      <c r="B96" s="8">
        <v>1059185275</v>
      </c>
      <c r="C96" s="47" t="s">
        <v>91</v>
      </c>
      <c r="D96" s="46"/>
      <c r="E96" s="10">
        <v>0</v>
      </c>
      <c r="F96" s="10">
        <v>0</v>
      </c>
      <c r="G96" s="39" t="s">
        <v>34</v>
      </c>
      <c r="H96" s="11">
        <f t="shared" si="9"/>
        <v>0</v>
      </c>
      <c r="I96" s="10">
        <f t="shared" si="7"/>
        <v>0</v>
      </c>
      <c r="J96" s="10">
        <v>0</v>
      </c>
      <c r="K96" s="10">
        <f t="shared" si="10"/>
        <v>0</v>
      </c>
      <c r="L96" s="17">
        <v>0.625</v>
      </c>
      <c r="M96" s="18">
        <f t="shared" si="11"/>
        <v>0.625</v>
      </c>
      <c r="N96" s="19">
        <f t="shared" si="8"/>
        <v>0</v>
      </c>
      <c r="O96" s="20">
        <f t="shared" si="12"/>
        <v>0.625</v>
      </c>
    </row>
    <row r="97" spans="1:15" customFormat="1" ht="18.75">
      <c r="A97" s="8">
        <v>189</v>
      </c>
      <c r="B97" s="8">
        <v>522812489</v>
      </c>
      <c r="C97" s="47" t="s">
        <v>99</v>
      </c>
      <c r="D97" s="46"/>
      <c r="E97" s="10">
        <v>0</v>
      </c>
      <c r="F97" s="10">
        <v>0</v>
      </c>
      <c r="G97" s="39" t="s">
        <v>34</v>
      </c>
      <c r="H97" s="11">
        <f t="shared" si="9"/>
        <v>0</v>
      </c>
      <c r="I97" s="10">
        <f t="shared" si="7"/>
        <v>0</v>
      </c>
      <c r="J97" s="10">
        <v>0</v>
      </c>
      <c r="K97" s="10">
        <f t="shared" si="10"/>
        <v>0</v>
      </c>
      <c r="L97" s="17">
        <v>0.625</v>
      </c>
      <c r="M97" s="18">
        <f t="shared" si="11"/>
        <v>0.625</v>
      </c>
      <c r="N97" s="19">
        <f t="shared" si="8"/>
        <v>0</v>
      </c>
      <c r="O97" s="20">
        <f t="shared" si="12"/>
        <v>0.625</v>
      </c>
    </row>
    <row r="98" spans="1:15" customFormat="1" ht="18.75">
      <c r="A98" s="8">
        <v>207</v>
      </c>
      <c r="B98" s="8">
        <v>721273803</v>
      </c>
      <c r="C98" s="51" t="s">
        <v>124</v>
      </c>
      <c r="D98" s="46"/>
      <c r="E98" s="10">
        <v>0</v>
      </c>
      <c r="F98" s="10">
        <v>0</v>
      </c>
      <c r="G98" s="39" t="s">
        <v>34</v>
      </c>
      <c r="H98" s="11">
        <f t="shared" si="9"/>
        <v>0</v>
      </c>
      <c r="I98" s="10">
        <f t="shared" si="7"/>
        <v>0</v>
      </c>
      <c r="J98" s="10">
        <v>0</v>
      </c>
      <c r="K98" s="10">
        <f t="shared" si="10"/>
        <v>0</v>
      </c>
      <c r="L98" s="17">
        <v>0.625</v>
      </c>
      <c r="M98" s="18">
        <f t="shared" si="11"/>
        <v>0.625</v>
      </c>
      <c r="N98" s="19">
        <f t="shared" si="8"/>
        <v>0</v>
      </c>
      <c r="O98" s="20">
        <f t="shared" si="12"/>
        <v>0.625</v>
      </c>
    </row>
  </sheetData>
  <sortState ref="A5:O38">
    <sortCondition descending="1" ref="O38"/>
  </sortState>
  <mergeCells count="4">
    <mergeCell ref="A1:O1"/>
    <mergeCell ref="A2:O2"/>
    <mergeCell ref="A3:D3"/>
    <mergeCell ref="G3:O3"/>
  </mergeCells>
  <phoneticPr fontId="13" type="noConversion"/>
  <conditionalFormatting sqref="J81 J83 J86 J88 J90:J91 J93 J95 J97:J98 J31 F34 J5:J29 J37:J79 E5:F31 E36:F98">
    <cfRule type="cellIs" dxfId="34" priority="6" operator="lessThan">
      <formula>1</formula>
    </cfRule>
  </conditionalFormatting>
  <conditionalFormatting sqref="J80 J82 J84:J85 J87 J89 J92 J94 J96 J36">
    <cfRule type="cellIs" dxfId="33" priority="7" operator="lessThan">
      <formula>1</formula>
    </cfRule>
  </conditionalFormatting>
  <conditionalFormatting sqref="E32:F33 J32:J34">
    <cfRule type="cellIs" dxfId="32" priority="3" operator="lessThan">
      <formula>1</formula>
    </cfRule>
  </conditionalFormatting>
  <conditionalFormatting sqref="J30">
    <cfRule type="cellIs" dxfId="31" priority="5" operator="lessThan">
      <formula>1</formula>
    </cfRule>
  </conditionalFormatting>
  <conditionalFormatting sqref="E34">
    <cfRule type="cellIs" dxfId="30" priority="2" operator="lessThan">
      <formula>1</formula>
    </cfRule>
  </conditionalFormatting>
  <conditionalFormatting sqref="J35 E35:F35">
    <cfRule type="cellIs" dxfId="29" priority="1" operator="lessThan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"/>
  <sheetViews>
    <sheetView topLeftCell="A3" workbookViewId="0">
      <selection activeCell="A3" sqref="A1:XFD1048576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活动中心",T16,"年",T17,"月",T18,"日","分包贡献明细","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X3/$T$14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74" t="s">
        <v>2</v>
      </c>
      <c r="B4" s="55" t="s">
        <v>28</v>
      </c>
      <c r="C4" s="74" t="s">
        <v>3</v>
      </c>
      <c r="D4" s="74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170</v>
      </c>
      <c r="R4" s="55" t="s">
        <v>1</v>
      </c>
      <c r="S4" s="29" t="s">
        <v>155</v>
      </c>
      <c r="T4" s="28">
        <f>X4/$T$14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9">
        <v>49</v>
      </c>
      <c r="B5" s="8">
        <v>311361673</v>
      </c>
      <c r="C5" s="48" t="s">
        <v>126</v>
      </c>
      <c r="D5" s="49" t="s">
        <v>125</v>
      </c>
      <c r="E5" s="10">
        <v>3</v>
      </c>
      <c r="F5" s="10">
        <v>60</v>
      </c>
      <c r="G5" s="39" t="s">
        <v>34</v>
      </c>
      <c r="H5" s="11">
        <f t="shared" ref="H5:H37" si="0">E5+IF(E5&gt;2,(E5-2)*0.5,0)</f>
        <v>3.5</v>
      </c>
      <c r="I5" s="10">
        <f t="shared" ref="I5:I37" si="1">F5/$T$15</f>
        <v>1.2</v>
      </c>
      <c r="J5" s="10">
        <v>0</v>
      </c>
      <c r="K5" s="10">
        <f t="shared" ref="K5:K37" si="2">SUM(I5+H5+J5)</f>
        <v>4.7</v>
      </c>
      <c r="L5" s="17">
        <v>17.3</v>
      </c>
      <c r="M5" s="18">
        <f t="shared" ref="M5:M37" si="3">K5+L5</f>
        <v>22</v>
      </c>
      <c r="N5" s="19">
        <f t="shared" ref="N5:N37" si="4">VLOOKUP(G5,$S$3:$T$11,2,FALSE)</f>
        <v>0</v>
      </c>
      <c r="O5" s="20">
        <f t="shared" ref="O5:O37" si="5">M5-N5</f>
        <v>22</v>
      </c>
      <c r="P5" s="40"/>
      <c r="Q5" s="40"/>
    </row>
    <row r="6" spans="1:24" ht="18.75">
      <c r="A6" s="9"/>
      <c r="B6" s="8">
        <v>331155825</v>
      </c>
      <c r="C6" s="48" t="s">
        <v>131</v>
      </c>
      <c r="D6" s="49" t="s">
        <v>132</v>
      </c>
      <c r="E6" s="10">
        <v>3</v>
      </c>
      <c r="F6" s="10">
        <v>60</v>
      </c>
      <c r="G6" s="12" t="s">
        <v>156</v>
      </c>
      <c r="H6" s="11">
        <f t="shared" si="0"/>
        <v>3.5</v>
      </c>
      <c r="I6" s="10">
        <f t="shared" si="1"/>
        <v>1.2</v>
      </c>
      <c r="J6" s="10">
        <v>0</v>
      </c>
      <c r="K6" s="10">
        <f t="shared" si="2"/>
        <v>4.7</v>
      </c>
      <c r="L6" s="17">
        <v>5.1750000000000007</v>
      </c>
      <c r="M6" s="18">
        <f t="shared" si="3"/>
        <v>9.875</v>
      </c>
      <c r="N6" s="19">
        <f t="shared" si="4"/>
        <v>8.125</v>
      </c>
      <c r="O6" s="20">
        <f t="shared" si="5"/>
        <v>1.75</v>
      </c>
      <c r="P6" s="11"/>
      <c r="Q6" s="11"/>
      <c r="R6" s="31"/>
      <c r="S6" s="14" t="s">
        <v>33</v>
      </c>
      <c r="T6" s="28">
        <f>X6/$T$14</f>
        <v>7.5</v>
      </c>
      <c r="U6" s="30">
        <v>3</v>
      </c>
      <c r="V6" s="30">
        <v>5</v>
      </c>
      <c r="W6" s="30">
        <v>10</v>
      </c>
      <c r="X6" s="30">
        <v>1200</v>
      </c>
    </row>
    <row r="7" spans="1:24" ht="18.75">
      <c r="A7" s="9">
        <v>10</v>
      </c>
      <c r="B7" s="8">
        <v>2108977014</v>
      </c>
      <c r="C7" s="47" t="s">
        <v>138</v>
      </c>
      <c r="D7" s="48" t="s">
        <v>10</v>
      </c>
      <c r="E7" s="10">
        <v>3</v>
      </c>
      <c r="F7" s="10">
        <v>60</v>
      </c>
      <c r="G7" s="12" t="s">
        <v>156</v>
      </c>
      <c r="H7" s="11">
        <f t="shared" si="0"/>
        <v>3.5</v>
      </c>
      <c r="I7" s="10">
        <f t="shared" si="1"/>
        <v>1.2</v>
      </c>
      <c r="J7" s="10">
        <v>0</v>
      </c>
      <c r="K7" s="10">
        <f t="shared" si="2"/>
        <v>4.7</v>
      </c>
      <c r="L7" s="17">
        <v>5.1750000000000007</v>
      </c>
      <c r="M7" s="18">
        <f t="shared" si="3"/>
        <v>9.875</v>
      </c>
      <c r="N7" s="19">
        <f t="shared" si="4"/>
        <v>8.125</v>
      </c>
      <c r="O7" s="20">
        <f t="shared" si="5"/>
        <v>1.75</v>
      </c>
      <c r="P7" s="4"/>
      <c r="Q7" s="4"/>
      <c r="R7" s="4"/>
      <c r="S7" s="14"/>
      <c r="T7" s="28"/>
      <c r="U7" s="30"/>
      <c r="V7" s="30"/>
      <c r="W7" s="30"/>
      <c r="X7" s="30"/>
    </row>
    <row r="8" spans="1:24" ht="18.75">
      <c r="A8" s="8"/>
      <c r="B8" s="8">
        <v>1176673438</v>
      </c>
      <c r="C8" s="48" t="s">
        <v>167</v>
      </c>
      <c r="D8" s="46"/>
      <c r="E8" s="10">
        <v>3</v>
      </c>
      <c r="F8" s="10">
        <v>60</v>
      </c>
      <c r="G8" s="12" t="s">
        <v>156</v>
      </c>
      <c r="H8" s="11">
        <f t="shared" si="0"/>
        <v>3.5</v>
      </c>
      <c r="I8" s="10">
        <f t="shared" si="1"/>
        <v>1.2</v>
      </c>
      <c r="J8" s="10">
        <v>0</v>
      </c>
      <c r="K8" s="10">
        <f t="shared" si="2"/>
        <v>4.7</v>
      </c>
      <c r="L8" s="17">
        <v>4.7</v>
      </c>
      <c r="M8" s="18">
        <f t="shared" si="3"/>
        <v>9.4</v>
      </c>
      <c r="N8" s="19">
        <f t="shared" si="4"/>
        <v>8.125</v>
      </c>
      <c r="O8" s="20">
        <f t="shared" si="5"/>
        <v>1.2750000000000004</v>
      </c>
      <c r="P8" s="4"/>
      <c r="Q8" s="4"/>
      <c r="R8" s="4"/>
      <c r="S8" s="12" t="s">
        <v>156</v>
      </c>
      <c r="T8" s="28">
        <f>X8/$T$14</f>
        <v>8.125</v>
      </c>
      <c r="U8" s="30">
        <v>4</v>
      </c>
      <c r="V8" s="30">
        <v>5</v>
      </c>
      <c r="W8" s="30"/>
      <c r="X8" s="30">
        <v>1300</v>
      </c>
    </row>
    <row r="9" spans="1:24" ht="18.75">
      <c r="A9" s="9"/>
      <c r="B9" s="8">
        <v>910452107</v>
      </c>
      <c r="C9" s="48" t="s">
        <v>129</v>
      </c>
      <c r="D9" s="49"/>
      <c r="E9" s="10">
        <v>2</v>
      </c>
      <c r="F9" s="10">
        <v>60</v>
      </c>
      <c r="G9" s="13" t="s">
        <v>157</v>
      </c>
      <c r="H9" s="11">
        <f t="shared" si="0"/>
        <v>2</v>
      </c>
      <c r="I9" s="10">
        <f t="shared" si="1"/>
        <v>1.2</v>
      </c>
      <c r="J9" s="10">
        <v>0</v>
      </c>
      <c r="K9" s="10">
        <f t="shared" si="2"/>
        <v>3.2</v>
      </c>
      <c r="L9" s="17">
        <v>5.8</v>
      </c>
      <c r="M9" s="18">
        <f t="shared" si="3"/>
        <v>9</v>
      </c>
      <c r="N9" s="19">
        <f t="shared" si="4"/>
        <v>6.25</v>
      </c>
      <c r="O9" s="20">
        <f t="shared" si="5"/>
        <v>2.75</v>
      </c>
      <c r="P9" s="11"/>
      <c r="Q9" s="11"/>
      <c r="R9" s="11"/>
      <c r="S9" s="13" t="s">
        <v>157</v>
      </c>
      <c r="T9" s="28">
        <f>X9/$T$14</f>
        <v>6.25</v>
      </c>
      <c r="U9" s="30">
        <v>3</v>
      </c>
      <c r="V9" s="30">
        <v>4</v>
      </c>
      <c r="W9" s="30"/>
      <c r="X9" s="30">
        <v>1000</v>
      </c>
    </row>
    <row r="10" spans="1:24" ht="18.75">
      <c r="A10" s="8"/>
      <c r="B10" s="8">
        <v>334151795</v>
      </c>
      <c r="C10" s="47" t="s">
        <v>146</v>
      </c>
      <c r="D10" s="46"/>
      <c r="E10" s="10">
        <v>3</v>
      </c>
      <c r="F10" s="10">
        <v>60</v>
      </c>
      <c r="G10" s="13" t="s">
        <v>157</v>
      </c>
      <c r="H10" s="11">
        <f t="shared" si="0"/>
        <v>3.5</v>
      </c>
      <c r="I10" s="10">
        <f t="shared" si="1"/>
        <v>1.2</v>
      </c>
      <c r="J10" s="10">
        <v>0</v>
      </c>
      <c r="K10" s="10">
        <f t="shared" si="2"/>
        <v>4.7</v>
      </c>
      <c r="L10" s="17">
        <v>2.9750000000000005</v>
      </c>
      <c r="M10" s="18">
        <f t="shared" si="3"/>
        <v>7.6750000000000007</v>
      </c>
      <c r="N10" s="19">
        <f t="shared" si="4"/>
        <v>6.25</v>
      </c>
      <c r="O10" s="20">
        <f t="shared" si="5"/>
        <v>1.4250000000000007</v>
      </c>
      <c r="P10" s="4"/>
      <c r="Q10" s="4"/>
      <c r="R10" s="4"/>
      <c r="S10" s="14" t="s">
        <v>158</v>
      </c>
      <c r="T10" s="28">
        <f>X10/$T$14</f>
        <v>4.375</v>
      </c>
      <c r="U10" s="30">
        <v>2</v>
      </c>
      <c r="V10" s="30">
        <v>3</v>
      </c>
      <c r="W10" s="30"/>
      <c r="X10" s="30">
        <v>700</v>
      </c>
    </row>
    <row r="11" spans="1:24" ht="18.75">
      <c r="A11" s="8"/>
      <c r="B11" s="8">
        <v>700083217</v>
      </c>
      <c r="C11" s="47" t="s">
        <v>137</v>
      </c>
      <c r="D11" s="46"/>
      <c r="E11" s="10">
        <v>1</v>
      </c>
      <c r="F11" s="10">
        <v>50</v>
      </c>
      <c r="G11" s="13" t="s">
        <v>157</v>
      </c>
      <c r="H11" s="11">
        <f t="shared" si="0"/>
        <v>1</v>
      </c>
      <c r="I11" s="10">
        <f t="shared" si="1"/>
        <v>1</v>
      </c>
      <c r="J11" s="10">
        <v>0</v>
      </c>
      <c r="K11" s="10">
        <f t="shared" si="2"/>
        <v>2</v>
      </c>
      <c r="L11" s="17">
        <v>5.4</v>
      </c>
      <c r="M11" s="18">
        <f t="shared" si="3"/>
        <v>7.4</v>
      </c>
      <c r="N11" s="19">
        <f t="shared" si="4"/>
        <v>6.25</v>
      </c>
      <c r="O11" s="20">
        <f t="shared" si="5"/>
        <v>1.1500000000000004</v>
      </c>
      <c r="P11" s="4"/>
      <c r="Q11" s="4"/>
      <c r="R11" s="4"/>
      <c r="S11" s="33" t="s">
        <v>34</v>
      </c>
      <c r="T11" s="2">
        <v>0</v>
      </c>
      <c r="U11" s="2"/>
      <c r="V11" s="2"/>
      <c r="W11" s="2"/>
      <c r="X11" s="2"/>
    </row>
    <row r="12" spans="1:24" ht="18.75">
      <c r="A12" s="9">
        <v>92</v>
      </c>
      <c r="B12" s="8">
        <v>1367873925</v>
      </c>
      <c r="C12" s="47" t="s">
        <v>130</v>
      </c>
      <c r="D12" s="76" t="s">
        <v>143</v>
      </c>
      <c r="E12" s="10">
        <v>3</v>
      </c>
      <c r="F12" s="10">
        <v>60</v>
      </c>
      <c r="G12" s="13" t="s">
        <v>157</v>
      </c>
      <c r="H12" s="11">
        <f t="shared" si="0"/>
        <v>3.5</v>
      </c>
      <c r="I12" s="10">
        <f t="shared" si="1"/>
        <v>1.2</v>
      </c>
      <c r="J12" s="10">
        <v>0</v>
      </c>
      <c r="K12" s="10">
        <f t="shared" si="2"/>
        <v>4.7</v>
      </c>
      <c r="L12" s="17">
        <v>1.7999999999999998</v>
      </c>
      <c r="M12" s="18">
        <f t="shared" si="3"/>
        <v>6.5</v>
      </c>
      <c r="N12" s="19">
        <f t="shared" si="4"/>
        <v>6.25</v>
      </c>
      <c r="O12" s="20">
        <f t="shared" si="5"/>
        <v>0.25</v>
      </c>
      <c r="P12" s="4"/>
      <c r="Q12" s="4"/>
      <c r="R12" s="4"/>
      <c r="S12" s="34"/>
      <c r="T12" s="1"/>
      <c r="U12" s="1"/>
      <c r="V12" s="1"/>
      <c r="W12" s="1"/>
      <c r="X12" s="1"/>
    </row>
    <row r="13" spans="1:24" ht="18.75">
      <c r="A13" s="9"/>
      <c r="B13" s="8">
        <v>1078240937</v>
      </c>
      <c r="C13" s="48" t="s">
        <v>148</v>
      </c>
      <c r="D13" s="49" t="s">
        <v>149</v>
      </c>
      <c r="E13" s="10">
        <v>2</v>
      </c>
      <c r="F13" s="10">
        <v>30</v>
      </c>
      <c r="G13" s="14" t="s">
        <v>158</v>
      </c>
      <c r="H13" s="11">
        <f t="shared" si="0"/>
        <v>2</v>
      </c>
      <c r="I13" s="10">
        <f t="shared" si="1"/>
        <v>0.6</v>
      </c>
      <c r="J13" s="10">
        <v>0</v>
      </c>
      <c r="K13" s="10">
        <f t="shared" si="2"/>
        <v>2.6</v>
      </c>
      <c r="L13" s="17">
        <v>3.625</v>
      </c>
      <c r="M13" s="18">
        <f t="shared" si="3"/>
        <v>6.2249999999999996</v>
      </c>
      <c r="N13" s="19">
        <f t="shared" si="4"/>
        <v>4.375</v>
      </c>
      <c r="O13" s="20">
        <f t="shared" si="5"/>
        <v>1.8499999999999996</v>
      </c>
      <c r="P13" s="4"/>
      <c r="Q13" s="4"/>
      <c r="R13" s="4"/>
      <c r="S13" s="35" t="s">
        <v>36</v>
      </c>
      <c r="T13" s="1">
        <v>15000</v>
      </c>
      <c r="U13" s="1"/>
      <c r="V13" s="1"/>
      <c r="W13" s="1"/>
      <c r="X13" s="1"/>
    </row>
    <row r="14" spans="1:24" ht="18.75">
      <c r="A14" s="9"/>
      <c r="B14" s="8">
        <v>2092029101</v>
      </c>
      <c r="C14" s="47" t="s">
        <v>147</v>
      </c>
      <c r="D14" s="48"/>
      <c r="E14" s="10">
        <v>0</v>
      </c>
      <c r="F14" s="10">
        <v>60</v>
      </c>
      <c r="G14" s="39" t="s">
        <v>34</v>
      </c>
      <c r="H14" s="11">
        <f t="shared" si="0"/>
        <v>0</v>
      </c>
      <c r="I14" s="10">
        <f t="shared" si="1"/>
        <v>1.2</v>
      </c>
      <c r="J14" s="10">
        <v>0</v>
      </c>
      <c r="K14" s="10">
        <f t="shared" si="2"/>
        <v>1.2</v>
      </c>
      <c r="L14" s="17">
        <v>4.9250000000000007</v>
      </c>
      <c r="M14" s="18">
        <f t="shared" si="3"/>
        <v>6.1250000000000009</v>
      </c>
      <c r="N14" s="19">
        <f t="shared" si="4"/>
        <v>0</v>
      </c>
      <c r="O14" s="20">
        <f t="shared" si="5"/>
        <v>6.1250000000000009</v>
      </c>
      <c r="P14" s="11"/>
      <c r="Q14" s="11"/>
      <c r="R14" s="11"/>
      <c r="S14" s="36" t="s">
        <v>37</v>
      </c>
      <c r="T14" s="37">
        <v>160</v>
      </c>
      <c r="U14" s="1"/>
      <c r="V14" s="1"/>
      <c r="W14" s="1"/>
      <c r="X14" s="1"/>
    </row>
    <row r="15" spans="1:24" ht="18.75">
      <c r="A15" s="8">
        <v>173</v>
      </c>
      <c r="B15" s="8">
        <v>1106175185</v>
      </c>
      <c r="C15" s="47" t="s">
        <v>145</v>
      </c>
      <c r="D15" s="46"/>
      <c r="E15" s="10">
        <v>3</v>
      </c>
      <c r="F15" s="10">
        <v>60</v>
      </c>
      <c r="G15" s="14" t="s">
        <v>158</v>
      </c>
      <c r="H15" s="11">
        <f t="shared" si="0"/>
        <v>3.5</v>
      </c>
      <c r="I15" s="10">
        <f t="shared" si="1"/>
        <v>1.2</v>
      </c>
      <c r="J15" s="10">
        <v>0</v>
      </c>
      <c r="K15" s="10">
        <f t="shared" si="2"/>
        <v>4.7</v>
      </c>
      <c r="L15" s="17">
        <v>0.80000000000000071</v>
      </c>
      <c r="M15" s="18">
        <f t="shared" si="3"/>
        <v>5.5000000000000009</v>
      </c>
      <c r="N15" s="19">
        <f t="shared" si="4"/>
        <v>4.375</v>
      </c>
      <c r="O15" s="20">
        <f t="shared" si="5"/>
        <v>1.1250000000000009</v>
      </c>
      <c r="P15" s="11"/>
      <c r="Q15" s="11"/>
      <c r="R15" s="11"/>
      <c r="S15" s="38" t="s">
        <v>52</v>
      </c>
      <c r="T15" s="37">
        <v>50</v>
      </c>
      <c r="U15" s="1"/>
      <c r="V15" s="1"/>
      <c r="W15" s="1"/>
      <c r="X15" s="1"/>
    </row>
    <row r="16" spans="1:24" ht="18.75">
      <c r="A16" s="8">
        <v>212</v>
      </c>
      <c r="B16" s="8">
        <v>2133045883</v>
      </c>
      <c r="C16" s="47" t="s">
        <v>122</v>
      </c>
      <c r="D16" s="46"/>
      <c r="E16" s="10">
        <v>3</v>
      </c>
      <c r="F16" s="10">
        <v>60</v>
      </c>
      <c r="G16" s="14" t="s">
        <v>158</v>
      </c>
      <c r="H16" s="11">
        <f t="shared" si="0"/>
        <v>3.5</v>
      </c>
      <c r="I16" s="10">
        <f t="shared" si="1"/>
        <v>1.2</v>
      </c>
      <c r="J16" s="10">
        <v>0</v>
      </c>
      <c r="K16" s="10">
        <f t="shared" si="2"/>
        <v>4.7</v>
      </c>
      <c r="L16" s="17">
        <v>0.72500000000000053</v>
      </c>
      <c r="M16" s="18">
        <f t="shared" si="3"/>
        <v>5.4250000000000007</v>
      </c>
      <c r="N16" s="19">
        <f t="shared" si="4"/>
        <v>4.375</v>
      </c>
      <c r="O16" s="20">
        <f t="shared" si="5"/>
        <v>1.0500000000000007</v>
      </c>
      <c r="P16" s="11"/>
      <c r="Q16" s="11"/>
      <c r="R16" s="32"/>
      <c r="S16" s="1" t="s">
        <v>38</v>
      </c>
      <c r="T16" s="37">
        <v>2020</v>
      </c>
      <c r="U16" s="1"/>
      <c r="V16" s="1"/>
      <c r="W16" s="1"/>
      <c r="X16" s="1"/>
    </row>
    <row r="17" spans="1:24" ht="18.75">
      <c r="A17" s="8"/>
      <c r="B17" s="8">
        <v>862532360</v>
      </c>
      <c r="C17" s="47" t="s">
        <v>173</v>
      </c>
      <c r="D17" s="47"/>
      <c r="E17" s="10">
        <v>3</v>
      </c>
      <c r="F17" s="10">
        <v>45</v>
      </c>
      <c r="G17" s="14" t="s">
        <v>158</v>
      </c>
      <c r="H17" s="11">
        <f t="shared" si="0"/>
        <v>3.5</v>
      </c>
      <c r="I17" s="10">
        <f t="shared" si="1"/>
        <v>0.9</v>
      </c>
      <c r="J17" s="10">
        <v>0</v>
      </c>
      <c r="K17" s="10">
        <f t="shared" si="2"/>
        <v>4.4000000000000004</v>
      </c>
      <c r="L17" s="17">
        <v>1</v>
      </c>
      <c r="M17" s="18">
        <f t="shared" si="3"/>
        <v>5.4</v>
      </c>
      <c r="N17" s="19">
        <f t="shared" si="4"/>
        <v>4.375</v>
      </c>
      <c r="O17" s="20">
        <f t="shared" si="5"/>
        <v>1.0250000000000004</v>
      </c>
      <c r="P17" s="11"/>
      <c r="Q17" s="11"/>
      <c r="R17" s="31"/>
      <c r="S17" s="1" t="s">
        <v>39</v>
      </c>
      <c r="T17" s="37">
        <v>9</v>
      </c>
      <c r="U17" s="1"/>
      <c r="V17" s="1"/>
      <c r="W17" s="1"/>
      <c r="X17" s="1"/>
    </row>
    <row r="18" spans="1:24" ht="18.75">
      <c r="A18" s="8">
        <v>200</v>
      </c>
      <c r="B18" s="8">
        <v>967589156</v>
      </c>
      <c r="C18" s="47" t="s">
        <v>109</v>
      </c>
      <c r="D18" s="46"/>
      <c r="E18" s="10">
        <v>3</v>
      </c>
      <c r="F18" s="10">
        <v>60</v>
      </c>
      <c r="G18" s="14" t="s">
        <v>158</v>
      </c>
      <c r="H18" s="11">
        <f t="shared" si="0"/>
        <v>3.5</v>
      </c>
      <c r="I18" s="10">
        <f t="shared" si="1"/>
        <v>1.2</v>
      </c>
      <c r="J18" s="10">
        <v>0</v>
      </c>
      <c r="K18" s="10">
        <f t="shared" si="2"/>
        <v>4.7</v>
      </c>
      <c r="L18" s="17">
        <v>0.55000000000000071</v>
      </c>
      <c r="M18" s="18">
        <f t="shared" si="3"/>
        <v>5.2500000000000009</v>
      </c>
      <c r="N18" s="19">
        <f t="shared" si="4"/>
        <v>4.375</v>
      </c>
      <c r="O18" s="20">
        <f t="shared" si="5"/>
        <v>0.87500000000000089</v>
      </c>
      <c r="P18" s="11"/>
      <c r="Q18" s="11"/>
      <c r="R18" s="11"/>
      <c r="S18" s="1" t="s">
        <v>40</v>
      </c>
      <c r="T18" s="37">
        <v>27</v>
      </c>
    </row>
    <row r="19" spans="1:24" ht="18.75">
      <c r="A19" s="8"/>
      <c r="B19" s="8">
        <v>863510644</v>
      </c>
      <c r="C19" s="47" t="s">
        <v>141</v>
      </c>
      <c r="D19" s="47"/>
      <c r="E19" s="10">
        <v>0</v>
      </c>
      <c r="F19" s="10">
        <v>30</v>
      </c>
      <c r="G19" s="39" t="s">
        <v>34</v>
      </c>
      <c r="H19" s="11">
        <f t="shared" si="0"/>
        <v>0</v>
      </c>
      <c r="I19" s="10">
        <f t="shared" si="1"/>
        <v>0.6</v>
      </c>
      <c r="J19" s="10">
        <v>0</v>
      </c>
      <c r="K19" s="10">
        <f t="shared" si="2"/>
        <v>0.6</v>
      </c>
      <c r="L19" s="17">
        <v>4.5999999999999996</v>
      </c>
      <c r="M19" s="18">
        <f t="shared" si="3"/>
        <v>5.1999999999999993</v>
      </c>
      <c r="N19" s="19">
        <f t="shared" si="4"/>
        <v>0</v>
      </c>
      <c r="O19" s="20">
        <f t="shared" si="5"/>
        <v>5.1999999999999993</v>
      </c>
      <c r="P19" s="11"/>
      <c r="Q19" s="11"/>
      <c r="R19" s="11"/>
      <c r="U19" s="1"/>
      <c r="V19" s="1"/>
      <c r="W19" s="1"/>
      <c r="X19" s="1"/>
    </row>
    <row r="20" spans="1:24" ht="18.75">
      <c r="A20" s="8"/>
      <c r="B20" s="8">
        <v>1804880865</v>
      </c>
      <c r="C20" s="47" t="s">
        <v>151</v>
      </c>
      <c r="D20" s="48"/>
      <c r="E20" s="10">
        <v>3</v>
      </c>
      <c r="F20" s="10">
        <v>60</v>
      </c>
      <c r="G20" s="14" t="s">
        <v>158</v>
      </c>
      <c r="H20" s="11">
        <f t="shared" si="0"/>
        <v>3.5</v>
      </c>
      <c r="I20" s="10">
        <f t="shared" si="1"/>
        <v>1.2</v>
      </c>
      <c r="J20" s="10">
        <v>0</v>
      </c>
      <c r="K20" s="10">
        <f t="shared" si="2"/>
        <v>4.7</v>
      </c>
      <c r="L20" s="17">
        <v>0.42500000000000071</v>
      </c>
      <c r="M20" s="18">
        <f t="shared" si="3"/>
        <v>5.1250000000000009</v>
      </c>
      <c r="N20" s="19">
        <f t="shared" si="4"/>
        <v>4.375</v>
      </c>
      <c r="O20" s="20">
        <f t="shared" si="5"/>
        <v>0.75000000000000089</v>
      </c>
      <c r="P20" s="11"/>
      <c r="Q20" s="11"/>
      <c r="R20" s="11"/>
    </row>
    <row r="21" spans="1:24" ht="18.75">
      <c r="A21" s="9">
        <v>33</v>
      </c>
      <c r="B21" s="8">
        <v>1006436515</v>
      </c>
      <c r="C21" s="47" t="s">
        <v>77</v>
      </c>
      <c r="D21" s="48" t="s">
        <v>13</v>
      </c>
      <c r="E21" s="10">
        <v>3</v>
      </c>
      <c r="F21" s="10">
        <v>60</v>
      </c>
      <c r="G21" s="39" t="s">
        <v>34</v>
      </c>
      <c r="H21" s="11">
        <f t="shared" si="0"/>
        <v>3.5</v>
      </c>
      <c r="I21" s="10">
        <f t="shared" si="1"/>
        <v>1.2</v>
      </c>
      <c r="J21" s="10">
        <v>0</v>
      </c>
      <c r="K21" s="10">
        <f t="shared" si="2"/>
        <v>4.7</v>
      </c>
      <c r="L21" s="17">
        <v>0.35000000000000053</v>
      </c>
      <c r="M21" s="18">
        <f t="shared" si="3"/>
        <v>5.0500000000000007</v>
      </c>
      <c r="N21" s="19">
        <f t="shared" si="4"/>
        <v>0</v>
      </c>
      <c r="O21" s="20">
        <f t="shared" si="5"/>
        <v>5.0500000000000007</v>
      </c>
      <c r="P21" s="4"/>
      <c r="Q21" s="4"/>
      <c r="R21" s="4"/>
    </row>
    <row r="22" spans="1:24" ht="18.75">
      <c r="A22" s="8"/>
      <c r="B22" s="8">
        <v>1333428907</v>
      </c>
      <c r="C22" s="47" t="s">
        <v>172</v>
      </c>
      <c r="D22" s="76" t="s">
        <v>150</v>
      </c>
      <c r="E22" s="10">
        <v>3</v>
      </c>
      <c r="F22" s="10">
        <v>60</v>
      </c>
      <c r="G22" s="39" t="s">
        <v>34</v>
      </c>
      <c r="H22" s="11">
        <f t="shared" si="0"/>
        <v>3.5</v>
      </c>
      <c r="I22" s="10">
        <f t="shared" si="1"/>
        <v>1.2</v>
      </c>
      <c r="J22" s="10">
        <v>0</v>
      </c>
      <c r="K22" s="10">
        <f t="shared" si="2"/>
        <v>4.7</v>
      </c>
      <c r="L22" s="17">
        <v>0.22500000000000053</v>
      </c>
      <c r="M22" s="18">
        <f t="shared" si="3"/>
        <v>4.9250000000000007</v>
      </c>
      <c r="N22" s="19">
        <f t="shared" si="4"/>
        <v>0</v>
      </c>
      <c r="O22" s="20">
        <f t="shared" si="5"/>
        <v>4.9250000000000007</v>
      </c>
      <c r="P22" s="4"/>
      <c r="Q22" s="4"/>
      <c r="R22" s="4"/>
    </row>
    <row r="23" spans="1:24" ht="18.75">
      <c r="A23" s="8"/>
      <c r="B23" s="8">
        <v>1128309198</v>
      </c>
      <c r="C23" s="47" t="s">
        <v>163</v>
      </c>
      <c r="D23" s="47"/>
      <c r="E23" s="10">
        <v>2</v>
      </c>
      <c r="F23" s="10">
        <v>60</v>
      </c>
      <c r="G23" s="39" t="s">
        <v>34</v>
      </c>
      <c r="H23" s="11">
        <f t="shared" si="0"/>
        <v>2</v>
      </c>
      <c r="I23" s="10">
        <f t="shared" si="1"/>
        <v>1.2</v>
      </c>
      <c r="J23" s="10">
        <v>0</v>
      </c>
      <c r="K23" s="10">
        <f t="shared" si="2"/>
        <v>3.2</v>
      </c>
      <c r="L23" s="17">
        <v>1.625</v>
      </c>
      <c r="M23" s="18">
        <f t="shared" si="3"/>
        <v>4.8250000000000002</v>
      </c>
      <c r="N23" s="19">
        <f t="shared" si="4"/>
        <v>0</v>
      </c>
      <c r="O23" s="20">
        <f t="shared" si="5"/>
        <v>4.8250000000000002</v>
      </c>
      <c r="P23" s="11"/>
      <c r="Q23" s="11"/>
      <c r="R23" s="32"/>
    </row>
    <row r="24" spans="1:24" ht="18.75">
      <c r="A24" s="9">
        <v>34</v>
      </c>
      <c r="B24" s="8">
        <v>2021794494</v>
      </c>
      <c r="C24" s="48" t="s">
        <v>136</v>
      </c>
      <c r="D24" s="49" t="s">
        <v>133</v>
      </c>
      <c r="E24" s="10">
        <v>2</v>
      </c>
      <c r="F24" s="10">
        <v>60</v>
      </c>
      <c r="G24" s="39" t="s">
        <v>34</v>
      </c>
      <c r="H24" s="11">
        <f t="shared" si="0"/>
        <v>2</v>
      </c>
      <c r="I24" s="10">
        <f t="shared" si="1"/>
        <v>1.2</v>
      </c>
      <c r="J24" s="10">
        <v>0</v>
      </c>
      <c r="K24" s="10">
        <f t="shared" si="2"/>
        <v>3.2</v>
      </c>
      <c r="L24" s="17">
        <v>1.2250000000000014</v>
      </c>
      <c r="M24" s="18">
        <f t="shared" si="3"/>
        <v>4.4250000000000016</v>
      </c>
      <c r="N24" s="19">
        <f t="shared" si="4"/>
        <v>0</v>
      </c>
      <c r="O24" s="20">
        <f t="shared" si="5"/>
        <v>4.4250000000000016</v>
      </c>
      <c r="P24" s="4"/>
      <c r="Q24" s="4"/>
      <c r="R24" s="4"/>
    </row>
    <row r="25" spans="1:24" ht="18.75">
      <c r="A25" s="8"/>
      <c r="B25" s="8">
        <v>610681537</v>
      </c>
      <c r="C25" s="47" t="s">
        <v>153</v>
      </c>
      <c r="D25" s="46"/>
      <c r="E25" s="10">
        <v>0</v>
      </c>
      <c r="F25" s="10">
        <v>40</v>
      </c>
      <c r="G25" s="39" t="s">
        <v>34</v>
      </c>
      <c r="H25" s="11">
        <f t="shared" si="0"/>
        <v>0</v>
      </c>
      <c r="I25" s="10">
        <f t="shared" si="1"/>
        <v>0.8</v>
      </c>
      <c r="J25" s="10">
        <v>0</v>
      </c>
      <c r="K25" s="10">
        <f t="shared" si="2"/>
        <v>0.8</v>
      </c>
      <c r="L25" s="17">
        <v>3.5599999999999996</v>
      </c>
      <c r="M25" s="18">
        <f t="shared" si="3"/>
        <v>4.3599999999999994</v>
      </c>
      <c r="N25" s="19">
        <f t="shared" si="4"/>
        <v>0</v>
      </c>
      <c r="O25" s="20">
        <f t="shared" si="5"/>
        <v>4.3599999999999994</v>
      </c>
      <c r="P25" s="4"/>
      <c r="Q25" s="4"/>
      <c r="R25" s="4"/>
    </row>
    <row r="26" spans="1:24" ht="18.75">
      <c r="A26" s="8">
        <v>176</v>
      </c>
      <c r="B26" s="8">
        <v>128748910</v>
      </c>
      <c r="C26" s="48" t="s">
        <v>165</v>
      </c>
      <c r="D26" s="47" t="s">
        <v>169</v>
      </c>
      <c r="E26" s="10">
        <v>3</v>
      </c>
      <c r="F26" s="10">
        <v>60</v>
      </c>
      <c r="G26" s="39" t="s">
        <v>34</v>
      </c>
      <c r="H26" s="11">
        <f t="shared" si="0"/>
        <v>3.5</v>
      </c>
      <c r="I26" s="10">
        <f t="shared" si="1"/>
        <v>1.2</v>
      </c>
      <c r="J26" s="10">
        <v>0</v>
      </c>
      <c r="K26" s="10">
        <f t="shared" si="2"/>
        <v>4.7</v>
      </c>
      <c r="L26" s="17">
        <v>-0.44999999999999929</v>
      </c>
      <c r="M26" s="18">
        <f t="shared" si="3"/>
        <v>4.2500000000000009</v>
      </c>
      <c r="N26" s="19">
        <f t="shared" si="4"/>
        <v>0</v>
      </c>
      <c r="O26" s="20">
        <f t="shared" si="5"/>
        <v>4.2500000000000009</v>
      </c>
      <c r="P26" s="11"/>
      <c r="Q26" s="11"/>
      <c r="R26" s="32"/>
    </row>
    <row r="27" spans="1:24" ht="18.75">
      <c r="A27" s="8">
        <v>181</v>
      </c>
      <c r="B27" s="8">
        <v>1467442697</v>
      </c>
      <c r="C27" s="47" t="s">
        <v>73</v>
      </c>
      <c r="D27" s="46"/>
      <c r="E27" s="10">
        <v>0</v>
      </c>
      <c r="F27" s="10">
        <v>59</v>
      </c>
      <c r="G27" s="39" t="s">
        <v>34</v>
      </c>
      <c r="H27" s="11">
        <f t="shared" si="0"/>
        <v>0</v>
      </c>
      <c r="I27" s="10">
        <f t="shared" si="1"/>
        <v>1.18</v>
      </c>
      <c r="J27" s="10">
        <v>0</v>
      </c>
      <c r="K27" s="10">
        <f t="shared" si="2"/>
        <v>1.18</v>
      </c>
      <c r="L27" s="17">
        <v>3.06</v>
      </c>
      <c r="M27" s="18">
        <f t="shared" si="3"/>
        <v>4.24</v>
      </c>
      <c r="N27" s="19">
        <f t="shared" si="4"/>
        <v>0</v>
      </c>
      <c r="O27" s="20">
        <f t="shared" si="5"/>
        <v>4.24</v>
      </c>
      <c r="P27" s="4"/>
      <c r="Q27" s="4"/>
      <c r="R27" s="4"/>
    </row>
    <row r="28" spans="1:24" ht="18.75">
      <c r="A28" s="8"/>
      <c r="B28" s="8">
        <v>353335311</v>
      </c>
      <c r="C28" s="48" t="s">
        <v>164</v>
      </c>
      <c r="D28" s="46"/>
      <c r="E28" s="10">
        <v>1</v>
      </c>
      <c r="F28" s="10">
        <v>60</v>
      </c>
      <c r="G28" s="39" t="s">
        <v>34</v>
      </c>
      <c r="H28" s="11">
        <f t="shared" si="0"/>
        <v>1</v>
      </c>
      <c r="I28" s="10">
        <f t="shared" si="1"/>
        <v>1.2</v>
      </c>
      <c r="J28" s="10">
        <v>0</v>
      </c>
      <c r="K28" s="10">
        <f t="shared" si="2"/>
        <v>2.2000000000000002</v>
      </c>
      <c r="L28" s="17">
        <v>1.625</v>
      </c>
      <c r="M28" s="18">
        <f t="shared" si="3"/>
        <v>3.8250000000000002</v>
      </c>
      <c r="N28" s="19">
        <f t="shared" si="4"/>
        <v>0</v>
      </c>
      <c r="O28" s="20">
        <f t="shared" si="5"/>
        <v>3.8250000000000002</v>
      </c>
      <c r="P28" s="11"/>
      <c r="Q28" s="11"/>
      <c r="R28" s="11"/>
    </row>
    <row r="29" spans="1:24" ht="18.75">
      <c r="A29" s="8"/>
      <c r="B29" s="8">
        <v>2134752758</v>
      </c>
      <c r="C29" s="47" t="s">
        <v>139</v>
      </c>
      <c r="D29" s="46"/>
      <c r="E29" s="10">
        <v>0</v>
      </c>
      <c r="F29" s="10">
        <v>60</v>
      </c>
      <c r="G29" s="39" t="s">
        <v>34</v>
      </c>
      <c r="H29" s="11">
        <f t="shared" si="0"/>
        <v>0</v>
      </c>
      <c r="I29" s="10">
        <f t="shared" si="1"/>
        <v>1.2</v>
      </c>
      <c r="J29" s="10">
        <v>0</v>
      </c>
      <c r="K29" s="10">
        <f t="shared" si="2"/>
        <v>1.2</v>
      </c>
      <c r="L29" s="17">
        <v>1.5499999999999998</v>
      </c>
      <c r="M29" s="18">
        <f t="shared" si="3"/>
        <v>2.75</v>
      </c>
      <c r="N29" s="19">
        <f t="shared" si="4"/>
        <v>0</v>
      </c>
      <c r="O29" s="20">
        <f t="shared" si="5"/>
        <v>2.75</v>
      </c>
      <c r="P29" s="4"/>
      <c r="Q29" s="4"/>
      <c r="R29" s="4"/>
    </row>
    <row r="30" spans="1:24" ht="18.75">
      <c r="A30" s="8">
        <v>118</v>
      </c>
      <c r="B30" s="8">
        <v>2018112397</v>
      </c>
      <c r="C30" s="47" t="s">
        <v>152</v>
      </c>
      <c r="D30" s="48" t="s">
        <v>63</v>
      </c>
      <c r="E30" s="10">
        <v>1</v>
      </c>
      <c r="F30" s="10">
        <v>40</v>
      </c>
      <c r="G30" s="39" t="s">
        <v>34</v>
      </c>
      <c r="H30" s="11">
        <f t="shared" si="0"/>
        <v>1</v>
      </c>
      <c r="I30" s="10">
        <f t="shared" si="1"/>
        <v>0.8</v>
      </c>
      <c r="J30" s="10">
        <v>0</v>
      </c>
      <c r="K30" s="10">
        <f t="shared" si="2"/>
        <v>1.8</v>
      </c>
      <c r="L30" s="17">
        <v>0.85000000000000142</v>
      </c>
      <c r="M30" s="18">
        <f t="shared" si="3"/>
        <v>2.6500000000000012</v>
      </c>
      <c r="N30" s="19">
        <f t="shared" si="4"/>
        <v>0</v>
      </c>
      <c r="O30" s="20">
        <f t="shared" si="5"/>
        <v>2.6500000000000012</v>
      </c>
      <c r="P30" s="11"/>
      <c r="Q30" s="11"/>
      <c r="R30" s="11"/>
    </row>
    <row r="31" spans="1:24" ht="18.75">
      <c r="A31" s="9">
        <v>1</v>
      </c>
      <c r="B31" s="8">
        <v>1782151946</v>
      </c>
      <c r="C31" s="47" t="s">
        <v>135</v>
      </c>
      <c r="D31" s="48" t="s">
        <v>8</v>
      </c>
      <c r="E31" s="10">
        <v>0</v>
      </c>
      <c r="F31" s="10">
        <v>0</v>
      </c>
      <c r="G31" s="39" t="s">
        <v>34</v>
      </c>
      <c r="H31" s="11">
        <f t="shared" si="0"/>
        <v>0</v>
      </c>
      <c r="I31" s="10">
        <f t="shared" si="1"/>
        <v>0</v>
      </c>
      <c r="J31" s="10">
        <v>0</v>
      </c>
      <c r="K31" s="10">
        <f t="shared" si="2"/>
        <v>0</v>
      </c>
      <c r="L31" s="17">
        <v>2.1000000000000005</v>
      </c>
      <c r="M31" s="18">
        <f t="shared" si="3"/>
        <v>2.1000000000000005</v>
      </c>
      <c r="N31" s="19">
        <f t="shared" si="4"/>
        <v>0</v>
      </c>
      <c r="O31" s="20">
        <f t="shared" si="5"/>
        <v>2.1000000000000005</v>
      </c>
      <c r="P31" s="11"/>
      <c r="Q31" s="11"/>
      <c r="R31" s="11"/>
    </row>
    <row r="32" spans="1:24" ht="18.75">
      <c r="A32" s="9"/>
      <c r="B32" s="8">
        <v>1238792963</v>
      </c>
      <c r="C32" s="48" t="s">
        <v>142</v>
      </c>
      <c r="D32" s="49"/>
      <c r="E32" s="10">
        <v>0</v>
      </c>
      <c r="F32" s="10">
        <v>0</v>
      </c>
      <c r="G32" s="39" t="s">
        <v>34</v>
      </c>
      <c r="H32" s="11">
        <f t="shared" si="0"/>
        <v>0</v>
      </c>
      <c r="I32" s="10">
        <f t="shared" si="1"/>
        <v>0</v>
      </c>
      <c r="J32" s="10">
        <v>0</v>
      </c>
      <c r="K32" s="10">
        <f t="shared" si="2"/>
        <v>0</v>
      </c>
      <c r="L32" s="17">
        <v>1.9750000000000005</v>
      </c>
      <c r="M32" s="18">
        <f t="shared" si="3"/>
        <v>1.9750000000000005</v>
      </c>
      <c r="N32" s="19">
        <f t="shared" si="4"/>
        <v>0</v>
      </c>
      <c r="O32" s="20">
        <f t="shared" si="5"/>
        <v>1.9750000000000005</v>
      </c>
      <c r="P32" s="11"/>
      <c r="Q32" s="11"/>
      <c r="R32" s="31"/>
    </row>
    <row r="33" spans="1:24" ht="18.75">
      <c r="A33" s="8"/>
      <c r="B33" s="8">
        <v>1042293940</v>
      </c>
      <c r="C33" s="48" t="s">
        <v>159</v>
      </c>
      <c r="D33" s="46"/>
      <c r="E33" s="10">
        <v>0</v>
      </c>
      <c r="F33" s="10">
        <v>8</v>
      </c>
      <c r="G33" s="39" t="s">
        <v>34</v>
      </c>
      <c r="H33" s="11">
        <f t="shared" si="0"/>
        <v>0</v>
      </c>
      <c r="I33" s="10">
        <f t="shared" si="1"/>
        <v>0.16</v>
      </c>
      <c r="J33" s="10">
        <v>0</v>
      </c>
      <c r="K33" s="10">
        <f t="shared" si="2"/>
        <v>0.16</v>
      </c>
      <c r="L33" s="17">
        <v>1.6150000000000002</v>
      </c>
      <c r="M33" s="18">
        <f t="shared" si="3"/>
        <v>1.7750000000000001</v>
      </c>
      <c r="N33" s="19">
        <f t="shared" si="4"/>
        <v>0</v>
      </c>
      <c r="O33" s="20">
        <f t="shared" si="5"/>
        <v>1.7750000000000001</v>
      </c>
      <c r="P33" s="11"/>
      <c r="Q33" s="11"/>
      <c r="R33" s="11"/>
    </row>
    <row r="34" spans="1:24" ht="18.75">
      <c r="A34" s="9">
        <v>53</v>
      </c>
      <c r="B34" s="8">
        <v>500959924</v>
      </c>
      <c r="C34" s="47" t="s">
        <v>134</v>
      </c>
      <c r="D34" s="49" t="s">
        <v>16</v>
      </c>
      <c r="E34" s="10">
        <v>0</v>
      </c>
      <c r="F34" s="10">
        <v>20</v>
      </c>
      <c r="G34" s="39" t="s">
        <v>34</v>
      </c>
      <c r="H34" s="11">
        <f t="shared" si="0"/>
        <v>0</v>
      </c>
      <c r="I34" s="10">
        <f t="shared" si="1"/>
        <v>0.4</v>
      </c>
      <c r="J34" s="10">
        <v>0</v>
      </c>
      <c r="K34" s="10">
        <f t="shared" si="2"/>
        <v>0.4</v>
      </c>
      <c r="L34" s="17">
        <v>0.5</v>
      </c>
      <c r="M34" s="18">
        <f t="shared" si="3"/>
        <v>0.9</v>
      </c>
      <c r="N34" s="19">
        <f t="shared" si="4"/>
        <v>0</v>
      </c>
      <c r="O34" s="20">
        <f t="shared" si="5"/>
        <v>0.9</v>
      </c>
      <c r="P34" s="11"/>
      <c r="Q34" s="11"/>
      <c r="R34" s="11"/>
    </row>
    <row r="35" spans="1:24" ht="18.75">
      <c r="A35" s="8"/>
      <c r="B35" s="8">
        <v>597728301</v>
      </c>
      <c r="C35" s="47" t="s">
        <v>171</v>
      </c>
      <c r="D35" s="47"/>
      <c r="E35" s="10">
        <v>0</v>
      </c>
      <c r="F35" s="10">
        <v>30</v>
      </c>
      <c r="G35" s="39" t="s">
        <v>34</v>
      </c>
      <c r="H35" s="11">
        <f t="shared" si="0"/>
        <v>0</v>
      </c>
      <c r="I35" s="10">
        <f t="shared" si="1"/>
        <v>0.6</v>
      </c>
      <c r="J35" s="10">
        <v>0</v>
      </c>
      <c r="K35" s="10">
        <f t="shared" si="2"/>
        <v>0.6</v>
      </c>
      <c r="L35" s="17">
        <v>0.2</v>
      </c>
      <c r="M35" s="18">
        <f t="shared" si="3"/>
        <v>0.8</v>
      </c>
      <c r="N35" s="19">
        <f t="shared" si="4"/>
        <v>0</v>
      </c>
      <c r="O35" s="20">
        <f t="shared" si="5"/>
        <v>0.8</v>
      </c>
      <c r="P35" s="11"/>
      <c r="Q35" s="11"/>
      <c r="R35" s="31"/>
    </row>
    <row r="36" spans="1:24" ht="18.75">
      <c r="A36" s="9"/>
      <c r="B36" s="8">
        <v>1065313201</v>
      </c>
      <c r="C36" s="48" t="s">
        <v>127</v>
      </c>
      <c r="D36" s="49" t="s">
        <v>128</v>
      </c>
      <c r="E36" s="10">
        <v>0</v>
      </c>
      <c r="F36" s="10">
        <v>0</v>
      </c>
      <c r="G36" s="39" t="s">
        <v>34</v>
      </c>
      <c r="H36" s="11">
        <f t="shared" si="0"/>
        <v>0</v>
      </c>
      <c r="I36" s="10">
        <f t="shared" si="1"/>
        <v>0</v>
      </c>
      <c r="J36" s="10">
        <v>0</v>
      </c>
      <c r="K36" s="10">
        <f t="shared" si="2"/>
        <v>0</v>
      </c>
      <c r="L36" s="17">
        <v>0.22500000000000009</v>
      </c>
      <c r="M36" s="18">
        <f t="shared" si="3"/>
        <v>0.22500000000000009</v>
      </c>
      <c r="N36" s="19">
        <f t="shared" si="4"/>
        <v>0</v>
      </c>
      <c r="O36" s="20">
        <f t="shared" si="5"/>
        <v>0.22500000000000009</v>
      </c>
      <c r="P36" s="11"/>
      <c r="Q36" s="11"/>
      <c r="R36" s="31"/>
    </row>
    <row r="37" spans="1:24" ht="18.75">
      <c r="A37" s="8">
        <v>169</v>
      </c>
      <c r="B37" s="8">
        <v>1280938546</v>
      </c>
      <c r="C37" s="47" t="s">
        <v>89</v>
      </c>
      <c r="D37" s="45"/>
      <c r="E37" s="10">
        <v>0</v>
      </c>
      <c r="F37" s="10">
        <v>6</v>
      </c>
      <c r="G37" s="39" t="s">
        <v>34</v>
      </c>
      <c r="H37" s="11">
        <f t="shared" si="0"/>
        <v>0</v>
      </c>
      <c r="I37" s="10">
        <f t="shared" si="1"/>
        <v>0.12</v>
      </c>
      <c r="J37" s="10">
        <v>0</v>
      </c>
      <c r="K37" s="10">
        <f t="shared" si="2"/>
        <v>0.12</v>
      </c>
      <c r="L37" s="17">
        <v>0</v>
      </c>
      <c r="M37" s="18">
        <f t="shared" si="3"/>
        <v>0.12</v>
      </c>
      <c r="N37" s="19">
        <f t="shared" si="4"/>
        <v>0</v>
      </c>
      <c r="O37" s="20">
        <f t="shared" si="5"/>
        <v>0.12</v>
      </c>
      <c r="P37" s="4"/>
      <c r="Q37" s="4"/>
      <c r="R37" s="4"/>
    </row>
    <row r="38" spans="1:24" ht="18.75">
      <c r="A38" s="62"/>
      <c r="B38" s="62"/>
      <c r="C38" s="63"/>
      <c r="D38" s="64"/>
      <c r="E38" s="65"/>
      <c r="F38" s="65"/>
      <c r="G38" s="66"/>
      <c r="H38" s="67"/>
      <c r="I38" s="65"/>
      <c r="J38" s="65"/>
      <c r="K38" s="65"/>
      <c r="L38" s="68"/>
      <c r="M38" s="69"/>
      <c r="N38" s="70"/>
      <c r="O38" s="71"/>
      <c r="P38" s="72"/>
      <c r="Q38" s="72"/>
      <c r="R38" s="72"/>
    </row>
    <row r="39" spans="1:24" ht="18.75">
      <c r="A39" s="8">
        <v>155</v>
      </c>
      <c r="B39" s="8">
        <v>1532576874</v>
      </c>
      <c r="C39" s="47" t="s">
        <v>140</v>
      </c>
      <c r="D39" s="47" t="s">
        <v>61</v>
      </c>
      <c r="E39" s="10">
        <v>0</v>
      </c>
      <c r="F39" s="10">
        <v>0</v>
      </c>
      <c r="G39" s="39" t="s">
        <v>34</v>
      </c>
      <c r="H39" s="11">
        <f>E39+IF(E39&gt;2,(E39-2)*0.5,0)</f>
        <v>0</v>
      </c>
      <c r="I39" s="10">
        <f>F39/$T$15</f>
        <v>0</v>
      </c>
      <c r="J39" s="10">
        <v>0</v>
      </c>
      <c r="K39" s="10">
        <f>SUM(I39+H39+J39)</f>
        <v>0</v>
      </c>
      <c r="L39" s="17">
        <v>0</v>
      </c>
      <c r="M39" s="18">
        <f>K39+L39</f>
        <v>0</v>
      </c>
      <c r="N39" s="19">
        <f>VLOOKUP(G39,$S$3:$T$11,2,FALSE)</f>
        <v>0</v>
      </c>
      <c r="O39" s="20">
        <f>M39-N39</f>
        <v>0</v>
      </c>
      <c r="P39" s="11"/>
      <c r="Q39" s="11"/>
      <c r="R39" s="31"/>
    </row>
    <row r="40" spans="1:24" ht="18.75">
      <c r="A40" s="8">
        <v>180</v>
      </c>
      <c r="B40" s="8">
        <v>24633249</v>
      </c>
      <c r="C40" s="48" t="s">
        <v>72</v>
      </c>
      <c r="D40" s="46"/>
      <c r="E40" s="10">
        <v>0</v>
      </c>
      <c r="F40" s="10">
        <v>0</v>
      </c>
      <c r="G40" s="39" t="s">
        <v>34</v>
      </c>
      <c r="H40" s="11">
        <f>E40+IF(E40&gt;2,(E40-2)*0.5,0)</f>
        <v>0</v>
      </c>
      <c r="I40" s="10">
        <f>F40/$T$15</f>
        <v>0</v>
      </c>
      <c r="J40" s="10">
        <v>0</v>
      </c>
      <c r="K40" s="10">
        <f>SUM(I40+H40+J40)</f>
        <v>0</v>
      </c>
      <c r="L40" s="17">
        <v>-2.5249999999999999</v>
      </c>
      <c r="M40" s="18">
        <f>K40+L40</f>
        <v>-2.5249999999999999</v>
      </c>
      <c r="N40" s="19">
        <f>VLOOKUP(G40,$S$3:$T$11,2,FALSE)</f>
        <v>0</v>
      </c>
      <c r="O40" s="20">
        <f>M40-N40</f>
        <v>-2.5249999999999999</v>
      </c>
      <c r="P40" s="11"/>
      <c r="Q40" s="11"/>
      <c r="R40" s="11"/>
    </row>
    <row r="41" spans="1:24" ht="18.75">
      <c r="A41" s="8"/>
      <c r="B41" s="8">
        <v>488712245</v>
      </c>
      <c r="C41" s="47" t="s">
        <v>144</v>
      </c>
      <c r="D41" s="49" t="s">
        <v>162</v>
      </c>
      <c r="E41" s="10">
        <v>0</v>
      </c>
      <c r="F41" s="10">
        <v>0</v>
      </c>
      <c r="G41" s="39" t="s">
        <v>34</v>
      </c>
      <c r="H41" s="11">
        <f>E41+IF(E41&gt;2,(E41-2)*0.5,0)</f>
        <v>0</v>
      </c>
      <c r="I41" s="10">
        <f>F41/$T$15</f>
        <v>0</v>
      </c>
      <c r="J41" s="10">
        <v>0</v>
      </c>
      <c r="K41" s="10">
        <f>SUM(I41+H41+J41)</f>
        <v>0</v>
      </c>
      <c r="L41" s="17">
        <v>4.7</v>
      </c>
      <c r="M41" s="18">
        <f>K41+L41</f>
        <v>4.7</v>
      </c>
      <c r="N41" s="19">
        <f>VLOOKUP(G41,$S$3:$T$11,2,FALSE)</f>
        <v>0</v>
      </c>
      <c r="O41" s="20">
        <f>M41-N41</f>
        <v>4.7</v>
      </c>
      <c r="P41" s="4"/>
      <c r="Q41" s="4"/>
      <c r="R41" s="4"/>
    </row>
    <row r="42" spans="1:24" ht="18.75">
      <c r="A42" s="8">
        <v>130</v>
      </c>
      <c r="B42" s="8">
        <v>1957463045</v>
      </c>
      <c r="C42" s="47" t="s">
        <v>44</v>
      </c>
      <c r="D42" s="50"/>
      <c r="E42" s="10">
        <v>0</v>
      </c>
      <c r="F42" s="10">
        <v>0</v>
      </c>
      <c r="G42" s="39" t="s">
        <v>34</v>
      </c>
      <c r="H42" s="11">
        <f t="shared" ref="H42:H99" si="6">E42+IF(E42&gt;2,(E42-2)*0.5,0)</f>
        <v>0</v>
      </c>
      <c r="I42" s="10">
        <f t="shared" ref="I42:I99" si="7">F42/$T$15</f>
        <v>0</v>
      </c>
      <c r="J42" s="10">
        <v>0</v>
      </c>
      <c r="K42" s="10">
        <f t="shared" ref="K42:K99" si="8">SUM(I42+H42+J42)</f>
        <v>0</v>
      </c>
      <c r="L42" s="17">
        <v>5</v>
      </c>
      <c r="M42" s="18">
        <f t="shared" ref="M42:M99" si="9">K42+L42</f>
        <v>5</v>
      </c>
      <c r="N42" s="19">
        <f t="shared" ref="N42:N99" si="10">VLOOKUP(G42,$S$3:$T$11,2,FALSE)</f>
        <v>0</v>
      </c>
      <c r="O42" s="20">
        <f t="shared" ref="O42:O99" si="11">M42-N42</f>
        <v>5</v>
      </c>
      <c r="P42" s="11"/>
      <c r="Q42" s="11"/>
      <c r="R42" s="31"/>
    </row>
    <row r="43" spans="1:24" ht="18.75">
      <c r="A43" s="9">
        <v>26</v>
      </c>
      <c r="B43" s="8">
        <v>1754932067</v>
      </c>
      <c r="C43" s="47" t="s">
        <v>76</v>
      </c>
      <c r="D43" s="48" t="s">
        <v>12</v>
      </c>
      <c r="E43" s="10">
        <v>0</v>
      </c>
      <c r="F43" s="10">
        <v>0</v>
      </c>
      <c r="G43" s="39" t="s">
        <v>34</v>
      </c>
      <c r="H43" s="11">
        <f t="shared" si="6"/>
        <v>0</v>
      </c>
      <c r="I43" s="10">
        <f t="shared" si="7"/>
        <v>0</v>
      </c>
      <c r="J43" s="10">
        <v>0</v>
      </c>
      <c r="K43" s="10">
        <f t="shared" si="8"/>
        <v>0</v>
      </c>
      <c r="L43" s="17">
        <v>5</v>
      </c>
      <c r="M43" s="18">
        <f t="shared" si="9"/>
        <v>5</v>
      </c>
      <c r="N43" s="19">
        <f t="shared" si="10"/>
        <v>0</v>
      </c>
      <c r="O43" s="20">
        <f t="shared" si="11"/>
        <v>5</v>
      </c>
      <c r="P43" s="11"/>
      <c r="Q43" s="11"/>
      <c r="R43" s="11"/>
    </row>
    <row r="44" spans="1:24" ht="18.75">
      <c r="A44" s="8">
        <v>187</v>
      </c>
      <c r="B44" s="8">
        <v>1241038267</v>
      </c>
      <c r="C44" s="47" t="s">
        <v>97</v>
      </c>
      <c r="D44" s="46"/>
      <c r="E44" s="10">
        <v>0</v>
      </c>
      <c r="F44" s="10">
        <v>0</v>
      </c>
      <c r="G44" s="39" t="s">
        <v>34</v>
      </c>
      <c r="H44" s="11">
        <f t="shared" si="6"/>
        <v>0</v>
      </c>
      <c r="I44" s="10">
        <f t="shared" si="7"/>
        <v>0</v>
      </c>
      <c r="J44" s="10">
        <v>0</v>
      </c>
      <c r="K44" s="10">
        <f t="shared" si="8"/>
        <v>0</v>
      </c>
      <c r="L44" s="17">
        <v>5</v>
      </c>
      <c r="M44" s="18">
        <f t="shared" si="9"/>
        <v>5</v>
      </c>
      <c r="N44" s="19">
        <f t="shared" si="10"/>
        <v>0</v>
      </c>
      <c r="O44" s="20">
        <f t="shared" si="11"/>
        <v>5</v>
      </c>
      <c r="P44" s="4"/>
      <c r="Q44" s="4"/>
      <c r="R44" s="4"/>
    </row>
    <row r="45" spans="1:24" ht="18.75">
      <c r="A45" s="8">
        <v>188</v>
      </c>
      <c r="B45" s="8">
        <v>1504984957</v>
      </c>
      <c r="C45" s="47" t="s">
        <v>98</v>
      </c>
      <c r="D45" s="46"/>
      <c r="E45" s="10">
        <v>0</v>
      </c>
      <c r="F45" s="10">
        <v>0</v>
      </c>
      <c r="G45" s="39" t="s">
        <v>34</v>
      </c>
      <c r="H45" s="11">
        <f t="shared" si="6"/>
        <v>0</v>
      </c>
      <c r="I45" s="10">
        <f t="shared" si="7"/>
        <v>0</v>
      </c>
      <c r="J45" s="10">
        <v>0</v>
      </c>
      <c r="K45" s="10">
        <f t="shared" si="8"/>
        <v>0</v>
      </c>
      <c r="L45" s="17">
        <v>5</v>
      </c>
      <c r="M45" s="18">
        <f t="shared" si="9"/>
        <v>5</v>
      </c>
      <c r="N45" s="19">
        <f t="shared" si="10"/>
        <v>0</v>
      </c>
      <c r="O45" s="20">
        <f t="shared" si="11"/>
        <v>5</v>
      </c>
      <c r="P45" s="4"/>
      <c r="Q45" s="4"/>
      <c r="R45" s="4"/>
    </row>
    <row r="46" spans="1:24" ht="18.75">
      <c r="A46" s="8">
        <v>205</v>
      </c>
      <c r="B46" s="8">
        <v>141303545</v>
      </c>
      <c r="C46" s="47" t="s">
        <v>114</v>
      </c>
      <c r="D46" s="46"/>
      <c r="E46" s="10">
        <v>0</v>
      </c>
      <c r="F46" s="10">
        <v>0</v>
      </c>
      <c r="G46" s="39" t="s">
        <v>34</v>
      </c>
      <c r="H46" s="11">
        <f t="shared" si="6"/>
        <v>0</v>
      </c>
      <c r="I46" s="10">
        <f t="shared" si="7"/>
        <v>0</v>
      </c>
      <c r="J46" s="10">
        <v>0</v>
      </c>
      <c r="K46" s="10">
        <f t="shared" si="8"/>
        <v>0</v>
      </c>
      <c r="L46" s="17">
        <v>5</v>
      </c>
      <c r="M46" s="18">
        <f t="shared" si="9"/>
        <v>5</v>
      </c>
      <c r="N46" s="19">
        <f t="shared" si="10"/>
        <v>0</v>
      </c>
      <c r="O46" s="20">
        <f t="shared" si="11"/>
        <v>5</v>
      </c>
      <c r="P46" s="4"/>
      <c r="Q46" s="4"/>
      <c r="R46" s="4"/>
    </row>
    <row r="47" spans="1:24" ht="18.75">
      <c r="A47" s="8">
        <v>182</v>
      </c>
      <c r="B47" s="8">
        <v>828260319</v>
      </c>
      <c r="C47" s="47" t="s">
        <v>92</v>
      </c>
      <c r="D47" s="46"/>
      <c r="E47" s="10">
        <v>0</v>
      </c>
      <c r="F47" s="10">
        <v>0</v>
      </c>
      <c r="G47" s="39" t="s">
        <v>34</v>
      </c>
      <c r="H47" s="11">
        <f t="shared" si="6"/>
        <v>0</v>
      </c>
      <c r="I47" s="10">
        <f t="shared" si="7"/>
        <v>0</v>
      </c>
      <c r="J47" s="10">
        <v>0</v>
      </c>
      <c r="K47" s="10">
        <f t="shared" si="8"/>
        <v>0</v>
      </c>
      <c r="L47" s="17">
        <v>5</v>
      </c>
      <c r="M47" s="18">
        <f t="shared" si="9"/>
        <v>5</v>
      </c>
      <c r="N47" s="19">
        <f t="shared" si="10"/>
        <v>0</v>
      </c>
      <c r="O47" s="20">
        <f t="shared" si="11"/>
        <v>5</v>
      </c>
      <c r="P47" s="4"/>
      <c r="Q47" s="4"/>
      <c r="R47" s="4"/>
    </row>
    <row r="48" spans="1:24" ht="18.75">
      <c r="A48" s="9">
        <v>82</v>
      </c>
      <c r="B48" s="8">
        <v>982362214</v>
      </c>
      <c r="C48" s="47" t="s">
        <v>80</v>
      </c>
      <c r="D48" s="48" t="s">
        <v>25</v>
      </c>
      <c r="E48" s="10">
        <v>0</v>
      </c>
      <c r="F48" s="10">
        <v>0</v>
      </c>
      <c r="G48" s="39" t="s">
        <v>34</v>
      </c>
      <c r="H48" s="11">
        <f t="shared" si="6"/>
        <v>0</v>
      </c>
      <c r="I48" s="10">
        <f t="shared" si="7"/>
        <v>0</v>
      </c>
      <c r="J48" s="10">
        <v>0</v>
      </c>
      <c r="K48" s="10">
        <f t="shared" si="8"/>
        <v>0</v>
      </c>
      <c r="L48" s="17">
        <v>5</v>
      </c>
      <c r="M48" s="18">
        <f t="shared" si="9"/>
        <v>5</v>
      </c>
      <c r="N48" s="19">
        <f t="shared" si="10"/>
        <v>0</v>
      </c>
      <c r="O48" s="20">
        <f t="shared" si="11"/>
        <v>5</v>
      </c>
      <c r="P48" s="11"/>
      <c r="Q48" s="11"/>
      <c r="R48" s="11"/>
      <c r="S48" s="1"/>
      <c r="T48" s="1"/>
      <c r="U48" s="1"/>
      <c r="V48" s="1"/>
      <c r="W48" s="1"/>
      <c r="X48" s="1"/>
    </row>
    <row r="49" spans="1:24" ht="18.75">
      <c r="A49" s="8">
        <v>191</v>
      </c>
      <c r="B49" s="8">
        <v>1037173857</v>
      </c>
      <c r="C49" s="47" t="s">
        <v>101</v>
      </c>
      <c r="D49" s="46"/>
      <c r="E49" s="10">
        <v>0</v>
      </c>
      <c r="F49" s="10">
        <v>0</v>
      </c>
      <c r="G49" s="39" t="s">
        <v>34</v>
      </c>
      <c r="H49" s="11">
        <f t="shared" si="6"/>
        <v>0</v>
      </c>
      <c r="I49" s="10">
        <f t="shared" si="7"/>
        <v>0</v>
      </c>
      <c r="J49" s="10">
        <v>0</v>
      </c>
      <c r="K49" s="10">
        <f t="shared" si="8"/>
        <v>0</v>
      </c>
      <c r="L49" s="17">
        <v>5</v>
      </c>
      <c r="M49" s="18">
        <f t="shared" si="9"/>
        <v>5</v>
      </c>
      <c r="N49" s="19">
        <f t="shared" si="10"/>
        <v>0</v>
      </c>
      <c r="O49" s="20">
        <f t="shared" si="11"/>
        <v>5</v>
      </c>
      <c r="P49" s="4"/>
      <c r="Q49" s="4"/>
      <c r="R49" s="4"/>
      <c r="S49" s="1"/>
      <c r="T49" s="1"/>
      <c r="U49" s="1"/>
      <c r="V49" s="1"/>
      <c r="W49" s="1"/>
      <c r="X49" s="1"/>
    </row>
    <row r="50" spans="1:24" ht="18.75">
      <c r="A50" s="8">
        <v>128</v>
      </c>
      <c r="B50" s="8">
        <v>1214614935</v>
      </c>
      <c r="C50" s="47" t="s">
        <v>85</v>
      </c>
      <c r="D50" s="50" t="s">
        <v>53</v>
      </c>
      <c r="E50" s="10">
        <v>0</v>
      </c>
      <c r="F50" s="10">
        <v>0</v>
      </c>
      <c r="G50" s="39" t="s">
        <v>34</v>
      </c>
      <c r="H50" s="11">
        <f t="shared" si="6"/>
        <v>0</v>
      </c>
      <c r="I50" s="10">
        <f t="shared" si="7"/>
        <v>0</v>
      </c>
      <c r="J50" s="10">
        <v>0</v>
      </c>
      <c r="K50" s="10">
        <f t="shared" si="8"/>
        <v>0</v>
      </c>
      <c r="L50" s="17">
        <v>5</v>
      </c>
      <c r="M50" s="18">
        <f t="shared" si="9"/>
        <v>5</v>
      </c>
      <c r="N50" s="19">
        <f t="shared" si="10"/>
        <v>0</v>
      </c>
      <c r="O50" s="20">
        <f t="shared" si="11"/>
        <v>5</v>
      </c>
      <c r="P50" s="11"/>
      <c r="Q50" s="11"/>
      <c r="R50" s="31"/>
      <c r="S50" s="1"/>
      <c r="T50" s="1"/>
      <c r="U50" s="1"/>
      <c r="V50" s="1"/>
      <c r="W50" s="1"/>
      <c r="X50" s="1"/>
    </row>
    <row r="51" spans="1:24" ht="18.75">
      <c r="A51" s="9">
        <v>46</v>
      </c>
      <c r="B51" s="8">
        <v>2109182835</v>
      </c>
      <c r="C51" s="47" t="s">
        <v>79</v>
      </c>
      <c r="D51" s="48" t="s">
        <v>15</v>
      </c>
      <c r="E51" s="10">
        <v>0</v>
      </c>
      <c r="F51" s="10">
        <v>0</v>
      </c>
      <c r="G51" s="39" t="s">
        <v>34</v>
      </c>
      <c r="H51" s="11">
        <f t="shared" si="6"/>
        <v>0</v>
      </c>
      <c r="I51" s="10">
        <f t="shared" si="7"/>
        <v>0</v>
      </c>
      <c r="J51" s="10">
        <v>0</v>
      </c>
      <c r="K51" s="10">
        <f t="shared" si="8"/>
        <v>0</v>
      </c>
      <c r="L51" s="17">
        <v>5</v>
      </c>
      <c r="M51" s="18">
        <f t="shared" si="9"/>
        <v>5</v>
      </c>
      <c r="N51" s="19">
        <f t="shared" si="10"/>
        <v>0</v>
      </c>
      <c r="O51" s="20">
        <f t="shared" si="11"/>
        <v>5</v>
      </c>
      <c r="P51" s="11"/>
      <c r="Q51" s="11"/>
      <c r="R51" s="11"/>
      <c r="S51" s="1"/>
      <c r="T51" s="1"/>
      <c r="U51" s="1"/>
      <c r="V51" s="1"/>
      <c r="W51" s="1"/>
      <c r="X51" s="1"/>
    </row>
    <row r="52" spans="1:24" ht="18.75">
      <c r="A52" s="9">
        <v>120</v>
      </c>
      <c r="B52" s="8">
        <v>171422146</v>
      </c>
      <c r="C52" s="47" t="s">
        <v>83</v>
      </c>
      <c r="D52" s="48" t="s">
        <v>47</v>
      </c>
      <c r="E52" s="10">
        <v>0</v>
      </c>
      <c r="F52" s="10">
        <v>0</v>
      </c>
      <c r="G52" s="39" t="s">
        <v>34</v>
      </c>
      <c r="H52" s="11">
        <f t="shared" si="6"/>
        <v>0</v>
      </c>
      <c r="I52" s="10">
        <f t="shared" si="7"/>
        <v>0</v>
      </c>
      <c r="J52" s="10">
        <v>0</v>
      </c>
      <c r="K52" s="10">
        <f t="shared" si="8"/>
        <v>0</v>
      </c>
      <c r="L52" s="17">
        <v>5</v>
      </c>
      <c r="M52" s="18">
        <f t="shared" si="9"/>
        <v>5</v>
      </c>
      <c r="N52" s="19">
        <f t="shared" si="10"/>
        <v>0</v>
      </c>
      <c r="O52" s="20">
        <f t="shared" si="11"/>
        <v>5</v>
      </c>
      <c r="P52" s="11"/>
      <c r="Q52" s="11"/>
      <c r="R52" s="32"/>
      <c r="S52" s="1"/>
      <c r="T52" s="1"/>
      <c r="U52" s="1"/>
      <c r="V52" s="1"/>
      <c r="W52" s="1"/>
      <c r="X52" s="1"/>
    </row>
    <row r="53" spans="1:24" ht="18.75">
      <c r="A53" s="8">
        <v>143</v>
      </c>
      <c r="B53" s="8">
        <v>1963007427</v>
      </c>
      <c r="C53" s="47" t="s">
        <v>87</v>
      </c>
      <c r="D53" s="47" t="s">
        <v>58</v>
      </c>
      <c r="E53" s="10">
        <v>0</v>
      </c>
      <c r="F53" s="10">
        <v>0</v>
      </c>
      <c r="G53" s="39" t="s">
        <v>34</v>
      </c>
      <c r="H53" s="11">
        <f t="shared" si="6"/>
        <v>0</v>
      </c>
      <c r="I53" s="10">
        <f t="shared" si="7"/>
        <v>0</v>
      </c>
      <c r="J53" s="10">
        <v>0</v>
      </c>
      <c r="K53" s="10">
        <f t="shared" si="8"/>
        <v>0</v>
      </c>
      <c r="L53" s="17">
        <v>5</v>
      </c>
      <c r="M53" s="18">
        <f t="shared" si="9"/>
        <v>5</v>
      </c>
      <c r="N53" s="19">
        <f t="shared" si="10"/>
        <v>0</v>
      </c>
      <c r="O53" s="20">
        <f t="shared" si="11"/>
        <v>5</v>
      </c>
      <c r="P53" s="11"/>
      <c r="Q53" s="11"/>
      <c r="R53" s="31"/>
      <c r="S53" s="1"/>
      <c r="T53" s="1"/>
      <c r="U53" s="1"/>
      <c r="V53" s="1"/>
      <c r="W53" s="1"/>
      <c r="X53" s="1"/>
    </row>
    <row r="54" spans="1:24" ht="18.75">
      <c r="A54" s="8">
        <v>190</v>
      </c>
      <c r="B54" s="8">
        <v>684634207</v>
      </c>
      <c r="C54" s="47" t="s">
        <v>100</v>
      </c>
      <c r="D54" s="46"/>
      <c r="E54" s="10">
        <v>0</v>
      </c>
      <c r="F54" s="10">
        <v>0</v>
      </c>
      <c r="G54" s="39" t="s">
        <v>34</v>
      </c>
      <c r="H54" s="11">
        <f t="shared" si="6"/>
        <v>0</v>
      </c>
      <c r="I54" s="10">
        <f t="shared" si="7"/>
        <v>0</v>
      </c>
      <c r="J54" s="10">
        <v>0</v>
      </c>
      <c r="K54" s="10">
        <f t="shared" si="8"/>
        <v>0</v>
      </c>
      <c r="L54" s="17">
        <v>5</v>
      </c>
      <c r="M54" s="18">
        <f t="shared" si="9"/>
        <v>5</v>
      </c>
      <c r="N54" s="19">
        <f t="shared" si="10"/>
        <v>0</v>
      </c>
      <c r="O54" s="20">
        <f t="shared" si="11"/>
        <v>5</v>
      </c>
      <c r="P54" s="4"/>
      <c r="Q54" s="4"/>
      <c r="R54" s="4"/>
      <c r="S54" s="1"/>
      <c r="T54" s="1"/>
      <c r="U54" s="1"/>
      <c r="V54" s="1"/>
      <c r="W54" s="1"/>
      <c r="X54" s="1"/>
    </row>
    <row r="55" spans="1:24" ht="18.75">
      <c r="A55" s="8">
        <v>186</v>
      </c>
      <c r="B55" s="8">
        <v>595953188</v>
      </c>
      <c r="C55" s="47" t="s">
        <v>96</v>
      </c>
      <c r="D55" s="46"/>
      <c r="E55" s="10">
        <v>0</v>
      </c>
      <c r="F55" s="10">
        <v>0</v>
      </c>
      <c r="G55" s="39" t="s">
        <v>34</v>
      </c>
      <c r="H55" s="11">
        <f t="shared" si="6"/>
        <v>0</v>
      </c>
      <c r="I55" s="10">
        <f t="shared" si="7"/>
        <v>0</v>
      </c>
      <c r="J55" s="10">
        <v>0</v>
      </c>
      <c r="K55" s="10">
        <f t="shared" si="8"/>
        <v>0</v>
      </c>
      <c r="L55" s="17">
        <v>5</v>
      </c>
      <c r="M55" s="18">
        <f t="shared" si="9"/>
        <v>5</v>
      </c>
      <c r="N55" s="19">
        <f t="shared" si="10"/>
        <v>0</v>
      </c>
      <c r="O55" s="20">
        <f t="shared" si="11"/>
        <v>5</v>
      </c>
      <c r="P55" s="4"/>
      <c r="Q55" s="4"/>
      <c r="R55" s="4"/>
      <c r="S55" s="1"/>
      <c r="T55" s="1"/>
      <c r="U55" s="1"/>
      <c r="V55" s="1"/>
      <c r="W55" s="1"/>
      <c r="X55" s="1"/>
    </row>
    <row r="56" spans="1:24" ht="18.75">
      <c r="A56" s="8">
        <v>198</v>
      </c>
      <c r="B56" s="8">
        <v>723448640</v>
      </c>
      <c r="C56" s="47" t="s">
        <v>108</v>
      </c>
      <c r="D56" s="46"/>
      <c r="E56" s="10">
        <v>0</v>
      </c>
      <c r="F56" s="10">
        <v>0</v>
      </c>
      <c r="G56" s="39" t="s">
        <v>34</v>
      </c>
      <c r="H56" s="11">
        <f t="shared" si="6"/>
        <v>0</v>
      </c>
      <c r="I56" s="10">
        <f t="shared" si="7"/>
        <v>0</v>
      </c>
      <c r="J56" s="10">
        <v>0</v>
      </c>
      <c r="K56" s="10">
        <f t="shared" si="8"/>
        <v>0</v>
      </c>
      <c r="L56" s="17">
        <v>5</v>
      </c>
      <c r="M56" s="18">
        <f t="shared" si="9"/>
        <v>5</v>
      </c>
      <c r="N56" s="19">
        <f t="shared" si="10"/>
        <v>0</v>
      </c>
      <c r="O56" s="20">
        <f t="shared" si="11"/>
        <v>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208</v>
      </c>
      <c r="B57" s="8">
        <v>92129464</v>
      </c>
      <c r="C57" s="47" t="s">
        <v>118</v>
      </c>
      <c r="D57" s="46"/>
      <c r="E57" s="10">
        <v>0</v>
      </c>
      <c r="F57" s="10">
        <v>0</v>
      </c>
      <c r="G57" s="39" t="s">
        <v>34</v>
      </c>
      <c r="H57" s="11">
        <f t="shared" si="6"/>
        <v>0</v>
      </c>
      <c r="I57" s="10">
        <f t="shared" si="7"/>
        <v>0</v>
      </c>
      <c r="J57" s="10">
        <v>0</v>
      </c>
      <c r="K57" s="10">
        <f t="shared" si="8"/>
        <v>0</v>
      </c>
      <c r="L57" s="17">
        <v>5</v>
      </c>
      <c r="M57" s="18">
        <f t="shared" si="9"/>
        <v>5</v>
      </c>
      <c r="N57" s="19">
        <f t="shared" si="10"/>
        <v>0</v>
      </c>
      <c r="O57" s="20">
        <f t="shared" si="11"/>
        <v>5</v>
      </c>
      <c r="P57" s="4"/>
      <c r="Q57" s="4"/>
      <c r="R57" s="4"/>
      <c r="S57" s="1"/>
      <c r="T57" s="1"/>
      <c r="U57" s="1"/>
      <c r="V57" s="1"/>
      <c r="W57" s="1"/>
      <c r="X57" s="1"/>
    </row>
    <row r="58" spans="1:24" ht="18.75">
      <c r="A58" s="8">
        <v>209</v>
      </c>
      <c r="B58" s="8">
        <v>1525950050</v>
      </c>
      <c r="C58" s="47" t="s">
        <v>119</v>
      </c>
      <c r="D58" s="46"/>
      <c r="E58" s="10">
        <v>0</v>
      </c>
      <c r="F58" s="10">
        <v>0</v>
      </c>
      <c r="G58" s="39" t="s">
        <v>34</v>
      </c>
      <c r="H58" s="11">
        <f t="shared" si="6"/>
        <v>0</v>
      </c>
      <c r="I58" s="10">
        <f t="shared" si="7"/>
        <v>0</v>
      </c>
      <c r="J58" s="10">
        <v>0</v>
      </c>
      <c r="K58" s="10">
        <f t="shared" si="8"/>
        <v>0</v>
      </c>
      <c r="L58" s="17">
        <v>5</v>
      </c>
      <c r="M58" s="18">
        <f t="shared" si="9"/>
        <v>5</v>
      </c>
      <c r="N58" s="19">
        <f t="shared" si="10"/>
        <v>0</v>
      </c>
      <c r="O58" s="20">
        <f t="shared" si="11"/>
        <v>5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210</v>
      </c>
      <c r="B59" s="8">
        <v>1675792665</v>
      </c>
      <c r="C59" s="47" t="s">
        <v>120</v>
      </c>
      <c r="D59" s="46"/>
      <c r="E59" s="10">
        <v>0</v>
      </c>
      <c r="F59" s="10">
        <v>0</v>
      </c>
      <c r="G59" s="39" t="s">
        <v>34</v>
      </c>
      <c r="H59" s="11">
        <f t="shared" si="6"/>
        <v>0</v>
      </c>
      <c r="I59" s="10">
        <f t="shared" si="7"/>
        <v>0</v>
      </c>
      <c r="J59" s="10">
        <v>0</v>
      </c>
      <c r="K59" s="10">
        <f t="shared" si="8"/>
        <v>0</v>
      </c>
      <c r="L59" s="17">
        <v>3.5</v>
      </c>
      <c r="M59" s="18">
        <f t="shared" si="9"/>
        <v>3.5</v>
      </c>
      <c r="N59" s="19">
        <f t="shared" si="10"/>
        <v>0</v>
      </c>
      <c r="O59" s="20">
        <f t="shared" si="11"/>
        <v>3.5</v>
      </c>
      <c r="P59" s="4"/>
      <c r="Q59" s="4"/>
      <c r="R59" s="4"/>
      <c r="S59" s="1"/>
      <c r="T59" s="1"/>
      <c r="U59" s="1"/>
      <c r="V59" s="1"/>
      <c r="W59" s="1"/>
      <c r="X59" s="1"/>
    </row>
    <row r="60" spans="1:24" ht="18.75">
      <c r="A60" s="8">
        <v>183</v>
      </c>
      <c r="B60" s="8">
        <v>1250030371</v>
      </c>
      <c r="C60" s="47" t="s">
        <v>123</v>
      </c>
      <c r="D60" s="47" t="s">
        <v>93</v>
      </c>
      <c r="E60" s="10">
        <v>0</v>
      </c>
      <c r="F60" s="10">
        <v>0</v>
      </c>
      <c r="G60" s="39" t="s">
        <v>34</v>
      </c>
      <c r="H60" s="11">
        <f t="shared" si="6"/>
        <v>0</v>
      </c>
      <c r="I60" s="10">
        <f t="shared" si="7"/>
        <v>0</v>
      </c>
      <c r="J60" s="10">
        <v>0</v>
      </c>
      <c r="K60" s="10">
        <f t="shared" si="8"/>
        <v>0</v>
      </c>
      <c r="L60" s="17">
        <v>3.5</v>
      </c>
      <c r="M60" s="18">
        <f t="shared" si="9"/>
        <v>3.5</v>
      </c>
      <c r="N60" s="19">
        <f t="shared" si="10"/>
        <v>0</v>
      </c>
      <c r="O60" s="20">
        <f t="shared" si="11"/>
        <v>3.5</v>
      </c>
      <c r="P60" s="4"/>
      <c r="Q60" s="4"/>
      <c r="R60" s="4"/>
      <c r="S60" s="1"/>
      <c r="T60" s="1"/>
      <c r="U60" s="1"/>
      <c r="V60" s="1"/>
      <c r="W60" s="1"/>
      <c r="X60" s="1"/>
    </row>
    <row r="61" spans="1:24" ht="18.75">
      <c r="A61" s="8">
        <v>196</v>
      </c>
      <c r="B61" s="8">
        <v>1065641844</v>
      </c>
      <c r="C61" s="47" t="s">
        <v>106</v>
      </c>
      <c r="D61" s="46"/>
      <c r="E61" s="10">
        <v>0</v>
      </c>
      <c r="F61" s="10">
        <v>0</v>
      </c>
      <c r="G61" s="39" t="s">
        <v>34</v>
      </c>
      <c r="H61" s="11">
        <f t="shared" si="6"/>
        <v>0</v>
      </c>
      <c r="I61" s="10">
        <f t="shared" si="7"/>
        <v>0</v>
      </c>
      <c r="J61" s="10">
        <v>0</v>
      </c>
      <c r="K61" s="10">
        <f t="shared" si="8"/>
        <v>0</v>
      </c>
      <c r="L61" s="17">
        <v>3.5</v>
      </c>
      <c r="M61" s="18">
        <f t="shared" si="9"/>
        <v>3.5</v>
      </c>
      <c r="N61" s="19">
        <f t="shared" si="10"/>
        <v>0</v>
      </c>
      <c r="O61" s="20">
        <f t="shared" si="11"/>
        <v>3.5</v>
      </c>
      <c r="P61" s="4"/>
      <c r="Q61" s="4"/>
      <c r="R61" s="4"/>
      <c r="S61" s="1"/>
      <c r="T61" s="1"/>
      <c r="U61" s="1"/>
      <c r="V61" s="1"/>
      <c r="W61" s="1"/>
      <c r="X61" s="1"/>
    </row>
    <row r="62" spans="1:24" ht="18.75">
      <c r="A62" s="8">
        <v>203</v>
      </c>
      <c r="B62" s="8">
        <v>382695365</v>
      </c>
      <c r="C62" s="47" t="s">
        <v>112</v>
      </c>
      <c r="D62" s="46"/>
      <c r="E62" s="10">
        <v>0</v>
      </c>
      <c r="F62" s="10">
        <v>0</v>
      </c>
      <c r="G62" s="39" t="s">
        <v>34</v>
      </c>
      <c r="H62" s="11">
        <f t="shared" si="6"/>
        <v>0</v>
      </c>
      <c r="I62" s="10">
        <f t="shared" si="7"/>
        <v>0</v>
      </c>
      <c r="J62" s="10">
        <v>0</v>
      </c>
      <c r="K62" s="10">
        <f t="shared" si="8"/>
        <v>0</v>
      </c>
      <c r="L62" s="17">
        <v>3.5</v>
      </c>
      <c r="M62" s="18">
        <f t="shared" si="9"/>
        <v>3.5</v>
      </c>
      <c r="N62" s="19">
        <f t="shared" si="10"/>
        <v>0</v>
      </c>
      <c r="O62" s="20">
        <f t="shared" si="11"/>
        <v>3.5</v>
      </c>
      <c r="P62" s="4"/>
      <c r="Q62" s="4"/>
      <c r="R62" s="4"/>
      <c r="S62" s="1"/>
      <c r="T62" s="1"/>
      <c r="U62" s="1"/>
      <c r="V62" s="1"/>
      <c r="W62" s="1"/>
      <c r="X62" s="1"/>
    </row>
    <row r="63" spans="1:24" ht="18.75">
      <c r="A63" s="8">
        <v>184</v>
      </c>
      <c r="B63" s="8">
        <v>1814130074</v>
      </c>
      <c r="C63" s="47" t="s">
        <v>94</v>
      </c>
      <c r="D63" s="46"/>
      <c r="E63" s="10">
        <v>0</v>
      </c>
      <c r="F63" s="10">
        <v>0</v>
      </c>
      <c r="G63" s="39" t="s">
        <v>34</v>
      </c>
      <c r="H63" s="11">
        <f t="shared" si="6"/>
        <v>0</v>
      </c>
      <c r="I63" s="10">
        <f t="shared" si="7"/>
        <v>0</v>
      </c>
      <c r="J63" s="10">
        <v>0</v>
      </c>
      <c r="K63" s="10">
        <f t="shared" si="8"/>
        <v>0</v>
      </c>
      <c r="L63" s="17">
        <v>3.5</v>
      </c>
      <c r="M63" s="18">
        <f t="shared" si="9"/>
        <v>3.5</v>
      </c>
      <c r="N63" s="19">
        <f t="shared" si="10"/>
        <v>0</v>
      </c>
      <c r="O63" s="20">
        <f t="shared" si="11"/>
        <v>3.5</v>
      </c>
      <c r="P63" s="4"/>
      <c r="Q63" s="4"/>
      <c r="R63" s="4"/>
      <c r="S63" s="1"/>
      <c r="T63" s="1"/>
      <c r="U63" s="1"/>
      <c r="V63" s="1"/>
      <c r="W63" s="1"/>
      <c r="X63" s="1"/>
    </row>
    <row r="64" spans="1:24" ht="18.75">
      <c r="A64" s="8">
        <v>110</v>
      </c>
      <c r="B64" s="8">
        <v>1968703358</v>
      </c>
      <c r="C64" s="47" t="s">
        <v>81</v>
      </c>
      <c r="D64" s="48" t="s">
        <v>45</v>
      </c>
      <c r="E64" s="10">
        <v>0</v>
      </c>
      <c r="F64" s="10">
        <v>0</v>
      </c>
      <c r="G64" s="39" t="s">
        <v>34</v>
      </c>
      <c r="H64" s="11">
        <f t="shared" si="6"/>
        <v>0</v>
      </c>
      <c r="I64" s="10">
        <f t="shared" si="7"/>
        <v>0</v>
      </c>
      <c r="J64" s="10">
        <v>0</v>
      </c>
      <c r="K64" s="10">
        <f t="shared" si="8"/>
        <v>0</v>
      </c>
      <c r="L64" s="17">
        <v>3.5</v>
      </c>
      <c r="M64" s="18">
        <f t="shared" si="9"/>
        <v>3.5</v>
      </c>
      <c r="N64" s="19">
        <f t="shared" si="10"/>
        <v>0</v>
      </c>
      <c r="O64" s="20">
        <f t="shared" si="11"/>
        <v>3.5</v>
      </c>
      <c r="P64" s="11"/>
      <c r="Q64" s="11"/>
      <c r="R64" s="17"/>
      <c r="S64" s="1"/>
      <c r="T64" s="1"/>
      <c r="U64" s="1"/>
      <c r="V64" s="1"/>
      <c r="W64" s="1"/>
      <c r="X64" s="1"/>
    </row>
    <row r="65" spans="1:24" ht="18.75">
      <c r="A65" s="8">
        <v>211</v>
      </c>
      <c r="B65" s="8">
        <v>1030769255</v>
      </c>
      <c r="C65" s="47" t="s">
        <v>121</v>
      </c>
      <c r="D65" s="46"/>
      <c r="E65" s="10">
        <v>0</v>
      </c>
      <c r="F65" s="10">
        <v>0</v>
      </c>
      <c r="G65" s="39" t="s">
        <v>34</v>
      </c>
      <c r="H65" s="11">
        <f t="shared" si="6"/>
        <v>0</v>
      </c>
      <c r="I65" s="10">
        <f t="shared" si="7"/>
        <v>0</v>
      </c>
      <c r="J65" s="10">
        <v>0</v>
      </c>
      <c r="K65" s="10">
        <f t="shared" si="8"/>
        <v>0</v>
      </c>
      <c r="L65" s="17">
        <v>2</v>
      </c>
      <c r="M65" s="18">
        <f t="shared" si="9"/>
        <v>2</v>
      </c>
      <c r="N65" s="19">
        <f t="shared" si="10"/>
        <v>0</v>
      </c>
      <c r="O65" s="20">
        <f t="shared" si="11"/>
        <v>2</v>
      </c>
      <c r="P65" s="4"/>
      <c r="Q65" s="4"/>
      <c r="R65" s="4"/>
      <c r="S65" s="1"/>
      <c r="T65" s="1"/>
      <c r="U65" s="1"/>
      <c r="V65" s="1"/>
      <c r="W65" s="1"/>
      <c r="X65" s="1"/>
    </row>
    <row r="66" spans="1:24" ht="18.75">
      <c r="A66" s="8">
        <v>206</v>
      </c>
      <c r="B66" s="8">
        <v>1835375380</v>
      </c>
      <c r="C66" s="47" t="s">
        <v>115</v>
      </c>
      <c r="D66" s="46"/>
      <c r="E66" s="10">
        <v>0</v>
      </c>
      <c r="F66" s="10">
        <v>0</v>
      </c>
      <c r="G66" s="39" t="s">
        <v>34</v>
      </c>
      <c r="H66" s="11">
        <f t="shared" si="6"/>
        <v>0</v>
      </c>
      <c r="I66" s="10">
        <f t="shared" si="7"/>
        <v>0</v>
      </c>
      <c r="J66" s="10">
        <v>0</v>
      </c>
      <c r="K66" s="10">
        <f t="shared" si="8"/>
        <v>0</v>
      </c>
      <c r="L66" s="17">
        <v>2</v>
      </c>
      <c r="M66" s="18">
        <f t="shared" si="9"/>
        <v>2</v>
      </c>
      <c r="N66" s="19">
        <f t="shared" si="10"/>
        <v>0</v>
      </c>
      <c r="O66" s="20">
        <f t="shared" si="11"/>
        <v>2</v>
      </c>
      <c r="P66" s="4"/>
      <c r="Q66" s="4"/>
      <c r="R66" s="4"/>
      <c r="S66" s="1"/>
      <c r="T66" s="1"/>
      <c r="U66" s="1"/>
      <c r="V66" s="1"/>
      <c r="W66" s="1"/>
      <c r="X66" s="1"/>
    </row>
    <row r="67" spans="1:24" ht="18.75">
      <c r="A67" s="9">
        <v>5</v>
      </c>
      <c r="B67" s="8">
        <v>1044399218</v>
      </c>
      <c r="C67" s="47" t="s">
        <v>75</v>
      </c>
      <c r="D67" s="48" t="s">
        <v>9</v>
      </c>
      <c r="E67" s="10">
        <v>0</v>
      </c>
      <c r="F67" s="10">
        <v>0</v>
      </c>
      <c r="G67" s="39" t="s">
        <v>34</v>
      </c>
      <c r="H67" s="11">
        <f t="shared" si="6"/>
        <v>0</v>
      </c>
      <c r="I67" s="10">
        <f t="shared" si="7"/>
        <v>0</v>
      </c>
      <c r="J67" s="10">
        <v>0</v>
      </c>
      <c r="K67" s="10">
        <f t="shared" si="8"/>
        <v>0</v>
      </c>
      <c r="L67" s="17">
        <v>2</v>
      </c>
      <c r="M67" s="18">
        <f t="shared" si="9"/>
        <v>2</v>
      </c>
      <c r="N67" s="19">
        <f t="shared" si="10"/>
        <v>0</v>
      </c>
      <c r="O67" s="20">
        <f t="shared" si="11"/>
        <v>2</v>
      </c>
      <c r="P67" s="11"/>
      <c r="Q67" s="11"/>
      <c r="R67" s="11"/>
      <c r="S67" s="1"/>
      <c r="T67" s="1"/>
      <c r="U67" s="1"/>
      <c r="V67" s="1"/>
      <c r="W67" s="1"/>
      <c r="X67" s="1"/>
    </row>
    <row r="68" spans="1:24" ht="18.75">
      <c r="A68" s="9">
        <v>103</v>
      </c>
      <c r="B68" s="8">
        <v>1540443440</v>
      </c>
      <c r="C68" s="48" t="s">
        <v>68</v>
      </c>
      <c r="D68" s="48" t="s">
        <v>35</v>
      </c>
      <c r="E68" s="10">
        <v>0</v>
      </c>
      <c r="F68" s="10">
        <v>0</v>
      </c>
      <c r="G68" s="39" t="s">
        <v>34</v>
      </c>
      <c r="H68" s="11">
        <f t="shared" si="6"/>
        <v>0</v>
      </c>
      <c r="I68" s="10">
        <f t="shared" si="7"/>
        <v>0</v>
      </c>
      <c r="J68" s="10">
        <v>0</v>
      </c>
      <c r="K68" s="10">
        <f t="shared" si="8"/>
        <v>0</v>
      </c>
      <c r="L68" s="17">
        <v>2</v>
      </c>
      <c r="M68" s="18">
        <f t="shared" si="9"/>
        <v>2</v>
      </c>
      <c r="N68" s="19">
        <f t="shared" si="10"/>
        <v>0</v>
      </c>
      <c r="O68" s="20">
        <f t="shared" si="11"/>
        <v>2</v>
      </c>
      <c r="P68" s="11"/>
      <c r="Q68" s="11"/>
      <c r="R68" s="11"/>
      <c r="S68" s="3"/>
      <c r="T68" s="3"/>
      <c r="U68" s="3"/>
      <c r="V68" s="3"/>
      <c r="W68" s="3"/>
      <c r="X68" s="3"/>
    </row>
    <row r="69" spans="1:24" ht="18.75">
      <c r="A69" s="8">
        <v>141</v>
      </c>
      <c r="B69" s="8">
        <v>1190305158</v>
      </c>
      <c r="C69" s="47" t="s">
        <v>55</v>
      </c>
      <c r="D69" s="50"/>
      <c r="E69" s="10">
        <v>0</v>
      </c>
      <c r="F69" s="10">
        <v>0</v>
      </c>
      <c r="G69" s="39" t="s">
        <v>34</v>
      </c>
      <c r="H69" s="11">
        <f t="shared" si="6"/>
        <v>0</v>
      </c>
      <c r="I69" s="10">
        <f t="shared" si="7"/>
        <v>0</v>
      </c>
      <c r="J69" s="10">
        <v>0</v>
      </c>
      <c r="K69" s="10">
        <f t="shared" si="8"/>
        <v>0</v>
      </c>
      <c r="L69" s="17">
        <v>2</v>
      </c>
      <c r="M69" s="18">
        <f t="shared" si="9"/>
        <v>2</v>
      </c>
      <c r="N69" s="19">
        <f t="shared" si="10"/>
        <v>0</v>
      </c>
      <c r="O69" s="20">
        <f t="shared" si="11"/>
        <v>2</v>
      </c>
      <c r="P69" s="11"/>
      <c r="Q69" s="11"/>
      <c r="R69" s="31"/>
    </row>
    <row r="70" spans="1:24" ht="18.75">
      <c r="A70" s="8">
        <v>199</v>
      </c>
      <c r="B70" s="8">
        <v>1190213504</v>
      </c>
      <c r="C70" s="47" t="s">
        <v>117</v>
      </c>
      <c r="D70" s="46"/>
      <c r="E70" s="10">
        <v>0</v>
      </c>
      <c r="F70" s="10">
        <v>0</v>
      </c>
      <c r="G70" s="39" t="s">
        <v>34</v>
      </c>
      <c r="H70" s="11">
        <f t="shared" si="6"/>
        <v>0</v>
      </c>
      <c r="I70" s="10">
        <f t="shared" si="7"/>
        <v>0</v>
      </c>
      <c r="J70" s="10">
        <v>0</v>
      </c>
      <c r="K70" s="10">
        <f t="shared" si="8"/>
        <v>0</v>
      </c>
      <c r="L70" s="17">
        <v>1</v>
      </c>
      <c r="M70" s="18">
        <f t="shared" si="9"/>
        <v>1</v>
      </c>
      <c r="N70" s="19">
        <f t="shared" si="10"/>
        <v>0</v>
      </c>
      <c r="O70" s="20">
        <f t="shared" si="11"/>
        <v>1</v>
      </c>
      <c r="P70" s="4"/>
      <c r="Q70" s="4"/>
      <c r="R70" s="4"/>
    </row>
    <row r="71" spans="1:24" ht="18.75">
      <c r="A71" s="8">
        <v>204</v>
      </c>
      <c r="B71" s="8">
        <v>1449474852</v>
      </c>
      <c r="C71" s="47" t="s">
        <v>113</v>
      </c>
      <c r="D71" s="46"/>
      <c r="E71" s="10">
        <v>0</v>
      </c>
      <c r="F71" s="10">
        <v>0</v>
      </c>
      <c r="G71" s="39" t="s">
        <v>34</v>
      </c>
      <c r="H71" s="11">
        <f t="shared" si="6"/>
        <v>0</v>
      </c>
      <c r="I71" s="10">
        <f t="shared" si="7"/>
        <v>0</v>
      </c>
      <c r="J71" s="10">
        <v>0</v>
      </c>
      <c r="K71" s="10">
        <f t="shared" si="8"/>
        <v>0</v>
      </c>
      <c r="L71" s="17">
        <v>1</v>
      </c>
      <c r="M71" s="18">
        <f t="shared" si="9"/>
        <v>1</v>
      </c>
      <c r="N71" s="19">
        <f t="shared" si="10"/>
        <v>0</v>
      </c>
      <c r="O71" s="20">
        <f t="shared" si="11"/>
        <v>1</v>
      </c>
      <c r="P71" s="4"/>
      <c r="Q71" s="4"/>
      <c r="R71" s="4"/>
    </row>
    <row r="72" spans="1:24" ht="18.75">
      <c r="A72" s="8">
        <v>192</v>
      </c>
      <c r="B72" s="8">
        <v>1725281178</v>
      </c>
      <c r="C72" s="47" t="s">
        <v>102</v>
      </c>
      <c r="D72" s="46"/>
      <c r="E72" s="10">
        <v>0</v>
      </c>
      <c r="F72" s="10">
        <v>0</v>
      </c>
      <c r="G72" s="39" t="s">
        <v>34</v>
      </c>
      <c r="H72" s="11">
        <f t="shared" si="6"/>
        <v>0</v>
      </c>
      <c r="I72" s="10">
        <f t="shared" si="7"/>
        <v>0</v>
      </c>
      <c r="J72" s="10">
        <v>0</v>
      </c>
      <c r="K72" s="10">
        <f t="shared" si="8"/>
        <v>0</v>
      </c>
      <c r="L72" s="17">
        <v>1</v>
      </c>
      <c r="M72" s="18">
        <f t="shared" si="9"/>
        <v>1</v>
      </c>
      <c r="N72" s="19">
        <f t="shared" si="10"/>
        <v>0</v>
      </c>
      <c r="O72" s="20">
        <f t="shared" si="11"/>
        <v>1</v>
      </c>
      <c r="P72" s="4"/>
      <c r="Q72" s="4"/>
      <c r="R72" s="4"/>
    </row>
    <row r="73" spans="1:24" ht="18.75">
      <c r="A73" s="8">
        <v>201</v>
      </c>
      <c r="B73" s="8">
        <v>251334814</v>
      </c>
      <c r="C73" s="47" t="s">
        <v>110</v>
      </c>
      <c r="D73" s="46"/>
      <c r="E73" s="10">
        <v>0</v>
      </c>
      <c r="F73" s="10">
        <v>0</v>
      </c>
      <c r="G73" s="39" t="s">
        <v>34</v>
      </c>
      <c r="H73" s="11">
        <f t="shared" si="6"/>
        <v>0</v>
      </c>
      <c r="I73" s="10">
        <f t="shared" si="7"/>
        <v>0</v>
      </c>
      <c r="J73" s="10">
        <v>0</v>
      </c>
      <c r="K73" s="10">
        <f t="shared" si="8"/>
        <v>0</v>
      </c>
      <c r="L73" s="17">
        <v>1</v>
      </c>
      <c r="M73" s="18">
        <f t="shared" si="9"/>
        <v>1</v>
      </c>
      <c r="N73" s="19">
        <f t="shared" si="10"/>
        <v>0</v>
      </c>
      <c r="O73" s="20">
        <f t="shared" si="11"/>
        <v>1</v>
      </c>
      <c r="P73" s="4"/>
      <c r="Q73" s="4"/>
      <c r="R73" s="4"/>
    </row>
    <row r="74" spans="1:24" ht="18.75">
      <c r="A74" s="8">
        <v>148</v>
      </c>
      <c r="B74" s="8">
        <v>1579518877</v>
      </c>
      <c r="C74" s="47" t="s">
        <v>59</v>
      </c>
      <c r="D74" s="50"/>
      <c r="E74" s="10">
        <v>0</v>
      </c>
      <c r="F74" s="10">
        <v>0</v>
      </c>
      <c r="G74" s="39" t="s">
        <v>34</v>
      </c>
      <c r="H74" s="11">
        <f t="shared" si="6"/>
        <v>0</v>
      </c>
      <c r="I74" s="10">
        <f t="shared" si="7"/>
        <v>0</v>
      </c>
      <c r="J74" s="10">
        <v>0</v>
      </c>
      <c r="K74" s="10">
        <f t="shared" si="8"/>
        <v>0</v>
      </c>
      <c r="L74" s="17">
        <v>1</v>
      </c>
      <c r="M74" s="18">
        <f t="shared" si="9"/>
        <v>1</v>
      </c>
      <c r="N74" s="19">
        <f t="shared" si="10"/>
        <v>0</v>
      </c>
      <c r="O74" s="20">
        <f t="shared" si="11"/>
        <v>1</v>
      </c>
      <c r="P74" s="4"/>
      <c r="Q74" s="4"/>
      <c r="R74" s="4"/>
    </row>
    <row r="75" spans="1:24" ht="18.75">
      <c r="A75" s="8">
        <v>144</v>
      </c>
      <c r="B75" s="8">
        <v>1763923855</v>
      </c>
      <c r="C75" s="47" t="s">
        <v>57</v>
      </c>
      <c r="D75" s="53"/>
      <c r="E75" s="10">
        <v>0</v>
      </c>
      <c r="F75" s="10">
        <v>0</v>
      </c>
      <c r="G75" s="39" t="s">
        <v>34</v>
      </c>
      <c r="H75" s="11">
        <f t="shared" si="6"/>
        <v>0</v>
      </c>
      <c r="I75" s="10">
        <f t="shared" si="7"/>
        <v>0</v>
      </c>
      <c r="J75" s="10">
        <v>0</v>
      </c>
      <c r="K75" s="10">
        <f t="shared" si="8"/>
        <v>0</v>
      </c>
      <c r="L75" s="17">
        <v>1</v>
      </c>
      <c r="M75" s="18">
        <f t="shared" si="9"/>
        <v>1</v>
      </c>
      <c r="N75" s="19">
        <f t="shared" si="10"/>
        <v>0</v>
      </c>
      <c r="O75" s="20">
        <f t="shared" si="11"/>
        <v>1</v>
      </c>
      <c r="P75" s="4"/>
      <c r="Q75" s="4"/>
      <c r="R75" s="4"/>
    </row>
    <row r="76" spans="1:24" ht="18.75">
      <c r="A76" s="8">
        <v>152</v>
      </c>
      <c r="B76" s="8">
        <v>808637979</v>
      </c>
      <c r="C76" s="47" t="s">
        <v>62</v>
      </c>
      <c r="D76" s="47" t="s">
        <v>60</v>
      </c>
      <c r="E76" s="10">
        <v>0</v>
      </c>
      <c r="F76" s="10">
        <v>0</v>
      </c>
      <c r="G76" s="39" t="s">
        <v>34</v>
      </c>
      <c r="H76" s="11">
        <f t="shared" si="6"/>
        <v>0</v>
      </c>
      <c r="I76" s="10">
        <f t="shared" si="7"/>
        <v>0</v>
      </c>
      <c r="J76" s="10">
        <v>0</v>
      </c>
      <c r="K76" s="10">
        <f t="shared" si="8"/>
        <v>0</v>
      </c>
      <c r="L76" s="17">
        <v>0</v>
      </c>
      <c r="M76" s="18">
        <f t="shared" si="9"/>
        <v>0</v>
      </c>
      <c r="N76" s="19">
        <f t="shared" si="10"/>
        <v>0</v>
      </c>
      <c r="O76" s="20">
        <f t="shared" si="11"/>
        <v>0</v>
      </c>
      <c r="P76" s="4"/>
      <c r="Q76" s="4"/>
      <c r="R76" s="4"/>
    </row>
    <row r="77" spans="1:24" ht="18.75">
      <c r="A77" s="8">
        <v>170</v>
      </c>
      <c r="B77" s="8">
        <v>1659068972</v>
      </c>
      <c r="C77" s="47" t="s">
        <v>66</v>
      </c>
      <c r="D77" s="46"/>
      <c r="E77" s="10">
        <v>0</v>
      </c>
      <c r="F77" s="10">
        <v>0</v>
      </c>
      <c r="G77" s="39" t="s">
        <v>34</v>
      </c>
      <c r="H77" s="11">
        <f t="shared" si="6"/>
        <v>0</v>
      </c>
      <c r="I77" s="10">
        <f t="shared" si="7"/>
        <v>0</v>
      </c>
      <c r="J77" s="10">
        <v>0</v>
      </c>
      <c r="K77" s="10">
        <f t="shared" si="8"/>
        <v>0</v>
      </c>
      <c r="L77" s="17">
        <v>0</v>
      </c>
      <c r="M77" s="18">
        <f t="shared" si="9"/>
        <v>0</v>
      </c>
      <c r="N77" s="19">
        <f t="shared" si="10"/>
        <v>0</v>
      </c>
      <c r="O77" s="20">
        <f t="shared" si="11"/>
        <v>0</v>
      </c>
      <c r="P77" s="4"/>
      <c r="Q77" s="4"/>
      <c r="R77" s="4"/>
    </row>
    <row r="78" spans="1:24" ht="18.75">
      <c r="A78" s="8">
        <v>167</v>
      </c>
      <c r="B78" s="8">
        <v>1173807161</v>
      </c>
      <c r="C78" s="47" t="s">
        <v>67</v>
      </c>
      <c r="D78" s="52"/>
      <c r="E78" s="10">
        <v>0</v>
      </c>
      <c r="F78" s="10">
        <v>0</v>
      </c>
      <c r="G78" s="39" t="s">
        <v>34</v>
      </c>
      <c r="H78" s="11">
        <f t="shared" si="6"/>
        <v>0</v>
      </c>
      <c r="I78" s="10">
        <f t="shared" si="7"/>
        <v>0</v>
      </c>
      <c r="J78" s="10">
        <v>0</v>
      </c>
      <c r="K78" s="10">
        <f t="shared" si="8"/>
        <v>0</v>
      </c>
      <c r="L78" s="17">
        <v>0</v>
      </c>
      <c r="M78" s="18">
        <f t="shared" si="9"/>
        <v>0</v>
      </c>
      <c r="N78" s="19">
        <f t="shared" si="10"/>
        <v>0</v>
      </c>
      <c r="O78" s="20">
        <f t="shared" si="11"/>
        <v>0</v>
      </c>
      <c r="P78" s="4"/>
      <c r="Q78" s="4"/>
      <c r="R78" s="4"/>
    </row>
    <row r="79" spans="1:24" ht="18.75">
      <c r="A79" s="8">
        <v>138</v>
      </c>
      <c r="B79" s="8">
        <v>1440730282</v>
      </c>
      <c r="C79" s="47" t="s">
        <v>86</v>
      </c>
      <c r="D79" s="47" t="s">
        <v>54</v>
      </c>
      <c r="E79" s="10">
        <v>0</v>
      </c>
      <c r="F79" s="10">
        <v>0</v>
      </c>
      <c r="G79" s="39" t="s">
        <v>34</v>
      </c>
      <c r="H79" s="11">
        <f t="shared" si="6"/>
        <v>0</v>
      </c>
      <c r="I79" s="10">
        <f t="shared" si="7"/>
        <v>0</v>
      </c>
      <c r="J79" s="10">
        <v>0</v>
      </c>
      <c r="K79" s="10">
        <f t="shared" si="8"/>
        <v>0</v>
      </c>
      <c r="L79" s="17">
        <v>0</v>
      </c>
      <c r="M79" s="18">
        <f t="shared" si="9"/>
        <v>0</v>
      </c>
      <c r="N79" s="19">
        <f t="shared" si="10"/>
        <v>0</v>
      </c>
      <c r="O79" s="20">
        <f t="shared" si="11"/>
        <v>0</v>
      </c>
      <c r="P79" s="11"/>
      <c r="Q79" s="11"/>
      <c r="R79" s="31"/>
    </row>
    <row r="80" spans="1:24" ht="18.75">
      <c r="A80" s="8">
        <v>127</v>
      </c>
      <c r="B80" s="8">
        <v>615908706</v>
      </c>
      <c r="C80" s="47" t="s">
        <v>84</v>
      </c>
      <c r="D80" s="50" t="s">
        <v>46</v>
      </c>
      <c r="E80" s="10">
        <v>0</v>
      </c>
      <c r="F80" s="10">
        <v>0</v>
      </c>
      <c r="G80" s="39" t="s">
        <v>34</v>
      </c>
      <c r="H80" s="11">
        <f t="shared" si="6"/>
        <v>0</v>
      </c>
      <c r="I80" s="10">
        <f t="shared" si="7"/>
        <v>0</v>
      </c>
      <c r="J80" s="10">
        <v>0</v>
      </c>
      <c r="K80" s="10">
        <f t="shared" si="8"/>
        <v>0</v>
      </c>
      <c r="L80" s="17">
        <v>0</v>
      </c>
      <c r="M80" s="18">
        <f t="shared" si="9"/>
        <v>0</v>
      </c>
      <c r="N80" s="19">
        <f t="shared" si="10"/>
        <v>0</v>
      </c>
      <c r="O80" s="20">
        <f t="shared" si="11"/>
        <v>0</v>
      </c>
      <c r="P80" s="40"/>
      <c r="Q80" s="40"/>
      <c r="R80" s="41"/>
    </row>
    <row r="81" spans="1:18" ht="18.75">
      <c r="A81" s="9">
        <v>43</v>
      </c>
      <c r="B81" s="8">
        <v>1853818182</v>
      </c>
      <c r="C81" s="48" t="s">
        <v>78</v>
      </c>
      <c r="D81" s="48" t="s">
        <v>14</v>
      </c>
      <c r="E81" s="10">
        <v>0</v>
      </c>
      <c r="F81" s="10">
        <v>0</v>
      </c>
      <c r="G81" s="39" t="s">
        <v>34</v>
      </c>
      <c r="H81" s="11">
        <f t="shared" si="6"/>
        <v>0</v>
      </c>
      <c r="I81" s="10">
        <f t="shared" si="7"/>
        <v>0</v>
      </c>
      <c r="J81" s="10">
        <v>0</v>
      </c>
      <c r="K81" s="10">
        <f t="shared" si="8"/>
        <v>0</v>
      </c>
      <c r="L81" s="17">
        <v>0</v>
      </c>
      <c r="M81" s="18">
        <f t="shared" si="9"/>
        <v>0</v>
      </c>
      <c r="N81" s="19">
        <f t="shared" si="10"/>
        <v>0</v>
      </c>
      <c r="O81" s="20">
        <f t="shared" si="11"/>
        <v>0</v>
      </c>
      <c r="P81" s="40"/>
      <c r="Q81" s="40"/>
    </row>
    <row r="82" spans="1:18" ht="18.75">
      <c r="A82" s="8">
        <v>197</v>
      </c>
      <c r="B82" s="8">
        <v>2012003193</v>
      </c>
      <c r="C82" s="47" t="s">
        <v>107</v>
      </c>
      <c r="D82" s="46"/>
      <c r="E82" s="10">
        <v>0</v>
      </c>
      <c r="F82" s="10">
        <v>0</v>
      </c>
      <c r="G82" s="39" t="s">
        <v>34</v>
      </c>
      <c r="H82" s="11">
        <f t="shared" si="6"/>
        <v>0</v>
      </c>
      <c r="I82" s="10">
        <f t="shared" si="7"/>
        <v>0</v>
      </c>
      <c r="J82" s="10">
        <v>0</v>
      </c>
      <c r="K82" s="10">
        <f t="shared" si="8"/>
        <v>0</v>
      </c>
      <c r="L82" s="17">
        <v>0</v>
      </c>
      <c r="M82" s="18">
        <f t="shared" si="9"/>
        <v>0</v>
      </c>
      <c r="N82" s="19">
        <f t="shared" si="10"/>
        <v>0</v>
      </c>
      <c r="O82" s="20">
        <f t="shared" si="11"/>
        <v>0</v>
      </c>
    </row>
    <row r="83" spans="1:18" ht="18.75">
      <c r="A83" s="8">
        <v>164</v>
      </c>
      <c r="B83" s="8">
        <v>1005320430</v>
      </c>
      <c r="C83" s="47" t="s">
        <v>65</v>
      </c>
      <c r="D83" s="45"/>
      <c r="E83" s="10">
        <v>0</v>
      </c>
      <c r="F83" s="10">
        <v>0</v>
      </c>
      <c r="G83" s="39" t="s">
        <v>34</v>
      </c>
      <c r="H83" s="11">
        <f t="shared" si="6"/>
        <v>0</v>
      </c>
      <c r="I83" s="10">
        <f t="shared" si="7"/>
        <v>0</v>
      </c>
      <c r="J83" s="10">
        <v>0</v>
      </c>
      <c r="K83" s="10">
        <f t="shared" si="8"/>
        <v>0</v>
      </c>
      <c r="L83" s="17">
        <v>0</v>
      </c>
      <c r="M83" s="18">
        <f t="shared" si="9"/>
        <v>0</v>
      </c>
      <c r="N83" s="19">
        <f t="shared" si="10"/>
        <v>0</v>
      </c>
      <c r="O83" s="20">
        <f t="shared" si="11"/>
        <v>0</v>
      </c>
    </row>
    <row r="84" spans="1:18" ht="18.75">
      <c r="A84" s="9">
        <v>122</v>
      </c>
      <c r="B84" s="8">
        <v>1940099728</v>
      </c>
      <c r="C84" s="48" t="s">
        <v>43</v>
      </c>
      <c r="D84" s="49"/>
      <c r="E84" s="10">
        <v>0</v>
      </c>
      <c r="F84" s="10">
        <v>0</v>
      </c>
      <c r="G84" s="39" t="s">
        <v>34</v>
      </c>
      <c r="H84" s="11">
        <f t="shared" si="6"/>
        <v>0</v>
      </c>
      <c r="I84" s="10">
        <f t="shared" si="7"/>
        <v>0</v>
      </c>
      <c r="J84" s="10">
        <v>0</v>
      </c>
      <c r="K84" s="10">
        <f t="shared" si="8"/>
        <v>0</v>
      </c>
      <c r="L84" s="17">
        <v>0</v>
      </c>
      <c r="M84" s="18">
        <f t="shared" si="9"/>
        <v>0</v>
      </c>
      <c r="N84" s="19">
        <f t="shared" si="10"/>
        <v>0</v>
      </c>
      <c r="O84" s="20">
        <f t="shared" si="11"/>
        <v>0</v>
      </c>
      <c r="P84" s="40"/>
      <c r="Q84" s="40"/>
      <c r="R84" s="41"/>
    </row>
    <row r="85" spans="1:18" ht="18.75">
      <c r="A85" s="8">
        <v>179</v>
      </c>
      <c r="B85" s="8">
        <v>1412638269</v>
      </c>
      <c r="C85" s="48" t="s">
        <v>42</v>
      </c>
      <c r="D85" s="46"/>
      <c r="E85" s="10">
        <v>0</v>
      </c>
      <c r="F85" s="10">
        <v>0</v>
      </c>
      <c r="G85" s="39" t="s">
        <v>34</v>
      </c>
      <c r="H85" s="11">
        <f t="shared" si="6"/>
        <v>0</v>
      </c>
      <c r="I85" s="10">
        <f t="shared" si="7"/>
        <v>0</v>
      </c>
      <c r="J85" s="10">
        <v>0</v>
      </c>
      <c r="K85" s="10">
        <f t="shared" si="8"/>
        <v>0</v>
      </c>
      <c r="L85" s="17">
        <v>0</v>
      </c>
      <c r="M85" s="18">
        <f t="shared" si="9"/>
        <v>0</v>
      </c>
      <c r="N85" s="19">
        <f t="shared" si="10"/>
        <v>0</v>
      </c>
      <c r="O85" s="20">
        <f t="shared" si="11"/>
        <v>0</v>
      </c>
    </row>
    <row r="86" spans="1:18" ht="18.75">
      <c r="A86" s="8">
        <v>156</v>
      </c>
      <c r="B86" s="8">
        <v>1754610165</v>
      </c>
      <c r="C86" s="47" t="s">
        <v>88</v>
      </c>
      <c r="D86" s="45"/>
      <c r="E86" s="10">
        <v>0</v>
      </c>
      <c r="F86" s="10">
        <v>0</v>
      </c>
      <c r="G86" s="39" t="s">
        <v>34</v>
      </c>
      <c r="H86" s="11">
        <f t="shared" si="6"/>
        <v>0</v>
      </c>
      <c r="I86" s="10">
        <f t="shared" si="7"/>
        <v>0</v>
      </c>
      <c r="J86" s="10">
        <v>0</v>
      </c>
      <c r="K86" s="10">
        <f t="shared" si="8"/>
        <v>0</v>
      </c>
      <c r="L86" s="17">
        <v>-3.125</v>
      </c>
      <c r="M86" s="18">
        <f t="shared" si="9"/>
        <v>-3.125</v>
      </c>
      <c r="N86" s="19">
        <f t="shared" si="10"/>
        <v>0</v>
      </c>
      <c r="O86" s="20">
        <f t="shared" si="11"/>
        <v>-3.125</v>
      </c>
    </row>
    <row r="87" spans="1:18" ht="18.75">
      <c r="A87" s="8">
        <v>172</v>
      </c>
      <c r="B87" s="8">
        <v>724061220</v>
      </c>
      <c r="C87" s="47" t="s">
        <v>90</v>
      </c>
      <c r="D87" s="47" t="s">
        <v>71</v>
      </c>
      <c r="E87" s="10">
        <v>0</v>
      </c>
      <c r="F87" s="10">
        <v>0</v>
      </c>
      <c r="G87" s="39" t="s">
        <v>34</v>
      </c>
      <c r="H87" s="11">
        <f t="shared" si="6"/>
        <v>0</v>
      </c>
      <c r="I87" s="10">
        <f t="shared" si="7"/>
        <v>0</v>
      </c>
      <c r="J87" s="10">
        <v>0</v>
      </c>
      <c r="K87" s="10">
        <f t="shared" si="8"/>
        <v>0</v>
      </c>
      <c r="L87" s="17">
        <v>-3.125</v>
      </c>
      <c r="M87" s="18">
        <f t="shared" si="9"/>
        <v>-3.125</v>
      </c>
      <c r="N87" s="19">
        <f t="shared" si="10"/>
        <v>0</v>
      </c>
      <c r="O87" s="20">
        <f t="shared" si="11"/>
        <v>-3.125</v>
      </c>
    </row>
    <row r="88" spans="1:18" ht="18.75">
      <c r="A88" s="8">
        <v>195</v>
      </c>
      <c r="B88" s="8">
        <v>1634663314</v>
      </c>
      <c r="C88" s="47" t="s">
        <v>105</v>
      </c>
      <c r="D88" s="46"/>
      <c r="E88" s="10">
        <v>0</v>
      </c>
      <c r="F88" s="10">
        <v>0</v>
      </c>
      <c r="G88" s="39" t="s">
        <v>34</v>
      </c>
      <c r="H88" s="11">
        <f t="shared" si="6"/>
        <v>0</v>
      </c>
      <c r="I88" s="10">
        <f t="shared" si="7"/>
        <v>0</v>
      </c>
      <c r="J88" s="10">
        <v>0</v>
      </c>
      <c r="K88" s="10">
        <f t="shared" si="8"/>
        <v>0</v>
      </c>
      <c r="L88" s="17">
        <v>-3.125</v>
      </c>
      <c r="M88" s="18">
        <f t="shared" si="9"/>
        <v>-3.125</v>
      </c>
      <c r="N88" s="19">
        <f t="shared" si="10"/>
        <v>0</v>
      </c>
      <c r="O88" s="20">
        <f t="shared" si="11"/>
        <v>-3.125</v>
      </c>
    </row>
    <row r="89" spans="1:18" ht="18.75">
      <c r="A89" s="8">
        <v>194</v>
      </c>
      <c r="B89" s="8">
        <v>648785109</v>
      </c>
      <c r="C89" s="47" t="s">
        <v>104</v>
      </c>
      <c r="D89" s="46"/>
      <c r="E89" s="10">
        <v>0</v>
      </c>
      <c r="F89" s="10">
        <v>0</v>
      </c>
      <c r="G89" s="39" t="s">
        <v>34</v>
      </c>
      <c r="H89" s="11">
        <f t="shared" si="6"/>
        <v>0</v>
      </c>
      <c r="I89" s="10">
        <f t="shared" si="7"/>
        <v>0</v>
      </c>
      <c r="J89" s="10">
        <v>0</v>
      </c>
      <c r="K89" s="10">
        <f t="shared" si="8"/>
        <v>0</v>
      </c>
      <c r="L89" s="17">
        <v>-3.125</v>
      </c>
      <c r="M89" s="18">
        <f t="shared" si="9"/>
        <v>-3.125</v>
      </c>
      <c r="N89" s="19">
        <f t="shared" si="10"/>
        <v>0</v>
      </c>
      <c r="O89" s="20">
        <f t="shared" si="11"/>
        <v>-3.125</v>
      </c>
    </row>
    <row r="90" spans="1:18" ht="18.75">
      <c r="A90" s="8">
        <v>180</v>
      </c>
      <c r="B90" s="8">
        <v>24633249</v>
      </c>
      <c r="C90" s="48" t="s">
        <v>72</v>
      </c>
      <c r="D90" s="46"/>
      <c r="E90" s="10">
        <v>0</v>
      </c>
      <c r="F90" s="10">
        <v>0</v>
      </c>
      <c r="G90" s="39" t="s">
        <v>34</v>
      </c>
      <c r="H90" s="11">
        <f t="shared" si="6"/>
        <v>0</v>
      </c>
      <c r="I90" s="10">
        <f t="shared" si="7"/>
        <v>0</v>
      </c>
      <c r="J90" s="10">
        <v>0</v>
      </c>
      <c r="K90" s="10">
        <f t="shared" si="8"/>
        <v>0</v>
      </c>
      <c r="L90" s="17">
        <v>-3.125</v>
      </c>
      <c r="M90" s="18">
        <f t="shared" si="9"/>
        <v>-3.125</v>
      </c>
      <c r="N90" s="19">
        <f t="shared" si="10"/>
        <v>0</v>
      </c>
      <c r="O90" s="20">
        <f t="shared" si="11"/>
        <v>-3.125</v>
      </c>
    </row>
    <row r="91" spans="1:18" ht="18.75">
      <c r="A91" s="8">
        <v>174</v>
      </c>
      <c r="B91" s="8">
        <v>775720958</v>
      </c>
      <c r="C91" s="47" t="s">
        <v>116</v>
      </c>
      <c r="D91" s="47" t="s">
        <v>69</v>
      </c>
      <c r="E91" s="10">
        <v>0</v>
      </c>
      <c r="F91" s="10">
        <v>0</v>
      </c>
      <c r="G91" s="39" t="s">
        <v>34</v>
      </c>
      <c r="H91" s="11">
        <f t="shared" si="6"/>
        <v>0</v>
      </c>
      <c r="I91" s="10">
        <f t="shared" si="7"/>
        <v>0</v>
      </c>
      <c r="J91" s="10">
        <v>0</v>
      </c>
      <c r="K91" s="10">
        <f t="shared" si="8"/>
        <v>0</v>
      </c>
      <c r="L91" s="17">
        <v>-1.25</v>
      </c>
      <c r="M91" s="18">
        <f t="shared" si="9"/>
        <v>-1.25</v>
      </c>
      <c r="N91" s="19">
        <f t="shared" si="10"/>
        <v>0</v>
      </c>
      <c r="O91" s="20">
        <f t="shared" si="11"/>
        <v>-1.25</v>
      </c>
    </row>
    <row r="92" spans="1:18" ht="18.75">
      <c r="A92" s="8">
        <v>116</v>
      </c>
      <c r="B92" s="8">
        <v>2122596917</v>
      </c>
      <c r="C92" s="47" t="s">
        <v>82</v>
      </c>
      <c r="D92" s="48" t="s">
        <v>41</v>
      </c>
      <c r="E92" s="10">
        <v>0</v>
      </c>
      <c r="F92" s="10">
        <v>0</v>
      </c>
      <c r="G92" s="39" t="s">
        <v>34</v>
      </c>
      <c r="H92" s="11">
        <f t="shared" si="6"/>
        <v>0</v>
      </c>
      <c r="I92" s="10">
        <f t="shared" si="7"/>
        <v>0</v>
      </c>
      <c r="J92" s="10">
        <v>0</v>
      </c>
      <c r="K92" s="10">
        <f t="shared" si="8"/>
        <v>0</v>
      </c>
      <c r="L92" s="17">
        <v>-1.25</v>
      </c>
      <c r="M92" s="18">
        <f t="shared" si="9"/>
        <v>-1.25</v>
      </c>
      <c r="N92" s="19">
        <f t="shared" si="10"/>
        <v>0</v>
      </c>
      <c r="O92" s="20">
        <f t="shared" si="11"/>
        <v>-1.25</v>
      </c>
      <c r="P92" s="40"/>
      <c r="Q92" s="40"/>
      <c r="R92" s="42"/>
    </row>
    <row r="93" spans="1:18" ht="18.75">
      <c r="A93" s="8">
        <v>202</v>
      </c>
      <c r="B93" s="8">
        <v>471245585</v>
      </c>
      <c r="C93" s="47" t="s">
        <v>111</v>
      </c>
      <c r="D93" s="46"/>
      <c r="E93" s="10">
        <v>0</v>
      </c>
      <c r="F93" s="10">
        <v>0</v>
      </c>
      <c r="G93" s="39" t="s">
        <v>34</v>
      </c>
      <c r="H93" s="11">
        <f t="shared" si="6"/>
        <v>0</v>
      </c>
      <c r="I93" s="10">
        <f t="shared" si="7"/>
        <v>0</v>
      </c>
      <c r="J93" s="10">
        <v>0</v>
      </c>
      <c r="K93" s="10">
        <f t="shared" si="8"/>
        <v>0</v>
      </c>
      <c r="L93" s="17">
        <v>-1.25</v>
      </c>
      <c r="M93" s="18">
        <f t="shared" si="9"/>
        <v>-1.25</v>
      </c>
      <c r="N93" s="19">
        <f t="shared" si="10"/>
        <v>0</v>
      </c>
      <c r="O93" s="20">
        <f t="shared" si="11"/>
        <v>-1.25</v>
      </c>
    </row>
    <row r="94" spans="1:18" ht="18.75">
      <c r="A94" s="8">
        <v>193</v>
      </c>
      <c r="B94" s="8">
        <v>2125731287</v>
      </c>
      <c r="C94" s="47" t="s">
        <v>103</v>
      </c>
      <c r="D94" s="46"/>
      <c r="E94" s="10">
        <v>0</v>
      </c>
      <c r="F94" s="10">
        <v>0</v>
      </c>
      <c r="G94" s="39" t="s">
        <v>34</v>
      </c>
      <c r="H94" s="11">
        <f t="shared" si="6"/>
        <v>0</v>
      </c>
      <c r="I94" s="10">
        <f t="shared" si="7"/>
        <v>0</v>
      </c>
      <c r="J94" s="10">
        <v>0</v>
      </c>
      <c r="K94" s="10">
        <f t="shared" si="8"/>
        <v>0</v>
      </c>
      <c r="L94" s="17">
        <v>-1.25</v>
      </c>
      <c r="M94" s="18">
        <f t="shared" si="9"/>
        <v>-1.25</v>
      </c>
      <c r="N94" s="19">
        <f t="shared" si="10"/>
        <v>0</v>
      </c>
      <c r="O94" s="20">
        <f t="shared" si="11"/>
        <v>-1.25</v>
      </c>
    </row>
    <row r="95" spans="1:18" ht="18.75">
      <c r="A95" s="9">
        <v>15</v>
      </c>
      <c r="B95" s="8">
        <v>388960345</v>
      </c>
      <c r="C95" s="48" t="s">
        <v>11</v>
      </c>
      <c r="D95" s="49"/>
      <c r="E95" s="10">
        <v>0</v>
      </c>
      <c r="F95" s="10">
        <v>0</v>
      </c>
      <c r="G95" s="39" t="s">
        <v>34</v>
      </c>
      <c r="H95" s="11">
        <f t="shared" si="6"/>
        <v>0</v>
      </c>
      <c r="I95" s="10">
        <f t="shared" si="7"/>
        <v>0</v>
      </c>
      <c r="J95" s="10">
        <v>0</v>
      </c>
      <c r="K95" s="10">
        <f t="shared" si="8"/>
        <v>0</v>
      </c>
      <c r="L95" s="17">
        <v>0.625</v>
      </c>
      <c r="M95" s="18">
        <f t="shared" si="9"/>
        <v>0.625</v>
      </c>
      <c r="N95" s="19">
        <f t="shared" si="10"/>
        <v>0</v>
      </c>
      <c r="O95" s="20">
        <f t="shared" si="11"/>
        <v>0.625</v>
      </c>
      <c r="P95" s="40"/>
      <c r="Q95" s="40"/>
      <c r="R95" s="40"/>
    </row>
    <row r="96" spans="1:18" ht="18.75">
      <c r="A96" s="8">
        <v>185</v>
      </c>
      <c r="B96" s="8">
        <v>30705222</v>
      </c>
      <c r="C96" s="47" t="s">
        <v>95</v>
      </c>
      <c r="D96" s="46"/>
      <c r="E96" s="10">
        <v>0</v>
      </c>
      <c r="F96" s="10">
        <v>0</v>
      </c>
      <c r="G96" s="39" t="s">
        <v>34</v>
      </c>
      <c r="H96" s="11">
        <f t="shared" si="6"/>
        <v>0</v>
      </c>
      <c r="I96" s="10">
        <f t="shared" si="7"/>
        <v>0</v>
      </c>
      <c r="J96" s="10">
        <v>0</v>
      </c>
      <c r="K96" s="10">
        <f t="shared" si="8"/>
        <v>0</v>
      </c>
      <c r="L96" s="17">
        <v>0.625</v>
      </c>
      <c r="M96" s="18">
        <f t="shared" si="9"/>
        <v>0.625</v>
      </c>
      <c r="N96" s="19">
        <f t="shared" si="10"/>
        <v>0</v>
      </c>
      <c r="O96" s="20">
        <f t="shared" si="11"/>
        <v>0.625</v>
      </c>
    </row>
    <row r="97" spans="1:18" ht="18.75">
      <c r="A97" s="8">
        <v>178</v>
      </c>
      <c r="B97" s="8">
        <v>1059185275</v>
      </c>
      <c r="C97" s="47" t="s">
        <v>91</v>
      </c>
      <c r="D97" s="46"/>
      <c r="E97" s="10">
        <v>0</v>
      </c>
      <c r="F97" s="10">
        <v>0</v>
      </c>
      <c r="G97" s="39" t="s">
        <v>34</v>
      </c>
      <c r="H97" s="11">
        <f t="shared" si="6"/>
        <v>0</v>
      </c>
      <c r="I97" s="10">
        <f t="shared" si="7"/>
        <v>0</v>
      </c>
      <c r="J97" s="10">
        <v>0</v>
      </c>
      <c r="K97" s="10">
        <f t="shared" si="8"/>
        <v>0</v>
      </c>
      <c r="L97" s="17">
        <v>0.625</v>
      </c>
      <c r="M97" s="18">
        <f t="shared" si="9"/>
        <v>0.625</v>
      </c>
      <c r="N97" s="19">
        <f t="shared" si="10"/>
        <v>0</v>
      </c>
      <c r="O97" s="20">
        <f t="shared" si="11"/>
        <v>0.625</v>
      </c>
    </row>
    <row r="98" spans="1:18" ht="18.75">
      <c r="A98" s="8">
        <v>189</v>
      </c>
      <c r="B98" s="8">
        <v>522812489</v>
      </c>
      <c r="C98" s="47" t="s">
        <v>99</v>
      </c>
      <c r="D98" s="46"/>
      <c r="E98" s="10">
        <v>0</v>
      </c>
      <c r="F98" s="10">
        <v>0</v>
      </c>
      <c r="G98" s="39" t="s">
        <v>34</v>
      </c>
      <c r="H98" s="11">
        <f t="shared" si="6"/>
        <v>0</v>
      </c>
      <c r="I98" s="10">
        <f t="shared" si="7"/>
        <v>0</v>
      </c>
      <c r="J98" s="10">
        <v>0</v>
      </c>
      <c r="K98" s="10">
        <f t="shared" si="8"/>
        <v>0</v>
      </c>
      <c r="L98" s="17">
        <v>0.625</v>
      </c>
      <c r="M98" s="18">
        <f t="shared" si="9"/>
        <v>0.625</v>
      </c>
      <c r="N98" s="19">
        <f t="shared" si="10"/>
        <v>0</v>
      </c>
      <c r="O98" s="20">
        <f t="shared" si="11"/>
        <v>0.625</v>
      </c>
      <c r="P98"/>
      <c r="Q98"/>
      <c r="R98"/>
    </row>
    <row r="99" spans="1:18" ht="18.75">
      <c r="A99" s="8">
        <v>207</v>
      </c>
      <c r="B99" s="8">
        <v>721273803</v>
      </c>
      <c r="C99" s="51" t="s">
        <v>124</v>
      </c>
      <c r="D99" s="46"/>
      <c r="E99" s="10">
        <v>0</v>
      </c>
      <c r="F99" s="10">
        <v>0</v>
      </c>
      <c r="G99" s="39" t="s">
        <v>34</v>
      </c>
      <c r="H99" s="11">
        <f t="shared" si="6"/>
        <v>0</v>
      </c>
      <c r="I99" s="10">
        <f t="shared" si="7"/>
        <v>0</v>
      </c>
      <c r="J99" s="10">
        <v>0</v>
      </c>
      <c r="K99" s="10">
        <f t="shared" si="8"/>
        <v>0</v>
      </c>
      <c r="L99" s="17">
        <v>0.625</v>
      </c>
      <c r="M99" s="18">
        <f t="shared" si="9"/>
        <v>0.625</v>
      </c>
      <c r="N99" s="19">
        <f t="shared" si="10"/>
        <v>0</v>
      </c>
      <c r="O99" s="20">
        <f t="shared" si="11"/>
        <v>0.625</v>
      </c>
      <c r="P99"/>
      <c r="Q99"/>
      <c r="R99"/>
    </row>
  </sheetData>
  <sortState ref="A5:O37">
    <sortCondition descending="1" ref="M5:M37"/>
  </sortState>
  <mergeCells count="4">
    <mergeCell ref="A1:O1"/>
    <mergeCell ref="A2:O2"/>
    <mergeCell ref="A3:D3"/>
    <mergeCell ref="G3:O3"/>
  </mergeCells>
  <phoneticPr fontId="13" type="noConversion"/>
  <conditionalFormatting sqref="J82 J84 J87 J89 J91:J92 J94 J96 J98:J99 J31 J5:J29 E5:F5 E6:E33 J39:J80 E37:F99 F6:F36 E35:E36 J35:J37">
    <cfRule type="cellIs" dxfId="28" priority="5" operator="lessThan">
      <formula>1</formula>
    </cfRule>
  </conditionalFormatting>
  <conditionalFormatting sqref="J81 J83 J85:J86 J88 J90 J93 J95 J97 J38">
    <cfRule type="cellIs" dxfId="27" priority="6" operator="lessThan">
      <formula>1</formula>
    </cfRule>
  </conditionalFormatting>
  <conditionalFormatting sqref="J32:J34">
    <cfRule type="cellIs" dxfId="26" priority="3" operator="lessThan">
      <formula>1</formula>
    </cfRule>
  </conditionalFormatting>
  <conditionalFormatting sqref="J30">
    <cfRule type="cellIs" dxfId="25" priority="4" operator="lessThan">
      <formula>1</formula>
    </cfRule>
  </conditionalFormatting>
  <conditionalFormatting sqref="E34">
    <cfRule type="cellIs" dxfId="24" priority="2" operator="lessThan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B3" workbookViewId="0">
      <selection activeCell="B9" sqref="A1:XFD1048576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活动中心",T16,"年",T17,"月",T18,"日","分包贡献明细","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X3/$T$14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75" t="s">
        <v>2</v>
      </c>
      <c r="B4" s="55" t="s">
        <v>28</v>
      </c>
      <c r="C4" s="75" t="s">
        <v>3</v>
      </c>
      <c r="D4" s="75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170</v>
      </c>
      <c r="R4" s="55" t="s">
        <v>1</v>
      </c>
      <c r="S4" s="29" t="s">
        <v>155</v>
      </c>
      <c r="T4" s="28">
        <f>X4/$T$14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9">
        <v>49</v>
      </c>
      <c r="B5" s="8">
        <v>311361673</v>
      </c>
      <c r="C5" s="48" t="s">
        <v>126</v>
      </c>
      <c r="D5" s="49" t="s">
        <v>125</v>
      </c>
      <c r="E5" s="10">
        <v>4</v>
      </c>
      <c r="F5" s="10">
        <v>60</v>
      </c>
      <c r="G5" s="39" t="s">
        <v>34</v>
      </c>
      <c r="H5" s="11">
        <f t="shared" ref="H5:H33" si="0">E5+IF(E5&gt;2,(E5-2)*0.5,0)</f>
        <v>5</v>
      </c>
      <c r="I5" s="10">
        <f t="shared" ref="I5:I33" si="1">F5/$T$15</f>
        <v>1.2</v>
      </c>
      <c r="J5" s="10">
        <v>0</v>
      </c>
      <c r="K5" s="10">
        <f t="shared" ref="K5:K33" si="2">SUM(I5+H5+J5)</f>
        <v>6.2</v>
      </c>
      <c r="L5" s="17">
        <v>22</v>
      </c>
      <c r="M5" s="18">
        <f t="shared" ref="M5:M33" si="3">K5+L5</f>
        <v>28.2</v>
      </c>
      <c r="N5" s="19">
        <f t="shared" ref="N5:N33" si="4">VLOOKUP(G5,$S$3:$T$11,2,FALSE)</f>
        <v>0</v>
      </c>
      <c r="O5" s="20">
        <f t="shared" ref="O5:O33" si="5">M5-N5</f>
        <v>28.2</v>
      </c>
      <c r="P5" s="40"/>
      <c r="Q5" s="40"/>
    </row>
    <row r="6" spans="1:24" ht="18.75">
      <c r="A6" s="8"/>
      <c r="B6" s="8">
        <v>1333428907</v>
      </c>
      <c r="C6" s="47" t="s">
        <v>172</v>
      </c>
      <c r="D6" s="47" t="s">
        <v>150</v>
      </c>
      <c r="E6" s="10">
        <v>4</v>
      </c>
      <c r="F6" s="10">
        <v>60</v>
      </c>
      <c r="G6" s="12" t="s">
        <v>156</v>
      </c>
      <c r="H6" s="11">
        <f t="shared" si="0"/>
        <v>5</v>
      </c>
      <c r="I6" s="10">
        <f t="shared" si="1"/>
        <v>1.2</v>
      </c>
      <c r="J6" s="10">
        <v>0</v>
      </c>
      <c r="K6" s="10">
        <f t="shared" si="2"/>
        <v>6.2</v>
      </c>
      <c r="L6" s="17">
        <v>4.9250000000000007</v>
      </c>
      <c r="M6" s="18">
        <f t="shared" si="3"/>
        <v>11.125</v>
      </c>
      <c r="N6" s="19">
        <f t="shared" si="4"/>
        <v>8.125</v>
      </c>
      <c r="O6" s="20">
        <f t="shared" si="5"/>
        <v>3</v>
      </c>
      <c r="P6" s="11"/>
      <c r="Q6" s="11"/>
      <c r="R6" s="31"/>
      <c r="S6" s="14" t="s">
        <v>33</v>
      </c>
      <c r="T6" s="28">
        <f>X6/$T$14</f>
        <v>7.5</v>
      </c>
      <c r="U6" s="30">
        <v>3</v>
      </c>
      <c r="V6" s="30">
        <v>5</v>
      </c>
      <c r="W6" s="30">
        <v>10</v>
      </c>
      <c r="X6" s="30">
        <v>1200</v>
      </c>
    </row>
    <row r="7" spans="1:24" ht="18.75">
      <c r="A7" s="8"/>
      <c r="B7" s="8">
        <v>1128309198</v>
      </c>
      <c r="C7" s="47" t="s">
        <v>163</v>
      </c>
      <c r="D7" s="47"/>
      <c r="E7" s="10">
        <v>4</v>
      </c>
      <c r="F7" s="10">
        <v>60</v>
      </c>
      <c r="G7" s="12" t="s">
        <v>156</v>
      </c>
      <c r="H7" s="11">
        <f t="shared" si="0"/>
        <v>5</v>
      </c>
      <c r="I7" s="10">
        <f t="shared" si="1"/>
        <v>1.2</v>
      </c>
      <c r="J7" s="10">
        <v>0</v>
      </c>
      <c r="K7" s="10">
        <f t="shared" si="2"/>
        <v>6.2</v>
      </c>
      <c r="L7" s="17">
        <v>4.8250000000000002</v>
      </c>
      <c r="M7" s="18">
        <f t="shared" si="3"/>
        <v>11.025</v>
      </c>
      <c r="N7" s="19">
        <f t="shared" si="4"/>
        <v>8.125</v>
      </c>
      <c r="O7" s="20">
        <f t="shared" si="5"/>
        <v>2.9000000000000004</v>
      </c>
      <c r="P7" s="4"/>
      <c r="Q7" s="4"/>
      <c r="R7" s="4"/>
      <c r="S7" s="14"/>
      <c r="T7" s="28"/>
      <c r="U7" s="30"/>
      <c r="V7" s="30"/>
      <c r="W7" s="30"/>
      <c r="X7" s="30"/>
    </row>
    <row r="8" spans="1:24" ht="18.75">
      <c r="A8" s="9"/>
      <c r="B8" s="8">
        <v>2092029101</v>
      </c>
      <c r="C8" s="47" t="s">
        <v>147</v>
      </c>
      <c r="D8" s="48"/>
      <c r="E8" s="10">
        <v>3</v>
      </c>
      <c r="F8" s="10">
        <v>60</v>
      </c>
      <c r="G8" s="12" t="s">
        <v>156</v>
      </c>
      <c r="H8" s="11">
        <f t="shared" si="0"/>
        <v>3.5</v>
      </c>
      <c r="I8" s="10">
        <f t="shared" si="1"/>
        <v>1.2</v>
      </c>
      <c r="J8" s="10">
        <v>0</v>
      </c>
      <c r="K8" s="10">
        <f t="shared" si="2"/>
        <v>4.7</v>
      </c>
      <c r="L8" s="17">
        <v>6.1250000000000009</v>
      </c>
      <c r="M8" s="18">
        <f t="shared" si="3"/>
        <v>10.825000000000001</v>
      </c>
      <c r="N8" s="19">
        <f t="shared" si="4"/>
        <v>8.125</v>
      </c>
      <c r="O8" s="20">
        <f t="shared" si="5"/>
        <v>2.7000000000000011</v>
      </c>
      <c r="P8" s="4"/>
      <c r="Q8" s="4"/>
      <c r="R8" s="4"/>
      <c r="S8" s="12" t="s">
        <v>156</v>
      </c>
      <c r="T8" s="28">
        <f>X8/$T$14</f>
        <v>8.125</v>
      </c>
      <c r="U8" s="30">
        <v>4</v>
      </c>
      <c r="V8" s="30">
        <v>5</v>
      </c>
      <c r="W8" s="30"/>
      <c r="X8" s="30">
        <v>1300</v>
      </c>
    </row>
    <row r="9" spans="1:24" ht="18.75">
      <c r="A9" s="9">
        <v>34</v>
      </c>
      <c r="B9" s="8">
        <v>2021794494</v>
      </c>
      <c r="C9" s="48" t="s">
        <v>136</v>
      </c>
      <c r="D9" s="49" t="s">
        <v>133</v>
      </c>
      <c r="E9" s="10">
        <v>4</v>
      </c>
      <c r="F9" s="10">
        <v>60</v>
      </c>
      <c r="G9" s="12" t="s">
        <v>156</v>
      </c>
      <c r="H9" s="11">
        <f t="shared" si="0"/>
        <v>5</v>
      </c>
      <c r="I9" s="10">
        <f t="shared" si="1"/>
        <v>1.2</v>
      </c>
      <c r="J9" s="10">
        <v>0</v>
      </c>
      <c r="K9" s="10">
        <f t="shared" si="2"/>
        <v>6.2</v>
      </c>
      <c r="L9" s="17">
        <v>4.4250000000000016</v>
      </c>
      <c r="M9" s="18">
        <f t="shared" si="3"/>
        <v>10.625000000000002</v>
      </c>
      <c r="N9" s="19">
        <f t="shared" si="4"/>
        <v>8.125</v>
      </c>
      <c r="O9" s="20">
        <f t="shared" si="5"/>
        <v>2.5000000000000018</v>
      </c>
      <c r="P9" s="11"/>
      <c r="Q9" s="11"/>
      <c r="R9" s="11"/>
      <c r="S9" s="13" t="s">
        <v>157</v>
      </c>
      <c r="T9" s="28">
        <f>X9/$T$14</f>
        <v>6.25</v>
      </c>
      <c r="U9" s="30">
        <v>3</v>
      </c>
      <c r="V9" s="30">
        <v>4</v>
      </c>
      <c r="W9" s="30"/>
      <c r="X9" s="30">
        <v>1000</v>
      </c>
    </row>
    <row r="10" spans="1:24" ht="18.75">
      <c r="A10" s="8">
        <v>176</v>
      </c>
      <c r="B10" s="8">
        <v>128748910</v>
      </c>
      <c r="C10" s="48" t="s">
        <v>165</v>
      </c>
      <c r="D10" s="47" t="s">
        <v>169</v>
      </c>
      <c r="E10" s="10">
        <v>4</v>
      </c>
      <c r="F10" s="10">
        <v>60</v>
      </c>
      <c r="G10" s="12" t="s">
        <v>156</v>
      </c>
      <c r="H10" s="11">
        <f t="shared" si="0"/>
        <v>5</v>
      </c>
      <c r="I10" s="10">
        <f t="shared" si="1"/>
        <v>1.2</v>
      </c>
      <c r="J10" s="10">
        <v>0</v>
      </c>
      <c r="K10" s="10">
        <f t="shared" si="2"/>
        <v>6.2</v>
      </c>
      <c r="L10" s="17">
        <v>4.2500000000000009</v>
      </c>
      <c r="M10" s="18">
        <f t="shared" si="3"/>
        <v>10.450000000000001</v>
      </c>
      <c r="N10" s="19">
        <f t="shared" si="4"/>
        <v>8.125</v>
      </c>
      <c r="O10" s="20">
        <f t="shared" si="5"/>
        <v>2.3250000000000011</v>
      </c>
      <c r="P10" s="4"/>
      <c r="Q10" s="4"/>
      <c r="R10" s="4"/>
      <c r="S10" s="14" t="s">
        <v>158</v>
      </c>
      <c r="T10" s="28">
        <f>X10/$T$14</f>
        <v>4.375</v>
      </c>
      <c r="U10" s="30">
        <v>2</v>
      </c>
      <c r="V10" s="30">
        <v>3</v>
      </c>
      <c r="W10" s="30"/>
      <c r="X10" s="30">
        <v>700</v>
      </c>
    </row>
    <row r="11" spans="1:24" ht="18.75">
      <c r="A11" s="8"/>
      <c r="B11" s="8">
        <v>353335311</v>
      </c>
      <c r="C11" s="48" t="s">
        <v>164</v>
      </c>
      <c r="D11" s="46"/>
      <c r="E11" s="10">
        <v>4</v>
      </c>
      <c r="F11" s="10">
        <v>60</v>
      </c>
      <c r="G11" s="13" t="s">
        <v>157</v>
      </c>
      <c r="H11" s="11">
        <f t="shared" si="0"/>
        <v>5</v>
      </c>
      <c r="I11" s="10">
        <f t="shared" si="1"/>
        <v>1.2</v>
      </c>
      <c r="J11" s="10">
        <v>0</v>
      </c>
      <c r="K11" s="10">
        <f t="shared" si="2"/>
        <v>6.2</v>
      </c>
      <c r="L11" s="17">
        <v>3.8250000000000002</v>
      </c>
      <c r="M11" s="18">
        <f t="shared" si="3"/>
        <v>10.025</v>
      </c>
      <c r="N11" s="19">
        <f t="shared" si="4"/>
        <v>6.25</v>
      </c>
      <c r="O11" s="20">
        <f t="shared" si="5"/>
        <v>3.7750000000000004</v>
      </c>
      <c r="P11" s="4"/>
      <c r="Q11" s="4"/>
      <c r="R11" s="4"/>
      <c r="S11" s="33" t="s">
        <v>34</v>
      </c>
      <c r="T11" s="2">
        <v>0</v>
      </c>
      <c r="U11" s="2"/>
      <c r="V11" s="2"/>
      <c r="W11" s="2"/>
      <c r="X11" s="2"/>
    </row>
    <row r="12" spans="1:24" ht="18.75">
      <c r="A12" s="8">
        <v>118</v>
      </c>
      <c r="B12" s="8">
        <v>2018112397</v>
      </c>
      <c r="C12" s="47" t="s">
        <v>152</v>
      </c>
      <c r="D12" s="48" t="s">
        <v>63</v>
      </c>
      <c r="E12" s="10">
        <v>4</v>
      </c>
      <c r="F12" s="10">
        <v>60</v>
      </c>
      <c r="G12" s="13" t="s">
        <v>157</v>
      </c>
      <c r="H12" s="11">
        <f t="shared" si="0"/>
        <v>5</v>
      </c>
      <c r="I12" s="10">
        <f t="shared" si="1"/>
        <v>1.2</v>
      </c>
      <c r="J12" s="10">
        <v>0</v>
      </c>
      <c r="K12" s="10">
        <f t="shared" si="2"/>
        <v>6.2</v>
      </c>
      <c r="L12" s="17">
        <v>2.6500000000000012</v>
      </c>
      <c r="M12" s="18">
        <f t="shared" si="3"/>
        <v>8.8500000000000014</v>
      </c>
      <c r="N12" s="19">
        <f t="shared" si="4"/>
        <v>6.25</v>
      </c>
      <c r="O12" s="20">
        <f t="shared" si="5"/>
        <v>2.6000000000000014</v>
      </c>
      <c r="P12" s="4"/>
      <c r="Q12" s="4"/>
      <c r="R12" s="4"/>
      <c r="S12" s="34"/>
      <c r="T12" s="1"/>
      <c r="U12" s="1"/>
      <c r="V12" s="1"/>
      <c r="W12" s="1"/>
      <c r="X12" s="1"/>
    </row>
    <row r="13" spans="1:24" ht="18.75">
      <c r="A13" s="9">
        <v>33</v>
      </c>
      <c r="B13" s="8">
        <v>1006436515</v>
      </c>
      <c r="C13" s="47" t="s">
        <v>77</v>
      </c>
      <c r="D13" s="48" t="s">
        <v>13</v>
      </c>
      <c r="E13" s="10">
        <v>2</v>
      </c>
      <c r="F13" s="10">
        <v>60</v>
      </c>
      <c r="G13" s="13" t="s">
        <v>157</v>
      </c>
      <c r="H13" s="11">
        <f t="shared" si="0"/>
        <v>2</v>
      </c>
      <c r="I13" s="10">
        <f t="shared" si="1"/>
        <v>1.2</v>
      </c>
      <c r="J13" s="10">
        <v>0</v>
      </c>
      <c r="K13" s="10">
        <f t="shared" si="2"/>
        <v>3.2</v>
      </c>
      <c r="L13" s="17">
        <v>5.0500000000000007</v>
      </c>
      <c r="M13" s="18">
        <f t="shared" si="3"/>
        <v>8.25</v>
      </c>
      <c r="N13" s="19">
        <f t="shared" si="4"/>
        <v>6.25</v>
      </c>
      <c r="O13" s="20">
        <f t="shared" si="5"/>
        <v>2</v>
      </c>
      <c r="P13" s="4"/>
      <c r="Q13" s="4"/>
      <c r="R13" s="4"/>
      <c r="S13" s="35" t="s">
        <v>36</v>
      </c>
      <c r="T13" s="1">
        <v>15000</v>
      </c>
      <c r="U13" s="1"/>
      <c r="V13" s="1"/>
      <c r="W13" s="1"/>
      <c r="X13" s="1"/>
    </row>
    <row r="14" spans="1:24" ht="18.75">
      <c r="A14" s="9"/>
      <c r="B14" s="8">
        <v>1238792963</v>
      </c>
      <c r="C14" s="48" t="s">
        <v>142</v>
      </c>
      <c r="D14" s="49"/>
      <c r="E14" s="10">
        <v>4</v>
      </c>
      <c r="F14" s="10">
        <v>60</v>
      </c>
      <c r="G14" s="13" t="s">
        <v>157</v>
      </c>
      <c r="H14" s="11">
        <f t="shared" si="0"/>
        <v>5</v>
      </c>
      <c r="I14" s="10">
        <f t="shared" si="1"/>
        <v>1.2</v>
      </c>
      <c r="J14" s="10">
        <v>0</v>
      </c>
      <c r="K14" s="10">
        <f t="shared" si="2"/>
        <v>6.2</v>
      </c>
      <c r="L14" s="17">
        <v>1.9750000000000005</v>
      </c>
      <c r="M14" s="18">
        <f t="shared" si="3"/>
        <v>8.1750000000000007</v>
      </c>
      <c r="N14" s="19">
        <f t="shared" si="4"/>
        <v>6.25</v>
      </c>
      <c r="O14" s="20">
        <f t="shared" si="5"/>
        <v>1.9250000000000007</v>
      </c>
      <c r="P14" s="11"/>
      <c r="Q14" s="11"/>
      <c r="R14" s="11"/>
      <c r="S14" s="36" t="s">
        <v>37</v>
      </c>
      <c r="T14" s="37">
        <v>160</v>
      </c>
      <c r="U14" s="1"/>
      <c r="V14" s="1"/>
      <c r="W14" s="1"/>
      <c r="X14" s="1"/>
    </row>
    <row r="15" spans="1:24" ht="18.75">
      <c r="A15" s="9">
        <v>10</v>
      </c>
      <c r="B15" s="8">
        <v>2108977014</v>
      </c>
      <c r="C15" s="47" t="s">
        <v>138</v>
      </c>
      <c r="D15" s="48" t="s">
        <v>10</v>
      </c>
      <c r="E15" s="10">
        <v>4</v>
      </c>
      <c r="F15" s="10">
        <v>60</v>
      </c>
      <c r="G15" s="13" t="s">
        <v>157</v>
      </c>
      <c r="H15" s="11">
        <f t="shared" si="0"/>
        <v>5</v>
      </c>
      <c r="I15" s="10">
        <f t="shared" si="1"/>
        <v>1.2</v>
      </c>
      <c r="J15" s="10">
        <v>0</v>
      </c>
      <c r="K15" s="10">
        <f t="shared" si="2"/>
        <v>6.2</v>
      </c>
      <c r="L15" s="17">
        <v>1.75</v>
      </c>
      <c r="M15" s="18">
        <f t="shared" si="3"/>
        <v>7.95</v>
      </c>
      <c r="N15" s="19">
        <f t="shared" si="4"/>
        <v>6.25</v>
      </c>
      <c r="O15" s="20">
        <f t="shared" si="5"/>
        <v>1.7000000000000002</v>
      </c>
      <c r="P15" s="11"/>
      <c r="Q15" s="11"/>
      <c r="R15" s="11"/>
      <c r="S15" s="38" t="s">
        <v>52</v>
      </c>
      <c r="T15" s="37">
        <v>50</v>
      </c>
      <c r="U15" s="1"/>
      <c r="V15" s="1"/>
      <c r="W15" s="1"/>
      <c r="X15" s="1"/>
    </row>
    <row r="16" spans="1:24" ht="18.75">
      <c r="A16" s="8">
        <v>173</v>
      </c>
      <c r="B16" s="8">
        <v>1106175185</v>
      </c>
      <c r="C16" s="47" t="s">
        <v>145</v>
      </c>
      <c r="D16" s="46"/>
      <c r="E16" s="10">
        <v>4</v>
      </c>
      <c r="F16" s="10">
        <v>60</v>
      </c>
      <c r="G16" s="14" t="s">
        <v>158</v>
      </c>
      <c r="H16" s="11">
        <f t="shared" si="0"/>
        <v>5</v>
      </c>
      <c r="I16" s="10">
        <f t="shared" si="1"/>
        <v>1.2</v>
      </c>
      <c r="J16" s="10">
        <v>0</v>
      </c>
      <c r="K16" s="10">
        <f t="shared" si="2"/>
        <v>6.2</v>
      </c>
      <c r="L16" s="17">
        <v>1.1250000000000009</v>
      </c>
      <c r="M16" s="18">
        <f t="shared" si="3"/>
        <v>7.3250000000000011</v>
      </c>
      <c r="N16" s="19">
        <f t="shared" si="4"/>
        <v>4.375</v>
      </c>
      <c r="O16" s="20">
        <f t="shared" si="5"/>
        <v>2.9500000000000011</v>
      </c>
      <c r="P16" s="11"/>
      <c r="Q16" s="11"/>
      <c r="R16" s="32"/>
      <c r="S16" s="1" t="s">
        <v>38</v>
      </c>
      <c r="T16" s="37">
        <v>2020</v>
      </c>
      <c r="U16" s="1"/>
      <c r="V16" s="1"/>
      <c r="W16" s="1"/>
      <c r="X16" s="1"/>
    </row>
    <row r="17" spans="1:24" ht="18.75">
      <c r="A17" s="8"/>
      <c r="B17" s="8">
        <v>862532360</v>
      </c>
      <c r="C17" s="47" t="s">
        <v>173</v>
      </c>
      <c r="D17" s="47"/>
      <c r="E17" s="10">
        <v>4</v>
      </c>
      <c r="F17" s="10">
        <v>53</v>
      </c>
      <c r="G17" s="14" t="s">
        <v>158</v>
      </c>
      <c r="H17" s="11">
        <f t="shared" si="0"/>
        <v>5</v>
      </c>
      <c r="I17" s="10">
        <f t="shared" si="1"/>
        <v>1.06</v>
      </c>
      <c r="J17" s="10">
        <v>0</v>
      </c>
      <c r="K17" s="10">
        <f t="shared" si="2"/>
        <v>6.0600000000000005</v>
      </c>
      <c r="L17" s="17">
        <v>1.0250000000000004</v>
      </c>
      <c r="M17" s="18">
        <f t="shared" si="3"/>
        <v>7.0850000000000009</v>
      </c>
      <c r="N17" s="19">
        <f t="shared" si="4"/>
        <v>4.375</v>
      </c>
      <c r="O17" s="20">
        <f t="shared" si="5"/>
        <v>2.7100000000000009</v>
      </c>
      <c r="P17" s="11"/>
      <c r="Q17" s="11"/>
      <c r="R17" s="31"/>
      <c r="S17" s="1" t="s">
        <v>39</v>
      </c>
      <c r="T17" s="37">
        <v>9</v>
      </c>
      <c r="U17" s="1"/>
      <c r="V17" s="1"/>
      <c r="W17" s="1"/>
      <c r="X17" s="1"/>
    </row>
    <row r="18" spans="1:24" ht="18.75">
      <c r="A18" s="8">
        <v>200</v>
      </c>
      <c r="B18" s="8">
        <v>967589156</v>
      </c>
      <c r="C18" s="47" t="s">
        <v>109</v>
      </c>
      <c r="D18" s="46"/>
      <c r="E18" s="10">
        <v>4</v>
      </c>
      <c r="F18" s="10">
        <v>55</v>
      </c>
      <c r="G18" s="14" t="s">
        <v>158</v>
      </c>
      <c r="H18" s="11">
        <f t="shared" si="0"/>
        <v>5</v>
      </c>
      <c r="I18" s="10">
        <f t="shared" si="1"/>
        <v>1.1000000000000001</v>
      </c>
      <c r="J18" s="10">
        <v>0</v>
      </c>
      <c r="K18" s="10">
        <f t="shared" si="2"/>
        <v>6.1</v>
      </c>
      <c r="L18" s="17">
        <v>0.87500000000000089</v>
      </c>
      <c r="M18" s="18">
        <f t="shared" si="3"/>
        <v>6.9750000000000005</v>
      </c>
      <c r="N18" s="19">
        <f t="shared" si="4"/>
        <v>4.375</v>
      </c>
      <c r="O18" s="20">
        <f t="shared" si="5"/>
        <v>2.6000000000000005</v>
      </c>
      <c r="P18" s="11"/>
      <c r="Q18" s="11"/>
      <c r="R18" s="11"/>
      <c r="S18" s="1" t="s">
        <v>40</v>
      </c>
      <c r="T18" s="37">
        <v>27</v>
      </c>
    </row>
    <row r="19" spans="1:24" ht="18.75">
      <c r="A19" s="8"/>
      <c r="B19" s="8">
        <v>1804880865</v>
      </c>
      <c r="C19" s="47" t="s">
        <v>151</v>
      </c>
      <c r="D19" s="48"/>
      <c r="E19" s="10">
        <v>4</v>
      </c>
      <c r="F19" s="10">
        <v>60</v>
      </c>
      <c r="G19" s="14" t="s">
        <v>158</v>
      </c>
      <c r="H19" s="11">
        <f t="shared" si="0"/>
        <v>5</v>
      </c>
      <c r="I19" s="10">
        <f t="shared" si="1"/>
        <v>1.2</v>
      </c>
      <c r="J19" s="10">
        <v>0</v>
      </c>
      <c r="K19" s="10">
        <f t="shared" si="2"/>
        <v>6.2</v>
      </c>
      <c r="L19" s="17">
        <v>0.75000000000000089</v>
      </c>
      <c r="M19" s="18">
        <f t="shared" si="3"/>
        <v>6.9500000000000011</v>
      </c>
      <c r="N19" s="19">
        <f t="shared" si="4"/>
        <v>4.375</v>
      </c>
      <c r="O19" s="20">
        <f t="shared" si="5"/>
        <v>2.5750000000000011</v>
      </c>
      <c r="P19" s="11"/>
      <c r="Q19" s="11"/>
      <c r="R19" s="11"/>
      <c r="U19" s="1"/>
      <c r="V19" s="1"/>
      <c r="W19" s="1"/>
      <c r="X19" s="1"/>
    </row>
    <row r="20" spans="1:24" ht="18.75">
      <c r="A20" s="9"/>
      <c r="B20" s="8">
        <v>331155825</v>
      </c>
      <c r="C20" s="48" t="s">
        <v>131</v>
      </c>
      <c r="D20" s="49" t="s">
        <v>132</v>
      </c>
      <c r="E20" s="10">
        <v>3</v>
      </c>
      <c r="F20" s="10">
        <v>60</v>
      </c>
      <c r="G20" s="14" t="s">
        <v>158</v>
      </c>
      <c r="H20" s="11">
        <f t="shared" si="0"/>
        <v>3.5</v>
      </c>
      <c r="I20" s="10">
        <f t="shared" si="1"/>
        <v>1.2</v>
      </c>
      <c r="J20" s="10">
        <v>0</v>
      </c>
      <c r="K20" s="10">
        <f t="shared" si="2"/>
        <v>4.7</v>
      </c>
      <c r="L20" s="17">
        <v>1.75</v>
      </c>
      <c r="M20" s="18">
        <f t="shared" si="3"/>
        <v>6.45</v>
      </c>
      <c r="N20" s="19">
        <f t="shared" si="4"/>
        <v>4.375</v>
      </c>
      <c r="O20" s="20">
        <f t="shared" si="5"/>
        <v>2.0750000000000002</v>
      </c>
      <c r="P20" s="11"/>
      <c r="Q20" s="11"/>
      <c r="R20" s="11"/>
    </row>
    <row r="21" spans="1:24" ht="18.75">
      <c r="A21" s="9">
        <v>92</v>
      </c>
      <c r="B21" s="8">
        <v>1367873925</v>
      </c>
      <c r="C21" s="47" t="s">
        <v>130</v>
      </c>
      <c r="D21" s="47" t="s">
        <v>143</v>
      </c>
      <c r="E21" s="10">
        <v>4</v>
      </c>
      <c r="F21" s="10">
        <v>60</v>
      </c>
      <c r="G21" s="39" t="s">
        <v>34</v>
      </c>
      <c r="H21" s="11">
        <f t="shared" si="0"/>
        <v>5</v>
      </c>
      <c r="I21" s="10">
        <f t="shared" si="1"/>
        <v>1.2</v>
      </c>
      <c r="J21" s="10">
        <v>0</v>
      </c>
      <c r="K21" s="10">
        <f t="shared" si="2"/>
        <v>6.2</v>
      </c>
      <c r="L21" s="17">
        <v>0.25</v>
      </c>
      <c r="M21" s="18">
        <f t="shared" si="3"/>
        <v>6.45</v>
      </c>
      <c r="N21" s="19">
        <f t="shared" si="4"/>
        <v>0</v>
      </c>
      <c r="O21" s="20">
        <f t="shared" si="5"/>
        <v>6.45</v>
      </c>
      <c r="P21" s="4"/>
      <c r="Q21" s="4"/>
      <c r="R21" s="4"/>
    </row>
    <row r="22" spans="1:24" ht="18.75">
      <c r="A22" s="8"/>
      <c r="B22" s="8">
        <v>1176673438</v>
      </c>
      <c r="C22" s="48" t="s">
        <v>167</v>
      </c>
      <c r="D22" s="46"/>
      <c r="E22" s="10">
        <v>3</v>
      </c>
      <c r="F22" s="10">
        <v>60</v>
      </c>
      <c r="G22" s="39" t="s">
        <v>34</v>
      </c>
      <c r="H22" s="11">
        <f t="shared" si="0"/>
        <v>3.5</v>
      </c>
      <c r="I22" s="10">
        <f t="shared" si="1"/>
        <v>1.2</v>
      </c>
      <c r="J22" s="10">
        <v>0</v>
      </c>
      <c r="K22" s="10">
        <f t="shared" si="2"/>
        <v>4.7</v>
      </c>
      <c r="L22" s="17">
        <v>1.2750000000000004</v>
      </c>
      <c r="M22" s="18">
        <f t="shared" si="3"/>
        <v>5.9750000000000005</v>
      </c>
      <c r="N22" s="19">
        <f t="shared" si="4"/>
        <v>0</v>
      </c>
      <c r="O22" s="20">
        <f t="shared" si="5"/>
        <v>5.9750000000000005</v>
      </c>
      <c r="P22" s="4"/>
      <c r="Q22" s="4"/>
      <c r="R22" s="4"/>
    </row>
    <row r="23" spans="1:24" ht="18.75">
      <c r="A23" s="8"/>
      <c r="B23" s="8">
        <v>2134752758</v>
      </c>
      <c r="C23" s="47" t="s">
        <v>139</v>
      </c>
      <c r="D23" s="46"/>
      <c r="E23" s="10">
        <v>2</v>
      </c>
      <c r="F23" s="10">
        <v>60</v>
      </c>
      <c r="G23" s="39" t="s">
        <v>34</v>
      </c>
      <c r="H23" s="11">
        <f t="shared" si="0"/>
        <v>2</v>
      </c>
      <c r="I23" s="10">
        <f t="shared" si="1"/>
        <v>1.2</v>
      </c>
      <c r="J23" s="10">
        <v>0</v>
      </c>
      <c r="K23" s="10">
        <f t="shared" si="2"/>
        <v>3.2</v>
      </c>
      <c r="L23" s="17">
        <v>2.75</v>
      </c>
      <c r="M23" s="18">
        <f t="shared" si="3"/>
        <v>5.95</v>
      </c>
      <c r="N23" s="19">
        <f t="shared" si="4"/>
        <v>0</v>
      </c>
      <c r="O23" s="20">
        <f t="shared" si="5"/>
        <v>5.95</v>
      </c>
      <c r="P23" s="11"/>
      <c r="Q23" s="11"/>
      <c r="R23" s="32"/>
    </row>
    <row r="24" spans="1:24" ht="18.75">
      <c r="A24" s="8"/>
      <c r="B24" s="8">
        <v>863510644</v>
      </c>
      <c r="C24" s="47" t="s">
        <v>141</v>
      </c>
      <c r="D24" s="47"/>
      <c r="E24" s="10">
        <v>0</v>
      </c>
      <c r="F24" s="10">
        <v>20</v>
      </c>
      <c r="G24" s="39" t="s">
        <v>34</v>
      </c>
      <c r="H24" s="11">
        <f t="shared" si="0"/>
        <v>0</v>
      </c>
      <c r="I24" s="10">
        <f t="shared" si="1"/>
        <v>0.4</v>
      </c>
      <c r="J24" s="10">
        <v>0</v>
      </c>
      <c r="K24" s="10">
        <f t="shared" si="2"/>
        <v>0.4</v>
      </c>
      <c r="L24" s="17">
        <v>5.1999999999999993</v>
      </c>
      <c r="M24" s="18">
        <f t="shared" si="3"/>
        <v>5.6</v>
      </c>
      <c r="N24" s="19">
        <f t="shared" si="4"/>
        <v>0</v>
      </c>
      <c r="O24" s="20">
        <f t="shared" si="5"/>
        <v>5.6</v>
      </c>
      <c r="P24" s="4"/>
      <c r="Q24" s="4"/>
      <c r="R24" s="4"/>
    </row>
    <row r="25" spans="1:24" ht="18.75">
      <c r="A25" s="8"/>
      <c r="B25" s="8">
        <v>610681537</v>
      </c>
      <c r="C25" s="47" t="s">
        <v>153</v>
      </c>
      <c r="D25" s="46"/>
      <c r="E25" s="10">
        <v>0</v>
      </c>
      <c r="F25" s="10">
        <v>60</v>
      </c>
      <c r="G25" s="39" t="s">
        <v>34</v>
      </c>
      <c r="H25" s="11">
        <f t="shared" si="0"/>
        <v>0</v>
      </c>
      <c r="I25" s="10">
        <f t="shared" si="1"/>
        <v>1.2</v>
      </c>
      <c r="J25" s="10">
        <v>0</v>
      </c>
      <c r="K25" s="10">
        <f t="shared" si="2"/>
        <v>1.2</v>
      </c>
      <c r="L25" s="17">
        <v>4.3599999999999994</v>
      </c>
      <c r="M25" s="18">
        <f t="shared" si="3"/>
        <v>5.56</v>
      </c>
      <c r="N25" s="19">
        <f t="shared" si="4"/>
        <v>0</v>
      </c>
      <c r="O25" s="20">
        <f t="shared" si="5"/>
        <v>5.56</v>
      </c>
      <c r="P25" s="4"/>
      <c r="Q25" s="4"/>
      <c r="R25" s="4"/>
    </row>
    <row r="26" spans="1:24" ht="18.75">
      <c r="A26" s="8">
        <v>181</v>
      </c>
      <c r="B26" s="8">
        <v>1467442697</v>
      </c>
      <c r="C26" s="47" t="s">
        <v>175</v>
      </c>
      <c r="D26" s="47" t="s">
        <v>73</v>
      </c>
      <c r="E26" s="10">
        <v>0</v>
      </c>
      <c r="F26" s="10">
        <v>60</v>
      </c>
      <c r="G26" s="39" t="s">
        <v>34</v>
      </c>
      <c r="H26" s="11">
        <f t="shared" si="0"/>
        <v>0</v>
      </c>
      <c r="I26" s="10">
        <f t="shared" si="1"/>
        <v>1.2</v>
      </c>
      <c r="J26" s="10">
        <v>0</v>
      </c>
      <c r="K26" s="10">
        <f t="shared" si="2"/>
        <v>1.2</v>
      </c>
      <c r="L26" s="17">
        <v>4.24</v>
      </c>
      <c r="M26" s="18">
        <f t="shared" si="3"/>
        <v>5.44</v>
      </c>
      <c r="N26" s="19">
        <f t="shared" si="4"/>
        <v>0</v>
      </c>
      <c r="O26" s="20">
        <f t="shared" si="5"/>
        <v>5.44</v>
      </c>
      <c r="P26" s="11"/>
      <c r="Q26" s="11"/>
      <c r="R26" s="32"/>
    </row>
    <row r="27" spans="1:24" ht="18.75">
      <c r="A27" s="8"/>
      <c r="B27" s="8">
        <v>334151795</v>
      </c>
      <c r="C27" s="47" t="s">
        <v>146</v>
      </c>
      <c r="D27" s="46"/>
      <c r="E27" s="10">
        <v>2</v>
      </c>
      <c r="F27" s="10">
        <v>60</v>
      </c>
      <c r="G27" s="39" t="s">
        <v>34</v>
      </c>
      <c r="H27" s="11">
        <f t="shared" si="0"/>
        <v>2</v>
      </c>
      <c r="I27" s="10">
        <f t="shared" si="1"/>
        <v>1.2</v>
      </c>
      <c r="J27" s="10">
        <v>0</v>
      </c>
      <c r="K27" s="10">
        <f t="shared" si="2"/>
        <v>3.2</v>
      </c>
      <c r="L27" s="17">
        <v>1.4250000000000007</v>
      </c>
      <c r="M27" s="18">
        <f t="shared" si="3"/>
        <v>4.6250000000000009</v>
      </c>
      <c r="N27" s="19">
        <f t="shared" si="4"/>
        <v>0</v>
      </c>
      <c r="O27" s="20">
        <f t="shared" si="5"/>
        <v>4.6250000000000009</v>
      </c>
      <c r="P27" s="4"/>
      <c r="Q27" s="4"/>
      <c r="R27" s="4"/>
    </row>
    <row r="28" spans="1:24" ht="18.75">
      <c r="A28" s="8"/>
      <c r="B28" s="8">
        <v>700083217</v>
      </c>
      <c r="C28" s="47" t="s">
        <v>137</v>
      </c>
      <c r="D28" s="46"/>
      <c r="E28" s="10">
        <v>2</v>
      </c>
      <c r="F28" s="10">
        <v>60</v>
      </c>
      <c r="G28" s="39" t="s">
        <v>34</v>
      </c>
      <c r="H28" s="11">
        <f t="shared" si="0"/>
        <v>2</v>
      </c>
      <c r="I28" s="10">
        <f t="shared" si="1"/>
        <v>1.2</v>
      </c>
      <c r="J28" s="10">
        <v>0</v>
      </c>
      <c r="K28" s="10">
        <f t="shared" si="2"/>
        <v>3.2</v>
      </c>
      <c r="L28" s="17">
        <v>1.1500000000000004</v>
      </c>
      <c r="M28" s="18">
        <f t="shared" si="3"/>
        <v>4.3500000000000005</v>
      </c>
      <c r="N28" s="19">
        <f t="shared" si="4"/>
        <v>0</v>
      </c>
      <c r="O28" s="20">
        <f t="shared" si="5"/>
        <v>4.3500000000000005</v>
      </c>
      <c r="P28" s="11"/>
      <c r="Q28" s="11"/>
      <c r="R28" s="11"/>
    </row>
    <row r="29" spans="1:24" ht="18.75">
      <c r="A29" s="8">
        <v>212</v>
      </c>
      <c r="B29" s="8">
        <v>2133045883</v>
      </c>
      <c r="C29" s="47" t="s">
        <v>122</v>
      </c>
      <c r="D29" s="46"/>
      <c r="E29" s="10">
        <v>2</v>
      </c>
      <c r="F29" s="10">
        <v>50</v>
      </c>
      <c r="G29" s="39" t="s">
        <v>34</v>
      </c>
      <c r="H29" s="11">
        <f t="shared" si="0"/>
        <v>2</v>
      </c>
      <c r="I29" s="10">
        <f t="shared" si="1"/>
        <v>1</v>
      </c>
      <c r="J29" s="10">
        <v>0</v>
      </c>
      <c r="K29" s="10">
        <f t="shared" si="2"/>
        <v>3</v>
      </c>
      <c r="L29" s="17">
        <v>1.0500000000000007</v>
      </c>
      <c r="M29" s="18">
        <f t="shared" si="3"/>
        <v>4.0500000000000007</v>
      </c>
      <c r="N29" s="19">
        <f t="shared" si="4"/>
        <v>0</v>
      </c>
      <c r="O29" s="20">
        <f t="shared" si="5"/>
        <v>4.0500000000000007</v>
      </c>
      <c r="P29" s="4"/>
      <c r="Q29" s="4"/>
      <c r="R29" s="4"/>
    </row>
    <row r="30" spans="1:24" ht="18.75">
      <c r="A30" s="9"/>
      <c r="B30" s="8">
        <v>910452107</v>
      </c>
      <c r="C30" s="48" t="s">
        <v>129</v>
      </c>
      <c r="D30" s="49"/>
      <c r="E30" s="10">
        <v>0</v>
      </c>
      <c r="F30" s="10">
        <v>60</v>
      </c>
      <c r="G30" s="39" t="s">
        <v>34</v>
      </c>
      <c r="H30" s="11">
        <f t="shared" si="0"/>
        <v>0</v>
      </c>
      <c r="I30" s="10">
        <f t="shared" si="1"/>
        <v>1.2</v>
      </c>
      <c r="J30" s="10">
        <v>0</v>
      </c>
      <c r="K30" s="10">
        <f t="shared" si="2"/>
        <v>1.2</v>
      </c>
      <c r="L30" s="17">
        <v>2.75</v>
      </c>
      <c r="M30" s="18">
        <f t="shared" si="3"/>
        <v>3.95</v>
      </c>
      <c r="N30" s="19">
        <f t="shared" si="4"/>
        <v>0</v>
      </c>
      <c r="O30" s="20">
        <f t="shared" si="5"/>
        <v>3.95</v>
      </c>
      <c r="P30" s="11"/>
      <c r="Q30" s="11"/>
      <c r="R30" s="11"/>
    </row>
    <row r="31" spans="1:24" ht="18.75">
      <c r="A31" s="9"/>
      <c r="B31" s="8">
        <v>1078240937</v>
      </c>
      <c r="C31" s="48" t="s">
        <v>148</v>
      </c>
      <c r="D31" s="49" t="s">
        <v>149</v>
      </c>
      <c r="E31" s="10">
        <v>2</v>
      </c>
      <c r="F31" s="10">
        <v>0</v>
      </c>
      <c r="G31" s="39" t="s">
        <v>34</v>
      </c>
      <c r="H31" s="11">
        <f t="shared" si="0"/>
        <v>2</v>
      </c>
      <c r="I31" s="10">
        <f t="shared" si="1"/>
        <v>0</v>
      </c>
      <c r="J31" s="10">
        <v>0</v>
      </c>
      <c r="K31" s="10">
        <f t="shared" si="2"/>
        <v>2</v>
      </c>
      <c r="L31" s="17">
        <v>1.8499999999999996</v>
      </c>
      <c r="M31" s="18">
        <f t="shared" si="3"/>
        <v>3.8499999999999996</v>
      </c>
      <c r="N31" s="19">
        <f t="shared" si="4"/>
        <v>0</v>
      </c>
      <c r="O31" s="20">
        <f t="shared" si="5"/>
        <v>3.8499999999999996</v>
      </c>
      <c r="P31" s="11"/>
      <c r="Q31" s="11"/>
      <c r="R31" s="11"/>
    </row>
    <row r="32" spans="1:24" ht="18.75">
      <c r="A32" s="8"/>
      <c r="B32" s="8">
        <v>597728301</v>
      </c>
      <c r="C32" s="47" t="s">
        <v>168</v>
      </c>
      <c r="D32" s="47"/>
      <c r="E32" s="10">
        <v>1</v>
      </c>
      <c r="F32" s="10">
        <v>60</v>
      </c>
      <c r="G32" s="39" t="s">
        <v>34</v>
      </c>
      <c r="H32" s="11">
        <f t="shared" si="0"/>
        <v>1</v>
      </c>
      <c r="I32" s="10">
        <f t="shared" si="1"/>
        <v>1.2</v>
      </c>
      <c r="J32" s="10">
        <v>0</v>
      </c>
      <c r="K32" s="10">
        <f t="shared" si="2"/>
        <v>2.2000000000000002</v>
      </c>
      <c r="L32" s="17">
        <v>0.8</v>
      </c>
      <c r="M32" s="18">
        <f t="shared" si="3"/>
        <v>3</v>
      </c>
      <c r="N32" s="19">
        <f t="shared" si="4"/>
        <v>0</v>
      </c>
      <c r="O32" s="20">
        <f t="shared" si="5"/>
        <v>3</v>
      </c>
      <c r="P32" s="11"/>
      <c r="Q32" s="11"/>
      <c r="R32" s="31"/>
    </row>
    <row r="33" spans="1:18" ht="18.75">
      <c r="A33" s="8"/>
      <c r="B33" s="8">
        <v>1963965829</v>
      </c>
      <c r="C33" s="47" t="s">
        <v>174</v>
      </c>
      <c r="D33" s="45"/>
      <c r="E33" s="10">
        <v>1</v>
      </c>
      <c r="F33" s="10">
        <v>48</v>
      </c>
      <c r="G33" s="39" t="s">
        <v>34</v>
      </c>
      <c r="H33" s="11">
        <f t="shared" si="0"/>
        <v>1</v>
      </c>
      <c r="I33" s="10">
        <f t="shared" si="1"/>
        <v>0.96</v>
      </c>
      <c r="J33" s="10">
        <v>0</v>
      </c>
      <c r="K33" s="10">
        <f t="shared" si="2"/>
        <v>1.96</v>
      </c>
      <c r="L33" s="17">
        <v>0</v>
      </c>
      <c r="M33" s="18">
        <f t="shared" si="3"/>
        <v>1.96</v>
      </c>
      <c r="N33" s="19">
        <f t="shared" si="4"/>
        <v>0</v>
      </c>
      <c r="O33" s="20">
        <f t="shared" si="5"/>
        <v>1.96</v>
      </c>
      <c r="P33" s="11"/>
      <c r="Q33" s="11"/>
      <c r="R33" s="11"/>
    </row>
    <row r="34" spans="1:18" ht="18.75">
      <c r="A34" s="62"/>
      <c r="B34" s="62"/>
      <c r="C34" s="63"/>
      <c r="D34" s="64"/>
      <c r="E34" s="65"/>
      <c r="F34" s="65"/>
      <c r="G34" s="66"/>
      <c r="H34" s="67"/>
      <c r="I34" s="65"/>
      <c r="J34" s="65"/>
      <c r="K34" s="65"/>
      <c r="L34" s="68"/>
      <c r="M34" s="69"/>
      <c r="N34" s="70"/>
      <c r="O34" s="71"/>
      <c r="P34" s="72"/>
      <c r="Q34" s="72"/>
      <c r="R34" s="72"/>
    </row>
    <row r="35" spans="1:18" ht="18.75">
      <c r="A35" s="9">
        <v>1</v>
      </c>
      <c r="B35" s="8">
        <v>1782151946</v>
      </c>
      <c r="C35" s="47" t="s">
        <v>135</v>
      </c>
      <c r="D35" s="48" t="s">
        <v>8</v>
      </c>
      <c r="E35" s="10">
        <v>0</v>
      </c>
      <c r="F35" s="10">
        <v>0</v>
      </c>
      <c r="G35" s="39" t="s">
        <v>34</v>
      </c>
      <c r="H35" s="11">
        <f t="shared" ref="H35:H42" si="6">E35+IF(E35&gt;2,(E35-2)*0.5,0)</f>
        <v>0</v>
      </c>
      <c r="I35" s="10">
        <f t="shared" ref="I35:I42" si="7">F35/$T$15</f>
        <v>0</v>
      </c>
      <c r="J35" s="10">
        <v>0</v>
      </c>
      <c r="K35" s="10">
        <f t="shared" ref="K35:K42" si="8">SUM(I35+H35+J35)</f>
        <v>0</v>
      </c>
      <c r="L35" s="17">
        <v>2.1000000000000005</v>
      </c>
      <c r="M35" s="18">
        <f t="shared" ref="M35:M42" si="9">K35+L35</f>
        <v>2.1000000000000005</v>
      </c>
      <c r="N35" s="19">
        <f t="shared" ref="N35:N42" si="10">VLOOKUP(G35,$S$3:$T$11,2,FALSE)</f>
        <v>0</v>
      </c>
      <c r="O35" s="20">
        <f t="shared" ref="O35:O42" si="11">M35-N35</f>
        <v>2.1000000000000005</v>
      </c>
      <c r="P35" s="11"/>
      <c r="Q35" s="11"/>
      <c r="R35" s="11"/>
    </row>
    <row r="36" spans="1:18" ht="18.75">
      <c r="A36" s="8"/>
      <c r="B36" s="8">
        <v>1042293940</v>
      </c>
      <c r="C36" s="48" t="s">
        <v>159</v>
      </c>
      <c r="D36" s="46"/>
      <c r="E36" s="10">
        <v>0</v>
      </c>
      <c r="F36" s="10">
        <v>0</v>
      </c>
      <c r="G36" s="39" t="s">
        <v>34</v>
      </c>
      <c r="H36" s="11">
        <f t="shared" si="6"/>
        <v>0</v>
      </c>
      <c r="I36" s="10">
        <f t="shared" si="7"/>
        <v>0</v>
      </c>
      <c r="J36" s="10">
        <v>0</v>
      </c>
      <c r="K36" s="10">
        <f t="shared" si="8"/>
        <v>0</v>
      </c>
      <c r="L36" s="17">
        <v>1.7750000000000001</v>
      </c>
      <c r="M36" s="18">
        <f t="shared" si="9"/>
        <v>1.7750000000000001</v>
      </c>
      <c r="N36" s="19">
        <f t="shared" si="10"/>
        <v>0</v>
      </c>
      <c r="O36" s="20">
        <f t="shared" si="11"/>
        <v>1.7750000000000001</v>
      </c>
      <c r="P36" s="11"/>
      <c r="Q36" s="11"/>
      <c r="R36" s="31"/>
    </row>
    <row r="37" spans="1:18" ht="18.75">
      <c r="A37" s="9">
        <v>53</v>
      </c>
      <c r="B37" s="8">
        <v>500959924</v>
      </c>
      <c r="C37" s="47" t="s">
        <v>134</v>
      </c>
      <c r="D37" s="49" t="s">
        <v>16</v>
      </c>
      <c r="E37" s="10">
        <v>0</v>
      </c>
      <c r="F37" s="10">
        <v>0</v>
      </c>
      <c r="G37" s="39" t="s">
        <v>34</v>
      </c>
      <c r="H37" s="11">
        <f t="shared" si="6"/>
        <v>0</v>
      </c>
      <c r="I37" s="10">
        <f t="shared" si="7"/>
        <v>0</v>
      </c>
      <c r="J37" s="10">
        <v>0</v>
      </c>
      <c r="K37" s="10">
        <f t="shared" si="8"/>
        <v>0</v>
      </c>
      <c r="L37" s="17">
        <v>0.9</v>
      </c>
      <c r="M37" s="18">
        <f t="shared" si="9"/>
        <v>0.9</v>
      </c>
      <c r="N37" s="19">
        <f t="shared" si="10"/>
        <v>0</v>
      </c>
      <c r="O37" s="20">
        <f t="shared" si="11"/>
        <v>0.9</v>
      </c>
      <c r="P37" s="11"/>
      <c r="Q37" s="11"/>
      <c r="R37" s="31"/>
    </row>
    <row r="38" spans="1:18" ht="18.75">
      <c r="A38" s="8">
        <v>169</v>
      </c>
      <c r="B38" s="8">
        <v>1280938546</v>
      </c>
      <c r="C38" s="47" t="s">
        <v>89</v>
      </c>
      <c r="D38" s="45"/>
      <c r="E38" s="10">
        <v>0</v>
      </c>
      <c r="F38" s="10">
        <v>14</v>
      </c>
      <c r="G38" s="39" t="s">
        <v>34</v>
      </c>
      <c r="H38" s="11">
        <f t="shared" si="6"/>
        <v>0</v>
      </c>
      <c r="I38" s="10">
        <f t="shared" si="7"/>
        <v>0.28000000000000003</v>
      </c>
      <c r="J38" s="10">
        <v>0</v>
      </c>
      <c r="K38" s="10">
        <f t="shared" si="8"/>
        <v>0.28000000000000003</v>
      </c>
      <c r="L38" s="17">
        <v>0.12</v>
      </c>
      <c r="M38" s="18">
        <f t="shared" si="9"/>
        <v>0.4</v>
      </c>
      <c r="N38" s="19">
        <f t="shared" si="10"/>
        <v>0</v>
      </c>
      <c r="O38" s="20">
        <f t="shared" si="11"/>
        <v>0.4</v>
      </c>
      <c r="P38" s="4"/>
      <c r="Q38" s="4"/>
      <c r="R38" s="4"/>
    </row>
    <row r="39" spans="1:18" ht="18.75">
      <c r="A39" s="9"/>
      <c r="B39" s="8">
        <v>1065313201</v>
      </c>
      <c r="C39" s="48" t="s">
        <v>127</v>
      </c>
      <c r="D39" s="49" t="s">
        <v>128</v>
      </c>
      <c r="E39" s="10">
        <v>0</v>
      </c>
      <c r="F39" s="10">
        <v>0</v>
      </c>
      <c r="G39" s="39" t="s">
        <v>34</v>
      </c>
      <c r="H39" s="11">
        <f t="shared" si="6"/>
        <v>0</v>
      </c>
      <c r="I39" s="10">
        <f t="shared" si="7"/>
        <v>0</v>
      </c>
      <c r="J39" s="10">
        <v>0</v>
      </c>
      <c r="K39" s="10">
        <f t="shared" si="8"/>
        <v>0</v>
      </c>
      <c r="L39" s="17">
        <v>0.22500000000000009</v>
      </c>
      <c r="M39" s="18">
        <f t="shared" si="9"/>
        <v>0.22500000000000009</v>
      </c>
      <c r="N39" s="19">
        <f t="shared" si="10"/>
        <v>0</v>
      </c>
      <c r="O39" s="20">
        <f t="shared" si="11"/>
        <v>0.22500000000000009</v>
      </c>
      <c r="P39" s="4"/>
      <c r="Q39" s="4"/>
      <c r="R39" s="4"/>
    </row>
    <row r="40" spans="1:18" ht="18.75">
      <c r="A40" s="8">
        <v>155</v>
      </c>
      <c r="B40" s="8">
        <v>1532576874</v>
      </c>
      <c r="C40" s="47" t="s">
        <v>140</v>
      </c>
      <c r="D40" s="47" t="s">
        <v>61</v>
      </c>
      <c r="E40" s="10">
        <v>0</v>
      </c>
      <c r="F40" s="10">
        <v>0</v>
      </c>
      <c r="G40" s="39" t="s">
        <v>34</v>
      </c>
      <c r="H40" s="11">
        <f t="shared" si="6"/>
        <v>0</v>
      </c>
      <c r="I40" s="10">
        <f t="shared" si="7"/>
        <v>0</v>
      </c>
      <c r="J40" s="10">
        <v>0</v>
      </c>
      <c r="K40" s="10">
        <f t="shared" si="8"/>
        <v>0</v>
      </c>
      <c r="L40" s="17">
        <v>0</v>
      </c>
      <c r="M40" s="18">
        <f t="shared" si="9"/>
        <v>0</v>
      </c>
      <c r="N40" s="19">
        <f t="shared" si="10"/>
        <v>0</v>
      </c>
      <c r="O40" s="20">
        <f t="shared" si="11"/>
        <v>0</v>
      </c>
      <c r="P40" s="11"/>
      <c r="Q40" s="11"/>
      <c r="R40" s="31"/>
    </row>
    <row r="41" spans="1:18" ht="18.75">
      <c r="A41" s="8">
        <v>180</v>
      </c>
      <c r="B41" s="8">
        <v>24633249</v>
      </c>
      <c r="C41" s="48" t="s">
        <v>72</v>
      </c>
      <c r="D41" s="46"/>
      <c r="E41" s="10">
        <v>0</v>
      </c>
      <c r="F41" s="10">
        <v>0</v>
      </c>
      <c r="G41" s="39" t="s">
        <v>34</v>
      </c>
      <c r="H41" s="11">
        <f t="shared" si="6"/>
        <v>0</v>
      </c>
      <c r="I41" s="10">
        <f t="shared" si="7"/>
        <v>0</v>
      </c>
      <c r="J41" s="10">
        <v>0</v>
      </c>
      <c r="K41" s="10">
        <f t="shared" si="8"/>
        <v>0</v>
      </c>
      <c r="L41" s="17">
        <v>-2.5249999999999999</v>
      </c>
      <c r="M41" s="18">
        <f t="shared" si="9"/>
        <v>-2.5249999999999999</v>
      </c>
      <c r="N41" s="19">
        <f t="shared" si="10"/>
        <v>0</v>
      </c>
      <c r="O41" s="20">
        <f t="shared" si="11"/>
        <v>-2.5249999999999999</v>
      </c>
      <c r="P41" s="11"/>
      <c r="Q41" s="11"/>
      <c r="R41" s="11"/>
    </row>
    <row r="42" spans="1:18" ht="18.75">
      <c r="A42" s="8"/>
      <c r="B42" s="8">
        <v>488712245</v>
      </c>
      <c r="C42" s="47" t="s">
        <v>144</v>
      </c>
      <c r="D42" s="49" t="s">
        <v>162</v>
      </c>
      <c r="E42" s="10">
        <v>0</v>
      </c>
      <c r="F42" s="10">
        <v>0</v>
      </c>
      <c r="G42" s="39" t="s">
        <v>34</v>
      </c>
      <c r="H42" s="11">
        <f t="shared" si="6"/>
        <v>0</v>
      </c>
      <c r="I42" s="10">
        <f t="shared" si="7"/>
        <v>0</v>
      </c>
      <c r="J42" s="10">
        <v>0</v>
      </c>
      <c r="K42" s="10">
        <f t="shared" si="8"/>
        <v>0</v>
      </c>
      <c r="L42" s="17">
        <v>4.7</v>
      </c>
      <c r="M42" s="18">
        <f t="shared" si="9"/>
        <v>4.7</v>
      </c>
      <c r="N42" s="19">
        <f t="shared" si="10"/>
        <v>0</v>
      </c>
      <c r="O42" s="20">
        <f t="shared" si="11"/>
        <v>4.7</v>
      </c>
      <c r="P42" s="4"/>
      <c r="Q42" s="4"/>
      <c r="R42" s="4"/>
    </row>
    <row r="43" spans="1:18" ht="18.75">
      <c r="A43" s="8">
        <v>130</v>
      </c>
      <c r="B43" s="8">
        <v>1957463045</v>
      </c>
      <c r="C43" s="47" t="s">
        <v>44</v>
      </c>
      <c r="D43" s="50"/>
      <c r="E43" s="10">
        <v>0</v>
      </c>
      <c r="F43" s="10">
        <v>0</v>
      </c>
      <c r="G43" s="39" t="s">
        <v>34</v>
      </c>
      <c r="H43" s="11">
        <f t="shared" ref="H43:H100" si="12">E43+IF(E43&gt;2,(E43-2)*0.5,0)</f>
        <v>0</v>
      </c>
      <c r="I43" s="10">
        <f t="shared" ref="I43:I100" si="13">F43/$T$15</f>
        <v>0</v>
      </c>
      <c r="J43" s="10">
        <v>0</v>
      </c>
      <c r="K43" s="10">
        <f t="shared" ref="K43:K100" si="14">SUM(I43+H43+J43)</f>
        <v>0</v>
      </c>
      <c r="L43" s="17">
        <v>5</v>
      </c>
      <c r="M43" s="18">
        <f t="shared" ref="M43:M100" si="15">K43+L43</f>
        <v>5</v>
      </c>
      <c r="N43" s="19">
        <f t="shared" ref="N43:N100" si="16">VLOOKUP(G43,$S$3:$T$11,2,FALSE)</f>
        <v>0</v>
      </c>
      <c r="O43" s="20">
        <f t="shared" ref="O43:O100" si="17">M43-N43</f>
        <v>5</v>
      </c>
      <c r="P43" s="11"/>
      <c r="Q43" s="11"/>
      <c r="R43" s="31"/>
    </row>
    <row r="44" spans="1:18" ht="18.75">
      <c r="A44" s="9">
        <v>26</v>
      </c>
      <c r="B44" s="8">
        <v>1754932067</v>
      </c>
      <c r="C44" s="47" t="s">
        <v>76</v>
      </c>
      <c r="D44" s="48" t="s">
        <v>12</v>
      </c>
      <c r="E44" s="10">
        <v>0</v>
      </c>
      <c r="F44" s="10">
        <v>0</v>
      </c>
      <c r="G44" s="39" t="s">
        <v>34</v>
      </c>
      <c r="H44" s="11">
        <f t="shared" si="12"/>
        <v>0</v>
      </c>
      <c r="I44" s="10">
        <f t="shared" si="13"/>
        <v>0</v>
      </c>
      <c r="J44" s="10">
        <v>0</v>
      </c>
      <c r="K44" s="10">
        <f t="shared" si="14"/>
        <v>0</v>
      </c>
      <c r="L44" s="17">
        <v>5</v>
      </c>
      <c r="M44" s="18">
        <f t="shared" si="15"/>
        <v>5</v>
      </c>
      <c r="N44" s="19">
        <f t="shared" si="16"/>
        <v>0</v>
      </c>
      <c r="O44" s="20">
        <f t="shared" si="17"/>
        <v>5</v>
      </c>
      <c r="P44" s="11"/>
      <c r="Q44" s="11"/>
      <c r="R44" s="11"/>
    </row>
    <row r="45" spans="1:18" ht="18.75">
      <c r="A45" s="8">
        <v>187</v>
      </c>
      <c r="B45" s="8">
        <v>1241038267</v>
      </c>
      <c r="C45" s="47" t="s">
        <v>97</v>
      </c>
      <c r="D45" s="46"/>
      <c r="E45" s="10">
        <v>0</v>
      </c>
      <c r="F45" s="10">
        <v>0</v>
      </c>
      <c r="G45" s="39" t="s">
        <v>34</v>
      </c>
      <c r="H45" s="11">
        <f t="shared" si="12"/>
        <v>0</v>
      </c>
      <c r="I45" s="10">
        <f t="shared" si="13"/>
        <v>0</v>
      </c>
      <c r="J45" s="10">
        <v>0</v>
      </c>
      <c r="K45" s="10">
        <f t="shared" si="14"/>
        <v>0</v>
      </c>
      <c r="L45" s="17">
        <v>5</v>
      </c>
      <c r="M45" s="18">
        <f t="shared" si="15"/>
        <v>5</v>
      </c>
      <c r="N45" s="19">
        <f t="shared" si="16"/>
        <v>0</v>
      </c>
      <c r="O45" s="20">
        <f t="shared" si="17"/>
        <v>5</v>
      </c>
      <c r="P45" s="4"/>
      <c r="Q45" s="4"/>
      <c r="R45" s="4"/>
    </row>
    <row r="46" spans="1:18" ht="18.75">
      <c r="A46" s="8">
        <v>188</v>
      </c>
      <c r="B46" s="8">
        <v>1504984957</v>
      </c>
      <c r="C46" s="47" t="s">
        <v>98</v>
      </c>
      <c r="D46" s="46"/>
      <c r="E46" s="10">
        <v>0</v>
      </c>
      <c r="F46" s="10">
        <v>0</v>
      </c>
      <c r="G46" s="39" t="s">
        <v>34</v>
      </c>
      <c r="H46" s="11">
        <f t="shared" si="12"/>
        <v>0</v>
      </c>
      <c r="I46" s="10">
        <f t="shared" si="13"/>
        <v>0</v>
      </c>
      <c r="J46" s="10">
        <v>0</v>
      </c>
      <c r="K46" s="10">
        <f t="shared" si="14"/>
        <v>0</v>
      </c>
      <c r="L46" s="17">
        <v>5</v>
      </c>
      <c r="M46" s="18">
        <f t="shared" si="15"/>
        <v>5</v>
      </c>
      <c r="N46" s="19">
        <f t="shared" si="16"/>
        <v>0</v>
      </c>
      <c r="O46" s="20">
        <f t="shared" si="17"/>
        <v>5</v>
      </c>
      <c r="P46" s="4"/>
      <c r="Q46" s="4"/>
      <c r="R46" s="4"/>
    </row>
    <row r="47" spans="1:18" ht="18.75">
      <c r="A47" s="8">
        <v>205</v>
      </c>
      <c r="B47" s="8">
        <v>141303545</v>
      </c>
      <c r="C47" s="47" t="s">
        <v>114</v>
      </c>
      <c r="D47" s="46"/>
      <c r="E47" s="10">
        <v>0</v>
      </c>
      <c r="F47" s="10">
        <v>0</v>
      </c>
      <c r="G47" s="39" t="s">
        <v>34</v>
      </c>
      <c r="H47" s="11">
        <f t="shared" si="12"/>
        <v>0</v>
      </c>
      <c r="I47" s="10">
        <f t="shared" si="13"/>
        <v>0</v>
      </c>
      <c r="J47" s="10">
        <v>0</v>
      </c>
      <c r="K47" s="10">
        <f t="shared" si="14"/>
        <v>0</v>
      </c>
      <c r="L47" s="17">
        <v>5</v>
      </c>
      <c r="M47" s="18">
        <f t="shared" si="15"/>
        <v>5</v>
      </c>
      <c r="N47" s="19">
        <f t="shared" si="16"/>
        <v>0</v>
      </c>
      <c r="O47" s="20">
        <f t="shared" si="17"/>
        <v>5</v>
      </c>
      <c r="P47" s="4"/>
      <c r="Q47" s="4"/>
      <c r="R47" s="4"/>
    </row>
    <row r="48" spans="1:18" ht="18.75">
      <c r="A48" s="8">
        <v>182</v>
      </c>
      <c r="B48" s="8">
        <v>828260319</v>
      </c>
      <c r="C48" s="47" t="s">
        <v>92</v>
      </c>
      <c r="D48" s="46"/>
      <c r="E48" s="10">
        <v>0</v>
      </c>
      <c r="F48" s="10">
        <v>0</v>
      </c>
      <c r="G48" s="39" t="s">
        <v>34</v>
      </c>
      <c r="H48" s="11">
        <f t="shared" si="12"/>
        <v>0</v>
      </c>
      <c r="I48" s="10">
        <f t="shared" si="13"/>
        <v>0</v>
      </c>
      <c r="J48" s="10">
        <v>0</v>
      </c>
      <c r="K48" s="10">
        <f t="shared" si="14"/>
        <v>0</v>
      </c>
      <c r="L48" s="17">
        <v>5</v>
      </c>
      <c r="M48" s="18">
        <f t="shared" si="15"/>
        <v>5</v>
      </c>
      <c r="N48" s="19">
        <f t="shared" si="16"/>
        <v>0</v>
      </c>
      <c r="O48" s="20">
        <f t="shared" si="17"/>
        <v>5</v>
      </c>
      <c r="P48" s="4"/>
      <c r="Q48" s="4"/>
      <c r="R48" s="4"/>
    </row>
    <row r="49" spans="1:24" ht="18.75">
      <c r="A49" s="9">
        <v>82</v>
      </c>
      <c r="B49" s="8">
        <v>982362214</v>
      </c>
      <c r="C49" s="47" t="s">
        <v>80</v>
      </c>
      <c r="D49" s="48" t="s">
        <v>25</v>
      </c>
      <c r="E49" s="10">
        <v>0</v>
      </c>
      <c r="F49" s="10">
        <v>0</v>
      </c>
      <c r="G49" s="39" t="s">
        <v>34</v>
      </c>
      <c r="H49" s="11">
        <f t="shared" si="12"/>
        <v>0</v>
      </c>
      <c r="I49" s="10">
        <f t="shared" si="13"/>
        <v>0</v>
      </c>
      <c r="J49" s="10">
        <v>0</v>
      </c>
      <c r="K49" s="10">
        <f t="shared" si="14"/>
        <v>0</v>
      </c>
      <c r="L49" s="17">
        <v>5</v>
      </c>
      <c r="M49" s="18">
        <f t="shared" si="15"/>
        <v>5</v>
      </c>
      <c r="N49" s="19">
        <f t="shared" si="16"/>
        <v>0</v>
      </c>
      <c r="O49" s="20">
        <f t="shared" si="17"/>
        <v>5</v>
      </c>
      <c r="P49" s="11"/>
      <c r="Q49" s="11"/>
      <c r="R49" s="11"/>
      <c r="S49" s="1"/>
      <c r="T49" s="1"/>
      <c r="U49" s="1"/>
      <c r="V49" s="1"/>
      <c r="W49" s="1"/>
      <c r="X49" s="1"/>
    </row>
    <row r="50" spans="1:24" ht="18.75">
      <c r="A50" s="8">
        <v>191</v>
      </c>
      <c r="B50" s="8">
        <v>1037173857</v>
      </c>
      <c r="C50" s="47" t="s">
        <v>101</v>
      </c>
      <c r="D50" s="46"/>
      <c r="E50" s="10">
        <v>0</v>
      </c>
      <c r="F50" s="10">
        <v>0</v>
      </c>
      <c r="G50" s="39" t="s">
        <v>34</v>
      </c>
      <c r="H50" s="11">
        <f t="shared" si="12"/>
        <v>0</v>
      </c>
      <c r="I50" s="10">
        <f t="shared" si="13"/>
        <v>0</v>
      </c>
      <c r="J50" s="10">
        <v>0</v>
      </c>
      <c r="K50" s="10">
        <f t="shared" si="14"/>
        <v>0</v>
      </c>
      <c r="L50" s="17">
        <v>5</v>
      </c>
      <c r="M50" s="18">
        <f t="shared" si="15"/>
        <v>5</v>
      </c>
      <c r="N50" s="19">
        <f t="shared" si="16"/>
        <v>0</v>
      </c>
      <c r="O50" s="20">
        <f t="shared" si="17"/>
        <v>5</v>
      </c>
      <c r="P50" s="4"/>
      <c r="Q50" s="4"/>
      <c r="R50" s="4"/>
      <c r="S50" s="1"/>
      <c r="T50" s="1"/>
      <c r="U50" s="1"/>
      <c r="V50" s="1"/>
      <c r="W50" s="1"/>
      <c r="X50" s="1"/>
    </row>
    <row r="51" spans="1:24" ht="18.75">
      <c r="A51" s="8">
        <v>128</v>
      </c>
      <c r="B51" s="8">
        <v>1214614935</v>
      </c>
      <c r="C51" s="47" t="s">
        <v>85</v>
      </c>
      <c r="D51" s="50" t="s">
        <v>53</v>
      </c>
      <c r="E51" s="10">
        <v>0</v>
      </c>
      <c r="F51" s="10">
        <v>0</v>
      </c>
      <c r="G51" s="39" t="s">
        <v>34</v>
      </c>
      <c r="H51" s="11">
        <f t="shared" si="12"/>
        <v>0</v>
      </c>
      <c r="I51" s="10">
        <f t="shared" si="13"/>
        <v>0</v>
      </c>
      <c r="J51" s="10">
        <v>0</v>
      </c>
      <c r="K51" s="10">
        <f t="shared" si="14"/>
        <v>0</v>
      </c>
      <c r="L51" s="17">
        <v>5</v>
      </c>
      <c r="M51" s="18">
        <f t="shared" si="15"/>
        <v>5</v>
      </c>
      <c r="N51" s="19">
        <f t="shared" si="16"/>
        <v>0</v>
      </c>
      <c r="O51" s="20">
        <f t="shared" si="17"/>
        <v>5</v>
      </c>
      <c r="P51" s="11"/>
      <c r="Q51" s="11"/>
      <c r="R51" s="31"/>
      <c r="S51" s="1"/>
      <c r="T51" s="1"/>
      <c r="U51" s="1"/>
      <c r="V51" s="1"/>
      <c r="W51" s="1"/>
      <c r="X51" s="1"/>
    </row>
    <row r="52" spans="1:24" ht="18.75">
      <c r="A52" s="9">
        <v>46</v>
      </c>
      <c r="B52" s="8">
        <v>2109182835</v>
      </c>
      <c r="C52" s="47" t="s">
        <v>79</v>
      </c>
      <c r="D52" s="48" t="s">
        <v>15</v>
      </c>
      <c r="E52" s="10">
        <v>0</v>
      </c>
      <c r="F52" s="10">
        <v>0</v>
      </c>
      <c r="G52" s="39" t="s">
        <v>34</v>
      </c>
      <c r="H52" s="11">
        <f t="shared" si="12"/>
        <v>0</v>
      </c>
      <c r="I52" s="10">
        <f t="shared" si="13"/>
        <v>0</v>
      </c>
      <c r="J52" s="10">
        <v>0</v>
      </c>
      <c r="K52" s="10">
        <f t="shared" si="14"/>
        <v>0</v>
      </c>
      <c r="L52" s="17">
        <v>5</v>
      </c>
      <c r="M52" s="18">
        <f t="shared" si="15"/>
        <v>5</v>
      </c>
      <c r="N52" s="19">
        <f t="shared" si="16"/>
        <v>0</v>
      </c>
      <c r="O52" s="20">
        <f t="shared" si="17"/>
        <v>5</v>
      </c>
      <c r="P52" s="11"/>
      <c r="Q52" s="11"/>
      <c r="R52" s="11"/>
      <c r="S52" s="1"/>
      <c r="T52" s="1"/>
      <c r="U52" s="1"/>
      <c r="V52" s="1"/>
      <c r="W52" s="1"/>
      <c r="X52" s="1"/>
    </row>
    <row r="53" spans="1:24" ht="18.75">
      <c r="A53" s="9">
        <v>120</v>
      </c>
      <c r="B53" s="8">
        <v>171422146</v>
      </c>
      <c r="C53" s="47" t="s">
        <v>83</v>
      </c>
      <c r="D53" s="48" t="s">
        <v>47</v>
      </c>
      <c r="E53" s="10">
        <v>0</v>
      </c>
      <c r="F53" s="10">
        <v>0</v>
      </c>
      <c r="G53" s="39" t="s">
        <v>34</v>
      </c>
      <c r="H53" s="11">
        <f t="shared" si="12"/>
        <v>0</v>
      </c>
      <c r="I53" s="10">
        <f t="shared" si="13"/>
        <v>0</v>
      </c>
      <c r="J53" s="10">
        <v>0</v>
      </c>
      <c r="K53" s="10">
        <f t="shared" si="14"/>
        <v>0</v>
      </c>
      <c r="L53" s="17">
        <v>5</v>
      </c>
      <c r="M53" s="18">
        <f t="shared" si="15"/>
        <v>5</v>
      </c>
      <c r="N53" s="19">
        <f t="shared" si="16"/>
        <v>0</v>
      </c>
      <c r="O53" s="20">
        <f t="shared" si="17"/>
        <v>5</v>
      </c>
      <c r="P53" s="11"/>
      <c r="Q53" s="11"/>
      <c r="R53" s="32"/>
      <c r="S53" s="1"/>
      <c r="T53" s="1"/>
      <c r="U53" s="1"/>
      <c r="V53" s="1"/>
      <c r="W53" s="1"/>
      <c r="X53" s="1"/>
    </row>
    <row r="54" spans="1:24" ht="18.75">
      <c r="A54" s="8">
        <v>143</v>
      </c>
      <c r="B54" s="8">
        <v>1963007427</v>
      </c>
      <c r="C54" s="47" t="s">
        <v>87</v>
      </c>
      <c r="D54" s="47" t="s">
        <v>58</v>
      </c>
      <c r="E54" s="10">
        <v>0</v>
      </c>
      <c r="F54" s="10">
        <v>0</v>
      </c>
      <c r="G54" s="39" t="s">
        <v>34</v>
      </c>
      <c r="H54" s="11">
        <f t="shared" si="12"/>
        <v>0</v>
      </c>
      <c r="I54" s="10">
        <f t="shared" si="13"/>
        <v>0</v>
      </c>
      <c r="J54" s="10">
        <v>0</v>
      </c>
      <c r="K54" s="10">
        <f t="shared" si="14"/>
        <v>0</v>
      </c>
      <c r="L54" s="17">
        <v>5</v>
      </c>
      <c r="M54" s="18">
        <f t="shared" si="15"/>
        <v>5</v>
      </c>
      <c r="N54" s="19">
        <f t="shared" si="16"/>
        <v>0</v>
      </c>
      <c r="O54" s="20">
        <f t="shared" si="17"/>
        <v>5</v>
      </c>
      <c r="P54" s="11"/>
      <c r="Q54" s="11"/>
      <c r="R54" s="31"/>
      <c r="S54" s="1"/>
      <c r="T54" s="1"/>
      <c r="U54" s="1"/>
      <c r="V54" s="1"/>
      <c r="W54" s="1"/>
      <c r="X54" s="1"/>
    </row>
    <row r="55" spans="1:24" ht="18.75">
      <c r="A55" s="8">
        <v>190</v>
      </c>
      <c r="B55" s="8">
        <v>684634207</v>
      </c>
      <c r="C55" s="47" t="s">
        <v>100</v>
      </c>
      <c r="D55" s="46"/>
      <c r="E55" s="10">
        <v>0</v>
      </c>
      <c r="F55" s="10">
        <v>0</v>
      </c>
      <c r="G55" s="39" t="s">
        <v>34</v>
      </c>
      <c r="H55" s="11">
        <f t="shared" si="12"/>
        <v>0</v>
      </c>
      <c r="I55" s="10">
        <f t="shared" si="13"/>
        <v>0</v>
      </c>
      <c r="J55" s="10">
        <v>0</v>
      </c>
      <c r="K55" s="10">
        <f t="shared" si="14"/>
        <v>0</v>
      </c>
      <c r="L55" s="17">
        <v>5</v>
      </c>
      <c r="M55" s="18">
        <f t="shared" si="15"/>
        <v>5</v>
      </c>
      <c r="N55" s="19">
        <f t="shared" si="16"/>
        <v>0</v>
      </c>
      <c r="O55" s="20">
        <f t="shared" si="17"/>
        <v>5</v>
      </c>
      <c r="P55" s="4"/>
      <c r="Q55" s="4"/>
      <c r="R55" s="4"/>
      <c r="S55" s="1"/>
      <c r="T55" s="1"/>
      <c r="U55" s="1"/>
      <c r="V55" s="1"/>
      <c r="W55" s="1"/>
      <c r="X55" s="1"/>
    </row>
    <row r="56" spans="1:24" ht="18.75">
      <c r="A56" s="8">
        <v>186</v>
      </c>
      <c r="B56" s="8">
        <v>595953188</v>
      </c>
      <c r="C56" s="47" t="s">
        <v>96</v>
      </c>
      <c r="D56" s="46"/>
      <c r="E56" s="10">
        <v>0</v>
      </c>
      <c r="F56" s="10">
        <v>0</v>
      </c>
      <c r="G56" s="39" t="s">
        <v>34</v>
      </c>
      <c r="H56" s="11">
        <f t="shared" si="12"/>
        <v>0</v>
      </c>
      <c r="I56" s="10">
        <f t="shared" si="13"/>
        <v>0</v>
      </c>
      <c r="J56" s="10">
        <v>0</v>
      </c>
      <c r="K56" s="10">
        <f t="shared" si="14"/>
        <v>0</v>
      </c>
      <c r="L56" s="17">
        <v>5</v>
      </c>
      <c r="M56" s="18">
        <f t="shared" si="15"/>
        <v>5</v>
      </c>
      <c r="N56" s="19">
        <f t="shared" si="16"/>
        <v>0</v>
      </c>
      <c r="O56" s="20">
        <f t="shared" si="17"/>
        <v>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198</v>
      </c>
      <c r="B57" s="8">
        <v>723448640</v>
      </c>
      <c r="C57" s="47" t="s">
        <v>108</v>
      </c>
      <c r="D57" s="46"/>
      <c r="E57" s="10">
        <v>0</v>
      </c>
      <c r="F57" s="10">
        <v>0</v>
      </c>
      <c r="G57" s="39" t="s">
        <v>34</v>
      </c>
      <c r="H57" s="11">
        <f t="shared" si="12"/>
        <v>0</v>
      </c>
      <c r="I57" s="10">
        <f t="shared" si="13"/>
        <v>0</v>
      </c>
      <c r="J57" s="10">
        <v>0</v>
      </c>
      <c r="K57" s="10">
        <f t="shared" si="14"/>
        <v>0</v>
      </c>
      <c r="L57" s="17">
        <v>5</v>
      </c>
      <c r="M57" s="18">
        <f t="shared" si="15"/>
        <v>5</v>
      </c>
      <c r="N57" s="19">
        <f t="shared" si="16"/>
        <v>0</v>
      </c>
      <c r="O57" s="20">
        <f t="shared" si="17"/>
        <v>5</v>
      </c>
      <c r="P57" s="4"/>
      <c r="Q57" s="4"/>
      <c r="R57" s="4"/>
      <c r="S57" s="1"/>
      <c r="T57" s="1"/>
      <c r="U57" s="1"/>
      <c r="V57" s="1"/>
      <c r="W57" s="1"/>
      <c r="X57" s="1"/>
    </row>
    <row r="58" spans="1:24" ht="18.75">
      <c r="A58" s="8">
        <v>208</v>
      </c>
      <c r="B58" s="8">
        <v>92129464</v>
      </c>
      <c r="C58" s="47" t="s">
        <v>118</v>
      </c>
      <c r="D58" s="46"/>
      <c r="E58" s="10">
        <v>0</v>
      </c>
      <c r="F58" s="10">
        <v>0</v>
      </c>
      <c r="G58" s="39" t="s">
        <v>34</v>
      </c>
      <c r="H58" s="11">
        <f t="shared" si="12"/>
        <v>0</v>
      </c>
      <c r="I58" s="10">
        <f t="shared" si="13"/>
        <v>0</v>
      </c>
      <c r="J58" s="10">
        <v>0</v>
      </c>
      <c r="K58" s="10">
        <f t="shared" si="14"/>
        <v>0</v>
      </c>
      <c r="L58" s="17">
        <v>5</v>
      </c>
      <c r="M58" s="18">
        <f t="shared" si="15"/>
        <v>5</v>
      </c>
      <c r="N58" s="19">
        <f t="shared" si="16"/>
        <v>0</v>
      </c>
      <c r="O58" s="20">
        <f t="shared" si="17"/>
        <v>5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209</v>
      </c>
      <c r="B59" s="8">
        <v>1525950050</v>
      </c>
      <c r="C59" s="47" t="s">
        <v>119</v>
      </c>
      <c r="D59" s="46"/>
      <c r="E59" s="10">
        <v>0</v>
      </c>
      <c r="F59" s="10">
        <v>0</v>
      </c>
      <c r="G59" s="39" t="s">
        <v>34</v>
      </c>
      <c r="H59" s="11">
        <f t="shared" si="12"/>
        <v>0</v>
      </c>
      <c r="I59" s="10">
        <f t="shared" si="13"/>
        <v>0</v>
      </c>
      <c r="J59" s="10">
        <v>0</v>
      </c>
      <c r="K59" s="10">
        <f t="shared" si="14"/>
        <v>0</v>
      </c>
      <c r="L59" s="17">
        <v>5</v>
      </c>
      <c r="M59" s="18">
        <f t="shared" si="15"/>
        <v>5</v>
      </c>
      <c r="N59" s="19">
        <f t="shared" si="16"/>
        <v>0</v>
      </c>
      <c r="O59" s="20">
        <f t="shared" si="17"/>
        <v>5</v>
      </c>
      <c r="P59" s="4"/>
      <c r="Q59" s="4"/>
      <c r="R59" s="4"/>
      <c r="S59" s="1"/>
      <c r="T59" s="1"/>
      <c r="U59" s="1"/>
      <c r="V59" s="1"/>
      <c r="W59" s="1"/>
      <c r="X59" s="1"/>
    </row>
    <row r="60" spans="1:24" ht="18.75">
      <c r="A60" s="8">
        <v>210</v>
      </c>
      <c r="B60" s="8">
        <v>1675792665</v>
      </c>
      <c r="C60" s="47" t="s">
        <v>120</v>
      </c>
      <c r="D60" s="46"/>
      <c r="E60" s="10">
        <v>0</v>
      </c>
      <c r="F60" s="10">
        <v>0</v>
      </c>
      <c r="G60" s="39" t="s">
        <v>34</v>
      </c>
      <c r="H60" s="11">
        <f t="shared" si="12"/>
        <v>0</v>
      </c>
      <c r="I60" s="10">
        <f t="shared" si="13"/>
        <v>0</v>
      </c>
      <c r="J60" s="10">
        <v>0</v>
      </c>
      <c r="K60" s="10">
        <f t="shared" si="14"/>
        <v>0</v>
      </c>
      <c r="L60" s="17">
        <v>3.5</v>
      </c>
      <c r="M60" s="18">
        <f t="shared" si="15"/>
        <v>3.5</v>
      </c>
      <c r="N60" s="19">
        <f t="shared" si="16"/>
        <v>0</v>
      </c>
      <c r="O60" s="20">
        <f t="shared" si="17"/>
        <v>3.5</v>
      </c>
      <c r="P60" s="4"/>
      <c r="Q60" s="4"/>
      <c r="R60" s="4"/>
      <c r="S60" s="1"/>
      <c r="T60" s="1"/>
      <c r="U60" s="1"/>
      <c r="V60" s="1"/>
      <c r="W60" s="1"/>
      <c r="X60" s="1"/>
    </row>
    <row r="61" spans="1:24" ht="18.75">
      <c r="A61" s="8">
        <v>183</v>
      </c>
      <c r="B61" s="8">
        <v>1250030371</v>
      </c>
      <c r="C61" s="47" t="s">
        <v>123</v>
      </c>
      <c r="D61" s="47" t="s">
        <v>93</v>
      </c>
      <c r="E61" s="10">
        <v>0</v>
      </c>
      <c r="F61" s="10">
        <v>0</v>
      </c>
      <c r="G61" s="39" t="s">
        <v>34</v>
      </c>
      <c r="H61" s="11">
        <f t="shared" si="12"/>
        <v>0</v>
      </c>
      <c r="I61" s="10">
        <f t="shared" si="13"/>
        <v>0</v>
      </c>
      <c r="J61" s="10">
        <v>0</v>
      </c>
      <c r="K61" s="10">
        <f t="shared" si="14"/>
        <v>0</v>
      </c>
      <c r="L61" s="17">
        <v>3.5</v>
      </c>
      <c r="M61" s="18">
        <f t="shared" si="15"/>
        <v>3.5</v>
      </c>
      <c r="N61" s="19">
        <f t="shared" si="16"/>
        <v>0</v>
      </c>
      <c r="O61" s="20">
        <f t="shared" si="17"/>
        <v>3.5</v>
      </c>
      <c r="P61" s="4"/>
      <c r="Q61" s="4"/>
      <c r="R61" s="4"/>
      <c r="S61" s="1"/>
      <c r="T61" s="1"/>
      <c r="U61" s="1"/>
      <c r="V61" s="1"/>
      <c r="W61" s="1"/>
      <c r="X61" s="1"/>
    </row>
    <row r="62" spans="1:24" ht="18.75">
      <c r="A62" s="8">
        <v>196</v>
      </c>
      <c r="B62" s="8">
        <v>1065641844</v>
      </c>
      <c r="C62" s="47" t="s">
        <v>106</v>
      </c>
      <c r="D62" s="46"/>
      <c r="E62" s="10">
        <v>0</v>
      </c>
      <c r="F62" s="10">
        <v>0</v>
      </c>
      <c r="G62" s="39" t="s">
        <v>34</v>
      </c>
      <c r="H62" s="11">
        <f t="shared" si="12"/>
        <v>0</v>
      </c>
      <c r="I62" s="10">
        <f t="shared" si="13"/>
        <v>0</v>
      </c>
      <c r="J62" s="10">
        <v>0</v>
      </c>
      <c r="K62" s="10">
        <f t="shared" si="14"/>
        <v>0</v>
      </c>
      <c r="L62" s="17">
        <v>3.5</v>
      </c>
      <c r="M62" s="18">
        <f t="shared" si="15"/>
        <v>3.5</v>
      </c>
      <c r="N62" s="19">
        <f t="shared" si="16"/>
        <v>0</v>
      </c>
      <c r="O62" s="20">
        <f t="shared" si="17"/>
        <v>3.5</v>
      </c>
      <c r="P62" s="4"/>
      <c r="Q62" s="4"/>
      <c r="R62" s="4"/>
      <c r="S62" s="1"/>
      <c r="T62" s="1"/>
      <c r="U62" s="1"/>
      <c r="V62" s="1"/>
      <c r="W62" s="1"/>
      <c r="X62" s="1"/>
    </row>
    <row r="63" spans="1:24" ht="18.75">
      <c r="A63" s="8">
        <v>203</v>
      </c>
      <c r="B63" s="8">
        <v>382695365</v>
      </c>
      <c r="C63" s="47" t="s">
        <v>112</v>
      </c>
      <c r="D63" s="46"/>
      <c r="E63" s="10">
        <v>0</v>
      </c>
      <c r="F63" s="10">
        <v>0</v>
      </c>
      <c r="G63" s="39" t="s">
        <v>34</v>
      </c>
      <c r="H63" s="11">
        <f t="shared" si="12"/>
        <v>0</v>
      </c>
      <c r="I63" s="10">
        <f t="shared" si="13"/>
        <v>0</v>
      </c>
      <c r="J63" s="10">
        <v>0</v>
      </c>
      <c r="K63" s="10">
        <f t="shared" si="14"/>
        <v>0</v>
      </c>
      <c r="L63" s="17">
        <v>3.5</v>
      </c>
      <c r="M63" s="18">
        <f t="shared" si="15"/>
        <v>3.5</v>
      </c>
      <c r="N63" s="19">
        <f t="shared" si="16"/>
        <v>0</v>
      </c>
      <c r="O63" s="20">
        <f t="shared" si="17"/>
        <v>3.5</v>
      </c>
      <c r="P63" s="4"/>
      <c r="Q63" s="4"/>
      <c r="R63" s="4"/>
      <c r="S63" s="1"/>
      <c r="T63" s="1"/>
      <c r="U63" s="1"/>
      <c r="V63" s="1"/>
      <c r="W63" s="1"/>
      <c r="X63" s="1"/>
    </row>
    <row r="64" spans="1:24" ht="18.75">
      <c r="A64" s="8">
        <v>184</v>
      </c>
      <c r="B64" s="8">
        <v>1814130074</v>
      </c>
      <c r="C64" s="47" t="s">
        <v>94</v>
      </c>
      <c r="D64" s="46"/>
      <c r="E64" s="10">
        <v>0</v>
      </c>
      <c r="F64" s="10">
        <v>0</v>
      </c>
      <c r="G64" s="39" t="s">
        <v>34</v>
      </c>
      <c r="H64" s="11">
        <f t="shared" si="12"/>
        <v>0</v>
      </c>
      <c r="I64" s="10">
        <f t="shared" si="13"/>
        <v>0</v>
      </c>
      <c r="J64" s="10">
        <v>0</v>
      </c>
      <c r="K64" s="10">
        <f t="shared" si="14"/>
        <v>0</v>
      </c>
      <c r="L64" s="17">
        <v>3.5</v>
      </c>
      <c r="M64" s="18">
        <f t="shared" si="15"/>
        <v>3.5</v>
      </c>
      <c r="N64" s="19">
        <f t="shared" si="16"/>
        <v>0</v>
      </c>
      <c r="O64" s="20">
        <f t="shared" si="17"/>
        <v>3.5</v>
      </c>
      <c r="P64" s="4"/>
      <c r="Q64" s="4"/>
      <c r="R64" s="4"/>
      <c r="S64" s="1"/>
      <c r="T64" s="1"/>
      <c r="U64" s="1"/>
      <c r="V64" s="1"/>
      <c r="W64" s="1"/>
      <c r="X64" s="1"/>
    </row>
    <row r="65" spans="1:24" ht="18.75">
      <c r="A65" s="8">
        <v>110</v>
      </c>
      <c r="B65" s="8">
        <v>1968703358</v>
      </c>
      <c r="C65" s="47" t="s">
        <v>81</v>
      </c>
      <c r="D65" s="48" t="s">
        <v>45</v>
      </c>
      <c r="E65" s="10">
        <v>0</v>
      </c>
      <c r="F65" s="10">
        <v>0</v>
      </c>
      <c r="G65" s="39" t="s">
        <v>34</v>
      </c>
      <c r="H65" s="11">
        <f t="shared" si="12"/>
        <v>0</v>
      </c>
      <c r="I65" s="10">
        <f t="shared" si="13"/>
        <v>0</v>
      </c>
      <c r="J65" s="10">
        <v>0</v>
      </c>
      <c r="K65" s="10">
        <f t="shared" si="14"/>
        <v>0</v>
      </c>
      <c r="L65" s="17">
        <v>3.5</v>
      </c>
      <c r="M65" s="18">
        <f t="shared" si="15"/>
        <v>3.5</v>
      </c>
      <c r="N65" s="19">
        <f t="shared" si="16"/>
        <v>0</v>
      </c>
      <c r="O65" s="20">
        <f t="shared" si="17"/>
        <v>3.5</v>
      </c>
      <c r="P65" s="11"/>
      <c r="Q65" s="11"/>
      <c r="R65" s="17"/>
      <c r="S65" s="1"/>
      <c r="T65" s="1"/>
      <c r="U65" s="1"/>
      <c r="V65" s="1"/>
      <c r="W65" s="1"/>
      <c r="X65" s="1"/>
    </row>
    <row r="66" spans="1:24" ht="18.75">
      <c r="A66" s="8">
        <v>211</v>
      </c>
      <c r="B66" s="8">
        <v>1030769255</v>
      </c>
      <c r="C66" s="47" t="s">
        <v>121</v>
      </c>
      <c r="D66" s="46"/>
      <c r="E66" s="10">
        <v>0</v>
      </c>
      <c r="F66" s="10">
        <v>0</v>
      </c>
      <c r="G66" s="39" t="s">
        <v>34</v>
      </c>
      <c r="H66" s="11">
        <f t="shared" si="12"/>
        <v>0</v>
      </c>
      <c r="I66" s="10">
        <f t="shared" si="13"/>
        <v>0</v>
      </c>
      <c r="J66" s="10">
        <v>0</v>
      </c>
      <c r="K66" s="10">
        <f t="shared" si="14"/>
        <v>0</v>
      </c>
      <c r="L66" s="17">
        <v>2</v>
      </c>
      <c r="M66" s="18">
        <f t="shared" si="15"/>
        <v>2</v>
      </c>
      <c r="N66" s="19">
        <f t="shared" si="16"/>
        <v>0</v>
      </c>
      <c r="O66" s="20">
        <f t="shared" si="17"/>
        <v>2</v>
      </c>
      <c r="P66" s="4"/>
      <c r="Q66" s="4"/>
      <c r="R66" s="4"/>
      <c r="S66" s="1"/>
      <c r="T66" s="1"/>
      <c r="U66" s="1"/>
      <c r="V66" s="1"/>
      <c r="W66" s="1"/>
      <c r="X66" s="1"/>
    </row>
    <row r="67" spans="1:24" ht="18.75">
      <c r="A67" s="8">
        <v>206</v>
      </c>
      <c r="B67" s="8">
        <v>1835375380</v>
      </c>
      <c r="C67" s="47" t="s">
        <v>115</v>
      </c>
      <c r="D67" s="46"/>
      <c r="E67" s="10">
        <v>0</v>
      </c>
      <c r="F67" s="10">
        <v>0</v>
      </c>
      <c r="G67" s="39" t="s">
        <v>34</v>
      </c>
      <c r="H67" s="11">
        <f t="shared" si="12"/>
        <v>0</v>
      </c>
      <c r="I67" s="10">
        <f t="shared" si="13"/>
        <v>0</v>
      </c>
      <c r="J67" s="10">
        <v>0</v>
      </c>
      <c r="K67" s="10">
        <f t="shared" si="14"/>
        <v>0</v>
      </c>
      <c r="L67" s="17">
        <v>2</v>
      </c>
      <c r="M67" s="18">
        <f t="shared" si="15"/>
        <v>2</v>
      </c>
      <c r="N67" s="19">
        <f t="shared" si="16"/>
        <v>0</v>
      </c>
      <c r="O67" s="20">
        <f t="shared" si="17"/>
        <v>2</v>
      </c>
      <c r="P67" s="4"/>
      <c r="Q67" s="4"/>
      <c r="R67" s="4"/>
      <c r="S67" s="1"/>
      <c r="T67" s="1"/>
      <c r="U67" s="1"/>
      <c r="V67" s="1"/>
      <c r="W67" s="1"/>
      <c r="X67" s="1"/>
    </row>
    <row r="68" spans="1:24" ht="18.75">
      <c r="A68" s="9">
        <v>5</v>
      </c>
      <c r="B68" s="8">
        <v>1044399218</v>
      </c>
      <c r="C68" s="47" t="s">
        <v>75</v>
      </c>
      <c r="D68" s="48" t="s">
        <v>9</v>
      </c>
      <c r="E68" s="10">
        <v>0</v>
      </c>
      <c r="F68" s="10">
        <v>0</v>
      </c>
      <c r="G68" s="39" t="s">
        <v>34</v>
      </c>
      <c r="H68" s="11">
        <f t="shared" si="12"/>
        <v>0</v>
      </c>
      <c r="I68" s="10">
        <f t="shared" si="13"/>
        <v>0</v>
      </c>
      <c r="J68" s="10">
        <v>0</v>
      </c>
      <c r="K68" s="10">
        <f t="shared" si="14"/>
        <v>0</v>
      </c>
      <c r="L68" s="17">
        <v>2</v>
      </c>
      <c r="M68" s="18">
        <f t="shared" si="15"/>
        <v>2</v>
      </c>
      <c r="N68" s="19">
        <f t="shared" si="16"/>
        <v>0</v>
      </c>
      <c r="O68" s="20">
        <f t="shared" si="17"/>
        <v>2</v>
      </c>
      <c r="P68" s="11"/>
      <c r="Q68" s="11"/>
      <c r="R68" s="11"/>
      <c r="S68" s="1"/>
      <c r="T68" s="1"/>
      <c r="U68" s="1"/>
      <c r="V68" s="1"/>
      <c r="W68" s="1"/>
      <c r="X68" s="1"/>
    </row>
    <row r="69" spans="1:24" ht="18.75">
      <c r="A69" s="9">
        <v>103</v>
      </c>
      <c r="B69" s="8">
        <v>1540443440</v>
      </c>
      <c r="C69" s="48" t="s">
        <v>68</v>
      </c>
      <c r="D69" s="48" t="s">
        <v>35</v>
      </c>
      <c r="E69" s="10">
        <v>0</v>
      </c>
      <c r="F69" s="10">
        <v>0</v>
      </c>
      <c r="G69" s="39" t="s">
        <v>34</v>
      </c>
      <c r="H69" s="11">
        <f t="shared" si="12"/>
        <v>0</v>
      </c>
      <c r="I69" s="10">
        <f t="shared" si="13"/>
        <v>0</v>
      </c>
      <c r="J69" s="10">
        <v>0</v>
      </c>
      <c r="K69" s="10">
        <f t="shared" si="14"/>
        <v>0</v>
      </c>
      <c r="L69" s="17">
        <v>2</v>
      </c>
      <c r="M69" s="18">
        <f t="shared" si="15"/>
        <v>2</v>
      </c>
      <c r="N69" s="19">
        <f t="shared" si="16"/>
        <v>0</v>
      </c>
      <c r="O69" s="20">
        <f t="shared" si="17"/>
        <v>2</v>
      </c>
      <c r="P69" s="11"/>
      <c r="Q69" s="11"/>
      <c r="R69" s="11"/>
      <c r="S69" s="3"/>
      <c r="T69" s="3"/>
      <c r="U69" s="3"/>
      <c r="V69" s="3"/>
      <c r="W69" s="3"/>
      <c r="X69" s="3"/>
    </row>
    <row r="70" spans="1:24" ht="18.75">
      <c r="A70" s="8">
        <v>141</v>
      </c>
      <c r="B70" s="8">
        <v>1190305158</v>
      </c>
      <c r="C70" s="47" t="s">
        <v>55</v>
      </c>
      <c r="D70" s="50"/>
      <c r="E70" s="10">
        <v>0</v>
      </c>
      <c r="F70" s="10">
        <v>0</v>
      </c>
      <c r="G70" s="39" t="s">
        <v>34</v>
      </c>
      <c r="H70" s="11">
        <f t="shared" si="12"/>
        <v>0</v>
      </c>
      <c r="I70" s="10">
        <f t="shared" si="13"/>
        <v>0</v>
      </c>
      <c r="J70" s="10">
        <v>0</v>
      </c>
      <c r="K70" s="10">
        <f t="shared" si="14"/>
        <v>0</v>
      </c>
      <c r="L70" s="17">
        <v>2</v>
      </c>
      <c r="M70" s="18">
        <f t="shared" si="15"/>
        <v>2</v>
      </c>
      <c r="N70" s="19">
        <f t="shared" si="16"/>
        <v>0</v>
      </c>
      <c r="O70" s="20">
        <f t="shared" si="17"/>
        <v>2</v>
      </c>
      <c r="P70" s="11"/>
      <c r="Q70" s="11"/>
      <c r="R70" s="31"/>
    </row>
    <row r="71" spans="1:24" ht="18.75">
      <c r="A71" s="8">
        <v>199</v>
      </c>
      <c r="B71" s="8">
        <v>1190213504</v>
      </c>
      <c r="C71" s="47" t="s">
        <v>117</v>
      </c>
      <c r="D71" s="46"/>
      <c r="E71" s="10">
        <v>0</v>
      </c>
      <c r="F71" s="10">
        <v>0</v>
      </c>
      <c r="G71" s="39" t="s">
        <v>34</v>
      </c>
      <c r="H71" s="11">
        <f t="shared" si="12"/>
        <v>0</v>
      </c>
      <c r="I71" s="10">
        <f t="shared" si="13"/>
        <v>0</v>
      </c>
      <c r="J71" s="10">
        <v>0</v>
      </c>
      <c r="K71" s="10">
        <f t="shared" si="14"/>
        <v>0</v>
      </c>
      <c r="L71" s="17">
        <v>1</v>
      </c>
      <c r="M71" s="18">
        <f t="shared" si="15"/>
        <v>1</v>
      </c>
      <c r="N71" s="19">
        <f t="shared" si="16"/>
        <v>0</v>
      </c>
      <c r="O71" s="20">
        <f t="shared" si="17"/>
        <v>1</v>
      </c>
      <c r="P71" s="4"/>
      <c r="Q71" s="4"/>
      <c r="R71" s="4"/>
    </row>
    <row r="72" spans="1:24" ht="18.75">
      <c r="A72" s="8">
        <v>204</v>
      </c>
      <c r="B72" s="8">
        <v>1449474852</v>
      </c>
      <c r="C72" s="47" t="s">
        <v>113</v>
      </c>
      <c r="D72" s="46"/>
      <c r="E72" s="10">
        <v>0</v>
      </c>
      <c r="F72" s="10">
        <v>0</v>
      </c>
      <c r="G72" s="39" t="s">
        <v>34</v>
      </c>
      <c r="H72" s="11">
        <f t="shared" si="12"/>
        <v>0</v>
      </c>
      <c r="I72" s="10">
        <f t="shared" si="13"/>
        <v>0</v>
      </c>
      <c r="J72" s="10">
        <v>0</v>
      </c>
      <c r="K72" s="10">
        <f t="shared" si="14"/>
        <v>0</v>
      </c>
      <c r="L72" s="17">
        <v>1</v>
      </c>
      <c r="M72" s="18">
        <f t="shared" si="15"/>
        <v>1</v>
      </c>
      <c r="N72" s="19">
        <f t="shared" si="16"/>
        <v>0</v>
      </c>
      <c r="O72" s="20">
        <f t="shared" si="17"/>
        <v>1</v>
      </c>
      <c r="P72" s="4"/>
      <c r="Q72" s="4"/>
      <c r="R72" s="4"/>
    </row>
    <row r="73" spans="1:24" ht="18.75">
      <c r="A73" s="8">
        <v>192</v>
      </c>
      <c r="B73" s="8">
        <v>1725281178</v>
      </c>
      <c r="C73" s="47" t="s">
        <v>102</v>
      </c>
      <c r="D73" s="46"/>
      <c r="E73" s="10">
        <v>0</v>
      </c>
      <c r="F73" s="10">
        <v>0</v>
      </c>
      <c r="G73" s="39" t="s">
        <v>34</v>
      </c>
      <c r="H73" s="11">
        <f t="shared" si="12"/>
        <v>0</v>
      </c>
      <c r="I73" s="10">
        <f t="shared" si="13"/>
        <v>0</v>
      </c>
      <c r="J73" s="10">
        <v>0</v>
      </c>
      <c r="K73" s="10">
        <f t="shared" si="14"/>
        <v>0</v>
      </c>
      <c r="L73" s="17">
        <v>1</v>
      </c>
      <c r="M73" s="18">
        <f t="shared" si="15"/>
        <v>1</v>
      </c>
      <c r="N73" s="19">
        <f t="shared" si="16"/>
        <v>0</v>
      </c>
      <c r="O73" s="20">
        <f t="shared" si="17"/>
        <v>1</v>
      </c>
      <c r="P73" s="4"/>
      <c r="Q73" s="4"/>
      <c r="R73" s="4"/>
    </row>
    <row r="74" spans="1:24" ht="18.75">
      <c r="A74" s="8">
        <v>201</v>
      </c>
      <c r="B74" s="8">
        <v>251334814</v>
      </c>
      <c r="C74" s="47" t="s">
        <v>110</v>
      </c>
      <c r="D74" s="46"/>
      <c r="E74" s="10">
        <v>0</v>
      </c>
      <c r="F74" s="10">
        <v>0</v>
      </c>
      <c r="G74" s="39" t="s">
        <v>34</v>
      </c>
      <c r="H74" s="11">
        <f t="shared" si="12"/>
        <v>0</v>
      </c>
      <c r="I74" s="10">
        <f t="shared" si="13"/>
        <v>0</v>
      </c>
      <c r="J74" s="10">
        <v>0</v>
      </c>
      <c r="K74" s="10">
        <f t="shared" si="14"/>
        <v>0</v>
      </c>
      <c r="L74" s="17">
        <v>1</v>
      </c>
      <c r="M74" s="18">
        <f t="shared" si="15"/>
        <v>1</v>
      </c>
      <c r="N74" s="19">
        <f t="shared" si="16"/>
        <v>0</v>
      </c>
      <c r="O74" s="20">
        <f t="shared" si="17"/>
        <v>1</v>
      </c>
      <c r="P74" s="4"/>
      <c r="Q74" s="4"/>
      <c r="R74" s="4"/>
    </row>
    <row r="75" spans="1:24" ht="18.75">
      <c r="A75" s="8">
        <v>148</v>
      </c>
      <c r="B75" s="8">
        <v>1579518877</v>
      </c>
      <c r="C75" s="47" t="s">
        <v>59</v>
      </c>
      <c r="D75" s="50"/>
      <c r="E75" s="10">
        <v>0</v>
      </c>
      <c r="F75" s="10">
        <v>0</v>
      </c>
      <c r="G75" s="39" t="s">
        <v>34</v>
      </c>
      <c r="H75" s="11">
        <f t="shared" si="12"/>
        <v>0</v>
      </c>
      <c r="I75" s="10">
        <f t="shared" si="13"/>
        <v>0</v>
      </c>
      <c r="J75" s="10">
        <v>0</v>
      </c>
      <c r="K75" s="10">
        <f t="shared" si="14"/>
        <v>0</v>
      </c>
      <c r="L75" s="17">
        <v>1</v>
      </c>
      <c r="M75" s="18">
        <f t="shared" si="15"/>
        <v>1</v>
      </c>
      <c r="N75" s="19">
        <f t="shared" si="16"/>
        <v>0</v>
      </c>
      <c r="O75" s="20">
        <f t="shared" si="17"/>
        <v>1</v>
      </c>
      <c r="P75" s="4"/>
      <c r="Q75" s="4"/>
      <c r="R75" s="4"/>
    </row>
    <row r="76" spans="1:24" ht="18.75">
      <c r="A76" s="8">
        <v>144</v>
      </c>
      <c r="B76" s="8">
        <v>1763923855</v>
      </c>
      <c r="C76" s="47" t="s">
        <v>57</v>
      </c>
      <c r="D76" s="53"/>
      <c r="E76" s="10">
        <v>0</v>
      </c>
      <c r="F76" s="10">
        <v>0</v>
      </c>
      <c r="G76" s="39" t="s">
        <v>34</v>
      </c>
      <c r="H76" s="11">
        <f t="shared" si="12"/>
        <v>0</v>
      </c>
      <c r="I76" s="10">
        <f t="shared" si="13"/>
        <v>0</v>
      </c>
      <c r="J76" s="10">
        <v>0</v>
      </c>
      <c r="K76" s="10">
        <f t="shared" si="14"/>
        <v>0</v>
      </c>
      <c r="L76" s="17">
        <v>1</v>
      </c>
      <c r="M76" s="18">
        <f t="shared" si="15"/>
        <v>1</v>
      </c>
      <c r="N76" s="19">
        <f t="shared" si="16"/>
        <v>0</v>
      </c>
      <c r="O76" s="20">
        <f t="shared" si="17"/>
        <v>1</v>
      </c>
      <c r="P76" s="4"/>
      <c r="Q76" s="4"/>
      <c r="R76" s="4"/>
    </row>
    <row r="77" spans="1:24" ht="18.75">
      <c r="A77" s="8">
        <v>152</v>
      </c>
      <c r="B77" s="8">
        <v>808637979</v>
      </c>
      <c r="C77" s="47" t="s">
        <v>62</v>
      </c>
      <c r="D77" s="47" t="s">
        <v>60</v>
      </c>
      <c r="E77" s="10">
        <v>0</v>
      </c>
      <c r="F77" s="10">
        <v>0</v>
      </c>
      <c r="G77" s="39" t="s">
        <v>34</v>
      </c>
      <c r="H77" s="11">
        <f t="shared" si="12"/>
        <v>0</v>
      </c>
      <c r="I77" s="10">
        <f t="shared" si="13"/>
        <v>0</v>
      </c>
      <c r="J77" s="10">
        <v>0</v>
      </c>
      <c r="K77" s="10">
        <f t="shared" si="14"/>
        <v>0</v>
      </c>
      <c r="L77" s="17">
        <v>0</v>
      </c>
      <c r="M77" s="18">
        <f t="shared" si="15"/>
        <v>0</v>
      </c>
      <c r="N77" s="19">
        <f t="shared" si="16"/>
        <v>0</v>
      </c>
      <c r="O77" s="20">
        <f t="shared" si="17"/>
        <v>0</v>
      </c>
      <c r="P77" s="4"/>
      <c r="Q77" s="4"/>
      <c r="R77" s="4"/>
    </row>
    <row r="78" spans="1:24" ht="18.75">
      <c r="A78" s="8">
        <v>170</v>
      </c>
      <c r="B78" s="8">
        <v>1659068972</v>
      </c>
      <c r="C78" s="47" t="s">
        <v>66</v>
      </c>
      <c r="D78" s="46"/>
      <c r="E78" s="10">
        <v>0</v>
      </c>
      <c r="F78" s="10">
        <v>0</v>
      </c>
      <c r="G78" s="39" t="s">
        <v>34</v>
      </c>
      <c r="H78" s="11">
        <f t="shared" si="12"/>
        <v>0</v>
      </c>
      <c r="I78" s="10">
        <f t="shared" si="13"/>
        <v>0</v>
      </c>
      <c r="J78" s="10">
        <v>0</v>
      </c>
      <c r="K78" s="10">
        <f t="shared" si="14"/>
        <v>0</v>
      </c>
      <c r="L78" s="17">
        <v>0</v>
      </c>
      <c r="M78" s="18">
        <f t="shared" si="15"/>
        <v>0</v>
      </c>
      <c r="N78" s="19">
        <f t="shared" si="16"/>
        <v>0</v>
      </c>
      <c r="O78" s="20">
        <f t="shared" si="17"/>
        <v>0</v>
      </c>
      <c r="P78" s="4"/>
      <c r="Q78" s="4"/>
      <c r="R78" s="4"/>
    </row>
    <row r="79" spans="1:24" ht="18.75">
      <c r="A79" s="8">
        <v>167</v>
      </c>
      <c r="B79" s="8">
        <v>1173807161</v>
      </c>
      <c r="C79" s="47" t="s">
        <v>67</v>
      </c>
      <c r="D79" s="52"/>
      <c r="E79" s="10">
        <v>0</v>
      </c>
      <c r="F79" s="10">
        <v>0</v>
      </c>
      <c r="G79" s="39" t="s">
        <v>34</v>
      </c>
      <c r="H79" s="11">
        <f t="shared" si="12"/>
        <v>0</v>
      </c>
      <c r="I79" s="10">
        <f t="shared" si="13"/>
        <v>0</v>
      </c>
      <c r="J79" s="10">
        <v>0</v>
      </c>
      <c r="K79" s="10">
        <f t="shared" si="14"/>
        <v>0</v>
      </c>
      <c r="L79" s="17">
        <v>0</v>
      </c>
      <c r="M79" s="18">
        <f t="shared" si="15"/>
        <v>0</v>
      </c>
      <c r="N79" s="19">
        <f t="shared" si="16"/>
        <v>0</v>
      </c>
      <c r="O79" s="20">
        <f t="shared" si="17"/>
        <v>0</v>
      </c>
      <c r="P79" s="4"/>
      <c r="Q79" s="4"/>
      <c r="R79" s="4"/>
    </row>
    <row r="80" spans="1:24" ht="18.75">
      <c r="A80" s="8">
        <v>138</v>
      </c>
      <c r="B80" s="8">
        <v>1440730282</v>
      </c>
      <c r="C80" s="47" t="s">
        <v>86</v>
      </c>
      <c r="D80" s="47" t="s">
        <v>54</v>
      </c>
      <c r="E80" s="10">
        <v>0</v>
      </c>
      <c r="F80" s="10">
        <v>0</v>
      </c>
      <c r="G80" s="39" t="s">
        <v>34</v>
      </c>
      <c r="H80" s="11">
        <f t="shared" si="12"/>
        <v>0</v>
      </c>
      <c r="I80" s="10">
        <f t="shared" si="13"/>
        <v>0</v>
      </c>
      <c r="J80" s="10">
        <v>0</v>
      </c>
      <c r="K80" s="10">
        <f t="shared" si="14"/>
        <v>0</v>
      </c>
      <c r="L80" s="17">
        <v>0</v>
      </c>
      <c r="M80" s="18">
        <f t="shared" si="15"/>
        <v>0</v>
      </c>
      <c r="N80" s="19">
        <f t="shared" si="16"/>
        <v>0</v>
      </c>
      <c r="O80" s="20">
        <f t="shared" si="17"/>
        <v>0</v>
      </c>
      <c r="P80" s="11"/>
      <c r="Q80" s="11"/>
      <c r="R80" s="31"/>
    </row>
    <row r="81" spans="1:18" ht="18.75">
      <c r="A81" s="8">
        <v>127</v>
      </c>
      <c r="B81" s="8">
        <v>615908706</v>
      </c>
      <c r="C81" s="47" t="s">
        <v>84</v>
      </c>
      <c r="D81" s="50" t="s">
        <v>46</v>
      </c>
      <c r="E81" s="10">
        <v>0</v>
      </c>
      <c r="F81" s="10">
        <v>0</v>
      </c>
      <c r="G81" s="39" t="s">
        <v>34</v>
      </c>
      <c r="H81" s="11">
        <f t="shared" si="12"/>
        <v>0</v>
      </c>
      <c r="I81" s="10">
        <f t="shared" si="13"/>
        <v>0</v>
      </c>
      <c r="J81" s="10">
        <v>0</v>
      </c>
      <c r="K81" s="10">
        <f t="shared" si="14"/>
        <v>0</v>
      </c>
      <c r="L81" s="17">
        <v>0</v>
      </c>
      <c r="M81" s="18">
        <f t="shared" si="15"/>
        <v>0</v>
      </c>
      <c r="N81" s="19">
        <f t="shared" si="16"/>
        <v>0</v>
      </c>
      <c r="O81" s="20">
        <f t="shared" si="17"/>
        <v>0</v>
      </c>
      <c r="P81" s="40"/>
      <c r="Q81" s="40"/>
      <c r="R81" s="41"/>
    </row>
    <row r="82" spans="1:18" ht="18.75">
      <c r="A82" s="9">
        <v>43</v>
      </c>
      <c r="B82" s="8">
        <v>1853818182</v>
      </c>
      <c r="C82" s="48" t="s">
        <v>78</v>
      </c>
      <c r="D82" s="48" t="s">
        <v>14</v>
      </c>
      <c r="E82" s="10">
        <v>0</v>
      </c>
      <c r="F82" s="10">
        <v>0</v>
      </c>
      <c r="G82" s="39" t="s">
        <v>34</v>
      </c>
      <c r="H82" s="11">
        <f t="shared" si="12"/>
        <v>0</v>
      </c>
      <c r="I82" s="10">
        <f t="shared" si="13"/>
        <v>0</v>
      </c>
      <c r="J82" s="10">
        <v>0</v>
      </c>
      <c r="K82" s="10">
        <f t="shared" si="14"/>
        <v>0</v>
      </c>
      <c r="L82" s="17">
        <v>0</v>
      </c>
      <c r="M82" s="18">
        <f t="shared" si="15"/>
        <v>0</v>
      </c>
      <c r="N82" s="19">
        <f t="shared" si="16"/>
        <v>0</v>
      </c>
      <c r="O82" s="20">
        <f t="shared" si="17"/>
        <v>0</v>
      </c>
      <c r="P82" s="40"/>
      <c r="Q82" s="40"/>
    </row>
    <row r="83" spans="1:18" ht="18.75">
      <c r="A83" s="8">
        <v>197</v>
      </c>
      <c r="B83" s="8">
        <v>2012003193</v>
      </c>
      <c r="C83" s="47" t="s">
        <v>107</v>
      </c>
      <c r="D83" s="46"/>
      <c r="E83" s="10">
        <v>0</v>
      </c>
      <c r="F83" s="10">
        <v>0</v>
      </c>
      <c r="G83" s="39" t="s">
        <v>34</v>
      </c>
      <c r="H83" s="11">
        <f t="shared" si="12"/>
        <v>0</v>
      </c>
      <c r="I83" s="10">
        <f t="shared" si="13"/>
        <v>0</v>
      </c>
      <c r="J83" s="10">
        <v>0</v>
      </c>
      <c r="K83" s="10">
        <f t="shared" si="14"/>
        <v>0</v>
      </c>
      <c r="L83" s="17">
        <v>0</v>
      </c>
      <c r="M83" s="18">
        <f t="shared" si="15"/>
        <v>0</v>
      </c>
      <c r="N83" s="19">
        <f t="shared" si="16"/>
        <v>0</v>
      </c>
      <c r="O83" s="20">
        <f t="shared" si="17"/>
        <v>0</v>
      </c>
    </row>
    <row r="84" spans="1:18" ht="18.75">
      <c r="A84" s="8">
        <v>164</v>
      </c>
      <c r="B84" s="8">
        <v>1005320430</v>
      </c>
      <c r="C84" s="47" t="s">
        <v>65</v>
      </c>
      <c r="D84" s="45"/>
      <c r="E84" s="10">
        <v>0</v>
      </c>
      <c r="F84" s="10">
        <v>0</v>
      </c>
      <c r="G84" s="39" t="s">
        <v>34</v>
      </c>
      <c r="H84" s="11">
        <f t="shared" si="12"/>
        <v>0</v>
      </c>
      <c r="I84" s="10">
        <f t="shared" si="13"/>
        <v>0</v>
      </c>
      <c r="J84" s="10">
        <v>0</v>
      </c>
      <c r="K84" s="10">
        <f t="shared" si="14"/>
        <v>0</v>
      </c>
      <c r="L84" s="17">
        <v>0</v>
      </c>
      <c r="M84" s="18">
        <f t="shared" si="15"/>
        <v>0</v>
      </c>
      <c r="N84" s="19">
        <f t="shared" si="16"/>
        <v>0</v>
      </c>
      <c r="O84" s="20">
        <f t="shared" si="17"/>
        <v>0</v>
      </c>
    </row>
    <row r="85" spans="1:18" ht="18.75">
      <c r="A85" s="9">
        <v>122</v>
      </c>
      <c r="B85" s="8">
        <v>1940099728</v>
      </c>
      <c r="C85" s="48" t="s">
        <v>43</v>
      </c>
      <c r="D85" s="49"/>
      <c r="E85" s="10">
        <v>0</v>
      </c>
      <c r="F85" s="10">
        <v>0</v>
      </c>
      <c r="G85" s="39" t="s">
        <v>34</v>
      </c>
      <c r="H85" s="11">
        <f t="shared" si="12"/>
        <v>0</v>
      </c>
      <c r="I85" s="10">
        <f t="shared" si="13"/>
        <v>0</v>
      </c>
      <c r="J85" s="10">
        <v>0</v>
      </c>
      <c r="K85" s="10">
        <f t="shared" si="14"/>
        <v>0</v>
      </c>
      <c r="L85" s="17">
        <v>0</v>
      </c>
      <c r="M85" s="18">
        <f t="shared" si="15"/>
        <v>0</v>
      </c>
      <c r="N85" s="19">
        <f t="shared" si="16"/>
        <v>0</v>
      </c>
      <c r="O85" s="20">
        <f t="shared" si="17"/>
        <v>0</v>
      </c>
      <c r="P85" s="40"/>
      <c r="Q85" s="40"/>
      <c r="R85" s="41"/>
    </row>
    <row r="86" spans="1:18" ht="18.75">
      <c r="A86" s="8">
        <v>179</v>
      </c>
      <c r="B86" s="8">
        <v>1412638269</v>
      </c>
      <c r="C86" s="48" t="s">
        <v>42</v>
      </c>
      <c r="D86" s="46"/>
      <c r="E86" s="10">
        <v>0</v>
      </c>
      <c r="F86" s="10">
        <v>0</v>
      </c>
      <c r="G86" s="39" t="s">
        <v>34</v>
      </c>
      <c r="H86" s="11">
        <f t="shared" si="12"/>
        <v>0</v>
      </c>
      <c r="I86" s="10">
        <f t="shared" si="13"/>
        <v>0</v>
      </c>
      <c r="J86" s="10">
        <v>0</v>
      </c>
      <c r="K86" s="10">
        <f t="shared" si="14"/>
        <v>0</v>
      </c>
      <c r="L86" s="17">
        <v>0</v>
      </c>
      <c r="M86" s="18">
        <f t="shared" si="15"/>
        <v>0</v>
      </c>
      <c r="N86" s="19">
        <f t="shared" si="16"/>
        <v>0</v>
      </c>
      <c r="O86" s="20">
        <f t="shared" si="17"/>
        <v>0</v>
      </c>
    </row>
    <row r="87" spans="1:18" ht="18.75">
      <c r="A87" s="8">
        <v>156</v>
      </c>
      <c r="B87" s="8">
        <v>1754610165</v>
      </c>
      <c r="C87" s="47" t="s">
        <v>88</v>
      </c>
      <c r="D87" s="45"/>
      <c r="E87" s="10">
        <v>0</v>
      </c>
      <c r="F87" s="10">
        <v>0</v>
      </c>
      <c r="G87" s="39" t="s">
        <v>34</v>
      </c>
      <c r="H87" s="11">
        <f t="shared" si="12"/>
        <v>0</v>
      </c>
      <c r="I87" s="10">
        <f t="shared" si="13"/>
        <v>0</v>
      </c>
      <c r="J87" s="10">
        <v>0</v>
      </c>
      <c r="K87" s="10">
        <f t="shared" si="14"/>
        <v>0</v>
      </c>
      <c r="L87" s="17">
        <v>-3.125</v>
      </c>
      <c r="M87" s="18">
        <f t="shared" si="15"/>
        <v>-3.125</v>
      </c>
      <c r="N87" s="19">
        <f t="shared" si="16"/>
        <v>0</v>
      </c>
      <c r="O87" s="20">
        <f t="shared" si="17"/>
        <v>-3.125</v>
      </c>
    </row>
    <row r="88" spans="1:18" ht="18.75">
      <c r="A88" s="8">
        <v>172</v>
      </c>
      <c r="B88" s="8">
        <v>724061220</v>
      </c>
      <c r="C88" s="47" t="s">
        <v>90</v>
      </c>
      <c r="D88" s="47" t="s">
        <v>71</v>
      </c>
      <c r="E88" s="10">
        <v>0</v>
      </c>
      <c r="F88" s="10">
        <v>0</v>
      </c>
      <c r="G88" s="39" t="s">
        <v>34</v>
      </c>
      <c r="H88" s="11">
        <f t="shared" si="12"/>
        <v>0</v>
      </c>
      <c r="I88" s="10">
        <f t="shared" si="13"/>
        <v>0</v>
      </c>
      <c r="J88" s="10">
        <v>0</v>
      </c>
      <c r="K88" s="10">
        <f t="shared" si="14"/>
        <v>0</v>
      </c>
      <c r="L88" s="17">
        <v>-3.125</v>
      </c>
      <c r="M88" s="18">
        <f t="shared" si="15"/>
        <v>-3.125</v>
      </c>
      <c r="N88" s="19">
        <f t="shared" si="16"/>
        <v>0</v>
      </c>
      <c r="O88" s="20">
        <f t="shared" si="17"/>
        <v>-3.125</v>
      </c>
    </row>
    <row r="89" spans="1:18" ht="18.75">
      <c r="A89" s="8">
        <v>195</v>
      </c>
      <c r="B89" s="8">
        <v>1634663314</v>
      </c>
      <c r="C89" s="47" t="s">
        <v>105</v>
      </c>
      <c r="D89" s="46"/>
      <c r="E89" s="10">
        <v>0</v>
      </c>
      <c r="F89" s="10">
        <v>0</v>
      </c>
      <c r="G89" s="39" t="s">
        <v>34</v>
      </c>
      <c r="H89" s="11">
        <f t="shared" si="12"/>
        <v>0</v>
      </c>
      <c r="I89" s="10">
        <f t="shared" si="13"/>
        <v>0</v>
      </c>
      <c r="J89" s="10">
        <v>0</v>
      </c>
      <c r="K89" s="10">
        <f t="shared" si="14"/>
        <v>0</v>
      </c>
      <c r="L89" s="17">
        <v>-3.125</v>
      </c>
      <c r="M89" s="18">
        <f t="shared" si="15"/>
        <v>-3.125</v>
      </c>
      <c r="N89" s="19">
        <f t="shared" si="16"/>
        <v>0</v>
      </c>
      <c r="O89" s="20">
        <f t="shared" si="17"/>
        <v>-3.125</v>
      </c>
    </row>
    <row r="90" spans="1:18" ht="18.75">
      <c r="A90" s="8">
        <v>194</v>
      </c>
      <c r="B90" s="8">
        <v>648785109</v>
      </c>
      <c r="C90" s="47" t="s">
        <v>104</v>
      </c>
      <c r="D90" s="46"/>
      <c r="E90" s="10">
        <v>0</v>
      </c>
      <c r="F90" s="10">
        <v>0</v>
      </c>
      <c r="G90" s="39" t="s">
        <v>34</v>
      </c>
      <c r="H90" s="11">
        <f t="shared" si="12"/>
        <v>0</v>
      </c>
      <c r="I90" s="10">
        <f t="shared" si="13"/>
        <v>0</v>
      </c>
      <c r="J90" s="10">
        <v>0</v>
      </c>
      <c r="K90" s="10">
        <f t="shared" si="14"/>
        <v>0</v>
      </c>
      <c r="L90" s="17">
        <v>-3.125</v>
      </c>
      <c r="M90" s="18">
        <f t="shared" si="15"/>
        <v>-3.125</v>
      </c>
      <c r="N90" s="19">
        <f t="shared" si="16"/>
        <v>0</v>
      </c>
      <c r="O90" s="20">
        <f t="shared" si="17"/>
        <v>-3.125</v>
      </c>
    </row>
    <row r="91" spans="1:18" ht="18.75">
      <c r="A91" s="8">
        <v>180</v>
      </c>
      <c r="B91" s="8">
        <v>24633249</v>
      </c>
      <c r="C91" s="48" t="s">
        <v>72</v>
      </c>
      <c r="D91" s="46"/>
      <c r="E91" s="10">
        <v>0</v>
      </c>
      <c r="F91" s="10">
        <v>0</v>
      </c>
      <c r="G91" s="39" t="s">
        <v>34</v>
      </c>
      <c r="H91" s="11">
        <f t="shared" si="12"/>
        <v>0</v>
      </c>
      <c r="I91" s="10">
        <f t="shared" si="13"/>
        <v>0</v>
      </c>
      <c r="J91" s="10">
        <v>0</v>
      </c>
      <c r="K91" s="10">
        <f t="shared" si="14"/>
        <v>0</v>
      </c>
      <c r="L91" s="17">
        <v>-3.125</v>
      </c>
      <c r="M91" s="18">
        <f t="shared" si="15"/>
        <v>-3.125</v>
      </c>
      <c r="N91" s="19">
        <f t="shared" si="16"/>
        <v>0</v>
      </c>
      <c r="O91" s="20">
        <f t="shared" si="17"/>
        <v>-3.125</v>
      </c>
    </row>
    <row r="92" spans="1:18" ht="18.75">
      <c r="A92" s="8">
        <v>174</v>
      </c>
      <c r="B92" s="8">
        <v>775720958</v>
      </c>
      <c r="C92" s="47" t="s">
        <v>116</v>
      </c>
      <c r="D92" s="47" t="s">
        <v>69</v>
      </c>
      <c r="E92" s="10">
        <v>0</v>
      </c>
      <c r="F92" s="10">
        <v>0</v>
      </c>
      <c r="G92" s="39" t="s">
        <v>34</v>
      </c>
      <c r="H92" s="11">
        <f t="shared" si="12"/>
        <v>0</v>
      </c>
      <c r="I92" s="10">
        <f t="shared" si="13"/>
        <v>0</v>
      </c>
      <c r="J92" s="10">
        <v>0</v>
      </c>
      <c r="K92" s="10">
        <f t="shared" si="14"/>
        <v>0</v>
      </c>
      <c r="L92" s="17">
        <v>-1.25</v>
      </c>
      <c r="M92" s="18">
        <f t="shared" si="15"/>
        <v>-1.25</v>
      </c>
      <c r="N92" s="19">
        <f t="shared" si="16"/>
        <v>0</v>
      </c>
      <c r="O92" s="20">
        <f t="shared" si="17"/>
        <v>-1.25</v>
      </c>
    </row>
    <row r="93" spans="1:18" ht="18.75">
      <c r="A93" s="8">
        <v>116</v>
      </c>
      <c r="B93" s="8">
        <v>2122596917</v>
      </c>
      <c r="C93" s="47" t="s">
        <v>82</v>
      </c>
      <c r="D93" s="48" t="s">
        <v>41</v>
      </c>
      <c r="E93" s="10">
        <v>0</v>
      </c>
      <c r="F93" s="10">
        <v>0</v>
      </c>
      <c r="G93" s="39" t="s">
        <v>34</v>
      </c>
      <c r="H93" s="11">
        <f t="shared" si="12"/>
        <v>0</v>
      </c>
      <c r="I93" s="10">
        <f t="shared" si="13"/>
        <v>0</v>
      </c>
      <c r="J93" s="10">
        <v>0</v>
      </c>
      <c r="K93" s="10">
        <f t="shared" si="14"/>
        <v>0</v>
      </c>
      <c r="L93" s="17">
        <v>-1.25</v>
      </c>
      <c r="M93" s="18">
        <f t="shared" si="15"/>
        <v>-1.25</v>
      </c>
      <c r="N93" s="19">
        <f t="shared" si="16"/>
        <v>0</v>
      </c>
      <c r="O93" s="20">
        <f t="shared" si="17"/>
        <v>-1.25</v>
      </c>
      <c r="P93" s="40"/>
      <c r="Q93" s="40"/>
      <c r="R93" s="42"/>
    </row>
    <row r="94" spans="1:18" ht="18.75">
      <c r="A94" s="8">
        <v>202</v>
      </c>
      <c r="B94" s="8">
        <v>471245585</v>
      </c>
      <c r="C94" s="47" t="s">
        <v>111</v>
      </c>
      <c r="D94" s="46"/>
      <c r="E94" s="10">
        <v>0</v>
      </c>
      <c r="F94" s="10">
        <v>0</v>
      </c>
      <c r="G94" s="39" t="s">
        <v>34</v>
      </c>
      <c r="H94" s="11">
        <f t="shared" si="12"/>
        <v>0</v>
      </c>
      <c r="I94" s="10">
        <f t="shared" si="13"/>
        <v>0</v>
      </c>
      <c r="J94" s="10">
        <v>0</v>
      </c>
      <c r="K94" s="10">
        <f t="shared" si="14"/>
        <v>0</v>
      </c>
      <c r="L94" s="17">
        <v>-1.25</v>
      </c>
      <c r="M94" s="18">
        <f t="shared" si="15"/>
        <v>-1.25</v>
      </c>
      <c r="N94" s="19">
        <f t="shared" si="16"/>
        <v>0</v>
      </c>
      <c r="O94" s="20">
        <f t="shared" si="17"/>
        <v>-1.25</v>
      </c>
    </row>
    <row r="95" spans="1:18" ht="18.75">
      <c r="A95" s="8">
        <v>193</v>
      </c>
      <c r="B95" s="8">
        <v>2125731287</v>
      </c>
      <c r="C95" s="47" t="s">
        <v>103</v>
      </c>
      <c r="D95" s="46"/>
      <c r="E95" s="10">
        <v>0</v>
      </c>
      <c r="F95" s="10">
        <v>0</v>
      </c>
      <c r="G95" s="39" t="s">
        <v>34</v>
      </c>
      <c r="H95" s="11">
        <f t="shared" si="12"/>
        <v>0</v>
      </c>
      <c r="I95" s="10">
        <f t="shared" si="13"/>
        <v>0</v>
      </c>
      <c r="J95" s="10">
        <v>0</v>
      </c>
      <c r="K95" s="10">
        <f t="shared" si="14"/>
        <v>0</v>
      </c>
      <c r="L95" s="17">
        <v>-1.25</v>
      </c>
      <c r="M95" s="18">
        <f t="shared" si="15"/>
        <v>-1.25</v>
      </c>
      <c r="N95" s="19">
        <f t="shared" si="16"/>
        <v>0</v>
      </c>
      <c r="O95" s="20">
        <f t="shared" si="17"/>
        <v>-1.25</v>
      </c>
    </row>
    <row r="96" spans="1:18" ht="18.75">
      <c r="A96" s="9">
        <v>15</v>
      </c>
      <c r="B96" s="8">
        <v>388960345</v>
      </c>
      <c r="C96" s="48" t="s">
        <v>11</v>
      </c>
      <c r="D96" s="49"/>
      <c r="E96" s="10">
        <v>0</v>
      </c>
      <c r="F96" s="10">
        <v>0</v>
      </c>
      <c r="G96" s="39" t="s">
        <v>34</v>
      </c>
      <c r="H96" s="11">
        <f t="shared" si="12"/>
        <v>0</v>
      </c>
      <c r="I96" s="10">
        <f t="shared" si="13"/>
        <v>0</v>
      </c>
      <c r="J96" s="10">
        <v>0</v>
      </c>
      <c r="K96" s="10">
        <f t="shared" si="14"/>
        <v>0</v>
      </c>
      <c r="L96" s="17">
        <v>0.625</v>
      </c>
      <c r="M96" s="18">
        <f t="shared" si="15"/>
        <v>0.625</v>
      </c>
      <c r="N96" s="19">
        <f t="shared" si="16"/>
        <v>0</v>
      </c>
      <c r="O96" s="20">
        <f t="shared" si="17"/>
        <v>0.625</v>
      </c>
      <c r="P96" s="40"/>
      <c r="Q96" s="40"/>
      <c r="R96" s="40"/>
    </row>
    <row r="97" spans="1:18" ht="18.75">
      <c r="A97" s="8">
        <v>185</v>
      </c>
      <c r="B97" s="8">
        <v>30705222</v>
      </c>
      <c r="C97" s="47" t="s">
        <v>95</v>
      </c>
      <c r="D97" s="46"/>
      <c r="E97" s="10">
        <v>0</v>
      </c>
      <c r="F97" s="10">
        <v>0</v>
      </c>
      <c r="G97" s="39" t="s">
        <v>34</v>
      </c>
      <c r="H97" s="11">
        <f t="shared" si="12"/>
        <v>0</v>
      </c>
      <c r="I97" s="10">
        <f t="shared" si="13"/>
        <v>0</v>
      </c>
      <c r="J97" s="10">
        <v>0</v>
      </c>
      <c r="K97" s="10">
        <f t="shared" si="14"/>
        <v>0</v>
      </c>
      <c r="L97" s="17">
        <v>0.625</v>
      </c>
      <c r="M97" s="18">
        <f t="shared" si="15"/>
        <v>0.625</v>
      </c>
      <c r="N97" s="19">
        <f t="shared" si="16"/>
        <v>0</v>
      </c>
      <c r="O97" s="20">
        <f t="shared" si="17"/>
        <v>0.625</v>
      </c>
    </row>
    <row r="98" spans="1:18" ht="18.75">
      <c r="A98" s="8">
        <v>178</v>
      </c>
      <c r="B98" s="8">
        <v>1059185275</v>
      </c>
      <c r="C98" s="47" t="s">
        <v>91</v>
      </c>
      <c r="D98" s="46"/>
      <c r="E98" s="10">
        <v>0</v>
      </c>
      <c r="F98" s="10">
        <v>0</v>
      </c>
      <c r="G98" s="39" t="s">
        <v>34</v>
      </c>
      <c r="H98" s="11">
        <f t="shared" si="12"/>
        <v>0</v>
      </c>
      <c r="I98" s="10">
        <f t="shared" si="13"/>
        <v>0</v>
      </c>
      <c r="J98" s="10">
        <v>0</v>
      </c>
      <c r="K98" s="10">
        <f t="shared" si="14"/>
        <v>0</v>
      </c>
      <c r="L98" s="17">
        <v>0.625</v>
      </c>
      <c r="M98" s="18">
        <f t="shared" si="15"/>
        <v>0.625</v>
      </c>
      <c r="N98" s="19">
        <f t="shared" si="16"/>
        <v>0</v>
      </c>
      <c r="O98" s="20">
        <f t="shared" si="17"/>
        <v>0.625</v>
      </c>
    </row>
    <row r="99" spans="1:18" ht="18.75">
      <c r="A99" s="8">
        <v>189</v>
      </c>
      <c r="B99" s="8">
        <v>522812489</v>
      </c>
      <c r="C99" s="47" t="s">
        <v>99</v>
      </c>
      <c r="D99" s="46"/>
      <c r="E99" s="10">
        <v>0</v>
      </c>
      <c r="F99" s="10">
        <v>0</v>
      </c>
      <c r="G99" s="39" t="s">
        <v>34</v>
      </c>
      <c r="H99" s="11">
        <f t="shared" si="12"/>
        <v>0</v>
      </c>
      <c r="I99" s="10">
        <f t="shared" si="13"/>
        <v>0</v>
      </c>
      <c r="J99" s="10">
        <v>0</v>
      </c>
      <c r="K99" s="10">
        <f t="shared" si="14"/>
        <v>0</v>
      </c>
      <c r="L99" s="17">
        <v>0.625</v>
      </c>
      <c r="M99" s="18">
        <f t="shared" si="15"/>
        <v>0.625</v>
      </c>
      <c r="N99" s="19">
        <f t="shared" si="16"/>
        <v>0</v>
      </c>
      <c r="O99" s="20">
        <f t="shared" si="17"/>
        <v>0.625</v>
      </c>
      <c r="P99"/>
      <c r="Q99"/>
      <c r="R99"/>
    </row>
    <row r="100" spans="1:18" ht="18.75">
      <c r="A100" s="8">
        <v>207</v>
      </c>
      <c r="B100" s="8">
        <v>721273803</v>
      </c>
      <c r="C100" s="51" t="s">
        <v>124</v>
      </c>
      <c r="D100" s="46"/>
      <c r="E100" s="10">
        <v>0</v>
      </c>
      <c r="F100" s="10">
        <v>0</v>
      </c>
      <c r="G100" s="39" t="s">
        <v>34</v>
      </c>
      <c r="H100" s="11">
        <f t="shared" si="12"/>
        <v>0</v>
      </c>
      <c r="I100" s="10">
        <f t="shared" si="13"/>
        <v>0</v>
      </c>
      <c r="J100" s="10">
        <v>0</v>
      </c>
      <c r="K100" s="10">
        <f t="shared" si="14"/>
        <v>0</v>
      </c>
      <c r="L100" s="17">
        <v>0.625</v>
      </c>
      <c r="M100" s="18">
        <f t="shared" si="15"/>
        <v>0.625</v>
      </c>
      <c r="N100" s="19">
        <f t="shared" si="16"/>
        <v>0</v>
      </c>
      <c r="O100" s="20">
        <f t="shared" si="17"/>
        <v>0.625</v>
      </c>
      <c r="P100"/>
      <c r="Q100"/>
      <c r="R100"/>
    </row>
  </sheetData>
  <sortState ref="A5:O38">
    <sortCondition descending="1" ref="M5:M38"/>
  </sortState>
  <mergeCells count="4">
    <mergeCell ref="A1:O1"/>
    <mergeCell ref="A2:O2"/>
    <mergeCell ref="A3:D3"/>
    <mergeCell ref="G3:O3"/>
  </mergeCells>
  <phoneticPr fontId="13" type="noConversion"/>
  <conditionalFormatting sqref="J83 J85 J88 J90 J92:J93 J95 J97 J99:J100 J5:J29 E5:F32 F33 E34:F100 J31:J33 J35:J81">
    <cfRule type="cellIs" dxfId="23" priority="4" operator="lessThan">
      <formula>1</formula>
    </cfRule>
  </conditionalFormatting>
  <conditionalFormatting sqref="J82 J84 J86:J87 J89 J91 J94 J96 J98 J34">
    <cfRule type="cellIs" dxfId="22" priority="5" operator="lessThan">
      <formula>1</formula>
    </cfRule>
  </conditionalFormatting>
  <conditionalFormatting sqref="J30">
    <cfRule type="cellIs" dxfId="21" priority="3" operator="lessThan">
      <formula>1</formula>
    </cfRule>
  </conditionalFormatting>
  <conditionalFormatting sqref="E33">
    <cfRule type="cellIs" dxfId="20" priority="1" operator="lessThan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E3" workbookViewId="0">
      <selection activeCell="U22" sqref="A1:XFD1048576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活动中心",T16,"年",T17,"月",T18,"日","分包贡献明细","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X3/$T$14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77" t="s">
        <v>2</v>
      </c>
      <c r="B4" s="55" t="s">
        <v>28</v>
      </c>
      <c r="C4" s="77" t="s">
        <v>3</v>
      </c>
      <c r="D4" s="77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170</v>
      </c>
      <c r="R4" s="55" t="s">
        <v>1</v>
      </c>
      <c r="S4" s="29" t="s">
        <v>155</v>
      </c>
      <c r="T4" s="28">
        <f>X4/$T$14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9">
        <v>49</v>
      </c>
      <c r="B5" s="8">
        <v>311361673</v>
      </c>
      <c r="C5" s="48" t="s">
        <v>126</v>
      </c>
      <c r="D5" s="49" t="s">
        <v>125</v>
      </c>
      <c r="E5" s="10">
        <v>2</v>
      </c>
      <c r="F5" s="10">
        <v>70</v>
      </c>
      <c r="G5" s="39" t="s">
        <v>34</v>
      </c>
      <c r="H5" s="11">
        <f t="shared" ref="H5:H33" si="0">E5+IF(E5&gt;2,(E5-2)*0.5,0)</f>
        <v>2</v>
      </c>
      <c r="I5" s="10">
        <f t="shared" ref="I5:I33" si="1">F5/$T$15</f>
        <v>1.4</v>
      </c>
      <c r="J5" s="10">
        <v>0</v>
      </c>
      <c r="K5" s="10">
        <f t="shared" ref="K5:K33" si="2">SUM(I5+H5+J5)</f>
        <v>3.4</v>
      </c>
      <c r="L5" s="17">
        <v>28.2</v>
      </c>
      <c r="M5" s="18">
        <f t="shared" ref="M5:M33" si="3">K5+L5</f>
        <v>31.599999999999998</v>
      </c>
      <c r="N5" s="19">
        <f t="shared" ref="N5:N33" si="4">VLOOKUP(G5,$S$3:$T$11,2,FALSE)</f>
        <v>0</v>
      </c>
      <c r="O5" s="20">
        <f t="shared" ref="O5:O33" si="5">M5-N5</f>
        <v>31.599999999999998</v>
      </c>
      <c r="P5" s="40"/>
      <c r="Q5" s="40"/>
    </row>
    <row r="6" spans="1:24" ht="18.75">
      <c r="A6" s="9">
        <v>92</v>
      </c>
      <c r="B6" s="8">
        <v>1367873925</v>
      </c>
      <c r="C6" s="47" t="s">
        <v>130</v>
      </c>
      <c r="D6" s="47" t="s">
        <v>143</v>
      </c>
      <c r="E6" s="10">
        <v>3</v>
      </c>
      <c r="F6" s="10">
        <v>70</v>
      </c>
      <c r="G6" s="12" t="s">
        <v>156</v>
      </c>
      <c r="H6" s="11">
        <f t="shared" si="0"/>
        <v>3.5</v>
      </c>
      <c r="I6" s="10">
        <f t="shared" si="1"/>
        <v>1.4</v>
      </c>
      <c r="J6" s="10">
        <v>0</v>
      </c>
      <c r="K6" s="10">
        <f t="shared" si="2"/>
        <v>4.9000000000000004</v>
      </c>
      <c r="L6" s="17">
        <v>6.45</v>
      </c>
      <c r="M6" s="18">
        <f t="shared" si="3"/>
        <v>11.350000000000001</v>
      </c>
      <c r="N6" s="19">
        <f t="shared" si="4"/>
        <v>8.125</v>
      </c>
      <c r="O6" s="20">
        <f t="shared" si="5"/>
        <v>3.2250000000000014</v>
      </c>
      <c r="P6" s="11"/>
      <c r="Q6" s="11"/>
      <c r="R6" s="31"/>
      <c r="S6" s="14" t="s">
        <v>33</v>
      </c>
      <c r="T6" s="28">
        <f>X6/$T$14</f>
        <v>7.5</v>
      </c>
      <c r="U6" s="30">
        <v>3</v>
      </c>
      <c r="V6" s="30">
        <v>5</v>
      </c>
      <c r="W6" s="30">
        <v>10</v>
      </c>
      <c r="X6" s="30">
        <v>1200</v>
      </c>
    </row>
    <row r="7" spans="1:24" ht="18.75">
      <c r="A7" s="8">
        <v>212</v>
      </c>
      <c r="B7" s="8">
        <v>2133045883</v>
      </c>
      <c r="C7" s="47" t="s">
        <v>122</v>
      </c>
      <c r="D7" s="46"/>
      <c r="E7" s="10">
        <v>3</v>
      </c>
      <c r="F7" s="10">
        <v>70</v>
      </c>
      <c r="G7" s="12" t="s">
        <v>156</v>
      </c>
      <c r="H7" s="11">
        <f t="shared" si="0"/>
        <v>3.5</v>
      </c>
      <c r="I7" s="10">
        <f t="shared" si="1"/>
        <v>1.4</v>
      </c>
      <c r="J7" s="10">
        <v>0</v>
      </c>
      <c r="K7" s="10">
        <f t="shared" si="2"/>
        <v>4.9000000000000004</v>
      </c>
      <c r="L7" s="17">
        <v>4.0500000000000007</v>
      </c>
      <c r="M7" s="18">
        <f t="shared" si="3"/>
        <v>8.9500000000000011</v>
      </c>
      <c r="N7" s="19">
        <f t="shared" si="4"/>
        <v>8.125</v>
      </c>
      <c r="O7" s="20">
        <f t="shared" si="5"/>
        <v>0.82500000000000107</v>
      </c>
      <c r="P7" s="4"/>
      <c r="Q7" s="4"/>
      <c r="R7" s="4"/>
      <c r="S7" s="14"/>
      <c r="T7" s="28"/>
      <c r="U7" s="30"/>
      <c r="V7" s="30"/>
      <c r="W7" s="30"/>
      <c r="X7" s="30"/>
    </row>
    <row r="8" spans="1:24" ht="18.75">
      <c r="A8" s="8"/>
      <c r="B8" s="8">
        <v>353335311</v>
      </c>
      <c r="C8" s="48" t="s">
        <v>164</v>
      </c>
      <c r="D8" s="46"/>
      <c r="E8" s="10">
        <v>3</v>
      </c>
      <c r="F8" s="10">
        <v>60</v>
      </c>
      <c r="G8" s="12" t="s">
        <v>156</v>
      </c>
      <c r="H8" s="11">
        <f t="shared" si="0"/>
        <v>3.5</v>
      </c>
      <c r="I8" s="10">
        <f t="shared" si="1"/>
        <v>1.2</v>
      </c>
      <c r="J8" s="10">
        <v>0</v>
      </c>
      <c r="K8" s="10">
        <f t="shared" si="2"/>
        <v>4.7</v>
      </c>
      <c r="L8" s="17">
        <v>3.7750000000000004</v>
      </c>
      <c r="M8" s="18">
        <f t="shared" si="3"/>
        <v>8.4750000000000014</v>
      </c>
      <c r="N8" s="19">
        <f t="shared" si="4"/>
        <v>8.125</v>
      </c>
      <c r="O8" s="20">
        <f t="shared" si="5"/>
        <v>0.35000000000000142</v>
      </c>
      <c r="P8" s="4"/>
      <c r="Q8" s="4"/>
      <c r="R8" s="4"/>
      <c r="S8" s="12" t="s">
        <v>156</v>
      </c>
      <c r="T8" s="28">
        <f>X8/$T$14</f>
        <v>8.125</v>
      </c>
      <c r="U8" s="30">
        <v>4</v>
      </c>
      <c r="V8" s="30">
        <v>5</v>
      </c>
      <c r="W8" s="30"/>
      <c r="X8" s="30">
        <v>1300</v>
      </c>
    </row>
    <row r="9" spans="1:24" ht="18.75">
      <c r="A9" s="8"/>
      <c r="B9" s="8">
        <v>1176673438</v>
      </c>
      <c r="C9" s="48" t="s">
        <v>167</v>
      </c>
      <c r="D9" s="46"/>
      <c r="E9" s="10">
        <v>1</v>
      </c>
      <c r="F9" s="10">
        <v>70</v>
      </c>
      <c r="G9" s="13" t="s">
        <v>157</v>
      </c>
      <c r="H9" s="11">
        <f t="shared" si="0"/>
        <v>1</v>
      </c>
      <c r="I9" s="10">
        <f t="shared" si="1"/>
        <v>1.4</v>
      </c>
      <c r="J9" s="10">
        <v>0</v>
      </c>
      <c r="K9" s="10">
        <f t="shared" si="2"/>
        <v>2.4</v>
      </c>
      <c r="L9" s="17">
        <v>5.9750000000000005</v>
      </c>
      <c r="M9" s="18">
        <f t="shared" si="3"/>
        <v>8.375</v>
      </c>
      <c r="N9" s="19">
        <f t="shared" si="4"/>
        <v>6.25</v>
      </c>
      <c r="O9" s="20">
        <f t="shared" si="5"/>
        <v>2.125</v>
      </c>
      <c r="P9" s="11"/>
      <c r="Q9" s="11"/>
      <c r="R9" s="11"/>
      <c r="S9" s="13" t="s">
        <v>157</v>
      </c>
      <c r="T9" s="28">
        <f>X9/$T$14</f>
        <v>6.25</v>
      </c>
      <c r="U9" s="30">
        <v>3</v>
      </c>
      <c r="V9" s="30">
        <v>4</v>
      </c>
      <c r="W9" s="30"/>
      <c r="X9" s="30">
        <v>1000</v>
      </c>
    </row>
    <row r="10" spans="1:24" ht="18.75">
      <c r="A10" s="8"/>
      <c r="B10" s="8">
        <v>1804880865</v>
      </c>
      <c r="C10" s="47" t="s">
        <v>151</v>
      </c>
      <c r="D10" s="48"/>
      <c r="E10" s="10">
        <v>3</v>
      </c>
      <c r="F10" s="10">
        <v>70</v>
      </c>
      <c r="G10" s="13" t="s">
        <v>157</v>
      </c>
      <c r="H10" s="11">
        <f t="shared" si="0"/>
        <v>3.5</v>
      </c>
      <c r="I10" s="10">
        <f t="shared" si="1"/>
        <v>1.4</v>
      </c>
      <c r="J10" s="10">
        <v>0</v>
      </c>
      <c r="K10" s="10">
        <f t="shared" si="2"/>
        <v>4.9000000000000004</v>
      </c>
      <c r="L10" s="17">
        <v>2.5750000000000011</v>
      </c>
      <c r="M10" s="18">
        <f t="shared" si="3"/>
        <v>7.4750000000000014</v>
      </c>
      <c r="N10" s="19">
        <f t="shared" si="4"/>
        <v>6.25</v>
      </c>
      <c r="O10" s="20">
        <f t="shared" si="5"/>
        <v>1.2250000000000014</v>
      </c>
      <c r="P10" s="4"/>
      <c r="Q10" s="4"/>
      <c r="R10" s="4"/>
      <c r="S10" s="14" t="s">
        <v>158</v>
      </c>
      <c r="T10" s="28">
        <f>X10/$T$14</f>
        <v>4.375</v>
      </c>
      <c r="U10" s="30">
        <v>2</v>
      </c>
      <c r="V10" s="30">
        <v>3</v>
      </c>
      <c r="W10" s="30"/>
      <c r="X10" s="30">
        <v>700</v>
      </c>
    </row>
    <row r="11" spans="1:24" ht="18.75">
      <c r="A11" s="8"/>
      <c r="B11" s="8">
        <v>862532360</v>
      </c>
      <c r="C11" s="47" t="s">
        <v>173</v>
      </c>
      <c r="D11" s="47"/>
      <c r="E11" s="10">
        <v>3</v>
      </c>
      <c r="F11" s="10">
        <v>63</v>
      </c>
      <c r="G11" s="13" t="s">
        <v>157</v>
      </c>
      <c r="H11" s="11">
        <f t="shared" si="0"/>
        <v>3.5</v>
      </c>
      <c r="I11" s="10">
        <f t="shared" si="1"/>
        <v>1.26</v>
      </c>
      <c r="J11" s="10">
        <v>0</v>
      </c>
      <c r="K11" s="10">
        <f t="shared" si="2"/>
        <v>4.76</v>
      </c>
      <c r="L11" s="17">
        <v>2.7100000000000009</v>
      </c>
      <c r="M11" s="18">
        <f t="shared" si="3"/>
        <v>7.4700000000000006</v>
      </c>
      <c r="N11" s="19">
        <f t="shared" si="4"/>
        <v>6.25</v>
      </c>
      <c r="O11" s="20">
        <f t="shared" si="5"/>
        <v>1.2200000000000006</v>
      </c>
      <c r="P11" s="4"/>
      <c r="Q11" s="4"/>
      <c r="R11" s="4"/>
      <c r="S11" s="33" t="s">
        <v>34</v>
      </c>
      <c r="T11" s="2">
        <v>0</v>
      </c>
      <c r="U11" s="2"/>
      <c r="V11" s="2"/>
      <c r="W11" s="2"/>
      <c r="X11" s="2"/>
    </row>
    <row r="12" spans="1:24" ht="18.75">
      <c r="A12" s="8">
        <v>200</v>
      </c>
      <c r="B12" s="8">
        <v>967589156</v>
      </c>
      <c r="C12" s="47" t="s">
        <v>109</v>
      </c>
      <c r="D12" s="46"/>
      <c r="E12" s="10">
        <v>3</v>
      </c>
      <c r="F12" s="10">
        <v>65</v>
      </c>
      <c r="G12" s="13" t="s">
        <v>157</v>
      </c>
      <c r="H12" s="11">
        <f t="shared" si="0"/>
        <v>3.5</v>
      </c>
      <c r="I12" s="10">
        <f t="shared" si="1"/>
        <v>1.3</v>
      </c>
      <c r="J12" s="10">
        <v>0</v>
      </c>
      <c r="K12" s="10">
        <f t="shared" si="2"/>
        <v>4.8</v>
      </c>
      <c r="L12" s="17">
        <v>2.6000000000000005</v>
      </c>
      <c r="M12" s="18">
        <f t="shared" si="3"/>
        <v>7.4</v>
      </c>
      <c r="N12" s="19">
        <f t="shared" si="4"/>
        <v>6.25</v>
      </c>
      <c r="O12" s="20">
        <f t="shared" si="5"/>
        <v>1.1500000000000004</v>
      </c>
      <c r="P12" s="4"/>
      <c r="Q12" s="4"/>
      <c r="R12" s="4"/>
      <c r="S12" s="34"/>
      <c r="T12" s="1"/>
      <c r="U12" s="1"/>
      <c r="V12" s="1"/>
      <c r="W12" s="1"/>
      <c r="X12" s="1"/>
    </row>
    <row r="13" spans="1:24" ht="18.75">
      <c r="A13" s="8"/>
      <c r="B13" s="8">
        <v>2134752758</v>
      </c>
      <c r="C13" s="47" t="s">
        <v>139</v>
      </c>
      <c r="D13" s="46"/>
      <c r="E13" s="10">
        <v>0</v>
      </c>
      <c r="F13" s="10">
        <v>70</v>
      </c>
      <c r="G13" s="39" t="s">
        <v>34</v>
      </c>
      <c r="H13" s="11">
        <f t="shared" si="0"/>
        <v>0</v>
      </c>
      <c r="I13" s="10">
        <f t="shared" si="1"/>
        <v>1.4</v>
      </c>
      <c r="J13" s="10">
        <v>0</v>
      </c>
      <c r="K13" s="10">
        <f t="shared" si="2"/>
        <v>1.4</v>
      </c>
      <c r="L13" s="17">
        <v>5.95</v>
      </c>
      <c r="M13" s="18">
        <f t="shared" si="3"/>
        <v>7.35</v>
      </c>
      <c r="N13" s="19">
        <f t="shared" si="4"/>
        <v>0</v>
      </c>
      <c r="O13" s="20">
        <f t="shared" si="5"/>
        <v>7.35</v>
      </c>
      <c r="P13" s="4"/>
      <c r="Q13" s="4"/>
      <c r="R13" s="4"/>
      <c r="S13" s="35" t="s">
        <v>36</v>
      </c>
      <c r="T13" s="1">
        <v>15000</v>
      </c>
      <c r="U13" s="1"/>
      <c r="V13" s="1"/>
      <c r="W13" s="1"/>
      <c r="X13" s="1"/>
    </row>
    <row r="14" spans="1:24" ht="18.75">
      <c r="A14" s="9"/>
      <c r="B14" s="8">
        <v>910452107</v>
      </c>
      <c r="C14" s="48" t="s">
        <v>129</v>
      </c>
      <c r="D14" s="49"/>
      <c r="E14" s="10">
        <v>2</v>
      </c>
      <c r="F14" s="10">
        <v>70</v>
      </c>
      <c r="G14" s="14" t="s">
        <v>158</v>
      </c>
      <c r="H14" s="11">
        <f t="shared" si="0"/>
        <v>2</v>
      </c>
      <c r="I14" s="10">
        <f t="shared" si="1"/>
        <v>1.4</v>
      </c>
      <c r="J14" s="10">
        <v>0</v>
      </c>
      <c r="K14" s="10">
        <f t="shared" si="2"/>
        <v>3.4</v>
      </c>
      <c r="L14" s="17">
        <v>3.95</v>
      </c>
      <c r="M14" s="18">
        <f t="shared" si="3"/>
        <v>7.35</v>
      </c>
      <c r="N14" s="19">
        <f t="shared" si="4"/>
        <v>4.375</v>
      </c>
      <c r="O14" s="20">
        <f t="shared" si="5"/>
        <v>2.9749999999999996</v>
      </c>
      <c r="P14" s="11"/>
      <c r="Q14" s="11"/>
      <c r="R14" s="11"/>
      <c r="S14" s="36" t="s">
        <v>37</v>
      </c>
      <c r="T14" s="37">
        <v>160</v>
      </c>
      <c r="U14" s="1"/>
      <c r="V14" s="1"/>
      <c r="W14" s="1"/>
      <c r="X14" s="1"/>
    </row>
    <row r="15" spans="1:24" ht="18.75">
      <c r="A15" s="8">
        <v>176</v>
      </c>
      <c r="B15" s="8">
        <v>128748910</v>
      </c>
      <c r="C15" s="48" t="s">
        <v>165</v>
      </c>
      <c r="D15" s="47" t="s">
        <v>169</v>
      </c>
      <c r="E15" s="10">
        <v>3</v>
      </c>
      <c r="F15" s="10">
        <v>70</v>
      </c>
      <c r="G15" s="14" t="s">
        <v>158</v>
      </c>
      <c r="H15" s="11">
        <f t="shared" si="0"/>
        <v>3.5</v>
      </c>
      <c r="I15" s="10">
        <f t="shared" si="1"/>
        <v>1.4</v>
      </c>
      <c r="J15" s="10">
        <v>0</v>
      </c>
      <c r="K15" s="10">
        <f t="shared" si="2"/>
        <v>4.9000000000000004</v>
      </c>
      <c r="L15" s="17">
        <v>2.3250000000000011</v>
      </c>
      <c r="M15" s="18">
        <f t="shared" si="3"/>
        <v>7.2250000000000014</v>
      </c>
      <c r="N15" s="19">
        <f t="shared" si="4"/>
        <v>4.375</v>
      </c>
      <c r="O15" s="20">
        <f t="shared" si="5"/>
        <v>2.8500000000000014</v>
      </c>
      <c r="P15" s="11"/>
      <c r="Q15" s="11"/>
      <c r="R15" s="11"/>
      <c r="S15" s="38" t="s">
        <v>52</v>
      </c>
      <c r="T15" s="37">
        <v>50</v>
      </c>
      <c r="U15" s="1"/>
      <c r="V15" s="1"/>
      <c r="W15" s="1"/>
      <c r="X15" s="1"/>
    </row>
    <row r="16" spans="1:24" ht="18.75">
      <c r="A16" s="9"/>
      <c r="B16" s="8">
        <v>331155825</v>
      </c>
      <c r="C16" s="48" t="s">
        <v>131</v>
      </c>
      <c r="D16" s="49" t="s">
        <v>132</v>
      </c>
      <c r="E16" s="10">
        <v>3</v>
      </c>
      <c r="F16" s="10">
        <v>70</v>
      </c>
      <c r="G16" s="14" t="s">
        <v>158</v>
      </c>
      <c r="H16" s="11">
        <f t="shared" si="0"/>
        <v>3.5</v>
      </c>
      <c r="I16" s="10">
        <f t="shared" si="1"/>
        <v>1.4</v>
      </c>
      <c r="J16" s="10">
        <v>0</v>
      </c>
      <c r="K16" s="10">
        <f t="shared" si="2"/>
        <v>4.9000000000000004</v>
      </c>
      <c r="L16" s="17">
        <v>2.0750000000000002</v>
      </c>
      <c r="M16" s="18">
        <f t="shared" si="3"/>
        <v>6.9750000000000005</v>
      </c>
      <c r="N16" s="19">
        <f t="shared" si="4"/>
        <v>4.375</v>
      </c>
      <c r="O16" s="20">
        <f t="shared" si="5"/>
        <v>2.6000000000000005</v>
      </c>
      <c r="P16" s="11"/>
      <c r="Q16" s="11"/>
      <c r="R16" s="32"/>
      <c r="S16" s="1" t="s">
        <v>38</v>
      </c>
      <c r="T16" s="37">
        <v>2020</v>
      </c>
      <c r="U16" s="1"/>
      <c r="V16" s="1"/>
      <c r="W16" s="1"/>
      <c r="X16" s="1"/>
    </row>
    <row r="17" spans="1:24" ht="18.75">
      <c r="A17" s="9"/>
      <c r="B17" s="8">
        <v>1238792963</v>
      </c>
      <c r="C17" s="48" t="s">
        <v>142</v>
      </c>
      <c r="D17" s="49"/>
      <c r="E17" s="10">
        <v>3</v>
      </c>
      <c r="F17" s="10">
        <v>70</v>
      </c>
      <c r="G17" s="14" t="s">
        <v>158</v>
      </c>
      <c r="H17" s="11">
        <f t="shared" si="0"/>
        <v>3.5</v>
      </c>
      <c r="I17" s="10">
        <f t="shared" si="1"/>
        <v>1.4</v>
      </c>
      <c r="J17" s="10">
        <v>0</v>
      </c>
      <c r="K17" s="10">
        <f t="shared" si="2"/>
        <v>4.9000000000000004</v>
      </c>
      <c r="L17" s="17">
        <v>1.9250000000000007</v>
      </c>
      <c r="M17" s="18">
        <f t="shared" si="3"/>
        <v>6.8250000000000011</v>
      </c>
      <c r="N17" s="19">
        <f t="shared" si="4"/>
        <v>4.375</v>
      </c>
      <c r="O17" s="20">
        <f t="shared" si="5"/>
        <v>2.4500000000000011</v>
      </c>
      <c r="P17" s="11"/>
      <c r="Q17" s="11"/>
      <c r="R17" s="31"/>
      <c r="S17" s="1" t="s">
        <v>39</v>
      </c>
      <c r="T17" s="37">
        <v>9</v>
      </c>
      <c r="U17" s="1"/>
      <c r="V17" s="1"/>
      <c r="W17" s="1"/>
      <c r="X17" s="1"/>
    </row>
    <row r="18" spans="1:24" ht="18.75">
      <c r="A18" s="8"/>
      <c r="B18" s="8">
        <v>610681537</v>
      </c>
      <c r="C18" s="47" t="s">
        <v>153</v>
      </c>
      <c r="D18" s="46"/>
      <c r="E18" s="10">
        <v>0</v>
      </c>
      <c r="F18" s="10">
        <v>60</v>
      </c>
      <c r="G18" s="39" t="s">
        <v>34</v>
      </c>
      <c r="H18" s="11">
        <f t="shared" si="0"/>
        <v>0</v>
      </c>
      <c r="I18" s="10">
        <f t="shared" si="1"/>
        <v>1.2</v>
      </c>
      <c r="J18" s="10">
        <v>0</v>
      </c>
      <c r="K18" s="10">
        <f t="shared" si="2"/>
        <v>1.2</v>
      </c>
      <c r="L18" s="17">
        <v>5.56</v>
      </c>
      <c r="M18" s="18">
        <f t="shared" si="3"/>
        <v>6.76</v>
      </c>
      <c r="N18" s="19">
        <f t="shared" si="4"/>
        <v>0</v>
      </c>
      <c r="O18" s="20">
        <f t="shared" si="5"/>
        <v>6.76</v>
      </c>
      <c r="P18" s="11"/>
      <c r="Q18" s="11"/>
      <c r="R18" s="11"/>
      <c r="S18" s="1" t="s">
        <v>40</v>
      </c>
      <c r="T18" s="37">
        <v>27</v>
      </c>
    </row>
    <row r="19" spans="1:24" ht="18.75">
      <c r="A19" s="8">
        <v>181</v>
      </c>
      <c r="B19" s="8">
        <v>1467442697</v>
      </c>
      <c r="C19" s="47" t="s">
        <v>175</v>
      </c>
      <c r="D19" s="47" t="s">
        <v>73</v>
      </c>
      <c r="E19" s="10">
        <v>0</v>
      </c>
      <c r="F19" s="10">
        <v>50</v>
      </c>
      <c r="G19" s="39" t="s">
        <v>34</v>
      </c>
      <c r="H19" s="11">
        <f t="shared" si="0"/>
        <v>0</v>
      </c>
      <c r="I19" s="10">
        <f t="shared" si="1"/>
        <v>1</v>
      </c>
      <c r="J19" s="10">
        <v>0</v>
      </c>
      <c r="K19" s="10">
        <f t="shared" si="2"/>
        <v>1</v>
      </c>
      <c r="L19" s="17">
        <v>5.44</v>
      </c>
      <c r="M19" s="18">
        <f t="shared" si="3"/>
        <v>6.44</v>
      </c>
      <c r="N19" s="19">
        <f t="shared" si="4"/>
        <v>0</v>
      </c>
      <c r="O19" s="20">
        <f t="shared" si="5"/>
        <v>6.44</v>
      </c>
      <c r="P19" s="11"/>
      <c r="Q19" s="11"/>
      <c r="R19" s="11"/>
      <c r="U19" s="1"/>
      <c r="V19" s="1"/>
      <c r="W19" s="1"/>
      <c r="X19" s="1"/>
    </row>
    <row r="20" spans="1:24" ht="18.75">
      <c r="A20" s="8"/>
      <c r="B20" s="8">
        <v>1333428907</v>
      </c>
      <c r="C20" s="47" t="s">
        <v>172</v>
      </c>
      <c r="D20" s="47" t="s">
        <v>150</v>
      </c>
      <c r="E20" s="10">
        <v>2</v>
      </c>
      <c r="F20" s="10">
        <v>70</v>
      </c>
      <c r="G20" s="14" t="s">
        <v>158</v>
      </c>
      <c r="H20" s="11">
        <f t="shared" si="0"/>
        <v>2</v>
      </c>
      <c r="I20" s="10">
        <f t="shared" si="1"/>
        <v>1.4</v>
      </c>
      <c r="J20" s="10">
        <v>0</v>
      </c>
      <c r="K20" s="10">
        <f t="shared" si="2"/>
        <v>3.4</v>
      </c>
      <c r="L20" s="17">
        <v>3</v>
      </c>
      <c r="M20" s="18">
        <f t="shared" si="3"/>
        <v>6.4</v>
      </c>
      <c r="N20" s="19">
        <f t="shared" si="4"/>
        <v>4.375</v>
      </c>
      <c r="O20" s="20">
        <f t="shared" si="5"/>
        <v>2.0250000000000004</v>
      </c>
      <c r="P20" s="11"/>
      <c r="Q20" s="11"/>
      <c r="R20" s="11"/>
    </row>
    <row r="21" spans="1:24" ht="18.75">
      <c r="A21" s="9"/>
      <c r="B21" s="8">
        <v>2092029101</v>
      </c>
      <c r="C21" s="47" t="s">
        <v>147</v>
      </c>
      <c r="D21" s="48"/>
      <c r="E21" s="10">
        <v>2</v>
      </c>
      <c r="F21" s="10">
        <v>70</v>
      </c>
      <c r="G21" s="14" t="s">
        <v>158</v>
      </c>
      <c r="H21" s="11">
        <f t="shared" si="0"/>
        <v>2</v>
      </c>
      <c r="I21" s="10">
        <f t="shared" si="1"/>
        <v>1.4</v>
      </c>
      <c r="J21" s="10">
        <v>0</v>
      </c>
      <c r="K21" s="10">
        <f t="shared" si="2"/>
        <v>3.4</v>
      </c>
      <c r="L21" s="17">
        <v>2.7000000000000011</v>
      </c>
      <c r="M21" s="18">
        <f t="shared" si="3"/>
        <v>6.1000000000000014</v>
      </c>
      <c r="N21" s="19">
        <f t="shared" si="4"/>
        <v>4.375</v>
      </c>
      <c r="O21" s="20">
        <f t="shared" si="5"/>
        <v>1.7250000000000014</v>
      </c>
      <c r="P21" s="4"/>
      <c r="Q21" s="4"/>
      <c r="R21" s="4"/>
    </row>
    <row r="22" spans="1:24" ht="18.75">
      <c r="A22" s="8"/>
      <c r="B22" s="8">
        <v>334151795</v>
      </c>
      <c r="C22" s="47" t="s">
        <v>146</v>
      </c>
      <c r="D22" s="46"/>
      <c r="E22" s="10">
        <v>0</v>
      </c>
      <c r="F22" s="10">
        <v>70</v>
      </c>
      <c r="G22" s="39" t="s">
        <v>34</v>
      </c>
      <c r="H22" s="11">
        <f t="shared" si="0"/>
        <v>0</v>
      </c>
      <c r="I22" s="10">
        <f t="shared" si="1"/>
        <v>1.4</v>
      </c>
      <c r="J22" s="10">
        <v>0</v>
      </c>
      <c r="K22" s="10">
        <f t="shared" si="2"/>
        <v>1.4</v>
      </c>
      <c r="L22" s="17">
        <v>4.6250000000000009</v>
      </c>
      <c r="M22" s="18">
        <f t="shared" si="3"/>
        <v>6.0250000000000004</v>
      </c>
      <c r="N22" s="19">
        <f t="shared" si="4"/>
        <v>0</v>
      </c>
      <c r="O22" s="20">
        <f t="shared" si="5"/>
        <v>6.0250000000000004</v>
      </c>
      <c r="P22" s="4"/>
      <c r="Q22" s="4"/>
      <c r="R22" s="4"/>
    </row>
    <row r="23" spans="1:24" ht="18.75">
      <c r="A23" s="8">
        <v>118</v>
      </c>
      <c r="B23" s="8">
        <v>2018112397</v>
      </c>
      <c r="C23" s="47" t="s">
        <v>152</v>
      </c>
      <c r="D23" s="48" t="s">
        <v>63</v>
      </c>
      <c r="E23" s="10">
        <v>2</v>
      </c>
      <c r="F23" s="10">
        <v>70</v>
      </c>
      <c r="G23" s="39" t="s">
        <v>34</v>
      </c>
      <c r="H23" s="11">
        <f t="shared" si="0"/>
        <v>2</v>
      </c>
      <c r="I23" s="10">
        <f t="shared" si="1"/>
        <v>1.4</v>
      </c>
      <c r="J23" s="10">
        <v>0</v>
      </c>
      <c r="K23" s="10">
        <f t="shared" si="2"/>
        <v>3.4</v>
      </c>
      <c r="L23" s="17">
        <v>2.6000000000000014</v>
      </c>
      <c r="M23" s="18">
        <f t="shared" si="3"/>
        <v>6.0000000000000018</v>
      </c>
      <c r="N23" s="19">
        <f t="shared" si="4"/>
        <v>0</v>
      </c>
      <c r="O23" s="20">
        <f t="shared" si="5"/>
        <v>6.0000000000000018</v>
      </c>
      <c r="P23" s="11"/>
      <c r="Q23" s="11"/>
      <c r="R23" s="32"/>
    </row>
    <row r="24" spans="1:24" ht="18.75">
      <c r="A24" s="8"/>
      <c r="B24" s="8">
        <v>700083217</v>
      </c>
      <c r="C24" s="47" t="s">
        <v>137</v>
      </c>
      <c r="D24" s="46"/>
      <c r="E24" s="10">
        <v>0</v>
      </c>
      <c r="F24" s="10">
        <v>70</v>
      </c>
      <c r="G24" s="39" t="s">
        <v>34</v>
      </c>
      <c r="H24" s="11">
        <f t="shared" si="0"/>
        <v>0</v>
      </c>
      <c r="I24" s="10">
        <f t="shared" si="1"/>
        <v>1.4</v>
      </c>
      <c r="J24" s="10">
        <v>0</v>
      </c>
      <c r="K24" s="10">
        <f t="shared" si="2"/>
        <v>1.4</v>
      </c>
      <c r="L24" s="17">
        <v>4.3500000000000005</v>
      </c>
      <c r="M24" s="18">
        <f t="shared" si="3"/>
        <v>5.75</v>
      </c>
      <c r="N24" s="19">
        <f t="shared" si="4"/>
        <v>0</v>
      </c>
      <c r="O24" s="20">
        <f t="shared" si="5"/>
        <v>5.75</v>
      </c>
      <c r="P24" s="4"/>
      <c r="Q24" s="4"/>
      <c r="R24" s="4"/>
    </row>
    <row r="25" spans="1:24" ht="18.75">
      <c r="A25" s="8"/>
      <c r="B25" s="8">
        <v>863510644</v>
      </c>
      <c r="C25" s="47" t="s">
        <v>141</v>
      </c>
      <c r="D25" s="47"/>
      <c r="E25" s="10">
        <v>0</v>
      </c>
      <c r="F25" s="10">
        <v>0</v>
      </c>
      <c r="G25" s="39" t="s">
        <v>34</v>
      </c>
      <c r="H25" s="11">
        <f t="shared" si="0"/>
        <v>0</v>
      </c>
      <c r="I25" s="10">
        <f t="shared" si="1"/>
        <v>0</v>
      </c>
      <c r="J25" s="10">
        <v>0</v>
      </c>
      <c r="K25" s="10">
        <f t="shared" si="2"/>
        <v>0</v>
      </c>
      <c r="L25" s="17">
        <v>5.6</v>
      </c>
      <c r="M25" s="18">
        <f t="shared" si="3"/>
        <v>5.6</v>
      </c>
      <c r="N25" s="19">
        <f t="shared" si="4"/>
        <v>0</v>
      </c>
      <c r="O25" s="20">
        <f t="shared" si="5"/>
        <v>5.6</v>
      </c>
      <c r="P25" s="4"/>
      <c r="Q25" s="4"/>
      <c r="R25" s="4"/>
    </row>
    <row r="26" spans="1:24" ht="18.75">
      <c r="A26" s="9">
        <v>33</v>
      </c>
      <c r="B26" s="8">
        <v>1006436515</v>
      </c>
      <c r="C26" s="47" t="s">
        <v>77</v>
      </c>
      <c r="D26" s="48" t="s">
        <v>13</v>
      </c>
      <c r="E26" s="10">
        <v>2</v>
      </c>
      <c r="F26" s="10">
        <v>70</v>
      </c>
      <c r="G26" s="39" t="s">
        <v>34</v>
      </c>
      <c r="H26" s="11">
        <f t="shared" si="0"/>
        <v>2</v>
      </c>
      <c r="I26" s="10">
        <f t="shared" si="1"/>
        <v>1.4</v>
      </c>
      <c r="J26" s="10">
        <v>0</v>
      </c>
      <c r="K26" s="10">
        <f t="shared" si="2"/>
        <v>3.4</v>
      </c>
      <c r="L26" s="17">
        <v>2</v>
      </c>
      <c r="M26" s="18">
        <f t="shared" si="3"/>
        <v>5.4</v>
      </c>
      <c r="N26" s="19">
        <f t="shared" si="4"/>
        <v>0</v>
      </c>
      <c r="O26" s="20">
        <f t="shared" si="5"/>
        <v>5.4</v>
      </c>
      <c r="P26" s="11"/>
      <c r="Q26" s="11"/>
      <c r="R26" s="32"/>
    </row>
    <row r="27" spans="1:24" ht="18.75">
      <c r="A27" s="8">
        <v>173</v>
      </c>
      <c r="B27" s="8">
        <v>1106175185</v>
      </c>
      <c r="C27" s="47" t="s">
        <v>145</v>
      </c>
      <c r="D27" s="46"/>
      <c r="E27" s="10">
        <v>1</v>
      </c>
      <c r="F27" s="10">
        <v>70</v>
      </c>
      <c r="G27" s="39" t="s">
        <v>34</v>
      </c>
      <c r="H27" s="11">
        <f t="shared" si="0"/>
        <v>1</v>
      </c>
      <c r="I27" s="10">
        <f t="shared" si="1"/>
        <v>1.4</v>
      </c>
      <c r="J27" s="10">
        <v>0</v>
      </c>
      <c r="K27" s="10">
        <f t="shared" si="2"/>
        <v>2.4</v>
      </c>
      <c r="L27" s="17">
        <v>2.9500000000000011</v>
      </c>
      <c r="M27" s="18">
        <f t="shared" si="3"/>
        <v>5.3500000000000014</v>
      </c>
      <c r="N27" s="19">
        <f t="shared" si="4"/>
        <v>0</v>
      </c>
      <c r="O27" s="20">
        <f t="shared" si="5"/>
        <v>5.3500000000000014</v>
      </c>
      <c r="P27" s="4"/>
      <c r="Q27" s="4"/>
      <c r="R27" s="4"/>
    </row>
    <row r="28" spans="1:24" ht="18.75">
      <c r="A28" s="8"/>
      <c r="B28" s="8">
        <v>1128309198</v>
      </c>
      <c r="C28" s="47" t="s">
        <v>163</v>
      </c>
      <c r="D28" s="47"/>
      <c r="E28" s="10">
        <v>1</v>
      </c>
      <c r="F28" s="10">
        <v>70</v>
      </c>
      <c r="G28" s="39" t="s">
        <v>34</v>
      </c>
      <c r="H28" s="11">
        <f t="shared" si="0"/>
        <v>1</v>
      </c>
      <c r="I28" s="10">
        <f t="shared" si="1"/>
        <v>1.4</v>
      </c>
      <c r="J28" s="10">
        <v>0</v>
      </c>
      <c r="K28" s="10">
        <f t="shared" si="2"/>
        <v>2.4</v>
      </c>
      <c r="L28" s="17">
        <v>2.9000000000000004</v>
      </c>
      <c r="M28" s="18">
        <f t="shared" si="3"/>
        <v>5.3000000000000007</v>
      </c>
      <c r="N28" s="19">
        <f t="shared" si="4"/>
        <v>0</v>
      </c>
      <c r="O28" s="20">
        <f t="shared" si="5"/>
        <v>5.3000000000000007</v>
      </c>
      <c r="P28" s="11"/>
      <c r="Q28" s="11"/>
      <c r="R28" s="11"/>
    </row>
    <row r="29" spans="1:24" ht="18.75">
      <c r="A29" s="9">
        <v>10</v>
      </c>
      <c r="B29" s="8">
        <v>2108977014</v>
      </c>
      <c r="C29" s="47" t="s">
        <v>138</v>
      </c>
      <c r="D29" s="48" t="s">
        <v>10</v>
      </c>
      <c r="E29" s="10">
        <v>2</v>
      </c>
      <c r="F29" s="10">
        <v>70</v>
      </c>
      <c r="G29" s="39" t="s">
        <v>34</v>
      </c>
      <c r="H29" s="11">
        <f t="shared" si="0"/>
        <v>2</v>
      </c>
      <c r="I29" s="10">
        <f t="shared" si="1"/>
        <v>1.4</v>
      </c>
      <c r="J29" s="10">
        <v>0</v>
      </c>
      <c r="K29" s="10">
        <f t="shared" si="2"/>
        <v>3.4</v>
      </c>
      <c r="L29" s="17">
        <v>1.7000000000000002</v>
      </c>
      <c r="M29" s="18">
        <f t="shared" si="3"/>
        <v>5.0999999999999996</v>
      </c>
      <c r="N29" s="19">
        <f t="shared" si="4"/>
        <v>0</v>
      </c>
      <c r="O29" s="20">
        <f t="shared" si="5"/>
        <v>5.0999999999999996</v>
      </c>
      <c r="P29" s="4"/>
      <c r="Q29" s="4"/>
      <c r="R29" s="4"/>
    </row>
    <row r="30" spans="1:24" ht="18.75">
      <c r="A30" s="8"/>
      <c r="B30" s="8">
        <v>1963965829</v>
      </c>
      <c r="C30" s="47" t="s">
        <v>174</v>
      </c>
      <c r="D30" s="45"/>
      <c r="E30" s="10">
        <v>2</v>
      </c>
      <c r="F30" s="10">
        <v>56</v>
      </c>
      <c r="G30" s="39" t="s">
        <v>34</v>
      </c>
      <c r="H30" s="11">
        <f t="shared" si="0"/>
        <v>2</v>
      </c>
      <c r="I30" s="10">
        <f t="shared" si="1"/>
        <v>1.1200000000000001</v>
      </c>
      <c r="J30" s="10">
        <v>0</v>
      </c>
      <c r="K30" s="10">
        <f t="shared" si="2"/>
        <v>3.12</v>
      </c>
      <c r="L30" s="17">
        <v>1.96</v>
      </c>
      <c r="M30" s="18">
        <f t="shared" si="3"/>
        <v>5.08</v>
      </c>
      <c r="N30" s="19">
        <f t="shared" si="4"/>
        <v>0</v>
      </c>
      <c r="O30" s="20">
        <f t="shared" si="5"/>
        <v>5.08</v>
      </c>
      <c r="P30" s="11"/>
      <c r="Q30" s="11"/>
      <c r="R30" s="11"/>
    </row>
    <row r="31" spans="1:24" ht="18.75">
      <c r="A31" s="9"/>
      <c r="B31" s="8">
        <v>1078240937</v>
      </c>
      <c r="C31" s="48" t="s">
        <v>148</v>
      </c>
      <c r="D31" s="49" t="s">
        <v>149</v>
      </c>
      <c r="E31" s="10">
        <v>0</v>
      </c>
      <c r="F31" s="10">
        <v>10</v>
      </c>
      <c r="G31" s="39" t="s">
        <v>34</v>
      </c>
      <c r="H31" s="11">
        <f t="shared" si="0"/>
        <v>0</v>
      </c>
      <c r="I31" s="10">
        <f t="shared" si="1"/>
        <v>0.2</v>
      </c>
      <c r="J31" s="10">
        <v>0</v>
      </c>
      <c r="K31" s="10">
        <f t="shared" si="2"/>
        <v>0.2</v>
      </c>
      <c r="L31" s="17">
        <v>3.8499999999999996</v>
      </c>
      <c r="M31" s="18">
        <f t="shared" si="3"/>
        <v>4.05</v>
      </c>
      <c r="N31" s="19">
        <f t="shared" si="4"/>
        <v>0</v>
      </c>
      <c r="O31" s="20">
        <f t="shared" si="5"/>
        <v>4.05</v>
      </c>
      <c r="P31" s="11"/>
      <c r="Q31" s="11"/>
      <c r="R31" s="11"/>
    </row>
    <row r="32" spans="1:24" ht="18.75">
      <c r="A32" s="8"/>
      <c r="B32" s="8">
        <v>597728301</v>
      </c>
      <c r="C32" s="47" t="s">
        <v>168</v>
      </c>
      <c r="D32" s="47"/>
      <c r="E32" s="10">
        <v>0</v>
      </c>
      <c r="F32" s="10">
        <v>40</v>
      </c>
      <c r="G32" s="39" t="s">
        <v>34</v>
      </c>
      <c r="H32" s="11">
        <f t="shared" si="0"/>
        <v>0</v>
      </c>
      <c r="I32" s="10">
        <f t="shared" si="1"/>
        <v>0.8</v>
      </c>
      <c r="J32" s="10">
        <v>0</v>
      </c>
      <c r="K32" s="10">
        <f t="shared" si="2"/>
        <v>0.8</v>
      </c>
      <c r="L32" s="17">
        <v>3</v>
      </c>
      <c r="M32" s="18">
        <f t="shared" si="3"/>
        <v>3.8</v>
      </c>
      <c r="N32" s="19">
        <f t="shared" si="4"/>
        <v>0</v>
      </c>
      <c r="O32" s="20">
        <f t="shared" si="5"/>
        <v>3.8</v>
      </c>
      <c r="P32" s="11"/>
      <c r="Q32" s="11"/>
      <c r="R32" s="31"/>
    </row>
    <row r="33" spans="1:18" ht="18.75">
      <c r="A33" s="9">
        <v>34</v>
      </c>
      <c r="B33" s="8">
        <v>2021794494</v>
      </c>
      <c r="C33" s="48" t="s">
        <v>136</v>
      </c>
      <c r="D33" s="49" t="s">
        <v>133</v>
      </c>
      <c r="E33" s="10">
        <v>0</v>
      </c>
      <c r="F33" s="10">
        <v>0</v>
      </c>
      <c r="G33" s="39" t="s">
        <v>34</v>
      </c>
      <c r="H33" s="11">
        <f t="shared" si="0"/>
        <v>0</v>
      </c>
      <c r="I33" s="10">
        <f t="shared" si="1"/>
        <v>0</v>
      </c>
      <c r="J33" s="10">
        <v>0</v>
      </c>
      <c r="K33" s="10">
        <f t="shared" si="2"/>
        <v>0</v>
      </c>
      <c r="L33" s="17">
        <v>2.5000000000000018</v>
      </c>
      <c r="M33" s="18">
        <f t="shared" si="3"/>
        <v>2.5000000000000018</v>
      </c>
      <c r="N33" s="19">
        <f t="shared" si="4"/>
        <v>0</v>
      </c>
      <c r="O33" s="20">
        <f t="shared" si="5"/>
        <v>2.5000000000000018</v>
      </c>
      <c r="P33" s="11"/>
      <c r="Q33" s="11"/>
      <c r="R33" s="11"/>
    </row>
    <row r="34" spans="1:18" ht="18.75">
      <c r="A34" s="62"/>
      <c r="B34" s="62"/>
      <c r="C34" s="63"/>
      <c r="D34" s="64"/>
      <c r="E34" s="65"/>
      <c r="F34" s="65"/>
      <c r="G34" s="66"/>
      <c r="H34" s="67"/>
      <c r="I34" s="65"/>
      <c r="J34" s="65"/>
      <c r="K34" s="65"/>
      <c r="L34" s="68"/>
      <c r="M34" s="69"/>
      <c r="N34" s="70"/>
      <c r="O34" s="71"/>
      <c r="P34" s="72"/>
      <c r="Q34" s="72"/>
      <c r="R34" s="72"/>
    </row>
    <row r="35" spans="1:18" ht="18.75">
      <c r="A35" s="9">
        <v>1</v>
      </c>
      <c r="B35" s="8">
        <v>1782151946</v>
      </c>
      <c r="C35" s="47" t="s">
        <v>135</v>
      </c>
      <c r="D35" s="48" t="s">
        <v>8</v>
      </c>
      <c r="E35" s="10">
        <v>0</v>
      </c>
      <c r="F35" s="10">
        <v>0</v>
      </c>
      <c r="G35" s="39" t="s">
        <v>34</v>
      </c>
      <c r="H35" s="11">
        <f t="shared" ref="H35:H98" si="6">E35+IF(E35&gt;2,(E35-2)*0.5,0)</f>
        <v>0</v>
      </c>
      <c r="I35" s="10">
        <f t="shared" ref="I35:I98" si="7">F35/$T$15</f>
        <v>0</v>
      </c>
      <c r="J35" s="10">
        <v>0</v>
      </c>
      <c r="K35" s="10">
        <f t="shared" ref="K35:K98" si="8">SUM(I35+H35+J35)</f>
        <v>0</v>
      </c>
      <c r="L35" s="17">
        <v>2.1000000000000005</v>
      </c>
      <c r="M35" s="18">
        <f t="shared" ref="M35:M98" si="9">K35+L35</f>
        <v>2.1000000000000005</v>
      </c>
      <c r="N35" s="19">
        <f t="shared" ref="N35:N98" si="10">VLOOKUP(G35,$S$3:$T$11,2,FALSE)</f>
        <v>0</v>
      </c>
      <c r="O35" s="20">
        <f t="shared" ref="O35:O98" si="11">M35-N35</f>
        <v>2.1000000000000005</v>
      </c>
      <c r="P35" s="11"/>
      <c r="Q35" s="11"/>
      <c r="R35" s="11"/>
    </row>
    <row r="36" spans="1:18" ht="18.75">
      <c r="A36" s="8"/>
      <c r="B36" s="8">
        <v>1042293940</v>
      </c>
      <c r="C36" s="48" t="s">
        <v>159</v>
      </c>
      <c r="D36" s="46"/>
      <c r="E36" s="10">
        <v>0</v>
      </c>
      <c r="F36" s="10">
        <v>0</v>
      </c>
      <c r="G36" s="39" t="s">
        <v>34</v>
      </c>
      <c r="H36" s="11">
        <f t="shared" si="6"/>
        <v>0</v>
      </c>
      <c r="I36" s="10">
        <f t="shared" si="7"/>
        <v>0</v>
      </c>
      <c r="J36" s="10">
        <v>0</v>
      </c>
      <c r="K36" s="10">
        <f t="shared" si="8"/>
        <v>0</v>
      </c>
      <c r="L36" s="17">
        <v>1.7750000000000001</v>
      </c>
      <c r="M36" s="18">
        <f t="shared" si="9"/>
        <v>1.7750000000000001</v>
      </c>
      <c r="N36" s="19">
        <f t="shared" si="10"/>
        <v>0</v>
      </c>
      <c r="O36" s="20">
        <f t="shared" si="11"/>
        <v>1.7750000000000001</v>
      </c>
      <c r="P36" s="11"/>
      <c r="Q36" s="11"/>
      <c r="R36" s="31"/>
    </row>
    <row r="37" spans="1:18" ht="18.75">
      <c r="A37" s="9">
        <v>53</v>
      </c>
      <c r="B37" s="8">
        <v>500959924</v>
      </c>
      <c r="C37" s="47" t="s">
        <v>134</v>
      </c>
      <c r="D37" s="49" t="s">
        <v>16</v>
      </c>
      <c r="E37" s="10">
        <v>0</v>
      </c>
      <c r="F37" s="10">
        <v>0</v>
      </c>
      <c r="G37" s="39" t="s">
        <v>34</v>
      </c>
      <c r="H37" s="11">
        <f t="shared" si="6"/>
        <v>0</v>
      </c>
      <c r="I37" s="10">
        <f t="shared" si="7"/>
        <v>0</v>
      </c>
      <c r="J37" s="10">
        <v>0</v>
      </c>
      <c r="K37" s="10">
        <f t="shared" si="8"/>
        <v>0</v>
      </c>
      <c r="L37" s="17">
        <v>0.9</v>
      </c>
      <c r="M37" s="18">
        <f t="shared" si="9"/>
        <v>0.9</v>
      </c>
      <c r="N37" s="19">
        <f t="shared" si="10"/>
        <v>0</v>
      </c>
      <c r="O37" s="20">
        <f t="shared" si="11"/>
        <v>0.9</v>
      </c>
      <c r="P37" s="11"/>
      <c r="Q37" s="11"/>
      <c r="R37" s="31"/>
    </row>
    <row r="38" spans="1:18" ht="18.75">
      <c r="A38" s="8">
        <v>169</v>
      </c>
      <c r="B38" s="8">
        <v>1280938546</v>
      </c>
      <c r="C38" s="47" t="s">
        <v>89</v>
      </c>
      <c r="D38" s="45"/>
      <c r="E38" s="10">
        <v>0</v>
      </c>
      <c r="F38" s="10">
        <v>14</v>
      </c>
      <c r="G38" s="39" t="s">
        <v>34</v>
      </c>
      <c r="H38" s="11">
        <f t="shared" si="6"/>
        <v>0</v>
      </c>
      <c r="I38" s="10">
        <f t="shared" si="7"/>
        <v>0.28000000000000003</v>
      </c>
      <c r="J38" s="10">
        <v>0</v>
      </c>
      <c r="K38" s="10">
        <f t="shared" si="8"/>
        <v>0.28000000000000003</v>
      </c>
      <c r="L38" s="17">
        <v>0.12</v>
      </c>
      <c r="M38" s="18">
        <f t="shared" si="9"/>
        <v>0.4</v>
      </c>
      <c r="N38" s="19">
        <f t="shared" si="10"/>
        <v>0</v>
      </c>
      <c r="O38" s="20">
        <f t="shared" si="11"/>
        <v>0.4</v>
      </c>
      <c r="P38" s="4"/>
      <c r="Q38" s="4"/>
      <c r="R38" s="4"/>
    </row>
    <row r="39" spans="1:18" ht="18.75">
      <c r="A39" s="9"/>
      <c r="B39" s="8">
        <v>1065313201</v>
      </c>
      <c r="C39" s="48" t="s">
        <v>127</v>
      </c>
      <c r="D39" s="49" t="s">
        <v>128</v>
      </c>
      <c r="E39" s="10">
        <v>0</v>
      </c>
      <c r="F39" s="10">
        <v>0</v>
      </c>
      <c r="G39" s="39" t="s">
        <v>34</v>
      </c>
      <c r="H39" s="11">
        <f t="shared" si="6"/>
        <v>0</v>
      </c>
      <c r="I39" s="10">
        <f t="shared" si="7"/>
        <v>0</v>
      </c>
      <c r="J39" s="10">
        <v>0</v>
      </c>
      <c r="K39" s="10">
        <f t="shared" si="8"/>
        <v>0</v>
      </c>
      <c r="L39" s="17">
        <v>0.22500000000000009</v>
      </c>
      <c r="M39" s="18">
        <f t="shared" si="9"/>
        <v>0.22500000000000009</v>
      </c>
      <c r="N39" s="19">
        <f t="shared" si="10"/>
        <v>0</v>
      </c>
      <c r="O39" s="20">
        <f t="shared" si="11"/>
        <v>0.22500000000000009</v>
      </c>
      <c r="P39" s="4"/>
      <c r="Q39" s="4"/>
      <c r="R39" s="4"/>
    </row>
    <row r="40" spans="1:18" ht="18.75">
      <c r="A40" s="8">
        <v>155</v>
      </c>
      <c r="B40" s="8">
        <v>1532576874</v>
      </c>
      <c r="C40" s="47" t="s">
        <v>140</v>
      </c>
      <c r="D40" s="47" t="s">
        <v>61</v>
      </c>
      <c r="E40" s="10">
        <v>0</v>
      </c>
      <c r="F40" s="10">
        <v>0</v>
      </c>
      <c r="G40" s="39" t="s">
        <v>34</v>
      </c>
      <c r="H40" s="11">
        <f t="shared" si="6"/>
        <v>0</v>
      </c>
      <c r="I40" s="10">
        <f t="shared" si="7"/>
        <v>0</v>
      </c>
      <c r="J40" s="10">
        <v>0</v>
      </c>
      <c r="K40" s="10">
        <f t="shared" si="8"/>
        <v>0</v>
      </c>
      <c r="L40" s="17">
        <v>0</v>
      </c>
      <c r="M40" s="18">
        <f t="shared" si="9"/>
        <v>0</v>
      </c>
      <c r="N40" s="19">
        <f t="shared" si="10"/>
        <v>0</v>
      </c>
      <c r="O40" s="20">
        <f t="shared" si="11"/>
        <v>0</v>
      </c>
      <c r="P40" s="11"/>
      <c r="Q40" s="11"/>
      <c r="R40" s="31"/>
    </row>
    <row r="41" spans="1:18" ht="18.75">
      <c r="A41" s="8">
        <v>180</v>
      </c>
      <c r="B41" s="8">
        <v>24633249</v>
      </c>
      <c r="C41" s="48" t="s">
        <v>72</v>
      </c>
      <c r="D41" s="46"/>
      <c r="E41" s="10">
        <v>0</v>
      </c>
      <c r="F41" s="10">
        <v>0</v>
      </c>
      <c r="G41" s="39" t="s">
        <v>34</v>
      </c>
      <c r="H41" s="11">
        <f t="shared" si="6"/>
        <v>0</v>
      </c>
      <c r="I41" s="10">
        <f t="shared" si="7"/>
        <v>0</v>
      </c>
      <c r="J41" s="10">
        <v>0</v>
      </c>
      <c r="K41" s="10">
        <f t="shared" si="8"/>
        <v>0</v>
      </c>
      <c r="L41" s="17">
        <v>-2.5249999999999999</v>
      </c>
      <c r="M41" s="18">
        <f t="shared" si="9"/>
        <v>-2.5249999999999999</v>
      </c>
      <c r="N41" s="19">
        <f t="shared" si="10"/>
        <v>0</v>
      </c>
      <c r="O41" s="20">
        <f t="shared" si="11"/>
        <v>-2.5249999999999999</v>
      </c>
      <c r="P41" s="11"/>
      <c r="Q41" s="11"/>
      <c r="R41" s="11"/>
    </row>
    <row r="42" spans="1:18" ht="18.75">
      <c r="A42" s="8"/>
      <c r="B42" s="8">
        <v>488712245</v>
      </c>
      <c r="C42" s="47" t="s">
        <v>144</v>
      </c>
      <c r="D42" s="49" t="s">
        <v>162</v>
      </c>
      <c r="E42" s="10">
        <v>0</v>
      </c>
      <c r="F42" s="10">
        <v>0</v>
      </c>
      <c r="G42" s="39" t="s">
        <v>34</v>
      </c>
      <c r="H42" s="11">
        <f t="shared" si="6"/>
        <v>0</v>
      </c>
      <c r="I42" s="10">
        <f t="shared" si="7"/>
        <v>0</v>
      </c>
      <c r="J42" s="10">
        <v>0</v>
      </c>
      <c r="K42" s="10">
        <f t="shared" si="8"/>
        <v>0</v>
      </c>
      <c r="L42" s="17">
        <v>4.7</v>
      </c>
      <c r="M42" s="18">
        <f t="shared" si="9"/>
        <v>4.7</v>
      </c>
      <c r="N42" s="19">
        <f t="shared" si="10"/>
        <v>0</v>
      </c>
      <c r="O42" s="20">
        <f t="shared" si="11"/>
        <v>4.7</v>
      </c>
      <c r="P42" s="4"/>
      <c r="Q42" s="4"/>
      <c r="R42" s="4"/>
    </row>
    <row r="43" spans="1:18" ht="18.75">
      <c r="A43" s="8">
        <v>130</v>
      </c>
      <c r="B43" s="8">
        <v>1957463045</v>
      </c>
      <c r="C43" s="47" t="s">
        <v>44</v>
      </c>
      <c r="D43" s="50"/>
      <c r="E43" s="10">
        <v>0</v>
      </c>
      <c r="F43" s="10">
        <v>0</v>
      </c>
      <c r="G43" s="39" t="s">
        <v>34</v>
      </c>
      <c r="H43" s="11">
        <f t="shared" si="6"/>
        <v>0</v>
      </c>
      <c r="I43" s="10">
        <f t="shared" si="7"/>
        <v>0</v>
      </c>
      <c r="J43" s="10">
        <v>0</v>
      </c>
      <c r="K43" s="10">
        <f t="shared" si="8"/>
        <v>0</v>
      </c>
      <c r="L43" s="17">
        <v>5</v>
      </c>
      <c r="M43" s="18">
        <f t="shared" si="9"/>
        <v>5</v>
      </c>
      <c r="N43" s="19">
        <f t="shared" si="10"/>
        <v>0</v>
      </c>
      <c r="O43" s="20">
        <f t="shared" si="11"/>
        <v>5</v>
      </c>
      <c r="P43" s="11"/>
      <c r="Q43" s="11"/>
      <c r="R43" s="31"/>
    </row>
    <row r="44" spans="1:18" ht="18.75">
      <c r="A44" s="9">
        <v>26</v>
      </c>
      <c r="B44" s="8">
        <v>1754932067</v>
      </c>
      <c r="C44" s="47" t="s">
        <v>76</v>
      </c>
      <c r="D44" s="48" t="s">
        <v>12</v>
      </c>
      <c r="E44" s="10">
        <v>0</v>
      </c>
      <c r="F44" s="10">
        <v>0</v>
      </c>
      <c r="G44" s="39" t="s">
        <v>34</v>
      </c>
      <c r="H44" s="11">
        <f t="shared" si="6"/>
        <v>0</v>
      </c>
      <c r="I44" s="10">
        <f t="shared" si="7"/>
        <v>0</v>
      </c>
      <c r="J44" s="10">
        <v>0</v>
      </c>
      <c r="K44" s="10">
        <f t="shared" si="8"/>
        <v>0</v>
      </c>
      <c r="L44" s="17">
        <v>5</v>
      </c>
      <c r="M44" s="18">
        <f t="shared" si="9"/>
        <v>5</v>
      </c>
      <c r="N44" s="19">
        <f t="shared" si="10"/>
        <v>0</v>
      </c>
      <c r="O44" s="20">
        <f t="shared" si="11"/>
        <v>5</v>
      </c>
      <c r="P44" s="11"/>
      <c r="Q44" s="11"/>
      <c r="R44" s="11"/>
    </row>
    <row r="45" spans="1:18" ht="18.75">
      <c r="A45" s="8">
        <v>187</v>
      </c>
      <c r="B45" s="8">
        <v>1241038267</v>
      </c>
      <c r="C45" s="47" t="s">
        <v>97</v>
      </c>
      <c r="D45" s="46"/>
      <c r="E45" s="10">
        <v>0</v>
      </c>
      <c r="F45" s="10">
        <v>0</v>
      </c>
      <c r="G45" s="39" t="s">
        <v>34</v>
      </c>
      <c r="H45" s="11">
        <f t="shared" si="6"/>
        <v>0</v>
      </c>
      <c r="I45" s="10">
        <f t="shared" si="7"/>
        <v>0</v>
      </c>
      <c r="J45" s="10">
        <v>0</v>
      </c>
      <c r="K45" s="10">
        <f t="shared" si="8"/>
        <v>0</v>
      </c>
      <c r="L45" s="17">
        <v>5</v>
      </c>
      <c r="M45" s="18">
        <f t="shared" si="9"/>
        <v>5</v>
      </c>
      <c r="N45" s="19">
        <f t="shared" si="10"/>
        <v>0</v>
      </c>
      <c r="O45" s="20">
        <f t="shared" si="11"/>
        <v>5</v>
      </c>
      <c r="P45" s="4"/>
      <c r="Q45" s="4"/>
      <c r="R45" s="4"/>
    </row>
    <row r="46" spans="1:18" ht="18.75">
      <c r="A46" s="8">
        <v>188</v>
      </c>
      <c r="B46" s="8">
        <v>1504984957</v>
      </c>
      <c r="C46" s="47" t="s">
        <v>98</v>
      </c>
      <c r="D46" s="46"/>
      <c r="E46" s="10">
        <v>0</v>
      </c>
      <c r="F46" s="10">
        <v>0</v>
      </c>
      <c r="G46" s="39" t="s">
        <v>34</v>
      </c>
      <c r="H46" s="11">
        <f t="shared" si="6"/>
        <v>0</v>
      </c>
      <c r="I46" s="10">
        <f t="shared" si="7"/>
        <v>0</v>
      </c>
      <c r="J46" s="10">
        <v>0</v>
      </c>
      <c r="K46" s="10">
        <f t="shared" si="8"/>
        <v>0</v>
      </c>
      <c r="L46" s="17">
        <v>5</v>
      </c>
      <c r="M46" s="18">
        <f t="shared" si="9"/>
        <v>5</v>
      </c>
      <c r="N46" s="19">
        <f t="shared" si="10"/>
        <v>0</v>
      </c>
      <c r="O46" s="20">
        <f t="shared" si="11"/>
        <v>5</v>
      </c>
      <c r="P46" s="4"/>
      <c r="Q46" s="4"/>
      <c r="R46" s="4"/>
    </row>
    <row r="47" spans="1:18" ht="18.75">
      <c r="A47" s="8">
        <v>205</v>
      </c>
      <c r="B47" s="8">
        <v>141303545</v>
      </c>
      <c r="C47" s="47" t="s">
        <v>114</v>
      </c>
      <c r="D47" s="46"/>
      <c r="E47" s="10">
        <v>0</v>
      </c>
      <c r="F47" s="10">
        <v>0</v>
      </c>
      <c r="G47" s="39" t="s">
        <v>34</v>
      </c>
      <c r="H47" s="11">
        <f t="shared" si="6"/>
        <v>0</v>
      </c>
      <c r="I47" s="10">
        <f t="shared" si="7"/>
        <v>0</v>
      </c>
      <c r="J47" s="10">
        <v>0</v>
      </c>
      <c r="K47" s="10">
        <f t="shared" si="8"/>
        <v>0</v>
      </c>
      <c r="L47" s="17">
        <v>5</v>
      </c>
      <c r="M47" s="18">
        <f t="shared" si="9"/>
        <v>5</v>
      </c>
      <c r="N47" s="19">
        <f t="shared" si="10"/>
        <v>0</v>
      </c>
      <c r="O47" s="20">
        <f t="shared" si="11"/>
        <v>5</v>
      </c>
      <c r="P47" s="4"/>
      <c r="Q47" s="4"/>
      <c r="R47" s="4"/>
    </row>
    <row r="48" spans="1:18" ht="18.75">
      <c r="A48" s="8">
        <v>182</v>
      </c>
      <c r="B48" s="8">
        <v>828260319</v>
      </c>
      <c r="C48" s="47" t="s">
        <v>92</v>
      </c>
      <c r="D48" s="46"/>
      <c r="E48" s="10">
        <v>0</v>
      </c>
      <c r="F48" s="10">
        <v>0</v>
      </c>
      <c r="G48" s="39" t="s">
        <v>34</v>
      </c>
      <c r="H48" s="11">
        <f t="shared" si="6"/>
        <v>0</v>
      </c>
      <c r="I48" s="10">
        <f t="shared" si="7"/>
        <v>0</v>
      </c>
      <c r="J48" s="10">
        <v>0</v>
      </c>
      <c r="K48" s="10">
        <f t="shared" si="8"/>
        <v>0</v>
      </c>
      <c r="L48" s="17">
        <v>5</v>
      </c>
      <c r="M48" s="18">
        <f t="shared" si="9"/>
        <v>5</v>
      </c>
      <c r="N48" s="19">
        <f t="shared" si="10"/>
        <v>0</v>
      </c>
      <c r="O48" s="20">
        <f t="shared" si="11"/>
        <v>5</v>
      </c>
      <c r="P48" s="4"/>
      <c r="Q48" s="4"/>
      <c r="R48" s="4"/>
    </row>
    <row r="49" spans="1:24" ht="18.75">
      <c r="A49" s="9">
        <v>82</v>
      </c>
      <c r="B49" s="8">
        <v>982362214</v>
      </c>
      <c r="C49" s="47" t="s">
        <v>80</v>
      </c>
      <c r="D49" s="48" t="s">
        <v>25</v>
      </c>
      <c r="E49" s="10">
        <v>0</v>
      </c>
      <c r="F49" s="10">
        <v>0</v>
      </c>
      <c r="G49" s="39" t="s">
        <v>34</v>
      </c>
      <c r="H49" s="11">
        <f t="shared" si="6"/>
        <v>0</v>
      </c>
      <c r="I49" s="10">
        <f t="shared" si="7"/>
        <v>0</v>
      </c>
      <c r="J49" s="10">
        <v>0</v>
      </c>
      <c r="K49" s="10">
        <f t="shared" si="8"/>
        <v>0</v>
      </c>
      <c r="L49" s="17">
        <v>5</v>
      </c>
      <c r="M49" s="18">
        <f t="shared" si="9"/>
        <v>5</v>
      </c>
      <c r="N49" s="19">
        <f t="shared" si="10"/>
        <v>0</v>
      </c>
      <c r="O49" s="20">
        <f t="shared" si="11"/>
        <v>5</v>
      </c>
      <c r="P49" s="11"/>
      <c r="Q49" s="11"/>
      <c r="R49" s="11"/>
      <c r="S49" s="1"/>
      <c r="T49" s="1"/>
      <c r="U49" s="1"/>
      <c r="V49" s="1"/>
      <c r="W49" s="1"/>
      <c r="X49" s="1"/>
    </row>
    <row r="50" spans="1:24" ht="18.75">
      <c r="A50" s="8">
        <v>191</v>
      </c>
      <c r="B50" s="8">
        <v>1037173857</v>
      </c>
      <c r="C50" s="47" t="s">
        <v>101</v>
      </c>
      <c r="D50" s="46"/>
      <c r="E50" s="10">
        <v>0</v>
      </c>
      <c r="F50" s="10">
        <v>0</v>
      </c>
      <c r="G50" s="39" t="s">
        <v>34</v>
      </c>
      <c r="H50" s="11">
        <f t="shared" si="6"/>
        <v>0</v>
      </c>
      <c r="I50" s="10">
        <f t="shared" si="7"/>
        <v>0</v>
      </c>
      <c r="J50" s="10">
        <v>0</v>
      </c>
      <c r="K50" s="10">
        <f t="shared" si="8"/>
        <v>0</v>
      </c>
      <c r="L50" s="17">
        <v>5</v>
      </c>
      <c r="M50" s="18">
        <f t="shared" si="9"/>
        <v>5</v>
      </c>
      <c r="N50" s="19">
        <f t="shared" si="10"/>
        <v>0</v>
      </c>
      <c r="O50" s="20">
        <f t="shared" si="11"/>
        <v>5</v>
      </c>
      <c r="P50" s="4"/>
      <c r="Q50" s="4"/>
      <c r="R50" s="4"/>
      <c r="S50" s="1"/>
      <c r="T50" s="1"/>
      <c r="U50" s="1"/>
      <c r="V50" s="1"/>
      <c r="W50" s="1"/>
      <c r="X50" s="1"/>
    </row>
    <row r="51" spans="1:24" ht="18.75">
      <c r="A51" s="8">
        <v>128</v>
      </c>
      <c r="B51" s="8">
        <v>1214614935</v>
      </c>
      <c r="C51" s="47" t="s">
        <v>85</v>
      </c>
      <c r="D51" s="50" t="s">
        <v>53</v>
      </c>
      <c r="E51" s="10">
        <v>0</v>
      </c>
      <c r="F51" s="10">
        <v>0</v>
      </c>
      <c r="G51" s="39" t="s">
        <v>34</v>
      </c>
      <c r="H51" s="11">
        <f t="shared" si="6"/>
        <v>0</v>
      </c>
      <c r="I51" s="10">
        <f t="shared" si="7"/>
        <v>0</v>
      </c>
      <c r="J51" s="10">
        <v>0</v>
      </c>
      <c r="K51" s="10">
        <f t="shared" si="8"/>
        <v>0</v>
      </c>
      <c r="L51" s="17">
        <v>5</v>
      </c>
      <c r="M51" s="18">
        <f t="shared" si="9"/>
        <v>5</v>
      </c>
      <c r="N51" s="19">
        <f t="shared" si="10"/>
        <v>0</v>
      </c>
      <c r="O51" s="20">
        <f t="shared" si="11"/>
        <v>5</v>
      </c>
      <c r="P51" s="11"/>
      <c r="Q51" s="11"/>
      <c r="R51" s="31"/>
      <c r="S51" s="1"/>
      <c r="T51" s="1"/>
      <c r="U51" s="1"/>
      <c r="V51" s="1"/>
      <c r="W51" s="1"/>
      <c r="X51" s="1"/>
    </row>
    <row r="52" spans="1:24" ht="18.75">
      <c r="A52" s="9">
        <v>46</v>
      </c>
      <c r="B52" s="8">
        <v>2109182835</v>
      </c>
      <c r="C52" s="47" t="s">
        <v>79</v>
      </c>
      <c r="D52" s="48" t="s">
        <v>15</v>
      </c>
      <c r="E52" s="10">
        <v>0</v>
      </c>
      <c r="F52" s="10">
        <v>0</v>
      </c>
      <c r="G52" s="39" t="s">
        <v>34</v>
      </c>
      <c r="H52" s="11">
        <f t="shared" si="6"/>
        <v>0</v>
      </c>
      <c r="I52" s="10">
        <f t="shared" si="7"/>
        <v>0</v>
      </c>
      <c r="J52" s="10">
        <v>0</v>
      </c>
      <c r="K52" s="10">
        <f t="shared" si="8"/>
        <v>0</v>
      </c>
      <c r="L52" s="17">
        <v>5</v>
      </c>
      <c r="M52" s="18">
        <f t="shared" si="9"/>
        <v>5</v>
      </c>
      <c r="N52" s="19">
        <f t="shared" si="10"/>
        <v>0</v>
      </c>
      <c r="O52" s="20">
        <f t="shared" si="11"/>
        <v>5</v>
      </c>
      <c r="P52" s="11"/>
      <c r="Q52" s="11"/>
      <c r="R52" s="11"/>
      <c r="S52" s="1"/>
      <c r="T52" s="1"/>
      <c r="U52" s="1"/>
      <c r="V52" s="1"/>
      <c r="W52" s="1"/>
      <c r="X52" s="1"/>
    </row>
    <row r="53" spans="1:24" ht="18.75">
      <c r="A53" s="9">
        <v>120</v>
      </c>
      <c r="B53" s="8">
        <v>171422146</v>
      </c>
      <c r="C53" s="47" t="s">
        <v>83</v>
      </c>
      <c r="D53" s="48" t="s">
        <v>47</v>
      </c>
      <c r="E53" s="10">
        <v>0</v>
      </c>
      <c r="F53" s="10">
        <v>0</v>
      </c>
      <c r="G53" s="39" t="s">
        <v>34</v>
      </c>
      <c r="H53" s="11">
        <f t="shared" si="6"/>
        <v>0</v>
      </c>
      <c r="I53" s="10">
        <f t="shared" si="7"/>
        <v>0</v>
      </c>
      <c r="J53" s="10">
        <v>0</v>
      </c>
      <c r="K53" s="10">
        <f t="shared" si="8"/>
        <v>0</v>
      </c>
      <c r="L53" s="17">
        <v>5</v>
      </c>
      <c r="M53" s="18">
        <f t="shared" si="9"/>
        <v>5</v>
      </c>
      <c r="N53" s="19">
        <f t="shared" si="10"/>
        <v>0</v>
      </c>
      <c r="O53" s="20">
        <f t="shared" si="11"/>
        <v>5</v>
      </c>
      <c r="P53" s="11"/>
      <c r="Q53" s="11"/>
      <c r="R53" s="32"/>
      <c r="S53" s="1"/>
      <c r="T53" s="1"/>
      <c r="U53" s="1"/>
      <c r="V53" s="1"/>
      <c r="W53" s="1"/>
      <c r="X53" s="1"/>
    </row>
    <row r="54" spans="1:24" ht="18.75">
      <c r="A54" s="8">
        <v>143</v>
      </c>
      <c r="B54" s="8">
        <v>1963007427</v>
      </c>
      <c r="C54" s="47" t="s">
        <v>87</v>
      </c>
      <c r="D54" s="47" t="s">
        <v>58</v>
      </c>
      <c r="E54" s="10">
        <v>0</v>
      </c>
      <c r="F54" s="10">
        <v>0</v>
      </c>
      <c r="G54" s="39" t="s">
        <v>34</v>
      </c>
      <c r="H54" s="11">
        <f t="shared" si="6"/>
        <v>0</v>
      </c>
      <c r="I54" s="10">
        <f t="shared" si="7"/>
        <v>0</v>
      </c>
      <c r="J54" s="10">
        <v>0</v>
      </c>
      <c r="K54" s="10">
        <f t="shared" si="8"/>
        <v>0</v>
      </c>
      <c r="L54" s="17">
        <v>5</v>
      </c>
      <c r="M54" s="18">
        <f t="shared" si="9"/>
        <v>5</v>
      </c>
      <c r="N54" s="19">
        <f t="shared" si="10"/>
        <v>0</v>
      </c>
      <c r="O54" s="20">
        <f t="shared" si="11"/>
        <v>5</v>
      </c>
      <c r="P54" s="11"/>
      <c r="Q54" s="11"/>
      <c r="R54" s="31"/>
      <c r="S54" s="1"/>
      <c r="T54" s="1"/>
      <c r="U54" s="1"/>
      <c r="V54" s="1"/>
      <c r="W54" s="1"/>
      <c r="X54" s="1"/>
    </row>
    <row r="55" spans="1:24" ht="18.75">
      <c r="A55" s="8">
        <v>190</v>
      </c>
      <c r="B55" s="8">
        <v>684634207</v>
      </c>
      <c r="C55" s="47" t="s">
        <v>100</v>
      </c>
      <c r="D55" s="46"/>
      <c r="E55" s="10">
        <v>0</v>
      </c>
      <c r="F55" s="10">
        <v>0</v>
      </c>
      <c r="G55" s="39" t="s">
        <v>34</v>
      </c>
      <c r="H55" s="11">
        <f t="shared" si="6"/>
        <v>0</v>
      </c>
      <c r="I55" s="10">
        <f t="shared" si="7"/>
        <v>0</v>
      </c>
      <c r="J55" s="10">
        <v>0</v>
      </c>
      <c r="K55" s="10">
        <f t="shared" si="8"/>
        <v>0</v>
      </c>
      <c r="L55" s="17">
        <v>5</v>
      </c>
      <c r="M55" s="18">
        <f t="shared" si="9"/>
        <v>5</v>
      </c>
      <c r="N55" s="19">
        <f t="shared" si="10"/>
        <v>0</v>
      </c>
      <c r="O55" s="20">
        <f t="shared" si="11"/>
        <v>5</v>
      </c>
      <c r="P55" s="4"/>
      <c r="Q55" s="4"/>
      <c r="R55" s="4"/>
      <c r="S55" s="1"/>
      <c r="T55" s="1"/>
      <c r="U55" s="1"/>
      <c r="V55" s="1"/>
      <c r="W55" s="1"/>
      <c r="X55" s="1"/>
    </row>
    <row r="56" spans="1:24" ht="18.75">
      <c r="A56" s="8">
        <v>186</v>
      </c>
      <c r="B56" s="8">
        <v>595953188</v>
      </c>
      <c r="C56" s="47" t="s">
        <v>96</v>
      </c>
      <c r="D56" s="46"/>
      <c r="E56" s="10">
        <v>0</v>
      </c>
      <c r="F56" s="10">
        <v>0</v>
      </c>
      <c r="G56" s="39" t="s">
        <v>34</v>
      </c>
      <c r="H56" s="11">
        <f t="shared" si="6"/>
        <v>0</v>
      </c>
      <c r="I56" s="10">
        <f t="shared" si="7"/>
        <v>0</v>
      </c>
      <c r="J56" s="10">
        <v>0</v>
      </c>
      <c r="K56" s="10">
        <f t="shared" si="8"/>
        <v>0</v>
      </c>
      <c r="L56" s="17">
        <v>5</v>
      </c>
      <c r="M56" s="18">
        <f t="shared" si="9"/>
        <v>5</v>
      </c>
      <c r="N56" s="19">
        <f t="shared" si="10"/>
        <v>0</v>
      </c>
      <c r="O56" s="20">
        <f t="shared" si="11"/>
        <v>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198</v>
      </c>
      <c r="B57" s="8">
        <v>723448640</v>
      </c>
      <c r="C57" s="47" t="s">
        <v>108</v>
      </c>
      <c r="D57" s="46"/>
      <c r="E57" s="10">
        <v>0</v>
      </c>
      <c r="F57" s="10">
        <v>0</v>
      </c>
      <c r="G57" s="39" t="s">
        <v>34</v>
      </c>
      <c r="H57" s="11">
        <f t="shared" si="6"/>
        <v>0</v>
      </c>
      <c r="I57" s="10">
        <f t="shared" si="7"/>
        <v>0</v>
      </c>
      <c r="J57" s="10">
        <v>0</v>
      </c>
      <c r="K57" s="10">
        <f t="shared" si="8"/>
        <v>0</v>
      </c>
      <c r="L57" s="17">
        <v>5</v>
      </c>
      <c r="M57" s="18">
        <f t="shared" si="9"/>
        <v>5</v>
      </c>
      <c r="N57" s="19">
        <f t="shared" si="10"/>
        <v>0</v>
      </c>
      <c r="O57" s="20">
        <f t="shared" si="11"/>
        <v>5</v>
      </c>
      <c r="P57" s="4"/>
      <c r="Q57" s="4"/>
      <c r="R57" s="4"/>
      <c r="S57" s="1"/>
      <c r="T57" s="1"/>
      <c r="U57" s="1"/>
      <c r="V57" s="1"/>
      <c r="W57" s="1"/>
      <c r="X57" s="1"/>
    </row>
    <row r="58" spans="1:24" ht="18.75">
      <c r="A58" s="8">
        <v>208</v>
      </c>
      <c r="B58" s="8">
        <v>92129464</v>
      </c>
      <c r="C58" s="47" t="s">
        <v>118</v>
      </c>
      <c r="D58" s="46"/>
      <c r="E58" s="10">
        <v>0</v>
      </c>
      <c r="F58" s="10">
        <v>0</v>
      </c>
      <c r="G58" s="39" t="s">
        <v>34</v>
      </c>
      <c r="H58" s="11">
        <f t="shared" si="6"/>
        <v>0</v>
      </c>
      <c r="I58" s="10">
        <f t="shared" si="7"/>
        <v>0</v>
      </c>
      <c r="J58" s="10">
        <v>0</v>
      </c>
      <c r="K58" s="10">
        <f t="shared" si="8"/>
        <v>0</v>
      </c>
      <c r="L58" s="17">
        <v>5</v>
      </c>
      <c r="M58" s="18">
        <f t="shared" si="9"/>
        <v>5</v>
      </c>
      <c r="N58" s="19">
        <f t="shared" si="10"/>
        <v>0</v>
      </c>
      <c r="O58" s="20">
        <f t="shared" si="11"/>
        <v>5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209</v>
      </c>
      <c r="B59" s="8">
        <v>1525950050</v>
      </c>
      <c r="C59" s="47" t="s">
        <v>119</v>
      </c>
      <c r="D59" s="46"/>
      <c r="E59" s="10">
        <v>0</v>
      </c>
      <c r="F59" s="10">
        <v>0</v>
      </c>
      <c r="G59" s="39" t="s">
        <v>34</v>
      </c>
      <c r="H59" s="11">
        <f t="shared" si="6"/>
        <v>0</v>
      </c>
      <c r="I59" s="10">
        <f t="shared" si="7"/>
        <v>0</v>
      </c>
      <c r="J59" s="10">
        <v>0</v>
      </c>
      <c r="K59" s="10">
        <f t="shared" si="8"/>
        <v>0</v>
      </c>
      <c r="L59" s="17">
        <v>5</v>
      </c>
      <c r="M59" s="18">
        <f t="shared" si="9"/>
        <v>5</v>
      </c>
      <c r="N59" s="19">
        <f t="shared" si="10"/>
        <v>0</v>
      </c>
      <c r="O59" s="20">
        <f t="shared" si="11"/>
        <v>5</v>
      </c>
      <c r="P59" s="4"/>
      <c r="Q59" s="4"/>
      <c r="R59" s="4"/>
      <c r="S59" s="1"/>
      <c r="T59" s="1"/>
      <c r="U59" s="1"/>
      <c r="V59" s="1"/>
      <c r="W59" s="1"/>
      <c r="X59" s="1"/>
    </row>
    <row r="60" spans="1:24" ht="18.75">
      <c r="A60" s="8">
        <v>210</v>
      </c>
      <c r="B60" s="8">
        <v>1675792665</v>
      </c>
      <c r="C60" s="47" t="s">
        <v>120</v>
      </c>
      <c r="D60" s="46"/>
      <c r="E60" s="10">
        <v>0</v>
      </c>
      <c r="F60" s="10">
        <v>0</v>
      </c>
      <c r="G60" s="39" t="s">
        <v>34</v>
      </c>
      <c r="H60" s="11">
        <f t="shared" si="6"/>
        <v>0</v>
      </c>
      <c r="I60" s="10">
        <f t="shared" si="7"/>
        <v>0</v>
      </c>
      <c r="J60" s="10">
        <v>0</v>
      </c>
      <c r="K60" s="10">
        <f t="shared" si="8"/>
        <v>0</v>
      </c>
      <c r="L60" s="17">
        <v>3.5</v>
      </c>
      <c r="M60" s="18">
        <f t="shared" si="9"/>
        <v>3.5</v>
      </c>
      <c r="N60" s="19">
        <f t="shared" si="10"/>
        <v>0</v>
      </c>
      <c r="O60" s="20">
        <f t="shared" si="11"/>
        <v>3.5</v>
      </c>
      <c r="P60" s="4"/>
      <c r="Q60" s="4"/>
      <c r="R60" s="4"/>
      <c r="S60" s="1"/>
      <c r="T60" s="1"/>
      <c r="U60" s="1"/>
      <c r="V60" s="1"/>
      <c r="W60" s="1"/>
      <c r="X60" s="1"/>
    </row>
    <row r="61" spans="1:24" ht="18.75">
      <c r="A61" s="8">
        <v>183</v>
      </c>
      <c r="B61" s="8">
        <v>1250030371</v>
      </c>
      <c r="C61" s="47" t="s">
        <v>123</v>
      </c>
      <c r="D61" s="47" t="s">
        <v>93</v>
      </c>
      <c r="E61" s="10">
        <v>0</v>
      </c>
      <c r="F61" s="10">
        <v>0</v>
      </c>
      <c r="G61" s="39" t="s">
        <v>34</v>
      </c>
      <c r="H61" s="11">
        <f t="shared" si="6"/>
        <v>0</v>
      </c>
      <c r="I61" s="10">
        <f t="shared" si="7"/>
        <v>0</v>
      </c>
      <c r="J61" s="10">
        <v>0</v>
      </c>
      <c r="K61" s="10">
        <f t="shared" si="8"/>
        <v>0</v>
      </c>
      <c r="L61" s="17">
        <v>3.5</v>
      </c>
      <c r="M61" s="18">
        <f t="shared" si="9"/>
        <v>3.5</v>
      </c>
      <c r="N61" s="19">
        <f t="shared" si="10"/>
        <v>0</v>
      </c>
      <c r="O61" s="20">
        <f t="shared" si="11"/>
        <v>3.5</v>
      </c>
      <c r="P61" s="4"/>
      <c r="Q61" s="4"/>
      <c r="R61" s="4"/>
      <c r="S61" s="1"/>
      <c r="T61" s="1"/>
      <c r="U61" s="1"/>
      <c r="V61" s="1"/>
      <c r="W61" s="1"/>
      <c r="X61" s="1"/>
    </row>
    <row r="62" spans="1:24" ht="18.75">
      <c r="A62" s="8">
        <v>196</v>
      </c>
      <c r="B62" s="8">
        <v>1065641844</v>
      </c>
      <c r="C62" s="47" t="s">
        <v>106</v>
      </c>
      <c r="D62" s="46"/>
      <c r="E62" s="10">
        <v>0</v>
      </c>
      <c r="F62" s="10">
        <v>0</v>
      </c>
      <c r="G62" s="39" t="s">
        <v>34</v>
      </c>
      <c r="H62" s="11">
        <f t="shared" si="6"/>
        <v>0</v>
      </c>
      <c r="I62" s="10">
        <f t="shared" si="7"/>
        <v>0</v>
      </c>
      <c r="J62" s="10">
        <v>0</v>
      </c>
      <c r="K62" s="10">
        <f t="shared" si="8"/>
        <v>0</v>
      </c>
      <c r="L62" s="17">
        <v>3.5</v>
      </c>
      <c r="M62" s="18">
        <f t="shared" si="9"/>
        <v>3.5</v>
      </c>
      <c r="N62" s="19">
        <f t="shared" si="10"/>
        <v>0</v>
      </c>
      <c r="O62" s="20">
        <f t="shared" si="11"/>
        <v>3.5</v>
      </c>
      <c r="P62" s="4"/>
      <c r="Q62" s="4"/>
      <c r="R62" s="4"/>
      <c r="S62" s="1"/>
      <c r="T62" s="1"/>
      <c r="U62" s="1"/>
      <c r="V62" s="1"/>
      <c r="W62" s="1"/>
      <c r="X62" s="1"/>
    </row>
    <row r="63" spans="1:24" ht="18.75">
      <c r="A63" s="8">
        <v>203</v>
      </c>
      <c r="B63" s="8">
        <v>382695365</v>
      </c>
      <c r="C63" s="47" t="s">
        <v>112</v>
      </c>
      <c r="D63" s="46"/>
      <c r="E63" s="10">
        <v>0</v>
      </c>
      <c r="F63" s="10">
        <v>0</v>
      </c>
      <c r="G63" s="39" t="s">
        <v>34</v>
      </c>
      <c r="H63" s="11">
        <f t="shared" si="6"/>
        <v>0</v>
      </c>
      <c r="I63" s="10">
        <f t="shared" si="7"/>
        <v>0</v>
      </c>
      <c r="J63" s="10">
        <v>0</v>
      </c>
      <c r="K63" s="10">
        <f t="shared" si="8"/>
        <v>0</v>
      </c>
      <c r="L63" s="17">
        <v>3.5</v>
      </c>
      <c r="M63" s="18">
        <f t="shared" si="9"/>
        <v>3.5</v>
      </c>
      <c r="N63" s="19">
        <f t="shared" si="10"/>
        <v>0</v>
      </c>
      <c r="O63" s="20">
        <f t="shared" si="11"/>
        <v>3.5</v>
      </c>
      <c r="P63" s="4"/>
      <c r="Q63" s="4"/>
      <c r="R63" s="4"/>
      <c r="S63" s="1"/>
      <c r="T63" s="1"/>
      <c r="U63" s="1"/>
      <c r="V63" s="1"/>
      <c r="W63" s="1"/>
      <c r="X63" s="1"/>
    </row>
    <row r="64" spans="1:24" ht="18.75">
      <c r="A64" s="8">
        <v>184</v>
      </c>
      <c r="B64" s="8">
        <v>1814130074</v>
      </c>
      <c r="C64" s="47" t="s">
        <v>94</v>
      </c>
      <c r="D64" s="46"/>
      <c r="E64" s="10">
        <v>0</v>
      </c>
      <c r="F64" s="10">
        <v>0</v>
      </c>
      <c r="G64" s="39" t="s">
        <v>34</v>
      </c>
      <c r="H64" s="11">
        <f t="shared" si="6"/>
        <v>0</v>
      </c>
      <c r="I64" s="10">
        <f t="shared" si="7"/>
        <v>0</v>
      </c>
      <c r="J64" s="10">
        <v>0</v>
      </c>
      <c r="K64" s="10">
        <f t="shared" si="8"/>
        <v>0</v>
      </c>
      <c r="L64" s="17">
        <v>3.5</v>
      </c>
      <c r="M64" s="18">
        <f t="shared" si="9"/>
        <v>3.5</v>
      </c>
      <c r="N64" s="19">
        <f t="shared" si="10"/>
        <v>0</v>
      </c>
      <c r="O64" s="20">
        <f t="shared" si="11"/>
        <v>3.5</v>
      </c>
      <c r="P64" s="4"/>
      <c r="Q64" s="4"/>
      <c r="R64" s="4"/>
      <c r="S64" s="1"/>
      <c r="T64" s="1"/>
      <c r="U64" s="1"/>
      <c r="V64" s="1"/>
      <c r="W64" s="1"/>
      <c r="X64" s="1"/>
    </row>
    <row r="65" spans="1:24" ht="18.75">
      <c r="A65" s="8">
        <v>110</v>
      </c>
      <c r="B65" s="8">
        <v>1968703358</v>
      </c>
      <c r="C65" s="47" t="s">
        <v>81</v>
      </c>
      <c r="D65" s="48" t="s">
        <v>45</v>
      </c>
      <c r="E65" s="10">
        <v>0</v>
      </c>
      <c r="F65" s="10">
        <v>0</v>
      </c>
      <c r="G65" s="39" t="s">
        <v>34</v>
      </c>
      <c r="H65" s="11">
        <f t="shared" si="6"/>
        <v>0</v>
      </c>
      <c r="I65" s="10">
        <f t="shared" si="7"/>
        <v>0</v>
      </c>
      <c r="J65" s="10">
        <v>0</v>
      </c>
      <c r="K65" s="10">
        <f t="shared" si="8"/>
        <v>0</v>
      </c>
      <c r="L65" s="17">
        <v>3.5</v>
      </c>
      <c r="M65" s="18">
        <f t="shared" si="9"/>
        <v>3.5</v>
      </c>
      <c r="N65" s="19">
        <f t="shared" si="10"/>
        <v>0</v>
      </c>
      <c r="O65" s="20">
        <f t="shared" si="11"/>
        <v>3.5</v>
      </c>
      <c r="P65" s="11"/>
      <c r="Q65" s="11"/>
      <c r="R65" s="17"/>
      <c r="S65" s="1"/>
      <c r="T65" s="1"/>
      <c r="U65" s="1"/>
      <c r="V65" s="1"/>
      <c r="W65" s="1"/>
      <c r="X65" s="1"/>
    </row>
    <row r="66" spans="1:24" ht="18.75">
      <c r="A66" s="8">
        <v>211</v>
      </c>
      <c r="B66" s="8">
        <v>1030769255</v>
      </c>
      <c r="C66" s="47" t="s">
        <v>121</v>
      </c>
      <c r="D66" s="46"/>
      <c r="E66" s="10">
        <v>0</v>
      </c>
      <c r="F66" s="10">
        <v>0</v>
      </c>
      <c r="G66" s="39" t="s">
        <v>34</v>
      </c>
      <c r="H66" s="11">
        <f t="shared" si="6"/>
        <v>0</v>
      </c>
      <c r="I66" s="10">
        <f t="shared" si="7"/>
        <v>0</v>
      </c>
      <c r="J66" s="10">
        <v>0</v>
      </c>
      <c r="K66" s="10">
        <f t="shared" si="8"/>
        <v>0</v>
      </c>
      <c r="L66" s="17">
        <v>2</v>
      </c>
      <c r="M66" s="18">
        <f t="shared" si="9"/>
        <v>2</v>
      </c>
      <c r="N66" s="19">
        <f t="shared" si="10"/>
        <v>0</v>
      </c>
      <c r="O66" s="20">
        <f t="shared" si="11"/>
        <v>2</v>
      </c>
      <c r="P66" s="4"/>
      <c r="Q66" s="4"/>
      <c r="R66" s="4"/>
      <c r="S66" s="1"/>
      <c r="T66" s="1"/>
      <c r="U66" s="1"/>
      <c r="V66" s="1"/>
      <c r="W66" s="1"/>
      <c r="X66" s="1"/>
    </row>
    <row r="67" spans="1:24" ht="18.75">
      <c r="A67" s="8">
        <v>206</v>
      </c>
      <c r="B67" s="8">
        <v>1835375380</v>
      </c>
      <c r="C67" s="47" t="s">
        <v>115</v>
      </c>
      <c r="D67" s="46"/>
      <c r="E67" s="10">
        <v>0</v>
      </c>
      <c r="F67" s="10">
        <v>0</v>
      </c>
      <c r="G67" s="39" t="s">
        <v>34</v>
      </c>
      <c r="H67" s="11">
        <f t="shared" si="6"/>
        <v>0</v>
      </c>
      <c r="I67" s="10">
        <f t="shared" si="7"/>
        <v>0</v>
      </c>
      <c r="J67" s="10">
        <v>0</v>
      </c>
      <c r="K67" s="10">
        <f t="shared" si="8"/>
        <v>0</v>
      </c>
      <c r="L67" s="17">
        <v>2</v>
      </c>
      <c r="M67" s="18">
        <f t="shared" si="9"/>
        <v>2</v>
      </c>
      <c r="N67" s="19">
        <f t="shared" si="10"/>
        <v>0</v>
      </c>
      <c r="O67" s="20">
        <f t="shared" si="11"/>
        <v>2</v>
      </c>
      <c r="P67" s="4"/>
      <c r="Q67" s="4"/>
      <c r="R67" s="4"/>
      <c r="S67" s="1"/>
      <c r="T67" s="1"/>
      <c r="U67" s="1"/>
      <c r="V67" s="1"/>
      <c r="W67" s="1"/>
      <c r="X67" s="1"/>
    </row>
    <row r="68" spans="1:24" ht="18.75">
      <c r="A68" s="9">
        <v>5</v>
      </c>
      <c r="B68" s="8">
        <v>1044399218</v>
      </c>
      <c r="C68" s="47" t="s">
        <v>75</v>
      </c>
      <c r="D68" s="48" t="s">
        <v>9</v>
      </c>
      <c r="E68" s="10">
        <v>0</v>
      </c>
      <c r="F68" s="10">
        <v>0</v>
      </c>
      <c r="G68" s="39" t="s">
        <v>34</v>
      </c>
      <c r="H68" s="11">
        <f t="shared" si="6"/>
        <v>0</v>
      </c>
      <c r="I68" s="10">
        <f t="shared" si="7"/>
        <v>0</v>
      </c>
      <c r="J68" s="10">
        <v>0</v>
      </c>
      <c r="K68" s="10">
        <f t="shared" si="8"/>
        <v>0</v>
      </c>
      <c r="L68" s="17">
        <v>2</v>
      </c>
      <c r="M68" s="18">
        <f t="shared" si="9"/>
        <v>2</v>
      </c>
      <c r="N68" s="19">
        <f t="shared" si="10"/>
        <v>0</v>
      </c>
      <c r="O68" s="20">
        <f t="shared" si="11"/>
        <v>2</v>
      </c>
      <c r="P68" s="11"/>
      <c r="Q68" s="11"/>
      <c r="R68" s="11"/>
      <c r="S68" s="1"/>
      <c r="T68" s="1"/>
      <c r="U68" s="1"/>
      <c r="V68" s="1"/>
      <c r="W68" s="1"/>
      <c r="X68" s="1"/>
    </row>
    <row r="69" spans="1:24" ht="18.75">
      <c r="A69" s="9">
        <v>103</v>
      </c>
      <c r="B69" s="8">
        <v>1540443440</v>
      </c>
      <c r="C69" s="48" t="s">
        <v>68</v>
      </c>
      <c r="D69" s="48" t="s">
        <v>35</v>
      </c>
      <c r="E69" s="10">
        <v>0</v>
      </c>
      <c r="F69" s="10">
        <v>0</v>
      </c>
      <c r="G69" s="39" t="s">
        <v>34</v>
      </c>
      <c r="H69" s="11">
        <f t="shared" si="6"/>
        <v>0</v>
      </c>
      <c r="I69" s="10">
        <f t="shared" si="7"/>
        <v>0</v>
      </c>
      <c r="J69" s="10">
        <v>0</v>
      </c>
      <c r="K69" s="10">
        <f t="shared" si="8"/>
        <v>0</v>
      </c>
      <c r="L69" s="17">
        <v>2</v>
      </c>
      <c r="M69" s="18">
        <f t="shared" si="9"/>
        <v>2</v>
      </c>
      <c r="N69" s="19">
        <f t="shared" si="10"/>
        <v>0</v>
      </c>
      <c r="O69" s="20">
        <f t="shared" si="11"/>
        <v>2</v>
      </c>
      <c r="P69" s="11"/>
      <c r="Q69" s="11"/>
      <c r="R69" s="11"/>
      <c r="S69" s="3"/>
      <c r="T69" s="3"/>
      <c r="U69" s="3"/>
      <c r="V69" s="3"/>
      <c r="W69" s="3"/>
      <c r="X69" s="3"/>
    </row>
    <row r="70" spans="1:24" ht="18.75">
      <c r="A70" s="8">
        <v>141</v>
      </c>
      <c r="B70" s="8">
        <v>1190305158</v>
      </c>
      <c r="C70" s="47" t="s">
        <v>55</v>
      </c>
      <c r="D70" s="50"/>
      <c r="E70" s="10">
        <v>0</v>
      </c>
      <c r="F70" s="10">
        <v>0</v>
      </c>
      <c r="G70" s="39" t="s">
        <v>34</v>
      </c>
      <c r="H70" s="11">
        <f t="shared" si="6"/>
        <v>0</v>
      </c>
      <c r="I70" s="10">
        <f t="shared" si="7"/>
        <v>0</v>
      </c>
      <c r="J70" s="10">
        <v>0</v>
      </c>
      <c r="K70" s="10">
        <f t="shared" si="8"/>
        <v>0</v>
      </c>
      <c r="L70" s="17">
        <v>2</v>
      </c>
      <c r="M70" s="18">
        <f t="shared" si="9"/>
        <v>2</v>
      </c>
      <c r="N70" s="19">
        <f t="shared" si="10"/>
        <v>0</v>
      </c>
      <c r="O70" s="20">
        <f t="shared" si="11"/>
        <v>2</v>
      </c>
      <c r="P70" s="11"/>
      <c r="Q70" s="11"/>
      <c r="R70" s="31"/>
    </row>
    <row r="71" spans="1:24" ht="18.75">
      <c r="A71" s="8">
        <v>199</v>
      </c>
      <c r="B71" s="8">
        <v>1190213504</v>
      </c>
      <c r="C71" s="47" t="s">
        <v>117</v>
      </c>
      <c r="D71" s="46"/>
      <c r="E71" s="10">
        <v>0</v>
      </c>
      <c r="F71" s="10">
        <v>0</v>
      </c>
      <c r="G71" s="39" t="s">
        <v>34</v>
      </c>
      <c r="H71" s="11">
        <f t="shared" si="6"/>
        <v>0</v>
      </c>
      <c r="I71" s="10">
        <f t="shared" si="7"/>
        <v>0</v>
      </c>
      <c r="J71" s="10">
        <v>0</v>
      </c>
      <c r="K71" s="10">
        <f t="shared" si="8"/>
        <v>0</v>
      </c>
      <c r="L71" s="17">
        <v>1</v>
      </c>
      <c r="M71" s="18">
        <f t="shared" si="9"/>
        <v>1</v>
      </c>
      <c r="N71" s="19">
        <f t="shared" si="10"/>
        <v>0</v>
      </c>
      <c r="O71" s="20">
        <f t="shared" si="11"/>
        <v>1</v>
      </c>
      <c r="P71" s="4"/>
      <c r="Q71" s="4"/>
      <c r="R71" s="4"/>
    </row>
    <row r="72" spans="1:24" ht="18.75">
      <c r="A72" s="8">
        <v>204</v>
      </c>
      <c r="B72" s="8">
        <v>1449474852</v>
      </c>
      <c r="C72" s="47" t="s">
        <v>113</v>
      </c>
      <c r="D72" s="46"/>
      <c r="E72" s="10">
        <v>0</v>
      </c>
      <c r="F72" s="10">
        <v>0</v>
      </c>
      <c r="G72" s="39" t="s">
        <v>34</v>
      </c>
      <c r="H72" s="11">
        <f t="shared" si="6"/>
        <v>0</v>
      </c>
      <c r="I72" s="10">
        <f t="shared" si="7"/>
        <v>0</v>
      </c>
      <c r="J72" s="10">
        <v>0</v>
      </c>
      <c r="K72" s="10">
        <f t="shared" si="8"/>
        <v>0</v>
      </c>
      <c r="L72" s="17">
        <v>1</v>
      </c>
      <c r="M72" s="18">
        <f t="shared" si="9"/>
        <v>1</v>
      </c>
      <c r="N72" s="19">
        <f t="shared" si="10"/>
        <v>0</v>
      </c>
      <c r="O72" s="20">
        <f t="shared" si="11"/>
        <v>1</v>
      </c>
      <c r="P72" s="4"/>
      <c r="Q72" s="4"/>
      <c r="R72" s="4"/>
    </row>
    <row r="73" spans="1:24" ht="18.75">
      <c r="A73" s="8">
        <v>192</v>
      </c>
      <c r="B73" s="8">
        <v>1725281178</v>
      </c>
      <c r="C73" s="47" t="s">
        <v>102</v>
      </c>
      <c r="D73" s="46"/>
      <c r="E73" s="10">
        <v>0</v>
      </c>
      <c r="F73" s="10">
        <v>0</v>
      </c>
      <c r="G73" s="39" t="s">
        <v>34</v>
      </c>
      <c r="H73" s="11">
        <f t="shared" si="6"/>
        <v>0</v>
      </c>
      <c r="I73" s="10">
        <f t="shared" si="7"/>
        <v>0</v>
      </c>
      <c r="J73" s="10">
        <v>0</v>
      </c>
      <c r="K73" s="10">
        <f t="shared" si="8"/>
        <v>0</v>
      </c>
      <c r="L73" s="17">
        <v>1</v>
      </c>
      <c r="M73" s="18">
        <f t="shared" si="9"/>
        <v>1</v>
      </c>
      <c r="N73" s="19">
        <f t="shared" si="10"/>
        <v>0</v>
      </c>
      <c r="O73" s="20">
        <f t="shared" si="11"/>
        <v>1</v>
      </c>
      <c r="P73" s="4"/>
      <c r="Q73" s="4"/>
      <c r="R73" s="4"/>
    </row>
    <row r="74" spans="1:24" ht="18.75">
      <c r="A74" s="8">
        <v>201</v>
      </c>
      <c r="B74" s="8">
        <v>251334814</v>
      </c>
      <c r="C74" s="47" t="s">
        <v>110</v>
      </c>
      <c r="D74" s="46"/>
      <c r="E74" s="10">
        <v>0</v>
      </c>
      <c r="F74" s="10">
        <v>0</v>
      </c>
      <c r="G74" s="39" t="s">
        <v>34</v>
      </c>
      <c r="H74" s="11">
        <f t="shared" si="6"/>
        <v>0</v>
      </c>
      <c r="I74" s="10">
        <f t="shared" si="7"/>
        <v>0</v>
      </c>
      <c r="J74" s="10">
        <v>0</v>
      </c>
      <c r="K74" s="10">
        <f t="shared" si="8"/>
        <v>0</v>
      </c>
      <c r="L74" s="17">
        <v>1</v>
      </c>
      <c r="M74" s="18">
        <f t="shared" si="9"/>
        <v>1</v>
      </c>
      <c r="N74" s="19">
        <f t="shared" si="10"/>
        <v>0</v>
      </c>
      <c r="O74" s="20">
        <f t="shared" si="11"/>
        <v>1</v>
      </c>
      <c r="P74" s="4"/>
      <c r="Q74" s="4"/>
      <c r="R74" s="4"/>
    </row>
    <row r="75" spans="1:24" ht="18.75">
      <c r="A75" s="8">
        <v>148</v>
      </c>
      <c r="B75" s="8">
        <v>1579518877</v>
      </c>
      <c r="C75" s="47" t="s">
        <v>59</v>
      </c>
      <c r="D75" s="50"/>
      <c r="E75" s="10">
        <v>0</v>
      </c>
      <c r="F75" s="10">
        <v>0</v>
      </c>
      <c r="G75" s="39" t="s">
        <v>34</v>
      </c>
      <c r="H75" s="11">
        <f t="shared" si="6"/>
        <v>0</v>
      </c>
      <c r="I75" s="10">
        <f t="shared" si="7"/>
        <v>0</v>
      </c>
      <c r="J75" s="10">
        <v>0</v>
      </c>
      <c r="K75" s="10">
        <f t="shared" si="8"/>
        <v>0</v>
      </c>
      <c r="L75" s="17">
        <v>1</v>
      </c>
      <c r="M75" s="18">
        <f t="shared" si="9"/>
        <v>1</v>
      </c>
      <c r="N75" s="19">
        <f t="shared" si="10"/>
        <v>0</v>
      </c>
      <c r="O75" s="20">
        <f t="shared" si="11"/>
        <v>1</v>
      </c>
      <c r="P75" s="4"/>
      <c r="Q75" s="4"/>
      <c r="R75" s="4"/>
    </row>
    <row r="76" spans="1:24" ht="18.75">
      <c r="A76" s="8">
        <v>144</v>
      </c>
      <c r="B76" s="8">
        <v>1763923855</v>
      </c>
      <c r="C76" s="47" t="s">
        <v>57</v>
      </c>
      <c r="D76" s="53"/>
      <c r="E76" s="10">
        <v>0</v>
      </c>
      <c r="F76" s="10">
        <v>0</v>
      </c>
      <c r="G76" s="39" t="s">
        <v>34</v>
      </c>
      <c r="H76" s="11">
        <f t="shared" si="6"/>
        <v>0</v>
      </c>
      <c r="I76" s="10">
        <f t="shared" si="7"/>
        <v>0</v>
      </c>
      <c r="J76" s="10">
        <v>0</v>
      </c>
      <c r="K76" s="10">
        <f t="shared" si="8"/>
        <v>0</v>
      </c>
      <c r="L76" s="17">
        <v>1</v>
      </c>
      <c r="M76" s="18">
        <f t="shared" si="9"/>
        <v>1</v>
      </c>
      <c r="N76" s="19">
        <f t="shared" si="10"/>
        <v>0</v>
      </c>
      <c r="O76" s="20">
        <f t="shared" si="11"/>
        <v>1</v>
      </c>
      <c r="P76" s="4"/>
      <c r="Q76" s="4"/>
      <c r="R76" s="4"/>
    </row>
    <row r="77" spans="1:24" ht="18.75">
      <c r="A77" s="8">
        <v>152</v>
      </c>
      <c r="B77" s="8">
        <v>808637979</v>
      </c>
      <c r="C77" s="47" t="s">
        <v>62</v>
      </c>
      <c r="D77" s="47" t="s">
        <v>60</v>
      </c>
      <c r="E77" s="10">
        <v>0</v>
      </c>
      <c r="F77" s="10">
        <v>0</v>
      </c>
      <c r="G77" s="39" t="s">
        <v>34</v>
      </c>
      <c r="H77" s="11">
        <f t="shared" si="6"/>
        <v>0</v>
      </c>
      <c r="I77" s="10">
        <f t="shared" si="7"/>
        <v>0</v>
      </c>
      <c r="J77" s="10">
        <v>0</v>
      </c>
      <c r="K77" s="10">
        <f t="shared" si="8"/>
        <v>0</v>
      </c>
      <c r="L77" s="17">
        <v>0</v>
      </c>
      <c r="M77" s="18">
        <f t="shared" si="9"/>
        <v>0</v>
      </c>
      <c r="N77" s="19">
        <f t="shared" si="10"/>
        <v>0</v>
      </c>
      <c r="O77" s="20">
        <f t="shared" si="11"/>
        <v>0</v>
      </c>
      <c r="P77" s="4"/>
      <c r="Q77" s="4"/>
      <c r="R77" s="4"/>
    </row>
    <row r="78" spans="1:24" ht="18.75">
      <c r="A78" s="8">
        <v>170</v>
      </c>
      <c r="B78" s="8">
        <v>1659068972</v>
      </c>
      <c r="C78" s="47" t="s">
        <v>66</v>
      </c>
      <c r="D78" s="46"/>
      <c r="E78" s="10">
        <v>0</v>
      </c>
      <c r="F78" s="10">
        <v>0</v>
      </c>
      <c r="G78" s="39" t="s">
        <v>34</v>
      </c>
      <c r="H78" s="11">
        <f t="shared" si="6"/>
        <v>0</v>
      </c>
      <c r="I78" s="10">
        <f t="shared" si="7"/>
        <v>0</v>
      </c>
      <c r="J78" s="10">
        <v>0</v>
      </c>
      <c r="K78" s="10">
        <f t="shared" si="8"/>
        <v>0</v>
      </c>
      <c r="L78" s="17">
        <v>0</v>
      </c>
      <c r="M78" s="18">
        <f t="shared" si="9"/>
        <v>0</v>
      </c>
      <c r="N78" s="19">
        <f t="shared" si="10"/>
        <v>0</v>
      </c>
      <c r="O78" s="20">
        <f t="shared" si="11"/>
        <v>0</v>
      </c>
      <c r="P78" s="4"/>
      <c r="Q78" s="4"/>
      <c r="R78" s="4"/>
    </row>
    <row r="79" spans="1:24" ht="18.75">
      <c r="A79" s="8">
        <v>167</v>
      </c>
      <c r="B79" s="8">
        <v>1173807161</v>
      </c>
      <c r="C79" s="47" t="s">
        <v>67</v>
      </c>
      <c r="D79" s="52"/>
      <c r="E79" s="10">
        <v>0</v>
      </c>
      <c r="F79" s="10">
        <v>0</v>
      </c>
      <c r="G79" s="39" t="s">
        <v>34</v>
      </c>
      <c r="H79" s="11">
        <f t="shared" si="6"/>
        <v>0</v>
      </c>
      <c r="I79" s="10">
        <f t="shared" si="7"/>
        <v>0</v>
      </c>
      <c r="J79" s="10">
        <v>0</v>
      </c>
      <c r="K79" s="10">
        <f t="shared" si="8"/>
        <v>0</v>
      </c>
      <c r="L79" s="17">
        <v>0</v>
      </c>
      <c r="M79" s="18">
        <f t="shared" si="9"/>
        <v>0</v>
      </c>
      <c r="N79" s="19">
        <f t="shared" si="10"/>
        <v>0</v>
      </c>
      <c r="O79" s="20">
        <f t="shared" si="11"/>
        <v>0</v>
      </c>
      <c r="P79" s="4"/>
      <c r="Q79" s="4"/>
      <c r="R79" s="4"/>
    </row>
    <row r="80" spans="1:24" ht="18.75">
      <c r="A80" s="8">
        <v>138</v>
      </c>
      <c r="B80" s="8">
        <v>1440730282</v>
      </c>
      <c r="C80" s="47" t="s">
        <v>86</v>
      </c>
      <c r="D80" s="47" t="s">
        <v>54</v>
      </c>
      <c r="E80" s="10">
        <v>0</v>
      </c>
      <c r="F80" s="10">
        <v>0</v>
      </c>
      <c r="G80" s="39" t="s">
        <v>34</v>
      </c>
      <c r="H80" s="11">
        <f t="shared" si="6"/>
        <v>0</v>
      </c>
      <c r="I80" s="10">
        <f t="shared" si="7"/>
        <v>0</v>
      </c>
      <c r="J80" s="10">
        <v>0</v>
      </c>
      <c r="K80" s="10">
        <f t="shared" si="8"/>
        <v>0</v>
      </c>
      <c r="L80" s="17">
        <v>0</v>
      </c>
      <c r="M80" s="18">
        <f t="shared" si="9"/>
        <v>0</v>
      </c>
      <c r="N80" s="19">
        <f t="shared" si="10"/>
        <v>0</v>
      </c>
      <c r="O80" s="20">
        <f t="shared" si="11"/>
        <v>0</v>
      </c>
      <c r="P80" s="11"/>
      <c r="Q80" s="11"/>
      <c r="R80" s="31"/>
    </row>
    <row r="81" spans="1:18" ht="18.75">
      <c r="A81" s="8">
        <v>127</v>
      </c>
      <c r="B81" s="8">
        <v>615908706</v>
      </c>
      <c r="C81" s="47" t="s">
        <v>84</v>
      </c>
      <c r="D81" s="50" t="s">
        <v>46</v>
      </c>
      <c r="E81" s="10">
        <v>0</v>
      </c>
      <c r="F81" s="10">
        <v>0</v>
      </c>
      <c r="G81" s="39" t="s">
        <v>34</v>
      </c>
      <c r="H81" s="11">
        <f t="shared" si="6"/>
        <v>0</v>
      </c>
      <c r="I81" s="10">
        <f t="shared" si="7"/>
        <v>0</v>
      </c>
      <c r="J81" s="10">
        <v>0</v>
      </c>
      <c r="K81" s="10">
        <f t="shared" si="8"/>
        <v>0</v>
      </c>
      <c r="L81" s="17">
        <v>0</v>
      </c>
      <c r="M81" s="18">
        <f t="shared" si="9"/>
        <v>0</v>
      </c>
      <c r="N81" s="19">
        <f t="shared" si="10"/>
        <v>0</v>
      </c>
      <c r="O81" s="20">
        <f t="shared" si="11"/>
        <v>0</v>
      </c>
      <c r="P81" s="40"/>
      <c r="Q81" s="40"/>
      <c r="R81" s="41"/>
    </row>
    <row r="82" spans="1:18" ht="18.75">
      <c r="A82" s="9">
        <v>43</v>
      </c>
      <c r="B82" s="8">
        <v>1853818182</v>
      </c>
      <c r="C82" s="48" t="s">
        <v>78</v>
      </c>
      <c r="D82" s="48" t="s">
        <v>14</v>
      </c>
      <c r="E82" s="10">
        <v>0</v>
      </c>
      <c r="F82" s="10">
        <v>0</v>
      </c>
      <c r="G82" s="39" t="s">
        <v>34</v>
      </c>
      <c r="H82" s="11">
        <f t="shared" si="6"/>
        <v>0</v>
      </c>
      <c r="I82" s="10">
        <f t="shared" si="7"/>
        <v>0</v>
      </c>
      <c r="J82" s="10">
        <v>0</v>
      </c>
      <c r="K82" s="10">
        <f t="shared" si="8"/>
        <v>0</v>
      </c>
      <c r="L82" s="17">
        <v>0</v>
      </c>
      <c r="M82" s="18">
        <f t="shared" si="9"/>
        <v>0</v>
      </c>
      <c r="N82" s="19">
        <f t="shared" si="10"/>
        <v>0</v>
      </c>
      <c r="O82" s="20">
        <f t="shared" si="11"/>
        <v>0</v>
      </c>
      <c r="P82" s="40"/>
      <c r="Q82" s="40"/>
    </row>
    <row r="83" spans="1:18" ht="18.75">
      <c r="A83" s="8">
        <v>197</v>
      </c>
      <c r="B83" s="8">
        <v>2012003193</v>
      </c>
      <c r="C83" s="47" t="s">
        <v>107</v>
      </c>
      <c r="D83" s="46"/>
      <c r="E83" s="10">
        <v>0</v>
      </c>
      <c r="F83" s="10">
        <v>0</v>
      </c>
      <c r="G83" s="39" t="s">
        <v>34</v>
      </c>
      <c r="H83" s="11">
        <f t="shared" si="6"/>
        <v>0</v>
      </c>
      <c r="I83" s="10">
        <f t="shared" si="7"/>
        <v>0</v>
      </c>
      <c r="J83" s="10">
        <v>0</v>
      </c>
      <c r="K83" s="10">
        <f t="shared" si="8"/>
        <v>0</v>
      </c>
      <c r="L83" s="17">
        <v>0</v>
      </c>
      <c r="M83" s="18">
        <f t="shared" si="9"/>
        <v>0</v>
      </c>
      <c r="N83" s="19">
        <f t="shared" si="10"/>
        <v>0</v>
      </c>
      <c r="O83" s="20">
        <f t="shared" si="11"/>
        <v>0</v>
      </c>
    </row>
    <row r="84" spans="1:18" ht="18.75">
      <c r="A84" s="8">
        <v>164</v>
      </c>
      <c r="B84" s="8">
        <v>1005320430</v>
      </c>
      <c r="C84" s="47" t="s">
        <v>65</v>
      </c>
      <c r="D84" s="45"/>
      <c r="E84" s="10">
        <v>0</v>
      </c>
      <c r="F84" s="10">
        <v>0</v>
      </c>
      <c r="G84" s="39" t="s">
        <v>34</v>
      </c>
      <c r="H84" s="11">
        <f t="shared" si="6"/>
        <v>0</v>
      </c>
      <c r="I84" s="10">
        <f t="shared" si="7"/>
        <v>0</v>
      </c>
      <c r="J84" s="10">
        <v>0</v>
      </c>
      <c r="K84" s="10">
        <f t="shared" si="8"/>
        <v>0</v>
      </c>
      <c r="L84" s="17">
        <v>0</v>
      </c>
      <c r="M84" s="18">
        <f t="shared" si="9"/>
        <v>0</v>
      </c>
      <c r="N84" s="19">
        <f t="shared" si="10"/>
        <v>0</v>
      </c>
      <c r="O84" s="20">
        <f t="shared" si="11"/>
        <v>0</v>
      </c>
    </row>
    <row r="85" spans="1:18" ht="18.75">
      <c r="A85" s="9">
        <v>122</v>
      </c>
      <c r="B85" s="8">
        <v>1940099728</v>
      </c>
      <c r="C85" s="48" t="s">
        <v>43</v>
      </c>
      <c r="D85" s="49"/>
      <c r="E85" s="10">
        <v>0</v>
      </c>
      <c r="F85" s="10">
        <v>0</v>
      </c>
      <c r="G85" s="39" t="s">
        <v>34</v>
      </c>
      <c r="H85" s="11">
        <f t="shared" si="6"/>
        <v>0</v>
      </c>
      <c r="I85" s="10">
        <f t="shared" si="7"/>
        <v>0</v>
      </c>
      <c r="J85" s="10">
        <v>0</v>
      </c>
      <c r="K85" s="10">
        <f t="shared" si="8"/>
        <v>0</v>
      </c>
      <c r="L85" s="17">
        <v>0</v>
      </c>
      <c r="M85" s="18">
        <f t="shared" si="9"/>
        <v>0</v>
      </c>
      <c r="N85" s="19">
        <f t="shared" si="10"/>
        <v>0</v>
      </c>
      <c r="O85" s="20">
        <f t="shared" si="11"/>
        <v>0</v>
      </c>
      <c r="P85" s="40"/>
      <c r="Q85" s="40"/>
      <c r="R85" s="41"/>
    </row>
    <row r="86" spans="1:18" ht="18.75">
      <c r="A86" s="8">
        <v>179</v>
      </c>
      <c r="B86" s="8">
        <v>1412638269</v>
      </c>
      <c r="C86" s="48" t="s">
        <v>42</v>
      </c>
      <c r="D86" s="46"/>
      <c r="E86" s="10">
        <v>0</v>
      </c>
      <c r="F86" s="10">
        <v>0</v>
      </c>
      <c r="G86" s="39" t="s">
        <v>34</v>
      </c>
      <c r="H86" s="11">
        <f t="shared" si="6"/>
        <v>0</v>
      </c>
      <c r="I86" s="10">
        <f t="shared" si="7"/>
        <v>0</v>
      </c>
      <c r="J86" s="10">
        <v>0</v>
      </c>
      <c r="K86" s="10">
        <f t="shared" si="8"/>
        <v>0</v>
      </c>
      <c r="L86" s="17">
        <v>0</v>
      </c>
      <c r="M86" s="18">
        <f t="shared" si="9"/>
        <v>0</v>
      </c>
      <c r="N86" s="19">
        <f t="shared" si="10"/>
        <v>0</v>
      </c>
      <c r="O86" s="20">
        <f t="shared" si="11"/>
        <v>0</v>
      </c>
    </row>
    <row r="87" spans="1:18" ht="18.75">
      <c r="A87" s="8">
        <v>156</v>
      </c>
      <c r="B87" s="8">
        <v>1754610165</v>
      </c>
      <c r="C87" s="47" t="s">
        <v>88</v>
      </c>
      <c r="D87" s="45"/>
      <c r="E87" s="10">
        <v>0</v>
      </c>
      <c r="F87" s="10">
        <v>0</v>
      </c>
      <c r="G87" s="39" t="s">
        <v>34</v>
      </c>
      <c r="H87" s="11">
        <f t="shared" si="6"/>
        <v>0</v>
      </c>
      <c r="I87" s="10">
        <f t="shared" si="7"/>
        <v>0</v>
      </c>
      <c r="J87" s="10">
        <v>0</v>
      </c>
      <c r="K87" s="10">
        <f t="shared" si="8"/>
        <v>0</v>
      </c>
      <c r="L87" s="17">
        <v>-3.125</v>
      </c>
      <c r="M87" s="18">
        <f t="shared" si="9"/>
        <v>-3.125</v>
      </c>
      <c r="N87" s="19">
        <f t="shared" si="10"/>
        <v>0</v>
      </c>
      <c r="O87" s="20">
        <f t="shared" si="11"/>
        <v>-3.125</v>
      </c>
    </row>
    <row r="88" spans="1:18" ht="18.75">
      <c r="A88" s="8">
        <v>172</v>
      </c>
      <c r="B88" s="8">
        <v>724061220</v>
      </c>
      <c r="C88" s="47" t="s">
        <v>90</v>
      </c>
      <c r="D88" s="47" t="s">
        <v>71</v>
      </c>
      <c r="E88" s="10">
        <v>0</v>
      </c>
      <c r="F88" s="10">
        <v>0</v>
      </c>
      <c r="G88" s="39" t="s">
        <v>34</v>
      </c>
      <c r="H88" s="11">
        <f t="shared" si="6"/>
        <v>0</v>
      </c>
      <c r="I88" s="10">
        <f t="shared" si="7"/>
        <v>0</v>
      </c>
      <c r="J88" s="10">
        <v>0</v>
      </c>
      <c r="K88" s="10">
        <f t="shared" si="8"/>
        <v>0</v>
      </c>
      <c r="L88" s="17">
        <v>-3.125</v>
      </c>
      <c r="M88" s="18">
        <f t="shared" si="9"/>
        <v>-3.125</v>
      </c>
      <c r="N88" s="19">
        <f t="shared" si="10"/>
        <v>0</v>
      </c>
      <c r="O88" s="20">
        <f t="shared" si="11"/>
        <v>-3.125</v>
      </c>
    </row>
    <row r="89" spans="1:18" ht="18.75">
      <c r="A89" s="8">
        <v>195</v>
      </c>
      <c r="B89" s="8">
        <v>1634663314</v>
      </c>
      <c r="C89" s="47" t="s">
        <v>105</v>
      </c>
      <c r="D89" s="46"/>
      <c r="E89" s="10">
        <v>0</v>
      </c>
      <c r="F89" s="10">
        <v>0</v>
      </c>
      <c r="G89" s="39" t="s">
        <v>34</v>
      </c>
      <c r="H89" s="11">
        <f t="shared" si="6"/>
        <v>0</v>
      </c>
      <c r="I89" s="10">
        <f t="shared" si="7"/>
        <v>0</v>
      </c>
      <c r="J89" s="10">
        <v>0</v>
      </c>
      <c r="K89" s="10">
        <f t="shared" si="8"/>
        <v>0</v>
      </c>
      <c r="L89" s="17">
        <v>-3.125</v>
      </c>
      <c r="M89" s="18">
        <f t="shared" si="9"/>
        <v>-3.125</v>
      </c>
      <c r="N89" s="19">
        <f t="shared" si="10"/>
        <v>0</v>
      </c>
      <c r="O89" s="20">
        <f t="shared" si="11"/>
        <v>-3.125</v>
      </c>
    </row>
    <row r="90" spans="1:18" ht="18.75">
      <c r="A90" s="8">
        <v>194</v>
      </c>
      <c r="B90" s="8">
        <v>648785109</v>
      </c>
      <c r="C90" s="47" t="s">
        <v>104</v>
      </c>
      <c r="D90" s="46"/>
      <c r="E90" s="10">
        <v>0</v>
      </c>
      <c r="F90" s="10">
        <v>0</v>
      </c>
      <c r="G90" s="39" t="s">
        <v>34</v>
      </c>
      <c r="H90" s="11">
        <f t="shared" si="6"/>
        <v>0</v>
      </c>
      <c r="I90" s="10">
        <f t="shared" si="7"/>
        <v>0</v>
      </c>
      <c r="J90" s="10">
        <v>0</v>
      </c>
      <c r="K90" s="10">
        <f t="shared" si="8"/>
        <v>0</v>
      </c>
      <c r="L90" s="17">
        <v>-3.125</v>
      </c>
      <c r="M90" s="18">
        <f t="shared" si="9"/>
        <v>-3.125</v>
      </c>
      <c r="N90" s="19">
        <f t="shared" si="10"/>
        <v>0</v>
      </c>
      <c r="O90" s="20">
        <f t="shared" si="11"/>
        <v>-3.125</v>
      </c>
    </row>
    <row r="91" spans="1:18" ht="18.75">
      <c r="A91" s="8">
        <v>180</v>
      </c>
      <c r="B91" s="8">
        <v>24633249</v>
      </c>
      <c r="C91" s="48" t="s">
        <v>72</v>
      </c>
      <c r="D91" s="46"/>
      <c r="E91" s="10">
        <v>0</v>
      </c>
      <c r="F91" s="10">
        <v>0</v>
      </c>
      <c r="G91" s="39" t="s">
        <v>34</v>
      </c>
      <c r="H91" s="11">
        <f t="shared" si="6"/>
        <v>0</v>
      </c>
      <c r="I91" s="10">
        <f t="shared" si="7"/>
        <v>0</v>
      </c>
      <c r="J91" s="10">
        <v>0</v>
      </c>
      <c r="K91" s="10">
        <f t="shared" si="8"/>
        <v>0</v>
      </c>
      <c r="L91" s="17">
        <v>-3.125</v>
      </c>
      <c r="M91" s="18">
        <f t="shared" si="9"/>
        <v>-3.125</v>
      </c>
      <c r="N91" s="19">
        <f t="shared" si="10"/>
        <v>0</v>
      </c>
      <c r="O91" s="20">
        <f t="shared" si="11"/>
        <v>-3.125</v>
      </c>
    </row>
    <row r="92" spans="1:18" ht="18.75">
      <c r="A92" s="8">
        <v>174</v>
      </c>
      <c r="B92" s="8">
        <v>775720958</v>
      </c>
      <c r="C92" s="47" t="s">
        <v>116</v>
      </c>
      <c r="D92" s="47" t="s">
        <v>69</v>
      </c>
      <c r="E92" s="10">
        <v>0</v>
      </c>
      <c r="F92" s="10">
        <v>0</v>
      </c>
      <c r="G92" s="39" t="s">
        <v>34</v>
      </c>
      <c r="H92" s="11">
        <f t="shared" si="6"/>
        <v>0</v>
      </c>
      <c r="I92" s="10">
        <f t="shared" si="7"/>
        <v>0</v>
      </c>
      <c r="J92" s="10">
        <v>0</v>
      </c>
      <c r="K92" s="10">
        <f t="shared" si="8"/>
        <v>0</v>
      </c>
      <c r="L92" s="17">
        <v>-1.25</v>
      </c>
      <c r="M92" s="18">
        <f t="shared" si="9"/>
        <v>-1.25</v>
      </c>
      <c r="N92" s="19">
        <f t="shared" si="10"/>
        <v>0</v>
      </c>
      <c r="O92" s="20">
        <f t="shared" si="11"/>
        <v>-1.25</v>
      </c>
    </row>
    <row r="93" spans="1:18" ht="18.75">
      <c r="A93" s="8">
        <v>116</v>
      </c>
      <c r="B93" s="8">
        <v>2122596917</v>
      </c>
      <c r="C93" s="47" t="s">
        <v>82</v>
      </c>
      <c r="D93" s="48" t="s">
        <v>41</v>
      </c>
      <c r="E93" s="10">
        <v>0</v>
      </c>
      <c r="F93" s="10">
        <v>0</v>
      </c>
      <c r="G93" s="39" t="s">
        <v>34</v>
      </c>
      <c r="H93" s="11">
        <f t="shared" si="6"/>
        <v>0</v>
      </c>
      <c r="I93" s="10">
        <f t="shared" si="7"/>
        <v>0</v>
      </c>
      <c r="J93" s="10">
        <v>0</v>
      </c>
      <c r="K93" s="10">
        <f t="shared" si="8"/>
        <v>0</v>
      </c>
      <c r="L93" s="17">
        <v>-1.25</v>
      </c>
      <c r="M93" s="18">
        <f t="shared" si="9"/>
        <v>-1.25</v>
      </c>
      <c r="N93" s="19">
        <f t="shared" si="10"/>
        <v>0</v>
      </c>
      <c r="O93" s="20">
        <f t="shared" si="11"/>
        <v>-1.25</v>
      </c>
      <c r="P93" s="40"/>
      <c r="Q93" s="40"/>
      <c r="R93" s="42"/>
    </row>
    <row r="94" spans="1:18" ht="18.75">
      <c r="A94" s="8">
        <v>202</v>
      </c>
      <c r="B94" s="8">
        <v>471245585</v>
      </c>
      <c r="C94" s="47" t="s">
        <v>111</v>
      </c>
      <c r="D94" s="46"/>
      <c r="E94" s="10">
        <v>0</v>
      </c>
      <c r="F94" s="10">
        <v>0</v>
      </c>
      <c r="G94" s="39" t="s">
        <v>34</v>
      </c>
      <c r="H94" s="11">
        <f t="shared" si="6"/>
        <v>0</v>
      </c>
      <c r="I94" s="10">
        <f t="shared" si="7"/>
        <v>0</v>
      </c>
      <c r="J94" s="10">
        <v>0</v>
      </c>
      <c r="K94" s="10">
        <f t="shared" si="8"/>
        <v>0</v>
      </c>
      <c r="L94" s="17">
        <v>-1.25</v>
      </c>
      <c r="M94" s="18">
        <f t="shared" si="9"/>
        <v>-1.25</v>
      </c>
      <c r="N94" s="19">
        <f t="shared" si="10"/>
        <v>0</v>
      </c>
      <c r="O94" s="20">
        <f t="shared" si="11"/>
        <v>-1.25</v>
      </c>
    </row>
    <row r="95" spans="1:18" ht="18.75">
      <c r="A95" s="8">
        <v>193</v>
      </c>
      <c r="B95" s="8">
        <v>2125731287</v>
      </c>
      <c r="C95" s="47" t="s">
        <v>103</v>
      </c>
      <c r="D95" s="46"/>
      <c r="E95" s="10">
        <v>0</v>
      </c>
      <c r="F95" s="10">
        <v>0</v>
      </c>
      <c r="G95" s="39" t="s">
        <v>34</v>
      </c>
      <c r="H95" s="11">
        <f t="shared" si="6"/>
        <v>0</v>
      </c>
      <c r="I95" s="10">
        <f t="shared" si="7"/>
        <v>0</v>
      </c>
      <c r="J95" s="10">
        <v>0</v>
      </c>
      <c r="K95" s="10">
        <f t="shared" si="8"/>
        <v>0</v>
      </c>
      <c r="L95" s="17">
        <v>-1.25</v>
      </c>
      <c r="M95" s="18">
        <f t="shared" si="9"/>
        <v>-1.25</v>
      </c>
      <c r="N95" s="19">
        <f t="shared" si="10"/>
        <v>0</v>
      </c>
      <c r="O95" s="20">
        <f t="shared" si="11"/>
        <v>-1.25</v>
      </c>
    </row>
    <row r="96" spans="1:18" ht="18.75">
      <c r="A96" s="9">
        <v>15</v>
      </c>
      <c r="B96" s="8">
        <v>388960345</v>
      </c>
      <c r="C96" s="48" t="s">
        <v>11</v>
      </c>
      <c r="D96" s="49"/>
      <c r="E96" s="10">
        <v>0</v>
      </c>
      <c r="F96" s="10">
        <v>0</v>
      </c>
      <c r="G96" s="39" t="s">
        <v>34</v>
      </c>
      <c r="H96" s="11">
        <f t="shared" si="6"/>
        <v>0</v>
      </c>
      <c r="I96" s="10">
        <f t="shared" si="7"/>
        <v>0</v>
      </c>
      <c r="J96" s="10">
        <v>0</v>
      </c>
      <c r="K96" s="10">
        <f t="shared" si="8"/>
        <v>0</v>
      </c>
      <c r="L96" s="17">
        <v>0.625</v>
      </c>
      <c r="M96" s="18">
        <f t="shared" si="9"/>
        <v>0.625</v>
      </c>
      <c r="N96" s="19">
        <f t="shared" si="10"/>
        <v>0</v>
      </c>
      <c r="O96" s="20">
        <f t="shared" si="11"/>
        <v>0.625</v>
      </c>
      <c r="P96" s="40"/>
      <c r="Q96" s="40"/>
      <c r="R96" s="40"/>
    </row>
    <row r="97" spans="1:18" ht="18.75">
      <c r="A97" s="8">
        <v>185</v>
      </c>
      <c r="B97" s="8">
        <v>30705222</v>
      </c>
      <c r="C97" s="47" t="s">
        <v>95</v>
      </c>
      <c r="D97" s="46"/>
      <c r="E97" s="10">
        <v>0</v>
      </c>
      <c r="F97" s="10">
        <v>0</v>
      </c>
      <c r="G97" s="39" t="s">
        <v>34</v>
      </c>
      <c r="H97" s="11">
        <f t="shared" si="6"/>
        <v>0</v>
      </c>
      <c r="I97" s="10">
        <f t="shared" si="7"/>
        <v>0</v>
      </c>
      <c r="J97" s="10">
        <v>0</v>
      </c>
      <c r="K97" s="10">
        <f t="shared" si="8"/>
        <v>0</v>
      </c>
      <c r="L97" s="17">
        <v>0.625</v>
      </c>
      <c r="M97" s="18">
        <f t="shared" si="9"/>
        <v>0.625</v>
      </c>
      <c r="N97" s="19">
        <f t="shared" si="10"/>
        <v>0</v>
      </c>
      <c r="O97" s="20">
        <f t="shared" si="11"/>
        <v>0.625</v>
      </c>
    </row>
    <row r="98" spans="1:18" ht="18.75">
      <c r="A98" s="8">
        <v>178</v>
      </c>
      <c r="B98" s="8">
        <v>1059185275</v>
      </c>
      <c r="C98" s="47" t="s">
        <v>91</v>
      </c>
      <c r="D98" s="46"/>
      <c r="E98" s="10">
        <v>0</v>
      </c>
      <c r="F98" s="10">
        <v>0</v>
      </c>
      <c r="G98" s="39" t="s">
        <v>34</v>
      </c>
      <c r="H98" s="11">
        <f t="shared" si="6"/>
        <v>0</v>
      </c>
      <c r="I98" s="10">
        <f t="shared" si="7"/>
        <v>0</v>
      </c>
      <c r="J98" s="10">
        <v>0</v>
      </c>
      <c r="K98" s="10">
        <f t="shared" si="8"/>
        <v>0</v>
      </c>
      <c r="L98" s="17">
        <v>0.625</v>
      </c>
      <c r="M98" s="18">
        <f t="shared" si="9"/>
        <v>0.625</v>
      </c>
      <c r="N98" s="19">
        <f t="shared" si="10"/>
        <v>0</v>
      </c>
      <c r="O98" s="20">
        <f t="shared" si="11"/>
        <v>0.625</v>
      </c>
    </row>
    <row r="99" spans="1:18" ht="18.75">
      <c r="A99" s="8">
        <v>189</v>
      </c>
      <c r="B99" s="8">
        <v>522812489</v>
      </c>
      <c r="C99" s="47" t="s">
        <v>99</v>
      </c>
      <c r="D99" s="46"/>
      <c r="E99" s="10">
        <v>0</v>
      </c>
      <c r="F99" s="10">
        <v>0</v>
      </c>
      <c r="G99" s="39" t="s">
        <v>34</v>
      </c>
      <c r="H99" s="11">
        <f t="shared" ref="H99:H100" si="12">E99+IF(E99&gt;2,(E99-2)*0.5,0)</f>
        <v>0</v>
      </c>
      <c r="I99" s="10">
        <f t="shared" ref="I99:I100" si="13">F99/$T$15</f>
        <v>0</v>
      </c>
      <c r="J99" s="10">
        <v>0</v>
      </c>
      <c r="K99" s="10">
        <f t="shared" ref="K99:K100" si="14">SUM(I99+H99+J99)</f>
        <v>0</v>
      </c>
      <c r="L99" s="17">
        <v>0.625</v>
      </c>
      <c r="M99" s="18">
        <f t="shared" ref="M99:M100" si="15">K99+L99</f>
        <v>0.625</v>
      </c>
      <c r="N99" s="19">
        <f t="shared" ref="N99:N100" si="16">VLOOKUP(G99,$S$3:$T$11,2,FALSE)</f>
        <v>0</v>
      </c>
      <c r="O99" s="20">
        <f t="shared" ref="O99:O100" si="17">M99-N99</f>
        <v>0.625</v>
      </c>
      <c r="P99"/>
      <c r="Q99"/>
      <c r="R99"/>
    </row>
    <row r="100" spans="1:18" ht="18.75">
      <c r="A100" s="8">
        <v>207</v>
      </c>
      <c r="B100" s="8">
        <v>721273803</v>
      </c>
      <c r="C100" s="51" t="s">
        <v>124</v>
      </c>
      <c r="D100" s="46"/>
      <c r="E100" s="10">
        <v>0</v>
      </c>
      <c r="F100" s="10">
        <v>0</v>
      </c>
      <c r="G100" s="39" t="s">
        <v>34</v>
      </c>
      <c r="H100" s="11">
        <f t="shared" si="12"/>
        <v>0</v>
      </c>
      <c r="I100" s="10">
        <f t="shared" si="13"/>
        <v>0</v>
      </c>
      <c r="J100" s="10">
        <v>0</v>
      </c>
      <c r="K100" s="10">
        <f t="shared" si="14"/>
        <v>0</v>
      </c>
      <c r="L100" s="17">
        <v>0.625</v>
      </c>
      <c r="M100" s="18">
        <f t="shared" si="15"/>
        <v>0.625</v>
      </c>
      <c r="N100" s="19">
        <f t="shared" si="16"/>
        <v>0</v>
      </c>
      <c r="O100" s="20">
        <f t="shared" si="17"/>
        <v>0.625</v>
      </c>
      <c r="P100"/>
      <c r="Q100"/>
      <c r="R100"/>
    </row>
  </sheetData>
  <sortState ref="A5:O33">
    <sortCondition descending="1" ref="M5:M33"/>
  </sortState>
  <mergeCells count="4">
    <mergeCell ref="A1:O1"/>
    <mergeCell ref="A2:O2"/>
    <mergeCell ref="A3:D3"/>
    <mergeCell ref="G3:O3"/>
  </mergeCells>
  <phoneticPr fontId="13" type="noConversion"/>
  <conditionalFormatting sqref="J83 J85 J88 J90 J92:J93 J95 J97 J99:J100 J5:J29 J31:J33 J35:J81 E5:F100">
    <cfRule type="cellIs" dxfId="19" priority="3" operator="lessThan">
      <formula>1</formula>
    </cfRule>
  </conditionalFormatting>
  <conditionalFormatting sqref="J82 J84 J86:J87 J89 J91 J94 J96 J98 J34">
    <cfRule type="cellIs" dxfId="18" priority="4" operator="lessThan">
      <formula>1</formula>
    </cfRule>
  </conditionalFormatting>
  <conditionalFormatting sqref="J30">
    <cfRule type="cellIs" dxfId="17" priority="2" operator="lessThan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opLeftCell="E3" workbookViewId="0">
      <selection activeCell="E3" sqref="A1:XFD1048576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活动中心",T16,"年",T17,"月",T18,"日","分包贡献明细","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X3/$T$14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78" t="s">
        <v>2</v>
      </c>
      <c r="B4" s="55" t="s">
        <v>28</v>
      </c>
      <c r="C4" s="78" t="s">
        <v>3</v>
      </c>
      <c r="D4" s="78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170</v>
      </c>
      <c r="R4" s="55" t="s">
        <v>1</v>
      </c>
      <c r="S4" s="29" t="s">
        <v>155</v>
      </c>
      <c r="T4" s="28">
        <f>X4/$T$14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9">
        <v>49</v>
      </c>
      <c r="B5" s="8">
        <v>311361673</v>
      </c>
      <c r="C5" s="48" t="s">
        <v>126</v>
      </c>
      <c r="D5" s="49" t="s">
        <v>125</v>
      </c>
      <c r="E5" s="10">
        <v>4</v>
      </c>
      <c r="F5" s="10">
        <v>60</v>
      </c>
      <c r="G5" s="39" t="s">
        <v>34</v>
      </c>
      <c r="H5" s="11">
        <f t="shared" ref="H5:H34" si="0">E5+IF(E5&gt;2,(E5-2)*0.5,0)</f>
        <v>5</v>
      </c>
      <c r="I5" s="10">
        <f t="shared" ref="I5:I34" si="1">F5/$T$15</f>
        <v>1.2</v>
      </c>
      <c r="J5" s="10">
        <v>0</v>
      </c>
      <c r="K5" s="10">
        <f t="shared" ref="K5:K34" si="2">SUM(I5+H5+J5)</f>
        <v>6.2</v>
      </c>
      <c r="L5" s="17">
        <v>31.599999999999998</v>
      </c>
      <c r="M5" s="18">
        <f t="shared" ref="M5:M34" si="3">K5+L5</f>
        <v>37.799999999999997</v>
      </c>
      <c r="N5" s="19">
        <f t="shared" ref="N5:N34" si="4">VLOOKUP(G5,$S$3:$T$11,2,FALSE)</f>
        <v>0</v>
      </c>
      <c r="O5" s="20">
        <f t="shared" ref="O5:O34" si="5">M5-N5</f>
        <v>37.799999999999997</v>
      </c>
      <c r="P5" s="40"/>
      <c r="Q5" s="40"/>
    </row>
    <row r="6" spans="1:24" ht="18.75">
      <c r="A6" s="8">
        <v>173</v>
      </c>
      <c r="B6" s="8">
        <v>1106175185</v>
      </c>
      <c r="C6" s="47" t="s">
        <v>145</v>
      </c>
      <c r="D6" s="46"/>
      <c r="E6" s="10">
        <v>4</v>
      </c>
      <c r="F6" s="10">
        <v>60</v>
      </c>
      <c r="G6" s="12" t="s">
        <v>156</v>
      </c>
      <c r="H6" s="11">
        <f t="shared" si="0"/>
        <v>5</v>
      </c>
      <c r="I6" s="10">
        <f t="shared" si="1"/>
        <v>1.2</v>
      </c>
      <c r="J6" s="10">
        <v>0</v>
      </c>
      <c r="K6" s="10">
        <f t="shared" si="2"/>
        <v>6.2</v>
      </c>
      <c r="L6" s="17">
        <v>5.3500000000000014</v>
      </c>
      <c r="M6" s="18">
        <f t="shared" si="3"/>
        <v>11.55</v>
      </c>
      <c r="N6" s="19">
        <f t="shared" si="4"/>
        <v>8.125</v>
      </c>
      <c r="O6" s="20">
        <f t="shared" si="5"/>
        <v>3.4250000000000007</v>
      </c>
      <c r="P6" s="11"/>
      <c r="Q6" s="11"/>
      <c r="R6" s="31"/>
      <c r="S6" s="14" t="s">
        <v>33</v>
      </c>
      <c r="T6" s="28">
        <f>X6/$T$14</f>
        <v>7.5</v>
      </c>
      <c r="U6" s="30">
        <v>3</v>
      </c>
      <c r="V6" s="30">
        <v>5</v>
      </c>
      <c r="W6" s="30">
        <v>10</v>
      </c>
      <c r="X6" s="30">
        <v>1200</v>
      </c>
    </row>
    <row r="7" spans="1:24" ht="18.75">
      <c r="A7" s="8"/>
      <c r="B7" s="8">
        <v>1128309198</v>
      </c>
      <c r="C7" s="47" t="s">
        <v>163</v>
      </c>
      <c r="D7" s="47"/>
      <c r="E7" s="10">
        <v>3</v>
      </c>
      <c r="F7" s="10">
        <v>50</v>
      </c>
      <c r="G7" s="12" t="s">
        <v>156</v>
      </c>
      <c r="H7" s="11">
        <f t="shared" si="0"/>
        <v>3.5</v>
      </c>
      <c r="I7" s="10">
        <f t="shared" si="1"/>
        <v>1</v>
      </c>
      <c r="J7" s="10">
        <v>0</v>
      </c>
      <c r="K7" s="10">
        <f t="shared" si="2"/>
        <v>4.5</v>
      </c>
      <c r="L7" s="17">
        <v>5.3000000000000007</v>
      </c>
      <c r="M7" s="18">
        <f t="shared" si="3"/>
        <v>9.8000000000000007</v>
      </c>
      <c r="N7" s="19">
        <f t="shared" si="4"/>
        <v>8.125</v>
      </c>
      <c r="O7" s="20">
        <f t="shared" si="5"/>
        <v>1.6750000000000007</v>
      </c>
      <c r="P7" s="4"/>
      <c r="Q7" s="4"/>
      <c r="R7" s="4"/>
      <c r="S7" s="14"/>
      <c r="T7" s="28"/>
      <c r="U7" s="30"/>
      <c r="V7" s="30"/>
      <c r="W7" s="30"/>
      <c r="X7" s="30"/>
    </row>
    <row r="8" spans="1:24" ht="18.75">
      <c r="A8" s="9">
        <v>92</v>
      </c>
      <c r="B8" s="8">
        <v>1367873925</v>
      </c>
      <c r="C8" s="47" t="s">
        <v>130</v>
      </c>
      <c r="D8" s="47" t="s">
        <v>143</v>
      </c>
      <c r="E8" s="10">
        <v>4</v>
      </c>
      <c r="F8" s="10">
        <v>60</v>
      </c>
      <c r="G8" s="12" t="s">
        <v>156</v>
      </c>
      <c r="H8" s="11">
        <f t="shared" si="0"/>
        <v>5</v>
      </c>
      <c r="I8" s="10">
        <f t="shared" si="1"/>
        <v>1.2</v>
      </c>
      <c r="J8" s="10">
        <v>0</v>
      </c>
      <c r="K8" s="10">
        <f t="shared" si="2"/>
        <v>6.2</v>
      </c>
      <c r="L8" s="17">
        <v>3.2250000000000014</v>
      </c>
      <c r="M8" s="18">
        <f t="shared" si="3"/>
        <v>9.4250000000000007</v>
      </c>
      <c r="N8" s="19">
        <f t="shared" si="4"/>
        <v>8.125</v>
      </c>
      <c r="O8" s="20">
        <f t="shared" si="5"/>
        <v>1.3000000000000007</v>
      </c>
      <c r="P8" s="4"/>
      <c r="Q8" s="4"/>
      <c r="R8" s="4"/>
      <c r="S8" s="12" t="s">
        <v>156</v>
      </c>
      <c r="T8" s="28">
        <f>X8/$T$14</f>
        <v>8.125</v>
      </c>
      <c r="U8" s="30">
        <v>4</v>
      </c>
      <c r="V8" s="30">
        <v>5</v>
      </c>
      <c r="W8" s="30"/>
      <c r="X8" s="30">
        <v>1300</v>
      </c>
    </row>
    <row r="9" spans="1:24" ht="18.75">
      <c r="A9" s="9"/>
      <c r="B9" s="8">
        <v>331155825</v>
      </c>
      <c r="C9" s="48" t="s">
        <v>131</v>
      </c>
      <c r="D9" s="49" t="s">
        <v>132</v>
      </c>
      <c r="E9" s="10">
        <v>4</v>
      </c>
      <c r="F9" s="10">
        <v>60</v>
      </c>
      <c r="G9" s="12" t="s">
        <v>156</v>
      </c>
      <c r="H9" s="11">
        <f t="shared" si="0"/>
        <v>5</v>
      </c>
      <c r="I9" s="10">
        <f t="shared" si="1"/>
        <v>1.2</v>
      </c>
      <c r="J9" s="10">
        <v>0</v>
      </c>
      <c r="K9" s="10">
        <f t="shared" si="2"/>
        <v>6.2</v>
      </c>
      <c r="L9" s="17">
        <v>2.6000000000000005</v>
      </c>
      <c r="M9" s="18">
        <f t="shared" si="3"/>
        <v>8.8000000000000007</v>
      </c>
      <c r="N9" s="19">
        <f t="shared" si="4"/>
        <v>8.125</v>
      </c>
      <c r="O9" s="20">
        <f t="shared" si="5"/>
        <v>0.67500000000000071</v>
      </c>
      <c r="P9" s="11"/>
      <c r="Q9" s="11"/>
      <c r="R9" s="11"/>
      <c r="S9" s="13" t="s">
        <v>157</v>
      </c>
      <c r="T9" s="28">
        <f>X9/$T$14</f>
        <v>6.25</v>
      </c>
      <c r="U9" s="30">
        <v>3</v>
      </c>
      <c r="V9" s="30">
        <v>4</v>
      </c>
      <c r="W9" s="30"/>
      <c r="X9" s="30">
        <v>1000</v>
      </c>
    </row>
    <row r="10" spans="1:24" ht="18.75">
      <c r="A10" s="9"/>
      <c r="B10" s="8">
        <v>1238792963</v>
      </c>
      <c r="C10" s="48" t="s">
        <v>176</v>
      </c>
      <c r="D10" s="48" t="s">
        <v>142</v>
      </c>
      <c r="E10" s="10">
        <v>4</v>
      </c>
      <c r="F10" s="10">
        <v>60</v>
      </c>
      <c r="G10" s="12" t="s">
        <v>156</v>
      </c>
      <c r="H10" s="11">
        <f t="shared" si="0"/>
        <v>5</v>
      </c>
      <c r="I10" s="10">
        <f t="shared" si="1"/>
        <v>1.2</v>
      </c>
      <c r="J10" s="10">
        <v>0</v>
      </c>
      <c r="K10" s="10">
        <f t="shared" si="2"/>
        <v>6.2</v>
      </c>
      <c r="L10" s="17">
        <v>2.4500000000000011</v>
      </c>
      <c r="M10" s="18">
        <f t="shared" si="3"/>
        <v>8.6500000000000021</v>
      </c>
      <c r="N10" s="19">
        <f t="shared" si="4"/>
        <v>8.125</v>
      </c>
      <c r="O10" s="20">
        <f t="shared" si="5"/>
        <v>0.52500000000000213</v>
      </c>
      <c r="P10" s="11"/>
      <c r="Q10" s="11"/>
      <c r="R10" s="31"/>
      <c r="S10" s="14" t="s">
        <v>158</v>
      </c>
      <c r="T10" s="28">
        <f>X10/$T$14</f>
        <v>4.375</v>
      </c>
      <c r="U10" s="30">
        <v>2</v>
      </c>
      <c r="V10" s="30">
        <v>3</v>
      </c>
      <c r="W10" s="30"/>
      <c r="X10" s="30">
        <v>700</v>
      </c>
    </row>
    <row r="11" spans="1:24" ht="18.75">
      <c r="A11" s="8"/>
      <c r="B11" s="8">
        <v>2134752758</v>
      </c>
      <c r="C11" s="47" t="s">
        <v>139</v>
      </c>
      <c r="D11" s="46"/>
      <c r="E11" s="10">
        <v>0</v>
      </c>
      <c r="F11" s="10">
        <v>60</v>
      </c>
      <c r="G11" s="39" t="s">
        <v>34</v>
      </c>
      <c r="H11" s="11">
        <f t="shared" si="0"/>
        <v>0</v>
      </c>
      <c r="I11" s="10">
        <f t="shared" si="1"/>
        <v>1.2</v>
      </c>
      <c r="J11" s="10">
        <v>0</v>
      </c>
      <c r="K11" s="10">
        <f t="shared" si="2"/>
        <v>1.2</v>
      </c>
      <c r="L11" s="17">
        <v>7.35</v>
      </c>
      <c r="M11" s="18">
        <f t="shared" si="3"/>
        <v>8.5499999999999989</v>
      </c>
      <c r="N11" s="19">
        <f t="shared" si="4"/>
        <v>0</v>
      </c>
      <c r="O11" s="20">
        <f t="shared" si="5"/>
        <v>8.5499999999999989</v>
      </c>
      <c r="P11" s="4"/>
      <c r="Q11" s="4"/>
      <c r="R11" s="4"/>
      <c r="S11" s="33" t="s">
        <v>34</v>
      </c>
      <c r="T11" s="2">
        <v>0</v>
      </c>
      <c r="U11" s="2"/>
      <c r="V11" s="2"/>
      <c r="W11" s="2"/>
      <c r="X11" s="2"/>
    </row>
    <row r="12" spans="1:24" ht="18.75">
      <c r="A12" s="8"/>
      <c r="B12" s="8">
        <v>1176673438</v>
      </c>
      <c r="C12" s="48" t="s">
        <v>167</v>
      </c>
      <c r="D12" s="46"/>
      <c r="E12" s="10">
        <v>4</v>
      </c>
      <c r="F12" s="10">
        <v>60</v>
      </c>
      <c r="G12" s="13" t="s">
        <v>157</v>
      </c>
      <c r="H12" s="11">
        <f t="shared" si="0"/>
        <v>5</v>
      </c>
      <c r="I12" s="10">
        <f t="shared" si="1"/>
        <v>1.2</v>
      </c>
      <c r="J12" s="10">
        <v>0</v>
      </c>
      <c r="K12" s="10">
        <f t="shared" si="2"/>
        <v>6.2</v>
      </c>
      <c r="L12" s="17">
        <v>2.125</v>
      </c>
      <c r="M12" s="18">
        <f t="shared" si="3"/>
        <v>8.3249999999999993</v>
      </c>
      <c r="N12" s="19">
        <f t="shared" si="4"/>
        <v>6.25</v>
      </c>
      <c r="O12" s="20">
        <f t="shared" si="5"/>
        <v>2.0749999999999993</v>
      </c>
      <c r="P12" s="4"/>
      <c r="Q12" s="4"/>
      <c r="R12" s="4"/>
      <c r="S12" s="34"/>
      <c r="T12" s="1"/>
      <c r="U12" s="1"/>
      <c r="V12" s="1"/>
      <c r="W12" s="1"/>
      <c r="X12" s="1"/>
    </row>
    <row r="13" spans="1:24" ht="18.75">
      <c r="A13" s="9">
        <v>10</v>
      </c>
      <c r="B13" s="8">
        <v>2108977014</v>
      </c>
      <c r="C13" s="47" t="s">
        <v>138</v>
      </c>
      <c r="D13" s="48" t="s">
        <v>10</v>
      </c>
      <c r="E13" s="10">
        <v>2</v>
      </c>
      <c r="F13" s="10">
        <v>60</v>
      </c>
      <c r="G13" s="13" t="s">
        <v>157</v>
      </c>
      <c r="H13" s="11">
        <f t="shared" si="0"/>
        <v>2</v>
      </c>
      <c r="I13" s="10">
        <f t="shared" si="1"/>
        <v>1.2</v>
      </c>
      <c r="J13" s="10">
        <v>0</v>
      </c>
      <c r="K13" s="10">
        <f t="shared" si="2"/>
        <v>3.2</v>
      </c>
      <c r="L13" s="17">
        <v>5.0999999999999996</v>
      </c>
      <c r="M13" s="18">
        <f t="shared" si="3"/>
        <v>8.3000000000000007</v>
      </c>
      <c r="N13" s="19">
        <f t="shared" si="4"/>
        <v>6.25</v>
      </c>
      <c r="O13" s="20">
        <f t="shared" si="5"/>
        <v>2.0500000000000007</v>
      </c>
      <c r="P13" s="4"/>
      <c r="Q13" s="4"/>
      <c r="R13" s="4"/>
      <c r="S13" s="35" t="s">
        <v>36</v>
      </c>
      <c r="T13" s="1">
        <v>15000</v>
      </c>
      <c r="U13" s="1"/>
      <c r="V13" s="1"/>
      <c r="W13" s="1"/>
      <c r="X13" s="1"/>
    </row>
    <row r="14" spans="1:24" ht="18.75">
      <c r="A14" s="8"/>
      <c r="B14" s="8">
        <v>334151795</v>
      </c>
      <c r="C14" s="47" t="s">
        <v>146</v>
      </c>
      <c r="D14" s="46"/>
      <c r="E14" s="10">
        <v>1</v>
      </c>
      <c r="F14" s="10">
        <v>60</v>
      </c>
      <c r="G14" s="13" t="s">
        <v>157</v>
      </c>
      <c r="H14" s="11">
        <f t="shared" si="0"/>
        <v>1</v>
      </c>
      <c r="I14" s="10">
        <f t="shared" si="1"/>
        <v>1.2</v>
      </c>
      <c r="J14" s="10">
        <v>0</v>
      </c>
      <c r="K14" s="10">
        <f t="shared" si="2"/>
        <v>2.2000000000000002</v>
      </c>
      <c r="L14" s="17">
        <v>6.0250000000000004</v>
      </c>
      <c r="M14" s="18">
        <f t="shared" si="3"/>
        <v>8.2250000000000014</v>
      </c>
      <c r="N14" s="19">
        <f t="shared" si="4"/>
        <v>6.25</v>
      </c>
      <c r="O14" s="20">
        <f t="shared" si="5"/>
        <v>1.9750000000000014</v>
      </c>
      <c r="P14" s="4"/>
      <c r="Q14" s="4"/>
      <c r="R14" s="4"/>
      <c r="S14" s="36" t="s">
        <v>37</v>
      </c>
      <c r="T14" s="37">
        <v>160</v>
      </c>
      <c r="U14" s="1"/>
      <c r="V14" s="1"/>
      <c r="W14" s="1"/>
      <c r="X14" s="1"/>
    </row>
    <row r="15" spans="1:24" ht="18.75">
      <c r="A15" s="8">
        <v>118</v>
      </c>
      <c r="B15" s="8">
        <v>2018112397</v>
      </c>
      <c r="C15" s="47" t="s">
        <v>152</v>
      </c>
      <c r="D15" s="48" t="s">
        <v>63</v>
      </c>
      <c r="E15" s="10">
        <v>1</v>
      </c>
      <c r="F15" s="10">
        <v>50</v>
      </c>
      <c r="G15" s="13" t="s">
        <v>157</v>
      </c>
      <c r="H15" s="11">
        <f t="shared" si="0"/>
        <v>1</v>
      </c>
      <c r="I15" s="10">
        <f t="shared" si="1"/>
        <v>1</v>
      </c>
      <c r="J15" s="10">
        <v>0</v>
      </c>
      <c r="K15" s="10">
        <f t="shared" si="2"/>
        <v>2</v>
      </c>
      <c r="L15" s="17">
        <v>6.0000000000000018</v>
      </c>
      <c r="M15" s="18">
        <f t="shared" si="3"/>
        <v>8.0000000000000018</v>
      </c>
      <c r="N15" s="19">
        <f t="shared" si="4"/>
        <v>6.25</v>
      </c>
      <c r="O15" s="20">
        <f t="shared" si="5"/>
        <v>1.7500000000000018</v>
      </c>
      <c r="P15" s="11"/>
      <c r="Q15" s="11"/>
      <c r="R15" s="11"/>
      <c r="S15" s="38" t="s">
        <v>52</v>
      </c>
      <c r="T15" s="37">
        <v>50</v>
      </c>
      <c r="U15" s="1"/>
      <c r="V15" s="1"/>
      <c r="W15" s="1"/>
      <c r="X15" s="1"/>
    </row>
    <row r="16" spans="1:24" ht="18.75">
      <c r="A16" s="8"/>
      <c r="B16" s="8">
        <v>610681537</v>
      </c>
      <c r="C16" s="47" t="s">
        <v>153</v>
      </c>
      <c r="D16" s="46"/>
      <c r="E16" s="10">
        <v>0</v>
      </c>
      <c r="F16" s="10">
        <v>60</v>
      </c>
      <c r="G16" s="39" t="s">
        <v>34</v>
      </c>
      <c r="H16" s="11">
        <f t="shared" si="0"/>
        <v>0</v>
      </c>
      <c r="I16" s="10">
        <f t="shared" si="1"/>
        <v>1.2</v>
      </c>
      <c r="J16" s="10">
        <v>0</v>
      </c>
      <c r="K16" s="10">
        <f t="shared" si="2"/>
        <v>1.2</v>
      </c>
      <c r="L16" s="17">
        <v>6.76</v>
      </c>
      <c r="M16" s="18">
        <f t="shared" si="3"/>
        <v>7.96</v>
      </c>
      <c r="N16" s="19">
        <f t="shared" si="4"/>
        <v>0</v>
      </c>
      <c r="O16" s="20">
        <f t="shared" si="5"/>
        <v>7.96</v>
      </c>
      <c r="P16" s="11"/>
      <c r="Q16" s="11"/>
      <c r="R16" s="11"/>
      <c r="S16" s="1" t="s">
        <v>38</v>
      </c>
      <c r="T16" s="37">
        <v>2020</v>
      </c>
      <c r="U16" s="1"/>
      <c r="V16" s="1"/>
      <c r="W16" s="1"/>
      <c r="X16" s="1"/>
    </row>
    <row r="17" spans="1:24" ht="18.75">
      <c r="A17" s="8">
        <v>181</v>
      </c>
      <c r="B17" s="8">
        <v>1467442697</v>
      </c>
      <c r="C17" s="47" t="s">
        <v>175</v>
      </c>
      <c r="D17" s="47" t="s">
        <v>73</v>
      </c>
      <c r="E17" s="10">
        <v>0</v>
      </c>
      <c r="F17" s="10">
        <v>50</v>
      </c>
      <c r="G17" s="39" t="s">
        <v>34</v>
      </c>
      <c r="H17" s="11">
        <f t="shared" si="0"/>
        <v>0</v>
      </c>
      <c r="I17" s="10">
        <f t="shared" si="1"/>
        <v>1</v>
      </c>
      <c r="J17" s="10">
        <v>0</v>
      </c>
      <c r="K17" s="10">
        <f t="shared" si="2"/>
        <v>1</v>
      </c>
      <c r="L17" s="17">
        <v>6.44</v>
      </c>
      <c r="M17" s="18">
        <f t="shared" si="3"/>
        <v>7.44</v>
      </c>
      <c r="N17" s="19">
        <f t="shared" si="4"/>
        <v>0</v>
      </c>
      <c r="O17" s="20">
        <f t="shared" si="5"/>
        <v>7.44</v>
      </c>
      <c r="P17" s="4"/>
      <c r="Q17" s="4"/>
      <c r="R17" s="4"/>
      <c r="S17" s="1" t="s">
        <v>39</v>
      </c>
      <c r="T17" s="37">
        <v>9</v>
      </c>
      <c r="U17" s="1"/>
      <c r="V17" s="1"/>
      <c r="W17" s="1"/>
      <c r="X17" s="1"/>
    </row>
    <row r="18" spans="1:24" ht="18.75">
      <c r="A18" s="8"/>
      <c r="B18" s="8">
        <v>1804880865</v>
      </c>
      <c r="C18" s="47" t="s">
        <v>151</v>
      </c>
      <c r="D18" s="48"/>
      <c r="E18" s="10">
        <v>4</v>
      </c>
      <c r="F18" s="10">
        <v>60</v>
      </c>
      <c r="G18" s="13" t="s">
        <v>157</v>
      </c>
      <c r="H18" s="11">
        <f t="shared" si="0"/>
        <v>5</v>
      </c>
      <c r="I18" s="10">
        <f t="shared" si="1"/>
        <v>1.2</v>
      </c>
      <c r="J18" s="10">
        <v>0</v>
      </c>
      <c r="K18" s="10">
        <f t="shared" si="2"/>
        <v>6.2</v>
      </c>
      <c r="L18" s="17">
        <v>1.2250000000000014</v>
      </c>
      <c r="M18" s="18">
        <f t="shared" si="3"/>
        <v>7.4250000000000016</v>
      </c>
      <c r="N18" s="19">
        <f t="shared" si="4"/>
        <v>6.25</v>
      </c>
      <c r="O18" s="20">
        <f t="shared" si="5"/>
        <v>1.1750000000000016</v>
      </c>
      <c r="P18" s="11"/>
      <c r="Q18" s="11"/>
      <c r="R18" s="32"/>
      <c r="S18" s="1" t="s">
        <v>40</v>
      </c>
      <c r="T18" s="37">
        <v>27</v>
      </c>
    </row>
    <row r="19" spans="1:24" ht="18.75">
      <c r="A19" s="8">
        <v>200</v>
      </c>
      <c r="B19" s="8">
        <v>967589156</v>
      </c>
      <c r="C19" s="47" t="s">
        <v>109</v>
      </c>
      <c r="D19" s="46"/>
      <c r="E19" s="10">
        <v>4</v>
      </c>
      <c r="F19" s="10">
        <v>60</v>
      </c>
      <c r="G19" s="14" t="s">
        <v>158</v>
      </c>
      <c r="H19" s="11">
        <f t="shared" si="0"/>
        <v>5</v>
      </c>
      <c r="I19" s="10">
        <f t="shared" si="1"/>
        <v>1.2</v>
      </c>
      <c r="J19" s="10">
        <v>0</v>
      </c>
      <c r="K19" s="10">
        <f t="shared" si="2"/>
        <v>6.2</v>
      </c>
      <c r="L19" s="17">
        <v>1.1500000000000004</v>
      </c>
      <c r="M19" s="18">
        <f t="shared" si="3"/>
        <v>7.3500000000000005</v>
      </c>
      <c r="N19" s="19">
        <f t="shared" si="4"/>
        <v>4.375</v>
      </c>
      <c r="O19" s="20">
        <f t="shared" si="5"/>
        <v>2.9750000000000005</v>
      </c>
      <c r="P19" s="11"/>
      <c r="Q19" s="11"/>
      <c r="R19" s="31"/>
      <c r="U19" s="1"/>
      <c r="V19" s="1"/>
      <c r="W19" s="1"/>
      <c r="X19" s="1"/>
    </row>
    <row r="20" spans="1:24" ht="18.75">
      <c r="A20" s="8"/>
      <c r="B20" s="8">
        <v>862532360</v>
      </c>
      <c r="C20" s="47" t="s">
        <v>173</v>
      </c>
      <c r="D20" s="47"/>
      <c r="E20" s="10">
        <v>4</v>
      </c>
      <c r="F20" s="10">
        <v>53</v>
      </c>
      <c r="G20" s="14" t="s">
        <v>158</v>
      </c>
      <c r="H20" s="11">
        <f t="shared" si="0"/>
        <v>5</v>
      </c>
      <c r="I20" s="10">
        <f t="shared" si="1"/>
        <v>1.06</v>
      </c>
      <c r="J20" s="10">
        <v>0</v>
      </c>
      <c r="K20" s="10">
        <f t="shared" si="2"/>
        <v>6.0600000000000005</v>
      </c>
      <c r="L20" s="17">
        <v>1.2200000000000006</v>
      </c>
      <c r="M20" s="18">
        <f t="shared" si="3"/>
        <v>7.2800000000000011</v>
      </c>
      <c r="N20" s="19">
        <f t="shared" si="4"/>
        <v>4.375</v>
      </c>
      <c r="O20" s="20">
        <f t="shared" si="5"/>
        <v>2.9050000000000011</v>
      </c>
      <c r="P20" s="11"/>
      <c r="Q20" s="11"/>
      <c r="R20" s="11"/>
    </row>
    <row r="21" spans="1:24" ht="18.75">
      <c r="A21" s="8">
        <v>212</v>
      </c>
      <c r="B21" s="8">
        <v>2133045883</v>
      </c>
      <c r="C21" s="47" t="s">
        <v>122</v>
      </c>
      <c r="D21" s="46"/>
      <c r="E21" s="10">
        <v>4</v>
      </c>
      <c r="F21" s="10">
        <v>60</v>
      </c>
      <c r="G21" s="14" t="s">
        <v>158</v>
      </c>
      <c r="H21" s="11">
        <f t="shared" si="0"/>
        <v>5</v>
      </c>
      <c r="I21" s="10">
        <f t="shared" si="1"/>
        <v>1.2</v>
      </c>
      <c r="J21" s="10">
        <v>0</v>
      </c>
      <c r="K21" s="10">
        <f t="shared" si="2"/>
        <v>6.2</v>
      </c>
      <c r="L21" s="17">
        <v>0.82500000000000107</v>
      </c>
      <c r="M21" s="18">
        <f t="shared" si="3"/>
        <v>7.0250000000000012</v>
      </c>
      <c r="N21" s="19">
        <f t="shared" si="4"/>
        <v>4.375</v>
      </c>
      <c r="O21" s="20">
        <f t="shared" si="5"/>
        <v>2.6500000000000012</v>
      </c>
      <c r="P21" s="11"/>
      <c r="Q21" s="11"/>
      <c r="R21" s="11"/>
    </row>
    <row r="22" spans="1:24" ht="18.75">
      <c r="A22" s="8"/>
      <c r="B22" s="8">
        <v>700083217</v>
      </c>
      <c r="C22" s="47" t="s">
        <v>137</v>
      </c>
      <c r="D22" s="46"/>
      <c r="E22" s="10">
        <v>0</v>
      </c>
      <c r="F22" s="10">
        <v>50</v>
      </c>
      <c r="G22" s="39" t="s">
        <v>34</v>
      </c>
      <c r="H22" s="11">
        <f t="shared" si="0"/>
        <v>0</v>
      </c>
      <c r="I22" s="10">
        <f t="shared" si="1"/>
        <v>1</v>
      </c>
      <c r="J22" s="10">
        <v>0</v>
      </c>
      <c r="K22" s="10">
        <f t="shared" si="2"/>
        <v>1</v>
      </c>
      <c r="L22" s="17">
        <v>5.75</v>
      </c>
      <c r="M22" s="18">
        <f t="shared" si="3"/>
        <v>6.75</v>
      </c>
      <c r="N22" s="19">
        <f t="shared" si="4"/>
        <v>0</v>
      </c>
      <c r="O22" s="20">
        <f t="shared" si="5"/>
        <v>6.75</v>
      </c>
      <c r="P22" s="11"/>
      <c r="Q22" s="11"/>
      <c r="R22" s="11"/>
    </row>
    <row r="23" spans="1:24" ht="18.75">
      <c r="A23" s="9"/>
      <c r="B23" s="8">
        <v>2092029101</v>
      </c>
      <c r="C23" s="47" t="s">
        <v>147</v>
      </c>
      <c r="D23" s="48"/>
      <c r="E23" s="10">
        <v>3</v>
      </c>
      <c r="F23" s="10">
        <v>60</v>
      </c>
      <c r="G23" s="14" t="s">
        <v>158</v>
      </c>
      <c r="H23" s="11">
        <f t="shared" si="0"/>
        <v>3.5</v>
      </c>
      <c r="I23" s="10">
        <f t="shared" si="1"/>
        <v>1.2</v>
      </c>
      <c r="J23" s="10">
        <v>0</v>
      </c>
      <c r="K23" s="10">
        <f t="shared" si="2"/>
        <v>4.7</v>
      </c>
      <c r="L23" s="17">
        <v>1.7250000000000014</v>
      </c>
      <c r="M23" s="18">
        <f t="shared" si="3"/>
        <v>6.4250000000000016</v>
      </c>
      <c r="N23" s="19">
        <f t="shared" si="4"/>
        <v>4.375</v>
      </c>
      <c r="O23" s="20">
        <f t="shared" si="5"/>
        <v>2.0500000000000016</v>
      </c>
      <c r="P23" s="4"/>
      <c r="Q23" s="4"/>
      <c r="R23" s="4"/>
    </row>
    <row r="24" spans="1:24" ht="18.75">
      <c r="A24" s="8"/>
      <c r="B24" s="8">
        <v>1963965829</v>
      </c>
      <c r="C24" s="47" t="s">
        <v>174</v>
      </c>
      <c r="D24" s="45"/>
      <c r="E24" s="10">
        <v>0</v>
      </c>
      <c r="F24" s="10">
        <v>50</v>
      </c>
      <c r="G24" s="39" t="s">
        <v>34</v>
      </c>
      <c r="H24" s="11">
        <f t="shared" si="0"/>
        <v>0</v>
      </c>
      <c r="I24" s="10">
        <f t="shared" si="1"/>
        <v>1</v>
      </c>
      <c r="J24" s="10">
        <v>0</v>
      </c>
      <c r="K24" s="10">
        <f t="shared" si="2"/>
        <v>1</v>
      </c>
      <c r="L24" s="17">
        <v>5.08</v>
      </c>
      <c r="M24" s="18">
        <f t="shared" si="3"/>
        <v>6.08</v>
      </c>
      <c r="N24" s="19">
        <f t="shared" si="4"/>
        <v>0</v>
      </c>
      <c r="O24" s="20">
        <f t="shared" si="5"/>
        <v>6.08</v>
      </c>
      <c r="P24" s="4"/>
      <c r="Q24" s="4"/>
      <c r="R24" s="4"/>
    </row>
    <row r="25" spans="1:24" ht="18.75">
      <c r="A25" s="8">
        <v>176</v>
      </c>
      <c r="B25" s="8">
        <v>128748910</v>
      </c>
      <c r="C25" s="48" t="s">
        <v>165</v>
      </c>
      <c r="D25" s="47" t="s">
        <v>169</v>
      </c>
      <c r="E25" s="10">
        <v>2</v>
      </c>
      <c r="F25" s="10">
        <v>60</v>
      </c>
      <c r="G25" s="14" t="s">
        <v>158</v>
      </c>
      <c r="H25" s="11">
        <f t="shared" si="0"/>
        <v>2</v>
      </c>
      <c r="I25" s="10">
        <f t="shared" si="1"/>
        <v>1.2</v>
      </c>
      <c r="J25" s="10">
        <v>0</v>
      </c>
      <c r="K25" s="10">
        <f t="shared" si="2"/>
        <v>3.2</v>
      </c>
      <c r="L25" s="17">
        <v>2.8500000000000014</v>
      </c>
      <c r="M25" s="18">
        <f t="shared" si="3"/>
        <v>6.0500000000000016</v>
      </c>
      <c r="N25" s="19">
        <f t="shared" si="4"/>
        <v>4.375</v>
      </c>
      <c r="O25" s="20">
        <f t="shared" si="5"/>
        <v>1.6750000000000016</v>
      </c>
      <c r="P25" s="4"/>
      <c r="Q25" s="4"/>
      <c r="R25" s="4"/>
    </row>
    <row r="26" spans="1:24" ht="18.75">
      <c r="A26" s="9"/>
      <c r="B26" s="8">
        <v>910452107</v>
      </c>
      <c r="C26" s="48" t="s">
        <v>129</v>
      </c>
      <c r="D26" s="49"/>
      <c r="E26" s="10">
        <v>2</v>
      </c>
      <c r="F26" s="10">
        <v>50</v>
      </c>
      <c r="G26" s="39" t="s">
        <v>34</v>
      </c>
      <c r="H26" s="11">
        <f t="shared" si="0"/>
        <v>2</v>
      </c>
      <c r="I26" s="10">
        <f t="shared" si="1"/>
        <v>1</v>
      </c>
      <c r="J26" s="10">
        <v>0</v>
      </c>
      <c r="K26" s="10">
        <f t="shared" si="2"/>
        <v>3</v>
      </c>
      <c r="L26" s="17">
        <v>2.9749999999999996</v>
      </c>
      <c r="M26" s="18">
        <f t="shared" si="3"/>
        <v>5.9749999999999996</v>
      </c>
      <c r="N26" s="19">
        <f t="shared" si="4"/>
        <v>0</v>
      </c>
      <c r="O26" s="20">
        <f t="shared" si="5"/>
        <v>5.9749999999999996</v>
      </c>
      <c r="P26" s="11"/>
      <c r="Q26" s="11"/>
      <c r="R26" s="32"/>
    </row>
    <row r="27" spans="1:24" ht="18.75">
      <c r="A27" s="8"/>
      <c r="B27" s="8">
        <v>863510644</v>
      </c>
      <c r="C27" s="47" t="s">
        <v>141</v>
      </c>
      <c r="D27" s="47"/>
      <c r="E27" s="10">
        <v>0</v>
      </c>
      <c r="F27" s="10">
        <v>0</v>
      </c>
      <c r="G27" s="39" t="s">
        <v>34</v>
      </c>
      <c r="H27" s="11">
        <f t="shared" si="0"/>
        <v>0</v>
      </c>
      <c r="I27" s="10">
        <f t="shared" si="1"/>
        <v>0</v>
      </c>
      <c r="J27" s="10">
        <v>0</v>
      </c>
      <c r="K27" s="10">
        <f t="shared" si="2"/>
        <v>0</v>
      </c>
      <c r="L27" s="17">
        <v>5.6</v>
      </c>
      <c r="M27" s="18">
        <f t="shared" si="3"/>
        <v>5.6</v>
      </c>
      <c r="N27" s="19">
        <f t="shared" si="4"/>
        <v>0</v>
      </c>
      <c r="O27" s="20">
        <f t="shared" si="5"/>
        <v>5.6</v>
      </c>
      <c r="P27" s="4"/>
      <c r="Q27" s="4"/>
      <c r="R27" s="4"/>
    </row>
    <row r="28" spans="1:24" ht="18.75">
      <c r="A28" s="9"/>
      <c r="B28" s="8">
        <v>1078240937</v>
      </c>
      <c r="C28" s="48" t="s">
        <v>148</v>
      </c>
      <c r="D28" s="49" t="s">
        <v>149</v>
      </c>
      <c r="E28" s="10">
        <v>1</v>
      </c>
      <c r="F28" s="10">
        <v>20</v>
      </c>
      <c r="G28" s="39" t="s">
        <v>34</v>
      </c>
      <c r="H28" s="11">
        <f t="shared" si="0"/>
        <v>1</v>
      </c>
      <c r="I28" s="10">
        <f t="shared" si="1"/>
        <v>0.4</v>
      </c>
      <c r="J28" s="10">
        <v>0</v>
      </c>
      <c r="K28" s="10">
        <f t="shared" si="2"/>
        <v>1.4</v>
      </c>
      <c r="L28" s="17">
        <v>4.05</v>
      </c>
      <c r="M28" s="18">
        <f t="shared" si="3"/>
        <v>5.4499999999999993</v>
      </c>
      <c r="N28" s="19">
        <f t="shared" si="4"/>
        <v>0</v>
      </c>
      <c r="O28" s="20">
        <f t="shared" si="5"/>
        <v>5.4499999999999993</v>
      </c>
      <c r="P28" s="11"/>
      <c r="Q28" s="11"/>
      <c r="R28" s="11"/>
    </row>
    <row r="29" spans="1:24" ht="18.75">
      <c r="A29" s="9">
        <v>33</v>
      </c>
      <c r="B29" s="8">
        <v>1006436515</v>
      </c>
      <c r="C29" s="47" t="s">
        <v>77</v>
      </c>
      <c r="D29" s="48" t="s">
        <v>13</v>
      </c>
      <c r="E29" s="10">
        <v>0</v>
      </c>
      <c r="F29" s="10">
        <v>0</v>
      </c>
      <c r="G29" s="39" t="s">
        <v>34</v>
      </c>
      <c r="H29" s="11">
        <f t="shared" si="0"/>
        <v>0</v>
      </c>
      <c r="I29" s="10">
        <f t="shared" si="1"/>
        <v>0</v>
      </c>
      <c r="J29" s="10">
        <v>0</v>
      </c>
      <c r="K29" s="10">
        <f t="shared" si="2"/>
        <v>0</v>
      </c>
      <c r="L29" s="17">
        <v>5.4</v>
      </c>
      <c r="M29" s="18">
        <f t="shared" si="3"/>
        <v>5.4</v>
      </c>
      <c r="N29" s="19">
        <f t="shared" si="4"/>
        <v>0</v>
      </c>
      <c r="O29" s="20">
        <f t="shared" si="5"/>
        <v>5.4</v>
      </c>
      <c r="P29" s="4"/>
      <c r="Q29" s="4"/>
      <c r="R29" s="4"/>
    </row>
    <row r="30" spans="1:24" ht="18.75">
      <c r="A30" s="8"/>
      <c r="B30" s="8">
        <v>1333428907</v>
      </c>
      <c r="C30" s="47" t="s">
        <v>172</v>
      </c>
      <c r="D30" s="47" t="s">
        <v>150</v>
      </c>
      <c r="E30" s="10">
        <v>2</v>
      </c>
      <c r="F30" s="10">
        <v>60</v>
      </c>
      <c r="G30" s="39" t="s">
        <v>34</v>
      </c>
      <c r="H30" s="11">
        <f t="shared" si="0"/>
        <v>2</v>
      </c>
      <c r="I30" s="10">
        <f t="shared" si="1"/>
        <v>1.2</v>
      </c>
      <c r="J30" s="10">
        <v>0</v>
      </c>
      <c r="K30" s="10">
        <f t="shared" si="2"/>
        <v>3.2</v>
      </c>
      <c r="L30" s="17">
        <v>2.0250000000000004</v>
      </c>
      <c r="M30" s="18">
        <f t="shared" si="3"/>
        <v>5.2250000000000005</v>
      </c>
      <c r="N30" s="19">
        <f t="shared" si="4"/>
        <v>0</v>
      </c>
      <c r="O30" s="20">
        <f t="shared" si="5"/>
        <v>5.2250000000000005</v>
      </c>
      <c r="P30" s="11"/>
      <c r="Q30" s="11"/>
      <c r="R30" s="11"/>
    </row>
    <row r="31" spans="1:24" ht="18.75">
      <c r="A31" s="8"/>
      <c r="B31" s="8">
        <v>353335311</v>
      </c>
      <c r="C31" s="48" t="s">
        <v>164</v>
      </c>
      <c r="D31" s="46"/>
      <c r="E31" s="10">
        <v>3</v>
      </c>
      <c r="F31" s="10">
        <v>60</v>
      </c>
      <c r="G31" s="39" t="s">
        <v>34</v>
      </c>
      <c r="H31" s="11">
        <f t="shared" si="0"/>
        <v>3.5</v>
      </c>
      <c r="I31" s="10">
        <f t="shared" si="1"/>
        <v>1.2</v>
      </c>
      <c r="J31" s="10">
        <v>0</v>
      </c>
      <c r="K31" s="10">
        <f t="shared" si="2"/>
        <v>4.7</v>
      </c>
      <c r="L31" s="17">
        <v>0.35000000000000142</v>
      </c>
      <c r="M31" s="18">
        <f t="shared" si="3"/>
        <v>5.0500000000000016</v>
      </c>
      <c r="N31" s="19">
        <f t="shared" si="4"/>
        <v>0</v>
      </c>
      <c r="O31" s="20">
        <f t="shared" si="5"/>
        <v>5.0500000000000016</v>
      </c>
      <c r="P31" s="11"/>
      <c r="Q31" s="11"/>
      <c r="R31" s="11"/>
    </row>
    <row r="32" spans="1:24" ht="18.75">
      <c r="A32" s="8"/>
      <c r="B32" s="8">
        <v>597728301</v>
      </c>
      <c r="C32" s="47" t="s">
        <v>168</v>
      </c>
      <c r="D32" s="47"/>
      <c r="E32" s="10">
        <v>0</v>
      </c>
      <c r="F32" s="10">
        <v>0</v>
      </c>
      <c r="G32" s="39" t="s">
        <v>34</v>
      </c>
      <c r="H32" s="11">
        <f t="shared" si="0"/>
        <v>0</v>
      </c>
      <c r="I32" s="10">
        <f t="shared" si="1"/>
        <v>0</v>
      </c>
      <c r="J32" s="10">
        <v>0</v>
      </c>
      <c r="K32" s="10">
        <f t="shared" si="2"/>
        <v>0</v>
      </c>
      <c r="L32" s="17">
        <v>3.8</v>
      </c>
      <c r="M32" s="18">
        <f t="shared" si="3"/>
        <v>3.8</v>
      </c>
      <c r="N32" s="19">
        <f t="shared" si="4"/>
        <v>0</v>
      </c>
      <c r="O32" s="20">
        <f t="shared" si="5"/>
        <v>3.8</v>
      </c>
      <c r="P32" s="11"/>
      <c r="Q32" s="11"/>
      <c r="R32" s="31"/>
    </row>
    <row r="33" spans="1:18" ht="18.75">
      <c r="A33" s="9">
        <v>34</v>
      </c>
      <c r="B33" s="8">
        <v>2021794494</v>
      </c>
      <c r="C33" s="48" t="s">
        <v>136</v>
      </c>
      <c r="D33" s="49" t="s">
        <v>133</v>
      </c>
      <c r="E33" s="10">
        <v>0</v>
      </c>
      <c r="F33" s="10">
        <v>0</v>
      </c>
      <c r="G33" s="39" t="s">
        <v>34</v>
      </c>
      <c r="H33" s="11">
        <f t="shared" si="0"/>
        <v>0</v>
      </c>
      <c r="I33" s="10">
        <f t="shared" si="1"/>
        <v>0</v>
      </c>
      <c r="J33" s="10">
        <v>0</v>
      </c>
      <c r="K33" s="10">
        <f t="shared" si="2"/>
        <v>0</v>
      </c>
      <c r="L33" s="17">
        <v>2.5000000000000018</v>
      </c>
      <c r="M33" s="18">
        <f t="shared" si="3"/>
        <v>2.5000000000000018</v>
      </c>
      <c r="N33" s="19">
        <f t="shared" si="4"/>
        <v>0</v>
      </c>
      <c r="O33" s="20">
        <f t="shared" si="5"/>
        <v>2.5000000000000018</v>
      </c>
      <c r="P33" s="11"/>
      <c r="Q33" s="11"/>
      <c r="R33" s="31"/>
    </row>
    <row r="34" spans="1:18" ht="18.75">
      <c r="A34" s="9"/>
      <c r="B34" s="8"/>
      <c r="C34" s="48" t="s">
        <v>177</v>
      </c>
      <c r="D34" s="49"/>
      <c r="E34" s="10">
        <v>0</v>
      </c>
      <c r="F34" s="10">
        <v>30</v>
      </c>
      <c r="G34" s="39" t="s">
        <v>34</v>
      </c>
      <c r="H34" s="11">
        <f t="shared" si="0"/>
        <v>0</v>
      </c>
      <c r="I34" s="10">
        <f t="shared" si="1"/>
        <v>0.6</v>
      </c>
      <c r="J34" s="10">
        <v>0</v>
      </c>
      <c r="K34" s="10">
        <f t="shared" si="2"/>
        <v>0.6</v>
      </c>
      <c r="L34" s="17">
        <v>0</v>
      </c>
      <c r="M34" s="18">
        <f t="shared" si="3"/>
        <v>0.6</v>
      </c>
      <c r="N34" s="19">
        <f t="shared" si="4"/>
        <v>0</v>
      </c>
      <c r="O34" s="20">
        <f t="shared" si="5"/>
        <v>0.6</v>
      </c>
      <c r="P34" s="11"/>
      <c r="Q34" s="11"/>
      <c r="R34" s="11"/>
    </row>
    <row r="35" spans="1:18" ht="18.75">
      <c r="A35" s="62"/>
      <c r="B35" s="62"/>
      <c r="C35" s="63"/>
      <c r="D35" s="64"/>
      <c r="E35" s="65"/>
      <c r="F35" s="65"/>
      <c r="G35" s="66"/>
      <c r="H35" s="67"/>
      <c r="I35" s="65"/>
      <c r="J35" s="65"/>
      <c r="K35" s="65"/>
      <c r="L35" s="68"/>
      <c r="M35" s="69"/>
      <c r="N35" s="70"/>
      <c r="O35" s="71"/>
      <c r="P35" s="72"/>
      <c r="Q35" s="72"/>
      <c r="R35" s="72"/>
    </row>
    <row r="36" spans="1:18" ht="18.75">
      <c r="A36" s="9">
        <v>1</v>
      </c>
      <c r="B36" s="8">
        <v>1782151946</v>
      </c>
      <c r="C36" s="47" t="s">
        <v>135</v>
      </c>
      <c r="D36" s="48" t="s">
        <v>8</v>
      </c>
      <c r="E36" s="10">
        <v>0</v>
      </c>
      <c r="F36" s="10">
        <v>0</v>
      </c>
      <c r="G36" s="39" t="s">
        <v>34</v>
      </c>
      <c r="H36" s="11">
        <f t="shared" ref="H36:H99" si="6">E36+IF(E36&gt;2,(E36-2)*0.5,0)</f>
        <v>0</v>
      </c>
      <c r="I36" s="10">
        <f t="shared" ref="I36:I99" si="7">F36/$T$15</f>
        <v>0</v>
      </c>
      <c r="J36" s="10">
        <v>0</v>
      </c>
      <c r="K36" s="10">
        <f t="shared" ref="K36:K99" si="8">SUM(I36+H36+J36)</f>
        <v>0</v>
      </c>
      <c r="L36" s="17">
        <v>2.1000000000000005</v>
      </c>
      <c r="M36" s="18">
        <f t="shared" ref="M36:M99" si="9">K36+L36</f>
        <v>2.1000000000000005</v>
      </c>
      <c r="N36" s="19">
        <f t="shared" ref="N36:N99" si="10">VLOOKUP(G36,$S$3:$T$11,2,FALSE)</f>
        <v>0</v>
      </c>
      <c r="O36" s="20">
        <f t="shared" ref="O36:O99" si="11">M36-N36</f>
        <v>2.1000000000000005</v>
      </c>
      <c r="P36" s="11"/>
      <c r="Q36" s="11"/>
      <c r="R36" s="11"/>
    </row>
    <row r="37" spans="1:18" ht="18.75">
      <c r="A37" s="8"/>
      <c r="B37" s="8">
        <v>1042293940</v>
      </c>
      <c r="C37" s="48" t="s">
        <v>159</v>
      </c>
      <c r="D37" s="46"/>
      <c r="E37" s="10">
        <v>0</v>
      </c>
      <c r="F37" s="10">
        <v>0</v>
      </c>
      <c r="G37" s="39" t="s">
        <v>34</v>
      </c>
      <c r="H37" s="11">
        <f t="shared" si="6"/>
        <v>0</v>
      </c>
      <c r="I37" s="10">
        <f t="shared" si="7"/>
        <v>0</v>
      </c>
      <c r="J37" s="10">
        <v>0</v>
      </c>
      <c r="K37" s="10">
        <f t="shared" si="8"/>
        <v>0</v>
      </c>
      <c r="L37" s="17">
        <v>1.7750000000000001</v>
      </c>
      <c r="M37" s="18">
        <f t="shared" si="9"/>
        <v>1.7750000000000001</v>
      </c>
      <c r="N37" s="19">
        <f t="shared" si="10"/>
        <v>0</v>
      </c>
      <c r="O37" s="20">
        <f t="shared" si="11"/>
        <v>1.7750000000000001</v>
      </c>
      <c r="P37" s="11"/>
      <c r="Q37" s="11"/>
      <c r="R37" s="31"/>
    </row>
    <row r="38" spans="1:18" ht="18.75">
      <c r="A38" s="9">
        <v>53</v>
      </c>
      <c r="B38" s="8">
        <v>500959924</v>
      </c>
      <c r="C38" s="47" t="s">
        <v>134</v>
      </c>
      <c r="D38" s="49" t="s">
        <v>16</v>
      </c>
      <c r="E38" s="10">
        <v>0</v>
      </c>
      <c r="F38" s="10">
        <v>0</v>
      </c>
      <c r="G38" s="39" t="s">
        <v>34</v>
      </c>
      <c r="H38" s="11">
        <f t="shared" si="6"/>
        <v>0</v>
      </c>
      <c r="I38" s="10">
        <f t="shared" si="7"/>
        <v>0</v>
      </c>
      <c r="J38" s="10">
        <v>0</v>
      </c>
      <c r="K38" s="10">
        <f t="shared" si="8"/>
        <v>0</v>
      </c>
      <c r="L38" s="17">
        <v>0.9</v>
      </c>
      <c r="M38" s="18">
        <f t="shared" si="9"/>
        <v>0.9</v>
      </c>
      <c r="N38" s="19">
        <f t="shared" si="10"/>
        <v>0</v>
      </c>
      <c r="O38" s="20">
        <f t="shared" si="11"/>
        <v>0.9</v>
      </c>
      <c r="P38" s="11"/>
      <c r="Q38" s="11"/>
      <c r="R38" s="31"/>
    </row>
    <row r="39" spans="1:18" ht="18.75">
      <c r="A39" s="8">
        <v>169</v>
      </c>
      <c r="B39" s="8">
        <v>1280938546</v>
      </c>
      <c r="C39" s="47" t="s">
        <v>89</v>
      </c>
      <c r="D39" s="45"/>
      <c r="E39" s="10">
        <v>0</v>
      </c>
      <c r="F39" s="10">
        <v>14</v>
      </c>
      <c r="G39" s="39" t="s">
        <v>34</v>
      </c>
      <c r="H39" s="11">
        <f t="shared" si="6"/>
        <v>0</v>
      </c>
      <c r="I39" s="10">
        <f t="shared" si="7"/>
        <v>0.28000000000000003</v>
      </c>
      <c r="J39" s="10">
        <v>0</v>
      </c>
      <c r="K39" s="10">
        <f t="shared" si="8"/>
        <v>0.28000000000000003</v>
      </c>
      <c r="L39" s="17">
        <v>0.12</v>
      </c>
      <c r="M39" s="18">
        <f t="shared" si="9"/>
        <v>0.4</v>
      </c>
      <c r="N39" s="19">
        <f t="shared" si="10"/>
        <v>0</v>
      </c>
      <c r="O39" s="20">
        <f t="shared" si="11"/>
        <v>0.4</v>
      </c>
      <c r="P39" s="4"/>
      <c r="Q39" s="4"/>
      <c r="R39" s="4"/>
    </row>
    <row r="40" spans="1:18" ht="18.75">
      <c r="A40" s="9"/>
      <c r="B40" s="8">
        <v>1065313201</v>
      </c>
      <c r="C40" s="48" t="s">
        <v>127</v>
      </c>
      <c r="D40" s="49" t="s">
        <v>128</v>
      </c>
      <c r="E40" s="10">
        <v>0</v>
      </c>
      <c r="F40" s="10">
        <v>0</v>
      </c>
      <c r="G40" s="39" t="s">
        <v>34</v>
      </c>
      <c r="H40" s="11">
        <f t="shared" si="6"/>
        <v>0</v>
      </c>
      <c r="I40" s="10">
        <f t="shared" si="7"/>
        <v>0</v>
      </c>
      <c r="J40" s="10">
        <v>0</v>
      </c>
      <c r="K40" s="10">
        <f t="shared" si="8"/>
        <v>0</v>
      </c>
      <c r="L40" s="17">
        <v>0.22500000000000009</v>
      </c>
      <c r="M40" s="18">
        <f t="shared" si="9"/>
        <v>0.22500000000000009</v>
      </c>
      <c r="N40" s="19">
        <f t="shared" si="10"/>
        <v>0</v>
      </c>
      <c r="O40" s="20">
        <f t="shared" si="11"/>
        <v>0.22500000000000009</v>
      </c>
      <c r="P40" s="4"/>
      <c r="Q40" s="4"/>
      <c r="R40" s="4"/>
    </row>
    <row r="41" spans="1:18" ht="18.75">
      <c r="A41" s="8">
        <v>155</v>
      </c>
      <c r="B41" s="8">
        <v>1532576874</v>
      </c>
      <c r="C41" s="47" t="s">
        <v>140</v>
      </c>
      <c r="D41" s="47" t="s">
        <v>61</v>
      </c>
      <c r="E41" s="10">
        <v>0</v>
      </c>
      <c r="F41" s="10">
        <v>0</v>
      </c>
      <c r="G41" s="39" t="s">
        <v>34</v>
      </c>
      <c r="H41" s="11">
        <f t="shared" si="6"/>
        <v>0</v>
      </c>
      <c r="I41" s="10">
        <f t="shared" si="7"/>
        <v>0</v>
      </c>
      <c r="J41" s="10">
        <v>0</v>
      </c>
      <c r="K41" s="10">
        <f t="shared" si="8"/>
        <v>0</v>
      </c>
      <c r="L41" s="17">
        <v>0</v>
      </c>
      <c r="M41" s="18">
        <f t="shared" si="9"/>
        <v>0</v>
      </c>
      <c r="N41" s="19">
        <f t="shared" si="10"/>
        <v>0</v>
      </c>
      <c r="O41" s="20">
        <f t="shared" si="11"/>
        <v>0</v>
      </c>
      <c r="P41" s="11"/>
      <c r="Q41" s="11"/>
      <c r="R41" s="31"/>
    </row>
    <row r="42" spans="1:18" ht="18.75">
      <c r="A42" s="8">
        <v>180</v>
      </c>
      <c r="B42" s="8">
        <v>24633249</v>
      </c>
      <c r="C42" s="48" t="s">
        <v>72</v>
      </c>
      <c r="D42" s="46"/>
      <c r="E42" s="10">
        <v>0</v>
      </c>
      <c r="F42" s="10">
        <v>0</v>
      </c>
      <c r="G42" s="39" t="s">
        <v>34</v>
      </c>
      <c r="H42" s="11">
        <f t="shared" si="6"/>
        <v>0</v>
      </c>
      <c r="I42" s="10">
        <f t="shared" si="7"/>
        <v>0</v>
      </c>
      <c r="J42" s="10">
        <v>0</v>
      </c>
      <c r="K42" s="10">
        <f t="shared" si="8"/>
        <v>0</v>
      </c>
      <c r="L42" s="17">
        <v>-2.5249999999999999</v>
      </c>
      <c r="M42" s="18">
        <f t="shared" si="9"/>
        <v>-2.5249999999999999</v>
      </c>
      <c r="N42" s="19">
        <f t="shared" si="10"/>
        <v>0</v>
      </c>
      <c r="O42" s="20">
        <f t="shared" si="11"/>
        <v>-2.5249999999999999</v>
      </c>
      <c r="P42" s="11"/>
      <c r="Q42" s="11"/>
      <c r="R42" s="11"/>
    </row>
    <row r="43" spans="1:18" ht="18.75">
      <c r="A43" s="8"/>
      <c r="B43" s="8">
        <v>488712245</v>
      </c>
      <c r="C43" s="47" t="s">
        <v>144</v>
      </c>
      <c r="D43" s="49" t="s">
        <v>162</v>
      </c>
      <c r="E43" s="10">
        <v>0</v>
      </c>
      <c r="F43" s="10">
        <v>0</v>
      </c>
      <c r="G43" s="39" t="s">
        <v>34</v>
      </c>
      <c r="H43" s="11">
        <f t="shared" si="6"/>
        <v>0</v>
      </c>
      <c r="I43" s="10">
        <f t="shared" si="7"/>
        <v>0</v>
      </c>
      <c r="J43" s="10">
        <v>0</v>
      </c>
      <c r="K43" s="10">
        <f t="shared" si="8"/>
        <v>0</v>
      </c>
      <c r="L43" s="17">
        <v>4.7</v>
      </c>
      <c r="M43" s="18">
        <f t="shared" si="9"/>
        <v>4.7</v>
      </c>
      <c r="N43" s="19">
        <f t="shared" si="10"/>
        <v>0</v>
      </c>
      <c r="O43" s="20">
        <f t="shared" si="11"/>
        <v>4.7</v>
      </c>
      <c r="P43" s="4"/>
      <c r="Q43" s="4"/>
      <c r="R43" s="4"/>
    </row>
    <row r="44" spans="1:18" ht="18.75">
      <c r="A44" s="8">
        <v>130</v>
      </c>
      <c r="B44" s="8">
        <v>1957463045</v>
      </c>
      <c r="C44" s="47" t="s">
        <v>44</v>
      </c>
      <c r="D44" s="50"/>
      <c r="E44" s="10">
        <v>0</v>
      </c>
      <c r="F44" s="10">
        <v>0</v>
      </c>
      <c r="G44" s="39" t="s">
        <v>34</v>
      </c>
      <c r="H44" s="11">
        <f t="shared" si="6"/>
        <v>0</v>
      </c>
      <c r="I44" s="10">
        <f t="shared" si="7"/>
        <v>0</v>
      </c>
      <c r="J44" s="10">
        <v>0</v>
      </c>
      <c r="K44" s="10">
        <f t="shared" si="8"/>
        <v>0</v>
      </c>
      <c r="L44" s="17">
        <v>5</v>
      </c>
      <c r="M44" s="18">
        <f t="shared" si="9"/>
        <v>5</v>
      </c>
      <c r="N44" s="19">
        <f t="shared" si="10"/>
        <v>0</v>
      </c>
      <c r="O44" s="20">
        <f t="shared" si="11"/>
        <v>5</v>
      </c>
      <c r="P44" s="11"/>
      <c r="Q44" s="11"/>
      <c r="R44" s="31"/>
    </row>
    <row r="45" spans="1:18" ht="18.75">
      <c r="A45" s="9">
        <v>26</v>
      </c>
      <c r="B45" s="8">
        <v>1754932067</v>
      </c>
      <c r="C45" s="47" t="s">
        <v>76</v>
      </c>
      <c r="D45" s="48" t="s">
        <v>12</v>
      </c>
      <c r="E45" s="10">
        <v>0</v>
      </c>
      <c r="F45" s="10">
        <v>0</v>
      </c>
      <c r="G45" s="39" t="s">
        <v>34</v>
      </c>
      <c r="H45" s="11">
        <f t="shared" si="6"/>
        <v>0</v>
      </c>
      <c r="I45" s="10">
        <f t="shared" si="7"/>
        <v>0</v>
      </c>
      <c r="J45" s="10">
        <v>0</v>
      </c>
      <c r="K45" s="10">
        <f t="shared" si="8"/>
        <v>0</v>
      </c>
      <c r="L45" s="17">
        <v>5</v>
      </c>
      <c r="M45" s="18">
        <f t="shared" si="9"/>
        <v>5</v>
      </c>
      <c r="N45" s="19">
        <f t="shared" si="10"/>
        <v>0</v>
      </c>
      <c r="O45" s="20">
        <f t="shared" si="11"/>
        <v>5</v>
      </c>
      <c r="P45" s="11"/>
      <c r="Q45" s="11"/>
      <c r="R45" s="11"/>
    </row>
    <row r="46" spans="1:18" ht="18.75">
      <c r="A46" s="8">
        <v>187</v>
      </c>
      <c r="B46" s="8">
        <v>1241038267</v>
      </c>
      <c r="C46" s="47" t="s">
        <v>97</v>
      </c>
      <c r="D46" s="46"/>
      <c r="E46" s="10">
        <v>0</v>
      </c>
      <c r="F46" s="10">
        <v>0</v>
      </c>
      <c r="G46" s="39" t="s">
        <v>34</v>
      </c>
      <c r="H46" s="11">
        <f t="shared" si="6"/>
        <v>0</v>
      </c>
      <c r="I46" s="10">
        <f t="shared" si="7"/>
        <v>0</v>
      </c>
      <c r="J46" s="10">
        <v>0</v>
      </c>
      <c r="K46" s="10">
        <f t="shared" si="8"/>
        <v>0</v>
      </c>
      <c r="L46" s="17">
        <v>5</v>
      </c>
      <c r="M46" s="18">
        <f t="shared" si="9"/>
        <v>5</v>
      </c>
      <c r="N46" s="19">
        <f t="shared" si="10"/>
        <v>0</v>
      </c>
      <c r="O46" s="20">
        <f t="shared" si="11"/>
        <v>5</v>
      </c>
      <c r="P46" s="4"/>
      <c r="Q46" s="4"/>
      <c r="R46" s="4"/>
    </row>
    <row r="47" spans="1:18" ht="18.75">
      <c r="A47" s="8">
        <v>188</v>
      </c>
      <c r="B47" s="8">
        <v>1504984957</v>
      </c>
      <c r="C47" s="47" t="s">
        <v>98</v>
      </c>
      <c r="D47" s="46"/>
      <c r="E47" s="10">
        <v>0</v>
      </c>
      <c r="F47" s="10">
        <v>0</v>
      </c>
      <c r="G47" s="39" t="s">
        <v>34</v>
      </c>
      <c r="H47" s="11">
        <f t="shared" si="6"/>
        <v>0</v>
      </c>
      <c r="I47" s="10">
        <f t="shared" si="7"/>
        <v>0</v>
      </c>
      <c r="J47" s="10">
        <v>0</v>
      </c>
      <c r="K47" s="10">
        <f t="shared" si="8"/>
        <v>0</v>
      </c>
      <c r="L47" s="17">
        <v>5</v>
      </c>
      <c r="M47" s="18">
        <f t="shared" si="9"/>
        <v>5</v>
      </c>
      <c r="N47" s="19">
        <f t="shared" si="10"/>
        <v>0</v>
      </c>
      <c r="O47" s="20">
        <f t="shared" si="11"/>
        <v>5</v>
      </c>
      <c r="P47" s="4"/>
      <c r="Q47" s="4"/>
      <c r="R47" s="4"/>
    </row>
    <row r="48" spans="1:18" ht="18.75">
      <c r="A48" s="8">
        <v>205</v>
      </c>
      <c r="B48" s="8">
        <v>141303545</v>
      </c>
      <c r="C48" s="47" t="s">
        <v>114</v>
      </c>
      <c r="D48" s="46"/>
      <c r="E48" s="10">
        <v>0</v>
      </c>
      <c r="F48" s="10">
        <v>0</v>
      </c>
      <c r="G48" s="39" t="s">
        <v>34</v>
      </c>
      <c r="H48" s="11">
        <f t="shared" si="6"/>
        <v>0</v>
      </c>
      <c r="I48" s="10">
        <f t="shared" si="7"/>
        <v>0</v>
      </c>
      <c r="J48" s="10">
        <v>0</v>
      </c>
      <c r="K48" s="10">
        <f t="shared" si="8"/>
        <v>0</v>
      </c>
      <c r="L48" s="17">
        <v>5</v>
      </c>
      <c r="M48" s="18">
        <f t="shared" si="9"/>
        <v>5</v>
      </c>
      <c r="N48" s="19">
        <f t="shared" si="10"/>
        <v>0</v>
      </c>
      <c r="O48" s="20">
        <f t="shared" si="11"/>
        <v>5</v>
      </c>
      <c r="P48" s="4"/>
      <c r="Q48" s="4"/>
      <c r="R48" s="4"/>
    </row>
    <row r="49" spans="1:24" ht="18.75">
      <c r="A49" s="8">
        <v>182</v>
      </c>
      <c r="B49" s="8">
        <v>828260319</v>
      </c>
      <c r="C49" s="47" t="s">
        <v>92</v>
      </c>
      <c r="D49" s="46"/>
      <c r="E49" s="10">
        <v>0</v>
      </c>
      <c r="F49" s="10">
        <v>0</v>
      </c>
      <c r="G49" s="39" t="s">
        <v>34</v>
      </c>
      <c r="H49" s="11">
        <f t="shared" si="6"/>
        <v>0</v>
      </c>
      <c r="I49" s="10">
        <f t="shared" si="7"/>
        <v>0</v>
      </c>
      <c r="J49" s="10">
        <v>0</v>
      </c>
      <c r="K49" s="10">
        <f t="shared" si="8"/>
        <v>0</v>
      </c>
      <c r="L49" s="17">
        <v>5</v>
      </c>
      <c r="M49" s="18">
        <f t="shared" si="9"/>
        <v>5</v>
      </c>
      <c r="N49" s="19">
        <f t="shared" si="10"/>
        <v>0</v>
      </c>
      <c r="O49" s="20">
        <f t="shared" si="11"/>
        <v>5</v>
      </c>
      <c r="P49" s="4"/>
      <c r="Q49" s="4"/>
      <c r="R49" s="4"/>
    </row>
    <row r="50" spans="1:24" ht="18.75">
      <c r="A50" s="9">
        <v>82</v>
      </c>
      <c r="B50" s="8">
        <v>982362214</v>
      </c>
      <c r="C50" s="47" t="s">
        <v>80</v>
      </c>
      <c r="D50" s="48" t="s">
        <v>25</v>
      </c>
      <c r="E50" s="10">
        <v>0</v>
      </c>
      <c r="F50" s="10">
        <v>0</v>
      </c>
      <c r="G50" s="39" t="s">
        <v>34</v>
      </c>
      <c r="H50" s="11">
        <f t="shared" si="6"/>
        <v>0</v>
      </c>
      <c r="I50" s="10">
        <f t="shared" si="7"/>
        <v>0</v>
      </c>
      <c r="J50" s="10">
        <v>0</v>
      </c>
      <c r="K50" s="10">
        <f t="shared" si="8"/>
        <v>0</v>
      </c>
      <c r="L50" s="17">
        <v>5</v>
      </c>
      <c r="M50" s="18">
        <f t="shared" si="9"/>
        <v>5</v>
      </c>
      <c r="N50" s="19">
        <f t="shared" si="10"/>
        <v>0</v>
      </c>
      <c r="O50" s="20">
        <f t="shared" si="11"/>
        <v>5</v>
      </c>
      <c r="P50" s="11"/>
      <c r="Q50" s="11"/>
      <c r="R50" s="11"/>
      <c r="S50" s="1"/>
      <c r="T50" s="1"/>
      <c r="U50" s="1"/>
      <c r="V50" s="1"/>
      <c r="W50" s="1"/>
      <c r="X50" s="1"/>
    </row>
    <row r="51" spans="1:24" ht="18.75">
      <c r="A51" s="8">
        <v>191</v>
      </c>
      <c r="B51" s="8">
        <v>1037173857</v>
      </c>
      <c r="C51" s="47" t="s">
        <v>101</v>
      </c>
      <c r="D51" s="46"/>
      <c r="E51" s="10">
        <v>0</v>
      </c>
      <c r="F51" s="10">
        <v>0</v>
      </c>
      <c r="G51" s="39" t="s">
        <v>34</v>
      </c>
      <c r="H51" s="11">
        <f t="shared" si="6"/>
        <v>0</v>
      </c>
      <c r="I51" s="10">
        <f t="shared" si="7"/>
        <v>0</v>
      </c>
      <c r="J51" s="10">
        <v>0</v>
      </c>
      <c r="K51" s="10">
        <f t="shared" si="8"/>
        <v>0</v>
      </c>
      <c r="L51" s="17">
        <v>5</v>
      </c>
      <c r="M51" s="18">
        <f t="shared" si="9"/>
        <v>5</v>
      </c>
      <c r="N51" s="19">
        <f t="shared" si="10"/>
        <v>0</v>
      </c>
      <c r="O51" s="20">
        <f t="shared" si="11"/>
        <v>5</v>
      </c>
      <c r="P51" s="4"/>
      <c r="Q51" s="4"/>
      <c r="R51" s="4"/>
      <c r="S51" s="1"/>
      <c r="T51" s="1"/>
      <c r="U51" s="1"/>
      <c r="V51" s="1"/>
      <c r="W51" s="1"/>
      <c r="X51" s="1"/>
    </row>
    <row r="52" spans="1:24" ht="18.75">
      <c r="A52" s="8">
        <v>128</v>
      </c>
      <c r="B52" s="8">
        <v>1214614935</v>
      </c>
      <c r="C52" s="47" t="s">
        <v>85</v>
      </c>
      <c r="D52" s="50" t="s">
        <v>53</v>
      </c>
      <c r="E52" s="10">
        <v>0</v>
      </c>
      <c r="F52" s="10">
        <v>0</v>
      </c>
      <c r="G52" s="39" t="s">
        <v>34</v>
      </c>
      <c r="H52" s="11">
        <f t="shared" si="6"/>
        <v>0</v>
      </c>
      <c r="I52" s="10">
        <f t="shared" si="7"/>
        <v>0</v>
      </c>
      <c r="J52" s="10">
        <v>0</v>
      </c>
      <c r="K52" s="10">
        <f t="shared" si="8"/>
        <v>0</v>
      </c>
      <c r="L52" s="17">
        <v>5</v>
      </c>
      <c r="M52" s="18">
        <f t="shared" si="9"/>
        <v>5</v>
      </c>
      <c r="N52" s="19">
        <f t="shared" si="10"/>
        <v>0</v>
      </c>
      <c r="O52" s="20">
        <f t="shared" si="11"/>
        <v>5</v>
      </c>
      <c r="P52" s="11"/>
      <c r="Q52" s="11"/>
      <c r="R52" s="31"/>
      <c r="S52" s="1"/>
      <c r="T52" s="1"/>
      <c r="U52" s="1"/>
      <c r="V52" s="1"/>
      <c r="W52" s="1"/>
      <c r="X52" s="1"/>
    </row>
    <row r="53" spans="1:24" ht="18.75">
      <c r="A53" s="9">
        <v>46</v>
      </c>
      <c r="B53" s="8">
        <v>2109182835</v>
      </c>
      <c r="C53" s="47" t="s">
        <v>79</v>
      </c>
      <c r="D53" s="48" t="s">
        <v>15</v>
      </c>
      <c r="E53" s="10">
        <v>0</v>
      </c>
      <c r="F53" s="10">
        <v>0</v>
      </c>
      <c r="G53" s="39" t="s">
        <v>34</v>
      </c>
      <c r="H53" s="11">
        <f t="shared" si="6"/>
        <v>0</v>
      </c>
      <c r="I53" s="10">
        <f t="shared" si="7"/>
        <v>0</v>
      </c>
      <c r="J53" s="10">
        <v>0</v>
      </c>
      <c r="K53" s="10">
        <f t="shared" si="8"/>
        <v>0</v>
      </c>
      <c r="L53" s="17">
        <v>5</v>
      </c>
      <c r="M53" s="18">
        <f t="shared" si="9"/>
        <v>5</v>
      </c>
      <c r="N53" s="19">
        <f t="shared" si="10"/>
        <v>0</v>
      </c>
      <c r="O53" s="20">
        <f t="shared" si="11"/>
        <v>5</v>
      </c>
      <c r="P53" s="11"/>
      <c r="Q53" s="11"/>
      <c r="R53" s="11"/>
      <c r="S53" s="1"/>
      <c r="T53" s="1"/>
      <c r="U53" s="1"/>
      <c r="V53" s="1"/>
      <c r="W53" s="1"/>
      <c r="X53" s="1"/>
    </row>
    <row r="54" spans="1:24" ht="18.75">
      <c r="A54" s="9">
        <v>120</v>
      </c>
      <c r="B54" s="8">
        <v>171422146</v>
      </c>
      <c r="C54" s="47" t="s">
        <v>83</v>
      </c>
      <c r="D54" s="48" t="s">
        <v>47</v>
      </c>
      <c r="E54" s="10">
        <v>0</v>
      </c>
      <c r="F54" s="10">
        <v>0</v>
      </c>
      <c r="G54" s="39" t="s">
        <v>34</v>
      </c>
      <c r="H54" s="11">
        <f t="shared" si="6"/>
        <v>0</v>
      </c>
      <c r="I54" s="10">
        <f t="shared" si="7"/>
        <v>0</v>
      </c>
      <c r="J54" s="10">
        <v>0</v>
      </c>
      <c r="K54" s="10">
        <f t="shared" si="8"/>
        <v>0</v>
      </c>
      <c r="L54" s="17">
        <v>5</v>
      </c>
      <c r="M54" s="18">
        <f t="shared" si="9"/>
        <v>5</v>
      </c>
      <c r="N54" s="19">
        <f t="shared" si="10"/>
        <v>0</v>
      </c>
      <c r="O54" s="20">
        <f t="shared" si="11"/>
        <v>5</v>
      </c>
      <c r="P54" s="11"/>
      <c r="Q54" s="11"/>
      <c r="R54" s="32"/>
      <c r="S54" s="1"/>
      <c r="T54" s="1"/>
      <c r="U54" s="1"/>
      <c r="V54" s="1"/>
      <c r="W54" s="1"/>
      <c r="X54" s="1"/>
    </row>
    <row r="55" spans="1:24" ht="18.75">
      <c r="A55" s="8">
        <v>143</v>
      </c>
      <c r="B55" s="8">
        <v>1963007427</v>
      </c>
      <c r="C55" s="47" t="s">
        <v>87</v>
      </c>
      <c r="D55" s="47" t="s">
        <v>58</v>
      </c>
      <c r="E55" s="10">
        <v>0</v>
      </c>
      <c r="F55" s="10">
        <v>0</v>
      </c>
      <c r="G55" s="39" t="s">
        <v>34</v>
      </c>
      <c r="H55" s="11">
        <f t="shared" si="6"/>
        <v>0</v>
      </c>
      <c r="I55" s="10">
        <f t="shared" si="7"/>
        <v>0</v>
      </c>
      <c r="J55" s="10">
        <v>0</v>
      </c>
      <c r="K55" s="10">
        <f t="shared" si="8"/>
        <v>0</v>
      </c>
      <c r="L55" s="17">
        <v>5</v>
      </c>
      <c r="M55" s="18">
        <f t="shared" si="9"/>
        <v>5</v>
      </c>
      <c r="N55" s="19">
        <f t="shared" si="10"/>
        <v>0</v>
      </c>
      <c r="O55" s="20">
        <f t="shared" si="11"/>
        <v>5</v>
      </c>
      <c r="P55" s="11"/>
      <c r="Q55" s="11"/>
      <c r="R55" s="31"/>
      <c r="S55" s="1"/>
      <c r="T55" s="1"/>
      <c r="U55" s="1"/>
      <c r="V55" s="1"/>
      <c r="W55" s="1"/>
      <c r="X55" s="1"/>
    </row>
    <row r="56" spans="1:24" ht="18.75">
      <c r="A56" s="8">
        <v>190</v>
      </c>
      <c r="B56" s="8">
        <v>684634207</v>
      </c>
      <c r="C56" s="47" t="s">
        <v>100</v>
      </c>
      <c r="D56" s="46"/>
      <c r="E56" s="10">
        <v>0</v>
      </c>
      <c r="F56" s="10">
        <v>0</v>
      </c>
      <c r="G56" s="39" t="s">
        <v>34</v>
      </c>
      <c r="H56" s="11">
        <f t="shared" si="6"/>
        <v>0</v>
      </c>
      <c r="I56" s="10">
        <f t="shared" si="7"/>
        <v>0</v>
      </c>
      <c r="J56" s="10">
        <v>0</v>
      </c>
      <c r="K56" s="10">
        <f t="shared" si="8"/>
        <v>0</v>
      </c>
      <c r="L56" s="17">
        <v>5</v>
      </c>
      <c r="M56" s="18">
        <f t="shared" si="9"/>
        <v>5</v>
      </c>
      <c r="N56" s="19">
        <f t="shared" si="10"/>
        <v>0</v>
      </c>
      <c r="O56" s="20">
        <f t="shared" si="11"/>
        <v>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186</v>
      </c>
      <c r="B57" s="8">
        <v>595953188</v>
      </c>
      <c r="C57" s="47" t="s">
        <v>96</v>
      </c>
      <c r="D57" s="46"/>
      <c r="E57" s="10">
        <v>0</v>
      </c>
      <c r="F57" s="10">
        <v>0</v>
      </c>
      <c r="G57" s="39" t="s">
        <v>34</v>
      </c>
      <c r="H57" s="11">
        <f t="shared" si="6"/>
        <v>0</v>
      </c>
      <c r="I57" s="10">
        <f t="shared" si="7"/>
        <v>0</v>
      </c>
      <c r="J57" s="10">
        <v>0</v>
      </c>
      <c r="K57" s="10">
        <f t="shared" si="8"/>
        <v>0</v>
      </c>
      <c r="L57" s="17">
        <v>5</v>
      </c>
      <c r="M57" s="18">
        <f t="shared" si="9"/>
        <v>5</v>
      </c>
      <c r="N57" s="19">
        <f t="shared" si="10"/>
        <v>0</v>
      </c>
      <c r="O57" s="20">
        <f t="shared" si="11"/>
        <v>5</v>
      </c>
      <c r="P57" s="4"/>
      <c r="Q57" s="4"/>
      <c r="R57" s="4"/>
      <c r="S57" s="1"/>
      <c r="T57" s="1"/>
      <c r="U57" s="1"/>
      <c r="V57" s="1"/>
      <c r="W57" s="1"/>
      <c r="X57" s="1"/>
    </row>
    <row r="58" spans="1:24" ht="18.75">
      <c r="A58" s="8">
        <v>198</v>
      </c>
      <c r="B58" s="8">
        <v>723448640</v>
      </c>
      <c r="C58" s="47" t="s">
        <v>108</v>
      </c>
      <c r="D58" s="46"/>
      <c r="E58" s="10">
        <v>0</v>
      </c>
      <c r="F58" s="10">
        <v>0</v>
      </c>
      <c r="G58" s="39" t="s">
        <v>34</v>
      </c>
      <c r="H58" s="11">
        <f t="shared" si="6"/>
        <v>0</v>
      </c>
      <c r="I58" s="10">
        <f t="shared" si="7"/>
        <v>0</v>
      </c>
      <c r="J58" s="10">
        <v>0</v>
      </c>
      <c r="K58" s="10">
        <f t="shared" si="8"/>
        <v>0</v>
      </c>
      <c r="L58" s="17">
        <v>5</v>
      </c>
      <c r="M58" s="18">
        <f t="shared" si="9"/>
        <v>5</v>
      </c>
      <c r="N58" s="19">
        <f t="shared" si="10"/>
        <v>0</v>
      </c>
      <c r="O58" s="20">
        <f t="shared" si="11"/>
        <v>5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208</v>
      </c>
      <c r="B59" s="8">
        <v>92129464</v>
      </c>
      <c r="C59" s="47" t="s">
        <v>118</v>
      </c>
      <c r="D59" s="46"/>
      <c r="E59" s="10">
        <v>0</v>
      </c>
      <c r="F59" s="10">
        <v>0</v>
      </c>
      <c r="G59" s="39" t="s">
        <v>34</v>
      </c>
      <c r="H59" s="11">
        <f t="shared" si="6"/>
        <v>0</v>
      </c>
      <c r="I59" s="10">
        <f t="shared" si="7"/>
        <v>0</v>
      </c>
      <c r="J59" s="10">
        <v>0</v>
      </c>
      <c r="K59" s="10">
        <f t="shared" si="8"/>
        <v>0</v>
      </c>
      <c r="L59" s="17">
        <v>5</v>
      </c>
      <c r="M59" s="18">
        <f t="shared" si="9"/>
        <v>5</v>
      </c>
      <c r="N59" s="19">
        <f t="shared" si="10"/>
        <v>0</v>
      </c>
      <c r="O59" s="20">
        <f t="shared" si="11"/>
        <v>5</v>
      </c>
      <c r="P59" s="4"/>
      <c r="Q59" s="4"/>
      <c r="R59" s="4"/>
      <c r="S59" s="1"/>
      <c r="T59" s="1"/>
      <c r="U59" s="1"/>
      <c r="V59" s="1"/>
      <c r="W59" s="1"/>
      <c r="X59" s="1"/>
    </row>
    <row r="60" spans="1:24" ht="18.75">
      <c r="A60" s="8">
        <v>209</v>
      </c>
      <c r="B60" s="8">
        <v>1525950050</v>
      </c>
      <c r="C60" s="47" t="s">
        <v>119</v>
      </c>
      <c r="D60" s="46"/>
      <c r="E60" s="10">
        <v>0</v>
      </c>
      <c r="F60" s="10">
        <v>0</v>
      </c>
      <c r="G60" s="39" t="s">
        <v>34</v>
      </c>
      <c r="H60" s="11">
        <f t="shared" si="6"/>
        <v>0</v>
      </c>
      <c r="I60" s="10">
        <f t="shared" si="7"/>
        <v>0</v>
      </c>
      <c r="J60" s="10">
        <v>0</v>
      </c>
      <c r="K60" s="10">
        <f t="shared" si="8"/>
        <v>0</v>
      </c>
      <c r="L60" s="17">
        <v>5</v>
      </c>
      <c r="M60" s="18">
        <f t="shared" si="9"/>
        <v>5</v>
      </c>
      <c r="N60" s="19">
        <f t="shared" si="10"/>
        <v>0</v>
      </c>
      <c r="O60" s="20">
        <f t="shared" si="11"/>
        <v>5</v>
      </c>
      <c r="P60" s="4"/>
      <c r="Q60" s="4"/>
      <c r="R60" s="4"/>
      <c r="S60" s="1"/>
      <c r="T60" s="1"/>
      <c r="U60" s="1"/>
      <c r="V60" s="1"/>
      <c r="W60" s="1"/>
      <c r="X60" s="1"/>
    </row>
    <row r="61" spans="1:24" ht="18.75">
      <c r="A61" s="8">
        <v>210</v>
      </c>
      <c r="B61" s="8">
        <v>1675792665</v>
      </c>
      <c r="C61" s="47" t="s">
        <v>120</v>
      </c>
      <c r="D61" s="46"/>
      <c r="E61" s="10">
        <v>0</v>
      </c>
      <c r="F61" s="10">
        <v>0</v>
      </c>
      <c r="G61" s="39" t="s">
        <v>34</v>
      </c>
      <c r="H61" s="11">
        <f t="shared" si="6"/>
        <v>0</v>
      </c>
      <c r="I61" s="10">
        <f t="shared" si="7"/>
        <v>0</v>
      </c>
      <c r="J61" s="10">
        <v>0</v>
      </c>
      <c r="K61" s="10">
        <f t="shared" si="8"/>
        <v>0</v>
      </c>
      <c r="L61" s="17">
        <v>3.5</v>
      </c>
      <c r="M61" s="18">
        <f t="shared" si="9"/>
        <v>3.5</v>
      </c>
      <c r="N61" s="19">
        <f t="shared" si="10"/>
        <v>0</v>
      </c>
      <c r="O61" s="20">
        <f t="shared" si="11"/>
        <v>3.5</v>
      </c>
      <c r="P61" s="4"/>
      <c r="Q61" s="4"/>
      <c r="R61" s="4"/>
      <c r="S61" s="1"/>
      <c r="T61" s="1"/>
      <c r="U61" s="1"/>
      <c r="V61" s="1"/>
      <c r="W61" s="1"/>
      <c r="X61" s="1"/>
    </row>
    <row r="62" spans="1:24" ht="18.75">
      <c r="A62" s="8">
        <v>183</v>
      </c>
      <c r="B62" s="8">
        <v>1250030371</v>
      </c>
      <c r="C62" s="47" t="s">
        <v>123</v>
      </c>
      <c r="D62" s="47" t="s">
        <v>93</v>
      </c>
      <c r="E62" s="10">
        <v>0</v>
      </c>
      <c r="F62" s="10">
        <v>0</v>
      </c>
      <c r="G62" s="39" t="s">
        <v>34</v>
      </c>
      <c r="H62" s="11">
        <f t="shared" si="6"/>
        <v>0</v>
      </c>
      <c r="I62" s="10">
        <f t="shared" si="7"/>
        <v>0</v>
      </c>
      <c r="J62" s="10">
        <v>0</v>
      </c>
      <c r="K62" s="10">
        <f t="shared" si="8"/>
        <v>0</v>
      </c>
      <c r="L62" s="17">
        <v>3.5</v>
      </c>
      <c r="M62" s="18">
        <f t="shared" si="9"/>
        <v>3.5</v>
      </c>
      <c r="N62" s="19">
        <f t="shared" si="10"/>
        <v>0</v>
      </c>
      <c r="O62" s="20">
        <f t="shared" si="11"/>
        <v>3.5</v>
      </c>
      <c r="P62" s="4"/>
      <c r="Q62" s="4"/>
      <c r="R62" s="4"/>
      <c r="S62" s="1"/>
      <c r="T62" s="1"/>
      <c r="U62" s="1"/>
      <c r="V62" s="1"/>
      <c r="W62" s="1"/>
      <c r="X62" s="1"/>
    </row>
    <row r="63" spans="1:24" ht="18.75">
      <c r="A63" s="8">
        <v>196</v>
      </c>
      <c r="B63" s="8">
        <v>1065641844</v>
      </c>
      <c r="C63" s="47" t="s">
        <v>106</v>
      </c>
      <c r="D63" s="46"/>
      <c r="E63" s="10">
        <v>0</v>
      </c>
      <c r="F63" s="10">
        <v>0</v>
      </c>
      <c r="G63" s="39" t="s">
        <v>34</v>
      </c>
      <c r="H63" s="11">
        <f t="shared" si="6"/>
        <v>0</v>
      </c>
      <c r="I63" s="10">
        <f t="shared" si="7"/>
        <v>0</v>
      </c>
      <c r="J63" s="10">
        <v>0</v>
      </c>
      <c r="K63" s="10">
        <f t="shared" si="8"/>
        <v>0</v>
      </c>
      <c r="L63" s="17">
        <v>3.5</v>
      </c>
      <c r="M63" s="18">
        <f t="shared" si="9"/>
        <v>3.5</v>
      </c>
      <c r="N63" s="19">
        <f t="shared" si="10"/>
        <v>0</v>
      </c>
      <c r="O63" s="20">
        <f t="shared" si="11"/>
        <v>3.5</v>
      </c>
      <c r="P63" s="4"/>
      <c r="Q63" s="4"/>
      <c r="R63" s="4"/>
      <c r="S63" s="1"/>
      <c r="T63" s="1"/>
      <c r="U63" s="1"/>
      <c r="V63" s="1"/>
      <c r="W63" s="1"/>
      <c r="X63" s="1"/>
    </row>
    <row r="64" spans="1:24" ht="18.75">
      <c r="A64" s="8">
        <v>203</v>
      </c>
      <c r="B64" s="8">
        <v>382695365</v>
      </c>
      <c r="C64" s="47" t="s">
        <v>112</v>
      </c>
      <c r="D64" s="46"/>
      <c r="E64" s="10">
        <v>0</v>
      </c>
      <c r="F64" s="10">
        <v>0</v>
      </c>
      <c r="G64" s="39" t="s">
        <v>34</v>
      </c>
      <c r="H64" s="11">
        <f t="shared" si="6"/>
        <v>0</v>
      </c>
      <c r="I64" s="10">
        <f t="shared" si="7"/>
        <v>0</v>
      </c>
      <c r="J64" s="10">
        <v>0</v>
      </c>
      <c r="K64" s="10">
        <f t="shared" si="8"/>
        <v>0</v>
      </c>
      <c r="L64" s="17">
        <v>3.5</v>
      </c>
      <c r="M64" s="18">
        <f t="shared" si="9"/>
        <v>3.5</v>
      </c>
      <c r="N64" s="19">
        <f t="shared" si="10"/>
        <v>0</v>
      </c>
      <c r="O64" s="20">
        <f t="shared" si="11"/>
        <v>3.5</v>
      </c>
      <c r="P64" s="4"/>
      <c r="Q64" s="4"/>
      <c r="R64" s="4"/>
      <c r="S64" s="1"/>
      <c r="T64" s="1"/>
      <c r="U64" s="1"/>
      <c r="V64" s="1"/>
      <c r="W64" s="1"/>
      <c r="X64" s="1"/>
    </row>
    <row r="65" spans="1:24" ht="18.75">
      <c r="A65" s="8">
        <v>184</v>
      </c>
      <c r="B65" s="8">
        <v>1814130074</v>
      </c>
      <c r="C65" s="47" t="s">
        <v>94</v>
      </c>
      <c r="D65" s="46"/>
      <c r="E65" s="10">
        <v>0</v>
      </c>
      <c r="F65" s="10">
        <v>0</v>
      </c>
      <c r="G65" s="39" t="s">
        <v>34</v>
      </c>
      <c r="H65" s="11">
        <f t="shared" si="6"/>
        <v>0</v>
      </c>
      <c r="I65" s="10">
        <f t="shared" si="7"/>
        <v>0</v>
      </c>
      <c r="J65" s="10">
        <v>0</v>
      </c>
      <c r="K65" s="10">
        <f t="shared" si="8"/>
        <v>0</v>
      </c>
      <c r="L65" s="17">
        <v>3.5</v>
      </c>
      <c r="M65" s="18">
        <f t="shared" si="9"/>
        <v>3.5</v>
      </c>
      <c r="N65" s="19">
        <f t="shared" si="10"/>
        <v>0</v>
      </c>
      <c r="O65" s="20">
        <f t="shared" si="11"/>
        <v>3.5</v>
      </c>
      <c r="P65" s="4"/>
      <c r="Q65" s="4"/>
      <c r="R65" s="4"/>
      <c r="S65" s="1"/>
      <c r="T65" s="1"/>
      <c r="U65" s="1"/>
      <c r="V65" s="1"/>
      <c r="W65" s="1"/>
      <c r="X65" s="1"/>
    </row>
    <row r="66" spans="1:24" ht="18.75">
      <c r="A66" s="8">
        <v>110</v>
      </c>
      <c r="B66" s="8">
        <v>1968703358</v>
      </c>
      <c r="C66" s="47" t="s">
        <v>81</v>
      </c>
      <c r="D66" s="48" t="s">
        <v>45</v>
      </c>
      <c r="E66" s="10">
        <v>0</v>
      </c>
      <c r="F66" s="10">
        <v>0</v>
      </c>
      <c r="G66" s="39" t="s">
        <v>34</v>
      </c>
      <c r="H66" s="11">
        <f t="shared" si="6"/>
        <v>0</v>
      </c>
      <c r="I66" s="10">
        <f t="shared" si="7"/>
        <v>0</v>
      </c>
      <c r="J66" s="10">
        <v>0</v>
      </c>
      <c r="K66" s="10">
        <f t="shared" si="8"/>
        <v>0</v>
      </c>
      <c r="L66" s="17">
        <v>3.5</v>
      </c>
      <c r="M66" s="18">
        <f t="shared" si="9"/>
        <v>3.5</v>
      </c>
      <c r="N66" s="19">
        <f t="shared" si="10"/>
        <v>0</v>
      </c>
      <c r="O66" s="20">
        <f t="shared" si="11"/>
        <v>3.5</v>
      </c>
      <c r="P66" s="11"/>
      <c r="Q66" s="11"/>
      <c r="R66" s="17"/>
      <c r="S66" s="1"/>
      <c r="T66" s="1"/>
      <c r="U66" s="1"/>
      <c r="V66" s="1"/>
      <c r="W66" s="1"/>
      <c r="X66" s="1"/>
    </row>
    <row r="67" spans="1:24" ht="18.75">
      <c r="A67" s="8">
        <v>211</v>
      </c>
      <c r="B67" s="8">
        <v>1030769255</v>
      </c>
      <c r="C67" s="47" t="s">
        <v>121</v>
      </c>
      <c r="D67" s="46"/>
      <c r="E67" s="10">
        <v>0</v>
      </c>
      <c r="F67" s="10">
        <v>0</v>
      </c>
      <c r="G67" s="39" t="s">
        <v>34</v>
      </c>
      <c r="H67" s="11">
        <f t="shared" si="6"/>
        <v>0</v>
      </c>
      <c r="I67" s="10">
        <f t="shared" si="7"/>
        <v>0</v>
      </c>
      <c r="J67" s="10">
        <v>0</v>
      </c>
      <c r="K67" s="10">
        <f t="shared" si="8"/>
        <v>0</v>
      </c>
      <c r="L67" s="17">
        <v>2</v>
      </c>
      <c r="M67" s="18">
        <f t="shared" si="9"/>
        <v>2</v>
      </c>
      <c r="N67" s="19">
        <f t="shared" si="10"/>
        <v>0</v>
      </c>
      <c r="O67" s="20">
        <f t="shared" si="11"/>
        <v>2</v>
      </c>
      <c r="P67" s="4"/>
      <c r="Q67" s="4"/>
      <c r="R67" s="4"/>
      <c r="S67" s="1"/>
      <c r="T67" s="1"/>
      <c r="U67" s="1"/>
      <c r="V67" s="1"/>
      <c r="W67" s="1"/>
      <c r="X67" s="1"/>
    </row>
    <row r="68" spans="1:24" ht="18.75">
      <c r="A68" s="8">
        <v>206</v>
      </c>
      <c r="B68" s="8">
        <v>1835375380</v>
      </c>
      <c r="C68" s="47" t="s">
        <v>115</v>
      </c>
      <c r="D68" s="46"/>
      <c r="E68" s="10">
        <v>0</v>
      </c>
      <c r="F68" s="10">
        <v>0</v>
      </c>
      <c r="G68" s="39" t="s">
        <v>34</v>
      </c>
      <c r="H68" s="11">
        <f t="shared" si="6"/>
        <v>0</v>
      </c>
      <c r="I68" s="10">
        <f t="shared" si="7"/>
        <v>0</v>
      </c>
      <c r="J68" s="10">
        <v>0</v>
      </c>
      <c r="K68" s="10">
        <f t="shared" si="8"/>
        <v>0</v>
      </c>
      <c r="L68" s="17">
        <v>2</v>
      </c>
      <c r="M68" s="18">
        <f t="shared" si="9"/>
        <v>2</v>
      </c>
      <c r="N68" s="19">
        <f t="shared" si="10"/>
        <v>0</v>
      </c>
      <c r="O68" s="20">
        <f t="shared" si="11"/>
        <v>2</v>
      </c>
      <c r="P68" s="4"/>
      <c r="Q68" s="4"/>
      <c r="R68" s="4"/>
      <c r="S68" s="1"/>
      <c r="T68" s="1"/>
      <c r="U68" s="1"/>
      <c r="V68" s="1"/>
      <c r="W68" s="1"/>
      <c r="X68" s="1"/>
    </row>
    <row r="69" spans="1:24" ht="18.75">
      <c r="A69" s="9">
        <v>5</v>
      </c>
      <c r="B69" s="8">
        <v>1044399218</v>
      </c>
      <c r="C69" s="47" t="s">
        <v>75</v>
      </c>
      <c r="D69" s="48" t="s">
        <v>9</v>
      </c>
      <c r="E69" s="10">
        <v>0</v>
      </c>
      <c r="F69" s="10">
        <v>0</v>
      </c>
      <c r="G69" s="39" t="s">
        <v>34</v>
      </c>
      <c r="H69" s="11">
        <f t="shared" si="6"/>
        <v>0</v>
      </c>
      <c r="I69" s="10">
        <f t="shared" si="7"/>
        <v>0</v>
      </c>
      <c r="J69" s="10">
        <v>0</v>
      </c>
      <c r="K69" s="10">
        <f t="shared" si="8"/>
        <v>0</v>
      </c>
      <c r="L69" s="17">
        <v>2</v>
      </c>
      <c r="M69" s="18">
        <f t="shared" si="9"/>
        <v>2</v>
      </c>
      <c r="N69" s="19">
        <f t="shared" si="10"/>
        <v>0</v>
      </c>
      <c r="O69" s="20">
        <f t="shared" si="11"/>
        <v>2</v>
      </c>
      <c r="P69" s="11"/>
      <c r="Q69" s="11"/>
      <c r="R69" s="11"/>
      <c r="S69" s="1"/>
      <c r="T69" s="1"/>
      <c r="U69" s="1"/>
      <c r="V69" s="1"/>
      <c r="W69" s="1"/>
      <c r="X69" s="1"/>
    </row>
    <row r="70" spans="1:24" ht="18.75">
      <c r="A70" s="9">
        <v>103</v>
      </c>
      <c r="B70" s="8">
        <v>1540443440</v>
      </c>
      <c r="C70" s="48" t="s">
        <v>68</v>
      </c>
      <c r="D70" s="48" t="s">
        <v>35</v>
      </c>
      <c r="E70" s="10">
        <v>0</v>
      </c>
      <c r="F70" s="10">
        <v>0</v>
      </c>
      <c r="G70" s="39" t="s">
        <v>34</v>
      </c>
      <c r="H70" s="11">
        <f t="shared" si="6"/>
        <v>0</v>
      </c>
      <c r="I70" s="10">
        <f t="shared" si="7"/>
        <v>0</v>
      </c>
      <c r="J70" s="10">
        <v>0</v>
      </c>
      <c r="K70" s="10">
        <f t="shared" si="8"/>
        <v>0</v>
      </c>
      <c r="L70" s="17">
        <v>2</v>
      </c>
      <c r="M70" s="18">
        <f t="shared" si="9"/>
        <v>2</v>
      </c>
      <c r="N70" s="19">
        <f t="shared" si="10"/>
        <v>0</v>
      </c>
      <c r="O70" s="20">
        <f t="shared" si="11"/>
        <v>2</v>
      </c>
      <c r="P70" s="11"/>
      <c r="Q70" s="11"/>
      <c r="R70" s="11"/>
      <c r="S70" s="3"/>
      <c r="T70" s="3"/>
      <c r="U70" s="3"/>
      <c r="V70" s="3"/>
      <c r="W70" s="3"/>
      <c r="X70" s="3"/>
    </row>
    <row r="71" spans="1:24" ht="18.75">
      <c r="A71" s="8">
        <v>141</v>
      </c>
      <c r="B71" s="8">
        <v>1190305158</v>
      </c>
      <c r="C71" s="47" t="s">
        <v>55</v>
      </c>
      <c r="D71" s="50"/>
      <c r="E71" s="10">
        <v>0</v>
      </c>
      <c r="F71" s="10">
        <v>0</v>
      </c>
      <c r="G71" s="39" t="s">
        <v>34</v>
      </c>
      <c r="H71" s="11">
        <f t="shared" si="6"/>
        <v>0</v>
      </c>
      <c r="I71" s="10">
        <f t="shared" si="7"/>
        <v>0</v>
      </c>
      <c r="J71" s="10">
        <v>0</v>
      </c>
      <c r="K71" s="10">
        <f t="shared" si="8"/>
        <v>0</v>
      </c>
      <c r="L71" s="17">
        <v>2</v>
      </c>
      <c r="M71" s="18">
        <f t="shared" si="9"/>
        <v>2</v>
      </c>
      <c r="N71" s="19">
        <f t="shared" si="10"/>
        <v>0</v>
      </c>
      <c r="O71" s="20">
        <f t="shared" si="11"/>
        <v>2</v>
      </c>
      <c r="P71" s="11"/>
      <c r="Q71" s="11"/>
      <c r="R71" s="31"/>
    </row>
    <row r="72" spans="1:24" ht="18.75">
      <c r="A72" s="8">
        <v>199</v>
      </c>
      <c r="B72" s="8">
        <v>1190213504</v>
      </c>
      <c r="C72" s="47" t="s">
        <v>117</v>
      </c>
      <c r="D72" s="46"/>
      <c r="E72" s="10">
        <v>0</v>
      </c>
      <c r="F72" s="10">
        <v>0</v>
      </c>
      <c r="G72" s="39" t="s">
        <v>34</v>
      </c>
      <c r="H72" s="11">
        <f t="shared" si="6"/>
        <v>0</v>
      </c>
      <c r="I72" s="10">
        <f t="shared" si="7"/>
        <v>0</v>
      </c>
      <c r="J72" s="10">
        <v>0</v>
      </c>
      <c r="K72" s="10">
        <f t="shared" si="8"/>
        <v>0</v>
      </c>
      <c r="L72" s="17">
        <v>1</v>
      </c>
      <c r="M72" s="18">
        <f t="shared" si="9"/>
        <v>1</v>
      </c>
      <c r="N72" s="19">
        <f t="shared" si="10"/>
        <v>0</v>
      </c>
      <c r="O72" s="20">
        <f t="shared" si="11"/>
        <v>1</v>
      </c>
      <c r="P72" s="4"/>
      <c r="Q72" s="4"/>
      <c r="R72" s="4"/>
    </row>
    <row r="73" spans="1:24" ht="18.75">
      <c r="A73" s="8">
        <v>204</v>
      </c>
      <c r="B73" s="8">
        <v>1449474852</v>
      </c>
      <c r="C73" s="47" t="s">
        <v>113</v>
      </c>
      <c r="D73" s="46"/>
      <c r="E73" s="10">
        <v>0</v>
      </c>
      <c r="F73" s="10">
        <v>0</v>
      </c>
      <c r="G73" s="39" t="s">
        <v>34</v>
      </c>
      <c r="H73" s="11">
        <f t="shared" si="6"/>
        <v>0</v>
      </c>
      <c r="I73" s="10">
        <f t="shared" si="7"/>
        <v>0</v>
      </c>
      <c r="J73" s="10">
        <v>0</v>
      </c>
      <c r="K73" s="10">
        <f t="shared" si="8"/>
        <v>0</v>
      </c>
      <c r="L73" s="17">
        <v>1</v>
      </c>
      <c r="M73" s="18">
        <f t="shared" si="9"/>
        <v>1</v>
      </c>
      <c r="N73" s="19">
        <f t="shared" si="10"/>
        <v>0</v>
      </c>
      <c r="O73" s="20">
        <f t="shared" si="11"/>
        <v>1</v>
      </c>
      <c r="P73" s="4"/>
      <c r="Q73" s="4"/>
      <c r="R73" s="4"/>
    </row>
    <row r="74" spans="1:24" ht="18.75">
      <c r="A74" s="8">
        <v>192</v>
      </c>
      <c r="B74" s="8">
        <v>1725281178</v>
      </c>
      <c r="C74" s="47" t="s">
        <v>102</v>
      </c>
      <c r="D74" s="46"/>
      <c r="E74" s="10">
        <v>0</v>
      </c>
      <c r="F74" s="10">
        <v>0</v>
      </c>
      <c r="G74" s="39" t="s">
        <v>34</v>
      </c>
      <c r="H74" s="11">
        <f t="shared" si="6"/>
        <v>0</v>
      </c>
      <c r="I74" s="10">
        <f t="shared" si="7"/>
        <v>0</v>
      </c>
      <c r="J74" s="10">
        <v>0</v>
      </c>
      <c r="K74" s="10">
        <f t="shared" si="8"/>
        <v>0</v>
      </c>
      <c r="L74" s="17">
        <v>1</v>
      </c>
      <c r="M74" s="18">
        <f t="shared" si="9"/>
        <v>1</v>
      </c>
      <c r="N74" s="19">
        <f t="shared" si="10"/>
        <v>0</v>
      </c>
      <c r="O74" s="20">
        <f t="shared" si="11"/>
        <v>1</v>
      </c>
      <c r="P74" s="4"/>
      <c r="Q74" s="4"/>
      <c r="R74" s="4"/>
    </row>
    <row r="75" spans="1:24" ht="18.75">
      <c r="A75" s="8">
        <v>201</v>
      </c>
      <c r="B75" s="8">
        <v>251334814</v>
      </c>
      <c r="C75" s="47" t="s">
        <v>110</v>
      </c>
      <c r="D75" s="46"/>
      <c r="E75" s="10">
        <v>0</v>
      </c>
      <c r="F75" s="10">
        <v>0</v>
      </c>
      <c r="G75" s="39" t="s">
        <v>34</v>
      </c>
      <c r="H75" s="11">
        <f t="shared" si="6"/>
        <v>0</v>
      </c>
      <c r="I75" s="10">
        <f t="shared" si="7"/>
        <v>0</v>
      </c>
      <c r="J75" s="10">
        <v>0</v>
      </c>
      <c r="K75" s="10">
        <f t="shared" si="8"/>
        <v>0</v>
      </c>
      <c r="L75" s="17">
        <v>1</v>
      </c>
      <c r="M75" s="18">
        <f t="shared" si="9"/>
        <v>1</v>
      </c>
      <c r="N75" s="19">
        <f t="shared" si="10"/>
        <v>0</v>
      </c>
      <c r="O75" s="20">
        <f t="shared" si="11"/>
        <v>1</v>
      </c>
      <c r="P75" s="4"/>
      <c r="Q75" s="4"/>
      <c r="R75" s="4"/>
    </row>
    <row r="76" spans="1:24" ht="18.75">
      <c r="A76" s="8">
        <v>148</v>
      </c>
      <c r="B76" s="8">
        <v>1579518877</v>
      </c>
      <c r="C76" s="47" t="s">
        <v>59</v>
      </c>
      <c r="D76" s="50"/>
      <c r="E76" s="10">
        <v>0</v>
      </c>
      <c r="F76" s="10">
        <v>0</v>
      </c>
      <c r="G76" s="39" t="s">
        <v>34</v>
      </c>
      <c r="H76" s="11">
        <f t="shared" si="6"/>
        <v>0</v>
      </c>
      <c r="I76" s="10">
        <f t="shared" si="7"/>
        <v>0</v>
      </c>
      <c r="J76" s="10">
        <v>0</v>
      </c>
      <c r="K76" s="10">
        <f t="shared" si="8"/>
        <v>0</v>
      </c>
      <c r="L76" s="17">
        <v>1</v>
      </c>
      <c r="M76" s="18">
        <f t="shared" si="9"/>
        <v>1</v>
      </c>
      <c r="N76" s="19">
        <f t="shared" si="10"/>
        <v>0</v>
      </c>
      <c r="O76" s="20">
        <f t="shared" si="11"/>
        <v>1</v>
      </c>
      <c r="P76" s="4"/>
      <c r="Q76" s="4"/>
      <c r="R76" s="4"/>
    </row>
    <row r="77" spans="1:24" ht="18.75">
      <c r="A77" s="8">
        <v>144</v>
      </c>
      <c r="B77" s="8">
        <v>1763923855</v>
      </c>
      <c r="C77" s="47" t="s">
        <v>57</v>
      </c>
      <c r="D77" s="53"/>
      <c r="E77" s="10">
        <v>0</v>
      </c>
      <c r="F77" s="10">
        <v>0</v>
      </c>
      <c r="G77" s="39" t="s">
        <v>34</v>
      </c>
      <c r="H77" s="11">
        <f t="shared" si="6"/>
        <v>0</v>
      </c>
      <c r="I77" s="10">
        <f t="shared" si="7"/>
        <v>0</v>
      </c>
      <c r="J77" s="10">
        <v>0</v>
      </c>
      <c r="K77" s="10">
        <f t="shared" si="8"/>
        <v>0</v>
      </c>
      <c r="L77" s="17">
        <v>1</v>
      </c>
      <c r="M77" s="18">
        <f t="shared" si="9"/>
        <v>1</v>
      </c>
      <c r="N77" s="19">
        <f t="shared" si="10"/>
        <v>0</v>
      </c>
      <c r="O77" s="20">
        <f t="shared" si="11"/>
        <v>1</v>
      </c>
      <c r="P77" s="4"/>
      <c r="Q77" s="4"/>
      <c r="R77" s="4"/>
    </row>
    <row r="78" spans="1:24" ht="18.75">
      <c r="A78" s="8">
        <v>152</v>
      </c>
      <c r="B78" s="8">
        <v>808637979</v>
      </c>
      <c r="C78" s="47" t="s">
        <v>62</v>
      </c>
      <c r="D78" s="47" t="s">
        <v>60</v>
      </c>
      <c r="E78" s="10">
        <v>0</v>
      </c>
      <c r="F78" s="10">
        <v>0</v>
      </c>
      <c r="G78" s="39" t="s">
        <v>34</v>
      </c>
      <c r="H78" s="11">
        <f t="shared" si="6"/>
        <v>0</v>
      </c>
      <c r="I78" s="10">
        <f t="shared" si="7"/>
        <v>0</v>
      </c>
      <c r="J78" s="10">
        <v>0</v>
      </c>
      <c r="K78" s="10">
        <f t="shared" si="8"/>
        <v>0</v>
      </c>
      <c r="L78" s="17">
        <v>0</v>
      </c>
      <c r="M78" s="18">
        <f t="shared" si="9"/>
        <v>0</v>
      </c>
      <c r="N78" s="19">
        <f t="shared" si="10"/>
        <v>0</v>
      </c>
      <c r="O78" s="20">
        <f t="shared" si="11"/>
        <v>0</v>
      </c>
      <c r="P78" s="4"/>
      <c r="Q78" s="4"/>
      <c r="R78" s="4"/>
    </row>
    <row r="79" spans="1:24" ht="18.75">
      <c r="A79" s="8">
        <v>170</v>
      </c>
      <c r="B79" s="8">
        <v>1659068972</v>
      </c>
      <c r="C79" s="47" t="s">
        <v>66</v>
      </c>
      <c r="D79" s="46"/>
      <c r="E79" s="10">
        <v>0</v>
      </c>
      <c r="F79" s="10">
        <v>0</v>
      </c>
      <c r="G79" s="39" t="s">
        <v>34</v>
      </c>
      <c r="H79" s="11">
        <f t="shared" si="6"/>
        <v>0</v>
      </c>
      <c r="I79" s="10">
        <f t="shared" si="7"/>
        <v>0</v>
      </c>
      <c r="J79" s="10">
        <v>0</v>
      </c>
      <c r="K79" s="10">
        <f t="shared" si="8"/>
        <v>0</v>
      </c>
      <c r="L79" s="17">
        <v>0</v>
      </c>
      <c r="M79" s="18">
        <f t="shared" si="9"/>
        <v>0</v>
      </c>
      <c r="N79" s="19">
        <f t="shared" si="10"/>
        <v>0</v>
      </c>
      <c r="O79" s="20">
        <f t="shared" si="11"/>
        <v>0</v>
      </c>
      <c r="P79" s="4"/>
      <c r="Q79" s="4"/>
      <c r="R79" s="4"/>
    </row>
    <row r="80" spans="1:24" ht="18.75">
      <c r="A80" s="8">
        <v>167</v>
      </c>
      <c r="B80" s="8">
        <v>1173807161</v>
      </c>
      <c r="C80" s="47" t="s">
        <v>67</v>
      </c>
      <c r="D80" s="52"/>
      <c r="E80" s="10">
        <v>0</v>
      </c>
      <c r="F80" s="10">
        <v>0</v>
      </c>
      <c r="G80" s="39" t="s">
        <v>34</v>
      </c>
      <c r="H80" s="11">
        <f t="shared" si="6"/>
        <v>0</v>
      </c>
      <c r="I80" s="10">
        <f t="shared" si="7"/>
        <v>0</v>
      </c>
      <c r="J80" s="10">
        <v>0</v>
      </c>
      <c r="K80" s="10">
        <f t="shared" si="8"/>
        <v>0</v>
      </c>
      <c r="L80" s="17">
        <v>0</v>
      </c>
      <c r="M80" s="18">
        <f t="shared" si="9"/>
        <v>0</v>
      </c>
      <c r="N80" s="19">
        <f t="shared" si="10"/>
        <v>0</v>
      </c>
      <c r="O80" s="20">
        <f t="shared" si="11"/>
        <v>0</v>
      </c>
      <c r="P80" s="4"/>
      <c r="Q80" s="4"/>
      <c r="R80" s="4"/>
    </row>
    <row r="81" spans="1:18" ht="18.75">
      <c r="A81" s="8">
        <v>138</v>
      </c>
      <c r="B81" s="8">
        <v>1440730282</v>
      </c>
      <c r="C81" s="47" t="s">
        <v>86</v>
      </c>
      <c r="D81" s="47" t="s">
        <v>54</v>
      </c>
      <c r="E81" s="10">
        <v>0</v>
      </c>
      <c r="F81" s="10">
        <v>0</v>
      </c>
      <c r="G81" s="39" t="s">
        <v>34</v>
      </c>
      <c r="H81" s="11">
        <f t="shared" si="6"/>
        <v>0</v>
      </c>
      <c r="I81" s="10">
        <f t="shared" si="7"/>
        <v>0</v>
      </c>
      <c r="J81" s="10">
        <v>0</v>
      </c>
      <c r="K81" s="10">
        <f t="shared" si="8"/>
        <v>0</v>
      </c>
      <c r="L81" s="17">
        <v>0</v>
      </c>
      <c r="M81" s="18">
        <f t="shared" si="9"/>
        <v>0</v>
      </c>
      <c r="N81" s="19">
        <f t="shared" si="10"/>
        <v>0</v>
      </c>
      <c r="O81" s="20">
        <f t="shared" si="11"/>
        <v>0</v>
      </c>
      <c r="P81" s="11"/>
      <c r="Q81" s="11"/>
      <c r="R81" s="31"/>
    </row>
    <row r="82" spans="1:18" ht="18.75">
      <c r="A82" s="8">
        <v>127</v>
      </c>
      <c r="B82" s="8">
        <v>615908706</v>
      </c>
      <c r="C82" s="47" t="s">
        <v>84</v>
      </c>
      <c r="D82" s="50" t="s">
        <v>46</v>
      </c>
      <c r="E82" s="10">
        <v>0</v>
      </c>
      <c r="F82" s="10">
        <v>0</v>
      </c>
      <c r="G82" s="39" t="s">
        <v>34</v>
      </c>
      <c r="H82" s="11">
        <f t="shared" si="6"/>
        <v>0</v>
      </c>
      <c r="I82" s="10">
        <f t="shared" si="7"/>
        <v>0</v>
      </c>
      <c r="J82" s="10">
        <v>0</v>
      </c>
      <c r="K82" s="10">
        <f t="shared" si="8"/>
        <v>0</v>
      </c>
      <c r="L82" s="17">
        <v>0</v>
      </c>
      <c r="M82" s="18">
        <f t="shared" si="9"/>
        <v>0</v>
      </c>
      <c r="N82" s="19">
        <f t="shared" si="10"/>
        <v>0</v>
      </c>
      <c r="O82" s="20">
        <f t="shared" si="11"/>
        <v>0</v>
      </c>
      <c r="P82" s="40"/>
      <c r="Q82" s="40"/>
      <c r="R82" s="41"/>
    </row>
    <row r="83" spans="1:18" ht="18.75">
      <c r="A83" s="9">
        <v>43</v>
      </c>
      <c r="B83" s="8">
        <v>1853818182</v>
      </c>
      <c r="C83" s="48" t="s">
        <v>78</v>
      </c>
      <c r="D83" s="48" t="s">
        <v>14</v>
      </c>
      <c r="E83" s="10">
        <v>0</v>
      </c>
      <c r="F83" s="10">
        <v>0</v>
      </c>
      <c r="G83" s="39" t="s">
        <v>34</v>
      </c>
      <c r="H83" s="11">
        <f t="shared" si="6"/>
        <v>0</v>
      </c>
      <c r="I83" s="10">
        <f t="shared" si="7"/>
        <v>0</v>
      </c>
      <c r="J83" s="10">
        <v>0</v>
      </c>
      <c r="K83" s="10">
        <f t="shared" si="8"/>
        <v>0</v>
      </c>
      <c r="L83" s="17">
        <v>0</v>
      </c>
      <c r="M83" s="18">
        <f t="shared" si="9"/>
        <v>0</v>
      </c>
      <c r="N83" s="19">
        <f t="shared" si="10"/>
        <v>0</v>
      </c>
      <c r="O83" s="20">
        <f t="shared" si="11"/>
        <v>0</v>
      </c>
      <c r="P83" s="40"/>
      <c r="Q83" s="40"/>
    </row>
    <row r="84" spans="1:18" ht="18.75">
      <c r="A84" s="8">
        <v>197</v>
      </c>
      <c r="B84" s="8">
        <v>2012003193</v>
      </c>
      <c r="C84" s="47" t="s">
        <v>107</v>
      </c>
      <c r="D84" s="46"/>
      <c r="E84" s="10">
        <v>0</v>
      </c>
      <c r="F84" s="10">
        <v>0</v>
      </c>
      <c r="G84" s="39" t="s">
        <v>34</v>
      </c>
      <c r="H84" s="11">
        <f t="shared" si="6"/>
        <v>0</v>
      </c>
      <c r="I84" s="10">
        <f t="shared" si="7"/>
        <v>0</v>
      </c>
      <c r="J84" s="10">
        <v>0</v>
      </c>
      <c r="K84" s="10">
        <f t="shared" si="8"/>
        <v>0</v>
      </c>
      <c r="L84" s="17">
        <v>0</v>
      </c>
      <c r="M84" s="18">
        <f t="shared" si="9"/>
        <v>0</v>
      </c>
      <c r="N84" s="19">
        <f t="shared" si="10"/>
        <v>0</v>
      </c>
      <c r="O84" s="20">
        <f t="shared" si="11"/>
        <v>0</v>
      </c>
    </row>
    <row r="85" spans="1:18" ht="18.75">
      <c r="A85" s="8">
        <v>164</v>
      </c>
      <c r="B85" s="8">
        <v>1005320430</v>
      </c>
      <c r="C85" s="47" t="s">
        <v>65</v>
      </c>
      <c r="D85" s="45"/>
      <c r="E85" s="10">
        <v>0</v>
      </c>
      <c r="F85" s="10">
        <v>0</v>
      </c>
      <c r="G85" s="39" t="s">
        <v>34</v>
      </c>
      <c r="H85" s="11">
        <f t="shared" si="6"/>
        <v>0</v>
      </c>
      <c r="I85" s="10">
        <f t="shared" si="7"/>
        <v>0</v>
      </c>
      <c r="J85" s="10">
        <v>0</v>
      </c>
      <c r="K85" s="10">
        <f t="shared" si="8"/>
        <v>0</v>
      </c>
      <c r="L85" s="17">
        <v>0</v>
      </c>
      <c r="M85" s="18">
        <f t="shared" si="9"/>
        <v>0</v>
      </c>
      <c r="N85" s="19">
        <f t="shared" si="10"/>
        <v>0</v>
      </c>
      <c r="O85" s="20">
        <f t="shared" si="11"/>
        <v>0</v>
      </c>
    </row>
    <row r="86" spans="1:18" ht="18.75">
      <c r="A86" s="9">
        <v>122</v>
      </c>
      <c r="B86" s="8">
        <v>1940099728</v>
      </c>
      <c r="C86" s="48" t="s">
        <v>43</v>
      </c>
      <c r="D86" s="49"/>
      <c r="E86" s="10">
        <v>0</v>
      </c>
      <c r="F86" s="10">
        <v>0</v>
      </c>
      <c r="G86" s="39" t="s">
        <v>34</v>
      </c>
      <c r="H86" s="11">
        <f t="shared" si="6"/>
        <v>0</v>
      </c>
      <c r="I86" s="10">
        <f t="shared" si="7"/>
        <v>0</v>
      </c>
      <c r="J86" s="10">
        <v>0</v>
      </c>
      <c r="K86" s="10">
        <f t="shared" si="8"/>
        <v>0</v>
      </c>
      <c r="L86" s="17">
        <v>0</v>
      </c>
      <c r="M86" s="18">
        <f t="shared" si="9"/>
        <v>0</v>
      </c>
      <c r="N86" s="19">
        <f t="shared" si="10"/>
        <v>0</v>
      </c>
      <c r="O86" s="20">
        <f t="shared" si="11"/>
        <v>0</v>
      </c>
      <c r="P86" s="40"/>
      <c r="Q86" s="40"/>
      <c r="R86" s="41"/>
    </row>
    <row r="87" spans="1:18" ht="18.75">
      <c r="A87" s="8">
        <v>179</v>
      </c>
      <c r="B87" s="8">
        <v>1412638269</v>
      </c>
      <c r="C87" s="48" t="s">
        <v>42</v>
      </c>
      <c r="D87" s="46"/>
      <c r="E87" s="10">
        <v>0</v>
      </c>
      <c r="F87" s="10">
        <v>0</v>
      </c>
      <c r="G87" s="39" t="s">
        <v>34</v>
      </c>
      <c r="H87" s="11">
        <f t="shared" si="6"/>
        <v>0</v>
      </c>
      <c r="I87" s="10">
        <f t="shared" si="7"/>
        <v>0</v>
      </c>
      <c r="J87" s="10">
        <v>0</v>
      </c>
      <c r="K87" s="10">
        <f t="shared" si="8"/>
        <v>0</v>
      </c>
      <c r="L87" s="17">
        <v>0</v>
      </c>
      <c r="M87" s="18">
        <f t="shared" si="9"/>
        <v>0</v>
      </c>
      <c r="N87" s="19">
        <f t="shared" si="10"/>
        <v>0</v>
      </c>
      <c r="O87" s="20">
        <f t="shared" si="11"/>
        <v>0</v>
      </c>
    </row>
    <row r="88" spans="1:18" ht="18.75">
      <c r="A88" s="8">
        <v>156</v>
      </c>
      <c r="B88" s="8">
        <v>1754610165</v>
      </c>
      <c r="C88" s="47" t="s">
        <v>88</v>
      </c>
      <c r="D88" s="45"/>
      <c r="E88" s="10">
        <v>0</v>
      </c>
      <c r="F88" s="10">
        <v>0</v>
      </c>
      <c r="G88" s="39" t="s">
        <v>34</v>
      </c>
      <c r="H88" s="11">
        <f t="shared" si="6"/>
        <v>0</v>
      </c>
      <c r="I88" s="10">
        <f t="shared" si="7"/>
        <v>0</v>
      </c>
      <c r="J88" s="10">
        <v>0</v>
      </c>
      <c r="K88" s="10">
        <f t="shared" si="8"/>
        <v>0</v>
      </c>
      <c r="L88" s="17">
        <v>-3.125</v>
      </c>
      <c r="M88" s="18">
        <f t="shared" si="9"/>
        <v>-3.125</v>
      </c>
      <c r="N88" s="19">
        <f t="shared" si="10"/>
        <v>0</v>
      </c>
      <c r="O88" s="20">
        <f t="shared" si="11"/>
        <v>-3.125</v>
      </c>
    </row>
    <row r="89" spans="1:18" ht="18.75">
      <c r="A89" s="8">
        <v>172</v>
      </c>
      <c r="B89" s="8">
        <v>724061220</v>
      </c>
      <c r="C89" s="47" t="s">
        <v>90</v>
      </c>
      <c r="D89" s="47" t="s">
        <v>71</v>
      </c>
      <c r="E89" s="10">
        <v>0</v>
      </c>
      <c r="F89" s="10">
        <v>0</v>
      </c>
      <c r="G89" s="39" t="s">
        <v>34</v>
      </c>
      <c r="H89" s="11">
        <f t="shared" si="6"/>
        <v>0</v>
      </c>
      <c r="I89" s="10">
        <f t="shared" si="7"/>
        <v>0</v>
      </c>
      <c r="J89" s="10">
        <v>0</v>
      </c>
      <c r="K89" s="10">
        <f t="shared" si="8"/>
        <v>0</v>
      </c>
      <c r="L89" s="17">
        <v>-3.125</v>
      </c>
      <c r="M89" s="18">
        <f t="shared" si="9"/>
        <v>-3.125</v>
      </c>
      <c r="N89" s="19">
        <f t="shared" si="10"/>
        <v>0</v>
      </c>
      <c r="O89" s="20">
        <f t="shared" si="11"/>
        <v>-3.125</v>
      </c>
    </row>
    <row r="90" spans="1:18" ht="18.75">
      <c r="A90" s="8">
        <v>195</v>
      </c>
      <c r="B90" s="8">
        <v>1634663314</v>
      </c>
      <c r="C90" s="47" t="s">
        <v>105</v>
      </c>
      <c r="D90" s="46"/>
      <c r="E90" s="10">
        <v>0</v>
      </c>
      <c r="F90" s="10">
        <v>0</v>
      </c>
      <c r="G90" s="39" t="s">
        <v>34</v>
      </c>
      <c r="H90" s="11">
        <f t="shared" si="6"/>
        <v>0</v>
      </c>
      <c r="I90" s="10">
        <f t="shared" si="7"/>
        <v>0</v>
      </c>
      <c r="J90" s="10">
        <v>0</v>
      </c>
      <c r="K90" s="10">
        <f t="shared" si="8"/>
        <v>0</v>
      </c>
      <c r="L90" s="17">
        <v>-3.125</v>
      </c>
      <c r="M90" s="18">
        <f t="shared" si="9"/>
        <v>-3.125</v>
      </c>
      <c r="N90" s="19">
        <f t="shared" si="10"/>
        <v>0</v>
      </c>
      <c r="O90" s="20">
        <f t="shared" si="11"/>
        <v>-3.125</v>
      </c>
    </row>
    <row r="91" spans="1:18" ht="18.75">
      <c r="A91" s="8">
        <v>194</v>
      </c>
      <c r="B91" s="8">
        <v>648785109</v>
      </c>
      <c r="C91" s="47" t="s">
        <v>104</v>
      </c>
      <c r="D91" s="46"/>
      <c r="E91" s="10">
        <v>0</v>
      </c>
      <c r="F91" s="10">
        <v>0</v>
      </c>
      <c r="G91" s="39" t="s">
        <v>34</v>
      </c>
      <c r="H91" s="11">
        <f t="shared" si="6"/>
        <v>0</v>
      </c>
      <c r="I91" s="10">
        <f t="shared" si="7"/>
        <v>0</v>
      </c>
      <c r="J91" s="10">
        <v>0</v>
      </c>
      <c r="K91" s="10">
        <f t="shared" si="8"/>
        <v>0</v>
      </c>
      <c r="L91" s="17">
        <v>-3.125</v>
      </c>
      <c r="M91" s="18">
        <f t="shared" si="9"/>
        <v>-3.125</v>
      </c>
      <c r="N91" s="19">
        <f t="shared" si="10"/>
        <v>0</v>
      </c>
      <c r="O91" s="20">
        <f t="shared" si="11"/>
        <v>-3.125</v>
      </c>
    </row>
    <row r="92" spans="1:18" ht="18.75">
      <c r="A92" s="8">
        <v>180</v>
      </c>
      <c r="B92" s="8">
        <v>24633249</v>
      </c>
      <c r="C92" s="48" t="s">
        <v>72</v>
      </c>
      <c r="D92" s="46"/>
      <c r="E92" s="10">
        <v>0</v>
      </c>
      <c r="F92" s="10">
        <v>0</v>
      </c>
      <c r="G92" s="39" t="s">
        <v>34</v>
      </c>
      <c r="H92" s="11">
        <f t="shared" si="6"/>
        <v>0</v>
      </c>
      <c r="I92" s="10">
        <f t="shared" si="7"/>
        <v>0</v>
      </c>
      <c r="J92" s="10">
        <v>0</v>
      </c>
      <c r="K92" s="10">
        <f t="shared" si="8"/>
        <v>0</v>
      </c>
      <c r="L92" s="17">
        <v>-3.125</v>
      </c>
      <c r="M92" s="18">
        <f t="shared" si="9"/>
        <v>-3.125</v>
      </c>
      <c r="N92" s="19">
        <f t="shared" si="10"/>
        <v>0</v>
      </c>
      <c r="O92" s="20">
        <f t="shared" si="11"/>
        <v>-3.125</v>
      </c>
    </row>
    <row r="93" spans="1:18" ht="18.75">
      <c r="A93" s="8">
        <v>174</v>
      </c>
      <c r="B93" s="8">
        <v>775720958</v>
      </c>
      <c r="C93" s="47" t="s">
        <v>116</v>
      </c>
      <c r="D93" s="47" t="s">
        <v>69</v>
      </c>
      <c r="E93" s="10">
        <v>0</v>
      </c>
      <c r="F93" s="10">
        <v>0</v>
      </c>
      <c r="G93" s="39" t="s">
        <v>34</v>
      </c>
      <c r="H93" s="11">
        <f t="shared" si="6"/>
        <v>0</v>
      </c>
      <c r="I93" s="10">
        <f t="shared" si="7"/>
        <v>0</v>
      </c>
      <c r="J93" s="10">
        <v>0</v>
      </c>
      <c r="K93" s="10">
        <f t="shared" si="8"/>
        <v>0</v>
      </c>
      <c r="L93" s="17">
        <v>-1.25</v>
      </c>
      <c r="M93" s="18">
        <f t="shared" si="9"/>
        <v>-1.25</v>
      </c>
      <c r="N93" s="19">
        <f t="shared" si="10"/>
        <v>0</v>
      </c>
      <c r="O93" s="20">
        <f t="shared" si="11"/>
        <v>-1.25</v>
      </c>
    </row>
    <row r="94" spans="1:18" ht="18.75">
      <c r="A94" s="8">
        <v>116</v>
      </c>
      <c r="B94" s="8">
        <v>2122596917</v>
      </c>
      <c r="C94" s="47" t="s">
        <v>82</v>
      </c>
      <c r="D94" s="48" t="s">
        <v>41</v>
      </c>
      <c r="E94" s="10">
        <v>0</v>
      </c>
      <c r="F94" s="10">
        <v>0</v>
      </c>
      <c r="G94" s="39" t="s">
        <v>34</v>
      </c>
      <c r="H94" s="11">
        <f t="shared" si="6"/>
        <v>0</v>
      </c>
      <c r="I94" s="10">
        <f t="shared" si="7"/>
        <v>0</v>
      </c>
      <c r="J94" s="10">
        <v>0</v>
      </c>
      <c r="K94" s="10">
        <f t="shared" si="8"/>
        <v>0</v>
      </c>
      <c r="L94" s="17">
        <v>-1.25</v>
      </c>
      <c r="M94" s="18">
        <f t="shared" si="9"/>
        <v>-1.25</v>
      </c>
      <c r="N94" s="19">
        <f t="shared" si="10"/>
        <v>0</v>
      </c>
      <c r="O94" s="20">
        <f t="shared" si="11"/>
        <v>-1.25</v>
      </c>
      <c r="P94" s="40"/>
      <c r="Q94" s="40"/>
      <c r="R94" s="42"/>
    </row>
    <row r="95" spans="1:18" ht="18.75">
      <c r="A95" s="8">
        <v>202</v>
      </c>
      <c r="B95" s="8">
        <v>471245585</v>
      </c>
      <c r="C95" s="47" t="s">
        <v>111</v>
      </c>
      <c r="D95" s="46"/>
      <c r="E95" s="10">
        <v>0</v>
      </c>
      <c r="F95" s="10">
        <v>0</v>
      </c>
      <c r="G95" s="39" t="s">
        <v>34</v>
      </c>
      <c r="H95" s="11">
        <f t="shared" si="6"/>
        <v>0</v>
      </c>
      <c r="I95" s="10">
        <f t="shared" si="7"/>
        <v>0</v>
      </c>
      <c r="J95" s="10">
        <v>0</v>
      </c>
      <c r="K95" s="10">
        <f t="shared" si="8"/>
        <v>0</v>
      </c>
      <c r="L95" s="17">
        <v>-1.25</v>
      </c>
      <c r="M95" s="18">
        <f t="shared" si="9"/>
        <v>-1.25</v>
      </c>
      <c r="N95" s="19">
        <f t="shared" si="10"/>
        <v>0</v>
      </c>
      <c r="O95" s="20">
        <f t="shared" si="11"/>
        <v>-1.25</v>
      </c>
    </row>
    <row r="96" spans="1:18" ht="18.75">
      <c r="A96" s="8">
        <v>193</v>
      </c>
      <c r="B96" s="8">
        <v>2125731287</v>
      </c>
      <c r="C96" s="47" t="s">
        <v>103</v>
      </c>
      <c r="D96" s="46"/>
      <c r="E96" s="10">
        <v>0</v>
      </c>
      <c r="F96" s="10">
        <v>0</v>
      </c>
      <c r="G96" s="39" t="s">
        <v>34</v>
      </c>
      <c r="H96" s="11">
        <f t="shared" si="6"/>
        <v>0</v>
      </c>
      <c r="I96" s="10">
        <f t="shared" si="7"/>
        <v>0</v>
      </c>
      <c r="J96" s="10">
        <v>0</v>
      </c>
      <c r="K96" s="10">
        <f t="shared" si="8"/>
        <v>0</v>
      </c>
      <c r="L96" s="17">
        <v>-1.25</v>
      </c>
      <c r="M96" s="18">
        <f t="shared" si="9"/>
        <v>-1.25</v>
      </c>
      <c r="N96" s="19">
        <f t="shared" si="10"/>
        <v>0</v>
      </c>
      <c r="O96" s="20">
        <f t="shared" si="11"/>
        <v>-1.25</v>
      </c>
    </row>
    <row r="97" spans="1:18" ht="18.75">
      <c r="A97" s="9">
        <v>15</v>
      </c>
      <c r="B97" s="8">
        <v>388960345</v>
      </c>
      <c r="C97" s="48" t="s">
        <v>11</v>
      </c>
      <c r="D97" s="49"/>
      <c r="E97" s="10">
        <v>0</v>
      </c>
      <c r="F97" s="10">
        <v>0</v>
      </c>
      <c r="G97" s="39" t="s">
        <v>34</v>
      </c>
      <c r="H97" s="11">
        <f t="shared" si="6"/>
        <v>0</v>
      </c>
      <c r="I97" s="10">
        <f t="shared" si="7"/>
        <v>0</v>
      </c>
      <c r="J97" s="10">
        <v>0</v>
      </c>
      <c r="K97" s="10">
        <f t="shared" si="8"/>
        <v>0</v>
      </c>
      <c r="L97" s="17">
        <v>0.625</v>
      </c>
      <c r="M97" s="18">
        <f t="shared" si="9"/>
        <v>0.625</v>
      </c>
      <c r="N97" s="19">
        <f t="shared" si="10"/>
        <v>0</v>
      </c>
      <c r="O97" s="20">
        <f t="shared" si="11"/>
        <v>0.625</v>
      </c>
      <c r="P97" s="40"/>
      <c r="Q97" s="40"/>
      <c r="R97" s="40"/>
    </row>
    <row r="98" spans="1:18" ht="18.75">
      <c r="A98" s="8">
        <v>185</v>
      </c>
      <c r="B98" s="8">
        <v>30705222</v>
      </c>
      <c r="C98" s="47" t="s">
        <v>95</v>
      </c>
      <c r="D98" s="46"/>
      <c r="E98" s="10">
        <v>0</v>
      </c>
      <c r="F98" s="10">
        <v>0</v>
      </c>
      <c r="G98" s="39" t="s">
        <v>34</v>
      </c>
      <c r="H98" s="11">
        <f t="shared" si="6"/>
        <v>0</v>
      </c>
      <c r="I98" s="10">
        <f t="shared" si="7"/>
        <v>0</v>
      </c>
      <c r="J98" s="10">
        <v>0</v>
      </c>
      <c r="K98" s="10">
        <f t="shared" si="8"/>
        <v>0</v>
      </c>
      <c r="L98" s="17">
        <v>0.625</v>
      </c>
      <c r="M98" s="18">
        <f t="shared" si="9"/>
        <v>0.625</v>
      </c>
      <c r="N98" s="19">
        <f t="shared" si="10"/>
        <v>0</v>
      </c>
      <c r="O98" s="20">
        <f t="shared" si="11"/>
        <v>0.625</v>
      </c>
    </row>
    <row r="99" spans="1:18" ht="18.75">
      <c r="A99" s="8">
        <v>178</v>
      </c>
      <c r="B99" s="8">
        <v>1059185275</v>
      </c>
      <c r="C99" s="47" t="s">
        <v>91</v>
      </c>
      <c r="D99" s="46"/>
      <c r="E99" s="10">
        <v>0</v>
      </c>
      <c r="F99" s="10">
        <v>0</v>
      </c>
      <c r="G99" s="39" t="s">
        <v>34</v>
      </c>
      <c r="H99" s="11">
        <f t="shared" si="6"/>
        <v>0</v>
      </c>
      <c r="I99" s="10">
        <f t="shared" si="7"/>
        <v>0</v>
      </c>
      <c r="J99" s="10">
        <v>0</v>
      </c>
      <c r="K99" s="10">
        <f t="shared" si="8"/>
        <v>0</v>
      </c>
      <c r="L99" s="17">
        <v>0.625</v>
      </c>
      <c r="M99" s="18">
        <f t="shared" si="9"/>
        <v>0.625</v>
      </c>
      <c r="N99" s="19">
        <f t="shared" si="10"/>
        <v>0</v>
      </c>
      <c r="O99" s="20">
        <f t="shared" si="11"/>
        <v>0.625</v>
      </c>
    </row>
    <row r="100" spans="1:18" ht="18.75">
      <c r="A100" s="8">
        <v>189</v>
      </c>
      <c r="B100" s="8">
        <v>522812489</v>
      </c>
      <c r="C100" s="47" t="s">
        <v>99</v>
      </c>
      <c r="D100" s="46"/>
      <c r="E100" s="10">
        <v>0</v>
      </c>
      <c r="F100" s="10">
        <v>0</v>
      </c>
      <c r="G100" s="39" t="s">
        <v>34</v>
      </c>
      <c r="H100" s="11">
        <f t="shared" ref="H100:H101" si="12">E100+IF(E100&gt;2,(E100-2)*0.5,0)</f>
        <v>0</v>
      </c>
      <c r="I100" s="10">
        <f t="shared" ref="I100:I101" si="13">F100/$T$15</f>
        <v>0</v>
      </c>
      <c r="J100" s="10">
        <v>0</v>
      </c>
      <c r="K100" s="10">
        <f t="shared" ref="K100:K101" si="14">SUM(I100+H100+J100)</f>
        <v>0</v>
      </c>
      <c r="L100" s="17">
        <v>0.625</v>
      </c>
      <c r="M100" s="18">
        <f t="shared" ref="M100:M101" si="15">K100+L100</f>
        <v>0.625</v>
      </c>
      <c r="N100" s="19">
        <f t="shared" ref="N100:N101" si="16">VLOOKUP(G100,$S$3:$T$11,2,FALSE)</f>
        <v>0</v>
      </c>
      <c r="O100" s="20">
        <f t="shared" ref="O100:O101" si="17">M100-N100</f>
        <v>0.625</v>
      </c>
      <c r="P100"/>
      <c r="Q100"/>
      <c r="R100"/>
    </row>
    <row r="101" spans="1:18" ht="18.75">
      <c r="A101" s="8">
        <v>207</v>
      </c>
      <c r="B101" s="8">
        <v>721273803</v>
      </c>
      <c r="C101" s="51" t="s">
        <v>124</v>
      </c>
      <c r="D101" s="46"/>
      <c r="E101" s="10">
        <v>0</v>
      </c>
      <c r="F101" s="10">
        <v>0</v>
      </c>
      <c r="G101" s="39" t="s">
        <v>34</v>
      </c>
      <c r="H101" s="11">
        <f t="shared" si="12"/>
        <v>0</v>
      </c>
      <c r="I101" s="10">
        <f t="shared" si="13"/>
        <v>0</v>
      </c>
      <c r="J101" s="10">
        <v>0</v>
      </c>
      <c r="K101" s="10">
        <f t="shared" si="14"/>
        <v>0</v>
      </c>
      <c r="L101" s="17">
        <v>0.625</v>
      </c>
      <c r="M101" s="18">
        <f t="shared" si="15"/>
        <v>0.625</v>
      </c>
      <c r="N101" s="19">
        <f t="shared" si="16"/>
        <v>0</v>
      </c>
      <c r="O101" s="20">
        <f t="shared" si="17"/>
        <v>0.625</v>
      </c>
      <c r="P101"/>
      <c r="Q101"/>
      <c r="R101"/>
    </row>
  </sheetData>
  <sortState ref="A5:R34">
    <sortCondition descending="1" ref="M5:M34"/>
  </sortState>
  <mergeCells count="4">
    <mergeCell ref="A1:O1"/>
    <mergeCell ref="A2:O2"/>
    <mergeCell ref="A3:D3"/>
    <mergeCell ref="G3:O3"/>
  </mergeCells>
  <phoneticPr fontId="13" type="noConversion"/>
  <conditionalFormatting sqref="J84 J86 J89 J91 J93:J94 J96 J98 J100:J101 J36:J82 E34:F101 J34 J28:J31 J5:J26 E5:F31">
    <cfRule type="cellIs" dxfId="16" priority="4" operator="lessThan">
      <formula>1</formula>
    </cfRule>
  </conditionalFormatting>
  <conditionalFormatting sqref="J83 J85 J87:J88 J90 J92 J95 J97 J99 J35">
    <cfRule type="cellIs" dxfId="15" priority="5" operator="lessThan">
      <formula>1</formula>
    </cfRule>
  </conditionalFormatting>
  <conditionalFormatting sqref="J27">
    <cfRule type="cellIs" dxfId="14" priority="3" operator="lessThan">
      <formula>1</formula>
    </cfRule>
  </conditionalFormatting>
  <conditionalFormatting sqref="E32:F32 J32">
    <cfRule type="cellIs" dxfId="13" priority="2" operator="lessThan">
      <formula>1</formula>
    </cfRule>
  </conditionalFormatting>
  <conditionalFormatting sqref="E33:F33 J33">
    <cfRule type="cellIs" dxfId="12" priority="1" operator="lessThan">
      <formula>1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tabSelected="1" topLeftCell="A3" workbookViewId="0">
      <selection activeCell="G29" sqref="G29"/>
    </sheetView>
  </sheetViews>
  <sheetFormatPr defaultRowHeight="13.5"/>
  <cols>
    <col min="1" max="1" width="6.625" style="4" customWidth="1"/>
    <col min="2" max="2" width="19.75" style="5" customWidth="1"/>
    <col min="3" max="3" width="21.25" style="5" customWidth="1"/>
    <col min="4" max="4" width="18.375" style="4" customWidth="1"/>
    <col min="5" max="5" width="13.125" style="4" customWidth="1"/>
    <col min="6" max="6" width="13.75" style="4" customWidth="1"/>
    <col min="7" max="7" width="20" style="4" customWidth="1"/>
    <col min="8" max="8" width="9" style="4" customWidth="1"/>
    <col min="9" max="9" width="12.125" style="4" customWidth="1"/>
    <col min="10" max="10" width="8.5" style="4" customWidth="1"/>
    <col min="11" max="11" width="9" style="4" customWidth="1"/>
    <col min="12" max="12" width="11.125" style="4" customWidth="1"/>
    <col min="13" max="13" width="10.5" style="4" customWidth="1"/>
    <col min="14" max="14" width="9.25" style="4" customWidth="1"/>
    <col min="15" max="15" width="12.625" style="4" customWidth="1"/>
    <col min="16" max="18" width="11.125" style="21" customWidth="1"/>
    <col min="19" max="19" width="30.5" customWidth="1"/>
  </cols>
  <sheetData>
    <row r="1" spans="1:24" ht="20.25" hidden="1" customHeight="1">
      <c r="A1" s="80" t="str">
        <f>CONCATENATE("157区 活动中心",T16,"年",T17,"月",T18,"日","分包贡献明细"," 统计：二三傻")</f>
        <v>157区 活动中心2020年9月27日分包贡献明细 统计：二三傻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57"/>
      <c r="Q1" s="57"/>
      <c r="R1" s="57"/>
      <c r="S1" s="22" t="s">
        <v>17</v>
      </c>
      <c r="T1" s="5">
        <v>55</v>
      </c>
      <c r="U1" s="3"/>
      <c r="V1" s="3"/>
      <c r="W1" s="3"/>
      <c r="X1" s="3"/>
    </row>
    <row r="2" spans="1:24" ht="123" hidden="1" customHeight="1">
      <c r="A2" s="82" t="s">
        <v>64</v>
      </c>
      <c r="B2" s="83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58"/>
      <c r="Q2" s="58"/>
      <c r="R2" s="58"/>
      <c r="S2" s="23" t="s">
        <v>0</v>
      </c>
      <c r="T2" s="24" t="s">
        <v>18</v>
      </c>
      <c r="U2" s="25" t="s">
        <v>19</v>
      </c>
      <c r="V2" s="25" t="s">
        <v>20</v>
      </c>
      <c r="W2" s="25" t="s">
        <v>74</v>
      </c>
      <c r="X2" s="26" t="s">
        <v>21</v>
      </c>
    </row>
    <row r="3" spans="1:24" ht="20.25">
      <c r="A3" s="85" t="s">
        <v>26</v>
      </c>
      <c r="B3" s="85"/>
      <c r="C3" s="85"/>
      <c r="D3" s="85"/>
      <c r="E3" s="59" t="s">
        <v>22</v>
      </c>
      <c r="F3" s="60" t="s">
        <v>48</v>
      </c>
      <c r="G3" s="86" t="s">
        <v>27</v>
      </c>
      <c r="H3" s="87"/>
      <c r="I3" s="87"/>
      <c r="J3" s="87"/>
      <c r="K3" s="87"/>
      <c r="L3" s="87"/>
      <c r="M3" s="87"/>
      <c r="N3" s="87"/>
      <c r="O3" s="88"/>
      <c r="P3" s="56"/>
      <c r="Q3" s="56"/>
      <c r="R3" s="56"/>
      <c r="S3" s="27" t="s">
        <v>154</v>
      </c>
      <c r="T3" s="28">
        <f>X3/$T$14</f>
        <v>11.875</v>
      </c>
      <c r="U3" s="23">
        <v>5</v>
      </c>
      <c r="V3" s="23">
        <v>7</v>
      </c>
      <c r="W3" s="23">
        <v>20</v>
      </c>
      <c r="X3" s="23">
        <v>1900</v>
      </c>
    </row>
    <row r="4" spans="1:24" ht="40.5">
      <c r="A4" s="79" t="s">
        <v>2</v>
      </c>
      <c r="B4" s="55" t="s">
        <v>28</v>
      </c>
      <c r="C4" s="79" t="s">
        <v>3</v>
      </c>
      <c r="D4" s="79" t="s">
        <v>4</v>
      </c>
      <c r="E4" s="6" t="s">
        <v>49</v>
      </c>
      <c r="F4" s="7" t="s">
        <v>50</v>
      </c>
      <c r="G4" s="6" t="s">
        <v>5</v>
      </c>
      <c r="H4" s="6" t="s">
        <v>29</v>
      </c>
      <c r="I4" s="7" t="s">
        <v>51</v>
      </c>
      <c r="J4" s="7" t="s">
        <v>56</v>
      </c>
      <c r="K4" s="15" t="s">
        <v>30</v>
      </c>
      <c r="L4" s="55" t="s">
        <v>31</v>
      </c>
      <c r="M4" s="16" t="s">
        <v>7</v>
      </c>
      <c r="N4" s="55" t="s">
        <v>6</v>
      </c>
      <c r="O4" s="55" t="s">
        <v>32</v>
      </c>
      <c r="P4" s="55" t="s">
        <v>23</v>
      </c>
      <c r="Q4" s="55" t="s">
        <v>170</v>
      </c>
      <c r="R4" s="55" t="s">
        <v>1</v>
      </c>
      <c r="S4" s="29" t="s">
        <v>155</v>
      </c>
      <c r="T4" s="28">
        <f>X4/$T$14</f>
        <v>9.6875</v>
      </c>
      <c r="U4" s="23">
        <v>4</v>
      </c>
      <c r="V4" s="23">
        <v>6</v>
      </c>
      <c r="W4" s="23">
        <v>15</v>
      </c>
      <c r="X4" s="23">
        <v>1550</v>
      </c>
    </row>
    <row r="5" spans="1:24" ht="18.75">
      <c r="A5" s="9">
        <v>49</v>
      </c>
      <c r="B5" s="8">
        <v>311361673</v>
      </c>
      <c r="C5" s="48" t="s">
        <v>126</v>
      </c>
      <c r="D5" s="49" t="s">
        <v>125</v>
      </c>
      <c r="E5" s="10">
        <v>2</v>
      </c>
      <c r="F5" s="10">
        <v>70</v>
      </c>
      <c r="G5" s="14" t="s">
        <v>158</v>
      </c>
      <c r="H5" s="11">
        <f>E5+IF(E5&gt;2,(E5-2)*0.5,0)</f>
        <v>2</v>
      </c>
      <c r="I5" s="10">
        <f>F5/$T$15</f>
        <v>1.4</v>
      </c>
      <c r="J5" s="10">
        <v>0</v>
      </c>
      <c r="K5" s="10">
        <f>SUM(I5+H5+J5)</f>
        <v>3.4</v>
      </c>
      <c r="L5" s="17">
        <v>37.799999999999997</v>
      </c>
      <c r="M5" s="18">
        <f>K5+L5</f>
        <v>41.199999999999996</v>
      </c>
      <c r="N5" s="19">
        <f>VLOOKUP(G5,$S$3:$T$11,2,FALSE)</f>
        <v>4.375</v>
      </c>
      <c r="O5" s="20">
        <f>M5-N5</f>
        <v>36.824999999999996</v>
      </c>
      <c r="P5" s="40"/>
      <c r="Q5" s="40"/>
    </row>
    <row r="6" spans="1:24" ht="18.75">
      <c r="A6" s="8"/>
      <c r="B6" s="8">
        <v>700083217</v>
      </c>
      <c r="C6" s="47" t="s">
        <v>137</v>
      </c>
      <c r="D6" s="46"/>
      <c r="E6" s="10">
        <v>3</v>
      </c>
      <c r="F6" s="10">
        <v>60</v>
      </c>
      <c r="G6" s="12" t="s">
        <v>156</v>
      </c>
      <c r="H6" s="11">
        <f>E6+IF(E6&gt;2,(E6-2)*0.5,0)</f>
        <v>3.5</v>
      </c>
      <c r="I6" s="10">
        <f>F6/$T$15</f>
        <v>1.2</v>
      </c>
      <c r="J6" s="10">
        <v>0</v>
      </c>
      <c r="K6" s="10">
        <f>SUM(I6+H6+J6)</f>
        <v>4.7</v>
      </c>
      <c r="L6" s="17">
        <v>6.75</v>
      </c>
      <c r="M6" s="18">
        <f>K6+L6</f>
        <v>11.45</v>
      </c>
      <c r="N6" s="19">
        <f>VLOOKUP(G6,$S$3:$T$11,2,FALSE)</f>
        <v>8.125</v>
      </c>
      <c r="O6" s="20">
        <f>M6-N6</f>
        <v>3.3249999999999993</v>
      </c>
      <c r="P6" s="11"/>
      <c r="Q6" s="11"/>
      <c r="R6" s="31"/>
      <c r="S6" s="14" t="s">
        <v>33</v>
      </c>
      <c r="T6" s="28">
        <f>X6/$T$14</f>
        <v>7.5</v>
      </c>
      <c r="U6" s="30">
        <v>3</v>
      </c>
      <c r="V6" s="30">
        <v>5</v>
      </c>
      <c r="W6" s="30">
        <v>10</v>
      </c>
      <c r="X6" s="30">
        <v>1200</v>
      </c>
    </row>
    <row r="7" spans="1:24" ht="18.75">
      <c r="A7" s="8"/>
      <c r="B7" s="8">
        <v>1333428907</v>
      </c>
      <c r="C7" s="47" t="s">
        <v>172</v>
      </c>
      <c r="D7" s="47" t="s">
        <v>150</v>
      </c>
      <c r="E7" s="10">
        <v>3</v>
      </c>
      <c r="F7" s="10">
        <v>70</v>
      </c>
      <c r="G7" s="12" t="s">
        <v>156</v>
      </c>
      <c r="H7" s="11">
        <f>E7+IF(E7&gt;2,(E7-2)*0.5,0)</f>
        <v>3.5</v>
      </c>
      <c r="I7" s="10">
        <f>F7/$T$15</f>
        <v>1.4</v>
      </c>
      <c r="J7" s="10">
        <v>0</v>
      </c>
      <c r="K7" s="10">
        <f>SUM(I7+H7+J7)</f>
        <v>4.9000000000000004</v>
      </c>
      <c r="L7" s="17">
        <v>5.2250000000000005</v>
      </c>
      <c r="M7" s="18">
        <f>K7+L7</f>
        <v>10.125</v>
      </c>
      <c r="N7" s="19">
        <f>VLOOKUP(G7,$S$3:$T$11,2,FALSE)</f>
        <v>8.125</v>
      </c>
      <c r="O7" s="20">
        <f>M7-N7</f>
        <v>2</v>
      </c>
      <c r="P7" s="4"/>
      <c r="Q7" s="4"/>
      <c r="R7" s="4"/>
      <c r="S7" s="14"/>
      <c r="T7" s="28"/>
      <c r="U7" s="30"/>
      <c r="V7" s="30"/>
      <c r="W7" s="30"/>
      <c r="X7" s="30"/>
    </row>
    <row r="8" spans="1:24" ht="18.75">
      <c r="A8" s="8"/>
      <c r="B8" s="8">
        <v>353335311</v>
      </c>
      <c r="C8" s="48" t="s">
        <v>164</v>
      </c>
      <c r="D8" s="46"/>
      <c r="E8" s="10">
        <v>3</v>
      </c>
      <c r="F8" s="10">
        <v>60</v>
      </c>
      <c r="G8" s="12" t="s">
        <v>156</v>
      </c>
      <c r="H8" s="11">
        <f>E8+IF(E8&gt;2,(E8-2)*0.5,0)</f>
        <v>3.5</v>
      </c>
      <c r="I8" s="10">
        <f>F8/$T$15</f>
        <v>1.2</v>
      </c>
      <c r="J8" s="10">
        <v>0</v>
      </c>
      <c r="K8" s="10">
        <f>SUM(I8+H8+J8)</f>
        <v>4.7</v>
      </c>
      <c r="L8" s="17">
        <v>5.0500000000000016</v>
      </c>
      <c r="M8" s="18">
        <f>K8+L8</f>
        <v>9.7500000000000018</v>
      </c>
      <c r="N8" s="19">
        <f>VLOOKUP(G8,$S$3:$T$11,2,FALSE)</f>
        <v>8.125</v>
      </c>
      <c r="O8" s="20">
        <f>M8-N8</f>
        <v>1.6250000000000018</v>
      </c>
      <c r="P8" s="4"/>
      <c r="Q8" s="4"/>
      <c r="R8" s="4"/>
      <c r="S8" s="12" t="s">
        <v>156</v>
      </c>
      <c r="T8" s="28">
        <f>X8/$T$14</f>
        <v>8.125</v>
      </c>
      <c r="U8" s="30">
        <v>4</v>
      </c>
      <c r="V8" s="30">
        <v>5</v>
      </c>
      <c r="W8" s="30"/>
      <c r="X8" s="30">
        <v>1300</v>
      </c>
    </row>
    <row r="9" spans="1:24" ht="18.75">
      <c r="A9" s="8"/>
      <c r="B9" s="8">
        <v>2134752758</v>
      </c>
      <c r="C9" s="47" t="s">
        <v>139</v>
      </c>
      <c r="D9" s="46"/>
      <c r="E9" s="10">
        <v>0</v>
      </c>
      <c r="F9" s="10">
        <v>50</v>
      </c>
      <c r="G9" s="39" t="s">
        <v>34</v>
      </c>
      <c r="H9" s="11">
        <f>E9+IF(E9&gt;2,(E9-2)*0.5,0)</f>
        <v>0</v>
      </c>
      <c r="I9" s="10">
        <f>F9/$T$15</f>
        <v>1</v>
      </c>
      <c r="J9" s="10">
        <v>0</v>
      </c>
      <c r="K9" s="10">
        <f>SUM(I9+H9+J9)</f>
        <v>1</v>
      </c>
      <c r="L9" s="17">
        <v>8.5499999999999989</v>
      </c>
      <c r="M9" s="18">
        <f>K9+L9</f>
        <v>9.5499999999999989</v>
      </c>
      <c r="N9" s="19">
        <f>VLOOKUP(G9,$S$3:$T$11,2,FALSE)</f>
        <v>0</v>
      </c>
      <c r="O9" s="20">
        <f>M9-N9</f>
        <v>9.5499999999999989</v>
      </c>
      <c r="P9" s="11"/>
      <c r="Q9" s="11"/>
      <c r="R9" s="11"/>
      <c r="S9" s="13" t="s">
        <v>157</v>
      </c>
      <c r="T9" s="28">
        <f>X9/$T$14</f>
        <v>6.25</v>
      </c>
      <c r="U9" s="30">
        <v>3</v>
      </c>
      <c r="V9" s="30">
        <v>4</v>
      </c>
      <c r="W9" s="30"/>
      <c r="X9" s="30">
        <v>1000</v>
      </c>
    </row>
    <row r="10" spans="1:24" ht="18.75">
      <c r="A10" s="9"/>
      <c r="B10" s="8">
        <v>910452107</v>
      </c>
      <c r="C10" s="48" t="s">
        <v>129</v>
      </c>
      <c r="D10" s="49"/>
      <c r="E10" s="10">
        <v>2</v>
      </c>
      <c r="F10" s="10">
        <v>60</v>
      </c>
      <c r="G10" s="13" t="s">
        <v>157</v>
      </c>
      <c r="H10" s="11">
        <f>E10+IF(E10&gt;2,(E10-2)*0.5,0)</f>
        <v>2</v>
      </c>
      <c r="I10" s="10">
        <f>F10/$T$15</f>
        <v>1.2</v>
      </c>
      <c r="J10" s="10">
        <v>0</v>
      </c>
      <c r="K10" s="10">
        <f>SUM(I10+H10+J10)</f>
        <v>3.2</v>
      </c>
      <c r="L10" s="17">
        <v>5.9749999999999996</v>
      </c>
      <c r="M10" s="18">
        <f>K10+L10</f>
        <v>9.1750000000000007</v>
      </c>
      <c r="N10" s="19">
        <f>VLOOKUP(G10,$S$3:$T$11,2,FALSE)</f>
        <v>6.25</v>
      </c>
      <c r="O10" s="20">
        <f>M10-N10</f>
        <v>2.9250000000000007</v>
      </c>
      <c r="P10" s="11"/>
      <c r="Q10" s="11"/>
      <c r="R10" s="31"/>
      <c r="S10" s="14" t="s">
        <v>158</v>
      </c>
      <c r="T10" s="28">
        <f>X10/$T$14</f>
        <v>4.375</v>
      </c>
      <c r="U10" s="30">
        <v>2</v>
      </c>
      <c r="V10" s="30">
        <v>3</v>
      </c>
      <c r="W10" s="30"/>
      <c r="X10" s="30">
        <v>700</v>
      </c>
    </row>
    <row r="11" spans="1:24" ht="18.75">
      <c r="A11" s="8"/>
      <c r="B11" s="8">
        <v>610681537</v>
      </c>
      <c r="C11" s="47" t="s">
        <v>153</v>
      </c>
      <c r="D11" s="46"/>
      <c r="E11" s="10">
        <v>0</v>
      </c>
      <c r="F11" s="10">
        <v>60</v>
      </c>
      <c r="G11" s="39" t="s">
        <v>34</v>
      </c>
      <c r="H11" s="11">
        <f>E11+IF(E11&gt;2,(E11-2)*0.5,0)</f>
        <v>0</v>
      </c>
      <c r="I11" s="10">
        <f>F11/$T$15</f>
        <v>1.2</v>
      </c>
      <c r="J11" s="10">
        <v>0</v>
      </c>
      <c r="K11" s="10">
        <f>SUM(I11+H11+J11)</f>
        <v>1.2</v>
      </c>
      <c r="L11" s="17">
        <v>7.96</v>
      </c>
      <c r="M11" s="18">
        <f>K11+L11</f>
        <v>9.16</v>
      </c>
      <c r="N11" s="19">
        <f>VLOOKUP(G11,$S$3:$T$11,2,FALSE)</f>
        <v>0</v>
      </c>
      <c r="O11" s="20">
        <f>M11-N11</f>
        <v>9.16</v>
      </c>
      <c r="P11" s="4"/>
      <c r="Q11" s="4"/>
      <c r="R11" s="4"/>
      <c r="S11" s="33" t="s">
        <v>34</v>
      </c>
      <c r="T11" s="2">
        <v>0</v>
      </c>
      <c r="U11" s="2"/>
      <c r="V11" s="2"/>
      <c r="W11" s="2"/>
      <c r="X11" s="2"/>
    </row>
    <row r="12" spans="1:24" ht="18.75">
      <c r="A12" s="8">
        <v>181</v>
      </c>
      <c r="B12" s="8">
        <v>1467442697</v>
      </c>
      <c r="C12" s="47" t="s">
        <v>175</v>
      </c>
      <c r="D12" s="47" t="s">
        <v>73</v>
      </c>
      <c r="E12" s="10">
        <v>0</v>
      </c>
      <c r="F12" s="10">
        <v>60</v>
      </c>
      <c r="G12" s="39" t="s">
        <v>34</v>
      </c>
      <c r="H12" s="11">
        <f>E12+IF(E12&gt;2,(E12-2)*0.5,0)</f>
        <v>0</v>
      </c>
      <c r="I12" s="10">
        <f>F12/$T$15</f>
        <v>1.2</v>
      </c>
      <c r="J12" s="10">
        <v>0</v>
      </c>
      <c r="K12" s="10">
        <f>SUM(I12+H12+J12)</f>
        <v>1.2</v>
      </c>
      <c r="L12" s="17">
        <v>7.44</v>
      </c>
      <c r="M12" s="18">
        <f>K12+L12</f>
        <v>8.64</v>
      </c>
      <c r="N12" s="19">
        <f>VLOOKUP(G12,$S$3:$T$11,2,FALSE)</f>
        <v>0</v>
      </c>
      <c r="O12" s="20">
        <f>M12-N12</f>
        <v>8.64</v>
      </c>
      <c r="P12" s="4"/>
      <c r="Q12" s="4"/>
      <c r="R12" s="4"/>
      <c r="S12" s="34"/>
      <c r="T12" s="1"/>
      <c r="U12" s="1"/>
      <c r="V12" s="1"/>
      <c r="W12" s="1"/>
      <c r="X12" s="1"/>
    </row>
    <row r="13" spans="1:24" ht="18.75">
      <c r="A13" s="8">
        <v>200</v>
      </c>
      <c r="B13" s="8">
        <v>967589156</v>
      </c>
      <c r="C13" s="47" t="s">
        <v>109</v>
      </c>
      <c r="D13" s="46"/>
      <c r="E13" s="10">
        <v>3</v>
      </c>
      <c r="F13" s="10">
        <v>60</v>
      </c>
      <c r="G13" s="13" t="s">
        <v>157</v>
      </c>
      <c r="H13" s="11">
        <f>E13+IF(E13&gt;2,(E13-2)*0.5,0)</f>
        <v>3.5</v>
      </c>
      <c r="I13" s="10">
        <f>F13/$T$15</f>
        <v>1.2</v>
      </c>
      <c r="J13" s="10">
        <v>0</v>
      </c>
      <c r="K13" s="10">
        <f>SUM(I13+H13+J13)</f>
        <v>4.7</v>
      </c>
      <c r="L13" s="17">
        <v>2.9750000000000005</v>
      </c>
      <c r="M13" s="18">
        <f>K13+L13</f>
        <v>7.6750000000000007</v>
      </c>
      <c r="N13" s="19">
        <f>VLOOKUP(G13,$S$3:$T$11,2,FALSE)</f>
        <v>6.25</v>
      </c>
      <c r="O13" s="20">
        <f>M13-N13</f>
        <v>1.4250000000000007</v>
      </c>
      <c r="P13" s="4"/>
      <c r="Q13" s="4"/>
      <c r="R13" s="4"/>
      <c r="S13" s="35" t="s">
        <v>36</v>
      </c>
      <c r="T13" s="1">
        <v>15000</v>
      </c>
      <c r="U13" s="1"/>
      <c r="V13" s="1"/>
      <c r="W13" s="1"/>
      <c r="X13" s="1"/>
    </row>
    <row r="14" spans="1:24" ht="18.75">
      <c r="A14" s="8"/>
      <c r="B14" s="8">
        <v>862532360</v>
      </c>
      <c r="C14" s="47" t="s">
        <v>173</v>
      </c>
      <c r="D14" s="47"/>
      <c r="E14" s="10">
        <v>3</v>
      </c>
      <c r="F14" s="10">
        <v>60</v>
      </c>
      <c r="G14" s="13" t="s">
        <v>157</v>
      </c>
      <c r="H14" s="11">
        <f>E14+IF(E14&gt;2,(E14-2)*0.5,0)</f>
        <v>3.5</v>
      </c>
      <c r="I14" s="10">
        <f>F14/$T$15</f>
        <v>1.2</v>
      </c>
      <c r="J14" s="10">
        <v>0</v>
      </c>
      <c r="K14" s="10">
        <f>SUM(I14+H14+J14)</f>
        <v>4.7</v>
      </c>
      <c r="L14" s="17">
        <v>2.9050000000000011</v>
      </c>
      <c r="M14" s="18">
        <f>K14+L14</f>
        <v>7.6050000000000013</v>
      </c>
      <c r="N14" s="19">
        <f>VLOOKUP(G14,$S$3:$T$11,2,FALSE)</f>
        <v>6.25</v>
      </c>
      <c r="O14" s="20">
        <f>M14-N14</f>
        <v>1.3550000000000013</v>
      </c>
      <c r="P14" s="4"/>
      <c r="Q14" s="4"/>
      <c r="R14" s="4"/>
      <c r="S14" s="36" t="s">
        <v>37</v>
      </c>
      <c r="T14" s="37">
        <v>160</v>
      </c>
      <c r="U14" s="1"/>
      <c r="V14" s="1"/>
      <c r="W14" s="1"/>
      <c r="X14" s="1"/>
    </row>
    <row r="15" spans="1:24" ht="18.75">
      <c r="A15" s="8"/>
      <c r="B15" s="8">
        <v>1963965829</v>
      </c>
      <c r="C15" s="47" t="s">
        <v>174</v>
      </c>
      <c r="D15" s="45"/>
      <c r="E15" s="10">
        <v>0</v>
      </c>
      <c r="F15" s="10">
        <v>60</v>
      </c>
      <c r="G15" s="39" t="s">
        <v>34</v>
      </c>
      <c r="H15" s="11">
        <f>E15+IF(E15&gt;2,(E15-2)*0.5,0)</f>
        <v>0</v>
      </c>
      <c r="I15" s="10">
        <f>F15/$T$15</f>
        <v>1.2</v>
      </c>
      <c r="J15" s="10">
        <v>0</v>
      </c>
      <c r="K15" s="10">
        <f>SUM(I15+H15+J15)</f>
        <v>1.2</v>
      </c>
      <c r="L15" s="17">
        <v>6.08</v>
      </c>
      <c r="M15" s="18">
        <f>K15+L15</f>
        <v>7.28</v>
      </c>
      <c r="N15" s="19">
        <f>VLOOKUP(G15,$S$3:$T$11,2,FALSE)</f>
        <v>0</v>
      </c>
      <c r="O15" s="20">
        <f>M15-N15</f>
        <v>7.28</v>
      </c>
      <c r="P15" s="11"/>
      <c r="Q15" s="11"/>
      <c r="R15" s="11"/>
      <c r="S15" s="38" t="s">
        <v>52</v>
      </c>
      <c r="T15" s="37">
        <v>50</v>
      </c>
      <c r="U15" s="1"/>
      <c r="V15" s="1"/>
      <c r="W15" s="1"/>
      <c r="X15" s="1"/>
    </row>
    <row r="16" spans="1:24" ht="18.75">
      <c r="A16" s="8"/>
      <c r="B16" s="8">
        <v>863510644</v>
      </c>
      <c r="C16" s="47" t="s">
        <v>141</v>
      </c>
      <c r="D16" s="47"/>
      <c r="E16" s="10">
        <v>0</v>
      </c>
      <c r="F16" s="10">
        <v>60</v>
      </c>
      <c r="G16" s="39" t="s">
        <v>34</v>
      </c>
      <c r="H16" s="11">
        <f>E16+IF(E16&gt;2,(E16-2)*0.5,0)</f>
        <v>0</v>
      </c>
      <c r="I16" s="10">
        <f>F16/$T$15</f>
        <v>1.2</v>
      </c>
      <c r="J16" s="10">
        <v>0</v>
      </c>
      <c r="K16" s="10">
        <f>SUM(I16+H16+J16)</f>
        <v>1.2</v>
      </c>
      <c r="L16" s="17">
        <v>5.6</v>
      </c>
      <c r="M16" s="18">
        <f>K16+L16</f>
        <v>6.8</v>
      </c>
      <c r="N16" s="19">
        <f>VLOOKUP(G16,$S$3:$T$11,2,FALSE)</f>
        <v>0</v>
      </c>
      <c r="O16" s="20">
        <f>M16-N16</f>
        <v>6.8</v>
      </c>
      <c r="P16" s="11"/>
      <c r="Q16" s="11"/>
      <c r="R16" s="11"/>
      <c r="S16" s="1" t="s">
        <v>38</v>
      </c>
      <c r="T16" s="37">
        <v>2020</v>
      </c>
      <c r="U16" s="1"/>
      <c r="V16" s="1"/>
      <c r="W16" s="1"/>
      <c r="X16" s="1"/>
    </row>
    <row r="17" spans="1:24" ht="18.75">
      <c r="A17" s="8"/>
      <c r="B17" s="8">
        <v>1176673438</v>
      </c>
      <c r="C17" s="48" t="s">
        <v>167</v>
      </c>
      <c r="D17" s="46"/>
      <c r="E17" s="10">
        <v>3</v>
      </c>
      <c r="F17" s="10">
        <v>60</v>
      </c>
      <c r="G17" s="13" t="s">
        <v>157</v>
      </c>
      <c r="H17" s="11">
        <f>E17+IF(E17&gt;2,(E17-2)*0.5,0)</f>
        <v>3.5</v>
      </c>
      <c r="I17" s="10">
        <f>F17/$T$15</f>
        <v>1.2</v>
      </c>
      <c r="J17" s="10">
        <v>0</v>
      </c>
      <c r="K17" s="10">
        <f>SUM(I17+H17+J17)</f>
        <v>4.7</v>
      </c>
      <c r="L17" s="17">
        <v>2.0749999999999993</v>
      </c>
      <c r="M17" s="18">
        <f>K17+L17</f>
        <v>6.7749999999999995</v>
      </c>
      <c r="N17" s="19">
        <f>VLOOKUP(G17,$S$3:$T$11,2,FALSE)</f>
        <v>6.25</v>
      </c>
      <c r="O17" s="20">
        <f>M17-N17</f>
        <v>0.52499999999999947</v>
      </c>
      <c r="P17" s="4"/>
      <c r="Q17" s="4"/>
      <c r="R17" s="4"/>
      <c r="S17" s="1" t="s">
        <v>39</v>
      </c>
      <c r="T17" s="37">
        <v>9</v>
      </c>
      <c r="U17" s="1"/>
      <c r="V17" s="1"/>
      <c r="W17" s="1"/>
      <c r="X17" s="1"/>
    </row>
    <row r="18" spans="1:24" ht="18.75">
      <c r="A18" s="9"/>
      <c r="B18" s="8">
        <v>1078240937</v>
      </c>
      <c r="C18" s="48" t="s">
        <v>148</v>
      </c>
      <c r="D18" s="49" t="s">
        <v>149</v>
      </c>
      <c r="E18" s="10">
        <v>0</v>
      </c>
      <c r="F18" s="10">
        <v>60</v>
      </c>
      <c r="G18" s="39" t="s">
        <v>34</v>
      </c>
      <c r="H18" s="11">
        <f>E18+IF(E18&gt;2,(E18-2)*0.5,0)</f>
        <v>0</v>
      </c>
      <c r="I18" s="10">
        <f>F18/$T$15</f>
        <v>1.2</v>
      </c>
      <c r="J18" s="10">
        <v>0</v>
      </c>
      <c r="K18" s="10">
        <f>SUM(I18+H18+J18)</f>
        <v>1.2</v>
      </c>
      <c r="L18" s="17">
        <v>5.4499999999999993</v>
      </c>
      <c r="M18" s="18">
        <f>K18+L18</f>
        <v>6.6499999999999995</v>
      </c>
      <c r="N18" s="19">
        <f>VLOOKUP(G18,$S$3:$T$11,2,FALSE)</f>
        <v>0</v>
      </c>
      <c r="O18" s="20">
        <f>M18-N18</f>
        <v>6.6499999999999995</v>
      </c>
      <c r="P18" s="11"/>
      <c r="Q18" s="11"/>
      <c r="R18" s="32"/>
      <c r="S18" s="1" t="s">
        <v>40</v>
      </c>
      <c r="T18" s="37">
        <v>27</v>
      </c>
    </row>
    <row r="19" spans="1:24" ht="18.75">
      <c r="A19" s="8">
        <v>173</v>
      </c>
      <c r="B19" s="8">
        <v>1106175185</v>
      </c>
      <c r="C19" s="47" t="s">
        <v>145</v>
      </c>
      <c r="D19" s="46"/>
      <c r="E19" s="10">
        <v>2</v>
      </c>
      <c r="F19" s="10">
        <v>60</v>
      </c>
      <c r="G19" s="14" t="s">
        <v>158</v>
      </c>
      <c r="H19" s="11">
        <f>E19+IF(E19&gt;2,(E19-2)*0.5,0)</f>
        <v>2</v>
      </c>
      <c r="I19" s="10">
        <f>F19/$T$15</f>
        <v>1.2</v>
      </c>
      <c r="J19" s="10">
        <v>0</v>
      </c>
      <c r="K19" s="10">
        <f>SUM(I19+H19+J19)</f>
        <v>3.2</v>
      </c>
      <c r="L19" s="17">
        <v>3.4250000000000007</v>
      </c>
      <c r="M19" s="18">
        <f>K19+L19</f>
        <v>6.6250000000000009</v>
      </c>
      <c r="N19" s="19">
        <f>VLOOKUP(G19,$S$3:$T$11,2,FALSE)</f>
        <v>4.375</v>
      </c>
      <c r="O19" s="20">
        <f>M19-N19</f>
        <v>2.2500000000000009</v>
      </c>
      <c r="P19" s="11"/>
      <c r="Q19" s="11"/>
      <c r="R19" s="31"/>
      <c r="U19" s="1"/>
      <c r="V19" s="1"/>
      <c r="W19" s="1"/>
      <c r="X19" s="1"/>
    </row>
    <row r="20" spans="1:24" ht="18.75">
      <c r="A20" s="9">
        <v>33</v>
      </c>
      <c r="B20" s="8">
        <v>1006436515</v>
      </c>
      <c r="C20" s="47" t="s">
        <v>77</v>
      </c>
      <c r="D20" s="48" t="s">
        <v>13</v>
      </c>
      <c r="E20" s="10">
        <v>0</v>
      </c>
      <c r="F20" s="10">
        <v>60</v>
      </c>
      <c r="G20" s="39" t="s">
        <v>34</v>
      </c>
      <c r="H20" s="11">
        <f>E20+IF(E20&gt;2,(E20-2)*0.5,0)</f>
        <v>0</v>
      </c>
      <c r="I20" s="10">
        <f>F20/$T$15</f>
        <v>1.2</v>
      </c>
      <c r="J20" s="10">
        <v>0</v>
      </c>
      <c r="K20" s="10">
        <f>SUM(I20+H20+J20)</f>
        <v>1.2</v>
      </c>
      <c r="L20" s="17">
        <v>5.4</v>
      </c>
      <c r="M20" s="18">
        <f>K20+L20</f>
        <v>6.6000000000000005</v>
      </c>
      <c r="N20" s="19">
        <f>VLOOKUP(G20,$S$3:$T$11,2,FALSE)</f>
        <v>0</v>
      </c>
      <c r="O20" s="20">
        <f>M20-N20</f>
        <v>6.6000000000000005</v>
      </c>
      <c r="P20" s="11"/>
      <c r="Q20" s="11"/>
      <c r="R20" s="11"/>
    </row>
    <row r="21" spans="1:24" ht="18.75">
      <c r="A21" s="8">
        <v>176</v>
      </c>
      <c r="B21" s="8">
        <v>128748910</v>
      </c>
      <c r="C21" s="48" t="s">
        <v>165</v>
      </c>
      <c r="D21" s="47" t="s">
        <v>169</v>
      </c>
      <c r="E21" s="10">
        <v>3</v>
      </c>
      <c r="F21" s="10">
        <v>60</v>
      </c>
      <c r="G21" s="14" t="s">
        <v>158</v>
      </c>
      <c r="H21" s="11">
        <f>E21+IF(E21&gt;2,(E21-2)*0.5,0)</f>
        <v>3.5</v>
      </c>
      <c r="I21" s="10">
        <f>F21/$T$15</f>
        <v>1.2</v>
      </c>
      <c r="J21" s="10">
        <v>0</v>
      </c>
      <c r="K21" s="10">
        <f>SUM(I21+H21+J21)</f>
        <v>4.7</v>
      </c>
      <c r="L21" s="17">
        <v>1.6750000000000016</v>
      </c>
      <c r="M21" s="18">
        <f>K21+L21</f>
        <v>6.3750000000000018</v>
      </c>
      <c r="N21" s="19">
        <f>VLOOKUP(G21,$S$3:$T$11,2,FALSE)</f>
        <v>4.375</v>
      </c>
      <c r="O21" s="20">
        <f>M21-N21</f>
        <v>2.0000000000000018</v>
      </c>
      <c r="P21" s="11"/>
      <c r="Q21" s="11"/>
      <c r="R21" s="11"/>
    </row>
    <row r="22" spans="1:24" ht="18.75">
      <c r="A22" s="8"/>
      <c r="B22" s="8">
        <v>1128309198</v>
      </c>
      <c r="C22" s="47" t="s">
        <v>163</v>
      </c>
      <c r="D22" s="47"/>
      <c r="E22" s="10">
        <v>3</v>
      </c>
      <c r="F22" s="10">
        <v>50</v>
      </c>
      <c r="G22" s="14" t="s">
        <v>158</v>
      </c>
      <c r="H22" s="11">
        <f>E22+IF(E22&gt;2,(E22-2)*0.5,0)</f>
        <v>3.5</v>
      </c>
      <c r="I22" s="10">
        <f>F22/$T$15</f>
        <v>1</v>
      </c>
      <c r="J22" s="10">
        <v>0</v>
      </c>
      <c r="K22" s="10">
        <f>SUM(I22+H22+J22)</f>
        <v>4.5</v>
      </c>
      <c r="L22" s="17">
        <v>1.6750000000000007</v>
      </c>
      <c r="M22" s="18">
        <f>K22+L22</f>
        <v>6.1750000000000007</v>
      </c>
      <c r="N22" s="19">
        <f>VLOOKUP(G22,$S$3:$T$11,2,FALSE)</f>
        <v>4.375</v>
      </c>
      <c r="O22" s="20">
        <f>M22-N22</f>
        <v>1.8000000000000007</v>
      </c>
      <c r="P22" s="11"/>
      <c r="Q22" s="11"/>
      <c r="R22" s="11"/>
    </row>
    <row r="23" spans="1:24" ht="18.75">
      <c r="A23" s="8">
        <v>212</v>
      </c>
      <c r="B23" s="8">
        <v>2133045883</v>
      </c>
      <c r="C23" s="47" t="s">
        <v>122</v>
      </c>
      <c r="D23" s="46"/>
      <c r="E23" s="10">
        <v>2</v>
      </c>
      <c r="F23" s="10">
        <v>60</v>
      </c>
      <c r="G23" s="14" t="s">
        <v>158</v>
      </c>
      <c r="H23" s="11">
        <f>E23+IF(E23&gt;2,(E23-2)*0.5,0)</f>
        <v>2</v>
      </c>
      <c r="I23" s="10">
        <f>F23/$T$15</f>
        <v>1.2</v>
      </c>
      <c r="J23" s="10">
        <v>0</v>
      </c>
      <c r="K23" s="10">
        <f>SUM(I23+H23+J23)</f>
        <v>3.2</v>
      </c>
      <c r="L23" s="17">
        <v>2.6500000000000012</v>
      </c>
      <c r="M23" s="18">
        <f>K23+L23</f>
        <v>5.8500000000000014</v>
      </c>
      <c r="N23" s="19">
        <f>VLOOKUP(G23,$S$3:$T$11,2,FALSE)</f>
        <v>4.375</v>
      </c>
      <c r="O23" s="20">
        <f>M23-N23</f>
        <v>1.4750000000000014</v>
      </c>
      <c r="P23" s="4"/>
      <c r="Q23" s="4"/>
      <c r="R23" s="4"/>
    </row>
    <row r="24" spans="1:24" ht="18.75">
      <c r="A24" s="9"/>
      <c r="B24" s="8">
        <v>331155825</v>
      </c>
      <c r="C24" s="48" t="s">
        <v>131</v>
      </c>
      <c r="D24" s="49" t="s">
        <v>132</v>
      </c>
      <c r="E24" s="10">
        <v>3</v>
      </c>
      <c r="F24" s="10">
        <v>70</v>
      </c>
      <c r="G24" s="14" t="s">
        <v>158</v>
      </c>
      <c r="H24" s="11">
        <f>E24+IF(E24&gt;2,(E24-2)*0.5,0)</f>
        <v>3.5</v>
      </c>
      <c r="I24" s="10">
        <f>F24/$T$15</f>
        <v>1.4</v>
      </c>
      <c r="J24" s="10">
        <v>0</v>
      </c>
      <c r="K24" s="10">
        <f>SUM(I24+H24+J24)</f>
        <v>4.9000000000000004</v>
      </c>
      <c r="L24" s="17">
        <v>0.67500000000000071</v>
      </c>
      <c r="M24" s="18">
        <f>K24+L24</f>
        <v>5.5750000000000011</v>
      </c>
      <c r="N24" s="19">
        <f>VLOOKUP(G24,$S$3:$T$11,2,FALSE)</f>
        <v>4.375</v>
      </c>
      <c r="O24" s="20">
        <f>M24-N24</f>
        <v>1.2000000000000011</v>
      </c>
      <c r="P24" s="4"/>
      <c r="Q24" s="4"/>
      <c r="R24" s="4"/>
    </row>
    <row r="25" spans="1:24" ht="18.75">
      <c r="A25" s="9">
        <v>34</v>
      </c>
      <c r="B25" s="8">
        <v>2021794494</v>
      </c>
      <c r="C25" s="48" t="s">
        <v>179</v>
      </c>
      <c r="D25" s="49" t="s">
        <v>133</v>
      </c>
      <c r="E25" s="10">
        <v>2</v>
      </c>
      <c r="F25" s="10">
        <v>40</v>
      </c>
      <c r="G25" s="39" t="s">
        <v>34</v>
      </c>
      <c r="H25" s="11">
        <f>E25+IF(E25&gt;2,(E25-2)*0.5,0)</f>
        <v>2</v>
      </c>
      <c r="I25" s="10">
        <f>F25/$T$15</f>
        <v>0.8</v>
      </c>
      <c r="J25" s="10">
        <v>0</v>
      </c>
      <c r="K25" s="10">
        <f>SUM(I25+H25+J25)</f>
        <v>2.8</v>
      </c>
      <c r="L25" s="17">
        <v>2.5000000000000018</v>
      </c>
      <c r="M25" s="18">
        <f>K25+L25</f>
        <v>5.3000000000000016</v>
      </c>
      <c r="N25" s="19">
        <f>VLOOKUP(G25,$S$3:$T$11,2,FALSE)</f>
        <v>0</v>
      </c>
      <c r="O25" s="20">
        <f>M25-N25</f>
        <v>5.3000000000000016</v>
      </c>
      <c r="P25" s="4"/>
      <c r="Q25" s="4"/>
      <c r="R25" s="4"/>
    </row>
    <row r="26" spans="1:24" ht="18.75">
      <c r="A26" s="9">
        <v>10</v>
      </c>
      <c r="B26" s="8">
        <v>2108977014</v>
      </c>
      <c r="C26" s="47" t="s">
        <v>138</v>
      </c>
      <c r="D26" s="48" t="s">
        <v>10</v>
      </c>
      <c r="E26" s="10">
        <v>2</v>
      </c>
      <c r="F26" s="10">
        <v>60</v>
      </c>
      <c r="G26" s="39" t="s">
        <v>34</v>
      </c>
      <c r="H26" s="11">
        <f>E26+IF(E26&gt;2,(E26-2)*0.5,0)</f>
        <v>2</v>
      </c>
      <c r="I26" s="10">
        <f>F26/$T$15</f>
        <v>1.2</v>
      </c>
      <c r="J26" s="10">
        <v>0</v>
      </c>
      <c r="K26" s="10">
        <f>SUM(I26+H26+J26)</f>
        <v>3.2</v>
      </c>
      <c r="L26" s="17">
        <v>2.0500000000000007</v>
      </c>
      <c r="M26" s="18">
        <f>K26+L26</f>
        <v>5.2500000000000009</v>
      </c>
      <c r="N26" s="19">
        <f>VLOOKUP(G26,$S$3:$T$11,2,FALSE)</f>
        <v>0</v>
      </c>
      <c r="O26" s="20">
        <f>M26-N26</f>
        <v>5.2500000000000009</v>
      </c>
      <c r="P26" s="11"/>
      <c r="Q26" s="11"/>
      <c r="R26" s="32"/>
    </row>
    <row r="27" spans="1:24" ht="18.75">
      <c r="A27" s="9"/>
      <c r="B27" s="8">
        <v>1238792963</v>
      </c>
      <c r="C27" s="48" t="s">
        <v>176</v>
      </c>
      <c r="D27" s="48" t="s">
        <v>142</v>
      </c>
      <c r="E27" s="10">
        <v>3</v>
      </c>
      <c r="F27" s="10">
        <v>60</v>
      </c>
      <c r="G27" s="39" t="s">
        <v>34</v>
      </c>
      <c r="H27" s="11">
        <f>E27+IF(E27&gt;2,(E27-2)*0.5,0)</f>
        <v>3.5</v>
      </c>
      <c r="I27" s="10">
        <f>F27/$T$15</f>
        <v>1.2</v>
      </c>
      <c r="J27" s="10">
        <v>0</v>
      </c>
      <c r="K27" s="10">
        <f>SUM(I27+H27+J27)</f>
        <v>4.7</v>
      </c>
      <c r="L27" s="17">
        <v>0.52500000000000213</v>
      </c>
      <c r="M27" s="18">
        <f>K27+L27</f>
        <v>5.2250000000000023</v>
      </c>
      <c r="N27" s="19">
        <f>VLOOKUP(G27,$S$3:$T$11,2,FALSE)</f>
        <v>0</v>
      </c>
      <c r="O27" s="20">
        <f>M27-N27</f>
        <v>5.2250000000000023</v>
      </c>
      <c r="P27" s="4"/>
      <c r="Q27" s="4"/>
      <c r="R27" s="4"/>
    </row>
    <row r="28" spans="1:24" ht="18.75">
      <c r="A28" s="8">
        <v>118</v>
      </c>
      <c r="B28" s="8">
        <v>2018112397</v>
      </c>
      <c r="C28" s="47" t="s">
        <v>152</v>
      </c>
      <c r="D28" s="48" t="s">
        <v>63</v>
      </c>
      <c r="E28" s="10">
        <v>2</v>
      </c>
      <c r="F28" s="10">
        <v>60</v>
      </c>
      <c r="G28" s="39" t="s">
        <v>34</v>
      </c>
      <c r="H28" s="11">
        <f>E28+IF(E28&gt;2,(E28-2)*0.5,0)</f>
        <v>2</v>
      </c>
      <c r="I28" s="10">
        <f>F28/$T$15</f>
        <v>1.2</v>
      </c>
      <c r="J28" s="10">
        <v>0</v>
      </c>
      <c r="K28" s="10">
        <f>SUM(I28+H28+J28)</f>
        <v>3.2</v>
      </c>
      <c r="L28" s="17">
        <v>1.7500000000000018</v>
      </c>
      <c r="M28" s="18">
        <f>K28+L28</f>
        <v>4.950000000000002</v>
      </c>
      <c r="N28" s="19">
        <f>VLOOKUP(G28,$S$3:$T$11,2,FALSE)</f>
        <v>0</v>
      </c>
      <c r="O28" s="20">
        <f>M28-N28</f>
        <v>4.950000000000002</v>
      </c>
      <c r="P28" s="11"/>
      <c r="Q28" s="11"/>
      <c r="R28" s="11"/>
    </row>
    <row r="29" spans="1:24" ht="18.75">
      <c r="A29" s="9">
        <v>92</v>
      </c>
      <c r="B29" s="8">
        <v>1367873925</v>
      </c>
      <c r="C29" s="47" t="s">
        <v>130</v>
      </c>
      <c r="D29" s="47" t="s">
        <v>143</v>
      </c>
      <c r="E29" s="10">
        <v>2</v>
      </c>
      <c r="F29" s="10">
        <v>70</v>
      </c>
      <c r="G29" s="39" t="s">
        <v>34</v>
      </c>
      <c r="H29" s="11">
        <f>E29+IF(E29&gt;2,(E29-2)*0.5,0)</f>
        <v>2</v>
      </c>
      <c r="I29" s="10">
        <f>F29/$T$15</f>
        <v>1.4</v>
      </c>
      <c r="J29" s="10">
        <v>0</v>
      </c>
      <c r="K29" s="10">
        <f>SUM(I29+H29+J29)</f>
        <v>3.4</v>
      </c>
      <c r="L29" s="17">
        <v>1.3000000000000007</v>
      </c>
      <c r="M29" s="18">
        <f>K29+L29</f>
        <v>4.7000000000000011</v>
      </c>
      <c r="N29" s="19">
        <f>VLOOKUP(G29,$S$3:$T$11,2,FALSE)</f>
        <v>0</v>
      </c>
      <c r="O29" s="20">
        <f>M29-N29</f>
        <v>4.7000000000000011</v>
      </c>
      <c r="P29" s="4"/>
      <c r="Q29" s="4"/>
      <c r="R29" s="4"/>
    </row>
    <row r="30" spans="1:24" ht="18.75">
      <c r="A30" s="8"/>
      <c r="B30" s="8">
        <v>1804880865</v>
      </c>
      <c r="C30" s="47" t="s">
        <v>151</v>
      </c>
      <c r="D30" s="48"/>
      <c r="E30" s="10">
        <v>2</v>
      </c>
      <c r="F30" s="10">
        <v>60</v>
      </c>
      <c r="G30" s="39" t="s">
        <v>34</v>
      </c>
      <c r="H30" s="11">
        <f>E30+IF(E30&gt;2,(E30-2)*0.5,0)</f>
        <v>2</v>
      </c>
      <c r="I30" s="10">
        <f>F30/$T$15</f>
        <v>1.2</v>
      </c>
      <c r="J30" s="10">
        <v>0</v>
      </c>
      <c r="K30" s="10">
        <f>SUM(I30+H30+J30)</f>
        <v>3.2</v>
      </c>
      <c r="L30" s="17">
        <v>1.1750000000000016</v>
      </c>
      <c r="M30" s="18">
        <f>K30+L30</f>
        <v>4.3750000000000018</v>
      </c>
      <c r="N30" s="19">
        <f>VLOOKUP(G30,$S$3:$T$11,2,FALSE)</f>
        <v>0</v>
      </c>
      <c r="O30" s="20">
        <f>M30-N30</f>
        <v>4.3750000000000018</v>
      </c>
      <c r="P30" s="11"/>
      <c r="Q30" s="11"/>
      <c r="R30" s="11"/>
    </row>
    <row r="31" spans="1:24" ht="18.75">
      <c r="A31" s="9"/>
      <c r="B31" s="8">
        <v>2092029101</v>
      </c>
      <c r="C31" s="47" t="s">
        <v>147</v>
      </c>
      <c r="D31" s="48"/>
      <c r="E31" s="10">
        <v>1</v>
      </c>
      <c r="F31" s="10">
        <v>60</v>
      </c>
      <c r="G31" s="39" t="s">
        <v>34</v>
      </c>
      <c r="H31" s="11">
        <f>E31+IF(E31&gt;2,(E31-2)*0.5,0)</f>
        <v>1</v>
      </c>
      <c r="I31" s="10">
        <f>F31/$T$15</f>
        <v>1.2</v>
      </c>
      <c r="J31" s="10">
        <v>0</v>
      </c>
      <c r="K31" s="10">
        <f>SUM(I31+H31+J31)</f>
        <v>2.2000000000000002</v>
      </c>
      <c r="L31" s="17">
        <v>2.0500000000000016</v>
      </c>
      <c r="M31" s="18">
        <f>K31+L31</f>
        <v>4.2500000000000018</v>
      </c>
      <c r="N31" s="19">
        <f>VLOOKUP(G31,$S$3:$T$11,2,FALSE)</f>
        <v>0</v>
      </c>
      <c r="O31" s="20">
        <f>M31-N31</f>
        <v>4.2500000000000018</v>
      </c>
      <c r="P31" s="11"/>
      <c r="Q31" s="11"/>
      <c r="R31" s="11"/>
    </row>
    <row r="32" spans="1:24" ht="18.75">
      <c r="A32" s="8"/>
      <c r="B32" s="8">
        <v>334151795</v>
      </c>
      <c r="C32" s="47" t="s">
        <v>146</v>
      </c>
      <c r="D32" s="46"/>
      <c r="E32" s="10">
        <v>1</v>
      </c>
      <c r="F32" s="10">
        <v>60</v>
      </c>
      <c r="G32" s="39" t="s">
        <v>34</v>
      </c>
      <c r="H32" s="11">
        <f>E32+IF(E32&gt;2,(E32-2)*0.5,0)</f>
        <v>1</v>
      </c>
      <c r="I32" s="10">
        <f>F32/$T$15</f>
        <v>1.2</v>
      </c>
      <c r="J32" s="10">
        <v>0</v>
      </c>
      <c r="K32" s="10">
        <f>SUM(I32+H32+J32)</f>
        <v>2.2000000000000002</v>
      </c>
      <c r="L32" s="17">
        <v>1.9750000000000014</v>
      </c>
      <c r="M32" s="18">
        <f>K32+L32</f>
        <v>4.1750000000000016</v>
      </c>
      <c r="N32" s="19">
        <f>VLOOKUP(G32,$S$3:$T$11,2,FALSE)</f>
        <v>0</v>
      </c>
      <c r="O32" s="20">
        <f>M32-N32</f>
        <v>4.1750000000000016</v>
      </c>
      <c r="P32" s="11"/>
      <c r="Q32" s="11"/>
      <c r="R32" s="31"/>
    </row>
    <row r="33" spans="1:18" ht="18.75">
      <c r="A33" s="8"/>
      <c r="B33" s="8">
        <v>597728301</v>
      </c>
      <c r="C33" s="47" t="s">
        <v>168</v>
      </c>
      <c r="D33" s="47"/>
      <c r="E33" s="10">
        <v>0</v>
      </c>
      <c r="F33" s="10">
        <v>0</v>
      </c>
      <c r="G33" s="39" t="s">
        <v>34</v>
      </c>
      <c r="H33" s="11">
        <f>E33+IF(E33&gt;2,(E33-2)*0.5,0)</f>
        <v>0</v>
      </c>
      <c r="I33" s="10">
        <f>F33/$T$15</f>
        <v>0</v>
      </c>
      <c r="J33" s="10">
        <v>0</v>
      </c>
      <c r="K33" s="10">
        <f>SUM(I33+H33+J33)</f>
        <v>0</v>
      </c>
      <c r="L33" s="17">
        <v>3.8</v>
      </c>
      <c r="M33" s="18">
        <f>K33+L33</f>
        <v>3.8</v>
      </c>
      <c r="N33" s="19">
        <f>VLOOKUP(G33,$S$3:$T$11,2,FALSE)</f>
        <v>0</v>
      </c>
      <c r="O33" s="20">
        <f>M33-N33</f>
        <v>3.8</v>
      </c>
      <c r="P33" s="11"/>
      <c r="Q33" s="11"/>
      <c r="R33" s="31"/>
    </row>
    <row r="34" spans="1:18" ht="18.75">
      <c r="A34" s="9"/>
      <c r="B34" s="8">
        <v>646362928</v>
      </c>
      <c r="C34" s="48" t="s">
        <v>180</v>
      </c>
      <c r="D34" s="49" t="s">
        <v>178</v>
      </c>
      <c r="E34" s="10">
        <v>1</v>
      </c>
      <c r="F34" s="10">
        <v>40</v>
      </c>
      <c r="G34" s="39" t="s">
        <v>34</v>
      </c>
      <c r="H34" s="11">
        <f>E34+IF(E34&gt;2,(E34-2)*0.5,0)</f>
        <v>1</v>
      </c>
      <c r="I34" s="10">
        <f>F34/$T$15</f>
        <v>0.8</v>
      </c>
      <c r="J34" s="10">
        <v>0</v>
      </c>
      <c r="K34" s="10">
        <f>SUM(I34+H34+J34)</f>
        <v>1.8</v>
      </c>
      <c r="L34" s="17">
        <v>0.6</v>
      </c>
      <c r="M34" s="18">
        <f>K34+L34</f>
        <v>2.4</v>
      </c>
      <c r="N34" s="19">
        <f>VLOOKUP(G34,$S$3:$T$11,2,FALSE)</f>
        <v>0</v>
      </c>
      <c r="O34" s="20">
        <f>M34-N34</f>
        <v>2.4</v>
      </c>
      <c r="P34" s="11"/>
      <c r="Q34" s="11"/>
      <c r="R34" s="11"/>
    </row>
    <row r="35" spans="1:18" ht="18.75">
      <c r="A35" s="62"/>
      <c r="B35" s="62"/>
      <c r="C35" s="63"/>
      <c r="D35" s="64"/>
      <c r="E35" s="65"/>
      <c r="F35" s="65"/>
      <c r="G35" s="66"/>
      <c r="H35" s="67"/>
      <c r="I35" s="65"/>
      <c r="J35" s="65"/>
      <c r="K35" s="65"/>
      <c r="L35" s="68"/>
      <c r="M35" s="69"/>
      <c r="N35" s="70"/>
      <c r="O35" s="71"/>
      <c r="P35" s="72"/>
      <c r="Q35" s="72"/>
      <c r="R35" s="72"/>
    </row>
    <row r="36" spans="1:18" ht="18.75">
      <c r="A36" s="9">
        <v>1</v>
      </c>
      <c r="B36" s="8">
        <v>1782151946</v>
      </c>
      <c r="C36" s="47" t="s">
        <v>135</v>
      </c>
      <c r="D36" s="48" t="s">
        <v>8</v>
      </c>
      <c r="E36" s="10">
        <v>0</v>
      </c>
      <c r="F36" s="10">
        <v>0</v>
      </c>
      <c r="G36" s="39" t="s">
        <v>34</v>
      </c>
      <c r="H36" s="11">
        <f t="shared" ref="H36:H99" si="0">E36+IF(E36&gt;2,(E36-2)*0.5,0)</f>
        <v>0</v>
      </c>
      <c r="I36" s="10">
        <f t="shared" ref="I36:I99" si="1">F36/$T$15</f>
        <v>0</v>
      </c>
      <c r="J36" s="10">
        <v>0</v>
      </c>
      <c r="K36" s="10">
        <f t="shared" ref="K36:K99" si="2">SUM(I36+H36+J36)</f>
        <v>0</v>
      </c>
      <c r="L36" s="17">
        <v>2.1000000000000005</v>
      </c>
      <c r="M36" s="18">
        <f t="shared" ref="M36:M99" si="3">K36+L36</f>
        <v>2.1000000000000005</v>
      </c>
      <c r="N36" s="19">
        <f t="shared" ref="N36:N99" si="4">VLOOKUP(G36,$S$3:$T$11,2,FALSE)</f>
        <v>0</v>
      </c>
      <c r="O36" s="20">
        <f t="shared" ref="O36:O99" si="5">M36-N36</f>
        <v>2.1000000000000005</v>
      </c>
      <c r="P36" s="11"/>
      <c r="Q36" s="11"/>
      <c r="R36" s="11"/>
    </row>
    <row r="37" spans="1:18" ht="18.75">
      <c r="A37" s="8"/>
      <c r="B37" s="8">
        <v>1042293940</v>
      </c>
      <c r="C37" s="48" t="s">
        <v>159</v>
      </c>
      <c r="D37" s="46"/>
      <c r="E37" s="10">
        <v>0</v>
      </c>
      <c r="F37" s="10">
        <v>0</v>
      </c>
      <c r="G37" s="39" t="s">
        <v>34</v>
      </c>
      <c r="H37" s="11">
        <f t="shared" si="0"/>
        <v>0</v>
      </c>
      <c r="I37" s="10">
        <f t="shared" si="1"/>
        <v>0</v>
      </c>
      <c r="J37" s="10">
        <v>0</v>
      </c>
      <c r="K37" s="10">
        <f t="shared" si="2"/>
        <v>0</v>
      </c>
      <c r="L37" s="17">
        <v>1.7750000000000001</v>
      </c>
      <c r="M37" s="18">
        <f t="shared" si="3"/>
        <v>1.7750000000000001</v>
      </c>
      <c r="N37" s="19">
        <f t="shared" si="4"/>
        <v>0</v>
      </c>
      <c r="O37" s="20">
        <f t="shared" si="5"/>
        <v>1.7750000000000001</v>
      </c>
      <c r="P37" s="11"/>
      <c r="Q37" s="11"/>
      <c r="R37" s="31"/>
    </row>
    <row r="38" spans="1:18" ht="18.75">
      <c r="A38" s="9">
        <v>53</v>
      </c>
      <c r="B38" s="8">
        <v>500959924</v>
      </c>
      <c r="C38" s="47" t="s">
        <v>134</v>
      </c>
      <c r="D38" s="49" t="s">
        <v>16</v>
      </c>
      <c r="E38" s="10">
        <v>0</v>
      </c>
      <c r="F38" s="10">
        <v>0</v>
      </c>
      <c r="G38" s="39" t="s">
        <v>34</v>
      </c>
      <c r="H38" s="11">
        <f t="shared" si="0"/>
        <v>0</v>
      </c>
      <c r="I38" s="10">
        <f t="shared" si="1"/>
        <v>0</v>
      </c>
      <c r="J38" s="10">
        <v>0</v>
      </c>
      <c r="K38" s="10">
        <f t="shared" si="2"/>
        <v>0</v>
      </c>
      <c r="L38" s="17">
        <v>0.9</v>
      </c>
      <c r="M38" s="18">
        <f t="shared" si="3"/>
        <v>0.9</v>
      </c>
      <c r="N38" s="19">
        <f t="shared" si="4"/>
        <v>0</v>
      </c>
      <c r="O38" s="20">
        <f t="shared" si="5"/>
        <v>0.9</v>
      </c>
      <c r="P38" s="11"/>
      <c r="Q38" s="11"/>
      <c r="R38" s="31"/>
    </row>
    <row r="39" spans="1:18" ht="18.75">
      <c r="A39" s="8">
        <v>169</v>
      </c>
      <c r="B39" s="8">
        <v>1280938546</v>
      </c>
      <c r="C39" s="47" t="s">
        <v>89</v>
      </c>
      <c r="D39" s="45"/>
      <c r="E39" s="10">
        <v>0</v>
      </c>
      <c r="F39" s="10">
        <v>14</v>
      </c>
      <c r="G39" s="39" t="s">
        <v>34</v>
      </c>
      <c r="H39" s="11">
        <f t="shared" si="0"/>
        <v>0</v>
      </c>
      <c r="I39" s="10">
        <f t="shared" si="1"/>
        <v>0.28000000000000003</v>
      </c>
      <c r="J39" s="10">
        <v>0</v>
      </c>
      <c r="K39" s="10">
        <f t="shared" si="2"/>
        <v>0.28000000000000003</v>
      </c>
      <c r="L39" s="17">
        <v>0.12</v>
      </c>
      <c r="M39" s="18">
        <f t="shared" si="3"/>
        <v>0.4</v>
      </c>
      <c r="N39" s="19">
        <f t="shared" si="4"/>
        <v>0</v>
      </c>
      <c r="O39" s="20">
        <f t="shared" si="5"/>
        <v>0.4</v>
      </c>
      <c r="P39" s="4"/>
      <c r="Q39" s="4"/>
      <c r="R39" s="4"/>
    </row>
    <row r="40" spans="1:18" ht="18.75">
      <c r="A40" s="9"/>
      <c r="B40" s="8">
        <v>1065313201</v>
      </c>
      <c r="C40" s="48" t="s">
        <v>127</v>
      </c>
      <c r="D40" s="49" t="s">
        <v>128</v>
      </c>
      <c r="E40" s="10">
        <v>0</v>
      </c>
      <c r="F40" s="10">
        <v>0</v>
      </c>
      <c r="G40" s="39" t="s">
        <v>34</v>
      </c>
      <c r="H40" s="11">
        <f t="shared" si="0"/>
        <v>0</v>
      </c>
      <c r="I40" s="10">
        <f t="shared" si="1"/>
        <v>0</v>
      </c>
      <c r="J40" s="10">
        <v>0</v>
      </c>
      <c r="K40" s="10">
        <f t="shared" si="2"/>
        <v>0</v>
      </c>
      <c r="L40" s="17">
        <v>0.22500000000000009</v>
      </c>
      <c r="M40" s="18">
        <f t="shared" si="3"/>
        <v>0.22500000000000009</v>
      </c>
      <c r="N40" s="19">
        <f t="shared" si="4"/>
        <v>0</v>
      </c>
      <c r="O40" s="20">
        <f t="shared" si="5"/>
        <v>0.22500000000000009</v>
      </c>
      <c r="P40" s="4"/>
      <c r="Q40" s="4"/>
      <c r="R40" s="4"/>
    </row>
    <row r="41" spans="1:18" ht="18.75">
      <c r="A41" s="8">
        <v>155</v>
      </c>
      <c r="B41" s="8">
        <v>1532576874</v>
      </c>
      <c r="C41" s="47" t="s">
        <v>140</v>
      </c>
      <c r="D41" s="47" t="s">
        <v>61</v>
      </c>
      <c r="E41" s="10">
        <v>0</v>
      </c>
      <c r="F41" s="10">
        <v>0</v>
      </c>
      <c r="G41" s="39" t="s">
        <v>34</v>
      </c>
      <c r="H41" s="11">
        <f t="shared" si="0"/>
        <v>0</v>
      </c>
      <c r="I41" s="10">
        <f t="shared" si="1"/>
        <v>0</v>
      </c>
      <c r="J41" s="10">
        <v>0</v>
      </c>
      <c r="K41" s="10">
        <f t="shared" si="2"/>
        <v>0</v>
      </c>
      <c r="L41" s="17">
        <v>0</v>
      </c>
      <c r="M41" s="18">
        <f t="shared" si="3"/>
        <v>0</v>
      </c>
      <c r="N41" s="19">
        <f t="shared" si="4"/>
        <v>0</v>
      </c>
      <c r="O41" s="20">
        <f t="shared" si="5"/>
        <v>0</v>
      </c>
      <c r="P41" s="11"/>
      <c r="Q41" s="11"/>
      <c r="R41" s="31"/>
    </row>
    <row r="42" spans="1:18" ht="18.75">
      <c r="A42" s="8">
        <v>180</v>
      </c>
      <c r="B42" s="8">
        <v>24633249</v>
      </c>
      <c r="C42" s="48" t="s">
        <v>72</v>
      </c>
      <c r="D42" s="46"/>
      <c r="E42" s="10">
        <v>0</v>
      </c>
      <c r="F42" s="10">
        <v>0</v>
      </c>
      <c r="G42" s="39" t="s">
        <v>34</v>
      </c>
      <c r="H42" s="11">
        <f t="shared" si="0"/>
        <v>0</v>
      </c>
      <c r="I42" s="10">
        <f t="shared" si="1"/>
        <v>0</v>
      </c>
      <c r="J42" s="10">
        <v>0</v>
      </c>
      <c r="K42" s="10">
        <f t="shared" si="2"/>
        <v>0</v>
      </c>
      <c r="L42" s="17">
        <v>-2.5249999999999999</v>
      </c>
      <c r="M42" s="18">
        <f t="shared" si="3"/>
        <v>-2.5249999999999999</v>
      </c>
      <c r="N42" s="19">
        <f t="shared" si="4"/>
        <v>0</v>
      </c>
      <c r="O42" s="20">
        <f t="shared" si="5"/>
        <v>-2.5249999999999999</v>
      </c>
      <c r="P42" s="11"/>
      <c r="Q42" s="11"/>
      <c r="R42" s="11"/>
    </row>
    <row r="43" spans="1:18" ht="18.75">
      <c r="A43" s="8"/>
      <c r="B43" s="8">
        <v>488712245</v>
      </c>
      <c r="C43" s="47" t="s">
        <v>144</v>
      </c>
      <c r="D43" s="49" t="s">
        <v>162</v>
      </c>
      <c r="E43" s="10">
        <v>0</v>
      </c>
      <c r="F43" s="10">
        <v>0</v>
      </c>
      <c r="G43" s="39" t="s">
        <v>34</v>
      </c>
      <c r="H43" s="11">
        <f t="shared" si="0"/>
        <v>0</v>
      </c>
      <c r="I43" s="10">
        <f t="shared" si="1"/>
        <v>0</v>
      </c>
      <c r="J43" s="10">
        <v>0</v>
      </c>
      <c r="K43" s="10">
        <f t="shared" si="2"/>
        <v>0</v>
      </c>
      <c r="L43" s="17">
        <v>4.7</v>
      </c>
      <c r="M43" s="18">
        <f t="shared" si="3"/>
        <v>4.7</v>
      </c>
      <c r="N43" s="19">
        <f t="shared" si="4"/>
        <v>0</v>
      </c>
      <c r="O43" s="20">
        <f t="shared" si="5"/>
        <v>4.7</v>
      </c>
      <c r="P43" s="4"/>
      <c r="Q43" s="4"/>
      <c r="R43" s="4"/>
    </row>
    <row r="44" spans="1:18" ht="18.75">
      <c r="A44" s="8">
        <v>130</v>
      </c>
      <c r="B44" s="8">
        <v>1957463045</v>
      </c>
      <c r="C44" s="47" t="s">
        <v>44</v>
      </c>
      <c r="D44" s="50"/>
      <c r="E44" s="10">
        <v>0</v>
      </c>
      <c r="F44" s="10">
        <v>0</v>
      </c>
      <c r="G44" s="39" t="s">
        <v>34</v>
      </c>
      <c r="H44" s="11">
        <f t="shared" si="0"/>
        <v>0</v>
      </c>
      <c r="I44" s="10">
        <f t="shared" si="1"/>
        <v>0</v>
      </c>
      <c r="J44" s="10">
        <v>0</v>
      </c>
      <c r="K44" s="10">
        <f t="shared" si="2"/>
        <v>0</v>
      </c>
      <c r="L44" s="17">
        <v>5</v>
      </c>
      <c r="M44" s="18">
        <f t="shared" si="3"/>
        <v>5</v>
      </c>
      <c r="N44" s="19">
        <f t="shared" si="4"/>
        <v>0</v>
      </c>
      <c r="O44" s="20">
        <f t="shared" si="5"/>
        <v>5</v>
      </c>
      <c r="P44" s="11"/>
      <c r="Q44" s="11"/>
      <c r="R44" s="31"/>
    </row>
    <row r="45" spans="1:18" ht="18.75">
      <c r="A45" s="9">
        <v>26</v>
      </c>
      <c r="B45" s="8">
        <v>1754932067</v>
      </c>
      <c r="C45" s="47" t="s">
        <v>76</v>
      </c>
      <c r="D45" s="48" t="s">
        <v>12</v>
      </c>
      <c r="E45" s="10">
        <v>0</v>
      </c>
      <c r="F45" s="10">
        <v>0</v>
      </c>
      <c r="G45" s="39" t="s">
        <v>34</v>
      </c>
      <c r="H45" s="11">
        <f t="shared" si="0"/>
        <v>0</v>
      </c>
      <c r="I45" s="10">
        <f t="shared" si="1"/>
        <v>0</v>
      </c>
      <c r="J45" s="10">
        <v>0</v>
      </c>
      <c r="K45" s="10">
        <f t="shared" si="2"/>
        <v>0</v>
      </c>
      <c r="L45" s="17">
        <v>5</v>
      </c>
      <c r="M45" s="18">
        <f t="shared" si="3"/>
        <v>5</v>
      </c>
      <c r="N45" s="19">
        <f t="shared" si="4"/>
        <v>0</v>
      </c>
      <c r="O45" s="20">
        <f t="shared" si="5"/>
        <v>5</v>
      </c>
      <c r="P45" s="11"/>
      <c r="Q45" s="11"/>
      <c r="R45" s="11"/>
    </row>
    <row r="46" spans="1:18" ht="18.75">
      <c r="A46" s="8">
        <v>187</v>
      </c>
      <c r="B46" s="8">
        <v>1241038267</v>
      </c>
      <c r="C46" s="47" t="s">
        <v>97</v>
      </c>
      <c r="D46" s="46"/>
      <c r="E46" s="10">
        <v>0</v>
      </c>
      <c r="F46" s="10">
        <v>0</v>
      </c>
      <c r="G46" s="39" t="s">
        <v>34</v>
      </c>
      <c r="H46" s="11">
        <f t="shared" si="0"/>
        <v>0</v>
      </c>
      <c r="I46" s="10">
        <f t="shared" si="1"/>
        <v>0</v>
      </c>
      <c r="J46" s="10">
        <v>0</v>
      </c>
      <c r="K46" s="10">
        <f t="shared" si="2"/>
        <v>0</v>
      </c>
      <c r="L46" s="17">
        <v>5</v>
      </c>
      <c r="M46" s="18">
        <f t="shared" si="3"/>
        <v>5</v>
      </c>
      <c r="N46" s="19">
        <f t="shared" si="4"/>
        <v>0</v>
      </c>
      <c r="O46" s="20">
        <f t="shared" si="5"/>
        <v>5</v>
      </c>
      <c r="P46" s="4"/>
      <c r="Q46" s="4"/>
      <c r="R46" s="4"/>
    </row>
    <row r="47" spans="1:18" ht="18.75">
      <c r="A47" s="8">
        <v>188</v>
      </c>
      <c r="B47" s="8">
        <v>1504984957</v>
      </c>
      <c r="C47" s="47" t="s">
        <v>98</v>
      </c>
      <c r="D47" s="46"/>
      <c r="E47" s="10">
        <v>0</v>
      </c>
      <c r="F47" s="10">
        <v>0</v>
      </c>
      <c r="G47" s="39" t="s">
        <v>34</v>
      </c>
      <c r="H47" s="11">
        <f t="shared" si="0"/>
        <v>0</v>
      </c>
      <c r="I47" s="10">
        <f t="shared" si="1"/>
        <v>0</v>
      </c>
      <c r="J47" s="10">
        <v>0</v>
      </c>
      <c r="K47" s="10">
        <f t="shared" si="2"/>
        <v>0</v>
      </c>
      <c r="L47" s="17">
        <v>5</v>
      </c>
      <c r="M47" s="18">
        <f t="shared" si="3"/>
        <v>5</v>
      </c>
      <c r="N47" s="19">
        <f t="shared" si="4"/>
        <v>0</v>
      </c>
      <c r="O47" s="20">
        <f t="shared" si="5"/>
        <v>5</v>
      </c>
      <c r="P47" s="4"/>
      <c r="Q47" s="4"/>
      <c r="R47" s="4"/>
    </row>
    <row r="48" spans="1:18" ht="18.75">
      <c r="A48" s="8">
        <v>205</v>
      </c>
      <c r="B48" s="8">
        <v>141303545</v>
      </c>
      <c r="C48" s="47" t="s">
        <v>114</v>
      </c>
      <c r="D48" s="46"/>
      <c r="E48" s="10">
        <v>0</v>
      </c>
      <c r="F48" s="10">
        <v>0</v>
      </c>
      <c r="G48" s="39" t="s">
        <v>34</v>
      </c>
      <c r="H48" s="11">
        <f t="shared" si="0"/>
        <v>0</v>
      </c>
      <c r="I48" s="10">
        <f t="shared" si="1"/>
        <v>0</v>
      </c>
      <c r="J48" s="10">
        <v>0</v>
      </c>
      <c r="K48" s="10">
        <f t="shared" si="2"/>
        <v>0</v>
      </c>
      <c r="L48" s="17">
        <v>5</v>
      </c>
      <c r="M48" s="18">
        <f t="shared" si="3"/>
        <v>5</v>
      </c>
      <c r="N48" s="19">
        <f t="shared" si="4"/>
        <v>0</v>
      </c>
      <c r="O48" s="20">
        <f t="shared" si="5"/>
        <v>5</v>
      </c>
      <c r="P48" s="4"/>
      <c r="Q48" s="4"/>
      <c r="R48" s="4"/>
    </row>
    <row r="49" spans="1:24" ht="18.75">
      <c r="A49" s="8">
        <v>182</v>
      </c>
      <c r="B49" s="8">
        <v>828260319</v>
      </c>
      <c r="C49" s="47" t="s">
        <v>92</v>
      </c>
      <c r="D49" s="46"/>
      <c r="E49" s="10">
        <v>0</v>
      </c>
      <c r="F49" s="10">
        <v>0</v>
      </c>
      <c r="G49" s="39" t="s">
        <v>34</v>
      </c>
      <c r="H49" s="11">
        <f t="shared" si="0"/>
        <v>0</v>
      </c>
      <c r="I49" s="10">
        <f t="shared" si="1"/>
        <v>0</v>
      </c>
      <c r="J49" s="10">
        <v>0</v>
      </c>
      <c r="K49" s="10">
        <f t="shared" si="2"/>
        <v>0</v>
      </c>
      <c r="L49" s="17">
        <v>5</v>
      </c>
      <c r="M49" s="18">
        <f t="shared" si="3"/>
        <v>5</v>
      </c>
      <c r="N49" s="19">
        <f t="shared" si="4"/>
        <v>0</v>
      </c>
      <c r="O49" s="20">
        <f t="shared" si="5"/>
        <v>5</v>
      </c>
      <c r="P49" s="4"/>
      <c r="Q49" s="4"/>
      <c r="R49" s="4"/>
    </row>
    <row r="50" spans="1:24" ht="18.75">
      <c r="A50" s="9">
        <v>82</v>
      </c>
      <c r="B50" s="8">
        <v>982362214</v>
      </c>
      <c r="C50" s="47" t="s">
        <v>80</v>
      </c>
      <c r="D50" s="48" t="s">
        <v>25</v>
      </c>
      <c r="E50" s="10">
        <v>0</v>
      </c>
      <c r="F50" s="10">
        <v>0</v>
      </c>
      <c r="G50" s="39" t="s">
        <v>34</v>
      </c>
      <c r="H50" s="11">
        <f t="shared" si="0"/>
        <v>0</v>
      </c>
      <c r="I50" s="10">
        <f t="shared" si="1"/>
        <v>0</v>
      </c>
      <c r="J50" s="10">
        <v>0</v>
      </c>
      <c r="K50" s="10">
        <f t="shared" si="2"/>
        <v>0</v>
      </c>
      <c r="L50" s="17">
        <v>5</v>
      </c>
      <c r="M50" s="18">
        <f t="shared" si="3"/>
        <v>5</v>
      </c>
      <c r="N50" s="19">
        <f t="shared" si="4"/>
        <v>0</v>
      </c>
      <c r="O50" s="20">
        <f t="shared" si="5"/>
        <v>5</v>
      </c>
      <c r="P50" s="11"/>
      <c r="Q50" s="11"/>
      <c r="R50" s="11"/>
      <c r="S50" s="1"/>
      <c r="T50" s="1"/>
      <c r="U50" s="1"/>
      <c r="V50" s="1"/>
      <c r="W50" s="1"/>
      <c r="X50" s="1"/>
    </row>
    <row r="51" spans="1:24" ht="18.75">
      <c r="A51" s="8">
        <v>191</v>
      </c>
      <c r="B51" s="8">
        <v>1037173857</v>
      </c>
      <c r="C51" s="47" t="s">
        <v>101</v>
      </c>
      <c r="D51" s="46"/>
      <c r="E51" s="10">
        <v>0</v>
      </c>
      <c r="F51" s="10">
        <v>0</v>
      </c>
      <c r="G51" s="39" t="s">
        <v>34</v>
      </c>
      <c r="H51" s="11">
        <f t="shared" si="0"/>
        <v>0</v>
      </c>
      <c r="I51" s="10">
        <f t="shared" si="1"/>
        <v>0</v>
      </c>
      <c r="J51" s="10">
        <v>0</v>
      </c>
      <c r="K51" s="10">
        <f t="shared" si="2"/>
        <v>0</v>
      </c>
      <c r="L51" s="17">
        <v>5</v>
      </c>
      <c r="M51" s="18">
        <f t="shared" si="3"/>
        <v>5</v>
      </c>
      <c r="N51" s="19">
        <f t="shared" si="4"/>
        <v>0</v>
      </c>
      <c r="O51" s="20">
        <f t="shared" si="5"/>
        <v>5</v>
      </c>
      <c r="P51" s="4"/>
      <c r="Q51" s="4"/>
      <c r="R51" s="4"/>
      <c r="S51" s="1"/>
      <c r="T51" s="1"/>
      <c r="U51" s="1"/>
      <c r="V51" s="1"/>
      <c r="W51" s="1"/>
      <c r="X51" s="1"/>
    </row>
    <row r="52" spans="1:24" ht="18.75">
      <c r="A52" s="8">
        <v>128</v>
      </c>
      <c r="B52" s="8">
        <v>1214614935</v>
      </c>
      <c r="C52" s="47" t="s">
        <v>85</v>
      </c>
      <c r="D52" s="50" t="s">
        <v>53</v>
      </c>
      <c r="E52" s="10">
        <v>0</v>
      </c>
      <c r="F52" s="10">
        <v>0</v>
      </c>
      <c r="G52" s="39" t="s">
        <v>34</v>
      </c>
      <c r="H52" s="11">
        <f t="shared" si="0"/>
        <v>0</v>
      </c>
      <c r="I52" s="10">
        <f t="shared" si="1"/>
        <v>0</v>
      </c>
      <c r="J52" s="10">
        <v>0</v>
      </c>
      <c r="K52" s="10">
        <f t="shared" si="2"/>
        <v>0</v>
      </c>
      <c r="L52" s="17">
        <v>5</v>
      </c>
      <c r="M52" s="18">
        <f t="shared" si="3"/>
        <v>5</v>
      </c>
      <c r="N52" s="19">
        <f t="shared" si="4"/>
        <v>0</v>
      </c>
      <c r="O52" s="20">
        <f t="shared" si="5"/>
        <v>5</v>
      </c>
      <c r="P52" s="11"/>
      <c r="Q52" s="11"/>
      <c r="R52" s="31"/>
      <c r="S52" s="1"/>
      <c r="T52" s="1"/>
      <c r="U52" s="1"/>
      <c r="V52" s="1"/>
      <c r="W52" s="1"/>
      <c r="X52" s="1"/>
    </row>
    <row r="53" spans="1:24" ht="18.75">
      <c r="A53" s="9">
        <v>46</v>
      </c>
      <c r="B53" s="8">
        <v>2109182835</v>
      </c>
      <c r="C53" s="47" t="s">
        <v>79</v>
      </c>
      <c r="D53" s="48" t="s">
        <v>15</v>
      </c>
      <c r="E53" s="10">
        <v>0</v>
      </c>
      <c r="F53" s="10">
        <v>0</v>
      </c>
      <c r="G53" s="39" t="s">
        <v>34</v>
      </c>
      <c r="H53" s="11">
        <f t="shared" si="0"/>
        <v>0</v>
      </c>
      <c r="I53" s="10">
        <f t="shared" si="1"/>
        <v>0</v>
      </c>
      <c r="J53" s="10">
        <v>0</v>
      </c>
      <c r="K53" s="10">
        <f t="shared" si="2"/>
        <v>0</v>
      </c>
      <c r="L53" s="17">
        <v>5</v>
      </c>
      <c r="M53" s="18">
        <f t="shared" si="3"/>
        <v>5</v>
      </c>
      <c r="N53" s="19">
        <f t="shared" si="4"/>
        <v>0</v>
      </c>
      <c r="O53" s="20">
        <f t="shared" si="5"/>
        <v>5</v>
      </c>
      <c r="P53" s="11"/>
      <c r="Q53" s="11"/>
      <c r="R53" s="11"/>
      <c r="S53" s="1"/>
      <c r="T53" s="1"/>
      <c r="U53" s="1"/>
      <c r="V53" s="1"/>
      <c r="W53" s="1"/>
      <c r="X53" s="1"/>
    </row>
    <row r="54" spans="1:24" ht="18.75">
      <c r="A54" s="9">
        <v>120</v>
      </c>
      <c r="B54" s="8">
        <v>171422146</v>
      </c>
      <c r="C54" s="47" t="s">
        <v>83</v>
      </c>
      <c r="D54" s="48" t="s">
        <v>47</v>
      </c>
      <c r="E54" s="10">
        <v>0</v>
      </c>
      <c r="F54" s="10">
        <v>0</v>
      </c>
      <c r="G54" s="39" t="s">
        <v>34</v>
      </c>
      <c r="H54" s="11">
        <f t="shared" si="0"/>
        <v>0</v>
      </c>
      <c r="I54" s="10">
        <f t="shared" si="1"/>
        <v>0</v>
      </c>
      <c r="J54" s="10">
        <v>0</v>
      </c>
      <c r="K54" s="10">
        <f t="shared" si="2"/>
        <v>0</v>
      </c>
      <c r="L54" s="17">
        <v>5</v>
      </c>
      <c r="M54" s="18">
        <f t="shared" si="3"/>
        <v>5</v>
      </c>
      <c r="N54" s="19">
        <f t="shared" si="4"/>
        <v>0</v>
      </c>
      <c r="O54" s="20">
        <f t="shared" si="5"/>
        <v>5</v>
      </c>
      <c r="P54" s="11"/>
      <c r="Q54" s="11"/>
      <c r="R54" s="32"/>
      <c r="S54" s="1"/>
      <c r="T54" s="1"/>
      <c r="U54" s="1"/>
      <c r="V54" s="1"/>
      <c r="W54" s="1"/>
      <c r="X54" s="1"/>
    </row>
    <row r="55" spans="1:24" ht="18.75">
      <c r="A55" s="8">
        <v>143</v>
      </c>
      <c r="B55" s="8">
        <v>1963007427</v>
      </c>
      <c r="C55" s="47" t="s">
        <v>87</v>
      </c>
      <c r="D55" s="47" t="s">
        <v>58</v>
      </c>
      <c r="E55" s="10">
        <v>0</v>
      </c>
      <c r="F55" s="10">
        <v>0</v>
      </c>
      <c r="G55" s="39" t="s">
        <v>34</v>
      </c>
      <c r="H55" s="11">
        <f t="shared" si="0"/>
        <v>0</v>
      </c>
      <c r="I55" s="10">
        <f t="shared" si="1"/>
        <v>0</v>
      </c>
      <c r="J55" s="10">
        <v>0</v>
      </c>
      <c r="K55" s="10">
        <f t="shared" si="2"/>
        <v>0</v>
      </c>
      <c r="L55" s="17">
        <v>5</v>
      </c>
      <c r="M55" s="18">
        <f t="shared" si="3"/>
        <v>5</v>
      </c>
      <c r="N55" s="19">
        <f t="shared" si="4"/>
        <v>0</v>
      </c>
      <c r="O55" s="20">
        <f t="shared" si="5"/>
        <v>5</v>
      </c>
      <c r="P55" s="11"/>
      <c r="Q55" s="11"/>
      <c r="R55" s="31"/>
      <c r="S55" s="1"/>
      <c r="T55" s="1"/>
      <c r="U55" s="1"/>
      <c r="V55" s="1"/>
      <c r="W55" s="1"/>
      <c r="X55" s="1"/>
    </row>
    <row r="56" spans="1:24" ht="18.75">
      <c r="A56" s="8">
        <v>190</v>
      </c>
      <c r="B56" s="8">
        <v>684634207</v>
      </c>
      <c r="C56" s="47" t="s">
        <v>100</v>
      </c>
      <c r="D56" s="46"/>
      <c r="E56" s="10">
        <v>0</v>
      </c>
      <c r="F56" s="10">
        <v>0</v>
      </c>
      <c r="G56" s="39" t="s">
        <v>34</v>
      </c>
      <c r="H56" s="11">
        <f t="shared" si="0"/>
        <v>0</v>
      </c>
      <c r="I56" s="10">
        <f t="shared" si="1"/>
        <v>0</v>
      </c>
      <c r="J56" s="10">
        <v>0</v>
      </c>
      <c r="K56" s="10">
        <f t="shared" si="2"/>
        <v>0</v>
      </c>
      <c r="L56" s="17">
        <v>5</v>
      </c>
      <c r="M56" s="18">
        <f t="shared" si="3"/>
        <v>5</v>
      </c>
      <c r="N56" s="19">
        <f t="shared" si="4"/>
        <v>0</v>
      </c>
      <c r="O56" s="20">
        <f t="shared" si="5"/>
        <v>5</v>
      </c>
      <c r="P56" s="4"/>
      <c r="Q56" s="4"/>
      <c r="R56" s="4"/>
      <c r="S56" s="1"/>
      <c r="T56" s="1"/>
      <c r="U56" s="1"/>
      <c r="V56" s="1"/>
      <c r="W56" s="1"/>
      <c r="X56" s="1"/>
    </row>
    <row r="57" spans="1:24" ht="18.75">
      <c r="A57" s="8">
        <v>186</v>
      </c>
      <c r="B57" s="8">
        <v>595953188</v>
      </c>
      <c r="C57" s="47" t="s">
        <v>96</v>
      </c>
      <c r="D57" s="46"/>
      <c r="E57" s="10">
        <v>0</v>
      </c>
      <c r="F57" s="10">
        <v>0</v>
      </c>
      <c r="G57" s="39" t="s">
        <v>34</v>
      </c>
      <c r="H57" s="11">
        <f t="shared" si="0"/>
        <v>0</v>
      </c>
      <c r="I57" s="10">
        <f t="shared" si="1"/>
        <v>0</v>
      </c>
      <c r="J57" s="10">
        <v>0</v>
      </c>
      <c r="K57" s="10">
        <f t="shared" si="2"/>
        <v>0</v>
      </c>
      <c r="L57" s="17">
        <v>5</v>
      </c>
      <c r="M57" s="18">
        <f t="shared" si="3"/>
        <v>5</v>
      </c>
      <c r="N57" s="19">
        <f t="shared" si="4"/>
        <v>0</v>
      </c>
      <c r="O57" s="20">
        <f t="shared" si="5"/>
        <v>5</v>
      </c>
      <c r="P57" s="4"/>
      <c r="Q57" s="4"/>
      <c r="R57" s="4"/>
      <c r="S57" s="1"/>
      <c r="T57" s="1"/>
      <c r="U57" s="1"/>
      <c r="V57" s="1"/>
      <c r="W57" s="1"/>
      <c r="X57" s="1"/>
    </row>
    <row r="58" spans="1:24" ht="18.75">
      <c r="A58" s="8">
        <v>198</v>
      </c>
      <c r="B58" s="8">
        <v>723448640</v>
      </c>
      <c r="C58" s="47" t="s">
        <v>108</v>
      </c>
      <c r="D58" s="46"/>
      <c r="E58" s="10">
        <v>0</v>
      </c>
      <c r="F58" s="10">
        <v>0</v>
      </c>
      <c r="G58" s="39" t="s">
        <v>34</v>
      </c>
      <c r="H58" s="11">
        <f t="shared" si="0"/>
        <v>0</v>
      </c>
      <c r="I58" s="10">
        <f t="shared" si="1"/>
        <v>0</v>
      </c>
      <c r="J58" s="10">
        <v>0</v>
      </c>
      <c r="K58" s="10">
        <f t="shared" si="2"/>
        <v>0</v>
      </c>
      <c r="L58" s="17">
        <v>5</v>
      </c>
      <c r="M58" s="18">
        <f t="shared" si="3"/>
        <v>5</v>
      </c>
      <c r="N58" s="19">
        <f t="shared" si="4"/>
        <v>0</v>
      </c>
      <c r="O58" s="20">
        <f t="shared" si="5"/>
        <v>5</v>
      </c>
      <c r="P58" s="4"/>
      <c r="Q58" s="4"/>
      <c r="R58" s="4"/>
      <c r="S58" s="1"/>
      <c r="T58" s="1"/>
      <c r="U58" s="1"/>
      <c r="V58" s="1"/>
      <c r="W58" s="1"/>
      <c r="X58" s="1"/>
    </row>
    <row r="59" spans="1:24" ht="18.75">
      <c r="A59" s="8">
        <v>208</v>
      </c>
      <c r="B59" s="8">
        <v>92129464</v>
      </c>
      <c r="C59" s="47" t="s">
        <v>118</v>
      </c>
      <c r="D59" s="46"/>
      <c r="E59" s="10">
        <v>0</v>
      </c>
      <c r="F59" s="10">
        <v>0</v>
      </c>
      <c r="G59" s="39" t="s">
        <v>34</v>
      </c>
      <c r="H59" s="11">
        <f t="shared" si="0"/>
        <v>0</v>
      </c>
      <c r="I59" s="10">
        <f t="shared" si="1"/>
        <v>0</v>
      </c>
      <c r="J59" s="10">
        <v>0</v>
      </c>
      <c r="K59" s="10">
        <f t="shared" si="2"/>
        <v>0</v>
      </c>
      <c r="L59" s="17">
        <v>5</v>
      </c>
      <c r="M59" s="18">
        <f t="shared" si="3"/>
        <v>5</v>
      </c>
      <c r="N59" s="19">
        <f t="shared" si="4"/>
        <v>0</v>
      </c>
      <c r="O59" s="20">
        <f t="shared" si="5"/>
        <v>5</v>
      </c>
      <c r="P59" s="4"/>
      <c r="Q59" s="4"/>
      <c r="R59" s="4"/>
      <c r="S59" s="1"/>
      <c r="T59" s="1"/>
      <c r="U59" s="1"/>
      <c r="V59" s="1"/>
      <c r="W59" s="1"/>
      <c r="X59" s="1"/>
    </row>
    <row r="60" spans="1:24" ht="18.75">
      <c r="A60" s="8">
        <v>209</v>
      </c>
      <c r="B60" s="8">
        <v>1525950050</v>
      </c>
      <c r="C60" s="47" t="s">
        <v>119</v>
      </c>
      <c r="D60" s="46"/>
      <c r="E60" s="10">
        <v>0</v>
      </c>
      <c r="F60" s="10">
        <v>0</v>
      </c>
      <c r="G60" s="39" t="s">
        <v>34</v>
      </c>
      <c r="H60" s="11">
        <f t="shared" si="0"/>
        <v>0</v>
      </c>
      <c r="I60" s="10">
        <f t="shared" si="1"/>
        <v>0</v>
      </c>
      <c r="J60" s="10">
        <v>0</v>
      </c>
      <c r="K60" s="10">
        <f t="shared" si="2"/>
        <v>0</v>
      </c>
      <c r="L60" s="17">
        <v>5</v>
      </c>
      <c r="M60" s="18">
        <f t="shared" si="3"/>
        <v>5</v>
      </c>
      <c r="N60" s="19">
        <f t="shared" si="4"/>
        <v>0</v>
      </c>
      <c r="O60" s="20">
        <f t="shared" si="5"/>
        <v>5</v>
      </c>
      <c r="P60" s="4"/>
      <c r="Q60" s="4"/>
      <c r="R60" s="4"/>
      <c r="S60" s="1"/>
      <c r="T60" s="1"/>
      <c r="U60" s="1"/>
      <c r="V60" s="1"/>
      <c r="W60" s="1"/>
      <c r="X60" s="1"/>
    </row>
    <row r="61" spans="1:24" ht="18.75">
      <c r="A61" s="8">
        <v>210</v>
      </c>
      <c r="B61" s="8">
        <v>1675792665</v>
      </c>
      <c r="C61" s="47" t="s">
        <v>120</v>
      </c>
      <c r="D61" s="46"/>
      <c r="E61" s="10">
        <v>0</v>
      </c>
      <c r="F61" s="10">
        <v>0</v>
      </c>
      <c r="G61" s="39" t="s">
        <v>34</v>
      </c>
      <c r="H61" s="11">
        <f t="shared" si="0"/>
        <v>0</v>
      </c>
      <c r="I61" s="10">
        <f t="shared" si="1"/>
        <v>0</v>
      </c>
      <c r="J61" s="10">
        <v>0</v>
      </c>
      <c r="K61" s="10">
        <f t="shared" si="2"/>
        <v>0</v>
      </c>
      <c r="L61" s="17">
        <v>3.5</v>
      </c>
      <c r="M61" s="18">
        <f t="shared" si="3"/>
        <v>3.5</v>
      </c>
      <c r="N61" s="19">
        <f t="shared" si="4"/>
        <v>0</v>
      </c>
      <c r="O61" s="20">
        <f t="shared" si="5"/>
        <v>3.5</v>
      </c>
      <c r="P61" s="4"/>
      <c r="Q61" s="4"/>
      <c r="R61" s="4"/>
      <c r="S61" s="1"/>
      <c r="T61" s="1"/>
      <c r="U61" s="1"/>
      <c r="V61" s="1"/>
      <c r="W61" s="1"/>
      <c r="X61" s="1"/>
    </row>
    <row r="62" spans="1:24" ht="18.75">
      <c r="A62" s="8">
        <v>183</v>
      </c>
      <c r="B62" s="8">
        <v>1250030371</v>
      </c>
      <c r="C62" s="47" t="s">
        <v>123</v>
      </c>
      <c r="D62" s="47" t="s">
        <v>93</v>
      </c>
      <c r="E62" s="10">
        <v>0</v>
      </c>
      <c r="F62" s="10">
        <v>0</v>
      </c>
      <c r="G62" s="39" t="s">
        <v>34</v>
      </c>
      <c r="H62" s="11">
        <f t="shared" si="0"/>
        <v>0</v>
      </c>
      <c r="I62" s="10">
        <f t="shared" si="1"/>
        <v>0</v>
      </c>
      <c r="J62" s="10">
        <v>0</v>
      </c>
      <c r="K62" s="10">
        <f t="shared" si="2"/>
        <v>0</v>
      </c>
      <c r="L62" s="17">
        <v>3.5</v>
      </c>
      <c r="M62" s="18">
        <f t="shared" si="3"/>
        <v>3.5</v>
      </c>
      <c r="N62" s="19">
        <f t="shared" si="4"/>
        <v>0</v>
      </c>
      <c r="O62" s="20">
        <f t="shared" si="5"/>
        <v>3.5</v>
      </c>
      <c r="P62" s="4"/>
      <c r="Q62" s="4"/>
      <c r="R62" s="4"/>
      <c r="S62" s="1"/>
      <c r="T62" s="1"/>
      <c r="U62" s="1"/>
      <c r="V62" s="1"/>
      <c r="W62" s="1"/>
      <c r="X62" s="1"/>
    </row>
    <row r="63" spans="1:24" ht="18.75">
      <c r="A63" s="8">
        <v>196</v>
      </c>
      <c r="B63" s="8">
        <v>1065641844</v>
      </c>
      <c r="C63" s="47" t="s">
        <v>106</v>
      </c>
      <c r="D63" s="46"/>
      <c r="E63" s="10">
        <v>0</v>
      </c>
      <c r="F63" s="10">
        <v>0</v>
      </c>
      <c r="G63" s="39" t="s">
        <v>34</v>
      </c>
      <c r="H63" s="11">
        <f t="shared" si="0"/>
        <v>0</v>
      </c>
      <c r="I63" s="10">
        <f t="shared" si="1"/>
        <v>0</v>
      </c>
      <c r="J63" s="10">
        <v>0</v>
      </c>
      <c r="K63" s="10">
        <f t="shared" si="2"/>
        <v>0</v>
      </c>
      <c r="L63" s="17">
        <v>3.5</v>
      </c>
      <c r="M63" s="18">
        <f t="shared" si="3"/>
        <v>3.5</v>
      </c>
      <c r="N63" s="19">
        <f t="shared" si="4"/>
        <v>0</v>
      </c>
      <c r="O63" s="20">
        <f t="shared" si="5"/>
        <v>3.5</v>
      </c>
      <c r="P63" s="4"/>
      <c r="Q63" s="4"/>
      <c r="R63" s="4"/>
      <c r="S63" s="1"/>
      <c r="T63" s="1"/>
      <c r="U63" s="1"/>
      <c r="V63" s="1"/>
      <c r="W63" s="1"/>
      <c r="X63" s="1"/>
    </row>
    <row r="64" spans="1:24" ht="18.75">
      <c r="A64" s="8">
        <v>203</v>
      </c>
      <c r="B64" s="8">
        <v>382695365</v>
      </c>
      <c r="C64" s="47" t="s">
        <v>112</v>
      </c>
      <c r="D64" s="46"/>
      <c r="E64" s="10">
        <v>0</v>
      </c>
      <c r="F64" s="10">
        <v>0</v>
      </c>
      <c r="G64" s="39" t="s">
        <v>34</v>
      </c>
      <c r="H64" s="11">
        <f t="shared" si="0"/>
        <v>0</v>
      </c>
      <c r="I64" s="10">
        <f t="shared" si="1"/>
        <v>0</v>
      </c>
      <c r="J64" s="10">
        <v>0</v>
      </c>
      <c r="K64" s="10">
        <f t="shared" si="2"/>
        <v>0</v>
      </c>
      <c r="L64" s="17">
        <v>3.5</v>
      </c>
      <c r="M64" s="18">
        <f t="shared" si="3"/>
        <v>3.5</v>
      </c>
      <c r="N64" s="19">
        <f t="shared" si="4"/>
        <v>0</v>
      </c>
      <c r="O64" s="20">
        <f t="shared" si="5"/>
        <v>3.5</v>
      </c>
      <c r="P64" s="4"/>
      <c r="Q64" s="4"/>
      <c r="R64" s="4"/>
      <c r="S64" s="1"/>
      <c r="T64" s="1"/>
      <c r="U64" s="1"/>
      <c r="V64" s="1"/>
      <c r="W64" s="1"/>
      <c r="X64" s="1"/>
    </row>
    <row r="65" spans="1:24" ht="18.75">
      <c r="A65" s="8">
        <v>184</v>
      </c>
      <c r="B65" s="8">
        <v>1814130074</v>
      </c>
      <c r="C65" s="47" t="s">
        <v>94</v>
      </c>
      <c r="D65" s="46"/>
      <c r="E65" s="10">
        <v>0</v>
      </c>
      <c r="F65" s="10">
        <v>0</v>
      </c>
      <c r="G65" s="39" t="s">
        <v>34</v>
      </c>
      <c r="H65" s="11">
        <f t="shared" si="0"/>
        <v>0</v>
      </c>
      <c r="I65" s="10">
        <f t="shared" si="1"/>
        <v>0</v>
      </c>
      <c r="J65" s="10">
        <v>0</v>
      </c>
      <c r="K65" s="10">
        <f t="shared" si="2"/>
        <v>0</v>
      </c>
      <c r="L65" s="17">
        <v>3.5</v>
      </c>
      <c r="M65" s="18">
        <f t="shared" si="3"/>
        <v>3.5</v>
      </c>
      <c r="N65" s="19">
        <f t="shared" si="4"/>
        <v>0</v>
      </c>
      <c r="O65" s="20">
        <f t="shared" si="5"/>
        <v>3.5</v>
      </c>
      <c r="P65" s="4"/>
      <c r="Q65" s="4"/>
      <c r="R65" s="4"/>
      <c r="S65" s="1"/>
      <c r="T65" s="1"/>
      <c r="U65" s="1"/>
      <c r="V65" s="1"/>
      <c r="W65" s="1"/>
      <c r="X65" s="1"/>
    </row>
    <row r="66" spans="1:24" ht="18.75">
      <c r="A66" s="8">
        <v>110</v>
      </c>
      <c r="B66" s="8">
        <v>1968703358</v>
      </c>
      <c r="C66" s="47" t="s">
        <v>81</v>
      </c>
      <c r="D66" s="48" t="s">
        <v>45</v>
      </c>
      <c r="E66" s="10">
        <v>0</v>
      </c>
      <c r="F66" s="10">
        <v>0</v>
      </c>
      <c r="G66" s="39" t="s">
        <v>34</v>
      </c>
      <c r="H66" s="11">
        <f t="shared" si="0"/>
        <v>0</v>
      </c>
      <c r="I66" s="10">
        <f t="shared" si="1"/>
        <v>0</v>
      </c>
      <c r="J66" s="10">
        <v>0</v>
      </c>
      <c r="K66" s="10">
        <f t="shared" si="2"/>
        <v>0</v>
      </c>
      <c r="L66" s="17">
        <v>3.5</v>
      </c>
      <c r="M66" s="18">
        <f t="shared" si="3"/>
        <v>3.5</v>
      </c>
      <c r="N66" s="19">
        <f t="shared" si="4"/>
        <v>0</v>
      </c>
      <c r="O66" s="20">
        <f t="shared" si="5"/>
        <v>3.5</v>
      </c>
      <c r="P66" s="11"/>
      <c r="Q66" s="11"/>
      <c r="R66" s="17"/>
      <c r="S66" s="1"/>
      <c r="T66" s="1"/>
      <c r="U66" s="1"/>
      <c r="V66" s="1"/>
      <c r="W66" s="1"/>
      <c r="X66" s="1"/>
    </row>
    <row r="67" spans="1:24" ht="18.75">
      <c r="A67" s="8">
        <v>211</v>
      </c>
      <c r="B67" s="8">
        <v>1030769255</v>
      </c>
      <c r="C67" s="47" t="s">
        <v>121</v>
      </c>
      <c r="D67" s="46"/>
      <c r="E67" s="10">
        <v>0</v>
      </c>
      <c r="F67" s="10">
        <v>0</v>
      </c>
      <c r="G67" s="39" t="s">
        <v>34</v>
      </c>
      <c r="H67" s="11">
        <f t="shared" si="0"/>
        <v>0</v>
      </c>
      <c r="I67" s="10">
        <f t="shared" si="1"/>
        <v>0</v>
      </c>
      <c r="J67" s="10">
        <v>0</v>
      </c>
      <c r="K67" s="10">
        <f t="shared" si="2"/>
        <v>0</v>
      </c>
      <c r="L67" s="17">
        <v>2</v>
      </c>
      <c r="M67" s="18">
        <f t="shared" si="3"/>
        <v>2</v>
      </c>
      <c r="N67" s="19">
        <f t="shared" si="4"/>
        <v>0</v>
      </c>
      <c r="O67" s="20">
        <f t="shared" si="5"/>
        <v>2</v>
      </c>
      <c r="P67" s="4"/>
      <c r="Q67" s="4"/>
      <c r="R67" s="4"/>
      <c r="S67" s="1"/>
      <c r="T67" s="1"/>
      <c r="U67" s="1"/>
      <c r="V67" s="1"/>
      <c r="W67" s="1"/>
      <c r="X67" s="1"/>
    </row>
    <row r="68" spans="1:24" ht="18.75">
      <c r="A68" s="8">
        <v>206</v>
      </c>
      <c r="B68" s="8">
        <v>1835375380</v>
      </c>
      <c r="C68" s="47" t="s">
        <v>115</v>
      </c>
      <c r="D68" s="46"/>
      <c r="E68" s="10">
        <v>0</v>
      </c>
      <c r="F68" s="10">
        <v>0</v>
      </c>
      <c r="G68" s="39" t="s">
        <v>34</v>
      </c>
      <c r="H68" s="11">
        <f t="shared" si="0"/>
        <v>0</v>
      </c>
      <c r="I68" s="10">
        <f t="shared" si="1"/>
        <v>0</v>
      </c>
      <c r="J68" s="10">
        <v>0</v>
      </c>
      <c r="K68" s="10">
        <f t="shared" si="2"/>
        <v>0</v>
      </c>
      <c r="L68" s="17">
        <v>2</v>
      </c>
      <c r="M68" s="18">
        <f t="shared" si="3"/>
        <v>2</v>
      </c>
      <c r="N68" s="19">
        <f t="shared" si="4"/>
        <v>0</v>
      </c>
      <c r="O68" s="20">
        <f t="shared" si="5"/>
        <v>2</v>
      </c>
      <c r="P68" s="4"/>
      <c r="Q68" s="4"/>
      <c r="R68" s="4"/>
      <c r="S68" s="1"/>
      <c r="T68" s="1"/>
      <c r="U68" s="1"/>
      <c r="V68" s="1"/>
      <c r="W68" s="1"/>
      <c r="X68" s="1"/>
    </row>
    <row r="69" spans="1:24" ht="18.75">
      <c r="A69" s="9">
        <v>5</v>
      </c>
      <c r="B69" s="8">
        <v>1044399218</v>
      </c>
      <c r="C69" s="47" t="s">
        <v>75</v>
      </c>
      <c r="D69" s="48" t="s">
        <v>9</v>
      </c>
      <c r="E69" s="10">
        <v>0</v>
      </c>
      <c r="F69" s="10">
        <v>0</v>
      </c>
      <c r="G69" s="39" t="s">
        <v>34</v>
      </c>
      <c r="H69" s="11">
        <f t="shared" si="0"/>
        <v>0</v>
      </c>
      <c r="I69" s="10">
        <f t="shared" si="1"/>
        <v>0</v>
      </c>
      <c r="J69" s="10">
        <v>0</v>
      </c>
      <c r="K69" s="10">
        <f t="shared" si="2"/>
        <v>0</v>
      </c>
      <c r="L69" s="17">
        <v>2</v>
      </c>
      <c r="M69" s="18">
        <f t="shared" si="3"/>
        <v>2</v>
      </c>
      <c r="N69" s="19">
        <f t="shared" si="4"/>
        <v>0</v>
      </c>
      <c r="O69" s="20">
        <f t="shared" si="5"/>
        <v>2</v>
      </c>
      <c r="P69" s="11"/>
      <c r="Q69" s="11"/>
      <c r="R69" s="11"/>
      <c r="S69" s="1"/>
      <c r="T69" s="1"/>
      <c r="U69" s="1"/>
      <c r="V69" s="1"/>
      <c r="W69" s="1"/>
      <c r="X69" s="1"/>
    </row>
    <row r="70" spans="1:24" ht="18.75">
      <c r="A70" s="9">
        <v>103</v>
      </c>
      <c r="B70" s="8">
        <v>1540443440</v>
      </c>
      <c r="C70" s="48" t="s">
        <v>68</v>
      </c>
      <c r="D70" s="48" t="s">
        <v>35</v>
      </c>
      <c r="E70" s="10">
        <v>0</v>
      </c>
      <c r="F70" s="10">
        <v>0</v>
      </c>
      <c r="G70" s="39" t="s">
        <v>34</v>
      </c>
      <c r="H70" s="11">
        <f t="shared" si="0"/>
        <v>0</v>
      </c>
      <c r="I70" s="10">
        <f t="shared" si="1"/>
        <v>0</v>
      </c>
      <c r="J70" s="10">
        <v>0</v>
      </c>
      <c r="K70" s="10">
        <f t="shared" si="2"/>
        <v>0</v>
      </c>
      <c r="L70" s="17">
        <v>2</v>
      </c>
      <c r="M70" s="18">
        <f t="shared" si="3"/>
        <v>2</v>
      </c>
      <c r="N70" s="19">
        <f t="shared" si="4"/>
        <v>0</v>
      </c>
      <c r="O70" s="20">
        <f t="shared" si="5"/>
        <v>2</v>
      </c>
      <c r="P70" s="11"/>
      <c r="Q70" s="11"/>
      <c r="R70" s="11"/>
      <c r="S70" s="3"/>
      <c r="T70" s="3"/>
      <c r="U70" s="3"/>
      <c r="V70" s="3"/>
      <c r="W70" s="3"/>
      <c r="X70" s="3"/>
    </row>
    <row r="71" spans="1:24" ht="18.75">
      <c r="A71" s="8">
        <v>141</v>
      </c>
      <c r="B71" s="8">
        <v>1190305158</v>
      </c>
      <c r="C71" s="47" t="s">
        <v>55</v>
      </c>
      <c r="D71" s="50"/>
      <c r="E71" s="10">
        <v>0</v>
      </c>
      <c r="F71" s="10">
        <v>0</v>
      </c>
      <c r="G71" s="39" t="s">
        <v>34</v>
      </c>
      <c r="H71" s="11">
        <f t="shared" si="0"/>
        <v>0</v>
      </c>
      <c r="I71" s="10">
        <f t="shared" si="1"/>
        <v>0</v>
      </c>
      <c r="J71" s="10">
        <v>0</v>
      </c>
      <c r="K71" s="10">
        <f t="shared" si="2"/>
        <v>0</v>
      </c>
      <c r="L71" s="17">
        <v>2</v>
      </c>
      <c r="M71" s="18">
        <f t="shared" si="3"/>
        <v>2</v>
      </c>
      <c r="N71" s="19">
        <f t="shared" si="4"/>
        <v>0</v>
      </c>
      <c r="O71" s="20">
        <f t="shared" si="5"/>
        <v>2</v>
      </c>
      <c r="P71" s="11"/>
      <c r="Q71" s="11"/>
      <c r="R71" s="31"/>
    </row>
    <row r="72" spans="1:24" ht="18.75">
      <c r="A72" s="8">
        <v>199</v>
      </c>
      <c r="B72" s="8">
        <v>1190213504</v>
      </c>
      <c r="C72" s="47" t="s">
        <v>117</v>
      </c>
      <c r="D72" s="46"/>
      <c r="E72" s="10">
        <v>0</v>
      </c>
      <c r="F72" s="10">
        <v>0</v>
      </c>
      <c r="G72" s="39" t="s">
        <v>34</v>
      </c>
      <c r="H72" s="11">
        <f t="shared" si="0"/>
        <v>0</v>
      </c>
      <c r="I72" s="10">
        <f t="shared" si="1"/>
        <v>0</v>
      </c>
      <c r="J72" s="10">
        <v>0</v>
      </c>
      <c r="K72" s="10">
        <f t="shared" si="2"/>
        <v>0</v>
      </c>
      <c r="L72" s="17">
        <v>1</v>
      </c>
      <c r="M72" s="18">
        <f t="shared" si="3"/>
        <v>1</v>
      </c>
      <c r="N72" s="19">
        <f t="shared" si="4"/>
        <v>0</v>
      </c>
      <c r="O72" s="20">
        <f t="shared" si="5"/>
        <v>1</v>
      </c>
      <c r="P72" s="4"/>
      <c r="Q72" s="4"/>
      <c r="R72" s="4"/>
    </row>
    <row r="73" spans="1:24" ht="18.75">
      <c r="A73" s="8">
        <v>204</v>
      </c>
      <c r="B73" s="8">
        <v>1449474852</v>
      </c>
      <c r="C73" s="47" t="s">
        <v>113</v>
      </c>
      <c r="D73" s="46"/>
      <c r="E73" s="10">
        <v>0</v>
      </c>
      <c r="F73" s="10">
        <v>0</v>
      </c>
      <c r="G73" s="39" t="s">
        <v>34</v>
      </c>
      <c r="H73" s="11">
        <f t="shared" si="0"/>
        <v>0</v>
      </c>
      <c r="I73" s="10">
        <f t="shared" si="1"/>
        <v>0</v>
      </c>
      <c r="J73" s="10">
        <v>0</v>
      </c>
      <c r="K73" s="10">
        <f t="shared" si="2"/>
        <v>0</v>
      </c>
      <c r="L73" s="17">
        <v>1</v>
      </c>
      <c r="M73" s="18">
        <f t="shared" si="3"/>
        <v>1</v>
      </c>
      <c r="N73" s="19">
        <f t="shared" si="4"/>
        <v>0</v>
      </c>
      <c r="O73" s="20">
        <f t="shared" si="5"/>
        <v>1</v>
      </c>
      <c r="P73" s="4"/>
      <c r="Q73" s="4"/>
      <c r="R73" s="4"/>
    </row>
    <row r="74" spans="1:24" ht="18.75">
      <c r="A74" s="8">
        <v>192</v>
      </c>
      <c r="B74" s="8">
        <v>1725281178</v>
      </c>
      <c r="C74" s="47" t="s">
        <v>102</v>
      </c>
      <c r="D74" s="46"/>
      <c r="E74" s="10">
        <v>0</v>
      </c>
      <c r="F74" s="10">
        <v>0</v>
      </c>
      <c r="G74" s="39" t="s">
        <v>34</v>
      </c>
      <c r="H74" s="11">
        <f t="shared" si="0"/>
        <v>0</v>
      </c>
      <c r="I74" s="10">
        <f t="shared" si="1"/>
        <v>0</v>
      </c>
      <c r="J74" s="10">
        <v>0</v>
      </c>
      <c r="K74" s="10">
        <f t="shared" si="2"/>
        <v>0</v>
      </c>
      <c r="L74" s="17">
        <v>1</v>
      </c>
      <c r="M74" s="18">
        <f t="shared" si="3"/>
        <v>1</v>
      </c>
      <c r="N74" s="19">
        <f t="shared" si="4"/>
        <v>0</v>
      </c>
      <c r="O74" s="20">
        <f t="shared" si="5"/>
        <v>1</v>
      </c>
      <c r="P74" s="4"/>
      <c r="Q74" s="4"/>
      <c r="R74" s="4"/>
    </row>
    <row r="75" spans="1:24" ht="18.75">
      <c r="A75" s="8">
        <v>201</v>
      </c>
      <c r="B75" s="8">
        <v>251334814</v>
      </c>
      <c r="C75" s="47" t="s">
        <v>110</v>
      </c>
      <c r="D75" s="46"/>
      <c r="E75" s="10">
        <v>0</v>
      </c>
      <c r="F75" s="10">
        <v>0</v>
      </c>
      <c r="G75" s="39" t="s">
        <v>34</v>
      </c>
      <c r="H75" s="11">
        <f t="shared" si="0"/>
        <v>0</v>
      </c>
      <c r="I75" s="10">
        <f t="shared" si="1"/>
        <v>0</v>
      </c>
      <c r="J75" s="10">
        <v>0</v>
      </c>
      <c r="K75" s="10">
        <f t="shared" si="2"/>
        <v>0</v>
      </c>
      <c r="L75" s="17">
        <v>1</v>
      </c>
      <c r="M75" s="18">
        <f t="shared" si="3"/>
        <v>1</v>
      </c>
      <c r="N75" s="19">
        <f t="shared" si="4"/>
        <v>0</v>
      </c>
      <c r="O75" s="20">
        <f t="shared" si="5"/>
        <v>1</v>
      </c>
      <c r="P75" s="4"/>
      <c r="Q75" s="4"/>
      <c r="R75" s="4"/>
    </row>
    <row r="76" spans="1:24" ht="18.75">
      <c r="A76" s="8">
        <v>148</v>
      </c>
      <c r="B76" s="8">
        <v>1579518877</v>
      </c>
      <c r="C76" s="47" t="s">
        <v>59</v>
      </c>
      <c r="D76" s="50"/>
      <c r="E76" s="10">
        <v>0</v>
      </c>
      <c r="F76" s="10">
        <v>0</v>
      </c>
      <c r="G76" s="39" t="s">
        <v>34</v>
      </c>
      <c r="H76" s="11">
        <f t="shared" si="0"/>
        <v>0</v>
      </c>
      <c r="I76" s="10">
        <f t="shared" si="1"/>
        <v>0</v>
      </c>
      <c r="J76" s="10">
        <v>0</v>
      </c>
      <c r="K76" s="10">
        <f t="shared" si="2"/>
        <v>0</v>
      </c>
      <c r="L76" s="17">
        <v>1</v>
      </c>
      <c r="M76" s="18">
        <f t="shared" si="3"/>
        <v>1</v>
      </c>
      <c r="N76" s="19">
        <f t="shared" si="4"/>
        <v>0</v>
      </c>
      <c r="O76" s="20">
        <f t="shared" si="5"/>
        <v>1</v>
      </c>
      <c r="P76" s="4"/>
      <c r="Q76" s="4"/>
      <c r="R76" s="4"/>
    </row>
    <row r="77" spans="1:24" ht="18.75">
      <c r="A77" s="8">
        <v>144</v>
      </c>
      <c r="B77" s="8">
        <v>1763923855</v>
      </c>
      <c r="C77" s="47" t="s">
        <v>57</v>
      </c>
      <c r="D77" s="53"/>
      <c r="E77" s="10">
        <v>0</v>
      </c>
      <c r="F77" s="10">
        <v>0</v>
      </c>
      <c r="G77" s="39" t="s">
        <v>34</v>
      </c>
      <c r="H77" s="11">
        <f t="shared" si="0"/>
        <v>0</v>
      </c>
      <c r="I77" s="10">
        <f t="shared" si="1"/>
        <v>0</v>
      </c>
      <c r="J77" s="10">
        <v>0</v>
      </c>
      <c r="K77" s="10">
        <f t="shared" si="2"/>
        <v>0</v>
      </c>
      <c r="L77" s="17">
        <v>1</v>
      </c>
      <c r="M77" s="18">
        <f t="shared" si="3"/>
        <v>1</v>
      </c>
      <c r="N77" s="19">
        <f t="shared" si="4"/>
        <v>0</v>
      </c>
      <c r="O77" s="20">
        <f t="shared" si="5"/>
        <v>1</v>
      </c>
      <c r="P77" s="4"/>
      <c r="Q77" s="4"/>
      <c r="R77" s="4"/>
    </row>
    <row r="78" spans="1:24" ht="18.75">
      <c r="A78" s="8">
        <v>152</v>
      </c>
      <c r="B78" s="8">
        <v>808637979</v>
      </c>
      <c r="C78" s="47" t="s">
        <v>62</v>
      </c>
      <c r="D78" s="47" t="s">
        <v>60</v>
      </c>
      <c r="E78" s="10">
        <v>0</v>
      </c>
      <c r="F78" s="10">
        <v>0</v>
      </c>
      <c r="G78" s="39" t="s">
        <v>34</v>
      </c>
      <c r="H78" s="11">
        <f t="shared" si="0"/>
        <v>0</v>
      </c>
      <c r="I78" s="10">
        <f t="shared" si="1"/>
        <v>0</v>
      </c>
      <c r="J78" s="10">
        <v>0</v>
      </c>
      <c r="K78" s="10">
        <f t="shared" si="2"/>
        <v>0</v>
      </c>
      <c r="L78" s="17">
        <v>0</v>
      </c>
      <c r="M78" s="18">
        <f t="shared" si="3"/>
        <v>0</v>
      </c>
      <c r="N78" s="19">
        <f t="shared" si="4"/>
        <v>0</v>
      </c>
      <c r="O78" s="20">
        <f t="shared" si="5"/>
        <v>0</v>
      </c>
      <c r="P78" s="4"/>
      <c r="Q78" s="4"/>
      <c r="R78" s="4"/>
    </row>
    <row r="79" spans="1:24" ht="18.75">
      <c r="A79" s="8">
        <v>170</v>
      </c>
      <c r="B79" s="8">
        <v>1659068972</v>
      </c>
      <c r="C79" s="47" t="s">
        <v>66</v>
      </c>
      <c r="D79" s="46"/>
      <c r="E79" s="10">
        <v>0</v>
      </c>
      <c r="F79" s="10">
        <v>0</v>
      </c>
      <c r="G79" s="39" t="s">
        <v>34</v>
      </c>
      <c r="H79" s="11">
        <f t="shared" si="0"/>
        <v>0</v>
      </c>
      <c r="I79" s="10">
        <f t="shared" si="1"/>
        <v>0</v>
      </c>
      <c r="J79" s="10">
        <v>0</v>
      </c>
      <c r="K79" s="10">
        <f t="shared" si="2"/>
        <v>0</v>
      </c>
      <c r="L79" s="17">
        <v>0</v>
      </c>
      <c r="M79" s="18">
        <f t="shared" si="3"/>
        <v>0</v>
      </c>
      <c r="N79" s="19">
        <f t="shared" si="4"/>
        <v>0</v>
      </c>
      <c r="O79" s="20">
        <f t="shared" si="5"/>
        <v>0</v>
      </c>
      <c r="P79" s="4"/>
      <c r="Q79" s="4"/>
      <c r="R79" s="4"/>
    </row>
    <row r="80" spans="1:24" ht="18.75">
      <c r="A80" s="8">
        <v>167</v>
      </c>
      <c r="B80" s="8">
        <v>1173807161</v>
      </c>
      <c r="C80" s="47" t="s">
        <v>67</v>
      </c>
      <c r="D80" s="52"/>
      <c r="E80" s="10">
        <v>0</v>
      </c>
      <c r="F80" s="10">
        <v>0</v>
      </c>
      <c r="G80" s="39" t="s">
        <v>34</v>
      </c>
      <c r="H80" s="11">
        <f t="shared" si="0"/>
        <v>0</v>
      </c>
      <c r="I80" s="10">
        <f t="shared" si="1"/>
        <v>0</v>
      </c>
      <c r="J80" s="10">
        <v>0</v>
      </c>
      <c r="K80" s="10">
        <f t="shared" si="2"/>
        <v>0</v>
      </c>
      <c r="L80" s="17">
        <v>0</v>
      </c>
      <c r="M80" s="18">
        <f t="shared" si="3"/>
        <v>0</v>
      </c>
      <c r="N80" s="19">
        <f t="shared" si="4"/>
        <v>0</v>
      </c>
      <c r="O80" s="20">
        <f t="shared" si="5"/>
        <v>0</v>
      </c>
      <c r="P80" s="4"/>
      <c r="Q80" s="4"/>
      <c r="R80" s="4"/>
    </row>
    <row r="81" spans="1:18" ht="18.75">
      <c r="A81" s="8">
        <v>138</v>
      </c>
      <c r="B81" s="8">
        <v>1440730282</v>
      </c>
      <c r="C81" s="47" t="s">
        <v>86</v>
      </c>
      <c r="D81" s="47" t="s">
        <v>54</v>
      </c>
      <c r="E81" s="10">
        <v>0</v>
      </c>
      <c r="F81" s="10">
        <v>0</v>
      </c>
      <c r="G81" s="39" t="s">
        <v>34</v>
      </c>
      <c r="H81" s="11">
        <f t="shared" si="0"/>
        <v>0</v>
      </c>
      <c r="I81" s="10">
        <f t="shared" si="1"/>
        <v>0</v>
      </c>
      <c r="J81" s="10">
        <v>0</v>
      </c>
      <c r="K81" s="10">
        <f t="shared" si="2"/>
        <v>0</v>
      </c>
      <c r="L81" s="17">
        <v>0</v>
      </c>
      <c r="M81" s="18">
        <f t="shared" si="3"/>
        <v>0</v>
      </c>
      <c r="N81" s="19">
        <f t="shared" si="4"/>
        <v>0</v>
      </c>
      <c r="O81" s="20">
        <f t="shared" si="5"/>
        <v>0</v>
      </c>
      <c r="P81" s="11"/>
      <c r="Q81" s="11"/>
      <c r="R81" s="31"/>
    </row>
    <row r="82" spans="1:18" ht="18.75">
      <c r="A82" s="8">
        <v>127</v>
      </c>
      <c r="B82" s="8">
        <v>615908706</v>
      </c>
      <c r="C82" s="47" t="s">
        <v>84</v>
      </c>
      <c r="D82" s="50" t="s">
        <v>46</v>
      </c>
      <c r="E82" s="10">
        <v>0</v>
      </c>
      <c r="F82" s="10">
        <v>0</v>
      </c>
      <c r="G82" s="39" t="s">
        <v>34</v>
      </c>
      <c r="H82" s="11">
        <f t="shared" si="0"/>
        <v>0</v>
      </c>
      <c r="I82" s="10">
        <f t="shared" si="1"/>
        <v>0</v>
      </c>
      <c r="J82" s="10">
        <v>0</v>
      </c>
      <c r="K82" s="10">
        <f t="shared" si="2"/>
        <v>0</v>
      </c>
      <c r="L82" s="17">
        <v>0</v>
      </c>
      <c r="M82" s="18">
        <f t="shared" si="3"/>
        <v>0</v>
      </c>
      <c r="N82" s="19">
        <f t="shared" si="4"/>
        <v>0</v>
      </c>
      <c r="O82" s="20">
        <f t="shared" si="5"/>
        <v>0</v>
      </c>
      <c r="P82" s="40"/>
      <c r="Q82" s="40"/>
      <c r="R82" s="41"/>
    </row>
    <row r="83" spans="1:18" ht="18.75">
      <c r="A83" s="9">
        <v>43</v>
      </c>
      <c r="B83" s="8">
        <v>1853818182</v>
      </c>
      <c r="C83" s="48" t="s">
        <v>78</v>
      </c>
      <c r="D83" s="48" t="s">
        <v>14</v>
      </c>
      <c r="E83" s="10">
        <v>0</v>
      </c>
      <c r="F83" s="10">
        <v>0</v>
      </c>
      <c r="G83" s="39" t="s">
        <v>34</v>
      </c>
      <c r="H83" s="11">
        <f t="shared" si="0"/>
        <v>0</v>
      </c>
      <c r="I83" s="10">
        <f t="shared" si="1"/>
        <v>0</v>
      </c>
      <c r="J83" s="10">
        <v>0</v>
      </c>
      <c r="K83" s="10">
        <f t="shared" si="2"/>
        <v>0</v>
      </c>
      <c r="L83" s="17">
        <v>0</v>
      </c>
      <c r="M83" s="18">
        <f t="shared" si="3"/>
        <v>0</v>
      </c>
      <c r="N83" s="19">
        <f t="shared" si="4"/>
        <v>0</v>
      </c>
      <c r="O83" s="20">
        <f t="shared" si="5"/>
        <v>0</v>
      </c>
      <c r="P83" s="40"/>
      <c r="Q83" s="40"/>
    </row>
    <row r="84" spans="1:18" ht="18.75">
      <c r="A84" s="8">
        <v>197</v>
      </c>
      <c r="B84" s="8">
        <v>2012003193</v>
      </c>
      <c r="C84" s="47" t="s">
        <v>107</v>
      </c>
      <c r="D84" s="46"/>
      <c r="E84" s="10">
        <v>0</v>
      </c>
      <c r="F84" s="10">
        <v>0</v>
      </c>
      <c r="G84" s="39" t="s">
        <v>34</v>
      </c>
      <c r="H84" s="11">
        <f t="shared" si="0"/>
        <v>0</v>
      </c>
      <c r="I84" s="10">
        <f t="shared" si="1"/>
        <v>0</v>
      </c>
      <c r="J84" s="10">
        <v>0</v>
      </c>
      <c r="K84" s="10">
        <f t="shared" si="2"/>
        <v>0</v>
      </c>
      <c r="L84" s="17">
        <v>0</v>
      </c>
      <c r="M84" s="18">
        <f t="shared" si="3"/>
        <v>0</v>
      </c>
      <c r="N84" s="19">
        <f t="shared" si="4"/>
        <v>0</v>
      </c>
      <c r="O84" s="20">
        <f t="shared" si="5"/>
        <v>0</v>
      </c>
    </row>
    <row r="85" spans="1:18" ht="18.75">
      <c r="A85" s="8">
        <v>164</v>
      </c>
      <c r="B85" s="8">
        <v>1005320430</v>
      </c>
      <c r="C85" s="47" t="s">
        <v>65</v>
      </c>
      <c r="D85" s="45"/>
      <c r="E85" s="10">
        <v>0</v>
      </c>
      <c r="F85" s="10">
        <v>0</v>
      </c>
      <c r="G85" s="39" t="s">
        <v>34</v>
      </c>
      <c r="H85" s="11">
        <f t="shared" si="0"/>
        <v>0</v>
      </c>
      <c r="I85" s="10">
        <f t="shared" si="1"/>
        <v>0</v>
      </c>
      <c r="J85" s="10">
        <v>0</v>
      </c>
      <c r="K85" s="10">
        <f t="shared" si="2"/>
        <v>0</v>
      </c>
      <c r="L85" s="17">
        <v>0</v>
      </c>
      <c r="M85" s="18">
        <f t="shared" si="3"/>
        <v>0</v>
      </c>
      <c r="N85" s="19">
        <f t="shared" si="4"/>
        <v>0</v>
      </c>
      <c r="O85" s="20">
        <f t="shared" si="5"/>
        <v>0</v>
      </c>
    </row>
    <row r="86" spans="1:18" ht="18.75">
      <c r="A86" s="9">
        <v>122</v>
      </c>
      <c r="B86" s="8">
        <v>1940099728</v>
      </c>
      <c r="C86" s="48" t="s">
        <v>43</v>
      </c>
      <c r="D86" s="49"/>
      <c r="E86" s="10">
        <v>0</v>
      </c>
      <c r="F86" s="10">
        <v>0</v>
      </c>
      <c r="G86" s="39" t="s">
        <v>34</v>
      </c>
      <c r="H86" s="11">
        <f t="shared" si="0"/>
        <v>0</v>
      </c>
      <c r="I86" s="10">
        <f t="shared" si="1"/>
        <v>0</v>
      </c>
      <c r="J86" s="10">
        <v>0</v>
      </c>
      <c r="K86" s="10">
        <f t="shared" si="2"/>
        <v>0</v>
      </c>
      <c r="L86" s="17">
        <v>0</v>
      </c>
      <c r="M86" s="18">
        <f t="shared" si="3"/>
        <v>0</v>
      </c>
      <c r="N86" s="19">
        <f t="shared" si="4"/>
        <v>0</v>
      </c>
      <c r="O86" s="20">
        <f t="shared" si="5"/>
        <v>0</v>
      </c>
      <c r="P86" s="40"/>
      <c r="Q86" s="40"/>
      <c r="R86" s="41"/>
    </row>
    <row r="87" spans="1:18" ht="18.75">
      <c r="A87" s="8">
        <v>179</v>
      </c>
      <c r="B87" s="8">
        <v>1412638269</v>
      </c>
      <c r="C87" s="48" t="s">
        <v>42</v>
      </c>
      <c r="D87" s="46"/>
      <c r="E87" s="10">
        <v>0</v>
      </c>
      <c r="F87" s="10">
        <v>0</v>
      </c>
      <c r="G87" s="39" t="s">
        <v>34</v>
      </c>
      <c r="H87" s="11">
        <f t="shared" si="0"/>
        <v>0</v>
      </c>
      <c r="I87" s="10">
        <f t="shared" si="1"/>
        <v>0</v>
      </c>
      <c r="J87" s="10">
        <v>0</v>
      </c>
      <c r="K87" s="10">
        <f t="shared" si="2"/>
        <v>0</v>
      </c>
      <c r="L87" s="17">
        <v>0</v>
      </c>
      <c r="M87" s="18">
        <f t="shared" si="3"/>
        <v>0</v>
      </c>
      <c r="N87" s="19">
        <f t="shared" si="4"/>
        <v>0</v>
      </c>
      <c r="O87" s="20">
        <f t="shared" si="5"/>
        <v>0</v>
      </c>
    </row>
    <row r="88" spans="1:18" ht="18.75">
      <c r="A88" s="8">
        <v>156</v>
      </c>
      <c r="B88" s="8">
        <v>1754610165</v>
      </c>
      <c r="C88" s="47" t="s">
        <v>88</v>
      </c>
      <c r="D88" s="45"/>
      <c r="E88" s="10">
        <v>0</v>
      </c>
      <c r="F88" s="10">
        <v>0</v>
      </c>
      <c r="G88" s="39" t="s">
        <v>34</v>
      </c>
      <c r="H88" s="11">
        <f t="shared" si="0"/>
        <v>0</v>
      </c>
      <c r="I88" s="10">
        <f t="shared" si="1"/>
        <v>0</v>
      </c>
      <c r="J88" s="10">
        <v>0</v>
      </c>
      <c r="K88" s="10">
        <f t="shared" si="2"/>
        <v>0</v>
      </c>
      <c r="L88" s="17">
        <v>-3.125</v>
      </c>
      <c r="M88" s="18">
        <f t="shared" si="3"/>
        <v>-3.125</v>
      </c>
      <c r="N88" s="19">
        <f t="shared" si="4"/>
        <v>0</v>
      </c>
      <c r="O88" s="20">
        <f t="shared" si="5"/>
        <v>-3.125</v>
      </c>
    </row>
    <row r="89" spans="1:18" ht="18.75">
      <c r="A89" s="8">
        <v>172</v>
      </c>
      <c r="B89" s="8">
        <v>724061220</v>
      </c>
      <c r="C89" s="47" t="s">
        <v>90</v>
      </c>
      <c r="D89" s="47" t="s">
        <v>71</v>
      </c>
      <c r="E89" s="10">
        <v>0</v>
      </c>
      <c r="F89" s="10">
        <v>0</v>
      </c>
      <c r="G89" s="39" t="s">
        <v>34</v>
      </c>
      <c r="H89" s="11">
        <f t="shared" si="0"/>
        <v>0</v>
      </c>
      <c r="I89" s="10">
        <f t="shared" si="1"/>
        <v>0</v>
      </c>
      <c r="J89" s="10">
        <v>0</v>
      </c>
      <c r="K89" s="10">
        <f t="shared" si="2"/>
        <v>0</v>
      </c>
      <c r="L89" s="17">
        <v>-3.125</v>
      </c>
      <c r="M89" s="18">
        <f t="shared" si="3"/>
        <v>-3.125</v>
      </c>
      <c r="N89" s="19">
        <f t="shared" si="4"/>
        <v>0</v>
      </c>
      <c r="O89" s="20">
        <f t="shared" si="5"/>
        <v>-3.125</v>
      </c>
    </row>
    <row r="90" spans="1:18" ht="18.75">
      <c r="A90" s="8">
        <v>195</v>
      </c>
      <c r="B90" s="8">
        <v>1634663314</v>
      </c>
      <c r="C90" s="47" t="s">
        <v>105</v>
      </c>
      <c r="D90" s="46"/>
      <c r="E90" s="10">
        <v>0</v>
      </c>
      <c r="F90" s="10">
        <v>0</v>
      </c>
      <c r="G90" s="39" t="s">
        <v>34</v>
      </c>
      <c r="H90" s="11">
        <f t="shared" si="0"/>
        <v>0</v>
      </c>
      <c r="I90" s="10">
        <f t="shared" si="1"/>
        <v>0</v>
      </c>
      <c r="J90" s="10">
        <v>0</v>
      </c>
      <c r="K90" s="10">
        <f t="shared" si="2"/>
        <v>0</v>
      </c>
      <c r="L90" s="17">
        <v>-3.125</v>
      </c>
      <c r="M90" s="18">
        <f t="shared" si="3"/>
        <v>-3.125</v>
      </c>
      <c r="N90" s="19">
        <f t="shared" si="4"/>
        <v>0</v>
      </c>
      <c r="O90" s="20">
        <f t="shared" si="5"/>
        <v>-3.125</v>
      </c>
    </row>
    <row r="91" spans="1:18" ht="18.75">
      <c r="A91" s="8">
        <v>194</v>
      </c>
      <c r="B91" s="8">
        <v>648785109</v>
      </c>
      <c r="C91" s="47" t="s">
        <v>104</v>
      </c>
      <c r="D91" s="46"/>
      <c r="E91" s="10">
        <v>0</v>
      </c>
      <c r="F91" s="10">
        <v>0</v>
      </c>
      <c r="G91" s="39" t="s">
        <v>34</v>
      </c>
      <c r="H91" s="11">
        <f t="shared" si="0"/>
        <v>0</v>
      </c>
      <c r="I91" s="10">
        <f t="shared" si="1"/>
        <v>0</v>
      </c>
      <c r="J91" s="10">
        <v>0</v>
      </c>
      <c r="K91" s="10">
        <f t="shared" si="2"/>
        <v>0</v>
      </c>
      <c r="L91" s="17">
        <v>-3.125</v>
      </c>
      <c r="M91" s="18">
        <f t="shared" si="3"/>
        <v>-3.125</v>
      </c>
      <c r="N91" s="19">
        <f t="shared" si="4"/>
        <v>0</v>
      </c>
      <c r="O91" s="20">
        <f t="shared" si="5"/>
        <v>-3.125</v>
      </c>
    </row>
    <row r="92" spans="1:18" ht="18.75">
      <c r="A92" s="8">
        <v>180</v>
      </c>
      <c r="B92" s="8">
        <v>24633249</v>
      </c>
      <c r="C92" s="48" t="s">
        <v>72</v>
      </c>
      <c r="D92" s="46"/>
      <c r="E92" s="10">
        <v>0</v>
      </c>
      <c r="F92" s="10">
        <v>0</v>
      </c>
      <c r="G92" s="39" t="s">
        <v>34</v>
      </c>
      <c r="H92" s="11">
        <f t="shared" si="0"/>
        <v>0</v>
      </c>
      <c r="I92" s="10">
        <f t="shared" si="1"/>
        <v>0</v>
      </c>
      <c r="J92" s="10">
        <v>0</v>
      </c>
      <c r="K92" s="10">
        <f t="shared" si="2"/>
        <v>0</v>
      </c>
      <c r="L92" s="17">
        <v>-3.125</v>
      </c>
      <c r="M92" s="18">
        <f t="shared" si="3"/>
        <v>-3.125</v>
      </c>
      <c r="N92" s="19">
        <f t="shared" si="4"/>
        <v>0</v>
      </c>
      <c r="O92" s="20">
        <f t="shared" si="5"/>
        <v>-3.125</v>
      </c>
    </row>
    <row r="93" spans="1:18" ht="18.75">
      <c r="A93" s="8">
        <v>174</v>
      </c>
      <c r="B93" s="8">
        <v>775720958</v>
      </c>
      <c r="C93" s="47" t="s">
        <v>116</v>
      </c>
      <c r="D93" s="47" t="s">
        <v>69</v>
      </c>
      <c r="E93" s="10">
        <v>0</v>
      </c>
      <c r="F93" s="10">
        <v>0</v>
      </c>
      <c r="G93" s="39" t="s">
        <v>34</v>
      </c>
      <c r="H93" s="11">
        <f t="shared" si="0"/>
        <v>0</v>
      </c>
      <c r="I93" s="10">
        <f t="shared" si="1"/>
        <v>0</v>
      </c>
      <c r="J93" s="10">
        <v>0</v>
      </c>
      <c r="K93" s="10">
        <f t="shared" si="2"/>
        <v>0</v>
      </c>
      <c r="L93" s="17">
        <v>-1.25</v>
      </c>
      <c r="M93" s="18">
        <f t="shared" si="3"/>
        <v>-1.25</v>
      </c>
      <c r="N93" s="19">
        <f t="shared" si="4"/>
        <v>0</v>
      </c>
      <c r="O93" s="20">
        <f t="shared" si="5"/>
        <v>-1.25</v>
      </c>
    </row>
    <row r="94" spans="1:18" ht="18.75">
      <c r="A94" s="8">
        <v>116</v>
      </c>
      <c r="B94" s="8">
        <v>2122596917</v>
      </c>
      <c r="C94" s="47" t="s">
        <v>82</v>
      </c>
      <c r="D94" s="48" t="s">
        <v>41</v>
      </c>
      <c r="E94" s="10">
        <v>0</v>
      </c>
      <c r="F94" s="10">
        <v>0</v>
      </c>
      <c r="G94" s="39" t="s">
        <v>34</v>
      </c>
      <c r="H94" s="11">
        <f t="shared" si="0"/>
        <v>0</v>
      </c>
      <c r="I94" s="10">
        <f t="shared" si="1"/>
        <v>0</v>
      </c>
      <c r="J94" s="10">
        <v>0</v>
      </c>
      <c r="K94" s="10">
        <f t="shared" si="2"/>
        <v>0</v>
      </c>
      <c r="L94" s="17">
        <v>-1.25</v>
      </c>
      <c r="M94" s="18">
        <f t="shared" si="3"/>
        <v>-1.25</v>
      </c>
      <c r="N94" s="19">
        <f t="shared" si="4"/>
        <v>0</v>
      </c>
      <c r="O94" s="20">
        <f t="shared" si="5"/>
        <v>-1.25</v>
      </c>
      <c r="P94" s="40"/>
      <c r="Q94" s="40"/>
      <c r="R94" s="42"/>
    </row>
    <row r="95" spans="1:18" ht="18.75">
      <c r="A95" s="8">
        <v>202</v>
      </c>
      <c r="B95" s="8">
        <v>471245585</v>
      </c>
      <c r="C95" s="47" t="s">
        <v>111</v>
      </c>
      <c r="D95" s="46"/>
      <c r="E95" s="10">
        <v>0</v>
      </c>
      <c r="F95" s="10">
        <v>0</v>
      </c>
      <c r="G95" s="39" t="s">
        <v>34</v>
      </c>
      <c r="H95" s="11">
        <f t="shared" si="0"/>
        <v>0</v>
      </c>
      <c r="I95" s="10">
        <f t="shared" si="1"/>
        <v>0</v>
      </c>
      <c r="J95" s="10">
        <v>0</v>
      </c>
      <c r="K95" s="10">
        <f t="shared" si="2"/>
        <v>0</v>
      </c>
      <c r="L95" s="17">
        <v>-1.25</v>
      </c>
      <c r="M95" s="18">
        <f t="shared" si="3"/>
        <v>-1.25</v>
      </c>
      <c r="N95" s="19">
        <f t="shared" si="4"/>
        <v>0</v>
      </c>
      <c r="O95" s="20">
        <f t="shared" si="5"/>
        <v>-1.25</v>
      </c>
    </row>
    <row r="96" spans="1:18" ht="18.75">
      <c r="A96" s="8">
        <v>193</v>
      </c>
      <c r="B96" s="8">
        <v>2125731287</v>
      </c>
      <c r="C96" s="47" t="s">
        <v>103</v>
      </c>
      <c r="D96" s="46"/>
      <c r="E96" s="10">
        <v>0</v>
      </c>
      <c r="F96" s="10">
        <v>0</v>
      </c>
      <c r="G96" s="39" t="s">
        <v>34</v>
      </c>
      <c r="H96" s="11">
        <f t="shared" si="0"/>
        <v>0</v>
      </c>
      <c r="I96" s="10">
        <f t="shared" si="1"/>
        <v>0</v>
      </c>
      <c r="J96" s="10">
        <v>0</v>
      </c>
      <c r="K96" s="10">
        <f t="shared" si="2"/>
        <v>0</v>
      </c>
      <c r="L96" s="17">
        <v>-1.25</v>
      </c>
      <c r="M96" s="18">
        <f t="shared" si="3"/>
        <v>-1.25</v>
      </c>
      <c r="N96" s="19">
        <f t="shared" si="4"/>
        <v>0</v>
      </c>
      <c r="O96" s="20">
        <f t="shared" si="5"/>
        <v>-1.25</v>
      </c>
    </row>
    <row r="97" spans="1:18" ht="18.75">
      <c r="A97" s="9">
        <v>15</v>
      </c>
      <c r="B97" s="8">
        <v>388960345</v>
      </c>
      <c r="C97" s="48" t="s">
        <v>11</v>
      </c>
      <c r="D97" s="49"/>
      <c r="E97" s="10">
        <v>0</v>
      </c>
      <c r="F97" s="10">
        <v>0</v>
      </c>
      <c r="G97" s="39" t="s">
        <v>34</v>
      </c>
      <c r="H97" s="11">
        <f t="shared" si="0"/>
        <v>0</v>
      </c>
      <c r="I97" s="10">
        <f t="shared" si="1"/>
        <v>0</v>
      </c>
      <c r="J97" s="10">
        <v>0</v>
      </c>
      <c r="K97" s="10">
        <f t="shared" si="2"/>
        <v>0</v>
      </c>
      <c r="L97" s="17">
        <v>0.625</v>
      </c>
      <c r="M97" s="18">
        <f t="shared" si="3"/>
        <v>0.625</v>
      </c>
      <c r="N97" s="19">
        <f t="shared" si="4"/>
        <v>0</v>
      </c>
      <c r="O97" s="20">
        <f t="shared" si="5"/>
        <v>0.625</v>
      </c>
      <c r="P97" s="40"/>
      <c r="Q97" s="40"/>
      <c r="R97" s="40"/>
    </row>
    <row r="98" spans="1:18" ht="18.75">
      <c r="A98" s="8">
        <v>185</v>
      </c>
      <c r="B98" s="8">
        <v>30705222</v>
      </c>
      <c r="C98" s="47" t="s">
        <v>95</v>
      </c>
      <c r="D98" s="46"/>
      <c r="E98" s="10">
        <v>0</v>
      </c>
      <c r="F98" s="10">
        <v>0</v>
      </c>
      <c r="G98" s="39" t="s">
        <v>34</v>
      </c>
      <c r="H98" s="11">
        <f t="shared" si="0"/>
        <v>0</v>
      </c>
      <c r="I98" s="10">
        <f t="shared" si="1"/>
        <v>0</v>
      </c>
      <c r="J98" s="10">
        <v>0</v>
      </c>
      <c r="K98" s="10">
        <f t="shared" si="2"/>
        <v>0</v>
      </c>
      <c r="L98" s="17">
        <v>0.625</v>
      </c>
      <c r="M98" s="18">
        <f t="shared" si="3"/>
        <v>0.625</v>
      </c>
      <c r="N98" s="19">
        <f t="shared" si="4"/>
        <v>0</v>
      </c>
      <c r="O98" s="20">
        <f t="shared" si="5"/>
        <v>0.625</v>
      </c>
    </row>
    <row r="99" spans="1:18" ht="18.75">
      <c r="A99" s="8">
        <v>178</v>
      </c>
      <c r="B99" s="8">
        <v>1059185275</v>
      </c>
      <c r="C99" s="47" t="s">
        <v>91</v>
      </c>
      <c r="D99" s="46"/>
      <c r="E99" s="10">
        <v>0</v>
      </c>
      <c r="F99" s="10">
        <v>0</v>
      </c>
      <c r="G99" s="39" t="s">
        <v>34</v>
      </c>
      <c r="H99" s="11">
        <f t="shared" si="0"/>
        <v>0</v>
      </c>
      <c r="I99" s="10">
        <f t="shared" si="1"/>
        <v>0</v>
      </c>
      <c r="J99" s="10">
        <v>0</v>
      </c>
      <c r="K99" s="10">
        <f t="shared" si="2"/>
        <v>0</v>
      </c>
      <c r="L99" s="17">
        <v>0.625</v>
      </c>
      <c r="M99" s="18">
        <f t="shared" si="3"/>
        <v>0.625</v>
      </c>
      <c r="N99" s="19">
        <f t="shared" si="4"/>
        <v>0</v>
      </c>
      <c r="O99" s="20">
        <f t="shared" si="5"/>
        <v>0.625</v>
      </c>
    </row>
    <row r="100" spans="1:18" ht="18.75">
      <c r="A100" s="8">
        <v>189</v>
      </c>
      <c r="B100" s="8">
        <v>522812489</v>
      </c>
      <c r="C100" s="47" t="s">
        <v>99</v>
      </c>
      <c r="D100" s="46"/>
      <c r="E100" s="10">
        <v>0</v>
      </c>
      <c r="F100" s="10">
        <v>0</v>
      </c>
      <c r="G100" s="39" t="s">
        <v>34</v>
      </c>
      <c r="H100" s="11">
        <f t="shared" ref="H100:H101" si="6">E100+IF(E100&gt;2,(E100-2)*0.5,0)</f>
        <v>0</v>
      </c>
      <c r="I100" s="10">
        <f t="shared" ref="I100:I101" si="7">F100/$T$15</f>
        <v>0</v>
      </c>
      <c r="J100" s="10">
        <v>0</v>
      </c>
      <c r="K100" s="10">
        <f t="shared" ref="K100:K101" si="8">SUM(I100+H100+J100)</f>
        <v>0</v>
      </c>
      <c r="L100" s="17">
        <v>0.625</v>
      </c>
      <c r="M100" s="18">
        <f t="shared" ref="M100:M101" si="9">K100+L100</f>
        <v>0.625</v>
      </c>
      <c r="N100" s="19">
        <f t="shared" ref="N100:N101" si="10">VLOOKUP(G100,$S$3:$T$11,2,FALSE)</f>
        <v>0</v>
      </c>
      <c r="O100" s="20">
        <f t="shared" ref="O100:O101" si="11">M100-N100</f>
        <v>0.625</v>
      </c>
      <c r="P100"/>
      <c r="Q100"/>
      <c r="R100"/>
    </row>
    <row r="101" spans="1:18" ht="18.75">
      <c r="A101" s="8">
        <v>207</v>
      </c>
      <c r="B101" s="8">
        <v>721273803</v>
      </c>
      <c r="C101" s="51" t="s">
        <v>124</v>
      </c>
      <c r="D101" s="46"/>
      <c r="E101" s="10">
        <v>0</v>
      </c>
      <c r="F101" s="10">
        <v>0</v>
      </c>
      <c r="G101" s="39" t="s">
        <v>34</v>
      </c>
      <c r="H101" s="11">
        <f t="shared" si="6"/>
        <v>0</v>
      </c>
      <c r="I101" s="10">
        <f t="shared" si="7"/>
        <v>0</v>
      </c>
      <c r="J101" s="10">
        <v>0</v>
      </c>
      <c r="K101" s="10">
        <f t="shared" si="8"/>
        <v>0</v>
      </c>
      <c r="L101" s="17">
        <v>0.625</v>
      </c>
      <c r="M101" s="18">
        <f t="shared" si="9"/>
        <v>0.625</v>
      </c>
      <c r="N101" s="19">
        <f t="shared" si="10"/>
        <v>0</v>
      </c>
      <c r="O101" s="20">
        <f t="shared" si="11"/>
        <v>0.625</v>
      </c>
      <c r="P101"/>
      <c r="Q101"/>
      <c r="R101"/>
    </row>
  </sheetData>
  <sortState ref="A5:O34">
    <sortCondition descending="1" ref="M5:M34"/>
  </sortState>
  <mergeCells count="4">
    <mergeCell ref="A1:O1"/>
    <mergeCell ref="A2:O2"/>
    <mergeCell ref="A3:D3"/>
    <mergeCell ref="G3:O3"/>
  </mergeCells>
  <phoneticPr fontId="13" type="noConversion"/>
  <conditionalFormatting sqref="J84 J86 J89 J91 J93:J94 J96 J98 J100:J101 J36:J82 J34 J28:J31 J5:J26 E5:F101">
    <cfRule type="cellIs" dxfId="11" priority="4" operator="lessThan">
      <formula>1</formula>
    </cfRule>
  </conditionalFormatting>
  <conditionalFormatting sqref="J83 J85 J87:J88 J90 J92 J95 J97 J99 J35">
    <cfRule type="cellIs" dxfId="9" priority="5" operator="lessThan">
      <formula>1</formula>
    </cfRule>
  </conditionalFormatting>
  <conditionalFormatting sqref="J27">
    <cfRule type="cellIs" dxfId="7" priority="3" operator="lessThan">
      <formula>1</formula>
    </cfRule>
  </conditionalFormatting>
  <conditionalFormatting sqref="J32">
    <cfRule type="cellIs" dxfId="5" priority="2" operator="lessThan">
      <formula>1</formula>
    </cfRule>
  </conditionalFormatting>
  <conditionalFormatting sqref="J33">
    <cfRule type="cellIs" dxfId="3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黑名单</vt:lpstr>
      <vt:lpstr>Sep 27 2020</vt:lpstr>
      <vt:lpstr>Oct 3 2020</vt:lpstr>
      <vt:lpstr>Oct 10 2020</vt:lpstr>
      <vt:lpstr>Oct 18 2020</vt:lpstr>
      <vt:lpstr>Oct 24 2020</vt:lpstr>
      <vt:lpstr>Oct 31 2020</vt:lpstr>
      <vt:lpstr>Nov 7 2020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MIX 2S</dc:creator>
  <cp:lastModifiedBy>Cortana</cp:lastModifiedBy>
  <dcterms:created xsi:type="dcterms:W3CDTF">2006-09-14T08:00:00Z</dcterms:created>
  <dcterms:modified xsi:type="dcterms:W3CDTF">2020-11-15T00:40:48Z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2052-11.1.0.9582</vt:lpwstr>
  </property>
</Properties>
</file>