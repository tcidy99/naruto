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AE629926-C0BC-4B4B-974A-AD54F024C9CE}" xr6:coauthVersionLast="46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7.0.3" sheetId="12" r:id="rId1"/>
    <sheet name="粮草" sheetId="14" r:id="rId2"/>
    <sheet name="经验" sheetId="15" r:id="rId3"/>
    <sheet name="亏损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2" l="1"/>
  <c r="D93" i="12"/>
  <c r="D92" i="12"/>
  <c r="D94" i="12"/>
  <c r="AG94" i="12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" i="12" s="1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1" i="12"/>
  <c r="AI2" i="12"/>
  <c r="AH2" i="12"/>
  <c r="AT29" i="12" l="1"/>
  <c r="AU29" i="12"/>
  <c r="C2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D5" i="12" s="1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18" i="12" l="1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1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5" i="12"/>
  <c r="D89" i="12"/>
  <c r="D29" i="12"/>
  <c r="D25" i="12"/>
  <c r="D74" i="12"/>
  <c r="D78" i="12"/>
  <c r="D82" i="12"/>
  <c r="D86" i="12"/>
  <c r="D90" i="12"/>
  <c r="D26" i="12"/>
  <c r="D30" i="12"/>
  <c r="D54" i="12"/>
  <c r="D58" i="12"/>
  <c r="D62" i="12"/>
  <c r="D66" i="12"/>
  <c r="D70" i="12"/>
  <c r="D4" i="12"/>
  <c r="E5" i="12" s="1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84" i="12"/>
  <c r="D88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83" i="12"/>
  <c r="D87" i="12"/>
  <c r="D91" i="12"/>
  <c r="D36" i="12"/>
  <c r="D68" i="12"/>
  <c r="L2" i="14"/>
  <c r="E8" i="12" l="1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<sst xmlns="http://schemas.openxmlformats.org/spreadsheetml/2006/main" count="2380" uniqueCount="75">
  <si>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</si>
  <si>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</si>
  <si>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</si>
  <si>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</si>
  <si>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</si>
  <si>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</si>
  <si>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</si>
  <si>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</si>
  <si>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</si>
  <si>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</si>
  <si>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</si>
  <si>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</si>
  <si>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</si>
  <si>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</si>
  <si>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</si>
  <si>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</si>
  <si>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</si>
  <si>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</si>
  <si>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</si>
  <si>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</si>
  <si>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</si>
  <si>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</si>
  <si>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</si>
  <si>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</si>
  <si>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</si>
  <si>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</si>
  <si>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</si>
  <si>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</si>
  <si>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</si>
  <si>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</si>
  <si>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</si>
  <si>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</si>
  <si>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</si>
  <si>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</si>
  <si>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</si>
  <si>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</si>
  <si>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</si>
  <si>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</si>
  <si>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</si>
  <si>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</si>
  <si>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</si>
  <si>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</si>
  <si>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</si>
  <si>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</si>
  <si>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</si>
  <si>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</si>
  <si>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</si>
  <si>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</si>
  <si>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</si>
  <si>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</si>
  <si>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</si>
  <si>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</si>
  <si>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</si>
  <si>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</si>
  <si>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</si>
  <si>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</si>
  <si>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</si>
  <si>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</si>
  <si>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</si>
  <si>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</si>
  <si>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</si>
  <si>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</si>
  <si>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</si>
  <si>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</si>
  <si>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</si>
  <si>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</si>
  <si>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</si>
  <si>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</si>
  <si>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</si>
  <si>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</si>
  <si>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</si>
  <si>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</si>
  <si>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</si>
  <si>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小卦</t>
  </si>
  <si>
    <t>version 7.0.2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</si>
</sst>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3" fillId="0" borderId="0" xfId="0" applyFont="1" applyFill="1" applyBorder="1"/>
    <xf numFmtId="0" fontId="3" fillId="3" borderId="0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3" fillId="3" borderId="0" xfId="0" applyFont="1" applyFill="1"/>
    <xf numFmtId="0" fontId="3" fillId="0" borderId="0" xfId="0" applyFont="1"/>
    <xf numFmtId="0" fontId="6" fillId="0" borderId="0" xfId="0" applyFont="1"/>
    <xf numFmtId="0" fontId="2" fillId="9" borderId="13" xfId="0" applyFont="1" applyFill="1" applyBorder="1"/>
    <xf numFmtId="0" fontId="2" fillId="14" borderId="13" xfId="0" applyFont="1" applyFill="1" applyBorder="1"/>
    <xf numFmtId="0" fontId="2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2" fillId="10" borderId="15" xfId="0" applyFont="1" applyFill="1" applyBorder="1" applyAlignment="1">
      <alignment wrapText="1"/>
    </xf>
    <xf numFmtId="0" fontId="2" fillId="0" borderId="0" xfId="0" applyFont="1"/>
    <xf numFmtId="0" fontId="0" fillId="0" borderId="13" xfId="0" applyBorder="1"/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2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2" fillId="19" borderId="13" xfId="0" applyFont="1" applyFill="1" applyBorder="1"/>
    <xf numFmtId="0" fontId="2" fillId="20" borderId="13" xfId="0" applyFont="1" applyFill="1" applyBorder="1"/>
    <xf numFmtId="0" fontId="2" fillId="21" borderId="13" xfId="0" applyFont="1" applyFill="1" applyBorder="1"/>
    <xf numFmtId="0" fontId="2" fillId="5" borderId="13" xfId="0" applyFont="1" applyFill="1" applyBorder="1"/>
    <xf numFmtId="0" fontId="2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8" fillId="0" borderId="0" xfId="0" applyFont="1"/>
    <xf numFmtId="0" fontId="8" fillId="11" borderId="10" xfId="0" applyFont="1" applyFill="1" applyBorder="1"/>
    <xf numFmtId="0" fontId="8" fillId="11" borderId="11" xfId="0" applyFont="1" applyFill="1" applyBorder="1"/>
    <xf numFmtId="0" fontId="9" fillId="22" borderId="14" xfId="0" applyFont="1" applyFill="1" applyBorder="1" applyAlignment="1">
      <alignment horizontal="center" wrapText="1"/>
    </xf>
    <xf numFmtId="0" fontId="9" fillId="22" borderId="14" xfId="0" applyFont="1" applyFill="1" applyBorder="1" applyAlignment="1">
      <alignment wrapText="1"/>
    </xf>
    <xf numFmtId="0" fontId="9" fillId="22" borderId="15" xfId="0" applyFont="1" applyFill="1" applyBorder="1" applyAlignment="1">
      <alignment wrapText="1"/>
    </xf>
    <xf numFmtId="0" fontId="10" fillId="15" borderId="15" xfId="0" applyFont="1" applyFill="1" applyBorder="1" applyAlignment="1">
      <alignment horizontal="center"/>
    </xf>
    <xf numFmtId="0" fontId="11" fillId="0" borderId="0" xfId="0" applyFont="1"/>
    <xf numFmtId="0" fontId="0" fillId="23" borderId="0" xfId="0" applyFill="1" applyAlignment="1">
      <alignment wrapText="1"/>
    </xf>
    <xf numFmtId="14" fontId="11" fillId="0" borderId="0" xfId="0" applyNumberFormat="1" applyFont="1" applyFill="1"/>
    <xf numFmtId="0" fontId="11" fillId="3" borderId="0" xfId="0" applyFont="1" applyFill="1"/>
    <xf numFmtId="0" fontId="11" fillId="8" borderId="13" xfId="0" applyFont="1" applyFill="1" applyBorder="1" applyAlignment="1">
      <alignment vertical="top"/>
    </xf>
    <xf numFmtId="0" fontId="11" fillId="0" borderId="13" xfId="0" applyFont="1" applyBorder="1"/>
    <xf numFmtId="0" fontId="11" fillId="0" borderId="0" xfId="0" applyFont="1" applyBorder="1"/>
    <xf numFmtId="0" fontId="11" fillId="13" borderId="13" xfId="0" applyFont="1" applyFill="1" applyBorder="1" applyAlignment="1">
      <alignment vertical="top"/>
    </xf>
    <xf numFmtId="0" fontId="11" fillId="10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2" fillId="12" borderId="5" xfId="0" applyFont="1" applyFill="1" applyBorder="1"/>
    <xf numFmtId="0" fontId="9" fillId="11" borderId="13" xfId="0" applyFont="1" applyFill="1" applyBorder="1"/>
    <xf numFmtId="10" fontId="0" fillId="24" borderId="0" xfId="0" applyNumberFormat="1" applyFill="1"/>
    <xf numFmtId="2" fontId="0" fillId="24" borderId="0" xfId="0" applyNumberFormat="1" applyFill="1"/>
    <xf numFmtId="0" fontId="6" fillId="3" borderId="0" xfId="0" applyFont="1" applyFill="1"/>
    <xf numFmtId="0" fontId="9" fillId="25" borderId="13" xfId="0" applyFont="1" applyFill="1" applyBorder="1"/>
    <xf numFmtId="0" fontId="12" fillId="0" borderId="15" xfId="0" applyFont="1" applyBorder="1"/>
    <xf numFmtId="0" fontId="0" fillId="16" borderId="13" xfId="0" applyFill="1" applyBorder="1" applyAlignment="1">
      <alignment vertical="top"/>
    </xf>
    <xf numFmtId="0" fontId="12" fillId="0" borderId="0" xfId="0" applyFont="1"/>
    <xf numFmtId="0" fontId="0" fillId="22" borderId="13" xfId="0" applyFill="1" applyBorder="1" applyAlignment="1">
      <alignment vertical="top"/>
    </xf>
    <xf numFmtId="0" fontId="1" fillId="0" borderId="0" xfId="0" applyFont="1"/>
    <xf numFmtId="0" fontId="9" fillId="27" borderId="13" xfId="0" applyFont="1" applyFill="1" applyBorder="1"/>
    <xf numFmtId="0" fontId="0" fillId="28" borderId="13" xfId="0" applyFill="1" applyBorder="1" applyAlignment="1">
      <alignment vertical="top"/>
    </xf>
    <xf numFmtId="0" fontId="9" fillId="19" borderId="13" xfId="0" applyFont="1" applyFill="1" applyBorder="1"/>
    <xf numFmtId="0" fontId="0" fillId="24" borderId="13" xfId="0" applyFill="1" applyBorder="1" applyAlignment="1">
      <alignment vertical="top"/>
    </xf>
    <xf numFmtId="0" fontId="9" fillId="20" borderId="13" xfId="0" applyFont="1" applyFill="1" applyBorder="1"/>
    <xf numFmtId="0" fontId="0" fillId="17" borderId="13" xfId="0" applyFill="1" applyBorder="1" applyAlignment="1">
      <alignment vertical="top"/>
    </xf>
    <xf numFmtId="0" fontId="0" fillId="8" borderId="13" xfId="0" applyFill="1" applyBorder="1" applyAlignment="1">
      <alignment vertical="top"/>
    </xf>
    <xf numFmtId="0" fontId="11" fillId="29" borderId="0" xfId="0" applyFont="1" applyFill="1"/>
    <xf numFmtId="0" fontId="3" fillId="29" borderId="0" xfId="0" applyFont="1" applyFill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3" fillId="8" borderId="13" xfId="0" applyFont="1" applyFill="1" applyBorder="1" applyAlignment="1">
      <alignment vertical="top"/>
    </xf>
    <xf numFmtId="0" fontId="14" fillId="9" borderId="13" xfId="0" applyFont="1" applyFill="1" applyBorder="1"/>
    <xf numFmtId="0" fontId="13" fillId="12" borderId="5" xfId="0" applyFont="1" applyFill="1" applyBorder="1"/>
    <xf numFmtId="0" fontId="14" fillId="14" borderId="13" xfId="0" applyFont="1" applyFill="1" applyBorder="1"/>
    <xf numFmtId="0" fontId="13" fillId="13" borderId="13" xfId="0" applyFont="1" applyFill="1" applyBorder="1" applyAlignment="1">
      <alignment vertical="top"/>
    </xf>
    <xf numFmtId="0" fontId="14" fillId="18" borderId="13" xfId="0" applyFont="1" applyFill="1" applyBorder="1"/>
    <xf numFmtId="0" fontId="14" fillId="25" borderId="13" xfId="0" applyFont="1" applyFill="1" applyBorder="1"/>
    <xf numFmtId="0" fontId="14" fillId="15" borderId="15" xfId="0" applyFont="1" applyFill="1" applyBorder="1" applyAlignment="1">
      <alignment horizontal="center"/>
    </xf>
    <xf numFmtId="0" fontId="13" fillId="0" borderId="15" xfId="0" applyFont="1" applyBorder="1"/>
    <xf numFmtId="0" fontId="13" fillId="16" borderId="13" xfId="0" applyFont="1" applyFill="1" applyBorder="1" applyAlignment="1">
      <alignment vertical="top"/>
    </xf>
    <xf numFmtId="0" fontId="14" fillId="11" borderId="13" xfId="0" applyFont="1" applyFill="1" applyBorder="1"/>
    <xf numFmtId="0" fontId="13" fillId="10" borderId="13" xfId="0" applyFont="1" applyFill="1" applyBorder="1" applyAlignment="1">
      <alignment vertical="top"/>
    </xf>
    <xf numFmtId="0" fontId="15" fillId="22" borderId="13" xfId="0" applyFont="1" applyFill="1" applyBorder="1" applyAlignment="1">
      <alignment vertical="top"/>
    </xf>
    <xf numFmtId="0" fontId="15" fillId="26" borderId="13" xfId="0" applyFont="1" applyFill="1" applyBorder="1" applyAlignment="1">
      <alignment vertical="top"/>
    </xf>
    <xf numFmtId="0" fontId="15" fillId="28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4" borderId="13" xfId="0" applyFont="1" applyFill="1" applyBorder="1" applyAlignment="1">
      <alignment vertical="top"/>
    </xf>
    <xf numFmtId="0" fontId="12" fillId="0" borderId="17" xfId="0" applyFont="1" applyBorder="1"/>
    <xf numFmtId="0" fontId="3" fillId="11" borderId="0" xfId="0" applyFont="1" applyFill="1"/>
    <xf numFmtId="0" fontId="15" fillId="8" borderId="13" xfId="0" applyFont="1" applyFill="1" applyBorder="1" applyAlignment="1">
      <alignment vertical="top"/>
    </xf>
    <xf numFmtId="0" fontId="15" fillId="13" borderId="13" xfId="0" applyFont="1" applyFill="1" applyBorder="1" applyAlignment="1">
      <alignment vertical="top"/>
    </xf>
    <xf numFmtId="0" fontId="15" fillId="10" borderId="13" xfId="0" applyFont="1" applyFill="1" applyBorder="1" applyAlignment="1">
      <alignment vertical="top"/>
    </xf>
    <xf numFmtId="0" fontId="15" fillId="16" borderId="13" xfId="0" applyFont="1" applyFill="1" applyBorder="1" applyAlignment="1">
      <alignment vertical="top"/>
    </xf>
    <xf numFmtId="0" fontId="15" fillId="2" borderId="1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00"/>
      <color rgb="FFFFCCFF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abSelected="1" zoomScale="85" zoomScaleNormal="85" workbookViewId="0">
      <pane ySplit="3" topLeftCell="A67" activePane="bottomLeft" state="frozen"/>
      <selection activeCell="AO32" sqref="AO32"/>
      <selection pane="bottomLeft" activeCell="M7" sqref="M7"/>
    </sheetView>
  </sheetViews>
  <sheetFormatPr defaultColWidth="9" defaultRowHeight="15"/>
  <cols>
    <col min="1" max="1" width="11.85546875" customWidth="1"/>
    <col min="2" max="2" width="9" customWidth="1"/>
    <col min="3" max="3" width="8.140625" customWidth="1"/>
    <col min="4" max="4" width="5.7109375" customWidth="1"/>
    <col min="5" max="5" width="6.42578125" customWidth="1"/>
    <col min="6" max="6" width="5.7109375" customWidth="1"/>
    <col min="7" max="7" width="6.5703125" customWidth="1"/>
    <col min="8" max="8" width="5" customWidth="1"/>
    <col min="9" max="15" width="7.28515625" customWidth="1"/>
    <col min="16" max="16" width="7.140625" customWidth="1"/>
    <col min="17" max="32" width="7.28515625" customWidth="1"/>
    <col min="33" max="37" width="5.140625" customWidth="1"/>
  </cols>
  <sheetData>
    <row r="1" spans="1:53" ht="28.15" customHeight="1" thickBot="1">
      <c r="A1" s="97">
        <f ca="1">(_xlfn.DAYS(TODAY(),A4)+2)/((_xlfn.DAYS(A94,A4))+1)</f>
        <v>3.2967032967032968E-2</v>
      </c>
      <c r="B1" s="98"/>
      <c r="C1" s="98"/>
      <c r="D1" s="98"/>
      <c r="E1" s="98"/>
      <c r="F1" s="98"/>
      <c r="G1" s="98"/>
      <c r="H1" s="99"/>
      <c r="I1" s="100" t="s">
        <v>0</v>
      </c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2"/>
      <c r="AH1" s="23"/>
      <c r="AI1" s="23"/>
      <c r="AJ1" s="23"/>
      <c r="AM1" s="95" t="s">
        <v>1</v>
      </c>
      <c r="AN1" s="95"/>
      <c r="AO1" s="95"/>
      <c r="AP1" s="66"/>
    </row>
    <row r="2" spans="1:53" ht="16.149999999999999" customHeight="1" thickBot="1">
      <c r="A2" s="82" t="s">
        <v>74</v>
      </c>
      <c r="B2" s="74" t="s">
        <v>70</v>
      </c>
      <c r="C2" s="75">
        <f>SUM(亏损!A4:X94)+SUM(AG4:AG14)*10</f>
        <v>29595.546351871704</v>
      </c>
      <c r="D2" s="103" t="s">
        <v>2</v>
      </c>
      <c r="E2" s="104"/>
      <c r="F2" s="105">
        <f>SUM(F4:F94)+SUM(H4:H94)</f>
        <v>65110</v>
      </c>
      <c r="G2" s="105"/>
      <c r="H2" s="106"/>
      <c r="I2" s="107" t="s">
        <v>3</v>
      </c>
      <c r="J2" s="108"/>
      <c r="K2" s="1" t="s">
        <v>4</v>
      </c>
      <c r="L2" s="1">
        <f>COUNTIF(I4:P94,"&lt;&gt;空")</f>
        <v>433</v>
      </c>
      <c r="M2" s="108" t="s">
        <v>5</v>
      </c>
      <c r="N2" s="108"/>
      <c r="O2" s="108"/>
      <c r="P2" s="109"/>
      <c r="Q2" s="110" t="s">
        <v>6</v>
      </c>
      <c r="R2" s="111"/>
      <c r="S2" s="6" t="s">
        <v>4</v>
      </c>
      <c r="T2" s="6">
        <f>COUNTIF(Q4:X94,"&lt;&gt;空")</f>
        <v>543</v>
      </c>
      <c r="U2" s="111" t="s">
        <v>5</v>
      </c>
      <c r="V2" s="111"/>
      <c r="W2" s="111"/>
      <c r="X2" s="112"/>
      <c r="Y2" s="113" t="s">
        <v>7</v>
      </c>
      <c r="Z2" s="114"/>
      <c r="AA2" s="10" t="s">
        <v>8</v>
      </c>
      <c r="AB2" s="9">
        <f>COUNTIF(Y4:AF94,"&lt;&gt;空")</f>
        <v>99</v>
      </c>
      <c r="AC2" s="114" t="s">
        <v>5</v>
      </c>
      <c r="AD2" s="114"/>
      <c r="AE2" s="114"/>
      <c r="AF2" s="115"/>
      <c r="AG2" s="53">
        <f>SUM(AG4:AG94)</f>
        <v>13</v>
      </c>
      <c r="AH2" s="53">
        <f t="shared" ref="AH2" si="0">SUM(AH4:AH94)</f>
        <v>1</v>
      </c>
      <c r="AI2" s="53">
        <f>SUM(AI4:AI94)</f>
        <v>7</v>
      </c>
      <c r="AJ2" s="22">
        <f t="shared" ref="AJ2" si="1">SUM(AJ4:AJ94)</f>
        <v>5</v>
      </c>
      <c r="AK2" s="92" t="s">
        <v>9</v>
      </c>
      <c r="AM2" s="96"/>
      <c r="AN2" s="96"/>
      <c r="AO2" s="96"/>
      <c r="AP2" s="71"/>
      <c r="AS2" t="s">
        <v>28</v>
      </c>
      <c r="AT2">
        <f>SUM(AT4:AT29)</f>
        <v>1075</v>
      </c>
      <c r="AV2" t="s">
        <v>60</v>
      </c>
      <c r="AW2" s="46">
        <f>SUM(AU4:AW29)+7000</f>
        <v>65110</v>
      </c>
      <c r="AX2" s="39"/>
      <c r="AY2" s="47" t="s">
        <v>10</v>
      </c>
    </row>
    <row r="3" spans="1:53" ht="60.75" thickBot="1">
      <c r="A3" s="14" t="s">
        <v>11</v>
      </c>
      <c r="B3" s="15" t="s">
        <v>12</v>
      </c>
      <c r="C3" s="58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16" t="s">
        <v>17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3">
        <v>7</v>
      </c>
      <c r="P3" s="3">
        <v>8</v>
      </c>
      <c r="Q3" s="7">
        <v>1</v>
      </c>
      <c r="R3" s="8">
        <v>2</v>
      </c>
      <c r="S3" s="8">
        <v>3</v>
      </c>
      <c r="T3" s="8">
        <v>4</v>
      </c>
      <c r="U3" s="8">
        <v>5</v>
      </c>
      <c r="V3" s="8">
        <v>6</v>
      </c>
      <c r="W3" s="8">
        <v>7</v>
      </c>
      <c r="X3" s="8">
        <v>8</v>
      </c>
      <c r="Y3" s="11">
        <v>1</v>
      </c>
      <c r="Z3" s="12">
        <v>2</v>
      </c>
      <c r="AA3" s="12">
        <v>3</v>
      </c>
      <c r="AB3" s="12">
        <v>4</v>
      </c>
      <c r="AC3" s="12">
        <v>5</v>
      </c>
      <c r="AD3" s="12">
        <v>6</v>
      </c>
      <c r="AE3" s="12">
        <v>7</v>
      </c>
      <c r="AF3" s="13">
        <v>8</v>
      </c>
      <c r="AG3" s="54" t="s">
        <v>18</v>
      </c>
      <c r="AH3" s="55" t="s">
        <v>19</v>
      </c>
      <c r="AI3" s="55" t="s">
        <v>20</v>
      </c>
      <c r="AJ3" s="24" t="s">
        <v>21</v>
      </c>
      <c r="AK3" s="93"/>
      <c r="AL3" s="25"/>
      <c r="AM3" s="26" t="s">
        <v>22</v>
      </c>
      <c r="AN3" s="26" t="s">
        <v>23</v>
      </c>
      <c r="AO3" s="26" t="s">
        <v>24</v>
      </c>
      <c r="AP3" s="26" t="s">
        <v>69</v>
      </c>
      <c r="AQ3" s="40" t="s">
        <v>25</v>
      </c>
      <c r="AR3" s="41" t="s">
        <v>26</v>
      </c>
      <c r="AS3" s="42" t="s">
        <v>27</v>
      </c>
      <c r="AT3" s="43" t="s">
        <v>28</v>
      </c>
      <c r="AU3" s="40" t="s">
        <v>29</v>
      </c>
      <c r="AV3" s="41" t="s">
        <v>30</v>
      </c>
      <c r="AW3" s="42" t="s">
        <v>31</v>
      </c>
      <c r="AX3" s="44" t="s">
        <v>32</v>
      </c>
      <c r="AY3" s="48">
        <v>1</v>
      </c>
    </row>
    <row r="4" spans="1:53" s="50" customFormat="1" ht="15.75" thickBot="1">
      <c r="A4" s="59">
        <v>44638</v>
      </c>
      <c r="B4" s="60">
        <v>800</v>
      </c>
      <c r="C4" s="60">
        <v>6000</v>
      </c>
      <c r="D4" s="60">
        <f>(SUM(粮草!A4:X4)+AG4*10)*IF(AK4="是",$AY$4,$AY$3)</f>
        <v>2750</v>
      </c>
      <c r="E4" s="76">
        <f>SUM($B$4:B4)+SUM($C$4:C4)-SUM($D$4:D4)</f>
        <v>4050</v>
      </c>
      <c r="F4" s="60">
        <f>SUM(经验!A4:X4)</f>
        <v>1230</v>
      </c>
      <c r="G4" s="60">
        <f>SUM($F$4:F4)+SUM($H$4:H4)</f>
        <v>1230</v>
      </c>
      <c r="H4" s="60">
        <v>0</v>
      </c>
      <c r="I4" s="116" t="s">
        <v>33</v>
      </c>
      <c r="J4" s="116" t="s">
        <v>33</v>
      </c>
      <c r="K4" s="116" t="s">
        <v>33</v>
      </c>
      <c r="L4" s="116" t="s">
        <v>33</v>
      </c>
      <c r="M4" s="116" t="s">
        <v>33</v>
      </c>
      <c r="N4" s="117" t="s">
        <v>39</v>
      </c>
      <c r="O4" s="118" t="s">
        <v>34</v>
      </c>
      <c r="P4" s="118" t="s">
        <v>34</v>
      </c>
      <c r="Q4" s="116" t="s">
        <v>33</v>
      </c>
      <c r="R4" s="116" t="s">
        <v>33</v>
      </c>
      <c r="S4" s="119" t="s">
        <v>46</v>
      </c>
      <c r="T4" s="120" t="s">
        <v>37</v>
      </c>
      <c r="U4" s="120" t="s">
        <v>37</v>
      </c>
      <c r="V4" s="120" t="s">
        <v>37</v>
      </c>
      <c r="W4" s="120" t="s">
        <v>37</v>
      </c>
      <c r="X4" s="120" t="s">
        <v>37</v>
      </c>
      <c r="Y4" s="120" t="s">
        <v>37</v>
      </c>
      <c r="Z4" s="121" t="s">
        <v>51</v>
      </c>
      <c r="AA4" s="120" t="s">
        <v>37</v>
      </c>
      <c r="AB4" s="120" t="s">
        <v>37</v>
      </c>
      <c r="AC4" s="122" t="s">
        <v>71</v>
      </c>
      <c r="AD4" s="120" t="s">
        <v>37</v>
      </c>
      <c r="AE4" s="120" t="s">
        <v>37</v>
      </c>
      <c r="AF4" s="118" t="s">
        <v>34</v>
      </c>
      <c r="AG4" s="123">
        <f>AH4+AI4+AJ4</f>
        <v>0</v>
      </c>
      <c r="AH4" s="123"/>
      <c r="AI4" s="123"/>
      <c r="AJ4" s="123"/>
      <c r="AK4" s="124" t="s">
        <v>35</v>
      </c>
      <c r="AM4" s="61" t="s">
        <v>33</v>
      </c>
      <c r="AN4" s="62">
        <v>150</v>
      </c>
      <c r="AO4" s="62">
        <v>35</v>
      </c>
      <c r="AP4" s="62">
        <v>44.222109392472248</v>
      </c>
      <c r="AQ4" s="62">
        <f>COUNTIF($I$4:$P$94,AM4)</f>
        <v>5</v>
      </c>
      <c r="AR4" s="62">
        <f>COUNTIF($Q$4:$X$94,AM4)</f>
        <v>3</v>
      </c>
      <c r="AS4" s="62">
        <f>COUNTIF($Y$4:$AF$94,AM4)</f>
        <v>0</v>
      </c>
      <c r="AT4" s="62">
        <f>AQ4+AR4+AS4</f>
        <v>8</v>
      </c>
      <c r="AU4" s="63">
        <f>AQ4*$AO4</f>
        <v>175</v>
      </c>
      <c r="AV4" s="63">
        <f t="shared" ref="AV4:AW19" si="2">AR4*$AO4</f>
        <v>105</v>
      </c>
      <c r="AW4" s="63">
        <f t="shared" si="2"/>
        <v>0</v>
      </c>
      <c r="AX4" s="51" t="s">
        <v>36</v>
      </c>
      <c r="AY4" s="52">
        <v>0.8</v>
      </c>
      <c r="BA4" s="57">
        <f>AN4*0.8</f>
        <v>120</v>
      </c>
    </row>
    <row r="5" spans="1:53" s="50" customFormat="1">
      <c r="A5" s="59">
        <v>44639</v>
      </c>
      <c r="B5" s="60">
        <v>1600</v>
      </c>
      <c r="C5" s="60"/>
      <c r="D5" s="90">
        <f>(SUM(粮草!A5:X5)+AG5*10)*IF(AK5="是",$AY$4,$AY$3)-50</f>
        <v>2970</v>
      </c>
      <c r="E5" s="76">
        <f>SUM($B$4:B5)+SUM($C$4:C5)-SUM($D$4:D5)</f>
        <v>2680</v>
      </c>
      <c r="F5" s="60">
        <f>SUM(经验!A5:X5)</f>
        <v>895</v>
      </c>
      <c r="G5" s="60">
        <f>SUM($F$4:F5)+SUM($H$4:H5)</f>
        <v>2625</v>
      </c>
      <c r="H5" s="60">
        <v>500</v>
      </c>
      <c r="I5" s="120" t="s">
        <v>37</v>
      </c>
      <c r="J5" s="120" t="s">
        <v>37</v>
      </c>
      <c r="K5" s="120" t="s">
        <v>37</v>
      </c>
      <c r="L5" s="120" t="s">
        <v>37</v>
      </c>
      <c r="M5" s="120" t="s">
        <v>37</v>
      </c>
      <c r="N5" s="117" t="s">
        <v>39</v>
      </c>
      <c r="O5" s="118" t="s">
        <v>34</v>
      </c>
      <c r="P5" s="118" t="s">
        <v>34</v>
      </c>
      <c r="Q5" s="120" t="s">
        <v>37</v>
      </c>
      <c r="R5" s="120" t="s">
        <v>37</v>
      </c>
      <c r="S5" s="120" t="s">
        <v>37</v>
      </c>
      <c r="T5" s="120" t="s">
        <v>37</v>
      </c>
      <c r="U5" s="120" t="s">
        <v>37</v>
      </c>
      <c r="V5" s="120" t="s">
        <v>37</v>
      </c>
      <c r="W5" s="118" t="s">
        <v>34</v>
      </c>
      <c r="X5" s="118" t="s">
        <v>34</v>
      </c>
      <c r="Y5" s="125" t="s">
        <v>42</v>
      </c>
      <c r="Z5" s="121" t="s">
        <v>51</v>
      </c>
      <c r="AA5" s="125" t="s">
        <v>42</v>
      </c>
      <c r="AB5" s="126" t="s">
        <v>72</v>
      </c>
      <c r="AC5" s="127" t="s">
        <v>40</v>
      </c>
      <c r="AD5" s="127" t="s">
        <v>40</v>
      </c>
      <c r="AE5" s="118" t="s">
        <v>34</v>
      </c>
      <c r="AF5" s="118" t="s">
        <v>34</v>
      </c>
      <c r="AG5" s="123">
        <f t="shared" ref="AG5:AG68" si="3">AH5+AI5+AJ5</f>
        <v>11</v>
      </c>
      <c r="AH5" s="123"/>
      <c r="AI5" s="123">
        <v>6</v>
      </c>
      <c r="AJ5" s="123">
        <v>5</v>
      </c>
      <c r="AK5" s="124" t="s">
        <v>35</v>
      </c>
      <c r="AM5" s="64" t="s">
        <v>37</v>
      </c>
      <c r="AN5" s="62">
        <v>160</v>
      </c>
      <c r="AO5" s="62">
        <v>40</v>
      </c>
      <c r="AP5" s="62">
        <v>39.110982162825422</v>
      </c>
      <c r="AQ5" s="62">
        <f t="shared" ref="AQ5:AQ26" si="4">COUNTIF($I$4:$P$94,AM5)</f>
        <v>26</v>
      </c>
      <c r="AR5" s="62">
        <f t="shared" ref="AR5:AR26" si="5">COUNTIF($Q$4:$X$94,AM5)</f>
        <v>21</v>
      </c>
      <c r="AS5" s="62">
        <f t="shared" ref="AS5:AS26" si="6">COUNTIF($Y$4:$AF$94,AM5)</f>
        <v>5</v>
      </c>
      <c r="AT5" s="62">
        <f t="shared" ref="AT5:AT26" si="7">AQ5+AR5+AS5</f>
        <v>52</v>
      </c>
      <c r="AU5" s="63">
        <f t="shared" ref="AU5:AW28" si="8">AQ5*$AO5</f>
        <v>1040</v>
      </c>
      <c r="AV5" s="63">
        <f t="shared" si="2"/>
        <v>840</v>
      </c>
      <c r="AW5" s="63">
        <f t="shared" si="2"/>
        <v>200</v>
      </c>
      <c r="AX5" s="94" t="s">
        <v>38</v>
      </c>
      <c r="AY5" s="94"/>
      <c r="BA5" s="57">
        <f t="shared" ref="BA5:BA29" si="9">AN5*0.8</f>
        <v>128</v>
      </c>
    </row>
    <row r="6" spans="1:53" s="50" customFormat="1">
      <c r="A6" s="59">
        <v>44640</v>
      </c>
      <c r="B6" s="60">
        <v>1600</v>
      </c>
      <c r="C6" s="60"/>
      <c r="D6" s="60">
        <f>(SUM(粮草!A6:X6)+AG6*10)*IF(AK6="是",$AY$4,$AY$3)</f>
        <v>2380</v>
      </c>
      <c r="E6" s="76">
        <f>SUM($B$4:B6)+SUM($C$4:C6)-SUM($D$4:D6)</f>
        <v>1900</v>
      </c>
      <c r="F6" s="60">
        <f>SUM(经验!A6:X6)</f>
        <v>665</v>
      </c>
      <c r="G6" s="60">
        <f>SUM($F$4:F6)+SUM($H$4:H6)</f>
        <v>3290</v>
      </c>
      <c r="H6" s="60">
        <v>0</v>
      </c>
      <c r="I6" s="64" t="s">
        <v>37</v>
      </c>
      <c r="J6" s="64" t="s">
        <v>37</v>
      </c>
      <c r="K6" s="65" t="s">
        <v>40</v>
      </c>
      <c r="L6" s="65" t="s">
        <v>40</v>
      </c>
      <c r="M6" s="65" t="s">
        <v>40</v>
      </c>
      <c r="N6" s="65" t="s">
        <v>40</v>
      </c>
      <c r="O6" s="72" t="s">
        <v>34</v>
      </c>
      <c r="P6" s="72" t="s">
        <v>34</v>
      </c>
      <c r="Q6" s="65" t="s">
        <v>40</v>
      </c>
      <c r="R6" s="65" t="s">
        <v>40</v>
      </c>
      <c r="S6" s="73" t="s">
        <v>73</v>
      </c>
      <c r="T6" s="65" t="s">
        <v>40</v>
      </c>
      <c r="U6" s="65" t="s">
        <v>40</v>
      </c>
      <c r="V6" s="65" t="s">
        <v>40</v>
      </c>
      <c r="W6" s="72" t="s">
        <v>34</v>
      </c>
      <c r="X6" s="72" t="s">
        <v>34</v>
      </c>
      <c r="Y6" s="65" t="s">
        <v>40</v>
      </c>
      <c r="Z6" s="21" t="s">
        <v>46</v>
      </c>
      <c r="AA6" s="65" t="s">
        <v>40</v>
      </c>
      <c r="AB6" s="73" t="s">
        <v>73</v>
      </c>
      <c r="AC6" s="80" t="s">
        <v>34</v>
      </c>
      <c r="AD6" s="80" t="s">
        <v>34</v>
      </c>
      <c r="AE6" s="72" t="s">
        <v>34</v>
      </c>
      <c r="AF6" s="72" t="s">
        <v>34</v>
      </c>
      <c r="AG6" s="56">
        <f t="shared" si="3"/>
        <v>0</v>
      </c>
      <c r="AH6" s="56"/>
      <c r="AI6" s="56"/>
      <c r="AJ6" s="56"/>
      <c r="AK6" s="78" t="s">
        <v>35</v>
      </c>
      <c r="AM6" s="65" t="s">
        <v>40</v>
      </c>
      <c r="AN6" s="62">
        <v>170</v>
      </c>
      <c r="AO6" s="62">
        <v>45</v>
      </c>
      <c r="AP6" s="62">
        <v>34</v>
      </c>
      <c r="AQ6" s="62">
        <f t="shared" si="4"/>
        <v>74</v>
      </c>
      <c r="AR6" s="62">
        <f t="shared" si="5"/>
        <v>152</v>
      </c>
      <c r="AS6" s="62">
        <f t="shared" si="6"/>
        <v>9</v>
      </c>
      <c r="AT6" s="62">
        <f t="shared" si="7"/>
        <v>235</v>
      </c>
      <c r="AU6" s="63">
        <f t="shared" si="8"/>
        <v>3330</v>
      </c>
      <c r="AV6" s="63">
        <f t="shared" si="2"/>
        <v>6840</v>
      </c>
      <c r="AW6" s="63">
        <f t="shared" si="2"/>
        <v>405</v>
      </c>
      <c r="AX6" s="95"/>
      <c r="AY6" s="95"/>
      <c r="BA6" s="57">
        <f t="shared" si="9"/>
        <v>136</v>
      </c>
    </row>
    <row r="7" spans="1:53">
      <c r="A7" s="59">
        <v>44641</v>
      </c>
      <c r="B7" s="18">
        <v>1600</v>
      </c>
      <c r="C7" s="18"/>
      <c r="D7" s="17">
        <f>(SUM(粮草!A7:X7)+AG7*10)*IF(AK7="是",$AY$4,$AY$3)</f>
        <v>2100</v>
      </c>
      <c r="E7" s="76">
        <f>SUM($B$4:B7)+SUM($C$4:C7)-SUM($D$4:D7)</f>
        <v>1400</v>
      </c>
      <c r="F7" s="17">
        <f>SUM(经验!A7:X7)</f>
        <v>695</v>
      </c>
      <c r="G7" s="17">
        <f>SUM($F$4:F7)+SUM($H$4:H7)</f>
        <v>4185</v>
      </c>
      <c r="H7" s="18">
        <v>200</v>
      </c>
      <c r="I7" s="73" t="s">
        <v>73</v>
      </c>
      <c r="J7" s="65" t="s">
        <v>40</v>
      </c>
      <c r="K7" s="65" t="s">
        <v>40</v>
      </c>
      <c r="L7" s="65" t="s">
        <v>40</v>
      </c>
      <c r="M7" s="65" t="s">
        <v>40</v>
      </c>
      <c r="N7" s="128" t="s">
        <v>47</v>
      </c>
      <c r="O7" s="72" t="s">
        <v>34</v>
      </c>
      <c r="P7" s="72" t="s">
        <v>34</v>
      </c>
      <c r="Q7" s="65" t="s">
        <v>40</v>
      </c>
      <c r="R7" s="65" t="s">
        <v>40</v>
      </c>
      <c r="S7" s="65" t="s">
        <v>40</v>
      </c>
      <c r="T7" s="65" t="s">
        <v>40</v>
      </c>
      <c r="U7" s="65" t="s">
        <v>40</v>
      </c>
      <c r="V7" s="73" t="s">
        <v>72</v>
      </c>
      <c r="W7" s="72" t="s">
        <v>34</v>
      </c>
      <c r="X7" s="72" t="s">
        <v>34</v>
      </c>
      <c r="Y7" s="80" t="s">
        <v>34</v>
      </c>
      <c r="Z7" s="80" t="s">
        <v>34</v>
      </c>
      <c r="AA7" s="80" t="s">
        <v>34</v>
      </c>
      <c r="AB7" s="80" t="s">
        <v>34</v>
      </c>
      <c r="AC7" s="80" t="s">
        <v>34</v>
      </c>
      <c r="AD7" s="80" t="s">
        <v>34</v>
      </c>
      <c r="AE7" s="72" t="s">
        <v>34</v>
      </c>
      <c r="AF7" s="72" t="s">
        <v>34</v>
      </c>
      <c r="AG7" s="56">
        <f t="shared" si="3"/>
        <v>0</v>
      </c>
      <c r="AH7" s="56"/>
      <c r="AI7" s="56"/>
      <c r="AJ7" s="56"/>
      <c r="AK7" s="78" t="s">
        <v>35</v>
      </c>
      <c r="AM7" s="27" t="s">
        <v>42</v>
      </c>
      <c r="AN7" s="26">
        <v>180</v>
      </c>
      <c r="AO7" s="26">
        <v>50</v>
      </c>
      <c r="AP7" s="26">
        <v>36</v>
      </c>
      <c r="AQ7" s="26">
        <f t="shared" si="4"/>
        <v>109</v>
      </c>
      <c r="AR7" s="26">
        <f t="shared" si="5"/>
        <v>76</v>
      </c>
      <c r="AS7" s="26">
        <f t="shared" si="6"/>
        <v>75</v>
      </c>
      <c r="AT7" s="26">
        <f t="shared" si="7"/>
        <v>260</v>
      </c>
      <c r="AU7" s="45">
        <f t="shared" si="8"/>
        <v>5450</v>
      </c>
      <c r="AV7" s="45">
        <f t="shared" si="2"/>
        <v>3800</v>
      </c>
      <c r="AW7" s="45">
        <f t="shared" si="2"/>
        <v>3750</v>
      </c>
      <c r="AX7" s="95"/>
      <c r="AY7" s="95"/>
      <c r="BA7">
        <f t="shared" si="9"/>
        <v>144</v>
      </c>
    </row>
    <row r="8" spans="1:53">
      <c r="A8" s="59">
        <v>44642</v>
      </c>
      <c r="B8" s="18">
        <v>1600</v>
      </c>
      <c r="C8" s="18"/>
      <c r="D8" s="17">
        <f>(SUM(粮草!A8:X8)+AG8*10)*IF(AK8="是",$AY$4,$AY$3)</f>
        <v>1960</v>
      </c>
      <c r="E8" s="76">
        <f>SUM($B$4:B8)+SUM($C$4:C8)-SUM($D$4:D8)</f>
        <v>1040</v>
      </c>
      <c r="F8" s="17">
        <f>SUM(经验!A8:X8)</f>
        <v>670</v>
      </c>
      <c r="G8" s="17">
        <f>SUM($F$4:F8)+SUM($H$4:H8)</f>
        <v>4955</v>
      </c>
      <c r="H8" s="18">
        <v>100</v>
      </c>
      <c r="I8" s="65" t="s">
        <v>40</v>
      </c>
      <c r="J8" s="65" t="s">
        <v>40</v>
      </c>
      <c r="K8" s="73" t="s">
        <v>72</v>
      </c>
      <c r="L8" s="65" t="s">
        <v>40</v>
      </c>
      <c r="M8" s="65" t="s">
        <v>40</v>
      </c>
      <c r="N8" s="20" t="s">
        <v>39</v>
      </c>
      <c r="O8" s="72" t="s">
        <v>34</v>
      </c>
      <c r="P8" s="72" t="s">
        <v>34</v>
      </c>
      <c r="Q8" s="65" t="s">
        <v>40</v>
      </c>
      <c r="R8" s="30" t="s">
        <v>51</v>
      </c>
      <c r="S8" s="65" t="s">
        <v>40</v>
      </c>
      <c r="T8" s="65" t="s">
        <v>40</v>
      </c>
      <c r="U8" s="65" t="s">
        <v>40</v>
      </c>
      <c r="V8" s="81" t="s">
        <v>47</v>
      </c>
      <c r="W8" s="72" t="s">
        <v>34</v>
      </c>
      <c r="X8" s="72" t="s">
        <v>34</v>
      </c>
      <c r="Y8" s="80" t="s">
        <v>34</v>
      </c>
      <c r="Z8" s="80" t="s">
        <v>34</v>
      </c>
      <c r="AA8" s="80" t="s">
        <v>34</v>
      </c>
      <c r="AB8" s="80" t="s">
        <v>34</v>
      </c>
      <c r="AC8" s="80" t="s">
        <v>34</v>
      </c>
      <c r="AD8" s="80" t="s">
        <v>34</v>
      </c>
      <c r="AE8" s="72" t="s">
        <v>34</v>
      </c>
      <c r="AF8" s="72" t="s">
        <v>34</v>
      </c>
      <c r="AG8" s="56">
        <f t="shared" si="3"/>
        <v>0</v>
      </c>
      <c r="AH8" s="56"/>
      <c r="AI8" s="56"/>
      <c r="AJ8" s="56"/>
      <c r="AK8" s="78" t="s">
        <v>35</v>
      </c>
      <c r="AM8" s="28" t="s">
        <v>43</v>
      </c>
      <c r="AN8" s="26">
        <v>190</v>
      </c>
      <c r="AO8" s="26">
        <v>55</v>
      </c>
      <c r="AP8" s="26">
        <v>38</v>
      </c>
      <c r="AQ8" s="26">
        <f t="shared" si="4"/>
        <v>98</v>
      </c>
      <c r="AR8" s="26">
        <f t="shared" si="5"/>
        <v>140</v>
      </c>
      <c r="AS8" s="26">
        <f t="shared" si="6"/>
        <v>0</v>
      </c>
      <c r="AT8" s="26">
        <f t="shared" si="7"/>
        <v>238</v>
      </c>
      <c r="AU8" s="45">
        <f t="shared" si="8"/>
        <v>5390</v>
      </c>
      <c r="AV8" s="45">
        <f t="shared" si="2"/>
        <v>7700</v>
      </c>
      <c r="AW8" s="45">
        <f t="shared" si="2"/>
        <v>0</v>
      </c>
      <c r="AX8" s="95"/>
      <c r="AY8" s="95"/>
      <c r="BA8">
        <f t="shared" si="9"/>
        <v>152</v>
      </c>
    </row>
    <row r="9" spans="1:53">
      <c r="A9" s="59">
        <v>44643</v>
      </c>
      <c r="B9" s="18">
        <v>1600</v>
      </c>
      <c r="C9" s="18"/>
      <c r="D9" s="134">
        <f>(SUM(粮草!A9:X9)+AG9*10)*IF(AK9="是",$AY$4,$AY$3)-68</f>
        <v>1972</v>
      </c>
      <c r="E9" s="76">
        <f>SUM($B$4:B9)+SUM($C$4:C9)-SUM($D$4:D9)</f>
        <v>668</v>
      </c>
      <c r="F9" s="17">
        <f>SUM(经验!A9:X9)</f>
        <v>540</v>
      </c>
      <c r="G9" s="17">
        <f>SUM($F$4:F9)+SUM($H$4:H9)</f>
        <v>5695</v>
      </c>
      <c r="H9" s="18">
        <v>200</v>
      </c>
      <c r="I9" s="65" t="s">
        <v>40</v>
      </c>
      <c r="J9" s="65" t="s">
        <v>40</v>
      </c>
      <c r="K9" s="65" t="s">
        <v>40</v>
      </c>
      <c r="L9" s="65" t="s">
        <v>40</v>
      </c>
      <c r="M9" s="73" t="s">
        <v>73</v>
      </c>
      <c r="N9" s="65" t="s">
        <v>40</v>
      </c>
      <c r="O9" s="72" t="s">
        <v>34</v>
      </c>
      <c r="P9" s="72" t="s">
        <v>34</v>
      </c>
      <c r="Q9" s="65" t="s">
        <v>40</v>
      </c>
      <c r="R9" s="65" t="s">
        <v>40</v>
      </c>
      <c r="S9" s="65" t="s">
        <v>40</v>
      </c>
      <c r="T9" s="65" t="s">
        <v>40</v>
      </c>
      <c r="U9" s="73" t="s">
        <v>73</v>
      </c>
      <c r="V9" s="65" t="s">
        <v>40</v>
      </c>
      <c r="W9" s="72" t="s">
        <v>34</v>
      </c>
      <c r="X9" s="72" t="s">
        <v>34</v>
      </c>
      <c r="Y9" s="80" t="s">
        <v>34</v>
      </c>
      <c r="Z9" s="80" t="s">
        <v>34</v>
      </c>
      <c r="AA9" s="80" t="s">
        <v>34</v>
      </c>
      <c r="AB9" s="80" t="s">
        <v>34</v>
      </c>
      <c r="AC9" s="80" t="s">
        <v>34</v>
      </c>
      <c r="AD9" s="80" t="s">
        <v>34</v>
      </c>
      <c r="AE9" s="72" t="s">
        <v>34</v>
      </c>
      <c r="AF9" s="72" t="s">
        <v>34</v>
      </c>
      <c r="AG9" s="56">
        <f t="shared" si="3"/>
        <v>0</v>
      </c>
      <c r="AH9" s="56"/>
      <c r="AI9" s="56"/>
      <c r="AJ9" s="56"/>
      <c r="AK9" s="78" t="s">
        <v>35</v>
      </c>
      <c r="AM9" s="29" t="s">
        <v>44</v>
      </c>
      <c r="AN9" s="26">
        <v>200</v>
      </c>
      <c r="AO9" s="26">
        <v>60</v>
      </c>
      <c r="AP9" s="26"/>
      <c r="AQ9" s="26">
        <f t="shared" si="4"/>
        <v>80</v>
      </c>
      <c r="AR9" s="26">
        <f t="shared" si="5"/>
        <v>114</v>
      </c>
      <c r="AS9" s="26">
        <f t="shared" si="6"/>
        <v>0</v>
      </c>
      <c r="AT9" s="26">
        <f t="shared" si="7"/>
        <v>194</v>
      </c>
      <c r="AU9" s="45">
        <f t="shared" si="8"/>
        <v>4800</v>
      </c>
      <c r="AV9" s="45">
        <f t="shared" si="2"/>
        <v>6840</v>
      </c>
      <c r="AW9" s="45">
        <f t="shared" si="2"/>
        <v>0</v>
      </c>
      <c r="BA9">
        <f t="shared" si="9"/>
        <v>160</v>
      </c>
    </row>
    <row r="10" spans="1:53">
      <c r="A10" s="59">
        <v>44644</v>
      </c>
      <c r="B10" s="18">
        <v>1600</v>
      </c>
      <c r="C10" s="18"/>
      <c r="D10" s="17">
        <f>(SUM(粮草!A10:X10)+AG10*10)*IF(AK10="是",$AY$4,$AY$3)</f>
        <v>1616</v>
      </c>
      <c r="E10" s="76">
        <f>SUM($B$4:B10)+SUM($C$4:C10)-SUM($D$4:D10)</f>
        <v>652</v>
      </c>
      <c r="F10" s="17">
        <f>SUM(经验!A10:X10)</f>
        <v>540</v>
      </c>
      <c r="G10" s="17">
        <f>SUM($F$4:F10)+SUM($H$4:H10)</f>
        <v>6235</v>
      </c>
      <c r="H10" s="18">
        <v>0</v>
      </c>
      <c r="I10" s="65" t="s">
        <v>40</v>
      </c>
      <c r="J10" s="65" t="s">
        <v>40</v>
      </c>
      <c r="K10" s="65" t="s">
        <v>40</v>
      </c>
      <c r="L10" s="128" t="s">
        <v>47</v>
      </c>
      <c r="M10" s="65" t="s">
        <v>40</v>
      </c>
      <c r="N10" s="65" t="s">
        <v>40</v>
      </c>
      <c r="O10" s="72" t="s">
        <v>34</v>
      </c>
      <c r="P10" s="72" t="s">
        <v>34</v>
      </c>
      <c r="Q10" s="65" t="s">
        <v>40</v>
      </c>
      <c r="R10" s="65" t="s">
        <v>40</v>
      </c>
      <c r="S10" s="65" t="s">
        <v>40</v>
      </c>
      <c r="T10" s="65" t="s">
        <v>40</v>
      </c>
      <c r="U10" s="65" t="s">
        <v>40</v>
      </c>
      <c r="V10" s="65" t="s">
        <v>40</v>
      </c>
      <c r="W10" s="72" t="s">
        <v>34</v>
      </c>
      <c r="X10" s="72" t="s">
        <v>34</v>
      </c>
      <c r="Y10" s="80" t="s">
        <v>34</v>
      </c>
      <c r="Z10" s="80" t="s">
        <v>34</v>
      </c>
      <c r="AA10" s="80" t="s">
        <v>34</v>
      </c>
      <c r="AB10" s="80" t="s">
        <v>34</v>
      </c>
      <c r="AC10" s="80" t="s">
        <v>34</v>
      </c>
      <c r="AD10" s="80" t="s">
        <v>34</v>
      </c>
      <c r="AE10" s="72" t="s">
        <v>34</v>
      </c>
      <c r="AF10" s="72" t="s">
        <v>34</v>
      </c>
      <c r="AG10" s="56">
        <f t="shared" si="3"/>
        <v>0</v>
      </c>
      <c r="AH10" s="56"/>
      <c r="AI10" s="56"/>
      <c r="AJ10" s="56"/>
      <c r="AK10" s="78" t="s">
        <v>52</v>
      </c>
      <c r="AM10" s="135" t="s">
        <v>45</v>
      </c>
      <c r="AN10" s="26">
        <v>150</v>
      </c>
      <c r="AO10" s="26">
        <v>35</v>
      </c>
      <c r="AP10" s="26">
        <v>44.222109392472248</v>
      </c>
      <c r="AQ10" s="26">
        <f t="shared" si="4"/>
        <v>0</v>
      </c>
      <c r="AR10" s="26">
        <f t="shared" si="5"/>
        <v>0</v>
      </c>
      <c r="AS10" s="26">
        <f t="shared" si="6"/>
        <v>0</v>
      </c>
      <c r="AT10" s="26">
        <f t="shared" si="7"/>
        <v>0</v>
      </c>
      <c r="AU10" s="45">
        <f t="shared" si="8"/>
        <v>0</v>
      </c>
      <c r="AV10" s="45">
        <f t="shared" si="2"/>
        <v>0</v>
      </c>
      <c r="AW10" s="45">
        <f t="shared" si="2"/>
        <v>0</v>
      </c>
      <c r="BA10">
        <f t="shared" si="9"/>
        <v>120</v>
      </c>
    </row>
    <row r="11" spans="1:53">
      <c r="A11" s="59">
        <v>44645</v>
      </c>
      <c r="B11" s="18">
        <v>1600</v>
      </c>
      <c r="C11" s="18"/>
      <c r="D11" s="17">
        <f>(SUM(粮草!A11:X11)+AG11*10)*IF(AK11="是",$AY$4,$AY$3)</f>
        <v>1536</v>
      </c>
      <c r="E11" s="76">
        <f>SUM($B$4:B11)+SUM($C$4:C11)-SUM($D$4:D11)</f>
        <v>716</v>
      </c>
      <c r="F11" s="17">
        <f>SUM(经验!A11:X11)</f>
        <v>525</v>
      </c>
      <c r="G11" s="17">
        <f>SUM($F$4:F11)+SUM($H$4:H11)</f>
        <v>6760</v>
      </c>
      <c r="H11" s="18">
        <v>0</v>
      </c>
      <c r="I11" s="65" t="s">
        <v>40</v>
      </c>
      <c r="J11" s="65" t="s">
        <v>40</v>
      </c>
      <c r="K11" s="65" t="s">
        <v>40</v>
      </c>
      <c r="L11" s="65" t="s">
        <v>40</v>
      </c>
      <c r="M11" s="20" t="s">
        <v>39</v>
      </c>
      <c r="N11" s="65" t="s">
        <v>40</v>
      </c>
      <c r="O11" s="72" t="s">
        <v>34</v>
      </c>
      <c r="P11" s="72" t="s">
        <v>34</v>
      </c>
      <c r="Q11" s="65" t="s">
        <v>40</v>
      </c>
      <c r="R11" s="65" t="s">
        <v>40</v>
      </c>
      <c r="S11" s="65" t="s">
        <v>40</v>
      </c>
      <c r="T11" s="65" t="s">
        <v>40</v>
      </c>
      <c r="U11" s="65" t="s">
        <v>40</v>
      </c>
      <c r="V11" s="65" t="s">
        <v>40</v>
      </c>
      <c r="W11" s="72" t="s">
        <v>34</v>
      </c>
      <c r="X11" s="72" t="s">
        <v>34</v>
      </c>
      <c r="Y11" s="80" t="s">
        <v>34</v>
      </c>
      <c r="Z11" s="80" t="s">
        <v>34</v>
      </c>
      <c r="AA11" s="80" t="s">
        <v>34</v>
      </c>
      <c r="AB11" s="80" t="s">
        <v>34</v>
      </c>
      <c r="AC11" s="80" t="s">
        <v>34</v>
      </c>
      <c r="AD11" s="80" t="s">
        <v>34</v>
      </c>
      <c r="AE11" s="72" t="s">
        <v>34</v>
      </c>
      <c r="AF11" s="72" t="s">
        <v>34</v>
      </c>
      <c r="AG11" s="56">
        <f t="shared" si="3"/>
        <v>0</v>
      </c>
      <c r="AH11" s="56"/>
      <c r="AI11" s="56"/>
      <c r="AJ11" s="56"/>
      <c r="AK11" s="78" t="s">
        <v>52</v>
      </c>
      <c r="AM11" s="136" t="s">
        <v>41</v>
      </c>
      <c r="AN11" s="26">
        <v>150</v>
      </c>
      <c r="AO11" s="26">
        <v>40</v>
      </c>
      <c r="AP11" s="26">
        <v>29.110982162825422</v>
      </c>
      <c r="AQ11" s="26">
        <f t="shared" si="4"/>
        <v>2</v>
      </c>
      <c r="AR11" s="26">
        <f t="shared" si="5"/>
        <v>1</v>
      </c>
      <c r="AS11" s="26">
        <f t="shared" si="6"/>
        <v>0</v>
      </c>
      <c r="AT11" s="26">
        <f t="shared" si="7"/>
        <v>3</v>
      </c>
      <c r="AU11" s="45">
        <f t="shared" si="8"/>
        <v>80</v>
      </c>
      <c r="AV11" s="45">
        <f t="shared" si="2"/>
        <v>40</v>
      </c>
      <c r="AW11" s="45">
        <f t="shared" si="2"/>
        <v>0</v>
      </c>
      <c r="BA11">
        <f t="shared" si="9"/>
        <v>120</v>
      </c>
    </row>
    <row r="12" spans="1:53">
      <c r="A12" s="59">
        <v>44646</v>
      </c>
      <c r="B12" s="18">
        <v>1600</v>
      </c>
      <c r="C12" s="18"/>
      <c r="D12" s="17">
        <f>(SUM(粮草!A12:X12)+AG12*10)*IF(AK12="是",$AY$4,$AY$3)</f>
        <v>1536</v>
      </c>
      <c r="E12" s="76">
        <f>SUM($B$4:B12)+SUM($C$4:C12)-SUM($D$4:D12)</f>
        <v>780</v>
      </c>
      <c r="F12" s="17">
        <f>SUM(经验!A12:X12)</f>
        <v>525</v>
      </c>
      <c r="G12" s="17">
        <f>SUM($F$4:F12)+SUM($H$4:H12)</f>
        <v>7285</v>
      </c>
      <c r="H12" s="18">
        <v>0</v>
      </c>
      <c r="I12" s="65" t="s">
        <v>40</v>
      </c>
      <c r="J12" s="65" t="s">
        <v>40</v>
      </c>
      <c r="K12" s="65" t="s">
        <v>40</v>
      </c>
      <c r="L12" s="65" t="s">
        <v>40</v>
      </c>
      <c r="M12" s="65" t="s">
        <v>40</v>
      </c>
      <c r="N12" s="20" t="s">
        <v>39</v>
      </c>
      <c r="O12" s="72" t="s">
        <v>34</v>
      </c>
      <c r="P12" s="72" t="s">
        <v>34</v>
      </c>
      <c r="Q12" s="65" t="s">
        <v>40</v>
      </c>
      <c r="R12" s="65" t="s">
        <v>40</v>
      </c>
      <c r="S12" s="65" t="s">
        <v>40</v>
      </c>
      <c r="T12" s="65" t="s">
        <v>40</v>
      </c>
      <c r="U12" s="65" t="s">
        <v>40</v>
      </c>
      <c r="V12" s="65" t="s">
        <v>40</v>
      </c>
      <c r="W12" s="72" t="s">
        <v>34</v>
      </c>
      <c r="X12" s="72" t="s">
        <v>34</v>
      </c>
      <c r="Y12" s="80" t="s">
        <v>34</v>
      </c>
      <c r="Z12" s="80" t="s">
        <v>34</v>
      </c>
      <c r="AA12" s="80" t="s">
        <v>34</v>
      </c>
      <c r="AB12" s="80" t="s">
        <v>34</v>
      </c>
      <c r="AC12" s="80" t="s">
        <v>34</v>
      </c>
      <c r="AD12" s="80" t="s">
        <v>34</v>
      </c>
      <c r="AE12" s="72" t="s">
        <v>34</v>
      </c>
      <c r="AF12" s="72" t="s">
        <v>34</v>
      </c>
      <c r="AG12" s="56">
        <f t="shared" si="3"/>
        <v>0</v>
      </c>
      <c r="AH12" s="56"/>
      <c r="AI12" s="56"/>
      <c r="AJ12" s="56"/>
      <c r="AK12" s="78" t="s">
        <v>52</v>
      </c>
      <c r="AM12" s="137" t="s">
        <v>47</v>
      </c>
      <c r="AN12" s="26">
        <v>150</v>
      </c>
      <c r="AO12" s="26">
        <v>45</v>
      </c>
      <c r="AP12" s="26">
        <v>13.999854933178597</v>
      </c>
      <c r="AQ12" s="26">
        <f t="shared" si="4"/>
        <v>3</v>
      </c>
      <c r="AR12" s="26">
        <f t="shared" si="5"/>
        <v>3</v>
      </c>
      <c r="AS12" s="26">
        <f t="shared" si="6"/>
        <v>0</v>
      </c>
      <c r="AT12" s="26">
        <f t="shared" si="7"/>
        <v>6</v>
      </c>
      <c r="AU12" s="45">
        <f t="shared" si="8"/>
        <v>135</v>
      </c>
      <c r="AV12" s="45">
        <f t="shared" si="2"/>
        <v>135</v>
      </c>
      <c r="AW12" s="45">
        <f t="shared" si="2"/>
        <v>0</v>
      </c>
      <c r="BA12">
        <f t="shared" si="9"/>
        <v>120</v>
      </c>
    </row>
    <row r="13" spans="1:53">
      <c r="A13" s="59">
        <v>44647</v>
      </c>
      <c r="B13" s="18">
        <v>1600</v>
      </c>
      <c r="C13" s="18"/>
      <c r="D13" s="17">
        <f>(SUM(粮草!A13:X13)+AG13*10)*IF(AK13="是",$AY$4,$AY$3)</f>
        <v>1488</v>
      </c>
      <c r="E13" s="76">
        <f>SUM($B$4:B13)+SUM($C$4:C13)-SUM($D$4:D13)</f>
        <v>892</v>
      </c>
      <c r="F13" s="17">
        <f>SUM(经验!A13:X13)</f>
        <v>500</v>
      </c>
      <c r="G13" s="17">
        <f>SUM($F$4:F13)+SUM($H$4:H13)</f>
        <v>7785</v>
      </c>
      <c r="H13" s="18">
        <v>0</v>
      </c>
      <c r="I13" s="64" t="s">
        <v>37</v>
      </c>
      <c r="J13" s="129" t="s">
        <v>41</v>
      </c>
      <c r="K13" s="64" t="s">
        <v>37</v>
      </c>
      <c r="L13" s="64" t="s">
        <v>37</v>
      </c>
      <c r="M13" s="64" t="s">
        <v>37</v>
      </c>
      <c r="N13" s="20" t="s">
        <v>39</v>
      </c>
      <c r="O13" s="72" t="s">
        <v>34</v>
      </c>
      <c r="P13" s="72" t="s">
        <v>34</v>
      </c>
      <c r="Q13" s="65" t="s">
        <v>40</v>
      </c>
      <c r="R13" s="65" t="s">
        <v>40</v>
      </c>
      <c r="S13" s="65" t="s">
        <v>40</v>
      </c>
      <c r="T13" s="65" t="s">
        <v>40</v>
      </c>
      <c r="U13" s="65" t="s">
        <v>40</v>
      </c>
      <c r="V13" s="65" t="s">
        <v>40</v>
      </c>
      <c r="W13" s="72" t="s">
        <v>34</v>
      </c>
      <c r="X13" s="72" t="s">
        <v>34</v>
      </c>
      <c r="Y13" s="80" t="s">
        <v>34</v>
      </c>
      <c r="Z13" s="80" t="s">
        <v>34</v>
      </c>
      <c r="AA13" s="80" t="s">
        <v>34</v>
      </c>
      <c r="AB13" s="80" t="s">
        <v>34</v>
      </c>
      <c r="AC13" s="80" t="s">
        <v>34</v>
      </c>
      <c r="AD13" s="80" t="s">
        <v>34</v>
      </c>
      <c r="AE13" s="72" t="s">
        <v>34</v>
      </c>
      <c r="AF13" s="72" t="s">
        <v>34</v>
      </c>
      <c r="AG13" s="56">
        <f t="shared" si="3"/>
        <v>0</v>
      </c>
      <c r="AH13" s="56"/>
      <c r="AI13" s="56"/>
      <c r="AJ13" s="56"/>
      <c r="AK13" s="78" t="s">
        <v>52</v>
      </c>
      <c r="AM13" s="138" t="s">
        <v>48</v>
      </c>
      <c r="AN13" s="26">
        <v>150</v>
      </c>
      <c r="AO13" s="26">
        <v>50</v>
      </c>
      <c r="AP13" s="26"/>
      <c r="AQ13" s="26">
        <f t="shared" si="4"/>
        <v>2</v>
      </c>
      <c r="AR13" s="26">
        <f t="shared" si="5"/>
        <v>2</v>
      </c>
      <c r="AS13" s="26">
        <f t="shared" si="6"/>
        <v>0</v>
      </c>
      <c r="AT13" s="26">
        <f t="shared" si="7"/>
        <v>4</v>
      </c>
      <c r="AU13" s="45">
        <f t="shared" si="8"/>
        <v>100</v>
      </c>
      <c r="AV13" s="45">
        <f t="shared" si="2"/>
        <v>100</v>
      </c>
      <c r="AW13" s="45">
        <f t="shared" si="2"/>
        <v>0</v>
      </c>
      <c r="BA13">
        <f t="shared" si="9"/>
        <v>120</v>
      </c>
    </row>
    <row r="14" spans="1:53">
      <c r="A14" s="59">
        <v>44648</v>
      </c>
      <c r="B14" s="17">
        <v>1600</v>
      </c>
      <c r="C14" s="17"/>
      <c r="D14" s="17">
        <f>(SUM(粮草!A14:X14)+AG14*10)*IF(AK14="是",$AY$4,$AY$3)</f>
        <v>1624</v>
      </c>
      <c r="E14" s="76">
        <f>SUM($B$4:B14)+SUM($C$4:C14)-SUM($D$4:D14)</f>
        <v>868</v>
      </c>
      <c r="F14" s="17">
        <f>SUM(经验!A14:X14)</f>
        <v>535</v>
      </c>
      <c r="G14" s="17">
        <f>SUM($F$4:F14)+SUM($H$4:H14)</f>
        <v>8620</v>
      </c>
      <c r="H14" s="17">
        <v>300</v>
      </c>
      <c r="I14" s="64" t="s">
        <v>37</v>
      </c>
      <c r="J14" s="65" t="s">
        <v>40</v>
      </c>
      <c r="K14" s="65" t="s">
        <v>40</v>
      </c>
      <c r="L14" s="65" t="s">
        <v>40</v>
      </c>
      <c r="M14" s="65" t="s">
        <v>40</v>
      </c>
      <c r="N14" s="65" t="s">
        <v>40</v>
      </c>
      <c r="O14" s="72" t="s">
        <v>34</v>
      </c>
      <c r="P14" s="72" t="s">
        <v>34</v>
      </c>
      <c r="Q14" s="65" t="s">
        <v>40</v>
      </c>
      <c r="R14" s="65" t="s">
        <v>40</v>
      </c>
      <c r="S14" s="65" t="s">
        <v>40</v>
      </c>
      <c r="T14" s="65" t="s">
        <v>40</v>
      </c>
      <c r="U14" s="65" t="s">
        <v>40</v>
      </c>
      <c r="V14" s="65" t="s">
        <v>40</v>
      </c>
      <c r="W14" s="72" t="s">
        <v>34</v>
      </c>
      <c r="X14" s="72" t="s">
        <v>34</v>
      </c>
      <c r="Y14" s="80" t="s">
        <v>34</v>
      </c>
      <c r="Z14" s="80" t="s">
        <v>34</v>
      </c>
      <c r="AA14" s="80" t="s">
        <v>34</v>
      </c>
      <c r="AB14" s="80" t="s">
        <v>34</v>
      </c>
      <c r="AC14" s="80" t="s">
        <v>34</v>
      </c>
      <c r="AD14" s="80" t="s">
        <v>34</v>
      </c>
      <c r="AE14" s="72" t="s">
        <v>34</v>
      </c>
      <c r="AF14" s="72" t="s">
        <v>34</v>
      </c>
      <c r="AG14" s="56">
        <f t="shared" si="3"/>
        <v>0</v>
      </c>
      <c r="AH14" s="56"/>
      <c r="AI14" s="56"/>
      <c r="AJ14" s="56"/>
      <c r="AK14" s="78" t="s">
        <v>52</v>
      </c>
      <c r="AM14" s="131" t="s">
        <v>49</v>
      </c>
      <c r="AN14" s="26">
        <v>150</v>
      </c>
      <c r="AO14" s="26">
        <v>55</v>
      </c>
      <c r="AP14" s="26"/>
      <c r="AQ14" s="26">
        <f t="shared" si="4"/>
        <v>1</v>
      </c>
      <c r="AR14" s="26">
        <f t="shared" si="5"/>
        <v>2</v>
      </c>
      <c r="AS14" s="26">
        <f t="shared" si="6"/>
        <v>0</v>
      </c>
      <c r="AT14" s="26">
        <f t="shared" si="7"/>
        <v>3</v>
      </c>
      <c r="AU14" s="45">
        <f t="shared" si="8"/>
        <v>55</v>
      </c>
      <c r="AV14" s="45">
        <f t="shared" si="2"/>
        <v>110</v>
      </c>
      <c r="AW14" s="45">
        <f t="shared" si="2"/>
        <v>0</v>
      </c>
      <c r="BA14">
        <f t="shared" si="9"/>
        <v>120</v>
      </c>
    </row>
    <row r="15" spans="1:53">
      <c r="A15" s="59">
        <v>44649</v>
      </c>
      <c r="B15" s="17">
        <v>1600</v>
      </c>
      <c r="C15" s="17"/>
      <c r="D15" s="17">
        <f>(SUM(粮草!A15:X15)+AG15*10)*IF(AK15="是",$AY$4,$AY$3)</f>
        <v>1536</v>
      </c>
      <c r="E15" s="76">
        <f>SUM($B$4:B15)+SUM($C$4:C15)-SUM($D$4:D15)</f>
        <v>932</v>
      </c>
      <c r="F15" s="17">
        <f>SUM(经验!A15:X15)</f>
        <v>530</v>
      </c>
      <c r="G15" s="17">
        <f>SUM($F$4:F15)+SUM($H$4:H15)</f>
        <v>9150</v>
      </c>
      <c r="H15" s="17">
        <v>0</v>
      </c>
      <c r="I15" s="65" t="s">
        <v>40</v>
      </c>
      <c r="J15" s="65" t="s">
        <v>40</v>
      </c>
      <c r="K15" s="65" t="s">
        <v>40</v>
      </c>
      <c r="L15" s="129" t="s">
        <v>41</v>
      </c>
      <c r="M15" s="65" t="s">
        <v>40</v>
      </c>
      <c r="N15" s="65" t="s">
        <v>40</v>
      </c>
      <c r="O15" s="72" t="s">
        <v>34</v>
      </c>
      <c r="P15" s="72" t="s">
        <v>34</v>
      </c>
      <c r="Q15" s="20" t="s">
        <v>39</v>
      </c>
      <c r="R15" s="65" t="s">
        <v>40</v>
      </c>
      <c r="S15" s="65" t="s">
        <v>40</v>
      </c>
      <c r="T15" s="65" t="s">
        <v>40</v>
      </c>
      <c r="U15" s="84" t="s">
        <v>42</v>
      </c>
      <c r="V15" s="84" t="s">
        <v>42</v>
      </c>
      <c r="W15" s="72" t="s">
        <v>34</v>
      </c>
      <c r="X15" s="72" t="s">
        <v>34</v>
      </c>
      <c r="Y15" s="80" t="s">
        <v>34</v>
      </c>
      <c r="Z15" s="80" t="s">
        <v>34</v>
      </c>
      <c r="AA15" s="80" t="s">
        <v>34</v>
      </c>
      <c r="AB15" s="80" t="s">
        <v>34</v>
      </c>
      <c r="AC15" s="80" t="s">
        <v>34</v>
      </c>
      <c r="AD15" s="80" t="s">
        <v>34</v>
      </c>
      <c r="AE15" s="72" t="s">
        <v>34</v>
      </c>
      <c r="AF15" s="72" t="s">
        <v>34</v>
      </c>
      <c r="AG15" s="56">
        <f t="shared" si="3"/>
        <v>0</v>
      </c>
      <c r="AH15" s="56"/>
      <c r="AI15" s="56"/>
      <c r="AJ15" s="56"/>
      <c r="AK15" s="78" t="s">
        <v>52</v>
      </c>
      <c r="AM15" s="139" t="s">
        <v>50</v>
      </c>
      <c r="AN15" s="26">
        <v>150</v>
      </c>
      <c r="AO15" s="26">
        <v>60</v>
      </c>
      <c r="AP15" s="26"/>
      <c r="AQ15" s="26">
        <f t="shared" si="4"/>
        <v>1</v>
      </c>
      <c r="AR15" s="26">
        <f t="shared" si="5"/>
        <v>0</v>
      </c>
      <c r="AS15" s="26">
        <f t="shared" si="6"/>
        <v>0</v>
      </c>
      <c r="AT15" s="26">
        <f t="shared" si="7"/>
        <v>1</v>
      </c>
      <c r="AU15" s="45">
        <f t="shared" si="8"/>
        <v>60</v>
      </c>
      <c r="AV15" s="45">
        <f t="shared" si="2"/>
        <v>0</v>
      </c>
      <c r="AW15" s="45">
        <f t="shared" si="2"/>
        <v>0</v>
      </c>
      <c r="BA15">
        <f t="shared" si="9"/>
        <v>120</v>
      </c>
    </row>
    <row r="16" spans="1:53">
      <c r="A16" s="59">
        <v>44650</v>
      </c>
      <c r="B16" s="17">
        <v>1600</v>
      </c>
      <c r="C16" s="17"/>
      <c r="D16" s="17">
        <f>(SUM(粮草!A16:X16)+AG16*10)*IF(AK16="是",$AY$4,$AY$3)</f>
        <v>1552</v>
      </c>
      <c r="E16" s="76">
        <f>SUM($B$4:B16)+SUM($C$4:C16)-SUM($D$4:D16)</f>
        <v>980</v>
      </c>
      <c r="F16" s="17">
        <f>SUM(经验!A16:X16)</f>
        <v>545</v>
      </c>
      <c r="G16" s="17">
        <f>SUM($F$4:F16)+SUM($H$4:H16)</f>
        <v>9895</v>
      </c>
      <c r="H16" s="17">
        <v>200</v>
      </c>
      <c r="I16" s="20" t="s">
        <v>39</v>
      </c>
      <c r="J16" s="65" t="s">
        <v>40</v>
      </c>
      <c r="K16" s="65" t="s">
        <v>40</v>
      </c>
      <c r="L16" s="65" t="s">
        <v>40</v>
      </c>
      <c r="M16" s="65" t="s">
        <v>40</v>
      </c>
      <c r="N16" s="65" t="s">
        <v>40</v>
      </c>
      <c r="O16" s="72" t="s">
        <v>34</v>
      </c>
      <c r="P16" s="72" t="s">
        <v>34</v>
      </c>
      <c r="Q16" s="128" t="s">
        <v>47</v>
      </c>
      <c r="R16" s="65" t="s">
        <v>40</v>
      </c>
      <c r="S16" s="84" t="s">
        <v>42</v>
      </c>
      <c r="T16" s="84" t="s">
        <v>42</v>
      </c>
      <c r="U16" s="84" t="s">
        <v>42</v>
      </c>
      <c r="V16" s="84" t="s">
        <v>42</v>
      </c>
      <c r="W16" s="72" t="s">
        <v>34</v>
      </c>
      <c r="X16" s="72" t="s">
        <v>34</v>
      </c>
      <c r="Y16" s="80" t="s">
        <v>34</v>
      </c>
      <c r="Z16" s="80" t="s">
        <v>34</v>
      </c>
      <c r="AA16" s="80" t="s">
        <v>34</v>
      </c>
      <c r="AB16" s="80" t="s">
        <v>34</v>
      </c>
      <c r="AC16" s="80" t="s">
        <v>34</v>
      </c>
      <c r="AD16" s="80" t="s">
        <v>34</v>
      </c>
      <c r="AE16" s="72" t="s">
        <v>34</v>
      </c>
      <c r="AF16" s="72" t="s">
        <v>34</v>
      </c>
      <c r="AG16" s="56">
        <f t="shared" si="3"/>
        <v>0</v>
      </c>
      <c r="AH16" s="56"/>
      <c r="AI16" s="56"/>
      <c r="AJ16" s="56"/>
      <c r="AK16" s="78" t="s">
        <v>52</v>
      </c>
      <c r="AM16" s="30" t="s">
        <v>51</v>
      </c>
      <c r="AN16" s="31">
        <v>150</v>
      </c>
      <c r="AO16" s="26">
        <v>35</v>
      </c>
      <c r="AP16" s="26">
        <v>44.222109392472248</v>
      </c>
      <c r="AQ16" s="26">
        <f t="shared" si="4"/>
        <v>0</v>
      </c>
      <c r="AR16" s="26">
        <f t="shared" si="5"/>
        <v>1</v>
      </c>
      <c r="AS16" s="26">
        <f t="shared" si="6"/>
        <v>2</v>
      </c>
      <c r="AT16" s="26">
        <f t="shared" si="7"/>
        <v>3</v>
      </c>
      <c r="AU16" s="45">
        <f t="shared" si="8"/>
        <v>0</v>
      </c>
      <c r="AV16" s="45">
        <f t="shared" si="2"/>
        <v>35</v>
      </c>
      <c r="AW16" s="45">
        <f t="shared" si="2"/>
        <v>70</v>
      </c>
      <c r="BA16">
        <f t="shared" si="9"/>
        <v>120</v>
      </c>
    </row>
    <row r="17" spans="1:53">
      <c r="A17" s="59">
        <v>44651</v>
      </c>
      <c r="B17" s="17">
        <v>1600</v>
      </c>
      <c r="C17" s="17"/>
      <c r="D17" s="17">
        <f>(SUM(粮草!A17:X17)+AG17*10)*IF(AK17="是",$AY$4,$AY$3)</f>
        <v>1576</v>
      </c>
      <c r="E17" s="76">
        <f>SUM($B$4:B17)+SUM($C$4:C17)-SUM($D$4:D17)</f>
        <v>1004</v>
      </c>
      <c r="F17" s="17">
        <f>SUM(经验!A17:X17)</f>
        <v>550</v>
      </c>
      <c r="G17" s="17">
        <f>SUM($F$4:F17)+SUM($H$4:H17)</f>
        <v>10445</v>
      </c>
      <c r="H17" s="17">
        <v>0</v>
      </c>
      <c r="I17" s="65" t="s">
        <v>40</v>
      </c>
      <c r="J17" s="65" t="s">
        <v>40</v>
      </c>
      <c r="K17" s="65" t="s">
        <v>40</v>
      </c>
      <c r="L17" s="65" t="s">
        <v>40</v>
      </c>
      <c r="M17" s="65" t="s">
        <v>40</v>
      </c>
      <c r="N17" s="65" t="s">
        <v>40</v>
      </c>
      <c r="O17" s="72" t="s">
        <v>34</v>
      </c>
      <c r="P17" s="72" t="s">
        <v>34</v>
      </c>
      <c r="Q17" s="84" t="s">
        <v>42</v>
      </c>
      <c r="R17" s="84" t="s">
        <v>42</v>
      </c>
      <c r="S17" s="84" t="s">
        <v>42</v>
      </c>
      <c r="T17" s="84" t="s">
        <v>42</v>
      </c>
      <c r="U17" s="20" t="s">
        <v>39</v>
      </c>
      <c r="V17" s="84" t="s">
        <v>42</v>
      </c>
      <c r="W17" s="72" t="s">
        <v>34</v>
      </c>
      <c r="X17" s="72" t="s">
        <v>34</v>
      </c>
      <c r="Y17" s="80" t="s">
        <v>34</v>
      </c>
      <c r="Z17" s="80" t="s">
        <v>34</v>
      </c>
      <c r="AA17" s="80" t="s">
        <v>34</v>
      </c>
      <c r="AB17" s="80" t="s">
        <v>34</v>
      </c>
      <c r="AC17" s="80" t="s">
        <v>34</v>
      </c>
      <c r="AD17" s="80" t="s">
        <v>34</v>
      </c>
      <c r="AE17" s="72" t="s">
        <v>34</v>
      </c>
      <c r="AF17" s="72" t="s">
        <v>34</v>
      </c>
      <c r="AG17" s="56">
        <f t="shared" si="3"/>
        <v>0</v>
      </c>
      <c r="AH17" s="56"/>
      <c r="AI17" s="56"/>
      <c r="AJ17" s="56"/>
      <c r="AK17" s="78" t="s">
        <v>52</v>
      </c>
      <c r="AM17" s="20" t="s">
        <v>39</v>
      </c>
      <c r="AN17" s="26">
        <v>50</v>
      </c>
      <c r="AO17" s="26">
        <v>30</v>
      </c>
      <c r="AP17" s="26">
        <v>10</v>
      </c>
      <c r="AQ17" s="26">
        <f t="shared" si="4"/>
        <v>20</v>
      </c>
      <c r="AR17" s="26">
        <f t="shared" si="5"/>
        <v>15</v>
      </c>
      <c r="AS17" s="26">
        <f t="shared" si="6"/>
        <v>3</v>
      </c>
      <c r="AT17" s="26">
        <f t="shared" si="7"/>
        <v>38</v>
      </c>
      <c r="AU17" s="45">
        <f t="shared" si="8"/>
        <v>600</v>
      </c>
      <c r="AV17" s="45">
        <f t="shared" si="2"/>
        <v>450</v>
      </c>
      <c r="AW17" s="45">
        <f t="shared" si="2"/>
        <v>90</v>
      </c>
      <c r="BA17">
        <f t="shared" si="9"/>
        <v>40</v>
      </c>
    </row>
    <row r="18" spans="1:53">
      <c r="A18" s="59">
        <v>44652</v>
      </c>
      <c r="B18" s="17">
        <v>1600</v>
      </c>
      <c r="C18" s="17"/>
      <c r="D18" s="17">
        <f>(SUM(粮草!A18:X18)+AG18*10)*IF(AK18="是",$AY$4,$AY$3)</f>
        <v>1664</v>
      </c>
      <c r="E18" s="76">
        <f>SUM($B$4:B18)+SUM($C$4:C18)-SUM($D$4:D18)</f>
        <v>940</v>
      </c>
      <c r="F18" s="17">
        <f>SUM(经验!A18:X18)</f>
        <v>620</v>
      </c>
      <c r="G18" s="17">
        <f>SUM($F$4:F18)+SUM($H$4:H18)</f>
        <v>11065</v>
      </c>
      <c r="H18" s="17">
        <v>0</v>
      </c>
      <c r="I18" s="65" t="s">
        <v>40</v>
      </c>
      <c r="J18" s="65" t="s">
        <v>40</v>
      </c>
      <c r="K18" s="65" t="s">
        <v>40</v>
      </c>
      <c r="L18" s="65" t="s">
        <v>40</v>
      </c>
      <c r="M18" s="65" t="s">
        <v>40</v>
      </c>
      <c r="N18" s="65" t="s">
        <v>40</v>
      </c>
      <c r="O18" s="72" t="s">
        <v>34</v>
      </c>
      <c r="P18" s="72" t="s">
        <v>34</v>
      </c>
      <c r="Q18" s="84" t="s">
        <v>42</v>
      </c>
      <c r="R18" s="84" t="s">
        <v>42</v>
      </c>
      <c r="S18" s="84" t="s">
        <v>42</v>
      </c>
      <c r="T18" s="84" t="s">
        <v>42</v>
      </c>
      <c r="U18" s="84" t="s">
        <v>42</v>
      </c>
      <c r="V18" s="84" t="s">
        <v>42</v>
      </c>
      <c r="W18" s="83" t="s">
        <v>59</v>
      </c>
      <c r="X18" s="84" t="s">
        <v>42</v>
      </c>
      <c r="Y18" s="80" t="s">
        <v>34</v>
      </c>
      <c r="Z18" s="80" t="s">
        <v>34</v>
      </c>
      <c r="AA18" s="80" t="s">
        <v>34</v>
      </c>
      <c r="AB18" s="80" t="s">
        <v>34</v>
      </c>
      <c r="AC18" s="80" t="s">
        <v>34</v>
      </c>
      <c r="AD18" s="80" t="s">
        <v>34</v>
      </c>
      <c r="AE18" s="72" t="s">
        <v>34</v>
      </c>
      <c r="AF18" s="72" t="s">
        <v>34</v>
      </c>
      <c r="AG18" s="56">
        <f t="shared" si="3"/>
        <v>0</v>
      </c>
      <c r="AH18" s="56"/>
      <c r="AI18" s="56"/>
      <c r="AJ18" s="56"/>
      <c r="AK18" s="78" t="s">
        <v>52</v>
      </c>
      <c r="AL18" s="32" t="s">
        <v>32</v>
      </c>
      <c r="AM18" s="21" t="s">
        <v>46</v>
      </c>
      <c r="AN18" s="26">
        <v>-150</v>
      </c>
      <c r="AO18" s="26">
        <v>0</v>
      </c>
      <c r="AP18" s="26">
        <v>10</v>
      </c>
      <c r="AQ18" s="26">
        <f t="shared" si="4"/>
        <v>0</v>
      </c>
      <c r="AR18" s="26">
        <f t="shared" si="5"/>
        <v>1</v>
      </c>
      <c r="AS18" s="26">
        <f t="shared" si="6"/>
        <v>1</v>
      </c>
      <c r="AT18" s="26">
        <f t="shared" si="7"/>
        <v>2</v>
      </c>
      <c r="AU18" s="45">
        <f t="shared" si="8"/>
        <v>0</v>
      </c>
      <c r="AV18" s="45">
        <f t="shared" si="2"/>
        <v>0</v>
      </c>
      <c r="AW18" s="45">
        <f t="shared" si="2"/>
        <v>0</v>
      </c>
      <c r="BA18">
        <f t="shared" si="9"/>
        <v>-120</v>
      </c>
    </row>
    <row r="19" spans="1:53">
      <c r="A19" s="59">
        <v>44653</v>
      </c>
      <c r="B19" s="17">
        <v>1600</v>
      </c>
      <c r="C19" s="17"/>
      <c r="D19" s="17">
        <f>(SUM(粮草!A19:X19)+AG19*10)*IF(AK19="是",$AY$4,$AY$3)</f>
        <v>1584</v>
      </c>
      <c r="E19" s="76">
        <f>SUM($B$4:B19)+SUM($C$4:C19)-SUM($D$4:D19)</f>
        <v>956</v>
      </c>
      <c r="F19" s="17">
        <f>SUM(经验!A19:X19)</f>
        <v>555</v>
      </c>
      <c r="G19" s="17">
        <f>SUM($F$4:F19)+SUM($H$4:H19)</f>
        <v>11620</v>
      </c>
      <c r="H19" s="17">
        <v>0</v>
      </c>
      <c r="I19" s="65" t="s">
        <v>40</v>
      </c>
      <c r="J19" s="65" t="s">
        <v>40</v>
      </c>
      <c r="K19" s="20" t="s">
        <v>39</v>
      </c>
      <c r="L19" s="65" t="s">
        <v>40</v>
      </c>
      <c r="M19" s="65" t="s">
        <v>40</v>
      </c>
      <c r="N19" s="65" t="s">
        <v>40</v>
      </c>
      <c r="O19" s="72" t="s">
        <v>34</v>
      </c>
      <c r="P19" s="72" t="s">
        <v>34</v>
      </c>
      <c r="Q19" s="84" t="s">
        <v>42</v>
      </c>
      <c r="R19" s="84" t="s">
        <v>42</v>
      </c>
      <c r="S19" s="84" t="s">
        <v>42</v>
      </c>
      <c r="T19" s="84" t="s">
        <v>42</v>
      </c>
      <c r="U19" s="84" t="s">
        <v>42</v>
      </c>
      <c r="V19" s="84" t="s">
        <v>42</v>
      </c>
      <c r="W19" s="72" t="s">
        <v>34</v>
      </c>
      <c r="X19" s="72" t="s">
        <v>34</v>
      </c>
      <c r="Y19" s="80" t="s">
        <v>34</v>
      </c>
      <c r="Z19" s="80" t="s">
        <v>34</v>
      </c>
      <c r="AA19" s="80" t="s">
        <v>34</v>
      </c>
      <c r="AB19" s="80" t="s">
        <v>34</v>
      </c>
      <c r="AC19" s="80" t="s">
        <v>34</v>
      </c>
      <c r="AD19" s="80" t="s">
        <v>34</v>
      </c>
      <c r="AE19" s="72" t="s">
        <v>34</v>
      </c>
      <c r="AF19" s="72" t="s">
        <v>34</v>
      </c>
      <c r="AG19" s="56">
        <f t="shared" si="3"/>
        <v>0</v>
      </c>
      <c r="AH19" s="56"/>
      <c r="AI19" s="56"/>
      <c r="AJ19" s="56"/>
      <c r="AK19" s="78" t="s">
        <v>52</v>
      </c>
      <c r="AM19" s="73" t="s">
        <v>72</v>
      </c>
      <c r="AN19" s="26">
        <v>250</v>
      </c>
      <c r="AO19" s="26">
        <v>200</v>
      </c>
      <c r="AP19" s="26"/>
      <c r="AQ19" s="26">
        <f t="shared" si="4"/>
        <v>1</v>
      </c>
      <c r="AR19" s="26">
        <f t="shared" si="5"/>
        <v>1</v>
      </c>
      <c r="AS19" s="26">
        <f t="shared" si="6"/>
        <v>1</v>
      </c>
      <c r="AT19" s="26">
        <f t="shared" si="7"/>
        <v>3</v>
      </c>
      <c r="AU19" s="45">
        <f t="shared" si="8"/>
        <v>200</v>
      </c>
      <c r="AV19" s="45">
        <f t="shared" si="2"/>
        <v>200</v>
      </c>
      <c r="AW19" s="45">
        <f t="shared" si="2"/>
        <v>200</v>
      </c>
      <c r="BA19">
        <f t="shared" si="9"/>
        <v>200</v>
      </c>
    </row>
    <row r="20" spans="1:53">
      <c r="A20" s="59">
        <v>44654</v>
      </c>
      <c r="B20" s="17">
        <v>1600</v>
      </c>
      <c r="C20" s="17"/>
      <c r="D20" s="17">
        <f>(SUM(粮草!A20:X20)+AG20*10)*IF(AK20="是",$AY$4,$AY$3)</f>
        <v>1568</v>
      </c>
      <c r="E20" s="76">
        <f>SUM($B$4:B20)+SUM($C$4:C20)-SUM($D$4:D20)</f>
        <v>988</v>
      </c>
      <c r="F20" s="17">
        <f>SUM(经验!A20:X20)</f>
        <v>605</v>
      </c>
      <c r="G20" s="17">
        <f>SUM($F$4:F20)+SUM($H$4:H20)</f>
        <v>12225</v>
      </c>
      <c r="H20" s="17">
        <v>0</v>
      </c>
      <c r="I20" s="20" t="s">
        <v>39</v>
      </c>
      <c r="J20" s="65" t="s">
        <v>40</v>
      </c>
      <c r="K20" s="65" t="s">
        <v>40</v>
      </c>
      <c r="L20" s="65" t="s">
        <v>40</v>
      </c>
      <c r="M20" s="65" t="s">
        <v>40</v>
      </c>
      <c r="N20" s="65" t="s">
        <v>40</v>
      </c>
      <c r="O20" s="83" t="s">
        <v>59</v>
      </c>
      <c r="P20" s="84" t="s">
        <v>42</v>
      </c>
      <c r="Q20" s="84" t="s">
        <v>42</v>
      </c>
      <c r="R20" s="84" t="s">
        <v>42</v>
      </c>
      <c r="S20" s="84" t="s">
        <v>42</v>
      </c>
      <c r="T20" s="84" t="s">
        <v>42</v>
      </c>
      <c r="U20" s="84" t="s">
        <v>42</v>
      </c>
      <c r="V20" s="84" t="s">
        <v>42</v>
      </c>
      <c r="W20" s="72" t="s">
        <v>34</v>
      </c>
      <c r="X20" s="72" t="s">
        <v>34</v>
      </c>
      <c r="Y20" s="80" t="s">
        <v>34</v>
      </c>
      <c r="Z20" s="80" t="s">
        <v>34</v>
      </c>
      <c r="AA20" s="80" t="s">
        <v>34</v>
      </c>
      <c r="AB20" s="80" t="s">
        <v>34</v>
      </c>
      <c r="AC20" s="80" t="s">
        <v>34</v>
      </c>
      <c r="AD20" s="80" t="s">
        <v>34</v>
      </c>
      <c r="AE20" s="72" t="s">
        <v>34</v>
      </c>
      <c r="AF20" s="72" t="s">
        <v>34</v>
      </c>
      <c r="AG20" s="56">
        <f t="shared" si="3"/>
        <v>0</v>
      </c>
      <c r="AH20" s="56"/>
      <c r="AI20" s="56"/>
      <c r="AJ20" s="56"/>
      <c r="AK20" s="78" t="s">
        <v>52</v>
      </c>
      <c r="AM20" s="73" t="s">
        <v>73</v>
      </c>
      <c r="AN20" s="26">
        <v>170</v>
      </c>
      <c r="AO20" s="26">
        <v>45</v>
      </c>
      <c r="AP20" s="26"/>
      <c r="AQ20" s="26">
        <f t="shared" si="4"/>
        <v>2</v>
      </c>
      <c r="AR20" s="26">
        <f t="shared" si="5"/>
        <v>2</v>
      </c>
      <c r="AS20" s="26">
        <f t="shared" si="6"/>
        <v>1</v>
      </c>
      <c r="AT20" s="26">
        <f t="shared" si="7"/>
        <v>5</v>
      </c>
      <c r="AU20" s="45">
        <f t="shared" si="8"/>
        <v>90</v>
      </c>
      <c r="AV20" s="45">
        <f t="shared" si="8"/>
        <v>90</v>
      </c>
      <c r="AW20" s="45">
        <f t="shared" si="8"/>
        <v>45</v>
      </c>
      <c r="BA20">
        <f t="shared" si="9"/>
        <v>136</v>
      </c>
    </row>
    <row r="21" spans="1:53">
      <c r="A21" s="59">
        <v>44655</v>
      </c>
      <c r="B21" s="18">
        <v>1600</v>
      </c>
      <c r="C21" s="18"/>
      <c r="D21" s="17">
        <f>(SUM(粮草!A21:X21)+AG21*10)*IF(AK21="是",$AY$4,$AY$3)</f>
        <v>1680</v>
      </c>
      <c r="E21" s="76">
        <f>SUM($B$4:B21)+SUM($C$4:C21)-SUM($D$4:D21)</f>
        <v>908</v>
      </c>
      <c r="F21" s="17">
        <f>SUM(经验!A21:X21)</f>
        <v>585</v>
      </c>
      <c r="G21" s="17">
        <f>SUM($F$4:F21)+SUM($H$4:H21)</f>
        <v>13010</v>
      </c>
      <c r="H21" s="18">
        <v>200</v>
      </c>
      <c r="I21" s="65" t="s">
        <v>40</v>
      </c>
      <c r="J21" s="65" t="s">
        <v>40</v>
      </c>
      <c r="K21" s="65" t="s">
        <v>40</v>
      </c>
      <c r="L21" s="84" t="s">
        <v>42</v>
      </c>
      <c r="M21" s="84" t="s">
        <v>42</v>
      </c>
      <c r="N21" s="84" t="s">
        <v>42</v>
      </c>
      <c r="O21" s="72" t="s">
        <v>34</v>
      </c>
      <c r="P21" s="72" t="s">
        <v>34</v>
      </c>
      <c r="Q21" s="84" t="s">
        <v>42</v>
      </c>
      <c r="R21" s="84" t="s">
        <v>42</v>
      </c>
      <c r="S21" s="84" t="s">
        <v>42</v>
      </c>
      <c r="T21" s="130" t="s">
        <v>48</v>
      </c>
      <c r="U21" s="84" t="s">
        <v>42</v>
      </c>
      <c r="V21" s="84" t="s">
        <v>42</v>
      </c>
      <c r="W21" s="72" t="s">
        <v>34</v>
      </c>
      <c r="X21" s="72" t="s">
        <v>34</v>
      </c>
      <c r="Y21" s="80" t="s">
        <v>34</v>
      </c>
      <c r="Z21" s="80" t="s">
        <v>34</v>
      </c>
      <c r="AA21" s="80" t="s">
        <v>34</v>
      </c>
      <c r="AB21" s="80" t="s">
        <v>34</v>
      </c>
      <c r="AC21" s="80" t="s">
        <v>34</v>
      </c>
      <c r="AD21" s="80" t="s">
        <v>34</v>
      </c>
      <c r="AE21" s="72" t="s">
        <v>34</v>
      </c>
      <c r="AF21" s="72" t="s">
        <v>34</v>
      </c>
      <c r="AG21" s="56">
        <f t="shared" si="3"/>
        <v>0</v>
      </c>
      <c r="AH21" s="56"/>
      <c r="AI21" s="56"/>
      <c r="AJ21" s="56"/>
      <c r="AK21" s="78" t="s">
        <v>52</v>
      </c>
      <c r="AM21" s="33" t="s">
        <v>53</v>
      </c>
      <c r="AN21" s="26">
        <v>250</v>
      </c>
      <c r="AO21" s="26">
        <v>200</v>
      </c>
      <c r="AP21" s="26"/>
      <c r="AQ21" s="26">
        <f t="shared" si="4"/>
        <v>0</v>
      </c>
      <c r="AR21" s="26">
        <f t="shared" si="5"/>
        <v>0</v>
      </c>
      <c r="AS21" s="26">
        <f t="shared" si="6"/>
        <v>0</v>
      </c>
      <c r="AT21" s="26">
        <f t="shared" si="7"/>
        <v>0</v>
      </c>
      <c r="AU21" s="45">
        <f t="shared" si="8"/>
        <v>0</v>
      </c>
      <c r="AV21" s="45">
        <f t="shared" si="8"/>
        <v>0</v>
      </c>
      <c r="AW21" s="45">
        <f t="shared" si="8"/>
        <v>0</v>
      </c>
      <c r="BA21">
        <f t="shared" si="9"/>
        <v>200</v>
      </c>
    </row>
    <row r="22" spans="1:53">
      <c r="A22" s="59">
        <v>44656</v>
      </c>
      <c r="B22" s="18">
        <v>1600</v>
      </c>
      <c r="C22" s="18"/>
      <c r="D22" s="17">
        <f>(SUM(粮草!A22:X22)+AG22*10)*IF(AK22="是",$AY$4,$AY$3)</f>
        <v>1760</v>
      </c>
      <c r="E22" s="76">
        <f>SUM($B$4:B22)+SUM($C$4:C22)-SUM($D$4:D22)</f>
        <v>748</v>
      </c>
      <c r="F22" s="17">
        <f>SUM(经验!A22:X22)</f>
        <v>620</v>
      </c>
      <c r="G22" s="17">
        <f>SUM($F$4:F22)+SUM($H$4:H22)</f>
        <v>13730</v>
      </c>
      <c r="H22" s="18">
        <v>100</v>
      </c>
      <c r="I22" s="84" t="s">
        <v>42</v>
      </c>
      <c r="J22" s="84" t="s">
        <v>42</v>
      </c>
      <c r="K22" s="84" t="s">
        <v>42</v>
      </c>
      <c r="L22" s="84" t="s">
        <v>42</v>
      </c>
      <c r="M22" s="84" t="s">
        <v>42</v>
      </c>
      <c r="N22" s="84" t="s">
        <v>42</v>
      </c>
      <c r="O22" s="72" t="s">
        <v>34</v>
      </c>
      <c r="P22" s="72" t="s">
        <v>34</v>
      </c>
      <c r="Q22" s="84" t="s">
        <v>42</v>
      </c>
      <c r="R22" s="84" t="s">
        <v>42</v>
      </c>
      <c r="S22" s="88" t="s">
        <v>43</v>
      </c>
      <c r="T22" s="88" t="s">
        <v>43</v>
      </c>
      <c r="U22" s="88" t="s">
        <v>43</v>
      </c>
      <c r="V22" s="88" t="s">
        <v>43</v>
      </c>
      <c r="W22" s="72" t="s">
        <v>34</v>
      </c>
      <c r="X22" s="72" t="s">
        <v>34</v>
      </c>
      <c r="Y22" s="80" t="s">
        <v>34</v>
      </c>
      <c r="Z22" s="80" t="s">
        <v>34</v>
      </c>
      <c r="AA22" s="80" t="s">
        <v>34</v>
      </c>
      <c r="AB22" s="80" t="s">
        <v>34</v>
      </c>
      <c r="AC22" s="80" t="s">
        <v>34</v>
      </c>
      <c r="AD22" s="80" t="s">
        <v>34</v>
      </c>
      <c r="AE22" s="72" t="s">
        <v>34</v>
      </c>
      <c r="AF22" s="72" t="s">
        <v>34</v>
      </c>
      <c r="AG22" s="56">
        <f t="shared" si="3"/>
        <v>0</v>
      </c>
      <c r="AH22" s="56"/>
      <c r="AI22" s="56"/>
      <c r="AJ22" s="56"/>
      <c r="AK22" s="78" t="s">
        <v>52</v>
      </c>
      <c r="AM22" s="34" t="s">
        <v>54</v>
      </c>
      <c r="AN22" s="26">
        <v>250</v>
      </c>
      <c r="AO22" s="26">
        <v>1000</v>
      </c>
      <c r="AP22" s="26"/>
      <c r="AQ22" s="26">
        <f t="shared" si="4"/>
        <v>1</v>
      </c>
      <c r="AR22" s="26">
        <f t="shared" si="5"/>
        <v>1</v>
      </c>
      <c r="AS22" s="26">
        <f t="shared" si="6"/>
        <v>0</v>
      </c>
      <c r="AT22" s="26">
        <f t="shared" si="7"/>
        <v>2</v>
      </c>
      <c r="AU22" s="45">
        <f t="shared" si="8"/>
        <v>1000</v>
      </c>
      <c r="AV22" s="45">
        <f t="shared" si="8"/>
        <v>1000</v>
      </c>
      <c r="AW22" s="45">
        <f t="shared" si="8"/>
        <v>0</v>
      </c>
      <c r="BA22">
        <f t="shared" si="9"/>
        <v>200</v>
      </c>
    </row>
    <row r="23" spans="1:53">
      <c r="A23" s="59">
        <v>44657</v>
      </c>
      <c r="B23" s="18">
        <v>1600</v>
      </c>
      <c r="C23" s="18"/>
      <c r="D23" s="17">
        <f>(SUM(粮草!A23:X23)+AG23*10)*IF(AK23="是",$AY$4,$AY$3)</f>
        <v>1672</v>
      </c>
      <c r="E23" s="76">
        <f>SUM($B$4:B23)+SUM($C$4:C23)-SUM($D$4:D23)</f>
        <v>676</v>
      </c>
      <c r="F23" s="17">
        <f>SUM(经验!A23:X23)</f>
        <v>610</v>
      </c>
      <c r="G23" s="17">
        <f>SUM($F$4:F23)+SUM($H$4:H23)</f>
        <v>14540</v>
      </c>
      <c r="H23" s="18">
        <v>200</v>
      </c>
      <c r="I23" s="20" t="s">
        <v>39</v>
      </c>
      <c r="J23" s="84" t="s">
        <v>42</v>
      </c>
      <c r="K23" s="84" t="s">
        <v>42</v>
      </c>
      <c r="L23" s="84" t="s">
        <v>42</v>
      </c>
      <c r="M23" s="84" t="s">
        <v>42</v>
      </c>
      <c r="N23" s="84" t="s">
        <v>42</v>
      </c>
      <c r="O23" s="72" t="s">
        <v>34</v>
      </c>
      <c r="P23" s="72" t="s">
        <v>34</v>
      </c>
      <c r="Q23" s="88" t="s">
        <v>43</v>
      </c>
      <c r="R23" s="88" t="s">
        <v>43</v>
      </c>
      <c r="S23" s="88" t="s">
        <v>43</v>
      </c>
      <c r="T23" s="88" t="s">
        <v>43</v>
      </c>
      <c r="U23" s="88" t="s">
        <v>43</v>
      </c>
      <c r="V23" s="88" t="s">
        <v>43</v>
      </c>
      <c r="W23" s="72" t="s">
        <v>34</v>
      </c>
      <c r="X23" s="72" t="s">
        <v>34</v>
      </c>
      <c r="Y23" s="80" t="s">
        <v>34</v>
      </c>
      <c r="Z23" s="80" t="s">
        <v>34</v>
      </c>
      <c r="AA23" s="80" t="s">
        <v>34</v>
      </c>
      <c r="AB23" s="80" t="s">
        <v>34</v>
      </c>
      <c r="AC23" s="80" t="s">
        <v>34</v>
      </c>
      <c r="AD23" s="80" t="s">
        <v>34</v>
      </c>
      <c r="AE23" s="72" t="s">
        <v>34</v>
      </c>
      <c r="AF23" s="72" t="s">
        <v>34</v>
      </c>
      <c r="AG23" s="56">
        <f t="shared" si="3"/>
        <v>0</v>
      </c>
      <c r="AH23" s="56"/>
      <c r="AI23" s="56"/>
      <c r="AJ23" s="56"/>
      <c r="AK23" s="78" t="s">
        <v>52</v>
      </c>
      <c r="AM23" s="35" t="s">
        <v>55</v>
      </c>
      <c r="AN23" s="26">
        <v>250</v>
      </c>
      <c r="AO23" s="26">
        <v>500</v>
      </c>
      <c r="AP23" s="26"/>
      <c r="AQ23" s="26">
        <f t="shared" si="4"/>
        <v>1</v>
      </c>
      <c r="AR23" s="26">
        <f t="shared" si="5"/>
        <v>1</v>
      </c>
      <c r="AS23" s="26">
        <f t="shared" si="6"/>
        <v>0</v>
      </c>
      <c r="AT23" s="26">
        <f t="shared" si="7"/>
        <v>2</v>
      </c>
      <c r="AU23" s="45">
        <f t="shared" si="8"/>
        <v>500</v>
      </c>
      <c r="AV23" s="45">
        <f t="shared" si="8"/>
        <v>500</v>
      </c>
      <c r="AW23" s="45">
        <f t="shared" si="8"/>
        <v>0</v>
      </c>
      <c r="BA23">
        <f t="shared" si="9"/>
        <v>200</v>
      </c>
    </row>
    <row r="24" spans="1:53">
      <c r="A24" s="59">
        <v>44658</v>
      </c>
      <c r="B24" s="18">
        <v>1600</v>
      </c>
      <c r="C24" s="18"/>
      <c r="D24" s="17">
        <f>(SUM(粮草!A24:X24)+AG24*10)*IF(AK24="是",$AY$4,$AY$3)</f>
        <v>1664</v>
      </c>
      <c r="E24" s="76">
        <f>SUM($B$4:B24)+SUM($C$4:C24)-SUM($D$4:D24)</f>
        <v>612</v>
      </c>
      <c r="F24" s="17">
        <f>SUM(经验!A24:X24)</f>
        <v>605</v>
      </c>
      <c r="G24" s="17">
        <f>SUM($F$4:F24)+SUM($H$4:H24)</f>
        <v>15145</v>
      </c>
      <c r="H24" s="18">
        <v>0</v>
      </c>
      <c r="I24" s="84" t="s">
        <v>42</v>
      </c>
      <c r="J24" s="84" t="s">
        <v>42</v>
      </c>
      <c r="K24" s="84" t="s">
        <v>42</v>
      </c>
      <c r="L24" s="84" t="s">
        <v>42</v>
      </c>
      <c r="M24" s="84" t="s">
        <v>42</v>
      </c>
      <c r="N24" s="84" t="s">
        <v>42</v>
      </c>
      <c r="O24" s="72" t="s">
        <v>34</v>
      </c>
      <c r="P24" s="72" t="s">
        <v>34</v>
      </c>
      <c r="Q24" s="88" t="s">
        <v>43</v>
      </c>
      <c r="R24" s="88" t="s">
        <v>43</v>
      </c>
      <c r="S24" s="88" t="s">
        <v>43</v>
      </c>
      <c r="T24" s="88" t="s">
        <v>43</v>
      </c>
      <c r="U24" s="20" t="s">
        <v>39</v>
      </c>
      <c r="V24" s="88" t="s">
        <v>43</v>
      </c>
      <c r="W24" s="72" t="s">
        <v>34</v>
      </c>
      <c r="X24" s="72" t="s">
        <v>34</v>
      </c>
      <c r="Y24" s="80" t="s">
        <v>34</v>
      </c>
      <c r="Z24" s="80" t="s">
        <v>34</v>
      </c>
      <c r="AA24" s="80" t="s">
        <v>34</v>
      </c>
      <c r="AB24" s="80" t="s">
        <v>34</v>
      </c>
      <c r="AC24" s="80" t="s">
        <v>34</v>
      </c>
      <c r="AD24" s="80" t="s">
        <v>34</v>
      </c>
      <c r="AE24" s="72" t="s">
        <v>34</v>
      </c>
      <c r="AF24" s="72" t="s">
        <v>34</v>
      </c>
      <c r="AG24" s="56">
        <f t="shared" si="3"/>
        <v>0</v>
      </c>
      <c r="AH24" s="56"/>
      <c r="AI24" s="56"/>
      <c r="AJ24" s="56"/>
      <c r="AK24" s="78" t="s">
        <v>52</v>
      </c>
      <c r="AM24" s="36" t="s">
        <v>56</v>
      </c>
      <c r="AN24" s="26">
        <v>160</v>
      </c>
      <c r="AO24" s="26">
        <v>40</v>
      </c>
      <c r="AP24" s="26">
        <v>39.110982162825422</v>
      </c>
      <c r="AQ24" s="26">
        <f t="shared" si="4"/>
        <v>0</v>
      </c>
      <c r="AR24" s="26">
        <f t="shared" si="5"/>
        <v>0</v>
      </c>
      <c r="AS24" s="26">
        <f t="shared" si="6"/>
        <v>0</v>
      </c>
      <c r="AT24" s="26">
        <f t="shared" si="7"/>
        <v>0</v>
      </c>
      <c r="AU24" s="45">
        <f t="shared" si="8"/>
        <v>0</v>
      </c>
      <c r="AV24" s="45">
        <f t="shared" si="8"/>
        <v>0</v>
      </c>
      <c r="AW24" s="45">
        <f t="shared" si="8"/>
        <v>0</v>
      </c>
      <c r="BA24">
        <f t="shared" si="9"/>
        <v>128</v>
      </c>
    </row>
    <row r="25" spans="1:53">
      <c r="A25" s="59">
        <v>44659</v>
      </c>
      <c r="B25" s="18">
        <v>1600</v>
      </c>
      <c r="C25" s="18"/>
      <c r="D25" s="17">
        <f>(SUM(粮草!A25:X25)+AG25*10)*IF(AK25="是",$AY$4,$AY$3)</f>
        <v>1792</v>
      </c>
      <c r="E25" s="76">
        <f>SUM($B$4:B25)+SUM($C$4:C25)-SUM($D$4:D25)</f>
        <v>420</v>
      </c>
      <c r="F25" s="17">
        <f>SUM(经验!A25:X25)</f>
        <v>640</v>
      </c>
      <c r="G25" s="17">
        <f>SUM($F$4:F25)+SUM($H$4:H25)</f>
        <v>15785</v>
      </c>
      <c r="H25" s="18">
        <v>0</v>
      </c>
      <c r="I25" s="84" t="s">
        <v>42</v>
      </c>
      <c r="J25" s="84" t="s">
        <v>42</v>
      </c>
      <c r="K25" s="84" t="s">
        <v>42</v>
      </c>
      <c r="L25" s="84" t="s">
        <v>42</v>
      </c>
      <c r="M25" s="84" t="s">
        <v>42</v>
      </c>
      <c r="N25" s="86" t="s">
        <v>44</v>
      </c>
      <c r="O25" s="72" t="s">
        <v>34</v>
      </c>
      <c r="P25" s="72" t="s">
        <v>34</v>
      </c>
      <c r="Q25" s="88" t="s">
        <v>43</v>
      </c>
      <c r="R25" s="88" t="s">
        <v>43</v>
      </c>
      <c r="S25" s="88" t="s">
        <v>43</v>
      </c>
      <c r="T25" s="88" t="s">
        <v>43</v>
      </c>
      <c r="U25" s="88" t="s">
        <v>43</v>
      </c>
      <c r="V25" s="88" t="s">
        <v>43</v>
      </c>
      <c r="W25" s="72" t="s">
        <v>34</v>
      </c>
      <c r="X25" s="72" t="s">
        <v>34</v>
      </c>
      <c r="Y25" s="80" t="s">
        <v>34</v>
      </c>
      <c r="Z25" s="80" t="s">
        <v>34</v>
      </c>
      <c r="AA25" s="80" t="s">
        <v>34</v>
      </c>
      <c r="AB25" s="80" t="s">
        <v>34</v>
      </c>
      <c r="AC25" s="80" t="s">
        <v>34</v>
      </c>
      <c r="AD25" s="80" t="s">
        <v>34</v>
      </c>
      <c r="AE25" s="72" t="s">
        <v>34</v>
      </c>
      <c r="AF25" s="72" t="s">
        <v>34</v>
      </c>
      <c r="AG25" s="56">
        <f t="shared" si="3"/>
        <v>0</v>
      </c>
      <c r="AH25" s="56"/>
      <c r="AI25" s="56"/>
      <c r="AJ25" s="56"/>
      <c r="AK25" s="78" t="s">
        <v>52</v>
      </c>
      <c r="AM25" s="36" t="s">
        <v>57</v>
      </c>
      <c r="AN25" s="26">
        <v>160</v>
      </c>
      <c r="AO25" s="26">
        <v>40</v>
      </c>
      <c r="AP25" s="26">
        <v>39.110982162825422</v>
      </c>
      <c r="AQ25" s="26">
        <f t="shared" si="4"/>
        <v>0</v>
      </c>
      <c r="AR25" s="26">
        <f t="shared" si="5"/>
        <v>0</v>
      </c>
      <c r="AS25" s="26">
        <f t="shared" si="6"/>
        <v>0</v>
      </c>
      <c r="AT25" s="26">
        <f t="shared" si="7"/>
        <v>0</v>
      </c>
      <c r="AU25" s="45">
        <f t="shared" si="8"/>
        <v>0</v>
      </c>
      <c r="AV25" s="45">
        <f t="shared" si="8"/>
        <v>0</v>
      </c>
      <c r="AW25" s="45">
        <f t="shared" si="8"/>
        <v>0</v>
      </c>
      <c r="BA25">
        <f t="shared" si="9"/>
        <v>128</v>
      </c>
    </row>
    <row r="26" spans="1:53">
      <c r="A26" s="59">
        <v>44660</v>
      </c>
      <c r="B26" s="18">
        <v>1600</v>
      </c>
      <c r="C26" s="18"/>
      <c r="D26" s="17">
        <f>(SUM(粮草!A26:X26)+AG26*10)*IF(AK26="是",$AY$4,$AY$3)</f>
        <v>1872</v>
      </c>
      <c r="E26" s="76">
        <f>SUM($B$4:B26)+SUM($C$4:C26)-SUM($D$4:D26)</f>
        <v>148</v>
      </c>
      <c r="F26" s="17">
        <f>SUM(经验!A26:X26)</f>
        <v>690</v>
      </c>
      <c r="G26" s="17">
        <f>SUM($F$4:F26)+SUM($H$4:H26)</f>
        <v>16475</v>
      </c>
      <c r="H26" s="18">
        <v>0</v>
      </c>
      <c r="I26" s="86" t="s">
        <v>44</v>
      </c>
      <c r="J26" s="86" t="s">
        <v>44</v>
      </c>
      <c r="K26" s="86" t="s">
        <v>44</v>
      </c>
      <c r="L26" s="86" t="s">
        <v>44</v>
      </c>
      <c r="M26" s="86" t="s">
        <v>44</v>
      </c>
      <c r="N26" s="86" t="s">
        <v>44</v>
      </c>
      <c r="O26" s="72" t="s">
        <v>34</v>
      </c>
      <c r="P26" s="72" t="s">
        <v>34</v>
      </c>
      <c r="Q26" s="88" t="s">
        <v>43</v>
      </c>
      <c r="R26" s="88" t="s">
        <v>43</v>
      </c>
      <c r="S26" s="88" t="s">
        <v>43</v>
      </c>
      <c r="T26" s="88" t="s">
        <v>43</v>
      </c>
      <c r="U26" s="88" t="s">
        <v>43</v>
      </c>
      <c r="V26" s="88" t="s">
        <v>43</v>
      </c>
      <c r="W26" s="72" t="s">
        <v>34</v>
      </c>
      <c r="X26" s="72" t="s">
        <v>34</v>
      </c>
      <c r="Y26" s="80" t="s">
        <v>34</v>
      </c>
      <c r="Z26" s="80" t="s">
        <v>34</v>
      </c>
      <c r="AA26" s="80" t="s">
        <v>34</v>
      </c>
      <c r="AB26" s="80" t="s">
        <v>34</v>
      </c>
      <c r="AC26" s="80" t="s">
        <v>34</v>
      </c>
      <c r="AD26" s="80" t="s">
        <v>34</v>
      </c>
      <c r="AE26" s="72" t="s">
        <v>34</v>
      </c>
      <c r="AF26" s="72" t="s">
        <v>34</v>
      </c>
      <c r="AG26" s="56">
        <f t="shared" si="3"/>
        <v>0</v>
      </c>
      <c r="AH26" s="56"/>
      <c r="AI26" s="56"/>
      <c r="AJ26" s="56"/>
      <c r="AK26" s="78" t="s">
        <v>52</v>
      </c>
      <c r="AM26" s="36" t="s">
        <v>58</v>
      </c>
      <c r="AN26" s="26">
        <v>150</v>
      </c>
      <c r="AO26" s="26">
        <v>35</v>
      </c>
      <c r="AP26" s="26">
        <v>44.222109392472248</v>
      </c>
      <c r="AQ26" s="26">
        <f t="shared" si="4"/>
        <v>0</v>
      </c>
      <c r="AR26" s="26">
        <f t="shared" si="5"/>
        <v>0</v>
      </c>
      <c r="AS26" s="26">
        <f t="shared" si="6"/>
        <v>0</v>
      </c>
      <c r="AT26" s="26">
        <f t="shared" si="7"/>
        <v>0</v>
      </c>
      <c r="AU26" s="45">
        <f t="shared" si="8"/>
        <v>0</v>
      </c>
      <c r="AV26" s="45">
        <f t="shared" si="8"/>
        <v>0</v>
      </c>
      <c r="AW26" s="45">
        <f t="shared" si="8"/>
        <v>0</v>
      </c>
      <c r="BA26">
        <f t="shared" si="9"/>
        <v>120</v>
      </c>
    </row>
    <row r="27" spans="1:53">
      <c r="A27" s="59">
        <v>44661</v>
      </c>
      <c r="B27" s="18">
        <v>1600</v>
      </c>
      <c r="C27" s="18"/>
      <c r="D27" s="17">
        <f>(SUM(粮草!A27:X27)+AG27*10)*IF(AK27="是",$AY$4,$AY$3)</f>
        <v>1720</v>
      </c>
      <c r="E27" s="76">
        <f>SUM($B$4:B27)+SUM($C$4:C27)-SUM($D$4:D27)</f>
        <v>28</v>
      </c>
      <c r="F27" s="17">
        <f>SUM(经验!A27:X27)</f>
        <v>695</v>
      </c>
      <c r="G27" s="17">
        <f>SUM($F$4:F27)+SUM($H$4:H27)</f>
        <v>17170</v>
      </c>
      <c r="H27" s="18">
        <v>0</v>
      </c>
      <c r="I27" s="86" t="s">
        <v>44</v>
      </c>
      <c r="J27" s="86" t="s">
        <v>44</v>
      </c>
      <c r="K27" s="86" t="s">
        <v>44</v>
      </c>
      <c r="L27" s="86" t="s">
        <v>44</v>
      </c>
      <c r="M27" s="86" t="s">
        <v>44</v>
      </c>
      <c r="N27" s="86" t="s">
        <v>44</v>
      </c>
      <c r="O27" s="83" t="s">
        <v>59</v>
      </c>
      <c r="P27" s="86" t="s">
        <v>44</v>
      </c>
      <c r="Q27" s="88" t="s">
        <v>43</v>
      </c>
      <c r="R27" s="88" t="s">
        <v>43</v>
      </c>
      <c r="S27" s="88" t="s">
        <v>43</v>
      </c>
      <c r="T27" s="88" t="s">
        <v>43</v>
      </c>
      <c r="U27" s="88" t="s">
        <v>43</v>
      </c>
      <c r="V27" s="80" t="s">
        <v>34</v>
      </c>
      <c r="W27" s="72" t="s">
        <v>34</v>
      </c>
      <c r="X27" s="72" t="s">
        <v>34</v>
      </c>
      <c r="Y27" s="80" t="s">
        <v>34</v>
      </c>
      <c r="Z27" s="80" t="s">
        <v>34</v>
      </c>
      <c r="AA27" s="80" t="s">
        <v>34</v>
      </c>
      <c r="AB27" s="80" t="s">
        <v>34</v>
      </c>
      <c r="AC27" s="80" t="s">
        <v>34</v>
      </c>
      <c r="AD27" s="80" t="s">
        <v>34</v>
      </c>
      <c r="AE27" s="72" t="s">
        <v>34</v>
      </c>
      <c r="AF27" s="72" t="s">
        <v>34</v>
      </c>
      <c r="AG27" s="56">
        <f t="shared" si="3"/>
        <v>0</v>
      </c>
      <c r="AH27" s="56"/>
      <c r="AI27" s="56"/>
      <c r="AJ27" s="56"/>
      <c r="AK27" s="78" t="s">
        <v>52</v>
      </c>
      <c r="AM27" s="37" t="s">
        <v>34</v>
      </c>
      <c r="AN27" s="26">
        <v>0</v>
      </c>
      <c r="AO27" s="26">
        <v>0</v>
      </c>
      <c r="AP27" s="26">
        <v>0</v>
      </c>
      <c r="AQ27" s="26"/>
      <c r="AR27" s="26"/>
      <c r="AS27" s="26"/>
      <c r="AT27" s="26"/>
      <c r="AU27" s="45">
        <f t="shared" si="8"/>
        <v>0</v>
      </c>
      <c r="AV27" s="45">
        <f t="shared" si="8"/>
        <v>0</v>
      </c>
      <c r="AW27" s="45">
        <f t="shared" si="8"/>
        <v>0</v>
      </c>
      <c r="BA27">
        <f t="shared" si="9"/>
        <v>0</v>
      </c>
    </row>
    <row r="28" spans="1:53" ht="15.75" thickBot="1">
      <c r="A28" s="59">
        <v>44662</v>
      </c>
      <c r="B28" s="17">
        <v>1600</v>
      </c>
      <c r="C28" s="17"/>
      <c r="D28" s="17">
        <f>(SUM(粮草!A28:X28)+AG28*10)*IF(AK28="是",$AY$4,$AY$3)</f>
        <v>1568</v>
      </c>
      <c r="E28" s="76">
        <f>SUM($B$4:B28)+SUM($C$4:C28)-SUM($D$4:D28)</f>
        <v>60</v>
      </c>
      <c r="F28" s="17">
        <f>SUM(经验!A28:X28)</f>
        <v>580</v>
      </c>
      <c r="G28" s="17">
        <f>SUM($F$4:F28)+SUM($H$4:H28)</f>
        <v>17950</v>
      </c>
      <c r="H28" s="17">
        <v>200</v>
      </c>
      <c r="I28" s="86" t="s">
        <v>44</v>
      </c>
      <c r="J28" s="86" t="s">
        <v>44</v>
      </c>
      <c r="K28" s="86" t="s">
        <v>44</v>
      </c>
      <c r="L28" s="86" t="s">
        <v>44</v>
      </c>
      <c r="M28" s="86" t="s">
        <v>44</v>
      </c>
      <c r="N28" s="86" t="s">
        <v>44</v>
      </c>
      <c r="O28" s="72" t="s">
        <v>34</v>
      </c>
      <c r="P28" s="72" t="s">
        <v>34</v>
      </c>
      <c r="Q28" s="88" t="s">
        <v>43</v>
      </c>
      <c r="R28" s="88" t="s">
        <v>43</v>
      </c>
      <c r="S28" s="88" t="s">
        <v>43</v>
      </c>
      <c r="T28" s="88" t="s">
        <v>43</v>
      </c>
      <c r="U28" s="80" t="s">
        <v>34</v>
      </c>
      <c r="V28" s="80" t="s">
        <v>34</v>
      </c>
      <c r="W28" s="72" t="s">
        <v>34</v>
      </c>
      <c r="X28" s="72" t="s">
        <v>34</v>
      </c>
      <c r="Y28" s="80" t="s">
        <v>34</v>
      </c>
      <c r="Z28" s="80" t="s">
        <v>34</v>
      </c>
      <c r="AA28" s="80" t="s">
        <v>34</v>
      </c>
      <c r="AB28" s="80" t="s">
        <v>34</v>
      </c>
      <c r="AC28" s="80" t="s">
        <v>34</v>
      </c>
      <c r="AD28" s="80" t="s">
        <v>34</v>
      </c>
      <c r="AE28" s="72" t="s">
        <v>34</v>
      </c>
      <c r="AF28" s="72" t="s">
        <v>34</v>
      </c>
      <c r="AG28" s="56">
        <f t="shared" si="3"/>
        <v>0</v>
      </c>
      <c r="AH28" s="56"/>
      <c r="AI28" s="56"/>
      <c r="AJ28" s="56"/>
      <c r="AK28" s="78" t="s">
        <v>52</v>
      </c>
      <c r="AL28" s="38" t="s">
        <v>36</v>
      </c>
      <c r="AM28" s="21" t="s">
        <v>59</v>
      </c>
      <c r="AN28" s="26">
        <v>-200</v>
      </c>
      <c r="AO28" s="26">
        <v>0</v>
      </c>
      <c r="AP28" s="26"/>
      <c r="AQ28" s="26">
        <f>COUNTIF($I$4:$P$94,AM28)</f>
        <v>6</v>
      </c>
      <c r="AR28" s="26">
        <f>COUNTIF($Q$4:$X$94,AM28)</f>
        <v>6</v>
      </c>
      <c r="AS28" s="26">
        <f>COUNTIF($Y$4:$AF$94,AM28)</f>
        <v>1</v>
      </c>
      <c r="AT28" s="26">
        <f>AQ28+AR28+AS28</f>
        <v>13</v>
      </c>
      <c r="AU28" s="45">
        <f t="shared" si="8"/>
        <v>0</v>
      </c>
      <c r="AV28" s="45">
        <f t="shared" si="8"/>
        <v>0</v>
      </c>
      <c r="AW28" s="45">
        <f t="shared" si="8"/>
        <v>0</v>
      </c>
      <c r="BA28">
        <f t="shared" si="9"/>
        <v>-160</v>
      </c>
    </row>
    <row r="29" spans="1:53">
      <c r="A29" s="59">
        <v>44663</v>
      </c>
      <c r="B29" s="17">
        <v>1600</v>
      </c>
      <c r="C29" s="17"/>
      <c r="D29" s="17">
        <f>(SUM(粮草!A29:X29)+AG29*10)*IF(AK29="是",$AY$4,$AY$3)</f>
        <v>1536</v>
      </c>
      <c r="E29" s="76">
        <f>SUM($B$4:B29)+SUM($C$4:C29)-SUM($D$4:D29)</f>
        <v>124</v>
      </c>
      <c r="F29" s="17">
        <f>SUM(经验!A29:X29)</f>
        <v>580</v>
      </c>
      <c r="G29" s="17">
        <f>SUM($F$4:F29)+SUM($H$4:H29)</f>
        <v>18630</v>
      </c>
      <c r="H29" s="17">
        <v>100</v>
      </c>
      <c r="I29" s="86" t="s">
        <v>44</v>
      </c>
      <c r="J29" s="86" t="s">
        <v>44</v>
      </c>
      <c r="K29" s="86" t="s">
        <v>44</v>
      </c>
      <c r="L29" s="86" t="s">
        <v>44</v>
      </c>
      <c r="M29" s="86" t="s">
        <v>44</v>
      </c>
      <c r="N29" s="86" t="s">
        <v>44</v>
      </c>
      <c r="O29" s="72" t="s">
        <v>34</v>
      </c>
      <c r="P29" s="72" t="s">
        <v>34</v>
      </c>
      <c r="Q29" s="88" t="s">
        <v>43</v>
      </c>
      <c r="R29" s="88" t="s">
        <v>43</v>
      </c>
      <c r="S29" s="131" t="s">
        <v>49</v>
      </c>
      <c r="T29" s="88" t="s">
        <v>43</v>
      </c>
      <c r="U29" s="80" t="s">
        <v>34</v>
      </c>
      <c r="V29" s="80" t="s">
        <v>34</v>
      </c>
      <c r="W29" s="72" t="s">
        <v>34</v>
      </c>
      <c r="X29" s="72" t="s">
        <v>34</v>
      </c>
      <c r="Y29" s="80" t="s">
        <v>34</v>
      </c>
      <c r="Z29" s="80" t="s">
        <v>34</v>
      </c>
      <c r="AA29" s="80" t="s">
        <v>34</v>
      </c>
      <c r="AB29" s="80" t="s">
        <v>34</v>
      </c>
      <c r="AC29" s="80" t="s">
        <v>34</v>
      </c>
      <c r="AD29" s="80" t="s">
        <v>34</v>
      </c>
      <c r="AE29" s="72" t="s">
        <v>34</v>
      </c>
      <c r="AF29" s="72" t="s">
        <v>34</v>
      </c>
      <c r="AG29" s="56">
        <f t="shared" si="3"/>
        <v>0</v>
      </c>
      <c r="AH29" s="56"/>
      <c r="AI29" s="56"/>
      <c r="AJ29" s="56"/>
      <c r="AK29" s="78" t="s">
        <v>52</v>
      </c>
      <c r="AM29" s="77" t="s">
        <v>71</v>
      </c>
      <c r="AN29" s="26">
        <v>50</v>
      </c>
      <c r="AO29" s="26">
        <v>520</v>
      </c>
      <c r="AP29" s="26"/>
      <c r="AQ29" s="26">
        <f>COUNTIF($I$4:$P$94,AM29)</f>
        <v>1</v>
      </c>
      <c r="AR29" s="26">
        <f>COUNTIF($Q$4:$X$94,AM29)</f>
        <v>1</v>
      </c>
      <c r="AS29" s="26">
        <f>COUNTIF($Y$4:$AF$94,AM29)</f>
        <v>1</v>
      </c>
      <c r="AT29" s="26">
        <f>AQ29+AR29+AS29</f>
        <v>3</v>
      </c>
      <c r="AU29" s="45">
        <f t="shared" ref="AU29" si="10">AQ29*$AO29</f>
        <v>520</v>
      </c>
      <c r="AV29" s="45">
        <f t="shared" ref="AV29" si="11">AR29*$AO29</f>
        <v>520</v>
      </c>
      <c r="AW29" s="45">
        <f t="shared" ref="AW29" si="12">AS29*$AO29</f>
        <v>520</v>
      </c>
      <c r="BA29">
        <f t="shared" si="9"/>
        <v>40</v>
      </c>
    </row>
    <row r="30" spans="1:53">
      <c r="A30" s="59">
        <v>44664</v>
      </c>
      <c r="B30" s="17">
        <v>1600</v>
      </c>
      <c r="C30" s="17"/>
      <c r="D30" s="17">
        <f>(SUM(粮草!A30:X30)+AG30*10)*IF(AK30="是",$AY$4,$AY$3)</f>
        <v>1720</v>
      </c>
      <c r="E30" s="76">
        <f>SUM($B$4:B30)+SUM($C$4:C30)-SUM($D$4:D30)</f>
        <v>4</v>
      </c>
      <c r="F30" s="17">
        <f>SUM(经验!A30:X30)</f>
        <v>635</v>
      </c>
      <c r="G30" s="17">
        <f>SUM($F$4:F30)+SUM($H$4:H30)</f>
        <v>19465</v>
      </c>
      <c r="H30" s="17">
        <v>200</v>
      </c>
      <c r="I30" s="86" t="s">
        <v>44</v>
      </c>
      <c r="J30" s="86" t="s">
        <v>44</v>
      </c>
      <c r="K30" s="86" t="s">
        <v>44</v>
      </c>
      <c r="L30" s="86" t="s">
        <v>44</v>
      </c>
      <c r="M30" s="86" t="s">
        <v>44</v>
      </c>
      <c r="N30" s="86" t="s">
        <v>44</v>
      </c>
      <c r="O30" s="72" t="s">
        <v>34</v>
      </c>
      <c r="P30" s="72" t="s">
        <v>34</v>
      </c>
      <c r="Q30" s="88" t="s">
        <v>43</v>
      </c>
      <c r="R30" s="88" t="s">
        <v>43</v>
      </c>
      <c r="S30" s="88" t="s">
        <v>43</v>
      </c>
      <c r="T30" s="88" t="s">
        <v>43</v>
      </c>
      <c r="U30" s="88" t="s">
        <v>43</v>
      </c>
      <c r="V30" s="80" t="s">
        <v>34</v>
      </c>
      <c r="W30" s="72" t="s">
        <v>34</v>
      </c>
      <c r="X30" s="72" t="s">
        <v>34</v>
      </c>
      <c r="Y30" s="80" t="s">
        <v>34</v>
      </c>
      <c r="Z30" s="80" t="s">
        <v>34</v>
      </c>
      <c r="AA30" s="80" t="s">
        <v>34</v>
      </c>
      <c r="AB30" s="80" t="s">
        <v>34</v>
      </c>
      <c r="AC30" s="80" t="s">
        <v>34</v>
      </c>
      <c r="AD30" s="80" t="s">
        <v>34</v>
      </c>
      <c r="AE30" s="72" t="s">
        <v>34</v>
      </c>
      <c r="AF30" s="72" t="s">
        <v>34</v>
      </c>
      <c r="AG30" s="56">
        <f t="shared" si="3"/>
        <v>0</v>
      </c>
      <c r="AH30" s="56"/>
      <c r="AI30" s="56"/>
      <c r="AJ30" s="56"/>
      <c r="AK30" s="78" t="s">
        <v>52</v>
      </c>
      <c r="AM30" s="26"/>
      <c r="AN30" s="26"/>
      <c r="AO30" s="26"/>
      <c r="AP30" s="45"/>
    </row>
    <row r="31" spans="1:53">
      <c r="A31" s="59">
        <v>44665</v>
      </c>
      <c r="B31" s="17">
        <v>1600</v>
      </c>
      <c r="C31" s="17"/>
      <c r="D31" s="17">
        <f>(SUM(粮草!A31:X31)+AG31*10)*IF(AK31="是",$AY$4,$AY$3)</f>
        <v>1560</v>
      </c>
      <c r="E31" s="76">
        <f>SUM($B$4:B31)+SUM($C$4:C31)-SUM($D$4:D31)</f>
        <v>44</v>
      </c>
      <c r="F31" s="17">
        <f>SUM(经验!A31:X31)</f>
        <v>635</v>
      </c>
      <c r="G31" s="17">
        <f>SUM($F$4:F31)+SUM($H$4:H31)</f>
        <v>20100</v>
      </c>
      <c r="H31" s="17">
        <v>0</v>
      </c>
      <c r="I31" s="86" t="s">
        <v>44</v>
      </c>
      <c r="J31" s="86" t="s">
        <v>44</v>
      </c>
      <c r="K31" s="86" t="s">
        <v>44</v>
      </c>
      <c r="L31" s="86" t="s">
        <v>44</v>
      </c>
      <c r="M31" s="86" t="s">
        <v>44</v>
      </c>
      <c r="N31" s="86" t="s">
        <v>44</v>
      </c>
      <c r="O31" s="72" t="s">
        <v>34</v>
      </c>
      <c r="P31" s="72" t="s">
        <v>34</v>
      </c>
      <c r="Q31" s="88" t="s">
        <v>43</v>
      </c>
      <c r="R31" s="83" t="s">
        <v>59</v>
      </c>
      <c r="S31" s="88" t="s">
        <v>43</v>
      </c>
      <c r="T31" s="88" t="s">
        <v>43</v>
      </c>
      <c r="U31" s="88" t="s">
        <v>43</v>
      </c>
      <c r="V31" s="88" t="s">
        <v>43</v>
      </c>
      <c r="W31" s="72" t="s">
        <v>34</v>
      </c>
      <c r="X31" s="72" t="s">
        <v>34</v>
      </c>
      <c r="Y31" s="80" t="s">
        <v>34</v>
      </c>
      <c r="Z31" s="80" t="s">
        <v>34</v>
      </c>
      <c r="AA31" s="80" t="s">
        <v>34</v>
      </c>
      <c r="AB31" s="80" t="s">
        <v>34</v>
      </c>
      <c r="AC31" s="80" t="s">
        <v>34</v>
      </c>
      <c r="AD31" s="80" t="s">
        <v>34</v>
      </c>
      <c r="AE31" s="72" t="s">
        <v>34</v>
      </c>
      <c r="AF31" s="72" t="s">
        <v>34</v>
      </c>
      <c r="AG31" s="56">
        <f t="shared" si="3"/>
        <v>0</v>
      </c>
      <c r="AH31" s="56"/>
      <c r="AI31" s="56"/>
      <c r="AJ31" s="56"/>
      <c r="AK31" s="78" t="s">
        <v>52</v>
      </c>
      <c r="AM31" s="26"/>
      <c r="AN31" s="26"/>
      <c r="AO31" s="26"/>
      <c r="AP31" s="45"/>
    </row>
    <row r="32" spans="1:53">
      <c r="A32" s="59">
        <v>44666</v>
      </c>
      <c r="B32" s="17">
        <v>1600</v>
      </c>
      <c r="C32" s="17"/>
      <c r="D32" s="17">
        <f>(SUM(粮草!A32:X32)+AG32*10)*IF(AK32="是",$AY$4,$AY$3)</f>
        <v>1568</v>
      </c>
      <c r="E32" s="76">
        <f>SUM($B$4:B32)+SUM($C$4:C32)-SUM($D$4:D32)</f>
        <v>76</v>
      </c>
      <c r="F32" s="17">
        <f>SUM(经验!A32:X32)</f>
        <v>580</v>
      </c>
      <c r="G32" s="17">
        <f>SUM($F$4:F32)+SUM($H$4:H32)</f>
        <v>20680</v>
      </c>
      <c r="H32" s="17">
        <v>0</v>
      </c>
      <c r="I32" s="86" t="s">
        <v>44</v>
      </c>
      <c r="J32" s="86" t="s">
        <v>44</v>
      </c>
      <c r="K32" s="86" t="s">
        <v>44</v>
      </c>
      <c r="L32" s="86" t="s">
        <v>44</v>
      </c>
      <c r="M32" s="86" t="s">
        <v>44</v>
      </c>
      <c r="N32" s="86" t="s">
        <v>44</v>
      </c>
      <c r="O32" s="72" t="s">
        <v>34</v>
      </c>
      <c r="P32" s="72" t="s">
        <v>34</v>
      </c>
      <c r="Q32" s="88" t="s">
        <v>43</v>
      </c>
      <c r="R32" s="88" t="s">
        <v>43</v>
      </c>
      <c r="S32" s="88" t="s">
        <v>43</v>
      </c>
      <c r="T32" s="88" t="s">
        <v>43</v>
      </c>
      <c r="U32" s="80" t="s">
        <v>34</v>
      </c>
      <c r="V32" s="80" t="s">
        <v>34</v>
      </c>
      <c r="W32" s="72" t="s">
        <v>34</v>
      </c>
      <c r="X32" s="72" t="s">
        <v>34</v>
      </c>
      <c r="Y32" s="80" t="s">
        <v>34</v>
      </c>
      <c r="Z32" s="80" t="s">
        <v>34</v>
      </c>
      <c r="AA32" s="80" t="s">
        <v>34</v>
      </c>
      <c r="AB32" s="80" t="s">
        <v>34</v>
      </c>
      <c r="AC32" s="80" t="s">
        <v>34</v>
      </c>
      <c r="AD32" s="80" t="s">
        <v>34</v>
      </c>
      <c r="AE32" s="72" t="s">
        <v>34</v>
      </c>
      <c r="AF32" s="72" t="s">
        <v>34</v>
      </c>
      <c r="AG32" s="56">
        <f t="shared" si="3"/>
        <v>0</v>
      </c>
      <c r="AH32" s="56"/>
      <c r="AI32" s="56"/>
      <c r="AJ32" s="56"/>
      <c r="AK32" s="78" t="s">
        <v>52</v>
      </c>
      <c r="AM32" s="26"/>
      <c r="AN32" s="26"/>
      <c r="AO32" s="26"/>
      <c r="AP32" s="45"/>
    </row>
    <row r="33" spans="1:42">
      <c r="A33" s="59">
        <v>44667</v>
      </c>
      <c r="B33" s="17">
        <v>1600</v>
      </c>
      <c r="C33" s="17"/>
      <c r="D33" s="17">
        <f>(SUM(粮草!A33:X33)+AG33*10)*IF(AK33="是",$AY$4,$AY$3)</f>
        <v>1568</v>
      </c>
      <c r="E33" s="76">
        <f>SUM($B$4:B33)+SUM($C$4:C33)-SUM($D$4:D33)</f>
        <v>108</v>
      </c>
      <c r="F33" s="17">
        <f>SUM(经验!A33:X33)</f>
        <v>580</v>
      </c>
      <c r="G33" s="17">
        <f>SUM($F$4:F33)+SUM($H$4:H33)</f>
        <v>21260</v>
      </c>
      <c r="H33" s="17">
        <v>0</v>
      </c>
      <c r="I33" s="86" t="s">
        <v>44</v>
      </c>
      <c r="J33" s="86" t="s">
        <v>44</v>
      </c>
      <c r="K33" s="86" t="s">
        <v>44</v>
      </c>
      <c r="L33" s="86" t="s">
        <v>44</v>
      </c>
      <c r="M33" s="86" t="s">
        <v>44</v>
      </c>
      <c r="N33" s="86" t="s">
        <v>44</v>
      </c>
      <c r="O33" s="72" t="s">
        <v>34</v>
      </c>
      <c r="P33" s="72" t="s">
        <v>34</v>
      </c>
      <c r="Q33" s="88" t="s">
        <v>43</v>
      </c>
      <c r="R33" s="88" t="s">
        <v>43</v>
      </c>
      <c r="S33" s="88" t="s">
        <v>43</v>
      </c>
      <c r="T33" s="88" t="s">
        <v>43</v>
      </c>
      <c r="U33" s="80" t="s">
        <v>34</v>
      </c>
      <c r="V33" s="80" t="s">
        <v>34</v>
      </c>
      <c r="W33" s="72" t="s">
        <v>34</v>
      </c>
      <c r="X33" s="72" t="s">
        <v>34</v>
      </c>
      <c r="Y33" s="80" t="s">
        <v>34</v>
      </c>
      <c r="Z33" s="80" t="s">
        <v>34</v>
      </c>
      <c r="AA33" s="80" t="s">
        <v>34</v>
      </c>
      <c r="AB33" s="80" t="s">
        <v>34</v>
      </c>
      <c r="AC33" s="80" t="s">
        <v>34</v>
      </c>
      <c r="AD33" s="80" t="s">
        <v>34</v>
      </c>
      <c r="AE33" s="72" t="s">
        <v>34</v>
      </c>
      <c r="AF33" s="72" t="s">
        <v>34</v>
      </c>
      <c r="AG33" s="56">
        <f t="shared" si="3"/>
        <v>0</v>
      </c>
      <c r="AH33" s="56"/>
      <c r="AI33" s="56"/>
      <c r="AJ33" s="56"/>
      <c r="AK33" s="78" t="s">
        <v>52</v>
      </c>
      <c r="AM33" s="26"/>
      <c r="AN33" s="26"/>
      <c r="AO33" s="26"/>
      <c r="AP33" s="45"/>
    </row>
    <row r="34" spans="1:42">
      <c r="A34" s="59">
        <v>44668</v>
      </c>
      <c r="B34" s="17">
        <v>1600</v>
      </c>
      <c r="C34" s="17"/>
      <c r="D34" s="17">
        <f>(SUM(粮草!A34:X34)+AG34*10)*IF(AK34="是",$AY$4,$AY$3)</f>
        <v>1568</v>
      </c>
      <c r="E34" s="76">
        <f>SUM($B$4:B34)+SUM($C$4:C34)-SUM($D$4:D34)</f>
        <v>140</v>
      </c>
      <c r="F34" s="17">
        <f>SUM(经验!A34:X34)</f>
        <v>580</v>
      </c>
      <c r="G34" s="17">
        <f>SUM($F$4:F34)+SUM($H$4:H34)</f>
        <v>21840</v>
      </c>
      <c r="H34" s="17">
        <v>0</v>
      </c>
      <c r="I34" s="86" t="s">
        <v>44</v>
      </c>
      <c r="J34" s="86" t="s">
        <v>44</v>
      </c>
      <c r="K34" s="86" t="s">
        <v>44</v>
      </c>
      <c r="L34" s="86" t="s">
        <v>44</v>
      </c>
      <c r="M34" s="86" t="s">
        <v>44</v>
      </c>
      <c r="N34" s="86" t="s">
        <v>44</v>
      </c>
      <c r="O34" s="72" t="s">
        <v>34</v>
      </c>
      <c r="P34" s="72" t="s">
        <v>34</v>
      </c>
      <c r="Q34" s="88" t="s">
        <v>43</v>
      </c>
      <c r="R34" s="88" t="s">
        <v>43</v>
      </c>
      <c r="S34" s="88" t="s">
        <v>43</v>
      </c>
      <c r="T34" s="88" t="s">
        <v>43</v>
      </c>
      <c r="U34" s="80" t="s">
        <v>34</v>
      </c>
      <c r="V34" s="80" t="s">
        <v>34</v>
      </c>
      <c r="W34" s="72" t="s">
        <v>34</v>
      </c>
      <c r="X34" s="72" t="s">
        <v>34</v>
      </c>
      <c r="Y34" s="80" t="s">
        <v>34</v>
      </c>
      <c r="Z34" s="80" t="s">
        <v>34</v>
      </c>
      <c r="AA34" s="80" t="s">
        <v>34</v>
      </c>
      <c r="AB34" s="80" t="s">
        <v>34</v>
      </c>
      <c r="AC34" s="80" t="s">
        <v>34</v>
      </c>
      <c r="AD34" s="80" t="s">
        <v>34</v>
      </c>
      <c r="AE34" s="72" t="s">
        <v>34</v>
      </c>
      <c r="AF34" s="72" t="s">
        <v>34</v>
      </c>
      <c r="AG34" s="56">
        <f t="shared" si="3"/>
        <v>0</v>
      </c>
      <c r="AH34" s="56"/>
      <c r="AI34" s="56"/>
      <c r="AJ34" s="56"/>
      <c r="AK34" s="78" t="s">
        <v>52</v>
      </c>
      <c r="AM34" s="26"/>
      <c r="AN34" s="26"/>
      <c r="AO34" s="26"/>
      <c r="AP34" s="45"/>
    </row>
    <row r="35" spans="1:42">
      <c r="A35" s="59">
        <v>44669</v>
      </c>
      <c r="B35" s="18">
        <v>1600</v>
      </c>
      <c r="C35" s="18"/>
      <c r="D35" s="17">
        <f>(SUM(粮草!A35:X35)+AG35*10)*IF(AK35="是",$AY$4,$AY$3)</f>
        <v>1592</v>
      </c>
      <c r="E35" s="76">
        <f>SUM($B$4:B35)+SUM($C$4:C35)-SUM($D$4:D35)</f>
        <v>148</v>
      </c>
      <c r="F35" s="17">
        <f>SUM(经验!A35:X35)</f>
        <v>1510</v>
      </c>
      <c r="G35" s="17">
        <f>SUM($F$4:F35)+SUM($H$4:H35)</f>
        <v>23550</v>
      </c>
      <c r="H35" s="18">
        <v>200</v>
      </c>
      <c r="I35" s="87" t="s">
        <v>54</v>
      </c>
      <c r="J35" s="86" t="s">
        <v>44</v>
      </c>
      <c r="K35" s="86" t="s">
        <v>44</v>
      </c>
      <c r="L35" s="86" t="s">
        <v>44</v>
      </c>
      <c r="M35" s="80" t="s">
        <v>34</v>
      </c>
      <c r="N35" s="80" t="s">
        <v>34</v>
      </c>
      <c r="O35" s="72" t="s">
        <v>34</v>
      </c>
      <c r="P35" s="72" t="s">
        <v>34</v>
      </c>
      <c r="Q35" s="88" t="s">
        <v>43</v>
      </c>
      <c r="R35" s="88" t="s">
        <v>43</v>
      </c>
      <c r="S35" s="88" t="s">
        <v>43</v>
      </c>
      <c r="T35" s="88" t="s">
        <v>43</v>
      </c>
      <c r="U35" s="88" t="s">
        <v>43</v>
      </c>
      <c r="V35" s="88" t="s">
        <v>43</v>
      </c>
      <c r="W35" s="72" t="s">
        <v>34</v>
      </c>
      <c r="X35" s="72" t="s">
        <v>34</v>
      </c>
      <c r="Y35" s="80" t="s">
        <v>34</v>
      </c>
      <c r="Z35" s="80" t="s">
        <v>34</v>
      </c>
      <c r="AA35" s="80" t="s">
        <v>34</v>
      </c>
      <c r="AB35" s="80" t="s">
        <v>34</v>
      </c>
      <c r="AC35" s="80" t="s">
        <v>34</v>
      </c>
      <c r="AD35" s="80" t="s">
        <v>34</v>
      </c>
      <c r="AE35" s="72" t="s">
        <v>34</v>
      </c>
      <c r="AF35" s="72" t="s">
        <v>34</v>
      </c>
      <c r="AG35" s="56">
        <f t="shared" si="3"/>
        <v>0</v>
      </c>
      <c r="AH35" s="56"/>
      <c r="AI35" s="56"/>
      <c r="AJ35" s="56"/>
      <c r="AK35" s="78" t="s">
        <v>52</v>
      </c>
      <c r="AM35" s="26"/>
      <c r="AN35" s="26"/>
      <c r="AO35" s="26"/>
      <c r="AP35" s="45"/>
    </row>
    <row r="36" spans="1:42">
      <c r="A36" s="59">
        <v>44670</v>
      </c>
      <c r="B36" s="18">
        <v>1600</v>
      </c>
      <c r="C36" s="18"/>
      <c r="D36" s="17">
        <f>(SUM(粮草!A36:X36)+AG36*10)*IF(AK36="是",$AY$4,$AY$3)</f>
        <v>1592</v>
      </c>
      <c r="E36" s="76">
        <f>SUM($B$4:B36)+SUM($C$4:C36)-SUM($D$4:D36)</f>
        <v>156</v>
      </c>
      <c r="F36" s="17">
        <f>SUM(经验!A36:X36)</f>
        <v>1090</v>
      </c>
      <c r="G36" s="17">
        <f>SUM($F$4:F36)+SUM($H$4:H36)</f>
        <v>24740</v>
      </c>
      <c r="H36" s="18">
        <v>100</v>
      </c>
      <c r="I36" s="86" t="s">
        <v>44</v>
      </c>
      <c r="J36" s="86" t="s">
        <v>44</v>
      </c>
      <c r="K36" s="86" t="s">
        <v>44</v>
      </c>
      <c r="L36" s="86" t="s">
        <v>44</v>
      </c>
      <c r="M36" s="80" t="s">
        <v>34</v>
      </c>
      <c r="N36" s="80" t="s">
        <v>34</v>
      </c>
      <c r="O36" s="72" t="s">
        <v>34</v>
      </c>
      <c r="P36" s="72" t="s">
        <v>34</v>
      </c>
      <c r="Q36" s="88" t="s">
        <v>43</v>
      </c>
      <c r="R36" s="88" t="s">
        <v>43</v>
      </c>
      <c r="S36" s="88" t="s">
        <v>43</v>
      </c>
      <c r="T36" s="88" t="s">
        <v>43</v>
      </c>
      <c r="U36" s="88" t="s">
        <v>43</v>
      </c>
      <c r="V36" s="77" t="s">
        <v>71</v>
      </c>
      <c r="W36" s="88" t="s">
        <v>43</v>
      </c>
      <c r="X36" s="72" t="s">
        <v>34</v>
      </c>
      <c r="Y36" s="80" t="s">
        <v>34</v>
      </c>
      <c r="Z36" s="80" t="s">
        <v>34</v>
      </c>
      <c r="AA36" s="80" t="s">
        <v>34</v>
      </c>
      <c r="AB36" s="80" t="s">
        <v>34</v>
      </c>
      <c r="AC36" s="80" t="s">
        <v>34</v>
      </c>
      <c r="AD36" s="80" t="s">
        <v>34</v>
      </c>
      <c r="AE36" s="72" t="s">
        <v>34</v>
      </c>
      <c r="AF36" s="72" t="s">
        <v>34</v>
      </c>
      <c r="AG36" s="56">
        <f t="shared" si="3"/>
        <v>0</v>
      </c>
      <c r="AH36" s="56"/>
      <c r="AI36" s="56"/>
      <c r="AJ36" s="56"/>
      <c r="AK36" s="78" t="s">
        <v>52</v>
      </c>
      <c r="AM36" s="26"/>
      <c r="AN36" s="26"/>
      <c r="AO36" s="26"/>
      <c r="AP36" s="45"/>
    </row>
    <row r="37" spans="1:42">
      <c r="A37" s="59">
        <v>44671</v>
      </c>
      <c r="B37" s="18">
        <v>1600</v>
      </c>
      <c r="C37" s="18"/>
      <c r="D37" s="17">
        <f>(SUM(粮草!A37:X37)+AG37*10)*IF(AK37="是",$AY$4,$AY$3)</f>
        <v>1712</v>
      </c>
      <c r="E37" s="76">
        <f>SUM($B$4:B37)+SUM($C$4:C37)-SUM($D$4:D37)</f>
        <v>44</v>
      </c>
      <c r="F37" s="17">
        <f>SUM(经验!A37:X37)</f>
        <v>630</v>
      </c>
      <c r="G37" s="17">
        <f>SUM($F$4:F37)+SUM($H$4:H37)</f>
        <v>25570</v>
      </c>
      <c r="H37" s="18">
        <v>200</v>
      </c>
      <c r="I37" s="86" t="s">
        <v>44</v>
      </c>
      <c r="J37" s="86" t="s">
        <v>44</v>
      </c>
      <c r="K37" s="86" t="s">
        <v>44</v>
      </c>
      <c r="L37" s="86" t="s">
        <v>44</v>
      </c>
      <c r="M37" s="86" t="s">
        <v>44</v>
      </c>
      <c r="N37" s="80" t="s">
        <v>34</v>
      </c>
      <c r="O37" s="72" t="s">
        <v>34</v>
      </c>
      <c r="P37" s="72" t="s">
        <v>34</v>
      </c>
      <c r="Q37" s="88" t="s">
        <v>43</v>
      </c>
      <c r="R37" s="88" t="s">
        <v>43</v>
      </c>
      <c r="S37" s="88" t="s">
        <v>43</v>
      </c>
      <c r="T37" s="88" t="s">
        <v>43</v>
      </c>
      <c r="U37" s="88" t="s">
        <v>43</v>
      </c>
      <c r="V37" s="88" t="s">
        <v>43</v>
      </c>
      <c r="W37" s="72" t="s">
        <v>34</v>
      </c>
      <c r="X37" s="72" t="s">
        <v>34</v>
      </c>
      <c r="Y37" s="80" t="s">
        <v>34</v>
      </c>
      <c r="Z37" s="80" t="s">
        <v>34</v>
      </c>
      <c r="AA37" s="80" t="s">
        <v>34</v>
      </c>
      <c r="AB37" s="80" t="s">
        <v>34</v>
      </c>
      <c r="AC37" s="80" t="s">
        <v>34</v>
      </c>
      <c r="AD37" s="80" t="s">
        <v>34</v>
      </c>
      <c r="AE37" s="72" t="s">
        <v>34</v>
      </c>
      <c r="AF37" s="72" t="s">
        <v>34</v>
      </c>
      <c r="AG37" s="56">
        <f t="shared" si="3"/>
        <v>0</v>
      </c>
      <c r="AH37" s="56"/>
      <c r="AI37" s="56"/>
      <c r="AJ37" s="56"/>
      <c r="AK37" s="78" t="s">
        <v>52</v>
      </c>
      <c r="AM37" s="26"/>
      <c r="AN37" s="26"/>
      <c r="AO37" s="26"/>
      <c r="AP37" s="45"/>
    </row>
    <row r="38" spans="1:42">
      <c r="A38" s="59">
        <v>44672</v>
      </c>
      <c r="B38" s="18">
        <v>1600</v>
      </c>
      <c r="C38" s="18"/>
      <c r="D38" s="17">
        <f>(SUM(粮草!A38:X38)+AG38*10)*IF(AK38="是",$AY$4,$AY$3)</f>
        <v>1552</v>
      </c>
      <c r="E38" s="76">
        <f>SUM($B$4:B38)+SUM($C$4:C38)-SUM($D$4:D38)</f>
        <v>92</v>
      </c>
      <c r="F38" s="17">
        <f>SUM(经验!A38:X38)</f>
        <v>570</v>
      </c>
      <c r="G38" s="17">
        <f>SUM($F$4:F38)+SUM($H$4:H38)</f>
        <v>26140</v>
      </c>
      <c r="H38" s="18">
        <v>0</v>
      </c>
      <c r="I38" s="86" t="s">
        <v>44</v>
      </c>
      <c r="J38" s="86" t="s">
        <v>44</v>
      </c>
      <c r="K38" s="86" t="s">
        <v>44</v>
      </c>
      <c r="L38" s="86" t="s">
        <v>44</v>
      </c>
      <c r="M38" s="80" t="s">
        <v>34</v>
      </c>
      <c r="N38" s="80" t="s">
        <v>34</v>
      </c>
      <c r="O38" s="72" t="s">
        <v>34</v>
      </c>
      <c r="P38" s="72" t="s">
        <v>34</v>
      </c>
      <c r="Q38" s="88" t="s">
        <v>43</v>
      </c>
      <c r="R38" s="88" t="s">
        <v>43</v>
      </c>
      <c r="S38" s="88" t="s">
        <v>43</v>
      </c>
      <c r="T38" s="88" t="s">
        <v>43</v>
      </c>
      <c r="U38" s="88" t="s">
        <v>43</v>
      </c>
      <c r="V38" s="88" t="s">
        <v>43</v>
      </c>
      <c r="W38" s="72" t="s">
        <v>34</v>
      </c>
      <c r="X38" s="72" t="s">
        <v>34</v>
      </c>
      <c r="Y38" s="80" t="s">
        <v>34</v>
      </c>
      <c r="Z38" s="80" t="s">
        <v>34</v>
      </c>
      <c r="AA38" s="80" t="s">
        <v>34</v>
      </c>
      <c r="AB38" s="80" t="s">
        <v>34</v>
      </c>
      <c r="AC38" s="80" t="s">
        <v>34</v>
      </c>
      <c r="AD38" s="80" t="s">
        <v>34</v>
      </c>
      <c r="AE38" s="72" t="s">
        <v>34</v>
      </c>
      <c r="AF38" s="72" t="s">
        <v>34</v>
      </c>
      <c r="AG38" s="56">
        <f t="shared" si="3"/>
        <v>0</v>
      </c>
      <c r="AH38" s="56"/>
      <c r="AI38" s="56"/>
      <c r="AJ38" s="56"/>
      <c r="AK38" s="78" t="s">
        <v>52</v>
      </c>
      <c r="AM38" s="26"/>
      <c r="AN38" s="26"/>
      <c r="AO38" s="26"/>
      <c r="AP38" s="45"/>
    </row>
    <row r="39" spans="1:42">
      <c r="A39" s="59">
        <v>44673</v>
      </c>
      <c r="B39" s="18">
        <v>1600</v>
      </c>
      <c r="C39" s="18"/>
      <c r="D39" s="17">
        <f>(SUM(粮草!A39:X39)+AG39*10)*IF(AK39="是",$AY$4,$AY$3)</f>
        <v>1640</v>
      </c>
      <c r="E39" s="76">
        <f>SUM($B$4:B39)+SUM($C$4:C39)-SUM($D$4:D39)</f>
        <v>52</v>
      </c>
      <c r="F39" s="17">
        <f>SUM(经验!A39:X39)</f>
        <v>630</v>
      </c>
      <c r="G39" s="17">
        <f>SUM($F$4:F39)+SUM($H$4:H39)</f>
        <v>26770</v>
      </c>
      <c r="H39" s="18">
        <v>0</v>
      </c>
      <c r="I39" s="86" t="s">
        <v>44</v>
      </c>
      <c r="J39" s="86" t="s">
        <v>44</v>
      </c>
      <c r="K39" s="132" t="s">
        <v>50</v>
      </c>
      <c r="L39" s="86" t="s">
        <v>44</v>
      </c>
      <c r="M39" s="86" t="s">
        <v>44</v>
      </c>
      <c r="N39" s="80" t="s">
        <v>34</v>
      </c>
      <c r="O39" s="72" t="s">
        <v>34</v>
      </c>
      <c r="P39" s="72" t="s">
        <v>34</v>
      </c>
      <c r="Q39" s="88" t="s">
        <v>43</v>
      </c>
      <c r="R39" s="88" t="s">
        <v>43</v>
      </c>
      <c r="S39" s="88" t="s">
        <v>43</v>
      </c>
      <c r="T39" s="88" t="s">
        <v>43</v>
      </c>
      <c r="U39" s="88" t="s">
        <v>43</v>
      </c>
      <c r="V39" s="131" t="s">
        <v>49</v>
      </c>
      <c r="W39" s="72" t="s">
        <v>34</v>
      </c>
      <c r="X39" s="72" t="s">
        <v>34</v>
      </c>
      <c r="Y39" s="80" t="s">
        <v>34</v>
      </c>
      <c r="Z39" s="80" t="s">
        <v>34</v>
      </c>
      <c r="AA39" s="80" t="s">
        <v>34</v>
      </c>
      <c r="AB39" s="80" t="s">
        <v>34</v>
      </c>
      <c r="AC39" s="80" t="s">
        <v>34</v>
      </c>
      <c r="AD39" s="80" t="s">
        <v>34</v>
      </c>
      <c r="AE39" s="72" t="s">
        <v>34</v>
      </c>
      <c r="AF39" s="72" t="s">
        <v>34</v>
      </c>
      <c r="AG39" s="56">
        <f t="shared" si="3"/>
        <v>0</v>
      </c>
      <c r="AH39" s="56"/>
      <c r="AI39" s="56"/>
      <c r="AJ39" s="56"/>
      <c r="AK39" s="78" t="s">
        <v>52</v>
      </c>
      <c r="AM39" s="26" t="s">
        <v>64</v>
      </c>
      <c r="AN39" s="26"/>
      <c r="AO39" s="26"/>
      <c r="AP39" s="45"/>
    </row>
    <row r="40" spans="1:42">
      <c r="A40" s="59">
        <v>44674</v>
      </c>
      <c r="B40" s="18">
        <v>1600</v>
      </c>
      <c r="C40" s="18"/>
      <c r="D40" s="17">
        <f>(SUM(粮草!A40:X40)+AG40*10)*IF(AK40="是",$AY$4,$AY$3)</f>
        <v>1544</v>
      </c>
      <c r="E40" s="76">
        <f>SUM($B$4:B40)+SUM($C$4:C40)-SUM($D$4:D40)</f>
        <v>108</v>
      </c>
      <c r="F40" s="17">
        <f>SUM(经验!A40:X40)</f>
        <v>625</v>
      </c>
      <c r="G40" s="17">
        <f>SUM($F$4:F40)+SUM($H$4:H40)</f>
        <v>27395</v>
      </c>
      <c r="H40" s="18">
        <v>0</v>
      </c>
      <c r="I40" s="86" t="s">
        <v>44</v>
      </c>
      <c r="J40" s="86" t="s">
        <v>44</v>
      </c>
      <c r="K40" s="86" t="s">
        <v>44</v>
      </c>
      <c r="L40" s="83" t="s">
        <v>59</v>
      </c>
      <c r="M40" s="86" t="s">
        <v>44</v>
      </c>
      <c r="N40" s="88" t="s">
        <v>43</v>
      </c>
      <c r="O40" s="72" t="s">
        <v>34</v>
      </c>
      <c r="P40" s="72" t="s">
        <v>34</v>
      </c>
      <c r="Q40" s="88" t="s">
        <v>43</v>
      </c>
      <c r="R40" s="88" t="s">
        <v>43</v>
      </c>
      <c r="S40" s="88" t="s">
        <v>43</v>
      </c>
      <c r="T40" s="88" t="s">
        <v>43</v>
      </c>
      <c r="U40" s="88" t="s">
        <v>43</v>
      </c>
      <c r="V40" s="88" t="s">
        <v>43</v>
      </c>
      <c r="W40" s="72" t="s">
        <v>34</v>
      </c>
      <c r="X40" s="72" t="s">
        <v>34</v>
      </c>
      <c r="Y40" s="80" t="s">
        <v>34</v>
      </c>
      <c r="Z40" s="80" t="s">
        <v>34</v>
      </c>
      <c r="AA40" s="80" t="s">
        <v>34</v>
      </c>
      <c r="AB40" s="80" t="s">
        <v>34</v>
      </c>
      <c r="AC40" s="80" t="s">
        <v>34</v>
      </c>
      <c r="AD40" s="80" t="s">
        <v>34</v>
      </c>
      <c r="AE40" s="72" t="s">
        <v>34</v>
      </c>
      <c r="AF40" s="72" t="s">
        <v>34</v>
      </c>
      <c r="AG40" s="56">
        <f t="shared" si="3"/>
        <v>0</v>
      </c>
      <c r="AH40" s="56"/>
      <c r="AI40" s="56"/>
      <c r="AJ40" s="56"/>
      <c r="AK40" s="78" t="s">
        <v>52</v>
      </c>
      <c r="AM40" s="26" t="s">
        <v>65</v>
      </c>
      <c r="AN40" s="26"/>
      <c r="AO40" s="26"/>
      <c r="AP40" s="45"/>
    </row>
    <row r="41" spans="1:42">
      <c r="A41" s="59">
        <v>44675</v>
      </c>
      <c r="B41" s="18">
        <v>1600</v>
      </c>
      <c r="C41" s="18"/>
      <c r="D41" s="17">
        <f>(SUM(粮草!A41:X41)+AG41*10)*IF(AK41="是",$AY$4,$AY$3)</f>
        <v>1672</v>
      </c>
      <c r="E41" s="76">
        <f>SUM($B$4:B41)+SUM($C$4:C41)-SUM($D$4:D41)</f>
        <v>36</v>
      </c>
      <c r="F41" s="17">
        <f>SUM(经验!A41:X41)</f>
        <v>605</v>
      </c>
      <c r="G41" s="17">
        <f>SUM($F$4:F41)+SUM($H$4:H41)</f>
        <v>28000</v>
      </c>
      <c r="H41" s="18">
        <v>0</v>
      </c>
      <c r="I41" s="88" t="s">
        <v>43</v>
      </c>
      <c r="J41" s="88" t="s">
        <v>43</v>
      </c>
      <c r="K41" s="88" t="s">
        <v>43</v>
      </c>
      <c r="L41" s="88" t="s">
        <v>43</v>
      </c>
      <c r="M41" s="88" t="s">
        <v>43</v>
      </c>
      <c r="N41" s="80" t="s">
        <v>34</v>
      </c>
      <c r="O41" s="72" t="s">
        <v>34</v>
      </c>
      <c r="P41" s="72" t="s">
        <v>34</v>
      </c>
      <c r="Q41" s="88" t="s">
        <v>43</v>
      </c>
      <c r="R41" s="88" t="s">
        <v>43</v>
      </c>
      <c r="S41" s="88" t="s">
        <v>43</v>
      </c>
      <c r="T41" s="88" t="s">
        <v>43</v>
      </c>
      <c r="U41" s="88" t="s">
        <v>43</v>
      </c>
      <c r="V41" s="88" t="s">
        <v>43</v>
      </c>
      <c r="W41" s="72" t="s">
        <v>34</v>
      </c>
      <c r="X41" s="72" t="s">
        <v>34</v>
      </c>
      <c r="Y41" s="80" t="s">
        <v>34</v>
      </c>
      <c r="Z41" s="80" t="s">
        <v>34</v>
      </c>
      <c r="AA41" s="80" t="s">
        <v>34</v>
      </c>
      <c r="AB41" s="80" t="s">
        <v>34</v>
      </c>
      <c r="AC41" s="80" t="s">
        <v>34</v>
      </c>
      <c r="AD41" s="80" t="s">
        <v>34</v>
      </c>
      <c r="AE41" s="72" t="s">
        <v>34</v>
      </c>
      <c r="AF41" s="72" t="s">
        <v>34</v>
      </c>
      <c r="AG41" s="56">
        <f t="shared" si="3"/>
        <v>0</v>
      </c>
      <c r="AH41" s="56"/>
      <c r="AI41" s="56"/>
      <c r="AJ41" s="56"/>
      <c r="AK41" s="78" t="s">
        <v>52</v>
      </c>
      <c r="AM41" s="26" t="s">
        <v>66</v>
      </c>
      <c r="AN41" s="26"/>
      <c r="AO41" s="26"/>
      <c r="AP41" s="45"/>
    </row>
    <row r="42" spans="1:42">
      <c r="A42" s="59">
        <v>44676</v>
      </c>
      <c r="B42" s="17">
        <v>1600</v>
      </c>
      <c r="C42" s="17"/>
      <c r="D42" s="17">
        <f>(SUM(粮草!A42:X42)+AG42*10)*IF(AK42="是",$AY$4,$AY$3)</f>
        <v>1600</v>
      </c>
      <c r="E42" s="76">
        <f>SUM($B$4:B42)+SUM($C$4:C42)-SUM($D$4:D42)</f>
        <v>36</v>
      </c>
      <c r="F42" s="17">
        <f>SUM(经验!A42:X42)</f>
        <v>610</v>
      </c>
      <c r="G42" s="17">
        <f>SUM($F$4:F42)+SUM($H$4:H42)</f>
        <v>28910</v>
      </c>
      <c r="H42" s="17">
        <v>300</v>
      </c>
      <c r="I42" s="88" t="s">
        <v>43</v>
      </c>
      <c r="J42" s="88" t="s">
        <v>43</v>
      </c>
      <c r="K42" s="88" t="s">
        <v>43</v>
      </c>
      <c r="L42" s="88" t="s">
        <v>43</v>
      </c>
      <c r="M42" s="88" t="s">
        <v>43</v>
      </c>
      <c r="N42" s="20" t="s">
        <v>39</v>
      </c>
      <c r="O42" s="72" t="s">
        <v>34</v>
      </c>
      <c r="P42" s="72" t="s">
        <v>34</v>
      </c>
      <c r="Q42" s="20" t="s">
        <v>39</v>
      </c>
      <c r="R42" s="88" t="s">
        <v>43</v>
      </c>
      <c r="S42" s="88" t="s">
        <v>43</v>
      </c>
      <c r="T42" s="88" t="s">
        <v>43</v>
      </c>
      <c r="U42" s="88" t="s">
        <v>43</v>
      </c>
      <c r="V42" s="88" t="s">
        <v>43</v>
      </c>
      <c r="W42" s="72" t="s">
        <v>34</v>
      </c>
      <c r="X42" s="72" t="s">
        <v>34</v>
      </c>
      <c r="Y42" s="80" t="s">
        <v>34</v>
      </c>
      <c r="Z42" s="80" t="s">
        <v>34</v>
      </c>
      <c r="AA42" s="80" t="s">
        <v>34</v>
      </c>
      <c r="AB42" s="80" t="s">
        <v>34</v>
      </c>
      <c r="AC42" s="80" t="s">
        <v>34</v>
      </c>
      <c r="AD42" s="80" t="s">
        <v>34</v>
      </c>
      <c r="AE42" s="72" t="s">
        <v>34</v>
      </c>
      <c r="AF42" s="72" t="s">
        <v>34</v>
      </c>
      <c r="AG42" s="56">
        <f t="shared" si="3"/>
        <v>0</v>
      </c>
      <c r="AH42" s="56"/>
      <c r="AI42" s="56"/>
      <c r="AJ42" s="56"/>
      <c r="AK42" s="78" t="s">
        <v>52</v>
      </c>
      <c r="AM42" s="26" t="s">
        <v>67</v>
      </c>
      <c r="AN42" s="26"/>
      <c r="AO42" s="26"/>
      <c r="AP42" s="45"/>
    </row>
    <row r="43" spans="1:42">
      <c r="A43" s="59">
        <v>44677</v>
      </c>
      <c r="B43" s="17">
        <v>1600</v>
      </c>
      <c r="C43" s="17"/>
      <c r="D43" s="17">
        <f>(SUM(粮草!A43:X43)+AG43*10)*IF(AK43="是",$AY$4,$AY$3)</f>
        <v>1520</v>
      </c>
      <c r="E43" s="76">
        <f>SUM($B$4:B43)+SUM($C$4:C43)-SUM($D$4:D43)</f>
        <v>116</v>
      </c>
      <c r="F43" s="17">
        <f>SUM(经验!A43:X43)</f>
        <v>550</v>
      </c>
      <c r="G43" s="17">
        <f>SUM($F$4:F43)+SUM($H$4:H43)</f>
        <v>29460</v>
      </c>
      <c r="H43" s="17">
        <v>0</v>
      </c>
      <c r="I43" s="88" t="s">
        <v>43</v>
      </c>
      <c r="J43" s="88" t="s">
        <v>43</v>
      </c>
      <c r="K43" s="88" t="s">
        <v>43</v>
      </c>
      <c r="L43" s="88" t="s">
        <v>43</v>
      </c>
      <c r="M43" s="80" t="s">
        <v>34</v>
      </c>
      <c r="N43" s="80" t="s">
        <v>34</v>
      </c>
      <c r="O43" s="72" t="s">
        <v>34</v>
      </c>
      <c r="P43" s="72" t="s">
        <v>34</v>
      </c>
      <c r="Q43" s="88" t="s">
        <v>43</v>
      </c>
      <c r="R43" s="88" t="s">
        <v>43</v>
      </c>
      <c r="S43" s="88" t="s">
        <v>43</v>
      </c>
      <c r="T43" s="88" t="s">
        <v>43</v>
      </c>
      <c r="U43" s="88" t="s">
        <v>43</v>
      </c>
      <c r="V43" s="88" t="s">
        <v>43</v>
      </c>
      <c r="W43" s="72" t="s">
        <v>34</v>
      </c>
      <c r="X43" s="72" t="s">
        <v>34</v>
      </c>
      <c r="Y43" s="80" t="s">
        <v>34</v>
      </c>
      <c r="Z43" s="80" t="s">
        <v>34</v>
      </c>
      <c r="AA43" s="80" t="s">
        <v>34</v>
      </c>
      <c r="AB43" s="80" t="s">
        <v>34</v>
      </c>
      <c r="AC43" s="80" t="s">
        <v>34</v>
      </c>
      <c r="AD43" s="80" t="s">
        <v>34</v>
      </c>
      <c r="AE43" s="72" t="s">
        <v>34</v>
      </c>
      <c r="AF43" s="72" t="s">
        <v>34</v>
      </c>
      <c r="AG43" s="56">
        <f t="shared" si="3"/>
        <v>0</v>
      </c>
      <c r="AH43" s="56"/>
      <c r="AI43" s="56"/>
      <c r="AJ43" s="56"/>
      <c r="AK43" s="78" t="s">
        <v>52</v>
      </c>
      <c r="AM43" s="70" t="s">
        <v>68</v>
      </c>
      <c r="AN43" s="26"/>
      <c r="AO43" s="26"/>
      <c r="AP43" s="45"/>
    </row>
    <row r="44" spans="1:42">
      <c r="A44" s="59">
        <v>44678</v>
      </c>
      <c r="B44" s="17">
        <v>1600</v>
      </c>
      <c r="C44" s="17"/>
      <c r="D44" s="17">
        <f>(SUM(粮草!A44:X44)+AG44*10)*IF(AK44="是",$AY$4,$AY$3)</f>
        <v>1672</v>
      </c>
      <c r="E44" s="76">
        <f>SUM($B$4:B44)+SUM($C$4:C44)-SUM($D$4:D44)</f>
        <v>44</v>
      </c>
      <c r="F44" s="17">
        <f>SUM(经验!A44:X44)</f>
        <v>605</v>
      </c>
      <c r="G44" s="17">
        <f>SUM($F$4:F44)+SUM($H$4:H44)</f>
        <v>30265</v>
      </c>
      <c r="H44" s="17">
        <v>200</v>
      </c>
      <c r="I44" s="88" t="s">
        <v>43</v>
      </c>
      <c r="J44" s="88" t="s">
        <v>43</v>
      </c>
      <c r="K44" s="88" t="s">
        <v>43</v>
      </c>
      <c r="L44" s="88" t="s">
        <v>43</v>
      </c>
      <c r="M44" s="88" t="s">
        <v>43</v>
      </c>
      <c r="N44" s="80" t="s">
        <v>34</v>
      </c>
      <c r="O44" s="72" t="s">
        <v>34</v>
      </c>
      <c r="P44" s="72" t="s">
        <v>34</v>
      </c>
      <c r="Q44" s="88" t="s">
        <v>43</v>
      </c>
      <c r="R44" s="88" t="s">
        <v>43</v>
      </c>
      <c r="S44" s="88" t="s">
        <v>43</v>
      </c>
      <c r="T44" s="88" t="s">
        <v>43</v>
      </c>
      <c r="U44" s="88" t="s">
        <v>43</v>
      </c>
      <c r="V44" s="88" t="s">
        <v>43</v>
      </c>
      <c r="W44" s="72" t="s">
        <v>34</v>
      </c>
      <c r="X44" s="72" t="s">
        <v>34</v>
      </c>
      <c r="Y44" s="80" t="s">
        <v>34</v>
      </c>
      <c r="Z44" s="80" t="s">
        <v>34</v>
      </c>
      <c r="AA44" s="80" t="s">
        <v>34</v>
      </c>
      <c r="AB44" s="80" t="s">
        <v>34</v>
      </c>
      <c r="AC44" s="80" t="s">
        <v>34</v>
      </c>
      <c r="AD44" s="80" t="s">
        <v>34</v>
      </c>
      <c r="AE44" s="72" t="s">
        <v>34</v>
      </c>
      <c r="AF44" s="72" t="s">
        <v>34</v>
      </c>
      <c r="AG44" s="56">
        <f t="shared" si="3"/>
        <v>0</v>
      </c>
      <c r="AH44" s="56"/>
      <c r="AI44" s="56"/>
      <c r="AJ44" s="56"/>
      <c r="AK44" s="78" t="s">
        <v>52</v>
      </c>
      <c r="AM44" s="26"/>
      <c r="AN44" s="26"/>
      <c r="AO44" s="26"/>
      <c r="AP44" s="45"/>
    </row>
    <row r="45" spans="1:42">
      <c r="A45" s="59">
        <v>44679</v>
      </c>
      <c r="B45" s="17">
        <v>1600</v>
      </c>
      <c r="C45" s="17"/>
      <c r="D45" s="17">
        <f>(SUM(粮草!A45:X45)+AG45*10)*IF(AK45="是",$AY$4,$AY$3)</f>
        <v>1568</v>
      </c>
      <c r="E45" s="76">
        <f>SUM($B$4:B45)+SUM($C$4:C45)-SUM($D$4:D45)</f>
        <v>76</v>
      </c>
      <c r="F45" s="17">
        <f>SUM(经验!A45:X45)</f>
        <v>580</v>
      </c>
      <c r="G45" s="17">
        <f>SUM($F$4:F45)+SUM($H$4:H45)</f>
        <v>30845</v>
      </c>
      <c r="H45" s="17">
        <v>0</v>
      </c>
      <c r="I45" s="88" t="s">
        <v>43</v>
      </c>
      <c r="J45" s="88" t="s">
        <v>43</v>
      </c>
      <c r="K45" s="88" t="s">
        <v>43</v>
      </c>
      <c r="L45" s="88" t="s">
        <v>43</v>
      </c>
      <c r="M45" s="80" t="s">
        <v>34</v>
      </c>
      <c r="N45" s="80" t="s">
        <v>34</v>
      </c>
      <c r="O45" s="72" t="s">
        <v>34</v>
      </c>
      <c r="P45" s="72" t="s">
        <v>34</v>
      </c>
      <c r="Q45" s="86" t="s">
        <v>44</v>
      </c>
      <c r="R45" s="86" t="s">
        <v>44</v>
      </c>
      <c r="S45" s="86" t="s">
        <v>44</v>
      </c>
      <c r="T45" s="86" t="s">
        <v>44</v>
      </c>
      <c r="U45" s="86" t="s">
        <v>44</v>
      </c>
      <c r="V45" s="86" t="s">
        <v>44</v>
      </c>
      <c r="W45" s="72" t="s">
        <v>34</v>
      </c>
      <c r="X45" s="72" t="s">
        <v>34</v>
      </c>
      <c r="Y45" s="80" t="s">
        <v>34</v>
      </c>
      <c r="Z45" s="80" t="s">
        <v>34</v>
      </c>
      <c r="AA45" s="80" t="s">
        <v>34</v>
      </c>
      <c r="AB45" s="80" t="s">
        <v>34</v>
      </c>
      <c r="AC45" s="80" t="s">
        <v>34</v>
      </c>
      <c r="AD45" s="80" t="s">
        <v>34</v>
      </c>
      <c r="AE45" s="72" t="s">
        <v>34</v>
      </c>
      <c r="AF45" s="72" t="s">
        <v>34</v>
      </c>
      <c r="AG45" s="56">
        <f t="shared" si="3"/>
        <v>0</v>
      </c>
      <c r="AH45" s="56"/>
      <c r="AI45" s="56"/>
      <c r="AJ45" s="56"/>
      <c r="AK45" s="78" t="s">
        <v>52</v>
      </c>
    </row>
    <row r="46" spans="1:42">
      <c r="A46" s="59">
        <v>44680</v>
      </c>
      <c r="B46" s="17">
        <v>1600</v>
      </c>
      <c r="C46" s="17"/>
      <c r="D46" s="17">
        <f>(SUM(粮草!A46:X46)+AG46*10)*IF(AK46="是",$AY$4,$AY$3)</f>
        <v>1568</v>
      </c>
      <c r="E46" s="76">
        <f>SUM($B$4:B46)+SUM($C$4:C46)-SUM($D$4:D46)</f>
        <v>108</v>
      </c>
      <c r="F46" s="17">
        <f>SUM(经验!A46:X46)</f>
        <v>580</v>
      </c>
      <c r="G46" s="17">
        <f>SUM($F$4:F46)+SUM($H$4:H46)</f>
        <v>31425</v>
      </c>
      <c r="H46" s="17">
        <v>0</v>
      </c>
      <c r="I46" s="88" t="s">
        <v>43</v>
      </c>
      <c r="J46" s="88" t="s">
        <v>43</v>
      </c>
      <c r="K46" s="88" t="s">
        <v>43</v>
      </c>
      <c r="L46" s="88" t="s">
        <v>43</v>
      </c>
      <c r="M46" s="80" t="s">
        <v>34</v>
      </c>
      <c r="N46" s="80" t="s">
        <v>34</v>
      </c>
      <c r="O46" s="72" t="s">
        <v>34</v>
      </c>
      <c r="P46" s="72" t="s">
        <v>34</v>
      </c>
      <c r="Q46" s="86" t="s">
        <v>44</v>
      </c>
      <c r="R46" s="86" t="s">
        <v>44</v>
      </c>
      <c r="S46" s="86" t="s">
        <v>44</v>
      </c>
      <c r="T46" s="86" t="s">
        <v>44</v>
      </c>
      <c r="U46" s="86" t="s">
        <v>44</v>
      </c>
      <c r="V46" s="86" t="s">
        <v>44</v>
      </c>
      <c r="W46" s="72" t="s">
        <v>34</v>
      </c>
      <c r="X46" s="72" t="s">
        <v>34</v>
      </c>
      <c r="Y46" s="80" t="s">
        <v>34</v>
      </c>
      <c r="Z46" s="80" t="s">
        <v>34</v>
      </c>
      <c r="AA46" s="80" t="s">
        <v>34</v>
      </c>
      <c r="AB46" s="80" t="s">
        <v>34</v>
      </c>
      <c r="AC46" s="80" t="s">
        <v>34</v>
      </c>
      <c r="AD46" s="80" t="s">
        <v>34</v>
      </c>
      <c r="AE46" s="72" t="s">
        <v>34</v>
      </c>
      <c r="AF46" s="72" t="s">
        <v>34</v>
      </c>
      <c r="AG46" s="56">
        <f t="shared" si="3"/>
        <v>0</v>
      </c>
      <c r="AH46" s="56"/>
      <c r="AI46" s="56"/>
      <c r="AJ46" s="56"/>
      <c r="AK46" s="78" t="s">
        <v>52</v>
      </c>
    </row>
    <row r="47" spans="1:42">
      <c r="A47" s="59">
        <v>44681</v>
      </c>
      <c r="B47" s="17">
        <v>1600</v>
      </c>
      <c r="C47" s="17"/>
      <c r="D47" s="17">
        <f>(SUM(粮草!A47:X47)+AG47*10)*IF(AK47="是",$AY$4,$AY$3)</f>
        <v>1608</v>
      </c>
      <c r="E47" s="76">
        <f>SUM($B$4:B47)+SUM($C$4:C47)-SUM($D$4:D47)</f>
        <v>100</v>
      </c>
      <c r="F47" s="17">
        <f>SUM(经验!A47:X47)</f>
        <v>1100</v>
      </c>
      <c r="G47" s="17">
        <f>SUM($F$4:F47)+SUM($H$4:H47)</f>
        <v>32525</v>
      </c>
      <c r="H47" s="17">
        <v>0</v>
      </c>
      <c r="I47" s="88" t="s">
        <v>43</v>
      </c>
      <c r="J47" s="77" t="s">
        <v>71</v>
      </c>
      <c r="K47" s="88" t="s">
        <v>43</v>
      </c>
      <c r="L47" s="88" t="s">
        <v>43</v>
      </c>
      <c r="M47" s="88" t="s">
        <v>43</v>
      </c>
      <c r="N47" s="80" t="s">
        <v>34</v>
      </c>
      <c r="O47" s="72" t="s">
        <v>34</v>
      </c>
      <c r="P47" s="72" t="s">
        <v>34</v>
      </c>
      <c r="Q47" s="86" t="s">
        <v>44</v>
      </c>
      <c r="R47" s="86" t="s">
        <v>44</v>
      </c>
      <c r="S47" s="86" t="s">
        <v>44</v>
      </c>
      <c r="T47" s="86" t="s">
        <v>44</v>
      </c>
      <c r="U47" s="86" t="s">
        <v>44</v>
      </c>
      <c r="V47" s="86" t="s">
        <v>44</v>
      </c>
      <c r="W47" s="72" t="s">
        <v>34</v>
      </c>
      <c r="X47" s="72" t="s">
        <v>34</v>
      </c>
      <c r="Y47" s="80" t="s">
        <v>34</v>
      </c>
      <c r="Z47" s="80" t="s">
        <v>34</v>
      </c>
      <c r="AA47" s="80" t="s">
        <v>34</v>
      </c>
      <c r="AB47" s="80" t="s">
        <v>34</v>
      </c>
      <c r="AC47" s="80" t="s">
        <v>34</v>
      </c>
      <c r="AD47" s="80" t="s">
        <v>34</v>
      </c>
      <c r="AE47" s="72" t="s">
        <v>34</v>
      </c>
      <c r="AF47" s="72" t="s">
        <v>34</v>
      </c>
      <c r="AG47" s="56">
        <f t="shared" si="3"/>
        <v>0</v>
      </c>
      <c r="AH47" s="56"/>
      <c r="AI47" s="56"/>
      <c r="AJ47" s="56"/>
      <c r="AK47" s="78" t="s">
        <v>52</v>
      </c>
    </row>
    <row r="48" spans="1:42">
      <c r="A48" s="59">
        <v>44682</v>
      </c>
      <c r="B48" s="17">
        <v>1600</v>
      </c>
      <c r="C48" s="17"/>
      <c r="D48" s="17">
        <f>(SUM(粮草!A48:X48)+AG48*10)*IF(AK48="是",$AY$4,$AY$3)</f>
        <v>1568</v>
      </c>
      <c r="E48" s="76">
        <f>SUM($B$4:B48)+SUM($C$4:C48)-SUM($D$4:D48)</f>
        <v>132</v>
      </c>
      <c r="F48" s="17">
        <f>SUM(经验!A48:X48)</f>
        <v>580</v>
      </c>
      <c r="G48" s="17">
        <f>SUM($F$4:F48)+SUM($H$4:H48)</f>
        <v>33105</v>
      </c>
      <c r="H48" s="17">
        <v>0</v>
      </c>
      <c r="I48" s="88" t="s">
        <v>43</v>
      </c>
      <c r="J48" s="88" t="s">
        <v>43</v>
      </c>
      <c r="K48" s="88" t="s">
        <v>43</v>
      </c>
      <c r="L48" s="88" t="s">
        <v>43</v>
      </c>
      <c r="M48" s="80" t="s">
        <v>34</v>
      </c>
      <c r="N48" s="80" t="s">
        <v>34</v>
      </c>
      <c r="O48" s="72" t="s">
        <v>34</v>
      </c>
      <c r="P48" s="72" t="s">
        <v>34</v>
      </c>
      <c r="Q48" s="86" t="s">
        <v>44</v>
      </c>
      <c r="R48" s="86" t="s">
        <v>44</v>
      </c>
      <c r="S48" s="86" t="s">
        <v>44</v>
      </c>
      <c r="T48" s="86" t="s">
        <v>44</v>
      </c>
      <c r="U48" s="86" t="s">
        <v>44</v>
      </c>
      <c r="V48" s="86" t="s">
        <v>44</v>
      </c>
      <c r="W48" s="72" t="s">
        <v>34</v>
      </c>
      <c r="X48" s="72" t="s">
        <v>34</v>
      </c>
      <c r="Y48" s="80" t="s">
        <v>34</v>
      </c>
      <c r="Z48" s="80" t="s">
        <v>34</v>
      </c>
      <c r="AA48" s="80" t="s">
        <v>34</v>
      </c>
      <c r="AB48" s="80" t="s">
        <v>34</v>
      </c>
      <c r="AC48" s="80" t="s">
        <v>34</v>
      </c>
      <c r="AD48" s="80" t="s">
        <v>34</v>
      </c>
      <c r="AE48" s="72" t="s">
        <v>34</v>
      </c>
      <c r="AF48" s="72" t="s">
        <v>34</v>
      </c>
      <c r="AG48" s="56">
        <f t="shared" si="3"/>
        <v>0</v>
      </c>
      <c r="AH48" s="56"/>
      <c r="AI48" s="56"/>
      <c r="AJ48" s="56"/>
      <c r="AK48" s="78" t="s">
        <v>52</v>
      </c>
    </row>
    <row r="49" spans="1:37">
      <c r="A49" s="59">
        <v>44683</v>
      </c>
      <c r="B49" s="18">
        <v>1600</v>
      </c>
      <c r="C49" s="18"/>
      <c r="D49" s="17">
        <f>(SUM(粮草!A49:X49)+AG49*10)*IF(AK49="是",$AY$4,$AY$3)</f>
        <v>1720</v>
      </c>
      <c r="E49" s="76">
        <f>SUM($B$4:B49)+SUM($C$4:C49)-SUM($D$4:D49)</f>
        <v>12</v>
      </c>
      <c r="F49" s="17">
        <f>SUM(经验!A49:X49)</f>
        <v>635</v>
      </c>
      <c r="G49" s="17">
        <f>SUM($F$4:F49)+SUM($H$4:H49)</f>
        <v>33940</v>
      </c>
      <c r="H49" s="18">
        <v>200</v>
      </c>
      <c r="I49" s="88" t="s">
        <v>43</v>
      </c>
      <c r="J49" s="88" t="s">
        <v>43</v>
      </c>
      <c r="K49" s="88" t="s">
        <v>43</v>
      </c>
      <c r="L49" s="88" t="s">
        <v>43</v>
      </c>
      <c r="M49" s="88" t="s">
        <v>43</v>
      </c>
      <c r="N49" s="80" t="s">
        <v>34</v>
      </c>
      <c r="O49" s="72" t="s">
        <v>34</v>
      </c>
      <c r="P49" s="72" t="s">
        <v>34</v>
      </c>
      <c r="Q49" s="86" t="s">
        <v>44</v>
      </c>
      <c r="R49" s="86" t="s">
        <v>44</v>
      </c>
      <c r="S49" s="86" t="s">
        <v>44</v>
      </c>
      <c r="T49" s="86" t="s">
        <v>44</v>
      </c>
      <c r="U49" s="86" t="s">
        <v>44</v>
      </c>
      <c r="V49" s="86" t="s">
        <v>44</v>
      </c>
      <c r="W49" s="72" t="s">
        <v>34</v>
      </c>
      <c r="X49" s="72" t="s">
        <v>34</v>
      </c>
      <c r="Y49" s="80" t="s">
        <v>34</v>
      </c>
      <c r="Z49" s="80" t="s">
        <v>34</v>
      </c>
      <c r="AA49" s="80" t="s">
        <v>34</v>
      </c>
      <c r="AB49" s="80" t="s">
        <v>34</v>
      </c>
      <c r="AC49" s="80" t="s">
        <v>34</v>
      </c>
      <c r="AD49" s="80" t="s">
        <v>34</v>
      </c>
      <c r="AE49" s="72" t="s">
        <v>34</v>
      </c>
      <c r="AF49" s="72" t="s">
        <v>34</v>
      </c>
      <c r="AG49" s="56">
        <f t="shared" si="3"/>
        <v>0</v>
      </c>
      <c r="AH49" s="56"/>
      <c r="AI49" s="56"/>
      <c r="AJ49" s="56"/>
      <c r="AK49" s="78" t="s">
        <v>52</v>
      </c>
    </row>
    <row r="50" spans="1:37">
      <c r="A50" s="59">
        <v>44684</v>
      </c>
      <c r="B50" s="18">
        <v>1600</v>
      </c>
      <c r="C50" s="18"/>
      <c r="D50" s="17">
        <f>(SUM(粮草!A50:X50)+AG50*10)*IF(AK50="是",$AY$4,$AY$3)</f>
        <v>1568</v>
      </c>
      <c r="E50" s="76">
        <f>SUM($B$4:B50)+SUM($C$4:C50)-SUM($D$4:D50)</f>
        <v>44</v>
      </c>
      <c r="F50" s="17">
        <f>SUM(经验!A50:X50)</f>
        <v>580</v>
      </c>
      <c r="G50" s="17">
        <f>SUM($F$4:F50)+SUM($H$4:H50)</f>
        <v>34620</v>
      </c>
      <c r="H50" s="18">
        <v>100</v>
      </c>
      <c r="I50" s="88" t="s">
        <v>43</v>
      </c>
      <c r="J50" s="88" t="s">
        <v>43</v>
      </c>
      <c r="K50" s="88" t="s">
        <v>43</v>
      </c>
      <c r="L50" s="88" t="s">
        <v>43</v>
      </c>
      <c r="M50" s="80" t="s">
        <v>34</v>
      </c>
      <c r="N50" s="80" t="s">
        <v>34</v>
      </c>
      <c r="O50" s="72" t="s">
        <v>34</v>
      </c>
      <c r="P50" s="72" t="s">
        <v>34</v>
      </c>
      <c r="Q50" s="86" t="s">
        <v>44</v>
      </c>
      <c r="R50" s="86" t="s">
        <v>44</v>
      </c>
      <c r="S50" s="86" t="s">
        <v>44</v>
      </c>
      <c r="T50" s="86" t="s">
        <v>44</v>
      </c>
      <c r="U50" s="86" t="s">
        <v>44</v>
      </c>
      <c r="V50" s="86" t="s">
        <v>44</v>
      </c>
      <c r="W50" s="72" t="s">
        <v>34</v>
      </c>
      <c r="X50" s="72" t="s">
        <v>34</v>
      </c>
      <c r="Y50" s="80" t="s">
        <v>34</v>
      </c>
      <c r="Z50" s="80" t="s">
        <v>34</v>
      </c>
      <c r="AA50" s="80" t="s">
        <v>34</v>
      </c>
      <c r="AB50" s="80" t="s">
        <v>34</v>
      </c>
      <c r="AC50" s="80" t="s">
        <v>34</v>
      </c>
      <c r="AD50" s="80" t="s">
        <v>34</v>
      </c>
      <c r="AE50" s="72" t="s">
        <v>34</v>
      </c>
      <c r="AF50" s="72" t="s">
        <v>34</v>
      </c>
      <c r="AG50" s="56">
        <f t="shared" si="3"/>
        <v>0</v>
      </c>
      <c r="AH50" s="56"/>
      <c r="AI50" s="56"/>
      <c r="AJ50" s="56"/>
      <c r="AK50" s="78" t="s">
        <v>52</v>
      </c>
    </row>
    <row r="51" spans="1:37">
      <c r="A51" s="59">
        <v>44685</v>
      </c>
      <c r="B51" s="18">
        <v>1600</v>
      </c>
      <c r="C51" s="18"/>
      <c r="D51" s="17">
        <f>(SUM(粮草!A51:X51)+AG51*10)*IF(AK51="是",$AY$4,$AY$3)</f>
        <v>1568</v>
      </c>
      <c r="E51" s="76">
        <f>SUM($B$4:B51)+SUM($C$4:C51)-SUM($D$4:D51)</f>
        <v>76</v>
      </c>
      <c r="F51" s="17">
        <f>SUM(经验!A51:X51)</f>
        <v>580</v>
      </c>
      <c r="G51" s="17">
        <f>SUM($F$4:F51)+SUM($H$4:H51)</f>
        <v>35400</v>
      </c>
      <c r="H51" s="18">
        <v>200</v>
      </c>
      <c r="I51" s="88" t="s">
        <v>43</v>
      </c>
      <c r="J51" s="88" t="s">
        <v>43</v>
      </c>
      <c r="K51" s="88" t="s">
        <v>43</v>
      </c>
      <c r="L51" s="88" t="s">
        <v>43</v>
      </c>
      <c r="M51" s="80" t="s">
        <v>34</v>
      </c>
      <c r="N51" s="80" t="s">
        <v>34</v>
      </c>
      <c r="O51" s="72" t="s">
        <v>34</v>
      </c>
      <c r="P51" s="72" t="s">
        <v>34</v>
      </c>
      <c r="Q51" s="86" t="s">
        <v>44</v>
      </c>
      <c r="R51" s="86" t="s">
        <v>44</v>
      </c>
      <c r="S51" s="86" t="s">
        <v>44</v>
      </c>
      <c r="T51" s="86" t="s">
        <v>44</v>
      </c>
      <c r="U51" s="86" t="s">
        <v>44</v>
      </c>
      <c r="V51" s="86" t="s">
        <v>44</v>
      </c>
      <c r="W51" s="72" t="s">
        <v>34</v>
      </c>
      <c r="X51" s="72" t="s">
        <v>34</v>
      </c>
      <c r="Y51" s="80" t="s">
        <v>34</v>
      </c>
      <c r="Z51" s="80" t="s">
        <v>34</v>
      </c>
      <c r="AA51" s="80" t="s">
        <v>34</v>
      </c>
      <c r="AB51" s="80" t="s">
        <v>34</v>
      </c>
      <c r="AC51" s="80" t="s">
        <v>34</v>
      </c>
      <c r="AD51" s="80" t="s">
        <v>34</v>
      </c>
      <c r="AE51" s="72" t="s">
        <v>34</v>
      </c>
      <c r="AF51" s="72" t="s">
        <v>34</v>
      </c>
      <c r="AG51" s="56">
        <f t="shared" si="3"/>
        <v>0</v>
      </c>
      <c r="AH51" s="56"/>
      <c r="AI51" s="56"/>
      <c r="AJ51" s="56"/>
      <c r="AK51" s="78" t="s">
        <v>52</v>
      </c>
    </row>
    <row r="52" spans="1:37">
      <c r="A52" s="59">
        <v>44686</v>
      </c>
      <c r="B52" s="18">
        <v>1600</v>
      </c>
      <c r="C52" s="18"/>
      <c r="D52" s="17">
        <f>(SUM(粮草!A52:X52)+AG52*10)*IF(AK52="是",$AY$4,$AY$3)</f>
        <v>1568</v>
      </c>
      <c r="E52" s="76">
        <f>SUM($B$4:B52)+SUM($C$4:C52)-SUM($D$4:D52)</f>
        <v>108</v>
      </c>
      <c r="F52" s="17">
        <f>SUM(经验!A52:X52)</f>
        <v>580</v>
      </c>
      <c r="G52" s="17">
        <f>SUM($F$4:F52)+SUM($H$4:H52)</f>
        <v>35980</v>
      </c>
      <c r="H52" s="18">
        <v>0</v>
      </c>
      <c r="I52" s="88" t="s">
        <v>43</v>
      </c>
      <c r="J52" s="88" t="s">
        <v>43</v>
      </c>
      <c r="K52" s="88" t="s">
        <v>43</v>
      </c>
      <c r="L52" s="88" t="s">
        <v>43</v>
      </c>
      <c r="M52" s="80" t="s">
        <v>34</v>
      </c>
      <c r="N52" s="80" t="s">
        <v>34</v>
      </c>
      <c r="O52" s="72" t="s">
        <v>34</v>
      </c>
      <c r="P52" s="72" t="s">
        <v>34</v>
      </c>
      <c r="Q52" s="86" t="s">
        <v>44</v>
      </c>
      <c r="R52" s="86" t="s">
        <v>44</v>
      </c>
      <c r="S52" s="86" t="s">
        <v>44</v>
      </c>
      <c r="T52" s="86" t="s">
        <v>44</v>
      </c>
      <c r="U52" s="86" t="s">
        <v>44</v>
      </c>
      <c r="V52" s="86" t="s">
        <v>44</v>
      </c>
      <c r="W52" s="72" t="s">
        <v>34</v>
      </c>
      <c r="X52" s="72" t="s">
        <v>34</v>
      </c>
      <c r="Y52" s="80" t="s">
        <v>34</v>
      </c>
      <c r="Z52" s="80" t="s">
        <v>34</v>
      </c>
      <c r="AA52" s="80" t="s">
        <v>34</v>
      </c>
      <c r="AB52" s="80" t="s">
        <v>34</v>
      </c>
      <c r="AC52" s="80" t="s">
        <v>34</v>
      </c>
      <c r="AD52" s="80" t="s">
        <v>34</v>
      </c>
      <c r="AE52" s="72" t="s">
        <v>34</v>
      </c>
      <c r="AF52" s="72" t="s">
        <v>34</v>
      </c>
      <c r="AG52" s="56">
        <f t="shared" si="3"/>
        <v>0</v>
      </c>
      <c r="AH52" s="56"/>
      <c r="AI52" s="56"/>
      <c r="AJ52" s="56"/>
      <c r="AK52" s="78" t="s">
        <v>52</v>
      </c>
    </row>
    <row r="53" spans="1:37">
      <c r="A53" s="59">
        <v>44687</v>
      </c>
      <c r="B53" s="18">
        <v>1600</v>
      </c>
      <c r="C53" s="18"/>
      <c r="D53" s="17">
        <f>(SUM(粮草!A53:X53)+AG53*10)*IF(AK53="是",$AY$4,$AY$3)</f>
        <v>1600</v>
      </c>
      <c r="E53" s="76">
        <f>SUM($B$4:B53)+SUM($C$4:C53)-SUM($D$4:D53)</f>
        <v>108</v>
      </c>
      <c r="F53" s="17">
        <f>SUM(经验!A53:X53)</f>
        <v>665</v>
      </c>
      <c r="G53" s="17">
        <f>SUM($F$4:F53)+SUM($H$4:H53)</f>
        <v>36645</v>
      </c>
      <c r="H53" s="18">
        <v>0</v>
      </c>
      <c r="I53" s="88" t="s">
        <v>43</v>
      </c>
      <c r="J53" s="20" t="s">
        <v>39</v>
      </c>
      <c r="K53" s="88" t="s">
        <v>43</v>
      </c>
      <c r="L53" s="88" t="s">
        <v>43</v>
      </c>
      <c r="M53" s="88" t="s">
        <v>43</v>
      </c>
      <c r="N53" s="83" t="s">
        <v>59</v>
      </c>
      <c r="O53" s="88" t="s">
        <v>43</v>
      </c>
      <c r="P53" s="72" t="s">
        <v>34</v>
      </c>
      <c r="Q53" s="86" t="s">
        <v>44</v>
      </c>
      <c r="R53" s="86" t="s">
        <v>44</v>
      </c>
      <c r="S53" s="86" t="s">
        <v>44</v>
      </c>
      <c r="T53" s="86" t="s">
        <v>44</v>
      </c>
      <c r="U53" s="86" t="s">
        <v>44</v>
      </c>
      <c r="V53" s="86" t="s">
        <v>44</v>
      </c>
      <c r="W53" s="72" t="s">
        <v>34</v>
      </c>
      <c r="X53" s="72" t="s">
        <v>34</v>
      </c>
      <c r="Y53" s="80" t="s">
        <v>34</v>
      </c>
      <c r="Z53" s="80" t="s">
        <v>34</v>
      </c>
      <c r="AA53" s="80" t="s">
        <v>34</v>
      </c>
      <c r="AB53" s="80" t="s">
        <v>34</v>
      </c>
      <c r="AC53" s="80" t="s">
        <v>34</v>
      </c>
      <c r="AD53" s="80" t="s">
        <v>34</v>
      </c>
      <c r="AE53" s="72" t="s">
        <v>34</v>
      </c>
      <c r="AF53" s="72" t="s">
        <v>34</v>
      </c>
      <c r="AG53" s="56">
        <f t="shared" si="3"/>
        <v>0</v>
      </c>
      <c r="AH53" s="56"/>
      <c r="AI53" s="56"/>
      <c r="AJ53" s="56"/>
      <c r="AK53" s="78" t="s">
        <v>52</v>
      </c>
    </row>
    <row r="54" spans="1:37">
      <c r="A54" s="59">
        <v>44688</v>
      </c>
      <c r="B54" s="18">
        <v>1600</v>
      </c>
      <c r="C54" s="18"/>
      <c r="D54" s="17">
        <f>(SUM(粮草!A54:X54)+AG54*10)*IF(AK54="是",$AY$4,$AY$3)</f>
        <v>1608</v>
      </c>
      <c r="E54" s="76">
        <f>SUM($B$4:B54)+SUM($C$4:C54)-SUM($D$4:D54)</f>
        <v>100</v>
      </c>
      <c r="F54" s="17">
        <f>SUM(经验!A54:X54)</f>
        <v>1580</v>
      </c>
      <c r="G54" s="17">
        <f>SUM($F$4:F54)+SUM($H$4:H54)</f>
        <v>38225</v>
      </c>
      <c r="H54" s="18">
        <v>0</v>
      </c>
      <c r="I54" s="88" t="s">
        <v>43</v>
      </c>
      <c r="J54" s="88" t="s">
        <v>43</v>
      </c>
      <c r="K54" s="88" t="s">
        <v>43</v>
      </c>
      <c r="L54" s="88" t="s">
        <v>43</v>
      </c>
      <c r="M54" s="80" t="s">
        <v>34</v>
      </c>
      <c r="N54" s="80" t="s">
        <v>34</v>
      </c>
      <c r="O54" s="72" t="s">
        <v>34</v>
      </c>
      <c r="P54" s="72" t="s">
        <v>34</v>
      </c>
      <c r="Q54" s="86" t="s">
        <v>44</v>
      </c>
      <c r="R54" s="86" t="s">
        <v>44</v>
      </c>
      <c r="S54" s="86" t="s">
        <v>44</v>
      </c>
      <c r="T54" s="83" t="s">
        <v>59</v>
      </c>
      <c r="U54" s="86" t="s">
        <v>44</v>
      </c>
      <c r="V54" s="87" t="s">
        <v>54</v>
      </c>
      <c r="W54" s="86" t="s">
        <v>44</v>
      </c>
      <c r="X54" s="86" t="s">
        <v>44</v>
      </c>
      <c r="Y54" s="80" t="s">
        <v>34</v>
      </c>
      <c r="Z54" s="80" t="s">
        <v>34</v>
      </c>
      <c r="AA54" s="80" t="s">
        <v>34</v>
      </c>
      <c r="AB54" s="80" t="s">
        <v>34</v>
      </c>
      <c r="AC54" s="80" t="s">
        <v>34</v>
      </c>
      <c r="AD54" s="80" t="s">
        <v>34</v>
      </c>
      <c r="AE54" s="72" t="s">
        <v>34</v>
      </c>
      <c r="AF54" s="72" t="s">
        <v>34</v>
      </c>
      <c r="AG54" s="56">
        <f t="shared" si="3"/>
        <v>0</v>
      </c>
      <c r="AH54" s="56"/>
      <c r="AI54" s="56"/>
      <c r="AJ54" s="56"/>
      <c r="AK54" s="78" t="s">
        <v>52</v>
      </c>
    </row>
    <row r="55" spans="1:37">
      <c r="A55" s="59">
        <v>44689</v>
      </c>
      <c r="B55" s="18">
        <v>1600</v>
      </c>
      <c r="C55" s="18"/>
      <c r="D55" s="17">
        <f>(SUM(粮草!A55:X55)+AG55*10)*IF(AK55="是",$AY$4,$AY$3)</f>
        <v>1568</v>
      </c>
      <c r="E55" s="76">
        <f>SUM($B$4:B55)+SUM($C$4:C55)-SUM($D$4:D55)</f>
        <v>132</v>
      </c>
      <c r="F55" s="17">
        <f>SUM(经验!A55:X55)</f>
        <v>580</v>
      </c>
      <c r="G55" s="17">
        <f>SUM($F$4:F55)+SUM($H$4:H55)</f>
        <v>38805</v>
      </c>
      <c r="H55" s="18">
        <v>0</v>
      </c>
      <c r="I55" s="88" t="s">
        <v>43</v>
      </c>
      <c r="J55" s="88" t="s">
        <v>43</v>
      </c>
      <c r="K55" s="88" t="s">
        <v>43</v>
      </c>
      <c r="L55" s="88" t="s">
        <v>43</v>
      </c>
      <c r="M55" s="80" t="s">
        <v>34</v>
      </c>
      <c r="N55" s="80" t="s">
        <v>34</v>
      </c>
      <c r="O55" s="72" t="s">
        <v>34</v>
      </c>
      <c r="P55" s="72" t="s">
        <v>34</v>
      </c>
      <c r="Q55" s="86" t="s">
        <v>44</v>
      </c>
      <c r="R55" s="86" t="s">
        <v>44</v>
      </c>
      <c r="S55" s="86" t="s">
        <v>44</v>
      </c>
      <c r="T55" s="86" t="s">
        <v>44</v>
      </c>
      <c r="U55" s="86" t="s">
        <v>44</v>
      </c>
      <c r="V55" s="86" t="s">
        <v>44</v>
      </c>
      <c r="W55" s="72" t="s">
        <v>34</v>
      </c>
      <c r="X55" s="72" t="s">
        <v>34</v>
      </c>
      <c r="Y55" s="80" t="s">
        <v>34</v>
      </c>
      <c r="Z55" s="80" t="s">
        <v>34</v>
      </c>
      <c r="AA55" s="80" t="s">
        <v>34</v>
      </c>
      <c r="AB55" s="80" t="s">
        <v>34</v>
      </c>
      <c r="AC55" s="80" t="s">
        <v>34</v>
      </c>
      <c r="AD55" s="80" t="s">
        <v>34</v>
      </c>
      <c r="AE55" s="72" t="s">
        <v>34</v>
      </c>
      <c r="AF55" s="72" t="s">
        <v>34</v>
      </c>
      <c r="AG55" s="56">
        <f t="shared" si="3"/>
        <v>0</v>
      </c>
      <c r="AH55" s="56"/>
      <c r="AI55" s="56"/>
      <c r="AJ55" s="56"/>
      <c r="AK55" s="78" t="s">
        <v>52</v>
      </c>
    </row>
    <row r="56" spans="1:37">
      <c r="A56" s="59">
        <v>44690</v>
      </c>
      <c r="B56" s="17">
        <v>1600</v>
      </c>
      <c r="C56" s="17"/>
      <c r="D56" s="17">
        <f>(SUM(粮草!A56:X56)+AG56*10)*IF(AK56="是",$AY$4,$AY$3)</f>
        <v>1720</v>
      </c>
      <c r="E56" s="76">
        <f>SUM($B$4:B56)+SUM($C$4:C56)-SUM($D$4:D56)</f>
        <v>12</v>
      </c>
      <c r="F56" s="17">
        <f>SUM(经验!A56:X56)</f>
        <v>635</v>
      </c>
      <c r="G56" s="17">
        <f>SUM($F$4:F56)+SUM($H$4:H56)</f>
        <v>39740</v>
      </c>
      <c r="H56" s="17">
        <v>300</v>
      </c>
      <c r="I56" s="88" t="s">
        <v>43</v>
      </c>
      <c r="J56" s="88" t="s">
        <v>43</v>
      </c>
      <c r="K56" s="88" t="s">
        <v>43</v>
      </c>
      <c r="L56" s="88" t="s">
        <v>43</v>
      </c>
      <c r="M56" s="88" t="s">
        <v>43</v>
      </c>
      <c r="N56" s="80" t="s">
        <v>34</v>
      </c>
      <c r="O56" s="72" t="s">
        <v>34</v>
      </c>
      <c r="P56" s="72" t="s">
        <v>34</v>
      </c>
      <c r="Q56" s="86" t="s">
        <v>44</v>
      </c>
      <c r="R56" s="86" t="s">
        <v>44</v>
      </c>
      <c r="S56" s="86" t="s">
        <v>44</v>
      </c>
      <c r="T56" s="86" t="s">
        <v>44</v>
      </c>
      <c r="U56" s="86" t="s">
        <v>44</v>
      </c>
      <c r="V56" s="86" t="s">
        <v>44</v>
      </c>
      <c r="W56" s="72" t="s">
        <v>34</v>
      </c>
      <c r="X56" s="72" t="s">
        <v>34</v>
      </c>
      <c r="Y56" s="80" t="s">
        <v>34</v>
      </c>
      <c r="Z56" s="80" t="s">
        <v>34</v>
      </c>
      <c r="AA56" s="80" t="s">
        <v>34</v>
      </c>
      <c r="AB56" s="80" t="s">
        <v>34</v>
      </c>
      <c r="AC56" s="80" t="s">
        <v>34</v>
      </c>
      <c r="AD56" s="80" t="s">
        <v>34</v>
      </c>
      <c r="AE56" s="72" t="s">
        <v>34</v>
      </c>
      <c r="AF56" s="72" t="s">
        <v>34</v>
      </c>
      <c r="AG56" s="56">
        <f t="shared" si="3"/>
        <v>0</v>
      </c>
      <c r="AH56" s="56"/>
      <c r="AI56" s="56"/>
      <c r="AJ56" s="56"/>
      <c r="AK56" s="78" t="s">
        <v>52</v>
      </c>
    </row>
    <row r="57" spans="1:37">
      <c r="A57" s="59">
        <v>44691</v>
      </c>
      <c r="B57" s="17">
        <v>1600</v>
      </c>
      <c r="C57" s="17"/>
      <c r="D57" s="17">
        <f>(SUM(粮草!A57:X57)+AG57*10)*IF(AK57="是",$AY$4,$AY$3)</f>
        <v>1568</v>
      </c>
      <c r="E57" s="76">
        <f>SUM($B$4:B57)+SUM($C$4:C57)-SUM($D$4:D57)</f>
        <v>44</v>
      </c>
      <c r="F57" s="17">
        <f>SUM(经验!A57:X57)</f>
        <v>580</v>
      </c>
      <c r="G57" s="17">
        <f>SUM($F$4:F57)+SUM($H$4:H57)</f>
        <v>40320</v>
      </c>
      <c r="H57" s="17">
        <v>0</v>
      </c>
      <c r="I57" s="88" t="s">
        <v>43</v>
      </c>
      <c r="J57" s="88" t="s">
        <v>43</v>
      </c>
      <c r="K57" s="88" t="s">
        <v>43</v>
      </c>
      <c r="L57" s="88" t="s">
        <v>43</v>
      </c>
      <c r="M57" s="80" t="s">
        <v>34</v>
      </c>
      <c r="N57" s="80" t="s">
        <v>34</v>
      </c>
      <c r="O57" s="72" t="s">
        <v>34</v>
      </c>
      <c r="P57" s="72" t="s">
        <v>34</v>
      </c>
      <c r="Q57" s="86" t="s">
        <v>44</v>
      </c>
      <c r="R57" s="86" t="s">
        <v>44</v>
      </c>
      <c r="S57" s="86" t="s">
        <v>44</v>
      </c>
      <c r="T57" s="86" t="s">
        <v>44</v>
      </c>
      <c r="U57" s="86" t="s">
        <v>44</v>
      </c>
      <c r="V57" s="86" t="s">
        <v>44</v>
      </c>
      <c r="W57" s="72" t="s">
        <v>34</v>
      </c>
      <c r="X57" s="72" t="s">
        <v>34</v>
      </c>
      <c r="Y57" s="80" t="s">
        <v>34</v>
      </c>
      <c r="Z57" s="80" t="s">
        <v>34</v>
      </c>
      <c r="AA57" s="80" t="s">
        <v>34</v>
      </c>
      <c r="AB57" s="80" t="s">
        <v>34</v>
      </c>
      <c r="AC57" s="80" t="s">
        <v>34</v>
      </c>
      <c r="AD57" s="80" t="s">
        <v>34</v>
      </c>
      <c r="AE57" s="72" t="s">
        <v>34</v>
      </c>
      <c r="AF57" s="72" t="s">
        <v>34</v>
      </c>
      <c r="AG57" s="56">
        <f t="shared" si="3"/>
        <v>0</v>
      </c>
      <c r="AH57" s="56"/>
      <c r="AI57" s="56"/>
      <c r="AJ57" s="56"/>
      <c r="AK57" s="78" t="s">
        <v>52</v>
      </c>
    </row>
    <row r="58" spans="1:37">
      <c r="A58" s="59">
        <v>44692</v>
      </c>
      <c r="B58" s="17">
        <v>1600</v>
      </c>
      <c r="C58" s="17"/>
      <c r="D58" s="17">
        <f>(SUM(粮草!A58:X58)+AG58*10)*IF(AK58="是",$AY$4,$AY$3)</f>
        <v>1568</v>
      </c>
      <c r="E58" s="76">
        <f>SUM($B$4:B58)+SUM($C$4:C58)-SUM($D$4:D58)</f>
        <v>76</v>
      </c>
      <c r="F58" s="17">
        <f>SUM(经验!A58:X58)</f>
        <v>580</v>
      </c>
      <c r="G58" s="17">
        <f>SUM($F$4:F58)+SUM($H$4:H58)</f>
        <v>41100</v>
      </c>
      <c r="H58" s="17">
        <v>200</v>
      </c>
      <c r="I58" s="88" t="s">
        <v>43</v>
      </c>
      <c r="J58" s="88" t="s">
        <v>43</v>
      </c>
      <c r="K58" s="88" t="s">
        <v>43</v>
      </c>
      <c r="L58" s="88" t="s">
        <v>43</v>
      </c>
      <c r="M58" s="80" t="s">
        <v>34</v>
      </c>
      <c r="N58" s="80" t="s">
        <v>34</v>
      </c>
      <c r="O58" s="72" t="s">
        <v>34</v>
      </c>
      <c r="P58" s="72" t="s">
        <v>34</v>
      </c>
      <c r="Q58" s="86" t="s">
        <v>44</v>
      </c>
      <c r="R58" s="86" t="s">
        <v>44</v>
      </c>
      <c r="S58" s="86" t="s">
        <v>44</v>
      </c>
      <c r="T58" s="86" t="s">
        <v>44</v>
      </c>
      <c r="U58" s="86" t="s">
        <v>44</v>
      </c>
      <c r="V58" s="86" t="s">
        <v>44</v>
      </c>
      <c r="W58" s="72" t="s">
        <v>34</v>
      </c>
      <c r="X58" s="72" t="s">
        <v>34</v>
      </c>
      <c r="Y58" s="80" t="s">
        <v>34</v>
      </c>
      <c r="Z58" s="80" t="s">
        <v>34</v>
      </c>
      <c r="AA58" s="80" t="s">
        <v>34</v>
      </c>
      <c r="AB58" s="80" t="s">
        <v>34</v>
      </c>
      <c r="AC58" s="80" t="s">
        <v>34</v>
      </c>
      <c r="AD58" s="80" t="s">
        <v>34</v>
      </c>
      <c r="AE58" s="72" t="s">
        <v>34</v>
      </c>
      <c r="AF58" s="72" t="s">
        <v>34</v>
      </c>
      <c r="AG58" s="56">
        <f t="shared" si="3"/>
        <v>0</v>
      </c>
      <c r="AH58" s="56"/>
      <c r="AI58" s="56"/>
      <c r="AJ58" s="56"/>
      <c r="AK58" s="78" t="s">
        <v>52</v>
      </c>
    </row>
    <row r="59" spans="1:37">
      <c r="A59" s="59">
        <v>44693</v>
      </c>
      <c r="B59" s="17">
        <v>1600</v>
      </c>
      <c r="C59" s="17"/>
      <c r="D59" s="17">
        <f>(SUM(粮草!A59:X59)+AG59*10)*IF(AK59="是",$AY$4,$AY$3)</f>
        <v>1568</v>
      </c>
      <c r="E59" s="76">
        <f>SUM($B$4:B59)+SUM($C$4:C59)-SUM($D$4:D59)</f>
        <v>108</v>
      </c>
      <c r="F59" s="17">
        <f>SUM(经验!A59:X59)</f>
        <v>580</v>
      </c>
      <c r="G59" s="17">
        <f>SUM($F$4:F59)+SUM($H$4:H59)</f>
        <v>41680</v>
      </c>
      <c r="H59" s="17">
        <v>0</v>
      </c>
      <c r="I59" s="88" t="s">
        <v>43</v>
      </c>
      <c r="J59" s="88" t="s">
        <v>43</v>
      </c>
      <c r="K59" s="88" t="s">
        <v>43</v>
      </c>
      <c r="L59" s="88" t="s">
        <v>43</v>
      </c>
      <c r="M59" s="80" t="s">
        <v>34</v>
      </c>
      <c r="N59" s="80" t="s">
        <v>34</v>
      </c>
      <c r="O59" s="72" t="s">
        <v>34</v>
      </c>
      <c r="P59" s="72" t="s">
        <v>34</v>
      </c>
      <c r="Q59" s="86" t="s">
        <v>44</v>
      </c>
      <c r="R59" s="86" t="s">
        <v>44</v>
      </c>
      <c r="S59" s="86" t="s">
        <v>44</v>
      </c>
      <c r="T59" s="86" t="s">
        <v>44</v>
      </c>
      <c r="U59" s="86" t="s">
        <v>44</v>
      </c>
      <c r="V59" s="86" t="s">
        <v>44</v>
      </c>
      <c r="W59" s="72" t="s">
        <v>34</v>
      </c>
      <c r="X59" s="72" t="s">
        <v>34</v>
      </c>
      <c r="Y59" s="80" t="s">
        <v>34</v>
      </c>
      <c r="Z59" s="80" t="s">
        <v>34</v>
      </c>
      <c r="AA59" s="80" t="s">
        <v>34</v>
      </c>
      <c r="AB59" s="80" t="s">
        <v>34</v>
      </c>
      <c r="AC59" s="80" t="s">
        <v>34</v>
      </c>
      <c r="AD59" s="80" t="s">
        <v>34</v>
      </c>
      <c r="AE59" s="72" t="s">
        <v>34</v>
      </c>
      <c r="AF59" s="72" t="s">
        <v>34</v>
      </c>
      <c r="AG59" s="56">
        <f t="shared" si="3"/>
        <v>0</v>
      </c>
      <c r="AH59" s="56"/>
      <c r="AI59" s="56"/>
      <c r="AJ59" s="56"/>
      <c r="AK59" s="78" t="s">
        <v>52</v>
      </c>
    </row>
    <row r="60" spans="1:37">
      <c r="A60" s="59">
        <v>44694</v>
      </c>
      <c r="B60" s="17">
        <v>1600</v>
      </c>
      <c r="C60" s="17"/>
      <c r="D60" s="17">
        <f>(SUM(粮草!A60:X60)+AG60*10)*IF(AK60="是",$AY$4,$AY$3)</f>
        <v>1568</v>
      </c>
      <c r="E60" s="76">
        <f>SUM($B$4:B60)+SUM($C$4:C60)-SUM($D$4:D60)</f>
        <v>140</v>
      </c>
      <c r="F60" s="17">
        <f>SUM(经验!A60:X60)</f>
        <v>580</v>
      </c>
      <c r="G60" s="17">
        <f>SUM($F$4:F60)+SUM($H$4:H60)</f>
        <v>42260</v>
      </c>
      <c r="H60" s="17">
        <v>0</v>
      </c>
      <c r="I60" s="88" t="s">
        <v>43</v>
      </c>
      <c r="J60" s="88" t="s">
        <v>43</v>
      </c>
      <c r="K60" s="88" t="s">
        <v>43</v>
      </c>
      <c r="L60" s="88" t="s">
        <v>43</v>
      </c>
      <c r="M60" s="80" t="s">
        <v>34</v>
      </c>
      <c r="N60" s="80" t="s">
        <v>34</v>
      </c>
      <c r="O60" s="72" t="s">
        <v>34</v>
      </c>
      <c r="P60" s="72" t="s">
        <v>34</v>
      </c>
      <c r="Q60" s="86" t="s">
        <v>44</v>
      </c>
      <c r="R60" s="86" t="s">
        <v>44</v>
      </c>
      <c r="S60" s="86" t="s">
        <v>44</v>
      </c>
      <c r="T60" s="86" t="s">
        <v>44</v>
      </c>
      <c r="U60" s="86" t="s">
        <v>44</v>
      </c>
      <c r="V60" s="86" t="s">
        <v>44</v>
      </c>
      <c r="W60" s="72" t="s">
        <v>34</v>
      </c>
      <c r="X60" s="72" t="s">
        <v>34</v>
      </c>
      <c r="Y60" s="80" t="s">
        <v>34</v>
      </c>
      <c r="Z60" s="80" t="s">
        <v>34</v>
      </c>
      <c r="AA60" s="80" t="s">
        <v>34</v>
      </c>
      <c r="AB60" s="80" t="s">
        <v>34</v>
      </c>
      <c r="AC60" s="80" t="s">
        <v>34</v>
      </c>
      <c r="AD60" s="80" t="s">
        <v>34</v>
      </c>
      <c r="AE60" s="72" t="s">
        <v>34</v>
      </c>
      <c r="AF60" s="72" t="s">
        <v>34</v>
      </c>
      <c r="AG60" s="56">
        <f t="shared" si="3"/>
        <v>0</v>
      </c>
      <c r="AH60" s="56"/>
      <c r="AI60" s="56"/>
      <c r="AJ60" s="56"/>
      <c r="AK60" s="78" t="s">
        <v>52</v>
      </c>
    </row>
    <row r="61" spans="1:37">
      <c r="A61" s="59">
        <v>44695</v>
      </c>
      <c r="B61" s="17">
        <v>1600</v>
      </c>
      <c r="C61" s="17"/>
      <c r="D61" s="17">
        <f>(SUM(粮草!A61:X61)+AG61*10)*IF(AK61="是",$AY$4,$AY$3)</f>
        <v>1688</v>
      </c>
      <c r="E61" s="76">
        <f>SUM($B$4:B61)+SUM($C$4:C61)-SUM($D$4:D61)</f>
        <v>52</v>
      </c>
      <c r="F61" s="17">
        <f>SUM(经验!A61:X61)</f>
        <v>635</v>
      </c>
      <c r="G61" s="17">
        <f>SUM($F$4:F61)+SUM($H$4:H61)</f>
        <v>42895</v>
      </c>
      <c r="H61" s="17">
        <v>0</v>
      </c>
      <c r="I61" s="88" t="s">
        <v>43</v>
      </c>
      <c r="J61" s="88" t="s">
        <v>43</v>
      </c>
      <c r="K61" s="88" t="s">
        <v>43</v>
      </c>
      <c r="L61" s="88" t="s">
        <v>43</v>
      </c>
      <c r="M61" s="131" t="s">
        <v>49</v>
      </c>
      <c r="N61" s="80" t="s">
        <v>34</v>
      </c>
      <c r="O61" s="72" t="s">
        <v>34</v>
      </c>
      <c r="P61" s="72" t="s">
        <v>34</v>
      </c>
      <c r="Q61" s="86" t="s">
        <v>44</v>
      </c>
      <c r="R61" s="86" t="s">
        <v>44</v>
      </c>
      <c r="S61" s="86" t="s">
        <v>44</v>
      </c>
      <c r="T61" s="86" t="s">
        <v>44</v>
      </c>
      <c r="U61" s="86" t="s">
        <v>44</v>
      </c>
      <c r="V61" s="86" t="s">
        <v>44</v>
      </c>
      <c r="W61" s="72" t="s">
        <v>34</v>
      </c>
      <c r="X61" s="72" t="s">
        <v>34</v>
      </c>
      <c r="Y61" s="80" t="s">
        <v>34</v>
      </c>
      <c r="Z61" s="80" t="s">
        <v>34</v>
      </c>
      <c r="AA61" s="80" t="s">
        <v>34</v>
      </c>
      <c r="AB61" s="80" t="s">
        <v>34</v>
      </c>
      <c r="AC61" s="80" t="s">
        <v>34</v>
      </c>
      <c r="AD61" s="80" t="s">
        <v>34</v>
      </c>
      <c r="AE61" s="72" t="s">
        <v>34</v>
      </c>
      <c r="AF61" s="72" t="s">
        <v>34</v>
      </c>
      <c r="AG61" s="56">
        <f t="shared" si="3"/>
        <v>0</v>
      </c>
      <c r="AH61" s="56"/>
      <c r="AI61" s="56"/>
      <c r="AJ61" s="56"/>
      <c r="AK61" s="78" t="s">
        <v>52</v>
      </c>
    </row>
    <row r="62" spans="1:37">
      <c r="A62" s="59">
        <v>44696</v>
      </c>
      <c r="B62" s="17">
        <v>1600</v>
      </c>
      <c r="C62" s="17"/>
      <c r="D62" s="17">
        <f>(SUM(粮草!A62:X62)+AG62*10)*IF(AK62="是",$AY$4,$AY$3)</f>
        <v>1568</v>
      </c>
      <c r="E62" s="76">
        <f>SUM($B$4:B62)+SUM($C$4:C62)-SUM($D$4:D62)</f>
        <v>84</v>
      </c>
      <c r="F62" s="17">
        <f>SUM(经验!A62:X62)</f>
        <v>580</v>
      </c>
      <c r="G62" s="17">
        <f>SUM($F$4:F62)+SUM($H$4:H62)</f>
        <v>43475</v>
      </c>
      <c r="H62" s="17">
        <v>0</v>
      </c>
      <c r="I62" s="88" t="s">
        <v>43</v>
      </c>
      <c r="J62" s="88" t="s">
        <v>43</v>
      </c>
      <c r="K62" s="88" t="s">
        <v>43</v>
      </c>
      <c r="L62" s="88" t="s">
        <v>43</v>
      </c>
      <c r="M62" s="80" t="s">
        <v>34</v>
      </c>
      <c r="N62" s="80" t="s">
        <v>34</v>
      </c>
      <c r="O62" s="72" t="s">
        <v>34</v>
      </c>
      <c r="P62" s="72" t="s">
        <v>34</v>
      </c>
      <c r="Q62" s="86" t="s">
        <v>44</v>
      </c>
      <c r="R62" s="86" t="s">
        <v>44</v>
      </c>
      <c r="S62" s="86" t="s">
        <v>44</v>
      </c>
      <c r="T62" s="86" t="s">
        <v>44</v>
      </c>
      <c r="U62" s="86" t="s">
        <v>44</v>
      </c>
      <c r="V62" s="86" t="s">
        <v>44</v>
      </c>
      <c r="W62" s="72" t="s">
        <v>34</v>
      </c>
      <c r="X62" s="72" t="s">
        <v>34</v>
      </c>
      <c r="Y62" s="80" t="s">
        <v>34</v>
      </c>
      <c r="Z62" s="80" t="s">
        <v>34</v>
      </c>
      <c r="AA62" s="80" t="s">
        <v>34</v>
      </c>
      <c r="AB62" s="80" t="s">
        <v>34</v>
      </c>
      <c r="AC62" s="80" t="s">
        <v>34</v>
      </c>
      <c r="AD62" s="80" t="s">
        <v>34</v>
      </c>
      <c r="AE62" s="72" t="s">
        <v>34</v>
      </c>
      <c r="AF62" s="72" t="s">
        <v>34</v>
      </c>
      <c r="AG62" s="56">
        <f t="shared" si="3"/>
        <v>0</v>
      </c>
      <c r="AH62" s="56"/>
      <c r="AI62" s="56"/>
      <c r="AJ62" s="56"/>
      <c r="AK62" s="78" t="s">
        <v>52</v>
      </c>
    </row>
    <row r="63" spans="1:37">
      <c r="A63" s="59">
        <v>44697</v>
      </c>
      <c r="B63" s="18">
        <v>1600</v>
      </c>
      <c r="C63" s="18"/>
      <c r="D63" s="17">
        <f>(SUM(粮草!A63:X63)+AG63*10)*IF(AK63="是",$AY$4,$AY$3)</f>
        <v>1560</v>
      </c>
      <c r="E63" s="76">
        <f>SUM($B$4:B63)+SUM($C$4:C63)-SUM($D$4:D63)</f>
        <v>124</v>
      </c>
      <c r="F63" s="17">
        <f>SUM(经验!A63:X63)</f>
        <v>575</v>
      </c>
      <c r="G63" s="17">
        <f>SUM($F$4:F63)+SUM($H$4:H63)</f>
        <v>44350</v>
      </c>
      <c r="H63" s="18">
        <v>300</v>
      </c>
      <c r="I63" s="88" t="s">
        <v>43</v>
      </c>
      <c r="J63" s="88" t="s">
        <v>43</v>
      </c>
      <c r="K63" s="88" t="s">
        <v>43</v>
      </c>
      <c r="L63" s="79" t="s">
        <v>42</v>
      </c>
      <c r="M63" s="80" t="s">
        <v>34</v>
      </c>
      <c r="N63" s="80" t="s">
        <v>34</v>
      </c>
      <c r="O63" s="72" t="s">
        <v>34</v>
      </c>
      <c r="P63" s="72" t="s">
        <v>34</v>
      </c>
      <c r="Q63" s="86" t="s">
        <v>44</v>
      </c>
      <c r="R63" s="86" t="s">
        <v>44</v>
      </c>
      <c r="S63" s="86" t="s">
        <v>44</v>
      </c>
      <c r="T63" s="86" t="s">
        <v>44</v>
      </c>
      <c r="U63" s="86" t="s">
        <v>44</v>
      </c>
      <c r="V63" s="86" t="s">
        <v>44</v>
      </c>
      <c r="W63" s="72" t="s">
        <v>34</v>
      </c>
      <c r="X63" s="72" t="s">
        <v>34</v>
      </c>
      <c r="Y63" s="80" t="s">
        <v>34</v>
      </c>
      <c r="Z63" s="80" t="s">
        <v>34</v>
      </c>
      <c r="AA63" s="80" t="s">
        <v>34</v>
      </c>
      <c r="AB63" s="80" t="s">
        <v>34</v>
      </c>
      <c r="AC63" s="80" t="s">
        <v>34</v>
      </c>
      <c r="AD63" s="80" t="s">
        <v>34</v>
      </c>
      <c r="AE63" s="72" t="s">
        <v>34</v>
      </c>
      <c r="AF63" s="72" t="s">
        <v>34</v>
      </c>
      <c r="AG63" s="56">
        <f t="shared" si="3"/>
        <v>0</v>
      </c>
      <c r="AH63" s="56"/>
      <c r="AI63" s="56"/>
      <c r="AJ63" s="56"/>
      <c r="AK63" s="78" t="s">
        <v>52</v>
      </c>
    </row>
    <row r="64" spans="1:37">
      <c r="A64" s="59">
        <v>44698</v>
      </c>
      <c r="B64" s="18">
        <v>1600</v>
      </c>
      <c r="C64" s="18"/>
      <c r="D64" s="17">
        <f>(SUM(粮草!A64:X64)+AG64*10)*IF(AK64="是",$AY$4,$AY$3)</f>
        <v>1616</v>
      </c>
      <c r="E64" s="76">
        <f>SUM($B$4:B64)+SUM($C$4:C64)-SUM($D$4:D64)</f>
        <v>108</v>
      </c>
      <c r="F64" s="17">
        <f>SUM(经验!A64:X64)</f>
        <v>630</v>
      </c>
      <c r="G64" s="17">
        <f>SUM($F$4:F64)+SUM($H$4:H64)</f>
        <v>44980</v>
      </c>
      <c r="H64" s="18">
        <v>0</v>
      </c>
      <c r="I64" s="79" t="s">
        <v>42</v>
      </c>
      <c r="J64" s="83" t="s">
        <v>59</v>
      </c>
      <c r="K64" s="79" t="s">
        <v>42</v>
      </c>
      <c r="L64" s="79" t="s">
        <v>42</v>
      </c>
      <c r="M64" s="79" t="s">
        <v>42</v>
      </c>
      <c r="N64" s="79" t="s">
        <v>42</v>
      </c>
      <c r="O64" s="79" t="s">
        <v>42</v>
      </c>
      <c r="P64" s="72" t="s">
        <v>34</v>
      </c>
      <c r="Q64" s="88" t="s">
        <v>43</v>
      </c>
      <c r="R64" s="88" t="s">
        <v>43</v>
      </c>
      <c r="S64" s="88" t="s">
        <v>43</v>
      </c>
      <c r="T64" s="88" t="s">
        <v>43</v>
      </c>
      <c r="U64" s="88" t="s">
        <v>43</v>
      </c>
      <c r="V64" s="88" t="s">
        <v>43</v>
      </c>
      <c r="W64" s="72" t="s">
        <v>34</v>
      </c>
      <c r="X64" s="72" t="s">
        <v>34</v>
      </c>
      <c r="Y64" s="80" t="s">
        <v>34</v>
      </c>
      <c r="Z64" s="80" t="s">
        <v>34</v>
      </c>
      <c r="AA64" s="80" t="s">
        <v>34</v>
      </c>
      <c r="AB64" s="80" t="s">
        <v>34</v>
      </c>
      <c r="AC64" s="80" t="s">
        <v>34</v>
      </c>
      <c r="AD64" s="80" t="s">
        <v>34</v>
      </c>
      <c r="AE64" s="72" t="s">
        <v>34</v>
      </c>
      <c r="AF64" s="72" t="s">
        <v>34</v>
      </c>
      <c r="AG64" s="56">
        <f t="shared" si="3"/>
        <v>0</v>
      </c>
      <c r="AH64" s="56"/>
      <c r="AI64" s="56"/>
      <c r="AJ64" s="56"/>
      <c r="AK64" s="78" t="s">
        <v>52</v>
      </c>
    </row>
    <row r="65" spans="1:37">
      <c r="A65" s="59">
        <v>44699</v>
      </c>
      <c r="B65" s="18">
        <v>1600</v>
      </c>
      <c r="C65" s="18"/>
      <c r="D65" s="17">
        <f>(SUM(粮草!A65:X65)+AG65*10)*IF(AK65="是",$AY$4,$AY$3)</f>
        <v>1624</v>
      </c>
      <c r="E65" s="76">
        <f>SUM($B$4:B65)+SUM($C$4:C65)-SUM($D$4:D65)</f>
        <v>84</v>
      </c>
      <c r="F65" s="17">
        <f>SUM(经验!A65:X65)</f>
        <v>635</v>
      </c>
      <c r="G65" s="17">
        <f>SUM($F$4:F65)+SUM($H$4:H65)</f>
        <v>45815</v>
      </c>
      <c r="H65" s="18">
        <v>200</v>
      </c>
      <c r="I65" s="79" t="s">
        <v>42</v>
      </c>
      <c r="J65" s="79" t="s">
        <v>42</v>
      </c>
      <c r="K65" s="79" t="s">
        <v>42</v>
      </c>
      <c r="L65" s="79" t="s">
        <v>42</v>
      </c>
      <c r="M65" s="79" t="s">
        <v>42</v>
      </c>
      <c r="N65" s="80" t="s">
        <v>34</v>
      </c>
      <c r="O65" s="72" t="s">
        <v>34</v>
      </c>
      <c r="P65" s="72" t="s">
        <v>34</v>
      </c>
      <c r="Q65" s="88" t="s">
        <v>43</v>
      </c>
      <c r="R65" s="88" t="s">
        <v>43</v>
      </c>
      <c r="S65" s="88" t="s">
        <v>43</v>
      </c>
      <c r="T65" s="83" t="s">
        <v>59</v>
      </c>
      <c r="U65" s="88" t="s">
        <v>43</v>
      </c>
      <c r="V65" s="88" t="s">
        <v>43</v>
      </c>
      <c r="W65" s="88" t="s">
        <v>43</v>
      </c>
      <c r="X65" s="88" t="s">
        <v>43</v>
      </c>
      <c r="Y65" s="80" t="s">
        <v>34</v>
      </c>
      <c r="Z65" s="80" t="s">
        <v>34</v>
      </c>
      <c r="AA65" s="80" t="s">
        <v>34</v>
      </c>
      <c r="AB65" s="80" t="s">
        <v>34</v>
      </c>
      <c r="AC65" s="80" t="s">
        <v>34</v>
      </c>
      <c r="AD65" s="80" t="s">
        <v>34</v>
      </c>
      <c r="AE65" s="72" t="s">
        <v>34</v>
      </c>
      <c r="AF65" s="72" t="s">
        <v>34</v>
      </c>
      <c r="AG65" s="56">
        <f t="shared" si="3"/>
        <v>0</v>
      </c>
      <c r="AH65" s="56"/>
      <c r="AI65" s="56"/>
      <c r="AJ65" s="56"/>
      <c r="AK65" s="78" t="s">
        <v>52</v>
      </c>
    </row>
    <row r="66" spans="1:37">
      <c r="A66" s="59">
        <v>44700</v>
      </c>
      <c r="B66" s="18">
        <v>1600</v>
      </c>
      <c r="C66" s="18"/>
      <c r="D66" s="17">
        <f>(SUM(粮草!A66:X66)+AG66*10)*IF(AK66="是",$AY$4,$AY$3)</f>
        <v>1632</v>
      </c>
      <c r="E66" s="76">
        <f>SUM($B$4:B66)+SUM($C$4:C66)-SUM($D$4:D66)</f>
        <v>52</v>
      </c>
      <c r="F66" s="17">
        <f>SUM(经验!A66:X66)</f>
        <v>580</v>
      </c>
      <c r="G66" s="17">
        <f>SUM($F$4:F66)+SUM($H$4:H66)</f>
        <v>46395</v>
      </c>
      <c r="H66" s="18">
        <v>0</v>
      </c>
      <c r="I66" s="79" t="s">
        <v>42</v>
      </c>
      <c r="J66" s="79" t="s">
        <v>42</v>
      </c>
      <c r="K66" s="79" t="s">
        <v>42</v>
      </c>
      <c r="L66" s="79" t="s">
        <v>42</v>
      </c>
      <c r="M66" s="79" t="s">
        <v>42</v>
      </c>
      <c r="N66" s="80" t="s">
        <v>34</v>
      </c>
      <c r="O66" s="72" t="s">
        <v>34</v>
      </c>
      <c r="P66" s="72" t="s">
        <v>34</v>
      </c>
      <c r="Q66" s="88" t="s">
        <v>43</v>
      </c>
      <c r="R66" s="88" t="s">
        <v>43</v>
      </c>
      <c r="S66" s="88" t="s">
        <v>43</v>
      </c>
      <c r="T66" s="88" t="s">
        <v>43</v>
      </c>
      <c r="U66" s="88" t="s">
        <v>43</v>
      </c>
      <c r="V66" s="88" t="s">
        <v>43</v>
      </c>
      <c r="W66" s="72" t="s">
        <v>34</v>
      </c>
      <c r="X66" s="72" t="s">
        <v>34</v>
      </c>
      <c r="Y66" s="80" t="s">
        <v>34</v>
      </c>
      <c r="Z66" s="80" t="s">
        <v>34</v>
      </c>
      <c r="AA66" s="80" t="s">
        <v>34</v>
      </c>
      <c r="AB66" s="80" t="s">
        <v>34</v>
      </c>
      <c r="AC66" s="80" t="s">
        <v>34</v>
      </c>
      <c r="AD66" s="80" t="s">
        <v>34</v>
      </c>
      <c r="AE66" s="72" t="s">
        <v>34</v>
      </c>
      <c r="AF66" s="72" t="s">
        <v>34</v>
      </c>
      <c r="AG66" s="56">
        <f t="shared" si="3"/>
        <v>0</v>
      </c>
      <c r="AH66" s="56"/>
      <c r="AI66" s="56"/>
      <c r="AJ66" s="56"/>
      <c r="AK66" s="78" t="s">
        <v>52</v>
      </c>
    </row>
    <row r="67" spans="1:37">
      <c r="A67" s="59">
        <v>44701</v>
      </c>
      <c r="B67" s="18">
        <v>1600</v>
      </c>
      <c r="C67" s="18"/>
      <c r="D67" s="17">
        <f>(SUM(粮草!A67:X67)+AG67*10)*IF(AK67="是",$AY$4,$AY$3)</f>
        <v>1616</v>
      </c>
      <c r="E67" s="76">
        <f>SUM($B$4:B67)+SUM($C$4:C67)-SUM($D$4:D67)</f>
        <v>36</v>
      </c>
      <c r="F67" s="17">
        <f>SUM(经验!A67:X67)</f>
        <v>590</v>
      </c>
      <c r="G67" s="17">
        <f>SUM($F$4:F67)+SUM($H$4:H67)</f>
        <v>46985</v>
      </c>
      <c r="H67" s="18">
        <v>0</v>
      </c>
      <c r="I67" s="79" t="s">
        <v>42</v>
      </c>
      <c r="J67" s="20" t="s">
        <v>39</v>
      </c>
      <c r="K67" s="79" t="s">
        <v>42</v>
      </c>
      <c r="L67" s="79" t="s">
        <v>42</v>
      </c>
      <c r="M67" s="79" t="s">
        <v>42</v>
      </c>
      <c r="N67" s="79" t="s">
        <v>42</v>
      </c>
      <c r="O67" s="72" t="s">
        <v>34</v>
      </c>
      <c r="P67" s="72" t="s">
        <v>34</v>
      </c>
      <c r="Q67" s="79" t="s">
        <v>42</v>
      </c>
      <c r="R67" s="79" t="s">
        <v>42</v>
      </c>
      <c r="S67" s="130" t="s">
        <v>48</v>
      </c>
      <c r="T67" s="88" t="s">
        <v>43</v>
      </c>
      <c r="U67" s="88" t="s">
        <v>43</v>
      </c>
      <c r="V67" s="79" t="s">
        <v>42</v>
      </c>
      <c r="W67" s="72" t="s">
        <v>34</v>
      </c>
      <c r="X67" s="72" t="s">
        <v>34</v>
      </c>
      <c r="Y67" s="80" t="s">
        <v>34</v>
      </c>
      <c r="Z67" s="80" t="s">
        <v>34</v>
      </c>
      <c r="AA67" s="80" t="s">
        <v>34</v>
      </c>
      <c r="AB67" s="80" t="s">
        <v>34</v>
      </c>
      <c r="AC67" s="80" t="s">
        <v>34</v>
      </c>
      <c r="AD67" s="80" t="s">
        <v>34</v>
      </c>
      <c r="AE67" s="72" t="s">
        <v>34</v>
      </c>
      <c r="AF67" s="72" t="s">
        <v>34</v>
      </c>
      <c r="AG67" s="56">
        <f t="shared" si="3"/>
        <v>0</v>
      </c>
      <c r="AH67" s="56"/>
      <c r="AI67" s="56"/>
      <c r="AJ67" s="56"/>
      <c r="AK67" s="78" t="s">
        <v>52</v>
      </c>
    </row>
    <row r="68" spans="1:37">
      <c r="A68" s="59">
        <v>44702</v>
      </c>
      <c r="B68" s="18">
        <v>1600</v>
      </c>
      <c r="C68" s="18"/>
      <c r="D68" s="17">
        <f>(SUM(粮草!A68:X68)+AG68*10)*IF(AK68="是",$AY$4,$AY$3)</f>
        <v>1496</v>
      </c>
      <c r="E68" s="76">
        <f>SUM($B$4:B68)+SUM($C$4:C68)-SUM($D$4:D68)</f>
        <v>140</v>
      </c>
      <c r="F68" s="17">
        <f>SUM(经验!A68:X68)</f>
        <v>950</v>
      </c>
      <c r="G68" s="17">
        <f>SUM($F$4:F68)+SUM($H$4:H68)</f>
        <v>47935</v>
      </c>
      <c r="H68" s="18">
        <v>0</v>
      </c>
      <c r="I68" s="79" t="s">
        <v>42</v>
      </c>
      <c r="J68" s="79" t="s">
        <v>42</v>
      </c>
      <c r="K68" s="85" t="s">
        <v>55</v>
      </c>
      <c r="L68" s="79" t="s">
        <v>42</v>
      </c>
      <c r="M68" s="80" t="s">
        <v>34</v>
      </c>
      <c r="N68" s="80" t="s">
        <v>34</v>
      </c>
      <c r="O68" s="72" t="s">
        <v>34</v>
      </c>
      <c r="P68" s="72" t="s">
        <v>34</v>
      </c>
      <c r="Q68" s="79" t="s">
        <v>42</v>
      </c>
      <c r="R68" s="79" t="s">
        <v>42</v>
      </c>
      <c r="S68" s="79" t="s">
        <v>42</v>
      </c>
      <c r="T68" s="79" t="s">
        <v>42</v>
      </c>
      <c r="U68" s="79" t="s">
        <v>42</v>
      </c>
      <c r="V68" s="79" t="s">
        <v>42</v>
      </c>
      <c r="W68" s="72" t="s">
        <v>34</v>
      </c>
      <c r="X68" s="72" t="s">
        <v>34</v>
      </c>
      <c r="Y68" s="80" t="s">
        <v>34</v>
      </c>
      <c r="Z68" s="80" t="s">
        <v>34</v>
      </c>
      <c r="AA68" s="80" t="s">
        <v>34</v>
      </c>
      <c r="AB68" s="80" t="s">
        <v>34</v>
      </c>
      <c r="AC68" s="80" t="s">
        <v>34</v>
      </c>
      <c r="AD68" s="80" t="s">
        <v>34</v>
      </c>
      <c r="AE68" s="72" t="s">
        <v>34</v>
      </c>
      <c r="AF68" s="72" t="s">
        <v>34</v>
      </c>
      <c r="AG68" s="56">
        <f t="shared" si="3"/>
        <v>0</v>
      </c>
      <c r="AH68" s="56"/>
      <c r="AI68" s="56"/>
      <c r="AJ68" s="56"/>
      <c r="AK68" s="78" t="s">
        <v>52</v>
      </c>
    </row>
    <row r="69" spans="1:37">
      <c r="A69" s="59">
        <v>44703</v>
      </c>
      <c r="B69" s="18">
        <v>1600</v>
      </c>
      <c r="C69" s="18"/>
      <c r="D69" s="17">
        <f>(SUM(粮草!A69:X69)+AG69*10)*IF(AK69="是",$AY$4,$AY$3)</f>
        <v>1616</v>
      </c>
      <c r="E69" s="76">
        <f>SUM($B$4:B69)+SUM($C$4:C69)-SUM($D$4:D69)</f>
        <v>124</v>
      </c>
      <c r="F69" s="17">
        <f>SUM(经验!A69:X69)</f>
        <v>1000</v>
      </c>
      <c r="G69" s="17">
        <f>SUM($F$4:F69)+SUM($H$4:H69)</f>
        <v>48935</v>
      </c>
      <c r="H69" s="18">
        <v>0</v>
      </c>
      <c r="I69" s="79" t="s">
        <v>42</v>
      </c>
      <c r="J69" s="79" t="s">
        <v>42</v>
      </c>
      <c r="K69" s="79" t="s">
        <v>42</v>
      </c>
      <c r="L69" s="79" t="s">
        <v>42</v>
      </c>
      <c r="M69" s="130" t="s">
        <v>48</v>
      </c>
      <c r="N69" s="80" t="s">
        <v>34</v>
      </c>
      <c r="O69" s="72" t="s">
        <v>34</v>
      </c>
      <c r="P69" s="72" t="s">
        <v>34</v>
      </c>
      <c r="Q69" s="79" t="s">
        <v>42</v>
      </c>
      <c r="R69" s="79" t="s">
        <v>42</v>
      </c>
      <c r="S69" s="79" t="s">
        <v>42</v>
      </c>
      <c r="T69" s="79" t="s">
        <v>42</v>
      </c>
      <c r="U69" s="79" t="s">
        <v>42</v>
      </c>
      <c r="V69" s="85" t="s">
        <v>55</v>
      </c>
      <c r="W69" s="72" t="s">
        <v>34</v>
      </c>
      <c r="X69" s="72" t="s">
        <v>34</v>
      </c>
      <c r="Y69" s="80" t="s">
        <v>34</v>
      </c>
      <c r="Z69" s="80" t="s">
        <v>34</v>
      </c>
      <c r="AA69" s="80" t="s">
        <v>34</v>
      </c>
      <c r="AB69" s="80" t="s">
        <v>34</v>
      </c>
      <c r="AC69" s="80" t="s">
        <v>34</v>
      </c>
      <c r="AD69" s="80" t="s">
        <v>34</v>
      </c>
      <c r="AE69" s="72" t="s">
        <v>34</v>
      </c>
      <c r="AF69" s="72" t="s">
        <v>34</v>
      </c>
      <c r="AG69" s="56">
        <f t="shared" ref="AG69:AG94" si="13">AH69+AI69+AJ69</f>
        <v>0</v>
      </c>
      <c r="AH69" s="56"/>
      <c r="AI69" s="56"/>
      <c r="AJ69" s="56"/>
      <c r="AK69" s="78" t="s">
        <v>52</v>
      </c>
    </row>
    <row r="70" spans="1:37">
      <c r="A70" s="59">
        <v>44704</v>
      </c>
      <c r="B70" s="17">
        <v>1600</v>
      </c>
      <c r="C70" s="17"/>
      <c r="D70" s="17">
        <f>(SUM(粮草!A70:X70)+AG70*10)*IF(AK70="是",$AY$4,$AY$3)</f>
        <v>1584</v>
      </c>
      <c r="E70" s="76">
        <f>SUM($B$4:B70)+SUM($C$4:C70)-SUM($D$4:D70)</f>
        <v>140</v>
      </c>
      <c r="F70" s="17">
        <f>SUM(经验!A70:X70)</f>
        <v>550</v>
      </c>
      <c r="G70" s="17">
        <f>SUM($F$4:F70)+SUM($H$4:H70)</f>
        <v>49785</v>
      </c>
      <c r="H70" s="17">
        <v>300</v>
      </c>
      <c r="I70" s="79" t="s">
        <v>42</v>
      </c>
      <c r="J70" s="79" t="s">
        <v>42</v>
      </c>
      <c r="K70" s="79" t="s">
        <v>42</v>
      </c>
      <c r="L70" s="79" t="s">
        <v>42</v>
      </c>
      <c r="M70" s="79" t="s">
        <v>42</v>
      </c>
      <c r="N70" s="80" t="s">
        <v>34</v>
      </c>
      <c r="O70" s="72" t="s">
        <v>34</v>
      </c>
      <c r="P70" s="72" t="s">
        <v>34</v>
      </c>
      <c r="Q70" s="79" t="s">
        <v>42</v>
      </c>
      <c r="R70" s="79" t="s">
        <v>42</v>
      </c>
      <c r="S70" s="79" t="s">
        <v>42</v>
      </c>
      <c r="T70" s="79" t="s">
        <v>42</v>
      </c>
      <c r="U70" s="79" t="s">
        <v>42</v>
      </c>
      <c r="V70" s="79" t="s">
        <v>42</v>
      </c>
      <c r="W70" s="72" t="s">
        <v>34</v>
      </c>
      <c r="X70" s="72" t="s">
        <v>34</v>
      </c>
      <c r="Y70" s="80" t="s">
        <v>34</v>
      </c>
      <c r="Z70" s="80" t="s">
        <v>34</v>
      </c>
      <c r="AA70" s="80" t="s">
        <v>34</v>
      </c>
      <c r="AB70" s="80" t="s">
        <v>34</v>
      </c>
      <c r="AC70" s="80" t="s">
        <v>34</v>
      </c>
      <c r="AD70" s="80" t="s">
        <v>34</v>
      </c>
      <c r="AE70" s="72" t="s">
        <v>34</v>
      </c>
      <c r="AF70" s="72" t="s">
        <v>34</v>
      </c>
      <c r="AG70" s="56">
        <f t="shared" si="13"/>
        <v>0</v>
      </c>
      <c r="AH70" s="56"/>
      <c r="AI70" s="56"/>
      <c r="AJ70" s="56"/>
      <c r="AK70" s="78" t="s">
        <v>52</v>
      </c>
    </row>
    <row r="71" spans="1:37">
      <c r="A71" s="59">
        <v>44705</v>
      </c>
      <c r="B71" s="17">
        <v>1600</v>
      </c>
      <c r="C71" s="17"/>
      <c r="D71" s="17">
        <f>(SUM(粮草!A71:X71)+AG71*10)*IF(AK71="是",$AY$4,$AY$3)</f>
        <v>1624</v>
      </c>
      <c r="E71" s="76">
        <f>SUM($B$4:B71)+SUM($C$4:C71)-SUM($D$4:D71)</f>
        <v>116</v>
      </c>
      <c r="F71" s="17">
        <f>SUM(经验!A71:X71)</f>
        <v>580</v>
      </c>
      <c r="G71" s="17">
        <f>SUM($F$4:F71)+SUM($H$4:H71)</f>
        <v>50365</v>
      </c>
      <c r="H71" s="17">
        <v>0</v>
      </c>
      <c r="I71" s="79" t="s">
        <v>42</v>
      </c>
      <c r="J71" s="79" t="s">
        <v>42</v>
      </c>
      <c r="K71" s="79" t="s">
        <v>42</v>
      </c>
      <c r="L71" s="79" t="s">
        <v>42</v>
      </c>
      <c r="M71" s="79" t="s">
        <v>42</v>
      </c>
      <c r="N71" s="79" t="s">
        <v>42</v>
      </c>
      <c r="O71" s="72" t="s">
        <v>34</v>
      </c>
      <c r="P71" s="72" t="s">
        <v>34</v>
      </c>
      <c r="Q71" s="79" t="s">
        <v>42</v>
      </c>
      <c r="R71" s="20" t="s">
        <v>39</v>
      </c>
      <c r="S71" s="79" t="s">
        <v>42</v>
      </c>
      <c r="T71" s="79" t="s">
        <v>42</v>
      </c>
      <c r="U71" s="79" t="s">
        <v>42</v>
      </c>
      <c r="V71" s="79" t="s">
        <v>42</v>
      </c>
      <c r="W71" s="72" t="s">
        <v>34</v>
      </c>
      <c r="X71" s="72" t="s">
        <v>34</v>
      </c>
      <c r="Y71" s="80" t="s">
        <v>34</v>
      </c>
      <c r="Z71" s="80" t="s">
        <v>34</v>
      </c>
      <c r="AA71" s="80" t="s">
        <v>34</v>
      </c>
      <c r="AB71" s="80" t="s">
        <v>34</v>
      </c>
      <c r="AC71" s="80" t="s">
        <v>34</v>
      </c>
      <c r="AD71" s="80" t="s">
        <v>34</v>
      </c>
      <c r="AE71" s="72" t="s">
        <v>34</v>
      </c>
      <c r="AF71" s="72" t="s">
        <v>34</v>
      </c>
      <c r="AG71" s="56">
        <f t="shared" si="13"/>
        <v>0</v>
      </c>
      <c r="AH71" s="56"/>
      <c r="AI71" s="56"/>
      <c r="AJ71" s="56"/>
      <c r="AK71" s="78" t="s">
        <v>52</v>
      </c>
    </row>
    <row r="72" spans="1:37">
      <c r="A72" s="59">
        <v>44706</v>
      </c>
      <c r="B72" s="17">
        <v>1600</v>
      </c>
      <c r="C72" s="17"/>
      <c r="D72" s="17">
        <f>(SUM(粮草!A72:X72)+AG72*10)*IF(AK72="是",$AY$4,$AY$3)</f>
        <v>1584</v>
      </c>
      <c r="E72" s="76">
        <f>SUM($B$4:B72)+SUM($C$4:C72)-SUM($D$4:D72)</f>
        <v>132</v>
      </c>
      <c r="F72" s="17">
        <f>SUM(经验!A72:X72)</f>
        <v>550</v>
      </c>
      <c r="G72" s="17">
        <f>SUM($F$4:F72)+SUM($H$4:H72)</f>
        <v>51115</v>
      </c>
      <c r="H72" s="17">
        <v>200</v>
      </c>
      <c r="I72" s="79" t="s">
        <v>42</v>
      </c>
      <c r="J72" s="79" t="s">
        <v>42</v>
      </c>
      <c r="K72" s="79" t="s">
        <v>42</v>
      </c>
      <c r="L72" s="79" t="s">
        <v>42</v>
      </c>
      <c r="M72" s="79" t="s">
        <v>42</v>
      </c>
      <c r="N72" s="80" t="s">
        <v>34</v>
      </c>
      <c r="O72" s="72" t="s">
        <v>34</v>
      </c>
      <c r="P72" s="72" t="s">
        <v>34</v>
      </c>
      <c r="Q72" s="79" t="s">
        <v>42</v>
      </c>
      <c r="R72" s="79" t="s">
        <v>42</v>
      </c>
      <c r="S72" s="79" t="s">
        <v>42</v>
      </c>
      <c r="T72" s="79" t="s">
        <v>42</v>
      </c>
      <c r="U72" s="79" t="s">
        <v>42</v>
      </c>
      <c r="V72" s="79" t="s">
        <v>42</v>
      </c>
      <c r="W72" s="72" t="s">
        <v>34</v>
      </c>
      <c r="X72" s="72" t="s">
        <v>34</v>
      </c>
      <c r="Y72" s="80" t="s">
        <v>34</v>
      </c>
      <c r="Z72" s="80" t="s">
        <v>34</v>
      </c>
      <c r="AA72" s="80" t="s">
        <v>34</v>
      </c>
      <c r="AB72" s="80" t="s">
        <v>34</v>
      </c>
      <c r="AC72" s="80" t="s">
        <v>34</v>
      </c>
      <c r="AD72" s="80" t="s">
        <v>34</v>
      </c>
      <c r="AE72" s="72" t="s">
        <v>34</v>
      </c>
      <c r="AF72" s="72" t="s">
        <v>34</v>
      </c>
      <c r="AG72" s="56">
        <f t="shared" si="13"/>
        <v>0</v>
      </c>
      <c r="AH72" s="56"/>
      <c r="AI72" s="56"/>
      <c r="AJ72" s="56"/>
      <c r="AK72" s="78" t="s">
        <v>52</v>
      </c>
    </row>
    <row r="73" spans="1:37">
      <c r="A73" s="59">
        <v>44707</v>
      </c>
      <c r="B73" s="17">
        <v>1600</v>
      </c>
      <c r="C73" s="17"/>
      <c r="D73" s="17">
        <f>(SUM(粮草!A73:X73)+AG73*10)*IF(AK73="是",$AY$4,$AY$3)</f>
        <v>1624</v>
      </c>
      <c r="E73" s="76">
        <f>SUM($B$4:B73)+SUM($C$4:C73)-SUM($D$4:D73)</f>
        <v>108</v>
      </c>
      <c r="F73" s="17">
        <f>SUM(经验!A73:X73)</f>
        <v>580</v>
      </c>
      <c r="G73" s="17">
        <f>SUM($F$4:F73)+SUM($H$4:H73)</f>
        <v>51695</v>
      </c>
      <c r="H73" s="17">
        <v>0</v>
      </c>
      <c r="I73" s="79" t="s">
        <v>42</v>
      </c>
      <c r="J73" s="79" t="s">
        <v>42</v>
      </c>
      <c r="K73" s="79" t="s">
        <v>42</v>
      </c>
      <c r="L73" s="79" t="s">
        <v>42</v>
      </c>
      <c r="M73" s="79" t="s">
        <v>42</v>
      </c>
      <c r="N73" s="79" t="s">
        <v>42</v>
      </c>
      <c r="O73" s="72" t="s">
        <v>34</v>
      </c>
      <c r="P73" s="72" t="s">
        <v>34</v>
      </c>
      <c r="Q73" s="79" t="s">
        <v>42</v>
      </c>
      <c r="R73" s="79" t="s">
        <v>42</v>
      </c>
      <c r="S73" s="20" t="s">
        <v>39</v>
      </c>
      <c r="T73" s="79" t="s">
        <v>42</v>
      </c>
      <c r="U73" s="79" t="s">
        <v>42</v>
      </c>
      <c r="V73" s="79" t="s">
        <v>42</v>
      </c>
      <c r="W73" s="72" t="s">
        <v>34</v>
      </c>
      <c r="X73" s="72" t="s">
        <v>34</v>
      </c>
      <c r="Y73" s="80" t="s">
        <v>34</v>
      </c>
      <c r="Z73" s="80" t="s">
        <v>34</v>
      </c>
      <c r="AA73" s="80" t="s">
        <v>34</v>
      </c>
      <c r="AB73" s="80" t="s">
        <v>34</v>
      </c>
      <c r="AC73" s="80" t="s">
        <v>34</v>
      </c>
      <c r="AD73" s="80" t="s">
        <v>34</v>
      </c>
      <c r="AE73" s="72" t="s">
        <v>34</v>
      </c>
      <c r="AF73" s="72" t="s">
        <v>34</v>
      </c>
      <c r="AG73" s="56">
        <f t="shared" si="13"/>
        <v>0</v>
      </c>
      <c r="AH73" s="56"/>
      <c r="AI73" s="56"/>
      <c r="AJ73" s="56"/>
      <c r="AK73" s="78" t="s">
        <v>52</v>
      </c>
    </row>
    <row r="74" spans="1:37">
      <c r="A74" s="59">
        <v>44708</v>
      </c>
      <c r="B74" s="17">
        <v>1600</v>
      </c>
      <c r="C74" s="17"/>
      <c r="D74" s="17">
        <f>(SUM(粮草!A74:X74)+AG74*10)*IF(AK74="是",$AY$4,$AY$3)</f>
        <v>1680</v>
      </c>
      <c r="E74" s="76">
        <f>SUM($B$4:B74)+SUM($C$4:C74)-SUM($D$4:D74)</f>
        <v>28</v>
      </c>
      <c r="F74" s="17">
        <f>SUM(经验!A74:X74)</f>
        <v>585</v>
      </c>
      <c r="G74" s="17">
        <f>SUM($F$4:F74)+SUM($H$4:H74)</f>
        <v>52280</v>
      </c>
      <c r="H74" s="17">
        <v>0</v>
      </c>
      <c r="I74" s="130" t="s">
        <v>48</v>
      </c>
      <c r="J74" s="79" t="s">
        <v>42</v>
      </c>
      <c r="K74" s="79" t="s">
        <v>42</v>
      </c>
      <c r="L74" s="79" t="s">
        <v>42</v>
      </c>
      <c r="M74" s="79" t="s">
        <v>42</v>
      </c>
      <c r="N74" s="79" t="s">
        <v>42</v>
      </c>
      <c r="O74" s="72" t="s">
        <v>34</v>
      </c>
      <c r="P74" s="72" t="s">
        <v>34</v>
      </c>
      <c r="Q74" s="79" t="s">
        <v>42</v>
      </c>
      <c r="R74" s="79" t="s">
        <v>42</v>
      </c>
      <c r="S74" s="79" t="s">
        <v>42</v>
      </c>
      <c r="T74" s="65" t="s">
        <v>40</v>
      </c>
      <c r="U74" s="65" t="s">
        <v>40</v>
      </c>
      <c r="V74" s="65" t="s">
        <v>40</v>
      </c>
      <c r="W74" s="72" t="s">
        <v>34</v>
      </c>
      <c r="X74" s="72" t="s">
        <v>34</v>
      </c>
      <c r="Y74" s="80" t="s">
        <v>34</v>
      </c>
      <c r="Z74" s="80" t="s">
        <v>34</v>
      </c>
      <c r="AA74" s="80" t="s">
        <v>34</v>
      </c>
      <c r="AB74" s="80" t="s">
        <v>34</v>
      </c>
      <c r="AC74" s="80" t="s">
        <v>34</v>
      </c>
      <c r="AD74" s="80" t="s">
        <v>34</v>
      </c>
      <c r="AE74" s="72" t="s">
        <v>34</v>
      </c>
      <c r="AF74" s="72" t="s">
        <v>34</v>
      </c>
      <c r="AG74" s="56">
        <f t="shared" si="13"/>
        <v>0</v>
      </c>
      <c r="AH74" s="56"/>
      <c r="AI74" s="56"/>
      <c r="AJ74" s="56"/>
      <c r="AK74" s="78" t="s">
        <v>52</v>
      </c>
    </row>
    <row r="75" spans="1:37">
      <c r="A75" s="59">
        <v>44709</v>
      </c>
      <c r="B75" s="17">
        <v>1600</v>
      </c>
      <c r="C75" s="17"/>
      <c r="D75" s="17">
        <f>(SUM(粮草!A75:X75)+AG75*10)*IF(AK75="是",$AY$4,$AY$3)</f>
        <v>1584</v>
      </c>
      <c r="E75" s="76">
        <f>SUM($B$4:B75)+SUM($C$4:C75)-SUM($D$4:D75)</f>
        <v>44</v>
      </c>
      <c r="F75" s="17">
        <f>SUM(经验!A75:X75)</f>
        <v>555</v>
      </c>
      <c r="G75" s="17">
        <f>SUM($F$4:F75)+SUM($H$4:H75)</f>
        <v>52835</v>
      </c>
      <c r="H75" s="17">
        <v>0</v>
      </c>
      <c r="I75" s="79" t="s">
        <v>42</v>
      </c>
      <c r="J75" s="79" t="s">
        <v>42</v>
      </c>
      <c r="K75" s="79" t="s">
        <v>42</v>
      </c>
      <c r="L75" s="79" t="s">
        <v>42</v>
      </c>
      <c r="M75" s="79" t="s">
        <v>42</v>
      </c>
      <c r="N75" s="79" t="s">
        <v>42</v>
      </c>
      <c r="O75" s="72" t="s">
        <v>34</v>
      </c>
      <c r="P75" s="72" t="s">
        <v>34</v>
      </c>
      <c r="Q75" s="65" t="s">
        <v>40</v>
      </c>
      <c r="R75" s="65" t="s">
        <v>40</v>
      </c>
      <c r="S75" s="65" t="s">
        <v>40</v>
      </c>
      <c r="T75" s="65" t="s">
        <v>40</v>
      </c>
      <c r="U75" s="20" t="s">
        <v>39</v>
      </c>
      <c r="V75" s="65" t="s">
        <v>40</v>
      </c>
      <c r="W75" s="72" t="s">
        <v>34</v>
      </c>
      <c r="X75" s="72" t="s">
        <v>34</v>
      </c>
      <c r="Y75" s="80" t="s">
        <v>34</v>
      </c>
      <c r="Z75" s="80" t="s">
        <v>34</v>
      </c>
      <c r="AA75" s="80" t="s">
        <v>34</v>
      </c>
      <c r="AB75" s="80" t="s">
        <v>34</v>
      </c>
      <c r="AC75" s="80" t="s">
        <v>34</v>
      </c>
      <c r="AD75" s="80" t="s">
        <v>34</v>
      </c>
      <c r="AE75" s="72" t="s">
        <v>34</v>
      </c>
      <c r="AF75" s="72" t="s">
        <v>34</v>
      </c>
      <c r="AG75" s="56">
        <f t="shared" si="13"/>
        <v>0</v>
      </c>
      <c r="AH75" s="56"/>
      <c r="AI75" s="56"/>
      <c r="AJ75" s="56"/>
      <c r="AK75" s="78" t="s">
        <v>52</v>
      </c>
    </row>
    <row r="76" spans="1:37">
      <c r="A76" s="59">
        <v>44710</v>
      </c>
      <c r="B76" s="17">
        <v>1600</v>
      </c>
      <c r="C76" s="17"/>
      <c r="D76" s="17">
        <f>(SUM(粮草!A76:X76)+AG76*10)*IF(AK76="是",$AY$4,$AY$3)</f>
        <v>1536</v>
      </c>
      <c r="E76" s="76">
        <f>SUM($B$4:B76)+SUM($C$4:C76)-SUM($D$4:D76)</f>
        <v>108</v>
      </c>
      <c r="F76" s="17">
        <f>SUM(经验!A76:X76)</f>
        <v>520</v>
      </c>
      <c r="G76" s="17">
        <f>SUM($F$4:F76)+SUM($H$4:H76)</f>
        <v>53355</v>
      </c>
      <c r="H76" s="17">
        <v>0</v>
      </c>
      <c r="I76" s="79" t="s">
        <v>42</v>
      </c>
      <c r="J76" s="79" t="s">
        <v>42</v>
      </c>
      <c r="K76" s="79" t="s">
        <v>42</v>
      </c>
      <c r="L76" s="79" t="s">
        <v>42</v>
      </c>
      <c r="M76" s="79" t="s">
        <v>42</v>
      </c>
      <c r="N76" s="80" t="s">
        <v>34</v>
      </c>
      <c r="O76" s="72" t="s">
        <v>34</v>
      </c>
      <c r="P76" s="72" t="s">
        <v>34</v>
      </c>
      <c r="Q76" s="65" t="s">
        <v>40</v>
      </c>
      <c r="R76" s="65" t="s">
        <v>40</v>
      </c>
      <c r="S76" s="65" t="s">
        <v>40</v>
      </c>
      <c r="T76" s="65" t="s">
        <v>40</v>
      </c>
      <c r="U76" s="65" t="s">
        <v>40</v>
      </c>
      <c r="V76" s="65" t="s">
        <v>40</v>
      </c>
      <c r="W76" s="72" t="s">
        <v>34</v>
      </c>
      <c r="X76" s="72" t="s">
        <v>34</v>
      </c>
      <c r="Y76" s="80" t="s">
        <v>34</v>
      </c>
      <c r="Z76" s="80" t="s">
        <v>34</v>
      </c>
      <c r="AA76" s="80" t="s">
        <v>34</v>
      </c>
      <c r="AB76" s="80" t="s">
        <v>34</v>
      </c>
      <c r="AC76" s="80" t="s">
        <v>34</v>
      </c>
      <c r="AD76" s="80" t="s">
        <v>34</v>
      </c>
      <c r="AE76" s="72" t="s">
        <v>34</v>
      </c>
      <c r="AF76" s="72" t="s">
        <v>34</v>
      </c>
      <c r="AG76" s="56">
        <f t="shared" si="13"/>
        <v>0</v>
      </c>
      <c r="AH76" s="56"/>
      <c r="AI76" s="56"/>
      <c r="AJ76" s="56"/>
      <c r="AK76" s="78" t="s">
        <v>52</v>
      </c>
    </row>
    <row r="77" spans="1:37">
      <c r="A77" s="59">
        <v>44711</v>
      </c>
      <c r="B77" s="18">
        <v>1600</v>
      </c>
      <c r="C77" s="18"/>
      <c r="D77" s="17">
        <f>(SUM(粮草!A77:X77)+AG77*10)*IF(AK77="是",$AY$4,$AY$3)</f>
        <v>1576</v>
      </c>
      <c r="E77" s="76">
        <f>SUM($B$4:B77)+SUM($C$4:C77)-SUM($D$4:D77)</f>
        <v>132</v>
      </c>
      <c r="F77" s="17">
        <f>SUM(经验!A77:X77)</f>
        <v>550</v>
      </c>
      <c r="G77" s="17">
        <f>SUM($F$4:F77)+SUM($H$4:H77)</f>
        <v>54105</v>
      </c>
      <c r="H77" s="18">
        <v>200</v>
      </c>
      <c r="I77" s="79" t="s">
        <v>42</v>
      </c>
      <c r="J77" s="20" t="s">
        <v>39</v>
      </c>
      <c r="K77" s="79" t="s">
        <v>42</v>
      </c>
      <c r="L77" s="79" t="s">
        <v>42</v>
      </c>
      <c r="M77" s="79" t="s">
        <v>42</v>
      </c>
      <c r="N77" s="79" t="s">
        <v>42</v>
      </c>
      <c r="O77" s="72" t="s">
        <v>34</v>
      </c>
      <c r="P77" s="72" t="s">
        <v>34</v>
      </c>
      <c r="Q77" s="65" t="s">
        <v>40</v>
      </c>
      <c r="R77" s="65" t="s">
        <v>40</v>
      </c>
      <c r="S77" s="65" t="s">
        <v>40</v>
      </c>
      <c r="T77" s="65" t="s">
        <v>40</v>
      </c>
      <c r="U77" s="65" t="s">
        <v>40</v>
      </c>
      <c r="V77" s="65" t="s">
        <v>40</v>
      </c>
      <c r="W77" s="72" t="s">
        <v>34</v>
      </c>
      <c r="X77" s="72" t="s">
        <v>34</v>
      </c>
      <c r="Y77" s="80" t="s">
        <v>34</v>
      </c>
      <c r="Z77" s="80" t="s">
        <v>34</v>
      </c>
      <c r="AA77" s="80" t="s">
        <v>34</v>
      </c>
      <c r="AB77" s="80" t="s">
        <v>34</v>
      </c>
      <c r="AC77" s="80" t="s">
        <v>34</v>
      </c>
      <c r="AD77" s="80" t="s">
        <v>34</v>
      </c>
      <c r="AE77" s="72" t="s">
        <v>34</v>
      </c>
      <c r="AF77" s="72" t="s">
        <v>34</v>
      </c>
      <c r="AG77" s="56">
        <f t="shared" si="13"/>
        <v>0</v>
      </c>
      <c r="AH77" s="56"/>
      <c r="AI77" s="56"/>
      <c r="AJ77" s="56"/>
      <c r="AK77" s="78" t="s">
        <v>52</v>
      </c>
    </row>
    <row r="78" spans="1:37">
      <c r="A78" s="59">
        <v>44712</v>
      </c>
      <c r="B78" s="18">
        <v>1600</v>
      </c>
      <c r="C78" s="18"/>
      <c r="D78" s="17">
        <f>(SUM(粮草!A78:X78)+AG78*10)*IF(AK78="是",$AY$4,$AY$3)</f>
        <v>1640</v>
      </c>
      <c r="E78" s="76">
        <f>SUM($B$4:B78)+SUM($C$4:C78)-SUM($D$4:D78)</f>
        <v>92</v>
      </c>
      <c r="F78" s="17">
        <f>SUM(经验!A78:X78)</f>
        <v>555</v>
      </c>
      <c r="G78" s="17">
        <f>SUM($F$4:F78)+SUM($H$4:H78)</f>
        <v>54760</v>
      </c>
      <c r="H78" s="18">
        <v>100</v>
      </c>
      <c r="I78" s="79" t="s">
        <v>42</v>
      </c>
      <c r="J78" s="79" t="s">
        <v>42</v>
      </c>
      <c r="K78" s="79" t="s">
        <v>42</v>
      </c>
      <c r="L78" s="128" t="s">
        <v>47</v>
      </c>
      <c r="M78" s="65" t="s">
        <v>40</v>
      </c>
      <c r="N78" s="65" t="s">
        <v>40</v>
      </c>
      <c r="O78" s="72" t="s">
        <v>34</v>
      </c>
      <c r="P78" s="72" t="s">
        <v>34</v>
      </c>
      <c r="Q78" s="65" t="s">
        <v>40</v>
      </c>
      <c r="R78" s="65" t="s">
        <v>40</v>
      </c>
      <c r="S78" s="65" t="s">
        <v>40</v>
      </c>
      <c r="T78" s="65" t="s">
        <v>40</v>
      </c>
      <c r="U78" s="65" t="s">
        <v>40</v>
      </c>
      <c r="V78" s="65" t="s">
        <v>40</v>
      </c>
      <c r="W78" s="72" t="s">
        <v>34</v>
      </c>
      <c r="X78" s="72" t="s">
        <v>34</v>
      </c>
      <c r="Y78" s="80" t="s">
        <v>34</v>
      </c>
      <c r="Z78" s="80" t="s">
        <v>34</v>
      </c>
      <c r="AA78" s="80" t="s">
        <v>34</v>
      </c>
      <c r="AB78" s="80" t="s">
        <v>34</v>
      </c>
      <c r="AC78" s="80" t="s">
        <v>34</v>
      </c>
      <c r="AD78" s="80" t="s">
        <v>34</v>
      </c>
      <c r="AE78" s="72" t="s">
        <v>34</v>
      </c>
      <c r="AF78" s="72" t="s">
        <v>34</v>
      </c>
      <c r="AG78" s="56">
        <f t="shared" si="13"/>
        <v>0</v>
      </c>
      <c r="AH78" s="56"/>
      <c r="AI78" s="56"/>
      <c r="AJ78" s="56"/>
      <c r="AK78" s="78" t="s">
        <v>52</v>
      </c>
    </row>
    <row r="79" spans="1:37">
      <c r="A79" s="59">
        <v>44713</v>
      </c>
      <c r="B79">
        <v>1600</v>
      </c>
      <c r="D79" s="17">
        <f>(SUM(粮草!A79:X79)+AG79*10)*IF(AK79="是",$AY$4,$AY$3)</f>
        <v>1680</v>
      </c>
      <c r="E79" s="76">
        <f>SUM($B$4:B79)+SUM($C$4:C79)-SUM($D$4:D79)</f>
        <v>12</v>
      </c>
      <c r="F79" s="17">
        <f>SUM(经验!A79:X79)</f>
        <v>570</v>
      </c>
      <c r="G79" s="49">
        <f>SUM($F$4:F79)+SUM($H$4:H79)</f>
        <v>55530</v>
      </c>
      <c r="H79">
        <v>200</v>
      </c>
      <c r="I79" s="79" t="s">
        <v>42</v>
      </c>
      <c r="J79" s="79" t="s">
        <v>42</v>
      </c>
      <c r="K79" s="79" t="s">
        <v>42</v>
      </c>
      <c r="L79" s="79" t="s">
        <v>42</v>
      </c>
      <c r="M79" s="79" t="s">
        <v>42</v>
      </c>
      <c r="N79" s="79" t="s">
        <v>42</v>
      </c>
      <c r="O79" s="72" t="s">
        <v>34</v>
      </c>
      <c r="P79" s="72" t="s">
        <v>34</v>
      </c>
      <c r="Q79" s="65" t="s">
        <v>40</v>
      </c>
      <c r="R79" s="65" t="s">
        <v>40</v>
      </c>
      <c r="S79" s="65" t="s">
        <v>40</v>
      </c>
      <c r="T79" s="65" t="s">
        <v>40</v>
      </c>
      <c r="U79" s="65" t="s">
        <v>40</v>
      </c>
      <c r="V79" s="65" t="s">
        <v>40</v>
      </c>
      <c r="W79" s="72" t="s">
        <v>34</v>
      </c>
      <c r="X79" s="72" t="s">
        <v>34</v>
      </c>
      <c r="Y79" s="80" t="s">
        <v>34</v>
      </c>
      <c r="Z79" s="80" t="s">
        <v>34</v>
      </c>
      <c r="AA79" s="80" t="s">
        <v>34</v>
      </c>
      <c r="AB79" s="80" t="s">
        <v>34</v>
      </c>
      <c r="AC79" s="80" t="s">
        <v>34</v>
      </c>
      <c r="AD79" s="80" t="s">
        <v>34</v>
      </c>
      <c r="AE79" s="72" t="s">
        <v>34</v>
      </c>
      <c r="AF79" s="72" t="s">
        <v>34</v>
      </c>
      <c r="AG79" s="56">
        <f t="shared" si="13"/>
        <v>0</v>
      </c>
      <c r="AH79" s="56"/>
      <c r="AI79" s="56"/>
      <c r="AJ79" s="56"/>
      <c r="AK79" s="78" t="s">
        <v>52</v>
      </c>
    </row>
    <row r="80" spans="1:37">
      <c r="A80" s="59">
        <v>44714</v>
      </c>
      <c r="B80">
        <v>1600</v>
      </c>
      <c r="D80" s="17">
        <f>(SUM(粮草!A80:X80)+AG80*10)*IF(AK80="是",$AY$4,$AY$3)</f>
        <v>1552</v>
      </c>
      <c r="E80" s="76">
        <f>SUM($B$4:B80)+SUM($C$4:C80)-SUM($D$4:D80)</f>
        <v>60</v>
      </c>
      <c r="F80" s="17">
        <f>SUM(经验!A80:X80)</f>
        <v>535</v>
      </c>
      <c r="G80" s="49">
        <f>SUM($F$4:F80)+SUM($H$4:H80)</f>
        <v>56065</v>
      </c>
      <c r="H80">
        <v>0</v>
      </c>
      <c r="I80" s="79" t="s">
        <v>42</v>
      </c>
      <c r="J80" s="79" t="s">
        <v>42</v>
      </c>
      <c r="K80" s="20" t="s">
        <v>39</v>
      </c>
      <c r="L80" s="80" t="s">
        <v>34</v>
      </c>
      <c r="M80" s="80" t="s">
        <v>34</v>
      </c>
      <c r="N80" s="80" t="s">
        <v>34</v>
      </c>
      <c r="O80" s="72" t="s">
        <v>34</v>
      </c>
      <c r="P80" s="72" t="s">
        <v>34</v>
      </c>
      <c r="Q80" s="65" t="s">
        <v>40</v>
      </c>
      <c r="R80" s="65" t="s">
        <v>40</v>
      </c>
      <c r="S80" s="65" t="s">
        <v>40</v>
      </c>
      <c r="T80" s="65" t="s">
        <v>40</v>
      </c>
      <c r="U80" s="65" t="s">
        <v>40</v>
      </c>
      <c r="V80" s="65" t="s">
        <v>40</v>
      </c>
      <c r="W80" s="72" t="s">
        <v>34</v>
      </c>
      <c r="X80" s="72" t="s">
        <v>34</v>
      </c>
      <c r="Y80" s="65" t="s">
        <v>40</v>
      </c>
      <c r="Z80" s="65" t="s">
        <v>40</v>
      </c>
      <c r="AA80" s="65" t="s">
        <v>40</v>
      </c>
      <c r="AB80" s="80" t="s">
        <v>34</v>
      </c>
      <c r="AC80" s="80" t="s">
        <v>34</v>
      </c>
      <c r="AD80" s="80" t="s">
        <v>34</v>
      </c>
      <c r="AE80" s="72" t="s">
        <v>34</v>
      </c>
      <c r="AF80" s="72" t="s">
        <v>34</v>
      </c>
      <c r="AG80" s="56">
        <f t="shared" si="13"/>
        <v>0</v>
      </c>
      <c r="AH80" s="56"/>
      <c r="AI80" s="56"/>
      <c r="AJ80" s="56"/>
      <c r="AK80" s="78" t="s">
        <v>52</v>
      </c>
    </row>
    <row r="81" spans="1:37">
      <c r="A81" s="59">
        <v>44715</v>
      </c>
      <c r="B81">
        <v>1600</v>
      </c>
      <c r="D81" s="17">
        <f>(SUM(粮草!A81:X81)+AG81*10)*IF(AK81="是",$AY$4,$AY$3)</f>
        <v>1568</v>
      </c>
      <c r="E81" s="76">
        <f>SUM($B$4:B81)+SUM($C$4:C81)-SUM($D$4:D81)</f>
        <v>92</v>
      </c>
      <c r="F81" s="17">
        <f>SUM(经验!A81:X81)</f>
        <v>545</v>
      </c>
      <c r="G81" s="49">
        <f>SUM($F$4:F81)+SUM($H$4:H81)</f>
        <v>56610</v>
      </c>
      <c r="H81">
        <v>0</v>
      </c>
      <c r="I81" s="80" t="s">
        <v>34</v>
      </c>
      <c r="J81" s="80" t="s">
        <v>34</v>
      </c>
      <c r="K81" s="80" t="s">
        <v>34</v>
      </c>
      <c r="L81" s="80" t="s">
        <v>34</v>
      </c>
      <c r="M81" s="80" t="s">
        <v>34</v>
      </c>
      <c r="N81" s="80" t="s">
        <v>34</v>
      </c>
      <c r="O81" s="72" t="s">
        <v>34</v>
      </c>
      <c r="P81" s="72" t="s">
        <v>34</v>
      </c>
      <c r="Q81" s="65" t="s">
        <v>40</v>
      </c>
      <c r="R81" s="65" t="s">
        <v>40</v>
      </c>
      <c r="S81" s="65" t="s">
        <v>40</v>
      </c>
      <c r="T81" s="20" t="s">
        <v>39</v>
      </c>
      <c r="U81" s="65" t="s">
        <v>40</v>
      </c>
      <c r="V81" s="65" t="s">
        <v>40</v>
      </c>
      <c r="W81" s="72" t="s">
        <v>34</v>
      </c>
      <c r="X81" s="72" t="s">
        <v>34</v>
      </c>
      <c r="Y81" s="65" t="s">
        <v>40</v>
      </c>
      <c r="Z81" s="65" t="s">
        <v>40</v>
      </c>
      <c r="AA81" s="79" t="s">
        <v>42</v>
      </c>
      <c r="AB81" s="79" t="s">
        <v>42</v>
      </c>
      <c r="AC81" s="79" t="s">
        <v>42</v>
      </c>
      <c r="AD81" s="79" t="s">
        <v>42</v>
      </c>
      <c r="AE81" s="72" t="s">
        <v>34</v>
      </c>
      <c r="AF81" s="72" t="s">
        <v>34</v>
      </c>
      <c r="AG81" s="56">
        <f t="shared" si="13"/>
        <v>0</v>
      </c>
      <c r="AH81" s="56"/>
      <c r="AI81" s="56"/>
      <c r="AJ81" s="56"/>
      <c r="AK81" s="78" t="s">
        <v>52</v>
      </c>
    </row>
    <row r="82" spans="1:37">
      <c r="A82" s="59">
        <v>44716</v>
      </c>
      <c r="B82">
        <v>1600</v>
      </c>
      <c r="D82" s="17">
        <f>(SUM(粮草!A82:X82)+AG82*10)*IF(AK82="是",$AY$4,$AY$3)</f>
        <v>1576</v>
      </c>
      <c r="E82" s="76">
        <f>SUM($B$4:B82)+SUM($C$4:C82)-SUM($D$4:D82)</f>
        <v>116</v>
      </c>
      <c r="F82" s="17">
        <f>SUM(经验!A82:X82)</f>
        <v>550</v>
      </c>
      <c r="G82" s="49">
        <f>SUM($F$4:F82)+SUM($H$4:H82)</f>
        <v>57160</v>
      </c>
      <c r="H82">
        <v>0</v>
      </c>
      <c r="I82" s="80" t="s">
        <v>34</v>
      </c>
      <c r="J82" s="80" t="s">
        <v>34</v>
      </c>
      <c r="K82" s="80" t="s">
        <v>34</v>
      </c>
      <c r="L82" s="80" t="s">
        <v>34</v>
      </c>
      <c r="M82" s="80" t="s">
        <v>34</v>
      </c>
      <c r="N82" s="80" t="s">
        <v>34</v>
      </c>
      <c r="O82" s="72" t="s">
        <v>34</v>
      </c>
      <c r="P82" s="72" t="s">
        <v>34</v>
      </c>
      <c r="Q82" s="65" t="s">
        <v>40</v>
      </c>
      <c r="R82" s="65" t="s">
        <v>40</v>
      </c>
      <c r="S82" s="65" t="s">
        <v>40</v>
      </c>
      <c r="T82" s="65" t="s">
        <v>40</v>
      </c>
      <c r="U82" s="65" t="s">
        <v>40</v>
      </c>
      <c r="V82" s="65" t="s">
        <v>40</v>
      </c>
      <c r="W82" s="72" t="s">
        <v>34</v>
      </c>
      <c r="X82" s="72" t="s">
        <v>34</v>
      </c>
      <c r="Y82" s="79" t="s">
        <v>42</v>
      </c>
      <c r="Z82" s="79" t="s">
        <v>42</v>
      </c>
      <c r="AA82" s="79" t="s">
        <v>42</v>
      </c>
      <c r="AB82" s="79" t="s">
        <v>42</v>
      </c>
      <c r="AC82" s="20" t="s">
        <v>39</v>
      </c>
      <c r="AD82" s="79" t="s">
        <v>42</v>
      </c>
      <c r="AE82" s="72" t="s">
        <v>34</v>
      </c>
      <c r="AF82" s="72" t="s">
        <v>34</v>
      </c>
      <c r="AG82" s="56">
        <f t="shared" si="13"/>
        <v>0</v>
      </c>
      <c r="AH82" s="56"/>
      <c r="AI82" s="56"/>
      <c r="AJ82" s="56"/>
      <c r="AK82" s="78" t="s">
        <v>52</v>
      </c>
    </row>
    <row r="83" spans="1:37">
      <c r="A83" s="59">
        <v>44717</v>
      </c>
      <c r="B83">
        <v>1600</v>
      </c>
      <c r="D83" s="17">
        <f>(SUM(粮草!A83:X83)+AG83*10)*IF(AK83="是",$AY$4,$AY$3)</f>
        <v>1680</v>
      </c>
      <c r="E83" s="76">
        <f>SUM($B$4:B83)+SUM($C$4:C83)-SUM($D$4:D83)</f>
        <v>36</v>
      </c>
      <c r="F83" s="17">
        <f>SUM(经验!A83:X83)</f>
        <v>570</v>
      </c>
      <c r="G83" s="49">
        <f>SUM($F$4:F83)+SUM($H$4:H83)</f>
        <v>57730</v>
      </c>
      <c r="H83">
        <v>0</v>
      </c>
      <c r="I83" s="80" t="s">
        <v>34</v>
      </c>
      <c r="J83" s="80" t="s">
        <v>34</v>
      </c>
      <c r="K83" s="80" t="s">
        <v>34</v>
      </c>
      <c r="L83" s="80" t="s">
        <v>34</v>
      </c>
      <c r="M83" s="80" t="s">
        <v>34</v>
      </c>
      <c r="N83" s="80" t="s">
        <v>34</v>
      </c>
      <c r="O83" s="72" t="s">
        <v>34</v>
      </c>
      <c r="P83" s="72" t="s">
        <v>34</v>
      </c>
      <c r="Q83" s="65" t="s">
        <v>40</v>
      </c>
      <c r="R83" s="65" t="s">
        <v>40</v>
      </c>
      <c r="S83" s="65" t="s">
        <v>40</v>
      </c>
      <c r="T83" s="65" t="s">
        <v>40</v>
      </c>
      <c r="U83" s="65" t="s">
        <v>40</v>
      </c>
      <c r="V83" s="65" t="s">
        <v>40</v>
      </c>
      <c r="W83" s="72" t="s">
        <v>34</v>
      </c>
      <c r="X83" s="72" t="s">
        <v>34</v>
      </c>
      <c r="Y83" s="79" t="s">
        <v>42</v>
      </c>
      <c r="Z83" s="79" t="s">
        <v>42</v>
      </c>
      <c r="AA83" s="79" t="s">
        <v>42</v>
      </c>
      <c r="AB83" s="79" t="s">
        <v>42</v>
      </c>
      <c r="AC83" s="79" t="s">
        <v>42</v>
      </c>
      <c r="AD83" s="79" t="s">
        <v>42</v>
      </c>
      <c r="AE83" s="72" t="s">
        <v>34</v>
      </c>
      <c r="AF83" s="72" t="s">
        <v>34</v>
      </c>
      <c r="AG83" s="56">
        <f t="shared" si="13"/>
        <v>0</v>
      </c>
      <c r="AH83" s="56"/>
      <c r="AI83" s="56"/>
      <c r="AJ83" s="56"/>
      <c r="AK83" s="78" t="s">
        <v>52</v>
      </c>
    </row>
    <row r="84" spans="1:37">
      <c r="A84" s="59">
        <v>44718</v>
      </c>
      <c r="B84" s="49">
        <v>1600</v>
      </c>
      <c r="C84" s="49"/>
      <c r="D84" s="17">
        <f>(SUM(粮草!A84:X84)+AG84*10)*IF(AK84="是",$AY$4,$AY$3)</f>
        <v>1520</v>
      </c>
      <c r="E84" s="76">
        <f>SUM($B$4:B84)+SUM($C$4:C84)-SUM($D$4:D84)</f>
        <v>116</v>
      </c>
      <c r="F84" s="17">
        <f>SUM(经验!A84:X84)</f>
        <v>570</v>
      </c>
      <c r="G84" s="49">
        <f>SUM($F$4:F84)+SUM($H$4:H84)</f>
        <v>58500</v>
      </c>
      <c r="H84" s="49">
        <v>200</v>
      </c>
      <c r="I84" s="80" t="s">
        <v>34</v>
      </c>
      <c r="J84" s="80" t="s">
        <v>34</v>
      </c>
      <c r="K84" s="80" t="s">
        <v>34</v>
      </c>
      <c r="L84" s="80" t="s">
        <v>34</v>
      </c>
      <c r="M84" s="80" t="s">
        <v>34</v>
      </c>
      <c r="N84" s="80" t="s">
        <v>34</v>
      </c>
      <c r="O84" s="72" t="s">
        <v>34</v>
      </c>
      <c r="P84" s="72" t="s">
        <v>34</v>
      </c>
      <c r="Q84" s="65" t="s">
        <v>40</v>
      </c>
      <c r="R84" s="65" t="s">
        <v>40</v>
      </c>
      <c r="S84" s="65" t="s">
        <v>40</v>
      </c>
      <c r="T84" s="65" t="s">
        <v>40</v>
      </c>
      <c r="U84" s="65" t="s">
        <v>40</v>
      </c>
      <c r="V84" s="65" t="s">
        <v>40</v>
      </c>
      <c r="W84" s="72" t="s">
        <v>34</v>
      </c>
      <c r="X84" s="72" t="s">
        <v>34</v>
      </c>
      <c r="Y84" s="79" t="s">
        <v>42</v>
      </c>
      <c r="Z84" s="79" t="s">
        <v>42</v>
      </c>
      <c r="AA84" s="79" t="s">
        <v>42</v>
      </c>
      <c r="AB84" s="83" t="s">
        <v>59</v>
      </c>
      <c r="AC84" s="79" t="s">
        <v>42</v>
      </c>
      <c r="AD84" s="79" t="s">
        <v>42</v>
      </c>
      <c r="AE84" s="79" t="s">
        <v>42</v>
      </c>
      <c r="AF84" s="72" t="s">
        <v>34</v>
      </c>
      <c r="AG84" s="56">
        <f t="shared" si="13"/>
        <v>0</v>
      </c>
      <c r="AH84" s="56"/>
      <c r="AI84" s="56"/>
      <c r="AJ84" s="56"/>
      <c r="AK84" s="78" t="s">
        <v>52</v>
      </c>
    </row>
    <row r="85" spans="1:37">
      <c r="A85" s="59">
        <v>44719</v>
      </c>
      <c r="B85" s="49">
        <v>1600</v>
      </c>
      <c r="C85" s="49"/>
      <c r="D85" s="17">
        <f>(SUM(粮草!A85:X85)+AG85*10)*IF(AK85="是",$AY$4,$AY$3)</f>
        <v>1584</v>
      </c>
      <c r="E85" s="76">
        <f>SUM($B$4:B85)+SUM($C$4:C85)-SUM($D$4:D85)</f>
        <v>132</v>
      </c>
      <c r="F85" s="17">
        <f>SUM(经验!A85:X85)</f>
        <v>555</v>
      </c>
      <c r="G85" s="49">
        <f>SUM($F$4:F85)+SUM($H$4:H85)</f>
        <v>59055</v>
      </c>
      <c r="H85" s="49">
        <v>0</v>
      </c>
      <c r="I85" s="80" t="s">
        <v>34</v>
      </c>
      <c r="J85" s="80" t="s">
        <v>34</v>
      </c>
      <c r="K85" s="80" t="s">
        <v>34</v>
      </c>
      <c r="L85" s="80" t="s">
        <v>34</v>
      </c>
      <c r="M85" s="80" t="s">
        <v>34</v>
      </c>
      <c r="N85" s="80" t="s">
        <v>34</v>
      </c>
      <c r="O85" s="72" t="s">
        <v>34</v>
      </c>
      <c r="P85" s="72" t="s">
        <v>34</v>
      </c>
      <c r="Q85" s="20" t="s">
        <v>39</v>
      </c>
      <c r="R85" s="65" t="s">
        <v>40</v>
      </c>
      <c r="S85" s="65" t="s">
        <v>40</v>
      </c>
      <c r="T85" s="65" t="s">
        <v>40</v>
      </c>
      <c r="U85" s="65" t="s">
        <v>40</v>
      </c>
      <c r="V85" s="65" t="s">
        <v>40</v>
      </c>
      <c r="W85" s="72" t="s">
        <v>34</v>
      </c>
      <c r="X85" s="72" t="s">
        <v>34</v>
      </c>
      <c r="Y85" s="79" t="s">
        <v>42</v>
      </c>
      <c r="Z85" s="79" t="s">
        <v>42</v>
      </c>
      <c r="AA85" s="79" t="s">
        <v>42</v>
      </c>
      <c r="AB85" s="79" t="s">
        <v>42</v>
      </c>
      <c r="AC85" s="79" t="s">
        <v>42</v>
      </c>
      <c r="AD85" s="79" t="s">
        <v>42</v>
      </c>
      <c r="AE85" s="72" t="s">
        <v>34</v>
      </c>
      <c r="AF85" s="72" t="s">
        <v>34</v>
      </c>
      <c r="AG85" s="56">
        <f t="shared" si="13"/>
        <v>0</v>
      </c>
      <c r="AH85" s="56"/>
      <c r="AI85" s="56"/>
      <c r="AJ85" s="56"/>
      <c r="AK85" s="78" t="s">
        <v>52</v>
      </c>
    </row>
    <row r="86" spans="1:37">
      <c r="A86" s="59">
        <v>44720</v>
      </c>
      <c r="B86" s="49">
        <v>1600</v>
      </c>
      <c r="C86" s="49"/>
      <c r="D86" s="17">
        <f>(SUM(粮草!A86:X86)+AG86*10)*IF(AK86="是",$AY$4,$AY$3)</f>
        <v>1656</v>
      </c>
      <c r="E86" s="76">
        <f>SUM($B$4:B86)+SUM($C$4:C86)-SUM($D$4:D86)</f>
        <v>76</v>
      </c>
      <c r="F86" s="17">
        <f>SUM(经验!A86:X86)</f>
        <v>615</v>
      </c>
      <c r="G86" s="49">
        <f>SUM($F$4:F86)+SUM($H$4:H86)</f>
        <v>59970</v>
      </c>
      <c r="H86" s="49">
        <v>300</v>
      </c>
      <c r="I86" s="80" t="s">
        <v>34</v>
      </c>
      <c r="J86" s="80" t="s">
        <v>34</v>
      </c>
      <c r="K86" s="80" t="s">
        <v>34</v>
      </c>
      <c r="L86" s="80" t="s">
        <v>34</v>
      </c>
      <c r="M86" s="80" t="s">
        <v>34</v>
      </c>
      <c r="N86" s="80" t="s">
        <v>34</v>
      </c>
      <c r="O86" s="72" t="s">
        <v>34</v>
      </c>
      <c r="P86" s="72" t="s">
        <v>34</v>
      </c>
      <c r="Q86" s="65" t="s">
        <v>40</v>
      </c>
      <c r="R86" s="65" t="s">
        <v>40</v>
      </c>
      <c r="S86" s="65" t="s">
        <v>40</v>
      </c>
      <c r="T86" s="65" t="s">
        <v>40</v>
      </c>
      <c r="U86" s="65" t="s">
        <v>40</v>
      </c>
      <c r="V86" s="83" t="s">
        <v>59</v>
      </c>
      <c r="W86" s="65" t="s">
        <v>40</v>
      </c>
      <c r="X86" s="65" t="s">
        <v>40</v>
      </c>
      <c r="Y86" s="79" t="s">
        <v>42</v>
      </c>
      <c r="Z86" s="79" t="s">
        <v>42</v>
      </c>
      <c r="AA86" s="79" t="s">
        <v>42</v>
      </c>
      <c r="AB86" s="79" t="s">
        <v>42</v>
      </c>
      <c r="AC86" s="79" t="s">
        <v>42</v>
      </c>
      <c r="AD86" s="79" t="s">
        <v>42</v>
      </c>
      <c r="AE86" s="72" t="s">
        <v>34</v>
      </c>
      <c r="AF86" s="72" t="s">
        <v>34</v>
      </c>
      <c r="AG86" s="56">
        <f t="shared" si="13"/>
        <v>0</v>
      </c>
      <c r="AH86" s="56"/>
      <c r="AI86" s="56"/>
      <c r="AJ86" s="56"/>
      <c r="AK86" s="78" t="s">
        <v>52</v>
      </c>
    </row>
    <row r="87" spans="1:37">
      <c r="A87" s="59">
        <v>44721</v>
      </c>
      <c r="B87" s="49">
        <v>1600</v>
      </c>
      <c r="C87" s="49"/>
      <c r="D87" s="17">
        <f>(SUM(粮草!A87:X87)+AG87*10)*IF(AK87="是",$AY$4,$AY$3)</f>
        <v>1568</v>
      </c>
      <c r="E87" s="76">
        <f>SUM($B$4:B87)+SUM($C$4:C87)-SUM($D$4:D87)</f>
        <v>108</v>
      </c>
      <c r="F87" s="17">
        <f>SUM(经验!A87:X87)</f>
        <v>550</v>
      </c>
      <c r="G87" s="49">
        <f>SUM($F$4:F87)+SUM($H$4:H87)</f>
        <v>60520</v>
      </c>
      <c r="H87" s="49">
        <v>0</v>
      </c>
      <c r="I87" s="80" t="s">
        <v>34</v>
      </c>
      <c r="J87" s="80" t="s">
        <v>34</v>
      </c>
      <c r="K87" s="80" t="s">
        <v>34</v>
      </c>
      <c r="L87" s="80" t="s">
        <v>34</v>
      </c>
      <c r="M87" s="80" t="s">
        <v>34</v>
      </c>
      <c r="N87" s="80" t="s">
        <v>34</v>
      </c>
      <c r="O87" s="72" t="s">
        <v>34</v>
      </c>
      <c r="P87" s="72" t="s">
        <v>34</v>
      </c>
      <c r="Q87" s="20" t="s">
        <v>39</v>
      </c>
      <c r="R87" s="65" t="s">
        <v>40</v>
      </c>
      <c r="S87" s="65" t="s">
        <v>40</v>
      </c>
      <c r="T87" s="65" t="s">
        <v>40</v>
      </c>
      <c r="U87" s="129" t="s">
        <v>41</v>
      </c>
      <c r="V87" s="65" t="s">
        <v>40</v>
      </c>
      <c r="W87" s="72" t="s">
        <v>34</v>
      </c>
      <c r="X87" s="72" t="s">
        <v>34</v>
      </c>
      <c r="Y87" s="79" t="s">
        <v>42</v>
      </c>
      <c r="Z87" s="79" t="s">
        <v>42</v>
      </c>
      <c r="AA87" s="79" t="s">
        <v>42</v>
      </c>
      <c r="AB87" s="79" t="s">
        <v>42</v>
      </c>
      <c r="AC87" s="79" t="s">
        <v>42</v>
      </c>
      <c r="AD87" s="79" t="s">
        <v>42</v>
      </c>
      <c r="AE87" s="72" t="s">
        <v>34</v>
      </c>
      <c r="AF87" s="72" t="s">
        <v>34</v>
      </c>
      <c r="AG87" s="56">
        <f t="shared" si="13"/>
        <v>0</v>
      </c>
      <c r="AH87" s="56"/>
      <c r="AI87" s="56"/>
      <c r="AJ87" s="56"/>
      <c r="AK87" s="78" t="s">
        <v>52</v>
      </c>
    </row>
    <row r="88" spans="1:37">
      <c r="A88" s="59">
        <v>44722</v>
      </c>
      <c r="B88" s="49">
        <v>1600</v>
      </c>
      <c r="C88" s="49"/>
      <c r="D88" s="17">
        <f>(SUM(粮草!A88:X88)+AG88*10)*IF(AK88="是",$AY$4,$AY$3)</f>
        <v>1576</v>
      </c>
      <c r="E88" s="76">
        <f>SUM($B$4:B88)+SUM($C$4:C88)-SUM($D$4:D88)</f>
        <v>132</v>
      </c>
      <c r="F88" s="17">
        <f>SUM(经验!A88:X88)</f>
        <v>550</v>
      </c>
      <c r="G88" s="49">
        <f>SUM($F$4:F88)+SUM($H$4:H88)</f>
        <v>61070</v>
      </c>
      <c r="H88" s="49">
        <v>0</v>
      </c>
      <c r="I88" s="80" t="s">
        <v>34</v>
      </c>
      <c r="J88" s="80" t="s">
        <v>34</v>
      </c>
      <c r="K88" s="80" t="s">
        <v>34</v>
      </c>
      <c r="L88" s="80" t="s">
        <v>34</v>
      </c>
      <c r="M88" s="80" t="s">
        <v>34</v>
      </c>
      <c r="N88" s="80" t="s">
        <v>34</v>
      </c>
      <c r="O88" s="72" t="s">
        <v>34</v>
      </c>
      <c r="P88" s="72" t="s">
        <v>34</v>
      </c>
      <c r="Q88" s="65" t="s">
        <v>40</v>
      </c>
      <c r="R88" s="65" t="s">
        <v>40</v>
      </c>
      <c r="S88" s="65" t="s">
        <v>40</v>
      </c>
      <c r="T88" s="65" t="s">
        <v>40</v>
      </c>
      <c r="U88" s="65" t="s">
        <v>40</v>
      </c>
      <c r="V88" s="65" t="s">
        <v>40</v>
      </c>
      <c r="W88" s="72" t="s">
        <v>34</v>
      </c>
      <c r="X88" s="72" t="s">
        <v>34</v>
      </c>
      <c r="Y88" s="20" t="s">
        <v>39</v>
      </c>
      <c r="Z88" s="79" t="s">
        <v>42</v>
      </c>
      <c r="AA88" s="79" t="s">
        <v>42</v>
      </c>
      <c r="AB88" s="79" t="s">
        <v>42</v>
      </c>
      <c r="AC88" s="79" t="s">
        <v>42</v>
      </c>
      <c r="AD88" s="79" t="s">
        <v>42</v>
      </c>
      <c r="AE88" s="72" t="s">
        <v>34</v>
      </c>
      <c r="AF88" s="72" t="s">
        <v>34</v>
      </c>
      <c r="AG88" s="56">
        <f t="shared" si="13"/>
        <v>0</v>
      </c>
      <c r="AH88" s="56"/>
      <c r="AI88" s="56"/>
      <c r="AJ88" s="56"/>
      <c r="AK88" s="78" t="s">
        <v>52</v>
      </c>
    </row>
    <row r="89" spans="1:37">
      <c r="A89" s="59">
        <v>44723</v>
      </c>
      <c r="B89" s="49">
        <v>1600</v>
      </c>
      <c r="C89" s="49"/>
      <c r="D89" s="17">
        <f>(SUM(粮草!A89:X89)+AG89*10)*IF(AK89="是",$AY$4,$AY$3)</f>
        <v>1664</v>
      </c>
      <c r="E89" s="76">
        <f>SUM($B$4:B89)+SUM($C$4:C89)-SUM($D$4:D89)</f>
        <v>68</v>
      </c>
      <c r="F89" s="17">
        <f>SUM(经验!A89:X89)</f>
        <v>570</v>
      </c>
      <c r="G89" s="49">
        <f>SUM($F$4:F89)+SUM($H$4:H89)</f>
        <v>61640</v>
      </c>
      <c r="H89" s="49">
        <v>0</v>
      </c>
      <c r="I89" s="80" t="s">
        <v>34</v>
      </c>
      <c r="J89" s="80" t="s">
        <v>34</v>
      </c>
      <c r="K89" s="80" t="s">
        <v>34</v>
      </c>
      <c r="L89" s="80" t="s">
        <v>34</v>
      </c>
      <c r="M89" s="80" t="s">
        <v>34</v>
      </c>
      <c r="N89" s="80" t="s">
        <v>34</v>
      </c>
      <c r="O89" s="72" t="s">
        <v>34</v>
      </c>
      <c r="P89" s="72" t="s">
        <v>34</v>
      </c>
      <c r="Q89" s="65" t="s">
        <v>40</v>
      </c>
      <c r="R89" s="65" t="s">
        <v>40</v>
      </c>
      <c r="S89" s="65" t="s">
        <v>40</v>
      </c>
      <c r="T89" s="65" t="s">
        <v>40</v>
      </c>
      <c r="U89" s="128" t="s">
        <v>47</v>
      </c>
      <c r="V89" s="65" t="s">
        <v>40</v>
      </c>
      <c r="W89" s="72" t="s">
        <v>34</v>
      </c>
      <c r="X89" s="72" t="s">
        <v>34</v>
      </c>
      <c r="Y89" s="79" t="s">
        <v>42</v>
      </c>
      <c r="Z89" s="79" t="s">
        <v>42</v>
      </c>
      <c r="AA89" s="79" t="s">
        <v>42</v>
      </c>
      <c r="AB89" s="79" t="s">
        <v>42</v>
      </c>
      <c r="AC89" s="79" t="s">
        <v>42</v>
      </c>
      <c r="AD89" s="79" t="s">
        <v>42</v>
      </c>
      <c r="AE89" s="72" t="s">
        <v>34</v>
      </c>
      <c r="AF89" s="72" t="s">
        <v>34</v>
      </c>
      <c r="AG89" s="56">
        <f t="shared" si="13"/>
        <v>0</v>
      </c>
      <c r="AH89" s="56"/>
      <c r="AI89" s="56"/>
      <c r="AJ89" s="56"/>
      <c r="AK89" s="78" t="s">
        <v>52</v>
      </c>
    </row>
    <row r="90" spans="1:37">
      <c r="A90" s="59">
        <v>44724</v>
      </c>
      <c r="B90" s="49">
        <v>1600</v>
      </c>
      <c r="C90" s="49"/>
      <c r="D90" s="17">
        <f>(SUM(粮草!A90:X90)+AG90*10)*IF(AK90="是",$AY$4,$AY$3)</f>
        <v>1480</v>
      </c>
      <c r="E90" s="76">
        <f>SUM($B$4:B90)+SUM($C$4:C90)-SUM($D$4:D90)</f>
        <v>188</v>
      </c>
      <c r="F90" s="17">
        <f>SUM(经验!A90:X90)</f>
        <v>535</v>
      </c>
      <c r="G90" s="49">
        <f>SUM($F$4:F90)+SUM($H$4:H90)</f>
        <v>62175</v>
      </c>
      <c r="H90" s="49">
        <v>0</v>
      </c>
      <c r="I90" s="80" t="s">
        <v>34</v>
      </c>
      <c r="J90" s="80" t="s">
        <v>34</v>
      </c>
      <c r="K90" s="80" t="s">
        <v>34</v>
      </c>
      <c r="L90" s="80" t="s">
        <v>34</v>
      </c>
      <c r="M90" s="80" t="s">
        <v>34</v>
      </c>
      <c r="N90" s="80" t="s">
        <v>34</v>
      </c>
      <c r="O90" s="72" t="s">
        <v>34</v>
      </c>
      <c r="P90" s="72" t="s">
        <v>34</v>
      </c>
      <c r="Q90" s="65" t="s">
        <v>40</v>
      </c>
      <c r="R90" s="65" t="s">
        <v>40</v>
      </c>
      <c r="S90" s="65" t="s">
        <v>40</v>
      </c>
      <c r="T90" s="20" t="s">
        <v>39</v>
      </c>
      <c r="U90" s="65" t="s">
        <v>40</v>
      </c>
      <c r="V90" s="65" t="s">
        <v>40</v>
      </c>
      <c r="W90" s="72" t="s">
        <v>34</v>
      </c>
      <c r="X90" s="72" t="s">
        <v>34</v>
      </c>
      <c r="Y90" s="79" t="s">
        <v>42</v>
      </c>
      <c r="Z90" s="79" t="s">
        <v>42</v>
      </c>
      <c r="AA90" s="79" t="s">
        <v>42</v>
      </c>
      <c r="AB90" s="79" t="s">
        <v>42</v>
      </c>
      <c r="AC90" s="20" t="s">
        <v>39</v>
      </c>
      <c r="AD90" s="79" t="s">
        <v>42</v>
      </c>
      <c r="AE90" s="72" t="s">
        <v>34</v>
      </c>
      <c r="AF90" s="72" t="s">
        <v>34</v>
      </c>
      <c r="AG90" s="56">
        <f t="shared" si="13"/>
        <v>0</v>
      </c>
      <c r="AH90" s="56"/>
      <c r="AI90" s="56"/>
      <c r="AJ90" s="56"/>
      <c r="AK90" s="78" t="s">
        <v>52</v>
      </c>
    </row>
    <row r="91" spans="1:37">
      <c r="A91" s="59">
        <v>44725</v>
      </c>
      <c r="B91">
        <v>1600</v>
      </c>
      <c r="D91" s="17">
        <f>(SUM(粮草!A91:X91)+AG91*10)*IF(AK91="是",$AY$4,$AY$3)</f>
        <v>1680</v>
      </c>
      <c r="E91" s="76">
        <f>SUM($B$4:B91)+SUM($C$4:C91)-SUM($D$4:D91)</f>
        <v>108</v>
      </c>
      <c r="F91" s="17">
        <f>SUM(经验!A91:X91)</f>
        <v>570</v>
      </c>
      <c r="G91" s="49">
        <f>SUM($F$4:F91)+SUM($H$4:H91)</f>
        <v>62945</v>
      </c>
      <c r="H91">
        <v>200</v>
      </c>
      <c r="I91" s="80" t="s">
        <v>34</v>
      </c>
      <c r="J91" s="80" t="s">
        <v>34</v>
      </c>
      <c r="K91" s="80" t="s">
        <v>34</v>
      </c>
      <c r="L91" s="80" t="s">
        <v>34</v>
      </c>
      <c r="M91" s="80" t="s">
        <v>34</v>
      </c>
      <c r="N91" s="80" t="s">
        <v>34</v>
      </c>
      <c r="O91" s="72" t="s">
        <v>34</v>
      </c>
      <c r="P91" s="72" t="s">
        <v>34</v>
      </c>
      <c r="Q91" s="65" t="s">
        <v>40</v>
      </c>
      <c r="R91" s="65" t="s">
        <v>40</v>
      </c>
      <c r="S91" s="65" t="s">
        <v>40</v>
      </c>
      <c r="T91" s="65" t="s">
        <v>40</v>
      </c>
      <c r="U91" s="65" t="s">
        <v>40</v>
      </c>
      <c r="V91" s="65" t="s">
        <v>40</v>
      </c>
      <c r="W91" s="72" t="s">
        <v>34</v>
      </c>
      <c r="X91" s="72" t="s">
        <v>34</v>
      </c>
      <c r="Y91" s="79" t="s">
        <v>42</v>
      </c>
      <c r="Z91" s="79" t="s">
        <v>42</v>
      </c>
      <c r="AA91" s="79" t="s">
        <v>42</v>
      </c>
      <c r="AB91" s="79" t="s">
        <v>42</v>
      </c>
      <c r="AC91" s="79" t="s">
        <v>42</v>
      </c>
      <c r="AD91" s="79" t="s">
        <v>42</v>
      </c>
      <c r="AE91" s="72" t="s">
        <v>34</v>
      </c>
      <c r="AF91" s="72" t="s">
        <v>34</v>
      </c>
      <c r="AG91" s="56">
        <f t="shared" si="13"/>
        <v>0</v>
      </c>
      <c r="AH91" s="56"/>
      <c r="AI91" s="56"/>
      <c r="AJ91" s="56"/>
      <c r="AK91" s="78" t="s">
        <v>52</v>
      </c>
    </row>
    <row r="92" spans="1:37">
      <c r="A92" s="59">
        <v>44726</v>
      </c>
      <c r="B92">
        <v>1600</v>
      </c>
      <c r="D92" s="91">
        <f>(SUM(粮草!A92:X92)+AG92*10)*IF(AK92="是",$AY$4,$AY$3)-40</f>
        <v>1528</v>
      </c>
      <c r="E92" s="76">
        <f>SUM($B$4:B92)+SUM($C$4:C92)-SUM($D$4:D92)</f>
        <v>180</v>
      </c>
      <c r="F92" s="17">
        <f>SUM(经验!A92:X92)</f>
        <v>610</v>
      </c>
      <c r="G92" s="49">
        <f>SUM($F$4:F92)+SUM($H$4:H92)</f>
        <v>63655</v>
      </c>
      <c r="H92">
        <v>100</v>
      </c>
      <c r="I92" s="64" t="s">
        <v>37</v>
      </c>
      <c r="J92" s="20" t="s">
        <v>39</v>
      </c>
      <c r="K92" s="64" t="s">
        <v>37</v>
      </c>
      <c r="L92" s="64" t="s">
        <v>37</v>
      </c>
      <c r="M92" s="20" t="s">
        <v>39</v>
      </c>
      <c r="N92" s="64" t="s">
        <v>37</v>
      </c>
      <c r="O92" s="72" t="s">
        <v>34</v>
      </c>
      <c r="P92" s="72" t="s">
        <v>34</v>
      </c>
      <c r="Q92" s="20" t="s">
        <v>39</v>
      </c>
      <c r="R92" s="64" t="s">
        <v>37</v>
      </c>
      <c r="S92" s="64" t="s">
        <v>37</v>
      </c>
      <c r="T92" s="64" t="s">
        <v>37</v>
      </c>
      <c r="U92" s="64" t="s">
        <v>37</v>
      </c>
      <c r="V92" s="83" t="s">
        <v>59</v>
      </c>
      <c r="W92" s="72" t="s">
        <v>34</v>
      </c>
      <c r="X92" s="72" t="s">
        <v>34</v>
      </c>
      <c r="Y92" s="79" t="s">
        <v>42</v>
      </c>
      <c r="Z92" s="79" t="s">
        <v>42</v>
      </c>
      <c r="AA92" s="79" t="s">
        <v>42</v>
      </c>
      <c r="AB92" s="79" t="s">
        <v>42</v>
      </c>
      <c r="AC92" s="80" t="s">
        <v>34</v>
      </c>
      <c r="AD92" s="80" t="s">
        <v>34</v>
      </c>
      <c r="AE92" s="72" t="s">
        <v>34</v>
      </c>
      <c r="AF92" s="72" t="s">
        <v>34</v>
      </c>
      <c r="AG92" s="56">
        <f t="shared" si="13"/>
        <v>1</v>
      </c>
      <c r="AH92" s="56">
        <v>1</v>
      </c>
      <c r="AI92" s="56"/>
      <c r="AJ92" s="56"/>
      <c r="AK92" s="78" t="s">
        <v>52</v>
      </c>
    </row>
    <row r="93" spans="1:37">
      <c r="A93" s="59">
        <v>44727</v>
      </c>
      <c r="B93">
        <v>1600</v>
      </c>
      <c r="D93" s="91">
        <f>(SUM(粮草!A93:X93)+AG93*10)*IF(AK93="是",$AY$4,$AY$3)-40</f>
        <v>1608</v>
      </c>
      <c r="E93" s="76">
        <f>SUM($B$4:B93)+SUM($C$4:C93)-SUM($D$4:D93)</f>
        <v>172</v>
      </c>
      <c r="F93" s="17">
        <f>SUM(经验!A93:X93)</f>
        <v>620</v>
      </c>
      <c r="G93" s="49">
        <f>SUM($F$4:F93)+SUM($H$4:H93)</f>
        <v>64475</v>
      </c>
      <c r="H93">
        <v>200</v>
      </c>
      <c r="I93" s="64" t="s">
        <v>37</v>
      </c>
      <c r="J93" s="64" t="s">
        <v>37</v>
      </c>
      <c r="K93" s="83" t="s">
        <v>59</v>
      </c>
      <c r="L93" s="64" t="s">
        <v>37</v>
      </c>
      <c r="M93" s="64" t="s">
        <v>37</v>
      </c>
      <c r="N93" s="20" t="s">
        <v>39</v>
      </c>
      <c r="O93" s="64" t="s">
        <v>37</v>
      </c>
      <c r="P93" s="64" t="s">
        <v>37</v>
      </c>
      <c r="Q93" s="20" t="s">
        <v>39</v>
      </c>
      <c r="R93" s="64" t="s">
        <v>37</v>
      </c>
      <c r="S93" s="64" t="s">
        <v>37</v>
      </c>
      <c r="T93" s="64" t="s">
        <v>37</v>
      </c>
      <c r="U93" s="80" t="s">
        <v>34</v>
      </c>
      <c r="V93" s="80" t="s">
        <v>34</v>
      </c>
      <c r="W93" s="72" t="s">
        <v>34</v>
      </c>
      <c r="X93" s="72" t="s">
        <v>34</v>
      </c>
      <c r="Y93" s="79" t="s">
        <v>42</v>
      </c>
      <c r="Z93" s="79" t="s">
        <v>42</v>
      </c>
      <c r="AA93" s="79" t="s">
        <v>42</v>
      </c>
      <c r="AB93" s="79" t="s">
        <v>42</v>
      </c>
      <c r="AC93" s="80" t="s">
        <v>34</v>
      </c>
      <c r="AD93" s="80" t="s">
        <v>34</v>
      </c>
      <c r="AE93" s="72" t="s">
        <v>34</v>
      </c>
      <c r="AF93" s="72" t="s">
        <v>34</v>
      </c>
      <c r="AG93" s="56">
        <f t="shared" si="13"/>
        <v>0</v>
      </c>
      <c r="AH93" s="56"/>
      <c r="AI93" s="56"/>
      <c r="AJ93" s="56"/>
      <c r="AK93" s="78" t="s">
        <v>52</v>
      </c>
    </row>
    <row r="94" spans="1:37" ht="15.75" thickBot="1">
      <c r="A94" s="59">
        <v>44728</v>
      </c>
      <c r="B94">
        <v>1600</v>
      </c>
      <c r="D94" s="17">
        <f>(SUM(粮草!A94:X94)+AG94*10)*IF(AK94="是",$AY$4,$AY$3)</f>
        <v>1760</v>
      </c>
      <c r="E94" s="76">
        <f>SUM($B$4:B94)+SUM($C$4:C94)-SUM($D$4:D94)</f>
        <v>12</v>
      </c>
      <c r="F94" s="17">
        <f>SUM(经验!A94:X94)</f>
        <v>635</v>
      </c>
      <c r="G94" s="49">
        <f>SUM($F$4:F94)+SUM($H$4:H94)</f>
        <v>65110</v>
      </c>
      <c r="H94">
        <v>0</v>
      </c>
      <c r="I94" s="64" t="s">
        <v>37</v>
      </c>
      <c r="J94" s="64" t="s">
        <v>37</v>
      </c>
      <c r="K94" s="20" t="s">
        <v>39</v>
      </c>
      <c r="L94" s="64" t="s">
        <v>37</v>
      </c>
      <c r="M94" s="64" t="s">
        <v>37</v>
      </c>
      <c r="N94" s="20" t="s">
        <v>39</v>
      </c>
      <c r="O94" s="72" t="s">
        <v>34</v>
      </c>
      <c r="P94" s="72" t="s">
        <v>34</v>
      </c>
      <c r="Q94" s="20" t="s">
        <v>39</v>
      </c>
      <c r="R94" s="64" t="s">
        <v>37</v>
      </c>
      <c r="S94" s="64" t="s">
        <v>37</v>
      </c>
      <c r="T94" s="64" t="s">
        <v>37</v>
      </c>
      <c r="U94" s="89" t="s">
        <v>33</v>
      </c>
      <c r="V94" s="20" t="s">
        <v>39</v>
      </c>
      <c r="W94" s="72" t="s">
        <v>34</v>
      </c>
      <c r="X94" s="72" t="s">
        <v>34</v>
      </c>
      <c r="Y94" s="79" t="s">
        <v>42</v>
      </c>
      <c r="Z94" s="79" t="s">
        <v>42</v>
      </c>
      <c r="AA94" s="79" t="s">
        <v>42</v>
      </c>
      <c r="AB94" s="79" t="s">
        <v>42</v>
      </c>
      <c r="AC94" s="80" t="s">
        <v>34</v>
      </c>
      <c r="AD94" s="80" t="s">
        <v>34</v>
      </c>
      <c r="AE94" s="72" t="s">
        <v>34</v>
      </c>
      <c r="AF94" s="72" t="s">
        <v>34</v>
      </c>
      <c r="AG94" s="56">
        <f t="shared" si="13"/>
        <v>1</v>
      </c>
      <c r="AH94" s="56"/>
      <c r="AI94" s="56">
        <v>1</v>
      </c>
      <c r="AJ94" s="56"/>
      <c r="AK94" s="133" t="s">
        <v>52</v>
      </c>
    </row>
    <row r="95" spans="1:37">
      <c r="AH95" s="56"/>
      <c r="AI95" s="56"/>
      <c r="AJ95" s="56"/>
    </row>
    <row r="96" spans="1:37">
      <c r="D96" t="s">
        <v>61</v>
      </c>
      <c r="E96" s="19">
        <f>COUNTIF(E4:E94,"&lt;0")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7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07" t="s">
        <v>62</v>
      </c>
      <c r="B2" s="108"/>
      <c r="C2" s="1" t="s">
        <v>4</v>
      </c>
      <c r="D2" s="1">
        <f>COUNTIF(A4:H94,"&lt;&gt;空")</f>
        <v>728</v>
      </c>
      <c r="E2" s="108" t="s">
        <v>5</v>
      </c>
      <c r="F2" s="108"/>
      <c r="G2" s="108"/>
      <c r="H2" s="109"/>
      <c r="I2" s="110" t="s">
        <v>6</v>
      </c>
      <c r="J2" s="111"/>
      <c r="K2" s="6" t="s">
        <v>4</v>
      </c>
      <c r="L2" s="6">
        <f>COUNTIF(I4:P94,"&lt;&gt;空")</f>
        <v>728</v>
      </c>
      <c r="M2" s="111" t="s">
        <v>5</v>
      </c>
      <c r="N2" s="111"/>
      <c r="O2" s="111"/>
      <c r="P2" s="112"/>
      <c r="Q2" s="113" t="s">
        <v>7</v>
      </c>
      <c r="R2" s="114"/>
      <c r="S2" s="10" t="s">
        <v>8</v>
      </c>
      <c r="T2" s="9">
        <f>COUNTIF(Q4:X94,"&lt;&gt;空")</f>
        <v>728</v>
      </c>
      <c r="U2" s="114" t="s">
        <v>5</v>
      </c>
      <c r="V2" s="114"/>
      <c r="W2" s="114"/>
      <c r="X2" s="11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(VLOOKUP('7.0.3'!I4,'7.0.3'!$AM$4:$AO$55,2,FALSE))*IF('7.0.3'!AK$4="是",'7.0.3'!$AY$4,'7.0.3'!$AY$3)</f>
        <v>150</v>
      </c>
      <c r="B4" s="4">
        <f>(VLOOKUP('7.0.3'!J4,'7.0.3'!$AM$4:$AO$55,2,FALSE))*IF('7.0.3'!AL$4="是",'7.0.3'!$AY$4,'7.0.3'!$AY$3)</f>
        <v>150</v>
      </c>
      <c r="C4" s="4">
        <f>(VLOOKUP('7.0.3'!K4,'7.0.3'!$AM$4:$AO$55,2,FALSE))*IF('7.0.3'!AM$4="是",'7.0.3'!$AY$4,'7.0.3'!$AY$3)</f>
        <v>150</v>
      </c>
      <c r="D4" s="4">
        <f>(VLOOKUP('7.0.3'!L4,'7.0.3'!$AM$4:$AO$55,2,FALSE))*IF('7.0.3'!AN$4="是",'7.0.3'!$AY$4,'7.0.3'!$AY$3)</f>
        <v>150</v>
      </c>
      <c r="E4" s="4">
        <f>(VLOOKUP('7.0.3'!M4,'7.0.3'!$AM$4:$AO$55,2,FALSE))*IF('7.0.3'!AO$4="是",'7.0.3'!$AY$4,'7.0.3'!$AY$3)</f>
        <v>150</v>
      </c>
      <c r="F4" s="4">
        <f>(VLOOKUP('7.0.3'!N4,'7.0.3'!$AM$4:$AO$55,2,FALSE))*IF('7.0.3'!AQ$4="是",'7.0.3'!$AY$4,'7.0.3'!$AY$3)</f>
        <v>50</v>
      </c>
      <c r="G4" s="5">
        <f>(VLOOKUP('7.0.3'!O4,'7.0.3'!$AM$4:$AO$55,2,FALSE))*IF('7.0.3'!AR$4="是",'7.0.3'!$AY$4,'7.0.3'!$AY$3)</f>
        <v>0</v>
      </c>
      <c r="H4" s="5">
        <f>(VLOOKUP('7.0.3'!P4,'7.0.3'!$AM$4:$AO$55,2,FALSE))*IF('7.0.3'!AS$4="是",'7.0.3'!$AY$4,'7.0.3'!$AY$3)</f>
        <v>0</v>
      </c>
      <c r="I4" s="4">
        <f>(VLOOKUP('7.0.3'!Q4,'7.0.3'!$AM$4:$AO$55,2,FALSE))*IF('7.0.3'!AT$4="是",'7.0.3'!$AY$4,'7.0.3'!$AY$3)</f>
        <v>150</v>
      </c>
      <c r="J4" s="4">
        <f>(VLOOKUP('7.0.3'!R4,'7.0.3'!$AM$4:$AO$55,2,FALSE))*IF('7.0.3'!AU$4="是",'7.0.3'!$AY$4,'7.0.3'!$AY$3)</f>
        <v>150</v>
      </c>
      <c r="K4" s="4">
        <f>(VLOOKUP('7.0.3'!S4,'7.0.3'!$AM$4:$AO$55,2,FALSE))*IF('7.0.3'!AV$4="是",'7.0.3'!$AY$4,'7.0.3'!$AY$3)</f>
        <v>-150</v>
      </c>
      <c r="L4" s="4">
        <f>(VLOOKUP('7.0.3'!T4,'7.0.3'!$AM$4:$AO$55,2,FALSE))*IF('7.0.3'!AW$4="是",'7.0.3'!$AY$4,'7.0.3'!$AY$3)</f>
        <v>160</v>
      </c>
      <c r="M4" s="4">
        <f>(VLOOKUP('7.0.3'!U4,'7.0.3'!$AM$4:$AO$55,2,FALSE))*IF('7.0.3'!AX$4="是",'7.0.3'!$AY$4,'7.0.3'!$AY$3)</f>
        <v>160</v>
      </c>
      <c r="N4" s="4">
        <f>(VLOOKUP('7.0.3'!V4,'7.0.3'!$AM$4:$AO$55,2,FALSE))*IF('7.0.3'!AY$4="是",'7.0.3'!$AY$4,'7.0.3'!$AY$3)</f>
        <v>160</v>
      </c>
      <c r="O4" s="5">
        <f>(VLOOKUP('7.0.3'!W4,'7.0.3'!$AM$4:$AO$55,2,FALSE))*IF('7.0.3'!AZ$4="是",'7.0.3'!$AY$4,'7.0.3'!$AY$3)</f>
        <v>160</v>
      </c>
      <c r="P4" s="5">
        <f>(VLOOKUP('7.0.3'!X4,'7.0.3'!$AM$4:$AO$55,2,FALSE))*IF('7.0.3'!BA$4="是",'7.0.3'!$AY$4,'7.0.3'!$AY$3)</f>
        <v>160</v>
      </c>
      <c r="Q4" s="4">
        <f>(VLOOKUP('7.0.3'!Y4,'7.0.3'!$AM$4:$AO$55,2,FALSE))*IF('7.0.3'!BB$4="是",'7.0.3'!$AY$4,'7.0.3'!$AY$3)</f>
        <v>160</v>
      </c>
      <c r="R4" s="4">
        <f>(VLOOKUP('7.0.3'!Z4,'7.0.3'!$AM$4:$AO$55,2,FALSE))*IF('7.0.3'!BC$4="是",'7.0.3'!$AY$4,'7.0.3'!$AY$3)</f>
        <v>150</v>
      </c>
      <c r="S4" s="4">
        <f>(VLOOKUP('7.0.3'!AA4,'7.0.3'!$AM$4:$AO$55,2,FALSE))*IF('7.0.3'!BD$4="是",'7.0.3'!$AY$4,'7.0.3'!$AY$3)</f>
        <v>160</v>
      </c>
      <c r="T4" s="4">
        <f>(VLOOKUP('7.0.3'!AB4,'7.0.3'!$AM$4:$AO$55,2,FALSE))*IF('7.0.3'!BE$4="是",'7.0.3'!$AY$4,'7.0.3'!$AY$3)</f>
        <v>160</v>
      </c>
      <c r="U4" s="4">
        <f>(VLOOKUP('7.0.3'!AC4,'7.0.3'!$AM$4:$AO$55,2,FALSE))*IF('7.0.3'!BF$4="是",'7.0.3'!$AY$4,'7.0.3'!$AY$3)</f>
        <v>50</v>
      </c>
      <c r="V4" s="4">
        <f>(VLOOKUP('7.0.3'!AD4,'7.0.3'!$AM$4:$AO$55,2,FALSE))*IF('7.0.3'!BG$4="是",'7.0.3'!$AY$4,'7.0.3'!$AY$3)</f>
        <v>160</v>
      </c>
      <c r="W4" s="5">
        <f>(VLOOKUP('7.0.3'!AE4,'7.0.3'!$AM$4:$AO$55,2,FALSE))*IF('7.0.3'!BH$4="是",'7.0.3'!$AY$4,'7.0.3'!$AY$3)</f>
        <v>160</v>
      </c>
      <c r="X4" s="5">
        <f>(VLOOKUP('7.0.3'!AF4,'7.0.3'!$AM$4:$AO$55,2,FALSE))*IF('7.0.3'!BI$4="是",'7.0.3'!$AY$4,'7.0.3'!$AY$3)</f>
        <v>0</v>
      </c>
    </row>
    <row r="5" spans="1:24">
      <c r="A5" s="4">
        <f>(VLOOKUP('7.0.3'!I5,'7.0.3'!$AM$4:$AO$55,2,FALSE))*IF('7.0.3'!AK$4="是",'7.0.3'!$AY$4,'7.0.3'!$AY$3)</f>
        <v>160</v>
      </c>
      <c r="B5" s="4">
        <f>(VLOOKUP('7.0.3'!J5,'7.0.3'!$AM$4:$AO$55,2,FALSE))*IF('7.0.3'!AL$4="是",'7.0.3'!$AY$4,'7.0.3'!$AY$3)</f>
        <v>160</v>
      </c>
      <c r="C5" s="4">
        <f>(VLOOKUP('7.0.3'!K5,'7.0.3'!$AM$4:$AO$55,2,FALSE))*IF('7.0.3'!AM$4="是",'7.0.3'!$AY$4,'7.0.3'!$AY$3)</f>
        <v>160</v>
      </c>
      <c r="D5" s="4">
        <f>(VLOOKUP('7.0.3'!L5,'7.0.3'!$AM$4:$AO$55,2,FALSE))*IF('7.0.3'!AN$4="是",'7.0.3'!$AY$4,'7.0.3'!$AY$3)</f>
        <v>160</v>
      </c>
      <c r="E5" s="4">
        <f>(VLOOKUP('7.0.3'!M5,'7.0.3'!$AM$4:$AO$55,2,FALSE))*IF('7.0.3'!AO$4="是",'7.0.3'!$AY$4,'7.0.3'!$AY$3)</f>
        <v>160</v>
      </c>
      <c r="F5" s="4">
        <f>(VLOOKUP('7.0.3'!N5,'7.0.3'!$AM$4:$AO$55,2,FALSE))*IF('7.0.3'!AQ$4="是",'7.0.3'!$AY$4,'7.0.3'!$AY$3)</f>
        <v>50</v>
      </c>
      <c r="G5" s="5">
        <f>(VLOOKUP('7.0.3'!O5,'7.0.3'!$AM$4:$AO$55,2,FALSE))*IF('7.0.3'!AR$4="是",'7.0.3'!$AY$4,'7.0.3'!$AY$3)</f>
        <v>0</v>
      </c>
      <c r="H5" s="5">
        <f>(VLOOKUP('7.0.3'!P5,'7.0.3'!$AM$4:$AO$55,2,FALSE))*IF('7.0.3'!AS$4="是",'7.0.3'!$AY$4,'7.0.3'!$AY$3)</f>
        <v>0</v>
      </c>
      <c r="I5" s="4">
        <f>(VLOOKUP('7.0.3'!Q5,'7.0.3'!$AM$4:$AO$55,2,FALSE))*IF('7.0.3'!AT$4="是",'7.0.3'!$AY$4,'7.0.3'!$AY$3)</f>
        <v>160</v>
      </c>
      <c r="J5" s="4">
        <f>(VLOOKUP('7.0.3'!R5,'7.0.3'!$AM$4:$AO$55,2,FALSE))*IF('7.0.3'!AU$4="是",'7.0.3'!$AY$4,'7.0.3'!$AY$3)</f>
        <v>160</v>
      </c>
      <c r="K5" s="4">
        <f>(VLOOKUP('7.0.3'!S5,'7.0.3'!$AM$4:$AO$55,2,FALSE))*IF('7.0.3'!AV$4="是",'7.0.3'!$AY$4,'7.0.3'!$AY$3)</f>
        <v>160</v>
      </c>
      <c r="L5" s="4">
        <f>(VLOOKUP('7.0.3'!T5,'7.0.3'!$AM$4:$AO$55,2,FALSE))*IF('7.0.3'!AW$4="是",'7.0.3'!$AY$4,'7.0.3'!$AY$3)</f>
        <v>160</v>
      </c>
      <c r="M5" s="4">
        <f>(VLOOKUP('7.0.3'!U5,'7.0.3'!$AM$4:$AO$55,2,FALSE))*IF('7.0.3'!AX$4="是",'7.0.3'!$AY$4,'7.0.3'!$AY$3)</f>
        <v>160</v>
      </c>
      <c r="N5" s="4">
        <f>(VLOOKUP('7.0.3'!V5,'7.0.3'!$AM$4:$AO$55,2,FALSE))*IF('7.0.3'!AY$4="是",'7.0.3'!$AY$4,'7.0.3'!$AY$3)</f>
        <v>160</v>
      </c>
      <c r="O5" s="5">
        <f>(VLOOKUP('7.0.3'!W5,'7.0.3'!$AM$4:$AO$55,2,FALSE))*IF('7.0.3'!AZ$4="是",'7.0.3'!$AY$4,'7.0.3'!$AY$3)</f>
        <v>0</v>
      </c>
      <c r="P5" s="5">
        <f>(VLOOKUP('7.0.3'!X5,'7.0.3'!$AM$4:$AO$55,2,FALSE))*IF('7.0.3'!BA$4="是",'7.0.3'!$AY$4,'7.0.3'!$AY$3)</f>
        <v>0</v>
      </c>
      <c r="Q5" s="4">
        <f>(VLOOKUP('7.0.3'!Y5,'7.0.3'!$AM$4:$AO$55,2,FALSE))*IF('7.0.3'!BB$4="是",'7.0.3'!$AY$4,'7.0.3'!$AY$3)</f>
        <v>180</v>
      </c>
      <c r="R5" s="4">
        <f>(VLOOKUP('7.0.3'!Z5,'7.0.3'!$AM$4:$AO$55,2,FALSE))*IF('7.0.3'!BC$4="是",'7.0.3'!$AY$4,'7.0.3'!$AY$3)</f>
        <v>150</v>
      </c>
      <c r="S5" s="4">
        <f>(VLOOKUP('7.0.3'!AA5,'7.0.3'!$AM$4:$AO$55,2,FALSE))*IF('7.0.3'!BD$4="是",'7.0.3'!$AY$4,'7.0.3'!$AY$3)</f>
        <v>180</v>
      </c>
      <c r="T5" s="4">
        <f>(VLOOKUP('7.0.3'!AB5,'7.0.3'!$AM$4:$AO$55,2,FALSE))*IF('7.0.3'!BE$4="是",'7.0.3'!$AY$4,'7.0.3'!$AY$3)</f>
        <v>250</v>
      </c>
      <c r="U5" s="4">
        <f>(VLOOKUP('7.0.3'!AC5,'7.0.3'!$AM$4:$AO$55,2,FALSE))*IF('7.0.3'!BF$4="是",'7.0.3'!$AY$4,'7.0.3'!$AY$3)</f>
        <v>170</v>
      </c>
      <c r="V5" s="4">
        <f>(VLOOKUP('7.0.3'!AD5,'7.0.3'!$AM$4:$AO$55,2,FALSE))*IF('7.0.3'!BG$4="是",'7.0.3'!$AY$4,'7.0.3'!$AY$3)</f>
        <v>170</v>
      </c>
      <c r="W5" s="5">
        <f>(VLOOKUP('7.0.3'!AE5,'7.0.3'!$AM$4:$AO$55,2,FALSE))*IF('7.0.3'!BH$4="是",'7.0.3'!$AY$4,'7.0.3'!$AY$3)</f>
        <v>0</v>
      </c>
      <c r="X5" s="5">
        <f>(VLOOKUP('7.0.3'!AF5,'7.0.3'!$AM$4:$AO$55,2,FALSE))*IF('7.0.3'!BI$4="是",'7.0.3'!$AY$4,'7.0.3'!$AY$3)</f>
        <v>0</v>
      </c>
    </row>
    <row r="6" spans="1:24">
      <c r="A6" s="4">
        <f>(VLOOKUP('7.0.3'!I6,'7.0.3'!$AM$4:$AO$55,2,FALSE))*IF('7.0.3'!AK$4="是",'7.0.3'!$AY$4,'7.0.3'!$AY$3)</f>
        <v>160</v>
      </c>
      <c r="B6" s="4">
        <f>(VLOOKUP('7.0.3'!J6,'7.0.3'!$AM$4:$AO$55,2,FALSE))*IF('7.0.3'!AL$4="是",'7.0.3'!$AY$4,'7.0.3'!$AY$3)</f>
        <v>160</v>
      </c>
      <c r="C6" s="4">
        <f>(VLOOKUP('7.0.3'!K6,'7.0.3'!$AM$4:$AO$55,2,FALSE))*IF('7.0.3'!AM$4="是",'7.0.3'!$AY$4,'7.0.3'!$AY$3)</f>
        <v>170</v>
      </c>
      <c r="D6" s="4">
        <f>(VLOOKUP('7.0.3'!L6,'7.0.3'!$AM$4:$AO$55,2,FALSE))*IF('7.0.3'!AN$4="是",'7.0.3'!$AY$4,'7.0.3'!$AY$3)</f>
        <v>170</v>
      </c>
      <c r="E6" s="4">
        <f>(VLOOKUP('7.0.3'!M6,'7.0.3'!$AM$4:$AO$55,2,FALSE))*IF('7.0.3'!AO$4="是",'7.0.3'!$AY$4,'7.0.3'!$AY$3)</f>
        <v>170</v>
      </c>
      <c r="F6" s="4">
        <f>(VLOOKUP('7.0.3'!N6,'7.0.3'!$AM$4:$AO$55,2,FALSE))*IF('7.0.3'!AQ$4="是",'7.0.3'!$AY$4,'7.0.3'!$AY$3)</f>
        <v>170</v>
      </c>
      <c r="G6" s="5">
        <f>(VLOOKUP('7.0.3'!O6,'7.0.3'!$AM$4:$AO$55,2,FALSE))*IF('7.0.3'!AR$4="是",'7.0.3'!$AY$4,'7.0.3'!$AY$3)</f>
        <v>0</v>
      </c>
      <c r="H6" s="5">
        <f>(VLOOKUP('7.0.3'!P6,'7.0.3'!$AM$4:$AO$55,2,FALSE))*IF('7.0.3'!AS$4="是",'7.0.3'!$AY$4,'7.0.3'!$AY$3)</f>
        <v>0</v>
      </c>
      <c r="I6" s="4">
        <f>(VLOOKUP('7.0.3'!Q6,'7.0.3'!$AM$4:$AO$55,2,FALSE))*IF('7.0.3'!AT$4="是",'7.0.3'!$AY$4,'7.0.3'!$AY$3)</f>
        <v>170</v>
      </c>
      <c r="J6" s="4">
        <f>(VLOOKUP('7.0.3'!R6,'7.0.3'!$AM$4:$AO$55,2,FALSE))*IF('7.0.3'!AU$4="是",'7.0.3'!$AY$4,'7.0.3'!$AY$3)</f>
        <v>170</v>
      </c>
      <c r="K6" s="4">
        <f>(VLOOKUP('7.0.3'!S6,'7.0.3'!$AM$4:$AO$55,2,FALSE))*IF('7.0.3'!AV$4="是",'7.0.3'!$AY$4,'7.0.3'!$AY$3)</f>
        <v>170</v>
      </c>
      <c r="L6" s="4">
        <f>(VLOOKUP('7.0.3'!T6,'7.0.3'!$AM$4:$AO$55,2,FALSE))*IF('7.0.3'!AW$4="是",'7.0.3'!$AY$4,'7.0.3'!$AY$3)</f>
        <v>170</v>
      </c>
      <c r="M6" s="4">
        <f>(VLOOKUP('7.0.3'!U6,'7.0.3'!$AM$4:$AO$55,2,FALSE))*IF('7.0.3'!AX$4="是",'7.0.3'!$AY$4,'7.0.3'!$AY$3)</f>
        <v>170</v>
      </c>
      <c r="N6" s="4">
        <f>(VLOOKUP('7.0.3'!V6,'7.0.3'!$AM$4:$AO$55,2,FALSE))*IF('7.0.3'!AY$4="是",'7.0.3'!$AY$4,'7.0.3'!$AY$3)</f>
        <v>170</v>
      </c>
      <c r="O6" s="5">
        <f>(VLOOKUP('7.0.3'!W6,'7.0.3'!$AM$4:$AO$55,2,FALSE))*IF('7.0.3'!AZ$4="是",'7.0.3'!$AY$4,'7.0.3'!$AY$3)</f>
        <v>0</v>
      </c>
      <c r="P6" s="5">
        <f>(VLOOKUP('7.0.3'!X6,'7.0.3'!$AM$4:$AO$55,2,FALSE))*IF('7.0.3'!BA$4="是",'7.0.3'!$AY$4,'7.0.3'!$AY$3)</f>
        <v>0</v>
      </c>
      <c r="Q6" s="4">
        <f>(VLOOKUP('7.0.3'!Y6,'7.0.3'!$AM$4:$AO$55,2,FALSE))*IF('7.0.3'!BB$4="是",'7.0.3'!$AY$4,'7.0.3'!$AY$3)</f>
        <v>170</v>
      </c>
      <c r="R6" s="4">
        <f>(VLOOKUP('7.0.3'!Z6,'7.0.3'!$AM$4:$AO$55,2,FALSE))*IF('7.0.3'!BC$4="是",'7.0.3'!$AY$4,'7.0.3'!$AY$3)</f>
        <v>-150</v>
      </c>
      <c r="S6" s="4">
        <f>(VLOOKUP('7.0.3'!AA6,'7.0.3'!$AM$4:$AO$55,2,FALSE))*IF('7.0.3'!BD$4="是",'7.0.3'!$AY$4,'7.0.3'!$AY$3)</f>
        <v>170</v>
      </c>
      <c r="T6" s="4">
        <f>(VLOOKUP('7.0.3'!AB6,'7.0.3'!$AM$4:$AO$55,2,FALSE))*IF('7.0.3'!BE$4="是",'7.0.3'!$AY$4,'7.0.3'!$AY$3)</f>
        <v>170</v>
      </c>
      <c r="U6" s="4">
        <f>(VLOOKUP('7.0.3'!AC6,'7.0.3'!$AM$4:$AO$55,2,FALSE))*IF('7.0.3'!BF$4="是",'7.0.3'!$AY$4,'7.0.3'!$AY$3)</f>
        <v>0</v>
      </c>
      <c r="V6" s="4">
        <f>(VLOOKUP('7.0.3'!AD6,'7.0.3'!$AM$4:$AO$55,2,FALSE))*IF('7.0.3'!BG$4="是",'7.0.3'!$AY$4,'7.0.3'!$AY$3)</f>
        <v>0</v>
      </c>
      <c r="W6" s="5">
        <f>(VLOOKUP('7.0.3'!AE6,'7.0.3'!$AM$4:$AO$55,2,FALSE))*IF('7.0.3'!BH$4="是",'7.0.3'!$AY$4,'7.0.3'!$AY$3)</f>
        <v>0</v>
      </c>
      <c r="X6" s="5">
        <f>(VLOOKUP('7.0.3'!AF6,'7.0.3'!$AM$4:$AO$55,2,FALSE))*IF('7.0.3'!BI$4="是",'7.0.3'!$AY$4,'7.0.3'!$AY$3)</f>
        <v>0</v>
      </c>
    </row>
    <row r="7" spans="1:24">
      <c r="A7" s="4">
        <f>(VLOOKUP('7.0.3'!I7,'7.0.3'!$AM$4:$AO$55,2,FALSE))*IF('7.0.3'!AK$4="是",'7.0.3'!$AY$4,'7.0.3'!$AY$3)</f>
        <v>170</v>
      </c>
      <c r="B7" s="4">
        <f>(VLOOKUP('7.0.3'!J7,'7.0.3'!$AM$4:$AO$55,2,FALSE))*IF('7.0.3'!AL$4="是",'7.0.3'!$AY$4,'7.0.3'!$AY$3)</f>
        <v>170</v>
      </c>
      <c r="C7" s="4">
        <f>(VLOOKUP('7.0.3'!K7,'7.0.3'!$AM$4:$AO$55,2,FALSE))*IF('7.0.3'!AM$4="是",'7.0.3'!$AY$4,'7.0.3'!$AY$3)</f>
        <v>170</v>
      </c>
      <c r="D7" s="4">
        <f>(VLOOKUP('7.0.3'!L7,'7.0.3'!$AM$4:$AO$55,2,FALSE))*IF('7.0.3'!AN$4="是",'7.0.3'!$AY$4,'7.0.3'!$AY$3)</f>
        <v>170</v>
      </c>
      <c r="E7" s="4">
        <f>(VLOOKUP('7.0.3'!M7,'7.0.3'!$AM$4:$AO$55,2,FALSE))*IF('7.0.3'!AO$4="是",'7.0.3'!$AY$4,'7.0.3'!$AY$3)</f>
        <v>170</v>
      </c>
      <c r="F7" s="4">
        <f>(VLOOKUP('7.0.3'!N7,'7.0.3'!$AM$4:$AO$55,2,FALSE))*IF('7.0.3'!AQ$4="是",'7.0.3'!$AY$4,'7.0.3'!$AY$3)</f>
        <v>150</v>
      </c>
      <c r="G7" s="5">
        <f>(VLOOKUP('7.0.3'!O7,'7.0.3'!$AM$4:$AO$55,2,FALSE))*IF('7.0.3'!AR$4="是",'7.0.3'!$AY$4,'7.0.3'!$AY$3)</f>
        <v>0</v>
      </c>
      <c r="H7" s="5">
        <f>(VLOOKUP('7.0.3'!P7,'7.0.3'!$AM$4:$AO$55,2,FALSE))*IF('7.0.3'!AS$4="是",'7.0.3'!$AY$4,'7.0.3'!$AY$3)</f>
        <v>0</v>
      </c>
      <c r="I7" s="4">
        <f>(VLOOKUP('7.0.3'!Q7,'7.0.3'!$AM$4:$AO$55,2,FALSE))*IF('7.0.3'!AT$4="是",'7.0.3'!$AY$4,'7.0.3'!$AY$3)</f>
        <v>170</v>
      </c>
      <c r="J7" s="4">
        <f>(VLOOKUP('7.0.3'!R7,'7.0.3'!$AM$4:$AO$55,2,FALSE))*IF('7.0.3'!AU$4="是",'7.0.3'!$AY$4,'7.0.3'!$AY$3)</f>
        <v>170</v>
      </c>
      <c r="K7" s="4">
        <f>(VLOOKUP('7.0.3'!S7,'7.0.3'!$AM$4:$AO$55,2,FALSE))*IF('7.0.3'!AV$4="是",'7.0.3'!$AY$4,'7.0.3'!$AY$3)</f>
        <v>170</v>
      </c>
      <c r="L7" s="4">
        <f>(VLOOKUP('7.0.3'!T7,'7.0.3'!$AM$4:$AO$55,2,FALSE))*IF('7.0.3'!AW$4="是",'7.0.3'!$AY$4,'7.0.3'!$AY$3)</f>
        <v>170</v>
      </c>
      <c r="M7" s="4">
        <f>(VLOOKUP('7.0.3'!U7,'7.0.3'!$AM$4:$AO$55,2,FALSE))*IF('7.0.3'!AX$4="是",'7.0.3'!$AY$4,'7.0.3'!$AY$3)</f>
        <v>170</v>
      </c>
      <c r="N7" s="4">
        <f>(VLOOKUP('7.0.3'!V7,'7.0.3'!$AM$4:$AO$55,2,FALSE))*IF('7.0.3'!AY$4="是",'7.0.3'!$AY$4,'7.0.3'!$AY$3)</f>
        <v>250</v>
      </c>
      <c r="O7" s="5">
        <f>(VLOOKUP('7.0.3'!W7,'7.0.3'!$AM$4:$AO$55,2,FALSE))*IF('7.0.3'!AZ$4="是",'7.0.3'!$AY$4,'7.0.3'!$AY$3)</f>
        <v>0</v>
      </c>
      <c r="P7" s="5">
        <f>(VLOOKUP('7.0.3'!X7,'7.0.3'!$AM$4:$AO$55,2,FALSE))*IF('7.0.3'!BA$4="是",'7.0.3'!$AY$4,'7.0.3'!$AY$3)</f>
        <v>0</v>
      </c>
      <c r="Q7" s="4">
        <f>(VLOOKUP('7.0.3'!Y7,'7.0.3'!$AM$4:$AO$55,2,FALSE))*IF('7.0.3'!BB$4="是",'7.0.3'!$AY$4,'7.0.3'!$AY$3)</f>
        <v>0</v>
      </c>
      <c r="R7" s="4">
        <f>(VLOOKUP('7.0.3'!Z7,'7.0.3'!$AM$4:$AO$55,2,FALSE))*IF('7.0.3'!BC$4="是",'7.0.3'!$AY$4,'7.0.3'!$AY$3)</f>
        <v>0</v>
      </c>
      <c r="S7" s="4">
        <f>(VLOOKUP('7.0.3'!AA7,'7.0.3'!$AM$4:$AO$55,2,FALSE))*IF('7.0.3'!BD$4="是",'7.0.3'!$AY$4,'7.0.3'!$AY$3)</f>
        <v>0</v>
      </c>
      <c r="T7" s="4">
        <f>(VLOOKUP('7.0.3'!AB7,'7.0.3'!$AM$4:$AO$55,2,FALSE))*IF('7.0.3'!BE$4="是",'7.0.3'!$AY$4,'7.0.3'!$AY$3)</f>
        <v>0</v>
      </c>
      <c r="U7" s="4">
        <f>(VLOOKUP('7.0.3'!AC7,'7.0.3'!$AM$4:$AO$55,2,FALSE))*IF('7.0.3'!BF$4="是",'7.0.3'!$AY$4,'7.0.3'!$AY$3)</f>
        <v>0</v>
      </c>
      <c r="V7" s="4">
        <f>(VLOOKUP('7.0.3'!AD7,'7.0.3'!$AM$4:$AO$55,2,FALSE))*IF('7.0.3'!BG$4="是",'7.0.3'!$AY$4,'7.0.3'!$AY$3)</f>
        <v>0</v>
      </c>
      <c r="W7" s="5">
        <f>(VLOOKUP('7.0.3'!AE7,'7.0.3'!$AM$4:$AO$55,2,FALSE))*IF('7.0.3'!BH$4="是",'7.0.3'!$AY$4,'7.0.3'!$AY$3)</f>
        <v>0</v>
      </c>
      <c r="X7" s="5">
        <f>(VLOOKUP('7.0.3'!AF7,'7.0.3'!$AM$4:$AO$55,2,FALSE))*IF('7.0.3'!BI$4="是",'7.0.3'!$AY$4,'7.0.3'!$AY$3)</f>
        <v>0</v>
      </c>
    </row>
    <row r="8" spans="1:24">
      <c r="A8" s="4">
        <f>(VLOOKUP('7.0.3'!I8,'7.0.3'!$AM$4:$AO$55,2,FALSE))*IF('7.0.3'!AK$4="是",'7.0.3'!$AY$4,'7.0.3'!$AY$3)</f>
        <v>170</v>
      </c>
      <c r="B8" s="4">
        <f>(VLOOKUP('7.0.3'!J8,'7.0.3'!$AM$4:$AO$55,2,FALSE))*IF('7.0.3'!AL$4="是",'7.0.3'!$AY$4,'7.0.3'!$AY$3)</f>
        <v>170</v>
      </c>
      <c r="C8" s="4">
        <f>(VLOOKUP('7.0.3'!K8,'7.0.3'!$AM$4:$AO$55,2,FALSE))*IF('7.0.3'!AM$4="是",'7.0.3'!$AY$4,'7.0.3'!$AY$3)</f>
        <v>250</v>
      </c>
      <c r="D8" s="4">
        <f>(VLOOKUP('7.0.3'!L8,'7.0.3'!$AM$4:$AO$55,2,FALSE))*IF('7.0.3'!AN$4="是",'7.0.3'!$AY$4,'7.0.3'!$AY$3)</f>
        <v>170</v>
      </c>
      <c r="E8" s="4">
        <f>(VLOOKUP('7.0.3'!M8,'7.0.3'!$AM$4:$AO$55,2,FALSE))*IF('7.0.3'!AO$4="是",'7.0.3'!$AY$4,'7.0.3'!$AY$3)</f>
        <v>170</v>
      </c>
      <c r="F8" s="4">
        <f>(VLOOKUP('7.0.3'!N8,'7.0.3'!$AM$4:$AO$55,2,FALSE))*IF('7.0.3'!AQ$4="是",'7.0.3'!$AY$4,'7.0.3'!$AY$3)</f>
        <v>50</v>
      </c>
      <c r="G8" s="5">
        <f>(VLOOKUP('7.0.3'!O8,'7.0.3'!$AM$4:$AO$55,2,FALSE))*IF('7.0.3'!AR$4="是",'7.0.3'!$AY$4,'7.0.3'!$AY$3)</f>
        <v>0</v>
      </c>
      <c r="H8" s="5">
        <f>(VLOOKUP('7.0.3'!P8,'7.0.3'!$AM$4:$AO$55,2,FALSE))*IF('7.0.3'!AS$4="是",'7.0.3'!$AY$4,'7.0.3'!$AY$3)</f>
        <v>0</v>
      </c>
      <c r="I8" s="4">
        <f>(VLOOKUP('7.0.3'!Q8,'7.0.3'!$AM$4:$AO$55,2,FALSE))*IF('7.0.3'!AT$4="是",'7.0.3'!$AY$4,'7.0.3'!$AY$3)</f>
        <v>170</v>
      </c>
      <c r="J8" s="4">
        <f>(VLOOKUP('7.0.3'!R8,'7.0.3'!$AM$4:$AO$55,2,FALSE))*IF('7.0.3'!AU$4="是",'7.0.3'!$AY$4,'7.0.3'!$AY$3)</f>
        <v>150</v>
      </c>
      <c r="K8" s="4">
        <f>(VLOOKUP('7.0.3'!S8,'7.0.3'!$AM$4:$AO$55,2,FALSE))*IF('7.0.3'!AV$4="是",'7.0.3'!$AY$4,'7.0.3'!$AY$3)</f>
        <v>170</v>
      </c>
      <c r="L8" s="4">
        <f>(VLOOKUP('7.0.3'!T8,'7.0.3'!$AM$4:$AO$55,2,FALSE))*IF('7.0.3'!AW$4="是",'7.0.3'!$AY$4,'7.0.3'!$AY$3)</f>
        <v>170</v>
      </c>
      <c r="M8" s="4">
        <f>(VLOOKUP('7.0.3'!U8,'7.0.3'!$AM$4:$AO$55,2,FALSE))*IF('7.0.3'!AX$4="是",'7.0.3'!$AY$4,'7.0.3'!$AY$3)</f>
        <v>170</v>
      </c>
      <c r="N8" s="4">
        <f>(VLOOKUP('7.0.3'!V8,'7.0.3'!$AM$4:$AO$55,2,FALSE))*IF('7.0.3'!AY$4="是",'7.0.3'!$AY$4,'7.0.3'!$AY$3)</f>
        <v>150</v>
      </c>
      <c r="O8" s="5">
        <f>(VLOOKUP('7.0.3'!W8,'7.0.3'!$AM$4:$AO$55,2,FALSE))*IF('7.0.3'!AZ$4="是",'7.0.3'!$AY$4,'7.0.3'!$AY$3)</f>
        <v>0</v>
      </c>
      <c r="P8" s="5">
        <f>(VLOOKUP('7.0.3'!X8,'7.0.3'!$AM$4:$AO$55,2,FALSE))*IF('7.0.3'!BA$4="是",'7.0.3'!$AY$4,'7.0.3'!$AY$3)</f>
        <v>0</v>
      </c>
      <c r="Q8" s="4">
        <f>(VLOOKUP('7.0.3'!Y8,'7.0.3'!$AM$4:$AO$55,2,FALSE))*IF('7.0.3'!BB$4="是",'7.0.3'!$AY$4,'7.0.3'!$AY$3)</f>
        <v>0</v>
      </c>
      <c r="R8" s="4">
        <f>(VLOOKUP('7.0.3'!Z8,'7.0.3'!$AM$4:$AO$55,2,FALSE))*IF('7.0.3'!BC$4="是",'7.0.3'!$AY$4,'7.0.3'!$AY$3)</f>
        <v>0</v>
      </c>
      <c r="S8" s="4">
        <f>(VLOOKUP('7.0.3'!AA8,'7.0.3'!$AM$4:$AO$55,2,FALSE))*IF('7.0.3'!BD$4="是",'7.0.3'!$AY$4,'7.0.3'!$AY$3)</f>
        <v>0</v>
      </c>
      <c r="T8" s="4">
        <f>(VLOOKUP('7.0.3'!AB8,'7.0.3'!$AM$4:$AO$55,2,FALSE))*IF('7.0.3'!BE$4="是",'7.0.3'!$AY$4,'7.0.3'!$AY$3)</f>
        <v>0</v>
      </c>
      <c r="U8" s="4">
        <f>(VLOOKUP('7.0.3'!AC8,'7.0.3'!$AM$4:$AO$55,2,FALSE))*IF('7.0.3'!BF$4="是",'7.0.3'!$AY$4,'7.0.3'!$AY$3)</f>
        <v>0</v>
      </c>
      <c r="V8" s="4">
        <f>(VLOOKUP('7.0.3'!AD8,'7.0.3'!$AM$4:$AO$55,2,FALSE))*IF('7.0.3'!BG$4="是",'7.0.3'!$AY$4,'7.0.3'!$AY$3)</f>
        <v>0</v>
      </c>
      <c r="W8" s="5">
        <f>(VLOOKUP('7.0.3'!AE8,'7.0.3'!$AM$4:$AO$55,2,FALSE))*IF('7.0.3'!BH$4="是",'7.0.3'!$AY$4,'7.0.3'!$AY$3)</f>
        <v>0</v>
      </c>
      <c r="X8" s="5">
        <f>(VLOOKUP('7.0.3'!AF8,'7.0.3'!$AM$4:$AO$55,2,FALSE))*IF('7.0.3'!BI$4="是",'7.0.3'!$AY$4,'7.0.3'!$AY$3)</f>
        <v>0</v>
      </c>
    </row>
    <row r="9" spans="1:24">
      <c r="A9" s="4">
        <f>(VLOOKUP('7.0.3'!I9,'7.0.3'!$AM$4:$AO$55,2,FALSE))*IF('7.0.3'!AK$4="是",'7.0.3'!$AY$4,'7.0.3'!$AY$3)</f>
        <v>170</v>
      </c>
      <c r="B9" s="4">
        <f>(VLOOKUP('7.0.3'!J9,'7.0.3'!$AM$4:$AO$55,2,FALSE))*IF('7.0.3'!AL$4="是",'7.0.3'!$AY$4,'7.0.3'!$AY$3)</f>
        <v>170</v>
      </c>
      <c r="C9" s="4">
        <f>(VLOOKUP('7.0.3'!K9,'7.0.3'!$AM$4:$AO$55,2,FALSE))*IF('7.0.3'!AM$4="是",'7.0.3'!$AY$4,'7.0.3'!$AY$3)</f>
        <v>170</v>
      </c>
      <c r="D9" s="4">
        <f>(VLOOKUP('7.0.3'!L9,'7.0.3'!$AM$4:$AO$55,2,FALSE))*IF('7.0.3'!AN$4="是",'7.0.3'!$AY$4,'7.0.3'!$AY$3)</f>
        <v>170</v>
      </c>
      <c r="E9" s="4">
        <f>(VLOOKUP('7.0.3'!M9,'7.0.3'!$AM$4:$AO$55,2,FALSE))*IF('7.0.3'!AO$4="是",'7.0.3'!$AY$4,'7.0.3'!$AY$3)</f>
        <v>170</v>
      </c>
      <c r="F9" s="4">
        <f>(VLOOKUP('7.0.3'!N9,'7.0.3'!$AM$4:$AO$55,2,FALSE))*IF('7.0.3'!AQ$4="是",'7.0.3'!$AY$4,'7.0.3'!$AY$3)</f>
        <v>170</v>
      </c>
      <c r="G9" s="5">
        <f>(VLOOKUP('7.0.3'!O9,'7.0.3'!$AM$4:$AO$55,2,FALSE))*IF('7.0.3'!AR$4="是",'7.0.3'!$AY$4,'7.0.3'!$AY$3)</f>
        <v>0</v>
      </c>
      <c r="H9" s="5">
        <f>(VLOOKUP('7.0.3'!P9,'7.0.3'!$AM$4:$AO$55,2,FALSE))*IF('7.0.3'!AS$4="是",'7.0.3'!$AY$4,'7.0.3'!$AY$3)</f>
        <v>0</v>
      </c>
      <c r="I9" s="4">
        <f>(VLOOKUP('7.0.3'!Q9,'7.0.3'!$AM$4:$AO$55,2,FALSE))*IF('7.0.3'!AT$4="是",'7.0.3'!$AY$4,'7.0.3'!$AY$3)</f>
        <v>170</v>
      </c>
      <c r="J9" s="4">
        <f>(VLOOKUP('7.0.3'!R9,'7.0.3'!$AM$4:$AO$55,2,FALSE))*IF('7.0.3'!AU$4="是",'7.0.3'!$AY$4,'7.0.3'!$AY$3)</f>
        <v>170</v>
      </c>
      <c r="K9" s="4">
        <f>(VLOOKUP('7.0.3'!S9,'7.0.3'!$AM$4:$AO$55,2,FALSE))*IF('7.0.3'!AV$4="是",'7.0.3'!$AY$4,'7.0.3'!$AY$3)</f>
        <v>170</v>
      </c>
      <c r="L9" s="4">
        <f>(VLOOKUP('7.0.3'!T9,'7.0.3'!$AM$4:$AO$55,2,FALSE))*IF('7.0.3'!AW$4="是",'7.0.3'!$AY$4,'7.0.3'!$AY$3)</f>
        <v>170</v>
      </c>
      <c r="M9" s="4">
        <f>(VLOOKUP('7.0.3'!U9,'7.0.3'!$AM$4:$AO$55,2,FALSE))*IF('7.0.3'!AX$4="是",'7.0.3'!$AY$4,'7.0.3'!$AY$3)</f>
        <v>170</v>
      </c>
      <c r="N9" s="4">
        <f>(VLOOKUP('7.0.3'!V9,'7.0.3'!$AM$4:$AO$55,2,FALSE))*IF('7.0.3'!AY$4="是",'7.0.3'!$AY$4,'7.0.3'!$AY$3)</f>
        <v>170</v>
      </c>
      <c r="O9" s="5">
        <f>(VLOOKUP('7.0.3'!W9,'7.0.3'!$AM$4:$AO$55,2,FALSE))*IF('7.0.3'!AZ$4="是",'7.0.3'!$AY$4,'7.0.3'!$AY$3)</f>
        <v>0</v>
      </c>
      <c r="P9" s="5">
        <f>(VLOOKUP('7.0.3'!X9,'7.0.3'!$AM$4:$AO$55,2,FALSE))*IF('7.0.3'!BA$4="是",'7.0.3'!$AY$4,'7.0.3'!$AY$3)</f>
        <v>0</v>
      </c>
      <c r="Q9" s="4">
        <f>(VLOOKUP('7.0.3'!Y9,'7.0.3'!$AM$4:$AO$55,2,FALSE))*IF('7.0.3'!BB$4="是",'7.0.3'!$AY$4,'7.0.3'!$AY$3)</f>
        <v>0</v>
      </c>
      <c r="R9" s="4">
        <f>(VLOOKUP('7.0.3'!Z9,'7.0.3'!$AM$4:$AO$55,2,FALSE))*IF('7.0.3'!BC$4="是",'7.0.3'!$AY$4,'7.0.3'!$AY$3)</f>
        <v>0</v>
      </c>
      <c r="S9" s="4">
        <f>(VLOOKUP('7.0.3'!AA9,'7.0.3'!$AM$4:$AO$55,2,FALSE))*IF('7.0.3'!BD$4="是",'7.0.3'!$AY$4,'7.0.3'!$AY$3)</f>
        <v>0</v>
      </c>
      <c r="T9" s="4">
        <f>(VLOOKUP('7.0.3'!AB9,'7.0.3'!$AM$4:$AO$55,2,FALSE))*IF('7.0.3'!BE$4="是",'7.0.3'!$AY$4,'7.0.3'!$AY$3)</f>
        <v>0</v>
      </c>
      <c r="U9" s="4">
        <f>(VLOOKUP('7.0.3'!AC9,'7.0.3'!$AM$4:$AO$55,2,FALSE))*IF('7.0.3'!BF$4="是",'7.0.3'!$AY$4,'7.0.3'!$AY$3)</f>
        <v>0</v>
      </c>
      <c r="V9" s="4">
        <f>(VLOOKUP('7.0.3'!AD9,'7.0.3'!$AM$4:$AO$55,2,FALSE))*IF('7.0.3'!BG$4="是",'7.0.3'!$AY$4,'7.0.3'!$AY$3)</f>
        <v>0</v>
      </c>
      <c r="W9" s="5">
        <f>(VLOOKUP('7.0.3'!AE9,'7.0.3'!$AM$4:$AO$55,2,FALSE))*IF('7.0.3'!BH$4="是",'7.0.3'!$AY$4,'7.0.3'!$AY$3)</f>
        <v>0</v>
      </c>
      <c r="X9" s="5">
        <f>(VLOOKUP('7.0.3'!AF9,'7.0.3'!$AM$4:$AO$55,2,FALSE))*IF('7.0.3'!BI$4="是",'7.0.3'!$AY$4,'7.0.3'!$AY$3)</f>
        <v>0</v>
      </c>
    </row>
    <row r="10" spans="1:24">
      <c r="A10" s="4">
        <f>(VLOOKUP('7.0.3'!I10,'7.0.3'!$AM$4:$AO$55,2,FALSE))*IF('7.0.3'!AK$4="是",'7.0.3'!$AY$4,'7.0.3'!$AY$3)</f>
        <v>170</v>
      </c>
      <c r="B10" s="4">
        <f>(VLOOKUP('7.0.3'!J10,'7.0.3'!$AM$4:$AO$55,2,FALSE))*IF('7.0.3'!AL$4="是",'7.0.3'!$AY$4,'7.0.3'!$AY$3)</f>
        <v>170</v>
      </c>
      <c r="C10" s="4">
        <f>(VLOOKUP('7.0.3'!K10,'7.0.3'!$AM$4:$AO$55,2,FALSE))*IF('7.0.3'!AM$4="是",'7.0.3'!$AY$4,'7.0.3'!$AY$3)</f>
        <v>170</v>
      </c>
      <c r="D10" s="4">
        <f>(VLOOKUP('7.0.3'!L10,'7.0.3'!$AM$4:$AO$55,2,FALSE))*IF('7.0.3'!AN$4="是",'7.0.3'!$AY$4,'7.0.3'!$AY$3)</f>
        <v>150</v>
      </c>
      <c r="E10" s="4">
        <f>(VLOOKUP('7.0.3'!M10,'7.0.3'!$AM$4:$AO$55,2,FALSE))*IF('7.0.3'!AO$4="是",'7.0.3'!$AY$4,'7.0.3'!$AY$3)</f>
        <v>170</v>
      </c>
      <c r="F10" s="4">
        <f>(VLOOKUP('7.0.3'!N10,'7.0.3'!$AM$4:$AO$55,2,FALSE))*IF('7.0.3'!AQ$4="是",'7.0.3'!$AY$4,'7.0.3'!$AY$3)</f>
        <v>170</v>
      </c>
      <c r="G10" s="5">
        <f>(VLOOKUP('7.0.3'!O10,'7.0.3'!$AM$4:$AO$55,2,FALSE))*IF('7.0.3'!AR$4="是",'7.0.3'!$AY$4,'7.0.3'!$AY$3)</f>
        <v>0</v>
      </c>
      <c r="H10" s="5">
        <f>(VLOOKUP('7.0.3'!P10,'7.0.3'!$AM$4:$AO$55,2,FALSE))*IF('7.0.3'!AS$4="是",'7.0.3'!$AY$4,'7.0.3'!$AY$3)</f>
        <v>0</v>
      </c>
      <c r="I10" s="4">
        <f>(VLOOKUP('7.0.3'!Q10,'7.0.3'!$AM$4:$AO$55,2,FALSE))*IF('7.0.3'!AT$4="是",'7.0.3'!$AY$4,'7.0.3'!$AY$3)</f>
        <v>170</v>
      </c>
      <c r="J10" s="4">
        <f>(VLOOKUP('7.0.3'!R10,'7.0.3'!$AM$4:$AO$55,2,FALSE))*IF('7.0.3'!AU$4="是",'7.0.3'!$AY$4,'7.0.3'!$AY$3)</f>
        <v>170</v>
      </c>
      <c r="K10" s="4">
        <f>(VLOOKUP('7.0.3'!S10,'7.0.3'!$AM$4:$AO$55,2,FALSE))*IF('7.0.3'!AV$4="是",'7.0.3'!$AY$4,'7.0.3'!$AY$3)</f>
        <v>170</v>
      </c>
      <c r="L10" s="4">
        <f>(VLOOKUP('7.0.3'!T10,'7.0.3'!$AM$4:$AO$55,2,FALSE))*IF('7.0.3'!AW$4="是",'7.0.3'!$AY$4,'7.0.3'!$AY$3)</f>
        <v>170</v>
      </c>
      <c r="M10" s="4">
        <f>(VLOOKUP('7.0.3'!U10,'7.0.3'!$AM$4:$AO$55,2,FALSE))*IF('7.0.3'!AX$4="是",'7.0.3'!$AY$4,'7.0.3'!$AY$3)</f>
        <v>170</v>
      </c>
      <c r="N10" s="4">
        <f>(VLOOKUP('7.0.3'!V10,'7.0.3'!$AM$4:$AO$55,2,FALSE))*IF('7.0.3'!AY$4="是",'7.0.3'!$AY$4,'7.0.3'!$AY$3)</f>
        <v>170</v>
      </c>
      <c r="O10" s="5">
        <f>(VLOOKUP('7.0.3'!W10,'7.0.3'!$AM$4:$AO$55,2,FALSE))*IF('7.0.3'!AZ$4="是",'7.0.3'!$AY$4,'7.0.3'!$AY$3)</f>
        <v>0</v>
      </c>
      <c r="P10" s="5">
        <f>(VLOOKUP('7.0.3'!X10,'7.0.3'!$AM$4:$AO$55,2,FALSE))*IF('7.0.3'!BA$4="是",'7.0.3'!$AY$4,'7.0.3'!$AY$3)</f>
        <v>0</v>
      </c>
      <c r="Q10" s="4">
        <f>(VLOOKUP('7.0.3'!Y10,'7.0.3'!$AM$4:$AO$55,2,FALSE))*IF('7.0.3'!BB$4="是",'7.0.3'!$AY$4,'7.0.3'!$AY$3)</f>
        <v>0</v>
      </c>
      <c r="R10" s="4">
        <f>(VLOOKUP('7.0.3'!Z10,'7.0.3'!$AM$4:$AO$55,2,FALSE))*IF('7.0.3'!BC$4="是",'7.0.3'!$AY$4,'7.0.3'!$AY$3)</f>
        <v>0</v>
      </c>
      <c r="S10" s="4">
        <f>(VLOOKUP('7.0.3'!AA10,'7.0.3'!$AM$4:$AO$55,2,FALSE))*IF('7.0.3'!BD$4="是",'7.0.3'!$AY$4,'7.0.3'!$AY$3)</f>
        <v>0</v>
      </c>
      <c r="T10" s="4">
        <f>(VLOOKUP('7.0.3'!AB10,'7.0.3'!$AM$4:$AO$55,2,FALSE))*IF('7.0.3'!BE$4="是",'7.0.3'!$AY$4,'7.0.3'!$AY$3)</f>
        <v>0</v>
      </c>
      <c r="U10" s="4">
        <f>(VLOOKUP('7.0.3'!AC10,'7.0.3'!$AM$4:$AO$55,2,FALSE))*IF('7.0.3'!BF$4="是",'7.0.3'!$AY$4,'7.0.3'!$AY$3)</f>
        <v>0</v>
      </c>
      <c r="V10" s="4">
        <f>(VLOOKUP('7.0.3'!AD10,'7.0.3'!$AM$4:$AO$55,2,FALSE))*IF('7.0.3'!BG$4="是",'7.0.3'!$AY$4,'7.0.3'!$AY$3)</f>
        <v>0</v>
      </c>
      <c r="W10" s="5">
        <f>(VLOOKUP('7.0.3'!AE10,'7.0.3'!$AM$4:$AO$55,2,FALSE))*IF('7.0.3'!BH$4="是",'7.0.3'!$AY$4,'7.0.3'!$AY$3)</f>
        <v>0</v>
      </c>
      <c r="X10" s="5">
        <f>(VLOOKUP('7.0.3'!AF10,'7.0.3'!$AM$4:$AO$55,2,FALSE))*IF('7.0.3'!BI$4="是",'7.0.3'!$AY$4,'7.0.3'!$AY$3)</f>
        <v>0</v>
      </c>
    </row>
    <row r="11" spans="1:24">
      <c r="A11" s="4">
        <f>(VLOOKUP('7.0.3'!I11,'7.0.3'!$AM$4:$AO$55,2,FALSE))*IF('7.0.3'!AK$4="是",'7.0.3'!$AY$4,'7.0.3'!$AY$3)</f>
        <v>170</v>
      </c>
      <c r="B11" s="4">
        <f>(VLOOKUP('7.0.3'!J11,'7.0.3'!$AM$4:$AO$55,2,FALSE))*IF('7.0.3'!AL$4="是",'7.0.3'!$AY$4,'7.0.3'!$AY$3)</f>
        <v>170</v>
      </c>
      <c r="C11" s="4">
        <f>(VLOOKUP('7.0.3'!K11,'7.0.3'!$AM$4:$AO$55,2,FALSE))*IF('7.0.3'!AM$4="是",'7.0.3'!$AY$4,'7.0.3'!$AY$3)</f>
        <v>170</v>
      </c>
      <c r="D11" s="4">
        <f>(VLOOKUP('7.0.3'!L11,'7.0.3'!$AM$4:$AO$55,2,FALSE))*IF('7.0.3'!AN$4="是",'7.0.3'!$AY$4,'7.0.3'!$AY$3)</f>
        <v>170</v>
      </c>
      <c r="E11" s="4">
        <f>(VLOOKUP('7.0.3'!M11,'7.0.3'!$AM$4:$AO$55,2,FALSE))*IF('7.0.3'!AO$4="是",'7.0.3'!$AY$4,'7.0.3'!$AY$3)</f>
        <v>50</v>
      </c>
      <c r="F11" s="4">
        <f>(VLOOKUP('7.0.3'!N11,'7.0.3'!$AM$4:$AO$55,2,FALSE))*IF('7.0.3'!AQ$4="是",'7.0.3'!$AY$4,'7.0.3'!$AY$3)</f>
        <v>170</v>
      </c>
      <c r="G11" s="5">
        <f>(VLOOKUP('7.0.3'!O11,'7.0.3'!$AM$4:$AO$55,2,FALSE))*IF('7.0.3'!AR$4="是",'7.0.3'!$AY$4,'7.0.3'!$AY$3)</f>
        <v>0</v>
      </c>
      <c r="H11" s="5">
        <f>(VLOOKUP('7.0.3'!P11,'7.0.3'!$AM$4:$AO$55,2,FALSE))*IF('7.0.3'!AS$4="是",'7.0.3'!$AY$4,'7.0.3'!$AY$3)</f>
        <v>0</v>
      </c>
      <c r="I11" s="4">
        <f>(VLOOKUP('7.0.3'!Q11,'7.0.3'!$AM$4:$AO$55,2,FALSE))*IF('7.0.3'!AT$4="是",'7.0.3'!$AY$4,'7.0.3'!$AY$3)</f>
        <v>170</v>
      </c>
      <c r="J11" s="4">
        <f>(VLOOKUP('7.0.3'!R11,'7.0.3'!$AM$4:$AO$55,2,FALSE))*IF('7.0.3'!AU$4="是",'7.0.3'!$AY$4,'7.0.3'!$AY$3)</f>
        <v>170</v>
      </c>
      <c r="K11" s="4">
        <f>(VLOOKUP('7.0.3'!S11,'7.0.3'!$AM$4:$AO$55,2,FALSE))*IF('7.0.3'!AV$4="是",'7.0.3'!$AY$4,'7.0.3'!$AY$3)</f>
        <v>170</v>
      </c>
      <c r="L11" s="4">
        <f>(VLOOKUP('7.0.3'!T11,'7.0.3'!$AM$4:$AO$55,2,FALSE))*IF('7.0.3'!AW$4="是",'7.0.3'!$AY$4,'7.0.3'!$AY$3)</f>
        <v>170</v>
      </c>
      <c r="M11" s="4">
        <f>(VLOOKUP('7.0.3'!U11,'7.0.3'!$AM$4:$AO$55,2,FALSE))*IF('7.0.3'!AX$4="是",'7.0.3'!$AY$4,'7.0.3'!$AY$3)</f>
        <v>170</v>
      </c>
      <c r="N11" s="4">
        <f>(VLOOKUP('7.0.3'!V11,'7.0.3'!$AM$4:$AO$55,2,FALSE))*IF('7.0.3'!AY$4="是",'7.0.3'!$AY$4,'7.0.3'!$AY$3)</f>
        <v>170</v>
      </c>
      <c r="O11" s="5">
        <f>(VLOOKUP('7.0.3'!W11,'7.0.3'!$AM$4:$AO$55,2,FALSE))*IF('7.0.3'!AZ$4="是",'7.0.3'!$AY$4,'7.0.3'!$AY$3)</f>
        <v>0</v>
      </c>
      <c r="P11" s="5">
        <f>(VLOOKUP('7.0.3'!X11,'7.0.3'!$AM$4:$AO$55,2,FALSE))*IF('7.0.3'!BA$4="是",'7.0.3'!$AY$4,'7.0.3'!$AY$3)</f>
        <v>0</v>
      </c>
      <c r="Q11" s="4">
        <f>(VLOOKUP('7.0.3'!Y11,'7.0.3'!$AM$4:$AO$55,2,FALSE))*IF('7.0.3'!BB$4="是",'7.0.3'!$AY$4,'7.0.3'!$AY$3)</f>
        <v>0</v>
      </c>
      <c r="R11" s="4">
        <f>(VLOOKUP('7.0.3'!Z11,'7.0.3'!$AM$4:$AO$55,2,FALSE))*IF('7.0.3'!BC$4="是",'7.0.3'!$AY$4,'7.0.3'!$AY$3)</f>
        <v>0</v>
      </c>
      <c r="S11" s="4">
        <f>(VLOOKUP('7.0.3'!AA11,'7.0.3'!$AM$4:$AO$55,2,FALSE))*IF('7.0.3'!BD$4="是",'7.0.3'!$AY$4,'7.0.3'!$AY$3)</f>
        <v>0</v>
      </c>
      <c r="T11" s="4">
        <f>(VLOOKUP('7.0.3'!AB11,'7.0.3'!$AM$4:$AO$55,2,FALSE))*IF('7.0.3'!BE$4="是",'7.0.3'!$AY$4,'7.0.3'!$AY$3)</f>
        <v>0</v>
      </c>
      <c r="U11" s="4">
        <f>(VLOOKUP('7.0.3'!AC11,'7.0.3'!$AM$4:$AO$55,2,FALSE))*IF('7.0.3'!BF$4="是",'7.0.3'!$AY$4,'7.0.3'!$AY$3)</f>
        <v>0</v>
      </c>
      <c r="V11" s="4">
        <f>(VLOOKUP('7.0.3'!AD11,'7.0.3'!$AM$4:$AO$55,2,FALSE))*IF('7.0.3'!BG$4="是",'7.0.3'!$AY$4,'7.0.3'!$AY$3)</f>
        <v>0</v>
      </c>
      <c r="W11" s="5">
        <f>(VLOOKUP('7.0.3'!AE11,'7.0.3'!$AM$4:$AO$55,2,FALSE))*IF('7.0.3'!BH$4="是",'7.0.3'!$AY$4,'7.0.3'!$AY$3)</f>
        <v>0</v>
      </c>
      <c r="X11" s="5">
        <f>(VLOOKUP('7.0.3'!AF11,'7.0.3'!$AM$4:$AO$55,2,FALSE))*IF('7.0.3'!BI$4="是",'7.0.3'!$AY$4,'7.0.3'!$AY$3)</f>
        <v>0</v>
      </c>
    </row>
    <row r="12" spans="1:24">
      <c r="A12" s="4">
        <f>(VLOOKUP('7.0.3'!I12,'7.0.3'!$AM$4:$AO$55,2,FALSE))*IF('7.0.3'!AK$4="是",'7.0.3'!$AY$4,'7.0.3'!$AY$3)</f>
        <v>170</v>
      </c>
      <c r="B12" s="4">
        <f>(VLOOKUP('7.0.3'!J12,'7.0.3'!$AM$4:$AO$55,2,FALSE))*IF('7.0.3'!AL$4="是",'7.0.3'!$AY$4,'7.0.3'!$AY$3)</f>
        <v>170</v>
      </c>
      <c r="C12" s="4">
        <f>(VLOOKUP('7.0.3'!K12,'7.0.3'!$AM$4:$AO$55,2,FALSE))*IF('7.0.3'!AM$4="是",'7.0.3'!$AY$4,'7.0.3'!$AY$3)</f>
        <v>170</v>
      </c>
      <c r="D12" s="4">
        <f>(VLOOKUP('7.0.3'!L12,'7.0.3'!$AM$4:$AO$55,2,FALSE))*IF('7.0.3'!AN$4="是",'7.0.3'!$AY$4,'7.0.3'!$AY$3)</f>
        <v>170</v>
      </c>
      <c r="E12" s="4">
        <f>(VLOOKUP('7.0.3'!M12,'7.0.3'!$AM$4:$AO$55,2,FALSE))*IF('7.0.3'!AO$4="是",'7.0.3'!$AY$4,'7.0.3'!$AY$3)</f>
        <v>170</v>
      </c>
      <c r="F12" s="4">
        <f>(VLOOKUP('7.0.3'!N12,'7.0.3'!$AM$4:$AO$55,2,FALSE))*IF('7.0.3'!AQ$4="是",'7.0.3'!$AY$4,'7.0.3'!$AY$3)</f>
        <v>50</v>
      </c>
      <c r="G12" s="5">
        <f>(VLOOKUP('7.0.3'!O12,'7.0.3'!$AM$4:$AO$55,2,FALSE))*IF('7.0.3'!AR$4="是",'7.0.3'!$AY$4,'7.0.3'!$AY$3)</f>
        <v>0</v>
      </c>
      <c r="H12" s="5">
        <f>(VLOOKUP('7.0.3'!P12,'7.0.3'!$AM$4:$AO$55,2,FALSE))*IF('7.0.3'!AS$4="是",'7.0.3'!$AY$4,'7.0.3'!$AY$3)</f>
        <v>0</v>
      </c>
      <c r="I12" s="4">
        <f>(VLOOKUP('7.0.3'!Q12,'7.0.3'!$AM$4:$AO$55,2,FALSE))*IF('7.0.3'!AT$4="是",'7.0.3'!$AY$4,'7.0.3'!$AY$3)</f>
        <v>170</v>
      </c>
      <c r="J12" s="4">
        <f>(VLOOKUP('7.0.3'!R12,'7.0.3'!$AM$4:$AO$55,2,FALSE))*IF('7.0.3'!AU$4="是",'7.0.3'!$AY$4,'7.0.3'!$AY$3)</f>
        <v>170</v>
      </c>
      <c r="K12" s="4">
        <f>(VLOOKUP('7.0.3'!S12,'7.0.3'!$AM$4:$AO$55,2,FALSE))*IF('7.0.3'!AV$4="是",'7.0.3'!$AY$4,'7.0.3'!$AY$3)</f>
        <v>170</v>
      </c>
      <c r="L12" s="4">
        <f>(VLOOKUP('7.0.3'!T12,'7.0.3'!$AM$4:$AO$55,2,FALSE))*IF('7.0.3'!AW$4="是",'7.0.3'!$AY$4,'7.0.3'!$AY$3)</f>
        <v>170</v>
      </c>
      <c r="M12" s="4">
        <f>(VLOOKUP('7.0.3'!U12,'7.0.3'!$AM$4:$AO$55,2,FALSE))*IF('7.0.3'!AX$4="是",'7.0.3'!$AY$4,'7.0.3'!$AY$3)</f>
        <v>170</v>
      </c>
      <c r="N12" s="4">
        <f>(VLOOKUP('7.0.3'!V12,'7.0.3'!$AM$4:$AO$55,2,FALSE))*IF('7.0.3'!AY$4="是",'7.0.3'!$AY$4,'7.0.3'!$AY$3)</f>
        <v>170</v>
      </c>
      <c r="O12" s="5">
        <f>(VLOOKUP('7.0.3'!W12,'7.0.3'!$AM$4:$AO$55,2,FALSE))*IF('7.0.3'!AZ$4="是",'7.0.3'!$AY$4,'7.0.3'!$AY$3)</f>
        <v>0</v>
      </c>
      <c r="P12" s="5">
        <f>(VLOOKUP('7.0.3'!X12,'7.0.3'!$AM$4:$AO$55,2,FALSE))*IF('7.0.3'!BA$4="是",'7.0.3'!$AY$4,'7.0.3'!$AY$3)</f>
        <v>0</v>
      </c>
      <c r="Q12" s="4">
        <f>(VLOOKUP('7.0.3'!Y12,'7.0.3'!$AM$4:$AO$55,2,FALSE))*IF('7.0.3'!BB$4="是",'7.0.3'!$AY$4,'7.0.3'!$AY$3)</f>
        <v>0</v>
      </c>
      <c r="R12" s="4">
        <f>(VLOOKUP('7.0.3'!Z12,'7.0.3'!$AM$4:$AO$55,2,FALSE))*IF('7.0.3'!BC$4="是",'7.0.3'!$AY$4,'7.0.3'!$AY$3)</f>
        <v>0</v>
      </c>
      <c r="S12" s="4">
        <f>(VLOOKUP('7.0.3'!AA12,'7.0.3'!$AM$4:$AO$55,2,FALSE))*IF('7.0.3'!BD$4="是",'7.0.3'!$AY$4,'7.0.3'!$AY$3)</f>
        <v>0</v>
      </c>
      <c r="T12" s="4">
        <f>(VLOOKUP('7.0.3'!AB12,'7.0.3'!$AM$4:$AO$55,2,FALSE))*IF('7.0.3'!BE$4="是",'7.0.3'!$AY$4,'7.0.3'!$AY$3)</f>
        <v>0</v>
      </c>
      <c r="U12" s="4">
        <f>(VLOOKUP('7.0.3'!AC12,'7.0.3'!$AM$4:$AO$55,2,FALSE))*IF('7.0.3'!BF$4="是",'7.0.3'!$AY$4,'7.0.3'!$AY$3)</f>
        <v>0</v>
      </c>
      <c r="V12" s="4">
        <f>(VLOOKUP('7.0.3'!AD12,'7.0.3'!$AM$4:$AO$55,2,FALSE))*IF('7.0.3'!BG$4="是",'7.0.3'!$AY$4,'7.0.3'!$AY$3)</f>
        <v>0</v>
      </c>
      <c r="W12" s="5">
        <f>(VLOOKUP('7.0.3'!AE12,'7.0.3'!$AM$4:$AO$55,2,FALSE))*IF('7.0.3'!BH$4="是",'7.0.3'!$AY$4,'7.0.3'!$AY$3)</f>
        <v>0</v>
      </c>
      <c r="X12" s="5">
        <f>(VLOOKUP('7.0.3'!AF12,'7.0.3'!$AM$4:$AO$55,2,FALSE))*IF('7.0.3'!BI$4="是",'7.0.3'!$AY$4,'7.0.3'!$AY$3)</f>
        <v>0</v>
      </c>
    </row>
    <row r="13" spans="1:24">
      <c r="A13" s="4">
        <f>(VLOOKUP('7.0.3'!I13,'7.0.3'!$AM$4:$AO$55,2,FALSE))*IF('7.0.3'!AK$4="是",'7.0.3'!$AY$4,'7.0.3'!$AY$3)</f>
        <v>160</v>
      </c>
      <c r="B13" s="4">
        <f>(VLOOKUP('7.0.3'!J13,'7.0.3'!$AM$4:$AO$55,2,FALSE))*IF('7.0.3'!AL$4="是",'7.0.3'!$AY$4,'7.0.3'!$AY$3)</f>
        <v>150</v>
      </c>
      <c r="C13" s="4">
        <f>(VLOOKUP('7.0.3'!K13,'7.0.3'!$AM$4:$AO$55,2,FALSE))*IF('7.0.3'!AM$4="是",'7.0.3'!$AY$4,'7.0.3'!$AY$3)</f>
        <v>160</v>
      </c>
      <c r="D13" s="4">
        <f>(VLOOKUP('7.0.3'!L13,'7.0.3'!$AM$4:$AO$55,2,FALSE))*IF('7.0.3'!AN$4="是",'7.0.3'!$AY$4,'7.0.3'!$AY$3)</f>
        <v>160</v>
      </c>
      <c r="E13" s="4">
        <f>(VLOOKUP('7.0.3'!M13,'7.0.3'!$AM$4:$AO$55,2,FALSE))*IF('7.0.3'!AO$4="是",'7.0.3'!$AY$4,'7.0.3'!$AY$3)</f>
        <v>160</v>
      </c>
      <c r="F13" s="4">
        <f>(VLOOKUP('7.0.3'!N13,'7.0.3'!$AM$4:$AO$55,2,FALSE))*IF('7.0.3'!AQ$4="是",'7.0.3'!$AY$4,'7.0.3'!$AY$3)</f>
        <v>50</v>
      </c>
      <c r="G13" s="5">
        <f>(VLOOKUP('7.0.3'!O13,'7.0.3'!$AM$4:$AO$55,2,FALSE))*IF('7.0.3'!AR$4="是",'7.0.3'!$AY$4,'7.0.3'!$AY$3)</f>
        <v>0</v>
      </c>
      <c r="H13" s="5">
        <f>(VLOOKUP('7.0.3'!P13,'7.0.3'!$AM$4:$AO$55,2,FALSE))*IF('7.0.3'!AS$4="是",'7.0.3'!$AY$4,'7.0.3'!$AY$3)</f>
        <v>0</v>
      </c>
      <c r="I13" s="4">
        <f>(VLOOKUP('7.0.3'!Q13,'7.0.3'!$AM$4:$AO$55,2,FALSE))*IF('7.0.3'!AT$4="是",'7.0.3'!$AY$4,'7.0.3'!$AY$3)</f>
        <v>170</v>
      </c>
      <c r="J13" s="4">
        <f>(VLOOKUP('7.0.3'!R13,'7.0.3'!$AM$4:$AO$55,2,FALSE))*IF('7.0.3'!AU$4="是",'7.0.3'!$AY$4,'7.0.3'!$AY$3)</f>
        <v>170</v>
      </c>
      <c r="K13" s="4">
        <f>(VLOOKUP('7.0.3'!S13,'7.0.3'!$AM$4:$AO$55,2,FALSE))*IF('7.0.3'!AV$4="是",'7.0.3'!$AY$4,'7.0.3'!$AY$3)</f>
        <v>170</v>
      </c>
      <c r="L13" s="4">
        <f>(VLOOKUP('7.0.3'!T13,'7.0.3'!$AM$4:$AO$55,2,FALSE))*IF('7.0.3'!AW$4="是",'7.0.3'!$AY$4,'7.0.3'!$AY$3)</f>
        <v>170</v>
      </c>
      <c r="M13" s="4">
        <f>(VLOOKUP('7.0.3'!U13,'7.0.3'!$AM$4:$AO$55,2,FALSE))*IF('7.0.3'!AX$4="是",'7.0.3'!$AY$4,'7.0.3'!$AY$3)</f>
        <v>170</v>
      </c>
      <c r="N13" s="4">
        <f>(VLOOKUP('7.0.3'!V13,'7.0.3'!$AM$4:$AO$55,2,FALSE))*IF('7.0.3'!AY$4="是",'7.0.3'!$AY$4,'7.0.3'!$AY$3)</f>
        <v>170</v>
      </c>
      <c r="O13" s="5">
        <f>(VLOOKUP('7.0.3'!W13,'7.0.3'!$AM$4:$AO$55,2,FALSE))*IF('7.0.3'!AZ$4="是",'7.0.3'!$AY$4,'7.0.3'!$AY$3)</f>
        <v>0</v>
      </c>
      <c r="P13" s="5">
        <f>(VLOOKUP('7.0.3'!X13,'7.0.3'!$AM$4:$AO$55,2,FALSE))*IF('7.0.3'!BA$4="是",'7.0.3'!$AY$4,'7.0.3'!$AY$3)</f>
        <v>0</v>
      </c>
      <c r="Q13" s="4">
        <f>(VLOOKUP('7.0.3'!Y13,'7.0.3'!$AM$4:$AO$55,2,FALSE))*IF('7.0.3'!BB$4="是",'7.0.3'!$AY$4,'7.0.3'!$AY$3)</f>
        <v>0</v>
      </c>
      <c r="R13" s="4">
        <f>(VLOOKUP('7.0.3'!Z13,'7.0.3'!$AM$4:$AO$55,2,FALSE))*IF('7.0.3'!BC$4="是",'7.0.3'!$AY$4,'7.0.3'!$AY$3)</f>
        <v>0</v>
      </c>
      <c r="S13" s="4">
        <f>(VLOOKUP('7.0.3'!AA13,'7.0.3'!$AM$4:$AO$55,2,FALSE))*IF('7.0.3'!BD$4="是",'7.0.3'!$AY$4,'7.0.3'!$AY$3)</f>
        <v>0</v>
      </c>
      <c r="T13" s="4">
        <f>(VLOOKUP('7.0.3'!AB13,'7.0.3'!$AM$4:$AO$55,2,FALSE))*IF('7.0.3'!BE$4="是",'7.0.3'!$AY$4,'7.0.3'!$AY$3)</f>
        <v>0</v>
      </c>
      <c r="U13" s="4">
        <f>(VLOOKUP('7.0.3'!AC13,'7.0.3'!$AM$4:$AO$55,2,FALSE))*IF('7.0.3'!BF$4="是",'7.0.3'!$AY$4,'7.0.3'!$AY$3)</f>
        <v>0</v>
      </c>
      <c r="V13" s="4">
        <f>(VLOOKUP('7.0.3'!AD13,'7.0.3'!$AM$4:$AO$55,2,FALSE))*IF('7.0.3'!BG$4="是",'7.0.3'!$AY$4,'7.0.3'!$AY$3)</f>
        <v>0</v>
      </c>
      <c r="W13" s="5">
        <f>(VLOOKUP('7.0.3'!AE13,'7.0.3'!$AM$4:$AO$55,2,FALSE))*IF('7.0.3'!BH$4="是",'7.0.3'!$AY$4,'7.0.3'!$AY$3)</f>
        <v>0</v>
      </c>
      <c r="X13" s="5">
        <f>(VLOOKUP('7.0.3'!AF13,'7.0.3'!$AM$4:$AO$55,2,FALSE))*IF('7.0.3'!BI$4="是",'7.0.3'!$AY$4,'7.0.3'!$AY$3)</f>
        <v>0</v>
      </c>
    </row>
    <row r="14" spans="1:24">
      <c r="A14" s="4">
        <f>(VLOOKUP('7.0.3'!I14,'7.0.3'!$AM$4:$AO$55,2,FALSE))*IF('7.0.3'!AK$4="是",'7.0.3'!$AY$4,'7.0.3'!$AY$3)</f>
        <v>160</v>
      </c>
      <c r="B14" s="4">
        <f>(VLOOKUP('7.0.3'!J14,'7.0.3'!$AM$4:$AO$55,2,FALSE))*IF('7.0.3'!AL$4="是",'7.0.3'!$AY$4,'7.0.3'!$AY$3)</f>
        <v>170</v>
      </c>
      <c r="C14" s="4">
        <f>(VLOOKUP('7.0.3'!K14,'7.0.3'!$AM$4:$AO$55,2,FALSE))*IF('7.0.3'!AM$4="是",'7.0.3'!$AY$4,'7.0.3'!$AY$3)</f>
        <v>170</v>
      </c>
      <c r="D14" s="4">
        <f>(VLOOKUP('7.0.3'!L14,'7.0.3'!$AM$4:$AO$55,2,FALSE))*IF('7.0.3'!AN$4="是",'7.0.3'!$AY$4,'7.0.3'!$AY$3)</f>
        <v>170</v>
      </c>
      <c r="E14" s="4">
        <f>(VLOOKUP('7.0.3'!M14,'7.0.3'!$AM$4:$AO$55,2,FALSE))*IF('7.0.3'!AO$4="是",'7.0.3'!$AY$4,'7.0.3'!$AY$3)</f>
        <v>170</v>
      </c>
      <c r="F14" s="4">
        <f>(VLOOKUP('7.0.3'!N14,'7.0.3'!$AM$4:$AO$55,2,FALSE))*IF('7.0.3'!AQ$4="是",'7.0.3'!$AY$4,'7.0.3'!$AY$3)</f>
        <v>170</v>
      </c>
      <c r="G14" s="5">
        <f>(VLOOKUP('7.0.3'!O14,'7.0.3'!$AM$4:$AO$55,2,FALSE))*IF('7.0.3'!AR$4="是",'7.0.3'!$AY$4,'7.0.3'!$AY$3)</f>
        <v>0</v>
      </c>
      <c r="H14" s="5">
        <f>(VLOOKUP('7.0.3'!P14,'7.0.3'!$AM$4:$AO$55,2,FALSE))*IF('7.0.3'!AS$4="是",'7.0.3'!$AY$4,'7.0.3'!$AY$3)</f>
        <v>0</v>
      </c>
      <c r="I14" s="4">
        <f>(VLOOKUP('7.0.3'!Q14,'7.0.3'!$AM$4:$AO$55,2,FALSE))*IF('7.0.3'!AT$4="是",'7.0.3'!$AY$4,'7.0.3'!$AY$3)</f>
        <v>170</v>
      </c>
      <c r="J14" s="4">
        <f>(VLOOKUP('7.0.3'!R14,'7.0.3'!$AM$4:$AO$55,2,FALSE))*IF('7.0.3'!AU$4="是",'7.0.3'!$AY$4,'7.0.3'!$AY$3)</f>
        <v>170</v>
      </c>
      <c r="K14" s="4">
        <f>(VLOOKUP('7.0.3'!S14,'7.0.3'!$AM$4:$AO$55,2,FALSE))*IF('7.0.3'!AV$4="是",'7.0.3'!$AY$4,'7.0.3'!$AY$3)</f>
        <v>170</v>
      </c>
      <c r="L14" s="4">
        <f>(VLOOKUP('7.0.3'!T14,'7.0.3'!$AM$4:$AO$55,2,FALSE))*IF('7.0.3'!AW$4="是",'7.0.3'!$AY$4,'7.0.3'!$AY$3)</f>
        <v>170</v>
      </c>
      <c r="M14" s="4">
        <f>(VLOOKUP('7.0.3'!U14,'7.0.3'!$AM$4:$AO$55,2,FALSE))*IF('7.0.3'!AX$4="是",'7.0.3'!$AY$4,'7.0.3'!$AY$3)</f>
        <v>170</v>
      </c>
      <c r="N14" s="4">
        <f>(VLOOKUP('7.0.3'!V14,'7.0.3'!$AM$4:$AO$55,2,FALSE))*IF('7.0.3'!AY$4="是",'7.0.3'!$AY$4,'7.0.3'!$AY$3)</f>
        <v>170</v>
      </c>
      <c r="O14" s="5">
        <f>(VLOOKUP('7.0.3'!W14,'7.0.3'!$AM$4:$AO$55,2,FALSE))*IF('7.0.3'!AZ$4="是",'7.0.3'!$AY$4,'7.0.3'!$AY$3)</f>
        <v>0</v>
      </c>
      <c r="P14" s="5">
        <f>(VLOOKUP('7.0.3'!X14,'7.0.3'!$AM$4:$AO$55,2,FALSE))*IF('7.0.3'!BA$4="是",'7.0.3'!$AY$4,'7.0.3'!$AY$3)</f>
        <v>0</v>
      </c>
      <c r="Q14" s="4">
        <f>(VLOOKUP('7.0.3'!Y14,'7.0.3'!$AM$4:$AO$55,2,FALSE))*IF('7.0.3'!BB$4="是",'7.0.3'!$AY$4,'7.0.3'!$AY$3)</f>
        <v>0</v>
      </c>
      <c r="R14" s="4">
        <f>(VLOOKUP('7.0.3'!Z14,'7.0.3'!$AM$4:$AO$55,2,FALSE))*IF('7.0.3'!BC$4="是",'7.0.3'!$AY$4,'7.0.3'!$AY$3)</f>
        <v>0</v>
      </c>
      <c r="S14" s="4">
        <f>(VLOOKUP('7.0.3'!AA14,'7.0.3'!$AM$4:$AO$55,2,FALSE))*IF('7.0.3'!BD$4="是",'7.0.3'!$AY$4,'7.0.3'!$AY$3)</f>
        <v>0</v>
      </c>
      <c r="T14" s="4">
        <f>(VLOOKUP('7.0.3'!AB14,'7.0.3'!$AM$4:$AO$55,2,FALSE))*IF('7.0.3'!BE$4="是",'7.0.3'!$AY$4,'7.0.3'!$AY$3)</f>
        <v>0</v>
      </c>
      <c r="U14" s="4">
        <f>(VLOOKUP('7.0.3'!AC14,'7.0.3'!$AM$4:$AO$55,2,FALSE))*IF('7.0.3'!BF$4="是",'7.0.3'!$AY$4,'7.0.3'!$AY$3)</f>
        <v>0</v>
      </c>
      <c r="V14" s="4">
        <f>(VLOOKUP('7.0.3'!AD14,'7.0.3'!$AM$4:$AO$55,2,FALSE))*IF('7.0.3'!BG$4="是",'7.0.3'!$AY$4,'7.0.3'!$AY$3)</f>
        <v>0</v>
      </c>
      <c r="W14" s="5">
        <f>(VLOOKUP('7.0.3'!AE14,'7.0.3'!$AM$4:$AO$55,2,FALSE))*IF('7.0.3'!BH$4="是",'7.0.3'!$AY$4,'7.0.3'!$AY$3)</f>
        <v>0</v>
      </c>
      <c r="X14" s="5">
        <f>(VLOOKUP('7.0.3'!AF14,'7.0.3'!$AM$4:$AO$55,2,FALSE))*IF('7.0.3'!BI$4="是",'7.0.3'!$AY$4,'7.0.3'!$AY$3)</f>
        <v>0</v>
      </c>
    </row>
    <row r="15" spans="1:24">
      <c r="A15" s="4">
        <f>(VLOOKUP('7.0.3'!I15,'7.0.3'!$AM$4:$AO$55,2,FALSE))*IF('7.0.3'!AK$4="是",'7.0.3'!$AY$4,'7.0.3'!$AY$3)</f>
        <v>170</v>
      </c>
      <c r="B15" s="4">
        <f>(VLOOKUP('7.0.3'!J15,'7.0.3'!$AM$4:$AO$55,2,FALSE))*IF('7.0.3'!AL$4="是",'7.0.3'!$AY$4,'7.0.3'!$AY$3)</f>
        <v>170</v>
      </c>
      <c r="C15" s="4">
        <f>(VLOOKUP('7.0.3'!K15,'7.0.3'!$AM$4:$AO$55,2,FALSE))*IF('7.0.3'!AM$4="是",'7.0.3'!$AY$4,'7.0.3'!$AY$3)</f>
        <v>170</v>
      </c>
      <c r="D15" s="4">
        <f>(VLOOKUP('7.0.3'!L15,'7.0.3'!$AM$4:$AO$55,2,FALSE))*IF('7.0.3'!AN$4="是",'7.0.3'!$AY$4,'7.0.3'!$AY$3)</f>
        <v>150</v>
      </c>
      <c r="E15" s="4">
        <f>(VLOOKUP('7.0.3'!M15,'7.0.3'!$AM$4:$AO$55,2,FALSE))*IF('7.0.3'!AO$4="是",'7.0.3'!$AY$4,'7.0.3'!$AY$3)</f>
        <v>170</v>
      </c>
      <c r="F15" s="4">
        <f>(VLOOKUP('7.0.3'!N15,'7.0.3'!$AM$4:$AO$55,2,FALSE))*IF('7.0.3'!AQ$4="是",'7.0.3'!$AY$4,'7.0.3'!$AY$3)</f>
        <v>170</v>
      </c>
      <c r="G15" s="5">
        <f>(VLOOKUP('7.0.3'!O15,'7.0.3'!$AM$4:$AO$55,2,FALSE))*IF('7.0.3'!AR$4="是",'7.0.3'!$AY$4,'7.0.3'!$AY$3)</f>
        <v>0</v>
      </c>
      <c r="H15" s="5">
        <f>(VLOOKUP('7.0.3'!P15,'7.0.3'!$AM$4:$AO$55,2,FALSE))*IF('7.0.3'!AS$4="是",'7.0.3'!$AY$4,'7.0.3'!$AY$3)</f>
        <v>0</v>
      </c>
      <c r="I15" s="4">
        <f>(VLOOKUP('7.0.3'!Q15,'7.0.3'!$AM$4:$AO$55,2,FALSE))*IF('7.0.3'!AT$4="是",'7.0.3'!$AY$4,'7.0.3'!$AY$3)</f>
        <v>50</v>
      </c>
      <c r="J15" s="4">
        <f>(VLOOKUP('7.0.3'!R15,'7.0.3'!$AM$4:$AO$55,2,FALSE))*IF('7.0.3'!AU$4="是",'7.0.3'!$AY$4,'7.0.3'!$AY$3)</f>
        <v>170</v>
      </c>
      <c r="K15" s="4">
        <f>(VLOOKUP('7.0.3'!S15,'7.0.3'!$AM$4:$AO$55,2,FALSE))*IF('7.0.3'!AV$4="是",'7.0.3'!$AY$4,'7.0.3'!$AY$3)</f>
        <v>170</v>
      </c>
      <c r="L15" s="4">
        <f>(VLOOKUP('7.0.3'!T15,'7.0.3'!$AM$4:$AO$55,2,FALSE))*IF('7.0.3'!AW$4="是",'7.0.3'!$AY$4,'7.0.3'!$AY$3)</f>
        <v>170</v>
      </c>
      <c r="M15" s="4">
        <f>(VLOOKUP('7.0.3'!U15,'7.0.3'!$AM$4:$AO$55,2,FALSE))*IF('7.0.3'!AX$4="是",'7.0.3'!$AY$4,'7.0.3'!$AY$3)</f>
        <v>180</v>
      </c>
      <c r="N15" s="4">
        <f>(VLOOKUP('7.0.3'!V15,'7.0.3'!$AM$4:$AO$55,2,FALSE))*IF('7.0.3'!AY$4="是",'7.0.3'!$AY$4,'7.0.3'!$AY$3)</f>
        <v>180</v>
      </c>
      <c r="O15" s="5">
        <f>(VLOOKUP('7.0.3'!W15,'7.0.3'!$AM$4:$AO$55,2,FALSE))*IF('7.0.3'!AZ$4="是",'7.0.3'!$AY$4,'7.0.3'!$AY$3)</f>
        <v>0</v>
      </c>
      <c r="P15" s="5">
        <f>(VLOOKUP('7.0.3'!X15,'7.0.3'!$AM$4:$AO$55,2,FALSE))*IF('7.0.3'!BA$4="是",'7.0.3'!$AY$4,'7.0.3'!$AY$3)</f>
        <v>0</v>
      </c>
      <c r="Q15" s="4">
        <f>(VLOOKUP('7.0.3'!Y15,'7.0.3'!$AM$4:$AO$55,2,FALSE))*IF('7.0.3'!BB$4="是",'7.0.3'!$AY$4,'7.0.3'!$AY$3)</f>
        <v>0</v>
      </c>
      <c r="R15" s="4">
        <f>(VLOOKUP('7.0.3'!Z15,'7.0.3'!$AM$4:$AO$55,2,FALSE))*IF('7.0.3'!BC$4="是",'7.0.3'!$AY$4,'7.0.3'!$AY$3)</f>
        <v>0</v>
      </c>
      <c r="S15" s="4">
        <f>(VLOOKUP('7.0.3'!AA15,'7.0.3'!$AM$4:$AO$55,2,FALSE))*IF('7.0.3'!BD$4="是",'7.0.3'!$AY$4,'7.0.3'!$AY$3)</f>
        <v>0</v>
      </c>
      <c r="T15" s="4">
        <f>(VLOOKUP('7.0.3'!AB15,'7.0.3'!$AM$4:$AO$55,2,FALSE))*IF('7.0.3'!BE$4="是",'7.0.3'!$AY$4,'7.0.3'!$AY$3)</f>
        <v>0</v>
      </c>
      <c r="U15" s="4">
        <f>(VLOOKUP('7.0.3'!AC15,'7.0.3'!$AM$4:$AO$55,2,FALSE))*IF('7.0.3'!BF$4="是",'7.0.3'!$AY$4,'7.0.3'!$AY$3)</f>
        <v>0</v>
      </c>
      <c r="V15" s="4">
        <f>(VLOOKUP('7.0.3'!AD15,'7.0.3'!$AM$4:$AO$55,2,FALSE))*IF('7.0.3'!BG$4="是",'7.0.3'!$AY$4,'7.0.3'!$AY$3)</f>
        <v>0</v>
      </c>
      <c r="W15" s="5">
        <f>(VLOOKUP('7.0.3'!AE15,'7.0.3'!$AM$4:$AO$55,2,FALSE))*IF('7.0.3'!BH$4="是",'7.0.3'!$AY$4,'7.0.3'!$AY$3)</f>
        <v>0</v>
      </c>
      <c r="X15" s="5">
        <f>(VLOOKUP('7.0.3'!AF15,'7.0.3'!$AM$4:$AO$55,2,FALSE))*IF('7.0.3'!BI$4="是",'7.0.3'!$AY$4,'7.0.3'!$AY$3)</f>
        <v>0</v>
      </c>
    </row>
    <row r="16" spans="1:24">
      <c r="A16" s="4">
        <f>(VLOOKUP('7.0.3'!I16,'7.0.3'!$AM$4:$AO$55,2,FALSE))*IF('7.0.3'!AK$4="是",'7.0.3'!$AY$4,'7.0.3'!$AY$3)</f>
        <v>50</v>
      </c>
      <c r="B16" s="4">
        <f>(VLOOKUP('7.0.3'!J16,'7.0.3'!$AM$4:$AO$55,2,FALSE))*IF('7.0.3'!AL$4="是",'7.0.3'!$AY$4,'7.0.3'!$AY$3)</f>
        <v>170</v>
      </c>
      <c r="C16" s="4">
        <f>(VLOOKUP('7.0.3'!K16,'7.0.3'!$AM$4:$AO$55,2,FALSE))*IF('7.0.3'!AM$4="是",'7.0.3'!$AY$4,'7.0.3'!$AY$3)</f>
        <v>170</v>
      </c>
      <c r="D16" s="4">
        <f>(VLOOKUP('7.0.3'!L16,'7.0.3'!$AM$4:$AO$55,2,FALSE))*IF('7.0.3'!AN$4="是",'7.0.3'!$AY$4,'7.0.3'!$AY$3)</f>
        <v>170</v>
      </c>
      <c r="E16" s="4">
        <f>(VLOOKUP('7.0.3'!M16,'7.0.3'!$AM$4:$AO$55,2,FALSE))*IF('7.0.3'!AO$4="是",'7.0.3'!$AY$4,'7.0.3'!$AY$3)</f>
        <v>170</v>
      </c>
      <c r="F16" s="4">
        <f>(VLOOKUP('7.0.3'!N16,'7.0.3'!$AM$4:$AO$55,2,FALSE))*IF('7.0.3'!AQ$4="是",'7.0.3'!$AY$4,'7.0.3'!$AY$3)</f>
        <v>170</v>
      </c>
      <c r="G16" s="5">
        <f>(VLOOKUP('7.0.3'!O16,'7.0.3'!$AM$4:$AO$55,2,FALSE))*IF('7.0.3'!AR$4="是",'7.0.3'!$AY$4,'7.0.3'!$AY$3)</f>
        <v>0</v>
      </c>
      <c r="H16" s="5">
        <f>(VLOOKUP('7.0.3'!P16,'7.0.3'!$AM$4:$AO$55,2,FALSE))*IF('7.0.3'!AS$4="是",'7.0.3'!$AY$4,'7.0.3'!$AY$3)</f>
        <v>0</v>
      </c>
      <c r="I16" s="4">
        <f>(VLOOKUP('7.0.3'!Q16,'7.0.3'!$AM$4:$AO$55,2,FALSE))*IF('7.0.3'!AT$4="是",'7.0.3'!$AY$4,'7.0.3'!$AY$3)</f>
        <v>150</v>
      </c>
      <c r="J16" s="4">
        <f>(VLOOKUP('7.0.3'!R16,'7.0.3'!$AM$4:$AO$55,2,FALSE))*IF('7.0.3'!AU$4="是",'7.0.3'!$AY$4,'7.0.3'!$AY$3)</f>
        <v>170</v>
      </c>
      <c r="K16" s="4">
        <f>(VLOOKUP('7.0.3'!S16,'7.0.3'!$AM$4:$AO$55,2,FALSE))*IF('7.0.3'!AV$4="是",'7.0.3'!$AY$4,'7.0.3'!$AY$3)</f>
        <v>180</v>
      </c>
      <c r="L16" s="4">
        <f>(VLOOKUP('7.0.3'!T16,'7.0.3'!$AM$4:$AO$55,2,FALSE))*IF('7.0.3'!AW$4="是",'7.0.3'!$AY$4,'7.0.3'!$AY$3)</f>
        <v>180</v>
      </c>
      <c r="M16" s="4">
        <f>(VLOOKUP('7.0.3'!U16,'7.0.3'!$AM$4:$AO$55,2,FALSE))*IF('7.0.3'!AX$4="是",'7.0.3'!$AY$4,'7.0.3'!$AY$3)</f>
        <v>180</v>
      </c>
      <c r="N16" s="4">
        <f>(VLOOKUP('7.0.3'!V16,'7.0.3'!$AM$4:$AO$55,2,FALSE))*IF('7.0.3'!AY$4="是",'7.0.3'!$AY$4,'7.0.3'!$AY$3)</f>
        <v>180</v>
      </c>
      <c r="O16" s="5">
        <f>(VLOOKUP('7.0.3'!W16,'7.0.3'!$AM$4:$AO$55,2,FALSE))*IF('7.0.3'!AZ$4="是",'7.0.3'!$AY$4,'7.0.3'!$AY$3)</f>
        <v>0</v>
      </c>
      <c r="P16" s="5">
        <f>(VLOOKUP('7.0.3'!X16,'7.0.3'!$AM$4:$AO$55,2,FALSE))*IF('7.0.3'!BA$4="是",'7.0.3'!$AY$4,'7.0.3'!$AY$3)</f>
        <v>0</v>
      </c>
      <c r="Q16" s="4">
        <f>(VLOOKUP('7.0.3'!Y16,'7.0.3'!$AM$4:$AO$55,2,FALSE))*IF('7.0.3'!BB$4="是",'7.0.3'!$AY$4,'7.0.3'!$AY$3)</f>
        <v>0</v>
      </c>
      <c r="R16" s="4">
        <f>(VLOOKUP('7.0.3'!Z16,'7.0.3'!$AM$4:$AO$55,2,FALSE))*IF('7.0.3'!BC$4="是",'7.0.3'!$AY$4,'7.0.3'!$AY$3)</f>
        <v>0</v>
      </c>
      <c r="S16" s="4">
        <f>(VLOOKUP('7.0.3'!AA16,'7.0.3'!$AM$4:$AO$55,2,FALSE))*IF('7.0.3'!BD$4="是",'7.0.3'!$AY$4,'7.0.3'!$AY$3)</f>
        <v>0</v>
      </c>
      <c r="T16" s="4">
        <f>(VLOOKUP('7.0.3'!AB16,'7.0.3'!$AM$4:$AO$55,2,FALSE))*IF('7.0.3'!BE$4="是",'7.0.3'!$AY$4,'7.0.3'!$AY$3)</f>
        <v>0</v>
      </c>
      <c r="U16" s="4">
        <f>(VLOOKUP('7.0.3'!AC16,'7.0.3'!$AM$4:$AO$55,2,FALSE))*IF('7.0.3'!BF$4="是",'7.0.3'!$AY$4,'7.0.3'!$AY$3)</f>
        <v>0</v>
      </c>
      <c r="V16" s="4">
        <f>(VLOOKUP('7.0.3'!AD16,'7.0.3'!$AM$4:$AO$55,2,FALSE))*IF('7.0.3'!BG$4="是",'7.0.3'!$AY$4,'7.0.3'!$AY$3)</f>
        <v>0</v>
      </c>
      <c r="W16" s="5">
        <f>(VLOOKUP('7.0.3'!AE16,'7.0.3'!$AM$4:$AO$55,2,FALSE))*IF('7.0.3'!BH$4="是",'7.0.3'!$AY$4,'7.0.3'!$AY$3)</f>
        <v>0</v>
      </c>
      <c r="X16" s="5">
        <f>(VLOOKUP('7.0.3'!AF16,'7.0.3'!$AM$4:$AO$55,2,FALSE))*IF('7.0.3'!BI$4="是",'7.0.3'!$AY$4,'7.0.3'!$AY$3)</f>
        <v>0</v>
      </c>
    </row>
    <row r="17" spans="1:24">
      <c r="A17" s="4">
        <f>(VLOOKUP('7.0.3'!I17,'7.0.3'!$AM$4:$AO$55,2,FALSE))*IF('7.0.3'!AK$4="是",'7.0.3'!$AY$4,'7.0.3'!$AY$3)</f>
        <v>170</v>
      </c>
      <c r="B17" s="4">
        <f>(VLOOKUP('7.0.3'!J17,'7.0.3'!$AM$4:$AO$55,2,FALSE))*IF('7.0.3'!AL$4="是",'7.0.3'!$AY$4,'7.0.3'!$AY$3)</f>
        <v>170</v>
      </c>
      <c r="C17" s="4">
        <f>(VLOOKUP('7.0.3'!K17,'7.0.3'!$AM$4:$AO$55,2,FALSE))*IF('7.0.3'!AM$4="是",'7.0.3'!$AY$4,'7.0.3'!$AY$3)</f>
        <v>170</v>
      </c>
      <c r="D17" s="4">
        <f>(VLOOKUP('7.0.3'!L17,'7.0.3'!$AM$4:$AO$55,2,FALSE))*IF('7.0.3'!AN$4="是",'7.0.3'!$AY$4,'7.0.3'!$AY$3)</f>
        <v>170</v>
      </c>
      <c r="E17" s="4">
        <f>(VLOOKUP('7.0.3'!M17,'7.0.3'!$AM$4:$AO$55,2,FALSE))*IF('7.0.3'!AO$4="是",'7.0.3'!$AY$4,'7.0.3'!$AY$3)</f>
        <v>170</v>
      </c>
      <c r="F17" s="4">
        <f>(VLOOKUP('7.0.3'!N17,'7.0.3'!$AM$4:$AO$55,2,FALSE))*IF('7.0.3'!AQ$4="是",'7.0.3'!$AY$4,'7.0.3'!$AY$3)</f>
        <v>170</v>
      </c>
      <c r="G17" s="5">
        <f>(VLOOKUP('7.0.3'!O17,'7.0.3'!$AM$4:$AO$55,2,FALSE))*IF('7.0.3'!AR$4="是",'7.0.3'!$AY$4,'7.0.3'!$AY$3)</f>
        <v>0</v>
      </c>
      <c r="H17" s="5">
        <f>(VLOOKUP('7.0.3'!P17,'7.0.3'!$AM$4:$AO$55,2,FALSE))*IF('7.0.3'!AS$4="是",'7.0.3'!$AY$4,'7.0.3'!$AY$3)</f>
        <v>0</v>
      </c>
      <c r="I17" s="4">
        <f>(VLOOKUP('7.0.3'!Q17,'7.0.3'!$AM$4:$AO$55,2,FALSE))*IF('7.0.3'!AT$4="是",'7.0.3'!$AY$4,'7.0.3'!$AY$3)</f>
        <v>180</v>
      </c>
      <c r="J17" s="4">
        <f>(VLOOKUP('7.0.3'!R17,'7.0.3'!$AM$4:$AO$55,2,FALSE))*IF('7.0.3'!AU$4="是",'7.0.3'!$AY$4,'7.0.3'!$AY$3)</f>
        <v>180</v>
      </c>
      <c r="K17" s="4">
        <f>(VLOOKUP('7.0.3'!S17,'7.0.3'!$AM$4:$AO$55,2,FALSE))*IF('7.0.3'!AV$4="是",'7.0.3'!$AY$4,'7.0.3'!$AY$3)</f>
        <v>180</v>
      </c>
      <c r="L17" s="4">
        <f>(VLOOKUP('7.0.3'!T17,'7.0.3'!$AM$4:$AO$55,2,FALSE))*IF('7.0.3'!AW$4="是",'7.0.3'!$AY$4,'7.0.3'!$AY$3)</f>
        <v>180</v>
      </c>
      <c r="M17" s="4">
        <f>(VLOOKUP('7.0.3'!U17,'7.0.3'!$AM$4:$AO$55,2,FALSE))*IF('7.0.3'!AX$4="是",'7.0.3'!$AY$4,'7.0.3'!$AY$3)</f>
        <v>50</v>
      </c>
      <c r="N17" s="4">
        <f>(VLOOKUP('7.0.3'!V17,'7.0.3'!$AM$4:$AO$55,2,FALSE))*IF('7.0.3'!AY$4="是",'7.0.3'!$AY$4,'7.0.3'!$AY$3)</f>
        <v>180</v>
      </c>
      <c r="O17" s="5">
        <f>(VLOOKUP('7.0.3'!W17,'7.0.3'!$AM$4:$AO$55,2,FALSE))*IF('7.0.3'!AZ$4="是",'7.0.3'!$AY$4,'7.0.3'!$AY$3)</f>
        <v>0</v>
      </c>
      <c r="P17" s="5">
        <f>(VLOOKUP('7.0.3'!X17,'7.0.3'!$AM$4:$AO$55,2,FALSE))*IF('7.0.3'!BA$4="是",'7.0.3'!$AY$4,'7.0.3'!$AY$3)</f>
        <v>0</v>
      </c>
      <c r="Q17" s="4">
        <f>(VLOOKUP('7.0.3'!Y17,'7.0.3'!$AM$4:$AO$55,2,FALSE))*IF('7.0.3'!BB$4="是",'7.0.3'!$AY$4,'7.0.3'!$AY$3)</f>
        <v>0</v>
      </c>
      <c r="R17" s="4">
        <f>(VLOOKUP('7.0.3'!Z17,'7.0.3'!$AM$4:$AO$55,2,FALSE))*IF('7.0.3'!BC$4="是",'7.0.3'!$AY$4,'7.0.3'!$AY$3)</f>
        <v>0</v>
      </c>
      <c r="S17" s="4">
        <f>(VLOOKUP('7.0.3'!AA17,'7.0.3'!$AM$4:$AO$55,2,FALSE))*IF('7.0.3'!BD$4="是",'7.0.3'!$AY$4,'7.0.3'!$AY$3)</f>
        <v>0</v>
      </c>
      <c r="T17" s="4">
        <f>(VLOOKUP('7.0.3'!AB17,'7.0.3'!$AM$4:$AO$55,2,FALSE))*IF('7.0.3'!BE$4="是",'7.0.3'!$AY$4,'7.0.3'!$AY$3)</f>
        <v>0</v>
      </c>
      <c r="U17" s="4">
        <f>(VLOOKUP('7.0.3'!AC17,'7.0.3'!$AM$4:$AO$55,2,FALSE))*IF('7.0.3'!BF$4="是",'7.0.3'!$AY$4,'7.0.3'!$AY$3)</f>
        <v>0</v>
      </c>
      <c r="V17" s="4">
        <f>(VLOOKUP('7.0.3'!AD17,'7.0.3'!$AM$4:$AO$55,2,FALSE))*IF('7.0.3'!BG$4="是",'7.0.3'!$AY$4,'7.0.3'!$AY$3)</f>
        <v>0</v>
      </c>
      <c r="W17" s="5">
        <f>(VLOOKUP('7.0.3'!AE17,'7.0.3'!$AM$4:$AO$55,2,FALSE))*IF('7.0.3'!BH$4="是",'7.0.3'!$AY$4,'7.0.3'!$AY$3)</f>
        <v>0</v>
      </c>
      <c r="X17" s="5">
        <f>(VLOOKUP('7.0.3'!AF17,'7.0.3'!$AM$4:$AO$55,2,FALSE))*IF('7.0.3'!BI$4="是",'7.0.3'!$AY$4,'7.0.3'!$AY$3)</f>
        <v>0</v>
      </c>
    </row>
    <row r="18" spans="1:24">
      <c r="A18" s="4">
        <f>(VLOOKUP('7.0.3'!I18,'7.0.3'!$AM$4:$AO$55,2,FALSE))*IF('7.0.3'!AK$4="是",'7.0.3'!$AY$4,'7.0.3'!$AY$3)</f>
        <v>170</v>
      </c>
      <c r="B18" s="4">
        <f>(VLOOKUP('7.0.3'!J18,'7.0.3'!$AM$4:$AO$55,2,FALSE))*IF('7.0.3'!AL$4="是",'7.0.3'!$AY$4,'7.0.3'!$AY$3)</f>
        <v>170</v>
      </c>
      <c r="C18" s="4">
        <f>(VLOOKUP('7.0.3'!K18,'7.0.3'!$AM$4:$AO$55,2,FALSE))*IF('7.0.3'!AM$4="是",'7.0.3'!$AY$4,'7.0.3'!$AY$3)</f>
        <v>170</v>
      </c>
      <c r="D18" s="4">
        <f>(VLOOKUP('7.0.3'!L18,'7.0.3'!$AM$4:$AO$55,2,FALSE))*IF('7.0.3'!AN$4="是",'7.0.3'!$AY$4,'7.0.3'!$AY$3)</f>
        <v>170</v>
      </c>
      <c r="E18" s="4">
        <f>(VLOOKUP('7.0.3'!M18,'7.0.3'!$AM$4:$AO$55,2,FALSE))*IF('7.0.3'!AO$4="是",'7.0.3'!$AY$4,'7.0.3'!$AY$3)</f>
        <v>170</v>
      </c>
      <c r="F18" s="4">
        <f>(VLOOKUP('7.0.3'!N18,'7.0.3'!$AM$4:$AO$55,2,FALSE))*IF('7.0.3'!AQ$4="是",'7.0.3'!$AY$4,'7.0.3'!$AY$3)</f>
        <v>170</v>
      </c>
      <c r="G18" s="5">
        <f>(VLOOKUP('7.0.3'!O18,'7.0.3'!$AM$4:$AO$55,2,FALSE))*IF('7.0.3'!AR$4="是",'7.0.3'!$AY$4,'7.0.3'!$AY$3)</f>
        <v>0</v>
      </c>
      <c r="H18" s="5">
        <f>(VLOOKUP('7.0.3'!P18,'7.0.3'!$AM$4:$AO$55,2,FALSE))*IF('7.0.3'!AS$4="是",'7.0.3'!$AY$4,'7.0.3'!$AY$3)</f>
        <v>0</v>
      </c>
      <c r="I18" s="4">
        <f>(VLOOKUP('7.0.3'!Q18,'7.0.3'!$AM$4:$AO$55,2,FALSE))*IF('7.0.3'!AT$4="是",'7.0.3'!$AY$4,'7.0.3'!$AY$3)</f>
        <v>180</v>
      </c>
      <c r="J18" s="4">
        <f>(VLOOKUP('7.0.3'!R18,'7.0.3'!$AM$4:$AO$55,2,FALSE))*IF('7.0.3'!AU$4="是",'7.0.3'!$AY$4,'7.0.3'!$AY$3)</f>
        <v>180</v>
      </c>
      <c r="K18" s="4">
        <f>(VLOOKUP('7.0.3'!S18,'7.0.3'!$AM$4:$AO$55,2,FALSE))*IF('7.0.3'!AV$4="是",'7.0.3'!$AY$4,'7.0.3'!$AY$3)</f>
        <v>180</v>
      </c>
      <c r="L18" s="4">
        <f>(VLOOKUP('7.0.3'!T18,'7.0.3'!$AM$4:$AO$55,2,FALSE))*IF('7.0.3'!AW$4="是",'7.0.3'!$AY$4,'7.0.3'!$AY$3)</f>
        <v>180</v>
      </c>
      <c r="M18" s="4">
        <f>(VLOOKUP('7.0.3'!U18,'7.0.3'!$AM$4:$AO$55,2,FALSE))*IF('7.0.3'!AX$4="是",'7.0.3'!$AY$4,'7.0.3'!$AY$3)</f>
        <v>180</v>
      </c>
      <c r="N18" s="4">
        <f>(VLOOKUP('7.0.3'!V18,'7.0.3'!$AM$4:$AO$55,2,FALSE))*IF('7.0.3'!AY$4="是",'7.0.3'!$AY$4,'7.0.3'!$AY$3)</f>
        <v>180</v>
      </c>
      <c r="O18" s="5">
        <f>(VLOOKUP('7.0.3'!W18,'7.0.3'!$AM$4:$AO$55,2,FALSE))*IF('7.0.3'!AZ$4="是",'7.0.3'!$AY$4,'7.0.3'!$AY$3)</f>
        <v>-200</v>
      </c>
      <c r="P18" s="5">
        <f>(VLOOKUP('7.0.3'!X18,'7.0.3'!$AM$4:$AO$55,2,FALSE))*IF('7.0.3'!BA$4="是",'7.0.3'!$AY$4,'7.0.3'!$AY$3)</f>
        <v>180</v>
      </c>
      <c r="Q18" s="4">
        <f>(VLOOKUP('7.0.3'!Y18,'7.0.3'!$AM$4:$AO$55,2,FALSE))*IF('7.0.3'!BB$4="是",'7.0.3'!$AY$4,'7.0.3'!$AY$3)</f>
        <v>0</v>
      </c>
      <c r="R18" s="4">
        <f>(VLOOKUP('7.0.3'!Z18,'7.0.3'!$AM$4:$AO$55,2,FALSE))*IF('7.0.3'!BC$4="是",'7.0.3'!$AY$4,'7.0.3'!$AY$3)</f>
        <v>0</v>
      </c>
      <c r="S18" s="4">
        <f>(VLOOKUP('7.0.3'!AA18,'7.0.3'!$AM$4:$AO$55,2,FALSE))*IF('7.0.3'!BD$4="是",'7.0.3'!$AY$4,'7.0.3'!$AY$3)</f>
        <v>0</v>
      </c>
      <c r="T18" s="4">
        <f>(VLOOKUP('7.0.3'!AB18,'7.0.3'!$AM$4:$AO$55,2,FALSE))*IF('7.0.3'!BE$4="是",'7.0.3'!$AY$4,'7.0.3'!$AY$3)</f>
        <v>0</v>
      </c>
      <c r="U18" s="4">
        <f>(VLOOKUP('7.0.3'!AC18,'7.0.3'!$AM$4:$AO$55,2,FALSE))*IF('7.0.3'!BF$4="是",'7.0.3'!$AY$4,'7.0.3'!$AY$3)</f>
        <v>0</v>
      </c>
      <c r="V18" s="4">
        <f>(VLOOKUP('7.0.3'!AD18,'7.0.3'!$AM$4:$AO$55,2,FALSE))*IF('7.0.3'!BG$4="是",'7.0.3'!$AY$4,'7.0.3'!$AY$3)</f>
        <v>0</v>
      </c>
      <c r="W18" s="5">
        <f>(VLOOKUP('7.0.3'!AE18,'7.0.3'!$AM$4:$AO$55,2,FALSE))*IF('7.0.3'!BH$4="是",'7.0.3'!$AY$4,'7.0.3'!$AY$3)</f>
        <v>0</v>
      </c>
      <c r="X18" s="5">
        <f>(VLOOKUP('7.0.3'!AF18,'7.0.3'!$AM$4:$AO$55,2,FALSE))*IF('7.0.3'!BI$4="是",'7.0.3'!$AY$4,'7.0.3'!$AY$3)</f>
        <v>0</v>
      </c>
    </row>
    <row r="19" spans="1:24">
      <c r="A19" s="4">
        <f>(VLOOKUP('7.0.3'!I19,'7.0.3'!$AM$4:$AO$55,2,FALSE))*IF('7.0.3'!AK$4="是",'7.0.3'!$AY$4,'7.0.3'!$AY$3)</f>
        <v>170</v>
      </c>
      <c r="B19" s="4">
        <f>(VLOOKUP('7.0.3'!J19,'7.0.3'!$AM$4:$AO$55,2,FALSE))*IF('7.0.3'!AL$4="是",'7.0.3'!$AY$4,'7.0.3'!$AY$3)</f>
        <v>170</v>
      </c>
      <c r="C19" s="4">
        <f>(VLOOKUP('7.0.3'!K19,'7.0.3'!$AM$4:$AO$55,2,FALSE))*IF('7.0.3'!AM$4="是",'7.0.3'!$AY$4,'7.0.3'!$AY$3)</f>
        <v>50</v>
      </c>
      <c r="D19" s="4">
        <f>(VLOOKUP('7.0.3'!L19,'7.0.3'!$AM$4:$AO$55,2,FALSE))*IF('7.0.3'!AN$4="是",'7.0.3'!$AY$4,'7.0.3'!$AY$3)</f>
        <v>170</v>
      </c>
      <c r="E19" s="4">
        <f>(VLOOKUP('7.0.3'!M19,'7.0.3'!$AM$4:$AO$55,2,FALSE))*IF('7.0.3'!AO$4="是",'7.0.3'!$AY$4,'7.0.3'!$AY$3)</f>
        <v>170</v>
      </c>
      <c r="F19" s="4">
        <f>(VLOOKUP('7.0.3'!N19,'7.0.3'!$AM$4:$AO$55,2,FALSE))*IF('7.0.3'!AQ$4="是",'7.0.3'!$AY$4,'7.0.3'!$AY$3)</f>
        <v>170</v>
      </c>
      <c r="G19" s="5">
        <f>(VLOOKUP('7.0.3'!O19,'7.0.3'!$AM$4:$AO$55,2,FALSE))*IF('7.0.3'!AR$4="是",'7.0.3'!$AY$4,'7.0.3'!$AY$3)</f>
        <v>0</v>
      </c>
      <c r="H19" s="5">
        <f>(VLOOKUP('7.0.3'!P19,'7.0.3'!$AM$4:$AO$55,2,FALSE))*IF('7.0.3'!AS$4="是",'7.0.3'!$AY$4,'7.0.3'!$AY$3)</f>
        <v>0</v>
      </c>
      <c r="I19" s="4">
        <f>(VLOOKUP('7.0.3'!Q19,'7.0.3'!$AM$4:$AO$55,2,FALSE))*IF('7.0.3'!AT$4="是",'7.0.3'!$AY$4,'7.0.3'!$AY$3)</f>
        <v>180</v>
      </c>
      <c r="J19" s="4">
        <f>(VLOOKUP('7.0.3'!R19,'7.0.3'!$AM$4:$AO$55,2,FALSE))*IF('7.0.3'!AU$4="是",'7.0.3'!$AY$4,'7.0.3'!$AY$3)</f>
        <v>180</v>
      </c>
      <c r="K19" s="4">
        <f>(VLOOKUP('7.0.3'!S19,'7.0.3'!$AM$4:$AO$55,2,FALSE))*IF('7.0.3'!AV$4="是",'7.0.3'!$AY$4,'7.0.3'!$AY$3)</f>
        <v>180</v>
      </c>
      <c r="L19" s="4">
        <f>(VLOOKUP('7.0.3'!T19,'7.0.3'!$AM$4:$AO$55,2,FALSE))*IF('7.0.3'!AW$4="是",'7.0.3'!$AY$4,'7.0.3'!$AY$3)</f>
        <v>180</v>
      </c>
      <c r="M19" s="4">
        <f>(VLOOKUP('7.0.3'!U19,'7.0.3'!$AM$4:$AO$55,2,FALSE))*IF('7.0.3'!AX$4="是",'7.0.3'!$AY$4,'7.0.3'!$AY$3)</f>
        <v>180</v>
      </c>
      <c r="N19" s="4">
        <f>(VLOOKUP('7.0.3'!V19,'7.0.3'!$AM$4:$AO$55,2,FALSE))*IF('7.0.3'!AY$4="是",'7.0.3'!$AY$4,'7.0.3'!$AY$3)</f>
        <v>180</v>
      </c>
      <c r="O19" s="5">
        <f>(VLOOKUP('7.0.3'!W19,'7.0.3'!$AM$4:$AO$55,2,FALSE))*IF('7.0.3'!AZ$4="是",'7.0.3'!$AY$4,'7.0.3'!$AY$3)</f>
        <v>0</v>
      </c>
      <c r="P19" s="5">
        <f>(VLOOKUP('7.0.3'!X19,'7.0.3'!$AM$4:$AO$55,2,FALSE))*IF('7.0.3'!BA$4="是",'7.0.3'!$AY$4,'7.0.3'!$AY$3)</f>
        <v>0</v>
      </c>
      <c r="Q19" s="4">
        <f>(VLOOKUP('7.0.3'!Y19,'7.0.3'!$AM$4:$AO$55,2,FALSE))*IF('7.0.3'!BB$4="是",'7.0.3'!$AY$4,'7.0.3'!$AY$3)</f>
        <v>0</v>
      </c>
      <c r="R19" s="4">
        <f>(VLOOKUP('7.0.3'!Z19,'7.0.3'!$AM$4:$AO$55,2,FALSE))*IF('7.0.3'!BC$4="是",'7.0.3'!$AY$4,'7.0.3'!$AY$3)</f>
        <v>0</v>
      </c>
      <c r="S19" s="4">
        <f>(VLOOKUP('7.0.3'!AA19,'7.0.3'!$AM$4:$AO$55,2,FALSE))*IF('7.0.3'!BD$4="是",'7.0.3'!$AY$4,'7.0.3'!$AY$3)</f>
        <v>0</v>
      </c>
      <c r="T19" s="4">
        <f>(VLOOKUP('7.0.3'!AB19,'7.0.3'!$AM$4:$AO$55,2,FALSE))*IF('7.0.3'!BE$4="是",'7.0.3'!$AY$4,'7.0.3'!$AY$3)</f>
        <v>0</v>
      </c>
      <c r="U19" s="4">
        <f>(VLOOKUP('7.0.3'!AC19,'7.0.3'!$AM$4:$AO$55,2,FALSE))*IF('7.0.3'!BF$4="是",'7.0.3'!$AY$4,'7.0.3'!$AY$3)</f>
        <v>0</v>
      </c>
      <c r="V19" s="4">
        <f>(VLOOKUP('7.0.3'!AD19,'7.0.3'!$AM$4:$AO$55,2,FALSE))*IF('7.0.3'!BG$4="是",'7.0.3'!$AY$4,'7.0.3'!$AY$3)</f>
        <v>0</v>
      </c>
      <c r="W19" s="5">
        <f>(VLOOKUP('7.0.3'!AE19,'7.0.3'!$AM$4:$AO$55,2,FALSE))*IF('7.0.3'!BH$4="是",'7.0.3'!$AY$4,'7.0.3'!$AY$3)</f>
        <v>0</v>
      </c>
      <c r="X19" s="5">
        <f>(VLOOKUP('7.0.3'!AF19,'7.0.3'!$AM$4:$AO$55,2,FALSE))*IF('7.0.3'!BI$4="是",'7.0.3'!$AY$4,'7.0.3'!$AY$3)</f>
        <v>0</v>
      </c>
    </row>
    <row r="20" spans="1:24">
      <c r="A20" s="4">
        <f>(VLOOKUP('7.0.3'!I20,'7.0.3'!$AM$4:$AO$55,2,FALSE))*IF('7.0.3'!AK$4="是",'7.0.3'!$AY$4,'7.0.3'!$AY$3)</f>
        <v>50</v>
      </c>
      <c r="B20" s="4">
        <f>(VLOOKUP('7.0.3'!J20,'7.0.3'!$AM$4:$AO$55,2,FALSE))*IF('7.0.3'!AL$4="是",'7.0.3'!$AY$4,'7.0.3'!$AY$3)</f>
        <v>170</v>
      </c>
      <c r="C20" s="4">
        <f>(VLOOKUP('7.0.3'!K20,'7.0.3'!$AM$4:$AO$55,2,FALSE))*IF('7.0.3'!AM$4="是",'7.0.3'!$AY$4,'7.0.3'!$AY$3)</f>
        <v>170</v>
      </c>
      <c r="D20" s="4">
        <f>(VLOOKUP('7.0.3'!L20,'7.0.3'!$AM$4:$AO$55,2,FALSE))*IF('7.0.3'!AN$4="是",'7.0.3'!$AY$4,'7.0.3'!$AY$3)</f>
        <v>170</v>
      </c>
      <c r="E20" s="4">
        <f>(VLOOKUP('7.0.3'!M20,'7.0.3'!$AM$4:$AO$55,2,FALSE))*IF('7.0.3'!AO$4="是",'7.0.3'!$AY$4,'7.0.3'!$AY$3)</f>
        <v>170</v>
      </c>
      <c r="F20" s="4">
        <f>(VLOOKUP('7.0.3'!N20,'7.0.3'!$AM$4:$AO$55,2,FALSE))*IF('7.0.3'!AQ$4="是",'7.0.3'!$AY$4,'7.0.3'!$AY$3)</f>
        <v>170</v>
      </c>
      <c r="G20" s="5">
        <f>(VLOOKUP('7.0.3'!O20,'7.0.3'!$AM$4:$AO$55,2,FALSE))*IF('7.0.3'!AR$4="是",'7.0.3'!$AY$4,'7.0.3'!$AY$3)</f>
        <v>-200</v>
      </c>
      <c r="H20" s="5">
        <f>(VLOOKUP('7.0.3'!P20,'7.0.3'!$AM$4:$AO$55,2,FALSE))*IF('7.0.3'!AS$4="是",'7.0.3'!$AY$4,'7.0.3'!$AY$3)</f>
        <v>180</v>
      </c>
      <c r="I20" s="4">
        <f>(VLOOKUP('7.0.3'!Q20,'7.0.3'!$AM$4:$AO$55,2,FALSE))*IF('7.0.3'!AT$4="是",'7.0.3'!$AY$4,'7.0.3'!$AY$3)</f>
        <v>180</v>
      </c>
      <c r="J20" s="4">
        <f>(VLOOKUP('7.0.3'!R20,'7.0.3'!$AM$4:$AO$55,2,FALSE))*IF('7.0.3'!AU$4="是",'7.0.3'!$AY$4,'7.0.3'!$AY$3)</f>
        <v>180</v>
      </c>
      <c r="K20" s="4">
        <f>(VLOOKUP('7.0.3'!S20,'7.0.3'!$AM$4:$AO$55,2,FALSE))*IF('7.0.3'!AV$4="是",'7.0.3'!$AY$4,'7.0.3'!$AY$3)</f>
        <v>180</v>
      </c>
      <c r="L20" s="4">
        <f>(VLOOKUP('7.0.3'!T20,'7.0.3'!$AM$4:$AO$55,2,FALSE))*IF('7.0.3'!AW$4="是",'7.0.3'!$AY$4,'7.0.3'!$AY$3)</f>
        <v>180</v>
      </c>
      <c r="M20" s="4">
        <f>(VLOOKUP('7.0.3'!U20,'7.0.3'!$AM$4:$AO$55,2,FALSE))*IF('7.0.3'!AX$4="是",'7.0.3'!$AY$4,'7.0.3'!$AY$3)</f>
        <v>180</v>
      </c>
      <c r="N20" s="4">
        <f>(VLOOKUP('7.0.3'!V20,'7.0.3'!$AM$4:$AO$55,2,FALSE))*IF('7.0.3'!AY$4="是",'7.0.3'!$AY$4,'7.0.3'!$AY$3)</f>
        <v>180</v>
      </c>
      <c r="O20" s="5">
        <f>(VLOOKUP('7.0.3'!W20,'7.0.3'!$AM$4:$AO$55,2,FALSE))*IF('7.0.3'!AZ$4="是",'7.0.3'!$AY$4,'7.0.3'!$AY$3)</f>
        <v>0</v>
      </c>
      <c r="P20" s="5">
        <f>(VLOOKUP('7.0.3'!X20,'7.0.3'!$AM$4:$AO$55,2,FALSE))*IF('7.0.3'!BA$4="是",'7.0.3'!$AY$4,'7.0.3'!$AY$3)</f>
        <v>0</v>
      </c>
      <c r="Q20" s="4">
        <f>(VLOOKUP('7.0.3'!Y20,'7.0.3'!$AM$4:$AO$55,2,FALSE))*IF('7.0.3'!BB$4="是",'7.0.3'!$AY$4,'7.0.3'!$AY$3)</f>
        <v>0</v>
      </c>
      <c r="R20" s="4">
        <f>(VLOOKUP('7.0.3'!Z20,'7.0.3'!$AM$4:$AO$55,2,FALSE))*IF('7.0.3'!BC$4="是",'7.0.3'!$AY$4,'7.0.3'!$AY$3)</f>
        <v>0</v>
      </c>
      <c r="S20" s="4">
        <f>(VLOOKUP('7.0.3'!AA20,'7.0.3'!$AM$4:$AO$55,2,FALSE))*IF('7.0.3'!BD$4="是",'7.0.3'!$AY$4,'7.0.3'!$AY$3)</f>
        <v>0</v>
      </c>
      <c r="T20" s="4">
        <f>(VLOOKUP('7.0.3'!AB20,'7.0.3'!$AM$4:$AO$55,2,FALSE))*IF('7.0.3'!BE$4="是",'7.0.3'!$AY$4,'7.0.3'!$AY$3)</f>
        <v>0</v>
      </c>
      <c r="U20" s="4">
        <f>(VLOOKUP('7.0.3'!AC20,'7.0.3'!$AM$4:$AO$55,2,FALSE))*IF('7.0.3'!BF$4="是",'7.0.3'!$AY$4,'7.0.3'!$AY$3)</f>
        <v>0</v>
      </c>
      <c r="V20" s="4">
        <f>(VLOOKUP('7.0.3'!AD20,'7.0.3'!$AM$4:$AO$55,2,FALSE))*IF('7.0.3'!BG$4="是",'7.0.3'!$AY$4,'7.0.3'!$AY$3)</f>
        <v>0</v>
      </c>
      <c r="W20" s="5">
        <f>(VLOOKUP('7.0.3'!AE20,'7.0.3'!$AM$4:$AO$55,2,FALSE))*IF('7.0.3'!BH$4="是",'7.0.3'!$AY$4,'7.0.3'!$AY$3)</f>
        <v>0</v>
      </c>
      <c r="X20" s="5">
        <f>(VLOOKUP('7.0.3'!AF20,'7.0.3'!$AM$4:$AO$55,2,FALSE))*IF('7.0.3'!BI$4="是",'7.0.3'!$AY$4,'7.0.3'!$AY$3)</f>
        <v>0</v>
      </c>
    </row>
    <row r="21" spans="1:24">
      <c r="A21" s="4">
        <f>(VLOOKUP('7.0.3'!I21,'7.0.3'!$AM$4:$AO$55,2,FALSE))*IF('7.0.3'!AK$4="是",'7.0.3'!$AY$4,'7.0.3'!$AY$3)</f>
        <v>170</v>
      </c>
      <c r="B21" s="4">
        <f>(VLOOKUP('7.0.3'!J21,'7.0.3'!$AM$4:$AO$55,2,FALSE))*IF('7.0.3'!AL$4="是",'7.0.3'!$AY$4,'7.0.3'!$AY$3)</f>
        <v>170</v>
      </c>
      <c r="C21" s="4">
        <f>(VLOOKUP('7.0.3'!K21,'7.0.3'!$AM$4:$AO$55,2,FALSE))*IF('7.0.3'!AM$4="是",'7.0.3'!$AY$4,'7.0.3'!$AY$3)</f>
        <v>170</v>
      </c>
      <c r="D21" s="4">
        <f>(VLOOKUP('7.0.3'!L21,'7.0.3'!$AM$4:$AO$55,2,FALSE))*IF('7.0.3'!AN$4="是",'7.0.3'!$AY$4,'7.0.3'!$AY$3)</f>
        <v>180</v>
      </c>
      <c r="E21" s="4">
        <f>(VLOOKUP('7.0.3'!M21,'7.0.3'!$AM$4:$AO$55,2,FALSE))*IF('7.0.3'!AO$4="是",'7.0.3'!$AY$4,'7.0.3'!$AY$3)</f>
        <v>180</v>
      </c>
      <c r="F21" s="4">
        <f>(VLOOKUP('7.0.3'!N21,'7.0.3'!$AM$4:$AO$55,2,FALSE))*IF('7.0.3'!AQ$4="是",'7.0.3'!$AY$4,'7.0.3'!$AY$3)</f>
        <v>180</v>
      </c>
      <c r="G21" s="5">
        <f>(VLOOKUP('7.0.3'!O21,'7.0.3'!$AM$4:$AO$55,2,FALSE))*IF('7.0.3'!AR$4="是",'7.0.3'!$AY$4,'7.0.3'!$AY$3)</f>
        <v>0</v>
      </c>
      <c r="H21" s="5">
        <f>(VLOOKUP('7.0.3'!P21,'7.0.3'!$AM$4:$AO$55,2,FALSE))*IF('7.0.3'!AS$4="是",'7.0.3'!$AY$4,'7.0.3'!$AY$3)</f>
        <v>0</v>
      </c>
      <c r="I21" s="4">
        <f>(VLOOKUP('7.0.3'!Q21,'7.0.3'!$AM$4:$AO$55,2,FALSE))*IF('7.0.3'!AT$4="是",'7.0.3'!$AY$4,'7.0.3'!$AY$3)</f>
        <v>180</v>
      </c>
      <c r="J21" s="4">
        <f>(VLOOKUP('7.0.3'!R21,'7.0.3'!$AM$4:$AO$55,2,FALSE))*IF('7.0.3'!AU$4="是",'7.0.3'!$AY$4,'7.0.3'!$AY$3)</f>
        <v>180</v>
      </c>
      <c r="K21" s="4">
        <f>(VLOOKUP('7.0.3'!S21,'7.0.3'!$AM$4:$AO$55,2,FALSE))*IF('7.0.3'!AV$4="是",'7.0.3'!$AY$4,'7.0.3'!$AY$3)</f>
        <v>180</v>
      </c>
      <c r="L21" s="4">
        <f>(VLOOKUP('7.0.3'!T21,'7.0.3'!$AM$4:$AO$55,2,FALSE))*IF('7.0.3'!AW$4="是",'7.0.3'!$AY$4,'7.0.3'!$AY$3)</f>
        <v>150</v>
      </c>
      <c r="M21" s="4">
        <f>(VLOOKUP('7.0.3'!U21,'7.0.3'!$AM$4:$AO$55,2,FALSE))*IF('7.0.3'!AX$4="是",'7.0.3'!$AY$4,'7.0.3'!$AY$3)</f>
        <v>180</v>
      </c>
      <c r="N21" s="4">
        <f>(VLOOKUP('7.0.3'!V21,'7.0.3'!$AM$4:$AO$55,2,FALSE))*IF('7.0.3'!AY$4="是",'7.0.3'!$AY$4,'7.0.3'!$AY$3)</f>
        <v>180</v>
      </c>
      <c r="O21" s="5">
        <f>(VLOOKUP('7.0.3'!W21,'7.0.3'!$AM$4:$AO$55,2,FALSE))*IF('7.0.3'!AZ$4="是",'7.0.3'!$AY$4,'7.0.3'!$AY$3)</f>
        <v>0</v>
      </c>
      <c r="P21" s="5">
        <f>(VLOOKUP('7.0.3'!X21,'7.0.3'!$AM$4:$AO$55,2,FALSE))*IF('7.0.3'!BA$4="是",'7.0.3'!$AY$4,'7.0.3'!$AY$3)</f>
        <v>0</v>
      </c>
      <c r="Q21" s="4">
        <f>(VLOOKUP('7.0.3'!Y21,'7.0.3'!$AM$4:$AO$55,2,FALSE))*IF('7.0.3'!BB$4="是",'7.0.3'!$AY$4,'7.0.3'!$AY$3)</f>
        <v>0</v>
      </c>
      <c r="R21" s="4">
        <f>(VLOOKUP('7.0.3'!Z21,'7.0.3'!$AM$4:$AO$55,2,FALSE))*IF('7.0.3'!BC$4="是",'7.0.3'!$AY$4,'7.0.3'!$AY$3)</f>
        <v>0</v>
      </c>
      <c r="S21" s="4">
        <f>(VLOOKUP('7.0.3'!AA21,'7.0.3'!$AM$4:$AO$55,2,FALSE))*IF('7.0.3'!BD$4="是",'7.0.3'!$AY$4,'7.0.3'!$AY$3)</f>
        <v>0</v>
      </c>
      <c r="T21" s="4">
        <f>(VLOOKUP('7.0.3'!AB21,'7.0.3'!$AM$4:$AO$55,2,FALSE))*IF('7.0.3'!BE$4="是",'7.0.3'!$AY$4,'7.0.3'!$AY$3)</f>
        <v>0</v>
      </c>
      <c r="U21" s="4">
        <f>(VLOOKUP('7.0.3'!AC21,'7.0.3'!$AM$4:$AO$55,2,FALSE))*IF('7.0.3'!BF$4="是",'7.0.3'!$AY$4,'7.0.3'!$AY$3)</f>
        <v>0</v>
      </c>
      <c r="V21" s="4">
        <f>(VLOOKUP('7.0.3'!AD21,'7.0.3'!$AM$4:$AO$55,2,FALSE))*IF('7.0.3'!BG$4="是",'7.0.3'!$AY$4,'7.0.3'!$AY$3)</f>
        <v>0</v>
      </c>
      <c r="W21" s="5">
        <f>(VLOOKUP('7.0.3'!AE21,'7.0.3'!$AM$4:$AO$55,2,FALSE))*IF('7.0.3'!BH$4="是",'7.0.3'!$AY$4,'7.0.3'!$AY$3)</f>
        <v>0</v>
      </c>
      <c r="X21" s="5">
        <f>(VLOOKUP('7.0.3'!AF21,'7.0.3'!$AM$4:$AO$55,2,FALSE))*IF('7.0.3'!BI$4="是",'7.0.3'!$AY$4,'7.0.3'!$AY$3)</f>
        <v>0</v>
      </c>
    </row>
    <row r="22" spans="1:24">
      <c r="A22" s="4">
        <f>(VLOOKUP('7.0.3'!I22,'7.0.3'!$AM$4:$AO$55,2,FALSE))*IF('7.0.3'!AK$4="是",'7.0.3'!$AY$4,'7.0.3'!$AY$3)</f>
        <v>180</v>
      </c>
      <c r="B22" s="4">
        <f>(VLOOKUP('7.0.3'!J22,'7.0.3'!$AM$4:$AO$55,2,FALSE))*IF('7.0.3'!AL$4="是",'7.0.3'!$AY$4,'7.0.3'!$AY$3)</f>
        <v>180</v>
      </c>
      <c r="C22" s="4">
        <f>(VLOOKUP('7.0.3'!K22,'7.0.3'!$AM$4:$AO$55,2,FALSE))*IF('7.0.3'!AM$4="是",'7.0.3'!$AY$4,'7.0.3'!$AY$3)</f>
        <v>180</v>
      </c>
      <c r="D22" s="4">
        <f>(VLOOKUP('7.0.3'!L22,'7.0.3'!$AM$4:$AO$55,2,FALSE))*IF('7.0.3'!AN$4="是",'7.0.3'!$AY$4,'7.0.3'!$AY$3)</f>
        <v>180</v>
      </c>
      <c r="E22" s="4">
        <f>(VLOOKUP('7.0.3'!M22,'7.0.3'!$AM$4:$AO$55,2,FALSE))*IF('7.0.3'!AO$4="是",'7.0.3'!$AY$4,'7.0.3'!$AY$3)</f>
        <v>180</v>
      </c>
      <c r="F22" s="4">
        <f>(VLOOKUP('7.0.3'!N22,'7.0.3'!$AM$4:$AO$55,2,FALSE))*IF('7.0.3'!AQ$4="是",'7.0.3'!$AY$4,'7.0.3'!$AY$3)</f>
        <v>180</v>
      </c>
      <c r="G22" s="5">
        <f>(VLOOKUP('7.0.3'!O22,'7.0.3'!$AM$4:$AO$55,2,FALSE))*IF('7.0.3'!AR$4="是",'7.0.3'!$AY$4,'7.0.3'!$AY$3)</f>
        <v>0</v>
      </c>
      <c r="H22" s="5">
        <f>(VLOOKUP('7.0.3'!P22,'7.0.3'!$AM$4:$AO$55,2,FALSE))*IF('7.0.3'!AS$4="是",'7.0.3'!$AY$4,'7.0.3'!$AY$3)</f>
        <v>0</v>
      </c>
      <c r="I22" s="4">
        <f>(VLOOKUP('7.0.3'!Q22,'7.0.3'!$AM$4:$AO$55,2,FALSE))*IF('7.0.3'!AT$4="是",'7.0.3'!$AY$4,'7.0.3'!$AY$3)</f>
        <v>180</v>
      </c>
      <c r="J22" s="4">
        <f>(VLOOKUP('7.0.3'!R22,'7.0.3'!$AM$4:$AO$55,2,FALSE))*IF('7.0.3'!AU$4="是",'7.0.3'!$AY$4,'7.0.3'!$AY$3)</f>
        <v>180</v>
      </c>
      <c r="K22" s="4">
        <f>(VLOOKUP('7.0.3'!S22,'7.0.3'!$AM$4:$AO$55,2,FALSE))*IF('7.0.3'!AV$4="是",'7.0.3'!$AY$4,'7.0.3'!$AY$3)</f>
        <v>190</v>
      </c>
      <c r="L22" s="4">
        <f>(VLOOKUP('7.0.3'!T22,'7.0.3'!$AM$4:$AO$55,2,FALSE))*IF('7.0.3'!AW$4="是",'7.0.3'!$AY$4,'7.0.3'!$AY$3)</f>
        <v>190</v>
      </c>
      <c r="M22" s="4">
        <f>(VLOOKUP('7.0.3'!U22,'7.0.3'!$AM$4:$AO$55,2,FALSE))*IF('7.0.3'!AX$4="是",'7.0.3'!$AY$4,'7.0.3'!$AY$3)</f>
        <v>190</v>
      </c>
      <c r="N22" s="4">
        <f>(VLOOKUP('7.0.3'!V22,'7.0.3'!$AM$4:$AO$55,2,FALSE))*IF('7.0.3'!AY$4="是",'7.0.3'!$AY$4,'7.0.3'!$AY$3)</f>
        <v>190</v>
      </c>
      <c r="O22" s="5">
        <f>(VLOOKUP('7.0.3'!W22,'7.0.3'!$AM$4:$AO$55,2,FALSE))*IF('7.0.3'!AZ$4="是",'7.0.3'!$AY$4,'7.0.3'!$AY$3)</f>
        <v>0</v>
      </c>
      <c r="P22" s="5">
        <f>(VLOOKUP('7.0.3'!X22,'7.0.3'!$AM$4:$AO$55,2,FALSE))*IF('7.0.3'!BA$4="是",'7.0.3'!$AY$4,'7.0.3'!$AY$3)</f>
        <v>0</v>
      </c>
      <c r="Q22" s="4">
        <f>(VLOOKUP('7.0.3'!Y22,'7.0.3'!$AM$4:$AO$55,2,FALSE))*IF('7.0.3'!BB$4="是",'7.0.3'!$AY$4,'7.0.3'!$AY$3)</f>
        <v>0</v>
      </c>
      <c r="R22" s="4">
        <f>(VLOOKUP('7.0.3'!Z22,'7.0.3'!$AM$4:$AO$55,2,FALSE))*IF('7.0.3'!BC$4="是",'7.0.3'!$AY$4,'7.0.3'!$AY$3)</f>
        <v>0</v>
      </c>
      <c r="S22" s="4">
        <f>(VLOOKUP('7.0.3'!AA22,'7.0.3'!$AM$4:$AO$55,2,FALSE))*IF('7.0.3'!BD$4="是",'7.0.3'!$AY$4,'7.0.3'!$AY$3)</f>
        <v>0</v>
      </c>
      <c r="T22" s="4">
        <f>(VLOOKUP('7.0.3'!AB22,'7.0.3'!$AM$4:$AO$55,2,FALSE))*IF('7.0.3'!BE$4="是",'7.0.3'!$AY$4,'7.0.3'!$AY$3)</f>
        <v>0</v>
      </c>
      <c r="U22" s="4">
        <f>(VLOOKUP('7.0.3'!AC22,'7.0.3'!$AM$4:$AO$55,2,FALSE))*IF('7.0.3'!BF$4="是",'7.0.3'!$AY$4,'7.0.3'!$AY$3)</f>
        <v>0</v>
      </c>
      <c r="V22" s="4">
        <f>(VLOOKUP('7.0.3'!AD22,'7.0.3'!$AM$4:$AO$55,2,FALSE))*IF('7.0.3'!BG$4="是",'7.0.3'!$AY$4,'7.0.3'!$AY$3)</f>
        <v>0</v>
      </c>
      <c r="W22" s="5">
        <f>(VLOOKUP('7.0.3'!AE22,'7.0.3'!$AM$4:$AO$55,2,FALSE))*IF('7.0.3'!BH$4="是",'7.0.3'!$AY$4,'7.0.3'!$AY$3)</f>
        <v>0</v>
      </c>
      <c r="X22" s="5">
        <f>(VLOOKUP('7.0.3'!AF22,'7.0.3'!$AM$4:$AO$55,2,FALSE))*IF('7.0.3'!BI$4="是",'7.0.3'!$AY$4,'7.0.3'!$AY$3)</f>
        <v>0</v>
      </c>
    </row>
    <row r="23" spans="1:24">
      <c r="A23" s="4">
        <f>(VLOOKUP('7.0.3'!I23,'7.0.3'!$AM$4:$AO$55,2,FALSE))*IF('7.0.3'!AK$4="是",'7.0.3'!$AY$4,'7.0.3'!$AY$3)</f>
        <v>50</v>
      </c>
      <c r="B23" s="4">
        <f>(VLOOKUP('7.0.3'!J23,'7.0.3'!$AM$4:$AO$55,2,FALSE))*IF('7.0.3'!AL$4="是",'7.0.3'!$AY$4,'7.0.3'!$AY$3)</f>
        <v>180</v>
      </c>
      <c r="C23" s="4">
        <f>(VLOOKUP('7.0.3'!K23,'7.0.3'!$AM$4:$AO$55,2,FALSE))*IF('7.0.3'!AM$4="是",'7.0.3'!$AY$4,'7.0.3'!$AY$3)</f>
        <v>180</v>
      </c>
      <c r="D23" s="4">
        <f>(VLOOKUP('7.0.3'!L23,'7.0.3'!$AM$4:$AO$55,2,FALSE))*IF('7.0.3'!AN$4="是",'7.0.3'!$AY$4,'7.0.3'!$AY$3)</f>
        <v>180</v>
      </c>
      <c r="E23" s="4">
        <f>(VLOOKUP('7.0.3'!M23,'7.0.3'!$AM$4:$AO$55,2,FALSE))*IF('7.0.3'!AO$4="是",'7.0.3'!$AY$4,'7.0.3'!$AY$3)</f>
        <v>180</v>
      </c>
      <c r="F23" s="4">
        <f>(VLOOKUP('7.0.3'!N23,'7.0.3'!$AM$4:$AO$55,2,FALSE))*IF('7.0.3'!AQ$4="是",'7.0.3'!$AY$4,'7.0.3'!$AY$3)</f>
        <v>180</v>
      </c>
      <c r="G23" s="5">
        <f>(VLOOKUP('7.0.3'!O23,'7.0.3'!$AM$4:$AO$55,2,FALSE))*IF('7.0.3'!AR$4="是",'7.0.3'!$AY$4,'7.0.3'!$AY$3)</f>
        <v>0</v>
      </c>
      <c r="H23" s="5">
        <f>(VLOOKUP('7.0.3'!P23,'7.0.3'!$AM$4:$AO$55,2,FALSE))*IF('7.0.3'!AS$4="是",'7.0.3'!$AY$4,'7.0.3'!$AY$3)</f>
        <v>0</v>
      </c>
      <c r="I23" s="4">
        <f>(VLOOKUP('7.0.3'!Q23,'7.0.3'!$AM$4:$AO$55,2,FALSE))*IF('7.0.3'!AT$4="是",'7.0.3'!$AY$4,'7.0.3'!$AY$3)</f>
        <v>190</v>
      </c>
      <c r="J23" s="4">
        <f>(VLOOKUP('7.0.3'!R23,'7.0.3'!$AM$4:$AO$55,2,FALSE))*IF('7.0.3'!AU$4="是",'7.0.3'!$AY$4,'7.0.3'!$AY$3)</f>
        <v>190</v>
      </c>
      <c r="K23" s="4">
        <f>(VLOOKUP('7.0.3'!S23,'7.0.3'!$AM$4:$AO$55,2,FALSE))*IF('7.0.3'!AV$4="是",'7.0.3'!$AY$4,'7.0.3'!$AY$3)</f>
        <v>190</v>
      </c>
      <c r="L23" s="4">
        <f>(VLOOKUP('7.0.3'!T23,'7.0.3'!$AM$4:$AO$55,2,FALSE))*IF('7.0.3'!AW$4="是",'7.0.3'!$AY$4,'7.0.3'!$AY$3)</f>
        <v>190</v>
      </c>
      <c r="M23" s="4">
        <f>(VLOOKUP('7.0.3'!U23,'7.0.3'!$AM$4:$AO$55,2,FALSE))*IF('7.0.3'!AX$4="是",'7.0.3'!$AY$4,'7.0.3'!$AY$3)</f>
        <v>190</v>
      </c>
      <c r="N23" s="4">
        <f>(VLOOKUP('7.0.3'!V23,'7.0.3'!$AM$4:$AO$55,2,FALSE))*IF('7.0.3'!AY$4="是",'7.0.3'!$AY$4,'7.0.3'!$AY$3)</f>
        <v>190</v>
      </c>
      <c r="O23" s="5">
        <f>(VLOOKUP('7.0.3'!W23,'7.0.3'!$AM$4:$AO$55,2,FALSE))*IF('7.0.3'!AZ$4="是",'7.0.3'!$AY$4,'7.0.3'!$AY$3)</f>
        <v>0</v>
      </c>
      <c r="P23" s="5">
        <f>(VLOOKUP('7.0.3'!X23,'7.0.3'!$AM$4:$AO$55,2,FALSE))*IF('7.0.3'!BA$4="是",'7.0.3'!$AY$4,'7.0.3'!$AY$3)</f>
        <v>0</v>
      </c>
      <c r="Q23" s="4">
        <f>(VLOOKUP('7.0.3'!Y23,'7.0.3'!$AM$4:$AO$55,2,FALSE))*IF('7.0.3'!BB$4="是",'7.0.3'!$AY$4,'7.0.3'!$AY$3)</f>
        <v>0</v>
      </c>
      <c r="R23" s="4">
        <f>(VLOOKUP('7.0.3'!Z23,'7.0.3'!$AM$4:$AO$55,2,FALSE))*IF('7.0.3'!BC$4="是",'7.0.3'!$AY$4,'7.0.3'!$AY$3)</f>
        <v>0</v>
      </c>
      <c r="S23" s="4">
        <f>(VLOOKUP('7.0.3'!AA23,'7.0.3'!$AM$4:$AO$55,2,FALSE))*IF('7.0.3'!BD$4="是",'7.0.3'!$AY$4,'7.0.3'!$AY$3)</f>
        <v>0</v>
      </c>
      <c r="T23" s="4">
        <f>(VLOOKUP('7.0.3'!AB23,'7.0.3'!$AM$4:$AO$55,2,FALSE))*IF('7.0.3'!BE$4="是",'7.0.3'!$AY$4,'7.0.3'!$AY$3)</f>
        <v>0</v>
      </c>
      <c r="U23" s="4">
        <f>(VLOOKUP('7.0.3'!AC23,'7.0.3'!$AM$4:$AO$55,2,FALSE))*IF('7.0.3'!BF$4="是",'7.0.3'!$AY$4,'7.0.3'!$AY$3)</f>
        <v>0</v>
      </c>
      <c r="V23" s="4">
        <f>(VLOOKUP('7.0.3'!AD23,'7.0.3'!$AM$4:$AO$55,2,FALSE))*IF('7.0.3'!BG$4="是",'7.0.3'!$AY$4,'7.0.3'!$AY$3)</f>
        <v>0</v>
      </c>
      <c r="W23" s="5">
        <f>(VLOOKUP('7.0.3'!AE23,'7.0.3'!$AM$4:$AO$55,2,FALSE))*IF('7.0.3'!BH$4="是",'7.0.3'!$AY$4,'7.0.3'!$AY$3)</f>
        <v>0</v>
      </c>
      <c r="X23" s="5">
        <f>(VLOOKUP('7.0.3'!AF23,'7.0.3'!$AM$4:$AO$55,2,FALSE))*IF('7.0.3'!BI$4="是",'7.0.3'!$AY$4,'7.0.3'!$AY$3)</f>
        <v>0</v>
      </c>
    </row>
    <row r="24" spans="1:24">
      <c r="A24" s="4">
        <f>(VLOOKUP('7.0.3'!I24,'7.0.3'!$AM$4:$AO$55,2,FALSE))*IF('7.0.3'!AK$4="是",'7.0.3'!$AY$4,'7.0.3'!$AY$3)</f>
        <v>180</v>
      </c>
      <c r="B24" s="4">
        <f>(VLOOKUP('7.0.3'!J24,'7.0.3'!$AM$4:$AO$55,2,FALSE))*IF('7.0.3'!AL$4="是",'7.0.3'!$AY$4,'7.0.3'!$AY$3)</f>
        <v>180</v>
      </c>
      <c r="C24" s="4">
        <f>(VLOOKUP('7.0.3'!K24,'7.0.3'!$AM$4:$AO$55,2,FALSE))*IF('7.0.3'!AM$4="是",'7.0.3'!$AY$4,'7.0.3'!$AY$3)</f>
        <v>180</v>
      </c>
      <c r="D24" s="4">
        <f>(VLOOKUP('7.0.3'!L24,'7.0.3'!$AM$4:$AO$55,2,FALSE))*IF('7.0.3'!AN$4="是",'7.0.3'!$AY$4,'7.0.3'!$AY$3)</f>
        <v>180</v>
      </c>
      <c r="E24" s="4">
        <f>(VLOOKUP('7.0.3'!M24,'7.0.3'!$AM$4:$AO$55,2,FALSE))*IF('7.0.3'!AO$4="是",'7.0.3'!$AY$4,'7.0.3'!$AY$3)</f>
        <v>180</v>
      </c>
      <c r="F24" s="4">
        <f>(VLOOKUP('7.0.3'!N24,'7.0.3'!$AM$4:$AO$55,2,FALSE))*IF('7.0.3'!AQ$4="是",'7.0.3'!$AY$4,'7.0.3'!$AY$3)</f>
        <v>180</v>
      </c>
      <c r="G24" s="5">
        <f>(VLOOKUP('7.0.3'!O24,'7.0.3'!$AM$4:$AO$55,2,FALSE))*IF('7.0.3'!AR$4="是",'7.0.3'!$AY$4,'7.0.3'!$AY$3)</f>
        <v>0</v>
      </c>
      <c r="H24" s="5">
        <f>(VLOOKUP('7.0.3'!P24,'7.0.3'!$AM$4:$AO$55,2,FALSE))*IF('7.0.3'!AS$4="是",'7.0.3'!$AY$4,'7.0.3'!$AY$3)</f>
        <v>0</v>
      </c>
      <c r="I24" s="4">
        <f>(VLOOKUP('7.0.3'!Q24,'7.0.3'!$AM$4:$AO$55,2,FALSE))*IF('7.0.3'!AT$4="是",'7.0.3'!$AY$4,'7.0.3'!$AY$3)</f>
        <v>190</v>
      </c>
      <c r="J24" s="4">
        <f>(VLOOKUP('7.0.3'!R24,'7.0.3'!$AM$4:$AO$55,2,FALSE))*IF('7.0.3'!AU$4="是",'7.0.3'!$AY$4,'7.0.3'!$AY$3)</f>
        <v>190</v>
      </c>
      <c r="K24" s="4">
        <f>(VLOOKUP('7.0.3'!S24,'7.0.3'!$AM$4:$AO$55,2,FALSE))*IF('7.0.3'!AV$4="是",'7.0.3'!$AY$4,'7.0.3'!$AY$3)</f>
        <v>190</v>
      </c>
      <c r="L24" s="4">
        <f>(VLOOKUP('7.0.3'!T24,'7.0.3'!$AM$4:$AO$55,2,FALSE))*IF('7.0.3'!AW$4="是",'7.0.3'!$AY$4,'7.0.3'!$AY$3)</f>
        <v>190</v>
      </c>
      <c r="M24" s="4">
        <f>(VLOOKUP('7.0.3'!U24,'7.0.3'!$AM$4:$AO$55,2,FALSE))*IF('7.0.3'!AX$4="是",'7.0.3'!$AY$4,'7.0.3'!$AY$3)</f>
        <v>50</v>
      </c>
      <c r="N24" s="4">
        <f>(VLOOKUP('7.0.3'!V24,'7.0.3'!$AM$4:$AO$55,2,FALSE))*IF('7.0.3'!AY$4="是",'7.0.3'!$AY$4,'7.0.3'!$AY$3)</f>
        <v>190</v>
      </c>
      <c r="O24" s="5">
        <f>(VLOOKUP('7.0.3'!W24,'7.0.3'!$AM$4:$AO$55,2,FALSE))*IF('7.0.3'!AZ$4="是",'7.0.3'!$AY$4,'7.0.3'!$AY$3)</f>
        <v>0</v>
      </c>
      <c r="P24" s="5">
        <f>(VLOOKUP('7.0.3'!X24,'7.0.3'!$AM$4:$AO$55,2,FALSE))*IF('7.0.3'!BA$4="是",'7.0.3'!$AY$4,'7.0.3'!$AY$3)</f>
        <v>0</v>
      </c>
      <c r="Q24" s="4">
        <f>(VLOOKUP('7.0.3'!Y24,'7.0.3'!$AM$4:$AO$55,2,FALSE))*IF('7.0.3'!BB$4="是",'7.0.3'!$AY$4,'7.0.3'!$AY$3)</f>
        <v>0</v>
      </c>
      <c r="R24" s="4">
        <f>(VLOOKUP('7.0.3'!Z24,'7.0.3'!$AM$4:$AO$55,2,FALSE))*IF('7.0.3'!BC$4="是",'7.0.3'!$AY$4,'7.0.3'!$AY$3)</f>
        <v>0</v>
      </c>
      <c r="S24" s="4">
        <f>(VLOOKUP('7.0.3'!AA24,'7.0.3'!$AM$4:$AO$55,2,FALSE))*IF('7.0.3'!BD$4="是",'7.0.3'!$AY$4,'7.0.3'!$AY$3)</f>
        <v>0</v>
      </c>
      <c r="T24" s="4">
        <f>(VLOOKUP('7.0.3'!AB24,'7.0.3'!$AM$4:$AO$55,2,FALSE))*IF('7.0.3'!BE$4="是",'7.0.3'!$AY$4,'7.0.3'!$AY$3)</f>
        <v>0</v>
      </c>
      <c r="U24" s="4">
        <f>(VLOOKUP('7.0.3'!AC24,'7.0.3'!$AM$4:$AO$55,2,FALSE))*IF('7.0.3'!BF$4="是",'7.0.3'!$AY$4,'7.0.3'!$AY$3)</f>
        <v>0</v>
      </c>
      <c r="V24" s="4">
        <f>(VLOOKUP('7.0.3'!AD24,'7.0.3'!$AM$4:$AO$55,2,FALSE))*IF('7.0.3'!BG$4="是",'7.0.3'!$AY$4,'7.0.3'!$AY$3)</f>
        <v>0</v>
      </c>
      <c r="W24" s="5">
        <f>(VLOOKUP('7.0.3'!AE24,'7.0.3'!$AM$4:$AO$55,2,FALSE))*IF('7.0.3'!BH$4="是",'7.0.3'!$AY$4,'7.0.3'!$AY$3)</f>
        <v>0</v>
      </c>
      <c r="X24" s="5">
        <f>(VLOOKUP('7.0.3'!AF24,'7.0.3'!$AM$4:$AO$55,2,FALSE))*IF('7.0.3'!BI$4="是",'7.0.3'!$AY$4,'7.0.3'!$AY$3)</f>
        <v>0</v>
      </c>
    </row>
    <row r="25" spans="1:24">
      <c r="A25" s="4">
        <f>(VLOOKUP('7.0.3'!I25,'7.0.3'!$AM$4:$AO$55,2,FALSE))*IF('7.0.3'!AK$4="是",'7.0.3'!$AY$4,'7.0.3'!$AY$3)</f>
        <v>180</v>
      </c>
      <c r="B25" s="4">
        <f>(VLOOKUP('7.0.3'!J25,'7.0.3'!$AM$4:$AO$55,2,FALSE))*IF('7.0.3'!AL$4="是",'7.0.3'!$AY$4,'7.0.3'!$AY$3)</f>
        <v>180</v>
      </c>
      <c r="C25" s="4">
        <f>(VLOOKUP('7.0.3'!K25,'7.0.3'!$AM$4:$AO$55,2,FALSE))*IF('7.0.3'!AM$4="是",'7.0.3'!$AY$4,'7.0.3'!$AY$3)</f>
        <v>180</v>
      </c>
      <c r="D25" s="4">
        <f>(VLOOKUP('7.0.3'!L25,'7.0.3'!$AM$4:$AO$55,2,FALSE))*IF('7.0.3'!AN$4="是",'7.0.3'!$AY$4,'7.0.3'!$AY$3)</f>
        <v>180</v>
      </c>
      <c r="E25" s="4">
        <f>(VLOOKUP('7.0.3'!M25,'7.0.3'!$AM$4:$AO$55,2,FALSE))*IF('7.0.3'!AO$4="是",'7.0.3'!$AY$4,'7.0.3'!$AY$3)</f>
        <v>180</v>
      </c>
      <c r="F25" s="4">
        <f>(VLOOKUP('7.0.3'!N25,'7.0.3'!$AM$4:$AO$55,2,FALSE))*IF('7.0.3'!AQ$4="是",'7.0.3'!$AY$4,'7.0.3'!$AY$3)</f>
        <v>200</v>
      </c>
      <c r="G25" s="5">
        <f>(VLOOKUP('7.0.3'!O25,'7.0.3'!$AM$4:$AO$55,2,FALSE))*IF('7.0.3'!AR$4="是",'7.0.3'!$AY$4,'7.0.3'!$AY$3)</f>
        <v>0</v>
      </c>
      <c r="H25" s="5">
        <f>(VLOOKUP('7.0.3'!P25,'7.0.3'!$AM$4:$AO$55,2,FALSE))*IF('7.0.3'!AS$4="是",'7.0.3'!$AY$4,'7.0.3'!$AY$3)</f>
        <v>0</v>
      </c>
      <c r="I25" s="4">
        <f>(VLOOKUP('7.0.3'!Q25,'7.0.3'!$AM$4:$AO$55,2,FALSE))*IF('7.0.3'!AT$4="是",'7.0.3'!$AY$4,'7.0.3'!$AY$3)</f>
        <v>190</v>
      </c>
      <c r="J25" s="4">
        <f>(VLOOKUP('7.0.3'!R25,'7.0.3'!$AM$4:$AO$55,2,FALSE))*IF('7.0.3'!AU$4="是",'7.0.3'!$AY$4,'7.0.3'!$AY$3)</f>
        <v>190</v>
      </c>
      <c r="K25" s="4">
        <f>(VLOOKUP('7.0.3'!S25,'7.0.3'!$AM$4:$AO$55,2,FALSE))*IF('7.0.3'!AV$4="是",'7.0.3'!$AY$4,'7.0.3'!$AY$3)</f>
        <v>190</v>
      </c>
      <c r="L25" s="4">
        <f>(VLOOKUP('7.0.3'!T25,'7.0.3'!$AM$4:$AO$55,2,FALSE))*IF('7.0.3'!AW$4="是",'7.0.3'!$AY$4,'7.0.3'!$AY$3)</f>
        <v>190</v>
      </c>
      <c r="M25" s="4">
        <f>(VLOOKUP('7.0.3'!U25,'7.0.3'!$AM$4:$AO$55,2,FALSE))*IF('7.0.3'!AX$4="是",'7.0.3'!$AY$4,'7.0.3'!$AY$3)</f>
        <v>190</v>
      </c>
      <c r="N25" s="4">
        <f>(VLOOKUP('7.0.3'!V25,'7.0.3'!$AM$4:$AO$55,2,FALSE))*IF('7.0.3'!AY$4="是",'7.0.3'!$AY$4,'7.0.3'!$AY$3)</f>
        <v>190</v>
      </c>
      <c r="O25" s="5">
        <f>(VLOOKUP('7.0.3'!W25,'7.0.3'!$AM$4:$AO$55,2,FALSE))*IF('7.0.3'!AZ$4="是",'7.0.3'!$AY$4,'7.0.3'!$AY$3)</f>
        <v>0</v>
      </c>
      <c r="P25" s="5">
        <f>(VLOOKUP('7.0.3'!X25,'7.0.3'!$AM$4:$AO$55,2,FALSE))*IF('7.0.3'!BA$4="是",'7.0.3'!$AY$4,'7.0.3'!$AY$3)</f>
        <v>0</v>
      </c>
      <c r="Q25" s="4">
        <f>(VLOOKUP('7.0.3'!Y25,'7.0.3'!$AM$4:$AO$55,2,FALSE))*IF('7.0.3'!BB$4="是",'7.0.3'!$AY$4,'7.0.3'!$AY$3)</f>
        <v>0</v>
      </c>
      <c r="R25" s="4">
        <f>(VLOOKUP('7.0.3'!Z25,'7.0.3'!$AM$4:$AO$55,2,FALSE))*IF('7.0.3'!BC$4="是",'7.0.3'!$AY$4,'7.0.3'!$AY$3)</f>
        <v>0</v>
      </c>
      <c r="S25" s="4">
        <f>(VLOOKUP('7.0.3'!AA25,'7.0.3'!$AM$4:$AO$55,2,FALSE))*IF('7.0.3'!BD$4="是",'7.0.3'!$AY$4,'7.0.3'!$AY$3)</f>
        <v>0</v>
      </c>
      <c r="T25" s="4">
        <f>(VLOOKUP('7.0.3'!AB25,'7.0.3'!$AM$4:$AO$55,2,FALSE))*IF('7.0.3'!BE$4="是",'7.0.3'!$AY$4,'7.0.3'!$AY$3)</f>
        <v>0</v>
      </c>
      <c r="U25" s="4">
        <f>(VLOOKUP('7.0.3'!AC25,'7.0.3'!$AM$4:$AO$55,2,FALSE))*IF('7.0.3'!BF$4="是",'7.0.3'!$AY$4,'7.0.3'!$AY$3)</f>
        <v>0</v>
      </c>
      <c r="V25" s="4">
        <f>(VLOOKUP('7.0.3'!AD25,'7.0.3'!$AM$4:$AO$55,2,FALSE))*IF('7.0.3'!BG$4="是",'7.0.3'!$AY$4,'7.0.3'!$AY$3)</f>
        <v>0</v>
      </c>
      <c r="W25" s="5">
        <f>(VLOOKUP('7.0.3'!AE25,'7.0.3'!$AM$4:$AO$55,2,FALSE))*IF('7.0.3'!BH$4="是",'7.0.3'!$AY$4,'7.0.3'!$AY$3)</f>
        <v>0</v>
      </c>
      <c r="X25" s="5">
        <f>(VLOOKUP('7.0.3'!AF25,'7.0.3'!$AM$4:$AO$55,2,FALSE))*IF('7.0.3'!BI$4="是",'7.0.3'!$AY$4,'7.0.3'!$AY$3)</f>
        <v>0</v>
      </c>
    </row>
    <row r="26" spans="1:24">
      <c r="A26" s="4">
        <f>(VLOOKUP('7.0.3'!I26,'7.0.3'!$AM$4:$AO$55,2,FALSE))*IF('7.0.3'!AK$4="是",'7.0.3'!$AY$4,'7.0.3'!$AY$3)</f>
        <v>200</v>
      </c>
      <c r="B26" s="4">
        <f>(VLOOKUP('7.0.3'!J26,'7.0.3'!$AM$4:$AO$55,2,FALSE))*IF('7.0.3'!AL$4="是",'7.0.3'!$AY$4,'7.0.3'!$AY$3)</f>
        <v>200</v>
      </c>
      <c r="C26" s="4">
        <f>(VLOOKUP('7.0.3'!K26,'7.0.3'!$AM$4:$AO$55,2,FALSE))*IF('7.0.3'!AM$4="是",'7.0.3'!$AY$4,'7.0.3'!$AY$3)</f>
        <v>200</v>
      </c>
      <c r="D26" s="4">
        <f>(VLOOKUP('7.0.3'!L26,'7.0.3'!$AM$4:$AO$55,2,FALSE))*IF('7.0.3'!AN$4="是",'7.0.3'!$AY$4,'7.0.3'!$AY$3)</f>
        <v>200</v>
      </c>
      <c r="E26" s="4">
        <f>(VLOOKUP('7.0.3'!M26,'7.0.3'!$AM$4:$AO$55,2,FALSE))*IF('7.0.3'!AO$4="是",'7.0.3'!$AY$4,'7.0.3'!$AY$3)</f>
        <v>200</v>
      </c>
      <c r="F26" s="4">
        <f>(VLOOKUP('7.0.3'!N26,'7.0.3'!$AM$4:$AO$55,2,FALSE))*IF('7.0.3'!AQ$4="是",'7.0.3'!$AY$4,'7.0.3'!$AY$3)</f>
        <v>200</v>
      </c>
      <c r="G26" s="5">
        <f>(VLOOKUP('7.0.3'!O26,'7.0.3'!$AM$4:$AO$55,2,FALSE))*IF('7.0.3'!AR$4="是",'7.0.3'!$AY$4,'7.0.3'!$AY$3)</f>
        <v>0</v>
      </c>
      <c r="H26" s="5">
        <f>(VLOOKUP('7.0.3'!P26,'7.0.3'!$AM$4:$AO$55,2,FALSE))*IF('7.0.3'!AS$4="是",'7.0.3'!$AY$4,'7.0.3'!$AY$3)</f>
        <v>0</v>
      </c>
      <c r="I26" s="4">
        <f>(VLOOKUP('7.0.3'!Q26,'7.0.3'!$AM$4:$AO$55,2,FALSE))*IF('7.0.3'!AT$4="是",'7.0.3'!$AY$4,'7.0.3'!$AY$3)</f>
        <v>190</v>
      </c>
      <c r="J26" s="4">
        <f>(VLOOKUP('7.0.3'!R26,'7.0.3'!$AM$4:$AO$55,2,FALSE))*IF('7.0.3'!AU$4="是",'7.0.3'!$AY$4,'7.0.3'!$AY$3)</f>
        <v>190</v>
      </c>
      <c r="K26" s="4">
        <f>(VLOOKUP('7.0.3'!S26,'7.0.3'!$AM$4:$AO$55,2,FALSE))*IF('7.0.3'!AV$4="是",'7.0.3'!$AY$4,'7.0.3'!$AY$3)</f>
        <v>190</v>
      </c>
      <c r="L26" s="4">
        <f>(VLOOKUP('7.0.3'!T26,'7.0.3'!$AM$4:$AO$55,2,FALSE))*IF('7.0.3'!AW$4="是",'7.0.3'!$AY$4,'7.0.3'!$AY$3)</f>
        <v>190</v>
      </c>
      <c r="M26" s="4">
        <f>(VLOOKUP('7.0.3'!U26,'7.0.3'!$AM$4:$AO$55,2,FALSE))*IF('7.0.3'!AX$4="是",'7.0.3'!$AY$4,'7.0.3'!$AY$3)</f>
        <v>190</v>
      </c>
      <c r="N26" s="4">
        <f>(VLOOKUP('7.0.3'!V26,'7.0.3'!$AM$4:$AO$55,2,FALSE))*IF('7.0.3'!AY$4="是",'7.0.3'!$AY$4,'7.0.3'!$AY$3)</f>
        <v>190</v>
      </c>
      <c r="O26" s="5">
        <f>(VLOOKUP('7.0.3'!W26,'7.0.3'!$AM$4:$AO$55,2,FALSE))*IF('7.0.3'!AZ$4="是",'7.0.3'!$AY$4,'7.0.3'!$AY$3)</f>
        <v>0</v>
      </c>
      <c r="P26" s="5">
        <f>(VLOOKUP('7.0.3'!X26,'7.0.3'!$AM$4:$AO$55,2,FALSE))*IF('7.0.3'!BA$4="是",'7.0.3'!$AY$4,'7.0.3'!$AY$3)</f>
        <v>0</v>
      </c>
      <c r="Q26" s="4">
        <f>(VLOOKUP('7.0.3'!Y26,'7.0.3'!$AM$4:$AO$55,2,FALSE))*IF('7.0.3'!BB$4="是",'7.0.3'!$AY$4,'7.0.3'!$AY$3)</f>
        <v>0</v>
      </c>
      <c r="R26" s="4">
        <f>(VLOOKUP('7.0.3'!Z26,'7.0.3'!$AM$4:$AO$55,2,FALSE))*IF('7.0.3'!BC$4="是",'7.0.3'!$AY$4,'7.0.3'!$AY$3)</f>
        <v>0</v>
      </c>
      <c r="S26" s="4">
        <f>(VLOOKUP('7.0.3'!AA26,'7.0.3'!$AM$4:$AO$55,2,FALSE))*IF('7.0.3'!BD$4="是",'7.0.3'!$AY$4,'7.0.3'!$AY$3)</f>
        <v>0</v>
      </c>
      <c r="T26" s="4">
        <f>(VLOOKUP('7.0.3'!AB26,'7.0.3'!$AM$4:$AO$55,2,FALSE))*IF('7.0.3'!BE$4="是",'7.0.3'!$AY$4,'7.0.3'!$AY$3)</f>
        <v>0</v>
      </c>
      <c r="U26" s="4">
        <f>(VLOOKUP('7.0.3'!AC26,'7.0.3'!$AM$4:$AO$55,2,FALSE))*IF('7.0.3'!BF$4="是",'7.0.3'!$AY$4,'7.0.3'!$AY$3)</f>
        <v>0</v>
      </c>
      <c r="V26" s="4">
        <f>(VLOOKUP('7.0.3'!AD26,'7.0.3'!$AM$4:$AO$55,2,FALSE))*IF('7.0.3'!BG$4="是",'7.0.3'!$AY$4,'7.0.3'!$AY$3)</f>
        <v>0</v>
      </c>
      <c r="W26" s="5">
        <f>(VLOOKUP('7.0.3'!AE26,'7.0.3'!$AM$4:$AO$55,2,FALSE))*IF('7.0.3'!BH$4="是",'7.0.3'!$AY$4,'7.0.3'!$AY$3)</f>
        <v>0</v>
      </c>
      <c r="X26" s="5">
        <f>(VLOOKUP('7.0.3'!AF26,'7.0.3'!$AM$4:$AO$55,2,FALSE))*IF('7.0.3'!BI$4="是",'7.0.3'!$AY$4,'7.0.3'!$AY$3)</f>
        <v>0</v>
      </c>
    </row>
    <row r="27" spans="1:24">
      <c r="A27" s="4">
        <f>(VLOOKUP('7.0.3'!I27,'7.0.3'!$AM$4:$AO$55,2,FALSE))*IF('7.0.3'!AK$4="是",'7.0.3'!$AY$4,'7.0.3'!$AY$3)</f>
        <v>200</v>
      </c>
      <c r="B27" s="4">
        <f>(VLOOKUP('7.0.3'!J27,'7.0.3'!$AM$4:$AO$55,2,FALSE))*IF('7.0.3'!AL$4="是",'7.0.3'!$AY$4,'7.0.3'!$AY$3)</f>
        <v>200</v>
      </c>
      <c r="C27" s="4">
        <f>(VLOOKUP('7.0.3'!K27,'7.0.3'!$AM$4:$AO$55,2,FALSE))*IF('7.0.3'!AM$4="是",'7.0.3'!$AY$4,'7.0.3'!$AY$3)</f>
        <v>200</v>
      </c>
      <c r="D27" s="4">
        <f>(VLOOKUP('7.0.3'!L27,'7.0.3'!$AM$4:$AO$55,2,FALSE))*IF('7.0.3'!AN$4="是",'7.0.3'!$AY$4,'7.0.3'!$AY$3)</f>
        <v>200</v>
      </c>
      <c r="E27" s="4">
        <f>(VLOOKUP('7.0.3'!M27,'7.0.3'!$AM$4:$AO$55,2,FALSE))*IF('7.0.3'!AO$4="是",'7.0.3'!$AY$4,'7.0.3'!$AY$3)</f>
        <v>200</v>
      </c>
      <c r="F27" s="4">
        <f>(VLOOKUP('7.0.3'!N27,'7.0.3'!$AM$4:$AO$55,2,FALSE))*IF('7.0.3'!AQ$4="是",'7.0.3'!$AY$4,'7.0.3'!$AY$3)</f>
        <v>200</v>
      </c>
      <c r="G27" s="5">
        <f>(VLOOKUP('7.0.3'!O27,'7.0.3'!$AM$4:$AO$55,2,FALSE))*IF('7.0.3'!AR$4="是",'7.0.3'!$AY$4,'7.0.3'!$AY$3)</f>
        <v>-200</v>
      </c>
      <c r="H27" s="5">
        <f>(VLOOKUP('7.0.3'!P27,'7.0.3'!$AM$4:$AO$55,2,FALSE))*IF('7.0.3'!AS$4="是",'7.0.3'!$AY$4,'7.0.3'!$AY$3)</f>
        <v>200</v>
      </c>
      <c r="I27" s="4">
        <f>(VLOOKUP('7.0.3'!Q27,'7.0.3'!$AM$4:$AO$55,2,FALSE))*IF('7.0.3'!AT$4="是",'7.0.3'!$AY$4,'7.0.3'!$AY$3)</f>
        <v>190</v>
      </c>
      <c r="J27" s="4">
        <f>(VLOOKUP('7.0.3'!R27,'7.0.3'!$AM$4:$AO$55,2,FALSE))*IF('7.0.3'!AU$4="是",'7.0.3'!$AY$4,'7.0.3'!$AY$3)</f>
        <v>190</v>
      </c>
      <c r="K27" s="4">
        <f>(VLOOKUP('7.0.3'!S27,'7.0.3'!$AM$4:$AO$55,2,FALSE))*IF('7.0.3'!AV$4="是",'7.0.3'!$AY$4,'7.0.3'!$AY$3)</f>
        <v>190</v>
      </c>
      <c r="L27" s="4">
        <f>(VLOOKUP('7.0.3'!T27,'7.0.3'!$AM$4:$AO$55,2,FALSE))*IF('7.0.3'!AW$4="是",'7.0.3'!$AY$4,'7.0.3'!$AY$3)</f>
        <v>190</v>
      </c>
      <c r="M27" s="4">
        <f>(VLOOKUP('7.0.3'!U27,'7.0.3'!$AM$4:$AO$55,2,FALSE))*IF('7.0.3'!AX$4="是",'7.0.3'!$AY$4,'7.0.3'!$AY$3)</f>
        <v>190</v>
      </c>
      <c r="N27" s="4">
        <f>(VLOOKUP('7.0.3'!V27,'7.0.3'!$AM$4:$AO$55,2,FALSE))*IF('7.0.3'!AY$4="是",'7.0.3'!$AY$4,'7.0.3'!$AY$3)</f>
        <v>0</v>
      </c>
      <c r="O27" s="5">
        <f>(VLOOKUP('7.0.3'!W27,'7.0.3'!$AM$4:$AO$55,2,FALSE))*IF('7.0.3'!AZ$4="是",'7.0.3'!$AY$4,'7.0.3'!$AY$3)</f>
        <v>0</v>
      </c>
      <c r="P27" s="5">
        <f>(VLOOKUP('7.0.3'!X27,'7.0.3'!$AM$4:$AO$55,2,FALSE))*IF('7.0.3'!BA$4="是",'7.0.3'!$AY$4,'7.0.3'!$AY$3)</f>
        <v>0</v>
      </c>
      <c r="Q27" s="4">
        <f>(VLOOKUP('7.0.3'!Y27,'7.0.3'!$AM$4:$AO$55,2,FALSE))*IF('7.0.3'!BB$4="是",'7.0.3'!$AY$4,'7.0.3'!$AY$3)</f>
        <v>0</v>
      </c>
      <c r="R27" s="4">
        <f>(VLOOKUP('7.0.3'!Z27,'7.0.3'!$AM$4:$AO$55,2,FALSE))*IF('7.0.3'!BC$4="是",'7.0.3'!$AY$4,'7.0.3'!$AY$3)</f>
        <v>0</v>
      </c>
      <c r="S27" s="4">
        <f>(VLOOKUP('7.0.3'!AA27,'7.0.3'!$AM$4:$AO$55,2,FALSE))*IF('7.0.3'!BD$4="是",'7.0.3'!$AY$4,'7.0.3'!$AY$3)</f>
        <v>0</v>
      </c>
      <c r="T27" s="4">
        <f>(VLOOKUP('7.0.3'!AB27,'7.0.3'!$AM$4:$AO$55,2,FALSE))*IF('7.0.3'!BE$4="是",'7.0.3'!$AY$4,'7.0.3'!$AY$3)</f>
        <v>0</v>
      </c>
      <c r="U27" s="4">
        <f>(VLOOKUP('7.0.3'!AC27,'7.0.3'!$AM$4:$AO$55,2,FALSE))*IF('7.0.3'!BF$4="是",'7.0.3'!$AY$4,'7.0.3'!$AY$3)</f>
        <v>0</v>
      </c>
      <c r="V27" s="4">
        <f>(VLOOKUP('7.0.3'!AD27,'7.0.3'!$AM$4:$AO$55,2,FALSE))*IF('7.0.3'!BG$4="是",'7.0.3'!$AY$4,'7.0.3'!$AY$3)</f>
        <v>0</v>
      </c>
      <c r="W27" s="5">
        <f>(VLOOKUP('7.0.3'!AE27,'7.0.3'!$AM$4:$AO$55,2,FALSE))*IF('7.0.3'!BH$4="是",'7.0.3'!$AY$4,'7.0.3'!$AY$3)</f>
        <v>0</v>
      </c>
      <c r="X27" s="5">
        <f>(VLOOKUP('7.0.3'!AF27,'7.0.3'!$AM$4:$AO$55,2,FALSE))*IF('7.0.3'!BI$4="是",'7.0.3'!$AY$4,'7.0.3'!$AY$3)</f>
        <v>0</v>
      </c>
    </row>
    <row r="28" spans="1:24">
      <c r="A28" s="4">
        <f>(VLOOKUP('7.0.3'!I28,'7.0.3'!$AM$4:$AO$55,2,FALSE))*IF('7.0.3'!AK$4="是",'7.0.3'!$AY$4,'7.0.3'!$AY$3)</f>
        <v>200</v>
      </c>
      <c r="B28" s="4">
        <f>(VLOOKUP('7.0.3'!J28,'7.0.3'!$AM$4:$AO$55,2,FALSE))*IF('7.0.3'!AL$4="是",'7.0.3'!$AY$4,'7.0.3'!$AY$3)</f>
        <v>200</v>
      </c>
      <c r="C28" s="4">
        <f>(VLOOKUP('7.0.3'!K28,'7.0.3'!$AM$4:$AO$55,2,FALSE))*IF('7.0.3'!AM$4="是",'7.0.3'!$AY$4,'7.0.3'!$AY$3)</f>
        <v>200</v>
      </c>
      <c r="D28" s="4">
        <f>(VLOOKUP('7.0.3'!L28,'7.0.3'!$AM$4:$AO$55,2,FALSE))*IF('7.0.3'!AN$4="是",'7.0.3'!$AY$4,'7.0.3'!$AY$3)</f>
        <v>200</v>
      </c>
      <c r="E28" s="4">
        <f>(VLOOKUP('7.0.3'!M28,'7.0.3'!$AM$4:$AO$55,2,FALSE))*IF('7.0.3'!AO$4="是",'7.0.3'!$AY$4,'7.0.3'!$AY$3)</f>
        <v>200</v>
      </c>
      <c r="F28" s="4">
        <f>(VLOOKUP('7.0.3'!N28,'7.0.3'!$AM$4:$AO$55,2,FALSE))*IF('7.0.3'!AQ$4="是",'7.0.3'!$AY$4,'7.0.3'!$AY$3)</f>
        <v>200</v>
      </c>
      <c r="G28" s="5">
        <f>(VLOOKUP('7.0.3'!O28,'7.0.3'!$AM$4:$AO$55,2,FALSE))*IF('7.0.3'!AR$4="是",'7.0.3'!$AY$4,'7.0.3'!$AY$3)</f>
        <v>0</v>
      </c>
      <c r="H28" s="5">
        <f>(VLOOKUP('7.0.3'!P28,'7.0.3'!$AM$4:$AO$55,2,FALSE))*IF('7.0.3'!AS$4="是",'7.0.3'!$AY$4,'7.0.3'!$AY$3)</f>
        <v>0</v>
      </c>
      <c r="I28" s="4">
        <f>(VLOOKUP('7.0.3'!Q28,'7.0.3'!$AM$4:$AO$55,2,FALSE))*IF('7.0.3'!AT$4="是",'7.0.3'!$AY$4,'7.0.3'!$AY$3)</f>
        <v>190</v>
      </c>
      <c r="J28" s="4">
        <f>(VLOOKUP('7.0.3'!R28,'7.0.3'!$AM$4:$AO$55,2,FALSE))*IF('7.0.3'!AU$4="是",'7.0.3'!$AY$4,'7.0.3'!$AY$3)</f>
        <v>190</v>
      </c>
      <c r="K28" s="4">
        <f>(VLOOKUP('7.0.3'!S28,'7.0.3'!$AM$4:$AO$55,2,FALSE))*IF('7.0.3'!AV$4="是",'7.0.3'!$AY$4,'7.0.3'!$AY$3)</f>
        <v>190</v>
      </c>
      <c r="L28" s="4">
        <f>(VLOOKUP('7.0.3'!T28,'7.0.3'!$AM$4:$AO$55,2,FALSE))*IF('7.0.3'!AW$4="是",'7.0.3'!$AY$4,'7.0.3'!$AY$3)</f>
        <v>190</v>
      </c>
      <c r="M28" s="4">
        <f>(VLOOKUP('7.0.3'!U28,'7.0.3'!$AM$4:$AO$55,2,FALSE))*IF('7.0.3'!AX$4="是",'7.0.3'!$AY$4,'7.0.3'!$AY$3)</f>
        <v>0</v>
      </c>
      <c r="N28" s="4">
        <f>(VLOOKUP('7.0.3'!V28,'7.0.3'!$AM$4:$AO$55,2,FALSE))*IF('7.0.3'!AY$4="是",'7.0.3'!$AY$4,'7.0.3'!$AY$3)</f>
        <v>0</v>
      </c>
      <c r="O28" s="5">
        <f>(VLOOKUP('7.0.3'!W28,'7.0.3'!$AM$4:$AO$55,2,FALSE))*IF('7.0.3'!AZ$4="是",'7.0.3'!$AY$4,'7.0.3'!$AY$3)</f>
        <v>0</v>
      </c>
      <c r="P28" s="5">
        <f>(VLOOKUP('7.0.3'!X28,'7.0.3'!$AM$4:$AO$55,2,FALSE))*IF('7.0.3'!BA$4="是",'7.0.3'!$AY$4,'7.0.3'!$AY$3)</f>
        <v>0</v>
      </c>
      <c r="Q28" s="4">
        <f>(VLOOKUP('7.0.3'!Y28,'7.0.3'!$AM$4:$AO$55,2,FALSE))*IF('7.0.3'!BB$4="是",'7.0.3'!$AY$4,'7.0.3'!$AY$3)</f>
        <v>0</v>
      </c>
      <c r="R28" s="4">
        <f>(VLOOKUP('7.0.3'!Z28,'7.0.3'!$AM$4:$AO$55,2,FALSE))*IF('7.0.3'!BC$4="是",'7.0.3'!$AY$4,'7.0.3'!$AY$3)</f>
        <v>0</v>
      </c>
      <c r="S28" s="4">
        <f>(VLOOKUP('7.0.3'!AA28,'7.0.3'!$AM$4:$AO$55,2,FALSE))*IF('7.0.3'!BD$4="是",'7.0.3'!$AY$4,'7.0.3'!$AY$3)</f>
        <v>0</v>
      </c>
      <c r="T28" s="4">
        <f>(VLOOKUP('7.0.3'!AB28,'7.0.3'!$AM$4:$AO$55,2,FALSE))*IF('7.0.3'!BE$4="是",'7.0.3'!$AY$4,'7.0.3'!$AY$3)</f>
        <v>0</v>
      </c>
      <c r="U28" s="4">
        <f>(VLOOKUP('7.0.3'!AC28,'7.0.3'!$AM$4:$AO$55,2,FALSE))*IF('7.0.3'!BF$4="是",'7.0.3'!$AY$4,'7.0.3'!$AY$3)</f>
        <v>0</v>
      </c>
      <c r="V28" s="4">
        <f>(VLOOKUP('7.0.3'!AD28,'7.0.3'!$AM$4:$AO$55,2,FALSE))*IF('7.0.3'!BG$4="是",'7.0.3'!$AY$4,'7.0.3'!$AY$3)</f>
        <v>0</v>
      </c>
      <c r="W28" s="5">
        <f>(VLOOKUP('7.0.3'!AE28,'7.0.3'!$AM$4:$AO$55,2,FALSE))*IF('7.0.3'!BH$4="是",'7.0.3'!$AY$4,'7.0.3'!$AY$3)</f>
        <v>0</v>
      </c>
      <c r="X28" s="5">
        <f>(VLOOKUP('7.0.3'!AF28,'7.0.3'!$AM$4:$AO$55,2,FALSE))*IF('7.0.3'!BI$4="是",'7.0.3'!$AY$4,'7.0.3'!$AY$3)</f>
        <v>0</v>
      </c>
    </row>
    <row r="29" spans="1:24">
      <c r="A29" s="4">
        <f>(VLOOKUP('7.0.3'!I29,'7.0.3'!$AM$4:$AO$55,2,FALSE))*IF('7.0.3'!AK$4="是",'7.0.3'!$AY$4,'7.0.3'!$AY$3)</f>
        <v>200</v>
      </c>
      <c r="B29" s="4">
        <f>(VLOOKUP('7.0.3'!J29,'7.0.3'!$AM$4:$AO$55,2,FALSE))*IF('7.0.3'!AL$4="是",'7.0.3'!$AY$4,'7.0.3'!$AY$3)</f>
        <v>200</v>
      </c>
      <c r="C29" s="4">
        <f>(VLOOKUP('7.0.3'!K29,'7.0.3'!$AM$4:$AO$55,2,FALSE))*IF('7.0.3'!AM$4="是",'7.0.3'!$AY$4,'7.0.3'!$AY$3)</f>
        <v>200</v>
      </c>
      <c r="D29" s="4">
        <f>(VLOOKUP('7.0.3'!L29,'7.0.3'!$AM$4:$AO$55,2,FALSE))*IF('7.0.3'!AN$4="是",'7.0.3'!$AY$4,'7.0.3'!$AY$3)</f>
        <v>200</v>
      </c>
      <c r="E29" s="4">
        <f>(VLOOKUP('7.0.3'!M29,'7.0.3'!$AM$4:$AO$55,2,FALSE))*IF('7.0.3'!AO$4="是",'7.0.3'!$AY$4,'7.0.3'!$AY$3)</f>
        <v>200</v>
      </c>
      <c r="F29" s="4">
        <f>(VLOOKUP('7.0.3'!N29,'7.0.3'!$AM$4:$AO$55,2,FALSE))*IF('7.0.3'!AQ$4="是",'7.0.3'!$AY$4,'7.0.3'!$AY$3)</f>
        <v>200</v>
      </c>
      <c r="G29" s="5">
        <f>(VLOOKUP('7.0.3'!O29,'7.0.3'!$AM$4:$AO$55,2,FALSE))*IF('7.0.3'!AR$4="是",'7.0.3'!$AY$4,'7.0.3'!$AY$3)</f>
        <v>0</v>
      </c>
      <c r="H29" s="5">
        <f>(VLOOKUP('7.0.3'!P29,'7.0.3'!$AM$4:$AO$55,2,FALSE))*IF('7.0.3'!AS$4="是",'7.0.3'!$AY$4,'7.0.3'!$AY$3)</f>
        <v>0</v>
      </c>
      <c r="I29" s="4">
        <f>(VLOOKUP('7.0.3'!Q29,'7.0.3'!$AM$4:$AO$55,2,FALSE))*IF('7.0.3'!AT$4="是",'7.0.3'!$AY$4,'7.0.3'!$AY$3)</f>
        <v>190</v>
      </c>
      <c r="J29" s="4">
        <f>(VLOOKUP('7.0.3'!R29,'7.0.3'!$AM$4:$AO$55,2,FALSE))*IF('7.0.3'!AU$4="是",'7.0.3'!$AY$4,'7.0.3'!$AY$3)</f>
        <v>190</v>
      </c>
      <c r="K29" s="4">
        <f>(VLOOKUP('7.0.3'!S29,'7.0.3'!$AM$4:$AO$55,2,FALSE))*IF('7.0.3'!AV$4="是",'7.0.3'!$AY$4,'7.0.3'!$AY$3)</f>
        <v>150</v>
      </c>
      <c r="L29" s="4">
        <f>(VLOOKUP('7.0.3'!T29,'7.0.3'!$AM$4:$AO$55,2,FALSE))*IF('7.0.3'!AW$4="是",'7.0.3'!$AY$4,'7.0.3'!$AY$3)</f>
        <v>190</v>
      </c>
      <c r="M29" s="4">
        <f>(VLOOKUP('7.0.3'!U29,'7.0.3'!$AM$4:$AO$55,2,FALSE))*IF('7.0.3'!AX$4="是",'7.0.3'!$AY$4,'7.0.3'!$AY$3)</f>
        <v>0</v>
      </c>
      <c r="N29" s="4">
        <f>(VLOOKUP('7.0.3'!V29,'7.0.3'!$AM$4:$AO$55,2,FALSE))*IF('7.0.3'!AY$4="是",'7.0.3'!$AY$4,'7.0.3'!$AY$3)</f>
        <v>0</v>
      </c>
      <c r="O29" s="5">
        <f>(VLOOKUP('7.0.3'!W29,'7.0.3'!$AM$4:$AO$55,2,FALSE))*IF('7.0.3'!AZ$4="是",'7.0.3'!$AY$4,'7.0.3'!$AY$3)</f>
        <v>0</v>
      </c>
      <c r="P29" s="5">
        <f>(VLOOKUP('7.0.3'!X29,'7.0.3'!$AM$4:$AO$55,2,FALSE))*IF('7.0.3'!BA$4="是",'7.0.3'!$AY$4,'7.0.3'!$AY$3)</f>
        <v>0</v>
      </c>
      <c r="Q29" s="4">
        <f>(VLOOKUP('7.0.3'!Y29,'7.0.3'!$AM$4:$AO$55,2,FALSE))*IF('7.0.3'!BB$4="是",'7.0.3'!$AY$4,'7.0.3'!$AY$3)</f>
        <v>0</v>
      </c>
      <c r="R29" s="4">
        <f>(VLOOKUP('7.0.3'!Z29,'7.0.3'!$AM$4:$AO$55,2,FALSE))*IF('7.0.3'!BC$4="是",'7.0.3'!$AY$4,'7.0.3'!$AY$3)</f>
        <v>0</v>
      </c>
      <c r="S29" s="4">
        <f>(VLOOKUP('7.0.3'!AA29,'7.0.3'!$AM$4:$AO$55,2,FALSE))*IF('7.0.3'!BD$4="是",'7.0.3'!$AY$4,'7.0.3'!$AY$3)</f>
        <v>0</v>
      </c>
      <c r="T29" s="4">
        <f>(VLOOKUP('7.0.3'!AB29,'7.0.3'!$AM$4:$AO$55,2,FALSE))*IF('7.0.3'!BE$4="是",'7.0.3'!$AY$4,'7.0.3'!$AY$3)</f>
        <v>0</v>
      </c>
      <c r="U29" s="4">
        <f>(VLOOKUP('7.0.3'!AC29,'7.0.3'!$AM$4:$AO$55,2,FALSE))*IF('7.0.3'!BF$4="是",'7.0.3'!$AY$4,'7.0.3'!$AY$3)</f>
        <v>0</v>
      </c>
      <c r="V29" s="4">
        <f>(VLOOKUP('7.0.3'!AD29,'7.0.3'!$AM$4:$AO$55,2,FALSE))*IF('7.0.3'!BG$4="是",'7.0.3'!$AY$4,'7.0.3'!$AY$3)</f>
        <v>0</v>
      </c>
      <c r="W29" s="5">
        <f>(VLOOKUP('7.0.3'!AE29,'7.0.3'!$AM$4:$AO$55,2,FALSE))*IF('7.0.3'!BH$4="是",'7.0.3'!$AY$4,'7.0.3'!$AY$3)</f>
        <v>0</v>
      </c>
      <c r="X29" s="5">
        <f>(VLOOKUP('7.0.3'!AF29,'7.0.3'!$AM$4:$AO$55,2,FALSE))*IF('7.0.3'!BI$4="是",'7.0.3'!$AY$4,'7.0.3'!$AY$3)</f>
        <v>0</v>
      </c>
    </row>
    <row r="30" spans="1:24">
      <c r="A30" s="4">
        <f>(VLOOKUP('7.0.3'!I30,'7.0.3'!$AM$4:$AO$55,2,FALSE))*IF('7.0.3'!AK$4="是",'7.0.3'!$AY$4,'7.0.3'!$AY$3)</f>
        <v>200</v>
      </c>
      <c r="B30" s="4">
        <f>(VLOOKUP('7.0.3'!J30,'7.0.3'!$AM$4:$AO$55,2,FALSE))*IF('7.0.3'!AL$4="是",'7.0.3'!$AY$4,'7.0.3'!$AY$3)</f>
        <v>200</v>
      </c>
      <c r="C30" s="4">
        <f>(VLOOKUP('7.0.3'!K30,'7.0.3'!$AM$4:$AO$55,2,FALSE))*IF('7.0.3'!AM$4="是",'7.0.3'!$AY$4,'7.0.3'!$AY$3)</f>
        <v>200</v>
      </c>
      <c r="D30" s="4">
        <f>(VLOOKUP('7.0.3'!L30,'7.0.3'!$AM$4:$AO$55,2,FALSE))*IF('7.0.3'!AN$4="是",'7.0.3'!$AY$4,'7.0.3'!$AY$3)</f>
        <v>200</v>
      </c>
      <c r="E30" s="4">
        <f>(VLOOKUP('7.0.3'!M30,'7.0.3'!$AM$4:$AO$55,2,FALSE))*IF('7.0.3'!AO$4="是",'7.0.3'!$AY$4,'7.0.3'!$AY$3)</f>
        <v>200</v>
      </c>
      <c r="F30" s="4">
        <f>(VLOOKUP('7.0.3'!N30,'7.0.3'!$AM$4:$AO$55,2,FALSE))*IF('7.0.3'!AQ$4="是",'7.0.3'!$AY$4,'7.0.3'!$AY$3)</f>
        <v>200</v>
      </c>
      <c r="G30" s="5">
        <f>(VLOOKUP('7.0.3'!O30,'7.0.3'!$AM$4:$AO$55,2,FALSE))*IF('7.0.3'!AR$4="是",'7.0.3'!$AY$4,'7.0.3'!$AY$3)</f>
        <v>0</v>
      </c>
      <c r="H30" s="5">
        <f>(VLOOKUP('7.0.3'!P30,'7.0.3'!$AM$4:$AO$55,2,FALSE))*IF('7.0.3'!AS$4="是",'7.0.3'!$AY$4,'7.0.3'!$AY$3)</f>
        <v>0</v>
      </c>
      <c r="I30" s="4">
        <f>(VLOOKUP('7.0.3'!Q30,'7.0.3'!$AM$4:$AO$55,2,FALSE))*IF('7.0.3'!AT$4="是",'7.0.3'!$AY$4,'7.0.3'!$AY$3)</f>
        <v>190</v>
      </c>
      <c r="J30" s="4">
        <f>(VLOOKUP('7.0.3'!R30,'7.0.3'!$AM$4:$AO$55,2,FALSE))*IF('7.0.3'!AU$4="是",'7.0.3'!$AY$4,'7.0.3'!$AY$3)</f>
        <v>190</v>
      </c>
      <c r="K30" s="4">
        <f>(VLOOKUP('7.0.3'!S30,'7.0.3'!$AM$4:$AO$55,2,FALSE))*IF('7.0.3'!AV$4="是",'7.0.3'!$AY$4,'7.0.3'!$AY$3)</f>
        <v>190</v>
      </c>
      <c r="L30" s="4">
        <f>(VLOOKUP('7.0.3'!T30,'7.0.3'!$AM$4:$AO$55,2,FALSE))*IF('7.0.3'!AW$4="是",'7.0.3'!$AY$4,'7.0.3'!$AY$3)</f>
        <v>190</v>
      </c>
      <c r="M30" s="4">
        <f>(VLOOKUP('7.0.3'!U30,'7.0.3'!$AM$4:$AO$55,2,FALSE))*IF('7.0.3'!AX$4="是",'7.0.3'!$AY$4,'7.0.3'!$AY$3)</f>
        <v>190</v>
      </c>
      <c r="N30" s="4">
        <f>(VLOOKUP('7.0.3'!V30,'7.0.3'!$AM$4:$AO$55,2,FALSE))*IF('7.0.3'!AY$4="是",'7.0.3'!$AY$4,'7.0.3'!$AY$3)</f>
        <v>0</v>
      </c>
      <c r="O30" s="5">
        <f>(VLOOKUP('7.0.3'!W30,'7.0.3'!$AM$4:$AO$55,2,FALSE))*IF('7.0.3'!AZ$4="是",'7.0.3'!$AY$4,'7.0.3'!$AY$3)</f>
        <v>0</v>
      </c>
      <c r="P30" s="5">
        <f>(VLOOKUP('7.0.3'!X30,'7.0.3'!$AM$4:$AO$55,2,FALSE))*IF('7.0.3'!BA$4="是",'7.0.3'!$AY$4,'7.0.3'!$AY$3)</f>
        <v>0</v>
      </c>
      <c r="Q30" s="4">
        <f>(VLOOKUP('7.0.3'!Y30,'7.0.3'!$AM$4:$AO$55,2,FALSE))*IF('7.0.3'!BB$4="是",'7.0.3'!$AY$4,'7.0.3'!$AY$3)</f>
        <v>0</v>
      </c>
      <c r="R30" s="4">
        <f>(VLOOKUP('7.0.3'!Z30,'7.0.3'!$AM$4:$AO$55,2,FALSE))*IF('7.0.3'!BC$4="是",'7.0.3'!$AY$4,'7.0.3'!$AY$3)</f>
        <v>0</v>
      </c>
      <c r="S30" s="4">
        <f>(VLOOKUP('7.0.3'!AA30,'7.0.3'!$AM$4:$AO$55,2,FALSE))*IF('7.0.3'!BD$4="是",'7.0.3'!$AY$4,'7.0.3'!$AY$3)</f>
        <v>0</v>
      </c>
      <c r="T30" s="4">
        <f>(VLOOKUP('7.0.3'!AB30,'7.0.3'!$AM$4:$AO$55,2,FALSE))*IF('7.0.3'!BE$4="是",'7.0.3'!$AY$4,'7.0.3'!$AY$3)</f>
        <v>0</v>
      </c>
      <c r="U30" s="4">
        <f>(VLOOKUP('7.0.3'!AC30,'7.0.3'!$AM$4:$AO$55,2,FALSE))*IF('7.0.3'!BF$4="是",'7.0.3'!$AY$4,'7.0.3'!$AY$3)</f>
        <v>0</v>
      </c>
      <c r="V30" s="4">
        <f>(VLOOKUP('7.0.3'!AD30,'7.0.3'!$AM$4:$AO$55,2,FALSE))*IF('7.0.3'!BG$4="是",'7.0.3'!$AY$4,'7.0.3'!$AY$3)</f>
        <v>0</v>
      </c>
      <c r="W30" s="5">
        <f>(VLOOKUP('7.0.3'!AE30,'7.0.3'!$AM$4:$AO$55,2,FALSE))*IF('7.0.3'!BH$4="是",'7.0.3'!$AY$4,'7.0.3'!$AY$3)</f>
        <v>0</v>
      </c>
      <c r="X30" s="5">
        <f>(VLOOKUP('7.0.3'!AF30,'7.0.3'!$AM$4:$AO$55,2,FALSE))*IF('7.0.3'!BI$4="是",'7.0.3'!$AY$4,'7.0.3'!$AY$3)</f>
        <v>0</v>
      </c>
    </row>
    <row r="31" spans="1:24">
      <c r="A31" s="4">
        <f>(VLOOKUP('7.0.3'!I31,'7.0.3'!$AM$4:$AO$55,2,FALSE))*IF('7.0.3'!AK$4="是",'7.0.3'!$AY$4,'7.0.3'!$AY$3)</f>
        <v>200</v>
      </c>
      <c r="B31" s="4">
        <f>(VLOOKUP('7.0.3'!J31,'7.0.3'!$AM$4:$AO$55,2,FALSE))*IF('7.0.3'!AL$4="是",'7.0.3'!$AY$4,'7.0.3'!$AY$3)</f>
        <v>200</v>
      </c>
      <c r="C31" s="4">
        <f>(VLOOKUP('7.0.3'!K31,'7.0.3'!$AM$4:$AO$55,2,FALSE))*IF('7.0.3'!AM$4="是",'7.0.3'!$AY$4,'7.0.3'!$AY$3)</f>
        <v>200</v>
      </c>
      <c r="D31" s="4">
        <f>(VLOOKUP('7.0.3'!L31,'7.0.3'!$AM$4:$AO$55,2,FALSE))*IF('7.0.3'!AN$4="是",'7.0.3'!$AY$4,'7.0.3'!$AY$3)</f>
        <v>200</v>
      </c>
      <c r="E31" s="4">
        <f>(VLOOKUP('7.0.3'!M31,'7.0.3'!$AM$4:$AO$55,2,FALSE))*IF('7.0.3'!AO$4="是",'7.0.3'!$AY$4,'7.0.3'!$AY$3)</f>
        <v>200</v>
      </c>
      <c r="F31" s="4">
        <f>(VLOOKUP('7.0.3'!N31,'7.0.3'!$AM$4:$AO$55,2,FALSE))*IF('7.0.3'!AQ$4="是",'7.0.3'!$AY$4,'7.0.3'!$AY$3)</f>
        <v>200</v>
      </c>
      <c r="G31" s="5">
        <f>(VLOOKUP('7.0.3'!O31,'7.0.3'!$AM$4:$AO$55,2,FALSE))*IF('7.0.3'!AR$4="是",'7.0.3'!$AY$4,'7.0.3'!$AY$3)</f>
        <v>0</v>
      </c>
      <c r="H31" s="5">
        <f>(VLOOKUP('7.0.3'!P31,'7.0.3'!$AM$4:$AO$55,2,FALSE))*IF('7.0.3'!AS$4="是",'7.0.3'!$AY$4,'7.0.3'!$AY$3)</f>
        <v>0</v>
      </c>
      <c r="I31" s="4">
        <f>(VLOOKUP('7.0.3'!Q31,'7.0.3'!$AM$4:$AO$55,2,FALSE))*IF('7.0.3'!AT$4="是",'7.0.3'!$AY$4,'7.0.3'!$AY$3)</f>
        <v>190</v>
      </c>
      <c r="J31" s="4">
        <f>(VLOOKUP('7.0.3'!R31,'7.0.3'!$AM$4:$AO$55,2,FALSE))*IF('7.0.3'!AU$4="是",'7.0.3'!$AY$4,'7.0.3'!$AY$3)</f>
        <v>-200</v>
      </c>
      <c r="K31" s="4">
        <f>(VLOOKUP('7.0.3'!S31,'7.0.3'!$AM$4:$AO$55,2,FALSE))*IF('7.0.3'!AV$4="是",'7.0.3'!$AY$4,'7.0.3'!$AY$3)</f>
        <v>190</v>
      </c>
      <c r="L31" s="4">
        <f>(VLOOKUP('7.0.3'!T31,'7.0.3'!$AM$4:$AO$55,2,FALSE))*IF('7.0.3'!AW$4="是",'7.0.3'!$AY$4,'7.0.3'!$AY$3)</f>
        <v>190</v>
      </c>
      <c r="M31" s="4">
        <f>(VLOOKUP('7.0.3'!U31,'7.0.3'!$AM$4:$AO$55,2,FALSE))*IF('7.0.3'!AX$4="是",'7.0.3'!$AY$4,'7.0.3'!$AY$3)</f>
        <v>190</v>
      </c>
      <c r="N31" s="4">
        <f>(VLOOKUP('7.0.3'!V31,'7.0.3'!$AM$4:$AO$55,2,FALSE))*IF('7.0.3'!AY$4="是",'7.0.3'!$AY$4,'7.0.3'!$AY$3)</f>
        <v>190</v>
      </c>
      <c r="O31" s="5">
        <f>(VLOOKUP('7.0.3'!W31,'7.0.3'!$AM$4:$AO$55,2,FALSE))*IF('7.0.3'!AZ$4="是",'7.0.3'!$AY$4,'7.0.3'!$AY$3)</f>
        <v>0</v>
      </c>
      <c r="P31" s="5">
        <f>(VLOOKUP('7.0.3'!X31,'7.0.3'!$AM$4:$AO$55,2,FALSE))*IF('7.0.3'!BA$4="是",'7.0.3'!$AY$4,'7.0.3'!$AY$3)</f>
        <v>0</v>
      </c>
      <c r="Q31" s="4">
        <f>(VLOOKUP('7.0.3'!Y31,'7.0.3'!$AM$4:$AO$55,2,FALSE))*IF('7.0.3'!BB$4="是",'7.0.3'!$AY$4,'7.0.3'!$AY$3)</f>
        <v>0</v>
      </c>
      <c r="R31" s="4">
        <f>(VLOOKUP('7.0.3'!Z31,'7.0.3'!$AM$4:$AO$55,2,FALSE))*IF('7.0.3'!BC$4="是",'7.0.3'!$AY$4,'7.0.3'!$AY$3)</f>
        <v>0</v>
      </c>
      <c r="S31" s="4">
        <f>(VLOOKUP('7.0.3'!AA31,'7.0.3'!$AM$4:$AO$55,2,FALSE))*IF('7.0.3'!BD$4="是",'7.0.3'!$AY$4,'7.0.3'!$AY$3)</f>
        <v>0</v>
      </c>
      <c r="T31" s="4">
        <f>(VLOOKUP('7.0.3'!AB31,'7.0.3'!$AM$4:$AO$55,2,FALSE))*IF('7.0.3'!BE$4="是",'7.0.3'!$AY$4,'7.0.3'!$AY$3)</f>
        <v>0</v>
      </c>
      <c r="U31" s="4">
        <f>(VLOOKUP('7.0.3'!AC31,'7.0.3'!$AM$4:$AO$55,2,FALSE))*IF('7.0.3'!BF$4="是",'7.0.3'!$AY$4,'7.0.3'!$AY$3)</f>
        <v>0</v>
      </c>
      <c r="V31" s="4">
        <f>(VLOOKUP('7.0.3'!AD31,'7.0.3'!$AM$4:$AO$55,2,FALSE))*IF('7.0.3'!BG$4="是",'7.0.3'!$AY$4,'7.0.3'!$AY$3)</f>
        <v>0</v>
      </c>
      <c r="W31" s="5">
        <f>(VLOOKUP('7.0.3'!AE31,'7.0.3'!$AM$4:$AO$55,2,FALSE))*IF('7.0.3'!BH$4="是",'7.0.3'!$AY$4,'7.0.3'!$AY$3)</f>
        <v>0</v>
      </c>
      <c r="X31" s="5">
        <f>(VLOOKUP('7.0.3'!AF31,'7.0.3'!$AM$4:$AO$55,2,FALSE))*IF('7.0.3'!BI$4="是",'7.0.3'!$AY$4,'7.0.3'!$AY$3)</f>
        <v>0</v>
      </c>
    </row>
    <row r="32" spans="1:24">
      <c r="A32" s="4">
        <f>(VLOOKUP('7.0.3'!I32,'7.0.3'!$AM$4:$AO$55,2,FALSE))*IF('7.0.3'!AK$4="是",'7.0.3'!$AY$4,'7.0.3'!$AY$3)</f>
        <v>200</v>
      </c>
      <c r="B32" s="4">
        <f>(VLOOKUP('7.0.3'!J32,'7.0.3'!$AM$4:$AO$55,2,FALSE))*IF('7.0.3'!AL$4="是",'7.0.3'!$AY$4,'7.0.3'!$AY$3)</f>
        <v>200</v>
      </c>
      <c r="C32" s="4">
        <f>(VLOOKUP('7.0.3'!K32,'7.0.3'!$AM$4:$AO$55,2,FALSE))*IF('7.0.3'!AM$4="是",'7.0.3'!$AY$4,'7.0.3'!$AY$3)</f>
        <v>200</v>
      </c>
      <c r="D32" s="4">
        <f>(VLOOKUP('7.0.3'!L32,'7.0.3'!$AM$4:$AO$55,2,FALSE))*IF('7.0.3'!AN$4="是",'7.0.3'!$AY$4,'7.0.3'!$AY$3)</f>
        <v>200</v>
      </c>
      <c r="E32" s="4">
        <f>(VLOOKUP('7.0.3'!M32,'7.0.3'!$AM$4:$AO$55,2,FALSE))*IF('7.0.3'!AO$4="是",'7.0.3'!$AY$4,'7.0.3'!$AY$3)</f>
        <v>200</v>
      </c>
      <c r="F32" s="4">
        <f>(VLOOKUP('7.0.3'!N32,'7.0.3'!$AM$4:$AO$55,2,FALSE))*IF('7.0.3'!AQ$4="是",'7.0.3'!$AY$4,'7.0.3'!$AY$3)</f>
        <v>200</v>
      </c>
      <c r="G32" s="5">
        <f>(VLOOKUP('7.0.3'!O32,'7.0.3'!$AM$4:$AO$55,2,FALSE))*IF('7.0.3'!AR$4="是",'7.0.3'!$AY$4,'7.0.3'!$AY$3)</f>
        <v>0</v>
      </c>
      <c r="H32" s="5">
        <f>(VLOOKUP('7.0.3'!P32,'7.0.3'!$AM$4:$AO$55,2,FALSE))*IF('7.0.3'!AS$4="是",'7.0.3'!$AY$4,'7.0.3'!$AY$3)</f>
        <v>0</v>
      </c>
      <c r="I32" s="4">
        <f>(VLOOKUP('7.0.3'!Q32,'7.0.3'!$AM$4:$AO$55,2,FALSE))*IF('7.0.3'!AT$4="是",'7.0.3'!$AY$4,'7.0.3'!$AY$3)</f>
        <v>190</v>
      </c>
      <c r="J32" s="4">
        <f>(VLOOKUP('7.0.3'!R32,'7.0.3'!$AM$4:$AO$55,2,FALSE))*IF('7.0.3'!AU$4="是",'7.0.3'!$AY$4,'7.0.3'!$AY$3)</f>
        <v>190</v>
      </c>
      <c r="K32" s="4">
        <f>(VLOOKUP('7.0.3'!S32,'7.0.3'!$AM$4:$AO$55,2,FALSE))*IF('7.0.3'!AV$4="是",'7.0.3'!$AY$4,'7.0.3'!$AY$3)</f>
        <v>190</v>
      </c>
      <c r="L32" s="4">
        <f>(VLOOKUP('7.0.3'!T32,'7.0.3'!$AM$4:$AO$55,2,FALSE))*IF('7.0.3'!AW$4="是",'7.0.3'!$AY$4,'7.0.3'!$AY$3)</f>
        <v>190</v>
      </c>
      <c r="M32" s="4">
        <f>(VLOOKUP('7.0.3'!U32,'7.0.3'!$AM$4:$AO$55,2,FALSE))*IF('7.0.3'!AX$4="是",'7.0.3'!$AY$4,'7.0.3'!$AY$3)</f>
        <v>0</v>
      </c>
      <c r="N32" s="4">
        <f>(VLOOKUP('7.0.3'!V32,'7.0.3'!$AM$4:$AO$55,2,FALSE))*IF('7.0.3'!AY$4="是",'7.0.3'!$AY$4,'7.0.3'!$AY$3)</f>
        <v>0</v>
      </c>
      <c r="O32" s="5">
        <f>(VLOOKUP('7.0.3'!W32,'7.0.3'!$AM$4:$AO$55,2,FALSE))*IF('7.0.3'!AZ$4="是",'7.0.3'!$AY$4,'7.0.3'!$AY$3)</f>
        <v>0</v>
      </c>
      <c r="P32" s="5">
        <f>(VLOOKUP('7.0.3'!X32,'7.0.3'!$AM$4:$AO$55,2,FALSE))*IF('7.0.3'!BA$4="是",'7.0.3'!$AY$4,'7.0.3'!$AY$3)</f>
        <v>0</v>
      </c>
      <c r="Q32" s="4">
        <f>(VLOOKUP('7.0.3'!Y32,'7.0.3'!$AM$4:$AO$55,2,FALSE))*IF('7.0.3'!BB$4="是",'7.0.3'!$AY$4,'7.0.3'!$AY$3)</f>
        <v>0</v>
      </c>
      <c r="R32" s="4">
        <f>(VLOOKUP('7.0.3'!Z32,'7.0.3'!$AM$4:$AO$55,2,FALSE))*IF('7.0.3'!BC$4="是",'7.0.3'!$AY$4,'7.0.3'!$AY$3)</f>
        <v>0</v>
      </c>
      <c r="S32" s="4">
        <f>(VLOOKUP('7.0.3'!AA32,'7.0.3'!$AM$4:$AO$55,2,FALSE))*IF('7.0.3'!BD$4="是",'7.0.3'!$AY$4,'7.0.3'!$AY$3)</f>
        <v>0</v>
      </c>
      <c r="T32" s="4">
        <f>(VLOOKUP('7.0.3'!AB32,'7.0.3'!$AM$4:$AO$55,2,FALSE))*IF('7.0.3'!BE$4="是",'7.0.3'!$AY$4,'7.0.3'!$AY$3)</f>
        <v>0</v>
      </c>
      <c r="U32" s="4">
        <f>(VLOOKUP('7.0.3'!AC32,'7.0.3'!$AM$4:$AO$55,2,FALSE))*IF('7.0.3'!BF$4="是",'7.0.3'!$AY$4,'7.0.3'!$AY$3)</f>
        <v>0</v>
      </c>
      <c r="V32" s="4">
        <f>(VLOOKUP('7.0.3'!AD32,'7.0.3'!$AM$4:$AO$55,2,FALSE))*IF('7.0.3'!BG$4="是",'7.0.3'!$AY$4,'7.0.3'!$AY$3)</f>
        <v>0</v>
      </c>
      <c r="W32" s="5">
        <f>(VLOOKUP('7.0.3'!AE32,'7.0.3'!$AM$4:$AO$55,2,FALSE))*IF('7.0.3'!BH$4="是",'7.0.3'!$AY$4,'7.0.3'!$AY$3)</f>
        <v>0</v>
      </c>
      <c r="X32" s="5">
        <f>(VLOOKUP('7.0.3'!AF32,'7.0.3'!$AM$4:$AO$55,2,FALSE))*IF('7.0.3'!BI$4="是",'7.0.3'!$AY$4,'7.0.3'!$AY$3)</f>
        <v>0</v>
      </c>
    </row>
    <row r="33" spans="1:24">
      <c r="A33" s="4">
        <f>(VLOOKUP('7.0.3'!I33,'7.0.3'!$AM$4:$AO$55,2,FALSE))*IF('7.0.3'!AK$4="是",'7.0.3'!$AY$4,'7.0.3'!$AY$3)</f>
        <v>200</v>
      </c>
      <c r="B33" s="4">
        <f>(VLOOKUP('7.0.3'!J33,'7.0.3'!$AM$4:$AO$55,2,FALSE))*IF('7.0.3'!AL$4="是",'7.0.3'!$AY$4,'7.0.3'!$AY$3)</f>
        <v>200</v>
      </c>
      <c r="C33" s="4">
        <f>(VLOOKUP('7.0.3'!K33,'7.0.3'!$AM$4:$AO$55,2,FALSE))*IF('7.0.3'!AM$4="是",'7.0.3'!$AY$4,'7.0.3'!$AY$3)</f>
        <v>200</v>
      </c>
      <c r="D33" s="4">
        <f>(VLOOKUP('7.0.3'!L33,'7.0.3'!$AM$4:$AO$55,2,FALSE))*IF('7.0.3'!AN$4="是",'7.0.3'!$AY$4,'7.0.3'!$AY$3)</f>
        <v>200</v>
      </c>
      <c r="E33" s="4">
        <f>(VLOOKUP('7.0.3'!M33,'7.0.3'!$AM$4:$AO$55,2,FALSE))*IF('7.0.3'!AO$4="是",'7.0.3'!$AY$4,'7.0.3'!$AY$3)</f>
        <v>200</v>
      </c>
      <c r="F33" s="4">
        <f>(VLOOKUP('7.0.3'!N33,'7.0.3'!$AM$4:$AO$55,2,FALSE))*IF('7.0.3'!AQ$4="是",'7.0.3'!$AY$4,'7.0.3'!$AY$3)</f>
        <v>200</v>
      </c>
      <c r="G33" s="5">
        <f>(VLOOKUP('7.0.3'!O33,'7.0.3'!$AM$4:$AO$55,2,FALSE))*IF('7.0.3'!AR$4="是",'7.0.3'!$AY$4,'7.0.3'!$AY$3)</f>
        <v>0</v>
      </c>
      <c r="H33" s="5">
        <f>(VLOOKUP('7.0.3'!P33,'7.0.3'!$AM$4:$AO$55,2,FALSE))*IF('7.0.3'!AS$4="是",'7.0.3'!$AY$4,'7.0.3'!$AY$3)</f>
        <v>0</v>
      </c>
      <c r="I33" s="4">
        <f>(VLOOKUP('7.0.3'!Q33,'7.0.3'!$AM$4:$AO$55,2,FALSE))*IF('7.0.3'!AT$4="是",'7.0.3'!$AY$4,'7.0.3'!$AY$3)</f>
        <v>190</v>
      </c>
      <c r="J33" s="4">
        <f>(VLOOKUP('7.0.3'!R33,'7.0.3'!$AM$4:$AO$55,2,FALSE))*IF('7.0.3'!AU$4="是",'7.0.3'!$AY$4,'7.0.3'!$AY$3)</f>
        <v>190</v>
      </c>
      <c r="K33" s="4">
        <f>(VLOOKUP('7.0.3'!S33,'7.0.3'!$AM$4:$AO$55,2,FALSE))*IF('7.0.3'!AV$4="是",'7.0.3'!$AY$4,'7.0.3'!$AY$3)</f>
        <v>190</v>
      </c>
      <c r="L33" s="4">
        <f>(VLOOKUP('7.0.3'!T33,'7.0.3'!$AM$4:$AO$55,2,FALSE))*IF('7.0.3'!AW$4="是",'7.0.3'!$AY$4,'7.0.3'!$AY$3)</f>
        <v>190</v>
      </c>
      <c r="M33" s="4">
        <f>(VLOOKUP('7.0.3'!U33,'7.0.3'!$AM$4:$AO$55,2,FALSE))*IF('7.0.3'!AX$4="是",'7.0.3'!$AY$4,'7.0.3'!$AY$3)</f>
        <v>0</v>
      </c>
      <c r="N33" s="4">
        <f>(VLOOKUP('7.0.3'!V33,'7.0.3'!$AM$4:$AO$55,2,FALSE))*IF('7.0.3'!AY$4="是",'7.0.3'!$AY$4,'7.0.3'!$AY$3)</f>
        <v>0</v>
      </c>
      <c r="O33" s="5">
        <f>(VLOOKUP('7.0.3'!W33,'7.0.3'!$AM$4:$AO$55,2,FALSE))*IF('7.0.3'!AZ$4="是",'7.0.3'!$AY$4,'7.0.3'!$AY$3)</f>
        <v>0</v>
      </c>
      <c r="P33" s="5">
        <f>(VLOOKUP('7.0.3'!X33,'7.0.3'!$AM$4:$AO$55,2,FALSE))*IF('7.0.3'!BA$4="是",'7.0.3'!$AY$4,'7.0.3'!$AY$3)</f>
        <v>0</v>
      </c>
      <c r="Q33" s="4">
        <f>(VLOOKUP('7.0.3'!Y33,'7.0.3'!$AM$4:$AO$55,2,FALSE))*IF('7.0.3'!BB$4="是",'7.0.3'!$AY$4,'7.0.3'!$AY$3)</f>
        <v>0</v>
      </c>
      <c r="R33" s="4">
        <f>(VLOOKUP('7.0.3'!Z33,'7.0.3'!$AM$4:$AO$55,2,FALSE))*IF('7.0.3'!BC$4="是",'7.0.3'!$AY$4,'7.0.3'!$AY$3)</f>
        <v>0</v>
      </c>
      <c r="S33" s="4">
        <f>(VLOOKUP('7.0.3'!AA33,'7.0.3'!$AM$4:$AO$55,2,FALSE))*IF('7.0.3'!BD$4="是",'7.0.3'!$AY$4,'7.0.3'!$AY$3)</f>
        <v>0</v>
      </c>
      <c r="T33" s="4">
        <f>(VLOOKUP('7.0.3'!AB33,'7.0.3'!$AM$4:$AO$55,2,FALSE))*IF('7.0.3'!BE$4="是",'7.0.3'!$AY$4,'7.0.3'!$AY$3)</f>
        <v>0</v>
      </c>
      <c r="U33" s="4">
        <f>(VLOOKUP('7.0.3'!AC33,'7.0.3'!$AM$4:$AO$55,2,FALSE))*IF('7.0.3'!BF$4="是",'7.0.3'!$AY$4,'7.0.3'!$AY$3)</f>
        <v>0</v>
      </c>
      <c r="V33" s="4">
        <f>(VLOOKUP('7.0.3'!AD33,'7.0.3'!$AM$4:$AO$55,2,FALSE))*IF('7.0.3'!BG$4="是",'7.0.3'!$AY$4,'7.0.3'!$AY$3)</f>
        <v>0</v>
      </c>
      <c r="W33" s="5">
        <f>(VLOOKUP('7.0.3'!AE33,'7.0.3'!$AM$4:$AO$55,2,FALSE))*IF('7.0.3'!BH$4="是",'7.0.3'!$AY$4,'7.0.3'!$AY$3)</f>
        <v>0</v>
      </c>
      <c r="X33" s="5">
        <f>(VLOOKUP('7.0.3'!AF33,'7.0.3'!$AM$4:$AO$55,2,FALSE))*IF('7.0.3'!BI$4="是",'7.0.3'!$AY$4,'7.0.3'!$AY$3)</f>
        <v>0</v>
      </c>
    </row>
    <row r="34" spans="1:24">
      <c r="A34" s="4">
        <f>(VLOOKUP('7.0.3'!I34,'7.0.3'!$AM$4:$AO$55,2,FALSE))*IF('7.0.3'!AK$4="是",'7.0.3'!$AY$4,'7.0.3'!$AY$3)</f>
        <v>200</v>
      </c>
      <c r="B34" s="4">
        <f>(VLOOKUP('7.0.3'!J34,'7.0.3'!$AM$4:$AO$55,2,FALSE))*IF('7.0.3'!AL$4="是",'7.0.3'!$AY$4,'7.0.3'!$AY$3)</f>
        <v>200</v>
      </c>
      <c r="C34" s="4">
        <f>(VLOOKUP('7.0.3'!K34,'7.0.3'!$AM$4:$AO$55,2,FALSE))*IF('7.0.3'!AM$4="是",'7.0.3'!$AY$4,'7.0.3'!$AY$3)</f>
        <v>200</v>
      </c>
      <c r="D34" s="4">
        <f>(VLOOKUP('7.0.3'!L34,'7.0.3'!$AM$4:$AO$55,2,FALSE))*IF('7.0.3'!AN$4="是",'7.0.3'!$AY$4,'7.0.3'!$AY$3)</f>
        <v>200</v>
      </c>
      <c r="E34" s="4">
        <f>(VLOOKUP('7.0.3'!M34,'7.0.3'!$AM$4:$AO$55,2,FALSE))*IF('7.0.3'!AO$4="是",'7.0.3'!$AY$4,'7.0.3'!$AY$3)</f>
        <v>200</v>
      </c>
      <c r="F34" s="4">
        <f>(VLOOKUP('7.0.3'!N34,'7.0.3'!$AM$4:$AO$55,2,FALSE))*IF('7.0.3'!AQ$4="是",'7.0.3'!$AY$4,'7.0.3'!$AY$3)</f>
        <v>200</v>
      </c>
      <c r="G34" s="5">
        <f>(VLOOKUP('7.0.3'!O34,'7.0.3'!$AM$4:$AO$55,2,FALSE))*IF('7.0.3'!AR$4="是",'7.0.3'!$AY$4,'7.0.3'!$AY$3)</f>
        <v>0</v>
      </c>
      <c r="H34" s="5">
        <f>(VLOOKUP('7.0.3'!P34,'7.0.3'!$AM$4:$AO$55,2,FALSE))*IF('7.0.3'!AS$4="是",'7.0.3'!$AY$4,'7.0.3'!$AY$3)</f>
        <v>0</v>
      </c>
      <c r="I34" s="4">
        <f>(VLOOKUP('7.0.3'!Q34,'7.0.3'!$AM$4:$AO$55,2,FALSE))*IF('7.0.3'!AT$4="是",'7.0.3'!$AY$4,'7.0.3'!$AY$3)</f>
        <v>190</v>
      </c>
      <c r="J34" s="4">
        <f>(VLOOKUP('7.0.3'!R34,'7.0.3'!$AM$4:$AO$55,2,FALSE))*IF('7.0.3'!AU$4="是",'7.0.3'!$AY$4,'7.0.3'!$AY$3)</f>
        <v>190</v>
      </c>
      <c r="K34" s="4">
        <f>(VLOOKUP('7.0.3'!S34,'7.0.3'!$AM$4:$AO$55,2,FALSE))*IF('7.0.3'!AV$4="是",'7.0.3'!$AY$4,'7.0.3'!$AY$3)</f>
        <v>190</v>
      </c>
      <c r="L34" s="4">
        <f>(VLOOKUP('7.0.3'!T34,'7.0.3'!$AM$4:$AO$55,2,FALSE))*IF('7.0.3'!AW$4="是",'7.0.3'!$AY$4,'7.0.3'!$AY$3)</f>
        <v>190</v>
      </c>
      <c r="M34" s="4">
        <f>(VLOOKUP('7.0.3'!U34,'7.0.3'!$AM$4:$AO$55,2,FALSE))*IF('7.0.3'!AX$4="是",'7.0.3'!$AY$4,'7.0.3'!$AY$3)</f>
        <v>0</v>
      </c>
      <c r="N34" s="4">
        <f>(VLOOKUP('7.0.3'!V34,'7.0.3'!$AM$4:$AO$55,2,FALSE))*IF('7.0.3'!AY$4="是",'7.0.3'!$AY$4,'7.0.3'!$AY$3)</f>
        <v>0</v>
      </c>
      <c r="O34" s="5">
        <f>(VLOOKUP('7.0.3'!W34,'7.0.3'!$AM$4:$AO$55,2,FALSE))*IF('7.0.3'!AZ$4="是",'7.0.3'!$AY$4,'7.0.3'!$AY$3)</f>
        <v>0</v>
      </c>
      <c r="P34" s="5">
        <f>(VLOOKUP('7.0.3'!X34,'7.0.3'!$AM$4:$AO$55,2,FALSE))*IF('7.0.3'!BA$4="是",'7.0.3'!$AY$4,'7.0.3'!$AY$3)</f>
        <v>0</v>
      </c>
      <c r="Q34" s="4">
        <f>(VLOOKUP('7.0.3'!Y34,'7.0.3'!$AM$4:$AO$55,2,FALSE))*IF('7.0.3'!BB$4="是",'7.0.3'!$AY$4,'7.0.3'!$AY$3)</f>
        <v>0</v>
      </c>
      <c r="R34" s="4">
        <f>(VLOOKUP('7.0.3'!Z34,'7.0.3'!$AM$4:$AO$55,2,FALSE))*IF('7.0.3'!BC$4="是",'7.0.3'!$AY$4,'7.0.3'!$AY$3)</f>
        <v>0</v>
      </c>
      <c r="S34" s="4">
        <f>(VLOOKUP('7.0.3'!AA34,'7.0.3'!$AM$4:$AO$55,2,FALSE))*IF('7.0.3'!BD$4="是",'7.0.3'!$AY$4,'7.0.3'!$AY$3)</f>
        <v>0</v>
      </c>
      <c r="T34" s="4">
        <f>(VLOOKUP('7.0.3'!AB34,'7.0.3'!$AM$4:$AO$55,2,FALSE))*IF('7.0.3'!BE$4="是",'7.0.3'!$AY$4,'7.0.3'!$AY$3)</f>
        <v>0</v>
      </c>
      <c r="U34" s="4">
        <f>(VLOOKUP('7.0.3'!AC34,'7.0.3'!$AM$4:$AO$55,2,FALSE))*IF('7.0.3'!BF$4="是",'7.0.3'!$AY$4,'7.0.3'!$AY$3)</f>
        <v>0</v>
      </c>
      <c r="V34" s="4">
        <f>(VLOOKUP('7.0.3'!AD34,'7.0.3'!$AM$4:$AO$55,2,FALSE))*IF('7.0.3'!BG$4="是",'7.0.3'!$AY$4,'7.0.3'!$AY$3)</f>
        <v>0</v>
      </c>
      <c r="W34" s="5">
        <f>(VLOOKUP('7.0.3'!AE34,'7.0.3'!$AM$4:$AO$55,2,FALSE))*IF('7.0.3'!BH$4="是",'7.0.3'!$AY$4,'7.0.3'!$AY$3)</f>
        <v>0</v>
      </c>
      <c r="X34" s="5">
        <f>(VLOOKUP('7.0.3'!AF34,'7.0.3'!$AM$4:$AO$55,2,FALSE))*IF('7.0.3'!BI$4="是",'7.0.3'!$AY$4,'7.0.3'!$AY$3)</f>
        <v>0</v>
      </c>
    </row>
    <row r="35" spans="1:24">
      <c r="A35" s="4">
        <f>(VLOOKUP('7.0.3'!I35,'7.0.3'!$AM$4:$AO$55,2,FALSE))*IF('7.0.3'!AK$4="是",'7.0.3'!$AY$4,'7.0.3'!$AY$3)</f>
        <v>250</v>
      </c>
      <c r="B35" s="4">
        <f>(VLOOKUP('7.0.3'!J35,'7.0.3'!$AM$4:$AO$55,2,FALSE))*IF('7.0.3'!AL$4="是",'7.0.3'!$AY$4,'7.0.3'!$AY$3)</f>
        <v>200</v>
      </c>
      <c r="C35" s="4">
        <f>(VLOOKUP('7.0.3'!K35,'7.0.3'!$AM$4:$AO$55,2,FALSE))*IF('7.0.3'!AM$4="是",'7.0.3'!$AY$4,'7.0.3'!$AY$3)</f>
        <v>200</v>
      </c>
      <c r="D35" s="4">
        <f>(VLOOKUP('7.0.3'!L35,'7.0.3'!$AM$4:$AO$55,2,FALSE))*IF('7.0.3'!AN$4="是",'7.0.3'!$AY$4,'7.0.3'!$AY$3)</f>
        <v>200</v>
      </c>
      <c r="E35" s="4">
        <f>(VLOOKUP('7.0.3'!M35,'7.0.3'!$AM$4:$AO$55,2,FALSE))*IF('7.0.3'!AO$4="是",'7.0.3'!$AY$4,'7.0.3'!$AY$3)</f>
        <v>0</v>
      </c>
      <c r="F35" s="4">
        <f>(VLOOKUP('7.0.3'!N35,'7.0.3'!$AM$4:$AO$55,2,FALSE))*IF('7.0.3'!AQ$4="是",'7.0.3'!$AY$4,'7.0.3'!$AY$3)</f>
        <v>0</v>
      </c>
      <c r="G35" s="5">
        <f>(VLOOKUP('7.0.3'!O35,'7.0.3'!$AM$4:$AO$55,2,FALSE))*IF('7.0.3'!AR$4="是",'7.0.3'!$AY$4,'7.0.3'!$AY$3)</f>
        <v>0</v>
      </c>
      <c r="H35" s="5">
        <f>(VLOOKUP('7.0.3'!P35,'7.0.3'!$AM$4:$AO$55,2,FALSE))*IF('7.0.3'!AS$4="是",'7.0.3'!$AY$4,'7.0.3'!$AY$3)</f>
        <v>0</v>
      </c>
      <c r="I35" s="4">
        <f>(VLOOKUP('7.0.3'!Q35,'7.0.3'!$AM$4:$AO$55,2,FALSE))*IF('7.0.3'!AT$4="是",'7.0.3'!$AY$4,'7.0.3'!$AY$3)</f>
        <v>190</v>
      </c>
      <c r="J35" s="4">
        <f>(VLOOKUP('7.0.3'!R35,'7.0.3'!$AM$4:$AO$55,2,FALSE))*IF('7.0.3'!AU$4="是",'7.0.3'!$AY$4,'7.0.3'!$AY$3)</f>
        <v>190</v>
      </c>
      <c r="K35" s="4">
        <f>(VLOOKUP('7.0.3'!S35,'7.0.3'!$AM$4:$AO$55,2,FALSE))*IF('7.0.3'!AV$4="是",'7.0.3'!$AY$4,'7.0.3'!$AY$3)</f>
        <v>190</v>
      </c>
      <c r="L35" s="4">
        <f>(VLOOKUP('7.0.3'!T35,'7.0.3'!$AM$4:$AO$55,2,FALSE))*IF('7.0.3'!AW$4="是",'7.0.3'!$AY$4,'7.0.3'!$AY$3)</f>
        <v>190</v>
      </c>
      <c r="M35" s="4">
        <f>(VLOOKUP('7.0.3'!U35,'7.0.3'!$AM$4:$AO$55,2,FALSE))*IF('7.0.3'!AX$4="是",'7.0.3'!$AY$4,'7.0.3'!$AY$3)</f>
        <v>190</v>
      </c>
      <c r="N35" s="4">
        <f>(VLOOKUP('7.0.3'!V35,'7.0.3'!$AM$4:$AO$55,2,FALSE))*IF('7.0.3'!AY$4="是",'7.0.3'!$AY$4,'7.0.3'!$AY$3)</f>
        <v>190</v>
      </c>
      <c r="O35" s="5">
        <f>(VLOOKUP('7.0.3'!W35,'7.0.3'!$AM$4:$AO$55,2,FALSE))*IF('7.0.3'!AZ$4="是",'7.0.3'!$AY$4,'7.0.3'!$AY$3)</f>
        <v>0</v>
      </c>
      <c r="P35" s="5">
        <f>(VLOOKUP('7.0.3'!X35,'7.0.3'!$AM$4:$AO$55,2,FALSE))*IF('7.0.3'!BA$4="是",'7.0.3'!$AY$4,'7.0.3'!$AY$3)</f>
        <v>0</v>
      </c>
      <c r="Q35" s="4">
        <f>(VLOOKUP('7.0.3'!Y35,'7.0.3'!$AM$4:$AO$55,2,FALSE))*IF('7.0.3'!BB$4="是",'7.0.3'!$AY$4,'7.0.3'!$AY$3)</f>
        <v>0</v>
      </c>
      <c r="R35" s="4">
        <f>(VLOOKUP('7.0.3'!Z35,'7.0.3'!$AM$4:$AO$55,2,FALSE))*IF('7.0.3'!BC$4="是",'7.0.3'!$AY$4,'7.0.3'!$AY$3)</f>
        <v>0</v>
      </c>
      <c r="S35" s="4">
        <f>(VLOOKUP('7.0.3'!AA35,'7.0.3'!$AM$4:$AO$55,2,FALSE))*IF('7.0.3'!BD$4="是",'7.0.3'!$AY$4,'7.0.3'!$AY$3)</f>
        <v>0</v>
      </c>
      <c r="T35" s="4">
        <f>(VLOOKUP('7.0.3'!AB35,'7.0.3'!$AM$4:$AO$55,2,FALSE))*IF('7.0.3'!BE$4="是",'7.0.3'!$AY$4,'7.0.3'!$AY$3)</f>
        <v>0</v>
      </c>
      <c r="U35" s="4">
        <f>(VLOOKUP('7.0.3'!AC35,'7.0.3'!$AM$4:$AO$55,2,FALSE))*IF('7.0.3'!BF$4="是",'7.0.3'!$AY$4,'7.0.3'!$AY$3)</f>
        <v>0</v>
      </c>
      <c r="V35" s="4">
        <f>(VLOOKUP('7.0.3'!AD35,'7.0.3'!$AM$4:$AO$55,2,FALSE))*IF('7.0.3'!BG$4="是",'7.0.3'!$AY$4,'7.0.3'!$AY$3)</f>
        <v>0</v>
      </c>
      <c r="W35" s="5">
        <f>(VLOOKUP('7.0.3'!AE35,'7.0.3'!$AM$4:$AO$55,2,FALSE))*IF('7.0.3'!BH$4="是",'7.0.3'!$AY$4,'7.0.3'!$AY$3)</f>
        <v>0</v>
      </c>
      <c r="X35" s="5">
        <f>(VLOOKUP('7.0.3'!AF35,'7.0.3'!$AM$4:$AO$55,2,FALSE))*IF('7.0.3'!BI$4="是",'7.0.3'!$AY$4,'7.0.3'!$AY$3)</f>
        <v>0</v>
      </c>
    </row>
    <row r="36" spans="1:24">
      <c r="A36" s="4">
        <f>(VLOOKUP('7.0.3'!I36,'7.0.3'!$AM$4:$AO$55,2,FALSE))*IF('7.0.3'!AK$4="是",'7.0.3'!$AY$4,'7.0.3'!$AY$3)</f>
        <v>200</v>
      </c>
      <c r="B36" s="4">
        <f>(VLOOKUP('7.0.3'!J36,'7.0.3'!$AM$4:$AO$55,2,FALSE))*IF('7.0.3'!AL$4="是",'7.0.3'!$AY$4,'7.0.3'!$AY$3)</f>
        <v>200</v>
      </c>
      <c r="C36" s="4">
        <f>(VLOOKUP('7.0.3'!K36,'7.0.3'!$AM$4:$AO$55,2,FALSE))*IF('7.0.3'!AM$4="是",'7.0.3'!$AY$4,'7.0.3'!$AY$3)</f>
        <v>200</v>
      </c>
      <c r="D36" s="4">
        <f>(VLOOKUP('7.0.3'!L36,'7.0.3'!$AM$4:$AO$55,2,FALSE))*IF('7.0.3'!AN$4="是",'7.0.3'!$AY$4,'7.0.3'!$AY$3)</f>
        <v>200</v>
      </c>
      <c r="E36" s="4">
        <f>(VLOOKUP('7.0.3'!M36,'7.0.3'!$AM$4:$AO$55,2,FALSE))*IF('7.0.3'!AO$4="是",'7.0.3'!$AY$4,'7.0.3'!$AY$3)</f>
        <v>0</v>
      </c>
      <c r="F36" s="4">
        <f>(VLOOKUP('7.0.3'!N36,'7.0.3'!$AM$4:$AO$55,2,FALSE))*IF('7.0.3'!AQ$4="是",'7.0.3'!$AY$4,'7.0.3'!$AY$3)</f>
        <v>0</v>
      </c>
      <c r="G36" s="5">
        <f>(VLOOKUP('7.0.3'!O36,'7.0.3'!$AM$4:$AO$55,2,FALSE))*IF('7.0.3'!AR$4="是",'7.0.3'!$AY$4,'7.0.3'!$AY$3)</f>
        <v>0</v>
      </c>
      <c r="H36" s="5">
        <f>(VLOOKUP('7.0.3'!P36,'7.0.3'!$AM$4:$AO$55,2,FALSE))*IF('7.0.3'!AS$4="是",'7.0.3'!$AY$4,'7.0.3'!$AY$3)</f>
        <v>0</v>
      </c>
      <c r="I36" s="4">
        <f>(VLOOKUP('7.0.3'!Q36,'7.0.3'!$AM$4:$AO$55,2,FALSE))*IF('7.0.3'!AT$4="是",'7.0.3'!$AY$4,'7.0.3'!$AY$3)</f>
        <v>190</v>
      </c>
      <c r="J36" s="4">
        <f>(VLOOKUP('7.0.3'!R36,'7.0.3'!$AM$4:$AO$55,2,FALSE))*IF('7.0.3'!AU$4="是",'7.0.3'!$AY$4,'7.0.3'!$AY$3)</f>
        <v>190</v>
      </c>
      <c r="K36" s="4">
        <f>(VLOOKUP('7.0.3'!S36,'7.0.3'!$AM$4:$AO$55,2,FALSE))*IF('7.0.3'!AV$4="是",'7.0.3'!$AY$4,'7.0.3'!$AY$3)</f>
        <v>190</v>
      </c>
      <c r="L36" s="4">
        <f>(VLOOKUP('7.0.3'!T36,'7.0.3'!$AM$4:$AO$55,2,FALSE))*IF('7.0.3'!AW$4="是",'7.0.3'!$AY$4,'7.0.3'!$AY$3)</f>
        <v>190</v>
      </c>
      <c r="M36" s="4">
        <f>(VLOOKUP('7.0.3'!U36,'7.0.3'!$AM$4:$AO$55,2,FALSE))*IF('7.0.3'!AX$4="是",'7.0.3'!$AY$4,'7.0.3'!$AY$3)</f>
        <v>190</v>
      </c>
      <c r="N36" s="4">
        <f>(VLOOKUP('7.0.3'!V36,'7.0.3'!$AM$4:$AO$55,2,FALSE))*IF('7.0.3'!AY$4="是",'7.0.3'!$AY$4,'7.0.3'!$AY$3)</f>
        <v>50</v>
      </c>
      <c r="O36" s="5">
        <f>(VLOOKUP('7.0.3'!W36,'7.0.3'!$AM$4:$AO$55,2,FALSE))*IF('7.0.3'!AZ$4="是",'7.0.3'!$AY$4,'7.0.3'!$AY$3)</f>
        <v>190</v>
      </c>
      <c r="P36" s="5">
        <f>(VLOOKUP('7.0.3'!X36,'7.0.3'!$AM$4:$AO$55,2,FALSE))*IF('7.0.3'!BA$4="是",'7.0.3'!$AY$4,'7.0.3'!$AY$3)</f>
        <v>0</v>
      </c>
      <c r="Q36" s="4">
        <f>(VLOOKUP('7.0.3'!Y36,'7.0.3'!$AM$4:$AO$55,2,FALSE))*IF('7.0.3'!BB$4="是",'7.0.3'!$AY$4,'7.0.3'!$AY$3)</f>
        <v>0</v>
      </c>
      <c r="R36" s="4">
        <f>(VLOOKUP('7.0.3'!Z36,'7.0.3'!$AM$4:$AO$55,2,FALSE))*IF('7.0.3'!BC$4="是",'7.0.3'!$AY$4,'7.0.3'!$AY$3)</f>
        <v>0</v>
      </c>
      <c r="S36" s="4">
        <f>(VLOOKUP('7.0.3'!AA36,'7.0.3'!$AM$4:$AO$55,2,FALSE))*IF('7.0.3'!BD$4="是",'7.0.3'!$AY$4,'7.0.3'!$AY$3)</f>
        <v>0</v>
      </c>
      <c r="T36" s="4">
        <f>(VLOOKUP('7.0.3'!AB36,'7.0.3'!$AM$4:$AO$55,2,FALSE))*IF('7.0.3'!BE$4="是",'7.0.3'!$AY$4,'7.0.3'!$AY$3)</f>
        <v>0</v>
      </c>
      <c r="U36" s="4">
        <f>(VLOOKUP('7.0.3'!AC36,'7.0.3'!$AM$4:$AO$55,2,FALSE))*IF('7.0.3'!BF$4="是",'7.0.3'!$AY$4,'7.0.3'!$AY$3)</f>
        <v>0</v>
      </c>
      <c r="V36" s="4">
        <f>(VLOOKUP('7.0.3'!AD36,'7.0.3'!$AM$4:$AO$55,2,FALSE))*IF('7.0.3'!BG$4="是",'7.0.3'!$AY$4,'7.0.3'!$AY$3)</f>
        <v>0</v>
      </c>
      <c r="W36" s="5">
        <f>(VLOOKUP('7.0.3'!AE36,'7.0.3'!$AM$4:$AO$55,2,FALSE))*IF('7.0.3'!BH$4="是",'7.0.3'!$AY$4,'7.0.3'!$AY$3)</f>
        <v>0</v>
      </c>
      <c r="X36" s="5">
        <f>(VLOOKUP('7.0.3'!AF36,'7.0.3'!$AM$4:$AO$55,2,FALSE))*IF('7.0.3'!BI$4="是",'7.0.3'!$AY$4,'7.0.3'!$AY$3)</f>
        <v>0</v>
      </c>
    </row>
    <row r="37" spans="1:24">
      <c r="A37" s="4">
        <f>(VLOOKUP('7.0.3'!I37,'7.0.3'!$AM$4:$AO$55,2,FALSE))*IF('7.0.3'!AK$4="是",'7.0.3'!$AY$4,'7.0.3'!$AY$3)</f>
        <v>200</v>
      </c>
      <c r="B37" s="4">
        <f>(VLOOKUP('7.0.3'!J37,'7.0.3'!$AM$4:$AO$55,2,FALSE))*IF('7.0.3'!AL$4="是",'7.0.3'!$AY$4,'7.0.3'!$AY$3)</f>
        <v>200</v>
      </c>
      <c r="C37" s="4">
        <f>(VLOOKUP('7.0.3'!K37,'7.0.3'!$AM$4:$AO$55,2,FALSE))*IF('7.0.3'!AM$4="是",'7.0.3'!$AY$4,'7.0.3'!$AY$3)</f>
        <v>200</v>
      </c>
      <c r="D37" s="4">
        <f>(VLOOKUP('7.0.3'!L37,'7.0.3'!$AM$4:$AO$55,2,FALSE))*IF('7.0.3'!AN$4="是",'7.0.3'!$AY$4,'7.0.3'!$AY$3)</f>
        <v>200</v>
      </c>
      <c r="E37" s="4">
        <f>(VLOOKUP('7.0.3'!M37,'7.0.3'!$AM$4:$AO$55,2,FALSE))*IF('7.0.3'!AO$4="是",'7.0.3'!$AY$4,'7.0.3'!$AY$3)</f>
        <v>200</v>
      </c>
      <c r="F37" s="4">
        <f>(VLOOKUP('7.0.3'!N37,'7.0.3'!$AM$4:$AO$55,2,FALSE))*IF('7.0.3'!AQ$4="是",'7.0.3'!$AY$4,'7.0.3'!$AY$3)</f>
        <v>0</v>
      </c>
      <c r="G37" s="5">
        <f>(VLOOKUP('7.0.3'!O37,'7.0.3'!$AM$4:$AO$55,2,FALSE))*IF('7.0.3'!AR$4="是",'7.0.3'!$AY$4,'7.0.3'!$AY$3)</f>
        <v>0</v>
      </c>
      <c r="H37" s="5">
        <f>(VLOOKUP('7.0.3'!P37,'7.0.3'!$AM$4:$AO$55,2,FALSE))*IF('7.0.3'!AS$4="是",'7.0.3'!$AY$4,'7.0.3'!$AY$3)</f>
        <v>0</v>
      </c>
      <c r="I37" s="4">
        <f>(VLOOKUP('7.0.3'!Q37,'7.0.3'!$AM$4:$AO$55,2,FALSE))*IF('7.0.3'!AT$4="是",'7.0.3'!$AY$4,'7.0.3'!$AY$3)</f>
        <v>190</v>
      </c>
      <c r="J37" s="4">
        <f>(VLOOKUP('7.0.3'!R37,'7.0.3'!$AM$4:$AO$55,2,FALSE))*IF('7.0.3'!AU$4="是",'7.0.3'!$AY$4,'7.0.3'!$AY$3)</f>
        <v>190</v>
      </c>
      <c r="K37" s="4">
        <f>(VLOOKUP('7.0.3'!S37,'7.0.3'!$AM$4:$AO$55,2,FALSE))*IF('7.0.3'!AV$4="是",'7.0.3'!$AY$4,'7.0.3'!$AY$3)</f>
        <v>190</v>
      </c>
      <c r="L37" s="4">
        <f>(VLOOKUP('7.0.3'!T37,'7.0.3'!$AM$4:$AO$55,2,FALSE))*IF('7.0.3'!AW$4="是",'7.0.3'!$AY$4,'7.0.3'!$AY$3)</f>
        <v>190</v>
      </c>
      <c r="M37" s="4">
        <f>(VLOOKUP('7.0.3'!U37,'7.0.3'!$AM$4:$AO$55,2,FALSE))*IF('7.0.3'!AX$4="是",'7.0.3'!$AY$4,'7.0.3'!$AY$3)</f>
        <v>190</v>
      </c>
      <c r="N37" s="4">
        <f>(VLOOKUP('7.0.3'!V37,'7.0.3'!$AM$4:$AO$55,2,FALSE))*IF('7.0.3'!AY$4="是",'7.0.3'!$AY$4,'7.0.3'!$AY$3)</f>
        <v>190</v>
      </c>
      <c r="O37" s="5">
        <f>(VLOOKUP('7.0.3'!W37,'7.0.3'!$AM$4:$AO$55,2,FALSE))*IF('7.0.3'!AZ$4="是",'7.0.3'!$AY$4,'7.0.3'!$AY$3)</f>
        <v>0</v>
      </c>
      <c r="P37" s="5">
        <f>(VLOOKUP('7.0.3'!X37,'7.0.3'!$AM$4:$AO$55,2,FALSE))*IF('7.0.3'!BA$4="是",'7.0.3'!$AY$4,'7.0.3'!$AY$3)</f>
        <v>0</v>
      </c>
      <c r="Q37" s="4">
        <f>(VLOOKUP('7.0.3'!Y37,'7.0.3'!$AM$4:$AO$55,2,FALSE))*IF('7.0.3'!BB$4="是",'7.0.3'!$AY$4,'7.0.3'!$AY$3)</f>
        <v>0</v>
      </c>
      <c r="R37" s="4">
        <f>(VLOOKUP('7.0.3'!Z37,'7.0.3'!$AM$4:$AO$55,2,FALSE))*IF('7.0.3'!BC$4="是",'7.0.3'!$AY$4,'7.0.3'!$AY$3)</f>
        <v>0</v>
      </c>
      <c r="S37" s="4">
        <f>(VLOOKUP('7.0.3'!AA37,'7.0.3'!$AM$4:$AO$55,2,FALSE))*IF('7.0.3'!BD$4="是",'7.0.3'!$AY$4,'7.0.3'!$AY$3)</f>
        <v>0</v>
      </c>
      <c r="T37" s="4">
        <f>(VLOOKUP('7.0.3'!AB37,'7.0.3'!$AM$4:$AO$55,2,FALSE))*IF('7.0.3'!BE$4="是",'7.0.3'!$AY$4,'7.0.3'!$AY$3)</f>
        <v>0</v>
      </c>
      <c r="U37" s="4">
        <f>(VLOOKUP('7.0.3'!AC37,'7.0.3'!$AM$4:$AO$55,2,FALSE))*IF('7.0.3'!BF$4="是",'7.0.3'!$AY$4,'7.0.3'!$AY$3)</f>
        <v>0</v>
      </c>
      <c r="V37" s="4">
        <f>(VLOOKUP('7.0.3'!AD37,'7.0.3'!$AM$4:$AO$55,2,FALSE))*IF('7.0.3'!BG$4="是",'7.0.3'!$AY$4,'7.0.3'!$AY$3)</f>
        <v>0</v>
      </c>
      <c r="W37" s="5">
        <f>(VLOOKUP('7.0.3'!AE37,'7.0.3'!$AM$4:$AO$55,2,FALSE))*IF('7.0.3'!BH$4="是",'7.0.3'!$AY$4,'7.0.3'!$AY$3)</f>
        <v>0</v>
      </c>
      <c r="X37" s="5">
        <f>(VLOOKUP('7.0.3'!AF37,'7.0.3'!$AM$4:$AO$55,2,FALSE))*IF('7.0.3'!BI$4="是",'7.0.3'!$AY$4,'7.0.3'!$AY$3)</f>
        <v>0</v>
      </c>
    </row>
    <row r="38" spans="1:24">
      <c r="A38" s="4">
        <f>(VLOOKUP('7.0.3'!I38,'7.0.3'!$AM$4:$AO$55,2,FALSE))*IF('7.0.3'!AK$4="是",'7.0.3'!$AY$4,'7.0.3'!$AY$3)</f>
        <v>200</v>
      </c>
      <c r="B38" s="4">
        <f>(VLOOKUP('7.0.3'!J38,'7.0.3'!$AM$4:$AO$55,2,FALSE))*IF('7.0.3'!AL$4="是",'7.0.3'!$AY$4,'7.0.3'!$AY$3)</f>
        <v>200</v>
      </c>
      <c r="C38" s="4">
        <f>(VLOOKUP('7.0.3'!K38,'7.0.3'!$AM$4:$AO$55,2,FALSE))*IF('7.0.3'!AM$4="是",'7.0.3'!$AY$4,'7.0.3'!$AY$3)</f>
        <v>200</v>
      </c>
      <c r="D38" s="4">
        <f>(VLOOKUP('7.0.3'!L38,'7.0.3'!$AM$4:$AO$55,2,FALSE))*IF('7.0.3'!AN$4="是",'7.0.3'!$AY$4,'7.0.3'!$AY$3)</f>
        <v>200</v>
      </c>
      <c r="E38" s="4">
        <f>(VLOOKUP('7.0.3'!M38,'7.0.3'!$AM$4:$AO$55,2,FALSE))*IF('7.0.3'!AO$4="是",'7.0.3'!$AY$4,'7.0.3'!$AY$3)</f>
        <v>0</v>
      </c>
      <c r="F38" s="4">
        <f>(VLOOKUP('7.0.3'!N38,'7.0.3'!$AM$4:$AO$55,2,FALSE))*IF('7.0.3'!AQ$4="是",'7.0.3'!$AY$4,'7.0.3'!$AY$3)</f>
        <v>0</v>
      </c>
      <c r="G38" s="5">
        <f>(VLOOKUP('7.0.3'!O38,'7.0.3'!$AM$4:$AO$55,2,FALSE))*IF('7.0.3'!AR$4="是",'7.0.3'!$AY$4,'7.0.3'!$AY$3)</f>
        <v>0</v>
      </c>
      <c r="H38" s="5">
        <f>(VLOOKUP('7.0.3'!P38,'7.0.3'!$AM$4:$AO$55,2,FALSE))*IF('7.0.3'!AS$4="是",'7.0.3'!$AY$4,'7.0.3'!$AY$3)</f>
        <v>0</v>
      </c>
      <c r="I38" s="4">
        <f>(VLOOKUP('7.0.3'!Q38,'7.0.3'!$AM$4:$AO$55,2,FALSE))*IF('7.0.3'!AT$4="是",'7.0.3'!$AY$4,'7.0.3'!$AY$3)</f>
        <v>190</v>
      </c>
      <c r="J38" s="4">
        <f>(VLOOKUP('7.0.3'!R38,'7.0.3'!$AM$4:$AO$55,2,FALSE))*IF('7.0.3'!AU$4="是",'7.0.3'!$AY$4,'7.0.3'!$AY$3)</f>
        <v>190</v>
      </c>
      <c r="K38" s="4">
        <f>(VLOOKUP('7.0.3'!S38,'7.0.3'!$AM$4:$AO$55,2,FALSE))*IF('7.0.3'!AV$4="是",'7.0.3'!$AY$4,'7.0.3'!$AY$3)</f>
        <v>190</v>
      </c>
      <c r="L38" s="4">
        <f>(VLOOKUP('7.0.3'!T38,'7.0.3'!$AM$4:$AO$55,2,FALSE))*IF('7.0.3'!AW$4="是",'7.0.3'!$AY$4,'7.0.3'!$AY$3)</f>
        <v>190</v>
      </c>
      <c r="M38" s="4">
        <f>(VLOOKUP('7.0.3'!U38,'7.0.3'!$AM$4:$AO$55,2,FALSE))*IF('7.0.3'!AX$4="是",'7.0.3'!$AY$4,'7.0.3'!$AY$3)</f>
        <v>190</v>
      </c>
      <c r="N38" s="4">
        <f>(VLOOKUP('7.0.3'!V38,'7.0.3'!$AM$4:$AO$55,2,FALSE))*IF('7.0.3'!AY$4="是",'7.0.3'!$AY$4,'7.0.3'!$AY$3)</f>
        <v>190</v>
      </c>
      <c r="O38" s="5">
        <f>(VLOOKUP('7.0.3'!W38,'7.0.3'!$AM$4:$AO$55,2,FALSE))*IF('7.0.3'!AZ$4="是",'7.0.3'!$AY$4,'7.0.3'!$AY$3)</f>
        <v>0</v>
      </c>
      <c r="P38" s="5">
        <f>(VLOOKUP('7.0.3'!X38,'7.0.3'!$AM$4:$AO$55,2,FALSE))*IF('7.0.3'!BA$4="是",'7.0.3'!$AY$4,'7.0.3'!$AY$3)</f>
        <v>0</v>
      </c>
      <c r="Q38" s="4">
        <f>(VLOOKUP('7.0.3'!Y38,'7.0.3'!$AM$4:$AO$55,2,FALSE))*IF('7.0.3'!BB$4="是",'7.0.3'!$AY$4,'7.0.3'!$AY$3)</f>
        <v>0</v>
      </c>
      <c r="R38" s="4">
        <f>(VLOOKUP('7.0.3'!Z38,'7.0.3'!$AM$4:$AO$55,2,FALSE))*IF('7.0.3'!BC$4="是",'7.0.3'!$AY$4,'7.0.3'!$AY$3)</f>
        <v>0</v>
      </c>
      <c r="S38" s="4">
        <f>(VLOOKUP('7.0.3'!AA38,'7.0.3'!$AM$4:$AO$55,2,FALSE))*IF('7.0.3'!BD$4="是",'7.0.3'!$AY$4,'7.0.3'!$AY$3)</f>
        <v>0</v>
      </c>
      <c r="T38" s="4">
        <f>(VLOOKUP('7.0.3'!AB38,'7.0.3'!$AM$4:$AO$55,2,FALSE))*IF('7.0.3'!BE$4="是",'7.0.3'!$AY$4,'7.0.3'!$AY$3)</f>
        <v>0</v>
      </c>
      <c r="U38" s="4">
        <f>(VLOOKUP('7.0.3'!AC38,'7.0.3'!$AM$4:$AO$55,2,FALSE))*IF('7.0.3'!BF$4="是",'7.0.3'!$AY$4,'7.0.3'!$AY$3)</f>
        <v>0</v>
      </c>
      <c r="V38" s="4">
        <f>(VLOOKUP('7.0.3'!AD38,'7.0.3'!$AM$4:$AO$55,2,FALSE))*IF('7.0.3'!BG$4="是",'7.0.3'!$AY$4,'7.0.3'!$AY$3)</f>
        <v>0</v>
      </c>
      <c r="W38" s="5">
        <f>(VLOOKUP('7.0.3'!AE38,'7.0.3'!$AM$4:$AO$55,2,FALSE))*IF('7.0.3'!BH$4="是",'7.0.3'!$AY$4,'7.0.3'!$AY$3)</f>
        <v>0</v>
      </c>
      <c r="X38" s="5">
        <f>(VLOOKUP('7.0.3'!AF38,'7.0.3'!$AM$4:$AO$55,2,FALSE))*IF('7.0.3'!BI$4="是",'7.0.3'!$AY$4,'7.0.3'!$AY$3)</f>
        <v>0</v>
      </c>
    </row>
    <row r="39" spans="1:24">
      <c r="A39" s="4">
        <f>(VLOOKUP('7.0.3'!I39,'7.0.3'!$AM$4:$AO$55,2,FALSE))*IF('7.0.3'!AK$4="是",'7.0.3'!$AY$4,'7.0.3'!$AY$3)</f>
        <v>200</v>
      </c>
      <c r="B39" s="4">
        <f>(VLOOKUP('7.0.3'!J39,'7.0.3'!$AM$4:$AO$55,2,FALSE))*IF('7.0.3'!AL$4="是",'7.0.3'!$AY$4,'7.0.3'!$AY$3)</f>
        <v>200</v>
      </c>
      <c r="C39" s="4">
        <f>(VLOOKUP('7.0.3'!K39,'7.0.3'!$AM$4:$AO$55,2,FALSE))*IF('7.0.3'!AM$4="是",'7.0.3'!$AY$4,'7.0.3'!$AY$3)</f>
        <v>150</v>
      </c>
      <c r="D39" s="4">
        <f>(VLOOKUP('7.0.3'!L39,'7.0.3'!$AM$4:$AO$55,2,FALSE))*IF('7.0.3'!AN$4="是",'7.0.3'!$AY$4,'7.0.3'!$AY$3)</f>
        <v>200</v>
      </c>
      <c r="E39" s="4">
        <f>(VLOOKUP('7.0.3'!M39,'7.0.3'!$AM$4:$AO$55,2,FALSE))*IF('7.0.3'!AO$4="是",'7.0.3'!$AY$4,'7.0.3'!$AY$3)</f>
        <v>200</v>
      </c>
      <c r="F39" s="4">
        <f>(VLOOKUP('7.0.3'!N39,'7.0.3'!$AM$4:$AO$55,2,FALSE))*IF('7.0.3'!AQ$4="是",'7.0.3'!$AY$4,'7.0.3'!$AY$3)</f>
        <v>0</v>
      </c>
      <c r="G39" s="5">
        <f>(VLOOKUP('7.0.3'!O39,'7.0.3'!$AM$4:$AO$55,2,FALSE))*IF('7.0.3'!AR$4="是",'7.0.3'!$AY$4,'7.0.3'!$AY$3)</f>
        <v>0</v>
      </c>
      <c r="H39" s="5">
        <f>(VLOOKUP('7.0.3'!P39,'7.0.3'!$AM$4:$AO$55,2,FALSE))*IF('7.0.3'!AS$4="是",'7.0.3'!$AY$4,'7.0.3'!$AY$3)</f>
        <v>0</v>
      </c>
      <c r="I39" s="4">
        <f>(VLOOKUP('7.0.3'!Q39,'7.0.3'!$AM$4:$AO$55,2,FALSE))*IF('7.0.3'!AT$4="是",'7.0.3'!$AY$4,'7.0.3'!$AY$3)</f>
        <v>190</v>
      </c>
      <c r="J39" s="4">
        <f>(VLOOKUP('7.0.3'!R39,'7.0.3'!$AM$4:$AO$55,2,FALSE))*IF('7.0.3'!AU$4="是",'7.0.3'!$AY$4,'7.0.3'!$AY$3)</f>
        <v>190</v>
      </c>
      <c r="K39" s="4">
        <f>(VLOOKUP('7.0.3'!S39,'7.0.3'!$AM$4:$AO$55,2,FALSE))*IF('7.0.3'!AV$4="是",'7.0.3'!$AY$4,'7.0.3'!$AY$3)</f>
        <v>190</v>
      </c>
      <c r="L39" s="4">
        <f>(VLOOKUP('7.0.3'!T39,'7.0.3'!$AM$4:$AO$55,2,FALSE))*IF('7.0.3'!AW$4="是",'7.0.3'!$AY$4,'7.0.3'!$AY$3)</f>
        <v>190</v>
      </c>
      <c r="M39" s="4">
        <f>(VLOOKUP('7.0.3'!U39,'7.0.3'!$AM$4:$AO$55,2,FALSE))*IF('7.0.3'!AX$4="是",'7.0.3'!$AY$4,'7.0.3'!$AY$3)</f>
        <v>190</v>
      </c>
      <c r="N39" s="4">
        <f>(VLOOKUP('7.0.3'!V39,'7.0.3'!$AM$4:$AO$55,2,FALSE))*IF('7.0.3'!AY$4="是",'7.0.3'!$AY$4,'7.0.3'!$AY$3)</f>
        <v>150</v>
      </c>
      <c r="O39" s="5">
        <f>(VLOOKUP('7.0.3'!W39,'7.0.3'!$AM$4:$AO$55,2,FALSE))*IF('7.0.3'!AZ$4="是",'7.0.3'!$AY$4,'7.0.3'!$AY$3)</f>
        <v>0</v>
      </c>
      <c r="P39" s="5">
        <f>(VLOOKUP('7.0.3'!X39,'7.0.3'!$AM$4:$AO$55,2,FALSE))*IF('7.0.3'!BA$4="是",'7.0.3'!$AY$4,'7.0.3'!$AY$3)</f>
        <v>0</v>
      </c>
      <c r="Q39" s="4">
        <f>(VLOOKUP('7.0.3'!Y39,'7.0.3'!$AM$4:$AO$55,2,FALSE))*IF('7.0.3'!BB$4="是",'7.0.3'!$AY$4,'7.0.3'!$AY$3)</f>
        <v>0</v>
      </c>
      <c r="R39" s="4">
        <f>(VLOOKUP('7.0.3'!Z39,'7.0.3'!$AM$4:$AO$55,2,FALSE))*IF('7.0.3'!BC$4="是",'7.0.3'!$AY$4,'7.0.3'!$AY$3)</f>
        <v>0</v>
      </c>
      <c r="S39" s="4">
        <f>(VLOOKUP('7.0.3'!AA39,'7.0.3'!$AM$4:$AO$55,2,FALSE))*IF('7.0.3'!BD$4="是",'7.0.3'!$AY$4,'7.0.3'!$AY$3)</f>
        <v>0</v>
      </c>
      <c r="T39" s="4">
        <f>(VLOOKUP('7.0.3'!AB39,'7.0.3'!$AM$4:$AO$55,2,FALSE))*IF('7.0.3'!BE$4="是",'7.0.3'!$AY$4,'7.0.3'!$AY$3)</f>
        <v>0</v>
      </c>
      <c r="U39" s="4">
        <f>(VLOOKUP('7.0.3'!AC39,'7.0.3'!$AM$4:$AO$55,2,FALSE))*IF('7.0.3'!BF$4="是",'7.0.3'!$AY$4,'7.0.3'!$AY$3)</f>
        <v>0</v>
      </c>
      <c r="V39" s="4">
        <f>(VLOOKUP('7.0.3'!AD39,'7.0.3'!$AM$4:$AO$55,2,FALSE))*IF('7.0.3'!BG$4="是",'7.0.3'!$AY$4,'7.0.3'!$AY$3)</f>
        <v>0</v>
      </c>
      <c r="W39" s="5">
        <f>(VLOOKUP('7.0.3'!AE39,'7.0.3'!$AM$4:$AO$55,2,FALSE))*IF('7.0.3'!BH$4="是",'7.0.3'!$AY$4,'7.0.3'!$AY$3)</f>
        <v>0</v>
      </c>
      <c r="X39" s="5">
        <f>(VLOOKUP('7.0.3'!AF39,'7.0.3'!$AM$4:$AO$55,2,FALSE))*IF('7.0.3'!BI$4="是",'7.0.3'!$AY$4,'7.0.3'!$AY$3)</f>
        <v>0</v>
      </c>
    </row>
    <row r="40" spans="1:24">
      <c r="A40" s="4">
        <f>(VLOOKUP('7.0.3'!I40,'7.0.3'!$AM$4:$AO$55,2,FALSE))*IF('7.0.3'!AK$4="是",'7.0.3'!$AY$4,'7.0.3'!$AY$3)</f>
        <v>200</v>
      </c>
      <c r="B40" s="4">
        <f>(VLOOKUP('7.0.3'!J40,'7.0.3'!$AM$4:$AO$55,2,FALSE))*IF('7.0.3'!AL$4="是",'7.0.3'!$AY$4,'7.0.3'!$AY$3)</f>
        <v>200</v>
      </c>
      <c r="C40" s="4">
        <f>(VLOOKUP('7.0.3'!K40,'7.0.3'!$AM$4:$AO$55,2,FALSE))*IF('7.0.3'!AM$4="是",'7.0.3'!$AY$4,'7.0.3'!$AY$3)</f>
        <v>200</v>
      </c>
      <c r="D40" s="4">
        <f>(VLOOKUP('7.0.3'!L40,'7.0.3'!$AM$4:$AO$55,2,FALSE))*IF('7.0.3'!AN$4="是",'7.0.3'!$AY$4,'7.0.3'!$AY$3)</f>
        <v>-200</v>
      </c>
      <c r="E40" s="4">
        <f>(VLOOKUP('7.0.3'!M40,'7.0.3'!$AM$4:$AO$55,2,FALSE))*IF('7.0.3'!AO$4="是",'7.0.3'!$AY$4,'7.0.3'!$AY$3)</f>
        <v>200</v>
      </c>
      <c r="F40" s="4">
        <f>(VLOOKUP('7.0.3'!N40,'7.0.3'!$AM$4:$AO$55,2,FALSE))*IF('7.0.3'!AQ$4="是",'7.0.3'!$AY$4,'7.0.3'!$AY$3)</f>
        <v>190</v>
      </c>
      <c r="G40" s="5">
        <f>(VLOOKUP('7.0.3'!O40,'7.0.3'!$AM$4:$AO$55,2,FALSE))*IF('7.0.3'!AR$4="是",'7.0.3'!$AY$4,'7.0.3'!$AY$3)</f>
        <v>0</v>
      </c>
      <c r="H40" s="5">
        <f>(VLOOKUP('7.0.3'!P40,'7.0.3'!$AM$4:$AO$55,2,FALSE))*IF('7.0.3'!AS$4="是",'7.0.3'!$AY$4,'7.0.3'!$AY$3)</f>
        <v>0</v>
      </c>
      <c r="I40" s="4">
        <f>(VLOOKUP('7.0.3'!Q40,'7.0.3'!$AM$4:$AO$55,2,FALSE))*IF('7.0.3'!AT$4="是",'7.0.3'!$AY$4,'7.0.3'!$AY$3)</f>
        <v>190</v>
      </c>
      <c r="J40" s="4">
        <f>(VLOOKUP('7.0.3'!R40,'7.0.3'!$AM$4:$AO$55,2,FALSE))*IF('7.0.3'!AU$4="是",'7.0.3'!$AY$4,'7.0.3'!$AY$3)</f>
        <v>190</v>
      </c>
      <c r="K40" s="4">
        <f>(VLOOKUP('7.0.3'!S40,'7.0.3'!$AM$4:$AO$55,2,FALSE))*IF('7.0.3'!AV$4="是",'7.0.3'!$AY$4,'7.0.3'!$AY$3)</f>
        <v>190</v>
      </c>
      <c r="L40" s="4">
        <f>(VLOOKUP('7.0.3'!T40,'7.0.3'!$AM$4:$AO$55,2,FALSE))*IF('7.0.3'!AW$4="是",'7.0.3'!$AY$4,'7.0.3'!$AY$3)</f>
        <v>190</v>
      </c>
      <c r="M40" s="4">
        <f>(VLOOKUP('7.0.3'!U40,'7.0.3'!$AM$4:$AO$55,2,FALSE))*IF('7.0.3'!AX$4="是",'7.0.3'!$AY$4,'7.0.3'!$AY$3)</f>
        <v>190</v>
      </c>
      <c r="N40" s="4">
        <f>(VLOOKUP('7.0.3'!V40,'7.0.3'!$AM$4:$AO$55,2,FALSE))*IF('7.0.3'!AY$4="是",'7.0.3'!$AY$4,'7.0.3'!$AY$3)</f>
        <v>190</v>
      </c>
      <c r="O40" s="5">
        <f>(VLOOKUP('7.0.3'!W40,'7.0.3'!$AM$4:$AO$55,2,FALSE))*IF('7.0.3'!AZ$4="是",'7.0.3'!$AY$4,'7.0.3'!$AY$3)</f>
        <v>0</v>
      </c>
      <c r="P40" s="5">
        <f>(VLOOKUP('7.0.3'!X40,'7.0.3'!$AM$4:$AO$55,2,FALSE))*IF('7.0.3'!BA$4="是",'7.0.3'!$AY$4,'7.0.3'!$AY$3)</f>
        <v>0</v>
      </c>
      <c r="Q40" s="4">
        <f>(VLOOKUP('7.0.3'!Y40,'7.0.3'!$AM$4:$AO$55,2,FALSE))*IF('7.0.3'!BB$4="是",'7.0.3'!$AY$4,'7.0.3'!$AY$3)</f>
        <v>0</v>
      </c>
      <c r="R40" s="4">
        <f>(VLOOKUP('7.0.3'!Z40,'7.0.3'!$AM$4:$AO$55,2,FALSE))*IF('7.0.3'!BC$4="是",'7.0.3'!$AY$4,'7.0.3'!$AY$3)</f>
        <v>0</v>
      </c>
      <c r="S40" s="4">
        <f>(VLOOKUP('7.0.3'!AA40,'7.0.3'!$AM$4:$AO$55,2,FALSE))*IF('7.0.3'!BD$4="是",'7.0.3'!$AY$4,'7.0.3'!$AY$3)</f>
        <v>0</v>
      </c>
      <c r="T40" s="4">
        <f>(VLOOKUP('7.0.3'!AB40,'7.0.3'!$AM$4:$AO$55,2,FALSE))*IF('7.0.3'!BE$4="是",'7.0.3'!$AY$4,'7.0.3'!$AY$3)</f>
        <v>0</v>
      </c>
      <c r="U40" s="4">
        <f>(VLOOKUP('7.0.3'!AC40,'7.0.3'!$AM$4:$AO$55,2,FALSE))*IF('7.0.3'!BF$4="是",'7.0.3'!$AY$4,'7.0.3'!$AY$3)</f>
        <v>0</v>
      </c>
      <c r="V40" s="4">
        <f>(VLOOKUP('7.0.3'!AD40,'7.0.3'!$AM$4:$AO$55,2,FALSE))*IF('7.0.3'!BG$4="是",'7.0.3'!$AY$4,'7.0.3'!$AY$3)</f>
        <v>0</v>
      </c>
      <c r="W40" s="5">
        <f>(VLOOKUP('7.0.3'!AE40,'7.0.3'!$AM$4:$AO$55,2,FALSE))*IF('7.0.3'!BH$4="是",'7.0.3'!$AY$4,'7.0.3'!$AY$3)</f>
        <v>0</v>
      </c>
      <c r="X40" s="5">
        <f>(VLOOKUP('7.0.3'!AF40,'7.0.3'!$AM$4:$AO$55,2,FALSE))*IF('7.0.3'!BI$4="是",'7.0.3'!$AY$4,'7.0.3'!$AY$3)</f>
        <v>0</v>
      </c>
    </row>
    <row r="41" spans="1:24">
      <c r="A41" s="4">
        <f>(VLOOKUP('7.0.3'!I41,'7.0.3'!$AM$4:$AO$55,2,FALSE))*IF('7.0.3'!AK$4="是",'7.0.3'!$AY$4,'7.0.3'!$AY$3)</f>
        <v>190</v>
      </c>
      <c r="B41" s="4">
        <f>(VLOOKUP('7.0.3'!J41,'7.0.3'!$AM$4:$AO$55,2,FALSE))*IF('7.0.3'!AL$4="是",'7.0.3'!$AY$4,'7.0.3'!$AY$3)</f>
        <v>190</v>
      </c>
      <c r="C41" s="4">
        <f>(VLOOKUP('7.0.3'!K41,'7.0.3'!$AM$4:$AO$55,2,FALSE))*IF('7.0.3'!AM$4="是",'7.0.3'!$AY$4,'7.0.3'!$AY$3)</f>
        <v>190</v>
      </c>
      <c r="D41" s="4">
        <f>(VLOOKUP('7.0.3'!L41,'7.0.3'!$AM$4:$AO$55,2,FALSE))*IF('7.0.3'!AN$4="是",'7.0.3'!$AY$4,'7.0.3'!$AY$3)</f>
        <v>190</v>
      </c>
      <c r="E41" s="4">
        <f>(VLOOKUP('7.0.3'!M41,'7.0.3'!$AM$4:$AO$55,2,FALSE))*IF('7.0.3'!AO$4="是",'7.0.3'!$AY$4,'7.0.3'!$AY$3)</f>
        <v>190</v>
      </c>
      <c r="F41" s="4">
        <f>(VLOOKUP('7.0.3'!N41,'7.0.3'!$AM$4:$AO$55,2,FALSE))*IF('7.0.3'!AQ$4="是",'7.0.3'!$AY$4,'7.0.3'!$AY$3)</f>
        <v>0</v>
      </c>
      <c r="G41" s="5">
        <f>(VLOOKUP('7.0.3'!O41,'7.0.3'!$AM$4:$AO$55,2,FALSE))*IF('7.0.3'!AR$4="是",'7.0.3'!$AY$4,'7.0.3'!$AY$3)</f>
        <v>0</v>
      </c>
      <c r="H41" s="5">
        <f>(VLOOKUP('7.0.3'!P41,'7.0.3'!$AM$4:$AO$55,2,FALSE))*IF('7.0.3'!AS$4="是",'7.0.3'!$AY$4,'7.0.3'!$AY$3)</f>
        <v>0</v>
      </c>
      <c r="I41" s="4">
        <f>(VLOOKUP('7.0.3'!Q41,'7.0.3'!$AM$4:$AO$55,2,FALSE))*IF('7.0.3'!AT$4="是",'7.0.3'!$AY$4,'7.0.3'!$AY$3)</f>
        <v>190</v>
      </c>
      <c r="J41" s="4">
        <f>(VLOOKUP('7.0.3'!R41,'7.0.3'!$AM$4:$AO$55,2,FALSE))*IF('7.0.3'!AU$4="是",'7.0.3'!$AY$4,'7.0.3'!$AY$3)</f>
        <v>190</v>
      </c>
      <c r="K41" s="4">
        <f>(VLOOKUP('7.0.3'!S41,'7.0.3'!$AM$4:$AO$55,2,FALSE))*IF('7.0.3'!AV$4="是",'7.0.3'!$AY$4,'7.0.3'!$AY$3)</f>
        <v>190</v>
      </c>
      <c r="L41" s="4">
        <f>(VLOOKUP('7.0.3'!T41,'7.0.3'!$AM$4:$AO$55,2,FALSE))*IF('7.0.3'!AW$4="是",'7.0.3'!$AY$4,'7.0.3'!$AY$3)</f>
        <v>190</v>
      </c>
      <c r="M41" s="4">
        <f>(VLOOKUP('7.0.3'!U41,'7.0.3'!$AM$4:$AO$55,2,FALSE))*IF('7.0.3'!AX$4="是",'7.0.3'!$AY$4,'7.0.3'!$AY$3)</f>
        <v>190</v>
      </c>
      <c r="N41" s="4">
        <f>(VLOOKUP('7.0.3'!V41,'7.0.3'!$AM$4:$AO$55,2,FALSE))*IF('7.0.3'!AY$4="是",'7.0.3'!$AY$4,'7.0.3'!$AY$3)</f>
        <v>190</v>
      </c>
      <c r="O41" s="5">
        <f>(VLOOKUP('7.0.3'!W41,'7.0.3'!$AM$4:$AO$55,2,FALSE))*IF('7.0.3'!AZ$4="是",'7.0.3'!$AY$4,'7.0.3'!$AY$3)</f>
        <v>0</v>
      </c>
      <c r="P41" s="5">
        <f>(VLOOKUP('7.0.3'!X41,'7.0.3'!$AM$4:$AO$55,2,FALSE))*IF('7.0.3'!BA$4="是",'7.0.3'!$AY$4,'7.0.3'!$AY$3)</f>
        <v>0</v>
      </c>
      <c r="Q41" s="4">
        <f>(VLOOKUP('7.0.3'!Y41,'7.0.3'!$AM$4:$AO$55,2,FALSE))*IF('7.0.3'!BB$4="是",'7.0.3'!$AY$4,'7.0.3'!$AY$3)</f>
        <v>0</v>
      </c>
      <c r="R41" s="4">
        <f>(VLOOKUP('7.0.3'!Z41,'7.0.3'!$AM$4:$AO$55,2,FALSE))*IF('7.0.3'!BC$4="是",'7.0.3'!$AY$4,'7.0.3'!$AY$3)</f>
        <v>0</v>
      </c>
      <c r="S41" s="4">
        <f>(VLOOKUP('7.0.3'!AA41,'7.0.3'!$AM$4:$AO$55,2,FALSE))*IF('7.0.3'!BD$4="是",'7.0.3'!$AY$4,'7.0.3'!$AY$3)</f>
        <v>0</v>
      </c>
      <c r="T41" s="4">
        <f>(VLOOKUP('7.0.3'!AB41,'7.0.3'!$AM$4:$AO$55,2,FALSE))*IF('7.0.3'!BE$4="是",'7.0.3'!$AY$4,'7.0.3'!$AY$3)</f>
        <v>0</v>
      </c>
      <c r="U41" s="4">
        <f>(VLOOKUP('7.0.3'!AC41,'7.0.3'!$AM$4:$AO$55,2,FALSE))*IF('7.0.3'!BF$4="是",'7.0.3'!$AY$4,'7.0.3'!$AY$3)</f>
        <v>0</v>
      </c>
      <c r="V41" s="4">
        <f>(VLOOKUP('7.0.3'!AD41,'7.0.3'!$AM$4:$AO$55,2,FALSE))*IF('7.0.3'!BG$4="是",'7.0.3'!$AY$4,'7.0.3'!$AY$3)</f>
        <v>0</v>
      </c>
      <c r="W41" s="5">
        <f>(VLOOKUP('7.0.3'!AE41,'7.0.3'!$AM$4:$AO$55,2,FALSE))*IF('7.0.3'!BH$4="是",'7.0.3'!$AY$4,'7.0.3'!$AY$3)</f>
        <v>0</v>
      </c>
      <c r="X41" s="5">
        <f>(VLOOKUP('7.0.3'!AF41,'7.0.3'!$AM$4:$AO$55,2,FALSE))*IF('7.0.3'!BI$4="是",'7.0.3'!$AY$4,'7.0.3'!$AY$3)</f>
        <v>0</v>
      </c>
    </row>
    <row r="42" spans="1:24">
      <c r="A42" s="4">
        <f>(VLOOKUP('7.0.3'!I42,'7.0.3'!$AM$4:$AO$55,2,FALSE))*IF('7.0.3'!AK$4="是",'7.0.3'!$AY$4,'7.0.3'!$AY$3)</f>
        <v>190</v>
      </c>
      <c r="B42" s="4">
        <f>(VLOOKUP('7.0.3'!J42,'7.0.3'!$AM$4:$AO$55,2,FALSE))*IF('7.0.3'!AL$4="是",'7.0.3'!$AY$4,'7.0.3'!$AY$3)</f>
        <v>190</v>
      </c>
      <c r="C42" s="4">
        <f>(VLOOKUP('7.0.3'!K42,'7.0.3'!$AM$4:$AO$55,2,FALSE))*IF('7.0.3'!AM$4="是",'7.0.3'!$AY$4,'7.0.3'!$AY$3)</f>
        <v>190</v>
      </c>
      <c r="D42" s="4">
        <f>(VLOOKUP('7.0.3'!L42,'7.0.3'!$AM$4:$AO$55,2,FALSE))*IF('7.0.3'!AN$4="是",'7.0.3'!$AY$4,'7.0.3'!$AY$3)</f>
        <v>190</v>
      </c>
      <c r="E42" s="4">
        <f>(VLOOKUP('7.0.3'!M42,'7.0.3'!$AM$4:$AO$55,2,FALSE))*IF('7.0.3'!AO$4="是",'7.0.3'!$AY$4,'7.0.3'!$AY$3)</f>
        <v>190</v>
      </c>
      <c r="F42" s="4">
        <f>(VLOOKUP('7.0.3'!N42,'7.0.3'!$AM$4:$AO$55,2,FALSE))*IF('7.0.3'!AQ$4="是",'7.0.3'!$AY$4,'7.0.3'!$AY$3)</f>
        <v>50</v>
      </c>
      <c r="G42" s="5">
        <f>(VLOOKUP('7.0.3'!O42,'7.0.3'!$AM$4:$AO$55,2,FALSE))*IF('7.0.3'!AR$4="是",'7.0.3'!$AY$4,'7.0.3'!$AY$3)</f>
        <v>0</v>
      </c>
      <c r="H42" s="5">
        <f>(VLOOKUP('7.0.3'!P42,'7.0.3'!$AM$4:$AO$55,2,FALSE))*IF('7.0.3'!AS$4="是",'7.0.3'!$AY$4,'7.0.3'!$AY$3)</f>
        <v>0</v>
      </c>
      <c r="I42" s="4">
        <f>(VLOOKUP('7.0.3'!Q42,'7.0.3'!$AM$4:$AO$55,2,FALSE))*IF('7.0.3'!AT$4="是",'7.0.3'!$AY$4,'7.0.3'!$AY$3)</f>
        <v>50</v>
      </c>
      <c r="J42" s="4">
        <f>(VLOOKUP('7.0.3'!R42,'7.0.3'!$AM$4:$AO$55,2,FALSE))*IF('7.0.3'!AU$4="是",'7.0.3'!$AY$4,'7.0.3'!$AY$3)</f>
        <v>190</v>
      </c>
      <c r="K42" s="4">
        <f>(VLOOKUP('7.0.3'!S42,'7.0.3'!$AM$4:$AO$55,2,FALSE))*IF('7.0.3'!AV$4="是",'7.0.3'!$AY$4,'7.0.3'!$AY$3)</f>
        <v>190</v>
      </c>
      <c r="L42" s="4">
        <f>(VLOOKUP('7.0.3'!T42,'7.0.3'!$AM$4:$AO$55,2,FALSE))*IF('7.0.3'!AW$4="是",'7.0.3'!$AY$4,'7.0.3'!$AY$3)</f>
        <v>190</v>
      </c>
      <c r="M42" s="4">
        <f>(VLOOKUP('7.0.3'!U42,'7.0.3'!$AM$4:$AO$55,2,FALSE))*IF('7.0.3'!AX$4="是",'7.0.3'!$AY$4,'7.0.3'!$AY$3)</f>
        <v>190</v>
      </c>
      <c r="N42" s="4">
        <f>(VLOOKUP('7.0.3'!V42,'7.0.3'!$AM$4:$AO$55,2,FALSE))*IF('7.0.3'!AY$4="是",'7.0.3'!$AY$4,'7.0.3'!$AY$3)</f>
        <v>190</v>
      </c>
      <c r="O42" s="5">
        <f>(VLOOKUP('7.0.3'!W42,'7.0.3'!$AM$4:$AO$55,2,FALSE))*IF('7.0.3'!AZ$4="是",'7.0.3'!$AY$4,'7.0.3'!$AY$3)</f>
        <v>0</v>
      </c>
      <c r="P42" s="5">
        <f>(VLOOKUP('7.0.3'!X42,'7.0.3'!$AM$4:$AO$55,2,FALSE))*IF('7.0.3'!BA$4="是",'7.0.3'!$AY$4,'7.0.3'!$AY$3)</f>
        <v>0</v>
      </c>
      <c r="Q42" s="4">
        <f>(VLOOKUP('7.0.3'!Y42,'7.0.3'!$AM$4:$AO$55,2,FALSE))*IF('7.0.3'!BB$4="是",'7.0.3'!$AY$4,'7.0.3'!$AY$3)</f>
        <v>0</v>
      </c>
      <c r="R42" s="4">
        <f>(VLOOKUP('7.0.3'!Z42,'7.0.3'!$AM$4:$AO$55,2,FALSE))*IF('7.0.3'!BC$4="是",'7.0.3'!$AY$4,'7.0.3'!$AY$3)</f>
        <v>0</v>
      </c>
      <c r="S42" s="4">
        <f>(VLOOKUP('7.0.3'!AA42,'7.0.3'!$AM$4:$AO$55,2,FALSE))*IF('7.0.3'!BD$4="是",'7.0.3'!$AY$4,'7.0.3'!$AY$3)</f>
        <v>0</v>
      </c>
      <c r="T42" s="4">
        <f>(VLOOKUP('7.0.3'!AB42,'7.0.3'!$AM$4:$AO$55,2,FALSE))*IF('7.0.3'!BE$4="是",'7.0.3'!$AY$4,'7.0.3'!$AY$3)</f>
        <v>0</v>
      </c>
      <c r="U42" s="4">
        <f>(VLOOKUP('7.0.3'!AC42,'7.0.3'!$AM$4:$AO$55,2,FALSE))*IF('7.0.3'!BF$4="是",'7.0.3'!$AY$4,'7.0.3'!$AY$3)</f>
        <v>0</v>
      </c>
      <c r="V42" s="4">
        <f>(VLOOKUP('7.0.3'!AD42,'7.0.3'!$AM$4:$AO$55,2,FALSE))*IF('7.0.3'!BG$4="是",'7.0.3'!$AY$4,'7.0.3'!$AY$3)</f>
        <v>0</v>
      </c>
      <c r="W42" s="5">
        <f>(VLOOKUP('7.0.3'!AE42,'7.0.3'!$AM$4:$AO$55,2,FALSE))*IF('7.0.3'!BH$4="是",'7.0.3'!$AY$4,'7.0.3'!$AY$3)</f>
        <v>0</v>
      </c>
      <c r="X42" s="5">
        <f>(VLOOKUP('7.0.3'!AF42,'7.0.3'!$AM$4:$AO$55,2,FALSE))*IF('7.0.3'!BI$4="是",'7.0.3'!$AY$4,'7.0.3'!$AY$3)</f>
        <v>0</v>
      </c>
    </row>
    <row r="43" spans="1:24">
      <c r="A43" s="4">
        <f>(VLOOKUP('7.0.3'!I43,'7.0.3'!$AM$4:$AO$55,2,FALSE))*IF('7.0.3'!AK$4="是",'7.0.3'!$AY$4,'7.0.3'!$AY$3)</f>
        <v>190</v>
      </c>
      <c r="B43" s="4">
        <f>(VLOOKUP('7.0.3'!J43,'7.0.3'!$AM$4:$AO$55,2,FALSE))*IF('7.0.3'!AL$4="是",'7.0.3'!$AY$4,'7.0.3'!$AY$3)</f>
        <v>190</v>
      </c>
      <c r="C43" s="4">
        <f>(VLOOKUP('7.0.3'!K43,'7.0.3'!$AM$4:$AO$55,2,FALSE))*IF('7.0.3'!AM$4="是",'7.0.3'!$AY$4,'7.0.3'!$AY$3)</f>
        <v>190</v>
      </c>
      <c r="D43" s="4">
        <f>(VLOOKUP('7.0.3'!L43,'7.0.3'!$AM$4:$AO$55,2,FALSE))*IF('7.0.3'!AN$4="是",'7.0.3'!$AY$4,'7.0.3'!$AY$3)</f>
        <v>190</v>
      </c>
      <c r="E43" s="4">
        <f>(VLOOKUP('7.0.3'!M43,'7.0.3'!$AM$4:$AO$55,2,FALSE))*IF('7.0.3'!AO$4="是",'7.0.3'!$AY$4,'7.0.3'!$AY$3)</f>
        <v>0</v>
      </c>
      <c r="F43" s="4">
        <f>(VLOOKUP('7.0.3'!N43,'7.0.3'!$AM$4:$AO$55,2,FALSE))*IF('7.0.3'!AQ$4="是",'7.0.3'!$AY$4,'7.0.3'!$AY$3)</f>
        <v>0</v>
      </c>
      <c r="G43" s="5">
        <f>(VLOOKUP('7.0.3'!O43,'7.0.3'!$AM$4:$AO$55,2,FALSE))*IF('7.0.3'!AR$4="是",'7.0.3'!$AY$4,'7.0.3'!$AY$3)</f>
        <v>0</v>
      </c>
      <c r="H43" s="5">
        <f>(VLOOKUP('7.0.3'!P43,'7.0.3'!$AM$4:$AO$55,2,FALSE))*IF('7.0.3'!AS$4="是",'7.0.3'!$AY$4,'7.0.3'!$AY$3)</f>
        <v>0</v>
      </c>
      <c r="I43" s="4">
        <f>(VLOOKUP('7.0.3'!Q43,'7.0.3'!$AM$4:$AO$55,2,FALSE))*IF('7.0.3'!AT$4="是",'7.0.3'!$AY$4,'7.0.3'!$AY$3)</f>
        <v>190</v>
      </c>
      <c r="J43" s="4">
        <f>(VLOOKUP('7.0.3'!R43,'7.0.3'!$AM$4:$AO$55,2,FALSE))*IF('7.0.3'!AU$4="是",'7.0.3'!$AY$4,'7.0.3'!$AY$3)</f>
        <v>190</v>
      </c>
      <c r="K43" s="4">
        <f>(VLOOKUP('7.0.3'!S43,'7.0.3'!$AM$4:$AO$55,2,FALSE))*IF('7.0.3'!AV$4="是",'7.0.3'!$AY$4,'7.0.3'!$AY$3)</f>
        <v>190</v>
      </c>
      <c r="L43" s="4">
        <f>(VLOOKUP('7.0.3'!T43,'7.0.3'!$AM$4:$AO$55,2,FALSE))*IF('7.0.3'!AW$4="是",'7.0.3'!$AY$4,'7.0.3'!$AY$3)</f>
        <v>190</v>
      </c>
      <c r="M43" s="4">
        <f>(VLOOKUP('7.0.3'!U43,'7.0.3'!$AM$4:$AO$55,2,FALSE))*IF('7.0.3'!AX$4="是",'7.0.3'!$AY$4,'7.0.3'!$AY$3)</f>
        <v>190</v>
      </c>
      <c r="N43" s="4">
        <f>(VLOOKUP('7.0.3'!V43,'7.0.3'!$AM$4:$AO$55,2,FALSE))*IF('7.0.3'!AY$4="是",'7.0.3'!$AY$4,'7.0.3'!$AY$3)</f>
        <v>190</v>
      </c>
      <c r="O43" s="5">
        <f>(VLOOKUP('7.0.3'!W43,'7.0.3'!$AM$4:$AO$55,2,FALSE))*IF('7.0.3'!AZ$4="是",'7.0.3'!$AY$4,'7.0.3'!$AY$3)</f>
        <v>0</v>
      </c>
      <c r="P43" s="5">
        <f>(VLOOKUP('7.0.3'!X43,'7.0.3'!$AM$4:$AO$55,2,FALSE))*IF('7.0.3'!BA$4="是",'7.0.3'!$AY$4,'7.0.3'!$AY$3)</f>
        <v>0</v>
      </c>
      <c r="Q43" s="4">
        <f>(VLOOKUP('7.0.3'!Y43,'7.0.3'!$AM$4:$AO$55,2,FALSE))*IF('7.0.3'!BB$4="是",'7.0.3'!$AY$4,'7.0.3'!$AY$3)</f>
        <v>0</v>
      </c>
      <c r="R43" s="4">
        <f>(VLOOKUP('7.0.3'!Z43,'7.0.3'!$AM$4:$AO$55,2,FALSE))*IF('7.0.3'!BC$4="是",'7.0.3'!$AY$4,'7.0.3'!$AY$3)</f>
        <v>0</v>
      </c>
      <c r="S43" s="4">
        <f>(VLOOKUP('7.0.3'!AA43,'7.0.3'!$AM$4:$AO$55,2,FALSE))*IF('7.0.3'!BD$4="是",'7.0.3'!$AY$4,'7.0.3'!$AY$3)</f>
        <v>0</v>
      </c>
      <c r="T43" s="4">
        <f>(VLOOKUP('7.0.3'!AB43,'7.0.3'!$AM$4:$AO$55,2,FALSE))*IF('7.0.3'!BE$4="是",'7.0.3'!$AY$4,'7.0.3'!$AY$3)</f>
        <v>0</v>
      </c>
      <c r="U43" s="4">
        <f>(VLOOKUP('7.0.3'!AC43,'7.0.3'!$AM$4:$AO$55,2,FALSE))*IF('7.0.3'!BF$4="是",'7.0.3'!$AY$4,'7.0.3'!$AY$3)</f>
        <v>0</v>
      </c>
      <c r="V43" s="4">
        <f>(VLOOKUP('7.0.3'!AD43,'7.0.3'!$AM$4:$AO$55,2,FALSE))*IF('7.0.3'!BG$4="是",'7.0.3'!$AY$4,'7.0.3'!$AY$3)</f>
        <v>0</v>
      </c>
      <c r="W43" s="5">
        <f>(VLOOKUP('7.0.3'!AE43,'7.0.3'!$AM$4:$AO$55,2,FALSE))*IF('7.0.3'!BH$4="是",'7.0.3'!$AY$4,'7.0.3'!$AY$3)</f>
        <v>0</v>
      </c>
      <c r="X43" s="5">
        <f>(VLOOKUP('7.0.3'!AF43,'7.0.3'!$AM$4:$AO$55,2,FALSE))*IF('7.0.3'!BI$4="是",'7.0.3'!$AY$4,'7.0.3'!$AY$3)</f>
        <v>0</v>
      </c>
    </row>
    <row r="44" spans="1:24">
      <c r="A44" s="4">
        <f>(VLOOKUP('7.0.3'!I44,'7.0.3'!$AM$4:$AO$55,2,FALSE))*IF('7.0.3'!AK$4="是",'7.0.3'!$AY$4,'7.0.3'!$AY$3)</f>
        <v>190</v>
      </c>
      <c r="B44" s="4">
        <f>(VLOOKUP('7.0.3'!J44,'7.0.3'!$AM$4:$AO$55,2,FALSE))*IF('7.0.3'!AL$4="是",'7.0.3'!$AY$4,'7.0.3'!$AY$3)</f>
        <v>190</v>
      </c>
      <c r="C44" s="4">
        <f>(VLOOKUP('7.0.3'!K44,'7.0.3'!$AM$4:$AO$55,2,FALSE))*IF('7.0.3'!AM$4="是",'7.0.3'!$AY$4,'7.0.3'!$AY$3)</f>
        <v>190</v>
      </c>
      <c r="D44" s="4">
        <f>(VLOOKUP('7.0.3'!L44,'7.0.3'!$AM$4:$AO$55,2,FALSE))*IF('7.0.3'!AN$4="是",'7.0.3'!$AY$4,'7.0.3'!$AY$3)</f>
        <v>190</v>
      </c>
      <c r="E44" s="4">
        <f>(VLOOKUP('7.0.3'!M44,'7.0.3'!$AM$4:$AO$55,2,FALSE))*IF('7.0.3'!AO$4="是",'7.0.3'!$AY$4,'7.0.3'!$AY$3)</f>
        <v>190</v>
      </c>
      <c r="F44" s="4">
        <f>(VLOOKUP('7.0.3'!N44,'7.0.3'!$AM$4:$AO$55,2,FALSE))*IF('7.0.3'!AQ$4="是",'7.0.3'!$AY$4,'7.0.3'!$AY$3)</f>
        <v>0</v>
      </c>
      <c r="G44" s="5">
        <f>(VLOOKUP('7.0.3'!O44,'7.0.3'!$AM$4:$AO$55,2,FALSE))*IF('7.0.3'!AR$4="是",'7.0.3'!$AY$4,'7.0.3'!$AY$3)</f>
        <v>0</v>
      </c>
      <c r="H44" s="5">
        <f>(VLOOKUP('7.0.3'!P44,'7.0.3'!$AM$4:$AO$55,2,FALSE))*IF('7.0.3'!AS$4="是",'7.0.3'!$AY$4,'7.0.3'!$AY$3)</f>
        <v>0</v>
      </c>
      <c r="I44" s="4">
        <f>(VLOOKUP('7.0.3'!Q44,'7.0.3'!$AM$4:$AO$55,2,FALSE))*IF('7.0.3'!AT$4="是",'7.0.3'!$AY$4,'7.0.3'!$AY$3)</f>
        <v>190</v>
      </c>
      <c r="J44" s="4">
        <f>(VLOOKUP('7.0.3'!R44,'7.0.3'!$AM$4:$AO$55,2,FALSE))*IF('7.0.3'!AU$4="是",'7.0.3'!$AY$4,'7.0.3'!$AY$3)</f>
        <v>190</v>
      </c>
      <c r="K44" s="4">
        <f>(VLOOKUP('7.0.3'!S44,'7.0.3'!$AM$4:$AO$55,2,FALSE))*IF('7.0.3'!AV$4="是",'7.0.3'!$AY$4,'7.0.3'!$AY$3)</f>
        <v>190</v>
      </c>
      <c r="L44" s="4">
        <f>(VLOOKUP('7.0.3'!T44,'7.0.3'!$AM$4:$AO$55,2,FALSE))*IF('7.0.3'!AW$4="是",'7.0.3'!$AY$4,'7.0.3'!$AY$3)</f>
        <v>190</v>
      </c>
      <c r="M44" s="4">
        <f>(VLOOKUP('7.0.3'!U44,'7.0.3'!$AM$4:$AO$55,2,FALSE))*IF('7.0.3'!AX$4="是",'7.0.3'!$AY$4,'7.0.3'!$AY$3)</f>
        <v>190</v>
      </c>
      <c r="N44" s="4">
        <f>(VLOOKUP('7.0.3'!V44,'7.0.3'!$AM$4:$AO$55,2,FALSE))*IF('7.0.3'!AY$4="是",'7.0.3'!$AY$4,'7.0.3'!$AY$3)</f>
        <v>190</v>
      </c>
      <c r="O44" s="5">
        <f>(VLOOKUP('7.0.3'!W44,'7.0.3'!$AM$4:$AO$55,2,FALSE))*IF('7.0.3'!AZ$4="是",'7.0.3'!$AY$4,'7.0.3'!$AY$3)</f>
        <v>0</v>
      </c>
      <c r="P44" s="5">
        <f>(VLOOKUP('7.0.3'!X44,'7.0.3'!$AM$4:$AO$55,2,FALSE))*IF('7.0.3'!BA$4="是",'7.0.3'!$AY$4,'7.0.3'!$AY$3)</f>
        <v>0</v>
      </c>
      <c r="Q44" s="4">
        <f>(VLOOKUP('7.0.3'!Y44,'7.0.3'!$AM$4:$AO$55,2,FALSE))*IF('7.0.3'!BB$4="是",'7.0.3'!$AY$4,'7.0.3'!$AY$3)</f>
        <v>0</v>
      </c>
      <c r="R44" s="4">
        <f>(VLOOKUP('7.0.3'!Z44,'7.0.3'!$AM$4:$AO$55,2,FALSE))*IF('7.0.3'!BC$4="是",'7.0.3'!$AY$4,'7.0.3'!$AY$3)</f>
        <v>0</v>
      </c>
      <c r="S44" s="4">
        <f>(VLOOKUP('7.0.3'!AA44,'7.0.3'!$AM$4:$AO$55,2,FALSE))*IF('7.0.3'!BD$4="是",'7.0.3'!$AY$4,'7.0.3'!$AY$3)</f>
        <v>0</v>
      </c>
      <c r="T44" s="4">
        <f>(VLOOKUP('7.0.3'!AB44,'7.0.3'!$AM$4:$AO$55,2,FALSE))*IF('7.0.3'!BE$4="是",'7.0.3'!$AY$4,'7.0.3'!$AY$3)</f>
        <v>0</v>
      </c>
      <c r="U44" s="4">
        <f>(VLOOKUP('7.0.3'!AC44,'7.0.3'!$AM$4:$AO$55,2,FALSE))*IF('7.0.3'!BF$4="是",'7.0.3'!$AY$4,'7.0.3'!$AY$3)</f>
        <v>0</v>
      </c>
      <c r="V44" s="4">
        <f>(VLOOKUP('7.0.3'!AD44,'7.0.3'!$AM$4:$AO$55,2,FALSE))*IF('7.0.3'!BG$4="是",'7.0.3'!$AY$4,'7.0.3'!$AY$3)</f>
        <v>0</v>
      </c>
      <c r="W44" s="5">
        <f>(VLOOKUP('7.0.3'!AE44,'7.0.3'!$AM$4:$AO$55,2,FALSE))*IF('7.0.3'!BH$4="是",'7.0.3'!$AY$4,'7.0.3'!$AY$3)</f>
        <v>0</v>
      </c>
      <c r="X44" s="5">
        <f>(VLOOKUP('7.0.3'!AF44,'7.0.3'!$AM$4:$AO$55,2,FALSE))*IF('7.0.3'!BI$4="是",'7.0.3'!$AY$4,'7.0.3'!$AY$3)</f>
        <v>0</v>
      </c>
    </row>
    <row r="45" spans="1:24">
      <c r="A45" s="4">
        <f>(VLOOKUP('7.0.3'!I45,'7.0.3'!$AM$4:$AO$55,2,FALSE))*IF('7.0.3'!AK$4="是",'7.0.3'!$AY$4,'7.0.3'!$AY$3)</f>
        <v>190</v>
      </c>
      <c r="B45" s="4">
        <f>(VLOOKUP('7.0.3'!J45,'7.0.3'!$AM$4:$AO$55,2,FALSE))*IF('7.0.3'!AL$4="是",'7.0.3'!$AY$4,'7.0.3'!$AY$3)</f>
        <v>190</v>
      </c>
      <c r="C45" s="4">
        <f>(VLOOKUP('7.0.3'!K45,'7.0.3'!$AM$4:$AO$55,2,FALSE))*IF('7.0.3'!AM$4="是",'7.0.3'!$AY$4,'7.0.3'!$AY$3)</f>
        <v>190</v>
      </c>
      <c r="D45" s="4">
        <f>(VLOOKUP('7.0.3'!L45,'7.0.3'!$AM$4:$AO$55,2,FALSE))*IF('7.0.3'!AN$4="是",'7.0.3'!$AY$4,'7.0.3'!$AY$3)</f>
        <v>190</v>
      </c>
      <c r="E45" s="4">
        <f>(VLOOKUP('7.0.3'!M45,'7.0.3'!$AM$4:$AO$55,2,FALSE))*IF('7.0.3'!AO$4="是",'7.0.3'!$AY$4,'7.0.3'!$AY$3)</f>
        <v>0</v>
      </c>
      <c r="F45" s="4">
        <f>(VLOOKUP('7.0.3'!N45,'7.0.3'!$AM$4:$AO$55,2,FALSE))*IF('7.0.3'!AQ$4="是",'7.0.3'!$AY$4,'7.0.3'!$AY$3)</f>
        <v>0</v>
      </c>
      <c r="G45" s="5">
        <f>(VLOOKUP('7.0.3'!O45,'7.0.3'!$AM$4:$AO$55,2,FALSE))*IF('7.0.3'!AR$4="是",'7.0.3'!$AY$4,'7.0.3'!$AY$3)</f>
        <v>0</v>
      </c>
      <c r="H45" s="5">
        <f>(VLOOKUP('7.0.3'!P45,'7.0.3'!$AM$4:$AO$55,2,FALSE))*IF('7.0.3'!AS$4="是",'7.0.3'!$AY$4,'7.0.3'!$AY$3)</f>
        <v>0</v>
      </c>
      <c r="I45" s="4">
        <f>(VLOOKUP('7.0.3'!Q45,'7.0.3'!$AM$4:$AO$55,2,FALSE))*IF('7.0.3'!AT$4="是",'7.0.3'!$AY$4,'7.0.3'!$AY$3)</f>
        <v>200</v>
      </c>
      <c r="J45" s="4">
        <f>(VLOOKUP('7.0.3'!R45,'7.0.3'!$AM$4:$AO$55,2,FALSE))*IF('7.0.3'!AU$4="是",'7.0.3'!$AY$4,'7.0.3'!$AY$3)</f>
        <v>200</v>
      </c>
      <c r="K45" s="4">
        <f>(VLOOKUP('7.0.3'!S45,'7.0.3'!$AM$4:$AO$55,2,FALSE))*IF('7.0.3'!AV$4="是",'7.0.3'!$AY$4,'7.0.3'!$AY$3)</f>
        <v>200</v>
      </c>
      <c r="L45" s="4">
        <f>(VLOOKUP('7.0.3'!T45,'7.0.3'!$AM$4:$AO$55,2,FALSE))*IF('7.0.3'!AW$4="是",'7.0.3'!$AY$4,'7.0.3'!$AY$3)</f>
        <v>200</v>
      </c>
      <c r="M45" s="4">
        <f>(VLOOKUP('7.0.3'!U45,'7.0.3'!$AM$4:$AO$55,2,FALSE))*IF('7.0.3'!AX$4="是",'7.0.3'!$AY$4,'7.0.3'!$AY$3)</f>
        <v>200</v>
      </c>
      <c r="N45" s="4">
        <f>(VLOOKUP('7.0.3'!V45,'7.0.3'!$AM$4:$AO$55,2,FALSE))*IF('7.0.3'!AY$4="是",'7.0.3'!$AY$4,'7.0.3'!$AY$3)</f>
        <v>200</v>
      </c>
      <c r="O45" s="5">
        <f>(VLOOKUP('7.0.3'!W45,'7.0.3'!$AM$4:$AO$55,2,FALSE))*IF('7.0.3'!AZ$4="是",'7.0.3'!$AY$4,'7.0.3'!$AY$3)</f>
        <v>0</v>
      </c>
      <c r="P45" s="5">
        <f>(VLOOKUP('7.0.3'!X45,'7.0.3'!$AM$4:$AO$55,2,FALSE))*IF('7.0.3'!BA$4="是",'7.0.3'!$AY$4,'7.0.3'!$AY$3)</f>
        <v>0</v>
      </c>
      <c r="Q45" s="4">
        <f>(VLOOKUP('7.0.3'!Y45,'7.0.3'!$AM$4:$AO$55,2,FALSE))*IF('7.0.3'!BB$4="是",'7.0.3'!$AY$4,'7.0.3'!$AY$3)</f>
        <v>0</v>
      </c>
      <c r="R45" s="4">
        <f>(VLOOKUP('7.0.3'!Z45,'7.0.3'!$AM$4:$AO$55,2,FALSE))*IF('7.0.3'!BC$4="是",'7.0.3'!$AY$4,'7.0.3'!$AY$3)</f>
        <v>0</v>
      </c>
      <c r="S45" s="4">
        <f>(VLOOKUP('7.0.3'!AA45,'7.0.3'!$AM$4:$AO$55,2,FALSE))*IF('7.0.3'!BD$4="是",'7.0.3'!$AY$4,'7.0.3'!$AY$3)</f>
        <v>0</v>
      </c>
      <c r="T45" s="4">
        <f>(VLOOKUP('7.0.3'!AB45,'7.0.3'!$AM$4:$AO$55,2,FALSE))*IF('7.0.3'!BE$4="是",'7.0.3'!$AY$4,'7.0.3'!$AY$3)</f>
        <v>0</v>
      </c>
      <c r="U45" s="4">
        <f>(VLOOKUP('7.0.3'!AC45,'7.0.3'!$AM$4:$AO$55,2,FALSE))*IF('7.0.3'!BF$4="是",'7.0.3'!$AY$4,'7.0.3'!$AY$3)</f>
        <v>0</v>
      </c>
      <c r="V45" s="4">
        <f>(VLOOKUP('7.0.3'!AD45,'7.0.3'!$AM$4:$AO$55,2,FALSE))*IF('7.0.3'!BG$4="是",'7.0.3'!$AY$4,'7.0.3'!$AY$3)</f>
        <v>0</v>
      </c>
      <c r="W45" s="5">
        <f>(VLOOKUP('7.0.3'!AE45,'7.0.3'!$AM$4:$AO$55,2,FALSE))*IF('7.0.3'!BH$4="是",'7.0.3'!$AY$4,'7.0.3'!$AY$3)</f>
        <v>0</v>
      </c>
      <c r="X45" s="5">
        <f>(VLOOKUP('7.0.3'!AF45,'7.0.3'!$AM$4:$AO$55,2,FALSE))*IF('7.0.3'!BI$4="是",'7.0.3'!$AY$4,'7.0.3'!$AY$3)</f>
        <v>0</v>
      </c>
    </row>
    <row r="46" spans="1:24">
      <c r="A46" s="4">
        <f>(VLOOKUP('7.0.3'!I46,'7.0.3'!$AM$4:$AO$55,2,FALSE))*IF('7.0.3'!AK$4="是",'7.0.3'!$AY$4,'7.0.3'!$AY$3)</f>
        <v>190</v>
      </c>
      <c r="B46" s="4">
        <f>(VLOOKUP('7.0.3'!J46,'7.0.3'!$AM$4:$AO$55,2,FALSE))*IF('7.0.3'!AL$4="是",'7.0.3'!$AY$4,'7.0.3'!$AY$3)</f>
        <v>190</v>
      </c>
      <c r="C46" s="4">
        <f>(VLOOKUP('7.0.3'!K46,'7.0.3'!$AM$4:$AO$55,2,FALSE))*IF('7.0.3'!AM$4="是",'7.0.3'!$AY$4,'7.0.3'!$AY$3)</f>
        <v>190</v>
      </c>
      <c r="D46" s="4">
        <f>(VLOOKUP('7.0.3'!L46,'7.0.3'!$AM$4:$AO$55,2,FALSE))*IF('7.0.3'!AN$4="是",'7.0.3'!$AY$4,'7.0.3'!$AY$3)</f>
        <v>190</v>
      </c>
      <c r="E46" s="4">
        <f>(VLOOKUP('7.0.3'!M46,'7.0.3'!$AM$4:$AO$55,2,FALSE))*IF('7.0.3'!AO$4="是",'7.0.3'!$AY$4,'7.0.3'!$AY$3)</f>
        <v>0</v>
      </c>
      <c r="F46" s="4">
        <f>(VLOOKUP('7.0.3'!N46,'7.0.3'!$AM$4:$AO$55,2,FALSE))*IF('7.0.3'!AQ$4="是",'7.0.3'!$AY$4,'7.0.3'!$AY$3)</f>
        <v>0</v>
      </c>
      <c r="G46" s="5">
        <f>(VLOOKUP('7.0.3'!O46,'7.0.3'!$AM$4:$AO$55,2,FALSE))*IF('7.0.3'!AR$4="是",'7.0.3'!$AY$4,'7.0.3'!$AY$3)</f>
        <v>0</v>
      </c>
      <c r="H46" s="5">
        <f>(VLOOKUP('7.0.3'!P46,'7.0.3'!$AM$4:$AO$55,2,FALSE))*IF('7.0.3'!AS$4="是",'7.0.3'!$AY$4,'7.0.3'!$AY$3)</f>
        <v>0</v>
      </c>
      <c r="I46" s="4">
        <f>(VLOOKUP('7.0.3'!Q46,'7.0.3'!$AM$4:$AO$55,2,FALSE))*IF('7.0.3'!AT$4="是",'7.0.3'!$AY$4,'7.0.3'!$AY$3)</f>
        <v>200</v>
      </c>
      <c r="J46" s="4">
        <f>(VLOOKUP('7.0.3'!R46,'7.0.3'!$AM$4:$AO$55,2,FALSE))*IF('7.0.3'!AU$4="是",'7.0.3'!$AY$4,'7.0.3'!$AY$3)</f>
        <v>200</v>
      </c>
      <c r="K46" s="4">
        <f>(VLOOKUP('7.0.3'!S46,'7.0.3'!$AM$4:$AO$55,2,FALSE))*IF('7.0.3'!AV$4="是",'7.0.3'!$AY$4,'7.0.3'!$AY$3)</f>
        <v>200</v>
      </c>
      <c r="L46" s="4">
        <f>(VLOOKUP('7.0.3'!T46,'7.0.3'!$AM$4:$AO$55,2,FALSE))*IF('7.0.3'!AW$4="是",'7.0.3'!$AY$4,'7.0.3'!$AY$3)</f>
        <v>200</v>
      </c>
      <c r="M46" s="4">
        <f>(VLOOKUP('7.0.3'!U46,'7.0.3'!$AM$4:$AO$55,2,FALSE))*IF('7.0.3'!AX$4="是",'7.0.3'!$AY$4,'7.0.3'!$AY$3)</f>
        <v>200</v>
      </c>
      <c r="N46" s="4">
        <f>(VLOOKUP('7.0.3'!V46,'7.0.3'!$AM$4:$AO$55,2,FALSE))*IF('7.0.3'!AY$4="是",'7.0.3'!$AY$4,'7.0.3'!$AY$3)</f>
        <v>200</v>
      </c>
      <c r="O46" s="5">
        <f>(VLOOKUP('7.0.3'!W46,'7.0.3'!$AM$4:$AO$55,2,FALSE))*IF('7.0.3'!AZ$4="是",'7.0.3'!$AY$4,'7.0.3'!$AY$3)</f>
        <v>0</v>
      </c>
      <c r="P46" s="5">
        <f>(VLOOKUP('7.0.3'!X46,'7.0.3'!$AM$4:$AO$55,2,FALSE))*IF('7.0.3'!BA$4="是",'7.0.3'!$AY$4,'7.0.3'!$AY$3)</f>
        <v>0</v>
      </c>
      <c r="Q46" s="4">
        <f>(VLOOKUP('7.0.3'!Y46,'7.0.3'!$AM$4:$AO$55,2,FALSE))*IF('7.0.3'!BB$4="是",'7.0.3'!$AY$4,'7.0.3'!$AY$3)</f>
        <v>0</v>
      </c>
      <c r="R46" s="4">
        <f>(VLOOKUP('7.0.3'!Z46,'7.0.3'!$AM$4:$AO$55,2,FALSE))*IF('7.0.3'!BC$4="是",'7.0.3'!$AY$4,'7.0.3'!$AY$3)</f>
        <v>0</v>
      </c>
      <c r="S46" s="4">
        <f>(VLOOKUP('7.0.3'!AA46,'7.0.3'!$AM$4:$AO$55,2,FALSE))*IF('7.0.3'!BD$4="是",'7.0.3'!$AY$4,'7.0.3'!$AY$3)</f>
        <v>0</v>
      </c>
      <c r="T46" s="4">
        <f>(VLOOKUP('7.0.3'!AB46,'7.0.3'!$AM$4:$AO$55,2,FALSE))*IF('7.0.3'!BE$4="是",'7.0.3'!$AY$4,'7.0.3'!$AY$3)</f>
        <v>0</v>
      </c>
      <c r="U46" s="4">
        <f>(VLOOKUP('7.0.3'!AC46,'7.0.3'!$AM$4:$AO$55,2,FALSE))*IF('7.0.3'!BF$4="是",'7.0.3'!$AY$4,'7.0.3'!$AY$3)</f>
        <v>0</v>
      </c>
      <c r="V46" s="4">
        <f>(VLOOKUP('7.0.3'!AD46,'7.0.3'!$AM$4:$AO$55,2,FALSE))*IF('7.0.3'!BG$4="是",'7.0.3'!$AY$4,'7.0.3'!$AY$3)</f>
        <v>0</v>
      </c>
      <c r="W46" s="5">
        <f>(VLOOKUP('7.0.3'!AE46,'7.0.3'!$AM$4:$AO$55,2,FALSE))*IF('7.0.3'!BH$4="是",'7.0.3'!$AY$4,'7.0.3'!$AY$3)</f>
        <v>0</v>
      </c>
      <c r="X46" s="5">
        <f>(VLOOKUP('7.0.3'!AF46,'7.0.3'!$AM$4:$AO$55,2,FALSE))*IF('7.0.3'!BI$4="是",'7.0.3'!$AY$4,'7.0.3'!$AY$3)</f>
        <v>0</v>
      </c>
    </row>
    <row r="47" spans="1:24">
      <c r="A47" s="4">
        <f>(VLOOKUP('7.0.3'!I47,'7.0.3'!$AM$4:$AO$55,2,FALSE))*IF('7.0.3'!AK$4="是",'7.0.3'!$AY$4,'7.0.3'!$AY$3)</f>
        <v>190</v>
      </c>
      <c r="B47" s="4">
        <f>(VLOOKUP('7.0.3'!J47,'7.0.3'!$AM$4:$AO$55,2,FALSE))*IF('7.0.3'!AL$4="是",'7.0.3'!$AY$4,'7.0.3'!$AY$3)</f>
        <v>50</v>
      </c>
      <c r="C47" s="4">
        <f>(VLOOKUP('7.0.3'!K47,'7.0.3'!$AM$4:$AO$55,2,FALSE))*IF('7.0.3'!AM$4="是",'7.0.3'!$AY$4,'7.0.3'!$AY$3)</f>
        <v>190</v>
      </c>
      <c r="D47" s="4">
        <f>(VLOOKUP('7.0.3'!L47,'7.0.3'!$AM$4:$AO$55,2,FALSE))*IF('7.0.3'!AN$4="是",'7.0.3'!$AY$4,'7.0.3'!$AY$3)</f>
        <v>190</v>
      </c>
      <c r="E47" s="4">
        <f>(VLOOKUP('7.0.3'!M47,'7.0.3'!$AM$4:$AO$55,2,FALSE))*IF('7.0.3'!AO$4="是",'7.0.3'!$AY$4,'7.0.3'!$AY$3)</f>
        <v>190</v>
      </c>
      <c r="F47" s="4">
        <f>(VLOOKUP('7.0.3'!N47,'7.0.3'!$AM$4:$AO$55,2,FALSE))*IF('7.0.3'!AQ$4="是",'7.0.3'!$AY$4,'7.0.3'!$AY$3)</f>
        <v>0</v>
      </c>
      <c r="G47" s="5">
        <f>(VLOOKUP('7.0.3'!O47,'7.0.3'!$AM$4:$AO$55,2,FALSE))*IF('7.0.3'!AR$4="是",'7.0.3'!$AY$4,'7.0.3'!$AY$3)</f>
        <v>0</v>
      </c>
      <c r="H47" s="5">
        <f>(VLOOKUP('7.0.3'!P47,'7.0.3'!$AM$4:$AO$55,2,FALSE))*IF('7.0.3'!AS$4="是",'7.0.3'!$AY$4,'7.0.3'!$AY$3)</f>
        <v>0</v>
      </c>
      <c r="I47" s="4">
        <f>(VLOOKUP('7.0.3'!Q47,'7.0.3'!$AM$4:$AO$55,2,FALSE))*IF('7.0.3'!AT$4="是",'7.0.3'!$AY$4,'7.0.3'!$AY$3)</f>
        <v>200</v>
      </c>
      <c r="J47" s="4">
        <f>(VLOOKUP('7.0.3'!R47,'7.0.3'!$AM$4:$AO$55,2,FALSE))*IF('7.0.3'!AU$4="是",'7.0.3'!$AY$4,'7.0.3'!$AY$3)</f>
        <v>200</v>
      </c>
      <c r="K47" s="4">
        <f>(VLOOKUP('7.0.3'!S47,'7.0.3'!$AM$4:$AO$55,2,FALSE))*IF('7.0.3'!AV$4="是",'7.0.3'!$AY$4,'7.0.3'!$AY$3)</f>
        <v>200</v>
      </c>
      <c r="L47" s="4">
        <f>(VLOOKUP('7.0.3'!T47,'7.0.3'!$AM$4:$AO$55,2,FALSE))*IF('7.0.3'!AW$4="是",'7.0.3'!$AY$4,'7.0.3'!$AY$3)</f>
        <v>200</v>
      </c>
      <c r="M47" s="4">
        <f>(VLOOKUP('7.0.3'!U47,'7.0.3'!$AM$4:$AO$55,2,FALSE))*IF('7.0.3'!AX$4="是",'7.0.3'!$AY$4,'7.0.3'!$AY$3)</f>
        <v>200</v>
      </c>
      <c r="N47" s="4">
        <f>(VLOOKUP('7.0.3'!V47,'7.0.3'!$AM$4:$AO$55,2,FALSE))*IF('7.0.3'!AY$4="是",'7.0.3'!$AY$4,'7.0.3'!$AY$3)</f>
        <v>200</v>
      </c>
      <c r="O47" s="5">
        <f>(VLOOKUP('7.0.3'!W47,'7.0.3'!$AM$4:$AO$55,2,FALSE))*IF('7.0.3'!AZ$4="是",'7.0.3'!$AY$4,'7.0.3'!$AY$3)</f>
        <v>0</v>
      </c>
      <c r="P47" s="5">
        <f>(VLOOKUP('7.0.3'!X47,'7.0.3'!$AM$4:$AO$55,2,FALSE))*IF('7.0.3'!BA$4="是",'7.0.3'!$AY$4,'7.0.3'!$AY$3)</f>
        <v>0</v>
      </c>
      <c r="Q47" s="4">
        <f>(VLOOKUP('7.0.3'!Y47,'7.0.3'!$AM$4:$AO$55,2,FALSE))*IF('7.0.3'!BB$4="是",'7.0.3'!$AY$4,'7.0.3'!$AY$3)</f>
        <v>0</v>
      </c>
      <c r="R47" s="4">
        <f>(VLOOKUP('7.0.3'!Z47,'7.0.3'!$AM$4:$AO$55,2,FALSE))*IF('7.0.3'!BC$4="是",'7.0.3'!$AY$4,'7.0.3'!$AY$3)</f>
        <v>0</v>
      </c>
      <c r="S47" s="4">
        <f>(VLOOKUP('7.0.3'!AA47,'7.0.3'!$AM$4:$AO$55,2,FALSE))*IF('7.0.3'!BD$4="是",'7.0.3'!$AY$4,'7.0.3'!$AY$3)</f>
        <v>0</v>
      </c>
      <c r="T47" s="4">
        <f>(VLOOKUP('7.0.3'!AB47,'7.0.3'!$AM$4:$AO$55,2,FALSE))*IF('7.0.3'!BE$4="是",'7.0.3'!$AY$4,'7.0.3'!$AY$3)</f>
        <v>0</v>
      </c>
      <c r="U47" s="4">
        <f>(VLOOKUP('7.0.3'!AC47,'7.0.3'!$AM$4:$AO$55,2,FALSE))*IF('7.0.3'!BF$4="是",'7.0.3'!$AY$4,'7.0.3'!$AY$3)</f>
        <v>0</v>
      </c>
      <c r="V47" s="4">
        <f>(VLOOKUP('7.0.3'!AD47,'7.0.3'!$AM$4:$AO$55,2,FALSE))*IF('7.0.3'!BG$4="是",'7.0.3'!$AY$4,'7.0.3'!$AY$3)</f>
        <v>0</v>
      </c>
      <c r="W47" s="5">
        <f>(VLOOKUP('7.0.3'!AE47,'7.0.3'!$AM$4:$AO$55,2,FALSE))*IF('7.0.3'!BH$4="是",'7.0.3'!$AY$4,'7.0.3'!$AY$3)</f>
        <v>0</v>
      </c>
      <c r="X47" s="5">
        <f>(VLOOKUP('7.0.3'!AF47,'7.0.3'!$AM$4:$AO$55,2,FALSE))*IF('7.0.3'!BI$4="是",'7.0.3'!$AY$4,'7.0.3'!$AY$3)</f>
        <v>0</v>
      </c>
    </row>
    <row r="48" spans="1:24">
      <c r="A48" s="4">
        <f>(VLOOKUP('7.0.3'!I48,'7.0.3'!$AM$4:$AO$55,2,FALSE))*IF('7.0.3'!AK$4="是",'7.0.3'!$AY$4,'7.0.3'!$AY$3)</f>
        <v>190</v>
      </c>
      <c r="B48" s="4">
        <f>(VLOOKUP('7.0.3'!J48,'7.0.3'!$AM$4:$AO$55,2,FALSE))*IF('7.0.3'!AL$4="是",'7.0.3'!$AY$4,'7.0.3'!$AY$3)</f>
        <v>190</v>
      </c>
      <c r="C48" s="4">
        <f>(VLOOKUP('7.0.3'!K48,'7.0.3'!$AM$4:$AO$55,2,FALSE))*IF('7.0.3'!AM$4="是",'7.0.3'!$AY$4,'7.0.3'!$AY$3)</f>
        <v>190</v>
      </c>
      <c r="D48" s="4">
        <f>(VLOOKUP('7.0.3'!L48,'7.0.3'!$AM$4:$AO$55,2,FALSE))*IF('7.0.3'!AN$4="是",'7.0.3'!$AY$4,'7.0.3'!$AY$3)</f>
        <v>190</v>
      </c>
      <c r="E48" s="4">
        <f>(VLOOKUP('7.0.3'!M48,'7.0.3'!$AM$4:$AO$55,2,FALSE))*IF('7.0.3'!AO$4="是",'7.0.3'!$AY$4,'7.0.3'!$AY$3)</f>
        <v>0</v>
      </c>
      <c r="F48" s="4">
        <f>(VLOOKUP('7.0.3'!N48,'7.0.3'!$AM$4:$AO$55,2,FALSE))*IF('7.0.3'!AQ$4="是",'7.0.3'!$AY$4,'7.0.3'!$AY$3)</f>
        <v>0</v>
      </c>
      <c r="G48" s="5">
        <f>(VLOOKUP('7.0.3'!O48,'7.0.3'!$AM$4:$AO$55,2,FALSE))*IF('7.0.3'!AR$4="是",'7.0.3'!$AY$4,'7.0.3'!$AY$3)</f>
        <v>0</v>
      </c>
      <c r="H48" s="5">
        <f>(VLOOKUP('7.0.3'!P48,'7.0.3'!$AM$4:$AO$55,2,FALSE))*IF('7.0.3'!AS$4="是",'7.0.3'!$AY$4,'7.0.3'!$AY$3)</f>
        <v>0</v>
      </c>
      <c r="I48" s="4">
        <f>(VLOOKUP('7.0.3'!Q48,'7.0.3'!$AM$4:$AO$55,2,FALSE))*IF('7.0.3'!AT$4="是",'7.0.3'!$AY$4,'7.0.3'!$AY$3)</f>
        <v>200</v>
      </c>
      <c r="J48" s="4">
        <f>(VLOOKUP('7.0.3'!R48,'7.0.3'!$AM$4:$AO$55,2,FALSE))*IF('7.0.3'!AU$4="是",'7.0.3'!$AY$4,'7.0.3'!$AY$3)</f>
        <v>200</v>
      </c>
      <c r="K48" s="4">
        <f>(VLOOKUP('7.0.3'!S48,'7.0.3'!$AM$4:$AO$55,2,FALSE))*IF('7.0.3'!AV$4="是",'7.0.3'!$AY$4,'7.0.3'!$AY$3)</f>
        <v>200</v>
      </c>
      <c r="L48" s="4">
        <f>(VLOOKUP('7.0.3'!T48,'7.0.3'!$AM$4:$AO$55,2,FALSE))*IF('7.0.3'!AW$4="是",'7.0.3'!$AY$4,'7.0.3'!$AY$3)</f>
        <v>200</v>
      </c>
      <c r="M48" s="4">
        <f>(VLOOKUP('7.0.3'!U48,'7.0.3'!$AM$4:$AO$55,2,FALSE))*IF('7.0.3'!AX$4="是",'7.0.3'!$AY$4,'7.0.3'!$AY$3)</f>
        <v>200</v>
      </c>
      <c r="N48" s="4">
        <f>(VLOOKUP('7.0.3'!V48,'7.0.3'!$AM$4:$AO$55,2,FALSE))*IF('7.0.3'!AY$4="是",'7.0.3'!$AY$4,'7.0.3'!$AY$3)</f>
        <v>200</v>
      </c>
      <c r="O48" s="5">
        <f>(VLOOKUP('7.0.3'!W48,'7.0.3'!$AM$4:$AO$55,2,FALSE))*IF('7.0.3'!AZ$4="是",'7.0.3'!$AY$4,'7.0.3'!$AY$3)</f>
        <v>0</v>
      </c>
      <c r="P48" s="5">
        <f>(VLOOKUP('7.0.3'!X48,'7.0.3'!$AM$4:$AO$55,2,FALSE))*IF('7.0.3'!BA$4="是",'7.0.3'!$AY$4,'7.0.3'!$AY$3)</f>
        <v>0</v>
      </c>
      <c r="Q48" s="4">
        <f>(VLOOKUP('7.0.3'!Y48,'7.0.3'!$AM$4:$AO$55,2,FALSE))*IF('7.0.3'!BB$4="是",'7.0.3'!$AY$4,'7.0.3'!$AY$3)</f>
        <v>0</v>
      </c>
      <c r="R48" s="4">
        <f>(VLOOKUP('7.0.3'!Z48,'7.0.3'!$AM$4:$AO$55,2,FALSE))*IF('7.0.3'!BC$4="是",'7.0.3'!$AY$4,'7.0.3'!$AY$3)</f>
        <v>0</v>
      </c>
      <c r="S48" s="4">
        <f>(VLOOKUP('7.0.3'!AA48,'7.0.3'!$AM$4:$AO$55,2,FALSE))*IF('7.0.3'!BD$4="是",'7.0.3'!$AY$4,'7.0.3'!$AY$3)</f>
        <v>0</v>
      </c>
      <c r="T48" s="4">
        <f>(VLOOKUP('7.0.3'!AB48,'7.0.3'!$AM$4:$AO$55,2,FALSE))*IF('7.0.3'!BE$4="是",'7.0.3'!$AY$4,'7.0.3'!$AY$3)</f>
        <v>0</v>
      </c>
      <c r="U48" s="4">
        <f>(VLOOKUP('7.0.3'!AC48,'7.0.3'!$AM$4:$AO$55,2,FALSE))*IF('7.0.3'!BF$4="是",'7.0.3'!$AY$4,'7.0.3'!$AY$3)</f>
        <v>0</v>
      </c>
      <c r="V48" s="4">
        <f>(VLOOKUP('7.0.3'!AD48,'7.0.3'!$AM$4:$AO$55,2,FALSE))*IF('7.0.3'!BG$4="是",'7.0.3'!$AY$4,'7.0.3'!$AY$3)</f>
        <v>0</v>
      </c>
      <c r="W48" s="5">
        <f>(VLOOKUP('7.0.3'!AE48,'7.0.3'!$AM$4:$AO$55,2,FALSE))*IF('7.0.3'!BH$4="是",'7.0.3'!$AY$4,'7.0.3'!$AY$3)</f>
        <v>0</v>
      </c>
      <c r="X48" s="5">
        <f>(VLOOKUP('7.0.3'!AF48,'7.0.3'!$AM$4:$AO$55,2,FALSE))*IF('7.0.3'!BI$4="是",'7.0.3'!$AY$4,'7.0.3'!$AY$3)</f>
        <v>0</v>
      </c>
    </row>
    <row r="49" spans="1:24">
      <c r="A49" s="4">
        <f>(VLOOKUP('7.0.3'!I49,'7.0.3'!$AM$4:$AO$55,2,FALSE))*IF('7.0.3'!AK$4="是",'7.0.3'!$AY$4,'7.0.3'!$AY$3)</f>
        <v>190</v>
      </c>
      <c r="B49" s="4">
        <f>(VLOOKUP('7.0.3'!J49,'7.0.3'!$AM$4:$AO$55,2,FALSE))*IF('7.0.3'!AL$4="是",'7.0.3'!$AY$4,'7.0.3'!$AY$3)</f>
        <v>190</v>
      </c>
      <c r="C49" s="4">
        <f>(VLOOKUP('7.0.3'!K49,'7.0.3'!$AM$4:$AO$55,2,FALSE))*IF('7.0.3'!AM$4="是",'7.0.3'!$AY$4,'7.0.3'!$AY$3)</f>
        <v>190</v>
      </c>
      <c r="D49" s="4">
        <f>(VLOOKUP('7.0.3'!L49,'7.0.3'!$AM$4:$AO$55,2,FALSE))*IF('7.0.3'!AN$4="是",'7.0.3'!$AY$4,'7.0.3'!$AY$3)</f>
        <v>190</v>
      </c>
      <c r="E49" s="4">
        <f>(VLOOKUP('7.0.3'!M49,'7.0.3'!$AM$4:$AO$55,2,FALSE))*IF('7.0.3'!AO$4="是",'7.0.3'!$AY$4,'7.0.3'!$AY$3)</f>
        <v>190</v>
      </c>
      <c r="F49" s="4">
        <f>(VLOOKUP('7.0.3'!N49,'7.0.3'!$AM$4:$AO$55,2,FALSE))*IF('7.0.3'!AQ$4="是",'7.0.3'!$AY$4,'7.0.3'!$AY$3)</f>
        <v>0</v>
      </c>
      <c r="G49" s="5">
        <f>(VLOOKUP('7.0.3'!O49,'7.0.3'!$AM$4:$AO$55,2,FALSE))*IF('7.0.3'!AR$4="是",'7.0.3'!$AY$4,'7.0.3'!$AY$3)</f>
        <v>0</v>
      </c>
      <c r="H49" s="5">
        <f>(VLOOKUP('7.0.3'!P49,'7.0.3'!$AM$4:$AO$55,2,FALSE))*IF('7.0.3'!AS$4="是",'7.0.3'!$AY$4,'7.0.3'!$AY$3)</f>
        <v>0</v>
      </c>
      <c r="I49" s="4">
        <f>(VLOOKUP('7.0.3'!Q49,'7.0.3'!$AM$4:$AO$55,2,FALSE))*IF('7.0.3'!AT$4="是",'7.0.3'!$AY$4,'7.0.3'!$AY$3)</f>
        <v>200</v>
      </c>
      <c r="J49" s="4">
        <f>(VLOOKUP('7.0.3'!R49,'7.0.3'!$AM$4:$AO$55,2,FALSE))*IF('7.0.3'!AU$4="是",'7.0.3'!$AY$4,'7.0.3'!$AY$3)</f>
        <v>200</v>
      </c>
      <c r="K49" s="4">
        <f>(VLOOKUP('7.0.3'!S49,'7.0.3'!$AM$4:$AO$55,2,FALSE))*IF('7.0.3'!AV$4="是",'7.0.3'!$AY$4,'7.0.3'!$AY$3)</f>
        <v>200</v>
      </c>
      <c r="L49" s="4">
        <f>(VLOOKUP('7.0.3'!T49,'7.0.3'!$AM$4:$AO$55,2,FALSE))*IF('7.0.3'!AW$4="是",'7.0.3'!$AY$4,'7.0.3'!$AY$3)</f>
        <v>200</v>
      </c>
      <c r="M49" s="4">
        <f>(VLOOKUP('7.0.3'!U49,'7.0.3'!$AM$4:$AO$55,2,FALSE))*IF('7.0.3'!AX$4="是",'7.0.3'!$AY$4,'7.0.3'!$AY$3)</f>
        <v>200</v>
      </c>
      <c r="N49" s="4">
        <f>(VLOOKUP('7.0.3'!V49,'7.0.3'!$AM$4:$AO$55,2,FALSE))*IF('7.0.3'!AY$4="是",'7.0.3'!$AY$4,'7.0.3'!$AY$3)</f>
        <v>200</v>
      </c>
      <c r="O49" s="5">
        <f>(VLOOKUP('7.0.3'!W49,'7.0.3'!$AM$4:$AO$55,2,FALSE))*IF('7.0.3'!AZ$4="是",'7.0.3'!$AY$4,'7.0.3'!$AY$3)</f>
        <v>0</v>
      </c>
      <c r="P49" s="5">
        <f>(VLOOKUP('7.0.3'!X49,'7.0.3'!$AM$4:$AO$55,2,FALSE))*IF('7.0.3'!BA$4="是",'7.0.3'!$AY$4,'7.0.3'!$AY$3)</f>
        <v>0</v>
      </c>
      <c r="Q49" s="4">
        <f>(VLOOKUP('7.0.3'!Y49,'7.0.3'!$AM$4:$AO$55,2,FALSE))*IF('7.0.3'!BB$4="是",'7.0.3'!$AY$4,'7.0.3'!$AY$3)</f>
        <v>0</v>
      </c>
      <c r="R49" s="4">
        <f>(VLOOKUP('7.0.3'!Z49,'7.0.3'!$AM$4:$AO$55,2,FALSE))*IF('7.0.3'!BC$4="是",'7.0.3'!$AY$4,'7.0.3'!$AY$3)</f>
        <v>0</v>
      </c>
      <c r="S49" s="4">
        <f>(VLOOKUP('7.0.3'!AA49,'7.0.3'!$AM$4:$AO$55,2,FALSE))*IF('7.0.3'!BD$4="是",'7.0.3'!$AY$4,'7.0.3'!$AY$3)</f>
        <v>0</v>
      </c>
      <c r="T49" s="4">
        <f>(VLOOKUP('7.0.3'!AB49,'7.0.3'!$AM$4:$AO$55,2,FALSE))*IF('7.0.3'!BE$4="是",'7.0.3'!$AY$4,'7.0.3'!$AY$3)</f>
        <v>0</v>
      </c>
      <c r="U49" s="4">
        <f>(VLOOKUP('7.0.3'!AC49,'7.0.3'!$AM$4:$AO$55,2,FALSE))*IF('7.0.3'!BF$4="是",'7.0.3'!$AY$4,'7.0.3'!$AY$3)</f>
        <v>0</v>
      </c>
      <c r="V49" s="4">
        <f>(VLOOKUP('7.0.3'!AD49,'7.0.3'!$AM$4:$AO$55,2,FALSE))*IF('7.0.3'!BG$4="是",'7.0.3'!$AY$4,'7.0.3'!$AY$3)</f>
        <v>0</v>
      </c>
      <c r="W49" s="5">
        <f>(VLOOKUP('7.0.3'!AE49,'7.0.3'!$AM$4:$AO$55,2,FALSE))*IF('7.0.3'!BH$4="是",'7.0.3'!$AY$4,'7.0.3'!$AY$3)</f>
        <v>0</v>
      </c>
      <c r="X49" s="5">
        <f>(VLOOKUP('7.0.3'!AF49,'7.0.3'!$AM$4:$AO$55,2,FALSE))*IF('7.0.3'!BI$4="是",'7.0.3'!$AY$4,'7.0.3'!$AY$3)</f>
        <v>0</v>
      </c>
    </row>
    <row r="50" spans="1:24">
      <c r="A50" s="4">
        <f>(VLOOKUP('7.0.3'!I50,'7.0.3'!$AM$4:$AO$55,2,FALSE))*IF('7.0.3'!AK$4="是",'7.0.3'!$AY$4,'7.0.3'!$AY$3)</f>
        <v>190</v>
      </c>
      <c r="B50" s="4">
        <f>(VLOOKUP('7.0.3'!J50,'7.0.3'!$AM$4:$AO$55,2,FALSE))*IF('7.0.3'!AL$4="是",'7.0.3'!$AY$4,'7.0.3'!$AY$3)</f>
        <v>190</v>
      </c>
      <c r="C50" s="4">
        <f>(VLOOKUP('7.0.3'!K50,'7.0.3'!$AM$4:$AO$55,2,FALSE))*IF('7.0.3'!AM$4="是",'7.0.3'!$AY$4,'7.0.3'!$AY$3)</f>
        <v>190</v>
      </c>
      <c r="D50" s="4">
        <f>(VLOOKUP('7.0.3'!L50,'7.0.3'!$AM$4:$AO$55,2,FALSE))*IF('7.0.3'!AN$4="是",'7.0.3'!$AY$4,'7.0.3'!$AY$3)</f>
        <v>190</v>
      </c>
      <c r="E50" s="4">
        <f>(VLOOKUP('7.0.3'!M50,'7.0.3'!$AM$4:$AO$55,2,FALSE))*IF('7.0.3'!AO$4="是",'7.0.3'!$AY$4,'7.0.3'!$AY$3)</f>
        <v>0</v>
      </c>
      <c r="F50" s="4">
        <f>(VLOOKUP('7.0.3'!N50,'7.0.3'!$AM$4:$AO$55,2,FALSE))*IF('7.0.3'!AQ$4="是",'7.0.3'!$AY$4,'7.0.3'!$AY$3)</f>
        <v>0</v>
      </c>
      <c r="G50" s="5">
        <f>(VLOOKUP('7.0.3'!O50,'7.0.3'!$AM$4:$AO$55,2,FALSE))*IF('7.0.3'!AR$4="是",'7.0.3'!$AY$4,'7.0.3'!$AY$3)</f>
        <v>0</v>
      </c>
      <c r="H50" s="5">
        <f>(VLOOKUP('7.0.3'!P50,'7.0.3'!$AM$4:$AO$55,2,FALSE))*IF('7.0.3'!AS$4="是",'7.0.3'!$AY$4,'7.0.3'!$AY$3)</f>
        <v>0</v>
      </c>
      <c r="I50" s="4">
        <f>(VLOOKUP('7.0.3'!Q50,'7.0.3'!$AM$4:$AO$55,2,FALSE))*IF('7.0.3'!AT$4="是",'7.0.3'!$AY$4,'7.0.3'!$AY$3)</f>
        <v>200</v>
      </c>
      <c r="J50" s="4">
        <f>(VLOOKUP('7.0.3'!R50,'7.0.3'!$AM$4:$AO$55,2,FALSE))*IF('7.0.3'!AU$4="是",'7.0.3'!$AY$4,'7.0.3'!$AY$3)</f>
        <v>200</v>
      </c>
      <c r="K50" s="4">
        <f>(VLOOKUP('7.0.3'!S50,'7.0.3'!$AM$4:$AO$55,2,FALSE))*IF('7.0.3'!AV$4="是",'7.0.3'!$AY$4,'7.0.3'!$AY$3)</f>
        <v>200</v>
      </c>
      <c r="L50" s="4">
        <f>(VLOOKUP('7.0.3'!T50,'7.0.3'!$AM$4:$AO$55,2,FALSE))*IF('7.0.3'!AW$4="是",'7.0.3'!$AY$4,'7.0.3'!$AY$3)</f>
        <v>200</v>
      </c>
      <c r="M50" s="4">
        <f>(VLOOKUP('7.0.3'!U50,'7.0.3'!$AM$4:$AO$55,2,FALSE))*IF('7.0.3'!AX$4="是",'7.0.3'!$AY$4,'7.0.3'!$AY$3)</f>
        <v>200</v>
      </c>
      <c r="N50" s="4">
        <f>(VLOOKUP('7.0.3'!V50,'7.0.3'!$AM$4:$AO$55,2,FALSE))*IF('7.0.3'!AY$4="是",'7.0.3'!$AY$4,'7.0.3'!$AY$3)</f>
        <v>200</v>
      </c>
      <c r="O50" s="5">
        <f>(VLOOKUP('7.0.3'!W50,'7.0.3'!$AM$4:$AO$55,2,FALSE))*IF('7.0.3'!AZ$4="是",'7.0.3'!$AY$4,'7.0.3'!$AY$3)</f>
        <v>0</v>
      </c>
      <c r="P50" s="5">
        <f>(VLOOKUP('7.0.3'!X50,'7.0.3'!$AM$4:$AO$55,2,FALSE))*IF('7.0.3'!BA$4="是",'7.0.3'!$AY$4,'7.0.3'!$AY$3)</f>
        <v>0</v>
      </c>
      <c r="Q50" s="4">
        <f>(VLOOKUP('7.0.3'!Y50,'7.0.3'!$AM$4:$AO$55,2,FALSE))*IF('7.0.3'!BB$4="是",'7.0.3'!$AY$4,'7.0.3'!$AY$3)</f>
        <v>0</v>
      </c>
      <c r="R50" s="4">
        <f>(VLOOKUP('7.0.3'!Z50,'7.0.3'!$AM$4:$AO$55,2,FALSE))*IF('7.0.3'!BC$4="是",'7.0.3'!$AY$4,'7.0.3'!$AY$3)</f>
        <v>0</v>
      </c>
      <c r="S50" s="4">
        <f>(VLOOKUP('7.0.3'!AA50,'7.0.3'!$AM$4:$AO$55,2,FALSE))*IF('7.0.3'!BD$4="是",'7.0.3'!$AY$4,'7.0.3'!$AY$3)</f>
        <v>0</v>
      </c>
      <c r="T50" s="4">
        <f>(VLOOKUP('7.0.3'!AB50,'7.0.3'!$AM$4:$AO$55,2,FALSE))*IF('7.0.3'!BE$4="是",'7.0.3'!$AY$4,'7.0.3'!$AY$3)</f>
        <v>0</v>
      </c>
      <c r="U50" s="4">
        <f>(VLOOKUP('7.0.3'!AC50,'7.0.3'!$AM$4:$AO$55,2,FALSE))*IF('7.0.3'!BF$4="是",'7.0.3'!$AY$4,'7.0.3'!$AY$3)</f>
        <v>0</v>
      </c>
      <c r="V50" s="4">
        <f>(VLOOKUP('7.0.3'!AD50,'7.0.3'!$AM$4:$AO$55,2,FALSE))*IF('7.0.3'!BG$4="是",'7.0.3'!$AY$4,'7.0.3'!$AY$3)</f>
        <v>0</v>
      </c>
      <c r="W50" s="5">
        <f>(VLOOKUP('7.0.3'!AE50,'7.0.3'!$AM$4:$AO$55,2,FALSE))*IF('7.0.3'!BH$4="是",'7.0.3'!$AY$4,'7.0.3'!$AY$3)</f>
        <v>0</v>
      </c>
      <c r="X50" s="5">
        <f>(VLOOKUP('7.0.3'!AF50,'7.0.3'!$AM$4:$AO$55,2,FALSE))*IF('7.0.3'!BI$4="是",'7.0.3'!$AY$4,'7.0.3'!$AY$3)</f>
        <v>0</v>
      </c>
    </row>
    <row r="51" spans="1:24">
      <c r="A51" s="4">
        <f>(VLOOKUP('7.0.3'!I51,'7.0.3'!$AM$4:$AO$55,2,FALSE))*IF('7.0.3'!AK$4="是",'7.0.3'!$AY$4,'7.0.3'!$AY$3)</f>
        <v>190</v>
      </c>
      <c r="B51" s="4">
        <f>(VLOOKUP('7.0.3'!J51,'7.0.3'!$AM$4:$AO$55,2,FALSE))*IF('7.0.3'!AL$4="是",'7.0.3'!$AY$4,'7.0.3'!$AY$3)</f>
        <v>190</v>
      </c>
      <c r="C51" s="4">
        <f>(VLOOKUP('7.0.3'!K51,'7.0.3'!$AM$4:$AO$55,2,FALSE))*IF('7.0.3'!AM$4="是",'7.0.3'!$AY$4,'7.0.3'!$AY$3)</f>
        <v>190</v>
      </c>
      <c r="D51" s="4">
        <f>(VLOOKUP('7.0.3'!L51,'7.0.3'!$AM$4:$AO$55,2,FALSE))*IF('7.0.3'!AN$4="是",'7.0.3'!$AY$4,'7.0.3'!$AY$3)</f>
        <v>190</v>
      </c>
      <c r="E51" s="4">
        <f>(VLOOKUP('7.0.3'!M51,'7.0.3'!$AM$4:$AO$55,2,FALSE))*IF('7.0.3'!AO$4="是",'7.0.3'!$AY$4,'7.0.3'!$AY$3)</f>
        <v>0</v>
      </c>
      <c r="F51" s="4">
        <f>(VLOOKUP('7.0.3'!N51,'7.0.3'!$AM$4:$AO$55,2,FALSE))*IF('7.0.3'!AQ$4="是",'7.0.3'!$AY$4,'7.0.3'!$AY$3)</f>
        <v>0</v>
      </c>
      <c r="G51" s="5">
        <f>(VLOOKUP('7.0.3'!O51,'7.0.3'!$AM$4:$AO$55,2,FALSE))*IF('7.0.3'!AR$4="是",'7.0.3'!$AY$4,'7.0.3'!$AY$3)</f>
        <v>0</v>
      </c>
      <c r="H51" s="5">
        <f>(VLOOKUP('7.0.3'!P51,'7.0.3'!$AM$4:$AO$55,2,FALSE))*IF('7.0.3'!AS$4="是",'7.0.3'!$AY$4,'7.0.3'!$AY$3)</f>
        <v>0</v>
      </c>
      <c r="I51" s="4">
        <f>(VLOOKUP('7.0.3'!Q51,'7.0.3'!$AM$4:$AO$55,2,FALSE))*IF('7.0.3'!AT$4="是",'7.0.3'!$AY$4,'7.0.3'!$AY$3)</f>
        <v>200</v>
      </c>
      <c r="J51" s="4">
        <f>(VLOOKUP('7.0.3'!R51,'7.0.3'!$AM$4:$AO$55,2,FALSE))*IF('7.0.3'!AU$4="是",'7.0.3'!$AY$4,'7.0.3'!$AY$3)</f>
        <v>200</v>
      </c>
      <c r="K51" s="4">
        <f>(VLOOKUP('7.0.3'!S51,'7.0.3'!$AM$4:$AO$55,2,FALSE))*IF('7.0.3'!AV$4="是",'7.0.3'!$AY$4,'7.0.3'!$AY$3)</f>
        <v>200</v>
      </c>
      <c r="L51" s="4">
        <f>(VLOOKUP('7.0.3'!T51,'7.0.3'!$AM$4:$AO$55,2,FALSE))*IF('7.0.3'!AW$4="是",'7.0.3'!$AY$4,'7.0.3'!$AY$3)</f>
        <v>200</v>
      </c>
      <c r="M51" s="4">
        <f>(VLOOKUP('7.0.3'!U51,'7.0.3'!$AM$4:$AO$55,2,FALSE))*IF('7.0.3'!AX$4="是",'7.0.3'!$AY$4,'7.0.3'!$AY$3)</f>
        <v>200</v>
      </c>
      <c r="N51" s="4">
        <f>(VLOOKUP('7.0.3'!V51,'7.0.3'!$AM$4:$AO$55,2,FALSE))*IF('7.0.3'!AY$4="是",'7.0.3'!$AY$4,'7.0.3'!$AY$3)</f>
        <v>200</v>
      </c>
      <c r="O51" s="5">
        <f>(VLOOKUP('7.0.3'!W51,'7.0.3'!$AM$4:$AO$55,2,FALSE))*IF('7.0.3'!AZ$4="是",'7.0.3'!$AY$4,'7.0.3'!$AY$3)</f>
        <v>0</v>
      </c>
      <c r="P51" s="5">
        <f>(VLOOKUP('7.0.3'!X51,'7.0.3'!$AM$4:$AO$55,2,FALSE))*IF('7.0.3'!BA$4="是",'7.0.3'!$AY$4,'7.0.3'!$AY$3)</f>
        <v>0</v>
      </c>
      <c r="Q51" s="4">
        <f>(VLOOKUP('7.0.3'!Y51,'7.0.3'!$AM$4:$AO$55,2,FALSE))*IF('7.0.3'!BB$4="是",'7.0.3'!$AY$4,'7.0.3'!$AY$3)</f>
        <v>0</v>
      </c>
      <c r="R51" s="4">
        <f>(VLOOKUP('7.0.3'!Z51,'7.0.3'!$AM$4:$AO$55,2,FALSE))*IF('7.0.3'!BC$4="是",'7.0.3'!$AY$4,'7.0.3'!$AY$3)</f>
        <v>0</v>
      </c>
      <c r="S51" s="4">
        <f>(VLOOKUP('7.0.3'!AA51,'7.0.3'!$AM$4:$AO$55,2,FALSE))*IF('7.0.3'!BD$4="是",'7.0.3'!$AY$4,'7.0.3'!$AY$3)</f>
        <v>0</v>
      </c>
      <c r="T51" s="4">
        <f>(VLOOKUP('7.0.3'!AB51,'7.0.3'!$AM$4:$AO$55,2,FALSE))*IF('7.0.3'!BE$4="是",'7.0.3'!$AY$4,'7.0.3'!$AY$3)</f>
        <v>0</v>
      </c>
      <c r="U51" s="4">
        <f>(VLOOKUP('7.0.3'!AC51,'7.0.3'!$AM$4:$AO$55,2,FALSE))*IF('7.0.3'!BF$4="是",'7.0.3'!$AY$4,'7.0.3'!$AY$3)</f>
        <v>0</v>
      </c>
      <c r="V51" s="4">
        <f>(VLOOKUP('7.0.3'!AD51,'7.0.3'!$AM$4:$AO$55,2,FALSE))*IF('7.0.3'!BG$4="是",'7.0.3'!$AY$4,'7.0.3'!$AY$3)</f>
        <v>0</v>
      </c>
      <c r="W51" s="5">
        <f>(VLOOKUP('7.0.3'!AE51,'7.0.3'!$AM$4:$AO$55,2,FALSE))*IF('7.0.3'!BH$4="是",'7.0.3'!$AY$4,'7.0.3'!$AY$3)</f>
        <v>0</v>
      </c>
      <c r="X51" s="5">
        <f>(VLOOKUP('7.0.3'!AF51,'7.0.3'!$AM$4:$AO$55,2,FALSE))*IF('7.0.3'!BI$4="是",'7.0.3'!$AY$4,'7.0.3'!$AY$3)</f>
        <v>0</v>
      </c>
    </row>
    <row r="52" spans="1:24">
      <c r="A52" s="4">
        <f>(VLOOKUP('7.0.3'!I52,'7.0.3'!$AM$4:$AO$55,2,FALSE))*IF('7.0.3'!AK$4="是",'7.0.3'!$AY$4,'7.0.3'!$AY$3)</f>
        <v>190</v>
      </c>
      <c r="B52" s="4">
        <f>(VLOOKUP('7.0.3'!J52,'7.0.3'!$AM$4:$AO$55,2,FALSE))*IF('7.0.3'!AL$4="是",'7.0.3'!$AY$4,'7.0.3'!$AY$3)</f>
        <v>190</v>
      </c>
      <c r="C52" s="4">
        <f>(VLOOKUP('7.0.3'!K52,'7.0.3'!$AM$4:$AO$55,2,FALSE))*IF('7.0.3'!AM$4="是",'7.0.3'!$AY$4,'7.0.3'!$AY$3)</f>
        <v>190</v>
      </c>
      <c r="D52" s="4">
        <f>(VLOOKUP('7.0.3'!L52,'7.0.3'!$AM$4:$AO$55,2,FALSE))*IF('7.0.3'!AN$4="是",'7.0.3'!$AY$4,'7.0.3'!$AY$3)</f>
        <v>190</v>
      </c>
      <c r="E52" s="4">
        <f>(VLOOKUP('7.0.3'!M52,'7.0.3'!$AM$4:$AO$55,2,FALSE))*IF('7.0.3'!AO$4="是",'7.0.3'!$AY$4,'7.0.3'!$AY$3)</f>
        <v>0</v>
      </c>
      <c r="F52" s="4">
        <f>(VLOOKUP('7.0.3'!N52,'7.0.3'!$AM$4:$AO$55,2,FALSE))*IF('7.0.3'!AQ$4="是",'7.0.3'!$AY$4,'7.0.3'!$AY$3)</f>
        <v>0</v>
      </c>
      <c r="G52" s="5">
        <f>(VLOOKUP('7.0.3'!O52,'7.0.3'!$AM$4:$AO$55,2,FALSE))*IF('7.0.3'!AR$4="是",'7.0.3'!$AY$4,'7.0.3'!$AY$3)</f>
        <v>0</v>
      </c>
      <c r="H52" s="5">
        <f>(VLOOKUP('7.0.3'!P52,'7.0.3'!$AM$4:$AO$55,2,FALSE))*IF('7.0.3'!AS$4="是",'7.0.3'!$AY$4,'7.0.3'!$AY$3)</f>
        <v>0</v>
      </c>
      <c r="I52" s="4">
        <f>(VLOOKUP('7.0.3'!Q52,'7.0.3'!$AM$4:$AO$55,2,FALSE))*IF('7.0.3'!AT$4="是",'7.0.3'!$AY$4,'7.0.3'!$AY$3)</f>
        <v>200</v>
      </c>
      <c r="J52" s="4">
        <f>(VLOOKUP('7.0.3'!R52,'7.0.3'!$AM$4:$AO$55,2,FALSE))*IF('7.0.3'!AU$4="是",'7.0.3'!$AY$4,'7.0.3'!$AY$3)</f>
        <v>200</v>
      </c>
      <c r="K52" s="4">
        <f>(VLOOKUP('7.0.3'!S52,'7.0.3'!$AM$4:$AO$55,2,FALSE))*IF('7.0.3'!AV$4="是",'7.0.3'!$AY$4,'7.0.3'!$AY$3)</f>
        <v>200</v>
      </c>
      <c r="L52" s="4">
        <f>(VLOOKUP('7.0.3'!T52,'7.0.3'!$AM$4:$AO$55,2,FALSE))*IF('7.0.3'!AW$4="是",'7.0.3'!$AY$4,'7.0.3'!$AY$3)</f>
        <v>200</v>
      </c>
      <c r="M52" s="4">
        <f>(VLOOKUP('7.0.3'!U52,'7.0.3'!$AM$4:$AO$55,2,FALSE))*IF('7.0.3'!AX$4="是",'7.0.3'!$AY$4,'7.0.3'!$AY$3)</f>
        <v>200</v>
      </c>
      <c r="N52" s="4">
        <f>(VLOOKUP('7.0.3'!V52,'7.0.3'!$AM$4:$AO$55,2,FALSE))*IF('7.0.3'!AY$4="是",'7.0.3'!$AY$4,'7.0.3'!$AY$3)</f>
        <v>200</v>
      </c>
      <c r="O52" s="5">
        <f>(VLOOKUP('7.0.3'!W52,'7.0.3'!$AM$4:$AO$55,2,FALSE))*IF('7.0.3'!AZ$4="是",'7.0.3'!$AY$4,'7.0.3'!$AY$3)</f>
        <v>0</v>
      </c>
      <c r="P52" s="5">
        <f>(VLOOKUP('7.0.3'!X52,'7.0.3'!$AM$4:$AO$55,2,FALSE))*IF('7.0.3'!BA$4="是",'7.0.3'!$AY$4,'7.0.3'!$AY$3)</f>
        <v>0</v>
      </c>
      <c r="Q52" s="4">
        <f>(VLOOKUP('7.0.3'!Y52,'7.0.3'!$AM$4:$AO$55,2,FALSE))*IF('7.0.3'!BB$4="是",'7.0.3'!$AY$4,'7.0.3'!$AY$3)</f>
        <v>0</v>
      </c>
      <c r="R52" s="4">
        <f>(VLOOKUP('7.0.3'!Z52,'7.0.3'!$AM$4:$AO$55,2,FALSE))*IF('7.0.3'!BC$4="是",'7.0.3'!$AY$4,'7.0.3'!$AY$3)</f>
        <v>0</v>
      </c>
      <c r="S52" s="4">
        <f>(VLOOKUP('7.0.3'!AA52,'7.0.3'!$AM$4:$AO$55,2,FALSE))*IF('7.0.3'!BD$4="是",'7.0.3'!$AY$4,'7.0.3'!$AY$3)</f>
        <v>0</v>
      </c>
      <c r="T52" s="4">
        <f>(VLOOKUP('7.0.3'!AB52,'7.0.3'!$AM$4:$AO$55,2,FALSE))*IF('7.0.3'!BE$4="是",'7.0.3'!$AY$4,'7.0.3'!$AY$3)</f>
        <v>0</v>
      </c>
      <c r="U52" s="4">
        <f>(VLOOKUP('7.0.3'!AC52,'7.0.3'!$AM$4:$AO$55,2,FALSE))*IF('7.0.3'!BF$4="是",'7.0.3'!$AY$4,'7.0.3'!$AY$3)</f>
        <v>0</v>
      </c>
      <c r="V52" s="4">
        <f>(VLOOKUP('7.0.3'!AD52,'7.0.3'!$AM$4:$AO$55,2,FALSE))*IF('7.0.3'!BG$4="是",'7.0.3'!$AY$4,'7.0.3'!$AY$3)</f>
        <v>0</v>
      </c>
      <c r="W52" s="5">
        <f>(VLOOKUP('7.0.3'!AE52,'7.0.3'!$AM$4:$AO$55,2,FALSE))*IF('7.0.3'!BH$4="是",'7.0.3'!$AY$4,'7.0.3'!$AY$3)</f>
        <v>0</v>
      </c>
      <c r="X52" s="5">
        <f>(VLOOKUP('7.0.3'!AF52,'7.0.3'!$AM$4:$AO$55,2,FALSE))*IF('7.0.3'!BI$4="是",'7.0.3'!$AY$4,'7.0.3'!$AY$3)</f>
        <v>0</v>
      </c>
    </row>
    <row r="53" spans="1:24">
      <c r="A53" s="4">
        <f>(VLOOKUP('7.0.3'!I53,'7.0.3'!$AM$4:$AO$55,2,FALSE))*IF('7.0.3'!AK$4="是",'7.0.3'!$AY$4,'7.0.3'!$AY$3)</f>
        <v>190</v>
      </c>
      <c r="B53" s="4">
        <f>(VLOOKUP('7.0.3'!J53,'7.0.3'!$AM$4:$AO$55,2,FALSE))*IF('7.0.3'!AL$4="是",'7.0.3'!$AY$4,'7.0.3'!$AY$3)</f>
        <v>50</v>
      </c>
      <c r="C53" s="4">
        <f>(VLOOKUP('7.0.3'!K53,'7.0.3'!$AM$4:$AO$55,2,FALSE))*IF('7.0.3'!AM$4="是",'7.0.3'!$AY$4,'7.0.3'!$AY$3)</f>
        <v>190</v>
      </c>
      <c r="D53" s="4">
        <f>(VLOOKUP('7.0.3'!L53,'7.0.3'!$AM$4:$AO$55,2,FALSE))*IF('7.0.3'!AN$4="是",'7.0.3'!$AY$4,'7.0.3'!$AY$3)</f>
        <v>190</v>
      </c>
      <c r="E53" s="4">
        <f>(VLOOKUP('7.0.3'!M53,'7.0.3'!$AM$4:$AO$55,2,FALSE))*IF('7.0.3'!AO$4="是",'7.0.3'!$AY$4,'7.0.3'!$AY$3)</f>
        <v>190</v>
      </c>
      <c r="F53" s="4">
        <f>(VLOOKUP('7.0.3'!N53,'7.0.3'!$AM$4:$AO$55,2,FALSE))*IF('7.0.3'!AQ$4="是",'7.0.3'!$AY$4,'7.0.3'!$AY$3)</f>
        <v>-200</v>
      </c>
      <c r="G53" s="5">
        <f>(VLOOKUP('7.0.3'!O53,'7.0.3'!$AM$4:$AO$55,2,FALSE))*IF('7.0.3'!AR$4="是",'7.0.3'!$AY$4,'7.0.3'!$AY$3)</f>
        <v>190</v>
      </c>
      <c r="H53" s="5">
        <f>(VLOOKUP('7.0.3'!P53,'7.0.3'!$AM$4:$AO$55,2,FALSE))*IF('7.0.3'!AS$4="是",'7.0.3'!$AY$4,'7.0.3'!$AY$3)</f>
        <v>0</v>
      </c>
      <c r="I53" s="4">
        <f>(VLOOKUP('7.0.3'!Q53,'7.0.3'!$AM$4:$AO$55,2,FALSE))*IF('7.0.3'!AT$4="是",'7.0.3'!$AY$4,'7.0.3'!$AY$3)</f>
        <v>200</v>
      </c>
      <c r="J53" s="4">
        <f>(VLOOKUP('7.0.3'!R53,'7.0.3'!$AM$4:$AO$55,2,FALSE))*IF('7.0.3'!AU$4="是",'7.0.3'!$AY$4,'7.0.3'!$AY$3)</f>
        <v>200</v>
      </c>
      <c r="K53" s="4">
        <f>(VLOOKUP('7.0.3'!S53,'7.0.3'!$AM$4:$AO$55,2,FALSE))*IF('7.0.3'!AV$4="是",'7.0.3'!$AY$4,'7.0.3'!$AY$3)</f>
        <v>200</v>
      </c>
      <c r="L53" s="4">
        <f>(VLOOKUP('7.0.3'!T53,'7.0.3'!$AM$4:$AO$55,2,FALSE))*IF('7.0.3'!AW$4="是",'7.0.3'!$AY$4,'7.0.3'!$AY$3)</f>
        <v>200</v>
      </c>
      <c r="M53" s="4">
        <f>(VLOOKUP('7.0.3'!U53,'7.0.3'!$AM$4:$AO$55,2,FALSE))*IF('7.0.3'!AX$4="是",'7.0.3'!$AY$4,'7.0.3'!$AY$3)</f>
        <v>200</v>
      </c>
      <c r="N53" s="4">
        <f>(VLOOKUP('7.0.3'!V53,'7.0.3'!$AM$4:$AO$55,2,FALSE))*IF('7.0.3'!AY$4="是",'7.0.3'!$AY$4,'7.0.3'!$AY$3)</f>
        <v>200</v>
      </c>
      <c r="O53" s="5">
        <f>(VLOOKUP('7.0.3'!W53,'7.0.3'!$AM$4:$AO$55,2,FALSE))*IF('7.0.3'!AZ$4="是",'7.0.3'!$AY$4,'7.0.3'!$AY$3)</f>
        <v>0</v>
      </c>
      <c r="P53" s="5">
        <f>(VLOOKUP('7.0.3'!X53,'7.0.3'!$AM$4:$AO$55,2,FALSE))*IF('7.0.3'!BA$4="是",'7.0.3'!$AY$4,'7.0.3'!$AY$3)</f>
        <v>0</v>
      </c>
      <c r="Q53" s="4">
        <f>(VLOOKUP('7.0.3'!Y53,'7.0.3'!$AM$4:$AO$55,2,FALSE))*IF('7.0.3'!BB$4="是",'7.0.3'!$AY$4,'7.0.3'!$AY$3)</f>
        <v>0</v>
      </c>
      <c r="R53" s="4">
        <f>(VLOOKUP('7.0.3'!Z53,'7.0.3'!$AM$4:$AO$55,2,FALSE))*IF('7.0.3'!BC$4="是",'7.0.3'!$AY$4,'7.0.3'!$AY$3)</f>
        <v>0</v>
      </c>
      <c r="S53" s="4">
        <f>(VLOOKUP('7.0.3'!AA53,'7.0.3'!$AM$4:$AO$55,2,FALSE))*IF('7.0.3'!BD$4="是",'7.0.3'!$AY$4,'7.0.3'!$AY$3)</f>
        <v>0</v>
      </c>
      <c r="T53" s="4">
        <f>(VLOOKUP('7.0.3'!AB53,'7.0.3'!$AM$4:$AO$55,2,FALSE))*IF('7.0.3'!BE$4="是",'7.0.3'!$AY$4,'7.0.3'!$AY$3)</f>
        <v>0</v>
      </c>
      <c r="U53" s="4">
        <f>(VLOOKUP('7.0.3'!AC53,'7.0.3'!$AM$4:$AO$55,2,FALSE))*IF('7.0.3'!BF$4="是",'7.0.3'!$AY$4,'7.0.3'!$AY$3)</f>
        <v>0</v>
      </c>
      <c r="V53" s="4">
        <f>(VLOOKUP('7.0.3'!AD53,'7.0.3'!$AM$4:$AO$55,2,FALSE))*IF('7.0.3'!BG$4="是",'7.0.3'!$AY$4,'7.0.3'!$AY$3)</f>
        <v>0</v>
      </c>
      <c r="W53" s="5">
        <f>(VLOOKUP('7.0.3'!AE53,'7.0.3'!$AM$4:$AO$55,2,FALSE))*IF('7.0.3'!BH$4="是",'7.0.3'!$AY$4,'7.0.3'!$AY$3)</f>
        <v>0</v>
      </c>
      <c r="X53" s="5">
        <f>(VLOOKUP('7.0.3'!AF53,'7.0.3'!$AM$4:$AO$55,2,FALSE))*IF('7.0.3'!BI$4="是",'7.0.3'!$AY$4,'7.0.3'!$AY$3)</f>
        <v>0</v>
      </c>
    </row>
    <row r="54" spans="1:24">
      <c r="A54" s="4">
        <f>(VLOOKUP('7.0.3'!I54,'7.0.3'!$AM$4:$AO$55,2,FALSE))*IF('7.0.3'!AK$4="是",'7.0.3'!$AY$4,'7.0.3'!$AY$3)</f>
        <v>190</v>
      </c>
      <c r="B54" s="4">
        <f>(VLOOKUP('7.0.3'!J54,'7.0.3'!$AM$4:$AO$55,2,FALSE))*IF('7.0.3'!AL$4="是",'7.0.3'!$AY$4,'7.0.3'!$AY$3)</f>
        <v>190</v>
      </c>
      <c r="C54" s="4">
        <f>(VLOOKUP('7.0.3'!K54,'7.0.3'!$AM$4:$AO$55,2,FALSE))*IF('7.0.3'!AM$4="是",'7.0.3'!$AY$4,'7.0.3'!$AY$3)</f>
        <v>190</v>
      </c>
      <c r="D54" s="4">
        <f>(VLOOKUP('7.0.3'!L54,'7.0.3'!$AM$4:$AO$55,2,FALSE))*IF('7.0.3'!AN$4="是",'7.0.3'!$AY$4,'7.0.3'!$AY$3)</f>
        <v>190</v>
      </c>
      <c r="E54" s="4">
        <f>(VLOOKUP('7.0.3'!M54,'7.0.3'!$AM$4:$AO$55,2,FALSE))*IF('7.0.3'!AO$4="是",'7.0.3'!$AY$4,'7.0.3'!$AY$3)</f>
        <v>0</v>
      </c>
      <c r="F54" s="4">
        <f>(VLOOKUP('7.0.3'!N54,'7.0.3'!$AM$4:$AO$55,2,FALSE))*IF('7.0.3'!AQ$4="是",'7.0.3'!$AY$4,'7.0.3'!$AY$3)</f>
        <v>0</v>
      </c>
      <c r="G54" s="5">
        <f>(VLOOKUP('7.0.3'!O54,'7.0.3'!$AM$4:$AO$55,2,FALSE))*IF('7.0.3'!AR$4="是",'7.0.3'!$AY$4,'7.0.3'!$AY$3)</f>
        <v>0</v>
      </c>
      <c r="H54" s="5">
        <f>(VLOOKUP('7.0.3'!P54,'7.0.3'!$AM$4:$AO$55,2,FALSE))*IF('7.0.3'!AS$4="是",'7.0.3'!$AY$4,'7.0.3'!$AY$3)</f>
        <v>0</v>
      </c>
      <c r="I54" s="4">
        <f>(VLOOKUP('7.0.3'!Q54,'7.0.3'!$AM$4:$AO$55,2,FALSE))*IF('7.0.3'!AT$4="是",'7.0.3'!$AY$4,'7.0.3'!$AY$3)</f>
        <v>200</v>
      </c>
      <c r="J54" s="4">
        <f>(VLOOKUP('7.0.3'!R54,'7.0.3'!$AM$4:$AO$55,2,FALSE))*IF('7.0.3'!AU$4="是",'7.0.3'!$AY$4,'7.0.3'!$AY$3)</f>
        <v>200</v>
      </c>
      <c r="K54" s="4">
        <f>(VLOOKUP('7.0.3'!S54,'7.0.3'!$AM$4:$AO$55,2,FALSE))*IF('7.0.3'!AV$4="是",'7.0.3'!$AY$4,'7.0.3'!$AY$3)</f>
        <v>200</v>
      </c>
      <c r="L54" s="4">
        <f>(VLOOKUP('7.0.3'!T54,'7.0.3'!$AM$4:$AO$55,2,FALSE))*IF('7.0.3'!AW$4="是",'7.0.3'!$AY$4,'7.0.3'!$AY$3)</f>
        <v>-200</v>
      </c>
      <c r="M54" s="4">
        <f>(VLOOKUP('7.0.3'!U54,'7.0.3'!$AM$4:$AO$55,2,FALSE))*IF('7.0.3'!AX$4="是",'7.0.3'!$AY$4,'7.0.3'!$AY$3)</f>
        <v>200</v>
      </c>
      <c r="N54" s="4">
        <f>(VLOOKUP('7.0.3'!V54,'7.0.3'!$AM$4:$AO$55,2,FALSE))*IF('7.0.3'!AY$4="是",'7.0.3'!$AY$4,'7.0.3'!$AY$3)</f>
        <v>250</v>
      </c>
      <c r="O54" s="5">
        <f>(VLOOKUP('7.0.3'!W54,'7.0.3'!$AM$4:$AO$55,2,FALSE))*IF('7.0.3'!AZ$4="是",'7.0.3'!$AY$4,'7.0.3'!$AY$3)</f>
        <v>200</v>
      </c>
      <c r="P54" s="5">
        <f>(VLOOKUP('7.0.3'!X54,'7.0.3'!$AM$4:$AO$55,2,FALSE))*IF('7.0.3'!BA$4="是",'7.0.3'!$AY$4,'7.0.3'!$AY$3)</f>
        <v>200</v>
      </c>
      <c r="Q54" s="4">
        <f>(VLOOKUP('7.0.3'!Y54,'7.0.3'!$AM$4:$AO$55,2,FALSE))*IF('7.0.3'!BB$4="是",'7.0.3'!$AY$4,'7.0.3'!$AY$3)</f>
        <v>0</v>
      </c>
      <c r="R54" s="4">
        <f>(VLOOKUP('7.0.3'!Z54,'7.0.3'!$AM$4:$AO$55,2,FALSE))*IF('7.0.3'!BC$4="是",'7.0.3'!$AY$4,'7.0.3'!$AY$3)</f>
        <v>0</v>
      </c>
      <c r="S54" s="4">
        <f>(VLOOKUP('7.0.3'!AA54,'7.0.3'!$AM$4:$AO$55,2,FALSE))*IF('7.0.3'!BD$4="是",'7.0.3'!$AY$4,'7.0.3'!$AY$3)</f>
        <v>0</v>
      </c>
      <c r="T54" s="4">
        <f>(VLOOKUP('7.0.3'!AB54,'7.0.3'!$AM$4:$AO$55,2,FALSE))*IF('7.0.3'!BE$4="是",'7.0.3'!$AY$4,'7.0.3'!$AY$3)</f>
        <v>0</v>
      </c>
      <c r="U54" s="4">
        <f>(VLOOKUP('7.0.3'!AC54,'7.0.3'!$AM$4:$AO$55,2,FALSE))*IF('7.0.3'!BF$4="是",'7.0.3'!$AY$4,'7.0.3'!$AY$3)</f>
        <v>0</v>
      </c>
      <c r="V54" s="4">
        <f>(VLOOKUP('7.0.3'!AD54,'7.0.3'!$AM$4:$AO$55,2,FALSE))*IF('7.0.3'!BG$4="是",'7.0.3'!$AY$4,'7.0.3'!$AY$3)</f>
        <v>0</v>
      </c>
      <c r="W54" s="5">
        <f>(VLOOKUP('7.0.3'!AE54,'7.0.3'!$AM$4:$AO$55,2,FALSE))*IF('7.0.3'!BH$4="是",'7.0.3'!$AY$4,'7.0.3'!$AY$3)</f>
        <v>0</v>
      </c>
      <c r="X54" s="5">
        <f>(VLOOKUP('7.0.3'!AF54,'7.0.3'!$AM$4:$AO$55,2,FALSE))*IF('7.0.3'!BI$4="是",'7.0.3'!$AY$4,'7.0.3'!$AY$3)</f>
        <v>0</v>
      </c>
    </row>
    <row r="55" spans="1:24">
      <c r="A55" s="4">
        <f>(VLOOKUP('7.0.3'!I55,'7.0.3'!$AM$4:$AO$55,2,FALSE))*IF('7.0.3'!AK$4="是",'7.0.3'!$AY$4,'7.0.3'!$AY$3)</f>
        <v>190</v>
      </c>
      <c r="B55" s="4">
        <f>(VLOOKUP('7.0.3'!J55,'7.0.3'!$AM$4:$AO$55,2,FALSE))*IF('7.0.3'!AL$4="是",'7.0.3'!$AY$4,'7.0.3'!$AY$3)</f>
        <v>190</v>
      </c>
      <c r="C55" s="4">
        <f>(VLOOKUP('7.0.3'!K55,'7.0.3'!$AM$4:$AO$55,2,FALSE))*IF('7.0.3'!AM$4="是",'7.0.3'!$AY$4,'7.0.3'!$AY$3)</f>
        <v>190</v>
      </c>
      <c r="D55" s="4">
        <f>(VLOOKUP('7.0.3'!L55,'7.0.3'!$AM$4:$AO$55,2,FALSE))*IF('7.0.3'!AN$4="是",'7.0.3'!$AY$4,'7.0.3'!$AY$3)</f>
        <v>190</v>
      </c>
      <c r="E55" s="4">
        <f>(VLOOKUP('7.0.3'!M55,'7.0.3'!$AM$4:$AO$55,2,FALSE))*IF('7.0.3'!AO$4="是",'7.0.3'!$AY$4,'7.0.3'!$AY$3)</f>
        <v>0</v>
      </c>
      <c r="F55" s="4">
        <f>(VLOOKUP('7.0.3'!N55,'7.0.3'!$AM$4:$AO$55,2,FALSE))*IF('7.0.3'!AQ$4="是",'7.0.3'!$AY$4,'7.0.3'!$AY$3)</f>
        <v>0</v>
      </c>
      <c r="G55" s="5">
        <f>(VLOOKUP('7.0.3'!O55,'7.0.3'!$AM$4:$AO$55,2,FALSE))*IF('7.0.3'!AR$4="是",'7.0.3'!$AY$4,'7.0.3'!$AY$3)</f>
        <v>0</v>
      </c>
      <c r="H55" s="5">
        <f>(VLOOKUP('7.0.3'!P55,'7.0.3'!$AM$4:$AO$55,2,FALSE))*IF('7.0.3'!AS$4="是",'7.0.3'!$AY$4,'7.0.3'!$AY$3)</f>
        <v>0</v>
      </c>
      <c r="I55" s="4">
        <f>(VLOOKUP('7.0.3'!Q55,'7.0.3'!$AM$4:$AO$55,2,FALSE))*IF('7.0.3'!AT$4="是",'7.0.3'!$AY$4,'7.0.3'!$AY$3)</f>
        <v>200</v>
      </c>
      <c r="J55" s="4">
        <f>(VLOOKUP('7.0.3'!R55,'7.0.3'!$AM$4:$AO$55,2,FALSE))*IF('7.0.3'!AU$4="是",'7.0.3'!$AY$4,'7.0.3'!$AY$3)</f>
        <v>200</v>
      </c>
      <c r="K55" s="4">
        <f>(VLOOKUP('7.0.3'!S55,'7.0.3'!$AM$4:$AO$55,2,FALSE))*IF('7.0.3'!AV$4="是",'7.0.3'!$AY$4,'7.0.3'!$AY$3)</f>
        <v>200</v>
      </c>
      <c r="L55" s="4">
        <f>(VLOOKUP('7.0.3'!T55,'7.0.3'!$AM$4:$AO$55,2,FALSE))*IF('7.0.3'!AW$4="是",'7.0.3'!$AY$4,'7.0.3'!$AY$3)</f>
        <v>200</v>
      </c>
      <c r="M55" s="4">
        <f>(VLOOKUP('7.0.3'!U55,'7.0.3'!$AM$4:$AO$55,2,FALSE))*IF('7.0.3'!AX$4="是",'7.0.3'!$AY$4,'7.0.3'!$AY$3)</f>
        <v>200</v>
      </c>
      <c r="N55" s="4">
        <f>(VLOOKUP('7.0.3'!V55,'7.0.3'!$AM$4:$AO$55,2,FALSE))*IF('7.0.3'!AY$4="是",'7.0.3'!$AY$4,'7.0.3'!$AY$3)</f>
        <v>200</v>
      </c>
      <c r="O55" s="5">
        <f>(VLOOKUP('7.0.3'!W55,'7.0.3'!$AM$4:$AO$55,2,FALSE))*IF('7.0.3'!AZ$4="是",'7.0.3'!$AY$4,'7.0.3'!$AY$3)</f>
        <v>0</v>
      </c>
      <c r="P55" s="5">
        <f>(VLOOKUP('7.0.3'!X55,'7.0.3'!$AM$4:$AO$55,2,FALSE))*IF('7.0.3'!BA$4="是",'7.0.3'!$AY$4,'7.0.3'!$AY$3)</f>
        <v>0</v>
      </c>
      <c r="Q55" s="4">
        <f>(VLOOKUP('7.0.3'!Y55,'7.0.3'!$AM$4:$AO$55,2,FALSE))*IF('7.0.3'!BB$4="是",'7.0.3'!$AY$4,'7.0.3'!$AY$3)</f>
        <v>0</v>
      </c>
      <c r="R55" s="4">
        <f>(VLOOKUP('7.0.3'!Z55,'7.0.3'!$AM$4:$AO$55,2,FALSE))*IF('7.0.3'!BC$4="是",'7.0.3'!$AY$4,'7.0.3'!$AY$3)</f>
        <v>0</v>
      </c>
      <c r="S55" s="4">
        <f>(VLOOKUP('7.0.3'!AA55,'7.0.3'!$AM$4:$AO$55,2,FALSE))*IF('7.0.3'!BD$4="是",'7.0.3'!$AY$4,'7.0.3'!$AY$3)</f>
        <v>0</v>
      </c>
      <c r="T55" s="4">
        <f>(VLOOKUP('7.0.3'!AB55,'7.0.3'!$AM$4:$AO$55,2,FALSE))*IF('7.0.3'!BE$4="是",'7.0.3'!$AY$4,'7.0.3'!$AY$3)</f>
        <v>0</v>
      </c>
      <c r="U55" s="4">
        <f>(VLOOKUP('7.0.3'!AC55,'7.0.3'!$AM$4:$AO$55,2,FALSE))*IF('7.0.3'!BF$4="是",'7.0.3'!$AY$4,'7.0.3'!$AY$3)</f>
        <v>0</v>
      </c>
      <c r="V55" s="4">
        <f>(VLOOKUP('7.0.3'!AD55,'7.0.3'!$AM$4:$AO$55,2,FALSE))*IF('7.0.3'!BG$4="是",'7.0.3'!$AY$4,'7.0.3'!$AY$3)</f>
        <v>0</v>
      </c>
      <c r="W55" s="5">
        <f>(VLOOKUP('7.0.3'!AE55,'7.0.3'!$AM$4:$AO$55,2,FALSE))*IF('7.0.3'!BH$4="是",'7.0.3'!$AY$4,'7.0.3'!$AY$3)</f>
        <v>0</v>
      </c>
      <c r="X55" s="5">
        <f>(VLOOKUP('7.0.3'!AF55,'7.0.3'!$AM$4:$AO$55,2,FALSE))*IF('7.0.3'!BI$4="是",'7.0.3'!$AY$4,'7.0.3'!$AY$3)</f>
        <v>0</v>
      </c>
    </row>
    <row r="56" spans="1:24">
      <c r="A56" s="4">
        <f>(VLOOKUP('7.0.3'!I56,'7.0.3'!$AM$4:$AO$55,2,FALSE))*IF('7.0.3'!AK$4="是",'7.0.3'!$AY$4,'7.0.3'!$AY$3)</f>
        <v>190</v>
      </c>
      <c r="B56" s="4">
        <f>(VLOOKUP('7.0.3'!J56,'7.0.3'!$AM$4:$AO$55,2,FALSE))*IF('7.0.3'!AL$4="是",'7.0.3'!$AY$4,'7.0.3'!$AY$3)</f>
        <v>190</v>
      </c>
      <c r="C56" s="4">
        <f>(VLOOKUP('7.0.3'!K56,'7.0.3'!$AM$4:$AO$55,2,FALSE))*IF('7.0.3'!AM$4="是",'7.0.3'!$AY$4,'7.0.3'!$AY$3)</f>
        <v>190</v>
      </c>
      <c r="D56" s="4">
        <f>(VLOOKUP('7.0.3'!L56,'7.0.3'!$AM$4:$AO$55,2,FALSE))*IF('7.0.3'!AN$4="是",'7.0.3'!$AY$4,'7.0.3'!$AY$3)</f>
        <v>190</v>
      </c>
      <c r="E56" s="4">
        <f>(VLOOKUP('7.0.3'!M56,'7.0.3'!$AM$4:$AO$55,2,FALSE))*IF('7.0.3'!AO$4="是",'7.0.3'!$AY$4,'7.0.3'!$AY$3)</f>
        <v>190</v>
      </c>
      <c r="F56" s="4">
        <f>(VLOOKUP('7.0.3'!N56,'7.0.3'!$AM$4:$AO$55,2,FALSE))*IF('7.0.3'!AQ$4="是",'7.0.3'!$AY$4,'7.0.3'!$AY$3)</f>
        <v>0</v>
      </c>
      <c r="G56" s="5">
        <f>(VLOOKUP('7.0.3'!O56,'7.0.3'!$AM$4:$AO$55,2,FALSE))*IF('7.0.3'!AR$4="是",'7.0.3'!$AY$4,'7.0.3'!$AY$3)</f>
        <v>0</v>
      </c>
      <c r="H56" s="5">
        <f>(VLOOKUP('7.0.3'!P56,'7.0.3'!$AM$4:$AO$55,2,FALSE))*IF('7.0.3'!AS$4="是",'7.0.3'!$AY$4,'7.0.3'!$AY$3)</f>
        <v>0</v>
      </c>
      <c r="I56" s="4">
        <f>(VLOOKUP('7.0.3'!Q56,'7.0.3'!$AM$4:$AO$55,2,FALSE))*IF('7.0.3'!AT$4="是",'7.0.3'!$AY$4,'7.0.3'!$AY$3)</f>
        <v>200</v>
      </c>
      <c r="J56" s="4">
        <f>(VLOOKUP('7.0.3'!R56,'7.0.3'!$AM$4:$AO$55,2,FALSE))*IF('7.0.3'!AU$4="是",'7.0.3'!$AY$4,'7.0.3'!$AY$3)</f>
        <v>200</v>
      </c>
      <c r="K56" s="4">
        <f>(VLOOKUP('7.0.3'!S56,'7.0.3'!$AM$4:$AO$55,2,FALSE))*IF('7.0.3'!AV$4="是",'7.0.3'!$AY$4,'7.0.3'!$AY$3)</f>
        <v>200</v>
      </c>
      <c r="L56" s="4">
        <f>(VLOOKUP('7.0.3'!T56,'7.0.3'!$AM$4:$AO$55,2,FALSE))*IF('7.0.3'!AW$4="是",'7.0.3'!$AY$4,'7.0.3'!$AY$3)</f>
        <v>200</v>
      </c>
      <c r="M56" s="4">
        <f>(VLOOKUP('7.0.3'!U56,'7.0.3'!$AM$4:$AO$55,2,FALSE))*IF('7.0.3'!AX$4="是",'7.0.3'!$AY$4,'7.0.3'!$AY$3)</f>
        <v>200</v>
      </c>
      <c r="N56" s="4">
        <f>(VLOOKUP('7.0.3'!V56,'7.0.3'!$AM$4:$AO$55,2,FALSE))*IF('7.0.3'!AY$4="是",'7.0.3'!$AY$4,'7.0.3'!$AY$3)</f>
        <v>200</v>
      </c>
      <c r="O56" s="5">
        <f>(VLOOKUP('7.0.3'!W56,'7.0.3'!$AM$4:$AO$55,2,FALSE))*IF('7.0.3'!AZ$4="是",'7.0.3'!$AY$4,'7.0.3'!$AY$3)</f>
        <v>0</v>
      </c>
      <c r="P56" s="5">
        <f>(VLOOKUP('7.0.3'!X56,'7.0.3'!$AM$4:$AO$55,2,FALSE))*IF('7.0.3'!BA$4="是",'7.0.3'!$AY$4,'7.0.3'!$AY$3)</f>
        <v>0</v>
      </c>
      <c r="Q56" s="4">
        <f>(VLOOKUP('7.0.3'!Y56,'7.0.3'!$AM$4:$AO$55,2,FALSE))*IF('7.0.3'!BB$4="是",'7.0.3'!$AY$4,'7.0.3'!$AY$3)</f>
        <v>0</v>
      </c>
      <c r="R56" s="4">
        <f>(VLOOKUP('7.0.3'!Z56,'7.0.3'!$AM$4:$AO$55,2,FALSE))*IF('7.0.3'!BC$4="是",'7.0.3'!$AY$4,'7.0.3'!$AY$3)</f>
        <v>0</v>
      </c>
      <c r="S56" s="4">
        <f>(VLOOKUP('7.0.3'!AA56,'7.0.3'!$AM$4:$AO$55,2,FALSE))*IF('7.0.3'!BD$4="是",'7.0.3'!$AY$4,'7.0.3'!$AY$3)</f>
        <v>0</v>
      </c>
      <c r="T56" s="4">
        <f>(VLOOKUP('7.0.3'!AB56,'7.0.3'!$AM$4:$AO$55,2,FALSE))*IF('7.0.3'!BE$4="是",'7.0.3'!$AY$4,'7.0.3'!$AY$3)</f>
        <v>0</v>
      </c>
      <c r="U56" s="4">
        <f>(VLOOKUP('7.0.3'!AC56,'7.0.3'!$AM$4:$AO$55,2,FALSE))*IF('7.0.3'!BF$4="是",'7.0.3'!$AY$4,'7.0.3'!$AY$3)</f>
        <v>0</v>
      </c>
      <c r="V56" s="4">
        <f>(VLOOKUP('7.0.3'!AD56,'7.0.3'!$AM$4:$AO$55,2,FALSE))*IF('7.0.3'!BG$4="是",'7.0.3'!$AY$4,'7.0.3'!$AY$3)</f>
        <v>0</v>
      </c>
      <c r="W56" s="5">
        <f>(VLOOKUP('7.0.3'!AE56,'7.0.3'!$AM$4:$AO$55,2,FALSE))*IF('7.0.3'!BH$4="是",'7.0.3'!$AY$4,'7.0.3'!$AY$3)</f>
        <v>0</v>
      </c>
      <c r="X56" s="5">
        <f>(VLOOKUP('7.0.3'!AF56,'7.0.3'!$AM$4:$AO$55,2,FALSE))*IF('7.0.3'!BI$4="是",'7.0.3'!$AY$4,'7.0.3'!$AY$3)</f>
        <v>0</v>
      </c>
    </row>
    <row r="57" spans="1:24">
      <c r="A57" s="4">
        <f>(VLOOKUP('7.0.3'!I57,'7.0.3'!$AM$4:$AO$55,2,FALSE))*IF('7.0.3'!AK$4="是",'7.0.3'!$AY$4,'7.0.3'!$AY$3)</f>
        <v>190</v>
      </c>
      <c r="B57" s="4">
        <f>(VLOOKUP('7.0.3'!J57,'7.0.3'!$AM$4:$AO$55,2,FALSE))*IF('7.0.3'!AL$4="是",'7.0.3'!$AY$4,'7.0.3'!$AY$3)</f>
        <v>190</v>
      </c>
      <c r="C57" s="4">
        <f>(VLOOKUP('7.0.3'!K57,'7.0.3'!$AM$4:$AO$55,2,FALSE))*IF('7.0.3'!AM$4="是",'7.0.3'!$AY$4,'7.0.3'!$AY$3)</f>
        <v>190</v>
      </c>
      <c r="D57" s="4">
        <f>(VLOOKUP('7.0.3'!L57,'7.0.3'!$AM$4:$AO$55,2,FALSE))*IF('7.0.3'!AN$4="是",'7.0.3'!$AY$4,'7.0.3'!$AY$3)</f>
        <v>190</v>
      </c>
      <c r="E57" s="4">
        <f>(VLOOKUP('7.0.3'!M57,'7.0.3'!$AM$4:$AO$55,2,FALSE))*IF('7.0.3'!AO$4="是",'7.0.3'!$AY$4,'7.0.3'!$AY$3)</f>
        <v>0</v>
      </c>
      <c r="F57" s="4">
        <f>(VLOOKUP('7.0.3'!N57,'7.0.3'!$AM$4:$AO$55,2,FALSE))*IF('7.0.3'!AQ$4="是",'7.0.3'!$AY$4,'7.0.3'!$AY$3)</f>
        <v>0</v>
      </c>
      <c r="G57" s="5">
        <f>(VLOOKUP('7.0.3'!O57,'7.0.3'!$AM$4:$AO$55,2,FALSE))*IF('7.0.3'!AR$4="是",'7.0.3'!$AY$4,'7.0.3'!$AY$3)</f>
        <v>0</v>
      </c>
      <c r="H57" s="5">
        <f>(VLOOKUP('7.0.3'!P57,'7.0.3'!$AM$4:$AO$55,2,FALSE))*IF('7.0.3'!AS$4="是",'7.0.3'!$AY$4,'7.0.3'!$AY$3)</f>
        <v>0</v>
      </c>
      <c r="I57" s="4">
        <f>(VLOOKUP('7.0.3'!Q57,'7.0.3'!$AM$4:$AO$55,2,FALSE))*IF('7.0.3'!AT$4="是",'7.0.3'!$AY$4,'7.0.3'!$AY$3)</f>
        <v>200</v>
      </c>
      <c r="J57" s="4">
        <f>(VLOOKUP('7.0.3'!R57,'7.0.3'!$AM$4:$AO$55,2,FALSE))*IF('7.0.3'!AU$4="是",'7.0.3'!$AY$4,'7.0.3'!$AY$3)</f>
        <v>200</v>
      </c>
      <c r="K57" s="4">
        <f>(VLOOKUP('7.0.3'!S57,'7.0.3'!$AM$4:$AO$55,2,FALSE))*IF('7.0.3'!AV$4="是",'7.0.3'!$AY$4,'7.0.3'!$AY$3)</f>
        <v>200</v>
      </c>
      <c r="L57" s="4">
        <f>(VLOOKUP('7.0.3'!T57,'7.0.3'!$AM$4:$AO$55,2,FALSE))*IF('7.0.3'!AW$4="是",'7.0.3'!$AY$4,'7.0.3'!$AY$3)</f>
        <v>200</v>
      </c>
      <c r="M57" s="4">
        <f>(VLOOKUP('7.0.3'!U57,'7.0.3'!$AM$4:$AO$55,2,FALSE))*IF('7.0.3'!AX$4="是",'7.0.3'!$AY$4,'7.0.3'!$AY$3)</f>
        <v>200</v>
      </c>
      <c r="N57" s="4">
        <f>(VLOOKUP('7.0.3'!V57,'7.0.3'!$AM$4:$AO$55,2,FALSE))*IF('7.0.3'!AY$4="是",'7.0.3'!$AY$4,'7.0.3'!$AY$3)</f>
        <v>200</v>
      </c>
      <c r="O57" s="5">
        <f>(VLOOKUP('7.0.3'!W57,'7.0.3'!$AM$4:$AO$55,2,FALSE))*IF('7.0.3'!AZ$4="是",'7.0.3'!$AY$4,'7.0.3'!$AY$3)</f>
        <v>0</v>
      </c>
      <c r="P57" s="5">
        <f>(VLOOKUP('7.0.3'!X57,'7.0.3'!$AM$4:$AO$55,2,FALSE))*IF('7.0.3'!BA$4="是",'7.0.3'!$AY$4,'7.0.3'!$AY$3)</f>
        <v>0</v>
      </c>
      <c r="Q57" s="4">
        <f>(VLOOKUP('7.0.3'!Y57,'7.0.3'!$AM$4:$AO$55,2,FALSE))*IF('7.0.3'!BB$4="是",'7.0.3'!$AY$4,'7.0.3'!$AY$3)</f>
        <v>0</v>
      </c>
      <c r="R57" s="4">
        <f>(VLOOKUP('7.0.3'!Z57,'7.0.3'!$AM$4:$AO$55,2,FALSE))*IF('7.0.3'!BC$4="是",'7.0.3'!$AY$4,'7.0.3'!$AY$3)</f>
        <v>0</v>
      </c>
      <c r="S57" s="4">
        <f>(VLOOKUP('7.0.3'!AA57,'7.0.3'!$AM$4:$AO$55,2,FALSE))*IF('7.0.3'!BD$4="是",'7.0.3'!$AY$4,'7.0.3'!$AY$3)</f>
        <v>0</v>
      </c>
      <c r="T57" s="4">
        <f>(VLOOKUP('7.0.3'!AB57,'7.0.3'!$AM$4:$AO$55,2,FALSE))*IF('7.0.3'!BE$4="是",'7.0.3'!$AY$4,'7.0.3'!$AY$3)</f>
        <v>0</v>
      </c>
      <c r="U57" s="4">
        <f>(VLOOKUP('7.0.3'!AC57,'7.0.3'!$AM$4:$AO$55,2,FALSE))*IF('7.0.3'!BF$4="是",'7.0.3'!$AY$4,'7.0.3'!$AY$3)</f>
        <v>0</v>
      </c>
      <c r="V57" s="4">
        <f>(VLOOKUP('7.0.3'!AD57,'7.0.3'!$AM$4:$AO$55,2,FALSE))*IF('7.0.3'!BG$4="是",'7.0.3'!$AY$4,'7.0.3'!$AY$3)</f>
        <v>0</v>
      </c>
      <c r="W57" s="5">
        <f>(VLOOKUP('7.0.3'!AE57,'7.0.3'!$AM$4:$AO$55,2,FALSE))*IF('7.0.3'!BH$4="是",'7.0.3'!$AY$4,'7.0.3'!$AY$3)</f>
        <v>0</v>
      </c>
      <c r="X57" s="5">
        <f>(VLOOKUP('7.0.3'!AF57,'7.0.3'!$AM$4:$AO$55,2,FALSE))*IF('7.0.3'!BI$4="是",'7.0.3'!$AY$4,'7.0.3'!$AY$3)</f>
        <v>0</v>
      </c>
    </row>
    <row r="58" spans="1:24">
      <c r="A58" s="4">
        <f>(VLOOKUP('7.0.3'!I58,'7.0.3'!$AM$4:$AO$55,2,FALSE))*IF('7.0.3'!AK$4="是",'7.0.3'!$AY$4,'7.0.3'!$AY$3)</f>
        <v>190</v>
      </c>
      <c r="B58" s="4">
        <f>(VLOOKUP('7.0.3'!J58,'7.0.3'!$AM$4:$AO$55,2,FALSE))*IF('7.0.3'!AL$4="是",'7.0.3'!$AY$4,'7.0.3'!$AY$3)</f>
        <v>190</v>
      </c>
      <c r="C58" s="4">
        <f>(VLOOKUP('7.0.3'!K58,'7.0.3'!$AM$4:$AO$55,2,FALSE))*IF('7.0.3'!AM$4="是",'7.0.3'!$AY$4,'7.0.3'!$AY$3)</f>
        <v>190</v>
      </c>
      <c r="D58" s="4">
        <f>(VLOOKUP('7.0.3'!L58,'7.0.3'!$AM$4:$AO$55,2,FALSE))*IF('7.0.3'!AN$4="是",'7.0.3'!$AY$4,'7.0.3'!$AY$3)</f>
        <v>190</v>
      </c>
      <c r="E58" s="4">
        <f>(VLOOKUP('7.0.3'!M58,'7.0.3'!$AM$4:$AO$55,2,FALSE))*IF('7.0.3'!AO$4="是",'7.0.3'!$AY$4,'7.0.3'!$AY$3)</f>
        <v>0</v>
      </c>
      <c r="F58" s="4">
        <f>(VLOOKUP('7.0.3'!N58,'7.0.3'!$AM$4:$AO$55,2,FALSE))*IF('7.0.3'!AQ$4="是",'7.0.3'!$AY$4,'7.0.3'!$AY$3)</f>
        <v>0</v>
      </c>
      <c r="G58" s="5">
        <f>(VLOOKUP('7.0.3'!O58,'7.0.3'!$AM$4:$AO$55,2,FALSE))*IF('7.0.3'!AR$4="是",'7.0.3'!$AY$4,'7.0.3'!$AY$3)</f>
        <v>0</v>
      </c>
      <c r="H58" s="5">
        <f>(VLOOKUP('7.0.3'!P58,'7.0.3'!$AM$4:$AO$55,2,FALSE))*IF('7.0.3'!AS$4="是",'7.0.3'!$AY$4,'7.0.3'!$AY$3)</f>
        <v>0</v>
      </c>
      <c r="I58" s="4">
        <f>(VLOOKUP('7.0.3'!Q58,'7.0.3'!$AM$4:$AO$55,2,FALSE))*IF('7.0.3'!AT$4="是",'7.0.3'!$AY$4,'7.0.3'!$AY$3)</f>
        <v>200</v>
      </c>
      <c r="J58" s="4">
        <f>(VLOOKUP('7.0.3'!R58,'7.0.3'!$AM$4:$AO$55,2,FALSE))*IF('7.0.3'!AU$4="是",'7.0.3'!$AY$4,'7.0.3'!$AY$3)</f>
        <v>200</v>
      </c>
      <c r="K58" s="4">
        <f>(VLOOKUP('7.0.3'!S58,'7.0.3'!$AM$4:$AO$55,2,FALSE))*IF('7.0.3'!AV$4="是",'7.0.3'!$AY$4,'7.0.3'!$AY$3)</f>
        <v>200</v>
      </c>
      <c r="L58" s="4">
        <f>(VLOOKUP('7.0.3'!T58,'7.0.3'!$AM$4:$AO$55,2,FALSE))*IF('7.0.3'!AW$4="是",'7.0.3'!$AY$4,'7.0.3'!$AY$3)</f>
        <v>200</v>
      </c>
      <c r="M58" s="4">
        <f>(VLOOKUP('7.0.3'!U58,'7.0.3'!$AM$4:$AO$55,2,FALSE))*IF('7.0.3'!AX$4="是",'7.0.3'!$AY$4,'7.0.3'!$AY$3)</f>
        <v>200</v>
      </c>
      <c r="N58" s="4">
        <f>(VLOOKUP('7.0.3'!V58,'7.0.3'!$AM$4:$AO$55,2,FALSE))*IF('7.0.3'!AY$4="是",'7.0.3'!$AY$4,'7.0.3'!$AY$3)</f>
        <v>200</v>
      </c>
      <c r="O58" s="5">
        <f>(VLOOKUP('7.0.3'!W58,'7.0.3'!$AM$4:$AO$55,2,FALSE))*IF('7.0.3'!AZ$4="是",'7.0.3'!$AY$4,'7.0.3'!$AY$3)</f>
        <v>0</v>
      </c>
      <c r="P58" s="5">
        <f>(VLOOKUP('7.0.3'!X58,'7.0.3'!$AM$4:$AO$55,2,FALSE))*IF('7.0.3'!BA$4="是",'7.0.3'!$AY$4,'7.0.3'!$AY$3)</f>
        <v>0</v>
      </c>
      <c r="Q58" s="4">
        <f>(VLOOKUP('7.0.3'!Y58,'7.0.3'!$AM$4:$AO$55,2,FALSE))*IF('7.0.3'!BB$4="是",'7.0.3'!$AY$4,'7.0.3'!$AY$3)</f>
        <v>0</v>
      </c>
      <c r="R58" s="4">
        <f>(VLOOKUP('7.0.3'!Z58,'7.0.3'!$AM$4:$AO$55,2,FALSE))*IF('7.0.3'!BC$4="是",'7.0.3'!$AY$4,'7.0.3'!$AY$3)</f>
        <v>0</v>
      </c>
      <c r="S58" s="4">
        <f>(VLOOKUP('7.0.3'!AA58,'7.0.3'!$AM$4:$AO$55,2,FALSE))*IF('7.0.3'!BD$4="是",'7.0.3'!$AY$4,'7.0.3'!$AY$3)</f>
        <v>0</v>
      </c>
      <c r="T58" s="4">
        <f>(VLOOKUP('7.0.3'!AB58,'7.0.3'!$AM$4:$AO$55,2,FALSE))*IF('7.0.3'!BE$4="是",'7.0.3'!$AY$4,'7.0.3'!$AY$3)</f>
        <v>0</v>
      </c>
      <c r="U58" s="4">
        <f>(VLOOKUP('7.0.3'!AC58,'7.0.3'!$AM$4:$AO$55,2,FALSE))*IF('7.0.3'!BF$4="是",'7.0.3'!$AY$4,'7.0.3'!$AY$3)</f>
        <v>0</v>
      </c>
      <c r="V58" s="4">
        <f>(VLOOKUP('7.0.3'!AD58,'7.0.3'!$AM$4:$AO$55,2,FALSE))*IF('7.0.3'!BG$4="是",'7.0.3'!$AY$4,'7.0.3'!$AY$3)</f>
        <v>0</v>
      </c>
      <c r="W58" s="5">
        <f>(VLOOKUP('7.0.3'!AE58,'7.0.3'!$AM$4:$AO$55,2,FALSE))*IF('7.0.3'!BH$4="是",'7.0.3'!$AY$4,'7.0.3'!$AY$3)</f>
        <v>0</v>
      </c>
      <c r="X58" s="5">
        <f>(VLOOKUP('7.0.3'!AF58,'7.0.3'!$AM$4:$AO$55,2,FALSE))*IF('7.0.3'!BI$4="是",'7.0.3'!$AY$4,'7.0.3'!$AY$3)</f>
        <v>0</v>
      </c>
    </row>
    <row r="59" spans="1:24">
      <c r="A59" s="4">
        <f>(VLOOKUP('7.0.3'!I59,'7.0.3'!$AM$4:$AO$55,2,FALSE))*IF('7.0.3'!AK$4="是",'7.0.3'!$AY$4,'7.0.3'!$AY$3)</f>
        <v>190</v>
      </c>
      <c r="B59" s="4">
        <f>(VLOOKUP('7.0.3'!J59,'7.0.3'!$AM$4:$AO$55,2,FALSE))*IF('7.0.3'!AL$4="是",'7.0.3'!$AY$4,'7.0.3'!$AY$3)</f>
        <v>190</v>
      </c>
      <c r="C59" s="4">
        <f>(VLOOKUP('7.0.3'!K59,'7.0.3'!$AM$4:$AO$55,2,FALSE))*IF('7.0.3'!AM$4="是",'7.0.3'!$AY$4,'7.0.3'!$AY$3)</f>
        <v>190</v>
      </c>
      <c r="D59" s="4">
        <f>(VLOOKUP('7.0.3'!L59,'7.0.3'!$AM$4:$AO$55,2,FALSE))*IF('7.0.3'!AN$4="是",'7.0.3'!$AY$4,'7.0.3'!$AY$3)</f>
        <v>190</v>
      </c>
      <c r="E59" s="4">
        <f>(VLOOKUP('7.0.3'!M59,'7.0.3'!$AM$4:$AO$55,2,FALSE))*IF('7.0.3'!AO$4="是",'7.0.3'!$AY$4,'7.0.3'!$AY$3)</f>
        <v>0</v>
      </c>
      <c r="F59" s="4">
        <f>(VLOOKUP('7.0.3'!N59,'7.0.3'!$AM$4:$AO$55,2,FALSE))*IF('7.0.3'!AQ$4="是",'7.0.3'!$AY$4,'7.0.3'!$AY$3)</f>
        <v>0</v>
      </c>
      <c r="G59" s="5">
        <f>(VLOOKUP('7.0.3'!O59,'7.0.3'!$AM$4:$AO$55,2,FALSE))*IF('7.0.3'!AR$4="是",'7.0.3'!$AY$4,'7.0.3'!$AY$3)</f>
        <v>0</v>
      </c>
      <c r="H59" s="5">
        <f>(VLOOKUP('7.0.3'!P59,'7.0.3'!$AM$4:$AO$55,2,FALSE))*IF('7.0.3'!AS$4="是",'7.0.3'!$AY$4,'7.0.3'!$AY$3)</f>
        <v>0</v>
      </c>
      <c r="I59" s="4">
        <f>(VLOOKUP('7.0.3'!Q59,'7.0.3'!$AM$4:$AO$55,2,FALSE))*IF('7.0.3'!AT$4="是",'7.0.3'!$AY$4,'7.0.3'!$AY$3)</f>
        <v>200</v>
      </c>
      <c r="J59" s="4">
        <f>(VLOOKUP('7.0.3'!R59,'7.0.3'!$AM$4:$AO$55,2,FALSE))*IF('7.0.3'!AU$4="是",'7.0.3'!$AY$4,'7.0.3'!$AY$3)</f>
        <v>200</v>
      </c>
      <c r="K59" s="4">
        <f>(VLOOKUP('7.0.3'!S59,'7.0.3'!$AM$4:$AO$55,2,FALSE))*IF('7.0.3'!AV$4="是",'7.0.3'!$AY$4,'7.0.3'!$AY$3)</f>
        <v>200</v>
      </c>
      <c r="L59" s="4">
        <f>(VLOOKUP('7.0.3'!T59,'7.0.3'!$AM$4:$AO$55,2,FALSE))*IF('7.0.3'!AW$4="是",'7.0.3'!$AY$4,'7.0.3'!$AY$3)</f>
        <v>200</v>
      </c>
      <c r="M59" s="4">
        <f>(VLOOKUP('7.0.3'!U59,'7.0.3'!$AM$4:$AO$55,2,FALSE))*IF('7.0.3'!AX$4="是",'7.0.3'!$AY$4,'7.0.3'!$AY$3)</f>
        <v>200</v>
      </c>
      <c r="N59" s="4">
        <f>(VLOOKUP('7.0.3'!V59,'7.0.3'!$AM$4:$AO$55,2,FALSE))*IF('7.0.3'!AY$4="是",'7.0.3'!$AY$4,'7.0.3'!$AY$3)</f>
        <v>200</v>
      </c>
      <c r="O59" s="5">
        <f>(VLOOKUP('7.0.3'!W59,'7.0.3'!$AM$4:$AO$55,2,FALSE))*IF('7.0.3'!AZ$4="是",'7.0.3'!$AY$4,'7.0.3'!$AY$3)</f>
        <v>0</v>
      </c>
      <c r="P59" s="5">
        <f>(VLOOKUP('7.0.3'!X59,'7.0.3'!$AM$4:$AO$55,2,FALSE))*IF('7.0.3'!BA$4="是",'7.0.3'!$AY$4,'7.0.3'!$AY$3)</f>
        <v>0</v>
      </c>
      <c r="Q59" s="4">
        <f>(VLOOKUP('7.0.3'!Y59,'7.0.3'!$AM$4:$AO$55,2,FALSE))*IF('7.0.3'!BB$4="是",'7.0.3'!$AY$4,'7.0.3'!$AY$3)</f>
        <v>0</v>
      </c>
      <c r="R59" s="4">
        <f>(VLOOKUP('7.0.3'!Z59,'7.0.3'!$AM$4:$AO$55,2,FALSE))*IF('7.0.3'!BC$4="是",'7.0.3'!$AY$4,'7.0.3'!$AY$3)</f>
        <v>0</v>
      </c>
      <c r="S59" s="4">
        <f>(VLOOKUP('7.0.3'!AA59,'7.0.3'!$AM$4:$AO$55,2,FALSE))*IF('7.0.3'!BD$4="是",'7.0.3'!$AY$4,'7.0.3'!$AY$3)</f>
        <v>0</v>
      </c>
      <c r="T59" s="4">
        <f>(VLOOKUP('7.0.3'!AB59,'7.0.3'!$AM$4:$AO$55,2,FALSE))*IF('7.0.3'!BE$4="是",'7.0.3'!$AY$4,'7.0.3'!$AY$3)</f>
        <v>0</v>
      </c>
      <c r="U59" s="4">
        <f>(VLOOKUP('7.0.3'!AC59,'7.0.3'!$AM$4:$AO$55,2,FALSE))*IF('7.0.3'!BF$4="是",'7.0.3'!$AY$4,'7.0.3'!$AY$3)</f>
        <v>0</v>
      </c>
      <c r="V59" s="4">
        <f>(VLOOKUP('7.0.3'!AD59,'7.0.3'!$AM$4:$AO$55,2,FALSE))*IF('7.0.3'!BG$4="是",'7.0.3'!$AY$4,'7.0.3'!$AY$3)</f>
        <v>0</v>
      </c>
      <c r="W59" s="5">
        <f>(VLOOKUP('7.0.3'!AE59,'7.0.3'!$AM$4:$AO$55,2,FALSE))*IF('7.0.3'!BH$4="是",'7.0.3'!$AY$4,'7.0.3'!$AY$3)</f>
        <v>0</v>
      </c>
      <c r="X59" s="5">
        <f>(VLOOKUP('7.0.3'!AF59,'7.0.3'!$AM$4:$AO$55,2,FALSE))*IF('7.0.3'!BI$4="是",'7.0.3'!$AY$4,'7.0.3'!$AY$3)</f>
        <v>0</v>
      </c>
    </row>
    <row r="60" spans="1:24">
      <c r="A60" s="4">
        <f>(VLOOKUP('7.0.3'!I60,'7.0.3'!$AM$4:$AO$55,2,FALSE))*IF('7.0.3'!AK$4="是",'7.0.3'!$AY$4,'7.0.3'!$AY$3)</f>
        <v>190</v>
      </c>
      <c r="B60" s="4">
        <f>(VLOOKUP('7.0.3'!J60,'7.0.3'!$AM$4:$AO$55,2,FALSE))*IF('7.0.3'!AL$4="是",'7.0.3'!$AY$4,'7.0.3'!$AY$3)</f>
        <v>190</v>
      </c>
      <c r="C60" s="4">
        <f>(VLOOKUP('7.0.3'!K60,'7.0.3'!$AM$4:$AO$55,2,FALSE))*IF('7.0.3'!AM$4="是",'7.0.3'!$AY$4,'7.0.3'!$AY$3)</f>
        <v>190</v>
      </c>
      <c r="D60" s="4">
        <f>(VLOOKUP('7.0.3'!L60,'7.0.3'!$AM$4:$AO$55,2,FALSE))*IF('7.0.3'!AN$4="是",'7.0.3'!$AY$4,'7.0.3'!$AY$3)</f>
        <v>190</v>
      </c>
      <c r="E60" s="4">
        <f>(VLOOKUP('7.0.3'!M60,'7.0.3'!$AM$4:$AO$55,2,FALSE))*IF('7.0.3'!AO$4="是",'7.0.3'!$AY$4,'7.0.3'!$AY$3)</f>
        <v>0</v>
      </c>
      <c r="F60" s="4">
        <f>(VLOOKUP('7.0.3'!N60,'7.0.3'!$AM$4:$AO$55,2,FALSE))*IF('7.0.3'!AQ$4="是",'7.0.3'!$AY$4,'7.0.3'!$AY$3)</f>
        <v>0</v>
      </c>
      <c r="G60" s="5">
        <f>(VLOOKUP('7.0.3'!O60,'7.0.3'!$AM$4:$AO$55,2,FALSE))*IF('7.0.3'!AR$4="是",'7.0.3'!$AY$4,'7.0.3'!$AY$3)</f>
        <v>0</v>
      </c>
      <c r="H60" s="5">
        <f>(VLOOKUP('7.0.3'!P60,'7.0.3'!$AM$4:$AO$55,2,FALSE))*IF('7.0.3'!AS$4="是",'7.0.3'!$AY$4,'7.0.3'!$AY$3)</f>
        <v>0</v>
      </c>
      <c r="I60" s="4">
        <f>(VLOOKUP('7.0.3'!Q60,'7.0.3'!$AM$4:$AO$55,2,FALSE))*IF('7.0.3'!AT$4="是",'7.0.3'!$AY$4,'7.0.3'!$AY$3)</f>
        <v>200</v>
      </c>
      <c r="J60" s="4">
        <f>(VLOOKUP('7.0.3'!R60,'7.0.3'!$AM$4:$AO$55,2,FALSE))*IF('7.0.3'!AU$4="是",'7.0.3'!$AY$4,'7.0.3'!$AY$3)</f>
        <v>200</v>
      </c>
      <c r="K60" s="4">
        <f>(VLOOKUP('7.0.3'!S60,'7.0.3'!$AM$4:$AO$55,2,FALSE))*IF('7.0.3'!AV$4="是",'7.0.3'!$AY$4,'7.0.3'!$AY$3)</f>
        <v>200</v>
      </c>
      <c r="L60" s="4">
        <f>(VLOOKUP('7.0.3'!T60,'7.0.3'!$AM$4:$AO$55,2,FALSE))*IF('7.0.3'!AW$4="是",'7.0.3'!$AY$4,'7.0.3'!$AY$3)</f>
        <v>200</v>
      </c>
      <c r="M60" s="4">
        <f>(VLOOKUP('7.0.3'!U60,'7.0.3'!$AM$4:$AO$55,2,FALSE))*IF('7.0.3'!AX$4="是",'7.0.3'!$AY$4,'7.0.3'!$AY$3)</f>
        <v>200</v>
      </c>
      <c r="N60" s="4">
        <f>(VLOOKUP('7.0.3'!V60,'7.0.3'!$AM$4:$AO$55,2,FALSE))*IF('7.0.3'!AY$4="是",'7.0.3'!$AY$4,'7.0.3'!$AY$3)</f>
        <v>200</v>
      </c>
      <c r="O60" s="5">
        <f>(VLOOKUP('7.0.3'!W60,'7.0.3'!$AM$4:$AO$55,2,FALSE))*IF('7.0.3'!AZ$4="是",'7.0.3'!$AY$4,'7.0.3'!$AY$3)</f>
        <v>0</v>
      </c>
      <c r="P60" s="5">
        <f>(VLOOKUP('7.0.3'!X60,'7.0.3'!$AM$4:$AO$55,2,FALSE))*IF('7.0.3'!BA$4="是",'7.0.3'!$AY$4,'7.0.3'!$AY$3)</f>
        <v>0</v>
      </c>
      <c r="Q60" s="4">
        <f>(VLOOKUP('7.0.3'!Y60,'7.0.3'!$AM$4:$AO$55,2,FALSE))*IF('7.0.3'!BB$4="是",'7.0.3'!$AY$4,'7.0.3'!$AY$3)</f>
        <v>0</v>
      </c>
      <c r="R60" s="4">
        <f>(VLOOKUP('7.0.3'!Z60,'7.0.3'!$AM$4:$AO$55,2,FALSE))*IF('7.0.3'!BC$4="是",'7.0.3'!$AY$4,'7.0.3'!$AY$3)</f>
        <v>0</v>
      </c>
      <c r="S60" s="4">
        <f>(VLOOKUP('7.0.3'!AA60,'7.0.3'!$AM$4:$AO$55,2,FALSE))*IF('7.0.3'!BD$4="是",'7.0.3'!$AY$4,'7.0.3'!$AY$3)</f>
        <v>0</v>
      </c>
      <c r="T60" s="4">
        <f>(VLOOKUP('7.0.3'!AB60,'7.0.3'!$AM$4:$AO$55,2,FALSE))*IF('7.0.3'!BE$4="是",'7.0.3'!$AY$4,'7.0.3'!$AY$3)</f>
        <v>0</v>
      </c>
      <c r="U60" s="4">
        <f>(VLOOKUP('7.0.3'!AC60,'7.0.3'!$AM$4:$AO$55,2,FALSE))*IF('7.0.3'!BF$4="是",'7.0.3'!$AY$4,'7.0.3'!$AY$3)</f>
        <v>0</v>
      </c>
      <c r="V60" s="4">
        <f>(VLOOKUP('7.0.3'!AD60,'7.0.3'!$AM$4:$AO$55,2,FALSE))*IF('7.0.3'!BG$4="是",'7.0.3'!$AY$4,'7.0.3'!$AY$3)</f>
        <v>0</v>
      </c>
      <c r="W60" s="5">
        <f>(VLOOKUP('7.0.3'!AE60,'7.0.3'!$AM$4:$AO$55,2,FALSE))*IF('7.0.3'!BH$4="是",'7.0.3'!$AY$4,'7.0.3'!$AY$3)</f>
        <v>0</v>
      </c>
      <c r="X60" s="5">
        <f>(VLOOKUP('7.0.3'!AF60,'7.0.3'!$AM$4:$AO$55,2,FALSE))*IF('7.0.3'!BI$4="是",'7.0.3'!$AY$4,'7.0.3'!$AY$3)</f>
        <v>0</v>
      </c>
    </row>
    <row r="61" spans="1:24">
      <c r="A61" s="4">
        <f>(VLOOKUP('7.0.3'!I61,'7.0.3'!$AM$4:$AO$55,2,FALSE))*IF('7.0.3'!AK$4="是",'7.0.3'!$AY$4,'7.0.3'!$AY$3)</f>
        <v>190</v>
      </c>
      <c r="B61" s="4">
        <f>(VLOOKUP('7.0.3'!J61,'7.0.3'!$AM$4:$AO$55,2,FALSE))*IF('7.0.3'!AL$4="是",'7.0.3'!$AY$4,'7.0.3'!$AY$3)</f>
        <v>190</v>
      </c>
      <c r="C61" s="4">
        <f>(VLOOKUP('7.0.3'!K61,'7.0.3'!$AM$4:$AO$55,2,FALSE))*IF('7.0.3'!AM$4="是",'7.0.3'!$AY$4,'7.0.3'!$AY$3)</f>
        <v>190</v>
      </c>
      <c r="D61" s="4">
        <f>(VLOOKUP('7.0.3'!L61,'7.0.3'!$AM$4:$AO$55,2,FALSE))*IF('7.0.3'!AN$4="是",'7.0.3'!$AY$4,'7.0.3'!$AY$3)</f>
        <v>190</v>
      </c>
      <c r="E61" s="4">
        <f>(VLOOKUP('7.0.3'!M61,'7.0.3'!$AM$4:$AO$55,2,FALSE))*IF('7.0.3'!AO$4="是",'7.0.3'!$AY$4,'7.0.3'!$AY$3)</f>
        <v>150</v>
      </c>
      <c r="F61" s="4">
        <f>(VLOOKUP('7.0.3'!N61,'7.0.3'!$AM$4:$AO$55,2,FALSE))*IF('7.0.3'!AQ$4="是",'7.0.3'!$AY$4,'7.0.3'!$AY$3)</f>
        <v>0</v>
      </c>
      <c r="G61" s="5">
        <f>(VLOOKUP('7.0.3'!O61,'7.0.3'!$AM$4:$AO$55,2,FALSE))*IF('7.0.3'!AR$4="是",'7.0.3'!$AY$4,'7.0.3'!$AY$3)</f>
        <v>0</v>
      </c>
      <c r="H61" s="5">
        <f>(VLOOKUP('7.0.3'!P61,'7.0.3'!$AM$4:$AO$55,2,FALSE))*IF('7.0.3'!AS$4="是",'7.0.3'!$AY$4,'7.0.3'!$AY$3)</f>
        <v>0</v>
      </c>
      <c r="I61" s="4">
        <f>(VLOOKUP('7.0.3'!Q61,'7.0.3'!$AM$4:$AO$55,2,FALSE))*IF('7.0.3'!AT$4="是",'7.0.3'!$AY$4,'7.0.3'!$AY$3)</f>
        <v>200</v>
      </c>
      <c r="J61" s="4">
        <f>(VLOOKUP('7.0.3'!R61,'7.0.3'!$AM$4:$AO$55,2,FALSE))*IF('7.0.3'!AU$4="是",'7.0.3'!$AY$4,'7.0.3'!$AY$3)</f>
        <v>200</v>
      </c>
      <c r="K61" s="4">
        <f>(VLOOKUP('7.0.3'!S61,'7.0.3'!$AM$4:$AO$55,2,FALSE))*IF('7.0.3'!AV$4="是",'7.0.3'!$AY$4,'7.0.3'!$AY$3)</f>
        <v>200</v>
      </c>
      <c r="L61" s="4">
        <f>(VLOOKUP('7.0.3'!T61,'7.0.3'!$AM$4:$AO$55,2,FALSE))*IF('7.0.3'!AW$4="是",'7.0.3'!$AY$4,'7.0.3'!$AY$3)</f>
        <v>200</v>
      </c>
      <c r="M61" s="4">
        <f>(VLOOKUP('7.0.3'!U61,'7.0.3'!$AM$4:$AO$55,2,FALSE))*IF('7.0.3'!AX$4="是",'7.0.3'!$AY$4,'7.0.3'!$AY$3)</f>
        <v>200</v>
      </c>
      <c r="N61" s="4">
        <f>(VLOOKUP('7.0.3'!V61,'7.0.3'!$AM$4:$AO$55,2,FALSE))*IF('7.0.3'!AY$4="是",'7.0.3'!$AY$4,'7.0.3'!$AY$3)</f>
        <v>200</v>
      </c>
      <c r="O61" s="5">
        <f>(VLOOKUP('7.0.3'!W61,'7.0.3'!$AM$4:$AO$55,2,FALSE))*IF('7.0.3'!AZ$4="是",'7.0.3'!$AY$4,'7.0.3'!$AY$3)</f>
        <v>0</v>
      </c>
      <c r="P61" s="5">
        <f>(VLOOKUP('7.0.3'!X61,'7.0.3'!$AM$4:$AO$55,2,FALSE))*IF('7.0.3'!BA$4="是",'7.0.3'!$AY$4,'7.0.3'!$AY$3)</f>
        <v>0</v>
      </c>
      <c r="Q61" s="4">
        <f>(VLOOKUP('7.0.3'!Y61,'7.0.3'!$AM$4:$AO$55,2,FALSE))*IF('7.0.3'!BB$4="是",'7.0.3'!$AY$4,'7.0.3'!$AY$3)</f>
        <v>0</v>
      </c>
      <c r="R61" s="4">
        <f>(VLOOKUP('7.0.3'!Z61,'7.0.3'!$AM$4:$AO$55,2,FALSE))*IF('7.0.3'!BC$4="是",'7.0.3'!$AY$4,'7.0.3'!$AY$3)</f>
        <v>0</v>
      </c>
      <c r="S61" s="4">
        <f>(VLOOKUP('7.0.3'!AA61,'7.0.3'!$AM$4:$AO$55,2,FALSE))*IF('7.0.3'!BD$4="是",'7.0.3'!$AY$4,'7.0.3'!$AY$3)</f>
        <v>0</v>
      </c>
      <c r="T61" s="4">
        <f>(VLOOKUP('7.0.3'!AB61,'7.0.3'!$AM$4:$AO$55,2,FALSE))*IF('7.0.3'!BE$4="是",'7.0.3'!$AY$4,'7.0.3'!$AY$3)</f>
        <v>0</v>
      </c>
      <c r="U61" s="4">
        <f>(VLOOKUP('7.0.3'!AC61,'7.0.3'!$AM$4:$AO$55,2,FALSE))*IF('7.0.3'!BF$4="是",'7.0.3'!$AY$4,'7.0.3'!$AY$3)</f>
        <v>0</v>
      </c>
      <c r="V61" s="4">
        <f>(VLOOKUP('7.0.3'!AD61,'7.0.3'!$AM$4:$AO$55,2,FALSE))*IF('7.0.3'!BG$4="是",'7.0.3'!$AY$4,'7.0.3'!$AY$3)</f>
        <v>0</v>
      </c>
      <c r="W61" s="5">
        <f>(VLOOKUP('7.0.3'!AE61,'7.0.3'!$AM$4:$AO$55,2,FALSE))*IF('7.0.3'!BH$4="是",'7.0.3'!$AY$4,'7.0.3'!$AY$3)</f>
        <v>0</v>
      </c>
      <c r="X61" s="5">
        <f>(VLOOKUP('7.0.3'!AF61,'7.0.3'!$AM$4:$AO$55,2,FALSE))*IF('7.0.3'!BI$4="是",'7.0.3'!$AY$4,'7.0.3'!$AY$3)</f>
        <v>0</v>
      </c>
    </row>
    <row r="62" spans="1:24">
      <c r="A62" s="4">
        <f>(VLOOKUP('7.0.3'!I62,'7.0.3'!$AM$4:$AO$55,2,FALSE))*IF('7.0.3'!AK$4="是",'7.0.3'!$AY$4,'7.0.3'!$AY$3)</f>
        <v>190</v>
      </c>
      <c r="B62" s="4">
        <f>(VLOOKUP('7.0.3'!J62,'7.0.3'!$AM$4:$AO$55,2,FALSE))*IF('7.0.3'!AL$4="是",'7.0.3'!$AY$4,'7.0.3'!$AY$3)</f>
        <v>190</v>
      </c>
      <c r="C62" s="4">
        <f>(VLOOKUP('7.0.3'!K62,'7.0.3'!$AM$4:$AO$55,2,FALSE))*IF('7.0.3'!AM$4="是",'7.0.3'!$AY$4,'7.0.3'!$AY$3)</f>
        <v>190</v>
      </c>
      <c r="D62" s="4">
        <f>(VLOOKUP('7.0.3'!L62,'7.0.3'!$AM$4:$AO$55,2,FALSE))*IF('7.0.3'!AN$4="是",'7.0.3'!$AY$4,'7.0.3'!$AY$3)</f>
        <v>190</v>
      </c>
      <c r="E62" s="4">
        <f>(VLOOKUP('7.0.3'!M62,'7.0.3'!$AM$4:$AO$55,2,FALSE))*IF('7.0.3'!AO$4="是",'7.0.3'!$AY$4,'7.0.3'!$AY$3)</f>
        <v>0</v>
      </c>
      <c r="F62" s="4">
        <f>(VLOOKUP('7.0.3'!N62,'7.0.3'!$AM$4:$AO$55,2,FALSE))*IF('7.0.3'!AQ$4="是",'7.0.3'!$AY$4,'7.0.3'!$AY$3)</f>
        <v>0</v>
      </c>
      <c r="G62" s="5">
        <f>(VLOOKUP('7.0.3'!O62,'7.0.3'!$AM$4:$AO$55,2,FALSE))*IF('7.0.3'!AR$4="是",'7.0.3'!$AY$4,'7.0.3'!$AY$3)</f>
        <v>0</v>
      </c>
      <c r="H62" s="5">
        <f>(VLOOKUP('7.0.3'!P62,'7.0.3'!$AM$4:$AO$55,2,FALSE))*IF('7.0.3'!AS$4="是",'7.0.3'!$AY$4,'7.0.3'!$AY$3)</f>
        <v>0</v>
      </c>
      <c r="I62" s="4">
        <f>(VLOOKUP('7.0.3'!Q62,'7.0.3'!$AM$4:$AO$55,2,FALSE))*IF('7.0.3'!AT$4="是",'7.0.3'!$AY$4,'7.0.3'!$AY$3)</f>
        <v>200</v>
      </c>
      <c r="J62" s="4">
        <f>(VLOOKUP('7.0.3'!R62,'7.0.3'!$AM$4:$AO$55,2,FALSE))*IF('7.0.3'!AU$4="是",'7.0.3'!$AY$4,'7.0.3'!$AY$3)</f>
        <v>200</v>
      </c>
      <c r="K62" s="4">
        <f>(VLOOKUP('7.0.3'!S62,'7.0.3'!$AM$4:$AO$55,2,FALSE))*IF('7.0.3'!AV$4="是",'7.0.3'!$AY$4,'7.0.3'!$AY$3)</f>
        <v>200</v>
      </c>
      <c r="L62" s="4">
        <f>(VLOOKUP('7.0.3'!T62,'7.0.3'!$AM$4:$AO$55,2,FALSE))*IF('7.0.3'!AW$4="是",'7.0.3'!$AY$4,'7.0.3'!$AY$3)</f>
        <v>200</v>
      </c>
      <c r="M62" s="4">
        <f>(VLOOKUP('7.0.3'!U62,'7.0.3'!$AM$4:$AO$55,2,FALSE))*IF('7.0.3'!AX$4="是",'7.0.3'!$AY$4,'7.0.3'!$AY$3)</f>
        <v>200</v>
      </c>
      <c r="N62" s="4">
        <f>(VLOOKUP('7.0.3'!V62,'7.0.3'!$AM$4:$AO$55,2,FALSE))*IF('7.0.3'!AY$4="是",'7.0.3'!$AY$4,'7.0.3'!$AY$3)</f>
        <v>200</v>
      </c>
      <c r="O62" s="5">
        <f>(VLOOKUP('7.0.3'!W62,'7.0.3'!$AM$4:$AO$55,2,FALSE))*IF('7.0.3'!AZ$4="是",'7.0.3'!$AY$4,'7.0.3'!$AY$3)</f>
        <v>0</v>
      </c>
      <c r="P62" s="5">
        <f>(VLOOKUP('7.0.3'!X62,'7.0.3'!$AM$4:$AO$55,2,FALSE))*IF('7.0.3'!BA$4="是",'7.0.3'!$AY$4,'7.0.3'!$AY$3)</f>
        <v>0</v>
      </c>
      <c r="Q62" s="4">
        <f>(VLOOKUP('7.0.3'!Y62,'7.0.3'!$AM$4:$AO$55,2,FALSE))*IF('7.0.3'!BB$4="是",'7.0.3'!$AY$4,'7.0.3'!$AY$3)</f>
        <v>0</v>
      </c>
      <c r="R62" s="4">
        <f>(VLOOKUP('7.0.3'!Z62,'7.0.3'!$AM$4:$AO$55,2,FALSE))*IF('7.0.3'!BC$4="是",'7.0.3'!$AY$4,'7.0.3'!$AY$3)</f>
        <v>0</v>
      </c>
      <c r="S62" s="4">
        <f>(VLOOKUP('7.0.3'!AA62,'7.0.3'!$AM$4:$AO$55,2,FALSE))*IF('7.0.3'!BD$4="是",'7.0.3'!$AY$4,'7.0.3'!$AY$3)</f>
        <v>0</v>
      </c>
      <c r="T62" s="4">
        <f>(VLOOKUP('7.0.3'!AB62,'7.0.3'!$AM$4:$AO$55,2,FALSE))*IF('7.0.3'!BE$4="是",'7.0.3'!$AY$4,'7.0.3'!$AY$3)</f>
        <v>0</v>
      </c>
      <c r="U62" s="4">
        <f>(VLOOKUP('7.0.3'!AC62,'7.0.3'!$AM$4:$AO$55,2,FALSE))*IF('7.0.3'!BF$4="是",'7.0.3'!$AY$4,'7.0.3'!$AY$3)</f>
        <v>0</v>
      </c>
      <c r="V62" s="4">
        <f>(VLOOKUP('7.0.3'!AD62,'7.0.3'!$AM$4:$AO$55,2,FALSE))*IF('7.0.3'!BG$4="是",'7.0.3'!$AY$4,'7.0.3'!$AY$3)</f>
        <v>0</v>
      </c>
      <c r="W62" s="5">
        <f>(VLOOKUP('7.0.3'!AE62,'7.0.3'!$AM$4:$AO$55,2,FALSE))*IF('7.0.3'!BH$4="是",'7.0.3'!$AY$4,'7.0.3'!$AY$3)</f>
        <v>0</v>
      </c>
      <c r="X62" s="5">
        <f>(VLOOKUP('7.0.3'!AF62,'7.0.3'!$AM$4:$AO$55,2,FALSE))*IF('7.0.3'!BI$4="是",'7.0.3'!$AY$4,'7.0.3'!$AY$3)</f>
        <v>0</v>
      </c>
    </row>
    <row r="63" spans="1:24">
      <c r="A63" s="4">
        <f>(VLOOKUP('7.0.3'!I63,'7.0.3'!$AM$4:$AO$55,2,FALSE))*IF('7.0.3'!AK$4="是",'7.0.3'!$AY$4,'7.0.3'!$AY$3)</f>
        <v>190</v>
      </c>
      <c r="B63" s="4">
        <f>(VLOOKUP('7.0.3'!J63,'7.0.3'!$AM$4:$AO$55,2,FALSE))*IF('7.0.3'!AL$4="是",'7.0.3'!$AY$4,'7.0.3'!$AY$3)</f>
        <v>190</v>
      </c>
      <c r="C63" s="4">
        <f>(VLOOKUP('7.0.3'!K63,'7.0.3'!$AM$4:$AO$55,2,FALSE))*IF('7.0.3'!AM$4="是",'7.0.3'!$AY$4,'7.0.3'!$AY$3)</f>
        <v>190</v>
      </c>
      <c r="D63" s="4">
        <f>(VLOOKUP('7.0.3'!L63,'7.0.3'!$AM$4:$AO$55,2,FALSE))*IF('7.0.3'!AN$4="是",'7.0.3'!$AY$4,'7.0.3'!$AY$3)</f>
        <v>180</v>
      </c>
      <c r="E63" s="4">
        <f>(VLOOKUP('7.0.3'!M63,'7.0.3'!$AM$4:$AO$55,2,FALSE))*IF('7.0.3'!AO$4="是",'7.0.3'!$AY$4,'7.0.3'!$AY$3)</f>
        <v>0</v>
      </c>
      <c r="F63" s="4">
        <f>(VLOOKUP('7.0.3'!N63,'7.0.3'!$AM$4:$AO$55,2,FALSE))*IF('7.0.3'!AQ$4="是",'7.0.3'!$AY$4,'7.0.3'!$AY$3)</f>
        <v>0</v>
      </c>
      <c r="G63" s="5">
        <f>(VLOOKUP('7.0.3'!O63,'7.0.3'!$AM$4:$AO$55,2,FALSE))*IF('7.0.3'!AR$4="是",'7.0.3'!$AY$4,'7.0.3'!$AY$3)</f>
        <v>0</v>
      </c>
      <c r="H63" s="5">
        <f>(VLOOKUP('7.0.3'!P63,'7.0.3'!$AM$4:$AO$55,2,FALSE))*IF('7.0.3'!AS$4="是",'7.0.3'!$AY$4,'7.0.3'!$AY$3)</f>
        <v>0</v>
      </c>
      <c r="I63" s="4">
        <f>(VLOOKUP('7.0.3'!Q63,'7.0.3'!$AM$4:$AO$55,2,FALSE))*IF('7.0.3'!AT$4="是",'7.0.3'!$AY$4,'7.0.3'!$AY$3)</f>
        <v>200</v>
      </c>
      <c r="J63" s="4">
        <f>(VLOOKUP('7.0.3'!R63,'7.0.3'!$AM$4:$AO$55,2,FALSE))*IF('7.0.3'!AU$4="是",'7.0.3'!$AY$4,'7.0.3'!$AY$3)</f>
        <v>200</v>
      </c>
      <c r="K63" s="4">
        <f>(VLOOKUP('7.0.3'!S63,'7.0.3'!$AM$4:$AO$55,2,FALSE))*IF('7.0.3'!AV$4="是",'7.0.3'!$AY$4,'7.0.3'!$AY$3)</f>
        <v>200</v>
      </c>
      <c r="L63" s="4">
        <f>(VLOOKUP('7.0.3'!T63,'7.0.3'!$AM$4:$AO$55,2,FALSE))*IF('7.0.3'!AW$4="是",'7.0.3'!$AY$4,'7.0.3'!$AY$3)</f>
        <v>200</v>
      </c>
      <c r="M63" s="4">
        <f>(VLOOKUP('7.0.3'!U63,'7.0.3'!$AM$4:$AO$55,2,FALSE))*IF('7.0.3'!AX$4="是",'7.0.3'!$AY$4,'7.0.3'!$AY$3)</f>
        <v>200</v>
      </c>
      <c r="N63" s="4">
        <f>(VLOOKUP('7.0.3'!V63,'7.0.3'!$AM$4:$AO$55,2,FALSE))*IF('7.0.3'!AY$4="是",'7.0.3'!$AY$4,'7.0.3'!$AY$3)</f>
        <v>200</v>
      </c>
      <c r="O63" s="5">
        <f>(VLOOKUP('7.0.3'!W63,'7.0.3'!$AM$4:$AO$55,2,FALSE))*IF('7.0.3'!AZ$4="是",'7.0.3'!$AY$4,'7.0.3'!$AY$3)</f>
        <v>0</v>
      </c>
      <c r="P63" s="5">
        <f>(VLOOKUP('7.0.3'!X63,'7.0.3'!$AM$4:$AO$55,2,FALSE))*IF('7.0.3'!BA$4="是",'7.0.3'!$AY$4,'7.0.3'!$AY$3)</f>
        <v>0</v>
      </c>
      <c r="Q63" s="4">
        <f>(VLOOKUP('7.0.3'!Y63,'7.0.3'!$AM$4:$AO$55,2,FALSE))*IF('7.0.3'!BB$4="是",'7.0.3'!$AY$4,'7.0.3'!$AY$3)</f>
        <v>0</v>
      </c>
      <c r="R63" s="4">
        <f>(VLOOKUP('7.0.3'!Z63,'7.0.3'!$AM$4:$AO$55,2,FALSE))*IF('7.0.3'!BC$4="是",'7.0.3'!$AY$4,'7.0.3'!$AY$3)</f>
        <v>0</v>
      </c>
      <c r="S63" s="4">
        <f>(VLOOKUP('7.0.3'!AA63,'7.0.3'!$AM$4:$AO$55,2,FALSE))*IF('7.0.3'!BD$4="是",'7.0.3'!$AY$4,'7.0.3'!$AY$3)</f>
        <v>0</v>
      </c>
      <c r="T63" s="4">
        <f>(VLOOKUP('7.0.3'!AB63,'7.0.3'!$AM$4:$AO$55,2,FALSE))*IF('7.0.3'!BE$4="是",'7.0.3'!$AY$4,'7.0.3'!$AY$3)</f>
        <v>0</v>
      </c>
      <c r="U63" s="4">
        <f>(VLOOKUP('7.0.3'!AC63,'7.0.3'!$AM$4:$AO$55,2,FALSE))*IF('7.0.3'!BF$4="是",'7.0.3'!$AY$4,'7.0.3'!$AY$3)</f>
        <v>0</v>
      </c>
      <c r="V63" s="4">
        <f>(VLOOKUP('7.0.3'!AD63,'7.0.3'!$AM$4:$AO$55,2,FALSE))*IF('7.0.3'!BG$4="是",'7.0.3'!$AY$4,'7.0.3'!$AY$3)</f>
        <v>0</v>
      </c>
      <c r="W63" s="5">
        <f>(VLOOKUP('7.0.3'!AE63,'7.0.3'!$AM$4:$AO$55,2,FALSE))*IF('7.0.3'!BH$4="是",'7.0.3'!$AY$4,'7.0.3'!$AY$3)</f>
        <v>0</v>
      </c>
      <c r="X63" s="5">
        <f>(VLOOKUP('7.0.3'!AF63,'7.0.3'!$AM$4:$AO$55,2,FALSE))*IF('7.0.3'!BI$4="是",'7.0.3'!$AY$4,'7.0.3'!$AY$3)</f>
        <v>0</v>
      </c>
    </row>
    <row r="64" spans="1:24">
      <c r="A64" s="4">
        <f>(VLOOKUP('7.0.3'!I64,'7.0.3'!$AM$4:$AO$55,2,FALSE))*IF('7.0.3'!AK$4="是",'7.0.3'!$AY$4,'7.0.3'!$AY$3)</f>
        <v>180</v>
      </c>
      <c r="B64" s="4">
        <f>(VLOOKUP('7.0.3'!J64,'7.0.3'!$AM$4:$AO$55,2,FALSE))*IF('7.0.3'!AL$4="是",'7.0.3'!$AY$4,'7.0.3'!$AY$3)</f>
        <v>-200</v>
      </c>
      <c r="C64" s="4">
        <f>(VLOOKUP('7.0.3'!K64,'7.0.3'!$AM$4:$AO$55,2,FALSE))*IF('7.0.3'!AM$4="是",'7.0.3'!$AY$4,'7.0.3'!$AY$3)</f>
        <v>180</v>
      </c>
      <c r="D64" s="4">
        <f>(VLOOKUP('7.0.3'!L64,'7.0.3'!$AM$4:$AO$55,2,FALSE))*IF('7.0.3'!AN$4="是",'7.0.3'!$AY$4,'7.0.3'!$AY$3)</f>
        <v>180</v>
      </c>
      <c r="E64" s="4">
        <f>(VLOOKUP('7.0.3'!M64,'7.0.3'!$AM$4:$AO$55,2,FALSE))*IF('7.0.3'!AO$4="是",'7.0.3'!$AY$4,'7.0.3'!$AY$3)</f>
        <v>180</v>
      </c>
      <c r="F64" s="4">
        <f>(VLOOKUP('7.0.3'!N64,'7.0.3'!$AM$4:$AO$55,2,FALSE))*IF('7.0.3'!AQ$4="是",'7.0.3'!$AY$4,'7.0.3'!$AY$3)</f>
        <v>180</v>
      </c>
      <c r="G64" s="5">
        <f>(VLOOKUP('7.0.3'!O64,'7.0.3'!$AM$4:$AO$55,2,FALSE))*IF('7.0.3'!AR$4="是",'7.0.3'!$AY$4,'7.0.3'!$AY$3)</f>
        <v>180</v>
      </c>
      <c r="H64" s="5">
        <f>(VLOOKUP('7.0.3'!P64,'7.0.3'!$AM$4:$AO$55,2,FALSE))*IF('7.0.3'!AS$4="是",'7.0.3'!$AY$4,'7.0.3'!$AY$3)</f>
        <v>0</v>
      </c>
      <c r="I64" s="4">
        <f>(VLOOKUP('7.0.3'!Q64,'7.0.3'!$AM$4:$AO$55,2,FALSE))*IF('7.0.3'!AT$4="是",'7.0.3'!$AY$4,'7.0.3'!$AY$3)</f>
        <v>190</v>
      </c>
      <c r="J64" s="4">
        <f>(VLOOKUP('7.0.3'!R64,'7.0.3'!$AM$4:$AO$55,2,FALSE))*IF('7.0.3'!AU$4="是",'7.0.3'!$AY$4,'7.0.3'!$AY$3)</f>
        <v>190</v>
      </c>
      <c r="K64" s="4">
        <f>(VLOOKUP('7.0.3'!S64,'7.0.3'!$AM$4:$AO$55,2,FALSE))*IF('7.0.3'!AV$4="是",'7.0.3'!$AY$4,'7.0.3'!$AY$3)</f>
        <v>190</v>
      </c>
      <c r="L64" s="4">
        <f>(VLOOKUP('7.0.3'!T64,'7.0.3'!$AM$4:$AO$55,2,FALSE))*IF('7.0.3'!AW$4="是",'7.0.3'!$AY$4,'7.0.3'!$AY$3)</f>
        <v>190</v>
      </c>
      <c r="M64" s="4">
        <f>(VLOOKUP('7.0.3'!U64,'7.0.3'!$AM$4:$AO$55,2,FALSE))*IF('7.0.3'!AX$4="是",'7.0.3'!$AY$4,'7.0.3'!$AY$3)</f>
        <v>190</v>
      </c>
      <c r="N64" s="4">
        <f>(VLOOKUP('7.0.3'!V64,'7.0.3'!$AM$4:$AO$55,2,FALSE))*IF('7.0.3'!AY$4="是",'7.0.3'!$AY$4,'7.0.3'!$AY$3)</f>
        <v>190</v>
      </c>
      <c r="O64" s="5">
        <f>(VLOOKUP('7.0.3'!W64,'7.0.3'!$AM$4:$AO$55,2,FALSE))*IF('7.0.3'!AZ$4="是",'7.0.3'!$AY$4,'7.0.3'!$AY$3)</f>
        <v>0</v>
      </c>
      <c r="P64" s="5">
        <f>(VLOOKUP('7.0.3'!X64,'7.0.3'!$AM$4:$AO$55,2,FALSE))*IF('7.0.3'!BA$4="是",'7.0.3'!$AY$4,'7.0.3'!$AY$3)</f>
        <v>0</v>
      </c>
      <c r="Q64" s="4">
        <f>(VLOOKUP('7.0.3'!Y64,'7.0.3'!$AM$4:$AO$55,2,FALSE))*IF('7.0.3'!BB$4="是",'7.0.3'!$AY$4,'7.0.3'!$AY$3)</f>
        <v>0</v>
      </c>
      <c r="R64" s="4">
        <f>(VLOOKUP('7.0.3'!Z64,'7.0.3'!$AM$4:$AO$55,2,FALSE))*IF('7.0.3'!BC$4="是",'7.0.3'!$AY$4,'7.0.3'!$AY$3)</f>
        <v>0</v>
      </c>
      <c r="S64" s="4">
        <f>(VLOOKUP('7.0.3'!AA64,'7.0.3'!$AM$4:$AO$55,2,FALSE))*IF('7.0.3'!BD$4="是",'7.0.3'!$AY$4,'7.0.3'!$AY$3)</f>
        <v>0</v>
      </c>
      <c r="T64" s="4">
        <f>(VLOOKUP('7.0.3'!AB64,'7.0.3'!$AM$4:$AO$55,2,FALSE))*IF('7.0.3'!BE$4="是",'7.0.3'!$AY$4,'7.0.3'!$AY$3)</f>
        <v>0</v>
      </c>
      <c r="U64" s="4">
        <f>(VLOOKUP('7.0.3'!AC64,'7.0.3'!$AM$4:$AO$55,2,FALSE))*IF('7.0.3'!BF$4="是",'7.0.3'!$AY$4,'7.0.3'!$AY$3)</f>
        <v>0</v>
      </c>
      <c r="V64" s="4">
        <f>(VLOOKUP('7.0.3'!AD64,'7.0.3'!$AM$4:$AO$55,2,FALSE))*IF('7.0.3'!BG$4="是",'7.0.3'!$AY$4,'7.0.3'!$AY$3)</f>
        <v>0</v>
      </c>
      <c r="W64" s="5">
        <f>(VLOOKUP('7.0.3'!AE64,'7.0.3'!$AM$4:$AO$55,2,FALSE))*IF('7.0.3'!BH$4="是",'7.0.3'!$AY$4,'7.0.3'!$AY$3)</f>
        <v>0</v>
      </c>
      <c r="X64" s="5">
        <f>(VLOOKUP('7.0.3'!AF64,'7.0.3'!$AM$4:$AO$55,2,FALSE))*IF('7.0.3'!BI$4="是",'7.0.3'!$AY$4,'7.0.3'!$AY$3)</f>
        <v>0</v>
      </c>
    </row>
    <row r="65" spans="1:24">
      <c r="A65" s="4">
        <f>(VLOOKUP('7.0.3'!I65,'7.0.3'!$AM$4:$AO$55,2,FALSE))*IF('7.0.3'!AK$4="是",'7.0.3'!$AY$4,'7.0.3'!$AY$3)</f>
        <v>180</v>
      </c>
      <c r="B65" s="4">
        <f>(VLOOKUP('7.0.3'!J65,'7.0.3'!$AM$4:$AO$55,2,FALSE))*IF('7.0.3'!AL$4="是",'7.0.3'!$AY$4,'7.0.3'!$AY$3)</f>
        <v>180</v>
      </c>
      <c r="C65" s="4">
        <f>(VLOOKUP('7.0.3'!K65,'7.0.3'!$AM$4:$AO$55,2,FALSE))*IF('7.0.3'!AM$4="是",'7.0.3'!$AY$4,'7.0.3'!$AY$3)</f>
        <v>180</v>
      </c>
      <c r="D65" s="4">
        <f>(VLOOKUP('7.0.3'!L65,'7.0.3'!$AM$4:$AO$55,2,FALSE))*IF('7.0.3'!AN$4="是",'7.0.3'!$AY$4,'7.0.3'!$AY$3)</f>
        <v>180</v>
      </c>
      <c r="E65" s="4">
        <f>(VLOOKUP('7.0.3'!M65,'7.0.3'!$AM$4:$AO$55,2,FALSE))*IF('7.0.3'!AO$4="是",'7.0.3'!$AY$4,'7.0.3'!$AY$3)</f>
        <v>180</v>
      </c>
      <c r="F65" s="4">
        <f>(VLOOKUP('7.0.3'!N65,'7.0.3'!$AM$4:$AO$55,2,FALSE))*IF('7.0.3'!AQ$4="是",'7.0.3'!$AY$4,'7.0.3'!$AY$3)</f>
        <v>0</v>
      </c>
      <c r="G65" s="5">
        <f>(VLOOKUP('7.0.3'!O65,'7.0.3'!$AM$4:$AO$55,2,FALSE))*IF('7.0.3'!AR$4="是",'7.0.3'!$AY$4,'7.0.3'!$AY$3)</f>
        <v>0</v>
      </c>
      <c r="H65" s="5">
        <f>(VLOOKUP('7.0.3'!P65,'7.0.3'!$AM$4:$AO$55,2,FALSE))*IF('7.0.3'!AS$4="是",'7.0.3'!$AY$4,'7.0.3'!$AY$3)</f>
        <v>0</v>
      </c>
      <c r="I65" s="4">
        <f>(VLOOKUP('7.0.3'!Q65,'7.0.3'!$AM$4:$AO$55,2,FALSE))*IF('7.0.3'!AT$4="是",'7.0.3'!$AY$4,'7.0.3'!$AY$3)</f>
        <v>190</v>
      </c>
      <c r="J65" s="4">
        <f>(VLOOKUP('7.0.3'!R65,'7.0.3'!$AM$4:$AO$55,2,FALSE))*IF('7.0.3'!AU$4="是",'7.0.3'!$AY$4,'7.0.3'!$AY$3)</f>
        <v>190</v>
      </c>
      <c r="K65" s="4">
        <f>(VLOOKUP('7.0.3'!S65,'7.0.3'!$AM$4:$AO$55,2,FALSE))*IF('7.0.3'!AV$4="是",'7.0.3'!$AY$4,'7.0.3'!$AY$3)</f>
        <v>190</v>
      </c>
      <c r="L65" s="4">
        <f>(VLOOKUP('7.0.3'!T65,'7.0.3'!$AM$4:$AO$55,2,FALSE))*IF('7.0.3'!AW$4="是",'7.0.3'!$AY$4,'7.0.3'!$AY$3)</f>
        <v>-200</v>
      </c>
      <c r="M65" s="4">
        <f>(VLOOKUP('7.0.3'!U65,'7.0.3'!$AM$4:$AO$55,2,FALSE))*IF('7.0.3'!AX$4="是",'7.0.3'!$AY$4,'7.0.3'!$AY$3)</f>
        <v>190</v>
      </c>
      <c r="N65" s="4">
        <f>(VLOOKUP('7.0.3'!V65,'7.0.3'!$AM$4:$AO$55,2,FALSE))*IF('7.0.3'!AY$4="是",'7.0.3'!$AY$4,'7.0.3'!$AY$3)</f>
        <v>190</v>
      </c>
      <c r="O65" s="5">
        <f>(VLOOKUP('7.0.3'!W65,'7.0.3'!$AM$4:$AO$55,2,FALSE))*IF('7.0.3'!AZ$4="是",'7.0.3'!$AY$4,'7.0.3'!$AY$3)</f>
        <v>190</v>
      </c>
      <c r="P65" s="5">
        <f>(VLOOKUP('7.0.3'!X65,'7.0.3'!$AM$4:$AO$55,2,FALSE))*IF('7.0.3'!BA$4="是",'7.0.3'!$AY$4,'7.0.3'!$AY$3)</f>
        <v>190</v>
      </c>
      <c r="Q65" s="4">
        <f>(VLOOKUP('7.0.3'!Y65,'7.0.3'!$AM$4:$AO$55,2,FALSE))*IF('7.0.3'!BB$4="是",'7.0.3'!$AY$4,'7.0.3'!$AY$3)</f>
        <v>0</v>
      </c>
      <c r="R65" s="4">
        <f>(VLOOKUP('7.0.3'!Z65,'7.0.3'!$AM$4:$AO$55,2,FALSE))*IF('7.0.3'!BC$4="是",'7.0.3'!$AY$4,'7.0.3'!$AY$3)</f>
        <v>0</v>
      </c>
      <c r="S65" s="4">
        <f>(VLOOKUP('7.0.3'!AA65,'7.0.3'!$AM$4:$AO$55,2,FALSE))*IF('7.0.3'!BD$4="是",'7.0.3'!$AY$4,'7.0.3'!$AY$3)</f>
        <v>0</v>
      </c>
      <c r="T65" s="4">
        <f>(VLOOKUP('7.0.3'!AB65,'7.0.3'!$AM$4:$AO$55,2,FALSE))*IF('7.0.3'!BE$4="是",'7.0.3'!$AY$4,'7.0.3'!$AY$3)</f>
        <v>0</v>
      </c>
      <c r="U65" s="4">
        <f>(VLOOKUP('7.0.3'!AC65,'7.0.3'!$AM$4:$AO$55,2,FALSE))*IF('7.0.3'!BF$4="是",'7.0.3'!$AY$4,'7.0.3'!$AY$3)</f>
        <v>0</v>
      </c>
      <c r="V65" s="4">
        <f>(VLOOKUP('7.0.3'!AD65,'7.0.3'!$AM$4:$AO$55,2,FALSE))*IF('7.0.3'!BG$4="是",'7.0.3'!$AY$4,'7.0.3'!$AY$3)</f>
        <v>0</v>
      </c>
      <c r="W65" s="5">
        <f>(VLOOKUP('7.0.3'!AE65,'7.0.3'!$AM$4:$AO$55,2,FALSE))*IF('7.0.3'!BH$4="是",'7.0.3'!$AY$4,'7.0.3'!$AY$3)</f>
        <v>0</v>
      </c>
      <c r="X65" s="5">
        <f>(VLOOKUP('7.0.3'!AF65,'7.0.3'!$AM$4:$AO$55,2,FALSE))*IF('7.0.3'!BI$4="是",'7.0.3'!$AY$4,'7.0.3'!$AY$3)</f>
        <v>0</v>
      </c>
    </row>
    <row r="66" spans="1:24">
      <c r="A66" s="4">
        <f>(VLOOKUP('7.0.3'!I66,'7.0.3'!$AM$4:$AO$55,2,FALSE))*IF('7.0.3'!AK$4="是",'7.0.3'!$AY$4,'7.0.3'!$AY$3)</f>
        <v>180</v>
      </c>
      <c r="B66" s="4">
        <f>(VLOOKUP('7.0.3'!J66,'7.0.3'!$AM$4:$AO$55,2,FALSE))*IF('7.0.3'!AL$4="是",'7.0.3'!$AY$4,'7.0.3'!$AY$3)</f>
        <v>180</v>
      </c>
      <c r="C66" s="4">
        <f>(VLOOKUP('7.0.3'!K66,'7.0.3'!$AM$4:$AO$55,2,FALSE))*IF('7.0.3'!AM$4="是",'7.0.3'!$AY$4,'7.0.3'!$AY$3)</f>
        <v>180</v>
      </c>
      <c r="D66" s="4">
        <f>(VLOOKUP('7.0.3'!L66,'7.0.3'!$AM$4:$AO$55,2,FALSE))*IF('7.0.3'!AN$4="是",'7.0.3'!$AY$4,'7.0.3'!$AY$3)</f>
        <v>180</v>
      </c>
      <c r="E66" s="4">
        <f>(VLOOKUP('7.0.3'!M66,'7.0.3'!$AM$4:$AO$55,2,FALSE))*IF('7.0.3'!AO$4="是",'7.0.3'!$AY$4,'7.0.3'!$AY$3)</f>
        <v>180</v>
      </c>
      <c r="F66" s="4">
        <f>(VLOOKUP('7.0.3'!N66,'7.0.3'!$AM$4:$AO$55,2,FALSE))*IF('7.0.3'!AQ$4="是",'7.0.3'!$AY$4,'7.0.3'!$AY$3)</f>
        <v>0</v>
      </c>
      <c r="G66" s="5">
        <f>(VLOOKUP('7.0.3'!O66,'7.0.3'!$AM$4:$AO$55,2,FALSE))*IF('7.0.3'!AR$4="是",'7.0.3'!$AY$4,'7.0.3'!$AY$3)</f>
        <v>0</v>
      </c>
      <c r="H66" s="5">
        <f>(VLOOKUP('7.0.3'!P66,'7.0.3'!$AM$4:$AO$55,2,FALSE))*IF('7.0.3'!AS$4="是",'7.0.3'!$AY$4,'7.0.3'!$AY$3)</f>
        <v>0</v>
      </c>
      <c r="I66" s="4">
        <f>(VLOOKUP('7.0.3'!Q66,'7.0.3'!$AM$4:$AO$55,2,FALSE))*IF('7.0.3'!AT$4="是",'7.0.3'!$AY$4,'7.0.3'!$AY$3)</f>
        <v>190</v>
      </c>
      <c r="J66" s="4">
        <f>(VLOOKUP('7.0.3'!R66,'7.0.3'!$AM$4:$AO$55,2,FALSE))*IF('7.0.3'!AU$4="是",'7.0.3'!$AY$4,'7.0.3'!$AY$3)</f>
        <v>190</v>
      </c>
      <c r="K66" s="4">
        <f>(VLOOKUP('7.0.3'!S66,'7.0.3'!$AM$4:$AO$55,2,FALSE))*IF('7.0.3'!AV$4="是",'7.0.3'!$AY$4,'7.0.3'!$AY$3)</f>
        <v>190</v>
      </c>
      <c r="L66" s="4">
        <f>(VLOOKUP('7.0.3'!T66,'7.0.3'!$AM$4:$AO$55,2,FALSE))*IF('7.0.3'!AW$4="是",'7.0.3'!$AY$4,'7.0.3'!$AY$3)</f>
        <v>190</v>
      </c>
      <c r="M66" s="4">
        <f>(VLOOKUP('7.0.3'!U66,'7.0.3'!$AM$4:$AO$55,2,FALSE))*IF('7.0.3'!AX$4="是",'7.0.3'!$AY$4,'7.0.3'!$AY$3)</f>
        <v>190</v>
      </c>
      <c r="N66" s="4">
        <f>(VLOOKUP('7.0.3'!V66,'7.0.3'!$AM$4:$AO$55,2,FALSE))*IF('7.0.3'!AY$4="是",'7.0.3'!$AY$4,'7.0.3'!$AY$3)</f>
        <v>190</v>
      </c>
      <c r="O66" s="5">
        <f>(VLOOKUP('7.0.3'!W66,'7.0.3'!$AM$4:$AO$55,2,FALSE))*IF('7.0.3'!AZ$4="是",'7.0.3'!$AY$4,'7.0.3'!$AY$3)</f>
        <v>0</v>
      </c>
      <c r="P66" s="5">
        <f>(VLOOKUP('7.0.3'!X66,'7.0.3'!$AM$4:$AO$55,2,FALSE))*IF('7.0.3'!BA$4="是",'7.0.3'!$AY$4,'7.0.3'!$AY$3)</f>
        <v>0</v>
      </c>
      <c r="Q66" s="4">
        <f>(VLOOKUP('7.0.3'!Y66,'7.0.3'!$AM$4:$AO$55,2,FALSE))*IF('7.0.3'!BB$4="是",'7.0.3'!$AY$4,'7.0.3'!$AY$3)</f>
        <v>0</v>
      </c>
      <c r="R66" s="4">
        <f>(VLOOKUP('7.0.3'!Z66,'7.0.3'!$AM$4:$AO$55,2,FALSE))*IF('7.0.3'!BC$4="是",'7.0.3'!$AY$4,'7.0.3'!$AY$3)</f>
        <v>0</v>
      </c>
      <c r="S66" s="4">
        <f>(VLOOKUP('7.0.3'!AA66,'7.0.3'!$AM$4:$AO$55,2,FALSE))*IF('7.0.3'!BD$4="是",'7.0.3'!$AY$4,'7.0.3'!$AY$3)</f>
        <v>0</v>
      </c>
      <c r="T66" s="4">
        <f>(VLOOKUP('7.0.3'!AB66,'7.0.3'!$AM$4:$AO$55,2,FALSE))*IF('7.0.3'!BE$4="是",'7.0.3'!$AY$4,'7.0.3'!$AY$3)</f>
        <v>0</v>
      </c>
      <c r="U66" s="4">
        <f>(VLOOKUP('7.0.3'!AC66,'7.0.3'!$AM$4:$AO$55,2,FALSE))*IF('7.0.3'!BF$4="是",'7.0.3'!$AY$4,'7.0.3'!$AY$3)</f>
        <v>0</v>
      </c>
      <c r="V66" s="4">
        <f>(VLOOKUP('7.0.3'!AD66,'7.0.3'!$AM$4:$AO$55,2,FALSE))*IF('7.0.3'!BG$4="是",'7.0.3'!$AY$4,'7.0.3'!$AY$3)</f>
        <v>0</v>
      </c>
      <c r="W66" s="5">
        <f>(VLOOKUP('7.0.3'!AE66,'7.0.3'!$AM$4:$AO$55,2,FALSE))*IF('7.0.3'!BH$4="是",'7.0.3'!$AY$4,'7.0.3'!$AY$3)</f>
        <v>0</v>
      </c>
      <c r="X66" s="5">
        <f>(VLOOKUP('7.0.3'!AF66,'7.0.3'!$AM$4:$AO$55,2,FALSE))*IF('7.0.3'!BI$4="是",'7.0.3'!$AY$4,'7.0.3'!$AY$3)</f>
        <v>0</v>
      </c>
    </row>
    <row r="67" spans="1:24">
      <c r="A67" s="4">
        <f>(VLOOKUP('7.0.3'!I67,'7.0.3'!$AM$4:$AO$55,2,FALSE))*IF('7.0.3'!AK$4="是",'7.0.3'!$AY$4,'7.0.3'!$AY$3)</f>
        <v>180</v>
      </c>
      <c r="B67" s="4">
        <f>(VLOOKUP('7.0.3'!J67,'7.0.3'!$AM$4:$AO$55,2,FALSE))*IF('7.0.3'!AL$4="是",'7.0.3'!$AY$4,'7.0.3'!$AY$3)</f>
        <v>50</v>
      </c>
      <c r="C67" s="4">
        <f>(VLOOKUP('7.0.3'!K67,'7.0.3'!$AM$4:$AO$55,2,FALSE))*IF('7.0.3'!AM$4="是",'7.0.3'!$AY$4,'7.0.3'!$AY$3)</f>
        <v>180</v>
      </c>
      <c r="D67" s="4">
        <f>(VLOOKUP('7.0.3'!L67,'7.0.3'!$AM$4:$AO$55,2,FALSE))*IF('7.0.3'!AN$4="是",'7.0.3'!$AY$4,'7.0.3'!$AY$3)</f>
        <v>180</v>
      </c>
      <c r="E67" s="4">
        <f>(VLOOKUP('7.0.3'!M67,'7.0.3'!$AM$4:$AO$55,2,FALSE))*IF('7.0.3'!AO$4="是",'7.0.3'!$AY$4,'7.0.3'!$AY$3)</f>
        <v>180</v>
      </c>
      <c r="F67" s="4">
        <f>(VLOOKUP('7.0.3'!N67,'7.0.3'!$AM$4:$AO$55,2,FALSE))*IF('7.0.3'!AQ$4="是",'7.0.3'!$AY$4,'7.0.3'!$AY$3)</f>
        <v>180</v>
      </c>
      <c r="G67" s="5">
        <f>(VLOOKUP('7.0.3'!O67,'7.0.3'!$AM$4:$AO$55,2,FALSE))*IF('7.0.3'!AR$4="是",'7.0.3'!$AY$4,'7.0.3'!$AY$3)</f>
        <v>0</v>
      </c>
      <c r="H67" s="5">
        <f>(VLOOKUP('7.0.3'!P67,'7.0.3'!$AM$4:$AO$55,2,FALSE))*IF('7.0.3'!AS$4="是",'7.0.3'!$AY$4,'7.0.3'!$AY$3)</f>
        <v>0</v>
      </c>
      <c r="I67" s="4">
        <f>(VLOOKUP('7.0.3'!Q67,'7.0.3'!$AM$4:$AO$55,2,FALSE))*IF('7.0.3'!AT$4="是",'7.0.3'!$AY$4,'7.0.3'!$AY$3)</f>
        <v>180</v>
      </c>
      <c r="J67" s="4">
        <f>(VLOOKUP('7.0.3'!R67,'7.0.3'!$AM$4:$AO$55,2,FALSE))*IF('7.0.3'!AU$4="是",'7.0.3'!$AY$4,'7.0.3'!$AY$3)</f>
        <v>180</v>
      </c>
      <c r="K67" s="4">
        <f>(VLOOKUP('7.0.3'!S67,'7.0.3'!$AM$4:$AO$55,2,FALSE))*IF('7.0.3'!AV$4="是",'7.0.3'!$AY$4,'7.0.3'!$AY$3)</f>
        <v>150</v>
      </c>
      <c r="L67" s="4">
        <f>(VLOOKUP('7.0.3'!T67,'7.0.3'!$AM$4:$AO$55,2,FALSE))*IF('7.0.3'!AW$4="是",'7.0.3'!$AY$4,'7.0.3'!$AY$3)</f>
        <v>190</v>
      </c>
      <c r="M67" s="4">
        <f>(VLOOKUP('7.0.3'!U67,'7.0.3'!$AM$4:$AO$55,2,FALSE))*IF('7.0.3'!AX$4="是",'7.0.3'!$AY$4,'7.0.3'!$AY$3)</f>
        <v>190</v>
      </c>
      <c r="N67" s="4">
        <f>(VLOOKUP('7.0.3'!V67,'7.0.3'!$AM$4:$AO$55,2,FALSE))*IF('7.0.3'!AY$4="是",'7.0.3'!$AY$4,'7.0.3'!$AY$3)</f>
        <v>180</v>
      </c>
      <c r="O67" s="5">
        <f>(VLOOKUP('7.0.3'!W67,'7.0.3'!$AM$4:$AO$55,2,FALSE))*IF('7.0.3'!AZ$4="是",'7.0.3'!$AY$4,'7.0.3'!$AY$3)</f>
        <v>0</v>
      </c>
      <c r="P67" s="5">
        <f>(VLOOKUP('7.0.3'!X67,'7.0.3'!$AM$4:$AO$55,2,FALSE))*IF('7.0.3'!BA$4="是",'7.0.3'!$AY$4,'7.0.3'!$AY$3)</f>
        <v>0</v>
      </c>
      <c r="Q67" s="4">
        <f>(VLOOKUP('7.0.3'!Y67,'7.0.3'!$AM$4:$AO$55,2,FALSE))*IF('7.0.3'!BB$4="是",'7.0.3'!$AY$4,'7.0.3'!$AY$3)</f>
        <v>0</v>
      </c>
      <c r="R67" s="4">
        <f>(VLOOKUP('7.0.3'!Z67,'7.0.3'!$AM$4:$AO$55,2,FALSE))*IF('7.0.3'!BC$4="是",'7.0.3'!$AY$4,'7.0.3'!$AY$3)</f>
        <v>0</v>
      </c>
      <c r="S67" s="4">
        <f>(VLOOKUP('7.0.3'!AA67,'7.0.3'!$AM$4:$AO$55,2,FALSE))*IF('7.0.3'!BD$4="是",'7.0.3'!$AY$4,'7.0.3'!$AY$3)</f>
        <v>0</v>
      </c>
      <c r="T67" s="4">
        <f>(VLOOKUP('7.0.3'!AB67,'7.0.3'!$AM$4:$AO$55,2,FALSE))*IF('7.0.3'!BE$4="是",'7.0.3'!$AY$4,'7.0.3'!$AY$3)</f>
        <v>0</v>
      </c>
      <c r="U67" s="4">
        <f>(VLOOKUP('7.0.3'!AC67,'7.0.3'!$AM$4:$AO$55,2,FALSE))*IF('7.0.3'!BF$4="是",'7.0.3'!$AY$4,'7.0.3'!$AY$3)</f>
        <v>0</v>
      </c>
      <c r="V67" s="4">
        <f>(VLOOKUP('7.0.3'!AD67,'7.0.3'!$AM$4:$AO$55,2,FALSE))*IF('7.0.3'!BG$4="是",'7.0.3'!$AY$4,'7.0.3'!$AY$3)</f>
        <v>0</v>
      </c>
      <c r="W67" s="5">
        <f>(VLOOKUP('7.0.3'!AE67,'7.0.3'!$AM$4:$AO$55,2,FALSE))*IF('7.0.3'!BH$4="是",'7.0.3'!$AY$4,'7.0.3'!$AY$3)</f>
        <v>0</v>
      </c>
      <c r="X67" s="5">
        <f>(VLOOKUP('7.0.3'!AF67,'7.0.3'!$AM$4:$AO$55,2,FALSE))*IF('7.0.3'!BI$4="是",'7.0.3'!$AY$4,'7.0.3'!$AY$3)</f>
        <v>0</v>
      </c>
    </row>
    <row r="68" spans="1:24">
      <c r="A68" s="4">
        <f>(VLOOKUP('7.0.3'!I68,'7.0.3'!$AM$4:$AO$55,2,FALSE))*IF('7.0.3'!AK$4="是",'7.0.3'!$AY$4,'7.0.3'!$AY$3)</f>
        <v>180</v>
      </c>
      <c r="B68" s="4">
        <f>(VLOOKUP('7.0.3'!J68,'7.0.3'!$AM$4:$AO$55,2,FALSE))*IF('7.0.3'!AL$4="是",'7.0.3'!$AY$4,'7.0.3'!$AY$3)</f>
        <v>180</v>
      </c>
      <c r="C68" s="4">
        <f>(VLOOKUP('7.0.3'!K68,'7.0.3'!$AM$4:$AO$55,2,FALSE))*IF('7.0.3'!AM$4="是",'7.0.3'!$AY$4,'7.0.3'!$AY$3)</f>
        <v>250</v>
      </c>
      <c r="D68" s="4">
        <f>(VLOOKUP('7.0.3'!L68,'7.0.3'!$AM$4:$AO$55,2,FALSE))*IF('7.0.3'!AN$4="是",'7.0.3'!$AY$4,'7.0.3'!$AY$3)</f>
        <v>180</v>
      </c>
      <c r="E68" s="4">
        <f>(VLOOKUP('7.0.3'!M68,'7.0.3'!$AM$4:$AO$55,2,FALSE))*IF('7.0.3'!AO$4="是",'7.0.3'!$AY$4,'7.0.3'!$AY$3)</f>
        <v>0</v>
      </c>
      <c r="F68" s="4">
        <f>(VLOOKUP('7.0.3'!N68,'7.0.3'!$AM$4:$AO$55,2,FALSE))*IF('7.0.3'!AQ$4="是",'7.0.3'!$AY$4,'7.0.3'!$AY$3)</f>
        <v>0</v>
      </c>
      <c r="G68" s="5">
        <f>(VLOOKUP('7.0.3'!O68,'7.0.3'!$AM$4:$AO$55,2,FALSE))*IF('7.0.3'!AR$4="是",'7.0.3'!$AY$4,'7.0.3'!$AY$3)</f>
        <v>0</v>
      </c>
      <c r="H68" s="5">
        <f>(VLOOKUP('7.0.3'!P68,'7.0.3'!$AM$4:$AO$55,2,FALSE))*IF('7.0.3'!AS$4="是",'7.0.3'!$AY$4,'7.0.3'!$AY$3)</f>
        <v>0</v>
      </c>
      <c r="I68" s="4">
        <f>(VLOOKUP('7.0.3'!Q68,'7.0.3'!$AM$4:$AO$55,2,FALSE))*IF('7.0.3'!AT$4="是",'7.0.3'!$AY$4,'7.0.3'!$AY$3)</f>
        <v>180</v>
      </c>
      <c r="J68" s="4">
        <f>(VLOOKUP('7.0.3'!R68,'7.0.3'!$AM$4:$AO$55,2,FALSE))*IF('7.0.3'!AU$4="是",'7.0.3'!$AY$4,'7.0.3'!$AY$3)</f>
        <v>180</v>
      </c>
      <c r="K68" s="4">
        <f>(VLOOKUP('7.0.3'!S68,'7.0.3'!$AM$4:$AO$55,2,FALSE))*IF('7.0.3'!AV$4="是",'7.0.3'!$AY$4,'7.0.3'!$AY$3)</f>
        <v>180</v>
      </c>
      <c r="L68" s="4">
        <f>(VLOOKUP('7.0.3'!T68,'7.0.3'!$AM$4:$AO$55,2,FALSE))*IF('7.0.3'!AW$4="是",'7.0.3'!$AY$4,'7.0.3'!$AY$3)</f>
        <v>180</v>
      </c>
      <c r="M68" s="4">
        <f>(VLOOKUP('7.0.3'!U68,'7.0.3'!$AM$4:$AO$55,2,FALSE))*IF('7.0.3'!AX$4="是",'7.0.3'!$AY$4,'7.0.3'!$AY$3)</f>
        <v>180</v>
      </c>
      <c r="N68" s="4">
        <f>(VLOOKUP('7.0.3'!V68,'7.0.3'!$AM$4:$AO$55,2,FALSE))*IF('7.0.3'!AY$4="是",'7.0.3'!$AY$4,'7.0.3'!$AY$3)</f>
        <v>180</v>
      </c>
      <c r="O68" s="5">
        <f>(VLOOKUP('7.0.3'!W68,'7.0.3'!$AM$4:$AO$55,2,FALSE))*IF('7.0.3'!AZ$4="是",'7.0.3'!$AY$4,'7.0.3'!$AY$3)</f>
        <v>0</v>
      </c>
      <c r="P68" s="5">
        <f>(VLOOKUP('7.0.3'!X68,'7.0.3'!$AM$4:$AO$55,2,FALSE))*IF('7.0.3'!BA$4="是",'7.0.3'!$AY$4,'7.0.3'!$AY$3)</f>
        <v>0</v>
      </c>
      <c r="Q68" s="4">
        <f>(VLOOKUP('7.0.3'!Y68,'7.0.3'!$AM$4:$AO$55,2,FALSE))*IF('7.0.3'!BB$4="是",'7.0.3'!$AY$4,'7.0.3'!$AY$3)</f>
        <v>0</v>
      </c>
      <c r="R68" s="4">
        <f>(VLOOKUP('7.0.3'!Z68,'7.0.3'!$AM$4:$AO$55,2,FALSE))*IF('7.0.3'!BC$4="是",'7.0.3'!$AY$4,'7.0.3'!$AY$3)</f>
        <v>0</v>
      </c>
      <c r="S68" s="4">
        <f>(VLOOKUP('7.0.3'!AA68,'7.0.3'!$AM$4:$AO$55,2,FALSE))*IF('7.0.3'!BD$4="是",'7.0.3'!$AY$4,'7.0.3'!$AY$3)</f>
        <v>0</v>
      </c>
      <c r="T68" s="4">
        <f>(VLOOKUP('7.0.3'!AB68,'7.0.3'!$AM$4:$AO$55,2,FALSE))*IF('7.0.3'!BE$4="是",'7.0.3'!$AY$4,'7.0.3'!$AY$3)</f>
        <v>0</v>
      </c>
      <c r="U68" s="4">
        <f>(VLOOKUP('7.0.3'!AC68,'7.0.3'!$AM$4:$AO$55,2,FALSE))*IF('7.0.3'!BF$4="是",'7.0.3'!$AY$4,'7.0.3'!$AY$3)</f>
        <v>0</v>
      </c>
      <c r="V68" s="4">
        <f>(VLOOKUP('7.0.3'!AD68,'7.0.3'!$AM$4:$AO$55,2,FALSE))*IF('7.0.3'!BG$4="是",'7.0.3'!$AY$4,'7.0.3'!$AY$3)</f>
        <v>0</v>
      </c>
      <c r="W68" s="5">
        <f>(VLOOKUP('7.0.3'!AE68,'7.0.3'!$AM$4:$AO$55,2,FALSE))*IF('7.0.3'!BH$4="是",'7.0.3'!$AY$4,'7.0.3'!$AY$3)</f>
        <v>0</v>
      </c>
      <c r="X68" s="5">
        <f>(VLOOKUP('7.0.3'!AF68,'7.0.3'!$AM$4:$AO$55,2,FALSE))*IF('7.0.3'!BI$4="是",'7.0.3'!$AY$4,'7.0.3'!$AY$3)</f>
        <v>0</v>
      </c>
    </row>
    <row r="69" spans="1:24">
      <c r="A69" s="4">
        <f>(VLOOKUP('7.0.3'!I69,'7.0.3'!$AM$4:$AO$55,2,FALSE))*IF('7.0.3'!AK$4="是",'7.0.3'!$AY$4,'7.0.3'!$AY$3)</f>
        <v>180</v>
      </c>
      <c r="B69" s="4">
        <f>(VLOOKUP('7.0.3'!J69,'7.0.3'!$AM$4:$AO$55,2,FALSE))*IF('7.0.3'!AL$4="是",'7.0.3'!$AY$4,'7.0.3'!$AY$3)</f>
        <v>180</v>
      </c>
      <c r="C69" s="4">
        <f>(VLOOKUP('7.0.3'!K69,'7.0.3'!$AM$4:$AO$55,2,FALSE))*IF('7.0.3'!AM$4="是",'7.0.3'!$AY$4,'7.0.3'!$AY$3)</f>
        <v>180</v>
      </c>
      <c r="D69" s="4">
        <f>(VLOOKUP('7.0.3'!L69,'7.0.3'!$AM$4:$AO$55,2,FALSE))*IF('7.0.3'!AN$4="是",'7.0.3'!$AY$4,'7.0.3'!$AY$3)</f>
        <v>180</v>
      </c>
      <c r="E69" s="4">
        <f>(VLOOKUP('7.0.3'!M69,'7.0.3'!$AM$4:$AO$55,2,FALSE))*IF('7.0.3'!AO$4="是",'7.0.3'!$AY$4,'7.0.3'!$AY$3)</f>
        <v>150</v>
      </c>
      <c r="F69" s="4">
        <f>(VLOOKUP('7.0.3'!N69,'7.0.3'!$AM$4:$AO$55,2,FALSE))*IF('7.0.3'!AQ$4="是",'7.0.3'!$AY$4,'7.0.3'!$AY$3)</f>
        <v>0</v>
      </c>
      <c r="G69" s="5">
        <f>(VLOOKUP('7.0.3'!O69,'7.0.3'!$AM$4:$AO$55,2,FALSE))*IF('7.0.3'!AR$4="是",'7.0.3'!$AY$4,'7.0.3'!$AY$3)</f>
        <v>0</v>
      </c>
      <c r="H69" s="5">
        <f>(VLOOKUP('7.0.3'!P69,'7.0.3'!$AM$4:$AO$55,2,FALSE))*IF('7.0.3'!AS$4="是",'7.0.3'!$AY$4,'7.0.3'!$AY$3)</f>
        <v>0</v>
      </c>
      <c r="I69" s="4">
        <f>(VLOOKUP('7.0.3'!Q69,'7.0.3'!$AM$4:$AO$55,2,FALSE))*IF('7.0.3'!AT$4="是",'7.0.3'!$AY$4,'7.0.3'!$AY$3)</f>
        <v>180</v>
      </c>
      <c r="J69" s="4">
        <f>(VLOOKUP('7.0.3'!R69,'7.0.3'!$AM$4:$AO$55,2,FALSE))*IF('7.0.3'!AU$4="是",'7.0.3'!$AY$4,'7.0.3'!$AY$3)</f>
        <v>180</v>
      </c>
      <c r="K69" s="4">
        <f>(VLOOKUP('7.0.3'!S69,'7.0.3'!$AM$4:$AO$55,2,FALSE))*IF('7.0.3'!AV$4="是",'7.0.3'!$AY$4,'7.0.3'!$AY$3)</f>
        <v>180</v>
      </c>
      <c r="L69" s="4">
        <f>(VLOOKUP('7.0.3'!T69,'7.0.3'!$AM$4:$AO$55,2,FALSE))*IF('7.0.3'!AW$4="是",'7.0.3'!$AY$4,'7.0.3'!$AY$3)</f>
        <v>180</v>
      </c>
      <c r="M69" s="4">
        <f>(VLOOKUP('7.0.3'!U69,'7.0.3'!$AM$4:$AO$55,2,FALSE))*IF('7.0.3'!AX$4="是",'7.0.3'!$AY$4,'7.0.3'!$AY$3)</f>
        <v>180</v>
      </c>
      <c r="N69" s="4">
        <f>(VLOOKUP('7.0.3'!V69,'7.0.3'!$AM$4:$AO$55,2,FALSE))*IF('7.0.3'!AY$4="是",'7.0.3'!$AY$4,'7.0.3'!$AY$3)</f>
        <v>250</v>
      </c>
      <c r="O69" s="5">
        <f>(VLOOKUP('7.0.3'!W69,'7.0.3'!$AM$4:$AO$55,2,FALSE))*IF('7.0.3'!AZ$4="是",'7.0.3'!$AY$4,'7.0.3'!$AY$3)</f>
        <v>0</v>
      </c>
      <c r="P69" s="5">
        <f>(VLOOKUP('7.0.3'!X69,'7.0.3'!$AM$4:$AO$55,2,FALSE))*IF('7.0.3'!BA$4="是",'7.0.3'!$AY$4,'7.0.3'!$AY$3)</f>
        <v>0</v>
      </c>
      <c r="Q69" s="4">
        <f>(VLOOKUP('7.0.3'!Y69,'7.0.3'!$AM$4:$AO$55,2,FALSE))*IF('7.0.3'!BB$4="是",'7.0.3'!$AY$4,'7.0.3'!$AY$3)</f>
        <v>0</v>
      </c>
      <c r="R69" s="4">
        <f>(VLOOKUP('7.0.3'!Z69,'7.0.3'!$AM$4:$AO$55,2,FALSE))*IF('7.0.3'!BC$4="是",'7.0.3'!$AY$4,'7.0.3'!$AY$3)</f>
        <v>0</v>
      </c>
      <c r="S69" s="4">
        <f>(VLOOKUP('7.0.3'!AA69,'7.0.3'!$AM$4:$AO$55,2,FALSE))*IF('7.0.3'!BD$4="是",'7.0.3'!$AY$4,'7.0.3'!$AY$3)</f>
        <v>0</v>
      </c>
      <c r="T69" s="4">
        <f>(VLOOKUP('7.0.3'!AB69,'7.0.3'!$AM$4:$AO$55,2,FALSE))*IF('7.0.3'!BE$4="是",'7.0.3'!$AY$4,'7.0.3'!$AY$3)</f>
        <v>0</v>
      </c>
      <c r="U69" s="4">
        <f>(VLOOKUP('7.0.3'!AC69,'7.0.3'!$AM$4:$AO$55,2,FALSE))*IF('7.0.3'!BF$4="是",'7.0.3'!$AY$4,'7.0.3'!$AY$3)</f>
        <v>0</v>
      </c>
      <c r="V69" s="4">
        <f>(VLOOKUP('7.0.3'!AD69,'7.0.3'!$AM$4:$AO$55,2,FALSE))*IF('7.0.3'!BG$4="是",'7.0.3'!$AY$4,'7.0.3'!$AY$3)</f>
        <v>0</v>
      </c>
      <c r="W69" s="5">
        <f>(VLOOKUP('7.0.3'!AE69,'7.0.3'!$AM$4:$AO$55,2,FALSE))*IF('7.0.3'!BH$4="是",'7.0.3'!$AY$4,'7.0.3'!$AY$3)</f>
        <v>0</v>
      </c>
      <c r="X69" s="5">
        <f>(VLOOKUP('7.0.3'!AF69,'7.0.3'!$AM$4:$AO$55,2,FALSE))*IF('7.0.3'!BI$4="是",'7.0.3'!$AY$4,'7.0.3'!$AY$3)</f>
        <v>0</v>
      </c>
    </row>
    <row r="70" spans="1:24">
      <c r="A70" s="4">
        <f>(VLOOKUP('7.0.3'!I70,'7.0.3'!$AM$4:$AO$55,2,FALSE))*IF('7.0.3'!AK$4="是",'7.0.3'!$AY$4,'7.0.3'!$AY$3)</f>
        <v>180</v>
      </c>
      <c r="B70" s="4">
        <f>(VLOOKUP('7.0.3'!J70,'7.0.3'!$AM$4:$AO$55,2,FALSE))*IF('7.0.3'!AL$4="是",'7.0.3'!$AY$4,'7.0.3'!$AY$3)</f>
        <v>180</v>
      </c>
      <c r="C70" s="4">
        <f>(VLOOKUP('7.0.3'!K70,'7.0.3'!$AM$4:$AO$55,2,FALSE))*IF('7.0.3'!AM$4="是",'7.0.3'!$AY$4,'7.0.3'!$AY$3)</f>
        <v>180</v>
      </c>
      <c r="D70" s="4">
        <f>(VLOOKUP('7.0.3'!L70,'7.0.3'!$AM$4:$AO$55,2,FALSE))*IF('7.0.3'!AN$4="是",'7.0.3'!$AY$4,'7.0.3'!$AY$3)</f>
        <v>180</v>
      </c>
      <c r="E70" s="4">
        <f>(VLOOKUP('7.0.3'!M70,'7.0.3'!$AM$4:$AO$55,2,FALSE))*IF('7.0.3'!AO$4="是",'7.0.3'!$AY$4,'7.0.3'!$AY$3)</f>
        <v>180</v>
      </c>
      <c r="F70" s="4">
        <f>(VLOOKUP('7.0.3'!N70,'7.0.3'!$AM$4:$AO$55,2,FALSE))*IF('7.0.3'!AQ$4="是",'7.0.3'!$AY$4,'7.0.3'!$AY$3)</f>
        <v>0</v>
      </c>
      <c r="G70" s="5">
        <f>(VLOOKUP('7.0.3'!O70,'7.0.3'!$AM$4:$AO$55,2,FALSE))*IF('7.0.3'!AR$4="是",'7.0.3'!$AY$4,'7.0.3'!$AY$3)</f>
        <v>0</v>
      </c>
      <c r="H70" s="5">
        <f>(VLOOKUP('7.0.3'!P70,'7.0.3'!$AM$4:$AO$55,2,FALSE))*IF('7.0.3'!AS$4="是",'7.0.3'!$AY$4,'7.0.3'!$AY$3)</f>
        <v>0</v>
      </c>
      <c r="I70" s="4">
        <f>(VLOOKUP('7.0.3'!Q70,'7.0.3'!$AM$4:$AO$55,2,FALSE))*IF('7.0.3'!AT$4="是",'7.0.3'!$AY$4,'7.0.3'!$AY$3)</f>
        <v>180</v>
      </c>
      <c r="J70" s="4">
        <f>(VLOOKUP('7.0.3'!R70,'7.0.3'!$AM$4:$AO$55,2,FALSE))*IF('7.0.3'!AU$4="是",'7.0.3'!$AY$4,'7.0.3'!$AY$3)</f>
        <v>180</v>
      </c>
      <c r="K70" s="4">
        <f>(VLOOKUP('7.0.3'!S70,'7.0.3'!$AM$4:$AO$55,2,FALSE))*IF('7.0.3'!AV$4="是",'7.0.3'!$AY$4,'7.0.3'!$AY$3)</f>
        <v>180</v>
      </c>
      <c r="L70" s="4">
        <f>(VLOOKUP('7.0.3'!T70,'7.0.3'!$AM$4:$AO$55,2,FALSE))*IF('7.0.3'!AW$4="是",'7.0.3'!$AY$4,'7.0.3'!$AY$3)</f>
        <v>180</v>
      </c>
      <c r="M70" s="4">
        <f>(VLOOKUP('7.0.3'!U70,'7.0.3'!$AM$4:$AO$55,2,FALSE))*IF('7.0.3'!AX$4="是",'7.0.3'!$AY$4,'7.0.3'!$AY$3)</f>
        <v>180</v>
      </c>
      <c r="N70" s="4">
        <f>(VLOOKUP('7.0.3'!V70,'7.0.3'!$AM$4:$AO$55,2,FALSE))*IF('7.0.3'!AY$4="是",'7.0.3'!$AY$4,'7.0.3'!$AY$3)</f>
        <v>180</v>
      </c>
      <c r="O70" s="5">
        <f>(VLOOKUP('7.0.3'!W70,'7.0.3'!$AM$4:$AO$55,2,FALSE))*IF('7.0.3'!AZ$4="是",'7.0.3'!$AY$4,'7.0.3'!$AY$3)</f>
        <v>0</v>
      </c>
      <c r="P70" s="5">
        <f>(VLOOKUP('7.0.3'!X70,'7.0.3'!$AM$4:$AO$55,2,FALSE))*IF('7.0.3'!BA$4="是",'7.0.3'!$AY$4,'7.0.3'!$AY$3)</f>
        <v>0</v>
      </c>
      <c r="Q70" s="4">
        <f>(VLOOKUP('7.0.3'!Y70,'7.0.3'!$AM$4:$AO$55,2,FALSE))*IF('7.0.3'!BB$4="是",'7.0.3'!$AY$4,'7.0.3'!$AY$3)</f>
        <v>0</v>
      </c>
      <c r="R70" s="4">
        <f>(VLOOKUP('7.0.3'!Z70,'7.0.3'!$AM$4:$AO$55,2,FALSE))*IF('7.0.3'!BC$4="是",'7.0.3'!$AY$4,'7.0.3'!$AY$3)</f>
        <v>0</v>
      </c>
      <c r="S70" s="4">
        <f>(VLOOKUP('7.0.3'!AA70,'7.0.3'!$AM$4:$AO$55,2,FALSE))*IF('7.0.3'!BD$4="是",'7.0.3'!$AY$4,'7.0.3'!$AY$3)</f>
        <v>0</v>
      </c>
      <c r="T70" s="4">
        <f>(VLOOKUP('7.0.3'!AB70,'7.0.3'!$AM$4:$AO$55,2,FALSE))*IF('7.0.3'!BE$4="是",'7.0.3'!$AY$4,'7.0.3'!$AY$3)</f>
        <v>0</v>
      </c>
      <c r="U70" s="4">
        <f>(VLOOKUP('7.0.3'!AC70,'7.0.3'!$AM$4:$AO$55,2,FALSE))*IF('7.0.3'!BF$4="是",'7.0.3'!$AY$4,'7.0.3'!$AY$3)</f>
        <v>0</v>
      </c>
      <c r="V70" s="4">
        <f>(VLOOKUP('7.0.3'!AD70,'7.0.3'!$AM$4:$AO$55,2,FALSE))*IF('7.0.3'!BG$4="是",'7.0.3'!$AY$4,'7.0.3'!$AY$3)</f>
        <v>0</v>
      </c>
      <c r="W70" s="5">
        <f>(VLOOKUP('7.0.3'!AE70,'7.0.3'!$AM$4:$AO$55,2,FALSE))*IF('7.0.3'!BH$4="是",'7.0.3'!$AY$4,'7.0.3'!$AY$3)</f>
        <v>0</v>
      </c>
      <c r="X70" s="5">
        <f>(VLOOKUP('7.0.3'!AF70,'7.0.3'!$AM$4:$AO$55,2,FALSE))*IF('7.0.3'!BI$4="是",'7.0.3'!$AY$4,'7.0.3'!$AY$3)</f>
        <v>0</v>
      </c>
    </row>
    <row r="71" spans="1:24">
      <c r="A71" s="4">
        <f>(VLOOKUP('7.0.3'!I71,'7.0.3'!$AM$4:$AO$55,2,FALSE))*IF('7.0.3'!AK$4="是",'7.0.3'!$AY$4,'7.0.3'!$AY$3)</f>
        <v>180</v>
      </c>
      <c r="B71" s="4">
        <f>(VLOOKUP('7.0.3'!J71,'7.0.3'!$AM$4:$AO$55,2,FALSE))*IF('7.0.3'!AL$4="是",'7.0.3'!$AY$4,'7.0.3'!$AY$3)</f>
        <v>180</v>
      </c>
      <c r="C71" s="4">
        <f>(VLOOKUP('7.0.3'!K71,'7.0.3'!$AM$4:$AO$55,2,FALSE))*IF('7.0.3'!AM$4="是",'7.0.3'!$AY$4,'7.0.3'!$AY$3)</f>
        <v>180</v>
      </c>
      <c r="D71" s="4">
        <f>(VLOOKUP('7.0.3'!L71,'7.0.3'!$AM$4:$AO$55,2,FALSE))*IF('7.0.3'!AN$4="是",'7.0.3'!$AY$4,'7.0.3'!$AY$3)</f>
        <v>180</v>
      </c>
      <c r="E71" s="4">
        <f>(VLOOKUP('7.0.3'!M71,'7.0.3'!$AM$4:$AO$55,2,FALSE))*IF('7.0.3'!AO$4="是",'7.0.3'!$AY$4,'7.0.3'!$AY$3)</f>
        <v>180</v>
      </c>
      <c r="F71" s="4">
        <f>(VLOOKUP('7.0.3'!N71,'7.0.3'!$AM$4:$AO$55,2,FALSE))*IF('7.0.3'!AQ$4="是",'7.0.3'!$AY$4,'7.0.3'!$AY$3)</f>
        <v>180</v>
      </c>
      <c r="G71" s="5">
        <f>(VLOOKUP('7.0.3'!O71,'7.0.3'!$AM$4:$AO$55,2,FALSE))*IF('7.0.3'!AR$4="是",'7.0.3'!$AY$4,'7.0.3'!$AY$3)</f>
        <v>0</v>
      </c>
      <c r="H71" s="5">
        <f>(VLOOKUP('7.0.3'!P71,'7.0.3'!$AM$4:$AO$55,2,FALSE))*IF('7.0.3'!AS$4="是",'7.0.3'!$AY$4,'7.0.3'!$AY$3)</f>
        <v>0</v>
      </c>
      <c r="I71" s="4">
        <f>(VLOOKUP('7.0.3'!Q71,'7.0.3'!$AM$4:$AO$55,2,FALSE))*IF('7.0.3'!AT$4="是",'7.0.3'!$AY$4,'7.0.3'!$AY$3)</f>
        <v>180</v>
      </c>
      <c r="J71" s="4">
        <f>(VLOOKUP('7.0.3'!R71,'7.0.3'!$AM$4:$AO$55,2,FALSE))*IF('7.0.3'!AU$4="是",'7.0.3'!$AY$4,'7.0.3'!$AY$3)</f>
        <v>50</v>
      </c>
      <c r="K71" s="4">
        <f>(VLOOKUP('7.0.3'!S71,'7.0.3'!$AM$4:$AO$55,2,FALSE))*IF('7.0.3'!AV$4="是",'7.0.3'!$AY$4,'7.0.3'!$AY$3)</f>
        <v>180</v>
      </c>
      <c r="L71" s="4">
        <f>(VLOOKUP('7.0.3'!T71,'7.0.3'!$AM$4:$AO$55,2,FALSE))*IF('7.0.3'!AW$4="是",'7.0.3'!$AY$4,'7.0.3'!$AY$3)</f>
        <v>180</v>
      </c>
      <c r="M71" s="4">
        <f>(VLOOKUP('7.0.3'!U71,'7.0.3'!$AM$4:$AO$55,2,FALSE))*IF('7.0.3'!AX$4="是",'7.0.3'!$AY$4,'7.0.3'!$AY$3)</f>
        <v>180</v>
      </c>
      <c r="N71" s="4">
        <f>(VLOOKUP('7.0.3'!V71,'7.0.3'!$AM$4:$AO$55,2,FALSE))*IF('7.0.3'!AY$4="是",'7.0.3'!$AY$4,'7.0.3'!$AY$3)</f>
        <v>180</v>
      </c>
      <c r="O71" s="5">
        <f>(VLOOKUP('7.0.3'!W71,'7.0.3'!$AM$4:$AO$55,2,FALSE))*IF('7.0.3'!AZ$4="是",'7.0.3'!$AY$4,'7.0.3'!$AY$3)</f>
        <v>0</v>
      </c>
      <c r="P71" s="5">
        <f>(VLOOKUP('7.0.3'!X71,'7.0.3'!$AM$4:$AO$55,2,FALSE))*IF('7.0.3'!BA$4="是",'7.0.3'!$AY$4,'7.0.3'!$AY$3)</f>
        <v>0</v>
      </c>
      <c r="Q71" s="4">
        <f>(VLOOKUP('7.0.3'!Y71,'7.0.3'!$AM$4:$AO$55,2,FALSE))*IF('7.0.3'!BB$4="是",'7.0.3'!$AY$4,'7.0.3'!$AY$3)</f>
        <v>0</v>
      </c>
      <c r="R71" s="4">
        <f>(VLOOKUP('7.0.3'!Z71,'7.0.3'!$AM$4:$AO$55,2,FALSE))*IF('7.0.3'!BC$4="是",'7.0.3'!$AY$4,'7.0.3'!$AY$3)</f>
        <v>0</v>
      </c>
      <c r="S71" s="4">
        <f>(VLOOKUP('7.0.3'!AA71,'7.0.3'!$AM$4:$AO$55,2,FALSE))*IF('7.0.3'!BD$4="是",'7.0.3'!$AY$4,'7.0.3'!$AY$3)</f>
        <v>0</v>
      </c>
      <c r="T71" s="4">
        <f>(VLOOKUP('7.0.3'!AB71,'7.0.3'!$AM$4:$AO$55,2,FALSE))*IF('7.0.3'!BE$4="是",'7.0.3'!$AY$4,'7.0.3'!$AY$3)</f>
        <v>0</v>
      </c>
      <c r="U71" s="4">
        <f>(VLOOKUP('7.0.3'!AC71,'7.0.3'!$AM$4:$AO$55,2,FALSE))*IF('7.0.3'!BF$4="是",'7.0.3'!$AY$4,'7.0.3'!$AY$3)</f>
        <v>0</v>
      </c>
      <c r="V71" s="4">
        <f>(VLOOKUP('7.0.3'!AD71,'7.0.3'!$AM$4:$AO$55,2,FALSE))*IF('7.0.3'!BG$4="是",'7.0.3'!$AY$4,'7.0.3'!$AY$3)</f>
        <v>0</v>
      </c>
      <c r="W71" s="5">
        <f>(VLOOKUP('7.0.3'!AE71,'7.0.3'!$AM$4:$AO$55,2,FALSE))*IF('7.0.3'!BH$4="是",'7.0.3'!$AY$4,'7.0.3'!$AY$3)</f>
        <v>0</v>
      </c>
      <c r="X71" s="5">
        <f>(VLOOKUP('7.0.3'!AF71,'7.0.3'!$AM$4:$AO$55,2,FALSE))*IF('7.0.3'!BI$4="是",'7.0.3'!$AY$4,'7.0.3'!$AY$3)</f>
        <v>0</v>
      </c>
    </row>
    <row r="72" spans="1:24">
      <c r="A72" s="4">
        <f>(VLOOKUP('7.0.3'!I72,'7.0.3'!$AM$4:$AO$55,2,FALSE))*IF('7.0.3'!AK$4="是",'7.0.3'!$AY$4,'7.0.3'!$AY$3)</f>
        <v>180</v>
      </c>
      <c r="B72" s="4">
        <f>(VLOOKUP('7.0.3'!J72,'7.0.3'!$AM$4:$AO$55,2,FALSE))*IF('7.0.3'!AL$4="是",'7.0.3'!$AY$4,'7.0.3'!$AY$3)</f>
        <v>180</v>
      </c>
      <c r="C72" s="4">
        <f>(VLOOKUP('7.0.3'!K72,'7.0.3'!$AM$4:$AO$55,2,FALSE))*IF('7.0.3'!AM$4="是",'7.0.3'!$AY$4,'7.0.3'!$AY$3)</f>
        <v>180</v>
      </c>
      <c r="D72" s="4">
        <f>(VLOOKUP('7.0.3'!L72,'7.0.3'!$AM$4:$AO$55,2,FALSE))*IF('7.0.3'!AN$4="是",'7.0.3'!$AY$4,'7.0.3'!$AY$3)</f>
        <v>180</v>
      </c>
      <c r="E72" s="4">
        <f>(VLOOKUP('7.0.3'!M72,'7.0.3'!$AM$4:$AO$55,2,FALSE))*IF('7.0.3'!AO$4="是",'7.0.3'!$AY$4,'7.0.3'!$AY$3)</f>
        <v>180</v>
      </c>
      <c r="F72" s="4">
        <f>(VLOOKUP('7.0.3'!N72,'7.0.3'!$AM$4:$AO$55,2,FALSE))*IF('7.0.3'!AQ$4="是",'7.0.3'!$AY$4,'7.0.3'!$AY$3)</f>
        <v>0</v>
      </c>
      <c r="G72" s="5">
        <f>(VLOOKUP('7.0.3'!O72,'7.0.3'!$AM$4:$AO$55,2,FALSE))*IF('7.0.3'!AR$4="是",'7.0.3'!$AY$4,'7.0.3'!$AY$3)</f>
        <v>0</v>
      </c>
      <c r="H72" s="5">
        <f>(VLOOKUP('7.0.3'!P72,'7.0.3'!$AM$4:$AO$55,2,FALSE))*IF('7.0.3'!AS$4="是",'7.0.3'!$AY$4,'7.0.3'!$AY$3)</f>
        <v>0</v>
      </c>
      <c r="I72" s="4">
        <f>(VLOOKUP('7.0.3'!Q72,'7.0.3'!$AM$4:$AO$55,2,FALSE))*IF('7.0.3'!AT$4="是",'7.0.3'!$AY$4,'7.0.3'!$AY$3)</f>
        <v>180</v>
      </c>
      <c r="J72" s="4">
        <f>(VLOOKUP('7.0.3'!R72,'7.0.3'!$AM$4:$AO$55,2,FALSE))*IF('7.0.3'!AU$4="是",'7.0.3'!$AY$4,'7.0.3'!$AY$3)</f>
        <v>180</v>
      </c>
      <c r="K72" s="4">
        <f>(VLOOKUP('7.0.3'!S72,'7.0.3'!$AM$4:$AO$55,2,FALSE))*IF('7.0.3'!AV$4="是",'7.0.3'!$AY$4,'7.0.3'!$AY$3)</f>
        <v>180</v>
      </c>
      <c r="L72" s="4">
        <f>(VLOOKUP('7.0.3'!T72,'7.0.3'!$AM$4:$AO$55,2,FALSE))*IF('7.0.3'!AW$4="是",'7.0.3'!$AY$4,'7.0.3'!$AY$3)</f>
        <v>180</v>
      </c>
      <c r="M72" s="4">
        <f>(VLOOKUP('7.0.3'!U72,'7.0.3'!$AM$4:$AO$55,2,FALSE))*IF('7.0.3'!AX$4="是",'7.0.3'!$AY$4,'7.0.3'!$AY$3)</f>
        <v>180</v>
      </c>
      <c r="N72" s="4">
        <f>(VLOOKUP('7.0.3'!V72,'7.0.3'!$AM$4:$AO$55,2,FALSE))*IF('7.0.3'!AY$4="是",'7.0.3'!$AY$4,'7.0.3'!$AY$3)</f>
        <v>180</v>
      </c>
      <c r="O72" s="5">
        <f>(VLOOKUP('7.0.3'!W72,'7.0.3'!$AM$4:$AO$55,2,FALSE))*IF('7.0.3'!AZ$4="是",'7.0.3'!$AY$4,'7.0.3'!$AY$3)</f>
        <v>0</v>
      </c>
      <c r="P72" s="5">
        <f>(VLOOKUP('7.0.3'!X72,'7.0.3'!$AM$4:$AO$55,2,FALSE))*IF('7.0.3'!BA$4="是",'7.0.3'!$AY$4,'7.0.3'!$AY$3)</f>
        <v>0</v>
      </c>
      <c r="Q72" s="4">
        <f>(VLOOKUP('7.0.3'!Y72,'7.0.3'!$AM$4:$AO$55,2,FALSE))*IF('7.0.3'!BB$4="是",'7.0.3'!$AY$4,'7.0.3'!$AY$3)</f>
        <v>0</v>
      </c>
      <c r="R72" s="4">
        <f>(VLOOKUP('7.0.3'!Z72,'7.0.3'!$AM$4:$AO$55,2,FALSE))*IF('7.0.3'!BC$4="是",'7.0.3'!$AY$4,'7.0.3'!$AY$3)</f>
        <v>0</v>
      </c>
      <c r="S72" s="4">
        <f>(VLOOKUP('7.0.3'!AA72,'7.0.3'!$AM$4:$AO$55,2,FALSE))*IF('7.0.3'!BD$4="是",'7.0.3'!$AY$4,'7.0.3'!$AY$3)</f>
        <v>0</v>
      </c>
      <c r="T72" s="4">
        <f>(VLOOKUP('7.0.3'!AB72,'7.0.3'!$AM$4:$AO$55,2,FALSE))*IF('7.0.3'!BE$4="是",'7.0.3'!$AY$4,'7.0.3'!$AY$3)</f>
        <v>0</v>
      </c>
      <c r="U72" s="4">
        <f>(VLOOKUP('7.0.3'!AC72,'7.0.3'!$AM$4:$AO$55,2,FALSE))*IF('7.0.3'!BF$4="是",'7.0.3'!$AY$4,'7.0.3'!$AY$3)</f>
        <v>0</v>
      </c>
      <c r="V72" s="4">
        <f>(VLOOKUP('7.0.3'!AD72,'7.0.3'!$AM$4:$AO$55,2,FALSE))*IF('7.0.3'!BG$4="是",'7.0.3'!$AY$4,'7.0.3'!$AY$3)</f>
        <v>0</v>
      </c>
      <c r="W72" s="5">
        <f>(VLOOKUP('7.0.3'!AE72,'7.0.3'!$AM$4:$AO$55,2,FALSE))*IF('7.0.3'!BH$4="是",'7.0.3'!$AY$4,'7.0.3'!$AY$3)</f>
        <v>0</v>
      </c>
      <c r="X72" s="5">
        <f>(VLOOKUP('7.0.3'!AF72,'7.0.3'!$AM$4:$AO$55,2,FALSE))*IF('7.0.3'!BI$4="是",'7.0.3'!$AY$4,'7.0.3'!$AY$3)</f>
        <v>0</v>
      </c>
    </row>
    <row r="73" spans="1:24">
      <c r="A73" s="4">
        <f>(VLOOKUP('7.0.3'!I73,'7.0.3'!$AM$4:$AO$55,2,FALSE))*IF('7.0.3'!AK$4="是",'7.0.3'!$AY$4,'7.0.3'!$AY$3)</f>
        <v>180</v>
      </c>
      <c r="B73" s="4">
        <f>(VLOOKUP('7.0.3'!J73,'7.0.3'!$AM$4:$AO$55,2,FALSE))*IF('7.0.3'!AL$4="是",'7.0.3'!$AY$4,'7.0.3'!$AY$3)</f>
        <v>180</v>
      </c>
      <c r="C73" s="4">
        <f>(VLOOKUP('7.0.3'!K73,'7.0.3'!$AM$4:$AO$55,2,FALSE))*IF('7.0.3'!AM$4="是",'7.0.3'!$AY$4,'7.0.3'!$AY$3)</f>
        <v>180</v>
      </c>
      <c r="D73" s="4">
        <f>(VLOOKUP('7.0.3'!L73,'7.0.3'!$AM$4:$AO$55,2,FALSE))*IF('7.0.3'!AN$4="是",'7.0.3'!$AY$4,'7.0.3'!$AY$3)</f>
        <v>180</v>
      </c>
      <c r="E73" s="4">
        <f>(VLOOKUP('7.0.3'!M73,'7.0.3'!$AM$4:$AO$55,2,FALSE))*IF('7.0.3'!AO$4="是",'7.0.3'!$AY$4,'7.0.3'!$AY$3)</f>
        <v>180</v>
      </c>
      <c r="F73" s="4">
        <f>(VLOOKUP('7.0.3'!N73,'7.0.3'!$AM$4:$AO$55,2,FALSE))*IF('7.0.3'!AQ$4="是",'7.0.3'!$AY$4,'7.0.3'!$AY$3)</f>
        <v>180</v>
      </c>
      <c r="G73" s="5">
        <f>(VLOOKUP('7.0.3'!O73,'7.0.3'!$AM$4:$AO$55,2,FALSE))*IF('7.0.3'!AR$4="是",'7.0.3'!$AY$4,'7.0.3'!$AY$3)</f>
        <v>0</v>
      </c>
      <c r="H73" s="5">
        <f>(VLOOKUP('7.0.3'!P73,'7.0.3'!$AM$4:$AO$55,2,FALSE))*IF('7.0.3'!AS$4="是",'7.0.3'!$AY$4,'7.0.3'!$AY$3)</f>
        <v>0</v>
      </c>
      <c r="I73" s="4">
        <f>(VLOOKUP('7.0.3'!Q73,'7.0.3'!$AM$4:$AO$55,2,FALSE))*IF('7.0.3'!AT$4="是",'7.0.3'!$AY$4,'7.0.3'!$AY$3)</f>
        <v>180</v>
      </c>
      <c r="J73" s="4">
        <f>(VLOOKUP('7.0.3'!R73,'7.0.3'!$AM$4:$AO$55,2,FALSE))*IF('7.0.3'!AU$4="是",'7.0.3'!$AY$4,'7.0.3'!$AY$3)</f>
        <v>180</v>
      </c>
      <c r="K73" s="4">
        <f>(VLOOKUP('7.0.3'!S73,'7.0.3'!$AM$4:$AO$55,2,FALSE))*IF('7.0.3'!AV$4="是",'7.0.3'!$AY$4,'7.0.3'!$AY$3)</f>
        <v>50</v>
      </c>
      <c r="L73" s="4">
        <f>(VLOOKUP('7.0.3'!T73,'7.0.3'!$AM$4:$AO$55,2,FALSE))*IF('7.0.3'!AW$4="是",'7.0.3'!$AY$4,'7.0.3'!$AY$3)</f>
        <v>180</v>
      </c>
      <c r="M73" s="4">
        <f>(VLOOKUP('7.0.3'!U73,'7.0.3'!$AM$4:$AO$55,2,FALSE))*IF('7.0.3'!AX$4="是",'7.0.3'!$AY$4,'7.0.3'!$AY$3)</f>
        <v>180</v>
      </c>
      <c r="N73" s="4">
        <f>(VLOOKUP('7.0.3'!V73,'7.0.3'!$AM$4:$AO$55,2,FALSE))*IF('7.0.3'!AY$4="是",'7.0.3'!$AY$4,'7.0.3'!$AY$3)</f>
        <v>180</v>
      </c>
      <c r="O73" s="5">
        <f>(VLOOKUP('7.0.3'!W73,'7.0.3'!$AM$4:$AO$55,2,FALSE))*IF('7.0.3'!AZ$4="是",'7.0.3'!$AY$4,'7.0.3'!$AY$3)</f>
        <v>0</v>
      </c>
      <c r="P73" s="5">
        <f>(VLOOKUP('7.0.3'!X73,'7.0.3'!$AM$4:$AO$55,2,FALSE))*IF('7.0.3'!BA$4="是",'7.0.3'!$AY$4,'7.0.3'!$AY$3)</f>
        <v>0</v>
      </c>
      <c r="Q73" s="4">
        <f>(VLOOKUP('7.0.3'!Y73,'7.0.3'!$AM$4:$AO$55,2,FALSE))*IF('7.0.3'!BB$4="是",'7.0.3'!$AY$4,'7.0.3'!$AY$3)</f>
        <v>0</v>
      </c>
      <c r="R73" s="4">
        <f>(VLOOKUP('7.0.3'!Z73,'7.0.3'!$AM$4:$AO$55,2,FALSE))*IF('7.0.3'!BC$4="是",'7.0.3'!$AY$4,'7.0.3'!$AY$3)</f>
        <v>0</v>
      </c>
      <c r="S73" s="4">
        <f>(VLOOKUP('7.0.3'!AA73,'7.0.3'!$AM$4:$AO$55,2,FALSE))*IF('7.0.3'!BD$4="是",'7.0.3'!$AY$4,'7.0.3'!$AY$3)</f>
        <v>0</v>
      </c>
      <c r="T73" s="4">
        <f>(VLOOKUP('7.0.3'!AB73,'7.0.3'!$AM$4:$AO$55,2,FALSE))*IF('7.0.3'!BE$4="是",'7.0.3'!$AY$4,'7.0.3'!$AY$3)</f>
        <v>0</v>
      </c>
      <c r="U73" s="4">
        <f>(VLOOKUP('7.0.3'!AC73,'7.0.3'!$AM$4:$AO$55,2,FALSE))*IF('7.0.3'!BF$4="是",'7.0.3'!$AY$4,'7.0.3'!$AY$3)</f>
        <v>0</v>
      </c>
      <c r="V73" s="4">
        <f>(VLOOKUP('7.0.3'!AD73,'7.0.3'!$AM$4:$AO$55,2,FALSE))*IF('7.0.3'!BG$4="是",'7.0.3'!$AY$4,'7.0.3'!$AY$3)</f>
        <v>0</v>
      </c>
      <c r="W73" s="5">
        <f>(VLOOKUP('7.0.3'!AE73,'7.0.3'!$AM$4:$AO$55,2,FALSE))*IF('7.0.3'!BH$4="是",'7.0.3'!$AY$4,'7.0.3'!$AY$3)</f>
        <v>0</v>
      </c>
      <c r="X73" s="5">
        <f>(VLOOKUP('7.0.3'!AF73,'7.0.3'!$AM$4:$AO$55,2,FALSE))*IF('7.0.3'!BI$4="是",'7.0.3'!$AY$4,'7.0.3'!$AY$3)</f>
        <v>0</v>
      </c>
    </row>
    <row r="74" spans="1:24">
      <c r="A74" s="4">
        <f>(VLOOKUP('7.0.3'!I74,'7.0.3'!$AM$4:$AO$55,2,FALSE))*IF('7.0.3'!AK$4="是",'7.0.3'!$AY$4,'7.0.3'!$AY$3)</f>
        <v>150</v>
      </c>
      <c r="B74" s="4">
        <f>(VLOOKUP('7.0.3'!J74,'7.0.3'!$AM$4:$AO$55,2,FALSE))*IF('7.0.3'!AL$4="是",'7.0.3'!$AY$4,'7.0.3'!$AY$3)</f>
        <v>180</v>
      </c>
      <c r="C74" s="4">
        <f>(VLOOKUP('7.0.3'!K74,'7.0.3'!$AM$4:$AO$55,2,FALSE))*IF('7.0.3'!AM$4="是",'7.0.3'!$AY$4,'7.0.3'!$AY$3)</f>
        <v>180</v>
      </c>
      <c r="D74" s="4">
        <f>(VLOOKUP('7.0.3'!L74,'7.0.3'!$AM$4:$AO$55,2,FALSE))*IF('7.0.3'!AN$4="是",'7.0.3'!$AY$4,'7.0.3'!$AY$3)</f>
        <v>180</v>
      </c>
      <c r="E74" s="4">
        <f>(VLOOKUP('7.0.3'!M74,'7.0.3'!$AM$4:$AO$55,2,FALSE))*IF('7.0.3'!AO$4="是",'7.0.3'!$AY$4,'7.0.3'!$AY$3)</f>
        <v>180</v>
      </c>
      <c r="F74" s="4">
        <f>(VLOOKUP('7.0.3'!N74,'7.0.3'!$AM$4:$AO$55,2,FALSE))*IF('7.0.3'!AQ$4="是",'7.0.3'!$AY$4,'7.0.3'!$AY$3)</f>
        <v>180</v>
      </c>
      <c r="G74" s="5">
        <f>(VLOOKUP('7.0.3'!O74,'7.0.3'!$AM$4:$AO$55,2,FALSE))*IF('7.0.3'!AR$4="是",'7.0.3'!$AY$4,'7.0.3'!$AY$3)</f>
        <v>0</v>
      </c>
      <c r="H74" s="5">
        <f>(VLOOKUP('7.0.3'!P74,'7.0.3'!$AM$4:$AO$55,2,FALSE))*IF('7.0.3'!AS$4="是",'7.0.3'!$AY$4,'7.0.3'!$AY$3)</f>
        <v>0</v>
      </c>
      <c r="I74" s="4">
        <f>(VLOOKUP('7.0.3'!Q74,'7.0.3'!$AM$4:$AO$55,2,FALSE))*IF('7.0.3'!AT$4="是",'7.0.3'!$AY$4,'7.0.3'!$AY$3)</f>
        <v>180</v>
      </c>
      <c r="J74" s="4">
        <f>(VLOOKUP('7.0.3'!R74,'7.0.3'!$AM$4:$AO$55,2,FALSE))*IF('7.0.3'!AU$4="是",'7.0.3'!$AY$4,'7.0.3'!$AY$3)</f>
        <v>180</v>
      </c>
      <c r="K74" s="4">
        <f>(VLOOKUP('7.0.3'!S74,'7.0.3'!$AM$4:$AO$55,2,FALSE))*IF('7.0.3'!AV$4="是",'7.0.3'!$AY$4,'7.0.3'!$AY$3)</f>
        <v>180</v>
      </c>
      <c r="L74" s="4">
        <f>(VLOOKUP('7.0.3'!T74,'7.0.3'!$AM$4:$AO$55,2,FALSE))*IF('7.0.3'!AW$4="是",'7.0.3'!$AY$4,'7.0.3'!$AY$3)</f>
        <v>170</v>
      </c>
      <c r="M74" s="4">
        <f>(VLOOKUP('7.0.3'!U74,'7.0.3'!$AM$4:$AO$55,2,FALSE))*IF('7.0.3'!AX$4="是",'7.0.3'!$AY$4,'7.0.3'!$AY$3)</f>
        <v>170</v>
      </c>
      <c r="N74" s="4">
        <f>(VLOOKUP('7.0.3'!V74,'7.0.3'!$AM$4:$AO$55,2,FALSE))*IF('7.0.3'!AY$4="是",'7.0.3'!$AY$4,'7.0.3'!$AY$3)</f>
        <v>170</v>
      </c>
      <c r="O74" s="5">
        <f>(VLOOKUP('7.0.3'!W74,'7.0.3'!$AM$4:$AO$55,2,FALSE))*IF('7.0.3'!AZ$4="是",'7.0.3'!$AY$4,'7.0.3'!$AY$3)</f>
        <v>0</v>
      </c>
      <c r="P74" s="5">
        <f>(VLOOKUP('7.0.3'!X74,'7.0.3'!$AM$4:$AO$55,2,FALSE))*IF('7.0.3'!BA$4="是",'7.0.3'!$AY$4,'7.0.3'!$AY$3)</f>
        <v>0</v>
      </c>
      <c r="Q74" s="4">
        <f>(VLOOKUP('7.0.3'!Y74,'7.0.3'!$AM$4:$AO$55,2,FALSE))*IF('7.0.3'!BB$4="是",'7.0.3'!$AY$4,'7.0.3'!$AY$3)</f>
        <v>0</v>
      </c>
      <c r="R74" s="4">
        <f>(VLOOKUP('7.0.3'!Z74,'7.0.3'!$AM$4:$AO$55,2,FALSE))*IF('7.0.3'!BC$4="是",'7.0.3'!$AY$4,'7.0.3'!$AY$3)</f>
        <v>0</v>
      </c>
      <c r="S74" s="4">
        <f>(VLOOKUP('7.0.3'!AA74,'7.0.3'!$AM$4:$AO$55,2,FALSE))*IF('7.0.3'!BD$4="是",'7.0.3'!$AY$4,'7.0.3'!$AY$3)</f>
        <v>0</v>
      </c>
      <c r="T74" s="4">
        <f>(VLOOKUP('7.0.3'!AB74,'7.0.3'!$AM$4:$AO$55,2,FALSE))*IF('7.0.3'!BE$4="是",'7.0.3'!$AY$4,'7.0.3'!$AY$3)</f>
        <v>0</v>
      </c>
      <c r="U74" s="4">
        <f>(VLOOKUP('7.0.3'!AC74,'7.0.3'!$AM$4:$AO$55,2,FALSE))*IF('7.0.3'!BF$4="是",'7.0.3'!$AY$4,'7.0.3'!$AY$3)</f>
        <v>0</v>
      </c>
      <c r="V74" s="4">
        <f>(VLOOKUP('7.0.3'!AD74,'7.0.3'!$AM$4:$AO$55,2,FALSE))*IF('7.0.3'!BG$4="是",'7.0.3'!$AY$4,'7.0.3'!$AY$3)</f>
        <v>0</v>
      </c>
      <c r="W74" s="5">
        <f>(VLOOKUP('7.0.3'!AE74,'7.0.3'!$AM$4:$AO$55,2,FALSE))*IF('7.0.3'!BH$4="是",'7.0.3'!$AY$4,'7.0.3'!$AY$3)</f>
        <v>0</v>
      </c>
      <c r="X74" s="5">
        <f>(VLOOKUP('7.0.3'!AF74,'7.0.3'!$AM$4:$AO$55,2,FALSE))*IF('7.0.3'!BI$4="是",'7.0.3'!$AY$4,'7.0.3'!$AY$3)</f>
        <v>0</v>
      </c>
    </row>
    <row r="75" spans="1:24">
      <c r="A75" s="4">
        <f>(VLOOKUP('7.0.3'!I75,'7.0.3'!$AM$4:$AO$55,2,FALSE))*IF('7.0.3'!AK$4="是",'7.0.3'!$AY$4,'7.0.3'!$AY$3)</f>
        <v>180</v>
      </c>
      <c r="B75" s="4">
        <f>(VLOOKUP('7.0.3'!J75,'7.0.3'!$AM$4:$AO$55,2,FALSE))*IF('7.0.3'!AL$4="是",'7.0.3'!$AY$4,'7.0.3'!$AY$3)</f>
        <v>180</v>
      </c>
      <c r="C75" s="4">
        <f>(VLOOKUP('7.0.3'!K75,'7.0.3'!$AM$4:$AO$55,2,FALSE))*IF('7.0.3'!AM$4="是",'7.0.3'!$AY$4,'7.0.3'!$AY$3)</f>
        <v>180</v>
      </c>
      <c r="D75" s="4">
        <f>(VLOOKUP('7.0.3'!L75,'7.0.3'!$AM$4:$AO$55,2,FALSE))*IF('7.0.3'!AN$4="是",'7.0.3'!$AY$4,'7.0.3'!$AY$3)</f>
        <v>180</v>
      </c>
      <c r="E75" s="4">
        <f>(VLOOKUP('7.0.3'!M75,'7.0.3'!$AM$4:$AO$55,2,FALSE))*IF('7.0.3'!AO$4="是",'7.0.3'!$AY$4,'7.0.3'!$AY$3)</f>
        <v>180</v>
      </c>
      <c r="F75" s="4">
        <f>(VLOOKUP('7.0.3'!N75,'7.0.3'!$AM$4:$AO$55,2,FALSE))*IF('7.0.3'!AQ$4="是",'7.0.3'!$AY$4,'7.0.3'!$AY$3)</f>
        <v>180</v>
      </c>
      <c r="G75" s="5">
        <f>(VLOOKUP('7.0.3'!O75,'7.0.3'!$AM$4:$AO$55,2,FALSE))*IF('7.0.3'!AR$4="是",'7.0.3'!$AY$4,'7.0.3'!$AY$3)</f>
        <v>0</v>
      </c>
      <c r="H75" s="5">
        <f>(VLOOKUP('7.0.3'!P75,'7.0.3'!$AM$4:$AO$55,2,FALSE))*IF('7.0.3'!AS$4="是",'7.0.3'!$AY$4,'7.0.3'!$AY$3)</f>
        <v>0</v>
      </c>
      <c r="I75" s="4">
        <f>(VLOOKUP('7.0.3'!Q75,'7.0.3'!$AM$4:$AO$55,2,FALSE))*IF('7.0.3'!AT$4="是",'7.0.3'!$AY$4,'7.0.3'!$AY$3)</f>
        <v>170</v>
      </c>
      <c r="J75" s="4">
        <f>(VLOOKUP('7.0.3'!R75,'7.0.3'!$AM$4:$AO$55,2,FALSE))*IF('7.0.3'!AU$4="是",'7.0.3'!$AY$4,'7.0.3'!$AY$3)</f>
        <v>170</v>
      </c>
      <c r="K75" s="4">
        <f>(VLOOKUP('7.0.3'!S75,'7.0.3'!$AM$4:$AO$55,2,FALSE))*IF('7.0.3'!AV$4="是",'7.0.3'!$AY$4,'7.0.3'!$AY$3)</f>
        <v>170</v>
      </c>
      <c r="L75" s="4">
        <f>(VLOOKUP('7.0.3'!T75,'7.0.3'!$AM$4:$AO$55,2,FALSE))*IF('7.0.3'!AW$4="是",'7.0.3'!$AY$4,'7.0.3'!$AY$3)</f>
        <v>170</v>
      </c>
      <c r="M75" s="4">
        <f>(VLOOKUP('7.0.3'!U75,'7.0.3'!$AM$4:$AO$55,2,FALSE))*IF('7.0.3'!AX$4="是",'7.0.3'!$AY$4,'7.0.3'!$AY$3)</f>
        <v>50</v>
      </c>
      <c r="N75" s="4">
        <f>(VLOOKUP('7.0.3'!V75,'7.0.3'!$AM$4:$AO$55,2,FALSE))*IF('7.0.3'!AY$4="是",'7.0.3'!$AY$4,'7.0.3'!$AY$3)</f>
        <v>170</v>
      </c>
      <c r="O75" s="5">
        <f>(VLOOKUP('7.0.3'!W75,'7.0.3'!$AM$4:$AO$55,2,FALSE))*IF('7.0.3'!AZ$4="是",'7.0.3'!$AY$4,'7.0.3'!$AY$3)</f>
        <v>0</v>
      </c>
      <c r="P75" s="5">
        <f>(VLOOKUP('7.0.3'!X75,'7.0.3'!$AM$4:$AO$55,2,FALSE))*IF('7.0.3'!BA$4="是",'7.0.3'!$AY$4,'7.0.3'!$AY$3)</f>
        <v>0</v>
      </c>
      <c r="Q75" s="4">
        <f>(VLOOKUP('7.0.3'!Y75,'7.0.3'!$AM$4:$AO$55,2,FALSE))*IF('7.0.3'!BB$4="是",'7.0.3'!$AY$4,'7.0.3'!$AY$3)</f>
        <v>0</v>
      </c>
      <c r="R75" s="4">
        <f>(VLOOKUP('7.0.3'!Z75,'7.0.3'!$AM$4:$AO$55,2,FALSE))*IF('7.0.3'!BC$4="是",'7.0.3'!$AY$4,'7.0.3'!$AY$3)</f>
        <v>0</v>
      </c>
      <c r="S75" s="4">
        <f>(VLOOKUP('7.0.3'!AA75,'7.0.3'!$AM$4:$AO$55,2,FALSE))*IF('7.0.3'!BD$4="是",'7.0.3'!$AY$4,'7.0.3'!$AY$3)</f>
        <v>0</v>
      </c>
      <c r="T75" s="4">
        <f>(VLOOKUP('7.0.3'!AB75,'7.0.3'!$AM$4:$AO$55,2,FALSE))*IF('7.0.3'!BE$4="是",'7.0.3'!$AY$4,'7.0.3'!$AY$3)</f>
        <v>0</v>
      </c>
      <c r="U75" s="4">
        <f>(VLOOKUP('7.0.3'!AC75,'7.0.3'!$AM$4:$AO$55,2,FALSE))*IF('7.0.3'!BF$4="是",'7.0.3'!$AY$4,'7.0.3'!$AY$3)</f>
        <v>0</v>
      </c>
      <c r="V75" s="4">
        <f>(VLOOKUP('7.0.3'!AD75,'7.0.3'!$AM$4:$AO$55,2,FALSE))*IF('7.0.3'!BG$4="是",'7.0.3'!$AY$4,'7.0.3'!$AY$3)</f>
        <v>0</v>
      </c>
      <c r="W75" s="5">
        <f>(VLOOKUP('7.0.3'!AE75,'7.0.3'!$AM$4:$AO$55,2,FALSE))*IF('7.0.3'!BH$4="是",'7.0.3'!$AY$4,'7.0.3'!$AY$3)</f>
        <v>0</v>
      </c>
      <c r="X75" s="5">
        <f>(VLOOKUP('7.0.3'!AF75,'7.0.3'!$AM$4:$AO$55,2,FALSE))*IF('7.0.3'!BI$4="是",'7.0.3'!$AY$4,'7.0.3'!$AY$3)</f>
        <v>0</v>
      </c>
    </row>
    <row r="76" spans="1:24">
      <c r="A76" s="4">
        <f>(VLOOKUP('7.0.3'!I76,'7.0.3'!$AM$4:$AO$55,2,FALSE))*IF('7.0.3'!AK$4="是",'7.0.3'!$AY$4,'7.0.3'!$AY$3)</f>
        <v>180</v>
      </c>
      <c r="B76" s="4">
        <f>(VLOOKUP('7.0.3'!J76,'7.0.3'!$AM$4:$AO$55,2,FALSE))*IF('7.0.3'!AL$4="是",'7.0.3'!$AY$4,'7.0.3'!$AY$3)</f>
        <v>180</v>
      </c>
      <c r="C76" s="4">
        <f>(VLOOKUP('7.0.3'!K76,'7.0.3'!$AM$4:$AO$55,2,FALSE))*IF('7.0.3'!AM$4="是",'7.0.3'!$AY$4,'7.0.3'!$AY$3)</f>
        <v>180</v>
      </c>
      <c r="D76" s="4">
        <f>(VLOOKUP('7.0.3'!L76,'7.0.3'!$AM$4:$AO$55,2,FALSE))*IF('7.0.3'!AN$4="是",'7.0.3'!$AY$4,'7.0.3'!$AY$3)</f>
        <v>180</v>
      </c>
      <c r="E76" s="4">
        <f>(VLOOKUP('7.0.3'!M76,'7.0.3'!$AM$4:$AO$55,2,FALSE))*IF('7.0.3'!AO$4="是",'7.0.3'!$AY$4,'7.0.3'!$AY$3)</f>
        <v>180</v>
      </c>
      <c r="F76" s="4">
        <f>(VLOOKUP('7.0.3'!N76,'7.0.3'!$AM$4:$AO$55,2,FALSE))*IF('7.0.3'!AQ$4="是",'7.0.3'!$AY$4,'7.0.3'!$AY$3)</f>
        <v>0</v>
      </c>
      <c r="G76" s="5">
        <f>(VLOOKUP('7.0.3'!O76,'7.0.3'!$AM$4:$AO$55,2,FALSE))*IF('7.0.3'!AR$4="是",'7.0.3'!$AY$4,'7.0.3'!$AY$3)</f>
        <v>0</v>
      </c>
      <c r="H76" s="5">
        <f>(VLOOKUP('7.0.3'!P76,'7.0.3'!$AM$4:$AO$55,2,FALSE))*IF('7.0.3'!AS$4="是",'7.0.3'!$AY$4,'7.0.3'!$AY$3)</f>
        <v>0</v>
      </c>
      <c r="I76" s="4">
        <f>(VLOOKUP('7.0.3'!Q76,'7.0.3'!$AM$4:$AO$55,2,FALSE))*IF('7.0.3'!AT$4="是",'7.0.3'!$AY$4,'7.0.3'!$AY$3)</f>
        <v>170</v>
      </c>
      <c r="J76" s="4">
        <f>(VLOOKUP('7.0.3'!R76,'7.0.3'!$AM$4:$AO$55,2,FALSE))*IF('7.0.3'!AU$4="是",'7.0.3'!$AY$4,'7.0.3'!$AY$3)</f>
        <v>170</v>
      </c>
      <c r="K76" s="4">
        <f>(VLOOKUP('7.0.3'!S76,'7.0.3'!$AM$4:$AO$55,2,FALSE))*IF('7.0.3'!AV$4="是",'7.0.3'!$AY$4,'7.0.3'!$AY$3)</f>
        <v>170</v>
      </c>
      <c r="L76" s="4">
        <f>(VLOOKUP('7.0.3'!T76,'7.0.3'!$AM$4:$AO$55,2,FALSE))*IF('7.0.3'!AW$4="是",'7.0.3'!$AY$4,'7.0.3'!$AY$3)</f>
        <v>170</v>
      </c>
      <c r="M76" s="4">
        <f>(VLOOKUP('7.0.3'!U76,'7.0.3'!$AM$4:$AO$55,2,FALSE))*IF('7.0.3'!AX$4="是",'7.0.3'!$AY$4,'7.0.3'!$AY$3)</f>
        <v>170</v>
      </c>
      <c r="N76" s="4">
        <f>(VLOOKUP('7.0.3'!V76,'7.0.3'!$AM$4:$AO$55,2,FALSE))*IF('7.0.3'!AY$4="是",'7.0.3'!$AY$4,'7.0.3'!$AY$3)</f>
        <v>170</v>
      </c>
      <c r="O76" s="5">
        <f>(VLOOKUP('7.0.3'!W76,'7.0.3'!$AM$4:$AO$55,2,FALSE))*IF('7.0.3'!AZ$4="是",'7.0.3'!$AY$4,'7.0.3'!$AY$3)</f>
        <v>0</v>
      </c>
      <c r="P76" s="5">
        <f>(VLOOKUP('7.0.3'!X76,'7.0.3'!$AM$4:$AO$55,2,FALSE))*IF('7.0.3'!BA$4="是",'7.0.3'!$AY$4,'7.0.3'!$AY$3)</f>
        <v>0</v>
      </c>
      <c r="Q76" s="4">
        <f>(VLOOKUP('7.0.3'!Y76,'7.0.3'!$AM$4:$AO$55,2,FALSE))*IF('7.0.3'!BB$4="是",'7.0.3'!$AY$4,'7.0.3'!$AY$3)</f>
        <v>0</v>
      </c>
      <c r="R76" s="4">
        <f>(VLOOKUP('7.0.3'!Z76,'7.0.3'!$AM$4:$AO$55,2,FALSE))*IF('7.0.3'!BC$4="是",'7.0.3'!$AY$4,'7.0.3'!$AY$3)</f>
        <v>0</v>
      </c>
      <c r="S76" s="4">
        <f>(VLOOKUP('7.0.3'!AA76,'7.0.3'!$AM$4:$AO$55,2,FALSE))*IF('7.0.3'!BD$4="是",'7.0.3'!$AY$4,'7.0.3'!$AY$3)</f>
        <v>0</v>
      </c>
      <c r="T76" s="4">
        <f>(VLOOKUP('7.0.3'!AB76,'7.0.3'!$AM$4:$AO$55,2,FALSE))*IF('7.0.3'!BE$4="是",'7.0.3'!$AY$4,'7.0.3'!$AY$3)</f>
        <v>0</v>
      </c>
      <c r="U76" s="4">
        <f>(VLOOKUP('7.0.3'!AC76,'7.0.3'!$AM$4:$AO$55,2,FALSE))*IF('7.0.3'!BF$4="是",'7.0.3'!$AY$4,'7.0.3'!$AY$3)</f>
        <v>0</v>
      </c>
      <c r="V76" s="4">
        <f>(VLOOKUP('7.0.3'!AD76,'7.0.3'!$AM$4:$AO$55,2,FALSE))*IF('7.0.3'!BG$4="是",'7.0.3'!$AY$4,'7.0.3'!$AY$3)</f>
        <v>0</v>
      </c>
      <c r="W76" s="5">
        <f>(VLOOKUP('7.0.3'!AE76,'7.0.3'!$AM$4:$AO$55,2,FALSE))*IF('7.0.3'!BH$4="是",'7.0.3'!$AY$4,'7.0.3'!$AY$3)</f>
        <v>0</v>
      </c>
      <c r="X76" s="5">
        <f>(VLOOKUP('7.0.3'!AF76,'7.0.3'!$AM$4:$AO$55,2,FALSE))*IF('7.0.3'!BI$4="是",'7.0.3'!$AY$4,'7.0.3'!$AY$3)</f>
        <v>0</v>
      </c>
    </row>
    <row r="77" spans="1:24">
      <c r="A77" s="4">
        <f>(VLOOKUP('7.0.3'!I77,'7.0.3'!$AM$4:$AO$55,2,FALSE))*IF('7.0.3'!AK$4="是",'7.0.3'!$AY$4,'7.0.3'!$AY$3)</f>
        <v>180</v>
      </c>
      <c r="B77" s="4">
        <f>(VLOOKUP('7.0.3'!J77,'7.0.3'!$AM$4:$AO$55,2,FALSE))*IF('7.0.3'!AL$4="是",'7.0.3'!$AY$4,'7.0.3'!$AY$3)</f>
        <v>50</v>
      </c>
      <c r="C77" s="4">
        <f>(VLOOKUP('7.0.3'!K77,'7.0.3'!$AM$4:$AO$55,2,FALSE))*IF('7.0.3'!AM$4="是",'7.0.3'!$AY$4,'7.0.3'!$AY$3)</f>
        <v>180</v>
      </c>
      <c r="D77" s="4">
        <f>(VLOOKUP('7.0.3'!L77,'7.0.3'!$AM$4:$AO$55,2,FALSE))*IF('7.0.3'!AN$4="是",'7.0.3'!$AY$4,'7.0.3'!$AY$3)</f>
        <v>180</v>
      </c>
      <c r="E77" s="4">
        <f>(VLOOKUP('7.0.3'!M77,'7.0.3'!$AM$4:$AO$55,2,FALSE))*IF('7.0.3'!AO$4="是",'7.0.3'!$AY$4,'7.0.3'!$AY$3)</f>
        <v>180</v>
      </c>
      <c r="F77" s="4">
        <f>(VLOOKUP('7.0.3'!N77,'7.0.3'!$AM$4:$AO$55,2,FALSE))*IF('7.0.3'!AQ$4="是",'7.0.3'!$AY$4,'7.0.3'!$AY$3)</f>
        <v>180</v>
      </c>
      <c r="G77" s="5">
        <f>(VLOOKUP('7.0.3'!O77,'7.0.3'!$AM$4:$AO$55,2,FALSE))*IF('7.0.3'!AR$4="是",'7.0.3'!$AY$4,'7.0.3'!$AY$3)</f>
        <v>0</v>
      </c>
      <c r="H77" s="5">
        <f>(VLOOKUP('7.0.3'!P77,'7.0.3'!$AM$4:$AO$55,2,FALSE))*IF('7.0.3'!AS$4="是",'7.0.3'!$AY$4,'7.0.3'!$AY$3)</f>
        <v>0</v>
      </c>
      <c r="I77" s="4">
        <f>(VLOOKUP('7.0.3'!Q77,'7.0.3'!$AM$4:$AO$55,2,FALSE))*IF('7.0.3'!AT$4="是",'7.0.3'!$AY$4,'7.0.3'!$AY$3)</f>
        <v>170</v>
      </c>
      <c r="J77" s="4">
        <f>(VLOOKUP('7.0.3'!R77,'7.0.3'!$AM$4:$AO$55,2,FALSE))*IF('7.0.3'!AU$4="是",'7.0.3'!$AY$4,'7.0.3'!$AY$3)</f>
        <v>170</v>
      </c>
      <c r="K77" s="4">
        <f>(VLOOKUP('7.0.3'!S77,'7.0.3'!$AM$4:$AO$55,2,FALSE))*IF('7.0.3'!AV$4="是",'7.0.3'!$AY$4,'7.0.3'!$AY$3)</f>
        <v>170</v>
      </c>
      <c r="L77" s="4">
        <f>(VLOOKUP('7.0.3'!T77,'7.0.3'!$AM$4:$AO$55,2,FALSE))*IF('7.0.3'!AW$4="是",'7.0.3'!$AY$4,'7.0.3'!$AY$3)</f>
        <v>170</v>
      </c>
      <c r="M77" s="4">
        <f>(VLOOKUP('7.0.3'!U77,'7.0.3'!$AM$4:$AO$55,2,FALSE))*IF('7.0.3'!AX$4="是",'7.0.3'!$AY$4,'7.0.3'!$AY$3)</f>
        <v>170</v>
      </c>
      <c r="N77" s="4">
        <f>(VLOOKUP('7.0.3'!V77,'7.0.3'!$AM$4:$AO$55,2,FALSE))*IF('7.0.3'!AY$4="是",'7.0.3'!$AY$4,'7.0.3'!$AY$3)</f>
        <v>170</v>
      </c>
      <c r="O77" s="5">
        <f>(VLOOKUP('7.0.3'!W77,'7.0.3'!$AM$4:$AO$55,2,FALSE))*IF('7.0.3'!AZ$4="是",'7.0.3'!$AY$4,'7.0.3'!$AY$3)</f>
        <v>0</v>
      </c>
      <c r="P77" s="5">
        <f>(VLOOKUP('7.0.3'!X77,'7.0.3'!$AM$4:$AO$55,2,FALSE))*IF('7.0.3'!BA$4="是",'7.0.3'!$AY$4,'7.0.3'!$AY$3)</f>
        <v>0</v>
      </c>
      <c r="Q77" s="4">
        <f>(VLOOKUP('7.0.3'!Y77,'7.0.3'!$AM$4:$AO$55,2,FALSE))*IF('7.0.3'!BB$4="是",'7.0.3'!$AY$4,'7.0.3'!$AY$3)</f>
        <v>0</v>
      </c>
      <c r="R77" s="4">
        <f>(VLOOKUP('7.0.3'!Z77,'7.0.3'!$AM$4:$AO$55,2,FALSE))*IF('7.0.3'!BC$4="是",'7.0.3'!$AY$4,'7.0.3'!$AY$3)</f>
        <v>0</v>
      </c>
      <c r="S77" s="4">
        <f>(VLOOKUP('7.0.3'!AA77,'7.0.3'!$AM$4:$AO$55,2,FALSE))*IF('7.0.3'!BD$4="是",'7.0.3'!$AY$4,'7.0.3'!$AY$3)</f>
        <v>0</v>
      </c>
      <c r="T77" s="4">
        <f>(VLOOKUP('7.0.3'!AB77,'7.0.3'!$AM$4:$AO$55,2,FALSE))*IF('7.0.3'!BE$4="是",'7.0.3'!$AY$4,'7.0.3'!$AY$3)</f>
        <v>0</v>
      </c>
      <c r="U77" s="4">
        <f>(VLOOKUP('7.0.3'!AC77,'7.0.3'!$AM$4:$AO$55,2,FALSE))*IF('7.0.3'!BF$4="是",'7.0.3'!$AY$4,'7.0.3'!$AY$3)</f>
        <v>0</v>
      </c>
      <c r="V77" s="4">
        <f>(VLOOKUP('7.0.3'!AD77,'7.0.3'!$AM$4:$AO$55,2,FALSE))*IF('7.0.3'!BG$4="是",'7.0.3'!$AY$4,'7.0.3'!$AY$3)</f>
        <v>0</v>
      </c>
      <c r="W77" s="5">
        <f>(VLOOKUP('7.0.3'!AE77,'7.0.3'!$AM$4:$AO$55,2,FALSE))*IF('7.0.3'!BH$4="是",'7.0.3'!$AY$4,'7.0.3'!$AY$3)</f>
        <v>0</v>
      </c>
      <c r="X77" s="5">
        <f>(VLOOKUP('7.0.3'!AF77,'7.0.3'!$AM$4:$AO$55,2,FALSE))*IF('7.0.3'!BI$4="是",'7.0.3'!$AY$4,'7.0.3'!$AY$3)</f>
        <v>0</v>
      </c>
    </row>
    <row r="78" spans="1:24">
      <c r="A78" s="4">
        <f>(VLOOKUP('7.0.3'!I78,'7.0.3'!$AM$4:$AO$55,2,FALSE))*IF('7.0.3'!AK$4="是",'7.0.3'!$AY$4,'7.0.3'!$AY$3)</f>
        <v>180</v>
      </c>
      <c r="B78" s="4">
        <f>(VLOOKUP('7.0.3'!J78,'7.0.3'!$AM$4:$AO$55,2,FALSE))*IF('7.0.3'!AL$4="是",'7.0.3'!$AY$4,'7.0.3'!$AY$3)</f>
        <v>180</v>
      </c>
      <c r="C78" s="4">
        <f>(VLOOKUP('7.0.3'!K78,'7.0.3'!$AM$4:$AO$55,2,FALSE))*IF('7.0.3'!AM$4="是",'7.0.3'!$AY$4,'7.0.3'!$AY$3)</f>
        <v>180</v>
      </c>
      <c r="D78" s="4">
        <f>(VLOOKUP('7.0.3'!L78,'7.0.3'!$AM$4:$AO$55,2,FALSE))*IF('7.0.3'!AN$4="是",'7.0.3'!$AY$4,'7.0.3'!$AY$3)</f>
        <v>150</v>
      </c>
      <c r="E78" s="4">
        <f>(VLOOKUP('7.0.3'!M78,'7.0.3'!$AM$4:$AO$55,2,FALSE))*IF('7.0.3'!AO$4="是",'7.0.3'!$AY$4,'7.0.3'!$AY$3)</f>
        <v>170</v>
      </c>
      <c r="F78" s="4">
        <f>(VLOOKUP('7.0.3'!N78,'7.0.3'!$AM$4:$AO$55,2,FALSE))*IF('7.0.3'!AQ$4="是",'7.0.3'!$AY$4,'7.0.3'!$AY$3)</f>
        <v>170</v>
      </c>
      <c r="G78" s="5">
        <f>(VLOOKUP('7.0.3'!O78,'7.0.3'!$AM$4:$AO$55,2,FALSE))*IF('7.0.3'!AR$4="是",'7.0.3'!$AY$4,'7.0.3'!$AY$3)</f>
        <v>0</v>
      </c>
      <c r="H78" s="5">
        <f>(VLOOKUP('7.0.3'!P78,'7.0.3'!$AM$4:$AO$55,2,FALSE))*IF('7.0.3'!AS$4="是",'7.0.3'!$AY$4,'7.0.3'!$AY$3)</f>
        <v>0</v>
      </c>
      <c r="I78" s="4">
        <f>(VLOOKUP('7.0.3'!Q78,'7.0.3'!$AM$4:$AO$55,2,FALSE))*IF('7.0.3'!AT$4="是",'7.0.3'!$AY$4,'7.0.3'!$AY$3)</f>
        <v>170</v>
      </c>
      <c r="J78" s="4">
        <f>(VLOOKUP('7.0.3'!R78,'7.0.3'!$AM$4:$AO$55,2,FALSE))*IF('7.0.3'!AU$4="是",'7.0.3'!$AY$4,'7.0.3'!$AY$3)</f>
        <v>170</v>
      </c>
      <c r="K78" s="4">
        <f>(VLOOKUP('7.0.3'!S78,'7.0.3'!$AM$4:$AO$55,2,FALSE))*IF('7.0.3'!AV$4="是",'7.0.3'!$AY$4,'7.0.3'!$AY$3)</f>
        <v>170</v>
      </c>
      <c r="L78" s="4">
        <f>(VLOOKUP('7.0.3'!T78,'7.0.3'!$AM$4:$AO$55,2,FALSE))*IF('7.0.3'!AW$4="是",'7.0.3'!$AY$4,'7.0.3'!$AY$3)</f>
        <v>170</v>
      </c>
      <c r="M78" s="4">
        <f>(VLOOKUP('7.0.3'!U78,'7.0.3'!$AM$4:$AO$55,2,FALSE))*IF('7.0.3'!AX$4="是",'7.0.3'!$AY$4,'7.0.3'!$AY$3)</f>
        <v>170</v>
      </c>
      <c r="N78" s="4">
        <f>(VLOOKUP('7.0.3'!V78,'7.0.3'!$AM$4:$AO$55,2,FALSE))*IF('7.0.3'!AY$4="是",'7.0.3'!$AY$4,'7.0.3'!$AY$3)</f>
        <v>170</v>
      </c>
      <c r="O78" s="5">
        <f>(VLOOKUP('7.0.3'!W78,'7.0.3'!$AM$4:$AO$55,2,FALSE))*IF('7.0.3'!AZ$4="是",'7.0.3'!$AY$4,'7.0.3'!$AY$3)</f>
        <v>0</v>
      </c>
      <c r="P78" s="5">
        <f>(VLOOKUP('7.0.3'!X78,'7.0.3'!$AM$4:$AO$55,2,FALSE))*IF('7.0.3'!BA$4="是",'7.0.3'!$AY$4,'7.0.3'!$AY$3)</f>
        <v>0</v>
      </c>
      <c r="Q78" s="4">
        <f>(VLOOKUP('7.0.3'!Y78,'7.0.3'!$AM$4:$AO$55,2,FALSE))*IF('7.0.3'!BB$4="是",'7.0.3'!$AY$4,'7.0.3'!$AY$3)</f>
        <v>0</v>
      </c>
      <c r="R78" s="4">
        <f>(VLOOKUP('7.0.3'!Z78,'7.0.3'!$AM$4:$AO$55,2,FALSE))*IF('7.0.3'!BC$4="是",'7.0.3'!$AY$4,'7.0.3'!$AY$3)</f>
        <v>0</v>
      </c>
      <c r="S78" s="4">
        <f>(VLOOKUP('7.0.3'!AA78,'7.0.3'!$AM$4:$AO$55,2,FALSE))*IF('7.0.3'!BD$4="是",'7.0.3'!$AY$4,'7.0.3'!$AY$3)</f>
        <v>0</v>
      </c>
      <c r="T78" s="4">
        <f>(VLOOKUP('7.0.3'!AB78,'7.0.3'!$AM$4:$AO$55,2,FALSE))*IF('7.0.3'!BE$4="是",'7.0.3'!$AY$4,'7.0.3'!$AY$3)</f>
        <v>0</v>
      </c>
      <c r="U78" s="4">
        <f>(VLOOKUP('7.0.3'!AC78,'7.0.3'!$AM$4:$AO$55,2,FALSE))*IF('7.0.3'!BF$4="是",'7.0.3'!$AY$4,'7.0.3'!$AY$3)</f>
        <v>0</v>
      </c>
      <c r="V78" s="4">
        <f>(VLOOKUP('7.0.3'!AD78,'7.0.3'!$AM$4:$AO$55,2,FALSE))*IF('7.0.3'!BG$4="是",'7.0.3'!$AY$4,'7.0.3'!$AY$3)</f>
        <v>0</v>
      </c>
      <c r="W78" s="5">
        <f>(VLOOKUP('7.0.3'!AE78,'7.0.3'!$AM$4:$AO$55,2,FALSE))*IF('7.0.3'!BH$4="是",'7.0.3'!$AY$4,'7.0.3'!$AY$3)</f>
        <v>0</v>
      </c>
      <c r="X78" s="5">
        <f>(VLOOKUP('7.0.3'!AF78,'7.0.3'!$AM$4:$AO$55,2,FALSE))*IF('7.0.3'!BI$4="是",'7.0.3'!$AY$4,'7.0.3'!$AY$3)</f>
        <v>0</v>
      </c>
    </row>
    <row r="79" spans="1:24">
      <c r="A79" s="4">
        <f>(VLOOKUP('7.0.3'!I79,'7.0.3'!$AM$4:$AO$55,2,FALSE))*IF('7.0.3'!AK$4="是",'7.0.3'!$AY$4,'7.0.3'!$AY$3)</f>
        <v>180</v>
      </c>
      <c r="B79" s="4">
        <f>(VLOOKUP('7.0.3'!J79,'7.0.3'!$AM$4:$AO$55,2,FALSE))*IF('7.0.3'!AL$4="是",'7.0.3'!$AY$4,'7.0.3'!$AY$3)</f>
        <v>180</v>
      </c>
      <c r="C79" s="4">
        <f>(VLOOKUP('7.0.3'!K79,'7.0.3'!$AM$4:$AO$55,2,FALSE))*IF('7.0.3'!AM$4="是",'7.0.3'!$AY$4,'7.0.3'!$AY$3)</f>
        <v>180</v>
      </c>
      <c r="D79" s="4">
        <f>(VLOOKUP('7.0.3'!L79,'7.0.3'!$AM$4:$AO$55,2,FALSE))*IF('7.0.3'!AN$4="是",'7.0.3'!$AY$4,'7.0.3'!$AY$3)</f>
        <v>180</v>
      </c>
      <c r="E79" s="4">
        <f>(VLOOKUP('7.0.3'!M79,'7.0.3'!$AM$4:$AO$55,2,FALSE))*IF('7.0.3'!AO$4="是",'7.0.3'!$AY$4,'7.0.3'!$AY$3)</f>
        <v>180</v>
      </c>
      <c r="F79" s="4">
        <f>(VLOOKUP('7.0.3'!N79,'7.0.3'!$AM$4:$AO$55,2,FALSE))*IF('7.0.3'!AQ$4="是",'7.0.3'!$AY$4,'7.0.3'!$AY$3)</f>
        <v>180</v>
      </c>
      <c r="G79" s="5">
        <f>(VLOOKUP('7.0.3'!O79,'7.0.3'!$AM$4:$AO$55,2,FALSE))*IF('7.0.3'!AR$4="是",'7.0.3'!$AY$4,'7.0.3'!$AY$3)</f>
        <v>0</v>
      </c>
      <c r="H79" s="5">
        <f>(VLOOKUP('7.0.3'!P79,'7.0.3'!$AM$4:$AO$55,2,FALSE))*IF('7.0.3'!AS$4="是",'7.0.3'!$AY$4,'7.0.3'!$AY$3)</f>
        <v>0</v>
      </c>
      <c r="I79" s="4">
        <f>(VLOOKUP('7.0.3'!Q79,'7.0.3'!$AM$4:$AO$55,2,FALSE))*IF('7.0.3'!AT$4="是",'7.0.3'!$AY$4,'7.0.3'!$AY$3)</f>
        <v>170</v>
      </c>
      <c r="J79" s="4">
        <f>(VLOOKUP('7.0.3'!R79,'7.0.3'!$AM$4:$AO$55,2,FALSE))*IF('7.0.3'!AU$4="是",'7.0.3'!$AY$4,'7.0.3'!$AY$3)</f>
        <v>170</v>
      </c>
      <c r="K79" s="4">
        <f>(VLOOKUP('7.0.3'!S79,'7.0.3'!$AM$4:$AO$55,2,FALSE))*IF('7.0.3'!AV$4="是",'7.0.3'!$AY$4,'7.0.3'!$AY$3)</f>
        <v>170</v>
      </c>
      <c r="L79" s="4">
        <f>(VLOOKUP('7.0.3'!T79,'7.0.3'!$AM$4:$AO$55,2,FALSE))*IF('7.0.3'!AW$4="是",'7.0.3'!$AY$4,'7.0.3'!$AY$3)</f>
        <v>170</v>
      </c>
      <c r="M79" s="4">
        <f>(VLOOKUP('7.0.3'!U79,'7.0.3'!$AM$4:$AO$55,2,FALSE))*IF('7.0.3'!AX$4="是",'7.0.3'!$AY$4,'7.0.3'!$AY$3)</f>
        <v>170</v>
      </c>
      <c r="N79" s="4">
        <f>(VLOOKUP('7.0.3'!V79,'7.0.3'!$AM$4:$AO$55,2,FALSE))*IF('7.0.3'!AY$4="是",'7.0.3'!$AY$4,'7.0.3'!$AY$3)</f>
        <v>170</v>
      </c>
      <c r="O79" s="5">
        <f>(VLOOKUP('7.0.3'!W79,'7.0.3'!$AM$4:$AO$55,2,FALSE))*IF('7.0.3'!AZ$4="是",'7.0.3'!$AY$4,'7.0.3'!$AY$3)</f>
        <v>0</v>
      </c>
      <c r="P79" s="5">
        <f>(VLOOKUP('7.0.3'!X79,'7.0.3'!$AM$4:$AO$55,2,FALSE))*IF('7.0.3'!BA$4="是",'7.0.3'!$AY$4,'7.0.3'!$AY$3)</f>
        <v>0</v>
      </c>
      <c r="Q79" s="4">
        <f>(VLOOKUP('7.0.3'!Y79,'7.0.3'!$AM$4:$AO$55,2,FALSE))*IF('7.0.3'!BB$4="是",'7.0.3'!$AY$4,'7.0.3'!$AY$3)</f>
        <v>0</v>
      </c>
      <c r="R79" s="4">
        <f>(VLOOKUP('7.0.3'!Z79,'7.0.3'!$AM$4:$AO$55,2,FALSE))*IF('7.0.3'!BC$4="是",'7.0.3'!$AY$4,'7.0.3'!$AY$3)</f>
        <v>0</v>
      </c>
      <c r="S79" s="4">
        <f>(VLOOKUP('7.0.3'!AA79,'7.0.3'!$AM$4:$AO$55,2,FALSE))*IF('7.0.3'!BD$4="是",'7.0.3'!$AY$4,'7.0.3'!$AY$3)</f>
        <v>0</v>
      </c>
      <c r="T79" s="4">
        <f>(VLOOKUP('7.0.3'!AB79,'7.0.3'!$AM$4:$AO$55,2,FALSE))*IF('7.0.3'!BE$4="是",'7.0.3'!$AY$4,'7.0.3'!$AY$3)</f>
        <v>0</v>
      </c>
      <c r="U79" s="4">
        <f>(VLOOKUP('7.0.3'!AC79,'7.0.3'!$AM$4:$AO$55,2,FALSE))*IF('7.0.3'!BF$4="是",'7.0.3'!$AY$4,'7.0.3'!$AY$3)</f>
        <v>0</v>
      </c>
      <c r="V79" s="4">
        <f>(VLOOKUP('7.0.3'!AD79,'7.0.3'!$AM$4:$AO$55,2,FALSE))*IF('7.0.3'!BG$4="是",'7.0.3'!$AY$4,'7.0.3'!$AY$3)</f>
        <v>0</v>
      </c>
      <c r="W79" s="5">
        <f>(VLOOKUP('7.0.3'!AE79,'7.0.3'!$AM$4:$AO$55,2,FALSE))*IF('7.0.3'!BH$4="是",'7.0.3'!$AY$4,'7.0.3'!$AY$3)</f>
        <v>0</v>
      </c>
      <c r="X79" s="5">
        <f>(VLOOKUP('7.0.3'!AF79,'7.0.3'!$AM$4:$AO$55,2,FALSE))*IF('7.0.3'!BI$4="是",'7.0.3'!$AY$4,'7.0.3'!$AY$3)</f>
        <v>0</v>
      </c>
    </row>
    <row r="80" spans="1:24">
      <c r="A80" s="4">
        <f>(VLOOKUP('7.0.3'!I80,'7.0.3'!$AM$4:$AO$55,2,FALSE))*IF('7.0.3'!AK$4="是",'7.0.3'!$AY$4,'7.0.3'!$AY$3)</f>
        <v>180</v>
      </c>
      <c r="B80" s="4">
        <f>(VLOOKUP('7.0.3'!J80,'7.0.3'!$AM$4:$AO$55,2,FALSE))*IF('7.0.3'!AL$4="是",'7.0.3'!$AY$4,'7.0.3'!$AY$3)</f>
        <v>180</v>
      </c>
      <c r="C80" s="4">
        <f>(VLOOKUP('7.0.3'!K80,'7.0.3'!$AM$4:$AO$55,2,FALSE))*IF('7.0.3'!AM$4="是",'7.0.3'!$AY$4,'7.0.3'!$AY$3)</f>
        <v>50</v>
      </c>
      <c r="D80" s="4">
        <f>(VLOOKUP('7.0.3'!L80,'7.0.3'!$AM$4:$AO$55,2,FALSE))*IF('7.0.3'!AN$4="是",'7.0.3'!$AY$4,'7.0.3'!$AY$3)</f>
        <v>0</v>
      </c>
      <c r="E80" s="4">
        <f>(VLOOKUP('7.0.3'!M80,'7.0.3'!$AM$4:$AO$55,2,FALSE))*IF('7.0.3'!AO$4="是",'7.0.3'!$AY$4,'7.0.3'!$AY$3)</f>
        <v>0</v>
      </c>
      <c r="F80" s="4">
        <f>(VLOOKUP('7.0.3'!N80,'7.0.3'!$AM$4:$AO$55,2,FALSE))*IF('7.0.3'!AQ$4="是",'7.0.3'!$AY$4,'7.0.3'!$AY$3)</f>
        <v>0</v>
      </c>
      <c r="G80" s="5">
        <f>(VLOOKUP('7.0.3'!O80,'7.0.3'!$AM$4:$AO$55,2,FALSE))*IF('7.0.3'!AR$4="是",'7.0.3'!$AY$4,'7.0.3'!$AY$3)</f>
        <v>0</v>
      </c>
      <c r="H80" s="5">
        <f>(VLOOKUP('7.0.3'!P80,'7.0.3'!$AM$4:$AO$55,2,FALSE))*IF('7.0.3'!AS$4="是",'7.0.3'!$AY$4,'7.0.3'!$AY$3)</f>
        <v>0</v>
      </c>
      <c r="I80" s="4">
        <f>(VLOOKUP('7.0.3'!Q80,'7.0.3'!$AM$4:$AO$55,2,FALSE))*IF('7.0.3'!AT$4="是",'7.0.3'!$AY$4,'7.0.3'!$AY$3)</f>
        <v>170</v>
      </c>
      <c r="J80" s="4">
        <f>(VLOOKUP('7.0.3'!R80,'7.0.3'!$AM$4:$AO$55,2,FALSE))*IF('7.0.3'!AU$4="是",'7.0.3'!$AY$4,'7.0.3'!$AY$3)</f>
        <v>170</v>
      </c>
      <c r="K80" s="4">
        <f>(VLOOKUP('7.0.3'!S80,'7.0.3'!$AM$4:$AO$55,2,FALSE))*IF('7.0.3'!AV$4="是",'7.0.3'!$AY$4,'7.0.3'!$AY$3)</f>
        <v>170</v>
      </c>
      <c r="L80" s="4">
        <f>(VLOOKUP('7.0.3'!T80,'7.0.3'!$AM$4:$AO$55,2,FALSE))*IF('7.0.3'!AW$4="是",'7.0.3'!$AY$4,'7.0.3'!$AY$3)</f>
        <v>170</v>
      </c>
      <c r="M80" s="4">
        <f>(VLOOKUP('7.0.3'!U80,'7.0.3'!$AM$4:$AO$55,2,FALSE))*IF('7.0.3'!AX$4="是",'7.0.3'!$AY$4,'7.0.3'!$AY$3)</f>
        <v>170</v>
      </c>
      <c r="N80" s="4">
        <f>(VLOOKUP('7.0.3'!V80,'7.0.3'!$AM$4:$AO$55,2,FALSE))*IF('7.0.3'!AY$4="是",'7.0.3'!$AY$4,'7.0.3'!$AY$3)</f>
        <v>170</v>
      </c>
      <c r="O80" s="5">
        <f>(VLOOKUP('7.0.3'!W80,'7.0.3'!$AM$4:$AO$55,2,FALSE))*IF('7.0.3'!AZ$4="是",'7.0.3'!$AY$4,'7.0.3'!$AY$3)</f>
        <v>0</v>
      </c>
      <c r="P80" s="5">
        <f>(VLOOKUP('7.0.3'!X80,'7.0.3'!$AM$4:$AO$55,2,FALSE))*IF('7.0.3'!BA$4="是",'7.0.3'!$AY$4,'7.0.3'!$AY$3)</f>
        <v>0</v>
      </c>
      <c r="Q80" s="4">
        <f>(VLOOKUP('7.0.3'!Y80,'7.0.3'!$AM$4:$AO$55,2,FALSE))*IF('7.0.3'!BB$4="是",'7.0.3'!$AY$4,'7.0.3'!$AY$3)</f>
        <v>170</v>
      </c>
      <c r="R80" s="4">
        <f>(VLOOKUP('7.0.3'!Z80,'7.0.3'!$AM$4:$AO$55,2,FALSE))*IF('7.0.3'!BC$4="是",'7.0.3'!$AY$4,'7.0.3'!$AY$3)</f>
        <v>170</v>
      </c>
      <c r="S80" s="4">
        <f>(VLOOKUP('7.0.3'!AA80,'7.0.3'!$AM$4:$AO$55,2,FALSE))*IF('7.0.3'!BD$4="是",'7.0.3'!$AY$4,'7.0.3'!$AY$3)</f>
        <v>170</v>
      </c>
      <c r="T80" s="4">
        <f>(VLOOKUP('7.0.3'!AB80,'7.0.3'!$AM$4:$AO$55,2,FALSE))*IF('7.0.3'!BE$4="是",'7.0.3'!$AY$4,'7.0.3'!$AY$3)</f>
        <v>0</v>
      </c>
      <c r="U80" s="4">
        <f>(VLOOKUP('7.0.3'!AC80,'7.0.3'!$AM$4:$AO$55,2,FALSE))*IF('7.0.3'!BF$4="是",'7.0.3'!$AY$4,'7.0.3'!$AY$3)</f>
        <v>0</v>
      </c>
      <c r="V80" s="4">
        <f>(VLOOKUP('7.0.3'!AD80,'7.0.3'!$AM$4:$AO$55,2,FALSE))*IF('7.0.3'!BG$4="是",'7.0.3'!$AY$4,'7.0.3'!$AY$3)</f>
        <v>0</v>
      </c>
      <c r="W80" s="5">
        <f>(VLOOKUP('7.0.3'!AE80,'7.0.3'!$AM$4:$AO$55,2,FALSE))*IF('7.0.3'!BH$4="是",'7.0.3'!$AY$4,'7.0.3'!$AY$3)</f>
        <v>0</v>
      </c>
      <c r="X80" s="5">
        <f>(VLOOKUP('7.0.3'!AF80,'7.0.3'!$AM$4:$AO$55,2,FALSE))*IF('7.0.3'!BI$4="是",'7.0.3'!$AY$4,'7.0.3'!$AY$3)</f>
        <v>0</v>
      </c>
    </row>
    <row r="81" spans="1:24">
      <c r="A81" s="4">
        <f>(VLOOKUP('7.0.3'!I81,'7.0.3'!$AM$4:$AO$55,2,FALSE))*IF('7.0.3'!AK$4="是",'7.0.3'!$AY$4,'7.0.3'!$AY$3)</f>
        <v>0</v>
      </c>
      <c r="B81" s="4">
        <f>(VLOOKUP('7.0.3'!J81,'7.0.3'!$AM$4:$AO$55,2,FALSE))*IF('7.0.3'!AL$4="是",'7.0.3'!$AY$4,'7.0.3'!$AY$3)</f>
        <v>0</v>
      </c>
      <c r="C81" s="4">
        <f>(VLOOKUP('7.0.3'!K81,'7.0.3'!$AM$4:$AO$55,2,FALSE))*IF('7.0.3'!AM$4="是",'7.0.3'!$AY$4,'7.0.3'!$AY$3)</f>
        <v>0</v>
      </c>
      <c r="D81" s="4">
        <f>(VLOOKUP('7.0.3'!L81,'7.0.3'!$AM$4:$AO$55,2,FALSE))*IF('7.0.3'!AN$4="是",'7.0.3'!$AY$4,'7.0.3'!$AY$3)</f>
        <v>0</v>
      </c>
      <c r="E81" s="4">
        <f>(VLOOKUP('7.0.3'!M81,'7.0.3'!$AM$4:$AO$55,2,FALSE))*IF('7.0.3'!AO$4="是",'7.0.3'!$AY$4,'7.0.3'!$AY$3)</f>
        <v>0</v>
      </c>
      <c r="F81" s="4">
        <f>(VLOOKUP('7.0.3'!N81,'7.0.3'!$AM$4:$AO$55,2,FALSE))*IF('7.0.3'!AQ$4="是",'7.0.3'!$AY$4,'7.0.3'!$AY$3)</f>
        <v>0</v>
      </c>
      <c r="G81" s="5">
        <f>(VLOOKUP('7.0.3'!O81,'7.0.3'!$AM$4:$AO$55,2,FALSE))*IF('7.0.3'!AR$4="是",'7.0.3'!$AY$4,'7.0.3'!$AY$3)</f>
        <v>0</v>
      </c>
      <c r="H81" s="5">
        <f>(VLOOKUP('7.0.3'!P81,'7.0.3'!$AM$4:$AO$55,2,FALSE))*IF('7.0.3'!AS$4="是",'7.0.3'!$AY$4,'7.0.3'!$AY$3)</f>
        <v>0</v>
      </c>
      <c r="I81" s="4">
        <f>(VLOOKUP('7.0.3'!Q81,'7.0.3'!$AM$4:$AO$55,2,FALSE))*IF('7.0.3'!AT$4="是",'7.0.3'!$AY$4,'7.0.3'!$AY$3)</f>
        <v>170</v>
      </c>
      <c r="J81" s="4">
        <f>(VLOOKUP('7.0.3'!R81,'7.0.3'!$AM$4:$AO$55,2,FALSE))*IF('7.0.3'!AU$4="是",'7.0.3'!$AY$4,'7.0.3'!$AY$3)</f>
        <v>170</v>
      </c>
      <c r="K81" s="4">
        <f>(VLOOKUP('7.0.3'!S81,'7.0.3'!$AM$4:$AO$55,2,FALSE))*IF('7.0.3'!AV$4="是",'7.0.3'!$AY$4,'7.0.3'!$AY$3)</f>
        <v>170</v>
      </c>
      <c r="L81" s="4">
        <f>(VLOOKUP('7.0.3'!T81,'7.0.3'!$AM$4:$AO$55,2,FALSE))*IF('7.0.3'!AW$4="是",'7.0.3'!$AY$4,'7.0.3'!$AY$3)</f>
        <v>50</v>
      </c>
      <c r="M81" s="4">
        <f>(VLOOKUP('7.0.3'!U81,'7.0.3'!$AM$4:$AO$55,2,FALSE))*IF('7.0.3'!AX$4="是",'7.0.3'!$AY$4,'7.0.3'!$AY$3)</f>
        <v>170</v>
      </c>
      <c r="N81" s="4">
        <f>(VLOOKUP('7.0.3'!V81,'7.0.3'!$AM$4:$AO$55,2,FALSE))*IF('7.0.3'!AY$4="是",'7.0.3'!$AY$4,'7.0.3'!$AY$3)</f>
        <v>170</v>
      </c>
      <c r="O81" s="5">
        <f>(VLOOKUP('7.0.3'!W81,'7.0.3'!$AM$4:$AO$55,2,FALSE))*IF('7.0.3'!AZ$4="是",'7.0.3'!$AY$4,'7.0.3'!$AY$3)</f>
        <v>0</v>
      </c>
      <c r="P81" s="5">
        <f>(VLOOKUP('7.0.3'!X81,'7.0.3'!$AM$4:$AO$55,2,FALSE))*IF('7.0.3'!BA$4="是",'7.0.3'!$AY$4,'7.0.3'!$AY$3)</f>
        <v>0</v>
      </c>
      <c r="Q81" s="4">
        <f>(VLOOKUP('7.0.3'!Y81,'7.0.3'!$AM$4:$AO$55,2,FALSE))*IF('7.0.3'!BB$4="是",'7.0.3'!$AY$4,'7.0.3'!$AY$3)</f>
        <v>170</v>
      </c>
      <c r="R81" s="4">
        <f>(VLOOKUP('7.0.3'!Z81,'7.0.3'!$AM$4:$AO$55,2,FALSE))*IF('7.0.3'!BC$4="是",'7.0.3'!$AY$4,'7.0.3'!$AY$3)</f>
        <v>170</v>
      </c>
      <c r="S81" s="4">
        <f>(VLOOKUP('7.0.3'!AA81,'7.0.3'!$AM$4:$AO$55,2,FALSE))*IF('7.0.3'!BD$4="是",'7.0.3'!$AY$4,'7.0.3'!$AY$3)</f>
        <v>180</v>
      </c>
      <c r="T81" s="4">
        <f>(VLOOKUP('7.0.3'!AB81,'7.0.3'!$AM$4:$AO$55,2,FALSE))*IF('7.0.3'!BE$4="是",'7.0.3'!$AY$4,'7.0.3'!$AY$3)</f>
        <v>180</v>
      </c>
      <c r="U81" s="4">
        <f>(VLOOKUP('7.0.3'!AC81,'7.0.3'!$AM$4:$AO$55,2,FALSE))*IF('7.0.3'!BF$4="是",'7.0.3'!$AY$4,'7.0.3'!$AY$3)</f>
        <v>180</v>
      </c>
      <c r="V81" s="4">
        <f>(VLOOKUP('7.0.3'!AD81,'7.0.3'!$AM$4:$AO$55,2,FALSE))*IF('7.0.3'!BG$4="是",'7.0.3'!$AY$4,'7.0.3'!$AY$3)</f>
        <v>180</v>
      </c>
      <c r="W81" s="5">
        <f>(VLOOKUP('7.0.3'!AE81,'7.0.3'!$AM$4:$AO$55,2,FALSE))*IF('7.0.3'!BH$4="是",'7.0.3'!$AY$4,'7.0.3'!$AY$3)</f>
        <v>0</v>
      </c>
      <c r="X81" s="5">
        <f>(VLOOKUP('7.0.3'!AF81,'7.0.3'!$AM$4:$AO$55,2,FALSE))*IF('7.0.3'!BI$4="是",'7.0.3'!$AY$4,'7.0.3'!$AY$3)</f>
        <v>0</v>
      </c>
    </row>
    <row r="82" spans="1:24">
      <c r="A82" s="4">
        <f>(VLOOKUP('7.0.3'!I82,'7.0.3'!$AM$4:$AO$55,2,FALSE))*IF('7.0.3'!AK$4="是",'7.0.3'!$AY$4,'7.0.3'!$AY$3)</f>
        <v>0</v>
      </c>
      <c r="B82" s="4">
        <f>(VLOOKUP('7.0.3'!J82,'7.0.3'!$AM$4:$AO$55,2,FALSE))*IF('7.0.3'!AL$4="是",'7.0.3'!$AY$4,'7.0.3'!$AY$3)</f>
        <v>0</v>
      </c>
      <c r="C82" s="4">
        <f>(VLOOKUP('7.0.3'!K82,'7.0.3'!$AM$4:$AO$55,2,FALSE))*IF('7.0.3'!AM$4="是",'7.0.3'!$AY$4,'7.0.3'!$AY$3)</f>
        <v>0</v>
      </c>
      <c r="D82" s="4">
        <f>(VLOOKUP('7.0.3'!L82,'7.0.3'!$AM$4:$AO$55,2,FALSE))*IF('7.0.3'!AN$4="是",'7.0.3'!$AY$4,'7.0.3'!$AY$3)</f>
        <v>0</v>
      </c>
      <c r="E82" s="4">
        <f>(VLOOKUP('7.0.3'!M82,'7.0.3'!$AM$4:$AO$55,2,FALSE))*IF('7.0.3'!AO$4="是",'7.0.3'!$AY$4,'7.0.3'!$AY$3)</f>
        <v>0</v>
      </c>
      <c r="F82" s="4">
        <f>(VLOOKUP('7.0.3'!N82,'7.0.3'!$AM$4:$AO$55,2,FALSE))*IF('7.0.3'!AQ$4="是",'7.0.3'!$AY$4,'7.0.3'!$AY$3)</f>
        <v>0</v>
      </c>
      <c r="G82" s="5">
        <f>(VLOOKUP('7.0.3'!O82,'7.0.3'!$AM$4:$AO$55,2,FALSE))*IF('7.0.3'!AR$4="是",'7.0.3'!$AY$4,'7.0.3'!$AY$3)</f>
        <v>0</v>
      </c>
      <c r="H82" s="5">
        <f>(VLOOKUP('7.0.3'!P82,'7.0.3'!$AM$4:$AO$55,2,FALSE))*IF('7.0.3'!AS$4="是",'7.0.3'!$AY$4,'7.0.3'!$AY$3)</f>
        <v>0</v>
      </c>
      <c r="I82" s="4">
        <f>(VLOOKUP('7.0.3'!Q82,'7.0.3'!$AM$4:$AO$55,2,FALSE))*IF('7.0.3'!AT$4="是",'7.0.3'!$AY$4,'7.0.3'!$AY$3)</f>
        <v>170</v>
      </c>
      <c r="J82" s="4">
        <f>(VLOOKUP('7.0.3'!R82,'7.0.3'!$AM$4:$AO$55,2,FALSE))*IF('7.0.3'!AU$4="是",'7.0.3'!$AY$4,'7.0.3'!$AY$3)</f>
        <v>170</v>
      </c>
      <c r="K82" s="4">
        <f>(VLOOKUP('7.0.3'!S82,'7.0.3'!$AM$4:$AO$55,2,FALSE))*IF('7.0.3'!AV$4="是",'7.0.3'!$AY$4,'7.0.3'!$AY$3)</f>
        <v>170</v>
      </c>
      <c r="L82" s="4">
        <f>(VLOOKUP('7.0.3'!T82,'7.0.3'!$AM$4:$AO$55,2,FALSE))*IF('7.0.3'!AW$4="是",'7.0.3'!$AY$4,'7.0.3'!$AY$3)</f>
        <v>170</v>
      </c>
      <c r="M82" s="4">
        <f>(VLOOKUP('7.0.3'!U82,'7.0.3'!$AM$4:$AO$55,2,FALSE))*IF('7.0.3'!AX$4="是",'7.0.3'!$AY$4,'7.0.3'!$AY$3)</f>
        <v>170</v>
      </c>
      <c r="N82" s="4">
        <f>(VLOOKUP('7.0.3'!V82,'7.0.3'!$AM$4:$AO$55,2,FALSE))*IF('7.0.3'!AY$4="是",'7.0.3'!$AY$4,'7.0.3'!$AY$3)</f>
        <v>170</v>
      </c>
      <c r="O82" s="5">
        <f>(VLOOKUP('7.0.3'!W82,'7.0.3'!$AM$4:$AO$55,2,FALSE))*IF('7.0.3'!AZ$4="是",'7.0.3'!$AY$4,'7.0.3'!$AY$3)</f>
        <v>0</v>
      </c>
      <c r="P82" s="5">
        <f>(VLOOKUP('7.0.3'!X82,'7.0.3'!$AM$4:$AO$55,2,FALSE))*IF('7.0.3'!BA$4="是",'7.0.3'!$AY$4,'7.0.3'!$AY$3)</f>
        <v>0</v>
      </c>
      <c r="Q82" s="4">
        <f>(VLOOKUP('7.0.3'!Y82,'7.0.3'!$AM$4:$AO$55,2,FALSE))*IF('7.0.3'!BB$4="是",'7.0.3'!$AY$4,'7.0.3'!$AY$3)</f>
        <v>180</v>
      </c>
      <c r="R82" s="4">
        <f>(VLOOKUP('7.0.3'!Z82,'7.0.3'!$AM$4:$AO$55,2,FALSE))*IF('7.0.3'!BC$4="是",'7.0.3'!$AY$4,'7.0.3'!$AY$3)</f>
        <v>180</v>
      </c>
      <c r="S82" s="4">
        <f>(VLOOKUP('7.0.3'!AA82,'7.0.3'!$AM$4:$AO$55,2,FALSE))*IF('7.0.3'!BD$4="是",'7.0.3'!$AY$4,'7.0.3'!$AY$3)</f>
        <v>180</v>
      </c>
      <c r="T82" s="4">
        <f>(VLOOKUP('7.0.3'!AB82,'7.0.3'!$AM$4:$AO$55,2,FALSE))*IF('7.0.3'!BE$4="是",'7.0.3'!$AY$4,'7.0.3'!$AY$3)</f>
        <v>180</v>
      </c>
      <c r="U82" s="4">
        <f>(VLOOKUP('7.0.3'!AC82,'7.0.3'!$AM$4:$AO$55,2,FALSE))*IF('7.0.3'!BF$4="是",'7.0.3'!$AY$4,'7.0.3'!$AY$3)</f>
        <v>50</v>
      </c>
      <c r="V82" s="4">
        <f>(VLOOKUP('7.0.3'!AD82,'7.0.3'!$AM$4:$AO$55,2,FALSE))*IF('7.0.3'!BG$4="是",'7.0.3'!$AY$4,'7.0.3'!$AY$3)</f>
        <v>180</v>
      </c>
      <c r="W82" s="5">
        <f>(VLOOKUP('7.0.3'!AE82,'7.0.3'!$AM$4:$AO$55,2,FALSE))*IF('7.0.3'!BH$4="是",'7.0.3'!$AY$4,'7.0.3'!$AY$3)</f>
        <v>0</v>
      </c>
      <c r="X82" s="5">
        <f>(VLOOKUP('7.0.3'!AF82,'7.0.3'!$AM$4:$AO$55,2,FALSE))*IF('7.0.3'!BI$4="是",'7.0.3'!$AY$4,'7.0.3'!$AY$3)</f>
        <v>0</v>
      </c>
    </row>
    <row r="83" spans="1:24">
      <c r="A83" s="4">
        <f>(VLOOKUP('7.0.3'!I83,'7.0.3'!$AM$4:$AO$55,2,FALSE))*IF('7.0.3'!AK$4="是",'7.0.3'!$AY$4,'7.0.3'!$AY$3)</f>
        <v>0</v>
      </c>
      <c r="B83" s="4">
        <f>(VLOOKUP('7.0.3'!J83,'7.0.3'!$AM$4:$AO$55,2,FALSE))*IF('7.0.3'!AL$4="是",'7.0.3'!$AY$4,'7.0.3'!$AY$3)</f>
        <v>0</v>
      </c>
      <c r="C83" s="4">
        <f>(VLOOKUP('7.0.3'!K83,'7.0.3'!$AM$4:$AO$55,2,FALSE))*IF('7.0.3'!AM$4="是",'7.0.3'!$AY$4,'7.0.3'!$AY$3)</f>
        <v>0</v>
      </c>
      <c r="D83" s="4">
        <f>(VLOOKUP('7.0.3'!L83,'7.0.3'!$AM$4:$AO$55,2,FALSE))*IF('7.0.3'!AN$4="是",'7.0.3'!$AY$4,'7.0.3'!$AY$3)</f>
        <v>0</v>
      </c>
      <c r="E83" s="4">
        <f>(VLOOKUP('7.0.3'!M83,'7.0.3'!$AM$4:$AO$55,2,FALSE))*IF('7.0.3'!AO$4="是",'7.0.3'!$AY$4,'7.0.3'!$AY$3)</f>
        <v>0</v>
      </c>
      <c r="F83" s="4">
        <f>(VLOOKUP('7.0.3'!N83,'7.0.3'!$AM$4:$AO$55,2,FALSE))*IF('7.0.3'!AQ$4="是",'7.0.3'!$AY$4,'7.0.3'!$AY$3)</f>
        <v>0</v>
      </c>
      <c r="G83" s="5">
        <f>(VLOOKUP('7.0.3'!O83,'7.0.3'!$AM$4:$AO$55,2,FALSE))*IF('7.0.3'!AR$4="是",'7.0.3'!$AY$4,'7.0.3'!$AY$3)</f>
        <v>0</v>
      </c>
      <c r="H83" s="5">
        <f>(VLOOKUP('7.0.3'!P83,'7.0.3'!$AM$4:$AO$55,2,FALSE))*IF('7.0.3'!AS$4="是",'7.0.3'!$AY$4,'7.0.3'!$AY$3)</f>
        <v>0</v>
      </c>
      <c r="I83" s="4">
        <f>(VLOOKUP('7.0.3'!Q83,'7.0.3'!$AM$4:$AO$55,2,FALSE))*IF('7.0.3'!AT$4="是",'7.0.3'!$AY$4,'7.0.3'!$AY$3)</f>
        <v>170</v>
      </c>
      <c r="J83" s="4">
        <f>(VLOOKUP('7.0.3'!R83,'7.0.3'!$AM$4:$AO$55,2,FALSE))*IF('7.0.3'!AU$4="是",'7.0.3'!$AY$4,'7.0.3'!$AY$3)</f>
        <v>170</v>
      </c>
      <c r="K83" s="4">
        <f>(VLOOKUP('7.0.3'!S83,'7.0.3'!$AM$4:$AO$55,2,FALSE))*IF('7.0.3'!AV$4="是",'7.0.3'!$AY$4,'7.0.3'!$AY$3)</f>
        <v>170</v>
      </c>
      <c r="L83" s="4">
        <f>(VLOOKUP('7.0.3'!T83,'7.0.3'!$AM$4:$AO$55,2,FALSE))*IF('7.0.3'!AW$4="是",'7.0.3'!$AY$4,'7.0.3'!$AY$3)</f>
        <v>170</v>
      </c>
      <c r="M83" s="4">
        <f>(VLOOKUP('7.0.3'!U83,'7.0.3'!$AM$4:$AO$55,2,FALSE))*IF('7.0.3'!AX$4="是",'7.0.3'!$AY$4,'7.0.3'!$AY$3)</f>
        <v>170</v>
      </c>
      <c r="N83" s="4">
        <f>(VLOOKUP('7.0.3'!V83,'7.0.3'!$AM$4:$AO$55,2,FALSE))*IF('7.0.3'!AY$4="是",'7.0.3'!$AY$4,'7.0.3'!$AY$3)</f>
        <v>170</v>
      </c>
      <c r="O83" s="5">
        <f>(VLOOKUP('7.0.3'!W83,'7.0.3'!$AM$4:$AO$55,2,FALSE))*IF('7.0.3'!AZ$4="是",'7.0.3'!$AY$4,'7.0.3'!$AY$3)</f>
        <v>0</v>
      </c>
      <c r="P83" s="5">
        <f>(VLOOKUP('7.0.3'!X83,'7.0.3'!$AM$4:$AO$55,2,FALSE))*IF('7.0.3'!BA$4="是",'7.0.3'!$AY$4,'7.0.3'!$AY$3)</f>
        <v>0</v>
      </c>
      <c r="Q83" s="4">
        <f>(VLOOKUP('7.0.3'!Y83,'7.0.3'!$AM$4:$AO$55,2,FALSE))*IF('7.0.3'!BB$4="是",'7.0.3'!$AY$4,'7.0.3'!$AY$3)</f>
        <v>180</v>
      </c>
      <c r="R83" s="4">
        <f>(VLOOKUP('7.0.3'!Z83,'7.0.3'!$AM$4:$AO$55,2,FALSE))*IF('7.0.3'!BC$4="是",'7.0.3'!$AY$4,'7.0.3'!$AY$3)</f>
        <v>180</v>
      </c>
      <c r="S83" s="4">
        <f>(VLOOKUP('7.0.3'!AA83,'7.0.3'!$AM$4:$AO$55,2,FALSE))*IF('7.0.3'!BD$4="是",'7.0.3'!$AY$4,'7.0.3'!$AY$3)</f>
        <v>180</v>
      </c>
      <c r="T83" s="4">
        <f>(VLOOKUP('7.0.3'!AB83,'7.0.3'!$AM$4:$AO$55,2,FALSE))*IF('7.0.3'!BE$4="是",'7.0.3'!$AY$4,'7.0.3'!$AY$3)</f>
        <v>180</v>
      </c>
      <c r="U83" s="4">
        <f>(VLOOKUP('7.0.3'!AC83,'7.0.3'!$AM$4:$AO$55,2,FALSE))*IF('7.0.3'!BF$4="是",'7.0.3'!$AY$4,'7.0.3'!$AY$3)</f>
        <v>180</v>
      </c>
      <c r="V83" s="4">
        <f>(VLOOKUP('7.0.3'!AD83,'7.0.3'!$AM$4:$AO$55,2,FALSE))*IF('7.0.3'!BG$4="是",'7.0.3'!$AY$4,'7.0.3'!$AY$3)</f>
        <v>180</v>
      </c>
      <c r="W83" s="5">
        <f>(VLOOKUP('7.0.3'!AE83,'7.0.3'!$AM$4:$AO$55,2,FALSE))*IF('7.0.3'!BH$4="是",'7.0.3'!$AY$4,'7.0.3'!$AY$3)</f>
        <v>0</v>
      </c>
      <c r="X83" s="5">
        <f>(VLOOKUP('7.0.3'!AF83,'7.0.3'!$AM$4:$AO$55,2,FALSE))*IF('7.0.3'!BI$4="是",'7.0.3'!$AY$4,'7.0.3'!$AY$3)</f>
        <v>0</v>
      </c>
    </row>
    <row r="84" spans="1:24">
      <c r="A84" s="4">
        <f>(VLOOKUP('7.0.3'!I84,'7.0.3'!$AM$4:$AO$55,2,FALSE))*IF('7.0.3'!AK$4="是",'7.0.3'!$AY$4,'7.0.3'!$AY$3)</f>
        <v>0</v>
      </c>
      <c r="B84" s="4">
        <f>(VLOOKUP('7.0.3'!J84,'7.0.3'!$AM$4:$AO$55,2,FALSE))*IF('7.0.3'!AL$4="是",'7.0.3'!$AY$4,'7.0.3'!$AY$3)</f>
        <v>0</v>
      </c>
      <c r="C84" s="4">
        <f>(VLOOKUP('7.0.3'!K84,'7.0.3'!$AM$4:$AO$55,2,FALSE))*IF('7.0.3'!AM$4="是",'7.0.3'!$AY$4,'7.0.3'!$AY$3)</f>
        <v>0</v>
      </c>
      <c r="D84" s="4">
        <f>(VLOOKUP('7.0.3'!L84,'7.0.3'!$AM$4:$AO$55,2,FALSE))*IF('7.0.3'!AN$4="是",'7.0.3'!$AY$4,'7.0.3'!$AY$3)</f>
        <v>0</v>
      </c>
      <c r="E84" s="4">
        <f>(VLOOKUP('7.0.3'!M84,'7.0.3'!$AM$4:$AO$55,2,FALSE))*IF('7.0.3'!AO$4="是",'7.0.3'!$AY$4,'7.0.3'!$AY$3)</f>
        <v>0</v>
      </c>
      <c r="F84" s="4">
        <f>(VLOOKUP('7.0.3'!N84,'7.0.3'!$AM$4:$AO$55,2,FALSE))*IF('7.0.3'!AQ$4="是",'7.0.3'!$AY$4,'7.0.3'!$AY$3)</f>
        <v>0</v>
      </c>
      <c r="G84" s="5">
        <f>(VLOOKUP('7.0.3'!O84,'7.0.3'!$AM$4:$AO$55,2,FALSE))*IF('7.0.3'!AR$4="是",'7.0.3'!$AY$4,'7.0.3'!$AY$3)</f>
        <v>0</v>
      </c>
      <c r="H84" s="5">
        <f>(VLOOKUP('7.0.3'!P84,'7.0.3'!$AM$4:$AO$55,2,FALSE))*IF('7.0.3'!AS$4="是",'7.0.3'!$AY$4,'7.0.3'!$AY$3)</f>
        <v>0</v>
      </c>
      <c r="I84" s="4">
        <f>(VLOOKUP('7.0.3'!Q84,'7.0.3'!$AM$4:$AO$55,2,FALSE))*IF('7.0.3'!AT$4="是",'7.0.3'!$AY$4,'7.0.3'!$AY$3)</f>
        <v>170</v>
      </c>
      <c r="J84" s="4">
        <f>(VLOOKUP('7.0.3'!R84,'7.0.3'!$AM$4:$AO$55,2,FALSE))*IF('7.0.3'!AU$4="是",'7.0.3'!$AY$4,'7.0.3'!$AY$3)</f>
        <v>170</v>
      </c>
      <c r="K84" s="4">
        <f>(VLOOKUP('7.0.3'!S84,'7.0.3'!$AM$4:$AO$55,2,FALSE))*IF('7.0.3'!AV$4="是",'7.0.3'!$AY$4,'7.0.3'!$AY$3)</f>
        <v>170</v>
      </c>
      <c r="L84" s="4">
        <f>(VLOOKUP('7.0.3'!T84,'7.0.3'!$AM$4:$AO$55,2,FALSE))*IF('7.0.3'!AW$4="是",'7.0.3'!$AY$4,'7.0.3'!$AY$3)</f>
        <v>170</v>
      </c>
      <c r="M84" s="4">
        <f>(VLOOKUP('7.0.3'!U84,'7.0.3'!$AM$4:$AO$55,2,FALSE))*IF('7.0.3'!AX$4="是",'7.0.3'!$AY$4,'7.0.3'!$AY$3)</f>
        <v>170</v>
      </c>
      <c r="N84" s="4">
        <f>(VLOOKUP('7.0.3'!V84,'7.0.3'!$AM$4:$AO$55,2,FALSE))*IF('7.0.3'!AY$4="是",'7.0.3'!$AY$4,'7.0.3'!$AY$3)</f>
        <v>170</v>
      </c>
      <c r="O84" s="5">
        <f>(VLOOKUP('7.0.3'!W84,'7.0.3'!$AM$4:$AO$55,2,FALSE))*IF('7.0.3'!AZ$4="是",'7.0.3'!$AY$4,'7.0.3'!$AY$3)</f>
        <v>0</v>
      </c>
      <c r="P84" s="5">
        <f>(VLOOKUP('7.0.3'!X84,'7.0.3'!$AM$4:$AO$55,2,FALSE))*IF('7.0.3'!BA$4="是",'7.0.3'!$AY$4,'7.0.3'!$AY$3)</f>
        <v>0</v>
      </c>
      <c r="Q84" s="4">
        <f>(VLOOKUP('7.0.3'!Y84,'7.0.3'!$AM$4:$AO$55,2,FALSE))*IF('7.0.3'!BB$4="是",'7.0.3'!$AY$4,'7.0.3'!$AY$3)</f>
        <v>180</v>
      </c>
      <c r="R84" s="4">
        <f>(VLOOKUP('7.0.3'!Z84,'7.0.3'!$AM$4:$AO$55,2,FALSE))*IF('7.0.3'!BC$4="是",'7.0.3'!$AY$4,'7.0.3'!$AY$3)</f>
        <v>180</v>
      </c>
      <c r="S84" s="4">
        <f>(VLOOKUP('7.0.3'!AA84,'7.0.3'!$AM$4:$AO$55,2,FALSE))*IF('7.0.3'!BD$4="是",'7.0.3'!$AY$4,'7.0.3'!$AY$3)</f>
        <v>180</v>
      </c>
      <c r="T84" s="4">
        <f>(VLOOKUP('7.0.3'!AB84,'7.0.3'!$AM$4:$AO$55,2,FALSE))*IF('7.0.3'!BE$4="是",'7.0.3'!$AY$4,'7.0.3'!$AY$3)</f>
        <v>-200</v>
      </c>
      <c r="U84" s="4">
        <f>(VLOOKUP('7.0.3'!AC84,'7.0.3'!$AM$4:$AO$55,2,FALSE))*IF('7.0.3'!BF$4="是",'7.0.3'!$AY$4,'7.0.3'!$AY$3)</f>
        <v>180</v>
      </c>
      <c r="V84" s="4">
        <f>(VLOOKUP('7.0.3'!AD84,'7.0.3'!$AM$4:$AO$55,2,FALSE))*IF('7.0.3'!BG$4="是",'7.0.3'!$AY$4,'7.0.3'!$AY$3)</f>
        <v>180</v>
      </c>
      <c r="W84" s="5">
        <f>(VLOOKUP('7.0.3'!AE84,'7.0.3'!$AM$4:$AO$55,2,FALSE))*IF('7.0.3'!BH$4="是",'7.0.3'!$AY$4,'7.0.3'!$AY$3)</f>
        <v>180</v>
      </c>
      <c r="X84" s="5">
        <f>(VLOOKUP('7.0.3'!AF84,'7.0.3'!$AM$4:$AO$55,2,FALSE))*IF('7.0.3'!BI$4="是",'7.0.3'!$AY$4,'7.0.3'!$AY$3)</f>
        <v>0</v>
      </c>
    </row>
    <row r="85" spans="1:24">
      <c r="A85" s="4">
        <f>(VLOOKUP('7.0.3'!I85,'7.0.3'!$AM$4:$AO$55,2,FALSE))*IF('7.0.3'!AK$4="是",'7.0.3'!$AY$4,'7.0.3'!$AY$3)</f>
        <v>0</v>
      </c>
      <c r="B85" s="4">
        <f>(VLOOKUP('7.0.3'!J85,'7.0.3'!$AM$4:$AO$55,2,FALSE))*IF('7.0.3'!AL$4="是",'7.0.3'!$AY$4,'7.0.3'!$AY$3)</f>
        <v>0</v>
      </c>
      <c r="C85" s="4">
        <f>(VLOOKUP('7.0.3'!K85,'7.0.3'!$AM$4:$AO$55,2,FALSE))*IF('7.0.3'!AM$4="是",'7.0.3'!$AY$4,'7.0.3'!$AY$3)</f>
        <v>0</v>
      </c>
      <c r="D85" s="4">
        <f>(VLOOKUP('7.0.3'!L85,'7.0.3'!$AM$4:$AO$55,2,FALSE))*IF('7.0.3'!AN$4="是",'7.0.3'!$AY$4,'7.0.3'!$AY$3)</f>
        <v>0</v>
      </c>
      <c r="E85" s="4">
        <f>(VLOOKUP('7.0.3'!M85,'7.0.3'!$AM$4:$AO$55,2,FALSE))*IF('7.0.3'!AO$4="是",'7.0.3'!$AY$4,'7.0.3'!$AY$3)</f>
        <v>0</v>
      </c>
      <c r="F85" s="4">
        <f>(VLOOKUP('7.0.3'!N85,'7.0.3'!$AM$4:$AO$55,2,FALSE))*IF('7.0.3'!AQ$4="是",'7.0.3'!$AY$4,'7.0.3'!$AY$3)</f>
        <v>0</v>
      </c>
      <c r="G85" s="5">
        <f>(VLOOKUP('7.0.3'!O85,'7.0.3'!$AM$4:$AO$55,2,FALSE))*IF('7.0.3'!AR$4="是",'7.0.3'!$AY$4,'7.0.3'!$AY$3)</f>
        <v>0</v>
      </c>
      <c r="H85" s="5">
        <f>(VLOOKUP('7.0.3'!P85,'7.0.3'!$AM$4:$AO$55,2,FALSE))*IF('7.0.3'!AS$4="是",'7.0.3'!$AY$4,'7.0.3'!$AY$3)</f>
        <v>0</v>
      </c>
      <c r="I85" s="4">
        <f>(VLOOKUP('7.0.3'!Q85,'7.0.3'!$AM$4:$AO$55,2,FALSE))*IF('7.0.3'!AT$4="是",'7.0.3'!$AY$4,'7.0.3'!$AY$3)</f>
        <v>50</v>
      </c>
      <c r="J85" s="4">
        <f>(VLOOKUP('7.0.3'!R85,'7.0.3'!$AM$4:$AO$55,2,FALSE))*IF('7.0.3'!AU$4="是",'7.0.3'!$AY$4,'7.0.3'!$AY$3)</f>
        <v>170</v>
      </c>
      <c r="K85" s="4">
        <f>(VLOOKUP('7.0.3'!S85,'7.0.3'!$AM$4:$AO$55,2,FALSE))*IF('7.0.3'!AV$4="是",'7.0.3'!$AY$4,'7.0.3'!$AY$3)</f>
        <v>170</v>
      </c>
      <c r="L85" s="4">
        <f>(VLOOKUP('7.0.3'!T85,'7.0.3'!$AM$4:$AO$55,2,FALSE))*IF('7.0.3'!AW$4="是",'7.0.3'!$AY$4,'7.0.3'!$AY$3)</f>
        <v>170</v>
      </c>
      <c r="M85" s="4">
        <f>(VLOOKUP('7.0.3'!U85,'7.0.3'!$AM$4:$AO$55,2,FALSE))*IF('7.0.3'!AX$4="是",'7.0.3'!$AY$4,'7.0.3'!$AY$3)</f>
        <v>170</v>
      </c>
      <c r="N85" s="4">
        <f>(VLOOKUP('7.0.3'!V85,'7.0.3'!$AM$4:$AO$55,2,FALSE))*IF('7.0.3'!AY$4="是",'7.0.3'!$AY$4,'7.0.3'!$AY$3)</f>
        <v>170</v>
      </c>
      <c r="O85" s="5">
        <f>(VLOOKUP('7.0.3'!W85,'7.0.3'!$AM$4:$AO$55,2,FALSE))*IF('7.0.3'!AZ$4="是",'7.0.3'!$AY$4,'7.0.3'!$AY$3)</f>
        <v>0</v>
      </c>
      <c r="P85" s="5">
        <f>(VLOOKUP('7.0.3'!X85,'7.0.3'!$AM$4:$AO$55,2,FALSE))*IF('7.0.3'!BA$4="是",'7.0.3'!$AY$4,'7.0.3'!$AY$3)</f>
        <v>0</v>
      </c>
      <c r="Q85" s="4">
        <f>(VLOOKUP('7.0.3'!Y85,'7.0.3'!$AM$4:$AO$55,2,FALSE))*IF('7.0.3'!BB$4="是",'7.0.3'!$AY$4,'7.0.3'!$AY$3)</f>
        <v>180</v>
      </c>
      <c r="R85" s="4">
        <f>(VLOOKUP('7.0.3'!Z85,'7.0.3'!$AM$4:$AO$55,2,FALSE))*IF('7.0.3'!BC$4="是",'7.0.3'!$AY$4,'7.0.3'!$AY$3)</f>
        <v>180</v>
      </c>
      <c r="S85" s="4">
        <f>(VLOOKUP('7.0.3'!AA85,'7.0.3'!$AM$4:$AO$55,2,FALSE))*IF('7.0.3'!BD$4="是",'7.0.3'!$AY$4,'7.0.3'!$AY$3)</f>
        <v>180</v>
      </c>
      <c r="T85" s="4">
        <f>(VLOOKUP('7.0.3'!AB85,'7.0.3'!$AM$4:$AO$55,2,FALSE))*IF('7.0.3'!BE$4="是",'7.0.3'!$AY$4,'7.0.3'!$AY$3)</f>
        <v>180</v>
      </c>
      <c r="U85" s="4">
        <f>(VLOOKUP('7.0.3'!AC85,'7.0.3'!$AM$4:$AO$55,2,FALSE))*IF('7.0.3'!BF$4="是",'7.0.3'!$AY$4,'7.0.3'!$AY$3)</f>
        <v>180</v>
      </c>
      <c r="V85" s="4">
        <f>(VLOOKUP('7.0.3'!AD85,'7.0.3'!$AM$4:$AO$55,2,FALSE))*IF('7.0.3'!BG$4="是",'7.0.3'!$AY$4,'7.0.3'!$AY$3)</f>
        <v>180</v>
      </c>
      <c r="W85" s="5">
        <f>(VLOOKUP('7.0.3'!AE85,'7.0.3'!$AM$4:$AO$55,2,FALSE))*IF('7.0.3'!BH$4="是",'7.0.3'!$AY$4,'7.0.3'!$AY$3)</f>
        <v>0</v>
      </c>
      <c r="X85" s="5">
        <f>(VLOOKUP('7.0.3'!AF85,'7.0.3'!$AM$4:$AO$55,2,FALSE))*IF('7.0.3'!BI$4="是",'7.0.3'!$AY$4,'7.0.3'!$AY$3)</f>
        <v>0</v>
      </c>
    </row>
    <row r="86" spans="1:24">
      <c r="A86" s="4">
        <f>(VLOOKUP('7.0.3'!I86,'7.0.3'!$AM$4:$AO$55,2,FALSE))*IF('7.0.3'!AK$4="是",'7.0.3'!$AY$4,'7.0.3'!$AY$3)</f>
        <v>0</v>
      </c>
      <c r="B86" s="4">
        <f>(VLOOKUP('7.0.3'!J86,'7.0.3'!$AM$4:$AO$55,2,FALSE))*IF('7.0.3'!AL$4="是",'7.0.3'!$AY$4,'7.0.3'!$AY$3)</f>
        <v>0</v>
      </c>
      <c r="C86" s="4">
        <f>(VLOOKUP('7.0.3'!K86,'7.0.3'!$AM$4:$AO$55,2,FALSE))*IF('7.0.3'!AM$4="是",'7.0.3'!$AY$4,'7.0.3'!$AY$3)</f>
        <v>0</v>
      </c>
      <c r="D86" s="4">
        <f>(VLOOKUP('7.0.3'!L86,'7.0.3'!$AM$4:$AO$55,2,FALSE))*IF('7.0.3'!AN$4="是",'7.0.3'!$AY$4,'7.0.3'!$AY$3)</f>
        <v>0</v>
      </c>
      <c r="E86" s="4">
        <f>(VLOOKUP('7.0.3'!M86,'7.0.3'!$AM$4:$AO$55,2,FALSE))*IF('7.0.3'!AO$4="是",'7.0.3'!$AY$4,'7.0.3'!$AY$3)</f>
        <v>0</v>
      </c>
      <c r="F86" s="4">
        <f>(VLOOKUP('7.0.3'!N86,'7.0.3'!$AM$4:$AO$55,2,FALSE))*IF('7.0.3'!AQ$4="是",'7.0.3'!$AY$4,'7.0.3'!$AY$3)</f>
        <v>0</v>
      </c>
      <c r="G86" s="5">
        <f>(VLOOKUP('7.0.3'!O86,'7.0.3'!$AM$4:$AO$55,2,FALSE))*IF('7.0.3'!AR$4="是",'7.0.3'!$AY$4,'7.0.3'!$AY$3)</f>
        <v>0</v>
      </c>
      <c r="H86" s="5">
        <f>(VLOOKUP('7.0.3'!P86,'7.0.3'!$AM$4:$AO$55,2,FALSE))*IF('7.0.3'!AS$4="是",'7.0.3'!$AY$4,'7.0.3'!$AY$3)</f>
        <v>0</v>
      </c>
      <c r="I86" s="4">
        <f>(VLOOKUP('7.0.3'!Q86,'7.0.3'!$AM$4:$AO$55,2,FALSE))*IF('7.0.3'!AT$4="是",'7.0.3'!$AY$4,'7.0.3'!$AY$3)</f>
        <v>170</v>
      </c>
      <c r="J86" s="4">
        <f>(VLOOKUP('7.0.3'!R86,'7.0.3'!$AM$4:$AO$55,2,FALSE))*IF('7.0.3'!AU$4="是",'7.0.3'!$AY$4,'7.0.3'!$AY$3)</f>
        <v>170</v>
      </c>
      <c r="K86" s="4">
        <f>(VLOOKUP('7.0.3'!S86,'7.0.3'!$AM$4:$AO$55,2,FALSE))*IF('7.0.3'!AV$4="是",'7.0.3'!$AY$4,'7.0.3'!$AY$3)</f>
        <v>170</v>
      </c>
      <c r="L86" s="4">
        <f>(VLOOKUP('7.0.3'!T86,'7.0.3'!$AM$4:$AO$55,2,FALSE))*IF('7.0.3'!AW$4="是",'7.0.3'!$AY$4,'7.0.3'!$AY$3)</f>
        <v>170</v>
      </c>
      <c r="M86" s="4">
        <f>(VLOOKUP('7.0.3'!U86,'7.0.3'!$AM$4:$AO$55,2,FALSE))*IF('7.0.3'!AX$4="是",'7.0.3'!$AY$4,'7.0.3'!$AY$3)</f>
        <v>170</v>
      </c>
      <c r="N86" s="4">
        <f>(VLOOKUP('7.0.3'!V86,'7.0.3'!$AM$4:$AO$55,2,FALSE))*IF('7.0.3'!AY$4="是",'7.0.3'!$AY$4,'7.0.3'!$AY$3)</f>
        <v>-200</v>
      </c>
      <c r="O86" s="5">
        <f>(VLOOKUP('7.0.3'!W86,'7.0.3'!$AM$4:$AO$55,2,FALSE))*IF('7.0.3'!AZ$4="是",'7.0.3'!$AY$4,'7.0.3'!$AY$3)</f>
        <v>170</v>
      </c>
      <c r="P86" s="5">
        <f>(VLOOKUP('7.0.3'!X86,'7.0.3'!$AM$4:$AO$55,2,FALSE))*IF('7.0.3'!BA$4="是",'7.0.3'!$AY$4,'7.0.3'!$AY$3)</f>
        <v>170</v>
      </c>
      <c r="Q86" s="4">
        <f>(VLOOKUP('7.0.3'!Y86,'7.0.3'!$AM$4:$AO$55,2,FALSE))*IF('7.0.3'!BB$4="是",'7.0.3'!$AY$4,'7.0.3'!$AY$3)</f>
        <v>180</v>
      </c>
      <c r="R86" s="4">
        <f>(VLOOKUP('7.0.3'!Z86,'7.0.3'!$AM$4:$AO$55,2,FALSE))*IF('7.0.3'!BC$4="是",'7.0.3'!$AY$4,'7.0.3'!$AY$3)</f>
        <v>180</v>
      </c>
      <c r="S86" s="4">
        <f>(VLOOKUP('7.0.3'!AA86,'7.0.3'!$AM$4:$AO$55,2,FALSE))*IF('7.0.3'!BD$4="是",'7.0.3'!$AY$4,'7.0.3'!$AY$3)</f>
        <v>180</v>
      </c>
      <c r="T86" s="4">
        <f>(VLOOKUP('7.0.3'!AB86,'7.0.3'!$AM$4:$AO$55,2,FALSE))*IF('7.0.3'!BE$4="是",'7.0.3'!$AY$4,'7.0.3'!$AY$3)</f>
        <v>180</v>
      </c>
      <c r="U86" s="4">
        <f>(VLOOKUP('7.0.3'!AC86,'7.0.3'!$AM$4:$AO$55,2,FALSE))*IF('7.0.3'!BF$4="是",'7.0.3'!$AY$4,'7.0.3'!$AY$3)</f>
        <v>180</v>
      </c>
      <c r="V86" s="4">
        <f>(VLOOKUP('7.0.3'!AD86,'7.0.3'!$AM$4:$AO$55,2,FALSE))*IF('7.0.3'!BG$4="是",'7.0.3'!$AY$4,'7.0.3'!$AY$3)</f>
        <v>180</v>
      </c>
      <c r="W86" s="5">
        <f>(VLOOKUP('7.0.3'!AE86,'7.0.3'!$AM$4:$AO$55,2,FALSE))*IF('7.0.3'!BH$4="是",'7.0.3'!$AY$4,'7.0.3'!$AY$3)</f>
        <v>0</v>
      </c>
      <c r="X86" s="5">
        <f>(VLOOKUP('7.0.3'!AF86,'7.0.3'!$AM$4:$AO$55,2,FALSE))*IF('7.0.3'!BI$4="是",'7.0.3'!$AY$4,'7.0.3'!$AY$3)</f>
        <v>0</v>
      </c>
    </row>
    <row r="87" spans="1:24">
      <c r="A87" s="4">
        <f>(VLOOKUP('7.0.3'!I87,'7.0.3'!$AM$4:$AO$55,2,FALSE))*IF('7.0.3'!AK$4="是",'7.0.3'!$AY$4,'7.0.3'!$AY$3)</f>
        <v>0</v>
      </c>
      <c r="B87" s="4">
        <f>(VLOOKUP('7.0.3'!J87,'7.0.3'!$AM$4:$AO$55,2,FALSE))*IF('7.0.3'!AL$4="是",'7.0.3'!$AY$4,'7.0.3'!$AY$3)</f>
        <v>0</v>
      </c>
      <c r="C87" s="4">
        <f>(VLOOKUP('7.0.3'!K87,'7.0.3'!$AM$4:$AO$55,2,FALSE))*IF('7.0.3'!AM$4="是",'7.0.3'!$AY$4,'7.0.3'!$AY$3)</f>
        <v>0</v>
      </c>
      <c r="D87" s="4">
        <f>(VLOOKUP('7.0.3'!L87,'7.0.3'!$AM$4:$AO$55,2,FALSE))*IF('7.0.3'!AN$4="是",'7.0.3'!$AY$4,'7.0.3'!$AY$3)</f>
        <v>0</v>
      </c>
      <c r="E87" s="4">
        <f>(VLOOKUP('7.0.3'!M87,'7.0.3'!$AM$4:$AO$55,2,FALSE))*IF('7.0.3'!AO$4="是",'7.0.3'!$AY$4,'7.0.3'!$AY$3)</f>
        <v>0</v>
      </c>
      <c r="F87" s="4">
        <f>(VLOOKUP('7.0.3'!N87,'7.0.3'!$AM$4:$AO$55,2,FALSE))*IF('7.0.3'!AQ$4="是",'7.0.3'!$AY$4,'7.0.3'!$AY$3)</f>
        <v>0</v>
      </c>
      <c r="G87" s="5">
        <f>(VLOOKUP('7.0.3'!O87,'7.0.3'!$AM$4:$AO$55,2,FALSE))*IF('7.0.3'!AR$4="是",'7.0.3'!$AY$4,'7.0.3'!$AY$3)</f>
        <v>0</v>
      </c>
      <c r="H87" s="5">
        <f>(VLOOKUP('7.0.3'!P87,'7.0.3'!$AM$4:$AO$55,2,FALSE))*IF('7.0.3'!AS$4="是",'7.0.3'!$AY$4,'7.0.3'!$AY$3)</f>
        <v>0</v>
      </c>
      <c r="I87" s="4">
        <f>(VLOOKUP('7.0.3'!Q87,'7.0.3'!$AM$4:$AO$55,2,FALSE))*IF('7.0.3'!AT$4="是",'7.0.3'!$AY$4,'7.0.3'!$AY$3)</f>
        <v>50</v>
      </c>
      <c r="J87" s="4">
        <f>(VLOOKUP('7.0.3'!R87,'7.0.3'!$AM$4:$AO$55,2,FALSE))*IF('7.0.3'!AU$4="是",'7.0.3'!$AY$4,'7.0.3'!$AY$3)</f>
        <v>170</v>
      </c>
      <c r="K87" s="4">
        <f>(VLOOKUP('7.0.3'!S87,'7.0.3'!$AM$4:$AO$55,2,FALSE))*IF('7.0.3'!AV$4="是",'7.0.3'!$AY$4,'7.0.3'!$AY$3)</f>
        <v>170</v>
      </c>
      <c r="L87" s="4">
        <f>(VLOOKUP('7.0.3'!T87,'7.0.3'!$AM$4:$AO$55,2,FALSE))*IF('7.0.3'!AW$4="是",'7.0.3'!$AY$4,'7.0.3'!$AY$3)</f>
        <v>170</v>
      </c>
      <c r="M87" s="4">
        <f>(VLOOKUP('7.0.3'!U87,'7.0.3'!$AM$4:$AO$55,2,FALSE))*IF('7.0.3'!AX$4="是",'7.0.3'!$AY$4,'7.0.3'!$AY$3)</f>
        <v>150</v>
      </c>
      <c r="N87" s="4">
        <f>(VLOOKUP('7.0.3'!V87,'7.0.3'!$AM$4:$AO$55,2,FALSE))*IF('7.0.3'!AY$4="是",'7.0.3'!$AY$4,'7.0.3'!$AY$3)</f>
        <v>170</v>
      </c>
      <c r="O87" s="5">
        <f>(VLOOKUP('7.0.3'!W87,'7.0.3'!$AM$4:$AO$55,2,FALSE))*IF('7.0.3'!AZ$4="是",'7.0.3'!$AY$4,'7.0.3'!$AY$3)</f>
        <v>0</v>
      </c>
      <c r="P87" s="5">
        <f>(VLOOKUP('7.0.3'!X87,'7.0.3'!$AM$4:$AO$55,2,FALSE))*IF('7.0.3'!BA$4="是",'7.0.3'!$AY$4,'7.0.3'!$AY$3)</f>
        <v>0</v>
      </c>
      <c r="Q87" s="4">
        <f>(VLOOKUP('7.0.3'!Y87,'7.0.3'!$AM$4:$AO$55,2,FALSE))*IF('7.0.3'!BB$4="是",'7.0.3'!$AY$4,'7.0.3'!$AY$3)</f>
        <v>180</v>
      </c>
      <c r="R87" s="4">
        <f>(VLOOKUP('7.0.3'!Z87,'7.0.3'!$AM$4:$AO$55,2,FALSE))*IF('7.0.3'!BC$4="是",'7.0.3'!$AY$4,'7.0.3'!$AY$3)</f>
        <v>180</v>
      </c>
      <c r="S87" s="4">
        <f>(VLOOKUP('7.0.3'!AA87,'7.0.3'!$AM$4:$AO$55,2,FALSE))*IF('7.0.3'!BD$4="是",'7.0.3'!$AY$4,'7.0.3'!$AY$3)</f>
        <v>180</v>
      </c>
      <c r="T87" s="4">
        <f>(VLOOKUP('7.0.3'!AB87,'7.0.3'!$AM$4:$AO$55,2,FALSE))*IF('7.0.3'!BE$4="是",'7.0.3'!$AY$4,'7.0.3'!$AY$3)</f>
        <v>180</v>
      </c>
      <c r="U87" s="4">
        <f>(VLOOKUP('7.0.3'!AC87,'7.0.3'!$AM$4:$AO$55,2,FALSE))*IF('7.0.3'!BF$4="是",'7.0.3'!$AY$4,'7.0.3'!$AY$3)</f>
        <v>180</v>
      </c>
      <c r="V87" s="4">
        <f>(VLOOKUP('7.0.3'!AD87,'7.0.3'!$AM$4:$AO$55,2,FALSE))*IF('7.0.3'!BG$4="是",'7.0.3'!$AY$4,'7.0.3'!$AY$3)</f>
        <v>180</v>
      </c>
      <c r="W87" s="5">
        <f>(VLOOKUP('7.0.3'!AE87,'7.0.3'!$AM$4:$AO$55,2,FALSE))*IF('7.0.3'!BH$4="是",'7.0.3'!$AY$4,'7.0.3'!$AY$3)</f>
        <v>0</v>
      </c>
      <c r="X87" s="5">
        <f>(VLOOKUP('7.0.3'!AF87,'7.0.3'!$AM$4:$AO$55,2,FALSE))*IF('7.0.3'!BI$4="是",'7.0.3'!$AY$4,'7.0.3'!$AY$3)</f>
        <v>0</v>
      </c>
    </row>
    <row r="88" spans="1:24">
      <c r="A88" s="4">
        <f>(VLOOKUP('7.0.3'!I88,'7.0.3'!$AM$4:$AO$55,2,FALSE))*IF('7.0.3'!AK$4="是",'7.0.3'!$AY$4,'7.0.3'!$AY$3)</f>
        <v>0</v>
      </c>
      <c r="B88" s="4">
        <f>(VLOOKUP('7.0.3'!J88,'7.0.3'!$AM$4:$AO$55,2,FALSE))*IF('7.0.3'!AL$4="是",'7.0.3'!$AY$4,'7.0.3'!$AY$3)</f>
        <v>0</v>
      </c>
      <c r="C88" s="4">
        <f>(VLOOKUP('7.0.3'!K88,'7.0.3'!$AM$4:$AO$55,2,FALSE))*IF('7.0.3'!AM$4="是",'7.0.3'!$AY$4,'7.0.3'!$AY$3)</f>
        <v>0</v>
      </c>
      <c r="D88" s="4">
        <f>(VLOOKUP('7.0.3'!L88,'7.0.3'!$AM$4:$AO$55,2,FALSE))*IF('7.0.3'!AN$4="是",'7.0.3'!$AY$4,'7.0.3'!$AY$3)</f>
        <v>0</v>
      </c>
      <c r="E88" s="4">
        <f>(VLOOKUP('7.0.3'!M88,'7.0.3'!$AM$4:$AO$55,2,FALSE))*IF('7.0.3'!AO$4="是",'7.0.3'!$AY$4,'7.0.3'!$AY$3)</f>
        <v>0</v>
      </c>
      <c r="F88" s="4">
        <f>(VLOOKUP('7.0.3'!N88,'7.0.3'!$AM$4:$AO$55,2,FALSE))*IF('7.0.3'!AQ$4="是",'7.0.3'!$AY$4,'7.0.3'!$AY$3)</f>
        <v>0</v>
      </c>
      <c r="G88" s="5">
        <f>(VLOOKUP('7.0.3'!O88,'7.0.3'!$AM$4:$AO$55,2,FALSE))*IF('7.0.3'!AR$4="是",'7.0.3'!$AY$4,'7.0.3'!$AY$3)</f>
        <v>0</v>
      </c>
      <c r="H88" s="5">
        <f>(VLOOKUP('7.0.3'!P88,'7.0.3'!$AM$4:$AO$55,2,FALSE))*IF('7.0.3'!AS$4="是",'7.0.3'!$AY$4,'7.0.3'!$AY$3)</f>
        <v>0</v>
      </c>
      <c r="I88" s="4">
        <f>(VLOOKUP('7.0.3'!Q88,'7.0.3'!$AM$4:$AO$55,2,FALSE))*IF('7.0.3'!AT$4="是",'7.0.3'!$AY$4,'7.0.3'!$AY$3)</f>
        <v>170</v>
      </c>
      <c r="J88" s="4">
        <f>(VLOOKUP('7.0.3'!R88,'7.0.3'!$AM$4:$AO$55,2,FALSE))*IF('7.0.3'!AU$4="是",'7.0.3'!$AY$4,'7.0.3'!$AY$3)</f>
        <v>170</v>
      </c>
      <c r="K88" s="4">
        <f>(VLOOKUP('7.0.3'!S88,'7.0.3'!$AM$4:$AO$55,2,FALSE))*IF('7.0.3'!AV$4="是",'7.0.3'!$AY$4,'7.0.3'!$AY$3)</f>
        <v>170</v>
      </c>
      <c r="L88" s="4">
        <f>(VLOOKUP('7.0.3'!T88,'7.0.3'!$AM$4:$AO$55,2,FALSE))*IF('7.0.3'!AW$4="是",'7.0.3'!$AY$4,'7.0.3'!$AY$3)</f>
        <v>170</v>
      </c>
      <c r="M88" s="4">
        <f>(VLOOKUP('7.0.3'!U88,'7.0.3'!$AM$4:$AO$55,2,FALSE))*IF('7.0.3'!AX$4="是",'7.0.3'!$AY$4,'7.0.3'!$AY$3)</f>
        <v>170</v>
      </c>
      <c r="N88" s="4">
        <f>(VLOOKUP('7.0.3'!V88,'7.0.3'!$AM$4:$AO$55,2,FALSE))*IF('7.0.3'!AY$4="是",'7.0.3'!$AY$4,'7.0.3'!$AY$3)</f>
        <v>170</v>
      </c>
      <c r="O88" s="5">
        <f>(VLOOKUP('7.0.3'!W88,'7.0.3'!$AM$4:$AO$55,2,FALSE))*IF('7.0.3'!AZ$4="是",'7.0.3'!$AY$4,'7.0.3'!$AY$3)</f>
        <v>0</v>
      </c>
      <c r="P88" s="5">
        <f>(VLOOKUP('7.0.3'!X88,'7.0.3'!$AM$4:$AO$55,2,FALSE))*IF('7.0.3'!BA$4="是",'7.0.3'!$AY$4,'7.0.3'!$AY$3)</f>
        <v>0</v>
      </c>
      <c r="Q88" s="4">
        <f>(VLOOKUP('7.0.3'!Y88,'7.0.3'!$AM$4:$AO$55,2,FALSE))*IF('7.0.3'!BB$4="是",'7.0.3'!$AY$4,'7.0.3'!$AY$3)</f>
        <v>50</v>
      </c>
      <c r="R88" s="4">
        <f>(VLOOKUP('7.0.3'!Z88,'7.0.3'!$AM$4:$AO$55,2,FALSE))*IF('7.0.3'!BC$4="是",'7.0.3'!$AY$4,'7.0.3'!$AY$3)</f>
        <v>180</v>
      </c>
      <c r="S88" s="4">
        <f>(VLOOKUP('7.0.3'!AA88,'7.0.3'!$AM$4:$AO$55,2,FALSE))*IF('7.0.3'!BD$4="是",'7.0.3'!$AY$4,'7.0.3'!$AY$3)</f>
        <v>180</v>
      </c>
      <c r="T88" s="4">
        <f>(VLOOKUP('7.0.3'!AB88,'7.0.3'!$AM$4:$AO$55,2,FALSE))*IF('7.0.3'!BE$4="是",'7.0.3'!$AY$4,'7.0.3'!$AY$3)</f>
        <v>180</v>
      </c>
      <c r="U88" s="4">
        <f>(VLOOKUP('7.0.3'!AC88,'7.0.3'!$AM$4:$AO$55,2,FALSE))*IF('7.0.3'!BF$4="是",'7.0.3'!$AY$4,'7.0.3'!$AY$3)</f>
        <v>180</v>
      </c>
      <c r="V88" s="4">
        <f>(VLOOKUP('7.0.3'!AD88,'7.0.3'!$AM$4:$AO$55,2,FALSE))*IF('7.0.3'!BG$4="是",'7.0.3'!$AY$4,'7.0.3'!$AY$3)</f>
        <v>180</v>
      </c>
      <c r="W88" s="5">
        <f>(VLOOKUP('7.0.3'!AE88,'7.0.3'!$AM$4:$AO$55,2,FALSE))*IF('7.0.3'!BH$4="是",'7.0.3'!$AY$4,'7.0.3'!$AY$3)</f>
        <v>0</v>
      </c>
      <c r="X88" s="5">
        <f>(VLOOKUP('7.0.3'!AF88,'7.0.3'!$AM$4:$AO$55,2,FALSE))*IF('7.0.3'!BI$4="是",'7.0.3'!$AY$4,'7.0.3'!$AY$3)</f>
        <v>0</v>
      </c>
    </row>
    <row r="89" spans="1:24">
      <c r="A89" s="4">
        <f>(VLOOKUP('7.0.3'!I89,'7.0.3'!$AM$4:$AO$55,2,FALSE))*IF('7.0.3'!AK$4="是",'7.0.3'!$AY$4,'7.0.3'!$AY$3)</f>
        <v>0</v>
      </c>
      <c r="B89" s="4">
        <f>(VLOOKUP('7.0.3'!J89,'7.0.3'!$AM$4:$AO$55,2,FALSE))*IF('7.0.3'!AL$4="是",'7.0.3'!$AY$4,'7.0.3'!$AY$3)</f>
        <v>0</v>
      </c>
      <c r="C89" s="4">
        <f>(VLOOKUP('7.0.3'!K89,'7.0.3'!$AM$4:$AO$55,2,FALSE))*IF('7.0.3'!AM$4="是",'7.0.3'!$AY$4,'7.0.3'!$AY$3)</f>
        <v>0</v>
      </c>
      <c r="D89" s="4">
        <f>(VLOOKUP('7.0.3'!L89,'7.0.3'!$AM$4:$AO$55,2,FALSE))*IF('7.0.3'!AN$4="是",'7.0.3'!$AY$4,'7.0.3'!$AY$3)</f>
        <v>0</v>
      </c>
      <c r="E89" s="4">
        <f>(VLOOKUP('7.0.3'!M89,'7.0.3'!$AM$4:$AO$55,2,FALSE))*IF('7.0.3'!AO$4="是",'7.0.3'!$AY$4,'7.0.3'!$AY$3)</f>
        <v>0</v>
      </c>
      <c r="F89" s="4">
        <f>(VLOOKUP('7.0.3'!N89,'7.0.3'!$AM$4:$AO$55,2,FALSE))*IF('7.0.3'!AQ$4="是",'7.0.3'!$AY$4,'7.0.3'!$AY$3)</f>
        <v>0</v>
      </c>
      <c r="G89" s="5">
        <f>(VLOOKUP('7.0.3'!O89,'7.0.3'!$AM$4:$AO$55,2,FALSE))*IF('7.0.3'!AR$4="是",'7.0.3'!$AY$4,'7.0.3'!$AY$3)</f>
        <v>0</v>
      </c>
      <c r="H89" s="5">
        <f>(VLOOKUP('7.0.3'!P89,'7.0.3'!$AM$4:$AO$55,2,FALSE))*IF('7.0.3'!AS$4="是",'7.0.3'!$AY$4,'7.0.3'!$AY$3)</f>
        <v>0</v>
      </c>
      <c r="I89" s="4">
        <f>(VLOOKUP('7.0.3'!Q89,'7.0.3'!$AM$4:$AO$55,2,FALSE))*IF('7.0.3'!AT$4="是",'7.0.3'!$AY$4,'7.0.3'!$AY$3)</f>
        <v>170</v>
      </c>
      <c r="J89" s="4">
        <f>(VLOOKUP('7.0.3'!R89,'7.0.3'!$AM$4:$AO$55,2,FALSE))*IF('7.0.3'!AU$4="是",'7.0.3'!$AY$4,'7.0.3'!$AY$3)</f>
        <v>170</v>
      </c>
      <c r="K89" s="4">
        <f>(VLOOKUP('7.0.3'!S89,'7.0.3'!$AM$4:$AO$55,2,FALSE))*IF('7.0.3'!AV$4="是",'7.0.3'!$AY$4,'7.0.3'!$AY$3)</f>
        <v>170</v>
      </c>
      <c r="L89" s="4">
        <f>(VLOOKUP('7.0.3'!T89,'7.0.3'!$AM$4:$AO$55,2,FALSE))*IF('7.0.3'!AW$4="是",'7.0.3'!$AY$4,'7.0.3'!$AY$3)</f>
        <v>170</v>
      </c>
      <c r="M89" s="4">
        <f>(VLOOKUP('7.0.3'!U89,'7.0.3'!$AM$4:$AO$55,2,FALSE))*IF('7.0.3'!AX$4="是",'7.0.3'!$AY$4,'7.0.3'!$AY$3)</f>
        <v>150</v>
      </c>
      <c r="N89" s="4">
        <f>(VLOOKUP('7.0.3'!V89,'7.0.3'!$AM$4:$AO$55,2,FALSE))*IF('7.0.3'!AY$4="是",'7.0.3'!$AY$4,'7.0.3'!$AY$3)</f>
        <v>170</v>
      </c>
      <c r="O89" s="5">
        <f>(VLOOKUP('7.0.3'!W89,'7.0.3'!$AM$4:$AO$55,2,FALSE))*IF('7.0.3'!AZ$4="是",'7.0.3'!$AY$4,'7.0.3'!$AY$3)</f>
        <v>0</v>
      </c>
      <c r="P89" s="5">
        <f>(VLOOKUP('7.0.3'!X89,'7.0.3'!$AM$4:$AO$55,2,FALSE))*IF('7.0.3'!BA$4="是",'7.0.3'!$AY$4,'7.0.3'!$AY$3)</f>
        <v>0</v>
      </c>
      <c r="Q89" s="4">
        <f>(VLOOKUP('7.0.3'!Y89,'7.0.3'!$AM$4:$AO$55,2,FALSE))*IF('7.0.3'!BB$4="是",'7.0.3'!$AY$4,'7.0.3'!$AY$3)</f>
        <v>180</v>
      </c>
      <c r="R89" s="4">
        <f>(VLOOKUP('7.0.3'!Z89,'7.0.3'!$AM$4:$AO$55,2,FALSE))*IF('7.0.3'!BC$4="是",'7.0.3'!$AY$4,'7.0.3'!$AY$3)</f>
        <v>180</v>
      </c>
      <c r="S89" s="4">
        <f>(VLOOKUP('7.0.3'!AA89,'7.0.3'!$AM$4:$AO$55,2,FALSE))*IF('7.0.3'!BD$4="是",'7.0.3'!$AY$4,'7.0.3'!$AY$3)</f>
        <v>180</v>
      </c>
      <c r="T89" s="4">
        <f>(VLOOKUP('7.0.3'!AB89,'7.0.3'!$AM$4:$AO$55,2,FALSE))*IF('7.0.3'!BE$4="是",'7.0.3'!$AY$4,'7.0.3'!$AY$3)</f>
        <v>180</v>
      </c>
      <c r="U89" s="4">
        <f>(VLOOKUP('7.0.3'!AC89,'7.0.3'!$AM$4:$AO$55,2,FALSE))*IF('7.0.3'!BF$4="是",'7.0.3'!$AY$4,'7.0.3'!$AY$3)</f>
        <v>180</v>
      </c>
      <c r="V89" s="4">
        <f>(VLOOKUP('7.0.3'!AD89,'7.0.3'!$AM$4:$AO$55,2,FALSE))*IF('7.0.3'!BG$4="是",'7.0.3'!$AY$4,'7.0.3'!$AY$3)</f>
        <v>180</v>
      </c>
      <c r="W89" s="5">
        <f>(VLOOKUP('7.0.3'!AE89,'7.0.3'!$AM$4:$AO$55,2,FALSE))*IF('7.0.3'!BH$4="是",'7.0.3'!$AY$4,'7.0.3'!$AY$3)</f>
        <v>0</v>
      </c>
      <c r="X89" s="5">
        <f>(VLOOKUP('7.0.3'!AF89,'7.0.3'!$AM$4:$AO$55,2,FALSE))*IF('7.0.3'!BI$4="是",'7.0.3'!$AY$4,'7.0.3'!$AY$3)</f>
        <v>0</v>
      </c>
    </row>
    <row r="90" spans="1:24">
      <c r="A90" s="4">
        <f>(VLOOKUP('7.0.3'!I90,'7.0.3'!$AM$4:$AO$55,2,FALSE))*IF('7.0.3'!AK$4="是",'7.0.3'!$AY$4,'7.0.3'!$AY$3)</f>
        <v>0</v>
      </c>
      <c r="B90" s="4">
        <f>(VLOOKUP('7.0.3'!J90,'7.0.3'!$AM$4:$AO$55,2,FALSE))*IF('7.0.3'!AL$4="是",'7.0.3'!$AY$4,'7.0.3'!$AY$3)</f>
        <v>0</v>
      </c>
      <c r="C90" s="4">
        <f>(VLOOKUP('7.0.3'!K90,'7.0.3'!$AM$4:$AO$55,2,FALSE))*IF('7.0.3'!AM$4="是",'7.0.3'!$AY$4,'7.0.3'!$AY$3)</f>
        <v>0</v>
      </c>
      <c r="D90" s="4">
        <f>(VLOOKUP('7.0.3'!L90,'7.0.3'!$AM$4:$AO$55,2,FALSE))*IF('7.0.3'!AN$4="是",'7.0.3'!$AY$4,'7.0.3'!$AY$3)</f>
        <v>0</v>
      </c>
      <c r="E90" s="4">
        <f>(VLOOKUP('7.0.3'!M90,'7.0.3'!$AM$4:$AO$55,2,FALSE))*IF('7.0.3'!AO$4="是",'7.0.3'!$AY$4,'7.0.3'!$AY$3)</f>
        <v>0</v>
      </c>
      <c r="F90" s="4">
        <f>(VLOOKUP('7.0.3'!N90,'7.0.3'!$AM$4:$AO$55,2,FALSE))*IF('7.0.3'!AQ$4="是",'7.0.3'!$AY$4,'7.0.3'!$AY$3)</f>
        <v>0</v>
      </c>
      <c r="G90" s="5">
        <f>(VLOOKUP('7.0.3'!O90,'7.0.3'!$AM$4:$AO$55,2,FALSE))*IF('7.0.3'!AR$4="是",'7.0.3'!$AY$4,'7.0.3'!$AY$3)</f>
        <v>0</v>
      </c>
      <c r="H90" s="5">
        <f>(VLOOKUP('7.0.3'!P90,'7.0.3'!$AM$4:$AO$55,2,FALSE))*IF('7.0.3'!AS$4="是",'7.0.3'!$AY$4,'7.0.3'!$AY$3)</f>
        <v>0</v>
      </c>
      <c r="I90" s="4">
        <f>(VLOOKUP('7.0.3'!Q90,'7.0.3'!$AM$4:$AO$55,2,FALSE))*IF('7.0.3'!AT$4="是",'7.0.3'!$AY$4,'7.0.3'!$AY$3)</f>
        <v>170</v>
      </c>
      <c r="J90" s="4">
        <f>(VLOOKUP('7.0.3'!R90,'7.0.3'!$AM$4:$AO$55,2,FALSE))*IF('7.0.3'!AU$4="是",'7.0.3'!$AY$4,'7.0.3'!$AY$3)</f>
        <v>170</v>
      </c>
      <c r="K90" s="4">
        <f>(VLOOKUP('7.0.3'!S90,'7.0.3'!$AM$4:$AO$55,2,FALSE))*IF('7.0.3'!AV$4="是",'7.0.3'!$AY$4,'7.0.3'!$AY$3)</f>
        <v>170</v>
      </c>
      <c r="L90" s="4">
        <f>(VLOOKUP('7.0.3'!T90,'7.0.3'!$AM$4:$AO$55,2,FALSE))*IF('7.0.3'!AW$4="是",'7.0.3'!$AY$4,'7.0.3'!$AY$3)</f>
        <v>50</v>
      </c>
      <c r="M90" s="4">
        <f>(VLOOKUP('7.0.3'!U90,'7.0.3'!$AM$4:$AO$55,2,FALSE))*IF('7.0.3'!AX$4="是",'7.0.3'!$AY$4,'7.0.3'!$AY$3)</f>
        <v>170</v>
      </c>
      <c r="N90" s="4">
        <f>(VLOOKUP('7.0.3'!V90,'7.0.3'!$AM$4:$AO$55,2,FALSE))*IF('7.0.3'!AY$4="是",'7.0.3'!$AY$4,'7.0.3'!$AY$3)</f>
        <v>170</v>
      </c>
      <c r="O90" s="5">
        <f>(VLOOKUP('7.0.3'!W90,'7.0.3'!$AM$4:$AO$55,2,FALSE))*IF('7.0.3'!AZ$4="是",'7.0.3'!$AY$4,'7.0.3'!$AY$3)</f>
        <v>0</v>
      </c>
      <c r="P90" s="5">
        <f>(VLOOKUP('7.0.3'!X90,'7.0.3'!$AM$4:$AO$55,2,FALSE))*IF('7.0.3'!BA$4="是",'7.0.3'!$AY$4,'7.0.3'!$AY$3)</f>
        <v>0</v>
      </c>
      <c r="Q90" s="4">
        <f>(VLOOKUP('7.0.3'!Y90,'7.0.3'!$AM$4:$AO$55,2,FALSE))*IF('7.0.3'!BB$4="是",'7.0.3'!$AY$4,'7.0.3'!$AY$3)</f>
        <v>180</v>
      </c>
      <c r="R90" s="4">
        <f>(VLOOKUP('7.0.3'!Z90,'7.0.3'!$AM$4:$AO$55,2,FALSE))*IF('7.0.3'!BC$4="是",'7.0.3'!$AY$4,'7.0.3'!$AY$3)</f>
        <v>180</v>
      </c>
      <c r="S90" s="4">
        <f>(VLOOKUP('7.0.3'!AA90,'7.0.3'!$AM$4:$AO$55,2,FALSE))*IF('7.0.3'!BD$4="是",'7.0.3'!$AY$4,'7.0.3'!$AY$3)</f>
        <v>180</v>
      </c>
      <c r="T90" s="4">
        <f>(VLOOKUP('7.0.3'!AB90,'7.0.3'!$AM$4:$AO$55,2,FALSE))*IF('7.0.3'!BE$4="是",'7.0.3'!$AY$4,'7.0.3'!$AY$3)</f>
        <v>180</v>
      </c>
      <c r="U90" s="4">
        <f>(VLOOKUP('7.0.3'!AC90,'7.0.3'!$AM$4:$AO$55,2,FALSE))*IF('7.0.3'!BF$4="是",'7.0.3'!$AY$4,'7.0.3'!$AY$3)</f>
        <v>50</v>
      </c>
      <c r="V90" s="4">
        <f>(VLOOKUP('7.0.3'!AD90,'7.0.3'!$AM$4:$AO$55,2,FALSE))*IF('7.0.3'!BG$4="是",'7.0.3'!$AY$4,'7.0.3'!$AY$3)</f>
        <v>180</v>
      </c>
      <c r="W90" s="5">
        <f>(VLOOKUP('7.0.3'!AE90,'7.0.3'!$AM$4:$AO$55,2,FALSE))*IF('7.0.3'!BH$4="是",'7.0.3'!$AY$4,'7.0.3'!$AY$3)</f>
        <v>0</v>
      </c>
      <c r="X90" s="5">
        <f>(VLOOKUP('7.0.3'!AF90,'7.0.3'!$AM$4:$AO$55,2,FALSE))*IF('7.0.3'!BI$4="是",'7.0.3'!$AY$4,'7.0.3'!$AY$3)</f>
        <v>0</v>
      </c>
    </row>
    <row r="91" spans="1:24">
      <c r="A91" s="4">
        <f>(VLOOKUP('7.0.3'!I91,'7.0.3'!$AM$4:$AO$55,2,FALSE))*IF('7.0.3'!AK$4="是",'7.0.3'!$AY$4,'7.0.3'!$AY$3)</f>
        <v>0</v>
      </c>
      <c r="B91" s="4">
        <f>(VLOOKUP('7.0.3'!J91,'7.0.3'!$AM$4:$AO$55,2,FALSE))*IF('7.0.3'!AL$4="是",'7.0.3'!$AY$4,'7.0.3'!$AY$3)</f>
        <v>0</v>
      </c>
      <c r="C91" s="4">
        <f>(VLOOKUP('7.0.3'!K91,'7.0.3'!$AM$4:$AO$55,2,FALSE))*IF('7.0.3'!AM$4="是",'7.0.3'!$AY$4,'7.0.3'!$AY$3)</f>
        <v>0</v>
      </c>
      <c r="D91" s="4">
        <f>(VLOOKUP('7.0.3'!L91,'7.0.3'!$AM$4:$AO$55,2,FALSE))*IF('7.0.3'!AN$4="是",'7.0.3'!$AY$4,'7.0.3'!$AY$3)</f>
        <v>0</v>
      </c>
      <c r="E91" s="4">
        <f>(VLOOKUP('7.0.3'!M91,'7.0.3'!$AM$4:$AO$55,2,FALSE))*IF('7.0.3'!AO$4="是",'7.0.3'!$AY$4,'7.0.3'!$AY$3)</f>
        <v>0</v>
      </c>
      <c r="F91" s="4">
        <f>(VLOOKUP('7.0.3'!N91,'7.0.3'!$AM$4:$AO$55,2,FALSE))*IF('7.0.3'!AQ$4="是",'7.0.3'!$AY$4,'7.0.3'!$AY$3)</f>
        <v>0</v>
      </c>
      <c r="G91" s="5">
        <f>(VLOOKUP('7.0.3'!O91,'7.0.3'!$AM$4:$AO$55,2,FALSE))*IF('7.0.3'!AR$4="是",'7.0.3'!$AY$4,'7.0.3'!$AY$3)</f>
        <v>0</v>
      </c>
      <c r="H91" s="5">
        <f>(VLOOKUP('7.0.3'!P91,'7.0.3'!$AM$4:$AO$55,2,FALSE))*IF('7.0.3'!AS$4="是",'7.0.3'!$AY$4,'7.0.3'!$AY$3)</f>
        <v>0</v>
      </c>
      <c r="I91" s="4">
        <f>(VLOOKUP('7.0.3'!Q91,'7.0.3'!$AM$4:$AO$55,2,FALSE))*IF('7.0.3'!AT$4="是",'7.0.3'!$AY$4,'7.0.3'!$AY$3)</f>
        <v>170</v>
      </c>
      <c r="J91" s="4">
        <f>(VLOOKUP('7.0.3'!R91,'7.0.3'!$AM$4:$AO$55,2,FALSE))*IF('7.0.3'!AU$4="是",'7.0.3'!$AY$4,'7.0.3'!$AY$3)</f>
        <v>170</v>
      </c>
      <c r="K91" s="4">
        <f>(VLOOKUP('7.0.3'!S91,'7.0.3'!$AM$4:$AO$55,2,FALSE))*IF('7.0.3'!AV$4="是",'7.0.3'!$AY$4,'7.0.3'!$AY$3)</f>
        <v>170</v>
      </c>
      <c r="L91" s="4">
        <f>(VLOOKUP('7.0.3'!T91,'7.0.3'!$AM$4:$AO$55,2,FALSE))*IF('7.0.3'!AW$4="是",'7.0.3'!$AY$4,'7.0.3'!$AY$3)</f>
        <v>170</v>
      </c>
      <c r="M91" s="4">
        <f>(VLOOKUP('7.0.3'!U91,'7.0.3'!$AM$4:$AO$55,2,FALSE))*IF('7.0.3'!AX$4="是",'7.0.3'!$AY$4,'7.0.3'!$AY$3)</f>
        <v>170</v>
      </c>
      <c r="N91" s="4">
        <f>(VLOOKUP('7.0.3'!V91,'7.0.3'!$AM$4:$AO$55,2,FALSE))*IF('7.0.3'!AY$4="是",'7.0.3'!$AY$4,'7.0.3'!$AY$3)</f>
        <v>170</v>
      </c>
      <c r="O91" s="5">
        <f>(VLOOKUP('7.0.3'!W91,'7.0.3'!$AM$4:$AO$55,2,FALSE))*IF('7.0.3'!AZ$4="是",'7.0.3'!$AY$4,'7.0.3'!$AY$3)</f>
        <v>0</v>
      </c>
      <c r="P91" s="5">
        <f>(VLOOKUP('7.0.3'!X91,'7.0.3'!$AM$4:$AO$55,2,FALSE))*IF('7.0.3'!BA$4="是",'7.0.3'!$AY$4,'7.0.3'!$AY$3)</f>
        <v>0</v>
      </c>
      <c r="Q91" s="4">
        <f>(VLOOKUP('7.0.3'!Y91,'7.0.3'!$AM$4:$AO$55,2,FALSE))*IF('7.0.3'!BB$4="是",'7.0.3'!$AY$4,'7.0.3'!$AY$3)</f>
        <v>180</v>
      </c>
      <c r="R91" s="4">
        <f>(VLOOKUP('7.0.3'!Z91,'7.0.3'!$AM$4:$AO$55,2,FALSE))*IF('7.0.3'!BC$4="是",'7.0.3'!$AY$4,'7.0.3'!$AY$3)</f>
        <v>180</v>
      </c>
      <c r="S91" s="4">
        <f>(VLOOKUP('7.0.3'!AA91,'7.0.3'!$AM$4:$AO$55,2,FALSE))*IF('7.0.3'!BD$4="是",'7.0.3'!$AY$4,'7.0.3'!$AY$3)</f>
        <v>180</v>
      </c>
      <c r="T91" s="4">
        <f>(VLOOKUP('7.0.3'!AB91,'7.0.3'!$AM$4:$AO$55,2,FALSE))*IF('7.0.3'!BE$4="是",'7.0.3'!$AY$4,'7.0.3'!$AY$3)</f>
        <v>180</v>
      </c>
      <c r="U91" s="4">
        <f>(VLOOKUP('7.0.3'!AC91,'7.0.3'!$AM$4:$AO$55,2,FALSE))*IF('7.0.3'!BF$4="是",'7.0.3'!$AY$4,'7.0.3'!$AY$3)</f>
        <v>180</v>
      </c>
      <c r="V91" s="4">
        <f>(VLOOKUP('7.0.3'!AD91,'7.0.3'!$AM$4:$AO$55,2,FALSE))*IF('7.0.3'!BG$4="是",'7.0.3'!$AY$4,'7.0.3'!$AY$3)</f>
        <v>180</v>
      </c>
      <c r="W91" s="5">
        <f>(VLOOKUP('7.0.3'!AE91,'7.0.3'!$AM$4:$AO$55,2,FALSE))*IF('7.0.3'!BH$4="是",'7.0.3'!$AY$4,'7.0.3'!$AY$3)</f>
        <v>0</v>
      </c>
      <c r="X91" s="5">
        <f>(VLOOKUP('7.0.3'!AF91,'7.0.3'!$AM$4:$AO$55,2,FALSE))*IF('7.0.3'!BI$4="是",'7.0.3'!$AY$4,'7.0.3'!$AY$3)</f>
        <v>0</v>
      </c>
    </row>
    <row r="92" spans="1:24">
      <c r="A92" s="4">
        <f>(VLOOKUP('7.0.3'!I92,'7.0.3'!$AM$4:$AO$55,2,FALSE))*IF('7.0.3'!AK$4="是",'7.0.3'!$AY$4,'7.0.3'!$AY$3)</f>
        <v>160</v>
      </c>
      <c r="B92" s="4">
        <f>(VLOOKUP('7.0.3'!J92,'7.0.3'!$AM$4:$AO$55,2,FALSE))*IF('7.0.3'!AL$4="是",'7.0.3'!$AY$4,'7.0.3'!$AY$3)</f>
        <v>50</v>
      </c>
      <c r="C92" s="4">
        <f>(VLOOKUP('7.0.3'!K92,'7.0.3'!$AM$4:$AO$55,2,FALSE))*IF('7.0.3'!AM$4="是",'7.0.3'!$AY$4,'7.0.3'!$AY$3)</f>
        <v>160</v>
      </c>
      <c r="D92" s="4">
        <f>(VLOOKUP('7.0.3'!L92,'7.0.3'!$AM$4:$AO$55,2,FALSE))*IF('7.0.3'!AN$4="是",'7.0.3'!$AY$4,'7.0.3'!$AY$3)</f>
        <v>160</v>
      </c>
      <c r="E92" s="4">
        <f>(VLOOKUP('7.0.3'!M92,'7.0.3'!$AM$4:$AO$55,2,FALSE))*IF('7.0.3'!AO$4="是",'7.0.3'!$AY$4,'7.0.3'!$AY$3)</f>
        <v>50</v>
      </c>
      <c r="F92" s="4">
        <f>(VLOOKUP('7.0.3'!N92,'7.0.3'!$AM$4:$AO$55,2,FALSE))*IF('7.0.3'!AQ$4="是",'7.0.3'!$AY$4,'7.0.3'!$AY$3)</f>
        <v>160</v>
      </c>
      <c r="G92" s="5">
        <f>(VLOOKUP('7.0.3'!O92,'7.0.3'!$AM$4:$AO$55,2,FALSE))*IF('7.0.3'!AR$4="是",'7.0.3'!$AY$4,'7.0.3'!$AY$3)</f>
        <v>0</v>
      </c>
      <c r="H92" s="5">
        <f>(VLOOKUP('7.0.3'!P92,'7.0.3'!$AM$4:$AO$55,2,FALSE))*IF('7.0.3'!AS$4="是",'7.0.3'!$AY$4,'7.0.3'!$AY$3)</f>
        <v>0</v>
      </c>
      <c r="I92" s="4">
        <f>(VLOOKUP('7.0.3'!Q92,'7.0.3'!$AM$4:$AO$55,2,FALSE))*IF('7.0.3'!AT$4="是",'7.0.3'!$AY$4,'7.0.3'!$AY$3)</f>
        <v>50</v>
      </c>
      <c r="J92" s="4">
        <f>(VLOOKUP('7.0.3'!R92,'7.0.3'!$AM$4:$AO$55,2,FALSE))*IF('7.0.3'!AU$4="是",'7.0.3'!$AY$4,'7.0.3'!$AY$3)</f>
        <v>160</v>
      </c>
      <c r="K92" s="4">
        <f>(VLOOKUP('7.0.3'!S92,'7.0.3'!$AM$4:$AO$55,2,FALSE))*IF('7.0.3'!AV$4="是",'7.0.3'!$AY$4,'7.0.3'!$AY$3)</f>
        <v>160</v>
      </c>
      <c r="L92" s="4">
        <f>(VLOOKUP('7.0.3'!T92,'7.0.3'!$AM$4:$AO$55,2,FALSE))*IF('7.0.3'!AW$4="是",'7.0.3'!$AY$4,'7.0.3'!$AY$3)</f>
        <v>160</v>
      </c>
      <c r="M92" s="4">
        <f>(VLOOKUP('7.0.3'!U92,'7.0.3'!$AM$4:$AO$55,2,FALSE))*IF('7.0.3'!AX$4="是",'7.0.3'!$AY$4,'7.0.3'!$AY$3)</f>
        <v>160</v>
      </c>
      <c r="N92" s="4">
        <f>(VLOOKUP('7.0.3'!V92,'7.0.3'!$AM$4:$AO$55,2,FALSE))*IF('7.0.3'!AY$4="是",'7.0.3'!$AY$4,'7.0.3'!$AY$3)</f>
        <v>-200</v>
      </c>
      <c r="O92" s="5">
        <f>(VLOOKUP('7.0.3'!W92,'7.0.3'!$AM$4:$AO$55,2,FALSE))*IF('7.0.3'!AZ$4="是",'7.0.3'!$AY$4,'7.0.3'!$AY$3)</f>
        <v>0</v>
      </c>
      <c r="P92" s="5">
        <f>(VLOOKUP('7.0.3'!X92,'7.0.3'!$AM$4:$AO$55,2,FALSE))*IF('7.0.3'!BA$4="是",'7.0.3'!$AY$4,'7.0.3'!$AY$3)</f>
        <v>0</v>
      </c>
      <c r="Q92" s="4">
        <f>(VLOOKUP('7.0.3'!Y92,'7.0.3'!$AM$4:$AO$55,2,FALSE))*IF('7.0.3'!BB$4="是",'7.0.3'!$AY$4,'7.0.3'!$AY$3)</f>
        <v>180</v>
      </c>
      <c r="R92" s="4">
        <f>(VLOOKUP('7.0.3'!Z92,'7.0.3'!$AM$4:$AO$55,2,FALSE))*IF('7.0.3'!BC$4="是",'7.0.3'!$AY$4,'7.0.3'!$AY$3)</f>
        <v>180</v>
      </c>
      <c r="S92" s="4">
        <f>(VLOOKUP('7.0.3'!AA92,'7.0.3'!$AM$4:$AO$55,2,FALSE))*IF('7.0.3'!BD$4="是",'7.0.3'!$AY$4,'7.0.3'!$AY$3)</f>
        <v>180</v>
      </c>
      <c r="T92" s="4">
        <f>(VLOOKUP('7.0.3'!AB92,'7.0.3'!$AM$4:$AO$55,2,FALSE))*IF('7.0.3'!BE$4="是",'7.0.3'!$AY$4,'7.0.3'!$AY$3)</f>
        <v>180</v>
      </c>
      <c r="U92" s="4">
        <f>(VLOOKUP('7.0.3'!AC92,'7.0.3'!$AM$4:$AO$55,2,FALSE))*IF('7.0.3'!BF$4="是",'7.0.3'!$AY$4,'7.0.3'!$AY$3)</f>
        <v>0</v>
      </c>
      <c r="V92" s="4">
        <f>(VLOOKUP('7.0.3'!AD92,'7.0.3'!$AM$4:$AO$55,2,FALSE))*IF('7.0.3'!BG$4="是",'7.0.3'!$AY$4,'7.0.3'!$AY$3)</f>
        <v>0</v>
      </c>
      <c r="W92" s="5">
        <f>(VLOOKUP('7.0.3'!AE92,'7.0.3'!$AM$4:$AO$55,2,FALSE))*IF('7.0.3'!BH$4="是",'7.0.3'!$AY$4,'7.0.3'!$AY$3)</f>
        <v>0</v>
      </c>
      <c r="X92" s="5">
        <f>(VLOOKUP('7.0.3'!AF92,'7.0.3'!$AM$4:$AO$55,2,FALSE))*IF('7.0.3'!BI$4="是",'7.0.3'!$AY$4,'7.0.3'!$AY$3)</f>
        <v>0</v>
      </c>
    </row>
    <row r="93" spans="1:24">
      <c r="A93" s="4">
        <f>(VLOOKUP('7.0.3'!I93,'7.0.3'!$AM$4:$AO$55,2,FALSE))*IF('7.0.3'!AK$4="是",'7.0.3'!$AY$4,'7.0.3'!$AY$3)</f>
        <v>160</v>
      </c>
      <c r="B93" s="4">
        <f>(VLOOKUP('7.0.3'!J93,'7.0.3'!$AM$4:$AO$55,2,FALSE))*IF('7.0.3'!AL$4="是",'7.0.3'!$AY$4,'7.0.3'!$AY$3)</f>
        <v>160</v>
      </c>
      <c r="C93" s="4">
        <f>(VLOOKUP('7.0.3'!K93,'7.0.3'!$AM$4:$AO$55,2,FALSE))*IF('7.0.3'!AM$4="是",'7.0.3'!$AY$4,'7.0.3'!$AY$3)</f>
        <v>-200</v>
      </c>
      <c r="D93" s="4">
        <f>(VLOOKUP('7.0.3'!L93,'7.0.3'!$AM$4:$AO$55,2,FALSE))*IF('7.0.3'!AN$4="是",'7.0.3'!$AY$4,'7.0.3'!$AY$3)</f>
        <v>160</v>
      </c>
      <c r="E93" s="4">
        <f>(VLOOKUP('7.0.3'!M93,'7.0.3'!$AM$4:$AO$55,2,FALSE))*IF('7.0.3'!AO$4="是",'7.0.3'!$AY$4,'7.0.3'!$AY$3)</f>
        <v>160</v>
      </c>
      <c r="F93" s="4">
        <f>(VLOOKUP('7.0.3'!N93,'7.0.3'!$AM$4:$AO$55,2,FALSE))*IF('7.0.3'!AQ$4="是",'7.0.3'!$AY$4,'7.0.3'!$AY$3)</f>
        <v>50</v>
      </c>
      <c r="G93" s="5">
        <f>(VLOOKUP('7.0.3'!O93,'7.0.3'!$AM$4:$AO$55,2,FALSE))*IF('7.0.3'!AR$4="是",'7.0.3'!$AY$4,'7.0.3'!$AY$3)</f>
        <v>160</v>
      </c>
      <c r="H93" s="5">
        <f>(VLOOKUP('7.0.3'!P93,'7.0.3'!$AM$4:$AO$55,2,FALSE))*IF('7.0.3'!AS$4="是",'7.0.3'!$AY$4,'7.0.3'!$AY$3)</f>
        <v>160</v>
      </c>
      <c r="I93" s="4">
        <f>(VLOOKUP('7.0.3'!Q93,'7.0.3'!$AM$4:$AO$55,2,FALSE))*IF('7.0.3'!AT$4="是",'7.0.3'!$AY$4,'7.0.3'!$AY$3)</f>
        <v>50</v>
      </c>
      <c r="J93" s="4">
        <f>(VLOOKUP('7.0.3'!R93,'7.0.3'!$AM$4:$AO$55,2,FALSE))*IF('7.0.3'!AU$4="是",'7.0.3'!$AY$4,'7.0.3'!$AY$3)</f>
        <v>160</v>
      </c>
      <c r="K93" s="4">
        <f>(VLOOKUP('7.0.3'!S93,'7.0.3'!$AM$4:$AO$55,2,FALSE))*IF('7.0.3'!AV$4="是",'7.0.3'!$AY$4,'7.0.3'!$AY$3)</f>
        <v>160</v>
      </c>
      <c r="L93" s="4">
        <f>(VLOOKUP('7.0.3'!T93,'7.0.3'!$AM$4:$AO$55,2,FALSE))*IF('7.0.3'!AW$4="是",'7.0.3'!$AY$4,'7.0.3'!$AY$3)</f>
        <v>160</v>
      </c>
      <c r="M93" s="4">
        <f>(VLOOKUP('7.0.3'!U93,'7.0.3'!$AM$4:$AO$55,2,FALSE))*IF('7.0.3'!AX$4="是",'7.0.3'!$AY$4,'7.0.3'!$AY$3)</f>
        <v>0</v>
      </c>
      <c r="N93" s="4">
        <f>(VLOOKUP('7.0.3'!V93,'7.0.3'!$AM$4:$AO$55,2,FALSE))*IF('7.0.3'!AY$4="是",'7.0.3'!$AY$4,'7.0.3'!$AY$3)</f>
        <v>0</v>
      </c>
      <c r="O93" s="5">
        <f>(VLOOKUP('7.0.3'!W93,'7.0.3'!$AM$4:$AO$55,2,FALSE))*IF('7.0.3'!AZ$4="是",'7.0.3'!$AY$4,'7.0.3'!$AY$3)</f>
        <v>0</v>
      </c>
      <c r="P93" s="5">
        <f>(VLOOKUP('7.0.3'!X93,'7.0.3'!$AM$4:$AO$55,2,FALSE))*IF('7.0.3'!BA$4="是",'7.0.3'!$AY$4,'7.0.3'!$AY$3)</f>
        <v>0</v>
      </c>
      <c r="Q93" s="4">
        <f>(VLOOKUP('7.0.3'!Y93,'7.0.3'!$AM$4:$AO$55,2,FALSE))*IF('7.0.3'!BB$4="是",'7.0.3'!$AY$4,'7.0.3'!$AY$3)</f>
        <v>180</v>
      </c>
      <c r="R93" s="4">
        <f>(VLOOKUP('7.0.3'!Z93,'7.0.3'!$AM$4:$AO$55,2,FALSE))*IF('7.0.3'!BC$4="是",'7.0.3'!$AY$4,'7.0.3'!$AY$3)</f>
        <v>180</v>
      </c>
      <c r="S93" s="4">
        <f>(VLOOKUP('7.0.3'!AA93,'7.0.3'!$AM$4:$AO$55,2,FALSE))*IF('7.0.3'!BD$4="是",'7.0.3'!$AY$4,'7.0.3'!$AY$3)</f>
        <v>180</v>
      </c>
      <c r="T93" s="4">
        <f>(VLOOKUP('7.0.3'!AB93,'7.0.3'!$AM$4:$AO$55,2,FALSE))*IF('7.0.3'!BE$4="是",'7.0.3'!$AY$4,'7.0.3'!$AY$3)</f>
        <v>180</v>
      </c>
      <c r="U93" s="4">
        <f>(VLOOKUP('7.0.3'!AC93,'7.0.3'!$AM$4:$AO$55,2,FALSE))*IF('7.0.3'!BF$4="是",'7.0.3'!$AY$4,'7.0.3'!$AY$3)</f>
        <v>0</v>
      </c>
      <c r="V93" s="4">
        <f>(VLOOKUP('7.0.3'!AD93,'7.0.3'!$AM$4:$AO$55,2,FALSE))*IF('7.0.3'!BG$4="是",'7.0.3'!$AY$4,'7.0.3'!$AY$3)</f>
        <v>0</v>
      </c>
      <c r="W93" s="5">
        <f>(VLOOKUP('7.0.3'!AE93,'7.0.3'!$AM$4:$AO$55,2,FALSE))*IF('7.0.3'!BH$4="是",'7.0.3'!$AY$4,'7.0.3'!$AY$3)</f>
        <v>0</v>
      </c>
      <c r="X93" s="5">
        <f>(VLOOKUP('7.0.3'!AF93,'7.0.3'!$AM$4:$AO$55,2,FALSE))*IF('7.0.3'!BI$4="是",'7.0.3'!$AY$4,'7.0.3'!$AY$3)</f>
        <v>0</v>
      </c>
    </row>
    <row r="94" spans="1:24">
      <c r="A94" s="4">
        <f>(VLOOKUP('7.0.3'!I94,'7.0.3'!$AM$4:$AO$55,2,FALSE))*IF('7.0.3'!AK$4="是",'7.0.3'!$AY$4,'7.0.3'!$AY$3)</f>
        <v>160</v>
      </c>
      <c r="B94" s="4">
        <f>(VLOOKUP('7.0.3'!J94,'7.0.3'!$AM$4:$AO$55,2,FALSE))*IF('7.0.3'!AL$4="是",'7.0.3'!$AY$4,'7.0.3'!$AY$3)</f>
        <v>160</v>
      </c>
      <c r="C94" s="4">
        <f>(VLOOKUP('7.0.3'!K94,'7.0.3'!$AM$4:$AO$55,2,FALSE))*IF('7.0.3'!AM$4="是",'7.0.3'!$AY$4,'7.0.3'!$AY$3)</f>
        <v>50</v>
      </c>
      <c r="D94" s="4">
        <f>(VLOOKUP('7.0.3'!L94,'7.0.3'!$AM$4:$AO$55,2,FALSE))*IF('7.0.3'!AN$4="是",'7.0.3'!$AY$4,'7.0.3'!$AY$3)</f>
        <v>160</v>
      </c>
      <c r="E94" s="4">
        <f>(VLOOKUP('7.0.3'!M94,'7.0.3'!$AM$4:$AO$55,2,FALSE))*IF('7.0.3'!AO$4="是",'7.0.3'!$AY$4,'7.0.3'!$AY$3)</f>
        <v>160</v>
      </c>
      <c r="F94" s="4">
        <f>(VLOOKUP('7.0.3'!N94,'7.0.3'!$AM$4:$AO$55,2,FALSE))*IF('7.0.3'!AQ$4="是",'7.0.3'!$AY$4,'7.0.3'!$AY$3)</f>
        <v>50</v>
      </c>
      <c r="G94" s="5">
        <f>(VLOOKUP('7.0.3'!O94,'7.0.3'!$AM$4:$AO$55,2,FALSE))*IF('7.0.3'!AR$4="是",'7.0.3'!$AY$4,'7.0.3'!$AY$3)</f>
        <v>0</v>
      </c>
      <c r="H94" s="5">
        <f>(VLOOKUP('7.0.3'!P94,'7.0.3'!$AM$4:$AO$55,2,FALSE))*IF('7.0.3'!AS$4="是",'7.0.3'!$AY$4,'7.0.3'!$AY$3)</f>
        <v>0</v>
      </c>
      <c r="I94" s="4">
        <f>(VLOOKUP('7.0.3'!Q94,'7.0.3'!$AM$4:$AO$55,2,FALSE))*IF('7.0.3'!AT$4="是",'7.0.3'!$AY$4,'7.0.3'!$AY$3)</f>
        <v>50</v>
      </c>
      <c r="J94" s="4">
        <f>(VLOOKUP('7.0.3'!R94,'7.0.3'!$AM$4:$AO$55,2,FALSE))*IF('7.0.3'!AU$4="是",'7.0.3'!$AY$4,'7.0.3'!$AY$3)</f>
        <v>160</v>
      </c>
      <c r="K94" s="4">
        <f>(VLOOKUP('7.0.3'!S94,'7.0.3'!$AM$4:$AO$55,2,FALSE))*IF('7.0.3'!AV$4="是",'7.0.3'!$AY$4,'7.0.3'!$AY$3)</f>
        <v>160</v>
      </c>
      <c r="L94" s="4">
        <f>(VLOOKUP('7.0.3'!T94,'7.0.3'!$AM$4:$AO$55,2,FALSE))*IF('7.0.3'!AW$4="是",'7.0.3'!$AY$4,'7.0.3'!$AY$3)</f>
        <v>160</v>
      </c>
      <c r="M94" s="4">
        <f>(VLOOKUP('7.0.3'!U94,'7.0.3'!$AM$4:$AO$55,2,FALSE))*IF('7.0.3'!AX$4="是",'7.0.3'!$AY$4,'7.0.3'!$AY$3)</f>
        <v>150</v>
      </c>
      <c r="N94" s="4">
        <f>(VLOOKUP('7.0.3'!V94,'7.0.3'!$AM$4:$AO$55,2,FALSE))*IF('7.0.3'!AY$4="是",'7.0.3'!$AY$4,'7.0.3'!$AY$3)</f>
        <v>50</v>
      </c>
      <c r="O94" s="5">
        <f>(VLOOKUP('7.0.3'!W94,'7.0.3'!$AM$4:$AO$55,2,FALSE))*IF('7.0.3'!AZ$4="是",'7.0.3'!$AY$4,'7.0.3'!$AY$3)</f>
        <v>0</v>
      </c>
      <c r="P94" s="5">
        <f>(VLOOKUP('7.0.3'!X94,'7.0.3'!$AM$4:$AO$55,2,FALSE))*IF('7.0.3'!BA$4="是",'7.0.3'!$AY$4,'7.0.3'!$AY$3)</f>
        <v>0</v>
      </c>
      <c r="Q94" s="4">
        <f>(VLOOKUP('7.0.3'!Y94,'7.0.3'!$AM$4:$AO$55,2,FALSE))*IF('7.0.3'!BB$4="是",'7.0.3'!$AY$4,'7.0.3'!$AY$3)</f>
        <v>180</v>
      </c>
      <c r="R94" s="4">
        <f>(VLOOKUP('7.0.3'!Z94,'7.0.3'!$AM$4:$AO$55,2,FALSE))*IF('7.0.3'!BC$4="是",'7.0.3'!$AY$4,'7.0.3'!$AY$3)</f>
        <v>180</v>
      </c>
      <c r="S94" s="4">
        <f>(VLOOKUP('7.0.3'!AA94,'7.0.3'!$AM$4:$AO$55,2,FALSE))*IF('7.0.3'!BD$4="是",'7.0.3'!$AY$4,'7.0.3'!$AY$3)</f>
        <v>180</v>
      </c>
      <c r="T94" s="4">
        <f>(VLOOKUP('7.0.3'!AB94,'7.0.3'!$AM$4:$AO$55,2,FALSE))*IF('7.0.3'!BE$4="是",'7.0.3'!$AY$4,'7.0.3'!$AY$3)</f>
        <v>180</v>
      </c>
      <c r="U94" s="4">
        <f>(VLOOKUP('7.0.3'!AC94,'7.0.3'!$AM$4:$AO$55,2,FALSE))*IF('7.0.3'!BF$4="是",'7.0.3'!$AY$4,'7.0.3'!$AY$3)</f>
        <v>0</v>
      </c>
      <c r="V94" s="4">
        <f>(VLOOKUP('7.0.3'!AD94,'7.0.3'!$AM$4:$AO$55,2,FALSE))*IF('7.0.3'!BG$4="是",'7.0.3'!$AY$4,'7.0.3'!$AY$3)</f>
        <v>0</v>
      </c>
      <c r="W94" s="5">
        <f>(VLOOKUP('7.0.3'!AE94,'7.0.3'!$AM$4:$AO$55,2,FALSE))*IF('7.0.3'!BH$4="是",'7.0.3'!$AY$4,'7.0.3'!$AY$3)</f>
        <v>0</v>
      </c>
      <c r="X94" s="5">
        <f>(VLOOKUP('7.0.3'!AF94,'7.0.3'!$AM$4:$AO$55,2,FALSE))*IF('7.0.3'!BI$4="是",'7.0.3'!$AY$4,'7.0.3'!$AY$3)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"/>
    </sheetView>
  </sheetViews>
  <sheetFormatPr defaultColWidth="9" defaultRowHeight="15"/>
  <sheetData>
    <row r="2" spans="1:24">
      <c r="A2" s="107" t="s">
        <v>62</v>
      </c>
      <c r="B2" s="108"/>
      <c r="C2" s="1" t="s">
        <v>4</v>
      </c>
      <c r="D2" s="1">
        <f>COUNTIF(A4:H94,"&lt;&gt;空")</f>
        <v>728</v>
      </c>
      <c r="E2" s="108" t="s">
        <v>5</v>
      </c>
      <c r="F2" s="108"/>
      <c r="G2" s="108"/>
      <c r="H2" s="109"/>
      <c r="I2" s="110" t="s">
        <v>6</v>
      </c>
      <c r="J2" s="111"/>
      <c r="K2" s="6" t="s">
        <v>4</v>
      </c>
      <c r="L2" s="6">
        <f>COUNTIF(I4:P94,"&lt;&gt;空")</f>
        <v>728</v>
      </c>
      <c r="M2" s="111" t="s">
        <v>5</v>
      </c>
      <c r="N2" s="111"/>
      <c r="O2" s="111"/>
      <c r="P2" s="112"/>
      <c r="Q2" s="113" t="s">
        <v>7</v>
      </c>
      <c r="R2" s="114"/>
      <c r="S2" s="10" t="s">
        <v>8</v>
      </c>
      <c r="T2" s="9">
        <f>COUNTIF(Q4:X94,"&lt;&gt;空")</f>
        <v>728</v>
      </c>
      <c r="U2" s="114" t="s">
        <v>5</v>
      </c>
      <c r="V2" s="114"/>
      <c r="W2" s="114"/>
      <c r="X2" s="11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(VLOOKUP('7.0.3'!I4,'7.0.3'!$AM$4:$AO$55,3,FALSE))</f>
        <v>35</v>
      </c>
      <c r="B4" s="4">
        <f>(VLOOKUP('7.0.3'!J4,'7.0.3'!$AM$4:$AO$55,3,FALSE))</f>
        <v>35</v>
      </c>
      <c r="C4" s="4">
        <f>(VLOOKUP('7.0.3'!K4,'7.0.3'!$AM$4:$AO$55,3,FALSE))</f>
        <v>35</v>
      </c>
      <c r="D4" s="4">
        <f>(VLOOKUP('7.0.3'!L4,'7.0.3'!$AM$4:$AO$55,3,FALSE))</f>
        <v>35</v>
      </c>
      <c r="E4" s="4">
        <f>(VLOOKUP('7.0.3'!M4,'7.0.3'!$AM$4:$AO$55,3,FALSE))</f>
        <v>35</v>
      </c>
      <c r="F4" s="4">
        <f>(VLOOKUP('7.0.3'!N4,'7.0.3'!$AM$4:$AO$55,3,FALSE))</f>
        <v>30</v>
      </c>
      <c r="G4" s="5">
        <f>(VLOOKUP('7.0.3'!O4,'7.0.3'!$AM$4:$AO$55,3,FALSE))</f>
        <v>0</v>
      </c>
      <c r="H4" s="5">
        <f>(VLOOKUP('7.0.3'!P4,'7.0.3'!$AM$4:$AO$55,3,FALSE))</f>
        <v>0</v>
      </c>
      <c r="I4" s="4">
        <f>(VLOOKUP('7.0.3'!Q4,'7.0.3'!$AM$4:$AO$55,3,FALSE))</f>
        <v>35</v>
      </c>
      <c r="J4" s="4">
        <f>(VLOOKUP('7.0.3'!R4,'7.0.3'!$AM$4:$AO$55,3,FALSE))</f>
        <v>35</v>
      </c>
      <c r="K4" s="4">
        <f>(VLOOKUP('7.0.3'!S4,'7.0.3'!$AM$4:$AO$55,3,FALSE))</f>
        <v>0</v>
      </c>
      <c r="L4" s="4">
        <f>(VLOOKUP('7.0.3'!T4,'7.0.3'!$AM$4:$AO$55,3,FALSE))</f>
        <v>40</v>
      </c>
      <c r="M4" s="4">
        <f>(VLOOKUP('7.0.3'!U4,'7.0.3'!$AM$4:$AO$55,3,FALSE))</f>
        <v>40</v>
      </c>
      <c r="N4" s="4">
        <f>(VLOOKUP('7.0.3'!V4,'7.0.3'!$AM$4:$AO$55,3,FALSE))</f>
        <v>40</v>
      </c>
      <c r="O4" s="5">
        <f>(VLOOKUP('7.0.3'!W4,'7.0.3'!$AM$4:$AO$55,3,FALSE))</f>
        <v>40</v>
      </c>
      <c r="P4" s="5">
        <f>(VLOOKUP('7.0.3'!X4,'7.0.3'!$AM$4:$AO$55,3,FALSE))</f>
        <v>40</v>
      </c>
      <c r="Q4" s="4">
        <f>(VLOOKUP('7.0.3'!Y4,'7.0.3'!$AM$4:$AO$55,3,FALSE))</f>
        <v>40</v>
      </c>
      <c r="R4" s="4">
        <f>(VLOOKUP('7.0.3'!Z4,'7.0.3'!$AM$4:$AO$55,3,FALSE))</f>
        <v>35</v>
      </c>
      <c r="S4" s="4">
        <f>(VLOOKUP('7.0.3'!AA4,'7.0.3'!$AM$4:$AO$55,3,FALSE))</f>
        <v>40</v>
      </c>
      <c r="T4" s="4">
        <f>(VLOOKUP('7.0.3'!AB4,'7.0.3'!$AM$4:$AO$55,3,FALSE))</f>
        <v>40</v>
      </c>
      <c r="U4" s="4">
        <f>(VLOOKUP('7.0.3'!AC4,'7.0.3'!$AM$4:$AO$55,3,FALSE))</f>
        <v>520</v>
      </c>
      <c r="V4" s="4">
        <f>(VLOOKUP('7.0.3'!AD4,'7.0.3'!$AM$4:$AO$55,3,FALSE))</f>
        <v>40</v>
      </c>
      <c r="W4" s="5">
        <f>(VLOOKUP('7.0.3'!AE4,'7.0.3'!$AM$4:$AO$55,3,FALSE))</f>
        <v>40</v>
      </c>
      <c r="X4" s="5">
        <f>(VLOOKUP('7.0.3'!AF4,'7.0.3'!$AM$4:$AO$55,3,FALSE))</f>
        <v>0</v>
      </c>
    </row>
    <row r="5" spans="1:24">
      <c r="A5" s="4">
        <f>(VLOOKUP('7.0.3'!I5,'7.0.3'!$AM$4:$AO$55,3,FALSE))</f>
        <v>40</v>
      </c>
      <c r="B5" s="4">
        <f>(VLOOKUP('7.0.3'!J5,'7.0.3'!$AM$4:$AO$55,3,FALSE))</f>
        <v>40</v>
      </c>
      <c r="C5" s="4">
        <f>(VLOOKUP('7.0.3'!K5,'7.0.3'!$AM$4:$AO$55,3,FALSE))</f>
        <v>40</v>
      </c>
      <c r="D5" s="4">
        <f>(VLOOKUP('7.0.3'!L5,'7.0.3'!$AM$4:$AO$55,3,FALSE))</f>
        <v>40</v>
      </c>
      <c r="E5" s="4">
        <f>(VLOOKUP('7.0.3'!M5,'7.0.3'!$AM$4:$AO$55,3,FALSE))</f>
        <v>40</v>
      </c>
      <c r="F5" s="4">
        <f>(VLOOKUP('7.0.3'!N5,'7.0.3'!$AM$4:$AO$55,3,FALSE))</f>
        <v>30</v>
      </c>
      <c r="G5" s="5">
        <f>(VLOOKUP('7.0.3'!O5,'7.0.3'!$AM$4:$AO$55,3,FALSE))</f>
        <v>0</v>
      </c>
      <c r="H5" s="5">
        <f>(VLOOKUP('7.0.3'!P5,'7.0.3'!$AM$4:$AO$55,3,FALSE))</f>
        <v>0</v>
      </c>
      <c r="I5" s="4">
        <f>(VLOOKUP('7.0.3'!Q5,'7.0.3'!$AM$4:$AO$55,3,FALSE))</f>
        <v>40</v>
      </c>
      <c r="J5" s="4">
        <f>(VLOOKUP('7.0.3'!R5,'7.0.3'!$AM$4:$AO$55,3,FALSE))</f>
        <v>40</v>
      </c>
      <c r="K5" s="4">
        <f>(VLOOKUP('7.0.3'!S5,'7.0.3'!$AM$4:$AO$55,3,FALSE))</f>
        <v>40</v>
      </c>
      <c r="L5" s="4">
        <f>(VLOOKUP('7.0.3'!T5,'7.0.3'!$AM$4:$AO$55,3,FALSE))</f>
        <v>40</v>
      </c>
      <c r="M5" s="4">
        <f>(VLOOKUP('7.0.3'!U5,'7.0.3'!$AM$4:$AO$55,3,FALSE))</f>
        <v>40</v>
      </c>
      <c r="N5" s="4">
        <f>(VLOOKUP('7.0.3'!V5,'7.0.3'!$AM$4:$AO$55,3,FALSE))</f>
        <v>40</v>
      </c>
      <c r="O5" s="5">
        <f>(VLOOKUP('7.0.3'!W5,'7.0.3'!$AM$4:$AO$55,3,FALSE))</f>
        <v>0</v>
      </c>
      <c r="P5" s="5">
        <f>(VLOOKUP('7.0.3'!X5,'7.0.3'!$AM$4:$AO$55,3,FALSE))</f>
        <v>0</v>
      </c>
      <c r="Q5" s="4">
        <f>(VLOOKUP('7.0.3'!Y5,'7.0.3'!$AM$4:$AO$55,3,FALSE))</f>
        <v>50</v>
      </c>
      <c r="R5" s="4">
        <f>(VLOOKUP('7.0.3'!Z5,'7.0.3'!$AM$4:$AO$55,3,FALSE))</f>
        <v>35</v>
      </c>
      <c r="S5" s="4">
        <f>(VLOOKUP('7.0.3'!AA5,'7.0.3'!$AM$4:$AO$55,3,FALSE))</f>
        <v>50</v>
      </c>
      <c r="T5" s="4">
        <f>(VLOOKUP('7.0.3'!AB5,'7.0.3'!$AM$4:$AO$55,3,FALSE))</f>
        <v>200</v>
      </c>
      <c r="U5" s="4">
        <f>(VLOOKUP('7.0.3'!AC5,'7.0.3'!$AM$4:$AO$55,3,FALSE))</f>
        <v>45</v>
      </c>
      <c r="V5" s="4">
        <f>(VLOOKUP('7.0.3'!AD5,'7.0.3'!$AM$4:$AO$55,3,FALSE))</f>
        <v>45</v>
      </c>
      <c r="W5" s="5">
        <f>(VLOOKUP('7.0.3'!AE5,'7.0.3'!$AM$4:$AO$55,3,FALSE))</f>
        <v>0</v>
      </c>
      <c r="X5" s="5">
        <f>(VLOOKUP('7.0.3'!AF5,'7.0.3'!$AM$4:$AO$55,3,FALSE))</f>
        <v>0</v>
      </c>
    </row>
    <row r="6" spans="1:24">
      <c r="A6" s="4">
        <f>(VLOOKUP('7.0.3'!I6,'7.0.3'!$AM$4:$AO$55,3,FALSE))</f>
        <v>40</v>
      </c>
      <c r="B6" s="4">
        <f>(VLOOKUP('7.0.3'!J6,'7.0.3'!$AM$4:$AO$55,3,FALSE))</f>
        <v>40</v>
      </c>
      <c r="C6" s="4">
        <f>(VLOOKUP('7.0.3'!K6,'7.0.3'!$AM$4:$AO$55,3,FALSE))</f>
        <v>45</v>
      </c>
      <c r="D6" s="4">
        <f>(VLOOKUP('7.0.3'!L6,'7.0.3'!$AM$4:$AO$55,3,FALSE))</f>
        <v>45</v>
      </c>
      <c r="E6" s="4">
        <f>(VLOOKUP('7.0.3'!M6,'7.0.3'!$AM$4:$AO$55,3,FALSE))</f>
        <v>45</v>
      </c>
      <c r="F6" s="4">
        <f>(VLOOKUP('7.0.3'!N6,'7.0.3'!$AM$4:$AO$55,3,FALSE))</f>
        <v>45</v>
      </c>
      <c r="G6" s="5">
        <f>(VLOOKUP('7.0.3'!O6,'7.0.3'!$AM$4:$AO$55,3,FALSE))</f>
        <v>0</v>
      </c>
      <c r="H6" s="5">
        <f>(VLOOKUP('7.0.3'!P6,'7.0.3'!$AM$4:$AO$55,3,FALSE))</f>
        <v>0</v>
      </c>
      <c r="I6" s="4">
        <f>(VLOOKUP('7.0.3'!Q6,'7.0.3'!$AM$4:$AO$55,3,FALSE))</f>
        <v>45</v>
      </c>
      <c r="J6" s="4">
        <f>(VLOOKUP('7.0.3'!R6,'7.0.3'!$AM$4:$AO$55,3,FALSE))</f>
        <v>45</v>
      </c>
      <c r="K6" s="4">
        <f>(VLOOKUP('7.0.3'!S6,'7.0.3'!$AM$4:$AO$55,3,FALSE))</f>
        <v>45</v>
      </c>
      <c r="L6" s="4">
        <f>(VLOOKUP('7.0.3'!T6,'7.0.3'!$AM$4:$AO$55,3,FALSE))</f>
        <v>45</v>
      </c>
      <c r="M6" s="4">
        <f>(VLOOKUP('7.0.3'!U6,'7.0.3'!$AM$4:$AO$55,3,FALSE))</f>
        <v>45</v>
      </c>
      <c r="N6" s="4">
        <f>(VLOOKUP('7.0.3'!V6,'7.0.3'!$AM$4:$AO$55,3,FALSE))</f>
        <v>45</v>
      </c>
      <c r="O6" s="5">
        <f>(VLOOKUP('7.0.3'!W6,'7.0.3'!$AM$4:$AO$55,3,FALSE))</f>
        <v>0</v>
      </c>
      <c r="P6" s="5">
        <f>(VLOOKUP('7.0.3'!X6,'7.0.3'!$AM$4:$AO$55,3,FALSE))</f>
        <v>0</v>
      </c>
      <c r="Q6" s="4">
        <f>(VLOOKUP('7.0.3'!Y6,'7.0.3'!$AM$4:$AO$55,3,FALSE))</f>
        <v>45</v>
      </c>
      <c r="R6" s="4">
        <f>(VLOOKUP('7.0.3'!Z6,'7.0.3'!$AM$4:$AO$55,3,FALSE))</f>
        <v>0</v>
      </c>
      <c r="S6" s="4">
        <f>(VLOOKUP('7.0.3'!AA6,'7.0.3'!$AM$4:$AO$55,3,FALSE))</f>
        <v>45</v>
      </c>
      <c r="T6" s="4">
        <f>(VLOOKUP('7.0.3'!AB6,'7.0.3'!$AM$4:$AO$55,3,FALSE))</f>
        <v>45</v>
      </c>
      <c r="U6" s="4">
        <f>(VLOOKUP('7.0.3'!AC6,'7.0.3'!$AM$4:$AO$55,3,FALSE))</f>
        <v>0</v>
      </c>
      <c r="V6" s="4">
        <f>(VLOOKUP('7.0.3'!AD6,'7.0.3'!$AM$4:$AO$55,3,FALSE))</f>
        <v>0</v>
      </c>
      <c r="W6" s="5">
        <f>(VLOOKUP('7.0.3'!AE6,'7.0.3'!$AM$4:$AO$55,3,FALSE))</f>
        <v>0</v>
      </c>
      <c r="X6" s="5">
        <f>(VLOOKUP('7.0.3'!AF6,'7.0.3'!$AM$4:$AO$55,3,FALSE))</f>
        <v>0</v>
      </c>
    </row>
    <row r="7" spans="1:24">
      <c r="A7" s="4">
        <f>(VLOOKUP('7.0.3'!I7,'7.0.3'!$AM$4:$AO$55,3,FALSE))</f>
        <v>45</v>
      </c>
      <c r="B7" s="4">
        <f>(VLOOKUP('7.0.3'!J7,'7.0.3'!$AM$4:$AO$55,3,FALSE))</f>
        <v>45</v>
      </c>
      <c r="C7" s="4">
        <f>(VLOOKUP('7.0.3'!K7,'7.0.3'!$AM$4:$AO$55,3,FALSE))</f>
        <v>45</v>
      </c>
      <c r="D7" s="4">
        <f>(VLOOKUP('7.0.3'!L7,'7.0.3'!$AM$4:$AO$55,3,FALSE))</f>
        <v>45</v>
      </c>
      <c r="E7" s="4">
        <f>(VLOOKUP('7.0.3'!M7,'7.0.3'!$AM$4:$AO$55,3,FALSE))</f>
        <v>45</v>
      </c>
      <c r="F7" s="4">
        <f>(VLOOKUP('7.0.3'!N7,'7.0.3'!$AM$4:$AO$55,3,FALSE))</f>
        <v>45</v>
      </c>
      <c r="G7" s="5">
        <f>(VLOOKUP('7.0.3'!O7,'7.0.3'!$AM$4:$AO$55,3,FALSE))</f>
        <v>0</v>
      </c>
      <c r="H7" s="5">
        <f>(VLOOKUP('7.0.3'!P7,'7.0.3'!$AM$4:$AO$55,3,FALSE))</f>
        <v>0</v>
      </c>
      <c r="I7" s="4">
        <f>(VLOOKUP('7.0.3'!Q7,'7.0.3'!$AM$4:$AO$55,3,FALSE))</f>
        <v>45</v>
      </c>
      <c r="J7" s="4">
        <f>(VLOOKUP('7.0.3'!R7,'7.0.3'!$AM$4:$AO$55,3,FALSE))</f>
        <v>45</v>
      </c>
      <c r="K7" s="4">
        <f>(VLOOKUP('7.0.3'!S7,'7.0.3'!$AM$4:$AO$55,3,FALSE))</f>
        <v>45</v>
      </c>
      <c r="L7" s="4">
        <f>(VLOOKUP('7.0.3'!T7,'7.0.3'!$AM$4:$AO$55,3,FALSE))</f>
        <v>45</v>
      </c>
      <c r="M7" s="4">
        <f>(VLOOKUP('7.0.3'!U7,'7.0.3'!$AM$4:$AO$55,3,FALSE))</f>
        <v>45</v>
      </c>
      <c r="N7" s="4">
        <f>(VLOOKUP('7.0.3'!V7,'7.0.3'!$AM$4:$AO$55,3,FALSE))</f>
        <v>200</v>
      </c>
      <c r="O7" s="5">
        <f>(VLOOKUP('7.0.3'!W7,'7.0.3'!$AM$4:$AO$55,3,FALSE))</f>
        <v>0</v>
      </c>
      <c r="P7" s="5">
        <f>(VLOOKUP('7.0.3'!X7,'7.0.3'!$AM$4:$AO$55,3,FALSE))</f>
        <v>0</v>
      </c>
      <c r="Q7" s="4">
        <f>(VLOOKUP('7.0.3'!Y7,'7.0.3'!$AM$4:$AO$55,3,FALSE))</f>
        <v>0</v>
      </c>
      <c r="R7" s="4">
        <f>(VLOOKUP('7.0.3'!Z7,'7.0.3'!$AM$4:$AO$55,3,FALSE))</f>
        <v>0</v>
      </c>
      <c r="S7" s="4">
        <f>(VLOOKUP('7.0.3'!AA7,'7.0.3'!$AM$4:$AO$55,3,FALSE))</f>
        <v>0</v>
      </c>
      <c r="T7" s="4">
        <f>(VLOOKUP('7.0.3'!AB7,'7.0.3'!$AM$4:$AO$55,3,FALSE))</f>
        <v>0</v>
      </c>
      <c r="U7" s="4">
        <f>(VLOOKUP('7.0.3'!AC7,'7.0.3'!$AM$4:$AO$55,3,FALSE))</f>
        <v>0</v>
      </c>
      <c r="V7" s="4">
        <f>(VLOOKUP('7.0.3'!AD7,'7.0.3'!$AM$4:$AO$55,3,FALSE))</f>
        <v>0</v>
      </c>
      <c r="W7" s="5">
        <f>(VLOOKUP('7.0.3'!AE7,'7.0.3'!$AM$4:$AO$55,3,FALSE))</f>
        <v>0</v>
      </c>
      <c r="X7" s="5">
        <f>(VLOOKUP('7.0.3'!AF7,'7.0.3'!$AM$4:$AO$55,3,FALSE))</f>
        <v>0</v>
      </c>
    </row>
    <row r="8" spans="1:24">
      <c r="A8" s="4">
        <f>(VLOOKUP('7.0.3'!I8,'7.0.3'!$AM$4:$AO$55,3,FALSE))</f>
        <v>45</v>
      </c>
      <c r="B8" s="4">
        <f>(VLOOKUP('7.0.3'!J8,'7.0.3'!$AM$4:$AO$55,3,FALSE))</f>
        <v>45</v>
      </c>
      <c r="C8" s="4">
        <f>(VLOOKUP('7.0.3'!K8,'7.0.3'!$AM$4:$AO$55,3,FALSE))</f>
        <v>200</v>
      </c>
      <c r="D8" s="4">
        <f>(VLOOKUP('7.0.3'!L8,'7.0.3'!$AM$4:$AO$55,3,FALSE))</f>
        <v>45</v>
      </c>
      <c r="E8" s="4">
        <f>(VLOOKUP('7.0.3'!M8,'7.0.3'!$AM$4:$AO$55,3,FALSE))</f>
        <v>45</v>
      </c>
      <c r="F8" s="4">
        <f>(VLOOKUP('7.0.3'!N8,'7.0.3'!$AM$4:$AO$55,3,FALSE))</f>
        <v>30</v>
      </c>
      <c r="G8" s="5">
        <f>(VLOOKUP('7.0.3'!O8,'7.0.3'!$AM$4:$AO$55,3,FALSE))</f>
        <v>0</v>
      </c>
      <c r="H8" s="5">
        <f>(VLOOKUP('7.0.3'!P8,'7.0.3'!$AM$4:$AO$55,3,FALSE))</f>
        <v>0</v>
      </c>
      <c r="I8" s="4">
        <f>(VLOOKUP('7.0.3'!Q8,'7.0.3'!$AM$4:$AO$55,3,FALSE))</f>
        <v>45</v>
      </c>
      <c r="J8" s="4">
        <f>(VLOOKUP('7.0.3'!R8,'7.0.3'!$AM$4:$AO$55,3,FALSE))</f>
        <v>35</v>
      </c>
      <c r="K8" s="4">
        <f>(VLOOKUP('7.0.3'!S8,'7.0.3'!$AM$4:$AO$55,3,FALSE))</f>
        <v>45</v>
      </c>
      <c r="L8" s="4">
        <f>(VLOOKUP('7.0.3'!T8,'7.0.3'!$AM$4:$AO$55,3,FALSE))</f>
        <v>45</v>
      </c>
      <c r="M8" s="4">
        <f>(VLOOKUP('7.0.3'!U8,'7.0.3'!$AM$4:$AO$55,3,FALSE))</f>
        <v>45</v>
      </c>
      <c r="N8" s="4">
        <f>(VLOOKUP('7.0.3'!V8,'7.0.3'!$AM$4:$AO$55,3,FALSE))</f>
        <v>45</v>
      </c>
      <c r="O8" s="5">
        <f>(VLOOKUP('7.0.3'!W8,'7.0.3'!$AM$4:$AO$55,3,FALSE))</f>
        <v>0</v>
      </c>
      <c r="P8" s="5">
        <f>(VLOOKUP('7.0.3'!X8,'7.0.3'!$AM$4:$AO$55,3,FALSE))</f>
        <v>0</v>
      </c>
      <c r="Q8" s="4">
        <f>(VLOOKUP('7.0.3'!Y8,'7.0.3'!$AM$4:$AO$55,3,FALSE))</f>
        <v>0</v>
      </c>
      <c r="R8" s="4">
        <f>(VLOOKUP('7.0.3'!Z8,'7.0.3'!$AM$4:$AO$55,3,FALSE))</f>
        <v>0</v>
      </c>
      <c r="S8" s="4">
        <f>(VLOOKUP('7.0.3'!AA8,'7.0.3'!$AM$4:$AO$55,3,FALSE))</f>
        <v>0</v>
      </c>
      <c r="T8" s="4">
        <f>(VLOOKUP('7.0.3'!AB8,'7.0.3'!$AM$4:$AO$55,3,FALSE))</f>
        <v>0</v>
      </c>
      <c r="U8" s="4">
        <f>(VLOOKUP('7.0.3'!AC8,'7.0.3'!$AM$4:$AO$55,3,FALSE))</f>
        <v>0</v>
      </c>
      <c r="V8" s="4">
        <f>(VLOOKUP('7.0.3'!AD8,'7.0.3'!$AM$4:$AO$55,3,FALSE))</f>
        <v>0</v>
      </c>
      <c r="W8" s="5">
        <f>(VLOOKUP('7.0.3'!AE8,'7.0.3'!$AM$4:$AO$55,3,FALSE))</f>
        <v>0</v>
      </c>
      <c r="X8" s="5">
        <f>(VLOOKUP('7.0.3'!AF8,'7.0.3'!$AM$4:$AO$55,3,FALSE))</f>
        <v>0</v>
      </c>
    </row>
    <row r="9" spans="1:24">
      <c r="A9" s="4">
        <f>(VLOOKUP('7.0.3'!I9,'7.0.3'!$AM$4:$AO$55,3,FALSE))</f>
        <v>45</v>
      </c>
      <c r="B9" s="4">
        <f>(VLOOKUP('7.0.3'!J9,'7.0.3'!$AM$4:$AO$55,3,FALSE))</f>
        <v>45</v>
      </c>
      <c r="C9" s="4">
        <f>(VLOOKUP('7.0.3'!K9,'7.0.3'!$AM$4:$AO$55,3,FALSE))</f>
        <v>45</v>
      </c>
      <c r="D9" s="4">
        <f>(VLOOKUP('7.0.3'!L9,'7.0.3'!$AM$4:$AO$55,3,FALSE))</f>
        <v>45</v>
      </c>
      <c r="E9" s="4">
        <f>(VLOOKUP('7.0.3'!M9,'7.0.3'!$AM$4:$AO$55,3,FALSE))</f>
        <v>45</v>
      </c>
      <c r="F9" s="4">
        <f>(VLOOKUP('7.0.3'!N9,'7.0.3'!$AM$4:$AO$55,3,FALSE))</f>
        <v>45</v>
      </c>
      <c r="G9" s="5">
        <f>(VLOOKUP('7.0.3'!O9,'7.0.3'!$AM$4:$AO$55,3,FALSE))</f>
        <v>0</v>
      </c>
      <c r="H9" s="5">
        <f>(VLOOKUP('7.0.3'!P9,'7.0.3'!$AM$4:$AO$55,3,FALSE))</f>
        <v>0</v>
      </c>
      <c r="I9" s="4">
        <f>(VLOOKUP('7.0.3'!Q9,'7.0.3'!$AM$4:$AO$55,3,FALSE))</f>
        <v>45</v>
      </c>
      <c r="J9" s="4">
        <f>(VLOOKUP('7.0.3'!R9,'7.0.3'!$AM$4:$AO$55,3,FALSE))</f>
        <v>45</v>
      </c>
      <c r="K9" s="4">
        <f>(VLOOKUP('7.0.3'!S9,'7.0.3'!$AM$4:$AO$55,3,FALSE))</f>
        <v>45</v>
      </c>
      <c r="L9" s="4">
        <f>(VLOOKUP('7.0.3'!T9,'7.0.3'!$AM$4:$AO$55,3,FALSE))</f>
        <v>45</v>
      </c>
      <c r="M9" s="4">
        <f>(VLOOKUP('7.0.3'!U9,'7.0.3'!$AM$4:$AO$55,3,FALSE))</f>
        <v>45</v>
      </c>
      <c r="N9" s="4">
        <f>(VLOOKUP('7.0.3'!V9,'7.0.3'!$AM$4:$AO$55,3,FALSE))</f>
        <v>45</v>
      </c>
      <c r="O9" s="5">
        <f>(VLOOKUP('7.0.3'!W9,'7.0.3'!$AM$4:$AO$55,3,FALSE))</f>
        <v>0</v>
      </c>
      <c r="P9" s="5">
        <f>(VLOOKUP('7.0.3'!X9,'7.0.3'!$AM$4:$AO$55,3,FALSE))</f>
        <v>0</v>
      </c>
      <c r="Q9" s="4">
        <f>(VLOOKUP('7.0.3'!Y9,'7.0.3'!$AM$4:$AO$55,3,FALSE))</f>
        <v>0</v>
      </c>
      <c r="R9" s="4">
        <f>(VLOOKUP('7.0.3'!Z9,'7.0.3'!$AM$4:$AO$55,3,FALSE))</f>
        <v>0</v>
      </c>
      <c r="S9" s="4">
        <f>(VLOOKUP('7.0.3'!AA9,'7.0.3'!$AM$4:$AO$55,3,FALSE))</f>
        <v>0</v>
      </c>
      <c r="T9" s="4">
        <f>(VLOOKUP('7.0.3'!AB9,'7.0.3'!$AM$4:$AO$55,3,FALSE))</f>
        <v>0</v>
      </c>
      <c r="U9" s="4">
        <f>(VLOOKUP('7.0.3'!AC9,'7.0.3'!$AM$4:$AO$55,3,FALSE))</f>
        <v>0</v>
      </c>
      <c r="V9" s="4">
        <f>(VLOOKUP('7.0.3'!AD9,'7.0.3'!$AM$4:$AO$55,3,FALSE))</f>
        <v>0</v>
      </c>
      <c r="W9" s="5">
        <f>(VLOOKUP('7.0.3'!AE9,'7.0.3'!$AM$4:$AO$55,3,FALSE))</f>
        <v>0</v>
      </c>
      <c r="X9" s="5">
        <f>(VLOOKUP('7.0.3'!AF9,'7.0.3'!$AM$4:$AO$55,3,FALSE))</f>
        <v>0</v>
      </c>
    </row>
    <row r="10" spans="1:24">
      <c r="A10" s="4">
        <f>(VLOOKUP('7.0.3'!I10,'7.0.3'!$AM$4:$AO$55,3,FALSE))</f>
        <v>45</v>
      </c>
      <c r="B10" s="4">
        <f>(VLOOKUP('7.0.3'!J10,'7.0.3'!$AM$4:$AO$55,3,FALSE))</f>
        <v>45</v>
      </c>
      <c r="C10" s="4">
        <f>(VLOOKUP('7.0.3'!K10,'7.0.3'!$AM$4:$AO$55,3,FALSE))</f>
        <v>45</v>
      </c>
      <c r="D10" s="4">
        <f>(VLOOKUP('7.0.3'!L10,'7.0.3'!$AM$4:$AO$55,3,FALSE))</f>
        <v>45</v>
      </c>
      <c r="E10" s="4">
        <f>(VLOOKUP('7.0.3'!M10,'7.0.3'!$AM$4:$AO$55,3,FALSE))</f>
        <v>45</v>
      </c>
      <c r="F10" s="4">
        <f>(VLOOKUP('7.0.3'!N10,'7.0.3'!$AM$4:$AO$55,3,FALSE))</f>
        <v>45</v>
      </c>
      <c r="G10" s="5">
        <f>(VLOOKUP('7.0.3'!O10,'7.0.3'!$AM$4:$AO$55,3,FALSE))</f>
        <v>0</v>
      </c>
      <c r="H10" s="5">
        <f>(VLOOKUP('7.0.3'!P10,'7.0.3'!$AM$4:$AO$55,3,FALSE))</f>
        <v>0</v>
      </c>
      <c r="I10" s="4">
        <f>(VLOOKUP('7.0.3'!Q10,'7.0.3'!$AM$4:$AO$55,3,FALSE))</f>
        <v>45</v>
      </c>
      <c r="J10" s="4">
        <f>(VLOOKUP('7.0.3'!R10,'7.0.3'!$AM$4:$AO$55,3,FALSE))</f>
        <v>45</v>
      </c>
      <c r="K10" s="4">
        <f>(VLOOKUP('7.0.3'!S10,'7.0.3'!$AM$4:$AO$55,3,FALSE))</f>
        <v>45</v>
      </c>
      <c r="L10" s="4">
        <f>(VLOOKUP('7.0.3'!T10,'7.0.3'!$AM$4:$AO$55,3,FALSE))</f>
        <v>45</v>
      </c>
      <c r="M10" s="4">
        <f>(VLOOKUP('7.0.3'!U10,'7.0.3'!$AM$4:$AO$55,3,FALSE))</f>
        <v>45</v>
      </c>
      <c r="N10" s="4">
        <f>(VLOOKUP('7.0.3'!V10,'7.0.3'!$AM$4:$AO$55,3,FALSE))</f>
        <v>45</v>
      </c>
      <c r="O10" s="5">
        <f>(VLOOKUP('7.0.3'!W10,'7.0.3'!$AM$4:$AO$55,3,FALSE))</f>
        <v>0</v>
      </c>
      <c r="P10" s="5">
        <f>(VLOOKUP('7.0.3'!X10,'7.0.3'!$AM$4:$AO$55,3,FALSE))</f>
        <v>0</v>
      </c>
      <c r="Q10" s="4">
        <f>(VLOOKUP('7.0.3'!Y10,'7.0.3'!$AM$4:$AO$55,3,FALSE))</f>
        <v>0</v>
      </c>
      <c r="R10" s="4">
        <f>(VLOOKUP('7.0.3'!Z10,'7.0.3'!$AM$4:$AO$55,3,FALSE))</f>
        <v>0</v>
      </c>
      <c r="S10" s="4">
        <f>(VLOOKUP('7.0.3'!AA10,'7.0.3'!$AM$4:$AO$55,3,FALSE))</f>
        <v>0</v>
      </c>
      <c r="T10" s="4">
        <f>(VLOOKUP('7.0.3'!AB10,'7.0.3'!$AM$4:$AO$55,3,FALSE))</f>
        <v>0</v>
      </c>
      <c r="U10" s="4">
        <f>(VLOOKUP('7.0.3'!AC10,'7.0.3'!$AM$4:$AO$55,3,FALSE))</f>
        <v>0</v>
      </c>
      <c r="V10" s="4">
        <f>(VLOOKUP('7.0.3'!AD10,'7.0.3'!$AM$4:$AO$55,3,FALSE))</f>
        <v>0</v>
      </c>
      <c r="W10" s="5">
        <f>(VLOOKUP('7.0.3'!AE10,'7.0.3'!$AM$4:$AO$55,3,FALSE))</f>
        <v>0</v>
      </c>
      <c r="X10" s="5">
        <f>(VLOOKUP('7.0.3'!AF10,'7.0.3'!$AM$4:$AO$55,3,FALSE))</f>
        <v>0</v>
      </c>
    </row>
    <row r="11" spans="1:24">
      <c r="A11" s="4">
        <f>(VLOOKUP('7.0.3'!I11,'7.0.3'!$AM$4:$AO$55,3,FALSE))</f>
        <v>45</v>
      </c>
      <c r="B11" s="4">
        <f>(VLOOKUP('7.0.3'!J11,'7.0.3'!$AM$4:$AO$55,3,FALSE))</f>
        <v>45</v>
      </c>
      <c r="C11" s="4">
        <f>(VLOOKUP('7.0.3'!K11,'7.0.3'!$AM$4:$AO$55,3,FALSE))</f>
        <v>45</v>
      </c>
      <c r="D11" s="4">
        <f>(VLOOKUP('7.0.3'!L11,'7.0.3'!$AM$4:$AO$55,3,FALSE))</f>
        <v>45</v>
      </c>
      <c r="E11" s="4">
        <f>(VLOOKUP('7.0.3'!M11,'7.0.3'!$AM$4:$AO$55,3,FALSE))</f>
        <v>30</v>
      </c>
      <c r="F11" s="4">
        <f>(VLOOKUP('7.0.3'!N11,'7.0.3'!$AM$4:$AO$55,3,FALSE))</f>
        <v>45</v>
      </c>
      <c r="G11" s="5">
        <f>(VLOOKUP('7.0.3'!O11,'7.0.3'!$AM$4:$AO$55,3,FALSE))</f>
        <v>0</v>
      </c>
      <c r="H11" s="5">
        <f>(VLOOKUP('7.0.3'!P11,'7.0.3'!$AM$4:$AO$55,3,FALSE))</f>
        <v>0</v>
      </c>
      <c r="I11" s="4">
        <f>(VLOOKUP('7.0.3'!Q11,'7.0.3'!$AM$4:$AO$55,3,FALSE))</f>
        <v>45</v>
      </c>
      <c r="J11" s="4">
        <f>(VLOOKUP('7.0.3'!R11,'7.0.3'!$AM$4:$AO$55,3,FALSE))</f>
        <v>45</v>
      </c>
      <c r="K11" s="4">
        <f>(VLOOKUP('7.0.3'!S11,'7.0.3'!$AM$4:$AO$55,3,FALSE))</f>
        <v>45</v>
      </c>
      <c r="L11" s="4">
        <f>(VLOOKUP('7.0.3'!T11,'7.0.3'!$AM$4:$AO$55,3,FALSE))</f>
        <v>45</v>
      </c>
      <c r="M11" s="4">
        <f>(VLOOKUP('7.0.3'!U11,'7.0.3'!$AM$4:$AO$55,3,FALSE))</f>
        <v>45</v>
      </c>
      <c r="N11" s="4">
        <f>(VLOOKUP('7.0.3'!V11,'7.0.3'!$AM$4:$AO$55,3,FALSE))</f>
        <v>45</v>
      </c>
      <c r="O11" s="5">
        <f>(VLOOKUP('7.0.3'!W11,'7.0.3'!$AM$4:$AO$55,3,FALSE))</f>
        <v>0</v>
      </c>
      <c r="P11" s="5">
        <f>(VLOOKUP('7.0.3'!X11,'7.0.3'!$AM$4:$AO$55,3,FALSE))</f>
        <v>0</v>
      </c>
      <c r="Q11" s="4">
        <f>(VLOOKUP('7.0.3'!Y11,'7.0.3'!$AM$4:$AO$55,3,FALSE))</f>
        <v>0</v>
      </c>
      <c r="R11" s="4">
        <f>(VLOOKUP('7.0.3'!Z11,'7.0.3'!$AM$4:$AO$55,3,FALSE))</f>
        <v>0</v>
      </c>
      <c r="S11" s="4">
        <f>(VLOOKUP('7.0.3'!AA11,'7.0.3'!$AM$4:$AO$55,3,FALSE))</f>
        <v>0</v>
      </c>
      <c r="T11" s="4">
        <f>(VLOOKUP('7.0.3'!AB11,'7.0.3'!$AM$4:$AO$55,3,FALSE))</f>
        <v>0</v>
      </c>
      <c r="U11" s="4">
        <f>(VLOOKUP('7.0.3'!AC11,'7.0.3'!$AM$4:$AO$55,3,FALSE))</f>
        <v>0</v>
      </c>
      <c r="V11" s="4">
        <f>(VLOOKUP('7.0.3'!AD11,'7.0.3'!$AM$4:$AO$55,3,FALSE))</f>
        <v>0</v>
      </c>
      <c r="W11" s="5">
        <f>(VLOOKUP('7.0.3'!AE11,'7.0.3'!$AM$4:$AO$55,3,FALSE))</f>
        <v>0</v>
      </c>
      <c r="X11" s="5">
        <f>(VLOOKUP('7.0.3'!AF11,'7.0.3'!$AM$4:$AO$55,3,FALSE))</f>
        <v>0</v>
      </c>
    </row>
    <row r="12" spans="1:24">
      <c r="A12" s="4">
        <f>(VLOOKUP('7.0.3'!I12,'7.0.3'!$AM$4:$AO$55,3,FALSE))</f>
        <v>45</v>
      </c>
      <c r="B12" s="4">
        <f>(VLOOKUP('7.0.3'!J12,'7.0.3'!$AM$4:$AO$55,3,FALSE))</f>
        <v>45</v>
      </c>
      <c r="C12" s="4">
        <f>(VLOOKUP('7.0.3'!K12,'7.0.3'!$AM$4:$AO$55,3,FALSE))</f>
        <v>45</v>
      </c>
      <c r="D12" s="4">
        <f>(VLOOKUP('7.0.3'!L12,'7.0.3'!$AM$4:$AO$55,3,FALSE))</f>
        <v>45</v>
      </c>
      <c r="E12" s="4">
        <f>(VLOOKUP('7.0.3'!M12,'7.0.3'!$AM$4:$AO$55,3,FALSE))</f>
        <v>45</v>
      </c>
      <c r="F12" s="4">
        <f>(VLOOKUP('7.0.3'!N12,'7.0.3'!$AM$4:$AO$55,3,FALSE))</f>
        <v>30</v>
      </c>
      <c r="G12" s="5">
        <f>(VLOOKUP('7.0.3'!O12,'7.0.3'!$AM$4:$AO$55,3,FALSE))</f>
        <v>0</v>
      </c>
      <c r="H12" s="5">
        <f>(VLOOKUP('7.0.3'!P12,'7.0.3'!$AM$4:$AO$55,3,FALSE))</f>
        <v>0</v>
      </c>
      <c r="I12" s="4">
        <f>(VLOOKUP('7.0.3'!Q12,'7.0.3'!$AM$4:$AO$55,3,FALSE))</f>
        <v>45</v>
      </c>
      <c r="J12" s="4">
        <f>(VLOOKUP('7.0.3'!R12,'7.0.3'!$AM$4:$AO$55,3,FALSE))</f>
        <v>45</v>
      </c>
      <c r="K12" s="4">
        <f>(VLOOKUP('7.0.3'!S12,'7.0.3'!$AM$4:$AO$55,3,FALSE))</f>
        <v>45</v>
      </c>
      <c r="L12" s="4">
        <f>(VLOOKUP('7.0.3'!T12,'7.0.3'!$AM$4:$AO$55,3,FALSE))</f>
        <v>45</v>
      </c>
      <c r="M12" s="4">
        <f>(VLOOKUP('7.0.3'!U12,'7.0.3'!$AM$4:$AO$55,3,FALSE))</f>
        <v>45</v>
      </c>
      <c r="N12" s="4">
        <f>(VLOOKUP('7.0.3'!V12,'7.0.3'!$AM$4:$AO$55,3,FALSE))</f>
        <v>45</v>
      </c>
      <c r="O12" s="5">
        <f>(VLOOKUP('7.0.3'!W12,'7.0.3'!$AM$4:$AO$55,3,FALSE))</f>
        <v>0</v>
      </c>
      <c r="P12" s="5">
        <f>(VLOOKUP('7.0.3'!X12,'7.0.3'!$AM$4:$AO$55,3,FALSE))</f>
        <v>0</v>
      </c>
      <c r="Q12" s="4">
        <f>(VLOOKUP('7.0.3'!Y12,'7.0.3'!$AM$4:$AO$55,3,FALSE))</f>
        <v>0</v>
      </c>
      <c r="R12" s="4">
        <f>(VLOOKUP('7.0.3'!Z12,'7.0.3'!$AM$4:$AO$55,3,FALSE))</f>
        <v>0</v>
      </c>
      <c r="S12" s="4">
        <f>(VLOOKUP('7.0.3'!AA12,'7.0.3'!$AM$4:$AO$55,3,FALSE))</f>
        <v>0</v>
      </c>
      <c r="T12" s="4">
        <f>(VLOOKUP('7.0.3'!AB12,'7.0.3'!$AM$4:$AO$55,3,FALSE))</f>
        <v>0</v>
      </c>
      <c r="U12" s="4">
        <f>(VLOOKUP('7.0.3'!AC12,'7.0.3'!$AM$4:$AO$55,3,FALSE))</f>
        <v>0</v>
      </c>
      <c r="V12" s="4">
        <f>(VLOOKUP('7.0.3'!AD12,'7.0.3'!$AM$4:$AO$55,3,FALSE))</f>
        <v>0</v>
      </c>
      <c r="W12" s="5">
        <f>(VLOOKUP('7.0.3'!AE12,'7.0.3'!$AM$4:$AO$55,3,FALSE))</f>
        <v>0</v>
      </c>
      <c r="X12" s="5">
        <f>(VLOOKUP('7.0.3'!AF12,'7.0.3'!$AM$4:$AO$55,3,FALSE))</f>
        <v>0</v>
      </c>
    </row>
    <row r="13" spans="1:24">
      <c r="A13" s="4">
        <f>(VLOOKUP('7.0.3'!I13,'7.0.3'!$AM$4:$AO$55,3,FALSE))</f>
        <v>40</v>
      </c>
      <c r="B13" s="4">
        <f>(VLOOKUP('7.0.3'!J13,'7.0.3'!$AM$4:$AO$55,3,FALSE))</f>
        <v>40</v>
      </c>
      <c r="C13" s="4">
        <f>(VLOOKUP('7.0.3'!K13,'7.0.3'!$AM$4:$AO$55,3,FALSE))</f>
        <v>40</v>
      </c>
      <c r="D13" s="4">
        <f>(VLOOKUP('7.0.3'!L13,'7.0.3'!$AM$4:$AO$55,3,FALSE))</f>
        <v>40</v>
      </c>
      <c r="E13" s="4">
        <f>(VLOOKUP('7.0.3'!M13,'7.0.3'!$AM$4:$AO$55,3,FALSE))</f>
        <v>40</v>
      </c>
      <c r="F13" s="4">
        <f>(VLOOKUP('7.0.3'!N13,'7.0.3'!$AM$4:$AO$55,3,FALSE))</f>
        <v>30</v>
      </c>
      <c r="G13" s="5">
        <f>(VLOOKUP('7.0.3'!O13,'7.0.3'!$AM$4:$AO$55,3,FALSE))</f>
        <v>0</v>
      </c>
      <c r="H13" s="5">
        <f>(VLOOKUP('7.0.3'!P13,'7.0.3'!$AM$4:$AO$55,3,FALSE))</f>
        <v>0</v>
      </c>
      <c r="I13" s="4">
        <f>(VLOOKUP('7.0.3'!Q13,'7.0.3'!$AM$4:$AO$55,3,FALSE))</f>
        <v>45</v>
      </c>
      <c r="J13" s="4">
        <f>(VLOOKUP('7.0.3'!R13,'7.0.3'!$AM$4:$AO$55,3,FALSE))</f>
        <v>45</v>
      </c>
      <c r="K13" s="4">
        <f>(VLOOKUP('7.0.3'!S13,'7.0.3'!$AM$4:$AO$55,3,FALSE))</f>
        <v>45</v>
      </c>
      <c r="L13" s="4">
        <f>(VLOOKUP('7.0.3'!T13,'7.0.3'!$AM$4:$AO$55,3,FALSE))</f>
        <v>45</v>
      </c>
      <c r="M13" s="4">
        <f>(VLOOKUP('7.0.3'!U13,'7.0.3'!$AM$4:$AO$55,3,FALSE))</f>
        <v>45</v>
      </c>
      <c r="N13" s="4">
        <f>(VLOOKUP('7.0.3'!V13,'7.0.3'!$AM$4:$AO$55,3,FALSE))</f>
        <v>45</v>
      </c>
      <c r="O13" s="5">
        <f>(VLOOKUP('7.0.3'!W13,'7.0.3'!$AM$4:$AO$55,3,FALSE))</f>
        <v>0</v>
      </c>
      <c r="P13" s="5">
        <f>(VLOOKUP('7.0.3'!X13,'7.0.3'!$AM$4:$AO$55,3,FALSE))</f>
        <v>0</v>
      </c>
      <c r="Q13" s="4">
        <f>(VLOOKUP('7.0.3'!Y13,'7.0.3'!$AM$4:$AO$55,3,FALSE))</f>
        <v>0</v>
      </c>
      <c r="R13" s="4">
        <f>(VLOOKUP('7.0.3'!Z13,'7.0.3'!$AM$4:$AO$55,3,FALSE))</f>
        <v>0</v>
      </c>
      <c r="S13" s="4">
        <f>(VLOOKUP('7.0.3'!AA13,'7.0.3'!$AM$4:$AO$55,3,FALSE))</f>
        <v>0</v>
      </c>
      <c r="T13" s="4">
        <f>(VLOOKUP('7.0.3'!AB13,'7.0.3'!$AM$4:$AO$55,3,FALSE))</f>
        <v>0</v>
      </c>
      <c r="U13" s="4">
        <f>(VLOOKUP('7.0.3'!AC13,'7.0.3'!$AM$4:$AO$55,3,FALSE))</f>
        <v>0</v>
      </c>
      <c r="V13" s="4">
        <f>(VLOOKUP('7.0.3'!AD13,'7.0.3'!$AM$4:$AO$55,3,FALSE))</f>
        <v>0</v>
      </c>
      <c r="W13" s="5">
        <f>(VLOOKUP('7.0.3'!AE13,'7.0.3'!$AM$4:$AO$55,3,FALSE))</f>
        <v>0</v>
      </c>
      <c r="X13" s="5">
        <f>(VLOOKUP('7.0.3'!AF13,'7.0.3'!$AM$4:$AO$55,3,FALSE))</f>
        <v>0</v>
      </c>
    </row>
    <row r="14" spans="1:24">
      <c r="A14" s="4">
        <f>(VLOOKUP('7.0.3'!I14,'7.0.3'!$AM$4:$AO$55,3,FALSE))</f>
        <v>40</v>
      </c>
      <c r="B14" s="4">
        <f>(VLOOKUP('7.0.3'!J14,'7.0.3'!$AM$4:$AO$55,3,FALSE))</f>
        <v>45</v>
      </c>
      <c r="C14" s="4">
        <f>(VLOOKUP('7.0.3'!K14,'7.0.3'!$AM$4:$AO$55,3,FALSE))</f>
        <v>45</v>
      </c>
      <c r="D14" s="4">
        <f>(VLOOKUP('7.0.3'!L14,'7.0.3'!$AM$4:$AO$55,3,FALSE))</f>
        <v>45</v>
      </c>
      <c r="E14" s="4">
        <f>(VLOOKUP('7.0.3'!M14,'7.0.3'!$AM$4:$AO$55,3,FALSE))</f>
        <v>45</v>
      </c>
      <c r="F14" s="4">
        <f>(VLOOKUP('7.0.3'!N14,'7.0.3'!$AM$4:$AO$55,3,FALSE))</f>
        <v>45</v>
      </c>
      <c r="G14" s="5">
        <f>(VLOOKUP('7.0.3'!O14,'7.0.3'!$AM$4:$AO$55,3,FALSE))</f>
        <v>0</v>
      </c>
      <c r="H14" s="5">
        <f>(VLOOKUP('7.0.3'!P14,'7.0.3'!$AM$4:$AO$55,3,FALSE))</f>
        <v>0</v>
      </c>
      <c r="I14" s="4">
        <f>(VLOOKUP('7.0.3'!Q14,'7.0.3'!$AM$4:$AO$55,3,FALSE))</f>
        <v>45</v>
      </c>
      <c r="J14" s="4">
        <f>(VLOOKUP('7.0.3'!R14,'7.0.3'!$AM$4:$AO$55,3,FALSE))</f>
        <v>45</v>
      </c>
      <c r="K14" s="4">
        <f>(VLOOKUP('7.0.3'!S14,'7.0.3'!$AM$4:$AO$55,3,FALSE))</f>
        <v>45</v>
      </c>
      <c r="L14" s="4">
        <f>(VLOOKUP('7.0.3'!T14,'7.0.3'!$AM$4:$AO$55,3,FALSE))</f>
        <v>45</v>
      </c>
      <c r="M14" s="4">
        <f>(VLOOKUP('7.0.3'!U14,'7.0.3'!$AM$4:$AO$55,3,FALSE))</f>
        <v>45</v>
      </c>
      <c r="N14" s="4">
        <f>(VLOOKUP('7.0.3'!V14,'7.0.3'!$AM$4:$AO$55,3,FALSE))</f>
        <v>45</v>
      </c>
      <c r="O14" s="5">
        <f>(VLOOKUP('7.0.3'!W14,'7.0.3'!$AM$4:$AO$55,3,FALSE))</f>
        <v>0</v>
      </c>
      <c r="P14" s="5">
        <f>(VLOOKUP('7.0.3'!X14,'7.0.3'!$AM$4:$AO$55,3,FALSE))</f>
        <v>0</v>
      </c>
      <c r="Q14" s="4">
        <f>(VLOOKUP('7.0.3'!Y14,'7.0.3'!$AM$4:$AO$55,3,FALSE))</f>
        <v>0</v>
      </c>
      <c r="R14" s="4">
        <f>(VLOOKUP('7.0.3'!Z14,'7.0.3'!$AM$4:$AO$55,3,FALSE))</f>
        <v>0</v>
      </c>
      <c r="S14" s="4">
        <f>(VLOOKUP('7.0.3'!AA14,'7.0.3'!$AM$4:$AO$55,3,FALSE))</f>
        <v>0</v>
      </c>
      <c r="T14" s="4">
        <f>(VLOOKUP('7.0.3'!AB14,'7.0.3'!$AM$4:$AO$55,3,FALSE))</f>
        <v>0</v>
      </c>
      <c r="U14" s="4">
        <f>(VLOOKUP('7.0.3'!AC14,'7.0.3'!$AM$4:$AO$55,3,FALSE))</f>
        <v>0</v>
      </c>
      <c r="V14" s="4">
        <f>(VLOOKUP('7.0.3'!AD14,'7.0.3'!$AM$4:$AO$55,3,FALSE))</f>
        <v>0</v>
      </c>
      <c r="W14" s="5">
        <f>(VLOOKUP('7.0.3'!AE14,'7.0.3'!$AM$4:$AO$55,3,FALSE))</f>
        <v>0</v>
      </c>
      <c r="X14" s="5">
        <f>(VLOOKUP('7.0.3'!AF14,'7.0.3'!$AM$4:$AO$55,3,FALSE))</f>
        <v>0</v>
      </c>
    </row>
    <row r="15" spans="1:24">
      <c r="A15" s="4">
        <f>(VLOOKUP('7.0.3'!I15,'7.0.3'!$AM$4:$AO$55,3,FALSE))</f>
        <v>45</v>
      </c>
      <c r="B15" s="4">
        <f>(VLOOKUP('7.0.3'!J15,'7.0.3'!$AM$4:$AO$55,3,FALSE))</f>
        <v>45</v>
      </c>
      <c r="C15" s="4">
        <f>(VLOOKUP('7.0.3'!K15,'7.0.3'!$AM$4:$AO$55,3,FALSE))</f>
        <v>45</v>
      </c>
      <c r="D15" s="4">
        <f>(VLOOKUP('7.0.3'!L15,'7.0.3'!$AM$4:$AO$55,3,FALSE))</f>
        <v>40</v>
      </c>
      <c r="E15" s="4">
        <f>(VLOOKUP('7.0.3'!M15,'7.0.3'!$AM$4:$AO$55,3,FALSE))</f>
        <v>45</v>
      </c>
      <c r="F15" s="4">
        <f>(VLOOKUP('7.0.3'!N15,'7.0.3'!$AM$4:$AO$55,3,FALSE))</f>
        <v>45</v>
      </c>
      <c r="G15" s="5">
        <f>(VLOOKUP('7.0.3'!O15,'7.0.3'!$AM$4:$AO$55,3,FALSE))</f>
        <v>0</v>
      </c>
      <c r="H15" s="5">
        <f>(VLOOKUP('7.0.3'!P15,'7.0.3'!$AM$4:$AO$55,3,FALSE))</f>
        <v>0</v>
      </c>
      <c r="I15" s="4">
        <f>(VLOOKUP('7.0.3'!Q15,'7.0.3'!$AM$4:$AO$55,3,FALSE))</f>
        <v>30</v>
      </c>
      <c r="J15" s="4">
        <f>(VLOOKUP('7.0.3'!R15,'7.0.3'!$AM$4:$AO$55,3,FALSE))</f>
        <v>45</v>
      </c>
      <c r="K15" s="4">
        <f>(VLOOKUP('7.0.3'!S15,'7.0.3'!$AM$4:$AO$55,3,FALSE))</f>
        <v>45</v>
      </c>
      <c r="L15" s="4">
        <f>(VLOOKUP('7.0.3'!T15,'7.0.3'!$AM$4:$AO$55,3,FALSE))</f>
        <v>45</v>
      </c>
      <c r="M15" s="4">
        <f>(VLOOKUP('7.0.3'!U15,'7.0.3'!$AM$4:$AO$55,3,FALSE))</f>
        <v>50</v>
      </c>
      <c r="N15" s="4">
        <f>(VLOOKUP('7.0.3'!V15,'7.0.3'!$AM$4:$AO$55,3,FALSE))</f>
        <v>50</v>
      </c>
      <c r="O15" s="5">
        <f>(VLOOKUP('7.0.3'!W15,'7.0.3'!$AM$4:$AO$55,3,FALSE))</f>
        <v>0</v>
      </c>
      <c r="P15" s="5">
        <f>(VLOOKUP('7.0.3'!X15,'7.0.3'!$AM$4:$AO$55,3,FALSE))</f>
        <v>0</v>
      </c>
      <c r="Q15" s="4">
        <f>(VLOOKUP('7.0.3'!Y15,'7.0.3'!$AM$4:$AO$55,3,FALSE))</f>
        <v>0</v>
      </c>
      <c r="R15" s="4">
        <f>(VLOOKUP('7.0.3'!Z15,'7.0.3'!$AM$4:$AO$55,3,FALSE))</f>
        <v>0</v>
      </c>
      <c r="S15" s="4">
        <f>(VLOOKUP('7.0.3'!AA15,'7.0.3'!$AM$4:$AO$55,3,FALSE))</f>
        <v>0</v>
      </c>
      <c r="T15" s="4">
        <f>(VLOOKUP('7.0.3'!AB15,'7.0.3'!$AM$4:$AO$55,3,FALSE))</f>
        <v>0</v>
      </c>
      <c r="U15" s="4">
        <f>(VLOOKUP('7.0.3'!AC15,'7.0.3'!$AM$4:$AO$55,3,FALSE))</f>
        <v>0</v>
      </c>
      <c r="V15" s="4">
        <f>(VLOOKUP('7.0.3'!AD15,'7.0.3'!$AM$4:$AO$55,3,FALSE))</f>
        <v>0</v>
      </c>
      <c r="W15" s="5">
        <f>(VLOOKUP('7.0.3'!AE15,'7.0.3'!$AM$4:$AO$55,3,FALSE))</f>
        <v>0</v>
      </c>
      <c r="X15" s="5">
        <f>(VLOOKUP('7.0.3'!AF15,'7.0.3'!$AM$4:$AO$55,3,FALSE))</f>
        <v>0</v>
      </c>
    </row>
    <row r="16" spans="1:24">
      <c r="A16" s="4">
        <f>(VLOOKUP('7.0.3'!I16,'7.0.3'!$AM$4:$AO$55,3,FALSE))</f>
        <v>30</v>
      </c>
      <c r="B16" s="4">
        <f>(VLOOKUP('7.0.3'!J16,'7.0.3'!$AM$4:$AO$55,3,FALSE))</f>
        <v>45</v>
      </c>
      <c r="C16" s="4">
        <f>(VLOOKUP('7.0.3'!K16,'7.0.3'!$AM$4:$AO$55,3,FALSE))</f>
        <v>45</v>
      </c>
      <c r="D16" s="4">
        <f>(VLOOKUP('7.0.3'!L16,'7.0.3'!$AM$4:$AO$55,3,FALSE))</f>
        <v>45</v>
      </c>
      <c r="E16" s="4">
        <f>(VLOOKUP('7.0.3'!M16,'7.0.3'!$AM$4:$AO$55,3,FALSE))</f>
        <v>45</v>
      </c>
      <c r="F16" s="4">
        <f>(VLOOKUP('7.0.3'!N16,'7.0.3'!$AM$4:$AO$55,3,FALSE))</f>
        <v>45</v>
      </c>
      <c r="G16" s="5">
        <f>(VLOOKUP('7.0.3'!O16,'7.0.3'!$AM$4:$AO$55,3,FALSE))</f>
        <v>0</v>
      </c>
      <c r="H16" s="5">
        <f>(VLOOKUP('7.0.3'!P16,'7.0.3'!$AM$4:$AO$55,3,FALSE))</f>
        <v>0</v>
      </c>
      <c r="I16" s="4">
        <f>(VLOOKUP('7.0.3'!Q16,'7.0.3'!$AM$4:$AO$55,3,FALSE))</f>
        <v>45</v>
      </c>
      <c r="J16" s="4">
        <f>(VLOOKUP('7.0.3'!R16,'7.0.3'!$AM$4:$AO$55,3,FALSE))</f>
        <v>45</v>
      </c>
      <c r="K16" s="4">
        <f>(VLOOKUP('7.0.3'!S16,'7.0.3'!$AM$4:$AO$55,3,FALSE))</f>
        <v>50</v>
      </c>
      <c r="L16" s="4">
        <f>(VLOOKUP('7.0.3'!T16,'7.0.3'!$AM$4:$AO$55,3,FALSE))</f>
        <v>50</v>
      </c>
      <c r="M16" s="4">
        <f>(VLOOKUP('7.0.3'!U16,'7.0.3'!$AM$4:$AO$55,3,FALSE))</f>
        <v>50</v>
      </c>
      <c r="N16" s="4">
        <f>(VLOOKUP('7.0.3'!V16,'7.0.3'!$AM$4:$AO$55,3,FALSE))</f>
        <v>50</v>
      </c>
      <c r="O16" s="5">
        <f>(VLOOKUP('7.0.3'!W16,'7.0.3'!$AM$4:$AO$55,3,FALSE))</f>
        <v>0</v>
      </c>
      <c r="P16" s="5">
        <f>(VLOOKUP('7.0.3'!X16,'7.0.3'!$AM$4:$AO$55,3,FALSE))</f>
        <v>0</v>
      </c>
      <c r="Q16" s="4">
        <f>(VLOOKUP('7.0.3'!Y16,'7.0.3'!$AM$4:$AO$55,3,FALSE))</f>
        <v>0</v>
      </c>
      <c r="R16" s="4">
        <f>(VLOOKUP('7.0.3'!Z16,'7.0.3'!$AM$4:$AO$55,3,FALSE))</f>
        <v>0</v>
      </c>
      <c r="S16" s="4">
        <f>(VLOOKUP('7.0.3'!AA16,'7.0.3'!$AM$4:$AO$55,3,FALSE))</f>
        <v>0</v>
      </c>
      <c r="T16" s="4">
        <f>(VLOOKUP('7.0.3'!AB16,'7.0.3'!$AM$4:$AO$55,3,FALSE))</f>
        <v>0</v>
      </c>
      <c r="U16" s="4">
        <f>(VLOOKUP('7.0.3'!AC16,'7.0.3'!$AM$4:$AO$55,3,FALSE))</f>
        <v>0</v>
      </c>
      <c r="V16" s="4">
        <f>(VLOOKUP('7.0.3'!AD16,'7.0.3'!$AM$4:$AO$55,3,FALSE))</f>
        <v>0</v>
      </c>
      <c r="W16" s="5">
        <f>(VLOOKUP('7.0.3'!AE16,'7.0.3'!$AM$4:$AO$55,3,FALSE))</f>
        <v>0</v>
      </c>
      <c r="X16" s="5">
        <f>(VLOOKUP('7.0.3'!AF16,'7.0.3'!$AM$4:$AO$55,3,FALSE))</f>
        <v>0</v>
      </c>
    </row>
    <row r="17" spans="1:24">
      <c r="A17" s="4">
        <f>(VLOOKUP('7.0.3'!I17,'7.0.3'!$AM$4:$AO$55,3,FALSE))</f>
        <v>45</v>
      </c>
      <c r="B17" s="4">
        <f>(VLOOKUP('7.0.3'!J17,'7.0.3'!$AM$4:$AO$55,3,FALSE))</f>
        <v>45</v>
      </c>
      <c r="C17" s="4">
        <f>(VLOOKUP('7.0.3'!K17,'7.0.3'!$AM$4:$AO$55,3,FALSE))</f>
        <v>45</v>
      </c>
      <c r="D17" s="4">
        <f>(VLOOKUP('7.0.3'!L17,'7.0.3'!$AM$4:$AO$55,3,FALSE))</f>
        <v>45</v>
      </c>
      <c r="E17" s="4">
        <f>(VLOOKUP('7.0.3'!M17,'7.0.3'!$AM$4:$AO$55,3,FALSE))</f>
        <v>45</v>
      </c>
      <c r="F17" s="4">
        <f>(VLOOKUP('7.0.3'!N17,'7.0.3'!$AM$4:$AO$55,3,FALSE))</f>
        <v>45</v>
      </c>
      <c r="G17" s="5">
        <f>(VLOOKUP('7.0.3'!O17,'7.0.3'!$AM$4:$AO$55,3,FALSE))</f>
        <v>0</v>
      </c>
      <c r="H17" s="5">
        <f>(VLOOKUP('7.0.3'!P17,'7.0.3'!$AM$4:$AO$55,3,FALSE))</f>
        <v>0</v>
      </c>
      <c r="I17" s="4">
        <f>(VLOOKUP('7.0.3'!Q17,'7.0.3'!$AM$4:$AO$55,3,FALSE))</f>
        <v>50</v>
      </c>
      <c r="J17" s="4">
        <f>(VLOOKUP('7.0.3'!R17,'7.0.3'!$AM$4:$AO$55,3,FALSE))</f>
        <v>50</v>
      </c>
      <c r="K17" s="4">
        <f>(VLOOKUP('7.0.3'!S17,'7.0.3'!$AM$4:$AO$55,3,FALSE))</f>
        <v>50</v>
      </c>
      <c r="L17" s="4">
        <f>(VLOOKUP('7.0.3'!T17,'7.0.3'!$AM$4:$AO$55,3,FALSE))</f>
        <v>50</v>
      </c>
      <c r="M17" s="4">
        <f>(VLOOKUP('7.0.3'!U17,'7.0.3'!$AM$4:$AO$55,3,FALSE))</f>
        <v>30</v>
      </c>
      <c r="N17" s="4">
        <f>(VLOOKUP('7.0.3'!V17,'7.0.3'!$AM$4:$AO$55,3,FALSE))</f>
        <v>50</v>
      </c>
      <c r="O17" s="5">
        <f>(VLOOKUP('7.0.3'!W17,'7.0.3'!$AM$4:$AO$55,3,FALSE))</f>
        <v>0</v>
      </c>
      <c r="P17" s="5">
        <f>(VLOOKUP('7.0.3'!X17,'7.0.3'!$AM$4:$AO$55,3,FALSE))</f>
        <v>0</v>
      </c>
      <c r="Q17" s="4">
        <f>(VLOOKUP('7.0.3'!Y17,'7.0.3'!$AM$4:$AO$55,3,FALSE))</f>
        <v>0</v>
      </c>
      <c r="R17" s="4">
        <f>(VLOOKUP('7.0.3'!Z17,'7.0.3'!$AM$4:$AO$55,3,FALSE))</f>
        <v>0</v>
      </c>
      <c r="S17" s="4">
        <f>(VLOOKUP('7.0.3'!AA17,'7.0.3'!$AM$4:$AO$55,3,FALSE))</f>
        <v>0</v>
      </c>
      <c r="T17" s="4">
        <f>(VLOOKUP('7.0.3'!AB17,'7.0.3'!$AM$4:$AO$55,3,FALSE))</f>
        <v>0</v>
      </c>
      <c r="U17" s="4">
        <f>(VLOOKUP('7.0.3'!AC17,'7.0.3'!$AM$4:$AO$55,3,FALSE))</f>
        <v>0</v>
      </c>
      <c r="V17" s="4">
        <f>(VLOOKUP('7.0.3'!AD17,'7.0.3'!$AM$4:$AO$55,3,FALSE))</f>
        <v>0</v>
      </c>
      <c r="W17" s="5">
        <f>(VLOOKUP('7.0.3'!AE17,'7.0.3'!$AM$4:$AO$55,3,FALSE))</f>
        <v>0</v>
      </c>
      <c r="X17" s="5">
        <f>(VLOOKUP('7.0.3'!AF17,'7.0.3'!$AM$4:$AO$55,3,FALSE))</f>
        <v>0</v>
      </c>
    </row>
    <row r="18" spans="1:24">
      <c r="A18" s="4">
        <f>(VLOOKUP('7.0.3'!I18,'7.0.3'!$AM$4:$AO$55,3,FALSE))</f>
        <v>45</v>
      </c>
      <c r="B18" s="4">
        <f>(VLOOKUP('7.0.3'!J18,'7.0.3'!$AM$4:$AO$55,3,FALSE))</f>
        <v>45</v>
      </c>
      <c r="C18" s="4">
        <f>(VLOOKUP('7.0.3'!K18,'7.0.3'!$AM$4:$AO$55,3,FALSE))</f>
        <v>45</v>
      </c>
      <c r="D18" s="4">
        <f>(VLOOKUP('7.0.3'!L18,'7.0.3'!$AM$4:$AO$55,3,FALSE))</f>
        <v>45</v>
      </c>
      <c r="E18" s="4">
        <f>(VLOOKUP('7.0.3'!M18,'7.0.3'!$AM$4:$AO$55,3,FALSE))</f>
        <v>45</v>
      </c>
      <c r="F18" s="4">
        <f>(VLOOKUP('7.0.3'!N18,'7.0.3'!$AM$4:$AO$55,3,FALSE))</f>
        <v>45</v>
      </c>
      <c r="G18" s="5">
        <f>(VLOOKUP('7.0.3'!O18,'7.0.3'!$AM$4:$AO$55,3,FALSE))</f>
        <v>0</v>
      </c>
      <c r="H18" s="5">
        <f>(VLOOKUP('7.0.3'!P18,'7.0.3'!$AM$4:$AO$55,3,FALSE))</f>
        <v>0</v>
      </c>
      <c r="I18" s="4">
        <f>(VLOOKUP('7.0.3'!Q18,'7.0.3'!$AM$4:$AO$55,3,FALSE))</f>
        <v>50</v>
      </c>
      <c r="J18" s="4">
        <f>(VLOOKUP('7.0.3'!R18,'7.0.3'!$AM$4:$AO$55,3,FALSE))</f>
        <v>50</v>
      </c>
      <c r="K18" s="4">
        <f>(VLOOKUP('7.0.3'!S18,'7.0.3'!$AM$4:$AO$55,3,FALSE))</f>
        <v>50</v>
      </c>
      <c r="L18" s="4">
        <f>(VLOOKUP('7.0.3'!T18,'7.0.3'!$AM$4:$AO$55,3,FALSE))</f>
        <v>50</v>
      </c>
      <c r="M18" s="4">
        <f>(VLOOKUP('7.0.3'!U18,'7.0.3'!$AM$4:$AO$55,3,FALSE))</f>
        <v>50</v>
      </c>
      <c r="N18" s="4">
        <f>(VLOOKUP('7.0.3'!V18,'7.0.3'!$AM$4:$AO$55,3,FALSE))</f>
        <v>50</v>
      </c>
      <c r="O18" s="5">
        <f>(VLOOKUP('7.0.3'!W18,'7.0.3'!$AM$4:$AO$55,3,FALSE))</f>
        <v>0</v>
      </c>
      <c r="P18" s="5">
        <f>(VLOOKUP('7.0.3'!X18,'7.0.3'!$AM$4:$AO$55,3,FALSE))</f>
        <v>50</v>
      </c>
      <c r="Q18" s="4">
        <f>(VLOOKUP('7.0.3'!Y18,'7.0.3'!$AM$4:$AO$55,3,FALSE))</f>
        <v>0</v>
      </c>
      <c r="R18" s="4">
        <f>(VLOOKUP('7.0.3'!Z18,'7.0.3'!$AM$4:$AO$55,3,FALSE))</f>
        <v>0</v>
      </c>
      <c r="S18" s="4">
        <f>(VLOOKUP('7.0.3'!AA18,'7.0.3'!$AM$4:$AO$55,3,FALSE))</f>
        <v>0</v>
      </c>
      <c r="T18" s="4">
        <f>(VLOOKUP('7.0.3'!AB18,'7.0.3'!$AM$4:$AO$55,3,FALSE))</f>
        <v>0</v>
      </c>
      <c r="U18" s="4">
        <f>(VLOOKUP('7.0.3'!AC18,'7.0.3'!$AM$4:$AO$55,3,FALSE))</f>
        <v>0</v>
      </c>
      <c r="V18" s="4">
        <f>(VLOOKUP('7.0.3'!AD18,'7.0.3'!$AM$4:$AO$55,3,FALSE))</f>
        <v>0</v>
      </c>
      <c r="W18" s="5">
        <f>(VLOOKUP('7.0.3'!AE18,'7.0.3'!$AM$4:$AO$55,3,FALSE))</f>
        <v>0</v>
      </c>
      <c r="X18" s="5">
        <f>(VLOOKUP('7.0.3'!AF18,'7.0.3'!$AM$4:$AO$55,3,FALSE))</f>
        <v>0</v>
      </c>
    </row>
    <row r="19" spans="1:24">
      <c r="A19" s="4">
        <f>(VLOOKUP('7.0.3'!I19,'7.0.3'!$AM$4:$AO$55,3,FALSE))</f>
        <v>45</v>
      </c>
      <c r="B19" s="4">
        <f>(VLOOKUP('7.0.3'!J19,'7.0.3'!$AM$4:$AO$55,3,FALSE))</f>
        <v>45</v>
      </c>
      <c r="C19" s="4">
        <f>(VLOOKUP('7.0.3'!K19,'7.0.3'!$AM$4:$AO$55,3,FALSE))</f>
        <v>30</v>
      </c>
      <c r="D19" s="4">
        <f>(VLOOKUP('7.0.3'!L19,'7.0.3'!$AM$4:$AO$55,3,FALSE))</f>
        <v>45</v>
      </c>
      <c r="E19" s="4">
        <f>(VLOOKUP('7.0.3'!M19,'7.0.3'!$AM$4:$AO$55,3,FALSE))</f>
        <v>45</v>
      </c>
      <c r="F19" s="4">
        <f>(VLOOKUP('7.0.3'!N19,'7.0.3'!$AM$4:$AO$55,3,FALSE))</f>
        <v>45</v>
      </c>
      <c r="G19" s="5">
        <f>(VLOOKUP('7.0.3'!O19,'7.0.3'!$AM$4:$AO$55,3,FALSE))</f>
        <v>0</v>
      </c>
      <c r="H19" s="5">
        <f>(VLOOKUP('7.0.3'!P19,'7.0.3'!$AM$4:$AO$55,3,FALSE))</f>
        <v>0</v>
      </c>
      <c r="I19" s="4">
        <f>(VLOOKUP('7.0.3'!Q19,'7.0.3'!$AM$4:$AO$55,3,FALSE))</f>
        <v>50</v>
      </c>
      <c r="J19" s="4">
        <f>(VLOOKUP('7.0.3'!R19,'7.0.3'!$AM$4:$AO$55,3,FALSE))</f>
        <v>50</v>
      </c>
      <c r="K19" s="4">
        <f>(VLOOKUP('7.0.3'!S19,'7.0.3'!$AM$4:$AO$55,3,FALSE))</f>
        <v>50</v>
      </c>
      <c r="L19" s="4">
        <f>(VLOOKUP('7.0.3'!T19,'7.0.3'!$AM$4:$AO$55,3,FALSE))</f>
        <v>50</v>
      </c>
      <c r="M19" s="4">
        <f>(VLOOKUP('7.0.3'!U19,'7.0.3'!$AM$4:$AO$55,3,FALSE))</f>
        <v>50</v>
      </c>
      <c r="N19" s="4">
        <f>(VLOOKUP('7.0.3'!V19,'7.0.3'!$AM$4:$AO$55,3,FALSE))</f>
        <v>50</v>
      </c>
      <c r="O19" s="5">
        <f>(VLOOKUP('7.0.3'!W19,'7.0.3'!$AM$4:$AO$55,3,FALSE))</f>
        <v>0</v>
      </c>
      <c r="P19" s="5">
        <f>(VLOOKUP('7.0.3'!X19,'7.0.3'!$AM$4:$AO$55,3,FALSE))</f>
        <v>0</v>
      </c>
      <c r="Q19" s="4">
        <f>(VLOOKUP('7.0.3'!Y19,'7.0.3'!$AM$4:$AO$55,3,FALSE))</f>
        <v>0</v>
      </c>
      <c r="R19" s="4">
        <f>(VLOOKUP('7.0.3'!Z19,'7.0.3'!$AM$4:$AO$55,3,FALSE))</f>
        <v>0</v>
      </c>
      <c r="S19" s="4">
        <f>(VLOOKUP('7.0.3'!AA19,'7.0.3'!$AM$4:$AO$55,3,FALSE))</f>
        <v>0</v>
      </c>
      <c r="T19" s="4">
        <f>(VLOOKUP('7.0.3'!AB19,'7.0.3'!$AM$4:$AO$55,3,FALSE))</f>
        <v>0</v>
      </c>
      <c r="U19" s="4">
        <f>(VLOOKUP('7.0.3'!AC19,'7.0.3'!$AM$4:$AO$55,3,FALSE))</f>
        <v>0</v>
      </c>
      <c r="V19" s="4">
        <f>(VLOOKUP('7.0.3'!AD19,'7.0.3'!$AM$4:$AO$55,3,FALSE))</f>
        <v>0</v>
      </c>
      <c r="W19" s="5">
        <f>(VLOOKUP('7.0.3'!AE19,'7.0.3'!$AM$4:$AO$55,3,FALSE))</f>
        <v>0</v>
      </c>
      <c r="X19" s="5">
        <f>(VLOOKUP('7.0.3'!AF19,'7.0.3'!$AM$4:$AO$55,3,FALSE))</f>
        <v>0</v>
      </c>
    </row>
    <row r="20" spans="1:24">
      <c r="A20" s="4">
        <f>(VLOOKUP('7.0.3'!I20,'7.0.3'!$AM$4:$AO$55,3,FALSE))</f>
        <v>30</v>
      </c>
      <c r="B20" s="4">
        <f>(VLOOKUP('7.0.3'!J20,'7.0.3'!$AM$4:$AO$55,3,FALSE))</f>
        <v>45</v>
      </c>
      <c r="C20" s="4">
        <f>(VLOOKUP('7.0.3'!K20,'7.0.3'!$AM$4:$AO$55,3,FALSE))</f>
        <v>45</v>
      </c>
      <c r="D20" s="4">
        <f>(VLOOKUP('7.0.3'!L20,'7.0.3'!$AM$4:$AO$55,3,FALSE))</f>
        <v>45</v>
      </c>
      <c r="E20" s="4">
        <f>(VLOOKUP('7.0.3'!M20,'7.0.3'!$AM$4:$AO$55,3,FALSE))</f>
        <v>45</v>
      </c>
      <c r="F20" s="4">
        <f>(VLOOKUP('7.0.3'!N20,'7.0.3'!$AM$4:$AO$55,3,FALSE))</f>
        <v>45</v>
      </c>
      <c r="G20" s="5">
        <f>(VLOOKUP('7.0.3'!O20,'7.0.3'!$AM$4:$AO$55,3,FALSE))</f>
        <v>0</v>
      </c>
      <c r="H20" s="5">
        <f>(VLOOKUP('7.0.3'!P20,'7.0.3'!$AM$4:$AO$55,3,FALSE))</f>
        <v>50</v>
      </c>
      <c r="I20" s="4">
        <f>(VLOOKUP('7.0.3'!Q20,'7.0.3'!$AM$4:$AO$55,3,FALSE))</f>
        <v>50</v>
      </c>
      <c r="J20" s="4">
        <f>(VLOOKUP('7.0.3'!R20,'7.0.3'!$AM$4:$AO$55,3,FALSE))</f>
        <v>50</v>
      </c>
      <c r="K20" s="4">
        <f>(VLOOKUP('7.0.3'!S20,'7.0.3'!$AM$4:$AO$55,3,FALSE))</f>
        <v>50</v>
      </c>
      <c r="L20" s="4">
        <f>(VLOOKUP('7.0.3'!T20,'7.0.3'!$AM$4:$AO$55,3,FALSE))</f>
        <v>50</v>
      </c>
      <c r="M20" s="4">
        <f>(VLOOKUP('7.0.3'!U20,'7.0.3'!$AM$4:$AO$55,3,FALSE))</f>
        <v>50</v>
      </c>
      <c r="N20" s="4">
        <f>(VLOOKUP('7.0.3'!V20,'7.0.3'!$AM$4:$AO$55,3,FALSE))</f>
        <v>50</v>
      </c>
      <c r="O20" s="5">
        <f>(VLOOKUP('7.0.3'!W20,'7.0.3'!$AM$4:$AO$55,3,FALSE))</f>
        <v>0</v>
      </c>
      <c r="P20" s="5">
        <f>(VLOOKUP('7.0.3'!X20,'7.0.3'!$AM$4:$AO$55,3,FALSE))</f>
        <v>0</v>
      </c>
      <c r="Q20" s="4">
        <f>(VLOOKUP('7.0.3'!Y20,'7.0.3'!$AM$4:$AO$55,3,FALSE))</f>
        <v>0</v>
      </c>
      <c r="R20" s="4">
        <f>(VLOOKUP('7.0.3'!Z20,'7.0.3'!$AM$4:$AO$55,3,FALSE))</f>
        <v>0</v>
      </c>
      <c r="S20" s="4">
        <f>(VLOOKUP('7.0.3'!AA20,'7.0.3'!$AM$4:$AO$55,3,FALSE))</f>
        <v>0</v>
      </c>
      <c r="T20" s="4">
        <f>(VLOOKUP('7.0.3'!AB20,'7.0.3'!$AM$4:$AO$55,3,FALSE))</f>
        <v>0</v>
      </c>
      <c r="U20" s="4">
        <f>(VLOOKUP('7.0.3'!AC20,'7.0.3'!$AM$4:$AO$55,3,FALSE))</f>
        <v>0</v>
      </c>
      <c r="V20" s="4">
        <f>(VLOOKUP('7.0.3'!AD20,'7.0.3'!$AM$4:$AO$55,3,FALSE))</f>
        <v>0</v>
      </c>
      <c r="W20" s="5">
        <f>(VLOOKUP('7.0.3'!AE20,'7.0.3'!$AM$4:$AO$55,3,FALSE))</f>
        <v>0</v>
      </c>
      <c r="X20" s="5">
        <f>(VLOOKUP('7.0.3'!AF20,'7.0.3'!$AM$4:$AO$55,3,FALSE))</f>
        <v>0</v>
      </c>
    </row>
    <row r="21" spans="1:24">
      <c r="A21" s="4">
        <f>(VLOOKUP('7.0.3'!I21,'7.0.3'!$AM$4:$AO$55,3,FALSE))</f>
        <v>45</v>
      </c>
      <c r="B21" s="4">
        <f>(VLOOKUP('7.0.3'!J21,'7.0.3'!$AM$4:$AO$55,3,FALSE))</f>
        <v>45</v>
      </c>
      <c r="C21" s="4">
        <f>(VLOOKUP('7.0.3'!K21,'7.0.3'!$AM$4:$AO$55,3,FALSE))</f>
        <v>45</v>
      </c>
      <c r="D21" s="4">
        <f>(VLOOKUP('7.0.3'!L21,'7.0.3'!$AM$4:$AO$55,3,FALSE))</f>
        <v>50</v>
      </c>
      <c r="E21" s="4">
        <f>(VLOOKUP('7.0.3'!M21,'7.0.3'!$AM$4:$AO$55,3,FALSE))</f>
        <v>50</v>
      </c>
      <c r="F21" s="4">
        <f>(VLOOKUP('7.0.3'!N21,'7.0.3'!$AM$4:$AO$55,3,FALSE))</f>
        <v>50</v>
      </c>
      <c r="G21" s="5">
        <f>(VLOOKUP('7.0.3'!O21,'7.0.3'!$AM$4:$AO$55,3,FALSE))</f>
        <v>0</v>
      </c>
      <c r="H21" s="5">
        <f>(VLOOKUP('7.0.3'!P21,'7.0.3'!$AM$4:$AO$55,3,FALSE))</f>
        <v>0</v>
      </c>
      <c r="I21" s="4">
        <f>(VLOOKUP('7.0.3'!Q21,'7.0.3'!$AM$4:$AO$55,3,FALSE))</f>
        <v>50</v>
      </c>
      <c r="J21" s="4">
        <f>(VLOOKUP('7.0.3'!R21,'7.0.3'!$AM$4:$AO$55,3,FALSE))</f>
        <v>50</v>
      </c>
      <c r="K21" s="4">
        <f>(VLOOKUP('7.0.3'!S21,'7.0.3'!$AM$4:$AO$55,3,FALSE))</f>
        <v>50</v>
      </c>
      <c r="L21" s="4">
        <f>(VLOOKUP('7.0.3'!T21,'7.0.3'!$AM$4:$AO$55,3,FALSE))</f>
        <v>50</v>
      </c>
      <c r="M21" s="4">
        <f>(VLOOKUP('7.0.3'!U21,'7.0.3'!$AM$4:$AO$55,3,FALSE))</f>
        <v>50</v>
      </c>
      <c r="N21" s="4">
        <f>(VLOOKUP('7.0.3'!V21,'7.0.3'!$AM$4:$AO$55,3,FALSE))</f>
        <v>50</v>
      </c>
      <c r="O21" s="5">
        <f>(VLOOKUP('7.0.3'!W21,'7.0.3'!$AM$4:$AO$55,3,FALSE))</f>
        <v>0</v>
      </c>
      <c r="P21" s="5">
        <f>(VLOOKUP('7.0.3'!X21,'7.0.3'!$AM$4:$AO$55,3,FALSE))</f>
        <v>0</v>
      </c>
      <c r="Q21" s="4">
        <f>(VLOOKUP('7.0.3'!Y21,'7.0.3'!$AM$4:$AO$55,3,FALSE))</f>
        <v>0</v>
      </c>
      <c r="R21" s="4">
        <f>(VLOOKUP('7.0.3'!Z21,'7.0.3'!$AM$4:$AO$55,3,FALSE))</f>
        <v>0</v>
      </c>
      <c r="S21" s="4">
        <f>(VLOOKUP('7.0.3'!AA21,'7.0.3'!$AM$4:$AO$55,3,FALSE))</f>
        <v>0</v>
      </c>
      <c r="T21" s="4">
        <f>(VLOOKUP('7.0.3'!AB21,'7.0.3'!$AM$4:$AO$55,3,FALSE))</f>
        <v>0</v>
      </c>
      <c r="U21" s="4">
        <f>(VLOOKUP('7.0.3'!AC21,'7.0.3'!$AM$4:$AO$55,3,FALSE))</f>
        <v>0</v>
      </c>
      <c r="V21" s="4">
        <f>(VLOOKUP('7.0.3'!AD21,'7.0.3'!$AM$4:$AO$55,3,FALSE))</f>
        <v>0</v>
      </c>
      <c r="W21" s="5">
        <f>(VLOOKUP('7.0.3'!AE21,'7.0.3'!$AM$4:$AO$55,3,FALSE))</f>
        <v>0</v>
      </c>
      <c r="X21" s="5">
        <f>(VLOOKUP('7.0.3'!AF21,'7.0.3'!$AM$4:$AO$55,3,FALSE))</f>
        <v>0</v>
      </c>
    </row>
    <row r="22" spans="1:24">
      <c r="A22" s="4">
        <f>(VLOOKUP('7.0.3'!I22,'7.0.3'!$AM$4:$AO$55,3,FALSE))</f>
        <v>50</v>
      </c>
      <c r="B22" s="4">
        <f>(VLOOKUP('7.0.3'!J22,'7.0.3'!$AM$4:$AO$55,3,FALSE))</f>
        <v>50</v>
      </c>
      <c r="C22" s="4">
        <f>(VLOOKUP('7.0.3'!K22,'7.0.3'!$AM$4:$AO$55,3,FALSE))</f>
        <v>50</v>
      </c>
      <c r="D22" s="4">
        <f>(VLOOKUP('7.0.3'!L22,'7.0.3'!$AM$4:$AO$55,3,FALSE))</f>
        <v>50</v>
      </c>
      <c r="E22" s="4">
        <f>(VLOOKUP('7.0.3'!M22,'7.0.3'!$AM$4:$AO$55,3,FALSE))</f>
        <v>50</v>
      </c>
      <c r="F22" s="4">
        <f>(VLOOKUP('7.0.3'!N22,'7.0.3'!$AM$4:$AO$55,3,FALSE))</f>
        <v>50</v>
      </c>
      <c r="G22" s="5">
        <f>(VLOOKUP('7.0.3'!O22,'7.0.3'!$AM$4:$AO$55,3,FALSE))</f>
        <v>0</v>
      </c>
      <c r="H22" s="5">
        <f>(VLOOKUP('7.0.3'!P22,'7.0.3'!$AM$4:$AO$55,3,FALSE))</f>
        <v>0</v>
      </c>
      <c r="I22" s="4">
        <f>(VLOOKUP('7.0.3'!Q22,'7.0.3'!$AM$4:$AO$55,3,FALSE))</f>
        <v>50</v>
      </c>
      <c r="J22" s="4">
        <f>(VLOOKUP('7.0.3'!R22,'7.0.3'!$AM$4:$AO$55,3,FALSE))</f>
        <v>50</v>
      </c>
      <c r="K22" s="4">
        <f>(VLOOKUP('7.0.3'!S22,'7.0.3'!$AM$4:$AO$55,3,FALSE))</f>
        <v>55</v>
      </c>
      <c r="L22" s="4">
        <f>(VLOOKUP('7.0.3'!T22,'7.0.3'!$AM$4:$AO$55,3,FALSE))</f>
        <v>55</v>
      </c>
      <c r="M22" s="4">
        <f>(VLOOKUP('7.0.3'!U22,'7.0.3'!$AM$4:$AO$55,3,FALSE))</f>
        <v>55</v>
      </c>
      <c r="N22" s="4">
        <f>(VLOOKUP('7.0.3'!V22,'7.0.3'!$AM$4:$AO$55,3,FALSE))</f>
        <v>55</v>
      </c>
      <c r="O22" s="5">
        <f>(VLOOKUP('7.0.3'!W22,'7.0.3'!$AM$4:$AO$55,3,FALSE))</f>
        <v>0</v>
      </c>
      <c r="P22" s="5">
        <f>(VLOOKUP('7.0.3'!X22,'7.0.3'!$AM$4:$AO$55,3,FALSE))</f>
        <v>0</v>
      </c>
      <c r="Q22" s="4">
        <f>(VLOOKUP('7.0.3'!Y22,'7.0.3'!$AM$4:$AO$55,3,FALSE))</f>
        <v>0</v>
      </c>
      <c r="R22" s="4">
        <f>(VLOOKUP('7.0.3'!Z22,'7.0.3'!$AM$4:$AO$55,3,FALSE))</f>
        <v>0</v>
      </c>
      <c r="S22" s="4">
        <f>(VLOOKUP('7.0.3'!AA22,'7.0.3'!$AM$4:$AO$55,3,FALSE))</f>
        <v>0</v>
      </c>
      <c r="T22" s="4">
        <f>(VLOOKUP('7.0.3'!AB22,'7.0.3'!$AM$4:$AO$55,3,FALSE))</f>
        <v>0</v>
      </c>
      <c r="U22" s="4">
        <f>(VLOOKUP('7.0.3'!AC22,'7.0.3'!$AM$4:$AO$55,3,FALSE))</f>
        <v>0</v>
      </c>
      <c r="V22" s="4">
        <f>(VLOOKUP('7.0.3'!AD22,'7.0.3'!$AM$4:$AO$55,3,FALSE))</f>
        <v>0</v>
      </c>
      <c r="W22" s="5">
        <f>(VLOOKUP('7.0.3'!AE22,'7.0.3'!$AM$4:$AO$55,3,FALSE))</f>
        <v>0</v>
      </c>
      <c r="X22" s="5">
        <f>(VLOOKUP('7.0.3'!AF22,'7.0.3'!$AM$4:$AO$55,3,FALSE))</f>
        <v>0</v>
      </c>
    </row>
    <row r="23" spans="1:24">
      <c r="A23" s="4">
        <f>(VLOOKUP('7.0.3'!I23,'7.0.3'!$AM$4:$AO$55,3,FALSE))</f>
        <v>30</v>
      </c>
      <c r="B23" s="4">
        <f>(VLOOKUP('7.0.3'!J23,'7.0.3'!$AM$4:$AO$55,3,FALSE))</f>
        <v>50</v>
      </c>
      <c r="C23" s="4">
        <f>(VLOOKUP('7.0.3'!K23,'7.0.3'!$AM$4:$AO$55,3,FALSE))</f>
        <v>50</v>
      </c>
      <c r="D23" s="4">
        <f>(VLOOKUP('7.0.3'!L23,'7.0.3'!$AM$4:$AO$55,3,FALSE))</f>
        <v>50</v>
      </c>
      <c r="E23" s="4">
        <f>(VLOOKUP('7.0.3'!M23,'7.0.3'!$AM$4:$AO$55,3,FALSE))</f>
        <v>50</v>
      </c>
      <c r="F23" s="4">
        <f>(VLOOKUP('7.0.3'!N23,'7.0.3'!$AM$4:$AO$55,3,FALSE))</f>
        <v>50</v>
      </c>
      <c r="G23" s="5">
        <f>(VLOOKUP('7.0.3'!O23,'7.0.3'!$AM$4:$AO$55,3,FALSE))</f>
        <v>0</v>
      </c>
      <c r="H23" s="5">
        <f>(VLOOKUP('7.0.3'!P23,'7.0.3'!$AM$4:$AO$55,3,FALSE))</f>
        <v>0</v>
      </c>
      <c r="I23" s="4">
        <f>(VLOOKUP('7.0.3'!Q23,'7.0.3'!$AM$4:$AO$55,3,FALSE))</f>
        <v>55</v>
      </c>
      <c r="J23" s="4">
        <f>(VLOOKUP('7.0.3'!R23,'7.0.3'!$AM$4:$AO$55,3,FALSE))</f>
        <v>55</v>
      </c>
      <c r="K23" s="4">
        <f>(VLOOKUP('7.0.3'!S23,'7.0.3'!$AM$4:$AO$55,3,FALSE))</f>
        <v>55</v>
      </c>
      <c r="L23" s="4">
        <f>(VLOOKUP('7.0.3'!T23,'7.0.3'!$AM$4:$AO$55,3,FALSE))</f>
        <v>55</v>
      </c>
      <c r="M23" s="4">
        <f>(VLOOKUP('7.0.3'!U23,'7.0.3'!$AM$4:$AO$55,3,FALSE))</f>
        <v>55</v>
      </c>
      <c r="N23" s="4">
        <f>(VLOOKUP('7.0.3'!V23,'7.0.3'!$AM$4:$AO$55,3,FALSE))</f>
        <v>55</v>
      </c>
      <c r="O23" s="5">
        <f>(VLOOKUP('7.0.3'!W23,'7.0.3'!$AM$4:$AO$55,3,FALSE))</f>
        <v>0</v>
      </c>
      <c r="P23" s="5">
        <f>(VLOOKUP('7.0.3'!X23,'7.0.3'!$AM$4:$AO$55,3,FALSE))</f>
        <v>0</v>
      </c>
      <c r="Q23" s="4">
        <f>(VLOOKUP('7.0.3'!Y23,'7.0.3'!$AM$4:$AO$55,3,FALSE))</f>
        <v>0</v>
      </c>
      <c r="R23" s="4">
        <f>(VLOOKUP('7.0.3'!Z23,'7.0.3'!$AM$4:$AO$55,3,FALSE))</f>
        <v>0</v>
      </c>
      <c r="S23" s="4">
        <f>(VLOOKUP('7.0.3'!AA23,'7.0.3'!$AM$4:$AO$55,3,FALSE))</f>
        <v>0</v>
      </c>
      <c r="T23" s="4">
        <f>(VLOOKUP('7.0.3'!AB23,'7.0.3'!$AM$4:$AO$55,3,FALSE))</f>
        <v>0</v>
      </c>
      <c r="U23" s="4">
        <f>(VLOOKUP('7.0.3'!AC23,'7.0.3'!$AM$4:$AO$55,3,FALSE))</f>
        <v>0</v>
      </c>
      <c r="V23" s="4">
        <f>(VLOOKUP('7.0.3'!AD23,'7.0.3'!$AM$4:$AO$55,3,FALSE))</f>
        <v>0</v>
      </c>
      <c r="W23" s="5">
        <f>(VLOOKUP('7.0.3'!AE23,'7.0.3'!$AM$4:$AO$55,3,FALSE))</f>
        <v>0</v>
      </c>
      <c r="X23" s="5">
        <f>(VLOOKUP('7.0.3'!AF23,'7.0.3'!$AM$4:$AO$55,3,FALSE))</f>
        <v>0</v>
      </c>
    </row>
    <row r="24" spans="1:24">
      <c r="A24" s="4">
        <f>(VLOOKUP('7.0.3'!I24,'7.0.3'!$AM$4:$AO$55,3,FALSE))</f>
        <v>50</v>
      </c>
      <c r="B24" s="4">
        <f>(VLOOKUP('7.0.3'!J24,'7.0.3'!$AM$4:$AO$55,3,FALSE))</f>
        <v>50</v>
      </c>
      <c r="C24" s="4">
        <f>(VLOOKUP('7.0.3'!K24,'7.0.3'!$AM$4:$AO$55,3,FALSE))</f>
        <v>50</v>
      </c>
      <c r="D24" s="4">
        <f>(VLOOKUP('7.0.3'!L24,'7.0.3'!$AM$4:$AO$55,3,FALSE))</f>
        <v>50</v>
      </c>
      <c r="E24" s="4">
        <f>(VLOOKUP('7.0.3'!M24,'7.0.3'!$AM$4:$AO$55,3,FALSE))</f>
        <v>50</v>
      </c>
      <c r="F24" s="4">
        <f>(VLOOKUP('7.0.3'!N24,'7.0.3'!$AM$4:$AO$55,3,FALSE))</f>
        <v>50</v>
      </c>
      <c r="G24" s="5">
        <f>(VLOOKUP('7.0.3'!O24,'7.0.3'!$AM$4:$AO$55,3,FALSE))</f>
        <v>0</v>
      </c>
      <c r="H24" s="5">
        <f>(VLOOKUP('7.0.3'!P24,'7.0.3'!$AM$4:$AO$55,3,FALSE))</f>
        <v>0</v>
      </c>
      <c r="I24" s="4">
        <f>(VLOOKUP('7.0.3'!Q24,'7.0.3'!$AM$4:$AO$55,3,FALSE))</f>
        <v>55</v>
      </c>
      <c r="J24" s="4">
        <f>(VLOOKUP('7.0.3'!R24,'7.0.3'!$AM$4:$AO$55,3,FALSE))</f>
        <v>55</v>
      </c>
      <c r="K24" s="4">
        <f>(VLOOKUP('7.0.3'!S24,'7.0.3'!$AM$4:$AO$55,3,FALSE))</f>
        <v>55</v>
      </c>
      <c r="L24" s="4">
        <f>(VLOOKUP('7.0.3'!T24,'7.0.3'!$AM$4:$AO$55,3,FALSE))</f>
        <v>55</v>
      </c>
      <c r="M24" s="4">
        <f>(VLOOKUP('7.0.3'!U24,'7.0.3'!$AM$4:$AO$55,3,FALSE))</f>
        <v>30</v>
      </c>
      <c r="N24" s="4">
        <f>(VLOOKUP('7.0.3'!V24,'7.0.3'!$AM$4:$AO$55,3,FALSE))</f>
        <v>55</v>
      </c>
      <c r="O24" s="5">
        <f>(VLOOKUP('7.0.3'!W24,'7.0.3'!$AM$4:$AO$55,3,FALSE))</f>
        <v>0</v>
      </c>
      <c r="P24" s="5">
        <f>(VLOOKUP('7.0.3'!X24,'7.0.3'!$AM$4:$AO$55,3,FALSE))</f>
        <v>0</v>
      </c>
      <c r="Q24" s="4">
        <f>(VLOOKUP('7.0.3'!Y24,'7.0.3'!$AM$4:$AO$55,3,FALSE))</f>
        <v>0</v>
      </c>
      <c r="R24" s="4">
        <f>(VLOOKUP('7.0.3'!Z24,'7.0.3'!$AM$4:$AO$55,3,FALSE))</f>
        <v>0</v>
      </c>
      <c r="S24" s="4">
        <f>(VLOOKUP('7.0.3'!AA24,'7.0.3'!$AM$4:$AO$55,3,FALSE))</f>
        <v>0</v>
      </c>
      <c r="T24" s="4">
        <f>(VLOOKUP('7.0.3'!AB24,'7.0.3'!$AM$4:$AO$55,3,FALSE))</f>
        <v>0</v>
      </c>
      <c r="U24" s="4">
        <f>(VLOOKUP('7.0.3'!AC24,'7.0.3'!$AM$4:$AO$55,3,FALSE))</f>
        <v>0</v>
      </c>
      <c r="V24" s="4">
        <f>(VLOOKUP('7.0.3'!AD24,'7.0.3'!$AM$4:$AO$55,3,FALSE))</f>
        <v>0</v>
      </c>
      <c r="W24" s="5">
        <f>(VLOOKUP('7.0.3'!AE24,'7.0.3'!$AM$4:$AO$55,3,FALSE))</f>
        <v>0</v>
      </c>
      <c r="X24" s="5">
        <f>(VLOOKUP('7.0.3'!AF24,'7.0.3'!$AM$4:$AO$55,3,FALSE))</f>
        <v>0</v>
      </c>
    </row>
    <row r="25" spans="1:24">
      <c r="A25" s="4">
        <f>(VLOOKUP('7.0.3'!I25,'7.0.3'!$AM$4:$AO$55,3,FALSE))</f>
        <v>50</v>
      </c>
      <c r="B25" s="4">
        <f>(VLOOKUP('7.0.3'!J25,'7.0.3'!$AM$4:$AO$55,3,FALSE))</f>
        <v>50</v>
      </c>
      <c r="C25" s="4">
        <f>(VLOOKUP('7.0.3'!K25,'7.0.3'!$AM$4:$AO$55,3,FALSE))</f>
        <v>50</v>
      </c>
      <c r="D25" s="4">
        <f>(VLOOKUP('7.0.3'!L25,'7.0.3'!$AM$4:$AO$55,3,FALSE))</f>
        <v>50</v>
      </c>
      <c r="E25" s="4">
        <f>(VLOOKUP('7.0.3'!M25,'7.0.3'!$AM$4:$AO$55,3,FALSE))</f>
        <v>50</v>
      </c>
      <c r="F25" s="4">
        <f>(VLOOKUP('7.0.3'!N25,'7.0.3'!$AM$4:$AO$55,3,FALSE))</f>
        <v>60</v>
      </c>
      <c r="G25" s="5">
        <f>(VLOOKUP('7.0.3'!O25,'7.0.3'!$AM$4:$AO$55,3,FALSE))</f>
        <v>0</v>
      </c>
      <c r="H25" s="5">
        <f>(VLOOKUP('7.0.3'!P25,'7.0.3'!$AM$4:$AO$55,3,FALSE))</f>
        <v>0</v>
      </c>
      <c r="I25" s="4">
        <f>(VLOOKUP('7.0.3'!Q25,'7.0.3'!$AM$4:$AO$55,3,FALSE))</f>
        <v>55</v>
      </c>
      <c r="J25" s="4">
        <f>(VLOOKUP('7.0.3'!R25,'7.0.3'!$AM$4:$AO$55,3,FALSE))</f>
        <v>55</v>
      </c>
      <c r="K25" s="4">
        <f>(VLOOKUP('7.0.3'!S25,'7.0.3'!$AM$4:$AO$55,3,FALSE))</f>
        <v>55</v>
      </c>
      <c r="L25" s="4">
        <f>(VLOOKUP('7.0.3'!T25,'7.0.3'!$AM$4:$AO$55,3,FALSE))</f>
        <v>55</v>
      </c>
      <c r="M25" s="4">
        <f>(VLOOKUP('7.0.3'!U25,'7.0.3'!$AM$4:$AO$55,3,FALSE))</f>
        <v>55</v>
      </c>
      <c r="N25" s="4">
        <f>(VLOOKUP('7.0.3'!V25,'7.0.3'!$AM$4:$AO$55,3,FALSE))</f>
        <v>55</v>
      </c>
      <c r="O25" s="5">
        <f>(VLOOKUP('7.0.3'!W25,'7.0.3'!$AM$4:$AO$55,3,FALSE))</f>
        <v>0</v>
      </c>
      <c r="P25" s="5">
        <f>(VLOOKUP('7.0.3'!X25,'7.0.3'!$AM$4:$AO$55,3,FALSE))</f>
        <v>0</v>
      </c>
      <c r="Q25" s="4">
        <f>(VLOOKUP('7.0.3'!Y25,'7.0.3'!$AM$4:$AO$55,3,FALSE))</f>
        <v>0</v>
      </c>
      <c r="R25" s="4">
        <f>(VLOOKUP('7.0.3'!Z25,'7.0.3'!$AM$4:$AO$55,3,FALSE))</f>
        <v>0</v>
      </c>
      <c r="S25" s="4">
        <f>(VLOOKUP('7.0.3'!AA25,'7.0.3'!$AM$4:$AO$55,3,FALSE))</f>
        <v>0</v>
      </c>
      <c r="T25" s="4">
        <f>(VLOOKUP('7.0.3'!AB25,'7.0.3'!$AM$4:$AO$55,3,FALSE))</f>
        <v>0</v>
      </c>
      <c r="U25" s="4">
        <f>(VLOOKUP('7.0.3'!AC25,'7.0.3'!$AM$4:$AO$55,3,FALSE))</f>
        <v>0</v>
      </c>
      <c r="V25" s="4">
        <f>(VLOOKUP('7.0.3'!AD25,'7.0.3'!$AM$4:$AO$55,3,FALSE))</f>
        <v>0</v>
      </c>
      <c r="W25" s="5">
        <f>(VLOOKUP('7.0.3'!AE25,'7.0.3'!$AM$4:$AO$55,3,FALSE))</f>
        <v>0</v>
      </c>
      <c r="X25" s="5">
        <f>(VLOOKUP('7.0.3'!AF25,'7.0.3'!$AM$4:$AO$55,3,FALSE))</f>
        <v>0</v>
      </c>
    </row>
    <row r="26" spans="1:24">
      <c r="A26" s="4">
        <f>(VLOOKUP('7.0.3'!I26,'7.0.3'!$AM$4:$AO$55,3,FALSE))</f>
        <v>60</v>
      </c>
      <c r="B26" s="4">
        <f>(VLOOKUP('7.0.3'!J26,'7.0.3'!$AM$4:$AO$55,3,FALSE))</f>
        <v>60</v>
      </c>
      <c r="C26" s="4">
        <f>(VLOOKUP('7.0.3'!K26,'7.0.3'!$AM$4:$AO$55,3,FALSE))</f>
        <v>60</v>
      </c>
      <c r="D26" s="4">
        <f>(VLOOKUP('7.0.3'!L26,'7.0.3'!$AM$4:$AO$55,3,FALSE))</f>
        <v>60</v>
      </c>
      <c r="E26" s="4">
        <f>(VLOOKUP('7.0.3'!M26,'7.0.3'!$AM$4:$AO$55,3,FALSE))</f>
        <v>60</v>
      </c>
      <c r="F26" s="4">
        <f>(VLOOKUP('7.0.3'!N26,'7.0.3'!$AM$4:$AO$55,3,FALSE))</f>
        <v>60</v>
      </c>
      <c r="G26" s="5">
        <f>(VLOOKUP('7.0.3'!O26,'7.0.3'!$AM$4:$AO$55,3,FALSE))</f>
        <v>0</v>
      </c>
      <c r="H26" s="5">
        <f>(VLOOKUP('7.0.3'!P26,'7.0.3'!$AM$4:$AO$55,3,FALSE))</f>
        <v>0</v>
      </c>
      <c r="I26" s="4">
        <f>(VLOOKUP('7.0.3'!Q26,'7.0.3'!$AM$4:$AO$55,3,FALSE))</f>
        <v>55</v>
      </c>
      <c r="J26" s="4">
        <f>(VLOOKUP('7.0.3'!R26,'7.0.3'!$AM$4:$AO$55,3,FALSE))</f>
        <v>55</v>
      </c>
      <c r="K26" s="4">
        <f>(VLOOKUP('7.0.3'!S26,'7.0.3'!$AM$4:$AO$55,3,FALSE))</f>
        <v>55</v>
      </c>
      <c r="L26" s="4">
        <f>(VLOOKUP('7.0.3'!T26,'7.0.3'!$AM$4:$AO$55,3,FALSE))</f>
        <v>55</v>
      </c>
      <c r="M26" s="4">
        <f>(VLOOKUP('7.0.3'!U26,'7.0.3'!$AM$4:$AO$55,3,FALSE))</f>
        <v>55</v>
      </c>
      <c r="N26" s="4">
        <f>(VLOOKUP('7.0.3'!V26,'7.0.3'!$AM$4:$AO$55,3,FALSE))</f>
        <v>55</v>
      </c>
      <c r="O26" s="5">
        <f>(VLOOKUP('7.0.3'!W26,'7.0.3'!$AM$4:$AO$55,3,FALSE))</f>
        <v>0</v>
      </c>
      <c r="P26" s="5">
        <f>(VLOOKUP('7.0.3'!X26,'7.0.3'!$AM$4:$AO$55,3,FALSE))</f>
        <v>0</v>
      </c>
      <c r="Q26" s="4">
        <f>(VLOOKUP('7.0.3'!Y26,'7.0.3'!$AM$4:$AO$55,3,FALSE))</f>
        <v>0</v>
      </c>
      <c r="R26" s="4">
        <f>(VLOOKUP('7.0.3'!Z26,'7.0.3'!$AM$4:$AO$55,3,FALSE))</f>
        <v>0</v>
      </c>
      <c r="S26" s="4">
        <f>(VLOOKUP('7.0.3'!AA26,'7.0.3'!$AM$4:$AO$55,3,FALSE))</f>
        <v>0</v>
      </c>
      <c r="T26" s="4">
        <f>(VLOOKUP('7.0.3'!AB26,'7.0.3'!$AM$4:$AO$55,3,FALSE))</f>
        <v>0</v>
      </c>
      <c r="U26" s="4">
        <f>(VLOOKUP('7.0.3'!AC26,'7.0.3'!$AM$4:$AO$55,3,FALSE))</f>
        <v>0</v>
      </c>
      <c r="V26" s="4">
        <f>(VLOOKUP('7.0.3'!AD26,'7.0.3'!$AM$4:$AO$55,3,FALSE))</f>
        <v>0</v>
      </c>
      <c r="W26" s="5">
        <f>(VLOOKUP('7.0.3'!AE26,'7.0.3'!$AM$4:$AO$55,3,FALSE))</f>
        <v>0</v>
      </c>
      <c r="X26" s="5">
        <f>(VLOOKUP('7.0.3'!AF26,'7.0.3'!$AM$4:$AO$55,3,FALSE))</f>
        <v>0</v>
      </c>
    </row>
    <row r="27" spans="1:24">
      <c r="A27" s="4">
        <f>(VLOOKUP('7.0.3'!I27,'7.0.3'!$AM$4:$AO$55,3,FALSE))</f>
        <v>60</v>
      </c>
      <c r="B27" s="4">
        <f>(VLOOKUP('7.0.3'!J27,'7.0.3'!$AM$4:$AO$55,3,FALSE))</f>
        <v>60</v>
      </c>
      <c r="C27" s="4">
        <f>(VLOOKUP('7.0.3'!K27,'7.0.3'!$AM$4:$AO$55,3,FALSE))</f>
        <v>60</v>
      </c>
      <c r="D27" s="4">
        <f>(VLOOKUP('7.0.3'!L27,'7.0.3'!$AM$4:$AO$55,3,FALSE))</f>
        <v>60</v>
      </c>
      <c r="E27" s="4">
        <f>(VLOOKUP('7.0.3'!M27,'7.0.3'!$AM$4:$AO$55,3,FALSE))</f>
        <v>60</v>
      </c>
      <c r="F27" s="4">
        <f>(VLOOKUP('7.0.3'!N27,'7.0.3'!$AM$4:$AO$55,3,FALSE))</f>
        <v>60</v>
      </c>
      <c r="G27" s="5">
        <f>(VLOOKUP('7.0.3'!O27,'7.0.3'!$AM$4:$AO$55,3,FALSE))</f>
        <v>0</v>
      </c>
      <c r="H27" s="5">
        <f>(VLOOKUP('7.0.3'!P27,'7.0.3'!$AM$4:$AO$55,3,FALSE))</f>
        <v>60</v>
      </c>
      <c r="I27" s="4">
        <f>(VLOOKUP('7.0.3'!Q27,'7.0.3'!$AM$4:$AO$55,3,FALSE))</f>
        <v>55</v>
      </c>
      <c r="J27" s="4">
        <f>(VLOOKUP('7.0.3'!R27,'7.0.3'!$AM$4:$AO$55,3,FALSE))</f>
        <v>55</v>
      </c>
      <c r="K27" s="4">
        <f>(VLOOKUP('7.0.3'!S27,'7.0.3'!$AM$4:$AO$55,3,FALSE))</f>
        <v>55</v>
      </c>
      <c r="L27" s="4">
        <f>(VLOOKUP('7.0.3'!T27,'7.0.3'!$AM$4:$AO$55,3,FALSE))</f>
        <v>55</v>
      </c>
      <c r="M27" s="4">
        <f>(VLOOKUP('7.0.3'!U27,'7.0.3'!$AM$4:$AO$55,3,FALSE))</f>
        <v>55</v>
      </c>
      <c r="N27" s="4">
        <f>(VLOOKUP('7.0.3'!V27,'7.0.3'!$AM$4:$AO$55,3,FALSE))</f>
        <v>0</v>
      </c>
      <c r="O27" s="5">
        <f>(VLOOKUP('7.0.3'!W27,'7.0.3'!$AM$4:$AO$55,3,FALSE))</f>
        <v>0</v>
      </c>
      <c r="P27" s="5">
        <f>(VLOOKUP('7.0.3'!X27,'7.0.3'!$AM$4:$AO$55,3,FALSE))</f>
        <v>0</v>
      </c>
      <c r="Q27" s="4">
        <f>(VLOOKUP('7.0.3'!Y27,'7.0.3'!$AM$4:$AO$55,3,FALSE))</f>
        <v>0</v>
      </c>
      <c r="R27" s="4">
        <f>(VLOOKUP('7.0.3'!Z27,'7.0.3'!$AM$4:$AO$55,3,FALSE))</f>
        <v>0</v>
      </c>
      <c r="S27" s="4">
        <f>(VLOOKUP('7.0.3'!AA27,'7.0.3'!$AM$4:$AO$55,3,FALSE))</f>
        <v>0</v>
      </c>
      <c r="T27" s="4">
        <f>(VLOOKUP('7.0.3'!AB27,'7.0.3'!$AM$4:$AO$55,3,FALSE))</f>
        <v>0</v>
      </c>
      <c r="U27" s="4">
        <f>(VLOOKUP('7.0.3'!AC27,'7.0.3'!$AM$4:$AO$55,3,FALSE))</f>
        <v>0</v>
      </c>
      <c r="V27" s="4">
        <f>(VLOOKUP('7.0.3'!AD27,'7.0.3'!$AM$4:$AO$55,3,FALSE))</f>
        <v>0</v>
      </c>
      <c r="W27" s="5">
        <f>(VLOOKUP('7.0.3'!AE27,'7.0.3'!$AM$4:$AO$55,3,FALSE))</f>
        <v>0</v>
      </c>
      <c r="X27" s="5">
        <f>(VLOOKUP('7.0.3'!AF27,'7.0.3'!$AM$4:$AO$55,3,FALSE))</f>
        <v>0</v>
      </c>
    </row>
    <row r="28" spans="1:24">
      <c r="A28" s="4">
        <f>(VLOOKUP('7.0.3'!I28,'7.0.3'!$AM$4:$AO$55,3,FALSE))</f>
        <v>60</v>
      </c>
      <c r="B28" s="4">
        <f>(VLOOKUP('7.0.3'!J28,'7.0.3'!$AM$4:$AO$55,3,FALSE))</f>
        <v>60</v>
      </c>
      <c r="C28" s="4">
        <f>(VLOOKUP('7.0.3'!K28,'7.0.3'!$AM$4:$AO$55,3,FALSE))</f>
        <v>60</v>
      </c>
      <c r="D28" s="4">
        <f>(VLOOKUP('7.0.3'!L28,'7.0.3'!$AM$4:$AO$55,3,FALSE))</f>
        <v>60</v>
      </c>
      <c r="E28" s="4">
        <f>(VLOOKUP('7.0.3'!M28,'7.0.3'!$AM$4:$AO$55,3,FALSE))</f>
        <v>60</v>
      </c>
      <c r="F28" s="4">
        <f>(VLOOKUP('7.0.3'!N28,'7.0.3'!$AM$4:$AO$55,3,FALSE))</f>
        <v>60</v>
      </c>
      <c r="G28" s="5">
        <f>(VLOOKUP('7.0.3'!O28,'7.0.3'!$AM$4:$AO$55,3,FALSE))</f>
        <v>0</v>
      </c>
      <c r="H28" s="5">
        <f>(VLOOKUP('7.0.3'!P28,'7.0.3'!$AM$4:$AO$55,3,FALSE))</f>
        <v>0</v>
      </c>
      <c r="I28" s="4">
        <f>(VLOOKUP('7.0.3'!Q28,'7.0.3'!$AM$4:$AO$55,3,FALSE))</f>
        <v>55</v>
      </c>
      <c r="J28" s="4">
        <f>(VLOOKUP('7.0.3'!R28,'7.0.3'!$AM$4:$AO$55,3,FALSE))</f>
        <v>55</v>
      </c>
      <c r="K28" s="4">
        <f>(VLOOKUP('7.0.3'!S28,'7.0.3'!$AM$4:$AO$55,3,FALSE))</f>
        <v>55</v>
      </c>
      <c r="L28" s="4">
        <f>(VLOOKUP('7.0.3'!T28,'7.0.3'!$AM$4:$AO$55,3,FALSE))</f>
        <v>55</v>
      </c>
      <c r="M28" s="4">
        <f>(VLOOKUP('7.0.3'!U28,'7.0.3'!$AM$4:$AO$55,3,FALSE))</f>
        <v>0</v>
      </c>
      <c r="N28" s="4">
        <f>(VLOOKUP('7.0.3'!V28,'7.0.3'!$AM$4:$AO$55,3,FALSE))</f>
        <v>0</v>
      </c>
      <c r="O28" s="5">
        <f>(VLOOKUP('7.0.3'!W28,'7.0.3'!$AM$4:$AO$55,3,FALSE))</f>
        <v>0</v>
      </c>
      <c r="P28" s="5">
        <f>(VLOOKUP('7.0.3'!X28,'7.0.3'!$AM$4:$AO$55,3,FALSE))</f>
        <v>0</v>
      </c>
      <c r="Q28" s="4">
        <f>(VLOOKUP('7.0.3'!Y28,'7.0.3'!$AM$4:$AO$55,3,FALSE))</f>
        <v>0</v>
      </c>
      <c r="R28" s="4">
        <f>(VLOOKUP('7.0.3'!Z28,'7.0.3'!$AM$4:$AO$55,3,FALSE))</f>
        <v>0</v>
      </c>
      <c r="S28" s="4">
        <f>(VLOOKUP('7.0.3'!AA28,'7.0.3'!$AM$4:$AO$55,3,FALSE))</f>
        <v>0</v>
      </c>
      <c r="T28" s="4">
        <f>(VLOOKUP('7.0.3'!AB28,'7.0.3'!$AM$4:$AO$55,3,FALSE))</f>
        <v>0</v>
      </c>
      <c r="U28" s="4">
        <f>(VLOOKUP('7.0.3'!AC28,'7.0.3'!$AM$4:$AO$55,3,FALSE))</f>
        <v>0</v>
      </c>
      <c r="V28" s="4">
        <f>(VLOOKUP('7.0.3'!AD28,'7.0.3'!$AM$4:$AO$55,3,FALSE))</f>
        <v>0</v>
      </c>
      <c r="W28" s="5">
        <f>(VLOOKUP('7.0.3'!AE28,'7.0.3'!$AM$4:$AO$55,3,FALSE))</f>
        <v>0</v>
      </c>
      <c r="X28" s="5">
        <f>(VLOOKUP('7.0.3'!AF28,'7.0.3'!$AM$4:$AO$55,3,FALSE))</f>
        <v>0</v>
      </c>
    </row>
    <row r="29" spans="1:24">
      <c r="A29" s="4">
        <f>(VLOOKUP('7.0.3'!I29,'7.0.3'!$AM$4:$AO$55,3,FALSE))</f>
        <v>60</v>
      </c>
      <c r="B29" s="4">
        <f>(VLOOKUP('7.0.3'!J29,'7.0.3'!$AM$4:$AO$55,3,FALSE))</f>
        <v>60</v>
      </c>
      <c r="C29" s="4">
        <f>(VLOOKUP('7.0.3'!K29,'7.0.3'!$AM$4:$AO$55,3,FALSE))</f>
        <v>60</v>
      </c>
      <c r="D29" s="4">
        <f>(VLOOKUP('7.0.3'!L29,'7.0.3'!$AM$4:$AO$55,3,FALSE))</f>
        <v>60</v>
      </c>
      <c r="E29" s="4">
        <f>(VLOOKUP('7.0.3'!M29,'7.0.3'!$AM$4:$AO$55,3,FALSE))</f>
        <v>60</v>
      </c>
      <c r="F29" s="4">
        <f>(VLOOKUP('7.0.3'!N29,'7.0.3'!$AM$4:$AO$55,3,FALSE))</f>
        <v>60</v>
      </c>
      <c r="G29" s="5">
        <f>(VLOOKUP('7.0.3'!O29,'7.0.3'!$AM$4:$AO$55,3,FALSE))</f>
        <v>0</v>
      </c>
      <c r="H29" s="5">
        <f>(VLOOKUP('7.0.3'!P29,'7.0.3'!$AM$4:$AO$55,3,FALSE))</f>
        <v>0</v>
      </c>
      <c r="I29" s="4">
        <f>(VLOOKUP('7.0.3'!Q29,'7.0.3'!$AM$4:$AO$55,3,FALSE))</f>
        <v>55</v>
      </c>
      <c r="J29" s="4">
        <f>(VLOOKUP('7.0.3'!R29,'7.0.3'!$AM$4:$AO$55,3,FALSE))</f>
        <v>55</v>
      </c>
      <c r="K29" s="4">
        <f>(VLOOKUP('7.0.3'!S29,'7.0.3'!$AM$4:$AO$55,3,FALSE))</f>
        <v>55</v>
      </c>
      <c r="L29" s="4">
        <f>(VLOOKUP('7.0.3'!T29,'7.0.3'!$AM$4:$AO$55,3,FALSE))</f>
        <v>55</v>
      </c>
      <c r="M29" s="4">
        <f>(VLOOKUP('7.0.3'!U29,'7.0.3'!$AM$4:$AO$55,3,FALSE))</f>
        <v>0</v>
      </c>
      <c r="N29" s="4">
        <f>(VLOOKUP('7.0.3'!V29,'7.0.3'!$AM$4:$AO$55,3,FALSE))</f>
        <v>0</v>
      </c>
      <c r="O29" s="5">
        <f>(VLOOKUP('7.0.3'!W29,'7.0.3'!$AM$4:$AO$55,3,FALSE))</f>
        <v>0</v>
      </c>
      <c r="P29" s="5">
        <f>(VLOOKUP('7.0.3'!X29,'7.0.3'!$AM$4:$AO$55,3,FALSE))</f>
        <v>0</v>
      </c>
      <c r="Q29" s="4">
        <f>(VLOOKUP('7.0.3'!Y29,'7.0.3'!$AM$4:$AO$55,3,FALSE))</f>
        <v>0</v>
      </c>
      <c r="R29" s="4">
        <f>(VLOOKUP('7.0.3'!Z29,'7.0.3'!$AM$4:$AO$55,3,FALSE))</f>
        <v>0</v>
      </c>
      <c r="S29" s="4">
        <f>(VLOOKUP('7.0.3'!AA29,'7.0.3'!$AM$4:$AO$55,3,FALSE))</f>
        <v>0</v>
      </c>
      <c r="T29" s="4">
        <f>(VLOOKUP('7.0.3'!AB29,'7.0.3'!$AM$4:$AO$55,3,FALSE))</f>
        <v>0</v>
      </c>
      <c r="U29" s="4">
        <f>(VLOOKUP('7.0.3'!AC29,'7.0.3'!$AM$4:$AO$55,3,FALSE))</f>
        <v>0</v>
      </c>
      <c r="V29" s="4">
        <f>(VLOOKUP('7.0.3'!AD29,'7.0.3'!$AM$4:$AO$55,3,FALSE))</f>
        <v>0</v>
      </c>
      <c r="W29" s="5">
        <f>(VLOOKUP('7.0.3'!AE29,'7.0.3'!$AM$4:$AO$55,3,FALSE))</f>
        <v>0</v>
      </c>
      <c r="X29" s="5">
        <f>(VLOOKUP('7.0.3'!AF29,'7.0.3'!$AM$4:$AO$55,3,FALSE))</f>
        <v>0</v>
      </c>
    </row>
    <row r="30" spans="1:24">
      <c r="A30" s="4">
        <f>(VLOOKUP('7.0.3'!I30,'7.0.3'!$AM$4:$AO$55,3,FALSE))</f>
        <v>60</v>
      </c>
      <c r="B30" s="4">
        <f>(VLOOKUP('7.0.3'!J30,'7.0.3'!$AM$4:$AO$55,3,FALSE))</f>
        <v>60</v>
      </c>
      <c r="C30" s="4">
        <f>(VLOOKUP('7.0.3'!K30,'7.0.3'!$AM$4:$AO$55,3,FALSE))</f>
        <v>60</v>
      </c>
      <c r="D30" s="4">
        <f>(VLOOKUP('7.0.3'!L30,'7.0.3'!$AM$4:$AO$55,3,FALSE))</f>
        <v>60</v>
      </c>
      <c r="E30" s="4">
        <f>(VLOOKUP('7.0.3'!M30,'7.0.3'!$AM$4:$AO$55,3,FALSE))</f>
        <v>60</v>
      </c>
      <c r="F30" s="4">
        <f>(VLOOKUP('7.0.3'!N30,'7.0.3'!$AM$4:$AO$55,3,FALSE))</f>
        <v>60</v>
      </c>
      <c r="G30" s="5">
        <f>(VLOOKUP('7.0.3'!O30,'7.0.3'!$AM$4:$AO$55,3,FALSE))</f>
        <v>0</v>
      </c>
      <c r="H30" s="5">
        <f>(VLOOKUP('7.0.3'!P30,'7.0.3'!$AM$4:$AO$55,3,FALSE))</f>
        <v>0</v>
      </c>
      <c r="I30" s="4">
        <f>(VLOOKUP('7.0.3'!Q30,'7.0.3'!$AM$4:$AO$55,3,FALSE))</f>
        <v>55</v>
      </c>
      <c r="J30" s="4">
        <f>(VLOOKUP('7.0.3'!R30,'7.0.3'!$AM$4:$AO$55,3,FALSE))</f>
        <v>55</v>
      </c>
      <c r="K30" s="4">
        <f>(VLOOKUP('7.0.3'!S30,'7.0.3'!$AM$4:$AO$55,3,FALSE))</f>
        <v>55</v>
      </c>
      <c r="L30" s="4">
        <f>(VLOOKUP('7.0.3'!T30,'7.0.3'!$AM$4:$AO$55,3,FALSE))</f>
        <v>55</v>
      </c>
      <c r="M30" s="4">
        <f>(VLOOKUP('7.0.3'!U30,'7.0.3'!$AM$4:$AO$55,3,FALSE))</f>
        <v>55</v>
      </c>
      <c r="N30" s="4">
        <f>(VLOOKUP('7.0.3'!V30,'7.0.3'!$AM$4:$AO$55,3,FALSE))</f>
        <v>0</v>
      </c>
      <c r="O30" s="5">
        <f>(VLOOKUP('7.0.3'!W30,'7.0.3'!$AM$4:$AO$55,3,FALSE))</f>
        <v>0</v>
      </c>
      <c r="P30" s="5">
        <f>(VLOOKUP('7.0.3'!X30,'7.0.3'!$AM$4:$AO$55,3,FALSE))</f>
        <v>0</v>
      </c>
      <c r="Q30" s="4">
        <f>(VLOOKUP('7.0.3'!Y30,'7.0.3'!$AM$4:$AO$55,3,FALSE))</f>
        <v>0</v>
      </c>
      <c r="R30" s="4">
        <f>(VLOOKUP('7.0.3'!Z30,'7.0.3'!$AM$4:$AO$55,3,FALSE))</f>
        <v>0</v>
      </c>
      <c r="S30" s="4">
        <f>(VLOOKUP('7.0.3'!AA30,'7.0.3'!$AM$4:$AO$55,3,FALSE))</f>
        <v>0</v>
      </c>
      <c r="T30" s="4">
        <f>(VLOOKUP('7.0.3'!AB30,'7.0.3'!$AM$4:$AO$55,3,FALSE))</f>
        <v>0</v>
      </c>
      <c r="U30" s="4">
        <f>(VLOOKUP('7.0.3'!AC30,'7.0.3'!$AM$4:$AO$55,3,FALSE))</f>
        <v>0</v>
      </c>
      <c r="V30" s="4">
        <f>(VLOOKUP('7.0.3'!AD30,'7.0.3'!$AM$4:$AO$55,3,FALSE))</f>
        <v>0</v>
      </c>
      <c r="W30" s="5">
        <f>(VLOOKUP('7.0.3'!AE30,'7.0.3'!$AM$4:$AO$55,3,FALSE))</f>
        <v>0</v>
      </c>
      <c r="X30" s="5">
        <f>(VLOOKUP('7.0.3'!AF30,'7.0.3'!$AM$4:$AO$55,3,FALSE))</f>
        <v>0</v>
      </c>
    </row>
    <row r="31" spans="1:24">
      <c r="A31" s="4">
        <f>(VLOOKUP('7.0.3'!I31,'7.0.3'!$AM$4:$AO$55,3,FALSE))</f>
        <v>60</v>
      </c>
      <c r="B31" s="4">
        <f>(VLOOKUP('7.0.3'!J31,'7.0.3'!$AM$4:$AO$55,3,FALSE))</f>
        <v>60</v>
      </c>
      <c r="C31" s="4">
        <f>(VLOOKUP('7.0.3'!K31,'7.0.3'!$AM$4:$AO$55,3,FALSE))</f>
        <v>60</v>
      </c>
      <c r="D31" s="4">
        <f>(VLOOKUP('7.0.3'!L31,'7.0.3'!$AM$4:$AO$55,3,FALSE))</f>
        <v>60</v>
      </c>
      <c r="E31" s="4">
        <f>(VLOOKUP('7.0.3'!M31,'7.0.3'!$AM$4:$AO$55,3,FALSE))</f>
        <v>60</v>
      </c>
      <c r="F31" s="4">
        <f>(VLOOKUP('7.0.3'!N31,'7.0.3'!$AM$4:$AO$55,3,FALSE))</f>
        <v>60</v>
      </c>
      <c r="G31" s="5">
        <f>(VLOOKUP('7.0.3'!O31,'7.0.3'!$AM$4:$AO$55,3,FALSE))</f>
        <v>0</v>
      </c>
      <c r="H31" s="5">
        <f>(VLOOKUP('7.0.3'!P31,'7.0.3'!$AM$4:$AO$55,3,FALSE))</f>
        <v>0</v>
      </c>
      <c r="I31" s="4">
        <f>(VLOOKUP('7.0.3'!Q31,'7.0.3'!$AM$4:$AO$55,3,FALSE))</f>
        <v>55</v>
      </c>
      <c r="J31" s="4">
        <f>(VLOOKUP('7.0.3'!R31,'7.0.3'!$AM$4:$AO$55,3,FALSE))</f>
        <v>0</v>
      </c>
      <c r="K31" s="4">
        <f>(VLOOKUP('7.0.3'!S31,'7.0.3'!$AM$4:$AO$55,3,FALSE))</f>
        <v>55</v>
      </c>
      <c r="L31" s="4">
        <f>(VLOOKUP('7.0.3'!T31,'7.0.3'!$AM$4:$AO$55,3,FALSE))</f>
        <v>55</v>
      </c>
      <c r="M31" s="4">
        <f>(VLOOKUP('7.0.3'!U31,'7.0.3'!$AM$4:$AO$55,3,FALSE))</f>
        <v>55</v>
      </c>
      <c r="N31" s="4">
        <f>(VLOOKUP('7.0.3'!V31,'7.0.3'!$AM$4:$AO$55,3,FALSE))</f>
        <v>55</v>
      </c>
      <c r="O31" s="5">
        <f>(VLOOKUP('7.0.3'!W31,'7.0.3'!$AM$4:$AO$55,3,FALSE))</f>
        <v>0</v>
      </c>
      <c r="P31" s="5">
        <f>(VLOOKUP('7.0.3'!X31,'7.0.3'!$AM$4:$AO$55,3,FALSE))</f>
        <v>0</v>
      </c>
      <c r="Q31" s="4">
        <f>(VLOOKUP('7.0.3'!Y31,'7.0.3'!$AM$4:$AO$55,3,FALSE))</f>
        <v>0</v>
      </c>
      <c r="R31" s="4">
        <f>(VLOOKUP('7.0.3'!Z31,'7.0.3'!$AM$4:$AO$55,3,FALSE))</f>
        <v>0</v>
      </c>
      <c r="S31" s="4">
        <f>(VLOOKUP('7.0.3'!AA31,'7.0.3'!$AM$4:$AO$55,3,FALSE))</f>
        <v>0</v>
      </c>
      <c r="T31" s="4">
        <f>(VLOOKUP('7.0.3'!AB31,'7.0.3'!$AM$4:$AO$55,3,FALSE))</f>
        <v>0</v>
      </c>
      <c r="U31" s="4">
        <f>(VLOOKUP('7.0.3'!AC31,'7.0.3'!$AM$4:$AO$55,3,FALSE))</f>
        <v>0</v>
      </c>
      <c r="V31" s="4">
        <f>(VLOOKUP('7.0.3'!AD31,'7.0.3'!$AM$4:$AO$55,3,FALSE))</f>
        <v>0</v>
      </c>
      <c r="W31" s="5">
        <f>(VLOOKUP('7.0.3'!AE31,'7.0.3'!$AM$4:$AO$55,3,FALSE))</f>
        <v>0</v>
      </c>
      <c r="X31" s="5">
        <f>(VLOOKUP('7.0.3'!AF31,'7.0.3'!$AM$4:$AO$55,3,FALSE))</f>
        <v>0</v>
      </c>
    </row>
    <row r="32" spans="1:24">
      <c r="A32" s="4">
        <f>(VLOOKUP('7.0.3'!I32,'7.0.3'!$AM$4:$AO$55,3,FALSE))</f>
        <v>60</v>
      </c>
      <c r="B32" s="4">
        <f>(VLOOKUP('7.0.3'!J32,'7.0.3'!$AM$4:$AO$55,3,FALSE))</f>
        <v>60</v>
      </c>
      <c r="C32" s="4">
        <f>(VLOOKUP('7.0.3'!K32,'7.0.3'!$AM$4:$AO$55,3,FALSE))</f>
        <v>60</v>
      </c>
      <c r="D32" s="4">
        <f>(VLOOKUP('7.0.3'!L32,'7.0.3'!$AM$4:$AO$55,3,FALSE))</f>
        <v>60</v>
      </c>
      <c r="E32" s="4">
        <f>(VLOOKUP('7.0.3'!M32,'7.0.3'!$AM$4:$AO$55,3,FALSE))</f>
        <v>60</v>
      </c>
      <c r="F32" s="4">
        <f>(VLOOKUP('7.0.3'!N32,'7.0.3'!$AM$4:$AO$55,3,FALSE))</f>
        <v>60</v>
      </c>
      <c r="G32" s="5">
        <f>(VLOOKUP('7.0.3'!O32,'7.0.3'!$AM$4:$AO$55,3,FALSE))</f>
        <v>0</v>
      </c>
      <c r="H32" s="5">
        <f>(VLOOKUP('7.0.3'!P32,'7.0.3'!$AM$4:$AO$55,3,FALSE))</f>
        <v>0</v>
      </c>
      <c r="I32" s="4">
        <f>(VLOOKUP('7.0.3'!Q32,'7.0.3'!$AM$4:$AO$55,3,FALSE))</f>
        <v>55</v>
      </c>
      <c r="J32" s="4">
        <f>(VLOOKUP('7.0.3'!R32,'7.0.3'!$AM$4:$AO$55,3,FALSE))</f>
        <v>55</v>
      </c>
      <c r="K32" s="4">
        <f>(VLOOKUP('7.0.3'!S32,'7.0.3'!$AM$4:$AO$55,3,FALSE))</f>
        <v>55</v>
      </c>
      <c r="L32" s="4">
        <f>(VLOOKUP('7.0.3'!T32,'7.0.3'!$AM$4:$AO$55,3,FALSE))</f>
        <v>55</v>
      </c>
      <c r="M32" s="4">
        <f>(VLOOKUP('7.0.3'!U32,'7.0.3'!$AM$4:$AO$55,3,FALSE))</f>
        <v>0</v>
      </c>
      <c r="N32" s="4">
        <f>(VLOOKUP('7.0.3'!V32,'7.0.3'!$AM$4:$AO$55,3,FALSE))</f>
        <v>0</v>
      </c>
      <c r="O32" s="5">
        <f>(VLOOKUP('7.0.3'!W32,'7.0.3'!$AM$4:$AO$55,3,FALSE))</f>
        <v>0</v>
      </c>
      <c r="P32" s="5">
        <f>(VLOOKUP('7.0.3'!X32,'7.0.3'!$AM$4:$AO$55,3,FALSE))</f>
        <v>0</v>
      </c>
      <c r="Q32" s="4">
        <f>(VLOOKUP('7.0.3'!Y32,'7.0.3'!$AM$4:$AO$55,3,FALSE))</f>
        <v>0</v>
      </c>
      <c r="R32" s="4">
        <f>(VLOOKUP('7.0.3'!Z32,'7.0.3'!$AM$4:$AO$55,3,FALSE))</f>
        <v>0</v>
      </c>
      <c r="S32" s="4">
        <f>(VLOOKUP('7.0.3'!AA32,'7.0.3'!$AM$4:$AO$55,3,FALSE))</f>
        <v>0</v>
      </c>
      <c r="T32" s="4">
        <f>(VLOOKUP('7.0.3'!AB32,'7.0.3'!$AM$4:$AO$55,3,FALSE))</f>
        <v>0</v>
      </c>
      <c r="U32" s="4">
        <f>(VLOOKUP('7.0.3'!AC32,'7.0.3'!$AM$4:$AO$55,3,FALSE))</f>
        <v>0</v>
      </c>
      <c r="V32" s="4">
        <f>(VLOOKUP('7.0.3'!AD32,'7.0.3'!$AM$4:$AO$55,3,FALSE))</f>
        <v>0</v>
      </c>
      <c r="W32" s="5">
        <f>(VLOOKUP('7.0.3'!AE32,'7.0.3'!$AM$4:$AO$55,3,FALSE))</f>
        <v>0</v>
      </c>
      <c r="X32" s="5">
        <f>(VLOOKUP('7.0.3'!AF32,'7.0.3'!$AM$4:$AO$55,3,FALSE))</f>
        <v>0</v>
      </c>
    </row>
    <row r="33" spans="1:24">
      <c r="A33" s="4">
        <f>(VLOOKUP('7.0.3'!I33,'7.0.3'!$AM$4:$AO$55,3,FALSE))</f>
        <v>60</v>
      </c>
      <c r="B33" s="4">
        <f>(VLOOKUP('7.0.3'!J33,'7.0.3'!$AM$4:$AO$55,3,FALSE))</f>
        <v>60</v>
      </c>
      <c r="C33" s="4">
        <f>(VLOOKUP('7.0.3'!K33,'7.0.3'!$AM$4:$AO$55,3,FALSE))</f>
        <v>60</v>
      </c>
      <c r="D33" s="4">
        <f>(VLOOKUP('7.0.3'!L33,'7.0.3'!$AM$4:$AO$55,3,FALSE))</f>
        <v>60</v>
      </c>
      <c r="E33" s="4">
        <f>(VLOOKUP('7.0.3'!M33,'7.0.3'!$AM$4:$AO$55,3,FALSE))</f>
        <v>60</v>
      </c>
      <c r="F33" s="4">
        <f>(VLOOKUP('7.0.3'!N33,'7.0.3'!$AM$4:$AO$55,3,FALSE))</f>
        <v>60</v>
      </c>
      <c r="G33" s="5">
        <f>(VLOOKUP('7.0.3'!O33,'7.0.3'!$AM$4:$AO$55,3,FALSE))</f>
        <v>0</v>
      </c>
      <c r="H33" s="5">
        <f>(VLOOKUP('7.0.3'!P33,'7.0.3'!$AM$4:$AO$55,3,FALSE))</f>
        <v>0</v>
      </c>
      <c r="I33" s="4">
        <f>(VLOOKUP('7.0.3'!Q33,'7.0.3'!$AM$4:$AO$55,3,FALSE))</f>
        <v>55</v>
      </c>
      <c r="J33" s="4">
        <f>(VLOOKUP('7.0.3'!R33,'7.0.3'!$AM$4:$AO$55,3,FALSE))</f>
        <v>55</v>
      </c>
      <c r="K33" s="4">
        <f>(VLOOKUP('7.0.3'!S33,'7.0.3'!$AM$4:$AO$55,3,FALSE))</f>
        <v>55</v>
      </c>
      <c r="L33" s="4">
        <f>(VLOOKUP('7.0.3'!T33,'7.0.3'!$AM$4:$AO$55,3,FALSE))</f>
        <v>55</v>
      </c>
      <c r="M33" s="4">
        <f>(VLOOKUP('7.0.3'!U33,'7.0.3'!$AM$4:$AO$55,3,FALSE))</f>
        <v>0</v>
      </c>
      <c r="N33" s="4">
        <f>(VLOOKUP('7.0.3'!V33,'7.0.3'!$AM$4:$AO$55,3,FALSE))</f>
        <v>0</v>
      </c>
      <c r="O33" s="5">
        <f>(VLOOKUP('7.0.3'!W33,'7.0.3'!$AM$4:$AO$55,3,FALSE))</f>
        <v>0</v>
      </c>
      <c r="P33" s="5">
        <f>(VLOOKUP('7.0.3'!X33,'7.0.3'!$AM$4:$AO$55,3,FALSE))</f>
        <v>0</v>
      </c>
      <c r="Q33" s="4">
        <f>(VLOOKUP('7.0.3'!Y33,'7.0.3'!$AM$4:$AO$55,3,FALSE))</f>
        <v>0</v>
      </c>
      <c r="R33" s="4">
        <f>(VLOOKUP('7.0.3'!Z33,'7.0.3'!$AM$4:$AO$55,3,FALSE))</f>
        <v>0</v>
      </c>
      <c r="S33" s="4">
        <f>(VLOOKUP('7.0.3'!AA33,'7.0.3'!$AM$4:$AO$55,3,FALSE))</f>
        <v>0</v>
      </c>
      <c r="T33" s="4">
        <f>(VLOOKUP('7.0.3'!AB33,'7.0.3'!$AM$4:$AO$55,3,FALSE))</f>
        <v>0</v>
      </c>
      <c r="U33" s="4">
        <f>(VLOOKUP('7.0.3'!AC33,'7.0.3'!$AM$4:$AO$55,3,FALSE))</f>
        <v>0</v>
      </c>
      <c r="V33" s="4">
        <f>(VLOOKUP('7.0.3'!AD33,'7.0.3'!$AM$4:$AO$55,3,FALSE))</f>
        <v>0</v>
      </c>
      <c r="W33" s="5">
        <f>(VLOOKUP('7.0.3'!AE33,'7.0.3'!$AM$4:$AO$55,3,FALSE))</f>
        <v>0</v>
      </c>
      <c r="X33" s="5">
        <f>(VLOOKUP('7.0.3'!AF33,'7.0.3'!$AM$4:$AO$55,3,FALSE))</f>
        <v>0</v>
      </c>
    </row>
    <row r="34" spans="1:24">
      <c r="A34" s="4">
        <f>(VLOOKUP('7.0.3'!I34,'7.0.3'!$AM$4:$AO$55,3,FALSE))</f>
        <v>60</v>
      </c>
      <c r="B34" s="4">
        <f>(VLOOKUP('7.0.3'!J34,'7.0.3'!$AM$4:$AO$55,3,FALSE))</f>
        <v>60</v>
      </c>
      <c r="C34" s="4">
        <f>(VLOOKUP('7.0.3'!K34,'7.0.3'!$AM$4:$AO$55,3,FALSE))</f>
        <v>60</v>
      </c>
      <c r="D34" s="4">
        <f>(VLOOKUP('7.0.3'!L34,'7.0.3'!$AM$4:$AO$55,3,FALSE))</f>
        <v>60</v>
      </c>
      <c r="E34" s="4">
        <f>(VLOOKUP('7.0.3'!M34,'7.0.3'!$AM$4:$AO$55,3,FALSE))</f>
        <v>60</v>
      </c>
      <c r="F34" s="4">
        <f>(VLOOKUP('7.0.3'!N34,'7.0.3'!$AM$4:$AO$55,3,FALSE))</f>
        <v>60</v>
      </c>
      <c r="G34" s="5">
        <f>(VLOOKUP('7.0.3'!O34,'7.0.3'!$AM$4:$AO$55,3,FALSE))</f>
        <v>0</v>
      </c>
      <c r="H34" s="5">
        <f>(VLOOKUP('7.0.3'!P34,'7.0.3'!$AM$4:$AO$55,3,FALSE))</f>
        <v>0</v>
      </c>
      <c r="I34" s="4">
        <f>(VLOOKUP('7.0.3'!Q34,'7.0.3'!$AM$4:$AO$55,3,FALSE))</f>
        <v>55</v>
      </c>
      <c r="J34" s="4">
        <f>(VLOOKUP('7.0.3'!R34,'7.0.3'!$AM$4:$AO$55,3,FALSE))</f>
        <v>55</v>
      </c>
      <c r="K34" s="4">
        <f>(VLOOKUP('7.0.3'!S34,'7.0.3'!$AM$4:$AO$55,3,FALSE))</f>
        <v>55</v>
      </c>
      <c r="L34" s="4">
        <f>(VLOOKUP('7.0.3'!T34,'7.0.3'!$AM$4:$AO$55,3,FALSE))</f>
        <v>55</v>
      </c>
      <c r="M34" s="4">
        <f>(VLOOKUP('7.0.3'!U34,'7.0.3'!$AM$4:$AO$55,3,FALSE))</f>
        <v>0</v>
      </c>
      <c r="N34" s="4">
        <f>(VLOOKUP('7.0.3'!V34,'7.0.3'!$AM$4:$AO$55,3,FALSE))</f>
        <v>0</v>
      </c>
      <c r="O34" s="5">
        <f>(VLOOKUP('7.0.3'!W34,'7.0.3'!$AM$4:$AO$55,3,FALSE))</f>
        <v>0</v>
      </c>
      <c r="P34" s="5">
        <f>(VLOOKUP('7.0.3'!X34,'7.0.3'!$AM$4:$AO$55,3,FALSE))</f>
        <v>0</v>
      </c>
      <c r="Q34" s="4">
        <f>(VLOOKUP('7.0.3'!Y34,'7.0.3'!$AM$4:$AO$55,3,FALSE))</f>
        <v>0</v>
      </c>
      <c r="R34" s="4">
        <f>(VLOOKUP('7.0.3'!Z34,'7.0.3'!$AM$4:$AO$55,3,FALSE))</f>
        <v>0</v>
      </c>
      <c r="S34" s="4">
        <f>(VLOOKUP('7.0.3'!AA34,'7.0.3'!$AM$4:$AO$55,3,FALSE))</f>
        <v>0</v>
      </c>
      <c r="T34" s="4">
        <f>(VLOOKUP('7.0.3'!AB34,'7.0.3'!$AM$4:$AO$55,3,FALSE))</f>
        <v>0</v>
      </c>
      <c r="U34" s="4">
        <f>(VLOOKUP('7.0.3'!AC34,'7.0.3'!$AM$4:$AO$55,3,FALSE))</f>
        <v>0</v>
      </c>
      <c r="V34" s="4">
        <f>(VLOOKUP('7.0.3'!AD34,'7.0.3'!$AM$4:$AO$55,3,FALSE))</f>
        <v>0</v>
      </c>
      <c r="W34" s="5">
        <f>(VLOOKUP('7.0.3'!AE34,'7.0.3'!$AM$4:$AO$55,3,FALSE))</f>
        <v>0</v>
      </c>
      <c r="X34" s="5">
        <f>(VLOOKUP('7.0.3'!AF34,'7.0.3'!$AM$4:$AO$55,3,FALSE))</f>
        <v>0</v>
      </c>
    </row>
    <row r="35" spans="1:24">
      <c r="A35" s="4">
        <f>(VLOOKUP('7.0.3'!I35,'7.0.3'!$AM$4:$AO$55,3,FALSE))</f>
        <v>1000</v>
      </c>
      <c r="B35" s="4">
        <f>(VLOOKUP('7.0.3'!J35,'7.0.3'!$AM$4:$AO$55,3,FALSE))</f>
        <v>60</v>
      </c>
      <c r="C35" s="4">
        <f>(VLOOKUP('7.0.3'!K35,'7.0.3'!$AM$4:$AO$55,3,FALSE))</f>
        <v>60</v>
      </c>
      <c r="D35" s="4">
        <f>(VLOOKUP('7.0.3'!L35,'7.0.3'!$AM$4:$AO$55,3,FALSE))</f>
        <v>60</v>
      </c>
      <c r="E35" s="4">
        <f>(VLOOKUP('7.0.3'!M35,'7.0.3'!$AM$4:$AO$55,3,FALSE))</f>
        <v>0</v>
      </c>
      <c r="F35" s="4">
        <f>(VLOOKUP('7.0.3'!N35,'7.0.3'!$AM$4:$AO$55,3,FALSE))</f>
        <v>0</v>
      </c>
      <c r="G35" s="5">
        <f>(VLOOKUP('7.0.3'!O35,'7.0.3'!$AM$4:$AO$55,3,FALSE))</f>
        <v>0</v>
      </c>
      <c r="H35" s="5">
        <f>(VLOOKUP('7.0.3'!P35,'7.0.3'!$AM$4:$AO$55,3,FALSE))</f>
        <v>0</v>
      </c>
      <c r="I35" s="4">
        <f>(VLOOKUP('7.0.3'!Q35,'7.0.3'!$AM$4:$AO$55,3,FALSE))</f>
        <v>55</v>
      </c>
      <c r="J35" s="4">
        <f>(VLOOKUP('7.0.3'!R35,'7.0.3'!$AM$4:$AO$55,3,FALSE))</f>
        <v>55</v>
      </c>
      <c r="K35" s="4">
        <f>(VLOOKUP('7.0.3'!S35,'7.0.3'!$AM$4:$AO$55,3,FALSE))</f>
        <v>55</v>
      </c>
      <c r="L35" s="4">
        <f>(VLOOKUP('7.0.3'!T35,'7.0.3'!$AM$4:$AO$55,3,FALSE))</f>
        <v>55</v>
      </c>
      <c r="M35" s="4">
        <f>(VLOOKUP('7.0.3'!U35,'7.0.3'!$AM$4:$AO$55,3,FALSE))</f>
        <v>55</v>
      </c>
      <c r="N35" s="4">
        <f>(VLOOKUP('7.0.3'!V35,'7.0.3'!$AM$4:$AO$55,3,FALSE))</f>
        <v>55</v>
      </c>
      <c r="O35" s="5">
        <f>(VLOOKUP('7.0.3'!W35,'7.0.3'!$AM$4:$AO$55,3,FALSE))</f>
        <v>0</v>
      </c>
      <c r="P35" s="5">
        <f>(VLOOKUP('7.0.3'!X35,'7.0.3'!$AM$4:$AO$55,3,FALSE))</f>
        <v>0</v>
      </c>
      <c r="Q35" s="4">
        <f>(VLOOKUP('7.0.3'!Y35,'7.0.3'!$AM$4:$AO$55,3,FALSE))</f>
        <v>0</v>
      </c>
      <c r="R35" s="4">
        <f>(VLOOKUP('7.0.3'!Z35,'7.0.3'!$AM$4:$AO$55,3,FALSE))</f>
        <v>0</v>
      </c>
      <c r="S35" s="4">
        <f>(VLOOKUP('7.0.3'!AA35,'7.0.3'!$AM$4:$AO$55,3,FALSE))</f>
        <v>0</v>
      </c>
      <c r="T35" s="4">
        <f>(VLOOKUP('7.0.3'!AB35,'7.0.3'!$AM$4:$AO$55,3,FALSE))</f>
        <v>0</v>
      </c>
      <c r="U35" s="4">
        <f>(VLOOKUP('7.0.3'!AC35,'7.0.3'!$AM$4:$AO$55,3,FALSE))</f>
        <v>0</v>
      </c>
      <c r="V35" s="4">
        <f>(VLOOKUP('7.0.3'!AD35,'7.0.3'!$AM$4:$AO$55,3,FALSE))</f>
        <v>0</v>
      </c>
      <c r="W35" s="5">
        <f>(VLOOKUP('7.0.3'!AE35,'7.0.3'!$AM$4:$AO$55,3,FALSE))</f>
        <v>0</v>
      </c>
      <c r="X35" s="5">
        <f>(VLOOKUP('7.0.3'!AF35,'7.0.3'!$AM$4:$AO$55,3,FALSE))</f>
        <v>0</v>
      </c>
    </row>
    <row r="36" spans="1:24">
      <c r="A36" s="4">
        <f>(VLOOKUP('7.0.3'!I36,'7.0.3'!$AM$4:$AO$55,3,FALSE))</f>
        <v>60</v>
      </c>
      <c r="B36" s="4">
        <f>(VLOOKUP('7.0.3'!J36,'7.0.3'!$AM$4:$AO$55,3,FALSE))</f>
        <v>60</v>
      </c>
      <c r="C36" s="4">
        <f>(VLOOKUP('7.0.3'!K36,'7.0.3'!$AM$4:$AO$55,3,FALSE))</f>
        <v>60</v>
      </c>
      <c r="D36" s="4">
        <f>(VLOOKUP('7.0.3'!L36,'7.0.3'!$AM$4:$AO$55,3,FALSE))</f>
        <v>60</v>
      </c>
      <c r="E36" s="4">
        <f>(VLOOKUP('7.0.3'!M36,'7.0.3'!$AM$4:$AO$55,3,FALSE))</f>
        <v>0</v>
      </c>
      <c r="F36" s="4">
        <f>(VLOOKUP('7.0.3'!N36,'7.0.3'!$AM$4:$AO$55,3,FALSE))</f>
        <v>0</v>
      </c>
      <c r="G36" s="5">
        <f>(VLOOKUP('7.0.3'!O36,'7.0.3'!$AM$4:$AO$55,3,FALSE))</f>
        <v>0</v>
      </c>
      <c r="H36" s="5">
        <f>(VLOOKUP('7.0.3'!P36,'7.0.3'!$AM$4:$AO$55,3,FALSE))</f>
        <v>0</v>
      </c>
      <c r="I36" s="4">
        <f>(VLOOKUP('7.0.3'!Q36,'7.0.3'!$AM$4:$AO$55,3,FALSE))</f>
        <v>55</v>
      </c>
      <c r="J36" s="4">
        <f>(VLOOKUP('7.0.3'!R36,'7.0.3'!$AM$4:$AO$55,3,FALSE))</f>
        <v>55</v>
      </c>
      <c r="K36" s="4">
        <f>(VLOOKUP('7.0.3'!S36,'7.0.3'!$AM$4:$AO$55,3,FALSE))</f>
        <v>55</v>
      </c>
      <c r="L36" s="4">
        <f>(VLOOKUP('7.0.3'!T36,'7.0.3'!$AM$4:$AO$55,3,FALSE))</f>
        <v>55</v>
      </c>
      <c r="M36" s="4">
        <f>(VLOOKUP('7.0.3'!U36,'7.0.3'!$AM$4:$AO$55,3,FALSE))</f>
        <v>55</v>
      </c>
      <c r="N36" s="4">
        <f>(VLOOKUP('7.0.3'!V36,'7.0.3'!$AM$4:$AO$55,3,FALSE))</f>
        <v>520</v>
      </c>
      <c r="O36" s="5">
        <f>(VLOOKUP('7.0.3'!W36,'7.0.3'!$AM$4:$AO$55,3,FALSE))</f>
        <v>55</v>
      </c>
      <c r="P36" s="5">
        <f>(VLOOKUP('7.0.3'!X36,'7.0.3'!$AM$4:$AO$55,3,FALSE))</f>
        <v>0</v>
      </c>
      <c r="Q36" s="4">
        <f>(VLOOKUP('7.0.3'!Y36,'7.0.3'!$AM$4:$AO$55,3,FALSE))</f>
        <v>0</v>
      </c>
      <c r="R36" s="4">
        <f>(VLOOKUP('7.0.3'!Z36,'7.0.3'!$AM$4:$AO$55,3,FALSE))</f>
        <v>0</v>
      </c>
      <c r="S36" s="4">
        <f>(VLOOKUP('7.0.3'!AA36,'7.0.3'!$AM$4:$AO$55,3,FALSE))</f>
        <v>0</v>
      </c>
      <c r="T36" s="4">
        <f>(VLOOKUP('7.0.3'!AB36,'7.0.3'!$AM$4:$AO$55,3,FALSE))</f>
        <v>0</v>
      </c>
      <c r="U36" s="4">
        <f>(VLOOKUP('7.0.3'!AC36,'7.0.3'!$AM$4:$AO$55,3,FALSE))</f>
        <v>0</v>
      </c>
      <c r="V36" s="4">
        <f>(VLOOKUP('7.0.3'!AD36,'7.0.3'!$AM$4:$AO$55,3,FALSE))</f>
        <v>0</v>
      </c>
      <c r="W36" s="5">
        <f>(VLOOKUP('7.0.3'!AE36,'7.0.3'!$AM$4:$AO$55,3,FALSE))</f>
        <v>0</v>
      </c>
      <c r="X36" s="5">
        <f>(VLOOKUP('7.0.3'!AF36,'7.0.3'!$AM$4:$AO$55,3,FALSE))</f>
        <v>0</v>
      </c>
    </row>
    <row r="37" spans="1:24">
      <c r="A37" s="4">
        <f>(VLOOKUP('7.0.3'!I37,'7.0.3'!$AM$4:$AO$55,3,FALSE))</f>
        <v>60</v>
      </c>
      <c r="B37" s="4">
        <f>(VLOOKUP('7.0.3'!J37,'7.0.3'!$AM$4:$AO$55,3,FALSE))</f>
        <v>60</v>
      </c>
      <c r="C37" s="4">
        <f>(VLOOKUP('7.0.3'!K37,'7.0.3'!$AM$4:$AO$55,3,FALSE))</f>
        <v>60</v>
      </c>
      <c r="D37" s="4">
        <f>(VLOOKUP('7.0.3'!L37,'7.0.3'!$AM$4:$AO$55,3,FALSE))</f>
        <v>60</v>
      </c>
      <c r="E37" s="4">
        <f>(VLOOKUP('7.0.3'!M37,'7.0.3'!$AM$4:$AO$55,3,FALSE))</f>
        <v>60</v>
      </c>
      <c r="F37" s="4">
        <f>(VLOOKUP('7.0.3'!N37,'7.0.3'!$AM$4:$AO$55,3,FALSE))</f>
        <v>0</v>
      </c>
      <c r="G37" s="5">
        <f>(VLOOKUP('7.0.3'!O37,'7.0.3'!$AM$4:$AO$55,3,FALSE))</f>
        <v>0</v>
      </c>
      <c r="H37" s="5">
        <f>(VLOOKUP('7.0.3'!P37,'7.0.3'!$AM$4:$AO$55,3,FALSE))</f>
        <v>0</v>
      </c>
      <c r="I37" s="4">
        <f>(VLOOKUP('7.0.3'!Q37,'7.0.3'!$AM$4:$AO$55,3,FALSE))</f>
        <v>55</v>
      </c>
      <c r="J37" s="4">
        <f>(VLOOKUP('7.0.3'!R37,'7.0.3'!$AM$4:$AO$55,3,FALSE))</f>
        <v>55</v>
      </c>
      <c r="K37" s="4">
        <f>(VLOOKUP('7.0.3'!S37,'7.0.3'!$AM$4:$AO$55,3,FALSE))</f>
        <v>55</v>
      </c>
      <c r="L37" s="4">
        <f>(VLOOKUP('7.0.3'!T37,'7.0.3'!$AM$4:$AO$55,3,FALSE))</f>
        <v>55</v>
      </c>
      <c r="M37" s="4">
        <f>(VLOOKUP('7.0.3'!U37,'7.0.3'!$AM$4:$AO$55,3,FALSE))</f>
        <v>55</v>
      </c>
      <c r="N37" s="4">
        <f>(VLOOKUP('7.0.3'!V37,'7.0.3'!$AM$4:$AO$55,3,FALSE))</f>
        <v>55</v>
      </c>
      <c r="O37" s="5">
        <f>(VLOOKUP('7.0.3'!W37,'7.0.3'!$AM$4:$AO$55,3,FALSE))</f>
        <v>0</v>
      </c>
      <c r="P37" s="5">
        <f>(VLOOKUP('7.0.3'!X37,'7.0.3'!$AM$4:$AO$55,3,FALSE))</f>
        <v>0</v>
      </c>
      <c r="Q37" s="4">
        <f>(VLOOKUP('7.0.3'!Y37,'7.0.3'!$AM$4:$AO$55,3,FALSE))</f>
        <v>0</v>
      </c>
      <c r="R37" s="4">
        <f>(VLOOKUP('7.0.3'!Z37,'7.0.3'!$AM$4:$AO$55,3,FALSE))</f>
        <v>0</v>
      </c>
      <c r="S37" s="4">
        <f>(VLOOKUP('7.0.3'!AA37,'7.0.3'!$AM$4:$AO$55,3,FALSE))</f>
        <v>0</v>
      </c>
      <c r="T37" s="4">
        <f>(VLOOKUP('7.0.3'!AB37,'7.0.3'!$AM$4:$AO$55,3,FALSE))</f>
        <v>0</v>
      </c>
      <c r="U37" s="4">
        <f>(VLOOKUP('7.0.3'!AC37,'7.0.3'!$AM$4:$AO$55,3,FALSE))</f>
        <v>0</v>
      </c>
      <c r="V37" s="4">
        <f>(VLOOKUP('7.0.3'!AD37,'7.0.3'!$AM$4:$AO$55,3,FALSE))</f>
        <v>0</v>
      </c>
      <c r="W37" s="5">
        <f>(VLOOKUP('7.0.3'!AE37,'7.0.3'!$AM$4:$AO$55,3,FALSE))</f>
        <v>0</v>
      </c>
      <c r="X37" s="5">
        <f>(VLOOKUP('7.0.3'!AF37,'7.0.3'!$AM$4:$AO$55,3,FALSE))</f>
        <v>0</v>
      </c>
    </row>
    <row r="38" spans="1:24">
      <c r="A38" s="4">
        <f>(VLOOKUP('7.0.3'!I38,'7.0.3'!$AM$4:$AO$55,3,FALSE))</f>
        <v>60</v>
      </c>
      <c r="B38" s="4">
        <f>(VLOOKUP('7.0.3'!J38,'7.0.3'!$AM$4:$AO$55,3,FALSE))</f>
        <v>60</v>
      </c>
      <c r="C38" s="4">
        <f>(VLOOKUP('7.0.3'!K38,'7.0.3'!$AM$4:$AO$55,3,FALSE))</f>
        <v>60</v>
      </c>
      <c r="D38" s="4">
        <f>(VLOOKUP('7.0.3'!L38,'7.0.3'!$AM$4:$AO$55,3,FALSE))</f>
        <v>60</v>
      </c>
      <c r="E38" s="4">
        <f>(VLOOKUP('7.0.3'!M38,'7.0.3'!$AM$4:$AO$55,3,FALSE))</f>
        <v>0</v>
      </c>
      <c r="F38" s="4">
        <f>(VLOOKUP('7.0.3'!N38,'7.0.3'!$AM$4:$AO$55,3,FALSE))</f>
        <v>0</v>
      </c>
      <c r="G38" s="5">
        <f>(VLOOKUP('7.0.3'!O38,'7.0.3'!$AM$4:$AO$55,3,FALSE))</f>
        <v>0</v>
      </c>
      <c r="H38" s="5">
        <f>(VLOOKUP('7.0.3'!P38,'7.0.3'!$AM$4:$AO$55,3,FALSE))</f>
        <v>0</v>
      </c>
      <c r="I38" s="4">
        <f>(VLOOKUP('7.0.3'!Q38,'7.0.3'!$AM$4:$AO$55,3,FALSE))</f>
        <v>55</v>
      </c>
      <c r="J38" s="4">
        <f>(VLOOKUP('7.0.3'!R38,'7.0.3'!$AM$4:$AO$55,3,FALSE))</f>
        <v>55</v>
      </c>
      <c r="K38" s="4">
        <f>(VLOOKUP('7.0.3'!S38,'7.0.3'!$AM$4:$AO$55,3,FALSE))</f>
        <v>55</v>
      </c>
      <c r="L38" s="4">
        <f>(VLOOKUP('7.0.3'!T38,'7.0.3'!$AM$4:$AO$55,3,FALSE))</f>
        <v>55</v>
      </c>
      <c r="M38" s="4">
        <f>(VLOOKUP('7.0.3'!U38,'7.0.3'!$AM$4:$AO$55,3,FALSE))</f>
        <v>55</v>
      </c>
      <c r="N38" s="4">
        <f>(VLOOKUP('7.0.3'!V38,'7.0.3'!$AM$4:$AO$55,3,FALSE))</f>
        <v>55</v>
      </c>
      <c r="O38" s="5">
        <f>(VLOOKUP('7.0.3'!W38,'7.0.3'!$AM$4:$AO$55,3,FALSE))</f>
        <v>0</v>
      </c>
      <c r="P38" s="5">
        <f>(VLOOKUP('7.0.3'!X38,'7.0.3'!$AM$4:$AO$55,3,FALSE))</f>
        <v>0</v>
      </c>
      <c r="Q38" s="4">
        <f>(VLOOKUP('7.0.3'!Y38,'7.0.3'!$AM$4:$AO$55,3,FALSE))</f>
        <v>0</v>
      </c>
      <c r="R38" s="4">
        <f>(VLOOKUP('7.0.3'!Z38,'7.0.3'!$AM$4:$AO$55,3,FALSE))</f>
        <v>0</v>
      </c>
      <c r="S38" s="4">
        <f>(VLOOKUP('7.0.3'!AA38,'7.0.3'!$AM$4:$AO$55,3,FALSE))</f>
        <v>0</v>
      </c>
      <c r="T38" s="4">
        <f>(VLOOKUP('7.0.3'!AB38,'7.0.3'!$AM$4:$AO$55,3,FALSE))</f>
        <v>0</v>
      </c>
      <c r="U38" s="4">
        <f>(VLOOKUP('7.0.3'!AC38,'7.0.3'!$AM$4:$AO$55,3,FALSE))</f>
        <v>0</v>
      </c>
      <c r="V38" s="4">
        <f>(VLOOKUP('7.0.3'!AD38,'7.0.3'!$AM$4:$AO$55,3,FALSE))</f>
        <v>0</v>
      </c>
      <c r="W38" s="5">
        <f>(VLOOKUP('7.0.3'!AE38,'7.0.3'!$AM$4:$AO$55,3,FALSE))</f>
        <v>0</v>
      </c>
      <c r="X38" s="5">
        <f>(VLOOKUP('7.0.3'!AF38,'7.0.3'!$AM$4:$AO$55,3,FALSE))</f>
        <v>0</v>
      </c>
    </row>
    <row r="39" spans="1:24">
      <c r="A39" s="4">
        <f>(VLOOKUP('7.0.3'!I39,'7.0.3'!$AM$4:$AO$55,3,FALSE))</f>
        <v>60</v>
      </c>
      <c r="B39" s="4">
        <f>(VLOOKUP('7.0.3'!J39,'7.0.3'!$AM$4:$AO$55,3,FALSE))</f>
        <v>60</v>
      </c>
      <c r="C39" s="4">
        <f>(VLOOKUP('7.0.3'!K39,'7.0.3'!$AM$4:$AO$55,3,FALSE))</f>
        <v>60</v>
      </c>
      <c r="D39" s="4">
        <f>(VLOOKUP('7.0.3'!L39,'7.0.3'!$AM$4:$AO$55,3,FALSE))</f>
        <v>60</v>
      </c>
      <c r="E39" s="4">
        <f>(VLOOKUP('7.0.3'!M39,'7.0.3'!$AM$4:$AO$55,3,FALSE))</f>
        <v>60</v>
      </c>
      <c r="F39" s="4">
        <f>(VLOOKUP('7.0.3'!N39,'7.0.3'!$AM$4:$AO$55,3,FALSE))</f>
        <v>0</v>
      </c>
      <c r="G39" s="5">
        <f>(VLOOKUP('7.0.3'!O39,'7.0.3'!$AM$4:$AO$55,3,FALSE))</f>
        <v>0</v>
      </c>
      <c r="H39" s="5">
        <f>(VLOOKUP('7.0.3'!P39,'7.0.3'!$AM$4:$AO$55,3,FALSE))</f>
        <v>0</v>
      </c>
      <c r="I39" s="4">
        <f>(VLOOKUP('7.0.3'!Q39,'7.0.3'!$AM$4:$AO$55,3,FALSE))</f>
        <v>55</v>
      </c>
      <c r="J39" s="4">
        <f>(VLOOKUP('7.0.3'!R39,'7.0.3'!$AM$4:$AO$55,3,FALSE))</f>
        <v>55</v>
      </c>
      <c r="K39" s="4">
        <f>(VLOOKUP('7.0.3'!S39,'7.0.3'!$AM$4:$AO$55,3,FALSE))</f>
        <v>55</v>
      </c>
      <c r="L39" s="4">
        <f>(VLOOKUP('7.0.3'!T39,'7.0.3'!$AM$4:$AO$55,3,FALSE))</f>
        <v>55</v>
      </c>
      <c r="M39" s="4">
        <f>(VLOOKUP('7.0.3'!U39,'7.0.3'!$AM$4:$AO$55,3,FALSE))</f>
        <v>55</v>
      </c>
      <c r="N39" s="4">
        <f>(VLOOKUP('7.0.3'!V39,'7.0.3'!$AM$4:$AO$55,3,FALSE))</f>
        <v>55</v>
      </c>
      <c r="O39" s="5">
        <f>(VLOOKUP('7.0.3'!W39,'7.0.3'!$AM$4:$AO$55,3,FALSE))</f>
        <v>0</v>
      </c>
      <c r="P39" s="5">
        <f>(VLOOKUP('7.0.3'!X39,'7.0.3'!$AM$4:$AO$55,3,FALSE))</f>
        <v>0</v>
      </c>
      <c r="Q39" s="4">
        <f>(VLOOKUP('7.0.3'!Y39,'7.0.3'!$AM$4:$AO$55,3,FALSE))</f>
        <v>0</v>
      </c>
      <c r="R39" s="4">
        <f>(VLOOKUP('7.0.3'!Z39,'7.0.3'!$AM$4:$AO$55,3,FALSE))</f>
        <v>0</v>
      </c>
      <c r="S39" s="4">
        <f>(VLOOKUP('7.0.3'!AA39,'7.0.3'!$AM$4:$AO$55,3,FALSE))</f>
        <v>0</v>
      </c>
      <c r="T39" s="4">
        <f>(VLOOKUP('7.0.3'!AB39,'7.0.3'!$AM$4:$AO$55,3,FALSE))</f>
        <v>0</v>
      </c>
      <c r="U39" s="4">
        <f>(VLOOKUP('7.0.3'!AC39,'7.0.3'!$AM$4:$AO$55,3,FALSE))</f>
        <v>0</v>
      </c>
      <c r="V39" s="4">
        <f>(VLOOKUP('7.0.3'!AD39,'7.0.3'!$AM$4:$AO$55,3,FALSE))</f>
        <v>0</v>
      </c>
      <c r="W39" s="5">
        <f>(VLOOKUP('7.0.3'!AE39,'7.0.3'!$AM$4:$AO$55,3,FALSE))</f>
        <v>0</v>
      </c>
      <c r="X39" s="5">
        <f>(VLOOKUP('7.0.3'!AF39,'7.0.3'!$AM$4:$AO$55,3,FALSE))</f>
        <v>0</v>
      </c>
    </row>
    <row r="40" spans="1:24">
      <c r="A40" s="4">
        <f>(VLOOKUP('7.0.3'!I40,'7.0.3'!$AM$4:$AO$55,3,FALSE))</f>
        <v>60</v>
      </c>
      <c r="B40" s="4">
        <f>(VLOOKUP('7.0.3'!J40,'7.0.3'!$AM$4:$AO$55,3,FALSE))</f>
        <v>60</v>
      </c>
      <c r="C40" s="4">
        <f>(VLOOKUP('7.0.3'!K40,'7.0.3'!$AM$4:$AO$55,3,FALSE))</f>
        <v>60</v>
      </c>
      <c r="D40" s="4">
        <f>(VLOOKUP('7.0.3'!L40,'7.0.3'!$AM$4:$AO$55,3,FALSE))</f>
        <v>0</v>
      </c>
      <c r="E40" s="4">
        <f>(VLOOKUP('7.0.3'!M40,'7.0.3'!$AM$4:$AO$55,3,FALSE))</f>
        <v>60</v>
      </c>
      <c r="F40" s="4">
        <f>(VLOOKUP('7.0.3'!N40,'7.0.3'!$AM$4:$AO$55,3,FALSE))</f>
        <v>55</v>
      </c>
      <c r="G40" s="5">
        <f>(VLOOKUP('7.0.3'!O40,'7.0.3'!$AM$4:$AO$55,3,FALSE))</f>
        <v>0</v>
      </c>
      <c r="H40" s="5">
        <f>(VLOOKUP('7.0.3'!P40,'7.0.3'!$AM$4:$AO$55,3,FALSE))</f>
        <v>0</v>
      </c>
      <c r="I40" s="4">
        <f>(VLOOKUP('7.0.3'!Q40,'7.0.3'!$AM$4:$AO$55,3,FALSE))</f>
        <v>55</v>
      </c>
      <c r="J40" s="4">
        <f>(VLOOKUP('7.0.3'!R40,'7.0.3'!$AM$4:$AO$55,3,FALSE))</f>
        <v>55</v>
      </c>
      <c r="K40" s="4">
        <f>(VLOOKUP('7.0.3'!S40,'7.0.3'!$AM$4:$AO$55,3,FALSE))</f>
        <v>55</v>
      </c>
      <c r="L40" s="4">
        <f>(VLOOKUP('7.0.3'!T40,'7.0.3'!$AM$4:$AO$55,3,FALSE))</f>
        <v>55</v>
      </c>
      <c r="M40" s="4">
        <f>(VLOOKUP('7.0.3'!U40,'7.0.3'!$AM$4:$AO$55,3,FALSE))</f>
        <v>55</v>
      </c>
      <c r="N40" s="4">
        <f>(VLOOKUP('7.0.3'!V40,'7.0.3'!$AM$4:$AO$55,3,FALSE))</f>
        <v>55</v>
      </c>
      <c r="O40" s="5">
        <f>(VLOOKUP('7.0.3'!W40,'7.0.3'!$AM$4:$AO$55,3,FALSE))</f>
        <v>0</v>
      </c>
      <c r="P40" s="5">
        <f>(VLOOKUP('7.0.3'!X40,'7.0.3'!$AM$4:$AO$55,3,FALSE))</f>
        <v>0</v>
      </c>
      <c r="Q40" s="4">
        <f>(VLOOKUP('7.0.3'!Y40,'7.0.3'!$AM$4:$AO$55,3,FALSE))</f>
        <v>0</v>
      </c>
      <c r="R40" s="4">
        <f>(VLOOKUP('7.0.3'!Z40,'7.0.3'!$AM$4:$AO$55,3,FALSE))</f>
        <v>0</v>
      </c>
      <c r="S40" s="4">
        <f>(VLOOKUP('7.0.3'!AA40,'7.0.3'!$AM$4:$AO$55,3,FALSE))</f>
        <v>0</v>
      </c>
      <c r="T40" s="4">
        <f>(VLOOKUP('7.0.3'!AB40,'7.0.3'!$AM$4:$AO$55,3,FALSE))</f>
        <v>0</v>
      </c>
      <c r="U40" s="4">
        <f>(VLOOKUP('7.0.3'!AC40,'7.0.3'!$AM$4:$AO$55,3,FALSE))</f>
        <v>0</v>
      </c>
      <c r="V40" s="4">
        <f>(VLOOKUP('7.0.3'!AD40,'7.0.3'!$AM$4:$AO$55,3,FALSE))</f>
        <v>0</v>
      </c>
      <c r="W40" s="5">
        <f>(VLOOKUP('7.0.3'!AE40,'7.0.3'!$AM$4:$AO$55,3,FALSE))</f>
        <v>0</v>
      </c>
      <c r="X40" s="5">
        <f>(VLOOKUP('7.0.3'!AF40,'7.0.3'!$AM$4:$AO$55,3,FALSE))</f>
        <v>0</v>
      </c>
    </row>
    <row r="41" spans="1:24">
      <c r="A41" s="4">
        <f>(VLOOKUP('7.0.3'!I41,'7.0.3'!$AM$4:$AO$55,3,FALSE))</f>
        <v>55</v>
      </c>
      <c r="B41" s="4">
        <f>(VLOOKUP('7.0.3'!J41,'7.0.3'!$AM$4:$AO$55,3,FALSE))</f>
        <v>55</v>
      </c>
      <c r="C41" s="4">
        <f>(VLOOKUP('7.0.3'!K41,'7.0.3'!$AM$4:$AO$55,3,FALSE))</f>
        <v>55</v>
      </c>
      <c r="D41" s="4">
        <f>(VLOOKUP('7.0.3'!L41,'7.0.3'!$AM$4:$AO$55,3,FALSE))</f>
        <v>55</v>
      </c>
      <c r="E41" s="4">
        <f>(VLOOKUP('7.0.3'!M41,'7.0.3'!$AM$4:$AO$55,3,FALSE))</f>
        <v>55</v>
      </c>
      <c r="F41" s="4">
        <f>(VLOOKUP('7.0.3'!N41,'7.0.3'!$AM$4:$AO$55,3,FALSE))</f>
        <v>0</v>
      </c>
      <c r="G41" s="5">
        <f>(VLOOKUP('7.0.3'!O41,'7.0.3'!$AM$4:$AO$55,3,FALSE))</f>
        <v>0</v>
      </c>
      <c r="H41" s="5">
        <f>(VLOOKUP('7.0.3'!P41,'7.0.3'!$AM$4:$AO$55,3,FALSE))</f>
        <v>0</v>
      </c>
      <c r="I41" s="4">
        <f>(VLOOKUP('7.0.3'!Q41,'7.0.3'!$AM$4:$AO$55,3,FALSE))</f>
        <v>55</v>
      </c>
      <c r="J41" s="4">
        <f>(VLOOKUP('7.0.3'!R41,'7.0.3'!$AM$4:$AO$55,3,FALSE))</f>
        <v>55</v>
      </c>
      <c r="K41" s="4">
        <f>(VLOOKUP('7.0.3'!S41,'7.0.3'!$AM$4:$AO$55,3,FALSE))</f>
        <v>55</v>
      </c>
      <c r="L41" s="4">
        <f>(VLOOKUP('7.0.3'!T41,'7.0.3'!$AM$4:$AO$55,3,FALSE))</f>
        <v>55</v>
      </c>
      <c r="M41" s="4">
        <f>(VLOOKUP('7.0.3'!U41,'7.0.3'!$AM$4:$AO$55,3,FALSE))</f>
        <v>55</v>
      </c>
      <c r="N41" s="4">
        <f>(VLOOKUP('7.0.3'!V41,'7.0.3'!$AM$4:$AO$55,3,FALSE))</f>
        <v>55</v>
      </c>
      <c r="O41" s="5">
        <f>(VLOOKUP('7.0.3'!W41,'7.0.3'!$AM$4:$AO$55,3,FALSE))</f>
        <v>0</v>
      </c>
      <c r="P41" s="5">
        <f>(VLOOKUP('7.0.3'!X41,'7.0.3'!$AM$4:$AO$55,3,FALSE))</f>
        <v>0</v>
      </c>
      <c r="Q41" s="4">
        <f>(VLOOKUP('7.0.3'!Y41,'7.0.3'!$AM$4:$AO$55,3,FALSE))</f>
        <v>0</v>
      </c>
      <c r="R41" s="4">
        <f>(VLOOKUP('7.0.3'!Z41,'7.0.3'!$AM$4:$AO$55,3,FALSE))</f>
        <v>0</v>
      </c>
      <c r="S41" s="4">
        <f>(VLOOKUP('7.0.3'!AA41,'7.0.3'!$AM$4:$AO$55,3,FALSE))</f>
        <v>0</v>
      </c>
      <c r="T41" s="4">
        <f>(VLOOKUP('7.0.3'!AB41,'7.0.3'!$AM$4:$AO$55,3,FALSE))</f>
        <v>0</v>
      </c>
      <c r="U41" s="4">
        <f>(VLOOKUP('7.0.3'!AC41,'7.0.3'!$AM$4:$AO$55,3,FALSE))</f>
        <v>0</v>
      </c>
      <c r="V41" s="4">
        <f>(VLOOKUP('7.0.3'!AD41,'7.0.3'!$AM$4:$AO$55,3,FALSE))</f>
        <v>0</v>
      </c>
      <c r="W41" s="5">
        <f>(VLOOKUP('7.0.3'!AE41,'7.0.3'!$AM$4:$AO$55,3,FALSE))</f>
        <v>0</v>
      </c>
      <c r="X41" s="5">
        <f>(VLOOKUP('7.0.3'!AF41,'7.0.3'!$AM$4:$AO$55,3,FALSE))</f>
        <v>0</v>
      </c>
    </row>
    <row r="42" spans="1:24">
      <c r="A42" s="4">
        <f>(VLOOKUP('7.0.3'!I42,'7.0.3'!$AM$4:$AO$55,3,FALSE))</f>
        <v>55</v>
      </c>
      <c r="B42" s="4">
        <f>(VLOOKUP('7.0.3'!J42,'7.0.3'!$AM$4:$AO$55,3,FALSE))</f>
        <v>55</v>
      </c>
      <c r="C42" s="4">
        <f>(VLOOKUP('7.0.3'!K42,'7.0.3'!$AM$4:$AO$55,3,FALSE))</f>
        <v>55</v>
      </c>
      <c r="D42" s="4">
        <f>(VLOOKUP('7.0.3'!L42,'7.0.3'!$AM$4:$AO$55,3,FALSE))</f>
        <v>55</v>
      </c>
      <c r="E42" s="4">
        <f>(VLOOKUP('7.0.3'!M42,'7.0.3'!$AM$4:$AO$55,3,FALSE))</f>
        <v>55</v>
      </c>
      <c r="F42" s="4">
        <f>(VLOOKUP('7.0.3'!N42,'7.0.3'!$AM$4:$AO$55,3,FALSE))</f>
        <v>30</v>
      </c>
      <c r="G42" s="5">
        <f>(VLOOKUP('7.0.3'!O42,'7.0.3'!$AM$4:$AO$55,3,FALSE))</f>
        <v>0</v>
      </c>
      <c r="H42" s="5">
        <f>(VLOOKUP('7.0.3'!P42,'7.0.3'!$AM$4:$AO$55,3,FALSE))</f>
        <v>0</v>
      </c>
      <c r="I42" s="4">
        <f>(VLOOKUP('7.0.3'!Q42,'7.0.3'!$AM$4:$AO$55,3,FALSE))</f>
        <v>30</v>
      </c>
      <c r="J42" s="4">
        <f>(VLOOKUP('7.0.3'!R42,'7.0.3'!$AM$4:$AO$55,3,FALSE))</f>
        <v>55</v>
      </c>
      <c r="K42" s="4">
        <f>(VLOOKUP('7.0.3'!S42,'7.0.3'!$AM$4:$AO$55,3,FALSE))</f>
        <v>55</v>
      </c>
      <c r="L42" s="4">
        <f>(VLOOKUP('7.0.3'!T42,'7.0.3'!$AM$4:$AO$55,3,FALSE))</f>
        <v>55</v>
      </c>
      <c r="M42" s="4">
        <f>(VLOOKUP('7.0.3'!U42,'7.0.3'!$AM$4:$AO$55,3,FALSE))</f>
        <v>55</v>
      </c>
      <c r="N42" s="4">
        <f>(VLOOKUP('7.0.3'!V42,'7.0.3'!$AM$4:$AO$55,3,FALSE))</f>
        <v>55</v>
      </c>
      <c r="O42" s="5">
        <f>(VLOOKUP('7.0.3'!W42,'7.0.3'!$AM$4:$AO$55,3,FALSE))</f>
        <v>0</v>
      </c>
      <c r="P42" s="5">
        <f>(VLOOKUP('7.0.3'!X42,'7.0.3'!$AM$4:$AO$55,3,FALSE))</f>
        <v>0</v>
      </c>
      <c r="Q42" s="4">
        <f>(VLOOKUP('7.0.3'!Y42,'7.0.3'!$AM$4:$AO$55,3,FALSE))</f>
        <v>0</v>
      </c>
      <c r="R42" s="4">
        <f>(VLOOKUP('7.0.3'!Z42,'7.0.3'!$AM$4:$AO$55,3,FALSE))</f>
        <v>0</v>
      </c>
      <c r="S42" s="4">
        <f>(VLOOKUP('7.0.3'!AA42,'7.0.3'!$AM$4:$AO$55,3,FALSE))</f>
        <v>0</v>
      </c>
      <c r="T42" s="4">
        <f>(VLOOKUP('7.0.3'!AB42,'7.0.3'!$AM$4:$AO$55,3,FALSE))</f>
        <v>0</v>
      </c>
      <c r="U42" s="4">
        <f>(VLOOKUP('7.0.3'!AC42,'7.0.3'!$AM$4:$AO$55,3,FALSE))</f>
        <v>0</v>
      </c>
      <c r="V42" s="4">
        <f>(VLOOKUP('7.0.3'!AD42,'7.0.3'!$AM$4:$AO$55,3,FALSE))</f>
        <v>0</v>
      </c>
      <c r="W42" s="5">
        <f>(VLOOKUP('7.0.3'!AE42,'7.0.3'!$AM$4:$AO$55,3,FALSE))</f>
        <v>0</v>
      </c>
      <c r="X42" s="5">
        <f>(VLOOKUP('7.0.3'!AF42,'7.0.3'!$AM$4:$AO$55,3,FALSE))</f>
        <v>0</v>
      </c>
    </row>
    <row r="43" spans="1:24">
      <c r="A43" s="4">
        <f>(VLOOKUP('7.0.3'!I43,'7.0.3'!$AM$4:$AO$55,3,FALSE))</f>
        <v>55</v>
      </c>
      <c r="B43" s="4">
        <f>(VLOOKUP('7.0.3'!J43,'7.0.3'!$AM$4:$AO$55,3,FALSE))</f>
        <v>55</v>
      </c>
      <c r="C43" s="4">
        <f>(VLOOKUP('7.0.3'!K43,'7.0.3'!$AM$4:$AO$55,3,FALSE))</f>
        <v>55</v>
      </c>
      <c r="D43" s="4">
        <f>(VLOOKUP('7.0.3'!L43,'7.0.3'!$AM$4:$AO$55,3,FALSE))</f>
        <v>55</v>
      </c>
      <c r="E43" s="4">
        <f>(VLOOKUP('7.0.3'!M43,'7.0.3'!$AM$4:$AO$55,3,FALSE))</f>
        <v>0</v>
      </c>
      <c r="F43" s="4">
        <f>(VLOOKUP('7.0.3'!N43,'7.0.3'!$AM$4:$AO$55,3,FALSE))</f>
        <v>0</v>
      </c>
      <c r="G43" s="5">
        <f>(VLOOKUP('7.0.3'!O43,'7.0.3'!$AM$4:$AO$55,3,FALSE))</f>
        <v>0</v>
      </c>
      <c r="H43" s="5">
        <f>(VLOOKUP('7.0.3'!P43,'7.0.3'!$AM$4:$AO$55,3,FALSE))</f>
        <v>0</v>
      </c>
      <c r="I43" s="4">
        <f>(VLOOKUP('7.0.3'!Q43,'7.0.3'!$AM$4:$AO$55,3,FALSE))</f>
        <v>55</v>
      </c>
      <c r="J43" s="4">
        <f>(VLOOKUP('7.0.3'!R43,'7.0.3'!$AM$4:$AO$55,3,FALSE))</f>
        <v>55</v>
      </c>
      <c r="K43" s="4">
        <f>(VLOOKUP('7.0.3'!S43,'7.0.3'!$AM$4:$AO$55,3,FALSE))</f>
        <v>55</v>
      </c>
      <c r="L43" s="4">
        <f>(VLOOKUP('7.0.3'!T43,'7.0.3'!$AM$4:$AO$55,3,FALSE))</f>
        <v>55</v>
      </c>
      <c r="M43" s="4">
        <f>(VLOOKUP('7.0.3'!U43,'7.0.3'!$AM$4:$AO$55,3,FALSE))</f>
        <v>55</v>
      </c>
      <c r="N43" s="4">
        <f>(VLOOKUP('7.0.3'!V43,'7.0.3'!$AM$4:$AO$55,3,FALSE))</f>
        <v>55</v>
      </c>
      <c r="O43" s="5">
        <f>(VLOOKUP('7.0.3'!W43,'7.0.3'!$AM$4:$AO$55,3,FALSE))</f>
        <v>0</v>
      </c>
      <c r="P43" s="5">
        <f>(VLOOKUP('7.0.3'!X43,'7.0.3'!$AM$4:$AO$55,3,FALSE))</f>
        <v>0</v>
      </c>
      <c r="Q43" s="4">
        <f>(VLOOKUP('7.0.3'!Y43,'7.0.3'!$AM$4:$AO$55,3,FALSE))</f>
        <v>0</v>
      </c>
      <c r="R43" s="4">
        <f>(VLOOKUP('7.0.3'!Z43,'7.0.3'!$AM$4:$AO$55,3,FALSE))</f>
        <v>0</v>
      </c>
      <c r="S43" s="4">
        <f>(VLOOKUP('7.0.3'!AA43,'7.0.3'!$AM$4:$AO$55,3,FALSE))</f>
        <v>0</v>
      </c>
      <c r="T43" s="4">
        <f>(VLOOKUP('7.0.3'!AB43,'7.0.3'!$AM$4:$AO$55,3,FALSE))</f>
        <v>0</v>
      </c>
      <c r="U43" s="4">
        <f>(VLOOKUP('7.0.3'!AC43,'7.0.3'!$AM$4:$AO$55,3,FALSE))</f>
        <v>0</v>
      </c>
      <c r="V43" s="4">
        <f>(VLOOKUP('7.0.3'!AD43,'7.0.3'!$AM$4:$AO$55,3,FALSE))</f>
        <v>0</v>
      </c>
      <c r="W43" s="5">
        <f>(VLOOKUP('7.0.3'!AE43,'7.0.3'!$AM$4:$AO$55,3,FALSE))</f>
        <v>0</v>
      </c>
      <c r="X43" s="5">
        <f>(VLOOKUP('7.0.3'!AF43,'7.0.3'!$AM$4:$AO$55,3,FALSE))</f>
        <v>0</v>
      </c>
    </row>
    <row r="44" spans="1:24">
      <c r="A44" s="4">
        <f>(VLOOKUP('7.0.3'!I44,'7.0.3'!$AM$4:$AO$55,3,FALSE))</f>
        <v>55</v>
      </c>
      <c r="B44" s="4">
        <f>(VLOOKUP('7.0.3'!J44,'7.0.3'!$AM$4:$AO$55,3,FALSE))</f>
        <v>55</v>
      </c>
      <c r="C44" s="4">
        <f>(VLOOKUP('7.0.3'!K44,'7.0.3'!$AM$4:$AO$55,3,FALSE))</f>
        <v>55</v>
      </c>
      <c r="D44" s="4">
        <f>(VLOOKUP('7.0.3'!L44,'7.0.3'!$AM$4:$AO$55,3,FALSE))</f>
        <v>55</v>
      </c>
      <c r="E44" s="4">
        <f>(VLOOKUP('7.0.3'!M44,'7.0.3'!$AM$4:$AO$55,3,FALSE))</f>
        <v>55</v>
      </c>
      <c r="F44" s="4">
        <f>(VLOOKUP('7.0.3'!N44,'7.0.3'!$AM$4:$AO$55,3,FALSE))</f>
        <v>0</v>
      </c>
      <c r="G44" s="5">
        <f>(VLOOKUP('7.0.3'!O44,'7.0.3'!$AM$4:$AO$55,3,FALSE))</f>
        <v>0</v>
      </c>
      <c r="H44" s="5">
        <f>(VLOOKUP('7.0.3'!P44,'7.0.3'!$AM$4:$AO$55,3,FALSE))</f>
        <v>0</v>
      </c>
      <c r="I44" s="4">
        <f>(VLOOKUP('7.0.3'!Q44,'7.0.3'!$AM$4:$AO$55,3,FALSE))</f>
        <v>55</v>
      </c>
      <c r="J44" s="4">
        <f>(VLOOKUP('7.0.3'!R44,'7.0.3'!$AM$4:$AO$55,3,FALSE))</f>
        <v>55</v>
      </c>
      <c r="K44" s="4">
        <f>(VLOOKUP('7.0.3'!S44,'7.0.3'!$AM$4:$AO$55,3,FALSE))</f>
        <v>55</v>
      </c>
      <c r="L44" s="4">
        <f>(VLOOKUP('7.0.3'!T44,'7.0.3'!$AM$4:$AO$55,3,FALSE))</f>
        <v>55</v>
      </c>
      <c r="M44" s="4">
        <f>(VLOOKUP('7.0.3'!U44,'7.0.3'!$AM$4:$AO$55,3,FALSE))</f>
        <v>55</v>
      </c>
      <c r="N44" s="4">
        <f>(VLOOKUP('7.0.3'!V44,'7.0.3'!$AM$4:$AO$55,3,FALSE))</f>
        <v>55</v>
      </c>
      <c r="O44" s="5">
        <f>(VLOOKUP('7.0.3'!W44,'7.0.3'!$AM$4:$AO$55,3,FALSE))</f>
        <v>0</v>
      </c>
      <c r="P44" s="5">
        <f>(VLOOKUP('7.0.3'!X44,'7.0.3'!$AM$4:$AO$55,3,FALSE))</f>
        <v>0</v>
      </c>
      <c r="Q44" s="4">
        <f>(VLOOKUP('7.0.3'!Y44,'7.0.3'!$AM$4:$AO$55,3,FALSE))</f>
        <v>0</v>
      </c>
      <c r="R44" s="4">
        <f>(VLOOKUP('7.0.3'!Z44,'7.0.3'!$AM$4:$AO$55,3,FALSE))</f>
        <v>0</v>
      </c>
      <c r="S44" s="4">
        <f>(VLOOKUP('7.0.3'!AA44,'7.0.3'!$AM$4:$AO$55,3,FALSE))</f>
        <v>0</v>
      </c>
      <c r="T44" s="4">
        <f>(VLOOKUP('7.0.3'!AB44,'7.0.3'!$AM$4:$AO$55,3,FALSE))</f>
        <v>0</v>
      </c>
      <c r="U44" s="4">
        <f>(VLOOKUP('7.0.3'!AC44,'7.0.3'!$AM$4:$AO$55,3,FALSE))</f>
        <v>0</v>
      </c>
      <c r="V44" s="4">
        <f>(VLOOKUP('7.0.3'!AD44,'7.0.3'!$AM$4:$AO$55,3,FALSE))</f>
        <v>0</v>
      </c>
      <c r="W44" s="5">
        <f>(VLOOKUP('7.0.3'!AE44,'7.0.3'!$AM$4:$AO$55,3,FALSE))</f>
        <v>0</v>
      </c>
      <c r="X44" s="5">
        <f>(VLOOKUP('7.0.3'!AF44,'7.0.3'!$AM$4:$AO$55,3,FALSE))</f>
        <v>0</v>
      </c>
    </row>
    <row r="45" spans="1:24">
      <c r="A45" s="4">
        <f>(VLOOKUP('7.0.3'!I45,'7.0.3'!$AM$4:$AO$55,3,FALSE))</f>
        <v>55</v>
      </c>
      <c r="B45" s="4">
        <f>(VLOOKUP('7.0.3'!J45,'7.0.3'!$AM$4:$AO$55,3,FALSE))</f>
        <v>55</v>
      </c>
      <c r="C45" s="4">
        <f>(VLOOKUP('7.0.3'!K45,'7.0.3'!$AM$4:$AO$55,3,FALSE))</f>
        <v>55</v>
      </c>
      <c r="D45" s="4">
        <f>(VLOOKUP('7.0.3'!L45,'7.0.3'!$AM$4:$AO$55,3,FALSE))</f>
        <v>55</v>
      </c>
      <c r="E45" s="4">
        <f>(VLOOKUP('7.0.3'!M45,'7.0.3'!$AM$4:$AO$55,3,FALSE))</f>
        <v>0</v>
      </c>
      <c r="F45" s="4">
        <f>(VLOOKUP('7.0.3'!N45,'7.0.3'!$AM$4:$AO$55,3,FALSE))</f>
        <v>0</v>
      </c>
      <c r="G45" s="5">
        <f>(VLOOKUP('7.0.3'!O45,'7.0.3'!$AM$4:$AO$55,3,FALSE))</f>
        <v>0</v>
      </c>
      <c r="H45" s="5">
        <f>(VLOOKUP('7.0.3'!P45,'7.0.3'!$AM$4:$AO$55,3,FALSE))</f>
        <v>0</v>
      </c>
      <c r="I45" s="4">
        <f>(VLOOKUP('7.0.3'!Q45,'7.0.3'!$AM$4:$AO$55,3,FALSE))</f>
        <v>60</v>
      </c>
      <c r="J45" s="4">
        <f>(VLOOKUP('7.0.3'!R45,'7.0.3'!$AM$4:$AO$55,3,FALSE))</f>
        <v>60</v>
      </c>
      <c r="K45" s="4">
        <f>(VLOOKUP('7.0.3'!S45,'7.0.3'!$AM$4:$AO$55,3,FALSE))</f>
        <v>60</v>
      </c>
      <c r="L45" s="4">
        <f>(VLOOKUP('7.0.3'!T45,'7.0.3'!$AM$4:$AO$55,3,FALSE))</f>
        <v>60</v>
      </c>
      <c r="M45" s="4">
        <f>(VLOOKUP('7.0.3'!U45,'7.0.3'!$AM$4:$AO$55,3,FALSE))</f>
        <v>60</v>
      </c>
      <c r="N45" s="4">
        <f>(VLOOKUP('7.0.3'!V45,'7.0.3'!$AM$4:$AO$55,3,FALSE))</f>
        <v>60</v>
      </c>
      <c r="O45" s="5">
        <f>(VLOOKUP('7.0.3'!W45,'7.0.3'!$AM$4:$AO$55,3,FALSE))</f>
        <v>0</v>
      </c>
      <c r="P45" s="5">
        <f>(VLOOKUP('7.0.3'!X45,'7.0.3'!$AM$4:$AO$55,3,FALSE))</f>
        <v>0</v>
      </c>
      <c r="Q45" s="4">
        <f>(VLOOKUP('7.0.3'!Y45,'7.0.3'!$AM$4:$AO$55,3,FALSE))</f>
        <v>0</v>
      </c>
      <c r="R45" s="4">
        <f>(VLOOKUP('7.0.3'!Z45,'7.0.3'!$AM$4:$AO$55,3,FALSE))</f>
        <v>0</v>
      </c>
      <c r="S45" s="4">
        <f>(VLOOKUP('7.0.3'!AA45,'7.0.3'!$AM$4:$AO$55,3,FALSE))</f>
        <v>0</v>
      </c>
      <c r="T45" s="4">
        <f>(VLOOKUP('7.0.3'!AB45,'7.0.3'!$AM$4:$AO$55,3,FALSE))</f>
        <v>0</v>
      </c>
      <c r="U45" s="4">
        <f>(VLOOKUP('7.0.3'!AC45,'7.0.3'!$AM$4:$AO$55,3,FALSE))</f>
        <v>0</v>
      </c>
      <c r="V45" s="4">
        <f>(VLOOKUP('7.0.3'!AD45,'7.0.3'!$AM$4:$AO$55,3,FALSE))</f>
        <v>0</v>
      </c>
      <c r="W45" s="5">
        <f>(VLOOKUP('7.0.3'!AE45,'7.0.3'!$AM$4:$AO$55,3,FALSE))</f>
        <v>0</v>
      </c>
      <c r="X45" s="5">
        <f>(VLOOKUP('7.0.3'!AF45,'7.0.3'!$AM$4:$AO$55,3,FALSE))</f>
        <v>0</v>
      </c>
    </row>
    <row r="46" spans="1:24">
      <c r="A46" s="4">
        <f>(VLOOKUP('7.0.3'!I46,'7.0.3'!$AM$4:$AO$55,3,FALSE))</f>
        <v>55</v>
      </c>
      <c r="B46" s="4">
        <f>(VLOOKUP('7.0.3'!J46,'7.0.3'!$AM$4:$AO$55,3,FALSE))</f>
        <v>55</v>
      </c>
      <c r="C46" s="4">
        <f>(VLOOKUP('7.0.3'!K46,'7.0.3'!$AM$4:$AO$55,3,FALSE))</f>
        <v>55</v>
      </c>
      <c r="D46" s="4">
        <f>(VLOOKUP('7.0.3'!L46,'7.0.3'!$AM$4:$AO$55,3,FALSE))</f>
        <v>55</v>
      </c>
      <c r="E46" s="4">
        <f>(VLOOKUP('7.0.3'!M46,'7.0.3'!$AM$4:$AO$55,3,FALSE))</f>
        <v>0</v>
      </c>
      <c r="F46" s="4">
        <f>(VLOOKUP('7.0.3'!N46,'7.0.3'!$AM$4:$AO$55,3,FALSE))</f>
        <v>0</v>
      </c>
      <c r="G46" s="5">
        <f>(VLOOKUP('7.0.3'!O46,'7.0.3'!$AM$4:$AO$55,3,FALSE))</f>
        <v>0</v>
      </c>
      <c r="H46" s="5">
        <f>(VLOOKUP('7.0.3'!P46,'7.0.3'!$AM$4:$AO$55,3,FALSE))</f>
        <v>0</v>
      </c>
      <c r="I46" s="4">
        <f>(VLOOKUP('7.0.3'!Q46,'7.0.3'!$AM$4:$AO$55,3,FALSE))</f>
        <v>60</v>
      </c>
      <c r="J46" s="4">
        <f>(VLOOKUP('7.0.3'!R46,'7.0.3'!$AM$4:$AO$55,3,FALSE))</f>
        <v>60</v>
      </c>
      <c r="K46" s="4">
        <f>(VLOOKUP('7.0.3'!S46,'7.0.3'!$AM$4:$AO$55,3,FALSE))</f>
        <v>60</v>
      </c>
      <c r="L46" s="4">
        <f>(VLOOKUP('7.0.3'!T46,'7.0.3'!$AM$4:$AO$55,3,FALSE))</f>
        <v>60</v>
      </c>
      <c r="M46" s="4">
        <f>(VLOOKUP('7.0.3'!U46,'7.0.3'!$AM$4:$AO$55,3,FALSE))</f>
        <v>60</v>
      </c>
      <c r="N46" s="4">
        <f>(VLOOKUP('7.0.3'!V46,'7.0.3'!$AM$4:$AO$55,3,FALSE))</f>
        <v>60</v>
      </c>
      <c r="O46" s="5">
        <f>(VLOOKUP('7.0.3'!W46,'7.0.3'!$AM$4:$AO$55,3,FALSE))</f>
        <v>0</v>
      </c>
      <c r="P46" s="5">
        <f>(VLOOKUP('7.0.3'!X46,'7.0.3'!$AM$4:$AO$55,3,FALSE))</f>
        <v>0</v>
      </c>
      <c r="Q46" s="4">
        <f>(VLOOKUP('7.0.3'!Y46,'7.0.3'!$AM$4:$AO$55,3,FALSE))</f>
        <v>0</v>
      </c>
      <c r="R46" s="4">
        <f>(VLOOKUP('7.0.3'!Z46,'7.0.3'!$AM$4:$AO$55,3,FALSE))</f>
        <v>0</v>
      </c>
      <c r="S46" s="4">
        <f>(VLOOKUP('7.0.3'!AA46,'7.0.3'!$AM$4:$AO$55,3,FALSE))</f>
        <v>0</v>
      </c>
      <c r="T46" s="4">
        <f>(VLOOKUP('7.0.3'!AB46,'7.0.3'!$AM$4:$AO$55,3,FALSE))</f>
        <v>0</v>
      </c>
      <c r="U46" s="4">
        <f>(VLOOKUP('7.0.3'!AC46,'7.0.3'!$AM$4:$AO$55,3,FALSE))</f>
        <v>0</v>
      </c>
      <c r="V46" s="4">
        <f>(VLOOKUP('7.0.3'!AD46,'7.0.3'!$AM$4:$AO$55,3,FALSE))</f>
        <v>0</v>
      </c>
      <c r="W46" s="5">
        <f>(VLOOKUP('7.0.3'!AE46,'7.0.3'!$AM$4:$AO$55,3,FALSE))</f>
        <v>0</v>
      </c>
      <c r="X46" s="5">
        <f>(VLOOKUP('7.0.3'!AF46,'7.0.3'!$AM$4:$AO$55,3,FALSE))</f>
        <v>0</v>
      </c>
    </row>
    <row r="47" spans="1:24">
      <c r="A47" s="4">
        <f>(VLOOKUP('7.0.3'!I47,'7.0.3'!$AM$4:$AO$55,3,FALSE))</f>
        <v>55</v>
      </c>
      <c r="B47" s="4">
        <f>(VLOOKUP('7.0.3'!J47,'7.0.3'!$AM$4:$AO$55,3,FALSE))</f>
        <v>520</v>
      </c>
      <c r="C47" s="4">
        <f>(VLOOKUP('7.0.3'!K47,'7.0.3'!$AM$4:$AO$55,3,FALSE))</f>
        <v>55</v>
      </c>
      <c r="D47" s="4">
        <f>(VLOOKUP('7.0.3'!L47,'7.0.3'!$AM$4:$AO$55,3,FALSE))</f>
        <v>55</v>
      </c>
      <c r="E47" s="4">
        <f>(VLOOKUP('7.0.3'!M47,'7.0.3'!$AM$4:$AO$55,3,FALSE))</f>
        <v>55</v>
      </c>
      <c r="F47" s="4">
        <f>(VLOOKUP('7.0.3'!N47,'7.0.3'!$AM$4:$AO$55,3,FALSE))</f>
        <v>0</v>
      </c>
      <c r="G47" s="5">
        <f>(VLOOKUP('7.0.3'!O47,'7.0.3'!$AM$4:$AO$55,3,FALSE))</f>
        <v>0</v>
      </c>
      <c r="H47" s="5">
        <f>(VLOOKUP('7.0.3'!P47,'7.0.3'!$AM$4:$AO$55,3,FALSE))</f>
        <v>0</v>
      </c>
      <c r="I47" s="4">
        <f>(VLOOKUP('7.0.3'!Q47,'7.0.3'!$AM$4:$AO$55,3,FALSE))</f>
        <v>60</v>
      </c>
      <c r="J47" s="4">
        <f>(VLOOKUP('7.0.3'!R47,'7.0.3'!$AM$4:$AO$55,3,FALSE))</f>
        <v>60</v>
      </c>
      <c r="K47" s="4">
        <f>(VLOOKUP('7.0.3'!S47,'7.0.3'!$AM$4:$AO$55,3,FALSE))</f>
        <v>60</v>
      </c>
      <c r="L47" s="4">
        <f>(VLOOKUP('7.0.3'!T47,'7.0.3'!$AM$4:$AO$55,3,FALSE))</f>
        <v>60</v>
      </c>
      <c r="M47" s="4">
        <f>(VLOOKUP('7.0.3'!U47,'7.0.3'!$AM$4:$AO$55,3,FALSE))</f>
        <v>60</v>
      </c>
      <c r="N47" s="4">
        <f>(VLOOKUP('7.0.3'!V47,'7.0.3'!$AM$4:$AO$55,3,FALSE))</f>
        <v>60</v>
      </c>
      <c r="O47" s="5">
        <f>(VLOOKUP('7.0.3'!W47,'7.0.3'!$AM$4:$AO$55,3,FALSE))</f>
        <v>0</v>
      </c>
      <c r="P47" s="5">
        <f>(VLOOKUP('7.0.3'!X47,'7.0.3'!$AM$4:$AO$55,3,FALSE))</f>
        <v>0</v>
      </c>
      <c r="Q47" s="4">
        <f>(VLOOKUP('7.0.3'!Y47,'7.0.3'!$AM$4:$AO$55,3,FALSE))</f>
        <v>0</v>
      </c>
      <c r="R47" s="4">
        <f>(VLOOKUP('7.0.3'!Z47,'7.0.3'!$AM$4:$AO$55,3,FALSE))</f>
        <v>0</v>
      </c>
      <c r="S47" s="4">
        <f>(VLOOKUP('7.0.3'!AA47,'7.0.3'!$AM$4:$AO$55,3,FALSE))</f>
        <v>0</v>
      </c>
      <c r="T47" s="4">
        <f>(VLOOKUP('7.0.3'!AB47,'7.0.3'!$AM$4:$AO$55,3,FALSE))</f>
        <v>0</v>
      </c>
      <c r="U47" s="4">
        <f>(VLOOKUP('7.0.3'!AC47,'7.0.3'!$AM$4:$AO$55,3,FALSE))</f>
        <v>0</v>
      </c>
      <c r="V47" s="4">
        <f>(VLOOKUP('7.0.3'!AD47,'7.0.3'!$AM$4:$AO$55,3,FALSE))</f>
        <v>0</v>
      </c>
      <c r="W47" s="5">
        <f>(VLOOKUP('7.0.3'!AE47,'7.0.3'!$AM$4:$AO$55,3,FALSE))</f>
        <v>0</v>
      </c>
      <c r="X47" s="5">
        <f>(VLOOKUP('7.0.3'!AF47,'7.0.3'!$AM$4:$AO$55,3,FALSE))</f>
        <v>0</v>
      </c>
    </row>
    <row r="48" spans="1:24">
      <c r="A48" s="4">
        <f>(VLOOKUP('7.0.3'!I48,'7.0.3'!$AM$4:$AO$55,3,FALSE))</f>
        <v>55</v>
      </c>
      <c r="B48" s="4">
        <f>(VLOOKUP('7.0.3'!J48,'7.0.3'!$AM$4:$AO$55,3,FALSE))</f>
        <v>55</v>
      </c>
      <c r="C48" s="4">
        <f>(VLOOKUP('7.0.3'!K48,'7.0.3'!$AM$4:$AO$55,3,FALSE))</f>
        <v>55</v>
      </c>
      <c r="D48" s="4">
        <f>(VLOOKUP('7.0.3'!L48,'7.0.3'!$AM$4:$AO$55,3,FALSE))</f>
        <v>55</v>
      </c>
      <c r="E48" s="4">
        <f>(VLOOKUP('7.0.3'!M48,'7.0.3'!$AM$4:$AO$55,3,FALSE))</f>
        <v>0</v>
      </c>
      <c r="F48" s="4">
        <f>(VLOOKUP('7.0.3'!N48,'7.0.3'!$AM$4:$AO$55,3,FALSE))</f>
        <v>0</v>
      </c>
      <c r="G48" s="5">
        <f>(VLOOKUP('7.0.3'!O48,'7.0.3'!$AM$4:$AO$55,3,FALSE))</f>
        <v>0</v>
      </c>
      <c r="H48" s="5">
        <f>(VLOOKUP('7.0.3'!P48,'7.0.3'!$AM$4:$AO$55,3,FALSE))</f>
        <v>0</v>
      </c>
      <c r="I48" s="4">
        <f>(VLOOKUP('7.0.3'!Q48,'7.0.3'!$AM$4:$AO$55,3,FALSE))</f>
        <v>60</v>
      </c>
      <c r="J48" s="4">
        <f>(VLOOKUP('7.0.3'!R48,'7.0.3'!$AM$4:$AO$55,3,FALSE))</f>
        <v>60</v>
      </c>
      <c r="K48" s="4">
        <f>(VLOOKUP('7.0.3'!S48,'7.0.3'!$AM$4:$AO$55,3,FALSE))</f>
        <v>60</v>
      </c>
      <c r="L48" s="4">
        <f>(VLOOKUP('7.0.3'!T48,'7.0.3'!$AM$4:$AO$55,3,FALSE))</f>
        <v>60</v>
      </c>
      <c r="M48" s="4">
        <f>(VLOOKUP('7.0.3'!U48,'7.0.3'!$AM$4:$AO$55,3,FALSE))</f>
        <v>60</v>
      </c>
      <c r="N48" s="4">
        <f>(VLOOKUP('7.0.3'!V48,'7.0.3'!$AM$4:$AO$55,3,FALSE))</f>
        <v>60</v>
      </c>
      <c r="O48" s="5">
        <f>(VLOOKUP('7.0.3'!W48,'7.0.3'!$AM$4:$AO$55,3,FALSE))</f>
        <v>0</v>
      </c>
      <c r="P48" s="5">
        <f>(VLOOKUP('7.0.3'!X48,'7.0.3'!$AM$4:$AO$55,3,FALSE))</f>
        <v>0</v>
      </c>
      <c r="Q48" s="4">
        <f>(VLOOKUP('7.0.3'!Y48,'7.0.3'!$AM$4:$AO$55,3,FALSE))</f>
        <v>0</v>
      </c>
      <c r="R48" s="4">
        <f>(VLOOKUP('7.0.3'!Z48,'7.0.3'!$AM$4:$AO$55,3,FALSE))</f>
        <v>0</v>
      </c>
      <c r="S48" s="4">
        <f>(VLOOKUP('7.0.3'!AA48,'7.0.3'!$AM$4:$AO$55,3,FALSE))</f>
        <v>0</v>
      </c>
      <c r="T48" s="4">
        <f>(VLOOKUP('7.0.3'!AB48,'7.0.3'!$AM$4:$AO$55,3,FALSE))</f>
        <v>0</v>
      </c>
      <c r="U48" s="4">
        <f>(VLOOKUP('7.0.3'!AC48,'7.0.3'!$AM$4:$AO$55,3,FALSE))</f>
        <v>0</v>
      </c>
      <c r="V48" s="4">
        <f>(VLOOKUP('7.0.3'!AD48,'7.0.3'!$AM$4:$AO$55,3,FALSE))</f>
        <v>0</v>
      </c>
      <c r="W48" s="5">
        <f>(VLOOKUP('7.0.3'!AE48,'7.0.3'!$AM$4:$AO$55,3,FALSE))</f>
        <v>0</v>
      </c>
      <c r="X48" s="5">
        <f>(VLOOKUP('7.0.3'!AF48,'7.0.3'!$AM$4:$AO$55,3,FALSE))</f>
        <v>0</v>
      </c>
    </row>
    <row r="49" spans="1:24">
      <c r="A49" s="4">
        <f>(VLOOKUP('7.0.3'!I49,'7.0.3'!$AM$4:$AO$55,3,FALSE))</f>
        <v>55</v>
      </c>
      <c r="B49" s="4">
        <f>(VLOOKUP('7.0.3'!J49,'7.0.3'!$AM$4:$AO$55,3,FALSE))</f>
        <v>55</v>
      </c>
      <c r="C49" s="4">
        <f>(VLOOKUP('7.0.3'!K49,'7.0.3'!$AM$4:$AO$55,3,FALSE))</f>
        <v>55</v>
      </c>
      <c r="D49" s="4">
        <f>(VLOOKUP('7.0.3'!L49,'7.0.3'!$AM$4:$AO$55,3,FALSE))</f>
        <v>55</v>
      </c>
      <c r="E49" s="4">
        <f>(VLOOKUP('7.0.3'!M49,'7.0.3'!$AM$4:$AO$55,3,FALSE))</f>
        <v>55</v>
      </c>
      <c r="F49" s="4">
        <f>(VLOOKUP('7.0.3'!N49,'7.0.3'!$AM$4:$AO$55,3,FALSE))</f>
        <v>0</v>
      </c>
      <c r="G49" s="5">
        <f>(VLOOKUP('7.0.3'!O49,'7.0.3'!$AM$4:$AO$55,3,FALSE))</f>
        <v>0</v>
      </c>
      <c r="H49" s="5">
        <f>(VLOOKUP('7.0.3'!P49,'7.0.3'!$AM$4:$AO$55,3,FALSE))</f>
        <v>0</v>
      </c>
      <c r="I49" s="4">
        <f>(VLOOKUP('7.0.3'!Q49,'7.0.3'!$AM$4:$AO$55,3,FALSE))</f>
        <v>60</v>
      </c>
      <c r="J49" s="4">
        <f>(VLOOKUP('7.0.3'!R49,'7.0.3'!$AM$4:$AO$55,3,FALSE))</f>
        <v>60</v>
      </c>
      <c r="K49" s="4">
        <f>(VLOOKUP('7.0.3'!S49,'7.0.3'!$AM$4:$AO$55,3,FALSE))</f>
        <v>60</v>
      </c>
      <c r="L49" s="4">
        <f>(VLOOKUP('7.0.3'!T49,'7.0.3'!$AM$4:$AO$55,3,FALSE))</f>
        <v>60</v>
      </c>
      <c r="M49" s="4">
        <f>(VLOOKUP('7.0.3'!U49,'7.0.3'!$AM$4:$AO$55,3,FALSE))</f>
        <v>60</v>
      </c>
      <c r="N49" s="4">
        <f>(VLOOKUP('7.0.3'!V49,'7.0.3'!$AM$4:$AO$55,3,FALSE))</f>
        <v>60</v>
      </c>
      <c r="O49" s="5">
        <f>(VLOOKUP('7.0.3'!W49,'7.0.3'!$AM$4:$AO$55,3,FALSE))</f>
        <v>0</v>
      </c>
      <c r="P49" s="5">
        <f>(VLOOKUP('7.0.3'!X49,'7.0.3'!$AM$4:$AO$55,3,FALSE))</f>
        <v>0</v>
      </c>
      <c r="Q49" s="4">
        <f>(VLOOKUP('7.0.3'!Y49,'7.0.3'!$AM$4:$AO$55,3,FALSE))</f>
        <v>0</v>
      </c>
      <c r="R49" s="4">
        <f>(VLOOKUP('7.0.3'!Z49,'7.0.3'!$AM$4:$AO$55,3,FALSE))</f>
        <v>0</v>
      </c>
      <c r="S49" s="4">
        <f>(VLOOKUP('7.0.3'!AA49,'7.0.3'!$AM$4:$AO$55,3,FALSE))</f>
        <v>0</v>
      </c>
      <c r="T49" s="4">
        <f>(VLOOKUP('7.0.3'!AB49,'7.0.3'!$AM$4:$AO$55,3,FALSE))</f>
        <v>0</v>
      </c>
      <c r="U49" s="4">
        <f>(VLOOKUP('7.0.3'!AC49,'7.0.3'!$AM$4:$AO$55,3,FALSE))</f>
        <v>0</v>
      </c>
      <c r="V49" s="4">
        <f>(VLOOKUP('7.0.3'!AD49,'7.0.3'!$AM$4:$AO$55,3,FALSE))</f>
        <v>0</v>
      </c>
      <c r="W49" s="5">
        <f>(VLOOKUP('7.0.3'!AE49,'7.0.3'!$AM$4:$AO$55,3,FALSE))</f>
        <v>0</v>
      </c>
      <c r="X49" s="5">
        <f>(VLOOKUP('7.0.3'!AF49,'7.0.3'!$AM$4:$AO$55,3,FALSE))</f>
        <v>0</v>
      </c>
    </row>
    <row r="50" spans="1:24">
      <c r="A50" s="4">
        <f>(VLOOKUP('7.0.3'!I50,'7.0.3'!$AM$4:$AO$55,3,FALSE))</f>
        <v>55</v>
      </c>
      <c r="B50" s="4">
        <f>(VLOOKUP('7.0.3'!J50,'7.0.3'!$AM$4:$AO$55,3,FALSE))</f>
        <v>55</v>
      </c>
      <c r="C50" s="4">
        <f>(VLOOKUP('7.0.3'!K50,'7.0.3'!$AM$4:$AO$55,3,FALSE))</f>
        <v>55</v>
      </c>
      <c r="D50" s="4">
        <f>(VLOOKUP('7.0.3'!L50,'7.0.3'!$AM$4:$AO$55,3,FALSE))</f>
        <v>55</v>
      </c>
      <c r="E50" s="4">
        <f>(VLOOKUP('7.0.3'!M50,'7.0.3'!$AM$4:$AO$55,3,FALSE))</f>
        <v>0</v>
      </c>
      <c r="F50" s="4">
        <f>(VLOOKUP('7.0.3'!N50,'7.0.3'!$AM$4:$AO$55,3,FALSE))</f>
        <v>0</v>
      </c>
      <c r="G50" s="5">
        <f>(VLOOKUP('7.0.3'!O50,'7.0.3'!$AM$4:$AO$55,3,FALSE))</f>
        <v>0</v>
      </c>
      <c r="H50" s="5">
        <f>(VLOOKUP('7.0.3'!P50,'7.0.3'!$AM$4:$AO$55,3,FALSE))</f>
        <v>0</v>
      </c>
      <c r="I50" s="4">
        <f>(VLOOKUP('7.0.3'!Q50,'7.0.3'!$AM$4:$AO$55,3,FALSE))</f>
        <v>60</v>
      </c>
      <c r="J50" s="4">
        <f>(VLOOKUP('7.0.3'!R50,'7.0.3'!$AM$4:$AO$55,3,FALSE))</f>
        <v>60</v>
      </c>
      <c r="K50" s="4">
        <f>(VLOOKUP('7.0.3'!S50,'7.0.3'!$AM$4:$AO$55,3,FALSE))</f>
        <v>60</v>
      </c>
      <c r="L50" s="4">
        <f>(VLOOKUP('7.0.3'!T50,'7.0.3'!$AM$4:$AO$55,3,FALSE))</f>
        <v>60</v>
      </c>
      <c r="M50" s="4">
        <f>(VLOOKUP('7.0.3'!U50,'7.0.3'!$AM$4:$AO$55,3,FALSE))</f>
        <v>60</v>
      </c>
      <c r="N50" s="4">
        <f>(VLOOKUP('7.0.3'!V50,'7.0.3'!$AM$4:$AO$55,3,FALSE))</f>
        <v>60</v>
      </c>
      <c r="O50" s="5">
        <f>(VLOOKUP('7.0.3'!W50,'7.0.3'!$AM$4:$AO$55,3,FALSE))</f>
        <v>0</v>
      </c>
      <c r="P50" s="5">
        <f>(VLOOKUP('7.0.3'!X50,'7.0.3'!$AM$4:$AO$55,3,FALSE))</f>
        <v>0</v>
      </c>
      <c r="Q50" s="4">
        <f>(VLOOKUP('7.0.3'!Y50,'7.0.3'!$AM$4:$AO$55,3,FALSE))</f>
        <v>0</v>
      </c>
      <c r="R50" s="4">
        <f>(VLOOKUP('7.0.3'!Z50,'7.0.3'!$AM$4:$AO$55,3,FALSE))</f>
        <v>0</v>
      </c>
      <c r="S50" s="4">
        <f>(VLOOKUP('7.0.3'!AA50,'7.0.3'!$AM$4:$AO$55,3,FALSE))</f>
        <v>0</v>
      </c>
      <c r="T50" s="4">
        <f>(VLOOKUP('7.0.3'!AB50,'7.0.3'!$AM$4:$AO$55,3,FALSE))</f>
        <v>0</v>
      </c>
      <c r="U50" s="4">
        <f>(VLOOKUP('7.0.3'!AC50,'7.0.3'!$AM$4:$AO$55,3,FALSE))</f>
        <v>0</v>
      </c>
      <c r="V50" s="4">
        <f>(VLOOKUP('7.0.3'!AD50,'7.0.3'!$AM$4:$AO$55,3,FALSE))</f>
        <v>0</v>
      </c>
      <c r="W50" s="5">
        <f>(VLOOKUP('7.0.3'!AE50,'7.0.3'!$AM$4:$AO$55,3,FALSE))</f>
        <v>0</v>
      </c>
      <c r="X50" s="5">
        <f>(VLOOKUP('7.0.3'!AF50,'7.0.3'!$AM$4:$AO$55,3,FALSE))</f>
        <v>0</v>
      </c>
    </row>
    <row r="51" spans="1:24">
      <c r="A51" s="4">
        <f>(VLOOKUP('7.0.3'!I51,'7.0.3'!$AM$4:$AO$55,3,FALSE))</f>
        <v>55</v>
      </c>
      <c r="B51" s="4">
        <f>(VLOOKUP('7.0.3'!J51,'7.0.3'!$AM$4:$AO$55,3,FALSE))</f>
        <v>55</v>
      </c>
      <c r="C51" s="4">
        <f>(VLOOKUP('7.0.3'!K51,'7.0.3'!$AM$4:$AO$55,3,FALSE))</f>
        <v>55</v>
      </c>
      <c r="D51" s="4">
        <f>(VLOOKUP('7.0.3'!L51,'7.0.3'!$AM$4:$AO$55,3,FALSE))</f>
        <v>55</v>
      </c>
      <c r="E51" s="4">
        <f>(VLOOKUP('7.0.3'!M51,'7.0.3'!$AM$4:$AO$55,3,FALSE))</f>
        <v>0</v>
      </c>
      <c r="F51" s="4">
        <f>(VLOOKUP('7.0.3'!N51,'7.0.3'!$AM$4:$AO$55,3,FALSE))</f>
        <v>0</v>
      </c>
      <c r="G51" s="5">
        <f>(VLOOKUP('7.0.3'!O51,'7.0.3'!$AM$4:$AO$55,3,FALSE))</f>
        <v>0</v>
      </c>
      <c r="H51" s="5">
        <f>(VLOOKUP('7.0.3'!P51,'7.0.3'!$AM$4:$AO$55,3,FALSE))</f>
        <v>0</v>
      </c>
      <c r="I51" s="4">
        <f>(VLOOKUP('7.0.3'!Q51,'7.0.3'!$AM$4:$AO$55,3,FALSE))</f>
        <v>60</v>
      </c>
      <c r="J51" s="4">
        <f>(VLOOKUP('7.0.3'!R51,'7.0.3'!$AM$4:$AO$55,3,FALSE))</f>
        <v>60</v>
      </c>
      <c r="K51" s="4">
        <f>(VLOOKUP('7.0.3'!S51,'7.0.3'!$AM$4:$AO$55,3,FALSE))</f>
        <v>60</v>
      </c>
      <c r="L51" s="4">
        <f>(VLOOKUP('7.0.3'!T51,'7.0.3'!$AM$4:$AO$55,3,FALSE))</f>
        <v>60</v>
      </c>
      <c r="M51" s="4">
        <f>(VLOOKUP('7.0.3'!U51,'7.0.3'!$AM$4:$AO$55,3,FALSE))</f>
        <v>60</v>
      </c>
      <c r="N51" s="4">
        <f>(VLOOKUP('7.0.3'!V51,'7.0.3'!$AM$4:$AO$55,3,FALSE))</f>
        <v>60</v>
      </c>
      <c r="O51" s="5">
        <f>(VLOOKUP('7.0.3'!W51,'7.0.3'!$AM$4:$AO$55,3,FALSE))</f>
        <v>0</v>
      </c>
      <c r="P51" s="5">
        <f>(VLOOKUP('7.0.3'!X51,'7.0.3'!$AM$4:$AO$55,3,FALSE))</f>
        <v>0</v>
      </c>
      <c r="Q51" s="4">
        <f>(VLOOKUP('7.0.3'!Y51,'7.0.3'!$AM$4:$AO$55,3,FALSE))</f>
        <v>0</v>
      </c>
      <c r="R51" s="4">
        <f>(VLOOKUP('7.0.3'!Z51,'7.0.3'!$AM$4:$AO$55,3,FALSE))</f>
        <v>0</v>
      </c>
      <c r="S51" s="4">
        <f>(VLOOKUP('7.0.3'!AA51,'7.0.3'!$AM$4:$AO$55,3,FALSE))</f>
        <v>0</v>
      </c>
      <c r="T51" s="4">
        <f>(VLOOKUP('7.0.3'!AB51,'7.0.3'!$AM$4:$AO$55,3,FALSE))</f>
        <v>0</v>
      </c>
      <c r="U51" s="4">
        <f>(VLOOKUP('7.0.3'!AC51,'7.0.3'!$AM$4:$AO$55,3,FALSE))</f>
        <v>0</v>
      </c>
      <c r="V51" s="4">
        <f>(VLOOKUP('7.0.3'!AD51,'7.0.3'!$AM$4:$AO$55,3,FALSE))</f>
        <v>0</v>
      </c>
      <c r="W51" s="5">
        <f>(VLOOKUP('7.0.3'!AE51,'7.0.3'!$AM$4:$AO$55,3,FALSE))</f>
        <v>0</v>
      </c>
      <c r="X51" s="5">
        <f>(VLOOKUP('7.0.3'!AF51,'7.0.3'!$AM$4:$AO$55,3,FALSE))</f>
        <v>0</v>
      </c>
    </row>
    <row r="52" spans="1:24">
      <c r="A52" s="4">
        <f>(VLOOKUP('7.0.3'!I52,'7.0.3'!$AM$4:$AO$55,3,FALSE))</f>
        <v>55</v>
      </c>
      <c r="B52" s="4">
        <f>(VLOOKUP('7.0.3'!J52,'7.0.3'!$AM$4:$AO$55,3,FALSE))</f>
        <v>55</v>
      </c>
      <c r="C52" s="4">
        <f>(VLOOKUP('7.0.3'!K52,'7.0.3'!$AM$4:$AO$55,3,FALSE))</f>
        <v>55</v>
      </c>
      <c r="D52" s="4">
        <f>(VLOOKUP('7.0.3'!L52,'7.0.3'!$AM$4:$AO$55,3,FALSE))</f>
        <v>55</v>
      </c>
      <c r="E52" s="4">
        <f>(VLOOKUP('7.0.3'!M52,'7.0.3'!$AM$4:$AO$55,3,FALSE))</f>
        <v>0</v>
      </c>
      <c r="F52" s="4">
        <f>(VLOOKUP('7.0.3'!N52,'7.0.3'!$AM$4:$AO$55,3,FALSE))</f>
        <v>0</v>
      </c>
      <c r="G52" s="5">
        <f>(VLOOKUP('7.0.3'!O52,'7.0.3'!$AM$4:$AO$55,3,FALSE))</f>
        <v>0</v>
      </c>
      <c r="H52" s="5">
        <f>(VLOOKUP('7.0.3'!P52,'7.0.3'!$AM$4:$AO$55,3,FALSE))</f>
        <v>0</v>
      </c>
      <c r="I52" s="4">
        <f>(VLOOKUP('7.0.3'!Q52,'7.0.3'!$AM$4:$AO$55,3,FALSE))</f>
        <v>60</v>
      </c>
      <c r="J52" s="4">
        <f>(VLOOKUP('7.0.3'!R52,'7.0.3'!$AM$4:$AO$55,3,FALSE))</f>
        <v>60</v>
      </c>
      <c r="K52" s="4">
        <f>(VLOOKUP('7.0.3'!S52,'7.0.3'!$AM$4:$AO$55,3,FALSE))</f>
        <v>60</v>
      </c>
      <c r="L52" s="4">
        <f>(VLOOKUP('7.0.3'!T52,'7.0.3'!$AM$4:$AO$55,3,FALSE))</f>
        <v>60</v>
      </c>
      <c r="M52" s="4">
        <f>(VLOOKUP('7.0.3'!U52,'7.0.3'!$AM$4:$AO$55,3,FALSE))</f>
        <v>60</v>
      </c>
      <c r="N52" s="4">
        <f>(VLOOKUP('7.0.3'!V52,'7.0.3'!$AM$4:$AO$55,3,FALSE))</f>
        <v>60</v>
      </c>
      <c r="O52" s="5">
        <f>(VLOOKUP('7.0.3'!W52,'7.0.3'!$AM$4:$AO$55,3,FALSE))</f>
        <v>0</v>
      </c>
      <c r="P52" s="5">
        <f>(VLOOKUP('7.0.3'!X52,'7.0.3'!$AM$4:$AO$55,3,FALSE))</f>
        <v>0</v>
      </c>
      <c r="Q52" s="4">
        <f>(VLOOKUP('7.0.3'!Y52,'7.0.3'!$AM$4:$AO$55,3,FALSE))</f>
        <v>0</v>
      </c>
      <c r="R52" s="4">
        <f>(VLOOKUP('7.0.3'!Z52,'7.0.3'!$AM$4:$AO$55,3,FALSE))</f>
        <v>0</v>
      </c>
      <c r="S52" s="4">
        <f>(VLOOKUP('7.0.3'!AA52,'7.0.3'!$AM$4:$AO$55,3,FALSE))</f>
        <v>0</v>
      </c>
      <c r="T52" s="4">
        <f>(VLOOKUP('7.0.3'!AB52,'7.0.3'!$AM$4:$AO$55,3,FALSE))</f>
        <v>0</v>
      </c>
      <c r="U52" s="4">
        <f>(VLOOKUP('7.0.3'!AC52,'7.0.3'!$AM$4:$AO$55,3,FALSE))</f>
        <v>0</v>
      </c>
      <c r="V52" s="4">
        <f>(VLOOKUP('7.0.3'!AD52,'7.0.3'!$AM$4:$AO$55,3,FALSE))</f>
        <v>0</v>
      </c>
      <c r="W52" s="5">
        <f>(VLOOKUP('7.0.3'!AE52,'7.0.3'!$AM$4:$AO$55,3,FALSE))</f>
        <v>0</v>
      </c>
      <c r="X52" s="5">
        <f>(VLOOKUP('7.0.3'!AF52,'7.0.3'!$AM$4:$AO$55,3,FALSE))</f>
        <v>0</v>
      </c>
    </row>
    <row r="53" spans="1:24">
      <c r="A53" s="4">
        <f>(VLOOKUP('7.0.3'!I53,'7.0.3'!$AM$4:$AO$55,3,FALSE))</f>
        <v>55</v>
      </c>
      <c r="B53" s="4">
        <f>(VLOOKUP('7.0.3'!J53,'7.0.3'!$AM$4:$AO$55,3,FALSE))</f>
        <v>30</v>
      </c>
      <c r="C53" s="4">
        <f>(VLOOKUP('7.0.3'!K53,'7.0.3'!$AM$4:$AO$55,3,FALSE))</f>
        <v>55</v>
      </c>
      <c r="D53" s="4">
        <f>(VLOOKUP('7.0.3'!L53,'7.0.3'!$AM$4:$AO$55,3,FALSE))</f>
        <v>55</v>
      </c>
      <c r="E53" s="4">
        <f>(VLOOKUP('7.0.3'!M53,'7.0.3'!$AM$4:$AO$55,3,FALSE))</f>
        <v>55</v>
      </c>
      <c r="F53" s="4">
        <f>(VLOOKUP('7.0.3'!N53,'7.0.3'!$AM$4:$AO$55,3,FALSE))</f>
        <v>0</v>
      </c>
      <c r="G53" s="5">
        <f>(VLOOKUP('7.0.3'!O53,'7.0.3'!$AM$4:$AO$55,3,FALSE))</f>
        <v>55</v>
      </c>
      <c r="H53" s="5">
        <f>(VLOOKUP('7.0.3'!P53,'7.0.3'!$AM$4:$AO$55,3,FALSE))</f>
        <v>0</v>
      </c>
      <c r="I53" s="4">
        <f>(VLOOKUP('7.0.3'!Q53,'7.0.3'!$AM$4:$AO$55,3,FALSE))</f>
        <v>60</v>
      </c>
      <c r="J53" s="4">
        <f>(VLOOKUP('7.0.3'!R53,'7.0.3'!$AM$4:$AO$55,3,FALSE))</f>
        <v>60</v>
      </c>
      <c r="K53" s="4">
        <f>(VLOOKUP('7.0.3'!S53,'7.0.3'!$AM$4:$AO$55,3,FALSE))</f>
        <v>60</v>
      </c>
      <c r="L53" s="4">
        <f>(VLOOKUP('7.0.3'!T53,'7.0.3'!$AM$4:$AO$55,3,FALSE))</f>
        <v>60</v>
      </c>
      <c r="M53" s="4">
        <f>(VLOOKUP('7.0.3'!U53,'7.0.3'!$AM$4:$AO$55,3,FALSE))</f>
        <v>60</v>
      </c>
      <c r="N53" s="4">
        <f>(VLOOKUP('7.0.3'!V53,'7.0.3'!$AM$4:$AO$55,3,FALSE))</f>
        <v>60</v>
      </c>
      <c r="O53" s="5">
        <f>(VLOOKUP('7.0.3'!W53,'7.0.3'!$AM$4:$AO$55,3,FALSE))</f>
        <v>0</v>
      </c>
      <c r="P53" s="5">
        <f>(VLOOKUP('7.0.3'!X53,'7.0.3'!$AM$4:$AO$55,3,FALSE))</f>
        <v>0</v>
      </c>
      <c r="Q53" s="4">
        <f>(VLOOKUP('7.0.3'!Y53,'7.0.3'!$AM$4:$AO$55,3,FALSE))</f>
        <v>0</v>
      </c>
      <c r="R53" s="4">
        <f>(VLOOKUP('7.0.3'!Z53,'7.0.3'!$AM$4:$AO$55,3,FALSE))</f>
        <v>0</v>
      </c>
      <c r="S53" s="4">
        <f>(VLOOKUP('7.0.3'!AA53,'7.0.3'!$AM$4:$AO$55,3,FALSE))</f>
        <v>0</v>
      </c>
      <c r="T53" s="4">
        <f>(VLOOKUP('7.0.3'!AB53,'7.0.3'!$AM$4:$AO$55,3,FALSE))</f>
        <v>0</v>
      </c>
      <c r="U53" s="4">
        <f>(VLOOKUP('7.0.3'!AC53,'7.0.3'!$AM$4:$AO$55,3,FALSE))</f>
        <v>0</v>
      </c>
      <c r="V53" s="4">
        <f>(VLOOKUP('7.0.3'!AD53,'7.0.3'!$AM$4:$AO$55,3,FALSE))</f>
        <v>0</v>
      </c>
      <c r="W53" s="5">
        <f>(VLOOKUP('7.0.3'!AE53,'7.0.3'!$AM$4:$AO$55,3,FALSE))</f>
        <v>0</v>
      </c>
      <c r="X53" s="5">
        <f>(VLOOKUP('7.0.3'!AF53,'7.0.3'!$AM$4:$AO$55,3,FALSE))</f>
        <v>0</v>
      </c>
    </row>
    <row r="54" spans="1:24">
      <c r="A54" s="4">
        <f>(VLOOKUP('7.0.3'!I54,'7.0.3'!$AM$4:$AO$55,3,FALSE))</f>
        <v>55</v>
      </c>
      <c r="B54" s="4">
        <f>(VLOOKUP('7.0.3'!J54,'7.0.3'!$AM$4:$AO$55,3,FALSE))</f>
        <v>55</v>
      </c>
      <c r="C54" s="4">
        <f>(VLOOKUP('7.0.3'!K54,'7.0.3'!$AM$4:$AO$55,3,FALSE))</f>
        <v>55</v>
      </c>
      <c r="D54" s="4">
        <f>(VLOOKUP('7.0.3'!L54,'7.0.3'!$AM$4:$AO$55,3,FALSE))</f>
        <v>55</v>
      </c>
      <c r="E54" s="4">
        <f>(VLOOKUP('7.0.3'!M54,'7.0.3'!$AM$4:$AO$55,3,FALSE))</f>
        <v>0</v>
      </c>
      <c r="F54" s="4">
        <f>(VLOOKUP('7.0.3'!N54,'7.0.3'!$AM$4:$AO$55,3,FALSE))</f>
        <v>0</v>
      </c>
      <c r="G54" s="5">
        <f>(VLOOKUP('7.0.3'!O54,'7.0.3'!$AM$4:$AO$55,3,FALSE))</f>
        <v>0</v>
      </c>
      <c r="H54" s="5">
        <f>(VLOOKUP('7.0.3'!P54,'7.0.3'!$AM$4:$AO$55,3,FALSE))</f>
        <v>0</v>
      </c>
      <c r="I54" s="4">
        <f>(VLOOKUP('7.0.3'!Q54,'7.0.3'!$AM$4:$AO$55,3,FALSE))</f>
        <v>60</v>
      </c>
      <c r="J54" s="4">
        <f>(VLOOKUP('7.0.3'!R54,'7.0.3'!$AM$4:$AO$55,3,FALSE))</f>
        <v>60</v>
      </c>
      <c r="K54" s="4">
        <f>(VLOOKUP('7.0.3'!S54,'7.0.3'!$AM$4:$AO$55,3,FALSE))</f>
        <v>60</v>
      </c>
      <c r="L54" s="4">
        <f>(VLOOKUP('7.0.3'!T54,'7.0.3'!$AM$4:$AO$55,3,FALSE))</f>
        <v>0</v>
      </c>
      <c r="M54" s="4">
        <f>(VLOOKUP('7.0.3'!U54,'7.0.3'!$AM$4:$AO$55,3,FALSE))</f>
        <v>60</v>
      </c>
      <c r="N54" s="4">
        <f>(VLOOKUP('7.0.3'!V54,'7.0.3'!$AM$4:$AO$55,3,FALSE))</f>
        <v>1000</v>
      </c>
      <c r="O54" s="5">
        <f>(VLOOKUP('7.0.3'!W54,'7.0.3'!$AM$4:$AO$55,3,FALSE))</f>
        <v>60</v>
      </c>
      <c r="P54" s="5">
        <f>(VLOOKUP('7.0.3'!X54,'7.0.3'!$AM$4:$AO$55,3,FALSE))</f>
        <v>60</v>
      </c>
      <c r="Q54" s="4">
        <f>(VLOOKUP('7.0.3'!Y54,'7.0.3'!$AM$4:$AO$55,3,FALSE))</f>
        <v>0</v>
      </c>
      <c r="R54" s="4">
        <f>(VLOOKUP('7.0.3'!Z54,'7.0.3'!$AM$4:$AO$55,3,FALSE))</f>
        <v>0</v>
      </c>
      <c r="S54" s="4">
        <f>(VLOOKUP('7.0.3'!AA54,'7.0.3'!$AM$4:$AO$55,3,FALSE))</f>
        <v>0</v>
      </c>
      <c r="T54" s="4">
        <f>(VLOOKUP('7.0.3'!AB54,'7.0.3'!$AM$4:$AO$55,3,FALSE))</f>
        <v>0</v>
      </c>
      <c r="U54" s="4">
        <f>(VLOOKUP('7.0.3'!AC54,'7.0.3'!$AM$4:$AO$55,3,FALSE))</f>
        <v>0</v>
      </c>
      <c r="V54" s="4">
        <f>(VLOOKUP('7.0.3'!AD54,'7.0.3'!$AM$4:$AO$55,3,FALSE))</f>
        <v>0</v>
      </c>
      <c r="W54" s="5">
        <f>(VLOOKUP('7.0.3'!AE54,'7.0.3'!$AM$4:$AO$55,3,FALSE))</f>
        <v>0</v>
      </c>
      <c r="X54" s="5">
        <f>(VLOOKUP('7.0.3'!AF54,'7.0.3'!$AM$4:$AO$55,3,FALSE))</f>
        <v>0</v>
      </c>
    </row>
    <row r="55" spans="1:24">
      <c r="A55" s="4">
        <f>(VLOOKUP('7.0.3'!I55,'7.0.3'!$AM$4:$AO$55,3,FALSE))</f>
        <v>55</v>
      </c>
      <c r="B55" s="4">
        <f>(VLOOKUP('7.0.3'!J55,'7.0.3'!$AM$4:$AO$55,3,FALSE))</f>
        <v>55</v>
      </c>
      <c r="C55" s="4">
        <f>(VLOOKUP('7.0.3'!K55,'7.0.3'!$AM$4:$AO$55,3,FALSE))</f>
        <v>55</v>
      </c>
      <c r="D55" s="4">
        <f>(VLOOKUP('7.0.3'!L55,'7.0.3'!$AM$4:$AO$55,3,FALSE))</f>
        <v>55</v>
      </c>
      <c r="E55" s="4">
        <f>(VLOOKUP('7.0.3'!M55,'7.0.3'!$AM$4:$AO$55,3,FALSE))</f>
        <v>0</v>
      </c>
      <c r="F55" s="4">
        <f>(VLOOKUP('7.0.3'!N55,'7.0.3'!$AM$4:$AO$55,3,FALSE))</f>
        <v>0</v>
      </c>
      <c r="G55" s="5">
        <f>(VLOOKUP('7.0.3'!O55,'7.0.3'!$AM$4:$AO$55,3,FALSE))</f>
        <v>0</v>
      </c>
      <c r="H55" s="5">
        <f>(VLOOKUP('7.0.3'!P55,'7.0.3'!$AM$4:$AO$55,3,FALSE))</f>
        <v>0</v>
      </c>
      <c r="I55" s="4">
        <f>(VLOOKUP('7.0.3'!Q55,'7.0.3'!$AM$4:$AO$55,3,FALSE))</f>
        <v>60</v>
      </c>
      <c r="J55" s="4">
        <f>(VLOOKUP('7.0.3'!R55,'7.0.3'!$AM$4:$AO$55,3,FALSE))</f>
        <v>60</v>
      </c>
      <c r="K55" s="4">
        <f>(VLOOKUP('7.0.3'!S55,'7.0.3'!$AM$4:$AO$55,3,FALSE))</f>
        <v>60</v>
      </c>
      <c r="L55" s="4">
        <f>(VLOOKUP('7.0.3'!T55,'7.0.3'!$AM$4:$AO$55,3,FALSE))</f>
        <v>60</v>
      </c>
      <c r="M55" s="4">
        <f>(VLOOKUP('7.0.3'!U55,'7.0.3'!$AM$4:$AO$55,3,FALSE))</f>
        <v>60</v>
      </c>
      <c r="N55" s="4">
        <f>(VLOOKUP('7.0.3'!V55,'7.0.3'!$AM$4:$AO$55,3,FALSE))</f>
        <v>60</v>
      </c>
      <c r="O55" s="5">
        <f>(VLOOKUP('7.0.3'!W55,'7.0.3'!$AM$4:$AO$55,3,FALSE))</f>
        <v>0</v>
      </c>
      <c r="P55" s="5">
        <f>(VLOOKUP('7.0.3'!X55,'7.0.3'!$AM$4:$AO$55,3,FALSE))</f>
        <v>0</v>
      </c>
      <c r="Q55" s="4">
        <f>(VLOOKUP('7.0.3'!Y55,'7.0.3'!$AM$4:$AO$55,3,FALSE))</f>
        <v>0</v>
      </c>
      <c r="R55" s="4">
        <f>(VLOOKUP('7.0.3'!Z55,'7.0.3'!$AM$4:$AO$55,3,FALSE))</f>
        <v>0</v>
      </c>
      <c r="S55" s="4">
        <f>(VLOOKUP('7.0.3'!AA55,'7.0.3'!$AM$4:$AO$55,3,FALSE))</f>
        <v>0</v>
      </c>
      <c r="T55" s="4">
        <f>(VLOOKUP('7.0.3'!AB55,'7.0.3'!$AM$4:$AO$55,3,FALSE))</f>
        <v>0</v>
      </c>
      <c r="U55" s="4">
        <f>(VLOOKUP('7.0.3'!AC55,'7.0.3'!$AM$4:$AO$55,3,FALSE))</f>
        <v>0</v>
      </c>
      <c r="V55" s="4">
        <f>(VLOOKUP('7.0.3'!AD55,'7.0.3'!$AM$4:$AO$55,3,FALSE))</f>
        <v>0</v>
      </c>
      <c r="W55" s="5">
        <f>(VLOOKUP('7.0.3'!AE55,'7.0.3'!$AM$4:$AO$55,3,FALSE))</f>
        <v>0</v>
      </c>
      <c r="X55" s="5">
        <f>(VLOOKUP('7.0.3'!AF55,'7.0.3'!$AM$4:$AO$55,3,FALSE))</f>
        <v>0</v>
      </c>
    </row>
    <row r="56" spans="1:24">
      <c r="A56" s="4">
        <f>(VLOOKUP('7.0.3'!I56,'7.0.3'!$AM$4:$AO$55,3,FALSE))</f>
        <v>55</v>
      </c>
      <c r="B56" s="4">
        <f>(VLOOKUP('7.0.3'!J56,'7.0.3'!$AM$4:$AO$55,3,FALSE))</f>
        <v>55</v>
      </c>
      <c r="C56" s="4">
        <f>(VLOOKUP('7.0.3'!K56,'7.0.3'!$AM$4:$AO$55,3,FALSE))</f>
        <v>55</v>
      </c>
      <c r="D56" s="4">
        <f>(VLOOKUP('7.0.3'!L56,'7.0.3'!$AM$4:$AO$55,3,FALSE))</f>
        <v>55</v>
      </c>
      <c r="E56" s="4">
        <f>(VLOOKUP('7.0.3'!M56,'7.0.3'!$AM$4:$AO$55,3,FALSE))</f>
        <v>55</v>
      </c>
      <c r="F56" s="4">
        <f>(VLOOKUP('7.0.3'!N56,'7.0.3'!$AM$4:$AO$55,3,FALSE))</f>
        <v>0</v>
      </c>
      <c r="G56" s="5">
        <f>(VLOOKUP('7.0.3'!O56,'7.0.3'!$AM$4:$AO$55,3,FALSE))</f>
        <v>0</v>
      </c>
      <c r="H56" s="5">
        <f>(VLOOKUP('7.0.3'!P56,'7.0.3'!$AM$4:$AO$55,3,FALSE))</f>
        <v>0</v>
      </c>
      <c r="I56" s="4">
        <f>(VLOOKUP('7.0.3'!Q56,'7.0.3'!$AM$4:$AO$55,3,FALSE))</f>
        <v>60</v>
      </c>
      <c r="J56" s="4">
        <f>(VLOOKUP('7.0.3'!R56,'7.0.3'!$AM$4:$AO$55,3,FALSE))</f>
        <v>60</v>
      </c>
      <c r="K56" s="4">
        <f>(VLOOKUP('7.0.3'!S56,'7.0.3'!$AM$4:$AO$55,3,FALSE))</f>
        <v>60</v>
      </c>
      <c r="L56" s="4">
        <f>(VLOOKUP('7.0.3'!T56,'7.0.3'!$AM$4:$AO$55,3,FALSE))</f>
        <v>60</v>
      </c>
      <c r="M56" s="4">
        <f>(VLOOKUP('7.0.3'!U56,'7.0.3'!$AM$4:$AO$55,3,FALSE))</f>
        <v>60</v>
      </c>
      <c r="N56" s="4">
        <f>(VLOOKUP('7.0.3'!V56,'7.0.3'!$AM$4:$AO$55,3,FALSE))</f>
        <v>60</v>
      </c>
      <c r="O56" s="5">
        <f>(VLOOKUP('7.0.3'!W56,'7.0.3'!$AM$4:$AO$55,3,FALSE))</f>
        <v>0</v>
      </c>
      <c r="P56" s="5">
        <f>(VLOOKUP('7.0.3'!X56,'7.0.3'!$AM$4:$AO$55,3,FALSE))</f>
        <v>0</v>
      </c>
      <c r="Q56" s="4">
        <f>(VLOOKUP('7.0.3'!Y56,'7.0.3'!$AM$4:$AO$55,3,FALSE))</f>
        <v>0</v>
      </c>
      <c r="R56" s="4">
        <f>(VLOOKUP('7.0.3'!Z56,'7.0.3'!$AM$4:$AO$55,3,FALSE))</f>
        <v>0</v>
      </c>
      <c r="S56" s="4">
        <f>(VLOOKUP('7.0.3'!AA56,'7.0.3'!$AM$4:$AO$55,3,FALSE))</f>
        <v>0</v>
      </c>
      <c r="T56" s="4">
        <f>(VLOOKUP('7.0.3'!AB56,'7.0.3'!$AM$4:$AO$55,3,FALSE))</f>
        <v>0</v>
      </c>
      <c r="U56" s="4">
        <f>(VLOOKUP('7.0.3'!AC56,'7.0.3'!$AM$4:$AO$55,3,FALSE))</f>
        <v>0</v>
      </c>
      <c r="V56" s="4">
        <f>(VLOOKUP('7.0.3'!AD56,'7.0.3'!$AM$4:$AO$55,3,FALSE))</f>
        <v>0</v>
      </c>
      <c r="W56" s="5">
        <f>(VLOOKUP('7.0.3'!AE56,'7.0.3'!$AM$4:$AO$55,3,FALSE))</f>
        <v>0</v>
      </c>
      <c r="X56" s="5">
        <f>(VLOOKUP('7.0.3'!AF56,'7.0.3'!$AM$4:$AO$55,3,FALSE))</f>
        <v>0</v>
      </c>
    </row>
    <row r="57" spans="1:24">
      <c r="A57" s="4">
        <f>(VLOOKUP('7.0.3'!I57,'7.0.3'!$AM$4:$AO$55,3,FALSE))</f>
        <v>55</v>
      </c>
      <c r="B57" s="4">
        <f>(VLOOKUP('7.0.3'!J57,'7.0.3'!$AM$4:$AO$55,3,FALSE))</f>
        <v>55</v>
      </c>
      <c r="C57" s="4">
        <f>(VLOOKUP('7.0.3'!K57,'7.0.3'!$AM$4:$AO$55,3,FALSE))</f>
        <v>55</v>
      </c>
      <c r="D57" s="4">
        <f>(VLOOKUP('7.0.3'!L57,'7.0.3'!$AM$4:$AO$55,3,FALSE))</f>
        <v>55</v>
      </c>
      <c r="E57" s="4">
        <f>(VLOOKUP('7.0.3'!M57,'7.0.3'!$AM$4:$AO$55,3,FALSE))</f>
        <v>0</v>
      </c>
      <c r="F57" s="4">
        <f>(VLOOKUP('7.0.3'!N57,'7.0.3'!$AM$4:$AO$55,3,FALSE))</f>
        <v>0</v>
      </c>
      <c r="G57" s="5">
        <f>(VLOOKUP('7.0.3'!O57,'7.0.3'!$AM$4:$AO$55,3,FALSE))</f>
        <v>0</v>
      </c>
      <c r="H57" s="5">
        <f>(VLOOKUP('7.0.3'!P57,'7.0.3'!$AM$4:$AO$55,3,FALSE))</f>
        <v>0</v>
      </c>
      <c r="I57" s="4">
        <f>(VLOOKUP('7.0.3'!Q57,'7.0.3'!$AM$4:$AO$55,3,FALSE))</f>
        <v>60</v>
      </c>
      <c r="J57" s="4">
        <f>(VLOOKUP('7.0.3'!R57,'7.0.3'!$AM$4:$AO$55,3,FALSE))</f>
        <v>60</v>
      </c>
      <c r="K57" s="4">
        <f>(VLOOKUP('7.0.3'!S57,'7.0.3'!$AM$4:$AO$55,3,FALSE))</f>
        <v>60</v>
      </c>
      <c r="L57" s="4">
        <f>(VLOOKUP('7.0.3'!T57,'7.0.3'!$AM$4:$AO$55,3,FALSE))</f>
        <v>60</v>
      </c>
      <c r="M57" s="4">
        <f>(VLOOKUP('7.0.3'!U57,'7.0.3'!$AM$4:$AO$55,3,FALSE))</f>
        <v>60</v>
      </c>
      <c r="N57" s="4">
        <f>(VLOOKUP('7.0.3'!V57,'7.0.3'!$AM$4:$AO$55,3,FALSE))</f>
        <v>60</v>
      </c>
      <c r="O57" s="5">
        <f>(VLOOKUP('7.0.3'!W57,'7.0.3'!$AM$4:$AO$55,3,FALSE))</f>
        <v>0</v>
      </c>
      <c r="P57" s="5">
        <f>(VLOOKUP('7.0.3'!X57,'7.0.3'!$AM$4:$AO$55,3,FALSE))</f>
        <v>0</v>
      </c>
      <c r="Q57" s="4">
        <f>(VLOOKUP('7.0.3'!Y57,'7.0.3'!$AM$4:$AO$55,3,FALSE))</f>
        <v>0</v>
      </c>
      <c r="R57" s="4">
        <f>(VLOOKUP('7.0.3'!Z57,'7.0.3'!$AM$4:$AO$55,3,FALSE))</f>
        <v>0</v>
      </c>
      <c r="S57" s="4">
        <f>(VLOOKUP('7.0.3'!AA57,'7.0.3'!$AM$4:$AO$55,3,FALSE))</f>
        <v>0</v>
      </c>
      <c r="T57" s="4">
        <f>(VLOOKUP('7.0.3'!AB57,'7.0.3'!$AM$4:$AO$55,3,FALSE))</f>
        <v>0</v>
      </c>
      <c r="U57" s="4">
        <f>(VLOOKUP('7.0.3'!AC57,'7.0.3'!$AM$4:$AO$55,3,FALSE))</f>
        <v>0</v>
      </c>
      <c r="V57" s="4">
        <f>(VLOOKUP('7.0.3'!AD57,'7.0.3'!$AM$4:$AO$55,3,FALSE))</f>
        <v>0</v>
      </c>
      <c r="W57" s="5">
        <f>(VLOOKUP('7.0.3'!AE57,'7.0.3'!$AM$4:$AO$55,3,FALSE))</f>
        <v>0</v>
      </c>
      <c r="X57" s="5">
        <f>(VLOOKUP('7.0.3'!AF57,'7.0.3'!$AM$4:$AO$55,3,FALSE))</f>
        <v>0</v>
      </c>
    </row>
    <row r="58" spans="1:24">
      <c r="A58" s="4">
        <f>(VLOOKUP('7.0.3'!I58,'7.0.3'!$AM$4:$AO$55,3,FALSE))</f>
        <v>55</v>
      </c>
      <c r="B58" s="4">
        <f>(VLOOKUP('7.0.3'!J58,'7.0.3'!$AM$4:$AO$55,3,FALSE))</f>
        <v>55</v>
      </c>
      <c r="C58" s="4">
        <f>(VLOOKUP('7.0.3'!K58,'7.0.3'!$AM$4:$AO$55,3,FALSE))</f>
        <v>55</v>
      </c>
      <c r="D58" s="4">
        <f>(VLOOKUP('7.0.3'!L58,'7.0.3'!$AM$4:$AO$55,3,FALSE))</f>
        <v>55</v>
      </c>
      <c r="E58" s="4">
        <f>(VLOOKUP('7.0.3'!M58,'7.0.3'!$AM$4:$AO$55,3,FALSE))</f>
        <v>0</v>
      </c>
      <c r="F58" s="4">
        <f>(VLOOKUP('7.0.3'!N58,'7.0.3'!$AM$4:$AO$55,3,FALSE))</f>
        <v>0</v>
      </c>
      <c r="G58" s="5">
        <f>(VLOOKUP('7.0.3'!O58,'7.0.3'!$AM$4:$AO$55,3,FALSE))</f>
        <v>0</v>
      </c>
      <c r="H58" s="5">
        <f>(VLOOKUP('7.0.3'!P58,'7.0.3'!$AM$4:$AO$55,3,FALSE))</f>
        <v>0</v>
      </c>
      <c r="I58" s="4">
        <f>(VLOOKUP('7.0.3'!Q58,'7.0.3'!$AM$4:$AO$55,3,FALSE))</f>
        <v>60</v>
      </c>
      <c r="J58" s="4">
        <f>(VLOOKUP('7.0.3'!R58,'7.0.3'!$AM$4:$AO$55,3,FALSE))</f>
        <v>60</v>
      </c>
      <c r="K58" s="4">
        <f>(VLOOKUP('7.0.3'!S58,'7.0.3'!$AM$4:$AO$55,3,FALSE))</f>
        <v>60</v>
      </c>
      <c r="L58" s="4">
        <f>(VLOOKUP('7.0.3'!T58,'7.0.3'!$AM$4:$AO$55,3,FALSE))</f>
        <v>60</v>
      </c>
      <c r="M58" s="4">
        <f>(VLOOKUP('7.0.3'!U58,'7.0.3'!$AM$4:$AO$55,3,FALSE))</f>
        <v>60</v>
      </c>
      <c r="N58" s="4">
        <f>(VLOOKUP('7.0.3'!V58,'7.0.3'!$AM$4:$AO$55,3,FALSE))</f>
        <v>60</v>
      </c>
      <c r="O58" s="5">
        <f>(VLOOKUP('7.0.3'!W58,'7.0.3'!$AM$4:$AO$55,3,FALSE))</f>
        <v>0</v>
      </c>
      <c r="P58" s="5">
        <f>(VLOOKUP('7.0.3'!X58,'7.0.3'!$AM$4:$AO$55,3,FALSE))</f>
        <v>0</v>
      </c>
      <c r="Q58" s="4">
        <f>(VLOOKUP('7.0.3'!Y58,'7.0.3'!$AM$4:$AO$55,3,FALSE))</f>
        <v>0</v>
      </c>
      <c r="R58" s="4">
        <f>(VLOOKUP('7.0.3'!Z58,'7.0.3'!$AM$4:$AO$55,3,FALSE))</f>
        <v>0</v>
      </c>
      <c r="S58" s="4">
        <f>(VLOOKUP('7.0.3'!AA58,'7.0.3'!$AM$4:$AO$55,3,FALSE))</f>
        <v>0</v>
      </c>
      <c r="T58" s="4">
        <f>(VLOOKUP('7.0.3'!AB58,'7.0.3'!$AM$4:$AO$55,3,FALSE))</f>
        <v>0</v>
      </c>
      <c r="U58" s="4">
        <f>(VLOOKUP('7.0.3'!AC58,'7.0.3'!$AM$4:$AO$55,3,FALSE))</f>
        <v>0</v>
      </c>
      <c r="V58" s="4">
        <f>(VLOOKUP('7.0.3'!AD58,'7.0.3'!$AM$4:$AO$55,3,FALSE))</f>
        <v>0</v>
      </c>
      <c r="W58" s="5">
        <f>(VLOOKUP('7.0.3'!AE58,'7.0.3'!$AM$4:$AO$55,3,FALSE))</f>
        <v>0</v>
      </c>
      <c r="X58" s="5">
        <f>(VLOOKUP('7.0.3'!AF58,'7.0.3'!$AM$4:$AO$55,3,FALSE))</f>
        <v>0</v>
      </c>
    </row>
    <row r="59" spans="1:24">
      <c r="A59" s="4">
        <f>(VLOOKUP('7.0.3'!I59,'7.0.3'!$AM$4:$AO$55,3,FALSE))</f>
        <v>55</v>
      </c>
      <c r="B59" s="4">
        <f>(VLOOKUP('7.0.3'!J59,'7.0.3'!$AM$4:$AO$55,3,FALSE))</f>
        <v>55</v>
      </c>
      <c r="C59" s="4">
        <f>(VLOOKUP('7.0.3'!K59,'7.0.3'!$AM$4:$AO$55,3,FALSE))</f>
        <v>55</v>
      </c>
      <c r="D59" s="4">
        <f>(VLOOKUP('7.0.3'!L59,'7.0.3'!$AM$4:$AO$55,3,FALSE))</f>
        <v>55</v>
      </c>
      <c r="E59" s="4">
        <f>(VLOOKUP('7.0.3'!M59,'7.0.3'!$AM$4:$AO$55,3,FALSE))</f>
        <v>0</v>
      </c>
      <c r="F59" s="4">
        <f>(VLOOKUP('7.0.3'!N59,'7.0.3'!$AM$4:$AO$55,3,FALSE))</f>
        <v>0</v>
      </c>
      <c r="G59" s="5">
        <f>(VLOOKUP('7.0.3'!O59,'7.0.3'!$AM$4:$AO$55,3,FALSE))</f>
        <v>0</v>
      </c>
      <c r="H59" s="5">
        <f>(VLOOKUP('7.0.3'!P59,'7.0.3'!$AM$4:$AO$55,3,FALSE))</f>
        <v>0</v>
      </c>
      <c r="I59" s="4">
        <f>(VLOOKUP('7.0.3'!Q59,'7.0.3'!$AM$4:$AO$55,3,FALSE))</f>
        <v>60</v>
      </c>
      <c r="J59" s="4">
        <f>(VLOOKUP('7.0.3'!R59,'7.0.3'!$AM$4:$AO$55,3,FALSE))</f>
        <v>60</v>
      </c>
      <c r="K59" s="4">
        <f>(VLOOKUP('7.0.3'!S59,'7.0.3'!$AM$4:$AO$55,3,FALSE))</f>
        <v>60</v>
      </c>
      <c r="L59" s="4">
        <f>(VLOOKUP('7.0.3'!T59,'7.0.3'!$AM$4:$AO$55,3,FALSE))</f>
        <v>60</v>
      </c>
      <c r="M59" s="4">
        <f>(VLOOKUP('7.0.3'!U59,'7.0.3'!$AM$4:$AO$55,3,FALSE))</f>
        <v>60</v>
      </c>
      <c r="N59" s="4">
        <f>(VLOOKUP('7.0.3'!V59,'7.0.3'!$AM$4:$AO$55,3,FALSE))</f>
        <v>60</v>
      </c>
      <c r="O59" s="5">
        <f>(VLOOKUP('7.0.3'!W59,'7.0.3'!$AM$4:$AO$55,3,FALSE))</f>
        <v>0</v>
      </c>
      <c r="P59" s="5">
        <f>(VLOOKUP('7.0.3'!X59,'7.0.3'!$AM$4:$AO$55,3,FALSE))</f>
        <v>0</v>
      </c>
      <c r="Q59" s="4">
        <f>(VLOOKUP('7.0.3'!Y59,'7.0.3'!$AM$4:$AO$55,3,FALSE))</f>
        <v>0</v>
      </c>
      <c r="R59" s="4">
        <f>(VLOOKUP('7.0.3'!Z59,'7.0.3'!$AM$4:$AO$55,3,FALSE))</f>
        <v>0</v>
      </c>
      <c r="S59" s="4">
        <f>(VLOOKUP('7.0.3'!AA59,'7.0.3'!$AM$4:$AO$55,3,FALSE))</f>
        <v>0</v>
      </c>
      <c r="T59" s="4">
        <f>(VLOOKUP('7.0.3'!AB59,'7.0.3'!$AM$4:$AO$55,3,FALSE))</f>
        <v>0</v>
      </c>
      <c r="U59" s="4">
        <f>(VLOOKUP('7.0.3'!AC59,'7.0.3'!$AM$4:$AO$55,3,FALSE))</f>
        <v>0</v>
      </c>
      <c r="V59" s="4">
        <f>(VLOOKUP('7.0.3'!AD59,'7.0.3'!$AM$4:$AO$55,3,FALSE))</f>
        <v>0</v>
      </c>
      <c r="W59" s="5">
        <f>(VLOOKUP('7.0.3'!AE59,'7.0.3'!$AM$4:$AO$55,3,FALSE))</f>
        <v>0</v>
      </c>
      <c r="X59" s="5">
        <f>(VLOOKUP('7.0.3'!AF59,'7.0.3'!$AM$4:$AO$55,3,FALSE))</f>
        <v>0</v>
      </c>
    </row>
    <row r="60" spans="1:24">
      <c r="A60" s="4">
        <f>(VLOOKUP('7.0.3'!I60,'7.0.3'!$AM$4:$AO$55,3,FALSE))</f>
        <v>55</v>
      </c>
      <c r="B60" s="4">
        <f>(VLOOKUP('7.0.3'!J60,'7.0.3'!$AM$4:$AO$55,3,FALSE))</f>
        <v>55</v>
      </c>
      <c r="C60" s="4">
        <f>(VLOOKUP('7.0.3'!K60,'7.0.3'!$AM$4:$AO$55,3,FALSE))</f>
        <v>55</v>
      </c>
      <c r="D60" s="4">
        <f>(VLOOKUP('7.0.3'!L60,'7.0.3'!$AM$4:$AO$55,3,FALSE))</f>
        <v>55</v>
      </c>
      <c r="E60" s="4">
        <f>(VLOOKUP('7.0.3'!M60,'7.0.3'!$AM$4:$AO$55,3,FALSE))</f>
        <v>0</v>
      </c>
      <c r="F60" s="4">
        <f>(VLOOKUP('7.0.3'!N60,'7.0.3'!$AM$4:$AO$55,3,FALSE))</f>
        <v>0</v>
      </c>
      <c r="G60" s="5">
        <f>(VLOOKUP('7.0.3'!O60,'7.0.3'!$AM$4:$AO$55,3,FALSE))</f>
        <v>0</v>
      </c>
      <c r="H60" s="5">
        <f>(VLOOKUP('7.0.3'!P60,'7.0.3'!$AM$4:$AO$55,3,FALSE))</f>
        <v>0</v>
      </c>
      <c r="I60" s="4">
        <f>(VLOOKUP('7.0.3'!Q60,'7.0.3'!$AM$4:$AO$55,3,FALSE))</f>
        <v>60</v>
      </c>
      <c r="J60" s="4">
        <f>(VLOOKUP('7.0.3'!R60,'7.0.3'!$AM$4:$AO$55,3,FALSE))</f>
        <v>60</v>
      </c>
      <c r="K60" s="4">
        <f>(VLOOKUP('7.0.3'!S60,'7.0.3'!$AM$4:$AO$55,3,FALSE))</f>
        <v>60</v>
      </c>
      <c r="L60" s="4">
        <f>(VLOOKUP('7.0.3'!T60,'7.0.3'!$AM$4:$AO$55,3,FALSE))</f>
        <v>60</v>
      </c>
      <c r="M60" s="4">
        <f>(VLOOKUP('7.0.3'!U60,'7.0.3'!$AM$4:$AO$55,3,FALSE))</f>
        <v>60</v>
      </c>
      <c r="N60" s="4">
        <f>(VLOOKUP('7.0.3'!V60,'7.0.3'!$AM$4:$AO$55,3,FALSE))</f>
        <v>60</v>
      </c>
      <c r="O60" s="5">
        <f>(VLOOKUP('7.0.3'!W60,'7.0.3'!$AM$4:$AO$55,3,FALSE))</f>
        <v>0</v>
      </c>
      <c r="P60" s="5">
        <f>(VLOOKUP('7.0.3'!X60,'7.0.3'!$AM$4:$AO$55,3,FALSE))</f>
        <v>0</v>
      </c>
      <c r="Q60" s="4">
        <f>(VLOOKUP('7.0.3'!Y60,'7.0.3'!$AM$4:$AO$55,3,FALSE))</f>
        <v>0</v>
      </c>
      <c r="R60" s="4">
        <f>(VLOOKUP('7.0.3'!Z60,'7.0.3'!$AM$4:$AO$55,3,FALSE))</f>
        <v>0</v>
      </c>
      <c r="S60" s="4">
        <f>(VLOOKUP('7.0.3'!AA60,'7.0.3'!$AM$4:$AO$55,3,FALSE))</f>
        <v>0</v>
      </c>
      <c r="T60" s="4">
        <f>(VLOOKUP('7.0.3'!AB60,'7.0.3'!$AM$4:$AO$55,3,FALSE))</f>
        <v>0</v>
      </c>
      <c r="U60" s="4">
        <f>(VLOOKUP('7.0.3'!AC60,'7.0.3'!$AM$4:$AO$55,3,FALSE))</f>
        <v>0</v>
      </c>
      <c r="V60" s="4">
        <f>(VLOOKUP('7.0.3'!AD60,'7.0.3'!$AM$4:$AO$55,3,FALSE))</f>
        <v>0</v>
      </c>
      <c r="W60" s="5">
        <f>(VLOOKUP('7.0.3'!AE60,'7.0.3'!$AM$4:$AO$55,3,FALSE))</f>
        <v>0</v>
      </c>
      <c r="X60" s="5">
        <f>(VLOOKUP('7.0.3'!AF60,'7.0.3'!$AM$4:$AO$55,3,FALSE))</f>
        <v>0</v>
      </c>
    </row>
    <row r="61" spans="1:24">
      <c r="A61" s="4">
        <f>(VLOOKUP('7.0.3'!I61,'7.0.3'!$AM$4:$AO$55,3,FALSE))</f>
        <v>55</v>
      </c>
      <c r="B61" s="4">
        <f>(VLOOKUP('7.0.3'!J61,'7.0.3'!$AM$4:$AO$55,3,FALSE))</f>
        <v>55</v>
      </c>
      <c r="C61" s="4">
        <f>(VLOOKUP('7.0.3'!K61,'7.0.3'!$AM$4:$AO$55,3,FALSE))</f>
        <v>55</v>
      </c>
      <c r="D61" s="4">
        <f>(VLOOKUP('7.0.3'!L61,'7.0.3'!$AM$4:$AO$55,3,FALSE))</f>
        <v>55</v>
      </c>
      <c r="E61" s="4">
        <f>(VLOOKUP('7.0.3'!M61,'7.0.3'!$AM$4:$AO$55,3,FALSE))</f>
        <v>55</v>
      </c>
      <c r="F61" s="4">
        <f>(VLOOKUP('7.0.3'!N61,'7.0.3'!$AM$4:$AO$55,3,FALSE))</f>
        <v>0</v>
      </c>
      <c r="G61" s="5">
        <f>(VLOOKUP('7.0.3'!O61,'7.0.3'!$AM$4:$AO$55,3,FALSE))</f>
        <v>0</v>
      </c>
      <c r="H61" s="5">
        <f>(VLOOKUP('7.0.3'!P61,'7.0.3'!$AM$4:$AO$55,3,FALSE))</f>
        <v>0</v>
      </c>
      <c r="I61" s="4">
        <f>(VLOOKUP('7.0.3'!Q61,'7.0.3'!$AM$4:$AO$55,3,FALSE))</f>
        <v>60</v>
      </c>
      <c r="J61" s="4">
        <f>(VLOOKUP('7.0.3'!R61,'7.0.3'!$AM$4:$AO$55,3,FALSE))</f>
        <v>60</v>
      </c>
      <c r="K61" s="4">
        <f>(VLOOKUP('7.0.3'!S61,'7.0.3'!$AM$4:$AO$55,3,FALSE))</f>
        <v>60</v>
      </c>
      <c r="L61" s="4">
        <f>(VLOOKUP('7.0.3'!T61,'7.0.3'!$AM$4:$AO$55,3,FALSE))</f>
        <v>60</v>
      </c>
      <c r="M61" s="4">
        <f>(VLOOKUP('7.0.3'!U61,'7.0.3'!$AM$4:$AO$55,3,FALSE))</f>
        <v>60</v>
      </c>
      <c r="N61" s="4">
        <f>(VLOOKUP('7.0.3'!V61,'7.0.3'!$AM$4:$AO$55,3,FALSE))</f>
        <v>60</v>
      </c>
      <c r="O61" s="5">
        <f>(VLOOKUP('7.0.3'!W61,'7.0.3'!$AM$4:$AO$55,3,FALSE))</f>
        <v>0</v>
      </c>
      <c r="P61" s="5">
        <f>(VLOOKUP('7.0.3'!X61,'7.0.3'!$AM$4:$AO$55,3,FALSE))</f>
        <v>0</v>
      </c>
      <c r="Q61" s="4">
        <f>(VLOOKUP('7.0.3'!Y61,'7.0.3'!$AM$4:$AO$55,3,FALSE))</f>
        <v>0</v>
      </c>
      <c r="R61" s="4">
        <f>(VLOOKUP('7.0.3'!Z61,'7.0.3'!$AM$4:$AO$55,3,FALSE))</f>
        <v>0</v>
      </c>
      <c r="S61" s="4">
        <f>(VLOOKUP('7.0.3'!AA61,'7.0.3'!$AM$4:$AO$55,3,FALSE))</f>
        <v>0</v>
      </c>
      <c r="T61" s="4">
        <f>(VLOOKUP('7.0.3'!AB61,'7.0.3'!$AM$4:$AO$55,3,FALSE))</f>
        <v>0</v>
      </c>
      <c r="U61" s="4">
        <f>(VLOOKUP('7.0.3'!AC61,'7.0.3'!$AM$4:$AO$55,3,FALSE))</f>
        <v>0</v>
      </c>
      <c r="V61" s="4">
        <f>(VLOOKUP('7.0.3'!AD61,'7.0.3'!$AM$4:$AO$55,3,FALSE))</f>
        <v>0</v>
      </c>
      <c r="W61" s="5">
        <f>(VLOOKUP('7.0.3'!AE61,'7.0.3'!$AM$4:$AO$55,3,FALSE))</f>
        <v>0</v>
      </c>
      <c r="X61" s="5">
        <f>(VLOOKUP('7.0.3'!AF61,'7.0.3'!$AM$4:$AO$55,3,FALSE))</f>
        <v>0</v>
      </c>
    </row>
    <row r="62" spans="1:24">
      <c r="A62" s="4">
        <f>(VLOOKUP('7.0.3'!I62,'7.0.3'!$AM$4:$AO$55,3,FALSE))</f>
        <v>55</v>
      </c>
      <c r="B62" s="4">
        <f>(VLOOKUP('7.0.3'!J62,'7.0.3'!$AM$4:$AO$55,3,FALSE))</f>
        <v>55</v>
      </c>
      <c r="C62" s="4">
        <f>(VLOOKUP('7.0.3'!K62,'7.0.3'!$AM$4:$AO$55,3,FALSE))</f>
        <v>55</v>
      </c>
      <c r="D62" s="4">
        <f>(VLOOKUP('7.0.3'!L62,'7.0.3'!$AM$4:$AO$55,3,FALSE))</f>
        <v>55</v>
      </c>
      <c r="E62" s="4">
        <f>(VLOOKUP('7.0.3'!M62,'7.0.3'!$AM$4:$AO$55,3,FALSE))</f>
        <v>0</v>
      </c>
      <c r="F62" s="4">
        <f>(VLOOKUP('7.0.3'!N62,'7.0.3'!$AM$4:$AO$55,3,FALSE))</f>
        <v>0</v>
      </c>
      <c r="G62" s="5">
        <f>(VLOOKUP('7.0.3'!O62,'7.0.3'!$AM$4:$AO$55,3,FALSE))</f>
        <v>0</v>
      </c>
      <c r="H62" s="5">
        <f>(VLOOKUP('7.0.3'!P62,'7.0.3'!$AM$4:$AO$55,3,FALSE))</f>
        <v>0</v>
      </c>
      <c r="I62" s="4">
        <f>(VLOOKUP('7.0.3'!Q62,'7.0.3'!$AM$4:$AO$55,3,FALSE))</f>
        <v>60</v>
      </c>
      <c r="J62" s="4">
        <f>(VLOOKUP('7.0.3'!R62,'7.0.3'!$AM$4:$AO$55,3,FALSE))</f>
        <v>60</v>
      </c>
      <c r="K62" s="4">
        <f>(VLOOKUP('7.0.3'!S62,'7.0.3'!$AM$4:$AO$55,3,FALSE))</f>
        <v>60</v>
      </c>
      <c r="L62" s="4">
        <f>(VLOOKUP('7.0.3'!T62,'7.0.3'!$AM$4:$AO$55,3,FALSE))</f>
        <v>60</v>
      </c>
      <c r="M62" s="4">
        <f>(VLOOKUP('7.0.3'!U62,'7.0.3'!$AM$4:$AO$55,3,FALSE))</f>
        <v>60</v>
      </c>
      <c r="N62" s="4">
        <f>(VLOOKUP('7.0.3'!V62,'7.0.3'!$AM$4:$AO$55,3,FALSE))</f>
        <v>60</v>
      </c>
      <c r="O62" s="5">
        <f>(VLOOKUP('7.0.3'!W62,'7.0.3'!$AM$4:$AO$55,3,FALSE))</f>
        <v>0</v>
      </c>
      <c r="P62" s="5">
        <f>(VLOOKUP('7.0.3'!X62,'7.0.3'!$AM$4:$AO$55,3,FALSE))</f>
        <v>0</v>
      </c>
      <c r="Q62" s="4">
        <f>(VLOOKUP('7.0.3'!Y62,'7.0.3'!$AM$4:$AO$55,3,FALSE))</f>
        <v>0</v>
      </c>
      <c r="R62" s="4">
        <f>(VLOOKUP('7.0.3'!Z62,'7.0.3'!$AM$4:$AO$55,3,FALSE))</f>
        <v>0</v>
      </c>
      <c r="S62" s="4">
        <f>(VLOOKUP('7.0.3'!AA62,'7.0.3'!$AM$4:$AO$55,3,FALSE))</f>
        <v>0</v>
      </c>
      <c r="T62" s="4">
        <f>(VLOOKUP('7.0.3'!AB62,'7.0.3'!$AM$4:$AO$55,3,FALSE))</f>
        <v>0</v>
      </c>
      <c r="U62" s="4">
        <f>(VLOOKUP('7.0.3'!AC62,'7.0.3'!$AM$4:$AO$55,3,FALSE))</f>
        <v>0</v>
      </c>
      <c r="V62" s="4">
        <f>(VLOOKUP('7.0.3'!AD62,'7.0.3'!$AM$4:$AO$55,3,FALSE))</f>
        <v>0</v>
      </c>
      <c r="W62" s="5">
        <f>(VLOOKUP('7.0.3'!AE62,'7.0.3'!$AM$4:$AO$55,3,FALSE))</f>
        <v>0</v>
      </c>
      <c r="X62" s="5">
        <f>(VLOOKUP('7.0.3'!AF62,'7.0.3'!$AM$4:$AO$55,3,FALSE))</f>
        <v>0</v>
      </c>
    </row>
    <row r="63" spans="1:24">
      <c r="A63" s="4">
        <f>(VLOOKUP('7.0.3'!I63,'7.0.3'!$AM$4:$AO$55,3,FALSE))</f>
        <v>55</v>
      </c>
      <c r="B63" s="4">
        <f>(VLOOKUP('7.0.3'!J63,'7.0.3'!$AM$4:$AO$55,3,FALSE))</f>
        <v>55</v>
      </c>
      <c r="C63" s="4">
        <f>(VLOOKUP('7.0.3'!K63,'7.0.3'!$AM$4:$AO$55,3,FALSE))</f>
        <v>55</v>
      </c>
      <c r="D63" s="4">
        <f>(VLOOKUP('7.0.3'!L63,'7.0.3'!$AM$4:$AO$55,3,FALSE))</f>
        <v>50</v>
      </c>
      <c r="E63" s="4">
        <f>(VLOOKUP('7.0.3'!M63,'7.0.3'!$AM$4:$AO$55,3,FALSE))</f>
        <v>0</v>
      </c>
      <c r="F63" s="4">
        <f>(VLOOKUP('7.0.3'!N63,'7.0.3'!$AM$4:$AO$55,3,FALSE))</f>
        <v>0</v>
      </c>
      <c r="G63" s="5">
        <f>(VLOOKUP('7.0.3'!O63,'7.0.3'!$AM$4:$AO$55,3,FALSE))</f>
        <v>0</v>
      </c>
      <c r="H63" s="5">
        <f>(VLOOKUP('7.0.3'!P63,'7.0.3'!$AM$4:$AO$55,3,FALSE))</f>
        <v>0</v>
      </c>
      <c r="I63" s="4">
        <f>(VLOOKUP('7.0.3'!Q63,'7.0.3'!$AM$4:$AO$55,3,FALSE))</f>
        <v>60</v>
      </c>
      <c r="J63" s="4">
        <f>(VLOOKUP('7.0.3'!R63,'7.0.3'!$AM$4:$AO$55,3,FALSE))</f>
        <v>60</v>
      </c>
      <c r="K63" s="4">
        <f>(VLOOKUP('7.0.3'!S63,'7.0.3'!$AM$4:$AO$55,3,FALSE))</f>
        <v>60</v>
      </c>
      <c r="L63" s="4">
        <f>(VLOOKUP('7.0.3'!T63,'7.0.3'!$AM$4:$AO$55,3,FALSE))</f>
        <v>60</v>
      </c>
      <c r="M63" s="4">
        <f>(VLOOKUP('7.0.3'!U63,'7.0.3'!$AM$4:$AO$55,3,FALSE))</f>
        <v>60</v>
      </c>
      <c r="N63" s="4">
        <f>(VLOOKUP('7.0.3'!V63,'7.0.3'!$AM$4:$AO$55,3,FALSE))</f>
        <v>60</v>
      </c>
      <c r="O63" s="5">
        <f>(VLOOKUP('7.0.3'!W63,'7.0.3'!$AM$4:$AO$55,3,FALSE))</f>
        <v>0</v>
      </c>
      <c r="P63" s="5">
        <f>(VLOOKUP('7.0.3'!X63,'7.0.3'!$AM$4:$AO$55,3,FALSE))</f>
        <v>0</v>
      </c>
      <c r="Q63" s="4">
        <f>(VLOOKUP('7.0.3'!Y63,'7.0.3'!$AM$4:$AO$55,3,FALSE))</f>
        <v>0</v>
      </c>
      <c r="R63" s="4">
        <f>(VLOOKUP('7.0.3'!Z63,'7.0.3'!$AM$4:$AO$55,3,FALSE))</f>
        <v>0</v>
      </c>
      <c r="S63" s="4">
        <f>(VLOOKUP('7.0.3'!AA63,'7.0.3'!$AM$4:$AO$55,3,FALSE))</f>
        <v>0</v>
      </c>
      <c r="T63" s="4">
        <f>(VLOOKUP('7.0.3'!AB63,'7.0.3'!$AM$4:$AO$55,3,FALSE))</f>
        <v>0</v>
      </c>
      <c r="U63" s="4">
        <f>(VLOOKUP('7.0.3'!AC63,'7.0.3'!$AM$4:$AO$55,3,FALSE))</f>
        <v>0</v>
      </c>
      <c r="V63" s="4">
        <f>(VLOOKUP('7.0.3'!AD63,'7.0.3'!$AM$4:$AO$55,3,FALSE))</f>
        <v>0</v>
      </c>
      <c r="W63" s="5">
        <f>(VLOOKUP('7.0.3'!AE63,'7.0.3'!$AM$4:$AO$55,3,FALSE))</f>
        <v>0</v>
      </c>
      <c r="X63" s="5">
        <f>(VLOOKUP('7.0.3'!AF63,'7.0.3'!$AM$4:$AO$55,3,FALSE))</f>
        <v>0</v>
      </c>
    </row>
    <row r="64" spans="1:24">
      <c r="A64" s="4">
        <f>(VLOOKUP('7.0.3'!I64,'7.0.3'!$AM$4:$AO$55,3,FALSE))</f>
        <v>50</v>
      </c>
      <c r="B64" s="4">
        <f>(VLOOKUP('7.0.3'!J64,'7.0.3'!$AM$4:$AO$55,3,FALSE))</f>
        <v>0</v>
      </c>
      <c r="C64" s="4">
        <f>(VLOOKUP('7.0.3'!K64,'7.0.3'!$AM$4:$AO$55,3,FALSE))</f>
        <v>50</v>
      </c>
      <c r="D64" s="4">
        <f>(VLOOKUP('7.0.3'!L64,'7.0.3'!$AM$4:$AO$55,3,FALSE))</f>
        <v>50</v>
      </c>
      <c r="E64" s="4">
        <f>(VLOOKUP('7.0.3'!M64,'7.0.3'!$AM$4:$AO$55,3,FALSE))</f>
        <v>50</v>
      </c>
      <c r="F64" s="4">
        <f>(VLOOKUP('7.0.3'!N64,'7.0.3'!$AM$4:$AO$55,3,FALSE))</f>
        <v>50</v>
      </c>
      <c r="G64" s="5">
        <f>(VLOOKUP('7.0.3'!O64,'7.0.3'!$AM$4:$AO$55,3,FALSE))</f>
        <v>50</v>
      </c>
      <c r="H64" s="5">
        <f>(VLOOKUP('7.0.3'!P64,'7.0.3'!$AM$4:$AO$55,3,FALSE))</f>
        <v>0</v>
      </c>
      <c r="I64" s="4">
        <f>(VLOOKUP('7.0.3'!Q64,'7.0.3'!$AM$4:$AO$55,3,FALSE))</f>
        <v>55</v>
      </c>
      <c r="J64" s="4">
        <f>(VLOOKUP('7.0.3'!R64,'7.0.3'!$AM$4:$AO$55,3,FALSE))</f>
        <v>55</v>
      </c>
      <c r="K64" s="4">
        <f>(VLOOKUP('7.0.3'!S64,'7.0.3'!$AM$4:$AO$55,3,FALSE))</f>
        <v>55</v>
      </c>
      <c r="L64" s="4">
        <f>(VLOOKUP('7.0.3'!T64,'7.0.3'!$AM$4:$AO$55,3,FALSE))</f>
        <v>55</v>
      </c>
      <c r="M64" s="4">
        <f>(VLOOKUP('7.0.3'!U64,'7.0.3'!$AM$4:$AO$55,3,FALSE))</f>
        <v>55</v>
      </c>
      <c r="N64" s="4">
        <f>(VLOOKUP('7.0.3'!V64,'7.0.3'!$AM$4:$AO$55,3,FALSE))</f>
        <v>55</v>
      </c>
      <c r="O64" s="5">
        <f>(VLOOKUP('7.0.3'!W64,'7.0.3'!$AM$4:$AO$55,3,FALSE))</f>
        <v>0</v>
      </c>
      <c r="P64" s="5">
        <f>(VLOOKUP('7.0.3'!X64,'7.0.3'!$AM$4:$AO$55,3,FALSE))</f>
        <v>0</v>
      </c>
      <c r="Q64" s="4">
        <f>(VLOOKUP('7.0.3'!Y64,'7.0.3'!$AM$4:$AO$55,3,FALSE))</f>
        <v>0</v>
      </c>
      <c r="R64" s="4">
        <f>(VLOOKUP('7.0.3'!Z64,'7.0.3'!$AM$4:$AO$55,3,FALSE))</f>
        <v>0</v>
      </c>
      <c r="S64" s="4">
        <f>(VLOOKUP('7.0.3'!AA64,'7.0.3'!$AM$4:$AO$55,3,FALSE))</f>
        <v>0</v>
      </c>
      <c r="T64" s="4">
        <f>(VLOOKUP('7.0.3'!AB64,'7.0.3'!$AM$4:$AO$55,3,FALSE))</f>
        <v>0</v>
      </c>
      <c r="U64" s="4">
        <f>(VLOOKUP('7.0.3'!AC64,'7.0.3'!$AM$4:$AO$55,3,FALSE))</f>
        <v>0</v>
      </c>
      <c r="V64" s="4">
        <f>(VLOOKUP('7.0.3'!AD64,'7.0.3'!$AM$4:$AO$55,3,FALSE))</f>
        <v>0</v>
      </c>
      <c r="W64" s="5">
        <f>(VLOOKUP('7.0.3'!AE64,'7.0.3'!$AM$4:$AO$55,3,FALSE))</f>
        <v>0</v>
      </c>
      <c r="X64" s="5">
        <f>(VLOOKUP('7.0.3'!AF64,'7.0.3'!$AM$4:$AO$55,3,FALSE))</f>
        <v>0</v>
      </c>
    </row>
    <row r="65" spans="1:24">
      <c r="A65" s="4">
        <f>(VLOOKUP('7.0.3'!I65,'7.0.3'!$AM$4:$AO$55,3,FALSE))</f>
        <v>50</v>
      </c>
      <c r="B65" s="4">
        <f>(VLOOKUP('7.0.3'!J65,'7.0.3'!$AM$4:$AO$55,3,FALSE))</f>
        <v>50</v>
      </c>
      <c r="C65" s="4">
        <f>(VLOOKUP('7.0.3'!K65,'7.0.3'!$AM$4:$AO$55,3,FALSE))</f>
        <v>50</v>
      </c>
      <c r="D65" s="4">
        <f>(VLOOKUP('7.0.3'!L65,'7.0.3'!$AM$4:$AO$55,3,FALSE))</f>
        <v>50</v>
      </c>
      <c r="E65" s="4">
        <f>(VLOOKUP('7.0.3'!M65,'7.0.3'!$AM$4:$AO$55,3,FALSE))</f>
        <v>50</v>
      </c>
      <c r="F65" s="4">
        <f>(VLOOKUP('7.0.3'!N65,'7.0.3'!$AM$4:$AO$55,3,FALSE))</f>
        <v>0</v>
      </c>
      <c r="G65" s="5">
        <f>(VLOOKUP('7.0.3'!O65,'7.0.3'!$AM$4:$AO$55,3,FALSE))</f>
        <v>0</v>
      </c>
      <c r="H65" s="5">
        <f>(VLOOKUP('7.0.3'!P65,'7.0.3'!$AM$4:$AO$55,3,FALSE))</f>
        <v>0</v>
      </c>
      <c r="I65" s="4">
        <f>(VLOOKUP('7.0.3'!Q65,'7.0.3'!$AM$4:$AO$55,3,FALSE))</f>
        <v>55</v>
      </c>
      <c r="J65" s="4">
        <f>(VLOOKUP('7.0.3'!R65,'7.0.3'!$AM$4:$AO$55,3,FALSE))</f>
        <v>55</v>
      </c>
      <c r="K65" s="4">
        <f>(VLOOKUP('7.0.3'!S65,'7.0.3'!$AM$4:$AO$55,3,FALSE))</f>
        <v>55</v>
      </c>
      <c r="L65" s="4">
        <f>(VLOOKUP('7.0.3'!T65,'7.0.3'!$AM$4:$AO$55,3,FALSE))</f>
        <v>0</v>
      </c>
      <c r="M65" s="4">
        <f>(VLOOKUP('7.0.3'!U65,'7.0.3'!$AM$4:$AO$55,3,FALSE))</f>
        <v>55</v>
      </c>
      <c r="N65" s="4">
        <f>(VLOOKUP('7.0.3'!V65,'7.0.3'!$AM$4:$AO$55,3,FALSE))</f>
        <v>55</v>
      </c>
      <c r="O65" s="5">
        <f>(VLOOKUP('7.0.3'!W65,'7.0.3'!$AM$4:$AO$55,3,FALSE))</f>
        <v>55</v>
      </c>
      <c r="P65" s="5">
        <f>(VLOOKUP('7.0.3'!X65,'7.0.3'!$AM$4:$AO$55,3,FALSE))</f>
        <v>55</v>
      </c>
      <c r="Q65" s="4">
        <f>(VLOOKUP('7.0.3'!Y65,'7.0.3'!$AM$4:$AO$55,3,FALSE))</f>
        <v>0</v>
      </c>
      <c r="R65" s="4">
        <f>(VLOOKUP('7.0.3'!Z65,'7.0.3'!$AM$4:$AO$55,3,FALSE))</f>
        <v>0</v>
      </c>
      <c r="S65" s="4">
        <f>(VLOOKUP('7.0.3'!AA65,'7.0.3'!$AM$4:$AO$55,3,FALSE))</f>
        <v>0</v>
      </c>
      <c r="T65" s="4">
        <f>(VLOOKUP('7.0.3'!AB65,'7.0.3'!$AM$4:$AO$55,3,FALSE))</f>
        <v>0</v>
      </c>
      <c r="U65" s="4">
        <f>(VLOOKUP('7.0.3'!AC65,'7.0.3'!$AM$4:$AO$55,3,FALSE))</f>
        <v>0</v>
      </c>
      <c r="V65" s="4">
        <f>(VLOOKUP('7.0.3'!AD65,'7.0.3'!$AM$4:$AO$55,3,FALSE))</f>
        <v>0</v>
      </c>
      <c r="W65" s="5">
        <f>(VLOOKUP('7.0.3'!AE65,'7.0.3'!$AM$4:$AO$55,3,FALSE))</f>
        <v>0</v>
      </c>
      <c r="X65" s="5">
        <f>(VLOOKUP('7.0.3'!AF65,'7.0.3'!$AM$4:$AO$55,3,FALSE))</f>
        <v>0</v>
      </c>
    </row>
    <row r="66" spans="1:24">
      <c r="A66" s="4">
        <f>(VLOOKUP('7.0.3'!I66,'7.0.3'!$AM$4:$AO$55,3,FALSE))</f>
        <v>50</v>
      </c>
      <c r="B66" s="4">
        <f>(VLOOKUP('7.0.3'!J66,'7.0.3'!$AM$4:$AO$55,3,FALSE))</f>
        <v>50</v>
      </c>
      <c r="C66" s="4">
        <f>(VLOOKUP('7.0.3'!K66,'7.0.3'!$AM$4:$AO$55,3,FALSE))</f>
        <v>50</v>
      </c>
      <c r="D66" s="4">
        <f>(VLOOKUP('7.0.3'!L66,'7.0.3'!$AM$4:$AO$55,3,FALSE))</f>
        <v>50</v>
      </c>
      <c r="E66" s="4">
        <f>(VLOOKUP('7.0.3'!M66,'7.0.3'!$AM$4:$AO$55,3,FALSE))</f>
        <v>50</v>
      </c>
      <c r="F66" s="4">
        <f>(VLOOKUP('7.0.3'!N66,'7.0.3'!$AM$4:$AO$55,3,FALSE))</f>
        <v>0</v>
      </c>
      <c r="G66" s="5">
        <f>(VLOOKUP('7.0.3'!O66,'7.0.3'!$AM$4:$AO$55,3,FALSE))</f>
        <v>0</v>
      </c>
      <c r="H66" s="5">
        <f>(VLOOKUP('7.0.3'!P66,'7.0.3'!$AM$4:$AO$55,3,FALSE))</f>
        <v>0</v>
      </c>
      <c r="I66" s="4">
        <f>(VLOOKUP('7.0.3'!Q66,'7.0.3'!$AM$4:$AO$55,3,FALSE))</f>
        <v>55</v>
      </c>
      <c r="J66" s="4">
        <f>(VLOOKUP('7.0.3'!R66,'7.0.3'!$AM$4:$AO$55,3,FALSE))</f>
        <v>55</v>
      </c>
      <c r="K66" s="4">
        <f>(VLOOKUP('7.0.3'!S66,'7.0.3'!$AM$4:$AO$55,3,FALSE))</f>
        <v>55</v>
      </c>
      <c r="L66" s="4">
        <f>(VLOOKUP('7.0.3'!T66,'7.0.3'!$AM$4:$AO$55,3,FALSE))</f>
        <v>55</v>
      </c>
      <c r="M66" s="4">
        <f>(VLOOKUP('7.0.3'!U66,'7.0.3'!$AM$4:$AO$55,3,FALSE))</f>
        <v>55</v>
      </c>
      <c r="N66" s="4">
        <f>(VLOOKUP('7.0.3'!V66,'7.0.3'!$AM$4:$AO$55,3,FALSE))</f>
        <v>55</v>
      </c>
      <c r="O66" s="5">
        <f>(VLOOKUP('7.0.3'!W66,'7.0.3'!$AM$4:$AO$55,3,FALSE))</f>
        <v>0</v>
      </c>
      <c r="P66" s="5">
        <f>(VLOOKUP('7.0.3'!X66,'7.0.3'!$AM$4:$AO$55,3,FALSE))</f>
        <v>0</v>
      </c>
      <c r="Q66" s="4">
        <f>(VLOOKUP('7.0.3'!Y66,'7.0.3'!$AM$4:$AO$55,3,FALSE))</f>
        <v>0</v>
      </c>
      <c r="R66" s="4">
        <f>(VLOOKUP('7.0.3'!Z66,'7.0.3'!$AM$4:$AO$55,3,FALSE))</f>
        <v>0</v>
      </c>
      <c r="S66" s="4">
        <f>(VLOOKUP('7.0.3'!AA66,'7.0.3'!$AM$4:$AO$55,3,FALSE))</f>
        <v>0</v>
      </c>
      <c r="T66" s="4">
        <f>(VLOOKUP('7.0.3'!AB66,'7.0.3'!$AM$4:$AO$55,3,FALSE))</f>
        <v>0</v>
      </c>
      <c r="U66" s="4">
        <f>(VLOOKUP('7.0.3'!AC66,'7.0.3'!$AM$4:$AO$55,3,FALSE))</f>
        <v>0</v>
      </c>
      <c r="V66" s="4">
        <f>(VLOOKUP('7.0.3'!AD66,'7.0.3'!$AM$4:$AO$55,3,FALSE))</f>
        <v>0</v>
      </c>
      <c r="W66" s="5">
        <f>(VLOOKUP('7.0.3'!AE66,'7.0.3'!$AM$4:$AO$55,3,FALSE))</f>
        <v>0</v>
      </c>
      <c r="X66" s="5">
        <f>(VLOOKUP('7.0.3'!AF66,'7.0.3'!$AM$4:$AO$55,3,FALSE))</f>
        <v>0</v>
      </c>
    </row>
    <row r="67" spans="1:24">
      <c r="A67" s="4">
        <f>(VLOOKUP('7.0.3'!I67,'7.0.3'!$AM$4:$AO$55,3,FALSE))</f>
        <v>50</v>
      </c>
      <c r="B67" s="4">
        <f>(VLOOKUP('7.0.3'!J67,'7.0.3'!$AM$4:$AO$55,3,FALSE))</f>
        <v>30</v>
      </c>
      <c r="C67" s="4">
        <f>(VLOOKUP('7.0.3'!K67,'7.0.3'!$AM$4:$AO$55,3,FALSE))</f>
        <v>50</v>
      </c>
      <c r="D67" s="4">
        <f>(VLOOKUP('7.0.3'!L67,'7.0.3'!$AM$4:$AO$55,3,FALSE))</f>
        <v>50</v>
      </c>
      <c r="E67" s="4">
        <f>(VLOOKUP('7.0.3'!M67,'7.0.3'!$AM$4:$AO$55,3,FALSE))</f>
        <v>50</v>
      </c>
      <c r="F67" s="4">
        <f>(VLOOKUP('7.0.3'!N67,'7.0.3'!$AM$4:$AO$55,3,FALSE))</f>
        <v>50</v>
      </c>
      <c r="G67" s="5">
        <f>(VLOOKUP('7.0.3'!O67,'7.0.3'!$AM$4:$AO$55,3,FALSE))</f>
        <v>0</v>
      </c>
      <c r="H67" s="5">
        <f>(VLOOKUP('7.0.3'!P67,'7.0.3'!$AM$4:$AO$55,3,FALSE))</f>
        <v>0</v>
      </c>
      <c r="I67" s="4">
        <f>(VLOOKUP('7.0.3'!Q67,'7.0.3'!$AM$4:$AO$55,3,FALSE))</f>
        <v>50</v>
      </c>
      <c r="J67" s="4">
        <f>(VLOOKUP('7.0.3'!R67,'7.0.3'!$AM$4:$AO$55,3,FALSE))</f>
        <v>50</v>
      </c>
      <c r="K67" s="4">
        <f>(VLOOKUP('7.0.3'!S67,'7.0.3'!$AM$4:$AO$55,3,FALSE))</f>
        <v>50</v>
      </c>
      <c r="L67" s="4">
        <f>(VLOOKUP('7.0.3'!T67,'7.0.3'!$AM$4:$AO$55,3,FALSE))</f>
        <v>55</v>
      </c>
      <c r="M67" s="4">
        <f>(VLOOKUP('7.0.3'!U67,'7.0.3'!$AM$4:$AO$55,3,FALSE))</f>
        <v>55</v>
      </c>
      <c r="N67" s="4">
        <f>(VLOOKUP('7.0.3'!V67,'7.0.3'!$AM$4:$AO$55,3,FALSE))</f>
        <v>50</v>
      </c>
      <c r="O67" s="5">
        <f>(VLOOKUP('7.0.3'!W67,'7.0.3'!$AM$4:$AO$55,3,FALSE))</f>
        <v>0</v>
      </c>
      <c r="P67" s="5">
        <f>(VLOOKUP('7.0.3'!X67,'7.0.3'!$AM$4:$AO$55,3,FALSE))</f>
        <v>0</v>
      </c>
      <c r="Q67" s="4">
        <f>(VLOOKUP('7.0.3'!Y67,'7.0.3'!$AM$4:$AO$55,3,FALSE))</f>
        <v>0</v>
      </c>
      <c r="R67" s="4">
        <f>(VLOOKUP('7.0.3'!Z67,'7.0.3'!$AM$4:$AO$55,3,FALSE))</f>
        <v>0</v>
      </c>
      <c r="S67" s="4">
        <f>(VLOOKUP('7.0.3'!AA67,'7.0.3'!$AM$4:$AO$55,3,FALSE))</f>
        <v>0</v>
      </c>
      <c r="T67" s="4">
        <f>(VLOOKUP('7.0.3'!AB67,'7.0.3'!$AM$4:$AO$55,3,FALSE))</f>
        <v>0</v>
      </c>
      <c r="U67" s="4">
        <f>(VLOOKUP('7.0.3'!AC67,'7.0.3'!$AM$4:$AO$55,3,FALSE))</f>
        <v>0</v>
      </c>
      <c r="V67" s="4">
        <f>(VLOOKUP('7.0.3'!AD67,'7.0.3'!$AM$4:$AO$55,3,FALSE))</f>
        <v>0</v>
      </c>
      <c r="W67" s="5">
        <f>(VLOOKUP('7.0.3'!AE67,'7.0.3'!$AM$4:$AO$55,3,FALSE))</f>
        <v>0</v>
      </c>
      <c r="X67" s="5">
        <f>(VLOOKUP('7.0.3'!AF67,'7.0.3'!$AM$4:$AO$55,3,FALSE))</f>
        <v>0</v>
      </c>
    </row>
    <row r="68" spans="1:24">
      <c r="A68" s="4">
        <f>(VLOOKUP('7.0.3'!I68,'7.0.3'!$AM$4:$AO$55,3,FALSE))</f>
        <v>50</v>
      </c>
      <c r="B68" s="4">
        <f>(VLOOKUP('7.0.3'!J68,'7.0.3'!$AM$4:$AO$55,3,FALSE))</f>
        <v>50</v>
      </c>
      <c r="C68" s="4">
        <f>(VLOOKUP('7.0.3'!K68,'7.0.3'!$AM$4:$AO$55,3,FALSE))</f>
        <v>500</v>
      </c>
      <c r="D68" s="4">
        <f>(VLOOKUP('7.0.3'!L68,'7.0.3'!$AM$4:$AO$55,3,FALSE))</f>
        <v>50</v>
      </c>
      <c r="E68" s="4">
        <f>(VLOOKUP('7.0.3'!M68,'7.0.3'!$AM$4:$AO$55,3,FALSE))</f>
        <v>0</v>
      </c>
      <c r="F68" s="4">
        <f>(VLOOKUP('7.0.3'!N68,'7.0.3'!$AM$4:$AO$55,3,FALSE))</f>
        <v>0</v>
      </c>
      <c r="G68" s="5">
        <f>(VLOOKUP('7.0.3'!O68,'7.0.3'!$AM$4:$AO$55,3,FALSE))</f>
        <v>0</v>
      </c>
      <c r="H68" s="5">
        <f>(VLOOKUP('7.0.3'!P68,'7.0.3'!$AM$4:$AO$55,3,FALSE))</f>
        <v>0</v>
      </c>
      <c r="I68" s="4">
        <f>(VLOOKUP('7.0.3'!Q68,'7.0.3'!$AM$4:$AO$55,3,FALSE))</f>
        <v>50</v>
      </c>
      <c r="J68" s="4">
        <f>(VLOOKUP('7.0.3'!R68,'7.0.3'!$AM$4:$AO$55,3,FALSE))</f>
        <v>50</v>
      </c>
      <c r="K68" s="4">
        <f>(VLOOKUP('7.0.3'!S68,'7.0.3'!$AM$4:$AO$55,3,FALSE))</f>
        <v>50</v>
      </c>
      <c r="L68" s="4">
        <f>(VLOOKUP('7.0.3'!T68,'7.0.3'!$AM$4:$AO$55,3,FALSE))</f>
        <v>50</v>
      </c>
      <c r="M68" s="4">
        <f>(VLOOKUP('7.0.3'!U68,'7.0.3'!$AM$4:$AO$55,3,FALSE))</f>
        <v>50</v>
      </c>
      <c r="N68" s="4">
        <f>(VLOOKUP('7.0.3'!V68,'7.0.3'!$AM$4:$AO$55,3,FALSE))</f>
        <v>50</v>
      </c>
      <c r="O68" s="5">
        <f>(VLOOKUP('7.0.3'!W68,'7.0.3'!$AM$4:$AO$55,3,FALSE))</f>
        <v>0</v>
      </c>
      <c r="P68" s="5">
        <f>(VLOOKUP('7.0.3'!X68,'7.0.3'!$AM$4:$AO$55,3,FALSE))</f>
        <v>0</v>
      </c>
      <c r="Q68" s="4">
        <f>(VLOOKUP('7.0.3'!Y68,'7.0.3'!$AM$4:$AO$55,3,FALSE))</f>
        <v>0</v>
      </c>
      <c r="R68" s="4">
        <f>(VLOOKUP('7.0.3'!Z68,'7.0.3'!$AM$4:$AO$55,3,FALSE))</f>
        <v>0</v>
      </c>
      <c r="S68" s="4">
        <f>(VLOOKUP('7.0.3'!AA68,'7.0.3'!$AM$4:$AO$55,3,FALSE))</f>
        <v>0</v>
      </c>
      <c r="T68" s="4">
        <f>(VLOOKUP('7.0.3'!AB68,'7.0.3'!$AM$4:$AO$55,3,FALSE))</f>
        <v>0</v>
      </c>
      <c r="U68" s="4">
        <f>(VLOOKUP('7.0.3'!AC68,'7.0.3'!$AM$4:$AO$55,3,FALSE))</f>
        <v>0</v>
      </c>
      <c r="V68" s="4">
        <f>(VLOOKUP('7.0.3'!AD68,'7.0.3'!$AM$4:$AO$55,3,FALSE))</f>
        <v>0</v>
      </c>
      <c r="W68" s="5">
        <f>(VLOOKUP('7.0.3'!AE68,'7.0.3'!$AM$4:$AO$55,3,FALSE))</f>
        <v>0</v>
      </c>
      <c r="X68" s="5">
        <f>(VLOOKUP('7.0.3'!AF68,'7.0.3'!$AM$4:$AO$55,3,FALSE))</f>
        <v>0</v>
      </c>
    </row>
    <row r="69" spans="1:24">
      <c r="A69" s="4">
        <f>(VLOOKUP('7.0.3'!I69,'7.0.3'!$AM$4:$AO$55,3,FALSE))</f>
        <v>50</v>
      </c>
      <c r="B69" s="4">
        <f>(VLOOKUP('7.0.3'!J69,'7.0.3'!$AM$4:$AO$55,3,FALSE))</f>
        <v>50</v>
      </c>
      <c r="C69" s="4">
        <f>(VLOOKUP('7.0.3'!K69,'7.0.3'!$AM$4:$AO$55,3,FALSE))</f>
        <v>50</v>
      </c>
      <c r="D69" s="4">
        <f>(VLOOKUP('7.0.3'!L69,'7.0.3'!$AM$4:$AO$55,3,FALSE))</f>
        <v>50</v>
      </c>
      <c r="E69" s="4">
        <f>(VLOOKUP('7.0.3'!M69,'7.0.3'!$AM$4:$AO$55,3,FALSE))</f>
        <v>50</v>
      </c>
      <c r="F69" s="4">
        <f>(VLOOKUP('7.0.3'!N69,'7.0.3'!$AM$4:$AO$55,3,FALSE))</f>
        <v>0</v>
      </c>
      <c r="G69" s="5">
        <f>(VLOOKUP('7.0.3'!O69,'7.0.3'!$AM$4:$AO$55,3,FALSE))</f>
        <v>0</v>
      </c>
      <c r="H69" s="5">
        <f>(VLOOKUP('7.0.3'!P69,'7.0.3'!$AM$4:$AO$55,3,FALSE))</f>
        <v>0</v>
      </c>
      <c r="I69" s="4">
        <f>(VLOOKUP('7.0.3'!Q69,'7.0.3'!$AM$4:$AO$55,3,FALSE))</f>
        <v>50</v>
      </c>
      <c r="J69" s="4">
        <f>(VLOOKUP('7.0.3'!R69,'7.0.3'!$AM$4:$AO$55,3,FALSE))</f>
        <v>50</v>
      </c>
      <c r="K69" s="4">
        <f>(VLOOKUP('7.0.3'!S69,'7.0.3'!$AM$4:$AO$55,3,FALSE))</f>
        <v>50</v>
      </c>
      <c r="L69" s="4">
        <f>(VLOOKUP('7.0.3'!T69,'7.0.3'!$AM$4:$AO$55,3,FALSE))</f>
        <v>50</v>
      </c>
      <c r="M69" s="4">
        <f>(VLOOKUP('7.0.3'!U69,'7.0.3'!$AM$4:$AO$55,3,FALSE))</f>
        <v>50</v>
      </c>
      <c r="N69" s="4">
        <f>(VLOOKUP('7.0.3'!V69,'7.0.3'!$AM$4:$AO$55,3,FALSE))</f>
        <v>500</v>
      </c>
      <c r="O69" s="5">
        <f>(VLOOKUP('7.0.3'!W69,'7.0.3'!$AM$4:$AO$55,3,FALSE))</f>
        <v>0</v>
      </c>
      <c r="P69" s="5">
        <f>(VLOOKUP('7.0.3'!X69,'7.0.3'!$AM$4:$AO$55,3,FALSE))</f>
        <v>0</v>
      </c>
      <c r="Q69" s="4">
        <f>(VLOOKUP('7.0.3'!Y69,'7.0.3'!$AM$4:$AO$55,3,FALSE))</f>
        <v>0</v>
      </c>
      <c r="R69" s="4">
        <f>(VLOOKUP('7.0.3'!Z69,'7.0.3'!$AM$4:$AO$55,3,FALSE))</f>
        <v>0</v>
      </c>
      <c r="S69" s="4">
        <f>(VLOOKUP('7.0.3'!AA69,'7.0.3'!$AM$4:$AO$55,3,FALSE))</f>
        <v>0</v>
      </c>
      <c r="T69" s="4">
        <f>(VLOOKUP('7.0.3'!AB69,'7.0.3'!$AM$4:$AO$55,3,FALSE))</f>
        <v>0</v>
      </c>
      <c r="U69" s="4">
        <f>(VLOOKUP('7.0.3'!AC69,'7.0.3'!$AM$4:$AO$55,3,FALSE))</f>
        <v>0</v>
      </c>
      <c r="V69" s="4">
        <f>(VLOOKUP('7.0.3'!AD69,'7.0.3'!$AM$4:$AO$55,3,FALSE))</f>
        <v>0</v>
      </c>
      <c r="W69" s="5">
        <f>(VLOOKUP('7.0.3'!AE69,'7.0.3'!$AM$4:$AO$55,3,FALSE))</f>
        <v>0</v>
      </c>
      <c r="X69" s="5">
        <f>(VLOOKUP('7.0.3'!AF69,'7.0.3'!$AM$4:$AO$55,3,FALSE))</f>
        <v>0</v>
      </c>
    </row>
    <row r="70" spans="1:24">
      <c r="A70" s="4">
        <f>(VLOOKUP('7.0.3'!I70,'7.0.3'!$AM$4:$AO$55,3,FALSE))</f>
        <v>50</v>
      </c>
      <c r="B70" s="4">
        <f>(VLOOKUP('7.0.3'!J70,'7.0.3'!$AM$4:$AO$55,3,FALSE))</f>
        <v>50</v>
      </c>
      <c r="C70" s="4">
        <f>(VLOOKUP('7.0.3'!K70,'7.0.3'!$AM$4:$AO$55,3,FALSE))</f>
        <v>50</v>
      </c>
      <c r="D70" s="4">
        <f>(VLOOKUP('7.0.3'!L70,'7.0.3'!$AM$4:$AO$55,3,FALSE))</f>
        <v>50</v>
      </c>
      <c r="E70" s="4">
        <f>(VLOOKUP('7.0.3'!M70,'7.0.3'!$AM$4:$AO$55,3,FALSE))</f>
        <v>50</v>
      </c>
      <c r="F70" s="4">
        <f>(VLOOKUP('7.0.3'!N70,'7.0.3'!$AM$4:$AO$55,3,FALSE))</f>
        <v>0</v>
      </c>
      <c r="G70" s="5">
        <f>(VLOOKUP('7.0.3'!O70,'7.0.3'!$AM$4:$AO$55,3,FALSE))</f>
        <v>0</v>
      </c>
      <c r="H70" s="5">
        <f>(VLOOKUP('7.0.3'!P70,'7.0.3'!$AM$4:$AO$55,3,FALSE))</f>
        <v>0</v>
      </c>
      <c r="I70" s="4">
        <f>(VLOOKUP('7.0.3'!Q70,'7.0.3'!$AM$4:$AO$55,3,FALSE))</f>
        <v>50</v>
      </c>
      <c r="J70" s="4">
        <f>(VLOOKUP('7.0.3'!R70,'7.0.3'!$AM$4:$AO$55,3,FALSE))</f>
        <v>50</v>
      </c>
      <c r="K70" s="4">
        <f>(VLOOKUP('7.0.3'!S70,'7.0.3'!$AM$4:$AO$55,3,FALSE))</f>
        <v>50</v>
      </c>
      <c r="L70" s="4">
        <f>(VLOOKUP('7.0.3'!T70,'7.0.3'!$AM$4:$AO$55,3,FALSE))</f>
        <v>50</v>
      </c>
      <c r="M70" s="4">
        <f>(VLOOKUP('7.0.3'!U70,'7.0.3'!$AM$4:$AO$55,3,FALSE))</f>
        <v>50</v>
      </c>
      <c r="N70" s="4">
        <f>(VLOOKUP('7.0.3'!V70,'7.0.3'!$AM$4:$AO$55,3,FALSE))</f>
        <v>50</v>
      </c>
      <c r="O70" s="5">
        <f>(VLOOKUP('7.0.3'!W70,'7.0.3'!$AM$4:$AO$55,3,FALSE))</f>
        <v>0</v>
      </c>
      <c r="P70" s="5">
        <f>(VLOOKUP('7.0.3'!X70,'7.0.3'!$AM$4:$AO$55,3,FALSE))</f>
        <v>0</v>
      </c>
      <c r="Q70" s="4">
        <f>(VLOOKUP('7.0.3'!Y70,'7.0.3'!$AM$4:$AO$55,3,FALSE))</f>
        <v>0</v>
      </c>
      <c r="R70" s="4">
        <f>(VLOOKUP('7.0.3'!Z70,'7.0.3'!$AM$4:$AO$55,3,FALSE))</f>
        <v>0</v>
      </c>
      <c r="S70" s="4">
        <f>(VLOOKUP('7.0.3'!AA70,'7.0.3'!$AM$4:$AO$55,3,FALSE))</f>
        <v>0</v>
      </c>
      <c r="T70" s="4">
        <f>(VLOOKUP('7.0.3'!AB70,'7.0.3'!$AM$4:$AO$55,3,FALSE))</f>
        <v>0</v>
      </c>
      <c r="U70" s="4">
        <f>(VLOOKUP('7.0.3'!AC70,'7.0.3'!$AM$4:$AO$55,3,FALSE))</f>
        <v>0</v>
      </c>
      <c r="V70" s="4">
        <f>(VLOOKUP('7.0.3'!AD70,'7.0.3'!$AM$4:$AO$55,3,FALSE))</f>
        <v>0</v>
      </c>
      <c r="W70" s="5">
        <f>(VLOOKUP('7.0.3'!AE70,'7.0.3'!$AM$4:$AO$55,3,FALSE))</f>
        <v>0</v>
      </c>
      <c r="X70" s="5">
        <f>(VLOOKUP('7.0.3'!AF70,'7.0.3'!$AM$4:$AO$55,3,FALSE))</f>
        <v>0</v>
      </c>
    </row>
    <row r="71" spans="1:24">
      <c r="A71" s="4">
        <f>(VLOOKUP('7.0.3'!I71,'7.0.3'!$AM$4:$AO$55,3,FALSE))</f>
        <v>50</v>
      </c>
      <c r="B71" s="4">
        <f>(VLOOKUP('7.0.3'!J71,'7.0.3'!$AM$4:$AO$55,3,FALSE))</f>
        <v>50</v>
      </c>
      <c r="C71" s="4">
        <f>(VLOOKUP('7.0.3'!K71,'7.0.3'!$AM$4:$AO$55,3,FALSE))</f>
        <v>50</v>
      </c>
      <c r="D71" s="4">
        <f>(VLOOKUP('7.0.3'!L71,'7.0.3'!$AM$4:$AO$55,3,FALSE))</f>
        <v>50</v>
      </c>
      <c r="E71" s="4">
        <f>(VLOOKUP('7.0.3'!M71,'7.0.3'!$AM$4:$AO$55,3,FALSE))</f>
        <v>50</v>
      </c>
      <c r="F71" s="4">
        <f>(VLOOKUP('7.0.3'!N71,'7.0.3'!$AM$4:$AO$55,3,FALSE))</f>
        <v>50</v>
      </c>
      <c r="G71" s="5">
        <f>(VLOOKUP('7.0.3'!O71,'7.0.3'!$AM$4:$AO$55,3,FALSE))</f>
        <v>0</v>
      </c>
      <c r="H71" s="5">
        <f>(VLOOKUP('7.0.3'!P71,'7.0.3'!$AM$4:$AO$55,3,FALSE))</f>
        <v>0</v>
      </c>
      <c r="I71" s="4">
        <f>(VLOOKUP('7.0.3'!Q71,'7.0.3'!$AM$4:$AO$55,3,FALSE))</f>
        <v>50</v>
      </c>
      <c r="J71" s="4">
        <f>(VLOOKUP('7.0.3'!R71,'7.0.3'!$AM$4:$AO$55,3,FALSE))</f>
        <v>30</v>
      </c>
      <c r="K71" s="4">
        <f>(VLOOKUP('7.0.3'!S71,'7.0.3'!$AM$4:$AO$55,3,FALSE))</f>
        <v>50</v>
      </c>
      <c r="L71" s="4">
        <f>(VLOOKUP('7.0.3'!T71,'7.0.3'!$AM$4:$AO$55,3,FALSE))</f>
        <v>50</v>
      </c>
      <c r="M71" s="4">
        <f>(VLOOKUP('7.0.3'!U71,'7.0.3'!$AM$4:$AO$55,3,FALSE))</f>
        <v>50</v>
      </c>
      <c r="N71" s="4">
        <f>(VLOOKUP('7.0.3'!V71,'7.0.3'!$AM$4:$AO$55,3,FALSE))</f>
        <v>50</v>
      </c>
      <c r="O71" s="5">
        <f>(VLOOKUP('7.0.3'!W71,'7.0.3'!$AM$4:$AO$55,3,FALSE))</f>
        <v>0</v>
      </c>
      <c r="P71" s="5">
        <f>(VLOOKUP('7.0.3'!X71,'7.0.3'!$AM$4:$AO$55,3,FALSE))</f>
        <v>0</v>
      </c>
      <c r="Q71" s="4">
        <f>(VLOOKUP('7.0.3'!Y71,'7.0.3'!$AM$4:$AO$55,3,FALSE))</f>
        <v>0</v>
      </c>
      <c r="R71" s="4">
        <f>(VLOOKUP('7.0.3'!Z71,'7.0.3'!$AM$4:$AO$55,3,FALSE))</f>
        <v>0</v>
      </c>
      <c r="S71" s="4">
        <f>(VLOOKUP('7.0.3'!AA71,'7.0.3'!$AM$4:$AO$55,3,FALSE))</f>
        <v>0</v>
      </c>
      <c r="T71" s="4">
        <f>(VLOOKUP('7.0.3'!AB71,'7.0.3'!$AM$4:$AO$55,3,FALSE))</f>
        <v>0</v>
      </c>
      <c r="U71" s="4">
        <f>(VLOOKUP('7.0.3'!AC71,'7.0.3'!$AM$4:$AO$55,3,FALSE))</f>
        <v>0</v>
      </c>
      <c r="V71" s="4">
        <f>(VLOOKUP('7.0.3'!AD71,'7.0.3'!$AM$4:$AO$55,3,FALSE))</f>
        <v>0</v>
      </c>
      <c r="W71" s="5">
        <f>(VLOOKUP('7.0.3'!AE71,'7.0.3'!$AM$4:$AO$55,3,FALSE))</f>
        <v>0</v>
      </c>
      <c r="X71" s="5">
        <f>(VLOOKUP('7.0.3'!AF71,'7.0.3'!$AM$4:$AO$55,3,FALSE))</f>
        <v>0</v>
      </c>
    </row>
    <row r="72" spans="1:24">
      <c r="A72" s="4">
        <f>(VLOOKUP('7.0.3'!I72,'7.0.3'!$AM$4:$AO$55,3,FALSE))</f>
        <v>50</v>
      </c>
      <c r="B72" s="4">
        <f>(VLOOKUP('7.0.3'!J72,'7.0.3'!$AM$4:$AO$55,3,FALSE))</f>
        <v>50</v>
      </c>
      <c r="C72" s="4">
        <f>(VLOOKUP('7.0.3'!K72,'7.0.3'!$AM$4:$AO$55,3,FALSE))</f>
        <v>50</v>
      </c>
      <c r="D72" s="4">
        <f>(VLOOKUP('7.0.3'!L72,'7.0.3'!$AM$4:$AO$55,3,FALSE))</f>
        <v>50</v>
      </c>
      <c r="E72" s="4">
        <f>(VLOOKUP('7.0.3'!M72,'7.0.3'!$AM$4:$AO$55,3,FALSE))</f>
        <v>50</v>
      </c>
      <c r="F72" s="4">
        <f>(VLOOKUP('7.0.3'!N72,'7.0.3'!$AM$4:$AO$55,3,FALSE))</f>
        <v>0</v>
      </c>
      <c r="G72" s="5">
        <f>(VLOOKUP('7.0.3'!O72,'7.0.3'!$AM$4:$AO$55,3,FALSE))</f>
        <v>0</v>
      </c>
      <c r="H72" s="5">
        <f>(VLOOKUP('7.0.3'!P72,'7.0.3'!$AM$4:$AO$55,3,FALSE))</f>
        <v>0</v>
      </c>
      <c r="I72" s="4">
        <f>(VLOOKUP('7.0.3'!Q72,'7.0.3'!$AM$4:$AO$55,3,FALSE))</f>
        <v>50</v>
      </c>
      <c r="J72" s="4">
        <f>(VLOOKUP('7.0.3'!R72,'7.0.3'!$AM$4:$AO$55,3,FALSE))</f>
        <v>50</v>
      </c>
      <c r="K72" s="4">
        <f>(VLOOKUP('7.0.3'!S72,'7.0.3'!$AM$4:$AO$55,3,FALSE))</f>
        <v>50</v>
      </c>
      <c r="L72" s="4">
        <f>(VLOOKUP('7.0.3'!T72,'7.0.3'!$AM$4:$AO$55,3,FALSE))</f>
        <v>50</v>
      </c>
      <c r="M72" s="4">
        <f>(VLOOKUP('7.0.3'!U72,'7.0.3'!$AM$4:$AO$55,3,FALSE))</f>
        <v>50</v>
      </c>
      <c r="N72" s="4">
        <f>(VLOOKUP('7.0.3'!V72,'7.0.3'!$AM$4:$AO$55,3,FALSE))</f>
        <v>50</v>
      </c>
      <c r="O72" s="5">
        <f>(VLOOKUP('7.0.3'!W72,'7.0.3'!$AM$4:$AO$55,3,FALSE))</f>
        <v>0</v>
      </c>
      <c r="P72" s="5">
        <f>(VLOOKUP('7.0.3'!X72,'7.0.3'!$AM$4:$AO$55,3,FALSE))</f>
        <v>0</v>
      </c>
      <c r="Q72" s="4">
        <f>(VLOOKUP('7.0.3'!Y72,'7.0.3'!$AM$4:$AO$55,3,FALSE))</f>
        <v>0</v>
      </c>
      <c r="R72" s="4">
        <f>(VLOOKUP('7.0.3'!Z72,'7.0.3'!$AM$4:$AO$55,3,FALSE))</f>
        <v>0</v>
      </c>
      <c r="S72" s="4">
        <f>(VLOOKUP('7.0.3'!AA72,'7.0.3'!$AM$4:$AO$55,3,FALSE))</f>
        <v>0</v>
      </c>
      <c r="T72" s="4">
        <f>(VLOOKUP('7.0.3'!AB72,'7.0.3'!$AM$4:$AO$55,3,FALSE))</f>
        <v>0</v>
      </c>
      <c r="U72" s="4">
        <f>(VLOOKUP('7.0.3'!AC72,'7.0.3'!$AM$4:$AO$55,3,FALSE))</f>
        <v>0</v>
      </c>
      <c r="V72" s="4">
        <f>(VLOOKUP('7.0.3'!AD72,'7.0.3'!$AM$4:$AO$55,3,FALSE))</f>
        <v>0</v>
      </c>
      <c r="W72" s="5">
        <f>(VLOOKUP('7.0.3'!AE72,'7.0.3'!$AM$4:$AO$55,3,FALSE))</f>
        <v>0</v>
      </c>
      <c r="X72" s="5">
        <f>(VLOOKUP('7.0.3'!AF72,'7.0.3'!$AM$4:$AO$55,3,FALSE))</f>
        <v>0</v>
      </c>
    </row>
    <row r="73" spans="1:24">
      <c r="A73" s="4">
        <f>(VLOOKUP('7.0.3'!I73,'7.0.3'!$AM$4:$AO$55,3,FALSE))</f>
        <v>50</v>
      </c>
      <c r="B73" s="4">
        <f>(VLOOKUP('7.0.3'!J73,'7.0.3'!$AM$4:$AO$55,3,FALSE))</f>
        <v>50</v>
      </c>
      <c r="C73" s="4">
        <f>(VLOOKUP('7.0.3'!K73,'7.0.3'!$AM$4:$AO$55,3,FALSE))</f>
        <v>50</v>
      </c>
      <c r="D73" s="4">
        <f>(VLOOKUP('7.0.3'!L73,'7.0.3'!$AM$4:$AO$55,3,FALSE))</f>
        <v>50</v>
      </c>
      <c r="E73" s="4">
        <f>(VLOOKUP('7.0.3'!M73,'7.0.3'!$AM$4:$AO$55,3,FALSE))</f>
        <v>50</v>
      </c>
      <c r="F73" s="4">
        <f>(VLOOKUP('7.0.3'!N73,'7.0.3'!$AM$4:$AO$55,3,FALSE))</f>
        <v>50</v>
      </c>
      <c r="G73" s="5">
        <f>(VLOOKUP('7.0.3'!O73,'7.0.3'!$AM$4:$AO$55,3,FALSE))</f>
        <v>0</v>
      </c>
      <c r="H73" s="5">
        <f>(VLOOKUP('7.0.3'!P73,'7.0.3'!$AM$4:$AO$55,3,FALSE))</f>
        <v>0</v>
      </c>
      <c r="I73" s="4">
        <f>(VLOOKUP('7.0.3'!Q73,'7.0.3'!$AM$4:$AO$55,3,FALSE))</f>
        <v>50</v>
      </c>
      <c r="J73" s="4">
        <f>(VLOOKUP('7.0.3'!R73,'7.0.3'!$AM$4:$AO$55,3,FALSE))</f>
        <v>50</v>
      </c>
      <c r="K73" s="4">
        <f>(VLOOKUP('7.0.3'!S73,'7.0.3'!$AM$4:$AO$55,3,FALSE))</f>
        <v>30</v>
      </c>
      <c r="L73" s="4">
        <f>(VLOOKUP('7.0.3'!T73,'7.0.3'!$AM$4:$AO$55,3,FALSE))</f>
        <v>50</v>
      </c>
      <c r="M73" s="4">
        <f>(VLOOKUP('7.0.3'!U73,'7.0.3'!$AM$4:$AO$55,3,FALSE))</f>
        <v>50</v>
      </c>
      <c r="N73" s="4">
        <f>(VLOOKUP('7.0.3'!V73,'7.0.3'!$AM$4:$AO$55,3,FALSE))</f>
        <v>50</v>
      </c>
      <c r="O73" s="5">
        <f>(VLOOKUP('7.0.3'!W73,'7.0.3'!$AM$4:$AO$55,3,FALSE))</f>
        <v>0</v>
      </c>
      <c r="P73" s="5">
        <f>(VLOOKUP('7.0.3'!X73,'7.0.3'!$AM$4:$AO$55,3,FALSE))</f>
        <v>0</v>
      </c>
      <c r="Q73" s="4">
        <f>(VLOOKUP('7.0.3'!Y73,'7.0.3'!$AM$4:$AO$55,3,FALSE))</f>
        <v>0</v>
      </c>
      <c r="R73" s="4">
        <f>(VLOOKUP('7.0.3'!Z73,'7.0.3'!$AM$4:$AO$55,3,FALSE))</f>
        <v>0</v>
      </c>
      <c r="S73" s="4">
        <f>(VLOOKUP('7.0.3'!AA73,'7.0.3'!$AM$4:$AO$55,3,FALSE))</f>
        <v>0</v>
      </c>
      <c r="T73" s="4">
        <f>(VLOOKUP('7.0.3'!AB73,'7.0.3'!$AM$4:$AO$55,3,FALSE))</f>
        <v>0</v>
      </c>
      <c r="U73" s="4">
        <f>(VLOOKUP('7.0.3'!AC73,'7.0.3'!$AM$4:$AO$55,3,FALSE))</f>
        <v>0</v>
      </c>
      <c r="V73" s="4">
        <f>(VLOOKUP('7.0.3'!AD73,'7.0.3'!$AM$4:$AO$55,3,FALSE))</f>
        <v>0</v>
      </c>
      <c r="W73" s="5">
        <f>(VLOOKUP('7.0.3'!AE73,'7.0.3'!$AM$4:$AO$55,3,FALSE))</f>
        <v>0</v>
      </c>
      <c r="X73" s="5">
        <f>(VLOOKUP('7.0.3'!AF73,'7.0.3'!$AM$4:$AO$55,3,FALSE))</f>
        <v>0</v>
      </c>
    </row>
    <row r="74" spans="1:24">
      <c r="A74" s="4">
        <f>(VLOOKUP('7.0.3'!I74,'7.0.3'!$AM$4:$AO$55,3,FALSE))</f>
        <v>50</v>
      </c>
      <c r="B74" s="4">
        <f>(VLOOKUP('7.0.3'!J74,'7.0.3'!$AM$4:$AO$55,3,FALSE))</f>
        <v>50</v>
      </c>
      <c r="C74" s="4">
        <f>(VLOOKUP('7.0.3'!K74,'7.0.3'!$AM$4:$AO$55,3,FALSE))</f>
        <v>50</v>
      </c>
      <c r="D74" s="4">
        <f>(VLOOKUP('7.0.3'!L74,'7.0.3'!$AM$4:$AO$55,3,FALSE))</f>
        <v>50</v>
      </c>
      <c r="E74" s="4">
        <f>(VLOOKUP('7.0.3'!M74,'7.0.3'!$AM$4:$AO$55,3,FALSE))</f>
        <v>50</v>
      </c>
      <c r="F74" s="4">
        <f>(VLOOKUP('7.0.3'!N74,'7.0.3'!$AM$4:$AO$55,3,FALSE))</f>
        <v>50</v>
      </c>
      <c r="G74" s="5">
        <f>(VLOOKUP('7.0.3'!O74,'7.0.3'!$AM$4:$AO$55,3,FALSE))</f>
        <v>0</v>
      </c>
      <c r="H74" s="5">
        <f>(VLOOKUP('7.0.3'!P74,'7.0.3'!$AM$4:$AO$55,3,FALSE))</f>
        <v>0</v>
      </c>
      <c r="I74" s="4">
        <f>(VLOOKUP('7.0.3'!Q74,'7.0.3'!$AM$4:$AO$55,3,FALSE))</f>
        <v>50</v>
      </c>
      <c r="J74" s="4">
        <f>(VLOOKUP('7.0.3'!R74,'7.0.3'!$AM$4:$AO$55,3,FALSE))</f>
        <v>50</v>
      </c>
      <c r="K74" s="4">
        <f>(VLOOKUP('7.0.3'!S74,'7.0.3'!$AM$4:$AO$55,3,FALSE))</f>
        <v>50</v>
      </c>
      <c r="L74" s="4">
        <f>(VLOOKUP('7.0.3'!T74,'7.0.3'!$AM$4:$AO$55,3,FALSE))</f>
        <v>45</v>
      </c>
      <c r="M74" s="4">
        <f>(VLOOKUP('7.0.3'!U74,'7.0.3'!$AM$4:$AO$55,3,FALSE))</f>
        <v>45</v>
      </c>
      <c r="N74" s="4">
        <f>(VLOOKUP('7.0.3'!V74,'7.0.3'!$AM$4:$AO$55,3,FALSE))</f>
        <v>45</v>
      </c>
      <c r="O74" s="5">
        <f>(VLOOKUP('7.0.3'!W74,'7.0.3'!$AM$4:$AO$55,3,FALSE))</f>
        <v>0</v>
      </c>
      <c r="P74" s="5">
        <f>(VLOOKUP('7.0.3'!X74,'7.0.3'!$AM$4:$AO$55,3,FALSE))</f>
        <v>0</v>
      </c>
      <c r="Q74" s="4">
        <f>(VLOOKUP('7.0.3'!Y74,'7.0.3'!$AM$4:$AO$55,3,FALSE))</f>
        <v>0</v>
      </c>
      <c r="R74" s="4">
        <f>(VLOOKUP('7.0.3'!Z74,'7.0.3'!$AM$4:$AO$55,3,FALSE))</f>
        <v>0</v>
      </c>
      <c r="S74" s="4">
        <f>(VLOOKUP('7.0.3'!AA74,'7.0.3'!$AM$4:$AO$55,3,FALSE))</f>
        <v>0</v>
      </c>
      <c r="T74" s="4">
        <f>(VLOOKUP('7.0.3'!AB74,'7.0.3'!$AM$4:$AO$55,3,FALSE))</f>
        <v>0</v>
      </c>
      <c r="U74" s="4">
        <f>(VLOOKUP('7.0.3'!AC74,'7.0.3'!$AM$4:$AO$55,3,FALSE))</f>
        <v>0</v>
      </c>
      <c r="V74" s="4">
        <f>(VLOOKUP('7.0.3'!AD74,'7.0.3'!$AM$4:$AO$55,3,FALSE))</f>
        <v>0</v>
      </c>
      <c r="W74" s="5">
        <f>(VLOOKUP('7.0.3'!AE74,'7.0.3'!$AM$4:$AO$55,3,FALSE))</f>
        <v>0</v>
      </c>
      <c r="X74" s="5">
        <f>(VLOOKUP('7.0.3'!AF74,'7.0.3'!$AM$4:$AO$55,3,FALSE))</f>
        <v>0</v>
      </c>
    </row>
    <row r="75" spans="1:24">
      <c r="A75" s="4">
        <f>(VLOOKUP('7.0.3'!I75,'7.0.3'!$AM$4:$AO$55,3,FALSE))</f>
        <v>50</v>
      </c>
      <c r="B75" s="4">
        <f>(VLOOKUP('7.0.3'!J75,'7.0.3'!$AM$4:$AO$55,3,FALSE))</f>
        <v>50</v>
      </c>
      <c r="C75" s="4">
        <f>(VLOOKUP('7.0.3'!K75,'7.0.3'!$AM$4:$AO$55,3,FALSE))</f>
        <v>50</v>
      </c>
      <c r="D75" s="4">
        <f>(VLOOKUP('7.0.3'!L75,'7.0.3'!$AM$4:$AO$55,3,FALSE))</f>
        <v>50</v>
      </c>
      <c r="E75" s="4">
        <f>(VLOOKUP('7.0.3'!M75,'7.0.3'!$AM$4:$AO$55,3,FALSE))</f>
        <v>50</v>
      </c>
      <c r="F75" s="4">
        <f>(VLOOKUP('7.0.3'!N75,'7.0.3'!$AM$4:$AO$55,3,FALSE))</f>
        <v>50</v>
      </c>
      <c r="G75" s="5">
        <f>(VLOOKUP('7.0.3'!O75,'7.0.3'!$AM$4:$AO$55,3,FALSE))</f>
        <v>0</v>
      </c>
      <c r="H75" s="5">
        <f>(VLOOKUP('7.0.3'!P75,'7.0.3'!$AM$4:$AO$55,3,FALSE))</f>
        <v>0</v>
      </c>
      <c r="I75" s="4">
        <f>(VLOOKUP('7.0.3'!Q75,'7.0.3'!$AM$4:$AO$55,3,FALSE))</f>
        <v>45</v>
      </c>
      <c r="J75" s="4">
        <f>(VLOOKUP('7.0.3'!R75,'7.0.3'!$AM$4:$AO$55,3,FALSE))</f>
        <v>45</v>
      </c>
      <c r="K75" s="4">
        <f>(VLOOKUP('7.0.3'!S75,'7.0.3'!$AM$4:$AO$55,3,FALSE))</f>
        <v>45</v>
      </c>
      <c r="L75" s="4">
        <f>(VLOOKUP('7.0.3'!T75,'7.0.3'!$AM$4:$AO$55,3,FALSE))</f>
        <v>45</v>
      </c>
      <c r="M75" s="4">
        <f>(VLOOKUP('7.0.3'!U75,'7.0.3'!$AM$4:$AO$55,3,FALSE))</f>
        <v>30</v>
      </c>
      <c r="N75" s="4">
        <f>(VLOOKUP('7.0.3'!V75,'7.0.3'!$AM$4:$AO$55,3,FALSE))</f>
        <v>45</v>
      </c>
      <c r="O75" s="5">
        <f>(VLOOKUP('7.0.3'!W75,'7.0.3'!$AM$4:$AO$55,3,FALSE))</f>
        <v>0</v>
      </c>
      <c r="P75" s="5">
        <f>(VLOOKUP('7.0.3'!X75,'7.0.3'!$AM$4:$AO$55,3,FALSE))</f>
        <v>0</v>
      </c>
      <c r="Q75" s="4">
        <f>(VLOOKUP('7.0.3'!Y75,'7.0.3'!$AM$4:$AO$55,3,FALSE))</f>
        <v>0</v>
      </c>
      <c r="R75" s="4">
        <f>(VLOOKUP('7.0.3'!Z75,'7.0.3'!$AM$4:$AO$55,3,FALSE))</f>
        <v>0</v>
      </c>
      <c r="S75" s="4">
        <f>(VLOOKUP('7.0.3'!AA75,'7.0.3'!$AM$4:$AO$55,3,FALSE))</f>
        <v>0</v>
      </c>
      <c r="T75" s="4">
        <f>(VLOOKUP('7.0.3'!AB75,'7.0.3'!$AM$4:$AO$55,3,FALSE))</f>
        <v>0</v>
      </c>
      <c r="U75" s="4">
        <f>(VLOOKUP('7.0.3'!AC75,'7.0.3'!$AM$4:$AO$55,3,FALSE))</f>
        <v>0</v>
      </c>
      <c r="V75" s="4">
        <f>(VLOOKUP('7.0.3'!AD75,'7.0.3'!$AM$4:$AO$55,3,FALSE))</f>
        <v>0</v>
      </c>
      <c r="W75" s="5">
        <f>(VLOOKUP('7.0.3'!AE75,'7.0.3'!$AM$4:$AO$55,3,FALSE))</f>
        <v>0</v>
      </c>
      <c r="X75" s="5">
        <f>(VLOOKUP('7.0.3'!AF75,'7.0.3'!$AM$4:$AO$55,3,FALSE))</f>
        <v>0</v>
      </c>
    </row>
    <row r="76" spans="1:24">
      <c r="A76" s="4">
        <f>(VLOOKUP('7.0.3'!I76,'7.0.3'!$AM$4:$AO$55,3,FALSE))</f>
        <v>50</v>
      </c>
      <c r="B76" s="4">
        <f>(VLOOKUP('7.0.3'!J76,'7.0.3'!$AM$4:$AO$55,3,FALSE))</f>
        <v>50</v>
      </c>
      <c r="C76" s="4">
        <f>(VLOOKUP('7.0.3'!K76,'7.0.3'!$AM$4:$AO$55,3,FALSE))</f>
        <v>50</v>
      </c>
      <c r="D76" s="4">
        <f>(VLOOKUP('7.0.3'!L76,'7.0.3'!$AM$4:$AO$55,3,FALSE))</f>
        <v>50</v>
      </c>
      <c r="E76" s="4">
        <f>(VLOOKUP('7.0.3'!M76,'7.0.3'!$AM$4:$AO$55,3,FALSE))</f>
        <v>50</v>
      </c>
      <c r="F76" s="4">
        <f>(VLOOKUP('7.0.3'!N76,'7.0.3'!$AM$4:$AO$55,3,FALSE))</f>
        <v>0</v>
      </c>
      <c r="G76" s="5">
        <f>(VLOOKUP('7.0.3'!O76,'7.0.3'!$AM$4:$AO$55,3,FALSE))</f>
        <v>0</v>
      </c>
      <c r="H76" s="5">
        <f>(VLOOKUP('7.0.3'!P76,'7.0.3'!$AM$4:$AO$55,3,FALSE))</f>
        <v>0</v>
      </c>
      <c r="I76" s="4">
        <f>(VLOOKUP('7.0.3'!Q76,'7.0.3'!$AM$4:$AO$55,3,FALSE))</f>
        <v>45</v>
      </c>
      <c r="J76" s="4">
        <f>(VLOOKUP('7.0.3'!R76,'7.0.3'!$AM$4:$AO$55,3,FALSE))</f>
        <v>45</v>
      </c>
      <c r="K76" s="4">
        <f>(VLOOKUP('7.0.3'!S76,'7.0.3'!$AM$4:$AO$55,3,FALSE))</f>
        <v>45</v>
      </c>
      <c r="L76" s="4">
        <f>(VLOOKUP('7.0.3'!T76,'7.0.3'!$AM$4:$AO$55,3,FALSE))</f>
        <v>45</v>
      </c>
      <c r="M76" s="4">
        <f>(VLOOKUP('7.0.3'!U76,'7.0.3'!$AM$4:$AO$55,3,FALSE))</f>
        <v>45</v>
      </c>
      <c r="N76" s="4">
        <f>(VLOOKUP('7.0.3'!V76,'7.0.3'!$AM$4:$AO$55,3,FALSE))</f>
        <v>45</v>
      </c>
      <c r="O76" s="5">
        <f>(VLOOKUP('7.0.3'!W76,'7.0.3'!$AM$4:$AO$55,3,FALSE))</f>
        <v>0</v>
      </c>
      <c r="P76" s="5">
        <f>(VLOOKUP('7.0.3'!X76,'7.0.3'!$AM$4:$AO$55,3,FALSE))</f>
        <v>0</v>
      </c>
      <c r="Q76" s="4">
        <f>(VLOOKUP('7.0.3'!Y76,'7.0.3'!$AM$4:$AO$55,3,FALSE))</f>
        <v>0</v>
      </c>
      <c r="R76" s="4">
        <f>(VLOOKUP('7.0.3'!Z76,'7.0.3'!$AM$4:$AO$55,3,FALSE))</f>
        <v>0</v>
      </c>
      <c r="S76" s="4">
        <f>(VLOOKUP('7.0.3'!AA76,'7.0.3'!$AM$4:$AO$55,3,FALSE))</f>
        <v>0</v>
      </c>
      <c r="T76" s="4">
        <f>(VLOOKUP('7.0.3'!AB76,'7.0.3'!$AM$4:$AO$55,3,FALSE))</f>
        <v>0</v>
      </c>
      <c r="U76" s="4">
        <f>(VLOOKUP('7.0.3'!AC76,'7.0.3'!$AM$4:$AO$55,3,FALSE))</f>
        <v>0</v>
      </c>
      <c r="V76" s="4">
        <f>(VLOOKUP('7.0.3'!AD76,'7.0.3'!$AM$4:$AO$55,3,FALSE))</f>
        <v>0</v>
      </c>
      <c r="W76" s="5">
        <f>(VLOOKUP('7.0.3'!AE76,'7.0.3'!$AM$4:$AO$55,3,FALSE))</f>
        <v>0</v>
      </c>
      <c r="X76" s="5">
        <f>(VLOOKUP('7.0.3'!AF76,'7.0.3'!$AM$4:$AO$55,3,FALSE))</f>
        <v>0</v>
      </c>
    </row>
    <row r="77" spans="1:24">
      <c r="A77" s="4">
        <f>(VLOOKUP('7.0.3'!I77,'7.0.3'!$AM$4:$AO$55,3,FALSE))</f>
        <v>50</v>
      </c>
      <c r="B77" s="4">
        <f>(VLOOKUP('7.0.3'!J77,'7.0.3'!$AM$4:$AO$55,3,FALSE))</f>
        <v>30</v>
      </c>
      <c r="C77" s="4">
        <f>(VLOOKUP('7.0.3'!K77,'7.0.3'!$AM$4:$AO$55,3,FALSE))</f>
        <v>50</v>
      </c>
      <c r="D77" s="4">
        <f>(VLOOKUP('7.0.3'!L77,'7.0.3'!$AM$4:$AO$55,3,FALSE))</f>
        <v>50</v>
      </c>
      <c r="E77" s="4">
        <f>(VLOOKUP('7.0.3'!M77,'7.0.3'!$AM$4:$AO$55,3,FALSE))</f>
        <v>50</v>
      </c>
      <c r="F77" s="4">
        <f>(VLOOKUP('7.0.3'!N77,'7.0.3'!$AM$4:$AO$55,3,FALSE))</f>
        <v>50</v>
      </c>
      <c r="G77" s="5">
        <f>(VLOOKUP('7.0.3'!O77,'7.0.3'!$AM$4:$AO$55,3,FALSE))</f>
        <v>0</v>
      </c>
      <c r="H77" s="5">
        <f>(VLOOKUP('7.0.3'!P77,'7.0.3'!$AM$4:$AO$55,3,FALSE))</f>
        <v>0</v>
      </c>
      <c r="I77" s="4">
        <f>(VLOOKUP('7.0.3'!Q77,'7.0.3'!$AM$4:$AO$55,3,FALSE))</f>
        <v>45</v>
      </c>
      <c r="J77" s="4">
        <f>(VLOOKUP('7.0.3'!R77,'7.0.3'!$AM$4:$AO$55,3,FALSE))</f>
        <v>45</v>
      </c>
      <c r="K77" s="4">
        <f>(VLOOKUP('7.0.3'!S77,'7.0.3'!$AM$4:$AO$55,3,FALSE))</f>
        <v>45</v>
      </c>
      <c r="L77" s="4">
        <f>(VLOOKUP('7.0.3'!T77,'7.0.3'!$AM$4:$AO$55,3,FALSE))</f>
        <v>45</v>
      </c>
      <c r="M77" s="4">
        <f>(VLOOKUP('7.0.3'!U77,'7.0.3'!$AM$4:$AO$55,3,FALSE))</f>
        <v>45</v>
      </c>
      <c r="N77" s="4">
        <f>(VLOOKUP('7.0.3'!V77,'7.0.3'!$AM$4:$AO$55,3,FALSE))</f>
        <v>45</v>
      </c>
      <c r="O77" s="5">
        <f>(VLOOKUP('7.0.3'!W77,'7.0.3'!$AM$4:$AO$55,3,FALSE))</f>
        <v>0</v>
      </c>
      <c r="P77" s="5">
        <f>(VLOOKUP('7.0.3'!X77,'7.0.3'!$AM$4:$AO$55,3,FALSE))</f>
        <v>0</v>
      </c>
      <c r="Q77" s="4">
        <f>(VLOOKUP('7.0.3'!Y77,'7.0.3'!$AM$4:$AO$55,3,FALSE))</f>
        <v>0</v>
      </c>
      <c r="R77" s="4">
        <f>(VLOOKUP('7.0.3'!Z77,'7.0.3'!$AM$4:$AO$55,3,FALSE))</f>
        <v>0</v>
      </c>
      <c r="S77" s="4">
        <f>(VLOOKUP('7.0.3'!AA77,'7.0.3'!$AM$4:$AO$55,3,FALSE))</f>
        <v>0</v>
      </c>
      <c r="T77" s="4">
        <f>(VLOOKUP('7.0.3'!AB77,'7.0.3'!$AM$4:$AO$55,3,FALSE))</f>
        <v>0</v>
      </c>
      <c r="U77" s="4">
        <f>(VLOOKUP('7.0.3'!AC77,'7.0.3'!$AM$4:$AO$55,3,FALSE))</f>
        <v>0</v>
      </c>
      <c r="V77" s="4">
        <f>(VLOOKUP('7.0.3'!AD77,'7.0.3'!$AM$4:$AO$55,3,FALSE))</f>
        <v>0</v>
      </c>
      <c r="W77" s="5">
        <f>(VLOOKUP('7.0.3'!AE77,'7.0.3'!$AM$4:$AO$55,3,FALSE))</f>
        <v>0</v>
      </c>
      <c r="X77" s="5">
        <f>(VLOOKUP('7.0.3'!AF77,'7.0.3'!$AM$4:$AO$55,3,FALSE))</f>
        <v>0</v>
      </c>
    </row>
    <row r="78" spans="1:24">
      <c r="A78" s="4">
        <f>(VLOOKUP('7.0.3'!I78,'7.0.3'!$AM$4:$AO$55,3,FALSE))</f>
        <v>50</v>
      </c>
      <c r="B78" s="4">
        <f>(VLOOKUP('7.0.3'!J78,'7.0.3'!$AM$4:$AO$55,3,FALSE))</f>
        <v>50</v>
      </c>
      <c r="C78" s="4">
        <f>(VLOOKUP('7.0.3'!K78,'7.0.3'!$AM$4:$AO$55,3,FALSE))</f>
        <v>50</v>
      </c>
      <c r="D78" s="4">
        <f>(VLOOKUP('7.0.3'!L78,'7.0.3'!$AM$4:$AO$55,3,FALSE))</f>
        <v>45</v>
      </c>
      <c r="E78" s="4">
        <f>(VLOOKUP('7.0.3'!M78,'7.0.3'!$AM$4:$AO$55,3,FALSE))</f>
        <v>45</v>
      </c>
      <c r="F78" s="4">
        <f>(VLOOKUP('7.0.3'!N78,'7.0.3'!$AM$4:$AO$55,3,FALSE))</f>
        <v>45</v>
      </c>
      <c r="G78" s="5">
        <f>(VLOOKUP('7.0.3'!O78,'7.0.3'!$AM$4:$AO$55,3,FALSE))</f>
        <v>0</v>
      </c>
      <c r="H78" s="5">
        <f>(VLOOKUP('7.0.3'!P78,'7.0.3'!$AM$4:$AO$55,3,FALSE))</f>
        <v>0</v>
      </c>
      <c r="I78" s="4">
        <f>(VLOOKUP('7.0.3'!Q78,'7.0.3'!$AM$4:$AO$55,3,FALSE))</f>
        <v>45</v>
      </c>
      <c r="J78" s="4">
        <f>(VLOOKUP('7.0.3'!R78,'7.0.3'!$AM$4:$AO$55,3,FALSE))</f>
        <v>45</v>
      </c>
      <c r="K78" s="4">
        <f>(VLOOKUP('7.0.3'!S78,'7.0.3'!$AM$4:$AO$55,3,FALSE))</f>
        <v>45</v>
      </c>
      <c r="L78" s="4">
        <f>(VLOOKUP('7.0.3'!T78,'7.0.3'!$AM$4:$AO$55,3,FALSE))</f>
        <v>45</v>
      </c>
      <c r="M78" s="4">
        <f>(VLOOKUP('7.0.3'!U78,'7.0.3'!$AM$4:$AO$55,3,FALSE))</f>
        <v>45</v>
      </c>
      <c r="N78" s="4">
        <f>(VLOOKUP('7.0.3'!V78,'7.0.3'!$AM$4:$AO$55,3,FALSE))</f>
        <v>45</v>
      </c>
      <c r="O78" s="5">
        <f>(VLOOKUP('7.0.3'!W78,'7.0.3'!$AM$4:$AO$55,3,FALSE))</f>
        <v>0</v>
      </c>
      <c r="P78" s="5">
        <f>(VLOOKUP('7.0.3'!X78,'7.0.3'!$AM$4:$AO$55,3,FALSE))</f>
        <v>0</v>
      </c>
      <c r="Q78" s="4">
        <f>(VLOOKUP('7.0.3'!Y78,'7.0.3'!$AM$4:$AO$55,3,FALSE))</f>
        <v>0</v>
      </c>
      <c r="R78" s="4">
        <f>(VLOOKUP('7.0.3'!Z78,'7.0.3'!$AM$4:$AO$55,3,FALSE))</f>
        <v>0</v>
      </c>
      <c r="S78" s="4">
        <f>(VLOOKUP('7.0.3'!AA78,'7.0.3'!$AM$4:$AO$55,3,FALSE))</f>
        <v>0</v>
      </c>
      <c r="T78" s="4">
        <f>(VLOOKUP('7.0.3'!AB78,'7.0.3'!$AM$4:$AO$55,3,FALSE))</f>
        <v>0</v>
      </c>
      <c r="U78" s="4">
        <f>(VLOOKUP('7.0.3'!AC78,'7.0.3'!$AM$4:$AO$55,3,FALSE))</f>
        <v>0</v>
      </c>
      <c r="V78" s="4">
        <f>(VLOOKUP('7.0.3'!AD78,'7.0.3'!$AM$4:$AO$55,3,FALSE))</f>
        <v>0</v>
      </c>
      <c r="W78" s="5">
        <f>(VLOOKUP('7.0.3'!AE78,'7.0.3'!$AM$4:$AO$55,3,FALSE))</f>
        <v>0</v>
      </c>
      <c r="X78" s="5">
        <f>(VLOOKUP('7.0.3'!AF78,'7.0.3'!$AM$4:$AO$55,3,FALSE))</f>
        <v>0</v>
      </c>
    </row>
    <row r="79" spans="1:24">
      <c r="A79" s="4">
        <f>(VLOOKUP('7.0.3'!I79,'7.0.3'!$AM$4:$AO$55,3,FALSE))</f>
        <v>50</v>
      </c>
      <c r="B79" s="4">
        <f>(VLOOKUP('7.0.3'!J79,'7.0.3'!$AM$4:$AO$55,3,FALSE))</f>
        <v>50</v>
      </c>
      <c r="C79" s="4">
        <f>(VLOOKUP('7.0.3'!K79,'7.0.3'!$AM$4:$AO$55,3,FALSE))</f>
        <v>50</v>
      </c>
      <c r="D79" s="4">
        <f>(VLOOKUP('7.0.3'!L79,'7.0.3'!$AM$4:$AO$55,3,FALSE))</f>
        <v>50</v>
      </c>
      <c r="E79" s="4">
        <f>(VLOOKUP('7.0.3'!M79,'7.0.3'!$AM$4:$AO$55,3,FALSE))</f>
        <v>50</v>
      </c>
      <c r="F79" s="4">
        <f>(VLOOKUP('7.0.3'!N79,'7.0.3'!$AM$4:$AO$55,3,FALSE))</f>
        <v>50</v>
      </c>
      <c r="G79" s="5">
        <f>(VLOOKUP('7.0.3'!O79,'7.0.3'!$AM$4:$AO$55,3,FALSE))</f>
        <v>0</v>
      </c>
      <c r="H79" s="5">
        <f>(VLOOKUP('7.0.3'!P79,'7.0.3'!$AM$4:$AO$55,3,FALSE))</f>
        <v>0</v>
      </c>
      <c r="I79" s="4">
        <f>(VLOOKUP('7.0.3'!Q79,'7.0.3'!$AM$4:$AO$55,3,FALSE))</f>
        <v>45</v>
      </c>
      <c r="J79" s="4">
        <f>(VLOOKUP('7.0.3'!R79,'7.0.3'!$AM$4:$AO$55,3,FALSE))</f>
        <v>45</v>
      </c>
      <c r="K79" s="4">
        <f>(VLOOKUP('7.0.3'!S79,'7.0.3'!$AM$4:$AO$55,3,FALSE))</f>
        <v>45</v>
      </c>
      <c r="L79" s="4">
        <f>(VLOOKUP('7.0.3'!T79,'7.0.3'!$AM$4:$AO$55,3,FALSE))</f>
        <v>45</v>
      </c>
      <c r="M79" s="4">
        <f>(VLOOKUP('7.0.3'!U79,'7.0.3'!$AM$4:$AO$55,3,FALSE))</f>
        <v>45</v>
      </c>
      <c r="N79" s="4">
        <f>(VLOOKUP('7.0.3'!V79,'7.0.3'!$AM$4:$AO$55,3,FALSE))</f>
        <v>45</v>
      </c>
      <c r="O79" s="5">
        <f>(VLOOKUP('7.0.3'!W79,'7.0.3'!$AM$4:$AO$55,3,FALSE))</f>
        <v>0</v>
      </c>
      <c r="P79" s="5">
        <f>(VLOOKUP('7.0.3'!X79,'7.0.3'!$AM$4:$AO$55,3,FALSE))</f>
        <v>0</v>
      </c>
      <c r="Q79" s="4">
        <f>(VLOOKUP('7.0.3'!Y79,'7.0.3'!$AM$4:$AO$55,3,FALSE))</f>
        <v>0</v>
      </c>
      <c r="R79" s="4">
        <f>(VLOOKUP('7.0.3'!Z79,'7.0.3'!$AM$4:$AO$55,3,FALSE))</f>
        <v>0</v>
      </c>
      <c r="S79" s="4">
        <f>(VLOOKUP('7.0.3'!AA79,'7.0.3'!$AM$4:$AO$55,3,FALSE))</f>
        <v>0</v>
      </c>
      <c r="T79" s="4">
        <f>(VLOOKUP('7.0.3'!AB79,'7.0.3'!$AM$4:$AO$55,3,FALSE))</f>
        <v>0</v>
      </c>
      <c r="U79" s="4">
        <f>(VLOOKUP('7.0.3'!AC79,'7.0.3'!$AM$4:$AO$55,3,FALSE))</f>
        <v>0</v>
      </c>
      <c r="V79" s="4">
        <f>(VLOOKUP('7.0.3'!AD79,'7.0.3'!$AM$4:$AO$55,3,FALSE))</f>
        <v>0</v>
      </c>
      <c r="W79" s="5">
        <f>(VLOOKUP('7.0.3'!AE79,'7.0.3'!$AM$4:$AO$55,3,FALSE))</f>
        <v>0</v>
      </c>
      <c r="X79" s="5">
        <f>(VLOOKUP('7.0.3'!AF79,'7.0.3'!$AM$4:$AO$55,3,FALSE))</f>
        <v>0</v>
      </c>
    </row>
    <row r="80" spans="1:24">
      <c r="A80" s="4">
        <f>(VLOOKUP('7.0.3'!I80,'7.0.3'!$AM$4:$AO$55,3,FALSE))</f>
        <v>50</v>
      </c>
      <c r="B80" s="4">
        <f>(VLOOKUP('7.0.3'!J80,'7.0.3'!$AM$4:$AO$55,3,FALSE))</f>
        <v>50</v>
      </c>
      <c r="C80" s="4">
        <f>(VLOOKUP('7.0.3'!K80,'7.0.3'!$AM$4:$AO$55,3,FALSE))</f>
        <v>30</v>
      </c>
      <c r="D80" s="4">
        <f>(VLOOKUP('7.0.3'!L80,'7.0.3'!$AM$4:$AO$55,3,FALSE))</f>
        <v>0</v>
      </c>
      <c r="E80" s="4">
        <f>(VLOOKUP('7.0.3'!M80,'7.0.3'!$AM$4:$AO$55,3,FALSE))</f>
        <v>0</v>
      </c>
      <c r="F80" s="4">
        <f>(VLOOKUP('7.0.3'!N80,'7.0.3'!$AM$4:$AO$55,3,FALSE))</f>
        <v>0</v>
      </c>
      <c r="G80" s="5">
        <f>(VLOOKUP('7.0.3'!O80,'7.0.3'!$AM$4:$AO$55,3,FALSE))</f>
        <v>0</v>
      </c>
      <c r="H80" s="5">
        <f>(VLOOKUP('7.0.3'!P80,'7.0.3'!$AM$4:$AO$55,3,FALSE))</f>
        <v>0</v>
      </c>
      <c r="I80" s="4">
        <f>(VLOOKUP('7.0.3'!Q80,'7.0.3'!$AM$4:$AO$55,3,FALSE))</f>
        <v>45</v>
      </c>
      <c r="J80" s="4">
        <f>(VLOOKUP('7.0.3'!R80,'7.0.3'!$AM$4:$AO$55,3,FALSE))</f>
        <v>45</v>
      </c>
      <c r="K80" s="4">
        <f>(VLOOKUP('7.0.3'!S80,'7.0.3'!$AM$4:$AO$55,3,FALSE))</f>
        <v>45</v>
      </c>
      <c r="L80" s="4">
        <f>(VLOOKUP('7.0.3'!T80,'7.0.3'!$AM$4:$AO$55,3,FALSE))</f>
        <v>45</v>
      </c>
      <c r="M80" s="4">
        <f>(VLOOKUP('7.0.3'!U80,'7.0.3'!$AM$4:$AO$55,3,FALSE))</f>
        <v>45</v>
      </c>
      <c r="N80" s="4">
        <f>(VLOOKUP('7.0.3'!V80,'7.0.3'!$AM$4:$AO$55,3,FALSE))</f>
        <v>45</v>
      </c>
      <c r="O80" s="5">
        <f>(VLOOKUP('7.0.3'!W80,'7.0.3'!$AM$4:$AO$55,3,FALSE))</f>
        <v>0</v>
      </c>
      <c r="P80" s="5">
        <f>(VLOOKUP('7.0.3'!X80,'7.0.3'!$AM$4:$AO$55,3,FALSE))</f>
        <v>0</v>
      </c>
      <c r="Q80" s="4">
        <f>(VLOOKUP('7.0.3'!Y80,'7.0.3'!$AM$4:$AO$55,3,FALSE))</f>
        <v>45</v>
      </c>
      <c r="R80" s="4">
        <f>(VLOOKUP('7.0.3'!Z80,'7.0.3'!$AM$4:$AO$55,3,FALSE))</f>
        <v>45</v>
      </c>
      <c r="S80" s="4">
        <f>(VLOOKUP('7.0.3'!AA80,'7.0.3'!$AM$4:$AO$55,3,FALSE))</f>
        <v>45</v>
      </c>
      <c r="T80" s="4">
        <f>(VLOOKUP('7.0.3'!AB80,'7.0.3'!$AM$4:$AO$55,3,FALSE))</f>
        <v>0</v>
      </c>
      <c r="U80" s="4">
        <f>(VLOOKUP('7.0.3'!AC80,'7.0.3'!$AM$4:$AO$55,3,FALSE))</f>
        <v>0</v>
      </c>
      <c r="V80" s="4">
        <f>(VLOOKUP('7.0.3'!AD80,'7.0.3'!$AM$4:$AO$55,3,FALSE))</f>
        <v>0</v>
      </c>
      <c r="W80" s="5">
        <f>(VLOOKUP('7.0.3'!AE80,'7.0.3'!$AM$4:$AO$55,3,FALSE))</f>
        <v>0</v>
      </c>
      <c r="X80" s="5">
        <f>(VLOOKUP('7.0.3'!AF80,'7.0.3'!$AM$4:$AO$55,3,FALSE))</f>
        <v>0</v>
      </c>
    </row>
    <row r="81" spans="1:24">
      <c r="A81" s="4">
        <f>(VLOOKUP('7.0.3'!I81,'7.0.3'!$AM$4:$AO$55,3,FALSE))</f>
        <v>0</v>
      </c>
      <c r="B81" s="4">
        <f>(VLOOKUP('7.0.3'!J81,'7.0.3'!$AM$4:$AO$55,3,FALSE))</f>
        <v>0</v>
      </c>
      <c r="C81" s="4">
        <f>(VLOOKUP('7.0.3'!K81,'7.0.3'!$AM$4:$AO$55,3,FALSE))</f>
        <v>0</v>
      </c>
      <c r="D81" s="4">
        <f>(VLOOKUP('7.0.3'!L81,'7.0.3'!$AM$4:$AO$55,3,FALSE))</f>
        <v>0</v>
      </c>
      <c r="E81" s="4">
        <f>(VLOOKUP('7.0.3'!M81,'7.0.3'!$AM$4:$AO$55,3,FALSE))</f>
        <v>0</v>
      </c>
      <c r="F81" s="4">
        <f>(VLOOKUP('7.0.3'!N81,'7.0.3'!$AM$4:$AO$55,3,FALSE))</f>
        <v>0</v>
      </c>
      <c r="G81" s="5">
        <f>(VLOOKUP('7.0.3'!O81,'7.0.3'!$AM$4:$AO$55,3,FALSE))</f>
        <v>0</v>
      </c>
      <c r="H81" s="5">
        <f>(VLOOKUP('7.0.3'!P81,'7.0.3'!$AM$4:$AO$55,3,FALSE))</f>
        <v>0</v>
      </c>
      <c r="I81" s="4">
        <f>(VLOOKUP('7.0.3'!Q81,'7.0.3'!$AM$4:$AO$55,3,FALSE))</f>
        <v>45</v>
      </c>
      <c r="J81" s="4">
        <f>(VLOOKUP('7.0.3'!R81,'7.0.3'!$AM$4:$AO$55,3,FALSE))</f>
        <v>45</v>
      </c>
      <c r="K81" s="4">
        <f>(VLOOKUP('7.0.3'!S81,'7.0.3'!$AM$4:$AO$55,3,FALSE))</f>
        <v>45</v>
      </c>
      <c r="L81" s="4">
        <f>(VLOOKUP('7.0.3'!T81,'7.0.3'!$AM$4:$AO$55,3,FALSE))</f>
        <v>30</v>
      </c>
      <c r="M81" s="4">
        <f>(VLOOKUP('7.0.3'!U81,'7.0.3'!$AM$4:$AO$55,3,FALSE))</f>
        <v>45</v>
      </c>
      <c r="N81" s="4">
        <f>(VLOOKUP('7.0.3'!V81,'7.0.3'!$AM$4:$AO$55,3,FALSE))</f>
        <v>45</v>
      </c>
      <c r="O81" s="5">
        <f>(VLOOKUP('7.0.3'!W81,'7.0.3'!$AM$4:$AO$55,3,FALSE))</f>
        <v>0</v>
      </c>
      <c r="P81" s="5">
        <f>(VLOOKUP('7.0.3'!X81,'7.0.3'!$AM$4:$AO$55,3,FALSE))</f>
        <v>0</v>
      </c>
      <c r="Q81" s="4">
        <f>(VLOOKUP('7.0.3'!Y81,'7.0.3'!$AM$4:$AO$55,3,FALSE))</f>
        <v>45</v>
      </c>
      <c r="R81" s="4">
        <f>(VLOOKUP('7.0.3'!Z81,'7.0.3'!$AM$4:$AO$55,3,FALSE))</f>
        <v>45</v>
      </c>
      <c r="S81" s="4">
        <f>(VLOOKUP('7.0.3'!AA81,'7.0.3'!$AM$4:$AO$55,3,FALSE))</f>
        <v>50</v>
      </c>
      <c r="T81" s="4">
        <f>(VLOOKUP('7.0.3'!AB81,'7.0.3'!$AM$4:$AO$55,3,FALSE))</f>
        <v>50</v>
      </c>
      <c r="U81" s="4">
        <f>(VLOOKUP('7.0.3'!AC81,'7.0.3'!$AM$4:$AO$55,3,FALSE))</f>
        <v>50</v>
      </c>
      <c r="V81" s="4">
        <f>(VLOOKUP('7.0.3'!AD81,'7.0.3'!$AM$4:$AO$55,3,FALSE))</f>
        <v>50</v>
      </c>
      <c r="W81" s="5">
        <f>(VLOOKUP('7.0.3'!AE81,'7.0.3'!$AM$4:$AO$55,3,FALSE))</f>
        <v>0</v>
      </c>
      <c r="X81" s="5">
        <f>(VLOOKUP('7.0.3'!AF81,'7.0.3'!$AM$4:$AO$55,3,FALSE))</f>
        <v>0</v>
      </c>
    </row>
    <row r="82" spans="1:24">
      <c r="A82" s="4">
        <f>(VLOOKUP('7.0.3'!I82,'7.0.3'!$AM$4:$AO$55,3,FALSE))</f>
        <v>0</v>
      </c>
      <c r="B82" s="4">
        <f>(VLOOKUP('7.0.3'!J82,'7.0.3'!$AM$4:$AO$55,3,FALSE))</f>
        <v>0</v>
      </c>
      <c r="C82" s="4">
        <f>(VLOOKUP('7.0.3'!K82,'7.0.3'!$AM$4:$AO$55,3,FALSE))</f>
        <v>0</v>
      </c>
      <c r="D82" s="4">
        <f>(VLOOKUP('7.0.3'!L82,'7.0.3'!$AM$4:$AO$55,3,FALSE))</f>
        <v>0</v>
      </c>
      <c r="E82" s="4">
        <f>(VLOOKUP('7.0.3'!M82,'7.0.3'!$AM$4:$AO$55,3,FALSE))</f>
        <v>0</v>
      </c>
      <c r="F82" s="4">
        <f>(VLOOKUP('7.0.3'!N82,'7.0.3'!$AM$4:$AO$55,3,FALSE))</f>
        <v>0</v>
      </c>
      <c r="G82" s="5">
        <f>(VLOOKUP('7.0.3'!O82,'7.0.3'!$AM$4:$AO$55,3,FALSE))</f>
        <v>0</v>
      </c>
      <c r="H82" s="5">
        <f>(VLOOKUP('7.0.3'!P82,'7.0.3'!$AM$4:$AO$55,3,FALSE))</f>
        <v>0</v>
      </c>
      <c r="I82" s="4">
        <f>(VLOOKUP('7.0.3'!Q82,'7.0.3'!$AM$4:$AO$55,3,FALSE))</f>
        <v>45</v>
      </c>
      <c r="J82" s="4">
        <f>(VLOOKUP('7.0.3'!R82,'7.0.3'!$AM$4:$AO$55,3,FALSE))</f>
        <v>45</v>
      </c>
      <c r="K82" s="4">
        <f>(VLOOKUP('7.0.3'!S82,'7.0.3'!$AM$4:$AO$55,3,FALSE))</f>
        <v>45</v>
      </c>
      <c r="L82" s="4">
        <f>(VLOOKUP('7.0.3'!T82,'7.0.3'!$AM$4:$AO$55,3,FALSE))</f>
        <v>45</v>
      </c>
      <c r="M82" s="4">
        <f>(VLOOKUP('7.0.3'!U82,'7.0.3'!$AM$4:$AO$55,3,FALSE))</f>
        <v>45</v>
      </c>
      <c r="N82" s="4">
        <f>(VLOOKUP('7.0.3'!V82,'7.0.3'!$AM$4:$AO$55,3,FALSE))</f>
        <v>45</v>
      </c>
      <c r="O82" s="5">
        <f>(VLOOKUP('7.0.3'!W82,'7.0.3'!$AM$4:$AO$55,3,FALSE))</f>
        <v>0</v>
      </c>
      <c r="P82" s="5">
        <f>(VLOOKUP('7.0.3'!X82,'7.0.3'!$AM$4:$AO$55,3,FALSE))</f>
        <v>0</v>
      </c>
      <c r="Q82" s="4">
        <f>(VLOOKUP('7.0.3'!Y82,'7.0.3'!$AM$4:$AO$55,3,FALSE))</f>
        <v>50</v>
      </c>
      <c r="R82" s="4">
        <f>(VLOOKUP('7.0.3'!Z82,'7.0.3'!$AM$4:$AO$55,3,FALSE))</f>
        <v>50</v>
      </c>
      <c r="S82" s="4">
        <f>(VLOOKUP('7.0.3'!AA82,'7.0.3'!$AM$4:$AO$55,3,FALSE))</f>
        <v>50</v>
      </c>
      <c r="T82" s="4">
        <f>(VLOOKUP('7.0.3'!AB82,'7.0.3'!$AM$4:$AO$55,3,FALSE))</f>
        <v>50</v>
      </c>
      <c r="U82" s="4">
        <f>(VLOOKUP('7.0.3'!AC82,'7.0.3'!$AM$4:$AO$55,3,FALSE))</f>
        <v>30</v>
      </c>
      <c r="V82" s="4">
        <f>(VLOOKUP('7.0.3'!AD82,'7.0.3'!$AM$4:$AO$55,3,FALSE))</f>
        <v>50</v>
      </c>
      <c r="W82" s="5">
        <f>(VLOOKUP('7.0.3'!AE82,'7.0.3'!$AM$4:$AO$55,3,FALSE))</f>
        <v>0</v>
      </c>
      <c r="X82" s="5">
        <f>(VLOOKUP('7.0.3'!AF82,'7.0.3'!$AM$4:$AO$55,3,FALSE))</f>
        <v>0</v>
      </c>
    </row>
    <row r="83" spans="1:24">
      <c r="A83" s="4">
        <f>(VLOOKUP('7.0.3'!I83,'7.0.3'!$AM$4:$AO$55,3,FALSE))</f>
        <v>0</v>
      </c>
      <c r="B83" s="4">
        <f>(VLOOKUP('7.0.3'!J83,'7.0.3'!$AM$4:$AO$55,3,FALSE))</f>
        <v>0</v>
      </c>
      <c r="C83" s="4">
        <f>(VLOOKUP('7.0.3'!K83,'7.0.3'!$AM$4:$AO$55,3,FALSE))</f>
        <v>0</v>
      </c>
      <c r="D83" s="4">
        <f>(VLOOKUP('7.0.3'!L83,'7.0.3'!$AM$4:$AO$55,3,FALSE))</f>
        <v>0</v>
      </c>
      <c r="E83" s="4">
        <f>(VLOOKUP('7.0.3'!M83,'7.0.3'!$AM$4:$AO$55,3,FALSE))</f>
        <v>0</v>
      </c>
      <c r="F83" s="4">
        <f>(VLOOKUP('7.0.3'!N83,'7.0.3'!$AM$4:$AO$55,3,FALSE))</f>
        <v>0</v>
      </c>
      <c r="G83" s="5">
        <f>(VLOOKUP('7.0.3'!O83,'7.0.3'!$AM$4:$AO$55,3,FALSE))</f>
        <v>0</v>
      </c>
      <c r="H83" s="5">
        <f>(VLOOKUP('7.0.3'!P83,'7.0.3'!$AM$4:$AO$55,3,FALSE))</f>
        <v>0</v>
      </c>
      <c r="I83" s="4">
        <f>(VLOOKUP('7.0.3'!Q83,'7.0.3'!$AM$4:$AO$55,3,FALSE))</f>
        <v>45</v>
      </c>
      <c r="J83" s="4">
        <f>(VLOOKUP('7.0.3'!R83,'7.0.3'!$AM$4:$AO$55,3,FALSE))</f>
        <v>45</v>
      </c>
      <c r="K83" s="4">
        <f>(VLOOKUP('7.0.3'!S83,'7.0.3'!$AM$4:$AO$55,3,FALSE))</f>
        <v>45</v>
      </c>
      <c r="L83" s="4">
        <f>(VLOOKUP('7.0.3'!T83,'7.0.3'!$AM$4:$AO$55,3,FALSE))</f>
        <v>45</v>
      </c>
      <c r="M83" s="4">
        <f>(VLOOKUP('7.0.3'!U83,'7.0.3'!$AM$4:$AO$55,3,FALSE))</f>
        <v>45</v>
      </c>
      <c r="N83" s="4">
        <f>(VLOOKUP('7.0.3'!V83,'7.0.3'!$AM$4:$AO$55,3,FALSE))</f>
        <v>45</v>
      </c>
      <c r="O83" s="5">
        <f>(VLOOKUP('7.0.3'!W83,'7.0.3'!$AM$4:$AO$55,3,FALSE))</f>
        <v>0</v>
      </c>
      <c r="P83" s="5">
        <f>(VLOOKUP('7.0.3'!X83,'7.0.3'!$AM$4:$AO$55,3,FALSE))</f>
        <v>0</v>
      </c>
      <c r="Q83" s="4">
        <f>(VLOOKUP('7.0.3'!Y83,'7.0.3'!$AM$4:$AO$55,3,FALSE))</f>
        <v>50</v>
      </c>
      <c r="R83" s="4">
        <f>(VLOOKUP('7.0.3'!Z83,'7.0.3'!$AM$4:$AO$55,3,FALSE))</f>
        <v>50</v>
      </c>
      <c r="S83" s="4">
        <f>(VLOOKUP('7.0.3'!AA83,'7.0.3'!$AM$4:$AO$55,3,FALSE))</f>
        <v>50</v>
      </c>
      <c r="T83" s="4">
        <f>(VLOOKUP('7.0.3'!AB83,'7.0.3'!$AM$4:$AO$55,3,FALSE))</f>
        <v>50</v>
      </c>
      <c r="U83" s="4">
        <f>(VLOOKUP('7.0.3'!AC83,'7.0.3'!$AM$4:$AO$55,3,FALSE))</f>
        <v>50</v>
      </c>
      <c r="V83" s="4">
        <f>(VLOOKUP('7.0.3'!AD83,'7.0.3'!$AM$4:$AO$55,3,FALSE))</f>
        <v>50</v>
      </c>
      <c r="W83" s="5">
        <f>(VLOOKUP('7.0.3'!AE83,'7.0.3'!$AM$4:$AO$55,3,FALSE))</f>
        <v>0</v>
      </c>
      <c r="X83" s="5">
        <f>(VLOOKUP('7.0.3'!AF83,'7.0.3'!$AM$4:$AO$55,3,FALSE))</f>
        <v>0</v>
      </c>
    </row>
    <row r="84" spans="1:24">
      <c r="A84" s="4">
        <f>(VLOOKUP('7.0.3'!I84,'7.0.3'!$AM$4:$AO$55,3,FALSE))</f>
        <v>0</v>
      </c>
      <c r="B84" s="4">
        <f>(VLOOKUP('7.0.3'!J84,'7.0.3'!$AM$4:$AO$55,3,FALSE))</f>
        <v>0</v>
      </c>
      <c r="C84" s="4">
        <f>(VLOOKUP('7.0.3'!K84,'7.0.3'!$AM$4:$AO$55,3,FALSE))</f>
        <v>0</v>
      </c>
      <c r="D84" s="4">
        <f>(VLOOKUP('7.0.3'!L84,'7.0.3'!$AM$4:$AO$55,3,FALSE))</f>
        <v>0</v>
      </c>
      <c r="E84" s="4">
        <f>(VLOOKUP('7.0.3'!M84,'7.0.3'!$AM$4:$AO$55,3,FALSE))</f>
        <v>0</v>
      </c>
      <c r="F84" s="4">
        <f>(VLOOKUP('7.0.3'!N84,'7.0.3'!$AM$4:$AO$55,3,FALSE))</f>
        <v>0</v>
      </c>
      <c r="G84" s="5">
        <f>(VLOOKUP('7.0.3'!O84,'7.0.3'!$AM$4:$AO$55,3,FALSE))</f>
        <v>0</v>
      </c>
      <c r="H84" s="5">
        <f>(VLOOKUP('7.0.3'!P84,'7.0.3'!$AM$4:$AO$55,3,FALSE))</f>
        <v>0</v>
      </c>
      <c r="I84" s="4">
        <f>(VLOOKUP('7.0.3'!Q84,'7.0.3'!$AM$4:$AO$55,3,FALSE))</f>
        <v>45</v>
      </c>
      <c r="J84" s="4">
        <f>(VLOOKUP('7.0.3'!R84,'7.0.3'!$AM$4:$AO$55,3,FALSE))</f>
        <v>45</v>
      </c>
      <c r="K84" s="4">
        <f>(VLOOKUP('7.0.3'!S84,'7.0.3'!$AM$4:$AO$55,3,FALSE))</f>
        <v>45</v>
      </c>
      <c r="L84" s="4">
        <f>(VLOOKUP('7.0.3'!T84,'7.0.3'!$AM$4:$AO$55,3,FALSE))</f>
        <v>45</v>
      </c>
      <c r="M84" s="4">
        <f>(VLOOKUP('7.0.3'!U84,'7.0.3'!$AM$4:$AO$55,3,FALSE))</f>
        <v>45</v>
      </c>
      <c r="N84" s="4">
        <f>(VLOOKUP('7.0.3'!V84,'7.0.3'!$AM$4:$AO$55,3,FALSE))</f>
        <v>45</v>
      </c>
      <c r="O84" s="5">
        <f>(VLOOKUP('7.0.3'!W84,'7.0.3'!$AM$4:$AO$55,3,FALSE))</f>
        <v>0</v>
      </c>
      <c r="P84" s="5">
        <f>(VLOOKUP('7.0.3'!X84,'7.0.3'!$AM$4:$AO$55,3,FALSE))</f>
        <v>0</v>
      </c>
      <c r="Q84" s="4">
        <f>(VLOOKUP('7.0.3'!Y84,'7.0.3'!$AM$4:$AO$55,3,FALSE))</f>
        <v>50</v>
      </c>
      <c r="R84" s="4">
        <f>(VLOOKUP('7.0.3'!Z84,'7.0.3'!$AM$4:$AO$55,3,FALSE))</f>
        <v>50</v>
      </c>
      <c r="S84" s="4">
        <f>(VLOOKUP('7.0.3'!AA84,'7.0.3'!$AM$4:$AO$55,3,FALSE))</f>
        <v>50</v>
      </c>
      <c r="T84" s="4">
        <f>(VLOOKUP('7.0.3'!AB84,'7.0.3'!$AM$4:$AO$55,3,FALSE))</f>
        <v>0</v>
      </c>
      <c r="U84" s="4">
        <f>(VLOOKUP('7.0.3'!AC84,'7.0.3'!$AM$4:$AO$55,3,FALSE))</f>
        <v>50</v>
      </c>
      <c r="V84" s="4">
        <f>(VLOOKUP('7.0.3'!AD84,'7.0.3'!$AM$4:$AO$55,3,FALSE))</f>
        <v>50</v>
      </c>
      <c r="W84" s="5">
        <f>(VLOOKUP('7.0.3'!AE84,'7.0.3'!$AM$4:$AO$55,3,FALSE))</f>
        <v>50</v>
      </c>
      <c r="X84" s="5">
        <f>(VLOOKUP('7.0.3'!AF84,'7.0.3'!$AM$4:$AO$55,3,FALSE))</f>
        <v>0</v>
      </c>
    </row>
    <row r="85" spans="1:24">
      <c r="A85" s="4">
        <f>(VLOOKUP('7.0.3'!I85,'7.0.3'!$AM$4:$AO$55,3,FALSE))</f>
        <v>0</v>
      </c>
      <c r="B85" s="4">
        <f>(VLOOKUP('7.0.3'!J85,'7.0.3'!$AM$4:$AO$55,3,FALSE))</f>
        <v>0</v>
      </c>
      <c r="C85" s="4">
        <f>(VLOOKUP('7.0.3'!K85,'7.0.3'!$AM$4:$AO$55,3,FALSE))</f>
        <v>0</v>
      </c>
      <c r="D85" s="4">
        <f>(VLOOKUP('7.0.3'!L85,'7.0.3'!$AM$4:$AO$55,3,FALSE))</f>
        <v>0</v>
      </c>
      <c r="E85" s="4">
        <f>(VLOOKUP('7.0.3'!M85,'7.0.3'!$AM$4:$AO$55,3,FALSE))</f>
        <v>0</v>
      </c>
      <c r="F85" s="4">
        <f>(VLOOKUP('7.0.3'!N85,'7.0.3'!$AM$4:$AO$55,3,FALSE))</f>
        <v>0</v>
      </c>
      <c r="G85" s="5">
        <f>(VLOOKUP('7.0.3'!O85,'7.0.3'!$AM$4:$AO$55,3,FALSE))</f>
        <v>0</v>
      </c>
      <c r="H85" s="5">
        <f>(VLOOKUP('7.0.3'!P85,'7.0.3'!$AM$4:$AO$55,3,FALSE))</f>
        <v>0</v>
      </c>
      <c r="I85" s="4">
        <f>(VLOOKUP('7.0.3'!Q85,'7.0.3'!$AM$4:$AO$55,3,FALSE))</f>
        <v>30</v>
      </c>
      <c r="J85" s="4">
        <f>(VLOOKUP('7.0.3'!R85,'7.0.3'!$AM$4:$AO$55,3,FALSE))</f>
        <v>45</v>
      </c>
      <c r="K85" s="4">
        <f>(VLOOKUP('7.0.3'!S85,'7.0.3'!$AM$4:$AO$55,3,FALSE))</f>
        <v>45</v>
      </c>
      <c r="L85" s="4">
        <f>(VLOOKUP('7.0.3'!T85,'7.0.3'!$AM$4:$AO$55,3,FALSE))</f>
        <v>45</v>
      </c>
      <c r="M85" s="4">
        <f>(VLOOKUP('7.0.3'!U85,'7.0.3'!$AM$4:$AO$55,3,FALSE))</f>
        <v>45</v>
      </c>
      <c r="N85" s="4">
        <f>(VLOOKUP('7.0.3'!V85,'7.0.3'!$AM$4:$AO$55,3,FALSE))</f>
        <v>45</v>
      </c>
      <c r="O85" s="5">
        <f>(VLOOKUP('7.0.3'!W85,'7.0.3'!$AM$4:$AO$55,3,FALSE))</f>
        <v>0</v>
      </c>
      <c r="P85" s="5">
        <f>(VLOOKUP('7.0.3'!X85,'7.0.3'!$AM$4:$AO$55,3,FALSE))</f>
        <v>0</v>
      </c>
      <c r="Q85" s="4">
        <f>(VLOOKUP('7.0.3'!Y85,'7.0.3'!$AM$4:$AO$55,3,FALSE))</f>
        <v>50</v>
      </c>
      <c r="R85" s="4">
        <f>(VLOOKUP('7.0.3'!Z85,'7.0.3'!$AM$4:$AO$55,3,FALSE))</f>
        <v>50</v>
      </c>
      <c r="S85" s="4">
        <f>(VLOOKUP('7.0.3'!AA85,'7.0.3'!$AM$4:$AO$55,3,FALSE))</f>
        <v>50</v>
      </c>
      <c r="T85" s="4">
        <f>(VLOOKUP('7.0.3'!AB85,'7.0.3'!$AM$4:$AO$55,3,FALSE))</f>
        <v>50</v>
      </c>
      <c r="U85" s="4">
        <f>(VLOOKUP('7.0.3'!AC85,'7.0.3'!$AM$4:$AO$55,3,FALSE))</f>
        <v>50</v>
      </c>
      <c r="V85" s="4">
        <f>(VLOOKUP('7.0.3'!AD85,'7.0.3'!$AM$4:$AO$55,3,FALSE))</f>
        <v>50</v>
      </c>
      <c r="W85" s="5">
        <f>(VLOOKUP('7.0.3'!AE85,'7.0.3'!$AM$4:$AO$55,3,FALSE))</f>
        <v>0</v>
      </c>
      <c r="X85" s="5">
        <f>(VLOOKUP('7.0.3'!AF85,'7.0.3'!$AM$4:$AO$55,3,FALSE))</f>
        <v>0</v>
      </c>
    </row>
    <row r="86" spans="1:24">
      <c r="A86" s="4">
        <f>(VLOOKUP('7.0.3'!I86,'7.0.3'!$AM$4:$AO$55,3,FALSE))</f>
        <v>0</v>
      </c>
      <c r="B86" s="4">
        <f>(VLOOKUP('7.0.3'!J86,'7.0.3'!$AM$4:$AO$55,3,FALSE))</f>
        <v>0</v>
      </c>
      <c r="C86" s="4">
        <f>(VLOOKUP('7.0.3'!K86,'7.0.3'!$AM$4:$AO$55,3,FALSE))</f>
        <v>0</v>
      </c>
      <c r="D86" s="4">
        <f>(VLOOKUP('7.0.3'!L86,'7.0.3'!$AM$4:$AO$55,3,FALSE))</f>
        <v>0</v>
      </c>
      <c r="E86" s="4">
        <f>(VLOOKUP('7.0.3'!M86,'7.0.3'!$AM$4:$AO$55,3,FALSE))</f>
        <v>0</v>
      </c>
      <c r="F86" s="4">
        <f>(VLOOKUP('7.0.3'!N86,'7.0.3'!$AM$4:$AO$55,3,FALSE))</f>
        <v>0</v>
      </c>
      <c r="G86" s="5">
        <f>(VLOOKUP('7.0.3'!O86,'7.0.3'!$AM$4:$AO$55,3,FALSE))</f>
        <v>0</v>
      </c>
      <c r="H86" s="5">
        <f>(VLOOKUP('7.0.3'!P86,'7.0.3'!$AM$4:$AO$55,3,FALSE))</f>
        <v>0</v>
      </c>
      <c r="I86" s="4">
        <f>(VLOOKUP('7.0.3'!Q86,'7.0.3'!$AM$4:$AO$55,3,FALSE))</f>
        <v>45</v>
      </c>
      <c r="J86" s="4">
        <f>(VLOOKUP('7.0.3'!R86,'7.0.3'!$AM$4:$AO$55,3,FALSE))</f>
        <v>45</v>
      </c>
      <c r="K86" s="4">
        <f>(VLOOKUP('7.0.3'!S86,'7.0.3'!$AM$4:$AO$55,3,FALSE))</f>
        <v>45</v>
      </c>
      <c r="L86" s="4">
        <f>(VLOOKUP('7.0.3'!T86,'7.0.3'!$AM$4:$AO$55,3,FALSE))</f>
        <v>45</v>
      </c>
      <c r="M86" s="4">
        <f>(VLOOKUP('7.0.3'!U86,'7.0.3'!$AM$4:$AO$55,3,FALSE))</f>
        <v>45</v>
      </c>
      <c r="N86" s="4">
        <f>(VLOOKUP('7.0.3'!V86,'7.0.3'!$AM$4:$AO$55,3,FALSE))</f>
        <v>0</v>
      </c>
      <c r="O86" s="5">
        <f>(VLOOKUP('7.0.3'!W86,'7.0.3'!$AM$4:$AO$55,3,FALSE))</f>
        <v>45</v>
      </c>
      <c r="P86" s="5">
        <f>(VLOOKUP('7.0.3'!X86,'7.0.3'!$AM$4:$AO$55,3,FALSE))</f>
        <v>45</v>
      </c>
      <c r="Q86" s="4">
        <f>(VLOOKUP('7.0.3'!Y86,'7.0.3'!$AM$4:$AO$55,3,FALSE))</f>
        <v>50</v>
      </c>
      <c r="R86" s="4">
        <f>(VLOOKUP('7.0.3'!Z86,'7.0.3'!$AM$4:$AO$55,3,FALSE))</f>
        <v>50</v>
      </c>
      <c r="S86" s="4">
        <f>(VLOOKUP('7.0.3'!AA86,'7.0.3'!$AM$4:$AO$55,3,FALSE))</f>
        <v>50</v>
      </c>
      <c r="T86" s="4">
        <f>(VLOOKUP('7.0.3'!AB86,'7.0.3'!$AM$4:$AO$55,3,FALSE))</f>
        <v>50</v>
      </c>
      <c r="U86" s="4">
        <f>(VLOOKUP('7.0.3'!AC86,'7.0.3'!$AM$4:$AO$55,3,FALSE))</f>
        <v>50</v>
      </c>
      <c r="V86" s="4">
        <f>(VLOOKUP('7.0.3'!AD86,'7.0.3'!$AM$4:$AO$55,3,FALSE))</f>
        <v>50</v>
      </c>
      <c r="W86" s="5">
        <f>(VLOOKUP('7.0.3'!AE86,'7.0.3'!$AM$4:$AO$55,3,FALSE))</f>
        <v>0</v>
      </c>
      <c r="X86" s="5">
        <f>(VLOOKUP('7.0.3'!AF86,'7.0.3'!$AM$4:$AO$55,3,FALSE))</f>
        <v>0</v>
      </c>
    </row>
    <row r="87" spans="1:24">
      <c r="A87" s="4">
        <f>(VLOOKUP('7.0.3'!I87,'7.0.3'!$AM$4:$AO$55,3,FALSE))</f>
        <v>0</v>
      </c>
      <c r="B87" s="4">
        <f>(VLOOKUP('7.0.3'!J87,'7.0.3'!$AM$4:$AO$55,3,FALSE))</f>
        <v>0</v>
      </c>
      <c r="C87" s="4">
        <f>(VLOOKUP('7.0.3'!K87,'7.0.3'!$AM$4:$AO$55,3,FALSE))</f>
        <v>0</v>
      </c>
      <c r="D87" s="4">
        <f>(VLOOKUP('7.0.3'!L87,'7.0.3'!$AM$4:$AO$55,3,FALSE))</f>
        <v>0</v>
      </c>
      <c r="E87" s="4">
        <f>(VLOOKUP('7.0.3'!M87,'7.0.3'!$AM$4:$AO$55,3,FALSE))</f>
        <v>0</v>
      </c>
      <c r="F87" s="4">
        <f>(VLOOKUP('7.0.3'!N87,'7.0.3'!$AM$4:$AO$55,3,FALSE))</f>
        <v>0</v>
      </c>
      <c r="G87" s="5">
        <f>(VLOOKUP('7.0.3'!O87,'7.0.3'!$AM$4:$AO$55,3,FALSE))</f>
        <v>0</v>
      </c>
      <c r="H87" s="5">
        <f>(VLOOKUP('7.0.3'!P87,'7.0.3'!$AM$4:$AO$55,3,FALSE))</f>
        <v>0</v>
      </c>
      <c r="I87" s="4">
        <f>(VLOOKUP('7.0.3'!Q87,'7.0.3'!$AM$4:$AO$55,3,FALSE))</f>
        <v>30</v>
      </c>
      <c r="J87" s="4">
        <f>(VLOOKUP('7.0.3'!R87,'7.0.3'!$AM$4:$AO$55,3,FALSE))</f>
        <v>45</v>
      </c>
      <c r="K87" s="4">
        <f>(VLOOKUP('7.0.3'!S87,'7.0.3'!$AM$4:$AO$55,3,FALSE))</f>
        <v>45</v>
      </c>
      <c r="L87" s="4">
        <f>(VLOOKUP('7.0.3'!T87,'7.0.3'!$AM$4:$AO$55,3,FALSE))</f>
        <v>45</v>
      </c>
      <c r="M87" s="4">
        <f>(VLOOKUP('7.0.3'!U87,'7.0.3'!$AM$4:$AO$55,3,FALSE))</f>
        <v>40</v>
      </c>
      <c r="N87" s="4">
        <f>(VLOOKUP('7.0.3'!V87,'7.0.3'!$AM$4:$AO$55,3,FALSE))</f>
        <v>45</v>
      </c>
      <c r="O87" s="5">
        <f>(VLOOKUP('7.0.3'!W87,'7.0.3'!$AM$4:$AO$55,3,FALSE))</f>
        <v>0</v>
      </c>
      <c r="P87" s="5">
        <f>(VLOOKUP('7.0.3'!X87,'7.0.3'!$AM$4:$AO$55,3,FALSE))</f>
        <v>0</v>
      </c>
      <c r="Q87" s="4">
        <f>(VLOOKUP('7.0.3'!Y87,'7.0.3'!$AM$4:$AO$55,3,FALSE))</f>
        <v>50</v>
      </c>
      <c r="R87" s="4">
        <f>(VLOOKUP('7.0.3'!Z87,'7.0.3'!$AM$4:$AO$55,3,FALSE))</f>
        <v>50</v>
      </c>
      <c r="S87" s="4">
        <f>(VLOOKUP('7.0.3'!AA87,'7.0.3'!$AM$4:$AO$55,3,FALSE))</f>
        <v>50</v>
      </c>
      <c r="T87" s="4">
        <f>(VLOOKUP('7.0.3'!AB87,'7.0.3'!$AM$4:$AO$55,3,FALSE))</f>
        <v>50</v>
      </c>
      <c r="U87" s="4">
        <f>(VLOOKUP('7.0.3'!AC87,'7.0.3'!$AM$4:$AO$55,3,FALSE))</f>
        <v>50</v>
      </c>
      <c r="V87" s="4">
        <f>(VLOOKUP('7.0.3'!AD87,'7.0.3'!$AM$4:$AO$55,3,FALSE))</f>
        <v>50</v>
      </c>
      <c r="W87" s="5">
        <f>(VLOOKUP('7.0.3'!AE87,'7.0.3'!$AM$4:$AO$55,3,FALSE))</f>
        <v>0</v>
      </c>
      <c r="X87" s="5">
        <f>(VLOOKUP('7.0.3'!AF87,'7.0.3'!$AM$4:$AO$55,3,FALSE))</f>
        <v>0</v>
      </c>
    </row>
    <row r="88" spans="1:24">
      <c r="A88" s="4">
        <f>(VLOOKUP('7.0.3'!I88,'7.0.3'!$AM$4:$AO$55,3,FALSE))</f>
        <v>0</v>
      </c>
      <c r="B88" s="4">
        <f>(VLOOKUP('7.0.3'!J88,'7.0.3'!$AM$4:$AO$55,3,FALSE))</f>
        <v>0</v>
      </c>
      <c r="C88" s="4">
        <f>(VLOOKUP('7.0.3'!K88,'7.0.3'!$AM$4:$AO$55,3,FALSE))</f>
        <v>0</v>
      </c>
      <c r="D88" s="4">
        <f>(VLOOKUP('7.0.3'!L88,'7.0.3'!$AM$4:$AO$55,3,FALSE))</f>
        <v>0</v>
      </c>
      <c r="E88" s="4">
        <f>(VLOOKUP('7.0.3'!M88,'7.0.3'!$AM$4:$AO$55,3,FALSE))</f>
        <v>0</v>
      </c>
      <c r="F88" s="4">
        <f>(VLOOKUP('7.0.3'!N88,'7.0.3'!$AM$4:$AO$55,3,FALSE))</f>
        <v>0</v>
      </c>
      <c r="G88" s="5">
        <f>(VLOOKUP('7.0.3'!O88,'7.0.3'!$AM$4:$AO$55,3,FALSE))</f>
        <v>0</v>
      </c>
      <c r="H88" s="5">
        <f>(VLOOKUP('7.0.3'!P88,'7.0.3'!$AM$4:$AO$55,3,FALSE))</f>
        <v>0</v>
      </c>
      <c r="I88" s="4">
        <f>(VLOOKUP('7.0.3'!Q88,'7.0.3'!$AM$4:$AO$55,3,FALSE))</f>
        <v>45</v>
      </c>
      <c r="J88" s="4">
        <f>(VLOOKUP('7.0.3'!R88,'7.0.3'!$AM$4:$AO$55,3,FALSE))</f>
        <v>45</v>
      </c>
      <c r="K88" s="4">
        <f>(VLOOKUP('7.0.3'!S88,'7.0.3'!$AM$4:$AO$55,3,FALSE))</f>
        <v>45</v>
      </c>
      <c r="L88" s="4">
        <f>(VLOOKUP('7.0.3'!T88,'7.0.3'!$AM$4:$AO$55,3,FALSE))</f>
        <v>45</v>
      </c>
      <c r="M88" s="4">
        <f>(VLOOKUP('7.0.3'!U88,'7.0.3'!$AM$4:$AO$55,3,FALSE))</f>
        <v>45</v>
      </c>
      <c r="N88" s="4">
        <f>(VLOOKUP('7.0.3'!V88,'7.0.3'!$AM$4:$AO$55,3,FALSE))</f>
        <v>45</v>
      </c>
      <c r="O88" s="5">
        <f>(VLOOKUP('7.0.3'!W88,'7.0.3'!$AM$4:$AO$55,3,FALSE))</f>
        <v>0</v>
      </c>
      <c r="P88" s="5">
        <f>(VLOOKUP('7.0.3'!X88,'7.0.3'!$AM$4:$AO$55,3,FALSE))</f>
        <v>0</v>
      </c>
      <c r="Q88" s="4">
        <f>(VLOOKUP('7.0.3'!Y88,'7.0.3'!$AM$4:$AO$55,3,FALSE))</f>
        <v>30</v>
      </c>
      <c r="R88" s="4">
        <f>(VLOOKUP('7.0.3'!Z88,'7.0.3'!$AM$4:$AO$55,3,FALSE))</f>
        <v>50</v>
      </c>
      <c r="S88" s="4">
        <f>(VLOOKUP('7.0.3'!AA88,'7.0.3'!$AM$4:$AO$55,3,FALSE))</f>
        <v>50</v>
      </c>
      <c r="T88" s="4">
        <f>(VLOOKUP('7.0.3'!AB88,'7.0.3'!$AM$4:$AO$55,3,FALSE))</f>
        <v>50</v>
      </c>
      <c r="U88" s="4">
        <f>(VLOOKUP('7.0.3'!AC88,'7.0.3'!$AM$4:$AO$55,3,FALSE))</f>
        <v>50</v>
      </c>
      <c r="V88" s="4">
        <f>(VLOOKUP('7.0.3'!AD88,'7.0.3'!$AM$4:$AO$55,3,FALSE))</f>
        <v>50</v>
      </c>
      <c r="W88" s="5">
        <f>(VLOOKUP('7.0.3'!AE88,'7.0.3'!$AM$4:$AO$55,3,FALSE))</f>
        <v>0</v>
      </c>
      <c r="X88" s="5">
        <f>(VLOOKUP('7.0.3'!AF88,'7.0.3'!$AM$4:$AO$55,3,FALSE))</f>
        <v>0</v>
      </c>
    </row>
    <row r="89" spans="1:24">
      <c r="A89" s="4">
        <f>(VLOOKUP('7.0.3'!I89,'7.0.3'!$AM$4:$AO$55,3,FALSE))</f>
        <v>0</v>
      </c>
      <c r="B89" s="4">
        <f>(VLOOKUP('7.0.3'!J89,'7.0.3'!$AM$4:$AO$55,3,FALSE))</f>
        <v>0</v>
      </c>
      <c r="C89" s="4">
        <f>(VLOOKUP('7.0.3'!K89,'7.0.3'!$AM$4:$AO$55,3,FALSE))</f>
        <v>0</v>
      </c>
      <c r="D89" s="4">
        <f>(VLOOKUP('7.0.3'!L89,'7.0.3'!$AM$4:$AO$55,3,FALSE))</f>
        <v>0</v>
      </c>
      <c r="E89" s="4">
        <f>(VLOOKUP('7.0.3'!M89,'7.0.3'!$AM$4:$AO$55,3,FALSE))</f>
        <v>0</v>
      </c>
      <c r="F89" s="4">
        <f>(VLOOKUP('7.0.3'!N89,'7.0.3'!$AM$4:$AO$55,3,FALSE))</f>
        <v>0</v>
      </c>
      <c r="G89" s="5">
        <f>(VLOOKUP('7.0.3'!O89,'7.0.3'!$AM$4:$AO$55,3,FALSE))</f>
        <v>0</v>
      </c>
      <c r="H89" s="5">
        <f>(VLOOKUP('7.0.3'!P89,'7.0.3'!$AM$4:$AO$55,3,FALSE))</f>
        <v>0</v>
      </c>
      <c r="I89" s="4">
        <f>(VLOOKUP('7.0.3'!Q89,'7.0.3'!$AM$4:$AO$55,3,FALSE))</f>
        <v>45</v>
      </c>
      <c r="J89" s="4">
        <f>(VLOOKUP('7.0.3'!R89,'7.0.3'!$AM$4:$AO$55,3,FALSE))</f>
        <v>45</v>
      </c>
      <c r="K89" s="4">
        <f>(VLOOKUP('7.0.3'!S89,'7.0.3'!$AM$4:$AO$55,3,FALSE))</f>
        <v>45</v>
      </c>
      <c r="L89" s="4">
        <f>(VLOOKUP('7.0.3'!T89,'7.0.3'!$AM$4:$AO$55,3,FALSE))</f>
        <v>45</v>
      </c>
      <c r="M89" s="4">
        <f>(VLOOKUP('7.0.3'!U89,'7.0.3'!$AM$4:$AO$55,3,FALSE))</f>
        <v>45</v>
      </c>
      <c r="N89" s="4">
        <f>(VLOOKUP('7.0.3'!V89,'7.0.3'!$AM$4:$AO$55,3,FALSE))</f>
        <v>45</v>
      </c>
      <c r="O89" s="5">
        <f>(VLOOKUP('7.0.3'!W89,'7.0.3'!$AM$4:$AO$55,3,FALSE))</f>
        <v>0</v>
      </c>
      <c r="P89" s="5">
        <f>(VLOOKUP('7.0.3'!X89,'7.0.3'!$AM$4:$AO$55,3,FALSE))</f>
        <v>0</v>
      </c>
      <c r="Q89" s="4">
        <f>(VLOOKUP('7.0.3'!Y89,'7.0.3'!$AM$4:$AO$55,3,FALSE))</f>
        <v>50</v>
      </c>
      <c r="R89" s="4">
        <f>(VLOOKUP('7.0.3'!Z89,'7.0.3'!$AM$4:$AO$55,3,FALSE))</f>
        <v>50</v>
      </c>
      <c r="S89" s="4">
        <f>(VLOOKUP('7.0.3'!AA89,'7.0.3'!$AM$4:$AO$55,3,FALSE))</f>
        <v>50</v>
      </c>
      <c r="T89" s="4">
        <f>(VLOOKUP('7.0.3'!AB89,'7.0.3'!$AM$4:$AO$55,3,FALSE))</f>
        <v>50</v>
      </c>
      <c r="U89" s="4">
        <f>(VLOOKUP('7.0.3'!AC89,'7.0.3'!$AM$4:$AO$55,3,FALSE))</f>
        <v>50</v>
      </c>
      <c r="V89" s="4">
        <f>(VLOOKUP('7.0.3'!AD89,'7.0.3'!$AM$4:$AO$55,3,FALSE))</f>
        <v>50</v>
      </c>
      <c r="W89" s="5">
        <f>(VLOOKUP('7.0.3'!AE89,'7.0.3'!$AM$4:$AO$55,3,FALSE))</f>
        <v>0</v>
      </c>
      <c r="X89" s="5">
        <f>(VLOOKUP('7.0.3'!AF89,'7.0.3'!$AM$4:$AO$55,3,FALSE))</f>
        <v>0</v>
      </c>
    </row>
    <row r="90" spans="1:24">
      <c r="A90" s="4">
        <f>(VLOOKUP('7.0.3'!I90,'7.0.3'!$AM$4:$AO$55,3,FALSE))</f>
        <v>0</v>
      </c>
      <c r="B90" s="4">
        <f>(VLOOKUP('7.0.3'!J90,'7.0.3'!$AM$4:$AO$55,3,FALSE))</f>
        <v>0</v>
      </c>
      <c r="C90" s="4">
        <f>(VLOOKUP('7.0.3'!K90,'7.0.3'!$AM$4:$AO$55,3,FALSE))</f>
        <v>0</v>
      </c>
      <c r="D90" s="4">
        <f>(VLOOKUP('7.0.3'!L90,'7.0.3'!$AM$4:$AO$55,3,FALSE))</f>
        <v>0</v>
      </c>
      <c r="E90" s="4">
        <f>(VLOOKUP('7.0.3'!M90,'7.0.3'!$AM$4:$AO$55,3,FALSE))</f>
        <v>0</v>
      </c>
      <c r="F90" s="4">
        <f>(VLOOKUP('7.0.3'!N90,'7.0.3'!$AM$4:$AO$55,3,FALSE))</f>
        <v>0</v>
      </c>
      <c r="G90" s="5">
        <f>(VLOOKUP('7.0.3'!O90,'7.0.3'!$AM$4:$AO$55,3,FALSE))</f>
        <v>0</v>
      </c>
      <c r="H90" s="5">
        <f>(VLOOKUP('7.0.3'!P90,'7.0.3'!$AM$4:$AO$55,3,FALSE))</f>
        <v>0</v>
      </c>
      <c r="I90" s="4">
        <f>(VLOOKUP('7.0.3'!Q90,'7.0.3'!$AM$4:$AO$55,3,FALSE))</f>
        <v>45</v>
      </c>
      <c r="J90" s="4">
        <f>(VLOOKUP('7.0.3'!R90,'7.0.3'!$AM$4:$AO$55,3,FALSE))</f>
        <v>45</v>
      </c>
      <c r="K90" s="4">
        <f>(VLOOKUP('7.0.3'!S90,'7.0.3'!$AM$4:$AO$55,3,FALSE))</f>
        <v>45</v>
      </c>
      <c r="L90" s="4">
        <f>(VLOOKUP('7.0.3'!T90,'7.0.3'!$AM$4:$AO$55,3,FALSE))</f>
        <v>30</v>
      </c>
      <c r="M90" s="4">
        <f>(VLOOKUP('7.0.3'!U90,'7.0.3'!$AM$4:$AO$55,3,FALSE))</f>
        <v>45</v>
      </c>
      <c r="N90" s="4">
        <f>(VLOOKUP('7.0.3'!V90,'7.0.3'!$AM$4:$AO$55,3,FALSE))</f>
        <v>45</v>
      </c>
      <c r="O90" s="5">
        <f>(VLOOKUP('7.0.3'!W90,'7.0.3'!$AM$4:$AO$55,3,FALSE))</f>
        <v>0</v>
      </c>
      <c r="P90" s="5">
        <f>(VLOOKUP('7.0.3'!X90,'7.0.3'!$AM$4:$AO$55,3,FALSE))</f>
        <v>0</v>
      </c>
      <c r="Q90" s="4">
        <f>(VLOOKUP('7.0.3'!Y90,'7.0.3'!$AM$4:$AO$55,3,FALSE))</f>
        <v>50</v>
      </c>
      <c r="R90" s="4">
        <f>(VLOOKUP('7.0.3'!Z90,'7.0.3'!$AM$4:$AO$55,3,FALSE))</f>
        <v>50</v>
      </c>
      <c r="S90" s="4">
        <f>(VLOOKUP('7.0.3'!AA90,'7.0.3'!$AM$4:$AO$55,3,FALSE))</f>
        <v>50</v>
      </c>
      <c r="T90" s="4">
        <f>(VLOOKUP('7.0.3'!AB90,'7.0.3'!$AM$4:$AO$55,3,FALSE))</f>
        <v>50</v>
      </c>
      <c r="U90" s="4">
        <f>(VLOOKUP('7.0.3'!AC90,'7.0.3'!$AM$4:$AO$55,3,FALSE))</f>
        <v>30</v>
      </c>
      <c r="V90" s="4">
        <f>(VLOOKUP('7.0.3'!AD90,'7.0.3'!$AM$4:$AO$55,3,FALSE))</f>
        <v>50</v>
      </c>
      <c r="W90" s="5">
        <f>(VLOOKUP('7.0.3'!AE90,'7.0.3'!$AM$4:$AO$55,3,FALSE))</f>
        <v>0</v>
      </c>
      <c r="X90" s="5">
        <f>(VLOOKUP('7.0.3'!AF90,'7.0.3'!$AM$4:$AO$55,3,FALSE))</f>
        <v>0</v>
      </c>
    </row>
    <row r="91" spans="1:24">
      <c r="A91" s="4">
        <f>(VLOOKUP('7.0.3'!I91,'7.0.3'!$AM$4:$AO$55,3,FALSE))</f>
        <v>0</v>
      </c>
      <c r="B91" s="4">
        <f>(VLOOKUP('7.0.3'!J91,'7.0.3'!$AM$4:$AO$55,3,FALSE))</f>
        <v>0</v>
      </c>
      <c r="C91" s="4">
        <f>(VLOOKUP('7.0.3'!K91,'7.0.3'!$AM$4:$AO$55,3,FALSE))</f>
        <v>0</v>
      </c>
      <c r="D91" s="4">
        <f>(VLOOKUP('7.0.3'!L91,'7.0.3'!$AM$4:$AO$55,3,FALSE))</f>
        <v>0</v>
      </c>
      <c r="E91" s="4">
        <f>(VLOOKUP('7.0.3'!M91,'7.0.3'!$AM$4:$AO$55,3,FALSE))</f>
        <v>0</v>
      </c>
      <c r="F91" s="4">
        <f>(VLOOKUP('7.0.3'!N91,'7.0.3'!$AM$4:$AO$55,3,FALSE))</f>
        <v>0</v>
      </c>
      <c r="G91" s="5">
        <f>(VLOOKUP('7.0.3'!O91,'7.0.3'!$AM$4:$AO$55,3,FALSE))</f>
        <v>0</v>
      </c>
      <c r="H91" s="5">
        <f>(VLOOKUP('7.0.3'!P91,'7.0.3'!$AM$4:$AO$55,3,FALSE))</f>
        <v>0</v>
      </c>
      <c r="I91" s="4">
        <f>(VLOOKUP('7.0.3'!Q91,'7.0.3'!$AM$4:$AO$55,3,FALSE))</f>
        <v>45</v>
      </c>
      <c r="J91" s="4">
        <f>(VLOOKUP('7.0.3'!R91,'7.0.3'!$AM$4:$AO$55,3,FALSE))</f>
        <v>45</v>
      </c>
      <c r="K91" s="4">
        <f>(VLOOKUP('7.0.3'!S91,'7.0.3'!$AM$4:$AO$55,3,FALSE))</f>
        <v>45</v>
      </c>
      <c r="L91" s="4">
        <f>(VLOOKUP('7.0.3'!T91,'7.0.3'!$AM$4:$AO$55,3,FALSE))</f>
        <v>45</v>
      </c>
      <c r="M91" s="4">
        <f>(VLOOKUP('7.0.3'!U91,'7.0.3'!$AM$4:$AO$55,3,FALSE))</f>
        <v>45</v>
      </c>
      <c r="N91" s="4">
        <f>(VLOOKUP('7.0.3'!V91,'7.0.3'!$AM$4:$AO$55,3,FALSE))</f>
        <v>45</v>
      </c>
      <c r="O91" s="5">
        <f>(VLOOKUP('7.0.3'!W91,'7.0.3'!$AM$4:$AO$55,3,FALSE))</f>
        <v>0</v>
      </c>
      <c r="P91" s="5">
        <f>(VLOOKUP('7.0.3'!X91,'7.0.3'!$AM$4:$AO$55,3,FALSE))</f>
        <v>0</v>
      </c>
      <c r="Q91" s="4">
        <f>(VLOOKUP('7.0.3'!Y91,'7.0.3'!$AM$4:$AO$55,3,FALSE))</f>
        <v>50</v>
      </c>
      <c r="R91" s="4">
        <f>(VLOOKUP('7.0.3'!Z91,'7.0.3'!$AM$4:$AO$55,3,FALSE))</f>
        <v>50</v>
      </c>
      <c r="S91" s="4">
        <f>(VLOOKUP('7.0.3'!AA91,'7.0.3'!$AM$4:$AO$55,3,FALSE))</f>
        <v>50</v>
      </c>
      <c r="T91" s="4">
        <f>(VLOOKUP('7.0.3'!AB91,'7.0.3'!$AM$4:$AO$55,3,FALSE))</f>
        <v>50</v>
      </c>
      <c r="U91" s="4">
        <f>(VLOOKUP('7.0.3'!AC91,'7.0.3'!$AM$4:$AO$55,3,FALSE))</f>
        <v>50</v>
      </c>
      <c r="V91" s="4">
        <f>(VLOOKUP('7.0.3'!AD91,'7.0.3'!$AM$4:$AO$55,3,FALSE))</f>
        <v>50</v>
      </c>
      <c r="W91" s="5">
        <f>(VLOOKUP('7.0.3'!AE91,'7.0.3'!$AM$4:$AO$55,3,FALSE))</f>
        <v>0</v>
      </c>
      <c r="X91" s="5">
        <f>(VLOOKUP('7.0.3'!AF91,'7.0.3'!$AM$4:$AO$55,3,FALSE))</f>
        <v>0</v>
      </c>
    </row>
    <row r="92" spans="1:24">
      <c r="A92" s="4">
        <f>(VLOOKUP('7.0.3'!I92,'7.0.3'!$AM$4:$AO$55,3,FALSE))</f>
        <v>40</v>
      </c>
      <c r="B92" s="4">
        <f>(VLOOKUP('7.0.3'!J92,'7.0.3'!$AM$4:$AO$55,3,FALSE))</f>
        <v>30</v>
      </c>
      <c r="C92" s="4">
        <f>(VLOOKUP('7.0.3'!K92,'7.0.3'!$AM$4:$AO$55,3,FALSE))</f>
        <v>40</v>
      </c>
      <c r="D92" s="4">
        <f>(VLOOKUP('7.0.3'!L92,'7.0.3'!$AM$4:$AO$55,3,FALSE))</f>
        <v>40</v>
      </c>
      <c r="E92" s="4">
        <f>(VLOOKUP('7.0.3'!M92,'7.0.3'!$AM$4:$AO$55,3,FALSE))</f>
        <v>30</v>
      </c>
      <c r="F92" s="4">
        <f>(VLOOKUP('7.0.3'!N92,'7.0.3'!$AM$4:$AO$55,3,FALSE))</f>
        <v>40</v>
      </c>
      <c r="G92" s="5">
        <f>(VLOOKUP('7.0.3'!O92,'7.0.3'!$AM$4:$AO$55,3,FALSE))</f>
        <v>0</v>
      </c>
      <c r="H92" s="5">
        <f>(VLOOKUP('7.0.3'!P92,'7.0.3'!$AM$4:$AO$55,3,FALSE))</f>
        <v>0</v>
      </c>
      <c r="I92" s="4">
        <f>(VLOOKUP('7.0.3'!Q92,'7.0.3'!$AM$4:$AO$55,3,FALSE))</f>
        <v>30</v>
      </c>
      <c r="J92" s="4">
        <f>(VLOOKUP('7.0.3'!R92,'7.0.3'!$AM$4:$AO$55,3,FALSE))</f>
        <v>40</v>
      </c>
      <c r="K92" s="4">
        <f>(VLOOKUP('7.0.3'!S92,'7.0.3'!$AM$4:$AO$55,3,FALSE))</f>
        <v>40</v>
      </c>
      <c r="L92" s="4">
        <f>(VLOOKUP('7.0.3'!T92,'7.0.3'!$AM$4:$AO$55,3,FALSE))</f>
        <v>40</v>
      </c>
      <c r="M92" s="4">
        <f>(VLOOKUP('7.0.3'!U92,'7.0.3'!$AM$4:$AO$55,3,FALSE))</f>
        <v>40</v>
      </c>
      <c r="N92" s="4">
        <f>(VLOOKUP('7.0.3'!V92,'7.0.3'!$AM$4:$AO$55,3,FALSE))</f>
        <v>0</v>
      </c>
      <c r="O92" s="5">
        <f>(VLOOKUP('7.0.3'!W92,'7.0.3'!$AM$4:$AO$55,3,FALSE))</f>
        <v>0</v>
      </c>
      <c r="P92" s="5">
        <f>(VLOOKUP('7.0.3'!X92,'7.0.3'!$AM$4:$AO$55,3,FALSE))</f>
        <v>0</v>
      </c>
      <c r="Q92" s="4">
        <f>(VLOOKUP('7.0.3'!Y92,'7.0.3'!$AM$4:$AO$55,3,FALSE))</f>
        <v>50</v>
      </c>
      <c r="R92" s="4">
        <f>(VLOOKUP('7.0.3'!Z92,'7.0.3'!$AM$4:$AO$55,3,FALSE))</f>
        <v>50</v>
      </c>
      <c r="S92" s="4">
        <f>(VLOOKUP('7.0.3'!AA92,'7.0.3'!$AM$4:$AO$55,3,FALSE))</f>
        <v>50</v>
      </c>
      <c r="T92" s="4">
        <f>(VLOOKUP('7.0.3'!AB92,'7.0.3'!$AM$4:$AO$55,3,FALSE))</f>
        <v>50</v>
      </c>
      <c r="U92" s="4">
        <f>(VLOOKUP('7.0.3'!AC92,'7.0.3'!$AM$4:$AO$55,3,FALSE))</f>
        <v>0</v>
      </c>
      <c r="V92" s="4">
        <f>(VLOOKUP('7.0.3'!AD92,'7.0.3'!$AM$4:$AO$55,3,FALSE))</f>
        <v>0</v>
      </c>
      <c r="W92" s="5">
        <f>(VLOOKUP('7.0.3'!AE92,'7.0.3'!$AM$4:$AO$55,3,FALSE))</f>
        <v>0</v>
      </c>
      <c r="X92" s="5">
        <f>(VLOOKUP('7.0.3'!AF92,'7.0.3'!$AM$4:$AO$55,3,FALSE))</f>
        <v>0</v>
      </c>
    </row>
    <row r="93" spans="1:24">
      <c r="A93" s="4">
        <f>(VLOOKUP('7.0.3'!I93,'7.0.3'!$AM$4:$AO$55,3,FALSE))</f>
        <v>40</v>
      </c>
      <c r="B93" s="4">
        <f>(VLOOKUP('7.0.3'!J93,'7.0.3'!$AM$4:$AO$55,3,FALSE))</f>
        <v>40</v>
      </c>
      <c r="C93" s="4">
        <f>(VLOOKUP('7.0.3'!K93,'7.0.3'!$AM$4:$AO$55,3,FALSE))</f>
        <v>0</v>
      </c>
      <c r="D93" s="4">
        <f>(VLOOKUP('7.0.3'!L93,'7.0.3'!$AM$4:$AO$55,3,FALSE))</f>
        <v>40</v>
      </c>
      <c r="E93" s="4">
        <f>(VLOOKUP('7.0.3'!M93,'7.0.3'!$AM$4:$AO$55,3,FALSE))</f>
        <v>40</v>
      </c>
      <c r="F93" s="4">
        <f>(VLOOKUP('7.0.3'!N93,'7.0.3'!$AM$4:$AO$55,3,FALSE))</f>
        <v>30</v>
      </c>
      <c r="G93" s="5">
        <f>(VLOOKUP('7.0.3'!O93,'7.0.3'!$AM$4:$AO$55,3,FALSE))</f>
        <v>40</v>
      </c>
      <c r="H93" s="5">
        <f>(VLOOKUP('7.0.3'!P93,'7.0.3'!$AM$4:$AO$55,3,FALSE))</f>
        <v>40</v>
      </c>
      <c r="I93" s="4">
        <f>(VLOOKUP('7.0.3'!Q93,'7.0.3'!$AM$4:$AO$55,3,FALSE))</f>
        <v>30</v>
      </c>
      <c r="J93" s="4">
        <f>(VLOOKUP('7.0.3'!R93,'7.0.3'!$AM$4:$AO$55,3,FALSE))</f>
        <v>40</v>
      </c>
      <c r="K93" s="4">
        <f>(VLOOKUP('7.0.3'!S93,'7.0.3'!$AM$4:$AO$55,3,FALSE))</f>
        <v>40</v>
      </c>
      <c r="L93" s="4">
        <f>(VLOOKUP('7.0.3'!T93,'7.0.3'!$AM$4:$AO$55,3,FALSE))</f>
        <v>40</v>
      </c>
      <c r="M93" s="4">
        <f>(VLOOKUP('7.0.3'!U93,'7.0.3'!$AM$4:$AO$55,3,FALSE))</f>
        <v>0</v>
      </c>
      <c r="N93" s="4">
        <f>(VLOOKUP('7.0.3'!V93,'7.0.3'!$AM$4:$AO$55,3,FALSE))</f>
        <v>0</v>
      </c>
      <c r="O93" s="5">
        <f>(VLOOKUP('7.0.3'!W93,'7.0.3'!$AM$4:$AO$55,3,FALSE))</f>
        <v>0</v>
      </c>
      <c r="P93" s="5">
        <f>(VLOOKUP('7.0.3'!X93,'7.0.3'!$AM$4:$AO$55,3,FALSE))</f>
        <v>0</v>
      </c>
      <c r="Q93" s="4">
        <f>(VLOOKUP('7.0.3'!Y93,'7.0.3'!$AM$4:$AO$55,3,FALSE))</f>
        <v>50</v>
      </c>
      <c r="R93" s="4">
        <f>(VLOOKUP('7.0.3'!Z93,'7.0.3'!$AM$4:$AO$55,3,FALSE))</f>
        <v>50</v>
      </c>
      <c r="S93" s="4">
        <f>(VLOOKUP('7.0.3'!AA93,'7.0.3'!$AM$4:$AO$55,3,FALSE))</f>
        <v>50</v>
      </c>
      <c r="T93" s="4">
        <f>(VLOOKUP('7.0.3'!AB93,'7.0.3'!$AM$4:$AO$55,3,FALSE))</f>
        <v>50</v>
      </c>
      <c r="U93" s="4">
        <f>(VLOOKUP('7.0.3'!AC93,'7.0.3'!$AM$4:$AO$55,3,FALSE))</f>
        <v>0</v>
      </c>
      <c r="V93" s="4">
        <f>(VLOOKUP('7.0.3'!AD93,'7.0.3'!$AM$4:$AO$55,3,FALSE))</f>
        <v>0</v>
      </c>
      <c r="W93" s="5">
        <f>(VLOOKUP('7.0.3'!AE93,'7.0.3'!$AM$4:$AO$55,3,FALSE))</f>
        <v>0</v>
      </c>
      <c r="X93" s="5">
        <f>(VLOOKUP('7.0.3'!AF93,'7.0.3'!$AM$4:$AO$55,3,FALSE))</f>
        <v>0</v>
      </c>
    </row>
    <row r="94" spans="1:24">
      <c r="A94" s="4">
        <f>(VLOOKUP('7.0.3'!I94,'7.0.3'!$AM$4:$AO$55,3,FALSE))</f>
        <v>40</v>
      </c>
      <c r="B94" s="4">
        <f>(VLOOKUP('7.0.3'!J94,'7.0.3'!$AM$4:$AO$55,3,FALSE))</f>
        <v>40</v>
      </c>
      <c r="C94" s="4">
        <f>(VLOOKUP('7.0.3'!K94,'7.0.3'!$AM$4:$AO$55,3,FALSE))</f>
        <v>30</v>
      </c>
      <c r="D94" s="4">
        <f>(VLOOKUP('7.0.3'!L94,'7.0.3'!$AM$4:$AO$55,3,FALSE))</f>
        <v>40</v>
      </c>
      <c r="E94" s="4">
        <f>(VLOOKUP('7.0.3'!M94,'7.0.3'!$AM$4:$AO$55,3,FALSE))</f>
        <v>40</v>
      </c>
      <c r="F94" s="4">
        <f>(VLOOKUP('7.0.3'!N94,'7.0.3'!$AM$4:$AO$55,3,FALSE))</f>
        <v>30</v>
      </c>
      <c r="G94" s="5">
        <f>(VLOOKUP('7.0.3'!O94,'7.0.3'!$AM$4:$AO$55,3,FALSE))</f>
        <v>0</v>
      </c>
      <c r="H94" s="5">
        <f>(VLOOKUP('7.0.3'!P94,'7.0.3'!$AM$4:$AO$55,3,FALSE))</f>
        <v>0</v>
      </c>
      <c r="I94" s="4">
        <f>(VLOOKUP('7.0.3'!Q94,'7.0.3'!$AM$4:$AO$55,3,FALSE))</f>
        <v>30</v>
      </c>
      <c r="J94" s="4">
        <f>(VLOOKUP('7.0.3'!R94,'7.0.3'!$AM$4:$AO$55,3,FALSE))</f>
        <v>40</v>
      </c>
      <c r="K94" s="4">
        <f>(VLOOKUP('7.0.3'!S94,'7.0.3'!$AM$4:$AO$55,3,FALSE))</f>
        <v>40</v>
      </c>
      <c r="L94" s="4">
        <f>(VLOOKUP('7.0.3'!T94,'7.0.3'!$AM$4:$AO$55,3,FALSE))</f>
        <v>40</v>
      </c>
      <c r="M94" s="4">
        <f>(VLOOKUP('7.0.3'!U94,'7.0.3'!$AM$4:$AO$55,3,FALSE))</f>
        <v>35</v>
      </c>
      <c r="N94" s="4">
        <f>(VLOOKUP('7.0.3'!V94,'7.0.3'!$AM$4:$AO$55,3,FALSE))</f>
        <v>30</v>
      </c>
      <c r="O94" s="5">
        <f>(VLOOKUP('7.0.3'!W94,'7.0.3'!$AM$4:$AO$55,3,FALSE))</f>
        <v>0</v>
      </c>
      <c r="P94" s="5">
        <f>(VLOOKUP('7.0.3'!X94,'7.0.3'!$AM$4:$AO$55,3,FALSE))</f>
        <v>0</v>
      </c>
      <c r="Q94" s="4">
        <f>(VLOOKUP('7.0.3'!Y94,'7.0.3'!$AM$4:$AO$55,3,FALSE))</f>
        <v>50</v>
      </c>
      <c r="R94" s="4">
        <f>(VLOOKUP('7.0.3'!Z94,'7.0.3'!$AM$4:$AO$55,3,FALSE))</f>
        <v>50</v>
      </c>
      <c r="S94" s="4">
        <f>(VLOOKUP('7.0.3'!AA94,'7.0.3'!$AM$4:$AO$55,3,FALSE))</f>
        <v>50</v>
      </c>
      <c r="T94" s="4">
        <f>(VLOOKUP('7.0.3'!AB94,'7.0.3'!$AM$4:$AO$55,3,FALSE))</f>
        <v>50</v>
      </c>
      <c r="U94" s="4">
        <f>(VLOOKUP('7.0.3'!AC94,'7.0.3'!$AM$4:$AO$55,3,FALSE))</f>
        <v>0</v>
      </c>
      <c r="V94" s="4">
        <f>(VLOOKUP('7.0.3'!AD94,'7.0.3'!$AM$4:$AO$55,3,FALSE))</f>
        <v>0</v>
      </c>
      <c r="W94" s="5">
        <f>(VLOOKUP('7.0.3'!AE94,'7.0.3'!$AM$4:$AO$55,3,FALSE))</f>
        <v>0</v>
      </c>
      <c r="X94" s="5">
        <f>(VLOOKUP('7.0.3'!AF94,'7.0.3'!$AM$4:$AO$55,3,FALSE))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B12" sqref="B12"/>
    </sheetView>
  </sheetViews>
  <sheetFormatPr defaultColWidth="9" defaultRowHeight="15"/>
  <sheetData>
    <row r="1" spans="1:24" ht="15.75" thickBot="1"/>
    <row r="2" spans="1:24">
      <c r="A2" s="107" t="s">
        <v>62</v>
      </c>
      <c r="B2" s="108"/>
      <c r="C2" s="67" t="s">
        <v>4</v>
      </c>
      <c r="D2" s="67">
        <f>COUNTIF(A4:H94,"&lt;&gt;空")</f>
        <v>728</v>
      </c>
      <c r="E2" s="108" t="s">
        <v>5</v>
      </c>
      <c r="F2" s="108"/>
      <c r="G2" s="108"/>
      <c r="H2" s="109"/>
      <c r="I2" s="110" t="s">
        <v>6</v>
      </c>
      <c r="J2" s="111"/>
      <c r="K2" s="68" t="s">
        <v>4</v>
      </c>
      <c r="L2" s="68">
        <f>COUNTIF(I4:P94,"&lt;&gt;空")</f>
        <v>728</v>
      </c>
      <c r="M2" s="111" t="s">
        <v>5</v>
      </c>
      <c r="N2" s="111"/>
      <c r="O2" s="111"/>
      <c r="P2" s="112"/>
      <c r="Q2" s="113" t="s">
        <v>7</v>
      </c>
      <c r="R2" s="114"/>
      <c r="S2" s="10" t="s">
        <v>8</v>
      </c>
      <c r="T2" s="69">
        <f>COUNTIF(Q4:X94,"&lt;&gt;空")</f>
        <v>728</v>
      </c>
      <c r="U2" s="114" t="s">
        <v>5</v>
      </c>
      <c r="V2" s="114"/>
      <c r="W2" s="114"/>
      <c r="X2" s="11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(VLOOKUP('7.0.3'!I4,'7.0.3'!$AM$4:$AP$55,4,FALSE))</f>
        <v>44.222109392472248</v>
      </c>
      <c r="B4" s="4">
        <f>(VLOOKUP('7.0.3'!J4,'7.0.3'!$AM$4:$AP$55,4,FALSE))</f>
        <v>44.222109392472248</v>
      </c>
      <c r="C4" s="4">
        <f>(VLOOKUP('7.0.3'!K4,'7.0.3'!$AM$4:$AP$55,4,FALSE))</f>
        <v>44.222109392472248</v>
      </c>
      <c r="D4" s="4">
        <f>(VLOOKUP('7.0.3'!L4,'7.0.3'!$AM$4:$AP$55,4,FALSE))</f>
        <v>44.222109392472248</v>
      </c>
      <c r="E4" s="4">
        <f>(VLOOKUP('7.0.3'!M4,'7.0.3'!$AM$4:$AP$55,4,FALSE))</f>
        <v>44.222109392472248</v>
      </c>
      <c r="F4" s="4">
        <f>(VLOOKUP('7.0.3'!N4,'7.0.3'!$AM$4:$AP$55,4,FALSE))</f>
        <v>10</v>
      </c>
      <c r="G4" s="4">
        <f>(VLOOKUP('7.0.3'!O4,'7.0.3'!$AM$4:$AP$55,4,FALSE))</f>
        <v>0</v>
      </c>
      <c r="H4" s="4">
        <f>(VLOOKUP('7.0.3'!P4,'7.0.3'!$AM$4:$AP$55,4,FALSE))</f>
        <v>0</v>
      </c>
      <c r="I4" s="4">
        <f>(VLOOKUP('7.0.3'!Q4,'7.0.3'!$AM$4:$AP$55,4,FALSE))</f>
        <v>44.222109392472248</v>
      </c>
      <c r="J4" s="4">
        <f>(VLOOKUP('7.0.3'!R4,'7.0.3'!$AM$4:$AP$55,4,FALSE))</f>
        <v>44.222109392472248</v>
      </c>
      <c r="K4" s="4">
        <f>(VLOOKUP('7.0.3'!S4,'7.0.3'!$AM$4:$AP$55,4,FALSE))</f>
        <v>10</v>
      </c>
      <c r="L4" s="4">
        <f>(VLOOKUP('7.0.3'!T4,'7.0.3'!$AM$4:$AP$55,4,FALSE))</f>
        <v>39.110982162825422</v>
      </c>
      <c r="M4" s="4">
        <f>(VLOOKUP('7.0.3'!U4,'7.0.3'!$AM$4:$AP$55,4,FALSE))</f>
        <v>39.110982162825422</v>
      </c>
      <c r="N4" s="4">
        <f>(VLOOKUP('7.0.3'!V4,'7.0.3'!$AM$4:$AP$55,4,FALSE))</f>
        <v>39.110982162825422</v>
      </c>
      <c r="O4" s="4">
        <f>(VLOOKUP('7.0.3'!W4,'7.0.3'!$AM$4:$AP$55,4,FALSE))</f>
        <v>39.110982162825422</v>
      </c>
      <c r="P4" s="4">
        <f>(VLOOKUP('7.0.3'!X4,'7.0.3'!$AM$4:$AP$55,4,FALSE))</f>
        <v>39.110982162825422</v>
      </c>
      <c r="Q4" s="4">
        <f>(VLOOKUP('7.0.3'!Y4,'7.0.3'!$AM$4:$AP$55,4,FALSE))</f>
        <v>39.110982162825422</v>
      </c>
      <c r="R4" s="4">
        <f>(VLOOKUP('7.0.3'!Z4,'7.0.3'!$AM$4:$AP$55,4,FALSE))</f>
        <v>44.222109392472248</v>
      </c>
      <c r="S4" s="4">
        <f>(VLOOKUP('7.0.3'!AA4,'7.0.3'!$AM$4:$AP$55,4,FALSE))</f>
        <v>39.110982162825422</v>
      </c>
      <c r="T4" s="4">
        <f>(VLOOKUP('7.0.3'!AB4,'7.0.3'!$AM$4:$AP$55,4,FALSE))</f>
        <v>39.110982162825422</v>
      </c>
      <c r="U4" s="4">
        <f>(VLOOKUP('7.0.3'!AC4,'7.0.3'!$AM$4:$AP$55,4,FALSE))</f>
        <v>0</v>
      </c>
      <c r="V4" s="4">
        <f>(VLOOKUP('7.0.3'!AD4,'7.0.3'!$AM$4:$AP$55,4,FALSE))</f>
        <v>39.110982162825422</v>
      </c>
      <c r="W4" s="4">
        <f>(VLOOKUP('7.0.3'!AE4,'7.0.3'!$AM$4:$AP$55,4,FALSE))</f>
        <v>39.110982162825422</v>
      </c>
      <c r="X4" s="4">
        <f>(VLOOKUP('7.0.3'!AF4,'7.0.3'!$AM$4:$AP$55,4,FALSE))</f>
        <v>0</v>
      </c>
    </row>
    <row r="5" spans="1:24">
      <c r="A5" s="4">
        <f>(VLOOKUP('7.0.3'!I5,'7.0.3'!$AM$4:$AP$55,4,FALSE))</f>
        <v>39.110982162825422</v>
      </c>
      <c r="B5" s="4">
        <f>(VLOOKUP('7.0.3'!J5,'7.0.3'!$AM$4:$AP$55,4,FALSE))</f>
        <v>39.110982162825422</v>
      </c>
      <c r="C5" s="4">
        <f>(VLOOKUP('7.0.3'!K5,'7.0.3'!$AM$4:$AP$55,4,FALSE))</f>
        <v>39.110982162825422</v>
      </c>
      <c r="D5" s="4">
        <f>(VLOOKUP('7.0.3'!L5,'7.0.3'!$AM$4:$AP$55,4,FALSE))</f>
        <v>39.110982162825422</v>
      </c>
      <c r="E5" s="4">
        <f>(VLOOKUP('7.0.3'!M5,'7.0.3'!$AM$4:$AP$55,4,FALSE))</f>
        <v>39.110982162825422</v>
      </c>
      <c r="F5" s="4">
        <f>(VLOOKUP('7.0.3'!N5,'7.0.3'!$AM$4:$AP$55,4,FALSE))</f>
        <v>10</v>
      </c>
      <c r="G5" s="4">
        <f>(VLOOKUP('7.0.3'!O5,'7.0.3'!$AM$4:$AP$55,4,FALSE))</f>
        <v>0</v>
      </c>
      <c r="H5" s="4">
        <f>(VLOOKUP('7.0.3'!P5,'7.0.3'!$AM$4:$AP$55,4,FALSE))</f>
        <v>0</v>
      </c>
      <c r="I5" s="4">
        <f>(VLOOKUP('7.0.3'!Q5,'7.0.3'!$AM$4:$AP$55,4,FALSE))</f>
        <v>39.110982162825422</v>
      </c>
      <c r="J5" s="4">
        <f>(VLOOKUP('7.0.3'!R5,'7.0.3'!$AM$4:$AP$55,4,FALSE))</f>
        <v>39.110982162825422</v>
      </c>
      <c r="K5" s="4">
        <f>(VLOOKUP('7.0.3'!S5,'7.0.3'!$AM$4:$AP$55,4,FALSE))</f>
        <v>39.110982162825422</v>
      </c>
      <c r="L5" s="4">
        <f>(VLOOKUP('7.0.3'!T5,'7.0.3'!$AM$4:$AP$55,4,FALSE))</f>
        <v>39.110982162825422</v>
      </c>
      <c r="M5" s="4">
        <f>(VLOOKUP('7.0.3'!U5,'7.0.3'!$AM$4:$AP$55,4,FALSE))</f>
        <v>39.110982162825422</v>
      </c>
      <c r="N5" s="4">
        <f>(VLOOKUP('7.0.3'!V5,'7.0.3'!$AM$4:$AP$55,4,FALSE))</f>
        <v>39.110982162825422</v>
      </c>
      <c r="O5" s="4">
        <f>(VLOOKUP('7.0.3'!W5,'7.0.3'!$AM$4:$AP$55,4,FALSE))</f>
        <v>0</v>
      </c>
      <c r="P5" s="4">
        <f>(VLOOKUP('7.0.3'!X5,'7.0.3'!$AM$4:$AP$55,4,FALSE))</f>
        <v>0</v>
      </c>
      <c r="Q5" s="4">
        <f>(VLOOKUP('7.0.3'!Y5,'7.0.3'!$AM$4:$AP$55,4,FALSE))</f>
        <v>36</v>
      </c>
      <c r="R5" s="4">
        <f>(VLOOKUP('7.0.3'!Z5,'7.0.3'!$AM$4:$AP$55,4,FALSE))</f>
        <v>44.222109392472248</v>
      </c>
      <c r="S5" s="4">
        <f>(VLOOKUP('7.0.3'!AA5,'7.0.3'!$AM$4:$AP$55,4,FALSE))</f>
        <v>36</v>
      </c>
      <c r="T5" s="4">
        <f>(VLOOKUP('7.0.3'!AB5,'7.0.3'!$AM$4:$AP$55,4,FALSE))</f>
        <v>0</v>
      </c>
      <c r="U5" s="4">
        <f>(VLOOKUP('7.0.3'!AC5,'7.0.3'!$AM$4:$AP$55,4,FALSE))</f>
        <v>34</v>
      </c>
      <c r="V5" s="4">
        <f>(VLOOKUP('7.0.3'!AD5,'7.0.3'!$AM$4:$AP$55,4,FALSE))</f>
        <v>34</v>
      </c>
      <c r="W5" s="4">
        <f>(VLOOKUP('7.0.3'!AE5,'7.0.3'!$AM$4:$AP$55,4,FALSE))</f>
        <v>0</v>
      </c>
      <c r="X5" s="4">
        <f>(VLOOKUP('7.0.3'!AF5,'7.0.3'!$AM$4:$AP$55,4,FALSE))</f>
        <v>0</v>
      </c>
    </row>
    <row r="6" spans="1:24">
      <c r="A6" s="4">
        <f>(VLOOKUP('7.0.3'!I6,'7.0.3'!$AM$4:$AP$55,4,FALSE))</f>
        <v>39.110982162825422</v>
      </c>
      <c r="B6" s="4">
        <f>(VLOOKUP('7.0.3'!J6,'7.0.3'!$AM$4:$AP$55,4,FALSE))</f>
        <v>39.110982162825422</v>
      </c>
      <c r="C6" s="4">
        <f>(VLOOKUP('7.0.3'!K6,'7.0.3'!$AM$4:$AP$55,4,FALSE))</f>
        <v>34</v>
      </c>
      <c r="D6" s="4">
        <f>(VLOOKUP('7.0.3'!L6,'7.0.3'!$AM$4:$AP$55,4,FALSE))</f>
        <v>34</v>
      </c>
      <c r="E6" s="4">
        <f>(VLOOKUP('7.0.3'!M6,'7.0.3'!$AM$4:$AP$55,4,FALSE))</f>
        <v>34</v>
      </c>
      <c r="F6" s="4">
        <f>(VLOOKUP('7.0.3'!N6,'7.0.3'!$AM$4:$AP$55,4,FALSE))</f>
        <v>34</v>
      </c>
      <c r="G6" s="4">
        <f>(VLOOKUP('7.0.3'!O6,'7.0.3'!$AM$4:$AP$55,4,FALSE))</f>
        <v>0</v>
      </c>
      <c r="H6" s="4">
        <f>(VLOOKUP('7.0.3'!P6,'7.0.3'!$AM$4:$AP$55,4,FALSE))</f>
        <v>0</v>
      </c>
      <c r="I6" s="4">
        <f>(VLOOKUP('7.0.3'!Q6,'7.0.3'!$AM$4:$AP$55,4,FALSE))</f>
        <v>34</v>
      </c>
      <c r="J6" s="4">
        <f>(VLOOKUP('7.0.3'!R6,'7.0.3'!$AM$4:$AP$55,4,FALSE))</f>
        <v>34</v>
      </c>
      <c r="K6" s="4">
        <f>(VLOOKUP('7.0.3'!S6,'7.0.3'!$AM$4:$AP$55,4,FALSE))</f>
        <v>0</v>
      </c>
      <c r="L6" s="4">
        <f>(VLOOKUP('7.0.3'!T6,'7.0.3'!$AM$4:$AP$55,4,FALSE))</f>
        <v>34</v>
      </c>
      <c r="M6" s="4">
        <f>(VLOOKUP('7.0.3'!U6,'7.0.3'!$AM$4:$AP$55,4,FALSE))</f>
        <v>34</v>
      </c>
      <c r="N6" s="4">
        <f>(VLOOKUP('7.0.3'!V6,'7.0.3'!$AM$4:$AP$55,4,FALSE))</f>
        <v>34</v>
      </c>
      <c r="O6" s="4">
        <f>(VLOOKUP('7.0.3'!W6,'7.0.3'!$AM$4:$AP$55,4,FALSE))</f>
        <v>0</v>
      </c>
      <c r="P6" s="4">
        <f>(VLOOKUP('7.0.3'!X6,'7.0.3'!$AM$4:$AP$55,4,FALSE))</f>
        <v>0</v>
      </c>
      <c r="Q6" s="4">
        <f>(VLOOKUP('7.0.3'!Y6,'7.0.3'!$AM$4:$AP$55,4,FALSE))</f>
        <v>34</v>
      </c>
      <c r="R6" s="4">
        <f>(VLOOKUP('7.0.3'!Z6,'7.0.3'!$AM$4:$AP$55,4,FALSE))</f>
        <v>10</v>
      </c>
      <c r="S6" s="4">
        <f>(VLOOKUP('7.0.3'!AA6,'7.0.3'!$AM$4:$AP$55,4,FALSE))</f>
        <v>34</v>
      </c>
      <c r="T6" s="4">
        <f>(VLOOKUP('7.0.3'!AB6,'7.0.3'!$AM$4:$AP$55,4,FALSE))</f>
        <v>0</v>
      </c>
      <c r="U6" s="4">
        <f>(VLOOKUP('7.0.3'!AC6,'7.0.3'!$AM$4:$AP$55,4,FALSE))</f>
        <v>0</v>
      </c>
      <c r="V6" s="4">
        <f>(VLOOKUP('7.0.3'!AD6,'7.0.3'!$AM$4:$AP$55,4,FALSE))</f>
        <v>0</v>
      </c>
      <c r="W6" s="4">
        <f>(VLOOKUP('7.0.3'!AE6,'7.0.3'!$AM$4:$AP$55,4,FALSE))</f>
        <v>0</v>
      </c>
      <c r="X6" s="4">
        <f>(VLOOKUP('7.0.3'!AF6,'7.0.3'!$AM$4:$AP$55,4,FALSE))</f>
        <v>0</v>
      </c>
    </row>
    <row r="7" spans="1:24">
      <c r="A7" s="4">
        <f>(VLOOKUP('7.0.3'!I7,'7.0.3'!$AM$4:$AP$55,4,FALSE))</f>
        <v>0</v>
      </c>
      <c r="B7" s="4">
        <f>(VLOOKUP('7.0.3'!J7,'7.0.3'!$AM$4:$AP$55,4,FALSE))</f>
        <v>34</v>
      </c>
      <c r="C7" s="4">
        <f>(VLOOKUP('7.0.3'!K7,'7.0.3'!$AM$4:$AP$55,4,FALSE))</f>
        <v>34</v>
      </c>
      <c r="D7" s="4">
        <f>(VLOOKUP('7.0.3'!L7,'7.0.3'!$AM$4:$AP$55,4,FALSE))</f>
        <v>34</v>
      </c>
      <c r="E7" s="4">
        <f>(VLOOKUP('7.0.3'!M7,'7.0.3'!$AM$4:$AP$55,4,FALSE))</f>
        <v>34</v>
      </c>
      <c r="F7" s="4">
        <f>(VLOOKUP('7.0.3'!N7,'7.0.3'!$AM$4:$AP$55,4,FALSE))</f>
        <v>13.999854933178597</v>
      </c>
      <c r="G7" s="4">
        <f>(VLOOKUP('7.0.3'!O7,'7.0.3'!$AM$4:$AP$55,4,FALSE))</f>
        <v>0</v>
      </c>
      <c r="H7" s="4">
        <f>(VLOOKUP('7.0.3'!P7,'7.0.3'!$AM$4:$AP$55,4,FALSE))</f>
        <v>0</v>
      </c>
      <c r="I7" s="4">
        <f>(VLOOKUP('7.0.3'!Q7,'7.0.3'!$AM$4:$AP$55,4,FALSE))</f>
        <v>34</v>
      </c>
      <c r="J7" s="4">
        <f>(VLOOKUP('7.0.3'!R7,'7.0.3'!$AM$4:$AP$55,4,FALSE))</f>
        <v>34</v>
      </c>
      <c r="K7" s="4">
        <f>(VLOOKUP('7.0.3'!S7,'7.0.3'!$AM$4:$AP$55,4,FALSE))</f>
        <v>34</v>
      </c>
      <c r="L7" s="4">
        <f>(VLOOKUP('7.0.3'!T7,'7.0.3'!$AM$4:$AP$55,4,FALSE))</f>
        <v>34</v>
      </c>
      <c r="M7" s="4">
        <f>(VLOOKUP('7.0.3'!U7,'7.0.3'!$AM$4:$AP$55,4,FALSE))</f>
        <v>34</v>
      </c>
      <c r="N7" s="4">
        <f>(VLOOKUP('7.0.3'!V7,'7.0.3'!$AM$4:$AP$55,4,FALSE))</f>
        <v>0</v>
      </c>
      <c r="O7" s="4">
        <f>(VLOOKUP('7.0.3'!W7,'7.0.3'!$AM$4:$AP$55,4,FALSE))</f>
        <v>0</v>
      </c>
      <c r="P7" s="4">
        <f>(VLOOKUP('7.0.3'!X7,'7.0.3'!$AM$4:$AP$55,4,FALSE))</f>
        <v>0</v>
      </c>
      <c r="Q7" s="4">
        <f>(VLOOKUP('7.0.3'!Y7,'7.0.3'!$AM$4:$AP$55,4,FALSE))</f>
        <v>0</v>
      </c>
      <c r="R7" s="4">
        <f>(VLOOKUP('7.0.3'!Z7,'7.0.3'!$AM$4:$AP$55,4,FALSE))</f>
        <v>0</v>
      </c>
      <c r="S7" s="4">
        <f>(VLOOKUP('7.0.3'!AA7,'7.0.3'!$AM$4:$AP$55,4,FALSE))</f>
        <v>0</v>
      </c>
      <c r="T7" s="4">
        <f>(VLOOKUP('7.0.3'!AB7,'7.0.3'!$AM$4:$AP$55,4,FALSE))</f>
        <v>0</v>
      </c>
      <c r="U7" s="4">
        <f>(VLOOKUP('7.0.3'!AC7,'7.0.3'!$AM$4:$AP$55,4,FALSE))</f>
        <v>0</v>
      </c>
      <c r="V7" s="4">
        <f>(VLOOKUP('7.0.3'!AD7,'7.0.3'!$AM$4:$AP$55,4,FALSE))</f>
        <v>0</v>
      </c>
      <c r="W7" s="4">
        <f>(VLOOKUP('7.0.3'!AE7,'7.0.3'!$AM$4:$AP$55,4,FALSE))</f>
        <v>0</v>
      </c>
      <c r="X7" s="4">
        <f>(VLOOKUP('7.0.3'!AF7,'7.0.3'!$AM$4:$AP$55,4,FALSE))</f>
        <v>0</v>
      </c>
    </row>
    <row r="8" spans="1:24">
      <c r="A8" s="4">
        <f>(VLOOKUP('7.0.3'!I8,'7.0.3'!$AM$4:$AP$55,4,FALSE))</f>
        <v>34</v>
      </c>
      <c r="B8" s="4">
        <f>(VLOOKUP('7.0.3'!J8,'7.0.3'!$AM$4:$AP$55,4,FALSE))</f>
        <v>34</v>
      </c>
      <c r="C8" s="4">
        <f>(VLOOKUP('7.0.3'!K8,'7.0.3'!$AM$4:$AP$55,4,FALSE))</f>
        <v>0</v>
      </c>
      <c r="D8" s="4">
        <f>(VLOOKUP('7.0.3'!L8,'7.0.3'!$AM$4:$AP$55,4,FALSE))</f>
        <v>34</v>
      </c>
      <c r="E8" s="4">
        <f>(VLOOKUP('7.0.3'!M8,'7.0.3'!$AM$4:$AP$55,4,FALSE))</f>
        <v>34</v>
      </c>
      <c r="F8" s="4">
        <f>(VLOOKUP('7.0.3'!N8,'7.0.3'!$AM$4:$AP$55,4,FALSE))</f>
        <v>10</v>
      </c>
      <c r="G8" s="4">
        <f>(VLOOKUP('7.0.3'!O8,'7.0.3'!$AM$4:$AP$55,4,FALSE))</f>
        <v>0</v>
      </c>
      <c r="H8" s="4">
        <f>(VLOOKUP('7.0.3'!P8,'7.0.3'!$AM$4:$AP$55,4,FALSE))</f>
        <v>0</v>
      </c>
      <c r="I8" s="4">
        <f>(VLOOKUP('7.0.3'!Q8,'7.0.3'!$AM$4:$AP$55,4,FALSE))</f>
        <v>34</v>
      </c>
      <c r="J8" s="4">
        <f>(VLOOKUP('7.0.3'!R8,'7.0.3'!$AM$4:$AP$55,4,FALSE))</f>
        <v>44.222109392472248</v>
      </c>
      <c r="K8" s="4">
        <f>(VLOOKUP('7.0.3'!S8,'7.0.3'!$AM$4:$AP$55,4,FALSE))</f>
        <v>34</v>
      </c>
      <c r="L8" s="4">
        <f>(VLOOKUP('7.0.3'!T8,'7.0.3'!$AM$4:$AP$55,4,FALSE))</f>
        <v>34</v>
      </c>
      <c r="M8" s="4">
        <f>(VLOOKUP('7.0.3'!U8,'7.0.3'!$AM$4:$AP$55,4,FALSE))</f>
        <v>34</v>
      </c>
      <c r="N8" s="4">
        <f>(VLOOKUP('7.0.3'!V8,'7.0.3'!$AM$4:$AP$55,4,FALSE))</f>
        <v>13.999854933178597</v>
      </c>
      <c r="O8" s="4">
        <f>(VLOOKUP('7.0.3'!W8,'7.0.3'!$AM$4:$AP$55,4,FALSE))</f>
        <v>0</v>
      </c>
      <c r="P8" s="4">
        <f>(VLOOKUP('7.0.3'!X8,'7.0.3'!$AM$4:$AP$55,4,FALSE))</f>
        <v>0</v>
      </c>
      <c r="Q8" s="4">
        <f>(VLOOKUP('7.0.3'!Y8,'7.0.3'!$AM$4:$AP$55,4,FALSE))</f>
        <v>0</v>
      </c>
      <c r="R8" s="4">
        <f>(VLOOKUP('7.0.3'!Z8,'7.0.3'!$AM$4:$AP$55,4,FALSE))</f>
        <v>0</v>
      </c>
      <c r="S8" s="4">
        <f>(VLOOKUP('7.0.3'!AA8,'7.0.3'!$AM$4:$AP$55,4,FALSE))</f>
        <v>0</v>
      </c>
      <c r="T8" s="4">
        <f>(VLOOKUP('7.0.3'!AB8,'7.0.3'!$AM$4:$AP$55,4,FALSE))</f>
        <v>0</v>
      </c>
      <c r="U8" s="4">
        <f>(VLOOKUP('7.0.3'!AC8,'7.0.3'!$AM$4:$AP$55,4,FALSE))</f>
        <v>0</v>
      </c>
      <c r="V8" s="4">
        <f>(VLOOKUP('7.0.3'!AD8,'7.0.3'!$AM$4:$AP$55,4,FALSE))</f>
        <v>0</v>
      </c>
      <c r="W8" s="4">
        <f>(VLOOKUP('7.0.3'!AE8,'7.0.3'!$AM$4:$AP$55,4,FALSE))</f>
        <v>0</v>
      </c>
      <c r="X8" s="4">
        <f>(VLOOKUP('7.0.3'!AF8,'7.0.3'!$AM$4:$AP$55,4,FALSE))</f>
        <v>0</v>
      </c>
    </row>
    <row r="9" spans="1:24">
      <c r="A9" s="4">
        <f>(VLOOKUP('7.0.3'!I9,'7.0.3'!$AM$4:$AP$55,4,FALSE))</f>
        <v>34</v>
      </c>
      <c r="B9" s="4">
        <f>(VLOOKUP('7.0.3'!J9,'7.0.3'!$AM$4:$AP$55,4,FALSE))</f>
        <v>34</v>
      </c>
      <c r="C9" s="4">
        <f>(VLOOKUP('7.0.3'!K9,'7.0.3'!$AM$4:$AP$55,4,FALSE))</f>
        <v>34</v>
      </c>
      <c r="D9" s="4">
        <f>(VLOOKUP('7.0.3'!L9,'7.0.3'!$AM$4:$AP$55,4,FALSE))</f>
        <v>34</v>
      </c>
      <c r="E9" s="4">
        <f>(VLOOKUP('7.0.3'!M9,'7.0.3'!$AM$4:$AP$55,4,FALSE))</f>
        <v>0</v>
      </c>
      <c r="F9" s="4">
        <f>(VLOOKUP('7.0.3'!N9,'7.0.3'!$AM$4:$AP$55,4,FALSE))</f>
        <v>34</v>
      </c>
      <c r="G9" s="4">
        <f>(VLOOKUP('7.0.3'!O9,'7.0.3'!$AM$4:$AP$55,4,FALSE))</f>
        <v>0</v>
      </c>
      <c r="H9" s="4">
        <f>(VLOOKUP('7.0.3'!P9,'7.0.3'!$AM$4:$AP$55,4,FALSE))</f>
        <v>0</v>
      </c>
      <c r="I9" s="4">
        <f>(VLOOKUP('7.0.3'!Q9,'7.0.3'!$AM$4:$AP$55,4,FALSE))</f>
        <v>34</v>
      </c>
      <c r="J9" s="4">
        <f>(VLOOKUP('7.0.3'!R9,'7.0.3'!$AM$4:$AP$55,4,FALSE))</f>
        <v>34</v>
      </c>
      <c r="K9" s="4">
        <f>(VLOOKUP('7.0.3'!S9,'7.0.3'!$AM$4:$AP$55,4,FALSE))</f>
        <v>34</v>
      </c>
      <c r="L9" s="4">
        <f>(VLOOKUP('7.0.3'!T9,'7.0.3'!$AM$4:$AP$55,4,FALSE))</f>
        <v>34</v>
      </c>
      <c r="M9" s="4">
        <f>(VLOOKUP('7.0.3'!U9,'7.0.3'!$AM$4:$AP$55,4,FALSE))</f>
        <v>0</v>
      </c>
      <c r="N9" s="4">
        <f>(VLOOKUP('7.0.3'!V9,'7.0.3'!$AM$4:$AP$55,4,FALSE))</f>
        <v>34</v>
      </c>
      <c r="O9" s="4">
        <f>(VLOOKUP('7.0.3'!W9,'7.0.3'!$AM$4:$AP$55,4,FALSE))</f>
        <v>0</v>
      </c>
      <c r="P9" s="4">
        <f>(VLOOKUP('7.0.3'!X9,'7.0.3'!$AM$4:$AP$55,4,FALSE))</f>
        <v>0</v>
      </c>
      <c r="Q9" s="4">
        <f>(VLOOKUP('7.0.3'!Y9,'7.0.3'!$AM$4:$AP$55,4,FALSE))</f>
        <v>0</v>
      </c>
      <c r="R9" s="4">
        <f>(VLOOKUP('7.0.3'!Z9,'7.0.3'!$AM$4:$AP$55,4,FALSE))</f>
        <v>0</v>
      </c>
      <c r="S9" s="4">
        <f>(VLOOKUP('7.0.3'!AA9,'7.0.3'!$AM$4:$AP$55,4,FALSE))</f>
        <v>0</v>
      </c>
      <c r="T9" s="4">
        <f>(VLOOKUP('7.0.3'!AB9,'7.0.3'!$AM$4:$AP$55,4,FALSE))</f>
        <v>0</v>
      </c>
      <c r="U9" s="4">
        <f>(VLOOKUP('7.0.3'!AC9,'7.0.3'!$AM$4:$AP$55,4,FALSE))</f>
        <v>0</v>
      </c>
      <c r="V9" s="4">
        <f>(VLOOKUP('7.0.3'!AD9,'7.0.3'!$AM$4:$AP$55,4,FALSE))</f>
        <v>0</v>
      </c>
      <c r="W9" s="4">
        <f>(VLOOKUP('7.0.3'!AE9,'7.0.3'!$AM$4:$AP$55,4,FALSE))</f>
        <v>0</v>
      </c>
      <c r="X9" s="4">
        <f>(VLOOKUP('7.0.3'!AF9,'7.0.3'!$AM$4:$AP$55,4,FALSE))</f>
        <v>0</v>
      </c>
    </row>
    <row r="10" spans="1:24">
      <c r="A10" s="4">
        <f>(VLOOKUP('7.0.3'!I10,'7.0.3'!$AM$4:$AP$55,4,FALSE))</f>
        <v>34</v>
      </c>
      <c r="B10" s="4">
        <f>(VLOOKUP('7.0.3'!J10,'7.0.3'!$AM$4:$AP$55,4,FALSE))</f>
        <v>34</v>
      </c>
      <c r="C10" s="4">
        <f>(VLOOKUP('7.0.3'!K10,'7.0.3'!$AM$4:$AP$55,4,FALSE))</f>
        <v>34</v>
      </c>
      <c r="D10" s="4">
        <f>(VLOOKUP('7.0.3'!L10,'7.0.3'!$AM$4:$AP$55,4,FALSE))</f>
        <v>13.999854933178597</v>
      </c>
      <c r="E10" s="4">
        <f>(VLOOKUP('7.0.3'!M10,'7.0.3'!$AM$4:$AP$55,4,FALSE))</f>
        <v>34</v>
      </c>
      <c r="F10" s="4">
        <f>(VLOOKUP('7.0.3'!N10,'7.0.3'!$AM$4:$AP$55,4,FALSE))</f>
        <v>34</v>
      </c>
      <c r="G10" s="4">
        <f>(VLOOKUP('7.0.3'!O10,'7.0.3'!$AM$4:$AP$55,4,FALSE))</f>
        <v>0</v>
      </c>
      <c r="H10" s="4">
        <f>(VLOOKUP('7.0.3'!P10,'7.0.3'!$AM$4:$AP$55,4,FALSE))</f>
        <v>0</v>
      </c>
      <c r="I10" s="4">
        <f>(VLOOKUP('7.0.3'!Q10,'7.0.3'!$AM$4:$AP$55,4,FALSE))</f>
        <v>34</v>
      </c>
      <c r="J10" s="4">
        <f>(VLOOKUP('7.0.3'!R10,'7.0.3'!$AM$4:$AP$55,4,FALSE))</f>
        <v>34</v>
      </c>
      <c r="K10" s="4">
        <f>(VLOOKUP('7.0.3'!S10,'7.0.3'!$AM$4:$AP$55,4,FALSE))</f>
        <v>34</v>
      </c>
      <c r="L10" s="4">
        <f>(VLOOKUP('7.0.3'!T10,'7.0.3'!$AM$4:$AP$55,4,FALSE))</f>
        <v>34</v>
      </c>
      <c r="M10" s="4">
        <f>(VLOOKUP('7.0.3'!U10,'7.0.3'!$AM$4:$AP$55,4,FALSE))</f>
        <v>34</v>
      </c>
      <c r="N10" s="4">
        <f>(VLOOKUP('7.0.3'!V10,'7.0.3'!$AM$4:$AP$55,4,FALSE))</f>
        <v>34</v>
      </c>
      <c r="O10" s="4">
        <f>(VLOOKUP('7.0.3'!W10,'7.0.3'!$AM$4:$AP$55,4,FALSE))</f>
        <v>0</v>
      </c>
      <c r="P10" s="4">
        <f>(VLOOKUP('7.0.3'!X10,'7.0.3'!$AM$4:$AP$55,4,FALSE))</f>
        <v>0</v>
      </c>
      <c r="Q10" s="4">
        <f>(VLOOKUP('7.0.3'!Y10,'7.0.3'!$AM$4:$AP$55,4,FALSE))</f>
        <v>0</v>
      </c>
      <c r="R10" s="4">
        <f>(VLOOKUP('7.0.3'!Z10,'7.0.3'!$AM$4:$AP$55,4,FALSE))</f>
        <v>0</v>
      </c>
      <c r="S10" s="4">
        <f>(VLOOKUP('7.0.3'!AA10,'7.0.3'!$AM$4:$AP$55,4,FALSE))</f>
        <v>0</v>
      </c>
      <c r="T10" s="4">
        <f>(VLOOKUP('7.0.3'!AB10,'7.0.3'!$AM$4:$AP$55,4,FALSE))</f>
        <v>0</v>
      </c>
      <c r="U10" s="4">
        <f>(VLOOKUP('7.0.3'!AC10,'7.0.3'!$AM$4:$AP$55,4,FALSE))</f>
        <v>0</v>
      </c>
      <c r="V10" s="4">
        <f>(VLOOKUP('7.0.3'!AD10,'7.0.3'!$AM$4:$AP$55,4,FALSE))</f>
        <v>0</v>
      </c>
      <c r="W10" s="4">
        <f>(VLOOKUP('7.0.3'!AE10,'7.0.3'!$AM$4:$AP$55,4,FALSE))</f>
        <v>0</v>
      </c>
      <c r="X10" s="4">
        <f>(VLOOKUP('7.0.3'!AF10,'7.0.3'!$AM$4:$AP$55,4,FALSE))</f>
        <v>0</v>
      </c>
    </row>
    <row r="11" spans="1:24">
      <c r="A11" s="4">
        <f>(VLOOKUP('7.0.3'!I11,'7.0.3'!$AM$4:$AP$55,4,FALSE))</f>
        <v>34</v>
      </c>
      <c r="B11" s="4">
        <f>(VLOOKUP('7.0.3'!J11,'7.0.3'!$AM$4:$AP$55,4,FALSE))</f>
        <v>34</v>
      </c>
      <c r="C11" s="4">
        <f>(VLOOKUP('7.0.3'!K11,'7.0.3'!$AM$4:$AP$55,4,FALSE))</f>
        <v>34</v>
      </c>
      <c r="D11" s="4">
        <f>(VLOOKUP('7.0.3'!L11,'7.0.3'!$AM$4:$AP$55,4,FALSE))</f>
        <v>34</v>
      </c>
      <c r="E11" s="4">
        <f>(VLOOKUP('7.0.3'!M11,'7.0.3'!$AM$4:$AP$55,4,FALSE))</f>
        <v>10</v>
      </c>
      <c r="F11" s="4">
        <f>(VLOOKUP('7.0.3'!N11,'7.0.3'!$AM$4:$AP$55,4,FALSE))</f>
        <v>34</v>
      </c>
      <c r="G11" s="4">
        <f>(VLOOKUP('7.0.3'!O11,'7.0.3'!$AM$4:$AP$55,4,FALSE))</f>
        <v>0</v>
      </c>
      <c r="H11" s="4">
        <f>(VLOOKUP('7.0.3'!P11,'7.0.3'!$AM$4:$AP$55,4,FALSE))</f>
        <v>0</v>
      </c>
      <c r="I11" s="4">
        <f>(VLOOKUP('7.0.3'!Q11,'7.0.3'!$AM$4:$AP$55,4,FALSE))</f>
        <v>34</v>
      </c>
      <c r="J11" s="4">
        <f>(VLOOKUP('7.0.3'!R11,'7.0.3'!$AM$4:$AP$55,4,FALSE))</f>
        <v>34</v>
      </c>
      <c r="K11" s="4">
        <f>(VLOOKUP('7.0.3'!S11,'7.0.3'!$AM$4:$AP$55,4,FALSE))</f>
        <v>34</v>
      </c>
      <c r="L11" s="4">
        <f>(VLOOKUP('7.0.3'!T11,'7.0.3'!$AM$4:$AP$55,4,FALSE))</f>
        <v>34</v>
      </c>
      <c r="M11" s="4">
        <f>(VLOOKUP('7.0.3'!U11,'7.0.3'!$AM$4:$AP$55,4,FALSE))</f>
        <v>34</v>
      </c>
      <c r="N11" s="4">
        <f>(VLOOKUP('7.0.3'!V11,'7.0.3'!$AM$4:$AP$55,4,FALSE))</f>
        <v>34</v>
      </c>
      <c r="O11" s="4">
        <f>(VLOOKUP('7.0.3'!W11,'7.0.3'!$AM$4:$AP$55,4,FALSE))</f>
        <v>0</v>
      </c>
      <c r="P11" s="4">
        <f>(VLOOKUP('7.0.3'!X11,'7.0.3'!$AM$4:$AP$55,4,FALSE))</f>
        <v>0</v>
      </c>
      <c r="Q11" s="4">
        <f>(VLOOKUP('7.0.3'!Y11,'7.0.3'!$AM$4:$AP$55,4,FALSE))</f>
        <v>0</v>
      </c>
      <c r="R11" s="4">
        <f>(VLOOKUP('7.0.3'!Z11,'7.0.3'!$AM$4:$AP$55,4,FALSE))</f>
        <v>0</v>
      </c>
      <c r="S11" s="4">
        <f>(VLOOKUP('7.0.3'!AA11,'7.0.3'!$AM$4:$AP$55,4,FALSE))</f>
        <v>0</v>
      </c>
      <c r="T11" s="4">
        <f>(VLOOKUP('7.0.3'!AB11,'7.0.3'!$AM$4:$AP$55,4,FALSE))</f>
        <v>0</v>
      </c>
      <c r="U11" s="4">
        <f>(VLOOKUP('7.0.3'!AC11,'7.0.3'!$AM$4:$AP$55,4,FALSE))</f>
        <v>0</v>
      </c>
      <c r="V11" s="4">
        <f>(VLOOKUP('7.0.3'!AD11,'7.0.3'!$AM$4:$AP$55,4,FALSE))</f>
        <v>0</v>
      </c>
      <c r="W11" s="4">
        <f>(VLOOKUP('7.0.3'!AE11,'7.0.3'!$AM$4:$AP$55,4,FALSE))</f>
        <v>0</v>
      </c>
      <c r="X11" s="4">
        <f>(VLOOKUP('7.0.3'!AF11,'7.0.3'!$AM$4:$AP$55,4,FALSE))</f>
        <v>0</v>
      </c>
    </row>
    <row r="12" spans="1:24">
      <c r="A12" s="4">
        <f>(VLOOKUP('7.0.3'!I12,'7.0.3'!$AM$4:$AP$55,4,FALSE))</f>
        <v>34</v>
      </c>
      <c r="B12" s="4">
        <f>(VLOOKUP('7.0.3'!J12,'7.0.3'!$AM$4:$AP$55,4,FALSE))</f>
        <v>34</v>
      </c>
      <c r="C12" s="4">
        <f>(VLOOKUP('7.0.3'!K12,'7.0.3'!$AM$4:$AP$55,4,FALSE))</f>
        <v>34</v>
      </c>
      <c r="D12" s="4">
        <f>(VLOOKUP('7.0.3'!L12,'7.0.3'!$AM$4:$AP$55,4,FALSE))</f>
        <v>34</v>
      </c>
      <c r="E12" s="4">
        <f>(VLOOKUP('7.0.3'!M12,'7.0.3'!$AM$4:$AP$55,4,FALSE))</f>
        <v>34</v>
      </c>
      <c r="F12" s="4">
        <f>(VLOOKUP('7.0.3'!N12,'7.0.3'!$AM$4:$AP$55,4,FALSE))</f>
        <v>10</v>
      </c>
      <c r="G12" s="4">
        <f>(VLOOKUP('7.0.3'!O12,'7.0.3'!$AM$4:$AP$55,4,FALSE))</f>
        <v>0</v>
      </c>
      <c r="H12" s="4">
        <f>(VLOOKUP('7.0.3'!P12,'7.0.3'!$AM$4:$AP$55,4,FALSE))</f>
        <v>0</v>
      </c>
      <c r="I12" s="4">
        <f>(VLOOKUP('7.0.3'!Q12,'7.0.3'!$AM$4:$AP$55,4,FALSE))</f>
        <v>34</v>
      </c>
      <c r="J12" s="4">
        <f>(VLOOKUP('7.0.3'!R12,'7.0.3'!$AM$4:$AP$55,4,FALSE))</f>
        <v>34</v>
      </c>
      <c r="K12" s="4">
        <f>(VLOOKUP('7.0.3'!S12,'7.0.3'!$AM$4:$AP$55,4,FALSE))</f>
        <v>34</v>
      </c>
      <c r="L12" s="4">
        <f>(VLOOKUP('7.0.3'!T12,'7.0.3'!$AM$4:$AP$55,4,FALSE))</f>
        <v>34</v>
      </c>
      <c r="M12" s="4">
        <f>(VLOOKUP('7.0.3'!U12,'7.0.3'!$AM$4:$AP$55,4,FALSE))</f>
        <v>34</v>
      </c>
      <c r="N12" s="4">
        <f>(VLOOKUP('7.0.3'!V12,'7.0.3'!$AM$4:$AP$55,4,FALSE))</f>
        <v>34</v>
      </c>
      <c r="O12" s="4">
        <f>(VLOOKUP('7.0.3'!W12,'7.0.3'!$AM$4:$AP$55,4,FALSE))</f>
        <v>0</v>
      </c>
      <c r="P12" s="4">
        <f>(VLOOKUP('7.0.3'!X12,'7.0.3'!$AM$4:$AP$55,4,FALSE))</f>
        <v>0</v>
      </c>
      <c r="Q12" s="4">
        <f>(VLOOKUP('7.0.3'!Y12,'7.0.3'!$AM$4:$AP$55,4,FALSE))</f>
        <v>0</v>
      </c>
      <c r="R12" s="4">
        <f>(VLOOKUP('7.0.3'!Z12,'7.0.3'!$AM$4:$AP$55,4,FALSE))</f>
        <v>0</v>
      </c>
      <c r="S12" s="4">
        <f>(VLOOKUP('7.0.3'!AA12,'7.0.3'!$AM$4:$AP$55,4,FALSE))</f>
        <v>0</v>
      </c>
      <c r="T12" s="4">
        <f>(VLOOKUP('7.0.3'!AB12,'7.0.3'!$AM$4:$AP$55,4,FALSE))</f>
        <v>0</v>
      </c>
      <c r="U12" s="4">
        <f>(VLOOKUP('7.0.3'!AC12,'7.0.3'!$AM$4:$AP$55,4,FALSE))</f>
        <v>0</v>
      </c>
      <c r="V12" s="4">
        <f>(VLOOKUP('7.0.3'!AD12,'7.0.3'!$AM$4:$AP$55,4,FALSE))</f>
        <v>0</v>
      </c>
      <c r="W12" s="4">
        <f>(VLOOKUP('7.0.3'!AE12,'7.0.3'!$AM$4:$AP$55,4,FALSE))</f>
        <v>0</v>
      </c>
      <c r="X12" s="4">
        <f>(VLOOKUP('7.0.3'!AF12,'7.0.3'!$AM$4:$AP$55,4,FALSE))</f>
        <v>0</v>
      </c>
    </row>
    <row r="13" spans="1:24">
      <c r="A13" s="4">
        <f>(VLOOKUP('7.0.3'!I13,'7.0.3'!$AM$4:$AP$55,4,FALSE))</f>
        <v>39.110982162825422</v>
      </c>
      <c r="B13" s="4">
        <f>(VLOOKUP('7.0.3'!J13,'7.0.3'!$AM$4:$AP$55,4,FALSE))</f>
        <v>29.110982162825422</v>
      </c>
      <c r="C13" s="4">
        <f>(VLOOKUP('7.0.3'!K13,'7.0.3'!$AM$4:$AP$55,4,FALSE))</f>
        <v>39.110982162825422</v>
      </c>
      <c r="D13" s="4">
        <f>(VLOOKUP('7.0.3'!L13,'7.0.3'!$AM$4:$AP$55,4,FALSE))</f>
        <v>39.110982162825422</v>
      </c>
      <c r="E13" s="4">
        <f>(VLOOKUP('7.0.3'!M13,'7.0.3'!$AM$4:$AP$55,4,FALSE))</f>
        <v>39.110982162825422</v>
      </c>
      <c r="F13" s="4">
        <f>(VLOOKUP('7.0.3'!N13,'7.0.3'!$AM$4:$AP$55,4,FALSE))</f>
        <v>10</v>
      </c>
      <c r="G13" s="4">
        <f>(VLOOKUP('7.0.3'!O13,'7.0.3'!$AM$4:$AP$55,4,FALSE))</f>
        <v>0</v>
      </c>
      <c r="H13" s="4">
        <f>(VLOOKUP('7.0.3'!P13,'7.0.3'!$AM$4:$AP$55,4,FALSE))</f>
        <v>0</v>
      </c>
      <c r="I13" s="4">
        <f>(VLOOKUP('7.0.3'!Q13,'7.0.3'!$AM$4:$AP$55,4,FALSE))</f>
        <v>34</v>
      </c>
      <c r="J13" s="4">
        <f>(VLOOKUP('7.0.3'!R13,'7.0.3'!$AM$4:$AP$55,4,FALSE))</f>
        <v>34</v>
      </c>
      <c r="K13" s="4">
        <f>(VLOOKUP('7.0.3'!S13,'7.0.3'!$AM$4:$AP$55,4,FALSE))</f>
        <v>34</v>
      </c>
      <c r="L13" s="4">
        <f>(VLOOKUP('7.0.3'!T13,'7.0.3'!$AM$4:$AP$55,4,FALSE))</f>
        <v>34</v>
      </c>
      <c r="M13" s="4">
        <f>(VLOOKUP('7.0.3'!U13,'7.0.3'!$AM$4:$AP$55,4,FALSE))</f>
        <v>34</v>
      </c>
      <c r="N13" s="4">
        <f>(VLOOKUP('7.0.3'!V13,'7.0.3'!$AM$4:$AP$55,4,FALSE))</f>
        <v>34</v>
      </c>
      <c r="O13" s="4">
        <f>(VLOOKUP('7.0.3'!W13,'7.0.3'!$AM$4:$AP$55,4,FALSE))</f>
        <v>0</v>
      </c>
      <c r="P13" s="4">
        <f>(VLOOKUP('7.0.3'!X13,'7.0.3'!$AM$4:$AP$55,4,FALSE))</f>
        <v>0</v>
      </c>
      <c r="Q13" s="4">
        <f>(VLOOKUP('7.0.3'!Y13,'7.0.3'!$AM$4:$AP$55,4,FALSE))</f>
        <v>0</v>
      </c>
      <c r="R13" s="4">
        <f>(VLOOKUP('7.0.3'!Z13,'7.0.3'!$AM$4:$AP$55,4,FALSE))</f>
        <v>0</v>
      </c>
      <c r="S13" s="4">
        <f>(VLOOKUP('7.0.3'!AA13,'7.0.3'!$AM$4:$AP$55,4,FALSE))</f>
        <v>0</v>
      </c>
      <c r="T13" s="4">
        <f>(VLOOKUP('7.0.3'!AB13,'7.0.3'!$AM$4:$AP$55,4,FALSE))</f>
        <v>0</v>
      </c>
      <c r="U13" s="4">
        <f>(VLOOKUP('7.0.3'!AC13,'7.0.3'!$AM$4:$AP$55,4,FALSE))</f>
        <v>0</v>
      </c>
      <c r="V13" s="4">
        <f>(VLOOKUP('7.0.3'!AD13,'7.0.3'!$AM$4:$AP$55,4,FALSE))</f>
        <v>0</v>
      </c>
      <c r="W13" s="4">
        <f>(VLOOKUP('7.0.3'!AE13,'7.0.3'!$AM$4:$AP$55,4,FALSE))</f>
        <v>0</v>
      </c>
      <c r="X13" s="4">
        <f>(VLOOKUP('7.0.3'!AF13,'7.0.3'!$AM$4:$AP$55,4,FALSE))</f>
        <v>0</v>
      </c>
    </row>
    <row r="14" spans="1:24">
      <c r="A14" s="4">
        <f>(VLOOKUP('7.0.3'!I14,'7.0.3'!$AM$4:$AP$55,4,FALSE))</f>
        <v>39.110982162825422</v>
      </c>
      <c r="B14" s="4">
        <f>(VLOOKUP('7.0.3'!J14,'7.0.3'!$AM$4:$AP$55,4,FALSE))</f>
        <v>34</v>
      </c>
      <c r="C14" s="4">
        <f>(VLOOKUP('7.0.3'!K14,'7.0.3'!$AM$4:$AP$55,4,FALSE))</f>
        <v>34</v>
      </c>
      <c r="D14" s="4">
        <f>(VLOOKUP('7.0.3'!L14,'7.0.3'!$AM$4:$AP$55,4,FALSE))</f>
        <v>34</v>
      </c>
      <c r="E14" s="4">
        <f>(VLOOKUP('7.0.3'!M14,'7.0.3'!$AM$4:$AP$55,4,FALSE))</f>
        <v>34</v>
      </c>
      <c r="F14" s="4">
        <f>(VLOOKUP('7.0.3'!N14,'7.0.3'!$AM$4:$AP$55,4,FALSE))</f>
        <v>34</v>
      </c>
      <c r="G14" s="4">
        <f>(VLOOKUP('7.0.3'!O14,'7.0.3'!$AM$4:$AP$55,4,FALSE))</f>
        <v>0</v>
      </c>
      <c r="H14" s="4">
        <f>(VLOOKUP('7.0.3'!P14,'7.0.3'!$AM$4:$AP$55,4,FALSE))</f>
        <v>0</v>
      </c>
      <c r="I14" s="4">
        <f>(VLOOKUP('7.0.3'!Q14,'7.0.3'!$AM$4:$AP$55,4,FALSE))</f>
        <v>34</v>
      </c>
      <c r="J14" s="4">
        <f>(VLOOKUP('7.0.3'!R14,'7.0.3'!$AM$4:$AP$55,4,FALSE))</f>
        <v>34</v>
      </c>
      <c r="K14" s="4">
        <f>(VLOOKUP('7.0.3'!S14,'7.0.3'!$AM$4:$AP$55,4,FALSE))</f>
        <v>34</v>
      </c>
      <c r="L14" s="4">
        <f>(VLOOKUP('7.0.3'!T14,'7.0.3'!$AM$4:$AP$55,4,FALSE))</f>
        <v>34</v>
      </c>
      <c r="M14" s="4">
        <f>(VLOOKUP('7.0.3'!U14,'7.0.3'!$AM$4:$AP$55,4,FALSE))</f>
        <v>34</v>
      </c>
      <c r="N14" s="4">
        <f>(VLOOKUP('7.0.3'!V14,'7.0.3'!$AM$4:$AP$55,4,FALSE))</f>
        <v>34</v>
      </c>
      <c r="O14" s="4">
        <f>(VLOOKUP('7.0.3'!W14,'7.0.3'!$AM$4:$AP$55,4,FALSE))</f>
        <v>0</v>
      </c>
      <c r="P14" s="4">
        <f>(VLOOKUP('7.0.3'!X14,'7.0.3'!$AM$4:$AP$55,4,FALSE))</f>
        <v>0</v>
      </c>
      <c r="Q14" s="4">
        <f>(VLOOKUP('7.0.3'!Y14,'7.0.3'!$AM$4:$AP$55,4,FALSE))</f>
        <v>0</v>
      </c>
      <c r="R14" s="4">
        <f>(VLOOKUP('7.0.3'!Z14,'7.0.3'!$AM$4:$AP$55,4,FALSE))</f>
        <v>0</v>
      </c>
      <c r="S14" s="4">
        <f>(VLOOKUP('7.0.3'!AA14,'7.0.3'!$AM$4:$AP$55,4,FALSE))</f>
        <v>0</v>
      </c>
      <c r="T14" s="4">
        <f>(VLOOKUP('7.0.3'!AB14,'7.0.3'!$AM$4:$AP$55,4,FALSE))</f>
        <v>0</v>
      </c>
      <c r="U14" s="4">
        <f>(VLOOKUP('7.0.3'!AC14,'7.0.3'!$AM$4:$AP$55,4,FALSE))</f>
        <v>0</v>
      </c>
      <c r="V14" s="4">
        <f>(VLOOKUP('7.0.3'!AD14,'7.0.3'!$AM$4:$AP$55,4,FALSE))</f>
        <v>0</v>
      </c>
      <c r="W14" s="4">
        <f>(VLOOKUP('7.0.3'!AE14,'7.0.3'!$AM$4:$AP$55,4,FALSE))</f>
        <v>0</v>
      </c>
      <c r="X14" s="4">
        <f>(VLOOKUP('7.0.3'!AF14,'7.0.3'!$AM$4:$AP$55,4,FALSE))</f>
        <v>0</v>
      </c>
    </row>
    <row r="15" spans="1:24">
      <c r="A15" s="4">
        <f>(VLOOKUP('7.0.3'!I15,'7.0.3'!$AM$4:$AP$55,4,FALSE))</f>
        <v>34</v>
      </c>
      <c r="B15" s="4">
        <f>(VLOOKUP('7.0.3'!J15,'7.0.3'!$AM$4:$AP$55,4,FALSE))</f>
        <v>34</v>
      </c>
      <c r="C15" s="4">
        <f>(VLOOKUP('7.0.3'!K15,'7.0.3'!$AM$4:$AP$55,4,FALSE))</f>
        <v>34</v>
      </c>
      <c r="D15" s="4">
        <f>(VLOOKUP('7.0.3'!L15,'7.0.3'!$AM$4:$AP$55,4,FALSE))</f>
        <v>29.110982162825422</v>
      </c>
      <c r="E15" s="4">
        <f>(VLOOKUP('7.0.3'!M15,'7.0.3'!$AM$4:$AP$55,4,FALSE))</f>
        <v>34</v>
      </c>
      <c r="F15" s="4">
        <f>(VLOOKUP('7.0.3'!N15,'7.0.3'!$AM$4:$AP$55,4,FALSE))</f>
        <v>34</v>
      </c>
      <c r="G15" s="4">
        <f>(VLOOKUP('7.0.3'!O15,'7.0.3'!$AM$4:$AP$55,4,FALSE))</f>
        <v>0</v>
      </c>
      <c r="H15" s="4">
        <f>(VLOOKUP('7.0.3'!P15,'7.0.3'!$AM$4:$AP$55,4,FALSE))</f>
        <v>0</v>
      </c>
      <c r="I15" s="4">
        <f>(VLOOKUP('7.0.3'!Q15,'7.0.3'!$AM$4:$AP$55,4,FALSE))</f>
        <v>10</v>
      </c>
      <c r="J15" s="4">
        <f>(VLOOKUP('7.0.3'!R15,'7.0.3'!$AM$4:$AP$55,4,FALSE))</f>
        <v>34</v>
      </c>
      <c r="K15" s="4">
        <f>(VLOOKUP('7.0.3'!S15,'7.0.3'!$AM$4:$AP$55,4,FALSE))</f>
        <v>34</v>
      </c>
      <c r="L15" s="4">
        <f>(VLOOKUP('7.0.3'!T15,'7.0.3'!$AM$4:$AP$55,4,FALSE))</f>
        <v>34</v>
      </c>
      <c r="M15" s="4">
        <f>(VLOOKUP('7.0.3'!U15,'7.0.3'!$AM$4:$AP$55,4,FALSE))</f>
        <v>36</v>
      </c>
      <c r="N15" s="4">
        <f>(VLOOKUP('7.0.3'!V15,'7.0.3'!$AM$4:$AP$55,4,FALSE))</f>
        <v>36</v>
      </c>
      <c r="O15" s="4">
        <f>(VLOOKUP('7.0.3'!W15,'7.0.3'!$AM$4:$AP$55,4,FALSE))</f>
        <v>0</v>
      </c>
      <c r="P15" s="4">
        <f>(VLOOKUP('7.0.3'!X15,'7.0.3'!$AM$4:$AP$55,4,FALSE))</f>
        <v>0</v>
      </c>
      <c r="Q15" s="4">
        <f>(VLOOKUP('7.0.3'!Y15,'7.0.3'!$AM$4:$AP$55,4,FALSE))</f>
        <v>0</v>
      </c>
      <c r="R15" s="4">
        <f>(VLOOKUP('7.0.3'!Z15,'7.0.3'!$AM$4:$AP$55,4,FALSE))</f>
        <v>0</v>
      </c>
      <c r="S15" s="4">
        <f>(VLOOKUP('7.0.3'!AA15,'7.0.3'!$AM$4:$AP$55,4,FALSE))</f>
        <v>0</v>
      </c>
      <c r="T15" s="4">
        <f>(VLOOKUP('7.0.3'!AB15,'7.0.3'!$AM$4:$AP$55,4,FALSE))</f>
        <v>0</v>
      </c>
      <c r="U15" s="4">
        <f>(VLOOKUP('7.0.3'!AC15,'7.0.3'!$AM$4:$AP$55,4,FALSE))</f>
        <v>0</v>
      </c>
      <c r="V15" s="4">
        <f>(VLOOKUP('7.0.3'!AD15,'7.0.3'!$AM$4:$AP$55,4,FALSE))</f>
        <v>0</v>
      </c>
      <c r="W15" s="4">
        <f>(VLOOKUP('7.0.3'!AE15,'7.0.3'!$AM$4:$AP$55,4,FALSE))</f>
        <v>0</v>
      </c>
      <c r="X15" s="4">
        <f>(VLOOKUP('7.0.3'!AF15,'7.0.3'!$AM$4:$AP$55,4,FALSE))</f>
        <v>0</v>
      </c>
    </row>
    <row r="16" spans="1:24">
      <c r="A16" s="4">
        <f>(VLOOKUP('7.0.3'!I16,'7.0.3'!$AM$4:$AP$55,4,FALSE))</f>
        <v>10</v>
      </c>
      <c r="B16" s="4">
        <f>(VLOOKUP('7.0.3'!J16,'7.0.3'!$AM$4:$AP$55,4,FALSE))</f>
        <v>34</v>
      </c>
      <c r="C16" s="4">
        <f>(VLOOKUP('7.0.3'!K16,'7.0.3'!$AM$4:$AP$55,4,FALSE))</f>
        <v>34</v>
      </c>
      <c r="D16" s="4">
        <f>(VLOOKUP('7.0.3'!L16,'7.0.3'!$AM$4:$AP$55,4,FALSE))</f>
        <v>34</v>
      </c>
      <c r="E16" s="4">
        <f>(VLOOKUP('7.0.3'!M16,'7.0.3'!$AM$4:$AP$55,4,FALSE))</f>
        <v>34</v>
      </c>
      <c r="F16" s="4">
        <f>(VLOOKUP('7.0.3'!N16,'7.0.3'!$AM$4:$AP$55,4,FALSE))</f>
        <v>34</v>
      </c>
      <c r="G16" s="4">
        <f>(VLOOKUP('7.0.3'!O16,'7.0.3'!$AM$4:$AP$55,4,FALSE))</f>
        <v>0</v>
      </c>
      <c r="H16" s="4">
        <f>(VLOOKUP('7.0.3'!P16,'7.0.3'!$AM$4:$AP$55,4,FALSE))</f>
        <v>0</v>
      </c>
      <c r="I16" s="4">
        <f>(VLOOKUP('7.0.3'!Q16,'7.0.3'!$AM$4:$AP$55,4,FALSE))</f>
        <v>13.999854933178597</v>
      </c>
      <c r="J16" s="4">
        <f>(VLOOKUP('7.0.3'!R16,'7.0.3'!$AM$4:$AP$55,4,FALSE))</f>
        <v>34</v>
      </c>
      <c r="K16" s="4">
        <f>(VLOOKUP('7.0.3'!S16,'7.0.3'!$AM$4:$AP$55,4,FALSE))</f>
        <v>36</v>
      </c>
      <c r="L16" s="4">
        <f>(VLOOKUP('7.0.3'!T16,'7.0.3'!$AM$4:$AP$55,4,FALSE))</f>
        <v>36</v>
      </c>
      <c r="M16" s="4">
        <f>(VLOOKUP('7.0.3'!U16,'7.0.3'!$AM$4:$AP$55,4,FALSE))</f>
        <v>36</v>
      </c>
      <c r="N16" s="4">
        <f>(VLOOKUP('7.0.3'!V16,'7.0.3'!$AM$4:$AP$55,4,FALSE))</f>
        <v>36</v>
      </c>
      <c r="O16" s="4">
        <f>(VLOOKUP('7.0.3'!W16,'7.0.3'!$AM$4:$AP$55,4,FALSE))</f>
        <v>0</v>
      </c>
      <c r="P16" s="4">
        <f>(VLOOKUP('7.0.3'!X16,'7.0.3'!$AM$4:$AP$55,4,FALSE))</f>
        <v>0</v>
      </c>
      <c r="Q16" s="4">
        <f>(VLOOKUP('7.0.3'!Y16,'7.0.3'!$AM$4:$AP$55,4,FALSE))</f>
        <v>0</v>
      </c>
      <c r="R16" s="4">
        <f>(VLOOKUP('7.0.3'!Z16,'7.0.3'!$AM$4:$AP$55,4,FALSE))</f>
        <v>0</v>
      </c>
      <c r="S16" s="4">
        <f>(VLOOKUP('7.0.3'!AA16,'7.0.3'!$AM$4:$AP$55,4,FALSE))</f>
        <v>0</v>
      </c>
      <c r="T16" s="4">
        <f>(VLOOKUP('7.0.3'!AB16,'7.0.3'!$AM$4:$AP$55,4,FALSE))</f>
        <v>0</v>
      </c>
      <c r="U16" s="4">
        <f>(VLOOKUP('7.0.3'!AC16,'7.0.3'!$AM$4:$AP$55,4,FALSE))</f>
        <v>0</v>
      </c>
      <c r="V16" s="4">
        <f>(VLOOKUP('7.0.3'!AD16,'7.0.3'!$AM$4:$AP$55,4,FALSE))</f>
        <v>0</v>
      </c>
      <c r="W16" s="4">
        <f>(VLOOKUP('7.0.3'!AE16,'7.0.3'!$AM$4:$AP$55,4,FALSE))</f>
        <v>0</v>
      </c>
      <c r="X16" s="4">
        <f>(VLOOKUP('7.0.3'!AF16,'7.0.3'!$AM$4:$AP$55,4,FALSE))</f>
        <v>0</v>
      </c>
    </row>
    <row r="17" spans="1:24">
      <c r="A17" s="4">
        <f>(VLOOKUP('7.0.3'!I17,'7.0.3'!$AM$4:$AP$55,4,FALSE))</f>
        <v>34</v>
      </c>
      <c r="B17" s="4">
        <f>(VLOOKUP('7.0.3'!J17,'7.0.3'!$AM$4:$AP$55,4,FALSE))</f>
        <v>34</v>
      </c>
      <c r="C17" s="4">
        <f>(VLOOKUP('7.0.3'!K17,'7.0.3'!$AM$4:$AP$55,4,FALSE))</f>
        <v>34</v>
      </c>
      <c r="D17" s="4">
        <f>(VLOOKUP('7.0.3'!L17,'7.0.3'!$AM$4:$AP$55,4,FALSE))</f>
        <v>34</v>
      </c>
      <c r="E17" s="4">
        <f>(VLOOKUP('7.0.3'!M17,'7.0.3'!$AM$4:$AP$55,4,FALSE))</f>
        <v>34</v>
      </c>
      <c r="F17" s="4">
        <f>(VLOOKUP('7.0.3'!N17,'7.0.3'!$AM$4:$AP$55,4,FALSE))</f>
        <v>34</v>
      </c>
      <c r="G17" s="4">
        <f>(VLOOKUP('7.0.3'!O17,'7.0.3'!$AM$4:$AP$55,4,FALSE))</f>
        <v>0</v>
      </c>
      <c r="H17" s="4">
        <f>(VLOOKUP('7.0.3'!P17,'7.0.3'!$AM$4:$AP$55,4,FALSE))</f>
        <v>0</v>
      </c>
      <c r="I17" s="4">
        <f>(VLOOKUP('7.0.3'!Q17,'7.0.3'!$AM$4:$AP$55,4,FALSE))</f>
        <v>36</v>
      </c>
      <c r="J17" s="4">
        <f>(VLOOKUP('7.0.3'!R17,'7.0.3'!$AM$4:$AP$55,4,FALSE))</f>
        <v>36</v>
      </c>
      <c r="K17" s="4">
        <f>(VLOOKUP('7.0.3'!S17,'7.0.3'!$AM$4:$AP$55,4,FALSE))</f>
        <v>36</v>
      </c>
      <c r="L17" s="4">
        <f>(VLOOKUP('7.0.3'!T17,'7.0.3'!$AM$4:$AP$55,4,FALSE))</f>
        <v>36</v>
      </c>
      <c r="M17" s="4">
        <f>(VLOOKUP('7.0.3'!U17,'7.0.3'!$AM$4:$AP$55,4,FALSE))</f>
        <v>10</v>
      </c>
      <c r="N17" s="4">
        <f>(VLOOKUP('7.0.3'!V17,'7.0.3'!$AM$4:$AP$55,4,FALSE))</f>
        <v>36</v>
      </c>
      <c r="O17" s="4">
        <f>(VLOOKUP('7.0.3'!W17,'7.0.3'!$AM$4:$AP$55,4,FALSE))</f>
        <v>0</v>
      </c>
      <c r="P17" s="4">
        <f>(VLOOKUP('7.0.3'!X17,'7.0.3'!$AM$4:$AP$55,4,FALSE))</f>
        <v>0</v>
      </c>
      <c r="Q17" s="4">
        <f>(VLOOKUP('7.0.3'!Y17,'7.0.3'!$AM$4:$AP$55,4,FALSE))</f>
        <v>0</v>
      </c>
      <c r="R17" s="4">
        <f>(VLOOKUP('7.0.3'!Z17,'7.0.3'!$AM$4:$AP$55,4,FALSE))</f>
        <v>0</v>
      </c>
      <c r="S17" s="4">
        <f>(VLOOKUP('7.0.3'!AA17,'7.0.3'!$AM$4:$AP$55,4,FALSE))</f>
        <v>0</v>
      </c>
      <c r="T17" s="4">
        <f>(VLOOKUP('7.0.3'!AB17,'7.0.3'!$AM$4:$AP$55,4,FALSE))</f>
        <v>0</v>
      </c>
      <c r="U17" s="4">
        <f>(VLOOKUP('7.0.3'!AC17,'7.0.3'!$AM$4:$AP$55,4,FALSE))</f>
        <v>0</v>
      </c>
      <c r="V17" s="4">
        <f>(VLOOKUP('7.0.3'!AD17,'7.0.3'!$AM$4:$AP$55,4,FALSE))</f>
        <v>0</v>
      </c>
      <c r="W17" s="4">
        <f>(VLOOKUP('7.0.3'!AE17,'7.0.3'!$AM$4:$AP$55,4,FALSE))</f>
        <v>0</v>
      </c>
      <c r="X17" s="4">
        <f>(VLOOKUP('7.0.3'!AF17,'7.0.3'!$AM$4:$AP$55,4,FALSE))</f>
        <v>0</v>
      </c>
    </row>
    <row r="18" spans="1:24">
      <c r="A18" s="4">
        <f>(VLOOKUP('7.0.3'!I18,'7.0.3'!$AM$4:$AP$55,4,FALSE))</f>
        <v>34</v>
      </c>
      <c r="B18" s="4">
        <f>(VLOOKUP('7.0.3'!J18,'7.0.3'!$AM$4:$AP$55,4,FALSE))</f>
        <v>34</v>
      </c>
      <c r="C18" s="4">
        <f>(VLOOKUP('7.0.3'!K18,'7.0.3'!$AM$4:$AP$55,4,FALSE))</f>
        <v>34</v>
      </c>
      <c r="D18" s="4">
        <f>(VLOOKUP('7.0.3'!L18,'7.0.3'!$AM$4:$AP$55,4,FALSE))</f>
        <v>34</v>
      </c>
      <c r="E18" s="4">
        <f>(VLOOKUP('7.0.3'!M18,'7.0.3'!$AM$4:$AP$55,4,FALSE))</f>
        <v>34</v>
      </c>
      <c r="F18" s="4">
        <f>(VLOOKUP('7.0.3'!N18,'7.0.3'!$AM$4:$AP$55,4,FALSE))</f>
        <v>34</v>
      </c>
      <c r="G18" s="4">
        <f>(VLOOKUP('7.0.3'!O18,'7.0.3'!$AM$4:$AP$55,4,FALSE))</f>
        <v>0</v>
      </c>
      <c r="H18" s="4">
        <f>(VLOOKUP('7.0.3'!P18,'7.0.3'!$AM$4:$AP$55,4,FALSE))</f>
        <v>0</v>
      </c>
      <c r="I18" s="4">
        <f>(VLOOKUP('7.0.3'!Q18,'7.0.3'!$AM$4:$AP$55,4,FALSE))</f>
        <v>36</v>
      </c>
      <c r="J18" s="4">
        <f>(VLOOKUP('7.0.3'!R18,'7.0.3'!$AM$4:$AP$55,4,FALSE))</f>
        <v>36</v>
      </c>
      <c r="K18" s="4">
        <f>(VLOOKUP('7.0.3'!S18,'7.0.3'!$AM$4:$AP$55,4,FALSE))</f>
        <v>36</v>
      </c>
      <c r="L18" s="4">
        <f>(VLOOKUP('7.0.3'!T18,'7.0.3'!$AM$4:$AP$55,4,FALSE))</f>
        <v>36</v>
      </c>
      <c r="M18" s="4">
        <f>(VLOOKUP('7.0.3'!U18,'7.0.3'!$AM$4:$AP$55,4,FALSE))</f>
        <v>36</v>
      </c>
      <c r="N18" s="4">
        <f>(VLOOKUP('7.0.3'!V18,'7.0.3'!$AM$4:$AP$55,4,FALSE))</f>
        <v>36</v>
      </c>
      <c r="O18" s="4">
        <f>(VLOOKUP('7.0.3'!W18,'7.0.3'!$AM$4:$AP$55,4,FALSE))</f>
        <v>0</v>
      </c>
      <c r="P18" s="4">
        <f>(VLOOKUP('7.0.3'!X18,'7.0.3'!$AM$4:$AP$55,4,FALSE))</f>
        <v>36</v>
      </c>
      <c r="Q18" s="4">
        <f>(VLOOKUP('7.0.3'!Y18,'7.0.3'!$AM$4:$AP$55,4,FALSE))</f>
        <v>0</v>
      </c>
      <c r="R18" s="4">
        <f>(VLOOKUP('7.0.3'!Z18,'7.0.3'!$AM$4:$AP$55,4,FALSE))</f>
        <v>0</v>
      </c>
      <c r="S18" s="4">
        <f>(VLOOKUP('7.0.3'!AA18,'7.0.3'!$AM$4:$AP$55,4,FALSE))</f>
        <v>0</v>
      </c>
      <c r="T18" s="4">
        <f>(VLOOKUP('7.0.3'!AB18,'7.0.3'!$AM$4:$AP$55,4,FALSE))</f>
        <v>0</v>
      </c>
      <c r="U18" s="4">
        <f>(VLOOKUP('7.0.3'!AC18,'7.0.3'!$AM$4:$AP$55,4,FALSE))</f>
        <v>0</v>
      </c>
      <c r="V18" s="4">
        <f>(VLOOKUP('7.0.3'!AD18,'7.0.3'!$AM$4:$AP$55,4,FALSE))</f>
        <v>0</v>
      </c>
      <c r="W18" s="4">
        <f>(VLOOKUP('7.0.3'!AE18,'7.0.3'!$AM$4:$AP$55,4,FALSE))</f>
        <v>0</v>
      </c>
      <c r="X18" s="4">
        <f>(VLOOKUP('7.0.3'!AF18,'7.0.3'!$AM$4:$AP$55,4,FALSE))</f>
        <v>0</v>
      </c>
    </row>
    <row r="19" spans="1:24">
      <c r="A19" s="4">
        <f>(VLOOKUP('7.0.3'!I19,'7.0.3'!$AM$4:$AP$55,4,FALSE))</f>
        <v>34</v>
      </c>
      <c r="B19" s="4">
        <f>(VLOOKUP('7.0.3'!J19,'7.0.3'!$AM$4:$AP$55,4,FALSE))</f>
        <v>34</v>
      </c>
      <c r="C19" s="4">
        <f>(VLOOKUP('7.0.3'!K19,'7.0.3'!$AM$4:$AP$55,4,FALSE))</f>
        <v>10</v>
      </c>
      <c r="D19" s="4">
        <f>(VLOOKUP('7.0.3'!L19,'7.0.3'!$AM$4:$AP$55,4,FALSE))</f>
        <v>34</v>
      </c>
      <c r="E19" s="4">
        <f>(VLOOKUP('7.0.3'!M19,'7.0.3'!$AM$4:$AP$55,4,FALSE))</f>
        <v>34</v>
      </c>
      <c r="F19" s="4">
        <f>(VLOOKUP('7.0.3'!N19,'7.0.3'!$AM$4:$AP$55,4,FALSE))</f>
        <v>34</v>
      </c>
      <c r="G19" s="4">
        <f>(VLOOKUP('7.0.3'!O19,'7.0.3'!$AM$4:$AP$55,4,FALSE))</f>
        <v>0</v>
      </c>
      <c r="H19" s="4">
        <f>(VLOOKUP('7.0.3'!P19,'7.0.3'!$AM$4:$AP$55,4,FALSE))</f>
        <v>0</v>
      </c>
      <c r="I19" s="4">
        <f>(VLOOKUP('7.0.3'!Q19,'7.0.3'!$AM$4:$AP$55,4,FALSE))</f>
        <v>36</v>
      </c>
      <c r="J19" s="4">
        <f>(VLOOKUP('7.0.3'!R19,'7.0.3'!$AM$4:$AP$55,4,FALSE))</f>
        <v>36</v>
      </c>
      <c r="K19" s="4">
        <f>(VLOOKUP('7.0.3'!S19,'7.0.3'!$AM$4:$AP$55,4,FALSE))</f>
        <v>36</v>
      </c>
      <c r="L19" s="4">
        <f>(VLOOKUP('7.0.3'!T19,'7.0.3'!$AM$4:$AP$55,4,FALSE))</f>
        <v>36</v>
      </c>
      <c r="M19" s="4">
        <f>(VLOOKUP('7.0.3'!U19,'7.0.3'!$AM$4:$AP$55,4,FALSE))</f>
        <v>36</v>
      </c>
      <c r="N19" s="4">
        <f>(VLOOKUP('7.0.3'!V19,'7.0.3'!$AM$4:$AP$55,4,FALSE))</f>
        <v>36</v>
      </c>
      <c r="O19" s="4">
        <f>(VLOOKUP('7.0.3'!W19,'7.0.3'!$AM$4:$AP$55,4,FALSE))</f>
        <v>0</v>
      </c>
      <c r="P19" s="4">
        <f>(VLOOKUP('7.0.3'!X19,'7.0.3'!$AM$4:$AP$55,4,FALSE))</f>
        <v>0</v>
      </c>
      <c r="Q19" s="4">
        <f>(VLOOKUP('7.0.3'!Y19,'7.0.3'!$AM$4:$AP$55,4,FALSE))</f>
        <v>0</v>
      </c>
      <c r="R19" s="4">
        <f>(VLOOKUP('7.0.3'!Z19,'7.0.3'!$AM$4:$AP$55,4,FALSE))</f>
        <v>0</v>
      </c>
      <c r="S19" s="4">
        <f>(VLOOKUP('7.0.3'!AA19,'7.0.3'!$AM$4:$AP$55,4,FALSE))</f>
        <v>0</v>
      </c>
      <c r="T19" s="4">
        <f>(VLOOKUP('7.0.3'!AB19,'7.0.3'!$AM$4:$AP$55,4,FALSE))</f>
        <v>0</v>
      </c>
      <c r="U19" s="4">
        <f>(VLOOKUP('7.0.3'!AC19,'7.0.3'!$AM$4:$AP$55,4,FALSE))</f>
        <v>0</v>
      </c>
      <c r="V19" s="4">
        <f>(VLOOKUP('7.0.3'!AD19,'7.0.3'!$AM$4:$AP$55,4,FALSE))</f>
        <v>0</v>
      </c>
      <c r="W19" s="4">
        <f>(VLOOKUP('7.0.3'!AE19,'7.0.3'!$AM$4:$AP$55,4,FALSE))</f>
        <v>0</v>
      </c>
      <c r="X19" s="4">
        <f>(VLOOKUP('7.0.3'!AF19,'7.0.3'!$AM$4:$AP$55,4,FALSE))</f>
        <v>0</v>
      </c>
    </row>
    <row r="20" spans="1:24">
      <c r="A20" s="4">
        <f>(VLOOKUP('7.0.3'!I20,'7.0.3'!$AM$4:$AP$55,4,FALSE))</f>
        <v>10</v>
      </c>
      <c r="B20" s="4">
        <f>(VLOOKUP('7.0.3'!J20,'7.0.3'!$AM$4:$AP$55,4,FALSE))</f>
        <v>34</v>
      </c>
      <c r="C20" s="4">
        <f>(VLOOKUP('7.0.3'!K20,'7.0.3'!$AM$4:$AP$55,4,FALSE))</f>
        <v>34</v>
      </c>
      <c r="D20" s="4">
        <f>(VLOOKUP('7.0.3'!L20,'7.0.3'!$AM$4:$AP$55,4,FALSE))</f>
        <v>34</v>
      </c>
      <c r="E20" s="4">
        <f>(VLOOKUP('7.0.3'!M20,'7.0.3'!$AM$4:$AP$55,4,FALSE))</f>
        <v>34</v>
      </c>
      <c r="F20" s="4">
        <f>(VLOOKUP('7.0.3'!N20,'7.0.3'!$AM$4:$AP$55,4,FALSE))</f>
        <v>34</v>
      </c>
      <c r="G20" s="4">
        <f>(VLOOKUP('7.0.3'!O20,'7.0.3'!$AM$4:$AP$55,4,FALSE))</f>
        <v>0</v>
      </c>
      <c r="H20" s="4">
        <f>(VLOOKUP('7.0.3'!P20,'7.0.3'!$AM$4:$AP$55,4,FALSE))</f>
        <v>36</v>
      </c>
      <c r="I20" s="4">
        <f>(VLOOKUP('7.0.3'!Q20,'7.0.3'!$AM$4:$AP$55,4,FALSE))</f>
        <v>36</v>
      </c>
      <c r="J20" s="4">
        <f>(VLOOKUP('7.0.3'!R20,'7.0.3'!$AM$4:$AP$55,4,FALSE))</f>
        <v>36</v>
      </c>
      <c r="K20" s="4">
        <f>(VLOOKUP('7.0.3'!S20,'7.0.3'!$AM$4:$AP$55,4,FALSE))</f>
        <v>36</v>
      </c>
      <c r="L20" s="4">
        <f>(VLOOKUP('7.0.3'!T20,'7.0.3'!$AM$4:$AP$55,4,FALSE))</f>
        <v>36</v>
      </c>
      <c r="M20" s="4">
        <f>(VLOOKUP('7.0.3'!U20,'7.0.3'!$AM$4:$AP$55,4,FALSE))</f>
        <v>36</v>
      </c>
      <c r="N20" s="4">
        <f>(VLOOKUP('7.0.3'!V20,'7.0.3'!$AM$4:$AP$55,4,FALSE))</f>
        <v>36</v>
      </c>
      <c r="O20" s="4">
        <f>(VLOOKUP('7.0.3'!W20,'7.0.3'!$AM$4:$AP$55,4,FALSE))</f>
        <v>0</v>
      </c>
      <c r="P20" s="4">
        <f>(VLOOKUP('7.0.3'!X20,'7.0.3'!$AM$4:$AP$55,4,FALSE))</f>
        <v>0</v>
      </c>
      <c r="Q20" s="4">
        <f>(VLOOKUP('7.0.3'!Y20,'7.0.3'!$AM$4:$AP$55,4,FALSE))</f>
        <v>0</v>
      </c>
      <c r="R20" s="4">
        <f>(VLOOKUP('7.0.3'!Z20,'7.0.3'!$AM$4:$AP$55,4,FALSE))</f>
        <v>0</v>
      </c>
      <c r="S20" s="4">
        <f>(VLOOKUP('7.0.3'!AA20,'7.0.3'!$AM$4:$AP$55,4,FALSE))</f>
        <v>0</v>
      </c>
      <c r="T20" s="4">
        <f>(VLOOKUP('7.0.3'!AB20,'7.0.3'!$AM$4:$AP$55,4,FALSE))</f>
        <v>0</v>
      </c>
      <c r="U20" s="4">
        <f>(VLOOKUP('7.0.3'!AC20,'7.0.3'!$AM$4:$AP$55,4,FALSE))</f>
        <v>0</v>
      </c>
      <c r="V20" s="4">
        <f>(VLOOKUP('7.0.3'!AD20,'7.0.3'!$AM$4:$AP$55,4,FALSE))</f>
        <v>0</v>
      </c>
      <c r="W20" s="4">
        <f>(VLOOKUP('7.0.3'!AE20,'7.0.3'!$AM$4:$AP$55,4,FALSE))</f>
        <v>0</v>
      </c>
      <c r="X20" s="4">
        <f>(VLOOKUP('7.0.3'!AF20,'7.0.3'!$AM$4:$AP$55,4,FALSE))</f>
        <v>0</v>
      </c>
    </row>
    <row r="21" spans="1:24">
      <c r="A21" s="4">
        <f>(VLOOKUP('7.0.3'!I21,'7.0.3'!$AM$4:$AP$55,4,FALSE))</f>
        <v>34</v>
      </c>
      <c r="B21" s="4">
        <f>(VLOOKUP('7.0.3'!J21,'7.0.3'!$AM$4:$AP$55,4,FALSE))</f>
        <v>34</v>
      </c>
      <c r="C21" s="4">
        <f>(VLOOKUP('7.0.3'!K21,'7.0.3'!$AM$4:$AP$55,4,FALSE))</f>
        <v>34</v>
      </c>
      <c r="D21" s="4">
        <f>(VLOOKUP('7.0.3'!L21,'7.0.3'!$AM$4:$AP$55,4,FALSE))</f>
        <v>36</v>
      </c>
      <c r="E21" s="4">
        <f>(VLOOKUP('7.0.3'!M21,'7.0.3'!$AM$4:$AP$55,4,FALSE))</f>
        <v>36</v>
      </c>
      <c r="F21" s="4">
        <f>(VLOOKUP('7.0.3'!N21,'7.0.3'!$AM$4:$AP$55,4,FALSE))</f>
        <v>36</v>
      </c>
      <c r="G21" s="4">
        <f>(VLOOKUP('7.0.3'!O21,'7.0.3'!$AM$4:$AP$55,4,FALSE))</f>
        <v>0</v>
      </c>
      <c r="H21" s="4">
        <f>(VLOOKUP('7.0.3'!P21,'7.0.3'!$AM$4:$AP$55,4,FALSE))</f>
        <v>0</v>
      </c>
      <c r="I21" s="4">
        <f>(VLOOKUP('7.0.3'!Q21,'7.0.3'!$AM$4:$AP$55,4,FALSE))</f>
        <v>36</v>
      </c>
      <c r="J21" s="4">
        <f>(VLOOKUP('7.0.3'!R21,'7.0.3'!$AM$4:$AP$55,4,FALSE))</f>
        <v>36</v>
      </c>
      <c r="K21" s="4">
        <f>(VLOOKUP('7.0.3'!S21,'7.0.3'!$AM$4:$AP$55,4,FALSE))</f>
        <v>36</v>
      </c>
      <c r="L21" s="4">
        <f>(VLOOKUP('7.0.3'!T21,'7.0.3'!$AM$4:$AP$55,4,FALSE))</f>
        <v>0</v>
      </c>
      <c r="M21" s="4">
        <f>(VLOOKUP('7.0.3'!U21,'7.0.3'!$AM$4:$AP$55,4,FALSE))</f>
        <v>36</v>
      </c>
      <c r="N21" s="4">
        <f>(VLOOKUP('7.0.3'!V21,'7.0.3'!$AM$4:$AP$55,4,FALSE))</f>
        <v>36</v>
      </c>
      <c r="O21" s="4">
        <f>(VLOOKUP('7.0.3'!W21,'7.0.3'!$AM$4:$AP$55,4,FALSE))</f>
        <v>0</v>
      </c>
      <c r="P21" s="4">
        <f>(VLOOKUP('7.0.3'!X21,'7.0.3'!$AM$4:$AP$55,4,FALSE))</f>
        <v>0</v>
      </c>
      <c r="Q21" s="4">
        <f>(VLOOKUP('7.0.3'!Y21,'7.0.3'!$AM$4:$AP$55,4,FALSE))</f>
        <v>0</v>
      </c>
      <c r="R21" s="4">
        <f>(VLOOKUP('7.0.3'!Z21,'7.0.3'!$AM$4:$AP$55,4,FALSE))</f>
        <v>0</v>
      </c>
      <c r="S21" s="4">
        <f>(VLOOKUP('7.0.3'!AA21,'7.0.3'!$AM$4:$AP$55,4,FALSE))</f>
        <v>0</v>
      </c>
      <c r="T21" s="4">
        <f>(VLOOKUP('7.0.3'!AB21,'7.0.3'!$AM$4:$AP$55,4,FALSE))</f>
        <v>0</v>
      </c>
      <c r="U21" s="4">
        <f>(VLOOKUP('7.0.3'!AC21,'7.0.3'!$AM$4:$AP$55,4,FALSE))</f>
        <v>0</v>
      </c>
      <c r="V21" s="4">
        <f>(VLOOKUP('7.0.3'!AD21,'7.0.3'!$AM$4:$AP$55,4,FALSE))</f>
        <v>0</v>
      </c>
      <c r="W21" s="4">
        <f>(VLOOKUP('7.0.3'!AE21,'7.0.3'!$AM$4:$AP$55,4,FALSE))</f>
        <v>0</v>
      </c>
      <c r="X21" s="4">
        <f>(VLOOKUP('7.0.3'!AF21,'7.0.3'!$AM$4:$AP$55,4,FALSE))</f>
        <v>0</v>
      </c>
    </row>
    <row r="22" spans="1:24">
      <c r="A22" s="4">
        <f>(VLOOKUP('7.0.3'!I22,'7.0.3'!$AM$4:$AP$55,4,FALSE))</f>
        <v>36</v>
      </c>
      <c r="B22" s="4">
        <f>(VLOOKUP('7.0.3'!J22,'7.0.3'!$AM$4:$AP$55,4,FALSE))</f>
        <v>36</v>
      </c>
      <c r="C22" s="4">
        <f>(VLOOKUP('7.0.3'!K22,'7.0.3'!$AM$4:$AP$55,4,FALSE))</f>
        <v>36</v>
      </c>
      <c r="D22" s="4">
        <f>(VLOOKUP('7.0.3'!L22,'7.0.3'!$AM$4:$AP$55,4,FALSE))</f>
        <v>36</v>
      </c>
      <c r="E22" s="4">
        <f>(VLOOKUP('7.0.3'!M22,'7.0.3'!$AM$4:$AP$55,4,FALSE))</f>
        <v>36</v>
      </c>
      <c r="F22" s="4">
        <f>(VLOOKUP('7.0.3'!N22,'7.0.3'!$AM$4:$AP$55,4,FALSE))</f>
        <v>36</v>
      </c>
      <c r="G22" s="4">
        <f>(VLOOKUP('7.0.3'!O22,'7.0.3'!$AM$4:$AP$55,4,FALSE))</f>
        <v>0</v>
      </c>
      <c r="H22" s="4">
        <f>(VLOOKUP('7.0.3'!P22,'7.0.3'!$AM$4:$AP$55,4,FALSE))</f>
        <v>0</v>
      </c>
      <c r="I22" s="4">
        <f>(VLOOKUP('7.0.3'!Q22,'7.0.3'!$AM$4:$AP$55,4,FALSE))</f>
        <v>36</v>
      </c>
      <c r="J22" s="4">
        <f>(VLOOKUP('7.0.3'!R22,'7.0.3'!$AM$4:$AP$55,4,FALSE))</f>
        <v>36</v>
      </c>
      <c r="K22" s="4">
        <f>(VLOOKUP('7.0.3'!S22,'7.0.3'!$AM$4:$AP$55,4,FALSE))</f>
        <v>38</v>
      </c>
      <c r="L22" s="4">
        <f>(VLOOKUP('7.0.3'!T22,'7.0.3'!$AM$4:$AP$55,4,FALSE))</f>
        <v>38</v>
      </c>
      <c r="M22" s="4">
        <f>(VLOOKUP('7.0.3'!U22,'7.0.3'!$AM$4:$AP$55,4,FALSE))</f>
        <v>38</v>
      </c>
      <c r="N22" s="4">
        <f>(VLOOKUP('7.0.3'!V22,'7.0.3'!$AM$4:$AP$55,4,FALSE))</f>
        <v>38</v>
      </c>
      <c r="O22" s="4">
        <f>(VLOOKUP('7.0.3'!W22,'7.0.3'!$AM$4:$AP$55,4,FALSE))</f>
        <v>0</v>
      </c>
      <c r="P22" s="4">
        <f>(VLOOKUP('7.0.3'!X22,'7.0.3'!$AM$4:$AP$55,4,FALSE))</f>
        <v>0</v>
      </c>
      <c r="Q22" s="4">
        <f>(VLOOKUP('7.0.3'!Y22,'7.0.3'!$AM$4:$AP$55,4,FALSE))</f>
        <v>0</v>
      </c>
      <c r="R22" s="4">
        <f>(VLOOKUP('7.0.3'!Z22,'7.0.3'!$AM$4:$AP$55,4,FALSE))</f>
        <v>0</v>
      </c>
      <c r="S22" s="4">
        <f>(VLOOKUP('7.0.3'!AA22,'7.0.3'!$AM$4:$AP$55,4,FALSE))</f>
        <v>0</v>
      </c>
      <c r="T22" s="4">
        <f>(VLOOKUP('7.0.3'!AB22,'7.0.3'!$AM$4:$AP$55,4,FALSE))</f>
        <v>0</v>
      </c>
      <c r="U22" s="4">
        <f>(VLOOKUP('7.0.3'!AC22,'7.0.3'!$AM$4:$AP$55,4,FALSE))</f>
        <v>0</v>
      </c>
      <c r="V22" s="4">
        <f>(VLOOKUP('7.0.3'!AD22,'7.0.3'!$AM$4:$AP$55,4,FALSE))</f>
        <v>0</v>
      </c>
      <c r="W22" s="4">
        <f>(VLOOKUP('7.0.3'!AE22,'7.0.3'!$AM$4:$AP$55,4,FALSE))</f>
        <v>0</v>
      </c>
      <c r="X22" s="4">
        <f>(VLOOKUP('7.0.3'!AF22,'7.0.3'!$AM$4:$AP$55,4,FALSE))</f>
        <v>0</v>
      </c>
    </row>
    <row r="23" spans="1:24">
      <c r="A23" s="4">
        <f>(VLOOKUP('7.0.3'!I23,'7.0.3'!$AM$4:$AP$55,4,FALSE))</f>
        <v>10</v>
      </c>
      <c r="B23" s="4">
        <f>(VLOOKUP('7.0.3'!J23,'7.0.3'!$AM$4:$AP$55,4,FALSE))</f>
        <v>36</v>
      </c>
      <c r="C23" s="4">
        <f>(VLOOKUP('7.0.3'!K23,'7.0.3'!$AM$4:$AP$55,4,FALSE))</f>
        <v>36</v>
      </c>
      <c r="D23" s="4">
        <f>(VLOOKUP('7.0.3'!L23,'7.0.3'!$AM$4:$AP$55,4,FALSE))</f>
        <v>36</v>
      </c>
      <c r="E23" s="4">
        <f>(VLOOKUP('7.0.3'!M23,'7.0.3'!$AM$4:$AP$55,4,FALSE))</f>
        <v>36</v>
      </c>
      <c r="F23" s="4">
        <f>(VLOOKUP('7.0.3'!N23,'7.0.3'!$AM$4:$AP$55,4,FALSE))</f>
        <v>36</v>
      </c>
      <c r="G23" s="4">
        <f>(VLOOKUP('7.0.3'!O23,'7.0.3'!$AM$4:$AP$55,4,FALSE))</f>
        <v>0</v>
      </c>
      <c r="H23" s="4">
        <f>(VLOOKUP('7.0.3'!P23,'7.0.3'!$AM$4:$AP$55,4,FALSE))</f>
        <v>0</v>
      </c>
      <c r="I23" s="4">
        <f>(VLOOKUP('7.0.3'!Q23,'7.0.3'!$AM$4:$AP$55,4,FALSE))</f>
        <v>38</v>
      </c>
      <c r="J23" s="4">
        <f>(VLOOKUP('7.0.3'!R23,'7.0.3'!$AM$4:$AP$55,4,FALSE))</f>
        <v>38</v>
      </c>
      <c r="K23" s="4">
        <f>(VLOOKUP('7.0.3'!S23,'7.0.3'!$AM$4:$AP$55,4,FALSE))</f>
        <v>38</v>
      </c>
      <c r="L23" s="4">
        <f>(VLOOKUP('7.0.3'!T23,'7.0.3'!$AM$4:$AP$55,4,FALSE))</f>
        <v>38</v>
      </c>
      <c r="M23" s="4">
        <f>(VLOOKUP('7.0.3'!U23,'7.0.3'!$AM$4:$AP$55,4,FALSE))</f>
        <v>38</v>
      </c>
      <c r="N23" s="4">
        <f>(VLOOKUP('7.0.3'!V23,'7.0.3'!$AM$4:$AP$55,4,FALSE))</f>
        <v>38</v>
      </c>
      <c r="O23" s="4">
        <f>(VLOOKUP('7.0.3'!W23,'7.0.3'!$AM$4:$AP$55,4,FALSE))</f>
        <v>0</v>
      </c>
      <c r="P23" s="4">
        <f>(VLOOKUP('7.0.3'!X23,'7.0.3'!$AM$4:$AP$55,4,FALSE))</f>
        <v>0</v>
      </c>
      <c r="Q23" s="4">
        <f>(VLOOKUP('7.0.3'!Y23,'7.0.3'!$AM$4:$AP$55,4,FALSE))</f>
        <v>0</v>
      </c>
      <c r="R23" s="4">
        <f>(VLOOKUP('7.0.3'!Z23,'7.0.3'!$AM$4:$AP$55,4,FALSE))</f>
        <v>0</v>
      </c>
      <c r="S23" s="4">
        <f>(VLOOKUP('7.0.3'!AA23,'7.0.3'!$AM$4:$AP$55,4,FALSE))</f>
        <v>0</v>
      </c>
      <c r="T23" s="4">
        <f>(VLOOKUP('7.0.3'!AB23,'7.0.3'!$AM$4:$AP$55,4,FALSE))</f>
        <v>0</v>
      </c>
      <c r="U23" s="4">
        <f>(VLOOKUP('7.0.3'!AC23,'7.0.3'!$AM$4:$AP$55,4,FALSE))</f>
        <v>0</v>
      </c>
      <c r="V23" s="4">
        <f>(VLOOKUP('7.0.3'!AD23,'7.0.3'!$AM$4:$AP$55,4,FALSE))</f>
        <v>0</v>
      </c>
      <c r="W23" s="4">
        <f>(VLOOKUP('7.0.3'!AE23,'7.0.3'!$AM$4:$AP$55,4,FALSE))</f>
        <v>0</v>
      </c>
      <c r="X23" s="4">
        <f>(VLOOKUP('7.0.3'!AF23,'7.0.3'!$AM$4:$AP$55,4,FALSE))</f>
        <v>0</v>
      </c>
    </row>
    <row r="24" spans="1:24">
      <c r="A24" s="4">
        <f>(VLOOKUP('7.0.3'!I24,'7.0.3'!$AM$4:$AP$55,4,FALSE))</f>
        <v>36</v>
      </c>
      <c r="B24" s="4">
        <f>(VLOOKUP('7.0.3'!J24,'7.0.3'!$AM$4:$AP$55,4,FALSE))</f>
        <v>36</v>
      </c>
      <c r="C24" s="4">
        <f>(VLOOKUP('7.0.3'!K24,'7.0.3'!$AM$4:$AP$55,4,FALSE))</f>
        <v>36</v>
      </c>
      <c r="D24" s="4">
        <f>(VLOOKUP('7.0.3'!L24,'7.0.3'!$AM$4:$AP$55,4,FALSE))</f>
        <v>36</v>
      </c>
      <c r="E24" s="4">
        <f>(VLOOKUP('7.0.3'!M24,'7.0.3'!$AM$4:$AP$55,4,FALSE))</f>
        <v>36</v>
      </c>
      <c r="F24" s="4">
        <f>(VLOOKUP('7.0.3'!N24,'7.0.3'!$AM$4:$AP$55,4,FALSE))</f>
        <v>36</v>
      </c>
      <c r="G24" s="4">
        <f>(VLOOKUP('7.0.3'!O24,'7.0.3'!$AM$4:$AP$55,4,FALSE))</f>
        <v>0</v>
      </c>
      <c r="H24" s="4">
        <f>(VLOOKUP('7.0.3'!P24,'7.0.3'!$AM$4:$AP$55,4,FALSE))</f>
        <v>0</v>
      </c>
      <c r="I24" s="4">
        <f>(VLOOKUP('7.0.3'!Q24,'7.0.3'!$AM$4:$AP$55,4,FALSE))</f>
        <v>38</v>
      </c>
      <c r="J24" s="4">
        <f>(VLOOKUP('7.0.3'!R24,'7.0.3'!$AM$4:$AP$55,4,FALSE))</f>
        <v>38</v>
      </c>
      <c r="K24" s="4">
        <f>(VLOOKUP('7.0.3'!S24,'7.0.3'!$AM$4:$AP$55,4,FALSE))</f>
        <v>38</v>
      </c>
      <c r="L24" s="4">
        <f>(VLOOKUP('7.0.3'!T24,'7.0.3'!$AM$4:$AP$55,4,FALSE))</f>
        <v>38</v>
      </c>
      <c r="M24" s="4">
        <f>(VLOOKUP('7.0.3'!U24,'7.0.3'!$AM$4:$AP$55,4,FALSE))</f>
        <v>10</v>
      </c>
      <c r="N24" s="4">
        <f>(VLOOKUP('7.0.3'!V24,'7.0.3'!$AM$4:$AP$55,4,FALSE))</f>
        <v>38</v>
      </c>
      <c r="O24" s="4">
        <f>(VLOOKUP('7.0.3'!W24,'7.0.3'!$AM$4:$AP$55,4,FALSE))</f>
        <v>0</v>
      </c>
      <c r="P24" s="4">
        <f>(VLOOKUP('7.0.3'!X24,'7.0.3'!$AM$4:$AP$55,4,FALSE))</f>
        <v>0</v>
      </c>
      <c r="Q24" s="4">
        <f>(VLOOKUP('7.0.3'!Y24,'7.0.3'!$AM$4:$AP$55,4,FALSE))</f>
        <v>0</v>
      </c>
      <c r="R24" s="4">
        <f>(VLOOKUP('7.0.3'!Z24,'7.0.3'!$AM$4:$AP$55,4,FALSE))</f>
        <v>0</v>
      </c>
      <c r="S24" s="4">
        <f>(VLOOKUP('7.0.3'!AA24,'7.0.3'!$AM$4:$AP$55,4,FALSE))</f>
        <v>0</v>
      </c>
      <c r="T24" s="4">
        <f>(VLOOKUP('7.0.3'!AB24,'7.0.3'!$AM$4:$AP$55,4,FALSE))</f>
        <v>0</v>
      </c>
      <c r="U24" s="4">
        <f>(VLOOKUP('7.0.3'!AC24,'7.0.3'!$AM$4:$AP$55,4,FALSE))</f>
        <v>0</v>
      </c>
      <c r="V24" s="4">
        <f>(VLOOKUP('7.0.3'!AD24,'7.0.3'!$AM$4:$AP$55,4,FALSE))</f>
        <v>0</v>
      </c>
      <c r="W24" s="4">
        <f>(VLOOKUP('7.0.3'!AE24,'7.0.3'!$AM$4:$AP$55,4,FALSE))</f>
        <v>0</v>
      </c>
      <c r="X24" s="4">
        <f>(VLOOKUP('7.0.3'!AF24,'7.0.3'!$AM$4:$AP$55,4,FALSE))</f>
        <v>0</v>
      </c>
    </row>
    <row r="25" spans="1:24">
      <c r="A25" s="4">
        <f>(VLOOKUP('7.0.3'!I25,'7.0.3'!$AM$4:$AP$55,4,FALSE))</f>
        <v>36</v>
      </c>
      <c r="B25" s="4">
        <f>(VLOOKUP('7.0.3'!J25,'7.0.3'!$AM$4:$AP$55,4,FALSE))</f>
        <v>36</v>
      </c>
      <c r="C25" s="4">
        <f>(VLOOKUP('7.0.3'!K25,'7.0.3'!$AM$4:$AP$55,4,FALSE))</f>
        <v>36</v>
      </c>
      <c r="D25" s="4">
        <f>(VLOOKUP('7.0.3'!L25,'7.0.3'!$AM$4:$AP$55,4,FALSE))</f>
        <v>36</v>
      </c>
      <c r="E25" s="4">
        <f>(VLOOKUP('7.0.3'!M25,'7.0.3'!$AM$4:$AP$55,4,FALSE))</f>
        <v>36</v>
      </c>
      <c r="F25" s="4">
        <f>(VLOOKUP('7.0.3'!N25,'7.0.3'!$AM$4:$AP$55,4,FALSE))</f>
        <v>0</v>
      </c>
      <c r="G25" s="4">
        <f>(VLOOKUP('7.0.3'!O25,'7.0.3'!$AM$4:$AP$55,4,FALSE))</f>
        <v>0</v>
      </c>
      <c r="H25" s="4">
        <f>(VLOOKUP('7.0.3'!P25,'7.0.3'!$AM$4:$AP$55,4,FALSE))</f>
        <v>0</v>
      </c>
      <c r="I25" s="4">
        <f>(VLOOKUP('7.0.3'!Q25,'7.0.3'!$AM$4:$AP$55,4,FALSE))</f>
        <v>38</v>
      </c>
      <c r="J25" s="4">
        <f>(VLOOKUP('7.0.3'!R25,'7.0.3'!$AM$4:$AP$55,4,FALSE))</f>
        <v>38</v>
      </c>
      <c r="K25" s="4">
        <f>(VLOOKUP('7.0.3'!S25,'7.0.3'!$AM$4:$AP$55,4,FALSE))</f>
        <v>38</v>
      </c>
      <c r="L25" s="4">
        <f>(VLOOKUP('7.0.3'!T25,'7.0.3'!$AM$4:$AP$55,4,FALSE))</f>
        <v>38</v>
      </c>
      <c r="M25" s="4">
        <f>(VLOOKUP('7.0.3'!U25,'7.0.3'!$AM$4:$AP$55,4,FALSE))</f>
        <v>38</v>
      </c>
      <c r="N25" s="4">
        <f>(VLOOKUP('7.0.3'!V25,'7.0.3'!$AM$4:$AP$55,4,FALSE))</f>
        <v>38</v>
      </c>
      <c r="O25" s="4">
        <f>(VLOOKUP('7.0.3'!W25,'7.0.3'!$AM$4:$AP$55,4,FALSE))</f>
        <v>0</v>
      </c>
      <c r="P25" s="4">
        <f>(VLOOKUP('7.0.3'!X25,'7.0.3'!$AM$4:$AP$55,4,FALSE))</f>
        <v>0</v>
      </c>
      <c r="Q25" s="4">
        <f>(VLOOKUP('7.0.3'!Y25,'7.0.3'!$AM$4:$AP$55,4,FALSE))</f>
        <v>0</v>
      </c>
      <c r="R25" s="4">
        <f>(VLOOKUP('7.0.3'!Z25,'7.0.3'!$AM$4:$AP$55,4,FALSE))</f>
        <v>0</v>
      </c>
      <c r="S25" s="4">
        <f>(VLOOKUP('7.0.3'!AA25,'7.0.3'!$AM$4:$AP$55,4,FALSE))</f>
        <v>0</v>
      </c>
      <c r="T25" s="4">
        <f>(VLOOKUP('7.0.3'!AB25,'7.0.3'!$AM$4:$AP$55,4,FALSE))</f>
        <v>0</v>
      </c>
      <c r="U25" s="4">
        <f>(VLOOKUP('7.0.3'!AC25,'7.0.3'!$AM$4:$AP$55,4,FALSE))</f>
        <v>0</v>
      </c>
      <c r="V25" s="4">
        <f>(VLOOKUP('7.0.3'!AD25,'7.0.3'!$AM$4:$AP$55,4,FALSE))</f>
        <v>0</v>
      </c>
      <c r="W25" s="4">
        <f>(VLOOKUP('7.0.3'!AE25,'7.0.3'!$AM$4:$AP$55,4,FALSE))</f>
        <v>0</v>
      </c>
      <c r="X25" s="4">
        <f>(VLOOKUP('7.0.3'!AF25,'7.0.3'!$AM$4:$AP$55,4,FALSE))</f>
        <v>0</v>
      </c>
    </row>
    <row r="26" spans="1:24">
      <c r="A26" s="4">
        <f>(VLOOKUP('7.0.3'!I26,'7.0.3'!$AM$4:$AP$55,4,FALSE))</f>
        <v>0</v>
      </c>
      <c r="B26" s="4">
        <f>(VLOOKUP('7.0.3'!J26,'7.0.3'!$AM$4:$AP$55,4,FALSE))</f>
        <v>0</v>
      </c>
      <c r="C26" s="4">
        <f>(VLOOKUP('7.0.3'!K26,'7.0.3'!$AM$4:$AP$55,4,FALSE))</f>
        <v>0</v>
      </c>
      <c r="D26" s="4">
        <f>(VLOOKUP('7.0.3'!L26,'7.0.3'!$AM$4:$AP$55,4,FALSE))</f>
        <v>0</v>
      </c>
      <c r="E26" s="4">
        <f>(VLOOKUP('7.0.3'!M26,'7.0.3'!$AM$4:$AP$55,4,FALSE))</f>
        <v>0</v>
      </c>
      <c r="F26" s="4">
        <f>(VLOOKUP('7.0.3'!N26,'7.0.3'!$AM$4:$AP$55,4,FALSE))</f>
        <v>0</v>
      </c>
      <c r="G26" s="4">
        <f>(VLOOKUP('7.0.3'!O26,'7.0.3'!$AM$4:$AP$55,4,FALSE))</f>
        <v>0</v>
      </c>
      <c r="H26" s="4">
        <f>(VLOOKUP('7.0.3'!P26,'7.0.3'!$AM$4:$AP$55,4,FALSE))</f>
        <v>0</v>
      </c>
      <c r="I26" s="4">
        <f>(VLOOKUP('7.0.3'!Q26,'7.0.3'!$AM$4:$AP$55,4,FALSE))</f>
        <v>38</v>
      </c>
      <c r="J26" s="4">
        <f>(VLOOKUP('7.0.3'!R26,'7.0.3'!$AM$4:$AP$55,4,FALSE))</f>
        <v>38</v>
      </c>
      <c r="K26" s="4">
        <f>(VLOOKUP('7.0.3'!S26,'7.0.3'!$AM$4:$AP$55,4,FALSE))</f>
        <v>38</v>
      </c>
      <c r="L26" s="4">
        <f>(VLOOKUP('7.0.3'!T26,'7.0.3'!$AM$4:$AP$55,4,FALSE))</f>
        <v>38</v>
      </c>
      <c r="M26" s="4">
        <f>(VLOOKUP('7.0.3'!U26,'7.0.3'!$AM$4:$AP$55,4,FALSE))</f>
        <v>38</v>
      </c>
      <c r="N26" s="4">
        <f>(VLOOKUP('7.0.3'!V26,'7.0.3'!$AM$4:$AP$55,4,FALSE))</f>
        <v>38</v>
      </c>
      <c r="O26" s="4">
        <f>(VLOOKUP('7.0.3'!W26,'7.0.3'!$AM$4:$AP$55,4,FALSE))</f>
        <v>0</v>
      </c>
      <c r="P26" s="4">
        <f>(VLOOKUP('7.0.3'!X26,'7.0.3'!$AM$4:$AP$55,4,FALSE))</f>
        <v>0</v>
      </c>
      <c r="Q26" s="4">
        <f>(VLOOKUP('7.0.3'!Y26,'7.0.3'!$AM$4:$AP$55,4,FALSE))</f>
        <v>0</v>
      </c>
      <c r="R26" s="4">
        <f>(VLOOKUP('7.0.3'!Z26,'7.0.3'!$AM$4:$AP$55,4,FALSE))</f>
        <v>0</v>
      </c>
      <c r="S26" s="4">
        <f>(VLOOKUP('7.0.3'!AA26,'7.0.3'!$AM$4:$AP$55,4,FALSE))</f>
        <v>0</v>
      </c>
      <c r="T26" s="4">
        <f>(VLOOKUP('7.0.3'!AB26,'7.0.3'!$AM$4:$AP$55,4,FALSE))</f>
        <v>0</v>
      </c>
      <c r="U26" s="4">
        <f>(VLOOKUP('7.0.3'!AC26,'7.0.3'!$AM$4:$AP$55,4,FALSE))</f>
        <v>0</v>
      </c>
      <c r="V26" s="4">
        <f>(VLOOKUP('7.0.3'!AD26,'7.0.3'!$AM$4:$AP$55,4,FALSE))</f>
        <v>0</v>
      </c>
      <c r="W26" s="4">
        <f>(VLOOKUP('7.0.3'!AE26,'7.0.3'!$AM$4:$AP$55,4,FALSE))</f>
        <v>0</v>
      </c>
      <c r="X26" s="4">
        <f>(VLOOKUP('7.0.3'!AF26,'7.0.3'!$AM$4:$AP$55,4,FALSE))</f>
        <v>0</v>
      </c>
    </row>
    <row r="27" spans="1:24">
      <c r="A27" s="4">
        <f>(VLOOKUP('7.0.3'!I27,'7.0.3'!$AM$4:$AP$55,4,FALSE))</f>
        <v>0</v>
      </c>
      <c r="B27" s="4">
        <f>(VLOOKUP('7.0.3'!J27,'7.0.3'!$AM$4:$AP$55,4,FALSE))</f>
        <v>0</v>
      </c>
      <c r="C27" s="4">
        <f>(VLOOKUP('7.0.3'!K27,'7.0.3'!$AM$4:$AP$55,4,FALSE))</f>
        <v>0</v>
      </c>
      <c r="D27" s="4">
        <f>(VLOOKUP('7.0.3'!L27,'7.0.3'!$AM$4:$AP$55,4,FALSE))</f>
        <v>0</v>
      </c>
      <c r="E27" s="4">
        <f>(VLOOKUP('7.0.3'!M27,'7.0.3'!$AM$4:$AP$55,4,FALSE))</f>
        <v>0</v>
      </c>
      <c r="F27" s="4">
        <f>(VLOOKUP('7.0.3'!N27,'7.0.3'!$AM$4:$AP$55,4,FALSE))</f>
        <v>0</v>
      </c>
      <c r="G27" s="4">
        <f>(VLOOKUP('7.0.3'!O27,'7.0.3'!$AM$4:$AP$55,4,FALSE))</f>
        <v>0</v>
      </c>
      <c r="H27" s="4">
        <f>(VLOOKUP('7.0.3'!P27,'7.0.3'!$AM$4:$AP$55,4,FALSE))</f>
        <v>0</v>
      </c>
      <c r="I27" s="4">
        <f>(VLOOKUP('7.0.3'!Q27,'7.0.3'!$AM$4:$AP$55,4,FALSE))</f>
        <v>38</v>
      </c>
      <c r="J27" s="4">
        <f>(VLOOKUP('7.0.3'!R27,'7.0.3'!$AM$4:$AP$55,4,FALSE))</f>
        <v>38</v>
      </c>
      <c r="K27" s="4">
        <f>(VLOOKUP('7.0.3'!S27,'7.0.3'!$AM$4:$AP$55,4,FALSE))</f>
        <v>38</v>
      </c>
      <c r="L27" s="4">
        <f>(VLOOKUP('7.0.3'!T27,'7.0.3'!$AM$4:$AP$55,4,FALSE))</f>
        <v>38</v>
      </c>
      <c r="M27" s="4">
        <f>(VLOOKUP('7.0.3'!U27,'7.0.3'!$AM$4:$AP$55,4,FALSE))</f>
        <v>38</v>
      </c>
      <c r="N27" s="4">
        <f>(VLOOKUP('7.0.3'!V27,'7.0.3'!$AM$4:$AP$55,4,FALSE))</f>
        <v>0</v>
      </c>
      <c r="O27" s="4">
        <f>(VLOOKUP('7.0.3'!W27,'7.0.3'!$AM$4:$AP$55,4,FALSE))</f>
        <v>0</v>
      </c>
      <c r="P27" s="4">
        <f>(VLOOKUP('7.0.3'!X27,'7.0.3'!$AM$4:$AP$55,4,FALSE))</f>
        <v>0</v>
      </c>
      <c r="Q27" s="4">
        <f>(VLOOKUP('7.0.3'!Y27,'7.0.3'!$AM$4:$AP$55,4,FALSE))</f>
        <v>0</v>
      </c>
      <c r="R27" s="4">
        <f>(VLOOKUP('7.0.3'!Z27,'7.0.3'!$AM$4:$AP$55,4,FALSE))</f>
        <v>0</v>
      </c>
      <c r="S27" s="4">
        <f>(VLOOKUP('7.0.3'!AA27,'7.0.3'!$AM$4:$AP$55,4,FALSE))</f>
        <v>0</v>
      </c>
      <c r="T27" s="4">
        <f>(VLOOKUP('7.0.3'!AB27,'7.0.3'!$AM$4:$AP$55,4,FALSE))</f>
        <v>0</v>
      </c>
      <c r="U27" s="4">
        <f>(VLOOKUP('7.0.3'!AC27,'7.0.3'!$AM$4:$AP$55,4,FALSE))</f>
        <v>0</v>
      </c>
      <c r="V27" s="4">
        <f>(VLOOKUP('7.0.3'!AD27,'7.0.3'!$AM$4:$AP$55,4,FALSE))</f>
        <v>0</v>
      </c>
      <c r="W27" s="4">
        <f>(VLOOKUP('7.0.3'!AE27,'7.0.3'!$AM$4:$AP$55,4,FALSE))</f>
        <v>0</v>
      </c>
      <c r="X27" s="4">
        <f>(VLOOKUP('7.0.3'!AF27,'7.0.3'!$AM$4:$AP$55,4,FALSE))</f>
        <v>0</v>
      </c>
    </row>
    <row r="28" spans="1:24">
      <c r="A28" s="4">
        <f>(VLOOKUP('7.0.3'!I28,'7.0.3'!$AM$4:$AP$55,4,FALSE))</f>
        <v>0</v>
      </c>
      <c r="B28" s="4">
        <f>(VLOOKUP('7.0.3'!J28,'7.0.3'!$AM$4:$AP$55,4,FALSE))</f>
        <v>0</v>
      </c>
      <c r="C28" s="4">
        <f>(VLOOKUP('7.0.3'!K28,'7.0.3'!$AM$4:$AP$55,4,FALSE))</f>
        <v>0</v>
      </c>
      <c r="D28" s="4">
        <f>(VLOOKUP('7.0.3'!L28,'7.0.3'!$AM$4:$AP$55,4,FALSE))</f>
        <v>0</v>
      </c>
      <c r="E28" s="4">
        <f>(VLOOKUP('7.0.3'!M28,'7.0.3'!$AM$4:$AP$55,4,FALSE))</f>
        <v>0</v>
      </c>
      <c r="F28" s="4">
        <f>(VLOOKUP('7.0.3'!N28,'7.0.3'!$AM$4:$AP$55,4,FALSE))</f>
        <v>0</v>
      </c>
      <c r="G28" s="4">
        <f>(VLOOKUP('7.0.3'!O28,'7.0.3'!$AM$4:$AP$55,4,FALSE))</f>
        <v>0</v>
      </c>
      <c r="H28" s="4">
        <f>(VLOOKUP('7.0.3'!P28,'7.0.3'!$AM$4:$AP$55,4,FALSE))</f>
        <v>0</v>
      </c>
      <c r="I28" s="4">
        <f>(VLOOKUP('7.0.3'!Q28,'7.0.3'!$AM$4:$AP$55,4,FALSE))</f>
        <v>38</v>
      </c>
      <c r="J28" s="4">
        <f>(VLOOKUP('7.0.3'!R28,'7.0.3'!$AM$4:$AP$55,4,FALSE))</f>
        <v>38</v>
      </c>
      <c r="K28" s="4">
        <f>(VLOOKUP('7.0.3'!S28,'7.0.3'!$AM$4:$AP$55,4,FALSE))</f>
        <v>38</v>
      </c>
      <c r="L28" s="4">
        <f>(VLOOKUP('7.0.3'!T28,'7.0.3'!$AM$4:$AP$55,4,FALSE))</f>
        <v>38</v>
      </c>
      <c r="M28" s="4">
        <f>(VLOOKUP('7.0.3'!U28,'7.0.3'!$AM$4:$AP$55,4,FALSE))</f>
        <v>0</v>
      </c>
      <c r="N28" s="4">
        <f>(VLOOKUP('7.0.3'!V28,'7.0.3'!$AM$4:$AP$55,4,FALSE))</f>
        <v>0</v>
      </c>
      <c r="O28" s="4">
        <f>(VLOOKUP('7.0.3'!W28,'7.0.3'!$AM$4:$AP$55,4,FALSE))</f>
        <v>0</v>
      </c>
      <c r="P28" s="4">
        <f>(VLOOKUP('7.0.3'!X28,'7.0.3'!$AM$4:$AP$55,4,FALSE))</f>
        <v>0</v>
      </c>
      <c r="Q28" s="4">
        <f>(VLOOKUP('7.0.3'!Y28,'7.0.3'!$AM$4:$AP$55,4,FALSE))</f>
        <v>0</v>
      </c>
      <c r="R28" s="4">
        <f>(VLOOKUP('7.0.3'!Z28,'7.0.3'!$AM$4:$AP$55,4,FALSE))</f>
        <v>0</v>
      </c>
      <c r="S28" s="4">
        <f>(VLOOKUP('7.0.3'!AA28,'7.0.3'!$AM$4:$AP$55,4,FALSE))</f>
        <v>0</v>
      </c>
      <c r="T28" s="4">
        <f>(VLOOKUP('7.0.3'!AB28,'7.0.3'!$AM$4:$AP$55,4,FALSE))</f>
        <v>0</v>
      </c>
      <c r="U28" s="4">
        <f>(VLOOKUP('7.0.3'!AC28,'7.0.3'!$AM$4:$AP$55,4,FALSE))</f>
        <v>0</v>
      </c>
      <c r="V28" s="4">
        <f>(VLOOKUP('7.0.3'!AD28,'7.0.3'!$AM$4:$AP$55,4,FALSE))</f>
        <v>0</v>
      </c>
      <c r="W28" s="4">
        <f>(VLOOKUP('7.0.3'!AE28,'7.0.3'!$AM$4:$AP$55,4,FALSE))</f>
        <v>0</v>
      </c>
      <c r="X28" s="4">
        <f>(VLOOKUP('7.0.3'!AF28,'7.0.3'!$AM$4:$AP$55,4,FALSE))</f>
        <v>0</v>
      </c>
    </row>
    <row r="29" spans="1:24">
      <c r="A29" s="4">
        <f>(VLOOKUP('7.0.3'!I29,'7.0.3'!$AM$4:$AP$55,4,FALSE))</f>
        <v>0</v>
      </c>
      <c r="B29" s="4">
        <f>(VLOOKUP('7.0.3'!J29,'7.0.3'!$AM$4:$AP$55,4,FALSE))</f>
        <v>0</v>
      </c>
      <c r="C29" s="4">
        <f>(VLOOKUP('7.0.3'!K29,'7.0.3'!$AM$4:$AP$55,4,FALSE))</f>
        <v>0</v>
      </c>
      <c r="D29" s="4">
        <f>(VLOOKUP('7.0.3'!L29,'7.0.3'!$AM$4:$AP$55,4,FALSE))</f>
        <v>0</v>
      </c>
      <c r="E29" s="4">
        <f>(VLOOKUP('7.0.3'!M29,'7.0.3'!$AM$4:$AP$55,4,FALSE))</f>
        <v>0</v>
      </c>
      <c r="F29" s="4">
        <f>(VLOOKUP('7.0.3'!N29,'7.0.3'!$AM$4:$AP$55,4,FALSE))</f>
        <v>0</v>
      </c>
      <c r="G29" s="4">
        <f>(VLOOKUP('7.0.3'!O29,'7.0.3'!$AM$4:$AP$55,4,FALSE))</f>
        <v>0</v>
      </c>
      <c r="H29" s="4">
        <f>(VLOOKUP('7.0.3'!P29,'7.0.3'!$AM$4:$AP$55,4,FALSE))</f>
        <v>0</v>
      </c>
      <c r="I29" s="4">
        <f>(VLOOKUP('7.0.3'!Q29,'7.0.3'!$AM$4:$AP$55,4,FALSE))</f>
        <v>38</v>
      </c>
      <c r="J29" s="4">
        <f>(VLOOKUP('7.0.3'!R29,'7.0.3'!$AM$4:$AP$55,4,FALSE))</f>
        <v>38</v>
      </c>
      <c r="K29" s="4">
        <f>(VLOOKUP('7.0.3'!S29,'7.0.3'!$AM$4:$AP$55,4,FALSE))</f>
        <v>0</v>
      </c>
      <c r="L29" s="4">
        <f>(VLOOKUP('7.0.3'!T29,'7.0.3'!$AM$4:$AP$55,4,FALSE))</f>
        <v>38</v>
      </c>
      <c r="M29" s="4">
        <f>(VLOOKUP('7.0.3'!U29,'7.0.3'!$AM$4:$AP$55,4,FALSE))</f>
        <v>0</v>
      </c>
      <c r="N29" s="4">
        <f>(VLOOKUP('7.0.3'!V29,'7.0.3'!$AM$4:$AP$55,4,FALSE))</f>
        <v>0</v>
      </c>
      <c r="O29" s="4">
        <f>(VLOOKUP('7.0.3'!W29,'7.0.3'!$AM$4:$AP$55,4,FALSE))</f>
        <v>0</v>
      </c>
      <c r="P29" s="4">
        <f>(VLOOKUP('7.0.3'!X29,'7.0.3'!$AM$4:$AP$55,4,FALSE))</f>
        <v>0</v>
      </c>
      <c r="Q29" s="4">
        <f>(VLOOKUP('7.0.3'!Y29,'7.0.3'!$AM$4:$AP$55,4,FALSE))</f>
        <v>0</v>
      </c>
      <c r="R29" s="4">
        <f>(VLOOKUP('7.0.3'!Z29,'7.0.3'!$AM$4:$AP$55,4,FALSE))</f>
        <v>0</v>
      </c>
      <c r="S29" s="4">
        <f>(VLOOKUP('7.0.3'!AA29,'7.0.3'!$AM$4:$AP$55,4,FALSE))</f>
        <v>0</v>
      </c>
      <c r="T29" s="4">
        <f>(VLOOKUP('7.0.3'!AB29,'7.0.3'!$AM$4:$AP$55,4,FALSE))</f>
        <v>0</v>
      </c>
      <c r="U29" s="4">
        <f>(VLOOKUP('7.0.3'!AC29,'7.0.3'!$AM$4:$AP$55,4,FALSE))</f>
        <v>0</v>
      </c>
      <c r="V29" s="4">
        <f>(VLOOKUP('7.0.3'!AD29,'7.0.3'!$AM$4:$AP$55,4,FALSE))</f>
        <v>0</v>
      </c>
      <c r="W29" s="4">
        <f>(VLOOKUP('7.0.3'!AE29,'7.0.3'!$AM$4:$AP$55,4,FALSE))</f>
        <v>0</v>
      </c>
      <c r="X29" s="4">
        <f>(VLOOKUP('7.0.3'!AF29,'7.0.3'!$AM$4:$AP$55,4,FALSE))</f>
        <v>0</v>
      </c>
    </row>
    <row r="30" spans="1:24">
      <c r="A30" s="4">
        <f>(VLOOKUP('7.0.3'!I30,'7.0.3'!$AM$4:$AP$55,4,FALSE))</f>
        <v>0</v>
      </c>
      <c r="B30" s="4">
        <f>(VLOOKUP('7.0.3'!J30,'7.0.3'!$AM$4:$AP$55,4,FALSE))</f>
        <v>0</v>
      </c>
      <c r="C30" s="4">
        <f>(VLOOKUP('7.0.3'!K30,'7.0.3'!$AM$4:$AP$55,4,FALSE))</f>
        <v>0</v>
      </c>
      <c r="D30" s="4">
        <f>(VLOOKUP('7.0.3'!L30,'7.0.3'!$AM$4:$AP$55,4,FALSE))</f>
        <v>0</v>
      </c>
      <c r="E30" s="4">
        <f>(VLOOKUP('7.0.3'!M30,'7.0.3'!$AM$4:$AP$55,4,FALSE))</f>
        <v>0</v>
      </c>
      <c r="F30" s="4">
        <f>(VLOOKUP('7.0.3'!N30,'7.0.3'!$AM$4:$AP$55,4,FALSE))</f>
        <v>0</v>
      </c>
      <c r="G30" s="4">
        <f>(VLOOKUP('7.0.3'!O30,'7.0.3'!$AM$4:$AP$55,4,FALSE))</f>
        <v>0</v>
      </c>
      <c r="H30" s="4">
        <f>(VLOOKUP('7.0.3'!P30,'7.0.3'!$AM$4:$AP$55,4,FALSE))</f>
        <v>0</v>
      </c>
      <c r="I30" s="4">
        <f>(VLOOKUP('7.0.3'!Q30,'7.0.3'!$AM$4:$AP$55,4,FALSE))</f>
        <v>38</v>
      </c>
      <c r="J30" s="4">
        <f>(VLOOKUP('7.0.3'!R30,'7.0.3'!$AM$4:$AP$55,4,FALSE))</f>
        <v>38</v>
      </c>
      <c r="K30" s="4">
        <f>(VLOOKUP('7.0.3'!S30,'7.0.3'!$AM$4:$AP$55,4,FALSE))</f>
        <v>38</v>
      </c>
      <c r="L30" s="4">
        <f>(VLOOKUP('7.0.3'!T30,'7.0.3'!$AM$4:$AP$55,4,FALSE))</f>
        <v>38</v>
      </c>
      <c r="M30" s="4">
        <f>(VLOOKUP('7.0.3'!U30,'7.0.3'!$AM$4:$AP$55,4,FALSE))</f>
        <v>38</v>
      </c>
      <c r="N30" s="4">
        <f>(VLOOKUP('7.0.3'!V30,'7.0.3'!$AM$4:$AP$55,4,FALSE))</f>
        <v>0</v>
      </c>
      <c r="O30" s="4">
        <f>(VLOOKUP('7.0.3'!W30,'7.0.3'!$AM$4:$AP$55,4,FALSE))</f>
        <v>0</v>
      </c>
      <c r="P30" s="4">
        <f>(VLOOKUP('7.0.3'!X30,'7.0.3'!$AM$4:$AP$55,4,FALSE))</f>
        <v>0</v>
      </c>
      <c r="Q30" s="4">
        <f>(VLOOKUP('7.0.3'!Y30,'7.0.3'!$AM$4:$AP$55,4,FALSE))</f>
        <v>0</v>
      </c>
      <c r="R30" s="4">
        <f>(VLOOKUP('7.0.3'!Z30,'7.0.3'!$AM$4:$AP$55,4,FALSE))</f>
        <v>0</v>
      </c>
      <c r="S30" s="4">
        <f>(VLOOKUP('7.0.3'!AA30,'7.0.3'!$AM$4:$AP$55,4,FALSE))</f>
        <v>0</v>
      </c>
      <c r="T30" s="4">
        <f>(VLOOKUP('7.0.3'!AB30,'7.0.3'!$AM$4:$AP$55,4,FALSE))</f>
        <v>0</v>
      </c>
      <c r="U30" s="4">
        <f>(VLOOKUP('7.0.3'!AC30,'7.0.3'!$AM$4:$AP$55,4,FALSE))</f>
        <v>0</v>
      </c>
      <c r="V30" s="4">
        <f>(VLOOKUP('7.0.3'!AD30,'7.0.3'!$AM$4:$AP$55,4,FALSE))</f>
        <v>0</v>
      </c>
      <c r="W30" s="4">
        <f>(VLOOKUP('7.0.3'!AE30,'7.0.3'!$AM$4:$AP$55,4,FALSE))</f>
        <v>0</v>
      </c>
      <c r="X30" s="4">
        <f>(VLOOKUP('7.0.3'!AF30,'7.0.3'!$AM$4:$AP$55,4,FALSE))</f>
        <v>0</v>
      </c>
    </row>
    <row r="31" spans="1:24">
      <c r="A31" s="4">
        <f>(VLOOKUP('7.0.3'!I31,'7.0.3'!$AM$4:$AP$55,4,FALSE))</f>
        <v>0</v>
      </c>
      <c r="B31" s="4">
        <f>(VLOOKUP('7.0.3'!J31,'7.0.3'!$AM$4:$AP$55,4,FALSE))</f>
        <v>0</v>
      </c>
      <c r="C31" s="4">
        <f>(VLOOKUP('7.0.3'!K31,'7.0.3'!$AM$4:$AP$55,4,FALSE))</f>
        <v>0</v>
      </c>
      <c r="D31" s="4">
        <f>(VLOOKUP('7.0.3'!L31,'7.0.3'!$AM$4:$AP$55,4,FALSE))</f>
        <v>0</v>
      </c>
      <c r="E31" s="4">
        <f>(VLOOKUP('7.0.3'!M31,'7.0.3'!$AM$4:$AP$55,4,FALSE))</f>
        <v>0</v>
      </c>
      <c r="F31" s="4">
        <f>(VLOOKUP('7.0.3'!N31,'7.0.3'!$AM$4:$AP$55,4,FALSE))</f>
        <v>0</v>
      </c>
      <c r="G31" s="4">
        <f>(VLOOKUP('7.0.3'!O31,'7.0.3'!$AM$4:$AP$55,4,FALSE))</f>
        <v>0</v>
      </c>
      <c r="H31" s="4">
        <f>(VLOOKUP('7.0.3'!P31,'7.0.3'!$AM$4:$AP$55,4,FALSE))</f>
        <v>0</v>
      </c>
      <c r="I31" s="4">
        <f>(VLOOKUP('7.0.3'!Q31,'7.0.3'!$AM$4:$AP$55,4,FALSE))</f>
        <v>38</v>
      </c>
      <c r="J31" s="4">
        <f>(VLOOKUP('7.0.3'!R31,'7.0.3'!$AM$4:$AP$55,4,FALSE))</f>
        <v>0</v>
      </c>
      <c r="K31" s="4">
        <f>(VLOOKUP('7.0.3'!S31,'7.0.3'!$AM$4:$AP$55,4,FALSE))</f>
        <v>38</v>
      </c>
      <c r="L31" s="4">
        <f>(VLOOKUP('7.0.3'!T31,'7.0.3'!$AM$4:$AP$55,4,FALSE))</f>
        <v>38</v>
      </c>
      <c r="M31" s="4">
        <f>(VLOOKUP('7.0.3'!U31,'7.0.3'!$AM$4:$AP$55,4,FALSE))</f>
        <v>38</v>
      </c>
      <c r="N31" s="4">
        <f>(VLOOKUP('7.0.3'!V31,'7.0.3'!$AM$4:$AP$55,4,FALSE))</f>
        <v>38</v>
      </c>
      <c r="O31" s="4">
        <f>(VLOOKUP('7.0.3'!W31,'7.0.3'!$AM$4:$AP$55,4,FALSE))</f>
        <v>0</v>
      </c>
      <c r="P31" s="4">
        <f>(VLOOKUP('7.0.3'!X31,'7.0.3'!$AM$4:$AP$55,4,FALSE))</f>
        <v>0</v>
      </c>
      <c r="Q31" s="4">
        <f>(VLOOKUP('7.0.3'!Y31,'7.0.3'!$AM$4:$AP$55,4,FALSE))</f>
        <v>0</v>
      </c>
      <c r="R31" s="4">
        <f>(VLOOKUP('7.0.3'!Z31,'7.0.3'!$AM$4:$AP$55,4,FALSE))</f>
        <v>0</v>
      </c>
      <c r="S31" s="4">
        <f>(VLOOKUP('7.0.3'!AA31,'7.0.3'!$AM$4:$AP$55,4,FALSE))</f>
        <v>0</v>
      </c>
      <c r="T31" s="4">
        <f>(VLOOKUP('7.0.3'!AB31,'7.0.3'!$AM$4:$AP$55,4,FALSE))</f>
        <v>0</v>
      </c>
      <c r="U31" s="4">
        <f>(VLOOKUP('7.0.3'!AC31,'7.0.3'!$AM$4:$AP$55,4,FALSE))</f>
        <v>0</v>
      </c>
      <c r="V31" s="4">
        <f>(VLOOKUP('7.0.3'!AD31,'7.0.3'!$AM$4:$AP$55,4,FALSE))</f>
        <v>0</v>
      </c>
      <c r="W31" s="4">
        <f>(VLOOKUP('7.0.3'!AE31,'7.0.3'!$AM$4:$AP$55,4,FALSE))</f>
        <v>0</v>
      </c>
      <c r="X31" s="4">
        <f>(VLOOKUP('7.0.3'!AF31,'7.0.3'!$AM$4:$AP$55,4,FALSE))</f>
        <v>0</v>
      </c>
    </row>
    <row r="32" spans="1:24">
      <c r="A32" s="4">
        <f>(VLOOKUP('7.0.3'!I32,'7.0.3'!$AM$4:$AP$55,4,FALSE))</f>
        <v>0</v>
      </c>
      <c r="B32" s="4">
        <f>(VLOOKUP('7.0.3'!J32,'7.0.3'!$AM$4:$AP$55,4,FALSE))</f>
        <v>0</v>
      </c>
      <c r="C32" s="4">
        <f>(VLOOKUP('7.0.3'!K32,'7.0.3'!$AM$4:$AP$55,4,FALSE))</f>
        <v>0</v>
      </c>
      <c r="D32" s="4">
        <f>(VLOOKUP('7.0.3'!L32,'7.0.3'!$AM$4:$AP$55,4,FALSE))</f>
        <v>0</v>
      </c>
      <c r="E32" s="4">
        <f>(VLOOKUP('7.0.3'!M32,'7.0.3'!$AM$4:$AP$55,4,FALSE))</f>
        <v>0</v>
      </c>
      <c r="F32" s="4">
        <f>(VLOOKUP('7.0.3'!N32,'7.0.3'!$AM$4:$AP$55,4,FALSE))</f>
        <v>0</v>
      </c>
      <c r="G32" s="4">
        <f>(VLOOKUP('7.0.3'!O32,'7.0.3'!$AM$4:$AP$55,4,FALSE))</f>
        <v>0</v>
      </c>
      <c r="H32" s="4">
        <f>(VLOOKUP('7.0.3'!P32,'7.0.3'!$AM$4:$AP$55,4,FALSE))</f>
        <v>0</v>
      </c>
      <c r="I32" s="4">
        <f>(VLOOKUP('7.0.3'!Q32,'7.0.3'!$AM$4:$AP$55,4,FALSE))</f>
        <v>38</v>
      </c>
      <c r="J32" s="4">
        <f>(VLOOKUP('7.0.3'!R32,'7.0.3'!$AM$4:$AP$55,4,FALSE))</f>
        <v>38</v>
      </c>
      <c r="K32" s="4">
        <f>(VLOOKUP('7.0.3'!S32,'7.0.3'!$AM$4:$AP$55,4,FALSE))</f>
        <v>38</v>
      </c>
      <c r="L32" s="4">
        <f>(VLOOKUP('7.0.3'!T32,'7.0.3'!$AM$4:$AP$55,4,FALSE))</f>
        <v>38</v>
      </c>
      <c r="M32" s="4">
        <f>(VLOOKUP('7.0.3'!U32,'7.0.3'!$AM$4:$AP$55,4,FALSE))</f>
        <v>0</v>
      </c>
      <c r="N32" s="4">
        <f>(VLOOKUP('7.0.3'!V32,'7.0.3'!$AM$4:$AP$55,4,FALSE))</f>
        <v>0</v>
      </c>
      <c r="O32" s="4">
        <f>(VLOOKUP('7.0.3'!W32,'7.0.3'!$AM$4:$AP$55,4,FALSE))</f>
        <v>0</v>
      </c>
      <c r="P32" s="4">
        <f>(VLOOKUP('7.0.3'!X32,'7.0.3'!$AM$4:$AP$55,4,FALSE))</f>
        <v>0</v>
      </c>
      <c r="Q32" s="4">
        <f>(VLOOKUP('7.0.3'!Y32,'7.0.3'!$AM$4:$AP$55,4,FALSE))</f>
        <v>0</v>
      </c>
      <c r="R32" s="4">
        <f>(VLOOKUP('7.0.3'!Z32,'7.0.3'!$AM$4:$AP$55,4,FALSE))</f>
        <v>0</v>
      </c>
      <c r="S32" s="4">
        <f>(VLOOKUP('7.0.3'!AA32,'7.0.3'!$AM$4:$AP$55,4,FALSE))</f>
        <v>0</v>
      </c>
      <c r="T32" s="4">
        <f>(VLOOKUP('7.0.3'!AB32,'7.0.3'!$AM$4:$AP$55,4,FALSE))</f>
        <v>0</v>
      </c>
      <c r="U32" s="4">
        <f>(VLOOKUP('7.0.3'!AC32,'7.0.3'!$AM$4:$AP$55,4,FALSE))</f>
        <v>0</v>
      </c>
      <c r="V32" s="4">
        <f>(VLOOKUP('7.0.3'!AD32,'7.0.3'!$AM$4:$AP$55,4,FALSE))</f>
        <v>0</v>
      </c>
      <c r="W32" s="4">
        <f>(VLOOKUP('7.0.3'!AE32,'7.0.3'!$AM$4:$AP$55,4,FALSE))</f>
        <v>0</v>
      </c>
      <c r="X32" s="4">
        <f>(VLOOKUP('7.0.3'!AF32,'7.0.3'!$AM$4:$AP$55,4,FALSE))</f>
        <v>0</v>
      </c>
    </row>
    <row r="33" spans="1:24">
      <c r="A33" s="4">
        <f>(VLOOKUP('7.0.3'!I33,'7.0.3'!$AM$4:$AP$55,4,FALSE))</f>
        <v>0</v>
      </c>
      <c r="B33" s="4">
        <f>(VLOOKUP('7.0.3'!J33,'7.0.3'!$AM$4:$AP$55,4,FALSE))</f>
        <v>0</v>
      </c>
      <c r="C33" s="4">
        <f>(VLOOKUP('7.0.3'!K33,'7.0.3'!$AM$4:$AP$55,4,FALSE))</f>
        <v>0</v>
      </c>
      <c r="D33" s="4">
        <f>(VLOOKUP('7.0.3'!L33,'7.0.3'!$AM$4:$AP$55,4,FALSE))</f>
        <v>0</v>
      </c>
      <c r="E33" s="4">
        <f>(VLOOKUP('7.0.3'!M33,'7.0.3'!$AM$4:$AP$55,4,FALSE))</f>
        <v>0</v>
      </c>
      <c r="F33" s="4">
        <f>(VLOOKUP('7.0.3'!N33,'7.0.3'!$AM$4:$AP$55,4,FALSE))</f>
        <v>0</v>
      </c>
      <c r="G33" s="4">
        <f>(VLOOKUP('7.0.3'!O33,'7.0.3'!$AM$4:$AP$55,4,FALSE))</f>
        <v>0</v>
      </c>
      <c r="H33" s="4">
        <f>(VLOOKUP('7.0.3'!P33,'7.0.3'!$AM$4:$AP$55,4,FALSE))</f>
        <v>0</v>
      </c>
      <c r="I33" s="4">
        <f>(VLOOKUP('7.0.3'!Q33,'7.0.3'!$AM$4:$AP$55,4,FALSE))</f>
        <v>38</v>
      </c>
      <c r="J33" s="4">
        <f>(VLOOKUP('7.0.3'!R33,'7.0.3'!$AM$4:$AP$55,4,FALSE))</f>
        <v>38</v>
      </c>
      <c r="K33" s="4">
        <f>(VLOOKUP('7.0.3'!S33,'7.0.3'!$AM$4:$AP$55,4,FALSE))</f>
        <v>38</v>
      </c>
      <c r="L33" s="4">
        <f>(VLOOKUP('7.0.3'!T33,'7.0.3'!$AM$4:$AP$55,4,FALSE))</f>
        <v>38</v>
      </c>
      <c r="M33" s="4">
        <f>(VLOOKUP('7.0.3'!U33,'7.0.3'!$AM$4:$AP$55,4,FALSE))</f>
        <v>0</v>
      </c>
      <c r="N33" s="4">
        <f>(VLOOKUP('7.0.3'!V33,'7.0.3'!$AM$4:$AP$55,4,FALSE))</f>
        <v>0</v>
      </c>
      <c r="O33" s="4">
        <f>(VLOOKUP('7.0.3'!W33,'7.0.3'!$AM$4:$AP$55,4,FALSE))</f>
        <v>0</v>
      </c>
      <c r="P33" s="4">
        <f>(VLOOKUP('7.0.3'!X33,'7.0.3'!$AM$4:$AP$55,4,FALSE))</f>
        <v>0</v>
      </c>
      <c r="Q33" s="4">
        <f>(VLOOKUP('7.0.3'!Y33,'7.0.3'!$AM$4:$AP$55,4,FALSE))</f>
        <v>0</v>
      </c>
      <c r="R33" s="4">
        <f>(VLOOKUP('7.0.3'!Z33,'7.0.3'!$AM$4:$AP$55,4,FALSE))</f>
        <v>0</v>
      </c>
      <c r="S33" s="4">
        <f>(VLOOKUP('7.0.3'!AA33,'7.0.3'!$AM$4:$AP$55,4,FALSE))</f>
        <v>0</v>
      </c>
      <c r="T33" s="4">
        <f>(VLOOKUP('7.0.3'!AB33,'7.0.3'!$AM$4:$AP$55,4,FALSE))</f>
        <v>0</v>
      </c>
      <c r="U33" s="4">
        <f>(VLOOKUP('7.0.3'!AC33,'7.0.3'!$AM$4:$AP$55,4,FALSE))</f>
        <v>0</v>
      </c>
      <c r="V33" s="4">
        <f>(VLOOKUP('7.0.3'!AD33,'7.0.3'!$AM$4:$AP$55,4,FALSE))</f>
        <v>0</v>
      </c>
      <c r="W33" s="4">
        <f>(VLOOKUP('7.0.3'!AE33,'7.0.3'!$AM$4:$AP$55,4,FALSE))</f>
        <v>0</v>
      </c>
      <c r="X33" s="4">
        <f>(VLOOKUP('7.0.3'!AF33,'7.0.3'!$AM$4:$AP$55,4,FALSE))</f>
        <v>0</v>
      </c>
    </row>
    <row r="34" spans="1:24">
      <c r="A34" s="4">
        <f>(VLOOKUP('7.0.3'!I34,'7.0.3'!$AM$4:$AP$55,4,FALSE))</f>
        <v>0</v>
      </c>
      <c r="B34" s="4">
        <f>(VLOOKUP('7.0.3'!J34,'7.0.3'!$AM$4:$AP$55,4,FALSE))</f>
        <v>0</v>
      </c>
      <c r="C34" s="4">
        <f>(VLOOKUP('7.0.3'!K34,'7.0.3'!$AM$4:$AP$55,4,FALSE))</f>
        <v>0</v>
      </c>
      <c r="D34" s="4">
        <f>(VLOOKUP('7.0.3'!L34,'7.0.3'!$AM$4:$AP$55,4,FALSE))</f>
        <v>0</v>
      </c>
      <c r="E34" s="4">
        <f>(VLOOKUP('7.0.3'!M34,'7.0.3'!$AM$4:$AP$55,4,FALSE))</f>
        <v>0</v>
      </c>
      <c r="F34" s="4">
        <f>(VLOOKUP('7.0.3'!N34,'7.0.3'!$AM$4:$AP$55,4,FALSE))</f>
        <v>0</v>
      </c>
      <c r="G34" s="4">
        <f>(VLOOKUP('7.0.3'!O34,'7.0.3'!$AM$4:$AP$55,4,FALSE))</f>
        <v>0</v>
      </c>
      <c r="H34" s="4">
        <f>(VLOOKUP('7.0.3'!P34,'7.0.3'!$AM$4:$AP$55,4,FALSE))</f>
        <v>0</v>
      </c>
      <c r="I34" s="4">
        <f>(VLOOKUP('7.0.3'!Q34,'7.0.3'!$AM$4:$AP$55,4,FALSE))</f>
        <v>38</v>
      </c>
      <c r="J34" s="4">
        <f>(VLOOKUP('7.0.3'!R34,'7.0.3'!$AM$4:$AP$55,4,FALSE))</f>
        <v>38</v>
      </c>
      <c r="K34" s="4">
        <f>(VLOOKUP('7.0.3'!S34,'7.0.3'!$AM$4:$AP$55,4,FALSE))</f>
        <v>38</v>
      </c>
      <c r="L34" s="4">
        <f>(VLOOKUP('7.0.3'!T34,'7.0.3'!$AM$4:$AP$55,4,FALSE))</f>
        <v>38</v>
      </c>
      <c r="M34" s="4">
        <f>(VLOOKUP('7.0.3'!U34,'7.0.3'!$AM$4:$AP$55,4,FALSE))</f>
        <v>0</v>
      </c>
      <c r="N34" s="4">
        <f>(VLOOKUP('7.0.3'!V34,'7.0.3'!$AM$4:$AP$55,4,FALSE))</f>
        <v>0</v>
      </c>
      <c r="O34" s="4">
        <f>(VLOOKUP('7.0.3'!W34,'7.0.3'!$AM$4:$AP$55,4,FALSE))</f>
        <v>0</v>
      </c>
      <c r="P34" s="4">
        <f>(VLOOKUP('7.0.3'!X34,'7.0.3'!$AM$4:$AP$55,4,FALSE))</f>
        <v>0</v>
      </c>
      <c r="Q34" s="4">
        <f>(VLOOKUP('7.0.3'!Y34,'7.0.3'!$AM$4:$AP$55,4,FALSE))</f>
        <v>0</v>
      </c>
      <c r="R34" s="4">
        <f>(VLOOKUP('7.0.3'!Z34,'7.0.3'!$AM$4:$AP$55,4,FALSE))</f>
        <v>0</v>
      </c>
      <c r="S34" s="4">
        <f>(VLOOKUP('7.0.3'!AA34,'7.0.3'!$AM$4:$AP$55,4,FALSE))</f>
        <v>0</v>
      </c>
      <c r="T34" s="4">
        <f>(VLOOKUP('7.0.3'!AB34,'7.0.3'!$AM$4:$AP$55,4,FALSE))</f>
        <v>0</v>
      </c>
      <c r="U34" s="4">
        <f>(VLOOKUP('7.0.3'!AC34,'7.0.3'!$AM$4:$AP$55,4,FALSE))</f>
        <v>0</v>
      </c>
      <c r="V34" s="4">
        <f>(VLOOKUP('7.0.3'!AD34,'7.0.3'!$AM$4:$AP$55,4,FALSE))</f>
        <v>0</v>
      </c>
      <c r="W34" s="4">
        <f>(VLOOKUP('7.0.3'!AE34,'7.0.3'!$AM$4:$AP$55,4,FALSE))</f>
        <v>0</v>
      </c>
      <c r="X34" s="4">
        <f>(VLOOKUP('7.0.3'!AF34,'7.0.3'!$AM$4:$AP$55,4,FALSE))</f>
        <v>0</v>
      </c>
    </row>
    <row r="35" spans="1:24">
      <c r="A35" s="4">
        <f>(VLOOKUP('7.0.3'!I35,'7.0.3'!$AM$4:$AP$55,4,FALSE))</f>
        <v>0</v>
      </c>
      <c r="B35" s="4">
        <f>(VLOOKUP('7.0.3'!J35,'7.0.3'!$AM$4:$AP$55,4,FALSE))</f>
        <v>0</v>
      </c>
      <c r="C35" s="4">
        <f>(VLOOKUP('7.0.3'!K35,'7.0.3'!$AM$4:$AP$55,4,FALSE))</f>
        <v>0</v>
      </c>
      <c r="D35" s="4">
        <f>(VLOOKUP('7.0.3'!L35,'7.0.3'!$AM$4:$AP$55,4,FALSE))</f>
        <v>0</v>
      </c>
      <c r="E35" s="4">
        <f>(VLOOKUP('7.0.3'!M35,'7.0.3'!$AM$4:$AP$55,4,FALSE))</f>
        <v>0</v>
      </c>
      <c r="F35" s="4">
        <f>(VLOOKUP('7.0.3'!N35,'7.0.3'!$AM$4:$AP$55,4,FALSE))</f>
        <v>0</v>
      </c>
      <c r="G35" s="4">
        <f>(VLOOKUP('7.0.3'!O35,'7.0.3'!$AM$4:$AP$55,4,FALSE))</f>
        <v>0</v>
      </c>
      <c r="H35" s="4">
        <f>(VLOOKUP('7.0.3'!P35,'7.0.3'!$AM$4:$AP$55,4,FALSE))</f>
        <v>0</v>
      </c>
      <c r="I35" s="4">
        <f>(VLOOKUP('7.0.3'!Q35,'7.0.3'!$AM$4:$AP$55,4,FALSE))</f>
        <v>38</v>
      </c>
      <c r="J35" s="4">
        <f>(VLOOKUP('7.0.3'!R35,'7.0.3'!$AM$4:$AP$55,4,FALSE))</f>
        <v>38</v>
      </c>
      <c r="K35" s="4">
        <f>(VLOOKUP('7.0.3'!S35,'7.0.3'!$AM$4:$AP$55,4,FALSE))</f>
        <v>38</v>
      </c>
      <c r="L35" s="4">
        <f>(VLOOKUP('7.0.3'!T35,'7.0.3'!$AM$4:$AP$55,4,FALSE))</f>
        <v>38</v>
      </c>
      <c r="M35" s="4">
        <f>(VLOOKUP('7.0.3'!U35,'7.0.3'!$AM$4:$AP$55,4,FALSE))</f>
        <v>38</v>
      </c>
      <c r="N35" s="4">
        <f>(VLOOKUP('7.0.3'!V35,'7.0.3'!$AM$4:$AP$55,4,FALSE))</f>
        <v>38</v>
      </c>
      <c r="O35" s="4">
        <f>(VLOOKUP('7.0.3'!W35,'7.0.3'!$AM$4:$AP$55,4,FALSE))</f>
        <v>0</v>
      </c>
      <c r="P35" s="4">
        <f>(VLOOKUP('7.0.3'!X35,'7.0.3'!$AM$4:$AP$55,4,FALSE))</f>
        <v>0</v>
      </c>
      <c r="Q35" s="4">
        <f>(VLOOKUP('7.0.3'!Y35,'7.0.3'!$AM$4:$AP$55,4,FALSE))</f>
        <v>0</v>
      </c>
      <c r="R35" s="4">
        <f>(VLOOKUP('7.0.3'!Z35,'7.0.3'!$AM$4:$AP$55,4,FALSE))</f>
        <v>0</v>
      </c>
      <c r="S35" s="4">
        <f>(VLOOKUP('7.0.3'!AA35,'7.0.3'!$AM$4:$AP$55,4,FALSE))</f>
        <v>0</v>
      </c>
      <c r="T35" s="4">
        <f>(VLOOKUP('7.0.3'!AB35,'7.0.3'!$AM$4:$AP$55,4,FALSE))</f>
        <v>0</v>
      </c>
      <c r="U35" s="4">
        <f>(VLOOKUP('7.0.3'!AC35,'7.0.3'!$AM$4:$AP$55,4,FALSE))</f>
        <v>0</v>
      </c>
      <c r="V35" s="4">
        <f>(VLOOKUP('7.0.3'!AD35,'7.0.3'!$AM$4:$AP$55,4,FALSE))</f>
        <v>0</v>
      </c>
      <c r="W35" s="4">
        <f>(VLOOKUP('7.0.3'!AE35,'7.0.3'!$AM$4:$AP$55,4,FALSE))</f>
        <v>0</v>
      </c>
      <c r="X35" s="4">
        <f>(VLOOKUP('7.0.3'!AF35,'7.0.3'!$AM$4:$AP$55,4,FALSE))</f>
        <v>0</v>
      </c>
    </row>
    <row r="36" spans="1:24">
      <c r="A36" s="4">
        <f>(VLOOKUP('7.0.3'!I36,'7.0.3'!$AM$4:$AP$55,4,FALSE))</f>
        <v>0</v>
      </c>
      <c r="B36" s="4">
        <f>(VLOOKUP('7.0.3'!J36,'7.0.3'!$AM$4:$AP$55,4,FALSE))</f>
        <v>0</v>
      </c>
      <c r="C36" s="4">
        <f>(VLOOKUP('7.0.3'!K36,'7.0.3'!$AM$4:$AP$55,4,FALSE))</f>
        <v>0</v>
      </c>
      <c r="D36" s="4">
        <f>(VLOOKUP('7.0.3'!L36,'7.0.3'!$AM$4:$AP$55,4,FALSE))</f>
        <v>0</v>
      </c>
      <c r="E36" s="4">
        <f>(VLOOKUP('7.0.3'!M36,'7.0.3'!$AM$4:$AP$55,4,FALSE))</f>
        <v>0</v>
      </c>
      <c r="F36" s="4">
        <f>(VLOOKUP('7.0.3'!N36,'7.0.3'!$AM$4:$AP$55,4,FALSE))</f>
        <v>0</v>
      </c>
      <c r="G36" s="4">
        <f>(VLOOKUP('7.0.3'!O36,'7.0.3'!$AM$4:$AP$55,4,FALSE))</f>
        <v>0</v>
      </c>
      <c r="H36" s="4">
        <f>(VLOOKUP('7.0.3'!P36,'7.0.3'!$AM$4:$AP$55,4,FALSE))</f>
        <v>0</v>
      </c>
      <c r="I36" s="4">
        <f>(VLOOKUP('7.0.3'!Q36,'7.0.3'!$AM$4:$AP$55,4,FALSE))</f>
        <v>38</v>
      </c>
      <c r="J36" s="4">
        <f>(VLOOKUP('7.0.3'!R36,'7.0.3'!$AM$4:$AP$55,4,FALSE))</f>
        <v>38</v>
      </c>
      <c r="K36" s="4">
        <f>(VLOOKUP('7.0.3'!S36,'7.0.3'!$AM$4:$AP$55,4,FALSE))</f>
        <v>38</v>
      </c>
      <c r="L36" s="4">
        <f>(VLOOKUP('7.0.3'!T36,'7.0.3'!$AM$4:$AP$55,4,FALSE))</f>
        <v>38</v>
      </c>
      <c r="M36" s="4">
        <f>(VLOOKUP('7.0.3'!U36,'7.0.3'!$AM$4:$AP$55,4,FALSE))</f>
        <v>38</v>
      </c>
      <c r="N36" s="4">
        <f>(VLOOKUP('7.0.3'!V36,'7.0.3'!$AM$4:$AP$55,4,FALSE))</f>
        <v>0</v>
      </c>
      <c r="O36" s="4">
        <f>(VLOOKUP('7.0.3'!W36,'7.0.3'!$AM$4:$AP$55,4,FALSE))</f>
        <v>38</v>
      </c>
      <c r="P36" s="4">
        <f>(VLOOKUP('7.0.3'!X36,'7.0.3'!$AM$4:$AP$55,4,FALSE))</f>
        <v>0</v>
      </c>
      <c r="Q36" s="4">
        <f>(VLOOKUP('7.0.3'!Y36,'7.0.3'!$AM$4:$AP$55,4,FALSE))</f>
        <v>0</v>
      </c>
      <c r="R36" s="4">
        <f>(VLOOKUP('7.0.3'!Z36,'7.0.3'!$AM$4:$AP$55,4,FALSE))</f>
        <v>0</v>
      </c>
      <c r="S36" s="4">
        <f>(VLOOKUP('7.0.3'!AA36,'7.0.3'!$AM$4:$AP$55,4,FALSE))</f>
        <v>0</v>
      </c>
      <c r="T36" s="4">
        <f>(VLOOKUP('7.0.3'!AB36,'7.0.3'!$AM$4:$AP$55,4,FALSE))</f>
        <v>0</v>
      </c>
      <c r="U36" s="4">
        <f>(VLOOKUP('7.0.3'!AC36,'7.0.3'!$AM$4:$AP$55,4,FALSE))</f>
        <v>0</v>
      </c>
      <c r="V36" s="4">
        <f>(VLOOKUP('7.0.3'!AD36,'7.0.3'!$AM$4:$AP$55,4,FALSE))</f>
        <v>0</v>
      </c>
      <c r="W36" s="4">
        <f>(VLOOKUP('7.0.3'!AE36,'7.0.3'!$AM$4:$AP$55,4,FALSE))</f>
        <v>0</v>
      </c>
      <c r="X36" s="4">
        <f>(VLOOKUP('7.0.3'!AF36,'7.0.3'!$AM$4:$AP$55,4,FALSE))</f>
        <v>0</v>
      </c>
    </row>
    <row r="37" spans="1:24">
      <c r="A37" s="4">
        <f>(VLOOKUP('7.0.3'!I37,'7.0.3'!$AM$4:$AP$55,4,FALSE))</f>
        <v>0</v>
      </c>
      <c r="B37" s="4">
        <f>(VLOOKUP('7.0.3'!J37,'7.0.3'!$AM$4:$AP$55,4,FALSE))</f>
        <v>0</v>
      </c>
      <c r="C37" s="4">
        <f>(VLOOKUP('7.0.3'!K37,'7.0.3'!$AM$4:$AP$55,4,FALSE))</f>
        <v>0</v>
      </c>
      <c r="D37" s="4">
        <f>(VLOOKUP('7.0.3'!L37,'7.0.3'!$AM$4:$AP$55,4,FALSE))</f>
        <v>0</v>
      </c>
      <c r="E37" s="4">
        <f>(VLOOKUP('7.0.3'!M37,'7.0.3'!$AM$4:$AP$55,4,FALSE))</f>
        <v>0</v>
      </c>
      <c r="F37" s="4">
        <f>(VLOOKUP('7.0.3'!N37,'7.0.3'!$AM$4:$AP$55,4,FALSE))</f>
        <v>0</v>
      </c>
      <c r="G37" s="4">
        <f>(VLOOKUP('7.0.3'!O37,'7.0.3'!$AM$4:$AP$55,4,FALSE))</f>
        <v>0</v>
      </c>
      <c r="H37" s="4">
        <f>(VLOOKUP('7.0.3'!P37,'7.0.3'!$AM$4:$AP$55,4,FALSE))</f>
        <v>0</v>
      </c>
      <c r="I37" s="4">
        <f>(VLOOKUP('7.0.3'!Q37,'7.0.3'!$AM$4:$AP$55,4,FALSE))</f>
        <v>38</v>
      </c>
      <c r="J37" s="4">
        <f>(VLOOKUP('7.0.3'!R37,'7.0.3'!$AM$4:$AP$55,4,FALSE))</f>
        <v>38</v>
      </c>
      <c r="K37" s="4">
        <f>(VLOOKUP('7.0.3'!S37,'7.0.3'!$AM$4:$AP$55,4,FALSE))</f>
        <v>38</v>
      </c>
      <c r="L37" s="4">
        <f>(VLOOKUP('7.0.3'!T37,'7.0.3'!$AM$4:$AP$55,4,FALSE))</f>
        <v>38</v>
      </c>
      <c r="M37" s="4">
        <f>(VLOOKUP('7.0.3'!U37,'7.0.3'!$AM$4:$AP$55,4,FALSE))</f>
        <v>38</v>
      </c>
      <c r="N37" s="4">
        <f>(VLOOKUP('7.0.3'!V37,'7.0.3'!$AM$4:$AP$55,4,FALSE))</f>
        <v>38</v>
      </c>
      <c r="O37" s="4">
        <f>(VLOOKUP('7.0.3'!W37,'7.0.3'!$AM$4:$AP$55,4,FALSE))</f>
        <v>0</v>
      </c>
      <c r="P37" s="4">
        <f>(VLOOKUP('7.0.3'!X37,'7.0.3'!$AM$4:$AP$55,4,FALSE))</f>
        <v>0</v>
      </c>
      <c r="Q37" s="4">
        <f>(VLOOKUP('7.0.3'!Y37,'7.0.3'!$AM$4:$AP$55,4,FALSE))</f>
        <v>0</v>
      </c>
      <c r="R37" s="4">
        <f>(VLOOKUP('7.0.3'!Z37,'7.0.3'!$AM$4:$AP$55,4,FALSE))</f>
        <v>0</v>
      </c>
      <c r="S37" s="4">
        <f>(VLOOKUP('7.0.3'!AA37,'7.0.3'!$AM$4:$AP$55,4,FALSE))</f>
        <v>0</v>
      </c>
      <c r="T37" s="4">
        <f>(VLOOKUP('7.0.3'!AB37,'7.0.3'!$AM$4:$AP$55,4,FALSE))</f>
        <v>0</v>
      </c>
      <c r="U37" s="4">
        <f>(VLOOKUP('7.0.3'!AC37,'7.0.3'!$AM$4:$AP$55,4,FALSE))</f>
        <v>0</v>
      </c>
      <c r="V37" s="4">
        <f>(VLOOKUP('7.0.3'!AD37,'7.0.3'!$AM$4:$AP$55,4,FALSE))</f>
        <v>0</v>
      </c>
      <c r="W37" s="4">
        <f>(VLOOKUP('7.0.3'!AE37,'7.0.3'!$AM$4:$AP$55,4,FALSE))</f>
        <v>0</v>
      </c>
      <c r="X37" s="4">
        <f>(VLOOKUP('7.0.3'!AF37,'7.0.3'!$AM$4:$AP$55,4,FALSE))</f>
        <v>0</v>
      </c>
    </row>
    <row r="38" spans="1:24">
      <c r="A38" s="4">
        <f>(VLOOKUP('7.0.3'!I38,'7.0.3'!$AM$4:$AP$55,4,FALSE))</f>
        <v>0</v>
      </c>
      <c r="B38" s="4">
        <f>(VLOOKUP('7.0.3'!J38,'7.0.3'!$AM$4:$AP$55,4,FALSE))</f>
        <v>0</v>
      </c>
      <c r="C38" s="4">
        <f>(VLOOKUP('7.0.3'!K38,'7.0.3'!$AM$4:$AP$55,4,FALSE))</f>
        <v>0</v>
      </c>
      <c r="D38" s="4">
        <f>(VLOOKUP('7.0.3'!L38,'7.0.3'!$AM$4:$AP$55,4,FALSE))</f>
        <v>0</v>
      </c>
      <c r="E38" s="4">
        <f>(VLOOKUP('7.0.3'!M38,'7.0.3'!$AM$4:$AP$55,4,FALSE))</f>
        <v>0</v>
      </c>
      <c r="F38" s="4">
        <f>(VLOOKUP('7.0.3'!N38,'7.0.3'!$AM$4:$AP$55,4,FALSE))</f>
        <v>0</v>
      </c>
      <c r="G38" s="4">
        <f>(VLOOKUP('7.0.3'!O38,'7.0.3'!$AM$4:$AP$55,4,FALSE))</f>
        <v>0</v>
      </c>
      <c r="H38" s="4">
        <f>(VLOOKUP('7.0.3'!P38,'7.0.3'!$AM$4:$AP$55,4,FALSE))</f>
        <v>0</v>
      </c>
      <c r="I38" s="4">
        <f>(VLOOKUP('7.0.3'!Q38,'7.0.3'!$AM$4:$AP$55,4,FALSE))</f>
        <v>38</v>
      </c>
      <c r="J38" s="4">
        <f>(VLOOKUP('7.0.3'!R38,'7.0.3'!$AM$4:$AP$55,4,FALSE))</f>
        <v>38</v>
      </c>
      <c r="K38" s="4">
        <f>(VLOOKUP('7.0.3'!S38,'7.0.3'!$AM$4:$AP$55,4,FALSE))</f>
        <v>38</v>
      </c>
      <c r="L38" s="4">
        <f>(VLOOKUP('7.0.3'!T38,'7.0.3'!$AM$4:$AP$55,4,FALSE))</f>
        <v>38</v>
      </c>
      <c r="M38" s="4">
        <f>(VLOOKUP('7.0.3'!U38,'7.0.3'!$AM$4:$AP$55,4,FALSE))</f>
        <v>38</v>
      </c>
      <c r="N38" s="4">
        <f>(VLOOKUP('7.0.3'!V38,'7.0.3'!$AM$4:$AP$55,4,FALSE))</f>
        <v>38</v>
      </c>
      <c r="O38" s="4">
        <f>(VLOOKUP('7.0.3'!W38,'7.0.3'!$AM$4:$AP$55,4,FALSE))</f>
        <v>0</v>
      </c>
      <c r="P38" s="4">
        <f>(VLOOKUP('7.0.3'!X38,'7.0.3'!$AM$4:$AP$55,4,FALSE))</f>
        <v>0</v>
      </c>
      <c r="Q38" s="4">
        <f>(VLOOKUP('7.0.3'!Y38,'7.0.3'!$AM$4:$AP$55,4,FALSE))</f>
        <v>0</v>
      </c>
      <c r="R38" s="4">
        <f>(VLOOKUP('7.0.3'!Z38,'7.0.3'!$AM$4:$AP$55,4,FALSE))</f>
        <v>0</v>
      </c>
      <c r="S38" s="4">
        <f>(VLOOKUP('7.0.3'!AA38,'7.0.3'!$AM$4:$AP$55,4,FALSE))</f>
        <v>0</v>
      </c>
      <c r="T38" s="4">
        <f>(VLOOKUP('7.0.3'!AB38,'7.0.3'!$AM$4:$AP$55,4,FALSE))</f>
        <v>0</v>
      </c>
      <c r="U38" s="4">
        <f>(VLOOKUP('7.0.3'!AC38,'7.0.3'!$AM$4:$AP$55,4,FALSE))</f>
        <v>0</v>
      </c>
      <c r="V38" s="4">
        <f>(VLOOKUP('7.0.3'!AD38,'7.0.3'!$AM$4:$AP$55,4,FALSE))</f>
        <v>0</v>
      </c>
      <c r="W38" s="4">
        <f>(VLOOKUP('7.0.3'!AE38,'7.0.3'!$AM$4:$AP$55,4,FALSE))</f>
        <v>0</v>
      </c>
      <c r="X38" s="4">
        <f>(VLOOKUP('7.0.3'!AF38,'7.0.3'!$AM$4:$AP$55,4,FALSE))</f>
        <v>0</v>
      </c>
    </row>
    <row r="39" spans="1:24">
      <c r="A39" s="4">
        <f>(VLOOKUP('7.0.3'!I39,'7.0.3'!$AM$4:$AP$55,4,FALSE))</f>
        <v>0</v>
      </c>
      <c r="B39" s="4">
        <f>(VLOOKUP('7.0.3'!J39,'7.0.3'!$AM$4:$AP$55,4,FALSE))</f>
        <v>0</v>
      </c>
      <c r="C39" s="4">
        <f>(VLOOKUP('7.0.3'!K39,'7.0.3'!$AM$4:$AP$55,4,FALSE))</f>
        <v>0</v>
      </c>
      <c r="D39" s="4">
        <f>(VLOOKUP('7.0.3'!L39,'7.0.3'!$AM$4:$AP$55,4,FALSE))</f>
        <v>0</v>
      </c>
      <c r="E39" s="4">
        <f>(VLOOKUP('7.0.3'!M39,'7.0.3'!$AM$4:$AP$55,4,FALSE))</f>
        <v>0</v>
      </c>
      <c r="F39" s="4">
        <f>(VLOOKUP('7.0.3'!N39,'7.0.3'!$AM$4:$AP$55,4,FALSE))</f>
        <v>0</v>
      </c>
      <c r="G39" s="4">
        <f>(VLOOKUP('7.0.3'!O39,'7.0.3'!$AM$4:$AP$55,4,FALSE))</f>
        <v>0</v>
      </c>
      <c r="H39" s="4">
        <f>(VLOOKUP('7.0.3'!P39,'7.0.3'!$AM$4:$AP$55,4,FALSE))</f>
        <v>0</v>
      </c>
      <c r="I39" s="4">
        <f>(VLOOKUP('7.0.3'!Q39,'7.0.3'!$AM$4:$AP$55,4,FALSE))</f>
        <v>38</v>
      </c>
      <c r="J39" s="4">
        <f>(VLOOKUP('7.0.3'!R39,'7.0.3'!$AM$4:$AP$55,4,FALSE))</f>
        <v>38</v>
      </c>
      <c r="K39" s="4">
        <f>(VLOOKUP('7.0.3'!S39,'7.0.3'!$AM$4:$AP$55,4,FALSE))</f>
        <v>38</v>
      </c>
      <c r="L39" s="4">
        <f>(VLOOKUP('7.0.3'!T39,'7.0.3'!$AM$4:$AP$55,4,FALSE))</f>
        <v>38</v>
      </c>
      <c r="M39" s="4">
        <f>(VLOOKUP('7.0.3'!U39,'7.0.3'!$AM$4:$AP$55,4,FALSE))</f>
        <v>38</v>
      </c>
      <c r="N39" s="4">
        <f>(VLOOKUP('7.0.3'!V39,'7.0.3'!$AM$4:$AP$55,4,FALSE))</f>
        <v>0</v>
      </c>
      <c r="O39" s="4">
        <f>(VLOOKUP('7.0.3'!W39,'7.0.3'!$AM$4:$AP$55,4,FALSE))</f>
        <v>0</v>
      </c>
      <c r="P39" s="4">
        <f>(VLOOKUP('7.0.3'!X39,'7.0.3'!$AM$4:$AP$55,4,FALSE))</f>
        <v>0</v>
      </c>
      <c r="Q39" s="4">
        <f>(VLOOKUP('7.0.3'!Y39,'7.0.3'!$AM$4:$AP$55,4,FALSE))</f>
        <v>0</v>
      </c>
      <c r="R39" s="4">
        <f>(VLOOKUP('7.0.3'!Z39,'7.0.3'!$AM$4:$AP$55,4,FALSE))</f>
        <v>0</v>
      </c>
      <c r="S39" s="4">
        <f>(VLOOKUP('7.0.3'!AA39,'7.0.3'!$AM$4:$AP$55,4,FALSE))</f>
        <v>0</v>
      </c>
      <c r="T39" s="4">
        <f>(VLOOKUP('7.0.3'!AB39,'7.0.3'!$AM$4:$AP$55,4,FALSE))</f>
        <v>0</v>
      </c>
      <c r="U39" s="4">
        <f>(VLOOKUP('7.0.3'!AC39,'7.0.3'!$AM$4:$AP$55,4,FALSE))</f>
        <v>0</v>
      </c>
      <c r="V39" s="4">
        <f>(VLOOKUP('7.0.3'!AD39,'7.0.3'!$AM$4:$AP$55,4,FALSE))</f>
        <v>0</v>
      </c>
      <c r="W39" s="4">
        <f>(VLOOKUP('7.0.3'!AE39,'7.0.3'!$AM$4:$AP$55,4,FALSE))</f>
        <v>0</v>
      </c>
      <c r="X39" s="4">
        <f>(VLOOKUP('7.0.3'!AF39,'7.0.3'!$AM$4:$AP$55,4,FALSE))</f>
        <v>0</v>
      </c>
    </row>
    <row r="40" spans="1:24">
      <c r="A40" s="4">
        <f>(VLOOKUP('7.0.3'!I40,'7.0.3'!$AM$4:$AP$55,4,FALSE))</f>
        <v>0</v>
      </c>
      <c r="B40" s="4">
        <f>(VLOOKUP('7.0.3'!J40,'7.0.3'!$AM$4:$AP$55,4,FALSE))</f>
        <v>0</v>
      </c>
      <c r="C40" s="4">
        <f>(VLOOKUP('7.0.3'!K40,'7.0.3'!$AM$4:$AP$55,4,FALSE))</f>
        <v>0</v>
      </c>
      <c r="D40" s="4">
        <f>(VLOOKUP('7.0.3'!L40,'7.0.3'!$AM$4:$AP$55,4,FALSE))</f>
        <v>0</v>
      </c>
      <c r="E40" s="4">
        <f>(VLOOKUP('7.0.3'!M40,'7.0.3'!$AM$4:$AP$55,4,FALSE))</f>
        <v>0</v>
      </c>
      <c r="F40" s="4">
        <f>(VLOOKUP('7.0.3'!N40,'7.0.3'!$AM$4:$AP$55,4,FALSE))</f>
        <v>38</v>
      </c>
      <c r="G40" s="4">
        <f>(VLOOKUP('7.0.3'!O40,'7.0.3'!$AM$4:$AP$55,4,FALSE))</f>
        <v>0</v>
      </c>
      <c r="H40" s="4">
        <f>(VLOOKUP('7.0.3'!P40,'7.0.3'!$AM$4:$AP$55,4,FALSE))</f>
        <v>0</v>
      </c>
      <c r="I40" s="4">
        <f>(VLOOKUP('7.0.3'!Q40,'7.0.3'!$AM$4:$AP$55,4,FALSE))</f>
        <v>38</v>
      </c>
      <c r="J40" s="4">
        <f>(VLOOKUP('7.0.3'!R40,'7.0.3'!$AM$4:$AP$55,4,FALSE))</f>
        <v>38</v>
      </c>
      <c r="K40" s="4">
        <f>(VLOOKUP('7.0.3'!S40,'7.0.3'!$AM$4:$AP$55,4,FALSE))</f>
        <v>38</v>
      </c>
      <c r="L40" s="4">
        <f>(VLOOKUP('7.0.3'!T40,'7.0.3'!$AM$4:$AP$55,4,FALSE))</f>
        <v>38</v>
      </c>
      <c r="M40" s="4">
        <f>(VLOOKUP('7.0.3'!U40,'7.0.3'!$AM$4:$AP$55,4,FALSE))</f>
        <v>38</v>
      </c>
      <c r="N40" s="4">
        <f>(VLOOKUP('7.0.3'!V40,'7.0.3'!$AM$4:$AP$55,4,FALSE))</f>
        <v>38</v>
      </c>
      <c r="O40" s="4">
        <f>(VLOOKUP('7.0.3'!W40,'7.0.3'!$AM$4:$AP$55,4,FALSE))</f>
        <v>0</v>
      </c>
      <c r="P40" s="4">
        <f>(VLOOKUP('7.0.3'!X40,'7.0.3'!$AM$4:$AP$55,4,FALSE))</f>
        <v>0</v>
      </c>
      <c r="Q40" s="4">
        <f>(VLOOKUP('7.0.3'!Y40,'7.0.3'!$AM$4:$AP$55,4,FALSE))</f>
        <v>0</v>
      </c>
      <c r="R40" s="4">
        <f>(VLOOKUP('7.0.3'!Z40,'7.0.3'!$AM$4:$AP$55,4,FALSE))</f>
        <v>0</v>
      </c>
      <c r="S40" s="4">
        <f>(VLOOKUP('7.0.3'!AA40,'7.0.3'!$AM$4:$AP$55,4,FALSE))</f>
        <v>0</v>
      </c>
      <c r="T40" s="4">
        <f>(VLOOKUP('7.0.3'!AB40,'7.0.3'!$AM$4:$AP$55,4,FALSE))</f>
        <v>0</v>
      </c>
      <c r="U40" s="4">
        <f>(VLOOKUP('7.0.3'!AC40,'7.0.3'!$AM$4:$AP$55,4,FALSE))</f>
        <v>0</v>
      </c>
      <c r="V40" s="4">
        <f>(VLOOKUP('7.0.3'!AD40,'7.0.3'!$AM$4:$AP$55,4,FALSE))</f>
        <v>0</v>
      </c>
      <c r="W40" s="4">
        <f>(VLOOKUP('7.0.3'!AE40,'7.0.3'!$AM$4:$AP$55,4,FALSE))</f>
        <v>0</v>
      </c>
      <c r="X40" s="4">
        <f>(VLOOKUP('7.0.3'!AF40,'7.0.3'!$AM$4:$AP$55,4,FALSE))</f>
        <v>0</v>
      </c>
    </row>
    <row r="41" spans="1:24">
      <c r="A41" s="4">
        <f>(VLOOKUP('7.0.3'!I41,'7.0.3'!$AM$4:$AP$55,4,FALSE))</f>
        <v>38</v>
      </c>
      <c r="B41" s="4">
        <f>(VLOOKUP('7.0.3'!J41,'7.0.3'!$AM$4:$AP$55,4,FALSE))</f>
        <v>38</v>
      </c>
      <c r="C41" s="4">
        <f>(VLOOKUP('7.0.3'!K41,'7.0.3'!$AM$4:$AP$55,4,FALSE))</f>
        <v>38</v>
      </c>
      <c r="D41" s="4">
        <f>(VLOOKUP('7.0.3'!L41,'7.0.3'!$AM$4:$AP$55,4,FALSE))</f>
        <v>38</v>
      </c>
      <c r="E41" s="4">
        <f>(VLOOKUP('7.0.3'!M41,'7.0.3'!$AM$4:$AP$55,4,FALSE))</f>
        <v>38</v>
      </c>
      <c r="F41" s="4">
        <f>(VLOOKUP('7.0.3'!N41,'7.0.3'!$AM$4:$AP$55,4,FALSE))</f>
        <v>0</v>
      </c>
      <c r="G41" s="4">
        <f>(VLOOKUP('7.0.3'!O41,'7.0.3'!$AM$4:$AP$55,4,FALSE))</f>
        <v>0</v>
      </c>
      <c r="H41" s="4">
        <f>(VLOOKUP('7.0.3'!P41,'7.0.3'!$AM$4:$AP$55,4,FALSE))</f>
        <v>0</v>
      </c>
      <c r="I41" s="4">
        <f>(VLOOKUP('7.0.3'!Q41,'7.0.3'!$AM$4:$AP$55,4,FALSE))</f>
        <v>38</v>
      </c>
      <c r="J41" s="4">
        <f>(VLOOKUP('7.0.3'!R41,'7.0.3'!$AM$4:$AP$55,4,FALSE))</f>
        <v>38</v>
      </c>
      <c r="K41" s="4">
        <f>(VLOOKUP('7.0.3'!S41,'7.0.3'!$AM$4:$AP$55,4,FALSE))</f>
        <v>38</v>
      </c>
      <c r="L41" s="4">
        <f>(VLOOKUP('7.0.3'!T41,'7.0.3'!$AM$4:$AP$55,4,FALSE))</f>
        <v>38</v>
      </c>
      <c r="M41" s="4">
        <f>(VLOOKUP('7.0.3'!U41,'7.0.3'!$AM$4:$AP$55,4,FALSE))</f>
        <v>38</v>
      </c>
      <c r="N41" s="4">
        <f>(VLOOKUP('7.0.3'!V41,'7.0.3'!$AM$4:$AP$55,4,FALSE))</f>
        <v>38</v>
      </c>
      <c r="O41" s="4">
        <f>(VLOOKUP('7.0.3'!W41,'7.0.3'!$AM$4:$AP$55,4,FALSE))</f>
        <v>0</v>
      </c>
      <c r="P41" s="4">
        <f>(VLOOKUP('7.0.3'!X41,'7.0.3'!$AM$4:$AP$55,4,FALSE))</f>
        <v>0</v>
      </c>
      <c r="Q41" s="4">
        <f>(VLOOKUP('7.0.3'!Y41,'7.0.3'!$AM$4:$AP$55,4,FALSE))</f>
        <v>0</v>
      </c>
      <c r="R41" s="4">
        <f>(VLOOKUP('7.0.3'!Z41,'7.0.3'!$AM$4:$AP$55,4,FALSE))</f>
        <v>0</v>
      </c>
      <c r="S41" s="4">
        <f>(VLOOKUP('7.0.3'!AA41,'7.0.3'!$AM$4:$AP$55,4,FALSE))</f>
        <v>0</v>
      </c>
      <c r="T41" s="4">
        <f>(VLOOKUP('7.0.3'!AB41,'7.0.3'!$AM$4:$AP$55,4,FALSE))</f>
        <v>0</v>
      </c>
      <c r="U41" s="4">
        <f>(VLOOKUP('7.0.3'!AC41,'7.0.3'!$AM$4:$AP$55,4,FALSE))</f>
        <v>0</v>
      </c>
      <c r="V41" s="4">
        <f>(VLOOKUP('7.0.3'!AD41,'7.0.3'!$AM$4:$AP$55,4,FALSE))</f>
        <v>0</v>
      </c>
      <c r="W41" s="4">
        <f>(VLOOKUP('7.0.3'!AE41,'7.0.3'!$AM$4:$AP$55,4,FALSE))</f>
        <v>0</v>
      </c>
      <c r="X41" s="4">
        <f>(VLOOKUP('7.0.3'!AF41,'7.0.3'!$AM$4:$AP$55,4,FALSE))</f>
        <v>0</v>
      </c>
    </row>
    <row r="42" spans="1:24">
      <c r="A42" s="4">
        <f>(VLOOKUP('7.0.3'!I42,'7.0.3'!$AM$4:$AP$55,4,FALSE))</f>
        <v>38</v>
      </c>
      <c r="B42" s="4">
        <f>(VLOOKUP('7.0.3'!J42,'7.0.3'!$AM$4:$AP$55,4,FALSE))</f>
        <v>38</v>
      </c>
      <c r="C42" s="4">
        <f>(VLOOKUP('7.0.3'!K42,'7.0.3'!$AM$4:$AP$55,4,FALSE))</f>
        <v>38</v>
      </c>
      <c r="D42" s="4">
        <f>(VLOOKUP('7.0.3'!L42,'7.0.3'!$AM$4:$AP$55,4,FALSE))</f>
        <v>38</v>
      </c>
      <c r="E42" s="4">
        <f>(VLOOKUP('7.0.3'!M42,'7.0.3'!$AM$4:$AP$55,4,FALSE))</f>
        <v>38</v>
      </c>
      <c r="F42" s="4">
        <f>(VLOOKUP('7.0.3'!N42,'7.0.3'!$AM$4:$AP$55,4,FALSE))</f>
        <v>10</v>
      </c>
      <c r="G42" s="4">
        <f>(VLOOKUP('7.0.3'!O42,'7.0.3'!$AM$4:$AP$55,4,FALSE))</f>
        <v>0</v>
      </c>
      <c r="H42" s="4">
        <f>(VLOOKUP('7.0.3'!P42,'7.0.3'!$AM$4:$AP$55,4,FALSE))</f>
        <v>0</v>
      </c>
      <c r="I42" s="4">
        <f>(VLOOKUP('7.0.3'!Q42,'7.0.3'!$AM$4:$AP$55,4,FALSE))</f>
        <v>10</v>
      </c>
      <c r="J42" s="4">
        <f>(VLOOKUP('7.0.3'!R42,'7.0.3'!$AM$4:$AP$55,4,FALSE))</f>
        <v>38</v>
      </c>
      <c r="K42" s="4">
        <f>(VLOOKUP('7.0.3'!S42,'7.0.3'!$AM$4:$AP$55,4,FALSE))</f>
        <v>38</v>
      </c>
      <c r="L42" s="4">
        <f>(VLOOKUP('7.0.3'!T42,'7.0.3'!$AM$4:$AP$55,4,FALSE))</f>
        <v>38</v>
      </c>
      <c r="M42" s="4">
        <f>(VLOOKUP('7.0.3'!U42,'7.0.3'!$AM$4:$AP$55,4,FALSE))</f>
        <v>38</v>
      </c>
      <c r="N42" s="4">
        <f>(VLOOKUP('7.0.3'!V42,'7.0.3'!$AM$4:$AP$55,4,FALSE))</f>
        <v>38</v>
      </c>
      <c r="O42" s="4">
        <f>(VLOOKUP('7.0.3'!W42,'7.0.3'!$AM$4:$AP$55,4,FALSE))</f>
        <v>0</v>
      </c>
      <c r="P42" s="4">
        <f>(VLOOKUP('7.0.3'!X42,'7.0.3'!$AM$4:$AP$55,4,FALSE))</f>
        <v>0</v>
      </c>
      <c r="Q42" s="4">
        <f>(VLOOKUP('7.0.3'!Y42,'7.0.3'!$AM$4:$AP$55,4,FALSE))</f>
        <v>0</v>
      </c>
      <c r="R42" s="4">
        <f>(VLOOKUP('7.0.3'!Z42,'7.0.3'!$AM$4:$AP$55,4,FALSE))</f>
        <v>0</v>
      </c>
      <c r="S42" s="4">
        <f>(VLOOKUP('7.0.3'!AA42,'7.0.3'!$AM$4:$AP$55,4,FALSE))</f>
        <v>0</v>
      </c>
      <c r="T42" s="4">
        <f>(VLOOKUP('7.0.3'!AB42,'7.0.3'!$AM$4:$AP$55,4,FALSE))</f>
        <v>0</v>
      </c>
      <c r="U42" s="4">
        <f>(VLOOKUP('7.0.3'!AC42,'7.0.3'!$AM$4:$AP$55,4,FALSE))</f>
        <v>0</v>
      </c>
      <c r="V42" s="4">
        <f>(VLOOKUP('7.0.3'!AD42,'7.0.3'!$AM$4:$AP$55,4,FALSE))</f>
        <v>0</v>
      </c>
      <c r="W42" s="4">
        <f>(VLOOKUP('7.0.3'!AE42,'7.0.3'!$AM$4:$AP$55,4,FALSE))</f>
        <v>0</v>
      </c>
      <c r="X42" s="4">
        <f>(VLOOKUP('7.0.3'!AF42,'7.0.3'!$AM$4:$AP$55,4,FALSE))</f>
        <v>0</v>
      </c>
    </row>
    <row r="43" spans="1:24">
      <c r="A43" s="4">
        <f>(VLOOKUP('7.0.3'!I43,'7.0.3'!$AM$4:$AP$55,4,FALSE))</f>
        <v>38</v>
      </c>
      <c r="B43" s="4">
        <f>(VLOOKUP('7.0.3'!J43,'7.0.3'!$AM$4:$AP$55,4,FALSE))</f>
        <v>38</v>
      </c>
      <c r="C43" s="4">
        <f>(VLOOKUP('7.0.3'!K43,'7.0.3'!$AM$4:$AP$55,4,FALSE))</f>
        <v>38</v>
      </c>
      <c r="D43" s="4">
        <f>(VLOOKUP('7.0.3'!L43,'7.0.3'!$AM$4:$AP$55,4,FALSE))</f>
        <v>38</v>
      </c>
      <c r="E43" s="4">
        <f>(VLOOKUP('7.0.3'!M43,'7.0.3'!$AM$4:$AP$55,4,FALSE))</f>
        <v>0</v>
      </c>
      <c r="F43" s="4">
        <f>(VLOOKUP('7.0.3'!N43,'7.0.3'!$AM$4:$AP$55,4,FALSE))</f>
        <v>0</v>
      </c>
      <c r="G43" s="4">
        <f>(VLOOKUP('7.0.3'!O43,'7.0.3'!$AM$4:$AP$55,4,FALSE))</f>
        <v>0</v>
      </c>
      <c r="H43" s="4">
        <f>(VLOOKUP('7.0.3'!P43,'7.0.3'!$AM$4:$AP$55,4,FALSE))</f>
        <v>0</v>
      </c>
      <c r="I43" s="4">
        <f>(VLOOKUP('7.0.3'!Q43,'7.0.3'!$AM$4:$AP$55,4,FALSE))</f>
        <v>38</v>
      </c>
      <c r="J43" s="4">
        <f>(VLOOKUP('7.0.3'!R43,'7.0.3'!$AM$4:$AP$55,4,FALSE))</f>
        <v>38</v>
      </c>
      <c r="K43" s="4">
        <f>(VLOOKUP('7.0.3'!S43,'7.0.3'!$AM$4:$AP$55,4,FALSE))</f>
        <v>38</v>
      </c>
      <c r="L43" s="4">
        <f>(VLOOKUP('7.0.3'!T43,'7.0.3'!$AM$4:$AP$55,4,FALSE))</f>
        <v>38</v>
      </c>
      <c r="M43" s="4">
        <f>(VLOOKUP('7.0.3'!U43,'7.0.3'!$AM$4:$AP$55,4,FALSE))</f>
        <v>38</v>
      </c>
      <c r="N43" s="4">
        <f>(VLOOKUP('7.0.3'!V43,'7.0.3'!$AM$4:$AP$55,4,FALSE))</f>
        <v>38</v>
      </c>
      <c r="O43" s="4">
        <f>(VLOOKUP('7.0.3'!W43,'7.0.3'!$AM$4:$AP$55,4,FALSE))</f>
        <v>0</v>
      </c>
      <c r="P43" s="4">
        <f>(VLOOKUP('7.0.3'!X43,'7.0.3'!$AM$4:$AP$55,4,FALSE))</f>
        <v>0</v>
      </c>
      <c r="Q43" s="4">
        <f>(VLOOKUP('7.0.3'!Y43,'7.0.3'!$AM$4:$AP$55,4,FALSE))</f>
        <v>0</v>
      </c>
      <c r="R43" s="4">
        <f>(VLOOKUP('7.0.3'!Z43,'7.0.3'!$AM$4:$AP$55,4,FALSE))</f>
        <v>0</v>
      </c>
      <c r="S43" s="4">
        <f>(VLOOKUP('7.0.3'!AA43,'7.0.3'!$AM$4:$AP$55,4,FALSE))</f>
        <v>0</v>
      </c>
      <c r="T43" s="4">
        <f>(VLOOKUP('7.0.3'!AB43,'7.0.3'!$AM$4:$AP$55,4,FALSE))</f>
        <v>0</v>
      </c>
      <c r="U43" s="4">
        <f>(VLOOKUP('7.0.3'!AC43,'7.0.3'!$AM$4:$AP$55,4,FALSE))</f>
        <v>0</v>
      </c>
      <c r="V43" s="4">
        <f>(VLOOKUP('7.0.3'!AD43,'7.0.3'!$AM$4:$AP$55,4,FALSE))</f>
        <v>0</v>
      </c>
      <c r="W43" s="4">
        <f>(VLOOKUP('7.0.3'!AE43,'7.0.3'!$AM$4:$AP$55,4,FALSE))</f>
        <v>0</v>
      </c>
      <c r="X43" s="4">
        <f>(VLOOKUP('7.0.3'!AF43,'7.0.3'!$AM$4:$AP$55,4,FALSE))</f>
        <v>0</v>
      </c>
    </row>
    <row r="44" spans="1:24">
      <c r="A44" s="4">
        <f>(VLOOKUP('7.0.3'!I44,'7.0.3'!$AM$4:$AP$55,4,FALSE))</f>
        <v>38</v>
      </c>
      <c r="B44" s="4">
        <f>(VLOOKUP('7.0.3'!J44,'7.0.3'!$AM$4:$AP$55,4,FALSE))</f>
        <v>38</v>
      </c>
      <c r="C44" s="4">
        <f>(VLOOKUP('7.0.3'!K44,'7.0.3'!$AM$4:$AP$55,4,FALSE))</f>
        <v>38</v>
      </c>
      <c r="D44" s="4">
        <f>(VLOOKUP('7.0.3'!L44,'7.0.3'!$AM$4:$AP$55,4,FALSE))</f>
        <v>38</v>
      </c>
      <c r="E44" s="4">
        <f>(VLOOKUP('7.0.3'!M44,'7.0.3'!$AM$4:$AP$55,4,FALSE))</f>
        <v>38</v>
      </c>
      <c r="F44" s="4">
        <f>(VLOOKUP('7.0.3'!N44,'7.0.3'!$AM$4:$AP$55,4,FALSE))</f>
        <v>0</v>
      </c>
      <c r="G44" s="4">
        <f>(VLOOKUP('7.0.3'!O44,'7.0.3'!$AM$4:$AP$55,4,FALSE))</f>
        <v>0</v>
      </c>
      <c r="H44" s="4">
        <f>(VLOOKUP('7.0.3'!P44,'7.0.3'!$AM$4:$AP$55,4,FALSE))</f>
        <v>0</v>
      </c>
      <c r="I44" s="4">
        <f>(VLOOKUP('7.0.3'!Q44,'7.0.3'!$AM$4:$AP$55,4,FALSE))</f>
        <v>38</v>
      </c>
      <c r="J44" s="4">
        <f>(VLOOKUP('7.0.3'!R44,'7.0.3'!$AM$4:$AP$55,4,FALSE))</f>
        <v>38</v>
      </c>
      <c r="K44" s="4">
        <f>(VLOOKUP('7.0.3'!S44,'7.0.3'!$AM$4:$AP$55,4,FALSE))</f>
        <v>38</v>
      </c>
      <c r="L44" s="4">
        <f>(VLOOKUP('7.0.3'!T44,'7.0.3'!$AM$4:$AP$55,4,FALSE))</f>
        <v>38</v>
      </c>
      <c r="M44" s="4">
        <f>(VLOOKUP('7.0.3'!U44,'7.0.3'!$AM$4:$AP$55,4,FALSE))</f>
        <v>38</v>
      </c>
      <c r="N44" s="4">
        <f>(VLOOKUP('7.0.3'!V44,'7.0.3'!$AM$4:$AP$55,4,FALSE))</f>
        <v>38</v>
      </c>
      <c r="O44" s="4">
        <f>(VLOOKUP('7.0.3'!W44,'7.0.3'!$AM$4:$AP$55,4,FALSE))</f>
        <v>0</v>
      </c>
      <c r="P44" s="4">
        <f>(VLOOKUP('7.0.3'!X44,'7.0.3'!$AM$4:$AP$55,4,FALSE))</f>
        <v>0</v>
      </c>
      <c r="Q44" s="4">
        <f>(VLOOKUP('7.0.3'!Y44,'7.0.3'!$AM$4:$AP$55,4,FALSE))</f>
        <v>0</v>
      </c>
      <c r="R44" s="4">
        <f>(VLOOKUP('7.0.3'!Z44,'7.0.3'!$AM$4:$AP$55,4,FALSE))</f>
        <v>0</v>
      </c>
      <c r="S44" s="4">
        <f>(VLOOKUP('7.0.3'!AA44,'7.0.3'!$AM$4:$AP$55,4,FALSE))</f>
        <v>0</v>
      </c>
      <c r="T44" s="4">
        <f>(VLOOKUP('7.0.3'!AB44,'7.0.3'!$AM$4:$AP$55,4,FALSE))</f>
        <v>0</v>
      </c>
      <c r="U44" s="4">
        <f>(VLOOKUP('7.0.3'!AC44,'7.0.3'!$AM$4:$AP$55,4,FALSE))</f>
        <v>0</v>
      </c>
      <c r="V44" s="4">
        <f>(VLOOKUP('7.0.3'!AD44,'7.0.3'!$AM$4:$AP$55,4,FALSE))</f>
        <v>0</v>
      </c>
      <c r="W44" s="4">
        <f>(VLOOKUP('7.0.3'!AE44,'7.0.3'!$AM$4:$AP$55,4,FALSE))</f>
        <v>0</v>
      </c>
      <c r="X44" s="4">
        <f>(VLOOKUP('7.0.3'!AF44,'7.0.3'!$AM$4:$AP$55,4,FALSE))</f>
        <v>0</v>
      </c>
    </row>
    <row r="45" spans="1:24">
      <c r="A45" s="4">
        <f>(VLOOKUP('7.0.3'!I45,'7.0.3'!$AM$4:$AP$55,4,FALSE))</f>
        <v>38</v>
      </c>
      <c r="B45" s="4">
        <f>(VLOOKUP('7.0.3'!J45,'7.0.3'!$AM$4:$AP$55,4,FALSE))</f>
        <v>38</v>
      </c>
      <c r="C45" s="4">
        <f>(VLOOKUP('7.0.3'!K45,'7.0.3'!$AM$4:$AP$55,4,FALSE))</f>
        <v>38</v>
      </c>
      <c r="D45" s="4">
        <f>(VLOOKUP('7.0.3'!L45,'7.0.3'!$AM$4:$AP$55,4,FALSE))</f>
        <v>38</v>
      </c>
      <c r="E45" s="4">
        <f>(VLOOKUP('7.0.3'!M45,'7.0.3'!$AM$4:$AP$55,4,FALSE))</f>
        <v>0</v>
      </c>
      <c r="F45" s="4">
        <f>(VLOOKUP('7.0.3'!N45,'7.0.3'!$AM$4:$AP$55,4,FALSE))</f>
        <v>0</v>
      </c>
      <c r="G45" s="4">
        <f>(VLOOKUP('7.0.3'!O45,'7.0.3'!$AM$4:$AP$55,4,FALSE))</f>
        <v>0</v>
      </c>
      <c r="H45" s="4">
        <f>(VLOOKUP('7.0.3'!P45,'7.0.3'!$AM$4:$AP$55,4,FALSE))</f>
        <v>0</v>
      </c>
      <c r="I45" s="4">
        <f>(VLOOKUP('7.0.3'!Q45,'7.0.3'!$AM$4:$AP$55,4,FALSE))</f>
        <v>0</v>
      </c>
      <c r="J45" s="4">
        <f>(VLOOKUP('7.0.3'!R45,'7.0.3'!$AM$4:$AP$55,4,FALSE))</f>
        <v>0</v>
      </c>
      <c r="K45" s="4">
        <f>(VLOOKUP('7.0.3'!S45,'7.0.3'!$AM$4:$AP$55,4,FALSE))</f>
        <v>0</v>
      </c>
      <c r="L45" s="4">
        <f>(VLOOKUP('7.0.3'!T45,'7.0.3'!$AM$4:$AP$55,4,FALSE))</f>
        <v>0</v>
      </c>
      <c r="M45" s="4">
        <f>(VLOOKUP('7.0.3'!U45,'7.0.3'!$AM$4:$AP$55,4,FALSE))</f>
        <v>0</v>
      </c>
      <c r="N45" s="4">
        <f>(VLOOKUP('7.0.3'!V45,'7.0.3'!$AM$4:$AP$55,4,FALSE))</f>
        <v>0</v>
      </c>
      <c r="O45" s="4">
        <f>(VLOOKUP('7.0.3'!W45,'7.0.3'!$AM$4:$AP$55,4,FALSE))</f>
        <v>0</v>
      </c>
      <c r="P45" s="4">
        <f>(VLOOKUP('7.0.3'!X45,'7.0.3'!$AM$4:$AP$55,4,FALSE))</f>
        <v>0</v>
      </c>
      <c r="Q45" s="4">
        <f>(VLOOKUP('7.0.3'!Y45,'7.0.3'!$AM$4:$AP$55,4,FALSE))</f>
        <v>0</v>
      </c>
      <c r="R45" s="4">
        <f>(VLOOKUP('7.0.3'!Z45,'7.0.3'!$AM$4:$AP$55,4,FALSE))</f>
        <v>0</v>
      </c>
      <c r="S45" s="4">
        <f>(VLOOKUP('7.0.3'!AA45,'7.0.3'!$AM$4:$AP$55,4,FALSE))</f>
        <v>0</v>
      </c>
      <c r="T45" s="4">
        <f>(VLOOKUP('7.0.3'!AB45,'7.0.3'!$AM$4:$AP$55,4,FALSE))</f>
        <v>0</v>
      </c>
      <c r="U45" s="4">
        <f>(VLOOKUP('7.0.3'!AC45,'7.0.3'!$AM$4:$AP$55,4,FALSE))</f>
        <v>0</v>
      </c>
      <c r="V45" s="4">
        <f>(VLOOKUP('7.0.3'!AD45,'7.0.3'!$AM$4:$AP$55,4,FALSE))</f>
        <v>0</v>
      </c>
      <c r="W45" s="4">
        <f>(VLOOKUP('7.0.3'!AE45,'7.0.3'!$AM$4:$AP$55,4,FALSE))</f>
        <v>0</v>
      </c>
      <c r="X45" s="4">
        <f>(VLOOKUP('7.0.3'!AF45,'7.0.3'!$AM$4:$AP$55,4,FALSE))</f>
        <v>0</v>
      </c>
    </row>
    <row r="46" spans="1:24">
      <c r="A46" s="4">
        <f>(VLOOKUP('7.0.3'!I46,'7.0.3'!$AM$4:$AP$55,4,FALSE))</f>
        <v>38</v>
      </c>
      <c r="B46" s="4">
        <f>(VLOOKUP('7.0.3'!J46,'7.0.3'!$AM$4:$AP$55,4,FALSE))</f>
        <v>38</v>
      </c>
      <c r="C46" s="4">
        <f>(VLOOKUP('7.0.3'!K46,'7.0.3'!$AM$4:$AP$55,4,FALSE))</f>
        <v>38</v>
      </c>
      <c r="D46" s="4">
        <f>(VLOOKUP('7.0.3'!L46,'7.0.3'!$AM$4:$AP$55,4,FALSE))</f>
        <v>38</v>
      </c>
      <c r="E46" s="4">
        <f>(VLOOKUP('7.0.3'!M46,'7.0.3'!$AM$4:$AP$55,4,FALSE))</f>
        <v>0</v>
      </c>
      <c r="F46" s="4">
        <f>(VLOOKUP('7.0.3'!N46,'7.0.3'!$AM$4:$AP$55,4,FALSE))</f>
        <v>0</v>
      </c>
      <c r="G46" s="4">
        <f>(VLOOKUP('7.0.3'!O46,'7.0.3'!$AM$4:$AP$55,4,FALSE))</f>
        <v>0</v>
      </c>
      <c r="H46" s="4">
        <f>(VLOOKUP('7.0.3'!P46,'7.0.3'!$AM$4:$AP$55,4,FALSE))</f>
        <v>0</v>
      </c>
      <c r="I46" s="4">
        <f>(VLOOKUP('7.0.3'!Q46,'7.0.3'!$AM$4:$AP$55,4,FALSE))</f>
        <v>0</v>
      </c>
      <c r="J46" s="4">
        <f>(VLOOKUP('7.0.3'!R46,'7.0.3'!$AM$4:$AP$55,4,FALSE))</f>
        <v>0</v>
      </c>
      <c r="K46" s="4">
        <f>(VLOOKUP('7.0.3'!S46,'7.0.3'!$AM$4:$AP$55,4,FALSE))</f>
        <v>0</v>
      </c>
      <c r="L46" s="4">
        <f>(VLOOKUP('7.0.3'!T46,'7.0.3'!$AM$4:$AP$55,4,FALSE))</f>
        <v>0</v>
      </c>
      <c r="M46" s="4">
        <f>(VLOOKUP('7.0.3'!U46,'7.0.3'!$AM$4:$AP$55,4,FALSE))</f>
        <v>0</v>
      </c>
      <c r="N46" s="4">
        <f>(VLOOKUP('7.0.3'!V46,'7.0.3'!$AM$4:$AP$55,4,FALSE))</f>
        <v>0</v>
      </c>
      <c r="O46" s="4">
        <f>(VLOOKUP('7.0.3'!W46,'7.0.3'!$AM$4:$AP$55,4,FALSE))</f>
        <v>0</v>
      </c>
      <c r="P46" s="4">
        <f>(VLOOKUP('7.0.3'!X46,'7.0.3'!$AM$4:$AP$55,4,FALSE))</f>
        <v>0</v>
      </c>
      <c r="Q46" s="4">
        <f>(VLOOKUP('7.0.3'!Y46,'7.0.3'!$AM$4:$AP$55,4,FALSE))</f>
        <v>0</v>
      </c>
      <c r="R46" s="4">
        <f>(VLOOKUP('7.0.3'!Z46,'7.0.3'!$AM$4:$AP$55,4,FALSE))</f>
        <v>0</v>
      </c>
      <c r="S46" s="4">
        <f>(VLOOKUP('7.0.3'!AA46,'7.0.3'!$AM$4:$AP$55,4,FALSE))</f>
        <v>0</v>
      </c>
      <c r="T46" s="4">
        <f>(VLOOKUP('7.0.3'!AB46,'7.0.3'!$AM$4:$AP$55,4,FALSE))</f>
        <v>0</v>
      </c>
      <c r="U46" s="4">
        <f>(VLOOKUP('7.0.3'!AC46,'7.0.3'!$AM$4:$AP$55,4,FALSE))</f>
        <v>0</v>
      </c>
      <c r="V46" s="4">
        <f>(VLOOKUP('7.0.3'!AD46,'7.0.3'!$AM$4:$AP$55,4,FALSE))</f>
        <v>0</v>
      </c>
      <c r="W46" s="4">
        <f>(VLOOKUP('7.0.3'!AE46,'7.0.3'!$AM$4:$AP$55,4,FALSE))</f>
        <v>0</v>
      </c>
      <c r="X46" s="4">
        <f>(VLOOKUP('7.0.3'!AF46,'7.0.3'!$AM$4:$AP$55,4,FALSE))</f>
        <v>0</v>
      </c>
    </row>
    <row r="47" spans="1:24">
      <c r="A47" s="4">
        <f>(VLOOKUP('7.0.3'!I47,'7.0.3'!$AM$4:$AP$55,4,FALSE))</f>
        <v>38</v>
      </c>
      <c r="B47" s="4">
        <f>(VLOOKUP('7.0.3'!J47,'7.0.3'!$AM$4:$AP$55,4,FALSE))</f>
        <v>0</v>
      </c>
      <c r="C47" s="4">
        <f>(VLOOKUP('7.0.3'!K47,'7.0.3'!$AM$4:$AP$55,4,FALSE))</f>
        <v>38</v>
      </c>
      <c r="D47" s="4">
        <f>(VLOOKUP('7.0.3'!L47,'7.0.3'!$AM$4:$AP$55,4,FALSE))</f>
        <v>38</v>
      </c>
      <c r="E47" s="4">
        <f>(VLOOKUP('7.0.3'!M47,'7.0.3'!$AM$4:$AP$55,4,FALSE))</f>
        <v>38</v>
      </c>
      <c r="F47" s="4">
        <f>(VLOOKUP('7.0.3'!N47,'7.0.3'!$AM$4:$AP$55,4,FALSE))</f>
        <v>0</v>
      </c>
      <c r="G47" s="4">
        <f>(VLOOKUP('7.0.3'!O47,'7.0.3'!$AM$4:$AP$55,4,FALSE))</f>
        <v>0</v>
      </c>
      <c r="H47" s="4">
        <f>(VLOOKUP('7.0.3'!P47,'7.0.3'!$AM$4:$AP$55,4,FALSE))</f>
        <v>0</v>
      </c>
      <c r="I47" s="4">
        <f>(VLOOKUP('7.0.3'!Q47,'7.0.3'!$AM$4:$AP$55,4,FALSE))</f>
        <v>0</v>
      </c>
      <c r="J47" s="4">
        <f>(VLOOKUP('7.0.3'!R47,'7.0.3'!$AM$4:$AP$55,4,FALSE))</f>
        <v>0</v>
      </c>
      <c r="K47" s="4">
        <f>(VLOOKUP('7.0.3'!S47,'7.0.3'!$AM$4:$AP$55,4,FALSE))</f>
        <v>0</v>
      </c>
      <c r="L47" s="4">
        <f>(VLOOKUP('7.0.3'!T47,'7.0.3'!$AM$4:$AP$55,4,FALSE))</f>
        <v>0</v>
      </c>
      <c r="M47" s="4">
        <f>(VLOOKUP('7.0.3'!U47,'7.0.3'!$AM$4:$AP$55,4,FALSE))</f>
        <v>0</v>
      </c>
      <c r="N47" s="4">
        <f>(VLOOKUP('7.0.3'!V47,'7.0.3'!$AM$4:$AP$55,4,FALSE))</f>
        <v>0</v>
      </c>
      <c r="O47" s="4">
        <f>(VLOOKUP('7.0.3'!W47,'7.0.3'!$AM$4:$AP$55,4,FALSE))</f>
        <v>0</v>
      </c>
      <c r="P47" s="4">
        <f>(VLOOKUP('7.0.3'!X47,'7.0.3'!$AM$4:$AP$55,4,FALSE))</f>
        <v>0</v>
      </c>
      <c r="Q47" s="4">
        <f>(VLOOKUP('7.0.3'!Y47,'7.0.3'!$AM$4:$AP$55,4,FALSE))</f>
        <v>0</v>
      </c>
      <c r="R47" s="4">
        <f>(VLOOKUP('7.0.3'!Z47,'7.0.3'!$AM$4:$AP$55,4,FALSE))</f>
        <v>0</v>
      </c>
      <c r="S47" s="4">
        <f>(VLOOKUP('7.0.3'!AA47,'7.0.3'!$AM$4:$AP$55,4,FALSE))</f>
        <v>0</v>
      </c>
      <c r="T47" s="4">
        <f>(VLOOKUP('7.0.3'!AB47,'7.0.3'!$AM$4:$AP$55,4,FALSE))</f>
        <v>0</v>
      </c>
      <c r="U47" s="4">
        <f>(VLOOKUP('7.0.3'!AC47,'7.0.3'!$AM$4:$AP$55,4,FALSE))</f>
        <v>0</v>
      </c>
      <c r="V47" s="4">
        <f>(VLOOKUP('7.0.3'!AD47,'7.0.3'!$AM$4:$AP$55,4,FALSE))</f>
        <v>0</v>
      </c>
      <c r="W47" s="4">
        <f>(VLOOKUP('7.0.3'!AE47,'7.0.3'!$AM$4:$AP$55,4,FALSE))</f>
        <v>0</v>
      </c>
      <c r="X47" s="4">
        <f>(VLOOKUP('7.0.3'!AF47,'7.0.3'!$AM$4:$AP$55,4,FALSE))</f>
        <v>0</v>
      </c>
    </row>
    <row r="48" spans="1:24">
      <c r="A48" s="4">
        <f>(VLOOKUP('7.0.3'!I48,'7.0.3'!$AM$4:$AP$55,4,FALSE))</f>
        <v>38</v>
      </c>
      <c r="B48" s="4">
        <f>(VLOOKUP('7.0.3'!J48,'7.0.3'!$AM$4:$AP$55,4,FALSE))</f>
        <v>38</v>
      </c>
      <c r="C48" s="4">
        <f>(VLOOKUP('7.0.3'!K48,'7.0.3'!$AM$4:$AP$55,4,FALSE))</f>
        <v>38</v>
      </c>
      <c r="D48" s="4">
        <f>(VLOOKUP('7.0.3'!L48,'7.0.3'!$AM$4:$AP$55,4,FALSE))</f>
        <v>38</v>
      </c>
      <c r="E48" s="4">
        <f>(VLOOKUP('7.0.3'!M48,'7.0.3'!$AM$4:$AP$55,4,FALSE))</f>
        <v>0</v>
      </c>
      <c r="F48" s="4">
        <f>(VLOOKUP('7.0.3'!N48,'7.0.3'!$AM$4:$AP$55,4,FALSE))</f>
        <v>0</v>
      </c>
      <c r="G48" s="4">
        <f>(VLOOKUP('7.0.3'!O48,'7.0.3'!$AM$4:$AP$55,4,FALSE))</f>
        <v>0</v>
      </c>
      <c r="H48" s="4">
        <f>(VLOOKUP('7.0.3'!P48,'7.0.3'!$AM$4:$AP$55,4,FALSE))</f>
        <v>0</v>
      </c>
      <c r="I48" s="4">
        <f>(VLOOKUP('7.0.3'!Q48,'7.0.3'!$AM$4:$AP$55,4,FALSE))</f>
        <v>0</v>
      </c>
      <c r="J48" s="4">
        <f>(VLOOKUP('7.0.3'!R48,'7.0.3'!$AM$4:$AP$55,4,FALSE))</f>
        <v>0</v>
      </c>
      <c r="K48" s="4">
        <f>(VLOOKUP('7.0.3'!S48,'7.0.3'!$AM$4:$AP$55,4,FALSE))</f>
        <v>0</v>
      </c>
      <c r="L48" s="4">
        <f>(VLOOKUP('7.0.3'!T48,'7.0.3'!$AM$4:$AP$55,4,FALSE))</f>
        <v>0</v>
      </c>
      <c r="M48" s="4">
        <f>(VLOOKUP('7.0.3'!U48,'7.0.3'!$AM$4:$AP$55,4,FALSE))</f>
        <v>0</v>
      </c>
      <c r="N48" s="4">
        <f>(VLOOKUP('7.0.3'!V48,'7.0.3'!$AM$4:$AP$55,4,FALSE))</f>
        <v>0</v>
      </c>
      <c r="O48" s="4">
        <f>(VLOOKUP('7.0.3'!W48,'7.0.3'!$AM$4:$AP$55,4,FALSE))</f>
        <v>0</v>
      </c>
      <c r="P48" s="4">
        <f>(VLOOKUP('7.0.3'!X48,'7.0.3'!$AM$4:$AP$55,4,FALSE))</f>
        <v>0</v>
      </c>
      <c r="Q48" s="4">
        <f>(VLOOKUP('7.0.3'!Y48,'7.0.3'!$AM$4:$AP$55,4,FALSE))</f>
        <v>0</v>
      </c>
      <c r="R48" s="4">
        <f>(VLOOKUP('7.0.3'!Z48,'7.0.3'!$AM$4:$AP$55,4,FALSE))</f>
        <v>0</v>
      </c>
      <c r="S48" s="4">
        <f>(VLOOKUP('7.0.3'!AA48,'7.0.3'!$AM$4:$AP$55,4,FALSE))</f>
        <v>0</v>
      </c>
      <c r="T48" s="4">
        <f>(VLOOKUP('7.0.3'!AB48,'7.0.3'!$AM$4:$AP$55,4,FALSE))</f>
        <v>0</v>
      </c>
      <c r="U48" s="4">
        <f>(VLOOKUP('7.0.3'!AC48,'7.0.3'!$AM$4:$AP$55,4,FALSE))</f>
        <v>0</v>
      </c>
      <c r="V48" s="4">
        <f>(VLOOKUP('7.0.3'!AD48,'7.0.3'!$AM$4:$AP$55,4,FALSE))</f>
        <v>0</v>
      </c>
      <c r="W48" s="4">
        <f>(VLOOKUP('7.0.3'!AE48,'7.0.3'!$AM$4:$AP$55,4,FALSE))</f>
        <v>0</v>
      </c>
      <c r="X48" s="4">
        <f>(VLOOKUP('7.0.3'!AF48,'7.0.3'!$AM$4:$AP$55,4,FALSE))</f>
        <v>0</v>
      </c>
    </row>
    <row r="49" spans="1:24">
      <c r="A49" s="4">
        <f>(VLOOKUP('7.0.3'!I49,'7.0.3'!$AM$4:$AP$55,4,FALSE))</f>
        <v>38</v>
      </c>
      <c r="B49" s="4">
        <f>(VLOOKUP('7.0.3'!J49,'7.0.3'!$AM$4:$AP$55,4,FALSE))</f>
        <v>38</v>
      </c>
      <c r="C49" s="4">
        <f>(VLOOKUP('7.0.3'!K49,'7.0.3'!$AM$4:$AP$55,4,FALSE))</f>
        <v>38</v>
      </c>
      <c r="D49" s="4">
        <f>(VLOOKUP('7.0.3'!L49,'7.0.3'!$AM$4:$AP$55,4,FALSE))</f>
        <v>38</v>
      </c>
      <c r="E49" s="4">
        <f>(VLOOKUP('7.0.3'!M49,'7.0.3'!$AM$4:$AP$55,4,FALSE))</f>
        <v>38</v>
      </c>
      <c r="F49" s="4">
        <f>(VLOOKUP('7.0.3'!N49,'7.0.3'!$AM$4:$AP$55,4,FALSE))</f>
        <v>0</v>
      </c>
      <c r="G49" s="4">
        <f>(VLOOKUP('7.0.3'!O49,'7.0.3'!$AM$4:$AP$55,4,FALSE))</f>
        <v>0</v>
      </c>
      <c r="H49" s="4">
        <f>(VLOOKUP('7.0.3'!P49,'7.0.3'!$AM$4:$AP$55,4,FALSE))</f>
        <v>0</v>
      </c>
      <c r="I49" s="4">
        <f>(VLOOKUP('7.0.3'!Q49,'7.0.3'!$AM$4:$AP$55,4,FALSE))</f>
        <v>0</v>
      </c>
      <c r="J49" s="4">
        <f>(VLOOKUP('7.0.3'!R49,'7.0.3'!$AM$4:$AP$55,4,FALSE))</f>
        <v>0</v>
      </c>
      <c r="K49" s="4">
        <f>(VLOOKUP('7.0.3'!S49,'7.0.3'!$AM$4:$AP$55,4,FALSE))</f>
        <v>0</v>
      </c>
      <c r="L49" s="4">
        <f>(VLOOKUP('7.0.3'!T49,'7.0.3'!$AM$4:$AP$55,4,FALSE))</f>
        <v>0</v>
      </c>
      <c r="M49" s="4">
        <f>(VLOOKUP('7.0.3'!U49,'7.0.3'!$AM$4:$AP$55,4,FALSE))</f>
        <v>0</v>
      </c>
      <c r="N49" s="4">
        <f>(VLOOKUP('7.0.3'!V49,'7.0.3'!$AM$4:$AP$55,4,FALSE))</f>
        <v>0</v>
      </c>
      <c r="O49" s="4">
        <f>(VLOOKUP('7.0.3'!W49,'7.0.3'!$AM$4:$AP$55,4,FALSE))</f>
        <v>0</v>
      </c>
      <c r="P49" s="4">
        <f>(VLOOKUP('7.0.3'!X49,'7.0.3'!$AM$4:$AP$55,4,FALSE))</f>
        <v>0</v>
      </c>
      <c r="Q49" s="4">
        <f>(VLOOKUP('7.0.3'!Y49,'7.0.3'!$AM$4:$AP$55,4,FALSE))</f>
        <v>0</v>
      </c>
      <c r="R49" s="4">
        <f>(VLOOKUP('7.0.3'!Z49,'7.0.3'!$AM$4:$AP$55,4,FALSE))</f>
        <v>0</v>
      </c>
      <c r="S49" s="4">
        <f>(VLOOKUP('7.0.3'!AA49,'7.0.3'!$AM$4:$AP$55,4,FALSE))</f>
        <v>0</v>
      </c>
      <c r="T49" s="4">
        <f>(VLOOKUP('7.0.3'!AB49,'7.0.3'!$AM$4:$AP$55,4,FALSE))</f>
        <v>0</v>
      </c>
      <c r="U49" s="4">
        <f>(VLOOKUP('7.0.3'!AC49,'7.0.3'!$AM$4:$AP$55,4,FALSE))</f>
        <v>0</v>
      </c>
      <c r="V49" s="4">
        <f>(VLOOKUP('7.0.3'!AD49,'7.0.3'!$AM$4:$AP$55,4,FALSE))</f>
        <v>0</v>
      </c>
      <c r="W49" s="4">
        <f>(VLOOKUP('7.0.3'!AE49,'7.0.3'!$AM$4:$AP$55,4,FALSE))</f>
        <v>0</v>
      </c>
      <c r="X49" s="4">
        <f>(VLOOKUP('7.0.3'!AF49,'7.0.3'!$AM$4:$AP$55,4,FALSE))</f>
        <v>0</v>
      </c>
    </row>
    <row r="50" spans="1:24">
      <c r="A50" s="4">
        <f>(VLOOKUP('7.0.3'!I50,'7.0.3'!$AM$4:$AP$55,4,FALSE))</f>
        <v>38</v>
      </c>
      <c r="B50" s="4">
        <f>(VLOOKUP('7.0.3'!J50,'7.0.3'!$AM$4:$AP$55,4,FALSE))</f>
        <v>38</v>
      </c>
      <c r="C50" s="4">
        <f>(VLOOKUP('7.0.3'!K50,'7.0.3'!$AM$4:$AP$55,4,FALSE))</f>
        <v>38</v>
      </c>
      <c r="D50" s="4">
        <f>(VLOOKUP('7.0.3'!L50,'7.0.3'!$AM$4:$AP$55,4,FALSE))</f>
        <v>38</v>
      </c>
      <c r="E50" s="4">
        <f>(VLOOKUP('7.0.3'!M50,'7.0.3'!$AM$4:$AP$55,4,FALSE))</f>
        <v>0</v>
      </c>
      <c r="F50" s="4">
        <f>(VLOOKUP('7.0.3'!N50,'7.0.3'!$AM$4:$AP$55,4,FALSE))</f>
        <v>0</v>
      </c>
      <c r="G50" s="4">
        <f>(VLOOKUP('7.0.3'!O50,'7.0.3'!$AM$4:$AP$55,4,FALSE))</f>
        <v>0</v>
      </c>
      <c r="H50" s="4">
        <f>(VLOOKUP('7.0.3'!P50,'7.0.3'!$AM$4:$AP$55,4,FALSE))</f>
        <v>0</v>
      </c>
      <c r="I50" s="4">
        <f>(VLOOKUP('7.0.3'!Q50,'7.0.3'!$AM$4:$AP$55,4,FALSE))</f>
        <v>0</v>
      </c>
      <c r="J50" s="4">
        <f>(VLOOKUP('7.0.3'!R50,'7.0.3'!$AM$4:$AP$55,4,FALSE))</f>
        <v>0</v>
      </c>
      <c r="K50" s="4">
        <f>(VLOOKUP('7.0.3'!S50,'7.0.3'!$AM$4:$AP$55,4,FALSE))</f>
        <v>0</v>
      </c>
      <c r="L50" s="4">
        <f>(VLOOKUP('7.0.3'!T50,'7.0.3'!$AM$4:$AP$55,4,FALSE))</f>
        <v>0</v>
      </c>
      <c r="M50" s="4">
        <f>(VLOOKUP('7.0.3'!U50,'7.0.3'!$AM$4:$AP$55,4,FALSE))</f>
        <v>0</v>
      </c>
      <c r="N50" s="4">
        <f>(VLOOKUP('7.0.3'!V50,'7.0.3'!$AM$4:$AP$55,4,FALSE))</f>
        <v>0</v>
      </c>
      <c r="O50" s="4">
        <f>(VLOOKUP('7.0.3'!W50,'7.0.3'!$AM$4:$AP$55,4,FALSE))</f>
        <v>0</v>
      </c>
      <c r="P50" s="4">
        <f>(VLOOKUP('7.0.3'!X50,'7.0.3'!$AM$4:$AP$55,4,FALSE))</f>
        <v>0</v>
      </c>
      <c r="Q50" s="4">
        <f>(VLOOKUP('7.0.3'!Y50,'7.0.3'!$AM$4:$AP$55,4,FALSE))</f>
        <v>0</v>
      </c>
      <c r="R50" s="4">
        <f>(VLOOKUP('7.0.3'!Z50,'7.0.3'!$AM$4:$AP$55,4,FALSE))</f>
        <v>0</v>
      </c>
      <c r="S50" s="4">
        <f>(VLOOKUP('7.0.3'!AA50,'7.0.3'!$AM$4:$AP$55,4,FALSE))</f>
        <v>0</v>
      </c>
      <c r="T50" s="4">
        <f>(VLOOKUP('7.0.3'!AB50,'7.0.3'!$AM$4:$AP$55,4,FALSE))</f>
        <v>0</v>
      </c>
      <c r="U50" s="4">
        <f>(VLOOKUP('7.0.3'!AC50,'7.0.3'!$AM$4:$AP$55,4,FALSE))</f>
        <v>0</v>
      </c>
      <c r="V50" s="4">
        <f>(VLOOKUP('7.0.3'!AD50,'7.0.3'!$AM$4:$AP$55,4,FALSE))</f>
        <v>0</v>
      </c>
      <c r="W50" s="4">
        <f>(VLOOKUP('7.0.3'!AE50,'7.0.3'!$AM$4:$AP$55,4,FALSE))</f>
        <v>0</v>
      </c>
      <c r="X50" s="4">
        <f>(VLOOKUP('7.0.3'!AF50,'7.0.3'!$AM$4:$AP$55,4,FALSE))</f>
        <v>0</v>
      </c>
    </row>
    <row r="51" spans="1:24">
      <c r="A51" s="4">
        <f>(VLOOKUP('7.0.3'!I51,'7.0.3'!$AM$4:$AP$55,4,FALSE))</f>
        <v>38</v>
      </c>
      <c r="B51" s="4">
        <f>(VLOOKUP('7.0.3'!J51,'7.0.3'!$AM$4:$AP$55,4,FALSE))</f>
        <v>38</v>
      </c>
      <c r="C51" s="4">
        <f>(VLOOKUP('7.0.3'!K51,'7.0.3'!$AM$4:$AP$55,4,FALSE))</f>
        <v>38</v>
      </c>
      <c r="D51" s="4">
        <f>(VLOOKUP('7.0.3'!L51,'7.0.3'!$AM$4:$AP$55,4,FALSE))</f>
        <v>38</v>
      </c>
      <c r="E51" s="4">
        <f>(VLOOKUP('7.0.3'!M51,'7.0.3'!$AM$4:$AP$55,4,FALSE))</f>
        <v>0</v>
      </c>
      <c r="F51" s="4">
        <f>(VLOOKUP('7.0.3'!N51,'7.0.3'!$AM$4:$AP$55,4,FALSE))</f>
        <v>0</v>
      </c>
      <c r="G51" s="4">
        <f>(VLOOKUP('7.0.3'!O51,'7.0.3'!$AM$4:$AP$55,4,FALSE))</f>
        <v>0</v>
      </c>
      <c r="H51" s="4">
        <f>(VLOOKUP('7.0.3'!P51,'7.0.3'!$AM$4:$AP$55,4,FALSE))</f>
        <v>0</v>
      </c>
      <c r="I51" s="4">
        <f>(VLOOKUP('7.0.3'!Q51,'7.0.3'!$AM$4:$AP$55,4,FALSE))</f>
        <v>0</v>
      </c>
      <c r="J51" s="4">
        <f>(VLOOKUP('7.0.3'!R51,'7.0.3'!$AM$4:$AP$55,4,FALSE))</f>
        <v>0</v>
      </c>
      <c r="K51" s="4">
        <f>(VLOOKUP('7.0.3'!S51,'7.0.3'!$AM$4:$AP$55,4,FALSE))</f>
        <v>0</v>
      </c>
      <c r="L51" s="4">
        <f>(VLOOKUP('7.0.3'!T51,'7.0.3'!$AM$4:$AP$55,4,FALSE))</f>
        <v>0</v>
      </c>
      <c r="M51" s="4">
        <f>(VLOOKUP('7.0.3'!U51,'7.0.3'!$AM$4:$AP$55,4,FALSE))</f>
        <v>0</v>
      </c>
      <c r="N51" s="4">
        <f>(VLOOKUP('7.0.3'!V51,'7.0.3'!$AM$4:$AP$55,4,FALSE))</f>
        <v>0</v>
      </c>
      <c r="O51" s="4">
        <f>(VLOOKUP('7.0.3'!W51,'7.0.3'!$AM$4:$AP$55,4,FALSE))</f>
        <v>0</v>
      </c>
      <c r="P51" s="4">
        <f>(VLOOKUP('7.0.3'!X51,'7.0.3'!$AM$4:$AP$55,4,FALSE))</f>
        <v>0</v>
      </c>
      <c r="Q51" s="4">
        <f>(VLOOKUP('7.0.3'!Y51,'7.0.3'!$AM$4:$AP$55,4,FALSE))</f>
        <v>0</v>
      </c>
      <c r="R51" s="4">
        <f>(VLOOKUP('7.0.3'!Z51,'7.0.3'!$AM$4:$AP$55,4,FALSE))</f>
        <v>0</v>
      </c>
      <c r="S51" s="4">
        <f>(VLOOKUP('7.0.3'!AA51,'7.0.3'!$AM$4:$AP$55,4,FALSE))</f>
        <v>0</v>
      </c>
      <c r="T51" s="4">
        <f>(VLOOKUP('7.0.3'!AB51,'7.0.3'!$AM$4:$AP$55,4,FALSE))</f>
        <v>0</v>
      </c>
      <c r="U51" s="4">
        <f>(VLOOKUP('7.0.3'!AC51,'7.0.3'!$AM$4:$AP$55,4,FALSE))</f>
        <v>0</v>
      </c>
      <c r="V51" s="4">
        <f>(VLOOKUP('7.0.3'!AD51,'7.0.3'!$AM$4:$AP$55,4,FALSE))</f>
        <v>0</v>
      </c>
      <c r="W51" s="4">
        <f>(VLOOKUP('7.0.3'!AE51,'7.0.3'!$AM$4:$AP$55,4,FALSE))</f>
        <v>0</v>
      </c>
      <c r="X51" s="4">
        <f>(VLOOKUP('7.0.3'!AF51,'7.0.3'!$AM$4:$AP$55,4,FALSE))</f>
        <v>0</v>
      </c>
    </row>
    <row r="52" spans="1:24">
      <c r="A52" s="4">
        <f>(VLOOKUP('7.0.3'!I52,'7.0.3'!$AM$4:$AP$55,4,FALSE))</f>
        <v>38</v>
      </c>
      <c r="B52" s="4">
        <f>(VLOOKUP('7.0.3'!J52,'7.0.3'!$AM$4:$AP$55,4,FALSE))</f>
        <v>38</v>
      </c>
      <c r="C52" s="4">
        <f>(VLOOKUP('7.0.3'!K52,'7.0.3'!$AM$4:$AP$55,4,FALSE))</f>
        <v>38</v>
      </c>
      <c r="D52" s="4">
        <f>(VLOOKUP('7.0.3'!L52,'7.0.3'!$AM$4:$AP$55,4,FALSE))</f>
        <v>38</v>
      </c>
      <c r="E52" s="4">
        <f>(VLOOKUP('7.0.3'!M52,'7.0.3'!$AM$4:$AP$55,4,FALSE))</f>
        <v>0</v>
      </c>
      <c r="F52" s="4">
        <f>(VLOOKUP('7.0.3'!N52,'7.0.3'!$AM$4:$AP$55,4,FALSE))</f>
        <v>0</v>
      </c>
      <c r="G52" s="4">
        <f>(VLOOKUP('7.0.3'!O52,'7.0.3'!$AM$4:$AP$55,4,FALSE))</f>
        <v>0</v>
      </c>
      <c r="H52" s="4">
        <f>(VLOOKUP('7.0.3'!P52,'7.0.3'!$AM$4:$AP$55,4,FALSE))</f>
        <v>0</v>
      </c>
      <c r="I52" s="4">
        <f>(VLOOKUP('7.0.3'!Q52,'7.0.3'!$AM$4:$AP$55,4,FALSE))</f>
        <v>0</v>
      </c>
      <c r="J52" s="4">
        <f>(VLOOKUP('7.0.3'!R52,'7.0.3'!$AM$4:$AP$55,4,FALSE))</f>
        <v>0</v>
      </c>
      <c r="K52" s="4">
        <f>(VLOOKUP('7.0.3'!S52,'7.0.3'!$AM$4:$AP$55,4,FALSE))</f>
        <v>0</v>
      </c>
      <c r="L52" s="4">
        <f>(VLOOKUP('7.0.3'!T52,'7.0.3'!$AM$4:$AP$55,4,FALSE))</f>
        <v>0</v>
      </c>
      <c r="M52" s="4">
        <f>(VLOOKUP('7.0.3'!U52,'7.0.3'!$AM$4:$AP$55,4,FALSE))</f>
        <v>0</v>
      </c>
      <c r="N52" s="4">
        <f>(VLOOKUP('7.0.3'!V52,'7.0.3'!$AM$4:$AP$55,4,FALSE))</f>
        <v>0</v>
      </c>
      <c r="O52" s="4">
        <f>(VLOOKUP('7.0.3'!W52,'7.0.3'!$AM$4:$AP$55,4,FALSE))</f>
        <v>0</v>
      </c>
      <c r="P52" s="4">
        <f>(VLOOKUP('7.0.3'!X52,'7.0.3'!$AM$4:$AP$55,4,FALSE))</f>
        <v>0</v>
      </c>
      <c r="Q52" s="4">
        <f>(VLOOKUP('7.0.3'!Y52,'7.0.3'!$AM$4:$AP$55,4,FALSE))</f>
        <v>0</v>
      </c>
      <c r="R52" s="4">
        <f>(VLOOKUP('7.0.3'!Z52,'7.0.3'!$AM$4:$AP$55,4,FALSE))</f>
        <v>0</v>
      </c>
      <c r="S52" s="4">
        <f>(VLOOKUP('7.0.3'!AA52,'7.0.3'!$AM$4:$AP$55,4,FALSE))</f>
        <v>0</v>
      </c>
      <c r="T52" s="4">
        <f>(VLOOKUP('7.0.3'!AB52,'7.0.3'!$AM$4:$AP$55,4,FALSE))</f>
        <v>0</v>
      </c>
      <c r="U52" s="4">
        <f>(VLOOKUP('7.0.3'!AC52,'7.0.3'!$AM$4:$AP$55,4,FALSE))</f>
        <v>0</v>
      </c>
      <c r="V52" s="4">
        <f>(VLOOKUP('7.0.3'!AD52,'7.0.3'!$AM$4:$AP$55,4,FALSE))</f>
        <v>0</v>
      </c>
      <c r="W52" s="4">
        <f>(VLOOKUP('7.0.3'!AE52,'7.0.3'!$AM$4:$AP$55,4,FALSE))</f>
        <v>0</v>
      </c>
      <c r="X52" s="4">
        <f>(VLOOKUP('7.0.3'!AF52,'7.0.3'!$AM$4:$AP$55,4,FALSE))</f>
        <v>0</v>
      </c>
    </row>
    <row r="53" spans="1:24">
      <c r="A53" s="4">
        <f>(VLOOKUP('7.0.3'!I53,'7.0.3'!$AM$4:$AP$55,4,FALSE))</f>
        <v>38</v>
      </c>
      <c r="B53" s="4">
        <f>(VLOOKUP('7.0.3'!J53,'7.0.3'!$AM$4:$AP$55,4,FALSE))</f>
        <v>10</v>
      </c>
      <c r="C53" s="4">
        <f>(VLOOKUP('7.0.3'!K53,'7.0.3'!$AM$4:$AP$55,4,FALSE))</f>
        <v>38</v>
      </c>
      <c r="D53" s="4">
        <f>(VLOOKUP('7.0.3'!L53,'7.0.3'!$AM$4:$AP$55,4,FALSE))</f>
        <v>38</v>
      </c>
      <c r="E53" s="4">
        <f>(VLOOKUP('7.0.3'!M53,'7.0.3'!$AM$4:$AP$55,4,FALSE))</f>
        <v>38</v>
      </c>
      <c r="F53" s="4">
        <f>(VLOOKUP('7.0.3'!N53,'7.0.3'!$AM$4:$AP$55,4,FALSE))</f>
        <v>0</v>
      </c>
      <c r="G53" s="4">
        <f>(VLOOKUP('7.0.3'!O53,'7.0.3'!$AM$4:$AP$55,4,FALSE))</f>
        <v>38</v>
      </c>
      <c r="H53" s="4">
        <f>(VLOOKUP('7.0.3'!P53,'7.0.3'!$AM$4:$AP$55,4,FALSE))</f>
        <v>0</v>
      </c>
      <c r="I53" s="4">
        <f>(VLOOKUP('7.0.3'!Q53,'7.0.3'!$AM$4:$AP$55,4,FALSE))</f>
        <v>0</v>
      </c>
      <c r="J53" s="4">
        <f>(VLOOKUP('7.0.3'!R53,'7.0.3'!$AM$4:$AP$55,4,FALSE))</f>
        <v>0</v>
      </c>
      <c r="K53" s="4">
        <f>(VLOOKUP('7.0.3'!S53,'7.0.3'!$AM$4:$AP$55,4,FALSE))</f>
        <v>0</v>
      </c>
      <c r="L53" s="4">
        <f>(VLOOKUP('7.0.3'!T53,'7.0.3'!$AM$4:$AP$55,4,FALSE))</f>
        <v>0</v>
      </c>
      <c r="M53" s="4">
        <f>(VLOOKUP('7.0.3'!U53,'7.0.3'!$AM$4:$AP$55,4,FALSE))</f>
        <v>0</v>
      </c>
      <c r="N53" s="4">
        <f>(VLOOKUP('7.0.3'!V53,'7.0.3'!$AM$4:$AP$55,4,FALSE))</f>
        <v>0</v>
      </c>
      <c r="O53" s="4">
        <f>(VLOOKUP('7.0.3'!W53,'7.0.3'!$AM$4:$AP$55,4,FALSE))</f>
        <v>0</v>
      </c>
      <c r="P53" s="4">
        <f>(VLOOKUP('7.0.3'!X53,'7.0.3'!$AM$4:$AP$55,4,FALSE))</f>
        <v>0</v>
      </c>
      <c r="Q53" s="4">
        <f>(VLOOKUP('7.0.3'!Y53,'7.0.3'!$AM$4:$AP$55,4,FALSE))</f>
        <v>0</v>
      </c>
      <c r="R53" s="4">
        <f>(VLOOKUP('7.0.3'!Z53,'7.0.3'!$AM$4:$AP$55,4,FALSE))</f>
        <v>0</v>
      </c>
      <c r="S53" s="4">
        <f>(VLOOKUP('7.0.3'!AA53,'7.0.3'!$AM$4:$AP$55,4,FALSE))</f>
        <v>0</v>
      </c>
      <c r="T53" s="4">
        <f>(VLOOKUP('7.0.3'!AB53,'7.0.3'!$AM$4:$AP$55,4,FALSE))</f>
        <v>0</v>
      </c>
      <c r="U53" s="4">
        <f>(VLOOKUP('7.0.3'!AC53,'7.0.3'!$AM$4:$AP$55,4,FALSE))</f>
        <v>0</v>
      </c>
      <c r="V53" s="4">
        <f>(VLOOKUP('7.0.3'!AD53,'7.0.3'!$AM$4:$AP$55,4,FALSE))</f>
        <v>0</v>
      </c>
      <c r="W53" s="4">
        <f>(VLOOKUP('7.0.3'!AE53,'7.0.3'!$AM$4:$AP$55,4,FALSE))</f>
        <v>0</v>
      </c>
      <c r="X53" s="4">
        <f>(VLOOKUP('7.0.3'!AF53,'7.0.3'!$AM$4:$AP$55,4,FALSE))</f>
        <v>0</v>
      </c>
    </row>
    <row r="54" spans="1:24">
      <c r="A54" s="4">
        <f>(VLOOKUP('7.0.3'!I54,'7.0.3'!$AM$4:$AP$55,4,FALSE))</f>
        <v>38</v>
      </c>
      <c r="B54" s="4">
        <f>(VLOOKUP('7.0.3'!J54,'7.0.3'!$AM$4:$AP$55,4,FALSE))</f>
        <v>38</v>
      </c>
      <c r="C54" s="4">
        <f>(VLOOKUP('7.0.3'!K54,'7.0.3'!$AM$4:$AP$55,4,FALSE))</f>
        <v>38</v>
      </c>
      <c r="D54" s="4">
        <f>(VLOOKUP('7.0.3'!L54,'7.0.3'!$AM$4:$AP$55,4,FALSE))</f>
        <v>38</v>
      </c>
      <c r="E54" s="4">
        <f>(VLOOKUP('7.0.3'!M54,'7.0.3'!$AM$4:$AP$55,4,FALSE))</f>
        <v>0</v>
      </c>
      <c r="F54" s="4">
        <f>(VLOOKUP('7.0.3'!N54,'7.0.3'!$AM$4:$AP$55,4,FALSE))</f>
        <v>0</v>
      </c>
      <c r="G54" s="4">
        <f>(VLOOKUP('7.0.3'!O54,'7.0.3'!$AM$4:$AP$55,4,FALSE))</f>
        <v>0</v>
      </c>
      <c r="H54" s="4">
        <f>(VLOOKUP('7.0.3'!P54,'7.0.3'!$AM$4:$AP$55,4,FALSE))</f>
        <v>0</v>
      </c>
      <c r="I54" s="4">
        <f>(VLOOKUP('7.0.3'!Q54,'7.0.3'!$AM$4:$AP$55,4,FALSE))</f>
        <v>0</v>
      </c>
      <c r="J54" s="4">
        <f>(VLOOKUP('7.0.3'!R54,'7.0.3'!$AM$4:$AP$55,4,FALSE))</f>
        <v>0</v>
      </c>
      <c r="K54" s="4">
        <f>(VLOOKUP('7.0.3'!S54,'7.0.3'!$AM$4:$AP$55,4,FALSE))</f>
        <v>0</v>
      </c>
      <c r="L54" s="4">
        <f>(VLOOKUP('7.0.3'!T54,'7.0.3'!$AM$4:$AP$55,4,FALSE))</f>
        <v>0</v>
      </c>
      <c r="M54" s="4">
        <f>(VLOOKUP('7.0.3'!U54,'7.0.3'!$AM$4:$AP$55,4,FALSE))</f>
        <v>0</v>
      </c>
      <c r="N54" s="4">
        <f>(VLOOKUP('7.0.3'!V54,'7.0.3'!$AM$4:$AP$55,4,FALSE))</f>
        <v>0</v>
      </c>
      <c r="O54" s="4">
        <f>(VLOOKUP('7.0.3'!W54,'7.0.3'!$AM$4:$AP$55,4,FALSE))</f>
        <v>0</v>
      </c>
      <c r="P54" s="4">
        <f>(VLOOKUP('7.0.3'!X54,'7.0.3'!$AM$4:$AP$55,4,FALSE))</f>
        <v>0</v>
      </c>
      <c r="Q54" s="4">
        <f>(VLOOKUP('7.0.3'!Y54,'7.0.3'!$AM$4:$AP$55,4,FALSE))</f>
        <v>0</v>
      </c>
      <c r="R54" s="4">
        <f>(VLOOKUP('7.0.3'!Z54,'7.0.3'!$AM$4:$AP$55,4,FALSE))</f>
        <v>0</v>
      </c>
      <c r="S54" s="4">
        <f>(VLOOKUP('7.0.3'!AA54,'7.0.3'!$AM$4:$AP$55,4,FALSE))</f>
        <v>0</v>
      </c>
      <c r="T54" s="4">
        <f>(VLOOKUP('7.0.3'!AB54,'7.0.3'!$AM$4:$AP$55,4,FALSE))</f>
        <v>0</v>
      </c>
      <c r="U54" s="4">
        <f>(VLOOKUP('7.0.3'!AC54,'7.0.3'!$AM$4:$AP$55,4,FALSE))</f>
        <v>0</v>
      </c>
      <c r="V54" s="4">
        <f>(VLOOKUP('7.0.3'!AD54,'7.0.3'!$AM$4:$AP$55,4,FALSE))</f>
        <v>0</v>
      </c>
      <c r="W54" s="4">
        <f>(VLOOKUP('7.0.3'!AE54,'7.0.3'!$AM$4:$AP$55,4,FALSE))</f>
        <v>0</v>
      </c>
      <c r="X54" s="4">
        <f>(VLOOKUP('7.0.3'!AF54,'7.0.3'!$AM$4:$AP$55,4,FALSE))</f>
        <v>0</v>
      </c>
    </row>
    <row r="55" spans="1:24">
      <c r="A55" s="4">
        <f>(VLOOKUP('7.0.3'!I55,'7.0.3'!$AM$4:$AP$55,4,FALSE))</f>
        <v>38</v>
      </c>
      <c r="B55" s="4">
        <f>(VLOOKUP('7.0.3'!J55,'7.0.3'!$AM$4:$AP$55,4,FALSE))</f>
        <v>38</v>
      </c>
      <c r="C55" s="4">
        <f>(VLOOKUP('7.0.3'!K55,'7.0.3'!$AM$4:$AP$55,4,FALSE))</f>
        <v>38</v>
      </c>
      <c r="D55" s="4">
        <f>(VLOOKUP('7.0.3'!L55,'7.0.3'!$AM$4:$AP$55,4,FALSE))</f>
        <v>38</v>
      </c>
      <c r="E55" s="4">
        <f>(VLOOKUP('7.0.3'!M55,'7.0.3'!$AM$4:$AP$55,4,FALSE))</f>
        <v>0</v>
      </c>
      <c r="F55" s="4">
        <f>(VLOOKUP('7.0.3'!N55,'7.0.3'!$AM$4:$AP$55,4,FALSE))</f>
        <v>0</v>
      </c>
      <c r="G55" s="4">
        <f>(VLOOKUP('7.0.3'!O55,'7.0.3'!$AM$4:$AP$55,4,FALSE))</f>
        <v>0</v>
      </c>
      <c r="H55" s="4">
        <f>(VLOOKUP('7.0.3'!P55,'7.0.3'!$AM$4:$AP$55,4,FALSE))</f>
        <v>0</v>
      </c>
      <c r="I55" s="4">
        <f>(VLOOKUP('7.0.3'!Q55,'7.0.3'!$AM$4:$AP$55,4,FALSE))</f>
        <v>0</v>
      </c>
      <c r="J55" s="4">
        <f>(VLOOKUP('7.0.3'!R55,'7.0.3'!$AM$4:$AP$55,4,FALSE))</f>
        <v>0</v>
      </c>
      <c r="K55" s="4">
        <f>(VLOOKUP('7.0.3'!S55,'7.0.3'!$AM$4:$AP$55,4,FALSE))</f>
        <v>0</v>
      </c>
      <c r="L55" s="4">
        <f>(VLOOKUP('7.0.3'!T55,'7.0.3'!$AM$4:$AP$55,4,FALSE))</f>
        <v>0</v>
      </c>
      <c r="M55" s="4">
        <f>(VLOOKUP('7.0.3'!U55,'7.0.3'!$AM$4:$AP$55,4,FALSE))</f>
        <v>0</v>
      </c>
      <c r="N55" s="4">
        <f>(VLOOKUP('7.0.3'!V55,'7.0.3'!$AM$4:$AP$55,4,FALSE))</f>
        <v>0</v>
      </c>
      <c r="O55" s="4">
        <f>(VLOOKUP('7.0.3'!W55,'7.0.3'!$AM$4:$AP$55,4,FALSE))</f>
        <v>0</v>
      </c>
      <c r="P55" s="4">
        <f>(VLOOKUP('7.0.3'!X55,'7.0.3'!$AM$4:$AP$55,4,FALSE))</f>
        <v>0</v>
      </c>
      <c r="Q55" s="4">
        <f>(VLOOKUP('7.0.3'!Y55,'7.0.3'!$AM$4:$AP$55,4,FALSE))</f>
        <v>0</v>
      </c>
      <c r="R55" s="4">
        <f>(VLOOKUP('7.0.3'!Z55,'7.0.3'!$AM$4:$AP$55,4,FALSE))</f>
        <v>0</v>
      </c>
      <c r="S55" s="4">
        <f>(VLOOKUP('7.0.3'!AA55,'7.0.3'!$AM$4:$AP$55,4,FALSE))</f>
        <v>0</v>
      </c>
      <c r="T55" s="4">
        <f>(VLOOKUP('7.0.3'!AB55,'7.0.3'!$AM$4:$AP$55,4,FALSE))</f>
        <v>0</v>
      </c>
      <c r="U55" s="4">
        <f>(VLOOKUP('7.0.3'!AC55,'7.0.3'!$AM$4:$AP$55,4,FALSE))</f>
        <v>0</v>
      </c>
      <c r="V55" s="4">
        <f>(VLOOKUP('7.0.3'!AD55,'7.0.3'!$AM$4:$AP$55,4,FALSE))</f>
        <v>0</v>
      </c>
      <c r="W55" s="4">
        <f>(VLOOKUP('7.0.3'!AE55,'7.0.3'!$AM$4:$AP$55,4,FALSE))</f>
        <v>0</v>
      </c>
      <c r="X55" s="4">
        <f>(VLOOKUP('7.0.3'!AF55,'7.0.3'!$AM$4:$AP$55,4,FALSE))</f>
        <v>0</v>
      </c>
    </row>
    <row r="56" spans="1:24">
      <c r="A56" s="4">
        <f>(VLOOKUP('7.0.3'!I56,'7.0.3'!$AM$4:$AP$55,4,FALSE))</f>
        <v>38</v>
      </c>
      <c r="B56" s="4">
        <f>(VLOOKUP('7.0.3'!J56,'7.0.3'!$AM$4:$AP$55,4,FALSE))</f>
        <v>38</v>
      </c>
      <c r="C56" s="4">
        <f>(VLOOKUP('7.0.3'!K56,'7.0.3'!$AM$4:$AP$55,4,FALSE))</f>
        <v>38</v>
      </c>
      <c r="D56" s="4">
        <f>(VLOOKUP('7.0.3'!L56,'7.0.3'!$AM$4:$AP$55,4,FALSE))</f>
        <v>38</v>
      </c>
      <c r="E56" s="4">
        <f>(VLOOKUP('7.0.3'!M56,'7.0.3'!$AM$4:$AP$55,4,FALSE))</f>
        <v>38</v>
      </c>
      <c r="F56" s="4">
        <f>(VLOOKUP('7.0.3'!N56,'7.0.3'!$AM$4:$AP$55,4,FALSE))</f>
        <v>0</v>
      </c>
      <c r="G56" s="4">
        <f>(VLOOKUP('7.0.3'!O56,'7.0.3'!$AM$4:$AP$55,4,FALSE))</f>
        <v>0</v>
      </c>
      <c r="H56" s="4">
        <f>(VLOOKUP('7.0.3'!P56,'7.0.3'!$AM$4:$AP$55,4,FALSE))</f>
        <v>0</v>
      </c>
      <c r="I56" s="4">
        <f>(VLOOKUP('7.0.3'!Q56,'7.0.3'!$AM$4:$AP$55,4,FALSE))</f>
        <v>0</v>
      </c>
      <c r="J56" s="4">
        <f>(VLOOKUP('7.0.3'!R56,'7.0.3'!$AM$4:$AP$55,4,FALSE))</f>
        <v>0</v>
      </c>
      <c r="K56" s="4">
        <f>(VLOOKUP('7.0.3'!S56,'7.0.3'!$AM$4:$AP$55,4,FALSE))</f>
        <v>0</v>
      </c>
      <c r="L56" s="4">
        <f>(VLOOKUP('7.0.3'!T56,'7.0.3'!$AM$4:$AP$55,4,FALSE))</f>
        <v>0</v>
      </c>
      <c r="M56" s="4">
        <f>(VLOOKUP('7.0.3'!U56,'7.0.3'!$AM$4:$AP$55,4,FALSE))</f>
        <v>0</v>
      </c>
      <c r="N56" s="4">
        <f>(VLOOKUP('7.0.3'!V56,'7.0.3'!$AM$4:$AP$55,4,FALSE))</f>
        <v>0</v>
      </c>
      <c r="O56" s="4">
        <f>(VLOOKUP('7.0.3'!W56,'7.0.3'!$AM$4:$AP$55,4,FALSE))</f>
        <v>0</v>
      </c>
      <c r="P56" s="4">
        <f>(VLOOKUP('7.0.3'!X56,'7.0.3'!$AM$4:$AP$55,4,FALSE))</f>
        <v>0</v>
      </c>
      <c r="Q56" s="4">
        <f>(VLOOKUP('7.0.3'!Y56,'7.0.3'!$AM$4:$AP$55,4,FALSE))</f>
        <v>0</v>
      </c>
      <c r="R56" s="4">
        <f>(VLOOKUP('7.0.3'!Z56,'7.0.3'!$AM$4:$AP$55,4,FALSE))</f>
        <v>0</v>
      </c>
      <c r="S56" s="4">
        <f>(VLOOKUP('7.0.3'!AA56,'7.0.3'!$AM$4:$AP$55,4,FALSE))</f>
        <v>0</v>
      </c>
      <c r="T56" s="4">
        <f>(VLOOKUP('7.0.3'!AB56,'7.0.3'!$AM$4:$AP$55,4,FALSE))</f>
        <v>0</v>
      </c>
      <c r="U56" s="4">
        <f>(VLOOKUP('7.0.3'!AC56,'7.0.3'!$AM$4:$AP$55,4,FALSE))</f>
        <v>0</v>
      </c>
      <c r="V56" s="4">
        <f>(VLOOKUP('7.0.3'!AD56,'7.0.3'!$AM$4:$AP$55,4,FALSE))</f>
        <v>0</v>
      </c>
      <c r="W56" s="4">
        <f>(VLOOKUP('7.0.3'!AE56,'7.0.3'!$AM$4:$AP$55,4,FALSE))</f>
        <v>0</v>
      </c>
      <c r="X56" s="4">
        <f>(VLOOKUP('7.0.3'!AF56,'7.0.3'!$AM$4:$AP$55,4,FALSE))</f>
        <v>0</v>
      </c>
    </row>
    <row r="57" spans="1:24">
      <c r="A57" s="4">
        <f>(VLOOKUP('7.0.3'!I57,'7.0.3'!$AM$4:$AP$55,4,FALSE))</f>
        <v>38</v>
      </c>
      <c r="B57" s="4">
        <f>(VLOOKUP('7.0.3'!J57,'7.0.3'!$AM$4:$AP$55,4,FALSE))</f>
        <v>38</v>
      </c>
      <c r="C57" s="4">
        <f>(VLOOKUP('7.0.3'!K57,'7.0.3'!$AM$4:$AP$55,4,FALSE))</f>
        <v>38</v>
      </c>
      <c r="D57" s="4">
        <f>(VLOOKUP('7.0.3'!L57,'7.0.3'!$AM$4:$AP$55,4,FALSE))</f>
        <v>38</v>
      </c>
      <c r="E57" s="4">
        <f>(VLOOKUP('7.0.3'!M57,'7.0.3'!$AM$4:$AP$55,4,FALSE))</f>
        <v>0</v>
      </c>
      <c r="F57" s="4">
        <f>(VLOOKUP('7.0.3'!N57,'7.0.3'!$AM$4:$AP$55,4,FALSE))</f>
        <v>0</v>
      </c>
      <c r="G57" s="4">
        <f>(VLOOKUP('7.0.3'!O57,'7.0.3'!$AM$4:$AP$55,4,FALSE))</f>
        <v>0</v>
      </c>
      <c r="H57" s="4">
        <f>(VLOOKUP('7.0.3'!P57,'7.0.3'!$AM$4:$AP$55,4,FALSE))</f>
        <v>0</v>
      </c>
      <c r="I57" s="4">
        <f>(VLOOKUP('7.0.3'!Q57,'7.0.3'!$AM$4:$AP$55,4,FALSE))</f>
        <v>0</v>
      </c>
      <c r="J57" s="4">
        <f>(VLOOKUP('7.0.3'!R57,'7.0.3'!$AM$4:$AP$55,4,FALSE))</f>
        <v>0</v>
      </c>
      <c r="K57" s="4">
        <f>(VLOOKUP('7.0.3'!S57,'7.0.3'!$AM$4:$AP$55,4,FALSE))</f>
        <v>0</v>
      </c>
      <c r="L57" s="4">
        <f>(VLOOKUP('7.0.3'!T57,'7.0.3'!$AM$4:$AP$55,4,FALSE))</f>
        <v>0</v>
      </c>
      <c r="M57" s="4">
        <f>(VLOOKUP('7.0.3'!U57,'7.0.3'!$AM$4:$AP$55,4,FALSE))</f>
        <v>0</v>
      </c>
      <c r="N57" s="4">
        <f>(VLOOKUP('7.0.3'!V57,'7.0.3'!$AM$4:$AP$55,4,FALSE))</f>
        <v>0</v>
      </c>
      <c r="O57" s="4">
        <f>(VLOOKUP('7.0.3'!W57,'7.0.3'!$AM$4:$AP$55,4,FALSE))</f>
        <v>0</v>
      </c>
      <c r="P57" s="4">
        <f>(VLOOKUP('7.0.3'!X57,'7.0.3'!$AM$4:$AP$55,4,FALSE))</f>
        <v>0</v>
      </c>
      <c r="Q57" s="4">
        <f>(VLOOKUP('7.0.3'!Y57,'7.0.3'!$AM$4:$AP$55,4,FALSE))</f>
        <v>0</v>
      </c>
      <c r="R57" s="4">
        <f>(VLOOKUP('7.0.3'!Z57,'7.0.3'!$AM$4:$AP$55,4,FALSE))</f>
        <v>0</v>
      </c>
      <c r="S57" s="4">
        <f>(VLOOKUP('7.0.3'!AA57,'7.0.3'!$AM$4:$AP$55,4,FALSE))</f>
        <v>0</v>
      </c>
      <c r="T57" s="4">
        <f>(VLOOKUP('7.0.3'!AB57,'7.0.3'!$AM$4:$AP$55,4,FALSE))</f>
        <v>0</v>
      </c>
      <c r="U57" s="4">
        <f>(VLOOKUP('7.0.3'!AC57,'7.0.3'!$AM$4:$AP$55,4,FALSE))</f>
        <v>0</v>
      </c>
      <c r="V57" s="4">
        <f>(VLOOKUP('7.0.3'!AD57,'7.0.3'!$AM$4:$AP$55,4,FALSE))</f>
        <v>0</v>
      </c>
      <c r="W57" s="4">
        <f>(VLOOKUP('7.0.3'!AE57,'7.0.3'!$AM$4:$AP$55,4,FALSE))</f>
        <v>0</v>
      </c>
      <c r="X57" s="4">
        <f>(VLOOKUP('7.0.3'!AF57,'7.0.3'!$AM$4:$AP$55,4,FALSE))</f>
        <v>0</v>
      </c>
    </row>
    <row r="58" spans="1:24">
      <c r="A58" s="4">
        <f>(VLOOKUP('7.0.3'!I58,'7.0.3'!$AM$4:$AP$55,4,FALSE))</f>
        <v>38</v>
      </c>
      <c r="B58" s="4">
        <f>(VLOOKUP('7.0.3'!J58,'7.0.3'!$AM$4:$AP$55,4,FALSE))</f>
        <v>38</v>
      </c>
      <c r="C58" s="4">
        <f>(VLOOKUP('7.0.3'!K58,'7.0.3'!$AM$4:$AP$55,4,FALSE))</f>
        <v>38</v>
      </c>
      <c r="D58" s="4">
        <f>(VLOOKUP('7.0.3'!L58,'7.0.3'!$AM$4:$AP$55,4,FALSE))</f>
        <v>38</v>
      </c>
      <c r="E58" s="4">
        <f>(VLOOKUP('7.0.3'!M58,'7.0.3'!$AM$4:$AP$55,4,FALSE))</f>
        <v>0</v>
      </c>
      <c r="F58" s="4">
        <f>(VLOOKUP('7.0.3'!N58,'7.0.3'!$AM$4:$AP$55,4,FALSE))</f>
        <v>0</v>
      </c>
      <c r="G58" s="4">
        <f>(VLOOKUP('7.0.3'!O58,'7.0.3'!$AM$4:$AP$55,4,FALSE))</f>
        <v>0</v>
      </c>
      <c r="H58" s="4">
        <f>(VLOOKUP('7.0.3'!P58,'7.0.3'!$AM$4:$AP$55,4,FALSE))</f>
        <v>0</v>
      </c>
      <c r="I58" s="4">
        <f>(VLOOKUP('7.0.3'!Q58,'7.0.3'!$AM$4:$AP$55,4,FALSE))</f>
        <v>0</v>
      </c>
      <c r="J58" s="4">
        <f>(VLOOKUP('7.0.3'!R58,'7.0.3'!$AM$4:$AP$55,4,FALSE))</f>
        <v>0</v>
      </c>
      <c r="K58" s="4">
        <f>(VLOOKUP('7.0.3'!S58,'7.0.3'!$AM$4:$AP$55,4,FALSE))</f>
        <v>0</v>
      </c>
      <c r="L58" s="4">
        <f>(VLOOKUP('7.0.3'!T58,'7.0.3'!$AM$4:$AP$55,4,FALSE))</f>
        <v>0</v>
      </c>
      <c r="M58" s="4">
        <f>(VLOOKUP('7.0.3'!U58,'7.0.3'!$AM$4:$AP$55,4,FALSE))</f>
        <v>0</v>
      </c>
      <c r="N58" s="4">
        <f>(VLOOKUP('7.0.3'!V58,'7.0.3'!$AM$4:$AP$55,4,FALSE))</f>
        <v>0</v>
      </c>
      <c r="O58" s="4">
        <f>(VLOOKUP('7.0.3'!W58,'7.0.3'!$AM$4:$AP$55,4,FALSE))</f>
        <v>0</v>
      </c>
      <c r="P58" s="4">
        <f>(VLOOKUP('7.0.3'!X58,'7.0.3'!$AM$4:$AP$55,4,FALSE))</f>
        <v>0</v>
      </c>
      <c r="Q58" s="4">
        <f>(VLOOKUP('7.0.3'!Y58,'7.0.3'!$AM$4:$AP$55,4,FALSE))</f>
        <v>0</v>
      </c>
      <c r="R58" s="4">
        <f>(VLOOKUP('7.0.3'!Z58,'7.0.3'!$AM$4:$AP$55,4,FALSE))</f>
        <v>0</v>
      </c>
      <c r="S58" s="4">
        <f>(VLOOKUP('7.0.3'!AA58,'7.0.3'!$AM$4:$AP$55,4,FALSE))</f>
        <v>0</v>
      </c>
      <c r="T58" s="4">
        <f>(VLOOKUP('7.0.3'!AB58,'7.0.3'!$AM$4:$AP$55,4,FALSE))</f>
        <v>0</v>
      </c>
      <c r="U58" s="4">
        <f>(VLOOKUP('7.0.3'!AC58,'7.0.3'!$AM$4:$AP$55,4,FALSE))</f>
        <v>0</v>
      </c>
      <c r="V58" s="4">
        <f>(VLOOKUP('7.0.3'!AD58,'7.0.3'!$AM$4:$AP$55,4,FALSE))</f>
        <v>0</v>
      </c>
      <c r="W58" s="4">
        <f>(VLOOKUP('7.0.3'!AE58,'7.0.3'!$AM$4:$AP$55,4,FALSE))</f>
        <v>0</v>
      </c>
      <c r="X58" s="4">
        <f>(VLOOKUP('7.0.3'!AF58,'7.0.3'!$AM$4:$AP$55,4,FALSE))</f>
        <v>0</v>
      </c>
    </row>
    <row r="59" spans="1:24">
      <c r="A59" s="4">
        <f>(VLOOKUP('7.0.3'!I59,'7.0.3'!$AM$4:$AP$55,4,FALSE))</f>
        <v>38</v>
      </c>
      <c r="B59" s="4">
        <f>(VLOOKUP('7.0.3'!J59,'7.0.3'!$AM$4:$AP$55,4,FALSE))</f>
        <v>38</v>
      </c>
      <c r="C59" s="4">
        <f>(VLOOKUP('7.0.3'!K59,'7.0.3'!$AM$4:$AP$55,4,FALSE))</f>
        <v>38</v>
      </c>
      <c r="D59" s="4">
        <f>(VLOOKUP('7.0.3'!L59,'7.0.3'!$AM$4:$AP$55,4,FALSE))</f>
        <v>38</v>
      </c>
      <c r="E59" s="4">
        <f>(VLOOKUP('7.0.3'!M59,'7.0.3'!$AM$4:$AP$55,4,FALSE))</f>
        <v>0</v>
      </c>
      <c r="F59" s="4">
        <f>(VLOOKUP('7.0.3'!N59,'7.0.3'!$AM$4:$AP$55,4,FALSE))</f>
        <v>0</v>
      </c>
      <c r="G59" s="4">
        <f>(VLOOKUP('7.0.3'!O59,'7.0.3'!$AM$4:$AP$55,4,FALSE))</f>
        <v>0</v>
      </c>
      <c r="H59" s="4">
        <f>(VLOOKUP('7.0.3'!P59,'7.0.3'!$AM$4:$AP$55,4,FALSE))</f>
        <v>0</v>
      </c>
      <c r="I59" s="4">
        <f>(VLOOKUP('7.0.3'!Q59,'7.0.3'!$AM$4:$AP$55,4,FALSE))</f>
        <v>0</v>
      </c>
      <c r="J59" s="4">
        <f>(VLOOKUP('7.0.3'!R59,'7.0.3'!$AM$4:$AP$55,4,FALSE))</f>
        <v>0</v>
      </c>
      <c r="K59" s="4">
        <f>(VLOOKUP('7.0.3'!S59,'7.0.3'!$AM$4:$AP$55,4,FALSE))</f>
        <v>0</v>
      </c>
      <c r="L59" s="4">
        <f>(VLOOKUP('7.0.3'!T59,'7.0.3'!$AM$4:$AP$55,4,FALSE))</f>
        <v>0</v>
      </c>
      <c r="M59" s="4">
        <f>(VLOOKUP('7.0.3'!U59,'7.0.3'!$AM$4:$AP$55,4,FALSE))</f>
        <v>0</v>
      </c>
      <c r="N59" s="4">
        <f>(VLOOKUP('7.0.3'!V59,'7.0.3'!$AM$4:$AP$55,4,FALSE))</f>
        <v>0</v>
      </c>
      <c r="O59" s="4">
        <f>(VLOOKUP('7.0.3'!W59,'7.0.3'!$AM$4:$AP$55,4,FALSE))</f>
        <v>0</v>
      </c>
      <c r="P59" s="4">
        <f>(VLOOKUP('7.0.3'!X59,'7.0.3'!$AM$4:$AP$55,4,FALSE))</f>
        <v>0</v>
      </c>
      <c r="Q59" s="4">
        <f>(VLOOKUP('7.0.3'!Y59,'7.0.3'!$AM$4:$AP$55,4,FALSE))</f>
        <v>0</v>
      </c>
      <c r="R59" s="4">
        <f>(VLOOKUP('7.0.3'!Z59,'7.0.3'!$AM$4:$AP$55,4,FALSE))</f>
        <v>0</v>
      </c>
      <c r="S59" s="4">
        <f>(VLOOKUP('7.0.3'!AA59,'7.0.3'!$AM$4:$AP$55,4,FALSE))</f>
        <v>0</v>
      </c>
      <c r="T59" s="4">
        <f>(VLOOKUP('7.0.3'!AB59,'7.0.3'!$AM$4:$AP$55,4,FALSE))</f>
        <v>0</v>
      </c>
      <c r="U59" s="4">
        <f>(VLOOKUP('7.0.3'!AC59,'7.0.3'!$AM$4:$AP$55,4,FALSE))</f>
        <v>0</v>
      </c>
      <c r="V59" s="4">
        <f>(VLOOKUP('7.0.3'!AD59,'7.0.3'!$AM$4:$AP$55,4,FALSE))</f>
        <v>0</v>
      </c>
      <c r="W59" s="4">
        <f>(VLOOKUP('7.0.3'!AE59,'7.0.3'!$AM$4:$AP$55,4,FALSE))</f>
        <v>0</v>
      </c>
      <c r="X59" s="4">
        <f>(VLOOKUP('7.0.3'!AF59,'7.0.3'!$AM$4:$AP$55,4,FALSE))</f>
        <v>0</v>
      </c>
    </row>
    <row r="60" spans="1:24">
      <c r="A60" s="4">
        <f>(VLOOKUP('7.0.3'!I60,'7.0.3'!$AM$4:$AP$55,4,FALSE))</f>
        <v>38</v>
      </c>
      <c r="B60" s="4">
        <f>(VLOOKUP('7.0.3'!J60,'7.0.3'!$AM$4:$AP$55,4,FALSE))</f>
        <v>38</v>
      </c>
      <c r="C60" s="4">
        <f>(VLOOKUP('7.0.3'!K60,'7.0.3'!$AM$4:$AP$55,4,FALSE))</f>
        <v>38</v>
      </c>
      <c r="D60" s="4">
        <f>(VLOOKUP('7.0.3'!L60,'7.0.3'!$AM$4:$AP$55,4,FALSE))</f>
        <v>38</v>
      </c>
      <c r="E60" s="4">
        <f>(VLOOKUP('7.0.3'!M60,'7.0.3'!$AM$4:$AP$55,4,FALSE))</f>
        <v>0</v>
      </c>
      <c r="F60" s="4">
        <f>(VLOOKUP('7.0.3'!N60,'7.0.3'!$AM$4:$AP$55,4,FALSE))</f>
        <v>0</v>
      </c>
      <c r="G60" s="4">
        <f>(VLOOKUP('7.0.3'!O60,'7.0.3'!$AM$4:$AP$55,4,FALSE))</f>
        <v>0</v>
      </c>
      <c r="H60" s="4">
        <f>(VLOOKUP('7.0.3'!P60,'7.0.3'!$AM$4:$AP$55,4,FALSE))</f>
        <v>0</v>
      </c>
      <c r="I60" s="4">
        <f>(VLOOKUP('7.0.3'!Q60,'7.0.3'!$AM$4:$AP$55,4,FALSE))</f>
        <v>0</v>
      </c>
      <c r="J60" s="4">
        <f>(VLOOKUP('7.0.3'!R60,'7.0.3'!$AM$4:$AP$55,4,FALSE))</f>
        <v>0</v>
      </c>
      <c r="K60" s="4">
        <f>(VLOOKUP('7.0.3'!S60,'7.0.3'!$AM$4:$AP$55,4,FALSE))</f>
        <v>0</v>
      </c>
      <c r="L60" s="4">
        <f>(VLOOKUP('7.0.3'!T60,'7.0.3'!$AM$4:$AP$55,4,FALSE))</f>
        <v>0</v>
      </c>
      <c r="M60" s="4">
        <f>(VLOOKUP('7.0.3'!U60,'7.0.3'!$AM$4:$AP$55,4,FALSE))</f>
        <v>0</v>
      </c>
      <c r="N60" s="4">
        <f>(VLOOKUP('7.0.3'!V60,'7.0.3'!$AM$4:$AP$55,4,FALSE))</f>
        <v>0</v>
      </c>
      <c r="O60" s="4">
        <f>(VLOOKUP('7.0.3'!W60,'7.0.3'!$AM$4:$AP$55,4,FALSE))</f>
        <v>0</v>
      </c>
      <c r="P60" s="4">
        <f>(VLOOKUP('7.0.3'!X60,'7.0.3'!$AM$4:$AP$55,4,FALSE))</f>
        <v>0</v>
      </c>
      <c r="Q60" s="4">
        <f>(VLOOKUP('7.0.3'!Y60,'7.0.3'!$AM$4:$AP$55,4,FALSE))</f>
        <v>0</v>
      </c>
      <c r="R60" s="4">
        <f>(VLOOKUP('7.0.3'!Z60,'7.0.3'!$AM$4:$AP$55,4,FALSE))</f>
        <v>0</v>
      </c>
      <c r="S60" s="4">
        <f>(VLOOKUP('7.0.3'!AA60,'7.0.3'!$AM$4:$AP$55,4,FALSE))</f>
        <v>0</v>
      </c>
      <c r="T60" s="4">
        <f>(VLOOKUP('7.0.3'!AB60,'7.0.3'!$AM$4:$AP$55,4,FALSE))</f>
        <v>0</v>
      </c>
      <c r="U60" s="4">
        <f>(VLOOKUP('7.0.3'!AC60,'7.0.3'!$AM$4:$AP$55,4,FALSE))</f>
        <v>0</v>
      </c>
      <c r="V60" s="4">
        <f>(VLOOKUP('7.0.3'!AD60,'7.0.3'!$AM$4:$AP$55,4,FALSE))</f>
        <v>0</v>
      </c>
      <c r="W60" s="4">
        <f>(VLOOKUP('7.0.3'!AE60,'7.0.3'!$AM$4:$AP$55,4,FALSE))</f>
        <v>0</v>
      </c>
      <c r="X60" s="4">
        <f>(VLOOKUP('7.0.3'!AF60,'7.0.3'!$AM$4:$AP$55,4,FALSE))</f>
        <v>0</v>
      </c>
    </row>
    <row r="61" spans="1:24">
      <c r="A61" s="4">
        <f>(VLOOKUP('7.0.3'!I61,'7.0.3'!$AM$4:$AP$55,4,FALSE))</f>
        <v>38</v>
      </c>
      <c r="B61" s="4">
        <f>(VLOOKUP('7.0.3'!J61,'7.0.3'!$AM$4:$AP$55,4,FALSE))</f>
        <v>38</v>
      </c>
      <c r="C61" s="4">
        <f>(VLOOKUP('7.0.3'!K61,'7.0.3'!$AM$4:$AP$55,4,FALSE))</f>
        <v>38</v>
      </c>
      <c r="D61" s="4">
        <f>(VLOOKUP('7.0.3'!L61,'7.0.3'!$AM$4:$AP$55,4,FALSE))</f>
        <v>38</v>
      </c>
      <c r="E61" s="4">
        <f>(VLOOKUP('7.0.3'!M61,'7.0.3'!$AM$4:$AP$55,4,FALSE))</f>
        <v>0</v>
      </c>
      <c r="F61" s="4">
        <f>(VLOOKUP('7.0.3'!N61,'7.0.3'!$AM$4:$AP$55,4,FALSE))</f>
        <v>0</v>
      </c>
      <c r="G61" s="4">
        <f>(VLOOKUP('7.0.3'!O61,'7.0.3'!$AM$4:$AP$55,4,FALSE))</f>
        <v>0</v>
      </c>
      <c r="H61" s="4">
        <f>(VLOOKUP('7.0.3'!P61,'7.0.3'!$AM$4:$AP$55,4,FALSE))</f>
        <v>0</v>
      </c>
      <c r="I61" s="4">
        <f>(VLOOKUP('7.0.3'!Q61,'7.0.3'!$AM$4:$AP$55,4,FALSE))</f>
        <v>0</v>
      </c>
      <c r="J61" s="4">
        <f>(VLOOKUP('7.0.3'!R61,'7.0.3'!$AM$4:$AP$55,4,FALSE))</f>
        <v>0</v>
      </c>
      <c r="K61" s="4">
        <f>(VLOOKUP('7.0.3'!S61,'7.0.3'!$AM$4:$AP$55,4,FALSE))</f>
        <v>0</v>
      </c>
      <c r="L61" s="4">
        <f>(VLOOKUP('7.0.3'!T61,'7.0.3'!$AM$4:$AP$55,4,FALSE))</f>
        <v>0</v>
      </c>
      <c r="M61" s="4">
        <f>(VLOOKUP('7.0.3'!U61,'7.0.3'!$AM$4:$AP$55,4,FALSE))</f>
        <v>0</v>
      </c>
      <c r="N61" s="4">
        <f>(VLOOKUP('7.0.3'!V61,'7.0.3'!$AM$4:$AP$55,4,FALSE))</f>
        <v>0</v>
      </c>
      <c r="O61" s="4">
        <f>(VLOOKUP('7.0.3'!W61,'7.0.3'!$AM$4:$AP$55,4,FALSE))</f>
        <v>0</v>
      </c>
      <c r="P61" s="4">
        <f>(VLOOKUP('7.0.3'!X61,'7.0.3'!$AM$4:$AP$55,4,FALSE))</f>
        <v>0</v>
      </c>
      <c r="Q61" s="4">
        <f>(VLOOKUP('7.0.3'!Y61,'7.0.3'!$AM$4:$AP$55,4,FALSE))</f>
        <v>0</v>
      </c>
      <c r="R61" s="4">
        <f>(VLOOKUP('7.0.3'!Z61,'7.0.3'!$AM$4:$AP$55,4,FALSE))</f>
        <v>0</v>
      </c>
      <c r="S61" s="4">
        <f>(VLOOKUP('7.0.3'!AA61,'7.0.3'!$AM$4:$AP$55,4,FALSE))</f>
        <v>0</v>
      </c>
      <c r="T61" s="4">
        <f>(VLOOKUP('7.0.3'!AB61,'7.0.3'!$AM$4:$AP$55,4,FALSE))</f>
        <v>0</v>
      </c>
      <c r="U61" s="4">
        <f>(VLOOKUP('7.0.3'!AC61,'7.0.3'!$AM$4:$AP$55,4,FALSE))</f>
        <v>0</v>
      </c>
      <c r="V61" s="4">
        <f>(VLOOKUP('7.0.3'!AD61,'7.0.3'!$AM$4:$AP$55,4,FALSE))</f>
        <v>0</v>
      </c>
      <c r="W61" s="4">
        <f>(VLOOKUP('7.0.3'!AE61,'7.0.3'!$AM$4:$AP$55,4,FALSE))</f>
        <v>0</v>
      </c>
      <c r="X61" s="4">
        <f>(VLOOKUP('7.0.3'!AF61,'7.0.3'!$AM$4:$AP$55,4,FALSE))</f>
        <v>0</v>
      </c>
    </row>
    <row r="62" spans="1:24">
      <c r="A62" s="4">
        <f>(VLOOKUP('7.0.3'!I62,'7.0.3'!$AM$4:$AP$55,4,FALSE))</f>
        <v>38</v>
      </c>
      <c r="B62" s="4">
        <f>(VLOOKUP('7.0.3'!J62,'7.0.3'!$AM$4:$AP$55,4,FALSE))</f>
        <v>38</v>
      </c>
      <c r="C62" s="4">
        <f>(VLOOKUP('7.0.3'!K62,'7.0.3'!$AM$4:$AP$55,4,FALSE))</f>
        <v>38</v>
      </c>
      <c r="D62" s="4">
        <f>(VLOOKUP('7.0.3'!L62,'7.0.3'!$AM$4:$AP$55,4,FALSE))</f>
        <v>38</v>
      </c>
      <c r="E62" s="4">
        <f>(VLOOKUP('7.0.3'!M62,'7.0.3'!$AM$4:$AP$55,4,FALSE))</f>
        <v>0</v>
      </c>
      <c r="F62" s="4">
        <f>(VLOOKUP('7.0.3'!N62,'7.0.3'!$AM$4:$AP$55,4,FALSE))</f>
        <v>0</v>
      </c>
      <c r="G62" s="4">
        <f>(VLOOKUP('7.0.3'!O62,'7.0.3'!$AM$4:$AP$55,4,FALSE))</f>
        <v>0</v>
      </c>
      <c r="H62" s="4">
        <f>(VLOOKUP('7.0.3'!P62,'7.0.3'!$AM$4:$AP$55,4,FALSE))</f>
        <v>0</v>
      </c>
      <c r="I62" s="4">
        <f>(VLOOKUP('7.0.3'!Q62,'7.0.3'!$AM$4:$AP$55,4,FALSE))</f>
        <v>0</v>
      </c>
      <c r="J62" s="4">
        <f>(VLOOKUP('7.0.3'!R62,'7.0.3'!$AM$4:$AP$55,4,FALSE))</f>
        <v>0</v>
      </c>
      <c r="K62" s="4">
        <f>(VLOOKUP('7.0.3'!S62,'7.0.3'!$AM$4:$AP$55,4,FALSE))</f>
        <v>0</v>
      </c>
      <c r="L62" s="4">
        <f>(VLOOKUP('7.0.3'!T62,'7.0.3'!$AM$4:$AP$55,4,FALSE))</f>
        <v>0</v>
      </c>
      <c r="M62" s="4">
        <f>(VLOOKUP('7.0.3'!U62,'7.0.3'!$AM$4:$AP$55,4,FALSE))</f>
        <v>0</v>
      </c>
      <c r="N62" s="4">
        <f>(VLOOKUP('7.0.3'!V62,'7.0.3'!$AM$4:$AP$55,4,FALSE))</f>
        <v>0</v>
      </c>
      <c r="O62" s="4">
        <f>(VLOOKUP('7.0.3'!W62,'7.0.3'!$AM$4:$AP$55,4,FALSE))</f>
        <v>0</v>
      </c>
      <c r="P62" s="4">
        <f>(VLOOKUP('7.0.3'!X62,'7.0.3'!$AM$4:$AP$55,4,FALSE))</f>
        <v>0</v>
      </c>
      <c r="Q62" s="4">
        <f>(VLOOKUP('7.0.3'!Y62,'7.0.3'!$AM$4:$AP$55,4,FALSE))</f>
        <v>0</v>
      </c>
      <c r="R62" s="4">
        <f>(VLOOKUP('7.0.3'!Z62,'7.0.3'!$AM$4:$AP$55,4,FALSE))</f>
        <v>0</v>
      </c>
      <c r="S62" s="4">
        <f>(VLOOKUP('7.0.3'!AA62,'7.0.3'!$AM$4:$AP$55,4,FALSE))</f>
        <v>0</v>
      </c>
      <c r="T62" s="4">
        <f>(VLOOKUP('7.0.3'!AB62,'7.0.3'!$AM$4:$AP$55,4,FALSE))</f>
        <v>0</v>
      </c>
      <c r="U62" s="4">
        <f>(VLOOKUP('7.0.3'!AC62,'7.0.3'!$AM$4:$AP$55,4,FALSE))</f>
        <v>0</v>
      </c>
      <c r="V62" s="4">
        <f>(VLOOKUP('7.0.3'!AD62,'7.0.3'!$AM$4:$AP$55,4,FALSE))</f>
        <v>0</v>
      </c>
      <c r="W62" s="4">
        <f>(VLOOKUP('7.0.3'!AE62,'7.0.3'!$AM$4:$AP$55,4,FALSE))</f>
        <v>0</v>
      </c>
      <c r="X62" s="4">
        <f>(VLOOKUP('7.0.3'!AF62,'7.0.3'!$AM$4:$AP$55,4,FALSE))</f>
        <v>0</v>
      </c>
    </row>
    <row r="63" spans="1:24">
      <c r="A63" s="4">
        <f>(VLOOKUP('7.0.3'!I63,'7.0.3'!$AM$4:$AP$55,4,FALSE))</f>
        <v>38</v>
      </c>
      <c r="B63" s="4">
        <f>(VLOOKUP('7.0.3'!J63,'7.0.3'!$AM$4:$AP$55,4,FALSE))</f>
        <v>38</v>
      </c>
      <c r="C63" s="4">
        <f>(VLOOKUP('7.0.3'!K63,'7.0.3'!$AM$4:$AP$55,4,FALSE))</f>
        <v>38</v>
      </c>
      <c r="D63" s="4">
        <f>(VLOOKUP('7.0.3'!L63,'7.0.3'!$AM$4:$AP$55,4,FALSE))</f>
        <v>36</v>
      </c>
      <c r="E63" s="4">
        <f>(VLOOKUP('7.0.3'!M63,'7.0.3'!$AM$4:$AP$55,4,FALSE))</f>
        <v>0</v>
      </c>
      <c r="F63" s="4">
        <f>(VLOOKUP('7.0.3'!N63,'7.0.3'!$AM$4:$AP$55,4,FALSE))</f>
        <v>0</v>
      </c>
      <c r="G63" s="4">
        <f>(VLOOKUP('7.0.3'!O63,'7.0.3'!$AM$4:$AP$55,4,FALSE))</f>
        <v>0</v>
      </c>
      <c r="H63" s="4">
        <f>(VLOOKUP('7.0.3'!P63,'7.0.3'!$AM$4:$AP$55,4,FALSE))</f>
        <v>0</v>
      </c>
      <c r="I63" s="4">
        <f>(VLOOKUP('7.0.3'!Q63,'7.0.3'!$AM$4:$AP$55,4,FALSE))</f>
        <v>0</v>
      </c>
      <c r="J63" s="4">
        <f>(VLOOKUP('7.0.3'!R63,'7.0.3'!$AM$4:$AP$55,4,FALSE))</f>
        <v>0</v>
      </c>
      <c r="K63" s="4">
        <f>(VLOOKUP('7.0.3'!S63,'7.0.3'!$AM$4:$AP$55,4,FALSE))</f>
        <v>0</v>
      </c>
      <c r="L63" s="4">
        <f>(VLOOKUP('7.0.3'!T63,'7.0.3'!$AM$4:$AP$55,4,FALSE))</f>
        <v>0</v>
      </c>
      <c r="M63" s="4">
        <f>(VLOOKUP('7.0.3'!U63,'7.0.3'!$AM$4:$AP$55,4,FALSE))</f>
        <v>0</v>
      </c>
      <c r="N63" s="4">
        <f>(VLOOKUP('7.0.3'!V63,'7.0.3'!$AM$4:$AP$55,4,FALSE))</f>
        <v>0</v>
      </c>
      <c r="O63" s="4">
        <f>(VLOOKUP('7.0.3'!W63,'7.0.3'!$AM$4:$AP$55,4,FALSE))</f>
        <v>0</v>
      </c>
      <c r="P63" s="4">
        <f>(VLOOKUP('7.0.3'!X63,'7.0.3'!$AM$4:$AP$55,4,FALSE))</f>
        <v>0</v>
      </c>
      <c r="Q63" s="4">
        <f>(VLOOKUP('7.0.3'!Y63,'7.0.3'!$AM$4:$AP$55,4,FALSE))</f>
        <v>0</v>
      </c>
      <c r="R63" s="4">
        <f>(VLOOKUP('7.0.3'!Z63,'7.0.3'!$AM$4:$AP$55,4,FALSE))</f>
        <v>0</v>
      </c>
      <c r="S63" s="4">
        <f>(VLOOKUP('7.0.3'!AA63,'7.0.3'!$AM$4:$AP$55,4,FALSE))</f>
        <v>0</v>
      </c>
      <c r="T63" s="4">
        <f>(VLOOKUP('7.0.3'!AB63,'7.0.3'!$AM$4:$AP$55,4,FALSE))</f>
        <v>0</v>
      </c>
      <c r="U63" s="4">
        <f>(VLOOKUP('7.0.3'!AC63,'7.0.3'!$AM$4:$AP$55,4,FALSE))</f>
        <v>0</v>
      </c>
      <c r="V63" s="4">
        <f>(VLOOKUP('7.0.3'!AD63,'7.0.3'!$AM$4:$AP$55,4,FALSE))</f>
        <v>0</v>
      </c>
      <c r="W63" s="4">
        <f>(VLOOKUP('7.0.3'!AE63,'7.0.3'!$AM$4:$AP$55,4,FALSE))</f>
        <v>0</v>
      </c>
      <c r="X63" s="4">
        <f>(VLOOKUP('7.0.3'!AF63,'7.0.3'!$AM$4:$AP$55,4,FALSE))</f>
        <v>0</v>
      </c>
    </row>
    <row r="64" spans="1:24">
      <c r="A64" s="4">
        <f>(VLOOKUP('7.0.3'!I64,'7.0.3'!$AM$4:$AP$55,4,FALSE))</f>
        <v>36</v>
      </c>
      <c r="B64" s="4">
        <f>(VLOOKUP('7.0.3'!J64,'7.0.3'!$AM$4:$AP$55,4,FALSE))</f>
        <v>0</v>
      </c>
      <c r="C64" s="4">
        <f>(VLOOKUP('7.0.3'!K64,'7.0.3'!$AM$4:$AP$55,4,FALSE))</f>
        <v>36</v>
      </c>
      <c r="D64" s="4">
        <f>(VLOOKUP('7.0.3'!L64,'7.0.3'!$AM$4:$AP$55,4,FALSE))</f>
        <v>36</v>
      </c>
      <c r="E64" s="4">
        <f>(VLOOKUP('7.0.3'!M64,'7.0.3'!$AM$4:$AP$55,4,FALSE))</f>
        <v>36</v>
      </c>
      <c r="F64" s="4">
        <f>(VLOOKUP('7.0.3'!N64,'7.0.3'!$AM$4:$AP$55,4,FALSE))</f>
        <v>36</v>
      </c>
      <c r="G64" s="4">
        <f>(VLOOKUP('7.0.3'!O64,'7.0.3'!$AM$4:$AP$55,4,FALSE))</f>
        <v>36</v>
      </c>
      <c r="H64" s="4">
        <f>(VLOOKUP('7.0.3'!P64,'7.0.3'!$AM$4:$AP$55,4,FALSE))</f>
        <v>0</v>
      </c>
      <c r="I64" s="4">
        <f>(VLOOKUP('7.0.3'!Q64,'7.0.3'!$AM$4:$AP$55,4,FALSE))</f>
        <v>38</v>
      </c>
      <c r="J64" s="4">
        <f>(VLOOKUP('7.0.3'!R64,'7.0.3'!$AM$4:$AP$55,4,FALSE))</f>
        <v>38</v>
      </c>
      <c r="K64" s="4">
        <f>(VLOOKUP('7.0.3'!S64,'7.0.3'!$AM$4:$AP$55,4,FALSE))</f>
        <v>38</v>
      </c>
      <c r="L64" s="4">
        <f>(VLOOKUP('7.0.3'!T64,'7.0.3'!$AM$4:$AP$55,4,FALSE))</f>
        <v>38</v>
      </c>
      <c r="M64" s="4">
        <f>(VLOOKUP('7.0.3'!U64,'7.0.3'!$AM$4:$AP$55,4,FALSE))</f>
        <v>38</v>
      </c>
      <c r="N64" s="4">
        <f>(VLOOKUP('7.0.3'!V64,'7.0.3'!$AM$4:$AP$55,4,FALSE))</f>
        <v>38</v>
      </c>
      <c r="O64" s="4">
        <f>(VLOOKUP('7.0.3'!W64,'7.0.3'!$AM$4:$AP$55,4,FALSE))</f>
        <v>0</v>
      </c>
      <c r="P64" s="4">
        <f>(VLOOKUP('7.0.3'!X64,'7.0.3'!$AM$4:$AP$55,4,FALSE))</f>
        <v>0</v>
      </c>
      <c r="Q64" s="4">
        <f>(VLOOKUP('7.0.3'!Y64,'7.0.3'!$AM$4:$AP$55,4,FALSE))</f>
        <v>0</v>
      </c>
      <c r="R64" s="4">
        <f>(VLOOKUP('7.0.3'!Z64,'7.0.3'!$AM$4:$AP$55,4,FALSE))</f>
        <v>0</v>
      </c>
      <c r="S64" s="4">
        <f>(VLOOKUP('7.0.3'!AA64,'7.0.3'!$AM$4:$AP$55,4,FALSE))</f>
        <v>0</v>
      </c>
      <c r="T64" s="4">
        <f>(VLOOKUP('7.0.3'!AB64,'7.0.3'!$AM$4:$AP$55,4,FALSE))</f>
        <v>0</v>
      </c>
      <c r="U64" s="4">
        <f>(VLOOKUP('7.0.3'!AC64,'7.0.3'!$AM$4:$AP$55,4,FALSE))</f>
        <v>0</v>
      </c>
      <c r="V64" s="4">
        <f>(VLOOKUP('7.0.3'!AD64,'7.0.3'!$AM$4:$AP$55,4,FALSE))</f>
        <v>0</v>
      </c>
      <c r="W64" s="4">
        <f>(VLOOKUP('7.0.3'!AE64,'7.0.3'!$AM$4:$AP$55,4,FALSE))</f>
        <v>0</v>
      </c>
      <c r="X64" s="4">
        <f>(VLOOKUP('7.0.3'!AF64,'7.0.3'!$AM$4:$AP$55,4,FALSE))</f>
        <v>0</v>
      </c>
    </row>
    <row r="65" spans="1:24">
      <c r="A65" s="4">
        <f>(VLOOKUP('7.0.3'!I65,'7.0.3'!$AM$4:$AP$55,4,FALSE))</f>
        <v>36</v>
      </c>
      <c r="B65" s="4">
        <f>(VLOOKUP('7.0.3'!J65,'7.0.3'!$AM$4:$AP$55,4,FALSE))</f>
        <v>36</v>
      </c>
      <c r="C65" s="4">
        <f>(VLOOKUP('7.0.3'!K65,'7.0.3'!$AM$4:$AP$55,4,FALSE))</f>
        <v>36</v>
      </c>
      <c r="D65" s="4">
        <f>(VLOOKUP('7.0.3'!L65,'7.0.3'!$AM$4:$AP$55,4,FALSE))</f>
        <v>36</v>
      </c>
      <c r="E65" s="4">
        <f>(VLOOKUP('7.0.3'!M65,'7.0.3'!$AM$4:$AP$55,4,FALSE))</f>
        <v>36</v>
      </c>
      <c r="F65" s="4">
        <f>(VLOOKUP('7.0.3'!N65,'7.0.3'!$AM$4:$AP$55,4,FALSE))</f>
        <v>0</v>
      </c>
      <c r="G65" s="4">
        <f>(VLOOKUP('7.0.3'!O65,'7.0.3'!$AM$4:$AP$55,4,FALSE))</f>
        <v>0</v>
      </c>
      <c r="H65" s="4">
        <f>(VLOOKUP('7.0.3'!P65,'7.0.3'!$AM$4:$AP$55,4,FALSE))</f>
        <v>0</v>
      </c>
      <c r="I65" s="4">
        <f>(VLOOKUP('7.0.3'!Q65,'7.0.3'!$AM$4:$AP$55,4,FALSE))</f>
        <v>38</v>
      </c>
      <c r="J65" s="4">
        <f>(VLOOKUP('7.0.3'!R65,'7.0.3'!$AM$4:$AP$55,4,FALSE))</f>
        <v>38</v>
      </c>
      <c r="K65" s="4">
        <f>(VLOOKUP('7.0.3'!S65,'7.0.3'!$AM$4:$AP$55,4,FALSE))</f>
        <v>38</v>
      </c>
      <c r="L65" s="4">
        <f>(VLOOKUP('7.0.3'!T65,'7.0.3'!$AM$4:$AP$55,4,FALSE))</f>
        <v>0</v>
      </c>
      <c r="M65" s="4">
        <f>(VLOOKUP('7.0.3'!U65,'7.0.3'!$AM$4:$AP$55,4,FALSE))</f>
        <v>38</v>
      </c>
      <c r="N65" s="4">
        <f>(VLOOKUP('7.0.3'!V65,'7.0.3'!$AM$4:$AP$55,4,FALSE))</f>
        <v>38</v>
      </c>
      <c r="O65" s="4">
        <f>(VLOOKUP('7.0.3'!W65,'7.0.3'!$AM$4:$AP$55,4,FALSE))</f>
        <v>38</v>
      </c>
      <c r="P65" s="4">
        <f>(VLOOKUP('7.0.3'!X65,'7.0.3'!$AM$4:$AP$55,4,FALSE))</f>
        <v>38</v>
      </c>
      <c r="Q65" s="4">
        <f>(VLOOKUP('7.0.3'!Y65,'7.0.3'!$AM$4:$AP$55,4,FALSE))</f>
        <v>0</v>
      </c>
      <c r="R65" s="4">
        <f>(VLOOKUP('7.0.3'!Z65,'7.0.3'!$AM$4:$AP$55,4,FALSE))</f>
        <v>0</v>
      </c>
      <c r="S65" s="4">
        <f>(VLOOKUP('7.0.3'!AA65,'7.0.3'!$AM$4:$AP$55,4,FALSE))</f>
        <v>0</v>
      </c>
      <c r="T65" s="4">
        <f>(VLOOKUP('7.0.3'!AB65,'7.0.3'!$AM$4:$AP$55,4,FALSE))</f>
        <v>0</v>
      </c>
      <c r="U65" s="4">
        <f>(VLOOKUP('7.0.3'!AC65,'7.0.3'!$AM$4:$AP$55,4,FALSE))</f>
        <v>0</v>
      </c>
      <c r="V65" s="4">
        <f>(VLOOKUP('7.0.3'!AD65,'7.0.3'!$AM$4:$AP$55,4,FALSE))</f>
        <v>0</v>
      </c>
      <c r="W65" s="4">
        <f>(VLOOKUP('7.0.3'!AE65,'7.0.3'!$AM$4:$AP$55,4,FALSE))</f>
        <v>0</v>
      </c>
      <c r="X65" s="4">
        <f>(VLOOKUP('7.0.3'!AF65,'7.0.3'!$AM$4:$AP$55,4,FALSE))</f>
        <v>0</v>
      </c>
    </row>
    <row r="66" spans="1:24">
      <c r="A66" s="4">
        <f>(VLOOKUP('7.0.3'!I66,'7.0.3'!$AM$4:$AP$55,4,FALSE))</f>
        <v>36</v>
      </c>
      <c r="B66" s="4">
        <f>(VLOOKUP('7.0.3'!J66,'7.0.3'!$AM$4:$AP$55,4,FALSE))</f>
        <v>36</v>
      </c>
      <c r="C66" s="4">
        <f>(VLOOKUP('7.0.3'!K66,'7.0.3'!$AM$4:$AP$55,4,FALSE))</f>
        <v>36</v>
      </c>
      <c r="D66" s="4">
        <f>(VLOOKUP('7.0.3'!L66,'7.0.3'!$AM$4:$AP$55,4,FALSE))</f>
        <v>36</v>
      </c>
      <c r="E66" s="4">
        <f>(VLOOKUP('7.0.3'!M66,'7.0.3'!$AM$4:$AP$55,4,FALSE))</f>
        <v>36</v>
      </c>
      <c r="F66" s="4">
        <f>(VLOOKUP('7.0.3'!N66,'7.0.3'!$AM$4:$AP$55,4,FALSE))</f>
        <v>0</v>
      </c>
      <c r="G66" s="4">
        <f>(VLOOKUP('7.0.3'!O66,'7.0.3'!$AM$4:$AP$55,4,FALSE))</f>
        <v>0</v>
      </c>
      <c r="H66" s="4">
        <f>(VLOOKUP('7.0.3'!P66,'7.0.3'!$AM$4:$AP$55,4,FALSE))</f>
        <v>0</v>
      </c>
      <c r="I66" s="4">
        <f>(VLOOKUP('7.0.3'!Q66,'7.0.3'!$AM$4:$AP$55,4,FALSE))</f>
        <v>38</v>
      </c>
      <c r="J66" s="4">
        <f>(VLOOKUP('7.0.3'!R66,'7.0.3'!$AM$4:$AP$55,4,FALSE))</f>
        <v>38</v>
      </c>
      <c r="K66" s="4">
        <f>(VLOOKUP('7.0.3'!S66,'7.0.3'!$AM$4:$AP$55,4,FALSE))</f>
        <v>38</v>
      </c>
      <c r="L66" s="4">
        <f>(VLOOKUP('7.0.3'!T66,'7.0.3'!$AM$4:$AP$55,4,FALSE))</f>
        <v>38</v>
      </c>
      <c r="M66" s="4">
        <f>(VLOOKUP('7.0.3'!U66,'7.0.3'!$AM$4:$AP$55,4,FALSE))</f>
        <v>38</v>
      </c>
      <c r="N66" s="4">
        <f>(VLOOKUP('7.0.3'!V66,'7.0.3'!$AM$4:$AP$55,4,FALSE))</f>
        <v>38</v>
      </c>
      <c r="O66" s="4">
        <f>(VLOOKUP('7.0.3'!W66,'7.0.3'!$AM$4:$AP$55,4,FALSE))</f>
        <v>0</v>
      </c>
      <c r="P66" s="4">
        <f>(VLOOKUP('7.0.3'!X66,'7.0.3'!$AM$4:$AP$55,4,FALSE))</f>
        <v>0</v>
      </c>
      <c r="Q66" s="4">
        <f>(VLOOKUP('7.0.3'!Y66,'7.0.3'!$AM$4:$AP$55,4,FALSE))</f>
        <v>0</v>
      </c>
      <c r="R66" s="4">
        <f>(VLOOKUP('7.0.3'!Z66,'7.0.3'!$AM$4:$AP$55,4,FALSE))</f>
        <v>0</v>
      </c>
      <c r="S66" s="4">
        <f>(VLOOKUP('7.0.3'!AA66,'7.0.3'!$AM$4:$AP$55,4,FALSE))</f>
        <v>0</v>
      </c>
      <c r="T66" s="4">
        <f>(VLOOKUP('7.0.3'!AB66,'7.0.3'!$AM$4:$AP$55,4,FALSE))</f>
        <v>0</v>
      </c>
      <c r="U66" s="4">
        <f>(VLOOKUP('7.0.3'!AC66,'7.0.3'!$AM$4:$AP$55,4,FALSE))</f>
        <v>0</v>
      </c>
      <c r="V66" s="4">
        <f>(VLOOKUP('7.0.3'!AD66,'7.0.3'!$AM$4:$AP$55,4,FALSE))</f>
        <v>0</v>
      </c>
      <c r="W66" s="4">
        <f>(VLOOKUP('7.0.3'!AE66,'7.0.3'!$AM$4:$AP$55,4,FALSE))</f>
        <v>0</v>
      </c>
      <c r="X66" s="4">
        <f>(VLOOKUP('7.0.3'!AF66,'7.0.3'!$AM$4:$AP$55,4,FALSE))</f>
        <v>0</v>
      </c>
    </row>
    <row r="67" spans="1:24">
      <c r="A67" s="4">
        <f>(VLOOKUP('7.0.3'!I67,'7.0.3'!$AM$4:$AP$55,4,FALSE))</f>
        <v>36</v>
      </c>
      <c r="B67" s="4">
        <f>(VLOOKUP('7.0.3'!J67,'7.0.3'!$AM$4:$AP$55,4,FALSE))</f>
        <v>10</v>
      </c>
      <c r="C67" s="4">
        <f>(VLOOKUP('7.0.3'!K67,'7.0.3'!$AM$4:$AP$55,4,FALSE))</f>
        <v>36</v>
      </c>
      <c r="D67" s="4">
        <f>(VLOOKUP('7.0.3'!L67,'7.0.3'!$AM$4:$AP$55,4,FALSE))</f>
        <v>36</v>
      </c>
      <c r="E67" s="4">
        <f>(VLOOKUP('7.0.3'!M67,'7.0.3'!$AM$4:$AP$55,4,FALSE))</f>
        <v>36</v>
      </c>
      <c r="F67" s="4">
        <f>(VLOOKUP('7.0.3'!N67,'7.0.3'!$AM$4:$AP$55,4,FALSE))</f>
        <v>36</v>
      </c>
      <c r="G67" s="4">
        <f>(VLOOKUP('7.0.3'!O67,'7.0.3'!$AM$4:$AP$55,4,FALSE))</f>
        <v>0</v>
      </c>
      <c r="H67" s="4">
        <f>(VLOOKUP('7.0.3'!P67,'7.0.3'!$AM$4:$AP$55,4,FALSE))</f>
        <v>0</v>
      </c>
      <c r="I67" s="4">
        <f>(VLOOKUP('7.0.3'!Q67,'7.0.3'!$AM$4:$AP$55,4,FALSE))</f>
        <v>36</v>
      </c>
      <c r="J67" s="4">
        <f>(VLOOKUP('7.0.3'!R67,'7.0.3'!$AM$4:$AP$55,4,FALSE))</f>
        <v>36</v>
      </c>
      <c r="K67" s="4">
        <f>(VLOOKUP('7.0.3'!S67,'7.0.3'!$AM$4:$AP$55,4,FALSE))</f>
        <v>0</v>
      </c>
      <c r="L67" s="4">
        <f>(VLOOKUP('7.0.3'!T67,'7.0.3'!$AM$4:$AP$55,4,FALSE))</f>
        <v>38</v>
      </c>
      <c r="M67" s="4">
        <f>(VLOOKUP('7.0.3'!U67,'7.0.3'!$AM$4:$AP$55,4,FALSE))</f>
        <v>38</v>
      </c>
      <c r="N67" s="4">
        <f>(VLOOKUP('7.0.3'!V67,'7.0.3'!$AM$4:$AP$55,4,FALSE))</f>
        <v>36</v>
      </c>
      <c r="O67" s="4">
        <f>(VLOOKUP('7.0.3'!W67,'7.0.3'!$AM$4:$AP$55,4,FALSE))</f>
        <v>0</v>
      </c>
      <c r="P67" s="4">
        <f>(VLOOKUP('7.0.3'!X67,'7.0.3'!$AM$4:$AP$55,4,FALSE))</f>
        <v>0</v>
      </c>
      <c r="Q67" s="4">
        <f>(VLOOKUP('7.0.3'!Y67,'7.0.3'!$AM$4:$AP$55,4,FALSE))</f>
        <v>0</v>
      </c>
      <c r="R67" s="4">
        <f>(VLOOKUP('7.0.3'!Z67,'7.0.3'!$AM$4:$AP$55,4,FALSE))</f>
        <v>0</v>
      </c>
      <c r="S67" s="4">
        <f>(VLOOKUP('7.0.3'!AA67,'7.0.3'!$AM$4:$AP$55,4,FALSE))</f>
        <v>0</v>
      </c>
      <c r="T67" s="4">
        <f>(VLOOKUP('7.0.3'!AB67,'7.0.3'!$AM$4:$AP$55,4,FALSE))</f>
        <v>0</v>
      </c>
      <c r="U67" s="4">
        <f>(VLOOKUP('7.0.3'!AC67,'7.0.3'!$AM$4:$AP$55,4,FALSE))</f>
        <v>0</v>
      </c>
      <c r="V67" s="4">
        <f>(VLOOKUP('7.0.3'!AD67,'7.0.3'!$AM$4:$AP$55,4,FALSE))</f>
        <v>0</v>
      </c>
      <c r="W67" s="4">
        <f>(VLOOKUP('7.0.3'!AE67,'7.0.3'!$AM$4:$AP$55,4,FALSE))</f>
        <v>0</v>
      </c>
      <c r="X67" s="4">
        <f>(VLOOKUP('7.0.3'!AF67,'7.0.3'!$AM$4:$AP$55,4,FALSE))</f>
        <v>0</v>
      </c>
    </row>
    <row r="68" spans="1:24">
      <c r="A68" s="4">
        <f>(VLOOKUP('7.0.3'!I68,'7.0.3'!$AM$4:$AP$55,4,FALSE))</f>
        <v>36</v>
      </c>
      <c r="B68" s="4">
        <f>(VLOOKUP('7.0.3'!J68,'7.0.3'!$AM$4:$AP$55,4,FALSE))</f>
        <v>36</v>
      </c>
      <c r="C68" s="4">
        <f>(VLOOKUP('7.0.3'!K68,'7.0.3'!$AM$4:$AP$55,4,FALSE))</f>
        <v>0</v>
      </c>
      <c r="D68" s="4">
        <f>(VLOOKUP('7.0.3'!L68,'7.0.3'!$AM$4:$AP$55,4,FALSE))</f>
        <v>36</v>
      </c>
      <c r="E68" s="4">
        <f>(VLOOKUP('7.0.3'!M68,'7.0.3'!$AM$4:$AP$55,4,FALSE))</f>
        <v>0</v>
      </c>
      <c r="F68" s="4">
        <f>(VLOOKUP('7.0.3'!N68,'7.0.3'!$AM$4:$AP$55,4,FALSE))</f>
        <v>0</v>
      </c>
      <c r="G68" s="4">
        <f>(VLOOKUP('7.0.3'!O68,'7.0.3'!$AM$4:$AP$55,4,FALSE))</f>
        <v>0</v>
      </c>
      <c r="H68" s="4">
        <f>(VLOOKUP('7.0.3'!P68,'7.0.3'!$AM$4:$AP$55,4,FALSE))</f>
        <v>0</v>
      </c>
      <c r="I68" s="4">
        <f>(VLOOKUP('7.0.3'!Q68,'7.0.3'!$AM$4:$AP$55,4,FALSE))</f>
        <v>36</v>
      </c>
      <c r="J68" s="4">
        <f>(VLOOKUP('7.0.3'!R68,'7.0.3'!$AM$4:$AP$55,4,FALSE))</f>
        <v>36</v>
      </c>
      <c r="K68" s="4">
        <f>(VLOOKUP('7.0.3'!S68,'7.0.3'!$AM$4:$AP$55,4,FALSE))</f>
        <v>36</v>
      </c>
      <c r="L68" s="4">
        <f>(VLOOKUP('7.0.3'!T68,'7.0.3'!$AM$4:$AP$55,4,FALSE))</f>
        <v>36</v>
      </c>
      <c r="M68" s="4">
        <f>(VLOOKUP('7.0.3'!U68,'7.0.3'!$AM$4:$AP$55,4,FALSE))</f>
        <v>36</v>
      </c>
      <c r="N68" s="4">
        <f>(VLOOKUP('7.0.3'!V68,'7.0.3'!$AM$4:$AP$55,4,FALSE))</f>
        <v>36</v>
      </c>
      <c r="O68" s="4">
        <f>(VLOOKUP('7.0.3'!W68,'7.0.3'!$AM$4:$AP$55,4,FALSE))</f>
        <v>0</v>
      </c>
      <c r="P68" s="4">
        <f>(VLOOKUP('7.0.3'!X68,'7.0.3'!$AM$4:$AP$55,4,FALSE))</f>
        <v>0</v>
      </c>
      <c r="Q68" s="4">
        <f>(VLOOKUP('7.0.3'!Y68,'7.0.3'!$AM$4:$AP$55,4,FALSE))</f>
        <v>0</v>
      </c>
      <c r="R68" s="4">
        <f>(VLOOKUP('7.0.3'!Z68,'7.0.3'!$AM$4:$AP$55,4,FALSE))</f>
        <v>0</v>
      </c>
      <c r="S68" s="4">
        <f>(VLOOKUP('7.0.3'!AA68,'7.0.3'!$AM$4:$AP$55,4,FALSE))</f>
        <v>0</v>
      </c>
      <c r="T68" s="4">
        <f>(VLOOKUP('7.0.3'!AB68,'7.0.3'!$AM$4:$AP$55,4,FALSE))</f>
        <v>0</v>
      </c>
      <c r="U68" s="4">
        <f>(VLOOKUP('7.0.3'!AC68,'7.0.3'!$AM$4:$AP$55,4,FALSE))</f>
        <v>0</v>
      </c>
      <c r="V68" s="4">
        <f>(VLOOKUP('7.0.3'!AD68,'7.0.3'!$AM$4:$AP$55,4,FALSE))</f>
        <v>0</v>
      </c>
      <c r="W68" s="4">
        <f>(VLOOKUP('7.0.3'!AE68,'7.0.3'!$AM$4:$AP$55,4,FALSE))</f>
        <v>0</v>
      </c>
      <c r="X68" s="4">
        <f>(VLOOKUP('7.0.3'!AF68,'7.0.3'!$AM$4:$AP$55,4,FALSE))</f>
        <v>0</v>
      </c>
    </row>
    <row r="69" spans="1:24">
      <c r="A69" s="4">
        <f>(VLOOKUP('7.0.3'!I69,'7.0.3'!$AM$4:$AP$55,4,FALSE))</f>
        <v>36</v>
      </c>
      <c r="B69" s="4">
        <f>(VLOOKUP('7.0.3'!J69,'7.0.3'!$AM$4:$AP$55,4,FALSE))</f>
        <v>36</v>
      </c>
      <c r="C69" s="4">
        <f>(VLOOKUP('7.0.3'!K69,'7.0.3'!$AM$4:$AP$55,4,FALSE))</f>
        <v>36</v>
      </c>
      <c r="D69" s="4">
        <f>(VLOOKUP('7.0.3'!L69,'7.0.3'!$AM$4:$AP$55,4,FALSE))</f>
        <v>36</v>
      </c>
      <c r="E69" s="4">
        <f>(VLOOKUP('7.0.3'!M69,'7.0.3'!$AM$4:$AP$55,4,FALSE))</f>
        <v>0</v>
      </c>
      <c r="F69" s="4">
        <f>(VLOOKUP('7.0.3'!N69,'7.0.3'!$AM$4:$AP$55,4,FALSE))</f>
        <v>0</v>
      </c>
      <c r="G69" s="4">
        <f>(VLOOKUP('7.0.3'!O69,'7.0.3'!$AM$4:$AP$55,4,FALSE))</f>
        <v>0</v>
      </c>
      <c r="H69" s="4">
        <f>(VLOOKUP('7.0.3'!P69,'7.0.3'!$AM$4:$AP$55,4,FALSE))</f>
        <v>0</v>
      </c>
      <c r="I69" s="4">
        <f>(VLOOKUP('7.0.3'!Q69,'7.0.3'!$AM$4:$AP$55,4,FALSE))</f>
        <v>36</v>
      </c>
      <c r="J69" s="4">
        <f>(VLOOKUP('7.0.3'!R69,'7.0.3'!$AM$4:$AP$55,4,FALSE))</f>
        <v>36</v>
      </c>
      <c r="K69" s="4">
        <f>(VLOOKUP('7.0.3'!S69,'7.0.3'!$AM$4:$AP$55,4,FALSE))</f>
        <v>36</v>
      </c>
      <c r="L69" s="4">
        <f>(VLOOKUP('7.0.3'!T69,'7.0.3'!$AM$4:$AP$55,4,FALSE))</f>
        <v>36</v>
      </c>
      <c r="M69" s="4">
        <f>(VLOOKUP('7.0.3'!U69,'7.0.3'!$AM$4:$AP$55,4,FALSE))</f>
        <v>36</v>
      </c>
      <c r="N69" s="4">
        <f>(VLOOKUP('7.0.3'!V69,'7.0.3'!$AM$4:$AP$55,4,FALSE))</f>
        <v>0</v>
      </c>
      <c r="O69" s="4">
        <f>(VLOOKUP('7.0.3'!W69,'7.0.3'!$AM$4:$AP$55,4,FALSE))</f>
        <v>0</v>
      </c>
      <c r="P69" s="4">
        <f>(VLOOKUP('7.0.3'!X69,'7.0.3'!$AM$4:$AP$55,4,FALSE))</f>
        <v>0</v>
      </c>
      <c r="Q69" s="4">
        <f>(VLOOKUP('7.0.3'!Y69,'7.0.3'!$AM$4:$AP$55,4,FALSE))</f>
        <v>0</v>
      </c>
      <c r="R69" s="4">
        <f>(VLOOKUP('7.0.3'!Z69,'7.0.3'!$AM$4:$AP$55,4,FALSE))</f>
        <v>0</v>
      </c>
      <c r="S69" s="4">
        <f>(VLOOKUP('7.0.3'!AA69,'7.0.3'!$AM$4:$AP$55,4,FALSE))</f>
        <v>0</v>
      </c>
      <c r="T69" s="4">
        <f>(VLOOKUP('7.0.3'!AB69,'7.0.3'!$AM$4:$AP$55,4,FALSE))</f>
        <v>0</v>
      </c>
      <c r="U69" s="4">
        <f>(VLOOKUP('7.0.3'!AC69,'7.0.3'!$AM$4:$AP$55,4,FALSE))</f>
        <v>0</v>
      </c>
      <c r="V69" s="4">
        <f>(VLOOKUP('7.0.3'!AD69,'7.0.3'!$AM$4:$AP$55,4,FALSE))</f>
        <v>0</v>
      </c>
      <c r="W69" s="4">
        <f>(VLOOKUP('7.0.3'!AE69,'7.0.3'!$AM$4:$AP$55,4,FALSE))</f>
        <v>0</v>
      </c>
      <c r="X69" s="4">
        <f>(VLOOKUP('7.0.3'!AF69,'7.0.3'!$AM$4:$AP$55,4,FALSE))</f>
        <v>0</v>
      </c>
    </row>
    <row r="70" spans="1:24">
      <c r="A70" s="4">
        <f>(VLOOKUP('7.0.3'!I70,'7.0.3'!$AM$4:$AP$55,4,FALSE))</f>
        <v>36</v>
      </c>
      <c r="B70" s="4">
        <f>(VLOOKUP('7.0.3'!J70,'7.0.3'!$AM$4:$AP$55,4,FALSE))</f>
        <v>36</v>
      </c>
      <c r="C70" s="4">
        <f>(VLOOKUP('7.0.3'!K70,'7.0.3'!$AM$4:$AP$55,4,FALSE))</f>
        <v>36</v>
      </c>
      <c r="D70" s="4">
        <f>(VLOOKUP('7.0.3'!L70,'7.0.3'!$AM$4:$AP$55,4,FALSE))</f>
        <v>36</v>
      </c>
      <c r="E70" s="4">
        <f>(VLOOKUP('7.0.3'!M70,'7.0.3'!$AM$4:$AP$55,4,FALSE))</f>
        <v>36</v>
      </c>
      <c r="F70" s="4">
        <f>(VLOOKUP('7.0.3'!N70,'7.0.3'!$AM$4:$AP$55,4,FALSE))</f>
        <v>0</v>
      </c>
      <c r="G70" s="4">
        <f>(VLOOKUP('7.0.3'!O70,'7.0.3'!$AM$4:$AP$55,4,FALSE))</f>
        <v>0</v>
      </c>
      <c r="H70" s="4">
        <f>(VLOOKUP('7.0.3'!P70,'7.0.3'!$AM$4:$AP$55,4,FALSE))</f>
        <v>0</v>
      </c>
      <c r="I70" s="4">
        <f>(VLOOKUP('7.0.3'!Q70,'7.0.3'!$AM$4:$AP$55,4,FALSE))</f>
        <v>36</v>
      </c>
      <c r="J70" s="4">
        <f>(VLOOKUP('7.0.3'!R70,'7.0.3'!$AM$4:$AP$55,4,FALSE))</f>
        <v>36</v>
      </c>
      <c r="K70" s="4">
        <f>(VLOOKUP('7.0.3'!S70,'7.0.3'!$AM$4:$AP$55,4,FALSE))</f>
        <v>36</v>
      </c>
      <c r="L70" s="4">
        <f>(VLOOKUP('7.0.3'!T70,'7.0.3'!$AM$4:$AP$55,4,FALSE))</f>
        <v>36</v>
      </c>
      <c r="M70" s="4">
        <f>(VLOOKUP('7.0.3'!U70,'7.0.3'!$AM$4:$AP$55,4,FALSE))</f>
        <v>36</v>
      </c>
      <c r="N70" s="4">
        <f>(VLOOKUP('7.0.3'!V70,'7.0.3'!$AM$4:$AP$55,4,FALSE))</f>
        <v>36</v>
      </c>
      <c r="O70" s="4">
        <f>(VLOOKUP('7.0.3'!W70,'7.0.3'!$AM$4:$AP$55,4,FALSE))</f>
        <v>0</v>
      </c>
      <c r="P70" s="4">
        <f>(VLOOKUP('7.0.3'!X70,'7.0.3'!$AM$4:$AP$55,4,FALSE))</f>
        <v>0</v>
      </c>
      <c r="Q70" s="4">
        <f>(VLOOKUP('7.0.3'!Y70,'7.0.3'!$AM$4:$AP$55,4,FALSE))</f>
        <v>0</v>
      </c>
      <c r="R70" s="4">
        <f>(VLOOKUP('7.0.3'!Z70,'7.0.3'!$AM$4:$AP$55,4,FALSE))</f>
        <v>0</v>
      </c>
      <c r="S70" s="4">
        <f>(VLOOKUP('7.0.3'!AA70,'7.0.3'!$AM$4:$AP$55,4,FALSE))</f>
        <v>0</v>
      </c>
      <c r="T70" s="4">
        <f>(VLOOKUP('7.0.3'!AB70,'7.0.3'!$AM$4:$AP$55,4,FALSE))</f>
        <v>0</v>
      </c>
      <c r="U70" s="4">
        <f>(VLOOKUP('7.0.3'!AC70,'7.0.3'!$AM$4:$AP$55,4,FALSE))</f>
        <v>0</v>
      </c>
      <c r="V70" s="4">
        <f>(VLOOKUP('7.0.3'!AD70,'7.0.3'!$AM$4:$AP$55,4,FALSE))</f>
        <v>0</v>
      </c>
      <c r="W70" s="4">
        <f>(VLOOKUP('7.0.3'!AE70,'7.0.3'!$AM$4:$AP$55,4,FALSE))</f>
        <v>0</v>
      </c>
      <c r="X70" s="4">
        <f>(VLOOKUP('7.0.3'!AF70,'7.0.3'!$AM$4:$AP$55,4,FALSE))</f>
        <v>0</v>
      </c>
    </row>
    <row r="71" spans="1:24">
      <c r="A71" s="4">
        <f>(VLOOKUP('7.0.3'!I71,'7.0.3'!$AM$4:$AP$55,4,FALSE))</f>
        <v>36</v>
      </c>
      <c r="B71" s="4">
        <f>(VLOOKUP('7.0.3'!J71,'7.0.3'!$AM$4:$AP$55,4,FALSE))</f>
        <v>36</v>
      </c>
      <c r="C71" s="4">
        <f>(VLOOKUP('7.0.3'!K71,'7.0.3'!$AM$4:$AP$55,4,FALSE))</f>
        <v>36</v>
      </c>
      <c r="D71" s="4">
        <f>(VLOOKUP('7.0.3'!L71,'7.0.3'!$AM$4:$AP$55,4,FALSE))</f>
        <v>36</v>
      </c>
      <c r="E71" s="4">
        <f>(VLOOKUP('7.0.3'!M71,'7.0.3'!$AM$4:$AP$55,4,FALSE))</f>
        <v>36</v>
      </c>
      <c r="F71" s="4">
        <f>(VLOOKUP('7.0.3'!N71,'7.0.3'!$AM$4:$AP$55,4,FALSE))</f>
        <v>36</v>
      </c>
      <c r="G71" s="4">
        <f>(VLOOKUP('7.0.3'!O71,'7.0.3'!$AM$4:$AP$55,4,FALSE))</f>
        <v>0</v>
      </c>
      <c r="H71" s="4">
        <f>(VLOOKUP('7.0.3'!P71,'7.0.3'!$AM$4:$AP$55,4,FALSE))</f>
        <v>0</v>
      </c>
      <c r="I71" s="4">
        <f>(VLOOKUP('7.0.3'!Q71,'7.0.3'!$AM$4:$AP$55,4,FALSE))</f>
        <v>36</v>
      </c>
      <c r="J71" s="4">
        <f>(VLOOKUP('7.0.3'!R71,'7.0.3'!$AM$4:$AP$55,4,FALSE))</f>
        <v>10</v>
      </c>
      <c r="K71" s="4">
        <f>(VLOOKUP('7.0.3'!S71,'7.0.3'!$AM$4:$AP$55,4,FALSE))</f>
        <v>36</v>
      </c>
      <c r="L71" s="4">
        <f>(VLOOKUP('7.0.3'!T71,'7.0.3'!$AM$4:$AP$55,4,FALSE))</f>
        <v>36</v>
      </c>
      <c r="M71" s="4">
        <f>(VLOOKUP('7.0.3'!U71,'7.0.3'!$AM$4:$AP$55,4,FALSE))</f>
        <v>36</v>
      </c>
      <c r="N71" s="4">
        <f>(VLOOKUP('7.0.3'!V71,'7.0.3'!$AM$4:$AP$55,4,FALSE))</f>
        <v>36</v>
      </c>
      <c r="O71" s="4">
        <f>(VLOOKUP('7.0.3'!W71,'7.0.3'!$AM$4:$AP$55,4,FALSE))</f>
        <v>0</v>
      </c>
      <c r="P71" s="4">
        <f>(VLOOKUP('7.0.3'!X71,'7.0.3'!$AM$4:$AP$55,4,FALSE))</f>
        <v>0</v>
      </c>
      <c r="Q71" s="4">
        <f>(VLOOKUP('7.0.3'!Y71,'7.0.3'!$AM$4:$AP$55,4,FALSE))</f>
        <v>0</v>
      </c>
      <c r="R71" s="4">
        <f>(VLOOKUP('7.0.3'!Z71,'7.0.3'!$AM$4:$AP$55,4,FALSE))</f>
        <v>0</v>
      </c>
      <c r="S71" s="4">
        <f>(VLOOKUP('7.0.3'!AA71,'7.0.3'!$AM$4:$AP$55,4,FALSE))</f>
        <v>0</v>
      </c>
      <c r="T71" s="4">
        <f>(VLOOKUP('7.0.3'!AB71,'7.0.3'!$AM$4:$AP$55,4,FALSE))</f>
        <v>0</v>
      </c>
      <c r="U71" s="4">
        <f>(VLOOKUP('7.0.3'!AC71,'7.0.3'!$AM$4:$AP$55,4,FALSE))</f>
        <v>0</v>
      </c>
      <c r="V71" s="4">
        <f>(VLOOKUP('7.0.3'!AD71,'7.0.3'!$AM$4:$AP$55,4,FALSE))</f>
        <v>0</v>
      </c>
      <c r="W71" s="4">
        <f>(VLOOKUP('7.0.3'!AE71,'7.0.3'!$AM$4:$AP$55,4,FALSE))</f>
        <v>0</v>
      </c>
      <c r="X71" s="4">
        <f>(VLOOKUP('7.0.3'!AF71,'7.0.3'!$AM$4:$AP$55,4,FALSE))</f>
        <v>0</v>
      </c>
    </row>
    <row r="72" spans="1:24">
      <c r="A72" s="4">
        <f>(VLOOKUP('7.0.3'!I72,'7.0.3'!$AM$4:$AP$55,4,FALSE))</f>
        <v>36</v>
      </c>
      <c r="B72" s="4">
        <f>(VLOOKUP('7.0.3'!J72,'7.0.3'!$AM$4:$AP$55,4,FALSE))</f>
        <v>36</v>
      </c>
      <c r="C72" s="4">
        <f>(VLOOKUP('7.0.3'!K72,'7.0.3'!$AM$4:$AP$55,4,FALSE))</f>
        <v>36</v>
      </c>
      <c r="D72" s="4">
        <f>(VLOOKUP('7.0.3'!L72,'7.0.3'!$AM$4:$AP$55,4,FALSE))</f>
        <v>36</v>
      </c>
      <c r="E72" s="4">
        <f>(VLOOKUP('7.0.3'!M72,'7.0.3'!$AM$4:$AP$55,4,FALSE))</f>
        <v>36</v>
      </c>
      <c r="F72" s="4">
        <f>(VLOOKUP('7.0.3'!N72,'7.0.3'!$AM$4:$AP$55,4,FALSE))</f>
        <v>0</v>
      </c>
      <c r="G72" s="4">
        <f>(VLOOKUP('7.0.3'!O72,'7.0.3'!$AM$4:$AP$55,4,FALSE))</f>
        <v>0</v>
      </c>
      <c r="H72" s="4">
        <f>(VLOOKUP('7.0.3'!P72,'7.0.3'!$AM$4:$AP$55,4,FALSE))</f>
        <v>0</v>
      </c>
      <c r="I72" s="4">
        <f>(VLOOKUP('7.0.3'!Q72,'7.0.3'!$AM$4:$AP$55,4,FALSE))</f>
        <v>36</v>
      </c>
      <c r="J72" s="4">
        <f>(VLOOKUP('7.0.3'!R72,'7.0.3'!$AM$4:$AP$55,4,FALSE))</f>
        <v>36</v>
      </c>
      <c r="K72" s="4">
        <f>(VLOOKUP('7.0.3'!S72,'7.0.3'!$AM$4:$AP$55,4,FALSE))</f>
        <v>36</v>
      </c>
      <c r="L72" s="4">
        <f>(VLOOKUP('7.0.3'!T72,'7.0.3'!$AM$4:$AP$55,4,FALSE))</f>
        <v>36</v>
      </c>
      <c r="M72" s="4">
        <f>(VLOOKUP('7.0.3'!U72,'7.0.3'!$AM$4:$AP$55,4,FALSE))</f>
        <v>36</v>
      </c>
      <c r="N72" s="4">
        <f>(VLOOKUP('7.0.3'!V72,'7.0.3'!$AM$4:$AP$55,4,FALSE))</f>
        <v>36</v>
      </c>
      <c r="O72" s="4">
        <f>(VLOOKUP('7.0.3'!W72,'7.0.3'!$AM$4:$AP$55,4,FALSE))</f>
        <v>0</v>
      </c>
      <c r="P72" s="4">
        <f>(VLOOKUP('7.0.3'!X72,'7.0.3'!$AM$4:$AP$55,4,FALSE))</f>
        <v>0</v>
      </c>
      <c r="Q72" s="4">
        <f>(VLOOKUP('7.0.3'!Y72,'7.0.3'!$AM$4:$AP$55,4,FALSE))</f>
        <v>0</v>
      </c>
      <c r="R72" s="4">
        <f>(VLOOKUP('7.0.3'!Z72,'7.0.3'!$AM$4:$AP$55,4,FALSE))</f>
        <v>0</v>
      </c>
      <c r="S72" s="4">
        <f>(VLOOKUP('7.0.3'!AA72,'7.0.3'!$AM$4:$AP$55,4,FALSE))</f>
        <v>0</v>
      </c>
      <c r="T72" s="4">
        <f>(VLOOKUP('7.0.3'!AB72,'7.0.3'!$AM$4:$AP$55,4,FALSE))</f>
        <v>0</v>
      </c>
      <c r="U72" s="4">
        <f>(VLOOKUP('7.0.3'!AC72,'7.0.3'!$AM$4:$AP$55,4,FALSE))</f>
        <v>0</v>
      </c>
      <c r="V72" s="4">
        <f>(VLOOKUP('7.0.3'!AD72,'7.0.3'!$AM$4:$AP$55,4,FALSE))</f>
        <v>0</v>
      </c>
      <c r="W72" s="4">
        <f>(VLOOKUP('7.0.3'!AE72,'7.0.3'!$AM$4:$AP$55,4,FALSE))</f>
        <v>0</v>
      </c>
      <c r="X72" s="4">
        <f>(VLOOKUP('7.0.3'!AF72,'7.0.3'!$AM$4:$AP$55,4,FALSE))</f>
        <v>0</v>
      </c>
    </row>
    <row r="73" spans="1:24">
      <c r="A73" s="4">
        <f>(VLOOKUP('7.0.3'!I73,'7.0.3'!$AM$4:$AP$55,4,FALSE))</f>
        <v>36</v>
      </c>
      <c r="B73" s="4">
        <f>(VLOOKUP('7.0.3'!J73,'7.0.3'!$AM$4:$AP$55,4,FALSE))</f>
        <v>36</v>
      </c>
      <c r="C73" s="4">
        <f>(VLOOKUP('7.0.3'!K73,'7.0.3'!$AM$4:$AP$55,4,FALSE))</f>
        <v>36</v>
      </c>
      <c r="D73" s="4">
        <f>(VLOOKUP('7.0.3'!L73,'7.0.3'!$AM$4:$AP$55,4,FALSE))</f>
        <v>36</v>
      </c>
      <c r="E73" s="4">
        <f>(VLOOKUP('7.0.3'!M73,'7.0.3'!$AM$4:$AP$55,4,FALSE))</f>
        <v>36</v>
      </c>
      <c r="F73" s="4">
        <f>(VLOOKUP('7.0.3'!N73,'7.0.3'!$AM$4:$AP$55,4,FALSE))</f>
        <v>36</v>
      </c>
      <c r="G73" s="4">
        <f>(VLOOKUP('7.0.3'!O73,'7.0.3'!$AM$4:$AP$55,4,FALSE))</f>
        <v>0</v>
      </c>
      <c r="H73" s="4">
        <f>(VLOOKUP('7.0.3'!P73,'7.0.3'!$AM$4:$AP$55,4,FALSE))</f>
        <v>0</v>
      </c>
      <c r="I73" s="4">
        <f>(VLOOKUP('7.0.3'!Q73,'7.0.3'!$AM$4:$AP$55,4,FALSE))</f>
        <v>36</v>
      </c>
      <c r="J73" s="4">
        <f>(VLOOKUP('7.0.3'!R73,'7.0.3'!$AM$4:$AP$55,4,FALSE))</f>
        <v>36</v>
      </c>
      <c r="K73" s="4">
        <f>(VLOOKUP('7.0.3'!S73,'7.0.3'!$AM$4:$AP$55,4,FALSE))</f>
        <v>10</v>
      </c>
      <c r="L73" s="4">
        <f>(VLOOKUP('7.0.3'!T73,'7.0.3'!$AM$4:$AP$55,4,FALSE))</f>
        <v>36</v>
      </c>
      <c r="M73" s="4">
        <f>(VLOOKUP('7.0.3'!U73,'7.0.3'!$AM$4:$AP$55,4,FALSE))</f>
        <v>36</v>
      </c>
      <c r="N73" s="4">
        <f>(VLOOKUP('7.0.3'!V73,'7.0.3'!$AM$4:$AP$55,4,FALSE))</f>
        <v>36</v>
      </c>
      <c r="O73" s="4">
        <f>(VLOOKUP('7.0.3'!W73,'7.0.3'!$AM$4:$AP$55,4,FALSE))</f>
        <v>0</v>
      </c>
      <c r="P73" s="4">
        <f>(VLOOKUP('7.0.3'!X73,'7.0.3'!$AM$4:$AP$55,4,FALSE))</f>
        <v>0</v>
      </c>
      <c r="Q73" s="4">
        <f>(VLOOKUP('7.0.3'!Y73,'7.0.3'!$AM$4:$AP$55,4,FALSE))</f>
        <v>0</v>
      </c>
      <c r="R73" s="4">
        <f>(VLOOKUP('7.0.3'!Z73,'7.0.3'!$AM$4:$AP$55,4,FALSE))</f>
        <v>0</v>
      </c>
      <c r="S73" s="4">
        <f>(VLOOKUP('7.0.3'!AA73,'7.0.3'!$AM$4:$AP$55,4,FALSE))</f>
        <v>0</v>
      </c>
      <c r="T73" s="4">
        <f>(VLOOKUP('7.0.3'!AB73,'7.0.3'!$AM$4:$AP$55,4,FALSE))</f>
        <v>0</v>
      </c>
      <c r="U73" s="4">
        <f>(VLOOKUP('7.0.3'!AC73,'7.0.3'!$AM$4:$AP$55,4,FALSE))</f>
        <v>0</v>
      </c>
      <c r="V73" s="4">
        <f>(VLOOKUP('7.0.3'!AD73,'7.0.3'!$AM$4:$AP$55,4,FALSE))</f>
        <v>0</v>
      </c>
      <c r="W73" s="4">
        <f>(VLOOKUP('7.0.3'!AE73,'7.0.3'!$AM$4:$AP$55,4,FALSE))</f>
        <v>0</v>
      </c>
      <c r="X73" s="4">
        <f>(VLOOKUP('7.0.3'!AF73,'7.0.3'!$AM$4:$AP$55,4,FALSE))</f>
        <v>0</v>
      </c>
    </row>
    <row r="74" spans="1:24">
      <c r="A74" s="4">
        <f>(VLOOKUP('7.0.3'!I74,'7.0.3'!$AM$4:$AP$55,4,FALSE))</f>
        <v>0</v>
      </c>
      <c r="B74" s="4">
        <f>(VLOOKUP('7.0.3'!J74,'7.0.3'!$AM$4:$AP$55,4,FALSE))</f>
        <v>36</v>
      </c>
      <c r="C74" s="4">
        <f>(VLOOKUP('7.0.3'!K74,'7.0.3'!$AM$4:$AP$55,4,FALSE))</f>
        <v>36</v>
      </c>
      <c r="D74" s="4">
        <f>(VLOOKUP('7.0.3'!L74,'7.0.3'!$AM$4:$AP$55,4,FALSE))</f>
        <v>36</v>
      </c>
      <c r="E74" s="4">
        <f>(VLOOKUP('7.0.3'!M74,'7.0.3'!$AM$4:$AP$55,4,FALSE))</f>
        <v>36</v>
      </c>
      <c r="F74" s="4">
        <f>(VLOOKUP('7.0.3'!N74,'7.0.3'!$AM$4:$AP$55,4,FALSE))</f>
        <v>36</v>
      </c>
      <c r="G74" s="4">
        <f>(VLOOKUP('7.0.3'!O74,'7.0.3'!$AM$4:$AP$55,4,FALSE))</f>
        <v>0</v>
      </c>
      <c r="H74" s="4">
        <f>(VLOOKUP('7.0.3'!P74,'7.0.3'!$AM$4:$AP$55,4,FALSE))</f>
        <v>0</v>
      </c>
      <c r="I74" s="4">
        <f>(VLOOKUP('7.0.3'!Q74,'7.0.3'!$AM$4:$AP$55,4,FALSE))</f>
        <v>36</v>
      </c>
      <c r="J74" s="4">
        <f>(VLOOKUP('7.0.3'!R74,'7.0.3'!$AM$4:$AP$55,4,FALSE))</f>
        <v>36</v>
      </c>
      <c r="K74" s="4">
        <f>(VLOOKUP('7.0.3'!S74,'7.0.3'!$AM$4:$AP$55,4,FALSE))</f>
        <v>36</v>
      </c>
      <c r="L74" s="4">
        <f>(VLOOKUP('7.0.3'!T74,'7.0.3'!$AM$4:$AP$55,4,FALSE))</f>
        <v>34</v>
      </c>
      <c r="M74" s="4">
        <f>(VLOOKUP('7.0.3'!U74,'7.0.3'!$AM$4:$AP$55,4,FALSE))</f>
        <v>34</v>
      </c>
      <c r="N74" s="4">
        <f>(VLOOKUP('7.0.3'!V74,'7.0.3'!$AM$4:$AP$55,4,FALSE))</f>
        <v>34</v>
      </c>
      <c r="O74" s="4">
        <f>(VLOOKUP('7.0.3'!W74,'7.0.3'!$AM$4:$AP$55,4,FALSE))</f>
        <v>0</v>
      </c>
      <c r="P74" s="4">
        <f>(VLOOKUP('7.0.3'!X74,'7.0.3'!$AM$4:$AP$55,4,FALSE))</f>
        <v>0</v>
      </c>
      <c r="Q74" s="4">
        <f>(VLOOKUP('7.0.3'!Y74,'7.0.3'!$AM$4:$AP$55,4,FALSE))</f>
        <v>0</v>
      </c>
      <c r="R74" s="4">
        <f>(VLOOKUP('7.0.3'!Z74,'7.0.3'!$AM$4:$AP$55,4,FALSE))</f>
        <v>0</v>
      </c>
      <c r="S74" s="4">
        <f>(VLOOKUP('7.0.3'!AA74,'7.0.3'!$AM$4:$AP$55,4,FALSE))</f>
        <v>0</v>
      </c>
      <c r="T74" s="4">
        <f>(VLOOKUP('7.0.3'!AB74,'7.0.3'!$AM$4:$AP$55,4,FALSE))</f>
        <v>0</v>
      </c>
      <c r="U74" s="4">
        <f>(VLOOKUP('7.0.3'!AC74,'7.0.3'!$AM$4:$AP$55,4,FALSE))</f>
        <v>0</v>
      </c>
      <c r="V74" s="4">
        <f>(VLOOKUP('7.0.3'!AD74,'7.0.3'!$AM$4:$AP$55,4,FALSE))</f>
        <v>0</v>
      </c>
      <c r="W74" s="4">
        <f>(VLOOKUP('7.0.3'!AE74,'7.0.3'!$AM$4:$AP$55,4,FALSE))</f>
        <v>0</v>
      </c>
      <c r="X74" s="4">
        <f>(VLOOKUP('7.0.3'!AF74,'7.0.3'!$AM$4:$AP$55,4,FALSE))</f>
        <v>0</v>
      </c>
    </row>
    <row r="75" spans="1:24">
      <c r="A75" s="4">
        <f>(VLOOKUP('7.0.3'!I75,'7.0.3'!$AM$4:$AP$55,4,FALSE))</f>
        <v>36</v>
      </c>
      <c r="B75" s="4">
        <f>(VLOOKUP('7.0.3'!J75,'7.0.3'!$AM$4:$AP$55,4,FALSE))</f>
        <v>36</v>
      </c>
      <c r="C75" s="4">
        <f>(VLOOKUP('7.0.3'!K75,'7.0.3'!$AM$4:$AP$55,4,FALSE))</f>
        <v>36</v>
      </c>
      <c r="D75" s="4">
        <f>(VLOOKUP('7.0.3'!L75,'7.0.3'!$AM$4:$AP$55,4,FALSE))</f>
        <v>36</v>
      </c>
      <c r="E75" s="4">
        <f>(VLOOKUP('7.0.3'!M75,'7.0.3'!$AM$4:$AP$55,4,FALSE))</f>
        <v>36</v>
      </c>
      <c r="F75" s="4">
        <f>(VLOOKUP('7.0.3'!N75,'7.0.3'!$AM$4:$AP$55,4,FALSE))</f>
        <v>36</v>
      </c>
      <c r="G75" s="4">
        <f>(VLOOKUP('7.0.3'!O75,'7.0.3'!$AM$4:$AP$55,4,FALSE))</f>
        <v>0</v>
      </c>
      <c r="H75" s="4">
        <f>(VLOOKUP('7.0.3'!P75,'7.0.3'!$AM$4:$AP$55,4,FALSE))</f>
        <v>0</v>
      </c>
      <c r="I75" s="4">
        <f>(VLOOKUP('7.0.3'!Q75,'7.0.3'!$AM$4:$AP$55,4,FALSE))</f>
        <v>34</v>
      </c>
      <c r="J75" s="4">
        <f>(VLOOKUP('7.0.3'!R75,'7.0.3'!$AM$4:$AP$55,4,FALSE))</f>
        <v>34</v>
      </c>
      <c r="K75" s="4">
        <f>(VLOOKUP('7.0.3'!S75,'7.0.3'!$AM$4:$AP$55,4,FALSE))</f>
        <v>34</v>
      </c>
      <c r="L75" s="4">
        <f>(VLOOKUP('7.0.3'!T75,'7.0.3'!$AM$4:$AP$55,4,FALSE))</f>
        <v>34</v>
      </c>
      <c r="M75" s="4">
        <f>(VLOOKUP('7.0.3'!U75,'7.0.3'!$AM$4:$AP$55,4,FALSE))</f>
        <v>10</v>
      </c>
      <c r="N75" s="4">
        <f>(VLOOKUP('7.0.3'!V75,'7.0.3'!$AM$4:$AP$55,4,FALSE))</f>
        <v>34</v>
      </c>
      <c r="O75" s="4">
        <f>(VLOOKUP('7.0.3'!W75,'7.0.3'!$AM$4:$AP$55,4,FALSE))</f>
        <v>0</v>
      </c>
      <c r="P75" s="4">
        <f>(VLOOKUP('7.0.3'!X75,'7.0.3'!$AM$4:$AP$55,4,FALSE))</f>
        <v>0</v>
      </c>
      <c r="Q75" s="4">
        <f>(VLOOKUP('7.0.3'!Y75,'7.0.3'!$AM$4:$AP$55,4,FALSE))</f>
        <v>0</v>
      </c>
      <c r="R75" s="4">
        <f>(VLOOKUP('7.0.3'!Z75,'7.0.3'!$AM$4:$AP$55,4,FALSE))</f>
        <v>0</v>
      </c>
      <c r="S75" s="4">
        <f>(VLOOKUP('7.0.3'!AA75,'7.0.3'!$AM$4:$AP$55,4,FALSE))</f>
        <v>0</v>
      </c>
      <c r="T75" s="4">
        <f>(VLOOKUP('7.0.3'!AB75,'7.0.3'!$AM$4:$AP$55,4,FALSE))</f>
        <v>0</v>
      </c>
      <c r="U75" s="4">
        <f>(VLOOKUP('7.0.3'!AC75,'7.0.3'!$AM$4:$AP$55,4,FALSE))</f>
        <v>0</v>
      </c>
      <c r="V75" s="4">
        <f>(VLOOKUP('7.0.3'!AD75,'7.0.3'!$AM$4:$AP$55,4,FALSE))</f>
        <v>0</v>
      </c>
      <c r="W75" s="4">
        <f>(VLOOKUP('7.0.3'!AE75,'7.0.3'!$AM$4:$AP$55,4,FALSE))</f>
        <v>0</v>
      </c>
      <c r="X75" s="4">
        <f>(VLOOKUP('7.0.3'!AF75,'7.0.3'!$AM$4:$AP$55,4,FALSE))</f>
        <v>0</v>
      </c>
    </row>
    <row r="76" spans="1:24">
      <c r="A76" s="4">
        <f>(VLOOKUP('7.0.3'!I76,'7.0.3'!$AM$4:$AP$55,4,FALSE))</f>
        <v>36</v>
      </c>
      <c r="B76" s="4">
        <f>(VLOOKUP('7.0.3'!J76,'7.0.3'!$AM$4:$AP$55,4,FALSE))</f>
        <v>36</v>
      </c>
      <c r="C76" s="4">
        <f>(VLOOKUP('7.0.3'!K76,'7.0.3'!$AM$4:$AP$55,4,FALSE))</f>
        <v>36</v>
      </c>
      <c r="D76" s="4">
        <f>(VLOOKUP('7.0.3'!L76,'7.0.3'!$AM$4:$AP$55,4,FALSE))</f>
        <v>36</v>
      </c>
      <c r="E76" s="4">
        <f>(VLOOKUP('7.0.3'!M76,'7.0.3'!$AM$4:$AP$55,4,FALSE))</f>
        <v>36</v>
      </c>
      <c r="F76" s="4">
        <f>(VLOOKUP('7.0.3'!N76,'7.0.3'!$AM$4:$AP$55,4,FALSE))</f>
        <v>0</v>
      </c>
      <c r="G76" s="4">
        <f>(VLOOKUP('7.0.3'!O76,'7.0.3'!$AM$4:$AP$55,4,FALSE))</f>
        <v>0</v>
      </c>
      <c r="H76" s="4">
        <f>(VLOOKUP('7.0.3'!P76,'7.0.3'!$AM$4:$AP$55,4,FALSE))</f>
        <v>0</v>
      </c>
      <c r="I76" s="4">
        <f>(VLOOKUP('7.0.3'!Q76,'7.0.3'!$AM$4:$AP$55,4,FALSE))</f>
        <v>34</v>
      </c>
      <c r="J76" s="4">
        <f>(VLOOKUP('7.0.3'!R76,'7.0.3'!$AM$4:$AP$55,4,FALSE))</f>
        <v>34</v>
      </c>
      <c r="K76" s="4">
        <f>(VLOOKUP('7.0.3'!S76,'7.0.3'!$AM$4:$AP$55,4,FALSE))</f>
        <v>34</v>
      </c>
      <c r="L76" s="4">
        <f>(VLOOKUP('7.0.3'!T76,'7.0.3'!$AM$4:$AP$55,4,FALSE))</f>
        <v>34</v>
      </c>
      <c r="M76" s="4">
        <f>(VLOOKUP('7.0.3'!U76,'7.0.3'!$AM$4:$AP$55,4,FALSE))</f>
        <v>34</v>
      </c>
      <c r="N76" s="4">
        <f>(VLOOKUP('7.0.3'!V76,'7.0.3'!$AM$4:$AP$55,4,FALSE))</f>
        <v>34</v>
      </c>
      <c r="O76" s="4">
        <f>(VLOOKUP('7.0.3'!W76,'7.0.3'!$AM$4:$AP$55,4,FALSE))</f>
        <v>0</v>
      </c>
      <c r="P76" s="4">
        <f>(VLOOKUP('7.0.3'!X76,'7.0.3'!$AM$4:$AP$55,4,FALSE))</f>
        <v>0</v>
      </c>
      <c r="Q76" s="4">
        <f>(VLOOKUP('7.0.3'!Y76,'7.0.3'!$AM$4:$AP$55,4,FALSE))</f>
        <v>0</v>
      </c>
      <c r="R76" s="4">
        <f>(VLOOKUP('7.0.3'!Z76,'7.0.3'!$AM$4:$AP$55,4,FALSE))</f>
        <v>0</v>
      </c>
      <c r="S76" s="4">
        <f>(VLOOKUP('7.0.3'!AA76,'7.0.3'!$AM$4:$AP$55,4,FALSE))</f>
        <v>0</v>
      </c>
      <c r="T76" s="4">
        <f>(VLOOKUP('7.0.3'!AB76,'7.0.3'!$AM$4:$AP$55,4,FALSE))</f>
        <v>0</v>
      </c>
      <c r="U76" s="4">
        <f>(VLOOKUP('7.0.3'!AC76,'7.0.3'!$AM$4:$AP$55,4,FALSE))</f>
        <v>0</v>
      </c>
      <c r="V76" s="4">
        <f>(VLOOKUP('7.0.3'!AD76,'7.0.3'!$AM$4:$AP$55,4,FALSE))</f>
        <v>0</v>
      </c>
      <c r="W76" s="4">
        <f>(VLOOKUP('7.0.3'!AE76,'7.0.3'!$AM$4:$AP$55,4,FALSE))</f>
        <v>0</v>
      </c>
      <c r="X76" s="4">
        <f>(VLOOKUP('7.0.3'!AF76,'7.0.3'!$AM$4:$AP$55,4,FALSE))</f>
        <v>0</v>
      </c>
    </row>
    <row r="77" spans="1:24">
      <c r="A77" s="4">
        <f>(VLOOKUP('7.0.3'!I77,'7.0.3'!$AM$4:$AP$55,4,FALSE))</f>
        <v>36</v>
      </c>
      <c r="B77" s="4">
        <f>(VLOOKUP('7.0.3'!J77,'7.0.3'!$AM$4:$AP$55,4,FALSE))</f>
        <v>10</v>
      </c>
      <c r="C77" s="4">
        <f>(VLOOKUP('7.0.3'!K77,'7.0.3'!$AM$4:$AP$55,4,FALSE))</f>
        <v>36</v>
      </c>
      <c r="D77" s="4">
        <f>(VLOOKUP('7.0.3'!L77,'7.0.3'!$AM$4:$AP$55,4,FALSE))</f>
        <v>36</v>
      </c>
      <c r="E77" s="4">
        <f>(VLOOKUP('7.0.3'!M77,'7.0.3'!$AM$4:$AP$55,4,FALSE))</f>
        <v>36</v>
      </c>
      <c r="F77" s="4">
        <f>(VLOOKUP('7.0.3'!N77,'7.0.3'!$AM$4:$AP$55,4,FALSE))</f>
        <v>36</v>
      </c>
      <c r="G77" s="4">
        <f>(VLOOKUP('7.0.3'!O77,'7.0.3'!$AM$4:$AP$55,4,FALSE))</f>
        <v>0</v>
      </c>
      <c r="H77" s="4">
        <f>(VLOOKUP('7.0.3'!P77,'7.0.3'!$AM$4:$AP$55,4,FALSE))</f>
        <v>0</v>
      </c>
      <c r="I77" s="4">
        <f>(VLOOKUP('7.0.3'!Q77,'7.0.3'!$AM$4:$AP$55,4,FALSE))</f>
        <v>34</v>
      </c>
      <c r="J77" s="4">
        <f>(VLOOKUP('7.0.3'!R77,'7.0.3'!$AM$4:$AP$55,4,FALSE))</f>
        <v>34</v>
      </c>
      <c r="K77" s="4">
        <f>(VLOOKUP('7.0.3'!S77,'7.0.3'!$AM$4:$AP$55,4,FALSE))</f>
        <v>34</v>
      </c>
      <c r="L77" s="4">
        <f>(VLOOKUP('7.0.3'!T77,'7.0.3'!$AM$4:$AP$55,4,FALSE))</f>
        <v>34</v>
      </c>
      <c r="M77" s="4">
        <f>(VLOOKUP('7.0.3'!U77,'7.0.3'!$AM$4:$AP$55,4,FALSE))</f>
        <v>34</v>
      </c>
      <c r="N77" s="4">
        <f>(VLOOKUP('7.0.3'!V77,'7.0.3'!$AM$4:$AP$55,4,FALSE))</f>
        <v>34</v>
      </c>
      <c r="O77" s="4">
        <f>(VLOOKUP('7.0.3'!W77,'7.0.3'!$AM$4:$AP$55,4,FALSE))</f>
        <v>0</v>
      </c>
      <c r="P77" s="4">
        <f>(VLOOKUP('7.0.3'!X77,'7.0.3'!$AM$4:$AP$55,4,FALSE))</f>
        <v>0</v>
      </c>
      <c r="Q77" s="4">
        <f>(VLOOKUP('7.0.3'!Y77,'7.0.3'!$AM$4:$AP$55,4,FALSE))</f>
        <v>0</v>
      </c>
      <c r="R77" s="4">
        <f>(VLOOKUP('7.0.3'!Z77,'7.0.3'!$AM$4:$AP$55,4,FALSE))</f>
        <v>0</v>
      </c>
      <c r="S77" s="4">
        <f>(VLOOKUP('7.0.3'!AA77,'7.0.3'!$AM$4:$AP$55,4,FALSE))</f>
        <v>0</v>
      </c>
      <c r="T77" s="4">
        <f>(VLOOKUP('7.0.3'!AB77,'7.0.3'!$AM$4:$AP$55,4,FALSE))</f>
        <v>0</v>
      </c>
      <c r="U77" s="4">
        <f>(VLOOKUP('7.0.3'!AC77,'7.0.3'!$AM$4:$AP$55,4,FALSE))</f>
        <v>0</v>
      </c>
      <c r="V77" s="4">
        <f>(VLOOKUP('7.0.3'!AD77,'7.0.3'!$AM$4:$AP$55,4,FALSE))</f>
        <v>0</v>
      </c>
      <c r="W77" s="4">
        <f>(VLOOKUP('7.0.3'!AE77,'7.0.3'!$AM$4:$AP$55,4,FALSE))</f>
        <v>0</v>
      </c>
      <c r="X77" s="4">
        <f>(VLOOKUP('7.0.3'!AF77,'7.0.3'!$AM$4:$AP$55,4,FALSE))</f>
        <v>0</v>
      </c>
    </row>
    <row r="78" spans="1:24">
      <c r="A78" s="4">
        <f>(VLOOKUP('7.0.3'!I78,'7.0.3'!$AM$4:$AP$55,4,FALSE))</f>
        <v>36</v>
      </c>
      <c r="B78" s="4">
        <f>(VLOOKUP('7.0.3'!J78,'7.0.3'!$AM$4:$AP$55,4,FALSE))</f>
        <v>36</v>
      </c>
      <c r="C78" s="4">
        <f>(VLOOKUP('7.0.3'!K78,'7.0.3'!$AM$4:$AP$55,4,FALSE))</f>
        <v>36</v>
      </c>
      <c r="D78" s="4">
        <f>(VLOOKUP('7.0.3'!L78,'7.0.3'!$AM$4:$AP$55,4,FALSE))</f>
        <v>13.999854933178597</v>
      </c>
      <c r="E78" s="4">
        <f>(VLOOKUP('7.0.3'!M78,'7.0.3'!$AM$4:$AP$55,4,FALSE))</f>
        <v>34</v>
      </c>
      <c r="F78" s="4">
        <f>(VLOOKUP('7.0.3'!N78,'7.0.3'!$AM$4:$AP$55,4,FALSE))</f>
        <v>34</v>
      </c>
      <c r="G78" s="4">
        <f>(VLOOKUP('7.0.3'!O78,'7.0.3'!$AM$4:$AP$55,4,FALSE))</f>
        <v>0</v>
      </c>
      <c r="H78" s="4">
        <f>(VLOOKUP('7.0.3'!P78,'7.0.3'!$AM$4:$AP$55,4,FALSE))</f>
        <v>0</v>
      </c>
      <c r="I78" s="4">
        <f>(VLOOKUP('7.0.3'!Q78,'7.0.3'!$AM$4:$AP$55,4,FALSE))</f>
        <v>34</v>
      </c>
      <c r="J78" s="4">
        <f>(VLOOKUP('7.0.3'!R78,'7.0.3'!$AM$4:$AP$55,4,FALSE))</f>
        <v>34</v>
      </c>
      <c r="K78" s="4">
        <f>(VLOOKUP('7.0.3'!S78,'7.0.3'!$AM$4:$AP$55,4,FALSE))</f>
        <v>34</v>
      </c>
      <c r="L78" s="4">
        <f>(VLOOKUP('7.0.3'!T78,'7.0.3'!$AM$4:$AP$55,4,FALSE))</f>
        <v>34</v>
      </c>
      <c r="M78" s="4">
        <f>(VLOOKUP('7.0.3'!U78,'7.0.3'!$AM$4:$AP$55,4,FALSE))</f>
        <v>34</v>
      </c>
      <c r="N78" s="4">
        <f>(VLOOKUP('7.0.3'!V78,'7.0.3'!$AM$4:$AP$55,4,FALSE))</f>
        <v>34</v>
      </c>
      <c r="O78" s="4">
        <f>(VLOOKUP('7.0.3'!W78,'7.0.3'!$AM$4:$AP$55,4,FALSE))</f>
        <v>0</v>
      </c>
      <c r="P78" s="4">
        <f>(VLOOKUP('7.0.3'!X78,'7.0.3'!$AM$4:$AP$55,4,FALSE))</f>
        <v>0</v>
      </c>
      <c r="Q78" s="4">
        <f>(VLOOKUP('7.0.3'!Y78,'7.0.3'!$AM$4:$AP$55,4,FALSE))</f>
        <v>0</v>
      </c>
      <c r="R78" s="4">
        <f>(VLOOKUP('7.0.3'!Z78,'7.0.3'!$AM$4:$AP$55,4,FALSE))</f>
        <v>0</v>
      </c>
      <c r="S78" s="4">
        <f>(VLOOKUP('7.0.3'!AA78,'7.0.3'!$AM$4:$AP$55,4,FALSE))</f>
        <v>0</v>
      </c>
      <c r="T78" s="4">
        <f>(VLOOKUP('7.0.3'!AB78,'7.0.3'!$AM$4:$AP$55,4,FALSE))</f>
        <v>0</v>
      </c>
      <c r="U78" s="4">
        <f>(VLOOKUP('7.0.3'!AC78,'7.0.3'!$AM$4:$AP$55,4,FALSE))</f>
        <v>0</v>
      </c>
      <c r="V78" s="4">
        <f>(VLOOKUP('7.0.3'!AD78,'7.0.3'!$AM$4:$AP$55,4,FALSE))</f>
        <v>0</v>
      </c>
      <c r="W78" s="4">
        <f>(VLOOKUP('7.0.3'!AE78,'7.0.3'!$AM$4:$AP$55,4,FALSE))</f>
        <v>0</v>
      </c>
      <c r="X78" s="4">
        <f>(VLOOKUP('7.0.3'!AF78,'7.0.3'!$AM$4:$AP$55,4,FALSE))</f>
        <v>0</v>
      </c>
    </row>
    <row r="79" spans="1:24">
      <c r="A79" s="4">
        <f>(VLOOKUP('7.0.3'!I79,'7.0.3'!$AM$4:$AP$55,4,FALSE))</f>
        <v>36</v>
      </c>
      <c r="B79" s="4">
        <f>(VLOOKUP('7.0.3'!J79,'7.0.3'!$AM$4:$AP$55,4,FALSE))</f>
        <v>36</v>
      </c>
      <c r="C79" s="4">
        <f>(VLOOKUP('7.0.3'!K79,'7.0.3'!$AM$4:$AP$55,4,FALSE))</f>
        <v>36</v>
      </c>
      <c r="D79" s="4">
        <f>(VLOOKUP('7.0.3'!L79,'7.0.3'!$AM$4:$AP$55,4,FALSE))</f>
        <v>36</v>
      </c>
      <c r="E79" s="4">
        <f>(VLOOKUP('7.0.3'!M79,'7.0.3'!$AM$4:$AP$55,4,FALSE))</f>
        <v>36</v>
      </c>
      <c r="F79" s="4">
        <f>(VLOOKUP('7.0.3'!N79,'7.0.3'!$AM$4:$AP$55,4,FALSE))</f>
        <v>36</v>
      </c>
      <c r="G79" s="4">
        <f>(VLOOKUP('7.0.3'!O79,'7.0.3'!$AM$4:$AP$55,4,FALSE))</f>
        <v>0</v>
      </c>
      <c r="H79" s="4">
        <f>(VLOOKUP('7.0.3'!P79,'7.0.3'!$AM$4:$AP$55,4,FALSE))</f>
        <v>0</v>
      </c>
      <c r="I79" s="4">
        <f>(VLOOKUP('7.0.3'!Q79,'7.0.3'!$AM$4:$AP$55,4,FALSE))</f>
        <v>34</v>
      </c>
      <c r="J79" s="4">
        <f>(VLOOKUP('7.0.3'!R79,'7.0.3'!$AM$4:$AP$55,4,FALSE))</f>
        <v>34</v>
      </c>
      <c r="K79" s="4">
        <f>(VLOOKUP('7.0.3'!S79,'7.0.3'!$AM$4:$AP$55,4,FALSE))</f>
        <v>34</v>
      </c>
      <c r="L79" s="4">
        <f>(VLOOKUP('7.0.3'!T79,'7.0.3'!$AM$4:$AP$55,4,FALSE))</f>
        <v>34</v>
      </c>
      <c r="M79" s="4">
        <f>(VLOOKUP('7.0.3'!U79,'7.0.3'!$AM$4:$AP$55,4,FALSE))</f>
        <v>34</v>
      </c>
      <c r="N79" s="4">
        <f>(VLOOKUP('7.0.3'!V79,'7.0.3'!$AM$4:$AP$55,4,FALSE))</f>
        <v>34</v>
      </c>
      <c r="O79" s="4">
        <f>(VLOOKUP('7.0.3'!W79,'7.0.3'!$AM$4:$AP$55,4,FALSE))</f>
        <v>0</v>
      </c>
      <c r="P79" s="4">
        <f>(VLOOKUP('7.0.3'!X79,'7.0.3'!$AM$4:$AP$55,4,FALSE))</f>
        <v>0</v>
      </c>
      <c r="Q79" s="4">
        <f>(VLOOKUP('7.0.3'!Y79,'7.0.3'!$AM$4:$AP$55,4,FALSE))</f>
        <v>0</v>
      </c>
      <c r="R79" s="4">
        <f>(VLOOKUP('7.0.3'!Z79,'7.0.3'!$AM$4:$AP$55,4,FALSE))</f>
        <v>0</v>
      </c>
      <c r="S79" s="4">
        <f>(VLOOKUP('7.0.3'!AA79,'7.0.3'!$AM$4:$AP$55,4,FALSE))</f>
        <v>0</v>
      </c>
      <c r="T79" s="4">
        <f>(VLOOKUP('7.0.3'!AB79,'7.0.3'!$AM$4:$AP$55,4,FALSE))</f>
        <v>0</v>
      </c>
      <c r="U79" s="4">
        <f>(VLOOKUP('7.0.3'!AC79,'7.0.3'!$AM$4:$AP$55,4,FALSE))</f>
        <v>0</v>
      </c>
      <c r="V79" s="4">
        <f>(VLOOKUP('7.0.3'!AD79,'7.0.3'!$AM$4:$AP$55,4,FALSE))</f>
        <v>0</v>
      </c>
      <c r="W79" s="4">
        <f>(VLOOKUP('7.0.3'!AE79,'7.0.3'!$AM$4:$AP$55,4,FALSE))</f>
        <v>0</v>
      </c>
      <c r="X79" s="4">
        <f>(VLOOKUP('7.0.3'!AF79,'7.0.3'!$AM$4:$AP$55,4,FALSE))</f>
        <v>0</v>
      </c>
    </row>
    <row r="80" spans="1:24">
      <c r="A80" s="4">
        <f>(VLOOKUP('7.0.3'!I80,'7.0.3'!$AM$4:$AP$55,4,FALSE))</f>
        <v>36</v>
      </c>
      <c r="B80" s="4">
        <f>(VLOOKUP('7.0.3'!J80,'7.0.3'!$AM$4:$AP$55,4,FALSE))</f>
        <v>36</v>
      </c>
      <c r="C80" s="4">
        <f>(VLOOKUP('7.0.3'!K80,'7.0.3'!$AM$4:$AP$55,4,FALSE))</f>
        <v>10</v>
      </c>
      <c r="D80" s="4">
        <f>(VLOOKUP('7.0.3'!L80,'7.0.3'!$AM$4:$AP$55,4,FALSE))</f>
        <v>0</v>
      </c>
      <c r="E80" s="4">
        <f>(VLOOKUP('7.0.3'!M80,'7.0.3'!$AM$4:$AP$55,4,FALSE))</f>
        <v>0</v>
      </c>
      <c r="F80" s="4">
        <f>(VLOOKUP('7.0.3'!N80,'7.0.3'!$AM$4:$AP$55,4,FALSE))</f>
        <v>0</v>
      </c>
      <c r="G80" s="4">
        <f>(VLOOKUP('7.0.3'!O80,'7.0.3'!$AM$4:$AP$55,4,FALSE))</f>
        <v>0</v>
      </c>
      <c r="H80" s="4">
        <f>(VLOOKUP('7.0.3'!P80,'7.0.3'!$AM$4:$AP$55,4,FALSE))</f>
        <v>0</v>
      </c>
      <c r="I80" s="4">
        <f>(VLOOKUP('7.0.3'!Q80,'7.0.3'!$AM$4:$AP$55,4,FALSE))</f>
        <v>34</v>
      </c>
      <c r="J80" s="4">
        <f>(VLOOKUP('7.0.3'!R80,'7.0.3'!$AM$4:$AP$55,4,FALSE))</f>
        <v>34</v>
      </c>
      <c r="K80" s="4">
        <f>(VLOOKUP('7.0.3'!S80,'7.0.3'!$AM$4:$AP$55,4,FALSE))</f>
        <v>34</v>
      </c>
      <c r="L80" s="4">
        <f>(VLOOKUP('7.0.3'!T80,'7.0.3'!$AM$4:$AP$55,4,FALSE))</f>
        <v>34</v>
      </c>
      <c r="M80" s="4">
        <f>(VLOOKUP('7.0.3'!U80,'7.0.3'!$AM$4:$AP$55,4,FALSE))</f>
        <v>34</v>
      </c>
      <c r="N80" s="4">
        <f>(VLOOKUP('7.0.3'!V80,'7.0.3'!$AM$4:$AP$55,4,FALSE))</f>
        <v>34</v>
      </c>
      <c r="O80" s="4">
        <f>(VLOOKUP('7.0.3'!W80,'7.0.3'!$AM$4:$AP$55,4,FALSE))</f>
        <v>0</v>
      </c>
      <c r="P80" s="4">
        <f>(VLOOKUP('7.0.3'!X80,'7.0.3'!$AM$4:$AP$55,4,FALSE))</f>
        <v>0</v>
      </c>
      <c r="Q80" s="4">
        <f>(VLOOKUP('7.0.3'!Y80,'7.0.3'!$AM$4:$AP$55,4,FALSE))</f>
        <v>34</v>
      </c>
      <c r="R80" s="4">
        <f>(VLOOKUP('7.0.3'!Z80,'7.0.3'!$AM$4:$AP$55,4,FALSE))</f>
        <v>34</v>
      </c>
      <c r="S80" s="4">
        <f>(VLOOKUP('7.0.3'!AA80,'7.0.3'!$AM$4:$AP$55,4,FALSE))</f>
        <v>34</v>
      </c>
      <c r="T80" s="4">
        <f>(VLOOKUP('7.0.3'!AB80,'7.0.3'!$AM$4:$AP$55,4,FALSE))</f>
        <v>0</v>
      </c>
      <c r="U80" s="4">
        <f>(VLOOKUP('7.0.3'!AC80,'7.0.3'!$AM$4:$AP$55,4,FALSE))</f>
        <v>0</v>
      </c>
      <c r="V80" s="4">
        <f>(VLOOKUP('7.0.3'!AD80,'7.0.3'!$AM$4:$AP$55,4,FALSE))</f>
        <v>0</v>
      </c>
      <c r="W80" s="4">
        <f>(VLOOKUP('7.0.3'!AE80,'7.0.3'!$AM$4:$AP$55,4,FALSE))</f>
        <v>0</v>
      </c>
      <c r="X80" s="4">
        <f>(VLOOKUP('7.0.3'!AF80,'7.0.3'!$AM$4:$AP$55,4,FALSE))</f>
        <v>0</v>
      </c>
    </row>
    <row r="81" spans="1:24">
      <c r="A81" s="4">
        <f>(VLOOKUP('7.0.3'!I81,'7.0.3'!$AM$4:$AP$55,4,FALSE))</f>
        <v>0</v>
      </c>
      <c r="B81" s="4">
        <f>(VLOOKUP('7.0.3'!J81,'7.0.3'!$AM$4:$AP$55,4,FALSE))</f>
        <v>0</v>
      </c>
      <c r="C81" s="4">
        <f>(VLOOKUP('7.0.3'!K81,'7.0.3'!$AM$4:$AP$55,4,FALSE))</f>
        <v>0</v>
      </c>
      <c r="D81" s="4">
        <f>(VLOOKUP('7.0.3'!L81,'7.0.3'!$AM$4:$AP$55,4,FALSE))</f>
        <v>0</v>
      </c>
      <c r="E81" s="4">
        <f>(VLOOKUP('7.0.3'!M81,'7.0.3'!$AM$4:$AP$55,4,FALSE))</f>
        <v>0</v>
      </c>
      <c r="F81" s="4">
        <f>(VLOOKUP('7.0.3'!N81,'7.0.3'!$AM$4:$AP$55,4,FALSE))</f>
        <v>0</v>
      </c>
      <c r="G81" s="4">
        <f>(VLOOKUP('7.0.3'!O81,'7.0.3'!$AM$4:$AP$55,4,FALSE))</f>
        <v>0</v>
      </c>
      <c r="H81" s="4">
        <f>(VLOOKUP('7.0.3'!P81,'7.0.3'!$AM$4:$AP$55,4,FALSE))</f>
        <v>0</v>
      </c>
      <c r="I81" s="4">
        <f>(VLOOKUP('7.0.3'!Q81,'7.0.3'!$AM$4:$AP$55,4,FALSE))</f>
        <v>34</v>
      </c>
      <c r="J81" s="4">
        <f>(VLOOKUP('7.0.3'!R81,'7.0.3'!$AM$4:$AP$55,4,FALSE))</f>
        <v>34</v>
      </c>
      <c r="K81" s="4">
        <f>(VLOOKUP('7.0.3'!S81,'7.0.3'!$AM$4:$AP$55,4,FALSE))</f>
        <v>34</v>
      </c>
      <c r="L81" s="4">
        <f>(VLOOKUP('7.0.3'!T81,'7.0.3'!$AM$4:$AP$55,4,FALSE))</f>
        <v>10</v>
      </c>
      <c r="M81" s="4">
        <f>(VLOOKUP('7.0.3'!U81,'7.0.3'!$AM$4:$AP$55,4,FALSE))</f>
        <v>34</v>
      </c>
      <c r="N81" s="4">
        <f>(VLOOKUP('7.0.3'!V81,'7.0.3'!$AM$4:$AP$55,4,FALSE))</f>
        <v>34</v>
      </c>
      <c r="O81" s="4">
        <f>(VLOOKUP('7.0.3'!W81,'7.0.3'!$AM$4:$AP$55,4,FALSE))</f>
        <v>0</v>
      </c>
      <c r="P81" s="4">
        <f>(VLOOKUP('7.0.3'!X81,'7.0.3'!$AM$4:$AP$55,4,FALSE))</f>
        <v>0</v>
      </c>
      <c r="Q81" s="4">
        <f>(VLOOKUP('7.0.3'!Y81,'7.0.3'!$AM$4:$AP$55,4,FALSE))</f>
        <v>34</v>
      </c>
      <c r="R81" s="4">
        <f>(VLOOKUP('7.0.3'!Z81,'7.0.3'!$AM$4:$AP$55,4,FALSE))</f>
        <v>34</v>
      </c>
      <c r="S81" s="4">
        <f>(VLOOKUP('7.0.3'!AA81,'7.0.3'!$AM$4:$AP$55,4,FALSE))</f>
        <v>36</v>
      </c>
      <c r="T81" s="4">
        <f>(VLOOKUP('7.0.3'!AB81,'7.0.3'!$AM$4:$AP$55,4,FALSE))</f>
        <v>36</v>
      </c>
      <c r="U81" s="4">
        <f>(VLOOKUP('7.0.3'!AC81,'7.0.3'!$AM$4:$AP$55,4,FALSE))</f>
        <v>36</v>
      </c>
      <c r="V81" s="4">
        <f>(VLOOKUP('7.0.3'!AD81,'7.0.3'!$AM$4:$AP$55,4,FALSE))</f>
        <v>36</v>
      </c>
      <c r="W81" s="4">
        <f>(VLOOKUP('7.0.3'!AE81,'7.0.3'!$AM$4:$AP$55,4,FALSE))</f>
        <v>0</v>
      </c>
      <c r="X81" s="4">
        <f>(VLOOKUP('7.0.3'!AF81,'7.0.3'!$AM$4:$AP$55,4,FALSE))</f>
        <v>0</v>
      </c>
    </row>
    <row r="82" spans="1:24">
      <c r="A82" s="4">
        <f>(VLOOKUP('7.0.3'!I82,'7.0.3'!$AM$4:$AP$55,4,FALSE))</f>
        <v>0</v>
      </c>
      <c r="B82" s="4">
        <f>(VLOOKUP('7.0.3'!J82,'7.0.3'!$AM$4:$AP$55,4,FALSE))</f>
        <v>0</v>
      </c>
      <c r="C82" s="4">
        <f>(VLOOKUP('7.0.3'!K82,'7.0.3'!$AM$4:$AP$55,4,FALSE))</f>
        <v>0</v>
      </c>
      <c r="D82" s="4">
        <f>(VLOOKUP('7.0.3'!L82,'7.0.3'!$AM$4:$AP$55,4,FALSE))</f>
        <v>0</v>
      </c>
      <c r="E82" s="4">
        <f>(VLOOKUP('7.0.3'!M82,'7.0.3'!$AM$4:$AP$55,4,FALSE))</f>
        <v>0</v>
      </c>
      <c r="F82" s="4">
        <f>(VLOOKUP('7.0.3'!N82,'7.0.3'!$AM$4:$AP$55,4,FALSE))</f>
        <v>0</v>
      </c>
      <c r="G82" s="4">
        <f>(VLOOKUP('7.0.3'!O82,'7.0.3'!$AM$4:$AP$55,4,FALSE))</f>
        <v>0</v>
      </c>
      <c r="H82" s="4">
        <f>(VLOOKUP('7.0.3'!P82,'7.0.3'!$AM$4:$AP$55,4,FALSE))</f>
        <v>0</v>
      </c>
      <c r="I82" s="4">
        <f>(VLOOKUP('7.0.3'!Q82,'7.0.3'!$AM$4:$AP$55,4,FALSE))</f>
        <v>34</v>
      </c>
      <c r="J82" s="4">
        <f>(VLOOKUP('7.0.3'!R82,'7.0.3'!$AM$4:$AP$55,4,FALSE))</f>
        <v>34</v>
      </c>
      <c r="K82" s="4">
        <f>(VLOOKUP('7.0.3'!S82,'7.0.3'!$AM$4:$AP$55,4,FALSE))</f>
        <v>34</v>
      </c>
      <c r="L82" s="4">
        <f>(VLOOKUP('7.0.3'!T82,'7.0.3'!$AM$4:$AP$55,4,FALSE))</f>
        <v>34</v>
      </c>
      <c r="M82" s="4">
        <f>(VLOOKUP('7.0.3'!U82,'7.0.3'!$AM$4:$AP$55,4,FALSE))</f>
        <v>34</v>
      </c>
      <c r="N82" s="4">
        <f>(VLOOKUP('7.0.3'!V82,'7.0.3'!$AM$4:$AP$55,4,FALSE))</f>
        <v>34</v>
      </c>
      <c r="O82" s="4">
        <f>(VLOOKUP('7.0.3'!W82,'7.0.3'!$AM$4:$AP$55,4,FALSE))</f>
        <v>0</v>
      </c>
      <c r="P82" s="4">
        <f>(VLOOKUP('7.0.3'!X82,'7.0.3'!$AM$4:$AP$55,4,FALSE))</f>
        <v>0</v>
      </c>
      <c r="Q82" s="4">
        <f>(VLOOKUP('7.0.3'!Y82,'7.0.3'!$AM$4:$AP$55,4,FALSE))</f>
        <v>36</v>
      </c>
      <c r="R82" s="4">
        <f>(VLOOKUP('7.0.3'!Z82,'7.0.3'!$AM$4:$AP$55,4,FALSE))</f>
        <v>36</v>
      </c>
      <c r="S82" s="4">
        <f>(VLOOKUP('7.0.3'!AA82,'7.0.3'!$AM$4:$AP$55,4,FALSE))</f>
        <v>36</v>
      </c>
      <c r="T82" s="4">
        <f>(VLOOKUP('7.0.3'!AB82,'7.0.3'!$AM$4:$AP$55,4,FALSE))</f>
        <v>36</v>
      </c>
      <c r="U82" s="4">
        <f>(VLOOKUP('7.0.3'!AC82,'7.0.3'!$AM$4:$AP$55,4,FALSE))</f>
        <v>10</v>
      </c>
      <c r="V82" s="4">
        <f>(VLOOKUP('7.0.3'!AD82,'7.0.3'!$AM$4:$AP$55,4,FALSE))</f>
        <v>36</v>
      </c>
      <c r="W82" s="4">
        <f>(VLOOKUP('7.0.3'!AE82,'7.0.3'!$AM$4:$AP$55,4,FALSE))</f>
        <v>0</v>
      </c>
      <c r="X82" s="4">
        <f>(VLOOKUP('7.0.3'!AF82,'7.0.3'!$AM$4:$AP$55,4,FALSE))</f>
        <v>0</v>
      </c>
    </row>
    <row r="83" spans="1:24">
      <c r="A83" s="4">
        <f>(VLOOKUP('7.0.3'!I83,'7.0.3'!$AM$4:$AP$55,4,FALSE))</f>
        <v>0</v>
      </c>
      <c r="B83" s="4">
        <f>(VLOOKUP('7.0.3'!J83,'7.0.3'!$AM$4:$AP$55,4,FALSE))</f>
        <v>0</v>
      </c>
      <c r="C83" s="4">
        <f>(VLOOKUP('7.0.3'!K83,'7.0.3'!$AM$4:$AP$55,4,FALSE))</f>
        <v>0</v>
      </c>
      <c r="D83" s="4">
        <f>(VLOOKUP('7.0.3'!L83,'7.0.3'!$AM$4:$AP$55,4,FALSE))</f>
        <v>0</v>
      </c>
      <c r="E83" s="4">
        <f>(VLOOKUP('7.0.3'!M83,'7.0.3'!$AM$4:$AP$55,4,FALSE))</f>
        <v>0</v>
      </c>
      <c r="F83" s="4">
        <f>(VLOOKUP('7.0.3'!N83,'7.0.3'!$AM$4:$AP$55,4,FALSE))</f>
        <v>0</v>
      </c>
      <c r="G83" s="4">
        <f>(VLOOKUP('7.0.3'!O83,'7.0.3'!$AM$4:$AP$55,4,FALSE))</f>
        <v>0</v>
      </c>
      <c r="H83" s="4">
        <f>(VLOOKUP('7.0.3'!P83,'7.0.3'!$AM$4:$AP$55,4,FALSE))</f>
        <v>0</v>
      </c>
      <c r="I83" s="4">
        <f>(VLOOKUP('7.0.3'!Q83,'7.0.3'!$AM$4:$AP$55,4,FALSE))</f>
        <v>34</v>
      </c>
      <c r="J83" s="4">
        <f>(VLOOKUP('7.0.3'!R83,'7.0.3'!$AM$4:$AP$55,4,FALSE))</f>
        <v>34</v>
      </c>
      <c r="K83" s="4">
        <f>(VLOOKUP('7.0.3'!S83,'7.0.3'!$AM$4:$AP$55,4,FALSE))</f>
        <v>34</v>
      </c>
      <c r="L83" s="4">
        <f>(VLOOKUP('7.0.3'!T83,'7.0.3'!$AM$4:$AP$55,4,FALSE))</f>
        <v>34</v>
      </c>
      <c r="M83" s="4">
        <f>(VLOOKUP('7.0.3'!U83,'7.0.3'!$AM$4:$AP$55,4,FALSE))</f>
        <v>34</v>
      </c>
      <c r="N83" s="4">
        <f>(VLOOKUP('7.0.3'!V83,'7.0.3'!$AM$4:$AP$55,4,FALSE))</f>
        <v>34</v>
      </c>
      <c r="O83" s="4">
        <f>(VLOOKUP('7.0.3'!W83,'7.0.3'!$AM$4:$AP$55,4,FALSE))</f>
        <v>0</v>
      </c>
      <c r="P83" s="4">
        <f>(VLOOKUP('7.0.3'!X83,'7.0.3'!$AM$4:$AP$55,4,FALSE))</f>
        <v>0</v>
      </c>
      <c r="Q83" s="4">
        <f>(VLOOKUP('7.0.3'!Y83,'7.0.3'!$AM$4:$AP$55,4,FALSE))</f>
        <v>36</v>
      </c>
      <c r="R83" s="4">
        <f>(VLOOKUP('7.0.3'!Z83,'7.0.3'!$AM$4:$AP$55,4,FALSE))</f>
        <v>36</v>
      </c>
      <c r="S83" s="4">
        <f>(VLOOKUP('7.0.3'!AA83,'7.0.3'!$AM$4:$AP$55,4,FALSE))</f>
        <v>36</v>
      </c>
      <c r="T83" s="4">
        <f>(VLOOKUP('7.0.3'!AB83,'7.0.3'!$AM$4:$AP$55,4,FALSE))</f>
        <v>36</v>
      </c>
      <c r="U83" s="4">
        <f>(VLOOKUP('7.0.3'!AC83,'7.0.3'!$AM$4:$AP$55,4,FALSE))</f>
        <v>36</v>
      </c>
      <c r="V83" s="4">
        <f>(VLOOKUP('7.0.3'!AD83,'7.0.3'!$AM$4:$AP$55,4,FALSE))</f>
        <v>36</v>
      </c>
      <c r="W83" s="4">
        <f>(VLOOKUP('7.0.3'!AE83,'7.0.3'!$AM$4:$AP$55,4,FALSE))</f>
        <v>0</v>
      </c>
      <c r="X83" s="4">
        <f>(VLOOKUP('7.0.3'!AF83,'7.0.3'!$AM$4:$AP$55,4,FALSE))</f>
        <v>0</v>
      </c>
    </row>
    <row r="84" spans="1:24">
      <c r="A84" s="4">
        <f>(VLOOKUP('7.0.3'!I84,'7.0.3'!$AM$4:$AP$55,4,FALSE))</f>
        <v>0</v>
      </c>
      <c r="B84" s="4">
        <f>(VLOOKUP('7.0.3'!J84,'7.0.3'!$AM$4:$AP$55,4,FALSE))</f>
        <v>0</v>
      </c>
      <c r="C84" s="4">
        <f>(VLOOKUP('7.0.3'!K84,'7.0.3'!$AM$4:$AP$55,4,FALSE))</f>
        <v>0</v>
      </c>
      <c r="D84" s="4">
        <f>(VLOOKUP('7.0.3'!L84,'7.0.3'!$AM$4:$AP$55,4,FALSE))</f>
        <v>0</v>
      </c>
      <c r="E84" s="4">
        <f>(VLOOKUP('7.0.3'!M84,'7.0.3'!$AM$4:$AP$55,4,FALSE))</f>
        <v>0</v>
      </c>
      <c r="F84" s="4">
        <f>(VLOOKUP('7.0.3'!N84,'7.0.3'!$AM$4:$AP$55,4,FALSE))</f>
        <v>0</v>
      </c>
      <c r="G84" s="4">
        <f>(VLOOKUP('7.0.3'!O84,'7.0.3'!$AM$4:$AP$55,4,FALSE))</f>
        <v>0</v>
      </c>
      <c r="H84" s="4">
        <f>(VLOOKUP('7.0.3'!P84,'7.0.3'!$AM$4:$AP$55,4,FALSE))</f>
        <v>0</v>
      </c>
      <c r="I84" s="4">
        <f>(VLOOKUP('7.0.3'!Q84,'7.0.3'!$AM$4:$AP$55,4,FALSE))</f>
        <v>34</v>
      </c>
      <c r="J84" s="4">
        <f>(VLOOKUP('7.0.3'!R84,'7.0.3'!$AM$4:$AP$55,4,FALSE))</f>
        <v>34</v>
      </c>
      <c r="K84" s="4">
        <f>(VLOOKUP('7.0.3'!S84,'7.0.3'!$AM$4:$AP$55,4,FALSE))</f>
        <v>34</v>
      </c>
      <c r="L84" s="4">
        <f>(VLOOKUP('7.0.3'!T84,'7.0.3'!$AM$4:$AP$55,4,FALSE))</f>
        <v>34</v>
      </c>
      <c r="M84" s="4">
        <f>(VLOOKUP('7.0.3'!U84,'7.0.3'!$AM$4:$AP$55,4,FALSE))</f>
        <v>34</v>
      </c>
      <c r="N84" s="4">
        <f>(VLOOKUP('7.0.3'!V84,'7.0.3'!$AM$4:$AP$55,4,FALSE))</f>
        <v>34</v>
      </c>
      <c r="O84" s="4">
        <f>(VLOOKUP('7.0.3'!W84,'7.0.3'!$AM$4:$AP$55,4,FALSE))</f>
        <v>0</v>
      </c>
      <c r="P84" s="4">
        <f>(VLOOKUP('7.0.3'!X84,'7.0.3'!$AM$4:$AP$55,4,FALSE))</f>
        <v>0</v>
      </c>
      <c r="Q84" s="4">
        <f>(VLOOKUP('7.0.3'!Y84,'7.0.3'!$AM$4:$AP$55,4,FALSE))</f>
        <v>36</v>
      </c>
      <c r="R84" s="4">
        <f>(VLOOKUP('7.0.3'!Z84,'7.0.3'!$AM$4:$AP$55,4,FALSE))</f>
        <v>36</v>
      </c>
      <c r="S84" s="4">
        <f>(VLOOKUP('7.0.3'!AA84,'7.0.3'!$AM$4:$AP$55,4,FALSE))</f>
        <v>36</v>
      </c>
      <c r="T84" s="4">
        <f>(VLOOKUP('7.0.3'!AB84,'7.0.3'!$AM$4:$AP$55,4,FALSE))</f>
        <v>0</v>
      </c>
      <c r="U84" s="4">
        <f>(VLOOKUP('7.0.3'!AC84,'7.0.3'!$AM$4:$AP$55,4,FALSE))</f>
        <v>36</v>
      </c>
      <c r="V84" s="4">
        <f>(VLOOKUP('7.0.3'!AD84,'7.0.3'!$AM$4:$AP$55,4,FALSE))</f>
        <v>36</v>
      </c>
      <c r="W84" s="4">
        <f>(VLOOKUP('7.0.3'!AE84,'7.0.3'!$AM$4:$AP$55,4,FALSE))</f>
        <v>36</v>
      </c>
      <c r="X84" s="4">
        <f>(VLOOKUP('7.0.3'!AF84,'7.0.3'!$AM$4:$AP$55,4,FALSE))</f>
        <v>0</v>
      </c>
    </row>
    <row r="85" spans="1:24">
      <c r="A85" s="4">
        <f>(VLOOKUP('7.0.3'!I85,'7.0.3'!$AM$4:$AP$55,4,FALSE))</f>
        <v>0</v>
      </c>
      <c r="B85" s="4">
        <f>(VLOOKUP('7.0.3'!J85,'7.0.3'!$AM$4:$AP$55,4,FALSE))</f>
        <v>0</v>
      </c>
      <c r="C85" s="4">
        <f>(VLOOKUP('7.0.3'!K85,'7.0.3'!$AM$4:$AP$55,4,FALSE))</f>
        <v>0</v>
      </c>
      <c r="D85" s="4">
        <f>(VLOOKUP('7.0.3'!L85,'7.0.3'!$AM$4:$AP$55,4,FALSE))</f>
        <v>0</v>
      </c>
      <c r="E85" s="4">
        <f>(VLOOKUP('7.0.3'!M85,'7.0.3'!$AM$4:$AP$55,4,FALSE))</f>
        <v>0</v>
      </c>
      <c r="F85" s="4">
        <f>(VLOOKUP('7.0.3'!N85,'7.0.3'!$AM$4:$AP$55,4,FALSE))</f>
        <v>0</v>
      </c>
      <c r="G85" s="4">
        <f>(VLOOKUP('7.0.3'!O85,'7.0.3'!$AM$4:$AP$55,4,FALSE))</f>
        <v>0</v>
      </c>
      <c r="H85" s="4">
        <f>(VLOOKUP('7.0.3'!P85,'7.0.3'!$AM$4:$AP$55,4,FALSE))</f>
        <v>0</v>
      </c>
      <c r="I85" s="4">
        <f>(VLOOKUP('7.0.3'!Q85,'7.0.3'!$AM$4:$AP$55,4,FALSE))</f>
        <v>10</v>
      </c>
      <c r="J85" s="4">
        <f>(VLOOKUP('7.0.3'!R85,'7.0.3'!$AM$4:$AP$55,4,FALSE))</f>
        <v>34</v>
      </c>
      <c r="K85" s="4">
        <f>(VLOOKUP('7.0.3'!S85,'7.0.3'!$AM$4:$AP$55,4,FALSE))</f>
        <v>34</v>
      </c>
      <c r="L85" s="4">
        <f>(VLOOKUP('7.0.3'!T85,'7.0.3'!$AM$4:$AP$55,4,FALSE))</f>
        <v>34</v>
      </c>
      <c r="M85" s="4">
        <f>(VLOOKUP('7.0.3'!U85,'7.0.3'!$AM$4:$AP$55,4,FALSE))</f>
        <v>34</v>
      </c>
      <c r="N85" s="4">
        <f>(VLOOKUP('7.0.3'!V85,'7.0.3'!$AM$4:$AP$55,4,FALSE))</f>
        <v>34</v>
      </c>
      <c r="O85" s="4">
        <f>(VLOOKUP('7.0.3'!W85,'7.0.3'!$AM$4:$AP$55,4,FALSE))</f>
        <v>0</v>
      </c>
      <c r="P85" s="4">
        <f>(VLOOKUP('7.0.3'!X85,'7.0.3'!$AM$4:$AP$55,4,FALSE))</f>
        <v>0</v>
      </c>
      <c r="Q85" s="4">
        <f>(VLOOKUP('7.0.3'!Y85,'7.0.3'!$AM$4:$AP$55,4,FALSE))</f>
        <v>36</v>
      </c>
      <c r="R85" s="4">
        <f>(VLOOKUP('7.0.3'!Z85,'7.0.3'!$AM$4:$AP$55,4,FALSE))</f>
        <v>36</v>
      </c>
      <c r="S85" s="4">
        <f>(VLOOKUP('7.0.3'!AA85,'7.0.3'!$AM$4:$AP$55,4,FALSE))</f>
        <v>36</v>
      </c>
      <c r="T85" s="4">
        <f>(VLOOKUP('7.0.3'!AB85,'7.0.3'!$AM$4:$AP$55,4,FALSE))</f>
        <v>36</v>
      </c>
      <c r="U85" s="4">
        <f>(VLOOKUP('7.0.3'!AC85,'7.0.3'!$AM$4:$AP$55,4,FALSE))</f>
        <v>36</v>
      </c>
      <c r="V85" s="4">
        <f>(VLOOKUP('7.0.3'!AD85,'7.0.3'!$AM$4:$AP$55,4,FALSE))</f>
        <v>36</v>
      </c>
      <c r="W85" s="4">
        <f>(VLOOKUP('7.0.3'!AE85,'7.0.3'!$AM$4:$AP$55,4,FALSE))</f>
        <v>0</v>
      </c>
      <c r="X85" s="4">
        <f>(VLOOKUP('7.0.3'!AF85,'7.0.3'!$AM$4:$AP$55,4,FALSE))</f>
        <v>0</v>
      </c>
    </row>
    <row r="86" spans="1:24">
      <c r="A86" s="4">
        <f>(VLOOKUP('7.0.3'!I86,'7.0.3'!$AM$4:$AP$55,4,FALSE))</f>
        <v>0</v>
      </c>
      <c r="B86" s="4">
        <f>(VLOOKUP('7.0.3'!J86,'7.0.3'!$AM$4:$AP$55,4,FALSE))</f>
        <v>0</v>
      </c>
      <c r="C86" s="4">
        <f>(VLOOKUP('7.0.3'!K86,'7.0.3'!$AM$4:$AP$55,4,FALSE))</f>
        <v>0</v>
      </c>
      <c r="D86" s="4">
        <f>(VLOOKUP('7.0.3'!L86,'7.0.3'!$AM$4:$AP$55,4,FALSE))</f>
        <v>0</v>
      </c>
      <c r="E86" s="4">
        <f>(VLOOKUP('7.0.3'!M86,'7.0.3'!$AM$4:$AP$55,4,FALSE))</f>
        <v>0</v>
      </c>
      <c r="F86" s="4">
        <f>(VLOOKUP('7.0.3'!N86,'7.0.3'!$AM$4:$AP$55,4,FALSE))</f>
        <v>0</v>
      </c>
      <c r="G86" s="4">
        <f>(VLOOKUP('7.0.3'!O86,'7.0.3'!$AM$4:$AP$55,4,FALSE))</f>
        <v>0</v>
      </c>
      <c r="H86" s="4">
        <f>(VLOOKUP('7.0.3'!P86,'7.0.3'!$AM$4:$AP$55,4,FALSE))</f>
        <v>0</v>
      </c>
      <c r="I86" s="4">
        <f>(VLOOKUP('7.0.3'!Q86,'7.0.3'!$AM$4:$AP$55,4,FALSE))</f>
        <v>34</v>
      </c>
      <c r="J86" s="4">
        <f>(VLOOKUP('7.0.3'!R86,'7.0.3'!$AM$4:$AP$55,4,FALSE))</f>
        <v>34</v>
      </c>
      <c r="K86" s="4">
        <f>(VLOOKUP('7.0.3'!S86,'7.0.3'!$AM$4:$AP$55,4,FALSE))</f>
        <v>34</v>
      </c>
      <c r="L86" s="4">
        <f>(VLOOKUP('7.0.3'!T86,'7.0.3'!$AM$4:$AP$55,4,FALSE))</f>
        <v>34</v>
      </c>
      <c r="M86" s="4">
        <f>(VLOOKUP('7.0.3'!U86,'7.0.3'!$AM$4:$AP$55,4,FALSE))</f>
        <v>34</v>
      </c>
      <c r="N86" s="4">
        <f>(VLOOKUP('7.0.3'!V86,'7.0.3'!$AM$4:$AP$55,4,FALSE))</f>
        <v>0</v>
      </c>
      <c r="O86" s="4">
        <f>(VLOOKUP('7.0.3'!W86,'7.0.3'!$AM$4:$AP$55,4,FALSE))</f>
        <v>34</v>
      </c>
      <c r="P86" s="4">
        <f>(VLOOKUP('7.0.3'!X86,'7.0.3'!$AM$4:$AP$55,4,FALSE))</f>
        <v>34</v>
      </c>
      <c r="Q86" s="4">
        <f>(VLOOKUP('7.0.3'!Y86,'7.0.3'!$AM$4:$AP$55,4,FALSE))</f>
        <v>36</v>
      </c>
      <c r="R86" s="4">
        <f>(VLOOKUP('7.0.3'!Z86,'7.0.3'!$AM$4:$AP$55,4,FALSE))</f>
        <v>36</v>
      </c>
      <c r="S86" s="4">
        <f>(VLOOKUP('7.0.3'!AA86,'7.0.3'!$AM$4:$AP$55,4,FALSE))</f>
        <v>36</v>
      </c>
      <c r="T86" s="4">
        <f>(VLOOKUP('7.0.3'!AB86,'7.0.3'!$AM$4:$AP$55,4,FALSE))</f>
        <v>36</v>
      </c>
      <c r="U86" s="4">
        <f>(VLOOKUP('7.0.3'!AC86,'7.0.3'!$AM$4:$AP$55,4,FALSE))</f>
        <v>36</v>
      </c>
      <c r="V86" s="4">
        <f>(VLOOKUP('7.0.3'!AD86,'7.0.3'!$AM$4:$AP$55,4,FALSE))</f>
        <v>36</v>
      </c>
      <c r="W86" s="4">
        <f>(VLOOKUP('7.0.3'!AE86,'7.0.3'!$AM$4:$AP$55,4,FALSE))</f>
        <v>0</v>
      </c>
      <c r="X86" s="4">
        <f>(VLOOKUP('7.0.3'!AF86,'7.0.3'!$AM$4:$AP$55,4,FALSE))</f>
        <v>0</v>
      </c>
    </row>
    <row r="87" spans="1:24">
      <c r="A87" s="4">
        <f>(VLOOKUP('7.0.3'!I87,'7.0.3'!$AM$4:$AP$55,4,FALSE))</f>
        <v>0</v>
      </c>
      <c r="B87" s="4">
        <f>(VLOOKUP('7.0.3'!J87,'7.0.3'!$AM$4:$AP$55,4,FALSE))</f>
        <v>0</v>
      </c>
      <c r="C87" s="4">
        <f>(VLOOKUP('7.0.3'!K87,'7.0.3'!$AM$4:$AP$55,4,FALSE))</f>
        <v>0</v>
      </c>
      <c r="D87" s="4">
        <f>(VLOOKUP('7.0.3'!L87,'7.0.3'!$AM$4:$AP$55,4,FALSE))</f>
        <v>0</v>
      </c>
      <c r="E87" s="4">
        <f>(VLOOKUP('7.0.3'!M87,'7.0.3'!$AM$4:$AP$55,4,FALSE))</f>
        <v>0</v>
      </c>
      <c r="F87" s="4">
        <f>(VLOOKUP('7.0.3'!N87,'7.0.3'!$AM$4:$AP$55,4,FALSE))</f>
        <v>0</v>
      </c>
      <c r="G87" s="4">
        <f>(VLOOKUP('7.0.3'!O87,'7.0.3'!$AM$4:$AP$55,4,FALSE))</f>
        <v>0</v>
      </c>
      <c r="H87" s="4">
        <f>(VLOOKUP('7.0.3'!P87,'7.0.3'!$AM$4:$AP$55,4,FALSE))</f>
        <v>0</v>
      </c>
      <c r="I87" s="4">
        <f>(VLOOKUP('7.0.3'!Q87,'7.0.3'!$AM$4:$AP$55,4,FALSE))</f>
        <v>10</v>
      </c>
      <c r="J87" s="4">
        <f>(VLOOKUP('7.0.3'!R87,'7.0.3'!$AM$4:$AP$55,4,FALSE))</f>
        <v>34</v>
      </c>
      <c r="K87" s="4">
        <f>(VLOOKUP('7.0.3'!S87,'7.0.3'!$AM$4:$AP$55,4,FALSE))</f>
        <v>34</v>
      </c>
      <c r="L87" s="4">
        <f>(VLOOKUP('7.0.3'!T87,'7.0.3'!$AM$4:$AP$55,4,FALSE))</f>
        <v>34</v>
      </c>
      <c r="M87" s="4">
        <f>(VLOOKUP('7.0.3'!U87,'7.0.3'!$AM$4:$AP$55,4,FALSE))</f>
        <v>29.110982162825422</v>
      </c>
      <c r="N87" s="4">
        <f>(VLOOKUP('7.0.3'!V87,'7.0.3'!$AM$4:$AP$55,4,FALSE))</f>
        <v>34</v>
      </c>
      <c r="O87" s="4">
        <f>(VLOOKUP('7.0.3'!W87,'7.0.3'!$AM$4:$AP$55,4,FALSE))</f>
        <v>0</v>
      </c>
      <c r="P87" s="4">
        <f>(VLOOKUP('7.0.3'!X87,'7.0.3'!$AM$4:$AP$55,4,FALSE))</f>
        <v>0</v>
      </c>
      <c r="Q87" s="4">
        <f>(VLOOKUP('7.0.3'!Y87,'7.0.3'!$AM$4:$AP$55,4,FALSE))</f>
        <v>36</v>
      </c>
      <c r="R87" s="4">
        <f>(VLOOKUP('7.0.3'!Z87,'7.0.3'!$AM$4:$AP$55,4,FALSE))</f>
        <v>36</v>
      </c>
      <c r="S87" s="4">
        <f>(VLOOKUP('7.0.3'!AA87,'7.0.3'!$AM$4:$AP$55,4,FALSE))</f>
        <v>36</v>
      </c>
      <c r="T87" s="4">
        <f>(VLOOKUP('7.0.3'!AB87,'7.0.3'!$AM$4:$AP$55,4,FALSE))</f>
        <v>36</v>
      </c>
      <c r="U87" s="4">
        <f>(VLOOKUP('7.0.3'!AC87,'7.0.3'!$AM$4:$AP$55,4,FALSE))</f>
        <v>36</v>
      </c>
      <c r="V87" s="4">
        <f>(VLOOKUP('7.0.3'!AD87,'7.0.3'!$AM$4:$AP$55,4,FALSE))</f>
        <v>36</v>
      </c>
      <c r="W87" s="4">
        <f>(VLOOKUP('7.0.3'!AE87,'7.0.3'!$AM$4:$AP$55,4,FALSE))</f>
        <v>0</v>
      </c>
      <c r="X87" s="4">
        <f>(VLOOKUP('7.0.3'!AF87,'7.0.3'!$AM$4:$AP$55,4,FALSE))</f>
        <v>0</v>
      </c>
    </row>
    <row r="88" spans="1:24">
      <c r="A88" s="4">
        <f>(VLOOKUP('7.0.3'!I88,'7.0.3'!$AM$4:$AP$55,4,FALSE))</f>
        <v>0</v>
      </c>
      <c r="B88" s="4">
        <f>(VLOOKUP('7.0.3'!J88,'7.0.3'!$AM$4:$AP$55,4,FALSE))</f>
        <v>0</v>
      </c>
      <c r="C88" s="4">
        <f>(VLOOKUP('7.0.3'!K88,'7.0.3'!$AM$4:$AP$55,4,FALSE))</f>
        <v>0</v>
      </c>
      <c r="D88" s="4">
        <f>(VLOOKUP('7.0.3'!L88,'7.0.3'!$AM$4:$AP$55,4,FALSE))</f>
        <v>0</v>
      </c>
      <c r="E88" s="4">
        <f>(VLOOKUP('7.0.3'!M88,'7.0.3'!$AM$4:$AP$55,4,FALSE))</f>
        <v>0</v>
      </c>
      <c r="F88" s="4">
        <f>(VLOOKUP('7.0.3'!N88,'7.0.3'!$AM$4:$AP$55,4,FALSE))</f>
        <v>0</v>
      </c>
      <c r="G88" s="4">
        <f>(VLOOKUP('7.0.3'!O88,'7.0.3'!$AM$4:$AP$55,4,FALSE))</f>
        <v>0</v>
      </c>
      <c r="H88" s="4">
        <f>(VLOOKUP('7.0.3'!P88,'7.0.3'!$AM$4:$AP$55,4,FALSE))</f>
        <v>0</v>
      </c>
      <c r="I88" s="4">
        <f>(VLOOKUP('7.0.3'!Q88,'7.0.3'!$AM$4:$AP$55,4,FALSE))</f>
        <v>34</v>
      </c>
      <c r="J88" s="4">
        <f>(VLOOKUP('7.0.3'!R88,'7.0.3'!$AM$4:$AP$55,4,FALSE))</f>
        <v>34</v>
      </c>
      <c r="K88" s="4">
        <f>(VLOOKUP('7.0.3'!S88,'7.0.3'!$AM$4:$AP$55,4,FALSE))</f>
        <v>34</v>
      </c>
      <c r="L88" s="4">
        <f>(VLOOKUP('7.0.3'!T88,'7.0.3'!$AM$4:$AP$55,4,FALSE))</f>
        <v>34</v>
      </c>
      <c r="M88" s="4">
        <f>(VLOOKUP('7.0.3'!U88,'7.0.3'!$AM$4:$AP$55,4,FALSE))</f>
        <v>34</v>
      </c>
      <c r="N88" s="4">
        <f>(VLOOKUP('7.0.3'!V88,'7.0.3'!$AM$4:$AP$55,4,FALSE))</f>
        <v>34</v>
      </c>
      <c r="O88" s="4">
        <f>(VLOOKUP('7.0.3'!W88,'7.0.3'!$AM$4:$AP$55,4,FALSE))</f>
        <v>0</v>
      </c>
      <c r="P88" s="4">
        <f>(VLOOKUP('7.0.3'!X88,'7.0.3'!$AM$4:$AP$55,4,FALSE))</f>
        <v>0</v>
      </c>
      <c r="Q88" s="4">
        <f>(VLOOKUP('7.0.3'!Y88,'7.0.3'!$AM$4:$AP$55,4,FALSE))</f>
        <v>10</v>
      </c>
      <c r="R88" s="4">
        <f>(VLOOKUP('7.0.3'!Z88,'7.0.3'!$AM$4:$AP$55,4,FALSE))</f>
        <v>36</v>
      </c>
      <c r="S88" s="4">
        <f>(VLOOKUP('7.0.3'!AA88,'7.0.3'!$AM$4:$AP$55,4,FALSE))</f>
        <v>36</v>
      </c>
      <c r="T88" s="4">
        <f>(VLOOKUP('7.0.3'!AB88,'7.0.3'!$AM$4:$AP$55,4,FALSE))</f>
        <v>36</v>
      </c>
      <c r="U88" s="4">
        <f>(VLOOKUP('7.0.3'!AC88,'7.0.3'!$AM$4:$AP$55,4,FALSE))</f>
        <v>36</v>
      </c>
      <c r="V88" s="4">
        <f>(VLOOKUP('7.0.3'!AD88,'7.0.3'!$AM$4:$AP$55,4,FALSE))</f>
        <v>36</v>
      </c>
      <c r="W88" s="4">
        <f>(VLOOKUP('7.0.3'!AE88,'7.0.3'!$AM$4:$AP$55,4,FALSE))</f>
        <v>0</v>
      </c>
      <c r="X88" s="4">
        <f>(VLOOKUP('7.0.3'!AF88,'7.0.3'!$AM$4:$AP$55,4,FALSE))</f>
        <v>0</v>
      </c>
    </row>
    <row r="89" spans="1:24">
      <c r="A89" s="4">
        <f>(VLOOKUP('7.0.3'!I89,'7.0.3'!$AM$4:$AP$55,4,FALSE))</f>
        <v>0</v>
      </c>
      <c r="B89" s="4">
        <f>(VLOOKUP('7.0.3'!J89,'7.0.3'!$AM$4:$AP$55,4,FALSE))</f>
        <v>0</v>
      </c>
      <c r="C89" s="4">
        <f>(VLOOKUP('7.0.3'!K89,'7.0.3'!$AM$4:$AP$55,4,FALSE))</f>
        <v>0</v>
      </c>
      <c r="D89" s="4">
        <f>(VLOOKUP('7.0.3'!L89,'7.0.3'!$AM$4:$AP$55,4,FALSE))</f>
        <v>0</v>
      </c>
      <c r="E89" s="4">
        <f>(VLOOKUP('7.0.3'!M89,'7.0.3'!$AM$4:$AP$55,4,FALSE))</f>
        <v>0</v>
      </c>
      <c r="F89" s="4">
        <f>(VLOOKUP('7.0.3'!N89,'7.0.3'!$AM$4:$AP$55,4,FALSE))</f>
        <v>0</v>
      </c>
      <c r="G89" s="4">
        <f>(VLOOKUP('7.0.3'!O89,'7.0.3'!$AM$4:$AP$55,4,FALSE))</f>
        <v>0</v>
      </c>
      <c r="H89" s="4">
        <f>(VLOOKUP('7.0.3'!P89,'7.0.3'!$AM$4:$AP$55,4,FALSE))</f>
        <v>0</v>
      </c>
      <c r="I89" s="4">
        <f>(VLOOKUP('7.0.3'!Q89,'7.0.3'!$AM$4:$AP$55,4,FALSE))</f>
        <v>34</v>
      </c>
      <c r="J89" s="4">
        <f>(VLOOKUP('7.0.3'!R89,'7.0.3'!$AM$4:$AP$55,4,FALSE))</f>
        <v>34</v>
      </c>
      <c r="K89" s="4">
        <f>(VLOOKUP('7.0.3'!S89,'7.0.3'!$AM$4:$AP$55,4,FALSE))</f>
        <v>34</v>
      </c>
      <c r="L89" s="4">
        <f>(VLOOKUP('7.0.3'!T89,'7.0.3'!$AM$4:$AP$55,4,FALSE))</f>
        <v>34</v>
      </c>
      <c r="M89" s="4">
        <f>(VLOOKUP('7.0.3'!U89,'7.0.3'!$AM$4:$AP$55,4,FALSE))</f>
        <v>13.999854933178597</v>
      </c>
      <c r="N89" s="4">
        <f>(VLOOKUP('7.0.3'!V89,'7.0.3'!$AM$4:$AP$55,4,FALSE))</f>
        <v>34</v>
      </c>
      <c r="O89" s="4">
        <f>(VLOOKUP('7.0.3'!W89,'7.0.3'!$AM$4:$AP$55,4,FALSE))</f>
        <v>0</v>
      </c>
      <c r="P89" s="4">
        <f>(VLOOKUP('7.0.3'!X89,'7.0.3'!$AM$4:$AP$55,4,FALSE))</f>
        <v>0</v>
      </c>
      <c r="Q89" s="4">
        <f>(VLOOKUP('7.0.3'!Y89,'7.0.3'!$AM$4:$AP$55,4,FALSE))</f>
        <v>36</v>
      </c>
      <c r="R89" s="4">
        <f>(VLOOKUP('7.0.3'!Z89,'7.0.3'!$AM$4:$AP$55,4,FALSE))</f>
        <v>36</v>
      </c>
      <c r="S89" s="4">
        <f>(VLOOKUP('7.0.3'!AA89,'7.0.3'!$AM$4:$AP$55,4,FALSE))</f>
        <v>36</v>
      </c>
      <c r="T89" s="4">
        <f>(VLOOKUP('7.0.3'!AB89,'7.0.3'!$AM$4:$AP$55,4,FALSE))</f>
        <v>36</v>
      </c>
      <c r="U89" s="4">
        <f>(VLOOKUP('7.0.3'!AC89,'7.0.3'!$AM$4:$AP$55,4,FALSE))</f>
        <v>36</v>
      </c>
      <c r="V89" s="4">
        <f>(VLOOKUP('7.0.3'!AD89,'7.0.3'!$AM$4:$AP$55,4,FALSE))</f>
        <v>36</v>
      </c>
      <c r="W89" s="4">
        <f>(VLOOKUP('7.0.3'!AE89,'7.0.3'!$AM$4:$AP$55,4,FALSE))</f>
        <v>0</v>
      </c>
      <c r="X89" s="4">
        <f>(VLOOKUP('7.0.3'!AF89,'7.0.3'!$AM$4:$AP$55,4,FALSE))</f>
        <v>0</v>
      </c>
    </row>
    <row r="90" spans="1:24">
      <c r="A90" s="4">
        <f>(VLOOKUP('7.0.3'!I90,'7.0.3'!$AM$4:$AP$55,4,FALSE))</f>
        <v>0</v>
      </c>
      <c r="B90" s="4">
        <f>(VLOOKUP('7.0.3'!J90,'7.0.3'!$AM$4:$AP$55,4,FALSE))</f>
        <v>0</v>
      </c>
      <c r="C90" s="4">
        <f>(VLOOKUP('7.0.3'!K90,'7.0.3'!$AM$4:$AP$55,4,FALSE))</f>
        <v>0</v>
      </c>
      <c r="D90" s="4">
        <f>(VLOOKUP('7.0.3'!L90,'7.0.3'!$AM$4:$AP$55,4,FALSE))</f>
        <v>0</v>
      </c>
      <c r="E90" s="4">
        <f>(VLOOKUP('7.0.3'!M90,'7.0.3'!$AM$4:$AP$55,4,FALSE))</f>
        <v>0</v>
      </c>
      <c r="F90" s="4">
        <f>(VLOOKUP('7.0.3'!N90,'7.0.3'!$AM$4:$AP$55,4,FALSE))</f>
        <v>0</v>
      </c>
      <c r="G90" s="4">
        <f>(VLOOKUP('7.0.3'!O90,'7.0.3'!$AM$4:$AP$55,4,FALSE))</f>
        <v>0</v>
      </c>
      <c r="H90" s="4">
        <f>(VLOOKUP('7.0.3'!P90,'7.0.3'!$AM$4:$AP$55,4,FALSE))</f>
        <v>0</v>
      </c>
      <c r="I90" s="4">
        <f>(VLOOKUP('7.0.3'!Q90,'7.0.3'!$AM$4:$AP$55,4,FALSE))</f>
        <v>34</v>
      </c>
      <c r="J90" s="4">
        <f>(VLOOKUP('7.0.3'!R90,'7.0.3'!$AM$4:$AP$55,4,FALSE))</f>
        <v>34</v>
      </c>
      <c r="K90" s="4">
        <f>(VLOOKUP('7.0.3'!S90,'7.0.3'!$AM$4:$AP$55,4,FALSE))</f>
        <v>34</v>
      </c>
      <c r="L90" s="4">
        <f>(VLOOKUP('7.0.3'!T90,'7.0.3'!$AM$4:$AP$55,4,FALSE))</f>
        <v>10</v>
      </c>
      <c r="M90" s="4">
        <f>(VLOOKUP('7.0.3'!U90,'7.0.3'!$AM$4:$AP$55,4,FALSE))</f>
        <v>34</v>
      </c>
      <c r="N90" s="4">
        <f>(VLOOKUP('7.0.3'!V90,'7.0.3'!$AM$4:$AP$55,4,FALSE))</f>
        <v>34</v>
      </c>
      <c r="O90" s="4">
        <f>(VLOOKUP('7.0.3'!W90,'7.0.3'!$AM$4:$AP$55,4,FALSE))</f>
        <v>0</v>
      </c>
      <c r="P90" s="4">
        <f>(VLOOKUP('7.0.3'!X90,'7.0.3'!$AM$4:$AP$55,4,FALSE))</f>
        <v>0</v>
      </c>
      <c r="Q90" s="4">
        <f>(VLOOKUP('7.0.3'!Y90,'7.0.3'!$AM$4:$AP$55,4,FALSE))</f>
        <v>36</v>
      </c>
      <c r="R90" s="4">
        <f>(VLOOKUP('7.0.3'!Z90,'7.0.3'!$AM$4:$AP$55,4,FALSE))</f>
        <v>36</v>
      </c>
      <c r="S90" s="4">
        <f>(VLOOKUP('7.0.3'!AA90,'7.0.3'!$AM$4:$AP$55,4,FALSE))</f>
        <v>36</v>
      </c>
      <c r="T90" s="4">
        <f>(VLOOKUP('7.0.3'!AB90,'7.0.3'!$AM$4:$AP$55,4,FALSE))</f>
        <v>36</v>
      </c>
      <c r="U90" s="4">
        <f>(VLOOKUP('7.0.3'!AC90,'7.0.3'!$AM$4:$AP$55,4,FALSE))</f>
        <v>10</v>
      </c>
      <c r="V90" s="4">
        <f>(VLOOKUP('7.0.3'!AD90,'7.0.3'!$AM$4:$AP$55,4,FALSE))</f>
        <v>36</v>
      </c>
      <c r="W90" s="4">
        <f>(VLOOKUP('7.0.3'!AE90,'7.0.3'!$AM$4:$AP$55,4,FALSE))</f>
        <v>0</v>
      </c>
      <c r="X90" s="4">
        <f>(VLOOKUP('7.0.3'!AF90,'7.0.3'!$AM$4:$AP$55,4,FALSE))</f>
        <v>0</v>
      </c>
    </row>
    <row r="91" spans="1:24">
      <c r="A91" s="4">
        <f>(VLOOKUP('7.0.3'!I91,'7.0.3'!$AM$4:$AP$55,4,FALSE))</f>
        <v>0</v>
      </c>
      <c r="B91" s="4">
        <f>(VLOOKUP('7.0.3'!J91,'7.0.3'!$AM$4:$AP$55,4,FALSE))</f>
        <v>0</v>
      </c>
      <c r="C91" s="4">
        <f>(VLOOKUP('7.0.3'!K91,'7.0.3'!$AM$4:$AP$55,4,FALSE))</f>
        <v>0</v>
      </c>
      <c r="D91" s="4">
        <f>(VLOOKUP('7.0.3'!L91,'7.0.3'!$AM$4:$AP$55,4,FALSE))</f>
        <v>0</v>
      </c>
      <c r="E91" s="4">
        <f>(VLOOKUP('7.0.3'!M91,'7.0.3'!$AM$4:$AP$55,4,FALSE))</f>
        <v>0</v>
      </c>
      <c r="F91" s="4">
        <f>(VLOOKUP('7.0.3'!N91,'7.0.3'!$AM$4:$AP$55,4,FALSE))</f>
        <v>0</v>
      </c>
      <c r="G91" s="4">
        <f>(VLOOKUP('7.0.3'!O91,'7.0.3'!$AM$4:$AP$55,4,FALSE))</f>
        <v>0</v>
      </c>
      <c r="H91" s="4">
        <f>(VLOOKUP('7.0.3'!P91,'7.0.3'!$AM$4:$AP$55,4,FALSE))</f>
        <v>0</v>
      </c>
      <c r="I91" s="4">
        <f>(VLOOKUP('7.0.3'!Q91,'7.0.3'!$AM$4:$AP$55,4,FALSE))</f>
        <v>34</v>
      </c>
      <c r="J91" s="4">
        <f>(VLOOKUP('7.0.3'!R91,'7.0.3'!$AM$4:$AP$55,4,FALSE))</f>
        <v>34</v>
      </c>
      <c r="K91" s="4">
        <f>(VLOOKUP('7.0.3'!S91,'7.0.3'!$AM$4:$AP$55,4,FALSE))</f>
        <v>34</v>
      </c>
      <c r="L91" s="4">
        <f>(VLOOKUP('7.0.3'!T91,'7.0.3'!$AM$4:$AP$55,4,FALSE))</f>
        <v>34</v>
      </c>
      <c r="M91" s="4">
        <f>(VLOOKUP('7.0.3'!U91,'7.0.3'!$AM$4:$AP$55,4,FALSE))</f>
        <v>34</v>
      </c>
      <c r="N91" s="4">
        <f>(VLOOKUP('7.0.3'!V91,'7.0.3'!$AM$4:$AP$55,4,FALSE))</f>
        <v>34</v>
      </c>
      <c r="O91" s="4">
        <f>(VLOOKUP('7.0.3'!W91,'7.0.3'!$AM$4:$AP$55,4,FALSE))</f>
        <v>0</v>
      </c>
      <c r="P91" s="4">
        <f>(VLOOKUP('7.0.3'!X91,'7.0.3'!$AM$4:$AP$55,4,FALSE))</f>
        <v>0</v>
      </c>
      <c r="Q91" s="4">
        <f>(VLOOKUP('7.0.3'!Y91,'7.0.3'!$AM$4:$AP$55,4,FALSE))</f>
        <v>36</v>
      </c>
      <c r="R91" s="4">
        <f>(VLOOKUP('7.0.3'!Z91,'7.0.3'!$AM$4:$AP$55,4,FALSE))</f>
        <v>36</v>
      </c>
      <c r="S91" s="4">
        <f>(VLOOKUP('7.0.3'!AA91,'7.0.3'!$AM$4:$AP$55,4,FALSE))</f>
        <v>36</v>
      </c>
      <c r="T91" s="4">
        <f>(VLOOKUP('7.0.3'!AB91,'7.0.3'!$AM$4:$AP$55,4,FALSE))</f>
        <v>36</v>
      </c>
      <c r="U91" s="4">
        <f>(VLOOKUP('7.0.3'!AC91,'7.0.3'!$AM$4:$AP$55,4,FALSE))</f>
        <v>36</v>
      </c>
      <c r="V91" s="4">
        <f>(VLOOKUP('7.0.3'!AD91,'7.0.3'!$AM$4:$AP$55,4,FALSE))</f>
        <v>36</v>
      </c>
      <c r="W91" s="4">
        <f>(VLOOKUP('7.0.3'!AE91,'7.0.3'!$AM$4:$AP$55,4,FALSE))</f>
        <v>0</v>
      </c>
      <c r="X91" s="4">
        <f>(VLOOKUP('7.0.3'!AF91,'7.0.3'!$AM$4:$AP$55,4,FALSE))</f>
        <v>0</v>
      </c>
    </row>
    <row r="92" spans="1:24">
      <c r="A92" s="4">
        <f>(VLOOKUP('7.0.3'!I92,'7.0.3'!$AM$4:$AP$55,4,FALSE))</f>
        <v>39.110982162825422</v>
      </c>
      <c r="B92" s="4">
        <f>(VLOOKUP('7.0.3'!J92,'7.0.3'!$AM$4:$AP$55,4,FALSE))</f>
        <v>10</v>
      </c>
      <c r="C92" s="4">
        <f>(VLOOKUP('7.0.3'!K92,'7.0.3'!$AM$4:$AP$55,4,FALSE))</f>
        <v>39.110982162825422</v>
      </c>
      <c r="D92" s="4">
        <f>(VLOOKUP('7.0.3'!L92,'7.0.3'!$AM$4:$AP$55,4,FALSE))</f>
        <v>39.110982162825422</v>
      </c>
      <c r="E92" s="4">
        <f>(VLOOKUP('7.0.3'!M92,'7.0.3'!$AM$4:$AP$55,4,FALSE))</f>
        <v>10</v>
      </c>
      <c r="F92" s="4">
        <f>(VLOOKUP('7.0.3'!N92,'7.0.3'!$AM$4:$AP$55,4,FALSE))</f>
        <v>39.110982162825422</v>
      </c>
      <c r="G92" s="4">
        <f>(VLOOKUP('7.0.3'!O92,'7.0.3'!$AM$4:$AP$55,4,FALSE))</f>
        <v>0</v>
      </c>
      <c r="H92" s="4">
        <f>(VLOOKUP('7.0.3'!P92,'7.0.3'!$AM$4:$AP$55,4,FALSE))</f>
        <v>0</v>
      </c>
      <c r="I92" s="4">
        <f>(VLOOKUP('7.0.3'!Q92,'7.0.3'!$AM$4:$AP$55,4,FALSE))</f>
        <v>10</v>
      </c>
      <c r="J92" s="4">
        <f>(VLOOKUP('7.0.3'!R92,'7.0.3'!$AM$4:$AP$55,4,FALSE))</f>
        <v>39.110982162825422</v>
      </c>
      <c r="K92" s="4">
        <f>(VLOOKUP('7.0.3'!S92,'7.0.3'!$AM$4:$AP$55,4,FALSE))</f>
        <v>39.110982162825422</v>
      </c>
      <c r="L92" s="4">
        <f>(VLOOKUP('7.0.3'!T92,'7.0.3'!$AM$4:$AP$55,4,FALSE))</f>
        <v>39.110982162825422</v>
      </c>
      <c r="M92" s="4">
        <f>(VLOOKUP('7.0.3'!U92,'7.0.3'!$AM$4:$AP$55,4,FALSE))</f>
        <v>39.110982162825422</v>
      </c>
      <c r="N92" s="4">
        <f>(VLOOKUP('7.0.3'!V92,'7.0.3'!$AM$4:$AP$55,4,FALSE))</f>
        <v>0</v>
      </c>
      <c r="O92" s="4">
        <f>(VLOOKUP('7.0.3'!W92,'7.0.3'!$AM$4:$AP$55,4,FALSE))</f>
        <v>0</v>
      </c>
      <c r="P92" s="4">
        <f>(VLOOKUP('7.0.3'!X92,'7.0.3'!$AM$4:$AP$55,4,FALSE))</f>
        <v>0</v>
      </c>
      <c r="Q92" s="4">
        <f>(VLOOKUP('7.0.3'!Y92,'7.0.3'!$AM$4:$AP$55,4,FALSE))</f>
        <v>36</v>
      </c>
      <c r="R92" s="4">
        <f>(VLOOKUP('7.0.3'!Z92,'7.0.3'!$AM$4:$AP$55,4,FALSE))</f>
        <v>36</v>
      </c>
      <c r="S92" s="4">
        <f>(VLOOKUP('7.0.3'!AA92,'7.0.3'!$AM$4:$AP$55,4,FALSE))</f>
        <v>36</v>
      </c>
      <c r="T92" s="4">
        <f>(VLOOKUP('7.0.3'!AB92,'7.0.3'!$AM$4:$AP$55,4,FALSE))</f>
        <v>36</v>
      </c>
      <c r="U92" s="4">
        <f>(VLOOKUP('7.0.3'!AC92,'7.0.3'!$AM$4:$AP$55,4,FALSE))</f>
        <v>0</v>
      </c>
      <c r="V92" s="4">
        <f>(VLOOKUP('7.0.3'!AD92,'7.0.3'!$AM$4:$AP$55,4,FALSE))</f>
        <v>0</v>
      </c>
      <c r="W92" s="4">
        <f>(VLOOKUP('7.0.3'!AE92,'7.0.3'!$AM$4:$AP$55,4,FALSE))</f>
        <v>0</v>
      </c>
      <c r="X92" s="4">
        <f>(VLOOKUP('7.0.3'!AF92,'7.0.3'!$AM$4:$AP$55,4,FALSE))</f>
        <v>0</v>
      </c>
    </row>
    <row r="93" spans="1:24">
      <c r="A93" s="4">
        <f>(VLOOKUP('7.0.3'!I93,'7.0.3'!$AM$4:$AP$55,4,FALSE))</f>
        <v>39.110982162825422</v>
      </c>
      <c r="B93" s="4">
        <f>(VLOOKUP('7.0.3'!J93,'7.0.3'!$AM$4:$AP$55,4,FALSE))</f>
        <v>39.110982162825422</v>
      </c>
      <c r="C93" s="4">
        <f>(VLOOKUP('7.0.3'!K93,'7.0.3'!$AM$4:$AP$55,4,FALSE))</f>
        <v>0</v>
      </c>
      <c r="D93" s="4">
        <f>(VLOOKUP('7.0.3'!L93,'7.0.3'!$AM$4:$AP$55,4,FALSE))</f>
        <v>39.110982162825422</v>
      </c>
      <c r="E93" s="4">
        <f>(VLOOKUP('7.0.3'!M93,'7.0.3'!$AM$4:$AP$55,4,FALSE))</f>
        <v>39.110982162825422</v>
      </c>
      <c r="F93" s="4">
        <f>(VLOOKUP('7.0.3'!N93,'7.0.3'!$AM$4:$AP$55,4,FALSE))</f>
        <v>10</v>
      </c>
      <c r="G93" s="4">
        <f>(VLOOKUP('7.0.3'!O93,'7.0.3'!$AM$4:$AP$55,4,FALSE))</f>
        <v>39.110982162825422</v>
      </c>
      <c r="H93" s="4">
        <f>(VLOOKUP('7.0.3'!P93,'7.0.3'!$AM$4:$AP$55,4,FALSE))</f>
        <v>39.110982162825422</v>
      </c>
      <c r="I93" s="4">
        <f>(VLOOKUP('7.0.3'!Q93,'7.0.3'!$AM$4:$AP$55,4,FALSE))</f>
        <v>10</v>
      </c>
      <c r="J93" s="4">
        <f>(VLOOKUP('7.0.3'!R93,'7.0.3'!$AM$4:$AP$55,4,FALSE))</f>
        <v>39.110982162825422</v>
      </c>
      <c r="K93" s="4">
        <f>(VLOOKUP('7.0.3'!S93,'7.0.3'!$AM$4:$AP$55,4,FALSE))</f>
        <v>39.110982162825422</v>
      </c>
      <c r="L93" s="4">
        <f>(VLOOKUP('7.0.3'!T93,'7.0.3'!$AM$4:$AP$55,4,FALSE))</f>
        <v>39.110982162825422</v>
      </c>
      <c r="M93" s="4">
        <f>(VLOOKUP('7.0.3'!U93,'7.0.3'!$AM$4:$AP$55,4,FALSE))</f>
        <v>0</v>
      </c>
      <c r="N93" s="4">
        <f>(VLOOKUP('7.0.3'!V93,'7.0.3'!$AM$4:$AP$55,4,FALSE))</f>
        <v>0</v>
      </c>
      <c r="O93" s="4">
        <f>(VLOOKUP('7.0.3'!W93,'7.0.3'!$AM$4:$AP$55,4,FALSE))</f>
        <v>0</v>
      </c>
      <c r="P93" s="4">
        <f>(VLOOKUP('7.0.3'!X93,'7.0.3'!$AM$4:$AP$55,4,FALSE))</f>
        <v>0</v>
      </c>
      <c r="Q93" s="4">
        <f>(VLOOKUP('7.0.3'!Y93,'7.0.3'!$AM$4:$AP$55,4,FALSE))</f>
        <v>36</v>
      </c>
      <c r="R93" s="4">
        <f>(VLOOKUP('7.0.3'!Z93,'7.0.3'!$AM$4:$AP$55,4,FALSE))</f>
        <v>36</v>
      </c>
      <c r="S93" s="4">
        <f>(VLOOKUP('7.0.3'!AA93,'7.0.3'!$AM$4:$AP$55,4,FALSE))</f>
        <v>36</v>
      </c>
      <c r="T93" s="4">
        <f>(VLOOKUP('7.0.3'!AB93,'7.0.3'!$AM$4:$AP$55,4,FALSE))</f>
        <v>36</v>
      </c>
      <c r="U93" s="4">
        <f>(VLOOKUP('7.0.3'!AC93,'7.0.3'!$AM$4:$AP$55,4,FALSE))</f>
        <v>0</v>
      </c>
      <c r="V93" s="4">
        <f>(VLOOKUP('7.0.3'!AD93,'7.0.3'!$AM$4:$AP$55,4,FALSE))</f>
        <v>0</v>
      </c>
      <c r="W93" s="4">
        <f>(VLOOKUP('7.0.3'!AE93,'7.0.3'!$AM$4:$AP$55,4,FALSE))</f>
        <v>0</v>
      </c>
      <c r="X93" s="4">
        <f>(VLOOKUP('7.0.3'!AF93,'7.0.3'!$AM$4:$AP$55,4,FALSE))</f>
        <v>0</v>
      </c>
    </row>
    <row r="94" spans="1:24">
      <c r="A94" s="4">
        <f>(VLOOKUP('7.0.3'!I94,'7.0.3'!$AM$4:$AP$55,4,FALSE))</f>
        <v>39.110982162825422</v>
      </c>
      <c r="B94" s="4">
        <f>(VLOOKUP('7.0.3'!J94,'7.0.3'!$AM$4:$AP$55,4,FALSE))</f>
        <v>39.110982162825422</v>
      </c>
      <c r="C94" s="4">
        <f>(VLOOKUP('7.0.3'!K94,'7.0.3'!$AM$4:$AP$55,4,FALSE))</f>
        <v>10</v>
      </c>
      <c r="D94" s="4">
        <f>(VLOOKUP('7.0.3'!L94,'7.0.3'!$AM$4:$AP$55,4,FALSE))</f>
        <v>39.110982162825422</v>
      </c>
      <c r="E94" s="4">
        <f>(VLOOKUP('7.0.3'!M94,'7.0.3'!$AM$4:$AP$55,4,FALSE))</f>
        <v>39.110982162825422</v>
      </c>
      <c r="F94" s="4">
        <f>(VLOOKUP('7.0.3'!N94,'7.0.3'!$AM$4:$AP$55,4,FALSE))</f>
        <v>10</v>
      </c>
      <c r="G94" s="4">
        <f>(VLOOKUP('7.0.3'!O94,'7.0.3'!$AM$4:$AP$55,4,FALSE))</f>
        <v>0</v>
      </c>
      <c r="H94" s="4">
        <f>(VLOOKUP('7.0.3'!P94,'7.0.3'!$AM$4:$AP$55,4,FALSE))</f>
        <v>0</v>
      </c>
      <c r="I94" s="4">
        <f>(VLOOKUP('7.0.3'!Q94,'7.0.3'!$AM$4:$AP$55,4,FALSE))</f>
        <v>10</v>
      </c>
      <c r="J94" s="4">
        <f>(VLOOKUP('7.0.3'!R94,'7.0.3'!$AM$4:$AP$55,4,FALSE))</f>
        <v>39.110982162825422</v>
      </c>
      <c r="K94" s="4">
        <f>(VLOOKUP('7.0.3'!S94,'7.0.3'!$AM$4:$AP$55,4,FALSE))</f>
        <v>39.110982162825422</v>
      </c>
      <c r="L94" s="4">
        <f>(VLOOKUP('7.0.3'!T94,'7.0.3'!$AM$4:$AP$55,4,FALSE))</f>
        <v>39.110982162825422</v>
      </c>
      <c r="M94" s="4">
        <f>(VLOOKUP('7.0.3'!U94,'7.0.3'!$AM$4:$AP$55,4,FALSE))</f>
        <v>44.222109392472248</v>
      </c>
      <c r="N94" s="4">
        <f>(VLOOKUP('7.0.3'!V94,'7.0.3'!$AM$4:$AP$55,4,FALSE))</f>
        <v>10</v>
      </c>
      <c r="O94" s="4">
        <f>(VLOOKUP('7.0.3'!W94,'7.0.3'!$AM$4:$AP$55,4,FALSE))</f>
        <v>0</v>
      </c>
      <c r="P94" s="4">
        <f>(VLOOKUP('7.0.3'!X94,'7.0.3'!$AM$4:$AP$55,4,FALSE))</f>
        <v>0</v>
      </c>
      <c r="Q94" s="4">
        <f>(VLOOKUP('7.0.3'!Y94,'7.0.3'!$AM$4:$AP$55,4,FALSE))</f>
        <v>36</v>
      </c>
      <c r="R94" s="4">
        <f>(VLOOKUP('7.0.3'!Z94,'7.0.3'!$AM$4:$AP$55,4,FALSE))</f>
        <v>36</v>
      </c>
      <c r="S94" s="4">
        <f>(VLOOKUP('7.0.3'!AA94,'7.0.3'!$AM$4:$AP$55,4,FALSE))</f>
        <v>36</v>
      </c>
      <c r="T94" s="4">
        <f>(VLOOKUP('7.0.3'!AB94,'7.0.3'!$AM$4:$AP$55,4,FALSE))</f>
        <v>36</v>
      </c>
      <c r="U94" s="4">
        <f>(VLOOKUP('7.0.3'!AC94,'7.0.3'!$AM$4:$AP$55,4,FALSE))</f>
        <v>0</v>
      </c>
      <c r="V94" s="4">
        <f>(VLOOKUP('7.0.3'!AD94,'7.0.3'!$AM$4:$AP$55,4,FALSE))</f>
        <v>0</v>
      </c>
      <c r="W94" s="4">
        <f>(VLOOKUP('7.0.3'!AE94,'7.0.3'!$AM$4:$AP$55,4,FALSE))</f>
        <v>0</v>
      </c>
      <c r="X94" s="4">
        <f>(VLOOKUP('7.0.3'!AF94,'7.0.3'!$AM$4:$AP$55,4,FALSE))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7.0.3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2022-03-20T01:37:24Z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