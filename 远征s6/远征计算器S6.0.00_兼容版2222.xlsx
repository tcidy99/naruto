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102 5.1.00" sheetId="12" r:id="rId1"/>
    <sheet name="粮草" sheetId="14" state="hidden" r:id="rId2"/>
    <sheet name="经验" sheetId="15" state="hidden" r:id="rId3"/>
  </sheets>
  <calcPr calcId="144525"/>
</workbook>
</file>

<file path=xl/sharedStrings.xml><?xml version="1.0" encoding="utf-8"?>
<sst xmlns="http://schemas.openxmlformats.org/spreadsheetml/2006/main" count="2363" uniqueCount="67">
  <si>
    <t>工作区</t>
  </si>
  <si>
    <t>使用方法：按自己规划的路线，将下表中的地块名复制粘贴至工作区。初次使用传送门，当天跳步次数+5。重复使用传送门，当天跳步次数+1</t>
  </si>
  <si>
    <t>version 6.0.00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</si>
  <si>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</si>
  <si>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</si>
  <si>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</si>
  <si>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</si>
  <si>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</si>
  <si>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</si>
  <si>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</si>
  <si>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</si>
  <si>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</si>
  <si>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</si>
  <si>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</si>
  <si>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种植粮草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</si>
  <si>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</si>
  <si>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</si>
  <si>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</si>
  <si>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</si>
  <si>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</si>
  <si>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</si>
  <si>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</si>
  <si>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</si>
  <si>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</si>
  <si>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</si>
  <si>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</si>
  <si>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</si>
  <si>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</si>
  <si>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</si>
  <si>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</si>
  <si>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</si>
  <si>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</si>
  <si>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</si>
  <si>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</si>
  <si>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</si>
  <si>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</si>
  <si>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</si>
  <si>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</si>
  <si>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</si>
  <si>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营地</t>
  </si>
  <si>
    <t>2级</t>
  </si>
  <si>
    <t>Note：开完八卦当天可能需要手动计算粮草</t>
  </si>
  <si>
    <t>商人</t>
  </si>
  <si>
    <t>3级</t>
  </si>
  <si>
    <t>塔2</t>
  </si>
  <si>
    <t>艮震坤离坎乾</t>
  </si>
  <si>
    <t>4级</t>
  </si>
  <si>
    <t>5级</t>
  </si>
  <si>
    <t>6级</t>
  </si>
  <si>
    <t>塔1</t>
  </si>
  <si>
    <t>离巽</t>
  </si>
  <si>
    <t>塔3</t>
  </si>
  <si>
    <t>是</t>
  </si>
  <si>
    <t>塔4</t>
  </si>
  <si>
    <t>塔5</t>
  </si>
  <si>
    <t>塔6</t>
  </si>
  <si>
    <t>遗迹</t>
  </si>
  <si>
    <t>营地+</t>
  </si>
  <si>
    <t>小boss</t>
  </si>
  <si>
    <t>大boss</t>
  </si>
  <si>
    <t>中boss</t>
  </si>
  <si>
    <t>奈良</t>
  </si>
  <si>
    <t>山中</t>
  </si>
  <si>
    <t>秋道</t>
  </si>
  <si>
    <t>总经验</t>
  </si>
  <si>
    <t>负粮草</t>
  </si>
  <si>
    <t>队伍一 风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</si>
</sst>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 tint="0.0499893185216834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2"/>
      <color rgb="FFC00000"/>
      <name val="等线"/>
      <charset val="134"/>
      <scheme val="minor"/>
    </font>
    <font>
      <sz val="1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darkGray">
        <fgColor theme="9" tint="0.399914548173467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lightGrid">
        <fgColor theme="4" tint="-0.249946592608417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20" fillId="39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8" borderId="20" applyNumberFormat="0" applyFont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21" fillId="42" borderId="22" applyNumberFormat="0" applyAlignment="0" applyProtection="0">
      <alignment vertical="center"/>
    </xf>
    <xf numFmtId="0" fontId="28" fillId="42" borderId="21" applyNumberFormat="0" applyAlignment="0" applyProtection="0">
      <alignment vertical="center"/>
    </xf>
    <xf numFmtId="0" fontId="24" fillId="45" borderId="24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2" fillId="3" borderId="0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/>
    <xf numFmtId="0" fontId="1" fillId="5" borderId="3" xfId="0" applyFont="1" applyFill="1" applyBorder="1" applyAlignment="1">
      <alignment horizontal="center"/>
    </xf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3" fillId="0" borderId="0" xfId="0" applyFont="1"/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0" borderId="0" xfId="0" applyFont="1"/>
    <xf numFmtId="10" fontId="0" fillId="0" borderId="0" xfId="0" applyNumberFormat="1"/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6" borderId="12" xfId="0" applyFill="1" applyBorder="1" applyAlignment="1">
      <alignment wrapText="1"/>
    </xf>
    <xf numFmtId="14" fontId="6" fillId="0" borderId="0" xfId="0" applyNumberFormat="1" applyFont="1" applyFill="1"/>
    <xf numFmtId="0" fontId="6" fillId="3" borderId="0" xfId="0" applyFont="1" applyFill="1"/>
    <xf numFmtId="0" fontId="2" fillId="0" borderId="0" xfId="0" applyFont="1"/>
    <xf numFmtId="0" fontId="2" fillId="3" borderId="0" xfId="0" applyFont="1" applyFill="1"/>
    <xf numFmtId="0" fontId="7" fillId="8" borderId="6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6" fillId="9" borderId="13" xfId="0" applyFont="1" applyFill="1" applyBorder="1" applyAlignment="1">
      <alignment vertical="top"/>
    </xf>
    <xf numFmtId="0" fontId="0" fillId="10" borderId="5" xfId="0" applyFill="1" applyBorder="1"/>
    <xf numFmtId="0" fontId="1" fillId="11" borderId="13" xfId="0" applyFont="1" applyFill="1" applyBorder="1"/>
    <xf numFmtId="0" fontId="6" fillId="12" borderId="13" xfId="0" applyFont="1" applyFill="1" applyBorder="1" applyAlignment="1">
      <alignment vertical="top"/>
    </xf>
    <xf numFmtId="0" fontId="0" fillId="12" borderId="13" xfId="0" applyFont="1" applyFill="1" applyBorder="1" applyAlignment="1">
      <alignment vertical="top"/>
    </xf>
    <xf numFmtId="0" fontId="6" fillId="13" borderId="13" xfId="0" applyFont="1" applyFill="1" applyBorder="1" applyAlignment="1">
      <alignment vertical="top"/>
    </xf>
    <xf numFmtId="0" fontId="1" fillId="14" borderId="13" xfId="0" applyFont="1" applyFill="1" applyBorder="1"/>
    <xf numFmtId="0" fontId="1" fillId="15" borderId="13" xfId="0" applyFont="1" applyFill="1" applyBorder="1"/>
    <xf numFmtId="0" fontId="0" fillId="16" borderId="13" xfId="0" applyFont="1" applyFill="1" applyBorder="1" applyAlignment="1">
      <alignment vertical="top"/>
    </xf>
    <xf numFmtId="0" fontId="0" fillId="13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1" fillId="18" borderId="13" xfId="0" applyFont="1" applyFill="1" applyBorder="1"/>
    <xf numFmtId="0" fontId="1" fillId="19" borderId="13" xfId="0" applyFont="1" applyFill="1" applyBorder="1"/>
    <xf numFmtId="0" fontId="6" fillId="0" borderId="0" xfId="0" applyFont="1"/>
    <xf numFmtId="0" fontId="6" fillId="10" borderId="5" xfId="0" applyFont="1" applyFill="1" applyBorder="1"/>
    <xf numFmtId="0" fontId="0" fillId="0" borderId="0" xfId="0" applyFont="1"/>
    <xf numFmtId="0" fontId="0" fillId="10" borderId="5" xfId="0" applyFont="1" applyFill="1" applyBorder="1"/>
    <xf numFmtId="0" fontId="0" fillId="8" borderId="8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8" fillId="20" borderId="14" xfId="0" applyFont="1" applyFill="1" applyBorder="1" applyAlignment="1">
      <alignment horizontal="center" wrapText="1"/>
    </xf>
    <xf numFmtId="0" fontId="1" fillId="13" borderId="14" xfId="0" applyFont="1" applyFill="1" applyBorder="1" applyAlignment="1">
      <alignment horizontal="center" wrapText="1"/>
    </xf>
    <xf numFmtId="0" fontId="0" fillId="14" borderId="14" xfId="0" applyFill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8" fillId="20" borderId="14" xfId="0" applyFont="1" applyFill="1" applyBorder="1" applyAlignment="1">
      <alignment wrapText="1"/>
    </xf>
    <xf numFmtId="0" fontId="8" fillId="20" borderId="16" xfId="0" applyFont="1" applyFill="1" applyBorder="1" applyAlignment="1">
      <alignment wrapText="1"/>
    </xf>
    <xf numFmtId="0" fontId="1" fillId="13" borderId="16" xfId="0" applyFont="1" applyFill="1" applyBorder="1" applyAlignment="1">
      <alignment wrapText="1"/>
    </xf>
    <xf numFmtId="0" fontId="0" fillId="14" borderId="16" xfId="0" applyFill="1" applyBorder="1" applyAlignment="1">
      <alignment horizontal="center" wrapText="1"/>
    </xf>
    <xf numFmtId="0" fontId="1" fillId="0" borderId="0" xfId="0" applyFont="1"/>
    <xf numFmtId="0" fontId="0" fillId="0" borderId="13" xfId="0" applyBorder="1"/>
    <xf numFmtId="0" fontId="9" fillId="21" borderId="16" xfId="0" applyFont="1" applyFill="1" applyBorder="1" applyAlignment="1">
      <alignment horizontal="center"/>
    </xf>
    <xf numFmtId="0" fontId="6" fillId="0" borderId="16" xfId="0" applyFont="1" applyBorder="1"/>
    <xf numFmtId="0" fontId="6" fillId="0" borderId="13" xfId="0" applyFont="1" applyBorder="1"/>
    <xf numFmtId="0" fontId="0" fillId="0" borderId="16" xfId="0" applyBorder="1"/>
    <xf numFmtId="0" fontId="0" fillId="9" borderId="13" xfId="0" applyFont="1" applyFill="1" applyBorder="1" applyAlignment="1">
      <alignment vertical="top"/>
    </xf>
    <xf numFmtId="0" fontId="1" fillId="22" borderId="13" xfId="0" applyFont="1" applyFill="1" applyBorder="1"/>
    <xf numFmtId="0" fontId="0" fillId="0" borderId="13" xfId="0" applyFill="1" applyBorder="1"/>
    <xf numFmtId="0" fontId="0" fillId="14" borderId="4" xfId="0" applyFill="1" applyBorder="1"/>
    <xf numFmtId="0" fontId="1" fillId="23" borderId="13" xfId="0" applyFont="1" applyFill="1" applyBorder="1"/>
    <xf numFmtId="0" fontId="1" fillId="5" borderId="13" xfId="0" applyFont="1" applyFill="1" applyBorder="1"/>
    <xf numFmtId="0" fontId="1" fillId="0" borderId="13" xfId="0" applyFont="1" applyBorder="1"/>
    <xf numFmtId="0" fontId="0" fillId="14" borderId="9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9" borderId="13" xfId="0" applyFill="1" applyBorder="1"/>
    <xf numFmtId="0" fontId="6" fillId="0" borderId="0" xfId="0" applyFont="1" applyBorder="1"/>
    <xf numFmtId="0" fontId="0" fillId="0" borderId="0" xfId="0" applyBorder="1"/>
    <xf numFmtId="0" fontId="0" fillId="0" borderId="0" xfId="0" applyFill="1" applyBorder="1"/>
    <xf numFmtId="0" fontId="0" fillId="14" borderId="1" xfId="0" applyFill="1" applyBorder="1"/>
    <xf numFmtId="0" fontId="0" fillId="14" borderId="3" xfId="0" applyFill="1" applyBorder="1"/>
    <xf numFmtId="0" fontId="0" fillId="14" borderId="0" xfId="0" applyFill="1" applyBorder="1"/>
    <xf numFmtId="0" fontId="0" fillId="14" borderId="5" xfId="0" applyFill="1" applyBorder="1"/>
    <xf numFmtId="0" fontId="3" fillId="14" borderId="10" xfId="0" applyFont="1" applyFill="1" applyBorder="1"/>
    <xf numFmtId="0" fontId="3" fillId="14" borderId="11" xfId="0" applyFont="1" applyFill="1" applyBorder="1"/>
    <xf numFmtId="0" fontId="0" fillId="0" borderId="2" xfId="0" applyBorder="1" applyAlignment="1">
      <alignment horizontal="center" wrapText="1"/>
    </xf>
    <xf numFmtId="0" fontId="0" fillId="3" borderId="0" xfId="0" applyFill="1"/>
    <xf numFmtId="0" fontId="10" fillId="0" borderId="0" xfId="0" applyFont="1"/>
    <xf numFmtId="0" fontId="0" fillId="0" borderId="17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243"/>
      <color rgb="00FFCC00"/>
      <color rgb="00FFCCFF"/>
      <color rgb="0099FFCC"/>
      <color rgb="00FF99FF"/>
      <color rgb="00CC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6"/>
  <sheetViews>
    <sheetView tabSelected="1" workbookViewId="0">
      <pane ySplit="3" topLeftCell="A64" activePane="bottomLeft" state="frozen"/>
      <selection/>
      <selection pane="bottomLeft" activeCell="M79" sqref="M79"/>
    </sheetView>
  </sheetViews>
  <sheetFormatPr defaultColWidth="9" defaultRowHeight="14.25"/>
  <cols>
    <col min="1" max="1" width="11.8833333333333" customWidth="1"/>
    <col min="2" max="2" width="5.66666666666667" customWidth="1"/>
    <col min="3" max="3" width="6.10833333333333" customWidth="1"/>
    <col min="4" max="4" width="5.66666666666667" customWidth="1"/>
    <col min="5" max="5" width="6.44166666666667" customWidth="1"/>
    <col min="6" max="6" width="5.66666666666667" customWidth="1"/>
    <col min="7" max="7" width="6.55833333333333" customWidth="1"/>
    <col min="8" max="8" width="5" customWidth="1"/>
    <col min="9" max="15" width="7.33333333333333" customWidth="1"/>
    <col min="16" max="16" width="7.10833333333333" customWidth="1"/>
    <col min="17" max="32" width="7.33333333333333" customWidth="1"/>
    <col min="33" max="37" width="5.10833333333333" customWidth="1"/>
  </cols>
  <sheetData>
    <row r="1" ht="28.2" customHeight="1" spans="1:41">
      <c r="A1" s="21" t="e">
        <f ca="1">(_xlfn.DAYS(TODAY(),A4)+2)/((_xlfn.DAYS(A94,A4))+1)</f>
        <v>#NAME?</v>
      </c>
      <c r="B1" s="22"/>
      <c r="C1" s="22"/>
      <c r="D1" s="22"/>
      <c r="E1" s="22"/>
      <c r="F1" s="22"/>
      <c r="G1" s="22"/>
      <c r="H1" s="23"/>
      <c r="I1" s="38" t="s">
        <v>0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58"/>
      <c r="AH1" s="59"/>
      <c r="AI1" s="59"/>
      <c r="AJ1" s="59"/>
      <c r="AM1" s="60" t="s">
        <v>1</v>
      </c>
      <c r="AN1" s="60"/>
      <c r="AO1" s="60"/>
    </row>
    <row r="2" ht="16.2" customHeight="1" spans="1:50">
      <c r="A2" s="24" t="s">
        <v>2</v>
      </c>
      <c r="B2" s="25"/>
      <c r="C2" s="25"/>
      <c r="D2" s="26" t="s">
        <v>3</v>
      </c>
      <c r="E2" s="27"/>
      <c r="F2" s="28">
        <f>SUM(F4:F94)+SUM(H4:H94)</f>
        <v>63295</v>
      </c>
      <c r="G2" s="28"/>
      <c r="H2" s="29"/>
      <c r="I2" s="1" t="s">
        <v>4</v>
      </c>
      <c r="J2" s="2"/>
      <c r="K2" s="2" t="s">
        <v>5</v>
      </c>
      <c r="L2" s="2">
        <f>COUNTIF(I4:P94,"&lt;&gt;空")</f>
        <v>562</v>
      </c>
      <c r="M2" s="2" t="s">
        <v>6</v>
      </c>
      <c r="N2" s="2"/>
      <c r="O2" s="2"/>
      <c r="P2" s="3"/>
      <c r="Q2" s="8" t="s">
        <v>7</v>
      </c>
      <c r="R2" s="9"/>
      <c r="S2" s="9" t="s">
        <v>5</v>
      </c>
      <c r="T2" s="9">
        <f>COUNTIF(Q4:X94,"&lt;&gt;空")</f>
        <v>494</v>
      </c>
      <c r="U2" s="9" t="s">
        <v>6</v>
      </c>
      <c r="V2" s="9"/>
      <c r="W2" s="9"/>
      <c r="X2" s="10"/>
      <c r="Y2" s="13" t="s">
        <v>8</v>
      </c>
      <c r="Z2" s="14"/>
      <c r="AA2" s="15" t="s">
        <v>9</v>
      </c>
      <c r="AB2" s="14">
        <f>COUNTIF(Y4:AF94,"&lt;&gt;空")</f>
        <v>18</v>
      </c>
      <c r="AC2" s="14" t="s">
        <v>6</v>
      </c>
      <c r="AD2" s="14"/>
      <c r="AE2" s="14"/>
      <c r="AF2" s="16"/>
      <c r="AG2" s="61">
        <f>SUM(AG4:AG94)</f>
        <v>-3.4</v>
      </c>
      <c r="AH2" s="61">
        <f t="shared" ref="AH2:AI2" si="0">SUM(AH4:AH94)</f>
        <v>0</v>
      </c>
      <c r="AI2" s="61">
        <f t="shared" si="0"/>
        <v>0</v>
      </c>
      <c r="AJ2" s="62">
        <f t="shared" ref="AJ2" si="1">SUM(AJ4:AJ94)</f>
        <v>0</v>
      </c>
      <c r="AK2" s="63" t="s">
        <v>10</v>
      </c>
      <c r="AM2" s="64"/>
      <c r="AN2" s="64"/>
      <c r="AO2" s="64"/>
      <c r="AW2" s="90"/>
      <c r="AX2" s="91" t="s">
        <v>11</v>
      </c>
    </row>
    <row r="3" ht="29.25" spans="1:50">
      <c r="A3" s="30" t="s">
        <v>12</v>
      </c>
      <c r="B3" s="31" t="s">
        <v>13</v>
      </c>
      <c r="C3" s="32" t="s">
        <v>14</v>
      </c>
      <c r="D3" s="31" t="s">
        <v>15</v>
      </c>
      <c r="E3" s="31" t="s">
        <v>16</v>
      </c>
      <c r="F3" s="33" t="s">
        <v>17</v>
      </c>
      <c r="G3" s="33" t="s">
        <v>18</v>
      </c>
      <c r="H3" s="33" t="s">
        <v>19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5">
        <v>6</v>
      </c>
      <c r="O3" s="5">
        <v>7</v>
      </c>
      <c r="P3" s="5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2">
        <v>8</v>
      </c>
      <c r="Y3" s="17">
        <v>1</v>
      </c>
      <c r="Z3" s="18">
        <v>2</v>
      </c>
      <c r="AA3" s="18">
        <v>3</v>
      </c>
      <c r="AB3" s="18">
        <v>4</v>
      </c>
      <c r="AC3" s="18">
        <v>5</v>
      </c>
      <c r="AD3" s="18">
        <v>6</v>
      </c>
      <c r="AE3" s="18">
        <v>7</v>
      </c>
      <c r="AF3" s="19">
        <v>8</v>
      </c>
      <c r="AG3" s="65" t="s">
        <v>20</v>
      </c>
      <c r="AH3" s="66" t="s">
        <v>21</v>
      </c>
      <c r="AI3" s="66" t="s">
        <v>22</v>
      </c>
      <c r="AJ3" s="67" t="s">
        <v>23</v>
      </c>
      <c r="AK3" s="68"/>
      <c r="AL3" s="69"/>
      <c r="AM3" s="70" t="s">
        <v>24</v>
      </c>
      <c r="AN3" s="70" t="s">
        <v>25</v>
      </c>
      <c r="AO3" s="70" t="s">
        <v>26</v>
      </c>
      <c r="AP3" s="83" t="s">
        <v>27</v>
      </c>
      <c r="AQ3" s="84" t="s">
        <v>28</v>
      </c>
      <c r="AR3" s="85" t="s">
        <v>29</v>
      </c>
      <c r="AS3" s="86" t="s">
        <v>30</v>
      </c>
      <c r="AT3" s="83" t="s">
        <v>31</v>
      </c>
      <c r="AU3" s="84" t="s">
        <v>32</v>
      </c>
      <c r="AV3" s="85" t="s">
        <v>33</v>
      </c>
      <c r="AW3" s="92" t="s">
        <v>34</v>
      </c>
      <c r="AX3" s="93">
        <v>1</v>
      </c>
    </row>
    <row r="4" s="20" customFormat="1" ht="15" spans="1:52">
      <c r="A4" s="34">
        <v>44547</v>
      </c>
      <c r="B4" s="35">
        <v>6800</v>
      </c>
      <c r="C4" s="35"/>
      <c r="D4" s="35">
        <f>(SUM(粮草!A4:X4)+AG4*10)*IF(AK4="是",$AX$4,$AX$3)</f>
        <v>750</v>
      </c>
      <c r="E4" s="35">
        <f>SUM($B$4:B4)+SUM($C$4:C4)-SUM($D$4:D4)</f>
        <v>6050</v>
      </c>
      <c r="F4" s="35">
        <f>SUM(经验!A4:X4)</f>
        <v>175</v>
      </c>
      <c r="G4" s="35">
        <f>SUM($F$4:F4)+SUM($H$4:H4)</f>
        <v>175</v>
      </c>
      <c r="H4" s="35">
        <v>0</v>
      </c>
      <c r="I4" s="40" t="s">
        <v>35</v>
      </c>
      <c r="J4" s="40" t="s">
        <v>35</v>
      </c>
      <c r="K4" s="40" t="s">
        <v>35</v>
      </c>
      <c r="L4" s="40" t="s">
        <v>35</v>
      </c>
      <c r="M4" s="40" t="s">
        <v>35</v>
      </c>
      <c r="N4" t="s">
        <v>36</v>
      </c>
      <c r="O4" s="41" t="s">
        <v>36</v>
      </c>
      <c r="P4" s="41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s="41" t="s">
        <v>36</v>
      </c>
      <c r="X4" s="41" t="s">
        <v>36</v>
      </c>
      <c r="Y4" s="54" t="s">
        <v>36</v>
      </c>
      <c r="Z4" s="54" t="s">
        <v>36</v>
      </c>
      <c r="AA4" s="54" t="s">
        <v>36</v>
      </c>
      <c r="AB4" s="54" t="s">
        <v>36</v>
      </c>
      <c r="AC4" s="54" t="s">
        <v>36</v>
      </c>
      <c r="AD4" s="54" t="s">
        <v>36</v>
      </c>
      <c r="AE4" s="55" t="s">
        <v>36</v>
      </c>
      <c r="AF4" s="55" t="s">
        <v>36</v>
      </c>
      <c r="AG4" s="71">
        <v>0</v>
      </c>
      <c r="AH4" s="71"/>
      <c r="AI4" s="71"/>
      <c r="AJ4" s="71"/>
      <c r="AK4" s="72" t="s">
        <v>37</v>
      </c>
      <c r="AM4" s="40" t="s">
        <v>35</v>
      </c>
      <c r="AN4" s="73">
        <v>150</v>
      </c>
      <c r="AO4" s="73">
        <v>35</v>
      </c>
      <c r="AP4" s="73">
        <f>COUNTIF($I$4:$P$94,AM4)</f>
        <v>12</v>
      </c>
      <c r="AQ4" s="73">
        <f>COUNTIF($Q$4:$X$94,AM4)</f>
        <v>2</v>
      </c>
      <c r="AR4" s="73">
        <f>COUNTIF($Y$4:$AF$94,AM4)</f>
        <v>13</v>
      </c>
      <c r="AS4" s="73">
        <f>AP4+AQ4+AR4</f>
        <v>27</v>
      </c>
      <c r="AT4" s="87">
        <f>AP4*$AO4</f>
        <v>420</v>
      </c>
      <c r="AU4" s="87">
        <f t="shared" ref="AU4:AV19" si="2">AQ4*$AO4</f>
        <v>70</v>
      </c>
      <c r="AV4" s="87">
        <f t="shared" si="2"/>
        <v>455</v>
      </c>
      <c r="AW4" s="94" t="s">
        <v>38</v>
      </c>
      <c r="AX4" s="95">
        <v>0.8</v>
      </c>
      <c r="AZ4" s="54">
        <f>AN4*0.8</f>
        <v>120</v>
      </c>
    </row>
    <row r="5" s="20" customFormat="1" spans="1:52">
      <c r="A5" s="34">
        <v>44548</v>
      </c>
      <c r="B5" s="35">
        <v>1600</v>
      </c>
      <c r="C5" s="35"/>
      <c r="D5" s="35">
        <f>(SUM(粮草!A5:X5)+AG5*10)*IF(AK5="是",$AX$4,$AX$3)</f>
        <v>1520</v>
      </c>
      <c r="E5" s="35">
        <f>SUM($B$4:B5)+SUM($C$4:C5)-SUM($D$4:D5)</f>
        <v>6130</v>
      </c>
      <c r="F5" s="35">
        <f>SUM(经验!A5:X5)</f>
        <v>395</v>
      </c>
      <c r="G5" s="35">
        <f>SUM($F$4:F5)+SUM($H$4:H5)</f>
        <v>1070</v>
      </c>
      <c r="H5" s="35">
        <v>500</v>
      </c>
      <c r="I5" s="40" t="s">
        <v>35</v>
      </c>
      <c r="J5" s="40" t="s">
        <v>35</v>
      </c>
      <c r="K5" s="40" t="s">
        <v>35</v>
      </c>
      <c r="L5" s="40" t="s">
        <v>35</v>
      </c>
      <c r="M5" s="40" t="s">
        <v>35</v>
      </c>
      <c r="N5" s="42" t="s">
        <v>39</v>
      </c>
      <c r="O5" s="40" t="s">
        <v>35</v>
      </c>
      <c r="P5" s="40" t="s">
        <v>35</v>
      </c>
      <c r="Q5" s="40" t="s">
        <v>35</v>
      </c>
      <c r="R5" s="40" t="s">
        <v>35</v>
      </c>
      <c r="S5" s="43" t="s">
        <v>40</v>
      </c>
      <c r="T5" s="43" t="s">
        <v>40</v>
      </c>
      <c r="U5" t="s">
        <v>36</v>
      </c>
      <c r="V5" t="s">
        <v>36</v>
      </c>
      <c r="W5" s="41" t="s">
        <v>36</v>
      </c>
      <c r="X5" s="41" t="s">
        <v>36</v>
      </c>
      <c r="Y5" s="54" t="s">
        <v>36</v>
      </c>
      <c r="Z5" s="54" t="s">
        <v>36</v>
      </c>
      <c r="AA5" s="54" t="s">
        <v>36</v>
      </c>
      <c r="AB5" s="54" t="s">
        <v>36</v>
      </c>
      <c r="AC5" s="54" t="s">
        <v>36</v>
      </c>
      <c r="AD5" s="54" t="s">
        <v>36</v>
      </c>
      <c r="AE5" s="55" t="s">
        <v>36</v>
      </c>
      <c r="AF5" s="55" t="s">
        <v>36</v>
      </c>
      <c r="AG5" s="71">
        <v>0</v>
      </c>
      <c r="AH5" s="71"/>
      <c r="AI5" s="71"/>
      <c r="AJ5" s="71"/>
      <c r="AK5" s="72" t="s">
        <v>37</v>
      </c>
      <c r="AM5" s="43" t="s">
        <v>40</v>
      </c>
      <c r="AN5" s="73">
        <v>160</v>
      </c>
      <c r="AO5" s="73">
        <v>40</v>
      </c>
      <c r="AP5" s="73">
        <f t="shared" ref="AP5:AP26" si="3">COUNTIF($I$4:$P$94,AM5)</f>
        <v>12</v>
      </c>
      <c r="AQ5" s="73">
        <f t="shared" ref="AQ5:AQ26" si="4">COUNTIF($Q$4:$X$94,AM5)</f>
        <v>40</v>
      </c>
      <c r="AR5" s="73">
        <f t="shared" ref="AR5:AR26" si="5">COUNTIF($Y$4:$AF$94,AM5)</f>
        <v>0</v>
      </c>
      <c r="AS5" s="73">
        <f t="shared" ref="AS5:AS26" si="6">AP5+AQ5+AR5</f>
        <v>52</v>
      </c>
      <c r="AT5" s="87">
        <f t="shared" ref="AT5:AV28" si="7">AP5*$AO5</f>
        <v>480</v>
      </c>
      <c r="AU5" s="87">
        <f t="shared" si="2"/>
        <v>1600</v>
      </c>
      <c r="AV5" s="87">
        <f t="shared" si="2"/>
        <v>0</v>
      </c>
      <c r="AW5" s="96" t="s">
        <v>41</v>
      </c>
      <c r="AX5" s="96"/>
      <c r="AZ5" s="54">
        <f t="shared" ref="AZ5:AZ28" si="8">AN5*0.8</f>
        <v>128</v>
      </c>
    </row>
    <row r="6" s="20" customFormat="1" spans="1:52">
      <c r="A6" s="34">
        <v>44549</v>
      </c>
      <c r="B6" s="35">
        <v>1600</v>
      </c>
      <c r="C6" s="35"/>
      <c r="D6" s="35">
        <f>(SUM(粮草!A6:X6)+AG6*10)*IF(AK6="是",$AX$4,$AX$3)</f>
        <v>1490</v>
      </c>
      <c r="E6" s="35">
        <f>SUM($B$4:B6)+SUM($C$4:C6)-SUM($D$4:D6)</f>
        <v>6240</v>
      </c>
      <c r="F6" s="35">
        <f>SUM(经验!A6:X6)</f>
        <v>390</v>
      </c>
      <c r="G6" s="35">
        <f>SUM($F$4:F6)+SUM($H$4:H6)</f>
        <v>1460</v>
      </c>
      <c r="H6" s="35">
        <v>0</v>
      </c>
      <c r="I6" s="43" t="s">
        <v>40</v>
      </c>
      <c r="J6" s="43" t="s">
        <v>40</v>
      </c>
      <c r="K6" s="43" t="s">
        <v>40</v>
      </c>
      <c r="L6" s="43" t="s">
        <v>40</v>
      </c>
      <c r="M6" s="43" t="s">
        <v>40</v>
      </c>
      <c r="N6" s="43" t="s">
        <v>40</v>
      </c>
      <c r="O6" s="41" t="s">
        <v>36</v>
      </c>
      <c r="P6" s="41" t="s">
        <v>36</v>
      </c>
      <c r="Q6" s="43" t="s">
        <v>40</v>
      </c>
      <c r="R6" s="47" t="s">
        <v>42</v>
      </c>
      <c r="S6" s="43" t="s">
        <v>40</v>
      </c>
      <c r="T6" s="43" t="s">
        <v>40</v>
      </c>
      <c r="U6" t="s">
        <v>36</v>
      </c>
      <c r="V6" t="s">
        <v>36</v>
      </c>
      <c r="W6" s="41" t="s">
        <v>36</v>
      </c>
      <c r="X6" s="41" t="s">
        <v>36</v>
      </c>
      <c r="Y6" s="54" t="s">
        <v>36</v>
      </c>
      <c r="Z6" s="54" t="s">
        <v>36</v>
      </c>
      <c r="AA6" s="54" t="s">
        <v>36</v>
      </c>
      <c r="AB6" s="54" t="s">
        <v>36</v>
      </c>
      <c r="AC6" s="54" t="s">
        <v>36</v>
      </c>
      <c r="AD6" s="54" t="s">
        <v>36</v>
      </c>
      <c r="AE6" s="55" t="s">
        <v>36</v>
      </c>
      <c r="AF6" s="55" t="s">
        <v>36</v>
      </c>
      <c r="AG6" s="71">
        <v>0</v>
      </c>
      <c r="AH6" s="71"/>
      <c r="AI6" s="71"/>
      <c r="AJ6" s="71"/>
      <c r="AK6" s="72" t="s">
        <v>37</v>
      </c>
      <c r="AM6" s="45" t="s">
        <v>43</v>
      </c>
      <c r="AN6" s="73">
        <v>170</v>
      </c>
      <c r="AO6" s="73">
        <v>45</v>
      </c>
      <c r="AP6" s="73">
        <f t="shared" si="3"/>
        <v>120</v>
      </c>
      <c r="AQ6" s="73">
        <f t="shared" si="4"/>
        <v>97</v>
      </c>
      <c r="AR6" s="73">
        <f t="shared" si="5"/>
        <v>0</v>
      </c>
      <c r="AS6" s="73">
        <f t="shared" si="6"/>
        <v>217</v>
      </c>
      <c r="AT6" s="87">
        <f t="shared" si="7"/>
        <v>5400</v>
      </c>
      <c r="AU6" s="87">
        <f t="shared" si="2"/>
        <v>4365</v>
      </c>
      <c r="AV6" s="87">
        <f t="shared" si="2"/>
        <v>0</v>
      </c>
      <c r="AW6" s="60"/>
      <c r="AX6" s="60"/>
      <c r="AZ6" s="54">
        <f t="shared" si="8"/>
        <v>136</v>
      </c>
    </row>
    <row r="7" spans="1:52">
      <c r="A7" s="34">
        <v>44550</v>
      </c>
      <c r="B7" s="36">
        <v>1600</v>
      </c>
      <c r="C7" s="36"/>
      <c r="D7" s="37">
        <f>(SUM(粮草!A7:X7)+AG7*10)*IF(AK7="是",$AX$4,$AX$3)</f>
        <v>2000</v>
      </c>
      <c r="E7" s="35">
        <f>SUM($B$4:B7)+SUM($C$4:C7)-SUM($D$4:D7)</f>
        <v>5840</v>
      </c>
      <c r="F7" s="37">
        <f>SUM(经验!A7:X7)</f>
        <v>525</v>
      </c>
      <c r="G7" s="37">
        <f>SUM($F$4:F7)+SUM($H$4:H7)</f>
        <v>2185</v>
      </c>
      <c r="H7" s="36">
        <v>200</v>
      </c>
      <c r="I7" s="44" t="s">
        <v>44</v>
      </c>
      <c r="J7" s="45" t="s">
        <v>43</v>
      </c>
      <c r="K7" s="46" t="s">
        <v>45</v>
      </c>
      <c r="L7" s="45" t="s">
        <v>43</v>
      </c>
      <c r="M7" s="45" t="s">
        <v>43</v>
      </c>
      <c r="N7" s="45" t="s">
        <v>43</v>
      </c>
      <c r="O7" s="41" t="s">
        <v>36</v>
      </c>
      <c r="P7" s="41" t="s">
        <v>36</v>
      </c>
      <c r="Q7" s="43" t="s">
        <v>40</v>
      </c>
      <c r="R7" s="43" t="s">
        <v>40</v>
      </c>
      <c r="S7" s="45" t="s">
        <v>43</v>
      </c>
      <c r="T7" s="45" t="s">
        <v>43</v>
      </c>
      <c r="U7" s="46" t="s">
        <v>45</v>
      </c>
      <c r="V7" s="45" t="s">
        <v>43</v>
      </c>
      <c r="W7" s="41" t="s">
        <v>36</v>
      </c>
      <c r="X7" s="41" t="s">
        <v>36</v>
      </c>
      <c r="Y7" s="56" t="s">
        <v>36</v>
      </c>
      <c r="Z7" s="56" t="s">
        <v>36</v>
      </c>
      <c r="AA7" s="56" t="s">
        <v>36</v>
      </c>
      <c r="AB7" s="56" t="s">
        <v>36</v>
      </c>
      <c r="AC7" s="56" t="s">
        <v>36</v>
      </c>
      <c r="AD7" s="56" t="s">
        <v>36</v>
      </c>
      <c r="AE7" s="57" t="s">
        <v>36</v>
      </c>
      <c r="AF7" s="57" t="s">
        <v>36</v>
      </c>
      <c r="AG7" s="71">
        <v>0</v>
      </c>
      <c r="AH7" s="71"/>
      <c r="AI7" s="71"/>
      <c r="AJ7" s="71"/>
      <c r="AK7" s="74" t="s">
        <v>37</v>
      </c>
      <c r="AM7" s="48" t="s">
        <v>46</v>
      </c>
      <c r="AN7" s="70">
        <v>180</v>
      </c>
      <c r="AO7" s="70">
        <v>50</v>
      </c>
      <c r="AP7" s="70">
        <f t="shared" si="3"/>
        <v>45</v>
      </c>
      <c r="AQ7" s="70">
        <f t="shared" si="4"/>
        <v>218</v>
      </c>
      <c r="AR7" s="70">
        <f t="shared" si="5"/>
        <v>0</v>
      </c>
      <c r="AS7" s="70">
        <f t="shared" si="6"/>
        <v>263</v>
      </c>
      <c r="AT7" s="88">
        <f t="shared" si="7"/>
        <v>2250</v>
      </c>
      <c r="AU7" s="88">
        <f t="shared" si="2"/>
        <v>10900</v>
      </c>
      <c r="AV7" s="88">
        <f t="shared" si="2"/>
        <v>0</v>
      </c>
      <c r="AW7" s="60"/>
      <c r="AX7" s="60"/>
      <c r="AZ7">
        <f t="shared" si="8"/>
        <v>144</v>
      </c>
    </row>
    <row r="8" spans="1:52">
      <c r="A8" s="34">
        <v>44551</v>
      </c>
      <c r="B8" s="36">
        <v>1600</v>
      </c>
      <c r="C8" s="36"/>
      <c r="D8" s="37">
        <f>(SUM(粮草!A8:X8)+AG8*10)*IF(AK8="是",$AX$4,$AX$3)</f>
        <v>1820</v>
      </c>
      <c r="E8" s="35">
        <f>SUM($B$4:B8)+SUM($C$4:C8)-SUM($D$4:D8)</f>
        <v>5620</v>
      </c>
      <c r="F8" s="37">
        <f>SUM(经验!A8:X8)</f>
        <v>555</v>
      </c>
      <c r="G8" s="37">
        <f>SUM($F$4:F8)+SUM($H$4:H8)</f>
        <v>2840</v>
      </c>
      <c r="H8" s="36">
        <v>100</v>
      </c>
      <c r="I8" s="45" t="s">
        <v>43</v>
      </c>
      <c r="J8" s="47" t="s">
        <v>42</v>
      </c>
      <c r="K8" s="45" t="s">
        <v>43</v>
      </c>
      <c r="L8" s="45" t="s">
        <v>43</v>
      </c>
      <c r="M8" s="46" t="s">
        <v>45</v>
      </c>
      <c r="N8" s="45" t="s">
        <v>43</v>
      </c>
      <c r="O8" s="41" t="s">
        <v>36</v>
      </c>
      <c r="P8" s="41" t="s">
        <v>36</v>
      </c>
      <c r="Q8" s="45" t="s">
        <v>43</v>
      </c>
      <c r="R8" s="45" t="s">
        <v>43</v>
      </c>
      <c r="S8" s="45" t="s">
        <v>43</v>
      </c>
      <c r="T8" s="45" t="s">
        <v>43</v>
      </c>
      <c r="U8" s="47" t="s">
        <v>42</v>
      </c>
      <c r="V8" s="45" t="s">
        <v>43</v>
      </c>
      <c r="W8" s="42" t="s">
        <v>39</v>
      </c>
      <c r="X8" s="45" t="s">
        <v>43</v>
      </c>
      <c r="Y8" s="56" t="s">
        <v>36</v>
      </c>
      <c r="Z8" s="56" t="s">
        <v>36</v>
      </c>
      <c r="AA8" s="56" t="s">
        <v>36</v>
      </c>
      <c r="AB8" s="56" t="s">
        <v>36</v>
      </c>
      <c r="AC8" s="56" t="s">
        <v>36</v>
      </c>
      <c r="AD8" s="56" t="s">
        <v>36</v>
      </c>
      <c r="AE8" s="57" t="s">
        <v>36</v>
      </c>
      <c r="AF8" s="57" t="s">
        <v>36</v>
      </c>
      <c r="AG8" s="71">
        <v>0</v>
      </c>
      <c r="AH8" s="71"/>
      <c r="AI8" s="71"/>
      <c r="AJ8" s="71"/>
      <c r="AK8" s="74" t="s">
        <v>37</v>
      </c>
      <c r="AM8" s="50" t="s">
        <v>47</v>
      </c>
      <c r="AN8" s="70">
        <v>190</v>
      </c>
      <c r="AO8" s="70">
        <v>55</v>
      </c>
      <c r="AP8" s="70">
        <f t="shared" si="3"/>
        <v>142</v>
      </c>
      <c r="AQ8" s="70">
        <f t="shared" si="4"/>
        <v>95</v>
      </c>
      <c r="AR8" s="70">
        <f t="shared" si="5"/>
        <v>0</v>
      </c>
      <c r="AS8" s="70">
        <f t="shared" si="6"/>
        <v>237</v>
      </c>
      <c r="AT8" s="88">
        <f t="shared" si="7"/>
        <v>7810</v>
      </c>
      <c r="AU8" s="88">
        <f t="shared" si="2"/>
        <v>5225</v>
      </c>
      <c r="AV8" s="88">
        <f t="shared" si="2"/>
        <v>0</v>
      </c>
      <c r="AW8" s="60"/>
      <c r="AX8" s="60"/>
      <c r="AZ8">
        <f t="shared" si="8"/>
        <v>152</v>
      </c>
    </row>
    <row r="9" spans="1:52">
      <c r="A9" s="34">
        <v>44552</v>
      </c>
      <c r="B9" s="36">
        <v>1600</v>
      </c>
      <c r="C9" s="36"/>
      <c r="D9" s="37">
        <f>(SUM(粮草!A9:X9)+AG9*10)*IF(AK9="是",$AX$4,$AX$3)</f>
        <v>1950</v>
      </c>
      <c r="E9" s="35">
        <f>SUM($B$4:B9)+SUM($C$4:C9)-SUM($D$4:D9)</f>
        <v>5270</v>
      </c>
      <c r="F9" s="37">
        <f>SUM(经验!A9:X9)</f>
        <v>545</v>
      </c>
      <c r="G9" s="37">
        <f>SUM($F$4:F9)+SUM($H$4:H9)</f>
        <v>3585</v>
      </c>
      <c r="H9" s="36">
        <v>200</v>
      </c>
      <c r="I9" s="45" t="s">
        <v>43</v>
      </c>
      <c r="J9" s="48" t="s">
        <v>46</v>
      </c>
      <c r="K9" s="45" t="s">
        <v>43</v>
      </c>
      <c r="L9" s="45" t="s">
        <v>43</v>
      </c>
      <c r="M9" s="42" t="s">
        <v>39</v>
      </c>
      <c r="N9" s="45" t="s">
        <v>43</v>
      </c>
      <c r="O9" s="45" t="s">
        <v>43</v>
      </c>
      <c r="P9" s="41" t="s">
        <v>36</v>
      </c>
      <c r="Q9" s="45" t="s">
        <v>43</v>
      </c>
      <c r="R9" s="45" t="s">
        <v>43</v>
      </c>
      <c r="S9" s="45" t="s">
        <v>43</v>
      </c>
      <c r="T9" s="45" t="s">
        <v>43</v>
      </c>
      <c r="U9" s="46" t="s">
        <v>45</v>
      </c>
      <c r="V9" s="45" t="s">
        <v>43</v>
      </c>
      <c r="W9" s="41" t="s">
        <v>36</v>
      </c>
      <c r="X9" s="41" t="s">
        <v>36</v>
      </c>
      <c r="Y9" s="56" t="s">
        <v>36</v>
      </c>
      <c r="Z9" s="56" t="s">
        <v>36</v>
      </c>
      <c r="AA9" s="56" t="s">
        <v>36</v>
      </c>
      <c r="AB9" s="56" t="s">
        <v>36</v>
      </c>
      <c r="AC9" s="56" t="s">
        <v>36</v>
      </c>
      <c r="AD9" s="56" t="s">
        <v>36</v>
      </c>
      <c r="AE9" s="57" t="s">
        <v>36</v>
      </c>
      <c r="AF9" s="57" t="s">
        <v>36</v>
      </c>
      <c r="AG9" s="71">
        <v>5</v>
      </c>
      <c r="AH9" s="71"/>
      <c r="AI9" s="71"/>
      <c r="AJ9" s="71"/>
      <c r="AK9" s="74" t="s">
        <v>37</v>
      </c>
      <c r="AM9" s="51" t="s">
        <v>48</v>
      </c>
      <c r="AN9" s="70">
        <v>200</v>
      </c>
      <c r="AO9" s="70">
        <v>60</v>
      </c>
      <c r="AP9" s="70">
        <f t="shared" si="3"/>
        <v>194</v>
      </c>
      <c r="AQ9" s="70">
        <f t="shared" si="4"/>
        <v>0</v>
      </c>
      <c r="AR9" s="70">
        <f t="shared" si="5"/>
        <v>0</v>
      </c>
      <c r="AS9" s="70">
        <f t="shared" si="6"/>
        <v>194</v>
      </c>
      <c r="AT9" s="88">
        <f t="shared" si="7"/>
        <v>11640</v>
      </c>
      <c r="AU9" s="88">
        <f t="shared" si="2"/>
        <v>0</v>
      </c>
      <c r="AV9" s="88">
        <f t="shared" si="2"/>
        <v>0</v>
      </c>
      <c r="AZ9">
        <f t="shared" si="8"/>
        <v>160</v>
      </c>
    </row>
    <row r="10" spans="1:52">
      <c r="A10" s="34">
        <v>44553</v>
      </c>
      <c r="B10" s="36">
        <v>1600</v>
      </c>
      <c r="C10" s="36"/>
      <c r="D10" s="37">
        <f>(SUM(粮草!A10:X10)+AG10*10)*IF(AK10="是",$AX$4,$AX$3)</f>
        <v>1680</v>
      </c>
      <c r="E10" s="35">
        <f>SUM($B$4:B10)+SUM($C$4:C10)-SUM($D$4:D10)</f>
        <v>5190</v>
      </c>
      <c r="F10" s="37">
        <f>SUM(经验!A10:X10)</f>
        <v>465</v>
      </c>
      <c r="G10" s="37">
        <f>SUM($F$4:F10)+SUM($H$4:H10)</f>
        <v>4050</v>
      </c>
      <c r="H10" s="36">
        <v>0</v>
      </c>
      <c r="I10" s="45" t="s">
        <v>43</v>
      </c>
      <c r="J10" s="46" t="s">
        <v>45</v>
      </c>
      <c r="K10" s="45" t="s">
        <v>43</v>
      </c>
      <c r="L10" s="45" t="s">
        <v>43</v>
      </c>
      <c r="M10" s="45" t="s">
        <v>43</v>
      </c>
      <c r="N10" s="47" t="s">
        <v>42</v>
      </c>
      <c r="O10" s="41" t="s">
        <v>36</v>
      </c>
      <c r="P10" s="41" t="s">
        <v>36</v>
      </c>
      <c r="Q10" s="45" t="s">
        <v>43</v>
      </c>
      <c r="R10" s="47" t="s">
        <v>42</v>
      </c>
      <c r="S10" s="45" t="s">
        <v>43</v>
      </c>
      <c r="T10" s="45" t="s">
        <v>43</v>
      </c>
      <c r="U10" s="45" t="s">
        <v>43</v>
      </c>
      <c r="V10" t="s">
        <v>36</v>
      </c>
      <c r="W10" s="41" t="s">
        <v>36</v>
      </c>
      <c r="X10" s="41" t="s">
        <v>36</v>
      </c>
      <c r="Y10" s="56" t="s">
        <v>36</v>
      </c>
      <c r="Z10" s="56" t="s">
        <v>36</v>
      </c>
      <c r="AA10" s="56" t="s">
        <v>36</v>
      </c>
      <c r="AB10" s="56" t="s">
        <v>36</v>
      </c>
      <c r="AC10" s="56" t="s">
        <v>36</v>
      </c>
      <c r="AD10" s="56" t="s">
        <v>36</v>
      </c>
      <c r="AE10" s="57" t="s">
        <v>36</v>
      </c>
      <c r="AF10" s="57" t="s">
        <v>36</v>
      </c>
      <c r="AG10" s="71">
        <v>5</v>
      </c>
      <c r="AH10" s="71"/>
      <c r="AI10" s="71"/>
      <c r="AJ10" s="71"/>
      <c r="AK10" s="74" t="s">
        <v>37</v>
      </c>
      <c r="AM10" s="75" t="s">
        <v>49</v>
      </c>
      <c r="AN10" s="70">
        <v>150</v>
      </c>
      <c r="AO10" s="70">
        <v>35</v>
      </c>
      <c r="AP10" s="70">
        <f t="shared" si="3"/>
        <v>0</v>
      </c>
      <c r="AQ10" s="70">
        <f t="shared" si="4"/>
        <v>0</v>
      </c>
      <c r="AR10" s="70">
        <f t="shared" si="5"/>
        <v>1</v>
      </c>
      <c r="AS10" s="70">
        <f t="shared" si="6"/>
        <v>1</v>
      </c>
      <c r="AT10" s="88">
        <f t="shared" si="7"/>
        <v>0</v>
      </c>
      <c r="AU10" s="88">
        <f t="shared" si="2"/>
        <v>0</v>
      </c>
      <c r="AV10" s="88">
        <f t="shared" si="2"/>
        <v>35</v>
      </c>
      <c r="AZ10">
        <f t="shared" si="8"/>
        <v>120</v>
      </c>
    </row>
    <row r="11" spans="1:52">
      <c r="A11" s="34">
        <v>44554</v>
      </c>
      <c r="B11" s="36">
        <v>1600</v>
      </c>
      <c r="C11" s="36"/>
      <c r="D11" s="37">
        <f>(SUM(粮草!A11:X11)+AG11*10)*IF(AK11="是",$AX$4,$AX$3)</f>
        <v>2080</v>
      </c>
      <c r="E11" s="35">
        <f>SUM($B$4:B11)+SUM($C$4:C11)-SUM($D$4:D11)</f>
        <v>4710</v>
      </c>
      <c r="F11" s="37">
        <f>SUM(经验!A11:X11)</f>
        <v>835</v>
      </c>
      <c r="G11" s="37">
        <f>SUM($F$4:F11)+SUM($H$4:H11)</f>
        <v>4885</v>
      </c>
      <c r="H11" s="36">
        <v>0</v>
      </c>
      <c r="I11" s="45" t="s">
        <v>43</v>
      </c>
      <c r="J11" s="45" t="s">
        <v>43</v>
      </c>
      <c r="K11" s="45" t="s">
        <v>43</v>
      </c>
      <c r="L11" s="46" t="s">
        <v>50</v>
      </c>
      <c r="M11" s="45" t="s">
        <v>43</v>
      </c>
      <c r="N11" s="45" t="s">
        <v>43</v>
      </c>
      <c r="O11" s="41" t="s">
        <v>36</v>
      </c>
      <c r="P11" s="41" t="s">
        <v>36</v>
      </c>
      <c r="Q11" s="45" t="s">
        <v>43</v>
      </c>
      <c r="R11" s="45" t="s">
        <v>43</v>
      </c>
      <c r="S11" s="47" t="s">
        <v>42</v>
      </c>
      <c r="T11" s="45" t="s">
        <v>43</v>
      </c>
      <c r="U11" s="45" t="s">
        <v>43</v>
      </c>
      <c r="V11" s="46" t="s">
        <v>50</v>
      </c>
      <c r="W11" s="41" t="s">
        <v>36</v>
      </c>
      <c r="X11" s="41" t="s">
        <v>36</v>
      </c>
      <c r="Y11" s="56" t="s">
        <v>36</v>
      </c>
      <c r="Z11" s="56" t="s">
        <v>36</v>
      </c>
      <c r="AA11" s="56" t="s">
        <v>36</v>
      </c>
      <c r="AB11" s="56" t="s">
        <v>36</v>
      </c>
      <c r="AC11" s="56" t="s">
        <v>36</v>
      </c>
      <c r="AD11" s="56" t="s">
        <v>36</v>
      </c>
      <c r="AE11" s="57" t="s">
        <v>36</v>
      </c>
      <c r="AF11" s="57" t="s">
        <v>36</v>
      </c>
      <c r="AG11" s="71">
        <v>0</v>
      </c>
      <c r="AH11" s="71"/>
      <c r="AI11" s="71"/>
      <c r="AJ11" s="71"/>
      <c r="AK11" s="74" t="s">
        <v>37</v>
      </c>
      <c r="AM11" s="44" t="s">
        <v>44</v>
      </c>
      <c r="AN11" s="70">
        <v>150</v>
      </c>
      <c r="AO11" s="70">
        <v>40</v>
      </c>
      <c r="AP11" s="70">
        <f t="shared" si="3"/>
        <v>2</v>
      </c>
      <c r="AQ11" s="70">
        <f t="shared" si="4"/>
        <v>2</v>
      </c>
      <c r="AR11" s="70">
        <f t="shared" si="5"/>
        <v>0</v>
      </c>
      <c r="AS11" s="70">
        <f t="shared" si="6"/>
        <v>4</v>
      </c>
      <c r="AT11" s="88">
        <f t="shared" si="7"/>
        <v>80</v>
      </c>
      <c r="AU11" s="88">
        <f t="shared" si="2"/>
        <v>80</v>
      </c>
      <c r="AV11" s="88">
        <f t="shared" si="2"/>
        <v>0</v>
      </c>
      <c r="AZ11">
        <f t="shared" si="8"/>
        <v>120</v>
      </c>
    </row>
    <row r="12" spans="1:52">
      <c r="A12" s="34">
        <v>44555</v>
      </c>
      <c r="B12" s="36">
        <v>1600</v>
      </c>
      <c r="C12" s="36"/>
      <c r="D12" s="37">
        <f>(SUM(粮草!A12:X12)+AG12*10)*IF(AK12="是",$AX$4,$AX$3)</f>
        <v>1826</v>
      </c>
      <c r="E12" s="35">
        <f>SUM($B$4:B12)+SUM($C$4:C12)-SUM($D$4:D12)</f>
        <v>4484</v>
      </c>
      <c r="F12" s="37">
        <f>SUM(经验!A12:X12)</f>
        <v>555</v>
      </c>
      <c r="G12" s="37">
        <f>SUM($F$4:F12)+SUM($H$4:H12)</f>
        <v>5440</v>
      </c>
      <c r="H12" s="36">
        <v>0</v>
      </c>
      <c r="I12" s="45" t="s">
        <v>43</v>
      </c>
      <c r="J12" s="45" t="s">
        <v>43</v>
      </c>
      <c r="K12" s="45" t="s">
        <v>43</v>
      </c>
      <c r="L12" s="45" t="s">
        <v>43</v>
      </c>
      <c r="M12" s="46" t="s">
        <v>45</v>
      </c>
      <c r="N12" s="45" t="s">
        <v>43</v>
      </c>
      <c r="O12" s="41" t="s">
        <v>36</v>
      </c>
      <c r="P12" s="41" t="s">
        <v>36</v>
      </c>
      <c r="Q12" s="45" t="s">
        <v>43</v>
      </c>
      <c r="R12" s="45" t="s">
        <v>43</v>
      </c>
      <c r="S12" s="45" t="s">
        <v>43</v>
      </c>
      <c r="T12" s="48" t="s">
        <v>46</v>
      </c>
      <c r="U12" s="48" t="s">
        <v>46</v>
      </c>
      <c r="V12" s="48" t="s">
        <v>46</v>
      </c>
      <c r="W12" s="41" t="s">
        <v>36</v>
      </c>
      <c r="X12" s="41" t="s">
        <v>36</v>
      </c>
      <c r="Y12" s="56" t="s">
        <v>36</v>
      </c>
      <c r="Z12" s="56" t="s">
        <v>36</v>
      </c>
      <c r="AA12" s="56" t="s">
        <v>36</v>
      </c>
      <c r="AB12" s="56" t="s">
        <v>36</v>
      </c>
      <c r="AC12" s="56" t="s">
        <v>36</v>
      </c>
      <c r="AD12" s="56" t="s">
        <v>36</v>
      </c>
      <c r="AE12" s="57" t="s">
        <v>36</v>
      </c>
      <c r="AF12" s="57" t="s">
        <v>36</v>
      </c>
      <c r="AG12" s="71">
        <v>-24.4</v>
      </c>
      <c r="AH12" s="71"/>
      <c r="AI12" s="71"/>
      <c r="AJ12" s="71"/>
      <c r="AK12" s="74" t="s">
        <v>37</v>
      </c>
      <c r="AM12" s="49" t="s">
        <v>51</v>
      </c>
      <c r="AN12" s="70">
        <v>150</v>
      </c>
      <c r="AO12" s="70">
        <v>45</v>
      </c>
      <c r="AP12" s="70">
        <f t="shared" si="3"/>
        <v>2</v>
      </c>
      <c r="AQ12" s="70">
        <f t="shared" si="4"/>
        <v>4</v>
      </c>
      <c r="AR12" s="70">
        <f t="shared" si="5"/>
        <v>0</v>
      </c>
      <c r="AS12" s="70">
        <f t="shared" si="6"/>
        <v>6</v>
      </c>
      <c r="AT12" s="88">
        <f t="shared" si="7"/>
        <v>90</v>
      </c>
      <c r="AU12" s="88">
        <f t="shared" si="2"/>
        <v>180</v>
      </c>
      <c r="AV12" s="88">
        <f t="shared" si="2"/>
        <v>0</v>
      </c>
      <c r="AZ12">
        <f t="shared" si="8"/>
        <v>120</v>
      </c>
    </row>
    <row r="13" spans="1:52">
      <c r="A13" s="34">
        <v>44556</v>
      </c>
      <c r="B13" s="36">
        <v>1600</v>
      </c>
      <c r="C13" s="36"/>
      <c r="D13" s="37">
        <f>(SUM(粮草!A13:X13)+AG13*10)*IF(AK13="是",$AX$4,$AX$3)</f>
        <v>1568</v>
      </c>
      <c r="E13" s="35">
        <f>SUM($B$4:B13)+SUM($C$4:C13)-SUM($D$4:D13)</f>
        <v>4516</v>
      </c>
      <c r="F13" s="37">
        <f>SUM(经验!A13:X13)</f>
        <v>550</v>
      </c>
      <c r="G13" s="37">
        <f>SUM($F$4:F13)+SUM($H$4:H13)</f>
        <v>5990</v>
      </c>
      <c r="H13" s="36">
        <v>0</v>
      </c>
      <c r="I13" s="45" t="s">
        <v>43</v>
      </c>
      <c r="J13" s="45" t="s">
        <v>43</v>
      </c>
      <c r="K13" s="47" t="s">
        <v>42</v>
      </c>
      <c r="L13" s="45" t="s">
        <v>43</v>
      </c>
      <c r="M13" s="45" t="s">
        <v>43</v>
      </c>
      <c r="N13" s="44" t="s">
        <v>44</v>
      </c>
      <c r="O13" s="41" t="s">
        <v>36</v>
      </c>
      <c r="P13" s="41" t="s">
        <v>36</v>
      </c>
      <c r="Q13" s="48" t="s">
        <v>46</v>
      </c>
      <c r="R13" s="48" t="s">
        <v>46</v>
      </c>
      <c r="S13" s="48" t="s">
        <v>46</v>
      </c>
      <c r="T13" s="48" t="s">
        <v>46</v>
      </c>
      <c r="U13" s="48" t="s">
        <v>46</v>
      </c>
      <c r="V13" s="48" t="s">
        <v>46</v>
      </c>
      <c r="W13" s="41" t="s">
        <v>36</v>
      </c>
      <c r="X13" s="41" t="s">
        <v>36</v>
      </c>
      <c r="Y13" s="56" t="s">
        <v>36</v>
      </c>
      <c r="Z13" s="56" t="s">
        <v>36</v>
      </c>
      <c r="AA13" s="56" t="s">
        <v>36</v>
      </c>
      <c r="AB13" s="56" t="s">
        <v>36</v>
      </c>
      <c r="AC13" s="56" t="s">
        <v>36</v>
      </c>
      <c r="AD13" s="56" t="s">
        <v>36</v>
      </c>
      <c r="AE13" s="57" t="s">
        <v>36</v>
      </c>
      <c r="AF13" s="57" t="s">
        <v>36</v>
      </c>
      <c r="AG13" s="71">
        <v>0</v>
      </c>
      <c r="AH13" s="71"/>
      <c r="AI13" s="71"/>
      <c r="AJ13" s="71"/>
      <c r="AK13" s="74" t="s">
        <v>52</v>
      </c>
      <c r="AM13" s="48" t="s">
        <v>53</v>
      </c>
      <c r="AN13" s="70">
        <v>150</v>
      </c>
      <c r="AO13" s="70">
        <v>50</v>
      </c>
      <c r="AP13" s="70">
        <f t="shared" si="3"/>
        <v>0</v>
      </c>
      <c r="AQ13" s="70">
        <f t="shared" si="4"/>
        <v>3</v>
      </c>
      <c r="AR13" s="70">
        <f t="shared" si="5"/>
        <v>0</v>
      </c>
      <c r="AS13" s="70">
        <f t="shared" si="6"/>
        <v>3</v>
      </c>
      <c r="AT13" s="88">
        <f t="shared" si="7"/>
        <v>0</v>
      </c>
      <c r="AU13" s="88">
        <f t="shared" si="2"/>
        <v>150</v>
      </c>
      <c r="AV13" s="88">
        <f t="shared" si="2"/>
        <v>0</v>
      </c>
      <c r="AZ13">
        <f t="shared" si="8"/>
        <v>120</v>
      </c>
    </row>
    <row r="14" spans="1:52">
      <c r="A14" s="34">
        <v>44557</v>
      </c>
      <c r="B14" s="37">
        <v>1600</v>
      </c>
      <c r="C14" s="37"/>
      <c r="D14" s="37">
        <f>(SUM(粮草!A14:X14)+AG14*10)*IF(AK14="是",$AX$4,$AX$3)</f>
        <v>1576</v>
      </c>
      <c r="E14" s="35">
        <f>SUM($B$4:B14)+SUM($C$4:C14)-SUM($D$4:D14)</f>
        <v>4540</v>
      </c>
      <c r="F14" s="37">
        <f>SUM(经验!A14:X14)</f>
        <v>550</v>
      </c>
      <c r="G14" s="37">
        <f>SUM($F$4:F14)+SUM($H$4:H14)</f>
        <v>6840</v>
      </c>
      <c r="H14" s="37">
        <v>300</v>
      </c>
      <c r="I14" s="45" t="s">
        <v>43</v>
      </c>
      <c r="J14" s="45" t="s">
        <v>43</v>
      </c>
      <c r="K14" s="45" t="s">
        <v>43</v>
      </c>
      <c r="L14" s="45" t="s">
        <v>43</v>
      </c>
      <c r="M14" s="45" t="s">
        <v>43</v>
      </c>
      <c r="N14" s="45" t="s">
        <v>43</v>
      </c>
      <c r="O14" s="41" t="s">
        <v>36</v>
      </c>
      <c r="P14" s="41" t="s">
        <v>36</v>
      </c>
      <c r="Q14" s="47" t="s">
        <v>42</v>
      </c>
      <c r="R14" s="48" t="s">
        <v>46</v>
      </c>
      <c r="S14" s="48" t="s">
        <v>46</v>
      </c>
      <c r="T14" s="48" t="s">
        <v>46</v>
      </c>
      <c r="U14" s="48" t="s">
        <v>46</v>
      </c>
      <c r="V14" s="48" t="s">
        <v>46</v>
      </c>
      <c r="W14" s="41" t="s">
        <v>36</v>
      </c>
      <c r="X14" s="41" t="s">
        <v>36</v>
      </c>
      <c r="Y14" s="56" t="s">
        <v>36</v>
      </c>
      <c r="Z14" s="56" t="s">
        <v>36</v>
      </c>
      <c r="AA14" s="56" t="s">
        <v>36</v>
      </c>
      <c r="AB14" s="56" t="s">
        <v>36</v>
      </c>
      <c r="AC14" s="56" t="s">
        <v>36</v>
      </c>
      <c r="AD14" s="56" t="s">
        <v>36</v>
      </c>
      <c r="AE14" s="57" t="s">
        <v>36</v>
      </c>
      <c r="AF14" s="57" t="s">
        <v>36</v>
      </c>
      <c r="AG14" s="71">
        <v>0</v>
      </c>
      <c r="AH14" s="71"/>
      <c r="AI14" s="71"/>
      <c r="AJ14" s="71"/>
      <c r="AK14" s="74" t="s">
        <v>52</v>
      </c>
      <c r="AM14" s="50" t="s">
        <v>54</v>
      </c>
      <c r="AN14" s="70">
        <v>150</v>
      </c>
      <c r="AO14" s="70">
        <v>55</v>
      </c>
      <c r="AP14" s="70">
        <f t="shared" si="3"/>
        <v>2</v>
      </c>
      <c r="AQ14" s="70">
        <f t="shared" si="4"/>
        <v>1</v>
      </c>
      <c r="AR14" s="70">
        <f t="shared" si="5"/>
        <v>0</v>
      </c>
      <c r="AS14" s="70">
        <f t="shared" si="6"/>
        <v>3</v>
      </c>
      <c r="AT14" s="88">
        <f t="shared" si="7"/>
        <v>110</v>
      </c>
      <c r="AU14" s="88">
        <f t="shared" si="2"/>
        <v>55</v>
      </c>
      <c r="AV14" s="88">
        <f t="shared" si="2"/>
        <v>0</v>
      </c>
      <c r="AZ14">
        <f t="shared" si="8"/>
        <v>120</v>
      </c>
    </row>
    <row r="15" spans="1:52">
      <c r="A15" s="34">
        <v>44558</v>
      </c>
      <c r="B15" s="37">
        <v>1600</v>
      </c>
      <c r="C15" s="37"/>
      <c r="D15" s="37">
        <f>(SUM(粮草!A15:X15)+AG15*10)*IF(AK15="是",$AX$4,$AX$3)</f>
        <v>1680</v>
      </c>
      <c r="E15" s="35">
        <f>SUM($B$4:B15)+SUM($C$4:C15)-SUM($D$4:D15)</f>
        <v>4460</v>
      </c>
      <c r="F15" s="37">
        <f>SUM(经验!A15:X15)</f>
        <v>570</v>
      </c>
      <c r="G15" s="37">
        <f>SUM($F$4:F15)+SUM($H$4:H15)</f>
        <v>7410</v>
      </c>
      <c r="H15" s="37">
        <v>0</v>
      </c>
      <c r="I15" s="45" t="s">
        <v>43</v>
      </c>
      <c r="J15" s="45" t="s">
        <v>43</v>
      </c>
      <c r="K15" s="45" t="s">
        <v>43</v>
      </c>
      <c r="L15" s="45" t="s">
        <v>43</v>
      </c>
      <c r="M15" s="45" t="s">
        <v>43</v>
      </c>
      <c r="N15" s="45" t="s">
        <v>43</v>
      </c>
      <c r="O15" s="41" t="s">
        <v>36</v>
      </c>
      <c r="P15" s="41" t="s">
        <v>36</v>
      </c>
      <c r="Q15" s="48" t="s">
        <v>46</v>
      </c>
      <c r="R15" s="48" t="s">
        <v>46</v>
      </c>
      <c r="S15" s="48" t="s">
        <v>46</v>
      </c>
      <c r="T15" s="48" t="s">
        <v>46</v>
      </c>
      <c r="U15" s="48" t="s">
        <v>46</v>
      </c>
      <c r="V15" s="48" t="s">
        <v>46</v>
      </c>
      <c r="W15" s="41" t="s">
        <v>36</v>
      </c>
      <c r="X15" s="41" t="s">
        <v>36</v>
      </c>
      <c r="Y15" s="56" t="s">
        <v>36</v>
      </c>
      <c r="Z15" s="56" t="s">
        <v>36</v>
      </c>
      <c r="AA15" s="56" t="s">
        <v>36</v>
      </c>
      <c r="AB15" s="56" t="s">
        <v>36</v>
      </c>
      <c r="AC15" s="56" t="s">
        <v>36</v>
      </c>
      <c r="AD15" s="56" t="s">
        <v>36</v>
      </c>
      <c r="AE15" s="57" t="s">
        <v>36</v>
      </c>
      <c r="AF15" s="57" t="s">
        <v>36</v>
      </c>
      <c r="AG15" s="71">
        <v>0</v>
      </c>
      <c r="AH15" s="71"/>
      <c r="AI15" s="71"/>
      <c r="AJ15" s="71"/>
      <c r="AK15" s="74" t="s">
        <v>52</v>
      </c>
      <c r="AM15" s="51" t="s">
        <v>55</v>
      </c>
      <c r="AN15" s="70">
        <v>150</v>
      </c>
      <c r="AO15" s="70">
        <v>60</v>
      </c>
      <c r="AP15" s="70">
        <f t="shared" si="3"/>
        <v>1</v>
      </c>
      <c r="AQ15" s="70">
        <f t="shared" si="4"/>
        <v>0</v>
      </c>
      <c r="AR15" s="70">
        <f t="shared" si="5"/>
        <v>0</v>
      </c>
      <c r="AS15" s="70">
        <f t="shared" si="6"/>
        <v>1</v>
      </c>
      <c r="AT15" s="88">
        <f t="shared" si="7"/>
        <v>60</v>
      </c>
      <c r="AU15" s="88">
        <f t="shared" si="2"/>
        <v>0</v>
      </c>
      <c r="AV15" s="88">
        <f t="shared" si="2"/>
        <v>0</v>
      </c>
      <c r="AZ15">
        <f t="shared" si="8"/>
        <v>120</v>
      </c>
    </row>
    <row r="16" spans="1:52">
      <c r="A16" s="34">
        <v>44559</v>
      </c>
      <c r="B16" s="37">
        <v>1600</v>
      </c>
      <c r="C16" s="37"/>
      <c r="D16" s="37">
        <f>(SUM(粮草!A16:X16)+AG16*10)*IF(AK16="是",$AX$4,$AX$3)</f>
        <v>1584</v>
      </c>
      <c r="E16" s="35">
        <f>SUM($B$4:B16)+SUM($C$4:C16)-SUM($D$4:D16)</f>
        <v>4476</v>
      </c>
      <c r="F16" s="37">
        <f>SUM(经验!A16:X16)</f>
        <v>555</v>
      </c>
      <c r="G16" s="37">
        <f>SUM($F$4:F16)+SUM($H$4:H16)</f>
        <v>8165</v>
      </c>
      <c r="H16" s="37">
        <v>200</v>
      </c>
      <c r="I16" s="45" t="s">
        <v>43</v>
      </c>
      <c r="J16" s="45" t="s">
        <v>43</v>
      </c>
      <c r="K16" s="45" t="s">
        <v>43</v>
      </c>
      <c r="L16" s="45" t="s">
        <v>43</v>
      </c>
      <c r="M16" s="47" t="s">
        <v>42</v>
      </c>
      <c r="N16" s="45" t="s">
        <v>43</v>
      </c>
      <c r="O16" s="41" t="s">
        <v>36</v>
      </c>
      <c r="P16" s="41" t="s">
        <v>36</v>
      </c>
      <c r="Q16" s="48" t="s">
        <v>46</v>
      </c>
      <c r="R16" s="48" t="s">
        <v>46</v>
      </c>
      <c r="S16" s="48" t="s">
        <v>46</v>
      </c>
      <c r="T16" s="48" t="s">
        <v>46</v>
      </c>
      <c r="U16" s="48" t="s">
        <v>46</v>
      </c>
      <c r="V16" s="48" t="s">
        <v>46</v>
      </c>
      <c r="W16" s="41" t="s">
        <v>36</v>
      </c>
      <c r="X16" s="41" t="s">
        <v>36</v>
      </c>
      <c r="Y16" s="56" t="s">
        <v>36</v>
      </c>
      <c r="Z16" s="56" t="s">
        <v>36</v>
      </c>
      <c r="AA16" s="56" t="s">
        <v>36</v>
      </c>
      <c r="AB16" s="56" t="s">
        <v>36</v>
      </c>
      <c r="AC16" s="56" t="s">
        <v>36</v>
      </c>
      <c r="AD16" s="56" t="s">
        <v>36</v>
      </c>
      <c r="AE16" s="57" t="s">
        <v>36</v>
      </c>
      <c r="AF16" s="57" t="s">
        <v>36</v>
      </c>
      <c r="AG16" s="71">
        <v>0</v>
      </c>
      <c r="AH16" s="71"/>
      <c r="AI16" s="71"/>
      <c r="AJ16" s="71"/>
      <c r="AK16" s="74" t="s">
        <v>52</v>
      </c>
      <c r="AM16" s="76" t="s">
        <v>56</v>
      </c>
      <c r="AN16" s="77">
        <v>150</v>
      </c>
      <c r="AO16" s="70">
        <v>35</v>
      </c>
      <c r="AP16" s="70">
        <f t="shared" si="3"/>
        <v>0</v>
      </c>
      <c r="AQ16" s="70">
        <f t="shared" si="4"/>
        <v>0</v>
      </c>
      <c r="AR16" s="70">
        <f t="shared" si="5"/>
        <v>0</v>
      </c>
      <c r="AS16" s="70">
        <f t="shared" si="6"/>
        <v>0</v>
      </c>
      <c r="AT16" s="88">
        <f t="shared" si="7"/>
        <v>0</v>
      </c>
      <c r="AU16" s="88">
        <f t="shared" si="2"/>
        <v>0</v>
      </c>
      <c r="AV16" s="88">
        <f t="shared" si="2"/>
        <v>0</v>
      </c>
      <c r="AZ16">
        <f t="shared" si="8"/>
        <v>120</v>
      </c>
    </row>
    <row r="17" spans="1:52">
      <c r="A17" s="34">
        <v>44560</v>
      </c>
      <c r="B17" s="37">
        <v>1600</v>
      </c>
      <c r="C17" s="37"/>
      <c r="D17" s="37">
        <f>(SUM(粮草!A17:X17)+AG17*10)*IF(AK17="是",$AX$4,$AX$3)</f>
        <v>1680</v>
      </c>
      <c r="E17" s="35">
        <f>SUM($B$4:B17)+SUM($C$4:C17)-SUM($D$4:D17)</f>
        <v>4396</v>
      </c>
      <c r="F17" s="37">
        <f>SUM(经验!A17:X17)</f>
        <v>570</v>
      </c>
      <c r="G17" s="37">
        <f>SUM($F$4:F17)+SUM($H$4:H17)</f>
        <v>8735</v>
      </c>
      <c r="H17" s="37">
        <v>0</v>
      </c>
      <c r="I17" s="45" t="s">
        <v>43</v>
      </c>
      <c r="J17" s="45" t="s">
        <v>43</v>
      </c>
      <c r="K17" s="45" t="s">
        <v>43</v>
      </c>
      <c r="L17" s="45" t="s">
        <v>43</v>
      </c>
      <c r="M17" s="45" t="s">
        <v>43</v>
      </c>
      <c r="N17" s="45" t="s">
        <v>43</v>
      </c>
      <c r="O17" s="41" t="s">
        <v>36</v>
      </c>
      <c r="P17" s="41" t="s">
        <v>36</v>
      </c>
      <c r="Q17" s="48" t="s">
        <v>46</v>
      </c>
      <c r="R17" s="48" t="s">
        <v>46</v>
      </c>
      <c r="S17" s="48" t="s">
        <v>46</v>
      </c>
      <c r="T17" s="48" t="s">
        <v>46</v>
      </c>
      <c r="U17" s="48" t="s">
        <v>46</v>
      </c>
      <c r="V17" s="48" t="s">
        <v>46</v>
      </c>
      <c r="W17" s="41" t="s">
        <v>36</v>
      </c>
      <c r="X17" s="41" t="s">
        <v>36</v>
      </c>
      <c r="Y17" s="56" t="s">
        <v>36</v>
      </c>
      <c r="Z17" s="56" t="s">
        <v>36</v>
      </c>
      <c r="AA17" s="56" t="s">
        <v>36</v>
      </c>
      <c r="AB17" s="56" t="s">
        <v>36</v>
      </c>
      <c r="AC17" s="56" t="s">
        <v>36</v>
      </c>
      <c r="AD17" s="56" t="s">
        <v>36</v>
      </c>
      <c r="AE17" s="57" t="s">
        <v>36</v>
      </c>
      <c r="AF17" s="57" t="s">
        <v>36</v>
      </c>
      <c r="AG17" s="71">
        <v>0</v>
      </c>
      <c r="AH17" s="71"/>
      <c r="AI17" s="71"/>
      <c r="AJ17" s="71"/>
      <c r="AK17" s="74" t="s">
        <v>52</v>
      </c>
      <c r="AM17" s="47" t="s">
        <v>42</v>
      </c>
      <c r="AN17" s="70">
        <v>50</v>
      </c>
      <c r="AO17" s="70">
        <v>30</v>
      </c>
      <c r="AP17" s="70">
        <f t="shared" si="3"/>
        <v>13</v>
      </c>
      <c r="AQ17" s="70">
        <f t="shared" si="4"/>
        <v>22</v>
      </c>
      <c r="AR17" s="70">
        <f t="shared" si="5"/>
        <v>4</v>
      </c>
      <c r="AS17" s="70">
        <f t="shared" si="6"/>
        <v>39</v>
      </c>
      <c r="AT17" s="88">
        <f t="shared" si="7"/>
        <v>390</v>
      </c>
      <c r="AU17" s="88">
        <f t="shared" si="2"/>
        <v>660</v>
      </c>
      <c r="AV17" s="88">
        <f t="shared" si="2"/>
        <v>120</v>
      </c>
      <c r="AZ17">
        <f t="shared" si="8"/>
        <v>40</v>
      </c>
    </row>
    <row r="18" spans="1:52">
      <c r="A18" s="34">
        <v>44561</v>
      </c>
      <c r="B18" s="37">
        <v>1600</v>
      </c>
      <c r="C18" s="37"/>
      <c r="D18" s="37">
        <f>(SUM(粮草!A18:X18)+AG18*10)*IF(AK18="是",$AX$4,$AX$3)</f>
        <v>1664</v>
      </c>
      <c r="E18" s="35">
        <f>SUM($B$4:B18)+SUM($C$4:C18)-SUM($D$4:D18)</f>
        <v>4332</v>
      </c>
      <c r="F18" s="37">
        <f>SUM(经验!A18:X18)</f>
        <v>620</v>
      </c>
      <c r="G18" s="37">
        <f>SUM($F$4:F18)+SUM($H$4:H18)</f>
        <v>9355</v>
      </c>
      <c r="H18" s="37">
        <v>0</v>
      </c>
      <c r="I18" s="45" t="s">
        <v>43</v>
      </c>
      <c r="J18" s="45" t="s">
        <v>43</v>
      </c>
      <c r="K18" s="45" t="s">
        <v>43</v>
      </c>
      <c r="L18" s="45" t="s">
        <v>43</v>
      </c>
      <c r="M18" s="45" t="s">
        <v>43</v>
      </c>
      <c r="N18" s="45" t="s">
        <v>43</v>
      </c>
      <c r="O18" s="41" t="s">
        <v>36</v>
      </c>
      <c r="P18" s="41" t="s">
        <v>36</v>
      </c>
      <c r="Q18" s="48" t="s">
        <v>46</v>
      </c>
      <c r="R18" s="48" t="s">
        <v>46</v>
      </c>
      <c r="S18" s="48" t="s">
        <v>46</v>
      </c>
      <c r="T18" s="48" t="s">
        <v>46</v>
      </c>
      <c r="U18" s="42" t="s">
        <v>57</v>
      </c>
      <c r="V18" s="48" t="s">
        <v>46</v>
      </c>
      <c r="W18" s="48" t="s">
        <v>46</v>
      </c>
      <c r="X18" s="48" t="s">
        <v>46</v>
      </c>
      <c r="Y18" s="56" t="s">
        <v>36</v>
      </c>
      <c r="Z18" s="56" t="s">
        <v>36</v>
      </c>
      <c r="AA18" s="56" t="s">
        <v>36</v>
      </c>
      <c r="AB18" s="56" t="s">
        <v>36</v>
      </c>
      <c r="AC18" s="56" t="s">
        <v>36</v>
      </c>
      <c r="AD18" s="56" t="s">
        <v>36</v>
      </c>
      <c r="AE18" s="57" t="s">
        <v>36</v>
      </c>
      <c r="AF18" s="57" t="s">
        <v>36</v>
      </c>
      <c r="AG18" s="71">
        <v>0</v>
      </c>
      <c r="AH18" s="71"/>
      <c r="AI18" s="71"/>
      <c r="AJ18" s="71"/>
      <c r="AK18" s="74" t="s">
        <v>52</v>
      </c>
      <c r="AL18" s="78" t="s">
        <v>34</v>
      </c>
      <c r="AM18" s="42" t="s">
        <v>39</v>
      </c>
      <c r="AN18" s="70">
        <v>-150</v>
      </c>
      <c r="AO18" s="70">
        <v>0</v>
      </c>
      <c r="AP18" s="70">
        <f t="shared" si="3"/>
        <v>2</v>
      </c>
      <c r="AQ18" s="70">
        <f t="shared" si="4"/>
        <v>1</v>
      </c>
      <c r="AR18" s="70">
        <f t="shared" si="5"/>
        <v>0</v>
      </c>
      <c r="AS18" s="70">
        <f t="shared" si="6"/>
        <v>3</v>
      </c>
      <c r="AT18" s="88">
        <f t="shared" si="7"/>
        <v>0</v>
      </c>
      <c r="AU18" s="88">
        <f t="shared" si="2"/>
        <v>0</v>
      </c>
      <c r="AV18" s="88">
        <f t="shared" si="2"/>
        <v>0</v>
      </c>
      <c r="AZ18">
        <f t="shared" si="8"/>
        <v>-120</v>
      </c>
    </row>
    <row r="19" spans="1:52">
      <c r="A19" s="34">
        <v>44562</v>
      </c>
      <c r="B19" s="37">
        <v>1600</v>
      </c>
      <c r="C19" s="37"/>
      <c r="D19" s="37">
        <f>(SUM(粮草!A19:X19)+AG19*10)*IF(AK19="是",$AX$4,$AX$3)</f>
        <v>1528</v>
      </c>
      <c r="E19" s="35">
        <f>SUM($B$4:B19)+SUM($C$4:C19)-SUM($D$4:D19)</f>
        <v>4404</v>
      </c>
      <c r="F19" s="37">
        <f>SUM(经验!A19:X19)</f>
        <v>530</v>
      </c>
      <c r="G19" s="37">
        <f>SUM($F$4:F19)+SUM($H$4:H19)</f>
        <v>9885</v>
      </c>
      <c r="H19" s="37">
        <v>0</v>
      </c>
      <c r="I19" s="47" t="s">
        <v>42</v>
      </c>
      <c r="J19" s="45" t="s">
        <v>43</v>
      </c>
      <c r="K19" s="45" t="s">
        <v>43</v>
      </c>
      <c r="L19" s="45" t="s">
        <v>43</v>
      </c>
      <c r="M19" s="45" t="s">
        <v>43</v>
      </c>
      <c r="N19" s="45" t="s">
        <v>43</v>
      </c>
      <c r="O19" s="41" t="s">
        <v>36</v>
      </c>
      <c r="P19" s="41" t="s">
        <v>36</v>
      </c>
      <c r="Q19" s="49" t="s">
        <v>51</v>
      </c>
      <c r="R19" s="45" t="s">
        <v>43</v>
      </c>
      <c r="S19" s="45" t="s">
        <v>43</v>
      </c>
      <c r="T19" s="45" t="s">
        <v>43</v>
      </c>
      <c r="U19" s="45" t="s">
        <v>43</v>
      </c>
      <c r="V19" s="48" t="s">
        <v>46</v>
      </c>
      <c r="W19" s="41" t="s">
        <v>36</v>
      </c>
      <c r="X19" s="41" t="s">
        <v>36</v>
      </c>
      <c r="Y19" s="56" t="s">
        <v>36</v>
      </c>
      <c r="Z19" s="56" t="s">
        <v>36</v>
      </c>
      <c r="AA19" s="56" t="s">
        <v>36</v>
      </c>
      <c r="AB19" s="56" t="s">
        <v>36</v>
      </c>
      <c r="AC19" s="56" t="s">
        <v>36</v>
      </c>
      <c r="AD19" s="56" t="s">
        <v>36</v>
      </c>
      <c r="AE19" s="57" t="s">
        <v>36</v>
      </c>
      <c r="AF19" s="57" t="s">
        <v>36</v>
      </c>
      <c r="AG19" s="71">
        <v>0</v>
      </c>
      <c r="AH19" s="71"/>
      <c r="AI19" s="71"/>
      <c r="AJ19" s="71"/>
      <c r="AK19" s="74" t="s">
        <v>52</v>
      </c>
      <c r="AM19" s="46" t="s">
        <v>50</v>
      </c>
      <c r="AN19" s="70">
        <v>250</v>
      </c>
      <c r="AO19" s="70">
        <v>200</v>
      </c>
      <c r="AP19" s="70">
        <f t="shared" si="3"/>
        <v>1</v>
      </c>
      <c r="AQ19" s="70">
        <f t="shared" si="4"/>
        <v>1</v>
      </c>
      <c r="AR19" s="70">
        <f t="shared" si="5"/>
        <v>0</v>
      </c>
      <c r="AS19" s="70">
        <f t="shared" si="6"/>
        <v>2</v>
      </c>
      <c r="AT19" s="88">
        <f t="shared" si="7"/>
        <v>200</v>
      </c>
      <c r="AU19" s="88">
        <f t="shared" si="2"/>
        <v>200</v>
      </c>
      <c r="AV19" s="88">
        <f t="shared" si="2"/>
        <v>0</v>
      </c>
      <c r="AZ19">
        <f t="shared" si="8"/>
        <v>200</v>
      </c>
    </row>
    <row r="20" spans="1:52">
      <c r="A20" s="34">
        <v>44563</v>
      </c>
      <c r="B20" s="37">
        <v>1600</v>
      </c>
      <c r="C20" s="37"/>
      <c r="D20" s="37">
        <f>(SUM(粮草!A20:X20)+AG20*10)*IF(AK20="是",$AX$4,$AX$3)</f>
        <v>1672</v>
      </c>
      <c r="E20" s="35">
        <f>SUM($B$4:B20)+SUM($C$4:C20)-SUM($D$4:D20)</f>
        <v>4332</v>
      </c>
      <c r="F20" s="37">
        <f>SUM(经验!A20:X20)</f>
        <v>570</v>
      </c>
      <c r="G20" s="37">
        <f>SUM($F$4:F20)+SUM($H$4:H20)</f>
        <v>10455</v>
      </c>
      <c r="H20" s="37">
        <v>0</v>
      </c>
      <c r="I20" s="45" t="s">
        <v>43</v>
      </c>
      <c r="J20" s="49" t="s">
        <v>51</v>
      </c>
      <c r="K20" s="45" t="s">
        <v>43</v>
      </c>
      <c r="L20" s="45" t="s">
        <v>43</v>
      </c>
      <c r="M20" s="45" t="s">
        <v>43</v>
      </c>
      <c r="N20" s="45" t="s">
        <v>43</v>
      </c>
      <c r="O20" s="41" t="s">
        <v>36</v>
      </c>
      <c r="P20" s="41" t="s">
        <v>36</v>
      </c>
      <c r="Q20" s="48" t="s">
        <v>46</v>
      </c>
      <c r="R20" s="48" t="s">
        <v>46</v>
      </c>
      <c r="S20" s="48" t="s">
        <v>46</v>
      </c>
      <c r="T20" s="48" t="s">
        <v>46</v>
      </c>
      <c r="U20" s="48" t="s">
        <v>46</v>
      </c>
      <c r="V20" s="48" t="s">
        <v>46</v>
      </c>
      <c r="W20" s="41" t="s">
        <v>36</v>
      </c>
      <c r="X20" s="41" t="s">
        <v>36</v>
      </c>
      <c r="Y20" s="56" t="s">
        <v>36</v>
      </c>
      <c r="Z20" s="56" t="s">
        <v>36</v>
      </c>
      <c r="AA20" s="56" t="s">
        <v>36</v>
      </c>
      <c r="AB20" s="56" t="s">
        <v>36</v>
      </c>
      <c r="AC20" s="56" t="s">
        <v>36</v>
      </c>
      <c r="AD20" s="56" t="s">
        <v>36</v>
      </c>
      <c r="AE20" s="57" t="s">
        <v>36</v>
      </c>
      <c r="AF20" s="57" t="s">
        <v>36</v>
      </c>
      <c r="AG20" s="71">
        <v>1</v>
      </c>
      <c r="AH20" s="71"/>
      <c r="AI20" s="71"/>
      <c r="AJ20" s="71"/>
      <c r="AK20" s="74" t="s">
        <v>52</v>
      </c>
      <c r="AM20" s="46" t="s">
        <v>45</v>
      </c>
      <c r="AN20" s="70">
        <v>170</v>
      </c>
      <c r="AO20" s="70">
        <v>45</v>
      </c>
      <c r="AP20" s="70">
        <f t="shared" si="3"/>
        <v>4</v>
      </c>
      <c r="AQ20" s="70">
        <f t="shared" si="4"/>
        <v>2</v>
      </c>
      <c r="AR20" s="70">
        <f t="shared" si="5"/>
        <v>0</v>
      </c>
      <c r="AS20" s="70">
        <f t="shared" si="6"/>
        <v>6</v>
      </c>
      <c r="AT20" s="88">
        <f t="shared" si="7"/>
        <v>180</v>
      </c>
      <c r="AU20" s="88">
        <f t="shared" si="7"/>
        <v>90</v>
      </c>
      <c r="AV20" s="88">
        <f t="shared" si="7"/>
        <v>0</v>
      </c>
      <c r="AZ20">
        <f t="shared" si="8"/>
        <v>136</v>
      </c>
    </row>
    <row r="21" spans="1:52">
      <c r="A21" s="34">
        <v>44564</v>
      </c>
      <c r="B21" s="36">
        <v>1600</v>
      </c>
      <c r="C21" s="36"/>
      <c r="D21" s="37">
        <f>(SUM(粮草!A21:X21)+AG21*10)*IF(AK21="是",$AX$4,$AX$3)</f>
        <v>1496</v>
      </c>
      <c r="E21" s="35">
        <f>SUM($B$4:B21)+SUM($C$4:C21)-SUM($D$4:D21)</f>
        <v>4436</v>
      </c>
      <c r="F21" s="37">
        <f>SUM(经验!A21:X21)</f>
        <v>540</v>
      </c>
      <c r="G21" s="37">
        <f>SUM($F$4:F21)+SUM($H$4:H21)</f>
        <v>11195</v>
      </c>
      <c r="H21" s="36">
        <v>200</v>
      </c>
      <c r="I21" s="45" t="s">
        <v>43</v>
      </c>
      <c r="J21" s="47" t="s">
        <v>42</v>
      </c>
      <c r="K21" s="45" t="s">
        <v>43</v>
      </c>
      <c r="L21" s="45" t="s">
        <v>43</v>
      </c>
      <c r="M21" s="45" t="s">
        <v>43</v>
      </c>
      <c r="N21" s="48" t="s">
        <v>46</v>
      </c>
      <c r="O21" s="41" t="s">
        <v>36</v>
      </c>
      <c r="P21" s="41" t="s">
        <v>36</v>
      </c>
      <c r="Q21" s="48" t="s">
        <v>46</v>
      </c>
      <c r="R21" s="48" t="s">
        <v>46</v>
      </c>
      <c r="S21" s="48" t="s">
        <v>46</v>
      </c>
      <c r="T21" s="48" t="s">
        <v>46</v>
      </c>
      <c r="U21" s="47" t="s">
        <v>42</v>
      </c>
      <c r="V21" s="48" t="s">
        <v>46</v>
      </c>
      <c r="W21" s="41" t="s">
        <v>36</v>
      </c>
      <c r="X21" s="41" t="s">
        <v>36</v>
      </c>
      <c r="Y21" s="56" t="s">
        <v>36</v>
      </c>
      <c r="Z21" s="56" t="s">
        <v>36</v>
      </c>
      <c r="AA21" s="56" t="s">
        <v>36</v>
      </c>
      <c r="AB21" s="56" t="s">
        <v>36</v>
      </c>
      <c r="AC21" s="56" t="s">
        <v>36</v>
      </c>
      <c r="AD21" s="56" t="s">
        <v>36</v>
      </c>
      <c r="AE21" s="57" t="s">
        <v>36</v>
      </c>
      <c r="AF21" s="57" t="s">
        <v>36</v>
      </c>
      <c r="AG21" s="71">
        <v>1</v>
      </c>
      <c r="AH21" s="71"/>
      <c r="AI21" s="71"/>
      <c r="AJ21" s="71"/>
      <c r="AK21" s="74" t="s">
        <v>52</v>
      </c>
      <c r="AM21" s="79" t="s">
        <v>58</v>
      </c>
      <c r="AN21" s="70">
        <v>250</v>
      </c>
      <c r="AO21" s="70">
        <v>200</v>
      </c>
      <c r="AP21" s="70">
        <f t="shared" si="3"/>
        <v>0</v>
      </c>
      <c r="AQ21" s="70">
        <f t="shared" si="4"/>
        <v>0</v>
      </c>
      <c r="AR21" s="70">
        <f t="shared" si="5"/>
        <v>0</v>
      </c>
      <c r="AS21" s="70">
        <f t="shared" si="6"/>
        <v>0</v>
      </c>
      <c r="AT21" s="88">
        <f t="shared" si="7"/>
        <v>0</v>
      </c>
      <c r="AU21" s="88">
        <f t="shared" si="7"/>
        <v>0</v>
      </c>
      <c r="AV21" s="88">
        <f t="shared" si="7"/>
        <v>0</v>
      </c>
      <c r="AZ21">
        <f t="shared" si="8"/>
        <v>200</v>
      </c>
    </row>
    <row r="22" spans="1:52">
      <c r="A22" s="34">
        <v>44565</v>
      </c>
      <c r="B22" s="36">
        <v>1600</v>
      </c>
      <c r="C22" s="36"/>
      <c r="D22" s="37">
        <f>(SUM(粮草!A22:X22)+AG22*10)*IF(AK22="是",$AX$4,$AX$3)</f>
        <v>1704</v>
      </c>
      <c r="E22" s="35">
        <f>SUM($B$4:B22)+SUM($C$4:C22)-SUM($D$4:D22)</f>
        <v>4332</v>
      </c>
      <c r="F22" s="37">
        <f>SUM(经验!A22:X22)</f>
        <v>585</v>
      </c>
      <c r="G22" s="37">
        <f>SUM($F$4:F22)+SUM($H$4:H22)</f>
        <v>11880</v>
      </c>
      <c r="H22" s="36">
        <v>100</v>
      </c>
      <c r="I22" s="48" t="s">
        <v>46</v>
      </c>
      <c r="J22" s="48" t="s">
        <v>46</v>
      </c>
      <c r="K22" s="48" t="s">
        <v>46</v>
      </c>
      <c r="L22" s="45" t="s">
        <v>43</v>
      </c>
      <c r="M22" s="45" t="s">
        <v>43</v>
      </c>
      <c r="N22" s="45" t="s">
        <v>43</v>
      </c>
      <c r="O22" s="41" t="s">
        <v>36</v>
      </c>
      <c r="P22" s="41" t="s">
        <v>36</v>
      </c>
      <c r="Q22" s="48" t="s">
        <v>46</v>
      </c>
      <c r="R22" s="48" t="s">
        <v>46</v>
      </c>
      <c r="S22" s="48" t="s">
        <v>46</v>
      </c>
      <c r="T22" s="48" t="s">
        <v>46</v>
      </c>
      <c r="U22" s="48" t="s">
        <v>46</v>
      </c>
      <c r="V22" s="48" t="s">
        <v>46</v>
      </c>
      <c r="W22" s="41" t="s">
        <v>36</v>
      </c>
      <c r="X22" s="41" t="s">
        <v>36</v>
      </c>
      <c r="Y22" s="56" t="s">
        <v>36</v>
      </c>
      <c r="Z22" s="56" t="s">
        <v>36</v>
      </c>
      <c r="AA22" s="56" t="s">
        <v>36</v>
      </c>
      <c r="AB22" s="56" t="s">
        <v>36</v>
      </c>
      <c r="AC22" s="56" t="s">
        <v>36</v>
      </c>
      <c r="AD22" s="56" t="s">
        <v>36</v>
      </c>
      <c r="AE22" s="57" t="s">
        <v>36</v>
      </c>
      <c r="AF22" s="57" t="s">
        <v>36</v>
      </c>
      <c r="AG22" s="71">
        <v>0</v>
      </c>
      <c r="AH22" s="71"/>
      <c r="AI22" s="71"/>
      <c r="AJ22" s="71"/>
      <c r="AK22" s="74" t="s">
        <v>52</v>
      </c>
      <c r="AM22" s="52" t="s">
        <v>59</v>
      </c>
      <c r="AN22" s="70">
        <v>250</v>
      </c>
      <c r="AO22" s="70">
        <v>1000</v>
      </c>
      <c r="AP22" s="70">
        <f t="shared" si="3"/>
        <v>2</v>
      </c>
      <c r="AQ22" s="70">
        <f t="shared" si="4"/>
        <v>0</v>
      </c>
      <c r="AR22" s="70">
        <f t="shared" si="5"/>
        <v>0</v>
      </c>
      <c r="AS22" s="70">
        <f t="shared" si="6"/>
        <v>2</v>
      </c>
      <c r="AT22" s="88">
        <f t="shared" si="7"/>
        <v>2000</v>
      </c>
      <c r="AU22" s="88">
        <f t="shared" si="7"/>
        <v>0</v>
      </c>
      <c r="AV22" s="88">
        <f t="shared" si="7"/>
        <v>0</v>
      </c>
      <c r="AZ22">
        <f t="shared" si="8"/>
        <v>200</v>
      </c>
    </row>
    <row r="23" spans="1:52">
      <c r="A23" s="34">
        <v>44566</v>
      </c>
      <c r="B23" s="36">
        <v>1600</v>
      </c>
      <c r="C23" s="36"/>
      <c r="D23" s="37">
        <f>(SUM(粮草!A23:X23)+AG23*10)*IF(AK23="是",$AX$4,$AX$3)</f>
        <v>1656</v>
      </c>
      <c r="E23" s="35">
        <f>SUM($B$4:B23)+SUM($C$4:C23)-SUM($D$4:D23)</f>
        <v>4276</v>
      </c>
      <c r="F23" s="37">
        <f>SUM(经验!A23:X23)</f>
        <v>615</v>
      </c>
      <c r="G23" s="37">
        <f>SUM($F$4:F23)+SUM($H$4:H23)</f>
        <v>12695</v>
      </c>
      <c r="H23" s="36">
        <v>200</v>
      </c>
      <c r="I23" s="45" t="s">
        <v>43</v>
      </c>
      <c r="J23" s="45" t="s">
        <v>43</v>
      </c>
      <c r="K23" s="45" t="s">
        <v>43</v>
      </c>
      <c r="L23" s="45" t="s">
        <v>43</v>
      </c>
      <c r="M23" s="45" t="s">
        <v>43</v>
      </c>
      <c r="N23" s="42" t="s">
        <v>57</v>
      </c>
      <c r="O23" s="45" t="s">
        <v>43</v>
      </c>
      <c r="P23" s="45" t="s">
        <v>43</v>
      </c>
      <c r="Q23" s="48" t="s">
        <v>46</v>
      </c>
      <c r="R23" s="48" t="s">
        <v>46</v>
      </c>
      <c r="S23" s="48" t="s">
        <v>46</v>
      </c>
      <c r="T23" s="48" t="s">
        <v>46</v>
      </c>
      <c r="U23" s="48" t="s">
        <v>46</v>
      </c>
      <c r="V23" s="48" t="s">
        <v>46</v>
      </c>
      <c r="W23" s="41" t="s">
        <v>36</v>
      </c>
      <c r="X23" s="41" t="s">
        <v>36</v>
      </c>
      <c r="Y23" s="56" t="s">
        <v>36</v>
      </c>
      <c r="Z23" s="56" t="s">
        <v>36</v>
      </c>
      <c r="AA23" s="56" t="s">
        <v>36</v>
      </c>
      <c r="AB23" s="56" t="s">
        <v>36</v>
      </c>
      <c r="AC23" s="56" t="s">
        <v>36</v>
      </c>
      <c r="AD23" s="56" t="s">
        <v>36</v>
      </c>
      <c r="AE23" s="57" t="s">
        <v>36</v>
      </c>
      <c r="AF23" s="57" t="s">
        <v>36</v>
      </c>
      <c r="AG23" s="71">
        <v>0</v>
      </c>
      <c r="AH23" s="71"/>
      <c r="AI23" s="71"/>
      <c r="AJ23" s="71"/>
      <c r="AK23" s="74" t="s">
        <v>52</v>
      </c>
      <c r="AM23" s="53" t="s">
        <v>60</v>
      </c>
      <c r="AN23" s="70">
        <v>250</v>
      </c>
      <c r="AO23" s="70">
        <v>500</v>
      </c>
      <c r="AP23" s="70">
        <f t="shared" si="3"/>
        <v>1</v>
      </c>
      <c r="AQ23" s="70">
        <f t="shared" si="4"/>
        <v>1</v>
      </c>
      <c r="AR23" s="70">
        <f t="shared" si="5"/>
        <v>0</v>
      </c>
      <c r="AS23" s="70">
        <f t="shared" si="6"/>
        <v>2</v>
      </c>
      <c r="AT23" s="88">
        <f t="shared" si="7"/>
        <v>500</v>
      </c>
      <c r="AU23" s="88">
        <f t="shared" si="7"/>
        <v>500</v>
      </c>
      <c r="AV23" s="88">
        <f t="shared" si="7"/>
        <v>0</v>
      </c>
      <c r="AZ23">
        <f t="shared" si="8"/>
        <v>200</v>
      </c>
    </row>
    <row r="24" spans="1:52">
      <c r="A24" s="34">
        <v>44567</v>
      </c>
      <c r="B24" s="36">
        <v>1600</v>
      </c>
      <c r="C24" s="36"/>
      <c r="D24" s="37">
        <f>(SUM(粮草!A24:X24)+AG24*10)*IF(AK24="是",$AX$4,$AX$3)</f>
        <v>1688</v>
      </c>
      <c r="E24" s="35">
        <f>SUM($B$4:B24)+SUM($C$4:C24)-SUM($D$4:D24)</f>
        <v>4188</v>
      </c>
      <c r="F24" s="37">
        <f>SUM(经验!A24:X24)</f>
        <v>575</v>
      </c>
      <c r="G24" s="37">
        <f>SUM($F$4:F24)+SUM($H$4:H24)</f>
        <v>13270</v>
      </c>
      <c r="H24" s="36">
        <v>0</v>
      </c>
      <c r="I24" s="45" t="s">
        <v>43</v>
      </c>
      <c r="J24" s="45" t="s">
        <v>43</v>
      </c>
      <c r="K24" s="45" t="s">
        <v>43</v>
      </c>
      <c r="L24" s="45" t="s">
        <v>43</v>
      </c>
      <c r="M24" s="45" t="s">
        <v>43</v>
      </c>
      <c r="N24" s="48" t="s">
        <v>46</v>
      </c>
      <c r="O24" s="41" t="s">
        <v>36</v>
      </c>
      <c r="P24" s="41" t="s">
        <v>36</v>
      </c>
      <c r="Q24" s="48" t="s">
        <v>46</v>
      </c>
      <c r="R24" s="48" t="s">
        <v>46</v>
      </c>
      <c r="S24" s="48" t="s">
        <v>46</v>
      </c>
      <c r="T24" s="48" t="s">
        <v>46</v>
      </c>
      <c r="U24" s="48" t="s">
        <v>46</v>
      </c>
      <c r="V24" s="48" t="s">
        <v>46</v>
      </c>
      <c r="W24" s="41" t="s">
        <v>36</v>
      </c>
      <c r="X24" s="41" t="s">
        <v>36</v>
      </c>
      <c r="Y24" s="56" t="s">
        <v>36</v>
      </c>
      <c r="Z24" s="56" t="s">
        <v>36</v>
      </c>
      <c r="AA24" s="56" t="s">
        <v>36</v>
      </c>
      <c r="AB24" s="56" t="s">
        <v>36</v>
      </c>
      <c r="AC24" s="56" t="s">
        <v>36</v>
      </c>
      <c r="AD24" s="56" t="s">
        <v>36</v>
      </c>
      <c r="AE24" s="57" t="s">
        <v>36</v>
      </c>
      <c r="AF24" s="57" t="s">
        <v>36</v>
      </c>
      <c r="AG24" s="71">
        <v>0</v>
      </c>
      <c r="AH24" s="71"/>
      <c r="AI24" s="71"/>
      <c r="AJ24" s="71"/>
      <c r="AK24" s="74" t="s">
        <v>52</v>
      </c>
      <c r="AM24" s="80" t="s">
        <v>61</v>
      </c>
      <c r="AN24" s="70">
        <v>160</v>
      </c>
      <c r="AO24" s="70">
        <v>40</v>
      </c>
      <c r="AP24" s="70">
        <f t="shared" si="3"/>
        <v>0</v>
      </c>
      <c r="AQ24" s="70">
        <f t="shared" si="4"/>
        <v>0</v>
      </c>
      <c r="AR24" s="70">
        <f t="shared" si="5"/>
        <v>0</v>
      </c>
      <c r="AS24" s="70">
        <f t="shared" si="6"/>
        <v>0</v>
      </c>
      <c r="AT24" s="88">
        <f t="shared" si="7"/>
        <v>0</v>
      </c>
      <c r="AU24" s="88">
        <f t="shared" si="7"/>
        <v>0</v>
      </c>
      <c r="AV24" s="88">
        <f t="shared" si="7"/>
        <v>0</v>
      </c>
      <c r="AZ24">
        <f t="shared" si="8"/>
        <v>128</v>
      </c>
    </row>
    <row r="25" spans="1:52">
      <c r="A25" s="34">
        <v>44568</v>
      </c>
      <c r="B25" s="36">
        <v>1600</v>
      </c>
      <c r="C25" s="36"/>
      <c r="D25" s="37">
        <f>(SUM(粮草!A25:X25)+AG25*10)*IF(AK25="是",$AX$4,$AX$3)</f>
        <v>1624</v>
      </c>
      <c r="E25" s="35">
        <f>SUM($B$4:B25)+SUM($C$4:C25)-SUM($D$4:D25)</f>
        <v>4164</v>
      </c>
      <c r="F25" s="37">
        <f>SUM(经验!A25:X25)</f>
        <v>580</v>
      </c>
      <c r="G25" s="37">
        <f>SUM($F$4:F25)+SUM($H$4:H25)</f>
        <v>13850</v>
      </c>
      <c r="H25" s="36">
        <v>0</v>
      </c>
      <c r="I25" s="47" t="s">
        <v>42</v>
      </c>
      <c r="J25" s="48" t="s">
        <v>46</v>
      </c>
      <c r="K25" s="48" t="s">
        <v>46</v>
      </c>
      <c r="L25" s="48" t="s">
        <v>46</v>
      </c>
      <c r="M25" s="48" t="s">
        <v>46</v>
      </c>
      <c r="N25" s="48" t="s">
        <v>46</v>
      </c>
      <c r="O25" s="41" t="s">
        <v>36</v>
      </c>
      <c r="P25" s="41" t="s">
        <v>36</v>
      </c>
      <c r="Q25" s="48" t="s">
        <v>46</v>
      </c>
      <c r="R25" s="48" t="s">
        <v>46</v>
      </c>
      <c r="S25" s="48" t="s">
        <v>46</v>
      </c>
      <c r="T25" s="48" t="s">
        <v>46</v>
      </c>
      <c r="U25" s="48" t="s">
        <v>46</v>
      </c>
      <c r="V25" s="48" t="s">
        <v>46</v>
      </c>
      <c r="W25" s="41" t="s">
        <v>36</v>
      </c>
      <c r="X25" s="41" t="s">
        <v>36</v>
      </c>
      <c r="Y25" s="56" t="s">
        <v>36</v>
      </c>
      <c r="Z25" s="56" t="s">
        <v>36</v>
      </c>
      <c r="AA25" s="56" t="s">
        <v>36</v>
      </c>
      <c r="AB25" s="56" t="s">
        <v>36</v>
      </c>
      <c r="AC25" s="56" t="s">
        <v>36</v>
      </c>
      <c r="AD25" s="56" t="s">
        <v>36</v>
      </c>
      <c r="AE25" s="57" t="s">
        <v>36</v>
      </c>
      <c r="AF25" s="57" t="s">
        <v>36</v>
      </c>
      <c r="AG25" s="71">
        <v>0</v>
      </c>
      <c r="AH25" s="71"/>
      <c r="AI25" s="71"/>
      <c r="AJ25" s="71"/>
      <c r="AK25" s="74" t="s">
        <v>52</v>
      </c>
      <c r="AM25" s="80" t="s">
        <v>62</v>
      </c>
      <c r="AN25" s="70">
        <v>160</v>
      </c>
      <c r="AO25" s="70">
        <v>40</v>
      </c>
      <c r="AP25" s="70">
        <f t="shared" si="3"/>
        <v>0</v>
      </c>
      <c r="AQ25" s="70">
        <f t="shared" si="4"/>
        <v>0</v>
      </c>
      <c r="AR25" s="70">
        <f t="shared" si="5"/>
        <v>0</v>
      </c>
      <c r="AS25" s="70">
        <f t="shared" si="6"/>
        <v>0</v>
      </c>
      <c r="AT25" s="88">
        <f t="shared" si="7"/>
        <v>0</v>
      </c>
      <c r="AU25" s="88">
        <f t="shared" si="7"/>
        <v>0</v>
      </c>
      <c r="AV25" s="88">
        <f t="shared" si="7"/>
        <v>0</v>
      </c>
      <c r="AZ25">
        <f t="shared" si="8"/>
        <v>128</v>
      </c>
    </row>
    <row r="26" spans="1:52">
      <c r="A26" s="34">
        <v>44569</v>
      </c>
      <c r="B26" s="36">
        <v>1600</v>
      </c>
      <c r="C26" s="36"/>
      <c r="D26" s="37">
        <f>(SUM(粮草!A26:X26)+AG26*10)*IF(AK26="是",$AX$4,$AX$3)</f>
        <v>1728</v>
      </c>
      <c r="E26" s="35">
        <f>SUM($B$4:B26)+SUM($C$4:C26)-SUM($D$4:D26)</f>
        <v>4036</v>
      </c>
      <c r="F26" s="37">
        <f>SUM(经验!A26:X26)</f>
        <v>600</v>
      </c>
      <c r="G26" s="37">
        <f>SUM($F$4:F26)+SUM($H$4:H26)</f>
        <v>14450</v>
      </c>
      <c r="H26" s="36">
        <v>0</v>
      </c>
      <c r="I26" s="48" t="s">
        <v>46</v>
      </c>
      <c r="J26" s="48" t="s">
        <v>46</v>
      </c>
      <c r="K26" s="48" t="s">
        <v>46</v>
      </c>
      <c r="L26" s="48" t="s">
        <v>46</v>
      </c>
      <c r="M26" s="48" t="s">
        <v>46</v>
      </c>
      <c r="N26" s="48" t="s">
        <v>46</v>
      </c>
      <c r="O26" s="41" t="s">
        <v>36</v>
      </c>
      <c r="P26" s="41" t="s">
        <v>36</v>
      </c>
      <c r="Q26" s="48" t="s">
        <v>46</v>
      </c>
      <c r="R26" s="48" t="s">
        <v>46</v>
      </c>
      <c r="S26" s="48" t="s">
        <v>46</v>
      </c>
      <c r="T26" s="48" t="s">
        <v>46</v>
      </c>
      <c r="U26" s="48" t="s">
        <v>46</v>
      </c>
      <c r="V26" s="48" t="s">
        <v>46</v>
      </c>
      <c r="W26" s="41" t="s">
        <v>36</v>
      </c>
      <c r="X26" s="41" t="s">
        <v>36</v>
      </c>
      <c r="Y26" s="56" t="s">
        <v>36</v>
      </c>
      <c r="Z26" s="56" t="s">
        <v>36</v>
      </c>
      <c r="AA26" s="56" t="s">
        <v>36</v>
      </c>
      <c r="AB26" s="56" t="s">
        <v>36</v>
      </c>
      <c r="AC26" s="56" t="s">
        <v>36</v>
      </c>
      <c r="AD26" s="56" t="s">
        <v>36</v>
      </c>
      <c r="AE26" s="57" t="s">
        <v>36</v>
      </c>
      <c r="AF26" s="57" t="s">
        <v>36</v>
      </c>
      <c r="AG26" s="71">
        <v>0</v>
      </c>
      <c r="AH26" s="71"/>
      <c r="AI26" s="71"/>
      <c r="AJ26" s="71"/>
      <c r="AK26" s="74" t="s">
        <v>52</v>
      </c>
      <c r="AM26" s="80" t="s">
        <v>63</v>
      </c>
      <c r="AN26" s="70">
        <v>150</v>
      </c>
      <c r="AO26" s="70">
        <v>35</v>
      </c>
      <c r="AP26" s="70">
        <f t="shared" si="3"/>
        <v>0</v>
      </c>
      <c r="AQ26" s="70">
        <f t="shared" si="4"/>
        <v>0</v>
      </c>
      <c r="AR26" s="70">
        <f t="shared" si="5"/>
        <v>0</v>
      </c>
      <c r="AS26" s="70">
        <f t="shared" si="6"/>
        <v>0</v>
      </c>
      <c r="AT26" s="88">
        <f t="shared" si="7"/>
        <v>0</v>
      </c>
      <c r="AU26" s="88">
        <f t="shared" si="7"/>
        <v>0</v>
      </c>
      <c r="AV26" s="88">
        <f t="shared" si="7"/>
        <v>0</v>
      </c>
      <c r="AZ26">
        <f t="shared" si="8"/>
        <v>120</v>
      </c>
    </row>
    <row r="27" spans="1:52">
      <c r="A27" s="34">
        <v>44570</v>
      </c>
      <c r="B27" s="36">
        <v>1600</v>
      </c>
      <c r="C27" s="36"/>
      <c r="D27" s="37">
        <f>(SUM(粮草!A27:X27)+AG27*10)*IF(AK27="是",$AX$4,$AX$3)</f>
        <v>1760</v>
      </c>
      <c r="E27" s="35">
        <f>SUM($B$4:B27)+SUM($C$4:C27)-SUM($D$4:D27)</f>
        <v>3876</v>
      </c>
      <c r="F27" s="37">
        <f>SUM(经验!A27:X27)</f>
        <v>620</v>
      </c>
      <c r="G27" s="37">
        <f>SUM($F$4:F27)+SUM($H$4:H27)</f>
        <v>15070</v>
      </c>
      <c r="H27" s="36">
        <v>0</v>
      </c>
      <c r="I27" s="48" t="s">
        <v>46</v>
      </c>
      <c r="J27" s="48" t="s">
        <v>46</v>
      </c>
      <c r="K27" s="50" t="s">
        <v>47</v>
      </c>
      <c r="L27" s="50" t="s">
        <v>47</v>
      </c>
      <c r="M27" s="50" t="s">
        <v>47</v>
      </c>
      <c r="N27" s="50" t="s">
        <v>47</v>
      </c>
      <c r="O27" s="41" t="s">
        <v>36</v>
      </c>
      <c r="P27" s="41" t="s">
        <v>36</v>
      </c>
      <c r="Q27" s="48" t="s">
        <v>46</v>
      </c>
      <c r="R27" s="48" t="s">
        <v>46</v>
      </c>
      <c r="S27" s="48" t="s">
        <v>46</v>
      </c>
      <c r="T27" s="48" t="s">
        <v>46</v>
      </c>
      <c r="U27" s="48" t="s">
        <v>46</v>
      </c>
      <c r="V27" s="48" t="s">
        <v>46</v>
      </c>
      <c r="W27" s="41" t="s">
        <v>36</v>
      </c>
      <c r="X27" s="41" t="s">
        <v>36</v>
      </c>
      <c r="Y27" s="56" t="s">
        <v>36</v>
      </c>
      <c r="Z27" s="56" t="s">
        <v>36</v>
      </c>
      <c r="AA27" s="56" t="s">
        <v>36</v>
      </c>
      <c r="AB27" s="56" t="s">
        <v>36</v>
      </c>
      <c r="AC27" s="56" t="s">
        <v>36</v>
      </c>
      <c r="AD27" s="56" t="s">
        <v>36</v>
      </c>
      <c r="AE27" s="57" t="s">
        <v>36</v>
      </c>
      <c r="AF27" s="57" t="s">
        <v>36</v>
      </c>
      <c r="AG27" s="71">
        <v>0</v>
      </c>
      <c r="AH27" s="71"/>
      <c r="AI27" s="71"/>
      <c r="AJ27" s="71"/>
      <c r="AK27" s="74" t="s">
        <v>52</v>
      </c>
      <c r="AM27" s="81" t="s">
        <v>36</v>
      </c>
      <c r="AN27" s="70">
        <v>0</v>
      </c>
      <c r="AO27" s="70">
        <v>0</v>
      </c>
      <c r="AP27" s="70"/>
      <c r="AQ27" s="70"/>
      <c r="AR27" s="70"/>
      <c r="AS27" s="70"/>
      <c r="AT27" s="88">
        <f t="shared" si="7"/>
        <v>0</v>
      </c>
      <c r="AU27" s="88">
        <f t="shared" si="7"/>
        <v>0</v>
      </c>
      <c r="AV27" s="88">
        <f t="shared" si="7"/>
        <v>0</v>
      </c>
      <c r="AZ27">
        <f t="shared" si="8"/>
        <v>0</v>
      </c>
    </row>
    <row r="28" ht="15" spans="1:52">
      <c r="A28" s="34">
        <v>44571</v>
      </c>
      <c r="B28" s="37">
        <v>1600</v>
      </c>
      <c r="C28" s="37"/>
      <c r="D28" s="37">
        <f>(SUM(粮草!A28:X28)+AG28*10)*IF(AK28="是",$AX$4,$AX$3)</f>
        <v>1560</v>
      </c>
      <c r="E28" s="35">
        <f>SUM($B$4:B28)+SUM($C$4:C28)-SUM($D$4:D28)</f>
        <v>3916</v>
      </c>
      <c r="F28" s="37">
        <f>SUM(经验!A28:X28)</f>
        <v>585</v>
      </c>
      <c r="G28" s="37">
        <f>SUM($F$4:F28)+SUM($H$4:H28)</f>
        <v>15855</v>
      </c>
      <c r="H28" s="37">
        <v>200</v>
      </c>
      <c r="I28" s="50" t="s">
        <v>47</v>
      </c>
      <c r="J28" s="50" t="s">
        <v>47</v>
      </c>
      <c r="K28" s="47" t="s">
        <v>42</v>
      </c>
      <c r="L28" s="50" t="s">
        <v>47</v>
      </c>
      <c r="M28" s="50" t="s">
        <v>47</v>
      </c>
      <c r="N28" s="50" t="s">
        <v>47</v>
      </c>
      <c r="O28" s="41" t="s">
        <v>36</v>
      </c>
      <c r="P28" s="41" t="s">
        <v>36</v>
      </c>
      <c r="Q28" s="48" t="s">
        <v>46</v>
      </c>
      <c r="R28" s="48" t="s">
        <v>46</v>
      </c>
      <c r="S28" s="48" t="s">
        <v>46</v>
      </c>
      <c r="T28" s="48" t="s">
        <v>46</v>
      </c>
      <c r="U28" s="48" t="s">
        <v>46</v>
      </c>
      <c r="V28" s="47" t="s">
        <v>42</v>
      </c>
      <c r="W28" s="41" t="s">
        <v>36</v>
      </c>
      <c r="X28" s="41" t="s">
        <v>36</v>
      </c>
      <c r="Y28" s="56" t="s">
        <v>36</v>
      </c>
      <c r="Z28" s="56" t="s">
        <v>36</v>
      </c>
      <c r="AA28" s="56" t="s">
        <v>36</v>
      </c>
      <c r="AB28" s="56" t="s">
        <v>36</v>
      </c>
      <c r="AC28" s="56" t="s">
        <v>36</v>
      </c>
      <c r="AD28" s="56" t="s">
        <v>36</v>
      </c>
      <c r="AE28" s="57" t="s">
        <v>36</v>
      </c>
      <c r="AF28" s="57" t="s">
        <v>36</v>
      </c>
      <c r="AG28" s="71">
        <v>0</v>
      </c>
      <c r="AH28" s="71"/>
      <c r="AI28" s="71"/>
      <c r="AJ28" s="71"/>
      <c r="AK28" s="74" t="s">
        <v>52</v>
      </c>
      <c r="AL28" s="82" t="s">
        <v>38</v>
      </c>
      <c r="AM28" s="42" t="s">
        <v>57</v>
      </c>
      <c r="AN28" s="70">
        <v>-200</v>
      </c>
      <c r="AO28" s="70">
        <v>0</v>
      </c>
      <c r="AP28" s="70">
        <f>COUNTIF($I$4:$P$94,AM28)</f>
        <v>7</v>
      </c>
      <c r="AQ28" s="70">
        <f>COUNTIF($Q$4:$X$94,AM28)</f>
        <v>5</v>
      </c>
      <c r="AR28" s="70">
        <f>COUNTIF($Y$4:$AF$94,AM28)</f>
        <v>0</v>
      </c>
      <c r="AS28" s="70">
        <f>AP28+AQ28+AR28</f>
        <v>12</v>
      </c>
      <c r="AT28" s="88">
        <f t="shared" si="7"/>
        <v>0</v>
      </c>
      <c r="AU28" s="88">
        <f t="shared" si="7"/>
        <v>0</v>
      </c>
      <c r="AV28" s="88">
        <f t="shared" si="7"/>
        <v>0</v>
      </c>
      <c r="AZ28">
        <f t="shared" si="8"/>
        <v>-160</v>
      </c>
    </row>
    <row r="29" spans="1:48">
      <c r="A29" s="34">
        <v>44572</v>
      </c>
      <c r="B29" s="37">
        <v>1600</v>
      </c>
      <c r="C29" s="37"/>
      <c r="D29" s="37">
        <f>(SUM(粮草!A29:X29)+AG29*10)*IF(AK29="是",$AX$4,$AX$3)</f>
        <v>1760</v>
      </c>
      <c r="E29" s="35">
        <f>SUM($B$4:B29)+SUM($C$4:C29)-SUM($D$4:D29)</f>
        <v>3756</v>
      </c>
      <c r="F29" s="37">
        <f>SUM(经验!A29:X29)</f>
        <v>620</v>
      </c>
      <c r="G29" s="37">
        <f>SUM($F$4:F29)+SUM($H$4:H29)</f>
        <v>16575</v>
      </c>
      <c r="H29" s="37">
        <v>100</v>
      </c>
      <c r="I29" s="50" t="s">
        <v>47</v>
      </c>
      <c r="J29" s="50" t="s">
        <v>47</v>
      </c>
      <c r="K29" s="50" t="s">
        <v>47</v>
      </c>
      <c r="L29" s="50" t="s">
        <v>47</v>
      </c>
      <c r="M29" s="50" t="s">
        <v>47</v>
      </c>
      <c r="N29" s="50" t="s">
        <v>47</v>
      </c>
      <c r="O29" s="41" t="s">
        <v>36</v>
      </c>
      <c r="P29" s="41" t="s">
        <v>36</v>
      </c>
      <c r="Q29" s="48" t="s">
        <v>46</v>
      </c>
      <c r="R29" s="48" t="s">
        <v>46</v>
      </c>
      <c r="S29" s="48" t="s">
        <v>46</v>
      </c>
      <c r="T29" s="48" t="s">
        <v>46</v>
      </c>
      <c r="U29" s="45" t="s">
        <v>43</v>
      </c>
      <c r="V29" s="45" t="s">
        <v>43</v>
      </c>
      <c r="W29" s="41" t="s">
        <v>36</v>
      </c>
      <c r="X29" s="41" t="s">
        <v>36</v>
      </c>
      <c r="Y29" s="56" t="s">
        <v>36</v>
      </c>
      <c r="Z29" s="56" t="s">
        <v>36</v>
      </c>
      <c r="AA29" s="56" t="s">
        <v>36</v>
      </c>
      <c r="AB29" s="56" t="s">
        <v>36</v>
      </c>
      <c r="AC29" s="56" t="s">
        <v>36</v>
      </c>
      <c r="AD29" s="56" t="s">
        <v>36</v>
      </c>
      <c r="AE29" s="57" t="s">
        <v>36</v>
      </c>
      <c r="AF29" s="57" t="s">
        <v>36</v>
      </c>
      <c r="AG29" s="71">
        <v>0</v>
      </c>
      <c r="AH29" s="71"/>
      <c r="AI29" s="71"/>
      <c r="AJ29" s="71"/>
      <c r="AK29" s="74" t="s">
        <v>52</v>
      </c>
      <c r="AM29" s="70"/>
      <c r="AN29" s="70"/>
      <c r="AO29" s="70"/>
      <c r="AR29" t="s">
        <v>30</v>
      </c>
      <c r="AS29">
        <f>SUM(AS4:AS28)</f>
        <v>1074</v>
      </c>
      <c r="AU29" t="s">
        <v>64</v>
      </c>
      <c r="AV29" s="89">
        <f>SUM(AT4:AV28)+7000</f>
        <v>63295</v>
      </c>
    </row>
    <row r="30" spans="1:41">
      <c r="A30" s="34">
        <v>44573</v>
      </c>
      <c r="B30" s="37">
        <v>1600</v>
      </c>
      <c r="C30" s="37"/>
      <c r="D30" s="37">
        <f>(SUM(粮草!A30:X30)+AG30*10)*IF(AK30="是",$AX$4,$AX$3)</f>
        <v>1768</v>
      </c>
      <c r="E30" s="35">
        <f>SUM($B$4:B30)+SUM($C$4:C30)-SUM($D$4:D30)</f>
        <v>3588</v>
      </c>
      <c r="F30" s="37">
        <f>SUM(经验!A30:X30)</f>
        <v>620</v>
      </c>
      <c r="G30" s="37">
        <f>SUM($F$4:F30)+SUM($H$4:H30)</f>
        <v>17395</v>
      </c>
      <c r="H30" s="37">
        <v>200</v>
      </c>
      <c r="I30" s="50" t="s">
        <v>47</v>
      </c>
      <c r="J30" s="50" t="s">
        <v>47</v>
      </c>
      <c r="K30" s="50" t="s">
        <v>47</v>
      </c>
      <c r="L30" s="50" t="s">
        <v>47</v>
      </c>
      <c r="M30" s="50" t="s">
        <v>47</v>
      </c>
      <c r="N30" s="50" t="s">
        <v>47</v>
      </c>
      <c r="O30" s="41" t="s">
        <v>36</v>
      </c>
      <c r="P30" s="41" t="s">
        <v>36</v>
      </c>
      <c r="Q30" s="45" t="s">
        <v>43</v>
      </c>
      <c r="R30" s="45" t="s">
        <v>43</v>
      </c>
      <c r="S30" s="48" t="s">
        <v>46</v>
      </c>
      <c r="T30" s="48" t="s">
        <v>46</v>
      </c>
      <c r="U30" s="48" t="s">
        <v>46</v>
      </c>
      <c r="V30" s="48" t="s">
        <v>46</v>
      </c>
      <c r="W30" s="41" t="s">
        <v>36</v>
      </c>
      <c r="X30" s="41" t="s">
        <v>36</v>
      </c>
      <c r="Y30" s="56" t="s">
        <v>36</v>
      </c>
      <c r="Z30" s="56" t="s">
        <v>36</v>
      </c>
      <c r="AA30" s="56" t="s">
        <v>36</v>
      </c>
      <c r="AB30" s="56" t="s">
        <v>36</v>
      </c>
      <c r="AC30" s="56" t="s">
        <v>36</v>
      </c>
      <c r="AD30" s="56" t="s">
        <v>36</v>
      </c>
      <c r="AE30" s="57" t="s">
        <v>36</v>
      </c>
      <c r="AF30" s="57" t="s">
        <v>36</v>
      </c>
      <c r="AG30" s="71">
        <v>1</v>
      </c>
      <c r="AH30" s="71"/>
      <c r="AI30" s="71"/>
      <c r="AJ30" s="71"/>
      <c r="AK30" s="74" t="s">
        <v>52</v>
      </c>
      <c r="AM30" s="70"/>
      <c r="AN30" s="70"/>
      <c r="AO30" s="70"/>
    </row>
    <row r="31" spans="1:41">
      <c r="A31" s="34">
        <v>44574</v>
      </c>
      <c r="B31" s="37">
        <v>1600</v>
      </c>
      <c r="C31" s="37"/>
      <c r="D31" s="37">
        <f>(SUM(粮草!A31:X31)+AG31*10)*IF(AK31="是",$AX$4,$AX$3)</f>
        <v>1760</v>
      </c>
      <c r="E31" s="35">
        <f>SUM($B$4:B31)+SUM($C$4:C31)-SUM($D$4:D31)</f>
        <v>3428</v>
      </c>
      <c r="F31" s="37">
        <f>SUM(经验!A31:X31)</f>
        <v>680</v>
      </c>
      <c r="G31" s="37">
        <f>SUM($F$4:F31)+SUM($H$4:H31)</f>
        <v>18075</v>
      </c>
      <c r="H31" s="37">
        <v>0</v>
      </c>
      <c r="I31" s="50" t="s">
        <v>47</v>
      </c>
      <c r="J31" s="50" t="s">
        <v>47</v>
      </c>
      <c r="K31" s="50" t="s">
        <v>47</v>
      </c>
      <c r="L31" s="50" t="s">
        <v>47</v>
      </c>
      <c r="M31" s="50" t="s">
        <v>47</v>
      </c>
      <c r="N31" s="50" t="s">
        <v>47</v>
      </c>
      <c r="O31" s="41" t="s">
        <v>36</v>
      </c>
      <c r="P31" s="41" t="s">
        <v>36</v>
      </c>
      <c r="Q31" s="48" t="s">
        <v>46</v>
      </c>
      <c r="R31" s="48" t="s">
        <v>46</v>
      </c>
      <c r="S31" s="48" t="s">
        <v>46</v>
      </c>
      <c r="T31" s="42" t="s">
        <v>57</v>
      </c>
      <c r="U31" s="48" t="s">
        <v>46</v>
      </c>
      <c r="V31" s="48" t="s">
        <v>46</v>
      </c>
      <c r="W31" s="48" t="s">
        <v>46</v>
      </c>
      <c r="X31" s="48" t="s">
        <v>46</v>
      </c>
      <c r="Y31" s="56" t="s">
        <v>36</v>
      </c>
      <c r="Z31" s="56" t="s">
        <v>36</v>
      </c>
      <c r="AA31" s="56" t="s">
        <v>36</v>
      </c>
      <c r="AB31" s="56" t="s">
        <v>36</v>
      </c>
      <c r="AC31" s="56" t="s">
        <v>36</v>
      </c>
      <c r="AD31" s="56" t="s">
        <v>36</v>
      </c>
      <c r="AE31" s="57" t="s">
        <v>36</v>
      </c>
      <c r="AF31" s="57" t="s">
        <v>36</v>
      </c>
      <c r="AG31" s="71">
        <v>0</v>
      </c>
      <c r="AH31" s="71"/>
      <c r="AI31" s="71"/>
      <c r="AJ31" s="71"/>
      <c r="AK31" s="74" t="s">
        <v>52</v>
      </c>
      <c r="AM31" s="70"/>
      <c r="AN31" s="70"/>
      <c r="AO31" s="70"/>
    </row>
    <row r="32" spans="1:41">
      <c r="A32" s="34">
        <v>44575</v>
      </c>
      <c r="B32" s="37">
        <v>1600</v>
      </c>
      <c r="C32" s="37"/>
      <c r="D32" s="37">
        <f>(SUM(粮草!A32:X32)+AG32*10)*IF(AK32="是",$AX$4,$AX$3)</f>
        <v>1680</v>
      </c>
      <c r="E32" s="35">
        <f>SUM($B$4:B32)+SUM($C$4:C32)-SUM($D$4:D32)</f>
        <v>3348</v>
      </c>
      <c r="F32" s="37">
        <f>SUM(经验!A32:X32)</f>
        <v>615</v>
      </c>
      <c r="G32" s="37">
        <f>SUM($F$4:F32)+SUM($H$4:H32)</f>
        <v>18690</v>
      </c>
      <c r="H32" s="37">
        <v>0</v>
      </c>
      <c r="I32" s="50" t="s">
        <v>47</v>
      </c>
      <c r="J32" s="50" t="s">
        <v>47</v>
      </c>
      <c r="K32" s="50" t="s">
        <v>47</v>
      </c>
      <c r="L32" s="50" t="s">
        <v>47</v>
      </c>
      <c r="M32" s="50" t="s">
        <v>47</v>
      </c>
      <c r="N32" s="51" t="s">
        <v>48</v>
      </c>
      <c r="O32" s="41" t="s">
        <v>36</v>
      </c>
      <c r="P32" s="41" t="s">
        <v>36</v>
      </c>
      <c r="Q32" s="48" t="s">
        <v>46</v>
      </c>
      <c r="R32" s="48" t="s">
        <v>46</v>
      </c>
      <c r="S32" s="48" t="s">
        <v>46</v>
      </c>
      <c r="T32" s="48" t="s">
        <v>46</v>
      </c>
      <c r="U32" s="48" t="s">
        <v>46</v>
      </c>
      <c r="V32" s="47" t="s">
        <v>42</v>
      </c>
      <c r="W32" s="41" t="s">
        <v>36</v>
      </c>
      <c r="X32" s="41" t="s">
        <v>36</v>
      </c>
      <c r="Y32" s="56" t="s">
        <v>36</v>
      </c>
      <c r="Z32" s="56" t="s">
        <v>36</v>
      </c>
      <c r="AA32" s="56" t="s">
        <v>36</v>
      </c>
      <c r="AB32" s="56" t="s">
        <v>36</v>
      </c>
      <c r="AC32" s="56" t="s">
        <v>36</v>
      </c>
      <c r="AD32" s="56" t="s">
        <v>36</v>
      </c>
      <c r="AE32" s="57" t="s">
        <v>36</v>
      </c>
      <c r="AF32" s="57" t="s">
        <v>36</v>
      </c>
      <c r="AG32" s="71">
        <v>0</v>
      </c>
      <c r="AH32" s="71"/>
      <c r="AI32" s="71"/>
      <c r="AJ32" s="71"/>
      <c r="AK32" s="74" t="s">
        <v>52</v>
      </c>
      <c r="AM32" s="70"/>
      <c r="AN32" s="70"/>
      <c r="AO32" s="70"/>
    </row>
    <row r="33" spans="1:41">
      <c r="A33" s="34">
        <v>44576</v>
      </c>
      <c r="B33" s="37">
        <v>1600</v>
      </c>
      <c r="C33" s="37"/>
      <c r="D33" s="37">
        <f>(SUM(粮草!A33:X33)+AG33*10)*IF(AK33="是",$AX$4,$AX$3)</f>
        <v>1824</v>
      </c>
      <c r="E33" s="35">
        <f>SUM($B$4:B33)+SUM($C$4:C33)-SUM($D$4:D33)</f>
        <v>3124</v>
      </c>
      <c r="F33" s="37">
        <f>SUM(经验!A33:X33)</f>
        <v>660</v>
      </c>
      <c r="G33" s="37">
        <f>SUM($F$4:F33)+SUM($H$4:H33)</f>
        <v>19350</v>
      </c>
      <c r="H33" s="37">
        <v>0</v>
      </c>
      <c r="I33" s="51" t="s">
        <v>48</v>
      </c>
      <c r="J33" s="51" t="s">
        <v>48</v>
      </c>
      <c r="K33" s="51" t="s">
        <v>48</v>
      </c>
      <c r="L33" s="51" t="s">
        <v>48</v>
      </c>
      <c r="M33" s="51" t="s">
        <v>48</v>
      </c>
      <c r="N33" s="51" t="s">
        <v>48</v>
      </c>
      <c r="O33" s="41" t="s">
        <v>36</v>
      </c>
      <c r="P33" s="41" t="s">
        <v>36</v>
      </c>
      <c r="Q33" s="48" t="s">
        <v>46</v>
      </c>
      <c r="R33" s="48" t="s">
        <v>46</v>
      </c>
      <c r="S33" s="48" t="s">
        <v>46</v>
      </c>
      <c r="T33" s="48" t="s">
        <v>46</v>
      </c>
      <c r="U33" s="48" t="s">
        <v>46</v>
      </c>
      <c r="V33" s="48" t="s">
        <v>46</v>
      </c>
      <c r="W33" s="41" t="s">
        <v>36</v>
      </c>
      <c r="X33" s="41" t="s">
        <v>36</v>
      </c>
      <c r="Y33" s="56" t="s">
        <v>36</v>
      </c>
      <c r="Z33" s="56" t="s">
        <v>36</v>
      </c>
      <c r="AA33" s="56" t="s">
        <v>36</v>
      </c>
      <c r="AB33" s="56" t="s">
        <v>36</v>
      </c>
      <c r="AC33" s="56" t="s">
        <v>36</v>
      </c>
      <c r="AD33" s="56" t="s">
        <v>36</v>
      </c>
      <c r="AE33" s="57" t="s">
        <v>36</v>
      </c>
      <c r="AF33" s="57" t="s">
        <v>36</v>
      </c>
      <c r="AG33" s="71">
        <v>0</v>
      </c>
      <c r="AH33" s="71"/>
      <c r="AI33" s="71"/>
      <c r="AJ33" s="71"/>
      <c r="AK33" s="74" t="s">
        <v>52</v>
      </c>
      <c r="AM33" s="70"/>
      <c r="AN33" s="70"/>
      <c r="AO33" s="70"/>
    </row>
    <row r="34" spans="1:41">
      <c r="A34" s="34">
        <v>44577</v>
      </c>
      <c r="B34" s="37">
        <v>1600</v>
      </c>
      <c r="C34" s="37"/>
      <c r="D34" s="37">
        <f>(SUM(粮草!A34:X34)+AG34*10)*IF(AK34="是",$AX$4,$AX$3)</f>
        <v>1800</v>
      </c>
      <c r="E34" s="35">
        <f>SUM($B$4:B34)+SUM($C$4:C34)-SUM($D$4:D34)</f>
        <v>2924</v>
      </c>
      <c r="F34" s="37">
        <f>SUM(经验!A34:X34)</f>
        <v>720</v>
      </c>
      <c r="G34" s="37">
        <f>SUM($F$4:F34)+SUM($H$4:H34)</f>
        <v>20070</v>
      </c>
      <c r="H34" s="37">
        <v>0</v>
      </c>
      <c r="I34" s="51" t="s">
        <v>48</v>
      </c>
      <c r="J34" s="51" t="s">
        <v>48</v>
      </c>
      <c r="K34" s="51" t="s">
        <v>48</v>
      </c>
      <c r="L34" s="51" t="s">
        <v>48</v>
      </c>
      <c r="M34" s="51" t="s">
        <v>48</v>
      </c>
      <c r="N34" s="51" t="s">
        <v>48</v>
      </c>
      <c r="O34" s="42" t="s">
        <v>57</v>
      </c>
      <c r="P34" s="51" t="s">
        <v>48</v>
      </c>
      <c r="Q34" s="48" t="s">
        <v>53</v>
      </c>
      <c r="R34" s="48" t="s">
        <v>46</v>
      </c>
      <c r="S34" s="48" t="s">
        <v>46</v>
      </c>
      <c r="T34" s="48" t="s">
        <v>46</v>
      </c>
      <c r="U34" s="48" t="s">
        <v>46</v>
      </c>
      <c r="V34" s="48" t="s">
        <v>46</v>
      </c>
      <c r="W34" s="41" t="s">
        <v>36</v>
      </c>
      <c r="X34" s="41" t="s">
        <v>36</v>
      </c>
      <c r="Y34" s="56" t="s">
        <v>36</v>
      </c>
      <c r="Z34" s="56" t="s">
        <v>36</v>
      </c>
      <c r="AA34" s="56" t="s">
        <v>36</v>
      </c>
      <c r="AB34" s="56" t="s">
        <v>36</v>
      </c>
      <c r="AC34" s="56" t="s">
        <v>36</v>
      </c>
      <c r="AD34" s="56" t="s">
        <v>36</v>
      </c>
      <c r="AE34" s="57" t="s">
        <v>36</v>
      </c>
      <c r="AF34" s="57" t="s">
        <v>36</v>
      </c>
      <c r="AG34" s="71">
        <v>0</v>
      </c>
      <c r="AH34" s="71"/>
      <c r="AI34" s="71"/>
      <c r="AJ34" s="71"/>
      <c r="AK34" s="74" t="s">
        <v>52</v>
      </c>
      <c r="AM34" s="70"/>
      <c r="AN34" s="70"/>
      <c r="AO34" s="70"/>
    </row>
    <row r="35" spans="1:41">
      <c r="A35" s="34">
        <v>44578</v>
      </c>
      <c r="B35" s="36">
        <v>1600</v>
      </c>
      <c r="C35" s="36"/>
      <c r="D35" s="37">
        <f>(SUM(粮草!A35:X35)+AG35*10)*IF(AK35="是",$AX$4,$AX$3)</f>
        <v>1840</v>
      </c>
      <c r="E35" s="35">
        <f>SUM($B$4:B35)+SUM($C$4:C35)-SUM($D$4:D35)</f>
        <v>2684</v>
      </c>
      <c r="F35" s="37">
        <f>SUM(经验!A35:X35)</f>
        <v>670</v>
      </c>
      <c r="G35" s="37">
        <f>SUM($F$4:F35)+SUM($H$4:H35)</f>
        <v>20940</v>
      </c>
      <c r="H35" s="36">
        <v>200</v>
      </c>
      <c r="I35" s="51" t="s">
        <v>48</v>
      </c>
      <c r="J35" s="51" t="s">
        <v>48</v>
      </c>
      <c r="K35" s="51" t="s">
        <v>48</v>
      </c>
      <c r="L35" s="51" t="s">
        <v>48</v>
      </c>
      <c r="M35" s="51" t="s">
        <v>48</v>
      </c>
      <c r="N35" s="51" t="s">
        <v>48</v>
      </c>
      <c r="O35" s="41" t="s">
        <v>36</v>
      </c>
      <c r="P35" s="41" t="s">
        <v>36</v>
      </c>
      <c r="Q35" s="48" t="s">
        <v>46</v>
      </c>
      <c r="R35" s="48" t="s">
        <v>46</v>
      </c>
      <c r="S35" s="48" t="s">
        <v>46</v>
      </c>
      <c r="T35" s="48" t="s">
        <v>46</v>
      </c>
      <c r="U35" s="50" t="s">
        <v>47</v>
      </c>
      <c r="V35" s="50" t="s">
        <v>47</v>
      </c>
      <c r="W35" s="41" t="s">
        <v>36</v>
      </c>
      <c r="X35" s="41" t="s">
        <v>36</v>
      </c>
      <c r="Y35" s="56" t="s">
        <v>36</v>
      </c>
      <c r="Z35" s="56" t="s">
        <v>36</v>
      </c>
      <c r="AA35" s="56" t="s">
        <v>36</v>
      </c>
      <c r="AB35" s="56" t="s">
        <v>36</v>
      </c>
      <c r="AC35" s="56" t="s">
        <v>36</v>
      </c>
      <c r="AD35" s="56" t="s">
        <v>36</v>
      </c>
      <c r="AE35" s="57" t="s">
        <v>36</v>
      </c>
      <c r="AF35" s="57" t="s">
        <v>36</v>
      </c>
      <c r="AG35" s="71">
        <v>0</v>
      </c>
      <c r="AH35" s="71"/>
      <c r="AI35" s="71"/>
      <c r="AJ35" s="71"/>
      <c r="AK35" s="74" t="s">
        <v>52</v>
      </c>
      <c r="AM35" s="70"/>
      <c r="AN35" s="70"/>
      <c r="AO35" s="70"/>
    </row>
    <row r="36" spans="1:41">
      <c r="A36" s="34">
        <v>44579</v>
      </c>
      <c r="B36" s="36">
        <v>1600</v>
      </c>
      <c r="C36" s="36"/>
      <c r="D36" s="37">
        <f>(SUM(粮草!A36:X36)+AG36*10)*IF(AK36="是",$AX$4,$AX$3)</f>
        <v>1872</v>
      </c>
      <c r="E36" s="35">
        <f>SUM($B$4:B36)+SUM($C$4:C36)-SUM($D$4:D36)</f>
        <v>2412</v>
      </c>
      <c r="F36" s="37">
        <f>SUM(经验!A36:X36)</f>
        <v>690</v>
      </c>
      <c r="G36" s="37">
        <f>SUM($F$4:F36)+SUM($H$4:H36)</f>
        <v>21730</v>
      </c>
      <c r="H36" s="36">
        <v>100</v>
      </c>
      <c r="I36" s="51" t="s">
        <v>48</v>
      </c>
      <c r="J36" s="51" t="s">
        <v>48</v>
      </c>
      <c r="K36" s="51" t="s">
        <v>48</v>
      </c>
      <c r="L36" s="51" t="s">
        <v>48</v>
      </c>
      <c r="M36" s="51" t="s">
        <v>48</v>
      </c>
      <c r="N36" s="51" t="s">
        <v>48</v>
      </c>
      <c r="O36" s="41" t="s">
        <v>36</v>
      </c>
      <c r="P36" s="41" t="s">
        <v>36</v>
      </c>
      <c r="Q36" s="50" t="s">
        <v>47</v>
      </c>
      <c r="R36" s="50" t="s">
        <v>47</v>
      </c>
      <c r="S36" s="50" t="s">
        <v>47</v>
      </c>
      <c r="T36" s="50" t="s">
        <v>47</v>
      </c>
      <c r="U36" s="50" t="s">
        <v>47</v>
      </c>
      <c r="V36" s="50" t="s">
        <v>47</v>
      </c>
      <c r="W36" s="41" t="s">
        <v>36</v>
      </c>
      <c r="X36" s="41" t="s">
        <v>36</v>
      </c>
      <c r="Y36" s="56" t="s">
        <v>36</v>
      </c>
      <c r="Z36" s="56" t="s">
        <v>36</v>
      </c>
      <c r="AA36" s="56" t="s">
        <v>36</v>
      </c>
      <c r="AB36" s="56" t="s">
        <v>36</v>
      </c>
      <c r="AC36" s="56" t="s">
        <v>36</v>
      </c>
      <c r="AD36" s="56" t="s">
        <v>36</v>
      </c>
      <c r="AE36" s="57" t="s">
        <v>36</v>
      </c>
      <c r="AF36" s="57" t="s">
        <v>36</v>
      </c>
      <c r="AG36" s="71">
        <v>0</v>
      </c>
      <c r="AH36" s="71"/>
      <c r="AI36" s="71"/>
      <c r="AJ36" s="71"/>
      <c r="AK36" s="74" t="s">
        <v>52</v>
      </c>
      <c r="AM36" s="70"/>
      <c r="AN36" s="70"/>
      <c r="AO36" s="70"/>
    </row>
    <row r="37" spans="1:41">
      <c r="A37" s="34">
        <v>44580</v>
      </c>
      <c r="B37" s="36">
        <v>1600</v>
      </c>
      <c r="C37" s="36"/>
      <c r="D37" s="37">
        <f>(SUM(粮草!A37:X37)+AG37*10)*IF(AK37="是",$AX$4,$AX$3)</f>
        <v>1872</v>
      </c>
      <c r="E37" s="35">
        <f>SUM($B$4:B37)+SUM($C$4:C37)-SUM($D$4:D37)</f>
        <v>2140</v>
      </c>
      <c r="F37" s="37">
        <f>SUM(经验!A37:X37)</f>
        <v>690</v>
      </c>
      <c r="G37" s="37">
        <f>SUM($F$4:F37)+SUM($H$4:H37)</f>
        <v>22620</v>
      </c>
      <c r="H37" s="36">
        <v>200</v>
      </c>
      <c r="I37" s="51" t="s">
        <v>48</v>
      </c>
      <c r="J37" s="51" t="s">
        <v>48</v>
      </c>
      <c r="K37" s="51" t="s">
        <v>48</v>
      </c>
      <c r="L37" s="51" t="s">
        <v>48</v>
      </c>
      <c r="M37" s="51" t="s">
        <v>48</v>
      </c>
      <c r="N37" s="51" t="s">
        <v>48</v>
      </c>
      <c r="O37" s="41" t="s">
        <v>36</v>
      </c>
      <c r="P37" s="41" t="s">
        <v>36</v>
      </c>
      <c r="Q37" s="50" t="s">
        <v>47</v>
      </c>
      <c r="R37" s="50" t="s">
        <v>47</v>
      </c>
      <c r="S37" s="50" t="s">
        <v>47</v>
      </c>
      <c r="T37" s="50" t="s">
        <v>47</v>
      </c>
      <c r="U37" s="50" t="s">
        <v>47</v>
      </c>
      <c r="V37" s="50" t="s">
        <v>47</v>
      </c>
      <c r="W37" s="41" t="s">
        <v>36</v>
      </c>
      <c r="X37" s="41" t="s">
        <v>36</v>
      </c>
      <c r="Y37" s="56" t="s">
        <v>36</v>
      </c>
      <c r="Z37" s="56" t="s">
        <v>36</v>
      </c>
      <c r="AA37" s="56" t="s">
        <v>36</v>
      </c>
      <c r="AB37" s="56" t="s">
        <v>36</v>
      </c>
      <c r="AC37" s="56" t="s">
        <v>36</v>
      </c>
      <c r="AD37" s="56" t="s">
        <v>36</v>
      </c>
      <c r="AE37" s="57" t="s">
        <v>36</v>
      </c>
      <c r="AF37" s="57" t="s">
        <v>36</v>
      </c>
      <c r="AG37" s="71">
        <v>0</v>
      </c>
      <c r="AH37" s="71"/>
      <c r="AI37" s="71"/>
      <c r="AJ37" s="71"/>
      <c r="AK37" s="74" t="s">
        <v>52</v>
      </c>
      <c r="AM37" s="70"/>
      <c r="AN37" s="70"/>
      <c r="AO37" s="70"/>
    </row>
    <row r="38" spans="1:41">
      <c r="A38" s="34">
        <v>44581</v>
      </c>
      <c r="B38" s="36">
        <v>1600</v>
      </c>
      <c r="C38" s="36"/>
      <c r="D38" s="37">
        <f>(SUM(粮草!A38:X38)+AG38*10)*IF(AK38="是",$AX$4,$AX$3)</f>
        <v>1872</v>
      </c>
      <c r="E38" s="35">
        <f>SUM($B$4:B38)+SUM($C$4:C38)-SUM($D$4:D38)</f>
        <v>1868</v>
      </c>
      <c r="F38" s="37">
        <f>SUM(经验!A38:X38)</f>
        <v>690</v>
      </c>
      <c r="G38" s="37">
        <f>SUM($F$4:F38)+SUM($H$4:H38)</f>
        <v>23310</v>
      </c>
      <c r="H38" s="36">
        <v>0</v>
      </c>
      <c r="I38" s="51" t="s">
        <v>48</v>
      </c>
      <c r="J38" s="51" t="s">
        <v>48</v>
      </c>
      <c r="K38" s="51" t="s">
        <v>48</v>
      </c>
      <c r="L38" s="51" t="s">
        <v>48</v>
      </c>
      <c r="M38" s="51" t="s">
        <v>48</v>
      </c>
      <c r="N38" s="51" t="s">
        <v>48</v>
      </c>
      <c r="O38" s="41" t="s">
        <v>36</v>
      </c>
      <c r="P38" s="41" t="s">
        <v>36</v>
      </c>
      <c r="Q38" s="50" t="s">
        <v>47</v>
      </c>
      <c r="R38" s="50" t="s">
        <v>47</v>
      </c>
      <c r="S38" s="50" t="s">
        <v>47</v>
      </c>
      <c r="T38" s="50" t="s">
        <v>47</v>
      </c>
      <c r="U38" s="50" t="s">
        <v>47</v>
      </c>
      <c r="V38" s="50" t="s">
        <v>47</v>
      </c>
      <c r="W38" s="41" t="s">
        <v>36</v>
      </c>
      <c r="X38" s="41" t="s">
        <v>36</v>
      </c>
      <c r="Y38" s="56" t="s">
        <v>36</v>
      </c>
      <c r="Z38" s="56" t="s">
        <v>36</v>
      </c>
      <c r="AA38" s="56" t="s">
        <v>36</v>
      </c>
      <c r="AB38" s="56" t="s">
        <v>36</v>
      </c>
      <c r="AC38" s="56" t="s">
        <v>36</v>
      </c>
      <c r="AD38" s="56" t="s">
        <v>36</v>
      </c>
      <c r="AE38" s="57" t="s">
        <v>36</v>
      </c>
      <c r="AF38" s="57" t="s">
        <v>36</v>
      </c>
      <c r="AG38" s="71">
        <v>0</v>
      </c>
      <c r="AH38" s="71"/>
      <c r="AI38" s="71"/>
      <c r="AJ38" s="71"/>
      <c r="AK38" s="74" t="s">
        <v>52</v>
      </c>
      <c r="AM38" s="70"/>
      <c r="AN38" s="70"/>
      <c r="AO38" s="70"/>
    </row>
    <row r="39" spans="1:41">
      <c r="A39" s="34">
        <v>44582</v>
      </c>
      <c r="B39" s="36">
        <v>1600</v>
      </c>
      <c r="C39" s="36"/>
      <c r="D39" s="37">
        <f>(SUM(粮草!A39:X39)+AG39*10)*IF(AK39="是",$AX$4,$AX$3)</f>
        <v>1960</v>
      </c>
      <c r="E39" s="35">
        <f>SUM($B$4:B39)+SUM($C$4:C39)-SUM($D$4:D39)</f>
        <v>1508</v>
      </c>
      <c r="F39" s="37">
        <f>SUM(经验!A39:X39)</f>
        <v>2075</v>
      </c>
      <c r="G39" s="37">
        <f>SUM($F$4:F39)+SUM($H$4:H39)</f>
        <v>25385</v>
      </c>
      <c r="H39" s="36">
        <v>0</v>
      </c>
      <c r="I39" s="51" t="s">
        <v>48</v>
      </c>
      <c r="J39" s="51" t="s">
        <v>48</v>
      </c>
      <c r="K39" s="52" t="s">
        <v>59</v>
      </c>
      <c r="L39" s="51" t="s">
        <v>48</v>
      </c>
      <c r="M39" s="51" t="s">
        <v>48</v>
      </c>
      <c r="N39" s="51" t="s">
        <v>48</v>
      </c>
      <c r="O39" s="41" t="s">
        <v>36</v>
      </c>
      <c r="P39" s="41" t="s">
        <v>36</v>
      </c>
      <c r="Q39" s="50" t="s">
        <v>47</v>
      </c>
      <c r="R39" s="50" t="s">
        <v>47</v>
      </c>
      <c r="S39" s="53" t="s">
        <v>60</v>
      </c>
      <c r="T39" s="50" t="s">
        <v>47</v>
      </c>
      <c r="U39" s="50" t="s">
        <v>47</v>
      </c>
      <c r="V39" s="50" t="s">
        <v>47</v>
      </c>
      <c r="W39" s="41" t="s">
        <v>36</v>
      </c>
      <c r="X39" s="41" t="s">
        <v>36</v>
      </c>
      <c r="Y39" s="56" t="s">
        <v>36</v>
      </c>
      <c r="Z39" s="56" t="s">
        <v>36</v>
      </c>
      <c r="AA39" s="56" t="s">
        <v>36</v>
      </c>
      <c r="AB39" s="56" t="s">
        <v>36</v>
      </c>
      <c r="AC39" s="56" t="s">
        <v>36</v>
      </c>
      <c r="AD39" s="56" t="s">
        <v>36</v>
      </c>
      <c r="AE39" s="57" t="s">
        <v>36</v>
      </c>
      <c r="AF39" s="57" t="s">
        <v>36</v>
      </c>
      <c r="AG39" s="71">
        <v>0</v>
      </c>
      <c r="AH39" s="71"/>
      <c r="AI39" s="71"/>
      <c r="AJ39" s="71"/>
      <c r="AK39" s="74" t="s">
        <v>52</v>
      </c>
      <c r="AM39" s="70"/>
      <c r="AN39" s="70"/>
      <c r="AO39" s="70"/>
    </row>
    <row r="40" spans="1:41">
      <c r="A40" s="34">
        <v>44583</v>
      </c>
      <c r="B40" s="36">
        <v>1600</v>
      </c>
      <c r="C40" s="36"/>
      <c r="D40" s="37">
        <f>(SUM(粮草!A40:X40)+AG40*10)*IF(AK40="是",$AX$4,$AX$3)</f>
        <v>1872</v>
      </c>
      <c r="E40" s="35">
        <f>SUM($B$4:B40)+SUM($C$4:C40)-SUM($D$4:D40)</f>
        <v>1236</v>
      </c>
      <c r="F40" s="37">
        <f>SUM(经验!A40:X40)</f>
        <v>690</v>
      </c>
      <c r="G40" s="37">
        <f>SUM($F$4:F40)+SUM($H$4:H40)</f>
        <v>26075</v>
      </c>
      <c r="H40" s="36">
        <v>0</v>
      </c>
      <c r="I40" s="51" t="s">
        <v>48</v>
      </c>
      <c r="J40" s="51" t="s">
        <v>48</v>
      </c>
      <c r="K40" s="51" t="s">
        <v>48</v>
      </c>
      <c r="L40" s="51" t="s">
        <v>48</v>
      </c>
      <c r="M40" s="51" t="s">
        <v>48</v>
      </c>
      <c r="N40" s="51" t="s">
        <v>48</v>
      </c>
      <c r="O40" s="41" t="s">
        <v>36</v>
      </c>
      <c r="P40" s="41" t="s">
        <v>36</v>
      </c>
      <c r="Q40" s="50" t="s">
        <v>47</v>
      </c>
      <c r="R40" s="50" t="s">
        <v>47</v>
      </c>
      <c r="S40" s="50" t="s">
        <v>47</v>
      </c>
      <c r="T40" s="50" t="s">
        <v>47</v>
      </c>
      <c r="U40" s="50" t="s">
        <v>47</v>
      </c>
      <c r="V40" s="50" t="s">
        <v>47</v>
      </c>
      <c r="W40" s="41" t="s">
        <v>36</v>
      </c>
      <c r="X40" s="41" t="s">
        <v>36</v>
      </c>
      <c r="Y40" s="56" t="s">
        <v>36</v>
      </c>
      <c r="Z40" s="56" t="s">
        <v>36</v>
      </c>
      <c r="AA40" s="56" t="s">
        <v>36</v>
      </c>
      <c r="AB40" s="56" t="s">
        <v>36</v>
      </c>
      <c r="AC40" s="56" t="s">
        <v>36</v>
      </c>
      <c r="AD40" s="56" t="s">
        <v>36</v>
      </c>
      <c r="AE40" s="57" t="s">
        <v>36</v>
      </c>
      <c r="AF40" s="57" t="s">
        <v>36</v>
      </c>
      <c r="AG40" s="71">
        <v>0</v>
      </c>
      <c r="AH40" s="71"/>
      <c r="AI40" s="71"/>
      <c r="AJ40" s="71"/>
      <c r="AK40" s="74" t="s">
        <v>52</v>
      </c>
      <c r="AM40" s="70"/>
      <c r="AN40" s="70"/>
      <c r="AO40" s="70"/>
    </row>
    <row r="41" spans="1:41">
      <c r="A41" s="34">
        <v>44584</v>
      </c>
      <c r="B41" s="36">
        <v>1600</v>
      </c>
      <c r="C41" s="36"/>
      <c r="D41" s="37">
        <f>(SUM(粮草!A41:X41)+AG41*10)*IF(AK41="是",$AX$4,$AX$3)</f>
        <v>1840</v>
      </c>
      <c r="E41" s="35">
        <f>SUM($B$4:B41)+SUM($C$4:C41)-SUM($D$4:D41)</f>
        <v>996</v>
      </c>
      <c r="F41" s="37">
        <f>SUM(经验!A41:X41)</f>
        <v>690</v>
      </c>
      <c r="G41" s="37">
        <f>SUM($F$4:F41)+SUM($H$4:H41)</f>
        <v>26765</v>
      </c>
      <c r="H41" s="36">
        <v>0</v>
      </c>
      <c r="I41" s="51" t="s">
        <v>48</v>
      </c>
      <c r="J41" s="51" t="s">
        <v>48</v>
      </c>
      <c r="K41" s="51" t="s">
        <v>48</v>
      </c>
      <c r="L41" s="51" t="s">
        <v>48</v>
      </c>
      <c r="M41" s="51" t="s">
        <v>48</v>
      </c>
      <c r="N41" s="51" t="s">
        <v>48</v>
      </c>
      <c r="O41" s="41" t="s">
        <v>36</v>
      </c>
      <c r="P41" s="41" t="s">
        <v>36</v>
      </c>
      <c r="Q41" s="50" t="s">
        <v>54</v>
      </c>
      <c r="R41" s="50" t="s">
        <v>47</v>
      </c>
      <c r="S41" s="50" t="s">
        <v>47</v>
      </c>
      <c r="T41" s="50" t="s">
        <v>47</v>
      </c>
      <c r="U41" s="50" t="s">
        <v>47</v>
      </c>
      <c r="V41" s="50" t="s">
        <v>47</v>
      </c>
      <c r="W41" s="41" t="s">
        <v>36</v>
      </c>
      <c r="X41" s="41" t="s">
        <v>36</v>
      </c>
      <c r="Y41" s="56" t="s">
        <v>36</v>
      </c>
      <c r="Z41" s="56" t="s">
        <v>36</v>
      </c>
      <c r="AA41" s="56" t="s">
        <v>36</v>
      </c>
      <c r="AB41" s="56" t="s">
        <v>36</v>
      </c>
      <c r="AC41" s="56" t="s">
        <v>36</v>
      </c>
      <c r="AD41" s="56" t="s">
        <v>36</v>
      </c>
      <c r="AE41" s="57" t="s">
        <v>36</v>
      </c>
      <c r="AF41" s="57" t="s">
        <v>36</v>
      </c>
      <c r="AG41" s="71">
        <v>0</v>
      </c>
      <c r="AH41" s="71"/>
      <c r="AI41" s="71"/>
      <c r="AJ41" s="71"/>
      <c r="AK41" s="74" t="s">
        <v>52</v>
      </c>
      <c r="AM41" s="70"/>
      <c r="AN41" s="70"/>
      <c r="AO41" s="70"/>
    </row>
    <row r="42" spans="1:41">
      <c r="A42" s="34">
        <v>44585</v>
      </c>
      <c r="B42" s="37">
        <v>1600</v>
      </c>
      <c r="C42" s="37"/>
      <c r="D42" s="37">
        <f>(SUM(粮草!A42:X42)+AG42*10)*IF(AK42="是",$AX$4,$AX$3)</f>
        <v>1872</v>
      </c>
      <c r="E42" s="35">
        <f>SUM($B$4:B42)+SUM($C$4:C42)-SUM($D$4:D42)</f>
        <v>724</v>
      </c>
      <c r="F42" s="37">
        <f>SUM(经验!A42:X42)</f>
        <v>690</v>
      </c>
      <c r="G42" s="37">
        <f>SUM($F$4:F42)+SUM($H$4:H42)</f>
        <v>27755</v>
      </c>
      <c r="H42" s="37">
        <v>300</v>
      </c>
      <c r="I42" s="51" t="s">
        <v>48</v>
      </c>
      <c r="J42" s="51" t="s">
        <v>48</v>
      </c>
      <c r="K42" s="51" t="s">
        <v>48</v>
      </c>
      <c r="L42" s="51" t="s">
        <v>48</v>
      </c>
      <c r="M42" s="51" t="s">
        <v>48</v>
      </c>
      <c r="N42" s="51" t="s">
        <v>48</v>
      </c>
      <c r="O42" s="41" t="s">
        <v>36</v>
      </c>
      <c r="P42" s="41" t="s">
        <v>36</v>
      </c>
      <c r="Q42" s="50" t="s">
        <v>47</v>
      </c>
      <c r="R42" s="50" t="s">
        <v>47</v>
      </c>
      <c r="S42" s="50" t="s">
        <v>47</v>
      </c>
      <c r="T42" s="50" t="s">
        <v>47</v>
      </c>
      <c r="U42" s="50" t="s">
        <v>47</v>
      </c>
      <c r="V42" s="50" t="s">
        <v>47</v>
      </c>
      <c r="W42" s="41" t="s">
        <v>36</v>
      </c>
      <c r="X42" s="41" t="s">
        <v>36</v>
      </c>
      <c r="Y42" s="56" t="s">
        <v>36</v>
      </c>
      <c r="Z42" s="56" t="s">
        <v>36</v>
      </c>
      <c r="AA42" s="56" t="s">
        <v>36</v>
      </c>
      <c r="AB42" s="56" t="s">
        <v>36</v>
      </c>
      <c r="AC42" s="56" t="s">
        <v>36</v>
      </c>
      <c r="AD42" s="56" t="s">
        <v>36</v>
      </c>
      <c r="AE42" s="57" t="s">
        <v>36</v>
      </c>
      <c r="AF42" s="57" t="s">
        <v>36</v>
      </c>
      <c r="AG42" s="71">
        <v>0</v>
      </c>
      <c r="AH42" s="71"/>
      <c r="AI42" s="71"/>
      <c r="AJ42" s="71"/>
      <c r="AK42" s="74" t="s">
        <v>52</v>
      </c>
      <c r="AM42" s="70"/>
      <c r="AN42" s="70"/>
      <c r="AO42" s="70"/>
    </row>
    <row r="43" spans="1:41">
      <c r="A43" s="34">
        <v>44586</v>
      </c>
      <c r="B43" s="37">
        <v>1600</v>
      </c>
      <c r="C43" s="37"/>
      <c r="D43" s="37">
        <f>(SUM(粮草!A43:X43)+AG43*10)*IF(AK43="是",$AX$4,$AX$3)</f>
        <v>1872</v>
      </c>
      <c r="E43" s="35">
        <f>SUM($B$4:B43)+SUM($C$4:C43)-SUM($D$4:D43)</f>
        <v>452</v>
      </c>
      <c r="F43" s="37">
        <f>SUM(经验!A43:X43)</f>
        <v>690</v>
      </c>
      <c r="G43" s="37">
        <f>SUM($F$4:F43)+SUM($H$4:H43)</f>
        <v>28445</v>
      </c>
      <c r="H43" s="37">
        <v>0</v>
      </c>
      <c r="I43" s="51" t="s">
        <v>48</v>
      </c>
      <c r="J43" s="51" t="s">
        <v>48</v>
      </c>
      <c r="K43" s="51" t="s">
        <v>48</v>
      </c>
      <c r="L43" s="51" t="s">
        <v>48</v>
      </c>
      <c r="M43" s="51" t="s">
        <v>48</v>
      </c>
      <c r="N43" s="51" t="s">
        <v>48</v>
      </c>
      <c r="O43" s="41" t="s">
        <v>36</v>
      </c>
      <c r="P43" s="41" t="s">
        <v>36</v>
      </c>
      <c r="Q43" s="50" t="s">
        <v>47</v>
      </c>
      <c r="R43" s="50" t="s">
        <v>47</v>
      </c>
      <c r="S43" s="50" t="s">
        <v>47</v>
      </c>
      <c r="T43" s="50" t="s">
        <v>47</v>
      </c>
      <c r="U43" s="50" t="s">
        <v>47</v>
      </c>
      <c r="V43" s="50" t="s">
        <v>47</v>
      </c>
      <c r="W43" s="41" t="s">
        <v>36</v>
      </c>
      <c r="X43" s="41" t="s">
        <v>36</v>
      </c>
      <c r="Y43" s="56" t="s">
        <v>36</v>
      </c>
      <c r="Z43" s="56" t="s">
        <v>36</v>
      </c>
      <c r="AA43" s="56" t="s">
        <v>36</v>
      </c>
      <c r="AB43" s="56" t="s">
        <v>36</v>
      </c>
      <c r="AC43" s="56" t="s">
        <v>36</v>
      </c>
      <c r="AD43" s="56" t="s">
        <v>36</v>
      </c>
      <c r="AE43" s="57" t="s">
        <v>36</v>
      </c>
      <c r="AF43" s="57" t="s">
        <v>36</v>
      </c>
      <c r="AG43" s="71">
        <v>0</v>
      </c>
      <c r="AH43" s="71"/>
      <c r="AI43" s="71"/>
      <c r="AJ43" s="71"/>
      <c r="AK43" s="74" t="s">
        <v>52</v>
      </c>
      <c r="AM43" s="70"/>
      <c r="AN43" s="70"/>
      <c r="AO43" s="70"/>
    </row>
    <row r="44" spans="1:41">
      <c r="A44" s="34">
        <v>44587</v>
      </c>
      <c r="B44" s="37">
        <v>1600</v>
      </c>
      <c r="C44" s="37"/>
      <c r="D44" s="37">
        <f>(SUM(粮草!A44:X44)+AG44*10)*IF(AK44="是",$AX$4,$AX$3)</f>
        <v>1760</v>
      </c>
      <c r="E44" s="35">
        <f>SUM($B$4:B44)+SUM($C$4:C44)-SUM($D$4:D44)</f>
        <v>292</v>
      </c>
      <c r="F44" s="37">
        <f>SUM(经验!A44:X44)</f>
        <v>665</v>
      </c>
      <c r="G44" s="37">
        <f>SUM($F$4:F44)+SUM($H$4:H44)</f>
        <v>29310</v>
      </c>
      <c r="H44" s="37">
        <v>200</v>
      </c>
      <c r="I44" s="51" t="s">
        <v>48</v>
      </c>
      <c r="J44" s="51" t="s">
        <v>48</v>
      </c>
      <c r="K44" s="51" t="s">
        <v>48</v>
      </c>
      <c r="L44" s="51" t="s">
        <v>48</v>
      </c>
      <c r="M44" s="51" t="s">
        <v>48</v>
      </c>
      <c r="N44" s="51" t="s">
        <v>48</v>
      </c>
      <c r="O44" s="41" t="s">
        <v>36</v>
      </c>
      <c r="P44" s="41" t="s">
        <v>36</v>
      </c>
      <c r="Q44" s="50" t="s">
        <v>47</v>
      </c>
      <c r="R44" s="47" t="s">
        <v>42</v>
      </c>
      <c r="S44" s="50" t="s">
        <v>47</v>
      </c>
      <c r="T44" s="50" t="s">
        <v>47</v>
      </c>
      <c r="U44" s="50" t="s">
        <v>47</v>
      </c>
      <c r="V44" s="50" t="s">
        <v>47</v>
      </c>
      <c r="W44" s="41" t="s">
        <v>36</v>
      </c>
      <c r="X44" s="41" t="s">
        <v>36</v>
      </c>
      <c r="Y44" s="56" t="s">
        <v>36</v>
      </c>
      <c r="Z44" s="56" t="s">
        <v>36</v>
      </c>
      <c r="AA44" s="56" t="s">
        <v>36</v>
      </c>
      <c r="AB44" s="56" t="s">
        <v>36</v>
      </c>
      <c r="AC44" s="56" t="s">
        <v>36</v>
      </c>
      <c r="AD44" s="56" t="s">
        <v>36</v>
      </c>
      <c r="AE44" s="57" t="s">
        <v>36</v>
      </c>
      <c r="AF44" s="57" t="s">
        <v>36</v>
      </c>
      <c r="AG44" s="71">
        <v>0</v>
      </c>
      <c r="AH44" s="71"/>
      <c r="AI44" s="71"/>
      <c r="AJ44" s="71"/>
      <c r="AK44" s="74" t="s">
        <v>52</v>
      </c>
      <c r="AM44" s="70"/>
      <c r="AN44" s="70"/>
      <c r="AO44" s="70"/>
    </row>
    <row r="45" spans="1:37">
      <c r="A45" s="34">
        <v>44588</v>
      </c>
      <c r="B45" s="37">
        <v>1600</v>
      </c>
      <c r="C45" s="37"/>
      <c r="D45" s="37">
        <f>(SUM(粮草!A45:X45)+AG45*10)*IF(AK45="是",$AX$4,$AX$3)</f>
        <v>1872</v>
      </c>
      <c r="E45" s="35">
        <f>SUM($B$4:B45)+SUM($C$4:C45)-SUM($D$4:D45)</f>
        <v>20</v>
      </c>
      <c r="F45" s="37">
        <f>SUM(经验!A45:X45)</f>
        <v>690</v>
      </c>
      <c r="G45" s="37">
        <f>SUM($F$4:F45)+SUM($H$4:H45)</f>
        <v>30000</v>
      </c>
      <c r="H45" s="37">
        <v>0</v>
      </c>
      <c r="I45" s="51" t="s">
        <v>48</v>
      </c>
      <c r="J45" s="51" t="s">
        <v>48</v>
      </c>
      <c r="K45" s="51" t="s">
        <v>48</v>
      </c>
      <c r="L45" s="51" t="s">
        <v>48</v>
      </c>
      <c r="M45" s="51" t="s">
        <v>48</v>
      </c>
      <c r="N45" s="51" t="s">
        <v>48</v>
      </c>
      <c r="O45" s="41" t="s">
        <v>36</v>
      </c>
      <c r="P45" s="41" t="s">
        <v>36</v>
      </c>
      <c r="Q45" s="50" t="s">
        <v>47</v>
      </c>
      <c r="R45" s="50" t="s">
        <v>47</v>
      </c>
      <c r="S45" s="50" t="s">
        <v>47</v>
      </c>
      <c r="T45" s="50" t="s">
        <v>47</v>
      </c>
      <c r="U45" s="50" t="s">
        <v>47</v>
      </c>
      <c r="V45" s="50" t="s">
        <v>47</v>
      </c>
      <c r="W45" s="41" t="s">
        <v>36</v>
      </c>
      <c r="X45" s="41" t="s">
        <v>36</v>
      </c>
      <c r="Y45" s="56" t="s">
        <v>36</v>
      </c>
      <c r="Z45" s="56" t="s">
        <v>36</v>
      </c>
      <c r="AA45" s="56" t="s">
        <v>36</v>
      </c>
      <c r="AB45" s="56" t="s">
        <v>36</v>
      </c>
      <c r="AC45" s="56" t="s">
        <v>36</v>
      </c>
      <c r="AD45" s="56" t="s">
        <v>36</v>
      </c>
      <c r="AE45" s="57" t="s">
        <v>36</v>
      </c>
      <c r="AF45" s="57" t="s">
        <v>36</v>
      </c>
      <c r="AG45" s="71">
        <v>0</v>
      </c>
      <c r="AH45" s="71"/>
      <c r="AI45" s="71"/>
      <c r="AJ45" s="71"/>
      <c r="AK45" s="74" t="s">
        <v>52</v>
      </c>
    </row>
    <row r="46" spans="1:37">
      <c r="A46" s="34">
        <v>44589</v>
      </c>
      <c r="B46" s="37">
        <v>1600</v>
      </c>
      <c r="C46" s="37"/>
      <c r="D46" s="37">
        <f>(SUM(粮草!A46:X46)+AG46*10)*IF(AK46="是",$AX$4,$AX$3)</f>
        <v>1568</v>
      </c>
      <c r="E46" s="35">
        <f>SUM($B$4:B46)+SUM($C$4:C46)-SUM($D$4:D46)</f>
        <v>52</v>
      </c>
      <c r="F46" s="37">
        <f>SUM(经验!A46:X46)</f>
        <v>580</v>
      </c>
      <c r="G46" s="37">
        <f>SUM($F$4:F46)+SUM($H$4:H46)</f>
        <v>30580</v>
      </c>
      <c r="H46" s="37">
        <v>0</v>
      </c>
      <c r="I46" s="51" t="s">
        <v>48</v>
      </c>
      <c r="J46" s="51" t="s">
        <v>48</v>
      </c>
      <c r="K46" s="51" t="s">
        <v>48</v>
      </c>
      <c r="L46" s="51" t="s">
        <v>48</v>
      </c>
      <c r="M46" s="51" t="s">
        <v>48</v>
      </c>
      <c r="N46" s="51" t="s">
        <v>48</v>
      </c>
      <c r="O46" s="41" t="s">
        <v>36</v>
      </c>
      <c r="P46" s="41" t="s">
        <v>36</v>
      </c>
      <c r="Q46" s="50" t="s">
        <v>47</v>
      </c>
      <c r="R46" s="50" t="s">
        <v>47</v>
      </c>
      <c r="S46" s="50" t="s">
        <v>47</v>
      </c>
      <c r="T46" s="50" t="s">
        <v>47</v>
      </c>
      <c r="U46" t="s">
        <v>36</v>
      </c>
      <c r="V46" t="s">
        <v>36</v>
      </c>
      <c r="W46" s="41" t="s">
        <v>36</v>
      </c>
      <c r="X46" s="41" t="s">
        <v>36</v>
      </c>
      <c r="Y46" s="56" t="s">
        <v>36</v>
      </c>
      <c r="Z46" s="56" t="s">
        <v>36</v>
      </c>
      <c r="AA46" s="56" t="s">
        <v>36</v>
      </c>
      <c r="AB46" s="56" t="s">
        <v>36</v>
      </c>
      <c r="AC46" s="56" t="s">
        <v>36</v>
      </c>
      <c r="AD46" s="56" t="s">
        <v>36</v>
      </c>
      <c r="AE46" s="57" t="s">
        <v>36</v>
      </c>
      <c r="AF46" s="57" t="s">
        <v>36</v>
      </c>
      <c r="AG46" s="71">
        <v>0</v>
      </c>
      <c r="AH46" s="71"/>
      <c r="AI46" s="71"/>
      <c r="AJ46" s="71"/>
      <c r="AK46" s="74" t="s">
        <v>52</v>
      </c>
    </row>
    <row r="47" spans="1:37">
      <c r="A47" s="34">
        <v>44590</v>
      </c>
      <c r="B47" s="37">
        <v>1600</v>
      </c>
      <c r="C47" s="37"/>
      <c r="D47" s="37">
        <f>(SUM(粮草!A47:X47)+AG47*10)*IF(AK47="是",$AX$4,$AX$3)</f>
        <v>1568</v>
      </c>
      <c r="E47" s="35">
        <f>SUM($B$4:B47)+SUM($C$4:C47)-SUM($D$4:D47)</f>
        <v>84</v>
      </c>
      <c r="F47" s="37">
        <f>SUM(经验!A47:X47)</f>
        <v>640</v>
      </c>
      <c r="G47" s="37">
        <f>SUM($F$4:F47)+SUM($H$4:H47)</f>
        <v>31220</v>
      </c>
      <c r="H47" s="37">
        <v>0</v>
      </c>
      <c r="I47" s="51" t="s">
        <v>48</v>
      </c>
      <c r="J47" s="51" t="s">
        <v>48</v>
      </c>
      <c r="K47" s="51" t="s">
        <v>48</v>
      </c>
      <c r="L47" s="51" t="s">
        <v>48</v>
      </c>
      <c r="M47" s="51" t="s">
        <v>48</v>
      </c>
      <c r="N47" s="51" t="s">
        <v>48</v>
      </c>
      <c r="O47" s="42" t="s">
        <v>57</v>
      </c>
      <c r="P47" s="51" t="s">
        <v>48</v>
      </c>
      <c r="Q47" s="50" t="s">
        <v>47</v>
      </c>
      <c r="R47" s="50" t="s">
        <v>47</v>
      </c>
      <c r="S47" s="50" t="s">
        <v>47</v>
      </c>
      <c r="T47" s="50" t="s">
        <v>47</v>
      </c>
      <c r="U47" t="s">
        <v>36</v>
      </c>
      <c r="V47" t="s">
        <v>36</v>
      </c>
      <c r="W47" s="41" t="s">
        <v>36</v>
      </c>
      <c r="X47" s="41" t="s">
        <v>36</v>
      </c>
      <c r="Y47" s="56" t="s">
        <v>36</v>
      </c>
      <c r="Z47" s="56" t="s">
        <v>36</v>
      </c>
      <c r="AA47" s="56" t="s">
        <v>36</v>
      </c>
      <c r="AB47" s="56" t="s">
        <v>36</v>
      </c>
      <c r="AC47" s="56" t="s">
        <v>36</v>
      </c>
      <c r="AD47" s="56" t="s">
        <v>36</v>
      </c>
      <c r="AE47" s="57" t="s">
        <v>36</v>
      </c>
      <c r="AF47" s="57" t="s">
        <v>36</v>
      </c>
      <c r="AG47" s="71">
        <v>0</v>
      </c>
      <c r="AH47" s="71"/>
      <c r="AI47" s="71"/>
      <c r="AJ47" s="71"/>
      <c r="AK47" s="74" t="s">
        <v>52</v>
      </c>
    </row>
    <row r="48" spans="1:37">
      <c r="A48" s="34">
        <v>44591</v>
      </c>
      <c r="B48" s="37">
        <v>1600</v>
      </c>
      <c r="C48" s="37"/>
      <c r="D48" s="37">
        <f>(SUM(粮草!A48:X48)+AG48*10)*IF(AK48="是",$AX$4,$AX$3)</f>
        <v>1560</v>
      </c>
      <c r="E48" s="35">
        <f>SUM($B$4:B48)+SUM($C$4:C48)-SUM($D$4:D48)</f>
        <v>124</v>
      </c>
      <c r="F48" s="37">
        <f>SUM(经验!A48:X48)</f>
        <v>635</v>
      </c>
      <c r="G48" s="37">
        <f>SUM($F$4:F48)+SUM($H$4:H48)</f>
        <v>31855</v>
      </c>
      <c r="H48" s="37">
        <v>0</v>
      </c>
      <c r="I48" s="51" t="s">
        <v>48</v>
      </c>
      <c r="J48" s="51" t="s">
        <v>48</v>
      </c>
      <c r="K48" s="51" t="s">
        <v>48</v>
      </c>
      <c r="L48" s="51" t="s">
        <v>48</v>
      </c>
      <c r="M48" s="51" t="s">
        <v>48</v>
      </c>
      <c r="N48" s="51" t="s">
        <v>48</v>
      </c>
      <c r="O48" s="41" t="s">
        <v>36</v>
      </c>
      <c r="P48" s="41" t="s">
        <v>36</v>
      </c>
      <c r="Q48" s="50" t="s">
        <v>47</v>
      </c>
      <c r="R48" s="50" t="s">
        <v>47</v>
      </c>
      <c r="S48" s="50" t="s">
        <v>47</v>
      </c>
      <c r="T48" s="50" t="s">
        <v>47</v>
      </c>
      <c r="U48" s="42" t="s">
        <v>57</v>
      </c>
      <c r="V48" s="50" t="s">
        <v>47</v>
      </c>
      <c r="W48" s="41" t="s">
        <v>36</v>
      </c>
      <c r="X48" s="41" t="s">
        <v>36</v>
      </c>
      <c r="Y48" s="56" t="s">
        <v>36</v>
      </c>
      <c r="Z48" s="56" t="s">
        <v>36</v>
      </c>
      <c r="AA48" s="56" t="s">
        <v>36</v>
      </c>
      <c r="AB48" s="56" t="s">
        <v>36</v>
      </c>
      <c r="AC48" s="56" t="s">
        <v>36</v>
      </c>
      <c r="AD48" s="56" t="s">
        <v>36</v>
      </c>
      <c r="AE48" s="57" t="s">
        <v>36</v>
      </c>
      <c r="AF48" s="57" t="s">
        <v>36</v>
      </c>
      <c r="AG48" s="71">
        <v>0</v>
      </c>
      <c r="AH48" s="71"/>
      <c r="AI48" s="71"/>
      <c r="AJ48" s="71"/>
      <c r="AK48" s="74" t="s">
        <v>52</v>
      </c>
    </row>
    <row r="49" spans="1:37">
      <c r="A49" s="34">
        <v>44592</v>
      </c>
      <c r="B49" s="36">
        <v>1600</v>
      </c>
      <c r="C49" s="36"/>
      <c r="D49" s="37">
        <f>(SUM(粮草!A49:X49)+AG49*10)*IF(AK49="是",$AX$4,$AX$3)</f>
        <v>1720</v>
      </c>
      <c r="E49" s="35">
        <f>SUM($B$4:B49)+SUM($C$4:C49)-SUM($D$4:D49)</f>
        <v>4</v>
      </c>
      <c r="F49" s="37">
        <f>SUM(经验!A49:X49)</f>
        <v>635</v>
      </c>
      <c r="G49" s="37">
        <f>SUM($F$4:F49)+SUM($H$4:H49)</f>
        <v>32690</v>
      </c>
      <c r="H49" s="36">
        <v>200</v>
      </c>
      <c r="I49" s="51" t="s">
        <v>48</v>
      </c>
      <c r="J49" s="51" t="s">
        <v>48</v>
      </c>
      <c r="K49" s="51" t="s">
        <v>48</v>
      </c>
      <c r="L49" s="51" t="s">
        <v>48</v>
      </c>
      <c r="M49" s="51" t="s">
        <v>48</v>
      </c>
      <c r="N49" s="51" t="s">
        <v>48</v>
      </c>
      <c r="O49" s="41" t="s">
        <v>36</v>
      </c>
      <c r="P49" s="41" t="s">
        <v>36</v>
      </c>
      <c r="Q49" s="50" t="s">
        <v>47</v>
      </c>
      <c r="R49" s="50" t="s">
        <v>47</v>
      </c>
      <c r="S49" s="50" t="s">
        <v>47</v>
      </c>
      <c r="T49" s="50" t="s">
        <v>47</v>
      </c>
      <c r="U49" s="50" t="s">
        <v>47</v>
      </c>
      <c r="V49" t="s">
        <v>36</v>
      </c>
      <c r="W49" s="41" t="s">
        <v>36</v>
      </c>
      <c r="X49" s="41" t="s">
        <v>36</v>
      </c>
      <c r="Y49" s="56" t="s">
        <v>36</v>
      </c>
      <c r="Z49" s="56" t="s">
        <v>36</v>
      </c>
      <c r="AA49" s="56" t="s">
        <v>36</v>
      </c>
      <c r="AB49" s="56" t="s">
        <v>36</v>
      </c>
      <c r="AC49" s="56" t="s">
        <v>36</v>
      </c>
      <c r="AD49" s="56" t="s">
        <v>36</v>
      </c>
      <c r="AE49" s="57" t="s">
        <v>36</v>
      </c>
      <c r="AF49" s="57" t="s">
        <v>36</v>
      </c>
      <c r="AG49" s="71">
        <v>0</v>
      </c>
      <c r="AH49" s="71"/>
      <c r="AI49" s="71"/>
      <c r="AJ49" s="71"/>
      <c r="AK49" s="74" t="s">
        <v>52</v>
      </c>
    </row>
    <row r="50" spans="1:37">
      <c r="A50" s="34">
        <v>44593</v>
      </c>
      <c r="B50" s="36">
        <v>1600</v>
      </c>
      <c r="C50" s="36"/>
      <c r="D50" s="37">
        <f>(SUM(粮草!A50:X50)+AG50*10)*IF(AK50="是",$AX$4,$AX$3)</f>
        <v>1568</v>
      </c>
      <c r="E50" s="35">
        <f>SUM($B$4:B50)+SUM($C$4:C50)-SUM($D$4:D50)</f>
        <v>36</v>
      </c>
      <c r="F50" s="37">
        <f>SUM(经验!A50:X50)</f>
        <v>580</v>
      </c>
      <c r="G50" s="37">
        <f>SUM($F$4:F50)+SUM($H$4:H50)</f>
        <v>33370</v>
      </c>
      <c r="H50" s="36">
        <v>100</v>
      </c>
      <c r="I50" s="51" t="s">
        <v>48</v>
      </c>
      <c r="J50" s="51" t="s">
        <v>48</v>
      </c>
      <c r="K50" s="51" t="s">
        <v>48</v>
      </c>
      <c r="L50" s="51" t="s">
        <v>48</v>
      </c>
      <c r="M50" s="51" t="s">
        <v>48</v>
      </c>
      <c r="N50" s="51" t="s">
        <v>48</v>
      </c>
      <c r="O50" s="41" t="s">
        <v>36</v>
      </c>
      <c r="P50" s="41" t="s">
        <v>36</v>
      </c>
      <c r="Q50" s="50" t="s">
        <v>47</v>
      </c>
      <c r="R50" s="50" t="s">
        <v>47</v>
      </c>
      <c r="S50" s="50" t="s">
        <v>47</v>
      </c>
      <c r="T50" s="50" t="s">
        <v>47</v>
      </c>
      <c r="U50" t="s">
        <v>36</v>
      </c>
      <c r="V50" t="s">
        <v>36</v>
      </c>
      <c r="W50" s="41" t="s">
        <v>36</v>
      </c>
      <c r="X50" s="41" t="s">
        <v>36</v>
      </c>
      <c r="Y50" s="56" t="s">
        <v>36</v>
      </c>
      <c r="Z50" s="56" t="s">
        <v>36</v>
      </c>
      <c r="AA50" s="56" t="s">
        <v>36</v>
      </c>
      <c r="AB50" s="56" t="s">
        <v>36</v>
      </c>
      <c r="AC50" s="56" t="s">
        <v>36</v>
      </c>
      <c r="AD50" s="56" t="s">
        <v>36</v>
      </c>
      <c r="AE50" s="57" t="s">
        <v>36</v>
      </c>
      <c r="AF50" s="57" t="s">
        <v>36</v>
      </c>
      <c r="AG50" s="71">
        <v>0</v>
      </c>
      <c r="AH50" s="71"/>
      <c r="AI50" s="71"/>
      <c r="AJ50" s="71"/>
      <c r="AK50" s="74" t="s">
        <v>52</v>
      </c>
    </row>
    <row r="51" spans="1:37">
      <c r="A51" s="34">
        <v>44594</v>
      </c>
      <c r="B51" s="36">
        <v>1600</v>
      </c>
      <c r="C51" s="36"/>
      <c r="D51" s="37">
        <f>(SUM(粮草!A51:X51)+AG51*10)*IF(AK51="是",$AX$4,$AX$3)</f>
        <v>1536</v>
      </c>
      <c r="E51" s="35">
        <f>SUM($B$4:B51)+SUM($C$4:C51)-SUM($D$4:D51)</f>
        <v>100</v>
      </c>
      <c r="F51" s="37">
        <f>SUM(经验!A51:X51)</f>
        <v>575</v>
      </c>
      <c r="G51" s="37">
        <f>SUM($F$4:F51)+SUM($H$4:H51)</f>
        <v>34145</v>
      </c>
      <c r="H51" s="36">
        <v>200</v>
      </c>
      <c r="I51" s="51" t="s">
        <v>48</v>
      </c>
      <c r="J51" s="51" t="s">
        <v>48</v>
      </c>
      <c r="K51" s="51" t="s">
        <v>48</v>
      </c>
      <c r="L51" s="51" t="s">
        <v>48</v>
      </c>
      <c r="M51" s="51" t="s">
        <v>48</v>
      </c>
      <c r="N51" s="51" t="s">
        <v>48</v>
      </c>
      <c r="O51" s="41" t="s">
        <v>36</v>
      </c>
      <c r="P51" s="41" t="s">
        <v>36</v>
      </c>
      <c r="Q51" s="50" t="s">
        <v>47</v>
      </c>
      <c r="R51" s="50" t="s">
        <v>47</v>
      </c>
      <c r="S51" s="50" t="s">
        <v>47</v>
      </c>
      <c r="T51" s="48" t="s">
        <v>53</v>
      </c>
      <c r="U51" t="s">
        <v>36</v>
      </c>
      <c r="V51" t="s">
        <v>36</v>
      </c>
      <c r="W51" s="41" t="s">
        <v>36</v>
      </c>
      <c r="X51" s="41" t="s">
        <v>36</v>
      </c>
      <c r="Y51" s="56" t="s">
        <v>36</v>
      </c>
      <c r="Z51" s="56" t="s">
        <v>36</v>
      </c>
      <c r="AA51" s="56" t="s">
        <v>36</v>
      </c>
      <c r="AB51" s="56" t="s">
        <v>36</v>
      </c>
      <c r="AC51" s="56" t="s">
        <v>36</v>
      </c>
      <c r="AD51" s="56" t="s">
        <v>36</v>
      </c>
      <c r="AE51" s="57" t="s">
        <v>36</v>
      </c>
      <c r="AF51" s="57" t="s">
        <v>36</v>
      </c>
      <c r="AG51" s="71">
        <v>0</v>
      </c>
      <c r="AH51" s="71"/>
      <c r="AI51" s="71"/>
      <c r="AJ51" s="71"/>
      <c r="AK51" s="74" t="s">
        <v>52</v>
      </c>
    </row>
    <row r="52" spans="1:37">
      <c r="A52" s="34">
        <v>44595</v>
      </c>
      <c r="B52" s="36">
        <v>1600</v>
      </c>
      <c r="C52" s="36"/>
      <c r="D52" s="37">
        <f>(SUM(粮草!A52:X52)+AG52*10)*IF(AK52="是",$AX$4,$AX$3)</f>
        <v>1568</v>
      </c>
      <c r="E52" s="35">
        <f>SUM($B$4:B52)+SUM($C$4:C52)-SUM($D$4:D52)</f>
        <v>132</v>
      </c>
      <c r="F52" s="37">
        <f>SUM(经验!A52:X52)</f>
        <v>580</v>
      </c>
      <c r="G52" s="37">
        <f>SUM($F$4:F52)+SUM($H$4:H52)</f>
        <v>34725</v>
      </c>
      <c r="H52" s="36">
        <v>0</v>
      </c>
      <c r="I52" s="51" t="s">
        <v>48</v>
      </c>
      <c r="J52" s="51" t="s">
        <v>48</v>
      </c>
      <c r="K52" s="51" t="s">
        <v>48</v>
      </c>
      <c r="L52" s="51" t="s">
        <v>48</v>
      </c>
      <c r="M52" s="51" t="s">
        <v>48</v>
      </c>
      <c r="N52" s="51" t="s">
        <v>48</v>
      </c>
      <c r="O52" s="41" t="s">
        <v>36</v>
      </c>
      <c r="P52" s="41" t="s">
        <v>36</v>
      </c>
      <c r="Q52" s="50" t="s">
        <v>47</v>
      </c>
      <c r="R52" s="50" t="s">
        <v>47</v>
      </c>
      <c r="S52" s="50" t="s">
        <v>47</v>
      </c>
      <c r="T52" s="50" t="s">
        <v>47</v>
      </c>
      <c r="U52" t="s">
        <v>36</v>
      </c>
      <c r="V52" t="s">
        <v>36</v>
      </c>
      <c r="W52" s="41" t="s">
        <v>36</v>
      </c>
      <c r="X52" s="41" t="s">
        <v>36</v>
      </c>
      <c r="Y52" s="56" t="s">
        <v>36</v>
      </c>
      <c r="Z52" s="56" t="s">
        <v>36</v>
      </c>
      <c r="AA52" s="56" t="s">
        <v>36</v>
      </c>
      <c r="AB52" s="56" t="s">
        <v>36</v>
      </c>
      <c r="AC52" s="56" t="s">
        <v>36</v>
      </c>
      <c r="AD52" s="56" t="s">
        <v>36</v>
      </c>
      <c r="AE52" s="57" t="s">
        <v>36</v>
      </c>
      <c r="AF52" s="57" t="s">
        <v>36</v>
      </c>
      <c r="AG52" s="71">
        <v>0</v>
      </c>
      <c r="AH52" s="71"/>
      <c r="AI52" s="71"/>
      <c r="AJ52" s="71"/>
      <c r="AK52" s="74" t="s">
        <v>52</v>
      </c>
    </row>
    <row r="53" spans="1:37">
      <c r="A53" s="34">
        <v>44596</v>
      </c>
      <c r="B53" s="36">
        <v>1600</v>
      </c>
      <c r="C53" s="36"/>
      <c r="D53" s="37">
        <f>(SUM(粮草!A53:X53)+AG53*10)*IF(AK53="是",$AX$4,$AX$3)</f>
        <v>1672</v>
      </c>
      <c r="E53" s="35">
        <f>SUM($B$4:B53)+SUM($C$4:C53)-SUM($D$4:D53)</f>
        <v>60</v>
      </c>
      <c r="F53" s="37">
        <f>SUM(经验!A53:X53)</f>
        <v>630</v>
      </c>
      <c r="G53" s="37">
        <f>SUM($F$4:F53)+SUM($H$4:H53)</f>
        <v>35355</v>
      </c>
      <c r="H53" s="36">
        <v>0</v>
      </c>
      <c r="I53" s="51" t="s">
        <v>55</v>
      </c>
      <c r="J53" s="51" t="s">
        <v>48</v>
      </c>
      <c r="K53" s="51" t="s">
        <v>48</v>
      </c>
      <c r="L53" s="51" t="s">
        <v>48</v>
      </c>
      <c r="M53" s="51" t="s">
        <v>48</v>
      </c>
      <c r="N53" s="51" t="s">
        <v>48</v>
      </c>
      <c r="O53" s="41" t="s">
        <v>36</v>
      </c>
      <c r="P53" s="41" t="s">
        <v>36</v>
      </c>
      <c r="Q53" s="50" t="s">
        <v>47</v>
      </c>
      <c r="R53" s="50" t="s">
        <v>47</v>
      </c>
      <c r="S53" s="50" t="s">
        <v>47</v>
      </c>
      <c r="T53" s="48" t="s">
        <v>46</v>
      </c>
      <c r="U53" s="50" t="s">
        <v>47</v>
      </c>
      <c r="V53" t="s">
        <v>36</v>
      </c>
      <c r="W53" s="41" t="s">
        <v>36</v>
      </c>
      <c r="X53" s="41" t="s">
        <v>36</v>
      </c>
      <c r="Y53" s="56" t="s">
        <v>36</v>
      </c>
      <c r="Z53" s="56" t="s">
        <v>36</v>
      </c>
      <c r="AA53" s="56" t="s">
        <v>36</v>
      </c>
      <c r="AB53" s="56" t="s">
        <v>36</v>
      </c>
      <c r="AC53" s="56" t="s">
        <v>36</v>
      </c>
      <c r="AD53" s="56" t="s">
        <v>36</v>
      </c>
      <c r="AE53" s="57" t="s">
        <v>36</v>
      </c>
      <c r="AF53" s="57" t="s">
        <v>36</v>
      </c>
      <c r="AG53" s="71">
        <v>0</v>
      </c>
      <c r="AH53" s="71"/>
      <c r="AI53" s="71"/>
      <c r="AJ53" s="71"/>
      <c r="AK53" s="74" t="s">
        <v>52</v>
      </c>
    </row>
    <row r="54" spans="1:37">
      <c r="A54" s="34">
        <v>44597</v>
      </c>
      <c r="B54" s="36">
        <v>1600</v>
      </c>
      <c r="C54" s="36"/>
      <c r="D54" s="37">
        <f>(SUM(粮草!A54:X54)+AG54*10)*IF(AK54="是",$AX$4,$AX$3)</f>
        <v>1560</v>
      </c>
      <c r="E54" s="35">
        <f>SUM($B$4:B54)+SUM($C$4:C54)-SUM($D$4:D54)</f>
        <v>100</v>
      </c>
      <c r="F54" s="37">
        <f>SUM(经验!A54:X54)</f>
        <v>575</v>
      </c>
      <c r="G54" s="37">
        <f>SUM($F$4:F54)+SUM($H$4:H54)</f>
        <v>35930</v>
      </c>
      <c r="H54" s="36">
        <v>0</v>
      </c>
      <c r="I54" s="51" t="s">
        <v>48</v>
      </c>
      <c r="J54" s="51" t="s">
        <v>48</v>
      </c>
      <c r="K54" s="51" t="s">
        <v>48</v>
      </c>
      <c r="L54" s="51" t="s">
        <v>48</v>
      </c>
      <c r="M54" s="51" t="s">
        <v>48</v>
      </c>
      <c r="N54" s="51" t="s">
        <v>48</v>
      </c>
      <c r="O54" s="41" t="s">
        <v>36</v>
      </c>
      <c r="P54" s="41" t="s">
        <v>36</v>
      </c>
      <c r="Q54" s="50" t="s">
        <v>47</v>
      </c>
      <c r="R54" s="50" t="s">
        <v>47</v>
      </c>
      <c r="S54" s="50" t="s">
        <v>47</v>
      </c>
      <c r="T54" s="48" t="s">
        <v>46</v>
      </c>
      <c r="U54" t="s">
        <v>36</v>
      </c>
      <c r="V54" t="s">
        <v>36</v>
      </c>
      <c r="W54" s="41" t="s">
        <v>36</v>
      </c>
      <c r="X54" s="41" t="s">
        <v>36</v>
      </c>
      <c r="Y54" s="56" t="s">
        <v>36</v>
      </c>
      <c r="Z54" s="56" t="s">
        <v>36</v>
      </c>
      <c r="AA54" s="56" t="s">
        <v>36</v>
      </c>
      <c r="AB54" s="56" t="s">
        <v>36</v>
      </c>
      <c r="AC54" s="56" t="s">
        <v>36</v>
      </c>
      <c r="AD54" s="56" t="s">
        <v>36</v>
      </c>
      <c r="AE54" s="57" t="s">
        <v>36</v>
      </c>
      <c r="AF54" s="57" t="s">
        <v>36</v>
      </c>
      <c r="AG54" s="71">
        <v>0</v>
      </c>
      <c r="AH54" s="71"/>
      <c r="AI54" s="71"/>
      <c r="AJ54" s="71"/>
      <c r="AK54" s="74" t="s">
        <v>52</v>
      </c>
    </row>
    <row r="55" spans="1:37">
      <c r="A55" s="34">
        <v>44598</v>
      </c>
      <c r="B55" s="36">
        <v>1600</v>
      </c>
      <c r="C55" s="36"/>
      <c r="D55" s="37">
        <f>(SUM(粮草!A55:X55)+AG55*10)*IF(AK55="是",$AX$4,$AX$3)</f>
        <v>1680</v>
      </c>
      <c r="E55" s="35">
        <f>SUM($B$4:B55)+SUM($C$4:C55)-SUM($D$4:D55)</f>
        <v>20</v>
      </c>
      <c r="F55" s="37">
        <f>SUM(经验!A55:X55)</f>
        <v>610</v>
      </c>
      <c r="G55" s="37">
        <f>SUM($F$4:F55)+SUM($H$4:H55)</f>
        <v>36540</v>
      </c>
      <c r="H55" s="36">
        <v>0</v>
      </c>
      <c r="I55" s="51" t="s">
        <v>48</v>
      </c>
      <c r="J55" s="51" t="s">
        <v>48</v>
      </c>
      <c r="K55" s="51" t="s">
        <v>48</v>
      </c>
      <c r="L55" s="51" t="s">
        <v>48</v>
      </c>
      <c r="M55" s="51" t="s">
        <v>48</v>
      </c>
      <c r="N55" s="51" t="s">
        <v>48</v>
      </c>
      <c r="O55" s="41" t="s">
        <v>36</v>
      </c>
      <c r="P55" s="41" t="s">
        <v>36</v>
      </c>
      <c r="Q55" s="48" t="s">
        <v>46</v>
      </c>
      <c r="R55" s="48" t="s">
        <v>46</v>
      </c>
      <c r="S55" s="48" t="s">
        <v>46</v>
      </c>
      <c r="T55" s="48" t="s">
        <v>46</v>
      </c>
      <c r="U55" s="48" t="s">
        <v>46</v>
      </c>
      <c r="V55" t="s">
        <v>36</v>
      </c>
      <c r="W55" s="41" t="s">
        <v>36</v>
      </c>
      <c r="X55" s="41" t="s">
        <v>36</v>
      </c>
      <c r="Y55" s="56" t="s">
        <v>36</v>
      </c>
      <c r="Z55" s="56" t="s">
        <v>36</v>
      </c>
      <c r="AA55" s="56" t="s">
        <v>36</v>
      </c>
      <c r="AB55" s="56" t="s">
        <v>36</v>
      </c>
      <c r="AC55" s="56" t="s">
        <v>36</v>
      </c>
      <c r="AD55" s="56" t="s">
        <v>36</v>
      </c>
      <c r="AE55" s="57" t="s">
        <v>36</v>
      </c>
      <c r="AF55" s="57" t="s">
        <v>36</v>
      </c>
      <c r="AG55" s="71">
        <v>0</v>
      </c>
      <c r="AH55" s="71"/>
      <c r="AI55" s="71"/>
      <c r="AJ55" s="71"/>
      <c r="AK55" s="74" t="s">
        <v>52</v>
      </c>
    </row>
    <row r="56" spans="1:37">
      <c r="A56" s="34">
        <v>44599</v>
      </c>
      <c r="B56" s="37">
        <v>1600</v>
      </c>
      <c r="C56" s="37"/>
      <c r="D56" s="37">
        <f>(SUM(粮草!A56:X56)+AG56*10)*IF(AK56="是",$AX$4,$AX$3)</f>
        <v>1512</v>
      </c>
      <c r="E56" s="35">
        <f>SUM($B$4:B56)+SUM($C$4:C56)-SUM($D$4:D56)</f>
        <v>108</v>
      </c>
      <c r="F56" s="37">
        <f>SUM(经验!A56:X56)</f>
        <v>560</v>
      </c>
      <c r="G56" s="37">
        <f>SUM($F$4:F56)+SUM($H$4:H56)</f>
        <v>37400</v>
      </c>
      <c r="H56" s="37">
        <v>300</v>
      </c>
      <c r="I56" s="51" t="s">
        <v>48</v>
      </c>
      <c r="J56" s="51" t="s">
        <v>48</v>
      </c>
      <c r="K56" s="51" t="s">
        <v>48</v>
      </c>
      <c r="L56" s="51" t="s">
        <v>48</v>
      </c>
      <c r="M56" s="51" t="s">
        <v>48</v>
      </c>
      <c r="N56" s="51" t="s">
        <v>48</v>
      </c>
      <c r="O56" s="41" t="s">
        <v>36</v>
      </c>
      <c r="P56" s="41" t="s">
        <v>36</v>
      </c>
      <c r="Q56" s="48" t="s">
        <v>46</v>
      </c>
      <c r="R56" s="48" t="s">
        <v>46</v>
      </c>
      <c r="S56" s="48" t="s">
        <v>46</v>
      </c>
      <c r="T56" s="48" t="s">
        <v>53</v>
      </c>
      <c r="U56" t="s">
        <v>36</v>
      </c>
      <c r="V56" t="s">
        <v>36</v>
      </c>
      <c r="W56" s="41" t="s">
        <v>36</v>
      </c>
      <c r="X56" s="41" t="s">
        <v>36</v>
      </c>
      <c r="Y56" s="56" t="s">
        <v>36</v>
      </c>
      <c r="Z56" s="56" t="s">
        <v>36</v>
      </c>
      <c r="AA56" s="56" t="s">
        <v>36</v>
      </c>
      <c r="AB56" s="56" t="s">
        <v>36</v>
      </c>
      <c r="AC56" s="56" t="s">
        <v>36</v>
      </c>
      <c r="AD56" s="56" t="s">
        <v>36</v>
      </c>
      <c r="AE56" s="57" t="s">
        <v>36</v>
      </c>
      <c r="AF56" s="57" t="s">
        <v>36</v>
      </c>
      <c r="AG56" s="71">
        <v>0</v>
      </c>
      <c r="AH56" s="71"/>
      <c r="AI56" s="71"/>
      <c r="AJ56" s="71"/>
      <c r="AK56" s="74" t="s">
        <v>52</v>
      </c>
    </row>
    <row r="57" spans="1:37">
      <c r="A57" s="34">
        <v>44600</v>
      </c>
      <c r="B57" s="37">
        <v>1600</v>
      </c>
      <c r="C57" s="37"/>
      <c r="D57" s="37">
        <f>(SUM(粮草!A57:X57)+AG57*10)*IF(AK57="是",$AX$4,$AX$3)</f>
        <v>1680</v>
      </c>
      <c r="E57" s="35">
        <f>SUM($B$4:B57)+SUM($C$4:C57)-SUM($D$4:D57)</f>
        <v>28</v>
      </c>
      <c r="F57" s="37">
        <f>SUM(经验!A57:X57)</f>
        <v>610</v>
      </c>
      <c r="G57" s="37">
        <f>SUM($F$4:F57)+SUM($H$4:H57)</f>
        <v>38010</v>
      </c>
      <c r="H57" s="37">
        <v>0</v>
      </c>
      <c r="I57" s="51" t="s">
        <v>48</v>
      </c>
      <c r="J57" s="51" t="s">
        <v>48</v>
      </c>
      <c r="K57" s="51" t="s">
        <v>48</v>
      </c>
      <c r="L57" s="51" t="s">
        <v>48</v>
      </c>
      <c r="M57" s="51" t="s">
        <v>48</v>
      </c>
      <c r="N57" s="51" t="s">
        <v>48</v>
      </c>
      <c r="O57" s="41" t="s">
        <v>36</v>
      </c>
      <c r="P57" s="41" t="s">
        <v>36</v>
      </c>
      <c r="Q57" s="48" t="s">
        <v>46</v>
      </c>
      <c r="R57" s="48" t="s">
        <v>46</v>
      </c>
      <c r="S57" s="48" t="s">
        <v>46</v>
      </c>
      <c r="T57" s="48" t="s">
        <v>46</v>
      </c>
      <c r="U57" s="48" t="s">
        <v>46</v>
      </c>
      <c r="V57" t="s">
        <v>36</v>
      </c>
      <c r="W57" s="41" t="s">
        <v>36</v>
      </c>
      <c r="X57" s="41" t="s">
        <v>36</v>
      </c>
      <c r="Y57" s="56" t="s">
        <v>36</v>
      </c>
      <c r="Z57" s="56" t="s">
        <v>36</v>
      </c>
      <c r="AA57" s="56" t="s">
        <v>36</v>
      </c>
      <c r="AB57" s="56" t="s">
        <v>36</v>
      </c>
      <c r="AC57" s="56" t="s">
        <v>36</v>
      </c>
      <c r="AD57" s="56" t="s">
        <v>36</v>
      </c>
      <c r="AE57" s="57" t="s">
        <v>36</v>
      </c>
      <c r="AF57" s="57" t="s">
        <v>36</v>
      </c>
      <c r="AG57" s="71">
        <v>0</v>
      </c>
      <c r="AH57" s="71"/>
      <c r="AI57" s="71"/>
      <c r="AJ57" s="71"/>
      <c r="AK57" s="74" t="s">
        <v>52</v>
      </c>
    </row>
    <row r="58" spans="1:37">
      <c r="A58" s="34">
        <v>44601</v>
      </c>
      <c r="B58" s="37">
        <v>1600</v>
      </c>
      <c r="C58" s="37"/>
      <c r="D58" s="37">
        <f>(SUM(粮草!A58:X58)+AG58*10)*IF(AK58="是",$AX$4,$AX$3)</f>
        <v>1536</v>
      </c>
      <c r="E58" s="35">
        <f>SUM($B$4:B58)+SUM($C$4:C58)-SUM($D$4:D58)</f>
        <v>92</v>
      </c>
      <c r="F58" s="37">
        <f>SUM(经验!A58:X58)</f>
        <v>560</v>
      </c>
      <c r="G58" s="37">
        <f>SUM($F$4:F58)+SUM($H$4:H58)</f>
        <v>38770</v>
      </c>
      <c r="H58" s="37">
        <v>200</v>
      </c>
      <c r="I58" s="51" t="s">
        <v>48</v>
      </c>
      <c r="J58" s="51" t="s">
        <v>48</v>
      </c>
      <c r="K58" s="51" t="s">
        <v>48</v>
      </c>
      <c r="L58" s="51" t="s">
        <v>48</v>
      </c>
      <c r="M58" s="51" t="s">
        <v>48</v>
      </c>
      <c r="N58" s="51" t="s">
        <v>48</v>
      </c>
      <c r="O58" s="41" t="s">
        <v>36</v>
      </c>
      <c r="P58" s="41" t="s">
        <v>36</v>
      </c>
      <c r="Q58" s="48" t="s">
        <v>46</v>
      </c>
      <c r="R58" s="48" t="s">
        <v>46</v>
      </c>
      <c r="S58" s="48" t="s">
        <v>46</v>
      </c>
      <c r="T58" s="48" t="s">
        <v>46</v>
      </c>
      <c r="U58" t="s">
        <v>36</v>
      </c>
      <c r="V58" t="s">
        <v>36</v>
      </c>
      <c r="W58" s="41" t="s">
        <v>36</v>
      </c>
      <c r="X58" s="41" t="s">
        <v>36</v>
      </c>
      <c r="Y58" s="56" t="s">
        <v>36</v>
      </c>
      <c r="Z58" s="56" t="s">
        <v>36</v>
      </c>
      <c r="AA58" s="56" t="s">
        <v>36</v>
      </c>
      <c r="AB58" s="56" t="s">
        <v>36</v>
      </c>
      <c r="AC58" s="56" t="s">
        <v>36</v>
      </c>
      <c r="AD58" s="56" t="s">
        <v>36</v>
      </c>
      <c r="AE58" s="57" t="s">
        <v>36</v>
      </c>
      <c r="AF58" s="57" t="s">
        <v>36</v>
      </c>
      <c r="AG58" s="71">
        <v>0</v>
      </c>
      <c r="AH58" s="71"/>
      <c r="AI58" s="71"/>
      <c r="AJ58" s="71"/>
      <c r="AK58" s="74" t="s">
        <v>52</v>
      </c>
    </row>
    <row r="59" spans="1:37">
      <c r="A59" s="34">
        <v>44602</v>
      </c>
      <c r="B59" s="37">
        <v>1600</v>
      </c>
      <c r="C59" s="37"/>
      <c r="D59" s="37">
        <f>(SUM(粮草!A59:X59)+AG59*10)*IF(AK59="是",$AX$4,$AX$3)</f>
        <v>1560</v>
      </c>
      <c r="E59" s="35">
        <f>SUM($B$4:B59)+SUM($C$4:C59)-SUM($D$4:D59)</f>
        <v>132</v>
      </c>
      <c r="F59" s="37">
        <f>SUM(经验!A59:X59)</f>
        <v>700</v>
      </c>
      <c r="G59" s="37">
        <f>SUM($F$4:F59)+SUM($H$4:H59)</f>
        <v>39470</v>
      </c>
      <c r="H59" s="37">
        <v>0</v>
      </c>
      <c r="I59" s="51" t="s">
        <v>48</v>
      </c>
      <c r="J59" s="51" t="s">
        <v>48</v>
      </c>
      <c r="K59" s="51" t="s">
        <v>48</v>
      </c>
      <c r="L59" s="51" t="s">
        <v>48</v>
      </c>
      <c r="M59" s="42" t="s">
        <v>57</v>
      </c>
      <c r="N59" s="51" t="s">
        <v>48</v>
      </c>
      <c r="O59" s="51" t="s">
        <v>48</v>
      </c>
      <c r="P59" s="51" t="s">
        <v>48</v>
      </c>
      <c r="Q59" s="48" t="s">
        <v>46</v>
      </c>
      <c r="R59" s="48" t="s">
        <v>46</v>
      </c>
      <c r="S59" s="47" t="s">
        <v>42</v>
      </c>
      <c r="T59" s="48" t="s">
        <v>46</v>
      </c>
      <c r="U59" s="48" t="s">
        <v>46</v>
      </c>
      <c r="V59" s="42" t="s">
        <v>57</v>
      </c>
      <c r="W59" s="48" t="s">
        <v>46</v>
      </c>
      <c r="X59" s="41" t="s">
        <v>36</v>
      </c>
      <c r="Y59" s="56" t="s">
        <v>36</v>
      </c>
      <c r="Z59" s="56" t="s">
        <v>36</v>
      </c>
      <c r="AA59" s="56" t="s">
        <v>36</v>
      </c>
      <c r="AB59" s="56" t="s">
        <v>36</v>
      </c>
      <c r="AC59" s="56" t="s">
        <v>36</v>
      </c>
      <c r="AD59" s="56" t="s">
        <v>36</v>
      </c>
      <c r="AE59" s="57" t="s">
        <v>36</v>
      </c>
      <c r="AF59" s="57" t="s">
        <v>36</v>
      </c>
      <c r="AG59" s="71">
        <v>0</v>
      </c>
      <c r="AH59" s="71"/>
      <c r="AI59" s="71"/>
      <c r="AJ59" s="71"/>
      <c r="AK59" s="74" t="s">
        <v>52</v>
      </c>
    </row>
    <row r="60" spans="1:37">
      <c r="A60" s="34">
        <v>44603</v>
      </c>
      <c r="B60" s="37">
        <v>1600</v>
      </c>
      <c r="C60" s="37"/>
      <c r="D60" s="37">
        <f>(SUM(粮草!A60:X60)+AG60*10)*IF(AK60="是",$AX$4,$AX$3)</f>
        <v>1720</v>
      </c>
      <c r="E60" s="35">
        <f>SUM($B$4:B60)+SUM($C$4:C60)-SUM($D$4:D60)</f>
        <v>12</v>
      </c>
      <c r="F60" s="37">
        <f>SUM(经验!A60:X60)</f>
        <v>1565</v>
      </c>
      <c r="G60" s="37">
        <f>SUM($F$4:F60)+SUM($H$4:H60)</f>
        <v>41035</v>
      </c>
      <c r="H60" s="37">
        <v>0</v>
      </c>
      <c r="I60" s="52" t="s">
        <v>59</v>
      </c>
      <c r="J60" s="51" t="s">
        <v>48</v>
      </c>
      <c r="K60" s="51" t="s">
        <v>48</v>
      </c>
      <c r="L60" s="51" t="s">
        <v>48</v>
      </c>
      <c r="M60" s="51" t="s">
        <v>48</v>
      </c>
      <c r="N60" s="51" t="s">
        <v>48</v>
      </c>
      <c r="O60" s="41" t="s">
        <v>36</v>
      </c>
      <c r="P60" s="41" t="s">
        <v>36</v>
      </c>
      <c r="Q60" s="48" t="s">
        <v>46</v>
      </c>
      <c r="R60" s="48" t="s">
        <v>46</v>
      </c>
      <c r="S60" s="45" t="s">
        <v>43</v>
      </c>
      <c r="T60" s="47" t="s">
        <v>42</v>
      </c>
      <c r="U60" s="45" t="s">
        <v>43</v>
      </c>
      <c r="V60" s="49" t="s">
        <v>51</v>
      </c>
      <c r="W60" s="41" t="s">
        <v>36</v>
      </c>
      <c r="X60" s="41" t="s">
        <v>36</v>
      </c>
      <c r="Y60" s="56" t="s">
        <v>36</v>
      </c>
      <c r="Z60" s="56" t="s">
        <v>36</v>
      </c>
      <c r="AA60" s="56" t="s">
        <v>36</v>
      </c>
      <c r="AB60" s="56" t="s">
        <v>36</v>
      </c>
      <c r="AC60" s="56" t="s">
        <v>36</v>
      </c>
      <c r="AD60" s="56" t="s">
        <v>36</v>
      </c>
      <c r="AE60" s="57" t="s">
        <v>36</v>
      </c>
      <c r="AF60" s="57" t="s">
        <v>36</v>
      </c>
      <c r="AG60" s="71">
        <v>0</v>
      </c>
      <c r="AH60" s="71"/>
      <c r="AI60" s="71"/>
      <c r="AJ60" s="71"/>
      <c r="AK60" s="74" t="s">
        <v>52</v>
      </c>
    </row>
    <row r="61" spans="1:37">
      <c r="A61" s="34">
        <v>44604</v>
      </c>
      <c r="B61" s="37">
        <v>1600</v>
      </c>
      <c r="C61" s="37"/>
      <c r="D61" s="37">
        <f>(SUM(粮草!A61:X61)+AG61*10)*IF(AK61="是",$AX$4,$AX$3)</f>
        <v>1536</v>
      </c>
      <c r="E61" s="35">
        <f>SUM($B$4:B61)+SUM($C$4:C61)-SUM($D$4:D61)</f>
        <v>76</v>
      </c>
      <c r="F61" s="37">
        <f>SUM(经验!A61:X61)</f>
        <v>560</v>
      </c>
      <c r="G61" s="37">
        <f>SUM($F$4:F61)+SUM($H$4:H61)</f>
        <v>41595</v>
      </c>
      <c r="H61" s="37">
        <v>0</v>
      </c>
      <c r="I61" s="51" t="s">
        <v>48</v>
      </c>
      <c r="J61" s="51" t="s">
        <v>48</v>
      </c>
      <c r="K61" s="51" t="s">
        <v>48</v>
      </c>
      <c r="L61" s="51" t="s">
        <v>48</v>
      </c>
      <c r="M61" s="51" t="s">
        <v>48</v>
      </c>
      <c r="N61" s="51" t="s">
        <v>48</v>
      </c>
      <c r="O61" s="41" t="s">
        <v>36</v>
      </c>
      <c r="P61" s="41" t="s">
        <v>36</v>
      </c>
      <c r="Q61" s="48" t="s">
        <v>46</v>
      </c>
      <c r="R61" s="48" t="s">
        <v>46</v>
      </c>
      <c r="S61" s="48" t="s">
        <v>46</v>
      </c>
      <c r="T61" s="48" t="s">
        <v>46</v>
      </c>
      <c r="U61" t="s">
        <v>36</v>
      </c>
      <c r="V61" t="s">
        <v>36</v>
      </c>
      <c r="W61" s="41" t="s">
        <v>36</v>
      </c>
      <c r="X61" s="41" t="s">
        <v>36</v>
      </c>
      <c r="Y61" s="56" t="s">
        <v>36</v>
      </c>
      <c r="Z61" s="56" t="s">
        <v>36</v>
      </c>
      <c r="AA61" s="56" t="s">
        <v>36</v>
      </c>
      <c r="AB61" s="56" t="s">
        <v>36</v>
      </c>
      <c r="AC61" s="56" t="s">
        <v>36</v>
      </c>
      <c r="AD61" s="56" t="s">
        <v>36</v>
      </c>
      <c r="AE61" s="57" t="s">
        <v>36</v>
      </c>
      <c r="AF61" s="57" t="s">
        <v>36</v>
      </c>
      <c r="AG61" s="71">
        <v>0</v>
      </c>
      <c r="AH61" s="71"/>
      <c r="AI61" s="71"/>
      <c r="AJ61" s="71"/>
      <c r="AK61" s="74" t="s">
        <v>52</v>
      </c>
    </row>
    <row r="62" spans="1:37">
      <c r="A62" s="34">
        <v>44605</v>
      </c>
      <c r="B62" s="37">
        <v>1600</v>
      </c>
      <c r="C62" s="37"/>
      <c r="D62" s="37">
        <f>(SUM(粮草!A62:X62)+AG62*10)*IF(AK62="是",$AX$4,$AX$3)</f>
        <v>1672</v>
      </c>
      <c r="E62" s="35">
        <f>SUM($B$4:B62)+SUM($C$4:C62)-SUM($D$4:D62)</f>
        <v>4</v>
      </c>
      <c r="F62" s="37">
        <f>SUM(经验!A62:X62)</f>
        <v>605</v>
      </c>
      <c r="G62" s="37">
        <f>SUM($F$4:F62)+SUM($H$4:H62)</f>
        <v>42200</v>
      </c>
      <c r="H62" s="37">
        <v>0</v>
      </c>
      <c r="I62" s="51" t="s">
        <v>48</v>
      </c>
      <c r="J62" s="51" t="s">
        <v>48</v>
      </c>
      <c r="K62" s="51" t="s">
        <v>48</v>
      </c>
      <c r="L62" s="51" t="s">
        <v>48</v>
      </c>
      <c r="M62" s="51" t="s">
        <v>48</v>
      </c>
      <c r="N62" s="50" t="s">
        <v>47</v>
      </c>
      <c r="O62" s="41" t="s">
        <v>36</v>
      </c>
      <c r="P62" s="41" t="s">
        <v>36</v>
      </c>
      <c r="Q62" s="48" t="s">
        <v>46</v>
      </c>
      <c r="R62" s="48" t="s">
        <v>46</v>
      </c>
      <c r="S62" s="48" t="s">
        <v>46</v>
      </c>
      <c r="T62" s="48" t="s">
        <v>46</v>
      </c>
      <c r="U62" s="48" t="s">
        <v>46</v>
      </c>
      <c r="V62" t="s">
        <v>36</v>
      </c>
      <c r="W62" s="41" t="s">
        <v>36</v>
      </c>
      <c r="X62" s="41" t="s">
        <v>36</v>
      </c>
      <c r="Y62" s="56" t="s">
        <v>36</v>
      </c>
      <c r="Z62" s="56" t="s">
        <v>36</v>
      </c>
      <c r="AA62" s="56" t="s">
        <v>36</v>
      </c>
      <c r="AB62" s="56" t="s">
        <v>36</v>
      </c>
      <c r="AC62" s="56" t="s">
        <v>36</v>
      </c>
      <c r="AD62" s="56" t="s">
        <v>36</v>
      </c>
      <c r="AE62" s="57" t="s">
        <v>36</v>
      </c>
      <c r="AF62" s="57" t="s">
        <v>36</v>
      </c>
      <c r="AG62" s="71">
        <v>0</v>
      </c>
      <c r="AH62" s="71"/>
      <c r="AI62" s="71"/>
      <c r="AJ62" s="71"/>
      <c r="AK62" s="74" t="s">
        <v>52</v>
      </c>
    </row>
    <row r="63" spans="1:37">
      <c r="A63" s="34">
        <v>44606</v>
      </c>
      <c r="B63" s="36">
        <v>1600</v>
      </c>
      <c r="C63" s="36"/>
      <c r="D63" s="37">
        <f>(SUM(粮草!A63:X63)+AG63*10)*IF(AK63="是",$AX$4,$AX$3)</f>
        <v>1536</v>
      </c>
      <c r="E63" s="35">
        <f>SUM($B$4:B63)+SUM($C$4:C63)-SUM($D$4:D63)</f>
        <v>68</v>
      </c>
      <c r="F63" s="37">
        <f>SUM(经验!A63:X63)</f>
        <v>560</v>
      </c>
      <c r="G63" s="37">
        <f>SUM($F$4:F63)+SUM($H$4:H63)</f>
        <v>43060</v>
      </c>
      <c r="H63" s="36">
        <v>300</v>
      </c>
      <c r="I63" s="51" t="s">
        <v>48</v>
      </c>
      <c r="J63" s="51" t="s">
        <v>48</v>
      </c>
      <c r="K63" s="51" t="s">
        <v>48</v>
      </c>
      <c r="L63" s="51" t="s">
        <v>48</v>
      </c>
      <c r="M63" s="51" t="s">
        <v>48</v>
      </c>
      <c r="N63" s="51" t="s">
        <v>48</v>
      </c>
      <c r="O63" s="41" t="s">
        <v>36</v>
      </c>
      <c r="P63" s="41" t="s">
        <v>36</v>
      </c>
      <c r="Q63" s="48" t="s">
        <v>46</v>
      </c>
      <c r="R63" s="48" t="s">
        <v>46</v>
      </c>
      <c r="S63" s="48" t="s">
        <v>46</v>
      </c>
      <c r="T63" s="48" t="s">
        <v>46</v>
      </c>
      <c r="U63" t="s">
        <v>36</v>
      </c>
      <c r="V63" t="s">
        <v>36</v>
      </c>
      <c r="W63" s="41" t="s">
        <v>36</v>
      </c>
      <c r="X63" s="41" t="s">
        <v>36</v>
      </c>
      <c r="Y63" s="56" t="s">
        <v>36</v>
      </c>
      <c r="Z63" s="56" t="s">
        <v>36</v>
      </c>
      <c r="AA63" s="56" t="s">
        <v>36</v>
      </c>
      <c r="AB63" s="56" t="s">
        <v>36</v>
      </c>
      <c r="AC63" s="56" t="s">
        <v>36</v>
      </c>
      <c r="AD63" s="56" t="s">
        <v>36</v>
      </c>
      <c r="AE63" s="57" t="s">
        <v>36</v>
      </c>
      <c r="AF63" s="57" t="s">
        <v>36</v>
      </c>
      <c r="AG63" s="71">
        <v>0</v>
      </c>
      <c r="AH63" s="71"/>
      <c r="AI63" s="71"/>
      <c r="AJ63" s="71"/>
      <c r="AK63" s="74" t="s">
        <v>52</v>
      </c>
    </row>
    <row r="64" spans="1:37">
      <c r="A64" s="34">
        <v>44607</v>
      </c>
      <c r="B64" s="36">
        <v>1600</v>
      </c>
      <c r="C64" s="36"/>
      <c r="D64" s="37">
        <f>(SUM(粮草!A64:X64)+AG64*10)*IF(AK64="是",$AX$4,$AX$3)</f>
        <v>1528</v>
      </c>
      <c r="E64" s="35">
        <f>SUM($B$4:B64)+SUM($C$4:C64)-SUM($D$4:D64)</f>
        <v>140</v>
      </c>
      <c r="F64" s="37">
        <f>SUM(经验!A64:X64)</f>
        <v>555</v>
      </c>
      <c r="G64" s="37">
        <f>SUM($F$4:F64)+SUM($H$4:H64)</f>
        <v>43615</v>
      </c>
      <c r="H64" s="36">
        <v>0</v>
      </c>
      <c r="I64" s="51" t="s">
        <v>48</v>
      </c>
      <c r="J64" s="51" t="s">
        <v>48</v>
      </c>
      <c r="K64" s="51" t="s">
        <v>48</v>
      </c>
      <c r="L64" s="51" t="s">
        <v>48</v>
      </c>
      <c r="M64" s="51" t="s">
        <v>48</v>
      </c>
      <c r="N64" s="50" t="s">
        <v>47</v>
      </c>
      <c r="O64" s="41" t="s">
        <v>36</v>
      </c>
      <c r="P64" s="41" t="s">
        <v>36</v>
      </c>
      <c r="Q64" s="48" t="s">
        <v>46</v>
      </c>
      <c r="R64" s="48" t="s">
        <v>46</v>
      </c>
      <c r="S64" s="48" t="s">
        <v>46</v>
      </c>
      <c r="T64" s="48" t="s">
        <v>46</v>
      </c>
      <c r="U64" t="s">
        <v>36</v>
      </c>
      <c r="V64" t="s">
        <v>36</v>
      </c>
      <c r="W64" s="41" t="s">
        <v>36</v>
      </c>
      <c r="X64" s="41" t="s">
        <v>36</v>
      </c>
      <c r="Y64" s="56" t="s">
        <v>36</v>
      </c>
      <c r="Z64" s="56" t="s">
        <v>36</v>
      </c>
      <c r="AA64" s="56" t="s">
        <v>36</v>
      </c>
      <c r="AB64" s="56" t="s">
        <v>36</v>
      </c>
      <c r="AC64" s="56" t="s">
        <v>36</v>
      </c>
      <c r="AD64" s="56" t="s">
        <v>36</v>
      </c>
      <c r="AE64" s="57" t="s">
        <v>36</v>
      </c>
      <c r="AF64" s="57" t="s">
        <v>36</v>
      </c>
      <c r="AG64" s="71">
        <v>0</v>
      </c>
      <c r="AH64" s="71"/>
      <c r="AI64" s="71"/>
      <c r="AJ64" s="71"/>
      <c r="AK64" s="74" t="s">
        <v>52</v>
      </c>
    </row>
    <row r="65" spans="1:37">
      <c r="A65" s="34">
        <v>44608</v>
      </c>
      <c r="B65" s="36">
        <v>1600</v>
      </c>
      <c r="C65" s="36"/>
      <c r="D65" s="37">
        <f>(SUM(粮草!A65:X65)+AG65*10)*IF(AK65="是",$AX$4,$AX$3)</f>
        <v>1640</v>
      </c>
      <c r="E65" s="35">
        <f>SUM($B$4:B65)+SUM($C$4:C65)-SUM($D$4:D65)</f>
        <v>100</v>
      </c>
      <c r="F65" s="37">
        <f>SUM(经验!A65:X65)</f>
        <v>585</v>
      </c>
      <c r="G65" s="37">
        <f>SUM($F$4:F65)+SUM($H$4:H65)</f>
        <v>44400</v>
      </c>
      <c r="H65" s="36">
        <v>200</v>
      </c>
      <c r="I65" s="51" t="s">
        <v>48</v>
      </c>
      <c r="J65" s="50" t="s">
        <v>47</v>
      </c>
      <c r="K65" s="51" t="s">
        <v>48</v>
      </c>
      <c r="L65" s="50" t="s">
        <v>47</v>
      </c>
      <c r="M65" s="50" t="s">
        <v>47</v>
      </c>
      <c r="N65" s="50" t="s">
        <v>47</v>
      </c>
      <c r="O65" s="41" t="s">
        <v>36</v>
      </c>
      <c r="P65" s="41" t="s">
        <v>36</v>
      </c>
      <c r="Q65" s="48" t="s">
        <v>46</v>
      </c>
      <c r="R65" s="48" t="s">
        <v>46</v>
      </c>
      <c r="S65" s="48" t="s">
        <v>46</v>
      </c>
      <c r="T65" s="48" t="s">
        <v>46</v>
      </c>
      <c r="U65" s="45" t="s">
        <v>43</v>
      </c>
      <c r="V65" t="s">
        <v>36</v>
      </c>
      <c r="W65" s="41" t="s">
        <v>36</v>
      </c>
      <c r="X65" s="41" t="s">
        <v>36</v>
      </c>
      <c r="Y65" s="56" t="s">
        <v>36</v>
      </c>
      <c r="Z65" s="56" t="s">
        <v>36</v>
      </c>
      <c r="AA65" s="56" t="s">
        <v>36</v>
      </c>
      <c r="AB65" s="56" t="s">
        <v>36</v>
      </c>
      <c r="AC65" s="56" t="s">
        <v>36</v>
      </c>
      <c r="AD65" s="56" t="s">
        <v>36</v>
      </c>
      <c r="AE65" s="57" t="s">
        <v>36</v>
      </c>
      <c r="AF65" s="57" t="s">
        <v>36</v>
      </c>
      <c r="AG65" s="71">
        <v>0</v>
      </c>
      <c r="AH65" s="71"/>
      <c r="AI65" s="71"/>
      <c r="AJ65" s="71"/>
      <c r="AK65" s="74" t="s">
        <v>52</v>
      </c>
    </row>
    <row r="66" spans="1:37">
      <c r="A66" s="34">
        <v>44609</v>
      </c>
      <c r="B66" s="36">
        <v>1600</v>
      </c>
      <c r="C66" s="36"/>
      <c r="D66" s="37">
        <f>(SUM(粮草!A66:X66)+AG66*10)*IF(AK66="是",$AX$4,$AX$3)</f>
        <v>1584</v>
      </c>
      <c r="E66" s="35">
        <f>SUM($B$4:B66)+SUM($C$4:C66)-SUM($D$4:D66)</f>
        <v>116</v>
      </c>
      <c r="F66" s="37">
        <f>SUM(经验!A66:X66)</f>
        <v>610</v>
      </c>
      <c r="G66" s="37">
        <f>SUM($F$4:F66)+SUM($H$4:H66)</f>
        <v>45010</v>
      </c>
      <c r="H66" s="36">
        <v>0</v>
      </c>
      <c r="I66" s="50" t="s">
        <v>47</v>
      </c>
      <c r="J66" s="42" t="s">
        <v>57</v>
      </c>
      <c r="K66" s="50" t="s">
        <v>47</v>
      </c>
      <c r="L66" s="50" t="s">
        <v>47</v>
      </c>
      <c r="M66" s="50" t="s">
        <v>47</v>
      </c>
      <c r="N66" s="50" t="s">
        <v>47</v>
      </c>
      <c r="O66" s="50" t="s">
        <v>47</v>
      </c>
      <c r="P66" s="50" t="s">
        <v>47</v>
      </c>
      <c r="Q66" s="45" t="s">
        <v>43</v>
      </c>
      <c r="R66" s="45" t="s">
        <v>43</v>
      </c>
      <c r="S66" s="45" t="s">
        <v>43</v>
      </c>
      <c r="T66" s="45" t="s">
        <v>43</v>
      </c>
      <c r="U66" s="45" t="s">
        <v>43</v>
      </c>
      <c r="V66" t="s">
        <v>36</v>
      </c>
      <c r="W66" s="41" t="s">
        <v>36</v>
      </c>
      <c r="X66" s="41" t="s">
        <v>36</v>
      </c>
      <c r="Y66" s="56" t="s">
        <v>36</v>
      </c>
      <c r="Z66" s="56" t="s">
        <v>36</v>
      </c>
      <c r="AA66" s="56" t="s">
        <v>36</v>
      </c>
      <c r="AB66" s="56" t="s">
        <v>36</v>
      </c>
      <c r="AC66" s="56" t="s">
        <v>36</v>
      </c>
      <c r="AD66" s="56" t="s">
        <v>36</v>
      </c>
      <c r="AE66" s="57" t="s">
        <v>36</v>
      </c>
      <c r="AF66" s="57" t="s">
        <v>36</v>
      </c>
      <c r="AG66" s="71">
        <v>0</v>
      </c>
      <c r="AH66" s="71"/>
      <c r="AI66" s="71"/>
      <c r="AJ66" s="71"/>
      <c r="AK66" s="74" t="s">
        <v>52</v>
      </c>
    </row>
    <row r="67" spans="1:37">
      <c r="A67" s="34">
        <v>44610</v>
      </c>
      <c r="B67" s="36">
        <v>1600</v>
      </c>
      <c r="C67" s="36"/>
      <c r="D67" s="37">
        <f>(SUM(粮草!A67:X67)+AG67*10)*IF(AK67="是",$AX$4,$AX$3)</f>
        <v>1600</v>
      </c>
      <c r="E67" s="35">
        <f>SUM($B$4:B67)+SUM($C$4:C67)-SUM($D$4:D67)</f>
        <v>116</v>
      </c>
      <c r="F67" s="37">
        <f>SUM(经验!A67:X67)</f>
        <v>560</v>
      </c>
      <c r="G67" s="37">
        <f>SUM($F$4:F67)+SUM($H$4:H67)</f>
        <v>45570</v>
      </c>
      <c r="H67" s="36">
        <v>0</v>
      </c>
      <c r="I67" s="51" t="s">
        <v>48</v>
      </c>
      <c r="J67" s="50" t="s">
        <v>47</v>
      </c>
      <c r="K67" s="50" t="s">
        <v>47</v>
      </c>
      <c r="L67" s="50" t="s">
        <v>47</v>
      </c>
      <c r="M67" s="50" t="s">
        <v>47</v>
      </c>
      <c r="N67" s="50" t="s">
        <v>47</v>
      </c>
      <c r="O67" s="41" t="s">
        <v>36</v>
      </c>
      <c r="P67" s="41" t="s">
        <v>36</v>
      </c>
      <c r="Q67" s="45" t="s">
        <v>43</v>
      </c>
      <c r="R67" s="45" t="s">
        <v>43</v>
      </c>
      <c r="S67" s="45" t="s">
        <v>43</v>
      </c>
      <c r="T67" s="45" t="s">
        <v>43</v>
      </c>
      <c r="U67" s="45" t="s">
        <v>43</v>
      </c>
      <c r="V67" t="s">
        <v>36</v>
      </c>
      <c r="W67" s="41" t="s">
        <v>36</v>
      </c>
      <c r="X67" s="41" t="s">
        <v>36</v>
      </c>
      <c r="Y67" s="56" t="s">
        <v>36</v>
      </c>
      <c r="Z67" s="56" t="s">
        <v>36</v>
      </c>
      <c r="AA67" s="56" t="s">
        <v>36</v>
      </c>
      <c r="AB67" s="56" t="s">
        <v>36</v>
      </c>
      <c r="AC67" s="56" t="s">
        <v>36</v>
      </c>
      <c r="AD67" s="56" t="s">
        <v>36</v>
      </c>
      <c r="AE67" s="57" t="s">
        <v>36</v>
      </c>
      <c r="AF67" s="57" t="s">
        <v>36</v>
      </c>
      <c r="AG67" s="71">
        <v>0</v>
      </c>
      <c r="AH67" s="71"/>
      <c r="AI67" s="71"/>
      <c r="AJ67" s="71"/>
      <c r="AK67" s="74" t="s">
        <v>52</v>
      </c>
    </row>
    <row r="68" spans="1:37">
      <c r="A68" s="34">
        <v>44611</v>
      </c>
      <c r="B68" s="36">
        <v>1600</v>
      </c>
      <c r="C68" s="36"/>
      <c r="D68" s="37">
        <f>(SUM(粮草!A68:X68)+AG68*10)*IF(AK68="是",$AX$4,$AX$3)</f>
        <v>1592</v>
      </c>
      <c r="E68" s="35">
        <f>SUM($B$4:B68)+SUM($C$4:C68)-SUM($D$4:D68)</f>
        <v>124</v>
      </c>
      <c r="F68" s="37">
        <f>SUM(经验!A68:X68)</f>
        <v>555</v>
      </c>
      <c r="G68" s="37">
        <f>SUM($F$4:F68)+SUM($H$4:H68)</f>
        <v>46125</v>
      </c>
      <c r="H68" s="36">
        <v>0</v>
      </c>
      <c r="I68" s="50" t="s">
        <v>47</v>
      </c>
      <c r="J68" s="50" t="s">
        <v>47</v>
      </c>
      <c r="K68" s="50" t="s">
        <v>47</v>
      </c>
      <c r="L68" s="50" t="s">
        <v>47</v>
      </c>
      <c r="M68" s="50" t="s">
        <v>47</v>
      </c>
      <c r="N68" s="50" t="s">
        <v>47</v>
      </c>
      <c r="O68" s="41" t="s">
        <v>36</v>
      </c>
      <c r="P68" s="41" t="s">
        <v>36</v>
      </c>
      <c r="Q68" s="45" t="s">
        <v>43</v>
      </c>
      <c r="R68" s="45" t="s">
        <v>43</v>
      </c>
      <c r="S68" s="45" t="s">
        <v>43</v>
      </c>
      <c r="T68" s="45" t="s">
        <v>43</v>
      </c>
      <c r="U68" s="45" t="s">
        <v>43</v>
      </c>
      <c r="V68" t="s">
        <v>36</v>
      </c>
      <c r="W68" s="41" t="s">
        <v>36</v>
      </c>
      <c r="X68" s="41" t="s">
        <v>36</v>
      </c>
      <c r="Y68" s="56" t="s">
        <v>36</v>
      </c>
      <c r="Z68" s="56" t="s">
        <v>36</v>
      </c>
      <c r="AA68" s="56" t="s">
        <v>36</v>
      </c>
      <c r="AB68" s="56" t="s">
        <v>36</v>
      </c>
      <c r="AC68" s="56" t="s">
        <v>36</v>
      </c>
      <c r="AD68" s="56" t="s">
        <v>36</v>
      </c>
      <c r="AE68" s="57" t="s">
        <v>36</v>
      </c>
      <c r="AF68" s="57" t="s">
        <v>36</v>
      </c>
      <c r="AG68" s="71">
        <v>0</v>
      </c>
      <c r="AH68" s="71"/>
      <c r="AI68" s="71"/>
      <c r="AJ68" s="71"/>
      <c r="AK68" s="74" t="s">
        <v>52</v>
      </c>
    </row>
    <row r="69" spans="1:37">
      <c r="A69" s="34">
        <v>44612</v>
      </c>
      <c r="B69" s="36">
        <v>1600</v>
      </c>
      <c r="C69" s="36"/>
      <c r="D69" s="37">
        <f>(SUM(粮草!A69:X69)+AG69*10)*IF(AK69="是",$AX$4,$AX$3)</f>
        <v>1592</v>
      </c>
      <c r="E69" s="35">
        <f>SUM($B$4:B69)+SUM($C$4:C69)-SUM($D$4:D69)</f>
        <v>132</v>
      </c>
      <c r="F69" s="37">
        <f>SUM(经验!A69:X69)</f>
        <v>555</v>
      </c>
      <c r="G69" s="37">
        <f>SUM($F$4:F69)+SUM($H$4:H69)</f>
        <v>46680</v>
      </c>
      <c r="H69" s="36">
        <v>0</v>
      </c>
      <c r="I69" s="50" t="s">
        <v>47</v>
      </c>
      <c r="J69" s="50" t="s">
        <v>47</v>
      </c>
      <c r="K69" s="50" t="s">
        <v>47</v>
      </c>
      <c r="L69" s="50" t="s">
        <v>47</v>
      </c>
      <c r="M69" s="50" t="s">
        <v>47</v>
      </c>
      <c r="N69" s="50" t="s">
        <v>47</v>
      </c>
      <c r="O69" s="41" t="s">
        <v>36</v>
      </c>
      <c r="P69" s="41" t="s">
        <v>36</v>
      </c>
      <c r="Q69" s="45" t="s">
        <v>43</v>
      </c>
      <c r="R69" s="45" t="s">
        <v>43</v>
      </c>
      <c r="S69" s="45" t="s">
        <v>43</v>
      </c>
      <c r="T69" s="45" t="s">
        <v>43</v>
      </c>
      <c r="U69" s="45" t="s">
        <v>43</v>
      </c>
      <c r="V69" t="s">
        <v>36</v>
      </c>
      <c r="W69" s="41" t="s">
        <v>36</v>
      </c>
      <c r="X69" s="41" t="s">
        <v>36</v>
      </c>
      <c r="Y69" s="56" t="s">
        <v>36</v>
      </c>
      <c r="Z69" s="56" t="s">
        <v>36</v>
      </c>
      <c r="AA69" s="56" t="s">
        <v>36</v>
      </c>
      <c r="AB69" s="56" t="s">
        <v>36</v>
      </c>
      <c r="AC69" s="56" t="s">
        <v>36</v>
      </c>
      <c r="AD69" s="56" t="s">
        <v>36</v>
      </c>
      <c r="AE69" s="57" t="s">
        <v>36</v>
      </c>
      <c r="AF69" s="57" t="s">
        <v>36</v>
      </c>
      <c r="AG69" s="71">
        <v>0</v>
      </c>
      <c r="AH69" s="71"/>
      <c r="AI69" s="71"/>
      <c r="AJ69" s="71"/>
      <c r="AK69" s="74" t="s">
        <v>52</v>
      </c>
    </row>
    <row r="70" spans="1:37">
      <c r="A70" s="34">
        <v>44613</v>
      </c>
      <c r="B70" s="37">
        <v>1600</v>
      </c>
      <c r="C70" s="37"/>
      <c r="D70" s="37">
        <f>(SUM(粮草!A70:X70)+AG70*10)*IF(AK70="是",$AX$4,$AX$3)</f>
        <v>1696</v>
      </c>
      <c r="E70" s="35">
        <f>SUM($B$4:B70)+SUM($C$4:C70)-SUM($D$4:D70)</f>
        <v>36</v>
      </c>
      <c r="F70" s="37">
        <f>SUM(经验!A70:X70)</f>
        <v>600</v>
      </c>
      <c r="G70" s="37">
        <f>SUM($F$4:F70)+SUM($H$4:H70)</f>
        <v>47580</v>
      </c>
      <c r="H70" s="37">
        <v>300</v>
      </c>
      <c r="I70" s="50" t="s">
        <v>47</v>
      </c>
      <c r="J70" s="50" t="s">
        <v>54</v>
      </c>
      <c r="K70" s="50" t="s">
        <v>47</v>
      </c>
      <c r="L70" s="50" t="s">
        <v>47</v>
      </c>
      <c r="M70" s="50" t="s">
        <v>47</v>
      </c>
      <c r="N70" s="50" t="s">
        <v>47</v>
      </c>
      <c r="O70" s="41" t="s">
        <v>36</v>
      </c>
      <c r="P70" s="41" t="s">
        <v>36</v>
      </c>
      <c r="Q70" s="45" t="s">
        <v>43</v>
      </c>
      <c r="R70" s="45" t="s">
        <v>43</v>
      </c>
      <c r="S70" s="45" t="s">
        <v>43</v>
      </c>
      <c r="T70" s="45" t="s">
        <v>43</v>
      </c>
      <c r="U70" s="45" t="s">
        <v>43</v>
      </c>
      <c r="V70" s="45" t="s">
        <v>43</v>
      </c>
      <c r="W70" s="41" t="s">
        <v>36</v>
      </c>
      <c r="X70" s="41" t="s">
        <v>36</v>
      </c>
      <c r="Y70" s="56" t="s">
        <v>36</v>
      </c>
      <c r="Z70" s="56" t="s">
        <v>36</v>
      </c>
      <c r="AA70" s="56" t="s">
        <v>36</v>
      </c>
      <c r="AB70" s="56" t="s">
        <v>36</v>
      </c>
      <c r="AC70" s="56" t="s">
        <v>36</v>
      </c>
      <c r="AD70" s="56" t="s">
        <v>36</v>
      </c>
      <c r="AE70" s="57" t="s">
        <v>36</v>
      </c>
      <c r="AF70" s="57" t="s">
        <v>36</v>
      </c>
      <c r="AG70" s="71">
        <v>0</v>
      </c>
      <c r="AH70" s="71"/>
      <c r="AI70" s="71"/>
      <c r="AJ70" s="71"/>
      <c r="AK70" s="74" t="s">
        <v>52</v>
      </c>
    </row>
    <row r="71" spans="1:37">
      <c r="A71" s="34">
        <v>44614</v>
      </c>
      <c r="B71" s="37">
        <v>1600</v>
      </c>
      <c r="C71" s="37"/>
      <c r="D71" s="37">
        <f>(SUM(粮草!A71:X71)+AG71*10)*IF(AK71="是",$AX$4,$AX$3)</f>
        <v>1608</v>
      </c>
      <c r="E71" s="35">
        <f>SUM($B$4:B71)+SUM($C$4:C71)-SUM($D$4:D71)</f>
        <v>28</v>
      </c>
      <c r="F71" s="37">
        <f>SUM(经验!A71:X71)</f>
        <v>565</v>
      </c>
      <c r="G71" s="37">
        <f>SUM($F$4:F71)+SUM($H$4:H71)</f>
        <v>48145</v>
      </c>
      <c r="H71" s="37">
        <v>0</v>
      </c>
      <c r="I71" s="50" t="s">
        <v>47</v>
      </c>
      <c r="J71" s="50" t="s">
        <v>47</v>
      </c>
      <c r="K71" s="50" t="s">
        <v>47</v>
      </c>
      <c r="L71" s="50" t="s">
        <v>47</v>
      </c>
      <c r="M71" s="50" t="s">
        <v>47</v>
      </c>
      <c r="N71" s="50" t="s">
        <v>47</v>
      </c>
      <c r="O71" s="41" t="s">
        <v>36</v>
      </c>
      <c r="P71" s="41" t="s">
        <v>36</v>
      </c>
      <c r="Q71" s="48" t="s">
        <v>46</v>
      </c>
      <c r="R71" s="45" t="s">
        <v>43</v>
      </c>
      <c r="S71" s="45" t="s">
        <v>43</v>
      </c>
      <c r="T71" s="45" t="s">
        <v>43</v>
      </c>
      <c r="U71" s="48" t="s">
        <v>46</v>
      </c>
      <c r="V71" t="s">
        <v>36</v>
      </c>
      <c r="W71" s="41" t="s">
        <v>36</v>
      </c>
      <c r="X71" s="41" t="s">
        <v>36</v>
      </c>
      <c r="Y71" s="56" t="s">
        <v>36</v>
      </c>
      <c r="Z71" s="56" t="s">
        <v>36</v>
      </c>
      <c r="AA71" s="56" t="s">
        <v>36</v>
      </c>
      <c r="AB71" s="56" t="s">
        <v>36</v>
      </c>
      <c r="AC71" s="56" t="s">
        <v>36</v>
      </c>
      <c r="AD71" s="56" t="s">
        <v>36</v>
      </c>
      <c r="AE71" s="57" t="s">
        <v>36</v>
      </c>
      <c r="AF71" s="57" t="s">
        <v>36</v>
      </c>
      <c r="AG71" s="71">
        <v>0</v>
      </c>
      <c r="AH71" s="71"/>
      <c r="AI71" s="71"/>
      <c r="AJ71" s="71"/>
      <c r="AK71" s="74" t="s">
        <v>52</v>
      </c>
    </row>
    <row r="72" spans="1:37">
      <c r="A72" s="34">
        <v>44615</v>
      </c>
      <c r="B72" s="37">
        <v>1600</v>
      </c>
      <c r="C72" s="37"/>
      <c r="D72" s="37">
        <f>(SUM(粮草!A72:X72)+AG72*10)*IF(AK72="是",$AX$4,$AX$3)</f>
        <v>1560</v>
      </c>
      <c r="E72" s="35">
        <f>SUM($B$4:B72)+SUM($C$4:C72)-SUM($D$4:D72)</f>
        <v>68</v>
      </c>
      <c r="F72" s="37">
        <f>SUM(经验!A72:X72)</f>
        <v>585</v>
      </c>
      <c r="G72" s="37">
        <f>SUM($F$4:F72)+SUM($H$4:H72)</f>
        <v>48930</v>
      </c>
      <c r="H72" s="37">
        <v>200</v>
      </c>
      <c r="I72" s="50" t="s">
        <v>47</v>
      </c>
      <c r="J72" s="50" t="s">
        <v>47</v>
      </c>
      <c r="K72" s="50" t="s">
        <v>47</v>
      </c>
      <c r="L72" s="50" t="s">
        <v>47</v>
      </c>
      <c r="M72" s="47" t="s">
        <v>42</v>
      </c>
      <c r="N72" s="50" t="s">
        <v>47</v>
      </c>
      <c r="O72" s="41" t="s">
        <v>36</v>
      </c>
      <c r="P72" s="41" t="s">
        <v>36</v>
      </c>
      <c r="Q72" s="48" t="s">
        <v>46</v>
      </c>
      <c r="R72" s="48" t="s">
        <v>46</v>
      </c>
      <c r="S72" s="47" t="s">
        <v>42</v>
      </c>
      <c r="T72" s="48" t="s">
        <v>46</v>
      </c>
      <c r="U72" s="48" t="s">
        <v>46</v>
      </c>
      <c r="V72" s="48" t="s">
        <v>46</v>
      </c>
      <c r="W72" s="41" t="s">
        <v>36</v>
      </c>
      <c r="X72" s="41" t="s">
        <v>36</v>
      </c>
      <c r="Y72" s="56" t="s">
        <v>36</v>
      </c>
      <c r="Z72" s="56" t="s">
        <v>36</v>
      </c>
      <c r="AA72" s="56" t="s">
        <v>36</v>
      </c>
      <c r="AB72" s="56" t="s">
        <v>36</v>
      </c>
      <c r="AC72" s="56" t="s">
        <v>36</v>
      </c>
      <c r="AD72" s="56" t="s">
        <v>36</v>
      </c>
      <c r="AE72" s="57" t="s">
        <v>36</v>
      </c>
      <c r="AF72" s="57" t="s">
        <v>36</v>
      </c>
      <c r="AG72" s="71">
        <v>0</v>
      </c>
      <c r="AH72" s="71"/>
      <c r="AI72" s="71"/>
      <c r="AJ72" s="71"/>
      <c r="AK72" s="74" t="s">
        <v>52</v>
      </c>
    </row>
    <row r="73" spans="1:37">
      <c r="A73" s="34">
        <v>44616</v>
      </c>
      <c r="B73" s="37">
        <v>1600</v>
      </c>
      <c r="C73" s="37"/>
      <c r="D73" s="37">
        <f>(SUM(粮草!A73:X73)+AG73*10)*IF(AK73="是",$AX$4,$AX$3)</f>
        <v>1632</v>
      </c>
      <c r="E73" s="35">
        <f>SUM($B$4:B73)+SUM($C$4:C73)-SUM($D$4:D73)</f>
        <v>36</v>
      </c>
      <c r="F73" s="37">
        <f>SUM(经验!A73:X73)</f>
        <v>580</v>
      </c>
      <c r="G73" s="37">
        <f>SUM($F$4:F73)+SUM($H$4:H73)</f>
        <v>49510</v>
      </c>
      <c r="H73" s="37">
        <v>0</v>
      </c>
      <c r="I73" s="50" t="s">
        <v>47</v>
      </c>
      <c r="J73" s="50" t="s">
        <v>47</v>
      </c>
      <c r="K73" s="50" t="s">
        <v>47</v>
      </c>
      <c r="L73" s="50" t="s">
        <v>47</v>
      </c>
      <c r="M73" s="50" t="s">
        <v>47</v>
      </c>
      <c r="N73" s="50" t="s">
        <v>47</v>
      </c>
      <c r="O73" s="41" t="s">
        <v>36</v>
      </c>
      <c r="P73" s="41" t="s">
        <v>36</v>
      </c>
      <c r="Q73" s="48" t="s">
        <v>46</v>
      </c>
      <c r="R73" s="48" t="s">
        <v>46</v>
      </c>
      <c r="S73" s="48" t="s">
        <v>46</v>
      </c>
      <c r="T73" s="48" t="s">
        <v>46</v>
      </c>
      <c r="U73" s="48" t="s">
        <v>46</v>
      </c>
      <c r="V73" t="s">
        <v>36</v>
      </c>
      <c r="W73" s="41" t="s">
        <v>36</v>
      </c>
      <c r="X73" s="41" t="s">
        <v>36</v>
      </c>
      <c r="Y73" s="56" t="s">
        <v>36</v>
      </c>
      <c r="Z73" s="56" t="s">
        <v>36</v>
      </c>
      <c r="AA73" s="56" t="s">
        <v>36</v>
      </c>
      <c r="AB73" s="56" t="s">
        <v>36</v>
      </c>
      <c r="AC73" s="56" t="s">
        <v>36</v>
      </c>
      <c r="AD73" s="56" t="s">
        <v>36</v>
      </c>
      <c r="AE73" s="57" t="s">
        <v>36</v>
      </c>
      <c r="AF73" s="57" t="s">
        <v>36</v>
      </c>
      <c r="AG73" s="71">
        <v>0</v>
      </c>
      <c r="AH73" s="71"/>
      <c r="AI73" s="71"/>
      <c r="AJ73" s="71"/>
      <c r="AK73" s="74" t="s">
        <v>52</v>
      </c>
    </row>
    <row r="74" spans="1:37">
      <c r="A74" s="34">
        <v>44617</v>
      </c>
      <c r="B74" s="37">
        <v>1600</v>
      </c>
      <c r="C74" s="37"/>
      <c r="D74" s="37">
        <f>(SUM(粮草!A74:X74)+AG74*10)*IF(AK74="是",$AX$4,$AX$3)</f>
        <v>1632</v>
      </c>
      <c r="E74" s="35">
        <f>SUM($B$4:B74)+SUM($C$4:C74)-SUM($D$4:D74)</f>
        <v>4</v>
      </c>
      <c r="F74" s="37">
        <f>SUM(经验!A74:X74)</f>
        <v>580</v>
      </c>
      <c r="G74" s="37">
        <f>SUM($F$4:F74)+SUM($H$4:H74)</f>
        <v>50090</v>
      </c>
      <c r="H74" s="37">
        <v>0</v>
      </c>
      <c r="I74" s="50" t="s">
        <v>47</v>
      </c>
      <c r="J74" s="50" t="s">
        <v>47</v>
      </c>
      <c r="K74" s="50" t="s">
        <v>47</v>
      </c>
      <c r="L74" s="50" t="s">
        <v>47</v>
      </c>
      <c r="M74" s="50" t="s">
        <v>47</v>
      </c>
      <c r="N74" s="50" t="s">
        <v>47</v>
      </c>
      <c r="O74" s="41" t="s">
        <v>36</v>
      </c>
      <c r="P74" s="41" t="s">
        <v>36</v>
      </c>
      <c r="Q74" s="48" t="s">
        <v>46</v>
      </c>
      <c r="R74" s="48" t="s">
        <v>46</v>
      </c>
      <c r="S74" s="48" t="s">
        <v>46</v>
      </c>
      <c r="T74" s="48" t="s">
        <v>46</v>
      </c>
      <c r="U74" s="48" t="s">
        <v>46</v>
      </c>
      <c r="V74" t="s">
        <v>36</v>
      </c>
      <c r="W74" s="41" t="s">
        <v>36</v>
      </c>
      <c r="X74" s="41" t="s">
        <v>36</v>
      </c>
      <c r="Y74" s="56" t="s">
        <v>36</v>
      </c>
      <c r="Z74" s="56" t="s">
        <v>36</v>
      </c>
      <c r="AA74" s="56" t="s">
        <v>36</v>
      </c>
      <c r="AB74" s="56" t="s">
        <v>36</v>
      </c>
      <c r="AC74" s="56" t="s">
        <v>36</v>
      </c>
      <c r="AD74" s="56" t="s">
        <v>36</v>
      </c>
      <c r="AE74" s="57" t="s">
        <v>36</v>
      </c>
      <c r="AF74" s="57" t="s">
        <v>36</v>
      </c>
      <c r="AG74" s="71">
        <v>0</v>
      </c>
      <c r="AH74" s="71"/>
      <c r="AI74" s="71"/>
      <c r="AJ74" s="71"/>
      <c r="AK74" s="74" t="s">
        <v>52</v>
      </c>
    </row>
    <row r="75" spans="1:37">
      <c r="A75" s="34">
        <v>44618</v>
      </c>
      <c r="B75" s="37">
        <v>1600</v>
      </c>
      <c r="C75" s="37"/>
      <c r="D75" s="37">
        <f>(SUM(粮草!A75:X75)+AG75*10)*IF(AK75="是",$AX$4,$AX$3)</f>
        <v>1536</v>
      </c>
      <c r="E75" s="35">
        <f>SUM($B$4:B75)+SUM($C$4:C75)-SUM($D$4:D75)</f>
        <v>68</v>
      </c>
      <c r="F75" s="37">
        <f>SUM(经验!A75:X75)</f>
        <v>560</v>
      </c>
      <c r="G75" s="37">
        <f>SUM($F$4:F75)+SUM($H$4:H75)</f>
        <v>50650</v>
      </c>
      <c r="H75" s="37">
        <v>0</v>
      </c>
      <c r="I75" s="50" t="s">
        <v>47</v>
      </c>
      <c r="J75" s="50" t="s">
        <v>47</v>
      </c>
      <c r="K75" s="50" t="s">
        <v>47</v>
      </c>
      <c r="L75" s="50" t="s">
        <v>47</v>
      </c>
      <c r="M75" s="50" t="s">
        <v>47</v>
      </c>
      <c r="N75" s="50" t="s">
        <v>47</v>
      </c>
      <c r="O75" s="41" t="s">
        <v>36</v>
      </c>
      <c r="P75" s="41" t="s">
        <v>36</v>
      </c>
      <c r="Q75" s="48" t="s">
        <v>46</v>
      </c>
      <c r="R75" s="48" t="s">
        <v>46</v>
      </c>
      <c r="S75" s="48" t="s">
        <v>46</v>
      </c>
      <c r="T75" s="48" t="s">
        <v>46</v>
      </c>
      <c r="U75" s="47" t="s">
        <v>42</v>
      </c>
      <c r="V75" t="s">
        <v>36</v>
      </c>
      <c r="W75" s="41" t="s">
        <v>36</v>
      </c>
      <c r="X75" s="41" t="s">
        <v>36</v>
      </c>
      <c r="Y75" s="56" t="s">
        <v>36</v>
      </c>
      <c r="Z75" s="56" t="s">
        <v>36</v>
      </c>
      <c r="AA75" s="56" t="s">
        <v>36</v>
      </c>
      <c r="AB75" s="56" t="s">
        <v>36</v>
      </c>
      <c r="AC75" s="56" t="s">
        <v>36</v>
      </c>
      <c r="AD75" s="56" t="s">
        <v>36</v>
      </c>
      <c r="AE75" s="57" t="s">
        <v>36</v>
      </c>
      <c r="AF75" s="57" t="s">
        <v>36</v>
      </c>
      <c r="AG75" s="71">
        <v>1</v>
      </c>
      <c r="AH75" s="71"/>
      <c r="AI75" s="71"/>
      <c r="AJ75" s="71"/>
      <c r="AK75" s="74" t="s">
        <v>52</v>
      </c>
    </row>
    <row r="76" spans="1:37">
      <c r="A76" s="34">
        <v>44619</v>
      </c>
      <c r="B76" s="37">
        <v>1600</v>
      </c>
      <c r="C76" s="37"/>
      <c r="D76" s="37">
        <f>(SUM(粮草!A76:X76)+AG76*10)*IF(AK76="是",$AX$4,$AX$3)</f>
        <v>1600</v>
      </c>
      <c r="E76" s="35">
        <f>SUM($B$4:B76)+SUM($C$4:C76)-SUM($D$4:D76)</f>
        <v>68</v>
      </c>
      <c r="F76" s="37">
        <f>SUM(经验!A76:X76)</f>
        <v>560</v>
      </c>
      <c r="G76" s="37">
        <f>SUM($F$4:F76)+SUM($H$4:H76)</f>
        <v>51210</v>
      </c>
      <c r="H76" s="37">
        <v>0</v>
      </c>
      <c r="I76" s="50" t="s">
        <v>47</v>
      </c>
      <c r="J76" s="50" t="s">
        <v>47</v>
      </c>
      <c r="K76" s="50" t="s">
        <v>47</v>
      </c>
      <c r="L76" s="50" t="s">
        <v>47</v>
      </c>
      <c r="M76" s="50" t="s">
        <v>47</v>
      </c>
      <c r="N76" s="50" t="s">
        <v>47</v>
      </c>
      <c r="O76" s="41" t="s">
        <v>36</v>
      </c>
      <c r="P76" s="41" t="s">
        <v>36</v>
      </c>
      <c r="Q76" s="48" t="s">
        <v>46</v>
      </c>
      <c r="R76" s="45" t="s">
        <v>43</v>
      </c>
      <c r="S76" s="45" t="s">
        <v>43</v>
      </c>
      <c r="T76" s="45" t="s">
        <v>43</v>
      </c>
      <c r="U76" s="45" t="s">
        <v>43</v>
      </c>
      <c r="V76" t="s">
        <v>36</v>
      </c>
      <c r="W76" s="41" t="s">
        <v>36</v>
      </c>
      <c r="X76" s="41" t="s">
        <v>36</v>
      </c>
      <c r="Y76" s="56" t="s">
        <v>36</v>
      </c>
      <c r="Z76" s="56" t="s">
        <v>36</v>
      </c>
      <c r="AA76" s="56" t="s">
        <v>36</v>
      </c>
      <c r="AB76" s="56" t="s">
        <v>36</v>
      </c>
      <c r="AC76" s="56" t="s">
        <v>36</v>
      </c>
      <c r="AD76" s="56" t="s">
        <v>36</v>
      </c>
      <c r="AE76" s="57" t="s">
        <v>36</v>
      </c>
      <c r="AF76" s="57" t="s">
        <v>36</v>
      </c>
      <c r="AG76" s="71">
        <v>0</v>
      </c>
      <c r="AH76" s="71"/>
      <c r="AI76" s="71"/>
      <c r="AJ76" s="71"/>
      <c r="AK76" s="74" t="s">
        <v>52</v>
      </c>
    </row>
    <row r="77" spans="1:37">
      <c r="A77" s="34">
        <v>44620</v>
      </c>
      <c r="B77" s="36">
        <v>1600</v>
      </c>
      <c r="C77" s="36"/>
      <c r="D77" s="37">
        <f>(SUM(粮草!A77:X77)+AG77*10)*IF(AK77="是",$AX$4,$AX$3)</f>
        <v>1648</v>
      </c>
      <c r="E77" s="35">
        <f>SUM($B$4:B77)+SUM($C$4:C77)-SUM($D$4:D77)</f>
        <v>20</v>
      </c>
      <c r="F77" s="37">
        <f>SUM(经验!A77:X77)</f>
        <v>1065</v>
      </c>
      <c r="G77" s="37">
        <f>SUM($F$4:F77)+SUM($H$4:H77)</f>
        <v>52475</v>
      </c>
      <c r="H77" s="36">
        <v>200</v>
      </c>
      <c r="I77" s="50" t="s">
        <v>47</v>
      </c>
      <c r="J77" s="50" t="s">
        <v>47</v>
      </c>
      <c r="K77" s="50" t="s">
        <v>47</v>
      </c>
      <c r="L77" s="53" t="s">
        <v>60</v>
      </c>
      <c r="M77" s="50" t="s">
        <v>47</v>
      </c>
      <c r="N77" s="42" t="s">
        <v>57</v>
      </c>
      <c r="O77" s="50" t="s">
        <v>47</v>
      </c>
      <c r="P77" s="50" t="s">
        <v>47</v>
      </c>
      <c r="Q77" s="45" t="s">
        <v>43</v>
      </c>
      <c r="R77" s="45" t="s">
        <v>43</v>
      </c>
      <c r="S77" s="45" t="s">
        <v>43</v>
      </c>
      <c r="T77" s="48" t="s">
        <v>46</v>
      </c>
      <c r="U77" s="48" t="s">
        <v>46</v>
      </c>
      <c r="V77" t="s">
        <v>36</v>
      </c>
      <c r="W77" s="41" t="s">
        <v>36</v>
      </c>
      <c r="X77" s="41" t="s">
        <v>36</v>
      </c>
      <c r="Y77" s="56" t="s">
        <v>36</v>
      </c>
      <c r="Z77" s="56" t="s">
        <v>36</v>
      </c>
      <c r="AA77" s="56" t="s">
        <v>36</v>
      </c>
      <c r="AB77" s="56" t="s">
        <v>36</v>
      </c>
      <c r="AC77" s="56" t="s">
        <v>36</v>
      </c>
      <c r="AD77" s="56" t="s">
        <v>36</v>
      </c>
      <c r="AE77" s="57" t="s">
        <v>36</v>
      </c>
      <c r="AF77" s="57" t="s">
        <v>36</v>
      </c>
      <c r="AG77" s="71">
        <v>0</v>
      </c>
      <c r="AH77" s="71"/>
      <c r="AI77" s="71"/>
      <c r="AJ77" s="71"/>
      <c r="AK77" s="74" t="s">
        <v>52</v>
      </c>
    </row>
    <row r="78" spans="1:37">
      <c r="A78" s="34">
        <v>44621</v>
      </c>
      <c r="B78" s="36">
        <v>1600</v>
      </c>
      <c r="C78" s="36"/>
      <c r="D78" s="37">
        <f>(SUM(粮草!A78:X78)+AG78*10)*IF(AK78="是",$AX$4,$AX$3)</f>
        <v>1488</v>
      </c>
      <c r="E78" s="35">
        <f>SUM($B$4:B78)+SUM($C$4:C78)-SUM($D$4:D78)</f>
        <v>132</v>
      </c>
      <c r="F78" s="37">
        <f>SUM(经验!A78:X78)</f>
        <v>530</v>
      </c>
      <c r="G78" s="37">
        <f>SUM($F$4:F78)+SUM($H$4:H78)</f>
        <v>53105</v>
      </c>
      <c r="H78" s="36">
        <v>100</v>
      </c>
      <c r="I78" s="50" t="s">
        <v>47</v>
      </c>
      <c r="J78" s="50" t="s">
        <v>47</v>
      </c>
      <c r="K78" s="50" t="s">
        <v>47</v>
      </c>
      <c r="L78" s="50" t="s">
        <v>47</v>
      </c>
      <c r="M78" s="50" t="s">
        <v>47</v>
      </c>
      <c r="N78" s="50" t="s">
        <v>47</v>
      </c>
      <c r="O78" s="41" t="s">
        <v>36</v>
      </c>
      <c r="P78" s="41" t="s">
        <v>36</v>
      </c>
      <c r="Q78" s="48" t="s">
        <v>46</v>
      </c>
      <c r="R78" s="48" t="s">
        <v>46</v>
      </c>
      <c r="S78" s="48" t="s">
        <v>46</v>
      </c>
      <c r="T78" s="48" t="s">
        <v>46</v>
      </c>
      <c r="U78" t="s">
        <v>36</v>
      </c>
      <c r="V78" t="s">
        <v>36</v>
      </c>
      <c r="W78" s="41" t="s">
        <v>36</v>
      </c>
      <c r="X78" s="41" t="s">
        <v>36</v>
      </c>
      <c r="Y78" s="56" t="s">
        <v>36</v>
      </c>
      <c r="Z78" s="56" t="s">
        <v>36</v>
      </c>
      <c r="AA78" s="56" t="s">
        <v>36</v>
      </c>
      <c r="AB78" s="56" t="s">
        <v>36</v>
      </c>
      <c r="AC78" s="56" t="s">
        <v>36</v>
      </c>
      <c r="AD78" s="56" t="s">
        <v>36</v>
      </c>
      <c r="AE78" s="57" t="s">
        <v>36</v>
      </c>
      <c r="AF78" s="57" t="s">
        <v>36</v>
      </c>
      <c r="AG78" s="71">
        <v>0</v>
      </c>
      <c r="AH78" s="71"/>
      <c r="AI78" s="71"/>
      <c r="AJ78" s="71"/>
      <c r="AK78" s="74" t="s">
        <v>52</v>
      </c>
    </row>
    <row r="79" spans="1:37">
      <c r="A79" s="34">
        <v>44622</v>
      </c>
      <c r="B79">
        <v>1600</v>
      </c>
      <c r="D79" s="37">
        <f>(SUM(粮草!A79:X79)+AG79*10)*IF(AK79="是",$AX$4,$AX$3)</f>
        <v>1664</v>
      </c>
      <c r="E79" s="35">
        <f>SUM($B$4:B79)+SUM($C$4:C79)-SUM($D$4:D79)</f>
        <v>68</v>
      </c>
      <c r="F79" s="37">
        <f>SUM(经验!A79:X79)</f>
        <v>605</v>
      </c>
      <c r="G79" s="97">
        <f>SUM($F$4:F79)+SUM($H$4:H79)</f>
        <v>53910</v>
      </c>
      <c r="H79">
        <v>200</v>
      </c>
      <c r="I79" s="47" t="s">
        <v>42</v>
      </c>
      <c r="J79" s="50" t="s">
        <v>47</v>
      </c>
      <c r="K79" s="50" t="s">
        <v>47</v>
      </c>
      <c r="L79" s="50" t="s">
        <v>47</v>
      </c>
      <c r="M79" s="50" t="s">
        <v>47</v>
      </c>
      <c r="N79" s="50" t="s">
        <v>47</v>
      </c>
      <c r="O79" s="41" t="s">
        <v>36</v>
      </c>
      <c r="P79" s="41" t="s">
        <v>36</v>
      </c>
      <c r="Q79" s="48" t="s">
        <v>46</v>
      </c>
      <c r="R79" s="48" t="s">
        <v>46</v>
      </c>
      <c r="S79" s="48" t="s">
        <v>46</v>
      </c>
      <c r="T79" s="48" t="s">
        <v>46</v>
      </c>
      <c r="U79" s="48" t="s">
        <v>46</v>
      </c>
      <c r="V79" s="48" t="s">
        <v>46</v>
      </c>
      <c r="W79" s="41" t="s">
        <v>36</v>
      </c>
      <c r="X79" s="41" t="s">
        <v>36</v>
      </c>
      <c r="Y79" s="56" t="s">
        <v>36</v>
      </c>
      <c r="Z79" s="56" t="s">
        <v>36</v>
      </c>
      <c r="AA79" s="56" t="s">
        <v>36</v>
      </c>
      <c r="AB79" s="56" t="s">
        <v>36</v>
      </c>
      <c r="AC79" s="56" t="s">
        <v>36</v>
      </c>
      <c r="AD79" s="56" t="s">
        <v>36</v>
      </c>
      <c r="AE79" s="57" t="s">
        <v>36</v>
      </c>
      <c r="AF79" s="57" t="s">
        <v>36</v>
      </c>
      <c r="AG79" s="71">
        <v>0</v>
      </c>
      <c r="AH79" s="71"/>
      <c r="AI79" s="71"/>
      <c r="AJ79" s="71"/>
      <c r="AK79" s="74" t="s">
        <v>52</v>
      </c>
    </row>
    <row r="80" spans="1:37">
      <c r="A80" s="34">
        <v>44623</v>
      </c>
      <c r="B80">
        <v>1600</v>
      </c>
      <c r="D80" s="37">
        <f>(SUM(粮草!A80:X80)+AG80*10)*IF(AK80="是",$AX$4,$AX$3)</f>
        <v>1632</v>
      </c>
      <c r="E80" s="35">
        <f>SUM($B$4:B80)+SUM($C$4:C80)-SUM($D$4:D80)</f>
        <v>36</v>
      </c>
      <c r="F80" s="37">
        <f>SUM(经验!A80:X80)</f>
        <v>580</v>
      </c>
      <c r="G80" s="97">
        <f>SUM($F$4:F80)+SUM($H$4:H80)</f>
        <v>54490</v>
      </c>
      <c r="H80">
        <v>0</v>
      </c>
      <c r="I80" s="50" t="s">
        <v>47</v>
      </c>
      <c r="J80" s="50" t="s">
        <v>47</v>
      </c>
      <c r="K80" s="50" t="s">
        <v>47</v>
      </c>
      <c r="L80" s="50" t="s">
        <v>47</v>
      </c>
      <c r="M80" s="50" t="s">
        <v>47</v>
      </c>
      <c r="N80" s="50" t="s">
        <v>47</v>
      </c>
      <c r="O80" s="41" t="s">
        <v>36</v>
      </c>
      <c r="P80" s="41" t="s">
        <v>36</v>
      </c>
      <c r="Q80" s="48" t="s">
        <v>46</v>
      </c>
      <c r="R80" s="48" t="s">
        <v>46</v>
      </c>
      <c r="S80" s="48" t="s">
        <v>46</v>
      </c>
      <c r="T80" s="48" t="s">
        <v>46</v>
      </c>
      <c r="U80" s="48" t="s">
        <v>46</v>
      </c>
      <c r="V80" t="s">
        <v>36</v>
      </c>
      <c r="W80" s="41" t="s">
        <v>36</v>
      </c>
      <c r="X80" s="41" t="s">
        <v>36</v>
      </c>
      <c r="Y80" s="56" t="s">
        <v>36</v>
      </c>
      <c r="Z80" s="56" t="s">
        <v>36</v>
      </c>
      <c r="AA80" s="56" t="s">
        <v>36</v>
      </c>
      <c r="AB80" s="56" t="s">
        <v>36</v>
      </c>
      <c r="AC80" s="56" t="s">
        <v>36</v>
      </c>
      <c r="AD80" s="56" t="s">
        <v>36</v>
      </c>
      <c r="AE80" s="57" t="s">
        <v>36</v>
      </c>
      <c r="AF80" s="57" t="s">
        <v>36</v>
      </c>
      <c r="AG80" s="71">
        <v>0</v>
      </c>
      <c r="AH80" s="71"/>
      <c r="AI80" s="71"/>
      <c r="AJ80" s="71"/>
      <c r="AK80" s="74" t="s">
        <v>52</v>
      </c>
    </row>
    <row r="81" spans="1:37">
      <c r="A81" s="34">
        <v>44624</v>
      </c>
      <c r="B81">
        <v>1600</v>
      </c>
      <c r="D81" s="37">
        <f>(SUM(粮草!A81:X81)+AG81*10)*IF(AK81="是",$AX$4,$AX$3)</f>
        <v>1600</v>
      </c>
      <c r="E81" s="35">
        <f>SUM($B$4:B81)+SUM($C$4:C81)-SUM($D$4:D81)</f>
        <v>36</v>
      </c>
      <c r="F81" s="37">
        <f>SUM(经验!A81:X81)</f>
        <v>570</v>
      </c>
      <c r="G81" s="97">
        <f>SUM($F$4:F81)+SUM($H$4:H81)</f>
        <v>55060</v>
      </c>
      <c r="H81">
        <v>0</v>
      </c>
      <c r="I81" s="50" t="s">
        <v>47</v>
      </c>
      <c r="J81" s="50" t="s">
        <v>47</v>
      </c>
      <c r="K81" s="50" t="s">
        <v>47</v>
      </c>
      <c r="L81" s="50" t="s">
        <v>47</v>
      </c>
      <c r="M81" s="50" t="s">
        <v>47</v>
      </c>
      <c r="N81" s="50" t="s">
        <v>47</v>
      </c>
      <c r="O81" s="41" t="s">
        <v>36</v>
      </c>
      <c r="P81" s="41" t="s">
        <v>36</v>
      </c>
      <c r="Q81" s="48" t="s">
        <v>46</v>
      </c>
      <c r="R81" s="48" t="s">
        <v>46</v>
      </c>
      <c r="S81" s="48" t="s">
        <v>46</v>
      </c>
      <c r="T81" s="49" t="s">
        <v>51</v>
      </c>
      <c r="U81" s="45" t="s">
        <v>43</v>
      </c>
      <c r="V81" t="s">
        <v>36</v>
      </c>
      <c r="W81" s="41" t="s">
        <v>36</v>
      </c>
      <c r="X81" s="41" t="s">
        <v>36</v>
      </c>
      <c r="Y81" s="56" t="s">
        <v>36</v>
      </c>
      <c r="Z81" s="56" t="s">
        <v>36</v>
      </c>
      <c r="AA81" s="56" t="s">
        <v>36</v>
      </c>
      <c r="AB81" s="56" t="s">
        <v>36</v>
      </c>
      <c r="AC81" s="56" t="s">
        <v>36</v>
      </c>
      <c r="AD81" s="56" t="s">
        <v>36</v>
      </c>
      <c r="AE81" s="57" t="s">
        <v>36</v>
      </c>
      <c r="AF81" s="57" t="s">
        <v>36</v>
      </c>
      <c r="AG81" s="71">
        <v>0</v>
      </c>
      <c r="AH81" s="71"/>
      <c r="AI81" s="71"/>
      <c r="AJ81" s="71"/>
      <c r="AK81" s="74" t="s">
        <v>52</v>
      </c>
    </row>
    <row r="82" spans="1:37">
      <c r="A82" s="34">
        <v>44625</v>
      </c>
      <c r="B82">
        <v>1600</v>
      </c>
      <c r="D82" s="37">
        <f>(SUM(粮草!A82:X82)+AG82*10)*IF(AK82="是",$AX$4,$AX$3)</f>
        <v>1608</v>
      </c>
      <c r="E82" s="35">
        <f>SUM($B$4:B82)+SUM($C$4:C82)-SUM($D$4:D82)</f>
        <v>28</v>
      </c>
      <c r="F82" s="37">
        <f>SUM(经验!A82:X82)</f>
        <v>565</v>
      </c>
      <c r="G82" s="97">
        <f>SUM($F$4:F82)+SUM($H$4:H82)</f>
        <v>55625</v>
      </c>
      <c r="H82">
        <v>0</v>
      </c>
      <c r="I82" s="50" t="s">
        <v>47</v>
      </c>
      <c r="J82" s="50" t="s">
        <v>47</v>
      </c>
      <c r="K82" s="50" t="s">
        <v>47</v>
      </c>
      <c r="L82" s="50" t="s">
        <v>47</v>
      </c>
      <c r="M82" s="50" t="s">
        <v>47</v>
      </c>
      <c r="N82" s="50" t="s">
        <v>47</v>
      </c>
      <c r="O82" s="41" t="s">
        <v>36</v>
      </c>
      <c r="P82" s="41" t="s">
        <v>36</v>
      </c>
      <c r="Q82" s="45" t="s">
        <v>43</v>
      </c>
      <c r="R82" s="45" t="s">
        <v>43</v>
      </c>
      <c r="S82" s="48" t="s">
        <v>46</v>
      </c>
      <c r="T82" s="48" t="s">
        <v>46</v>
      </c>
      <c r="U82" s="45" t="s">
        <v>43</v>
      </c>
      <c r="V82" t="s">
        <v>36</v>
      </c>
      <c r="W82" s="41" t="s">
        <v>36</v>
      </c>
      <c r="X82" s="41" t="s">
        <v>36</v>
      </c>
      <c r="Y82" s="56" t="s">
        <v>36</v>
      </c>
      <c r="Z82" s="56" t="s">
        <v>36</v>
      </c>
      <c r="AA82" s="56" t="s">
        <v>36</v>
      </c>
      <c r="AB82" s="56" t="s">
        <v>36</v>
      </c>
      <c r="AC82" s="56" t="s">
        <v>36</v>
      </c>
      <c r="AD82" s="56" t="s">
        <v>36</v>
      </c>
      <c r="AE82" s="57" t="s">
        <v>36</v>
      </c>
      <c r="AF82" s="57" t="s">
        <v>36</v>
      </c>
      <c r="AG82" s="71">
        <v>0</v>
      </c>
      <c r="AH82" s="71"/>
      <c r="AI82" s="71"/>
      <c r="AJ82" s="71"/>
      <c r="AK82" s="74" t="s">
        <v>52</v>
      </c>
    </row>
    <row r="83" spans="1:37">
      <c r="A83" s="34">
        <v>44626</v>
      </c>
      <c r="B83">
        <v>1600</v>
      </c>
      <c r="D83" s="37">
        <f>(SUM(粮草!A83:X83)+AG83*10)*IF(AK83="是",$AX$4,$AX$3)</f>
        <v>1608</v>
      </c>
      <c r="E83" s="35">
        <f>SUM($B$4:B83)+SUM($C$4:C83)-SUM($D$4:D83)</f>
        <v>20</v>
      </c>
      <c r="F83" s="37">
        <f>SUM(经验!A83:X83)</f>
        <v>585</v>
      </c>
      <c r="G83" s="97">
        <f>SUM($F$4:F83)+SUM($H$4:H83)</f>
        <v>56210</v>
      </c>
      <c r="H83">
        <v>0</v>
      </c>
      <c r="I83" s="50" t="s">
        <v>47</v>
      </c>
      <c r="J83" s="50" t="s">
        <v>47</v>
      </c>
      <c r="K83" s="50" t="s">
        <v>54</v>
      </c>
      <c r="L83" s="50" t="s">
        <v>47</v>
      </c>
      <c r="M83" s="50" t="s">
        <v>47</v>
      </c>
      <c r="N83" s="50" t="s">
        <v>47</v>
      </c>
      <c r="O83" s="41" t="s">
        <v>36</v>
      </c>
      <c r="P83" s="41" t="s">
        <v>36</v>
      </c>
      <c r="Q83" s="45" t="s">
        <v>43</v>
      </c>
      <c r="R83" s="45" t="s">
        <v>43</v>
      </c>
      <c r="S83" s="45" t="s">
        <v>43</v>
      </c>
      <c r="T83" s="45" t="s">
        <v>43</v>
      </c>
      <c r="U83" s="47" t="s">
        <v>42</v>
      </c>
      <c r="V83" s="45" t="s">
        <v>43</v>
      </c>
      <c r="W83" s="41" t="s">
        <v>36</v>
      </c>
      <c r="X83" s="41" t="s">
        <v>36</v>
      </c>
      <c r="Y83" s="56" t="s">
        <v>36</v>
      </c>
      <c r="Z83" s="56" t="s">
        <v>36</v>
      </c>
      <c r="AA83" s="56" t="s">
        <v>36</v>
      </c>
      <c r="AB83" s="56" t="s">
        <v>36</v>
      </c>
      <c r="AC83" s="56" t="s">
        <v>36</v>
      </c>
      <c r="AD83" s="56" t="s">
        <v>36</v>
      </c>
      <c r="AE83" s="57" t="s">
        <v>36</v>
      </c>
      <c r="AF83" s="57" t="s">
        <v>36</v>
      </c>
      <c r="AG83" s="71">
        <v>1</v>
      </c>
      <c r="AH83" s="71"/>
      <c r="AI83" s="71"/>
      <c r="AJ83" s="71"/>
      <c r="AK83" s="74" t="s">
        <v>52</v>
      </c>
    </row>
    <row r="84" spans="1:37">
      <c r="A84" s="34">
        <v>44627</v>
      </c>
      <c r="B84" s="97">
        <v>1600</v>
      </c>
      <c r="C84" s="97"/>
      <c r="D84" s="37">
        <f>(SUM(粮草!A84:X84)+AG84*10)*IF(AK84="是",$AX$4,$AX$3)</f>
        <v>1504</v>
      </c>
      <c r="E84" s="35">
        <f>SUM($B$4:B84)+SUM($C$4:C84)-SUM($D$4:D84)</f>
        <v>116</v>
      </c>
      <c r="F84" s="37">
        <f>SUM(经验!A84:X84)</f>
        <v>570</v>
      </c>
      <c r="G84" s="97">
        <f>SUM($F$4:F84)+SUM($H$4:H84)</f>
        <v>56980</v>
      </c>
      <c r="H84" s="97">
        <v>200</v>
      </c>
      <c r="I84" s="48" t="s">
        <v>46</v>
      </c>
      <c r="J84" s="48" t="s">
        <v>46</v>
      </c>
      <c r="K84" s="48" t="s">
        <v>46</v>
      </c>
      <c r="L84" s="48" t="s">
        <v>46</v>
      </c>
      <c r="M84" s="48" t="s">
        <v>46</v>
      </c>
      <c r="N84" s="48" t="s">
        <v>46</v>
      </c>
      <c r="O84" s="41" t="s">
        <v>36</v>
      </c>
      <c r="P84" s="41" t="s">
        <v>36</v>
      </c>
      <c r="Q84" s="45" t="s">
        <v>43</v>
      </c>
      <c r="R84" s="45" t="s">
        <v>43</v>
      </c>
      <c r="S84" s="45" t="s">
        <v>43</v>
      </c>
      <c r="T84" s="42" t="s">
        <v>57</v>
      </c>
      <c r="U84" s="45" t="s">
        <v>43</v>
      </c>
      <c r="V84" s="45" t="s">
        <v>43</v>
      </c>
      <c r="W84" s="49" t="s">
        <v>51</v>
      </c>
      <c r="X84" s="41" t="s">
        <v>36</v>
      </c>
      <c r="Y84" s="56" t="s">
        <v>36</v>
      </c>
      <c r="Z84" s="56" t="s">
        <v>36</v>
      </c>
      <c r="AA84" s="56" t="s">
        <v>36</v>
      </c>
      <c r="AB84" s="56" t="s">
        <v>36</v>
      </c>
      <c r="AC84" s="56" t="s">
        <v>36</v>
      </c>
      <c r="AD84" s="56" t="s">
        <v>36</v>
      </c>
      <c r="AE84" s="57" t="s">
        <v>36</v>
      </c>
      <c r="AF84" s="57" t="s">
        <v>36</v>
      </c>
      <c r="AG84" s="71">
        <v>0</v>
      </c>
      <c r="AH84" s="71"/>
      <c r="AI84" s="71"/>
      <c r="AJ84" s="71"/>
      <c r="AK84" s="74" t="s">
        <v>52</v>
      </c>
    </row>
    <row r="85" spans="1:37">
      <c r="A85" s="34">
        <v>44628</v>
      </c>
      <c r="B85" s="97">
        <v>1600</v>
      </c>
      <c r="C85" s="97"/>
      <c r="D85" s="37">
        <f>(SUM(粮草!A85:X85)+AG85*10)*IF(AK85="是",$AX$4,$AX$3)</f>
        <v>1664</v>
      </c>
      <c r="E85" s="35">
        <f>SUM($B$4:B85)+SUM($C$4:C85)-SUM($D$4:D85)</f>
        <v>52</v>
      </c>
      <c r="F85" s="37">
        <f>SUM(经验!A85:X85)</f>
        <v>565</v>
      </c>
      <c r="G85" s="97">
        <f>SUM($F$4:F85)+SUM($H$4:H85)</f>
        <v>57545</v>
      </c>
      <c r="H85" s="97">
        <v>0</v>
      </c>
      <c r="I85" s="48" t="s">
        <v>46</v>
      </c>
      <c r="J85" s="48" t="s">
        <v>46</v>
      </c>
      <c r="K85" s="48" t="s">
        <v>46</v>
      </c>
      <c r="L85" s="48" t="s">
        <v>46</v>
      </c>
      <c r="M85" s="48" t="s">
        <v>46</v>
      </c>
      <c r="N85" s="48" t="s">
        <v>46</v>
      </c>
      <c r="O85" s="41" t="s">
        <v>36</v>
      </c>
      <c r="P85" s="41" t="s">
        <v>36</v>
      </c>
      <c r="Q85" s="45" t="s">
        <v>43</v>
      </c>
      <c r="R85" s="45" t="s">
        <v>43</v>
      </c>
      <c r="S85" s="44" t="s">
        <v>44</v>
      </c>
      <c r="T85" s="45" t="s">
        <v>43</v>
      </c>
      <c r="U85" s="45" t="s">
        <v>43</v>
      </c>
      <c r="V85" s="45" t="s">
        <v>43</v>
      </c>
      <c r="W85" s="41" t="s">
        <v>36</v>
      </c>
      <c r="X85" s="41" t="s">
        <v>36</v>
      </c>
      <c r="Y85" s="56" t="s">
        <v>36</v>
      </c>
      <c r="Z85" s="56" t="s">
        <v>36</v>
      </c>
      <c r="AA85" s="56" t="s">
        <v>36</v>
      </c>
      <c r="AB85" s="56" t="s">
        <v>36</v>
      </c>
      <c r="AC85" s="56" t="s">
        <v>36</v>
      </c>
      <c r="AD85" s="56" t="s">
        <v>36</v>
      </c>
      <c r="AE85" s="57" t="s">
        <v>36</v>
      </c>
      <c r="AF85" s="57" t="s">
        <v>36</v>
      </c>
      <c r="AG85" s="71">
        <v>0</v>
      </c>
      <c r="AH85" s="71"/>
      <c r="AI85" s="71"/>
      <c r="AJ85" s="71"/>
      <c r="AK85" s="74" t="s">
        <v>52</v>
      </c>
    </row>
    <row r="86" spans="1:37">
      <c r="A86" s="34">
        <v>44629</v>
      </c>
      <c r="B86" s="97">
        <v>1600</v>
      </c>
      <c r="C86" s="97"/>
      <c r="D86" s="37">
        <f>(SUM(粮草!A86:X86)+AG86*10)*IF(AK86="是",$AX$4,$AX$3)</f>
        <v>1592</v>
      </c>
      <c r="E86" s="35">
        <f>SUM($B$4:B86)+SUM($C$4:C86)-SUM($D$4:D86)</f>
        <v>60</v>
      </c>
      <c r="F86" s="37">
        <f>SUM(经验!A86:X86)</f>
        <v>560</v>
      </c>
      <c r="G86" s="97">
        <f>SUM($F$4:F86)+SUM($H$4:H86)</f>
        <v>58405</v>
      </c>
      <c r="H86" s="97">
        <v>300</v>
      </c>
      <c r="I86" s="48" t="s">
        <v>46</v>
      </c>
      <c r="J86" s="48" t="s">
        <v>46</v>
      </c>
      <c r="K86" s="48" t="s">
        <v>46</v>
      </c>
      <c r="L86" s="48" t="s">
        <v>46</v>
      </c>
      <c r="M86" s="48" t="s">
        <v>46</v>
      </c>
      <c r="N86" s="47" t="s">
        <v>42</v>
      </c>
      <c r="O86" s="41" t="s">
        <v>36</v>
      </c>
      <c r="P86" s="41" t="s">
        <v>36</v>
      </c>
      <c r="Q86" s="45" t="s">
        <v>43</v>
      </c>
      <c r="R86" s="45" t="s">
        <v>43</v>
      </c>
      <c r="S86" s="45" t="s">
        <v>43</v>
      </c>
      <c r="T86" s="45" t="s">
        <v>43</v>
      </c>
      <c r="U86" s="47" t="s">
        <v>42</v>
      </c>
      <c r="V86" s="56" t="s">
        <v>36</v>
      </c>
      <c r="W86" s="41" t="s">
        <v>36</v>
      </c>
      <c r="X86" s="41" t="s">
        <v>36</v>
      </c>
      <c r="Y86" s="40" t="s">
        <v>35</v>
      </c>
      <c r="Z86" s="40" t="s">
        <v>35</v>
      </c>
      <c r="AA86" s="56" t="s">
        <v>36</v>
      </c>
      <c r="AB86" s="56" t="s">
        <v>36</v>
      </c>
      <c r="AC86" s="56" t="s">
        <v>36</v>
      </c>
      <c r="AD86" s="56" t="s">
        <v>36</v>
      </c>
      <c r="AE86" s="57" t="s">
        <v>36</v>
      </c>
      <c r="AF86" s="57" t="s">
        <v>36</v>
      </c>
      <c r="AG86" s="71">
        <v>1</v>
      </c>
      <c r="AH86" s="71"/>
      <c r="AI86" s="71"/>
      <c r="AJ86" s="71"/>
      <c r="AK86" s="74" t="s">
        <v>52</v>
      </c>
    </row>
    <row r="87" spans="1:37">
      <c r="A87" s="34">
        <v>44630</v>
      </c>
      <c r="B87" s="97">
        <v>1600</v>
      </c>
      <c r="C87" s="97"/>
      <c r="D87" s="37">
        <f>(SUM(粮草!A87:X87)+AG87*10)*IF(AK87="是",$AX$4,$AX$3)</f>
        <v>1552</v>
      </c>
      <c r="E87" s="35">
        <f>SUM($B$4:B87)+SUM($C$4:C87)-SUM($D$4:D87)</f>
        <v>108</v>
      </c>
      <c r="F87" s="37">
        <f>SUM(经验!A87:X87)</f>
        <v>535</v>
      </c>
      <c r="G87" s="97">
        <f>SUM($F$4:F87)+SUM($H$4:H87)</f>
        <v>58940</v>
      </c>
      <c r="H87" s="97">
        <v>0</v>
      </c>
      <c r="I87" s="48" t="s">
        <v>46</v>
      </c>
      <c r="J87" s="48" t="s">
        <v>46</v>
      </c>
      <c r="K87" s="48" t="s">
        <v>46</v>
      </c>
      <c r="L87" s="48" t="s">
        <v>46</v>
      </c>
      <c r="M87" s="48" t="s">
        <v>46</v>
      </c>
      <c r="N87" s="48" t="s">
        <v>46</v>
      </c>
      <c r="O87" s="41" t="s">
        <v>36</v>
      </c>
      <c r="P87" s="41" t="s">
        <v>36</v>
      </c>
      <c r="Q87" s="45" t="s">
        <v>43</v>
      </c>
      <c r="R87" s="45" t="s">
        <v>43</v>
      </c>
      <c r="S87" s="43" t="s">
        <v>40</v>
      </c>
      <c r="T87" s="43" t="s">
        <v>40</v>
      </c>
      <c r="U87" s="47" t="s">
        <v>42</v>
      </c>
      <c r="V87" s="56" t="s">
        <v>36</v>
      </c>
      <c r="W87" s="41" t="s">
        <v>36</v>
      </c>
      <c r="X87" s="41" t="s">
        <v>36</v>
      </c>
      <c r="Y87" s="40" t="s">
        <v>35</v>
      </c>
      <c r="Z87" s="56" t="s">
        <v>36</v>
      </c>
      <c r="AA87" s="56" t="s">
        <v>36</v>
      </c>
      <c r="AB87" s="56" t="s">
        <v>36</v>
      </c>
      <c r="AC87" s="56" t="s">
        <v>36</v>
      </c>
      <c r="AD87" s="56" t="s">
        <v>36</v>
      </c>
      <c r="AE87" s="57" t="s">
        <v>36</v>
      </c>
      <c r="AF87" s="57" t="s">
        <v>36</v>
      </c>
      <c r="AG87" s="71">
        <v>0</v>
      </c>
      <c r="AH87" s="71"/>
      <c r="AI87" s="71"/>
      <c r="AJ87" s="71"/>
      <c r="AK87" s="74" t="s">
        <v>52</v>
      </c>
    </row>
    <row r="88" spans="1:37">
      <c r="A88" s="34">
        <v>44631</v>
      </c>
      <c r="B88" s="97">
        <v>1600</v>
      </c>
      <c r="C88" s="97"/>
      <c r="D88" s="37">
        <f>(SUM(粮草!A88:X88)+AG88*10)*IF(AK88="是",$AX$4,$AX$3)</f>
        <v>1640</v>
      </c>
      <c r="E88" s="35">
        <f>SUM($B$4:B88)+SUM($C$4:C88)-SUM($D$4:D88)</f>
        <v>68</v>
      </c>
      <c r="F88" s="37">
        <f>SUM(经验!A88:X88)</f>
        <v>550</v>
      </c>
      <c r="G88" s="97">
        <f>SUM($F$4:F88)+SUM($H$4:H88)</f>
        <v>59490</v>
      </c>
      <c r="H88" s="97">
        <v>0</v>
      </c>
      <c r="I88" s="48" t="s">
        <v>46</v>
      </c>
      <c r="J88" s="48" t="s">
        <v>46</v>
      </c>
      <c r="K88" s="48" t="s">
        <v>46</v>
      </c>
      <c r="L88" s="45" t="s">
        <v>43</v>
      </c>
      <c r="M88" s="45" t="s">
        <v>43</v>
      </c>
      <c r="N88" s="45" t="s">
        <v>43</v>
      </c>
      <c r="O88" s="41" t="s">
        <v>36</v>
      </c>
      <c r="P88" s="41" t="s">
        <v>36</v>
      </c>
      <c r="Q88" s="43" t="s">
        <v>40</v>
      </c>
      <c r="R88" s="43" t="s">
        <v>40</v>
      </c>
      <c r="S88" s="43" t="s">
        <v>40</v>
      </c>
      <c r="T88" s="43" t="s">
        <v>40</v>
      </c>
      <c r="U88" s="43" t="s">
        <v>40</v>
      </c>
      <c r="V88" s="47" t="s">
        <v>42</v>
      </c>
      <c r="W88" s="41" t="s">
        <v>36</v>
      </c>
      <c r="X88" s="41" t="s">
        <v>36</v>
      </c>
      <c r="Y88" s="75" t="s">
        <v>49</v>
      </c>
      <c r="Z88" s="56" t="s">
        <v>36</v>
      </c>
      <c r="AA88" s="56" t="s">
        <v>36</v>
      </c>
      <c r="AB88" s="56" t="s">
        <v>36</v>
      </c>
      <c r="AC88" s="56" t="s">
        <v>36</v>
      </c>
      <c r="AD88" s="56" t="s">
        <v>36</v>
      </c>
      <c r="AE88" s="57" t="s">
        <v>36</v>
      </c>
      <c r="AF88" s="57" t="s">
        <v>36</v>
      </c>
      <c r="AG88" s="71">
        <v>0</v>
      </c>
      <c r="AH88" s="71"/>
      <c r="AI88" s="71"/>
      <c r="AJ88" s="71"/>
      <c r="AK88" s="74" t="s">
        <v>52</v>
      </c>
    </row>
    <row r="89" spans="1:37">
      <c r="A89" s="34">
        <v>44632</v>
      </c>
      <c r="B89" s="97">
        <v>1600</v>
      </c>
      <c r="C89" s="97"/>
      <c r="D89" s="37">
        <f>(SUM(粮草!A89:X89)+AG89*10)*IF(AK89="是",$AX$4,$AX$3)</f>
        <v>1600</v>
      </c>
      <c r="E89" s="35">
        <f>SUM($B$4:B89)+SUM($C$4:C89)-SUM($D$4:D89)</f>
        <v>68</v>
      </c>
      <c r="F89" s="37">
        <f>SUM(经验!A89:X89)</f>
        <v>535</v>
      </c>
      <c r="G89" s="97">
        <f>SUM($F$4:F89)+SUM($H$4:H89)</f>
        <v>60025</v>
      </c>
      <c r="H89" s="97">
        <v>0</v>
      </c>
      <c r="I89" s="49" t="s">
        <v>51</v>
      </c>
      <c r="J89" s="45" t="s">
        <v>43</v>
      </c>
      <c r="K89" s="45" t="s">
        <v>43</v>
      </c>
      <c r="L89" s="45" t="s">
        <v>43</v>
      </c>
      <c r="M89" s="45" t="s">
        <v>43</v>
      </c>
      <c r="N89" s="45" t="s">
        <v>43</v>
      </c>
      <c r="O89" s="41" t="s">
        <v>36</v>
      </c>
      <c r="P89" s="41" t="s">
        <v>36</v>
      </c>
      <c r="Q89" s="43" t="s">
        <v>40</v>
      </c>
      <c r="R89" s="43" t="s">
        <v>40</v>
      </c>
      <c r="S89" s="43" t="s">
        <v>40</v>
      </c>
      <c r="T89" s="43" t="s">
        <v>40</v>
      </c>
      <c r="U89" s="43" t="s">
        <v>40</v>
      </c>
      <c r="V89" s="56" t="s">
        <v>36</v>
      </c>
      <c r="W89" s="41" t="s">
        <v>36</v>
      </c>
      <c r="X89" s="41" t="s">
        <v>36</v>
      </c>
      <c r="Y89" s="40" t="s">
        <v>35</v>
      </c>
      <c r="Z89" s="47" t="s">
        <v>42</v>
      </c>
      <c r="AA89" s="56" t="s">
        <v>36</v>
      </c>
      <c r="AB89" s="56" t="s">
        <v>36</v>
      </c>
      <c r="AC89" s="56" t="s">
        <v>36</v>
      </c>
      <c r="AD89" s="56" t="s">
        <v>36</v>
      </c>
      <c r="AE89" s="57" t="s">
        <v>36</v>
      </c>
      <c r="AF89" s="57" t="s">
        <v>36</v>
      </c>
      <c r="AG89" s="71">
        <v>0</v>
      </c>
      <c r="AH89" s="71"/>
      <c r="AI89" s="71"/>
      <c r="AJ89" s="71"/>
      <c r="AK89" s="74" t="s">
        <v>52</v>
      </c>
    </row>
    <row r="90" spans="1:37">
      <c r="A90" s="34">
        <v>44633</v>
      </c>
      <c r="B90" s="97">
        <v>1600</v>
      </c>
      <c r="C90" s="97"/>
      <c r="D90" s="37">
        <f>(SUM(粮草!A90:X90)+AG90*10)*IF(AK90="是",$AX$4,$AX$3)</f>
        <v>1608</v>
      </c>
      <c r="E90" s="35">
        <f>SUM($B$4:B90)+SUM($C$4:C90)-SUM($D$4:D90)</f>
        <v>60</v>
      </c>
      <c r="F90" s="37">
        <f>SUM(经验!A90:X90)</f>
        <v>535</v>
      </c>
      <c r="G90" s="97">
        <f>SUM($F$4:F90)+SUM($H$4:H90)</f>
        <v>60560</v>
      </c>
      <c r="H90" s="97">
        <v>0</v>
      </c>
      <c r="I90" s="45" t="s">
        <v>43</v>
      </c>
      <c r="J90" s="45" t="s">
        <v>43</v>
      </c>
      <c r="K90" s="45" t="s">
        <v>43</v>
      </c>
      <c r="L90" s="45" t="s">
        <v>43</v>
      </c>
      <c r="M90" s="45" t="s">
        <v>43</v>
      </c>
      <c r="N90" s="45" t="s">
        <v>43</v>
      </c>
      <c r="O90" s="41" t="s">
        <v>36</v>
      </c>
      <c r="P90" s="41" t="s">
        <v>36</v>
      </c>
      <c r="Q90" s="43" t="s">
        <v>40</v>
      </c>
      <c r="R90" s="47" t="s">
        <v>42</v>
      </c>
      <c r="S90" s="43" t="s">
        <v>40</v>
      </c>
      <c r="T90" s="43" t="s">
        <v>40</v>
      </c>
      <c r="U90" s="44" t="s">
        <v>44</v>
      </c>
      <c r="V90" s="43" t="s">
        <v>40</v>
      </c>
      <c r="W90" s="41" t="s">
        <v>36</v>
      </c>
      <c r="X90" s="41" t="s">
        <v>36</v>
      </c>
      <c r="Y90" s="40" t="s">
        <v>35</v>
      </c>
      <c r="Z90" s="56" t="s">
        <v>36</v>
      </c>
      <c r="AA90" s="56" t="s">
        <v>36</v>
      </c>
      <c r="AB90" s="56" t="s">
        <v>36</v>
      </c>
      <c r="AC90" s="56" t="s">
        <v>36</v>
      </c>
      <c r="AD90" s="56" t="s">
        <v>36</v>
      </c>
      <c r="AE90" s="57" t="s">
        <v>36</v>
      </c>
      <c r="AF90" s="57" t="s">
        <v>36</v>
      </c>
      <c r="AG90" s="71">
        <v>0</v>
      </c>
      <c r="AH90" s="71"/>
      <c r="AI90" s="71"/>
      <c r="AJ90" s="71"/>
      <c r="AK90" s="74" t="s">
        <v>52</v>
      </c>
    </row>
    <row r="91" spans="1:37">
      <c r="A91" s="34">
        <v>44634</v>
      </c>
      <c r="B91">
        <v>1600</v>
      </c>
      <c r="D91" s="37">
        <f>(SUM(粮草!A91:X91)+AG91*10)*IF(AK91="是",$AX$4,$AX$3)</f>
        <v>1600</v>
      </c>
      <c r="E91" s="35">
        <f>SUM($B$4:B91)+SUM($C$4:C91)-SUM($D$4:D91)</f>
        <v>60</v>
      </c>
      <c r="F91" s="37">
        <f>SUM(经验!A91:X91)</f>
        <v>525</v>
      </c>
      <c r="G91" s="97">
        <f>SUM($F$4:F91)+SUM($H$4:H91)</f>
        <v>61285</v>
      </c>
      <c r="H91">
        <v>200</v>
      </c>
      <c r="I91" s="45" t="s">
        <v>43</v>
      </c>
      <c r="J91" s="45" t="s">
        <v>43</v>
      </c>
      <c r="K91" s="45" t="s">
        <v>43</v>
      </c>
      <c r="L91" s="45" t="s">
        <v>43</v>
      </c>
      <c r="M91" s="45" t="s">
        <v>43</v>
      </c>
      <c r="N91" s="45" t="s">
        <v>43</v>
      </c>
      <c r="O91" s="41" t="s">
        <v>36</v>
      </c>
      <c r="P91" s="41" t="s">
        <v>36</v>
      </c>
      <c r="Q91" s="43" t="s">
        <v>40</v>
      </c>
      <c r="R91" s="43" t="s">
        <v>40</v>
      </c>
      <c r="S91" s="47" t="s">
        <v>42</v>
      </c>
      <c r="T91" s="43" t="s">
        <v>40</v>
      </c>
      <c r="U91" s="56" t="s">
        <v>36</v>
      </c>
      <c r="V91" s="56" t="s">
        <v>36</v>
      </c>
      <c r="W91" s="41" t="s">
        <v>36</v>
      </c>
      <c r="X91" s="41" t="s">
        <v>36</v>
      </c>
      <c r="Y91" s="40" t="s">
        <v>35</v>
      </c>
      <c r="Z91" s="40" t="s">
        <v>35</v>
      </c>
      <c r="AA91" s="40" t="s">
        <v>35</v>
      </c>
      <c r="AB91" s="56" t="s">
        <v>36</v>
      </c>
      <c r="AC91" s="56" t="s">
        <v>36</v>
      </c>
      <c r="AD91" s="56" t="s">
        <v>36</v>
      </c>
      <c r="AE91" s="57" t="s">
        <v>36</v>
      </c>
      <c r="AF91" s="57" t="s">
        <v>36</v>
      </c>
      <c r="AG91" s="71">
        <v>0</v>
      </c>
      <c r="AH91" s="71"/>
      <c r="AI91" s="71"/>
      <c r="AJ91" s="71"/>
      <c r="AK91" s="74" t="s">
        <v>52</v>
      </c>
    </row>
    <row r="92" spans="1:37">
      <c r="A92" s="34">
        <v>44635</v>
      </c>
      <c r="B92">
        <v>1600</v>
      </c>
      <c r="D92" s="37">
        <f>(SUM(粮草!A92:X92)+AG92*10)*IF(AK92="是",$AX$4,$AX$3)</f>
        <v>1656</v>
      </c>
      <c r="E92" s="35">
        <f>SUM($B$4:B92)+SUM($C$4:C92)-SUM($D$4:D92)</f>
        <v>4</v>
      </c>
      <c r="F92" s="37">
        <f>SUM(经验!A92:X92)</f>
        <v>565</v>
      </c>
      <c r="G92" s="97">
        <f>SUM($F$4:F92)+SUM($H$4:H92)</f>
        <v>61950</v>
      </c>
      <c r="H92">
        <v>100</v>
      </c>
      <c r="I92" s="45" t="s">
        <v>43</v>
      </c>
      <c r="J92" s="45" t="s">
        <v>43</v>
      </c>
      <c r="K92" s="45" t="s">
        <v>43</v>
      </c>
      <c r="L92" s="45" t="s">
        <v>43</v>
      </c>
      <c r="M92" s="45" t="s">
        <v>43</v>
      </c>
      <c r="N92" s="45" t="s">
        <v>43</v>
      </c>
      <c r="O92" s="41" t="s">
        <v>36</v>
      </c>
      <c r="P92" s="41" t="s">
        <v>36</v>
      </c>
      <c r="Q92" s="43" t="s">
        <v>40</v>
      </c>
      <c r="R92" s="43" t="s">
        <v>40</v>
      </c>
      <c r="S92" s="43" t="s">
        <v>40</v>
      </c>
      <c r="T92" s="47" t="s">
        <v>42</v>
      </c>
      <c r="U92" s="43" t="s">
        <v>40</v>
      </c>
      <c r="V92" s="43" t="s">
        <v>40</v>
      </c>
      <c r="W92" s="41" t="s">
        <v>36</v>
      </c>
      <c r="X92" s="41" t="s">
        <v>36</v>
      </c>
      <c r="Y92" s="47" t="s">
        <v>42</v>
      </c>
      <c r="Z92" s="40" t="s">
        <v>35</v>
      </c>
      <c r="AA92" s="56" t="s">
        <v>36</v>
      </c>
      <c r="AB92" s="56" t="s">
        <v>36</v>
      </c>
      <c r="AC92" s="56" t="s">
        <v>36</v>
      </c>
      <c r="AD92" s="56" t="s">
        <v>36</v>
      </c>
      <c r="AE92" s="57" t="s">
        <v>36</v>
      </c>
      <c r="AF92" s="57" t="s">
        <v>36</v>
      </c>
      <c r="AG92" s="71">
        <v>0</v>
      </c>
      <c r="AH92" s="71"/>
      <c r="AI92" s="71"/>
      <c r="AJ92" s="71"/>
      <c r="AK92" s="74" t="s">
        <v>52</v>
      </c>
    </row>
    <row r="93" spans="1:37">
      <c r="A93" s="34">
        <v>44636</v>
      </c>
      <c r="B93">
        <v>1600</v>
      </c>
      <c r="D93" s="37">
        <f>(SUM(粮草!A93:X93)+AG93*10)*IF(AK93="是",$AX$4,$AX$3)</f>
        <v>1480</v>
      </c>
      <c r="E93" s="35">
        <f>SUM($B$4:B93)+SUM($C$4:C93)-SUM($D$4:D93)</f>
        <v>124</v>
      </c>
      <c r="F93" s="37">
        <f>SUM(经验!A93:X93)</f>
        <v>490</v>
      </c>
      <c r="G93" s="97">
        <f>SUM($F$4:F93)+SUM($H$4:H93)</f>
        <v>62640</v>
      </c>
      <c r="H93">
        <v>200</v>
      </c>
      <c r="I93" s="45" t="s">
        <v>43</v>
      </c>
      <c r="J93" s="45" t="s">
        <v>43</v>
      </c>
      <c r="K93" s="45" t="s">
        <v>43</v>
      </c>
      <c r="L93" s="45" t="s">
        <v>43</v>
      </c>
      <c r="M93" s="45" t="s">
        <v>43</v>
      </c>
      <c r="N93" s="43" t="s">
        <v>40</v>
      </c>
      <c r="O93" s="41" t="s">
        <v>36</v>
      </c>
      <c r="P93" s="41" t="s">
        <v>36</v>
      </c>
      <c r="Q93" s="43" t="s">
        <v>40</v>
      </c>
      <c r="R93" s="43" t="s">
        <v>40</v>
      </c>
      <c r="S93" s="43" t="s">
        <v>40</v>
      </c>
      <c r="T93" s="43" t="s">
        <v>40</v>
      </c>
      <c r="U93" s="47" t="s">
        <v>42</v>
      </c>
      <c r="V93" s="56" t="s">
        <v>36</v>
      </c>
      <c r="W93" s="41" t="s">
        <v>36</v>
      </c>
      <c r="X93" s="41" t="s">
        <v>36</v>
      </c>
      <c r="Y93" s="40" t="s">
        <v>35</v>
      </c>
      <c r="Z93" s="56" t="s">
        <v>36</v>
      </c>
      <c r="AA93" s="56" t="s">
        <v>36</v>
      </c>
      <c r="AB93" s="56" t="s">
        <v>36</v>
      </c>
      <c r="AC93" s="56" t="s">
        <v>36</v>
      </c>
      <c r="AD93" s="56" t="s">
        <v>36</v>
      </c>
      <c r="AE93" s="57" t="s">
        <v>36</v>
      </c>
      <c r="AF93" s="57" t="s">
        <v>36</v>
      </c>
      <c r="AG93" s="71">
        <v>0</v>
      </c>
      <c r="AH93" s="71"/>
      <c r="AI93" s="71"/>
      <c r="AJ93" s="71"/>
      <c r="AK93" s="74" t="s">
        <v>52</v>
      </c>
    </row>
    <row r="94" ht="15" spans="1:37">
      <c r="A94" s="34">
        <v>44637</v>
      </c>
      <c r="B94">
        <v>1600</v>
      </c>
      <c r="D94" s="37">
        <f>(SUM(粮草!A94:X94)+AG94*10)*IF(AK94="是",$AX$4,$AX$3)</f>
        <v>1720</v>
      </c>
      <c r="E94" s="35">
        <f>SUM($B$4:B94)+SUM($C$4:C94)-SUM($D$4:D94)</f>
        <v>4</v>
      </c>
      <c r="F94" s="37">
        <f>SUM(经验!A94:X94)</f>
        <v>655</v>
      </c>
      <c r="G94" s="97">
        <f>SUM($F$4:F94)+SUM($H$4:H94)</f>
        <v>63295</v>
      </c>
      <c r="H94">
        <v>0</v>
      </c>
      <c r="I94" s="47" t="s">
        <v>42</v>
      </c>
      <c r="J94" s="43" t="s">
        <v>40</v>
      </c>
      <c r="K94" s="42" t="s">
        <v>57</v>
      </c>
      <c r="L94" s="43" t="s">
        <v>40</v>
      </c>
      <c r="M94" s="43" t="s">
        <v>40</v>
      </c>
      <c r="N94" s="43" t="s">
        <v>40</v>
      </c>
      <c r="O94" s="43" t="s">
        <v>40</v>
      </c>
      <c r="P94" s="47" t="s">
        <v>42</v>
      </c>
      <c r="Q94" s="43" t="s">
        <v>40</v>
      </c>
      <c r="R94" s="43" t="s">
        <v>40</v>
      </c>
      <c r="S94" s="43" t="s">
        <v>40</v>
      </c>
      <c r="T94" s="43" t="s">
        <v>40</v>
      </c>
      <c r="U94" s="43" t="s">
        <v>40</v>
      </c>
      <c r="V94" s="47" t="s">
        <v>42</v>
      </c>
      <c r="W94" s="41" t="s">
        <v>36</v>
      </c>
      <c r="X94" s="41" t="s">
        <v>36</v>
      </c>
      <c r="Y94" s="40" t="s">
        <v>35</v>
      </c>
      <c r="Z94" s="40" t="s">
        <v>35</v>
      </c>
      <c r="AA94" s="47" t="s">
        <v>42</v>
      </c>
      <c r="AB94" s="40" t="s">
        <v>35</v>
      </c>
      <c r="AC94" s="47" t="s">
        <v>42</v>
      </c>
      <c r="AD94" s="56" t="s">
        <v>36</v>
      </c>
      <c r="AE94" s="57" t="s">
        <v>36</v>
      </c>
      <c r="AF94" s="57" t="s">
        <v>36</v>
      </c>
      <c r="AG94" s="71">
        <v>5</v>
      </c>
      <c r="AH94" s="71"/>
      <c r="AI94" s="71"/>
      <c r="AJ94" s="71"/>
      <c r="AK94" s="99" t="s">
        <v>52</v>
      </c>
    </row>
    <row r="96" spans="4:5">
      <c r="D96" t="s">
        <v>65</v>
      </c>
      <c r="E96" s="98">
        <f>COUNTIF(E4:E94,"&lt;0")</f>
        <v>0</v>
      </c>
    </row>
  </sheetData>
  <mergeCells count="13"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  <mergeCell ref="AK2:AK3"/>
    <mergeCell ref="AW5:AX8"/>
    <mergeCell ref="AM1:AO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{e40bef09-437f-41d9-ada4-106fc3bf361f}</x14:id>
        </ext>
      </extLst>
    </cfRule>
  </conditionalFormatting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0bef09-437f-41d9-ada4-106fc3bf36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4"/>
  <sheetViews>
    <sheetView topLeftCell="A52" workbookViewId="0">
      <selection activeCell="F89" sqref="F89"/>
    </sheetView>
  </sheetViews>
  <sheetFormatPr defaultColWidth="9" defaultRowHeight="14.25"/>
  <sheetData>
    <row r="1" ht="15"/>
    <row r="2" spans="1:24">
      <c r="A2" s="1" t="s">
        <v>66</v>
      </c>
      <c r="B2" s="2"/>
      <c r="C2" s="2" t="s">
        <v>5</v>
      </c>
      <c r="D2" s="2">
        <f>COUNTIF(A4:H94,"&lt;&gt;空")</f>
        <v>728</v>
      </c>
      <c r="E2" s="2" t="s">
        <v>6</v>
      </c>
      <c r="F2" s="2"/>
      <c r="G2" s="2"/>
      <c r="H2" s="3"/>
      <c r="I2" s="8" t="s">
        <v>7</v>
      </c>
      <c r="J2" s="9"/>
      <c r="K2" s="9" t="s">
        <v>5</v>
      </c>
      <c r="L2" s="9">
        <f>COUNTIF(I4:P94,"&lt;&gt;空")</f>
        <v>728</v>
      </c>
      <c r="M2" s="9" t="s">
        <v>6</v>
      </c>
      <c r="N2" s="9"/>
      <c r="O2" s="9"/>
      <c r="P2" s="10"/>
      <c r="Q2" s="13" t="s">
        <v>8</v>
      </c>
      <c r="R2" s="14"/>
      <c r="S2" s="15" t="s">
        <v>9</v>
      </c>
      <c r="T2" s="14">
        <f>COUNTIF(Q4:X94,"&lt;&gt;空")</f>
        <v>728</v>
      </c>
      <c r="U2" s="14" t="s">
        <v>6</v>
      </c>
      <c r="V2" s="14"/>
      <c r="W2" s="14"/>
      <c r="X2" s="16"/>
    </row>
    <row r="3" spans="1:24">
      <c r="A3" s="4">
        <v>1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  <c r="H3" s="5">
        <v>8</v>
      </c>
      <c r="I3" s="11">
        <v>1</v>
      </c>
      <c r="J3" s="12">
        <v>2</v>
      </c>
      <c r="K3" s="12">
        <v>3</v>
      </c>
      <c r="L3" s="12">
        <v>4</v>
      </c>
      <c r="M3" s="12">
        <v>5</v>
      </c>
      <c r="N3" s="12">
        <v>6</v>
      </c>
      <c r="O3" s="12">
        <v>7</v>
      </c>
      <c r="P3" s="12">
        <v>8</v>
      </c>
      <c r="Q3" s="17">
        <v>1</v>
      </c>
      <c r="R3" s="18">
        <v>2</v>
      </c>
      <c r="S3" s="18">
        <v>3</v>
      </c>
      <c r="T3" s="18">
        <v>4</v>
      </c>
      <c r="U3" s="18">
        <v>5</v>
      </c>
      <c r="V3" s="18">
        <v>6</v>
      </c>
      <c r="W3" s="18">
        <v>7</v>
      </c>
      <c r="X3" s="19">
        <v>8</v>
      </c>
    </row>
    <row r="4" spans="1:24">
      <c r="A4" s="6">
        <f>(VLOOKUP('102 5.1.00'!I4,'102 5.1.00'!$AM$4:$AO$55,2,FALSE))*IF('102 5.1.00'!AK$4="是",'102 5.1.00'!$AX$4,'102 5.1.00'!$AX$3)</f>
        <v>150</v>
      </c>
      <c r="B4" s="6">
        <f>(VLOOKUP('102 5.1.00'!J4,'102 5.1.00'!$AM$4:$AO$55,2,FALSE))*IF('102 5.1.00'!AL$4="是",'102 5.1.00'!$AX$4,'102 5.1.00'!$AX$3)</f>
        <v>150</v>
      </c>
      <c r="C4" s="6">
        <f>(VLOOKUP('102 5.1.00'!K4,'102 5.1.00'!$AM$4:$AO$55,2,FALSE))*IF('102 5.1.00'!AM$4="是",'102 5.1.00'!$AX$4,'102 5.1.00'!$AX$3)</f>
        <v>150</v>
      </c>
      <c r="D4" s="6">
        <f>(VLOOKUP('102 5.1.00'!L4,'102 5.1.00'!$AM$4:$AO$55,2,FALSE))*IF('102 5.1.00'!AN$4="是",'102 5.1.00'!$AX$4,'102 5.1.00'!$AX$3)</f>
        <v>150</v>
      </c>
      <c r="E4" s="6">
        <f>(VLOOKUP('102 5.1.00'!M4,'102 5.1.00'!$AM$4:$AO$55,2,FALSE))*IF('102 5.1.00'!AO$4="是",'102 5.1.00'!$AX$4,'102 5.1.00'!$AX$3)</f>
        <v>150</v>
      </c>
      <c r="F4" s="6">
        <f>(VLOOKUP('102 5.1.00'!N4,'102 5.1.00'!$AM$4:$AO$55,2,FALSE))*IF('102 5.1.00'!AP$4="是",'102 5.1.00'!$AX$4,'102 5.1.00'!$AX$3)</f>
        <v>0</v>
      </c>
      <c r="G4" s="7">
        <f>(VLOOKUP('102 5.1.00'!O4,'102 5.1.00'!$AM$4:$AO$55,2,FALSE))*IF('102 5.1.00'!AQ$4="是",'102 5.1.00'!$AX$4,'102 5.1.00'!$AX$3)</f>
        <v>0</v>
      </c>
      <c r="H4" s="7">
        <f>(VLOOKUP('102 5.1.00'!P4,'102 5.1.00'!$AM$4:$AO$55,2,FALSE))*IF('102 5.1.00'!AR$4="是",'102 5.1.00'!$AX$4,'102 5.1.00'!$AX$3)</f>
        <v>0</v>
      </c>
      <c r="I4" s="6">
        <f>(VLOOKUP('102 5.1.00'!Q4,'102 5.1.00'!$AM$4:$AO$55,2,FALSE))*IF('102 5.1.00'!AS$4="是",'102 5.1.00'!$AX$4,'102 5.1.00'!$AX$3)</f>
        <v>0</v>
      </c>
      <c r="J4" s="6">
        <f>(VLOOKUP('102 5.1.00'!R4,'102 5.1.00'!$AM$4:$AO$55,2,FALSE))*IF('102 5.1.00'!AT$4="是",'102 5.1.00'!$AX$4,'102 5.1.00'!$AX$3)</f>
        <v>0</v>
      </c>
      <c r="K4" s="6">
        <f>(VLOOKUP('102 5.1.00'!S4,'102 5.1.00'!$AM$4:$AO$55,2,FALSE))*IF('102 5.1.00'!AU$4="是",'102 5.1.00'!$AX$4,'102 5.1.00'!$AX$3)</f>
        <v>0</v>
      </c>
      <c r="L4" s="6">
        <f>(VLOOKUP('102 5.1.00'!T4,'102 5.1.00'!$AM$4:$AO$55,2,FALSE))*IF('102 5.1.00'!AV$4="是",'102 5.1.00'!$AX$4,'102 5.1.00'!$AX$3)</f>
        <v>0</v>
      </c>
      <c r="M4" s="6">
        <f>(VLOOKUP('102 5.1.00'!U4,'102 5.1.00'!$AM$4:$AO$55,2,FALSE))*IF('102 5.1.00'!AW$4="是",'102 5.1.00'!$AX$4,'102 5.1.00'!$AX$3)</f>
        <v>0</v>
      </c>
      <c r="N4" s="6">
        <f>(VLOOKUP('102 5.1.00'!V4,'102 5.1.00'!$AM$4:$AO$55,2,FALSE))*IF('102 5.1.00'!AX$4="是",'102 5.1.00'!$AX$4,'102 5.1.00'!$AX$3)</f>
        <v>0</v>
      </c>
      <c r="O4" s="7">
        <f>(VLOOKUP('102 5.1.00'!W4,'102 5.1.00'!$AM$4:$AO$55,2,FALSE))*IF('102 5.1.00'!AY$4="是",'102 5.1.00'!$AX$4,'102 5.1.00'!$AX$3)</f>
        <v>0</v>
      </c>
      <c r="P4" s="7">
        <f>(VLOOKUP('102 5.1.00'!X4,'102 5.1.00'!$AM$4:$AO$55,2,FALSE))*IF('102 5.1.00'!AZ$4="是",'102 5.1.00'!$AX$4,'102 5.1.00'!$AX$3)</f>
        <v>0</v>
      </c>
      <c r="Q4" s="6">
        <f>(VLOOKUP('102 5.1.00'!Y4,'102 5.1.00'!$AM$4:$AO$55,2,FALSE))*IF('102 5.1.00'!BA$4="是",'102 5.1.00'!$AX$4,'102 5.1.00'!$AX$3)</f>
        <v>0</v>
      </c>
      <c r="R4" s="6">
        <f>(VLOOKUP('102 5.1.00'!Z4,'102 5.1.00'!$AM$4:$AO$55,2,FALSE))*IF('102 5.1.00'!BB$4="是",'102 5.1.00'!$AX$4,'102 5.1.00'!$AX$3)</f>
        <v>0</v>
      </c>
      <c r="S4" s="6">
        <f>(VLOOKUP('102 5.1.00'!AA4,'102 5.1.00'!$AM$4:$AO$55,2,FALSE))*IF('102 5.1.00'!BC$4="是",'102 5.1.00'!$AX$4,'102 5.1.00'!$AX$3)</f>
        <v>0</v>
      </c>
      <c r="T4" s="6">
        <f>(VLOOKUP('102 5.1.00'!AB4,'102 5.1.00'!$AM$4:$AO$55,2,FALSE))*IF('102 5.1.00'!BD$4="是",'102 5.1.00'!$AX$4,'102 5.1.00'!$AX$3)</f>
        <v>0</v>
      </c>
      <c r="U4" s="6">
        <f>(VLOOKUP('102 5.1.00'!AC4,'102 5.1.00'!$AM$4:$AO$55,2,FALSE))*IF('102 5.1.00'!BE$4="是",'102 5.1.00'!$AX$4,'102 5.1.00'!$AX$3)</f>
        <v>0</v>
      </c>
      <c r="V4" s="6">
        <f>(VLOOKUP('102 5.1.00'!AD4,'102 5.1.00'!$AM$4:$AO$55,2,FALSE))*IF('102 5.1.00'!BF$4="是",'102 5.1.00'!$AX$4,'102 5.1.00'!$AX$3)</f>
        <v>0</v>
      </c>
      <c r="W4" s="7">
        <f>(VLOOKUP('102 5.1.00'!AE4,'102 5.1.00'!$AM$4:$AO$55,2,FALSE))*IF('102 5.1.00'!BG$4="是",'102 5.1.00'!$AX$4,'102 5.1.00'!$AX$3)</f>
        <v>0</v>
      </c>
      <c r="X4" s="7">
        <f>(VLOOKUP('102 5.1.00'!AF4,'102 5.1.00'!$AM$4:$AO$55,2,FALSE))*IF('102 5.1.00'!BH$4="是",'102 5.1.00'!$AX$4,'102 5.1.00'!$AX$3)</f>
        <v>0</v>
      </c>
    </row>
    <row r="5" spans="1:24">
      <c r="A5" s="6">
        <f>(VLOOKUP('102 5.1.00'!I5,'102 5.1.00'!$AM$4:$AO$55,2,FALSE))*IF('102 5.1.00'!AK$4="是",'102 5.1.00'!$AX$4,'102 5.1.00'!$AX$3)</f>
        <v>150</v>
      </c>
      <c r="B5" s="6">
        <f>(VLOOKUP('102 5.1.00'!J5,'102 5.1.00'!$AM$4:$AO$55,2,FALSE))*IF('102 5.1.00'!AL$4="是",'102 5.1.00'!$AX$4,'102 5.1.00'!$AX$3)</f>
        <v>150</v>
      </c>
      <c r="C5" s="6">
        <f>(VLOOKUP('102 5.1.00'!K5,'102 5.1.00'!$AM$4:$AO$55,2,FALSE))*IF('102 5.1.00'!AM$4="是",'102 5.1.00'!$AX$4,'102 5.1.00'!$AX$3)</f>
        <v>150</v>
      </c>
      <c r="D5" s="6">
        <f>(VLOOKUP('102 5.1.00'!L5,'102 5.1.00'!$AM$4:$AO$55,2,FALSE))*IF('102 5.1.00'!AN$4="是",'102 5.1.00'!$AX$4,'102 5.1.00'!$AX$3)</f>
        <v>150</v>
      </c>
      <c r="E5" s="6">
        <f>(VLOOKUP('102 5.1.00'!M5,'102 5.1.00'!$AM$4:$AO$55,2,FALSE))*IF('102 5.1.00'!AO$4="是",'102 5.1.00'!$AX$4,'102 5.1.00'!$AX$3)</f>
        <v>150</v>
      </c>
      <c r="F5" s="6">
        <f>(VLOOKUP('102 5.1.00'!N5,'102 5.1.00'!$AM$4:$AO$55,2,FALSE))*IF('102 5.1.00'!AP$4="是",'102 5.1.00'!$AX$4,'102 5.1.00'!$AX$3)</f>
        <v>-150</v>
      </c>
      <c r="G5" s="7">
        <f>(VLOOKUP('102 5.1.00'!O5,'102 5.1.00'!$AM$4:$AO$55,2,FALSE))*IF('102 5.1.00'!AQ$4="是",'102 5.1.00'!$AX$4,'102 5.1.00'!$AX$3)</f>
        <v>150</v>
      </c>
      <c r="H5" s="7">
        <f>(VLOOKUP('102 5.1.00'!P5,'102 5.1.00'!$AM$4:$AO$55,2,FALSE))*IF('102 5.1.00'!AR$4="是",'102 5.1.00'!$AX$4,'102 5.1.00'!$AX$3)</f>
        <v>150</v>
      </c>
      <c r="I5" s="6">
        <f>(VLOOKUP('102 5.1.00'!Q5,'102 5.1.00'!$AM$4:$AO$55,2,FALSE))*IF('102 5.1.00'!AS$4="是",'102 5.1.00'!$AX$4,'102 5.1.00'!$AX$3)</f>
        <v>150</v>
      </c>
      <c r="J5" s="6">
        <f>(VLOOKUP('102 5.1.00'!R5,'102 5.1.00'!$AM$4:$AO$55,2,FALSE))*IF('102 5.1.00'!AT$4="是",'102 5.1.00'!$AX$4,'102 5.1.00'!$AX$3)</f>
        <v>150</v>
      </c>
      <c r="K5" s="6">
        <f>(VLOOKUP('102 5.1.00'!S5,'102 5.1.00'!$AM$4:$AO$55,2,FALSE))*IF('102 5.1.00'!AU$4="是",'102 5.1.00'!$AX$4,'102 5.1.00'!$AX$3)</f>
        <v>160</v>
      </c>
      <c r="L5" s="6">
        <f>(VLOOKUP('102 5.1.00'!T5,'102 5.1.00'!$AM$4:$AO$55,2,FALSE))*IF('102 5.1.00'!AV$4="是",'102 5.1.00'!$AX$4,'102 5.1.00'!$AX$3)</f>
        <v>160</v>
      </c>
      <c r="M5" s="6">
        <f>(VLOOKUP('102 5.1.00'!U5,'102 5.1.00'!$AM$4:$AO$55,2,FALSE))*IF('102 5.1.00'!AW$4="是",'102 5.1.00'!$AX$4,'102 5.1.00'!$AX$3)</f>
        <v>0</v>
      </c>
      <c r="N5" s="6">
        <f>(VLOOKUP('102 5.1.00'!V5,'102 5.1.00'!$AM$4:$AO$55,2,FALSE))*IF('102 5.1.00'!AX$4="是",'102 5.1.00'!$AX$4,'102 5.1.00'!$AX$3)</f>
        <v>0</v>
      </c>
      <c r="O5" s="7">
        <f>(VLOOKUP('102 5.1.00'!W5,'102 5.1.00'!$AM$4:$AO$55,2,FALSE))*IF('102 5.1.00'!AY$4="是",'102 5.1.00'!$AX$4,'102 5.1.00'!$AX$3)</f>
        <v>0</v>
      </c>
      <c r="P5" s="7">
        <f>(VLOOKUP('102 5.1.00'!X5,'102 5.1.00'!$AM$4:$AO$55,2,FALSE))*IF('102 5.1.00'!AZ$4="是",'102 5.1.00'!$AX$4,'102 5.1.00'!$AX$3)</f>
        <v>0</v>
      </c>
      <c r="Q5" s="6">
        <f>(VLOOKUP('102 5.1.00'!Y5,'102 5.1.00'!$AM$4:$AO$55,2,FALSE))*IF('102 5.1.00'!BA$4="是",'102 5.1.00'!$AX$4,'102 5.1.00'!$AX$3)</f>
        <v>0</v>
      </c>
      <c r="R5" s="6">
        <f>(VLOOKUP('102 5.1.00'!Z5,'102 5.1.00'!$AM$4:$AO$55,2,FALSE))*IF('102 5.1.00'!BB$4="是",'102 5.1.00'!$AX$4,'102 5.1.00'!$AX$3)</f>
        <v>0</v>
      </c>
      <c r="S5" s="6">
        <f>(VLOOKUP('102 5.1.00'!AA5,'102 5.1.00'!$AM$4:$AO$55,2,FALSE))*IF('102 5.1.00'!BC$4="是",'102 5.1.00'!$AX$4,'102 5.1.00'!$AX$3)</f>
        <v>0</v>
      </c>
      <c r="T5" s="6">
        <f>(VLOOKUP('102 5.1.00'!AB5,'102 5.1.00'!$AM$4:$AO$55,2,FALSE))*IF('102 5.1.00'!BD$4="是",'102 5.1.00'!$AX$4,'102 5.1.00'!$AX$3)</f>
        <v>0</v>
      </c>
      <c r="U5" s="6">
        <f>(VLOOKUP('102 5.1.00'!AC5,'102 5.1.00'!$AM$4:$AO$55,2,FALSE))*IF('102 5.1.00'!BE$4="是",'102 5.1.00'!$AX$4,'102 5.1.00'!$AX$3)</f>
        <v>0</v>
      </c>
      <c r="V5" s="6">
        <f>(VLOOKUP('102 5.1.00'!AD5,'102 5.1.00'!$AM$4:$AO$55,2,FALSE))*IF('102 5.1.00'!BF$4="是",'102 5.1.00'!$AX$4,'102 5.1.00'!$AX$3)</f>
        <v>0</v>
      </c>
      <c r="W5" s="7">
        <f>(VLOOKUP('102 5.1.00'!AE5,'102 5.1.00'!$AM$4:$AO$55,2,FALSE))*IF('102 5.1.00'!BG$4="是",'102 5.1.00'!$AX$4,'102 5.1.00'!$AX$3)</f>
        <v>0</v>
      </c>
      <c r="X5" s="7">
        <f>(VLOOKUP('102 5.1.00'!AF5,'102 5.1.00'!$AM$4:$AO$55,2,FALSE))*IF('102 5.1.00'!BH$4="是",'102 5.1.00'!$AX$4,'102 5.1.00'!$AX$3)</f>
        <v>0</v>
      </c>
    </row>
    <row r="6" spans="1:24">
      <c r="A6" s="6">
        <f>(VLOOKUP('102 5.1.00'!I6,'102 5.1.00'!$AM$4:$AO$55,2,FALSE))*IF('102 5.1.00'!AK$4="是",'102 5.1.00'!$AX$4,'102 5.1.00'!$AX$3)</f>
        <v>160</v>
      </c>
      <c r="B6" s="6">
        <f>(VLOOKUP('102 5.1.00'!J6,'102 5.1.00'!$AM$4:$AO$55,2,FALSE))*IF('102 5.1.00'!AL$4="是",'102 5.1.00'!$AX$4,'102 5.1.00'!$AX$3)</f>
        <v>160</v>
      </c>
      <c r="C6" s="6">
        <f>(VLOOKUP('102 5.1.00'!K6,'102 5.1.00'!$AM$4:$AO$55,2,FALSE))*IF('102 5.1.00'!AM$4="是",'102 5.1.00'!$AX$4,'102 5.1.00'!$AX$3)</f>
        <v>160</v>
      </c>
      <c r="D6" s="6">
        <f>(VLOOKUP('102 5.1.00'!L6,'102 5.1.00'!$AM$4:$AO$55,2,FALSE))*IF('102 5.1.00'!AN$4="是",'102 5.1.00'!$AX$4,'102 5.1.00'!$AX$3)</f>
        <v>160</v>
      </c>
      <c r="E6" s="6">
        <f>(VLOOKUP('102 5.1.00'!M6,'102 5.1.00'!$AM$4:$AO$55,2,FALSE))*IF('102 5.1.00'!AO$4="是",'102 5.1.00'!$AX$4,'102 5.1.00'!$AX$3)</f>
        <v>160</v>
      </c>
      <c r="F6" s="6">
        <f>(VLOOKUP('102 5.1.00'!N6,'102 5.1.00'!$AM$4:$AO$55,2,FALSE))*IF('102 5.1.00'!AP$4="是",'102 5.1.00'!$AX$4,'102 5.1.00'!$AX$3)</f>
        <v>160</v>
      </c>
      <c r="G6" s="7">
        <f>(VLOOKUP('102 5.1.00'!O6,'102 5.1.00'!$AM$4:$AO$55,2,FALSE))*IF('102 5.1.00'!AQ$4="是",'102 5.1.00'!$AX$4,'102 5.1.00'!$AX$3)</f>
        <v>0</v>
      </c>
      <c r="H6" s="7">
        <f>(VLOOKUP('102 5.1.00'!P6,'102 5.1.00'!$AM$4:$AO$55,2,FALSE))*IF('102 5.1.00'!AR$4="是",'102 5.1.00'!$AX$4,'102 5.1.00'!$AX$3)</f>
        <v>0</v>
      </c>
      <c r="I6" s="6">
        <f>(VLOOKUP('102 5.1.00'!Q6,'102 5.1.00'!$AM$4:$AO$55,2,FALSE))*IF('102 5.1.00'!AS$4="是",'102 5.1.00'!$AX$4,'102 5.1.00'!$AX$3)</f>
        <v>160</v>
      </c>
      <c r="J6" s="6">
        <f>(VLOOKUP('102 5.1.00'!R6,'102 5.1.00'!$AM$4:$AO$55,2,FALSE))*IF('102 5.1.00'!AT$4="是",'102 5.1.00'!$AX$4,'102 5.1.00'!$AX$3)</f>
        <v>50</v>
      </c>
      <c r="K6" s="6">
        <f>(VLOOKUP('102 5.1.00'!S6,'102 5.1.00'!$AM$4:$AO$55,2,FALSE))*IF('102 5.1.00'!AU$4="是",'102 5.1.00'!$AX$4,'102 5.1.00'!$AX$3)</f>
        <v>160</v>
      </c>
      <c r="L6" s="6">
        <f>(VLOOKUP('102 5.1.00'!T6,'102 5.1.00'!$AM$4:$AO$55,2,FALSE))*IF('102 5.1.00'!AV$4="是",'102 5.1.00'!$AX$4,'102 5.1.00'!$AX$3)</f>
        <v>160</v>
      </c>
      <c r="M6" s="6">
        <f>(VLOOKUP('102 5.1.00'!U6,'102 5.1.00'!$AM$4:$AO$55,2,FALSE))*IF('102 5.1.00'!AW$4="是",'102 5.1.00'!$AX$4,'102 5.1.00'!$AX$3)</f>
        <v>0</v>
      </c>
      <c r="N6" s="6">
        <f>(VLOOKUP('102 5.1.00'!V6,'102 5.1.00'!$AM$4:$AO$55,2,FALSE))*IF('102 5.1.00'!AX$4="是",'102 5.1.00'!$AX$4,'102 5.1.00'!$AX$3)</f>
        <v>0</v>
      </c>
      <c r="O6" s="7">
        <f>(VLOOKUP('102 5.1.00'!W6,'102 5.1.00'!$AM$4:$AO$55,2,FALSE))*IF('102 5.1.00'!AY$4="是",'102 5.1.00'!$AX$4,'102 5.1.00'!$AX$3)</f>
        <v>0</v>
      </c>
      <c r="P6" s="7">
        <f>(VLOOKUP('102 5.1.00'!X6,'102 5.1.00'!$AM$4:$AO$55,2,FALSE))*IF('102 5.1.00'!AZ$4="是",'102 5.1.00'!$AX$4,'102 5.1.00'!$AX$3)</f>
        <v>0</v>
      </c>
      <c r="Q6" s="6">
        <f>(VLOOKUP('102 5.1.00'!Y6,'102 5.1.00'!$AM$4:$AO$55,2,FALSE))*IF('102 5.1.00'!BA$4="是",'102 5.1.00'!$AX$4,'102 5.1.00'!$AX$3)</f>
        <v>0</v>
      </c>
      <c r="R6" s="6">
        <f>(VLOOKUP('102 5.1.00'!Z6,'102 5.1.00'!$AM$4:$AO$55,2,FALSE))*IF('102 5.1.00'!BB$4="是",'102 5.1.00'!$AX$4,'102 5.1.00'!$AX$3)</f>
        <v>0</v>
      </c>
      <c r="S6" s="6">
        <f>(VLOOKUP('102 5.1.00'!AA6,'102 5.1.00'!$AM$4:$AO$55,2,FALSE))*IF('102 5.1.00'!BC$4="是",'102 5.1.00'!$AX$4,'102 5.1.00'!$AX$3)</f>
        <v>0</v>
      </c>
      <c r="T6" s="6">
        <f>(VLOOKUP('102 5.1.00'!AB6,'102 5.1.00'!$AM$4:$AO$55,2,FALSE))*IF('102 5.1.00'!BD$4="是",'102 5.1.00'!$AX$4,'102 5.1.00'!$AX$3)</f>
        <v>0</v>
      </c>
      <c r="U6" s="6">
        <f>(VLOOKUP('102 5.1.00'!AC6,'102 5.1.00'!$AM$4:$AO$55,2,FALSE))*IF('102 5.1.00'!BE$4="是",'102 5.1.00'!$AX$4,'102 5.1.00'!$AX$3)</f>
        <v>0</v>
      </c>
      <c r="V6" s="6">
        <f>(VLOOKUP('102 5.1.00'!AD6,'102 5.1.00'!$AM$4:$AO$55,2,FALSE))*IF('102 5.1.00'!BF$4="是",'102 5.1.00'!$AX$4,'102 5.1.00'!$AX$3)</f>
        <v>0</v>
      </c>
      <c r="W6" s="7">
        <f>(VLOOKUP('102 5.1.00'!AE6,'102 5.1.00'!$AM$4:$AO$55,2,FALSE))*IF('102 5.1.00'!BG$4="是",'102 5.1.00'!$AX$4,'102 5.1.00'!$AX$3)</f>
        <v>0</v>
      </c>
      <c r="X6" s="7">
        <f>(VLOOKUP('102 5.1.00'!AF6,'102 5.1.00'!$AM$4:$AO$55,2,FALSE))*IF('102 5.1.00'!BH$4="是",'102 5.1.00'!$AX$4,'102 5.1.00'!$AX$3)</f>
        <v>0</v>
      </c>
    </row>
    <row r="7" spans="1:24">
      <c r="A7" s="6">
        <f>(VLOOKUP('102 5.1.00'!I7,'102 5.1.00'!$AM$4:$AO$55,2,FALSE))*IF('102 5.1.00'!AK$4="是",'102 5.1.00'!$AX$4,'102 5.1.00'!$AX$3)</f>
        <v>150</v>
      </c>
      <c r="B7" s="6">
        <f>(VLOOKUP('102 5.1.00'!J7,'102 5.1.00'!$AM$4:$AO$55,2,FALSE))*IF('102 5.1.00'!AL$4="是",'102 5.1.00'!$AX$4,'102 5.1.00'!$AX$3)</f>
        <v>170</v>
      </c>
      <c r="C7" s="6">
        <f>(VLOOKUP('102 5.1.00'!K7,'102 5.1.00'!$AM$4:$AO$55,2,FALSE))*IF('102 5.1.00'!AM$4="是",'102 5.1.00'!$AX$4,'102 5.1.00'!$AX$3)</f>
        <v>170</v>
      </c>
      <c r="D7" s="6">
        <f>(VLOOKUP('102 5.1.00'!L7,'102 5.1.00'!$AM$4:$AO$55,2,FALSE))*IF('102 5.1.00'!AN$4="是",'102 5.1.00'!$AX$4,'102 5.1.00'!$AX$3)</f>
        <v>170</v>
      </c>
      <c r="E7" s="6">
        <f>(VLOOKUP('102 5.1.00'!M7,'102 5.1.00'!$AM$4:$AO$55,2,FALSE))*IF('102 5.1.00'!AO$4="是",'102 5.1.00'!$AX$4,'102 5.1.00'!$AX$3)</f>
        <v>170</v>
      </c>
      <c r="F7" s="6">
        <f>(VLOOKUP('102 5.1.00'!N7,'102 5.1.00'!$AM$4:$AO$55,2,FALSE))*IF('102 5.1.00'!AP$4="是",'102 5.1.00'!$AX$4,'102 5.1.00'!$AX$3)</f>
        <v>170</v>
      </c>
      <c r="G7" s="7">
        <f>(VLOOKUP('102 5.1.00'!O7,'102 5.1.00'!$AM$4:$AO$55,2,FALSE))*IF('102 5.1.00'!AQ$4="是",'102 5.1.00'!$AX$4,'102 5.1.00'!$AX$3)</f>
        <v>0</v>
      </c>
      <c r="H7" s="7">
        <f>(VLOOKUP('102 5.1.00'!P7,'102 5.1.00'!$AM$4:$AO$55,2,FALSE))*IF('102 5.1.00'!AR$4="是",'102 5.1.00'!$AX$4,'102 5.1.00'!$AX$3)</f>
        <v>0</v>
      </c>
      <c r="I7" s="6">
        <f>(VLOOKUP('102 5.1.00'!Q7,'102 5.1.00'!$AM$4:$AO$55,2,FALSE))*IF('102 5.1.00'!AS$4="是",'102 5.1.00'!$AX$4,'102 5.1.00'!$AX$3)</f>
        <v>160</v>
      </c>
      <c r="J7" s="6">
        <f>(VLOOKUP('102 5.1.00'!R7,'102 5.1.00'!$AM$4:$AO$55,2,FALSE))*IF('102 5.1.00'!AT$4="是",'102 5.1.00'!$AX$4,'102 5.1.00'!$AX$3)</f>
        <v>160</v>
      </c>
      <c r="K7" s="6">
        <f>(VLOOKUP('102 5.1.00'!S7,'102 5.1.00'!$AM$4:$AO$55,2,FALSE))*IF('102 5.1.00'!AU$4="是",'102 5.1.00'!$AX$4,'102 5.1.00'!$AX$3)</f>
        <v>170</v>
      </c>
      <c r="L7" s="6">
        <f>(VLOOKUP('102 5.1.00'!T7,'102 5.1.00'!$AM$4:$AO$55,2,FALSE))*IF('102 5.1.00'!AV$4="是",'102 5.1.00'!$AX$4,'102 5.1.00'!$AX$3)</f>
        <v>170</v>
      </c>
      <c r="M7" s="6">
        <f>(VLOOKUP('102 5.1.00'!U7,'102 5.1.00'!$AM$4:$AO$55,2,FALSE))*IF('102 5.1.00'!AW$4="是",'102 5.1.00'!$AX$4,'102 5.1.00'!$AX$3)</f>
        <v>170</v>
      </c>
      <c r="N7" s="6">
        <f>(VLOOKUP('102 5.1.00'!V7,'102 5.1.00'!$AM$4:$AO$55,2,FALSE))*IF('102 5.1.00'!AX$4="是",'102 5.1.00'!$AX$4,'102 5.1.00'!$AX$3)</f>
        <v>170</v>
      </c>
      <c r="O7" s="7">
        <f>(VLOOKUP('102 5.1.00'!W7,'102 5.1.00'!$AM$4:$AO$55,2,FALSE))*IF('102 5.1.00'!AY$4="是",'102 5.1.00'!$AX$4,'102 5.1.00'!$AX$3)</f>
        <v>0</v>
      </c>
      <c r="P7" s="7">
        <f>(VLOOKUP('102 5.1.00'!X7,'102 5.1.00'!$AM$4:$AO$55,2,FALSE))*IF('102 5.1.00'!AZ$4="是",'102 5.1.00'!$AX$4,'102 5.1.00'!$AX$3)</f>
        <v>0</v>
      </c>
      <c r="Q7" s="6">
        <f>(VLOOKUP('102 5.1.00'!Y7,'102 5.1.00'!$AM$4:$AO$55,2,FALSE))*IF('102 5.1.00'!BA$4="是",'102 5.1.00'!$AX$4,'102 5.1.00'!$AX$3)</f>
        <v>0</v>
      </c>
      <c r="R7" s="6">
        <f>(VLOOKUP('102 5.1.00'!Z7,'102 5.1.00'!$AM$4:$AO$55,2,FALSE))*IF('102 5.1.00'!BB$4="是",'102 5.1.00'!$AX$4,'102 5.1.00'!$AX$3)</f>
        <v>0</v>
      </c>
      <c r="S7" s="6">
        <f>(VLOOKUP('102 5.1.00'!AA7,'102 5.1.00'!$AM$4:$AO$55,2,FALSE))*IF('102 5.1.00'!BC$4="是",'102 5.1.00'!$AX$4,'102 5.1.00'!$AX$3)</f>
        <v>0</v>
      </c>
      <c r="T7" s="6">
        <f>(VLOOKUP('102 5.1.00'!AB7,'102 5.1.00'!$AM$4:$AO$55,2,FALSE))*IF('102 5.1.00'!BD$4="是",'102 5.1.00'!$AX$4,'102 5.1.00'!$AX$3)</f>
        <v>0</v>
      </c>
      <c r="U7" s="6">
        <f>(VLOOKUP('102 5.1.00'!AC7,'102 5.1.00'!$AM$4:$AO$55,2,FALSE))*IF('102 5.1.00'!BE$4="是",'102 5.1.00'!$AX$4,'102 5.1.00'!$AX$3)</f>
        <v>0</v>
      </c>
      <c r="V7" s="6">
        <f>(VLOOKUP('102 5.1.00'!AD7,'102 5.1.00'!$AM$4:$AO$55,2,FALSE))*IF('102 5.1.00'!BF$4="是",'102 5.1.00'!$AX$4,'102 5.1.00'!$AX$3)</f>
        <v>0</v>
      </c>
      <c r="W7" s="7">
        <f>(VLOOKUP('102 5.1.00'!AE7,'102 5.1.00'!$AM$4:$AO$55,2,FALSE))*IF('102 5.1.00'!BG$4="是",'102 5.1.00'!$AX$4,'102 5.1.00'!$AX$3)</f>
        <v>0</v>
      </c>
      <c r="X7" s="7">
        <f>(VLOOKUP('102 5.1.00'!AF7,'102 5.1.00'!$AM$4:$AO$55,2,FALSE))*IF('102 5.1.00'!BH$4="是",'102 5.1.00'!$AX$4,'102 5.1.00'!$AX$3)</f>
        <v>0</v>
      </c>
    </row>
    <row r="8" spans="1:24">
      <c r="A8" s="6">
        <f>(VLOOKUP('102 5.1.00'!I8,'102 5.1.00'!$AM$4:$AO$55,2,FALSE))*IF('102 5.1.00'!AK$4="是",'102 5.1.00'!$AX$4,'102 5.1.00'!$AX$3)</f>
        <v>170</v>
      </c>
      <c r="B8" s="6">
        <f>(VLOOKUP('102 5.1.00'!J8,'102 5.1.00'!$AM$4:$AO$55,2,FALSE))*IF('102 5.1.00'!AL$4="是",'102 5.1.00'!$AX$4,'102 5.1.00'!$AX$3)</f>
        <v>50</v>
      </c>
      <c r="C8" s="6">
        <f>(VLOOKUP('102 5.1.00'!K8,'102 5.1.00'!$AM$4:$AO$55,2,FALSE))*IF('102 5.1.00'!AM$4="是",'102 5.1.00'!$AX$4,'102 5.1.00'!$AX$3)</f>
        <v>170</v>
      </c>
      <c r="D8" s="6">
        <f>(VLOOKUP('102 5.1.00'!L8,'102 5.1.00'!$AM$4:$AO$55,2,FALSE))*IF('102 5.1.00'!AN$4="是",'102 5.1.00'!$AX$4,'102 5.1.00'!$AX$3)</f>
        <v>170</v>
      </c>
      <c r="E8" s="6">
        <f>(VLOOKUP('102 5.1.00'!M8,'102 5.1.00'!$AM$4:$AO$55,2,FALSE))*IF('102 5.1.00'!AO$4="是",'102 5.1.00'!$AX$4,'102 5.1.00'!$AX$3)</f>
        <v>170</v>
      </c>
      <c r="F8" s="6">
        <f>(VLOOKUP('102 5.1.00'!N8,'102 5.1.00'!$AM$4:$AO$55,2,FALSE))*IF('102 5.1.00'!AP$4="是",'102 5.1.00'!$AX$4,'102 5.1.00'!$AX$3)</f>
        <v>170</v>
      </c>
      <c r="G8" s="7">
        <f>(VLOOKUP('102 5.1.00'!O8,'102 5.1.00'!$AM$4:$AO$55,2,FALSE))*IF('102 5.1.00'!AQ$4="是",'102 5.1.00'!$AX$4,'102 5.1.00'!$AX$3)</f>
        <v>0</v>
      </c>
      <c r="H8" s="7">
        <f>(VLOOKUP('102 5.1.00'!P8,'102 5.1.00'!$AM$4:$AO$55,2,FALSE))*IF('102 5.1.00'!AR$4="是",'102 5.1.00'!$AX$4,'102 5.1.00'!$AX$3)</f>
        <v>0</v>
      </c>
      <c r="I8" s="6">
        <f>(VLOOKUP('102 5.1.00'!Q8,'102 5.1.00'!$AM$4:$AO$55,2,FALSE))*IF('102 5.1.00'!AS$4="是",'102 5.1.00'!$AX$4,'102 5.1.00'!$AX$3)</f>
        <v>170</v>
      </c>
      <c r="J8" s="6">
        <f>(VLOOKUP('102 5.1.00'!R8,'102 5.1.00'!$AM$4:$AO$55,2,FALSE))*IF('102 5.1.00'!AT$4="是",'102 5.1.00'!$AX$4,'102 5.1.00'!$AX$3)</f>
        <v>170</v>
      </c>
      <c r="K8" s="6">
        <f>(VLOOKUP('102 5.1.00'!S8,'102 5.1.00'!$AM$4:$AO$55,2,FALSE))*IF('102 5.1.00'!AU$4="是",'102 5.1.00'!$AX$4,'102 5.1.00'!$AX$3)</f>
        <v>170</v>
      </c>
      <c r="L8" s="6">
        <f>(VLOOKUP('102 5.1.00'!T8,'102 5.1.00'!$AM$4:$AO$55,2,FALSE))*IF('102 5.1.00'!AV$4="是",'102 5.1.00'!$AX$4,'102 5.1.00'!$AX$3)</f>
        <v>170</v>
      </c>
      <c r="M8" s="6">
        <f>(VLOOKUP('102 5.1.00'!U8,'102 5.1.00'!$AM$4:$AO$55,2,FALSE))*IF('102 5.1.00'!AW$4="是",'102 5.1.00'!$AX$4,'102 5.1.00'!$AX$3)</f>
        <v>50</v>
      </c>
      <c r="N8" s="6">
        <f>(VLOOKUP('102 5.1.00'!V8,'102 5.1.00'!$AM$4:$AO$55,2,FALSE))*IF('102 5.1.00'!AX$4="是",'102 5.1.00'!$AX$4,'102 5.1.00'!$AX$3)</f>
        <v>170</v>
      </c>
      <c r="O8" s="7">
        <f>(VLOOKUP('102 5.1.00'!W8,'102 5.1.00'!$AM$4:$AO$55,2,FALSE))*IF('102 5.1.00'!AY$4="是",'102 5.1.00'!$AX$4,'102 5.1.00'!$AX$3)</f>
        <v>-150</v>
      </c>
      <c r="P8" s="7">
        <f>(VLOOKUP('102 5.1.00'!X8,'102 5.1.00'!$AM$4:$AO$55,2,FALSE))*IF('102 5.1.00'!AZ$4="是",'102 5.1.00'!$AX$4,'102 5.1.00'!$AX$3)</f>
        <v>170</v>
      </c>
      <c r="Q8" s="6">
        <f>(VLOOKUP('102 5.1.00'!Y8,'102 5.1.00'!$AM$4:$AO$55,2,FALSE))*IF('102 5.1.00'!BA$4="是",'102 5.1.00'!$AX$4,'102 5.1.00'!$AX$3)</f>
        <v>0</v>
      </c>
      <c r="R8" s="6">
        <f>(VLOOKUP('102 5.1.00'!Z8,'102 5.1.00'!$AM$4:$AO$55,2,FALSE))*IF('102 5.1.00'!BB$4="是",'102 5.1.00'!$AX$4,'102 5.1.00'!$AX$3)</f>
        <v>0</v>
      </c>
      <c r="S8" s="6">
        <f>(VLOOKUP('102 5.1.00'!AA8,'102 5.1.00'!$AM$4:$AO$55,2,FALSE))*IF('102 5.1.00'!BC$4="是",'102 5.1.00'!$AX$4,'102 5.1.00'!$AX$3)</f>
        <v>0</v>
      </c>
      <c r="T8" s="6">
        <f>(VLOOKUP('102 5.1.00'!AB8,'102 5.1.00'!$AM$4:$AO$55,2,FALSE))*IF('102 5.1.00'!BD$4="是",'102 5.1.00'!$AX$4,'102 5.1.00'!$AX$3)</f>
        <v>0</v>
      </c>
      <c r="U8" s="6">
        <f>(VLOOKUP('102 5.1.00'!AC8,'102 5.1.00'!$AM$4:$AO$55,2,FALSE))*IF('102 5.1.00'!BE$4="是",'102 5.1.00'!$AX$4,'102 5.1.00'!$AX$3)</f>
        <v>0</v>
      </c>
      <c r="V8" s="6">
        <f>(VLOOKUP('102 5.1.00'!AD8,'102 5.1.00'!$AM$4:$AO$55,2,FALSE))*IF('102 5.1.00'!BF$4="是",'102 5.1.00'!$AX$4,'102 5.1.00'!$AX$3)</f>
        <v>0</v>
      </c>
      <c r="W8" s="7">
        <f>(VLOOKUP('102 5.1.00'!AE8,'102 5.1.00'!$AM$4:$AO$55,2,FALSE))*IF('102 5.1.00'!BG$4="是",'102 5.1.00'!$AX$4,'102 5.1.00'!$AX$3)</f>
        <v>0</v>
      </c>
      <c r="X8" s="7">
        <f>(VLOOKUP('102 5.1.00'!AF8,'102 5.1.00'!$AM$4:$AO$55,2,FALSE))*IF('102 5.1.00'!BH$4="是",'102 5.1.00'!$AX$4,'102 5.1.00'!$AX$3)</f>
        <v>0</v>
      </c>
    </row>
    <row r="9" spans="1:24">
      <c r="A9" s="6">
        <f>(VLOOKUP('102 5.1.00'!I9,'102 5.1.00'!$AM$4:$AO$55,2,FALSE))*IF('102 5.1.00'!AK$4="是",'102 5.1.00'!$AX$4,'102 5.1.00'!$AX$3)</f>
        <v>170</v>
      </c>
      <c r="B9" s="6">
        <f>(VLOOKUP('102 5.1.00'!J9,'102 5.1.00'!$AM$4:$AO$55,2,FALSE))*IF('102 5.1.00'!AL$4="是",'102 5.1.00'!$AX$4,'102 5.1.00'!$AX$3)</f>
        <v>180</v>
      </c>
      <c r="C9" s="6">
        <f>(VLOOKUP('102 5.1.00'!K9,'102 5.1.00'!$AM$4:$AO$55,2,FALSE))*IF('102 5.1.00'!AM$4="是",'102 5.1.00'!$AX$4,'102 5.1.00'!$AX$3)</f>
        <v>170</v>
      </c>
      <c r="D9" s="6">
        <f>(VLOOKUP('102 5.1.00'!L9,'102 5.1.00'!$AM$4:$AO$55,2,FALSE))*IF('102 5.1.00'!AN$4="是",'102 5.1.00'!$AX$4,'102 5.1.00'!$AX$3)</f>
        <v>170</v>
      </c>
      <c r="E9" s="6">
        <f>(VLOOKUP('102 5.1.00'!M9,'102 5.1.00'!$AM$4:$AO$55,2,FALSE))*IF('102 5.1.00'!AO$4="是",'102 5.1.00'!$AX$4,'102 5.1.00'!$AX$3)</f>
        <v>-150</v>
      </c>
      <c r="F9" s="6">
        <f>(VLOOKUP('102 5.1.00'!N9,'102 5.1.00'!$AM$4:$AO$55,2,FALSE))*IF('102 5.1.00'!AP$4="是",'102 5.1.00'!$AX$4,'102 5.1.00'!$AX$3)</f>
        <v>170</v>
      </c>
      <c r="G9" s="7">
        <f>(VLOOKUP('102 5.1.00'!O9,'102 5.1.00'!$AM$4:$AO$55,2,FALSE))*IF('102 5.1.00'!AQ$4="是",'102 5.1.00'!$AX$4,'102 5.1.00'!$AX$3)</f>
        <v>170</v>
      </c>
      <c r="H9" s="7">
        <f>(VLOOKUP('102 5.1.00'!P9,'102 5.1.00'!$AM$4:$AO$55,2,FALSE))*IF('102 5.1.00'!AR$4="是",'102 5.1.00'!$AX$4,'102 5.1.00'!$AX$3)</f>
        <v>0</v>
      </c>
      <c r="I9" s="6">
        <f>(VLOOKUP('102 5.1.00'!Q9,'102 5.1.00'!$AM$4:$AO$55,2,FALSE))*IF('102 5.1.00'!AS$4="是",'102 5.1.00'!$AX$4,'102 5.1.00'!$AX$3)</f>
        <v>170</v>
      </c>
      <c r="J9" s="6">
        <f>(VLOOKUP('102 5.1.00'!R9,'102 5.1.00'!$AM$4:$AO$55,2,FALSE))*IF('102 5.1.00'!AT$4="是",'102 5.1.00'!$AX$4,'102 5.1.00'!$AX$3)</f>
        <v>170</v>
      </c>
      <c r="K9" s="6">
        <f>(VLOOKUP('102 5.1.00'!S9,'102 5.1.00'!$AM$4:$AO$55,2,FALSE))*IF('102 5.1.00'!AU$4="是",'102 5.1.00'!$AX$4,'102 5.1.00'!$AX$3)</f>
        <v>170</v>
      </c>
      <c r="L9" s="6">
        <f>(VLOOKUP('102 5.1.00'!T9,'102 5.1.00'!$AM$4:$AO$55,2,FALSE))*IF('102 5.1.00'!AV$4="是",'102 5.1.00'!$AX$4,'102 5.1.00'!$AX$3)</f>
        <v>170</v>
      </c>
      <c r="M9" s="6">
        <f>(VLOOKUP('102 5.1.00'!U9,'102 5.1.00'!$AM$4:$AO$55,2,FALSE))*IF('102 5.1.00'!AW$4="是",'102 5.1.00'!$AX$4,'102 5.1.00'!$AX$3)</f>
        <v>170</v>
      </c>
      <c r="N9" s="6">
        <f>(VLOOKUP('102 5.1.00'!V9,'102 5.1.00'!$AM$4:$AO$55,2,FALSE))*IF('102 5.1.00'!AX$4="是",'102 5.1.00'!$AX$4,'102 5.1.00'!$AX$3)</f>
        <v>170</v>
      </c>
      <c r="O9" s="7">
        <f>(VLOOKUP('102 5.1.00'!W9,'102 5.1.00'!$AM$4:$AO$55,2,FALSE))*IF('102 5.1.00'!AY$4="是",'102 5.1.00'!$AX$4,'102 5.1.00'!$AX$3)</f>
        <v>0</v>
      </c>
      <c r="P9" s="7">
        <f>(VLOOKUP('102 5.1.00'!X9,'102 5.1.00'!$AM$4:$AO$55,2,FALSE))*IF('102 5.1.00'!AZ$4="是",'102 5.1.00'!$AX$4,'102 5.1.00'!$AX$3)</f>
        <v>0</v>
      </c>
      <c r="Q9" s="6">
        <f>(VLOOKUP('102 5.1.00'!Y9,'102 5.1.00'!$AM$4:$AO$55,2,FALSE))*IF('102 5.1.00'!BA$4="是",'102 5.1.00'!$AX$4,'102 5.1.00'!$AX$3)</f>
        <v>0</v>
      </c>
      <c r="R9" s="6">
        <f>(VLOOKUP('102 5.1.00'!Z9,'102 5.1.00'!$AM$4:$AO$55,2,FALSE))*IF('102 5.1.00'!BB$4="是",'102 5.1.00'!$AX$4,'102 5.1.00'!$AX$3)</f>
        <v>0</v>
      </c>
      <c r="S9" s="6">
        <f>(VLOOKUP('102 5.1.00'!AA9,'102 5.1.00'!$AM$4:$AO$55,2,FALSE))*IF('102 5.1.00'!BC$4="是",'102 5.1.00'!$AX$4,'102 5.1.00'!$AX$3)</f>
        <v>0</v>
      </c>
      <c r="T9" s="6">
        <f>(VLOOKUP('102 5.1.00'!AB9,'102 5.1.00'!$AM$4:$AO$55,2,FALSE))*IF('102 5.1.00'!BD$4="是",'102 5.1.00'!$AX$4,'102 5.1.00'!$AX$3)</f>
        <v>0</v>
      </c>
      <c r="U9" s="6">
        <f>(VLOOKUP('102 5.1.00'!AC9,'102 5.1.00'!$AM$4:$AO$55,2,FALSE))*IF('102 5.1.00'!BE$4="是",'102 5.1.00'!$AX$4,'102 5.1.00'!$AX$3)</f>
        <v>0</v>
      </c>
      <c r="V9" s="6">
        <f>(VLOOKUP('102 5.1.00'!AD9,'102 5.1.00'!$AM$4:$AO$55,2,FALSE))*IF('102 5.1.00'!BF$4="是",'102 5.1.00'!$AX$4,'102 5.1.00'!$AX$3)</f>
        <v>0</v>
      </c>
      <c r="W9" s="7">
        <f>(VLOOKUP('102 5.1.00'!AE9,'102 5.1.00'!$AM$4:$AO$55,2,FALSE))*IF('102 5.1.00'!BG$4="是",'102 5.1.00'!$AX$4,'102 5.1.00'!$AX$3)</f>
        <v>0</v>
      </c>
      <c r="X9" s="7">
        <f>(VLOOKUP('102 5.1.00'!AF9,'102 5.1.00'!$AM$4:$AO$55,2,FALSE))*IF('102 5.1.00'!BH$4="是",'102 5.1.00'!$AX$4,'102 5.1.00'!$AX$3)</f>
        <v>0</v>
      </c>
    </row>
    <row r="10" spans="1:24">
      <c r="A10" s="6">
        <f>(VLOOKUP('102 5.1.00'!I10,'102 5.1.00'!$AM$4:$AO$55,2,FALSE))*IF('102 5.1.00'!AK$4="是",'102 5.1.00'!$AX$4,'102 5.1.00'!$AX$3)</f>
        <v>170</v>
      </c>
      <c r="B10" s="6">
        <f>(VLOOKUP('102 5.1.00'!J10,'102 5.1.00'!$AM$4:$AO$55,2,FALSE))*IF('102 5.1.00'!AL$4="是",'102 5.1.00'!$AX$4,'102 5.1.00'!$AX$3)</f>
        <v>170</v>
      </c>
      <c r="C10" s="6">
        <f>(VLOOKUP('102 5.1.00'!K10,'102 5.1.00'!$AM$4:$AO$55,2,FALSE))*IF('102 5.1.00'!AM$4="是",'102 5.1.00'!$AX$4,'102 5.1.00'!$AX$3)</f>
        <v>170</v>
      </c>
      <c r="D10" s="6">
        <f>(VLOOKUP('102 5.1.00'!L10,'102 5.1.00'!$AM$4:$AO$55,2,FALSE))*IF('102 5.1.00'!AN$4="是",'102 5.1.00'!$AX$4,'102 5.1.00'!$AX$3)</f>
        <v>170</v>
      </c>
      <c r="E10" s="6">
        <f>(VLOOKUP('102 5.1.00'!M10,'102 5.1.00'!$AM$4:$AO$55,2,FALSE))*IF('102 5.1.00'!AO$4="是",'102 5.1.00'!$AX$4,'102 5.1.00'!$AX$3)</f>
        <v>170</v>
      </c>
      <c r="F10" s="6">
        <f>(VLOOKUP('102 5.1.00'!N10,'102 5.1.00'!$AM$4:$AO$55,2,FALSE))*IF('102 5.1.00'!AP$4="是",'102 5.1.00'!$AX$4,'102 5.1.00'!$AX$3)</f>
        <v>50</v>
      </c>
      <c r="G10" s="7">
        <f>(VLOOKUP('102 5.1.00'!O10,'102 5.1.00'!$AM$4:$AO$55,2,FALSE))*IF('102 5.1.00'!AQ$4="是",'102 5.1.00'!$AX$4,'102 5.1.00'!$AX$3)</f>
        <v>0</v>
      </c>
      <c r="H10" s="7">
        <f>(VLOOKUP('102 5.1.00'!P10,'102 5.1.00'!$AM$4:$AO$55,2,FALSE))*IF('102 5.1.00'!AR$4="是",'102 5.1.00'!$AX$4,'102 5.1.00'!$AX$3)</f>
        <v>0</v>
      </c>
      <c r="I10" s="6">
        <f>(VLOOKUP('102 5.1.00'!Q10,'102 5.1.00'!$AM$4:$AO$55,2,FALSE))*IF('102 5.1.00'!AS$4="是",'102 5.1.00'!$AX$4,'102 5.1.00'!$AX$3)</f>
        <v>170</v>
      </c>
      <c r="J10" s="6">
        <f>(VLOOKUP('102 5.1.00'!R10,'102 5.1.00'!$AM$4:$AO$55,2,FALSE))*IF('102 5.1.00'!AT$4="是",'102 5.1.00'!$AX$4,'102 5.1.00'!$AX$3)</f>
        <v>50</v>
      </c>
      <c r="K10" s="6">
        <f>(VLOOKUP('102 5.1.00'!S10,'102 5.1.00'!$AM$4:$AO$55,2,FALSE))*IF('102 5.1.00'!AU$4="是",'102 5.1.00'!$AX$4,'102 5.1.00'!$AX$3)</f>
        <v>170</v>
      </c>
      <c r="L10" s="6">
        <f>(VLOOKUP('102 5.1.00'!T10,'102 5.1.00'!$AM$4:$AO$55,2,FALSE))*IF('102 5.1.00'!AV$4="是",'102 5.1.00'!$AX$4,'102 5.1.00'!$AX$3)</f>
        <v>170</v>
      </c>
      <c r="M10" s="6">
        <f>(VLOOKUP('102 5.1.00'!U10,'102 5.1.00'!$AM$4:$AO$55,2,FALSE))*IF('102 5.1.00'!AW$4="是",'102 5.1.00'!$AX$4,'102 5.1.00'!$AX$3)</f>
        <v>170</v>
      </c>
      <c r="N10" s="6">
        <f>(VLOOKUP('102 5.1.00'!V10,'102 5.1.00'!$AM$4:$AO$55,2,FALSE))*IF('102 5.1.00'!AX$4="是",'102 5.1.00'!$AX$4,'102 5.1.00'!$AX$3)</f>
        <v>0</v>
      </c>
      <c r="O10" s="7">
        <f>(VLOOKUP('102 5.1.00'!W10,'102 5.1.00'!$AM$4:$AO$55,2,FALSE))*IF('102 5.1.00'!AY$4="是",'102 5.1.00'!$AX$4,'102 5.1.00'!$AX$3)</f>
        <v>0</v>
      </c>
      <c r="P10" s="7">
        <f>(VLOOKUP('102 5.1.00'!X10,'102 5.1.00'!$AM$4:$AO$55,2,FALSE))*IF('102 5.1.00'!AZ$4="是",'102 5.1.00'!$AX$4,'102 5.1.00'!$AX$3)</f>
        <v>0</v>
      </c>
      <c r="Q10" s="6">
        <f>(VLOOKUP('102 5.1.00'!Y10,'102 5.1.00'!$AM$4:$AO$55,2,FALSE))*IF('102 5.1.00'!BA$4="是",'102 5.1.00'!$AX$4,'102 5.1.00'!$AX$3)</f>
        <v>0</v>
      </c>
      <c r="R10" s="6">
        <f>(VLOOKUP('102 5.1.00'!Z10,'102 5.1.00'!$AM$4:$AO$55,2,FALSE))*IF('102 5.1.00'!BB$4="是",'102 5.1.00'!$AX$4,'102 5.1.00'!$AX$3)</f>
        <v>0</v>
      </c>
      <c r="S10" s="6">
        <f>(VLOOKUP('102 5.1.00'!AA10,'102 5.1.00'!$AM$4:$AO$55,2,FALSE))*IF('102 5.1.00'!BC$4="是",'102 5.1.00'!$AX$4,'102 5.1.00'!$AX$3)</f>
        <v>0</v>
      </c>
      <c r="T10" s="6">
        <f>(VLOOKUP('102 5.1.00'!AB10,'102 5.1.00'!$AM$4:$AO$55,2,FALSE))*IF('102 5.1.00'!BD$4="是",'102 5.1.00'!$AX$4,'102 5.1.00'!$AX$3)</f>
        <v>0</v>
      </c>
      <c r="U10" s="6">
        <f>(VLOOKUP('102 5.1.00'!AC10,'102 5.1.00'!$AM$4:$AO$55,2,FALSE))*IF('102 5.1.00'!BE$4="是",'102 5.1.00'!$AX$4,'102 5.1.00'!$AX$3)</f>
        <v>0</v>
      </c>
      <c r="V10" s="6">
        <f>(VLOOKUP('102 5.1.00'!AD10,'102 5.1.00'!$AM$4:$AO$55,2,FALSE))*IF('102 5.1.00'!BF$4="是",'102 5.1.00'!$AX$4,'102 5.1.00'!$AX$3)</f>
        <v>0</v>
      </c>
      <c r="W10" s="7">
        <f>(VLOOKUP('102 5.1.00'!AE10,'102 5.1.00'!$AM$4:$AO$55,2,FALSE))*IF('102 5.1.00'!BG$4="是",'102 5.1.00'!$AX$4,'102 5.1.00'!$AX$3)</f>
        <v>0</v>
      </c>
      <c r="X10" s="7">
        <f>(VLOOKUP('102 5.1.00'!AF10,'102 5.1.00'!$AM$4:$AO$55,2,FALSE))*IF('102 5.1.00'!BH$4="是",'102 5.1.00'!$AX$4,'102 5.1.00'!$AX$3)</f>
        <v>0</v>
      </c>
    </row>
    <row r="11" spans="1:24">
      <c r="A11" s="6">
        <f>(VLOOKUP('102 5.1.00'!I11,'102 5.1.00'!$AM$4:$AO$55,2,FALSE))*IF('102 5.1.00'!AK$4="是",'102 5.1.00'!$AX$4,'102 5.1.00'!$AX$3)</f>
        <v>170</v>
      </c>
      <c r="B11" s="6">
        <f>(VLOOKUP('102 5.1.00'!J11,'102 5.1.00'!$AM$4:$AO$55,2,FALSE))*IF('102 5.1.00'!AL$4="是",'102 5.1.00'!$AX$4,'102 5.1.00'!$AX$3)</f>
        <v>170</v>
      </c>
      <c r="C11" s="6">
        <f>(VLOOKUP('102 5.1.00'!K11,'102 5.1.00'!$AM$4:$AO$55,2,FALSE))*IF('102 5.1.00'!AM$4="是",'102 5.1.00'!$AX$4,'102 5.1.00'!$AX$3)</f>
        <v>170</v>
      </c>
      <c r="D11" s="6">
        <f>(VLOOKUP('102 5.1.00'!L11,'102 5.1.00'!$AM$4:$AO$55,2,FALSE))*IF('102 5.1.00'!AN$4="是",'102 5.1.00'!$AX$4,'102 5.1.00'!$AX$3)</f>
        <v>250</v>
      </c>
      <c r="E11" s="6">
        <f>(VLOOKUP('102 5.1.00'!M11,'102 5.1.00'!$AM$4:$AO$55,2,FALSE))*IF('102 5.1.00'!AO$4="是",'102 5.1.00'!$AX$4,'102 5.1.00'!$AX$3)</f>
        <v>170</v>
      </c>
      <c r="F11" s="6">
        <f>(VLOOKUP('102 5.1.00'!N11,'102 5.1.00'!$AM$4:$AO$55,2,FALSE))*IF('102 5.1.00'!AP$4="是",'102 5.1.00'!$AX$4,'102 5.1.00'!$AX$3)</f>
        <v>170</v>
      </c>
      <c r="G11" s="7">
        <f>(VLOOKUP('102 5.1.00'!O11,'102 5.1.00'!$AM$4:$AO$55,2,FALSE))*IF('102 5.1.00'!AQ$4="是",'102 5.1.00'!$AX$4,'102 5.1.00'!$AX$3)</f>
        <v>0</v>
      </c>
      <c r="H11" s="7">
        <f>(VLOOKUP('102 5.1.00'!P11,'102 5.1.00'!$AM$4:$AO$55,2,FALSE))*IF('102 5.1.00'!AR$4="是",'102 5.1.00'!$AX$4,'102 5.1.00'!$AX$3)</f>
        <v>0</v>
      </c>
      <c r="I11" s="6">
        <f>(VLOOKUP('102 5.1.00'!Q11,'102 5.1.00'!$AM$4:$AO$55,2,FALSE))*IF('102 5.1.00'!AS$4="是",'102 5.1.00'!$AX$4,'102 5.1.00'!$AX$3)</f>
        <v>170</v>
      </c>
      <c r="J11" s="6">
        <f>(VLOOKUP('102 5.1.00'!R11,'102 5.1.00'!$AM$4:$AO$55,2,FALSE))*IF('102 5.1.00'!AT$4="是",'102 5.1.00'!$AX$4,'102 5.1.00'!$AX$3)</f>
        <v>170</v>
      </c>
      <c r="K11" s="6">
        <f>(VLOOKUP('102 5.1.00'!S11,'102 5.1.00'!$AM$4:$AO$55,2,FALSE))*IF('102 5.1.00'!AU$4="是",'102 5.1.00'!$AX$4,'102 5.1.00'!$AX$3)</f>
        <v>50</v>
      </c>
      <c r="L11" s="6">
        <f>(VLOOKUP('102 5.1.00'!T11,'102 5.1.00'!$AM$4:$AO$55,2,FALSE))*IF('102 5.1.00'!AV$4="是",'102 5.1.00'!$AX$4,'102 5.1.00'!$AX$3)</f>
        <v>170</v>
      </c>
      <c r="M11" s="6">
        <f>(VLOOKUP('102 5.1.00'!U11,'102 5.1.00'!$AM$4:$AO$55,2,FALSE))*IF('102 5.1.00'!AW$4="是",'102 5.1.00'!$AX$4,'102 5.1.00'!$AX$3)</f>
        <v>170</v>
      </c>
      <c r="N11" s="6">
        <f>(VLOOKUP('102 5.1.00'!V11,'102 5.1.00'!$AM$4:$AO$55,2,FALSE))*IF('102 5.1.00'!AX$4="是",'102 5.1.00'!$AX$4,'102 5.1.00'!$AX$3)</f>
        <v>250</v>
      </c>
      <c r="O11" s="7">
        <f>(VLOOKUP('102 5.1.00'!W11,'102 5.1.00'!$AM$4:$AO$55,2,FALSE))*IF('102 5.1.00'!AY$4="是",'102 5.1.00'!$AX$4,'102 5.1.00'!$AX$3)</f>
        <v>0</v>
      </c>
      <c r="P11" s="7">
        <f>(VLOOKUP('102 5.1.00'!X11,'102 5.1.00'!$AM$4:$AO$55,2,FALSE))*IF('102 5.1.00'!AZ$4="是",'102 5.1.00'!$AX$4,'102 5.1.00'!$AX$3)</f>
        <v>0</v>
      </c>
      <c r="Q11" s="6">
        <f>(VLOOKUP('102 5.1.00'!Y11,'102 5.1.00'!$AM$4:$AO$55,2,FALSE))*IF('102 5.1.00'!BA$4="是",'102 5.1.00'!$AX$4,'102 5.1.00'!$AX$3)</f>
        <v>0</v>
      </c>
      <c r="R11" s="6">
        <f>(VLOOKUP('102 5.1.00'!Z11,'102 5.1.00'!$AM$4:$AO$55,2,FALSE))*IF('102 5.1.00'!BB$4="是",'102 5.1.00'!$AX$4,'102 5.1.00'!$AX$3)</f>
        <v>0</v>
      </c>
      <c r="S11" s="6">
        <f>(VLOOKUP('102 5.1.00'!AA11,'102 5.1.00'!$AM$4:$AO$55,2,FALSE))*IF('102 5.1.00'!BC$4="是",'102 5.1.00'!$AX$4,'102 5.1.00'!$AX$3)</f>
        <v>0</v>
      </c>
      <c r="T11" s="6">
        <f>(VLOOKUP('102 5.1.00'!AB11,'102 5.1.00'!$AM$4:$AO$55,2,FALSE))*IF('102 5.1.00'!BD$4="是",'102 5.1.00'!$AX$4,'102 5.1.00'!$AX$3)</f>
        <v>0</v>
      </c>
      <c r="U11" s="6">
        <f>(VLOOKUP('102 5.1.00'!AC11,'102 5.1.00'!$AM$4:$AO$55,2,FALSE))*IF('102 5.1.00'!BE$4="是",'102 5.1.00'!$AX$4,'102 5.1.00'!$AX$3)</f>
        <v>0</v>
      </c>
      <c r="V11" s="6">
        <f>(VLOOKUP('102 5.1.00'!AD11,'102 5.1.00'!$AM$4:$AO$55,2,FALSE))*IF('102 5.1.00'!BF$4="是",'102 5.1.00'!$AX$4,'102 5.1.00'!$AX$3)</f>
        <v>0</v>
      </c>
      <c r="W11" s="7">
        <f>(VLOOKUP('102 5.1.00'!AE11,'102 5.1.00'!$AM$4:$AO$55,2,FALSE))*IF('102 5.1.00'!BG$4="是",'102 5.1.00'!$AX$4,'102 5.1.00'!$AX$3)</f>
        <v>0</v>
      </c>
      <c r="X11" s="7">
        <f>(VLOOKUP('102 5.1.00'!AF11,'102 5.1.00'!$AM$4:$AO$55,2,FALSE))*IF('102 5.1.00'!BH$4="是",'102 5.1.00'!$AX$4,'102 5.1.00'!$AX$3)</f>
        <v>0</v>
      </c>
    </row>
    <row r="12" spans="1:24">
      <c r="A12" s="6">
        <f>(VLOOKUP('102 5.1.00'!I12,'102 5.1.00'!$AM$4:$AO$55,2,FALSE))*IF('102 5.1.00'!AK$4="是",'102 5.1.00'!$AX$4,'102 5.1.00'!$AX$3)</f>
        <v>170</v>
      </c>
      <c r="B12" s="6">
        <f>(VLOOKUP('102 5.1.00'!J12,'102 5.1.00'!$AM$4:$AO$55,2,FALSE))*IF('102 5.1.00'!AL$4="是",'102 5.1.00'!$AX$4,'102 5.1.00'!$AX$3)</f>
        <v>170</v>
      </c>
      <c r="C12" s="6">
        <f>(VLOOKUP('102 5.1.00'!K12,'102 5.1.00'!$AM$4:$AO$55,2,FALSE))*IF('102 5.1.00'!AM$4="是",'102 5.1.00'!$AX$4,'102 5.1.00'!$AX$3)</f>
        <v>170</v>
      </c>
      <c r="D12" s="6">
        <f>(VLOOKUP('102 5.1.00'!L12,'102 5.1.00'!$AM$4:$AO$55,2,FALSE))*IF('102 5.1.00'!AN$4="是",'102 5.1.00'!$AX$4,'102 5.1.00'!$AX$3)</f>
        <v>170</v>
      </c>
      <c r="E12" s="6">
        <f>(VLOOKUP('102 5.1.00'!M12,'102 5.1.00'!$AM$4:$AO$55,2,FALSE))*IF('102 5.1.00'!AO$4="是",'102 5.1.00'!$AX$4,'102 5.1.00'!$AX$3)</f>
        <v>170</v>
      </c>
      <c r="F12" s="6">
        <f>(VLOOKUP('102 5.1.00'!N12,'102 5.1.00'!$AM$4:$AO$55,2,FALSE))*IF('102 5.1.00'!AP$4="是",'102 5.1.00'!$AX$4,'102 5.1.00'!$AX$3)</f>
        <v>170</v>
      </c>
      <c r="G12" s="7">
        <f>(VLOOKUP('102 5.1.00'!O12,'102 5.1.00'!$AM$4:$AO$55,2,FALSE))*IF('102 5.1.00'!AQ$4="是",'102 5.1.00'!$AX$4,'102 5.1.00'!$AX$3)</f>
        <v>0</v>
      </c>
      <c r="H12" s="7">
        <f>(VLOOKUP('102 5.1.00'!P12,'102 5.1.00'!$AM$4:$AO$55,2,FALSE))*IF('102 5.1.00'!AR$4="是",'102 5.1.00'!$AX$4,'102 5.1.00'!$AX$3)</f>
        <v>0</v>
      </c>
      <c r="I12" s="6">
        <f>(VLOOKUP('102 5.1.00'!Q12,'102 5.1.00'!$AM$4:$AO$55,2,FALSE))*IF('102 5.1.00'!AS$4="是",'102 5.1.00'!$AX$4,'102 5.1.00'!$AX$3)</f>
        <v>170</v>
      </c>
      <c r="J12" s="6">
        <f>(VLOOKUP('102 5.1.00'!R12,'102 5.1.00'!$AM$4:$AO$55,2,FALSE))*IF('102 5.1.00'!AT$4="是",'102 5.1.00'!$AX$4,'102 5.1.00'!$AX$3)</f>
        <v>170</v>
      </c>
      <c r="K12" s="6">
        <f>(VLOOKUP('102 5.1.00'!S12,'102 5.1.00'!$AM$4:$AO$55,2,FALSE))*IF('102 5.1.00'!AU$4="是",'102 5.1.00'!$AX$4,'102 5.1.00'!$AX$3)</f>
        <v>170</v>
      </c>
      <c r="L12" s="6">
        <f>(VLOOKUP('102 5.1.00'!T12,'102 5.1.00'!$AM$4:$AO$55,2,FALSE))*IF('102 5.1.00'!AV$4="是",'102 5.1.00'!$AX$4,'102 5.1.00'!$AX$3)</f>
        <v>180</v>
      </c>
      <c r="M12" s="6">
        <f>(VLOOKUP('102 5.1.00'!U12,'102 5.1.00'!$AM$4:$AO$55,2,FALSE))*IF('102 5.1.00'!AW$4="是",'102 5.1.00'!$AX$4,'102 5.1.00'!$AX$3)</f>
        <v>180</v>
      </c>
      <c r="N12" s="6">
        <f>(VLOOKUP('102 5.1.00'!V12,'102 5.1.00'!$AM$4:$AO$55,2,FALSE))*IF('102 5.1.00'!AX$4="是",'102 5.1.00'!$AX$4,'102 5.1.00'!$AX$3)</f>
        <v>180</v>
      </c>
      <c r="O12" s="7">
        <f>(VLOOKUP('102 5.1.00'!W12,'102 5.1.00'!$AM$4:$AO$55,2,FALSE))*IF('102 5.1.00'!AY$4="是",'102 5.1.00'!$AX$4,'102 5.1.00'!$AX$3)</f>
        <v>0</v>
      </c>
      <c r="P12" s="7">
        <f>(VLOOKUP('102 5.1.00'!X12,'102 5.1.00'!$AM$4:$AO$55,2,FALSE))*IF('102 5.1.00'!AZ$4="是",'102 5.1.00'!$AX$4,'102 5.1.00'!$AX$3)</f>
        <v>0</v>
      </c>
      <c r="Q12" s="6">
        <f>(VLOOKUP('102 5.1.00'!Y12,'102 5.1.00'!$AM$4:$AO$55,2,FALSE))*IF('102 5.1.00'!BA$4="是",'102 5.1.00'!$AX$4,'102 5.1.00'!$AX$3)</f>
        <v>0</v>
      </c>
      <c r="R12" s="6">
        <f>(VLOOKUP('102 5.1.00'!Z12,'102 5.1.00'!$AM$4:$AO$55,2,FALSE))*IF('102 5.1.00'!BB$4="是",'102 5.1.00'!$AX$4,'102 5.1.00'!$AX$3)</f>
        <v>0</v>
      </c>
      <c r="S12" s="6">
        <f>(VLOOKUP('102 5.1.00'!AA12,'102 5.1.00'!$AM$4:$AO$55,2,FALSE))*IF('102 5.1.00'!BC$4="是",'102 5.1.00'!$AX$4,'102 5.1.00'!$AX$3)</f>
        <v>0</v>
      </c>
      <c r="T12" s="6">
        <f>(VLOOKUP('102 5.1.00'!AB12,'102 5.1.00'!$AM$4:$AO$55,2,FALSE))*IF('102 5.1.00'!BD$4="是",'102 5.1.00'!$AX$4,'102 5.1.00'!$AX$3)</f>
        <v>0</v>
      </c>
      <c r="U12" s="6">
        <f>(VLOOKUP('102 5.1.00'!AC12,'102 5.1.00'!$AM$4:$AO$55,2,FALSE))*IF('102 5.1.00'!BE$4="是",'102 5.1.00'!$AX$4,'102 5.1.00'!$AX$3)</f>
        <v>0</v>
      </c>
      <c r="V12" s="6">
        <f>(VLOOKUP('102 5.1.00'!AD12,'102 5.1.00'!$AM$4:$AO$55,2,FALSE))*IF('102 5.1.00'!BF$4="是",'102 5.1.00'!$AX$4,'102 5.1.00'!$AX$3)</f>
        <v>0</v>
      </c>
      <c r="W12" s="7">
        <f>(VLOOKUP('102 5.1.00'!AE12,'102 5.1.00'!$AM$4:$AO$55,2,FALSE))*IF('102 5.1.00'!BG$4="是",'102 5.1.00'!$AX$4,'102 5.1.00'!$AX$3)</f>
        <v>0</v>
      </c>
      <c r="X12" s="7">
        <f>(VLOOKUP('102 5.1.00'!AF12,'102 5.1.00'!$AM$4:$AO$55,2,FALSE))*IF('102 5.1.00'!BH$4="是",'102 5.1.00'!$AX$4,'102 5.1.00'!$AX$3)</f>
        <v>0</v>
      </c>
    </row>
    <row r="13" spans="1:24">
      <c r="A13" s="6">
        <f>(VLOOKUP('102 5.1.00'!I13,'102 5.1.00'!$AM$4:$AO$55,2,FALSE))*IF('102 5.1.00'!AK$4="是",'102 5.1.00'!$AX$4,'102 5.1.00'!$AX$3)</f>
        <v>170</v>
      </c>
      <c r="B13" s="6">
        <f>(VLOOKUP('102 5.1.00'!J13,'102 5.1.00'!$AM$4:$AO$55,2,FALSE))*IF('102 5.1.00'!AL$4="是",'102 5.1.00'!$AX$4,'102 5.1.00'!$AX$3)</f>
        <v>170</v>
      </c>
      <c r="C13" s="6">
        <f>(VLOOKUP('102 5.1.00'!K13,'102 5.1.00'!$AM$4:$AO$55,2,FALSE))*IF('102 5.1.00'!AM$4="是",'102 5.1.00'!$AX$4,'102 5.1.00'!$AX$3)</f>
        <v>50</v>
      </c>
      <c r="D13" s="6">
        <f>(VLOOKUP('102 5.1.00'!L13,'102 5.1.00'!$AM$4:$AO$55,2,FALSE))*IF('102 5.1.00'!AN$4="是",'102 5.1.00'!$AX$4,'102 5.1.00'!$AX$3)</f>
        <v>170</v>
      </c>
      <c r="E13" s="6">
        <f>(VLOOKUP('102 5.1.00'!M13,'102 5.1.00'!$AM$4:$AO$55,2,FALSE))*IF('102 5.1.00'!AO$4="是",'102 5.1.00'!$AX$4,'102 5.1.00'!$AX$3)</f>
        <v>170</v>
      </c>
      <c r="F13" s="6">
        <f>(VLOOKUP('102 5.1.00'!N13,'102 5.1.00'!$AM$4:$AO$55,2,FALSE))*IF('102 5.1.00'!AP$4="是",'102 5.1.00'!$AX$4,'102 5.1.00'!$AX$3)</f>
        <v>150</v>
      </c>
      <c r="G13" s="7">
        <f>(VLOOKUP('102 5.1.00'!O13,'102 5.1.00'!$AM$4:$AO$55,2,FALSE))*IF('102 5.1.00'!AQ$4="是",'102 5.1.00'!$AX$4,'102 5.1.00'!$AX$3)</f>
        <v>0</v>
      </c>
      <c r="H13" s="7">
        <f>(VLOOKUP('102 5.1.00'!P13,'102 5.1.00'!$AM$4:$AO$55,2,FALSE))*IF('102 5.1.00'!AR$4="是",'102 5.1.00'!$AX$4,'102 5.1.00'!$AX$3)</f>
        <v>0</v>
      </c>
      <c r="I13" s="6">
        <f>(VLOOKUP('102 5.1.00'!Q13,'102 5.1.00'!$AM$4:$AO$55,2,FALSE))*IF('102 5.1.00'!AS$4="是",'102 5.1.00'!$AX$4,'102 5.1.00'!$AX$3)</f>
        <v>180</v>
      </c>
      <c r="J13" s="6">
        <f>(VLOOKUP('102 5.1.00'!R13,'102 5.1.00'!$AM$4:$AO$55,2,FALSE))*IF('102 5.1.00'!AT$4="是",'102 5.1.00'!$AX$4,'102 5.1.00'!$AX$3)</f>
        <v>180</v>
      </c>
      <c r="K13" s="6">
        <f>(VLOOKUP('102 5.1.00'!S13,'102 5.1.00'!$AM$4:$AO$55,2,FALSE))*IF('102 5.1.00'!AU$4="是",'102 5.1.00'!$AX$4,'102 5.1.00'!$AX$3)</f>
        <v>180</v>
      </c>
      <c r="L13" s="6">
        <f>(VLOOKUP('102 5.1.00'!T13,'102 5.1.00'!$AM$4:$AO$55,2,FALSE))*IF('102 5.1.00'!AV$4="是",'102 5.1.00'!$AX$4,'102 5.1.00'!$AX$3)</f>
        <v>180</v>
      </c>
      <c r="M13" s="6">
        <f>(VLOOKUP('102 5.1.00'!U13,'102 5.1.00'!$AM$4:$AO$55,2,FALSE))*IF('102 5.1.00'!AW$4="是",'102 5.1.00'!$AX$4,'102 5.1.00'!$AX$3)</f>
        <v>180</v>
      </c>
      <c r="N13" s="6">
        <f>(VLOOKUP('102 5.1.00'!V13,'102 5.1.00'!$AM$4:$AO$55,2,FALSE))*IF('102 5.1.00'!AX$4="是",'102 5.1.00'!$AX$4,'102 5.1.00'!$AX$3)</f>
        <v>180</v>
      </c>
      <c r="O13" s="7">
        <f>(VLOOKUP('102 5.1.00'!W13,'102 5.1.00'!$AM$4:$AO$55,2,FALSE))*IF('102 5.1.00'!AY$4="是",'102 5.1.00'!$AX$4,'102 5.1.00'!$AX$3)</f>
        <v>0</v>
      </c>
      <c r="P13" s="7">
        <f>(VLOOKUP('102 5.1.00'!X13,'102 5.1.00'!$AM$4:$AO$55,2,FALSE))*IF('102 5.1.00'!AZ$4="是",'102 5.1.00'!$AX$4,'102 5.1.00'!$AX$3)</f>
        <v>0</v>
      </c>
      <c r="Q13" s="6">
        <f>(VLOOKUP('102 5.1.00'!Y13,'102 5.1.00'!$AM$4:$AO$55,2,FALSE))*IF('102 5.1.00'!BA$4="是",'102 5.1.00'!$AX$4,'102 5.1.00'!$AX$3)</f>
        <v>0</v>
      </c>
      <c r="R13" s="6">
        <f>(VLOOKUP('102 5.1.00'!Z13,'102 5.1.00'!$AM$4:$AO$55,2,FALSE))*IF('102 5.1.00'!BB$4="是",'102 5.1.00'!$AX$4,'102 5.1.00'!$AX$3)</f>
        <v>0</v>
      </c>
      <c r="S13" s="6">
        <f>(VLOOKUP('102 5.1.00'!AA13,'102 5.1.00'!$AM$4:$AO$55,2,FALSE))*IF('102 5.1.00'!BC$4="是",'102 5.1.00'!$AX$4,'102 5.1.00'!$AX$3)</f>
        <v>0</v>
      </c>
      <c r="T13" s="6">
        <f>(VLOOKUP('102 5.1.00'!AB13,'102 5.1.00'!$AM$4:$AO$55,2,FALSE))*IF('102 5.1.00'!BD$4="是",'102 5.1.00'!$AX$4,'102 5.1.00'!$AX$3)</f>
        <v>0</v>
      </c>
      <c r="U13" s="6">
        <f>(VLOOKUP('102 5.1.00'!AC13,'102 5.1.00'!$AM$4:$AO$55,2,FALSE))*IF('102 5.1.00'!BE$4="是",'102 5.1.00'!$AX$4,'102 5.1.00'!$AX$3)</f>
        <v>0</v>
      </c>
      <c r="V13" s="6">
        <f>(VLOOKUP('102 5.1.00'!AD13,'102 5.1.00'!$AM$4:$AO$55,2,FALSE))*IF('102 5.1.00'!BF$4="是",'102 5.1.00'!$AX$4,'102 5.1.00'!$AX$3)</f>
        <v>0</v>
      </c>
      <c r="W13" s="7">
        <f>(VLOOKUP('102 5.1.00'!AE13,'102 5.1.00'!$AM$4:$AO$55,2,FALSE))*IF('102 5.1.00'!BG$4="是",'102 5.1.00'!$AX$4,'102 5.1.00'!$AX$3)</f>
        <v>0</v>
      </c>
      <c r="X13" s="7">
        <f>(VLOOKUP('102 5.1.00'!AF13,'102 5.1.00'!$AM$4:$AO$55,2,FALSE))*IF('102 5.1.00'!BH$4="是",'102 5.1.00'!$AX$4,'102 5.1.00'!$AX$3)</f>
        <v>0</v>
      </c>
    </row>
    <row r="14" spans="1:24">
      <c r="A14" s="6">
        <f>(VLOOKUP('102 5.1.00'!I14,'102 5.1.00'!$AM$4:$AO$55,2,FALSE))*IF('102 5.1.00'!AK$4="是",'102 5.1.00'!$AX$4,'102 5.1.00'!$AX$3)</f>
        <v>170</v>
      </c>
      <c r="B14" s="6">
        <f>(VLOOKUP('102 5.1.00'!J14,'102 5.1.00'!$AM$4:$AO$55,2,FALSE))*IF('102 5.1.00'!AL$4="是",'102 5.1.00'!$AX$4,'102 5.1.00'!$AX$3)</f>
        <v>170</v>
      </c>
      <c r="C14" s="6">
        <f>(VLOOKUP('102 5.1.00'!K14,'102 5.1.00'!$AM$4:$AO$55,2,FALSE))*IF('102 5.1.00'!AM$4="是",'102 5.1.00'!$AX$4,'102 5.1.00'!$AX$3)</f>
        <v>170</v>
      </c>
      <c r="D14" s="6">
        <f>(VLOOKUP('102 5.1.00'!L14,'102 5.1.00'!$AM$4:$AO$55,2,FALSE))*IF('102 5.1.00'!AN$4="是",'102 5.1.00'!$AX$4,'102 5.1.00'!$AX$3)</f>
        <v>170</v>
      </c>
      <c r="E14" s="6">
        <f>(VLOOKUP('102 5.1.00'!M14,'102 5.1.00'!$AM$4:$AO$55,2,FALSE))*IF('102 5.1.00'!AO$4="是",'102 5.1.00'!$AX$4,'102 5.1.00'!$AX$3)</f>
        <v>170</v>
      </c>
      <c r="F14" s="6">
        <f>(VLOOKUP('102 5.1.00'!N14,'102 5.1.00'!$AM$4:$AO$55,2,FALSE))*IF('102 5.1.00'!AP$4="是",'102 5.1.00'!$AX$4,'102 5.1.00'!$AX$3)</f>
        <v>170</v>
      </c>
      <c r="G14" s="7">
        <f>(VLOOKUP('102 5.1.00'!O14,'102 5.1.00'!$AM$4:$AO$55,2,FALSE))*IF('102 5.1.00'!AQ$4="是",'102 5.1.00'!$AX$4,'102 5.1.00'!$AX$3)</f>
        <v>0</v>
      </c>
      <c r="H14" s="7">
        <f>(VLOOKUP('102 5.1.00'!P14,'102 5.1.00'!$AM$4:$AO$55,2,FALSE))*IF('102 5.1.00'!AR$4="是",'102 5.1.00'!$AX$4,'102 5.1.00'!$AX$3)</f>
        <v>0</v>
      </c>
      <c r="I14" s="6">
        <f>(VLOOKUP('102 5.1.00'!Q14,'102 5.1.00'!$AM$4:$AO$55,2,FALSE))*IF('102 5.1.00'!AS$4="是",'102 5.1.00'!$AX$4,'102 5.1.00'!$AX$3)</f>
        <v>50</v>
      </c>
      <c r="J14" s="6">
        <f>(VLOOKUP('102 5.1.00'!R14,'102 5.1.00'!$AM$4:$AO$55,2,FALSE))*IF('102 5.1.00'!AT$4="是",'102 5.1.00'!$AX$4,'102 5.1.00'!$AX$3)</f>
        <v>180</v>
      </c>
      <c r="K14" s="6">
        <f>(VLOOKUP('102 5.1.00'!S14,'102 5.1.00'!$AM$4:$AO$55,2,FALSE))*IF('102 5.1.00'!AU$4="是",'102 5.1.00'!$AX$4,'102 5.1.00'!$AX$3)</f>
        <v>180</v>
      </c>
      <c r="L14" s="6">
        <f>(VLOOKUP('102 5.1.00'!T14,'102 5.1.00'!$AM$4:$AO$55,2,FALSE))*IF('102 5.1.00'!AV$4="是",'102 5.1.00'!$AX$4,'102 5.1.00'!$AX$3)</f>
        <v>180</v>
      </c>
      <c r="M14" s="6">
        <f>(VLOOKUP('102 5.1.00'!U14,'102 5.1.00'!$AM$4:$AO$55,2,FALSE))*IF('102 5.1.00'!AW$4="是",'102 5.1.00'!$AX$4,'102 5.1.00'!$AX$3)</f>
        <v>180</v>
      </c>
      <c r="N14" s="6">
        <f>(VLOOKUP('102 5.1.00'!V14,'102 5.1.00'!$AM$4:$AO$55,2,FALSE))*IF('102 5.1.00'!AX$4="是",'102 5.1.00'!$AX$4,'102 5.1.00'!$AX$3)</f>
        <v>180</v>
      </c>
      <c r="O14" s="7">
        <f>(VLOOKUP('102 5.1.00'!W14,'102 5.1.00'!$AM$4:$AO$55,2,FALSE))*IF('102 5.1.00'!AY$4="是",'102 5.1.00'!$AX$4,'102 5.1.00'!$AX$3)</f>
        <v>0</v>
      </c>
      <c r="P14" s="7">
        <f>(VLOOKUP('102 5.1.00'!X14,'102 5.1.00'!$AM$4:$AO$55,2,FALSE))*IF('102 5.1.00'!AZ$4="是",'102 5.1.00'!$AX$4,'102 5.1.00'!$AX$3)</f>
        <v>0</v>
      </c>
      <c r="Q14" s="6">
        <f>(VLOOKUP('102 5.1.00'!Y14,'102 5.1.00'!$AM$4:$AO$55,2,FALSE))*IF('102 5.1.00'!BA$4="是",'102 5.1.00'!$AX$4,'102 5.1.00'!$AX$3)</f>
        <v>0</v>
      </c>
      <c r="R14" s="6">
        <f>(VLOOKUP('102 5.1.00'!Z14,'102 5.1.00'!$AM$4:$AO$55,2,FALSE))*IF('102 5.1.00'!BB$4="是",'102 5.1.00'!$AX$4,'102 5.1.00'!$AX$3)</f>
        <v>0</v>
      </c>
      <c r="S14" s="6">
        <f>(VLOOKUP('102 5.1.00'!AA14,'102 5.1.00'!$AM$4:$AO$55,2,FALSE))*IF('102 5.1.00'!BC$4="是",'102 5.1.00'!$AX$4,'102 5.1.00'!$AX$3)</f>
        <v>0</v>
      </c>
      <c r="T14" s="6">
        <f>(VLOOKUP('102 5.1.00'!AB14,'102 5.1.00'!$AM$4:$AO$55,2,FALSE))*IF('102 5.1.00'!BD$4="是",'102 5.1.00'!$AX$4,'102 5.1.00'!$AX$3)</f>
        <v>0</v>
      </c>
      <c r="U14" s="6">
        <f>(VLOOKUP('102 5.1.00'!AC14,'102 5.1.00'!$AM$4:$AO$55,2,FALSE))*IF('102 5.1.00'!BE$4="是",'102 5.1.00'!$AX$4,'102 5.1.00'!$AX$3)</f>
        <v>0</v>
      </c>
      <c r="V14" s="6">
        <f>(VLOOKUP('102 5.1.00'!AD14,'102 5.1.00'!$AM$4:$AO$55,2,FALSE))*IF('102 5.1.00'!BF$4="是",'102 5.1.00'!$AX$4,'102 5.1.00'!$AX$3)</f>
        <v>0</v>
      </c>
      <c r="W14" s="7">
        <f>(VLOOKUP('102 5.1.00'!AE14,'102 5.1.00'!$AM$4:$AO$55,2,FALSE))*IF('102 5.1.00'!BG$4="是",'102 5.1.00'!$AX$4,'102 5.1.00'!$AX$3)</f>
        <v>0</v>
      </c>
      <c r="X14" s="7">
        <f>(VLOOKUP('102 5.1.00'!AF14,'102 5.1.00'!$AM$4:$AO$55,2,FALSE))*IF('102 5.1.00'!BH$4="是",'102 5.1.00'!$AX$4,'102 5.1.00'!$AX$3)</f>
        <v>0</v>
      </c>
    </row>
    <row r="15" spans="1:24">
      <c r="A15" s="6">
        <f>(VLOOKUP('102 5.1.00'!I15,'102 5.1.00'!$AM$4:$AO$55,2,FALSE))*IF('102 5.1.00'!AK$4="是",'102 5.1.00'!$AX$4,'102 5.1.00'!$AX$3)</f>
        <v>170</v>
      </c>
      <c r="B15" s="6">
        <f>(VLOOKUP('102 5.1.00'!J15,'102 5.1.00'!$AM$4:$AO$55,2,FALSE))*IF('102 5.1.00'!AL$4="是",'102 5.1.00'!$AX$4,'102 5.1.00'!$AX$3)</f>
        <v>170</v>
      </c>
      <c r="C15" s="6">
        <f>(VLOOKUP('102 5.1.00'!K15,'102 5.1.00'!$AM$4:$AO$55,2,FALSE))*IF('102 5.1.00'!AM$4="是",'102 5.1.00'!$AX$4,'102 5.1.00'!$AX$3)</f>
        <v>170</v>
      </c>
      <c r="D15" s="6">
        <f>(VLOOKUP('102 5.1.00'!L15,'102 5.1.00'!$AM$4:$AO$55,2,FALSE))*IF('102 5.1.00'!AN$4="是",'102 5.1.00'!$AX$4,'102 5.1.00'!$AX$3)</f>
        <v>170</v>
      </c>
      <c r="E15" s="6">
        <f>(VLOOKUP('102 5.1.00'!M15,'102 5.1.00'!$AM$4:$AO$55,2,FALSE))*IF('102 5.1.00'!AO$4="是",'102 5.1.00'!$AX$4,'102 5.1.00'!$AX$3)</f>
        <v>170</v>
      </c>
      <c r="F15" s="6">
        <f>(VLOOKUP('102 5.1.00'!N15,'102 5.1.00'!$AM$4:$AO$55,2,FALSE))*IF('102 5.1.00'!AP$4="是",'102 5.1.00'!$AX$4,'102 5.1.00'!$AX$3)</f>
        <v>170</v>
      </c>
      <c r="G15" s="7">
        <f>(VLOOKUP('102 5.1.00'!O15,'102 5.1.00'!$AM$4:$AO$55,2,FALSE))*IF('102 5.1.00'!AQ$4="是",'102 5.1.00'!$AX$4,'102 5.1.00'!$AX$3)</f>
        <v>0</v>
      </c>
      <c r="H15" s="7">
        <f>(VLOOKUP('102 5.1.00'!P15,'102 5.1.00'!$AM$4:$AO$55,2,FALSE))*IF('102 5.1.00'!AR$4="是",'102 5.1.00'!$AX$4,'102 5.1.00'!$AX$3)</f>
        <v>0</v>
      </c>
      <c r="I15" s="6">
        <f>(VLOOKUP('102 5.1.00'!Q15,'102 5.1.00'!$AM$4:$AO$55,2,FALSE))*IF('102 5.1.00'!AS$4="是",'102 5.1.00'!$AX$4,'102 5.1.00'!$AX$3)</f>
        <v>180</v>
      </c>
      <c r="J15" s="6">
        <f>(VLOOKUP('102 5.1.00'!R15,'102 5.1.00'!$AM$4:$AO$55,2,FALSE))*IF('102 5.1.00'!AT$4="是",'102 5.1.00'!$AX$4,'102 5.1.00'!$AX$3)</f>
        <v>180</v>
      </c>
      <c r="K15" s="6">
        <f>(VLOOKUP('102 5.1.00'!S15,'102 5.1.00'!$AM$4:$AO$55,2,FALSE))*IF('102 5.1.00'!AU$4="是",'102 5.1.00'!$AX$4,'102 5.1.00'!$AX$3)</f>
        <v>180</v>
      </c>
      <c r="L15" s="6">
        <f>(VLOOKUP('102 5.1.00'!T15,'102 5.1.00'!$AM$4:$AO$55,2,FALSE))*IF('102 5.1.00'!AV$4="是",'102 5.1.00'!$AX$4,'102 5.1.00'!$AX$3)</f>
        <v>180</v>
      </c>
      <c r="M15" s="6">
        <f>(VLOOKUP('102 5.1.00'!U15,'102 5.1.00'!$AM$4:$AO$55,2,FALSE))*IF('102 5.1.00'!AW$4="是",'102 5.1.00'!$AX$4,'102 5.1.00'!$AX$3)</f>
        <v>180</v>
      </c>
      <c r="N15" s="6">
        <f>(VLOOKUP('102 5.1.00'!V15,'102 5.1.00'!$AM$4:$AO$55,2,FALSE))*IF('102 5.1.00'!AX$4="是",'102 5.1.00'!$AX$4,'102 5.1.00'!$AX$3)</f>
        <v>180</v>
      </c>
      <c r="O15" s="7">
        <f>(VLOOKUP('102 5.1.00'!W15,'102 5.1.00'!$AM$4:$AO$55,2,FALSE))*IF('102 5.1.00'!AY$4="是",'102 5.1.00'!$AX$4,'102 5.1.00'!$AX$3)</f>
        <v>0</v>
      </c>
      <c r="P15" s="7">
        <f>(VLOOKUP('102 5.1.00'!X15,'102 5.1.00'!$AM$4:$AO$55,2,FALSE))*IF('102 5.1.00'!AZ$4="是",'102 5.1.00'!$AX$4,'102 5.1.00'!$AX$3)</f>
        <v>0</v>
      </c>
      <c r="Q15" s="6">
        <f>(VLOOKUP('102 5.1.00'!Y15,'102 5.1.00'!$AM$4:$AO$55,2,FALSE))*IF('102 5.1.00'!BA$4="是",'102 5.1.00'!$AX$4,'102 5.1.00'!$AX$3)</f>
        <v>0</v>
      </c>
      <c r="R15" s="6">
        <f>(VLOOKUP('102 5.1.00'!Z15,'102 5.1.00'!$AM$4:$AO$55,2,FALSE))*IF('102 5.1.00'!BB$4="是",'102 5.1.00'!$AX$4,'102 5.1.00'!$AX$3)</f>
        <v>0</v>
      </c>
      <c r="S15" s="6">
        <f>(VLOOKUP('102 5.1.00'!AA15,'102 5.1.00'!$AM$4:$AO$55,2,FALSE))*IF('102 5.1.00'!BC$4="是",'102 5.1.00'!$AX$4,'102 5.1.00'!$AX$3)</f>
        <v>0</v>
      </c>
      <c r="T15" s="6">
        <f>(VLOOKUP('102 5.1.00'!AB15,'102 5.1.00'!$AM$4:$AO$55,2,FALSE))*IF('102 5.1.00'!BD$4="是",'102 5.1.00'!$AX$4,'102 5.1.00'!$AX$3)</f>
        <v>0</v>
      </c>
      <c r="U15" s="6">
        <f>(VLOOKUP('102 5.1.00'!AC15,'102 5.1.00'!$AM$4:$AO$55,2,FALSE))*IF('102 5.1.00'!BE$4="是",'102 5.1.00'!$AX$4,'102 5.1.00'!$AX$3)</f>
        <v>0</v>
      </c>
      <c r="V15" s="6">
        <f>(VLOOKUP('102 5.1.00'!AD15,'102 5.1.00'!$AM$4:$AO$55,2,FALSE))*IF('102 5.1.00'!BF$4="是",'102 5.1.00'!$AX$4,'102 5.1.00'!$AX$3)</f>
        <v>0</v>
      </c>
      <c r="W15" s="7">
        <f>(VLOOKUP('102 5.1.00'!AE15,'102 5.1.00'!$AM$4:$AO$55,2,FALSE))*IF('102 5.1.00'!BG$4="是",'102 5.1.00'!$AX$4,'102 5.1.00'!$AX$3)</f>
        <v>0</v>
      </c>
      <c r="X15" s="7">
        <f>(VLOOKUP('102 5.1.00'!AF15,'102 5.1.00'!$AM$4:$AO$55,2,FALSE))*IF('102 5.1.00'!BH$4="是",'102 5.1.00'!$AX$4,'102 5.1.00'!$AX$3)</f>
        <v>0</v>
      </c>
    </row>
    <row r="16" spans="1:24">
      <c r="A16" s="6">
        <f>(VLOOKUP('102 5.1.00'!I16,'102 5.1.00'!$AM$4:$AO$55,2,FALSE))*IF('102 5.1.00'!AK$4="是",'102 5.1.00'!$AX$4,'102 5.1.00'!$AX$3)</f>
        <v>170</v>
      </c>
      <c r="B16" s="6">
        <f>(VLOOKUP('102 5.1.00'!J16,'102 5.1.00'!$AM$4:$AO$55,2,FALSE))*IF('102 5.1.00'!AL$4="是",'102 5.1.00'!$AX$4,'102 5.1.00'!$AX$3)</f>
        <v>170</v>
      </c>
      <c r="C16" s="6">
        <f>(VLOOKUP('102 5.1.00'!K16,'102 5.1.00'!$AM$4:$AO$55,2,FALSE))*IF('102 5.1.00'!AM$4="是",'102 5.1.00'!$AX$4,'102 5.1.00'!$AX$3)</f>
        <v>170</v>
      </c>
      <c r="D16" s="6">
        <f>(VLOOKUP('102 5.1.00'!L16,'102 5.1.00'!$AM$4:$AO$55,2,FALSE))*IF('102 5.1.00'!AN$4="是",'102 5.1.00'!$AX$4,'102 5.1.00'!$AX$3)</f>
        <v>170</v>
      </c>
      <c r="E16" s="6">
        <f>(VLOOKUP('102 5.1.00'!M16,'102 5.1.00'!$AM$4:$AO$55,2,FALSE))*IF('102 5.1.00'!AO$4="是",'102 5.1.00'!$AX$4,'102 5.1.00'!$AX$3)</f>
        <v>50</v>
      </c>
      <c r="F16" s="6">
        <f>(VLOOKUP('102 5.1.00'!N16,'102 5.1.00'!$AM$4:$AO$55,2,FALSE))*IF('102 5.1.00'!AP$4="是",'102 5.1.00'!$AX$4,'102 5.1.00'!$AX$3)</f>
        <v>170</v>
      </c>
      <c r="G16" s="7">
        <f>(VLOOKUP('102 5.1.00'!O16,'102 5.1.00'!$AM$4:$AO$55,2,FALSE))*IF('102 5.1.00'!AQ$4="是",'102 5.1.00'!$AX$4,'102 5.1.00'!$AX$3)</f>
        <v>0</v>
      </c>
      <c r="H16" s="7">
        <f>(VLOOKUP('102 5.1.00'!P16,'102 5.1.00'!$AM$4:$AO$55,2,FALSE))*IF('102 5.1.00'!AR$4="是",'102 5.1.00'!$AX$4,'102 5.1.00'!$AX$3)</f>
        <v>0</v>
      </c>
      <c r="I16" s="6">
        <f>(VLOOKUP('102 5.1.00'!Q16,'102 5.1.00'!$AM$4:$AO$55,2,FALSE))*IF('102 5.1.00'!AS$4="是",'102 5.1.00'!$AX$4,'102 5.1.00'!$AX$3)</f>
        <v>180</v>
      </c>
      <c r="J16" s="6">
        <f>(VLOOKUP('102 5.1.00'!R16,'102 5.1.00'!$AM$4:$AO$55,2,FALSE))*IF('102 5.1.00'!AT$4="是",'102 5.1.00'!$AX$4,'102 5.1.00'!$AX$3)</f>
        <v>180</v>
      </c>
      <c r="K16" s="6">
        <f>(VLOOKUP('102 5.1.00'!S16,'102 5.1.00'!$AM$4:$AO$55,2,FALSE))*IF('102 5.1.00'!AU$4="是",'102 5.1.00'!$AX$4,'102 5.1.00'!$AX$3)</f>
        <v>180</v>
      </c>
      <c r="L16" s="6">
        <f>(VLOOKUP('102 5.1.00'!T16,'102 5.1.00'!$AM$4:$AO$55,2,FALSE))*IF('102 5.1.00'!AV$4="是",'102 5.1.00'!$AX$4,'102 5.1.00'!$AX$3)</f>
        <v>180</v>
      </c>
      <c r="M16" s="6">
        <f>(VLOOKUP('102 5.1.00'!U16,'102 5.1.00'!$AM$4:$AO$55,2,FALSE))*IF('102 5.1.00'!AW$4="是",'102 5.1.00'!$AX$4,'102 5.1.00'!$AX$3)</f>
        <v>180</v>
      </c>
      <c r="N16" s="6">
        <f>(VLOOKUP('102 5.1.00'!V16,'102 5.1.00'!$AM$4:$AO$55,2,FALSE))*IF('102 5.1.00'!AX$4="是",'102 5.1.00'!$AX$4,'102 5.1.00'!$AX$3)</f>
        <v>180</v>
      </c>
      <c r="O16" s="7">
        <f>(VLOOKUP('102 5.1.00'!W16,'102 5.1.00'!$AM$4:$AO$55,2,FALSE))*IF('102 5.1.00'!AY$4="是",'102 5.1.00'!$AX$4,'102 5.1.00'!$AX$3)</f>
        <v>0</v>
      </c>
      <c r="P16" s="7">
        <f>(VLOOKUP('102 5.1.00'!X16,'102 5.1.00'!$AM$4:$AO$55,2,FALSE))*IF('102 5.1.00'!AZ$4="是",'102 5.1.00'!$AX$4,'102 5.1.00'!$AX$3)</f>
        <v>0</v>
      </c>
      <c r="Q16" s="6">
        <f>(VLOOKUP('102 5.1.00'!Y16,'102 5.1.00'!$AM$4:$AO$55,2,FALSE))*IF('102 5.1.00'!BA$4="是",'102 5.1.00'!$AX$4,'102 5.1.00'!$AX$3)</f>
        <v>0</v>
      </c>
      <c r="R16" s="6">
        <f>(VLOOKUP('102 5.1.00'!Z16,'102 5.1.00'!$AM$4:$AO$55,2,FALSE))*IF('102 5.1.00'!BB$4="是",'102 5.1.00'!$AX$4,'102 5.1.00'!$AX$3)</f>
        <v>0</v>
      </c>
      <c r="S16" s="6">
        <f>(VLOOKUP('102 5.1.00'!AA16,'102 5.1.00'!$AM$4:$AO$55,2,FALSE))*IF('102 5.1.00'!BC$4="是",'102 5.1.00'!$AX$4,'102 5.1.00'!$AX$3)</f>
        <v>0</v>
      </c>
      <c r="T16" s="6">
        <f>(VLOOKUP('102 5.1.00'!AB16,'102 5.1.00'!$AM$4:$AO$55,2,FALSE))*IF('102 5.1.00'!BD$4="是",'102 5.1.00'!$AX$4,'102 5.1.00'!$AX$3)</f>
        <v>0</v>
      </c>
      <c r="U16" s="6">
        <f>(VLOOKUP('102 5.1.00'!AC16,'102 5.1.00'!$AM$4:$AO$55,2,FALSE))*IF('102 5.1.00'!BE$4="是",'102 5.1.00'!$AX$4,'102 5.1.00'!$AX$3)</f>
        <v>0</v>
      </c>
      <c r="V16" s="6">
        <f>(VLOOKUP('102 5.1.00'!AD16,'102 5.1.00'!$AM$4:$AO$55,2,FALSE))*IF('102 5.1.00'!BF$4="是",'102 5.1.00'!$AX$4,'102 5.1.00'!$AX$3)</f>
        <v>0</v>
      </c>
      <c r="W16" s="7">
        <f>(VLOOKUP('102 5.1.00'!AE16,'102 5.1.00'!$AM$4:$AO$55,2,FALSE))*IF('102 5.1.00'!BG$4="是",'102 5.1.00'!$AX$4,'102 5.1.00'!$AX$3)</f>
        <v>0</v>
      </c>
      <c r="X16" s="7">
        <f>(VLOOKUP('102 5.1.00'!AF16,'102 5.1.00'!$AM$4:$AO$55,2,FALSE))*IF('102 5.1.00'!BH$4="是",'102 5.1.00'!$AX$4,'102 5.1.00'!$AX$3)</f>
        <v>0</v>
      </c>
    </row>
    <row r="17" spans="1:24">
      <c r="A17" s="6">
        <f>(VLOOKUP('102 5.1.00'!I17,'102 5.1.00'!$AM$4:$AO$55,2,FALSE))*IF('102 5.1.00'!AK$4="是",'102 5.1.00'!$AX$4,'102 5.1.00'!$AX$3)</f>
        <v>170</v>
      </c>
      <c r="B17" s="6">
        <f>(VLOOKUP('102 5.1.00'!J17,'102 5.1.00'!$AM$4:$AO$55,2,FALSE))*IF('102 5.1.00'!AL$4="是",'102 5.1.00'!$AX$4,'102 5.1.00'!$AX$3)</f>
        <v>170</v>
      </c>
      <c r="C17" s="6">
        <f>(VLOOKUP('102 5.1.00'!K17,'102 5.1.00'!$AM$4:$AO$55,2,FALSE))*IF('102 5.1.00'!AM$4="是",'102 5.1.00'!$AX$4,'102 5.1.00'!$AX$3)</f>
        <v>170</v>
      </c>
      <c r="D17" s="6">
        <f>(VLOOKUP('102 5.1.00'!L17,'102 5.1.00'!$AM$4:$AO$55,2,FALSE))*IF('102 5.1.00'!AN$4="是",'102 5.1.00'!$AX$4,'102 5.1.00'!$AX$3)</f>
        <v>170</v>
      </c>
      <c r="E17" s="6">
        <f>(VLOOKUP('102 5.1.00'!M17,'102 5.1.00'!$AM$4:$AO$55,2,FALSE))*IF('102 5.1.00'!AO$4="是",'102 5.1.00'!$AX$4,'102 5.1.00'!$AX$3)</f>
        <v>170</v>
      </c>
      <c r="F17" s="6">
        <f>(VLOOKUP('102 5.1.00'!N17,'102 5.1.00'!$AM$4:$AO$55,2,FALSE))*IF('102 5.1.00'!AP$4="是",'102 5.1.00'!$AX$4,'102 5.1.00'!$AX$3)</f>
        <v>170</v>
      </c>
      <c r="G17" s="7">
        <f>(VLOOKUP('102 5.1.00'!O17,'102 5.1.00'!$AM$4:$AO$55,2,FALSE))*IF('102 5.1.00'!AQ$4="是",'102 5.1.00'!$AX$4,'102 5.1.00'!$AX$3)</f>
        <v>0</v>
      </c>
      <c r="H17" s="7">
        <f>(VLOOKUP('102 5.1.00'!P17,'102 5.1.00'!$AM$4:$AO$55,2,FALSE))*IF('102 5.1.00'!AR$4="是",'102 5.1.00'!$AX$4,'102 5.1.00'!$AX$3)</f>
        <v>0</v>
      </c>
      <c r="I17" s="6">
        <f>(VLOOKUP('102 5.1.00'!Q17,'102 5.1.00'!$AM$4:$AO$55,2,FALSE))*IF('102 5.1.00'!AS$4="是",'102 5.1.00'!$AX$4,'102 5.1.00'!$AX$3)</f>
        <v>180</v>
      </c>
      <c r="J17" s="6">
        <f>(VLOOKUP('102 5.1.00'!R17,'102 5.1.00'!$AM$4:$AO$55,2,FALSE))*IF('102 5.1.00'!AT$4="是",'102 5.1.00'!$AX$4,'102 5.1.00'!$AX$3)</f>
        <v>180</v>
      </c>
      <c r="K17" s="6">
        <f>(VLOOKUP('102 5.1.00'!S17,'102 5.1.00'!$AM$4:$AO$55,2,FALSE))*IF('102 5.1.00'!AU$4="是",'102 5.1.00'!$AX$4,'102 5.1.00'!$AX$3)</f>
        <v>180</v>
      </c>
      <c r="L17" s="6">
        <f>(VLOOKUP('102 5.1.00'!T17,'102 5.1.00'!$AM$4:$AO$55,2,FALSE))*IF('102 5.1.00'!AV$4="是",'102 5.1.00'!$AX$4,'102 5.1.00'!$AX$3)</f>
        <v>180</v>
      </c>
      <c r="M17" s="6">
        <f>(VLOOKUP('102 5.1.00'!U17,'102 5.1.00'!$AM$4:$AO$55,2,FALSE))*IF('102 5.1.00'!AW$4="是",'102 5.1.00'!$AX$4,'102 5.1.00'!$AX$3)</f>
        <v>180</v>
      </c>
      <c r="N17" s="6">
        <f>(VLOOKUP('102 5.1.00'!V17,'102 5.1.00'!$AM$4:$AO$55,2,FALSE))*IF('102 5.1.00'!AX$4="是",'102 5.1.00'!$AX$4,'102 5.1.00'!$AX$3)</f>
        <v>180</v>
      </c>
      <c r="O17" s="7">
        <f>(VLOOKUP('102 5.1.00'!W17,'102 5.1.00'!$AM$4:$AO$55,2,FALSE))*IF('102 5.1.00'!AY$4="是",'102 5.1.00'!$AX$4,'102 5.1.00'!$AX$3)</f>
        <v>0</v>
      </c>
      <c r="P17" s="7">
        <f>(VLOOKUP('102 5.1.00'!X17,'102 5.1.00'!$AM$4:$AO$55,2,FALSE))*IF('102 5.1.00'!AZ$4="是",'102 5.1.00'!$AX$4,'102 5.1.00'!$AX$3)</f>
        <v>0</v>
      </c>
      <c r="Q17" s="6">
        <f>(VLOOKUP('102 5.1.00'!Y17,'102 5.1.00'!$AM$4:$AO$55,2,FALSE))*IF('102 5.1.00'!BA$4="是",'102 5.1.00'!$AX$4,'102 5.1.00'!$AX$3)</f>
        <v>0</v>
      </c>
      <c r="R17" s="6">
        <f>(VLOOKUP('102 5.1.00'!Z17,'102 5.1.00'!$AM$4:$AO$55,2,FALSE))*IF('102 5.1.00'!BB$4="是",'102 5.1.00'!$AX$4,'102 5.1.00'!$AX$3)</f>
        <v>0</v>
      </c>
      <c r="S17" s="6">
        <f>(VLOOKUP('102 5.1.00'!AA17,'102 5.1.00'!$AM$4:$AO$55,2,FALSE))*IF('102 5.1.00'!BC$4="是",'102 5.1.00'!$AX$4,'102 5.1.00'!$AX$3)</f>
        <v>0</v>
      </c>
      <c r="T17" s="6">
        <f>(VLOOKUP('102 5.1.00'!AB17,'102 5.1.00'!$AM$4:$AO$55,2,FALSE))*IF('102 5.1.00'!BD$4="是",'102 5.1.00'!$AX$4,'102 5.1.00'!$AX$3)</f>
        <v>0</v>
      </c>
      <c r="U17" s="6">
        <f>(VLOOKUP('102 5.1.00'!AC17,'102 5.1.00'!$AM$4:$AO$55,2,FALSE))*IF('102 5.1.00'!BE$4="是",'102 5.1.00'!$AX$4,'102 5.1.00'!$AX$3)</f>
        <v>0</v>
      </c>
      <c r="V17" s="6">
        <f>(VLOOKUP('102 5.1.00'!AD17,'102 5.1.00'!$AM$4:$AO$55,2,FALSE))*IF('102 5.1.00'!BF$4="是",'102 5.1.00'!$AX$4,'102 5.1.00'!$AX$3)</f>
        <v>0</v>
      </c>
      <c r="W17" s="7">
        <f>(VLOOKUP('102 5.1.00'!AE17,'102 5.1.00'!$AM$4:$AO$55,2,FALSE))*IF('102 5.1.00'!BG$4="是",'102 5.1.00'!$AX$4,'102 5.1.00'!$AX$3)</f>
        <v>0</v>
      </c>
      <c r="X17" s="7">
        <f>(VLOOKUP('102 5.1.00'!AF17,'102 5.1.00'!$AM$4:$AO$55,2,FALSE))*IF('102 5.1.00'!BH$4="是",'102 5.1.00'!$AX$4,'102 5.1.00'!$AX$3)</f>
        <v>0</v>
      </c>
    </row>
    <row r="18" spans="1:24">
      <c r="A18" s="6">
        <f>(VLOOKUP('102 5.1.00'!I18,'102 5.1.00'!$AM$4:$AO$55,2,FALSE))*IF('102 5.1.00'!AK$4="是",'102 5.1.00'!$AX$4,'102 5.1.00'!$AX$3)</f>
        <v>170</v>
      </c>
      <c r="B18" s="6">
        <f>(VLOOKUP('102 5.1.00'!J18,'102 5.1.00'!$AM$4:$AO$55,2,FALSE))*IF('102 5.1.00'!AL$4="是",'102 5.1.00'!$AX$4,'102 5.1.00'!$AX$3)</f>
        <v>170</v>
      </c>
      <c r="C18" s="6">
        <f>(VLOOKUP('102 5.1.00'!K18,'102 5.1.00'!$AM$4:$AO$55,2,FALSE))*IF('102 5.1.00'!AM$4="是",'102 5.1.00'!$AX$4,'102 5.1.00'!$AX$3)</f>
        <v>170</v>
      </c>
      <c r="D18" s="6">
        <f>(VLOOKUP('102 5.1.00'!L18,'102 5.1.00'!$AM$4:$AO$55,2,FALSE))*IF('102 5.1.00'!AN$4="是",'102 5.1.00'!$AX$4,'102 5.1.00'!$AX$3)</f>
        <v>170</v>
      </c>
      <c r="E18" s="6">
        <f>(VLOOKUP('102 5.1.00'!M18,'102 5.1.00'!$AM$4:$AO$55,2,FALSE))*IF('102 5.1.00'!AO$4="是",'102 5.1.00'!$AX$4,'102 5.1.00'!$AX$3)</f>
        <v>170</v>
      </c>
      <c r="F18" s="6">
        <f>(VLOOKUP('102 5.1.00'!N18,'102 5.1.00'!$AM$4:$AO$55,2,FALSE))*IF('102 5.1.00'!AP$4="是",'102 5.1.00'!$AX$4,'102 5.1.00'!$AX$3)</f>
        <v>170</v>
      </c>
      <c r="G18" s="7">
        <f>(VLOOKUP('102 5.1.00'!O18,'102 5.1.00'!$AM$4:$AO$55,2,FALSE))*IF('102 5.1.00'!AQ$4="是",'102 5.1.00'!$AX$4,'102 5.1.00'!$AX$3)</f>
        <v>0</v>
      </c>
      <c r="H18" s="7">
        <f>(VLOOKUP('102 5.1.00'!P18,'102 5.1.00'!$AM$4:$AO$55,2,FALSE))*IF('102 5.1.00'!AR$4="是",'102 5.1.00'!$AX$4,'102 5.1.00'!$AX$3)</f>
        <v>0</v>
      </c>
      <c r="I18" s="6">
        <f>(VLOOKUP('102 5.1.00'!Q18,'102 5.1.00'!$AM$4:$AO$55,2,FALSE))*IF('102 5.1.00'!AS$4="是",'102 5.1.00'!$AX$4,'102 5.1.00'!$AX$3)</f>
        <v>180</v>
      </c>
      <c r="J18" s="6">
        <f>(VLOOKUP('102 5.1.00'!R18,'102 5.1.00'!$AM$4:$AO$55,2,FALSE))*IF('102 5.1.00'!AT$4="是",'102 5.1.00'!$AX$4,'102 5.1.00'!$AX$3)</f>
        <v>180</v>
      </c>
      <c r="K18" s="6">
        <f>(VLOOKUP('102 5.1.00'!S18,'102 5.1.00'!$AM$4:$AO$55,2,FALSE))*IF('102 5.1.00'!AU$4="是",'102 5.1.00'!$AX$4,'102 5.1.00'!$AX$3)</f>
        <v>180</v>
      </c>
      <c r="L18" s="6">
        <f>(VLOOKUP('102 5.1.00'!T18,'102 5.1.00'!$AM$4:$AO$55,2,FALSE))*IF('102 5.1.00'!AV$4="是",'102 5.1.00'!$AX$4,'102 5.1.00'!$AX$3)</f>
        <v>180</v>
      </c>
      <c r="M18" s="6">
        <f>(VLOOKUP('102 5.1.00'!U18,'102 5.1.00'!$AM$4:$AO$55,2,FALSE))*IF('102 5.1.00'!AW$4="是",'102 5.1.00'!$AX$4,'102 5.1.00'!$AX$3)</f>
        <v>-200</v>
      </c>
      <c r="N18" s="6">
        <f>(VLOOKUP('102 5.1.00'!V18,'102 5.1.00'!$AM$4:$AO$55,2,FALSE))*IF('102 5.1.00'!AX$4="是",'102 5.1.00'!$AX$4,'102 5.1.00'!$AX$3)</f>
        <v>180</v>
      </c>
      <c r="O18" s="7">
        <f>(VLOOKUP('102 5.1.00'!W18,'102 5.1.00'!$AM$4:$AO$55,2,FALSE))*IF('102 5.1.00'!AY$4="是",'102 5.1.00'!$AX$4,'102 5.1.00'!$AX$3)</f>
        <v>180</v>
      </c>
      <c r="P18" s="7">
        <f>(VLOOKUP('102 5.1.00'!X18,'102 5.1.00'!$AM$4:$AO$55,2,FALSE))*IF('102 5.1.00'!AZ$4="是",'102 5.1.00'!$AX$4,'102 5.1.00'!$AX$3)</f>
        <v>180</v>
      </c>
      <c r="Q18" s="6">
        <f>(VLOOKUP('102 5.1.00'!Y18,'102 5.1.00'!$AM$4:$AO$55,2,FALSE))*IF('102 5.1.00'!BA$4="是",'102 5.1.00'!$AX$4,'102 5.1.00'!$AX$3)</f>
        <v>0</v>
      </c>
      <c r="R18" s="6">
        <f>(VLOOKUP('102 5.1.00'!Z18,'102 5.1.00'!$AM$4:$AO$55,2,FALSE))*IF('102 5.1.00'!BB$4="是",'102 5.1.00'!$AX$4,'102 5.1.00'!$AX$3)</f>
        <v>0</v>
      </c>
      <c r="S18" s="6">
        <f>(VLOOKUP('102 5.1.00'!AA18,'102 5.1.00'!$AM$4:$AO$55,2,FALSE))*IF('102 5.1.00'!BC$4="是",'102 5.1.00'!$AX$4,'102 5.1.00'!$AX$3)</f>
        <v>0</v>
      </c>
      <c r="T18" s="6">
        <f>(VLOOKUP('102 5.1.00'!AB18,'102 5.1.00'!$AM$4:$AO$55,2,FALSE))*IF('102 5.1.00'!BD$4="是",'102 5.1.00'!$AX$4,'102 5.1.00'!$AX$3)</f>
        <v>0</v>
      </c>
      <c r="U18" s="6">
        <f>(VLOOKUP('102 5.1.00'!AC18,'102 5.1.00'!$AM$4:$AO$55,2,FALSE))*IF('102 5.1.00'!BE$4="是",'102 5.1.00'!$AX$4,'102 5.1.00'!$AX$3)</f>
        <v>0</v>
      </c>
      <c r="V18" s="6">
        <f>(VLOOKUP('102 5.1.00'!AD18,'102 5.1.00'!$AM$4:$AO$55,2,FALSE))*IF('102 5.1.00'!BF$4="是",'102 5.1.00'!$AX$4,'102 5.1.00'!$AX$3)</f>
        <v>0</v>
      </c>
      <c r="W18" s="7">
        <f>(VLOOKUP('102 5.1.00'!AE18,'102 5.1.00'!$AM$4:$AO$55,2,FALSE))*IF('102 5.1.00'!BG$4="是",'102 5.1.00'!$AX$4,'102 5.1.00'!$AX$3)</f>
        <v>0</v>
      </c>
      <c r="X18" s="7">
        <f>(VLOOKUP('102 5.1.00'!AF18,'102 5.1.00'!$AM$4:$AO$55,2,FALSE))*IF('102 5.1.00'!BH$4="是",'102 5.1.00'!$AX$4,'102 5.1.00'!$AX$3)</f>
        <v>0</v>
      </c>
    </row>
    <row r="19" spans="1:24">
      <c r="A19" s="6">
        <f>(VLOOKUP('102 5.1.00'!I19,'102 5.1.00'!$AM$4:$AO$55,2,FALSE))*IF('102 5.1.00'!AK$4="是",'102 5.1.00'!$AX$4,'102 5.1.00'!$AX$3)</f>
        <v>50</v>
      </c>
      <c r="B19" s="6">
        <f>(VLOOKUP('102 5.1.00'!J19,'102 5.1.00'!$AM$4:$AO$55,2,FALSE))*IF('102 5.1.00'!AL$4="是",'102 5.1.00'!$AX$4,'102 5.1.00'!$AX$3)</f>
        <v>170</v>
      </c>
      <c r="C19" s="6">
        <f>(VLOOKUP('102 5.1.00'!K19,'102 5.1.00'!$AM$4:$AO$55,2,FALSE))*IF('102 5.1.00'!AM$4="是",'102 5.1.00'!$AX$4,'102 5.1.00'!$AX$3)</f>
        <v>170</v>
      </c>
      <c r="D19" s="6">
        <f>(VLOOKUP('102 5.1.00'!L19,'102 5.1.00'!$AM$4:$AO$55,2,FALSE))*IF('102 5.1.00'!AN$4="是",'102 5.1.00'!$AX$4,'102 5.1.00'!$AX$3)</f>
        <v>170</v>
      </c>
      <c r="E19" s="6">
        <f>(VLOOKUP('102 5.1.00'!M19,'102 5.1.00'!$AM$4:$AO$55,2,FALSE))*IF('102 5.1.00'!AO$4="是",'102 5.1.00'!$AX$4,'102 5.1.00'!$AX$3)</f>
        <v>170</v>
      </c>
      <c r="F19" s="6">
        <f>(VLOOKUP('102 5.1.00'!N19,'102 5.1.00'!$AM$4:$AO$55,2,FALSE))*IF('102 5.1.00'!AP$4="是",'102 5.1.00'!$AX$4,'102 5.1.00'!$AX$3)</f>
        <v>170</v>
      </c>
      <c r="G19" s="7">
        <f>(VLOOKUP('102 5.1.00'!O19,'102 5.1.00'!$AM$4:$AO$55,2,FALSE))*IF('102 5.1.00'!AQ$4="是",'102 5.1.00'!$AX$4,'102 5.1.00'!$AX$3)</f>
        <v>0</v>
      </c>
      <c r="H19" s="7">
        <f>(VLOOKUP('102 5.1.00'!P19,'102 5.1.00'!$AM$4:$AO$55,2,FALSE))*IF('102 5.1.00'!AR$4="是",'102 5.1.00'!$AX$4,'102 5.1.00'!$AX$3)</f>
        <v>0</v>
      </c>
      <c r="I19" s="6">
        <f>(VLOOKUP('102 5.1.00'!Q19,'102 5.1.00'!$AM$4:$AO$55,2,FALSE))*IF('102 5.1.00'!AS$4="是",'102 5.1.00'!$AX$4,'102 5.1.00'!$AX$3)</f>
        <v>150</v>
      </c>
      <c r="J19" s="6">
        <f>(VLOOKUP('102 5.1.00'!R19,'102 5.1.00'!$AM$4:$AO$55,2,FALSE))*IF('102 5.1.00'!AT$4="是",'102 5.1.00'!$AX$4,'102 5.1.00'!$AX$3)</f>
        <v>170</v>
      </c>
      <c r="K19" s="6">
        <f>(VLOOKUP('102 5.1.00'!S19,'102 5.1.00'!$AM$4:$AO$55,2,FALSE))*IF('102 5.1.00'!AU$4="是",'102 5.1.00'!$AX$4,'102 5.1.00'!$AX$3)</f>
        <v>170</v>
      </c>
      <c r="L19" s="6">
        <f>(VLOOKUP('102 5.1.00'!T19,'102 5.1.00'!$AM$4:$AO$55,2,FALSE))*IF('102 5.1.00'!AV$4="是",'102 5.1.00'!$AX$4,'102 5.1.00'!$AX$3)</f>
        <v>170</v>
      </c>
      <c r="M19" s="6">
        <f>(VLOOKUP('102 5.1.00'!U19,'102 5.1.00'!$AM$4:$AO$55,2,FALSE))*IF('102 5.1.00'!AW$4="是",'102 5.1.00'!$AX$4,'102 5.1.00'!$AX$3)</f>
        <v>170</v>
      </c>
      <c r="N19" s="6">
        <f>(VLOOKUP('102 5.1.00'!V19,'102 5.1.00'!$AM$4:$AO$55,2,FALSE))*IF('102 5.1.00'!AX$4="是",'102 5.1.00'!$AX$4,'102 5.1.00'!$AX$3)</f>
        <v>180</v>
      </c>
      <c r="O19" s="7">
        <f>(VLOOKUP('102 5.1.00'!W19,'102 5.1.00'!$AM$4:$AO$55,2,FALSE))*IF('102 5.1.00'!AY$4="是",'102 5.1.00'!$AX$4,'102 5.1.00'!$AX$3)</f>
        <v>0</v>
      </c>
      <c r="P19" s="7">
        <f>(VLOOKUP('102 5.1.00'!X19,'102 5.1.00'!$AM$4:$AO$55,2,FALSE))*IF('102 5.1.00'!AZ$4="是",'102 5.1.00'!$AX$4,'102 5.1.00'!$AX$3)</f>
        <v>0</v>
      </c>
      <c r="Q19" s="6">
        <f>(VLOOKUP('102 5.1.00'!Y19,'102 5.1.00'!$AM$4:$AO$55,2,FALSE))*IF('102 5.1.00'!BA$4="是",'102 5.1.00'!$AX$4,'102 5.1.00'!$AX$3)</f>
        <v>0</v>
      </c>
      <c r="R19" s="6">
        <f>(VLOOKUP('102 5.1.00'!Z19,'102 5.1.00'!$AM$4:$AO$55,2,FALSE))*IF('102 5.1.00'!BB$4="是",'102 5.1.00'!$AX$4,'102 5.1.00'!$AX$3)</f>
        <v>0</v>
      </c>
      <c r="S19" s="6">
        <f>(VLOOKUP('102 5.1.00'!AA19,'102 5.1.00'!$AM$4:$AO$55,2,FALSE))*IF('102 5.1.00'!BC$4="是",'102 5.1.00'!$AX$4,'102 5.1.00'!$AX$3)</f>
        <v>0</v>
      </c>
      <c r="T19" s="6">
        <f>(VLOOKUP('102 5.1.00'!AB19,'102 5.1.00'!$AM$4:$AO$55,2,FALSE))*IF('102 5.1.00'!BD$4="是",'102 5.1.00'!$AX$4,'102 5.1.00'!$AX$3)</f>
        <v>0</v>
      </c>
      <c r="U19" s="6">
        <f>(VLOOKUP('102 5.1.00'!AC19,'102 5.1.00'!$AM$4:$AO$55,2,FALSE))*IF('102 5.1.00'!BE$4="是",'102 5.1.00'!$AX$4,'102 5.1.00'!$AX$3)</f>
        <v>0</v>
      </c>
      <c r="V19" s="6">
        <f>(VLOOKUP('102 5.1.00'!AD19,'102 5.1.00'!$AM$4:$AO$55,2,FALSE))*IF('102 5.1.00'!BF$4="是",'102 5.1.00'!$AX$4,'102 5.1.00'!$AX$3)</f>
        <v>0</v>
      </c>
      <c r="W19" s="7">
        <f>(VLOOKUP('102 5.1.00'!AE19,'102 5.1.00'!$AM$4:$AO$55,2,FALSE))*IF('102 5.1.00'!BG$4="是",'102 5.1.00'!$AX$4,'102 5.1.00'!$AX$3)</f>
        <v>0</v>
      </c>
      <c r="X19" s="7">
        <f>(VLOOKUP('102 5.1.00'!AF19,'102 5.1.00'!$AM$4:$AO$55,2,FALSE))*IF('102 5.1.00'!BH$4="是",'102 5.1.00'!$AX$4,'102 5.1.00'!$AX$3)</f>
        <v>0</v>
      </c>
    </row>
    <row r="20" spans="1:24">
      <c r="A20" s="6">
        <f>(VLOOKUP('102 5.1.00'!I20,'102 5.1.00'!$AM$4:$AO$55,2,FALSE))*IF('102 5.1.00'!AK$4="是",'102 5.1.00'!$AX$4,'102 5.1.00'!$AX$3)</f>
        <v>170</v>
      </c>
      <c r="B20" s="6">
        <f>(VLOOKUP('102 5.1.00'!J20,'102 5.1.00'!$AM$4:$AO$55,2,FALSE))*IF('102 5.1.00'!AL$4="是",'102 5.1.00'!$AX$4,'102 5.1.00'!$AX$3)</f>
        <v>150</v>
      </c>
      <c r="C20" s="6">
        <f>(VLOOKUP('102 5.1.00'!K20,'102 5.1.00'!$AM$4:$AO$55,2,FALSE))*IF('102 5.1.00'!AM$4="是",'102 5.1.00'!$AX$4,'102 5.1.00'!$AX$3)</f>
        <v>170</v>
      </c>
      <c r="D20" s="6">
        <f>(VLOOKUP('102 5.1.00'!L20,'102 5.1.00'!$AM$4:$AO$55,2,FALSE))*IF('102 5.1.00'!AN$4="是",'102 5.1.00'!$AX$4,'102 5.1.00'!$AX$3)</f>
        <v>170</v>
      </c>
      <c r="E20" s="6">
        <f>(VLOOKUP('102 5.1.00'!M20,'102 5.1.00'!$AM$4:$AO$55,2,FALSE))*IF('102 5.1.00'!AO$4="是",'102 5.1.00'!$AX$4,'102 5.1.00'!$AX$3)</f>
        <v>170</v>
      </c>
      <c r="F20" s="6">
        <f>(VLOOKUP('102 5.1.00'!N20,'102 5.1.00'!$AM$4:$AO$55,2,FALSE))*IF('102 5.1.00'!AP$4="是",'102 5.1.00'!$AX$4,'102 5.1.00'!$AX$3)</f>
        <v>170</v>
      </c>
      <c r="G20" s="7">
        <f>(VLOOKUP('102 5.1.00'!O20,'102 5.1.00'!$AM$4:$AO$55,2,FALSE))*IF('102 5.1.00'!AQ$4="是",'102 5.1.00'!$AX$4,'102 5.1.00'!$AX$3)</f>
        <v>0</v>
      </c>
      <c r="H20" s="7">
        <f>(VLOOKUP('102 5.1.00'!P20,'102 5.1.00'!$AM$4:$AO$55,2,FALSE))*IF('102 5.1.00'!AR$4="是",'102 5.1.00'!$AX$4,'102 5.1.00'!$AX$3)</f>
        <v>0</v>
      </c>
      <c r="I20" s="6">
        <f>(VLOOKUP('102 5.1.00'!Q20,'102 5.1.00'!$AM$4:$AO$55,2,FALSE))*IF('102 5.1.00'!AS$4="是",'102 5.1.00'!$AX$4,'102 5.1.00'!$AX$3)</f>
        <v>180</v>
      </c>
      <c r="J20" s="6">
        <f>(VLOOKUP('102 5.1.00'!R20,'102 5.1.00'!$AM$4:$AO$55,2,FALSE))*IF('102 5.1.00'!AT$4="是",'102 5.1.00'!$AX$4,'102 5.1.00'!$AX$3)</f>
        <v>180</v>
      </c>
      <c r="K20" s="6">
        <f>(VLOOKUP('102 5.1.00'!S20,'102 5.1.00'!$AM$4:$AO$55,2,FALSE))*IF('102 5.1.00'!AU$4="是",'102 5.1.00'!$AX$4,'102 5.1.00'!$AX$3)</f>
        <v>180</v>
      </c>
      <c r="L20" s="6">
        <f>(VLOOKUP('102 5.1.00'!T20,'102 5.1.00'!$AM$4:$AO$55,2,FALSE))*IF('102 5.1.00'!AV$4="是",'102 5.1.00'!$AX$4,'102 5.1.00'!$AX$3)</f>
        <v>180</v>
      </c>
      <c r="M20" s="6">
        <f>(VLOOKUP('102 5.1.00'!U20,'102 5.1.00'!$AM$4:$AO$55,2,FALSE))*IF('102 5.1.00'!AW$4="是",'102 5.1.00'!$AX$4,'102 5.1.00'!$AX$3)</f>
        <v>180</v>
      </c>
      <c r="N20" s="6">
        <f>(VLOOKUP('102 5.1.00'!V20,'102 5.1.00'!$AM$4:$AO$55,2,FALSE))*IF('102 5.1.00'!AX$4="是",'102 5.1.00'!$AX$4,'102 5.1.00'!$AX$3)</f>
        <v>180</v>
      </c>
      <c r="O20" s="7">
        <f>(VLOOKUP('102 5.1.00'!W20,'102 5.1.00'!$AM$4:$AO$55,2,FALSE))*IF('102 5.1.00'!AY$4="是",'102 5.1.00'!$AX$4,'102 5.1.00'!$AX$3)</f>
        <v>0</v>
      </c>
      <c r="P20" s="7">
        <f>(VLOOKUP('102 5.1.00'!X20,'102 5.1.00'!$AM$4:$AO$55,2,FALSE))*IF('102 5.1.00'!AZ$4="是",'102 5.1.00'!$AX$4,'102 5.1.00'!$AX$3)</f>
        <v>0</v>
      </c>
      <c r="Q20" s="6">
        <f>(VLOOKUP('102 5.1.00'!Y20,'102 5.1.00'!$AM$4:$AO$55,2,FALSE))*IF('102 5.1.00'!BA$4="是",'102 5.1.00'!$AX$4,'102 5.1.00'!$AX$3)</f>
        <v>0</v>
      </c>
      <c r="R20" s="6">
        <f>(VLOOKUP('102 5.1.00'!Z20,'102 5.1.00'!$AM$4:$AO$55,2,FALSE))*IF('102 5.1.00'!BB$4="是",'102 5.1.00'!$AX$4,'102 5.1.00'!$AX$3)</f>
        <v>0</v>
      </c>
      <c r="S20" s="6">
        <f>(VLOOKUP('102 5.1.00'!AA20,'102 5.1.00'!$AM$4:$AO$55,2,FALSE))*IF('102 5.1.00'!BC$4="是",'102 5.1.00'!$AX$4,'102 5.1.00'!$AX$3)</f>
        <v>0</v>
      </c>
      <c r="T20" s="6">
        <f>(VLOOKUP('102 5.1.00'!AB20,'102 5.1.00'!$AM$4:$AO$55,2,FALSE))*IF('102 5.1.00'!BD$4="是",'102 5.1.00'!$AX$4,'102 5.1.00'!$AX$3)</f>
        <v>0</v>
      </c>
      <c r="U20" s="6">
        <f>(VLOOKUP('102 5.1.00'!AC20,'102 5.1.00'!$AM$4:$AO$55,2,FALSE))*IF('102 5.1.00'!BE$4="是",'102 5.1.00'!$AX$4,'102 5.1.00'!$AX$3)</f>
        <v>0</v>
      </c>
      <c r="V20" s="6">
        <f>(VLOOKUP('102 5.1.00'!AD20,'102 5.1.00'!$AM$4:$AO$55,2,FALSE))*IF('102 5.1.00'!BF$4="是",'102 5.1.00'!$AX$4,'102 5.1.00'!$AX$3)</f>
        <v>0</v>
      </c>
      <c r="W20" s="7">
        <f>(VLOOKUP('102 5.1.00'!AE20,'102 5.1.00'!$AM$4:$AO$55,2,FALSE))*IF('102 5.1.00'!BG$4="是",'102 5.1.00'!$AX$4,'102 5.1.00'!$AX$3)</f>
        <v>0</v>
      </c>
      <c r="X20" s="7">
        <f>(VLOOKUP('102 5.1.00'!AF20,'102 5.1.00'!$AM$4:$AO$55,2,FALSE))*IF('102 5.1.00'!BH$4="是",'102 5.1.00'!$AX$4,'102 5.1.00'!$AX$3)</f>
        <v>0</v>
      </c>
    </row>
    <row r="21" spans="1:24">
      <c r="A21" s="6">
        <f>(VLOOKUP('102 5.1.00'!I21,'102 5.1.00'!$AM$4:$AO$55,2,FALSE))*IF('102 5.1.00'!AK$4="是",'102 5.1.00'!$AX$4,'102 5.1.00'!$AX$3)</f>
        <v>170</v>
      </c>
      <c r="B21" s="6">
        <f>(VLOOKUP('102 5.1.00'!J21,'102 5.1.00'!$AM$4:$AO$55,2,FALSE))*IF('102 5.1.00'!AL$4="是",'102 5.1.00'!$AX$4,'102 5.1.00'!$AX$3)</f>
        <v>50</v>
      </c>
      <c r="C21" s="6">
        <f>(VLOOKUP('102 5.1.00'!K21,'102 5.1.00'!$AM$4:$AO$55,2,FALSE))*IF('102 5.1.00'!AM$4="是",'102 5.1.00'!$AX$4,'102 5.1.00'!$AX$3)</f>
        <v>170</v>
      </c>
      <c r="D21" s="6">
        <f>(VLOOKUP('102 5.1.00'!L21,'102 5.1.00'!$AM$4:$AO$55,2,FALSE))*IF('102 5.1.00'!AN$4="是",'102 5.1.00'!$AX$4,'102 5.1.00'!$AX$3)</f>
        <v>170</v>
      </c>
      <c r="E21" s="6">
        <f>(VLOOKUP('102 5.1.00'!M21,'102 5.1.00'!$AM$4:$AO$55,2,FALSE))*IF('102 5.1.00'!AO$4="是",'102 5.1.00'!$AX$4,'102 5.1.00'!$AX$3)</f>
        <v>170</v>
      </c>
      <c r="F21" s="6">
        <f>(VLOOKUP('102 5.1.00'!N21,'102 5.1.00'!$AM$4:$AO$55,2,FALSE))*IF('102 5.1.00'!AP$4="是",'102 5.1.00'!$AX$4,'102 5.1.00'!$AX$3)</f>
        <v>180</v>
      </c>
      <c r="G21" s="7">
        <f>(VLOOKUP('102 5.1.00'!O21,'102 5.1.00'!$AM$4:$AO$55,2,FALSE))*IF('102 5.1.00'!AQ$4="是",'102 5.1.00'!$AX$4,'102 5.1.00'!$AX$3)</f>
        <v>0</v>
      </c>
      <c r="H21" s="7">
        <f>(VLOOKUP('102 5.1.00'!P21,'102 5.1.00'!$AM$4:$AO$55,2,FALSE))*IF('102 5.1.00'!AR$4="是",'102 5.1.00'!$AX$4,'102 5.1.00'!$AX$3)</f>
        <v>0</v>
      </c>
      <c r="I21" s="6">
        <f>(VLOOKUP('102 5.1.00'!Q21,'102 5.1.00'!$AM$4:$AO$55,2,FALSE))*IF('102 5.1.00'!AS$4="是",'102 5.1.00'!$AX$4,'102 5.1.00'!$AX$3)</f>
        <v>180</v>
      </c>
      <c r="J21" s="6">
        <f>(VLOOKUP('102 5.1.00'!R21,'102 5.1.00'!$AM$4:$AO$55,2,FALSE))*IF('102 5.1.00'!AT$4="是",'102 5.1.00'!$AX$4,'102 5.1.00'!$AX$3)</f>
        <v>180</v>
      </c>
      <c r="K21" s="6">
        <f>(VLOOKUP('102 5.1.00'!S21,'102 5.1.00'!$AM$4:$AO$55,2,FALSE))*IF('102 5.1.00'!AU$4="是",'102 5.1.00'!$AX$4,'102 5.1.00'!$AX$3)</f>
        <v>180</v>
      </c>
      <c r="L21" s="6">
        <f>(VLOOKUP('102 5.1.00'!T21,'102 5.1.00'!$AM$4:$AO$55,2,FALSE))*IF('102 5.1.00'!AV$4="是",'102 5.1.00'!$AX$4,'102 5.1.00'!$AX$3)</f>
        <v>180</v>
      </c>
      <c r="M21" s="6">
        <f>(VLOOKUP('102 5.1.00'!U21,'102 5.1.00'!$AM$4:$AO$55,2,FALSE))*IF('102 5.1.00'!AW$4="是",'102 5.1.00'!$AX$4,'102 5.1.00'!$AX$3)</f>
        <v>50</v>
      </c>
      <c r="N21" s="6">
        <f>(VLOOKUP('102 5.1.00'!V21,'102 5.1.00'!$AM$4:$AO$55,2,FALSE))*IF('102 5.1.00'!AX$4="是",'102 5.1.00'!$AX$4,'102 5.1.00'!$AX$3)</f>
        <v>180</v>
      </c>
      <c r="O21" s="7">
        <f>(VLOOKUP('102 5.1.00'!W21,'102 5.1.00'!$AM$4:$AO$55,2,FALSE))*IF('102 5.1.00'!AY$4="是",'102 5.1.00'!$AX$4,'102 5.1.00'!$AX$3)</f>
        <v>0</v>
      </c>
      <c r="P21" s="7">
        <f>(VLOOKUP('102 5.1.00'!X21,'102 5.1.00'!$AM$4:$AO$55,2,FALSE))*IF('102 5.1.00'!AZ$4="是",'102 5.1.00'!$AX$4,'102 5.1.00'!$AX$3)</f>
        <v>0</v>
      </c>
      <c r="Q21" s="6">
        <f>(VLOOKUP('102 5.1.00'!Y21,'102 5.1.00'!$AM$4:$AO$55,2,FALSE))*IF('102 5.1.00'!BA$4="是",'102 5.1.00'!$AX$4,'102 5.1.00'!$AX$3)</f>
        <v>0</v>
      </c>
      <c r="R21" s="6">
        <f>(VLOOKUP('102 5.1.00'!Z21,'102 5.1.00'!$AM$4:$AO$55,2,FALSE))*IF('102 5.1.00'!BB$4="是",'102 5.1.00'!$AX$4,'102 5.1.00'!$AX$3)</f>
        <v>0</v>
      </c>
      <c r="S21" s="6">
        <f>(VLOOKUP('102 5.1.00'!AA21,'102 5.1.00'!$AM$4:$AO$55,2,FALSE))*IF('102 5.1.00'!BC$4="是",'102 5.1.00'!$AX$4,'102 5.1.00'!$AX$3)</f>
        <v>0</v>
      </c>
      <c r="T21" s="6">
        <f>(VLOOKUP('102 5.1.00'!AB21,'102 5.1.00'!$AM$4:$AO$55,2,FALSE))*IF('102 5.1.00'!BD$4="是",'102 5.1.00'!$AX$4,'102 5.1.00'!$AX$3)</f>
        <v>0</v>
      </c>
      <c r="U21" s="6">
        <f>(VLOOKUP('102 5.1.00'!AC21,'102 5.1.00'!$AM$4:$AO$55,2,FALSE))*IF('102 5.1.00'!BE$4="是",'102 5.1.00'!$AX$4,'102 5.1.00'!$AX$3)</f>
        <v>0</v>
      </c>
      <c r="V21" s="6">
        <f>(VLOOKUP('102 5.1.00'!AD21,'102 5.1.00'!$AM$4:$AO$55,2,FALSE))*IF('102 5.1.00'!BF$4="是",'102 5.1.00'!$AX$4,'102 5.1.00'!$AX$3)</f>
        <v>0</v>
      </c>
      <c r="W21" s="7">
        <f>(VLOOKUP('102 5.1.00'!AE21,'102 5.1.00'!$AM$4:$AO$55,2,FALSE))*IF('102 5.1.00'!BG$4="是",'102 5.1.00'!$AX$4,'102 5.1.00'!$AX$3)</f>
        <v>0</v>
      </c>
      <c r="X21" s="7">
        <f>(VLOOKUP('102 5.1.00'!AF21,'102 5.1.00'!$AM$4:$AO$55,2,FALSE))*IF('102 5.1.00'!BH$4="是",'102 5.1.00'!$AX$4,'102 5.1.00'!$AX$3)</f>
        <v>0</v>
      </c>
    </row>
    <row r="22" spans="1:24">
      <c r="A22" s="6">
        <f>(VLOOKUP('102 5.1.00'!I22,'102 5.1.00'!$AM$4:$AO$55,2,FALSE))*IF('102 5.1.00'!AK$4="是",'102 5.1.00'!$AX$4,'102 5.1.00'!$AX$3)</f>
        <v>180</v>
      </c>
      <c r="B22" s="6">
        <f>(VLOOKUP('102 5.1.00'!J22,'102 5.1.00'!$AM$4:$AO$55,2,FALSE))*IF('102 5.1.00'!AL$4="是",'102 5.1.00'!$AX$4,'102 5.1.00'!$AX$3)</f>
        <v>180</v>
      </c>
      <c r="C22" s="6">
        <f>(VLOOKUP('102 5.1.00'!K22,'102 5.1.00'!$AM$4:$AO$55,2,FALSE))*IF('102 5.1.00'!AM$4="是",'102 5.1.00'!$AX$4,'102 5.1.00'!$AX$3)</f>
        <v>180</v>
      </c>
      <c r="D22" s="6">
        <f>(VLOOKUP('102 5.1.00'!L22,'102 5.1.00'!$AM$4:$AO$55,2,FALSE))*IF('102 5.1.00'!AN$4="是",'102 5.1.00'!$AX$4,'102 5.1.00'!$AX$3)</f>
        <v>170</v>
      </c>
      <c r="E22" s="6">
        <f>(VLOOKUP('102 5.1.00'!M22,'102 5.1.00'!$AM$4:$AO$55,2,FALSE))*IF('102 5.1.00'!AO$4="是",'102 5.1.00'!$AX$4,'102 5.1.00'!$AX$3)</f>
        <v>170</v>
      </c>
      <c r="F22" s="6">
        <f>(VLOOKUP('102 5.1.00'!N22,'102 5.1.00'!$AM$4:$AO$55,2,FALSE))*IF('102 5.1.00'!AP$4="是",'102 5.1.00'!$AX$4,'102 5.1.00'!$AX$3)</f>
        <v>170</v>
      </c>
      <c r="G22" s="7">
        <f>(VLOOKUP('102 5.1.00'!O22,'102 5.1.00'!$AM$4:$AO$55,2,FALSE))*IF('102 5.1.00'!AQ$4="是",'102 5.1.00'!$AX$4,'102 5.1.00'!$AX$3)</f>
        <v>0</v>
      </c>
      <c r="H22" s="7">
        <f>(VLOOKUP('102 5.1.00'!P22,'102 5.1.00'!$AM$4:$AO$55,2,FALSE))*IF('102 5.1.00'!AR$4="是",'102 5.1.00'!$AX$4,'102 5.1.00'!$AX$3)</f>
        <v>0</v>
      </c>
      <c r="I22" s="6">
        <f>(VLOOKUP('102 5.1.00'!Q22,'102 5.1.00'!$AM$4:$AO$55,2,FALSE))*IF('102 5.1.00'!AS$4="是",'102 5.1.00'!$AX$4,'102 5.1.00'!$AX$3)</f>
        <v>180</v>
      </c>
      <c r="J22" s="6">
        <f>(VLOOKUP('102 5.1.00'!R22,'102 5.1.00'!$AM$4:$AO$55,2,FALSE))*IF('102 5.1.00'!AT$4="是",'102 5.1.00'!$AX$4,'102 5.1.00'!$AX$3)</f>
        <v>180</v>
      </c>
      <c r="K22" s="6">
        <f>(VLOOKUP('102 5.1.00'!S22,'102 5.1.00'!$AM$4:$AO$55,2,FALSE))*IF('102 5.1.00'!AU$4="是",'102 5.1.00'!$AX$4,'102 5.1.00'!$AX$3)</f>
        <v>180</v>
      </c>
      <c r="L22" s="6">
        <f>(VLOOKUP('102 5.1.00'!T22,'102 5.1.00'!$AM$4:$AO$55,2,FALSE))*IF('102 5.1.00'!AV$4="是",'102 5.1.00'!$AX$4,'102 5.1.00'!$AX$3)</f>
        <v>180</v>
      </c>
      <c r="M22" s="6">
        <f>(VLOOKUP('102 5.1.00'!U22,'102 5.1.00'!$AM$4:$AO$55,2,FALSE))*IF('102 5.1.00'!AW$4="是",'102 5.1.00'!$AX$4,'102 5.1.00'!$AX$3)</f>
        <v>180</v>
      </c>
      <c r="N22" s="6">
        <f>(VLOOKUP('102 5.1.00'!V22,'102 5.1.00'!$AM$4:$AO$55,2,FALSE))*IF('102 5.1.00'!AX$4="是",'102 5.1.00'!$AX$4,'102 5.1.00'!$AX$3)</f>
        <v>180</v>
      </c>
      <c r="O22" s="7">
        <f>(VLOOKUP('102 5.1.00'!W22,'102 5.1.00'!$AM$4:$AO$55,2,FALSE))*IF('102 5.1.00'!AY$4="是",'102 5.1.00'!$AX$4,'102 5.1.00'!$AX$3)</f>
        <v>0</v>
      </c>
      <c r="P22" s="7">
        <f>(VLOOKUP('102 5.1.00'!X22,'102 5.1.00'!$AM$4:$AO$55,2,FALSE))*IF('102 5.1.00'!AZ$4="是",'102 5.1.00'!$AX$4,'102 5.1.00'!$AX$3)</f>
        <v>0</v>
      </c>
      <c r="Q22" s="6">
        <f>(VLOOKUP('102 5.1.00'!Y22,'102 5.1.00'!$AM$4:$AO$55,2,FALSE))*IF('102 5.1.00'!BA$4="是",'102 5.1.00'!$AX$4,'102 5.1.00'!$AX$3)</f>
        <v>0</v>
      </c>
      <c r="R22" s="6">
        <f>(VLOOKUP('102 5.1.00'!Z22,'102 5.1.00'!$AM$4:$AO$55,2,FALSE))*IF('102 5.1.00'!BB$4="是",'102 5.1.00'!$AX$4,'102 5.1.00'!$AX$3)</f>
        <v>0</v>
      </c>
      <c r="S22" s="6">
        <f>(VLOOKUP('102 5.1.00'!AA22,'102 5.1.00'!$AM$4:$AO$55,2,FALSE))*IF('102 5.1.00'!BC$4="是",'102 5.1.00'!$AX$4,'102 5.1.00'!$AX$3)</f>
        <v>0</v>
      </c>
      <c r="T22" s="6">
        <f>(VLOOKUP('102 5.1.00'!AB22,'102 5.1.00'!$AM$4:$AO$55,2,FALSE))*IF('102 5.1.00'!BD$4="是",'102 5.1.00'!$AX$4,'102 5.1.00'!$AX$3)</f>
        <v>0</v>
      </c>
      <c r="U22" s="6">
        <f>(VLOOKUP('102 5.1.00'!AC22,'102 5.1.00'!$AM$4:$AO$55,2,FALSE))*IF('102 5.1.00'!BE$4="是",'102 5.1.00'!$AX$4,'102 5.1.00'!$AX$3)</f>
        <v>0</v>
      </c>
      <c r="V22" s="6">
        <f>(VLOOKUP('102 5.1.00'!AD22,'102 5.1.00'!$AM$4:$AO$55,2,FALSE))*IF('102 5.1.00'!BF$4="是",'102 5.1.00'!$AX$4,'102 5.1.00'!$AX$3)</f>
        <v>0</v>
      </c>
      <c r="W22" s="7">
        <f>(VLOOKUP('102 5.1.00'!AE22,'102 5.1.00'!$AM$4:$AO$55,2,FALSE))*IF('102 5.1.00'!BG$4="是",'102 5.1.00'!$AX$4,'102 5.1.00'!$AX$3)</f>
        <v>0</v>
      </c>
      <c r="X22" s="7">
        <f>(VLOOKUP('102 5.1.00'!AF22,'102 5.1.00'!$AM$4:$AO$55,2,FALSE))*IF('102 5.1.00'!BH$4="是",'102 5.1.00'!$AX$4,'102 5.1.00'!$AX$3)</f>
        <v>0</v>
      </c>
    </row>
    <row r="23" spans="1:24">
      <c r="A23" s="6">
        <f>(VLOOKUP('102 5.1.00'!I23,'102 5.1.00'!$AM$4:$AO$55,2,FALSE))*IF('102 5.1.00'!AK$4="是",'102 5.1.00'!$AX$4,'102 5.1.00'!$AX$3)</f>
        <v>170</v>
      </c>
      <c r="B23" s="6">
        <f>(VLOOKUP('102 5.1.00'!J23,'102 5.1.00'!$AM$4:$AO$55,2,FALSE))*IF('102 5.1.00'!AL$4="是",'102 5.1.00'!$AX$4,'102 5.1.00'!$AX$3)</f>
        <v>170</v>
      </c>
      <c r="C23" s="6">
        <f>(VLOOKUP('102 5.1.00'!K23,'102 5.1.00'!$AM$4:$AO$55,2,FALSE))*IF('102 5.1.00'!AM$4="是",'102 5.1.00'!$AX$4,'102 5.1.00'!$AX$3)</f>
        <v>170</v>
      </c>
      <c r="D23" s="6">
        <f>(VLOOKUP('102 5.1.00'!L23,'102 5.1.00'!$AM$4:$AO$55,2,FALSE))*IF('102 5.1.00'!AN$4="是",'102 5.1.00'!$AX$4,'102 5.1.00'!$AX$3)</f>
        <v>170</v>
      </c>
      <c r="E23" s="6">
        <f>(VLOOKUP('102 5.1.00'!M23,'102 5.1.00'!$AM$4:$AO$55,2,FALSE))*IF('102 5.1.00'!AO$4="是",'102 5.1.00'!$AX$4,'102 5.1.00'!$AX$3)</f>
        <v>170</v>
      </c>
      <c r="F23" s="6">
        <f>(VLOOKUP('102 5.1.00'!N23,'102 5.1.00'!$AM$4:$AO$55,2,FALSE))*IF('102 5.1.00'!AP$4="是",'102 5.1.00'!$AX$4,'102 5.1.00'!$AX$3)</f>
        <v>-200</v>
      </c>
      <c r="G23" s="7">
        <f>(VLOOKUP('102 5.1.00'!O23,'102 5.1.00'!$AM$4:$AO$55,2,FALSE))*IF('102 5.1.00'!AQ$4="是",'102 5.1.00'!$AX$4,'102 5.1.00'!$AX$3)</f>
        <v>170</v>
      </c>
      <c r="H23" s="7">
        <f>(VLOOKUP('102 5.1.00'!P23,'102 5.1.00'!$AM$4:$AO$55,2,FALSE))*IF('102 5.1.00'!AR$4="是",'102 5.1.00'!$AX$4,'102 5.1.00'!$AX$3)</f>
        <v>170</v>
      </c>
      <c r="I23" s="6">
        <f>(VLOOKUP('102 5.1.00'!Q23,'102 5.1.00'!$AM$4:$AO$55,2,FALSE))*IF('102 5.1.00'!AS$4="是",'102 5.1.00'!$AX$4,'102 5.1.00'!$AX$3)</f>
        <v>180</v>
      </c>
      <c r="J23" s="6">
        <f>(VLOOKUP('102 5.1.00'!R23,'102 5.1.00'!$AM$4:$AO$55,2,FALSE))*IF('102 5.1.00'!AT$4="是",'102 5.1.00'!$AX$4,'102 5.1.00'!$AX$3)</f>
        <v>180</v>
      </c>
      <c r="K23" s="6">
        <f>(VLOOKUP('102 5.1.00'!S23,'102 5.1.00'!$AM$4:$AO$55,2,FALSE))*IF('102 5.1.00'!AU$4="是",'102 5.1.00'!$AX$4,'102 5.1.00'!$AX$3)</f>
        <v>180</v>
      </c>
      <c r="L23" s="6">
        <f>(VLOOKUP('102 5.1.00'!T23,'102 5.1.00'!$AM$4:$AO$55,2,FALSE))*IF('102 5.1.00'!AV$4="是",'102 5.1.00'!$AX$4,'102 5.1.00'!$AX$3)</f>
        <v>180</v>
      </c>
      <c r="M23" s="6">
        <f>(VLOOKUP('102 5.1.00'!U23,'102 5.1.00'!$AM$4:$AO$55,2,FALSE))*IF('102 5.1.00'!AW$4="是",'102 5.1.00'!$AX$4,'102 5.1.00'!$AX$3)</f>
        <v>180</v>
      </c>
      <c r="N23" s="6">
        <f>(VLOOKUP('102 5.1.00'!V23,'102 5.1.00'!$AM$4:$AO$55,2,FALSE))*IF('102 5.1.00'!AX$4="是",'102 5.1.00'!$AX$4,'102 5.1.00'!$AX$3)</f>
        <v>180</v>
      </c>
      <c r="O23" s="7">
        <f>(VLOOKUP('102 5.1.00'!W23,'102 5.1.00'!$AM$4:$AO$55,2,FALSE))*IF('102 5.1.00'!AY$4="是",'102 5.1.00'!$AX$4,'102 5.1.00'!$AX$3)</f>
        <v>0</v>
      </c>
      <c r="P23" s="7">
        <f>(VLOOKUP('102 5.1.00'!X23,'102 5.1.00'!$AM$4:$AO$55,2,FALSE))*IF('102 5.1.00'!AZ$4="是",'102 5.1.00'!$AX$4,'102 5.1.00'!$AX$3)</f>
        <v>0</v>
      </c>
      <c r="Q23" s="6">
        <f>(VLOOKUP('102 5.1.00'!Y23,'102 5.1.00'!$AM$4:$AO$55,2,FALSE))*IF('102 5.1.00'!BA$4="是",'102 5.1.00'!$AX$4,'102 5.1.00'!$AX$3)</f>
        <v>0</v>
      </c>
      <c r="R23" s="6">
        <f>(VLOOKUP('102 5.1.00'!Z23,'102 5.1.00'!$AM$4:$AO$55,2,FALSE))*IF('102 5.1.00'!BB$4="是",'102 5.1.00'!$AX$4,'102 5.1.00'!$AX$3)</f>
        <v>0</v>
      </c>
      <c r="S23" s="6">
        <f>(VLOOKUP('102 5.1.00'!AA23,'102 5.1.00'!$AM$4:$AO$55,2,FALSE))*IF('102 5.1.00'!BC$4="是",'102 5.1.00'!$AX$4,'102 5.1.00'!$AX$3)</f>
        <v>0</v>
      </c>
      <c r="T23" s="6">
        <f>(VLOOKUP('102 5.1.00'!AB23,'102 5.1.00'!$AM$4:$AO$55,2,FALSE))*IF('102 5.1.00'!BD$4="是",'102 5.1.00'!$AX$4,'102 5.1.00'!$AX$3)</f>
        <v>0</v>
      </c>
      <c r="U23" s="6">
        <f>(VLOOKUP('102 5.1.00'!AC23,'102 5.1.00'!$AM$4:$AO$55,2,FALSE))*IF('102 5.1.00'!BE$4="是",'102 5.1.00'!$AX$4,'102 5.1.00'!$AX$3)</f>
        <v>0</v>
      </c>
      <c r="V23" s="6">
        <f>(VLOOKUP('102 5.1.00'!AD23,'102 5.1.00'!$AM$4:$AO$55,2,FALSE))*IF('102 5.1.00'!BF$4="是",'102 5.1.00'!$AX$4,'102 5.1.00'!$AX$3)</f>
        <v>0</v>
      </c>
      <c r="W23" s="7">
        <f>(VLOOKUP('102 5.1.00'!AE23,'102 5.1.00'!$AM$4:$AO$55,2,FALSE))*IF('102 5.1.00'!BG$4="是",'102 5.1.00'!$AX$4,'102 5.1.00'!$AX$3)</f>
        <v>0</v>
      </c>
      <c r="X23" s="7">
        <f>(VLOOKUP('102 5.1.00'!AF23,'102 5.1.00'!$AM$4:$AO$55,2,FALSE))*IF('102 5.1.00'!BH$4="是",'102 5.1.00'!$AX$4,'102 5.1.00'!$AX$3)</f>
        <v>0</v>
      </c>
    </row>
    <row r="24" spans="1:24">
      <c r="A24" s="6">
        <f>(VLOOKUP('102 5.1.00'!I24,'102 5.1.00'!$AM$4:$AO$55,2,FALSE))*IF('102 5.1.00'!AK$4="是",'102 5.1.00'!$AX$4,'102 5.1.00'!$AX$3)</f>
        <v>170</v>
      </c>
      <c r="B24" s="6">
        <f>(VLOOKUP('102 5.1.00'!J24,'102 5.1.00'!$AM$4:$AO$55,2,FALSE))*IF('102 5.1.00'!AL$4="是",'102 5.1.00'!$AX$4,'102 5.1.00'!$AX$3)</f>
        <v>170</v>
      </c>
      <c r="C24" s="6">
        <f>(VLOOKUP('102 5.1.00'!K24,'102 5.1.00'!$AM$4:$AO$55,2,FALSE))*IF('102 5.1.00'!AM$4="是",'102 5.1.00'!$AX$4,'102 5.1.00'!$AX$3)</f>
        <v>170</v>
      </c>
      <c r="D24" s="6">
        <f>(VLOOKUP('102 5.1.00'!L24,'102 5.1.00'!$AM$4:$AO$55,2,FALSE))*IF('102 5.1.00'!AN$4="是",'102 5.1.00'!$AX$4,'102 5.1.00'!$AX$3)</f>
        <v>170</v>
      </c>
      <c r="E24" s="6">
        <f>(VLOOKUP('102 5.1.00'!M24,'102 5.1.00'!$AM$4:$AO$55,2,FALSE))*IF('102 5.1.00'!AO$4="是",'102 5.1.00'!$AX$4,'102 5.1.00'!$AX$3)</f>
        <v>170</v>
      </c>
      <c r="F24" s="6">
        <f>(VLOOKUP('102 5.1.00'!N24,'102 5.1.00'!$AM$4:$AO$55,2,FALSE))*IF('102 5.1.00'!AP$4="是",'102 5.1.00'!$AX$4,'102 5.1.00'!$AX$3)</f>
        <v>180</v>
      </c>
      <c r="G24" s="7">
        <f>(VLOOKUP('102 5.1.00'!O24,'102 5.1.00'!$AM$4:$AO$55,2,FALSE))*IF('102 5.1.00'!AQ$4="是",'102 5.1.00'!$AX$4,'102 5.1.00'!$AX$3)</f>
        <v>0</v>
      </c>
      <c r="H24" s="7">
        <f>(VLOOKUP('102 5.1.00'!P24,'102 5.1.00'!$AM$4:$AO$55,2,FALSE))*IF('102 5.1.00'!AR$4="是",'102 5.1.00'!$AX$4,'102 5.1.00'!$AX$3)</f>
        <v>0</v>
      </c>
      <c r="I24" s="6">
        <f>(VLOOKUP('102 5.1.00'!Q24,'102 5.1.00'!$AM$4:$AO$55,2,FALSE))*IF('102 5.1.00'!AS$4="是",'102 5.1.00'!$AX$4,'102 5.1.00'!$AX$3)</f>
        <v>180</v>
      </c>
      <c r="J24" s="6">
        <f>(VLOOKUP('102 5.1.00'!R24,'102 5.1.00'!$AM$4:$AO$55,2,FALSE))*IF('102 5.1.00'!AT$4="是",'102 5.1.00'!$AX$4,'102 5.1.00'!$AX$3)</f>
        <v>180</v>
      </c>
      <c r="K24" s="6">
        <f>(VLOOKUP('102 5.1.00'!S24,'102 5.1.00'!$AM$4:$AO$55,2,FALSE))*IF('102 5.1.00'!AU$4="是",'102 5.1.00'!$AX$4,'102 5.1.00'!$AX$3)</f>
        <v>180</v>
      </c>
      <c r="L24" s="6">
        <f>(VLOOKUP('102 5.1.00'!T24,'102 5.1.00'!$AM$4:$AO$55,2,FALSE))*IF('102 5.1.00'!AV$4="是",'102 5.1.00'!$AX$4,'102 5.1.00'!$AX$3)</f>
        <v>180</v>
      </c>
      <c r="M24" s="6">
        <f>(VLOOKUP('102 5.1.00'!U24,'102 5.1.00'!$AM$4:$AO$55,2,FALSE))*IF('102 5.1.00'!AW$4="是",'102 5.1.00'!$AX$4,'102 5.1.00'!$AX$3)</f>
        <v>180</v>
      </c>
      <c r="N24" s="6">
        <f>(VLOOKUP('102 5.1.00'!V24,'102 5.1.00'!$AM$4:$AO$55,2,FALSE))*IF('102 5.1.00'!AX$4="是",'102 5.1.00'!$AX$4,'102 5.1.00'!$AX$3)</f>
        <v>180</v>
      </c>
      <c r="O24" s="7">
        <f>(VLOOKUP('102 5.1.00'!W24,'102 5.1.00'!$AM$4:$AO$55,2,FALSE))*IF('102 5.1.00'!AY$4="是",'102 5.1.00'!$AX$4,'102 5.1.00'!$AX$3)</f>
        <v>0</v>
      </c>
      <c r="P24" s="7">
        <f>(VLOOKUP('102 5.1.00'!X24,'102 5.1.00'!$AM$4:$AO$55,2,FALSE))*IF('102 5.1.00'!AZ$4="是",'102 5.1.00'!$AX$4,'102 5.1.00'!$AX$3)</f>
        <v>0</v>
      </c>
      <c r="Q24" s="6">
        <f>(VLOOKUP('102 5.1.00'!Y24,'102 5.1.00'!$AM$4:$AO$55,2,FALSE))*IF('102 5.1.00'!BA$4="是",'102 5.1.00'!$AX$4,'102 5.1.00'!$AX$3)</f>
        <v>0</v>
      </c>
      <c r="R24" s="6">
        <f>(VLOOKUP('102 5.1.00'!Z24,'102 5.1.00'!$AM$4:$AO$55,2,FALSE))*IF('102 5.1.00'!BB$4="是",'102 5.1.00'!$AX$4,'102 5.1.00'!$AX$3)</f>
        <v>0</v>
      </c>
      <c r="S24" s="6">
        <f>(VLOOKUP('102 5.1.00'!AA24,'102 5.1.00'!$AM$4:$AO$55,2,FALSE))*IF('102 5.1.00'!BC$4="是",'102 5.1.00'!$AX$4,'102 5.1.00'!$AX$3)</f>
        <v>0</v>
      </c>
      <c r="T24" s="6">
        <f>(VLOOKUP('102 5.1.00'!AB24,'102 5.1.00'!$AM$4:$AO$55,2,FALSE))*IF('102 5.1.00'!BD$4="是",'102 5.1.00'!$AX$4,'102 5.1.00'!$AX$3)</f>
        <v>0</v>
      </c>
      <c r="U24" s="6">
        <f>(VLOOKUP('102 5.1.00'!AC24,'102 5.1.00'!$AM$4:$AO$55,2,FALSE))*IF('102 5.1.00'!BE$4="是",'102 5.1.00'!$AX$4,'102 5.1.00'!$AX$3)</f>
        <v>0</v>
      </c>
      <c r="V24" s="6">
        <f>(VLOOKUP('102 5.1.00'!AD24,'102 5.1.00'!$AM$4:$AO$55,2,FALSE))*IF('102 5.1.00'!BF$4="是",'102 5.1.00'!$AX$4,'102 5.1.00'!$AX$3)</f>
        <v>0</v>
      </c>
      <c r="W24" s="7">
        <f>(VLOOKUP('102 5.1.00'!AE24,'102 5.1.00'!$AM$4:$AO$55,2,FALSE))*IF('102 5.1.00'!BG$4="是",'102 5.1.00'!$AX$4,'102 5.1.00'!$AX$3)</f>
        <v>0</v>
      </c>
      <c r="X24" s="7">
        <f>(VLOOKUP('102 5.1.00'!AF24,'102 5.1.00'!$AM$4:$AO$55,2,FALSE))*IF('102 5.1.00'!BH$4="是",'102 5.1.00'!$AX$4,'102 5.1.00'!$AX$3)</f>
        <v>0</v>
      </c>
    </row>
    <row r="25" spans="1:24">
      <c r="A25" s="6">
        <f>(VLOOKUP('102 5.1.00'!I25,'102 5.1.00'!$AM$4:$AO$55,2,FALSE))*IF('102 5.1.00'!AK$4="是",'102 5.1.00'!$AX$4,'102 5.1.00'!$AX$3)</f>
        <v>50</v>
      </c>
      <c r="B25" s="6">
        <f>(VLOOKUP('102 5.1.00'!J25,'102 5.1.00'!$AM$4:$AO$55,2,FALSE))*IF('102 5.1.00'!AL$4="是",'102 5.1.00'!$AX$4,'102 5.1.00'!$AX$3)</f>
        <v>180</v>
      </c>
      <c r="C25" s="6">
        <f>(VLOOKUP('102 5.1.00'!K25,'102 5.1.00'!$AM$4:$AO$55,2,FALSE))*IF('102 5.1.00'!AM$4="是",'102 5.1.00'!$AX$4,'102 5.1.00'!$AX$3)</f>
        <v>180</v>
      </c>
      <c r="D25" s="6">
        <f>(VLOOKUP('102 5.1.00'!L25,'102 5.1.00'!$AM$4:$AO$55,2,FALSE))*IF('102 5.1.00'!AN$4="是",'102 5.1.00'!$AX$4,'102 5.1.00'!$AX$3)</f>
        <v>180</v>
      </c>
      <c r="E25" s="6">
        <f>(VLOOKUP('102 5.1.00'!M25,'102 5.1.00'!$AM$4:$AO$55,2,FALSE))*IF('102 5.1.00'!AO$4="是",'102 5.1.00'!$AX$4,'102 5.1.00'!$AX$3)</f>
        <v>180</v>
      </c>
      <c r="F25" s="6">
        <f>(VLOOKUP('102 5.1.00'!N25,'102 5.1.00'!$AM$4:$AO$55,2,FALSE))*IF('102 5.1.00'!AP$4="是",'102 5.1.00'!$AX$4,'102 5.1.00'!$AX$3)</f>
        <v>180</v>
      </c>
      <c r="G25" s="7">
        <f>(VLOOKUP('102 5.1.00'!O25,'102 5.1.00'!$AM$4:$AO$55,2,FALSE))*IF('102 5.1.00'!AQ$4="是",'102 5.1.00'!$AX$4,'102 5.1.00'!$AX$3)</f>
        <v>0</v>
      </c>
      <c r="H25" s="7">
        <f>(VLOOKUP('102 5.1.00'!P25,'102 5.1.00'!$AM$4:$AO$55,2,FALSE))*IF('102 5.1.00'!AR$4="是",'102 5.1.00'!$AX$4,'102 5.1.00'!$AX$3)</f>
        <v>0</v>
      </c>
      <c r="I25" s="6">
        <f>(VLOOKUP('102 5.1.00'!Q25,'102 5.1.00'!$AM$4:$AO$55,2,FALSE))*IF('102 5.1.00'!AS$4="是",'102 5.1.00'!$AX$4,'102 5.1.00'!$AX$3)</f>
        <v>180</v>
      </c>
      <c r="J25" s="6">
        <f>(VLOOKUP('102 5.1.00'!R25,'102 5.1.00'!$AM$4:$AO$55,2,FALSE))*IF('102 5.1.00'!AT$4="是",'102 5.1.00'!$AX$4,'102 5.1.00'!$AX$3)</f>
        <v>180</v>
      </c>
      <c r="K25" s="6">
        <f>(VLOOKUP('102 5.1.00'!S25,'102 5.1.00'!$AM$4:$AO$55,2,FALSE))*IF('102 5.1.00'!AU$4="是",'102 5.1.00'!$AX$4,'102 5.1.00'!$AX$3)</f>
        <v>180</v>
      </c>
      <c r="L25" s="6">
        <f>(VLOOKUP('102 5.1.00'!T25,'102 5.1.00'!$AM$4:$AO$55,2,FALSE))*IF('102 5.1.00'!AV$4="是",'102 5.1.00'!$AX$4,'102 5.1.00'!$AX$3)</f>
        <v>180</v>
      </c>
      <c r="M25" s="6">
        <f>(VLOOKUP('102 5.1.00'!U25,'102 5.1.00'!$AM$4:$AO$55,2,FALSE))*IF('102 5.1.00'!AW$4="是",'102 5.1.00'!$AX$4,'102 5.1.00'!$AX$3)</f>
        <v>180</v>
      </c>
      <c r="N25" s="6">
        <f>(VLOOKUP('102 5.1.00'!V25,'102 5.1.00'!$AM$4:$AO$55,2,FALSE))*IF('102 5.1.00'!AX$4="是",'102 5.1.00'!$AX$4,'102 5.1.00'!$AX$3)</f>
        <v>180</v>
      </c>
      <c r="O25" s="7">
        <f>(VLOOKUP('102 5.1.00'!W25,'102 5.1.00'!$AM$4:$AO$55,2,FALSE))*IF('102 5.1.00'!AY$4="是",'102 5.1.00'!$AX$4,'102 5.1.00'!$AX$3)</f>
        <v>0</v>
      </c>
      <c r="P25" s="7">
        <f>(VLOOKUP('102 5.1.00'!X25,'102 5.1.00'!$AM$4:$AO$55,2,FALSE))*IF('102 5.1.00'!AZ$4="是",'102 5.1.00'!$AX$4,'102 5.1.00'!$AX$3)</f>
        <v>0</v>
      </c>
      <c r="Q25" s="6">
        <f>(VLOOKUP('102 5.1.00'!Y25,'102 5.1.00'!$AM$4:$AO$55,2,FALSE))*IF('102 5.1.00'!BA$4="是",'102 5.1.00'!$AX$4,'102 5.1.00'!$AX$3)</f>
        <v>0</v>
      </c>
      <c r="R25" s="6">
        <f>(VLOOKUP('102 5.1.00'!Z25,'102 5.1.00'!$AM$4:$AO$55,2,FALSE))*IF('102 5.1.00'!BB$4="是",'102 5.1.00'!$AX$4,'102 5.1.00'!$AX$3)</f>
        <v>0</v>
      </c>
      <c r="S25" s="6">
        <f>(VLOOKUP('102 5.1.00'!AA25,'102 5.1.00'!$AM$4:$AO$55,2,FALSE))*IF('102 5.1.00'!BC$4="是",'102 5.1.00'!$AX$4,'102 5.1.00'!$AX$3)</f>
        <v>0</v>
      </c>
      <c r="T25" s="6">
        <f>(VLOOKUP('102 5.1.00'!AB25,'102 5.1.00'!$AM$4:$AO$55,2,FALSE))*IF('102 5.1.00'!BD$4="是",'102 5.1.00'!$AX$4,'102 5.1.00'!$AX$3)</f>
        <v>0</v>
      </c>
      <c r="U25" s="6">
        <f>(VLOOKUP('102 5.1.00'!AC25,'102 5.1.00'!$AM$4:$AO$55,2,FALSE))*IF('102 5.1.00'!BE$4="是",'102 5.1.00'!$AX$4,'102 5.1.00'!$AX$3)</f>
        <v>0</v>
      </c>
      <c r="V25" s="6">
        <f>(VLOOKUP('102 5.1.00'!AD25,'102 5.1.00'!$AM$4:$AO$55,2,FALSE))*IF('102 5.1.00'!BF$4="是",'102 5.1.00'!$AX$4,'102 5.1.00'!$AX$3)</f>
        <v>0</v>
      </c>
      <c r="W25" s="7">
        <f>(VLOOKUP('102 5.1.00'!AE25,'102 5.1.00'!$AM$4:$AO$55,2,FALSE))*IF('102 5.1.00'!BG$4="是",'102 5.1.00'!$AX$4,'102 5.1.00'!$AX$3)</f>
        <v>0</v>
      </c>
      <c r="X25" s="7">
        <f>(VLOOKUP('102 5.1.00'!AF25,'102 5.1.00'!$AM$4:$AO$55,2,FALSE))*IF('102 5.1.00'!BH$4="是",'102 5.1.00'!$AX$4,'102 5.1.00'!$AX$3)</f>
        <v>0</v>
      </c>
    </row>
    <row r="26" spans="1:24">
      <c r="A26" s="6">
        <f>(VLOOKUP('102 5.1.00'!I26,'102 5.1.00'!$AM$4:$AO$55,2,FALSE))*IF('102 5.1.00'!AK$4="是",'102 5.1.00'!$AX$4,'102 5.1.00'!$AX$3)</f>
        <v>180</v>
      </c>
      <c r="B26" s="6">
        <f>(VLOOKUP('102 5.1.00'!J26,'102 5.1.00'!$AM$4:$AO$55,2,FALSE))*IF('102 5.1.00'!AL$4="是",'102 5.1.00'!$AX$4,'102 5.1.00'!$AX$3)</f>
        <v>180</v>
      </c>
      <c r="C26" s="6">
        <f>(VLOOKUP('102 5.1.00'!K26,'102 5.1.00'!$AM$4:$AO$55,2,FALSE))*IF('102 5.1.00'!AM$4="是",'102 5.1.00'!$AX$4,'102 5.1.00'!$AX$3)</f>
        <v>180</v>
      </c>
      <c r="D26" s="6">
        <f>(VLOOKUP('102 5.1.00'!L26,'102 5.1.00'!$AM$4:$AO$55,2,FALSE))*IF('102 5.1.00'!AN$4="是",'102 5.1.00'!$AX$4,'102 5.1.00'!$AX$3)</f>
        <v>180</v>
      </c>
      <c r="E26" s="6">
        <f>(VLOOKUP('102 5.1.00'!M26,'102 5.1.00'!$AM$4:$AO$55,2,FALSE))*IF('102 5.1.00'!AO$4="是",'102 5.1.00'!$AX$4,'102 5.1.00'!$AX$3)</f>
        <v>180</v>
      </c>
      <c r="F26" s="6">
        <f>(VLOOKUP('102 5.1.00'!N26,'102 5.1.00'!$AM$4:$AO$55,2,FALSE))*IF('102 5.1.00'!AP$4="是",'102 5.1.00'!$AX$4,'102 5.1.00'!$AX$3)</f>
        <v>180</v>
      </c>
      <c r="G26" s="7">
        <f>(VLOOKUP('102 5.1.00'!O26,'102 5.1.00'!$AM$4:$AO$55,2,FALSE))*IF('102 5.1.00'!AQ$4="是",'102 5.1.00'!$AX$4,'102 5.1.00'!$AX$3)</f>
        <v>0</v>
      </c>
      <c r="H26" s="7">
        <f>(VLOOKUP('102 5.1.00'!P26,'102 5.1.00'!$AM$4:$AO$55,2,FALSE))*IF('102 5.1.00'!AR$4="是",'102 5.1.00'!$AX$4,'102 5.1.00'!$AX$3)</f>
        <v>0</v>
      </c>
      <c r="I26" s="6">
        <f>(VLOOKUP('102 5.1.00'!Q26,'102 5.1.00'!$AM$4:$AO$55,2,FALSE))*IF('102 5.1.00'!AS$4="是",'102 5.1.00'!$AX$4,'102 5.1.00'!$AX$3)</f>
        <v>180</v>
      </c>
      <c r="J26" s="6">
        <f>(VLOOKUP('102 5.1.00'!R26,'102 5.1.00'!$AM$4:$AO$55,2,FALSE))*IF('102 5.1.00'!AT$4="是",'102 5.1.00'!$AX$4,'102 5.1.00'!$AX$3)</f>
        <v>180</v>
      </c>
      <c r="K26" s="6">
        <f>(VLOOKUP('102 5.1.00'!S26,'102 5.1.00'!$AM$4:$AO$55,2,FALSE))*IF('102 5.1.00'!AU$4="是",'102 5.1.00'!$AX$4,'102 5.1.00'!$AX$3)</f>
        <v>180</v>
      </c>
      <c r="L26" s="6">
        <f>(VLOOKUP('102 5.1.00'!T26,'102 5.1.00'!$AM$4:$AO$55,2,FALSE))*IF('102 5.1.00'!AV$4="是",'102 5.1.00'!$AX$4,'102 5.1.00'!$AX$3)</f>
        <v>180</v>
      </c>
      <c r="M26" s="6">
        <f>(VLOOKUP('102 5.1.00'!U26,'102 5.1.00'!$AM$4:$AO$55,2,FALSE))*IF('102 5.1.00'!AW$4="是",'102 5.1.00'!$AX$4,'102 5.1.00'!$AX$3)</f>
        <v>180</v>
      </c>
      <c r="N26" s="6">
        <f>(VLOOKUP('102 5.1.00'!V26,'102 5.1.00'!$AM$4:$AO$55,2,FALSE))*IF('102 5.1.00'!AX$4="是",'102 5.1.00'!$AX$4,'102 5.1.00'!$AX$3)</f>
        <v>180</v>
      </c>
      <c r="O26" s="7">
        <f>(VLOOKUP('102 5.1.00'!W26,'102 5.1.00'!$AM$4:$AO$55,2,FALSE))*IF('102 5.1.00'!AY$4="是",'102 5.1.00'!$AX$4,'102 5.1.00'!$AX$3)</f>
        <v>0</v>
      </c>
      <c r="P26" s="7">
        <f>(VLOOKUP('102 5.1.00'!X26,'102 5.1.00'!$AM$4:$AO$55,2,FALSE))*IF('102 5.1.00'!AZ$4="是",'102 5.1.00'!$AX$4,'102 5.1.00'!$AX$3)</f>
        <v>0</v>
      </c>
      <c r="Q26" s="6">
        <f>(VLOOKUP('102 5.1.00'!Y26,'102 5.1.00'!$AM$4:$AO$55,2,FALSE))*IF('102 5.1.00'!BA$4="是",'102 5.1.00'!$AX$4,'102 5.1.00'!$AX$3)</f>
        <v>0</v>
      </c>
      <c r="R26" s="6">
        <f>(VLOOKUP('102 5.1.00'!Z26,'102 5.1.00'!$AM$4:$AO$55,2,FALSE))*IF('102 5.1.00'!BB$4="是",'102 5.1.00'!$AX$4,'102 5.1.00'!$AX$3)</f>
        <v>0</v>
      </c>
      <c r="S26" s="6">
        <f>(VLOOKUP('102 5.1.00'!AA26,'102 5.1.00'!$AM$4:$AO$55,2,FALSE))*IF('102 5.1.00'!BC$4="是",'102 5.1.00'!$AX$4,'102 5.1.00'!$AX$3)</f>
        <v>0</v>
      </c>
      <c r="T26" s="6">
        <f>(VLOOKUP('102 5.1.00'!AB26,'102 5.1.00'!$AM$4:$AO$55,2,FALSE))*IF('102 5.1.00'!BD$4="是",'102 5.1.00'!$AX$4,'102 5.1.00'!$AX$3)</f>
        <v>0</v>
      </c>
      <c r="U26" s="6">
        <f>(VLOOKUP('102 5.1.00'!AC26,'102 5.1.00'!$AM$4:$AO$55,2,FALSE))*IF('102 5.1.00'!BE$4="是",'102 5.1.00'!$AX$4,'102 5.1.00'!$AX$3)</f>
        <v>0</v>
      </c>
      <c r="V26" s="6">
        <f>(VLOOKUP('102 5.1.00'!AD26,'102 5.1.00'!$AM$4:$AO$55,2,FALSE))*IF('102 5.1.00'!BF$4="是",'102 5.1.00'!$AX$4,'102 5.1.00'!$AX$3)</f>
        <v>0</v>
      </c>
      <c r="W26" s="7">
        <f>(VLOOKUP('102 5.1.00'!AE26,'102 5.1.00'!$AM$4:$AO$55,2,FALSE))*IF('102 5.1.00'!BG$4="是",'102 5.1.00'!$AX$4,'102 5.1.00'!$AX$3)</f>
        <v>0</v>
      </c>
      <c r="X26" s="7">
        <f>(VLOOKUP('102 5.1.00'!AF26,'102 5.1.00'!$AM$4:$AO$55,2,FALSE))*IF('102 5.1.00'!BH$4="是",'102 5.1.00'!$AX$4,'102 5.1.00'!$AX$3)</f>
        <v>0</v>
      </c>
    </row>
    <row r="27" spans="1:24">
      <c r="A27" s="6">
        <f>(VLOOKUP('102 5.1.00'!I27,'102 5.1.00'!$AM$4:$AO$55,2,FALSE))*IF('102 5.1.00'!AK$4="是",'102 5.1.00'!$AX$4,'102 5.1.00'!$AX$3)</f>
        <v>180</v>
      </c>
      <c r="B27" s="6">
        <f>(VLOOKUP('102 5.1.00'!J27,'102 5.1.00'!$AM$4:$AO$55,2,FALSE))*IF('102 5.1.00'!AL$4="是",'102 5.1.00'!$AX$4,'102 5.1.00'!$AX$3)</f>
        <v>180</v>
      </c>
      <c r="C27" s="6">
        <f>(VLOOKUP('102 5.1.00'!K27,'102 5.1.00'!$AM$4:$AO$55,2,FALSE))*IF('102 5.1.00'!AM$4="是",'102 5.1.00'!$AX$4,'102 5.1.00'!$AX$3)</f>
        <v>190</v>
      </c>
      <c r="D27" s="6">
        <f>(VLOOKUP('102 5.1.00'!L27,'102 5.1.00'!$AM$4:$AO$55,2,FALSE))*IF('102 5.1.00'!AN$4="是",'102 5.1.00'!$AX$4,'102 5.1.00'!$AX$3)</f>
        <v>190</v>
      </c>
      <c r="E27" s="6">
        <f>(VLOOKUP('102 5.1.00'!M27,'102 5.1.00'!$AM$4:$AO$55,2,FALSE))*IF('102 5.1.00'!AO$4="是",'102 5.1.00'!$AX$4,'102 5.1.00'!$AX$3)</f>
        <v>190</v>
      </c>
      <c r="F27" s="6">
        <f>(VLOOKUP('102 5.1.00'!N27,'102 5.1.00'!$AM$4:$AO$55,2,FALSE))*IF('102 5.1.00'!AP$4="是",'102 5.1.00'!$AX$4,'102 5.1.00'!$AX$3)</f>
        <v>190</v>
      </c>
      <c r="G27" s="7">
        <f>(VLOOKUP('102 5.1.00'!O27,'102 5.1.00'!$AM$4:$AO$55,2,FALSE))*IF('102 5.1.00'!AQ$4="是",'102 5.1.00'!$AX$4,'102 5.1.00'!$AX$3)</f>
        <v>0</v>
      </c>
      <c r="H27" s="7">
        <f>(VLOOKUP('102 5.1.00'!P27,'102 5.1.00'!$AM$4:$AO$55,2,FALSE))*IF('102 5.1.00'!AR$4="是",'102 5.1.00'!$AX$4,'102 5.1.00'!$AX$3)</f>
        <v>0</v>
      </c>
      <c r="I27" s="6">
        <f>(VLOOKUP('102 5.1.00'!Q27,'102 5.1.00'!$AM$4:$AO$55,2,FALSE))*IF('102 5.1.00'!AS$4="是",'102 5.1.00'!$AX$4,'102 5.1.00'!$AX$3)</f>
        <v>180</v>
      </c>
      <c r="J27" s="6">
        <f>(VLOOKUP('102 5.1.00'!R27,'102 5.1.00'!$AM$4:$AO$55,2,FALSE))*IF('102 5.1.00'!AT$4="是",'102 5.1.00'!$AX$4,'102 5.1.00'!$AX$3)</f>
        <v>180</v>
      </c>
      <c r="K27" s="6">
        <f>(VLOOKUP('102 5.1.00'!S27,'102 5.1.00'!$AM$4:$AO$55,2,FALSE))*IF('102 5.1.00'!AU$4="是",'102 5.1.00'!$AX$4,'102 5.1.00'!$AX$3)</f>
        <v>180</v>
      </c>
      <c r="L27" s="6">
        <f>(VLOOKUP('102 5.1.00'!T27,'102 5.1.00'!$AM$4:$AO$55,2,FALSE))*IF('102 5.1.00'!AV$4="是",'102 5.1.00'!$AX$4,'102 5.1.00'!$AX$3)</f>
        <v>180</v>
      </c>
      <c r="M27" s="6">
        <f>(VLOOKUP('102 5.1.00'!U27,'102 5.1.00'!$AM$4:$AO$55,2,FALSE))*IF('102 5.1.00'!AW$4="是",'102 5.1.00'!$AX$4,'102 5.1.00'!$AX$3)</f>
        <v>180</v>
      </c>
      <c r="N27" s="6">
        <f>(VLOOKUP('102 5.1.00'!V27,'102 5.1.00'!$AM$4:$AO$55,2,FALSE))*IF('102 5.1.00'!AX$4="是",'102 5.1.00'!$AX$4,'102 5.1.00'!$AX$3)</f>
        <v>180</v>
      </c>
      <c r="O27" s="7">
        <f>(VLOOKUP('102 5.1.00'!W27,'102 5.1.00'!$AM$4:$AO$55,2,FALSE))*IF('102 5.1.00'!AY$4="是",'102 5.1.00'!$AX$4,'102 5.1.00'!$AX$3)</f>
        <v>0</v>
      </c>
      <c r="P27" s="7">
        <f>(VLOOKUP('102 5.1.00'!X27,'102 5.1.00'!$AM$4:$AO$55,2,FALSE))*IF('102 5.1.00'!AZ$4="是",'102 5.1.00'!$AX$4,'102 5.1.00'!$AX$3)</f>
        <v>0</v>
      </c>
      <c r="Q27" s="6">
        <f>(VLOOKUP('102 5.1.00'!Y27,'102 5.1.00'!$AM$4:$AO$55,2,FALSE))*IF('102 5.1.00'!BA$4="是",'102 5.1.00'!$AX$4,'102 5.1.00'!$AX$3)</f>
        <v>0</v>
      </c>
      <c r="R27" s="6">
        <f>(VLOOKUP('102 5.1.00'!Z27,'102 5.1.00'!$AM$4:$AO$55,2,FALSE))*IF('102 5.1.00'!BB$4="是",'102 5.1.00'!$AX$4,'102 5.1.00'!$AX$3)</f>
        <v>0</v>
      </c>
      <c r="S27" s="6">
        <f>(VLOOKUP('102 5.1.00'!AA27,'102 5.1.00'!$AM$4:$AO$55,2,FALSE))*IF('102 5.1.00'!BC$4="是",'102 5.1.00'!$AX$4,'102 5.1.00'!$AX$3)</f>
        <v>0</v>
      </c>
      <c r="T27" s="6">
        <f>(VLOOKUP('102 5.1.00'!AB27,'102 5.1.00'!$AM$4:$AO$55,2,FALSE))*IF('102 5.1.00'!BD$4="是",'102 5.1.00'!$AX$4,'102 5.1.00'!$AX$3)</f>
        <v>0</v>
      </c>
      <c r="U27" s="6">
        <f>(VLOOKUP('102 5.1.00'!AC27,'102 5.1.00'!$AM$4:$AO$55,2,FALSE))*IF('102 5.1.00'!BE$4="是",'102 5.1.00'!$AX$4,'102 5.1.00'!$AX$3)</f>
        <v>0</v>
      </c>
      <c r="V27" s="6">
        <f>(VLOOKUP('102 5.1.00'!AD27,'102 5.1.00'!$AM$4:$AO$55,2,FALSE))*IF('102 5.1.00'!BF$4="是",'102 5.1.00'!$AX$4,'102 5.1.00'!$AX$3)</f>
        <v>0</v>
      </c>
      <c r="W27" s="7">
        <f>(VLOOKUP('102 5.1.00'!AE27,'102 5.1.00'!$AM$4:$AO$55,2,FALSE))*IF('102 5.1.00'!BG$4="是",'102 5.1.00'!$AX$4,'102 5.1.00'!$AX$3)</f>
        <v>0</v>
      </c>
      <c r="X27" s="7">
        <f>(VLOOKUP('102 5.1.00'!AF27,'102 5.1.00'!$AM$4:$AO$55,2,FALSE))*IF('102 5.1.00'!BH$4="是",'102 5.1.00'!$AX$4,'102 5.1.00'!$AX$3)</f>
        <v>0</v>
      </c>
    </row>
    <row r="28" spans="1:24">
      <c r="A28" s="6">
        <f>(VLOOKUP('102 5.1.00'!I28,'102 5.1.00'!$AM$4:$AO$55,2,FALSE))*IF('102 5.1.00'!AK$4="是",'102 5.1.00'!$AX$4,'102 5.1.00'!$AX$3)</f>
        <v>190</v>
      </c>
      <c r="B28" s="6">
        <f>(VLOOKUP('102 5.1.00'!J28,'102 5.1.00'!$AM$4:$AO$55,2,FALSE))*IF('102 5.1.00'!AL$4="是",'102 5.1.00'!$AX$4,'102 5.1.00'!$AX$3)</f>
        <v>190</v>
      </c>
      <c r="C28" s="6">
        <f>(VLOOKUP('102 5.1.00'!K28,'102 5.1.00'!$AM$4:$AO$55,2,FALSE))*IF('102 5.1.00'!AM$4="是",'102 5.1.00'!$AX$4,'102 5.1.00'!$AX$3)</f>
        <v>50</v>
      </c>
      <c r="D28" s="6">
        <f>(VLOOKUP('102 5.1.00'!L28,'102 5.1.00'!$AM$4:$AO$55,2,FALSE))*IF('102 5.1.00'!AN$4="是",'102 5.1.00'!$AX$4,'102 5.1.00'!$AX$3)</f>
        <v>190</v>
      </c>
      <c r="E28" s="6">
        <f>(VLOOKUP('102 5.1.00'!M28,'102 5.1.00'!$AM$4:$AO$55,2,FALSE))*IF('102 5.1.00'!AO$4="是",'102 5.1.00'!$AX$4,'102 5.1.00'!$AX$3)</f>
        <v>190</v>
      </c>
      <c r="F28" s="6">
        <f>(VLOOKUP('102 5.1.00'!N28,'102 5.1.00'!$AM$4:$AO$55,2,FALSE))*IF('102 5.1.00'!AP$4="是",'102 5.1.00'!$AX$4,'102 5.1.00'!$AX$3)</f>
        <v>190</v>
      </c>
      <c r="G28" s="7">
        <f>(VLOOKUP('102 5.1.00'!O28,'102 5.1.00'!$AM$4:$AO$55,2,FALSE))*IF('102 5.1.00'!AQ$4="是",'102 5.1.00'!$AX$4,'102 5.1.00'!$AX$3)</f>
        <v>0</v>
      </c>
      <c r="H28" s="7">
        <f>(VLOOKUP('102 5.1.00'!P28,'102 5.1.00'!$AM$4:$AO$55,2,FALSE))*IF('102 5.1.00'!AR$4="是",'102 5.1.00'!$AX$4,'102 5.1.00'!$AX$3)</f>
        <v>0</v>
      </c>
      <c r="I28" s="6">
        <f>(VLOOKUP('102 5.1.00'!Q28,'102 5.1.00'!$AM$4:$AO$55,2,FALSE))*IF('102 5.1.00'!AS$4="是",'102 5.1.00'!$AX$4,'102 5.1.00'!$AX$3)</f>
        <v>180</v>
      </c>
      <c r="J28" s="6">
        <f>(VLOOKUP('102 5.1.00'!R28,'102 5.1.00'!$AM$4:$AO$55,2,FALSE))*IF('102 5.1.00'!AT$4="是",'102 5.1.00'!$AX$4,'102 5.1.00'!$AX$3)</f>
        <v>180</v>
      </c>
      <c r="K28" s="6">
        <f>(VLOOKUP('102 5.1.00'!S28,'102 5.1.00'!$AM$4:$AO$55,2,FALSE))*IF('102 5.1.00'!AU$4="是",'102 5.1.00'!$AX$4,'102 5.1.00'!$AX$3)</f>
        <v>180</v>
      </c>
      <c r="L28" s="6">
        <f>(VLOOKUP('102 5.1.00'!T28,'102 5.1.00'!$AM$4:$AO$55,2,FALSE))*IF('102 5.1.00'!AV$4="是",'102 5.1.00'!$AX$4,'102 5.1.00'!$AX$3)</f>
        <v>180</v>
      </c>
      <c r="M28" s="6">
        <f>(VLOOKUP('102 5.1.00'!U28,'102 5.1.00'!$AM$4:$AO$55,2,FALSE))*IF('102 5.1.00'!AW$4="是",'102 5.1.00'!$AX$4,'102 5.1.00'!$AX$3)</f>
        <v>180</v>
      </c>
      <c r="N28" s="6">
        <f>(VLOOKUP('102 5.1.00'!V28,'102 5.1.00'!$AM$4:$AO$55,2,FALSE))*IF('102 5.1.00'!AX$4="是",'102 5.1.00'!$AX$4,'102 5.1.00'!$AX$3)</f>
        <v>50</v>
      </c>
      <c r="O28" s="7">
        <f>(VLOOKUP('102 5.1.00'!W28,'102 5.1.00'!$AM$4:$AO$55,2,FALSE))*IF('102 5.1.00'!AY$4="是",'102 5.1.00'!$AX$4,'102 5.1.00'!$AX$3)</f>
        <v>0</v>
      </c>
      <c r="P28" s="7">
        <f>(VLOOKUP('102 5.1.00'!X28,'102 5.1.00'!$AM$4:$AO$55,2,FALSE))*IF('102 5.1.00'!AZ$4="是",'102 5.1.00'!$AX$4,'102 5.1.00'!$AX$3)</f>
        <v>0</v>
      </c>
      <c r="Q28" s="6">
        <f>(VLOOKUP('102 5.1.00'!Y28,'102 5.1.00'!$AM$4:$AO$55,2,FALSE))*IF('102 5.1.00'!BA$4="是",'102 5.1.00'!$AX$4,'102 5.1.00'!$AX$3)</f>
        <v>0</v>
      </c>
      <c r="R28" s="6">
        <f>(VLOOKUP('102 5.1.00'!Z28,'102 5.1.00'!$AM$4:$AO$55,2,FALSE))*IF('102 5.1.00'!BB$4="是",'102 5.1.00'!$AX$4,'102 5.1.00'!$AX$3)</f>
        <v>0</v>
      </c>
      <c r="S28" s="6">
        <f>(VLOOKUP('102 5.1.00'!AA28,'102 5.1.00'!$AM$4:$AO$55,2,FALSE))*IF('102 5.1.00'!BC$4="是",'102 5.1.00'!$AX$4,'102 5.1.00'!$AX$3)</f>
        <v>0</v>
      </c>
      <c r="T28" s="6">
        <f>(VLOOKUP('102 5.1.00'!AB28,'102 5.1.00'!$AM$4:$AO$55,2,FALSE))*IF('102 5.1.00'!BD$4="是",'102 5.1.00'!$AX$4,'102 5.1.00'!$AX$3)</f>
        <v>0</v>
      </c>
      <c r="U28" s="6">
        <f>(VLOOKUP('102 5.1.00'!AC28,'102 5.1.00'!$AM$4:$AO$55,2,FALSE))*IF('102 5.1.00'!BE$4="是",'102 5.1.00'!$AX$4,'102 5.1.00'!$AX$3)</f>
        <v>0</v>
      </c>
      <c r="V28" s="6">
        <f>(VLOOKUP('102 5.1.00'!AD28,'102 5.1.00'!$AM$4:$AO$55,2,FALSE))*IF('102 5.1.00'!BF$4="是",'102 5.1.00'!$AX$4,'102 5.1.00'!$AX$3)</f>
        <v>0</v>
      </c>
      <c r="W28" s="7">
        <f>(VLOOKUP('102 5.1.00'!AE28,'102 5.1.00'!$AM$4:$AO$55,2,FALSE))*IF('102 5.1.00'!BG$4="是",'102 5.1.00'!$AX$4,'102 5.1.00'!$AX$3)</f>
        <v>0</v>
      </c>
      <c r="X28" s="7">
        <f>(VLOOKUP('102 5.1.00'!AF28,'102 5.1.00'!$AM$4:$AO$55,2,FALSE))*IF('102 5.1.00'!BH$4="是",'102 5.1.00'!$AX$4,'102 5.1.00'!$AX$3)</f>
        <v>0</v>
      </c>
    </row>
    <row r="29" spans="1:24">
      <c r="A29" s="6">
        <f>(VLOOKUP('102 5.1.00'!I29,'102 5.1.00'!$AM$4:$AO$55,2,FALSE))*IF('102 5.1.00'!AK$4="是",'102 5.1.00'!$AX$4,'102 5.1.00'!$AX$3)</f>
        <v>190</v>
      </c>
      <c r="B29" s="6">
        <f>(VLOOKUP('102 5.1.00'!J29,'102 5.1.00'!$AM$4:$AO$55,2,FALSE))*IF('102 5.1.00'!AL$4="是",'102 5.1.00'!$AX$4,'102 5.1.00'!$AX$3)</f>
        <v>190</v>
      </c>
      <c r="C29" s="6">
        <f>(VLOOKUP('102 5.1.00'!K29,'102 5.1.00'!$AM$4:$AO$55,2,FALSE))*IF('102 5.1.00'!AM$4="是",'102 5.1.00'!$AX$4,'102 5.1.00'!$AX$3)</f>
        <v>190</v>
      </c>
      <c r="D29" s="6">
        <f>(VLOOKUP('102 5.1.00'!L29,'102 5.1.00'!$AM$4:$AO$55,2,FALSE))*IF('102 5.1.00'!AN$4="是",'102 5.1.00'!$AX$4,'102 5.1.00'!$AX$3)</f>
        <v>190</v>
      </c>
      <c r="E29" s="6">
        <f>(VLOOKUP('102 5.1.00'!M29,'102 5.1.00'!$AM$4:$AO$55,2,FALSE))*IF('102 5.1.00'!AO$4="是",'102 5.1.00'!$AX$4,'102 5.1.00'!$AX$3)</f>
        <v>190</v>
      </c>
      <c r="F29" s="6">
        <f>(VLOOKUP('102 5.1.00'!N29,'102 5.1.00'!$AM$4:$AO$55,2,FALSE))*IF('102 5.1.00'!AP$4="是",'102 5.1.00'!$AX$4,'102 5.1.00'!$AX$3)</f>
        <v>190</v>
      </c>
      <c r="G29" s="7">
        <f>(VLOOKUP('102 5.1.00'!O29,'102 5.1.00'!$AM$4:$AO$55,2,FALSE))*IF('102 5.1.00'!AQ$4="是",'102 5.1.00'!$AX$4,'102 5.1.00'!$AX$3)</f>
        <v>0</v>
      </c>
      <c r="H29" s="7">
        <f>(VLOOKUP('102 5.1.00'!P29,'102 5.1.00'!$AM$4:$AO$55,2,FALSE))*IF('102 5.1.00'!AR$4="是",'102 5.1.00'!$AX$4,'102 5.1.00'!$AX$3)</f>
        <v>0</v>
      </c>
      <c r="I29" s="6">
        <f>(VLOOKUP('102 5.1.00'!Q29,'102 5.1.00'!$AM$4:$AO$55,2,FALSE))*IF('102 5.1.00'!AS$4="是",'102 5.1.00'!$AX$4,'102 5.1.00'!$AX$3)</f>
        <v>180</v>
      </c>
      <c r="J29" s="6">
        <f>(VLOOKUP('102 5.1.00'!R29,'102 5.1.00'!$AM$4:$AO$55,2,FALSE))*IF('102 5.1.00'!AT$4="是",'102 5.1.00'!$AX$4,'102 5.1.00'!$AX$3)</f>
        <v>180</v>
      </c>
      <c r="K29" s="6">
        <f>(VLOOKUP('102 5.1.00'!S29,'102 5.1.00'!$AM$4:$AO$55,2,FALSE))*IF('102 5.1.00'!AU$4="是",'102 5.1.00'!$AX$4,'102 5.1.00'!$AX$3)</f>
        <v>180</v>
      </c>
      <c r="L29" s="6">
        <f>(VLOOKUP('102 5.1.00'!T29,'102 5.1.00'!$AM$4:$AO$55,2,FALSE))*IF('102 5.1.00'!AV$4="是",'102 5.1.00'!$AX$4,'102 5.1.00'!$AX$3)</f>
        <v>180</v>
      </c>
      <c r="M29" s="6">
        <f>(VLOOKUP('102 5.1.00'!U29,'102 5.1.00'!$AM$4:$AO$55,2,FALSE))*IF('102 5.1.00'!AW$4="是",'102 5.1.00'!$AX$4,'102 5.1.00'!$AX$3)</f>
        <v>170</v>
      </c>
      <c r="N29" s="6">
        <f>(VLOOKUP('102 5.1.00'!V29,'102 5.1.00'!$AM$4:$AO$55,2,FALSE))*IF('102 5.1.00'!AX$4="是",'102 5.1.00'!$AX$4,'102 5.1.00'!$AX$3)</f>
        <v>170</v>
      </c>
      <c r="O29" s="7">
        <f>(VLOOKUP('102 5.1.00'!W29,'102 5.1.00'!$AM$4:$AO$55,2,FALSE))*IF('102 5.1.00'!AY$4="是",'102 5.1.00'!$AX$4,'102 5.1.00'!$AX$3)</f>
        <v>0</v>
      </c>
      <c r="P29" s="7">
        <f>(VLOOKUP('102 5.1.00'!X29,'102 5.1.00'!$AM$4:$AO$55,2,FALSE))*IF('102 5.1.00'!AZ$4="是",'102 5.1.00'!$AX$4,'102 5.1.00'!$AX$3)</f>
        <v>0</v>
      </c>
      <c r="Q29" s="6">
        <f>(VLOOKUP('102 5.1.00'!Y29,'102 5.1.00'!$AM$4:$AO$55,2,FALSE))*IF('102 5.1.00'!BA$4="是",'102 5.1.00'!$AX$4,'102 5.1.00'!$AX$3)</f>
        <v>0</v>
      </c>
      <c r="R29" s="6">
        <f>(VLOOKUP('102 5.1.00'!Z29,'102 5.1.00'!$AM$4:$AO$55,2,FALSE))*IF('102 5.1.00'!BB$4="是",'102 5.1.00'!$AX$4,'102 5.1.00'!$AX$3)</f>
        <v>0</v>
      </c>
      <c r="S29" s="6">
        <f>(VLOOKUP('102 5.1.00'!AA29,'102 5.1.00'!$AM$4:$AO$55,2,FALSE))*IF('102 5.1.00'!BC$4="是",'102 5.1.00'!$AX$4,'102 5.1.00'!$AX$3)</f>
        <v>0</v>
      </c>
      <c r="T29" s="6">
        <f>(VLOOKUP('102 5.1.00'!AB29,'102 5.1.00'!$AM$4:$AO$55,2,FALSE))*IF('102 5.1.00'!BD$4="是",'102 5.1.00'!$AX$4,'102 5.1.00'!$AX$3)</f>
        <v>0</v>
      </c>
      <c r="U29" s="6">
        <f>(VLOOKUP('102 5.1.00'!AC29,'102 5.1.00'!$AM$4:$AO$55,2,FALSE))*IF('102 5.1.00'!BE$4="是",'102 5.1.00'!$AX$4,'102 5.1.00'!$AX$3)</f>
        <v>0</v>
      </c>
      <c r="V29" s="6">
        <f>(VLOOKUP('102 5.1.00'!AD29,'102 5.1.00'!$AM$4:$AO$55,2,FALSE))*IF('102 5.1.00'!BF$4="是",'102 5.1.00'!$AX$4,'102 5.1.00'!$AX$3)</f>
        <v>0</v>
      </c>
      <c r="W29" s="7">
        <f>(VLOOKUP('102 5.1.00'!AE29,'102 5.1.00'!$AM$4:$AO$55,2,FALSE))*IF('102 5.1.00'!BG$4="是",'102 5.1.00'!$AX$4,'102 5.1.00'!$AX$3)</f>
        <v>0</v>
      </c>
      <c r="X29" s="7">
        <f>(VLOOKUP('102 5.1.00'!AF29,'102 5.1.00'!$AM$4:$AO$55,2,FALSE))*IF('102 5.1.00'!BH$4="是",'102 5.1.00'!$AX$4,'102 5.1.00'!$AX$3)</f>
        <v>0</v>
      </c>
    </row>
    <row r="30" spans="1:24">
      <c r="A30" s="6">
        <f>(VLOOKUP('102 5.1.00'!I30,'102 5.1.00'!$AM$4:$AO$55,2,FALSE))*IF('102 5.1.00'!AK$4="是",'102 5.1.00'!$AX$4,'102 5.1.00'!$AX$3)</f>
        <v>190</v>
      </c>
      <c r="B30" s="6">
        <f>(VLOOKUP('102 5.1.00'!J30,'102 5.1.00'!$AM$4:$AO$55,2,FALSE))*IF('102 5.1.00'!AL$4="是",'102 5.1.00'!$AX$4,'102 5.1.00'!$AX$3)</f>
        <v>190</v>
      </c>
      <c r="C30" s="6">
        <f>(VLOOKUP('102 5.1.00'!K30,'102 5.1.00'!$AM$4:$AO$55,2,FALSE))*IF('102 5.1.00'!AM$4="是",'102 5.1.00'!$AX$4,'102 5.1.00'!$AX$3)</f>
        <v>190</v>
      </c>
      <c r="D30" s="6">
        <f>(VLOOKUP('102 5.1.00'!L30,'102 5.1.00'!$AM$4:$AO$55,2,FALSE))*IF('102 5.1.00'!AN$4="是",'102 5.1.00'!$AX$4,'102 5.1.00'!$AX$3)</f>
        <v>190</v>
      </c>
      <c r="E30" s="6">
        <f>(VLOOKUP('102 5.1.00'!M30,'102 5.1.00'!$AM$4:$AO$55,2,FALSE))*IF('102 5.1.00'!AO$4="是",'102 5.1.00'!$AX$4,'102 5.1.00'!$AX$3)</f>
        <v>190</v>
      </c>
      <c r="F30" s="6">
        <f>(VLOOKUP('102 5.1.00'!N30,'102 5.1.00'!$AM$4:$AO$55,2,FALSE))*IF('102 5.1.00'!AP$4="是",'102 5.1.00'!$AX$4,'102 5.1.00'!$AX$3)</f>
        <v>190</v>
      </c>
      <c r="G30" s="7">
        <f>(VLOOKUP('102 5.1.00'!O30,'102 5.1.00'!$AM$4:$AO$55,2,FALSE))*IF('102 5.1.00'!AQ$4="是",'102 5.1.00'!$AX$4,'102 5.1.00'!$AX$3)</f>
        <v>0</v>
      </c>
      <c r="H30" s="7">
        <f>(VLOOKUP('102 5.1.00'!P30,'102 5.1.00'!$AM$4:$AO$55,2,FALSE))*IF('102 5.1.00'!AR$4="是",'102 5.1.00'!$AX$4,'102 5.1.00'!$AX$3)</f>
        <v>0</v>
      </c>
      <c r="I30" s="6">
        <f>(VLOOKUP('102 5.1.00'!Q30,'102 5.1.00'!$AM$4:$AO$55,2,FALSE))*IF('102 5.1.00'!AS$4="是",'102 5.1.00'!$AX$4,'102 5.1.00'!$AX$3)</f>
        <v>170</v>
      </c>
      <c r="J30" s="6">
        <f>(VLOOKUP('102 5.1.00'!R30,'102 5.1.00'!$AM$4:$AO$55,2,FALSE))*IF('102 5.1.00'!AT$4="是",'102 5.1.00'!$AX$4,'102 5.1.00'!$AX$3)</f>
        <v>170</v>
      </c>
      <c r="K30" s="6">
        <f>(VLOOKUP('102 5.1.00'!S30,'102 5.1.00'!$AM$4:$AO$55,2,FALSE))*IF('102 5.1.00'!AU$4="是",'102 5.1.00'!$AX$4,'102 5.1.00'!$AX$3)</f>
        <v>180</v>
      </c>
      <c r="L30" s="6">
        <f>(VLOOKUP('102 5.1.00'!T30,'102 5.1.00'!$AM$4:$AO$55,2,FALSE))*IF('102 5.1.00'!AV$4="是",'102 5.1.00'!$AX$4,'102 5.1.00'!$AX$3)</f>
        <v>180</v>
      </c>
      <c r="M30" s="6">
        <f>(VLOOKUP('102 5.1.00'!U30,'102 5.1.00'!$AM$4:$AO$55,2,FALSE))*IF('102 5.1.00'!AW$4="是",'102 5.1.00'!$AX$4,'102 5.1.00'!$AX$3)</f>
        <v>180</v>
      </c>
      <c r="N30" s="6">
        <f>(VLOOKUP('102 5.1.00'!V30,'102 5.1.00'!$AM$4:$AO$55,2,FALSE))*IF('102 5.1.00'!AX$4="是",'102 5.1.00'!$AX$4,'102 5.1.00'!$AX$3)</f>
        <v>180</v>
      </c>
      <c r="O30" s="7">
        <f>(VLOOKUP('102 5.1.00'!W30,'102 5.1.00'!$AM$4:$AO$55,2,FALSE))*IF('102 5.1.00'!AY$4="是",'102 5.1.00'!$AX$4,'102 5.1.00'!$AX$3)</f>
        <v>0</v>
      </c>
      <c r="P30" s="7">
        <f>(VLOOKUP('102 5.1.00'!X30,'102 5.1.00'!$AM$4:$AO$55,2,FALSE))*IF('102 5.1.00'!AZ$4="是",'102 5.1.00'!$AX$4,'102 5.1.00'!$AX$3)</f>
        <v>0</v>
      </c>
      <c r="Q30" s="6">
        <f>(VLOOKUP('102 5.1.00'!Y30,'102 5.1.00'!$AM$4:$AO$55,2,FALSE))*IF('102 5.1.00'!BA$4="是",'102 5.1.00'!$AX$4,'102 5.1.00'!$AX$3)</f>
        <v>0</v>
      </c>
      <c r="R30" s="6">
        <f>(VLOOKUP('102 5.1.00'!Z30,'102 5.1.00'!$AM$4:$AO$55,2,FALSE))*IF('102 5.1.00'!BB$4="是",'102 5.1.00'!$AX$4,'102 5.1.00'!$AX$3)</f>
        <v>0</v>
      </c>
      <c r="S30" s="6">
        <f>(VLOOKUP('102 5.1.00'!AA30,'102 5.1.00'!$AM$4:$AO$55,2,FALSE))*IF('102 5.1.00'!BC$4="是",'102 5.1.00'!$AX$4,'102 5.1.00'!$AX$3)</f>
        <v>0</v>
      </c>
      <c r="T30" s="6">
        <f>(VLOOKUP('102 5.1.00'!AB30,'102 5.1.00'!$AM$4:$AO$55,2,FALSE))*IF('102 5.1.00'!BD$4="是",'102 5.1.00'!$AX$4,'102 5.1.00'!$AX$3)</f>
        <v>0</v>
      </c>
      <c r="U30" s="6">
        <f>(VLOOKUP('102 5.1.00'!AC30,'102 5.1.00'!$AM$4:$AO$55,2,FALSE))*IF('102 5.1.00'!BE$4="是",'102 5.1.00'!$AX$4,'102 5.1.00'!$AX$3)</f>
        <v>0</v>
      </c>
      <c r="V30" s="6">
        <f>(VLOOKUP('102 5.1.00'!AD30,'102 5.1.00'!$AM$4:$AO$55,2,FALSE))*IF('102 5.1.00'!BF$4="是",'102 5.1.00'!$AX$4,'102 5.1.00'!$AX$3)</f>
        <v>0</v>
      </c>
      <c r="W30" s="7">
        <f>(VLOOKUP('102 5.1.00'!AE30,'102 5.1.00'!$AM$4:$AO$55,2,FALSE))*IF('102 5.1.00'!BG$4="是",'102 5.1.00'!$AX$4,'102 5.1.00'!$AX$3)</f>
        <v>0</v>
      </c>
      <c r="X30" s="7">
        <f>(VLOOKUP('102 5.1.00'!AF30,'102 5.1.00'!$AM$4:$AO$55,2,FALSE))*IF('102 5.1.00'!BH$4="是",'102 5.1.00'!$AX$4,'102 5.1.00'!$AX$3)</f>
        <v>0</v>
      </c>
    </row>
    <row r="31" spans="1:24">
      <c r="A31" s="6">
        <f>(VLOOKUP('102 5.1.00'!I31,'102 5.1.00'!$AM$4:$AO$55,2,FALSE))*IF('102 5.1.00'!AK$4="是",'102 5.1.00'!$AX$4,'102 5.1.00'!$AX$3)</f>
        <v>190</v>
      </c>
      <c r="B31" s="6">
        <f>(VLOOKUP('102 5.1.00'!J31,'102 5.1.00'!$AM$4:$AO$55,2,FALSE))*IF('102 5.1.00'!AL$4="是",'102 5.1.00'!$AX$4,'102 5.1.00'!$AX$3)</f>
        <v>190</v>
      </c>
      <c r="C31" s="6">
        <f>(VLOOKUP('102 5.1.00'!K31,'102 5.1.00'!$AM$4:$AO$55,2,FALSE))*IF('102 5.1.00'!AM$4="是",'102 5.1.00'!$AX$4,'102 5.1.00'!$AX$3)</f>
        <v>190</v>
      </c>
      <c r="D31" s="6">
        <f>(VLOOKUP('102 5.1.00'!L31,'102 5.1.00'!$AM$4:$AO$55,2,FALSE))*IF('102 5.1.00'!AN$4="是",'102 5.1.00'!$AX$4,'102 5.1.00'!$AX$3)</f>
        <v>190</v>
      </c>
      <c r="E31" s="6">
        <f>(VLOOKUP('102 5.1.00'!M31,'102 5.1.00'!$AM$4:$AO$55,2,FALSE))*IF('102 5.1.00'!AO$4="是",'102 5.1.00'!$AX$4,'102 5.1.00'!$AX$3)</f>
        <v>190</v>
      </c>
      <c r="F31" s="6">
        <f>(VLOOKUP('102 5.1.00'!N31,'102 5.1.00'!$AM$4:$AO$55,2,FALSE))*IF('102 5.1.00'!AP$4="是",'102 5.1.00'!$AX$4,'102 5.1.00'!$AX$3)</f>
        <v>190</v>
      </c>
      <c r="G31" s="7">
        <f>(VLOOKUP('102 5.1.00'!O31,'102 5.1.00'!$AM$4:$AO$55,2,FALSE))*IF('102 5.1.00'!AQ$4="是",'102 5.1.00'!$AX$4,'102 5.1.00'!$AX$3)</f>
        <v>0</v>
      </c>
      <c r="H31" s="7">
        <f>(VLOOKUP('102 5.1.00'!P31,'102 5.1.00'!$AM$4:$AO$55,2,FALSE))*IF('102 5.1.00'!AR$4="是",'102 5.1.00'!$AX$4,'102 5.1.00'!$AX$3)</f>
        <v>0</v>
      </c>
      <c r="I31" s="6">
        <f>(VLOOKUP('102 5.1.00'!Q31,'102 5.1.00'!$AM$4:$AO$55,2,FALSE))*IF('102 5.1.00'!AS$4="是",'102 5.1.00'!$AX$4,'102 5.1.00'!$AX$3)</f>
        <v>180</v>
      </c>
      <c r="J31" s="6">
        <f>(VLOOKUP('102 5.1.00'!R31,'102 5.1.00'!$AM$4:$AO$55,2,FALSE))*IF('102 5.1.00'!AT$4="是",'102 5.1.00'!$AX$4,'102 5.1.00'!$AX$3)</f>
        <v>180</v>
      </c>
      <c r="K31" s="6">
        <f>(VLOOKUP('102 5.1.00'!S31,'102 5.1.00'!$AM$4:$AO$55,2,FALSE))*IF('102 5.1.00'!AU$4="是",'102 5.1.00'!$AX$4,'102 5.1.00'!$AX$3)</f>
        <v>180</v>
      </c>
      <c r="L31" s="6">
        <f>(VLOOKUP('102 5.1.00'!T31,'102 5.1.00'!$AM$4:$AO$55,2,FALSE))*IF('102 5.1.00'!AV$4="是",'102 5.1.00'!$AX$4,'102 5.1.00'!$AX$3)</f>
        <v>-200</v>
      </c>
      <c r="M31" s="6">
        <f>(VLOOKUP('102 5.1.00'!U31,'102 5.1.00'!$AM$4:$AO$55,2,FALSE))*IF('102 5.1.00'!AW$4="是",'102 5.1.00'!$AX$4,'102 5.1.00'!$AX$3)</f>
        <v>180</v>
      </c>
      <c r="N31" s="6">
        <f>(VLOOKUP('102 5.1.00'!V31,'102 5.1.00'!$AM$4:$AO$55,2,FALSE))*IF('102 5.1.00'!AX$4="是",'102 5.1.00'!$AX$4,'102 5.1.00'!$AX$3)</f>
        <v>180</v>
      </c>
      <c r="O31" s="7">
        <f>(VLOOKUP('102 5.1.00'!W31,'102 5.1.00'!$AM$4:$AO$55,2,FALSE))*IF('102 5.1.00'!AY$4="是",'102 5.1.00'!$AX$4,'102 5.1.00'!$AX$3)</f>
        <v>180</v>
      </c>
      <c r="P31" s="7">
        <f>(VLOOKUP('102 5.1.00'!X31,'102 5.1.00'!$AM$4:$AO$55,2,FALSE))*IF('102 5.1.00'!AZ$4="是",'102 5.1.00'!$AX$4,'102 5.1.00'!$AX$3)</f>
        <v>180</v>
      </c>
      <c r="Q31" s="6">
        <f>(VLOOKUP('102 5.1.00'!Y31,'102 5.1.00'!$AM$4:$AO$55,2,FALSE))*IF('102 5.1.00'!BA$4="是",'102 5.1.00'!$AX$4,'102 5.1.00'!$AX$3)</f>
        <v>0</v>
      </c>
      <c r="R31" s="6">
        <f>(VLOOKUP('102 5.1.00'!Z31,'102 5.1.00'!$AM$4:$AO$55,2,FALSE))*IF('102 5.1.00'!BB$4="是",'102 5.1.00'!$AX$4,'102 5.1.00'!$AX$3)</f>
        <v>0</v>
      </c>
      <c r="S31" s="6">
        <f>(VLOOKUP('102 5.1.00'!AA31,'102 5.1.00'!$AM$4:$AO$55,2,FALSE))*IF('102 5.1.00'!BC$4="是",'102 5.1.00'!$AX$4,'102 5.1.00'!$AX$3)</f>
        <v>0</v>
      </c>
      <c r="T31" s="6">
        <f>(VLOOKUP('102 5.1.00'!AB31,'102 5.1.00'!$AM$4:$AO$55,2,FALSE))*IF('102 5.1.00'!BD$4="是",'102 5.1.00'!$AX$4,'102 5.1.00'!$AX$3)</f>
        <v>0</v>
      </c>
      <c r="U31" s="6">
        <f>(VLOOKUP('102 5.1.00'!AC31,'102 5.1.00'!$AM$4:$AO$55,2,FALSE))*IF('102 5.1.00'!BE$4="是",'102 5.1.00'!$AX$4,'102 5.1.00'!$AX$3)</f>
        <v>0</v>
      </c>
      <c r="V31" s="6">
        <f>(VLOOKUP('102 5.1.00'!AD31,'102 5.1.00'!$AM$4:$AO$55,2,FALSE))*IF('102 5.1.00'!BF$4="是",'102 5.1.00'!$AX$4,'102 5.1.00'!$AX$3)</f>
        <v>0</v>
      </c>
      <c r="W31" s="7">
        <f>(VLOOKUP('102 5.1.00'!AE31,'102 5.1.00'!$AM$4:$AO$55,2,FALSE))*IF('102 5.1.00'!BG$4="是",'102 5.1.00'!$AX$4,'102 5.1.00'!$AX$3)</f>
        <v>0</v>
      </c>
      <c r="X31" s="7">
        <f>(VLOOKUP('102 5.1.00'!AF31,'102 5.1.00'!$AM$4:$AO$55,2,FALSE))*IF('102 5.1.00'!BH$4="是",'102 5.1.00'!$AX$4,'102 5.1.00'!$AX$3)</f>
        <v>0</v>
      </c>
    </row>
    <row r="32" spans="1:24">
      <c r="A32" s="6">
        <f>(VLOOKUP('102 5.1.00'!I32,'102 5.1.00'!$AM$4:$AO$55,2,FALSE))*IF('102 5.1.00'!AK$4="是",'102 5.1.00'!$AX$4,'102 5.1.00'!$AX$3)</f>
        <v>190</v>
      </c>
      <c r="B32" s="6">
        <f>(VLOOKUP('102 5.1.00'!J32,'102 5.1.00'!$AM$4:$AO$55,2,FALSE))*IF('102 5.1.00'!AL$4="是",'102 5.1.00'!$AX$4,'102 5.1.00'!$AX$3)</f>
        <v>190</v>
      </c>
      <c r="C32" s="6">
        <f>(VLOOKUP('102 5.1.00'!K32,'102 5.1.00'!$AM$4:$AO$55,2,FALSE))*IF('102 5.1.00'!AM$4="是",'102 5.1.00'!$AX$4,'102 5.1.00'!$AX$3)</f>
        <v>190</v>
      </c>
      <c r="D32" s="6">
        <f>(VLOOKUP('102 5.1.00'!L32,'102 5.1.00'!$AM$4:$AO$55,2,FALSE))*IF('102 5.1.00'!AN$4="是",'102 5.1.00'!$AX$4,'102 5.1.00'!$AX$3)</f>
        <v>190</v>
      </c>
      <c r="E32" s="6">
        <f>(VLOOKUP('102 5.1.00'!M32,'102 5.1.00'!$AM$4:$AO$55,2,FALSE))*IF('102 5.1.00'!AO$4="是",'102 5.1.00'!$AX$4,'102 5.1.00'!$AX$3)</f>
        <v>190</v>
      </c>
      <c r="F32" s="6">
        <f>(VLOOKUP('102 5.1.00'!N32,'102 5.1.00'!$AM$4:$AO$55,2,FALSE))*IF('102 5.1.00'!AP$4="是",'102 5.1.00'!$AX$4,'102 5.1.00'!$AX$3)</f>
        <v>200</v>
      </c>
      <c r="G32" s="7">
        <f>(VLOOKUP('102 5.1.00'!O32,'102 5.1.00'!$AM$4:$AO$55,2,FALSE))*IF('102 5.1.00'!AQ$4="是",'102 5.1.00'!$AX$4,'102 5.1.00'!$AX$3)</f>
        <v>0</v>
      </c>
      <c r="H32" s="7">
        <f>(VLOOKUP('102 5.1.00'!P32,'102 5.1.00'!$AM$4:$AO$55,2,FALSE))*IF('102 5.1.00'!AR$4="是",'102 5.1.00'!$AX$4,'102 5.1.00'!$AX$3)</f>
        <v>0</v>
      </c>
      <c r="I32" s="6">
        <f>(VLOOKUP('102 5.1.00'!Q32,'102 5.1.00'!$AM$4:$AO$55,2,FALSE))*IF('102 5.1.00'!AS$4="是",'102 5.1.00'!$AX$4,'102 5.1.00'!$AX$3)</f>
        <v>180</v>
      </c>
      <c r="J32" s="6">
        <f>(VLOOKUP('102 5.1.00'!R32,'102 5.1.00'!$AM$4:$AO$55,2,FALSE))*IF('102 5.1.00'!AT$4="是",'102 5.1.00'!$AX$4,'102 5.1.00'!$AX$3)</f>
        <v>180</v>
      </c>
      <c r="K32" s="6">
        <f>(VLOOKUP('102 5.1.00'!S32,'102 5.1.00'!$AM$4:$AO$55,2,FALSE))*IF('102 5.1.00'!AU$4="是",'102 5.1.00'!$AX$4,'102 5.1.00'!$AX$3)</f>
        <v>180</v>
      </c>
      <c r="L32" s="6">
        <f>(VLOOKUP('102 5.1.00'!T32,'102 5.1.00'!$AM$4:$AO$55,2,FALSE))*IF('102 5.1.00'!AV$4="是",'102 5.1.00'!$AX$4,'102 5.1.00'!$AX$3)</f>
        <v>180</v>
      </c>
      <c r="M32" s="6">
        <f>(VLOOKUP('102 5.1.00'!U32,'102 5.1.00'!$AM$4:$AO$55,2,FALSE))*IF('102 5.1.00'!AW$4="是",'102 5.1.00'!$AX$4,'102 5.1.00'!$AX$3)</f>
        <v>180</v>
      </c>
      <c r="N32" s="6">
        <f>(VLOOKUP('102 5.1.00'!V32,'102 5.1.00'!$AM$4:$AO$55,2,FALSE))*IF('102 5.1.00'!AX$4="是",'102 5.1.00'!$AX$4,'102 5.1.00'!$AX$3)</f>
        <v>50</v>
      </c>
      <c r="O32" s="7">
        <f>(VLOOKUP('102 5.1.00'!W32,'102 5.1.00'!$AM$4:$AO$55,2,FALSE))*IF('102 5.1.00'!AY$4="是",'102 5.1.00'!$AX$4,'102 5.1.00'!$AX$3)</f>
        <v>0</v>
      </c>
      <c r="P32" s="7">
        <f>(VLOOKUP('102 5.1.00'!X32,'102 5.1.00'!$AM$4:$AO$55,2,FALSE))*IF('102 5.1.00'!AZ$4="是",'102 5.1.00'!$AX$4,'102 5.1.00'!$AX$3)</f>
        <v>0</v>
      </c>
      <c r="Q32" s="6">
        <f>(VLOOKUP('102 5.1.00'!Y32,'102 5.1.00'!$AM$4:$AO$55,2,FALSE))*IF('102 5.1.00'!BA$4="是",'102 5.1.00'!$AX$4,'102 5.1.00'!$AX$3)</f>
        <v>0</v>
      </c>
      <c r="R32" s="6">
        <f>(VLOOKUP('102 5.1.00'!Z32,'102 5.1.00'!$AM$4:$AO$55,2,FALSE))*IF('102 5.1.00'!BB$4="是",'102 5.1.00'!$AX$4,'102 5.1.00'!$AX$3)</f>
        <v>0</v>
      </c>
      <c r="S32" s="6">
        <f>(VLOOKUP('102 5.1.00'!AA32,'102 5.1.00'!$AM$4:$AO$55,2,FALSE))*IF('102 5.1.00'!BC$4="是",'102 5.1.00'!$AX$4,'102 5.1.00'!$AX$3)</f>
        <v>0</v>
      </c>
      <c r="T32" s="6">
        <f>(VLOOKUP('102 5.1.00'!AB32,'102 5.1.00'!$AM$4:$AO$55,2,FALSE))*IF('102 5.1.00'!BD$4="是",'102 5.1.00'!$AX$4,'102 5.1.00'!$AX$3)</f>
        <v>0</v>
      </c>
      <c r="U32" s="6">
        <f>(VLOOKUP('102 5.1.00'!AC32,'102 5.1.00'!$AM$4:$AO$55,2,FALSE))*IF('102 5.1.00'!BE$4="是",'102 5.1.00'!$AX$4,'102 5.1.00'!$AX$3)</f>
        <v>0</v>
      </c>
      <c r="V32" s="6">
        <f>(VLOOKUP('102 5.1.00'!AD32,'102 5.1.00'!$AM$4:$AO$55,2,FALSE))*IF('102 5.1.00'!BF$4="是",'102 5.1.00'!$AX$4,'102 5.1.00'!$AX$3)</f>
        <v>0</v>
      </c>
      <c r="W32" s="7">
        <f>(VLOOKUP('102 5.1.00'!AE32,'102 5.1.00'!$AM$4:$AO$55,2,FALSE))*IF('102 5.1.00'!BG$4="是",'102 5.1.00'!$AX$4,'102 5.1.00'!$AX$3)</f>
        <v>0</v>
      </c>
      <c r="X32" s="7">
        <f>(VLOOKUP('102 5.1.00'!AF32,'102 5.1.00'!$AM$4:$AO$55,2,FALSE))*IF('102 5.1.00'!BH$4="是",'102 5.1.00'!$AX$4,'102 5.1.00'!$AX$3)</f>
        <v>0</v>
      </c>
    </row>
    <row r="33" spans="1:24">
      <c r="A33" s="6">
        <f>(VLOOKUP('102 5.1.00'!I33,'102 5.1.00'!$AM$4:$AO$55,2,FALSE))*IF('102 5.1.00'!AK$4="是",'102 5.1.00'!$AX$4,'102 5.1.00'!$AX$3)</f>
        <v>200</v>
      </c>
      <c r="B33" s="6">
        <f>(VLOOKUP('102 5.1.00'!J33,'102 5.1.00'!$AM$4:$AO$55,2,FALSE))*IF('102 5.1.00'!AL$4="是",'102 5.1.00'!$AX$4,'102 5.1.00'!$AX$3)</f>
        <v>200</v>
      </c>
      <c r="C33" s="6">
        <f>(VLOOKUP('102 5.1.00'!K33,'102 5.1.00'!$AM$4:$AO$55,2,FALSE))*IF('102 5.1.00'!AM$4="是",'102 5.1.00'!$AX$4,'102 5.1.00'!$AX$3)</f>
        <v>200</v>
      </c>
      <c r="D33" s="6">
        <f>(VLOOKUP('102 5.1.00'!L33,'102 5.1.00'!$AM$4:$AO$55,2,FALSE))*IF('102 5.1.00'!AN$4="是",'102 5.1.00'!$AX$4,'102 5.1.00'!$AX$3)</f>
        <v>200</v>
      </c>
      <c r="E33" s="6">
        <f>(VLOOKUP('102 5.1.00'!M33,'102 5.1.00'!$AM$4:$AO$55,2,FALSE))*IF('102 5.1.00'!AO$4="是",'102 5.1.00'!$AX$4,'102 5.1.00'!$AX$3)</f>
        <v>200</v>
      </c>
      <c r="F33" s="6">
        <f>(VLOOKUP('102 5.1.00'!N33,'102 5.1.00'!$AM$4:$AO$55,2,FALSE))*IF('102 5.1.00'!AP$4="是",'102 5.1.00'!$AX$4,'102 5.1.00'!$AX$3)</f>
        <v>200</v>
      </c>
      <c r="G33" s="7">
        <f>(VLOOKUP('102 5.1.00'!O33,'102 5.1.00'!$AM$4:$AO$55,2,FALSE))*IF('102 5.1.00'!AQ$4="是",'102 5.1.00'!$AX$4,'102 5.1.00'!$AX$3)</f>
        <v>0</v>
      </c>
      <c r="H33" s="7">
        <f>(VLOOKUP('102 5.1.00'!P33,'102 5.1.00'!$AM$4:$AO$55,2,FALSE))*IF('102 5.1.00'!AR$4="是",'102 5.1.00'!$AX$4,'102 5.1.00'!$AX$3)</f>
        <v>0</v>
      </c>
      <c r="I33" s="6">
        <f>(VLOOKUP('102 5.1.00'!Q33,'102 5.1.00'!$AM$4:$AO$55,2,FALSE))*IF('102 5.1.00'!AS$4="是",'102 5.1.00'!$AX$4,'102 5.1.00'!$AX$3)</f>
        <v>180</v>
      </c>
      <c r="J33" s="6">
        <f>(VLOOKUP('102 5.1.00'!R33,'102 5.1.00'!$AM$4:$AO$55,2,FALSE))*IF('102 5.1.00'!AT$4="是",'102 5.1.00'!$AX$4,'102 5.1.00'!$AX$3)</f>
        <v>180</v>
      </c>
      <c r="K33" s="6">
        <f>(VLOOKUP('102 5.1.00'!S33,'102 5.1.00'!$AM$4:$AO$55,2,FALSE))*IF('102 5.1.00'!AU$4="是",'102 5.1.00'!$AX$4,'102 5.1.00'!$AX$3)</f>
        <v>180</v>
      </c>
      <c r="L33" s="6">
        <f>(VLOOKUP('102 5.1.00'!T33,'102 5.1.00'!$AM$4:$AO$55,2,FALSE))*IF('102 5.1.00'!AV$4="是",'102 5.1.00'!$AX$4,'102 5.1.00'!$AX$3)</f>
        <v>180</v>
      </c>
      <c r="M33" s="6">
        <f>(VLOOKUP('102 5.1.00'!U33,'102 5.1.00'!$AM$4:$AO$55,2,FALSE))*IF('102 5.1.00'!AW$4="是",'102 5.1.00'!$AX$4,'102 5.1.00'!$AX$3)</f>
        <v>180</v>
      </c>
      <c r="N33" s="6">
        <f>(VLOOKUP('102 5.1.00'!V33,'102 5.1.00'!$AM$4:$AO$55,2,FALSE))*IF('102 5.1.00'!AX$4="是",'102 5.1.00'!$AX$4,'102 5.1.00'!$AX$3)</f>
        <v>180</v>
      </c>
      <c r="O33" s="7">
        <f>(VLOOKUP('102 5.1.00'!W33,'102 5.1.00'!$AM$4:$AO$55,2,FALSE))*IF('102 5.1.00'!AY$4="是",'102 5.1.00'!$AX$4,'102 5.1.00'!$AX$3)</f>
        <v>0</v>
      </c>
      <c r="P33" s="7">
        <f>(VLOOKUP('102 5.1.00'!X33,'102 5.1.00'!$AM$4:$AO$55,2,FALSE))*IF('102 5.1.00'!AZ$4="是",'102 5.1.00'!$AX$4,'102 5.1.00'!$AX$3)</f>
        <v>0</v>
      </c>
      <c r="Q33" s="6">
        <f>(VLOOKUP('102 5.1.00'!Y33,'102 5.1.00'!$AM$4:$AO$55,2,FALSE))*IF('102 5.1.00'!BA$4="是",'102 5.1.00'!$AX$4,'102 5.1.00'!$AX$3)</f>
        <v>0</v>
      </c>
      <c r="R33" s="6">
        <f>(VLOOKUP('102 5.1.00'!Z33,'102 5.1.00'!$AM$4:$AO$55,2,FALSE))*IF('102 5.1.00'!BB$4="是",'102 5.1.00'!$AX$4,'102 5.1.00'!$AX$3)</f>
        <v>0</v>
      </c>
      <c r="S33" s="6">
        <f>(VLOOKUP('102 5.1.00'!AA33,'102 5.1.00'!$AM$4:$AO$55,2,FALSE))*IF('102 5.1.00'!BC$4="是",'102 5.1.00'!$AX$4,'102 5.1.00'!$AX$3)</f>
        <v>0</v>
      </c>
      <c r="T33" s="6">
        <f>(VLOOKUP('102 5.1.00'!AB33,'102 5.1.00'!$AM$4:$AO$55,2,FALSE))*IF('102 5.1.00'!BD$4="是",'102 5.1.00'!$AX$4,'102 5.1.00'!$AX$3)</f>
        <v>0</v>
      </c>
      <c r="U33" s="6">
        <f>(VLOOKUP('102 5.1.00'!AC33,'102 5.1.00'!$AM$4:$AO$55,2,FALSE))*IF('102 5.1.00'!BE$4="是",'102 5.1.00'!$AX$4,'102 5.1.00'!$AX$3)</f>
        <v>0</v>
      </c>
      <c r="V33" s="6">
        <f>(VLOOKUP('102 5.1.00'!AD33,'102 5.1.00'!$AM$4:$AO$55,2,FALSE))*IF('102 5.1.00'!BF$4="是",'102 5.1.00'!$AX$4,'102 5.1.00'!$AX$3)</f>
        <v>0</v>
      </c>
      <c r="W33" s="7">
        <f>(VLOOKUP('102 5.1.00'!AE33,'102 5.1.00'!$AM$4:$AO$55,2,FALSE))*IF('102 5.1.00'!BG$4="是",'102 5.1.00'!$AX$4,'102 5.1.00'!$AX$3)</f>
        <v>0</v>
      </c>
      <c r="X33" s="7">
        <f>(VLOOKUP('102 5.1.00'!AF33,'102 5.1.00'!$AM$4:$AO$55,2,FALSE))*IF('102 5.1.00'!BH$4="是",'102 5.1.00'!$AX$4,'102 5.1.00'!$AX$3)</f>
        <v>0</v>
      </c>
    </row>
    <row r="34" spans="1:24">
      <c r="A34" s="6">
        <f>(VLOOKUP('102 5.1.00'!I34,'102 5.1.00'!$AM$4:$AO$55,2,FALSE))*IF('102 5.1.00'!AK$4="是",'102 5.1.00'!$AX$4,'102 5.1.00'!$AX$3)</f>
        <v>200</v>
      </c>
      <c r="B34" s="6">
        <f>(VLOOKUP('102 5.1.00'!J34,'102 5.1.00'!$AM$4:$AO$55,2,FALSE))*IF('102 5.1.00'!AL$4="是",'102 5.1.00'!$AX$4,'102 5.1.00'!$AX$3)</f>
        <v>200</v>
      </c>
      <c r="C34" s="6">
        <f>(VLOOKUP('102 5.1.00'!K34,'102 5.1.00'!$AM$4:$AO$55,2,FALSE))*IF('102 5.1.00'!AM$4="是",'102 5.1.00'!$AX$4,'102 5.1.00'!$AX$3)</f>
        <v>200</v>
      </c>
      <c r="D34" s="6">
        <f>(VLOOKUP('102 5.1.00'!L34,'102 5.1.00'!$AM$4:$AO$55,2,FALSE))*IF('102 5.1.00'!AN$4="是",'102 5.1.00'!$AX$4,'102 5.1.00'!$AX$3)</f>
        <v>200</v>
      </c>
      <c r="E34" s="6">
        <f>(VLOOKUP('102 5.1.00'!M34,'102 5.1.00'!$AM$4:$AO$55,2,FALSE))*IF('102 5.1.00'!AO$4="是",'102 5.1.00'!$AX$4,'102 5.1.00'!$AX$3)</f>
        <v>200</v>
      </c>
      <c r="F34" s="6">
        <f>(VLOOKUP('102 5.1.00'!N34,'102 5.1.00'!$AM$4:$AO$55,2,FALSE))*IF('102 5.1.00'!AP$4="是",'102 5.1.00'!$AX$4,'102 5.1.00'!$AX$3)</f>
        <v>200</v>
      </c>
      <c r="G34" s="7">
        <f>(VLOOKUP('102 5.1.00'!O34,'102 5.1.00'!$AM$4:$AO$55,2,FALSE))*IF('102 5.1.00'!AQ$4="是",'102 5.1.00'!$AX$4,'102 5.1.00'!$AX$3)</f>
        <v>-200</v>
      </c>
      <c r="H34" s="7">
        <f>(VLOOKUP('102 5.1.00'!P34,'102 5.1.00'!$AM$4:$AO$55,2,FALSE))*IF('102 5.1.00'!AR$4="是",'102 5.1.00'!$AX$4,'102 5.1.00'!$AX$3)</f>
        <v>200</v>
      </c>
      <c r="I34" s="6">
        <f>(VLOOKUP('102 5.1.00'!Q34,'102 5.1.00'!$AM$4:$AO$55,2,FALSE))*IF('102 5.1.00'!AS$4="是",'102 5.1.00'!$AX$4,'102 5.1.00'!$AX$3)</f>
        <v>150</v>
      </c>
      <c r="J34" s="6">
        <f>(VLOOKUP('102 5.1.00'!R34,'102 5.1.00'!$AM$4:$AO$55,2,FALSE))*IF('102 5.1.00'!AT$4="是",'102 5.1.00'!$AX$4,'102 5.1.00'!$AX$3)</f>
        <v>180</v>
      </c>
      <c r="K34" s="6">
        <f>(VLOOKUP('102 5.1.00'!S34,'102 5.1.00'!$AM$4:$AO$55,2,FALSE))*IF('102 5.1.00'!AU$4="是",'102 5.1.00'!$AX$4,'102 5.1.00'!$AX$3)</f>
        <v>180</v>
      </c>
      <c r="L34" s="6">
        <f>(VLOOKUP('102 5.1.00'!T34,'102 5.1.00'!$AM$4:$AO$55,2,FALSE))*IF('102 5.1.00'!AV$4="是",'102 5.1.00'!$AX$4,'102 5.1.00'!$AX$3)</f>
        <v>180</v>
      </c>
      <c r="M34" s="6">
        <f>(VLOOKUP('102 5.1.00'!U34,'102 5.1.00'!$AM$4:$AO$55,2,FALSE))*IF('102 5.1.00'!AW$4="是",'102 5.1.00'!$AX$4,'102 5.1.00'!$AX$3)</f>
        <v>180</v>
      </c>
      <c r="N34" s="6">
        <f>(VLOOKUP('102 5.1.00'!V34,'102 5.1.00'!$AM$4:$AO$55,2,FALSE))*IF('102 5.1.00'!AX$4="是",'102 5.1.00'!$AX$4,'102 5.1.00'!$AX$3)</f>
        <v>180</v>
      </c>
      <c r="O34" s="7">
        <f>(VLOOKUP('102 5.1.00'!W34,'102 5.1.00'!$AM$4:$AO$55,2,FALSE))*IF('102 5.1.00'!AY$4="是",'102 5.1.00'!$AX$4,'102 5.1.00'!$AX$3)</f>
        <v>0</v>
      </c>
      <c r="P34" s="7">
        <f>(VLOOKUP('102 5.1.00'!X34,'102 5.1.00'!$AM$4:$AO$55,2,FALSE))*IF('102 5.1.00'!AZ$4="是",'102 5.1.00'!$AX$4,'102 5.1.00'!$AX$3)</f>
        <v>0</v>
      </c>
      <c r="Q34" s="6">
        <f>(VLOOKUP('102 5.1.00'!Y34,'102 5.1.00'!$AM$4:$AO$55,2,FALSE))*IF('102 5.1.00'!BA$4="是",'102 5.1.00'!$AX$4,'102 5.1.00'!$AX$3)</f>
        <v>0</v>
      </c>
      <c r="R34" s="6">
        <f>(VLOOKUP('102 5.1.00'!Z34,'102 5.1.00'!$AM$4:$AO$55,2,FALSE))*IF('102 5.1.00'!BB$4="是",'102 5.1.00'!$AX$4,'102 5.1.00'!$AX$3)</f>
        <v>0</v>
      </c>
      <c r="S34" s="6">
        <f>(VLOOKUP('102 5.1.00'!AA34,'102 5.1.00'!$AM$4:$AO$55,2,FALSE))*IF('102 5.1.00'!BC$4="是",'102 5.1.00'!$AX$4,'102 5.1.00'!$AX$3)</f>
        <v>0</v>
      </c>
      <c r="T34" s="6">
        <f>(VLOOKUP('102 5.1.00'!AB34,'102 5.1.00'!$AM$4:$AO$55,2,FALSE))*IF('102 5.1.00'!BD$4="是",'102 5.1.00'!$AX$4,'102 5.1.00'!$AX$3)</f>
        <v>0</v>
      </c>
      <c r="U34" s="6">
        <f>(VLOOKUP('102 5.1.00'!AC34,'102 5.1.00'!$AM$4:$AO$55,2,FALSE))*IF('102 5.1.00'!BE$4="是",'102 5.1.00'!$AX$4,'102 5.1.00'!$AX$3)</f>
        <v>0</v>
      </c>
      <c r="V34" s="6">
        <f>(VLOOKUP('102 5.1.00'!AD34,'102 5.1.00'!$AM$4:$AO$55,2,FALSE))*IF('102 5.1.00'!BF$4="是",'102 5.1.00'!$AX$4,'102 5.1.00'!$AX$3)</f>
        <v>0</v>
      </c>
      <c r="W34" s="7">
        <f>(VLOOKUP('102 5.1.00'!AE34,'102 5.1.00'!$AM$4:$AO$55,2,FALSE))*IF('102 5.1.00'!BG$4="是",'102 5.1.00'!$AX$4,'102 5.1.00'!$AX$3)</f>
        <v>0</v>
      </c>
      <c r="X34" s="7">
        <f>(VLOOKUP('102 5.1.00'!AF34,'102 5.1.00'!$AM$4:$AO$55,2,FALSE))*IF('102 5.1.00'!BH$4="是",'102 5.1.00'!$AX$4,'102 5.1.00'!$AX$3)</f>
        <v>0</v>
      </c>
    </row>
    <row r="35" spans="1:24">
      <c r="A35" s="6">
        <f>(VLOOKUP('102 5.1.00'!I35,'102 5.1.00'!$AM$4:$AO$55,2,FALSE))*IF('102 5.1.00'!AK$4="是",'102 5.1.00'!$AX$4,'102 5.1.00'!$AX$3)</f>
        <v>200</v>
      </c>
      <c r="B35" s="6">
        <f>(VLOOKUP('102 5.1.00'!J35,'102 5.1.00'!$AM$4:$AO$55,2,FALSE))*IF('102 5.1.00'!AL$4="是",'102 5.1.00'!$AX$4,'102 5.1.00'!$AX$3)</f>
        <v>200</v>
      </c>
      <c r="C35" s="6">
        <f>(VLOOKUP('102 5.1.00'!K35,'102 5.1.00'!$AM$4:$AO$55,2,FALSE))*IF('102 5.1.00'!AM$4="是",'102 5.1.00'!$AX$4,'102 5.1.00'!$AX$3)</f>
        <v>200</v>
      </c>
      <c r="D35" s="6">
        <f>(VLOOKUP('102 5.1.00'!L35,'102 5.1.00'!$AM$4:$AO$55,2,FALSE))*IF('102 5.1.00'!AN$4="是",'102 5.1.00'!$AX$4,'102 5.1.00'!$AX$3)</f>
        <v>200</v>
      </c>
      <c r="E35" s="6">
        <f>(VLOOKUP('102 5.1.00'!M35,'102 5.1.00'!$AM$4:$AO$55,2,FALSE))*IF('102 5.1.00'!AO$4="是",'102 5.1.00'!$AX$4,'102 5.1.00'!$AX$3)</f>
        <v>200</v>
      </c>
      <c r="F35" s="6">
        <f>(VLOOKUP('102 5.1.00'!N35,'102 5.1.00'!$AM$4:$AO$55,2,FALSE))*IF('102 5.1.00'!AP$4="是",'102 5.1.00'!$AX$4,'102 5.1.00'!$AX$3)</f>
        <v>200</v>
      </c>
      <c r="G35" s="7">
        <f>(VLOOKUP('102 5.1.00'!O35,'102 5.1.00'!$AM$4:$AO$55,2,FALSE))*IF('102 5.1.00'!AQ$4="是",'102 5.1.00'!$AX$4,'102 5.1.00'!$AX$3)</f>
        <v>0</v>
      </c>
      <c r="H35" s="7">
        <f>(VLOOKUP('102 5.1.00'!P35,'102 5.1.00'!$AM$4:$AO$55,2,FALSE))*IF('102 5.1.00'!AR$4="是",'102 5.1.00'!$AX$4,'102 5.1.00'!$AX$3)</f>
        <v>0</v>
      </c>
      <c r="I35" s="6">
        <f>(VLOOKUP('102 5.1.00'!Q35,'102 5.1.00'!$AM$4:$AO$55,2,FALSE))*IF('102 5.1.00'!AS$4="是",'102 5.1.00'!$AX$4,'102 5.1.00'!$AX$3)</f>
        <v>180</v>
      </c>
      <c r="J35" s="6">
        <f>(VLOOKUP('102 5.1.00'!R35,'102 5.1.00'!$AM$4:$AO$55,2,FALSE))*IF('102 5.1.00'!AT$4="是",'102 5.1.00'!$AX$4,'102 5.1.00'!$AX$3)</f>
        <v>180</v>
      </c>
      <c r="K35" s="6">
        <f>(VLOOKUP('102 5.1.00'!S35,'102 5.1.00'!$AM$4:$AO$55,2,FALSE))*IF('102 5.1.00'!AU$4="是",'102 5.1.00'!$AX$4,'102 5.1.00'!$AX$3)</f>
        <v>180</v>
      </c>
      <c r="L35" s="6">
        <f>(VLOOKUP('102 5.1.00'!T35,'102 5.1.00'!$AM$4:$AO$55,2,FALSE))*IF('102 5.1.00'!AV$4="是",'102 5.1.00'!$AX$4,'102 5.1.00'!$AX$3)</f>
        <v>180</v>
      </c>
      <c r="M35" s="6">
        <f>(VLOOKUP('102 5.1.00'!U35,'102 5.1.00'!$AM$4:$AO$55,2,FALSE))*IF('102 5.1.00'!AW$4="是",'102 5.1.00'!$AX$4,'102 5.1.00'!$AX$3)</f>
        <v>190</v>
      </c>
      <c r="N35" s="6">
        <f>(VLOOKUP('102 5.1.00'!V35,'102 5.1.00'!$AM$4:$AO$55,2,FALSE))*IF('102 5.1.00'!AX$4="是",'102 5.1.00'!$AX$4,'102 5.1.00'!$AX$3)</f>
        <v>190</v>
      </c>
      <c r="O35" s="7">
        <f>(VLOOKUP('102 5.1.00'!W35,'102 5.1.00'!$AM$4:$AO$55,2,FALSE))*IF('102 5.1.00'!AY$4="是",'102 5.1.00'!$AX$4,'102 5.1.00'!$AX$3)</f>
        <v>0</v>
      </c>
      <c r="P35" s="7">
        <f>(VLOOKUP('102 5.1.00'!X35,'102 5.1.00'!$AM$4:$AO$55,2,FALSE))*IF('102 5.1.00'!AZ$4="是",'102 5.1.00'!$AX$4,'102 5.1.00'!$AX$3)</f>
        <v>0</v>
      </c>
      <c r="Q35" s="6">
        <f>(VLOOKUP('102 5.1.00'!Y35,'102 5.1.00'!$AM$4:$AO$55,2,FALSE))*IF('102 5.1.00'!BA$4="是",'102 5.1.00'!$AX$4,'102 5.1.00'!$AX$3)</f>
        <v>0</v>
      </c>
      <c r="R35" s="6">
        <f>(VLOOKUP('102 5.1.00'!Z35,'102 5.1.00'!$AM$4:$AO$55,2,FALSE))*IF('102 5.1.00'!BB$4="是",'102 5.1.00'!$AX$4,'102 5.1.00'!$AX$3)</f>
        <v>0</v>
      </c>
      <c r="S35" s="6">
        <f>(VLOOKUP('102 5.1.00'!AA35,'102 5.1.00'!$AM$4:$AO$55,2,FALSE))*IF('102 5.1.00'!BC$4="是",'102 5.1.00'!$AX$4,'102 5.1.00'!$AX$3)</f>
        <v>0</v>
      </c>
      <c r="T35" s="6">
        <f>(VLOOKUP('102 5.1.00'!AB35,'102 5.1.00'!$AM$4:$AO$55,2,FALSE))*IF('102 5.1.00'!BD$4="是",'102 5.1.00'!$AX$4,'102 5.1.00'!$AX$3)</f>
        <v>0</v>
      </c>
      <c r="U35" s="6">
        <f>(VLOOKUP('102 5.1.00'!AC35,'102 5.1.00'!$AM$4:$AO$55,2,FALSE))*IF('102 5.1.00'!BE$4="是",'102 5.1.00'!$AX$4,'102 5.1.00'!$AX$3)</f>
        <v>0</v>
      </c>
      <c r="V35" s="6">
        <f>(VLOOKUP('102 5.1.00'!AD35,'102 5.1.00'!$AM$4:$AO$55,2,FALSE))*IF('102 5.1.00'!BF$4="是",'102 5.1.00'!$AX$4,'102 5.1.00'!$AX$3)</f>
        <v>0</v>
      </c>
      <c r="W35" s="7">
        <f>(VLOOKUP('102 5.1.00'!AE35,'102 5.1.00'!$AM$4:$AO$55,2,FALSE))*IF('102 5.1.00'!BG$4="是",'102 5.1.00'!$AX$4,'102 5.1.00'!$AX$3)</f>
        <v>0</v>
      </c>
      <c r="X35" s="7">
        <f>(VLOOKUP('102 5.1.00'!AF35,'102 5.1.00'!$AM$4:$AO$55,2,FALSE))*IF('102 5.1.00'!BH$4="是",'102 5.1.00'!$AX$4,'102 5.1.00'!$AX$3)</f>
        <v>0</v>
      </c>
    </row>
    <row r="36" spans="1:24">
      <c r="A36" s="6">
        <f>(VLOOKUP('102 5.1.00'!I36,'102 5.1.00'!$AM$4:$AO$55,2,FALSE))*IF('102 5.1.00'!AK$4="是",'102 5.1.00'!$AX$4,'102 5.1.00'!$AX$3)</f>
        <v>200</v>
      </c>
      <c r="B36" s="6">
        <f>(VLOOKUP('102 5.1.00'!J36,'102 5.1.00'!$AM$4:$AO$55,2,FALSE))*IF('102 5.1.00'!AL$4="是",'102 5.1.00'!$AX$4,'102 5.1.00'!$AX$3)</f>
        <v>200</v>
      </c>
      <c r="C36" s="6">
        <f>(VLOOKUP('102 5.1.00'!K36,'102 5.1.00'!$AM$4:$AO$55,2,FALSE))*IF('102 5.1.00'!AM$4="是",'102 5.1.00'!$AX$4,'102 5.1.00'!$AX$3)</f>
        <v>200</v>
      </c>
      <c r="D36" s="6">
        <f>(VLOOKUP('102 5.1.00'!L36,'102 5.1.00'!$AM$4:$AO$55,2,FALSE))*IF('102 5.1.00'!AN$4="是",'102 5.1.00'!$AX$4,'102 5.1.00'!$AX$3)</f>
        <v>200</v>
      </c>
      <c r="E36" s="6">
        <f>(VLOOKUP('102 5.1.00'!M36,'102 5.1.00'!$AM$4:$AO$55,2,FALSE))*IF('102 5.1.00'!AO$4="是",'102 5.1.00'!$AX$4,'102 5.1.00'!$AX$3)</f>
        <v>200</v>
      </c>
      <c r="F36" s="6">
        <f>(VLOOKUP('102 5.1.00'!N36,'102 5.1.00'!$AM$4:$AO$55,2,FALSE))*IF('102 5.1.00'!AP$4="是",'102 5.1.00'!$AX$4,'102 5.1.00'!$AX$3)</f>
        <v>200</v>
      </c>
      <c r="G36" s="7">
        <f>(VLOOKUP('102 5.1.00'!O36,'102 5.1.00'!$AM$4:$AO$55,2,FALSE))*IF('102 5.1.00'!AQ$4="是",'102 5.1.00'!$AX$4,'102 5.1.00'!$AX$3)</f>
        <v>0</v>
      </c>
      <c r="H36" s="7">
        <f>(VLOOKUP('102 5.1.00'!P36,'102 5.1.00'!$AM$4:$AO$55,2,FALSE))*IF('102 5.1.00'!AR$4="是",'102 5.1.00'!$AX$4,'102 5.1.00'!$AX$3)</f>
        <v>0</v>
      </c>
      <c r="I36" s="6">
        <f>(VLOOKUP('102 5.1.00'!Q36,'102 5.1.00'!$AM$4:$AO$55,2,FALSE))*IF('102 5.1.00'!AS$4="是",'102 5.1.00'!$AX$4,'102 5.1.00'!$AX$3)</f>
        <v>190</v>
      </c>
      <c r="J36" s="6">
        <f>(VLOOKUP('102 5.1.00'!R36,'102 5.1.00'!$AM$4:$AO$55,2,FALSE))*IF('102 5.1.00'!AT$4="是",'102 5.1.00'!$AX$4,'102 5.1.00'!$AX$3)</f>
        <v>190</v>
      </c>
      <c r="K36" s="6">
        <f>(VLOOKUP('102 5.1.00'!S36,'102 5.1.00'!$AM$4:$AO$55,2,FALSE))*IF('102 5.1.00'!AU$4="是",'102 5.1.00'!$AX$4,'102 5.1.00'!$AX$3)</f>
        <v>190</v>
      </c>
      <c r="L36" s="6">
        <f>(VLOOKUP('102 5.1.00'!T36,'102 5.1.00'!$AM$4:$AO$55,2,FALSE))*IF('102 5.1.00'!AV$4="是",'102 5.1.00'!$AX$4,'102 5.1.00'!$AX$3)</f>
        <v>190</v>
      </c>
      <c r="M36" s="6">
        <f>(VLOOKUP('102 5.1.00'!U36,'102 5.1.00'!$AM$4:$AO$55,2,FALSE))*IF('102 5.1.00'!AW$4="是",'102 5.1.00'!$AX$4,'102 5.1.00'!$AX$3)</f>
        <v>190</v>
      </c>
      <c r="N36" s="6">
        <f>(VLOOKUP('102 5.1.00'!V36,'102 5.1.00'!$AM$4:$AO$55,2,FALSE))*IF('102 5.1.00'!AX$4="是",'102 5.1.00'!$AX$4,'102 5.1.00'!$AX$3)</f>
        <v>190</v>
      </c>
      <c r="O36" s="7">
        <f>(VLOOKUP('102 5.1.00'!W36,'102 5.1.00'!$AM$4:$AO$55,2,FALSE))*IF('102 5.1.00'!AY$4="是",'102 5.1.00'!$AX$4,'102 5.1.00'!$AX$3)</f>
        <v>0</v>
      </c>
      <c r="P36" s="7">
        <f>(VLOOKUP('102 5.1.00'!X36,'102 5.1.00'!$AM$4:$AO$55,2,FALSE))*IF('102 5.1.00'!AZ$4="是",'102 5.1.00'!$AX$4,'102 5.1.00'!$AX$3)</f>
        <v>0</v>
      </c>
      <c r="Q36" s="6">
        <f>(VLOOKUP('102 5.1.00'!Y36,'102 5.1.00'!$AM$4:$AO$55,2,FALSE))*IF('102 5.1.00'!BA$4="是",'102 5.1.00'!$AX$4,'102 5.1.00'!$AX$3)</f>
        <v>0</v>
      </c>
      <c r="R36" s="6">
        <f>(VLOOKUP('102 5.1.00'!Z36,'102 5.1.00'!$AM$4:$AO$55,2,FALSE))*IF('102 5.1.00'!BB$4="是",'102 5.1.00'!$AX$4,'102 5.1.00'!$AX$3)</f>
        <v>0</v>
      </c>
      <c r="S36" s="6">
        <f>(VLOOKUP('102 5.1.00'!AA36,'102 5.1.00'!$AM$4:$AO$55,2,FALSE))*IF('102 5.1.00'!BC$4="是",'102 5.1.00'!$AX$4,'102 5.1.00'!$AX$3)</f>
        <v>0</v>
      </c>
      <c r="T36" s="6">
        <f>(VLOOKUP('102 5.1.00'!AB36,'102 5.1.00'!$AM$4:$AO$55,2,FALSE))*IF('102 5.1.00'!BD$4="是",'102 5.1.00'!$AX$4,'102 5.1.00'!$AX$3)</f>
        <v>0</v>
      </c>
      <c r="U36" s="6">
        <f>(VLOOKUP('102 5.1.00'!AC36,'102 5.1.00'!$AM$4:$AO$55,2,FALSE))*IF('102 5.1.00'!BE$4="是",'102 5.1.00'!$AX$4,'102 5.1.00'!$AX$3)</f>
        <v>0</v>
      </c>
      <c r="V36" s="6">
        <f>(VLOOKUP('102 5.1.00'!AD36,'102 5.1.00'!$AM$4:$AO$55,2,FALSE))*IF('102 5.1.00'!BF$4="是",'102 5.1.00'!$AX$4,'102 5.1.00'!$AX$3)</f>
        <v>0</v>
      </c>
      <c r="W36" s="7">
        <f>(VLOOKUP('102 5.1.00'!AE36,'102 5.1.00'!$AM$4:$AO$55,2,FALSE))*IF('102 5.1.00'!BG$4="是",'102 5.1.00'!$AX$4,'102 5.1.00'!$AX$3)</f>
        <v>0</v>
      </c>
      <c r="X36" s="7">
        <f>(VLOOKUP('102 5.1.00'!AF36,'102 5.1.00'!$AM$4:$AO$55,2,FALSE))*IF('102 5.1.00'!BH$4="是",'102 5.1.00'!$AX$4,'102 5.1.00'!$AX$3)</f>
        <v>0</v>
      </c>
    </row>
    <row r="37" spans="1:24">
      <c r="A37" s="6">
        <f>(VLOOKUP('102 5.1.00'!I37,'102 5.1.00'!$AM$4:$AO$55,2,FALSE))*IF('102 5.1.00'!AK$4="是",'102 5.1.00'!$AX$4,'102 5.1.00'!$AX$3)</f>
        <v>200</v>
      </c>
      <c r="B37" s="6">
        <f>(VLOOKUP('102 5.1.00'!J37,'102 5.1.00'!$AM$4:$AO$55,2,FALSE))*IF('102 5.1.00'!AL$4="是",'102 5.1.00'!$AX$4,'102 5.1.00'!$AX$3)</f>
        <v>200</v>
      </c>
      <c r="C37" s="6">
        <f>(VLOOKUP('102 5.1.00'!K37,'102 5.1.00'!$AM$4:$AO$55,2,FALSE))*IF('102 5.1.00'!AM$4="是",'102 5.1.00'!$AX$4,'102 5.1.00'!$AX$3)</f>
        <v>200</v>
      </c>
      <c r="D37" s="6">
        <f>(VLOOKUP('102 5.1.00'!L37,'102 5.1.00'!$AM$4:$AO$55,2,FALSE))*IF('102 5.1.00'!AN$4="是",'102 5.1.00'!$AX$4,'102 5.1.00'!$AX$3)</f>
        <v>200</v>
      </c>
      <c r="E37" s="6">
        <f>(VLOOKUP('102 5.1.00'!M37,'102 5.1.00'!$AM$4:$AO$55,2,FALSE))*IF('102 5.1.00'!AO$4="是",'102 5.1.00'!$AX$4,'102 5.1.00'!$AX$3)</f>
        <v>200</v>
      </c>
      <c r="F37" s="6">
        <f>(VLOOKUP('102 5.1.00'!N37,'102 5.1.00'!$AM$4:$AO$55,2,FALSE))*IF('102 5.1.00'!AP$4="是",'102 5.1.00'!$AX$4,'102 5.1.00'!$AX$3)</f>
        <v>200</v>
      </c>
      <c r="G37" s="7">
        <f>(VLOOKUP('102 5.1.00'!O37,'102 5.1.00'!$AM$4:$AO$55,2,FALSE))*IF('102 5.1.00'!AQ$4="是",'102 5.1.00'!$AX$4,'102 5.1.00'!$AX$3)</f>
        <v>0</v>
      </c>
      <c r="H37" s="7">
        <f>(VLOOKUP('102 5.1.00'!P37,'102 5.1.00'!$AM$4:$AO$55,2,FALSE))*IF('102 5.1.00'!AR$4="是",'102 5.1.00'!$AX$4,'102 5.1.00'!$AX$3)</f>
        <v>0</v>
      </c>
      <c r="I37" s="6">
        <f>(VLOOKUP('102 5.1.00'!Q37,'102 5.1.00'!$AM$4:$AO$55,2,FALSE))*IF('102 5.1.00'!AS$4="是",'102 5.1.00'!$AX$4,'102 5.1.00'!$AX$3)</f>
        <v>190</v>
      </c>
      <c r="J37" s="6">
        <f>(VLOOKUP('102 5.1.00'!R37,'102 5.1.00'!$AM$4:$AO$55,2,FALSE))*IF('102 5.1.00'!AT$4="是",'102 5.1.00'!$AX$4,'102 5.1.00'!$AX$3)</f>
        <v>190</v>
      </c>
      <c r="K37" s="6">
        <f>(VLOOKUP('102 5.1.00'!S37,'102 5.1.00'!$AM$4:$AO$55,2,FALSE))*IF('102 5.1.00'!AU$4="是",'102 5.1.00'!$AX$4,'102 5.1.00'!$AX$3)</f>
        <v>190</v>
      </c>
      <c r="L37" s="6">
        <f>(VLOOKUP('102 5.1.00'!T37,'102 5.1.00'!$AM$4:$AO$55,2,FALSE))*IF('102 5.1.00'!AV$4="是",'102 5.1.00'!$AX$4,'102 5.1.00'!$AX$3)</f>
        <v>190</v>
      </c>
      <c r="M37" s="6">
        <f>(VLOOKUP('102 5.1.00'!U37,'102 5.1.00'!$AM$4:$AO$55,2,FALSE))*IF('102 5.1.00'!AW$4="是",'102 5.1.00'!$AX$4,'102 5.1.00'!$AX$3)</f>
        <v>190</v>
      </c>
      <c r="N37" s="6">
        <f>(VLOOKUP('102 5.1.00'!V37,'102 5.1.00'!$AM$4:$AO$55,2,FALSE))*IF('102 5.1.00'!AX$4="是",'102 5.1.00'!$AX$4,'102 5.1.00'!$AX$3)</f>
        <v>190</v>
      </c>
      <c r="O37" s="7">
        <f>(VLOOKUP('102 5.1.00'!W37,'102 5.1.00'!$AM$4:$AO$55,2,FALSE))*IF('102 5.1.00'!AY$4="是",'102 5.1.00'!$AX$4,'102 5.1.00'!$AX$3)</f>
        <v>0</v>
      </c>
      <c r="P37" s="7">
        <f>(VLOOKUP('102 5.1.00'!X37,'102 5.1.00'!$AM$4:$AO$55,2,FALSE))*IF('102 5.1.00'!AZ$4="是",'102 5.1.00'!$AX$4,'102 5.1.00'!$AX$3)</f>
        <v>0</v>
      </c>
      <c r="Q37" s="6">
        <f>(VLOOKUP('102 5.1.00'!Y37,'102 5.1.00'!$AM$4:$AO$55,2,FALSE))*IF('102 5.1.00'!BA$4="是",'102 5.1.00'!$AX$4,'102 5.1.00'!$AX$3)</f>
        <v>0</v>
      </c>
      <c r="R37" s="6">
        <f>(VLOOKUP('102 5.1.00'!Z37,'102 5.1.00'!$AM$4:$AO$55,2,FALSE))*IF('102 5.1.00'!BB$4="是",'102 5.1.00'!$AX$4,'102 5.1.00'!$AX$3)</f>
        <v>0</v>
      </c>
      <c r="S37" s="6">
        <f>(VLOOKUP('102 5.1.00'!AA37,'102 5.1.00'!$AM$4:$AO$55,2,FALSE))*IF('102 5.1.00'!BC$4="是",'102 5.1.00'!$AX$4,'102 5.1.00'!$AX$3)</f>
        <v>0</v>
      </c>
      <c r="T37" s="6">
        <f>(VLOOKUP('102 5.1.00'!AB37,'102 5.1.00'!$AM$4:$AO$55,2,FALSE))*IF('102 5.1.00'!BD$4="是",'102 5.1.00'!$AX$4,'102 5.1.00'!$AX$3)</f>
        <v>0</v>
      </c>
      <c r="U37" s="6">
        <f>(VLOOKUP('102 5.1.00'!AC37,'102 5.1.00'!$AM$4:$AO$55,2,FALSE))*IF('102 5.1.00'!BE$4="是",'102 5.1.00'!$AX$4,'102 5.1.00'!$AX$3)</f>
        <v>0</v>
      </c>
      <c r="V37" s="6">
        <f>(VLOOKUP('102 5.1.00'!AD37,'102 5.1.00'!$AM$4:$AO$55,2,FALSE))*IF('102 5.1.00'!BF$4="是",'102 5.1.00'!$AX$4,'102 5.1.00'!$AX$3)</f>
        <v>0</v>
      </c>
      <c r="W37" s="7">
        <f>(VLOOKUP('102 5.1.00'!AE37,'102 5.1.00'!$AM$4:$AO$55,2,FALSE))*IF('102 5.1.00'!BG$4="是",'102 5.1.00'!$AX$4,'102 5.1.00'!$AX$3)</f>
        <v>0</v>
      </c>
      <c r="X37" s="7">
        <f>(VLOOKUP('102 5.1.00'!AF37,'102 5.1.00'!$AM$4:$AO$55,2,FALSE))*IF('102 5.1.00'!BH$4="是",'102 5.1.00'!$AX$4,'102 5.1.00'!$AX$3)</f>
        <v>0</v>
      </c>
    </row>
    <row r="38" spans="1:24">
      <c r="A38" s="6">
        <f>(VLOOKUP('102 5.1.00'!I38,'102 5.1.00'!$AM$4:$AO$55,2,FALSE))*IF('102 5.1.00'!AK$4="是",'102 5.1.00'!$AX$4,'102 5.1.00'!$AX$3)</f>
        <v>200</v>
      </c>
      <c r="B38" s="6">
        <f>(VLOOKUP('102 5.1.00'!J38,'102 5.1.00'!$AM$4:$AO$55,2,FALSE))*IF('102 5.1.00'!AL$4="是",'102 5.1.00'!$AX$4,'102 5.1.00'!$AX$3)</f>
        <v>200</v>
      </c>
      <c r="C38" s="6">
        <f>(VLOOKUP('102 5.1.00'!K38,'102 5.1.00'!$AM$4:$AO$55,2,FALSE))*IF('102 5.1.00'!AM$4="是",'102 5.1.00'!$AX$4,'102 5.1.00'!$AX$3)</f>
        <v>200</v>
      </c>
      <c r="D38" s="6">
        <f>(VLOOKUP('102 5.1.00'!L38,'102 5.1.00'!$AM$4:$AO$55,2,FALSE))*IF('102 5.1.00'!AN$4="是",'102 5.1.00'!$AX$4,'102 5.1.00'!$AX$3)</f>
        <v>200</v>
      </c>
      <c r="E38" s="6">
        <f>(VLOOKUP('102 5.1.00'!M38,'102 5.1.00'!$AM$4:$AO$55,2,FALSE))*IF('102 5.1.00'!AO$4="是",'102 5.1.00'!$AX$4,'102 5.1.00'!$AX$3)</f>
        <v>200</v>
      </c>
      <c r="F38" s="6">
        <f>(VLOOKUP('102 5.1.00'!N38,'102 5.1.00'!$AM$4:$AO$55,2,FALSE))*IF('102 5.1.00'!AP$4="是",'102 5.1.00'!$AX$4,'102 5.1.00'!$AX$3)</f>
        <v>200</v>
      </c>
      <c r="G38" s="7">
        <f>(VLOOKUP('102 5.1.00'!O38,'102 5.1.00'!$AM$4:$AO$55,2,FALSE))*IF('102 5.1.00'!AQ$4="是",'102 5.1.00'!$AX$4,'102 5.1.00'!$AX$3)</f>
        <v>0</v>
      </c>
      <c r="H38" s="7">
        <f>(VLOOKUP('102 5.1.00'!P38,'102 5.1.00'!$AM$4:$AO$55,2,FALSE))*IF('102 5.1.00'!AR$4="是",'102 5.1.00'!$AX$4,'102 5.1.00'!$AX$3)</f>
        <v>0</v>
      </c>
      <c r="I38" s="6">
        <f>(VLOOKUP('102 5.1.00'!Q38,'102 5.1.00'!$AM$4:$AO$55,2,FALSE))*IF('102 5.1.00'!AS$4="是",'102 5.1.00'!$AX$4,'102 5.1.00'!$AX$3)</f>
        <v>190</v>
      </c>
      <c r="J38" s="6">
        <f>(VLOOKUP('102 5.1.00'!R38,'102 5.1.00'!$AM$4:$AO$55,2,FALSE))*IF('102 5.1.00'!AT$4="是",'102 5.1.00'!$AX$4,'102 5.1.00'!$AX$3)</f>
        <v>190</v>
      </c>
      <c r="K38" s="6">
        <f>(VLOOKUP('102 5.1.00'!S38,'102 5.1.00'!$AM$4:$AO$55,2,FALSE))*IF('102 5.1.00'!AU$4="是",'102 5.1.00'!$AX$4,'102 5.1.00'!$AX$3)</f>
        <v>190</v>
      </c>
      <c r="L38" s="6">
        <f>(VLOOKUP('102 5.1.00'!T38,'102 5.1.00'!$AM$4:$AO$55,2,FALSE))*IF('102 5.1.00'!AV$4="是",'102 5.1.00'!$AX$4,'102 5.1.00'!$AX$3)</f>
        <v>190</v>
      </c>
      <c r="M38" s="6">
        <f>(VLOOKUP('102 5.1.00'!U38,'102 5.1.00'!$AM$4:$AO$55,2,FALSE))*IF('102 5.1.00'!AW$4="是",'102 5.1.00'!$AX$4,'102 5.1.00'!$AX$3)</f>
        <v>190</v>
      </c>
      <c r="N38" s="6">
        <f>(VLOOKUP('102 5.1.00'!V38,'102 5.1.00'!$AM$4:$AO$55,2,FALSE))*IF('102 5.1.00'!AX$4="是",'102 5.1.00'!$AX$4,'102 5.1.00'!$AX$3)</f>
        <v>190</v>
      </c>
      <c r="O38" s="7">
        <f>(VLOOKUP('102 5.1.00'!W38,'102 5.1.00'!$AM$4:$AO$55,2,FALSE))*IF('102 5.1.00'!AY$4="是",'102 5.1.00'!$AX$4,'102 5.1.00'!$AX$3)</f>
        <v>0</v>
      </c>
      <c r="P38" s="7">
        <f>(VLOOKUP('102 5.1.00'!X38,'102 5.1.00'!$AM$4:$AO$55,2,FALSE))*IF('102 5.1.00'!AZ$4="是",'102 5.1.00'!$AX$4,'102 5.1.00'!$AX$3)</f>
        <v>0</v>
      </c>
      <c r="Q38" s="6">
        <f>(VLOOKUP('102 5.1.00'!Y38,'102 5.1.00'!$AM$4:$AO$55,2,FALSE))*IF('102 5.1.00'!BA$4="是",'102 5.1.00'!$AX$4,'102 5.1.00'!$AX$3)</f>
        <v>0</v>
      </c>
      <c r="R38" s="6">
        <f>(VLOOKUP('102 5.1.00'!Z38,'102 5.1.00'!$AM$4:$AO$55,2,FALSE))*IF('102 5.1.00'!BB$4="是",'102 5.1.00'!$AX$4,'102 5.1.00'!$AX$3)</f>
        <v>0</v>
      </c>
      <c r="S38" s="6">
        <f>(VLOOKUP('102 5.1.00'!AA38,'102 5.1.00'!$AM$4:$AO$55,2,FALSE))*IF('102 5.1.00'!BC$4="是",'102 5.1.00'!$AX$4,'102 5.1.00'!$AX$3)</f>
        <v>0</v>
      </c>
      <c r="T38" s="6">
        <f>(VLOOKUP('102 5.1.00'!AB38,'102 5.1.00'!$AM$4:$AO$55,2,FALSE))*IF('102 5.1.00'!BD$4="是",'102 5.1.00'!$AX$4,'102 5.1.00'!$AX$3)</f>
        <v>0</v>
      </c>
      <c r="U38" s="6">
        <f>(VLOOKUP('102 5.1.00'!AC38,'102 5.1.00'!$AM$4:$AO$55,2,FALSE))*IF('102 5.1.00'!BE$4="是",'102 5.1.00'!$AX$4,'102 5.1.00'!$AX$3)</f>
        <v>0</v>
      </c>
      <c r="V38" s="6">
        <f>(VLOOKUP('102 5.1.00'!AD38,'102 5.1.00'!$AM$4:$AO$55,2,FALSE))*IF('102 5.1.00'!BF$4="是",'102 5.1.00'!$AX$4,'102 5.1.00'!$AX$3)</f>
        <v>0</v>
      </c>
      <c r="W38" s="7">
        <f>(VLOOKUP('102 5.1.00'!AE38,'102 5.1.00'!$AM$4:$AO$55,2,FALSE))*IF('102 5.1.00'!BG$4="是",'102 5.1.00'!$AX$4,'102 5.1.00'!$AX$3)</f>
        <v>0</v>
      </c>
      <c r="X38" s="7">
        <f>(VLOOKUP('102 5.1.00'!AF38,'102 5.1.00'!$AM$4:$AO$55,2,FALSE))*IF('102 5.1.00'!BH$4="是",'102 5.1.00'!$AX$4,'102 5.1.00'!$AX$3)</f>
        <v>0</v>
      </c>
    </row>
    <row r="39" spans="1:24">
      <c r="A39" s="6">
        <f>(VLOOKUP('102 5.1.00'!I39,'102 5.1.00'!$AM$4:$AO$55,2,FALSE))*IF('102 5.1.00'!AK$4="是",'102 5.1.00'!$AX$4,'102 5.1.00'!$AX$3)</f>
        <v>200</v>
      </c>
      <c r="B39" s="6">
        <f>(VLOOKUP('102 5.1.00'!J39,'102 5.1.00'!$AM$4:$AO$55,2,FALSE))*IF('102 5.1.00'!AL$4="是",'102 5.1.00'!$AX$4,'102 5.1.00'!$AX$3)</f>
        <v>200</v>
      </c>
      <c r="C39" s="6">
        <f>(VLOOKUP('102 5.1.00'!K39,'102 5.1.00'!$AM$4:$AO$55,2,FALSE))*IF('102 5.1.00'!AM$4="是",'102 5.1.00'!$AX$4,'102 5.1.00'!$AX$3)</f>
        <v>250</v>
      </c>
      <c r="D39" s="6">
        <f>(VLOOKUP('102 5.1.00'!L39,'102 5.1.00'!$AM$4:$AO$55,2,FALSE))*IF('102 5.1.00'!AN$4="是",'102 5.1.00'!$AX$4,'102 5.1.00'!$AX$3)</f>
        <v>200</v>
      </c>
      <c r="E39" s="6">
        <f>(VLOOKUP('102 5.1.00'!M39,'102 5.1.00'!$AM$4:$AO$55,2,FALSE))*IF('102 5.1.00'!AO$4="是",'102 5.1.00'!$AX$4,'102 5.1.00'!$AX$3)</f>
        <v>200</v>
      </c>
      <c r="F39" s="6">
        <f>(VLOOKUP('102 5.1.00'!N39,'102 5.1.00'!$AM$4:$AO$55,2,FALSE))*IF('102 5.1.00'!AP$4="是",'102 5.1.00'!$AX$4,'102 5.1.00'!$AX$3)</f>
        <v>200</v>
      </c>
      <c r="G39" s="7">
        <f>(VLOOKUP('102 5.1.00'!O39,'102 5.1.00'!$AM$4:$AO$55,2,FALSE))*IF('102 5.1.00'!AQ$4="是",'102 5.1.00'!$AX$4,'102 5.1.00'!$AX$3)</f>
        <v>0</v>
      </c>
      <c r="H39" s="7">
        <f>(VLOOKUP('102 5.1.00'!P39,'102 5.1.00'!$AM$4:$AO$55,2,FALSE))*IF('102 5.1.00'!AR$4="是",'102 5.1.00'!$AX$4,'102 5.1.00'!$AX$3)</f>
        <v>0</v>
      </c>
      <c r="I39" s="6">
        <f>(VLOOKUP('102 5.1.00'!Q39,'102 5.1.00'!$AM$4:$AO$55,2,FALSE))*IF('102 5.1.00'!AS$4="是",'102 5.1.00'!$AX$4,'102 5.1.00'!$AX$3)</f>
        <v>190</v>
      </c>
      <c r="J39" s="6">
        <f>(VLOOKUP('102 5.1.00'!R39,'102 5.1.00'!$AM$4:$AO$55,2,FALSE))*IF('102 5.1.00'!AT$4="是",'102 5.1.00'!$AX$4,'102 5.1.00'!$AX$3)</f>
        <v>190</v>
      </c>
      <c r="K39" s="6">
        <f>(VLOOKUP('102 5.1.00'!S39,'102 5.1.00'!$AM$4:$AO$55,2,FALSE))*IF('102 5.1.00'!AU$4="是",'102 5.1.00'!$AX$4,'102 5.1.00'!$AX$3)</f>
        <v>250</v>
      </c>
      <c r="L39" s="6">
        <f>(VLOOKUP('102 5.1.00'!T39,'102 5.1.00'!$AM$4:$AO$55,2,FALSE))*IF('102 5.1.00'!AV$4="是",'102 5.1.00'!$AX$4,'102 5.1.00'!$AX$3)</f>
        <v>190</v>
      </c>
      <c r="M39" s="6">
        <f>(VLOOKUP('102 5.1.00'!U39,'102 5.1.00'!$AM$4:$AO$55,2,FALSE))*IF('102 5.1.00'!AW$4="是",'102 5.1.00'!$AX$4,'102 5.1.00'!$AX$3)</f>
        <v>190</v>
      </c>
      <c r="N39" s="6">
        <f>(VLOOKUP('102 5.1.00'!V39,'102 5.1.00'!$AM$4:$AO$55,2,FALSE))*IF('102 5.1.00'!AX$4="是",'102 5.1.00'!$AX$4,'102 5.1.00'!$AX$3)</f>
        <v>190</v>
      </c>
      <c r="O39" s="7">
        <f>(VLOOKUP('102 5.1.00'!W39,'102 5.1.00'!$AM$4:$AO$55,2,FALSE))*IF('102 5.1.00'!AY$4="是",'102 5.1.00'!$AX$4,'102 5.1.00'!$AX$3)</f>
        <v>0</v>
      </c>
      <c r="P39" s="7">
        <f>(VLOOKUP('102 5.1.00'!X39,'102 5.1.00'!$AM$4:$AO$55,2,FALSE))*IF('102 5.1.00'!AZ$4="是",'102 5.1.00'!$AX$4,'102 5.1.00'!$AX$3)</f>
        <v>0</v>
      </c>
      <c r="Q39" s="6">
        <f>(VLOOKUP('102 5.1.00'!Y39,'102 5.1.00'!$AM$4:$AO$55,2,FALSE))*IF('102 5.1.00'!BA$4="是",'102 5.1.00'!$AX$4,'102 5.1.00'!$AX$3)</f>
        <v>0</v>
      </c>
      <c r="R39" s="6">
        <f>(VLOOKUP('102 5.1.00'!Z39,'102 5.1.00'!$AM$4:$AO$55,2,FALSE))*IF('102 5.1.00'!BB$4="是",'102 5.1.00'!$AX$4,'102 5.1.00'!$AX$3)</f>
        <v>0</v>
      </c>
      <c r="S39" s="6">
        <f>(VLOOKUP('102 5.1.00'!AA39,'102 5.1.00'!$AM$4:$AO$55,2,FALSE))*IF('102 5.1.00'!BC$4="是",'102 5.1.00'!$AX$4,'102 5.1.00'!$AX$3)</f>
        <v>0</v>
      </c>
      <c r="T39" s="6">
        <f>(VLOOKUP('102 5.1.00'!AB39,'102 5.1.00'!$AM$4:$AO$55,2,FALSE))*IF('102 5.1.00'!BD$4="是",'102 5.1.00'!$AX$4,'102 5.1.00'!$AX$3)</f>
        <v>0</v>
      </c>
      <c r="U39" s="6">
        <f>(VLOOKUP('102 5.1.00'!AC39,'102 5.1.00'!$AM$4:$AO$55,2,FALSE))*IF('102 5.1.00'!BE$4="是",'102 5.1.00'!$AX$4,'102 5.1.00'!$AX$3)</f>
        <v>0</v>
      </c>
      <c r="V39" s="6">
        <f>(VLOOKUP('102 5.1.00'!AD39,'102 5.1.00'!$AM$4:$AO$55,2,FALSE))*IF('102 5.1.00'!BF$4="是",'102 5.1.00'!$AX$4,'102 5.1.00'!$AX$3)</f>
        <v>0</v>
      </c>
      <c r="W39" s="7">
        <f>(VLOOKUP('102 5.1.00'!AE39,'102 5.1.00'!$AM$4:$AO$55,2,FALSE))*IF('102 5.1.00'!BG$4="是",'102 5.1.00'!$AX$4,'102 5.1.00'!$AX$3)</f>
        <v>0</v>
      </c>
      <c r="X39" s="7">
        <f>(VLOOKUP('102 5.1.00'!AF39,'102 5.1.00'!$AM$4:$AO$55,2,FALSE))*IF('102 5.1.00'!BH$4="是",'102 5.1.00'!$AX$4,'102 5.1.00'!$AX$3)</f>
        <v>0</v>
      </c>
    </row>
    <row r="40" spans="1:24">
      <c r="A40" s="6">
        <f>(VLOOKUP('102 5.1.00'!I40,'102 5.1.00'!$AM$4:$AO$55,2,FALSE))*IF('102 5.1.00'!AK$4="是",'102 5.1.00'!$AX$4,'102 5.1.00'!$AX$3)</f>
        <v>200</v>
      </c>
      <c r="B40" s="6">
        <f>(VLOOKUP('102 5.1.00'!J40,'102 5.1.00'!$AM$4:$AO$55,2,FALSE))*IF('102 5.1.00'!AL$4="是",'102 5.1.00'!$AX$4,'102 5.1.00'!$AX$3)</f>
        <v>200</v>
      </c>
      <c r="C40" s="6">
        <f>(VLOOKUP('102 5.1.00'!K40,'102 5.1.00'!$AM$4:$AO$55,2,FALSE))*IF('102 5.1.00'!AM$4="是",'102 5.1.00'!$AX$4,'102 5.1.00'!$AX$3)</f>
        <v>200</v>
      </c>
      <c r="D40" s="6">
        <f>(VLOOKUP('102 5.1.00'!L40,'102 5.1.00'!$AM$4:$AO$55,2,FALSE))*IF('102 5.1.00'!AN$4="是",'102 5.1.00'!$AX$4,'102 5.1.00'!$AX$3)</f>
        <v>200</v>
      </c>
      <c r="E40" s="6">
        <f>(VLOOKUP('102 5.1.00'!M40,'102 5.1.00'!$AM$4:$AO$55,2,FALSE))*IF('102 5.1.00'!AO$4="是",'102 5.1.00'!$AX$4,'102 5.1.00'!$AX$3)</f>
        <v>200</v>
      </c>
      <c r="F40" s="6">
        <f>(VLOOKUP('102 5.1.00'!N40,'102 5.1.00'!$AM$4:$AO$55,2,FALSE))*IF('102 5.1.00'!AP$4="是",'102 5.1.00'!$AX$4,'102 5.1.00'!$AX$3)</f>
        <v>200</v>
      </c>
      <c r="G40" s="7">
        <f>(VLOOKUP('102 5.1.00'!O40,'102 5.1.00'!$AM$4:$AO$55,2,FALSE))*IF('102 5.1.00'!AQ$4="是",'102 5.1.00'!$AX$4,'102 5.1.00'!$AX$3)</f>
        <v>0</v>
      </c>
      <c r="H40" s="7">
        <f>(VLOOKUP('102 5.1.00'!P40,'102 5.1.00'!$AM$4:$AO$55,2,FALSE))*IF('102 5.1.00'!AR$4="是",'102 5.1.00'!$AX$4,'102 5.1.00'!$AX$3)</f>
        <v>0</v>
      </c>
      <c r="I40" s="6">
        <f>(VLOOKUP('102 5.1.00'!Q40,'102 5.1.00'!$AM$4:$AO$55,2,FALSE))*IF('102 5.1.00'!AS$4="是",'102 5.1.00'!$AX$4,'102 5.1.00'!$AX$3)</f>
        <v>190</v>
      </c>
      <c r="J40" s="6">
        <f>(VLOOKUP('102 5.1.00'!R40,'102 5.1.00'!$AM$4:$AO$55,2,FALSE))*IF('102 5.1.00'!AT$4="是",'102 5.1.00'!$AX$4,'102 5.1.00'!$AX$3)</f>
        <v>190</v>
      </c>
      <c r="K40" s="6">
        <f>(VLOOKUP('102 5.1.00'!S40,'102 5.1.00'!$AM$4:$AO$55,2,FALSE))*IF('102 5.1.00'!AU$4="是",'102 5.1.00'!$AX$4,'102 5.1.00'!$AX$3)</f>
        <v>190</v>
      </c>
      <c r="L40" s="6">
        <f>(VLOOKUP('102 5.1.00'!T40,'102 5.1.00'!$AM$4:$AO$55,2,FALSE))*IF('102 5.1.00'!AV$4="是",'102 5.1.00'!$AX$4,'102 5.1.00'!$AX$3)</f>
        <v>190</v>
      </c>
      <c r="M40" s="6">
        <f>(VLOOKUP('102 5.1.00'!U40,'102 5.1.00'!$AM$4:$AO$55,2,FALSE))*IF('102 5.1.00'!AW$4="是",'102 5.1.00'!$AX$4,'102 5.1.00'!$AX$3)</f>
        <v>190</v>
      </c>
      <c r="N40" s="6">
        <f>(VLOOKUP('102 5.1.00'!V40,'102 5.1.00'!$AM$4:$AO$55,2,FALSE))*IF('102 5.1.00'!AX$4="是",'102 5.1.00'!$AX$4,'102 5.1.00'!$AX$3)</f>
        <v>190</v>
      </c>
      <c r="O40" s="7">
        <f>(VLOOKUP('102 5.1.00'!W40,'102 5.1.00'!$AM$4:$AO$55,2,FALSE))*IF('102 5.1.00'!AY$4="是",'102 5.1.00'!$AX$4,'102 5.1.00'!$AX$3)</f>
        <v>0</v>
      </c>
      <c r="P40" s="7">
        <f>(VLOOKUP('102 5.1.00'!X40,'102 5.1.00'!$AM$4:$AO$55,2,FALSE))*IF('102 5.1.00'!AZ$4="是",'102 5.1.00'!$AX$4,'102 5.1.00'!$AX$3)</f>
        <v>0</v>
      </c>
      <c r="Q40" s="6">
        <f>(VLOOKUP('102 5.1.00'!Y40,'102 5.1.00'!$AM$4:$AO$55,2,FALSE))*IF('102 5.1.00'!BA$4="是",'102 5.1.00'!$AX$4,'102 5.1.00'!$AX$3)</f>
        <v>0</v>
      </c>
      <c r="R40" s="6">
        <f>(VLOOKUP('102 5.1.00'!Z40,'102 5.1.00'!$AM$4:$AO$55,2,FALSE))*IF('102 5.1.00'!BB$4="是",'102 5.1.00'!$AX$4,'102 5.1.00'!$AX$3)</f>
        <v>0</v>
      </c>
      <c r="S40" s="6">
        <f>(VLOOKUP('102 5.1.00'!AA40,'102 5.1.00'!$AM$4:$AO$55,2,FALSE))*IF('102 5.1.00'!BC$4="是",'102 5.1.00'!$AX$4,'102 5.1.00'!$AX$3)</f>
        <v>0</v>
      </c>
      <c r="T40" s="6">
        <f>(VLOOKUP('102 5.1.00'!AB40,'102 5.1.00'!$AM$4:$AO$55,2,FALSE))*IF('102 5.1.00'!BD$4="是",'102 5.1.00'!$AX$4,'102 5.1.00'!$AX$3)</f>
        <v>0</v>
      </c>
      <c r="U40" s="6">
        <f>(VLOOKUP('102 5.1.00'!AC40,'102 5.1.00'!$AM$4:$AO$55,2,FALSE))*IF('102 5.1.00'!BE$4="是",'102 5.1.00'!$AX$4,'102 5.1.00'!$AX$3)</f>
        <v>0</v>
      </c>
      <c r="V40" s="6">
        <f>(VLOOKUP('102 5.1.00'!AD40,'102 5.1.00'!$AM$4:$AO$55,2,FALSE))*IF('102 5.1.00'!BF$4="是",'102 5.1.00'!$AX$4,'102 5.1.00'!$AX$3)</f>
        <v>0</v>
      </c>
      <c r="W40" s="7">
        <f>(VLOOKUP('102 5.1.00'!AE40,'102 5.1.00'!$AM$4:$AO$55,2,FALSE))*IF('102 5.1.00'!BG$4="是",'102 5.1.00'!$AX$4,'102 5.1.00'!$AX$3)</f>
        <v>0</v>
      </c>
      <c r="X40" s="7">
        <f>(VLOOKUP('102 5.1.00'!AF40,'102 5.1.00'!$AM$4:$AO$55,2,FALSE))*IF('102 5.1.00'!BH$4="是",'102 5.1.00'!$AX$4,'102 5.1.00'!$AX$3)</f>
        <v>0</v>
      </c>
    </row>
    <row r="41" spans="1:24">
      <c r="A41" s="6">
        <f>(VLOOKUP('102 5.1.00'!I41,'102 5.1.00'!$AM$4:$AO$55,2,FALSE))*IF('102 5.1.00'!AK$4="是",'102 5.1.00'!$AX$4,'102 5.1.00'!$AX$3)</f>
        <v>200</v>
      </c>
      <c r="B41" s="6">
        <f>(VLOOKUP('102 5.1.00'!J41,'102 5.1.00'!$AM$4:$AO$55,2,FALSE))*IF('102 5.1.00'!AL$4="是",'102 5.1.00'!$AX$4,'102 5.1.00'!$AX$3)</f>
        <v>200</v>
      </c>
      <c r="C41" s="6">
        <f>(VLOOKUP('102 5.1.00'!K41,'102 5.1.00'!$AM$4:$AO$55,2,FALSE))*IF('102 5.1.00'!AM$4="是",'102 5.1.00'!$AX$4,'102 5.1.00'!$AX$3)</f>
        <v>200</v>
      </c>
      <c r="D41" s="6">
        <f>(VLOOKUP('102 5.1.00'!L41,'102 5.1.00'!$AM$4:$AO$55,2,FALSE))*IF('102 5.1.00'!AN$4="是",'102 5.1.00'!$AX$4,'102 5.1.00'!$AX$3)</f>
        <v>200</v>
      </c>
      <c r="E41" s="6">
        <f>(VLOOKUP('102 5.1.00'!M41,'102 5.1.00'!$AM$4:$AO$55,2,FALSE))*IF('102 5.1.00'!AO$4="是",'102 5.1.00'!$AX$4,'102 5.1.00'!$AX$3)</f>
        <v>200</v>
      </c>
      <c r="F41" s="6">
        <f>(VLOOKUP('102 5.1.00'!N41,'102 5.1.00'!$AM$4:$AO$55,2,FALSE))*IF('102 5.1.00'!AP$4="是",'102 5.1.00'!$AX$4,'102 5.1.00'!$AX$3)</f>
        <v>200</v>
      </c>
      <c r="G41" s="7">
        <f>(VLOOKUP('102 5.1.00'!O41,'102 5.1.00'!$AM$4:$AO$55,2,FALSE))*IF('102 5.1.00'!AQ$4="是",'102 5.1.00'!$AX$4,'102 5.1.00'!$AX$3)</f>
        <v>0</v>
      </c>
      <c r="H41" s="7">
        <f>(VLOOKUP('102 5.1.00'!P41,'102 5.1.00'!$AM$4:$AO$55,2,FALSE))*IF('102 5.1.00'!AR$4="是",'102 5.1.00'!$AX$4,'102 5.1.00'!$AX$3)</f>
        <v>0</v>
      </c>
      <c r="I41" s="6">
        <f>(VLOOKUP('102 5.1.00'!Q41,'102 5.1.00'!$AM$4:$AO$55,2,FALSE))*IF('102 5.1.00'!AS$4="是",'102 5.1.00'!$AX$4,'102 5.1.00'!$AX$3)</f>
        <v>150</v>
      </c>
      <c r="J41" s="6">
        <f>(VLOOKUP('102 5.1.00'!R41,'102 5.1.00'!$AM$4:$AO$55,2,FALSE))*IF('102 5.1.00'!AT$4="是",'102 5.1.00'!$AX$4,'102 5.1.00'!$AX$3)</f>
        <v>190</v>
      </c>
      <c r="K41" s="6">
        <f>(VLOOKUP('102 5.1.00'!S41,'102 5.1.00'!$AM$4:$AO$55,2,FALSE))*IF('102 5.1.00'!AU$4="是",'102 5.1.00'!$AX$4,'102 5.1.00'!$AX$3)</f>
        <v>190</v>
      </c>
      <c r="L41" s="6">
        <f>(VLOOKUP('102 5.1.00'!T41,'102 5.1.00'!$AM$4:$AO$55,2,FALSE))*IF('102 5.1.00'!AV$4="是",'102 5.1.00'!$AX$4,'102 5.1.00'!$AX$3)</f>
        <v>190</v>
      </c>
      <c r="M41" s="6">
        <f>(VLOOKUP('102 5.1.00'!U41,'102 5.1.00'!$AM$4:$AO$55,2,FALSE))*IF('102 5.1.00'!AW$4="是",'102 5.1.00'!$AX$4,'102 5.1.00'!$AX$3)</f>
        <v>190</v>
      </c>
      <c r="N41" s="6">
        <f>(VLOOKUP('102 5.1.00'!V41,'102 5.1.00'!$AM$4:$AO$55,2,FALSE))*IF('102 5.1.00'!AX$4="是",'102 5.1.00'!$AX$4,'102 5.1.00'!$AX$3)</f>
        <v>190</v>
      </c>
      <c r="O41" s="7">
        <f>(VLOOKUP('102 5.1.00'!W41,'102 5.1.00'!$AM$4:$AO$55,2,FALSE))*IF('102 5.1.00'!AY$4="是",'102 5.1.00'!$AX$4,'102 5.1.00'!$AX$3)</f>
        <v>0</v>
      </c>
      <c r="P41" s="7">
        <f>(VLOOKUP('102 5.1.00'!X41,'102 5.1.00'!$AM$4:$AO$55,2,FALSE))*IF('102 5.1.00'!AZ$4="是",'102 5.1.00'!$AX$4,'102 5.1.00'!$AX$3)</f>
        <v>0</v>
      </c>
      <c r="Q41" s="6">
        <f>(VLOOKUP('102 5.1.00'!Y41,'102 5.1.00'!$AM$4:$AO$55,2,FALSE))*IF('102 5.1.00'!BA$4="是",'102 5.1.00'!$AX$4,'102 5.1.00'!$AX$3)</f>
        <v>0</v>
      </c>
      <c r="R41" s="6">
        <f>(VLOOKUP('102 5.1.00'!Z41,'102 5.1.00'!$AM$4:$AO$55,2,FALSE))*IF('102 5.1.00'!BB$4="是",'102 5.1.00'!$AX$4,'102 5.1.00'!$AX$3)</f>
        <v>0</v>
      </c>
      <c r="S41" s="6">
        <f>(VLOOKUP('102 5.1.00'!AA41,'102 5.1.00'!$AM$4:$AO$55,2,FALSE))*IF('102 5.1.00'!BC$4="是",'102 5.1.00'!$AX$4,'102 5.1.00'!$AX$3)</f>
        <v>0</v>
      </c>
      <c r="T41" s="6">
        <f>(VLOOKUP('102 5.1.00'!AB41,'102 5.1.00'!$AM$4:$AO$55,2,FALSE))*IF('102 5.1.00'!BD$4="是",'102 5.1.00'!$AX$4,'102 5.1.00'!$AX$3)</f>
        <v>0</v>
      </c>
      <c r="U41" s="6">
        <f>(VLOOKUP('102 5.1.00'!AC41,'102 5.1.00'!$AM$4:$AO$55,2,FALSE))*IF('102 5.1.00'!BE$4="是",'102 5.1.00'!$AX$4,'102 5.1.00'!$AX$3)</f>
        <v>0</v>
      </c>
      <c r="V41" s="6">
        <f>(VLOOKUP('102 5.1.00'!AD41,'102 5.1.00'!$AM$4:$AO$55,2,FALSE))*IF('102 5.1.00'!BF$4="是",'102 5.1.00'!$AX$4,'102 5.1.00'!$AX$3)</f>
        <v>0</v>
      </c>
      <c r="W41" s="7">
        <f>(VLOOKUP('102 5.1.00'!AE41,'102 5.1.00'!$AM$4:$AO$55,2,FALSE))*IF('102 5.1.00'!BG$4="是",'102 5.1.00'!$AX$4,'102 5.1.00'!$AX$3)</f>
        <v>0</v>
      </c>
      <c r="X41" s="7">
        <f>(VLOOKUP('102 5.1.00'!AF41,'102 5.1.00'!$AM$4:$AO$55,2,FALSE))*IF('102 5.1.00'!BH$4="是",'102 5.1.00'!$AX$4,'102 5.1.00'!$AX$3)</f>
        <v>0</v>
      </c>
    </row>
    <row r="42" spans="1:24">
      <c r="A42" s="6">
        <f>(VLOOKUP('102 5.1.00'!I42,'102 5.1.00'!$AM$4:$AO$55,2,FALSE))*IF('102 5.1.00'!AK$4="是",'102 5.1.00'!$AX$4,'102 5.1.00'!$AX$3)</f>
        <v>200</v>
      </c>
      <c r="B42" s="6">
        <f>(VLOOKUP('102 5.1.00'!J42,'102 5.1.00'!$AM$4:$AO$55,2,FALSE))*IF('102 5.1.00'!AL$4="是",'102 5.1.00'!$AX$4,'102 5.1.00'!$AX$3)</f>
        <v>200</v>
      </c>
      <c r="C42" s="6">
        <f>(VLOOKUP('102 5.1.00'!K42,'102 5.1.00'!$AM$4:$AO$55,2,FALSE))*IF('102 5.1.00'!AM$4="是",'102 5.1.00'!$AX$4,'102 5.1.00'!$AX$3)</f>
        <v>200</v>
      </c>
      <c r="D42" s="6">
        <f>(VLOOKUP('102 5.1.00'!L42,'102 5.1.00'!$AM$4:$AO$55,2,FALSE))*IF('102 5.1.00'!AN$4="是",'102 5.1.00'!$AX$4,'102 5.1.00'!$AX$3)</f>
        <v>200</v>
      </c>
      <c r="E42" s="6">
        <f>(VLOOKUP('102 5.1.00'!M42,'102 5.1.00'!$AM$4:$AO$55,2,FALSE))*IF('102 5.1.00'!AO$4="是",'102 5.1.00'!$AX$4,'102 5.1.00'!$AX$3)</f>
        <v>200</v>
      </c>
      <c r="F42" s="6">
        <f>(VLOOKUP('102 5.1.00'!N42,'102 5.1.00'!$AM$4:$AO$55,2,FALSE))*IF('102 5.1.00'!AP$4="是",'102 5.1.00'!$AX$4,'102 5.1.00'!$AX$3)</f>
        <v>200</v>
      </c>
      <c r="G42" s="7">
        <f>(VLOOKUP('102 5.1.00'!O42,'102 5.1.00'!$AM$4:$AO$55,2,FALSE))*IF('102 5.1.00'!AQ$4="是",'102 5.1.00'!$AX$4,'102 5.1.00'!$AX$3)</f>
        <v>0</v>
      </c>
      <c r="H42" s="7">
        <f>(VLOOKUP('102 5.1.00'!P42,'102 5.1.00'!$AM$4:$AO$55,2,FALSE))*IF('102 5.1.00'!AR$4="是",'102 5.1.00'!$AX$4,'102 5.1.00'!$AX$3)</f>
        <v>0</v>
      </c>
      <c r="I42" s="6">
        <f>(VLOOKUP('102 5.1.00'!Q42,'102 5.1.00'!$AM$4:$AO$55,2,FALSE))*IF('102 5.1.00'!AS$4="是",'102 5.1.00'!$AX$4,'102 5.1.00'!$AX$3)</f>
        <v>190</v>
      </c>
      <c r="J42" s="6">
        <f>(VLOOKUP('102 5.1.00'!R42,'102 5.1.00'!$AM$4:$AO$55,2,FALSE))*IF('102 5.1.00'!AT$4="是",'102 5.1.00'!$AX$4,'102 5.1.00'!$AX$3)</f>
        <v>190</v>
      </c>
      <c r="K42" s="6">
        <f>(VLOOKUP('102 5.1.00'!S42,'102 5.1.00'!$AM$4:$AO$55,2,FALSE))*IF('102 5.1.00'!AU$4="是",'102 5.1.00'!$AX$4,'102 5.1.00'!$AX$3)</f>
        <v>190</v>
      </c>
      <c r="L42" s="6">
        <f>(VLOOKUP('102 5.1.00'!T42,'102 5.1.00'!$AM$4:$AO$55,2,FALSE))*IF('102 5.1.00'!AV$4="是",'102 5.1.00'!$AX$4,'102 5.1.00'!$AX$3)</f>
        <v>190</v>
      </c>
      <c r="M42" s="6">
        <f>(VLOOKUP('102 5.1.00'!U42,'102 5.1.00'!$AM$4:$AO$55,2,FALSE))*IF('102 5.1.00'!AW$4="是",'102 5.1.00'!$AX$4,'102 5.1.00'!$AX$3)</f>
        <v>190</v>
      </c>
      <c r="N42" s="6">
        <f>(VLOOKUP('102 5.1.00'!V42,'102 5.1.00'!$AM$4:$AO$55,2,FALSE))*IF('102 5.1.00'!AX$4="是",'102 5.1.00'!$AX$4,'102 5.1.00'!$AX$3)</f>
        <v>190</v>
      </c>
      <c r="O42" s="7">
        <f>(VLOOKUP('102 5.1.00'!W42,'102 5.1.00'!$AM$4:$AO$55,2,FALSE))*IF('102 5.1.00'!AY$4="是",'102 5.1.00'!$AX$4,'102 5.1.00'!$AX$3)</f>
        <v>0</v>
      </c>
      <c r="P42" s="7">
        <f>(VLOOKUP('102 5.1.00'!X42,'102 5.1.00'!$AM$4:$AO$55,2,FALSE))*IF('102 5.1.00'!AZ$4="是",'102 5.1.00'!$AX$4,'102 5.1.00'!$AX$3)</f>
        <v>0</v>
      </c>
      <c r="Q42" s="6">
        <f>(VLOOKUP('102 5.1.00'!Y42,'102 5.1.00'!$AM$4:$AO$55,2,FALSE))*IF('102 5.1.00'!BA$4="是",'102 5.1.00'!$AX$4,'102 5.1.00'!$AX$3)</f>
        <v>0</v>
      </c>
      <c r="R42" s="6">
        <f>(VLOOKUP('102 5.1.00'!Z42,'102 5.1.00'!$AM$4:$AO$55,2,FALSE))*IF('102 5.1.00'!BB$4="是",'102 5.1.00'!$AX$4,'102 5.1.00'!$AX$3)</f>
        <v>0</v>
      </c>
      <c r="S42" s="6">
        <f>(VLOOKUP('102 5.1.00'!AA42,'102 5.1.00'!$AM$4:$AO$55,2,FALSE))*IF('102 5.1.00'!BC$4="是",'102 5.1.00'!$AX$4,'102 5.1.00'!$AX$3)</f>
        <v>0</v>
      </c>
      <c r="T42" s="6">
        <f>(VLOOKUP('102 5.1.00'!AB42,'102 5.1.00'!$AM$4:$AO$55,2,FALSE))*IF('102 5.1.00'!BD$4="是",'102 5.1.00'!$AX$4,'102 5.1.00'!$AX$3)</f>
        <v>0</v>
      </c>
      <c r="U42" s="6">
        <f>(VLOOKUP('102 5.1.00'!AC42,'102 5.1.00'!$AM$4:$AO$55,2,FALSE))*IF('102 5.1.00'!BE$4="是",'102 5.1.00'!$AX$4,'102 5.1.00'!$AX$3)</f>
        <v>0</v>
      </c>
      <c r="V42" s="6">
        <f>(VLOOKUP('102 5.1.00'!AD42,'102 5.1.00'!$AM$4:$AO$55,2,FALSE))*IF('102 5.1.00'!BF$4="是",'102 5.1.00'!$AX$4,'102 5.1.00'!$AX$3)</f>
        <v>0</v>
      </c>
      <c r="W42" s="7">
        <f>(VLOOKUP('102 5.1.00'!AE42,'102 5.1.00'!$AM$4:$AO$55,2,FALSE))*IF('102 5.1.00'!BG$4="是",'102 5.1.00'!$AX$4,'102 5.1.00'!$AX$3)</f>
        <v>0</v>
      </c>
      <c r="X42" s="7">
        <f>(VLOOKUP('102 5.1.00'!AF42,'102 5.1.00'!$AM$4:$AO$55,2,FALSE))*IF('102 5.1.00'!BH$4="是",'102 5.1.00'!$AX$4,'102 5.1.00'!$AX$3)</f>
        <v>0</v>
      </c>
    </row>
    <row r="43" spans="1:24">
      <c r="A43" s="6">
        <f>(VLOOKUP('102 5.1.00'!I43,'102 5.1.00'!$AM$4:$AO$55,2,FALSE))*IF('102 5.1.00'!AK$4="是",'102 5.1.00'!$AX$4,'102 5.1.00'!$AX$3)</f>
        <v>200</v>
      </c>
      <c r="B43" s="6">
        <f>(VLOOKUP('102 5.1.00'!J43,'102 5.1.00'!$AM$4:$AO$55,2,FALSE))*IF('102 5.1.00'!AL$4="是",'102 5.1.00'!$AX$4,'102 5.1.00'!$AX$3)</f>
        <v>200</v>
      </c>
      <c r="C43" s="6">
        <f>(VLOOKUP('102 5.1.00'!K43,'102 5.1.00'!$AM$4:$AO$55,2,FALSE))*IF('102 5.1.00'!AM$4="是",'102 5.1.00'!$AX$4,'102 5.1.00'!$AX$3)</f>
        <v>200</v>
      </c>
      <c r="D43" s="6">
        <f>(VLOOKUP('102 5.1.00'!L43,'102 5.1.00'!$AM$4:$AO$55,2,FALSE))*IF('102 5.1.00'!AN$4="是",'102 5.1.00'!$AX$4,'102 5.1.00'!$AX$3)</f>
        <v>200</v>
      </c>
      <c r="E43" s="6">
        <f>(VLOOKUP('102 5.1.00'!M43,'102 5.1.00'!$AM$4:$AO$55,2,FALSE))*IF('102 5.1.00'!AO$4="是",'102 5.1.00'!$AX$4,'102 5.1.00'!$AX$3)</f>
        <v>200</v>
      </c>
      <c r="F43" s="6">
        <f>(VLOOKUP('102 5.1.00'!N43,'102 5.1.00'!$AM$4:$AO$55,2,FALSE))*IF('102 5.1.00'!AP$4="是",'102 5.1.00'!$AX$4,'102 5.1.00'!$AX$3)</f>
        <v>200</v>
      </c>
      <c r="G43" s="7">
        <f>(VLOOKUP('102 5.1.00'!O43,'102 5.1.00'!$AM$4:$AO$55,2,FALSE))*IF('102 5.1.00'!AQ$4="是",'102 5.1.00'!$AX$4,'102 5.1.00'!$AX$3)</f>
        <v>0</v>
      </c>
      <c r="H43" s="7">
        <f>(VLOOKUP('102 5.1.00'!P43,'102 5.1.00'!$AM$4:$AO$55,2,FALSE))*IF('102 5.1.00'!AR$4="是",'102 5.1.00'!$AX$4,'102 5.1.00'!$AX$3)</f>
        <v>0</v>
      </c>
      <c r="I43" s="6">
        <f>(VLOOKUP('102 5.1.00'!Q43,'102 5.1.00'!$AM$4:$AO$55,2,FALSE))*IF('102 5.1.00'!AS$4="是",'102 5.1.00'!$AX$4,'102 5.1.00'!$AX$3)</f>
        <v>190</v>
      </c>
      <c r="J43" s="6">
        <f>(VLOOKUP('102 5.1.00'!R43,'102 5.1.00'!$AM$4:$AO$55,2,FALSE))*IF('102 5.1.00'!AT$4="是",'102 5.1.00'!$AX$4,'102 5.1.00'!$AX$3)</f>
        <v>190</v>
      </c>
      <c r="K43" s="6">
        <f>(VLOOKUP('102 5.1.00'!S43,'102 5.1.00'!$AM$4:$AO$55,2,FALSE))*IF('102 5.1.00'!AU$4="是",'102 5.1.00'!$AX$4,'102 5.1.00'!$AX$3)</f>
        <v>190</v>
      </c>
      <c r="L43" s="6">
        <f>(VLOOKUP('102 5.1.00'!T43,'102 5.1.00'!$AM$4:$AO$55,2,FALSE))*IF('102 5.1.00'!AV$4="是",'102 5.1.00'!$AX$4,'102 5.1.00'!$AX$3)</f>
        <v>190</v>
      </c>
      <c r="M43" s="6">
        <f>(VLOOKUP('102 5.1.00'!U43,'102 5.1.00'!$AM$4:$AO$55,2,FALSE))*IF('102 5.1.00'!AW$4="是",'102 5.1.00'!$AX$4,'102 5.1.00'!$AX$3)</f>
        <v>190</v>
      </c>
      <c r="N43" s="6">
        <f>(VLOOKUP('102 5.1.00'!V43,'102 5.1.00'!$AM$4:$AO$55,2,FALSE))*IF('102 5.1.00'!AX$4="是",'102 5.1.00'!$AX$4,'102 5.1.00'!$AX$3)</f>
        <v>190</v>
      </c>
      <c r="O43" s="7">
        <f>(VLOOKUP('102 5.1.00'!W43,'102 5.1.00'!$AM$4:$AO$55,2,FALSE))*IF('102 5.1.00'!AY$4="是",'102 5.1.00'!$AX$4,'102 5.1.00'!$AX$3)</f>
        <v>0</v>
      </c>
      <c r="P43" s="7">
        <f>(VLOOKUP('102 5.1.00'!X43,'102 5.1.00'!$AM$4:$AO$55,2,FALSE))*IF('102 5.1.00'!AZ$4="是",'102 5.1.00'!$AX$4,'102 5.1.00'!$AX$3)</f>
        <v>0</v>
      </c>
      <c r="Q43" s="6">
        <f>(VLOOKUP('102 5.1.00'!Y43,'102 5.1.00'!$AM$4:$AO$55,2,FALSE))*IF('102 5.1.00'!BA$4="是",'102 5.1.00'!$AX$4,'102 5.1.00'!$AX$3)</f>
        <v>0</v>
      </c>
      <c r="R43" s="6">
        <f>(VLOOKUP('102 5.1.00'!Z43,'102 5.1.00'!$AM$4:$AO$55,2,FALSE))*IF('102 5.1.00'!BB$4="是",'102 5.1.00'!$AX$4,'102 5.1.00'!$AX$3)</f>
        <v>0</v>
      </c>
      <c r="S43" s="6">
        <f>(VLOOKUP('102 5.1.00'!AA43,'102 5.1.00'!$AM$4:$AO$55,2,FALSE))*IF('102 5.1.00'!BC$4="是",'102 5.1.00'!$AX$4,'102 5.1.00'!$AX$3)</f>
        <v>0</v>
      </c>
      <c r="T43" s="6">
        <f>(VLOOKUP('102 5.1.00'!AB43,'102 5.1.00'!$AM$4:$AO$55,2,FALSE))*IF('102 5.1.00'!BD$4="是",'102 5.1.00'!$AX$4,'102 5.1.00'!$AX$3)</f>
        <v>0</v>
      </c>
      <c r="U43" s="6">
        <f>(VLOOKUP('102 5.1.00'!AC43,'102 5.1.00'!$AM$4:$AO$55,2,FALSE))*IF('102 5.1.00'!BE$4="是",'102 5.1.00'!$AX$4,'102 5.1.00'!$AX$3)</f>
        <v>0</v>
      </c>
      <c r="V43" s="6">
        <f>(VLOOKUP('102 5.1.00'!AD43,'102 5.1.00'!$AM$4:$AO$55,2,FALSE))*IF('102 5.1.00'!BF$4="是",'102 5.1.00'!$AX$4,'102 5.1.00'!$AX$3)</f>
        <v>0</v>
      </c>
      <c r="W43" s="7">
        <f>(VLOOKUP('102 5.1.00'!AE43,'102 5.1.00'!$AM$4:$AO$55,2,FALSE))*IF('102 5.1.00'!BG$4="是",'102 5.1.00'!$AX$4,'102 5.1.00'!$AX$3)</f>
        <v>0</v>
      </c>
      <c r="X43" s="7">
        <f>(VLOOKUP('102 5.1.00'!AF43,'102 5.1.00'!$AM$4:$AO$55,2,FALSE))*IF('102 5.1.00'!BH$4="是",'102 5.1.00'!$AX$4,'102 5.1.00'!$AX$3)</f>
        <v>0</v>
      </c>
    </row>
    <row r="44" spans="1:24">
      <c r="A44" s="6">
        <f>(VLOOKUP('102 5.1.00'!I44,'102 5.1.00'!$AM$4:$AO$55,2,FALSE))*IF('102 5.1.00'!AK$4="是",'102 5.1.00'!$AX$4,'102 5.1.00'!$AX$3)</f>
        <v>200</v>
      </c>
      <c r="B44" s="6">
        <f>(VLOOKUP('102 5.1.00'!J44,'102 5.1.00'!$AM$4:$AO$55,2,FALSE))*IF('102 5.1.00'!AL$4="是",'102 5.1.00'!$AX$4,'102 5.1.00'!$AX$3)</f>
        <v>200</v>
      </c>
      <c r="C44" s="6">
        <f>(VLOOKUP('102 5.1.00'!K44,'102 5.1.00'!$AM$4:$AO$55,2,FALSE))*IF('102 5.1.00'!AM$4="是",'102 5.1.00'!$AX$4,'102 5.1.00'!$AX$3)</f>
        <v>200</v>
      </c>
      <c r="D44" s="6">
        <f>(VLOOKUP('102 5.1.00'!L44,'102 5.1.00'!$AM$4:$AO$55,2,FALSE))*IF('102 5.1.00'!AN$4="是",'102 5.1.00'!$AX$4,'102 5.1.00'!$AX$3)</f>
        <v>200</v>
      </c>
      <c r="E44" s="6">
        <f>(VLOOKUP('102 5.1.00'!M44,'102 5.1.00'!$AM$4:$AO$55,2,FALSE))*IF('102 5.1.00'!AO$4="是",'102 5.1.00'!$AX$4,'102 5.1.00'!$AX$3)</f>
        <v>200</v>
      </c>
      <c r="F44" s="6">
        <f>(VLOOKUP('102 5.1.00'!N44,'102 5.1.00'!$AM$4:$AO$55,2,FALSE))*IF('102 5.1.00'!AP$4="是",'102 5.1.00'!$AX$4,'102 5.1.00'!$AX$3)</f>
        <v>200</v>
      </c>
      <c r="G44" s="7">
        <f>(VLOOKUP('102 5.1.00'!O44,'102 5.1.00'!$AM$4:$AO$55,2,FALSE))*IF('102 5.1.00'!AQ$4="是",'102 5.1.00'!$AX$4,'102 5.1.00'!$AX$3)</f>
        <v>0</v>
      </c>
      <c r="H44" s="7">
        <f>(VLOOKUP('102 5.1.00'!P44,'102 5.1.00'!$AM$4:$AO$55,2,FALSE))*IF('102 5.1.00'!AR$4="是",'102 5.1.00'!$AX$4,'102 5.1.00'!$AX$3)</f>
        <v>0</v>
      </c>
      <c r="I44" s="6">
        <f>(VLOOKUP('102 5.1.00'!Q44,'102 5.1.00'!$AM$4:$AO$55,2,FALSE))*IF('102 5.1.00'!AS$4="是",'102 5.1.00'!$AX$4,'102 5.1.00'!$AX$3)</f>
        <v>190</v>
      </c>
      <c r="J44" s="6">
        <f>(VLOOKUP('102 5.1.00'!R44,'102 5.1.00'!$AM$4:$AO$55,2,FALSE))*IF('102 5.1.00'!AT$4="是",'102 5.1.00'!$AX$4,'102 5.1.00'!$AX$3)</f>
        <v>50</v>
      </c>
      <c r="K44" s="6">
        <f>(VLOOKUP('102 5.1.00'!S44,'102 5.1.00'!$AM$4:$AO$55,2,FALSE))*IF('102 5.1.00'!AU$4="是",'102 5.1.00'!$AX$4,'102 5.1.00'!$AX$3)</f>
        <v>190</v>
      </c>
      <c r="L44" s="6">
        <f>(VLOOKUP('102 5.1.00'!T44,'102 5.1.00'!$AM$4:$AO$55,2,FALSE))*IF('102 5.1.00'!AV$4="是",'102 5.1.00'!$AX$4,'102 5.1.00'!$AX$3)</f>
        <v>190</v>
      </c>
      <c r="M44" s="6">
        <f>(VLOOKUP('102 5.1.00'!U44,'102 5.1.00'!$AM$4:$AO$55,2,FALSE))*IF('102 5.1.00'!AW$4="是",'102 5.1.00'!$AX$4,'102 5.1.00'!$AX$3)</f>
        <v>190</v>
      </c>
      <c r="N44" s="6">
        <f>(VLOOKUP('102 5.1.00'!V44,'102 5.1.00'!$AM$4:$AO$55,2,FALSE))*IF('102 5.1.00'!AX$4="是",'102 5.1.00'!$AX$4,'102 5.1.00'!$AX$3)</f>
        <v>190</v>
      </c>
      <c r="O44" s="7">
        <f>(VLOOKUP('102 5.1.00'!W44,'102 5.1.00'!$AM$4:$AO$55,2,FALSE))*IF('102 5.1.00'!AY$4="是",'102 5.1.00'!$AX$4,'102 5.1.00'!$AX$3)</f>
        <v>0</v>
      </c>
      <c r="P44" s="7">
        <f>(VLOOKUP('102 5.1.00'!X44,'102 5.1.00'!$AM$4:$AO$55,2,FALSE))*IF('102 5.1.00'!AZ$4="是",'102 5.1.00'!$AX$4,'102 5.1.00'!$AX$3)</f>
        <v>0</v>
      </c>
      <c r="Q44" s="6">
        <f>(VLOOKUP('102 5.1.00'!Y44,'102 5.1.00'!$AM$4:$AO$55,2,FALSE))*IF('102 5.1.00'!BA$4="是",'102 5.1.00'!$AX$4,'102 5.1.00'!$AX$3)</f>
        <v>0</v>
      </c>
      <c r="R44" s="6">
        <f>(VLOOKUP('102 5.1.00'!Z44,'102 5.1.00'!$AM$4:$AO$55,2,FALSE))*IF('102 5.1.00'!BB$4="是",'102 5.1.00'!$AX$4,'102 5.1.00'!$AX$3)</f>
        <v>0</v>
      </c>
      <c r="S44" s="6">
        <f>(VLOOKUP('102 5.1.00'!AA44,'102 5.1.00'!$AM$4:$AO$55,2,FALSE))*IF('102 5.1.00'!BC$4="是",'102 5.1.00'!$AX$4,'102 5.1.00'!$AX$3)</f>
        <v>0</v>
      </c>
      <c r="T44" s="6">
        <f>(VLOOKUP('102 5.1.00'!AB44,'102 5.1.00'!$AM$4:$AO$55,2,FALSE))*IF('102 5.1.00'!BD$4="是",'102 5.1.00'!$AX$4,'102 5.1.00'!$AX$3)</f>
        <v>0</v>
      </c>
      <c r="U44" s="6">
        <f>(VLOOKUP('102 5.1.00'!AC44,'102 5.1.00'!$AM$4:$AO$55,2,FALSE))*IF('102 5.1.00'!BE$4="是",'102 5.1.00'!$AX$4,'102 5.1.00'!$AX$3)</f>
        <v>0</v>
      </c>
      <c r="V44" s="6">
        <f>(VLOOKUP('102 5.1.00'!AD44,'102 5.1.00'!$AM$4:$AO$55,2,FALSE))*IF('102 5.1.00'!BF$4="是",'102 5.1.00'!$AX$4,'102 5.1.00'!$AX$3)</f>
        <v>0</v>
      </c>
      <c r="W44" s="7">
        <f>(VLOOKUP('102 5.1.00'!AE44,'102 5.1.00'!$AM$4:$AO$55,2,FALSE))*IF('102 5.1.00'!BG$4="是",'102 5.1.00'!$AX$4,'102 5.1.00'!$AX$3)</f>
        <v>0</v>
      </c>
      <c r="X44" s="7">
        <f>(VLOOKUP('102 5.1.00'!AF44,'102 5.1.00'!$AM$4:$AO$55,2,FALSE))*IF('102 5.1.00'!BH$4="是",'102 5.1.00'!$AX$4,'102 5.1.00'!$AX$3)</f>
        <v>0</v>
      </c>
    </row>
    <row r="45" spans="1:24">
      <c r="A45" s="6">
        <f>(VLOOKUP('102 5.1.00'!I45,'102 5.1.00'!$AM$4:$AO$55,2,FALSE))*IF('102 5.1.00'!AK$4="是",'102 5.1.00'!$AX$4,'102 5.1.00'!$AX$3)</f>
        <v>200</v>
      </c>
      <c r="B45" s="6">
        <f>(VLOOKUP('102 5.1.00'!J45,'102 5.1.00'!$AM$4:$AO$55,2,FALSE))*IF('102 5.1.00'!AL$4="是",'102 5.1.00'!$AX$4,'102 5.1.00'!$AX$3)</f>
        <v>200</v>
      </c>
      <c r="C45" s="6">
        <f>(VLOOKUP('102 5.1.00'!K45,'102 5.1.00'!$AM$4:$AO$55,2,FALSE))*IF('102 5.1.00'!AM$4="是",'102 5.1.00'!$AX$4,'102 5.1.00'!$AX$3)</f>
        <v>200</v>
      </c>
      <c r="D45" s="6">
        <f>(VLOOKUP('102 5.1.00'!L45,'102 5.1.00'!$AM$4:$AO$55,2,FALSE))*IF('102 5.1.00'!AN$4="是",'102 5.1.00'!$AX$4,'102 5.1.00'!$AX$3)</f>
        <v>200</v>
      </c>
      <c r="E45" s="6">
        <f>(VLOOKUP('102 5.1.00'!M45,'102 5.1.00'!$AM$4:$AO$55,2,FALSE))*IF('102 5.1.00'!AO$4="是",'102 5.1.00'!$AX$4,'102 5.1.00'!$AX$3)</f>
        <v>200</v>
      </c>
      <c r="F45" s="6">
        <f>(VLOOKUP('102 5.1.00'!N45,'102 5.1.00'!$AM$4:$AO$55,2,FALSE))*IF('102 5.1.00'!AP$4="是",'102 5.1.00'!$AX$4,'102 5.1.00'!$AX$3)</f>
        <v>200</v>
      </c>
      <c r="G45" s="7">
        <f>(VLOOKUP('102 5.1.00'!O45,'102 5.1.00'!$AM$4:$AO$55,2,FALSE))*IF('102 5.1.00'!AQ$4="是",'102 5.1.00'!$AX$4,'102 5.1.00'!$AX$3)</f>
        <v>0</v>
      </c>
      <c r="H45" s="7">
        <f>(VLOOKUP('102 5.1.00'!P45,'102 5.1.00'!$AM$4:$AO$55,2,FALSE))*IF('102 5.1.00'!AR$4="是",'102 5.1.00'!$AX$4,'102 5.1.00'!$AX$3)</f>
        <v>0</v>
      </c>
      <c r="I45" s="6">
        <f>(VLOOKUP('102 5.1.00'!Q45,'102 5.1.00'!$AM$4:$AO$55,2,FALSE))*IF('102 5.1.00'!AS$4="是",'102 5.1.00'!$AX$4,'102 5.1.00'!$AX$3)</f>
        <v>190</v>
      </c>
      <c r="J45" s="6">
        <f>(VLOOKUP('102 5.1.00'!R45,'102 5.1.00'!$AM$4:$AO$55,2,FALSE))*IF('102 5.1.00'!AT$4="是",'102 5.1.00'!$AX$4,'102 5.1.00'!$AX$3)</f>
        <v>190</v>
      </c>
      <c r="K45" s="6">
        <f>(VLOOKUP('102 5.1.00'!S45,'102 5.1.00'!$AM$4:$AO$55,2,FALSE))*IF('102 5.1.00'!AU$4="是",'102 5.1.00'!$AX$4,'102 5.1.00'!$AX$3)</f>
        <v>190</v>
      </c>
      <c r="L45" s="6">
        <f>(VLOOKUP('102 5.1.00'!T45,'102 5.1.00'!$AM$4:$AO$55,2,FALSE))*IF('102 5.1.00'!AV$4="是",'102 5.1.00'!$AX$4,'102 5.1.00'!$AX$3)</f>
        <v>190</v>
      </c>
      <c r="M45" s="6">
        <f>(VLOOKUP('102 5.1.00'!U45,'102 5.1.00'!$AM$4:$AO$55,2,FALSE))*IF('102 5.1.00'!AW$4="是",'102 5.1.00'!$AX$4,'102 5.1.00'!$AX$3)</f>
        <v>190</v>
      </c>
      <c r="N45" s="6">
        <f>(VLOOKUP('102 5.1.00'!V45,'102 5.1.00'!$AM$4:$AO$55,2,FALSE))*IF('102 5.1.00'!AX$4="是",'102 5.1.00'!$AX$4,'102 5.1.00'!$AX$3)</f>
        <v>190</v>
      </c>
      <c r="O45" s="7">
        <f>(VLOOKUP('102 5.1.00'!W45,'102 5.1.00'!$AM$4:$AO$55,2,FALSE))*IF('102 5.1.00'!AY$4="是",'102 5.1.00'!$AX$4,'102 5.1.00'!$AX$3)</f>
        <v>0</v>
      </c>
      <c r="P45" s="7">
        <f>(VLOOKUP('102 5.1.00'!X45,'102 5.1.00'!$AM$4:$AO$55,2,FALSE))*IF('102 5.1.00'!AZ$4="是",'102 5.1.00'!$AX$4,'102 5.1.00'!$AX$3)</f>
        <v>0</v>
      </c>
      <c r="Q45" s="6">
        <f>(VLOOKUP('102 5.1.00'!Y45,'102 5.1.00'!$AM$4:$AO$55,2,FALSE))*IF('102 5.1.00'!BA$4="是",'102 5.1.00'!$AX$4,'102 5.1.00'!$AX$3)</f>
        <v>0</v>
      </c>
      <c r="R45" s="6">
        <f>(VLOOKUP('102 5.1.00'!Z45,'102 5.1.00'!$AM$4:$AO$55,2,FALSE))*IF('102 5.1.00'!BB$4="是",'102 5.1.00'!$AX$4,'102 5.1.00'!$AX$3)</f>
        <v>0</v>
      </c>
      <c r="S45" s="6">
        <f>(VLOOKUP('102 5.1.00'!AA45,'102 5.1.00'!$AM$4:$AO$55,2,FALSE))*IF('102 5.1.00'!BC$4="是",'102 5.1.00'!$AX$4,'102 5.1.00'!$AX$3)</f>
        <v>0</v>
      </c>
      <c r="T45" s="6">
        <f>(VLOOKUP('102 5.1.00'!AB45,'102 5.1.00'!$AM$4:$AO$55,2,FALSE))*IF('102 5.1.00'!BD$4="是",'102 5.1.00'!$AX$4,'102 5.1.00'!$AX$3)</f>
        <v>0</v>
      </c>
      <c r="U45" s="6">
        <f>(VLOOKUP('102 5.1.00'!AC45,'102 5.1.00'!$AM$4:$AO$55,2,FALSE))*IF('102 5.1.00'!BE$4="是",'102 5.1.00'!$AX$4,'102 5.1.00'!$AX$3)</f>
        <v>0</v>
      </c>
      <c r="V45" s="6">
        <f>(VLOOKUP('102 5.1.00'!AD45,'102 5.1.00'!$AM$4:$AO$55,2,FALSE))*IF('102 5.1.00'!BF$4="是",'102 5.1.00'!$AX$4,'102 5.1.00'!$AX$3)</f>
        <v>0</v>
      </c>
      <c r="W45" s="7">
        <f>(VLOOKUP('102 5.1.00'!AE45,'102 5.1.00'!$AM$4:$AO$55,2,FALSE))*IF('102 5.1.00'!BG$4="是",'102 5.1.00'!$AX$4,'102 5.1.00'!$AX$3)</f>
        <v>0</v>
      </c>
      <c r="X45" s="7">
        <f>(VLOOKUP('102 5.1.00'!AF45,'102 5.1.00'!$AM$4:$AO$55,2,FALSE))*IF('102 5.1.00'!BH$4="是",'102 5.1.00'!$AX$4,'102 5.1.00'!$AX$3)</f>
        <v>0</v>
      </c>
    </row>
    <row r="46" spans="1:24">
      <c r="A46" s="6">
        <f>(VLOOKUP('102 5.1.00'!I46,'102 5.1.00'!$AM$4:$AO$55,2,FALSE))*IF('102 5.1.00'!AK$4="是",'102 5.1.00'!$AX$4,'102 5.1.00'!$AX$3)</f>
        <v>200</v>
      </c>
      <c r="B46" s="6">
        <f>(VLOOKUP('102 5.1.00'!J46,'102 5.1.00'!$AM$4:$AO$55,2,FALSE))*IF('102 5.1.00'!AL$4="是",'102 5.1.00'!$AX$4,'102 5.1.00'!$AX$3)</f>
        <v>200</v>
      </c>
      <c r="C46" s="6">
        <f>(VLOOKUP('102 5.1.00'!K46,'102 5.1.00'!$AM$4:$AO$55,2,FALSE))*IF('102 5.1.00'!AM$4="是",'102 5.1.00'!$AX$4,'102 5.1.00'!$AX$3)</f>
        <v>200</v>
      </c>
      <c r="D46" s="6">
        <f>(VLOOKUP('102 5.1.00'!L46,'102 5.1.00'!$AM$4:$AO$55,2,FALSE))*IF('102 5.1.00'!AN$4="是",'102 5.1.00'!$AX$4,'102 5.1.00'!$AX$3)</f>
        <v>200</v>
      </c>
      <c r="E46" s="6">
        <f>(VLOOKUP('102 5.1.00'!M46,'102 5.1.00'!$AM$4:$AO$55,2,FALSE))*IF('102 5.1.00'!AO$4="是",'102 5.1.00'!$AX$4,'102 5.1.00'!$AX$3)</f>
        <v>200</v>
      </c>
      <c r="F46" s="6">
        <f>(VLOOKUP('102 5.1.00'!N46,'102 5.1.00'!$AM$4:$AO$55,2,FALSE))*IF('102 5.1.00'!AP$4="是",'102 5.1.00'!$AX$4,'102 5.1.00'!$AX$3)</f>
        <v>200</v>
      </c>
      <c r="G46" s="7">
        <f>(VLOOKUP('102 5.1.00'!O46,'102 5.1.00'!$AM$4:$AO$55,2,FALSE))*IF('102 5.1.00'!AQ$4="是",'102 5.1.00'!$AX$4,'102 5.1.00'!$AX$3)</f>
        <v>0</v>
      </c>
      <c r="H46" s="7">
        <f>(VLOOKUP('102 5.1.00'!P46,'102 5.1.00'!$AM$4:$AO$55,2,FALSE))*IF('102 5.1.00'!AR$4="是",'102 5.1.00'!$AX$4,'102 5.1.00'!$AX$3)</f>
        <v>0</v>
      </c>
      <c r="I46" s="6">
        <f>(VLOOKUP('102 5.1.00'!Q46,'102 5.1.00'!$AM$4:$AO$55,2,FALSE))*IF('102 5.1.00'!AS$4="是",'102 5.1.00'!$AX$4,'102 5.1.00'!$AX$3)</f>
        <v>190</v>
      </c>
      <c r="J46" s="6">
        <f>(VLOOKUP('102 5.1.00'!R46,'102 5.1.00'!$AM$4:$AO$55,2,FALSE))*IF('102 5.1.00'!AT$4="是",'102 5.1.00'!$AX$4,'102 5.1.00'!$AX$3)</f>
        <v>190</v>
      </c>
      <c r="K46" s="6">
        <f>(VLOOKUP('102 5.1.00'!S46,'102 5.1.00'!$AM$4:$AO$55,2,FALSE))*IF('102 5.1.00'!AU$4="是",'102 5.1.00'!$AX$4,'102 5.1.00'!$AX$3)</f>
        <v>190</v>
      </c>
      <c r="L46" s="6">
        <f>(VLOOKUP('102 5.1.00'!T46,'102 5.1.00'!$AM$4:$AO$55,2,FALSE))*IF('102 5.1.00'!AV$4="是",'102 5.1.00'!$AX$4,'102 5.1.00'!$AX$3)</f>
        <v>190</v>
      </c>
      <c r="M46" s="6">
        <f>(VLOOKUP('102 5.1.00'!U46,'102 5.1.00'!$AM$4:$AO$55,2,FALSE))*IF('102 5.1.00'!AW$4="是",'102 5.1.00'!$AX$4,'102 5.1.00'!$AX$3)</f>
        <v>0</v>
      </c>
      <c r="N46" s="6">
        <f>(VLOOKUP('102 5.1.00'!V46,'102 5.1.00'!$AM$4:$AO$55,2,FALSE))*IF('102 5.1.00'!AX$4="是",'102 5.1.00'!$AX$4,'102 5.1.00'!$AX$3)</f>
        <v>0</v>
      </c>
      <c r="O46" s="7">
        <f>(VLOOKUP('102 5.1.00'!W46,'102 5.1.00'!$AM$4:$AO$55,2,FALSE))*IF('102 5.1.00'!AY$4="是",'102 5.1.00'!$AX$4,'102 5.1.00'!$AX$3)</f>
        <v>0</v>
      </c>
      <c r="P46" s="7">
        <f>(VLOOKUP('102 5.1.00'!X46,'102 5.1.00'!$AM$4:$AO$55,2,FALSE))*IF('102 5.1.00'!AZ$4="是",'102 5.1.00'!$AX$4,'102 5.1.00'!$AX$3)</f>
        <v>0</v>
      </c>
      <c r="Q46" s="6">
        <f>(VLOOKUP('102 5.1.00'!Y46,'102 5.1.00'!$AM$4:$AO$55,2,FALSE))*IF('102 5.1.00'!BA$4="是",'102 5.1.00'!$AX$4,'102 5.1.00'!$AX$3)</f>
        <v>0</v>
      </c>
      <c r="R46" s="6">
        <f>(VLOOKUP('102 5.1.00'!Z46,'102 5.1.00'!$AM$4:$AO$55,2,FALSE))*IF('102 5.1.00'!BB$4="是",'102 5.1.00'!$AX$4,'102 5.1.00'!$AX$3)</f>
        <v>0</v>
      </c>
      <c r="S46" s="6">
        <f>(VLOOKUP('102 5.1.00'!AA46,'102 5.1.00'!$AM$4:$AO$55,2,FALSE))*IF('102 5.1.00'!BC$4="是",'102 5.1.00'!$AX$4,'102 5.1.00'!$AX$3)</f>
        <v>0</v>
      </c>
      <c r="T46" s="6">
        <f>(VLOOKUP('102 5.1.00'!AB46,'102 5.1.00'!$AM$4:$AO$55,2,FALSE))*IF('102 5.1.00'!BD$4="是",'102 5.1.00'!$AX$4,'102 5.1.00'!$AX$3)</f>
        <v>0</v>
      </c>
      <c r="U46" s="6">
        <f>(VLOOKUP('102 5.1.00'!AC46,'102 5.1.00'!$AM$4:$AO$55,2,FALSE))*IF('102 5.1.00'!BE$4="是",'102 5.1.00'!$AX$4,'102 5.1.00'!$AX$3)</f>
        <v>0</v>
      </c>
      <c r="V46" s="6">
        <f>(VLOOKUP('102 5.1.00'!AD46,'102 5.1.00'!$AM$4:$AO$55,2,FALSE))*IF('102 5.1.00'!BF$4="是",'102 5.1.00'!$AX$4,'102 5.1.00'!$AX$3)</f>
        <v>0</v>
      </c>
      <c r="W46" s="7">
        <f>(VLOOKUP('102 5.1.00'!AE46,'102 5.1.00'!$AM$4:$AO$55,2,FALSE))*IF('102 5.1.00'!BG$4="是",'102 5.1.00'!$AX$4,'102 5.1.00'!$AX$3)</f>
        <v>0</v>
      </c>
      <c r="X46" s="7">
        <f>(VLOOKUP('102 5.1.00'!AF46,'102 5.1.00'!$AM$4:$AO$55,2,FALSE))*IF('102 5.1.00'!BH$4="是",'102 5.1.00'!$AX$4,'102 5.1.00'!$AX$3)</f>
        <v>0</v>
      </c>
    </row>
    <row r="47" spans="1:24">
      <c r="A47" s="6">
        <f>(VLOOKUP('102 5.1.00'!I47,'102 5.1.00'!$AM$4:$AO$55,2,FALSE))*IF('102 5.1.00'!AK$4="是",'102 5.1.00'!$AX$4,'102 5.1.00'!$AX$3)</f>
        <v>200</v>
      </c>
      <c r="B47" s="6">
        <f>(VLOOKUP('102 5.1.00'!J47,'102 5.1.00'!$AM$4:$AO$55,2,FALSE))*IF('102 5.1.00'!AL$4="是",'102 5.1.00'!$AX$4,'102 5.1.00'!$AX$3)</f>
        <v>200</v>
      </c>
      <c r="C47" s="6">
        <f>(VLOOKUP('102 5.1.00'!K47,'102 5.1.00'!$AM$4:$AO$55,2,FALSE))*IF('102 5.1.00'!AM$4="是",'102 5.1.00'!$AX$4,'102 5.1.00'!$AX$3)</f>
        <v>200</v>
      </c>
      <c r="D47" s="6">
        <f>(VLOOKUP('102 5.1.00'!L47,'102 5.1.00'!$AM$4:$AO$55,2,FALSE))*IF('102 5.1.00'!AN$4="是",'102 5.1.00'!$AX$4,'102 5.1.00'!$AX$3)</f>
        <v>200</v>
      </c>
      <c r="E47" s="6">
        <f>(VLOOKUP('102 5.1.00'!M47,'102 5.1.00'!$AM$4:$AO$55,2,FALSE))*IF('102 5.1.00'!AO$4="是",'102 5.1.00'!$AX$4,'102 5.1.00'!$AX$3)</f>
        <v>200</v>
      </c>
      <c r="F47" s="6">
        <f>(VLOOKUP('102 5.1.00'!N47,'102 5.1.00'!$AM$4:$AO$55,2,FALSE))*IF('102 5.1.00'!AP$4="是",'102 5.1.00'!$AX$4,'102 5.1.00'!$AX$3)</f>
        <v>200</v>
      </c>
      <c r="G47" s="7">
        <f>(VLOOKUP('102 5.1.00'!O47,'102 5.1.00'!$AM$4:$AO$55,2,FALSE))*IF('102 5.1.00'!AQ$4="是",'102 5.1.00'!$AX$4,'102 5.1.00'!$AX$3)</f>
        <v>-200</v>
      </c>
      <c r="H47" s="7">
        <f>(VLOOKUP('102 5.1.00'!P47,'102 5.1.00'!$AM$4:$AO$55,2,FALSE))*IF('102 5.1.00'!AR$4="是",'102 5.1.00'!$AX$4,'102 5.1.00'!$AX$3)</f>
        <v>200</v>
      </c>
      <c r="I47" s="6">
        <f>(VLOOKUP('102 5.1.00'!Q47,'102 5.1.00'!$AM$4:$AO$55,2,FALSE))*IF('102 5.1.00'!AS$4="是",'102 5.1.00'!$AX$4,'102 5.1.00'!$AX$3)</f>
        <v>190</v>
      </c>
      <c r="J47" s="6">
        <f>(VLOOKUP('102 5.1.00'!R47,'102 5.1.00'!$AM$4:$AO$55,2,FALSE))*IF('102 5.1.00'!AT$4="是",'102 5.1.00'!$AX$4,'102 5.1.00'!$AX$3)</f>
        <v>190</v>
      </c>
      <c r="K47" s="6">
        <f>(VLOOKUP('102 5.1.00'!S47,'102 5.1.00'!$AM$4:$AO$55,2,FALSE))*IF('102 5.1.00'!AU$4="是",'102 5.1.00'!$AX$4,'102 5.1.00'!$AX$3)</f>
        <v>190</v>
      </c>
      <c r="L47" s="6">
        <f>(VLOOKUP('102 5.1.00'!T47,'102 5.1.00'!$AM$4:$AO$55,2,FALSE))*IF('102 5.1.00'!AV$4="是",'102 5.1.00'!$AX$4,'102 5.1.00'!$AX$3)</f>
        <v>190</v>
      </c>
      <c r="M47" s="6">
        <f>(VLOOKUP('102 5.1.00'!U47,'102 5.1.00'!$AM$4:$AO$55,2,FALSE))*IF('102 5.1.00'!AW$4="是",'102 5.1.00'!$AX$4,'102 5.1.00'!$AX$3)</f>
        <v>0</v>
      </c>
      <c r="N47" s="6">
        <f>(VLOOKUP('102 5.1.00'!V47,'102 5.1.00'!$AM$4:$AO$55,2,FALSE))*IF('102 5.1.00'!AX$4="是",'102 5.1.00'!$AX$4,'102 5.1.00'!$AX$3)</f>
        <v>0</v>
      </c>
      <c r="O47" s="7">
        <f>(VLOOKUP('102 5.1.00'!W47,'102 5.1.00'!$AM$4:$AO$55,2,FALSE))*IF('102 5.1.00'!AY$4="是",'102 5.1.00'!$AX$4,'102 5.1.00'!$AX$3)</f>
        <v>0</v>
      </c>
      <c r="P47" s="7">
        <f>(VLOOKUP('102 5.1.00'!X47,'102 5.1.00'!$AM$4:$AO$55,2,FALSE))*IF('102 5.1.00'!AZ$4="是",'102 5.1.00'!$AX$4,'102 5.1.00'!$AX$3)</f>
        <v>0</v>
      </c>
      <c r="Q47" s="6">
        <f>(VLOOKUP('102 5.1.00'!Y47,'102 5.1.00'!$AM$4:$AO$55,2,FALSE))*IF('102 5.1.00'!BA$4="是",'102 5.1.00'!$AX$4,'102 5.1.00'!$AX$3)</f>
        <v>0</v>
      </c>
      <c r="R47" s="6">
        <f>(VLOOKUP('102 5.1.00'!Z47,'102 5.1.00'!$AM$4:$AO$55,2,FALSE))*IF('102 5.1.00'!BB$4="是",'102 5.1.00'!$AX$4,'102 5.1.00'!$AX$3)</f>
        <v>0</v>
      </c>
      <c r="S47" s="6">
        <f>(VLOOKUP('102 5.1.00'!AA47,'102 5.1.00'!$AM$4:$AO$55,2,FALSE))*IF('102 5.1.00'!BC$4="是",'102 5.1.00'!$AX$4,'102 5.1.00'!$AX$3)</f>
        <v>0</v>
      </c>
      <c r="T47" s="6">
        <f>(VLOOKUP('102 5.1.00'!AB47,'102 5.1.00'!$AM$4:$AO$55,2,FALSE))*IF('102 5.1.00'!BD$4="是",'102 5.1.00'!$AX$4,'102 5.1.00'!$AX$3)</f>
        <v>0</v>
      </c>
      <c r="U47" s="6">
        <f>(VLOOKUP('102 5.1.00'!AC47,'102 5.1.00'!$AM$4:$AO$55,2,FALSE))*IF('102 5.1.00'!BE$4="是",'102 5.1.00'!$AX$4,'102 5.1.00'!$AX$3)</f>
        <v>0</v>
      </c>
      <c r="V47" s="6">
        <f>(VLOOKUP('102 5.1.00'!AD47,'102 5.1.00'!$AM$4:$AO$55,2,FALSE))*IF('102 5.1.00'!BF$4="是",'102 5.1.00'!$AX$4,'102 5.1.00'!$AX$3)</f>
        <v>0</v>
      </c>
      <c r="W47" s="7">
        <f>(VLOOKUP('102 5.1.00'!AE47,'102 5.1.00'!$AM$4:$AO$55,2,FALSE))*IF('102 5.1.00'!BG$4="是",'102 5.1.00'!$AX$4,'102 5.1.00'!$AX$3)</f>
        <v>0</v>
      </c>
      <c r="X47" s="7">
        <f>(VLOOKUP('102 5.1.00'!AF47,'102 5.1.00'!$AM$4:$AO$55,2,FALSE))*IF('102 5.1.00'!BH$4="是",'102 5.1.00'!$AX$4,'102 5.1.00'!$AX$3)</f>
        <v>0</v>
      </c>
    </row>
    <row r="48" spans="1:24">
      <c r="A48" s="6">
        <f>(VLOOKUP('102 5.1.00'!I48,'102 5.1.00'!$AM$4:$AO$55,2,FALSE))*IF('102 5.1.00'!AK$4="是",'102 5.1.00'!$AX$4,'102 5.1.00'!$AX$3)</f>
        <v>200</v>
      </c>
      <c r="B48" s="6">
        <f>(VLOOKUP('102 5.1.00'!J48,'102 5.1.00'!$AM$4:$AO$55,2,FALSE))*IF('102 5.1.00'!AL$4="是",'102 5.1.00'!$AX$4,'102 5.1.00'!$AX$3)</f>
        <v>200</v>
      </c>
      <c r="C48" s="6">
        <f>(VLOOKUP('102 5.1.00'!K48,'102 5.1.00'!$AM$4:$AO$55,2,FALSE))*IF('102 5.1.00'!AM$4="是",'102 5.1.00'!$AX$4,'102 5.1.00'!$AX$3)</f>
        <v>200</v>
      </c>
      <c r="D48" s="6">
        <f>(VLOOKUP('102 5.1.00'!L48,'102 5.1.00'!$AM$4:$AO$55,2,FALSE))*IF('102 5.1.00'!AN$4="是",'102 5.1.00'!$AX$4,'102 5.1.00'!$AX$3)</f>
        <v>200</v>
      </c>
      <c r="E48" s="6">
        <f>(VLOOKUP('102 5.1.00'!M48,'102 5.1.00'!$AM$4:$AO$55,2,FALSE))*IF('102 5.1.00'!AO$4="是",'102 5.1.00'!$AX$4,'102 5.1.00'!$AX$3)</f>
        <v>200</v>
      </c>
      <c r="F48" s="6">
        <f>(VLOOKUP('102 5.1.00'!N48,'102 5.1.00'!$AM$4:$AO$55,2,FALSE))*IF('102 5.1.00'!AP$4="是",'102 5.1.00'!$AX$4,'102 5.1.00'!$AX$3)</f>
        <v>200</v>
      </c>
      <c r="G48" s="7">
        <f>(VLOOKUP('102 5.1.00'!O48,'102 5.1.00'!$AM$4:$AO$55,2,FALSE))*IF('102 5.1.00'!AQ$4="是",'102 5.1.00'!$AX$4,'102 5.1.00'!$AX$3)</f>
        <v>0</v>
      </c>
      <c r="H48" s="7">
        <f>(VLOOKUP('102 5.1.00'!P48,'102 5.1.00'!$AM$4:$AO$55,2,FALSE))*IF('102 5.1.00'!AR$4="是",'102 5.1.00'!$AX$4,'102 5.1.00'!$AX$3)</f>
        <v>0</v>
      </c>
      <c r="I48" s="6">
        <f>(VLOOKUP('102 5.1.00'!Q48,'102 5.1.00'!$AM$4:$AO$55,2,FALSE))*IF('102 5.1.00'!AS$4="是",'102 5.1.00'!$AX$4,'102 5.1.00'!$AX$3)</f>
        <v>190</v>
      </c>
      <c r="J48" s="6">
        <f>(VLOOKUP('102 5.1.00'!R48,'102 5.1.00'!$AM$4:$AO$55,2,FALSE))*IF('102 5.1.00'!AT$4="是",'102 5.1.00'!$AX$4,'102 5.1.00'!$AX$3)</f>
        <v>190</v>
      </c>
      <c r="K48" s="6">
        <f>(VLOOKUP('102 5.1.00'!S48,'102 5.1.00'!$AM$4:$AO$55,2,FALSE))*IF('102 5.1.00'!AU$4="是",'102 5.1.00'!$AX$4,'102 5.1.00'!$AX$3)</f>
        <v>190</v>
      </c>
      <c r="L48" s="6">
        <f>(VLOOKUP('102 5.1.00'!T48,'102 5.1.00'!$AM$4:$AO$55,2,FALSE))*IF('102 5.1.00'!AV$4="是",'102 5.1.00'!$AX$4,'102 5.1.00'!$AX$3)</f>
        <v>190</v>
      </c>
      <c r="M48" s="6">
        <f>(VLOOKUP('102 5.1.00'!U48,'102 5.1.00'!$AM$4:$AO$55,2,FALSE))*IF('102 5.1.00'!AW$4="是",'102 5.1.00'!$AX$4,'102 5.1.00'!$AX$3)</f>
        <v>-200</v>
      </c>
      <c r="N48" s="6">
        <f>(VLOOKUP('102 5.1.00'!V48,'102 5.1.00'!$AM$4:$AO$55,2,FALSE))*IF('102 5.1.00'!AX$4="是",'102 5.1.00'!$AX$4,'102 5.1.00'!$AX$3)</f>
        <v>190</v>
      </c>
      <c r="O48" s="7">
        <f>(VLOOKUP('102 5.1.00'!W48,'102 5.1.00'!$AM$4:$AO$55,2,FALSE))*IF('102 5.1.00'!AY$4="是",'102 5.1.00'!$AX$4,'102 5.1.00'!$AX$3)</f>
        <v>0</v>
      </c>
      <c r="P48" s="7">
        <f>(VLOOKUP('102 5.1.00'!X48,'102 5.1.00'!$AM$4:$AO$55,2,FALSE))*IF('102 5.1.00'!AZ$4="是",'102 5.1.00'!$AX$4,'102 5.1.00'!$AX$3)</f>
        <v>0</v>
      </c>
      <c r="Q48" s="6">
        <f>(VLOOKUP('102 5.1.00'!Y48,'102 5.1.00'!$AM$4:$AO$55,2,FALSE))*IF('102 5.1.00'!BA$4="是",'102 5.1.00'!$AX$4,'102 5.1.00'!$AX$3)</f>
        <v>0</v>
      </c>
      <c r="R48" s="6">
        <f>(VLOOKUP('102 5.1.00'!Z48,'102 5.1.00'!$AM$4:$AO$55,2,FALSE))*IF('102 5.1.00'!BB$4="是",'102 5.1.00'!$AX$4,'102 5.1.00'!$AX$3)</f>
        <v>0</v>
      </c>
      <c r="S48" s="6">
        <f>(VLOOKUP('102 5.1.00'!AA48,'102 5.1.00'!$AM$4:$AO$55,2,FALSE))*IF('102 5.1.00'!BC$4="是",'102 5.1.00'!$AX$4,'102 5.1.00'!$AX$3)</f>
        <v>0</v>
      </c>
      <c r="T48" s="6">
        <f>(VLOOKUP('102 5.1.00'!AB48,'102 5.1.00'!$AM$4:$AO$55,2,FALSE))*IF('102 5.1.00'!BD$4="是",'102 5.1.00'!$AX$4,'102 5.1.00'!$AX$3)</f>
        <v>0</v>
      </c>
      <c r="U48" s="6">
        <f>(VLOOKUP('102 5.1.00'!AC48,'102 5.1.00'!$AM$4:$AO$55,2,FALSE))*IF('102 5.1.00'!BE$4="是",'102 5.1.00'!$AX$4,'102 5.1.00'!$AX$3)</f>
        <v>0</v>
      </c>
      <c r="V48" s="6">
        <f>(VLOOKUP('102 5.1.00'!AD48,'102 5.1.00'!$AM$4:$AO$55,2,FALSE))*IF('102 5.1.00'!BF$4="是",'102 5.1.00'!$AX$4,'102 5.1.00'!$AX$3)</f>
        <v>0</v>
      </c>
      <c r="W48" s="7">
        <f>(VLOOKUP('102 5.1.00'!AE48,'102 5.1.00'!$AM$4:$AO$55,2,FALSE))*IF('102 5.1.00'!BG$4="是",'102 5.1.00'!$AX$4,'102 5.1.00'!$AX$3)</f>
        <v>0</v>
      </c>
      <c r="X48" s="7">
        <f>(VLOOKUP('102 5.1.00'!AF48,'102 5.1.00'!$AM$4:$AO$55,2,FALSE))*IF('102 5.1.00'!BH$4="是",'102 5.1.00'!$AX$4,'102 5.1.00'!$AX$3)</f>
        <v>0</v>
      </c>
    </row>
    <row r="49" spans="1:24">
      <c r="A49" s="6">
        <f>(VLOOKUP('102 5.1.00'!I49,'102 5.1.00'!$AM$4:$AO$55,2,FALSE))*IF('102 5.1.00'!AK$4="是",'102 5.1.00'!$AX$4,'102 5.1.00'!$AX$3)</f>
        <v>200</v>
      </c>
      <c r="B49" s="6">
        <f>(VLOOKUP('102 5.1.00'!J49,'102 5.1.00'!$AM$4:$AO$55,2,FALSE))*IF('102 5.1.00'!AL$4="是",'102 5.1.00'!$AX$4,'102 5.1.00'!$AX$3)</f>
        <v>200</v>
      </c>
      <c r="C49" s="6">
        <f>(VLOOKUP('102 5.1.00'!K49,'102 5.1.00'!$AM$4:$AO$55,2,FALSE))*IF('102 5.1.00'!AM$4="是",'102 5.1.00'!$AX$4,'102 5.1.00'!$AX$3)</f>
        <v>200</v>
      </c>
      <c r="D49" s="6">
        <f>(VLOOKUP('102 5.1.00'!L49,'102 5.1.00'!$AM$4:$AO$55,2,FALSE))*IF('102 5.1.00'!AN$4="是",'102 5.1.00'!$AX$4,'102 5.1.00'!$AX$3)</f>
        <v>200</v>
      </c>
      <c r="E49" s="6">
        <f>(VLOOKUP('102 5.1.00'!M49,'102 5.1.00'!$AM$4:$AO$55,2,FALSE))*IF('102 5.1.00'!AO$4="是",'102 5.1.00'!$AX$4,'102 5.1.00'!$AX$3)</f>
        <v>200</v>
      </c>
      <c r="F49" s="6">
        <f>(VLOOKUP('102 5.1.00'!N49,'102 5.1.00'!$AM$4:$AO$55,2,FALSE))*IF('102 5.1.00'!AP$4="是",'102 5.1.00'!$AX$4,'102 5.1.00'!$AX$3)</f>
        <v>200</v>
      </c>
      <c r="G49" s="7">
        <f>(VLOOKUP('102 5.1.00'!O49,'102 5.1.00'!$AM$4:$AO$55,2,FALSE))*IF('102 5.1.00'!AQ$4="是",'102 5.1.00'!$AX$4,'102 5.1.00'!$AX$3)</f>
        <v>0</v>
      </c>
      <c r="H49" s="7">
        <f>(VLOOKUP('102 5.1.00'!P49,'102 5.1.00'!$AM$4:$AO$55,2,FALSE))*IF('102 5.1.00'!AR$4="是",'102 5.1.00'!$AX$4,'102 5.1.00'!$AX$3)</f>
        <v>0</v>
      </c>
      <c r="I49" s="6">
        <f>(VLOOKUP('102 5.1.00'!Q49,'102 5.1.00'!$AM$4:$AO$55,2,FALSE))*IF('102 5.1.00'!AS$4="是",'102 5.1.00'!$AX$4,'102 5.1.00'!$AX$3)</f>
        <v>190</v>
      </c>
      <c r="J49" s="6">
        <f>(VLOOKUP('102 5.1.00'!R49,'102 5.1.00'!$AM$4:$AO$55,2,FALSE))*IF('102 5.1.00'!AT$4="是",'102 5.1.00'!$AX$4,'102 5.1.00'!$AX$3)</f>
        <v>190</v>
      </c>
      <c r="K49" s="6">
        <f>(VLOOKUP('102 5.1.00'!S49,'102 5.1.00'!$AM$4:$AO$55,2,FALSE))*IF('102 5.1.00'!AU$4="是",'102 5.1.00'!$AX$4,'102 5.1.00'!$AX$3)</f>
        <v>190</v>
      </c>
      <c r="L49" s="6">
        <f>(VLOOKUP('102 5.1.00'!T49,'102 5.1.00'!$AM$4:$AO$55,2,FALSE))*IF('102 5.1.00'!AV$4="是",'102 5.1.00'!$AX$4,'102 5.1.00'!$AX$3)</f>
        <v>190</v>
      </c>
      <c r="M49" s="6">
        <f>(VLOOKUP('102 5.1.00'!U49,'102 5.1.00'!$AM$4:$AO$55,2,FALSE))*IF('102 5.1.00'!AW$4="是",'102 5.1.00'!$AX$4,'102 5.1.00'!$AX$3)</f>
        <v>190</v>
      </c>
      <c r="N49" s="6">
        <f>(VLOOKUP('102 5.1.00'!V49,'102 5.1.00'!$AM$4:$AO$55,2,FALSE))*IF('102 5.1.00'!AX$4="是",'102 5.1.00'!$AX$4,'102 5.1.00'!$AX$3)</f>
        <v>0</v>
      </c>
      <c r="O49" s="7">
        <f>(VLOOKUP('102 5.1.00'!W49,'102 5.1.00'!$AM$4:$AO$55,2,FALSE))*IF('102 5.1.00'!AY$4="是",'102 5.1.00'!$AX$4,'102 5.1.00'!$AX$3)</f>
        <v>0</v>
      </c>
      <c r="P49" s="7">
        <f>(VLOOKUP('102 5.1.00'!X49,'102 5.1.00'!$AM$4:$AO$55,2,FALSE))*IF('102 5.1.00'!AZ$4="是",'102 5.1.00'!$AX$4,'102 5.1.00'!$AX$3)</f>
        <v>0</v>
      </c>
      <c r="Q49" s="6">
        <f>(VLOOKUP('102 5.1.00'!Y49,'102 5.1.00'!$AM$4:$AO$55,2,FALSE))*IF('102 5.1.00'!BA$4="是",'102 5.1.00'!$AX$4,'102 5.1.00'!$AX$3)</f>
        <v>0</v>
      </c>
      <c r="R49" s="6">
        <f>(VLOOKUP('102 5.1.00'!Z49,'102 5.1.00'!$AM$4:$AO$55,2,FALSE))*IF('102 5.1.00'!BB$4="是",'102 5.1.00'!$AX$4,'102 5.1.00'!$AX$3)</f>
        <v>0</v>
      </c>
      <c r="S49" s="6">
        <f>(VLOOKUP('102 5.1.00'!AA49,'102 5.1.00'!$AM$4:$AO$55,2,FALSE))*IF('102 5.1.00'!BC$4="是",'102 5.1.00'!$AX$4,'102 5.1.00'!$AX$3)</f>
        <v>0</v>
      </c>
      <c r="T49" s="6">
        <f>(VLOOKUP('102 5.1.00'!AB49,'102 5.1.00'!$AM$4:$AO$55,2,FALSE))*IF('102 5.1.00'!BD$4="是",'102 5.1.00'!$AX$4,'102 5.1.00'!$AX$3)</f>
        <v>0</v>
      </c>
      <c r="U49" s="6">
        <f>(VLOOKUP('102 5.1.00'!AC49,'102 5.1.00'!$AM$4:$AO$55,2,FALSE))*IF('102 5.1.00'!BE$4="是",'102 5.1.00'!$AX$4,'102 5.1.00'!$AX$3)</f>
        <v>0</v>
      </c>
      <c r="V49" s="6">
        <f>(VLOOKUP('102 5.1.00'!AD49,'102 5.1.00'!$AM$4:$AO$55,2,FALSE))*IF('102 5.1.00'!BF$4="是",'102 5.1.00'!$AX$4,'102 5.1.00'!$AX$3)</f>
        <v>0</v>
      </c>
      <c r="W49" s="7">
        <f>(VLOOKUP('102 5.1.00'!AE49,'102 5.1.00'!$AM$4:$AO$55,2,FALSE))*IF('102 5.1.00'!BG$4="是",'102 5.1.00'!$AX$4,'102 5.1.00'!$AX$3)</f>
        <v>0</v>
      </c>
      <c r="X49" s="7">
        <f>(VLOOKUP('102 5.1.00'!AF49,'102 5.1.00'!$AM$4:$AO$55,2,FALSE))*IF('102 5.1.00'!BH$4="是",'102 5.1.00'!$AX$4,'102 5.1.00'!$AX$3)</f>
        <v>0</v>
      </c>
    </row>
    <row r="50" spans="1:24">
      <c r="A50" s="6">
        <f>(VLOOKUP('102 5.1.00'!I50,'102 5.1.00'!$AM$4:$AO$55,2,FALSE))*IF('102 5.1.00'!AK$4="是",'102 5.1.00'!$AX$4,'102 5.1.00'!$AX$3)</f>
        <v>200</v>
      </c>
      <c r="B50" s="6">
        <f>(VLOOKUP('102 5.1.00'!J50,'102 5.1.00'!$AM$4:$AO$55,2,FALSE))*IF('102 5.1.00'!AL$4="是",'102 5.1.00'!$AX$4,'102 5.1.00'!$AX$3)</f>
        <v>200</v>
      </c>
      <c r="C50" s="6">
        <f>(VLOOKUP('102 5.1.00'!K50,'102 5.1.00'!$AM$4:$AO$55,2,FALSE))*IF('102 5.1.00'!AM$4="是",'102 5.1.00'!$AX$4,'102 5.1.00'!$AX$3)</f>
        <v>200</v>
      </c>
      <c r="D50" s="6">
        <f>(VLOOKUP('102 5.1.00'!L50,'102 5.1.00'!$AM$4:$AO$55,2,FALSE))*IF('102 5.1.00'!AN$4="是",'102 5.1.00'!$AX$4,'102 5.1.00'!$AX$3)</f>
        <v>200</v>
      </c>
      <c r="E50" s="6">
        <f>(VLOOKUP('102 5.1.00'!M50,'102 5.1.00'!$AM$4:$AO$55,2,FALSE))*IF('102 5.1.00'!AO$4="是",'102 5.1.00'!$AX$4,'102 5.1.00'!$AX$3)</f>
        <v>200</v>
      </c>
      <c r="F50" s="6">
        <f>(VLOOKUP('102 5.1.00'!N50,'102 5.1.00'!$AM$4:$AO$55,2,FALSE))*IF('102 5.1.00'!AP$4="是",'102 5.1.00'!$AX$4,'102 5.1.00'!$AX$3)</f>
        <v>200</v>
      </c>
      <c r="G50" s="7">
        <f>(VLOOKUP('102 5.1.00'!O50,'102 5.1.00'!$AM$4:$AO$55,2,FALSE))*IF('102 5.1.00'!AQ$4="是",'102 5.1.00'!$AX$4,'102 5.1.00'!$AX$3)</f>
        <v>0</v>
      </c>
      <c r="H50" s="7">
        <f>(VLOOKUP('102 5.1.00'!P50,'102 5.1.00'!$AM$4:$AO$55,2,FALSE))*IF('102 5.1.00'!AR$4="是",'102 5.1.00'!$AX$4,'102 5.1.00'!$AX$3)</f>
        <v>0</v>
      </c>
      <c r="I50" s="6">
        <f>(VLOOKUP('102 5.1.00'!Q50,'102 5.1.00'!$AM$4:$AO$55,2,FALSE))*IF('102 5.1.00'!AS$4="是",'102 5.1.00'!$AX$4,'102 5.1.00'!$AX$3)</f>
        <v>190</v>
      </c>
      <c r="J50" s="6">
        <f>(VLOOKUP('102 5.1.00'!R50,'102 5.1.00'!$AM$4:$AO$55,2,FALSE))*IF('102 5.1.00'!AT$4="是",'102 5.1.00'!$AX$4,'102 5.1.00'!$AX$3)</f>
        <v>190</v>
      </c>
      <c r="K50" s="6">
        <f>(VLOOKUP('102 5.1.00'!S50,'102 5.1.00'!$AM$4:$AO$55,2,FALSE))*IF('102 5.1.00'!AU$4="是",'102 5.1.00'!$AX$4,'102 5.1.00'!$AX$3)</f>
        <v>190</v>
      </c>
      <c r="L50" s="6">
        <f>(VLOOKUP('102 5.1.00'!T50,'102 5.1.00'!$AM$4:$AO$55,2,FALSE))*IF('102 5.1.00'!AV$4="是",'102 5.1.00'!$AX$4,'102 5.1.00'!$AX$3)</f>
        <v>190</v>
      </c>
      <c r="M50" s="6">
        <f>(VLOOKUP('102 5.1.00'!U50,'102 5.1.00'!$AM$4:$AO$55,2,FALSE))*IF('102 5.1.00'!AW$4="是",'102 5.1.00'!$AX$4,'102 5.1.00'!$AX$3)</f>
        <v>0</v>
      </c>
      <c r="N50" s="6">
        <f>(VLOOKUP('102 5.1.00'!V50,'102 5.1.00'!$AM$4:$AO$55,2,FALSE))*IF('102 5.1.00'!AX$4="是",'102 5.1.00'!$AX$4,'102 5.1.00'!$AX$3)</f>
        <v>0</v>
      </c>
      <c r="O50" s="7">
        <f>(VLOOKUP('102 5.1.00'!W50,'102 5.1.00'!$AM$4:$AO$55,2,FALSE))*IF('102 5.1.00'!AY$4="是",'102 5.1.00'!$AX$4,'102 5.1.00'!$AX$3)</f>
        <v>0</v>
      </c>
      <c r="P50" s="7">
        <f>(VLOOKUP('102 5.1.00'!X50,'102 5.1.00'!$AM$4:$AO$55,2,FALSE))*IF('102 5.1.00'!AZ$4="是",'102 5.1.00'!$AX$4,'102 5.1.00'!$AX$3)</f>
        <v>0</v>
      </c>
      <c r="Q50" s="6">
        <f>(VLOOKUP('102 5.1.00'!Y50,'102 5.1.00'!$AM$4:$AO$55,2,FALSE))*IF('102 5.1.00'!BA$4="是",'102 5.1.00'!$AX$4,'102 5.1.00'!$AX$3)</f>
        <v>0</v>
      </c>
      <c r="R50" s="6">
        <f>(VLOOKUP('102 5.1.00'!Z50,'102 5.1.00'!$AM$4:$AO$55,2,FALSE))*IF('102 5.1.00'!BB$4="是",'102 5.1.00'!$AX$4,'102 5.1.00'!$AX$3)</f>
        <v>0</v>
      </c>
      <c r="S50" s="6">
        <f>(VLOOKUP('102 5.1.00'!AA50,'102 5.1.00'!$AM$4:$AO$55,2,FALSE))*IF('102 5.1.00'!BC$4="是",'102 5.1.00'!$AX$4,'102 5.1.00'!$AX$3)</f>
        <v>0</v>
      </c>
      <c r="T50" s="6">
        <f>(VLOOKUP('102 5.1.00'!AB50,'102 5.1.00'!$AM$4:$AO$55,2,FALSE))*IF('102 5.1.00'!BD$4="是",'102 5.1.00'!$AX$4,'102 5.1.00'!$AX$3)</f>
        <v>0</v>
      </c>
      <c r="U50" s="6">
        <f>(VLOOKUP('102 5.1.00'!AC50,'102 5.1.00'!$AM$4:$AO$55,2,FALSE))*IF('102 5.1.00'!BE$4="是",'102 5.1.00'!$AX$4,'102 5.1.00'!$AX$3)</f>
        <v>0</v>
      </c>
      <c r="V50" s="6">
        <f>(VLOOKUP('102 5.1.00'!AD50,'102 5.1.00'!$AM$4:$AO$55,2,FALSE))*IF('102 5.1.00'!BF$4="是",'102 5.1.00'!$AX$4,'102 5.1.00'!$AX$3)</f>
        <v>0</v>
      </c>
      <c r="W50" s="7">
        <f>(VLOOKUP('102 5.1.00'!AE50,'102 5.1.00'!$AM$4:$AO$55,2,FALSE))*IF('102 5.1.00'!BG$4="是",'102 5.1.00'!$AX$4,'102 5.1.00'!$AX$3)</f>
        <v>0</v>
      </c>
      <c r="X50" s="7">
        <f>(VLOOKUP('102 5.1.00'!AF50,'102 5.1.00'!$AM$4:$AO$55,2,FALSE))*IF('102 5.1.00'!BH$4="是",'102 5.1.00'!$AX$4,'102 5.1.00'!$AX$3)</f>
        <v>0</v>
      </c>
    </row>
    <row r="51" spans="1:24">
      <c r="A51" s="6">
        <f>(VLOOKUP('102 5.1.00'!I51,'102 5.1.00'!$AM$4:$AO$55,2,FALSE))*IF('102 5.1.00'!AK$4="是",'102 5.1.00'!$AX$4,'102 5.1.00'!$AX$3)</f>
        <v>200</v>
      </c>
      <c r="B51" s="6">
        <f>(VLOOKUP('102 5.1.00'!J51,'102 5.1.00'!$AM$4:$AO$55,2,FALSE))*IF('102 5.1.00'!AL$4="是",'102 5.1.00'!$AX$4,'102 5.1.00'!$AX$3)</f>
        <v>200</v>
      </c>
      <c r="C51" s="6">
        <f>(VLOOKUP('102 5.1.00'!K51,'102 5.1.00'!$AM$4:$AO$55,2,FALSE))*IF('102 5.1.00'!AM$4="是",'102 5.1.00'!$AX$4,'102 5.1.00'!$AX$3)</f>
        <v>200</v>
      </c>
      <c r="D51" s="6">
        <f>(VLOOKUP('102 5.1.00'!L51,'102 5.1.00'!$AM$4:$AO$55,2,FALSE))*IF('102 5.1.00'!AN$4="是",'102 5.1.00'!$AX$4,'102 5.1.00'!$AX$3)</f>
        <v>200</v>
      </c>
      <c r="E51" s="6">
        <f>(VLOOKUP('102 5.1.00'!M51,'102 5.1.00'!$AM$4:$AO$55,2,FALSE))*IF('102 5.1.00'!AO$4="是",'102 5.1.00'!$AX$4,'102 5.1.00'!$AX$3)</f>
        <v>200</v>
      </c>
      <c r="F51" s="6">
        <f>(VLOOKUP('102 5.1.00'!N51,'102 5.1.00'!$AM$4:$AO$55,2,FALSE))*IF('102 5.1.00'!AP$4="是",'102 5.1.00'!$AX$4,'102 5.1.00'!$AX$3)</f>
        <v>200</v>
      </c>
      <c r="G51" s="7">
        <f>(VLOOKUP('102 5.1.00'!O51,'102 5.1.00'!$AM$4:$AO$55,2,FALSE))*IF('102 5.1.00'!AQ$4="是",'102 5.1.00'!$AX$4,'102 5.1.00'!$AX$3)</f>
        <v>0</v>
      </c>
      <c r="H51" s="7">
        <f>(VLOOKUP('102 5.1.00'!P51,'102 5.1.00'!$AM$4:$AO$55,2,FALSE))*IF('102 5.1.00'!AR$4="是",'102 5.1.00'!$AX$4,'102 5.1.00'!$AX$3)</f>
        <v>0</v>
      </c>
      <c r="I51" s="6">
        <f>(VLOOKUP('102 5.1.00'!Q51,'102 5.1.00'!$AM$4:$AO$55,2,FALSE))*IF('102 5.1.00'!AS$4="是",'102 5.1.00'!$AX$4,'102 5.1.00'!$AX$3)</f>
        <v>190</v>
      </c>
      <c r="J51" s="6">
        <f>(VLOOKUP('102 5.1.00'!R51,'102 5.1.00'!$AM$4:$AO$55,2,FALSE))*IF('102 5.1.00'!AT$4="是",'102 5.1.00'!$AX$4,'102 5.1.00'!$AX$3)</f>
        <v>190</v>
      </c>
      <c r="K51" s="6">
        <f>(VLOOKUP('102 5.1.00'!S51,'102 5.1.00'!$AM$4:$AO$55,2,FALSE))*IF('102 5.1.00'!AU$4="是",'102 5.1.00'!$AX$4,'102 5.1.00'!$AX$3)</f>
        <v>190</v>
      </c>
      <c r="L51" s="6">
        <f>(VLOOKUP('102 5.1.00'!T51,'102 5.1.00'!$AM$4:$AO$55,2,FALSE))*IF('102 5.1.00'!AV$4="是",'102 5.1.00'!$AX$4,'102 5.1.00'!$AX$3)</f>
        <v>150</v>
      </c>
      <c r="M51" s="6">
        <f>(VLOOKUP('102 5.1.00'!U51,'102 5.1.00'!$AM$4:$AO$55,2,FALSE))*IF('102 5.1.00'!AW$4="是",'102 5.1.00'!$AX$4,'102 5.1.00'!$AX$3)</f>
        <v>0</v>
      </c>
      <c r="N51" s="6">
        <f>(VLOOKUP('102 5.1.00'!V51,'102 5.1.00'!$AM$4:$AO$55,2,FALSE))*IF('102 5.1.00'!AX$4="是",'102 5.1.00'!$AX$4,'102 5.1.00'!$AX$3)</f>
        <v>0</v>
      </c>
      <c r="O51" s="7">
        <f>(VLOOKUP('102 5.1.00'!W51,'102 5.1.00'!$AM$4:$AO$55,2,FALSE))*IF('102 5.1.00'!AY$4="是",'102 5.1.00'!$AX$4,'102 5.1.00'!$AX$3)</f>
        <v>0</v>
      </c>
      <c r="P51" s="7">
        <f>(VLOOKUP('102 5.1.00'!X51,'102 5.1.00'!$AM$4:$AO$55,2,FALSE))*IF('102 5.1.00'!AZ$4="是",'102 5.1.00'!$AX$4,'102 5.1.00'!$AX$3)</f>
        <v>0</v>
      </c>
      <c r="Q51" s="6">
        <f>(VLOOKUP('102 5.1.00'!Y51,'102 5.1.00'!$AM$4:$AO$55,2,FALSE))*IF('102 5.1.00'!BA$4="是",'102 5.1.00'!$AX$4,'102 5.1.00'!$AX$3)</f>
        <v>0</v>
      </c>
      <c r="R51" s="6">
        <f>(VLOOKUP('102 5.1.00'!Z51,'102 5.1.00'!$AM$4:$AO$55,2,FALSE))*IF('102 5.1.00'!BB$4="是",'102 5.1.00'!$AX$4,'102 5.1.00'!$AX$3)</f>
        <v>0</v>
      </c>
      <c r="S51" s="6">
        <f>(VLOOKUP('102 5.1.00'!AA51,'102 5.1.00'!$AM$4:$AO$55,2,FALSE))*IF('102 5.1.00'!BC$4="是",'102 5.1.00'!$AX$4,'102 5.1.00'!$AX$3)</f>
        <v>0</v>
      </c>
      <c r="T51" s="6">
        <f>(VLOOKUP('102 5.1.00'!AB51,'102 5.1.00'!$AM$4:$AO$55,2,FALSE))*IF('102 5.1.00'!BD$4="是",'102 5.1.00'!$AX$4,'102 5.1.00'!$AX$3)</f>
        <v>0</v>
      </c>
      <c r="U51" s="6">
        <f>(VLOOKUP('102 5.1.00'!AC51,'102 5.1.00'!$AM$4:$AO$55,2,FALSE))*IF('102 5.1.00'!BE$4="是",'102 5.1.00'!$AX$4,'102 5.1.00'!$AX$3)</f>
        <v>0</v>
      </c>
      <c r="V51" s="6">
        <f>(VLOOKUP('102 5.1.00'!AD51,'102 5.1.00'!$AM$4:$AO$55,2,FALSE))*IF('102 5.1.00'!BF$4="是",'102 5.1.00'!$AX$4,'102 5.1.00'!$AX$3)</f>
        <v>0</v>
      </c>
      <c r="W51" s="7">
        <f>(VLOOKUP('102 5.1.00'!AE51,'102 5.1.00'!$AM$4:$AO$55,2,FALSE))*IF('102 5.1.00'!BG$4="是",'102 5.1.00'!$AX$4,'102 5.1.00'!$AX$3)</f>
        <v>0</v>
      </c>
      <c r="X51" s="7">
        <f>(VLOOKUP('102 5.1.00'!AF51,'102 5.1.00'!$AM$4:$AO$55,2,FALSE))*IF('102 5.1.00'!BH$4="是",'102 5.1.00'!$AX$4,'102 5.1.00'!$AX$3)</f>
        <v>0</v>
      </c>
    </row>
    <row r="52" spans="1:24">
      <c r="A52" s="6">
        <f>(VLOOKUP('102 5.1.00'!I52,'102 5.1.00'!$AM$4:$AO$55,2,FALSE))*IF('102 5.1.00'!AK$4="是",'102 5.1.00'!$AX$4,'102 5.1.00'!$AX$3)</f>
        <v>200</v>
      </c>
      <c r="B52" s="6">
        <f>(VLOOKUP('102 5.1.00'!J52,'102 5.1.00'!$AM$4:$AO$55,2,FALSE))*IF('102 5.1.00'!AL$4="是",'102 5.1.00'!$AX$4,'102 5.1.00'!$AX$3)</f>
        <v>200</v>
      </c>
      <c r="C52" s="6">
        <f>(VLOOKUP('102 5.1.00'!K52,'102 5.1.00'!$AM$4:$AO$55,2,FALSE))*IF('102 5.1.00'!AM$4="是",'102 5.1.00'!$AX$4,'102 5.1.00'!$AX$3)</f>
        <v>200</v>
      </c>
      <c r="D52" s="6">
        <f>(VLOOKUP('102 5.1.00'!L52,'102 5.1.00'!$AM$4:$AO$55,2,FALSE))*IF('102 5.1.00'!AN$4="是",'102 5.1.00'!$AX$4,'102 5.1.00'!$AX$3)</f>
        <v>200</v>
      </c>
      <c r="E52" s="6">
        <f>(VLOOKUP('102 5.1.00'!M52,'102 5.1.00'!$AM$4:$AO$55,2,FALSE))*IF('102 5.1.00'!AO$4="是",'102 5.1.00'!$AX$4,'102 5.1.00'!$AX$3)</f>
        <v>200</v>
      </c>
      <c r="F52" s="6">
        <f>(VLOOKUP('102 5.1.00'!N52,'102 5.1.00'!$AM$4:$AO$55,2,FALSE))*IF('102 5.1.00'!AP$4="是",'102 5.1.00'!$AX$4,'102 5.1.00'!$AX$3)</f>
        <v>200</v>
      </c>
      <c r="G52" s="7">
        <f>(VLOOKUP('102 5.1.00'!O52,'102 5.1.00'!$AM$4:$AO$55,2,FALSE))*IF('102 5.1.00'!AQ$4="是",'102 5.1.00'!$AX$4,'102 5.1.00'!$AX$3)</f>
        <v>0</v>
      </c>
      <c r="H52" s="7">
        <f>(VLOOKUP('102 5.1.00'!P52,'102 5.1.00'!$AM$4:$AO$55,2,FALSE))*IF('102 5.1.00'!AR$4="是",'102 5.1.00'!$AX$4,'102 5.1.00'!$AX$3)</f>
        <v>0</v>
      </c>
      <c r="I52" s="6">
        <f>(VLOOKUP('102 5.1.00'!Q52,'102 5.1.00'!$AM$4:$AO$55,2,FALSE))*IF('102 5.1.00'!AS$4="是",'102 5.1.00'!$AX$4,'102 5.1.00'!$AX$3)</f>
        <v>190</v>
      </c>
      <c r="J52" s="6">
        <f>(VLOOKUP('102 5.1.00'!R52,'102 5.1.00'!$AM$4:$AO$55,2,FALSE))*IF('102 5.1.00'!AT$4="是",'102 5.1.00'!$AX$4,'102 5.1.00'!$AX$3)</f>
        <v>190</v>
      </c>
      <c r="K52" s="6">
        <f>(VLOOKUP('102 5.1.00'!S52,'102 5.1.00'!$AM$4:$AO$55,2,FALSE))*IF('102 5.1.00'!AU$4="是",'102 5.1.00'!$AX$4,'102 5.1.00'!$AX$3)</f>
        <v>190</v>
      </c>
      <c r="L52" s="6">
        <f>(VLOOKUP('102 5.1.00'!T52,'102 5.1.00'!$AM$4:$AO$55,2,FALSE))*IF('102 5.1.00'!AV$4="是",'102 5.1.00'!$AX$4,'102 5.1.00'!$AX$3)</f>
        <v>190</v>
      </c>
      <c r="M52" s="6">
        <f>(VLOOKUP('102 5.1.00'!U52,'102 5.1.00'!$AM$4:$AO$55,2,FALSE))*IF('102 5.1.00'!AW$4="是",'102 5.1.00'!$AX$4,'102 5.1.00'!$AX$3)</f>
        <v>0</v>
      </c>
      <c r="N52" s="6">
        <f>(VLOOKUP('102 5.1.00'!V52,'102 5.1.00'!$AM$4:$AO$55,2,FALSE))*IF('102 5.1.00'!AX$4="是",'102 5.1.00'!$AX$4,'102 5.1.00'!$AX$3)</f>
        <v>0</v>
      </c>
      <c r="O52" s="7">
        <f>(VLOOKUP('102 5.1.00'!W52,'102 5.1.00'!$AM$4:$AO$55,2,FALSE))*IF('102 5.1.00'!AY$4="是",'102 5.1.00'!$AX$4,'102 5.1.00'!$AX$3)</f>
        <v>0</v>
      </c>
      <c r="P52" s="7">
        <f>(VLOOKUP('102 5.1.00'!X52,'102 5.1.00'!$AM$4:$AO$55,2,FALSE))*IF('102 5.1.00'!AZ$4="是",'102 5.1.00'!$AX$4,'102 5.1.00'!$AX$3)</f>
        <v>0</v>
      </c>
      <c r="Q52" s="6">
        <f>(VLOOKUP('102 5.1.00'!Y52,'102 5.1.00'!$AM$4:$AO$55,2,FALSE))*IF('102 5.1.00'!BA$4="是",'102 5.1.00'!$AX$4,'102 5.1.00'!$AX$3)</f>
        <v>0</v>
      </c>
      <c r="R52" s="6">
        <f>(VLOOKUP('102 5.1.00'!Z52,'102 5.1.00'!$AM$4:$AO$55,2,FALSE))*IF('102 5.1.00'!BB$4="是",'102 5.1.00'!$AX$4,'102 5.1.00'!$AX$3)</f>
        <v>0</v>
      </c>
      <c r="S52" s="6">
        <f>(VLOOKUP('102 5.1.00'!AA52,'102 5.1.00'!$AM$4:$AO$55,2,FALSE))*IF('102 5.1.00'!BC$4="是",'102 5.1.00'!$AX$4,'102 5.1.00'!$AX$3)</f>
        <v>0</v>
      </c>
      <c r="T52" s="6">
        <f>(VLOOKUP('102 5.1.00'!AB52,'102 5.1.00'!$AM$4:$AO$55,2,FALSE))*IF('102 5.1.00'!BD$4="是",'102 5.1.00'!$AX$4,'102 5.1.00'!$AX$3)</f>
        <v>0</v>
      </c>
      <c r="U52" s="6">
        <f>(VLOOKUP('102 5.1.00'!AC52,'102 5.1.00'!$AM$4:$AO$55,2,FALSE))*IF('102 5.1.00'!BE$4="是",'102 5.1.00'!$AX$4,'102 5.1.00'!$AX$3)</f>
        <v>0</v>
      </c>
      <c r="V52" s="6">
        <f>(VLOOKUP('102 5.1.00'!AD52,'102 5.1.00'!$AM$4:$AO$55,2,FALSE))*IF('102 5.1.00'!BF$4="是",'102 5.1.00'!$AX$4,'102 5.1.00'!$AX$3)</f>
        <v>0</v>
      </c>
      <c r="W52" s="7">
        <f>(VLOOKUP('102 5.1.00'!AE52,'102 5.1.00'!$AM$4:$AO$55,2,FALSE))*IF('102 5.1.00'!BG$4="是",'102 5.1.00'!$AX$4,'102 5.1.00'!$AX$3)</f>
        <v>0</v>
      </c>
      <c r="X52" s="7">
        <f>(VLOOKUP('102 5.1.00'!AF52,'102 5.1.00'!$AM$4:$AO$55,2,FALSE))*IF('102 5.1.00'!BH$4="是",'102 5.1.00'!$AX$4,'102 5.1.00'!$AX$3)</f>
        <v>0</v>
      </c>
    </row>
    <row r="53" spans="1:24">
      <c r="A53" s="6">
        <f>(VLOOKUP('102 5.1.00'!I53,'102 5.1.00'!$AM$4:$AO$55,2,FALSE))*IF('102 5.1.00'!AK$4="是",'102 5.1.00'!$AX$4,'102 5.1.00'!$AX$3)</f>
        <v>150</v>
      </c>
      <c r="B53" s="6">
        <f>(VLOOKUP('102 5.1.00'!J53,'102 5.1.00'!$AM$4:$AO$55,2,FALSE))*IF('102 5.1.00'!AL$4="是",'102 5.1.00'!$AX$4,'102 5.1.00'!$AX$3)</f>
        <v>200</v>
      </c>
      <c r="C53" s="6">
        <f>(VLOOKUP('102 5.1.00'!K53,'102 5.1.00'!$AM$4:$AO$55,2,FALSE))*IF('102 5.1.00'!AM$4="是",'102 5.1.00'!$AX$4,'102 5.1.00'!$AX$3)</f>
        <v>200</v>
      </c>
      <c r="D53" s="6">
        <f>(VLOOKUP('102 5.1.00'!L53,'102 5.1.00'!$AM$4:$AO$55,2,FALSE))*IF('102 5.1.00'!AN$4="是",'102 5.1.00'!$AX$4,'102 5.1.00'!$AX$3)</f>
        <v>200</v>
      </c>
      <c r="E53" s="6">
        <f>(VLOOKUP('102 5.1.00'!M53,'102 5.1.00'!$AM$4:$AO$55,2,FALSE))*IF('102 5.1.00'!AO$4="是",'102 5.1.00'!$AX$4,'102 5.1.00'!$AX$3)</f>
        <v>200</v>
      </c>
      <c r="F53" s="6">
        <f>(VLOOKUP('102 5.1.00'!N53,'102 5.1.00'!$AM$4:$AO$55,2,FALSE))*IF('102 5.1.00'!AP$4="是",'102 5.1.00'!$AX$4,'102 5.1.00'!$AX$3)</f>
        <v>200</v>
      </c>
      <c r="G53" s="7">
        <f>(VLOOKUP('102 5.1.00'!O53,'102 5.1.00'!$AM$4:$AO$55,2,FALSE))*IF('102 5.1.00'!AQ$4="是",'102 5.1.00'!$AX$4,'102 5.1.00'!$AX$3)</f>
        <v>0</v>
      </c>
      <c r="H53" s="7">
        <f>(VLOOKUP('102 5.1.00'!P53,'102 5.1.00'!$AM$4:$AO$55,2,FALSE))*IF('102 5.1.00'!AR$4="是",'102 5.1.00'!$AX$4,'102 5.1.00'!$AX$3)</f>
        <v>0</v>
      </c>
      <c r="I53" s="6">
        <f>(VLOOKUP('102 5.1.00'!Q53,'102 5.1.00'!$AM$4:$AO$55,2,FALSE))*IF('102 5.1.00'!AS$4="是",'102 5.1.00'!$AX$4,'102 5.1.00'!$AX$3)</f>
        <v>190</v>
      </c>
      <c r="J53" s="6">
        <f>(VLOOKUP('102 5.1.00'!R53,'102 5.1.00'!$AM$4:$AO$55,2,FALSE))*IF('102 5.1.00'!AT$4="是",'102 5.1.00'!$AX$4,'102 5.1.00'!$AX$3)</f>
        <v>190</v>
      </c>
      <c r="K53" s="6">
        <f>(VLOOKUP('102 5.1.00'!S53,'102 5.1.00'!$AM$4:$AO$55,2,FALSE))*IF('102 5.1.00'!AU$4="是",'102 5.1.00'!$AX$4,'102 5.1.00'!$AX$3)</f>
        <v>190</v>
      </c>
      <c r="L53" s="6">
        <f>(VLOOKUP('102 5.1.00'!T53,'102 5.1.00'!$AM$4:$AO$55,2,FALSE))*IF('102 5.1.00'!AV$4="是",'102 5.1.00'!$AX$4,'102 5.1.00'!$AX$3)</f>
        <v>180</v>
      </c>
      <c r="M53" s="6">
        <f>(VLOOKUP('102 5.1.00'!U53,'102 5.1.00'!$AM$4:$AO$55,2,FALSE))*IF('102 5.1.00'!AW$4="是",'102 5.1.00'!$AX$4,'102 5.1.00'!$AX$3)</f>
        <v>190</v>
      </c>
      <c r="N53" s="6">
        <f>(VLOOKUP('102 5.1.00'!V53,'102 5.1.00'!$AM$4:$AO$55,2,FALSE))*IF('102 5.1.00'!AX$4="是",'102 5.1.00'!$AX$4,'102 5.1.00'!$AX$3)</f>
        <v>0</v>
      </c>
      <c r="O53" s="7">
        <f>(VLOOKUP('102 5.1.00'!W53,'102 5.1.00'!$AM$4:$AO$55,2,FALSE))*IF('102 5.1.00'!AY$4="是",'102 5.1.00'!$AX$4,'102 5.1.00'!$AX$3)</f>
        <v>0</v>
      </c>
      <c r="P53" s="7">
        <f>(VLOOKUP('102 5.1.00'!X53,'102 5.1.00'!$AM$4:$AO$55,2,FALSE))*IF('102 5.1.00'!AZ$4="是",'102 5.1.00'!$AX$4,'102 5.1.00'!$AX$3)</f>
        <v>0</v>
      </c>
      <c r="Q53" s="6">
        <f>(VLOOKUP('102 5.1.00'!Y53,'102 5.1.00'!$AM$4:$AO$55,2,FALSE))*IF('102 5.1.00'!BA$4="是",'102 5.1.00'!$AX$4,'102 5.1.00'!$AX$3)</f>
        <v>0</v>
      </c>
      <c r="R53" s="6">
        <f>(VLOOKUP('102 5.1.00'!Z53,'102 5.1.00'!$AM$4:$AO$55,2,FALSE))*IF('102 5.1.00'!BB$4="是",'102 5.1.00'!$AX$4,'102 5.1.00'!$AX$3)</f>
        <v>0</v>
      </c>
      <c r="S53" s="6">
        <f>(VLOOKUP('102 5.1.00'!AA53,'102 5.1.00'!$AM$4:$AO$55,2,FALSE))*IF('102 5.1.00'!BC$4="是",'102 5.1.00'!$AX$4,'102 5.1.00'!$AX$3)</f>
        <v>0</v>
      </c>
      <c r="T53" s="6">
        <f>(VLOOKUP('102 5.1.00'!AB53,'102 5.1.00'!$AM$4:$AO$55,2,FALSE))*IF('102 5.1.00'!BD$4="是",'102 5.1.00'!$AX$4,'102 5.1.00'!$AX$3)</f>
        <v>0</v>
      </c>
      <c r="U53" s="6">
        <f>(VLOOKUP('102 5.1.00'!AC53,'102 5.1.00'!$AM$4:$AO$55,2,FALSE))*IF('102 5.1.00'!BE$4="是",'102 5.1.00'!$AX$4,'102 5.1.00'!$AX$3)</f>
        <v>0</v>
      </c>
      <c r="V53" s="6">
        <f>(VLOOKUP('102 5.1.00'!AD53,'102 5.1.00'!$AM$4:$AO$55,2,FALSE))*IF('102 5.1.00'!BF$4="是",'102 5.1.00'!$AX$4,'102 5.1.00'!$AX$3)</f>
        <v>0</v>
      </c>
      <c r="W53" s="7">
        <f>(VLOOKUP('102 5.1.00'!AE53,'102 5.1.00'!$AM$4:$AO$55,2,FALSE))*IF('102 5.1.00'!BG$4="是",'102 5.1.00'!$AX$4,'102 5.1.00'!$AX$3)</f>
        <v>0</v>
      </c>
      <c r="X53" s="7">
        <f>(VLOOKUP('102 5.1.00'!AF53,'102 5.1.00'!$AM$4:$AO$55,2,FALSE))*IF('102 5.1.00'!BH$4="是",'102 5.1.00'!$AX$4,'102 5.1.00'!$AX$3)</f>
        <v>0</v>
      </c>
    </row>
    <row r="54" spans="1:24">
      <c r="A54" s="6">
        <f>(VLOOKUP('102 5.1.00'!I54,'102 5.1.00'!$AM$4:$AO$55,2,FALSE))*IF('102 5.1.00'!AK$4="是",'102 5.1.00'!$AX$4,'102 5.1.00'!$AX$3)</f>
        <v>200</v>
      </c>
      <c r="B54" s="6">
        <f>(VLOOKUP('102 5.1.00'!J54,'102 5.1.00'!$AM$4:$AO$55,2,FALSE))*IF('102 5.1.00'!AL$4="是",'102 5.1.00'!$AX$4,'102 5.1.00'!$AX$3)</f>
        <v>200</v>
      </c>
      <c r="C54" s="6">
        <f>(VLOOKUP('102 5.1.00'!K54,'102 5.1.00'!$AM$4:$AO$55,2,FALSE))*IF('102 5.1.00'!AM$4="是",'102 5.1.00'!$AX$4,'102 5.1.00'!$AX$3)</f>
        <v>200</v>
      </c>
      <c r="D54" s="6">
        <f>(VLOOKUP('102 5.1.00'!L54,'102 5.1.00'!$AM$4:$AO$55,2,FALSE))*IF('102 5.1.00'!AN$4="是",'102 5.1.00'!$AX$4,'102 5.1.00'!$AX$3)</f>
        <v>200</v>
      </c>
      <c r="E54" s="6">
        <f>(VLOOKUP('102 5.1.00'!M54,'102 5.1.00'!$AM$4:$AO$55,2,FALSE))*IF('102 5.1.00'!AO$4="是",'102 5.1.00'!$AX$4,'102 5.1.00'!$AX$3)</f>
        <v>200</v>
      </c>
      <c r="F54" s="6">
        <f>(VLOOKUP('102 5.1.00'!N54,'102 5.1.00'!$AM$4:$AO$55,2,FALSE))*IF('102 5.1.00'!AP$4="是",'102 5.1.00'!$AX$4,'102 5.1.00'!$AX$3)</f>
        <v>200</v>
      </c>
      <c r="G54" s="7">
        <f>(VLOOKUP('102 5.1.00'!O54,'102 5.1.00'!$AM$4:$AO$55,2,FALSE))*IF('102 5.1.00'!AQ$4="是",'102 5.1.00'!$AX$4,'102 5.1.00'!$AX$3)</f>
        <v>0</v>
      </c>
      <c r="H54" s="7">
        <f>(VLOOKUP('102 5.1.00'!P54,'102 5.1.00'!$AM$4:$AO$55,2,FALSE))*IF('102 5.1.00'!AR$4="是",'102 5.1.00'!$AX$4,'102 5.1.00'!$AX$3)</f>
        <v>0</v>
      </c>
      <c r="I54" s="6">
        <f>(VLOOKUP('102 5.1.00'!Q54,'102 5.1.00'!$AM$4:$AO$55,2,FALSE))*IF('102 5.1.00'!AS$4="是",'102 5.1.00'!$AX$4,'102 5.1.00'!$AX$3)</f>
        <v>190</v>
      </c>
      <c r="J54" s="6">
        <f>(VLOOKUP('102 5.1.00'!R54,'102 5.1.00'!$AM$4:$AO$55,2,FALSE))*IF('102 5.1.00'!AT$4="是",'102 5.1.00'!$AX$4,'102 5.1.00'!$AX$3)</f>
        <v>190</v>
      </c>
      <c r="K54" s="6">
        <f>(VLOOKUP('102 5.1.00'!S54,'102 5.1.00'!$AM$4:$AO$55,2,FALSE))*IF('102 5.1.00'!AU$4="是",'102 5.1.00'!$AX$4,'102 5.1.00'!$AX$3)</f>
        <v>190</v>
      </c>
      <c r="L54" s="6">
        <f>(VLOOKUP('102 5.1.00'!T54,'102 5.1.00'!$AM$4:$AO$55,2,FALSE))*IF('102 5.1.00'!AV$4="是",'102 5.1.00'!$AX$4,'102 5.1.00'!$AX$3)</f>
        <v>180</v>
      </c>
      <c r="M54" s="6">
        <f>(VLOOKUP('102 5.1.00'!U54,'102 5.1.00'!$AM$4:$AO$55,2,FALSE))*IF('102 5.1.00'!AW$4="是",'102 5.1.00'!$AX$4,'102 5.1.00'!$AX$3)</f>
        <v>0</v>
      </c>
      <c r="N54" s="6">
        <f>(VLOOKUP('102 5.1.00'!V54,'102 5.1.00'!$AM$4:$AO$55,2,FALSE))*IF('102 5.1.00'!AX$4="是",'102 5.1.00'!$AX$4,'102 5.1.00'!$AX$3)</f>
        <v>0</v>
      </c>
      <c r="O54" s="7">
        <f>(VLOOKUP('102 5.1.00'!W54,'102 5.1.00'!$AM$4:$AO$55,2,FALSE))*IF('102 5.1.00'!AY$4="是",'102 5.1.00'!$AX$4,'102 5.1.00'!$AX$3)</f>
        <v>0</v>
      </c>
      <c r="P54" s="7">
        <f>(VLOOKUP('102 5.1.00'!X54,'102 5.1.00'!$AM$4:$AO$55,2,FALSE))*IF('102 5.1.00'!AZ$4="是",'102 5.1.00'!$AX$4,'102 5.1.00'!$AX$3)</f>
        <v>0</v>
      </c>
      <c r="Q54" s="6">
        <f>(VLOOKUP('102 5.1.00'!Y54,'102 5.1.00'!$AM$4:$AO$55,2,FALSE))*IF('102 5.1.00'!BA$4="是",'102 5.1.00'!$AX$4,'102 5.1.00'!$AX$3)</f>
        <v>0</v>
      </c>
      <c r="R54" s="6">
        <f>(VLOOKUP('102 5.1.00'!Z54,'102 5.1.00'!$AM$4:$AO$55,2,FALSE))*IF('102 5.1.00'!BB$4="是",'102 5.1.00'!$AX$4,'102 5.1.00'!$AX$3)</f>
        <v>0</v>
      </c>
      <c r="S54" s="6">
        <f>(VLOOKUP('102 5.1.00'!AA54,'102 5.1.00'!$AM$4:$AO$55,2,FALSE))*IF('102 5.1.00'!BC$4="是",'102 5.1.00'!$AX$4,'102 5.1.00'!$AX$3)</f>
        <v>0</v>
      </c>
      <c r="T54" s="6">
        <f>(VLOOKUP('102 5.1.00'!AB54,'102 5.1.00'!$AM$4:$AO$55,2,FALSE))*IF('102 5.1.00'!BD$4="是",'102 5.1.00'!$AX$4,'102 5.1.00'!$AX$3)</f>
        <v>0</v>
      </c>
      <c r="U54" s="6">
        <f>(VLOOKUP('102 5.1.00'!AC54,'102 5.1.00'!$AM$4:$AO$55,2,FALSE))*IF('102 5.1.00'!BE$4="是",'102 5.1.00'!$AX$4,'102 5.1.00'!$AX$3)</f>
        <v>0</v>
      </c>
      <c r="V54" s="6">
        <f>(VLOOKUP('102 5.1.00'!AD54,'102 5.1.00'!$AM$4:$AO$55,2,FALSE))*IF('102 5.1.00'!BF$4="是",'102 5.1.00'!$AX$4,'102 5.1.00'!$AX$3)</f>
        <v>0</v>
      </c>
      <c r="W54" s="7">
        <f>(VLOOKUP('102 5.1.00'!AE54,'102 5.1.00'!$AM$4:$AO$55,2,FALSE))*IF('102 5.1.00'!BG$4="是",'102 5.1.00'!$AX$4,'102 5.1.00'!$AX$3)</f>
        <v>0</v>
      </c>
      <c r="X54" s="7">
        <f>(VLOOKUP('102 5.1.00'!AF54,'102 5.1.00'!$AM$4:$AO$55,2,FALSE))*IF('102 5.1.00'!BH$4="是",'102 5.1.00'!$AX$4,'102 5.1.00'!$AX$3)</f>
        <v>0</v>
      </c>
    </row>
    <row r="55" spans="1:24">
      <c r="A55" s="6">
        <f>(VLOOKUP('102 5.1.00'!I55,'102 5.1.00'!$AM$4:$AO$55,2,FALSE))*IF('102 5.1.00'!AK$4="是",'102 5.1.00'!$AX$4,'102 5.1.00'!$AX$3)</f>
        <v>200</v>
      </c>
      <c r="B55" s="6">
        <f>(VLOOKUP('102 5.1.00'!J55,'102 5.1.00'!$AM$4:$AO$55,2,FALSE))*IF('102 5.1.00'!AL$4="是",'102 5.1.00'!$AX$4,'102 5.1.00'!$AX$3)</f>
        <v>200</v>
      </c>
      <c r="C55" s="6">
        <f>(VLOOKUP('102 5.1.00'!K55,'102 5.1.00'!$AM$4:$AO$55,2,FALSE))*IF('102 5.1.00'!AM$4="是",'102 5.1.00'!$AX$4,'102 5.1.00'!$AX$3)</f>
        <v>200</v>
      </c>
      <c r="D55" s="6">
        <f>(VLOOKUP('102 5.1.00'!L55,'102 5.1.00'!$AM$4:$AO$55,2,FALSE))*IF('102 5.1.00'!AN$4="是",'102 5.1.00'!$AX$4,'102 5.1.00'!$AX$3)</f>
        <v>200</v>
      </c>
      <c r="E55" s="6">
        <f>(VLOOKUP('102 5.1.00'!M55,'102 5.1.00'!$AM$4:$AO$55,2,FALSE))*IF('102 5.1.00'!AO$4="是",'102 5.1.00'!$AX$4,'102 5.1.00'!$AX$3)</f>
        <v>200</v>
      </c>
      <c r="F55" s="6">
        <f>(VLOOKUP('102 5.1.00'!N55,'102 5.1.00'!$AM$4:$AO$55,2,FALSE))*IF('102 5.1.00'!AP$4="是",'102 5.1.00'!$AX$4,'102 5.1.00'!$AX$3)</f>
        <v>200</v>
      </c>
      <c r="G55" s="7">
        <f>(VLOOKUP('102 5.1.00'!O55,'102 5.1.00'!$AM$4:$AO$55,2,FALSE))*IF('102 5.1.00'!AQ$4="是",'102 5.1.00'!$AX$4,'102 5.1.00'!$AX$3)</f>
        <v>0</v>
      </c>
      <c r="H55" s="7">
        <f>(VLOOKUP('102 5.1.00'!P55,'102 5.1.00'!$AM$4:$AO$55,2,FALSE))*IF('102 5.1.00'!AR$4="是",'102 5.1.00'!$AX$4,'102 5.1.00'!$AX$3)</f>
        <v>0</v>
      </c>
      <c r="I55" s="6">
        <f>(VLOOKUP('102 5.1.00'!Q55,'102 5.1.00'!$AM$4:$AO$55,2,FALSE))*IF('102 5.1.00'!AS$4="是",'102 5.1.00'!$AX$4,'102 5.1.00'!$AX$3)</f>
        <v>180</v>
      </c>
      <c r="J55" s="6">
        <f>(VLOOKUP('102 5.1.00'!R55,'102 5.1.00'!$AM$4:$AO$55,2,FALSE))*IF('102 5.1.00'!AT$4="是",'102 5.1.00'!$AX$4,'102 5.1.00'!$AX$3)</f>
        <v>180</v>
      </c>
      <c r="K55" s="6">
        <f>(VLOOKUP('102 5.1.00'!S55,'102 5.1.00'!$AM$4:$AO$55,2,FALSE))*IF('102 5.1.00'!AU$4="是",'102 5.1.00'!$AX$4,'102 5.1.00'!$AX$3)</f>
        <v>180</v>
      </c>
      <c r="L55" s="6">
        <f>(VLOOKUP('102 5.1.00'!T55,'102 5.1.00'!$AM$4:$AO$55,2,FALSE))*IF('102 5.1.00'!AV$4="是",'102 5.1.00'!$AX$4,'102 5.1.00'!$AX$3)</f>
        <v>180</v>
      </c>
      <c r="M55" s="6">
        <f>(VLOOKUP('102 5.1.00'!U55,'102 5.1.00'!$AM$4:$AO$55,2,FALSE))*IF('102 5.1.00'!AW$4="是",'102 5.1.00'!$AX$4,'102 5.1.00'!$AX$3)</f>
        <v>180</v>
      </c>
      <c r="N55" s="6">
        <f>(VLOOKUP('102 5.1.00'!V55,'102 5.1.00'!$AM$4:$AO$55,2,FALSE))*IF('102 5.1.00'!AX$4="是",'102 5.1.00'!$AX$4,'102 5.1.00'!$AX$3)</f>
        <v>0</v>
      </c>
      <c r="O55" s="7">
        <f>(VLOOKUP('102 5.1.00'!W55,'102 5.1.00'!$AM$4:$AO$55,2,FALSE))*IF('102 5.1.00'!AY$4="是",'102 5.1.00'!$AX$4,'102 5.1.00'!$AX$3)</f>
        <v>0</v>
      </c>
      <c r="P55" s="7">
        <f>(VLOOKUP('102 5.1.00'!X55,'102 5.1.00'!$AM$4:$AO$55,2,FALSE))*IF('102 5.1.00'!AZ$4="是",'102 5.1.00'!$AX$4,'102 5.1.00'!$AX$3)</f>
        <v>0</v>
      </c>
      <c r="Q55" s="6">
        <f>(VLOOKUP('102 5.1.00'!Y55,'102 5.1.00'!$AM$4:$AO$55,2,FALSE))*IF('102 5.1.00'!BA$4="是",'102 5.1.00'!$AX$4,'102 5.1.00'!$AX$3)</f>
        <v>0</v>
      </c>
      <c r="R55" s="6">
        <f>(VLOOKUP('102 5.1.00'!Z55,'102 5.1.00'!$AM$4:$AO$55,2,FALSE))*IF('102 5.1.00'!BB$4="是",'102 5.1.00'!$AX$4,'102 5.1.00'!$AX$3)</f>
        <v>0</v>
      </c>
      <c r="S55" s="6">
        <f>(VLOOKUP('102 5.1.00'!AA55,'102 5.1.00'!$AM$4:$AO$55,2,FALSE))*IF('102 5.1.00'!BC$4="是",'102 5.1.00'!$AX$4,'102 5.1.00'!$AX$3)</f>
        <v>0</v>
      </c>
      <c r="T55" s="6">
        <f>(VLOOKUP('102 5.1.00'!AB55,'102 5.1.00'!$AM$4:$AO$55,2,FALSE))*IF('102 5.1.00'!BD$4="是",'102 5.1.00'!$AX$4,'102 5.1.00'!$AX$3)</f>
        <v>0</v>
      </c>
      <c r="U55" s="6">
        <f>(VLOOKUP('102 5.1.00'!AC55,'102 5.1.00'!$AM$4:$AO$55,2,FALSE))*IF('102 5.1.00'!BE$4="是",'102 5.1.00'!$AX$4,'102 5.1.00'!$AX$3)</f>
        <v>0</v>
      </c>
      <c r="V55" s="6">
        <f>(VLOOKUP('102 5.1.00'!AD55,'102 5.1.00'!$AM$4:$AO$55,2,FALSE))*IF('102 5.1.00'!BF$4="是",'102 5.1.00'!$AX$4,'102 5.1.00'!$AX$3)</f>
        <v>0</v>
      </c>
      <c r="W55" s="7">
        <f>(VLOOKUP('102 5.1.00'!AE55,'102 5.1.00'!$AM$4:$AO$55,2,FALSE))*IF('102 5.1.00'!BG$4="是",'102 5.1.00'!$AX$4,'102 5.1.00'!$AX$3)</f>
        <v>0</v>
      </c>
      <c r="X55" s="7">
        <f>(VLOOKUP('102 5.1.00'!AF55,'102 5.1.00'!$AM$4:$AO$55,2,FALSE))*IF('102 5.1.00'!BH$4="是",'102 5.1.00'!$AX$4,'102 5.1.00'!$AX$3)</f>
        <v>0</v>
      </c>
    </row>
    <row r="56" spans="1:24">
      <c r="A56" s="6">
        <f>(VLOOKUP('102 5.1.00'!I56,'102 5.1.00'!$AM$4:$AO$55,2,FALSE))*IF('102 5.1.00'!AK$4="是",'102 5.1.00'!$AX$4,'102 5.1.00'!$AX$3)</f>
        <v>200</v>
      </c>
      <c r="B56" s="6">
        <f>(VLOOKUP('102 5.1.00'!J56,'102 5.1.00'!$AM$4:$AO$55,2,FALSE))*IF('102 5.1.00'!AL$4="是",'102 5.1.00'!$AX$4,'102 5.1.00'!$AX$3)</f>
        <v>200</v>
      </c>
      <c r="C56" s="6">
        <f>(VLOOKUP('102 5.1.00'!K56,'102 5.1.00'!$AM$4:$AO$55,2,FALSE))*IF('102 5.1.00'!AM$4="是",'102 5.1.00'!$AX$4,'102 5.1.00'!$AX$3)</f>
        <v>200</v>
      </c>
      <c r="D56" s="6">
        <f>(VLOOKUP('102 5.1.00'!L56,'102 5.1.00'!$AM$4:$AO$55,2,FALSE))*IF('102 5.1.00'!AN$4="是",'102 5.1.00'!$AX$4,'102 5.1.00'!$AX$3)</f>
        <v>200</v>
      </c>
      <c r="E56" s="6">
        <f>(VLOOKUP('102 5.1.00'!M56,'102 5.1.00'!$AM$4:$AO$55,2,FALSE))*IF('102 5.1.00'!AO$4="是",'102 5.1.00'!$AX$4,'102 5.1.00'!$AX$3)</f>
        <v>200</v>
      </c>
      <c r="F56" s="6">
        <f>(VLOOKUP('102 5.1.00'!N56,'102 5.1.00'!$AM$4:$AO$55,2,FALSE))*IF('102 5.1.00'!AP$4="是",'102 5.1.00'!$AX$4,'102 5.1.00'!$AX$3)</f>
        <v>200</v>
      </c>
      <c r="G56" s="7">
        <f>(VLOOKUP('102 5.1.00'!O56,'102 5.1.00'!$AM$4:$AO$55,2,FALSE))*IF('102 5.1.00'!AQ$4="是",'102 5.1.00'!$AX$4,'102 5.1.00'!$AX$3)</f>
        <v>0</v>
      </c>
      <c r="H56" s="7">
        <f>(VLOOKUP('102 5.1.00'!P56,'102 5.1.00'!$AM$4:$AO$55,2,FALSE))*IF('102 5.1.00'!AR$4="是",'102 5.1.00'!$AX$4,'102 5.1.00'!$AX$3)</f>
        <v>0</v>
      </c>
      <c r="I56" s="6">
        <f>(VLOOKUP('102 5.1.00'!Q56,'102 5.1.00'!$AM$4:$AO$55,2,FALSE))*IF('102 5.1.00'!AS$4="是",'102 5.1.00'!$AX$4,'102 5.1.00'!$AX$3)</f>
        <v>180</v>
      </c>
      <c r="J56" s="6">
        <f>(VLOOKUP('102 5.1.00'!R56,'102 5.1.00'!$AM$4:$AO$55,2,FALSE))*IF('102 5.1.00'!AT$4="是",'102 5.1.00'!$AX$4,'102 5.1.00'!$AX$3)</f>
        <v>180</v>
      </c>
      <c r="K56" s="6">
        <f>(VLOOKUP('102 5.1.00'!S56,'102 5.1.00'!$AM$4:$AO$55,2,FALSE))*IF('102 5.1.00'!AU$4="是",'102 5.1.00'!$AX$4,'102 5.1.00'!$AX$3)</f>
        <v>180</v>
      </c>
      <c r="L56" s="6">
        <f>(VLOOKUP('102 5.1.00'!T56,'102 5.1.00'!$AM$4:$AO$55,2,FALSE))*IF('102 5.1.00'!AV$4="是",'102 5.1.00'!$AX$4,'102 5.1.00'!$AX$3)</f>
        <v>150</v>
      </c>
      <c r="M56" s="6">
        <f>(VLOOKUP('102 5.1.00'!U56,'102 5.1.00'!$AM$4:$AO$55,2,FALSE))*IF('102 5.1.00'!AW$4="是",'102 5.1.00'!$AX$4,'102 5.1.00'!$AX$3)</f>
        <v>0</v>
      </c>
      <c r="N56" s="6">
        <f>(VLOOKUP('102 5.1.00'!V56,'102 5.1.00'!$AM$4:$AO$55,2,FALSE))*IF('102 5.1.00'!AX$4="是",'102 5.1.00'!$AX$4,'102 5.1.00'!$AX$3)</f>
        <v>0</v>
      </c>
      <c r="O56" s="7">
        <f>(VLOOKUP('102 5.1.00'!W56,'102 5.1.00'!$AM$4:$AO$55,2,FALSE))*IF('102 5.1.00'!AY$4="是",'102 5.1.00'!$AX$4,'102 5.1.00'!$AX$3)</f>
        <v>0</v>
      </c>
      <c r="P56" s="7">
        <f>(VLOOKUP('102 5.1.00'!X56,'102 5.1.00'!$AM$4:$AO$55,2,FALSE))*IF('102 5.1.00'!AZ$4="是",'102 5.1.00'!$AX$4,'102 5.1.00'!$AX$3)</f>
        <v>0</v>
      </c>
      <c r="Q56" s="6">
        <f>(VLOOKUP('102 5.1.00'!Y56,'102 5.1.00'!$AM$4:$AO$55,2,FALSE))*IF('102 5.1.00'!BA$4="是",'102 5.1.00'!$AX$4,'102 5.1.00'!$AX$3)</f>
        <v>0</v>
      </c>
      <c r="R56" s="6">
        <f>(VLOOKUP('102 5.1.00'!Z56,'102 5.1.00'!$AM$4:$AO$55,2,FALSE))*IF('102 5.1.00'!BB$4="是",'102 5.1.00'!$AX$4,'102 5.1.00'!$AX$3)</f>
        <v>0</v>
      </c>
      <c r="S56" s="6">
        <f>(VLOOKUP('102 5.1.00'!AA56,'102 5.1.00'!$AM$4:$AO$55,2,FALSE))*IF('102 5.1.00'!BC$4="是",'102 5.1.00'!$AX$4,'102 5.1.00'!$AX$3)</f>
        <v>0</v>
      </c>
      <c r="T56" s="6">
        <f>(VLOOKUP('102 5.1.00'!AB56,'102 5.1.00'!$AM$4:$AO$55,2,FALSE))*IF('102 5.1.00'!BD$4="是",'102 5.1.00'!$AX$4,'102 5.1.00'!$AX$3)</f>
        <v>0</v>
      </c>
      <c r="U56" s="6">
        <f>(VLOOKUP('102 5.1.00'!AC56,'102 5.1.00'!$AM$4:$AO$55,2,FALSE))*IF('102 5.1.00'!BE$4="是",'102 5.1.00'!$AX$4,'102 5.1.00'!$AX$3)</f>
        <v>0</v>
      </c>
      <c r="V56" s="6">
        <f>(VLOOKUP('102 5.1.00'!AD56,'102 5.1.00'!$AM$4:$AO$55,2,FALSE))*IF('102 5.1.00'!BF$4="是",'102 5.1.00'!$AX$4,'102 5.1.00'!$AX$3)</f>
        <v>0</v>
      </c>
      <c r="W56" s="7">
        <f>(VLOOKUP('102 5.1.00'!AE56,'102 5.1.00'!$AM$4:$AO$55,2,FALSE))*IF('102 5.1.00'!BG$4="是",'102 5.1.00'!$AX$4,'102 5.1.00'!$AX$3)</f>
        <v>0</v>
      </c>
      <c r="X56" s="7">
        <f>(VLOOKUP('102 5.1.00'!AF56,'102 5.1.00'!$AM$4:$AO$55,2,FALSE))*IF('102 5.1.00'!BH$4="是",'102 5.1.00'!$AX$4,'102 5.1.00'!$AX$3)</f>
        <v>0</v>
      </c>
    </row>
    <row r="57" spans="1:24">
      <c r="A57" s="6">
        <f>(VLOOKUP('102 5.1.00'!I57,'102 5.1.00'!$AM$4:$AO$55,2,FALSE))*IF('102 5.1.00'!AK$4="是",'102 5.1.00'!$AX$4,'102 5.1.00'!$AX$3)</f>
        <v>200</v>
      </c>
      <c r="B57" s="6">
        <f>(VLOOKUP('102 5.1.00'!J57,'102 5.1.00'!$AM$4:$AO$55,2,FALSE))*IF('102 5.1.00'!AL$4="是",'102 5.1.00'!$AX$4,'102 5.1.00'!$AX$3)</f>
        <v>200</v>
      </c>
      <c r="C57" s="6">
        <f>(VLOOKUP('102 5.1.00'!K57,'102 5.1.00'!$AM$4:$AO$55,2,FALSE))*IF('102 5.1.00'!AM$4="是",'102 5.1.00'!$AX$4,'102 5.1.00'!$AX$3)</f>
        <v>200</v>
      </c>
      <c r="D57" s="6">
        <f>(VLOOKUP('102 5.1.00'!L57,'102 5.1.00'!$AM$4:$AO$55,2,FALSE))*IF('102 5.1.00'!AN$4="是",'102 5.1.00'!$AX$4,'102 5.1.00'!$AX$3)</f>
        <v>200</v>
      </c>
      <c r="E57" s="6">
        <f>(VLOOKUP('102 5.1.00'!M57,'102 5.1.00'!$AM$4:$AO$55,2,FALSE))*IF('102 5.1.00'!AO$4="是",'102 5.1.00'!$AX$4,'102 5.1.00'!$AX$3)</f>
        <v>200</v>
      </c>
      <c r="F57" s="6">
        <f>(VLOOKUP('102 5.1.00'!N57,'102 5.1.00'!$AM$4:$AO$55,2,FALSE))*IF('102 5.1.00'!AP$4="是",'102 5.1.00'!$AX$4,'102 5.1.00'!$AX$3)</f>
        <v>200</v>
      </c>
      <c r="G57" s="7">
        <f>(VLOOKUP('102 5.1.00'!O57,'102 5.1.00'!$AM$4:$AO$55,2,FALSE))*IF('102 5.1.00'!AQ$4="是",'102 5.1.00'!$AX$4,'102 5.1.00'!$AX$3)</f>
        <v>0</v>
      </c>
      <c r="H57" s="7">
        <f>(VLOOKUP('102 5.1.00'!P57,'102 5.1.00'!$AM$4:$AO$55,2,FALSE))*IF('102 5.1.00'!AR$4="是",'102 5.1.00'!$AX$4,'102 5.1.00'!$AX$3)</f>
        <v>0</v>
      </c>
      <c r="I57" s="6">
        <f>(VLOOKUP('102 5.1.00'!Q57,'102 5.1.00'!$AM$4:$AO$55,2,FALSE))*IF('102 5.1.00'!AS$4="是",'102 5.1.00'!$AX$4,'102 5.1.00'!$AX$3)</f>
        <v>180</v>
      </c>
      <c r="J57" s="6">
        <f>(VLOOKUP('102 5.1.00'!R57,'102 5.1.00'!$AM$4:$AO$55,2,FALSE))*IF('102 5.1.00'!AT$4="是",'102 5.1.00'!$AX$4,'102 5.1.00'!$AX$3)</f>
        <v>180</v>
      </c>
      <c r="K57" s="6">
        <f>(VLOOKUP('102 5.1.00'!S57,'102 5.1.00'!$AM$4:$AO$55,2,FALSE))*IF('102 5.1.00'!AU$4="是",'102 5.1.00'!$AX$4,'102 5.1.00'!$AX$3)</f>
        <v>180</v>
      </c>
      <c r="L57" s="6">
        <f>(VLOOKUP('102 5.1.00'!T57,'102 5.1.00'!$AM$4:$AO$55,2,FALSE))*IF('102 5.1.00'!AV$4="是",'102 5.1.00'!$AX$4,'102 5.1.00'!$AX$3)</f>
        <v>180</v>
      </c>
      <c r="M57" s="6">
        <f>(VLOOKUP('102 5.1.00'!U57,'102 5.1.00'!$AM$4:$AO$55,2,FALSE))*IF('102 5.1.00'!AW$4="是",'102 5.1.00'!$AX$4,'102 5.1.00'!$AX$3)</f>
        <v>180</v>
      </c>
      <c r="N57" s="6">
        <f>(VLOOKUP('102 5.1.00'!V57,'102 5.1.00'!$AM$4:$AO$55,2,FALSE))*IF('102 5.1.00'!AX$4="是",'102 5.1.00'!$AX$4,'102 5.1.00'!$AX$3)</f>
        <v>0</v>
      </c>
      <c r="O57" s="7">
        <f>(VLOOKUP('102 5.1.00'!W57,'102 5.1.00'!$AM$4:$AO$55,2,FALSE))*IF('102 5.1.00'!AY$4="是",'102 5.1.00'!$AX$4,'102 5.1.00'!$AX$3)</f>
        <v>0</v>
      </c>
      <c r="P57" s="7">
        <f>(VLOOKUP('102 5.1.00'!X57,'102 5.1.00'!$AM$4:$AO$55,2,FALSE))*IF('102 5.1.00'!AZ$4="是",'102 5.1.00'!$AX$4,'102 5.1.00'!$AX$3)</f>
        <v>0</v>
      </c>
      <c r="Q57" s="6">
        <f>(VLOOKUP('102 5.1.00'!Y57,'102 5.1.00'!$AM$4:$AO$55,2,FALSE))*IF('102 5.1.00'!BA$4="是",'102 5.1.00'!$AX$4,'102 5.1.00'!$AX$3)</f>
        <v>0</v>
      </c>
      <c r="R57" s="6">
        <f>(VLOOKUP('102 5.1.00'!Z57,'102 5.1.00'!$AM$4:$AO$55,2,FALSE))*IF('102 5.1.00'!BB$4="是",'102 5.1.00'!$AX$4,'102 5.1.00'!$AX$3)</f>
        <v>0</v>
      </c>
      <c r="S57" s="6">
        <f>(VLOOKUP('102 5.1.00'!AA57,'102 5.1.00'!$AM$4:$AO$55,2,FALSE))*IF('102 5.1.00'!BC$4="是",'102 5.1.00'!$AX$4,'102 5.1.00'!$AX$3)</f>
        <v>0</v>
      </c>
      <c r="T57" s="6">
        <f>(VLOOKUP('102 5.1.00'!AB57,'102 5.1.00'!$AM$4:$AO$55,2,FALSE))*IF('102 5.1.00'!BD$4="是",'102 5.1.00'!$AX$4,'102 5.1.00'!$AX$3)</f>
        <v>0</v>
      </c>
      <c r="U57" s="6">
        <f>(VLOOKUP('102 5.1.00'!AC57,'102 5.1.00'!$AM$4:$AO$55,2,FALSE))*IF('102 5.1.00'!BE$4="是",'102 5.1.00'!$AX$4,'102 5.1.00'!$AX$3)</f>
        <v>0</v>
      </c>
      <c r="V57" s="6">
        <f>(VLOOKUP('102 5.1.00'!AD57,'102 5.1.00'!$AM$4:$AO$55,2,FALSE))*IF('102 5.1.00'!BF$4="是",'102 5.1.00'!$AX$4,'102 5.1.00'!$AX$3)</f>
        <v>0</v>
      </c>
      <c r="W57" s="7">
        <f>(VLOOKUP('102 5.1.00'!AE57,'102 5.1.00'!$AM$4:$AO$55,2,FALSE))*IF('102 5.1.00'!BG$4="是",'102 5.1.00'!$AX$4,'102 5.1.00'!$AX$3)</f>
        <v>0</v>
      </c>
      <c r="X57" s="7">
        <f>(VLOOKUP('102 5.1.00'!AF57,'102 5.1.00'!$AM$4:$AO$55,2,FALSE))*IF('102 5.1.00'!BH$4="是",'102 5.1.00'!$AX$4,'102 5.1.00'!$AX$3)</f>
        <v>0</v>
      </c>
    </row>
    <row r="58" spans="1:24">
      <c r="A58" s="6">
        <f>(VLOOKUP('102 5.1.00'!I58,'102 5.1.00'!$AM$4:$AO$55,2,FALSE))*IF('102 5.1.00'!AK$4="是",'102 5.1.00'!$AX$4,'102 5.1.00'!$AX$3)</f>
        <v>200</v>
      </c>
      <c r="B58" s="6">
        <f>(VLOOKUP('102 5.1.00'!J58,'102 5.1.00'!$AM$4:$AO$55,2,FALSE))*IF('102 5.1.00'!AL$4="是",'102 5.1.00'!$AX$4,'102 5.1.00'!$AX$3)</f>
        <v>200</v>
      </c>
      <c r="C58" s="6">
        <f>(VLOOKUP('102 5.1.00'!K58,'102 5.1.00'!$AM$4:$AO$55,2,FALSE))*IF('102 5.1.00'!AM$4="是",'102 5.1.00'!$AX$4,'102 5.1.00'!$AX$3)</f>
        <v>200</v>
      </c>
      <c r="D58" s="6">
        <f>(VLOOKUP('102 5.1.00'!L58,'102 5.1.00'!$AM$4:$AO$55,2,FALSE))*IF('102 5.1.00'!AN$4="是",'102 5.1.00'!$AX$4,'102 5.1.00'!$AX$3)</f>
        <v>200</v>
      </c>
      <c r="E58" s="6">
        <f>(VLOOKUP('102 5.1.00'!M58,'102 5.1.00'!$AM$4:$AO$55,2,FALSE))*IF('102 5.1.00'!AO$4="是",'102 5.1.00'!$AX$4,'102 5.1.00'!$AX$3)</f>
        <v>200</v>
      </c>
      <c r="F58" s="6">
        <f>(VLOOKUP('102 5.1.00'!N58,'102 5.1.00'!$AM$4:$AO$55,2,FALSE))*IF('102 5.1.00'!AP$4="是",'102 5.1.00'!$AX$4,'102 5.1.00'!$AX$3)</f>
        <v>200</v>
      </c>
      <c r="G58" s="7">
        <f>(VLOOKUP('102 5.1.00'!O58,'102 5.1.00'!$AM$4:$AO$55,2,FALSE))*IF('102 5.1.00'!AQ$4="是",'102 5.1.00'!$AX$4,'102 5.1.00'!$AX$3)</f>
        <v>0</v>
      </c>
      <c r="H58" s="7">
        <f>(VLOOKUP('102 5.1.00'!P58,'102 5.1.00'!$AM$4:$AO$55,2,FALSE))*IF('102 5.1.00'!AR$4="是",'102 5.1.00'!$AX$4,'102 5.1.00'!$AX$3)</f>
        <v>0</v>
      </c>
      <c r="I58" s="6">
        <f>(VLOOKUP('102 5.1.00'!Q58,'102 5.1.00'!$AM$4:$AO$55,2,FALSE))*IF('102 5.1.00'!AS$4="是",'102 5.1.00'!$AX$4,'102 5.1.00'!$AX$3)</f>
        <v>180</v>
      </c>
      <c r="J58" s="6">
        <f>(VLOOKUP('102 5.1.00'!R58,'102 5.1.00'!$AM$4:$AO$55,2,FALSE))*IF('102 5.1.00'!AT$4="是",'102 5.1.00'!$AX$4,'102 5.1.00'!$AX$3)</f>
        <v>180</v>
      </c>
      <c r="K58" s="6">
        <f>(VLOOKUP('102 5.1.00'!S58,'102 5.1.00'!$AM$4:$AO$55,2,FALSE))*IF('102 5.1.00'!AU$4="是",'102 5.1.00'!$AX$4,'102 5.1.00'!$AX$3)</f>
        <v>180</v>
      </c>
      <c r="L58" s="6">
        <f>(VLOOKUP('102 5.1.00'!T58,'102 5.1.00'!$AM$4:$AO$55,2,FALSE))*IF('102 5.1.00'!AV$4="是",'102 5.1.00'!$AX$4,'102 5.1.00'!$AX$3)</f>
        <v>180</v>
      </c>
      <c r="M58" s="6">
        <f>(VLOOKUP('102 5.1.00'!U58,'102 5.1.00'!$AM$4:$AO$55,2,FALSE))*IF('102 5.1.00'!AW$4="是",'102 5.1.00'!$AX$4,'102 5.1.00'!$AX$3)</f>
        <v>0</v>
      </c>
      <c r="N58" s="6">
        <f>(VLOOKUP('102 5.1.00'!V58,'102 5.1.00'!$AM$4:$AO$55,2,FALSE))*IF('102 5.1.00'!AX$4="是",'102 5.1.00'!$AX$4,'102 5.1.00'!$AX$3)</f>
        <v>0</v>
      </c>
      <c r="O58" s="7">
        <f>(VLOOKUP('102 5.1.00'!W58,'102 5.1.00'!$AM$4:$AO$55,2,FALSE))*IF('102 5.1.00'!AY$4="是",'102 5.1.00'!$AX$4,'102 5.1.00'!$AX$3)</f>
        <v>0</v>
      </c>
      <c r="P58" s="7">
        <f>(VLOOKUP('102 5.1.00'!X58,'102 5.1.00'!$AM$4:$AO$55,2,FALSE))*IF('102 5.1.00'!AZ$4="是",'102 5.1.00'!$AX$4,'102 5.1.00'!$AX$3)</f>
        <v>0</v>
      </c>
      <c r="Q58" s="6">
        <f>(VLOOKUP('102 5.1.00'!Y58,'102 5.1.00'!$AM$4:$AO$55,2,FALSE))*IF('102 5.1.00'!BA$4="是",'102 5.1.00'!$AX$4,'102 5.1.00'!$AX$3)</f>
        <v>0</v>
      </c>
      <c r="R58" s="6">
        <f>(VLOOKUP('102 5.1.00'!Z58,'102 5.1.00'!$AM$4:$AO$55,2,FALSE))*IF('102 5.1.00'!BB$4="是",'102 5.1.00'!$AX$4,'102 5.1.00'!$AX$3)</f>
        <v>0</v>
      </c>
      <c r="S58" s="6">
        <f>(VLOOKUP('102 5.1.00'!AA58,'102 5.1.00'!$AM$4:$AO$55,2,FALSE))*IF('102 5.1.00'!BC$4="是",'102 5.1.00'!$AX$4,'102 5.1.00'!$AX$3)</f>
        <v>0</v>
      </c>
      <c r="T58" s="6">
        <f>(VLOOKUP('102 5.1.00'!AB58,'102 5.1.00'!$AM$4:$AO$55,2,FALSE))*IF('102 5.1.00'!BD$4="是",'102 5.1.00'!$AX$4,'102 5.1.00'!$AX$3)</f>
        <v>0</v>
      </c>
      <c r="U58" s="6">
        <f>(VLOOKUP('102 5.1.00'!AC58,'102 5.1.00'!$AM$4:$AO$55,2,FALSE))*IF('102 5.1.00'!BE$4="是",'102 5.1.00'!$AX$4,'102 5.1.00'!$AX$3)</f>
        <v>0</v>
      </c>
      <c r="V58" s="6">
        <f>(VLOOKUP('102 5.1.00'!AD58,'102 5.1.00'!$AM$4:$AO$55,2,FALSE))*IF('102 5.1.00'!BF$4="是",'102 5.1.00'!$AX$4,'102 5.1.00'!$AX$3)</f>
        <v>0</v>
      </c>
      <c r="W58" s="7">
        <f>(VLOOKUP('102 5.1.00'!AE58,'102 5.1.00'!$AM$4:$AO$55,2,FALSE))*IF('102 5.1.00'!BG$4="是",'102 5.1.00'!$AX$4,'102 5.1.00'!$AX$3)</f>
        <v>0</v>
      </c>
      <c r="X58" s="7">
        <f>(VLOOKUP('102 5.1.00'!AF58,'102 5.1.00'!$AM$4:$AO$55,2,FALSE))*IF('102 5.1.00'!BH$4="是",'102 5.1.00'!$AX$4,'102 5.1.00'!$AX$3)</f>
        <v>0</v>
      </c>
    </row>
    <row r="59" spans="1:24">
      <c r="A59" s="6">
        <f>(VLOOKUP('102 5.1.00'!I59,'102 5.1.00'!$AM$4:$AO$55,2,FALSE))*IF('102 5.1.00'!AK$4="是",'102 5.1.00'!$AX$4,'102 5.1.00'!$AX$3)</f>
        <v>200</v>
      </c>
      <c r="B59" s="6">
        <f>(VLOOKUP('102 5.1.00'!J59,'102 5.1.00'!$AM$4:$AO$55,2,FALSE))*IF('102 5.1.00'!AL$4="是",'102 5.1.00'!$AX$4,'102 5.1.00'!$AX$3)</f>
        <v>200</v>
      </c>
      <c r="C59" s="6">
        <f>(VLOOKUP('102 5.1.00'!K59,'102 5.1.00'!$AM$4:$AO$55,2,FALSE))*IF('102 5.1.00'!AM$4="是",'102 5.1.00'!$AX$4,'102 5.1.00'!$AX$3)</f>
        <v>200</v>
      </c>
      <c r="D59" s="6">
        <f>(VLOOKUP('102 5.1.00'!L59,'102 5.1.00'!$AM$4:$AO$55,2,FALSE))*IF('102 5.1.00'!AN$4="是",'102 5.1.00'!$AX$4,'102 5.1.00'!$AX$3)</f>
        <v>200</v>
      </c>
      <c r="E59" s="6">
        <f>(VLOOKUP('102 5.1.00'!M59,'102 5.1.00'!$AM$4:$AO$55,2,FALSE))*IF('102 5.1.00'!AO$4="是",'102 5.1.00'!$AX$4,'102 5.1.00'!$AX$3)</f>
        <v>-200</v>
      </c>
      <c r="F59" s="6">
        <f>(VLOOKUP('102 5.1.00'!N59,'102 5.1.00'!$AM$4:$AO$55,2,FALSE))*IF('102 5.1.00'!AP$4="是",'102 5.1.00'!$AX$4,'102 5.1.00'!$AX$3)</f>
        <v>200</v>
      </c>
      <c r="G59" s="7">
        <f>(VLOOKUP('102 5.1.00'!O59,'102 5.1.00'!$AM$4:$AO$55,2,FALSE))*IF('102 5.1.00'!AQ$4="是",'102 5.1.00'!$AX$4,'102 5.1.00'!$AX$3)</f>
        <v>200</v>
      </c>
      <c r="H59" s="7">
        <f>(VLOOKUP('102 5.1.00'!P59,'102 5.1.00'!$AM$4:$AO$55,2,FALSE))*IF('102 5.1.00'!AR$4="是",'102 5.1.00'!$AX$4,'102 5.1.00'!$AX$3)</f>
        <v>200</v>
      </c>
      <c r="I59" s="6">
        <f>(VLOOKUP('102 5.1.00'!Q59,'102 5.1.00'!$AM$4:$AO$55,2,FALSE))*IF('102 5.1.00'!AS$4="是",'102 5.1.00'!$AX$4,'102 5.1.00'!$AX$3)</f>
        <v>180</v>
      </c>
      <c r="J59" s="6">
        <f>(VLOOKUP('102 5.1.00'!R59,'102 5.1.00'!$AM$4:$AO$55,2,FALSE))*IF('102 5.1.00'!AT$4="是",'102 5.1.00'!$AX$4,'102 5.1.00'!$AX$3)</f>
        <v>180</v>
      </c>
      <c r="K59" s="6">
        <f>(VLOOKUP('102 5.1.00'!S59,'102 5.1.00'!$AM$4:$AO$55,2,FALSE))*IF('102 5.1.00'!AU$4="是",'102 5.1.00'!$AX$4,'102 5.1.00'!$AX$3)</f>
        <v>50</v>
      </c>
      <c r="L59" s="6">
        <f>(VLOOKUP('102 5.1.00'!T59,'102 5.1.00'!$AM$4:$AO$55,2,FALSE))*IF('102 5.1.00'!AV$4="是",'102 5.1.00'!$AX$4,'102 5.1.00'!$AX$3)</f>
        <v>180</v>
      </c>
      <c r="M59" s="6">
        <f>(VLOOKUP('102 5.1.00'!U59,'102 5.1.00'!$AM$4:$AO$55,2,FALSE))*IF('102 5.1.00'!AW$4="是",'102 5.1.00'!$AX$4,'102 5.1.00'!$AX$3)</f>
        <v>180</v>
      </c>
      <c r="N59" s="6">
        <f>(VLOOKUP('102 5.1.00'!V59,'102 5.1.00'!$AM$4:$AO$55,2,FALSE))*IF('102 5.1.00'!AX$4="是",'102 5.1.00'!$AX$4,'102 5.1.00'!$AX$3)</f>
        <v>-200</v>
      </c>
      <c r="O59" s="7">
        <f>(VLOOKUP('102 5.1.00'!W59,'102 5.1.00'!$AM$4:$AO$55,2,FALSE))*IF('102 5.1.00'!AY$4="是",'102 5.1.00'!$AX$4,'102 5.1.00'!$AX$3)</f>
        <v>180</v>
      </c>
      <c r="P59" s="7">
        <f>(VLOOKUP('102 5.1.00'!X59,'102 5.1.00'!$AM$4:$AO$55,2,FALSE))*IF('102 5.1.00'!AZ$4="是",'102 5.1.00'!$AX$4,'102 5.1.00'!$AX$3)</f>
        <v>0</v>
      </c>
      <c r="Q59" s="6">
        <f>(VLOOKUP('102 5.1.00'!Y59,'102 5.1.00'!$AM$4:$AO$55,2,FALSE))*IF('102 5.1.00'!BA$4="是",'102 5.1.00'!$AX$4,'102 5.1.00'!$AX$3)</f>
        <v>0</v>
      </c>
      <c r="R59" s="6">
        <f>(VLOOKUP('102 5.1.00'!Z59,'102 5.1.00'!$AM$4:$AO$55,2,FALSE))*IF('102 5.1.00'!BB$4="是",'102 5.1.00'!$AX$4,'102 5.1.00'!$AX$3)</f>
        <v>0</v>
      </c>
      <c r="S59" s="6">
        <f>(VLOOKUP('102 5.1.00'!AA59,'102 5.1.00'!$AM$4:$AO$55,2,FALSE))*IF('102 5.1.00'!BC$4="是",'102 5.1.00'!$AX$4,'102 5.1.00'!$AX$3)</f>
        <v>0</v>
      </c>
      <c r="T59" s="6">
        <f>(VLOOKUP('102 5.1.00'!AB59,'102 5.1.00'!$AM$4:$AO$55,2,FALSE))*IF('102 5.1.00'!BD$4="是",'102 5.1.00'!$AX$4,'102 5.1.00'!$AX$3)</f>
        <v>0</v>
      </c>
      <c r="U59" s="6">
        <f>(VLOOKUP('102 5.1.00'!AC59,'102 5.1.00'!$AM$4:$AO$55,2,FALSE))*IF('102 5.1.00'!BE$4="是",'102 5.1.00'!$AX$4,'102 5.1.00'!$AX$3)</f>
        <v>0</v>
      </c>
      <c r="V59" s="6">
        <f>(VLOOKUP('102 5.1.00'!AD59,'102 5.1.00'!$AM$4:$AO$55,2,FALSE))*IF('102 5.1.00'!BF$4="是",'102 5.1.00'!$AX$4,'102 5.1.00'!$AX$3)</f>
        <v>0</v>
      </c>
      <c r="W59" s="7">
        <f>(VLOOKUP('102 5.1.00'!AE59,'102 5.1.00'!$AM$4:$AO$55,2,FALSE))*IF('102 5.1.00'!BG$4="是",'102 5.1.00'!$AX$4,'102 5.1.00'!$AX$3)</f>
        <v>0</v>
      </c>
      <c r="X59" s="7">
        <f>(VLOOKUP('102 5.1.00'!AF59,'102 5.1.00'!$AM$4:$AO$55,2,FALSE))*IF('102 5.1.00'!BH$4="是",'102 5.1.00'!$AX$4,'102 5.1.00'!$AX$3)</f>
        <v>0</v>
      </c>
    </row>
    <row r="60" spans="1:24">
      <c r="A60" s="6">
        <f>(VLOOKUP('102 5.1.00'!I60,'102 5.1.00'!$AM$4:$AO$55,2,FALSE))*IF('102 5.1.00'!AK$4="是",'102 5.1.00'!$AX$4,'102 5.1.00'!$AX$3)</f>
        <v>250</v>
      </c>
      <c r="B60" s="6">
        <f>(VLOOKUP('102 5.1.00'!J60,'102 5.1.00'!$AM$4:$AO$55,2,FALSE))*IF('102 5.1.00'!AL$4="是",'102 5.1.00'!$AX$4,'102 5.1.00'!$AX$3)</f>
        <v>200</v>
      </c>
      <c r="C60" s="6">
        <f>(VLOOKUP('102 5.1.00'!K60,'102 5.1.00'!$AM$4:$AO$55,2,FALSE))*IF('102 5.1.00'!AM$4="是",'102 5.1.00'!$AX$4,'102 5.1.00'!$AX$3)</f>
        <v>200</v>
      </c>
      <c r="D60" s="6">
        <f>(VLOOKUP('102 5.1.00'!L60,'102 5.1.00'!$AM$4:$AO$55,2,FALSE))*IF('102 5.1.00'!AN$4="是",'102 5.1.00'!$AX$4,'102 5.1.00'!$AX$3)</f>
        <v>200</v>
      </c>
      <c r="E60" s="6">
        <f>(VLOOKUP('102 5.1.00'!M60,'102 5.1.00'!$AM$4:$AO$55,2,FALSE))*IF('102 5.1.00'!AO$4="是",'102 5.1.00'!$AX$4,'102 5.1.00'!$AX$3)</f>
        <v>200</v>
      </c>
      <c r="F60" s="6">
        <f>(VLOOKUP('102 5.1.00'!N60,'102 5.1.00'!$AM$4:$AO$55,2,FALSE))*IF('102 5.1.00'!AP$4="是",'102 5.1.00'!$AX$4,'102 5.1.00'!$AX$3)</f>
        <v>200</v>
      </c>
      <c r="G60" s="7">
        <f>(VLOOKUP('102 5.1.00'!O60,'102 5.1.00'!$AM$4:$AO$55,2,FALSE))*IF('102 5.1.00'!AQ$4="是",'102 5.1.00'!$AX$4,'102 5.1.00'!$AX$3)</f>
        <v>0</v>
      </c>
      <c r="H60" s="7">
        <f>(VLOOKUP('102 5.1.00'!P60,'102 5.1.00'!$AM$4:$AO$55,2,FALSE))*IF('102 5.1.00'!AR$4="是",'102 5.1.00'!$AX$4,'102 5.1.00'!$AX$3)</f>
        <v>0</v>
      </c>
      <c r="I60" s="6">
        <f>(VLOOKUP('102 5.1.00'!Q60,'102 5.1.00'!$AM$4:$AO$55,2,FALSE))*IF('102 5.1.00'!AS$4="是",'102 5.1.00'!$AX$4,'102 5.1.00'!$AX$3)</f>
        <v>180</v>
      </c>
      <c r="J60" s="6">
        <f>(VLOOKUP('102 5.1.00'!R60,'102 5.1.00'!$AM$4:$AO$55,2,FALSE))*IF('102 5.1.00'!AT$4="是",'102 5.1.00'!$AX$4,'102 5.1.00'!$AX$3)</f>
        <v>180</v>
      </c>
      <c r="K60" s="6">
        <f>(VLOOKUP('102 5.1.00'!S60,'102 5.1.00'!$AM$4:$AO$55,2,FALSE))*IF('102 5.1.00'!AU$4="是",'102 5.1.00'!$AX$4,'102 5.1.00'!$AX$3)</f>
        <v>170</v>
      </c>
      <c r="L60" s="6">
        <f>(VLOOKUP('102 5.1.00'!T60,'102 5.1.00'!$AM$4:$AO$55,2,FALSE))*IF('102 5.1.00'!AV$4="是",'102 5.1.00'!$AX$4,'102 5.1.00'!$AX$3)</f>
        <v>50</v>
      </c>
      <c r="M60" s="6">
        <f>(VLOOKUP('102 5.1.00'!U60,'102 5.1.00'!$AM$4:$AO$55,2,FALSE))*IF('102 5.1.00'!AW$4="是",'102 5.1.00'!$AX$4,'102 5.1.00'!$AX$3)</f>
        <v>170</v>
      </c>
      <c r="N60" s="6">
        <f>(VLOOKUP('102 5.1.00'!V60,'102 5.1.00'!$AM$4:$AO$55,2,FALSE))*IF('102 5.1.00'!AX$4="是",'102 5.1.00'!$AX$4,'102 5.1.00'!$AX$3)</f>
        <v>150</v>
      </c>
      <c r="O60" s="7">
        <f>(VLOOKUP('102 5.1.00'!W60,'102 5.1.00'!$AM$4:$AO$55,2,FALSE))*IF('102 5.1.00'!AY$4="是",'102 5.1.00'!$AX$4,'102 5.1.00'!$AX$3)</f>
        <v>0</v>
      </c>
      <c r="P60" s="7">
        <f>(VLOOKUP('102 5.1.00'!X60,'102 5.1.00'!$AM$4:$AO$55,2,FALSE))*IF('102 5.1.00'!AZ$4="是",'102 5.1.00'!$AX$4,'102 5.1.00'!$AX$3)</f>
        <v>0</v>
      </c>
      <c r="Q60" s="6">
        <f>(VLOOKUP('102 5.1.00'!Y60,'102 5.1.00'!$AM$4:$AO$55,2,FALSE))*IF('102 5.1.00'!BA$4="是",'102 5.1.00'!$AX$4,'102 5.1.00'!$AX$3)</f>
        <v>0</v>
      </c>
      <c r="R60" s="6">
        <f>(VLOOKUP('102 5.1.00'!Z60,'102 5.1.00'!$AM$4:$AO$55,2,FALSE))*IF('102 5.1.00'!BB$4="是",'102 5.1.00'!$AX$4,'102 5.1.00'!$AX$3)</f>
        <v>0</v>
      </c>
      <c r="S60" s="6">
        <f>(VLOOKUP('102 5.1.00'!AA60,'102 5.1.00'!$AM$4:$AO$55,2,FALSE))*IF('102 5.1.00'!BC$4="是",'102 5.1.00'!$AX$4,'102 5.1.00'!$AX$3)</f>
        <v>0</v>
      </c>
      <c r="T60" s="6">
        <f>(VLOOKUP('102 5.1.00'!AB60,'102 5.1.00'!$AM$4:$AO$55,2,FALSE))*IF('102 5.1.00'!BD$4="是",'102 5.1.00'!$AX$4,'102 5.1.00'!$AX$3)</f>
        <v>0</v>
      </c>
      <c r="U60" s="6">
        <f>(VLOOKUP('102 5.1.00'!AC60,'102 5.1.00'!$AM$4:$AO$55,2,FALSE))*IF('102 5.1.00'!BE$4="是",'102 5.1.00'!$AX$4,'102 5.1.00'!$AX$3)</f>
        <v>0</v>
      </c>
      <c r="V60" s="6">
        <f>(VLOOKUP('102 5.1.00'!AD60,'102 5.1.00'!$AM$4:$AO$55,2,FALSE))*IF('102 5.1.00'!BF$4="是",'102 5.1.00'!$AX$4,'102 5.1.00'!$AX$3)</f>
        <v>0</v>
      </c>
      <c r="W60" s="7">
        <f>(VLOOKUP('102 5.1.00'!AE60,'102 5.1.00'!$AM$4:$AO$55,2,FALSE))*IF('102 5.1.00'!BG$4="是",'102 5.1.00'!$AX$4,'102 5.1.00'!$AX$3)</f>
        <v>0</v>
      </c>
      <c r="X60" s="7">
        <f>(VLOOKUP('102 5.1.00'!AF60,'102 5.1.00'!$AM$4:$AO$55,2,FALSE))*IF('102 5.1.00'!BH$4="是",'102 5.1.00'!$AX$4,'102 5.1.00'!$AX$3)</f>
        <v>0</v>
      </c>
    </row>
    <row r="61" spans="1:24">
      <c r="A61" s="6">
        <f>(VLOOKUP('102 5.1.00'!I61,'102 5.1.00'!$AM$4:$AO$55,2,FALSE))*IF('102 5.1.00'!AK$4="是",'102 5.1.00'!$AX$4,'102 5.1.00'!$AX$3)</f>
        <v>200</v>
      </c>
      <c r="B61" s="6">
        <f>(VLOOKUP('102 5.1.00'!J61,'102 5.1.00'!$AM$4:$AO$55,2,FALSE))*IF('102 5.1.00'!AL$4="是",'102 5.1.00'!$AX$4,'102 5.1.00'!$AX$3)</f>
        <v>200</v>
      </c>
      <c r="C61" s="6">
        <f>(VLOOKUP('102 5.1.00'!K61,'102 5.1.00'!$AM$4:$AO$55,2,FALSE))*IF('102 5.1.00'!AM$4="是",'102 5.1.00'!$AX$4,'102 5.1.00'!$AX$3)</f>
        <v>200</v>
      </c>
      <c r="D61" s="6">
        <f>(VLOOKUP('102 5.1.00'!L61,'102 5.1.00'!$AM$4:$AO$55,2,FALSE))*IF('102 5.1.00'!AN$4="是",'102 5.1.00'!$AX$4,'102 5.1.00'!$AX$3)</f>
        <v>200</v>
      </c>
      <c r="E61" s="6">
        <f>(VLOOKUP('102 5.1.00'!M61,'102 5.1.00'!$AM$4:$AO$55,2,FALSE))*IF('102 5.1.00'!AO$4="是",'102 5.1.00'!$AX$4,'102 5.1.00'!$AX$3)</f>
        <v>200</v>
      </c>
      <c r="F61" s="6">
        <f>(VLOOKUP('102 5.1.00'!N61,'102 5.1.00'!$AM$4:$AO$55,2,FALSE))*IF('102 5.1.00'!AP$4="是",'102 5.1.00'!$AX$4,'102 5.1.00'!$AX$3)</f>
        <v>200</v>
      </c>
      <c r="G61" s="7">
        <f>(VLOOKUP('102 5.1.00'!O61,'102 5.1.00'!$AM$4:$AO$55,2,FALSE))*IF('102 5.1.00'!AQ$4="是",'102 5.1.00'!$AX$4,'102 5.1.00'!$AX$3)</f>
        <v>0</v>
      </c>
      <c r="H61" s="7">
        <f>(VLOOKUP('102 5.1.00'!P61,'102 5.1.00'!$AM$4:$AO$55,2,FALSE))*IF('102 5.1.00'!AR$4="是",'102 5.1.00'!$AX$4,'102 5.1.00'!$AX$3)</f>
        <v>0</v>
      </c>
      <c r="I61" s="6">
        <f>(VLOOKUP('102 5.1.00'!Q61,'102 5.1.00'!$AM$4:$AO$55,2,FALSE))*IF('102 5.1.00'!AS$4="是",'102 5.1.00'!$AX$4,'102 5.1.00'!$AX$3)</f>
        <v>180</v>
      </c>
      <c r="J61" s="6">
        <f>(VLOOKUP('102 5.1.00'!R61,'102 5.1.00'!$AM$4:$AO$55,2,FALSE))*IF('102 5.1.00'!AT$4="是",'102 5.1.00'!$AX$4,'102 5.1.00'!$AX$3)</f>
        <v>180</v>
      </c>
      <c r="K61" s="6">
        <f>(VLOOKUP('102 5.1.00'!S61,'102 5.1.00'!$AM$4:$AO$55,2,FALSE))*IF('102 5.1.00'!AU$4="是",'102 5.1.00'!$AX$4,'102 5.1.00'!$AX$3)</f>
        <v>180</v>
      </c>
      <c r="L61" s="6">
        <f>(VLOOKUP('102 5.1.00'!T61,'102 5.1.00'!$AM$4:$AO$55,2,FALSE))*IF('102 5.1.00'!AV$4="是",'102 5.1.00'!$AX$4,'102 5.1.00'!$AX$3)</f>
        <v>180</v>
      </c>
      <c r="M61" s="6">
        <f>(VLOOKUP('102 5.1.00'!U61,'102 5.1.00'!$AM$4:$AO$55,2,FALSE))*IF('102 5.1.00'!AW$4="是",'102 5.1.00'!$AX$4,'102 5.1.00'!$AX$3)</f>
        <v>0</v>
      </c>
      <c r="N61" s="6">
        <f>(VLOOKUP('102 5.1.00'!V61,'102 5.1.00'!$AM$4:$AO$55,2,FALSE))*IF('102 5.1.00'!AX$4="是",'102 5.1.00'!$AX$4,'102 5.1.00'!$AX$3)</f>
        <v>0</v>
      </c>
      <c r="O61" s="7">
        <f>(VLOOKUP('102 5.1.00'!W61,'102 5.1.00'!$AM$4:$AO$55,2,FALSE))*IF('102 5.1.00'!AY$4="是",'102 5.1.00'!$AX$4,'102 5.1.00'!$AX$3)</f>
        <v>0</v>
      </c>
      <c r="P61" s="7">
        <f>(VLOOKUP('102 5.1.00'!X61,'102 5.1.00'!$AM$4:$AO$55,2,FALSE))*IF('102 5.1.00'!AZ$4="是",'102 5.1.00'!$AX$4,'102 5.1.00'!$AX$3)</f>
        <v>0</v>
      </c>
      <c r="Q61" s="6">
        <f>(VLOOKUP('102 5.1.00'!Y61,'102 5.1.00'!$AM$4:$AO$55,2,FALSE))*IF('102 5.1.00'!BA$4="是",'102 5.1.00'!$AX$4,'102 5.1.00'!$AX$3)</f>
        <v>0</v>
      </c>
      <c r="R61" s="6">
        <f>(VLOOKUP('102 5.1.00'!Z61,'102 5.1.00'!$AM$4:$AO$55,2,FALSE))*IF('102 5.1.00'!BB$4="是",'102 5.1.00'!$AX$4,'102 5.1.00'!$AX$3)</f>
        <v>0</v>
      </c>
      <c r="S61" s="6">
        <f>(VLOOKUP('102 5.1.00'!AA61,'102 5.1.00'!$AM$4:$AO$55,2,FALSE))*IF('102 5.1.00'!BC$4="是",'102 5.1.00'!$AX$4,'102 5.1.00'!$AX$3)</f>
        <v>0</v>
      </c>
      <c r="T61" s="6">
        <f>(VLOOKUP('102 5.1.00'!AB61,'102 5.1.00'!$AM$4:$AO$55,2,FALSE))*IF('102 5.1.00'!BD$4="是",'102 5.1.00'!$AX$4,'102 5.1.00'!$AX$3)</f>
        <v>0</v>
      </c>
      <c r="U61" s="6">
        <f>(VLOOKUP('102 5.1.00'!AC61,'102 5.1.00'!$AM$4:$AO$55,2,FALSE))*IF('102 5.1.00'!BE$4="是",'102 5.1.00'!$AX$4,'102 5.1.00'!$AX$3)</f>
        <v>0</v>
      </c>
      <c r="V61" s="6">
        <f>(VLOOKUP('102 5.1.00'!AD61,'102 5.1.00'!$AM$4:$AO$55,2,FALSE))*IF('102 5.1.00'!BF$4="是",'102 5.1.00'!$AX$4,'102 5.1.00'!$AX$3)</f>
        <v>0</v>
      </c>
      <c r="W61" s="7">
        <f>(VLOOKUP('102 5.1.00'!AE61,'102 5.1.00'!$AM$4:$AO$55,2,FALSE))*IF('102 5.1.00'!BG$4="是",'102 5.1.00'!$AX$4,'102 5.1.00'!$AX$3)</f>
        <v>0</v>
      </c>
      <c r="X61" s="7">
        <f>(VLOOKUP('102 5.1.00'!AF61,'102 5.1.00'!$AM$4:$AO$55,2,FALSE))*IF('102 5.1.00'!BH$4="是",'102 5.1.00'!$AX$4,'102 5.1.00'!$AX$3)</f>
        <v>0</v>
      </c>
    </row>
    <row r="62" spans="1:24">
      <c r="A62" s="6">
        <f>(VLOOKUP('102 5.1.00'!I62,'102 5.1.00'!$AM$4:$AO$55,2,FALSE))*IF('102 5.1.00'!AK$4="是",'102 5.1.00'!$AX$4,'102 5.1.00'!$AX$3)</f>
        <v>200</v>
      </c>
      <c r="B62" s="6">
        <f>(VLOOKUP('102 5.1.00'!J62,'102 5.1.00'!$AM$4:$AO$55,2,FALSE))*IF('102 5.1.00'!AL$4="是",'102 5.1.00'!$AX$4,'102 5.1.00'!$AX$3)</f>
        <v>200</v>
      </c>
      <c r="C62" s="6">
        <f>(VLOOKUP('102 5.1.00'!K62,'102 5.1.00'!$AM$4:$AO$55,2,FALSE))*IF('102 5.1.00'!AM$4="是",'102 5.1.00'!$AX$4,'102 5.1.00'!$AX$3)</f>
        <v>200</v>
      </c>
      <c r="D62" s="6">
        <f>(VLOOKUP('102 5.1.00'!L62,'102 5.1.00'!$AM$4:$AO$55,2,FALSE))*IF('102 5.1.00'!AN$4="是",'102 5.1.00'!$AX$4,'102 5.1.00'!$AX$3)</f>
        <v>200</v>
      </c>
      <c r="E62" s="6">
        <f>(VLOOKUP('102 5.1.00'!M62,'102 5.1.00'!$AM$4:$AO$55,2,FALSE))*IF('102 5.1.00'!AO$4="是",'102 5.1.00'!$AX$4,'102 5.1.00'!$AX$3)</f>
        <v>200</v>
      </c>
      <c r="F62" s="6">
        <f>(VLOOKUP('102 5.1.00'!N62,'102 5.1.00'!$AM$4:$AO$55,2,FALSE))*IF('102 5.1.00'!AP$4="是",'102 5.1.00'!$AX$4,'102 5.1.00'!$AX$3)</f>
        <v>190</v>
      </c>
      <c r="G62" s="7">
        <f>(VLOOKUP('102 5.1.00'!O62,'102 5.1.00'!$AM$4:$AO$55,2,FALSE))*IF('102 5.1.00'!AQ$4="是",'102 5.1.00'!$AX$4,'102 5.1.00'!$AX$3)</f>
        <v>0</v>
      </c>
      <c r="H62" s="7">
        <f>(VLOOKUP('102 5.1.00'!P62,'102 5.1.00'!$AM$4:$AO$55,2,FALSE))*IF('102 5.1.00'!AR$4="是",'102 5.1.00'!$AX$4,'102 5.1.00'!$AX$3)</f>
        <v>0</v>
      </c>
      <c r="I62" s="6">
        <f>(VLOOKUP('102 5.1.00'!Q62,'102 5.1.00'!$AM$4:$AO$55,2,FALSE))*IF('102 5.1.00'!AS$4="是",'102 5.1.00'!$AX$4,'102 5.1.00'!$AX$3)</f>
        <v>180</v>
      </c>
      <c r="J62" s="6">
        <f>(VLOOKUP('102 5.1.00'!R62,'102 5.1.00'!$AM$4:$AO$55,2,FALSE))*IF('102 5.1.00'!AT$4="是",'102 5.1.00'!$AX$4,'102 5.1.00'!$AX$3)</f>
        <v>180</v>
      </c>
      <c r="K62" s="6">
        <f>(VLOOKUP('102 5.1.00'!S62,'102 5.1.00'!$AM$4:$AO$55,2,FALSE))*IF('102 5.1.00'!AU$4="是",'102 5.1.00'!$AX$4,'102 5.1.00'!$AX$3)</f>
        <v>180</v>
      </c>
      <c r="L62" s="6">
        <f>(VLOOKUP('102 5.1.00'!T62,'102 5.1.00'!$AM$4:$AO$55,2,FALSE))*IF('102 5.1.00'!AV$4="是",'102 5.1.00'!$AX$4,'102 5.1.00'!$AX$3)</f>
        <v>180</v>
      </c>
      <c r="M62" s="6">
        <f>(VLOOKUP('102 5.1.00'!U62,'102 5.1.00'!$AM$4:$AO$55,2,FALSE))*IF('102 5.1.00'!AW$4="是",'102 5.1.00'!$AX$4,'102 5.1.00'!$AX$3)</f>
        <v>180</v>
      </c>
      <c r="N62" s="6">
        <f>(VLOOKUP('102 5.1.00'!V62,'102 5.1.00'!$AM$4:$AO$55,2,FALSE))*IF('102 5.1.00'!AX$4="是",'102 5.1.00'!$AX$4,'102 5.1.00'!$AX$3)</f>
        <v>0</v>
      </c>
      <c r="O62" s="7">
        <f>(VLOOKUP('102 5.1.00'!W62,'102 5.1.00'!$AM$4:$AO$55,2,FALSE))*IF('102 5.1.00'!AY$4="是",'102 5.1.00'!$AX$4,'102 5.1.00'!$AX$3)</f>
        <v>0</v>
      </c>
      <c r="P62" s="7">
        <f>(VLOOKUP('102 5.1.00'!X62,'102 5.1.00'!$AM$4:$AO$55,2,FALSE))*IF('102 5.1.00'!AZ$4="是",'102 5.1.00'!$AX$4,'102 5.1.00'!$AX$3)</f>
        <v>0</v>
      </c>
      <c r="Q62" s="6">
        <f>(VLOOKUP('102 5.1.00'!Y62,'102 5.1.00'!$AM$4:$AO$55,2,FALSE))*IF('102 5.1.00'!BA$4="是",'102 5.1.00'!$AX$4,'102 5.1.00'!$AX$3)</f>
        <v>0</v>
      </c>
      <c r="R62" s="6">
        <f>(VLOOKUP('102 5.1.00'!Z62,'102 5.1.00'!$AM$4:$AO$55,2,FALSE))*IF('102 5.1.00'!BB$4="是",'102 5.1.00'!$AX$4,'102 5.1.00'!$AX$3)</f>
        <v>0</v>
      </c>
      <c r="S62" s="6">
        <f>(VLOOKUP('102 5.1.00'!AA62,'102 5.1.00'!$AM$4:$AO$55,2,FALSE))*IF('102 5.1.00'!BC$4="是",'102 5.1.00'!$AX$4,'102 5.1.00'!$AX$3)</f>
        <v>0</v>
      </c>
      <c r="T62" s="6">
        <f>(VLOOKUP('102 5.1.00'!AB62,'102 5.1.00'!$AM$4:$AO$55,2,FALSE))*IF('102 5.1.00'!BD$4="是",'102 5.1.00'!$AX$4,'102 5.1.00'!$AX$3)</f>
        <v>0</v>
      </c>
      <c r="U62" s="6">
        <f>(VLOOKUP('102 5.1.00'!AC62,'102 5.1.00'!$AM$4:$AO$55,2,FALSE))*IF('102 5.1.00'!BE$4="是",'102 5.1.00'!$AX$4,'102 5.1.00'!$AX$3)</f>
        <v>0</v>
      </c>
      <c r="V62" s="6">
        <f>(VLOOKUP('102 5.1.00'!AD62,'102 5.1.00'!$AM$4:$AO$55,2,FALSE))*IF('102 5.1.00'!BF$4="是",'102 5.1.00'!$AX$4,'102 5.1.00'!$AX$3)</f>
        <v>0</v>
      </c>
      <c r="W62" s="7">
        <f>(VLOOKUP('102 5.1.00'!AE62,'102 5.1.00'!$AM$4:$AO$55,2,FALSE))*IF('102 5.1.00'!BG$4="是",'102 5.1.00'!$AX$4,'102 5.1.00'!$AX$3)</f>
        <v>0</v>
      </c>
      <c r="X62" s="7">
        <f>(VLOOKUP('102 5.1.00'!AF62,'102 5.1.00'!$AM$4:$AO$55,2,FALSE))*IF('102 5.1.00'!BH$4="是",'102 5.1.00'!$AX$4,'102 5.1.00'!$AX$3)</f>
        <v>0</v>
      </c>
    </row>
    <row r="63" spans="1:24">
      <c r="A63" s="6">
        <f>(VLOOKUP('102 5.1.00'!I63,'102 5.1.00'!$AM$4:$AO$55,2,FALSE))*IF('102 5.1.00'!AK$4="是",'102 5.1.00'!$AX$4,'102 5.1.00'!$AX$3)</f>
        <v>200</v>
      </c>
      <c r="B63" s="6">
        <f>(VLOOKUP('102 5.1.00'!J63,'102 5.1.00'!$AM$4:$AO$55,2,FALSE))*IF('102 5.1.00'!AL$4="是",'102 5.1.00'!$AX$4,'102 5.1.00'!$AX$3)</f>
        <v>200</v>
      </c>
      <c r="C63" s="6">
        <f>(VLOOKUP('102 5.1.00'!K63,'102 5.1.00'!$AM$4:$AO$55,2,FALSE))*IF('102 5.1.00'!AM$4="是",'102 5.1.00'!$AX$4,'102 5.1.00'!$AX$3)</f>
        <v>200</v>
      </c>
      <c r="D63" s="6">
        <f>(VLOOKUP('102 5.1.00'!L63,'102 5.1.00'!$AM$4:$AO$55,2,FALSE))*IF('102 5.1.00'!AN$4="是",'102 5.1.00'!$AX$4,'102 5.1.00'!$AX$3)</f>
        <v>200</v>
      </c>
      <c r="E63" s="6">
        <f>(VLOOKUP('102 5.1.00'!M63,'102 5.1.00'!$AM$4:$AO$55,2,FALSE))*IF('102 5.1.00'!AO$4="是",'102 5.1.00'!$AX$4,'102 5.1.00'!$AX$3)</f>
        <v>200</v>
      </c>
      <c r="F63" s="6">
        <f>(VLOOKUP('102 5.1.00'!N63,'102 5.1.00'!$AM$4:$AO$55,2,FALSE))*IF('102 5.1.00'!AP$4="是",'102 5.1.00'!$AX$4,'102 5.1.00'!$AX$3)</f>
        <v>200</v>
      </c>
      <c r="G63" s="7">
        <f>(VLOOKUP('102 5.1.00'!O63,'102 5.1.00'!$AM$4:$AO$55,2,FALSE))*IF('102 5.1.00'!AQ$4="是",'102 5.1.00'!$AX$4,'102 5.1.00'!$AX$3)</f>
        <v>0</v>
      </c>
      <c r="H63" s="7">
        <f>(VLOOKUP('102 5.1.00'!P63,'102 5.1.00'!$AM$4:$AO$55,2,FALSE))*IF('102 5.1.00'!AR$4="是",'102 5.1.00'!$AX$4,'102 5.1.00'!$AX$3)</f>
        <v>0</v>
      </c>
      <c r="I63" s="6">
        <f>(VLOOKUP('102 5.1.00'!Q63,'102 5.1.00'!$AM$4:$AO$55,2,FALSE))*IF('102 5.1.00'!AS$4="是",'102 5.1.00'!$AX$4,'102 5.1.00'!$AX$3)</f>
        <v>180</v>
      </c>
      <c r="J63" s="6">
        <f>(VLOOKUP('102 5.1.00'!R63,'102 5.1.00'!$AM$4:$AO$55,2,FALSE))*IF('102 5.1.00'!AT$4="是",'102 5.1.00'!$AX$4,'102 5.1.00'!$AX$3)</f>
        <v>180</v>
      </c>
      <c r="K63" s="6">
        <f>(VLOOKUP('102 5.1.00'!S63,'102 5.1.00'!$AM$4:$AO$55,2,FALSE))*IF('102 5.1.00'!AU$4="是",'102 5.1.00'!$AX$4,'102 5.1.00'!$AX$3)</f>
        <v>180</v>
      </c>
      <c r="L63" s="6">
        <f>(VLOOKUP('102 5.1.00'!T63,'102 5.1.00'!$AM$4:$AO$55,2,FALSE))*IF('102 5.1.00'!AV$4="是",'102 5.1.00'!$AX$4,'102 5.1.00'!$AX$3)</f>
        <v>180</v>
      </c>
      <c r="M63" s="6">
        <f>(VLOOKUP('102 5.1.00'!U63,'102 5.1.00'!$AM$4:$AO$55,2,FALSE))*IF('102 5.1.00'!AW$4="是",'102 5.1.00'!$AX$4,'102 5.1.00'!$AX$3)</f>
        <v>0</v>
      </c>
      <c r="N63" s="6">
        <f>(VLOOKUP('102 5.1.00'!V63,'102 5.1.00'!$AM$4:$AO$55,2,FALSE))*IF('102 5.1.00'!AX$4="是",'102 5.1.00'!$AX$4,'102 5.1.00'!$AX$3)</f>
        <v>0</v>
      </c>
      <c r="O63" s="7">
        <f>(VLOOKUP('102 5.1.00'!W63,'102 5.1.00'!$AM$4:$AO$55,2,FALSE))*IF('102 5.1.00'!AY$4="是",'102 5.1.00'!$AX$4,'102 5.1.00'!$AX$3)</f>
        <v>0</v>
      </c>
      <c r="P63" s="7">
        <f>(VLOOKUP('102 5.1.00'!X63,'102 5.1.00'!$AM$4:$AO$55,2,FALSE))*IF('102 5.1.00'!AZ$4="是",'102 5.1.00'!$AX$4,'102 5.1.00'!$AX$3)</f>
        <v>0</v>
      </c>
      <c r="Q63" s="6">
        <f>(VLOOKUP('102 5.1.00'!Y63,'102 5.1.00'!$AM$4:$AO$55,2,FALSE))*IF('102 5.1.00'!BA$4="是",'102 5.1.00'!$AX$4,'102 5.1.00'!$AX$3)</f>
        <v>0</v>
      </c>
      <c r="R63" s="6">
        <f>(VLOOKUP('102 5.1.00'!Z63,'102 5.1.00'!$AM$4:$AO$55,2,FALSE))*IF('102 5.1.00'!BB$4="是",'102 5.1.00'!$AX$4,'102 5.1.00'!$AX$3)</f>
        <v>0</v>
      </c>
      <c r="S63" s="6">
        <f>(VLOOKUP('102 5.1.00'!AA63,'102 5.1.00'!$AM$4:$AO$55,2,FALSE))*IF('102 5.1.00'!BC$4="是",'102 5.1.00'!$AX$4,'102 5.1.00'!$AX$3)</f>
        <v>0</v>
      </c>
      <c r="T63" s="6">
        <f>(VLOOKUP('102 5.1.00'!AB63,'102 5.1.00'!$AM$4:$AO$55,2,FALSE))*IF('102 5.1.00'!BD$4="是",'102 5.1.00'!$AX$4,'102 5.1.00'!$AX$3)</f>
        <v>0</v>
      </c>
      <c r="U63" s="6">
        <f>(VLOOKUP('102 5.1.00'!AC63,'102 5.1.00'!$AM$4:$AO$55,2,FALSE))*IF('102 5.1.00'!BE$4="是",'102 5.1.00'!$AX$4,'102 5.1.00'!$AX$3)</f>
        <v>0</v>
      </c>
      <c r="V63" s="6">
        <f>(VLOOKUP('102 5.1.00'!AD63,'102 5.1.00'!$AM$4:$AO$55,2,FALSE))*IF('102 5.1.00'!BF$4="是",'102 5.1.00'!$AX$4,'102 5.1.00'!$AX$3)</f>
        <v>0</v>
      </c>
      <c r="W63" s="7">
        <f>(VLOOKUP('102 5.1.00'!AE63,'102 5.1.00'!$AM$4:$AO$55,2,FALSE))*IF('102 5.1.00'!BG$4="是",'102 5.1.00'!$AX$4,'102 5.1.00'!$AX$3)</f>
        <v>0</v>
      </c>
      <c r="X63" s="7">
        <f>(VLOOKUP('102 5.1.00'!AF63,'102 5.1.00'!$AM$4:$AO$55,2,FALSE))*IF('102 5.1.00'!BH$4="是",'102 5.1.00'!$AX$4,'102 5.1.00'!$AX$3)</f>
        <v>0</v>
      </c>
    </row>
    <row r="64" spans="1:24">
      <c r="A64" s="6">
        <f>(VLOOKUP('102 5.1.00'!I64,'102 5.1.00'!$AM$4:$AO$55,2,FALSE))*IF('102 5.1.00'!AK$4="是",'102 5.1.00'!$AX$4,'102 5.1.00'!$AX$3)</f>
        <v>200</v>
      </c>
      <c r="B64" s="6">
        <f>(VLOOKUP('102 5.1.00'!J64,'102 5.1.00'!$AM$4:$AO$55,2,FALSE))*IF('102 5.1.00'!AL$4="是",'102 5.1.00'!$AX$4,'102 5.1.00'!$AX$3)</f>
        <v>200</v>
      </c>
      <c r="C64" s="6">
        <f>(VLOOKUP('102 5.1.00'!K64,'102 5.1.00'!$AM$4:$AO$55,2,FALSE))*IF('102 5.1.00'!AM$4="是",'102 5.1.00'!$AX$4,'102 5.1.00'!$AX$3)</f>
        <v>200</v>
      </c>
      <c r="D64" s="6">
        <f>(VLOOKUP('102 5.1.00'!L64,'102 5.1.00'!$AM$4:$AO$55,2,FALSE))*IF('102 5.1.00'!AN$4="是",'102 5.1.00'!$AX$4,'102 5.1.00'!$AX$3)</f>
        <v>200</v>
      </c>
      <c r="E64" s="6">
        <f>(VLOOKUP('102 5.1.00'!M64,'102 5.1.00'!$AM$4:$AO$55,2,FALSE))*IF('102 5.1.00'!AO$4="是",'102 5.1.00'!$AX$4,'102 5.1.00'!$AX$3)</f>
        <v>200</v>
      </c>
      <c r="F64" s="6">
        <f>(VLOOKUP('102 5.1.00'!N64,'102 5.1.00'!$AM$4:$AO$55,2,FALSE))*IF('102 5.1.00'!AP$4="是",'102 5.1.00'!$AX$4,'102 5.1.00'!$AX$3)</f>
        <v>190</v>
      </c>
      <c r="G64" s="7">
        <f>(VLOOKUP('102 5.1.00'!O64,'102 5.1.00'!$AM$4:$AO$55,2,FALSE))*IF('102 5.1.00'!AQ$4="是",'102 5.1.00'!$AX$4,'102 5.1.00'!$AX$3)</f>
        <v>0</v>
      </c>
      <c r="H64" s="7">
        <f>(VLOOKUP('102 5.1.00'!P64,'102 5.1.00'!$AM$4:$AO$55,2,FALSE))*IF('102 5.1.00'!AR$4="是",'102 5.1.00'!$AX$4,'102 5.1.00'!$AX$3)</f>
        <v>0</v>
      </c>
      <c r="I64" s="6">
        <f>(VLOOKUP('102 5.1.00'!Q64,'102 5.1.00'!$AM$4:$AO$55,2,FALSE))*IF('102 5.1.00'!AS$4="是",'102 5.1.00'!$AX$4,'102 5.1.00'!$AX$3)</f>
        <v>180</v>
      </c>
      <c r="J64" s="6">
        <f>(VLOOKUP('102 5.1.00'!R64,'102 5.1.00'!$AM$4:$AO$55,2,FALSE))*IF('102 5.1.00'!AT$4="是",'102 5.1.00'!$AX$4,'102 5.1.00'!$AX$3)</f>
        <v>180</v>
      </c>
      <c r="K64" s="6">
        <f>(VLOOKUP('102 5.1.00'!S64,'102 5.1.00'!$AM$4:$AO$55,2,FALSE))*IF('102 5.1.00'!AU$4="是",'102 5.1.00'!$AX$4,'102 5.1.00'!$AX$3)</f>
        <v>180</v>
      </c>
      <c r="L64" s="6">
        <f>(VLOOKUP('102 5.1.00'!T64,'102 5.1.00'!$AM$4:$AO$55,2,FALSE))*IF('102 5.1.00'!AV$4="是",'102 5.1.00'!$AX$4,'102 5.1.00'!$AX$3)</f>
        <v>180</v>
      </c>
      <c r="M64" s="6">
        <f>(VLOOKUP('102 5.1.00'!U64,'102 5.1.00'!$AM$4:$AO$55,2,FALSE))*IF('102 5.1.00'!AW$4="是",'102 5.1.00'!$AX$4,'102 5.1.00'!$AX$3)</f>
        <v>0</v>
      </c>
      <c r="N64" s="6">
        <f>(VLOOKUP('102 5.1.00'!V64,'102 5.1.00'!$AM$4:$AO$55,2,FALSE))*IF('102 5.1.00'!AX$4="是",'102 5.1.00'!$AX$4,'102 5.1.00'!$AX$3)</f>
        <v>0</v>
      </c>
      <c r="O64" s="7">
        <f>(VLOOKUP('102 5.1.00'!W64,'102 5.1.00'!$AM$4:$AO$55,2,FALSE))*IF('102 5.1.00'!AY$4="是",'102 5.1.00'!$AX$4,'102 5.1.00'!$AX$3)</f>
        <v>0</v>
      </c>
      <c r="P64" s="7">
        <f>(VLOOKUP('102 5.1.00'!X64,'102 5.1.00'!$AM$4:$AO$55,2,FALSE))*IF('102 5.1.00'!AZ$4="是",'102 5.1.00'!$AX$4,'102 5.1.00'!$AX$3)</f>
        <v>0</v>
      </c>
      <c r="Q64" s="6">
        <f>(VLOOKUP('102 5.1.00'!Y64,'102 5.1.00'!$AM$4:$AO$55,2,FALSE))*IF('102 5.1.00'!BA$4="是",'102 5.1.00'!$AX$4,'102 5.1.00'!$AX$3)</f>
        <v>0</v>
      </c>
      <c r="R64" s="6">
        <f>(VLOOKUP('102 5.1.00'!Z64,'102 5.1.00'!$AM$4:$AO$55,2,FALSE))*IF('102 5.1.00'!BB$4="是",'102 5.1.00'!$AX$4,'102 5.1.00'!$AX$3)</f>
        <v>0</v>
      </c>
      <c r="S64" s="6">
        <f>(VLOOKUP('102 5.1.00'!AA64,'102 5.1.00'!$AM$4:$AO$55,2,FALSE))*IF('102 5.1.00'!BC$4="是",'102 5.1.00'!$AX$4,'102 5.1.00'!$AX$3)</f>
        <v>0</v>
      </c>
      <c r="T64" s="6">
        <f>(VLOOKUP('102 5.1.00'!AB64,'102 5.1.00'!$AM$4:$AO$55,2,FALSE))*IF('102 5.1.00'!BD$4="是",'102 5.1.00'!$AX$4,'102 5.1.00'!$AX$3)</f>
        <v>0</v>
      </c>
      <c r="U64" s="6">
        <f>(VLOOKUP('102 5.1.00'!AC64,'102 5.1.00'!$AM$4:$AO$55,2,FALSE))*IF('102 5.1.00'!BE$4="是",'102 5.1.00'!$AX$4,'102 5.1.00'!$AX$3)</f>
        <v>0</v>
      </c>
      <c r="V64" s="6">
        <f>(VLOOKUP('102 5.1.00'!AD64,'102 5.1.00'!$AM$4:$AO$55,2,FALSE))*IF('102 5.1.00'!BF$4="是",'102 5.1.00'!$AX$4,'102 5.1.00'!$AX$3)</f>
        <v>0</v>
      </c>
      <c r="W64" s="7">
        <f>(VLOOKUP('102 5.1.00'!AE64,'102 5.1.00'!$AM$4:$AO$55,2,FALSE))*IF('102 5.1.00'!BG$4="是",'102 5.1.00'!$AX$4,'102 5.1.00'!$AX$3)</f>
        <v>0</v>
      </c>
      <c r="X64" s="7">
        <f>(VLOOKUP('102 5.1.00'!AF64,'102 5.1.00'!$AM$4:$AO$55,2,FALSE))*IF('102 5.1.00'!BH$4="是",'102 5.1.00'!$AX$4,'102 5.1.00'!$AX$3)</f>
        <v>0</v>
      </c>
    </row>
    <row r="65" spans="1:24">
      <c r="A65" s="6">
        <f>(VLOOKUP('102 5.1.00'!I65,'102 5.1.00'!$AM$4:$AO$55,2,FALSE))*IF('102 5.1.00'!AK$4="是",'102 5.1.00'!$AX$4,'102 5.1.00'!$AX$3)</f>
        <v>200</v>
      </c>
      <c r="B65" s="6">
        <f>(VLOOKUP('102 5.1.00'!J65,'102 5.1.00'!$AM$4:$AO$55,2,FALSE))*IF('102 5.1.00'!AL$4="是",'102 5.1.00'!$AX$4,'102 5.1.00'!$AX$3)</f>
        <v>190</v>
      </c>
      <c r="C65" s="6">
        <f>(VLOOKUP('102 5.1.00'!K65,'102 5.1.00'!$AM$4:$AO$55,2,FALSE))*IF('102 5.1.00'!AM$4="是",'102 5.1.00'!$AX$4,'102 5.1.00'!$AX$3)</f>
        <v>200</v>
      </c>
      <c r="D65" s="6">
        <f>(VLOOKUP('102 5.1.00'!L65,'102 5.1.00'!$AM$4:$AO$55,2,FALSE))*IF('102 5.1.00'!AN$4="是",'102 5.1.00'!$AX$4,'102 5.1.00'!$AX$3)</f>
        <v>190</v>
      </c>
      <c r="E65" s="6">
        <f>(VLOOKUP('102 5.1.00'!M65,'102 5.1.00'!$AM$4:$AO$55,2,FALSE))*IF('102 5.1.00'!AO$4="是",'102 5.1.00'!$AX$4,'102 5.1.00'!$AX$3)</f>
        <v>190</v>
      </c>
      <c r="F65" s="6">
        <f>(VLOOKUP('102 5.1.00'!N65,'102 5.1.00'!$AM$4:$AO$55,2,FALSE))*IF('102 5.1.00'!AP$4="是",'102 5.1.00'!$AX$4,'102 5.1.00'!$AX$3)</f>
        <v>190</v>
      </c>
      <c r="G65" s="7">
        <f>(VLOOKUP('102 5.1.00'!O65,'102 5.1.00'!$AM$4:$AO$55,2,FALSE))*IF('102 5.1.00'!AQ$4="是",'102 5.1.00'!$AX$4,'102 5.1.00'!$AX$3)</f>
        <v>0</v>
      </c>
      <c r="H65" s="7">
        <f>(VLOOKUP('102 5.1.00'!P65,'102 5.1.00'!$AM$4:$AO$55,2,FALSE))*IF('102 5.1.00'!AR$4="是",'102 5.1.00'!$AX$4,'102 5.1.00'!$AX$3)</f>
        <v>0</v>
      </c>
      <c r="I65" s="6">
        <f>(VLOOKUP('102 5.1.00'!Q65,'102 5.1.00'!$AM$4:$AO$55,2,FALSE))*IF('102 5.1.00'!AS$4="是",'102 5.1.00'!$AX$4,'102 5.1.00'!$AX$3)</f>
        <v>180</v>
      </c>
      <c r="J65" s="6">
        <f>(VLOOKUP('102 5.1.00'!R65,'102 5.1.00'!$AM$4:$AO$55,2,FALSE))*IF('102 5.1.00'!AT$4="是",'102 5.1.00'!$AX$4,'102 5.1.00'!$AX$3)</f>
        <v>180</v>
      </c>
      <c r="K65" s="6">
        <f>(VLOOKUP('102 5.1.00'!S65,'102 5.1.00'!$AM$4:$AO$55,2,FALSE))*IF('102 5.1.00'!AU$4="是",'102 5.1.00'!$AX$4,'102 5.1.00'!$AX$3)</f>
        <v>180</v>
      </c>
      <c r="L65" s="6">
        <f>(VLOOKUP('102 5.1.00'!T65,'102 5.1.00'!$AM$4:$AO$55,2,FALSE))*IF('102 5.1.00'!AV$4="是",'102 5.1.00'!$AX$4,'102 5.1.00'!$AX$3)</f>
        <v>180</v>
      </c>
      <c r="M65" s="6">
        <f>(VLOOKUP('102 5.1.00'!U65,'102 5.1.00'!$AM$4:$AO$55,2,FALSE))*IF('102 5.1.00'!AW$4="是",'102 5.1.00'!$AX$4,'102 5.1.00'!$AX$3)</f>
        <v>170</v>
      </c>
      <c r="N65" s="6">
        <f>(VLOOKUP('102 5.1.00'!V65,'102 5.1.00'!$AM$4:$AO$55,2,FALSE))*IF('102 5.1.00'!AX$4="是",'102 5.1.00'!$AX$4,'102 5.1.00'!$AX$3)</f>
        <v>0</v>
      </c>
      <c r="O65" s="7">
        <f>(VLOOKUP('102 5.1.00'!W65,'102 5.1.00'!$AM$4:$AO$55,2,FALSE))*IF('102 5.1.00'!AY$4="是",'102 5.1.00'!$AX$4,'102 5.1.00'!$AX$3)</f>
        <v>0</v>
      </c>
      <c r="P65" s="7">
        <f>(VLOOKUP('102 5.1.00'!X65,'102 5.1.00'!$AM$4:$AO$55,2,FALSE))*IF('102 5.1.00'!AZ$4="是",'102 5.1.00'!$AX$4,'102 5.1.00'!$AX$3)</f>
        <v>0</v>
      </c>
      <c r="Q65" s="6">
        <f>(VLOOKUP('102 5.1.00'!Y65,'102 5.1.00'!$AM$4:$AO$55,2,FALSE))*IF('102 5.1.00'!BA$4="是",'102 5.1.00'!$AX$4,'102 5.1.00'!$AX$3)</f>
        <v>0</v>
      </c>
      <c r="R65" s="6">
        <f>(VLOOKUP('102 5.1.00'!Z65,'102 5.1.00'!$AM$4:$AO$55,2,FALSE))*IF('102 5.1.00'!BB$4="是",'102 5.1.00'!$AX$4,'102 5.1.00'!$AX$3)</f>
        <v>0</v>
      </c>
      <c r="S65" s="6">
        <f>(VLOOKUP('102 5.1.00'!AA65,'102 5.1.00'!$AM$4:$AO$55,2,FALSE))*IF('102 5.1.00'!BC$4="是",'102 5.1.00'!$AX$4,'102 5.1.00'!$AX$3)</f>
        <v>0</v>
      </c>
      <c r="T65" s="6">
        <f>(VLOOKUP('102 5.1.00'!AB65,'102 5.1.00'!$AM$4:$AO$55,2,FALSE))*IF('102 5.1.00'!BD$4="是",'102 5.1.00'!$AX$4,'102 5.1.00'!$AX$3)</f>
        <v>0</v>
      </c>
      <c r="U65" s="6">
        <f>(VLOOKUP('102 5.1.00'!AC65,'102 5.1.00'!$AM$4:$AO$55,2,FALSE))*IF('102 5.1.00'!BE$4="是",'102 5.1.00'!$AX$4,'102 5.1.00'!$AX$3)</f>
        <v>0</v>
      </c>
      <c r="V65" s="6">
        <f>(VLOOKUP('102 5.1.00'!AD65,'102 5.1.00'!$AM$4:$AO$55,2,FALSE))*IF('102 5.1.00'!BF$4="是",'102 5.1.00'!$AX$4,'102 5.1.00'!$AX$3)</f>
        <v>0</v>
      </c>
      <c r="W65" s="7">
        <f>(VLOOKUP('102 5.1.00'!AE65,'102 5.1.00'!$AM$4:$AO$55,2,FALSE))*IF('102 5.1.00'!BG$4="是",'102 5.1.00'!$AX$4,'102 5.1.00'!$AX$3)</f>
        <v>0</v>
      </c>
      <c r="X65" s="7">
        <f>(VLOOKUP('102 5.1.00'!AF65,'102 5.1.00'!$AM$4:$AO$55,2,FALSE))*IF('102 5.1.00'!BH$4="是",'102 5.1.00'!$AX$4,'102 5.1.00'!$AX$3)</f>
        <v>0</v>
      </c>
    </row>
    <row r="66" spans="1:24">
      <c r="A66" s="6">
        <f>(VLOOKUP('102 5.1.00'!I66,'102 5.1.00'!$AM$4:$AO$55,2,FALSE))*IF('102 5.1.00'!AK$4="是",'102 5.1.00'!$AX$4,'102 5.1.00'!$AX$3)</f>
        <v>190</v>
      </c>
      <c r="B66" s="6">
        <f>(VLOOKUP('102 5.1.00'!J66,'102 5.1.00'!$AM$4:$AO$55,2,FALSE))*IF('102 5.1.00'!AL$4="是",'102 5.1.00'!$AX$4,'102 5.1.00'!$AX$3)</f>
        <v>-200</v>
      </c>
      <c r="C66" s="6">
        <f>(VLOOKUP('102 5.1.00'!K66,'102 5.1.00'!$AM$4:$AO$55,2,FALSE))*IF('102 5.1.00'!AM$4="是",'102 5.1.00'!$AX$4,'102 5.1.00'!$AX$3)</f>
        <v>190</v>
      </c>
      <c r="D66" s="6">
        <f>(VLOOKUP('102 5.1.00'!L66,'102 5.1.00'!$AM$4:$AO$55,2,FALSE))*IF('102 5.1.00'!AN$4="是",'102 5.1.00'!$AX$4,'102 5.1.00'!$AX$3)</f>
        <v>190</v>
      </c>
      <c r="E66" s="6">
        <f>(VLOOKUP('102 5.1.00'!M66,'102 5.1.00'!$AM$4:$AO$55,2,FALSE))*IF('102 5.1.00'!AO$4="是",'102 5.1.00'!$AX$4,'102 5.1.00'!$AX$3)</f>
        <v>190</v>
      </c>
      <c r="F66" s="6">
        <f>(VLOOKUP('102 5.1.00'!N66,'102 5.1.00'!$AM$4:$AO$55,2,FALSE))*IF('102 5.1.00'!AP$4="是",'102 5.1.00'!$AX$4,'102 5.1.00'!$AX$3)</f>
        <v>190</v>
      </c>
      <c r="G66" s="7">
        <f>(VLOOKUP('102 5.1.00'!O66,'102 5.1.00'!$AM$4:$AO$55,2,FALSE))*IF('102 5.1.00'!AQ$4="是",'102 5.1.00'!$AX$4,'102 5.1.00'!$AX$3)</f>
        <v>190</v>
      </c>
      <c r="H66" s="7">
        <f>(VLOOKUP('102 5.1.00'!P66,'102 5.1.00'!$AM$4:$AO$55,2,FALSE))*IF('102 5.1.00'!AR$4="是",'102 5.1.00'!$AX$4,'102 5.1.00'!$AX$3)</f>
        <v>190</v>
      </c>
      <c r="I66" s="6">
        <f>(VLOOKUP('102 5.1.00'!Q66,'102 5.1.00'!$AM$4:$AO$55,2,FALSE))*IF('102 5.1.00'!AS$4="是",'102 5.1.00'!$AX$4,'102 5.1.00'!$AX$3)</f>
        <v>170</v>
      </c>
      <c r="J66" s="6">
        <f>(VLOOKUP('102 5.1.00'!R66,'102 5.1.00'!$AM$4:$AO$55,2,FALSE))*IF('102 5.1.00'!AT$4="是",'102 5.1.00'!$AX$4,'102 5.1.00'!$AX$3)</f>
        <v>170</v>
      </c>
      <c r="K66" s="6">
        <f>(VLOOKUP('102 5.1.00'!S66,'102 5.1.00'!$AM$4:$AO$55,2,FALSE))*IF('102 5.1.00'!AU$4="是",'102 5.1.00'!$AX$4,'102 5.1.00'!$AX$3)</f>
        <v>170</v>
      </c>
      <c r="L66" s="6">
        <f>(VLOOKUP('102 5.1.00'!T66,'102 5.1.00'!$AM$4:$AO$55,2,FALSE))*IF('102 5.1.00'!AV$4="是",'102 5.1.00'!$AX$4,'102 5.1.00'!$AX$3)</f>
        <v>170</v>
      </c>
      <c r="M66" s="6">
        <f>(VLOOKUP('102 5.1.00'!U66,'102 5.1.00'!$AM$4:$AO$55,2,FALSE))*IF('102 5.1.00'!AW$4="是",'102 5.1.00'!$AX$4,'102 5.1.00'!$AX$3)</f>
        <v>170</v>
      </c>
      <c r="N66" s="6">
        <f>(VLOOKUP('102 5.1.00'!V66,'102 5.1.00'!$AM$4:$AO$55,2,FALSE))*IF('102 5.1.00'!AX$4="是",'102 5.1.00'!$AX$4,'102 5.1.00'!$AX$3)</f>
        <v>0</v>
      </c>
      <c r="O66" s="7">
        <f>(VLOOKUP('102 5.1.00'!W66,'102 5.1.00'!$AM$4:$AO$55,2,FALSE))*IF('102 5.1.00'!AY$4="是",'102 5.1.00'!$AX$4,'102 5.1.00'!$AX$3)</f>
        <v>0</v>
      </c>
      <c r="P66" s="7">
        <f>(VLOOKUP('102 5.1.00'!X66,'102 5.1.00'!$AM$4:$AO$55,2,FALSE))*IF('102 5.1.00'!AZ$4="是",'102 5.1.00'!$AX$4,'102 5.1.00'!$AX$3)</f>
        <v>0</v>
      </c>
      <c r="Q66" s="6">
        <f>(VLOOKUP('102 5.1.00'!Y66,'102 5.1.00'!$AM$4:$AO$55,2,FALSE))*IF('102 5.1.00'!BA$4="是",'102 5.1.00'!$AX$4,'102 5.1.00'!$AX$3)</f>
        <v>0</v>
      </c>
      <c r="R66" s="6">
        <f>(VLOOKUP('102 5.1.00'!Z66,'102 5.1.00'!$AM$4:$AO$55,2,FALSE))*IF('102 5.1.00'!BB$4="是",'102 5.1.00'!$AX$4,'102 5.1.00'!$AX$3)</f>
        <v>0</v>
      </c>
      <c r="S66" s="6">
        <f>(VLOOKUP('102 5.1.00'!AA66,'102 5.1.00'!$AM$4:$AO$55,2,FALSE))*IF('102 5.1.00'!BC$4="是",'102 5.1.00'!$AX$4,'102 5.1.00'!$AX$3)</f>
        <v>0</v>
      </c>
      <c r="T66" s="6">
        <f>(VLOOKUP('102 5.1.00'!AB66,'102 5.1.00'!$AM$4:$AO$55,2,FALSE))*IF('102 5.1.00'!BD$4="是",'102 5.1.00'!$AX$4,'102 5.1.00'!$AX$3)</f>
        <v>0</v>
      </c>
      <c r="U66" s="6">
        <f>(VLOOKUP('102 5.1.00'!AC66,'102 5.1.00'!$AM$4:$AO$55,2,FALSE))*IF('102 5.1.00'!BE$4="是",'102 5.1.00'!$AX$4,'102 5.1.00'!$AX$3)</f>
        <v>0</v>
      </c>
      <c r="V66" s="6">
        <f>(VLOOKUP('102 5.1.00'!AD66,'102 5.1.00'!$AM$4:$AO$55,2,FALSE))*IF('102 5.1.00'!BF$4="是",'102 5.1.00'!$AX$4,'102 5.1.00'!$AX$3)</f>
        <v>0</v>
      </c>
      <c r="W66" s="7">
        <f>(VLOOKUP('102 5.1.00'!AE66,'102 5.1.00'!$AM$4:$AO$55,2,FALSE))*IF('102 5.1.00'!BG$4="是",'102 5.1.00'!$AX$4,'102 5.1.00'!$AX$3)</f>
        <v>0</v>
      </c>
      <c r="X66" s="7">
        <f>(VLOOKUP('102 5.1.00'!AF66,'102 5.1.00'!$AM$4:$AO$55,2,FALSE))*IF('102 5.1.00'!BH$4="是",'102 5.1.00'!$AX$4,'102 5.1.00'!$AX$3)</f>
        <v>0</v>
      </c>
    </row>
    <row r="67" spans="1:24">
      <c r="A67" s="6">
        <f>(VLOOKUP('102 5.1.00'!I67,'102 5.1.00'!$AM$4:$AO$55,2,FALSE))*IF('102 5.1.00'!AK$4="是",'102 5.1.00'!$AX$4,'102 5.1.00'!$AX$3)</f>
        <v>200</v>
      </c>
      <c r="B67" s="6">
        <f>(VLOOKUP('102 5.1.00'!J67,'102 5.1.00'!$AM$4:$AO$55,2,FALSE))*IF('102 5.1.00'!AL$4="是",'102 5.1.00'!$AX$4,'102 5.1.00'!$AX$3)</f>
        <v>190</v>
      </c>
      <c r="C67" s="6">
        <f>(VLOOKUP('102 5.1.00'!K67,'102 5.1.00'!$AM$4:$AO$55,2,FALSE))*IF('102 5.1.00'!AM$4="是",'102 5.1.00'!$AX$4,'102 5.1.00'!$AX$3)</f>
        <v>190</v>
      </c>
      <c r="D67" s="6">
        <f>(VLOOKUP('102 5.1.00'!L67,'102 5.1.00'!$AM$4:$AO$55,2,FALSE))*IF('102 5.1.00'!AN$4="是",'102 5.1.00'!$AX$4,'102 5.1.00'!$AX$3)</f>
        <v>190</v>
      </c>
      <c r="E67" s="6">
        <f>(VLOOKUP('102 5.1.00'!M67,'102 5.1.00'!$AM$4:$AO$55,2,FALSE))*IF('102 5.1.00'!AO$4="是",'102 5.1.00'!$AX$4,'102 5.1.00'!$AX$3)</f>
        <v>190</v>
      </c>
      <c r="F67" s="6">
        <f>(VLOOKUP('102 5.1.00'!N67,'102 5.1.00'!$AM$4:$AO$55,2,FALSE))*IF('102 5.1.00'!AP$4="是",'102 5.1.00'!$AX$4,'102 5.1.00'!$AX$3)</f>
        <v>190</v>
      </c>
      <c r="G67" s="7">
        <f>(VLOOKUP('102 5.1.00'!O67,'102 5.1.00'!$AM$4:$AO$55,2,FALSE))*IF('102 5.1.00'!AQ$4="是",'102 5.1.00'!$AX$4,'102 5.1.00'!$AX$3)</f>
        <v>0</v>
      </c>
      <c r="H67" s="7">
        <f>(VLOOKUP('102 5.1.00'!P67,'102 5.1.00'!$AM$4:$AO$55,2,FALSE))*IF('102 5.1.00'!AR$4="是",'102 5.1.00'!$AX$4,'102 5.1.00'!$AX$3)</f>
        <v>0</v>
      </c>
      <c r="I67" s="6">
        <f>(VLOOKUP('102 5.1.00'!Q67,'102 5.1.00'!$AM$4:$AO$55,2,FALSE))*IF('102 5.1.00'!AS$4="是",'102 5.1.00'!$AX$4,'102 5.1.00'!$AX$3)</f>
        <v>170</v>
      </c>
      <c r="J67" s="6">
        <f>(VLOOKUP('102 5.1.00'!R67,'102 5.1.00'!$AM$4:$AO$55,2,FALSE))*IF('102 5.1.00'!AT$4="是",'102 5.1.00'!$AX$4,'102 5.1.00'!$AX$3)</f>
        <v>170</v>
      </c>
      <c r="K67" s="6">
        <f>(VLOOKUP('102 5.1.00'!S67,'102 5.1.00'!$AM$4:$AO$55,2,FALSE))*IF('102 5.1.00'!AU$4="是",'102 5.1.00'!$AX$4,'102 5.1.00'!$AX$3)</f>
        <v>170</v>
      </c>
      <c r="L67" s="6">
        <f>(VLOOKUP('102 5.1.00'!T67,'102 5.1.00'!$AM$4:$AO$55,2,FALSE))*IF('102 5.1.00'!AV$4="是",'102 5.1.00'!$AX$4,'102 5.1.00'!$AX$3)</f>
        <v>170</v>
      </c>
      <c r="M67" s="6">
        <f>(VLOOKUP('102 5.1.00'!U67,'102 5.1.00'!$AM$4:$AO$55,2,FALSE))*IF('102 5.1.00'!AW$4="是",'102 5.1.00'!$AX$4,'102 5.1.00'!$AX$3)</f>
        <v>170</v>
      </c>
      <c r="N67" s="6">
        <f>(VLOOKUP('102 5.1.00'!V67,'102 5.1.00'!$AM$4:$AO$55,2,FALSE))*IF('102 5.1.00'!AX$4="是",'102 5.1.00'!$AX$4,'102 5.1.00'!$AX$3)</f>
        <v>0</v>
      </c>
      <c r="O67" s="7">
        <f>(VLOOKUP('102 5.1.00'!W67,'102 5.1.00'!$AM$4:$AO$55,2,FALSE))*IF('102 5.1.00'!AY$4="是",'102 5.1.00'!$AX$4,'102 5.1.00'!$AX$3)</f>
        <v>0</v>
      </c>
      <c r="P67" s="7">
        <f>(VLOOKUP('102 5.1.00'!X67,'102 5.1.00'!$AM$4:$AO$55,2,FALSE))*IF('102 5.1.00'!AZ$4="是",'102 5.1.00'!$AX$4,'102 5.1.00'!$AX$3)</f>
        <v>0</v>
      </c>
      <c r="Q67" s="6">
        <f>(VLOOKUP('102 5.1.00'!Y67,'102 5.1.00'!$AM$4:$AO$55,2,FALSE))*IF('102 5.1.00'!BA$4="是",'102 5.1.00'!$AX$4,'102 5.1.00'!$AX$3)</f>
        <v>0</v>
      </c>
      <c r="R67" s="6">
        <f>(VLOOKUP('102 5.1.00'!Z67,'102 5.1.00'!$AM$4:$AO$55,2,FALSE))*IF('102 5.1.00'!BB$4="是",'102 5.1.00'!$AX$4,'102 5.1.00'!$AX$3)</f>
        <v>0</v>
      </c>
      <c r="S67" s="6">
        <f>(VLOOKUP('102 5.1.00'!AA67,'102 5.1.00'!$AM$4:$AO$55,2,FALSE))*IF('102 5.1.00'!BC$4="是",'102 5.1.00'!$AX$4,'102 5.1.00'!$AX$3)</f>
        <v>0</v>
      </c>
      <c r="T67" s="6">
        <f>(VLOOKUP('102 5.1.00'!AB67,'102 5.1.00'!$AM$4:$AO$55,2,FALSE))*IF('102 5.1.00'!BD$4="是",'102 5.1.00'!$AX$4,'102 5.1.00'!$AX$3)</f>
        <v>0</v>
      </c>
      <c r="U67" s="6">
        <f>(VLOOKUP('102 5.1.00'!AC67,'102 5.1.00'!$AM$4:$AO$55,2,FALSE))*IF('102 5.1.00'!BE$4="是",'102 5.1.00'!$AX$4,'102 5.1.00'!$AX$3)</f>
        <v>0</v>
      </c>
      <c r="V67" s="6">
        <f>(VLOOKUP('102 5.1.00'!AD67,'102 5.1.00'!$AM$4:$AO$55,2,FALSE))*IF('102 5.1.00'!BF$4="是",'102 5.1.00'!$AX$4,'102 5.1.00'!$AX$3)</f>
        <v>0</v>
      </c>
      <c r="W67" s="7">
        <f>(VLOOKUP('102 5.1.00'!AE67,'102 5.1.00'!$AM$4:$AO$55,2,FALSE))*IF('102 5.1.00'!BG$4="是",'102 5.1.00'!$AX$4,'102 5.1.00'!$AX$3)</f>
        <v>0</v>
      </c>
      <c r="X67" s="7">
        <f>(VLOOKUP('102 5.1.00'!AF67,'102 5.1.00'!$AM$4:$AO$55,2,FALSE))*IF('102 5.1.00'!BH$4="是",'102 5.1.00'!$AX$4,'102 5.1.00'!$AX$3)</f>
        <v>0</v>
      </c>
    </row>
    <row r="68" spans="1:24">
      <c r="A68" s="6">
        <f>(VLOOKUP('102 5.1.00'!I68,'102 5.1.00'!$AM$4:$AO$55,2,FALSE))*IF('102 5.1.00'!AK$4="是",'102 5.1.00'!$AX$4,'102 5.1.00'!$AX$3)</f>
        <v>190</v>
      </c>
      <c r="B68" s="6">
        <f>(VLOOKUP('102 5.1.00'!J68,'102 5.1.00'!$AM$4:$AO$55,2,FALSE))*IF('102 5.1.00'!AL$4="是",'102 5.1.00'!$AX$4,'102 5.1.00'!$AX$3)</f>
        <v>190</v>
      </c>
      <c r="C68" s="6">
        <f>(VLOOKUP('102 5.1.00'!K68,'102 5.1.00'!$AM$4:$AO$55,2,FALSE))*IF('102 5.1.00'!AM$4="是",'102 5.1.00'!$AX$4,'102 5.1.00'!$AX$3)</f>
        <v>190</v>
      </c>
      <c r="D68" s="6">
        <f>(VLOOKUP('102 5.1.00'!L68,'102 5.1.00'!$AM$4:$AO$55,2,FALSE))*IF('102 5.1.00'!AN$4="是",'102 5.1.00'!$AX$4,'102 5.1.00'!$AX$3)</f>
        <v>190</v>
      </c>
      <c r="E68" s="6">
        <f>(VLOOKUP('102 5.1.00'!M68,'102 5.1.00'!$AM$4:$AO$55,2,FALSE))*IF('102 5.1.00'!AO$4="是",'102 5.1.00'!$AX$4,'102 5.1.00'!$AX$3)</f>
        <v>190</v>
      </c>
      <c r="F68" s="6">
        <f>(VLOOKUP('102 5.1.00'!N68,'102 5.1.00'!$AM$4:$AO$55,2,FALSE))*IF('102 5.1.00'!AP$4="是",'102 5.1.00'!$AX$4,'102 5.1.00'!$AX$3)</f>
        <v>190</v>
      </c>
      <c r="G68" s="7">
        <f>(VLOOKUP('102 5.1.00'!O68,'102 5.1.00'!$AM$4:$AO$55,2,FALSE))*IF('102 5.1.00'!AQ$4="是",'102 5.1.00'!$AX$4,'102 5.1.00'!$AX$3)</f>
        <v>0</v>
      </c>
      <c r="H68" s="7">
        <f>(VLOOKUP('102 5.1.00'!P68,'102 5.1.00'!$AM$4:$AO$55,2,FALSE))*IF('102 5.1.00'!AR$4="是",'102 5.1.00'!$AX$4,'102 5.1.00'!$AX$3)</f>
        <v>0</v>
      </c>
      <c r="I68" s="6">
        <f>(VLOOKUP('102 5.1.00'!Q68,'102 5.1.00'!$AM$4:$AO$55,2,FALSE))*IF('102 5.1.00'!AS$4="是",'102 5.1.00'!$AX$4,'102 5.1.00'!$AX$3)</f>
        <v>170</v>
      </c>
      <c r="J68" s="6">
        <f>(VLOOKUP('102 5.1.00'!R68,'102 5.1.00'!$AM$4:$AO$55,2,FALSE))*IF('102 5.1.00'!AT$4="是",'102 5.1.00'!$AX$4,'102 5.1.00'!$AX$3)</f>
        <v>170</v>
      </c>
      <c r="K68" s="6">
        <f>(VLOOKUP('102 5.1.00'!S68,'102 5.1.00'!$AM$4:$AO$55,2,FALSE))*IF('102 5.1.00'!AU$4="是",'102 5.1.00'!$AX$4,'102 5.1.00'!$AX$3)</f>
        <v>170</v>
      </c>
      <c r="L68" s="6">
        <f>(VLOOKUP('102 5.1.00'!T68,'102 5.1.00'!$AM$4:$AO$55,2,FALSE))*IF('102 5.1.00'!AV$4="是",'102 5.1.00'!$AX$4,'102 5.1.00'!$AX$3)</f>
        <v>170</v>
      </c>
      <c r="M68" s="6">
        <f>(VLOOKUP('102 5.1.00'!U68,'102 5.1.00'!$AM$4:$AO$55,2,FALSE))*IF('102 5.1.00'!AW$4="是",'102 5.1.00'!$AX$4,'102 5.1.00'!$AX$3)</f>
        <v>170</v>
      </c>
      <c r="N68" s="6">
        <f>(VLOOKUP('102 5.1.00'!V68,'102 5.1.00'!$AM$4:$AO$55,2,FALSE))*IF('102 5.1.00'!AX$4="是",'102 5.1.00'!$AX$4,'102 5.1.00'!$AX$3)</f>
        <v>0</v>
      </c>
      <c r="O68" s="7">
        <f>(VLOOKUP('102 5.1.00'!W68,'102 5.1.00'!$AM$4:$AO$55,2,FALSE))*IF('102 5.1.00'!AY$4="是",'102 5.1.00'!$AX$4,'102 5.1.00'!$AX$3)</f>
        <v>0</v>
      </c>
      <c r="P68" s="7">
        <f>(VLOOKUP('102 5.1.00'!X68,'102 5.1.00'!$AM$4:$AO$55,2,FALSE))*IF('102 5.1.00'!AZ$4="是",'102 5.1.00'!$AX$4,'102 5.1.00'!$AX$3)</f>
        <v>0</v>
      </c>
      <c r="Q68" s="6">
        <f>(VLOOKUP('102 5.1.00'!Y68,'102 5.1.00'!$AM$4:$AO$55,2,FALSE))*IF('102 5.1.00'!BA$4="是",'102 5.1.00'!$AX$4,'102 5.1.00'!$AX$3)</f>
        <v>0</v>
      </c>
      <c r="R68" s="6">
        <f>(VLOOKUP('102 5.1.00'!Z68,'102 5.1.00'!$AM$4:$AO$55,2,FALSE))*IF('102 5.1.00'!BB$4="是",'102 5.1.00'!$AX$4,'102 5.1.00'!$AX$3)</f>
        <v>0</v>
      </c>
      <c r="S68" s="6">
        <f>(VLOOKUP('102 5.1.00'!AA68,'102 5.1.00'!$AM$4:$AO$55,2,FALSE))*IF('102 5.1.00'!BC$4="是",'102 5.1.00'!$AX$4,'102 5.1.00'!$AX$3)</f>
        <v>0</v>
      </c>
      <c r="T68" s="6">
        <f>(VLOOKUP('102 5.1.00'!AB68,'102 5.1.00'!$AM$4:$AO$55,2,FALSE))*IF('102 5.1.00'!BD$4="是",'102 5.1.00'!$AX$4,'102 5.1.00'!$AX$3)</f>
        <v>0</v>
      </c>
      <c r="U68" s="6">
        <f>(VLOOKUP('102 5.1.00'!AC68,'102 5.1.00'!$AM$4:$AO$55,2,FALSE))*IF('102 5.1.00'!BE$4="是",'102 5.1.00'!$AX$4,'102 5.1.00'!$AX$3)</f>
        <v>0</v>
      </c>
      <c r="V68" s="6">
        <f>(VLOOKUP('102 5.1.00'!AD68,'102 5.1.00'!$AM$4:$AO$55,2,FALSE))*IF('102 5.1.00'!BF$4="是",'102 5.1.00'!$AX$4,'102 5.1.00'!$AX$3)</f>
        <v>0</v>
      </c>
      <c r="W68" s="7">
        <f>(VLOOKUP('102 5.1.00'!AE68,'102 5.1.00'!$AM$4:$AO$55,2,FALSE))*IF('102 5.1.00'!BG$4="是",'102 5.1.00'!$AX$4,'102 5.1.00'!$AX$3)</f>
        <v>0</v>
      </c>
      <c r="X68" s="7">
        <f>(VLOOKUP('102 5.1.00'!AF68,'102 5.1.00'!$AM$4:$AO$55,2,FALSE))*IF('102 5.1.00'!BH$4="是",'102 5.1.00'!$AX$4,'102 5.1.00'!$AX$3)</f>
        <v>0</v>
      </c>
    </row>
    <row r="69" spans="1:24">
      <c r="A69" s="6">
        <f>(VLOOKUP('102 5.1.00'!I69,'102 5.1.00'!$AM$4:$AO$55,2,FALSE))*IF('102 5.1.00'!AK$4="是",'102 5.1.00'!$AX$4,'102 5.1.00'!$AX$3)</f>
        <v>190</v>
      </c>
      <c r="B69" s="6">
        <f>(VLOOKUP('102 5.1.00'!J69,'102 5.1.00'!$AM$4:$AO$55,2,FALSE))*IF('102 5.1.00'!AL$4="是",'102 5.1.00'!$AX$4,'102 5.1.00'!$AX$3)</f>
        <v>190</v>
      </c>
      <c r="C69" s="6">
        <f>(VLOOKUP('102 5.1.00'!K69,'102 5.1.00'!$AM$4:$AO$55,2,FALSE))*IF('102 5.1.00'!AM$4="是",'102 5.1.00'!$AX$4,'102 5.1.00'!$AX$3)</f>
        <v>190</v>
      </c>
      <c r="D69" s="6">
        <f>(VLOOKUP('102 5.1.00'!L69,'102 5.1.00'!$AM$4:$AO$55,2,FALSE))*IF('102 5.1.00'!AN$4="是",'102 5.1.00'!$AX$4,'102 5.1.00'!$AX$3)</f>
        <v>190</v>
      </c>
      <c r="E69" s="6">
        <f>(VLOOKUP('102 5.1.00'!M69,'102 5.1.00'!$AM$4:$AO$55,2,FALSE))*IF('102 5.1.00'!AO$4="是",'102 5.1.00'!$AX$4,'102 5.1.00'!$AX$3)</f>
        <v>190</v>
      </c>
      <c r="F69" s="6">
        <f>(VLOOKUP('102 5.1.00'!N69,'102 5.1.00'!$AM$4:$AO$55,2,FALSE))*IF('102 5.1.00'!AP$4="是",'102 5.1.00'!$AX$4,'102 5.1.00'!$AX$3)</f>
        <v>190</v>
      </c>
      <c r="G69" s="7">
        <f>(VLOOKUP('102 5.1.00'!O69,'102 5.1.00'!$AM$4:$AO$55,2,FALSE))*IF('102 5.1.00'!AQ$4="是",'102 5.1.00'!$AX$4,'102 5.1.00'!$AX$3)</f>
        <v>0</v>
      </c>
      <c r="H69" s="7">
        <f>(VLOOKUP('102 5.1.00'!P69,'102 5.1.00'!$AM$4:$AO$55,2,FALSE))*IF('102 5.1.00'!AR$4="是",'102 5.1.00'!$AX$4,'102 5.1.00'!$AX$3)</f>
        <v>0</v>
      </c>
      <c r="I69" s="6">
        <f>(VLOOKUP('102 5.1.00'!Q69,'102 5.1.00'!$AM$4:$AO$55,2,FALSE))*IF('102 5.1.00'!AS$4="是",'102 5.1.00'!$AX$4,'102 5.1.00'!$AX$3)</f>
        <v>170</v>
      </c>
      <c r="J69" s="6">
        <f>(VLOOKUP('102 5.1.00'!R69,'102 5.1.00'!$AM$4:$AO$55,2,FALSE))*IF('102 5.1.00'!AT$4="是",'102 5.1.00'!$AX$4,'102 5.1.00'!$AX$3)</f>
        <v>170</v>
      </c>
      <c r="K69" s="6">
        <f>(VLOOKUP('102 5.1.00'!S69,'102 5.1.00'!$AM$4:$AO$55,2,FALSE))*IF('102 5.1.00'!AU$4="是",'102 5.1.00'!$AX$4,'102 5.1.00'!$AX$3)</f>
        <v>170</v>
      </c>
      <c r="L69" s="6">
        <f>(VLOOKUP('102 5.1.00'!T69,'102 5.1.00'!$AM$4:$AO$55,2,FALSE))*IF('102 5.1.00'!AV$4="是",'102 5.1.00'!$AX$4,'102 5.1.00'!$AX$3)</f>
        <v>170</v>
      </c>
      <c r="M69" s="6">
        <f>(VLOOKUP('102 5.1.00'!U69,'102 5.1.00'!$AM$4:$AO$55,2,FALSE))*IF('102 5.1.00'!AW$4="是",'102 5.1.00'!$AX$4,'102 5.1.00'!$AX$3)</f>
        <v>170</v>
      </c>
      <c r="N69" s="6">
        <f>(VLOOKUP('102 5.1.00'!V69,'102 5.1.00'!$AM$4:$AO$55,2,FALSE))*IF('102 5.1.00'!AX$4="是",'102 5.1.00'!$AX$4,'102 5.1.00'!$AX$3)</f>
        <v>0</v>
      </c>
      <c r="O69" s="7">
        <f>(VLOOKUP('102 5.1.00'!W69,'102 5.1.00'!$AM$4:$AO$55,2,FALSE))*IF('102 5.1.00'!AY$4="是",'102 5.1.00'!$AX$4,'102 5.1.00'!$AX$3)</f>
        <v>0</v>
      </c>
      <c r="P69" s="7">
        <f>(VLOOKUP('102 5.1.00'!X69,'102 5.1.00'!$AM$4:$AO$55,2,FALSE))*IF('102 5.1.00'!AZ$4="是",'102 5.1.00'!$AX$4,'102 5.1.00'!$AX$3)</f>
        <v>0</v>
      </c>
      <c r="Q69" s="6">
        <f>(VLOOKUP('102 5.1.00'!Y69,'102 5.1.00'!$AM$4:$AO$55,2,FALSE))*IF('102 5.1.00'!BA$4="是",'102 5.1.00'!$AX$4,'102 5.1.00'!$AX$3)</f>
        <v>0</v>
      </c>
      <c r="R69" s="6">
        <f>(VLOOKUP('102 5.1.00'!Z69,'102 5.1.00'!$AM$4:$AO$55,2,FALSE))*IF('102 5.1.00'!BB$4="是",'102 5.1.00'!$AX$4,'102 5.1.00'!$AX$3)</f>
        <v>0</v>
      </c>
      <c r="S69" s="6">
        <f>(VLOOKUP('102 5.1.00'!AA69,'102 5.1.00'!$AM$4:$AO$55,2,FALSE))*IF('102 5.1.00'!BC$4="是",'102 5.1.00'!$AX$4,'102 5.1.00'!$AX$3)</f>
        <v>0</v>
      </c>
      <c r="T69" s="6">
        <f>(VLOOKUP('102 5.1.00'!AB69,'102 5.1.00'!$AM$4:$AO$55,2,FALSE))*IF('102 5.1.00'!BD$4="是",'102 5.1.00'!$AX$4,'102 5.1.00'!$AX$3)</f>
        <v>0</v>
      </c>
      <c r="U69" s="6">
        <f>(VLOOKUP('102 5.1.00'!AC69,'102 5.1.00'!$AM$4:$AO$55,2,FALSE))*IF('102 5.1.00'!BE$4="是",'102 5.1.00'!$AX$4,'102 5.1.00'!$AX$3)</f>
        <v>0</v>
      </c>
      <c r="V69" s="6">
        <f>(VLOOKUP('102 5.1.00'!AD69,'102 5.1.00'!$AM$4:$AO$55,2,FALSE))*IF('102 5.1.00'!BF$4="是",'102 5.1.00'!$AX$4,'102 5.1.00'!$AX$3)</f>
        <v>0</v>
      </c>
      <c r="W69" s="7">
        <f>(VLOOKUP('102 5.1.00'!AE69,'102 5.1.00'!$AM$4:$AO$55,2,FALSE))*IF('102 5.1.00'!BG$4="是",'102 5.1.00'!$AX$4,'102 5.1.00'!$AX$3)</f>
        <v>0</v>
      </c>
      <c r="X69" s="7">
        <f>(VLOOKUP('102 5.1.00'!AF69,'102 5.1.00'!$AM$4:$AO$55,2,FALSE))*IF('102 5.1.00'!BH$4="是",'102 5.1.00'!$AX$4,'102 5.1.00'!$AX$3)</f>
        <v>0</v>
      </c>
    </row>
    <row r="70" spans="1:24">
      <c r="A70" s="6">
        <f>(VLOOKUP('102 5.1.00'!I70,'102 5.1.00'!$AM$4:$AO$55,2,FALSE))*IF('102 5.1.00'!AK$4="是",'102 5.1.00'!$AX$4,'102 5.1.00'!$AX$3)</f>
        <v>190</v>
      </c>
      <c r="B70" s="6">
        <f>(VLOOKUP('102 5.1.00'!J70,'102 5.1.00'!$AM$4:$AO$55,2,FALSE))*IF('102 5.1.00'!AL$4="是",'102 5.1.00'!$AX$4,'102 5.1.00'!$AX$3)</f>
        <v>150</v>
      </c>
      <c r="C70" s="6">
        <f>(VLOOKUP('102 5.1.00'!K70,'102 5.1.00'!$AM$4:$AO$55,2,FALSE))*IF('102 5.1.00'!AM$4="是",'102 5.1.00'!$AX$4,'102 5.1.00'!$AX$3)</f>
        <v>190</v>
      </c>
      <c r="D70" s="6">
        <f>(VLOOKUP('102 5.1.00'!L70,'102 5.1.00'!$AM$4:$AO$55,2,FALSE))*IF('102 5.1.00'!AN$4="是",'102 5.1.00'!$AX$4,'102 5.1.00'!$AX$3)</f>
        <v>190</v>
      </c>
      <c r="E70" s="6">
        <f>(VLOOKUP('102 5.1.00'!M70,'102 5.1.00'!$AM$4:$AO$55,2,FALSE))*IF('102 5.1.00'!AO$4="是",'102 5.1.00'!$AX$4,'102 5.1.00'!$AX$3)</f>
        <v>190</v>
      </c>
      <c r="F70" s="6">
        <f>(VLOOKUP('102 5.1.00'!N70,'102 5.1.00'!$AM$4:$AO$55,2,FALSE))*IF('102 5.1.00'!AP$4="是",'102 5.1.00'!$AX$4,'102 5.1.00'!$AX$3)</f>
        <v>190</v>
      </c>
      <c r="G70" s="7">
        <f>(VLOOKUP('102 5.1.00'!O70,'102 5.1.00'!$AM$4:$AO$55,2,FALSE))*IF('102 5.1.00'!AQ$4="是",'102 5.1.00'!$AX$4,'102 5.1.00'!$AX$3)</f>
        <v>0</v>
      </c>
      <c r="H70" s="7">
        <f>(VLOOKUP('102 5.1.00'!P70,'102 5.1.00'!$AM$4:$AO$55,2,FALSE))*IF('102 5.1.00'!AR$4="是",'102 5.1.00'!$AX$4,'102 5.1.00'!$AX$3)</f>
        <v>0</v>
      </c>
      <c r="I70" s="6">
        <f>(VLOOKUP('102 5.1.00'!Q70,'102 5.1.00'!$AM$4:$AO$55,2,FALSE))*IF('102 5.1.00'!AS$4="是",'102 5.1.00'!$AX$4,'102 5.1.00'!$AX$3)</f>
        <v>170</v>
      </c>
      <c r="J70" s="6">
        <f>(VLOOKUP('102 5.1.00'!R70,'102 5.1.00'!$AM$4:$AO$55,2,FALSE))*IF('102 5.1.00'!AT$4="是",'102 5.1.00'!$AX$4,'102 5.1.00'!$AX$3)</f>
        <v>170</v>
      </c>
      <c r="K70" s="6">
        <f>(VLOOKUP('102 5.1.00'!S70,'102 5.1.00'!$AM$4:$AO$55,2,FALSE))*IF('102 5.1.00'!AU$4="是",'102 5.1.00'!$AX$4,'102 5.1.00'!$AX$3)</f>
        <v>170</v>
      </c>
      <c r="L70" s="6">
        <f>(VLOOKUP('102 5.1.00'!T70,'102 5.1.00'!$AM$4:$AO$55,2,FALSE))*IF('102 5.1.00'!AV$4="是",'102 5.1.00'!$AX$4,'102 5.1.00'!$AX$3)</f>
        <v>170</v>
      </c>
      <c r="M70" s="6">
        <f>(VLOOKUP('102 5.1.00'!U70,'102 5.1.00'!$AM$4:$AO$55,2,FALSE))*IF('102 5.1.00'!AW$4="是",'102 5.1.00'!$AX$4,'102 5.1.00'!$AX$3)</f>
        <v>170</v>
      </c>
      <c r="N70" s="6">
        <f>(VLOOKUP('102 5.1.00'!V70,'102 5.1.00'!$AM$4:$AO$55,2,FALSE))*IF('102 5.1.00'!AX$4="是",'102 5.1.00'!$AX$4,'102 5.1.00'!$AX$3)</f>
        <v>170</v>
      </c>
      <c r="O70" s="7">
        <f>(VLOOKUP('102 5.1.00'!W70,'102 5.1.00'!$AM$4:$AO$55,2,FALSE))*IF('102 5.1.00'!AY$4="是",'102 5.1.00'!$AX$4,'102 5.1.00'!$AX$3)</f>
        <v>0</v>
      </c>
      <c r="P70" s="7">
        <f>(VLOOKUP('102 5.1.00'!X70,'102 5.1.00'!$AM$4:$AO$55,2,FALSE))*IF('102 5.1.00'!AZ$4="是",'102 5.1.00'!$AX$4,'102 5.1.00'!$AX$3)</f>
        <v>0</v>
      </c>
      <c r="Q70" s="6">
        <f>(VLOOKUP('102 5.1.00'!Y70,'102 5.1.00'!$AM$4:$AO$55,2,FALSE))*IF('102 5.1.00'!BA$4="是",'102 5.1.00'!$AX$4,'102 5.1.00'!$AX$3)</f>
        <v>0</v>
      </c>
      <c r="R70" s="6">
        <f>(VLOOKUP('102 5.1.00'!Z70,'102 5.1.00'!$AM$4:$AO$55,2,FALSE))*IF('102 5.1.00'!BB$4="是",'102 5.1.00'!$AX$4,'102 5.1.00'!$AX$3)</f>
        <v>0</v>
      </c>
      <c r="S70" s="6">
        <f>(VLOOKUP('102 5.1.00'!AA70,'102 5.1.00'!$AM$4:$AO$55,2,FALSE))*IF('102 5.1.00'!BC$4="是",'102 5.1.00'!$AX$4,'102 5.1.00'!$AX$3)</f>
        <v>0</v>
      </c>
      <c r="T70" s="6">
        <f>(VLOOKUP('102 5.1.00'!AB70,'102 5.1.00'!$AM$4:$AO$55,2,FALSE))*IF('102 5.1.00'!BD$4="是",'102 5.1.00'!$AX$4,'102 5.1.00'!$AX$3)</f>
        <v>0</v>
      </c>
      <c r="U70" s="6">
        <f>(VLOOKUP('102 5.1.00'!AC70,'102 5.1.00'!$AM$4:$AO$55,2,FALSE))*IF('102 5.1.00'!BE$4="是",'102 5.1.00'!$AX$4,'102 5.1.00'!$AX$3)</f>
        <v>0</v>
      </c>
      <c r="V70" s="6">
        <f>(VLOOKUP('102 5.1.00'!AD70,'102 5.1.00'!$AM$4:$AO$55,2,FALSE))*IF('102 5.1.00'!BF$4="是",'102 5.1.00'!$AX$4,'102 5.1.00'!$AX$3)</f>
        <v>0</v>
      </c>
      <c r="W70" s="7">
        <f>(VLOOKUP('102 5.1.00'!AE70,'102 5.1.00'!$AM$4:$AO$55,2,FALSE))*IF('102 5.1.00'!BG$4="是",'102 5.1.00'!$AX$4,'102 5.1.00'!$AX$3)</f>
        <v>0</v>
      </c>
      <c r="X70" s="7">
        <f>(VLOOKUP('102 5.1.00'!AF70,'102 5.1.00'!$AM$4:$AO$55,2,FALSE))*IF('102 5.1.00'!BH$4="是",'102 5.1.00'!$AX$4,'102 5.1.00'!$AX$3)</f>
        <v>0</v>
      </c>
    </row>
    <row r="71" spans="1:24">
      <c r="A71" s="6">
        <f>(VLOOKUP('102 5.1.00'!I71,'102 5.1.00'!$AM$4:$AO$55,2,FALSE))*IF('102 5.1.00'!AK$4="是",'102 5.1.00'!$AX$4,'102 5.1.00'!$AX$3)</f>
        <v>190</v>
      </c>
      <c r="B71" s="6">
        <f>(VLOOKUP('102 5.1.00'!J71,'102 5.1.00'!$AM$4:$AO$55,2,FALSE))*IF('102 5.1.00'!AL$4="是",'102 5.1.00'!$AX$4,'102 5.1.00'!$AX$3)</f>
        <v>190</v>
      </c>
      <c r="C71" s="6">
        <f>(VLOOKUP('102 5.1.00'!K71,'102 5.1.00'!$AM$4:$AO$55,2,FALSE))*IF('102 5.1.00'!AM$4="是",'102 5.1.00'!$AX$4,'102 5.1.00'!$AX$3)</f>
        <v>190</v>
      </c>
      <c r="D71" s="6">
        <f>(VLOOKUP('102 5.1.00'!L71,'102 5.1.00'!$AM$4:$AO$55,2,FALSE))*IF('102 5.1.00'!AN$4="是",'102 5.1.00'!$AX$4,'102 5.1.00'!$AX$3)</f>
        <v>190</v>
      </c>
      <c r="E71" s="6">
        <f>(VLOOKUP('102 5.1.00'!M71,'102 5.1.00'!$AM$4:$AO$55,2,FALSE))*IF('102 5.1.00'!AO$4="是",'102 5.1.00'!$AX$4,'102 5.1.00'!$AX$3)</f>
        <v>190</v>
      </c>
      <c r="F71" s="6">
        <f>(VLOOKUP('102 5.1.00'!N71,'102 5.1.00'!$AM$4:$AO$55,2,FALSE))*IF('102 5.1.00'!AP$4="是",'102 5.1.00'!$AX$4,'102 5.1.00'!$AX$3)</f>
        <v>190</v>
      </c>
      <c r="G71" s="7">
        <f>(VLOOKUP('102 5.1.00'!O71,'102 5.1.00'!$AM$4:$AO$55,2,FALSE))*IF('102 5.1.00'!AQ$4="是",'102 5.1.00'!$AX$4,'102 5.1.00'!$AX$3)</f>
        <v>0</v>
      </c>
      <c r="H71" s="7">
        <f>(VLOOKUP('102 5.1.00'!P71,'102 5.1.00'!$AM$4:$AO$55,2,FALSE))*IF('102 5.1.00'!AR$4="是",'102 5.1.00'!$AX$4,'102 5.1.00'!$AX$3)</f>
        <v>0</v>
      </c>
      <c r="I71" s="6">
        <f>(VLOOKUP('102 5.1.00'!Q71,'102 5.1.00'!$AM$4:$AO$55,2,FALSE))*IF('102 5.1.00'!AS$4="是",'102 5.1.00'!$AX$4,'102 5.1.00'!$AX$3)</f>
        <v>180</v>
      </c>
      <c r="J71" s="6">
        <f>(VLOOKUP('102 5.1.00'!R71,'102 5.1.00'!$AM$4:$AO$55,2,FALSE))*IF('102 5.1.00'!AT$4="是",'102 5.1.00'!$AX$4,'102 5.1.00'!$AX$3)</f>
        <v>170</v>
      </c>
      <c r="K71" s="6">
        <f>(VLOOKUP('102 5.1.00'!S71,'102 5.1.00'!$AM$4:$AO$55,2,FALSE))*IF('102 5.1.00'!AU$4="是",'102 5.1.00'!$AX$4,'102 5.1.00'!$AX$3)</f>
        <v>170</v>
      </c>
      <c r="L71" s="6">
        <f>(VLOOKUP('102 5.1.00'!T71,'102 5.1.00'!$AM$4:$AO$55,2,FALSE))*IF('102 5.1.00'!AV$4="是",'102 5.1.00'!$AX$4,'102 5.1.00'!$AX$3)</f>
        <v>170</v>
      </c>
      <c r="M71" s="6">
        <f>(VLOOKUP('102 5.1.00'!U71,'102 5.1.00'!$AM$4:$AO$55,2,FALSE))*IF('102 5.1.00'!AW$4="是",'102 5.1.00'!$AX$4,'102 5.1.00'!$AX$3)</f>
        <v>180</v>
      </c>
      <c r="N71" s="6">
        <f>(VLOOKUP('102 5.1.00'!V71,'102 5.1.00'!$AM$4:$AO$55,2,FALSE))*IF('102 5.1.00'!AX$4="是",'102 5.1.00'!$AX$4,'102 5.1.00'!$AX$3)</f>
        <v>0</v>
      </c>
      <c r="O71" s="7">
        <f>(VLOOKUP('102 5.1.00'!W71,'102 5.1.00'!$AM$4:$AO$55,2,FALSE))*IF('102 5.1.00'!AY$4="是",'102 5.1.00'!$AX$4,'102 5.1.00'!$AX$3)</f>
        <v>0</v>
      </c>
      <c r="P71" s="7">
        <f>(VLOOKUP('102 5.1.00'!X71,'102 5.1.00'!$AM$4:$AO$55,2,FALSE))*IF('102 5.1.00'!AZ$4="是",'102 5.1.00'!$AX$4,'102 5.1.00'!$AX$3)</f>
        <v>0</v>
      </c>
      <c r="Q71" s="6">
        <f>(VLOOKUP('102 5.1.00'!Y71,'102 5.1.00'!$AM$4:$AO$55,2,FALSE))*IF('102 5.1.00'!BA$4="是",'102 5.1.00'!$AX$4,'102 5.1.00'!$AX$3)</f>
        <v>0</v>
      </c>
      <c r="R71" s="6">
        <f>(VLOOKUP('102 5.1.00'!Z71,'102 5.1.00'!$AM$4:$AO$55,2,FALSE))*IF('102 5.1.00'!BB$4="是",'102 5.1.00'!$AX$4,'102 5.1.00'!$AX$3)</f>
        <v>0</v>
      </c>
      <c r="S71" s="6">
        <f>(VLOOKUP('102 5.1.00'!AA71,'102 5.1.00'!$AM$4:$AO$55,2,FALSE))*IF('102 5.1.00'!BC$4="是",'102 5.1.00'!$AX$4,'102 5.1.00'!$AX$3)</f>
        <v>0</v>
      </c>
      <c r="T71" s="6">
        <f>(VLOOKUP('102 5.1.00'!AB71,'102 5.1.00'!$AM$4:$AO$55,2,FALSE))*IF('102 5.1.00'!BD$4="是",'102 5.1.00'!$AX$4,'102 5.1.00'!$AX$3)</f>
        <v>0</v>
      </c>
      <c r="U71" s="6">
        <f>(VLOOKUP('102 5.1.00'!AC71,'102 5.1.00'!$AM$4:$AO$55,2,FALSE))*IF('102 5.1.00'!BE$4="是",'102 5.1.00'!$AX$4,'102 5.1.00'!$AX$3)</f>
        <v>0</v>
      </c>
      <c r="V71" s="6">
        <f>(VLOOKUP('102 5.1.00'!AD71,'102 5.1.00'!$AM$4:$AO$55,2,FALSE))*IF('102 5.1.00'!BF$4="是",'102 5.1.00'!$AX$4,'102 5.1.00'!$AX$3)</f>
        <v>0</v>
      </c>
      <c r="W71" s="7">
        <f>(VLOOKUP('102 5.1.00'!AE71,'102 5.1.00'!$AM$4:$AO$55,2,FALSE))*IF('102 5.1.00'!BG$4="是",'102 5.1.00'!$AX$4,'102 5.1.00'!$AX$3)</f>
        <v>0</v>
      </c>
      <c r="X71" s="7">
        <f>(VLOOKUP('102 5.1.00'!AF71,'102 5.1.00'!$AM$4:$AO$55,2,FALSE))*IF('102 5.1.00'!BH$4="是",'102 5.1.00'!$AX$4,'102 5.1.00'!$AX$3)</f>
        <v>0</v>
      </c>
    </row>
    <row r="72" spans="1:24">
      <c r="A72" s="6">
        <f>(VLOOKUP('102 5.1.00'!I72,'102 5.1.00'!$AM$4:$AO$55,2,FALSE))*IF('102 5.1.00'!AK$4="是",'102 5.1.00'!$AX$4,'102 5.1.00'!$AX$3)</f>
        <v>190</v>
      </c>
      <c r="B72" s="6">
        <f>(VLOOKUP('102 5.1.00'!J72,'102 5.1.00'!$AM$4:$AO$55,2,FALSE))*IF('102 5.1.00'!AL$4="是",'102 5.1.00'!$AX$4,'102 5.1.00'!$AX$3)</f>
        <v>190</v>
      </c>
      <c r="C72" s="6">
        <f>(VLOOKUP('102 5.1.00'!K72,'102 5.1.00'!$AM$4:$AO$55,2,FALSE))*IF('102 5.1.00'!AM$4="是",'102 5.1.00'!$AX$4,'102 5.1.00'!$AX$3)</f>
        <v>190</v>
      </c>
      <c r="D72" s="6">
        <f>(VLOOKUP('102 5.1.00'!L72,'102 5.1.00'!$AM$4:$AO$55,2,FALSE))*IF('102 5.1.00'!AN$4="是",'102 5.1.00'!$AX$4,'102 5.1.00'!$AX$3)</f>
        <v>190</v>
      </c>
      <c r="E72" s="6">
        <f>(VLOOKUP('102 5.1.00'!M72,'102 5.1.00'!$AM$4:$AO$55,2,FALSE))*IF('102 5.1.00'!AO$4="是",'102 5.1.00'!$AX$4,'102 5.1.00'!$AX$3)</f>
        <v>50</v>
      </c>
      <c r="F72" s="6">
        <f>(VLOOKUP('102 5.1.00'!N72,'102 5.1.00'!$AM$4:$AO$55,2,FALSE))*IF('102 5.1.00'!AP$4="是",'102 5.1.00'!$AX$4,'102 5.1.00'!$AX$3)</f>
        <v>190</v>
      </c>
      <c r="G72" s="7">
        <f>(VLOOKUP('102 5.1.00'!O72,'102 5.1.00'!$AM$4:$AO$55,2,FALSE))*IF('102 5.1.00'!AQ$4="是",'102 5.1.00'!$AX$4,'102 5.1.00'!$AX$3)</f>
        <v>0</v>
      </c>
      <c r="H72" s="7">
        <f>(VLOOKUP('102 5.1.00'!P72,'102 5.1.00'!$AM$4:$AO$55,2,FALSE))*IF('102 5.1.00'!AR$4="是",'102 5.1.00'!$AX$4,'102 5.1.00'!$AX$3)</f>
        <v>0</v>
      </c>
      <c r="I72" s="6">
        <f>(VLOOKUP('102 5.1.00'!Q72,'102 5.1.00'!$AM$4:$AO$55,2,FALSE))*IF('102 5.1.00'!AS$4="是",'102 5.1.00'!$AX$4,'102 5.1.00'!$AX$3)</f>
        <v>180</v>
      </c>
      <c r="J72" s="6">
        <f>(VLOOKUP('102 5.1.00'!R72,'102 5.1.00'!$AM$4:$AO$55,2,FALSE))*IF('102 5.1.00'!AT$4="是",'102 5.1.00'!$AX$4,'102 5.1.00'!$AX$3)</f>
        <v>180</v>
      </c>
      <c r="K72" s="6">
        <f>(VLOOKUP('102 5.1.00'!S72,'102 5.1.00'!$AM$4:$AO$55,2,FALSE))*IF('102 5.1.00'!AU$4="是",'102 5.1.00'!$AX$4,'102 5.1.00'!$AX$3)</f>
        <v>50</v>
      </c>
      <c r="L72" s="6">
        <f>(VLOOKUP('102 5.1.00'!T72,'102 5.1.00'!$AM$4:$AO$55,2,FALSE))*IF('102 5.1.00'!AV$4="是",'102 5.1.00'!$AX$4,'102 5.1.00'!$AX$3)</f>
        <v>180</v>
      </c>
      <c r="M72" s="6">
        <f>(VLOOKUP('102 5.1.00'!U72,'102 5.1.00'!$AM$4:$AO$55,2,FALSE))*IF('102 5.1.00'!AW$4="是",'102 5.1.00'!$AX$4,'102 5.1.00'!$AX$3)</f>
        <v>180</v>
      </c>
      <c r="N72" s="6">
        <f>(VLOOKUP('102 5.1.00'!V72,'102 5.1.00'!$AM$4:$AO$55,2,FALSE))*IF('102 5.1.00'!AX$4="是",'102 5.1.00'!$AX$4,'102 5.1.00'!$AX$3)</f>
        <v>180</v>
      </c>
      <c r="O72" s="7">
        <f>(VLOOKUP('102 5.1.00'!W72,'102 5.1.00'!$AM$4:$AO$55,2,FALSE))*IF('102 5.1.00'!AY$4="是",'102 5.1.00'!$AX$4,'102 5.1.00'!$AX$3)</f>
        <v>0</v>
      </c>
      <c r="P72" s="7">
        <f>(VLOOKUP('102 5.1.00'!X72,'102 5.1.00'!$AM$4:$AO$55,2,FALSE))*IF('102 5.1.00'!AZ$4="是",'102 5.1.00'!$AX$4,'102 5.1.00'!$AX$3)</f>
        <v>0</v>
      </c>
      <c r="Q72" s="6">
        <f>(VLOOKUP('102 5.1.00'!Y72,'102 5.1.00'!$AM$4:$AO$55,2,FALSE))*IF('102 5.1.00'!BA$4="是",'102 5.1.00'!$AX$4,'102 5.1.00'!$AX$3)</f>
        <v>0</v>
      </c>
      <c r="R72" s="6">
        <f>(VLOOKUP('102 5.1.00'!Z72,'102 5.1.00'!$AM$4:$AO$55,2,FALSE))*IF('102 5.1.00'!BB$4="是",'102 5.1.00'!$AX$4,'102 5.1.00'!$AX$3)</f>
        <v>0</v>
      </c>
      <c r="S72" s="6">
        <f>(VLOOKUP('102 5.1.00'!AA72,'102 5.1.00'!$AM$4:$AO$55,2,FALSE))*IF('102 5.1.00'!BC$4="是",'102 5.1.00'!$AX$4,'102 5.1.00'!$AX$3)</f>
        <v>0</v>
      </c>
      <c r="T72" s="6">
        <f>(VLOOKUP('102 5.1.00'!AB72,'102 5.1.00'!$AM$4:$AO$55,2,FALSE))*IF('102 5.1.00'!BD$4="是",'102 5.1.00'!$AX$4,'102 5.1.00'!$AX$3)</f>
        <v>0</v>
      </c>
      <c r="U72" s="6">
        <f>(VLOOKUP('102 5.1.00'!AC72,'102 5.1.00'!$AM$4:$AO$55,2,FALSE))*IF('102 5.1.00'!BE$4="是",'102 5.1.00'!$AX$4,'102 5.1.00'!$AX$3)</f>
        <v>0</v>
      </c>
      <c r="V72" s="6">
        <f>(VLOOKUP('102 5.1.00'!AD72,'102 5.1.00'!$AM$4:$AO$55,2,FALSE))*IF('102 5.1.00'!BF$4="是",'102 5.1.00'!$AX$4,'102 5.1.00'!$AX$3)</f>
        <v>0</v>
      </c>
      <c r="W72" s="7">
        <f>(VLOOKUP('102 5.1.00'!AE72,'102 5.1.00'!$AM$4:$AO$55,2,FALSE))*IF('102 5.1.00'!BG$4="是",'102 5.1.00'!$AX$4,'102 5.1.00'!$AX$3)</f>
        <v>0</v>
      </c>
      <c r="X72" s="7">
        <f>(VLOOKUP('102 5.1.00'!AF72,'102 5.1.00'!$AM$4:$AO$55,2,FALSE))*IF('102 5.1.00'!BH$4="是",'102 5.1.00'!$AX$4,'102 5.1.00'!$AX$3)</f>
        <v>0</v>
      </c>
    </row>
    <row r="73" spans="1:24">
      <c r="A73" s="6">
        <f>(VLOOKUP('102 5.1.00'!I73,'102 5.1.00'!$AM$4:$AO$55,2,FALSE))*IF('102 5.1.00'!AK$4="是",'102 5.1.00'!$AX$4,'102 5.1.00'!$AX$3)</f>
        <v>190</v>
      </c>
      <c r="B73" s="6">
        <f>(VLOOKUP('102 5.1.00'!J73,'102 5.1.00'!$AM$4:$AO$55,2,FALSE))*IF('102 5.1.00'!AL$4="是",'102 5.1.00'!$AX$4,'102 5.1.00'!$AX$3)</f>
        <v>190</v>
      </c>
      <c r="C73" s="6">
        <f>(VLOOKUP('102 5.1.00'!K73,'102 5.1.00'!$AM$4:$AO$55,2,FALSE))*IF('102 5.1.00'!AM$4="是",'102 5.1.00'!$AX$4,'102 5.1.00'!$AX$3)</f>
        <v>190</v>
      </c>
      <c r="D73" s="6">
        <f>(VLOOKUP('102 5.1.00'!L73,'102 5.1.00'!$AM$4:$AO$55,2,FALSE))*IF('102 5.1.00'!AN$4="是",'102 5.1.00'!$AX$4,'102 5.1.00'!$AX$3)</f>
        <v>190</v>
      </c>
      <c r="E73" s="6">
        <f>(VLOOKUP('102 5.1.00'!M73,'102 5.1.00'!$AM$4:$AO$55,2,FALSE))*IF('102 5.1.00'!AO$4="是",'102 5.1.00'!$AX$4,'102 5.1.00'!$AX$3)</f>
        <v>190</v>
      </c>
      <c r="F73" s="6">
        <f>(VLOOKUP('102 5.1.00'!N73,'102 5.1.00'!$AM$4:$AO$55,2,FALSE))*IF('102 5.1.00'!AP$4="是",'102 5.1.00'!$AX$4,'102 5.1.00'!$AX$3)</f>
        <v>190</v>
      </c>
      <c r="G73" s="7">
        <f>(VLOOKUP('102 5.1.00'!O73,'102 5.1.00'!$AM$4:$AO$55,2,FALSE))*IF('102 5.1.00'!AQ$4="是",'102 5.1.00'!$AX$4,'102 5.1.00'!$AX$3)</f>
        <v>0</v>
      </c>
      <c r="H73" s="7">
        <f>(VLOOKUP('102 5.1.00'!P73,'102 5.1.00'!$AM$4:$AO$55,2,FALSE))*IF('102 5.1.00'!AR$4="是",'102 5.1.00'!$AX$4,'102 5.1.00'!$AX$3)</f>
        <v>0</v>
      </c>
      <c r="I73" s="6">
        <f>(VLOOKUP('102 5.1.00'!Q73,'102 5.1.00'!$AM$4:$AO$55,2,FALSE))*IF('102 5.1.00'!AS$4="是",'102 5.1.00'!$AX$4,'102 5.1.00'!$AX$3)</f>
        <v>180</v>
      </c>
      <c r="J73" s="6">
        <f>(VLOOKUP('102 5.1.00'!R73,'102 5.1.00'!$AM$4:$AO$55,2,FALSE))*IF('102 5.1.00'!AT$4="是",'102 5.1.00'!$AX$4,'102 5.1.00'!$AX$3)</f>
        <v>180</v>
      </c>
      <c r="K73" s="6">
        <f>(VLOOKUP('102 5.1.00'!S73,'102 5.1.00'!$AM$4:$AO$55,2,FALSE))*IF('102 5.1.00'!AU$4="是",'102 5.1.00'!$AX$4,'102 5.1.00'!$AX$3)</f>
        <v>180</v>
      </c>
      <c r="L73" s="6">
        <f>(VLOOKUP('102 5.1.00'!T73,'102 5.1.00'!$AM$4:$AO$55,2,FALSE))*IF('102 5.1.00'!AV$4="是",'102 5.1.00'!$AX$4,'102 5.1.00'!$AX$3)</f>
        <v>180</v>
      </c>
      <c r="M73" s="6">
        <f>(VLOOKUP('102 5.1.00'!U73,'102 5.1.00'!$AM$4:$AO$55,2,FALSE))*IF('102 5.1.00'!AW$4="是",'102 5.1.00'!$AX$4,'102 5.1.00'!$AX$3)</f>
        <v>180</v>
      </c>
      <c r="N73" s="6">
        <f>(VLOOKUP('102 5.1.00'!V73,'102 5.1.00'!$AM$4:$AO$55,2,FALSE))*IF('102 5.1.00'!AX$4="是",'102 5.1.00'!$AX$4,'102 5.1.00'!$AX$3)</f>
        <v>0</v>
      </c>
      <c r="O73" s="7">
        <f>(VLOOKUP('102 5.1.00'!W73,'102 5.1.00'!$AM$4:$AO$55,2,FALSE))*IF('102 5.1.00'!AY$4="是",'102 5.1.00'!$AX$4,'102 5.1.00'!$AX$3)</f>
        <v>0</v>
      </c>
      <c r="P73" s="7">
        <f>(VLOOKUP('102 5.1.00'!X73,'102 5.1.00'!$AM$4:$AO$55,2,FALSE))*IF('102 5.1.00'!AZ$4="是",'102 5.1.00'!$AX$4,'102 5.1.00'!$AX$3)</f>
        <v>0</v>
      </c>
      <c r="Q73" s="6">
        <f>(VLOOKUP('102 5.1.00'!Y73,'102 5.1.00'!$AM$4:$AO$55,2,FALSE))*IF('102 5.1.00'!BA$4="是",'102 5.1.00'!$AX$4,'102 5.1.00'!$AX$3)</f>
        <v>0</v>
      </c>
      <c r="R73" s="6">
        <f>(VLOOKUP('102 5.1.00'!Z73,'102 5.1.00'!$AM$4:$AO$55,2,FALSE))*IF('102 5.1.00'!BB$4="是",'102 5.1.00'!$AX$4,'102 5.1.00'!$AX$3)</f>
        <v>0</v>
      </c>
      <c r="S73" s="6">
        <f>(VLOOKUP('102 5.1.00'!AA73,'102 5.1.00'!$AM$4:$AO$55,2,FALSE))*IF('102 5.1.00'!BC$4="是",'102 5.1.00'!$AX$4,'102 5.1.00'!$AX$3)</f>
        <v>0</v>
      </c>
      <c r="T73" s="6">
        <f>(VLOOKUP('102 5.1.00'!AB73,'102 5.1.00'!$AM$4:$AO$55,2,FALSE))*IF('102 5.1.00'!BD$4="是",'102 5.1.00'!$AX$4,'102 5.1.00'!$AX$3)</f>
        <v>0</v>
      </c>
      <c r="U73" s="6">
        <f>(VLOOKUP('102 5.1.00'!AC73,'102 5.1.00'!$AM$4:$AO$55,2,FALSE))*IF('102 5.1.00'!BE$4="是",'102 5.1.00'!$AX$4,'102 5.1.00'!$AX$3)</f>
        <v>0</v>
      </c>
      <c r="V73" s="6">
        <f>(VLOOKUP('102 5.1.00'!AD73,'102 5.1.00'!$AM$4:$AO$55,2,FALSE))*IF('102 5.1.00'!BF$4="是",'102 5.1.00'!$AX$4,'102 5.1.00'!$AX$3)</f>
        <v>0</v>
      </c>
      <c r="W73" s="7">
        <f>(VLOOKUP('102 5.1.00'!AE73,'102 5.1.00'!$AM$4:$AO$55,2,FALSE))*IF('102 5.1.00'!BG$4="是",'102 5.1.00'!$AX$4,'102 5.1.00'!$AX$3)</f>
        <v>0</v>
      </c>
      <c r="X73" s="7">
        <f>(VLOOKUP('102 5.1.00'!AF73,'102 5.1.00'!$AM$4:$AO$55,2,FALSE))*IF('102 5.1.00'!BH$4="是",'102 5.1.00'!$AX$4,'102 5.1.00'!$AX$3)</f>
        <v>0</v>
      </c>
    </row>
    <row r="74" spans="1:24">
      <c r="A74" s="6">
        <f>(VLOOKUP('102 5.1.00'!I74,'102 5.1.00'!$AM$4:$AO$55,2,FALSE))*IF('102 5.1.00'!AK$4="是",'102 5.1.00'!$AX$4,'102 5.1.00'!$AX$3)</f>
        <v>190</v>
      </c>
      <c r="B74" s="6">
        <f>(VLOOKUP('102 5.1.00'!J74,'102 5.1.00'!$AM$4:$AO$55,2,FALSE))*IF('102 5.1.00'!AL$4="是",'102 5.1.00'!$AX$4,'102 5.1.00'!$AX$3)</f>
        <v>190</v>
      </c>
      <c r="C74" s="6">
        <f>(VLOOKUP('102 5.1.00'!K74,'102 5.1.00'!$AM$4:$AO$55,2,FALSE))*IF('102 5.1.00'!AM$4="是",'102 5.1.00'!$AX$4,'102 5.1.00'!$AX$3)</f>
        <v>190</v>
      </c>
      <c r="D74" s="6">
        <f>(VLOOKUP('102 5.1.00'!L74,'102 5.1.00'!$AM$4:$AO$55,2,FALSE))*IF('102 5.1.00'!AN$4="是",'102 5.1.00'!$AX$4,'102 5.1.00'!$AX$3)</f>
        <v>190</v>
      </c>
      <c r="E74" s="6">
        <f>(VLOOKUP('102 5.1.00'!M74,'102 5.1.00'!$AM$4:$AO$55,2,FALSE))*IF('102 5.1.00'!AO$4="是",'102 5.1.00'!$AX$4,'102 5.1.00'!$AX$3)</f>
        <v>190</v>
      </c>
      <c r="F74" s="6">
        <f>(VLOOKUP('102 5.1.00'!N74,'102 5.1.00'!$AM$4:$AO$55,2,FALSE))*IF('102 5.1.00'!AP$4="是",'102 5.1.00'!$AX$4,'102 5.1.00'!$AX$3)</f>
        <v>190</v>
      </c>
      <c r="G74" s="7">
        <f>(VLOOKUP('102 5.1.00'!O74,'102 5.1.00'!$AM$4:$AO$55,2,FALSE))*IF('102 5.1.00'!AQ$4="是",'102 5.1.00'!$AX$4,'102 5.1.00'!$AX$3)</f>
        <v>0</v>
      </c>
      <c r="H74" s="7">
        <f>(VLOOKUP('102 5.1.00'!P74,'102 5.1.00'!$AM$4:$AO$55,2,FALSE))*IF('102 5.1.00'!AR$4="是",'102 5.1.00'!$AX$4,'102 5.1.00'!$AX$3)</f>
        <v>0</v>
      </c>
      <c r="I74" s="6">
        <f>(VLOOKUP('102 5.1.00'!Q74,'102 5.1.00'!$AM$4:$AO$55,2,FALSE))*IF('102 5.1.00'!AS$4="是",'102 5.1.00'!$AX$4,'102 5.1.00'!$AX$3)</f>
        <v>180</v>
      </c>
      <c r="J74" s="6">
        <f>(VLOOKUP('102 5.1.00'!R74,'102 5.1.00'!$AM$4:$AO$55,2,FALSE))*IF('102 5.1.00'!AT$4="是",'102 5.1.00'!$AX$4,'102 5.1.00'!$AX$3)</f>
        <v>180</v>
      </c>
      <c r="K74" s="6">
        <f>(VLOOKUP('102 5.1.00'!S74,'102 5.1.00'!$AM$4:$AO$55,2,FALSE))*IF('102 5.1.00'!AU$4="是",'102 5.1.00'!$AX$4,'102 5.1.00'!$AX$3)</f>
        <v>180</v>
      </c>
      <c r="L74" s="6">
        <f>(VLOOKUP('102 5.1.00'!T74,'102 5.1.00'!$AM$4:$AO$55,2,FALSE))*IF('102 5.1.00'!AV$4="是",'102 5.1.00'!$AX$4,'102 5.1.00'!$AX$3)</f>
        <v>180</v>
      </c>
      <c r="M74" s="6">
        <f>(VLOOKUP('102 5.1.00'!U74,'102 5.1.00'!$AM$4:$AO$55,2,FALSE))*IF('102 5.1.00'!AW$4="是",'102 5.1.00'!$AX$4,'102 5.1.00'!$AX$3)</f>
        <v>180</v>
      </c>
      <c r="N74" s="6">
        <f>(VLOOKUP('102 5.1.00'!V74,'102 5.1.00'!$AM$4:$AO$55,2,FALSE))*IF('102 5.1.00'!AX$4="是",'102 5.1.00'!$AX$4,'102 5.1.00'!$AX$3)</f>
        <v>0</v>
      </c>
      <c r="O74" s="7">
        <f>(VLOOKUP('102 5.1.00'!W74,'102 5.1.00'!$AM$4:$AO$55,2,FALSE))*IF('102 5.1.00'!AY$4="是",'102 5.1.00'!$AX$4,'102 5.1.00'!$AX$3)</f>
        <v>0</v>
      </c>
      <c r="P74" s="7">
        <f>(VLOOKUP('102 5.1.00'!X74,'102 5.1.00'!$AM$4:$AO$55,2,FALSE))*IF('102 5.1.00'!AZ$4="是",'102 5.1.00'!$AX$4,'102 5.1.00'!$AX$3)</f>
        <v>0</v>
      </c>
      <c r="Q74" s="6">
        <f>(VLOOKUP('102 5.1.00'!Y74,'102 5.1.00'!$AM$4:$AO$55,2,FALSE))*IF('102 5.1.00'!BA$4="是",'102 5.1.00'!$AX$4,'102 5.1.00'!$AX$3)</f>
        <v>0</v>
      </c>
      <c r="R74" s="6">
        <f>(VLOOKUP('102 5.1.00'!Z74,'102 5.1.00'!$AM$4:$AO$55,2,FALSE))*IF('102 5.1.00'!BB$4="是",'102 5.1.00'!$AX$4,'102 5.1.00'!$AX$3)</f>
        <v>0</v>
      </c>
      <c r="S74" s="6">
        <f>(VLOOKUP('102 5.1.00'!AA74,'102 5.1.00'!$AM$4:$AO$55,2,FALSE))*IF('102 5.1.00'!BC$4="是",'102 5.1.00'!$AX$4,'102 5.1.00'!$AX$3)</f>
        <v>0</v>
      </c>
      <c r="T74" s="6">
        <f>(VLOOKUP('102 5.1.00'!AB74,'102 5.1.00'!$AM$4:$AO$55,2,FALSE))*IF('102 5.1.00'!BD$4="是",'102 5.1.00'!$AX$4,'102 5.1.00'!$AX$3)</f>
        <v>0</v>
      </c>
      <c r="U74" s="6">
        <f>(VLOOKUP('102 5.1.00'!AC74,'102 5.1.00'!$AM$4:$AO$55,2,FALSE))*IF('102 5.1.00'!BE$4="是",'102 5.1.00'!$AX$4,'102 5.1.00'!$AX$3)</f>
        <v>0</v>
      </c>
      <c r="V74" s="6">
        <f>(VLOOKUP('102 5.1.00'!AD74,'102 5.1.00'!$AM$4:$AO$55,2,FALSE))*IF('102 5.1.00'!BF$4="是",'102 5.1.00'!$AX$4,'102 5.1.00'!$AX$3)</f>
        <v>0</v>
      </c>
      <c r="W74" s="7">
        <f>(VLOOKUP('102 5.1.00'!AE74,'102 5.1.00'!$AM$4:$AO$55,2,FALSE))*IF('102 5.1.00'!BG$4="是",'102 5.1.00'!$AX$4,'102 5.1.00'!$AX$3)</f>
        <v>0</v>
      </c>
      <c r="X74" s="7">
        <f>(VLOOKUP('102 5.1.00'!AF74,'102 5.1.00'!$AM$4:$AO$55,2,FALSE))*IF('102 5.1.00'!BH$4="是",'102 5.1.00'!$AX$4,'102 5.1.00'!$AX$3)</f>
        <v>0</v>
      </c>
    </row>
    <row r="75" spans="1:24">
      <c r="A75" s="6">
        <f>(VLOOKUP('102 5.1.00'!I75,'102 5.1.00'!$AM$4:$AO$55,2,FALSE))*IF('102 5.1.00'!AK$4="是",'102 5.1.00'!$AX$4,'102 5.1.00'!$AX$3)</f>
        <v>190</v>
      </c>
      <c r="B75" s="6">
        <f>(VLOOKUP('102 5.1.00'!J75,'102 5.1.00'!$AM$4:$AO$55,2,FALSE))*IF('102 5.1.00'!AL$4="是",'102 5.1.00'!$AX$4,'102 5.1.00'!$AX$3)</f>
        <v>190</v>
      </c>
      <c r="C75" s="6">
        <f>(VLOOKUP('102 5.1.00'!K75,'102 5.1.00'!$AM$4:$AO$55,2,FALSE))*IF('102 5.1.00'!AM$4="是",'102 5.1.00'!$AX$4,'102 5.1.00'!$AX$3)</f>
        <v>190</v>
      </c>
      <c r="D75" s="6">
        <f>(VLOOKUP('102 5.1.00'!L75,'102 5.1.00'!$AM$4:$AO$55,2,FALSE))*IF('102 5.1.00'!AN$4="是",'102 5.1.00'!$AX$4,'102 5.1.00'!$AX$3)</f>
        <v>190</v>
      </c>
      <c r="E75" s="6">
        <f>(VLOOKUP('102 5.1.00'!M75,'102 5.1.00'!$AM$4:$AO$55,2,FALSE))*IF('102 5.1.00'!AO$4="是",'102 5.1.00'!$AX$4,'102 5.1.00'!$AX$3)</f>
        <v>190</v>
      </c>
      <c r="F75" s="6">
        <f>(VLOOKUP('102 5.1.00'!N75,'102 5.1.00'!$AM$4:$AO$55,2,FALSE))*IF('102 5.1.00'!AP$4="是",'102 5.1.00'!$AX$4,'102 5.1.00'!$AX$3)</f>
        <v>190</v>
      </c>
      <c r="G75" s="7">
        <f>(VLOOKUP('102 5.1.00'!O75,'102 5.1.00'!$AM$4:$AO$55,2,FALSE))*IF('102 5.1.00'!AQ$4="是",'102 5.1.00'!$AX$4,'102 5.1.00'!$AX$3)</f>
        <v>0</v>
      </c>
      <c r="H75" s="7">
        <f>(VLOOKUP('102 5.1.00'!P75,'102 5.1.00'!$AM$4:$AO$55,2,FALSE))*IF('102 5.1.00'!AR$4="是",'102 5.1.00'!$AX$4,'102 5.1.00'!$AX$3)</f>
        <v>0</v>
      </c>
      <c r="I75" s="6">
        <f>(VLOOKUP('102 5.1.00'!Q75,'102 5.1.00'!$AM$4:$AO$55,2,FALSE))*IF('102 5.1.00'!AS$4="是",'102 5.1.00'!$AX$4,'102 5.1.00'!$AX$3)</f>
        <v>180</v>
      </c>
      <c r="J75" s="6">
        <f>(VLOOKUP('102 5.1.00'!R75,'102 5.1.00'!$AM$4:$AO$55,2,FALSE))*IF('102 5.1.00'!AT$4="是",'102 5.1.00'!$AX$4,'102 5.1.00'!$AX$3)</f>
        <v>180</v>
      </c>
      <c r="K75" s="6">
        <f>(VLOOKUP('102 5.1.00'!S75,'102 5.1.00'!$AM$4:$AO$55,2,FALSE))*IF('102 5.1.00'!AU$4="是",'102 5.1.00'!$AX$4,'102 5.1.00'!$AX$3)</f>
        <v>180</v>
      </c>
      <c r="L75" s="6">
        <f>(VLOOKUP('102 5.1.00'!T75,'102 5.1.00'!$AM$4:$AO$55,2,FALSE))*IF('102 5.1.00'!AV$4="是",'102 5.1.00'!$AX$4,'102 5.1.00'!$AX$3)</f>
        <v>180</v>
      </c>
      <c r="M75" s="6">
        <f>(VLOOKUP('102 5.1.00'!U75,'102 5.1.00'!$AM$4:$AO$55,2,FALSE))*IF('102 5.1.00'!AW$4="是",'102 5.1.00'!$AX$4,'102 5.1.00'!$AX$3)</f>
        <v>50</v>
      </c>
      <c r="N75" s="6">
        <f>(VLOOKUP('102 5.1.00'!V75,'102 5.1.00'!$AM$4:$AO$55,2,FALSE))*IF('102 5.1.00'!AX$4="是",'102 5.1.00'!$AX$4,'102 5.1.00'!$AX$3)</f>
        <v>0</v>
      </c>
      <c r="O75" s="7">
        <f>(VLOOKUP('102 5.1.00'!W75,'102 5.1.00'!$AM$4:$AO$55,2,FALSE))*IF('102 5.1.00'!AY$4="是",'102 5.1.00'!$AX$4,'102 5.1.00'!$AX$3)</f>
        <v>0</v>
      </c>
      <c r="P75" s="7">
        <f>(VLOOKUP('102 5.1.00'!X75,'102 5.1.00'!$AM$4:$AO$55,2,FALSE))*IF('102 5.1.00'!AZ$4="是",'102 5.1.00'!$AX$4,'102 5.1.00'!$AX$3)</f>
        <v>0</v>
      </c>
      <c r="Q75" s="6">
        <f>(VLOOKUP('102 5.1.00'!Y75,'102 5.1.00'!$AM$4:$AO$55,2,FALSE))*IF('102 5.1.00'!BA$4="是",'102 5.1.00'!$AX$4,'102 5.1.00'!$AX$3)</f>
        <v>0</v>
      </c>
      <c r="R75" s="6">
        <f>(VLOOKUP('102 5.1.00'!Z75,'102 5.1.00'!$AM$4:$AO$55,2,FALSE))*IF('102 5.1.00'!BB$4="是",'102 5.1.00'!$AX$4,'102 5.1.00'!$AX$3)</f>
        <v>0</v>
      </c>
      <c r="S75" s="6">
        <f>(VLOOKUP('102 5.1.00'!AA75,'102 5.1.00'!$AM$4:$AO$55,2,FALSE))*IF('102 5.1.00'!BC$4="是",'102 5.1.00'!$AX$4,'102 5.1.00'!$AX$3)</f>
        <v>0</v>
      </c>
      <c r="T75" s="6">
        <f>(VLOOKUP('102 5.1.00'!AB75,'102 5.1.00'!$AM$4:$AO$55,2,FALSE))*IF('102 5.1.00'!BD$4="是",'102 5.1.00'!$AX$4,'102 5.1.00'!$AX$3)</f>
        <v>0</v>
      </c>
      <c r="U75" s="6">
        <f>(VLOOKUP('102 5.1.00'!AC75,'102 5.1.00'!$AM$4:$AO$55,2,FALSE))*IF('102 5.1.00'!BE$4="是",'102 5.1.00'!$AX$4,'102 5.1.00'!$AX$3)</f>
        <v>0</v>
      </c>
      <c r="V75" s="6">
        <f>(VLOOKUP('102 5.1.00'!AD75,'102 5.1.00'!$AM$4:$AO$55,2,FALSE))*IF('102 5.1.00'!BF$4="是",'102 5.1.00'!$AX$4,'102 5.1.00'!$AX$3)</f>
        <v>0</v>
      </c>
      <c r="W75" s="7">
        <f>(VLOOKUP('102 5.1.00'!AE75,'102 5.1.00'!$AM$4:$AO$55,2,FALSE))*IF('102 5.1.00'!BG$4="是",'102 5.1.00'!$AX$4,'102 5.1.00'!$AX$3)</f>
        <v>0</v>
      </c>
      <c r="X75" s="7">
        <f>(VLOOKUP('102 5.1.00'!AF75,'102 5.1.00'!$AM$4:$AO$55,2,FALSE))*IF('102 5.1.00'!BH$4="是",'102 5.1.00'!$AX$4,'102 5.1.00'!$AX$3)</f>
        <v>0</v>
      </c>
    </row>
    <row r="76" spans="1:24">
      <c r="A76" s="6">
        <f>(VLOOKUP('102 5.1.00'!I76,'102 5.1.00'!$AM$4:$AO$55,2,FALSE))*IF('102 5.1.00'!AK$4="是",'102 5.1.00'!$AX$4,'102 5.1.00'!$AX$3)</f>
        <v>190</v>
      </c>
      <c r="B76" s="6">
        <f>(VLOOKUP('102 5.1.00'!J76,'102 5.1.00'!$AM$4:$AO$55,2,FALSE))*IF('102 5.1.00'!AL$4="是",'102 5.1.00'!$AX$4,'102 5.1.00'!$AX$3)</f>
        <v>190</v>
      </c>
      <c r="C76" s="6">
        <f>(VLOOKUP('102 5.1.00'!K76,'102 5.1.00'!$AM$4:$AO$55,2,FALSE))*IF('102 5.1.00'!AM$4="是",'102 5.1.00'!$AX$4,'102 5.1.00'!$AX$3)</f>
        <v>190</v>
      </c>
      <c r="D76" s="6">
        <f>(VLOOKUP('102 5.1.00'!L76,'102 5.1.00'!$AM$4:$AO$55,2,FALSE))*IF('102 5.1.00'!AN$4="是",'102 5.1.00'!$AX$4,'102 5.1.00'!$AX$3)</f>
        <v>190</v>
      </c>
      <c r="E76" s="6">
        <f>(VLOOKUP('102 5.1.00'!M76,'102 5.1.00'!$AM$4:$AO$55,2,FALSE))*IF('102 5.1.00'!AO$4="是",'102 5.1.00'!$AX$4,'102 5.1.00'!$AX$3)</f>
        <v>190</v>
      </c>
      <c r="F76" s="6">
        <f>(VLOOKUP('102 5.1.00'!N76,'102 5.1.00'!$AM$4:$AO$55,2,FALSE))*IF('102 5.1.00'!AP$4="是",'102 5.1.00'!$AX$4,'102 5.1.00'!$AX$3)</f>
        <v>190</v>
      </c>
      <c r="G76" s="7">
        <f>(VLOOKUP('102 5.1.00'!O76,'102 5.1.00'!$AM$4:$AO$55,2,FALSE))*IF('102 5.1.00'!AQ$4="是",'102 5.1.00'!$AX$4,'102 5.1.00'!$AX$3)</f>
        <v>0</v>
      </c>
      <c r="H76" s="7">
        <f>(VLOOKUP('102 5.1.00'!P76,'102 5.1.00'!$AM$4:$AO$55,2,FALSE))*IF('102 5.1.00'!AR$4="是",'102 5.1.00'!$AX$4,'102 5.1.00'!$AX$3)</f>
        <v>0</v>
      </c>
      <c r="I76" s="6">
        <f>(VLOOKUP('102 5.1.00'!Q76,'102 5.1.00'!$AM$4:$AO$55,2,FALSE))*IF('102 5.1.00'!AS$4="是",'102 5.1.00'!$AX$4,'102 5.1.00'!$AX$3)</f>
        <v>180</v>
      </c>
      <c r="J76" s="6">
        <f>(VLOOKUP('102 5.1.00'!R76,'102 5.1.00'!$AM$4:$AO$55,2,FALSE))*IF('102 5.1.00'!AT$4="是",'102 5.1.00'!$AX$4,'102 5.1.00'!$AX$3)</f>
        <v>170</v>
      </c>
      <c r="K76" s="6">
        <f>(VLOOKUP('102 5.1.00'!S76,'102 5.1.00'!$AM$4:$AO$55,2,FALSE))*IF('102 5.1.00'!AU$4="是",'102 5.1.00'!$AX$4,'102 5.1.00'!$AX$3)</f>
        <v>170</v>
      </c>
      <c r="L76" s="6">
        <f>(VLOOKUP('102 5.1.00'!T76,'102 5.1.00'!$AM$4:$AO$55,2,FALSE))*IF('102 5.1.00'!AV$4="是",'102 5.1.00'!$AX$4,'102 5.1.00'!$AX$3)</f>
        <v>170</v>
      </c>
      <c r="M76" s="6">
        <f>(VLOOKUP('102 5.1.00'!U76,'102 5.1.00'!$AM$4:$AO$55,2,FALSE))*IF('102 5.1.00'!AW$4="是",'102 5.1.00'!$AX$4,'102 5.1.00'!$AX$3)</f>
        <v>170</v>
      </c>
      <c r="N76" s="6">
        <f>(VLOOKUP('102 5.1.00'!V76,'102 5.1.00'!$AM$4:$AO$55,2,FALSE))*IF('102 5.1.00'!AX$4="是",'102 5.1.00'!$AX$4,'102 5.1.00'!$AX$3)</f>
        <v>0</v>
      </c>
      <c r="O76" s="7">
        <f>(VLOOKUP('102 5.1.00'!W76,'102 5.1.00'!$AM$4:$AO$55,2,FALSE))*IF('102 5.1.00'!AY$4="是",'102 5.1.00'!$AX$4,'102 5.1.00'!$AX$3)</f>
        <v>0</v>
      </c>
      <c r="P76" s="7">
        <f>(VLOOKUP('102 5.1.00'!X76,'102 5.1.00'!$AM$4:$AO$55,2,FALSE))*IF('102 5.1.00'!AZ$4="是",'102 5.1.00'!$AX$4,'102 5.1.00'!$AX$3)</f>
        <v>0</v>
      </c>
      <c r="Q76" s="6">
        <f>(VLOOKUP('102 5.1.00'!Y76,'102 5.1.00'!$AM$4:$AO$55,2,FALSE))*IF('102 5.1.00'!BA$4="是",'102 5.1.00'!$AX$4,'102 5.1.00'!$AX$3)</f>
        <v>0</v>
      </c>
      <c r="R76" s="6">
        <f>(VLOOKUP('102 5.1.00'!Z76,'102 5.1.00'!$AM$4:$AO$55,2,FALSE))*IF('102 5.1.00'!BB$4="是",'102 5.1.00'!$AX$4,'102 5.1.00'!$AX$3)</f>
        <v>0</v>
      </c>
      <c r="S76" s="6">
        <f>(VLOOKUP('102 5.1.00'!AA76,'102 5.1.00'!$AM$4:$AO$55,2,FALSE))*IF('102 5.1.00'!BC$4="是",'102 5.1.00'!$AX$4,'102 5.1.00'!$AX$3)</f>
        <v>0</v>
      </c>
      <c r="T76" s="6">
        <f>(VLOOKUP('102 5.1.00'!AB76,'102 5.1.00'!$AM$4:$AO$55,2,FALSE))*IF('102 5.1.00'!BD$4="是",'102 5.1.00'!$AX$4,'102 5.1.00'!$AX$3)</f>
        <v>0</v>
      </c>
      <c r="U76" s="6">
        <f>(VLOOKUP('102 5.1.00'!AC76,'102 5.1.00'!$AM$4:$AO$55,2,FALSE))*IF('102 5.1.00'!BE$4="是",'102 5.1.00'!$AX$4,'102 5.1.00'!$AX$3)</f>
        <v>0</v>
      </c>
      <c r="V76" s="6">
        <f>(VLOOKUP('102 5.1.00'!AD76,'102 5.1.00'!$AM$4:$AO$55,2,FALSE))*IF('102 5.1.00'!BF$4="是",'102 5.1.00'!$AX$4,'102 5.1.00'!$AX$3)</f>
        <v>0</v>
      </c>
      <c r="W76" s="7">
        <f>(VLOOKUP('102 5.1.00'!AE76,'102 5.1.00'!$AM$4:$AO$55,2,FALSE))*IF('102 5.1.00'!BG$4="是",'102 5.1.00'!$AX$4,'102 5.1.00'!$AX$3)</f>
        <v>0</v>
      </c>
      <c r="X76" s="7">
        <f>(VLOOKUP('102 5.1.00'!AF76,'102 5.1.00'!$AM$4:$AO$55,2,FALSE))*IF('102 5.1.00'!BH$4="是",'102 5.1.00'!$AX$4,'102 5.1.00'!$AX$3)</f>
        <v>0</v>
      </c>
    </row>
    <row r="77" spans="1:24">
      <c r="A77" s="6">
        <f>(VLOOKUP('102 5.1.00'!I77,'102 5.1.00'!$AM$4:$AO$55,2,FALSE))*IF('102 5.1.00'!AK$4="是",'102 5.1.00'!$AX$4,'102 5.1.00'!$AX$3)</f>
        <v>190</v>
      </c>
      <c r="B77" s="6">
        <f>(VLOOKUP('102 5.1.00'!J77,'102 5.1.00'!$AM$4:$AO$55,2,FALSE))*IF('102 5.1.00'!AL$4="是",'102 5.1.00'!$AX$4,'102 5.1.00'!$AX$3)</f>
        <v>190</v>
      </c>
      <c r="C77" s="6">
        <f>(VLOOKUP('102 5.1.00'!K77,'102 5.1.00'!$AM$4:$AO$55,2,FALSE))*IF('102 5.1.00'!AM$4="是",'102 5.1.00'!$AX$4,'102 5.1.00'!$AX$3)</f>
        <v>190</v>
      </c>
      <c r="D77" s="6">
        <f>(VLOOKUP('102 5.1.00'!L77,'102 5.1.00'!$AM$4:$AO$55,2,FALSE))*IF('102 5.1.00'!AN$4="是",'102 5.1.00'!$AX$4,'102 5.1.00'!$AX$3)</f>
        <v>250</v>
      </c>
      <c r="E77" s="6">
        <f>(VLOOKUP('102 5.1.00'!M77,'102 5.1.00'!$AM$4:$AO$55,2,FALSE))*IF('102 5.1.00'!AO$4="是",'102 5.1.00'!$AX$4,'102 5.1.00'!$AX$3)</f>
        <v>190</v>
      </c>
      <c r="F77" s="6">
        <f>(VLOOKUP('102 5.1.00'!N77,'102 5.1.00'!$AM$4:$AO$55,2,FALSE))*IF('102 5.1.00'!AP$4="是",'102 5.1.00'!$AX$4,'102 5.1.00'!$AX$3)</f>
        <v>-200</v>
      </c>
      <c r="G77" s="7">
        <f>(VLOOKUP('102 5.1.00'!O77,'102 5.1.00'!$AM$4:$AO$55,2,FALSE))*IF('102 5.1.00'!AQ$4="是",'102 5.1.00'!$AX$4,'102 5.1.00'!$AX$3)</f>
        <v>190</v>
      </c>
      <c r="H77" s="7">
        <f>(VLOOKUP('102 5.1.00'!P77,'102 5.1.00'!$AM$4:$AO$55,2,FALSE))*IF('102 5.1.00'!AR$4="是",'102 5.1.00'!$AX$4,'102 5.1.00'!$AX$3)</f>
        <v>190</v>
      </c>
      <c r="I77" s="6">
        <f>(VLOOKUP('102 5.1.00'!Q77,'102 5.1.00'!$AM$4:$AO$55,2,FALSE))*IF('102 5.1.00'!AS$4="是",'102 5.1.00'!$AX$4,'102 5.1.00'!$AX$3)</f>
        <v>170</v>
      </c>
      <c r="J77" s="6">
        <f>(VLOOKUP('102 5.1.00'!R77,'102 5.1.00'!$AM$4:$AO$55,2,FALSE))*IF('102 5.1.00'!AT$4="是",'102 5.1.00'!$AX$4,'102 5.1.00'!$AX$3)</f>
        <v>170</v>
      </c>
      <c r="K77" s="6">
        <f>(VLOOKUP('102 5.1.00'!S77,'102 5.1.00'!$AM$4:$AO$55,2,FALSE))*IF('102 5.1.00'!AU$4="是",'102 5.1.00'!$AX$4,'102 5.1.00'!$AX$3)</f>
        <v>170</v>
      </c>
      <c r="L77" s="6">
        <f>(VLOOKUP('102 5.1.00'!T77,'102 5.1.00'!$AM$4:$AO$55,2,FALSE))*IF('102 5.1.00'!AV$4="是",'102 5.1.00'!$AX$4,'102 5.1.00'!$AX$3)</f>
        <v>180</v>
      </c>
      <c r="M77" s="6">
        <f>(VLOOKUP('102 5.1.00'!U77,'102 5.1.00'!$AM$4:$AO$55,2,FALSE))*IF('102 5.1.00'!AW$4="是",'102 5.1.00'!$AX$4,'102 5.1.00'!$AX$3)</f>
        <v>180</v>
      </c>
      <c r="N77" s="6">
        <f>(VLOOKUP('102 5.1.00'!V77,'102 5.1.00'!$AM$4:$AO$55,2,FALSE))*IF('102 5.1.00'!AX$4="是",'102 5.1.00'!$AX$4,'102 5.1.00'!$AX$3)</f>
        <v>0</v>
      </c>
      <c r="O77" s="7">
        <f>(VLOOKUP('102 5.1.00'!W77,'102 5.1.00'!$AM$4:$AO$55,2,FALSE))*IF('102 5.1.00'!AY$4="是",'102 5.1.00'!$AX$4,'102 5.1.00'!$AX$3)</f>
        <v>0</v>
      </c>
      <c r="P77" s="7">
        <f>(VLOOKUP('102 5.1.00'!X77,'102 5.1.00'!$AM$4:$AO$55,2,FALSE))*IF('102 5.1.00'!AZ$4="是",'102 5.1.00'!$AX$4,'102 5.1.00'!$AX$3)</f>
        <v>0</v>
      </c>
      <c r="Q77" s="6">
        <f>(VLOOKUP('102 5.1.00'!Y77,'102 5.1.00'!$AM$4:$AO$55,2,FALSE))*IF('102 5.1.00'!BA$4="是",'102 5.1.00'!$AX$4,'102 5.1.00'!$AX$3)</f>
        <v>0</v>
      </c>
      <c r="R77" s="6">
        <f>(VLOOKUP('102 5.1.00'!Z77,'102 5.1.00'!$AM$4:$AO$55,2,FALSE))*IF('102 5.1.00'!BB$4="是",'102 5.1.00'!$AX$4,'102 5.1.00'!$AX$3)</f>
        <v>0</v>
      </c>
      <c r="S77" s="6">
        <f>(VLOOKUP('102 5.1.00'!AA77,'102 5.1.00'!$AM$4:$AO$55,2,FALSE))*IF('102 5.1.00'!BC$4="是",'102 5.1.00'!$AX$4,'102 5.1.00'!$AX$3)</f>
        <v>0</v>
      </c>
      <c r="T77" s="6">
        <f>(VLOOKUP('102 5.1.00'!AB77,'102 5.1.00'!$AM$4:$AO$55,2,FALSE))*IF('102 5.1.00'!BD$4="是",'102 5.1.00'!$AX$4,'102 5.1.00'!$AX$3)</f>
        <v>0</v>
      </c>
      <c r="U77" s="6">
        <f>(VLOOKUP('102 5.1.00'!AC77,'102 5.1.00'!$AM$4:$AO$55,2,FALSE))*IF('102 5.1.00'!BE$4="是",'102 5.1.00'!$AX$4,'102 5.1.00'!$AX$3)</f>
        <v>0</v>
      </c>
      <c r="V77" s="6">
        <f>(VLOOKUP('102 5.1.00'!AD77,'102 5.1.00'!$AM$4:$AO$55,2,FALSE))*IF('102 5.1.00'!BF$4="是",'102 5.1.00'!$AX$4,'102 5.1.00'!$AX$3)</f>
        <v>0</v>
      </c>
      <c r="W77" s="7">
        <f>(VLOOKUP('102 5.1.00'!AE77,'102 5.1.00'!$AM$4:$AO$55,2,FALSE))*IF('102 5.1.00'!BG$4="是",'102 5.1.00'!$AX$4,'102 5.1.00'!$AX$3)</f>
        <v>0</v>
      </c>
      <c r="X77" s="7">
        <f>(VLOOKUP('102 5.1.00'!AF77,'102 5.1.00'!$AM$4:$AO$55,2,FALSE))*IF('102 5.1.00'!BH$4="是",'102 5.1.00'!$AX$4,'102 5.1.00'!$AX$3)</f>
        <v>0</v>
      </c>
    </row>
    <row r="78" spans="1:24">
      <c r="A78" s="6">
        <f>(VLOOKUP('102 5.1.00'!I78,'102 5.1.00'!$AM$4:$AO$55,2,FALSE))*IF('102 5.1.00'!AK$4="是",'102 5.1.00'!$AX$4,'102 5.1.00'!$AX$3)</f>
        <v>190</v>
      </c>
      <c r="B78" s="6">
        <f>(VLOOKUP('102 5.1.00'!J78,'102 5.1.00'!$AM$4:$AO$55,2,FALSE))*IF('102 5.1.00'!AL$4="是",'102 5.1.00'!$AX$4,'102 5.1.00'!$AX$3)</f>
        <v>190</v>
      </c>
      <c r="C78" s="6">
        <f>(VLOOKUP('102 5.1.00'!K78,'102 5.1.00'!$AM$4:$AO$55,2,FALSE))*IF('102 5.1.00'!AM$4="是",'102 5.1.00'!$AX$4,'102 5.1.00'!$AX$3)</f>
        <v>190</v>
      </c>
      <c r="D78" s="6">
        <f>(VLOOKUP('102 5.1.00'!L78,'102 5.1.00'!$AM$4:$AO$55,2,FALSE))*IF('102 5.1.00'!AN$4="是",'102 5.1.00'!$AX$4,'102 5.1.00'!$AX$3)</f>
        <v>190</v>
      </c>
      <c r="E78" s="6">
        <f>(VLOOKUP('102 5.1.00'!M78,'102 5.1.00'!$AM$4:$AO$55,2,FALSE))*IF('102 5.1.00'!AO$4="是",'102 5.1.00'!$AX$4,'102 5.1.00'!$AX$3)</f>
        <v>190</v>
      </c>
      <c r="F78" s="6">
        <f>(VLOOKUP('102 5.1.00'!N78,'102 5.1.00'!$AM$4:$AO$55,2,FALSE))*IF('102 5.1.00'!AP$4="是",'102 5.1.00'!$AX$4,'102 5.1.00'!$AX$3)</f>
        <v>190</v>
      </c>
      <c r="G78" s="7">
        <f>(VLOOKUP('102 5.1.00'!O78,'102 5.1.00'!$AM$4:$AO$55,2,FALSE))*IF('102 5.1.00'!AQ$4="是",'102 5.1.00'!$AX$4,'102 5.1.00'!$AX$3)</f>
        <v>0</v>
      </c>
      <c r="H78" s="7">
        <f>(VLOOKUP('102 5.1.00'!P78,'102 5.1.00'!$AM$4:$AO$55,2,FALSE))*IF('102 5.1.00'!AR$4="是",'102 5.1.00'!$AX$4,'102 5.1.00'!$AX$3)</f>
        <v>0</v>
      </c>
      <c r="I78" s="6">
        <f>(VLOOKUP('102 5.1.00'!Q78,'102 5.1.00'!$AM$4:$AO$55,2,FALSE))*IF('102 5.1.00'!AS$4="是",'102 5.1.00'!$AX$4,'102 5.1.00'!$AX$3)</f>
        <v>180</v>
      </c>
      <c r="J78" s="6">
        <f>(VLOOKUP('102 5.1.00'!R78,'102 5.1.00'!$AM$4:$AO$55,2,FALSE))*IF('102 5.1.00'!AT$4="是",'102 5.1.00'!$AX$4,'102 5.1.00'!$AX$3)</f>
        <v>180</v>
      </c>
      <c r="K78" s="6">
        <f>(VLOOKUP('102 5.1.00'!S78,'102 5.1.00'!$AM$4:$AO$55,2,FALSE))*IF('102 5.1.00'!AU$4="是",'102 5.1.00'!$AX$4,'102 5.1.00'!$AX$3)</f>
        <v>180</v>
      </c>
      <c r="L78" s="6">
        <f>(VLOOKUP('102 5.1.00'!T78,'102 5.1.00'!$AM$4:$AO$55,2,FALSE))*IF('102 5.1.00'!AV$4="是",'102 5.1.00'!$AX$4,'102 5.1.00'!$AX$3)</f>
        <v>180</v>
      </c>
      <c r="M78" s="6">
        <f>(VLOOKUP('102 5.1.00'!U78,'102 5.1.00'!$AM$4:$AO$55,2,FALSE))*IF('102 5.1.00'!AW$4="是",'102 5.1.00'!$AX$4,'102 5.1.00'!$AX$3)</f>
        <v>0</v>
      </c>
      <c r="N78" s="6">
        <f>(VLOOKUP('102 5.1.00'!V78,'102 5.1.00'!$AM$4:$AO$55,2,FALSE))*IF('102 5.1.00'!AX$4="是",'102 5.1.00'!$AX$4,'102 5.1.00'!$AX$3)</f>
        <v>0</v>
      </c>
      <c r="O78" s="7">
        <f>(VLOOKUP('102 5.1.00'!W78,'102 5.1.00'!$AM$4:$AO$55,2,FALSE))*IF('102 5.1.00'!AY$4="是",'102 5.1.00'!$AX$4,'102 5.1.00'!$AX$3)</f>
        <v>0</v>
      </c>
      <c r="P78" s="7">
        <f>(VLOOKUP('102 5.1.00'!X78,'102 5.1.00'!$AM$4:$AO$55,2,FALSE))*IF('102 5.1.00'!AZ$4="是",'102 5.1.00'!$AX$4,'102 5.1.00'!$AX$3)</f>
        <v>0</v>
      </c>
      <c r="Q78" s="6">
        <f>(VLOOKUP('102 5.1.00'!Y78,'102 5.1.00'!$AM$4:$AO$55,2,FALSE))*IF('102 5.1.00'!BA$4="是",'102 5.1.00'!$AX$4,'102 5.1.00'!$AX$3)</f>
        <v>0</v>
      </c>
      <c r="R78" s="6">
        <f>(VLOOKUP('102 5.1.00'!Z78,'102 5.1.00'!$AM$4:$AO$55,2,FALSE))*IF('102 5.1.00'!BB$4="是",'102 5.1.00'!$AX$4,'102 5.1.00'!$AX$3)</f>
        <v>0</v>
      </c>
      <c r="S78" s="6">
        <f>(VLOOKUP('102 5.1.00'!AA78,'102 5.1.00'!$AM$4:$AO$55,2,FALSE))*IF('102 5.1.00'!BC$4="是",'102 5.1.00'!$AX$4,'102 5.1.00'!$AX$3)</f>
        <v>0</v>
      </c>
      <c r="T78" s="6">
        <f>(VLOOKUP('102 5.1.00'!AB78,'102 5.1.00'!$AM$4:$AO$55,2,FALSE))*IF('102 5.1.00'!BD$4="是",'102 5.1.00'!$AX$4,'102 5.1.00'!$AX$3)</f>
        <v>0</v>
      </c>
      <c r="U78" s="6">
        <f>(VLOOKUP('102 5.1.00'!AC78,'102 5.1.00'!$AM$4:$AO$55,2,FALSE))*IF('102 5.1.00'!BE$4="是",'102 5.1.00'!$AX$4,'102 5.1.00'!$AX$3)</f>
        <v>0</v>
      </c>
      <c r="V78" s="6">
        <f>(VLOOKUP('102 5.1.00'!AD78,'102 5.1.00'!$AM$4:$AO$55,2,FALSE))*IF('102 5.1.00'!BF$4="是",'102 5.1.00'!$AX$4,'102 5.1.00'!$AX$3)</f>
        <v>0</v>
      </c>
      <c r="W78" s="7">
        <f>(VLOOKUP('102 5.1.00'!AE78,'102 5.1.00'!$AM$4:$AO$55,2,FALSE))*IF('102 5.1.00'!BG$4="是",'102 5.1.00'!$AX$4,'102 5.1.00'!$AX$3)</f>
        <v>0</v>
      </c>
      <c r="X78" s="7">
        <f>(VLOOKUP('102 5.1.00'!AF78,'102 5.1.00'!$AM$4:$AO$55,2,FALSE))*IF('102 5.1.00'!BH$4="是",'102 5.1.00'!$AX$4,'102 5.1.00'!$AX$3)</f>
        <v>0</v>
      </c>
    </row>
    <row r="79" spans="1:24">
      <c r="A79" s="6">
        <f>(VLOOKUP('102 5.1.00'!I79,'102 5.1.00'!$AM$4:$AO$55,2,FALSE))*IF('102 5.1.00'!AK$4="是",'102 5.1.00'!$AX$4,'102 5.1.00'!$AX$3)</f>
        <v>50</v>
      </c>
      <c r="B79" s="6">
        <f>(VLOOKUP('102 5.1.00'!J79,'102 5.1.00'!$AM$4:$AO$55,2,FALSE))*IF('102 5.1.00'!AL$4="是",'102 5.1.00'!$AX$4,'102 5.1.00'!$AX$3)</f>
        <v>190</v>
      </c>
      <c r="C79" s="6">
        <f>(VLOOKUP('102 5.1.00'!K79,'102 5.1.00'!$AM$4:$AO$55,2,FALSE))*IF('102 5.1.00'!AM$4="是",'102 5.1.00'!$AX$4,'102 5.1.00'!$AX$3)</f>
        <v>190</v>
      </c>
      <c r="D79" s="6">
        <f>(VLOOKUP('102 5.1.00'!L79,'102 5.1.00'!$AM$4:$AO$55,2,FALSE))*IF('102 5.1.00'!AN$4="是",'102 5.1.00'!$AX$4,'102 5.1.00'!$AX$3)</f>
        <v>190</v>
      </c>
      <c r="E79" s="6">
        <f>(VLOOKUP('102 5.1.00'!M79,'102 5.1.00'!$AM$4:$AO$55,2,FALSE))*IF('102 5.1.00'!AO$4="是",'102 5.1.00'!$AX$4,'102 5.1.00'!$AX$3)</f>
        <v>190</v>
      </c>
      <c r="F79" s="6">
        <f>(VLOOKUP('102 5.1.00'!N79,'102 5.1.00'!$AM$4:$AO$55,2,FALSE))*IF('102 5.1.00'!AP$4="是",'102 5.1.00'!$AX$4,'102 5.1.00'!$AX$3)</f>
        <v>190</v>
      </c>
      <c r="G79" s="7">
        <f>(VLOOKUP('102 5.1.00'!O79,'102 5.1.00'!$AM$4:$AO$55,2,FALSE))*IF('102 5.1.00'!AQ$4="是",'102 5.1.00'!$AX$4,'102 5.1.00'!$AX$3)</f>
        <v>0</v>
      </c>
      <c r="H79" s="7">
        <f>(VLOOKUP('102 5.1.00'!P79,'102 5.1.00'!$AM$4:$AO$55,2,FALSE))*IF('102 5.1.00'!AR$4="是",'102 5.1.00'!$AX$4,'102 5.1.00'!$AX$3)</f>
        <v>0</v>
      </c>
      <c r="I79" s="6">
        <f>(VLOOKUP('102 5.1.00'!Q79,'102 5.1.00'!$AM$4:$AO$55,2,FALSE))*IF('102 5.1.00'!AS$4="是",'102 5.1.00'!$AX$4,'102 5.1.00'!$AX$3)</f>
        <v>180</v>
      </c>
      <c r="J79" s="6">
        <f>(VLOOKUP('102 5.1.00'!R79,'102 5.1.00'!$AM$4:$AO$55,2,FALSE))*IF('102 5.1.00'!AT$4="是",'102 5.1.00'!$AX$4,'102 5.1.00'!$AX$3)</f>
        <v>180</v>
      </c>
      <c r="K79" s="6">
        <f>(VLOOKUP('102 5.1.00'!S79,'102 5.1.00'!$AM$4:$AO$55,2,FALSE))*IF('102 5.1.00'!AU$4="是",'102 5.1.00'!$AX$4,'102 5.1.00'!$AX$3)</f>
        <v>180</v>
      </c>
      <c r="L79" s="6">
        <f>(VLOOKUP('102 5.1.00'!T79,'102 5.1.00'!$AM$4:$AO$55,2,FALSE))*IF('102 5.1.00'!AV$4="是",'102 5.1.00'!$AX$4,'102 5.1.00'!$AX$3)</f>
        <v>180</v>
      </c>
      <c r="M79" s="6">
        <f>(VLOOKUP('102 5.1.00'!U79,'102 5.1.00'!$AM$4:$AO$55,2,FALSE))*IF('102 5.1.00'!AW$4="是",'102 5.1.00'!$AX$4,'102 5.1.00'!$AX$3)</f>
        <v>180</v>
      </c>
      <c r="N79" s="6">
        <f>(VLOOKUP('102 5.1.00'!V79,'102 5.1.00'!$AM$4:$AO$55,2,FALSE))*IF('102 5.1.00'!AX$4="是",'102 5.1.00'!$AX$4,'102 5.1.00'!$AX$3)</f>
        <v>180</v>
      </c>
      <c r="O79" s="7">
        <f>(VLOOKUP('102 5.1.00'!W79,'102 5.1.00'!$AM$4:$AO$55,2,FALSE))*IF('102 5.1.00'!AY$4="是",'102 5.1.00'!$AX$4,'102 5.1.00'!$AX$3)</f>
        <v>0</v>
      </c>
      <c r="P79" s="7">
        <f>(VLOOKUP('102 5.1.00'!X79,'102 5.1.00'!$AM$4:$AO$55,2,FALSE))*IF('102 5.1.00'!AZ$4="是",'102 5.1.00'!$AX$4,'102 5.1.00'!$AX$3)</f>
        <v>0</v>
      </c>
      <c r="Q79" s="6">
        <f>(VLOOKUP('102 5.1.00'!Y79,'102 5.1.00'!$AM$4:$AO$55,2,FALSE))*IF('102 5.1.00'!BA$4="是",'102 5.1.00'!$AX$4,'102 5.1.00'!$AX$3)</f>
        <v>0</v>
      </c>
      <c r="R79" s="6">
        <f>(VLOOKUP('102 5.1.00'!Z79,'102 5.1.00'!$AM$4:$AO$55,2,FALSE))*IF('102 5.1.00'!BB$4="是",'102 5.1.00'!$AX$4,'102 5.1.00'!$AX$3)</f>
        <v>0</v>
      </c>
      <c r="S79" s="6">
        <f>(VLOOKUP('102 5.1.00'!AA79,'102 5.1.00'!$AM$4:$AO$55,2,FALSE))*IF('102 5.1.00'!BC$4="是",'102 5.1.00'!$AX$4,'102 5.1.00'!$AX$3)</f>
        <v>0</v>
      </c>
      <c r="T79" s="6">
        <f>(VLOOKUP('102 5.1.00'!AB79,'102 5.1.00'!$AM$4:$AO$55,2,FALSE))*IF('102 5.1.00'!BD$4="是",'102 5.1.00'!$AX$4,'102 5.1.00'!$AX$3)</f>
        <v>0</v>
      </c>
      <c r="U79" s="6">
        <f>(VLOOKUP('102 5.1.00'!AC79,'102 5.1.00'!$AM$4:$AO$55,2,FALSE))*IF('102 5.1.00'!BE$4="是",'102 5.1.00'!$AX$4,'102 5.1.00'!$AX$3)</f>
        <v>0</v>
      </c>
      <c r="V79" s="6">
        <f>(VLOOKUP('102 5.1.00'!AD79,'102 5.1.00'!$AM$4:$AO$55,2,FALSE))*IF('102 5.1.00'!BF$4="是",'102 5.1.00'!$AX$4,'102 5.1.00'!$AX$3)</f>
        <v>0</v>
      </c>
      <c r="W79" s="7">
        <f>(VLOOKUP('102 5.1.00'!AE79,'102 5.1.00'!$AM$4:$AO$55,2,FALSE))*IF('102 5.1.00'!BG$4="是",'102 5.1.00'!$AX$4,'102 5.1.00'!$AX$3)</f>
        <v>0</v>
      </c>
      <c r="X79" s="7">
        <f>(VLOOKUP('102 5.1.00'!AF79,'102 5.1.00'!$AM$4:$AO$55,2,FALSE))*IF('102 5.1.00'!BH$4="是",'102 5.1.00'!$AX$4,'102 5.1.00'!$AX$3)</f>
        <v>0</v>
      </c>
    </row>
    <row r="80" spans="1:24">
      <c r="A80" s="6">
        <f>(VLOOKUP('102 5.1.00'!I80,'102 5.1.00'!$AM$4:$AO$55,2,FALSE))*IF('102 5.1.00'!AK$4="是",'102 5.1.00'!$AX$4,'102 5.1.00'!$AX$3)</f>
        <v>190</v>
      </c>
      <c r="B80" s="6">
        <f>(VLOOKUP('102 5.1.00'!J80,'102 5.1.00'!$AM$4:$AO$55,2,FALSE))*IF('102 5.1.00'!AL$4="是",'102 5.1.00'!$AX$4,'102 5.1.00'!$AX$3)</f>
        <v>190</v>
      </c>
      <c r="C80" s="6">
        <f>(VLOOKUP('102 5.1.00'!K80,'102 5.1.00'!$AM$4:$AO$55,2,FALSE))*IF('102 5.1.00'!AM$4="是",'102 5.1.00'!$AX$4,'102 5.1.00'!$AX$3)</f>
        <v>190</v>
      </c>
      <c r="D80" s="6">
        <f>(VLOOKUP('102 5.1.00'!L80,'102 5.1.00'!$AM$4:$AO$55,2,FALSE))*IF('102 5.1.00'!AN$4="是",'102 5.1.00'!$AX$4,'102 5.1.00'!$AX$3)</f>
        <v>190</v>
      </c>
      <c r="E80" s="6">
        <f>(VLOOKUP('102 5.1.00'!M80,'102 5.1.00'!$AM$4:$AO$55,2,FALSE))*IF('102 5.1.00'!AO$4="是",'102 5.1.00'!$AX$4,'102 5.1.00'!$AX$3)</f>
        <v>190</v>
      </c>
      <c r="F80" s="6">
        <f>(VLOOKUP('102 5.1.00'!N80,'102 5.1.00'!$AM$4:$AO$55,2,FALSE))*IF('102 5.1.00'!AP$4="是",'102 5.1.00'!$AX$4,'102 5.1.00'!$AX$3)</f>
        <v>190</v>
      </c>
      <c r="G80" s="7">
        <f>(VLOOKUP('102 5.1.00'!O80,'102 5.1.00'!$AM$4:$AO$55,2,FALSE))*IF('102 5.1.00'!AQ$4="是",'102 5.1.00'!$AX$4,'102 5.1.00'!$AX$3)</f>
        <v>0</v>
      </c>
      <c r="H80" s="7">
        <f>(VLOOKUP('102 5.1.00'!P80,'102 5.1.00'!$AM$4:$AO$55,2,FALSE))*IF('102 5.1.00'!AR$4="是",'102 5.1.00'!$AX$4,'102 5.1.00'!$AX$3)</f>
        <v>0</v>
      </c>
      <c r="I80" s="6">
        <f>(VLOOKUP('102 5.1.00'!Q80,'102 5.1.00'!$AM$4:$AO$55,2,FALSE))*IF('102 5.1.00'!AS$4="是",'102 5.1.00'!$AX$4,'102 5.1.00'!$AX$3)</f>
        <v>180</v>
      </c>
      <c r="J80" s="6">
        <f>(VLOOKUP('102 5.1.00'!R80,'102 5.1.00'!$AM$4:$AO$55,2,FALSE))*IF('102 5.1.00'!AT$4="是",'102 5.1.00'!$AX$4,'102 5.1.00'!$AX$3)</f>
        <v>180</v>
      </c>
      <c r="K80" s="6">
        <f>(VLOOKUP('102 5.1.00'!S80,'102 5.1.00'!$AM$4:$AO$55,2,FALSE))*IF('102 5.1.00'!AU$4="是",'102 5.1.00'!$AX$4,'102 5.1.00'!$AX$3)</f>
        <v>180</v>
      </c>
      <c r="L80" s="6">
        <f>(VLOOKUP('102 5.1.00'!T80,'102 5.1.00'!$AM$4:$AO$55,2,FALSE))*IF('102 5.1.00'!AV$4="是",'102 5.1.00'!$AX$4,'102 5.1.00'!$AX$3)</f>
        <v>180</v>
      </c>
      <c r="M80" s="6">
        <f>(VLOOKUP('102 5.1.00'!U80,'102 5.1.00'!$AM$4:$AO$55,2,FALSE))*IF('102 5.1.00'!AW$4="是",'102 5.1.00'!$AX$4,'102 5.1.00'!$AX$3)</f>
        <v>180</v>
      </c>
      <c r="N80" s="6">
        <f>(VLOOKUP('102 5.1.00'!V80,'102 5.1.00'!$AM$4:$AO$55,2,FALSE))*IF('102 5.1.00'!AX$4="是",'102 5.1.00'!$AX$4,'102 5.1.00'!$AX$3)</f>
        <v>0</v>
      </c>
      <c r="O80" s="7">
        <f>(VLOOKUP('102 5.1.00'!W80,'102 5.1.00'!$AM$4:$AO$55,2,FALSE))*IF('102 5.1.00'!AY$4="是",'102 5.1.00'!$AX$4,'102 5.1.00'!$AX$3)</f>
        <v>0</v>
      </c>
      <c r="P80" s="7">
        <f>(VLOOKUP('102 5.1.00'!X80,'102 5.1.00'!$AM$4:$AO$55,2,FALSE))*IF('102 5.1.00'!AZ$4="是",'102 5.1.00'!$AX$4,'102 5.1.00'!$AX$3)</f>
        <v>0</v>
      </c>
      <c r="Q80" s="6">
        <f>(VLOOKUP('102 5.1.00'!Y80,'102 5.1.00'!$AM$4:$AO$55,2,FALSE))*IF('102 5.1.00'!BA$4="是",'102 5.1.00'!$AX$4,'102 5.1.00'!$AX$3)</f>
        <v>0</v>
      </c>
      <c r="R80" s="6">
        <f>(VLOOKUP('102 5.1.00'!Z80,'102 5.1.00'!$AM$4:$AO$55,2,FALSE))*IF('102 5.1.00'!BB$4="是",'102 5.1.00'!$AX$4,'102 5.1.00'!$AX$3)</f>
        <v>0</v>
      </c>
      <c r="S80" s="6">
        <f>(VLOOKUP('102 5.1.00'!AA80,'102 5.1.00'!$AM$4:$AO$55,2,FALSE))*IF('102 5.1.00'!BC$4="是",'102 5.1.00'!$AX$4,'102 5.1.00'!$AX$3)</f>
        <v>0</v>
      </c>
      <c r="T80" s="6">
        <f>(VLOOKUP('102 5.1.00'!AB80,'102 5.1.00'!$AM$4:$AO$55,2,FALSE))*IF('102 5.1.00'!BD$4="是",'102 5.1.00'!$AX$4,'102 5.1.00'!$AX$3)</f>
        <v>0</v>
      </c>
      <c r="U80" s="6">
        <f>(VLOOKUP('102 5.1.00'!AC80,'102 5.1.00'!$AM$4:$AO$55,2,FALSE))*IF('102 5.1.00'!BE$4="是",'102 5.1.00'!$AX$4,'102 5.1.00'!$AX$3)</f>
        <v>0</v>
      </c>
      <c r="V80" s="6">
        <f>(VLOOKUP('102 5.1.00'!AD80,'102 5.1.00'!$AM$4:$AO$55,2,FALSE))*IF('102 5.1.00'!BF$4="是",'102 5.1.00'!$AX$4,'102 5.1.00'!$AX$3)</f>
        <v>0</v>
      </c>
      <c r="W80" s="7">
        <f>(VLOOKUP('102 5.1.00'!AE80,'102 5.1.00'!$AM$4:$AO$55,2,FALSE))*IF('102 5.1.00'!BG$4="是",'102 5.1.00'!$AX$4,'102 5.1.00'!$AX$3)</f>
        <v>0</v>
      </c>
      <c r="X80" s="7">
        <f>(VLOOKUP('102 5.1.00'!AF80,'102 5.1.00'!$AM$4:$AO$55,2,FALSE))*IF('102 5.1.00'!BH$4="是",'102 5.1.00'!$AX$4,'102 5.1.00'!$AX$3)</f>
        <v>0</v>
      </c>
    </row>
    <row r="81" spans="1:24">
      <c r="A81" s="6">
        <f>(VLOOKUP('102 5.1.00'!I81,'102 5.1.00'!$AM$4:$AO$55,2,FALSE))*IF('102 5.1.00'!AK$4="是",'102 5.1.00'!$AX$4,'102 5.1.00'!$AX$3)</f>
        <v>190</v>
      </c>
      <c r="B81" s="6">
        <f>(VLOOKUP('102 5.1.00'!J81,'102 5.1.00'!$AM$4:$AO$55,2,FALSE))*IF('102 5.1.00'!AL$4="是",'102 5.1.00'!$AX$4,'102 5.1.00'!$AX$3)</f>
        <v>190</v>
      </c>
      <c r="C81" s="6">
        <f>(VLOOKUP('102 5.1.00'!K81,'102 5.1.00'!$AM$4:$AO$55,2,FALSE))*IF('102 5.1.00'!AM$4="是",'102 5.1.00'!$AX$4,'102 5.1.00'!$AX$3)</f>
        <v>190</v>
      </c>
      <c r="D81" s="6">
        <f>(VLOOKUP('102 5.1.00'!L81,'102 5.1.00'!$AM$4:$AO$55,2,FALSE))*IF('102 5.1.00'!AN$4="是",'102 5.1.00'!$AX$4,'102 5.1.00'!$AX$3)</f>
        <v>190</v>
      </c>
      <c r="E81" s="6">
        <f>(VLOOKUP('102 5.1.00'!M81,'102 5.1.00'!$AM$4:$AO$55,2,FALSE))*IF('102 5.1.00'!AO$4="是",'102 5.1.00'!$AX$4,'102 5.1.00'!$AX$3)</f>
        <v>190</v>
      </c>
      <c r="F81" s="6">
        <f>(VLOOKUP('102 5.1.00'!N81,'102 5.1.00'!$AM$4:$AO$55,2,FALSE))*IF('102 5.1.00'!AP$4="是",'102 5.1.00'!$AX$4,'102 5.1.00'!$AX$3)</f>
        <v>190</v>
      </c>
      <c r="G81" s="7">
        <f>(VLOOKUP('102 5.1.00'!O81,'102 5.1.00'!$AM$4:$AO$55,2,FALSE))*IF('102 5.1.00'!AQ$4="是",'102 5.1.00'!$AX$4,'102 5.1.00'!$AX$3)</f>
        <v>0</v>
      </c>
      <c r="H81" s="7">
        <f>(VLOOKUP('102 5.1.00'!P81,'102 5.1.00'!$AM$4:$AO$55,2,FALSE))*IF('102 5.1.00'!AR$4="是",'102 5.1.00'!$AX$4,'102 5.1.00'!$AX$3)</f>
        <v>0</v>
      </c>
      <c r="I81" s="6">
        <f>(VLOOKUP('102 5.1.00'!Q81,'102 5.1.00'!$AM$4:$AO$55,2,FALSE))*IF('102 5.1.00'!AS$4="是",'102 5.1.00'!$AX$4,'102 5.1.00'!$AX$3)</f>
        <v>180</v>
      </c>
      <c r="J81" s="6">
        <f>(VLOOKUP('102 5.1.00'!R81,'102 5.1.00'!$AM$4:$AO$55,2,FALSE))*IF('102 5.1.00'!AT$4="是",'102 5.1.00'!$AX$4,'102 5.1.00'!$AX$3)</f>
        <v>180</v>
      </c>
      <c r="K81" s="6">
        <f>(VLOOKUP('102 5.1.00'!S81,'102 5.1.00'!$AM$4:$AO$55,2,FALSE))*IF('102 5.1.00'!AU$4="是",'102 5.1.00'!$AX$4,'102 5.1.00'!$AX$3)</f>
        <v>180</v>
      </c>
      <c r="L81" s="6">
        <f>(VLOOKUP('102 5.1.00'!T81,'102 5.1.00'!$AM$4:$AO$55,2,FALSE))*IF('102 5.1.00'!AV$4="是",'102 5.1.00'!$AX$4,'102 5.1.00'!$AX$3)</f>
        <v>150</v>
      </c>
      <c r="M81" s="6">
        <f>(VLOOKUP('102 5.1.00'!U81,'102 5.1.00'!$AM$4:$AO$55,2,FALSE))*IF('102 5.1.00'!AW$4="是",'102 5.1.00'!$AX$4,'102 5.1.00'!$AX$3)</f>
        <v>170</v>
      </c>
      <c r="N81" s="6">
        <f>(VLOOKUP('102 5.1.00'!V81,'102 5.1.00'!$AM$4:$AO$55,2,FALSE))*IF('102 5.1.00'!AX$4="是",'102 5.1.00'!$AX$4,'102 5.1.00'!$AX$3)</f>
        <v>0</v>
      </c>
      <c r="O81" s="7">
        <f>(VLOOKUP('102 5.1.00'!W81,'102 5.1.00'!$AM$4:$AO$55,2,FALSE))*IF('102 5.1.00'!AY$4="是",'102 5.1.00'!$AX$4,'102 5.1.00'!$AX$3)</f>
        <v>0</v>
      </c>
      <c r="P81" s="7">
        <f>(VLOOKUP('102 5.1.00'!X81,'102 5.1.00'!$AM$4:$AO$55,2,FALSE))*IF('102 5.1.00'!AZ$4="是",'102 5.1.00'!$AX$4,'102 5.1.00'!$AX$3)</f>
        <v>0</v>
      </c>
      <c r="Q81" s="6">
        <f>(VLOOKUP('102 5.1.00'!Y81,'102 5.1.00'!$AM$4:$AO$55,2,FALSE))*IF('102 5.1.00'!BA$4="是",'102 5.1.00'!$AX$4,'102 5.1.00'!$AX$3)</f>
        <v>0</v>
      </c>
      <c r="R81" s="6">
        <f>(VLOOKUP('102 5.1.00'!Z81,'102 5.1.00'!$AM$4:$AO$55,2,FALSE))*IF('102 5.1.00'!BB$4="是",'102 5.1.00'!$AX$4,'102 5.1.00'!$AX$3)</f>
        <v>0</v>
      </c>
      <c r="S81" s="6">
        <f>(VLOOKUP('102 5.1.00'!AA81,'102 5.1.00'!$AM$4:$AO$55,2,FALSE))*IF('102 5.1.00'!BC$4="是",'102 5.1.00'!$AX$4,'102 5.1.00'!$AX$3)</f>
        <v>0</v>
      </c>
      <c r="T81" s="6">
        <f>(VLOOKUP('102 5.1.00'!AB81,'102 5.1.00'!$AM$4:$AO$55,2,FALSE))*IF('102 5.1.00'!BD$4="是",'102 5.1.00'!$AX$4,'102 5.1.00'!$AX$3)</f>
        <v>0</v>
      </c>
      <c r="U81" s="6">
        <f>(VLOOKUP('102 5.1.00'!AC81,'102 5.1.00'!$AM$4:$AO$55,2,FALSE))*IF('102 5.1.00'!BE$4="是",'102 5.1.00'!$AX$4,'102 5.1.00'!$AX$3)</f>
        <v>0</v>
      </c>
      <c r="V81" s="6">
        <f>(VLOOKUP('102 5.1.00'!AD81,'102 5.1.00'!$AM$4:$AO$55,2,FALSE))*IF('102 5.1.00'!BF$4="是",'102 5.1.00'!$AX$4,'102 5.1.00'!$AX$3)</f>
        <v>0</v>
      </c>
      <c r="W81" s="7">
        <f>(VLOOKUP('102 5.1.00'!AE81,'102 5.1.00'!$AM$4:$AO$55,2,FALSE))*IF('102 5.1.00'!BG$4="是",'102 5.1.00'!$AX$4,'102 5.1.00'!$AX$3)</f>
        <v>0</v>
      </c>
      <c r="X81" s="7">
        <f>(VLOOKUP('102 5.1.00'!AF81,'102 5.1.00'!$AM$4:$AO$55,2,FALSE))*IF('102 5.1.00'!BH$4="是",'102 5.1.00'!$AX$4,'102 5.1.00'!$AX$3)</f>
        <v>0</v>
      </c>
    </row>
    <row r="82" spans="1:24">
      <c r="A82" s="6">
        <f>(VLOOKUP('102 5.1.00'!I82,'102 5.1.00'!$AM$4:$AO$55,2,FALSE))*IF('102 5.1.00'!AK$4="是",'102 5.1.00'!$AX$4,'102 5.1.00'!$AX$3)</f>
        <v>190</v>
      </c>
      <c r="B82" s="6">
        <f>(VLOOKUP('102 5.1.00'!J82,'102 5.1.00'!$AM$4:$AO$55,2,FALSE))*IF('102 5.1.00'!AL$4="是",'102 5.1.00'!$AX$4,'102 5.1.00'!$AX$3)</f>
        <v>190</v>
      </c>
      <c r="C82" s="6">
        <f>(VLOOKUP('102 5.1.00'!K82,'102 5.1.00'!$AM$4:$AO$55,2,FALSE))*IF('102 5.1.00'!AM$4="是",'102 5.1.00'!$AX$4,'102 5.1.00'!$AX$3)</f>
        <v>190</v>
      </c>
      <c r="D82" s="6">
        <f>(VLOOKUP('102 5.1.00'!L82,'102 5.1.00'!$AM$4:$AO$55,2,FALSE))*IF('102 5.1.00'!AN$4="是",'102 5.1.00'!$AX$4,'102 5.1.00'!$AX$3)</f>
        <v>190</v>
      </c>
      <c r="E82" s="6">
        <f>(VLOOKUP('102 5.1.00'!M82,'102 5.1.00'!$AM$4:$AO$55,2,FALSE))*IF('102 5.1.00'!AO$4="是",'102 5.1.00'!$AX$4,'102 5.1.00'!$AX$3)</f>
        <v>190</v>
      </c>
      <c r="F82" s="6">
        <f>(VLOOKUP('102 5.1.00'!N82,'102 5.1.00'!$AM$4:$AO$55,2,FALSE))*IF('102 5.1.00'!AP$4="是",'102 5.1.00'!$AX$4,'102 5.1.00'!$AX$3)</f>
        <v>190</v>
      </c>
      <c r="G82" s="7">
        <f>(VLOOKUP('102 5.1.00'!O82,'102 5.1.00'!$AM$4:$AO$55,2,FALSE))*IF('102 5.1.00'!AQ$4="是",'102 5.1.00'!$AX$4,'102 5.1.00'!$AX$3)</f>
        <v>0</v>
      </c>
      <c r="H82" s="7">
        <f>(VLOOKUP('102 5.1.00'!P82,'102 5.1.00'!$AM$4:$AO$55,2,FALSE))*IF('102 5.1.00'!AR$4="是",'102 5.1.00'!$AX$4,'102 5.1.00'!$AX$3)</f>
        <v>0</v>
      </c>
      <c r="I82" s="6">
        <f>(VLOOKUP('102 5.1.00'!Q82,'102 5.1.00'!$AM$4:$AO$55,2,FALSE))*IF('102 5.1.00'!AS$4="是",'102 5.1.00'!$AX$4,'102 5.1.00'!$AX$3)</f>
        <v>170</v>
      </c>
      <c r="J82" s="6">
        <f>(VLOOKUP('102 5.1.00'!R82,'102 5.1.00'!$AM$4:$AO$55,2,FALSE))*IF('102 5.1.00'!AT$4="是",'102 5.1.00'!$AX$4,'102 5.1.00'!$AX$3)</f>
        <v>170</v>
      </c>
      <c r="K82" s="6">
        <f>(VLOOKUP('102 5.1.00'!S82,'102 5.1.00'!$AM$4:$AO$55,2,FALSE))*IF('102 5.1.00'!AU$4="是",'102 5.1.00'!$AX$4,'102 5.1.00'!$AX$3)</f>
        <v>180</v>
      </c>
      <c r="L82" s="6">
        <f>(VLOOKUP('102 5.1.00'!T82,'102 5.1.00'!$AM$4:$AO$55,2,FALSE))*IF('102 5.1.00'!AV$4="是",'102 5.1.00'!$AX$4,'102 5.1.00'!$AX$3)</f>
        <v>180</v>
      </c>
      <c r="M82" s="6">
        <f>(VLOOKUP('102 5.1.00'!U82,'102 5.1.00'!$AM$4:$AO$55,2,FALSE))*IF('102 5.1.00'!AW$4="是",'102 5.1.00'!$AX$4,'102 5.1.00'!$AX$3)</f>
        <v>170</v>
      </c>
      <c r="N82" s="6">
        <f>(VLOOKUP('102 5.1.00'!V82,'102 5.1.00'!$AM$4:$AO$55,2,FALSE))*IF('102 5.1.00'!AX$4="是",'102 5.1.00'!$AX$4,'102 5.1.00'!$AX$3)</f>
        <v>0</v>
      </c>
      <c r="O82" s="7">
        <f>(VLOOKUP('102 5.1.00'!W82,'102 5.1.00'!$AM$4:$AO$55,2,FALSE))*IF('102 5.1.00'!AY$4="是",'102 5.1.00'!$AX$4,'102 5.1.00'!$AX$3)</f>
        <v>0</v>
      </c>
      <c r="P82" s="7">
        <f>(VLOOKUP('102 5.1.00'!X82,'102 5.1.00'!$AM$4:$AO$55,2,FALSE))*IF('102 5.1.00'!AZ$4="是",'102 5.1.00'!$AX$4,'102 5.1.00'!$AX$3)</f>
        <v>0</v>
      </c>
      <c r="Q82" s="6">
        <f>(VLOOKUP('102 5.1.00'!Y82,'102 5.1.00'!$AM$4:$AO$55,2,FALSE))*IF('102 5.1.00'!BA$4="是",'102 5.1.00'!$AX$4,'102 5.1.00'!$AX$3)</f>
        <v>0</v>
      </c>
      <c r="R82" s="6">
        <f>(VLOOKUP('102 5.1.00'!Z82,'102 5.1.00'!$AM$4:$AO$55,2,FALSE))*IF('102 5.1.00'!BB$4="是",'102 5.1.00'!$AX$4,'102 5.1.00'!$AX$3)</f>
        <v>0</v>
      </c>
      <c r="S82" s="6">
        <f>(VLOOKUP('102 5.1.00'!AA82,'102 5.1.00'!$AM$4:$AO$55,2,FALSE))*IF('102 5.1.00'!BC$4="是",'102 5.1.00'!$AX$4,'102 5.1.00'!$AX$3)</f>
        <v>0</v>
      </c>
      <c r="T82" s="6">
        <f>(VLOOKUP('102 5.1.00'!AB82,'102 5.1.00'!$AM$4:$AO$55,2,FALSE))*IF('102 5.1.00'!BD$4="是",'102 5.1.00'!$AX$4,'102 5.1.00'!$AX$3)</f>
        <v>0</v>
      </c>
      <c r="U82" s="6">
        <f>(VLOOKUP('102 5.1.00'!AC82,'102 5.1.00'!$AM$4:$AO$55,2,FALSE))*IF('102 5.1.00'!BE$4="是",'102 5.1.00'!$AX$4,'102 5.1.00'!$AX$3)</f>
        <v>0</v>
      </c>
      <c r="V82" s="6">
        <f>(VLOOKUP('102 5.1.00'!AD82,'102 5.1.00'!$AM$4:$AO$55,2,FALSE))*IF('102 5.1.00'!BF$4="是",'102 5.1.00'!$AX$4,'102 5.1.00'!$AX$3)</f>
        <v>0</v>
      </c>
      <c r="W82" s="7">
        <f>(VLOOKUP('102 5.1.00'!AE82,'102 5.1.00'!$AM$4:$AO$55,2,FALSE))*IF('102 5.1.00'!BG$4="是",'102 5.1.00'!$AX$4,'102 5.1.00'!$AX$3)</f>
        <v>0</v>
      </c>
      <c r="X82" s="7">
        <f>(VLOOKUP('102 5.1.00'!AF82,'102 5.1.00'!$AM$4:$AO$55,2,FALSE))*IF('102 5.1.00'!BH$4="是",'102 5.1.00'!$AX$4,'102 5.1.00'!$AX$3)</f>
        <v>0</v>
      </c>
    </row>
    <row r="83" spans="1:24">
      <c r="A83" s="6">
        <f>(VLOOKUP('102 5.1.00'!I83,'102 5.1.00'!$AM$4:$AO$55,2,FALSE))*IF('102 5.1.00'!AK$4="是",'102 5.1.00'!$AX$4,'102 5.1.00'!$AX$3)</f>
        <v>190</v>
      </c>
      <c r="B83" s="6">
        <f>(VLOOKUP('102 5.1.00'!J83,'102 5.1.00'!$AM$4:$AO$55,2,FALSE))*IF('102 5.1.00'!AL$4="是",'102 5.1.00'!$AX$4,'102 5.1.00'!$AX$3)</f>
        <v>190</v>
      </c>
      <c r="C83" s="6">
        <f>(VLOOKUP('102 5.1.00'!K83,'102 5.1.00'!$AM$4:$AO$55,2,FALSE))*IF('102 5.1.00'!AM$4="是",'102 5.1.00'!$AX$4,'102 5.1.00'!$AX$3)</f>
        <v>150</v>
      </c>
      <c r="D83" s="6">
        <f>(VLOOKUP('102 5.1.00'!L83,'102 5.1.00'!$AM$4:$AO$55,2,FALSE))*IF('102 5.1.00'!AN$4="是",'102 5.1.00'!$AX$4,'102 5.1.00'!$AX$3)</f>
        <v>190</v>
      </c>
      <c r="E83" s="6">
        <f>(VLOOKUP('102 5.1.00'!M83,'102 5.1.00'!$AM$4:$AO$55,2,FALSE))*IF('102 5.1.00'!AO$4="是",'102 5.1.00'!$AX$4,'102 5.1.00'!$AX$3)</f>
        <v>190</v>
      </c>
      <c r="F83" s="6">
        <f>(VLOOKUP('102 5.1.00'!N83,'102 5.1.00'!$AM$4:$AO$55,2,FALSE))*IF('102 5.1.00'!AP$4="是",'102 5.1.00'!$AX$4,'102 5.1.00'!$AX$3)</f>
        <v>190</v>
      </c>
      <c r="G83" s="7">
        <f>(VLOOKUP('102 5.1.00'!O83,'102 5.1.00'!$AM$4:$AO$55,2,FALSE))*IF('102 5.1.00'!AQ$4="是",'102 5.1.00'!$AX$4,'102 5.1.00'!$AX$3)</f>
        <v>0</v>
      </c>
      <c r="H83" s="7">
        <f>(VLOOKUP('102 5.1.00'!P83,'102 5.1.00'!$AM$4:$AO$55,2,FALSE))*IF('102 5.1.00'!AR$4="是",'102 5.1.00'!$AX$4,'102 5.1.00'!$AX$3)</f>
        <v>0</v>
      </c>
      <c r="I83" s="6">
        <f>(VLOOKUP('102 5.1.00'!Q83,'102 5.1.00'!$AM$4:$AO$55,2,FALSE))*IF('102 5.1.00'!AS$4="是",'102 5.1.00'!$AX$4,'102 5.1.00'!$AX$3)</f>
        <v>170</v>
      </c>
      <c r="J83" s="6">
        <f>(VLOOKUP('102 5.1.00'!R83,'102 5.1.00'!$AM$4:$AO$55,2,FALSE))*IF('102 5.1.00'!AT$4="是",'102 5.1.00'!$AX$4,'102 5.1.00'!$AX$3)</f>
        <v>170</v>
      </c>
      <c r="K83" s="6">
        <f>(VLOOKUP('102 5.1.00'!S83,'102 5.1.00'!$AM$4:$AO$55,2,FALSE))*IF('102 5.1.00'!AU$4="是",'102 5.1.00'!$AX$4,'102 5.1.00'!$AX$3)</f>
        <v>170</v>
      </c>
      <c r="L83" s="6">
        <f>(VLOOKUP('102 5.1.00'!T83,'102 5.1.00'!$AM$4:$AO$55,2,FALSE))*IF('102 5.1.00'!AV$4="是",'102 5.1.00'!$AX$4,'102 5.1.00'!$AX$3)</f>
        <v>170</v>
      </c>
      <c r="M83" s="6">
        <f>(VLOOKUP('102 5.1.00'!U83,'102 5.1.00'!$AM$4:$AO$55,2,FALSE))*IF('102 5.1.00'!AW$4="是",'102 5.1.00'!$AX$4,'102 5.1.00'!$AX$3)</f>
        <v>50</v>
      </c>
      <c r="N83" s="6">
        <f>(VLOOKUP('102 5.1.00'!V83,'102 5.1.00'!$AM$4:$AO$55,2,FALSE))*IF('102 5.1.00'!AX$4="是",'102 5.1.00'!$AX$4,'102 5.1.00'!$AX$3)</f>
        <v>170</v>
      </c>
      <c r="O83" s="7">
        <f>(VLOOKUP('102 5.1.00'!W83,'102 5.1.00'!$AM$4:$AO$55,2,FALSE))*IF('102 5.1.00'!AY$4="是",'102 5.1.00'!$AX$4,'102 5.1.00'!$AX$3)</f>
        <v>0</v>
      </c>
      <c r="P83" s="7">
        <f>(VLOOKUP('102 5.1.00'!X83,'102 5.1.00'!$AM$4:$AO$55,2,FALSE))*IF('102 5.1.00'!AZ$4="是",'102 5.1.00'!$AX$4,'102 5.1.00'!$AX$3)</f>
        <v>0</v>
      </c>
      <c r="Q83" s="6">
        <f>(VLOOKUP('102 5.1.00'!Y83,'102 5.1.00'!$AM$4:$AO$55,2,FALSE))*IF('102 5.1.00'!BA$4="是",'102 5.1.00'!$AX$4,'102 5.1.00'!$AX$3)</f>
        <v>0</v>
      </c>
      <c r="R83" s="6">
        <f>(VLOOKUP('102 5.1.00'!Z83,'102 5.1.00'!$AM$4:$AO$55,2,FALSE))*IF('102 5.1.00'!BB$4="是",'102 5.1.00'!$AX$4,'102 5.1.00'!$AX$3)</f>
        <v>0</v>
      </c>
      <c r="S83" s="6">
        <f>(VLOOKUP('102 5.1.00'!AA83,'102 5.1.00'!$AM$4:$AO$55,2,FALSE))*IF('102 5.1.00'!BC$4="是",'102 5.1.00'!$AX$4,'102 5.1.00'!$AX$3)</f>
        <v>0</v>
      </c>
      <c r="T83" s="6">
        <f>(VLOOKUP('102 5.1.00'!AB83,'102 5.1.00'!$AM$4:$AO$55,2,FALSE))*IF('102 5.1.00'!BD$4="是",'102 5.1.00'!$AX$4,'102 5.1.00'!$AX$3)</f>
        <v>0</v>
      </c>
      <c r="U83" s="6">
        <f>(VLOOKUP('102 5.1.00'!AC83,'102 5.1.00'!$AM$4:$AO$55,2,FALSE))*IF('102 5.1.00'!BE$4="是",'102 5.1.00'!$AX$4,'102 5.1.00'!$AX$3)</f>
        <v>0</v>
      </c>
      <c r="V83" s="6">
        <f>(VLOOKUP('102 5.1.00'!AD83,'102 5.1.00'!$AM$4:$AO$55,2,FALSE))*IF('102 5.1.00'!BF$4="是",'102 5.1.00'!$AX$4,'102 5.1.00'!$AX$3)</f>
        <v>0</v>
      </c>
      <c r="W83" s="7">
        <f>(VLOOKUP('102 5.1.00'!AE83,'102 5.1.00'!$AM$4:$AO$55,2,FALSE))*IF('102 5.1.00'!BG$4="是",'102 5.1.00'!$AX$4,'102 5.1.00'!$AX$3)</f>
        <v>0</v>
      </c>
      <c r="X83" s="7">
        <f>(VLOOKUP('102 5.1.00'!AF83,'102 5.1.00'!$AM$4:$AO$55,2,FALSE))*IF('102 5.1.00'!BH$4="是",'102 5.1.00'!$AX$4,'102 5.1.00'!$AX$3)</f>
        <v>0</v>
      </c>
    </row>
    <row r="84" spans="1:24">
      <c r="A84" s="6">
        <f>(VLOOKUP('102 5.1.00'!I84,'102 5.1.00'!$AM$4:$AO$55,2,FALSE))*IF('102 5.1.00'!AK$4="是",'102 5.1.00'!$AX$4,'102 5.1.00'!$AX$3)</f>
        <v>180</v>
      </c>
      <c r="B84" s="6">
        <f>(VLOOKUP('102 5.1.00'!J84,'102 5.1.00'!$AM$4:$AO$55,2,FALSE))*IF('102 5.1.00'!AL$4="是",'102 5.1.00'!$AX$4,'102 5.1.00'!$AX$3)</f>
        <v>180</v>
      </c>
      <c r="C84" s="6">
        <f>(VLOOKUP('102 5.1.00'!K84,'102 5.1.00'!$AM$4:$AO$55,2,FALSE))*IF('102 5.1.00'!AM$4="是",'102 5.1.00'!$AX$4,'102 5.1.00'!$AX$3)</f>
        <v>180</v>
      </c>
      <c r="D84" s="6">
        <f>(VLOOKUP('102 5.1.00'!L84,'102 5.1.00'!$AM$4:$AO$55,2,FALSE))*IF('102 5.1.00'!AN$4="是",'102 5.1.00'!$AX$4,'102 5.1.00'!$AX$3)</f>
        <v>180</v>
      </c>
      <c r="E84" s="6">
        <f>(VLOOKUP('102 5.1.00'!M84,'102 5.1.00'!$AM$4:$AO$55,2,FALSE))*IF('102 5.1.00'!AO$4="是",'102 5.1.00'!$AX$4,'102 5.1.00'!$AX$3)</f>
        <v>180</v>
      </c>
      <c r="F84" s="6">
        <f>(VLOOKUP('102 5.1.00'!N84,'102 5.1.00'!$AM$4:$AO$55,2,FALSE))*IF('102 5.1.00'!AP$4="是",'102 5.1.00'!$AX$4,'102 5.1.00'!$AX$3)</f>
        <v>180</v>
      </c>
      <c r="G84" s="7">
        <f>(VLOOKUP('102 5.1.00'!O84,'102 5.1.00'!$AM$4:$AO$55,2,FALSE))*IF('102 5.1.00'!AQ$4="是",'102 5.1.00'!$AX$4,'102 5.1.00'!$AX$3)</f>
        <v>0</v>
      </c>
      <c r="H84" s="7">
        <f>(VLOOKUP('102 5.1.00'!P84,'102 5.1.00'!$AM$4:$AO$55,2,FALSE))*IF('102 5.1.00'!AR$4="是",'102 5.1.00'!$AX$4,'102 5.1.00'!$AX$3)</f>
        <v>0</v>
      </c>
      <c r="I84" s="6">
        <f>(VLOOKUP('102 5.1.00'!Q84,'102 5.1.00'!$AM$4:$AO$55,2,FALSE))*IF('102 5.1.00'!AS$4="是",'102 5.1.00'!$AX$4,'102 5.1.00'!$AX$3)</f>
        <v>170</v>
      </c>
      <c r="J84" s="6">
        <f>(VLOOKUP('102 5.1.00'!R84,'102 5.1.00'!$AM$4:$AO$55,2,FALSE))*IF('102 5.1.00'!AT$4="是",'102 5.1.00'!$AX$4,'102 5.1.00'!$AX$3)</f>
        <v>170</v>
      </c>
      <c r="K84" s="6">
        <f>(VLOOKUP('102 5.1.00'!S84,'102 5.1.00'!$AM$4:$AO$55,2,FALSE))*IF('102 5.1.00'!AU$4="是",'102 5.1.00'!$AX$4,'102 5.1.00'!$AX$3)</f>
        <v>170</v>
      </c>
      <c r="L84" s="6">
        <f>(VLOOKUP('102 5.1.00'!T84,'102 5.1.00'!$AM$4:$AO$55,2,FALSE))*IF('102 5.1.00'!AV$4="是",'102 5.1.00'!$AX$4,'102 5.1.00'!$AX$3)</f>
        <v>-200</v>
      </c>
      <c r="M84" s="6">
        <f>(VLOOKUP('102 5.1.00'!U84,'102 5.1.00'!$AM$4:$AO$55,2,FALSE))*IF('102 5.1.00'!AW$4="是",'102 5.1.00'!$AX$4,'102 5.1.00'!$AX$3)</f>
        <v>170</v>
      </c>
      <c r="N84" s="6">
        <f>(VLOOKUP('102 5.1.00'!V84,'102 5.1.00'!$AM$4:$AO$55,2,FALSE))*IF('102 5.1.00'!AX$4="是",'102 5.1.00'!$AX$4,'102 5.1.00'!$AX$3)</f>
        <v>170</v>
      </c>
      <c r="O84" s="7">
        <f>(VLOOKUP('102 5.1.00'!W84,'102 5.1.00'!$AM$4:$AO$55,2,FALSE))*IF('102 5.1.00'!AY$4="是",'102 5.1.00'!$AX$4,'102 5.1.00'!$AX$3)</f>
        <v>150</v>
      </c>
      <c r="P84" s="7">
        <f>(VLOOKUP('102 5.1.00'!X84,'102 5.1.00'!$AM$4:$AO$55,2,FALSE))*IF('102 5.1.00'!AZ$4="是",'102 5.1.00'!$AX$4,'102 5.1.00'!$AX$3)</f>
        <v>0</v>
      </c>
      <c r="Q84" s="6">
        <f>(VLOOKUP('102 5.1.00'!Y84,'102 5.1.00'!$AM$4:$AO$55,2,FALSE))*IF('102 5.1.00'!BA$4="是",'102 5.1.00'!$AX$4,'102 5.1.00'!$AX$3)</f>
        <v>0</v>
      </c>
      <c r="R84" s="6">
        <f>(VLOOKUP('102 5.1.00'!Z84,'102 5.1.00'!$AM$4:$AO$55,2,FALSE))*IF('102 5.1.00'!BB$4="是",'102 5.1.00'!$AX$4,'102 5.1.00'!$AX$3)</f>
        <v>0</v>
      </c>
      <c r="S84" s="6">
        <f>(VLOOKUP('102 5.1.00'!AA84,'102 5.1.00'!$AM$4:$AO$55,2,FALSE))*IF('102 5.1.00'!BC$4="是",'102 5.1.00'!$AX$4,'102 5.1.00'!$AX$3)</f>
        <v>0</v>
      </c>
      <c r="T84" s="6">
        <f>(VLOOKUP('102 5.1.00'!AB84,'102 5.1.00'!$AM$4:$AO$55,2,FALSE))*IF('102 5.1.00'!BD$4="是",'102 5.1.00'!$AX$4,'102 5.1.00'!$AX$3)</f>
        <v>0</v>
      </c>
      <c r="U84" s="6">
        <f>(VLOOKUP('102 5.1.00'!AC84,'102 5.1.00'!$AM$4:$AO$55,2,FALSE))*IF('102 5.1.00'!BE$4="是",'102 5.1.00'!$AX$4,'102 5.1.00'!$AX$3)</f>
        <v>0</v>
      </c>
      <c r="V84" s="6">
        <f>(VLOOKUP('102 5.1.00'!AD84,'102 5.1.00'!$AM$4:$AO$55,2,FALSE))*IF('102 5.1.00'!BF$4="是",'102 5.1.00'!$AX$4,'102 5.1.00'!$AX$3)</f>
        <v>0</v>
      </c>
      <c r="W84" s="7">
        <f>(VLOOKUP('102 5.1.00'!AE84,'102 5.1.00'!$AM$4:$AO$55,2,FALSE))*IF('102 5.1.00'!BG$4="是",'102 5.1.00'!$AX$4,'102 5.1.00'!$AX$3)</f>
        <v>0</v>
      </c>
      <c r="X84" s="7">
        <f>(VLOOKUP('102 5.1.00'!AF84,'102 5.1.00'!$AM$4:$AO$55,2,FALSE))*IF('102 5.1.00'!BH$4="是",'102 5.1.00'!$AX$4,'102 5.1.00'!$AX$3)</f>
        <v>0</v>
      </c>
    </row>
    <row r="85" spans="1:24">
      <c r="A85" s="6">
        <f>(VLOOKUP('102 5.1.00'!I85,'102 5.1.00'!$AM$4:$AO$55,2,FALSE))*IF('102 5.1.00'!AK$4="是",'102 5.1.00'!$AX$4,'102 5.1.00'!$AX$3)</f>
        <v>180</v>
      </c>
      <c r="B85" s="6">
        <f>(VLOOKUP('102 5.1.00'!J85,'102 5.1.00'!$AM$4:$AO$55,2,FALSE))*IF('102 5.1.00'!AL$4="是",'102 5.1.00'!$AX$4,'102 5.1.00'!$AX$3)</f>
        <v>180</v>
      </c>
      <c r="C85" s="6">
        <f>(VLOOKUP('102 5.1.00'!K85,'102 5.1.00'!$AM$4:$AO$55,2,FALSE))*IF('102 5.1.00'!AM$4="是",'102 5.1.00'!$AX$4,'102 5.1.00'!$AX$3)</f>
        <v>180</v>
      </c>
      <c r="D85" s="6">
        <f>(VLOOKUP('102 5.1.00'!L85,'102 5.1.00'!$AM$4:$AO$55,2,FALSE))*IF('102 5.1.00'!AN$4="是",'102 5.1.00'!$AX$4,'102 5.1.00'!$AX$3)</f>
        <v>180</v>
      </c>
      <c r="E85" s="6">
        <f>(VLOOKUP('102 5.1.00'!M85,'102 5.1.00'!$AM$4:$AO$55,2,FALSE))*IF('102 5.1.00'!AO$4="是",'102 5.1.00'!$AX$4,'102 5.1.00'!$AX$3)</f>
        <v>180</v>
      </c>
      <c r="F85" s="6">
        <f>(VLOOKUP('102 5.1.00'!N85,'102 5.1.00'!$AM$4:$AO$55,2,FALSE))*IF('102 5.1.00'!AP$4="是",'102 5.1.00'!$AX$4,'102 5.1.00'!$AX$3)</f>
        <v>180</v>
      </c>
      <c r="G85" s="7">
        <f>(VLOOKUP('102 5.1.00'!O85,'102 5.1.00'!$AM$4:$AO$55,2,FALSE))*IF('102 5.1.00'!AQ$4="是",'102 5.1.00'!$AX$4,'102 5.1.00'!$AX$3)</f>
        <v>0</v>
      </c>
      <c r="H85" s="7">
        <f>(VLOOKUP('102 5.1.00'!P85,'102 5.1.00'!$AM$4:$AO$55,2,FALSE))*IF('102 5.1.00'!AR$4="是",'102 5.1.00'!$AX$4,'102 5.1.00'!$AX$3)</f>
        <v>0</v>
      </c>
      <c r="I85" s="6">
        <f>(VLOOKUP('102 5.1.00'!Q85,'102 5.1.00'!$AM$4:$AO$55,2,FALSE))*IF('102 5.1.00'!AS$4="是",'102 5.1.00'!$AX$4,'102 5.1.00'!$AX$3)</f>
        <v>170</v>
      </c>
      <c r="J85" s="6">
        <f>(VLOOKUP('102 5.1.00'!R85,'102 5.1.00'!$AM$4:$AO$55,2,FALSE))*IF('102 5.1.00'!AT$4="是",'102 5.1.00'!$AX$4,'102 5.1.00'!$AX$3)</f>
        <v>170</v>
      </c>
      <c r="K85" s="6">
        <f>(VLOOKUP('102 5.1.00'!S85,'102 5.1.00'!$AM$4:$AO$55,2,FALSE))*IF('102 5.1.00'!AU$4="是",'102 5.1.00'!$AX$4,'102 5.1.00'!$AX$3)</f>
        <v>150</v>
      </c>
      <c r="L85" s="6">
        <f>(VLOOKUP('102 5.1.00'!T85,'102 5.1.00'!$AM$4:$AO$55,2,FALSE))*IF('102 5.1.00'!AV$4="是",'102 5.1.00'!$AX$4,'102 5.1.00'!$AX$3)</f>
        <v>170</v>
      </c>
      <c r="M85" s="6">
        <f>(VLOOKUP('102 5.1.00'!U85,'102 5.1.00'!$AM$4:$AO$55,2,FALSE))*IF('102 5.1.00'!AW$4="是",'102 5.1.00'!$AX$4,'102 5.1.00'!$AX$3)</f>
        <v>170</v>
      </c>
      <c r="N85" s="6">
        <f>(VLOOKUP('102 5.1.00'!V85,'102 5.1.00'!$AM$4:$AO$55,2,FALSE))*IF('102 5.1.00'!AX$4="是",'102 5.1.00'!$AX$4,'102 5.1.00'!$AX$3)</f>
        <v>170</v>
      </c>
      <c r="O85" s="7">
        <f>(VLOOKUP('102 5.1.00'!W85,'102 5.1.00'!$AM$4:$AO$55,2,FALSE))*IF('102 5.1.00'!AY$4="是",'102 5.1.00'!$AX$4,'102 5.1.00'!$AX$3)</f>
        <v>0</v>
      </c>
      <c r="P85" s="7">
        <f>(VLOOKUP('102 5.1.00'!X85,'102 5.1.00'!$AM$4:$AO$55,2,FALSE))*IF('102 5.1.00'!AZ$4="是",'102 5.1.00'!$AX$4,'102 5.1.00'!$AX$3)</f>
        <v>0</v>
      </c>
      <c r="Q85" s="6">
        <f>(VLOOKUP('102 5.1.00'!Y85,'102 5.1.00'!$AM$4:$AO$55,2,FALSE))*IF('102 5.1.00'!BA$4="是",'102 5.1.00'!$AX$4,'102 5.1.00'!$AX$3)</f>
        <v>0</v>
      </c>
      <c r="R85" s="6">
        <f>(VLOOKUP('102 5.1.00'!Z85,'102 5.1.00'!$AM$4:$AO$55,2,FALSE))*IF('102 5.1.00'!BB$4="是",'102 5.1.00'!$AX$4,'102 5.1.00'!$AX$3)</f>
        <v>0</v>
      </c>
      <c r="S85" s="6">
        <f>(VLOOKUP('102 5.1.00'!AA85,'102 5.1.00'!$AM$4:$AO$55,2,FALSE))*IF('102 5.1.00'!BC$4="是",'102 5.1.00'!$AX$4,'102 5.1.00'!$AX$3)</f>
        <v>0</v>
      </c>
      <c r="T85" s="6">
        <f>(VLOOKUP('102 5.1.00'!AB85,'102 5.1.00'!$AM$4:$AO$55,2,FALSE))*IF('102 5.1.00'!BD$4="是",'102 5.1.00'!$AX$4,'102 5.1.00'!$AX$3)</f>
        <v>0</v>
      </c>
      <c r="U85" s="6">
        <f>(VLOOKUP('102 5.1.00'!AC85,'102 5.1.00'!$AM$4:$AO$55,2,FALSE))*IF('102 5.1.00'!BE$4="是",'102 5.1.00'!$AX$4,'102 5.1.00'!$AX$3)</f>
        <v>0</v>
      </c>
      <c r="V85" s="6">
        <f>(VLOOKUP('102 5.1.00'!AD85,'102 5.1.00'!$AM$4:$AO$55,2,FALSE))*IF('102 5.1.00'!BF$4="是",'102 5.1.00'!$AX$4,'102 5.1.00'!$AX$3)</f>
        <v>0</v>
      </c>
      <c r="W85" s="7">
        <f>(VLOOKUP('102 5.1.00'!AE85,'102 5.1.00'!$AM$4:$AO$55,2,FALSE))*IF('102 5.1.00'!BG$4="是",'102 5.1.00'!$AX$4,'102 5.1.00'!$AX$3)</f>
        <v>0</v>
      </c>
      <c r="X85" s="7">
        <f>(VLOOKUP('102 5.1.00'!AF85,'102 5.1.00'!$AM$4:$AO$55,2,FALSE))*IF('102 5.1.00'!BH$4="是",'102 5.1.00'!$AX$4,'102 5.1.00'!$AX$3)</f>
        <v>0</v>
      </c>
    </row>
    <row r="86" spans="1:24">
      <c r="A86" s="6">
        <f>(VLOOKUP('102 5.1.00'!I86,'102 5.1.00'!$AM$4:$AO$55,2,FALSE))*IF('102 5.1.00'!AK$4="是",'102 5.1.00'!$AX$4,'102 5.1.00'!$AX$3)</f>
        <v>180</v>
      </c>
      <c r="B86" s="6">
        <f>(VLOOKUP('102 5.1.00'!J86,'102 5.1.00'!$AM$4:$AO$55,2,FALSE))*IF('102 5.1.00'!AL$4="是",'102 5.1.00'!$AX$4,'102 5.1.00'!$AX$3)</f>
        <v>180</v>
      </c>
      <c r="C86" s="6">
        <f>(VLOOKUP('102 5.1.00'!K86,'102 5.1.00'!$AM$4:$AO$55,2,FALSE))*IF('102 5.1.00'!AM$4="是",'102 5.1.00'!$AX$4,'102 5.1.00'!$AX$3)</f>
        <v>180</v>
      </c>
      <c r="D86" s="6">
        <f>(VLOOKUP('102 5.1.00'!L86,'102 5.1.00'!$AM$4:$AO$55,2,FALSE))*IF('102 5.1.00'!AN$4="是",'102 5.1.00'!$AX$4,'102 5.1.00'!$AX$3)</f>
        <v>180</v>
      </c>
      <c r="E86" s="6">
        <f>(VLOOKUP('102 5.1.00'!M86,'102 5.1.00'!$AM$4:$AO$55,2,FALSE))*IF('102 5.1.00'!AO$4="是",'102 5.1.00'!$AX$4,'102 5.1.00'!$AX$3)</f>
        <v>180</v>
      </c>
      <c r="F86" s="6">
        <f>(VLOOKUP('102 5.1.00'!N86,'102 5.1.00'!$AM$4:$AO$55,2,FALSE))*IF('102 5.1.00'!AP$4="是",'102 5.1.00'!$AX$4,'102 5.1.00'!$AX$3)</f>
        <v>50</v>
      </c>
      <c r="G86" s="7">
        <f>(VLOOKUP('102 5.1.00'!O86,'102 5.1.00'!$AM$4:$AO$55,2,FALSE))*IF('102 5.1.00'!AQ$4="是",'102 5.1.00'!$AX$4,'102 5.1.00'!$AX$3)</f>
        <v>0</v>
      </c>
      <c r="H86" s="7">
        <f>(VLOOKUP('102 5.1.00'!P86,'102 5.1.00'!$AM$4:$AO$55,2,FALSE))*IF('102 5.1.00'!AR$4="是",'102 5.1.00'!$AX$4,'102 5.1.00'!$AX$3)</f>
        <v>0</v>
      </c>
      <c r="I86" s="6">
        <f>(VLOOKUP('102 5.1.00'!Q86,'102 5.1.00'!$AM$4:$AO$55,2,FALSE))*IF('102 5.1.00'!AS$4="是",'102 5.1.00'!$AX$4,'102 5.1.00'!$AX$3)</f>
        <v>170</v>
      </c>
      <c r="J86" s="6">
        <f>(VLOOKUP('102 5.1.00'!R86,'102 5.1.00'!$AM$4:$AO$55,2,FALSE))*IF('102 5.1.00'!AT$4="是",'102 5.1.00'!$AX$4,'102 5.1.00'!$AX$3)</f>
        <v>170</v>
      </c>
      <c r="K86" s="6">
        <f>(VLOOKUP('102 5.1.00'!S86,'102 5.1.00'!$AM$4:$AO$55,2,FALSE))*IF('102 5.1.00'!AU$4="是",'102 5.1.00'!$AX$4,'102 5.1.00'!$AX$3)</f>
        <v>170</v>
      </c>
      <c r="L86" s="6">
        <f>(VLOOKUP('102 5.1.00'!T86,'102 5.1.00'!$AM$4:$AO$55,2,FALSE))*IF('102 5.1.00'!AV$4="是",'102 5.1.00'!$AX$4,'102 5.1.00'!$AX$3)</f>
        <v>170</v>
      </c>
      <c r="M86" s="6">
        <f>(VLOOKUP('102 5.1.00'!U86,'102 5.1.00'!$AM$4:$AO$55,2,FALSE))*IF('102 5.1.00'!AW$4="是",'102 5.1.00'!$AX$4,'102 5.1.00'!$AX$3)</f>
        <v>50</v>
      </c>
      <c r="N86" s="6">
        <f>(VLOOKUP('102 5.1.00'!V86,'102 5.1.00'!$AM$4:$AO$55,2,FALSE))*IF('102 5.1.00'!AX$4="是",'102 5.1.00'!$AX$4,'102 5.1.00'!$AX$3)</f>
        <v>0</v>
      </c>
      <c r="O86" s="7">
        <f>(VLOOKUP('102 5.1.00'!W86,'102 5.1.00'!$AM$4:$AO$55,2,FALSE))*IF('102 5.1.00'!AY$4="是",'102 5.1.00'!$AX$4,'102 5.1.00'!$AX$3)</f>
        <v>0</v>
      </c>
      <c r="P86" s="7">
        <f>(VLOOKUP('102 5.1.00'!X86,'102 5.1.00'!$AM$4:$AO$55,2,FALSE))*IF('102 5.1.00'!AZ$4="是",'102 5.1.00'!$AX$4,'102 5.1.00'!$AX$3)</f>
        <v>0</v>
      </c>
      <c r="Q86" s="6">
        <f>(VLOOKUP('102 5.1.00'!Y86,'102 5.1.00'!$AM$4:$AO$55,2,FALSE))*IF('102 5.1.00'!BA$4="是",'102 5.1.00'!$AX$4,'102 5.1.00'!$AX$3)</f>
        <v>150</v>
      </c>
      <c r="R86" s="6">
        <f>(VLOOKUP('102 5.1.00'!Z86,'102 5.1.00'!$AM$4:$AO$55,2,FALSE))*IF('102 5.1.00'!BB$4="是",'102 5.1.00'!$AX$4,'102 5.1.00'!$AX$3)</f>
        <v>150</v>
      </c>
      <c r="S86" s="6">
        <f>(VLOOKUP('102 5.1.00'!AA86,'102 5.1.00'!$AM$4:$AO$55,2,FALSE))*IF('102 5.1.00'!BC$4="是",'102 5.1.00'!$AX$4,'102 5.1.00'!$AX$3)</f>
        <v>0</v>
      </c>
      <c r="T86" s="6">
        <f>(VLOOKUP('102 5.1.00'!AB86,'102 5.1.00'!$AM$4:$AO$55,2,FALSE))*IF('102 5.1.00'!BD$4="是",'102 5.1.00'!$AX$4,'102 5.1.00'!$AX$3)</f>
        <v>0</v>
      </c>
      <c r="U86" s="6">
        <f>(VLOOKUP('102 5.1.00'!AC86,'102 5.1.00'!$AM$4:$AO$55,2,FALSE))*IF('102 5.1.00'!BE$4="是",'102 5.1.00'!$AX$4,'102 5.1.00'!$AX$3)</f>
        <v>0</v>
      </c>
      <c r="V86" s="6">
        <f>(VLOOKUP('102 5.1.00'!AD86,'102 5.1.00'!$AM$4:$AO$55,2,FALSE))*IF('102 5.1.00'!BF$4="是",'102 5.1.00'!$AX$4,'102 5.1.00'!$AX$3)</f>
        <v>0</v>
      </c>
      <c r="W86" s="7">
        <f>(VLOOKUP('102 5.1.00'!AE86,'102 5.1.00'!$AM$4:$AO$55,2,FALSE))*IF('102 5.1.00'!BG$4="是",'102 5.1.00'!$AX$4,'102 5.1.00'!$AX$3)</f>
        <v>0</v>
      </c>
      <c r="X86" s="7">
        <f>(VLOOKUP('102 5.1.00'!AF86,'102 5.1.00'!$AM$4:$AO$55,2,FALSE))*IF('102 5.1.00'!BH$4="是",'102 5.1.00'!$AX$4,'102 5.1.00'!$AX$3)</f>
        <v>0</v>
      </c>
    </row>
    <row r="87" spans="1:24">
      <c r="A87" s="6">
        <f>(VLOOKUP('102 5.1.00'!I87,'102 5.1.00'!$AM$4:$AO$55,2,FALSE))*IF('102 5.1.00'!AK$4="是",'102 5.1.00'!$AX$4,'102 5.1.00'!$AX$3)</f>
        <v>180</v>
      </c>
      <c r="B87" s="6">
        <f>(VLOOKUP('102 5.1.00'!J87,'102 5.1.00'!$AM$4:$AO$55,2,FALSE))*IF('102 5.1.00'!AL$4="是",'102 5.1.00'!$AX$4,'102 5.1.00'!$AX$3)</f>
        <v>180</v>
      </c>
      <c r="C87" s="6">
        <f>(VLOOKUP('102 5.1.00'!K87,'102 5.1.00'!$AM$4:$AO$55,2,FALSE))*IF('102 5.1.00'!AM$4="是",'102 5.1.00'!$AX$4,'102 5.1.00'!$AX$3)</f>
        <v>180</v>
      </c>
      <c r="D87" s="6">
        <f>(VLOOKUP('102 5.1.00'!L87,'102 5.1.00'!$AM$4:$AO$55,2,FALSE))*IF('102 5.1.00'!AN$4="是",'102 5.1.00'!$AX$4,'102 5.1.00'!$AX$3)</f>
        <v>180</v>
      </c>
      <c r="E87" s="6">
        <f>(VLOOKUP('102 5.1.00'!M87,'102 5.1.00'!$AM$4:$AO$55,2,FALSE))*IF('102 5.1.00'!AO$4="是",'102 5.1.00'!$AX$4,'102 5.1.00'!$AX$3)</f>
        <v>180</v>
      </c>
      <c r="F87" s="6">
        <f>(VLOOKUP('102 5.1.00'!N87,'102 5.1.00'!$AM$4:$AO$55,2,FALSE))*IF('102 5.1.00'!AP$4="是",'102 5.1.00'!$AX$4,'102 5.1.00'!$AX$3)</f>
        <v>180</v>
      </c>
      <c r="G87" s="7">
        <f>(VLOOKUP('102 5.1.00'!O87,'102 5.1.00'!$AM$4:$AO$55,2,FALSE))*IF('102 5.1.00'!AQ$4="是",'102 5.1.00'!$AX$4,'102 5.1.00'!$AX$3)</f>
        <v>0</v>
      </c>
      <c r="H87" s="7">
        <f>(VLOOKUP('102 5.1.00'!P87,'102 5.1.00'!$AM$4:$AO$55,2,FALSE))*IF('102 5.1.00'!AR$4="是",'102 5.1.00'!$AX$4,'102 5.1.00'!$AX$3)</f>
        <v>0</v>
      </c>
      <c r="I87" s="6">
        <f>(VLOOKUP('102 5.1.00'!Q87,'102 5.1.00'!$AM$4:$AO$55,2,FALSE))*IF('102 5.1.00'!AS$4="是",'102 5.1.00'!$AX$4,'102 5.1.00'!$AX$3)</f>
        <v>170</v>
      </c>
      <c r="J87" s="6">
        <f>(VLOOKUP('102 5.1.00'!R87,'102 5.1.00'!$AM$4:$AO$55,2,FALSE))*IF('102 5.1.00'!AT$4="是",'102 5.1.00'!$AX$4,'102 5.1.00'!$AX$3)</f>
        <v>170</v>
      </c>
      <c r="K87" s="6">
        <f>(VLOOKUP('102 5.1.00'!S87,'102 5.1.00'!$AM$4:$AO$55,2,FALSE))*IF('102 5.1.00'!AU$4="是",'102 5.1.00'!$AX$4,'102 5.1.00'!$AX$3)</f>
        <v>160</v>
      </c>
      <c r="L87" s="6">
        <f>(VLOOKUP('102 5.1.00'!T87,'102 5.1.00'!$AM$4:$AO$55,2,FALSE))*IF('102 5.1.00'!AV$4="是",'102 5.1.00'!$AX$4,'102 5.1.00'!$AX$3)</f>
        <v>160</v>
      </c>
      <c r="M87" s="6">
        <f>(VLOOKUP('102 5.1.00'!U87,'102 5.1.00'!$AM$4:$AO$55,2,FALSE))*IF('102 5.1.00'!AW$4="是",'102 5.1.00'!$AX$4,'102 5.1.00'!$AX$3)</f>
        <v>50</v>
      </c>
      <c r="N87" s="6">
        <f>(VLOOKUP('102 5.1.00'!V87,'102 5.1.00'!$AM$4:$AO$55,2,FALSE))*IF('102 5.1.00'!AX$4="是",'102 5.1.00'!$AX$4,'102 5.1.00'!$AX$3)</f>
        <v>0</v>
      </c>
      <c r="O87" s="7">
        <f>(VLOOKUP('102 5.1.00'!W87,'102 5.1.00'!$AM$4:$AO$55,2,FALSE))*IF('102 5.1.00'!AY$4="是",'102 5.1.00'!$AX$4,'102 5.1.00'!$AX$3)</f>
        <v>0</v>
      </c>
      <c r="P87" s="7">
        <f>(VLOOKUP('102 5.1.00'!X87,'102 5.1.00'!$AM$4:$AO$55,2,FALSE))*IF('102 5.1.00'!AZ$4="是",'102 5.1.00'!$AX$4,'102 5.1.00'!$AX$3)</f>
        <v>0</v>
      </c>
      <c r="Q87" s="6">
        <f>(VLOOKUP('102 5.1.00'!Y87,'102 5.1.00'!$AM$4:$AO$55,2,FALSE))*IF('102 5.1.00'!BA$4="是",'102 5.1.00'!$AX$4,'102 5.1.00'!$AX$3)</f>
        <v>150</v>
      </c>
      <c r="R87" s="6">
        <f>(VLOOKUP('102 5.1.00'!Z87,'102 5.1.00'!$AM$4:$AO$55,2,FALSE))*IF('102 5.1.00'!BB$4="是",'102 5.1.00'!$AX$4,'102 5.1.00'!$AX$3)</f>
        <v>0</v>
      </c>
      <c r="S87" s="6">
        <f>(VLOOKUP('102 5.1.00'!AA87,'102 5.1.00'!$AM$4:$AO$55,2,FALSE))*IF('102 5.1.00'!BC$4="是",'102 5.1.00'!$AX$4,'102 5.1.00'!$AX$3)</f>
        <v>0</v>
      </c>
      <c r="T87" s="6">
        <f>(VLOOKUP('102 5.1.00'!AB87,'102 5.1.00'!$AM$4:$AO$55,2,FALSE))*IF('102 5.1.00'!BD$4="是",'102 5.1.00'!$AX$4,'102 5.1.00'!$AX$3)</f>
        <v>0</v>
      </c>
      <c r="U87" s="6">
        <f>(VLOOKUP('102 5.1.00'!AC87,'102 5.1.00'!$AM$4:$AO$55,2,FALSE))*IF('102 5.1.00'!BE$4="是",'102 5.1.00'!$AX$4,'102 5.1.00'!$AX$3)</f>
        <v>0</v>
      </c>
      <c r="V87" s="6">
        <f>(VLOOKUP('102 5.1.00'!AD87,'102 5.1.00'!$AM$4:$AO$55,2,FALSE))*IF('102 5.1.00'!BF$4="是",'102 5.1.00'!$AX$4,'102 5.1.00'!$AX$3)</f>
        <v>0</v>
      </c>
      <c r="W87" s="7">
        <f>(VLOOKUP('102 5.1.00'!AE87,'102 5.1.00'!$AM$4:$AO$55,2,FALSE))*IF('102 5.1.00'!BG$4="是",'102 5.1.00'!$AX$4,'102 5.1.00'!$AX$3)</f>
        <v>0</v>
      </c>
      <c r="X87" s="7">
        <f>(VLOOKUP('102 5.1.00'!AF87,'102 5.1.00'!$AM$4:$AO$55,2,FALSE))*IF('102 5.1.00'!BH$4="是",'102 5.1.00'!$AX$4,'102 5.1.00'!$AX$3)</f>
        <v>0</v>
      </c>
    </row>
    <row r="88" spans="1:24">
      <c r="A88" s="6">
        <f>(VLOOKUP('102 5.1.00'!I88,'102 5.1.00'!$AM$4:$AO$55,2,FALSE))*IF('102 5.1.00'!AK$4="是",'102 5.1.00'!$AX$4,'102 5.1.00'!$AX$3)</f>
        <v>180</v>
      </c>
      <c r="B88" s="6">
        <f>(VLOOKUP('102 5.1.00'!J88,'102 5.1.00'!$AM$4:$AO$55,2,FALSE))*IF('102 5.1.00'!AL$4="是",'102 5.1.00'!$AX$4,'102 5.1.00'!$AX$3)</f>
        <v>180</v>
      </c>
      <c r="C88" s="6">
        <f>(VLOOKUP('102 5.1.00'!K88,'102 5.1.00'!$AM$4:$AO$55,2,FALSE))*IF('102 5.1.00'!AM$4="是",'102 5.1.00'!$AX$4,'102 5.1.00'!$AX$3)</f>
        <v>180</v>
      </c>
      <c r="D88" s="6">
        <f>(VLOOKUP('102 5.1.00'!L88,'102 5.1.00'!$AM$4:$AO$55,2,FALSE))*IF('102 5.1.00'!AN$4="是",'102 5.1.00'!$AX$4,'102 5.1.00'!$AX$3)</f>
        <v>170</v>
      </c>
      <c r="E88" s="6">
        <f>(VLOOKUP('102 5.1.00'!M88,'102 5.1.00'!$AM$4:$AO$55,2,FALSE))*IF('102 5.1.00'!AO$4="是",'102 5.1.00'!$AX$4,'102 5.1.00'!$AX$3)</f>
        <v>170</v>
      </c>
      <c r="F88" s="6">
        <f>(VLOOKUP('102 5.1.00'!N88,'102 5.1.00'!$AM$4:$AO$55,2,FALSE))*IF('102 5.1.00'!AP$4="是",'102 5.1.00'!$AX$4,'102 5.1.00'!$AX$3)</f>
        <v>170</v>
      </c>
      <c r="G88" s="7">
        <f>(VLOOKUP('102 5.1.00'!O88,'102 5.1.00'!$AM$4:$AO$55,2,FALSE))*IF('102 5.1.00'!AQ$4="是",'102 5.1.00'!$AX$4,'102 5.1.00'!$AX$3)</f>
        <v>0</v>
      </c>
      <c r="H88" s="7">
        <f>(VLOOKUP('102 5.1.00'!P88,'102 5.1.00'!$AM$4:$AO$55,2,FALSE))*IF('102 5.1.00'!AR$4="是",'102 5.1.00'!$AX$4,'102 5.1.00'!$AX$3)</f>
        <v>0</v>
      </c>
      <c r="I88" s="6">
        <f>(VLOOKUP('102 5.1.00'!Q88,'102 5.1.00'!$AM$4:$AO$55,2,FALSE))*IF('102 5.1.00'!AS$4="是",'102 5.1.00'!$AX$4,'102 5.1.00'!$AX$3)</f>
        <v>160</v>
      </c>
      <c r="J88" s="6">
        <f>(VLOOKUP('102 5.1.00'!R88,'102 5.1.00'!$AM$4:$AO$55,2,FALSE))*IF('102 5.1.00'!AT$4="是",'102 5.1.00'!$AX$4,'102 5.1.00'!$AX$3)</f>
        <v>160</v>
      </c>
      <c r="K88" s="6">
        <f>(VLOOKUP('102 5.1.00'!S88,'102 5.1.00'!$AM$4:$AO$55,2,FALSE))*IF('102 5.1.00'!AU$4="是",'102 5.1.00'!$AX$4,'102 5.1.00'!$AX$3)</f>
        <v>160</v>
      </c>
      <c r="L88" s="6">
        <f>(VLOOKUP('102 5.1.00'!T88,'102 5.1.00'!$AM$4:$AO$55,2,FALSE))*IF('102 5.1.00'!AV$4="是",'102 5.1.00'!$AX$4,'102 5.1.00'!$AX$3)</f>
        <v>160</v>
      </c>
      <c r="M88" s="6">
        <f>(VLOOKUP('102 5.1.00'!U88,'102 5.1.00'!$AM$4:$AO$55,2,FALSE))*IF('102 5.1.00'!AW$4="是",'102 5.1.00'!$AX$4,'102 5.1.00'!$AX$3)</f>
        <v>160</v>
      </c>
      <c r="N88" s="6">
        <f>(VLOOKUP('102 5.1.00'!V88,'102 5.1.00'!$AM$4:$AO$55,2,FALSE))*IF('102 5.1.00'!AX$4="是",'102 5.1.00'!$AX$4,'102 5.1.00'!$AX$3)</f>
        <v>50</v>
      </c>
      <c r="O88" s="7">
        <f>(VLOOKUP('102 5.1.00'!W88,'102 5.1.00'!$AM$4:$AO$55,2,FALSE))*IF('102 5.1.00'!AY$4="是",'102 5.1.00'!$AX$4,'102 5.1.00'!$AX$3)</f>
        <v>0</v>
      </c>
      <c r="P88" s="7">
        <f>(VLOOKUP('102 5.1.00'!X88,'102 5.1.00'!$AM$4:$AO$55,2,FALSE))*IF('102 5.1.00'!AZ$4="是",'102 5.1.00'!$AX$4,'102 5.1.00'!$AX$3)</f>
        <v>0</v>
      </c>
      <c r="Q88" s="6">
        <f>(VLOOKUP('102 5.1.00'!Y88,'102 5.1.00'!$AM$4:$AO$55,2,FALSE))*IF('102 5.1.00'!BA$4="是",'102 5.1.00'!$AX$4,'102 5.1.00'!$AX$3)</f>
        <v>150</v>
      </c>
      <c r="R88" s="6">
        <f>(VLOOKUP('102 5.1.00'!Z88,'102 5.1.00'!$AM$4:$AO$55,2,FALSE))*IF('102 5.1.00'!BB$4="是",'102 5.1.00'!$AX$4,'102 5.1.00'!$AX$3)</f>
        <v>0</v>
      </c>
      <c r="S88" s="6">
        <f>(VLOOKUP('102 5.1.00'!AA88,'102 5.1.00'!$AM$4:$AO$55,2,FALSE))*IF('102 5.1.00'!BC$4="是",'102 5.1.00'!$AX$4,'102 5.1.00'!$AX$3)</f>
        <v>0</v>
      </c>
      <c r="T88" s="6">
        <f>(VLOOKUP('102 5.1.00'!AB88,'102 5.1.00'!$AM$4:$AO$55,2,FALSE))*IF('102 5.1.00'!BD$4="是",'102 5.1.00'!$AX$4,'102 5.1.00'!$AX$3)</f>
        <v>0</v>
      </c>
      <c r="U88" s="6">
        <f>(VLOOKUP('102 5.1.00'!AC88,'102 5.1.00'!$AM$4:$AO$55,2,FALSE))*IF('102 5.1.00'!BE$4="是",'102 5.1.00'!$AX$4,'102 5.1.00'!$AX$3)</f>
        <v>0</v>
      </c>
      <c r="V88" s="6">
        <f>(VLOOKUP('102 5.1.00'!AD88,'102 5.1.00'!$AM$4:$AO$55,2,FALSE))*IF('102 5.1.00'!BF$4="是",'102 5.1.00'!$AX$4,'102 5.1.00'!$AX$3)</f>
        <v>0</v>
      </c>
      <c r="W88" s="7">
        <f>(VLOOKUP('102 5.1.00'!AE88,'102 5.1.00'!$AM$4:$AO$55,2,FALSE))*IF('102 5.1.00'!BG$4="是",'102 5.1.00'!$AX$4,'102 5.1.00'!$AX$3)</f>
        <v>0</v>
      </c>
      <c r="X88" s="7">
        <f>(VLOOKUP('102 5.1.00'!AF88,'102 5.1.00'!$AM$4:$AO$55,2,FALSE))*IF('102 5.1.00'!BH$4="是",'102 5.1.00'!$AX$4,'102 5.1.00'!$AX$3)</f>
        <v>0</v>
      </c>
    </row>
    <row r="89" spans="1:24">
      <c r="A89" s="6">
        <f>(VLOOKUP('102 5.1.00'!I89,'102 5.1.00'!$AM$4:$AO$55,2,FALSE))*IF('102 5.1.00'!AK$4="是",'102 5.1.00'!$AX$4,'102 5.1.00'!$AX$3)</f>
        <v>150</v>
      </c>
      <c r="B89" s="6">
        <f>(VLOOKUP('102 5.1.00'!J89,'102 5.1.00'!$AM$4:$AO$55,2,FALSE))*IF('102 5.1.00'!AL$4="是",'102 5.1.00'!$AX$4,'102 5.1.00'!$AX$3)</f>
        <v>170</v>
      </c>
      <c r="C89" s="6">
        <f>(VLOOKUP('102 5.1.00'!K89,'102 5.1.00'!$AM$4:$AO$55,2,FALSE))*IF('102 5.1.00'!AM$4="是",'102 5.1.00'!$AX$4,'102 5.1.00'!$AX$3)</f>
        <v>170</v>
      </c>
      <c r="D89" s="6">
        <f>(VLOOKUP('102 5.1.00'!L89,'102 5.1.00'!$AM$4:$AO$55,2,FALSE))*IF('102 5.1.00'!AN$4="是",'102 5.1.00'!$AX$4,'102 5.1.00'!$AX$3)</f>
        <v>170</v>
      </c>
      <c r="E89" s="6">
        <f>(VLOOKUP('102 5.1.00'!M89,'102 5.1.00'!$AM$4:$AO$55,2,FALSE))*IF('102 5.1.00'!AO$4="是",'102 5.1.00'!$AX$4,'102 5.1.00'!$AX$3)</f>
        <v>170</v>
      </c>
      <c r="F89" s="6">
        <f>(VLOOKUP('102 5.1.00'!N89,'102 5.1.00'!$AM$4:$AO$55,2,FALSE))*IF('102 5.1.00'!AP$4="是",'102 5.1.00'!$AX$4,'102 5.1.00'!$AX$3)</f>
        <v>170</v>
      </c>
      <c r="G89" s="7">
        <f>(VLOOKUP('102 5.1.00'!O89,'102 5.1.00'!$AM$4:$AO$55,2,FALSE))*IF('102 5.1.00'!AQ$4="是",'102 5.1.00'!$AX$4,'102 5.1.00'!$AX$3)</f>
        <v>0</v>
      </c>
      <c r="H89" s="7">
        <f>(VLOOKUP('102 5.1.00'!P89,'102 5.1.00'!$AM$4:$AO$55,2,FALSE))*IF('102 5.1.00'!AR$4="是",'102 5.1.00'!$AX$4,'102 5.1.00'!$AX$3)</f>
        <v>0</v>
      </c>
      <c r="I89" s="6">
        <f>(VLOOKUP('102 5.1.00'!Q89,'102 5.1.00'!$AM$4:$AO$55,2,FALSE))*IF('102 5.1.00'!AS$4="是",'102 5.1.00'!$AX$4,'102 5.1.00'!$AX$3)</f>
        <v>160</v>
      </c>
      <c r="J89" s="6">
        <f>(VLOOKUP('102 5.1.00'!R89,'102 5.1.00'!$AM$4:$AO$55,2,FALSE))*IF('102 5.1.00'!AT$4="是",'102 5.1.00'!$AX$4,'102 5.1.00'!$AX$3)</f>
        <v>160</v>
      </c>
      <c r="K89" s="6">
        <f>(VLOOKUP('102 5.1.00'!S89,'102 5.1.00'!$AM$4:$AO$55,2,FALSE))*IF('102 5.1.00'!AU$4="是",'102 5.1.00'!$AX$4,'102 5.1.00'!$AX$3)</f>
        <v>160</v>
      </c>
      <c r="L89" s="6">
        <f>(VLOOKUP('102 5.1.00'!T89,'102 5.1.00'!$AM$4:$AO$55,2,FALSE))*IF('102 5.1.00'!AV$4="是",'102 5.1.00'!$AX$4,'102 5.1.00'!$AX$3)</f>
        <v>160</v>
      </c>
      <c r="M89" s="6">
        <f>(VLOOKUP('102 5.1.00'!U89,'102 5.1.00'!$AM$4:$AO$55,2,FALSE))*IF('102 5.1.00'!AW$4="是",'102 5.1.00'!$AX$4,'102 5.1.00'!$AX$3)</f>
        <v>160</v>
      </c>
      <c r="N89" s="6">
        <f>(VLOOKUP('102 5.1.00'!V89,'102 5.1.00'!$AM$4:$AO$55,2,FALSE))*IF('102 5.1.00'!AX$4="是",'102 5.1.00'!$AX$4,'102 5.1.00'!$AX$3)</f>
        <v>0</v>
      </c>
      <c r="O89" s="7">
        <f>(VLOOKUP('102 5.1.00'!W89,'102 5.1.00'!$AM$4:$AO$55,2,FALSE))*IF('102 5.1.00'!AY$4="是",'102 5.1.00'!$AX$4,'102 5.1.00'!$AX$3)</f>
        <v>0</v>
      </c>
      <c r="P89" s="7">
        <f>(VLOOKUP('102 5.1.00'!X89,'102 5.1.00'!$AM$4:$AO$55,2,FALSE))*IF('102 5.1.00'!AZ$4="是",'102 5.1.00'!$AX$4,'102 5.1.00'!$AX$3)</f>
        <v>0</v>
      </c>
      <c r="Q89" s="6">
        <f>(VLOOKUP('102 5.1.00'!Y89,'102 5.1.00'!$AM$4:$AO$55,2,FALSE))*IF('102 5.1.00'!BA$4="是",'102 5.1.00'!$AX$4,'102 5.1.00'!$AX$3)</f>
        <v>150</v>
      </c>
      <c r="R89" s="6">
        <f>(VLOOKUP('102 5.1.00'!Z89,'102 5.1.00'!$AM$4:$AO$55,2,FALSE))*IF('102 5.1.00'!BB$4="是",'102 5.1.00'!$AX$4,'102 5.1.00'!$AX$3)</f>
        <v>50</v>
      </c>
      <c r="S89" s="6">
        <f>(VLOOKUP('102 5.1.00'!AA89,'102 5.1.00'!$AM$4:$AO$55,2,FALSE))*IF('102 5.1.00'!BC$4="是",'102 5.1.00'!$AX$4,'102 5.1.00'!$AX$3)</f>
        <v>0</v>
      </c>
      <c r="T89" s="6">
        <f>(VLOOKUP('102 5.1.00'!AB89,'102 5.1.00'!$AM$4:$AO$55,2,FALSE))*IF('102 5.1.00'!BD$4="是",'102 5.1.00'!$AX$4,'102 5.1.00'!$AX$3)</f>
        <v>0</v>
      </c>
      <c r="U89" s="6">
        <f>(VLOOKUP('102 5.1.00'!AC89,'102 5.1.00'!$AM$4:$AO$55,2,FALSE))*IF('102 5.1.00'!BE$4="是",'102 5.1.00'!$AX$4,'102 5.1.00'!$AX$3)</f>
        <v>0</v>
      </c>
      <c r="V89" s="6">
        <f>(VLOOKUP('102 5.1.00'!AD89,'102 5.1.00'!$AM$4:$AO$55,2,FALSE))*IF('102 5.1.00'!BF$4="是",'102 5.1.00'!$AX$4,'102 5.1.00'!$AX$3)</f>
        <v>0</v>
      </c>
      <c r="W89" s="7">
        <f>(VLOOKUP('102 5.1.00'!AE89,'102 5.1.00'!$AM$4:$AO$55,2,FALSE))*IF('102 5.1.00'!BG$4="是",'102 5.1.00'!$AX$4,'102 5.1.00'!$AX$3)</f>
        <v>0</v>
      </c>
      <c r="X89" s="7">
        <f>(VLOOKUP('102 5.1.00'!AF89,'102 5.1.00'!$AM$4:$AO$55,2,FALSE))*IF('102 5.1.00'!BH$4="是",'102 5.1.00'!$AX$4,'102 5.1.00'!$AX$3)</f>
        <v>0</v>
      </c>
    </row>
    <row r="90" spans="1:24">
      <c r="A90" s="6">
        <f>(VLOOKUP('102 5.1.00'!I90,'102 5.1.00'!$AM$4:$AO$55,2,FALSE))*IF('102 5.1.00'!AK$4="是",'102 5.1.00'!$AX$4,'102 5.1.00'!$AX$3)</f>
        <v>170</v>
      </c>
      <c r="B90" s="6">
        <f>(VLOOKUP('102 5.1.00'!J90,'102 5.1.00'!$AM$4:$AO$55,2,FALSE))*IF('102 5.1.00'!AL$4="是",'102 5.1.00'!$AX$4,'102 5.1.00'!$AX$3)</f>
        <v>170</v>
      </c>
      <c r="C90" s="6">
        <f>(VLOOKUP('102 5.1.00'!K90,'102 5.1.00'!$AM$4:$AO$55,2,FALSE))*IF('102 5.1.00'!AM$4="是",'102 5.1.00'!$AX$4,'102 5.1.00'!$AX$3)</f>
        <v>170</v>
      </c>
      <c r="D90" s="6">
        <f>(VLOOKUP('102 5.1.00'!L90,'102 5.1.00'!$AM$4:$AO$55,2,FALSE))*IF('102 5.1.00'!AN$4="是",'102 5.1.00'!$AX$4,'102 5.1.00'!$AX$3)</f>
        <v>170</v>
      </c>
      <c r="E90" s="6">
        <f>(VLOOKUP('102 5.1.00'!M90,'102 5.1.00'!$AM$4:$AO$55,2,FALSE))*IF('102 5.1.00'!AO$4="是",'102 5.1.00'!$AX$4,'102 5.1.00'!$AX$3)</f>
        <v>170</v>
      </c>
      <c r="F90" s="6">
        <f>(VLOOKUP('102 5.1.00'!N90,'102 5.1.00'!$AM$4:$AO$55,2,FALSE))*IF('102 5.1.00'!AP$4="是",'102 5.1.00'!$AX$4,'102 5.1.00'!$AX$3)</f>
        <v>170</v>
      </c>
      <c r="G90" s="7">
        <f>(VLOOKUP('102 5.1.00'!O90,'102 5.1.00'!$AM$4:$AO$55,2,FALSE))*IF('102 5.1.00'!AQ$4="是",'102 5.1.00'!$AX$4,'102 5.1.00'!$AX$3)</f>
        <v>0</v>
      </c>
      <c r="H90" s="7">
        <f>(VLOOKUP('102 5.1.00'!P90,'102 5.1.00'!$AM$4:$AO$55,2,FALSE))*IF('102 5.1.00'!AR$4="是",'102 5.1.00'!$AX$4,'102 5.1.00'!$AX$3)</f>
        <v>0</v>
      </c>
      <c r="I90" s="6">
        <f>(VLOOKUP('102 5.1.00'!Q90,'102 5.1.00'!$AM$4:$AO$55,2,FALSE))*IF('102 5.1.00'!AS$4="是",'102 5.1.00'!$AX$4,'102 5.1.00'!$AX$3)</f>
        <v>160</v>
      </c>
      <c r="J90" s="6">
        <f>(VLOOKUP('102 5.1.00'!R90,'102 5.1.00'!$AM$4:$AO$55,2,FALSE))*IF('102 5.1.00'!AT$4="是",'102 5.1.00'!$AX$4,'102 5.1.00'!$AX$3)</f>
        <v>50</v>
      </c>
      <c r="K90" s="6">
        <f>(VLOOKUP('102 5.1.00'!S90,'102 5.1.00'!$AM$4:$AO$55,2,FALSE))*IF('102 5.1.00'!AU$4="是",'102 5.1.00'!$AX$4,'102 5.1.00'!$AX$3)</f>
        <v>160</v>
      </c>
      <c r="L90" s="6">
        <f>(VLOOKUP('102 5.1.00'!T90,'102 5.1.00'!$AM$4:$AO$55,2,FALSE))*IF('102 5.1.00'!AV$4="是",'102 5.1.00'!$AX$4,'102 5.1.00'!$AX$3)</f>
        <v>160</v>
      </c>
      <c r="M90" s="6">
        <f>(VLOOKUP('102 5.1.00'!U90,'102 5.1.00'!$AM$4:$AO$55,2,FALSE))*IF('102 5.1.00'!AW$4="是",'102 5.1.00'!$AX$4,'102 5.1.00'!$AX$3)</f>
        <v>150</v>
      </c>
      <c r="N90" s="6">
        <f>(VLOOKUP('102 5.1.00'!V90,'102 5.1.00'!$AM$4:$AO$55,2,FALSE))*IF('102 5.1.00'!AX$4="是",'102 5.1.00'!$AX$4,'102 5.1.00'!$AX$3)</f>
        <v>160</v>
      </c>
      <c r="O90" s="7">
        <f>(VLOOKUP('102 5.1.00'!W90,'102 5.1.00'!$AM$4:$AO$55,2,FALSE))*IF('102 5.1.00'!AY$4="是",'102 5.1.00'!$AX$4,'102 5.1.00'!$AX$3)</f>
        <v>0</v>
      </c>
      <c r="P90" s="7">
        <f>(VLOOKUP('102 5.1.00'!X90,'102 5.1.00'!$AM$4:$AO$55,2,FALSE))*IF('102 5.1.00'!AZ$4="是",'102 5.1.00'!$AX$4,'102 5.1.00'!$AX$3)</f>
        <v>0</v>
      </c>
      <c r="Q90" s="6">
        <f>(VLOOKUP('102 5.1.00'!Y90,'102 5.1.00'!$AM$4:$AO$55,2,FALSE))*IF('102 5.1.00'!BA$4="是",'102 5.1.00'!$AX$4,'102 5.1.00'!$AX$3)</f>
        <v>150</v>
      </c>
      <c r="R90" s="6">
        <f>(VLOOKUP('102 5.1.00'!Z90,'102 5.1.00'!$AM$4:$AO$55,2,FALSE))*IF('102 5.1.00'!BB$4="是",'102 5.1.00'!$AX$4,'102 5.1.00'!$AX$3)</f>
        <v>0</v>
      </c>
      <c r="S90" s="6">
        <f>(VLOOKUP('102 5.1.00'!AA90,'102 5.1.00'!$AM$4:$AO$55,2,FALSE))*IF('102 5.1.00'!BC$4="是",'102 5.1.00'!$AX$4,'102 5.1.00'!$AX$3)</f>
        <v>0</v>
      </c>
      <c r="T90" s="6">
        <f>(VLOOKUP('102 5.1.00'!AB90,'102 5.1.00'!$AM$4:$AO$55,2,FALSE))*IF('102 5.1.00'!BD$4="是",'102 5.1.00'!$AX$4,'102 5.1.00'!$AX$3)</f>
        <v>0</v>
      </c>
      <c r="U90" s="6">
        <f>(VLOOKUP('102 5.1.00'!AC90,'102 5.1.00'!$AM$4:$AO$55,2,FALSE))*IF('102 5.1.00'!BE$4="是",'102 5.1.00'!$AX$4,'102 5.1.00'!$AX$3)</f>
        <v>0</v>
      </c>
      <c r="V90" s="6">
        <f>(VLOOKUP('102 5.1.00'!AD90,'102 5.1.00'!$AM$4:$AO$55,2,FALSE))*IF('102 5.1.00'!BF$4="是",'102 5.1.00'!$AX$4,'102 5.1.00'!$AX$3)</f>
        <v>0</v>
      </c>
      <c r="W90" s="7">
        <f>(VLOOKUP('102 5.1.00'!AE90,'102 5.1.00'!$AM$4:$AO$55,2,FALSE))*IF('102 5.1.00'!BG$4="是",'102 5.1.00'!$AX$4,'102 5.1.00'!$AX$3)</f>
        <v>0</v>
      </c>
      <c r="X90" s="7">
        <f>(VLOOKUP('102 5.1.00'!AF90,'102 5.1.00'!$AM$4:$AO$55,2,FALSE))*IF('102 5.1.00'!BH$4="是",'102 5.1.00'!$AX$4,'102 5.1.00'!$AX$3)</f>
        <v>0</v>
      </c>
    </row>
    <row r="91" spans="1:24">
      <c r="A91" s="6">
        <f>(VLOOKUP('102 5.1.00'!I91,'102 5.1.00'!$AM$4:$AO$55,2,FALSE))*IF('102 5.1.00'!AK$4="是",'102 5.1.00'!$AX$4,'102 5.1.00'!$AX$3)</f>
        <v>170</v>
      </c>
      <c r="B91" s="6">
        <f>(VLOOKUP('102 5.1.00'!J91,'102 5.1.00'!$AM$4:$AO$55,2,FALSE))*IF('102 5.1.00'!AL$4="是",'102 5.1.00'!$AX$4,'102 5.1.00'!$AX$3)</f>
        <v>170</v>
      </c>
      <c r="C91" s="6">
        <f>(VLOOKUP('102 5.1.00'!K91,'102 5.1.00'!$AM$4:$AO$55,2,FALSE))*IF('102 5.1.00'!AM$4="是",'102 5.1.00'!$AX$4,'102 5.1.00'!$AX$3)</f>
        <v>170</v>
      </c>
      <c r="D91" s="6">
        <f>(VLOOKUP('102 5.1.00'!L91,'102 5.1.00'!$AM$4:$AO$55,2,FALSE))*IF('102 5.1.00'!AN$4="是",'102 5.1.00'!$AX$4,'102 5.1.00'!$AX$3)</f>
        <v>170</v>
      </c>
      <c r="E91" s="6">
        <f>(VLOOKUP('102 5.1.00'!M91,'102 5.1.00'!$AM$4:$AO$55,2,FALSE))*IF('102 5.1.00'!AO$4="是",'102 5.1.00'!$AX$4,'102 5.1.00'!$AX$3)</f>
        <v>170</v>
      </c>
      <c r="F91" s="6">
        <f>(VLOOKUP('102 5.1.00'!N91,'102 5.1.00'!$AM$4:$AO$55,2,FALSE))*IF('102 5.1.00'!AP$4="是",'102 5.1.00'!$AX$4,'102 5.1.00'!$AX$3)</f>
        <v>170</v>
      </c>
      <c r="G91" s="7">
        <f>(VLOOKUP('102 5.1.00'!O91,'102 5.1.00'!$AM$4:$AO$55,2,FALSE))*IF('102 5.1.00'!AQ$4="是",'102 5.1.00'!$AX$4,'102 5.1.00'!$AX$3)</f>
        <v>0</v>
      </c>
      <c r="H91" s="7">
        <f>(VLOOKUP('102 5.1.00'!P91,'102 5.1.00'!$AM$4:$AO$55,2,FALSE))*IF('102 5.1.00'!AR$4="是",'102 5.1.00'!$AX$4,'102 5.1.00'!$AX$3)</f>
        <v>0</v>
      </c>
      <c r="I91" s="6">
        <f>(VLOOKUP('102 5.1.00'!Q91,'102 5.1.00'!$AM$4:$AO$55,2,FALSE))*IF('102 5.1.00'!AS$4="是",'102 5.1.00'!$AX$4,'102 5.1.00'!$AX$3)</f>
        <v>160</v>
      </c>
      <c r="J91" s="6">
        <f>(VLOOKUP('102 5.1.00'!R91,'102 5.1.00'!$AM$4:$AO$55,2,FALSE))*IF('102 5.1.00'!AT$4="是",'102 5.1.00'!$AX$4,'102 5.1.00'!$AX$3)</f>
        <v>160</v>
      </c>
      <c r="K91" s="6">
        <f>(VLOOKUP('102 5.1.00'!S91,'102 5.1.00'!$AM$4:$AO$55,2,FALSE))*IF('102 5.1.00'!AU$4="是",'102 5.1.00'!$AX$4,'102 5.1.00'!$AX$3)</f>
        <v>50</v>
      </c>
      <c r="L91" s="6">
        <f>(VLOOKUP('102 5.1.00'!T91,'102 5.1.00'!$AM$4:$AO$55,2,FALSE))*IF('102 5.1.00'!AV$4="是",'102 5.1.00'!$AX$4,'102 5.1.00'!$AX$3)</f>
        <v>160</v>
      </c>
      <c r="M91" s="6">
        <f>(VLOOKUP('102 5.1.00'!U91,'102 5.1.00'!$AM$4:$AO$55,2,FALSE))*IF('102 5.1.00'!AW$4="是",'102 5.1.00'!$AX$4,'102 5.1.00'!$AX$3)</f>
        <v>0</v>
      </c>
      <c r="N91" s="6">
        <f>(VLOOKUP('102 5.1.00'!V91,'102 5.1.00'!$AM$4:$AO$55,2,FALSE))*IF('102 5.1.00'!AX$4="是",'102 5.1.00'!$AX$4,'102 5.1.00'!$AX$3)</f>
        <v>0</v>
      </c>
      <c r="O91" s="7">
        <f>(VLOOKUP('102 5.1.00'!W91,'102 5.1.00'!$AM$4:$AO$55,2,FALSE))*IF('102 5.1.00'!AY$4="是",'102 5.1.00'!$AX$4,'102 5.1.00'!$AX$3)</f>
        <v>0</v>
      </c>
      <c r="P91" s="7">
        <f>(VLOOKUP('102 5.1.00'!X91,'102 5.1.00'!$AM$4:$AO$55,2,FALSE))*IF('102 5.1.00'!AZ$4="是",'102 5.1.00'!$AX$4,'102 5.1.00'!$AX$3)</f>
        <v>0</v>
      </c>
      <c r="Q91" s="6">
        <f>(VLOOKUP('102 5.1.00'!Y91,'102 5.1.00'!$AM$4:$AO$55,2,FALSE))*IF('102 5.1.00'!BA$4="是",'102 5.1.00'!$AX$4,'102 5.1.00'!$AX$3)</f>
        <v>150</v>
      </c>
      <c r="R91" s="6">
        <f>(VLOOKUP('102 5.1.00'!Z91,'102 5.1.00'!$AM$4:$AO$55,2,FALSE))*IF('102 5.1.00'!BB$4="是",'102 5.1.00'!$AX$4,'102 5.1.00'!$AX$3)</f>
        <v>150</v>
      </c>
      <c r="S91" s="6">
        <f>(VLOOKUP('102 5.1.00'!AA91,'102 5.1.00'!$AM$4:$AO$55,2,FALSE))*IF('102 5.1.00'!BC$4="是",'102 5.1.00'!$AX$4,'102 5.1.00'!$AX$3)</f>
        <v>150</v>
      </c>
      <c r="T91" s="6">
        <f>(VLOOKUP('102 5.1.00'!AB91,'102 5.1.00'!$AM$4:$AO$55,2,FALSE))*IF('102 5.1.00'!BD$4="是",'102 5.1.00'!$AX$4,'102 5.1.00'!$AX$3)</f>
        <v>0</v>
      </c>
      <c r="U91" s="6">
        <f>(VLOOKUP('102 5.1.00'!AC91,'102 5.1.00'!$AM$4:$AO$55,2,FALSE))*IF('102 5.1.00'!BE$4="是",'102 5.1.00'!$AX$4,'102 5.1.00'!$AX$3)</f>
        <v>0</v>
      </c>
      <c r="V91" s="6">
        <f>(VLOOKUP('102 5.1.00'!AD91,'102 5.1.00'!$AM$4:$AO$55,2,FALSE))*IF('102 5.1.00'!BF$4="是",'102 5.1.00'!$AX$4,'102 5.1.00'!$AX$3)</f>
        <v>0</v>
      </c>
      <c r="W91" s="7">
        <f>(VLOOKUP('102 5.1.00'!AE91,'102 5.1.00'!$AM$4:$AO$55,2,FALSE))*IF('102 5.1.00'!BG$4="是",'102 5.1.00'!$AX$4,'102 5.1.00'!$AX$3)</f>
        <v>0</v>
      </c>
      <c r="X91" s="7">
        <f>(VLOOKUP('102 5.1.00'!AF91,'102 5.1.00'!$AM$4:$AO$55,2,FALSE))*IF('102 5.1.00'!BH$4="是",'102 5.1.00'!$AX$4,'102 5.1.00'!$AX$3)</f>
        <v>0</v>
      </c>
    </row>
    <row r="92" spans="1:24">
      <c r="A92" s="6">
        <f>(VLOOKUP('102 5.1.00'!I92,'102 5.1.00'!$AM$4:$AO$55,2,FALSE))*IF('102 5.1.00'!AK$4="是",'102 5.1.00'!$AX$4,'102 5.1.00'!$AX$3)</f>
        <v>170</v>
      </c>
      <c r="B92" s="6">
        <f>(VLOOKUP('102 5.1.00'!J92,'102 5.1.00'!$AM$4:$AO$55,2,FALSE))*IF('102 5.1.00'!AL$4="是",'102 5.1.00'!$AX$4,'102 5.1.00'!$AX$3)</f>
        <v>170</v>
      </c>
      <c r="C92" s="6">
        <f>(VLOOKUP('102 5.1.00'!K92,'102 5.1.00'!$AM$4:$AO$55,2,FALSE))*IF('102 5.1.00'!AM$4="是",'102 5.1.00'!$AX$4,'102 5.1.00'!$AX$3)</f>
        <v>170</v>
      </c>
      <c r="D92" s="6">
        <f>(VLOOKUP('102 5.1.00'!L92,'102 5.1.00'!$AM$4:$AO$55,2,FALSE))*IF('102 5.1.00'!AN$4="是",'102 5.1.00'!$AX$4,'102 5.1.00'!$AX$3)</f>
        <v>170</v>
      </c>
      <c r="E92" s="6">
        <f>(VLOOKUP('102 5.1.00'!M92,'102 5.1.00'!$AM$4:$AO$55,2,FALSE))*IF('102 5.1.00'!AO$4="是",'102 5.1.00'!$AX$4,'102 5.1.00'!$AX$3)</f>
        <v>170</v>
      </c>
      <c r="F92" s="6">
        <f>(VLOOKUP('102 5.1.00'!N92,'102 5.1.00'!$AM$4:$AO$55,2,FALSE))*IF('102 5.1.00'!AP$4="是",'102 5.1.00'!$AX$4,'102 5.1.00'!$AX$3)</f>
        <v>170</v>
      </c>
      <c r="G92" s="7">
        <f>(VLOOKUP('102 5.1.00'!O92,'102 5.1.00'!$AM$4:$AO$55,2,FALSE))*IF('102 5.1.00'!AQ$4="是",'102 5.1.00'!$AX$4,'102 5.1.00'!$AX$3)</f>
        <v>0</v>
      </c>
      <c r="H92" s="7">
        <f>(VLOOKUP('102 5.1.00'!P92,'102 5.1.00'!$AM$4:$AO$55,2,FALSE))*IF('102 5.1.00'!AR$4="是",'102 5.1.00'!$AX$4,'102 5.1.00'!$AX$3)</f>
        <v>0</v>
      </c>
      <c r="I92" s="6">
        <f>(VLOOKUP('102 5.1.00'!Q92,'102 5.1.00'!$AM$4:$AO$55,2,FALSE))*IF('102 5.1.00'!AS$4="是",'102 5.1.00'!$AX$4,'102 5.1.00'!$AX$3)</f>
        <v>160</v>
      </c>
      <c r="J92" s="6">
        <f>(VLOOKUP('102 5.1.00'!R92,'102 5.1.00'!$AM$4:$AO$55,2,FALSE))*IF('102 5.1.00'!AT$4="是",'102 5.1.00'!$AX$4,'102 5.1.00'!$AX$3)</f>
        <v>160</v>
      </c>
      <c r="K92" s="6">
        <f>(VLOOKUP('102 5.1.00'!S92,'102 5.1.00'!$AM$4:$AO$55,2,FALSE))*IF('102 5.1.00'!AU$4="是",'102 5.1.00'!$AX$4,'102 5.1.00'!$AX$3)</f>
        <v>160</v>
      </c>
      <c r="L92" s="6">
        <f>(VLOOKUP('102 5.1.00'!T92,'102 5.1.00'!$AM$4:$AO$55,2,FALSE))*IF('102 5.1.00'!AV$4="是",'102 5.1.00'!$AX$4,'102 5.1.00'!$AX$3)</f>
        <v>50</v>
      </c>
      <c r="M92" s="6">
        <f>(VLOOKUP('102 5.1.00'!U92,'102 5.1.00'!$AM$4:$AO$55,2,FALSE))*IF('102 5.1.00'!AW$4="是",'102 5.1.00'!$AX$4,'102 5.1.00'!$AX$3)</f>
        <v>160</v>
      </c>
      <c r="N92" s="6">
        <f>(VLOOKUP('102 5.1.00'!V92,'102 5.1.00'!$AM$4:$AO$55,2,FALSE))*IF('102 5.1.00'!AX$4="是",'102 5.1.00'!$AX$4,'102 5.1.00'!$AX$3)</f>
        <v>160</v>
      </c>
      <c r="O92" s="7">
        <f>(VLOOKUP('102 5.1.00'!W92,'102 5.1.00'!$AM$4:$AO$55,2,FALSE))*IF('102 5.1.00'!AY$4="是",'102 5.1.00'!$AX$4,'102 5.1.00'!$AX$3)</f>
        <v>0</v>
      </c>
      <c r="P92" s="7">
        <f>(VLOOKUP('102 5.1.00'!X92,'102 5.1.00'!$AM$4:$AO$55,2,FALSE))*IF('102 5.1.00'!AZ$4="是",'102 5.1.00'!$AX$4,'102 5.1.00'!$AX$3)</f>
        <v>0</v>
      </c>
      <c r="Q92" s="6">
        <f>(VLOOKUP('102 5.1.00'!Y92,'102 5.1.00'!$AM$4:$AO$55,2,FALSE))*IF('102 5.1.00'!BA$4="是",'102 5.1.00'!$AX$4,'102 5.1.00'!$AX$3)</f>
        <v>50</v>
      </c>
      <c r="R92" s="6">
        <f>(VLOOKUP('102 5.1.00'!Z92,'102 5.1.00'!$AM$4:$AO$55,2,FALSE))*IF('102 5.1.00'!BB$4="是",'102 5.1.00'!$AX$4,'102 5.1.00'!$AX$3)</f>
        <v>150</v>
      </c>
      <c r="S92" s="6">
        <f>(VLOOKUP('102 5.1.00'!AA92,'102 5.1.00'!$AM$4:$AO$55,2,FALSE))*IF('102 5.1.00'!BC$4="是",'102 5.1.00'!$AX$4,'102 5.1.00'!$AX$3)</f>
        <v>0</v>
      </c>
      <c r="T92" s="6">
        <f>(VLOOKUP('102 5.1.00'!AB92,'102 5.1.00'!$AM$4:$AO$55,2,FALSE))*IF('102 5.1.00'!BD$4="是",'102 5.1.00'!$AX$4,'102 5.1.00'!$AX$3)</f>
        <v>0</v>
      </c>
      <c r="U92" s="6">
        <f>(VLOOKUP('102 5.1.00'!AC92,'102 5.1.00'!$AM$4:$AO$55,2,FALSE))*IF('102 5.1.00'!BE$4="是",'102 5.1.00'!$AX$4,'102 5.1.00'!$AX$3)</f>
        <v>0</v>
      </c>
      <c r="V92" s="6">
        <f>(VLOOKUP('102 5.1.00'!AD92,'102 5.1.00'!$AM$4:$AO$55,2,FALSE))*IF('102 5.1.00'!BF$4="是",'102 5.1.00'!$AX$4,'102 5.1.00'!$AX$3)</f>
        <v>0</v>
      </c>
      <c r="W92" s="7">
        <f>(VLOOKUP('102 5.1.00'!AE92,'102 5.1.00'!$AM$4:$AO$55,2,FALSE))*IF('102 5.1.00'!BG$4="是",'102 5.1.00'!$AX$4,'102 5.1.00'!$AX$3)</f>
        <v>0</v>
      </c>
      <c r="X92" s="7">
        <f>(VLOOKUP('102 5.1.00'!AF92,'102 5.1.00'!$AM$4:$AO$55,2,FALSE))*IF('102 5.1.00'!BH$4="是",'102 5.1.00'!$AX$4,'102 5.1.00'!$AX$3)</f>
        <v>0</v>
      </c>
    </row>
    <row r="93" spans="1:24">
      <c r="A93" s="6">
        <f>(VLOOKUP('102 5.1.00'!I93,'102 5.1.00'!$AM$4:$AO$55,2,FALSE))*IF('102 5.1.00'!AK$4="是",'102 5.1.00'!$AX$4,'102 5.1.00'!$AX$3)</f>
        <v>170</v>
      </c>
      <c r="B93" s="6">
        <f>(VLOOKUP('102 5.1.00'!J93,'102 5.1.00'!$AM$4:$AO$55,2,FALSE))*IF('102 5.1.00'!AL$4="是",'102 5.1.00'!$AX$4,'102 5.1.00'!$AX$3)</f>
        <v>170</v>
      </c>
      <c r="C93" s="6">
        <f>(VLOOKUP('102 5.1.00'!K93,'102 5.1.00'!$AM$4:$AO$55,2,FALSE))*IF('102 5.1.00'!AM$4="是",'102 5.1.00'!$AX$4,'102 5.1.00'!$AX$3)</f>
        <v>170</v>
      </c>
      <c r="D93" s="6">
        <f>(VLOOKUP('102 5.1.00'!L93,'102 5.1.00'!$AM$4:$AO$55,2,FALSE))*IF('102 5.1.00'!AN$4="是",'102 5.1.00'!$AX$4,'102 5.1.00'!$AX$3)</f>
        <v>170</v>
      </c>
      <c r="E93" s="6">
        <f>(VLOOKUP('102 5.1.00'!M93,'102 5.1.00'!$AM$4:$AO$55,2,FALSE))*IF('102 5.1.00'!AO$4="是",'102 5.1.00'!$AX$4,'102 5.1.00'!$AX$3)</f>
        <v>170</v>
      </c>
      <c r="F93" s="6">
        <f>(VLOOKUP('102 5.1.00'!N93,'102 5.1.00'!$AM$4:$AO$55,2,FALSE))*IF('102 5.1.00'!AP$4="是",'102 5.1.00'!$AX$4,'102 5.1.00'!$AX$3)</f>
        <v>160</v>
      </c>
      <c r="G93" s="7">
        <f>(VLOOKUP('102 5.1.00'!O93,'102 5.1.00'!$AM$4:$AO$55,2,FALSE))*IF('102 5.1.00'!AQ$4="是",'102 5.1.00'!$AX$4,'102 5.1.00'!$AX$3)</f>
        <v>0</v>
      </c>
      <c r="H93" s="7">
        <f>(VLOOKUP('102 5.1.00'!P93,'102 5.1.00'!$AM$4:$AO$55,2,FALSE))*IF('102 5.1.00'!AR$4="是",'102 5.1.00'!$AX$4,'102 5.1.00'!$AX$3)</f>
        <v>0</v>
      </c>
      <c r="I93" s="6">
        <f>(VLOOKUP('102 5.1.00'!Q93,'102 5.1.00'!$AM$4:$AO$55,2,FALSE))*IF('102 5.1.00'!AS$4="是",'102 5.1.00'!$AX$4,'102 5.1.00'!$AX$3)</f>
        <v>160</v>
      </c>
      <c r="J93" s="6">
        <f>(VLOOKUP('102 5.1.00'!R93,'102 5.1.00'!$AM$4:$AO$55,2,FALSE))*IF('102 5.1.00'!AT$4="是",'102 5.1.00'!$AX$4,'102 5.1.00'!$AX$3)</f>
        <v>160</v>
      </c>
      <c r="K93" s="6">
        <f>(VLOOKUP('102 5.1.00'!S93,'102 5.1.00'!$AM$4:$AO$55,2,FALSE))*IF('102 5.1.00'!AU$4="是",'102 5.1.00'!$AX$4,'102 5.1.00'!$AX$3)</f>
        <v>160</v>
      </c>
      <c r="L93" s="6">
        <f>(VLOOKUP('102 5.1.00'!T93,'102 5.1.00'!$AM$4:$AO$55,2,FALSE))*IF('102 5.1.00'!AV$4="是",'102 5.1.00'!$AX$4,'102 5.1.00'!$AX$3)</f>
        <v>160</v>
      </c>
      <c r="M93" s="6">
        <f>(VLOOKUP('102 5.1.00'!U93,'102 5.1.00'!$AM$4:$AO$55,2,FALSE))*IF('102 5.1.00'!AW$4="是",'102 5.1.00'!$AX$4,'102 5.1.00'!$AX$3)</f>
        <v>50</v>
      </c>
      <c r="N93" s="6">
        <f>(VLOOKUP('102 5.1.00'!V93,'102 5.1.00'!$AM$4:$AO$55,2,FALSE))*IF('102 5.1.00'!AX$4="是",'102 5.1.00'!$AX$4,'102 5.1.00'!$AX$3)</f>
        <v>0</v>
      </c>
      <c r="O93" s="7">
        <f>(VLOOKUP('102 5.1.00'!W93,'102 5.1.00'!$AM$4:$AO$55,2,FALSE))*IF('102 5.1.00'!AY$4="是",'102 5.1.00'!$AX$4,'102 5.1.00'!$AX$3)</f>
        <v>0</v>
      </c>
      <c r="P93" s="7">
        <f>(VLOOKUP('102 5.1.00'!X93,'102 5.1.00'!$AM$4:$AO$55,2,FALSE))*IF('102 5.1.00'!AZ$4="是",'102 5.1.00'!$AX$4,'102 5.1.00'!$AX$3)</f>
        <v>0</v>
      </c>
      <c r="Q93" s="6">
        <f>(VLOOKUP('102 5.1.00'!Y93,'102 5.1.00'!$AM$4:$AO$55,2,FALSE))*IF('102 5.1.00'!BA$4="是",'102 5.1.00'!$AX$4,'102 5.1.00'!$AX$3)</f>
        <v>150</v>
      </c>
      <c r="R93" s="6">
        <f>(VLOOKUP('102 5.1.00'!Z93,'102 5.1.00'!$AM$4:$AO$55,2,FALSE))*IF('102 5.1.00'!BB$4="是",'102 5.1.00'!$AX$4,'102 5.1.00'!$AX$3)</f>
        <v>0</v>
      </c>
      <c r="S93" s="6">
        <f>(VLOOKUP('102 5.1.00'!AA93,'102 5.1.00'!$AM$4:$AO$55,2,FALSE))*IF('102 5.1.00'!BC$4="是",'102 5.1.00'!$AX$4,'102 5.1.00'!$AX$3)</f>
        <v>0</v>
      </c>
      <c r="T93" s="6">
        <f>(VLOOKUP('102 5.1.00'!AB93,'102 5.1.00'!$AM$4:$AO$55,2,FALSE))*IF('102 5.1.00'!BD$4="是",'102 5.1.00'!$AX$4,'102 5.1.00'!$AX$3)</f>
        <v>0</v>
      </c>
      <c r="U93" s="6">
        <f>(VLOOKUP('102 5.1.00'!AC93,'102 5.1.00'!$AM$4:$AO$55,2,FALSE))*IF('102 5.1.00'!BE$4="是",'102 5.1.00'!$AX$4,'102 5.1.00'!$AX$3)</f>
        <v>0</v>
      </c>
      <c r="V93" s="6">
        <f>(VLOOKUP('102 5.1.00'!AD93,'102 5.1.00'!$AM$4:$AO$55,2,FALSE))*IF('102 5.1.00'!BF$4="是",'102 5.1.00'!$AX$4,'102 5.1.00'!$AX$3)</f>
        <v>0</v>
      </c>
      <c r="W93" s="7">
        <f>(VLOOKUP('102 5.1.00'!AE93,'102 5.1.00'!$AM$4:$AO$55,2,FALSE))*IF('102 5.1.00'!BG$4="是",'102 5.1.00'!$AX$4,'102 5.1.00'!$AX$3)</f>
        <v>0</v>
      </c>
      <c r="X93" s="7">
        <f>(VLOOKUP('102 5.1.00'!AF93,'102 5.1.00'!$AM$4:$AO$55,2,FALSE))*IF('102 5.1.00'!BH$4="是",'102 5.1.00'!$AX$4,'102 5.1.00'!$AX$3)</f>
        <v>0</v>
      </c>
    </row>
    <row r="94" spans="1:24">
      <c r="A94" s="6">
        <f>(VLOOKUP('102 5.1.00'!I94,'102 5.1.00'!$AM$4:$AO$55,2,FALSE))*IF('102 5.1.00'!AK$4="是",'102 5.1.00'!$AX$4,'102 5.1.00'!$AX$3)</f>
        <v>50</v>
      </c>
      <c r="B94" s="6">
        <f>(VLOOKUP('102 5.1.00'!J94,'102 5.1.00'!$AM$4:$AO$55,2,FALSE))*IF('102 5.1.00'!AL$4="是",'102 5.1.00'!$AX$4,'102 5.1.00'!$AX$3)</f>
        <v>160</v>
      </c>
      <c r="C94" s="6">
        <f>(VLOOKUP('102 5.1.00'!K94,'102 5.1.00'!$AM$4:$AO$55,2,FALSE))*IF('102 5.1.00'!AM$4="是",'102 5.1.00'!$AX$4,'102 5.1.00'!$AX$3)</f>
        <v>-200</v>
      </c>
      <c r="D94" s="6">
        <f>(VLOOKUP('102 5.1.00'!L94,'102 5.1.00'!$AM$4:$AO$55,2,FALSE))*IF('102 5.1.00'!AN$4="是",'102 5.1.00'!$AX$4,'102 5.1.00'!$AX$3)</f>
        <v>160</v>
      </c>
      <c r="E94" s="6">
        <f>(VLOOKUP('102 5.1.00'!M94,'102 5.1.00'!$AM$4:$AO$55,2,FALSE))*IF('102 5.1.00'!AO$4="是",'102 5.1.00'!$AX$4,'102 5.1.00'!$AX$3)</f>
        <v>160</v>
      </c>
      <c r="F94" s="6">
        <f>(VLOOKUP('102 5.1.00'!N94,'102 5.1.00'!$AM$4:$AO$55,2,FALSE))*IF('102 5.1.00'!AP$4="是",'102 5.1.00'!$AX$4,'102 5.1.00'!$AX$3)</f>
        <v>160</v>
      </c>
      <c r="G94" s="7">
        <f>(VLOOKUP('102 5.1.00'!O94,'102 5.1.00'!$AM$4:$AO$55,2,FALSE))*IF('102 5.1.00'!AQ$4="是",'102 5.1.00'!$AX$4,'102 5.1.00'!$AX$3)</f>
        <v>160</v>
      </c>
      <c r="H94" s="7">
        <f>(VLOOKUP('102 5.1.00'!P94,'102 5.1.00'!$AM$4:$AO$55,2,FALSE))*IF('102 5.1.00'!AR$4="是",'102 5.1.00'!$AX$4,'102 5.1.00'!$AX$3)</f>
        <v>50</v>
      </c>
      <c r="I94" s="6">
        <f>(VLOOKUP('102 5.1.00'!Q94,'102 5.1.00'!$AM$4:$AO$55,2,FALSE))*IF('102 5.1.00'!AS$4="是",'102 5.1.00'!$AX$4,'102 5.1.00'!$AX$3)</f>
        <v>160</v>
      </c>
      <c r="J94" s="6">
        <f>(VLOOKUP('102 5.1.00'!R94,'102 5.1.00'!$AM$4:$AO$55,2,FALSE))*IF('102 5.1.00'!AT$4="是",'102 5.1.00'!$AX$4,'102 5.1.00'!$AX$3)</f>
        <v>160</v>
      </c>
      <c r="K94" s="6">
        <f>(VLOOKUP('102 5.1.00'!S94,'102 5.1.00'!$AM$4:$AO$55,2,FALSE))*IF('102 5.1.00'!AU$4="是",'102 5.1.00'!$AX$4,'102 5.1.00'!$AX$3)</f>
        <v>160</v>
      </c>
      <c r="L94" s="6">
        <f>(VLOOKUP('102 5.1.00'!T94,'102 5.1.00'!$AM$4:$AO$55,2,FALSE))*IF('102 5.1.00'!AV$4="是",'102 5.1.00'!$AX$4,'102 5.1.00'!$AX$3)</f>
        <v>160</v>
      </c>
      <c r="M94" s="6">
        <f>(VLOOKUP('102 5.1.00'!U94,'102 5.1.00'!$AM$4:$AO$55,2,FALSE))*IF('102 5.1.00'!AW$4="是",'102 5.1.00'!$AX$4,'102 5.1.00'!$AX$3)</f>
        <v>160</v>
      </c>
      <c r="N94" s="6">
        <f>(VLOOKUP('102 5.1.00'!V94,'102 5.1.00'!$AM$4:$AO$55,2,FALSE))*IF('102 5.1.00'!AX$4="是",'102 5.1.00'!$AX$4,'102 5.1.00'!$AX$3)</f>
        <v>50</v>
      </c>
      <c r="O94" s="7">
        <f>(VLOOKUP('102 5.1.00'!W94,'102 5.1.00'!$AM$4:$AO$55,2,FALSE))*IF('102 5.1.00'!AY$4="是",'102 5.1.00'!$AX$4,'102 5.1.00'!$AX$3)</f>
        <v>0</v>
      </c>
      <c r="P94" s="7">
        <f>(VLOOKUP('102 5.1.00'!X94,'102 5.1.00'!$AM$4:$AO$55,2,FALSE))*IF('102 5.1.00'!AZ$4="是",'102 5.1.00'!$AX$4,'102 5.1.00'!$AX$3)</f>
        <v>0</v>
      </c>
      <c r="Q94" s="6">
        <f>(VLOOKUP('102 5.1.00'!Y94,'102 5.1.00'!$AM$4:$AO$55,2,FALSE))*IF('102 5.1.00'!BA$4="是",'102 5.1.00'!$AX$4,'102 5.1.00'!$AX$3)</f>
        <v>150</v>
      </c>
      <c r="R94" s="6">
        <f>(VLOOKUP('102 5.1.00'!Z94,'102 5.1.00'!$AM$4:$AO$55,2,FALSE))*IF('102 5.1.00'!BB$4="是",'102 5.1.00'!$AX$4,'102 5.1.00'!$AX$3)</f>
        <v>150</v>
      </c>
      <c r="S94" s="6">
        <f>(VLOOKUP('102 5.1.00'!AA94,'102 5.1.00'!$AM$4:$AO$55,2,FALSE))*IF('102 5.1.00'!BC$4="是",'102 5.1.00'!$AX$4,'102 5.1.00'!$AX$3)</f>
        <v>50</v>
      </c>
      <c r="T94" s="6">
        <f>(VLOOKUP('102 5.1.00'!AB94,'102 5.1.00'!$AM$4:$AO$55,2,FALSE))*IF('102 5.1.00'!BD$4="是",'102 5.1.00'!$AX$4,'102 5.1.00'!$AX$3)</f>
        <v>150</v>
      </c>
      <c r="U94" s="6">
        <f>(VLOOKUP('102 5.1.00'!AC94,'102 5.1.00'!$AM$4:$AO$55,2,FALSE))*IF('102 5.1.00'!BE$4="是",'102 5.1.00'!$AX$4,'102 5.1.00'!$AX$3)</f>
        <v>50</v>
      </c>
      <c r="V94" s="6">
        <f>(VLOOKUP('102 5.1.00'!AD94,'102 5.1.00'!$AM$4:$AO$55,2,FALSE))*IF('102 5.1.00'!BF$4="是",'102 5.1.00'!$AX$4,'102 5.1.00'!$AX$3)</f>
        <v>0</v>
      </c>
      <c r="W94" s="7">
        <f>(VLOOKUP('102 5.1.00'!AE94,'102 5.1.00'!$AM$4:$AO$55,2,FALSE))*IF('102 5.1.00'!BG$4="是",'102 5.1.00'!$AX$4,'102 5.1.00'!$AX$3)</f>
        <v>0</v>
      </c>
      <c r="X94" s="7">
        <f>(VLOOKUP('102 5.1.00'!AF94,'102 5.1.00'!$AM$4:$AO$55,2,FALSE))*IF('102 5.1.00'!BH$4="是",'102 5.1.00'!$AX$4,'102 5.1.00'!$AX$3)</f>
        <v>0</v>
      </c>
    </row>
  </sheetData>
  <mergeCells count="6">
    <mergeCell ref="A2:B2"/>
    <mergeCell ref="E2:H2"/>
    <mergeCell ref="I2:J2"/>
    <mergeCell ref="M2:P2"/>
    <mergeCell ref="Q2:R2"/>
    <mergeCell ref="U2:X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4"/>
  <sheetViews>
    <sheetView workbookViewId="0">
      <selection activeCell="K11" sqref="K11"/>
    </sheetView>
  </sheetViews>
  <sheetFormatPr defaultColWidth="9" defaultRowHeight="14.25"/>
  <sheetData>
    <row r="1" ht="15"/>
    <row r="2" spans="1:24">
      <c r="A2" s="1" t="s">
        <v>66</v>
      </c>
      <c r="B2" s="2"/>
      <c r="C2" s="2" t="s">
        <v>5</v>
      </c>
      <c r="D2" s="2">
        <f>COUNTIF(A4:H94,"&lt;&gt;空")</f>
        <v>728</v>
      </c>
      <c r="E2" s="2" t="s">
        <v>6</v>
      </c>
      <c r="F2" s="2"/>
      <c r="G2" s="2"/>
      <c r="H2" s="3"/>
      <c r="I2" s="8" t="s">
        <v>7</v>
      </c>
      <c r="J2" s="9"/>
      <c r="K2" s="9" t="s">
        <v>5</v>
      </c>
      <c r="L2" s="9">
        <f>COUNTIF(I4:P94,"&lt;&gt;空")</f>
        <v>728</v>
      </c>
      <c r="M2" s="9" t="s">
        <v>6</v>
      </c>
      <c r="N2" s="9"/>
      <c r="O2" s="9"/>
      <c r="P2" s="10"/>
      <c r="Q2" s="13" t="s">
        <v>8</v>
      </c>
      <c r="R2" s="14"/>
      <c r="S2" s="15" t="s">
        <v>9</v>
      </c>
      <c r="T2" s="14">
        <f>COUNTIF(Q4:X94,"&lt;&gt;空")</f>
        <v>728</v>
      </c>
      <c r="U2" s="14" t="s">
        <v>6</v>
      </c>
      <c r="V2" s="14"/>
      <c r="W2" s="14"/>
      <c r="X2" s="16"/>
    </row>
    <row r="3" spans="1:24">
      <c r="A3" s="4">
        <v>1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  <c r="H3" s="5">
        <v>8</v>
      </c>
      <c r="I3" s="11">
        <v>1</v>
      </c>
      <c r="J3" s="12">
        <v>2</v>
      </c>
      <c r="K3" s="12">
        <v>3</v>
      </c>
      <c r="L3" s="12">
        <v>4</v>
      </c>
      <c r="M3" s="12">
        <v>5</v>
      </c>
      <c r="N3" s="12">
        <v>6</v>
      </c>
      <c r="O3" s="12">
        <v>7</v>
      </c>
      <c r="P3" s="12">
        <v>8</v>
      </c>
      <c r="Q3" s="17">
        <v>1</v>
      </c>
      <c r="R3" s="18">
        <v>2</v>
      </c>
      <c r="S3" s="18">
        <v>3</v>
      </c>
      <c r="T3" s="18">
        <v>4</v>
      </c>
      <c r="U3" s="18">
        <v>5</v>
      </c>
      <c r="V3" s="18">
        <v>6</v>
      </c>
      <c r="W3" s="18">
        <v>7</v>
      </c>
      <c r="X3" s="19">
        <v>8</v>
      </c>
    </row>
    <row r="4" spans="1:24">
      <c r="A4" s="6">
        <f>(VLOOKUP('102 5.1.00'!I4,'102 5.1.00'!$AM$4:$AO$55,3,FALSE))</f>
        <v>35</v>
      </c>
      <c r="B4" s="6">
        <f>(VLOOKUP('102 5.1.00'!J4,'102 5.1.00'!$AM$4:$AO$55,3,FALSE))</f>
        <v>35</v>
      </c>
      <c r="C4" s="6">
        <f>(VLOOKUP('102 5.1.00'!K4,'102 5.1.00'!$AM$4:$AO$55,3,FALSE))</f>
        <v>35</v>
      </c>
      <c r="D4" s="6">
        <f>(VLOOKUP('102 5.1.00'!L4,'102 5.1.00'!$AM$4:$AO$55,3,FALSE))</f>
        <v>35</v>
      </c>
      <c r="E4" s="6">
        <f>(VLOOKUP('102 5.1.00'!M4,'102 5.1.00'!$AM$4:$AO$55,3,FALSE))</f>
        <v>35</v>
      </c>
      <c r="F4" s="6">
        <f>(VLOOKUP('102 5.1.00'!N4,'102 5.1.00'!$AM$4:$AO$55,3,FALSE))</f>
        <v>0</v>
      </c>
      <c r="G4" s="7">
        <f>(VLOOKUP('102 5.1.00'!O4,'102 5.1.00'!$AM$4:$AO$55,3,FALSE))</f>
        <v>0</v>
      </c>
      <c r="H4" s="7">
        <f>(VLOOKUP('102 5.1.00'!P4,'102 5.1.00'!$AM$4:$AO$55,3,FALSE))</f>
        <v>0</v>
      </c>
      <c r="I4" s="6">
        <f>(VLOOKUP('102 5.1.00'!Q4,'102 5.1.00'!$AM$4:$AO$55,3,FALSE))</f>
        <v>0</v>
      </c>
      <c r="J4" s="6">
        <f>(VLOOKUP('102 5.1.00'!R4,'102 5.1.00'!$AM$4:$AO$55,3,FALSE))</f>
        <v>0</v>
      </c>
      <c r="K4" s="6">
        <f>(VLOOKUP('102 5.1.00'!S4,'102 5.1.00'!$AM$4:$AO$55,3,FALSE))</f>
        <v>0</v>
      </c>
      <c r="L4" s="6">
        <f>(VLOOKUP('102 5.1.00'!T4,'102 5.1.00'!$AM$4:$AO$55,3,FALSE))</f>
        <v>0</v>
      </c>
      <c r="M4" s="6">
        <f>(VLOOKUP('102 5.1.00'!U4,'102 5.1.00'!$AM$4:$AO$55,3,FALSE))</f>
        <v>0</v>
      </c>
      <c r="N4" s="6">
        <f>(VLOOKUP('102 5.1.00'!V4,'102 5.1.00'!$AM$4:$AO$55,3,FALSE))</f>
        <v>0</v>
      </c>
      <c r="O4" s="7">
        <f>(VLOOKUP('102 5.1.00'!W4,'102 5.1.00'!$AM$4:$AO$55,3,FALSE))</f>
        <v>0</v>
      </c>
      <c r="P4" s="7">
        <f>(VLOOKUP('102 5.1.00'!X4,'102 5.1.00'!$AM$4:$AO$55,3,FALSE))</f>
        <v>0</v>
      </c>
      <c r="Q4" s="6">
        <f>(VLOOKUP('102 5.1.00'!Y4,'102 5.1.00'!$AM$4:$AO$55,3,FALSE))</f>
        <v>0</v>
      </c>
      <c r="R4" s="6">
        <f>(VLOOKUP('102 5.1.00'!Z4,'102 5.1.00'!$AM$4:$AO$55,3,FALSE))</f>
        <v>0</v>
      </c>
      <c r="S4" s="6">
        <f>(VLOOKUP('102 5.1.00'!AA4,'102 5.1.00'!$AM$4:$AO$55,3,FALSE))</f>
        <v>0</v>
      </c>
      <c r="T4" s="6">
        <f>(VLOOKUP('102 5.1.00'!AB4,'102 5.1.00'!$AM$4:$AO$55,3,FALSE))</f>
        <v>0</v>
      </c>
      <c r="U4" s="6">
        <f>(VLOOKUP('102 5.1.00'!AC4,'102 5.1.00'!$AM$4:$AO$55,3,FALSE))</f>
        <v>0</v>
      </c>
      <c r="V4" s="6">
        <f>(VLOOKUP('102 5.1.00'!AD4,'102 5.1.00'!$AM$4:$AO$55,3,FALSE))</f>
        <v>0</v>
      </c>
      <c r="W4" s="7">
        <f>(VLOOKUP('102 5.1.00'!AE4,'102 5.1.00'!$AM$4:$AO$55,3,FALSE))</f>
        <v>0</v>
      </c>
      <c r="X4" s="7">
        <f>(VLOOKUP('102 5.1.00'!AF4,'102 5.1.00'!$AM$4:$AO$55,3,FALSE))</f>
        <v>0</v>
      </c>
    </row>
    <row r="5" spans="1:24">
      <c r="A5" s="6">
        <f>(VLOOKUP('102 5.1.00'!I5,'102 5.1.00'!$AM$4:$AO$55,3,FALSE))</f>
        <v>35</v>
      </c>
      <c r="B5" s="6">
        <f>(VLOOKUP('102 5.1.00'!J5,'102 5.1.00'!$AM$4:$AO$55,3,FALSE))</f>
        <v>35</v>
      </c>
      <c r="C5" s="6">
        <f>(VLOOKUP('102 5.1.00'!K5,'102 5.1.00'!$AM$4:$AO$55,3,FALSE))</f>
        <v>35</v>
      </c>
      <c r="D5" s="6">
        <f>(VLOOKUP('102 5.1.00'!L5,'102 5.1.00'!$AM$4:$AO$55,3,FALSE))</f>
        <v>35</v>
      </c>
      <c r="E5" s="6">
        <f>(VLOOKUP('102 5.1.00'!M5,'102 5.1.00'!$AM$4:$AO$55,3,FALSE))</f>
        <v>35</v>
      </c>
      <c r="F5" s="6">
        <f>(VLOOKUP('102 5.1.00'!N5,'102 5.1.00'!$AM$4:$AO$55,3,FALSE))</f>
        <v>0</v>
      </c>
      <c r="G5" s="7">
        <f>(VLOOKUP('102 5.1.00'!O5,'102 5.1.00'!$AM$4:$AO$55,3,FALSE))</f>
        <v>35</v>
      </c>
      <c r="H5" s="7">
        <f>(VLOOKUP('102 5.1.00'!P5,'102 5.1.00'!$AM$4:$AO$55,3,FALSE))</f>
        <v>35</v>
      </c>
      <c r="I5" s="6">
        <f>(VLOOKUP('102 5.1.00'!Q5,'102 5.1.00'!$AM$4:$AO$55,3,FALSE))</f>
        <v>35</v>
      </c>
      <c r="J5" s="6">
        <f>(VLOOKUP('102 5.1.00'!R5,'102 5.1.00'!$AM$4:$AO$55,3,FALSE))</f>
        <v>35</v>
      </c>
      <c r="K5" s="6">
        <f>(VLOOKUP('102 5.1.00'!S5,'102 5.1.00'!$AM$4:$AO$55,3,FALSE))</f>
        <v>40</v>
      </c>
      <c r="L5" s="6">
        <f>(VLOOKUP('102 5.1.00'!T5,'102 5.1.00'!$AM$4:$AO$55,3,FALSE))</f>
        <v>40</v>
      </c>
      <c r="M5" s="6">
        <f>(VLOOKUP('102 5.1.00'!U5,'102 5.1.00'!$AM$4:$AO$55,3,FALSE))</f>
        <v>0</v>
      </c>
      <c r="N5" s="6">
        <f>(VLOOKUP('102 5.1.00'!V5,'102 5.1.00'!$AM$4:$AO$55,3,FALSE))</f>
        <v>0</v>
      </c>
      <c r="O5" s="7">
        <f>(VLOOKUP('102 5.1.00'!W5,'102 5.1.00'!$AM$4:$AO$55,3,FALSE))</f>
        <v>0</v>
      </c>
      <c r="P5" s="7">
        <f>(VLOOKUP('102 5.1.00'!X5,'102 5.1.00'!$AM$4:$AO$55,3,FALSE))</f>
        <v>0</v>
      </c>
      <c r="Q5" s="6">
        <f>(VLOOKUP('102 5.1.00'!Y5,'102 5.1.00'!$AM$4:$AO$55,3,FALSE))</f>
        <v>0</v>
      </c>
      <c r="R5" s="6">
        <f>(VLOOKUP('102 5.1.00'!Z5,'102 5.1.00'!$AM$4:$AO$55,3,FALSE))</f>
        <v>0</v>
      </c>
      <c r="S5" s="6">
        <f>(VLOOKUP('102 5.1.00'!AA5,'102 5.1.00'!$AM$4:$AO$55,3,FALSE))</f>
        <v>0</v>
      </c>
      <c r="T5" s="6">
        <f>(VLOOKUP('102 5.1.00'!AB5,'102 5.1.00'!$AM$4:$AO$55,3,FALSE))</f>
        <v>0</v>
      </c>
      <c r="U5" s="6">
        <f>(VLOOKUP('102 5.1.00'!AC5,'102 5.1.00'!$AM$4:$AO$55,3,FALSE))</f>
        <v>0</v>
      </c>
      <c r="V5" s="6">
        <f>(VLOOKUP('102 5.1.00'!AD5,'102 5.1.00'!$AM$4:$AO$55,3,FALSE))</f>
        <v>0</v>
      </c>
      <c r="W5" s="7">
        <f>(VLOOKUP('102 5.1.00'!AE5,'102 5.1.00'!$AM$4:$AO$55,3,FALSE))</f>
        <v>0</v>
      </c>
      <c r="X5" s="7">
        <f>(VLOOKUP('102 5.1.00'!AF5,'102 5.1.00'!$AM$4:$AO$55,3,FALSE))</f>
        <v>0</v>
      </c>
    </row>
    <row r="6" spans="1:24">
      <c r="A6" s="6">
        <f>(VLOOKUP('102 5.1.00'!I6,'102 5.1.00'!$AM$4:$AO$55,3,FALSE))</f>
        <v>40</v>
      </c>
      <c r="B6" s="6">
        <f>(VLOOKUP('102 5.1.00'!J6,'102 5.1.00'!$AM$4:$AO$55,3,FALSE))</f>
        <v>40</v>
      </c>
      <c r="C6" s="6">
        <f>(VLOOKUP('102 5.1.00'!K6,'102 5.1.00'!$AM$4:$AO$55,3,FALSE))</f>
        <v>40</v>
      </c>
      <c r="D6" s="6">
        <f>(VLOOKUP('102 5.1.00'!L6,'102 5.1.00'!$AM$4:$AO$55,3,FALSE))</f>
        <v>40</v>
      </c>
      <c r="E6" s="6">
        <f>(VLOOKUP('102 5.1.00'!M6,'102 5.1.00'!$AM$4:$AO$55,3,FALSE))</f>
        <v>40</v>
      </c>
      <c r="F6" s="6">
        <f>(VLOOKUP('102 5.1.00'!N6,'102 5.1.00'!$AM$4:$AO$55,3,FALSE))</f>
        <v>40</v>
      </c>
      <c r="G6" s="7">
        <f>(VLOOKUP('102 5.1.00'!O6,'102 5.1.00'!$AM$4:$AO$55,3,FALSE))</f>
        <v>0</v>
      </c>
      <c r="H6" s="7">
        <f>(VLOOKUP('102 5.1.00'!P6,'102 5.1.00'!$AM$4:$AO$55,3,FALSE))</f>
        <v>0</v>
      </c>
      <c r="I6" s="6">
        <f>(VLOOKUP('102 5.1.00'!Q6,'102 5.1.00'!$AM$4:$AO$55,3,FALSE))</f>
        <v>40</v>
      </c>
      <c r="J6" s="6">
        <f>(VLOOKUP('102 5.1.00'!R6,'102 5.1.00'!$AM$4:$AO$55,3,FALSE))</f>
        <v>30</v>
      </c>
      <c r="K6" s="6">
        <f>(VLOOKUP('102 5.1.00'!S6,'102 5.1.00'!$AM$4:$AO$55,3,FALSE))</f>
        <v>40</v>
      </c>
      <c r="L6" s="6">
        <f>(VLOOKUP('102 5.1.00'!T6,'102 5.1.00'!$AM$4:$AO$55,3,FALSE))</f>
        <v>40</v>
      </c>
      <c r="M6" s="6">
        <f>(VLOOKUP('102 5.1.00'!U6,'102 5.1.00'!$AM$4:$AO$55,3,FALSE))</f>
        <v>0</v>
      </c>
      <c r="N6" s="6">
        <f>(VLOOKUP('102 5.1.00'!V6,'102 5.1.00'!$AM$4:$AO$55,3,FALSE))</f>
        <v>0</v>
      </c>
      <c r="O6" s="7">
        <f>(VLOOKUP('102 5.1.00'!W6,'102 5.1.00'!$AM$4:$AO$55,3,FALSE))</f>
        <v>0</v>
      </c>
      <c r="P6" s="7">
        <f>(VLOOKUP('102 5.1.00'!X6,'102 5.1.00'!$AM$4:$AO$55,3,FALSE))</f>
        <v>0</v>
      </c>
      <c r="Q6" s="6">
        <f>(VLOOKUP('102 5.1.00'!Y6,'102 5.1.00'!$AM$4:$AO$55,3,FALSE))</f>
        <v>0</v>
      </c>
      <c r="R6" s="6">
        <f>(VLOOKUP('102 5.1.00'!Z6,'102 5.1.00'!$AM$4:$AO$55,3,FALSE))</f>
        <v>0</v>
      </c>
      <c r="S6" s="6">
        <f>(VLOOKUP('102 5.1.00'!AA6,'102 5.1.00'!$AM$4:$AO$55,3,FALSE))</f>
        <v>0</v>
      </c>
      <c r="T6" s="6">
        <f>(VLOOKUP('102 5.1.00'!AB6,'102 5.1.00'!$AM$4:$AO$55,3,FALSE))</f>
        <v>0</v>
      </c>
      <c r="U6" s="6">
        <f>(VLOOKUP('102 5.1.00'!AC6,'102 5.1.00'!$AM$4:$AO$55,3,FALSE))</f>
        <v>0</v>
      </c>
      <c r="V6" s="6">
        <f>(VLOOKUP('102 5.1.00'!AD6,'102 5.1.00'!$AM$4:$AO$55,3,FALSE))</f>
        <v>0</v>
      </c>
      <c r="W6" s="7">
        <f>(VLOOKUP('102 5.1.00'!AE6,'102 5.1.00'!$AM$4:$AO$55,3,FALSE))</f>
        <v>0</v>
      </c>
      <c r="X6" s="7">
        <f>(VLOOKUP('102 5.1.00'!AF6,'102 5.1.00'!$AM$4:$AO$55,3,FALSE))</f>
        <v>0</v>
      </c>
    </row>
    <row r="7" spans="1:24">
      <c r="A7" s="6">
        <f>(VLOOKUP('102 5.1.00'!I7,'102 5.1.00'!$AM$4:$AO$55,3,FALSE))</f>
        <v>40</v>
      </c>
      <c r="B7" s="6">
        <f>(VLOOKUP('102 5.1.00'!J7,'102 5.1.00'!$AM$4:$AO$55,3,FALSE))</f>
        <v>45</v>
      </c>
      <c r="C7" s="6">
        <f>(VLOOKUP('102 5.1.00'!K7,'102 5.1.00'!$AM$4:$AO$55,3,FALSE))</f>
        <v>45</v>
      </c>
      <c r="D7" s="6">
        <f>(VLOOKUP('102 5.1.00'!L7,'102 5.1.00'!$AM$4:$AO$55,3,FALSE))</f>
        <v>45</v>
      </c>
      <c r="E7" s="6">
        <f>(VLOOKUP('102 5.1.00'!M7,'102 5.1.00'!$AM$4:$AO$55,3,FALSE))</f>
        <v>45</v>
      </c>
      <c r="F7" s="6">
        <f>(VLOOKUP('102 5.1.00'!N7,'102 5.1.00'!$AM$4:$AO$55,3,FALSE))</f>
        <v>45</v>
      </c>
      <c r="G7" s="7">
        <f>(VLOOKUP('102 5.1.00'!O7,'102 5.1.00'!$AM$4:$AO$55,3,FALSE))</f>
        <v>0</v>
      </c>
      <c r="H7" s="7">
        <f>(VLOOKUP('102 5.1.00'!P7,'102 5.1.00'!$AM$4:$AO$55,3,FALSE))</f>
        <v>0</v>
      </c>
      <c r="I7" s="6">
        <f>(VLOOKUP('102 5.1.00'!Q7,'102 5.1.00'!$AM$4:$AO$55,3,FALSE))</f>
        <v>40</v>
      </c>
      <c r="J7" s="6">
        <f>(VLOOKUP('102 5.1.00'!R7,'102 5.1.00'!$AM$4:$AO$55,3,FALSE))</f>
        <v>40</v>
      </c>
      <c r="K7" s="6">
        <f>(VLOOKUP('102 5.1.00'!S7,'102 5.1.00'!$AM$4:$AO$55,3,FALSE))</f>
        <v>45</v>
      </c>
      <c r="L7" s="6">
        <f>(VLOOKUP('102 5.1.00'!T7,'102 5.1.00'!$AM$4:$AO$55,3,FALSE))</f>
        <v>45</v>
      </c>
      <c r="M7" s="6">
        <f>(VLOOKUP('102 5.1.00'!U7,'102 5.1.00'!$AM$4:$AO$55,3,FALSE))</f>
        <v>45</v>
      </c>
      <c r="N7" s="6">
        <f>(VLOOKUP('102 5.1.00'!V7,'102 5.1.00'!$AM$4:$AO$55,3,FALSE))</f>
        <v>45</v>
      </c>
      <c r="O7" s="7">
        <f>(VLOOKUP('102 5.1.00'!W7,'102 5.1.00'!$AM$4:$AO$55,3,FALSE))</f>
        <v>0</v>
      </c>
      <c r="P7" s="7">
        <f>(VLOOKUP('102 5.1.00'!X7,'102 5.1.00'!$AM$4:$AO$55,3,FALSE))</f>
        <v>0</v>
      </c>
      <c r="Q7" s="6">
        <f>(VLOOKUP('102 5.1.00'!Y7,'102 5.1.00'!$AM$4:$AO$55,3,FALSE))</f>
        <v>0</v>
      </c>
      <c r="R7" s="6">
        <f>(VLOOKUP('102 5.1.00'!Z7,'102 5.1.00'!$AM$4:$AO$55,3,FALSE))</f>
        <v>0</v>
      </c>
      <c r="S7" s="6">
        <f>(VLOOKUP('102 5.1.00'!AA7,'102 5.1.00'!$AM$4:$AO$55,3,FALSE))</f>
        <v>0</v>
      </c>
      <c r="T7" s="6">
        <f>(VLOOKUP('102 5.1.00'!AB7,'102 5.1.00'!$AM$4:$AO$55,3,FALSE))</f>
        <v>0</v>
      </c>
      <c r="U7" s="6">
        <f>(VLOOKUP('102 5.1.00'!AC7,'102 5.1.00'!$AM$4:$AO$55,3,FALSE))</f>
        <v>0</v>
      </c>
      <c r="V7" s="6">
        <f>(VLOOKUP('102 5.1.00'!AD7,'102 5.1.00'!$AM$4:$AO$55,3,FALSE))</f>
        <v>0</v>
      </c>
      <c r="W7" s="7">
        <f>(VLOOKUP('102 5.1.00'!AE7,'102 5.1.00'!$AM$4:$AO$55,3,FALSE))</f>
        <v>0</v>
      </c>
      <c r="X7" s="7">
        <f>(VLOOKUP('102 5.1.00'!AF7,'102 5.1.00'!$AM$4:$AO$55,3,FALSE))</f>
        <v>0</v>
      </c>
    </row>
    <row r="8" spans="1:24">
      <c r="A8" s="6">
        <f>(VLOOKUP('102 5.1.00'!I8,'102 5.1.00'!$AM$4:$AO$55,3,FALSE))</f>
        <v>45</v>
      </c>
      <c r="B8" s="6">
        <f>(VLOOKUP('102 5.1.00'!J8,'102 5.1.00'!$AM$4:$AO$55,3,FALSE))</f>
        <v>30</v>
      </c>
      <c r="C8" s="6">
        <f>(VLOOKUP('102 5.1.00'!K8,'102 5.1.00'!$AM$4:$AO$55,3,FALSE))</f>
        <v>45</v>
      </c>
      <c r="D8" s="6">
        <f>(VLOOKUP('102 5.1.00'!L8,'102 5.1.00'!$AM$4:$AO$55,3,FALSE))</f>
        <v>45</v>
      </c>
      <c r="E8" s="6">
        <f>(VLOOKUP('102 5.1.00'!M8,'102 5.1.00'!$AM$4:$AO$55,3,FALSE))</f>
        <v>45</v>
      </c>
      <c r="F8" s="6">
        <f>(VLOOKUP('102 5.1.00'!N8,'102 5.1.00'!$AM$4:$AO$55,3,FALSE))</f>
        <v>45</v>
      </c>
      <c r="G8" s="7">
        <f>(VLOOKUP('102 5.1.00'!O8,'102 5.1.00'!$AM$4:$AO$55,3,FALSE))</f>
        <v>0</v>
      </c>
      <c r="H8" s="7">
        <f>(VLOOKUP('102 5.1.00'!P8,'102 5.1.00'!$AM$4:$AO$55,3,FALSE))</f>
        <v>0</v>
      </c>
      <c r="I8" s="6">
        <f>(VLOOKUP('102 5.1.00'!Q8,'102 5.1.00'!$AM$4:$AO$55,3,FALSE))</f>
        <v>45</v>
      </c>
      <c r="J8" s="6">
        <f>(VLOOKUP('102 5.1.00'!R8,'102 5.1.00'!$AM$4:$AO$55,3,FALSE))</f>
        <v>45</v>
      </c>
      <c r="K8" s="6">
        <f>(VLOOKUP('102 5.1.00'!S8,'102 5.1.00'!$AM$4:$AO$55,3,FALSE))</f>
        <v>45</v>
      </c>
      <c r="L8" s="6">
        <f>(VLOOKUP('102 5.1.00'!T8,'102 5.1.00'!$AM$4:$AO$55,3,FALSE))</f>
        <v>45</v>
      </c>
      <c r="M8" s="6">
        <f>(VLOOKUP('102 5.1.00'!U8,'102 5.1.00'!$AM$4:$AO$55,3,FALSE))</f>
        <v>30</v>
      </c>
      <c r="N8" s="6">
        <f>(VLOOKUP('102 5.1.00'!V8,'102 5.1.00'!$AM$4:$AO$55,3,FALSE))</f>
        <v>45</v>
      </c>
      <c r="O8" s="7">
        <f>(VLOOKUP('102 5.1.00'!W8,'102 5.1.00'!$AM$4:$AO$55,3,FALSE))</f>
        <v>0</v>
      </c>
      <c r="P8" s="7">
        <f>(VLOOKUP('102 5.1.00'!X8,'102 5.1.00'!$AM$4:$AO$55,3,FALSE))</f>
        <v>45</v>
      </c>
      <c r="Q8" s="6">
        <f>(VLOOKUP('102 5.1.00'!Y8,'102 5.1.00'!$AM$4:$AO$55,3,FALSE))</f>
        <v>0</v>
      </c>
      <c r="R8" s="6">
        <f>(VLOOKUP('102 5.1.00'!Z8,'102 5.1.00'!$AM$4:$AO$55,3,FALSE))</f>
        <v>0</v>
      </c>
      <c r="S8" s="6">
        <f>(VLOOKUP('102 5.1.00'!AA8,'102 5.1.00'!$AM$4:$AO$55,3,FALSE))</f>
        <v>0</v>
      </c>
      <c r="T8" s="6">
        <f>(VLOOKUP('102 5.1.00'!AB8,'102 5.1.00'!$AM$4:$AO$55,3,FALSE))</f>
        <v>0</v>
      </c>
      <c r="U8" s="6">
        <f>(VLOOKUP('102 5.1.00'!AC8,'102 5.1.00'!$AM$4:$AO$55,3,FALSE))</f>
        <v>0</v>
      </c>
      <c r="V8" s="6">
        <f>(VLOOKUP('102 5.1.00'!AD8,'102 5.1.00'!$AM$4:$AO$55,3,FALSE))</f>
        <v>0</v>
      </c>
      <c r="W8" s="7">
        <f>(VLOOKUP('102 5.1.00'!AE8,'102 5.1.00'!$AM$4:$AO$55,3,FALSE))</f>
        <v>0</v>
      </c>
      <c r="X8" s="7">
        <f>(VLOOKUP('102 5.1.00'!AF8,'102 5.1.00'!$AM$4:$AO$55,3,FALSE))</f>
        <v>0</v>
      </c>
    </row>
    <row r="9" spans="1:24">
      <c r="A9" s="6">
        <f>(VLOOKUP('102 5.1.00'!I9,'102 5.1.00'!$AM$4:$AO$55,3,FALSE))</f>
        <v>45</v>
      </c>
      <c r="B9" s="6">
        <f>(VLOOKUP('102 5.1.00'!J9,'102 5.1.00'!$AM$4:$AO$55,3,FALSE))</f>
        <v>50</v>
      </c>
      <c r="C9" s="6">
        <f>(VLOOKUP('102 5.1.00'!K9,'102 5.1.00'!$AM$4:$AO$55,3,FALSE))</f>
        <v>45</v>
      </c>
      <c r="D9" s="6">
        <f>(VLOOKUP('102 5.1.00'!L9,'102 5.1.00'!$AM$4:$AO$55,3,FALSE))</f>
        <v>45</v>
      </c>
      <c r="E9" s="6">
        <f>(VLOOKUP('102 5.1.00'!M9,'102 5.1.00'!$AM$4:$AO$55,3,FALSE))</f>
        <v>0</v>
      </c>
      <c r="F9" s="6">
        <f>(VLOOKUP('102 5.1.00'!N9,'102 5.1.00'!$AM$4:$AO$55,3,FALSE))</f>
        <v>45</v>
      </c>
      <c r="G9" s="7">
        <f>(VLOOKUP('102 5.1.00'!O9,'102 5.1.00'!$AM$4:$AO$55,3,FALSE))</f>
        <v>45</v>
      </c>
      <c r="H9" s="7">
        <f>(VLOOKUP('102 5.1.00'!P9,'102 5.1.00'!$AM$4:$AO$55,3,FALSE))</f>
        <v>0</v>
      </c>
      <c r="I9" s="6">
        <f>(VLOOKUP('102 5.1.00'!Q9,'102 5.1.00'!$AM$4:$AO$55,3,FALSE))</f>
        <v>45</v>
      </c>
      <c r="J9" s="6">
        <f>(VLOOKUP('102 5.1.00'!R9,'102 5.1.00'!$AM$4:$AO$55,3,FALSE))</f>
        <v>45</v>
      </c>
      <c r="K9" s="6">
        <f>(VLOOKUP('102 5.1.00'!S9,'102 5.1.00'!$AM$4:$AO$55,3,FALSE))</f>
        <v>45</v>
      </c>
      <c r="L9" s="6">
        <f>(VLOOKUP('102 5.1.00'!T9,'102 5.1.00'!$AM$4:$AO$55,3,FALSE))</f>
        <v>45</v>
      </c>
      <c r="M9" s="6">
        <f>(VLOOKUP('102 5.1.00'!U9,'102 5.1.00'!$AM$4:$AO$55,3,FALSE))</f>
        <v>45</v>
      </c>
      <c r="N9" s="6">
        <f>(VLOOKUP('102 5.1.00'!V9,'102 5.1.00'!$AM$4:$AO$55,3,FALSE))</f>
        <v>45</v>
      </c>
      <c r="O9" s="7">
        <f>(VLOOKUP('102 5.1.00'!W9,'102 5.1.00'!$AM$4:$AO$55,3,FALSE))</f>
        <v>0</v>
      </c>
      <c r="P9" s="7">
        <f>(VLOOKUP('102 5.1.00'!X9,'102 5.1.00'!$AM$4:$AO$55,3,FALSE))</f>
        <v>0</v>
      </c>
      <c r="Q9" s="6">
        <f>(VLOOKUP('102 5.1.00'!Y9,'102 5.1.00'!$AM$4:$AO$55,3,FALSE))</f>
        <v>0</v>
      </c>
      <c r="R9" s="6">
        <f>(VLOOKUP('102 5.1.00'!Z9,'102 5.1.00'!$AM$4:$AO$55,3,FALSE))</f>
        <v>0</v>
      </c>
      <c r="S9" s="6">
        <f>(VLOOKUP('102 5.1.00'!AA9,'102 5.1.00'!$AM$4:$AO$55,3,FALSE))</f>
        <v>0</v>
      </c>
      <c r="T9" s="6">
        <f>(VLOOKUP('102 5.1.00'!AB9,'102 5.1.00'!$AM$4:$AO$55,3,FALSE))</f>
        <v>0</v>
      </c>
      <c r="U9" s="6">
        <f>(VLOOKUP('102 5.1.00'!AC9,'102 5.1.00'!$AM$4:$AO$55,3,FALSE))</f>
        <v>0</v>
      </c>
      <c r="V9" s="6">
        <f>(VLOOKUP('102 5.1.00'!AD9,'102 5.1.00'!$AM$4:$AO$55,3,FALSE))</f>
        <v>0</v>
      </c>
      <c r="W9" s="7">
        <f>(VLOOKUP('102 5.1.00'!AE9,'102 5.1.00'!$AM$4:$AO$55,3,FALSE))</f>
        <v>0</v>
      </c>
      <c r="X9" s="7">
        <f>(VLOOKUP('102 5.1.00'!AF9,'102 5.1.00'!$AM$4:$AO$55,3,FALSE))</f>
        <v>0</v>
      </c>
    </row>
    <row r="10" spans="1:24">
      <c r="A10" s="6">
        <f>(VLOOKUP('102 5.1.00'!I10,'102 5.1.00'!$AM$4:$AO$55,3,FALSE))</f>
        <v>45</v>
      </c>
      <c r="B10" s="6">
        <f>(VLOOKUP('102 5.1.00'!J10,'102 5.1.00'!$AM$4:$AO$55,3,FALSE))</f>
        <v>45</v>
      </c>
      <c r="C10" s="6">
        <f>(VLOOKUP('102 5.1.00'!K10,'102 5.1.00'!$AM$4:$AO$55,3,FALSE))</f>
        <v>45</v>
      </c>
      <c r="D10" s="6">
        <f>(VLOOKUP('102 5.1.00'!L10,'102 5.1.00'!$AM$4:$AO$55,3,FALSE))</f>
        <v>45</v>
      </c>
      <c r="E10" s="6">
        <f>(VLOOKUP('102 5.1.00'!M10,'102 5.1.00'!$AM$4:$AO$55,3,FALSE))</f>
        <v>45</v>
      </c>
      <c r="F10" s="6">
        <f>(VLOOKUP('102 5.1.00'!N10,'102 5.1.00'!$AM$4:$AO$55,3,FALSE))</f>
        <v>30</v>
      </c>
      <c r="G10" s="7">
        <f>(VLOOKUP('102 5.1.00'!O10,'102 5.1.00'!$AM$4:$AO$55,3,FALSE))</f>
        <v>0</v>
      </c>
      <c r="H10" s="7">
        <f>(VLOOKUP('102 5.1.00'!P10,'102 5.1.00'!$AM$4:$AO$55,3,FALSE))</f>
        <v>0</v>
      </c>
      <c r="I10" s="6">
        <f>(VLOOKUP('102 5.1.00'!Q10,'102 5.1.00'!$AM$4:$AO$55,3,FALSE))</f>
        <v>45</v>
      </c>
      <c r="J10" s="6">
        <f>(VLOOKUP('102 5.1.00'!R10,'102 5.1.00'!$AM$4:$AO$55,3,FALSE))</f>
        <v>30</v>
      </c>
      <c r="K10" s="6">
        <f>(VLOOKUP('102 5.1.00'!S10,'102 5.1.00'!$AM$4:$AO$55,3,FALSE))</f>
        <v>45</v>
      </c>
      <c r="L10" s="6">
        <f>(VLOOKUP('102 5.1.00'!T10,'102 5.1.00'!$AM$4:$AO$55,3,FALSE))</f>
        <v>45</v>
      </c>
      <c r="M10" s="6">
        <f>(VLOOKUP('102 5.1.00'!U10,'102 5.1.00'!$AM$4:$AO$55,3,FALSE))</f>
        <v>45</v>
      </c>
      <c r="N10" s="6">
        <f>(VLOOKUP('102 5.1.00'!V10,'102 5.1.00'!$AM$4:$AO$55,3,FALSE))</f>
        <v>0</v>
      </c>
      <c r="O10" s="7">
        <f>(VLOOKUP('102 5.1.00'!W10,'102 5.1.00'!$AM$4:$AO$55,3,FALSE))</f>
        <v>0</v>
      </c>
      <c r="P10" s="7">
        <f>(VLOOKUP('102 5.1.00'!X10,'102 5.1.00'!$AM$4:$AO$55,3,FALSE))</f>
        <v>0</v>
      </c>
      <c r="Q10" s="6">
        <f>(VLOOKUP('102 5.1.00'!Y10,'102 5.1.00'!$AM$4:$AO$55,3,FALSE))</f>
        <v>0</v>
      </c>
      <c r="R10" s="6">
        <f>(VLOOKUP('102 5.1.00'!Z10,'102 5.1.00'!$AM$4:$AO$55,3,FALSE))</f>
        <v>0</v>
      </c>
      <c r="S10" s="6">
        <f>(VLOOKUP('102 5.1.00'!AA10,'102 5.1.00'!$AM$4:$AO$55,3,FALSE))</f>
        <v>0</v>
      </c>
      <c r="T10" s="6">
        <f>(VLOOKUP('102 5.1.00'!AB10,'102 5.1.00'!$AM$4:$AO$55,3,FALSE))</f>
        <v>0</v>
      </c>
      <c r="U10" s="6">
        <f>(VLOOKUP('102 5.1.00'!AC10,'102 5.1.00'!$AM$4:$AO$55,3,FALSE))</f>
        <v>0</v>
      </c>
      <c r="V10" s="6">
        <f>(VLOOKUP('102 5.1.00'!AD10,'102 5.1.00'!$AM$4:$AO$55,3,FALSE))</f>
        <v>0</v>
      </c>
      <c r="W10" s="7">
        <f>(VLOOKUP('102 5.1.00'!AE10,'102 5.1.00'!$AM$4:$AO$55,3,FALSE))</f>
        <v>0</v>
      </c>
      <c r="X10" s="7">
        <f>(VLOOKUP('102 5.1.00'!AF10,'102 5.1.00'!$AM$4:$AO$55,3,FALSE))</f>
        <v>0</v>
      </c>
    </row>
    <row r="11" spans="1:24">
      <c r="A11" s="6">
        <f>(VLOOKUP('102 5.1.00'!I11,'102 5.1.00'!$AM$4:$AO$55,3,FALSE))</f>
        <v>45</v>
      </c>
      <c r="B11" s="6">
        <f>(VLOOKUP('102 5.1.00'!J11,'102 5.1.00'!$AM$4:$AO$55,3,FALSE))</f>
        <v>45</v>
      </c>
      <c r="C11" s="6">
        <f>(VLOOKUP('102 5.1.00'!K11,'102 5.1.00'!$AM$4:$AO$55,3,FALSE))</f>
        <v>45</v>
      </c>
      <c r="D11" s="6">
        <f>(VLOOKUP('102 5.1.00'!L11,'102 5.1.00'!$AM$4:$AO$55,3,FALSE))</f>
        <v>200</v>
      </c>
      <c r="E11" s="6">
        <f>(VLOOKUP('102 5.1.00'!M11,'102 5.1.00'!$AM$4:$AO$55,3,FALSE))</f>
        <v>45</v>
      </c>
      <c r="F11" s="6">
        <f>(VLOOKUP('102 5.1.00'!N11,'102 5.1.00'!$AM$4:$AO$55,3,FALSE))</f>
        <v>45</v>
      </c>
      <c r="G11" s="7">
        <f>(VLOOKUP('102 5.1.00'!O11,'102 5.1.00'!$AM$4:$AO$55,3,FALSE))</f>
        <v>0</v>
      </c>
      <c r="H11" s="7">
        <f>(VLOOKUP('102 5.1.00'!P11,'102 5.1.00'!$AM$4:$AO$55,3,FALSE))</f>
        <v>0</v>
      </c>
      <c r="I11" s="6">
        <f>(VLOOKUP('102 5.1.00'!Q11,'102 5.1.00'!$AM$4:$AO$55,3,FALSE))</f>
        <v>45</v>
      </c>
      <c r="J11" s="6">
        <f>(VLOOKUP('102 5.1.00'!R11,'102 5.1.00'!$AM$4:$AO$55,3,FALSE))</f>
        <v>45</v>
      </c>
      <c r="K11" s="6">
        <f>(VLOOKUP('102 5.1.00'!S11,'102 5.1.00'!$AM$4:$AO$55,3,FALSE))</f>
        <v>30</v>
      </c>
      <c r="L11" s="6">
        <f>(VLOOKUP('102 5.1.00'!T11,'102 5.1.00'!$AM$4:$AO$55,3,FALSE))</f>
        <v>45</v>
      </c>
      <c r="M11" s="6">
        <f>(VLOOKUP('102 5.1.00'!U11,'102 5.1.00'!$AM$4:$AO$55,3,FALSE))</f>
        <v>45</v>
      </c>
      <c r="N11" s="6">
        <f>(VLOOKUP('102 5.1.00'!V11,'102 5.1.00'!$AM$4:$AO$55,3,FALSE))</f>
        <v>200</v>
      </c>
      <c r="O11" s="7">
        <f>(VLOOKUP('102 5.1.00'!W11,'102 5.1.00'!$AM$4:$AO$55,3,FALSE))</f>
        <v>0</v>
      </c>
      <c r="P11" s="7">
        <f>(VLOOKUP('102 5.1.00'!X11,'102 5.1.00'!$AM$4:$AO$55,3,FALSE))</f>
        <v>0</v>
      </c>
      <c r="Q11" s="6">
        <f>(VLOOKUP('102 5.1.00'!Y11,'102 5.1.00'!$AM$4:$AO$55,3,FALSE))</f>
        <v>0</v>
      </c>
      <c r="R11" s="6">
        <f>(VLOOKUP('102 5.1.00'!Z11,'102 5.1.00'!$AM$4:$AO$55,3,FALSE))</f>
        <v>0</v>
      </c>
      <c r="S11" s="6">
        <f>(VLOOKUP('102 5.1.00'!AA11,'102 5.1.00'!$AM$4:$AO$55,3,FALSE))</f>
        <v>0</v>
      </c>
      <c r="T11" s="6">
        <f>(VLOOKUP('102 5.1.00'!AB11,'102 5.1.00'!$AM$4:$AO$55,3,FALSE))</f>
        <v>0</v>
      </c>
      <c r="U11" s="6">
        <f>(VLOOKUP('102 5.1.00'!AC11,'102 5.1.00'!$AM$4:$AO$55,3,FALSE))</f>
        <v>0</v>
      </c>
      <c r="V11" s="6">
        <f>(VLOOKUP('102 5.1.00'!AD11,'102 5.1.00'!$AM$4:$AO$55,3,FALSE))</f>
        <v>0</v>
      </c>
      <c r="W11" s="7">
        <f>(VLOOKUP('102 5.1.00'!AE11,'102 5.1.00'!$AM$4:$AO$55,3,FALSE))</f>
        <v>0</v>
      </c>
      <c r="X11" s="7">
        <f>(VLOOKUP('102 5.1.00'!AF11,'102 5.1.00'!$AM$4:$AO$55,3,FALSE))</f>
        <v>0</v>
      </c>
    </row>
    <row r="12" spans="1:24">
      <c r="A12" s="6">
        <f>(VLOOKUP('102 5.1.00'!I12,'102 5.1.00'!$AM$4:$AO$55,3,FALSE))</f>
        <v>45</v>
      </c>
      <c r="B12" s="6">
        <f>(VLOOKUP('102 5.1.00'!J12,'102 5.1.00'!$AM$4:$AO$55,3,FALSE))</f>
        <v>45</v>
      </c>
      <c r="C12" s="6">
        <f>(VLOOKUP('102 5.1.00'!K12,'102 5.1.00'!$AM$4:$AO$55,3,FALSE))</f>
        <v>45</v>
      </c>
      <c r="D12" s="6">
        <f>(VLOOKUP('102 5.1.00'!L12,'102 5.1.00'!$AM$4:$AO$55,3,FALSE))</f>
        <v>45</v>
      </c>
      <c r="E12" s="6">
        <f>(VLOOKUP('102 5.1.00'!M12,'102 5.1.00'!$AM$4:$AO$55,3,FALSE))</f>
        <v>45</v>
      </c>
      <c r="F12" s="6">
        <f>(VLOOKUP('102 5.1.00'!N12,'102 5.1.00'!$AM$4:$AO$55,3,FALSE))</f>
        <v>45</v>
      </c>
      <c r="G12" s="7">
        <f>(VLOOKUP('102 5.1.00'!O12,'102 5.1.00'!$AM$4:$AO$55,3,FALSE))</f>
        <v>0</v>
      </c>
      <c r="H12" s="7">
        <f>(VLOOKUP('102 5.1.00'!P12,'102 5.1.00'!$AM$4:$AO$55,3,FALSE))</f>
        <v>0</v>
      </c>
      <c r="I12" s="6">
        <f>(VLOOKUP('102 5.1.00'!Q12,'102 5.1.00'!$AM$4:$AO$55,3,FALSE))</f>
        <v>45</v>
      </c>
      <c r="J12" s="6">
        <f>(VLOOKUP('102 5.1.00'!R12,'102 5.1.00'!$AM$4:$AO$55,3,FALSE))</f>
        <v>45</v>
      </c>
      <c r="K12" s="6">
        <f>(VLOOKUP('102 5.1.00'!S12,'102 5.1.00'!$AM$4:$AO$55,3,FALSE))</f>
        <v>45</v>
      </c>
      <c r="L12" s="6">
        <f>(VLOOKUP('102 5.1.00'!T12,'102 5.1.00'!$AM$4:$AO$55,3,FALSE))</f>
        <v>50</v>
      </c>
      <c r="M12" s="6">
        <f>(VLOOKUP('102 5.1.00'!U12,'102 5.1.00'!$AM$4:$AO$55,3,FALSE))</f>
        <v>50</v>
      </c>
      <c r="N12" s="6">
        <f>(VLOOKUP('102 5.1.00'!V12,'102 5.1.00'!$AM$4:$AO$55,3,FALSE))</f>
        <v>50</v>
      </c>
      <c r="O12" s="7">
        <f>(VLOOKUP('102 5.1.00'!W12,'102 5.1.00'!$AM$4:$AO$55,3,FALSE))</f>
        <v>0</v>
      </c>
      <c r="P12" s="7">
        <f>(VLOOKUP('102 5.1.00'!X12,'102 5.1.00'!$AM$4:$AO$55,3,FALSE))</f>
        <v>0</v>
      </c>
      <c r="Q12" s="6">
        <f>(VLOOKUP('102 5.1.00'!Y12,'102 5.1.00'!$AM$4:$AO$55,3,FALSE))</f>
        <v>0</v>
      </c>
      <c r="R12" s="6">
        <f>(VLOOKUP('102 5.1.00'!Z12,'102 5.1.00'!$AM$4:$AO$55,3,FALSE))</f>
        <v>0</v>
      </c>
      <c r="S12" s="6">
        <f>(VLOOKUP('102 5.1.00'!AA12,'102 5.1.00'!$AM$4:$AO$55,3,FALSE))</f>
        <v>0</v>
      </c>
      <c r="T12" s="6">
        <f>(VLOOKUP('102 5.1.00'!AB12,'102 5.1.00'!$AM$4:$AO$55,3,FALSE))</f>
        <v>0</v>
      </c>
      <c r="U12" s="6">
        <f>(VLOOKUP('102 5.1.00'!AC12,'102 5.1.00'!$AM$4:$AO$55,3,FALSE))</f>
        <v>0</v>
      </c>
      <c r="V12" s="6">
        <f>(VLOOKUP('102 5.1.00'!AD12,'102 5.1.00'!$AM$4:$AO$55,3,FALSE))</f>
        <v>0</v>
      </c>
      <c r="W12" s="7">
        <f>(VLOOKUP('102 5.1.00'!AE12,'102 5.1.00'!$AM$4:$AO$55,3,FALSE))</f>
        <v>0</v>
      </c>
      <c r="X12" s="7">
        <f>(VLOOKUP('102 5.1.00'!AF12,'102 5.1.00'!$AM$4:$AO$55,3,FALSE))</f>
        <v>0</v>
      </c>
    </row>
    <row r="13" spans="1:24">
      <c r="A13" s="6">
        <f>(VLOOKUP('102 5.1.00'!I13,'102 5.1.00'!$AM$4:$AO$55,3,FALSE))</f>
        <v>45</v>
      </c>
      <c r="B13" s="6">
        <f>(VLOOKUP('102 5.1.00'!J13,'102 5.1.00'!$AM$4:$AO$55,3,FALSE))</f>
        <v>45</v>
      </c>
      <c r="C13" s="6">
        <f>(VLOOKUP('102 5.1.00'!K13,'102 5.1.00'!$AM$4:$AO$55,3,FALSE))</f>
        <v>30</v>
      </c>
      <c r="D13" s="6">
        <f>(VLOOKUP('102 5.1.00'!L13,'102 5.1.00'!$AM$4:$AO$55,3,FALSE))</f>
        <v>45</v>
      </c>
      <c r="E13" s="6">
        <f>(VLOOKUP('102 5.1.00'!M13,'102 5.1.00'!$AM$4:$AO$55,3,FALSE))</f>
        <v>45</v>
      </c>
      <c r="F13" s="6">
        <f>(VLOOKUP('102 5.1.00'!N13,'102 5.1.00'!$AM$4:$AO$55,3,FALSE))</f>
        <v>40</v>
      </c>
      <c r="G13" s="7">
        <f>(VLOOKUP('102 5.1.00'!O13,'102 5.1.00'!$AM$4:$AO$55,3,FALSE))</f>
        <v>0</v>
      </c>
      <c r="H13" s="7">
        <f>(VLOOKUP('102 5.1.00'!P13,'102 5.1.00'!$AM$4:$AO$55,3,FALSE))</f>
        <v>0</v>
      </c>
      <c r="I13" s="6">
        <f>(VLOOKUP('102 5.1.00'!Q13,'102 5.1.00'!$AM$4:$AO$55,3,FALSE))</f>
        <v>50</v>
      </c>
      <c r="J13" s="6">
        <f>(VLOOKUP('102 5.1.00'!R13,'102 5.1.00'!$AM$4:$AO$55,3,FALSE))</f>
        <v>50</v>
      </c>
      <c r="K13" s="6">
        <f>(VLOOKUP('102 5.1.00'!S13,'102 5.1.00'!$AM$4:$AO$55,3,FALSE))</f>
        <v>50</v>
      </c>
      <c r="L13" s="6">
        <f>(VLOOKUP('102 5.1.00'!T13,'102 5.1.00'!$AM$4:$AO$55,3,FALSE))</f>
        <v>50</v>
      </c>
      <c r="M13" s="6">
        <f>(VLOOKUP('102 5.1.00'!U13,'102 5.1.00'!$AM$4:$AO$55,3,FALSE))</f>
        <v>50</v>
      </c>
      <c r="N13" s="6">
        <f>(VLOOKUP('102 5.1.00'!V13,'102 5.1.00'!$AM$4:$AO$55,3,FALSE))</f>
        <v>50</v>
      </c>
      <c r="O13" s="7">
        <f>(VLOOKUP('102 5.1.00'!W13,'102 5.1.00'!$AM$4:$AO$55,3,FALSE))</f>
        <v>0</v>
      </c>
      <c r="P13" s="7">
        <f>(VLOOKUP('102 5.1.00'!X13,'102 5.1.00'!$AM$4:$AO$55,3,FALSE))</f>
        <v>0</v>
      </c>
      <c r="Q13" s="6">
        <f>(VLOOKUP('102 5.1.00'!Y13,'102 5.1.00'!$AM$4:$AO$55,3,FALSE))</f>
        <v>0</v>
      </c>
      <c r="R13" s="6">
        <f>(VLOOKUP('102 5.1.00'!Z13,'102 5.1.00'!$AM$4:$AO$55,3,FALSE))</f>
        <v>0</v>
      </c>
      <c r="S13" s="6">
        <f>(VLOOKUP('102 5.1.00'!AA13,'102 5.1.00'!$AM$4:$AO$55,3,FALSE))</f>
        <v>0</v>
      </c>
      <c r="T13" s="6">
        <f>(VLOOKUP('102 5.1.00'!AB13,'102 5.1.00'!$AM$4:$AO$55,3,FALSE))</f>
        <v>0</v>
      </c>
      <c r="U13" s="6">
        <f>(VLOOKUP('102 5.1.00'!AC13,'102 5.1.00'!$AM$4:$AO$55,3,FALSE))</f>
        <v>0</v>
      </c>
      <c r="V13" s="6">
        <f>(VLOOKUP('102 5.1.00'!AD13,'102 5.1.00'!$AM$4:$AO$55,3,FALSE))</f>
        <v>0</v>
      </c>
      <c r="W13" s="7">
        <f>(VLOOKUP('102 5.1.00'!AE13,'102 5.1.00'!$AM$4:$AO$55,3,FALSE))</f>
        <v>0</v>
      </c>
      <c r="X13" s="7">
        <f>(VLOOKUP('102 5.1.00'!AF13,'102 5.1.00'!$AM$4:$AO$55,3,FALSE))</f>
        <v>0</v>
      </c>
    </row>
    <row r="14" spans="1:24">
      <c r="A14" s="6">
        <f>(VLOOKUP('102 5.1.00'!I14,'102 5.1.00'!$AM$4:$AO$55,3,FALSE))</f>
        <v>45</v>
      </c>
      <c r="B14" s="6">
        <f>(VLOOKUP('102 5.1.00'!J14,'102 5.1.00'!$AM$4:$AO$55,3,FALSE))</f>
        <v>45</v>
      </c>
      <c r="C14" s="6">
        <f>(VLOOKUP('102 5.1.00'!K14,'102 5.1.00'!$AM$4:$AO$55,3,FALSE))</f>
        <v>45</v>
      </c>
      <c r="D14" s="6">
        <f>(VLOOKUP('102 5.1.00'!L14,'102 5.1.00'!$AM$4:$AO$55,3,FALSE))</f>
        <v>45</v>
      </c>
      <c r="E14" s="6">
        <f>(VLOOKUP('102 5.1.00'!M14,'102 5.1.00'!$AM$4:$AO$55,3,FALSE))</f>
        <v>45</v>
      </c>
      <c r="F14" s="6">
        <f>(VLOOKUP('102 5.1.00'!N14,'102 5.1.00'!$AM$4:$AO$55,3,FALSE))</f>
        <v>45</v>
      </c>
      <c r="G14" s="7">
        <f>(VLOOKUP('102 5.1.00'!O14,'102 5.1.00'!$AM$4:$AO$55,3,FALSE))</f>
        <v>0</v>
      </c>
      <c r="H14" s="7">
        <f>(VLOOKUP('102 5.1.00'!P14,'102 5.1.00'!$AM$4:$AO$55,3,FALSE))</f>
        <v>0</v>
      </c>
      <c r="I14" s="6">
        <f>(VLOOKUP('102 5.1.00'!Q14,'102 5.1.00'!$AM$4:$AO$55,3,FALSE))</f>
        <v>30</v>
      </c>
      <c r="J14" s="6">
        <f>(VLOOKUP('102 5.1.00'!R14,'102 5.1.00'!$AM$4:$AO$55,3,FALSE))</f>
        <v>50</v>
      </c>
      <c r="K14" s="6">
        <f>(VLOOKUP('102 5.1.00'!S14,'102 5.1.00'!$AM$4:$AO$55,3,FALSE))</f>
        <v>50</v>
      </c>
      <c r="L14" s="6">
        <f>(VLOOKUP('102 5.1.00'!T14,'102 5.1.00'!$AM$4:$AO$55,3,FALSE))</f>
        <v>50</v>
      </c>
      <c r="M14" s="6">
        <f>(VLOOKUP('102 5.1.00'!U14,'102 5.1.00'!$AM$4:$AO$55,3,FALSE))</f>
        <v>50</v>
      </c>
      <c r="N14" s="6">
        <f>(VLOOKUP('102 5.1.00'!V14,'102 5.1.00'!$AM$4:$AO$55,3,FALSE))</f>
        <v>50</v>
      </c>
      <c r="O14" s="7">
        <f>(VLOOKUP('102 5.1.00'!W14,'102 5.1.00'!$AM$4:$AO$55,3,FALSE))</f>
        <v>0</v>
      </c>
      <c r="P14" s="7">
        <f>(VLOOKUP('102 5.1.00'!X14,'102 5.1.00'!$AM$4:$AO$55,3,FALSE))</f>
        <v>0</v>
      </c>
      <c r="Q14" s="6">
        <f>(VLOOKUP('102 5.1.00'!Y14,'102 5.1.00'!$AM$4:$AO$55,3,FALSE))</f>
        <v>0</v>
      </c>
      <c r="R14" s="6">
        <f>(VLOOKUP('102 5.1.00'!Z14,'102 5.1.00'!$AM$4:$AO$55,3,FALSE))</f>
        <v>0</v>
      </c>
      <c r="S14" s="6">
        <f>(VLOOKUP('102 5.1.00'!AA14,'102 5.1.00'!$AM$4:$AO$55,3,FALSE))</f>
        <v>0</v>
      </c>
      <c r="T14" s="6">
        <f>(VLOOKUP('102 5.1.00'!AB14,'102 5.1.00'!$AM$4:$AO$55,3,FALSE))</f>
        <v>0</v>
      </c>
      <c r="U14" s="6">
        <f>(VLOOKUP('102 5.1.00'!AC14,'102 5.1.00'!$AM$4:$AO$55,3,FALSE))</f>
        <v>0</v>
      </c>
      <c r="V14" s="6">
        <f>(VLOOKUP('102 5.1.00'!AD14,'102 5.1.00'!$AM$4:$AO$55,3,FALSE))</f>
        <v>0</v>
      </c>
      <c r="W14" s="7">
        <f>(VLOOKUP('102 5.1.00'!AE14,'102 5.1.00'!$AM$4:$AO$55,3,FALSE))</f>
        <v>0</v>
      </c>
      <c r="X14" s="7">
        <f>(VLOOKUP('102 5.1.00'!AF14,'102 5.1.00'!$AM$4:$AO$55,3,FALSE))</f>
        <v>0</v>
      </c>
    </row>
    <row r="15" spans="1:24">
      <c r="A15" s="6">
        <f>(VLOOKUP('102 5.1.00'!I15,'102 5.1.00'!$AM$4:$AO$55,3,FALSE))</f>
        <v>45</v>
      </c>
      <c r="B15" s="6">
        <f>(VLOOKUP('102 5.1.00'!J15,'102 5.1.00'!$AM$4:$AO$55,3,FALSE))</f>
        <v>45</v>
      </c>
      <c r="C15" s="6">
        <f>(VLOOKUP('102 5.1.00'!K15,'102 5.1.00'!$AM$4:$AO$55,3,FALSE))</f>
        <v>45</v>
      </c>
      <c r="D15" s="6">
        <f>(VLOOKUP('102 5.1.00'!L15,'102 5.1.00'!$AM$4:$AO$55,3,FALSE))</f>
        <v>45</v>
      </c>
      <c r="E15" s="6">
        <f>(VLOOKUP('102 5.1.00'!M15,'102 5.1.00'!$AM$4:$AO$55,3,FALSE))</f>
        <v>45</v>
      </c>
      <c r="F15" s="6">
        <f>(VLOOKUP('102 5.1.00'!N15,'102 5.1.00'!$AM$4:$AO$55,3,FALSE))</f>
        <v>45</v>
      </c>
      <c r="G15" s="7">
        <f>(VLOOKUP('102 5.1.00'!O15,'102 5.1.00'!$AM$4:$AO$55,3,FALSE))</f>
        <v>0</v>
      </c>
      <c r="H15" s="7">
        <f>(VLOOKUP('102 5.1.00'!P15,'102 5.1.00'!$AM$4:$AO$55,3,FALSE))</f>
        <v>0</v>
      </c>
      <c r="I15" s="6">
        <f>(VLOOKUP('102 5.1.00'!Q15,'102 5.1.00'!$AM$4:$AO$55,3,FALSE))</f>
        <v>50</v>
      </c>
      <c r="J15" s="6">
        <f>(VLOOKUP('102 5.1.00'!R15,'102 5.1.00'!$AM$4:$AO$55,3,FALSE))</f>
        <v>50</v>
      </c>
      <c r="K15" s="6">
        <f>(VLOOKUP('102 5.1.00'!S15,'102 5.1.00'!$AM$4:$AO$55,3,FALSE))</f>
        <v>50</v>
      </c>
      <c r="L15" s="6">
        <f>(VLOOKUP('102 5.1.00'!T15,'102 5.1.00'!$AM$4:$AO$55,3,FALSE))</f>
        <v>50</v>
      </c>
      <c r="M15" s="6">
        <f>(VLOOKUP('102 5.1.00'!U15,'102 5.1.00'!$AM$4:$AO$55,3,FALSE))</f>
        <v>50</v>
      </c>
      <c r="N15" s="6">
        <f>(VLOOKUP('102 5.1.00'!V15,'102 5.1.00'!$AM$4:$AO$55,3,FALSE))</f>
        <v>50</v>
      </c>
      <c r="O15" s="7">
        <f>(VLOOKUP('102 5.1.00'!W15,'102 5.1.00'!$AM$4:$AO$55,3,FALSE))</f>
        <v>0</v>
      </c>
      <c r="P15" s="7">
        <f>(VLOOKUP('102 5.1.00'!X15,'102 5.1.00'!$AM$4:$AO$55,3,FALSE))</f>
        <v>0</v>
      </c>
      <c r="Q15" s="6">
        <f>(VLOOKUP('102 5.1.00'!Y15,'102 5.1.00'!$AM$4:$AO$55,3,FALSE))</f>
        <v>0</v>
      </c>
      <c r="R15" s="6">
        <f>(VLOOKUP('102 5.1.00'!Z15,'102 5.1.00'!$AM$4:$AO$55,3,FALSE))</f>
        <v>0</v>
      </c>
      <c r="S15" s="6">
        <f>(VLOOKUP('102 5.1.00'!AA15,'102 5.1.00'!$AM$4:$AO$55,3,FALSE))</f>
        <v>0</v>
      </c>
      <c r="T15" s="6">
        <f>(VLOOKUP('102 5.1.00'!AB15,'102 5.1.00'!$AM$4:$AO$55,3,FALSE))</f>
        <v>0</v>
      </c>
      <c r="U15" s="6">
        <f>(VLOOKUP('102 5.1.00'!AC15,'102 5.1.00'!$AM$4:$AO$55,3,FALSE))</f>
        <v>0</v>
      </c>
      <c r="V15" s="6">
        <f>(VLOOKUP('102 5.1.00'!AD15,'102 5.1.00'!$AM$4:$AO$55,3,FALSE))</f>
        <v>0</v>
      </c>
      <c r="W15" s="7">
        <f>(VLOOKUP('102 5.1.00'!AE15,'102 5.1.00'!$AM$4:$AO$55,3,FALSE))</f>
        <v>0</v>
      </c>
      <c r="X15" s="7">
        <f>(VLOOKUP('102 5.1.00'!AF15,'102 5.1.00'!$AM$4:$AO$55,3,FALSE))</f>
        <v>0</v>
      </c>
    </row>
    <row r="16" spans="1:24">
      <c r="A16" s="6">
        <f>(VLOOKUP('102 5.1.00'!I16,'102 5.1.00'!$AM$4:$AO$55,3,FALSE))</f>
        <v>45</v>
      </c>
      <c r="B16" s="6">
        <f>(VLOOKUP('102 5.1.00'!J16,'102 5.1.00'!$AM$4:$AO$55,3,FALSE))</f>
        <v>45</v>
      </c>
      <c r="C16" s="6">
        <f>(VLOOKUP('102 5.1.00'!K16,'102 5.1.00'!$AM$4:$AO$55,3,FALSE))</f>
        <v>45</v>
      </c>
      <c r="D16" s="6">
        <f>(VLOOKUP('102 5.1.00'!L16,'102 5.1.00'!$AM$4:$AO$55,3,FALSE))</f>
        <v>45</v>
      </c>
      <c r="E16" s="6">
        <f>(VLOOKUP('102 5.1.00'!M16,'102 5.1.00'!$AM$4:$AO$55,3,FALSE))</f>
        <v>30</v>
      </c>
      <c r="F16" s="6">
        <f>(VLOOKUP('102 5.1.00'!N16,'102 5.1.00'!$AM$4:$AO$55,3,FALSE))</f>
        <v>45</v>
      </c>
      <c r="G16" s="7">
        <f>(VLOOKUP('102 5.1.00'!O16,'102 5.1.00'!$AM$4:$AO$55,3,FALSE))</f>
        <v>0</v>
      </c>
      <c r="H16" s="7">
        <f>(VLOOKUP('102 5.1.00'!P16,'102 5.1.00'!$AM$4:$AO$55,3,FALSE))</f>
        <v>0</v>
      </c>
      <c r="I16" s="6">
        <f>(VLOOKUP('102 5.1.00'!Q16,'102 5.1.00'!$AM$4:$AO$55,3,FALSE))</f>
        <v>50</v>
      </c>
      <c r="J16" s="6">
        <f>(VLOOKUP('102 5.1.00'!R16,'102 5.1.00'!$AM$4:$AO$55,3,FALSE))</f>
        <v>50</v>
      </c>
      <c r="K16" s="6">
        <f>(VLOOKUP('102 5.1.00'!S16,'102 5.1.00'!$AM$4:$AO$55,3,FALSE))</f>
        <v>50</v>
      </c>
      <c r="L16" s="6">
        <f>(VLOOKUP('102 5.1.00'!T16,'102 5.1.00'!$AM$4:$AO$55,3,FALSE))</f>
        <v>50</v>
      </c>
      <c r="M16" s="6">
        <f>(VLOOKUP('102 5.1.00'!U16,'102 5.1.00'!$AM$4:$AO$55,3,FALSE))</f>
        <v>50</v>
      </c>
      <c r="N16" s="6">
        <f>(VLOOKUP('102 5.1.00'!V16,'102 5.1.00'!$AM$4:$AO$55,3,FALSE))</f>
        <v>50</v>
      </c>
      <c r="O16" s="7">
        <f>(VLOOKUP('102 5.1.00'!W16,'102 5.1.00'!$AM$4:$AO$55,3,FALSE))</f>
        <v>0</v>
      </c>
      <c r="P16" s="7">
        <f>(VLOOKUP('102 5.1.00'!X16,'102 5.1.00'!$AM$4:$AO$55,3,FALSE))</f>
        <v>0</v>
      </c>
      <c r="Q16" s="6">
        <f>(VLOOKUP('102 5.1.00'!Y16,'102 5.1.00'!$AM$4:$AO$55,3,FALSE))</f>
        <v>0</v>
      </c>
      <c r="R16" s="6">
        <f>(VLOOKUP('102 5.1.00'!Z16,'102 5.1.00'!$AM$4:$AO$55,3,FALSE))</f>
        <v>0</v>
      </c>
      <c r="S16" s="6">
        <f>(VLOOKUP('102 5.1.00'!AA16,'102 5.1.00'!$AM$4:$AO$55,3,FALSE))</f>
        <v>0</v>
      </c>
      <c r="T16" s="6">
        <f>(VLOOKUP('102 5.1.00'!AB16,'102 5.1.00'!$AM$4:$AO$55,3,FALSE))</f>
        <v>0</v>
      </c>
      <c r="U16" s="6">
        <f>(VLOOKUP('102 5.1.00'!AC16,'102 5.1.00'!$AM$4:$AO$55,3,FALSE))</f>
        <v>0</v>
      </c>
      <c r="V16" s="6">
        <f>(VLOOKUP('102 5.1.00'!AD16,'102 5.1.00'!$AM$4:$AO$55,3,FALSE))</f>
        <v>0</v>
      </c>
      <c r="W16" s="7">
        <f>(VLOOKUP('102 5.1.00'!AE16,'102 5.1.00'!$AM$4:$AO$55,3,FALSE))</f>
        <v>0</v>
      </c>
      <c r="X16" s="7">
        <f>(VLOOKUP('102 5.1.00'!AF16,'102 5.1.00'!$AM$4:$AO$55,3,FALSE))</f>
        <v>0</v>
      </c>
    </row>
    <row r="17" spans="1:24">
      <c r="A17" s="6">
        <f>(VLOOKUP('102 5.1.00'!I17,'102 5.1.00'!$AM$4:$AO$55,3,FALSE))</f>
        <v>45</v>
      </c>
      <c r="B17" s="6">
        <f>(VLOOKUP('102 5.1.00'!J17,'102 5.1.00'!$AM$4:$AO$55,3,FALSE))</f>
        <v>45</v>
      </c>
      <c r="C17" s="6">
        <f>(VLOOKUP('102 5.1.00'!K17,'102 5.1.00'!$AM$4:$AO$55,3,FALSE))</f>
        <v>45</v>
      </c>
      <c r="D17" s="6">
        <f>(VLOOKUP('102 5.1.00'!L17,'102 5.1.00'!$AM$4:$AO$55,3,FALSE))</f>
        <v>45</v>
      </c>
      <c r="E17" s="6">
        <f>(VLOOKUP('102 5.1.00'!M17,'102 5.1.00'!$AM$4:$AO$55,3,FALSE))</f>
        <v>45</v>
      </c>
      <c r="F17" s="6">
        <f>(VLOOKUP('102 5.1.00'!N17,'102 5.1.00'!$AM$4:$AO$55,3,FALSE))</f>
        <v>45</v>
      </c>
      <c r="G17" s="7">
        <f>(VLOOKUP('102 5.1.00'!O17,'102 5.1.00'!$AM$4:$AO$55,3,FALSE))</f>
        <v>0</v>
      </c>
      <c r="H17" s="7">
        <f>(VLOOKUP('102 5.1.00'!P17,'102 5.1.00'!$AM$4:$AO$55,3,FALSE))</f>
        <v>0</v>
      </c>
      <c r="I17" s="6">
        <f>(VLOOKUP('102 5.1.00'!Q17,'102 5.1.00'!$AM$4:$AO$55,3,FALSE))</f>
        <v>50</v>
      </c>
      <c r="J17" s="6">
        <f>(VLOOKUP('102 5.1.00'!R17,'102 5.1.00'!$AM$4:$AO$55,3,FALSE))</f>
        <v>50</v>
      </c>
      <c r="K17" s="6">
        <f>(VLOOKUP('102 5.1.00'!S17,'102 5.1.00'!$AM$4:$AO$55,3,FALSE))</f>
        <v>50</v>
      </c>
      <c r="L17" s="6">
        <f>(VLOOKUP('102 5.1.00'!T17,'102 5.1.00'!$AM$4:$AO$55,3,FALSE))</f>
        <v>50</v>
      </c>
      <c r="M17" s="6">
        <f>(VLOOKUP('102 5.1.00'!U17,'102 5.1.00'!$AM$4:$AO$55,3,FALSE))</f>
        <v>50</v>
      </c>
      <c r="N17" s="6">
        <f>(VLOOKUP('102 5.1.00'!V17,'102 5.1.00'!$AM$4:$AO$55,3,FALSE))</f>
        <v>50</v>
      </c>
      <c r="O17" s="7">
        <f>(VLOOKUP('102 5.1.00'!W17,'102 5.1.00'!$AM$4:$AO$55,3,FALSE))</f>
        <v>0</v>
      </c>
      <c r="P17" s="7">
        <f>(VLOOKUP('102 5.1.00'!X17,'102 5.1.00'!$AM$4:$AO$55,3,FALSE))</f>
        <v>0</v>
      </c>
      <c r="Q17" s="6">
        <f>(VLOOKUP('102 5.1.00'!Y17,'102 5.1.00'!$AM$4:$AO$55,3,FALSE))</f>
        <v>0</v>
      </c>
      <c r="R17" s="6">
        <f>(VLOOKUP('102 5.1.00'!Z17,'102 5.1.00'!$AM$4:$AO$55,3,FALSE))</f>
        <v>0</v>
      </c>
      <c r="S17" s="6">
        <f>(VLOOKUP('102 5.1.00'!AA17,'102 5.1.00'!$AM$4:$AO$55,3,FALSE))</f>
        <v>0</v>
      </c>
      <c r="T17" s="6">
        <f>(VLOOKUP('102 5.1.00'!AB17,'102 5.1.00'!$AM$4:$AO$55,3,FALSE))</f>
        <v>0</v>
      </c>
      <c r="U17" s="6">
        <f>(VLOOKUP('102 5.1.00'!AC17,'102 5.1.00'!$AM$4:$AO$55,3,FALSE))</f>
        <v>0</v>
      </c>
      <c r="V17" s="6">
        <f>(VLOOKUP('102 5.1.00'!AD17,'102 5.1.00'!$AM$4:$AO$55,3,FALSE))</f>
        <v>0</v>
      </c>
      <c r="W17" s="7">
        <f>(VLOOKUP('102 5.1.00'!AE17,'102 5.1.00'!$AM$4:$AO$55,3,FALSE))</f>
        <v>0</v>
      </c>
      <c r="X17" s="7">
        <f>(VLOOKUP('102 5.1.00'!AF17,'102 5.1.00'!$AM$4:$AO$55,3,FALSE))</f>
        <v>0</v>
      </c>
    </row>
    <row r="18" spans="1:24">
      <c r="A18" s="6">
        <f>(VLOOKUP('102 5.1.00'!I18,'102 5.1.00'!$AM$4:$AO$55,3,FALSE))</f>
        <v>45</v>
      </c>
      <c r="B18" s="6">
        <f>(VLOOKUP('102 5.1.00'!J18,'102 5.1.00'!$AM$4:$AO$55,3,FALSE))</f>
        <v>45</v>
      </c>
      <c r="C18" s="6">
        <f>(VLOOKUP('102 5.1.00'!K18,'102 5.1.00'!$AM$4:$AO$55,3,FALSE))</f>
        <v>45</v>
      </c>
      <c r="D18" s="6">
        <f>(VLOOKUP('102 5.1.00'!L18,'102 5.1.00'!$AM$4:$AO$55,3,FALSE))</f>
        <v>45</v>
      </c>
      <c r="E18" s="6">
        <f>(VLOOKUP('102 5.1.00'!M18,'102 5.1.00'!$AM$4:$AO$55,3,FALSE))</f>
        <v>45</v>
      </c>
      <c r="F18" s="6">
        <f>(VLOOKUP('102 5.1.00'!N18,'102 5.1.00'!$AM$4:$AO$55,3,FALSE))</f>
        <v>45</v>
      </c>
      <c r="G18" s="7">
        <f>(VLOOKUP('102 5.1.00'!O18,'102 5.1.00'!$AM$4:$AO$55,3,FALSE))</f>
        <v>0</v>
      </c>
      <c r="H18" s="7">
        <f>(VLOOKUP('102 5.1.00'!P18,'102 5.1.00'!$AM$4:$AO$55,3,FALSE))</f>
        <v>0</v>
      </c>
      <c r="I18" s="6">
        <f>(VLOOKUP('102 5.1.00'!Q18,'102 5.1.00'!$AM$4:$AO$55,3,FALSE))</f>
        <v>50</v>
      </c>
      <c r="J18" s="6">
        <f>(VLOOKUP('102 5.1.00'!R18,'102 5.1.00'!$AM$4:$AO$55,3,FALSE))</f>
        <v>50</v>
      </c>
      <c r="K18" s="6">
        <f>(VLOOKUP('102 5.1.00'!S18,'102 5.1.00'!$AM$4:$AO$55,3,FALSE))</f>
        <v>50</v>
      </c>
      <c r="L18" s="6">
        <f>(VLOOKUP('102 5.1.00'!T18,'102 5.1.00'!$AM$4:$AO$55,3,FALSE))</f>
        <v>50</v>
      </c>
      <c r="M18" s="6">
        <f>(VLOOKUP('102 5.1.00'!U18,'102 5.1.00'!$AM$4:$AO$55,3,FALSE))</f>
        <v>0</v>
      </c>
      <c r="N18" s="6">
        <f>(VLOOKUP('102 5.1.00'!V18,'102 5.1.00'!$AM$4:$AO$55,3,FALSE))</f>
        <v>50</v>
      </c>
      <c r="O18" s="7">
        <f>(VLOOKUP('102 5.1.00'!W18,'102 5.1.00'!$AM$4:$AO$55,3,FALSE))</f>
        <v>50</v>
      </c>
      <c r="P18" s="7">
        <f>(VLOOKUP('102 5.1.00'!X18,'102 5.1.00'!$AM$4:$AO$55,3,FALSE))</f>
        <v>50</v>
      </c>
      <c r="Q18" s="6">
        <f>(VLOOKUP('102 5.1.00'!Y18,'102 5.1.00'!$AM$4:$AO$55,3,FALSE))</f>
        <v>0</v>
      </c>
      <c r="R18" s="6">
        <f>(VLOOKUP('102 5.1.00'!Z18,'102 5.1.00'!$AM$4:$AO$55,3,FALSE))</f>
        <v>0</v>
      </c>
      <c r="S18" s="6">
        <f>(VLOOKUP('102 5.1.00'!AA18,'102 5.1.00'!$AM$4:$AO$55,3,FALSE))</f>
        <v>0</v>
      </c>
      <c r="T18" s="6">
        <f>(VLOOKUP('102 5.1.00'!AB18,'102 5.1.00'!$AM$4:$AO$55,3,FALSE))</f>
        <v>0</v>
      </c>
      <c r="U18" s="6">
        <f>(VLOOKUP('102 5.1.00'!AC18,'102 5.1.00'!$AM$4:$AO$55,3,FALSE))</f>
        <v>0</v>
      </c>
      <c r="V18" s="6">
        <f>(VLOOKUP('102 5.1.00'!AD18,'102 5.1.00'!$AM$4:$AO$55,3,FALSE))</f>
        <v>0</v>
      </c>
      <c r="W18" s="7">
        <f>(VLOOKUP('102 5.1.00'!AE18,'102 5.1.00'!$AM$4:$AO$55,3,FALSE))</f>
        <v>0</v>
      </c>
      <c r="X18" s="7">
        <f>(VLOOKUP('102 5.1.00'!AF18,'102 5.1.00'!$AM$4:$AO$55,3,FALSE))</f>
        <v>0</v>
      </c>
    </row>
    <row r="19" spans="1:24">
      <c r="A19" s="6">
        <f>(VLOOKUP('102 5.1.00'!I19,'102 5.1.00'!$AM$4:$AO$55,3,FALSE))</f>
        <v>30</v>
      </c>
      <c r="B19" s="6">
        <f>(VLOOKUP('102 5.1.00'!J19,'102 5.1.00'!$AM$4:$AO$55,3,FALSE))</f>
        <v>45</v>
      </c>
      <c r="C19" s="6">
        <f>(VLOOKUP('102 5.1.00'!K19,'102 5.1.00'!$AM$4:$AO$55,3,FALSE))</f>
        <v>45</v>
      </c>
      <c r="D19" s="6">
        <f>(VLOOKUP('102 5.1.00'!L19,'102 5.1.00'!$AM$4:$AO$55,3,FALSE))</f>
        <v>45</v>
      </c>
      <c r="E19" s="6">
        <f>(VLOOKUP('102 5.1.00'!M19,'102 5.1.00'!$AM$4:$AO$55,3,FALSE))</f>
        <v>45</v>
      </c>
      <c r="F19" s="6">
        <f>(VLOOKUP('102 5.1.00'!N19,'102 5.1.00'!$AM$4:$AO$55,3,FALSE))</f>
        <v>45</v>
      </c>
      <c r="G19" s="7">
        <f>(VLOOKUP('102 5.1.00'!O19,'102 5.1.00'!$AM$4:$AO$55,3,FALSE))</f>
        <v>0</v>
      </c>
      <c r="H19" s="7">
        <f>(VLOOKUP('102 5.1.00'!P19,'102 5.1.00'!$AM$4:$AO$55,3,FALSE))</f>
        <v>0</v>
      </c>
      <c r="I19" s="6">
        <f>(VLOOKUP('102 5.1.00'!Q19,'102 5.1.00'!$AM$4:$AO$55,3,FALSE))</f>
        <v>45</v>
      </c>
      <c r="J19" s="6">
        <f>(VLOOKUP('102 5.1.00'!R19,'102 5.1.00'!$AM$4:$AO$55,3,FALSE))</f>
        <v>45</v>
      </c>
      <c r="K19" s="6">
        <f>(VLOOKUP('102 5.1.00'!S19,'102 5.1.00'!$AM$4:$AO$55,3,FALSE))</f>
        <v>45</v>
      </c>
      <c r="L19" s="6">
        <f>(VLOOKUP('102 5.1.00'!T19,'102 5.1.00'!$AM$4:$AO$55,3,FALSE))</f>
        <v>45</v>
      </c>
      <c r="M19" s="6">
        <f>(VLOOKUP('102 5.1.00'!U19,'102 5.1.00'!$AM$4:$AO$55,3,FALSE))</f>
        <v>45</v>
      </c>
      <c r="N19" s="6">
        <f>(VLOOKUP('102 5.1.00'!V19,'102 5.1.00'!$AM$4:$AO$55,3,FALSE))</f>
        <v>50</v>
      </c>
      <c r="O19" s="7">
        <f>(VLOOKUP('102 5.1.00'!W19,'102 5.1.00'!$AM$4:$AO$55,3,FALSE))</f>
        <v>0</v>
      </c>
      <c r="P19" s="7">
        <f>(VLOOKUP('102 5.1.00'!X19,'102 5.1.00'!$AM$4:$AO$55,3,FALSE))</f>
        <v>0</v>
      </c>
      <c r="Q19" s="6">
        <f>(VLOOKUP('102 5.1.00'!Y19,'102 5.1.00'!$AM$4:$AO$55,3,FALSE))</f>
        <v>0</v>
      </c>
      <c r="R19" s="6">
        <f>(VLOOKUP('102 5.1.00'!Z19,'102 5.1.00'!$AM$4:$AO$55,3,FALSE))</f>
        <v>0</v>
      </c>
      <c r="S19" s="6">
        <f>(VLOOKUP('102 5.1.00'!AA19,'102 5.1.00'!$AM$4:$AO$55,3,FALSE))</f>
        <v>0</v>
      </c>
      <c r="T19" s="6">
        <f>(VLOOKUP('102 5.1.00'!AB19,'102 5.1.00'!$AM$4:$AO$55,3,FALSE))</f>
        <v>0</v>
      </c>
      <c r="U19" s="6">
        <f>(VLOOKUP('102 5.1.00'!AC19,'102 5.1.00'!$AM$4:$AO$55,3,FALSE))</f>
        <v>0</v>
      </c>
      <c r="V19" s="6">
        <f>(VLOOKUP('102 5.1.00'!AD19,'102 5.1.00'!$AM$4:$AO$55,3,FALSE))</f>
        <v>0</v>
      </c>
      <c r="W19" s="7">
        <f>(VLOOKUP('102 5.1.00'!AE19,'102 5.1.00'!$AM$4:$AO$55,3,FALSE))</f>
        <v>0</v>
      </c>
      <c r="X19" s="7">
        <f>(VLOOKUP('102 5.1.00'!AF19,'102 5.1.00'!$AM$4:$AO$55,3,FALSE))</f>
        <v>0</v>
      </c>
    </row>
    <row r="20" spans="1:24">
      <c r="A20" s="6">
        <f>(VLOOKUP('102 5.1.00'!I20,'102 5.1.00'!$AM$4:$AO$55,3,FALSE))</f>
        <v>45</v>
      </c>
      <c r="B20" s="6">
        <f>(VLOOKUP('102 5.1.00'!J20,'102 5.1.00'!$AM$4:$AO$55,3,FALSE))</f>
        <v>45</v>
      </c>
      <c r="C20" s="6">
        <f>(VLOOKUP('102 5.1.00'!K20,'102 5.1.00'!$AM$4:$AO$55,3,FALSE))</f>
        <v>45</v>
      </c>
      <c r="D20" s="6">
        <f>(VLOOKUP('102 5.1.00'!L20,'102 5.1.00'!$AM$4:$AO$55,3,FALSE))</f>
        <v>45</v>
      </c>
      <c r="E20" s="6">
        <f>(VLOOKUP('102 5.1.00'!M20,'102 5.1.00'!$AM$4:$AO$55,3,FALSE))</f>
        <v>45</v>
      </c>
      <c r="F20" s="6">
        <f>(VLOOKUP('102 5.1.00'!N20,'102 5.1.00'!$AM$4:$AO$55,3,FALSE))</f>
        <v>45</v>
      </c>
      <c r="G20" s="7">
        <f>(VLOOKUP('102 5.1.00'!O20,'102 5.1.00'!$AM$4:$AO$55,3,FALSE))</f>
        <v>0</v>
      </c>
      <c r="H20" s="7">
        <f>(VLOOKUP('102 5.1.00'!P20,'102 5.1.00'!$AM$4:$AO$55,3,FALSE))</f>
        <v>0</v>
      </c>
      <c r="I20" s="6">
        <f>(VLOOKUP('102 5.1.00'!Q20,'102 5.1.00'!$AM$4:$AO$55,3,FALSE))</f>
        <v>50</v>
      </c>
      <c r="J20" s="6">
        <f>(VLOOKUP('102 5.1.00'!R20,'102 5.1.00'!$AM$4:$AO$55,3,FALSE))</f>
        <v>50</v>
      </c>
      <c r="K20" s="6">
        <f>(VLOOKUP('102 5.1.00'!S20,'102 5.1.00'!$AM$4:$AO$55,3,FALSE))</f>
        <v>50</v>
      </c>
      <c r="L20" s="6">
        <f>(VLOOKUP('102 5.1.00'!T20,'102 5.1.00'!$AM$4:$AO$55,3,FALSE))</f>
        <v>50</v>
      </c>
      <c r="M20" s="6">
        <f>(VLOOKUP('102 5.1.00'!U20,'102 5.1.00'!$AM$4:$AO$55,3,FALSE))</f>
        <v>50</v>
      </c>
      <c r="N20" s="6">
        <f>(VLOOKUP('102 5.1.00'!V20,'102 5.1.00'!$AM$4:$AO$55,3,FALSE))</f>
        <v>50</v>
      </c>
      <c r="O20" s="7">
        <f>(VLOOKUP('102 5.1.00'!W20,'102 5.1.00'!$AM$4:$AO$55,3,FALSE))</f>
        <v>0</v>
      </c>
      <c r="P20" s="7">
        <f>(VLOOKUP('102 5.1.00'!X20,'102 5.1.00'!$AM$4:$AO$55,3,FALSE))</f>
        <v>0</v>
      </c>
      <c r="Q20" s="6">
        <f>(VLOOKUP('102 5.1.00'!Y20,'102 5.1.00'!$AM$4:$AO$55,3,FALSE))</f>
        <v>0</v>
      </c>
      <c r="R20" s="6">
        <f>(VLOOKUP('102 5.1.00'!Z20,'102 5.1.00'!$AM$4:$AO$55,3,FALSE))</f>
        <v>0</v>
      </c>
      <c r="S20" s="6">
        <f>(VLOOKUP('102 5.1.00'!AA20,'102 5.1.00'!$AM$4:$AO$55,3,FALSE))</f>
        <v>0</v>
      </c>
      <c r="T20" s="6">
        <f>(VLOOKUP('102 5.1.00'!AB20,'102 5.1.00'!$AM$4:$AO$55,3,FALSE))</f>
        <v>0</v>
      </c>
      <c r="U20" s="6">
        <f>(VLOOKUP('102 5.1.00'!AC20,'102 5.1.00'!$AM$4:$AO$55,3,FALSE))</f>
        <v>0</v>
      </c>
      <c r="V20" s="6">
        <f>(VLOOKUP('102 5.1.00'!AD20,'102 5.1.00'!$AM$4:$AO$55,3,FALSE))</f>
        <v>0</v>
      </c>
      <c r="W20" s="7">
        <f>(VLOOKUP('102 5.1.00'!AE20,'102 5.1.00'!$AM$4:$AO$55,3,FALSE))</f>
        <v>0</v>
      </c>
      <c r="X20" s="7">
        <f>(VLOOKUP('102 5.1.00'!AF20,'102 5.1.00'!$AM$4:$AO$55,3,FALSE))</f>
        <v>0</v>
      </c>
    </row>
    <row r="21" spans="1:24">
      <c r="A21" s="6">
        <f>(VLOOKUP('102 5.1.00'!I21,'102 5.1.00'!$AM$4:$AO$55,3,FALSE))</f>
        <v>45</v>
      </c>
      <c r="B21" s="6">
        <f>(VLOOKUP('102 5.1.00'!J21,'102 5.1.00'!$AM$4:$AO$55,3,FALSE))</f>
        <v>30</v>
      </c>
      <c r="C21" s="6">
        <f>(VLOOKUP('102 5.1.00'!K21,'102 5.1.00'!$AM$4:$AO$55,3,FALSE))</f>
        <v>45</v>
      </c>
      <c r="D21" s="6">
        <f>(VLOOKUP('102 5.1.00'!L21,'102 5.1.00'!$AM$4:$AO$55,3,FALSE))</f>
        <v>45</v>
      </c>
      <c r="E21" s="6">
        <f>(VLOOKUP('102 5.1.00'!M21,'102 5.1.00'!$AM$4:$AO$55,3,FALSE))</f>
        <v>45</v>
      </c>
      <c r="F21" s="6">
        <f>(VLOOKUP('102 5.1.00'!N21,'102 5.1.00'!$AM$4:$AO$55,3,FALSE))</f>
        <v>50</v>
      </c>
      <c r="G21" s="7">
        <f>(VLOOKUP('102 5.1.00'!O21,'102 5.1.00'!$AM$4:$AO$55,3,FALSE))</f>
        <v>0</v>
      </c>
      <c r="H21" s="7">
        <f>(VLOOKUP('102 5.1.00'!P21,'102 5.1.00'!$AM$4:$AO$55,3,FALSE))</f>
        <v>0</v>
      </c>
      <c r="I21" s="6">
        <f>(VLOOKUP('102 5.1.00'!Q21,'102 5.1.00'!$AM$4:$AO$55,3,FALSE))</f>
        <v>50</v>
      </c>
      <c r="J21" s="6">
        <f>(VLOOKUP('102 5.1.00'!R21,'102 5.1.00'!$AM$4:$AO$55,3,FALSE))</f>
        <v>50</v>
      </c>
      <c r="K21" s="6">
        <f>(VLOOKUP('102 5.1.00'!S21,'102 5.1.00'!$AM$4:$AO$55,3,FALSE))</f>
        <v>50</v>
      </c>
      <c r="L21" s="6">
        <f>(VLOOKUP('102 5.1.00'!T21,'102 5.1.00'!$AM$4:$AO$55,3,FALSE))</f>
        <v>50</v>
      </c>
      <c r="M21" s="6">
        <f>(VLOOKUP('102 5.1.00'!U21,'102 5.1.00'!$AM$4:$AO$55,3,FALSE))</f>
        <v>30</v>
      </c>
      <c r="N21" s="6">
        <f>(VLOOKUP('102 5.1.00'!V21,'102 5.1.00'!$AM$4:$AO$55,3,FALSE))</f>
        <v>50</v>
      </c>
      <c r="O21" s="7">
        <f>(VLOOKUP('102 5.1.00'!W21,'102 5.1.00'!$AM$4:$AO$55,3,FALSE))</f>
        <v>0</v>
      </c>
      <c r="P21" s="7">
        <f>(VLOOKUP('102 5.1.00'!X21,'102 5.1.00'!$AM$4:$AO$55,3,FALSE))</f>
        <v>0</v>
      </c>
      <c r="Q21" s="6">
        <f>(VLOOKUP('102 5.1.00'!Y21,'102 5.1.00'!$AM$4:$AO$55,3,FALSE))</f>
        <v>0</v>
      </c>
      <c r="R21" s="6">
        <f>(VLOOKUP('102 5.1.00'!Z21,'102 5.1.00'!$AM$4:$AO$55,3,FALSE))</f>
        <v>0</v>
      </c>
      <c r="S21" s="6">
        <f>(VLOOKUP('102 5.1.00'!AA21,'102 5.1.00'!$AM$4:$AO$55,3,FALSE))</f>
        <v>0</v>
      </c>
      <c r="T21" s="6">
        <f>(VLOOKUP('102 5.1.00'!AB21,'102 5.1.00'!$AM$4:$AO$55,3,FALSE))</f>
        <v>0</v>
      </c>
      <c r="U21" s="6">
        <f>(VLOOKUP('102 5.1.00'!AC21,'102 5.1.00'!$AM$4:$AO$55,3,FALSE))</f>
        <v>0</v>
      </c>
      <c r="V21" s="6">
        <f>(VLOOKUP('102 5.1.00'!AD21,'102 5.1.00'!$AM$4:$AO$55,3,FALSE))</f>
        <v>0</v>
      </c>
      <c r="W21" s="7">
        <f>(VLOOKUP('102 5.1.00'!AE21,'102 5.1.00'!$AM$4:$AO$55,3,FALSE))</f>
        <v>0</v>
      </c>
      <c r="X21" s="7">
        <f>(VLOOKUP('102 5.1.00'!AF21,'102 5.1.00'!$AM$4:$AO$55,3,FALSE))</f>
        <v>0</v>
      </c>
    </row>
    <row r="22" spans="1:24">
      <c r="A22" s="6">
        <f>(VLOOKUP('102 5.1.00'!I22,'102 5.1.00'!$AM$4:$AO$55,3,FALSE))</f>
        <v>50</v>
      </c>
      <c r="B22" s="6">
        <f>(VLOOKUP('102 5.1.00'!J22,'102 5.1.00'!$AM$4:$AO$55,3,FALSE))</f>
        <v>50</v>
      </c>
      <c r="C22" s="6">
        <f>(VLOOKUP('102 5.1.00'!K22,'102 5.1.00'!$AM$4:$AO$55,3,FALSE))</f>
        <v>50</v>
      </c>
      <c r="D22" s="6">
        <f>(VLOOKUP('102 5.1.00'!L22,'102 5.1.00'!$AM$4:$AO$55,3,FALSE))</f>
        <v>45</v>
      </c>
      <c r="E22" s="6">
        <f>(VLOOKUP('102 5.1.00'!M22,'102 5.1.00'!$AM$4:$AO$55,3,FALSE))</f>
        <v>45</v>
      </c>
      <c r="F22" s="6">
        <f>(VLOOKUP('102 5.1.00'!N22,'102 5.1.00'!$AM$4:$AO$55,3,FALSE))</f>
        <v>45</v>
      </c>
      <c r="G22" s="7">
        <f>(VLOOKUP('102 5.1.00'!O22,'102 5.1.00'!$AM$4:$AO$55,3,FALSE))</f>
        <v>0</v>
      </c>
      <c r="H22" s="7">
        <f>(VLOOKUP('102 5.1.00'!P22,'102 5.1.00'!$AM$4:$AO$55,3,FALSE))</f>
        <v>0</v>
      </c>
      <c r="I22" s="6">
        <f>(VLOOKUP('102 5.1.00'!Q22,'102 5.1.00'!$AM$4:$AO$55,3,FALSE))</f>
        <v>50</v>
      </c>
      <c r="J22" s="6">
        <f>(VLOOKUP('102 5.1.00'!R22,'102 5.1.00'!$AM$4:$AO$55,3,FALSE))</f>
        <v>50</v>
      </c>
      <c r="K22" s="6">
        <f>(VLOOKUP('102 5.1.00'!S22,'102 5.1.00'!$AM$4:$AO$55,3,FALSE))</f>
        <v>50</v>
      </c>
      <c r="L22" s="6">
        <f>(VLOOKUP('102 5.1.00'!T22,'102 5.1.00'!$AM$4:$AO$55,3,FALSE))</f>
        <v>50</v>
      </c>
      <c r="M22" s="6">
        <f>(VLOOKUP('102 5.1.00'!U22,'102 5.1.00'!$AM$4:$AO$55,3,FALSE))</f>
        <v>50</v>
      </c>
      <c r="N22" s="6">
        <f>(VLOOKUP('102 5.1.00'!V22,'102 5.1.00'!$AM$4:$AO$55,3,FALSE))</f>
        <v>50</v>
      </c>
      <c r="O22" s="7">
        <f>(VLOOKUP('102 5.1.00'!W22,'102 5.1.00'!$AM$4:$AO$55,3,FALSE))</f>
        <v>0</v>
      </c>
      <c r="P22" s="7">
        <f>(VLOOKUP('102 5.1.00'!X22,'102 5.1.00'!$AM$4:$AO$55,3,FALSE))</f>
        <v>0</v>
      </c>
      <c r="Q22" s="6">
        <f>(VLOOKUP('102 5.1.00'!Y22,'102 5.1.00'!$AM$4:$AO$55,3,FALSE))</f>
        <v>0</v>
      </c>
      <c r="R22" s="6">
        <f>(VLOOKUP('102 5.1.00'!Z22,'102 5.1.00'!$AM$4:$AO$55,3,FALSE))</f>
        <v>0</v>
      </c>
      <c r="S22" s="6">
        <f>(VLOOKUP('102 5.1.00'!AA22,'102 5.1.00'!$AM$4:$AO$55,3,FALSE))</f>
        <v>0</v>
      </c>
      <c r="T22" s="6">
        <f>(VLOOKUP('102 5.1.00'!AB22,'102 5.1.00'!$AM$4:$AO$55,3,FALSE))</f>
        <v>0</v>
      </c>
      <c r="U22" s="6">
        <f>(VLOOKUP('102 5.1.00'!AC22,'102 5.1.00'!$AM$4:$AO$55,3,FALSE))</f>
        <v>0</v>
      </c>
      <c r="V22" s="6">
        <f>(VLOOKUP('102 5.1.00'!AD22,'102 5.1.00'!$AM$4:$AO$55,3,FALSE))</f>
        <v>0</v>
      </c>
      <c r="W22" s="7">
        <f>(VLOOKUP('102 5.1.00'!AE22,'102 5.1.00'!$AM$4:$AO$55,3,FALSE))</f>
        <v>0</v>
      </c>
      <c r="X22" s="7">
        <f>(VLOOKUP('102 5.1.00'!AF22,'102 5.1.00'!$AM$4:$AO$55,3,FALSE))</f>
        <v>0</v>
      </c>
    </row>
    <row r="23" spans="1:24">
      <c r="A23" s="6">
        <f>(VLOOKUP('102 5.1.00'!I23,'102 5.1.00'!$AM$4:$AO$55,3,FALSE))</f>
        <v>45</v>
      </c>
      <c r="B23" s="6">
        <f>(VLOOKUP('102 5.1.00'!J23,'102 5.1.00'!$AM$4:$AO$55,3,FALSE))</f>
        <v>45</v>
      </c>
      <c r="C23" s="6">
        <f>(VLOOKUP('102 5.1.00'!K23,'102 5.1.00'!$AM$4:$AO$55,3,FALSE))</f>
        <v>45</v>
      </c>
      <c r="D23" s="6">
        <f>(VLOOKUP('102 5.1.00'!L23,'102 5.1.00'!$AM$4:$AO$55,3,FALSE))</f>
        <v>45</v>
      </c>
      <c r="E23" s="6">
        <f>(VLOOKUP('102 5.1.00'!M23,'102 5.1.00'!$AM$4:$AO$55,3,FALSE))</f>
        <v>45</v>
      </c>
      <c r="F23" s="6">
        <f>(VLOOKUP('102 5.1.00'!N23,'102 5.1.00'!$AM$4:$AO$55,3,FALSE))</f>
        <v>0</v>
      </c>
      <c r="G23" s="7">
        <f>(VLOOKUP('102 5.1.00'!O23,'102 5.1.00'!$AM$4:$AO$55,3,FALSE))</f>
        <v>45</v>
      </c>
      <c r="H23" s="7">
        <f>(VLOOKUP('102 5.1.00'!P23,'102 5.1.00'!$AM$4:$AO$55,3,FALSE))</f>
        <v>45</v>
      </c>
      <c r="I23" s="6">
        <f>(VLOOKUP('102 5.1.00'!Q23,'102 5.1.00'!$AM$4:$AO$55,3,FALSE))</f>
        <v>50</v>
      </c>
      <c r="J23" s="6">
        <f>(VLOOKUP('102 5.1.00'!R23,'102 5.1.00'!$AM$4:$AO$55,3,FALSE))</f>
        <v>50</v>
      </c>
      <c r="K23" s="6">
        <f>(VLOOKUP('102 5.1.00'!S23,'102 5.1.00'!$AM$4:$AO$55,3,FALSE))</f>
        <v>50</v>
      </c>
      <c r="L23" s="6">
        <f>(VLOOKUP('102 5.1.00'!T23,'102 5.1.00'!$AM$4:$AO$55,3,FALSE))</f>
        <v>50</v>
      </c>
      <c r="M23" s="6">
        <f>(VLOOKUP('102 5.1.00'!U23,'102 5.1.00'!$AM$4:$AO$55,3,FALSE))</f>
        <v>50</v>
      </c>
      <c r="N23" s="6">
        <f>(VLOOKUP('102 5.1.00'!V23,'102 5.1.00'!$AM$4:$AO$55,3,FALSE))</f>
        <v>50</v>
      </c>
      <c r="O23" s="7">
        <f>(VLOOKUP('102 5.1.00'!W23,'102 5.1.00'!$AM$4:$AO$55,3,FALSE))</f>
        <v>0</v>
      </c>
      <c r="P23" s="7">
        <f>(VLOOKUP('102 5.1.00'!X23,'102 5.1.00'!$AM$4:$AO$55,3,FALSE))</f>
        <v>0</v>
      </c>
      <c r="Q23" s="6">
        <f>(VLOOKUP('102 5.1.00'!Y23,'102 5.1.00'!$AM$4:$AO$55,3,FALSE))</f>
        <v>0</v>
      </c>
      <c r="R23" s="6">
        <f>(VLOOKUP('102 5.1.00'!Z23,'102 5.1.00'!$AM$4:$AO$55,3,FALSE))</f>
        <v>0</v>
      </c>
      <c r="S23" s="6">
        <f>(VLOOKUP('102 5.1.00'!AA23,'102 5.1.00'!$AM$4:$AO$55,3,FALSE))</f>
        <v>0</v>
      </c>
      <c r="T23" s="6">
        <f>(VLOOKUP('102 5.1.00'!AB23,'102 5.1.00'!$AM$4:$AO$55,3,FALSE))</f>
        <v>0</v>
      </c>
      <c r="U23" s="6">
        <f>(VLOOKUP('102 5.1.00'!AC23,'102 5.1.00'!$AM$4:$AO$55,3,FALSE))</f>
        <v>0</v>
      </c>
      <c r="V23" s="6">
        <f>(VLOOKUP('102 5.1.00'!AD23,'102 5.1.00'!$AM$4:$AO$55,3,FALSE))</f>
        <v>0</v>
      </c>
      <c r="W23" s="7">
        <f>(VLOOKUP('102 5.1.00'!AE23,'102 5.1.00'!$AM$4:$AO$55,3,FALSE))</f>
        <v>0</v>
      </c>
      <c r="X23" s="7">
        <f>(VLOOKUP('102 5.1.00'!AF23,'102 5.1.00'!$AM$4:$AO$55,3,FALSE))</f>
        <v>0</v>
      </c>
    </row>
    <row r="24" spans="1:24">
      <c r="A24" s="6">
        <f>(VLOOKUP('102 5.1.00'!I24,'102 5.1.00'!$AM$4:$AO$55,3,FALSE))</f>
        <v>45</v>
      </c>
      <c r="B24" s="6">
        <f>(VLOOKUP('102 5.1.00'!J24,'102 5.1.00'!$AM$4:$AO$55,3,FALSE))</f>
        <v>45</v>
      </c>
      <c r="C24" s="6">
        <f>(VLOOKUP('102 5.1.00'!K24,'102 5.1.00'!$AM$4:$AO$55,3,FALSE))</f>
        <v>45</v>
      </c>
      <c r="D24" s="6">
        <f>(VLOOKUP('102 5.1.00'!L24,'102 5.1.00'!$AM$4:$AO$55,3,FALSE))</f>
        <v>45</v>
      </c>
      <c r="E24" s="6">
        <f>(VLOOKUP('102 5.1.00'!M24,'102 5.1.00'!$AM$4:$AO$55,3,FALSE))</f>
        <v>45</v>
      </c>
      <c r="F24" s="6">
        <f>(VLOOKUP('102 5.1.00'!N24,'102 5.1.00'!$AM$4:$AO$55,3,FALSE))</f>
        <v>50</v>
      </c>
      <c r="G24" s="7">
        <f>(VLOOKUP('102 5.1.00'!O24,'102 5.1.00'!$AM$4:$AO$55,3,FALSE))</f>
        <v>0</v>
      </c>
      <c r="H24" s="7">
        <f>(VLOOKUP('102 5.1.00'!P24,'102 5.1.00'!$AM$4:$AO$55,3,FALSE))</f>
        <v>0</v>
      </c>
      <c r="I24" s="6">
        <f>(VLOOKUP('102 5.1.00'!Q24,'102 5.1.00'!$AM$4:$AO$55,3,FALSE))</f>
        <v>50</v>
      </c>
      <c r="J24" s="6">
        <f>(VLOOKUP('102 5.1.00'!R24,'102 5.1.00'!$AM$4:$AO$55,3,FALSE))</f>
        <v>50</v>
      </c>
      <c r="K24" s="6">
        <f>(VLOOKUP('102 5.1.00'!S24,'102 5.1.00'!$AM$4:$AO$55,3,FALSE))</f>
        <v>50</v>
      </c>
      <c r="L24" s="6">
        <f>(VLOOKUP('102 5.1.00'!T24,'102 5.1.00'!$AM$4:$AO$55,3,FALSE))</f>
        <v>50</v>
      </c>
      <c r="M24" s="6">
        <f>(VLOOKUP('102 5.1.00'!U24,'102 5.1.00'!$AM$4:$AO$55,3,FALSE))</f>
        <v>50</v>
      </c>
      <c r="N24" s="6">
        <f>(VLOOKUP('102 5.1.00'!V24,'102 5.1.00'!$AM$4:$AO$55,3,FALSE))</f>
        <v>50</v>
      </c>
      <c r="O24" s="7">
        <f>(VLOOKUP('102 5.1.00'!W24,'102 5.1.00'!$AM$4:$AO$55,3,FALSE))</f>
        <v>0</v>
      </c>
      <c r="P24" s="7">
        <f>(VLOOKUP('102 5.1.00'!X24,'102 5.1.00'!$AM$4:$AO$55,3,FALSE))</f>
        <v>0</v>
      </c>
      <c r="Q24" s="6">
        <f>(VLOOKUP('102 5.1.00'!Y24,'102 5.1.00'!$AM$4:$AO$55,3,FALSE))</f>
        <v>0</v>
      </c>
      <c r="R24" s="6">
        <f>(VLOOKUP('102 5.1.00'!Z24,'102 5.1.00'!$AM$4:$AO$55,3,FALSE))</f>
        <v>0</v>
      </c>
      <c r="S24" s="6">
        <f>(VLOOKUP('102 5.1.00'!AA24,'102 5.1.00'!$AM$4:$AO$55,3,FALSE))</f>
        <v>0</v>
      </c>
      <c r="T24" s="6">
        <f>(VLOOKUP('102 5.1.00'!AB24,'102 5.1.00'!$AM$4:$AO$55,3,FALSE))</f>
        <v>0</v>
      </c>
      <c r="U24" s="6">
        <f>(VLOOKUP('102 5.1.00'!AC24,'102 5.1.00'!$AM$4:$AO$55,3,FALSE))</f>
        <v>0</v>
      </c>
      <c r="V24" s="6">
        <f>(VLOOKUP('102 5.1.00'!AD24,'102 5.1.00'!$AM$4:$AO$55,3,FALSE))</f>
        <v>0</v>
      </c>
      <c r="W24" s="7">
        <f>(VLOOKUP('102 5.1.00'!AE24,'102 5.1.00'!$AM$4:$AO$55,3,FALSE))</f>
        <v>0</v>
      </c>
      <c r="X24" s="7">
        <f>(VLOOKUP('102 5.1.00'!AF24,'102 5.1.00'!$AM$4:$AO$55,3,FALSE))</f>
        <v>0</v>
      </c>
    </row>
    <row r="25" spans="1:24">
      <c r="A25" s="6">
        <f>(VLOOKUP('102 5.1.00'!I25,'102 5.1.00'!$AM$4:$AO$55,3,FALSE))</f>
        <v>30</v>
      </c>
      <c r="B25" s="6">
        <f>(VLOOKUP('102 5.1.00'!J25,'102 5.1.00'!$AM$4:$AO$55,3,FALSE))</f>
        <v>50</v>
      </c>
      <c r="C25" s="6">
        <f>(VLOOKUP('102 5.1.00'!K25,'102 5.1.00'!$AM$4:$AO$55,3,FALSE))</f>
        <v>50</v>
      </c>
      <c r="D25" s="6">
        <f>(VLOOKUP('102 5.1.00'!L25,'102 5.1.00'!$AM$4:$AO$55,3,FALSE))</f>
        <v>50</v>
      </c>
      <c r="E25" s="6">
        <f>(VLOOKUP('102 5.1.00'!M25,'102 5.1.00'!$AM$4:$AO$55,3,FALSE))</f>
        <v>50</v>
      </c>
      <c r="F25" s="6">
        <f>(VLOOKUP('102 5.1.00'!N25,'102 5.1.00'!$AM$4:$AO$55,3,FALSE))</f>
        <v>50</v>
      </c>
      <c r="G25" s="7">
        <f>(VLOOKUP('102 5.1.00'!O25,'102 5.1.00'!$AM$4:$AO$55,3,FALSE))</f>
        <v>0</v>
      </c>
      <c r="H25" s="7">
        <f>(VLOOKUP('102 5.1.00'!P25,'102 5.1.00'!$AM$4:$AO$55,3,FALSE))</f>
        <v>0</v>
      </c>
      <c r="I25" s="6">
        <f>(VLOOKUP('102 5.1.00'!Q25,'102 5.1.00'!$AM$4:$AO$55,3,FALSE))</f>
        <v>50</v>
      </c>
      <c r="J25" s="6">
        <f>(VLOOKUP('102 5.1.00'!R25,'102 5.1.00'!$AM$4:$AO$55,3,FALSE))</f>
        <v>50</v>
      </c>
      <c r="K25" s="6">
        <f>(VLOOKUP('102 5.1.00'!S25,'102 5.1.00'!$AM$4:$AO$55,3,FALSE))</f>
        <v>50</v>
      </c>
      <c r="L25" s="6">
        <f>(VLOOKUP('102 5.1.00'!T25,'102 5.1.00'!$AM$4:$AO$55,3,FALSE))</f>
        <v>50</v>
      </c>
      <c r="M25" s="6">
        <f>(VLOOKUP('102 5.1.00'!U25,'102 5.1.00'!$AM$4:$AO$55,3,FALSE))</f>
        <v>50</v>
      </c>
      <c r="N25" s="6">
        <f>(VLOOKUP('102 5.1.00'!V25,'102 5.1.00'!$AM$4:$AO$55,3,FALSE))</f>
        <v>50</v>
      </c>
      <c r="O25" s="7">
        <f>(VLOOKUP('102 5.1.00'!W25,'102 5.1.00'!$AM$4:$AO$55,3,FALSE))</f>
        <v>0</v>
      </c>
      <c r="P25" s="7">
        <f>(VLOOKUP('102 5.1.00'!X25,'102 5.1.00'!$AM$4:$AO$55,3,FALSE))</f>
        <v>0</v>
      </c>
      <c r="Q25" s="6">
        <f>(VLOOKUP('102 5.1.00'!Y25,'102 5.1.00'!$AM$4:$AO$55,3,FALSE))</f>
        <v>0</v>
      </c>
      <c r="R25" s="6">
        <f>(VLOOKUP('102 5.1.00'!Z25,'102 5.1.00'!$AM$4:$AO$55,3,FALSE))</f>
        <v>0</v>
      </c>
      <c r="S25" s="6">
        <f>(VLOOKUP('102 5.1.00'!AA25,'102 5.1.00'!$AM$4:$AO$55,3,FALSE))</f>
        <v>0</v>
      </c>
      <c r="T25" s="6">
        <f>(VLOOKUP('102 5.1.00'!AB25,'102 5.1.00'!$AM$4:$AO$55,3,FALSE))</f>
        <v>0</v>
      </c>
      <c r="U25" s="6">
        <f>(VLOOKUP('102 5.1.00'!AC25,'102 5.1.00'!$AM$4:$AO$55,3,FALSE))</f>
        <v>0</v>
      </c>
      <c r="V25" s="6">
        <f>(VLOOKUP('102 5.1.00'!AD25,'102 5.1.00'!$AM$4:$AO$55,3,FALSE))</f>
        <v>0</v>
      </c>
      <c r="W25" s="7">
        <f>(VLOOKUP('102 5.1.00'!AE25,'102 5.1.00'!$AM$4:$AO$55,3,FALSE))</f>
        <v>0</v>
      </c>
      <c r="X25" s="7">
        <f>(VLOOKUP('102 5.1.00'!AF25,'102 5.1.00'!$AM$4:$AO$55,3,FALSE))</f>
        <v>0</v>
      </c>
    </row>
    <row r="26" spans="1:24">
      <c r="A26" s="6">
        <f>(VLOOKUP('102 5.1.00'!I26,'102 5.1.00'!$AM$4:$AO$55,3,FALSE))</f>
        <v>50</v>
      </c>
      <c r="B26" s="6">
        <f>(VLOOKUP('102 5.1.00'!J26,'102 5.1.00'!$AM$4:$AO$55,3,FALSE))</f>
        <v>50</v>
      </c>
      <c r="C26" s="6">
        <f>(VLOOKUP('102 5.1.00'!K26,'102 5.1.00'!$AM$4:$AO$55,3,FALSE))</f>
        <v>50</v>
      </c>
      <c r="D26" s="6">
        <f>(VLOOKUP('102 5.1.00'!L26,'102 5.1.00'!$AM$4:$AO$55,3,FALSE))</f>
        <v>50</v>
      </c>
      <c r="E26" s="6">
        <f>(VLOOKUP('102 5.1.00'!M26,'102 5.1.00'!$AM$4:$AO$55,3,FALSE))</f>
        <v>50</v>
      </c>
      <c r="F26" s="6">
        <f>(VLOOKUP('102 5.1.00'!N26,'102 5.1.00'!$AM$4:$AO$55,3,FALSE))</f>
        <v>50</v>
      </c>
      <c r="G26" s="7">
        <f>(VLOOKUP('102 5.1.00'!O26,'102 5.1.00'!$AM$4:$AO$55,3,FALSE))</f>
        <v>0</v>
      </c>
      <c r="H26" s="7">
        <f>(VLOOKUP('102 5.1.00'!P26,'102 5.1.00'!$AM$4:$AO$55,3,FALSE))</f>
        <v>0</v>
      </c>
      <c r="I26" s="6">
        <f>(VLOOKUP('102 5.1.00'!Q26,'102 5.1.00'!$AM$4:$AO$55,3,FALSE))</f>
        <v>50</v>
      </c>
      <c r="J26" s="6">
        <f>(VLOOKUP('102 5.1.00'!R26,'102 5.1.00'!$AM$4:$AO$55,3,FALSE))</f>
        <v>50</v>
      </c>
      <c r="K26" s="6">
        <f>(VLOOKUP('102 5.1.00'!S26,'102 5.1.00'!$AM$4:$AO$55,3,FALSE))</f>
        <v>50</v>
      </c>
      <c r="L26" s="6">
        <f>(VLOOKUP('102 5.1.00'!T26,'102 5.1.00'!$AM$4:$AO$55,3,FALSE))</f>
        <v>50</v>
      </c>
      <c r="M26" s="6">
        <f>(VLOOKUP('102 5.1.00'!U26,'102 5.1.00'!$AM$4:$AO$55,3,FALSE))</f>
        <v>50</v>
      </c>
      <c r="N26" s="6">
        <f>(VLOOKUP('102 5.1.00'!V26,'102 5.1.00'!$AM$4:$AO$55,3,FALSE))</f>
        <v>50</v>
      </c>
      <c r="O26" s="7">
        <f>(VLOOKUP('102 5.1.00'!W26,'102 5.1.00'!$AM$4:$AO$55,3,FALSE))</f>
        <v>0</v>
      </c>
      <c r="P26" s="7">
        <f>(VLOOKUP('102 5.1.00'!X26,'102 5.1.00'!$AM$4:$AO$55,3,FALSE))</f>
        <v>0</v>
      </c>
      <c r="Q26" s="6">
        <f>(VLOOKUP('102 5.1.00'!Y26,'102 5.1.00'!$AM$4:$AO$55,3,FALSE))</f>
        <v>0</v>
      </c>
      <c r="R26" s="6">
        <f>(VLOOKUP('102 5.1.00'!Z26,'102 5.1.00'!$AM$4:$AO$55,3,FALSE))</f>
        <v>0</v>
      </c>
      <c r="S26" s="6">
        <f>(VLOOKUP('102 5.1.00'!AA26,'102 5.1.00'!$AM$4:$AO$55,3,FALSE))</f>
        <v>0</v>
      </c>
      <c r="T26" s="6">
        <f>(VLOOKUP('102 5.1.00'!AB26,'102 5.1.00'!$AM$4:$AO$55,3,FALSE))</f>
        <v>0</v>
      </c>
      <c r="U26" s="6">
        <f>(VLOOKUP('102 5.1.00'!AC26,'102 5.1.00'!$AM$4:$AO$55,3,FALSE))</f>
        <v>0</v>
      </c>
      <c r="V26" s="6">
        <f>(VLOOKUP('102 5.1.00'!AD26,'102 5.1.00'!$AM$4:$AO$55,3,FALSE))</f>
        <v>0</v>
      </c>
      <c r="W26" s="7">
        <f>(VLOOKUP('102 5.1.00'!AE26,'102 5.1.00'!$AM$4:$AO$55,3,FALSE))</f>
        <v>0</v>
      </c>
      <c r="X26" s="7">
        <f>(VLOOKUP('102 5.1.00'!AF26,'102 5.1.00'!$AM$4:$AO$55,3,FALSE))</f>
        <v>0</v>
      </c>
    </row>
    <row r="27" spans="1:24">
      <c r="A27" s="6">
        <f>(VLOOKUP('102 5.1.00'!I27,'102 5.1.00'!$AM$4:$AO$55,3,FALSE))</f>
        <v>50</v>
      </c>
      <c r="B27" s="6">
        <f>(VLOOKUP('102 5.1.00'!J27,'102 5.1.00'!$AM$4:$AO$55,3,FALSE))</f>
        <v>50</v>
      </c>
      <c r="C27" s="6">
        <f>(VLOOKUP('102 5.1.00'!K27,'102 5.1.00'!$AM$4:$AO$55,3,FALSE))</f>
        <v>55</v>
      </c>
      <c r="D27" s="6">
        <f>(VLOOKUP('102 5.1.00'!L27,'102 5.1.00'!$AM$4:$AO$55,3,FALSE))</f>
        <v>55</v>
      </c>
      <c r="E27" s="6">
        <f>(VLOOKUP('102 5.1.00'!M27,'102 5.1.00'!$AM$4:$AO$55,3,FALSE))</f>
        <v>55</v>
      </c>
      <c r="F27" s="6">
        <f>(VLOOKUP('102 5.1.00'!N27,'102 5.1.00'!$AM$4:$AO$55,3,FALSE))</f>
        <v>55</v>
      </c>
      <c r="G27" s="7">
        <f>(VLOOKUP('102 5.1.00'!O27,'102 5.1.00'!$AM$4:$AO$55,3,FALSE))</f>
        <v>0</v>
      </c>
      <c r="H27" s="7">
        <f>(VLOOKUP('102 5.1.00'!P27,'102 5.1.00'!$AM$4:$AO$55,3,FALSE))</f>
        <v>0</v>
      </c>
      <c r="I27" s="6">
        <f>(VLOOKUP('102 5.1.00'!Q27,'102 5.1.00'!$AM$4:$AO$55,3,FALSE))</f>
        <v>50</v>
      </c>
      <c r="J27" s="6">
        <f>(VLOOKUP('102 5.1.00'!R27,'102 5.1.00'!$AM$4:$AO$55,3,FALSE))</f>
        <v>50</v>
      </c>
      <c r="K27" s="6">
        <f>(VLOOKUP('102 5.1.00'!S27,'102 5.1.00'!$AM$4:$AO$55,3,FALSE))</f>
        <v>50</v>
      </c>
      <c r="L27" s="6">
        <f>(VLOOKUP('102 5.1.00'!T27,'102 5.1.00'!$AM$4:$AO$55,3,FALSE))</f>
        <v>50</v>
      </c>
      <c r="M27" s="6">
        <f>(VLOOKUP('102 5.1.00'!U27,'102 5.1.00'!$AM$4:$AO$55,3,FALSE))</f>
        <v>50</v>
      </c>
      <c r="N27" s="6">
        <f>(VLOOKUP('102 5.1.00'!V27,'102 5.1.00'!$AM$4:$AO$55,3,FALSE))</f>
        <v>50</v>
      </c>
      <c r="O27" s="7">
        <f>(VLOOKUP('102 5.1.00'!W27,'102 5.1.00'!$AM$4:$AO$55,3,FALSE))</f>
        <v>0</v>
      </c>
      <c r="P27" s="7">
        <f>(VLOOKUP('102 5.1.00'!X27,'102 5.1.00'!$AM$4:$AO$55,3,FALSE))</f>
        <v>0</v>
      </c>
      <c r="Q27" s="6">
        <f>(VLOOKUP('102 5.1.00'!Y27,'102 5.1.00'!$AM$4:$AO$55,3,FALSE))</f>
        <v>0</v>
      </c>
      <c r="R27" s="6">
        <f>(VLOOKUP('102 5.1.00'!Z27,'102 5.1.00'!$AM$4:$AO$55,3,FALSE))</f>
        <v>0</v>
      </c>
      <c r="S27" s="6">
        <f>(VLOOKUP('102 5.1.00'!AA27,'102 5.1.00'!$AM$4:$AO$55,3,FALSE))</f>
        <v>0</v>
      </c>
      <c r="T27" s="6">
        <f>(VLOOKUP('102 5.1.00'!AB27,'102 5.1.00'!$AM$4:$AO$55,3,FALSE))</f>
        <v>0</v>
      </c>
      <c r="U27" s="6">
        <f>(VLOOKUP('102 5.1.00'!AC27,'102 5.1.00'!$AM$4:$AO$55,3,FALSE))</f>
        <v>0</v>
      </c>
      <c r="V27" s="6">
        <f>(VLOOKUP('102 5.1.00'!AD27,'102 5.1.00'!$AM$4:$AO$55,3,FALSE))</f>
        <v>0</v>
      </c>
      <c r="W27" s="7">
        <f>(VLOOKUP('102 5.1.00'!AE27,'102 5.1.00'!$AM$4:$AO$55,3,FALSE))</f>
        <v>0</v>
      </c>
      <c r="X27" s="7">
        <f>(VLOOKUP('102 5.1.00'!AF27,'102 5.1.00'!$AM$4:$AO$55,3,FALSE))</f>
        <v>0</v>
      </c>
    </row>
    <row r="28" spans="1:24">
      <c r="A28" s="6">
        <f>(VLOOKUP('102 5.1.00'!I28,'102 5.1.00'!$AM$4:$AO$55,3,FALSE))</f>
        <v>55</v>
      </c>
      <c r="B28" s="6">
        <f>(VLOOKUP('102 5.1.00'!J28,'102 5.1.00'!$AM$4:$AO$55,3,FALSE))</f>
        <v>55</v>
      </c>
      <c r="C28" s="6">
        <f>(VLOOKUP('102 5.1.00'!K28,'102 5.1.00'!$AM$4:$AO$55,3,FALSE))</f>
        <v>30</v>
      </c>
      <c r="D28" s="6">
        <f>(VLOOKUP('102 5.1.00'!L28,'102 5.1.00'!$AM$4:$AO$55,3,FALSE))</f>
        <v>55</v>
      </c>
      <c r="E28" s="6">
        <f>(VLOOKUP('102 5.1.00'!M28,'102 5.1.00'!$AM$4:$AO$55,3,FALSE))</f>
        <v>55</v>
      </c>
      <c r="F28" s="6">
        <f>(VLOOKUP('102 5.1.00'!N28,'102 5.1.00'!$AM$4:$AO$55,3,FALSE))</f>
        <v>55</v>
      </c>
      <c r="G28" s="7">
        <f>(VLOOKUP('102 5.1.00'!O28,'102 5.1.00'!$AM$4:$AO$55,3,FALSE))</f>
        <v>0</v>
      </c>
      <c r="H28" s="7">
        <f>(VLOOKUP('102 5.1.00'!P28,'102 5.1.00'!$AM$4:$AO$55,3,FALSE))</f>
        <v>0</v>
      </c>
      <c r="I28" s="6">
        <f>(VLOOKUP('102 5.1.00'!Q28,'102 5.1.00'!$AM$4:$AO$55,3,FALSE))</f>
        <v>50</v>
      </c>
      <c r="J28" s="6">
        <f>(VLOOKUP('102 5.1.00'!R28,'102 5.1.00'!$AM$4:$AO$55,3,FALSE))</f>
        <v>50</v>
      </c>
      <c r="K28" s="6">
        <f>(VLOOKUP('102 5.1.00'!S28,'102 5.1.00'!$AM$4:$AO$55,3,FALSE))</f>
        <v>50</v>
      </c>
      <c r="L28" s="6">
        <f>(VLOOKUP('102 5.1.00'!T28,'102 5.1.00'!$AM$4:$AO$55,3,FALSE))</f>
        <v>50</v>
      </c>
      <c r="M28" s="6">
        <f>(VLOOKUP('102 5.1.00'!U28,'102 5.1.00'!$AM$4:$AO$55,3,FALSE))</f>
        <v>50</v>
      </c>
      <c r="N28" s="6">
        <f>(VLOOKUP('102 5.1.00'!V28,'102 5.1.00'!$AM$4:$AO$55,3,FALSE))</f>
        <v>30</v>
      </c>
      <c r="O28" s="7">
        <f>(VLOOKUP('102 5.1.00'!W28,'102 5.1.00'!$AM$4:$AO$55,3,FALSE))</f>
        <v>0</v>
      </c>
      <c r="P28" s="7">
        <f>(VLOOKUP('102 5.1.00'!X28,'102 5.1.00'!$AM$4:$AO$55,3,FALSE))</f>
        <v>0</v>
      </c>
      <c r="Q28" s="6">
        <f>(VLOOKUP('102 5.1.00'!Y28,'102 5.1.00'!$AM$4:$AO$55,3,FALSE))</f>
        <v>0</v>
      </c>
      <c r="R28" s="6">
        <f>(VLOOKUP('102 5.1.00'!Z28,'102 5.1.00'!$AM$4:$AO$55,3,FALSE))</f>
        <v>0</v>
      </c>
      <c r="S28" s="6">
        <f>(VLOOKUP('102 5.1.00'!AA28,'102 5.1.00'!$AM$4:$AO$55,3,FALSE))</f>
        <v>0</v>
      </c>
      <c r="T28" s="6">
        <f>(VLOOKUP('102 5.1.00'!AB28,'102 5.1.00'!$AM$4:$AO$55,3,FALSE))</f>
        <v>0</v>
      </c>
      <c r="U28" s="6">
        <f>(VLOOKUP('102 5.1.00'!AC28,'102 5.1.00'!$AM$4:$AO$55,3,FALSE))</f>
        <v>0</v>
      </c>
      <c r="V28" s="6">
        <f>(VLOOKUP('102 5.1.00'!AD28,'102 5.1.00'!$AM$4:$AO$55,3,FALSE))</f>
        <v>0</v>
      </c>
      <c r="W28" s="7">
        <f>(VLOOKUP('102 5.1.00'!AE28,'102 5.1.00'!$AM$4:$AO$55,3,FALSE))</f>
        <v>0</v>
      </c>
      <c r="X28" s="7">
        <f>(VLOOKUP('102 5.1.00'!AF28,'102 5.1.00'!$AM$4:$AO$55,3,FALSE))</f>
        <v>0</v>
      </c>
    </row>
    <row r="29" spans="1:24">
      <c r="A29" s="6">
        <f>(VLOOKUP('102 5.1.00'!I29,'102 5.1.00'!$AM$4:$AO$55,3,FALSE))</f>
        <v>55</v>
      </c>
      <c r="B29" s="6">
        <f>(VLOOKUP('102 5.1.00'!J29,'102 5.1.00'!$AM$4:$AO$55,3,FALSE))</f>
        <v>55</v>
      </c>
      <c r="C29" s="6">
        <f>(VLOOKUP('102 5.1.00'!K29,'102 5.1.00'!$AM$4:$AO$55,3,FALSE))</f>
        <v>55</v>
      </c>
      <c r="D29" s="6">
        <f>(VLOOKUP('102 5.1.00'!L29,'102 5.1.00'!$AM$4:$AO$55,3,FALSE))</f>
        <v>55</v>
      </c>
      <c r="E29" s="6">
        <f>(VLOOKUP('102 5.1.00'!M29,'102 5.1.00'!$AM$4:$AO$55,3,FALSE))</f>
        <v>55</v>
      </c>
      <c r="F29" s="6">
        <f>(VLOOKUP('102 5.1.00'!N29,'102 5.1.00'!$AM$4:$AO$55,3,FALSE))</f>
        <v>55</v>
      </c>
      <c r="G29" s="7">
        <f>(VLOOKUP('102 5.1.00'!O29,'102 5.1.00'!$AM$4:$AO$55,3,FALSE))</f>
        <v>0</v>
      </c>
      <c r="H29" s="7">
        <f>(VLOOKUP('102 5.1.00'!P29,'102 5.1.00'!$AM$4:$AO$55,3,FALSE))</f>
        <v>0</v>
      </c>
      <c r="I29" s="6">
        <f>(VLOOKUP('102 5.1.00'!Q29,'102 5.1.00'!$AM$4:$AO$55,3,FALSE))</f>
        <v>50</v>
      </c>
      <c r="J29" s="6">
        <f>(VLOOKUP('102 5.1.00'!R29,'102 5.1.00'!$AM$4:$AO$55,3,FALSE))</f>
        <v>50</v>
      </c>
      <c r="K29" s="6">
        <f>(VLOOKUP('102 5.1.00'!S29,'102 5.1.00'!$AM$4:$AO$55,3,FALSE))</f>
        <v>50</v>
      </c>
      <c r="L29" s="6">
        <f>(VLOOKUP('102 5.1.00'!T29,'102 5.1.00'!$AM$4:$AO$55,3,FALSE))</f>
        <v>50</v>
      </c>
      <c r="M29" s="6">
        <f>(VLOOKUP('102 5.1.00'!U29,'102 5.1.00'!$AM$4:$AO$55,3,FALSE))</f>
        <v>45</v>
      </c>
      <c r="N29" s="6">
        <f>(VLOOKUP('102 5.1.00'!V29,'102 5.1.00'!$AM$4:$AO$55,3,FALSE))</f>
        <v>45</v>
      </c>
      <c r="O29" s="7">
        <f>(VLOOKUP('102 5.1.00'!W29,'102 5.1.00'!$AM$4:$AO$55,3,FALSE))</f>
        <v>0</v>
      </c>
      <c r="P29" s="7">
        <f>(VLOOKUP('102 5.1.00'!X29,'102 5.1.00'!$AM$4:$AO$55,3,FALSE))</f>
        <v>0</v>
      </c>
      <c r="Q29" s="6">
        <f>(VLOOKUP('102 5.1.00'!Y29,'102 5.1.00'!$AM$4:$AO$55,3,FALSE))</f>
        <v>0</v>
      </c>
      <c r="R29" s="6">
        <f>(VLOOKUP('102 5.1.00'!Z29,'102 5.1.00'!$AM$4:$AO$55,3,FALSE))</f>
        <v>0</v>
      </c>
      <c r="S29" s="6">
        <f>(VLOOKUP('102 5.1.00'!AA29,'102 5.1.00'!$AM$4:$AO$55,3,FALSE))</f>
        <v>0</v>
      </c>
      <c r="T29" s="6">
        <f>(VLOOKUP('102 5.1.00'!AB29,'102 5.1.00'!$AM$4:$AO$55,3,FALSE))</f>
        <v>0</v>
      </c>
      <c r="U29" s="6">
        <f>(VLOOKUP('102 5.1.00'!AC29,'102 5.1.00'!$AM$4:$AO$55,3,FALSE))</f>
        <v>0</v>
      </c>
      <c r="V29" s="6">
        <f>(VLOOKUP('102 5.1.00'!AD29,'102 5.1.00'!$AM$4:$AO$55,3,FALSE))</f>
        <v>0</v>
      </c>
      <c r="W29" s="7">
        <f>(VLOOKUP('102 5.1.00'!AE29,'102 5.1.00'!$AM$4:$AO$55,3,FALSE))</f>
        <v>0</v>
      </c>
      <c r="X29" s="7">
        <f>(VLOOKUP('102 5.1.00'!AF29,'102 5.1.00'!$AM$4:$AO$55,3,FALSE))</f>
        <v>0</v>
      </c>
    </row>
    <row r="30" spans="1:24">
      <c r="A30" s="6">
        <f>(VLOOKUP('102 5.1.00'!I30,'102 5.1.00'!$AM$4:$AO$55,3,FALSE))</f>
        <v>55</v>
      </c>
      <c r="B30" s="6">
        <f>(VLOOKUP('102 5.1.00'!J30,'102 5.1.00'!$AM$4:$AO$55,3,FALSE))</f>
        <v>55</v>
      </c>
      <c r="C30" s="6">
        <f>(VLOOKUP('102 5.1.00'!K30,'102 5.1.00'!$AM$4:$AO$55,3,FALSE))</f>
        <v>55</v>
      </c>
      <c r="D30" s="6">
        <f>(VLOOKUP('102 5.1.00'!L30,'102 5.1.00'!$AM$4:$AO$55,3,FALSE))</f>
        <v>55</v>
      </c>
      <c r="E30" s="6">
        <f>(VLOOKUP('102 5.1.00'!M30,'102 5.1.00'!$AM$4:$AO$55,3,FALSE))</f>
        <v>55</v>
      </c>
      <c r="F30" s="6">
        <f>(VLOOKUP('102 5.1.00'!N30,'102 5.1.00'!$AM$4:$AO$55,3,FALSE))</f>
        <v>55</v>
      </c>
      <c r="G30" s="7">
        <f>(VLOOKUP('102 5.1.00'!O30,'102 5.1.00'!$AM$4:$AO$55,3,FALSE))</f>
        <v>0</v>
      </c>
      <c r="H30" s="7">
        <f>(VLOOKUP('102 5.1.00'!P30,'102 5.1.00'!$AM$4:$AO$55,3,FALSE))</f>
        <v>0</v>
      </c>
      <c r="I30" s="6">
        <f>(VLOOKUP('102 5.1.00'!Q30,'102 5.1.00'!$AM$4:$AO$55,3,FALSE))</f>
        <v>45</v>
      </c>
      <c r="J30" s="6">
        <f>(VLOOKUP('102 5.1.00'!R30,'102 5.1.00'!$AM$4:$AO$55,3,FALSE))</f>
        <v>45</v>
      </c>
      <c r="K30" s="6">
        <f>(VLOOKUP('102 5.1.00'!S30,'102 5.1.00'!$AM$4:$AO$55,3,FALSE))</f>
        <v>50</v>
      </c>
      <c r="L30" s="6">
        <f>(VLOOKUP('102 5.1.00'!T30,'102 5.1.00'!$AM$4:$AO$55,3,FALSE))</f>
        <v>50</v>
      </c>
      <c r="M30" s="6">
        <f>(VLOOKUP('102 5.1.00'!U30,'102 5.1.00'!$AM$4:$AO$55,3,FALSE))</f>
        <v>50</v>
      </c>
      <c r="N30" s="6">
        <f>(VLOOKUP('102 5.1.00'!V30,'102 5.1.00'!$AM$4:$AO$55,3,FALSE))</f>
        <v>50</v>
      </c>
      <c r="O30" s="7">
        <f>(VLOOKUP('102 5.1.00'!W30,'102 5.1.00'!$AM$4:$AO$55,3,FALSE))</f>
        <v>0</v>
      </c>
      <c r="P30" s="7">
        <f>(VLOOKUP('102 5.1.00'!X30,'102 5.1.00'!$AM$4:$AO$55,3,FALSE))</f>
        <v>0</v>
      </c>
      <c r="Q30" s="6">
        <f>(VLOOKUP('102 5.1.00'!Y30,'102 5.1.00'!$AM$4:$AO$55,3,FALSE))</f>
        <v>0</v>
      </c>
      <c r="R30" s="6">
        <f>(VLOOKUP('102 5.1.00'!Z30,'102 5.1.00'!$AM$4:$AO$55,3,FALSE))</f>
        <v>0</v>
      </c>
      <c r="S30" s="6">
        <f>(VLOOKUP('102 5.1.00'!AA30,'102 5.1.00'!$AM$4:$AO$55,3,FALSE))</f>
        <v>0</v>
      </c>
      <c r="T30" s="6">
        <f>(VLOOKUP('102 5.1.00'!AB30,'102 5.1.00'!$AM$4:$AO$55,3,FALSE))</f>
        <v>0</v>
      </c>
      <c r="U30" s="6">
        <f>(VLOOKUP('102 5.1.00'!AC30,'102 5.1.00'!$AM$4:$AO$55,3,FALSE))</f>
        <v>0</v>
      </c>
      <c r="V30" s="6">
        <f>(VLOOKUP('102 5.1.00'!AD30,'102 5.1.00'!$AM$4:$AO$55,3,FALSE))</f>
        <v>0</v>
      </c>
      <c r="W30" s="7">
        <f>(VLOOKUP('102 5.1.00'!AE30,'102 5.1.00'!$AM$4:$AO$55,3,FALSE))</f>
        <v>0</v>
      </c>
      <c r="X30" s="7">
        <f>(VLOOKUP('102 5.1.00'!AF30,'102 5.1.00'!$AM$4:$AO$55,3,FALSE))</f>
        <v>0</v>
      </c>
    </row>
    <row r="31" spans="1:24">
      <c r="A31" s="6">
        <f>(VLOOKUP('102 5.1.00'!I31,'102 5.1.00'!$AM$4:$AO$55,3,FALSE))</f>
        <v>55</v>
      </c>
      <c r="B31" s="6">
        <f>(VLOOKUP('102 5.1.00'!J31,'102 5.1.00'!$AM$4:$AO$55,3,FALSE))</f>
        <v>55</v>
      </c>
      <c r="C31" s="6">
        <f>(VLOOKUP('102 5.1.00'!K31,'102 5.1.00'!$AM$4:$AO$55,3,FALSE))</f>
        <v>55</v>
      </c>
      <c r="D31" s="6">
        <f>(VLOOKUP('102 5.1.00'!L31,'102 5.1.00'!$AM$4:$AO$55,3,FALSE))</f>
        <v>55</v>
      </c>
      <c r="E31" s="6">
        <f>(VLOOKUP('102 5.1.00'!M31,'102 5.1.00'!$AM$4:$AO$55,3,FALSE))</f>
        <v>55</v>
      </c>
      <c r="F31" s="6">
        <f>(VLOOKUP('102 5.1.00'!N31,'102 5.1.00'!$AM$4:$AO$55,3,FALSE))</f>
        <v>55</v>
      </c>
      <c r="G31" s="7">
        <f>(VLOOKUP('102 5.1.00'!O31,'102 5.1.00'!$AM$4:$AO$55,3,FALSE))</f>
        <v>0</v>
      </c>
      <c r="H31" s="7">
        <f>(VLOOKUP('102 5.1.00'!P31,'102 5.1.00'!$AM$4:$AO$55,3,FALSE))</f>
        <v>0</v>
      </c>
      <c r="I31" s="6">
        <f>(VLOOKUP('102 5.1.00'!Q31,'102 5.1.00'!$AM$4:$AO$55,3,FALSE))</f>
        <v>50</v>
      </c>
      <c r="J31" s="6">
        <f>(VLOOKUP('102 5.1.00'!R31,'102 5.1.00'!$AM$4:$AO$55,3,FALSE))</f>
        <v>50</v>
      </c>
      <c r="K31" s="6">
        <f>(VLOOKUP('102 5.1.00'!S31,'102 5.1.00'!$AM$4:$AO$55,3,FALSE))</f>
        <v>50</v>
      </c>
      <c r="L31" s="6">
        <f>(VLOOKUP('102 5.1.00'!T31,'102 5.1.00'!$AM$4:$AO$55,3,FALSE))</f>
        <v>0</v>
      </c>
      <c r="M31" s="6">
        <f>(VLOOKUP('102 5.1.00'!U31,'102 5.1.00'!$AM$4:$AO$55,3,FALSE))</f>
        <v>50</v>
      </c>
      <c r="N31" s="6">
        <f>(VLOOKUP('102 5.1.00'!V31,'102 5.1.00'!$AM$4:$AO$55,3,FALSE))</f>
        <v>50</v>
      </c>
      <c r="O31" s="7">
        <f>(VLOOKUP('102 5.1.00'!W31,'102 5.1.00'!$AM$4:$AO$55,3,FALSE))</f>
        <v>50</v>
      </c>
      <c r="P31" s="7">
        <f>(VLOOKUP('102 5.1.00'!X31,'102 5.1.00'!$AM$4:$AO$55,3,FALSE))</f>
        <v>50</v>
      </c>
      <c r="Q31" s="6">
        <f>(VLOOKUP('102 5.1.00'!Y31,'102 5.1.00'!$AM$4:$AO$55,3,FALSE))</f>
        <v>0</v>
      </c>
      <c r="R31" s="6">
        <f>(VLOOKUP('102 5.1.00'!Z31,'102 5.1.00'!$AM$4:$AO$55,3,FALSE))</f>
        <v>0</v>
      </c>
      <c r="S31" s="6">
        <f>(VLOOKUP('102 5.1.00'!AA31,'102 5.1.00'!$AM$4:$AO$55,3,FALSE))</f>
        <v>0</v>
      </c>
      <c r="T31" s="6">
        <f>(VLOOKUP('102 5.1.00'!AB31,'102 5.1.00'!$AM$4:$AO$55,3,FALSE))</f>
        <v>0</v>
      </c>
      <c r="U31" s="6">
        <f>(VLOOKUP('102 5.1.00'!AC31,'102 5.1.00'!$AM$4:$AO$55,3,FALSE))</f>
        <v>0</v>
      </c>
      <c r="V31" s="6">
        <f>(VLOOKUP('102 5.1.00'!AD31,'102 5.1.00'!$AM$4:$AO$55,3,FALSE))</f>
        <v>0</v>
      </c>
      <c r="W31" s="7">
        <f>(VLOOKUP('102 5.1.00'!AE31,'102 5.1.00'!$AM$4:$AO$55,3,FALSE))</f>
        <v>0</v>
      </c>
      <c r="X31" s="7">
        <f>(VLOOKUP('102 5.1.00'!AF31,'102 5.1.00'!$AM$4:$AO$55,3,FALSE))</f>
        <v>0</v>
      </c>
    </row>
    <row r="32" spans="1:24">
      <c r="A32" s="6">
        <f>(VLOOKUP('102 5.1.00'!I32,'102 5.1.00'!$AM$4:$AO$55,3,FALSE))</f>
        <v>55</v>
      </c>
      <c r="B32" s="6">
        <f>(VLOOKUP('102 5.1.00'!J32,'102 5.1.00'!$AM$4:$AO$55,3,FALSE))</f>
        <v>55</v>
      </c>
      <c r="C32" s="6">
        <f>(VLOOKUP('102 5.1.00'!K32,'102 5.1.00'!$AM$4:$AO$55,3,FALSE))</f>
        <v>55</v>
      </c>
      <c r="D32" s="6">
        <f>(VLOOKUP('102 5.1.00'!L32,'102 5.1.00'!$AM$4:$AO$55,3,FALSE))</f>
        <v>55</v>
      </c>
      <c r="E32" s="6">
        <f>(VLOOKUP('102 5.1.00'!M32,'102 5.1.00'!$AM$4:$AO$55,3,FALSE))</f>
        <v>55</v>
      </c>
      <c r="F32" s="6">
        <f>(VLOOKUP('102 5.1.00'!N32,'102 5.1.00'!$AM$4:$AO$55,3,FALSE))</f>
        <v>60</v>
      </c>
      <c r="G32" s="7">
        <f>(VLOOKUP('102 5.1.00'!O32,'102 5.1.00'!$AM$4:$AO$55,3,FALSE))</f>
        <v>0</v>
      </c>
      <c r="H32" s="7">
        <f>(VLOOKUP('102 5.1.00'!P32,'102 5.1.00'!$AM$4:$AO$55,3,FALSE))</f>
        <v>0</v>
      </c>
      <c r="I32" s="6">
        <f>(VLOOKUP('102 5.1.00'!Q32,'102 5.1.00'!$AM$4:$AO$55,3,FALSE))</f>
        <v>50</v>
      </c>
      <c r="J32" s="6">
        <f>(VLOOKUP('102 5.1.00'!R32,'102 5.1.00'!$AM$4:$AO$55,3,FALSE))</f>
        <v>50</v>
      </c>
      <c r="K32" s="6">
        <f>(VLOOKUP('102 5.1.00'!S32,'102 5.1.00'!$AM$4:$AO$55,3,FALSE))</f>
        <v>50</v>
      </c>
      <c r="L32" s="6">
        <f>(VLOOKUP('102 5.1.00'!T32,'102 5.1.00'!$AM$4:$AO$55,3,FALSE))</f>
        <v>50</v>
      </c>
      <c r="M32" s="6">
        <f>(VLOOKUP('102 5.1.00'!U32,'102 5.1.00'!$AM$4:$AO$55,3,FALSE))</f>
        <v>50</v>
      </c>
      <c r="N32" s="6">
        <f>(VLOOKUP('102 5.1.00'!V32,'102 5.1.00'!$AM$4:$AO$55,3,FALSE))</f>
        <v>30</v>
      </c>
      <c r="O32" s="7">
        <f>(VLOOKUP('102 5.1.00'!W32,'102 5.1.00'!$AM$4:$AO$55,3,FALSE))</f>
        <v>0</v>
      </c>
      <c r="P32" s="7">
        <f>(VLOOKUP('102 5.1.00'!X32,'102 5.1.00'!$AM$4:$AO$55,3,FALSE))</f>
        <v>0</v>
      </c>
      <c r="Q32" s="6">
        <f>(VLOOKUP('102 5.1.00'!Y32,'102 5.1.00'!$AM$4:$AO$55,3,FALSE))</f>
        <v>0</v>
      </c>
      <c r="R32" s="6">
        <f>(VLOOKUP('102 5.1.00'!Z32,'102 5.1.00'!$AM$4:$AO$55,3,FALSE))</f>
        <v>0</v>
      </c>
      <c r="S32" s="6">
        <f>(VLOOKUP('102 5.1.00'!AA32,'102 5.1.00'!$AM$4:$AO$55,3,FALSE))</f>
        <v>0</v>
      </c>
      <c r="T32" s="6">
        <f>(VLOOKUP('102 5.1.00'!AB32,'102 5.1.00'!$AM$4:$AO$55,3,FALSE))</f>
        <v>0</v>
      </c>
      <c r="U32" s="6">
        <f>(VLOOKUP('102 5.1.00'!AC32,'102 5.1.00'!$AM$4:$AO$55,3,FALSE))</f>
        <v>0</v>
      </c>
      <c r="V32" s="6">
        <f>(VLOOKUP('102 5.1.00'!AD32,'102 5.1.00'!$AM$4:$AO$55,3,FALSE))</f>
        <v>0</v>
      </c>
      <c r="W32" s="7">
        <f>(VLOOKUP('102 5.1.00'!AE32,'102 5.1.00'!$AM$4:$AO$55,3,FALSE))</f>
        <v>0</v>
      </c>
      <c r="X32" s="7">
        <f>(VLOOKUP('102 5.1.00'!AF32,'102 5.1.00'!$AM$4:$AO$55,3,FALSE))</f>
        <v>0</v>
      </c>
    </row>
    <row r="33" spans="1:24">
      <c r="A33" s="6">
        <f>(VLOOKUP('102 5.1.00'!I33,'102 5.1.00'!$AM$4:$AO$55,3,FALSE))</f>
        <v>60</v>
      </c>
      <c r="B33" s="6">
        <f>(VLOOKUP('102 5.1.00'!J33,'102 5.1.00'!$AM$4:$AO$55,3,FALSE))</f>
        <v>60</v>
      </c>
      <c r="C33" s="6">
        <f>(VLOOKUP('102 5.1.00'!K33,'102 5.1.00'!$AM$4:$AO$55,3,FALSE))</f>
        <v>60</v>
      </c>
      <c r="D33" s="6">
        <f>(VLOOKUP('102 5.1.00'!L33,'102 5.1.00'!$AM$4:$AO$55,3,FALSE))</f>
        <v>60</v>
      </c>
      <c r="E33" s="6">
        <f>(VLOOKUP('102 5.1.00'!M33,'102 5.1.00'!$AM$4:$AO$55,3,FALSE))</f>
        <v>60</v>
      </c>
      <c r="F33" s="6">
        <f>(VLOOKUP('102 5.1.00'!N33,'102 5.1.00'!$AM$4:$AO$55,3,FALSE))</f>
        <v>60</v>
      </c>
      <c r="G33" s="7">
        <f>(VLOOKUP('102 5.1.00'!O33,'102 5.1.00'!$AM$4:$AO$55,3,FALSE))</f>
        <v>0</v>
      </c>
      <c r="H33" s="7">
        <f>(VLOOKUP('102 5.1.00'!P33,'102 5.1.00'!$AM$4:$AO$55,3,FALSE))</f>
        <v>0</v>
      </c>
      <c r="I33" s="6">
        <f>(VLOOKUP('102 5.1.00'!Q33,'102 5.1.00'!$AM$4:$AO$55,3,FALSE))</f>
        <v>50</v>
      </c>
      <c r="J33" s="6">
        <f>(VLOOKUP('102 5.1.00'!R33,'102 5.1.00'!$AM$4:$AO$55,3,FALSE))</f>
        <v>50</v>
      </c>
      <c r="K33" s="6">
        <f>(VLOOKUP('102 5.1.00'!S33,'102 5.1.00'!$AM$4:$AO$55,3,FALSE))</f>
        <v>50</v>
      </c>
      <c r="L33" s="6">
        <f>(VLOOKUP('102 5.1.00'!T33,'102 5.1.00'!$AM$4:$AO$55,3,FALSE))</f>
        <v>50</v>
      </c>
      <c r="M33" s="6">
        <f>(VLOOKUP('102 5.1.00'!U33,'102 5.1.00'!$AM$4:$AO$55,3,FALSE))</f>
        <v>50</v>
      </c>
      <c r="N33" s="6">
        <f>(VLOOKUP('102 5.1.00'!V33,'102 5.1.00'!$AM$4:$AO$55,3,FALSE))</f>
        <v>50</v>
      </c>
      <c r="O33" s="7">
        <f>(VLOOKUP('102 5.1.00'!W33,'102 5.1.00'!$AM$4:$AO$55,3,FALSE))</f>
        <v>0</v>
      </c>
      <c r="P33" s="7">
        <f>(VLOOKUP('102 5.1.00'!X33,'102 5.1.00'!$AM$4:$AO$55,3,FALSE))</f>
        <v>0</v>
      </c>
      <c r="Q33" s="6">
        <f>(VLOOKUP('102 5.1.00'!Y33,'102 5.1.00'!$AM$4:$AO$55,3,FALSE))</f>
        <v>0</v>
      </c>
      <c r="R33" s="6">
        <f>(VLOOKUP('102 5.1.00'!Z33,'102 5.1.00'!$AM$4:$AO$55,3,FALSE))</f>
        <v>0</v>
      </c>
      <c r="S33" s="6">
        <f>(VLOOKUP('102 5.1.00'!AA33,'102 5.1.00'!$AM$4:$AO$55,3,FALSE))</f>
        <v>0</v>
      </c>
      <c r="T33" s="6">
        <f>(VLOOKUP('102 5.1.00'!AB33,'102 5.1.00'!$AM$4:$AO$55,3,FALSE))</f>
        <v>0</v>
      </c>
      <c r="U33" s="6">
        <f>(VLOOKUP('102 5.1.00'!AC33,'102 5.1.00'!$AM$4:$AO$55,3,FALSE))</f>
        <v>0</v>
      </c>
      <c r="V33" s="6">
        <f>(VLOOKUP('102 5.1.00'!AD33,'102 5.1.00'!$AM$4:$AO$55,3,FALSE))</f>
        <v>0</v>
      </c>
      <c r="W33" s="7">
        <f>(VLOOKUP('102 5.1.00'!AE33,'102 5.1.00'!$AM$4:$AO$55,3,FALSE))</f>
        <v>0</v>
      </c>
      <c r="X33" s="7">
        <f>(VLOOKUP('102 5.1.00'!AF33,'102 5.1.00'!$AM$4:$AO$55,3,FALSE))</f>
        <v>0</v>
      </c>
    </row>
    <row r="34" spans="1:24">
      <c r="A34" s="6">
        <f>(VLOOKUP('102 5.1.00'!I34,'102 5.1.00'!$AM$4:$AO$55,3,FALSE))</f>
        <v>60</v>
      </c>
      <c r="B34" s="6">
        <f>(VLOOKUP('102 5.1.00'!J34,'102 5.1.00'!$AM$4:$AO$55,3,FALSE))</f>
        <v>60</v>
      </c>
      <c r="C34" s="6">
        <f>(VLOOKUP('102 5.1.00'!K34,'102 5.1.00'!$AM$4:$AO$55,3,FALSE))</f>
        <v>60</v>
      </c>
      <c r="D34" s="6">
        <f>(VLOOKUP('102 5.1.00'!L34,'102 5.1.00'!$AM$4:$AO$55,3,FALSE))</f>
        <v>60</v>
      </c>
      <c r="E34" s="6">
        <f>(VLOOKUP('102 5.1.00'!M34,'102 5.1.00'!$AM$4:$AO$55,3,FALSE))</f>
        <v>60</v>
      </c>
      <c r="F34" s="6">
        <f>(VLOOKUP('102 5.1.00'!N34,'102 5.1.00'!$AM$4:$AO$55,3,FALSE))</f>
        <v>60</v>
      </c>
      <c r="G34" s="7">
        <f>(VLOOKUP('102 5.1.00'!O34,'102 5.1.00'!$AM$4:$AO$55,3,FALSE))</f>
        <v>0</v>
      </c>
      <c r="H34" s="7">
        <f>(VLOOKUP('102 5.1.00'!P34,'102 5.1.00'!$AM$4:$AO$55,3,FALSE))</f>
        <v>60</v>
      </c>
      <c r="I34" s="6">
        <f>(VLOOKUP('102 5.1.00'!Q34,'102 5.1.00'!$AM$4:$AO$55,3,FALSE))</f>
        <v>50</v>
      </c>
      <c r="J34" s="6">
        <f>(VLOOKUP('102 5.1.00'!R34,'102 5.1.00'!$AM$4:$AO$55,3,FALSE))</f>
        <v>50</v>
      </c>
      <c r="K34" s="6">
        <f>(VLOOKUP('102 5.1.00'!S34,'102 5.1.00'!$AM$4:$AO$55,3,FALSE))</f>
        <v>50</v>
      </c>
      <c r="L34" s="6">
        <f>(VLOOKUP('102 5.1.00'!T34,'102 5.1.00'!$AM$4:$AO$55,3,FALSE))</f>
        <v>50</v>
      </c>
      <c r="M34" s="6">
        <f>(VLOOKUP('102 5.1.00'!U34,'102 5.1.00'!$AM$4:$AO$55,3,FALSE))</f>
        <v>50</v>
      </c>
      <c r="N34" s="6">
        <f>(VLOOKUP('102 5.1.00'!V34,'102 5.1.00'!$AM$4:$AO$55,3,FALSE))</f>
        <v>50</v>
      </c>
      <c r="O34" s="7">
        <f>(VLOOKUP('102 5.1.00'!W34,'102 5.1.00'!$AM$4:$AO$55,3,FALSE))</f>
        <v>0</v>
      </c>
      <c r="P34" s="7">
        <f>(VLOOKUP('102 5.1.00'!X34,'102 5.1.00'!$AM$4:$AO$55,3,FALSE))</f>
        <v>0</v>
      </c>
      <c r="Q34" s="6">
        <f>(VLOOKUP('102 5.1.00'!Y34,'102 5.1.00'!$AM$4:$AO$55,3,FALSE))</f>
        <v>0</v>
      </c>
      <c r="R34" s="6">
        <f>(VLOOKUP('102 5.1.00'!Z34,'102 5.1.00'!$AM$4:$AO$55,3,FALSE))</f>
        <v>0</v>
      </c>
      <c r="S34" s="6">
        <f>(VLOOKUP('102 5.1.00'!AA34,'102 5.1.00'!$AM$4:$AO$55,3,FALSE))</f>
        <v>0</v>
      </c>
      <c r="T34" s="6">
        <f>(VLOOKUP('102 5.1.00'!AB34,'102 5.1.00'!$AM$4:$AO$55,3,FALSE))</f>
        <v>0</v>
      </c>
      <c r="U34" s="6">
        <f>(VLOOKUP('102 5.1.00'!AC34,'102 5.1.00'!$AM$4:$AO$55,3,FALSE))</f>
        <v>0</v>
      </c>
      <c r="V34" s="6">
        <f>(VLOOKUP('102 5.1.00'!AD34,'102 5.1.00'!$AM$4:$AO$55,3,FALSE))</f>
        <v>0</v>
      </c>
      <c r="W34" s="7">
        <f>(VLOOKUP('102 5.1.00'!AE34,'102 5.1.00'!$AM$4:$AO$55,3,FALSE))</f>
        <v>0</v>
      </c>
      <c r="X34" s="7">
        <f>(VLOOKUP('102 5.1.00'!AF34,'102 5.1.00'!$AM$4:$AO$55,3,FALSE))</f>
        <v>0</v>
      </c>
    </row>
    <row r="35" spans="1:24">
      <c r="A35" s="6">
        <f>(VLOOKUP('102 5.1.00'!I35,'102 5.1.00'!$AM$4:$AO$55,3,FALSE))</f>
        <v>60</v>
      </c>
      <c r="B35" s="6">
        <f>(VLOOKUP('102 5.1.00'!J35,'102 5.1.00'!$AM$4:$AO$55,3,FALSE))</f>
        <v>60</v>
      </c>
      <c r="C35" s="6">
        <f>(VLOOKUP('102 5.1.00'!K35,'102 5.1.00'!$AM$4:$AO$55,3,FALSE))</f>
        <v>60</v>
      </c>
      <c r="D35" s="6">
        <f>(VLOOKUP('102 5.1.00'!L35,'102 5.1.00'!$AM$4:$AO$55,3,FALSE))</f>
        <v>60</v>
      </c>
      <c r="E35" s="6">
        <f>(VLOOKUP('102 5.1.00'!M35,'102 5.1.00'!$AM$4:$AO$55,3,FALSE))</f>
        <v>60</v>
      </c>
      <c r="F35" s="6">
        <f>(VLOOKUP('102 5.1.00'!N35,'102 5.1.00'!$AM$4:$AO$55,3,FALSE))</f>
        <v>60</v>
      </c>
      <c r="G35" s="7">
        <f>(VLOOKUP('102 5.1.00'!O35,'102 5.1.00'!$AM$4:$AO$55,3,FALSE))</f>
        <v>0</v>
      </c>
      <c r="H35" s="7">
        <f>(VLOOKUP('102 5.1.00'!P35,'102 5.1.00'!$AM$4:$AO$55,3,FALSE))</f>
        <v>0</v>
      </c>
      <c r="I35" s="6">
        <f>(VLOOKUP('102 5.1.00'!Q35,'102 5.1.00'!$AM$4:$AO$55,3,FALSE))</f>
        <v>50</v>
      </c>
      <c r="J35" s="6">
        <f>(VLOOKUP('102 5.1.00'!R35,'102 5.1.00'!$AM$4:$AO$55,3,FALSE))</f>
        <v>50</v>
      </c>
      <c r="K35" s="6">
        <f>(VLOOKUP('102 5.1.00'!S35,'102 5.1.00'!$AM$4:$AO$55,3,FALSE))</f>
        <v>50</v>
      </c>
      <c r="L35" s="6">
        <f>(VLOOKUP('102 5.1.00'!T35,'102 5.1.00'!$AM$4:$AO$55,3,FALSE))</f>
        <v>50</v>
      </c>
      <c r="M35" s="6">
        <f>(VLOOKUP('102 5.1.00'!U35,'102 5.1.00'!$AM$4:$AO$55,3,FALSE))</f>
        <v>55</v>
      </c>
      <c r="N35" s="6">
        <f>(VLOOKUP('102 5.1.00'!V35,'102 5.1.00'!$AM$4:$AO$55,3,FALSE))</f>
        <v>55</v>
      </c>
      <c r="O35" s="7">
        <f>(VLOOKUP('102 5.1.00'!W35,'102 5.1.00'!$AM$4:$AO$55,3,FALSE))</f>
        <v>0</v>
      </c>
      <c r="P35" s="7">
        <f>(VLOOKUP('102 5.1.00'!X35,'102 5.1.00'!$AM$4:$AO$55,3,FALSE))</f>
        <v>0</v>
      </c>
      <c r="Q35" s="6">
        <f>(VLOOKUP('102 5.1.00'!Y35,'102 5.1.00'!$AM$4:$AO$55,3,FALSE))</f>
        <v>0</v>
      </c>
      <c r="R35" s="6">
        <f>(VLOOKUP('102 5.1.00'!Z35,'102 5.1.00'!$AM$4:$AO$55,3,FALSE))</f>
        <v>0</v>
      </c>
      <c r="S35" s="6">
        <f>(VLOOKUP('102 5.1.00'!AA35,'102 5.1.00'!$AM$4:$AO$55,3,FALSE))</f>
        <v>0</v>
      </c>
      <c r="T35" s="6">
        <f>(VLOOKUP('102 5.1.00'!AB35,'102 5.1.00'!$AM$4:$AO$55,3,FALSE))</f>
        <v>0</v>
      </c>
      <c r="U35" s="6">
        <f>(VLOOKUP('102 5.1.00'!AC35,'102 5.1.00'!$AM$4:$AO$55,3,FALSE))</f>
        <v>0</v>
      </c>
      <c r="V35" s="6">
        <f>(VLOOKUP('102 5.1.00'!AD35,'102 5.1.00'!$AM$4:$AO$55,3,FALSE))</f>
        <v>0</v>
      </c>
      <c r="W35" s="7">
        <f>(VLOOKUP('102 5.1.00'!AE35,'102 5.1.00'!$AM$4:$AO$55,3,FALSE))</f>
        <v>0</v>
      </c>
      <c r="X35" s="7">
        <f>(VLOOKUP('102 5.1.00'!AF35,'102 5.1.00'!$AM$4:$AO$55,3,FALSE))</f>
        <v>0</v>
      </c>
    </row>
    <row r="36" spans="1:24">
      <c r="A36" s="6">
        <f>(VLOOKUP('102 5.1.00'!I36,'102 5.1.00'!$AM$4:$AO$55,3,FALSE))</f>
        <v>60</v>
      </c>
      <c r="B36" s="6">
        <f>(VLOOKUP('102 5.1.00'!J36,'102 5.1.00'!$AM$4:$AO$55,3,FALSE))</f>
        <v>60</v>
      </c>
      <c r="C36" s="6">
        <f>(VLOOKUP('102 5.1.00'!K36,'102 5.1.00'!$AM$4:$AO$55,3,FALSE))</f>
        <v>60</v>
      </c>
      <c r="D36" s="6">
        <f>(VLOOKUP('102 5.1.00'!L36,'102 5.1.00'!$AM$4:$AO$55,3,FALSE))</f>
        <v>60</v>
      </c>
      <c r="E36" s="6">
        <f>(VLOOKUP('102 5.1.00'!M36,'102 5.1.00'!$AM$4:$AO$55,3,FALSE))</f>
        <v>60</v>
      </c>
      <c r="F36" s="6">
        <f>(VLOOKUP('102 5.1.00'!N36,'102 5.1.00'!$AM$4:$AO$55,3,FALSE))</f>
        <v>60</v>
      </c>
      <c r="G36" s="7">
        <f>(VLOOKUP('102 5.1.00'!O36,'102 5.1.00'!$AM$4:$AO$55,3,FALSE))</f>
        <v>0</v>
      </c>
      <c r="H36" s="7">
        <f>(VLOOKUP('102 5.1.00'!P36,'102 5.1.00'!$AM$4:$AO$55,3,FALSE))</f>
        <v>0</v>
      </c>
      <c r="I36" s="6">
        <f>(VLOOKUP('102 5.1.00'!Q36,'102 5.1.00'!$AM$4:$AO$55,3,FALSE))</f>
        <v>55</v>
      </c>
      <c r="J36" s="6">
        <f>(VLOOKUP('102 5.1.00'!R36,'102 5.1.00'!$AM$4:$AO$55,3,FALSE))</f>
        <v>55</v>
      </c>
      <c r="K36" s="6">
        <f>(VLOOKUP('102 5.1.00'!S36,'102 5.1.00'!$AM$4:$AO$55,3,FALSE))</f>
        <v>55</v>
      </c>
      <c r="L36" s="6">
        <f>(VLOOKUP('102 5.1.00'!T36,'102 5.1.00'!$AM$4:$AO$55,3,FALSE))</f>
        <v>55</v>
      </c>
      <c r="M36" s="6">
        <f>(VLOOKUP('102 5.1.00'!U36,'102 5.1.00'!$AM$4:$AO$55,3,FALSE))</f>
        <v>55</v>
      </c>
      <c r="N36" s="6">
        <f>(VLOOKUP('102 5.1.00'!V36,'102 5.1.00'!$AM$4:$AO$55,3,FALSE))</f>
        <v>55</v>
      </c>
      <c r="O36" s="7">
        <f>(VLOOKUP('102 5.1.00'!W36,'102 5.1.00'!$AM$4:$AO$55,3,FALSE))</f>
        <v>0</v>
      </c>
      <c r="P36" s="7">
        <f>(VLOOKUP('102 5.1.00'!X36,'102 5.1.00'!$AM$4:$AO$55,3,FALSE))</f>
        <v>0</v>
      </c>
      <c r="Q36" s="6">
        <f>(VLOOKUP('102 5.1.00'!Y36,'102 5.1.00'!$AM$4:$AO$55,3,FALSE))</f>
        <v>0</v>
      </c>
      <c r="R36" s="6">
        <f>(VLOOKUP('102 5.1.00'!Z36,'102 5.1.00'!$AM$4:$AO$55,3,FALSE))</f>
        <v>0</v>
      </c>
      <c r="S36" s="6">
        <f>(VLOOKUP('102 5.1.00'!AA36,'102 5.1.00'!$AM$4:$AO$55,3,FALSE))</f>
        <v>0</v>
      </c>
      <c r="T36" s="6">
        <f>(VLOOKUP('102 5.1.00'!AB36,'102 5.1.00'!$AM$4:$AO$55,3,FALSE))</f>
        <v>0</v>
      </c>
      <c r="U36" s="6">
        <f>(VLOOKUP('102 5.1.00'!AC36,'102 5.1.00'!$AM$4:$AO$55,3,FALSE))</f>
        <v>0</v>
      </c>
      <c r="V36" s="6">
        <f>(VLOOKUP('102 5.1.00'!AD36,'102 5.1.00'!$AM$4:$AO$55,3,FALSE))</f>
        <v>0</v>
      </c>
      <c r="W36" s="7">
        <f>(VLOOKUP('102 5.1.00'!AE36,'102 5.1.00'!$AM$4:$AO$55,3,FALSE))</f>
        <v>0</v>
      </c>
      <c r="X36" s="7">
        <f>(VLOOKUP('102 5.1.00'!AF36,'102 5.1.00'!$AM$4:$AO$55,3,FALSE))</f>
        <v>0</v>
      </c>
    </row>
    <row r="37" spans="1:24">
      <c r="A37" s="6">
        <f>(VLOOKUP('102 5.1.00'!I37,'102 5.1.00'!$AM$4:$AO$55,3,FALSE))</f>
        <v>60</v>
      </c>
      <c r="B37" s="6">
        <f>(VLOOKUP('102 5.1.00'!J37,'102 5.1.00'!$AM$4:$AO$55,3,FALSE))</f>
        <v>60</v>
      </c>
      <c r="C37" s="6">
        <f>(VLOOKUP('102 5.1.00'!K37,'102 5.1.00'!$AM$4:$AO$55,3,FALSE))</f>
        <v>60</v>
      </c>
      <c r="D37" s="6">
        <f>(VLOOKUP('102 5.1.00'!L37,'102 5.1.00'!$AM$4:$AO$55,3,FALSE))</f>
        <v>60</v>
      </c>
      <c r="E37" s="6">
        <f>(VLOOKUP('102 5.1.00'!M37,'102 5.1.00'!$AM$4:$AO$55,3,FALSE))</f>
        <v>60</v>
      </c>
      <c r="F37" s="6">
        <f>(VLOOKUP('102 5.1.00'!N37,'102 5.1.00'!$AM$4:$AO$55,3,FALSE))</f>
        <v>60</v>
      </c>
      <c r="G37" s="7">
        <f>(VLOOKUP('102 5.1.00'!O37,'102 5.1.00'!$AM$4:$AO$55,3,FALSE))</f>
        <v>0</v>
      </c>
      <c r="H37" s="7">
        <f>(VLOOKUP('102 5.1.00'!P37,'102 5.1.00'!$AM$4:$AO$55,3,FALSE))</f>
        <v>0</v>
      </c>
      <c r="I37" s="6">
        <f>(VLOOKUP('102 5.1.00'!Q37,'102 5.1.00'!$AM$4:$AO$55,3,FALSE))</f>
        <v>55</v>
      </c>
      <c r="J37" s="6">
        <f>(VLOOKUP('102 5.1.00'!R37,'102 5.1.00'!$AM$4:$AO$55,3,FALSE))</f>
        <v>55</v>
      </c>
      <c r="K37" s="6">
        <f>(VLOOKUP('102 5.1.00'!S37,'102 5.1.00'!$AM$4:$AO$55,3,FALSE))</f>
        <v>55</v>
      </c>
      <c r="L37" s="6">
        <f>(VLOOKUP('102 5.1.00'!T37,'102 5.1.00'!$AM$4:$AO$55,3,FALSE))</f>
        <v>55</v>
      </c>
      <c r="M37" s="6">
        <f>(VLOOKUP('102 5.1.00'!U37,'102 5.1.00'!$AM$4:$AO$55,3,FALSE))</f>
        <v>55</v>
      </c>
      <c r="N37" s="6">
        <f>(VLOOKUP('102 5.1.00'!V37,'102 5.1.00'!$AM$4:$AO$55,3,FALSE))</f>
        <v>55</v>
      </c>
      <c r="O37" s="7">
        <f>(VLOOKUP('102 5.1.00'!W37,'102 5.1.00'!$AM$4:$AO$55,3,FALSE))</f>
        <v>0</v>
      </c>
      <c r="P37" s="7">
        <f>(VLOOKUP('102 5.1.00'!X37,'102 5.1.00'!$AM$4:$AO$55,3,FALSE))</f>
        <v>0</v>
      </c>
      <c r="Q37" s="6">
        <f>(VLOOKUP('102 5.1.00'!Y37,'102 5.1.00'!$AM$4:$AO$55,3,FALSE))</f>
        <v>0</v>
      </c>
      <c r="R37" s="6">
        <f>(VLOOKUP('102 5.1.00'!Z37,'102 5.1.00'!$AM$4:$AO$55,3,FALSE))</f>
        <v>0</v>
      </c>
      <c r="S37" s="6">
        <f>(VLOOKUP('102 5.1.00'!AA37,'102 5.1.00'!$AM$4:$AO$55,3,FALSE))</f>
        <v>0</v>
      </c>
      <c r="T37" s="6">
        <f>(VLOOKUP('102 5.1.00'!AB37,'102 5.1.00'!$AM$4:$AO$55,3,FALSE))</f>
        <v>0</v>
      </c>
      <c r="U37" s="6">
        <f>(VLOOKUP('102 5.1.00'!AC37,'102 5.1.00'!$AM$4:$AO$55,3,FALSE))</f>
        <v>0</v>
      </c>
      <c r="V37" s="6">
        <f>(VLOOKUP('102 5.1.00'!AD37,'102 5.1.00'!$AM$4:$AO$55,3,FALSE))</f>
        <v>0</v>
      </c>
      <c r="W37" s="7">
        <f>(VLOOKUP('102 5.1.00'!AE37,'102 5.1.00'!$AM$4:$AO$55,3,FALSE))</f>
        <v>0</v>
      </c>
      <c r="X37" s="7">
        <f>(VLOOKUP('102 5.1.00'!AF37,'102 5.1.00'!$AM$4:$AO$55,3,FALSE))</f>
        <v>0</v>
      </c>
    </row>
    <row r="38" spans="1:24">
      <c r="A38" s="6">
        <f>(VLOOKUP('102 5.1.00'!I38,'102 5.1.00'!$AM$4:$AO$55,3,FALSE))</f>
        <v>60</v>
      </c>
      <c r="B38" s="6">
        <f>(VLOOKUP('102 5.1.00'!J38,'102 5.1.00'!$AM$4:$AO$55,3,FALSE))</f>
        <v>60</v>
      </c>
      <c r="C38" s="6">
        <f>(VLOOKUP('102 5.1.00'!K38,'102 5.1.00'!$AM$4:$AO$55,3,FALSE))</f>
        <v>60</v>
      </c>
      <c r="D38" s="6">
        <f>(VLOOKUP('102 5.1.00'!L38,'102 5.1.00'!$AM$4:$AO$55,3,FALSE))</f>
        <v>60</v>
      </c>
      <c r="E38" s="6">
        <f>(VLOOKUP('102 5.1.00'!M38,'102 5.1.00'!$AM$4:$AO$55,3,FALSE))</f>
        <v>60</v>
      </c>
      <c r="F38" s="6">
        <f>(VLOOKUP('102 5.1.00'!N38,'102 5.1.00'!$AM$4:$AO$55,3,FALSE))</f>
        <v>60</v>
      </c>
      <c r="G38" s="7">
        <f>(VLOOKUP('102 5.1.00'!O38,'102 5.1.00'!$AM$4:$AO$55,3,FALSE))</f>
        <v>0</v>
      </c>
      <c r="H38" s="7">
        <f>(VLOOKUP('102 5.1.00'!P38,'102 5.1.00'!$AM$4:$AO$55,3,FALSE))</f>
        <v>0</v>
      </c>
      <c r="I38" s="6">
        <f>(VLOOKUP('102 5.1.00'!Q38,'102 5.1.00'!$AM$4:$AO$55,3,FALSE))</f>
        <v>55</v>
      </c>
      <c r="J38" s="6">
        <f>(VLOOKUP('102 5.1.00'!R38,'102 5.1.00'!$AM$4:$AO$55,3,FALSE))</f>
        <v>55</v>
      </c>
      <c r="K38" s="6">
        <f>(VLOOKUP('102 5.1.00'!S38,'102 5.1.00'!$AM$4:$AO$55,3,FALSE))</f>
        <v>55</v>
      </c>
      <c r="L38" s="6">
        <f>(VLOOKUP('102 5.1.00'!T38,'102 5.1.00'!$AM$4:$AO$55,3,FALSE))</f>
        <v>55</v>
      </c>
      <c r="M38" s="6">
        <f>(VLOOKUP('102 5.1.00'!U38,'102 5.1.00'!$AM$4:$AO$55,3,FALSE))</f>
        <v>55</v>
      </c>
      <c r="N38" s="6">
        <f>(VLOOKUP('102 5.1.00'!V38,'102 5.1.00'!$AM$4:$AO$55,3,FALSE))</f>
        <v>55</v>
      </c>
      <c r="O38" s="7">
        <f>(VLOOKUP('102 5.1.00'!W38,'102 5.1.00'!$AM$4:$AO$55,3,FALSE))</f>
        <v>0</v>
      </c>
      <c r="P38" s="7">
        <f>(VLOOKUP('102 5.1.00'!X38,'102 5.1.00'!$AM$4:$AO$55,3,FALSE))</f>
        <v>0</v>
      </c>
      <c r="Q38" s="6">
        <f>(VLOOKUP('102 5.1.00'!Y38,'102 5.1.00'!$AM$4:$AO$55,3,FALSE))</f>
        <v>0</v>
      </c>
      <c r="R38" s="6">
        <f>(VLOOKUP('102 5.1.00'!Z38,'102 5.1.00'!$AM$4:$AO$55,3,FALSE))</f>
        <v>0</v>
      </c>
      <c r="S38" s="6">
        <f>(VLOOKUP('102 5.1.00'!AA38,'102 5.1.00'!$AM$4:$AO$55,3,FALSE))</f>
        <v>0</v>
      </c>
      <c r="T38" s="6">
        <f>(VLOOKUP('102 5.1.00'!AB38,'102 5.1.00'!$AM$4:$AO$55,3,FALSE))</f>
        <v>0</v>
      </c>
      <c r="U38" s="6">
        <f>(VLOOKUP('102 5.1.00'!AC38,'102 5.1.00'!$AM$4:$AO$55,3,FALSE))</f>
        <v>0</v>
      </c>
      <c r="V38" s="6">
        <f>(VLOOKUP('102 5.1.00'!AD38,'102 5.1.00'!$AM$4:$AO$55,3,FALSE))</f>
        <v>0</v>
      </c>
      <c r="W38" s="7">
        <f>(VLOOKUP('102 5.1.00'!AE38,'102 5.1.00'!$AM$4:$AO$55,3,FALSE))</f>
        <v>0</v>
      </c>
      <c r="X38" s="7">
        <f>(VLOOKUP('102 5.1.00'!AF38,'102 5.1.00'!$AM$4:$AO$55,3,FALSE))</f>
        <v>0</v>
      </c>
    </row>
    <row r="39" spans="1:24">
      <c r="A39" s="6">
        <f>(VLOOKUP('102 5.1.00'!I39,'102 5.1.00'!$AM$4:$AO$55,3,FALSE))</f>
        <v>60</v>
      </c>
      <c r="B39" s="6">
        <f>(VLOOKUP('102 5.1.00'!J39,'102 5.1.00'!$AM$4:$AO$55,3,FALSE))</f>
        <v>60</v>
      </c>
      <c r="C39" s="6">
        <f>(VLOOKUP('102 5.1.00'!K39,'102 5.1.00'!$AM$4:$AO$55,3,FALSE))</f>
        <v>1000</v>
      </c>
      <c r="D39" s="6">
        <f>(VLOOKUP('102 5.1.00'!L39,'102 5.1.00'!$AM$4:$AO$55,3,FALSE))</f>
        <v>60</v>
      </c>
      <c r="E39" s="6">
        <f>(VLOOKUP('102 5.1.00'!M39,'102 5.1.00'!$AM$4:$AO$55,3,FALSE))</f>
        <v>60</v>
      </c>
      <c r="F39" s="6">
        <f>(VLOOKUP('102 5.1.00'!N39,'102 5.1.00'!$AM$4:$AO$55,3,FALSE))</f>
        <v>60</v>
      </c>
      <c r="G39" s="7">
        <f>(VLOOKUP('102 5.1.00'!O39,'102 5.1.00'!$AM$4:$AO$55,3,FALSE))</f>
        <v>0</v>
      </c>
      <c r="H39" s="7">
        <f>(VLOOKUP('102 5.1.00'!P39,'102 5.1.00'!$AM$4:$AO$55,3,FALSE))</f>
        <v>0</v>
      </c>
      <c r="I39" s="6">
        <f>(VLOOKUP('102 5.1.00'!Q39,'102 5.1.00'!$AM$4:$AO$55,3,FALSE))</f>
        <v>55</v>
      </c>
      <c r="J39" s="6">
        <f>(VLOOKUP('102 5.1.00'!R39,'102 5.1.00'!$AM$4:$AO$55,3,FALSE))</f>
        <v>55</v>
      </c>
      <c r="K39" s="6">
        <f>(VLOOKUP('102 5.1.00'!S39,'102 5.1.00'!$AM$4:$AO$55,3,FALSE))</f>
        <v>500</v>
      </c>
      <c r="L39" s="6">
        <f>(VLOOKUP('102 5.1.00'!T39,'102 5.1.00'!$AM$4:$AO$55,3,FALSE))</f>
        <v>55</v>
      </c>
      <c r="M39" s="6">
        <f>(VLOOKUP('102 5.1.00'!U39,'102 5.1.00'!$AM$4:$AO$55,3,FALSE))</f>
        <v>55</v>
      </c>
      <c r="N39" s="6">
        <f>(VLOOKUP('102 5.1.00'!V39,'102 5.1.00'!$AM$4:$AO$55,3,FALSE))</f>
        <v>55</v>
      </c>
      <c r="O39" s="7">
        <f>(VLOOKUP('102 5.1.00'!W39,'102 5.1.00'!$AM$4:$AO$55,3,FALSE))</f>
        <v>0</v>
      </c>
      <c r="P39" s="7">
        <f>(VLOOKUP('102 5.1.00'!X39,'102 5.1.00'!$AM$4:$AO$55,3,FALSE))</f>
        <v>0</v>
      </c>
      <c r="Q39" s="6">
        <f>(VLOOKUP('102 5.1.00'!Y39,'102 5.1.00'!$AM$4:$AO$55,3,FALSE))</f>
        <v>0</v>
      </c>
      <c r="R39" s="6">
        <f>(VLOOKUP('102 5.1.00'!Z39,'102 5.1.00'!$AM$4:$AO$55,3,FALSE))</f>
        <v>0</v>
      </c>
      <c r="S39" s="6">
        <f>(VLOOKUP('102 5.1.00'!AA39,'102 5.1.00'!$AM$4:$AO$55,3,FALSE))</f>
        <v>0</v>
      </c>
      <c r="T39" s="6">
        <f>(VLOOKUP('102 5.1.00'!AB39,'102 5.1.00'!$AM$4:$AO$55,3,FALSE))</f>
        <v>0</v>
      </c>
      <c r="U39" s="6">
        <f>(VLOOKUP('102 5.1.00'!AC39,'102 5.1.00'!$AM$4:$AO$55,3,FALSE))</f>
        <v>0</v>
      </c>
      <c r="V39" s="6">
        <f>(VLOOKUP('102 5.1.00'!AD39,'102 5.1.00'!$AM$4:$AO$55,3,FALSE))</f>
        <v>0</v>
      </c>
      <c r="W39" s="7">
        <f>(VLOOKUP('102 5.1.00'!AE39,'102 5.1.00'!$AM$4:$AO$55,3,FALSE))</f>
        <v>0</v>
      </c>
      <c r="X39" s="7">
        <f>(VLOOKUP('102 5.1.00'!AF39,'102 5.1.00'!$AM$4:$AO$55,3,FALSE))</f>
        <v>0</v>
      </c>
    </row>
    <row r="40" spans="1:24">
      <c r="A40" s="6">
        <f>(VLOOKUP('102 5.1.00'!I40,'102 5.1.00'!$AM$4:$AO$55,3,FALSE))</f>
        <v>60</v>
      </c>
      <c r="B40" s="6">
        <f>(VLOOKUP('102 5.1.00'!J40,'102 5.1.00'!$AM$4:$AO$55,3,FALSE))</f>
        <v>60</v>
      </c>
      <c r="C40" s="6">
        <f>(VLOOKUP('102 5.1.00'!K40,'102 5.1.00'!$AM$4:$AO$55,3,FALSE))</f>
        <v>60</v>
      </c>
      <c r="D40" s="6">
        <f>(VLOOKUP('102 5.1.00'!L40,'102 5.1.00'!$AM$4:$AO$55,3,FALSE))</f>
        <v>60</v>
      </c>
      <c r="E40" s="6">
        <f>(VLOOKUP('102 5.1.00'!M40,'102 5.1.00'!$AM$4:$AO$55,3,FALSE))</f>
        <v>60</v>
      </c>
      <c r="F40" s="6">
        <f>(VLOOKUP('102 5.1.00'!N40,'102 5.1.00'!$AM$4:$AO$55,3,FALSE))</f>
        <v>60</v>
      </c>
      <c r="G40" s="7">
        <f>(VLOOKUP('102 5.1.00'!O40,'102 5.1.00'!$AM$4:$AO$55,3,FALSE))</f>
        <v>0</v>
      </c>
      <c r="H40" s="7">
        <f>(VLOOKUP('102 5.1.00'!P40,'102 5.1.00'!$AM$4:$AO$55,3,FALSE))</f>
        <v>0</v>
      </c>
      <c r="I40" s="6">
        <f>(VLOOKUP('102 5.1.00'!Q40,'102 5.1.00'!$AM$4:$AO$55,3,FALSE))</f>
        <v>55</v>
      </c>
      <c r="J40" s="6">
        <f>(VLOOKUP('102 5.1.00'!R40,'102 5.1.00'!$AM$4:$AO$55,3,FALSE))</f>
        <v>55</v>
      </c>
      <c r="K40" s="6">
        <f>(VLOOKUP('102 5.1.00'!S40,'102 5.1.00'!$AM$4:$AO$55,3,FALSE))</f>
        <v>55</v>
      </c>
      <c r="L40" s="6">
        <f>(VLOOKUP('102 5.1.00'!T40,'102 5.1.00'!$AM$4:$AO$55,3,FALSE))</f>
        <v>55</v>
      </c>
      <c r="M40" s="6">
        <f>(VLOOKUP('102 5.1.00'!U40,'102 5.1.00'!$AM$4:$AO$55,3,FALSE))</f>
        <v>55</v>
      </c>
      <c r="N40" s="6">
        <f>(VLOOKUP('102 5.1.00'!V40,'102 5.1.00'!$AM$4:$AO$55,3,FALSE))</f>
        <v>55</v>
      </c>
      <c r="O40" s="7">
        <f>(VLOOKUP('102 5.1.00'!W40,'102 5.1.00'!$AM$4:$AO$55,3,FALSE))</f>
        <v>0</v>
      </c>
      <c r="P40" s="7">
        <f>(VLOOKUP('102 5.1.00'!X40,'102 5.1.00'!$AM$4:$AO$55,3,FALSE))</f>
        <v>0</v>
      </c>
      <c r="Q40" s="6">
        <f>(VLOOKUP('102 5.1.00'!Y40,'102 5.1.00'!$AM$4:$AO$55,3,FALSE))</f>
        <v>0</v>
      </c>
      <c r="R40" s="6">
        <f>(VLOOKUP('102 5.1.00'!Z40,'102 5.1.00'!$AM$4:$AO$55,3,FALSE))</f>
        <v>0</v>
      </c>
      <c r="S40" s="6">
        <f>(VLOOKUP('102 5.1.00'!AA40,'102 5.1.00'!$AM$4:$AO$55,3,FALSE))</f>
        <v>0</v>
      </c>
      <c r="T40" s="6">
        <f>(VLOOKUP('102 5.1.00'!AB40,'102 5.1.00'!$AM$4:$AO$55,3,FALSE))</f>
        <v>0</v>
      </c>
      <c r="U40" s="6">
        <f>(VLOOKUP('102 5.1.00'!AC40,'102 5.1.00'!$AM$4:$AO$55,3,FALSE))</f>
        <v>0</v>
      </c>
      <c r="V40" s="6">
        <f>(VLOOKUP('102 5.1.00'!AD40,'102 5.1.00'!$AM$4:$AO$55,3,FALSE))</f>
        <v>0</v>
      </c>
      <c r="W40" s="7">
        <f>(VLOOKUP('102 5.1.00'!AE40,'102 5.1.00'!$AM$4:$AO$55,3,FALSE))</f>
        <v>0</v>
      </c>
      <c r="X40" s="7">
        <f>(VLOOKUP('102 5.1.00'!AF40,'102 5.1.00'!$AM$4:$AO$55,3,FALSE))</f>
        <v>0</v>
      </c>
    </row>
    <row r="41" spans="1:24">
      <c r="A41" s="6">
        <f>(VLOOKUP('102 5.1.00'!I41,'102 5.1.00'!$AM$4:$AO$55,3,FALSE))</f>
        <v>60</v>
      </c>
      <c r="B41" s="6">
        <f>(VLOOKUP('102 5.1.00'!J41,'102 5.1.00'!$AM$4:$AO$55,3,FALSE))</f>
        <v>60</v>
      </c>
      <c r="C41" s="6">
        <f>(VLOOKUP('102 5.1.00'!K41,'102 5.1.00'!$AM$4:$AO$55,3,FALSE))</f>
        <v>60</v>
      </c>
      <c r="D41" s="6">
        <f>(VLOOKUP('102 5.1.00'!L41,'102 5.1.00'!$AM$4:$AO$55,3,FALSE))</f>
        <v>60</v>
      </c>
      <c r="E41" s="6">
        <f>(VLOOKUP('102 5.1.00'!M41,'102 5.1.00'!$AM$4:$AO$55,3,FALSE))</f>
        <v>60</v>
      </c>
      <c r="F41" s="6">
        <f>(VLOOKUP('102 5.1.00'!N41,'102 5.1.00'!$AM$4:$AO$55,3,FALSE))</f>
        <v>60</v>
      </c>
      <c r="G41" s="7">
        <f>(VLOOKUP('102 5.1.00'!O41,'102 5.1.00'!$AM$4:$AO$55,3,FALSE))</f>
        <v>0</v>
      </c>
      <c r="H41" s="7">
        <f>(VLOOKUP('102 5.1.00'!P41,'102 5.1.00'!$AM$4:$AO$55,3,FALSE))</f>
        <v>0</v>
      </c>
      <c r="I41" s="6">
        <f>(VLOOKUP('102 5.1.00'!Q41,'102 5.1.00'!$AM$4:$AO$55,3,FALSE))</f>
        <v>55</v>
      </c>
      <c r="J41" s="6">
        <f>(VLOOKUP('102 5.1.00'!R41,'102 5.1.00'!$AM$4:$AO$55,3,FALSE))</f>
        <v>55</v>
      </c>
      <c r="K41" s="6">
        <f>(VLOOKUP('102 5.1.00'!S41,'102 5.1.00'!$AM$4:$AO$55,3,FALSE))</f>
        <v>55</v>
      </c>
      <c r="L41" s="6">
        <f>(VLOOKUP('102 5.1.00'!T41,'102 5.1.00'!$AM$4:$AO$55,3,FALSE))</f>
        <v>55</v>
      </c>
      <c r="M41" s="6">
        <f>(VLOOKUP('102 5.1.00'!U41,'102 5.1.00'!$AM$4:$AO$55,3,FALSE))</f>
        <v>55</v>
      </c>
      <c r="N41" s="6">
        <f>(VLOOKUP('102 5.1.00'!V41,'102 5.1.00'!$AM$4:$AO$55,3,FALSE))</f>
        <v>55</v>
      </c>
      <c r="O41" s="7">
        <f>(VLOOKUP('102 5.1.00'!W41,'102 5.1.00'!$AM$4:$AO$55,3,FALSE))</f>
        <v>0</v>
      </c>
      <c r="P41" s="7">
        <f>(VLOOKUP('102 5.1.00'!X41,'102 5.1.00'!$AM$4:$AO$55,3,FALSE))</f>
        <v>0</v>
      </c>
      <c r="Q41" s="6">
        <f>(VLOOKUP('102 5.1.00'!Y41,'102 5.1.00'!$AM$4:$AO$55,3,FALSE))</f>
        <v>0</v>
      </c>
      <c r="R41" s="6">
        <f>(VLOOKUP('102 5.1.00'!Z41,'102 5.1.00'!$AM$4:$AO$55,3,FALSE))</f>
        <v>0</v>
      </c>
      <c r="S41" s="6">
        <f>(VLOOKUP('102 5.1.00'!AA41,'102 5.1.00'!$AM$4:$AO$55,3,FALSE))</f>
        <v>0</v>
      </c>
      <c r="T41" s="6">
        <f>(VLOOKUP('102 5.1.00'!AB41,'102 5.1.00'!$AM$4:$AO$55,3,FALSE))</f>
        <v>0</v>
      </c>
      <c r="U41" s="6">
        <f>(VLOOKUP('102 5.1.00'!AC41,'102 5.1.00'!$AM$4:$AO$55,3,FALSE))</f>
        <v>0</v>
      </c>
      <c r="V41" s="6">
        <f>(VLOOKUP('102 5.1.00'!AD41,'102 5.1.00'!$AM$4:$AO$55,3,FALSE))</f>
        <v>0</v>
      </c>
      <c r="W41" s="7">
        <f>(VLOOKUP('102 5.1.00'!AE41,'102 5.1.00'!$AM$4:$AO$55,3,FALSE))</f>
        <v>0</v>
      </c>
      <c r="X41" s="7">
        <f>(VLOOKUP('102 5.1.00'!AF41,'102 5.1.00'!$AM$4:$AO$55,3,FALSE))</f>
        <v>0</v>
      </c>
    </row>
    <row r="42" spans="1:24">
      <c r="A42" s="6">
        <f>(VLOOKUP('102 5.1.00'!I42,'102 5.1.00'!$AM$4:$AO$55,3,FALSE))</f>
        <v>60</v>
      </c>
      <c r="B42" s="6">
        <f>(VLOOKUP('102 5.1.00'!J42,'102 5.1.00'!$AM$4:$AO$55,3,FALSE))</f>
        <v>60</v>
      </c>
      <c r="C42" s="6">
        <f>(VLOOKUP('102 5.1.00'!K42,'102 5.1.00'!$AM$4:$AO$55,3,FALSE))</f>
        <v>60</v>
      </c>
      <c r="D42" s="6">
        <f>(VLOOKUP('102 5.1.00'!L42,'102 5.1.00'!$AM$4:$AO$55,3,FALSE))</f>
        <v>60</v>
      </c>
      <c r="E42" s="6">
        <f>(VLOOKUP('102 5.1.00'!M42,'102 5.1.00'!$AM$4:$AO$55,3,FALSE))</f>
        <v>60</v>
      </c>
      <c r="F42" s="6">
        <f>(VLOOKUP('102 5.1.00'!N42,'102 5.1.00'!$AM$4:$AO$55,3,FALSE))</f>
        <v>60</v>
      </c>
      <c r="G42" s="7">
        <f>(VLOOKUP('102 5.1.00'!O42,'102 5.1.00'!$AM$4:$AO$55,3,FALSE))</f>
        <v>0</v>
      </c>
      <c r="H42" s="7">
        <f>(VLOOKUP('102 5.1.00'!P42,'102 5.1.00'!$AM$4:$AO$55,3,FALSE))</f>
        <v>0</v>
      </c>
      <c r="I42" s="6">
        <f>(VLOOKUP('102 5.1.00'!Q42,'102 5.1.00'!$AM$4:$AO$55,3,FALSE))</f>
        <v>55</v>
      </c>
      <c r="J42" s="6">
        <f>(VLOOKUP('102 5.1.00'!R42,'102 5.1.00'!$AM$4:$AO$55,3,FALSE))</f>
        <v>55</v>
      </c>
      <c r="K42" s="6">
        <f>(VLOOKUP('102 5.1.00'!S42,'102 5.1.00'!$AM$4:$AO$55,3,FALSE))</f>
        <v>55</v>
      </c>
      <c r="L42" s="6">
        <f>(VLOOKUP('102 5.1.00'!T42,'102 5.1.00'!$AM$4:$AO$55,3,FALSE))</f>
        <v>55</v>
      </c>
      <c r="M42" s="6">
        <f>(VLOOKUP('102 5.1.00'!U42,'102 5.1.00'!$AM$4:$AO$55,3,FALSE))</f>
        <v>55</v>
      </c>
      <c r="N42" s="6">
        <f>(VLOOKUP('102 5.1.00'!V42,'102 5.1.00'!$AM$4:$AO$55,3,FALSE))</f>
        <v>55</v>
      </c>
      <c r="O42" s="7">
        <f>(VLOOKUP('102 5.1.00'!W42,'102 5.1.00'!$AM$4:$AO$55,3,FALSE))</f>
        <v>0</v>
      </c>
      <c r="P42" s="7">
        <f>(VLOOKUP('102 5.1.00'!X42,'102 5.1.00'!$AM$4:$AO$55,3,FALSE))</f>
        <v>0</v>
      </c>
      <c r="Q42" s="6">
        <f>(VLOOKUP('102 5.1.00'!Y42,'102 5.1.00'!$AM$4:$AO$55,3,FALSE))</f>
        <v>0</v>
      </c>
      <c r="R42" s="6">
        <f>(VLOOKUP('102 5.1.00'!Z42,'102 5.1.00'!$AM$4:$AO$55,3,FALSE))</f>
        <v>0</v>
      </c>
      <c r="S42" s="6">
        <f>(VLOOKUP('102 5.1.00'!AA42,'102 5.1.00'!$AM$4:$AO$55,3,FALSE))</f>
        <v>0</v>
      </c>
      <c r="T42" s="6">
        <f>(VLOOKUP('102 5.1.00'!AB42,'102 5.1.00'!$AM$4:$AO$55,3,FALSE))</f>
        <v>0</v>
      </c>
      <c r="U42" s="6">
        <f>(VLOOKUP('102 5.1.00'!AC42,'102 5.1.00'!$AM$4:$AO$55,3,FALSE))</f>
        <v>0</v>
      </c>
      <c r="V42" s="6">
        <f>(VLOOKUP('102 5.1.00'!AD42,'102 5.1.00'!$AM$4:$AO$55,3,FALSE))</f>
        <v>0</v>
      </c>
      <c r="W42" s="7">
        <f>(VLOOKUP('102 5.1.00'!AE42,'102 5.1.00'!$AM$4:$AO$55,3,FALSE))</f>
        <v>0</v>
      </c>
      <c r="X42" s="7">
        <f>(VLOOKUP('102 5.1.00'!AF42,'102 5.1.00'!$AM$4:$AO$55,3,FALSE))</f>
        <v>0</v>
      </c>
    </row>
    <row r="43" spans="1:24">
      <c r="A43" s="6">
        <f>(VLOOKUP('102 5.1.00'!I43,'102 5.1.00'!$AM$4:$AO$55,3,FALSE))</f>
        <v>60</v>
      </c>
      <c r="B43" s="6">
        <f>(VLOOKUP('102 5.1.00'!J43,'102 5.1.00'!$AM$4:$AO$55,3,FALSE))</f>
        <v>60</v>
      </c>
      <c r="C43" s="6">
        <f>(VLOOKUP('102 5.1.00'!K43,'102 5.1.00'!$AM$4:$AO$55,3,FALSE))</f>
        <v>60</v>
      </c>
      <c r="D43" s="6">
        <f>(VLOOKUP('102 5.1.00'!L43,'102 5.1.00'!$AM$4:$AO$55,3,FALSE))</f>
        <v>60</v>
      </c>
      <c r="E43" s="6">
        <f>(VLOOKUP('102 5.1.00'!M43,'102 5.1.00'!$AM$4:$AO$55,3,FALSE))</f>
        <v>60</v>
      </c>
      <c r="F43" s="6">
        <f>(VLOOKUP('102 5.1.00'!N43,'102 5.1.00'!$AM$4:$AO$55,3,FALSE))</f>
        <v>60</v>
      </c>
      <c r="G43" s="7">
        <f>(VLOOKUP('102 5.1.00'!O43,'102 5.1.00'!$AM$4:$AO$55,3,FALSE))</f>
        <v>0</v>
      </c>
      <c r="H43" s="7">
        <f>(VLOOKUP('102 5.1.00'!P43,'102 5.1.00'!$AM$4:$AO$55,3,FALSE))</f>
        <v>0</v>
      </c>
      <c r="I43" s="6">
        <f>(VLOOKUP('102 5.1.00'!Q43,'102 5.1.00'!$AM$4:$AO$55,3,FALSE))</f>
        <v>55</v>
      </c>
      <c r="J43" s="6">
        <f>(VLOOKUP('102 5.1.00'!R43,'102 5.1.00'!$AM$4:$AO$55,3,FALSE))</f>
        <v>55</v>
      </c>
      <c r="K43" s="6">
        <f>(VLOOKUP('102 5.1.00'!S43,'102 5.1.00'!$AM$4:$AO$55,3,FALSE))</f>
        <v>55</v>
      </c>
      <c r="L43" s="6">
        <f>(VLOOKUP('102 5.1.00'!T43,'102 5.1.00'!$AM$4:$AO$55,3,FALSE))</f>
        <v>55</v>
      </c>
      <c r="M43" s="6">
        <f>(VLOOKUP('102 5.1.00'!U43,'102 5.1.00'!$AM$4:$AO$55,3,FALSE))</f>
        <v>55</v>
      </c>
      <c r="N43" s="6">
        <f>(VLOOKUP('102 5.1.00'!V43,'102 5.1.00'!$AM$4:$AO$55,3,FALSE))</f>
        <v>55</v>
      </c>
      <c r="O43" s="7">
        <f>(VLOOKUP('102 5.1.00'!W43,'102 5.1.00'!$AM$4:$AO$55,3,FALSE))</f>
        <v>0</v>
      </c>
      <c r="P43" s="7">
        <f>(VLOOKUP('102 5.1.00'!X43,'102 5.1.00'!$AM$4:$AO$55,3,FALSE))</f>
        <v>0</v>
      </c>
      <c r="Q43" s="6">
        <f>(VLOOKUP('102 5.1.00'!Y43,'102 5.1.00'!$AM$4:$AO$55,3,FALSE))</f>
        <v>0</v>
      </c>
      <c r="R43" s="6">
        <f>(VLOOKUP('102 5.1.00'!Z43,'102 5.1.00'!$AM$4:$AO$55,3,FALSE))</f>
        <v>0</v>
      </c>
      <c r="S43" s="6">
        <f>(VLOOKUP('102 5.1.00'!AA43,'102 5.1.00'!$AM$4:$AO$55,3,FALSE))</f>
        <v>0</v>
      </c>
      <c r="T43" s="6">
        <f>(VLOOKUP('102 5.1.00'!AB43,'102 5.1.00'!$AM$4:$AO$55,3,FALSE))</f>
        <v>0</v>
      </c>
      <c r="U43" s="6">
        <f>(VLOOKUP('102 5.1.00'!AC43,'102 5.1.00'!$AM$4:$AO$55,3,FALSE))</f>
        <v>0</v>
      </c>
      <c r="V43" s="6">
        <f>(VLOOKUP('102 5.1.00'!AD43,'102 5.1.00'!$AM$4:$AO$55,3,FALSE))</f>
        <v>0</v>
      </c>
      <c r="W43" s="7">
        <f>(VLOOKUP('102 5.1.00'!AE43,'102 5.1.00'!$AM$4:$AO$55,3,FALSE))</f>
        <v>0</v>
      </c>
      <c r="X43" s="7">
        <f>(VLOOKUP('102 5.1.00'!AF43,'102 5.1.00'!$AM$4:$AO$55,3,FALSE))</f>
        <v>0</v>
      </c>
    </row>
    <row r="44" spans="1:24">
      <c r="A44" s="6">
        <f>(VLOOKUP('102 5.1.00'!I44,'102 5.1.00'!$AM$4:$AO$55,3,FALSE))</f>
        <v>60</v>
      </c>
      <c r="B44" s="6">
        <f>(VLOOKUP('102 5.1.00'!J44,'102 5.1.00'!$AM$4:$AO$55,3,FALSE))</f>
        <v>60</v>
      </c>
      <c r="C44" s="6">
        <f>(VLOOKUP('102 5.1.00'!K44,'102 5.1.00'!$AM$4:$AO$55,3,FALSE))</f>
        <v>60</v>
      </c>
      <c r="D44" s="6">
        <f>(VLOOKUP('102 5.1.00'!L44,'102 5.1.00'!$AM$4:$AO$55,3,FALSE))</f>
        <v>60</v>
      </c>
      <c r="E44" s="6">
        <f>(VLOOKUP('102 5.1.00'!M44,'102 5.1.00'!$AM$4:$AO$55,3,FALSE))</f>
        <v>60</v>
      </c>
      <c r="F44" s="6">
        <f>(VLOOKUP('102 5.1.00'!N44,'102 5.1.00'!$AM$4:$AO$55,3,FALSE))</f>
        <v>60</v>
      </c>
      <c r="G44" s="7">
        <f>(VLOOKUP('102 5.1.00'!O44,'102 5.1.00'!$AM$4:$AO$55,3,FALSE))</f>
        <v>0</v>
      </c>
      <c r="H44" s="7">
        <f>(VLOOKUP('102 5.1.00'!P44,'102 5.1.00'!$AM$4:$AO$55,3,FALSE))</f>
        <v>0</v>
      </c>
      <c r="I44" s="6">
        <f>(VLOOKUP('102 5.1.00'!Q44,'102 5.1.00'!$AM$4:$AO$55,3,FALSE))</f>
        <v>55</v>
      </c>
      <c r="J44" s="6">
        <f>(VLOOKUP('102 5.1.00'!R44,'102 5.1.00'!$AM$4:$AO$55,3,FALSE))</f>
        <v>30</v>
      </c>
      <c r="K44" s="6">
        <f>(VLOOKUP('102 5.1.00'!S44,'102 5.1.00'!$AM$4:$AO$55,3,FALSE))</f>
        <v>55</v>
      </c>
      <c r="L44" s="6">
        <f>(VLOOKUP('102 5.1.00'!T44,'102 5.1.00'!$AM$4:$AO$55,3,FALSE))</f>
        <v>55</v>
      </c>
      <c r="M44" s="6">
        <f>(VLOOKUP('102 5.1.00'!U44,'102 5.1.00'!$AM$4:$AO$55,3,FALSE))</f>
        <v>55</v>
      </c>
      <c r="N44" s="6">
        <f>(VLOOKUP('102 5.1.00'!V44,'102 5.1.00'!$AM$4:$AO$55,3,FALSE))</f>
        <v>55</v>
      </c>
      <c r="O44" s="7">
        <f>(VLOOKUP('102 5.1.00'!W44,'102 5.1.00'!$AM$4:$AO$55,3,FALSE))</f>
        <v>0</v>
      </c>
      <c r="P44" s="7">
        <f>(VLOOKUP('102 5.1.00'!X44,'102 5.1.00'!$AM$4:$AO$55,3,FALSE))</f>
        <v>0</v>
      </c>
      <c r="Q44" s="6">
        <f>(VLOOKUP('102 5.1.00'!Y44,'102 5.1.00'!$AM$4:$AO$55,3,FALSE))</f>
        <v>0</v>
      </c>
      <c r="R44" s="6">
        <f>(VLOOKUP('102 5.1.00'!Z44,'102 5.1.00'!$AM$4:$AO$55,3,FALSE))</f>
        <v>0</v>
      </c>
      <c r="S44" s="6">
        <f>(VLOOKUP('102 5.1.00'!AA44,'102 5.1.00'!$AM$4:$AO$55,3,FALSE))</f>
        <v>0</v>
      </c>
      <c r="T44" s="6">
        <f>(VLOOKUP('102 5.1.00'!AB44,'102 5.1.00'!$AM$4:$AO$55,3,FALSE))</f>
        <v>0</v>
      </c>
      <c r="U44" s="6">
        <f>(VLOOKUP('102 5.1.00'!AC44,'102 5.1.00'!$AM$4:$AO$55,3,FALSE))</f>
        <v>0</v>
      </c>
      <c r="V44" s="6">
        <f>(VLOOKUP('102 5.1.00'!AD44,'102 5.1.00'!$AM$4:$AO$55,3,FALSE))</f>
        <v>0</v>
      </c>
      <c r="W44" s="7">
        <f>(VLOOKUP('102 5.1.00'!AE44,'102 5.1.00'!$AM$4:$AO$55,3,FALSE))</f>
        <v>0</v>
      </c>
      <c r="X44" s="7">
        <f>(VLOOKUP('102 5.1.00'!AF44,'102 5.1.00'!$AM$4:$AO$55,3,FALSE))</f>
        <v>0</v>
      </c>
    </row>
    <row r="45" spans="1:24">
      <c r="A45" s="6">
        <f>(VLOOKUP('102 5.1.00'!I45,'102 5.1.00'!$AM$4:$AO$55,3,FALSE))</f>
        <v>60</v>
      </c>
      <c r="B45" s="6">
        <f>(VLOOKUP('102 5.1.00'!J45,'102 5.1.00'!$AM$4:$AO$55,3,FALSE))</f>
        <v>60</v>
      </c>
      <c r="C45" s="6">
        <f>(VLOOKUP('102 5.1.00'!K45,'102 5.1.00'!$AM$4:$AO$55,3,FALSE))</f>
        <v>60</v>
      </c>
      <c r="D45" s="6">
        <f>(VLOOKUP('102 5.1.00'!L45,'102 5.1.00'!$AM$4:$AO$55,3,FALSE))</f>
        <v>60</v>
      </c>
      <c r="E45" s="6">
        <f>(VLOOKUP('102 5.1.00'!M45,'102 5.1.00'!$AM$4:$AO$55,3,FALSE))</f>
        <v>60</v>
      </c>
      <c r="F45" s="6">
        <f>(VLOOKUP('102 5.1.00'!N45,'102 5.1.00'!$AM$4:$AO$55,3,FALSE))</f>
        <v>60</v>
      </c>
      <c r="G45" s="7">
        <f>(VLOOKUP('102 5.1.00'!O45,'102 5.1.00'!$AM$4:$AO$55,3,FALSE))</f>
        <v>0</v>
      </c>
      <c r="H45" s="7">
        <f>(VLOOKUP('102 5.1.00'!P45,'102 5.1.00'!$AM$4:$AO$55,3,FALSE))</f>
        <v>0</v>
      </c>
      <c r="I45" s="6">
        <f>(VLOOKUP('102 5.1.00'!Q45,'102 5.1.00'!$AM$4:$AO$55,3,FALSE))</f>
        <v>55</v>
      </c>
      <c r="J45" s="6">
        <f>(VLOOKUP('102 5.1.00'!R45,'102 5.1.00'!$AM$4:$AO$55,3,FALSE))</f>
        <v>55</v>
      </c>
      <c r="K45" s="6">
        <f>(VLOOKUP('102 5.1.00'!S45,'102 5.1.00'!$AM$4:$AO$55,3,FALSE))</f>
        <v>55</v>
      </c>
      <c r="L45" s="6">
        <f>(VLOOKUP('102 5.1.00'!T45,'102 5.1.00'!$AM$4:$AO$55,3,FALSE))</f>
        <v>55</v>
      </c>
      <c r="M45" s="6">
        <f>(VLOOKUP('102 5.1.00'!U45,'102 5.1.00'!$AM$4:$AO$55,3,FALSE))</f>
        <v>55</v>
      </c>
      <c r="N45" s="6">
        <f>(VLOOKUP('102 5.1.00'!V45,'102 5.1.00'!$AM$4:$AO$55,3,FALSE))</f>
        <v>55</v>
      </c>
      <c r="O45" s="7">
        <f>(VLOOKUP('102 5.1.00'!W45,'102 5.1.00'!$AM$4:$AO$55,3,FALSE))</f>
        <v>0</v>
      </c>
      <c r="P45" s="7">
        <f>(VLOOKUP('102 5.1.00'!X45,'102 5.1.00'!$AM$4:$AO$55,3,FALSE))</f>
        <v>0</v>
      </c>
      <c r="Q45" s="6">
        <f>(VLOOKUP('102 5.1.00'!Y45,'102 5.1.00'!$AM$4:$AO$55,3,FALSE))</f>
        <v>0</v>
      </c>
      <c r="R45" s="6">
        <f>(VLOOKUP('102 5.1.00'!Z45,'102 5.1.00'!$AM$4:$AO$55,3,FALSE))</f>
        <v>0</v>
      </c>
      <c r="S45" s="6">
        <f>(VLOOKUP('102 5.1.00'!AA45,'102 5.1.00'!$AM$4:$AO$55,3,FALSE))</f>
        <v>0</v>
      </c>
      <c r="T45" s="6">
        <f>(VLOOKUP('102 5.1.00'!AB45,'102 5.1.00'!$AM$4:$AO$55,3,FALSE))</f>
        <v>0</v>
      </c>
      <c r="U45" s="6">
        <f>(VLOOKUP('102 5.1.00'!AC45,'102 5.1.00'!$AM$4:$AO$55,3,FALSE))</f>
        <v>0</v>
      </c>
      <c r="V45" s="6">
        <f>(VLOOKUP('102 5.1.00'!AD45,'102 5.1.00'!$AM$4:$AO$55,3,FALSE))</f>
        <v>0</v>
      </c>
      <c r="W45" s="7">
        <f>(VLOOKUP('102 5.1.00'!AE45,'102 5.1.00'!$AM$4:$AO$55,3,FALSE))</f>
        <v>0</v>
      </c>
      <c r="X45" s="7">
        <f>(VLOOKUP('102 5.1.00'!AF45,'102 5.1.00'!$AM$4:$AO$55,3,FALSE))</f>
        <v>0</v>
      </c>
    </row>
    <row r="46" spans="1:24">
      <c r="A46" s="6">
        <f>(VLOOKUP('102 5.1.00'!I46,'102 5.1.00'!$AM$4:$AO$55,3,FALSE))</f>
        <v>60</v>
      </c>
      <c r="B46" s="6">
        <f>(VLOOKUP('102 5.1.00'!J46,'102 5.1.00'!$AM$4:$AO$55,3,FALSE))</f>
        <v>60</v>
      </c>
      <c r="C46" s="6">
        <f>(VLOOKUP('102 5.1.00'!K46,'102 5.1.00'!$AM$4:$AO$55,3,FALSE))</f>
        <v>60</v>
      </c>
      <c r="D46" s="6">
        <f>(VLOOKUP('102 5.1.00'!L46,'102 5.1.00'!$AM$4:$AO$55,3,FALSE))</f>
        <v>60</v>
      </c>
      <c r="E46" s="6">
        <f>(VLOOKUP('102 5.1.00'!M46,'102 5.1.00'!$AM$4:$AO$55,3,FALSE))</f>
        <v>60</v>
      </c>
      <c r="F46" s="6">
        <f>(VLOOKUP('102 5.1.00'!N46,'102 5.1.00'!$AM$4:$AO$55,3,FALSE))</f>
        <v>60</v>
      </c>
      <c r="G46" s="7">
        <f>(VLOOKUP('102 5.1.00'!O46,'102 5.1.00'!$AM$4:$AO$55,3,FALSE))</f>
        <v>0</v>
      </c>
      <c r="H46" s="7">
        <f>(VLOOKUP('102 5.1.00'!P46,'102 5.1.00'!$AM$4:$AO$55,3,FALSE))</f>
        <v>0</v>
      </c>
      <c r="I46" s="6">
        <f>(VLOOKUP('102 5.1.00'!Q46,'102 5.1.00'!$AM$4:$AO$55,3,FALSE))</f>
        <v>55</v>
      </c>
      <c r="J46" s="6">
        <f>(VLOOKUP('102 5.1.00'!R46,'102 5.1.00'!$AM$4:$AO$55,3,FALSE))</f>
        <v>55</v>
      </c>
      <c r="K46" s="6">
        <f>(VLOOKUP('102 5.1.00'!S46,'102 5.1.00'!$AM$4:$AO$55,3,FALSE))</f>
        <v>55</v>
      </c>
      <c r="L46" s="6">
        <f>(VLOOKUP('102 5.1.00'!T46,'102 5.1.00'!$AM$4:$AO$55,3,FALSE))</f>
        <v>55</v>
      </c>
      <c r="M46" s="6">
        <f>(VLOOKUP('102 5.1.00'!U46,'102 5.1.00'!$AM$4:$AO$55,3,FALSE))</f>
        <v>0</v>
      </c>
      <c r="N46" s="6">
        <f>(VLOOKUP('102 5.1.00'!V46,'102 5.1.00'!$AM$4:$AO$55,3,FALSE))</f>
        <v>0</v>
      </c>
      <c r="O46" s="7">
        <f>(VLOOKUP('102 5.1.00'!W46,'102 5.1.00'!$AM$4:$AO$55,3,FALSE))</f>
        <v>0</v>
      </c>
      <c r="P46" s="7">
        <f>(VLOOKUP('102 5.1.00'!X46,'102 5.1.00'!$AM$4:$AO$55,3,FALSE))</f>
        <v>0</v>
      </c>
      <c r="Q46" s="6">
        <f>(VLOOKUP('102 5.1.00'!Y46,'102 5.1.00'!$AM$4:$AO$55,3,FALSE))</f>
        <v>0</v>
      </c>
      <c r="R46" s="6">
        <f>(VLOOKUP('102 5.1.00'!Z46,'102 5.1.00'!$AM$4:$AO$55,3,FALSE))</f>
        <v>0</v>
      </c>
      <c r="S46" s="6">
        <f>(VLOOKUP('102 5.1.00'!AA46,'102 5.1.00'!$AM$4:$AO$55,3,FALSE))</f>
        <v>0</v>
      </c>
      <c r="T46" s="6">
        <f>(VLOOKUP('102 5.1.00'!AB46,'102 5.1.00'!$AM$4:$AO$55,3,FALSE))</f>
        <v>0</v>
      </c>
      <c r="U46" s="6">
        <f>(VLOOKUP('102 5.1.00'!AC46,'102 5.1.00'!$AM$4:$AO$55,3,FALSE))</f>
        <v>0</v>
      </c>
      <c r="V46" s="6">
        <f>(VLOOKUP('102 5.1.00'!AD46,'102 5.1.00'!$AM$4:$AO$55,3,FALSE))</f>
        <v>0</v>
      </c>
      <c r="W46" s="7">
        <f>(VLOOKUP('102 5.1.00'!AE46,'102 5.1.00'!$AM$4:$AO$55,3,FALSE))</f>
        <v>0</v>
      </c>
      <c r="X46" s="7">
        <f>(VLOOKUP('102 5.1.00'!AF46,'102 5.1.00'!$AM$4:$AO$55,3,FALSE))</f>
        <v>0</v>
      </c>
    </row>
    <row r="47" spans="1:24">
      <c r="A47" s="6">
        <f>(VLOOKUP('102 5.1.00'!I47,'102 5.1.00'!$AM$4:$AO$55,3,FALSE))</f>
        <v>60</v>
      </c>
      <c r="B47" s="6">
        <f>(VLOOKUP('102 5.1.00'!J47,'102 5.1.00'!$AM$4:$AO$55,3,FALSE))</f>
        <v>60</v>
      </c>
      <c r="C47" s="6">
        <f>(VLOOKUP('102 5.1.00'!K47,'102 5.1.00'!$AM$4:$AO$55,3,FALSE))</f>
        <v>60</v>
      </c>
      <c r="D47" s="6">
        <f>(VLOOKUP('102 5.1.00'!L47,'102 5.1.00'!$AM$4:$AO$55,3,FALSE))</f>
        <v>60</v>
      </c>
      <c r="E47" s="6">
        <f>(VLOOKUP('102 5.1.00'!M47,'102 5.1.00'!$AM$4:$AO$55,3,FALSE))</f>
        <v>60</v>
      </c>
      <c r="F47" s="6">
        <f>(VLOOKUP('102 5.1.00'!N47,'102 5.1.00'!$AM$4:$AO$55,3,FALSE))</f>
        <v>60</v>
      </c>
      <c r="G47" s="7">
        <f>(VLOOKUP('102 5.1.00'!O47,'102 5.1.00'!$AM$4:$AO$55,3,FALSE))</f>
        <v>0</v>
      </c>
      <c r="H47" s="7">
        <f>(VLOOKUP('102 5.1.00'!P47,'102 5.1.00'!$AM$4:$AO$55,3,FALSE))</f>
        <v>60</v>
      </c>
      <c r="I47" s="6">
        <f>(VLOOKUP('102 5.1.00'!Q47,'102 5.1.00'!$AM$4:$AO$55,3,FALSE))</f>
        <v>55</v>
      </c>
      <c r="J47" s="6">
        <f>(VLOOKUP('102 5.1.00'!R47,'102 5.1.00'!$AM$4:$AO$55,3,FALSE))</f>
        <v>55</v>
      </c>
      <c r="K47" s="6">
        <f>(VLOOKUP('102 5.1.00'!S47,'102 5.1.00'!$AM$4:$AO$55,3,FALSE))</f>
        <v>55</v>
      </c>
      <c r="L47" s="6">
        <f>(VLOOKUP('102 5.1.00'!T47,'102 5.1.00'!$AM$4:$AO$55,3,FALSE))</f>
        <v>55</v>
      </c>
      <c r="M47" s="6">
        <f>(VLOOKUP('102 5.1.00'!U47,'102 5.1.00'!$AM$4:$AO$55,3,FALSE))</f>
        <v>0</v>
      </c>
      <c r="N47" s="6">
        <f>(VLOOKUP('102 5.1.00'!V47,'102 5.1.00'!$AM$4:$AO$55,3,FALSE))</f>
        <v>0</v>
      </c>
      <c r="O47" s="7">
        <f>(VLOOKUP('102 5.1.00'!W47,'102 5.1.00'!$AM$4:$AO$55,3,FALSE))</f>
        <v>0</v>
      </c>
      <c r="P47" s="7">
        <f>(VLOOKUP('102 5.1.00'!X47,'102 5.1.00'!$AM$4:$AO$55,3,FALSE))</f>
        <v>0</v>
      </c>
      <c r="Q47" s="6">
        <f>(VLOOKUP('102 5.1.00'!Y47,'102 5.1.00'!$AM$4:$AO$55,3,FALSE))</f>
        <v>0</v>
      </c>
      <c r="R47" s="6">
        <f>(VLOOKUP('102 5.1.00'!Z47,'102 5.1.00'!$AM$4:$AO$55,3,FALSE))</f>
        <v>0</v>
      </c>
      <c r="S47" s="6">
        <f>(VLOOKUP('102 5.1.00'!AA47,'102 5.1.00'!$AM$4:$AO$55,3,FALSE))</f>
        <v>0</v>
      </c>
      <c r="T47" s="6">
        <f>(VLOOKUP('102 5.1.00'!AB47,'102 5.1.00'!$AM$4:$AO$55,3,FALSE))</f>
        <v>0</v>
      </c>
      <c r="U47" s="6">
        <f>(VLOOKUP('102 5.1.00'!AC47,'102 5.1.00'!$AM$4:$AO$55,3,FALSE))</f>
        <v>0</v>
      </c>
      <c r="V47" s="6">
        <f>(VLOOKUP('102 5.1.00'!AD47,'102 5.1.00'!$AM$4:$AO$55,3,FALSE))</f>
        <v>0</v>
      </c>
      <c r="W47" s="7">
        <f>(VLOOKUP('102 5.1.00'!AE47,'102 5.1.00'!$AM$4:$AO$55,3,FALSE))</f>
        <v>0</v>
      </c>
      <c r="X47" s="7">
        <f>(VLOOKUP('102 5.1.00'!AF47,'102 5.1.00'!$AM$4:$AO$55,3,FALSE))</f>
        <v>0</v>
      </c>
    </row>
    <row r="48" spans="1:24">
      <c r="A48" s="6">
        <f>(VLOOKUP('102 5.1.00'!I48,'102 5.1.00'!$AM$4:$AO$55,3,FALSE))</f>
        <v>60</v>
      </c>
      <c r="B48" s="6">
        <f>(VLOOKUP('102 5.1.00'!J48,'102 5.1.00'!$AM$4:$AO$55,3,FALSE))</f>
        <v>60</v>
      </c>
      <c r="C48" s="6">
        <f>(VLOOKUP('102 5.1.00'!K48,'102 5.1.00'!$AM$4:$AO$55,3,FALSE))</f>
        <v>60</v>
      </c>
      <c r="D48" s="6">
        <f>(VLOOKUP('102 5.1.00'!L48,'102 5.1.00'!$AM$4:$AO$55,3,FALSE))</f>
        <v>60</v>
      </c>
      <c r="E48" s="6">
        <f>(VLOOKUP('102 5.1.00'!M48,'102 5.1.00'!$AM$4:$AO$55,3,FALSE))</f>
        <v>60</v>
      </c>
      <c r="F48" s="6">
        <f>(VLOOKUP('102 5.1.00'!N48,'102 5.1.00'!$AM$4:$AO$55,3,FALSE))</f>
        <v>60</v>
      </c>
      <c r="G48" s="7">
        <f>(VLOOKUP('102 5.1.00'!O48,'102 5.1.00'!$AM$4:$AO$55,3,FALSE))</f>
        <v>0</v>
      </c>
      <c r="H48" s="7">
        <f>(VLOOKUP('102 5.1.00'!P48,'102 5.1.00'!$AM$4:$AO$55,3,FALSE))</f>
        <v>0</v>
      </c>
      <c r="I48" s="6">
        <f>(VLOOKUP('102 5.1.00'!Q48,'102 5.1.00'!$AM$4:$AO$55,3,FALSE))</f>
        <v>55</v>
      </c>
      <c r="J48" s="6">
        <f>(VLOOKUP('102 5.1.00'!R48,'102 5.1.00'!$AM$4:$AO$55,3,FALSE))</f>
        <v>55</v>
      </c>
      <c r="K48" s="6">
        <f>(VLOOKUP('102 5.1.00'!S48,'102 5.1.00'!$AM$4:$AO$55,3,FALSE))</f>
        <v>55</v>
      </c>
      <c r="L48" s="6">
        <f>(VLOOKUP('102 5.1.00'!T48,'102 5.1.00'!$AM$4:$AO$55,3,FALSE))</f>
        <v>55</v>
      </c>
      <c r="M48" s="6">
        <f>(VLOOKUP('102 5.1.00'!U48,'102 5.1.00'!$AM$4:$AO$55,3,FALSE))</f>
        <v>0</v>
      </c>
      <c r="N48" s="6">
        <f>(VLOOKUP('102 5.1.00'!V48,'102 5.1.00'!$AM$4:$AO$55,3,FALSE))</f>
        <v>55</v>
      </c>
      <c r="O48" s="7">
        <f>(VLOOKUP('102 5.1.00'!W48,'102 5.1.00'!$AM$4:$AO$55,3,FALSE))</f>
        <v>0</v>
      </c>
      <c r="P48" s="7">
        <f>(VLOOKUP('102 5.1.00'!X48,'102 5.1.00'!$AM$4:$AO$55,3,FALSE))</f>
        <v>0</v>
      </c>
      <c r="Q48" s="6">
        <f>(VLOOKUP('102 5.1.00'!Y48,'102 5.1.00'!$AM$4:$AO$55,3,FALSE))</f>
        <v>0</v>
      </c>
      <c r="R48" s="6">
        <f>(VLOOKUP('102 5.1.00'!Z48,'102 5.1.00'!$AM$4:$AO$55,3,FALSE))</f>
        <v>0</v>
      </c>
      <c r="S48" s="6">
        <f>(VLOOKUP('102 5.1.00'!AA48,'102 5.1.00'!$AM$4:$AO$55,3,FALSE))</f>
        <v>0</v>
      </c>
      <c r="T48" s="6">
        <f>(VLOOKUP('102 5.1.00'!AB48,'102 5.1.00'!$AM$4:$AO$55,3,FALSE))</f>
        <v>0</v>
      </c>
      <c r="U48" s="6">
        <f>(VLOOKUP('102 5.1.00'!AC48,'102 5.1.00'!$AM$4:$AO$55,3,FALSE))</f>
        <v>0</v>
      </c>
      <c r="V48" s="6">
        <f>(VLOOKUP('102 5.1.00'!AD48,'102 5.1.00'!$AM$4:$AO$55,3,FALSE))</f>
        <v>0</v>
      </c>
      <c r="W48" s="7">
        <f>(VLOOKUP('102 5.1.00'!AE48,'102 5.1.00'!$AM$4:$AO$55,3,FALSE))</f>
        <v>0</v>
      </c>
      <c r="X48" s="7">
        <f>(VLOOKUP('102 5.1.00'!AF48,'102 5.1.00'!$AM$4:$AO$55,3,FALSE))</f>
        <v>0</v>
      </c>
    </row>
    <row r="49" spans="1:24">
      <c r="A49" s="6">
        <f>(VLOOKUP('102 5.1.00'!I49,'102 5.1.00'!$AM$4:$AO$55,3,FALSE))</f>
        <v>60</v>
      </c>
      <c r="B49" s="6">
        <f>(VLOOKUP('102 5.1.00'!J49,'102 5.1.00'!$AM$4:$AO$55,3,FALSE))</f>
        <v>60</v>
      </c>
      <c r="C49" s="6">
        <f>(VLOOKUP('102 5.1.00'!K49,'102 5.1.00'!$AM$4:$AO$55,3,FALSE))</f>
        <v>60</v>
      </c>
      <c r="D49" s="6">
        <f>(VLOOKUP('102 5.1.00'!L49,'102 5.1.00'!$AM$4:$AO$55,3,FALSE))</f>
        <v>60</v>
      </c>
      <c r="E49" s="6">
        <f>(VLOOKUP('102 5.1.00'!M49,'102 5.1.00'!$AM$4:$AO$55,3,FALSE))</f>
        <v>60</v>
      </c>
      <c r="F49" s="6">
        <f>(VLOOKUP('102 5.1.00'!N49,'102 5.1.00'!$AM$4:$AO$55,3,FALSE))</f>
        <v>60</v>
      </c>
      <c r="G49" s="7">
        <f>(VLOOKUP('102 5.1.00'!O49,'102 5.1.00'!$AM$4:$AO$55,3,FALSE))</f>
        <v>0</v>
      </c>
      <c r="H49" s="7">
        <f>(VLOOKUP('102 5.1.00'!P49,'102 5.1.00'!$AM$4:$AO$55,3,FALSE))</f>
        <v>0</v>
      </c>
      <c r="I49" s="6">
        <f>(VLOOKUP('102 5.1.00'!Q49,'102 5.1.00'!$AM$4:$AO$55,3,FALSE))</f>
        <v>55</v>
      </c>
      <c r="J49" s="6">
        <f>(VLOOKUP('102 5.1.00'!R49,'102 5.1.00'!$AM$4:$AO$55,3,FALSE))</f>
        <v>55</v>
      </c>
      <c r="K49" s="6">
        <f>(VLOOKUP('102 5.1.00'!S49,'102 5.1.00'!$AM$4:$AO$55,3,FALSE))</f>
        <v>55</v>
      </c>
      <c r="L49" s="6">
        <f>(VLOOKUP('102 5.1.00'!T49,'102 5.1.00'!$AM$4:$AO$55,3,FALSE))</f>
        <v>55</v>
      </c>
      <c r="M49" s="6">
        <f>(VLOOKUP('102 5.1.00'!U49,'102 5.1.00'!$AM$4:$AO$55,3,FALSE))</f>
        <v>55</v>
      </c>
      <c r="N49" s="6">
        <f>(VLOOKUP('102 5.1.00'!V49,'102 5.1.00'!$AM$4:$AO$55,3,FALSE))</f>
        <v>0</v>
      </c>
      <c r="O49" s="7">
        <f>(VLOOKUP('102 5.1.00'!W49,'102 5.1.00'!$AM$4:$AO$55,3,FALSE))</f>
        <v>0</v>
      </c>
      <c r="P49" s="7">
        <f>(VLOOKUP('102 5.1.00'!X49,'102 5.1.00'!$AM$4:$AO$55,3,FALSE))</f>
        <v>0</v>
      </c>
      <c r="Q49" s="6">
        <f>(VLOOKUP('102 5.1.00'!Y49,'102 5.1.00'!$AM$4:$AO$55,3,FALSE))</f>
        <v>0</v>
      </c>
      <c r="R49" s="6">
        <f>(VLOOKUP('102 5.1.00'!Z49,'102 5.1.00'!$AM$4:$AO$55,3,FALSE))</f>
        <v>0</v>
      </c>
      <c r="S49" s="6">
        <f>(VLOOKUP('102 5.1.00'!AA49,'102 5.1.00'!$AM$4:$AO$55,3,FALSE))</f>
        <v>0</v>
      </c>
      <c r="T49" s="6">
        <f>(VLOOKUP('102 5.1.00'!AB49,'102 5.1.00'!$AM$4:$AO$55,3,FALSE))</f>
        <v>0</v>
      </c>
      <c r="U49" s="6">
        <f>(VLOOKUP('102 5.1.00'!AC49,'102 5.1.00'!$AM$4:$AO$55,3,FALSE))</f>
        <v>0</v>
      </c>
      <c r="V49" s="6">
        <f>(VLOOKUP('102 5.1.00'!AD49,'102 5.1.00'!$AM$4:$AO$55,3,FALSE))</f>
        <v>0</v>
      </c>
      <c r="W49" s="7">
        <f>(VLOOKUP('102 5.1.00'!AE49,'102 5.1.00'!$AM$4:$AO$55,3,FALSE))</f>
        <v>0</v>
      </c>
      <c r="X49" s="7">
        <f>(VLOOKUP('102 5.1.00'!AF49,'102 5.1.00'!$AM$4:$AO$55,3,FALSE))</f>
        <v>0</v>
      </c>
    </row>
    <row r="50" spans="1:24">
      <c r="A50" s="6">
        <f>(VLOOKUP('102 5.1.00'!I50,'102 5.1.00'!$AM$4:$AO$55,3,FALSE))</f>
        <v>60</v>
      </c>
      <c r="B50" s="6">
        <f>(VLOOKUP('102 5.1.00'!J50,'102 5.1.00'!$AM$4:$AO$55,3,FALSE))</f>
        <v>60</v>
      </c>
      <c r="C50" s="6">
        <f>(VLOOKUP('102 5.1.00'!K50,'102 5.1.00'!$AM$4:$AO$55,3,FALSE))</f>
        <v>60</v>
      </c>
      <c r="D50" s="6">
        <f>(VLOOKUP('102 5.1.00'!L50,'102 5.1.00'!$AM$4:$AO$55,3,FALSE))</f>
        <v>60</v>
      </c>
      <c r="E50" s="6">
        <f>(VLOOKUP('102 5.1.00'!M50,'102 5.1.00'!$AM$4:$AO$55,3,FALSE))</f>
        <v>60</v>
      </c>
      <c r="F50" s="6">
        <f>(VLOOKUP('102 5.1.00'!N50,'102 5.1.00'!$AM$4:$AO$55,3,FALSE))</f>
        <v>60</v>
      </c>
      <c r="G50" s="7">
        <f>(VLOOKUP('102 5.1.00'!O50,'102 5.1.00'!$AM$4:$AO$55,3,FALSE))</f>
        <v>0</v>
      </c>
      <c r="H50" s="7">
        <f>(VLOOKUP('102 5.1.00'!P50,'102 5.1.00'!$AM$4:$AO$55,3,FALSE))</f>
        <v>0</v>
      </c>
      <c r="I50" s="6">
        <f>(VLOOKUP('102 5.1.00'!Q50,'102 5.1.00'!$AM$4:$AO$55,3,FALSE))</f>
        <v>55</v>
      </c>
      <c r="J50" s="6">
        <f>(VLOOKUP('102 5.1.00'!R50,'102 5.1.00'!$AM$4:$AO$55,3,FALSE))</f>
        <v>55</v>
      </c>
      <c r="K50" s="6">
        <f>(VLOOKUP('102 5.1.00'!S50,'102 5.1.00'!$AM$4:$AO$55,3,FALSE))</f>
        <v>55</v>
      </c>
      <c r="L50" s="6">
        <f>(VLOOKUP('102 5.1.00'!T50,'102 5.1.00'!$AM$4:$AO$55,3,FALSE))</f>
        <v>55</v>
      </c>
      <c r="M50" s="6">
        <f>(VLOOKUP('102 5.1.00'!U50,'102 5.1.00'!$AM$4:$AO$55,3,FALSE))</f>
        <v>0</v>
      </c>
      <c r="N50" s="6">
        <f>(VLOOKUP('102 5.1.00'!V50,'102 5.1.00'!$AM$4:$AO$55,3,FALSE))</f>
        <v>0</v>
      </c>
      <c r="O50" s="7">
        <f>(VLOOKUP('102 5.1.00'!W50,'102 5.1.00'!$AM$4:$AO$55,3,FALSE))</f>
        <v>0</v>
      </c>
      <c r="P50" s="7">
        <f>(VLOOKUP('102 5.1.00'!X50,'102 5.1.00'!$AM$4:$AO$55,3,FALSE))</f>
        <v>0</v>
      </c>
      <c r="Q50" s="6">
        <f>(VLOOKUP('102 5.1.00'!Y50,'102 5.1.00'!$AM$4:$AO$55,3,FALSE))</f>
        <v>0</v>
      </c>
      <c r="R50" s="6">
        <f>(VLOOKUP('102 5.1.00'!Z50,'102 5.1.00'!$AM$4:$AO$55,3,FALSE))</f>
        <v>0</v>
      </c>
      <c r="S50" s="6">
        <f>(VLOOKUP('102 5.1.00'!AA50,'102 5.1.00'!$AM$4:$AO$55,3,FALSE))</f>
        <v>0</v>
      </c>
      <c r="T50" s="6">
        <f>(VLOOKUP('102 5.1.00'!AB50,'102 5.1.00'!$AM$4:$AO$55,3,FALSE))</f>
        <v>0</v>
      </c>
      <c r="U50" s="6">
        <f>(VLOOKUP('102 5.1.00'!AC50,'102 5.1.00'!$AM$4:$AO$55,3,FALSE))</f>
        <v>0</v>
      </c>
      <c r="V50" s="6">
        <f>(VLOOKUP('102 5.1.00'!AD50,'102 5.1.00'!$AM$4:$AO$55,3,FALSE))</f>
        <v>0</v>
      </c>
      <c r="W50" s="7">
        <f>(VLOOKUP('102 5.1.00'!AE50,'102 5.1.00'!$AM$4:$AO$55,3,FALSE))</f>
        <v>0</v>
      </c>
      <c r="X50" s="7">
        <f>(VLOOKUP('102 5.1.00'!AF50,'102 5.1.00'!$AM$4:$AO$55,3,FALSE))</f>
        <v>0</v>
      </c>
    </row>
    <row r="51" spans="1:24">
      <c r="A51" s="6">
        <f>(VLOOKUP('102 5.1.00'!I51,'102 5.1.00'!$AM$4:$AO$55,3,FALSE))</f>
        <v>60</v>
      </c>
      <c r="B51" s="6">
        <f>(VLOOKUP('102 5.1.00'!J51,'102 5.1.00'!$AM$4:$AO$55,3,FALSE))</f>
        <v>60</v>
      </c>
      <c r="C51" s="6">
        <f>(VLOOKUP('102 5.1.00'!K51,'102 5.1.00'!$AM$4:$AO$55,3,FALSE))</f>
        <v>60</v>
      </c>
      <c r="D51" s="6">
        <f>(VLOOKUP('102 5.1.00'!L51,'102 5.1.00'!$AM$4:$AO$55,3,FALSE))</f>
        <v>60</v>
      </c>
      <c r="E51" s="6">
        <f>(VLOOKUP('102 5.1.00'!M51,'102 5.1.00'!$AM$4:$AO$55,3,FALSE))</f>
        <v>60</v>
      </c>
      <c r="F51" s="6">
        <f>(VLOOKUP('102 5.1.00'!N51,'102 5.1.00'!$AM$4:$AO$55,3,FALSE))</f>
        <v>60</v>
      </c>
      <c r="G51" s="7">
        <f>(VLOOKUP('102 5.1.00'!O51,'102 5.1.00'!$AM$4:$AO$55,3,FALSE))</f>
        <v>0</v>
      </c>
      <c r="H51" s="7">
        <f>(VLOOKUP('102 5.1.00'!P51,'102 5.1.00'!$AM$4:$AO$55,3,FALSE))</f>
        <v>0</v>
      </c>
      <c r="I51" s="6">
        <f>(VLOOKUP('102 5.1.00'!Q51,'102 5.1.00'!$AM$4:$AO$55,3,FALSE))</f>
        <v>55</v>
      </c>
      <c r="J51" s="6">
        <f>(VLOOKUP('102 5.1.00'!R51,'102 5.1.00'!$AM$4:$AO$55,3,FALSE))</f>
        <v>55</v>
      </c>
      <c r="K51" s="6">
        <f>(VLOOKUP('102 5.1.00'!S51,'102 5.1.00'!$AM$4:$AO$55,3,FALSE))</f>
        <v>55</v>
      </c>
      <c r="L51" s="6">
        <f>(VLOOKUP('102 5.1.00'!T51,'102 5.1.00'!$AM$4:$AO$55,3,FALSE))</f>
        <v>50</v>
      </c>
      <c r="M51" s="6">
        <f>(VLOOKUP('102 5.1.00'!U51,'102 5.1.00'!$AM$4:$AO$55,3,FALSE))</f>
        <v>0</v>
      </c>
      <c r="N51" s="6">
        <f>(VLOOKUP('102 5.1.00'!V51,'102 5.1.00'!$AM$4:$AO$55,3,FALSE))</f>
        <v>0</v>
      </c>
      <c r="O51" s="7">
        <f>(VLOOKUP('102 5.1.00'!W51,'102 5.1.00'!$AM$4:$AO$55,3,FALSE))</f>
        <v>0</v>
      </c>
      <c r="P51" s="7">
        <f>(VLOOKUP('102 5.1.00'!X51,'102 5.1.00'!$AM$4:$AO$55,3,FALSE))</f>
        <v>0</v>
      </c>
      <c r="Q51" s="6">
        <f>(VLOOKUP('102 5.1.00'!Y51,'102 5.1.00'!$AM$4:$AO$55,3,FALSE))</f>
        <v>0</v>
      </c>
      <c r="R51" s="6">
        <f>(VLOOKUP('102 5.1.00'!Z51,'102 5.1.00'!$AM$4:$AO$55,3,FALSE))</f>
        <v>0</v>
      </c>
      <c r="S51" s="6">
        <f>(VLOOKUP('102 5.1.00'!AA51,'102 5.1.00'!$AM$4:$AO$55,3,FALSE))</f>
        <v>0</v>
      </c>
      <c r="T51" s="6">
        <f>(VLOOKUP('102 5.1.00'!AB51,'102 5.1.00'!$AM$4:$AO$55,3,FALSE))</f>
        <v>0</v>
      </c>
      <c r="U51" s="6">
        <f>(VLOOKUP('102 5.1.00'!AC51,'102 5.1.00'!$AM$4:$AO$55,3,FALSE))</f>
        <v>0</v>
      </c>
      <c r="V51" s="6">
        <f>(VLOOKUP('102 5.1.00'!AD51,'102 5.1.00'!$AM$4:$AO$55,3,FALSE))</f>
        <v>0</v>
      </c>
      <c r="W51" s="7">
        <f>(VLOOKUP('102 5.1.00'!AE51,'102 5.1.00'!$AM$4:$AO$55,3,FALSE))</f>
        <v>0</v>
      </c>
      <c r="X51" s="7">
        <f>(VLOOKUP('102 5.1.00'!AF51,'102 5.1.00'!$AM$4:$AO$55,3,FALSE))</f>
        <v>0</v>
      </c>
    </row>
    <row r="52" spans="1:24">
      <c r="A52" s="6">
        <f>(VLOOKUP('102 5.1.00'!I52,'102 5.1.00'!$AM$4:$AO$55,3,FALSE))</f>
        <v>60</v>
      </c>
      <c r="B52" s="6">
        <f>(VLOOKUP('102 5.1.00'!J52,'102 5.1.00'!$AM$4:$AO$55,3,FALSE))</f>
        <v>60</v>
      </c>
      <c r="C52" s="6">
        <f>(VLOOKUP('102 5.1.00'!K52,'102 5.1.00'!$AM$4:$AO$55,3,FALSE))</f>
        <v>60</v>
      </c>
      <c r="D52" s="6">
        <f>(VLOOKUP('102 5.1.00'!L52,'102 5.1.00'!$AM$4:$AO$55,3,FALSE))</f>
        <v>60</v>
      </c>
      <c r="E52" s="6">
        <f>(VLOOKUP('102 5.1.00'!M52,'102 5.1.00'!$AM$4:$AO$55,3,FALSE))</f>
        <v>60</v>
      </c>
      <c r="F52" s="6">
        <f>(VLOOKUP('102 5.1.00'!N52,'102 5.1.00'!$AM$4:$AO$55,3,FALSE))</f>
        <v>60</v>
      </c>
      <c r="G52" s="7">
        <f>(VLOOKUP('102 5.1.00'!O52,'102 5.1.00'!$AM$4:$AO$55,3,FALSE))</f>
        <v>0</v>
      </c>
      <c r="H52" s="7">
        <f>(VLOOKUP('102 5.1.00'!P52,'102 5.1.00'!$AM$4:$AO$55,3,FALSE))</f>
        <v>0</v>
      </c>
      <c r="I52" s="6">
        <f>(VLOOKUP('102 5.1.00'!Q52,'102 5.1.00'!$AM$4:$AO$55,3,FALSE))</f>
        <v>55</v>
      </c>
      <c r="J52" s="6">
        <f>(VLOOKUP('102 5.1.00'!R52,'102 5.1.00'!$AM$4:$AO$55,3,FALSE))</f>
        <v>55</v>
      </c>
      <c r="K52" s="6">
        <f>(VLOOKUP('102 5.1.00'!S52,'102 5.1.00'!$AM$4:$AO$55,3,FALSE))</f>
        <v>55</v>
      </c>
      <c r="L52" s="6">
        <f>(VLOOKUP('102 5.1.00'!T52,'102 5.1.00'!$AM$4:$AO$55,3,FALSE))</f>
        <v>55</v>
      </c>
      <c r="M52" s="6">
        <f>(VLOOKUP('102 5.1.00'!U52,'102 5.1.00'!$AM$4:$AO$55,3,FALSE))</f>
        <v>0</v>
      </c>
      <c r="N52" s="6">
        <f>(VLOOKUP('102 5.1.00'!V52,'102 5.1.00'!$AM$4:$AO$55,3,FALSE))</f>
        <v>0</v>
      </c>
      <c r="O52" s="7">
        <f>(VLOOKUP('102 5.1.00'!W52,'102 5.1.00'!$AM$4:$AO$55,3,FALSE))</f>
        <v>0</v>
      </c>
      <c r="P52" s="7">
        <f>(VLOOKUP('102 5.1.00'!X52,'102 5.1.00'!$AM$4:$AO$55,3,FALSE))</f>
        <v>0</v>
      </c>
      <c r="Q52" s="6">
        <f>(VLOOKUP('102 5.1.00'!Y52,'102 5.1.00'!$AM$4:$AO$55,3,FALSE))</f>
        <v>0</v>
      </c>
      <c r="R52" s="6">
        <f>(VLOOKUP('102 5.1.00'!Z52,'102 5.1.00'!$AM$4:$AO$55,3,FALSE))</f>
        <v>0</v>
      </c>
      <c r="S52" s="6">
        <f>(VLOOKUP('102 5.1.00'!AA52,'102 5.1.00'!$AM$4:$AO$55,3,FALSE))</f>
        <v>0</v>
      </c>
      <c r="T52" s="6">
        <f>(VLOOKUP('102 5.1.00'!AB52,'102 5.1.00'!$AM$4:$AO$55,3,FALSE))</f>
        <v>0</v>
      </c>
      <c r="U52" s="6">
        <f>(VLOOKUP('102 5.1.00'!AC52,'102 5.1.00'!$AM$4:$AO$55,3,FALSE))</f>
        <v>0</v>
      </c>
      <c r="V52" s="6">
        <f>(VLOOKUP('102 5.1.00'!AD52,'102 5.1.00'!$AM$4:$AO$55,3,FALSE))</f>
        <v>0</v>
      </c>
      <c r="W52" s="7">
        <f>(VLOOKUP('102 5.1.00'!AE52,'102 5.1.00'!$AM$4:$AO$55,3,FALSE))</f>
        <v>0</v>
      </c>
      <c r="X52" s="7">
        <f>(VLOOKUP('102 5.1.00'!AF52,'102 5.1.00'!$AM$4:$AO$55,3,FALSE))</f>
        <v>0</v>
      </c>
    </row>
    <row r="53" spans="1:24">
      <c r="A53" s="6">
        <f>(VLOOKUP('102 5.1.00'!I53,'102 5.1.00'!$AM$4:$AO$55,3,FALSE))</f>
        <v>60</v>
      </c>
      <c r="B53" s="6">
        <f>(VLOOKUP('102 5.1.00'!J53,'102 5.1.00'!$AM$4:$AO$55,3,FALSE))</f>
        <v>60</v>
      </c>
      <c r="C53" s="6">
        <f>(VLOOKUP('102 5.1.00'!K53,'102 5.1.00'!$AM$4:$AO$55,3,FALSE))</f>
        <v>60</v>
      </c>
      <c r="D53" s="6">
        <f>(VLOOKUP('102 5.1.00'!L53,'102 5.1.00'!$AM$4:$AO$55,3,FALSE))</f>
        <v>60</v>
      </c>
      <c r="E53" s="6">
        <f>(VLOOKUP('102 5.1.00'!M53,'102 5.1.00'!$AM$4:$AO$55,3,FALSE))</f>
        <v>60</v>
      </c>
      <c r="F53" s="6">
        <f>(VLOOKUP('102 5.1.00'!N53,'102 5.1.00'!$AM$4:$AO$55,3,FALSE))</f>
        <v>60</v>
      </c>
      <c r="G53" s="7">
        <f>(VLOOKUP('102 5.1.00'!O53,'102 5.1.00'!$AM$4:$AO$55,3,FALSE))</f>
        <v>0</v>
      </c>
      <c r="H53" s="7">
        <f>(VLOOKUP('102 5.1.00'!P53,'102 5.1.00'!$AM$4:$AO$55,3,FALSE))</f>
        <v>0</v>
      </c>
      <c r="I53" s="6">
        <f>(VLOOKUP('102 5.1.00'!Q53,'102 5.1.00'!$AM$4:$AO$55,3,FALSE))</f>
        <v>55</v>
      </c>
      <c r="J53" s="6">
        <f>(VLOOKUP('102 5.1.00'!R53,'102 5.1.00'!$AM$4:$AO$55,3,FALSE))</f>
        <v>55</v>
      </c>
      <c r="K53" s="6">
        <f>(VLOOKUP('102 5.1.00'!S53,'102 5.1.00'!$AM$4:$AO$55,3,FALSE))</f>
        <v>55</v>
      </c>
      <c r="L53" s="6">
        <f>(VLOOKUP('102 5.1.00'!T53,'102 5.1.00'!$AM$4:$AO$55,3,FALSE))</f>
        <v>50</v>
      </c>
      <c r="M53" s="6">
        <f>(VLOOKUP('102 5.1.00'!U53,'102 5.1.00'!$AM$4:$AO$55,3,FALSE))</f>
        <v>55</v>
      </c>
      <c r="N53" s="6">
        <f>(VLOOKUP('102 5.1.00'!V53,'102 5.1.00'!$AM$4:$AO$55,3,FALSE))</f>
        <v>0</v>
      </c>
      <c r="O53" s="7">
        <f>(VLOOKUP('102 5.1.00'!W53,'102 5.1.00'!$AM$4:$AO$55,3,FALSE))</f>
        <v>0</v>
      </c>
      <c r="P53" s="7">
        <f>(VLOOKUP('102 5.1.00'!X53,'102 5.1.00'!$AM$4:$AO$55,3,FALSE))</f>
        <v>0</v>
      </c>
      <c r="Q53" s="6">
        <f>(VLOOKUP('102 5.1.00'!Y53,'102 5.1.00'!$AM$4:$AO$55,3,FALSE))</f>
        <v>0</v>
      </c>
      <c r="R53" s="6">
        <f>(VLOOKUP('102 5.1.00'!Z53,'102 5.1.00'!$AM$4:$AO$55,3,FALSE))</f>
        <v>0</v>
      </c>
      <c r="S53" s="6">
        <f>(VLOOKUP('102 5.1.00'!AA53,'102 5.1.00'!$AM$4:$AO$55,3,FALSE))</f>
        <v>0</v>
      </c>
      <c r="T53" s="6">
        <f>(VLOOKUP('102 5.1.00'!AB53,'102 5.1.00'!$AM$4:$AO$55,3,FALSE))</f>
        <v>0</v>
      </c>
      <c r="U53" s="6">
        <f>(VLOOKUP('102 5.1.00'!AC53,'102 5.1.00'!$AM$4:$AO$55,3,FALSE))</f>
        <v>0</v>
      </c>
      <c r="V53" s="6">
        <f>(VLOOKUP('102 5.1.00'!AD53,'102 5.1.00'!$AM$4:$AO$55,3,FALSE))</f>
        <v>0</v>
      </c>
      <c r="W53" s="7">
        <f>(VLOOKUP('102 5.1.00'!AE53,'102 5.1.00'!$AM$4:$AO$55,3,FALSE))</f>
        <v>0</v>
      </c>
      <c r="X53" s="7">
        <f>(VLOOKUP('102 5.1.00'!AF53,'102 5.1.00'!$AM$4:$AO$55,3,FALSE))</f>
        <v>0</v>
      </c>
    </row>
    <row r="54" spans="1:24">
      <c r="A54" s="6">
        <f>(VLOOKUP('102 5.1.00'!I54,'102 5.1.00'!$AM$4:$AO$55,3,FALSE))</f>
        <v>60</v>
      </c>
      <c r="B54" s="6">
        <f>(VLOOKUP('102 5.1.00'!J54,'102 5.1.00'!$AM$4:$AO$55,3,FALSE))</f>
        <v>60</v>
      </c>
      <c r="C54" s="6">
        <f>(VLOOKUP('102 5.1.00'!K54,'102 5.1.00'!$AM$4:$AO$55,3,FALSE))</f>
        <v>60</v>
      </c>
      <c r="D54" s="6">
        <f>(VLOOKUP('102 5.1.00'!L54,'102 5.1.00'!$AM$4:$AO$55,3,FALSE))</f>
        <v>60</v>
      </c>
      <c r="E54" s="6">
        <f>(VLOOKUP('102 5.1.00'!M54,'102 5.1.00'!$AM$4:$AO$55,3,FALSE))</f>
        <v>60</v>
      </c>
      <c r="F54" s="6">
        <f>(VLOOKUP('102 5.1.00'!N54,'102 5.1.00'!$AM$4:$AO$55,3,FALSE))</f>
        <v>60</v>
      </c>
      <c r="G54" s="7">
        <f>(VLOOKUP('102 5.1.00'!O54,'102 5.1.00'!$AM$4:$AO$55,3,FALSE))</f>
        <v>0</v>
      </c>
      <c r="H54" s="7">
        <f>(VLOOKUP('102 5.1.00'!P54,'102 5.1.00'!$AM$4:$AO$55,3,FALSE))</f>
        <v>0</v>
      </c>
      <c r="I54" s="6">
        <f>(VLOOKUP('102 5.1.00'!Q54,'102 5.1.00'!$AM$4:$AO$55,3,FALSE))</f>
        <v>55</v>
      </c>
      <c r="J54" s="6">
        <f>(VLOOKUP('102 5.1.00'!R54,'102 5.1.00'!$AM$4:$AO$55,3,FALSE))</f>
        <v>55</v>
      </c>
      <c r="K54" s="6">
        <f>(VLOOKUP('102 5.1.00'!S54,'102 5.1.00'!$AM$4:$AO$55,3,FALSE))</f>
        <v>55</v>
      </c>
      <c r="L54" s="6">
        <f>(VLOOKUP('102 5.1.00'!T54,'102 5.1.00'!$AM$4:$AO$55,3,FALSE))</f>
        <v>50</v>
      </c>
      <c r="M54" s="6">
        <f>(VLOOKUP('102 5.1.00'!U54,'102 5.1.00'!$AM$4:$AO$55,3,FALSE))</f>
        <v>0</v>
      </c>
      <c r="N54" s="6">
        <f>(VLOOKUP('102 5.1.00'!V54,'102 5.1.00'!$AM$4:$AO$55,3,FALSE))</f>
        <v>0</v>
      </c>
      <c r="O54" s="7">
        <f>(VLOOKUP('102 5.1.00'!W54,'102 5.1.00'!$AM$4:$AO$55,3,FALSE))</f>
        <v>0</v>
      </c>
      <c r="P54" s="7">
        <f>(VLOOKUP('102 5.1.00'!X54,'102 5.1.00'!$AM$4:$AO$55,3,FALSE))</f>
        <v>0</v>
      </c>
      <c r="Q54" s="6">
        <f>(VLOOKUP('102 5.1.00'!Y54,'102 5.1.00'!$AM$4:$AO$55,3,FALSE))</f>
        <v>0</v>
      </c>
      <c r="R54" s="6">
        <f>(VLOOKUP('102 5.1.00'!Z54,'102 5.1.00'!$AM$4:$AO$55,3,FALSE))</f>
        <v>0</v>
      </c>
      <c r="S54" s="6">
        <f>(VLOOKUP('102 5.1.00'!AA54,'102 5.1.00'!$AM$4:$AO$55,3,FALSE))</f>
        <v>0</v>
      </c>
      <c r="T54" s="6">
        <f>(VLOOKUP('102 5.1.00'!AB54,'102 5.1.00'!$AM$4:$AO$55,3,FALSE))</f>
        <v>0</v>
      </c>
      <c r="U54" s="6">
        <f>(VLOOKUP('102 5.1.00'!AC54,'102 5.1.00'!$AM$4:$AO$55,3,FALSE))</f>
        <v>0</v>
      </c>
      <c r="V54" s="6">
        <f>(VLOOKUP('102 5.1.00'!AD54,'102 5.1.00'!$AM$4:$AO$55,3,FALSE))</f>
        <v>0</v>
      </c>
      <c r="W54" s="7">
        <f>(VLOOKUP('102 5.1.00'!AE54,'102 5.1.00'!$AM$4:$AO$55,3,FALSE))</f>
        <v>0</v>
      </c>
      <c r="X54" s="7">
        <f>(VLOOKUP('102 5.1.00'!AF54,'102 5.1.00'!$AM$4:$AO$55,3,FALSE))</f>
        <v>0</v>
      </c>
    </row>
    <row r="55" spans="1:24">
      <c r="A55" s="6">
        <f>(VLOOKUP('102 5.1.00'!I55,'102 5.1.00'!$AM$4:$AO$55,3,FALSE))</f>
        <v>60</v>
      </c>
      <c r="B55" s="6">
        <f>(VLOOKUP('102 5.1.00'!J55,'102 5.1.00'!$AM$4:$AO$55,3,FALSE))</f>
        <v>60</v>
      </c>
      <c r="C55" s="6">
        <f>(VLOOKUP('102 5.1.00'!K55,'102 5.1.00'!$AM$4:$AO$55,3,FALSE))</f>
        <v>60</v>
      </c>
      <c r="D55" s="6">
        <f>(VLOOKUP('102 5.1.00'!L55,'102 5.1.00'!$AM$4:$AO$55,3,FALSE))</f>
        <v>60</v>
      </c>
      <c r="E55" s="6">
        <f>(VLOOKUP('102 5.1.00'!M55,'102 5.1.00'!$AM$4:$AO$55,3,FALSE))</f>
        <v>60</v>
      </c>
      <c r="F55" s="6">
        <f>(VLOOKUP('102 5.1.00'!N55,'102 5.1.00'!$AM$4:$AO$55,3,FALSE))</f>
        <v>60</v>
      </c>
      <c r="G55" s="7">
        <f>(VLOOKUP('102 5.1.00'!O55,'102 5.1.00'!$AM$4:$AO$55,3,FALSE))</f>
        <v>0</v>
      </c>
      <c r="H55" s="7">
        <f>(VLOOKUP('102 5.1.00'!P55,'102 5.1.00'!$AM$4:$AO$55,3,FALSE))</f>
        <v>0</v>
      </c>
      <c r="I55" s="6">
        <f>(VLOOKUP('102 5.1.00'!Q55,'102 5.1.00'!$AM$4:$AO$55,3,FALSE))</f>
        <v>50</v>
      </c>
      <c r="J55" s="6">
        <f>(VLOOKUP('102 5.1.00'!R55,'102 5.1.00'!$AM$4:$AO$55,3,FALSE))</f>
        <v>50</v>
      </c>
      <c r="K55" s="6">
        <f>(VLOOKUP('102 5.1.00'!S55,'102 5.1.00'!$AM$4:$AO$55,3,FALSE))</f>
        <v>50</v>
      </c>
      <c r="L55" s="6">
        <f>(VLOOKUP('102 5.1.00'!T55,'102 5.1.00'!$AM$4:$AO$55,3,FALSE))</f>
        <v>50</v>
      </c>
      <c r="M55" s="6">
        <f>(VLOOKUP('102 5.1.00'!U55,'102 5.1.00'!$AM$4:$AO$55,3,FALSE))</f>
        <v>50</v>
      </c>
      <c r="N55" s="6">
        <f>(VLOOKUP('102 5.1.00'!V55,'102 5.1.00'!$AM$4:$AO$55,3,FALSE))</f>
        <v>0</v>
      </c>
      <c r="O55" s="7">
        <f>(VLOOKUP('102 5.1.00'!W55,'102 5.1.00'!$AM$4:$AO$55,3,FALSE))</f>
        <v>0</v>
      </c>
      <c r="P55" s="7">
        <f>(VLOOKUP('102 5.1.00'!X55,'102 5.1.00'!$AM$4:$AO$55,3,FALSE))</f>
        <v>0</v>
      </c>
      <c r="Q55" s="6">
        <f>(VLOOKUP('102 5.1.00'!Y55,'102 5.1.00'!$AM$4:$AO$55,3,FALSE))</f>
        <v>0</v>
      </c>
      <c r="R55" s="6">
        <f>(VLOOKUP('102 5.1.00'!Z55,'102 5.1.00'!$AM$4:$AO$55,3,FALSE))</f>
        <v>0</v>
      </c>
      <c r="S55" s="6">
        <f>(VLOOKUP('102 5.1.00'!AA55,'102 5.1.00'!$AM$4:$AO$55,3,FALSE))</f>
        <v>0</v>
      </c>
      <c r="T55" s="6">
        <f>(VLOOKUP('102 5.1.00'!AB55,'102 5.1.00'!$AM$4:$AO$55,3,FALSE))</f>
        <v>0</v>
      </c>
      <c r="U55" s="6">
        <f>(VLOOKUP('102 5.1.00'!AC55,'102 5.1.00'!$AM$4:$AO$55,3,FALSE))</f>
        <v>0</v>
      </c>
      <c r="V55" s="6">
        <f>(VLOOKUP('102 5.1.00'!AD55,'102 5.1.00'!$AM$4:$AO$55,3,FALSE))</f>
        <v>0</v>
      </c>
      <c r="W55" s="7">
        <f>(VLOOKUP('102 5.1.00'!AE55,'102 5.1.00'!$AM$4:$AO$55,3,FALSE))</f>
        <v>0</v>
      </c>
      <c r="X55" s="7">
        <f>(VLOOKUP('102 5.1.00'!AF55,'102 5.1.00'!$AM$4:$AO$55,3,FALSE))</f>
        <v>0</v>
      </c>
    </row>
    <row r="56" spans="1:24">
      <c r="A56" s="6">
        <f>(VLOOKUP('102 5.1.00'!I56,'102 5.1.00'!$AM$4:$AO$55,3,FALSE))</f>
        <v>60</v>
      </c>
      <c r="B56" s="6">
        <f>(VLOOKUP('102 5.1.00'!J56,'102 5.1.00'!$AM$4:$AO$55,3,FALSE))</f>
        <v>60</v>
      </c>
      <c r="C56" s="6">
        <f>(VLOOKUP('102 5.1.00'!K56,'102 5.1.00'!$AM$4:$AO$55,3,FALSE))</f>
        <v>60</v>
      </c>
      <c r="D56" s="6">
        <f>(VLOOKUP('102 5.1.00'!L56,'102 5.1.00'!$AM$4:$AO$55,3,FALSE))</f>
        <v>60</v>
      </c>
      <c r="E56" s="6">
        <f>(VLOOKUP('102 5.1.00'!M56,'102 5.1.00'!$AM$4:$AO$55,3,FALSE))</f>
        <v>60</v>
      </c>
      <c r="F56" s="6">
        <f>(VLOOKUP('102 5.1.00'!N56,'102 5.1.00'!$AM$4:$AO$55,3,FALSE))</f>
        <v>60</v>
      </c>
      <c r="G56" s="7">
        <f>(VLOOKUP('102 5.1.00'!O56,'102 5.1.00'!$AM$4:$AO$55,3,FALSE))</f>
        <v>0</v>
      </c>
      <c r="H56" s="7">
        <f>(VLOOKUP('102 5.1.00'!P56,'102 5.1.00'!$AM$4:$AO$55,3,FALSE))</f>
        <v>0</v>
      </c>
      <c r="I56" s="6">
        <f>(VLOOKUP('102 5.1.00'!Q56,'102 5.1.00'!$AM$4:$AO$55,3,FALSE))</f>
        <v>50</v>
      </c>
      <c r="J56" s="6">
        <f>(VLOOKUP('102 5.1.00'!R56,'102 5.1.00'!$AM$4:$AO$55,3,FALSE))</f>
        <v>50</v>
      </c>
      <c r="K56" s="6">
        <f>(VLOOKUP('102 5.1.00'!S56,'102 5.1.00'!$AM$4:$AO$55,3,FALSE))</f>
        <v>50</v>
      </c>
      <c r="L56" s="6">
        <f>(VLOOKUP('102 5.1.00'!T56,'102 5.1.00'!$AM$4:$AO$55,3,FALSE))</f>
        <v>50</v>
      </c>
      <c r="M56" s="6">
        <f>(VLOOKUP('102 5.1.00'!U56,'102 5.1.00'!$AM$4:$AO$55,3,FALSE))</f>
        <v>0</v>
      </c>
      <c r="N56" s="6">
        <f>(VLOOKUP('102 5.1.00'!V56,'102 5.1.00'!$AM$4:$AO$55,3,FALSE))</f>
        <v>0</v>
      </c>
      <c r="O56" s="7">
        <f>(VLOOKUP('102 5.1.00'!W56,'102 5.1.00'!$AM$4:$AO$55,3,FALSE))</f>
        <v>0</v>
      </c>
      <c r="P56" s="7">
        <f>(VLOOKUP('102 5.1.00'!X56,'102 5.1.00'!$AM$4:$AO$55,3,FALSE))</f>
        <v>0</v>
      </c>
      <c r="Q56" s="6">
        <f>(VLOOKUP('102 5.1.00'!Y56,'102 5.1.00'!$AM$4:$AO$55,3,FALSE))</f>
        <v>0</v>
      </c>
      <c r="R56" s="6">
        <f>(VLOOKUP('102 5.1.00'!Z56,'102 5.1.00'!$AM$4:$AO$55,3,FALSE))</f>
        <v>0</v>
      </c>
      <c r="S56" s="6">
        <f>(VLOOKUP('102 5.1.00'!AA56,'102 5.1.00'!$AM$4:$AO$55,3,FALSE))</f>
        <v>0</v>
      </c>
      <c r="T56" s="6">
        <f>(VLOOKUP('102 5.1.00'!AB56,'102 5.1.00'!$AM$4:$AO$55,3,FALSE))</f>
        <v>0</v>
      </c>
      <c r="U56" s="6">
        <f>(VLOOKUP('102 5.1.00'!AC56,'102 5.1.00'!$AM$4:$AO$55,3,FALSE))</f>
        <v>0</v>
      </c>
      <c r="V56" s="6">
        <f>(VLOOKUP('102 5.1.00'!AD56,'102 5.1.00'!$AM$4:$AO$55,3,FALSE))</f>
        <v>0</v>
      </c>
      <c r="W56" s="7">
        <f>(VLOOKUP('102 5.1.00'!AE56,'102 5.1.00'!$AM$4:$AO$55,3,FALSE))</f>
        <v>0</v>
      </c>
      <c r="X56" s="7">
        <f>(VLOOKUP('102 5.1.00'!AF56,'102 5.1.00'!$AM$4:$AO$55,3,FALSE))</f>
        <v>0</v>
      </c>
    </row>
    <row r="57" spans="1:24">
      <c r="A57" s="6">
        <f>(VLOOKUP('102 5.1.00'!I57,'102 5.1.00'!$AM$4:$AO$55,3,FALSE))</f>
        <v>60</v>
      </c>
      <c r="B57" s="6">
        <f>(VLOOKUP('102 5.1.00'!J57,'102 5.1.00'!$AM$4:$AO$55,3,FALSE))</f>
        <v>60</v>
      </c>
      <c r="C57" s="6">
        <f>(VLOOKUP('102 5.1.00'!K57,'102 5.1.00'!$AM$4:$AO$55,3,FALSE))</f>
        <v>60</v>
      </c>
      <c r="D57" s="6">
        <f>(VLOOKUP('102 5.1.00'!L57,'102 5.1.00'!$AM$4:$AO$55,3,FALSE))</f>
        <v>60</v>
      </c>
      <c r="E57" s="6">
        <f>(VLOOKUP('102 5.1.00'!M57,'102 5.1.00'!$AM$4:$AO$55,3,FALSE))</f>
        <v>60</v>
      </c>
      <c r="F57" s="6">
        <f>(VLOOKUP('102 5.1.00'!N57,'102 5.1.00'!$AM$4:$AO$55,3,FALSE))</f>
        <v>60</v>
      </c>
      <c r="G57" s="7">
        <f>(VLOOKUP('102 5.1.00'!O57,'102 5.1.00'!$AM$4:$AO$55,3,FALSE))</f>
        <v>0</v>
      </c>
      <c r="H57" s="7">
        <f>(VLOOKUP('102 5.1.00'!P57,'102 5.1.00'!$AM$4:$AO$55,3,FALSE))</f>
        <v>0</v>
      </c>
      <c r="I57" s="6">
        <f>(VLOOKUP('102 5.1.00'!Q57,'102 5.1.00'!$AM$4:$AO$55,3,FALSE))</f>
        <v>50</v>
      </c>
      <c r="J57" s="6">
        <f>(VLOOKUP('102 5.1.00'!R57,'102 5.1.00'!$AM$4:$AO$55,3,FALSE))</f>
        <v>50</v>
      </c>
      <c r="K57" s="6">
        <f>(VLOOKUP('102 5.1.00'!S57,'102 5.1.00'!$AM$4:$AO$55,3,FALSE))</f>
        <v>50</v>
      </c>
      <c r="L57" s="6">
        <f>(VLOOKUP('102 5.1.00'!T57,'102 5.1.00'!$AM$4:$AO$55,3,FALSE))</f>
        <v>50</v>
      </c>
      <c r="M57" s="6">
        <f>(VLOOKUP('102 5.1.00'!U57,'102 5.1.00'!$AM$4:$AO$55,3,FALSE))</f>
        <v>50</v>
      </c>
      <c r="N57" s="6">
        <f>(VLOOKUP('102 5.1.00'!V57,'102 5.1.00'!$AM$4:$AO$55,3,FALSE))</f>
        <v>0</v>
      </c>
      <c r="O57" s="7">
        <f>(VLOOKUP('102 5.1.00'!W57,'102 5.1.00'!$AM$4:$AO$55,3,FALSE))</f>
        <v>0</v>
      </c>
      <c r="P57" s="7">
        <f>(VLOOKUP('102 5.1.00'!X57,'102 5.1.00'!$AM$4:$AO$55,3,FALSE))</f>
        <v>0</v>
      </c>
      <c r="Q57" s="6">
        <f>(VLOOKUP('102 5.1.00'!Y57,'102 5.1.00'!$AM$4:$AO$55,3,FALSE))</f>
        <v>0</v>
      </c>
      <c r="R57" s="6">
        <f>(VLOOKUP('102 5.1.00'!Z57,'102 5.1.00'!$AM$4:$AO$55,3,FALSE))</f>
        <v>0</v>
      </c>
      <c r="S57" s="6">
        <f>(VLOOKUP('102 5.1.00'!AA57,'102 5.1.00'!$AM$4:$AO$55,3,FALSE))</f>
        <v>0</v>
      </c>
      <c r="T57" s="6">
        <f>(VLOOKUP('102 5.1.00'!AB57,'102 5.1.00'!$AM$4:$AO$55,3,FALSE))</f>
        <v>0</v>
      </c>
      <c r="U57" s="6">
        <f>(VLOOKUP('102 5.1.00'!AC57,'102 5.1.00'!$AM$4:$AO$55,3,FALSE))</f>
        <v>0</v>
      </c>
      <c r="V57" s="6">
        <f>(VLOOKUP('102 5.1.00'!AD57,'102 5.1.00'!$AM$4:$AO$55,3,FALSE))</f>
        <v>0</v>
      </c>
      <c r="W57" s="7">
        <f>(VLOOKUP('102 5.1.00'!AE57,'102 5.1.00'!$AM$4:$AO$55,3,FALSE))</f>
        <v>0</v>
      </c>
      <c r="X57" s="7">
        <f>(VLOOKUP('102 5.1.00'!AF57,'102 5.1.00'!$AM$4:$AO$55,3,FALSE))</f>
        <v>0</v>
      </c>
    </row>
    <row r="58" spans="1:24">
      <c r="A58" s="6">
        <f>(VLOOKUP('102 5.1.00'!I58,'102 5.1.00'!$AM$4:$AO$55,3,FALSE))</f>
        <v>60</v>
      </c>
      <c r="B58" s="6">
        <f>(VLOOKUP('102 5.1.00'!J58,'102 5.1.00'!$AM$4:$AO$55,3,FALSE))</f>
        <v>60</v>
      </c>
      <c r="C58" s="6">
        <f>(VLOOKUP('102 5.1.00'!K58,'102 5.1.00'!$AM$4:$AO$55,3,FALSE))</f>
        <v>60</v>
      </c>
      <c r="D58" s="6">
        <f>(VLOOKUP('102 5.1.00'!L58,'102 5.1.00'!$AM$4:$AO$55,3,FALSE))</f>
        <v>60</v>
      </c>
      <c r="E58" s="6">
        <f>(VLOOKUP('102 5.1.00'!M58,'102 5.1.00'!$AM$4:$AO$55,3,FALSE))</f>
        <v>60</v>
      </c>
      <c r="F58" s="6">
        <f>(VLOOKUP('102 5.1.00'!N58,'102 5.1.00'!$AM$4:$AO$55,3,FALSE))</f>
        <v>60</v>
      </c>
      <c r="G58" s="7">
        <f>(VLOOKUP('102 5.1.00'!O58,'102 5.1.00'!$AM$4:$AO$55,3,FALSE))</f>
        <v>0</v>
      </c>
      <c r="H58" s="7">
        <f>(VLOOKUP('102 5.1.00'!P58,'102 5.1.00'!$AM$4:$AO$55,3,FALSE))</f>
        <v>0</v>
      </c>
      <c r="I58" s="6">
        <f>(VLOOKUP('102 5.1.00'!Q58,'102 5.1.00'!$AM$4:$AO$55,3,FALSE))</f>
        <v>50</v>
      </c>
      <c r="J58" s="6">
        <f>(VLOOKUP('102 5.1.00'!R58,'102 5.1.00'!$AM$4:$AO$55,3,FALSE))</f>
        <v>50</v>
      </c>
      <c r="K58" s="6">
        <f>(VLOOKUP('102 5.1.00'!S58,'102 5.1.00'!$AM$4:$AO$55,3,FALSE))</f>
        <v>50</v>
      </c>
      <c r="L58" s="6">
        <f>(VLOOKUP('102 5.1.00'!T58,'102 5.1.00'!$AM$4:$AO$55,3,FALSE))</f>
        <v>50</v>
      </c>
      <c r="M58" s="6">
        <f>(VLOOKUP('102 5.1.00'!U58,'102 5.1.00'!$AM$4:$AO$55,3,FALSE))</f>
        <v>0</v>
      </c>
      <c r="N58" s="6">
        <f>(VLOOKUP('102 5.1.00'!V58,'102 5.1.00'!$AM$4:$AO$55,3,FALSE))</f>
        <v>0</v>
      </c>
      <c r="O58" s="7">
        <f>(VLOOKUP('102 5.1.00'!W58,'102 5.1.00'!$AM$4:$AO$55,3,FALSE))</f>
        <v>0</v>
      </c>
      <c r="P58" s="7">
        <f>(VLOOKUP('102 5.1.00'!X58,'102 5.1.00'!$AM$4:$AO$55,3,FALSE))</f>
        <v>0</v>
      </c>
      <c r="Q58" s="6">
        <f>(VLOOKUP('102 5.1.00'!Y58,'102 5.1.00'!$AM$4:$AO$55,3,FALSE))</f>
        <v>0</v>
      </c>
      <c r="R58" s="6">
        <f>(VLOOKUP('102 5.1.00'!Z58,'102 5.1.00'!$AM$4:$AO$55,3,FALSE))</f>
        <v>0</v>
      </c>
      <c r="S58" s="6">
        <f>(VLOOKUP('102 5.1.00'!AA58,'102 5.1.00'!$AM$4:$AO$55,3,FALSE))</f>
        <v>0</v>
      </c>
      <c r="T58" s="6">
        <f>(VLOOKUP('102 5.1.00'!AB58,'102 5.1.00'!$AM$4:$AO$55,3,FALSE))</f>
        <v>0</v>
      </c>
      <c r="U58" s="6">
        <f>(VLOOKUP('102 5.1.00'!AC58,'102 5.1.00'!$AM$4:$AO$55,3,FALSE))</f>
        <v>0</v>
      </c>
      <c r="V58" s="6">
        <f>(VLOOKUP('102 5.1.00'!AD58,'102 5.1.00'!$AM$4:$AO$55,3,FALSE))</f>
        <v>0</v>
      </c>
      <c r="W58" s="7">
        <f>(VLOOKUP('102 5.1.00'!AE58,'102 5.1.00'!$AM$4:$AO$55,3,FALSE))</f>
        <v>0</v>
      </c>
      <c r="X58" s="7">
        <f>(VLOOKUP('102 5.1.00'!AF58,'102 5.1.00'!$AM$4:$AO$55,3,FALSE))</f>
        <v>0</v>
      </c>
    </row>
    <row r="59" spans="1:24">
      <c r="A59" s="6">
        <f>(VLOOKUP('102 5.1.00'!I59,'102 5.1.00'!$AM$4:$AO$55,3,FALSE))</f>
        <v>60</v>
      </c>
      <c r="B59" s="6">
        <f>(VLOOKUP('102 5.1.00'!J59,'102 5.1.00'!$AM$4:$AO$55,3,FALSE))</f>
        <v>60</v>
      </c>
      <c r="C59" s="6">
        <f>(VLOOKUP('102 5.1.00'!K59,'102 5.1.00'!$AM$4:$AO$55,3,FALSE))</f>
        <v>60</v>
      </c>
      <c r="D59" s="6">
        <f>(VLOOKUP('102 5.1.00'!L59,'102 5.1.00'!$AM$4:$AO$55,3,FALSE))</f>
        <v>60</v>
      </c>
      <c r="E59" s="6">
        <f>(VLOOKUP('102 5.1.00'!M59,'102 5.1.00'!$AM$4:$AO$55,3,FALSE))</f>
        <v>0</v>
      </c>
      <c r="F59" s="6">
        <f>(VLOOKUP('102 5.1.00'!N59,'102 5.1.00'!$AM$4:$AO$55,3,FALSE))</f>
        <v>60</v>
      </c>
      <c r="G59" s="7">
        <f>(VLOOKUP('102 5.1.00'!O59,'102 5.1.00'!$AM$4:$AO$55,3,FALSE))</f>
        <v>60</v>
      </c>
      <c r="H59" s="7">
        <f>(VLOOKUP('102 5.1.00'!P59,'102 5.1.00'!$AM$4:$AO$55,3,FALSE))</f>
        <v>60</v>
      </c>
      <c r="I59" s="6">
        <f>(VLOOKUP('102 5.1.00'!Q59,'102 5.1.00'!$AM$4:$AO$55,3,FALSE))</f>
        <v>50</v>
      </c>
      <c r="J59" s="6">
        <f>(VLOOKUP('102 5.1.00'!R59,'102 5.1.00'!$AM$4:$AO$55,3,FALSE))</f>
        <v>50</v>
      </c>
      <c r="K59" s="6">
        <f>(VLOOKUP('102 5.1.00'!S59,'102 5.1.00'!$AM$4:$AO$55,3,FALSE))</f>
        <v>30</v>
      </c>
      <c r="L59" s="6">
        <f>(VLOOKUP('102 5.1.00'!T59,'102 5.1.00'!$AM$4:$AO$55,3,FALSE))</f>
        <v>50</v>
      </c>
      <c r="M59" s="6">
        <f>(VLOOKUP('102 5.1.00'!U59,'102 5.1.00'!$AM$4:$AO$55,3,FALSE))</f>
        <v>50</v>
      </c>
      <c r="N59" s="6">
        <f>(VLOOKUP('102 5.1.00'!V59,'102 5.1.00'!$AM$4:$AO$55,3,FALSE))</f>
        <v>0</v>
      </c>
      <c r="O59" s="7">
        <f>(VLOOKUP('102 5.1.00'!W59,'102 5.1.00'!$AM$4:$AO$55,3,FALSE))</f>
        <v>50</v>
      </c>
      <c r="P59" s="7">
        <f>(VLOOKUP('102 5.1.00'!X59,'102 5.1.00'!$AM$4:$AO$55,3,FALSE))</f>
        <v>0</v>
      </c>
      <c r="Q59" s="6">
        <f>(VLOOKUP('102 5.1.00'!Y59,'102 5.1.00'!$AM$4:$AO$55,3,FALSE))</f>
        <v>0</v>
      </c>
      <c r="R59" s="6">
        <f>(VLOOKUP('102 5.1.00'!Z59,'102 5.1.00'!$AM$4:$AO$55,3,FALSE))</f>
        <v>0</v>
      </c>
      <c r="S59" s="6">
        <f>(VLOOKUP('102 5.1.00'!AA59,'102 5.1.00'!$AM$4:$AO$55,3,FALSE))</f>
        <v>0</v>
      </c>
      <c r="T59" s="6">
        <f>(VLOOKUP('102 5.1.00'!AB59,'102 5.1.00'!$AM$4:$AO$55,3,FALSE))</f>
        <v>0</v>
      </c>
      <c r="U59" s="6">
        <f>(VLOOKUP('102 5.1.00'!AC59,'102 5.1.00'!$AM$4:$AO$55,3,FALSE))</f>
        <v>0</v>
      </c>
      <c r="V59" s="6">
        <f>(VLOOKUP('102 5.1.00'!AD59,'102 5.1.00'!$AM$4:$AO$55,3,FALSE))</f>
        <v>0</v>
      </c>
      <c r="W59" s="7">
        <f>(VLOOKUP('102 5.1.00'!AE59,'102 5.1.00'!$AM$4:$AO$55,3,FALSE))</f>
        <v>0</v>
      </c>
      <c r="X59" s="7">
        <f>(VLOOKUP('102 5.1.00'!AF59,'102 5.1.00'!$AM$4:$AO$55,3,FALSE))</f>
        <v>0</v>
      </c>
    </row>
    <row r="60" spans="1:24">
      <c r="A60" s="6">
        <f>(VLOOKUP('102 5.1.00'!I60,'102 5.1.00'!$AM$4:$AO$55,3,FALSE))</f>
        <v>1000</v>
      </c>
      <c r="B60" s="6">
        <f>(VLOOKUP('102 5.1.00'!J60,'102 5.1.00'!$AM$4:$AO$55,3,FALSE))</f>
        <v>60</v>
      </c>
      <c r="C60" s="6">
        <f>(VLOOKUP('102 5.1.00'!K60,'102 5.1.00'!$AM$4:$AO$55,3,FALSE))</f>
        <v>60</v>
      </c>
      <c r="D60" s="6">
        <f>(VLOOKUP('102 5.1.00'!L60,'102 5.1.00'!$AM$4:$AO$55,3,FALSE))</f>
        <v>60</v>
      </c>
      <c r="E60" s="6">
        <f>(VLOOKUP('102 5.1.00'!M60,'102 5.1.00'!$AM$4:$AO$55,3,FALSE))</f>
        <v>60</v>
      </c>
      <c r="F60" s="6">
        <f>(VLOOKUP('102 5.1.00'!N60,'102 5.1.00'!$AM$4:$AO$55,3,FALSE))</f>
        <v>60</v>
      </c>
      <c r="G60" s="7">
        <f>(VLOOKUP('102 5.1.00'!O60,'102 5.1.00'!$AM$4:$AO$55,3,FALSE))</f>
        <v>0</v>
      </c>
      <c r="H60" s="7">
        <f>(VLOOKUP('102 5.1.00'!P60,'102 5.1.00'!$AM$4:$AO$55,3,FALSE))</f>
        <v>0</v>
      </c>
      <c r="I60" s="6">
        <f>(VLOOKUP('102 5.1.00'!Q60,'102 5.1.00'!$AM$4:$AO$55,3,FALSE))</f>
        <v>50</v>
      </c>
      <c r="J60" s="6">
        <f>(VLOOKUP('102 5.1.00'!R60,'102 5.1.00'!$AM$4:$AO$55,3,FALSE))</f>
        <v>50</v>
      </c>
      <c r="K60" s="6">
        <f>(VLOOKUP('102 5.1.00'!S60,'102 5.1.00'!$AM$4:$AO$55,3,FALSE))</f>
        <v>45</v>
      </c>
      <c r="L60" s="6">
        <f>(VLOOKUP('102 5.1.00'!T60,'102 5.1.00'!$AM$4:$AO$55,3,FALSE))</f>
        <v>30</v>
      </c>
      <c r="M60" s="6">
        <f>(VLOOKUP('102 5.1.00'!U60,'102 5.1.00'!$AM$4:$AO$55,3,FALSE))</f>
        <v>45</v>
      </c>
      <c r="N60" s="6">
        <f>(VLOOKUP('102 5.1.00'!V60,'102 5.1.00'!$AM$4:$AO$55,3,FALSE))</f>
        <v>45</v>
      </c>
      <c r="O60" s="7">
        <f>(VLOOKUP('102 5.1.00'!W60,'102 5.1.00'!$AM$4:$AO$55,3,FALSE))</f>
        <v>0</v>
      </c>
      <c r="P60" s="7">
        <f>(VLOOKUP('102 5.1.00'!X60,'102 5.1.00'!$AM$4:$AO$55,3,FALSE))</f>
        <v>0</v>
      </c>
      <c r="Q60" s="6">
        <f>(VLOOKUP('102 5.1.00'!Y60,'102 5.1.00'!$AM$4:$AO$55,3,FALSE))</f>
        <v>0</v>
      </c>
      <c r="R60" s="6">
        <f>(VLOOKUP('102 5.1.00'!Z60,'102 5.1.00'!$AM$4:$AO$55,3,FALSE))</f>
        <v>0</v>
      </c>
      <c r="S60" s="6">
        <f>(VLOOKUP('102 5.1.00'!AA60,'102 5.1.00'!$AM$4:$AO$55,3,FALSE))</f>
        <v>0</v>
      </c>
      <c r="T60" s="6">
        <f>(VLOOKUP('102 5.1.00'!AB60,'102 5.1.00'!$AM$4:$AO$55,3,FALSE))</f>
        <v>0</v>
      </c>
      <c r="U60" s="6">
        <f>(VLOOKUP('102 5.1.00'!AC60,'102 5.1.00'!$AM$4:$AO$55,3,FALSE))</f>
        <v>0</v>
      </c>
      <c r="V60" s="6">
        <f>(VLOOKUP('102 5.1.00'!AD60,'102 5.1.00'!$AM$4:$AO$55,3,FALSE))</f>
        <v>0</v>
      </c>
      <c r="W60" s="7">
        <f>(VLOOKUP('102 5.1.00'!AE60,'102 5.1.00'!$AM$4:$AO$55,3,FALSE))</f>
        <v>0</v>
      </c>
      <c r="X60" s="7">
        <f>(VLOOKUP('102 5.1.00'!AF60,'102 5.1.00'!$AM$4:$AO$55,3,FALSE))</f>
        <v>0</v>
      </c>
    </row>
    <row r="61" spans="1:24">
      <c r="A61" s="6">
        <f>(VLOOKUP('102 5.1.00'!I61,'102 5.1.00'!$AM$4:$AO$55,3,FALSE))</f>
        <v>60</v>
      </c>
      <c r="B61" s="6">
        <f>(VLOOKUP('102 5.1.00'!J61,'102 5.1.00'!$AM$4:$AO$55,3,FALSE))</f>
        <v>60</v>
      </c>
      <c r="C61" s="6">
        <f>(VLOOKUP('102 5.1.00'!K61,'102 5.1.00'!$AM$4:$AO$55,3,FALSE))</f>
        <v>60</v>
      </c>
      <c r="D61" s="6">
        <f>(VLOOKUP('102 5.1.00'!L61,'102 5.1.00'!$AM$4:$AO$55,3,FALSE))</f>
        <v>60</v>
      </c>
      <c r="E61" s="6">
        <f>(VLOOKUP('102 5.1.00'!M61,'102 5.1.00'!$AM$4:$AO$55,3,FALSE))</f>
        <v>60</v>
      </c>
      <c r="F61" s="6">
        <f>(VLOOKUP('102 5.1.00'!N61,'102 5.1.00'!$AM$4:$AO$55,3,FALSE))</f>
        <v>60</v>
      </c>
      <c r="G61" s="7">
        <f>(VLOOKUP('102 5.1.00'!O61,'102 5.1.00'!$AM$4:$AO$55,3,FALSE))</f>
        <v>0</v>
      </c>
      <c r="H61" s="7">
        <f>(VLOOKUP('102 5.1.00'!P61,'102 5.1.00'!$AM$4:$AO$55,3,FALSE))</f>
        <v>0</v>
      </c>
      <c r="I61" s="6">
        <f>(VLOOKUP('102 5.1.00'!Q61,'102 5.1.00'!$AM$4:$AO$55,3,FALSE))</f>
        <v>50</v>
      </c>
      <c r="J61" s="6">
        <f>(VLOOKUP('102 5.1.00'!R61,'102 5.1.00'!$AM$4:$AO$55,3,FALSE))</f>
        <v>50</v>
      </c>
      <c r="K61" s="6">
        <f>(VLOOKUP('102 5.1.00'!S61,'102 5.1.00'!$AM$4:$AO$55,3,FALSE))</f>
        <v>50</v>
      </c>
      <c r="L61" s="6">
        <f>(VLOOKUP('102 5.1.00'!T61,'102 5.1.00'!$AM$4:$AO$55,3,FALSE))</f>
        <v>50</v>
      </c>
      <c r="M61" s="6">
        <f>(VLOOKUP('102 5.1.00'!U61,'102 5.1.00'!$AM$4:$AO$55,3,FALSE))</f>
        <v>0</v>
      </c>
      <c r="N61" s="6">
        <f>(VLOOKUP('102 5.1.00'!V61,'102 5.1.00'!$AM$4:$AO$55,3,FALSE))</f>
        <v>0</v>
      </c>
      <c r="O61" s="7">
        <f>(VLOOKUP('102 5.1.00'!W61,'102 5.1.00'!$AM$4:$AO$55,3,FALSE))</f>
        <v>0</v>
      </c>
      <c r="P61" s="7">
        <f>(VLOOKUP('102 5.1.00'!X61,'102 5.1.00'!$AM$4:$AO$55,3,FALSE))</f>
        <v>0</v>
      </c>
      <c r="Q61" s="6">
        <f>(VLOOKUP('102 5.1.00'!Y61,'102 5.1.00'!$AM$4:$AO$55,3,FALSE))</f>
        <v>0</v>
      </c>
      <c r="R61" s="6">
        <f>(VLOOKUP('102 5.1.00'!Z61,'102 5.1.00'!$AM$4:$AO$55,3,FALSE))</f>
        <v>0</v>
      </c>
      <c r="S61" s="6">
        <f>(VLOOKUP('102 5.1.00'!AA61,'102 5.1.00'!$AM$4:$AO$55,3,FALSE))</f>
        <v>0</v>
      </c>
      <c r="T61" s="6">
        <f>(VLOOKUP('102 5.1.00'!AB61,'102 5.1.00'!$AM$4:$AO$55,3,FALSE))</f>
        <v>0</v>
      </c>
      <c r="U61" s="6">
        <f>(VLOOKUP('102 5.1.00'!AC61,'102 5.1.00'!$AM$4:$AO$55,3,FALSE))</f>
        <v>0</v>
      </c>
      <c r="V61" s="6">
        <f>(VLOOKUP('102 5.1.00'!AD61,'102 5.1.00'!$AM$4:$AO$55,3,FALSE))</f>
        <v>0</v>
      </c>
      <c r="W61" s="7">
        <f>(VLOOKUP('102 5.1.00'!AE61,'102 5.1.00'!$AM$4:$AO$55,3,FALSE))</f>
        <v>0</v>
      </c>
      <c r="X61" s="7">
        <f>(VLOOKUP('102 5.1.00'!AF61,'102 5.1.00'!$AM$4:$AO$55,3,FALSE))</f>
        <v>0</v>
      </c>
    </row>
    <row r="62" spans="1:24">
      <c r="A62" s="6">
        <f>(VLOOKUP('102 5.1.00'!I62,'102 5.1.00'!$AM$4:$AO$55,3,FALSE))</f>
        <v>60</v>
      </c>
      <c r="B62" s="6">
        <f>(VLOOKUP('102 5.1.00'!J62,'102 5.1.00'!$AM$4:$AO$55,3,FALSE))</f>
        <v>60</v>
      </c>
      <c r="C62" s="6">
        <f>(VLOOKUP('102 5.1.00'!K62,'102 5.1.00'!$AM$4:$AO$55,3,FALSE))</f>
        <v>60</v>
      </c>
      <c r="D62" s="6">
        <f>(VLOOKUP('102 5.1.00'!L62,'102 5.1.00'!$AM$4:$AO$55,3,FALSE))</f>
        <v>60</v>
      </c>
      <c r="E62" s="6">
        <f>(VLOOKUP('102 5.1.00'!M62,'102 5.1.00'!$AM$4:$AO$55,3,FALSE))</f>
        <v>60</v>
      </c>
      <c r="F62" s="6">
        <f>(VLOOKUP('102 5.1.00'!N62,'102 5.1.00'!$AM$4:$AO$55,3,FALSE))</f>
        <v>55</v>
      </c>
      <c r="G62" s="7">
        <f>(VLOOKUP('102 5.1.00'!O62,'102 5.1.00'!$AM$4:$AO$55,3,FALSE))</f>
        <v>0</v>
      </c>
      <c r="H62" s="7">
        <f>(VLOOKUP('102 5.1.00'!P62,'102 5.1.00'!$AM$4:$AO$55,3,FALSE))</f>
        <v>0</v>
      </c>
      <c r="I62" s="6">
        <f>(VLOOKUP('102 5.1.00'!Q62,'102 5.1.00'!$AM$4:$AO$55,3,FALSE))</f>
        <v>50</v>
      </c>
      <c r="J62" s="6">
        <f>(VLOOKUP('102 5.1.00'!R62,'102 5.1.00'!$AM$4:$AO$55,3,FALSE))</f>
        <v>50</v>
      </c>
      <c r="K62" s="6">
        <f>(VLOOKUP('102 5.1.00'!S62,'102 5.1.00'!$AM$4:$AO$55,3,FALSE))</f>
        <v>50</v>
      </c>
      <c r="L62" s="6">
        <f>(VLOOKUP('102 5.1.00'!T62,'102 5.1.00'!$AM$4:$AO$55,3,FALSE))</f>
        <v>50</v>
      </c>
      <c r="M62" s="6">
        <f>(VLOOKUP('102 5.1.00'!U62,'102 5.1.00'!$AM$4:$AO$55,3,FALSE))</f>
        <v>50</v>
      </c>
      <c r="N62" s="6">
        <f>(VLOOKUP('102 5.1.00'!V62,'102 5.1.00'!$AM$4:$AO$55,3,FALSE))</f>
        <v>0</v>
      </c>
      <c r="O62" s="7">
        <f>(VLOOKUP('102 5.1.00'!W62,'102 5.1.00'!$AM$4:$AO$55,3,FALSE))</f>
        <v>0</v>
      </c>
      <c r="P62" s="7">
        <f>(VLOOKUP('102 5.1.00'!X62,'102 5.1.00'!$AM$4:$AO$55,3,FALSE))</f>
        <v>0</v>
      </c>
      <c r="Q62" s="6">
        <f>(VLOOKUP('102 5.1.00'!Y62,'102 5.1.00'!$AM$4:$AO$55,3,FALSE))</f>
        <v>0</v>
      </c>
      <c r="R62" s="6">
        <f>(VLOOKUP('102 5.1.00'!Z62,'102 5.1.00'!$AM$4:$AO$55,3,FALSE))</f>
        <v>0</v>
      </c>
      <c r="S62" s="6">
        <f>(VLOOKUP('102 5.1.00'!AA62,'102 5.1.00'!$AM$4:$AO$55,3,FALSE))</f>
        <v>0</v>
      </c>
      <c r="T62" s="6">
        <f>(VLOOKUP('102 5.1.00'!AB62,'102 5.1.00'!$AM$4:$AO$55,3,FALSE))</f>
        <v>0</v>
      </c>
      <c r="U62" s="6">
        <f>(VLOOKUP('102 5.1.00'!AC62,'102 5.1.00'!$AM$4:$AO$55,3,FALSE))</f>
        <v>0</v>
      </c>
      <c r="V62" s="6">
        <f>(VLOOKUP('102 5.1.00'!AD62,'102 5.1.00'!$AM$4:$AO$55,3,FALSE))</f>
        <v>0</v>
      </c>
      <c r="W62" s="7">
        <f>(VLOOKUP('102 5.1.00'!AE62,'102 5.1.00'!$AM$4:$AO$55,3,FALSE))</f>
        <v>0</v>
      </c>
      <c r="X62" s="7">
        <f>(VLOOKUP('102 5.1.00'!AF62,'102 5.1.00'!$AM$4:$AO$55,3,FALSE))</f>
        <v>0</v>
      </c>
    </row>
    <row r="63" spans="1:24">
      <c r="A63" s="6">
        <f>(VLOOKUP('102 5.1.00'!I63,'102 5.1.00'!$AM$4:$AO$55,3,FALSE))</f>
        <v>60</v>
      </c>
      <c r="B63" s="6">
        <f>(VLOOKUP('102 5.1.00'!J63,'102 5.1.00'!$AM$4:$AO$55,3,FALSE))</f>
        <v>60</v>
      </c>
      <c r="C63" s="6">
        <f>(VLOOKUP('102 5.1.00'!K63,'102 5.1.00'!$AM$4:$AO$55,3,FALSE))</f>
        <v>60</v>
      </c>
      <c r="D63" s="6">
        <f>(VLOOKUP('102 5.1.00'!L63,'102 5.1.00'!$AM$4:$AO$55,3,FALSE))</f>
        <v>60</v>
      </c>
      <c r="E63" s="6">
        <f>(VLOOKUP('102 5.1.00'!M63,'102 5.1.00'!$AM$4:$AO$55,3,FALSE))</f>
        <v>60</v>
      </c>
      <c r="F63" s="6">
        <f>(VLOOKUP('102 5.1.00'!N63,'102 5.1.00'!$AM$4:$AO$55,3,FALSE))</f>
        <v>60</v>
      </c>
      <c r="G63" s="7">
        <f>(VLOOKUP('102 5.1.00'!O63,'102 5.1.00'!$AM$4:$AO$55,3,FALSE))</f>
        <v>0</v>
      </c>
      <c r="H63" s="7">
        <f>(VLOOKUP('102 5.1.00'!P63,'102 5.1.00'!$AM$4:$AO$55,3,FALSE))</f>
        <v>0</v>
      </c>
      <c r="I63" s="6">
        <f>(VLOOKUP('102 5.1.00'!Q63,'102 5.1.00'!$AM$4:$AO$55,3,FALSE))</f>
        <v>50</v>
      </c>
      <c r="J63" s="6">
        <f>(VLOOKUP('102 5.1.00'!R63,'102 5.1.00'!$AM$4:$AO$55,3,FALSE))</f>
        <v>50</v>
      </c>
      <c r="K63" s="6">
        <f>(VLOOKUP('102 5.1.00'!S63,'102 5.1.00'!$AM$4:$AO$55,3,FALSE))</f>
        <v>50</v>
      </c>
      <c r="L63" s="6">
        <f>(VLOOKUP('102 5.1.00'!T63,'102 5.1.00'!$AM$4:$AO$55,3,FALSE))</f>
        <v>50</v>
      </c>
      <c r="M63" s="6">
        <f>(VLOOKUP('102 5.1.00'!U63,'102 5.1.00'!$AM$4:$AO$55,3,FALSE))</f>
        <v>0</v>
      </c>
      <c r="N63" s="6">
        <f>(VLOOKUP('102 5.1.00'!V63,'102 5.1.00'!$AM$4:$AO$55,3,FALSE))</f>
        <v>0</v>
      </c>
      <c r="O63" s="7">
        <f>(VLOOKUP('102 5.1.00'!W63,'102 5.1.00'!$AM$4:$AO$55,3,FALSE))</f>
        <v>0</v>
      </c>
      <c r="P63" s="7">
        <f>(VLOOKUP('102 5.1.00'!X63,'102 5.1.00'!$AM$4:$AO$55,3,FALSE))</f>
        <v>0</v>
      </c>
      <c r="Q63" s="6">
        <f>(VLOOKUP('102 5.1.00'!Y63,'102 5.1.00'!$AM$4:$AO$55,3,FALSE))</f>
        <v>0</v>
      </c>
      <c r="R63" s="6">
        <f>(VLOOKUP('102 5.1.00'!Z63,'102 5.1.00'!$AM$4:$AO$55,3,FALSE))</f>
        <v>0</v>
      </c>
      <c r="S63" s="6">
        <f>(VLOOKUP('102 5.1.00'!AA63,'102 5.1.00'!$AM$4:$AO$55,3,FALSE))</f>
        <v>0</v>
      </c>
      <c r="T63" s="6">
        <f>(VLOOKUP('102 5.1.00'!AB63,'102 5.1.00'!$AM$4:$AO$55,3,FALSE))</f>
        <v>0</v>
      </c>
      <c r="U63" s="6">
        <f>(VLOOKUP('102 5.1.00'!AC63,'102 5.1.00'!$AM$4:$AO$55,3,FALSE))</f>
        <v>0</v>
      </c>
      <c r="V63" s="6">
        <f>(VLOOKUP('102 5.1.00'!AD63,'102 5.1.00'!$AM$4:$AO$55,3,FALSE))</f>
        <v>0</v>
      </c>
      <c r="W63" s="7">
        <f>(VLOOKUP('102 5.1.00'!AE63,'102 5.1.00'!$AM$4:$AO$55,3,FALSE))</f>
        <v>0</v>
      </c>
      <c r="X63" s="7">
        <f>(VLOOKUP('102 5.1.00'!AF63,'102 5.1.00'!$AM$4:$AO$55,3,FALSE))</f>
        <v>0</v>
      </c>
    </row>
    <row r="64" spans="1:24">
      <c r="A64" s="6">
        <f>(VLOOKUP('102 5.1.00'!I64,'102 5.1.00'!$AM$4:$AO$55,3,FALSE))</f>
        <v>60</v>
      </c>
      <c r="B64" s="6">
        <f>(VLOOKUP('102 5.1.00'!J64,'102 5.1.00'!$AM$4:$AO$55,3,FALSE))</f>
        <v>60</v>
      </c>
      <c r="C64" s="6">
        <f>(VLOOKUP('102 5.1.00'!K64,'102 5.1.00'!$AM$4:$AO$55,3,FALSE))</f>
        <v>60</v>
      </c>
      <c r="D64" s="6">
        <f>(VLOOKUP('102 5.1.00'!L64,'102 5.1.00'!$AM$4:$AO$55,3,FALSE))</f>
        <v>60</v>
      </c>
      <c r="E64" s="6">
        <f>(VLOOKUP('102 5.1.00'!M64,'102 5.1.00'!$AM$4:$AO$55,3,FALSE))</f>
        <v>60</v>
      </c>
      <c r="F64" s="6">
        <f>(VLOOKUP('102 5.1.00'!N64,'102 5.1.00'!$AM$4:$AO$55,3,FALSE))</f>
        <v>55</v>
      </c>
      <c r="G64" s="7">
        <f>(VLOOKUP('102 5.1.00'!O64,'102 5.1.00'!$AM$4:$AO$55,3,FALSE))</f>
        <v>0</v>
      </c>
      <c r="H64" s="7">
        <f>(VLOOKUP('102 5.1.00'!P64,'102 5.1.00'!$AM$4:$AO$55,3,FALSE))</f>
        <v>0</v>
      </c>
      <c r="I64" s="6">
        <f>(VLOOKUP('102 5.1.00'!Q64,'102 5.1.00'!$AM$4:$AO$55,3,FALSE))</f>
        <v>50</v>
      </c>
      <c r="J64" s="6">
        <f>(VLOOKUP('102 5.1.00'!R64,'102 5.1.00'!$AM$4:$AO$55,3,FALSE))</f>
        <v>50</v>
      </c>
      <c r="K64" s="6">
        <f>(VLOOKUP('102 5.1.00'!S64,'102 5.1.00'!$AM$4:$AO$55,3,FALSE))</f>
        <v>50</v>
      </c>
      <c r="L64" s="6">
        <f>(VLOOKUP('102 5.1.00'!T64,'102 5.1.00'!$AM$4:$AO$55,3,FALSE))</f>
        <v>50</v>
      </c>
      <c r="M64" s="6">
        <f>(VLOOKUP('102 5.1.00'!U64,'102 5.1.00'!$AM$4:$AO$55,3,FALSE))</f>
        <v>0</v>
      </c>
      <c r="N64" s="6">
        <f>(VLOOKUP('102 5.1.00'!V64,'102 5.1.00'!$AM$4:$AO$55,3,FALSE))</f>
        <v>0</v>
      </c>
      <c r="O64" s="7">
        <f>(VLOOKUP('102 5.1.00'!W64,'102 5.1.00'!$AM$4:$AO$55,3,FALSE))</f>
        <v>0</v>
      </c>
      <c r="P64" s="7">
        <f>(VLOOKUP('102 5.1.00'!X64,'102 5.1.00'!$AM$4:$AO$55,3,FALSE))</f>
        <v>0</v>
      </c>
      <c r="Q64" s="6">
        <f>(VLOOKUP('102 5.1.00'!Y64,'102 5.1.00'!$AM$4:$AO$55,3,FALSE))</f>
        <v>0</v>
      </c>
      <c r="R64" s="6">
        <f>(VLOOKUP('102 5.1.00'!Z64,'102 5.1.00'!$AM$4:$AO$55,3,FALSE))</f>
        <v>0</v>
      </c>
      <c r="S64" s="6">
        <f>(VLOOKUP('102 5.1.00'!AA64,'102 5.1.00'!$AM$4:$AO$55,3,FALSE))</f>
        <v>0</v>
      </c>
      <c r="T64" s="6">
        <f>(VLOOKUP('102 5.1.00'!AB64,'102 5.1.00'!$AM$4:$AO$55,3,FALSE))</f>
        <v>0</v>
      </c>
      <c r="U64" s="6">
        <f>(VLOOKUP('102 5.1.00'!AC64,'102 5.1.00'!$AM$4:$AO$55,3,FALSE))</f>
        <v>0</v>
      </c>
      <c r="V64" s="6">
        <f>(VLOOKUP('102 5.1.00'!AD64,'102 5.1.00'!$AM$4:$AO$55,3,FALSE))</f>
        <v>0</v>
      </c>
      <c r="W64" s="7">
        <f>(VLOOKUP('102 5.1.00'!AE64,'102 5.1.00'!$AM$4:$AO$55,3,FALSE))</f>
        <v>0</v>
      </c>
      <c r="X64" s="7">
        <f>(VLOOKUP('102 5.1.00'!AF64,'102 5.1.00'!$AM$4:$AO$55,3,FALSE))</f>
        <v>0</v>
      </c>
    </row>
    <row r="65" spans="1:24">
      <c r="A65" s="6">
        <f>(VLOOKUP('102 5.1.00'!I65,'102 5.1.00'!$AM$4:$AO$55,3,FALSE))</f>
        <v>60</v>
      </c>
      <c r="B65" s="6">
        <f>(VLOOKUP('102 5.1.00'!J65,'102 5.1.00'!$AM$4:$AO$55,3,FALSE))</f>
        <v>55</v>
      </c>
      <c r="C65" s="6">
        <f>(VLOOKUP('102 5.1.00'!K65,'102 5.1.00'!$AM$4:$AO$55,3,FALSE))</f>
        <v>60</v>
      </c>
      <c r="D65" s="6">
        <f>(VLOOKUP('102 5.1.00'!L65,'102 5.1.00'!$AM$4:$AO$55,3,FALSE))</f>
        <v>55</v>
      </c>
      <c r="E65" s="6">
        <f>(VLOOKUP('102 5.1.00'!M65,'102 5.1.00'!$AM$4:$AO$55,3,FALSE))</f>
        <v>55</v>
      </c>
      <c r="F65" s="6">
        <f>(VLOOKUP('102 5.1.00'!N65,'102 5.1.00'!$AM$4:$AO$55,3,FALSE))</f>
        <v>55</v>
      </c>
      <c r="G65" s="7">
        <f>(VLOOKUP('102 5.1.00'!O65,'102 5.1.00'!$AM$4:$AO$55,3,FALSE))</f>
        <v>0</v>
      </c>
      <c r="H65" s="7">
        <f>(VLOOKUP('102 5.1.00'!P65,'102 5.1.00'!$AM$4:$AO$55,3,FALSE))</f>
        <v>0</v>
      </c>
      <c r="I65" s="6">
        <f>(VLOOKUP('102 5.1.00'!Q65,'102 5.1.00'!$AM$4:$AO$55,3,FALSE))</f>
        <v>50</v>
      </c>
      <c r="J65" s="6">
        <f>(VLOOKUP('102 5.1.00'!R65,'102 5.1.00'!$AM$4:$AO$55,3,FALSE))</f>
        <v>50</v>
      </c>
      <c r="K65" s="6">
        <f>(VLOOKUP('102 5.1.00'!S65,'102 5.1.00'!$AM$4:$AO$55,3,FALSE))</f>
        <v>50</v>
      </c>
      <c r="L65" s="6">
        <f>(VLOOKUP('102 5.1.00'!T65,'102 5.1.00'!$AM$4:$AO$55,3,FALSE))</f>
        <v>50</v>
      </c>
      <c r="M65" s="6">
        <f>(VLOOKUP('102 5.1.00'!U65,'102 5.1.00'!$AM$4:$AO$55,3,FALSE))</f>
        <v>45</v>
      </c>
      <c r="N65" s="6">
        <f>(VLOOKUP('102 5.1.00'!V65,'102 5.1.00'!$AM$4:$AO$55,3,FALSE))</f>
        <v>0</v>
      </c>
      <c r="O65" s="7">
        <f>(VLOOKUP('102 5.1.00'!W65,'102 5.1.00'!$AM$4:$AO$55,3,FALSE))</f>
        <v>0</v>
      </c>
      <c r="P65" s="7">
        <f>(VLOOKUP('102 5.1.00'!X65,'102 5.1.00'!$AM$4:$AO$55,3,FALSE))</f>
        <v>0</v>
      </c>
      <c r="Q65" s="6">
        <f>(VLOOKUP('102 5.1.00'!Y65,'102 5.1.00'!$AM$4:$AO$55,3,FALSE))</f>
        <v>0</v>
      </c>
      <c r="R65" s="6">
        <f>(VLOOKUP('102 5.1.00'!Z65,'102 5.1.00'!$AM$4:$AO$55,3,FALSE))</f>
        <v>0</v>
      </c>
      <c r="S65" s="6">
        <f>(VLOOKUP('102 5.1.00'!AA65,'102 5.1.00'!$AM$4:$AO$55,3,FALSE))</f>
        <v>0</v>
      </c>
      <c r="T65" s="6">
        <f>(VLOOKUP('102 5.1.00'!AB65,'102 5.1.00'!$AM$4:$AO$55,3,FALSE))</f>
        <v>0</v>
      </c>
      <c r="U65" s="6">
        <f>(VLOOKUP('102 5.1.00'!AC65,'102 5.1.00'!$AM$4:$AO$55,3,FALSE))</f>
        <v>0</v>
      </c>
      <c r="V65" s="6">
        <f>(VLOOKUP('102 5.1.00'!AD65,'102 5.1.00'!$AM$4:$AO$55,3,FALSE))</f>
        <v>0</v>
      </c>
      <c r="W65" s="7">
        <f>(VLOOKUP('102 5.1.00'!AE65,'102 5.1.00'!$AM$4:$AO$55,3,FALSE))</f>
        <v>0</v>
      </c>
      <c r="X65" s="7">
        <f>(VLOOKUP('102 5.1.00'!AF65,'102 5.1.00'!$AM$4:$AO$55,3,FALSE))</f>
        <v>0</v>
      </c>
    </row>
    <row r="66" spans="1:24">
      <c r="A66" s="6">
        <f>(VLOOKUP('102 5.1.00'!I66,'102 5.1.00'!$AM$4:$AO$55,3,FALSE))</f>
        <v>55</v>
      </c>
      <c r="B66" s="6">
        <f>(VLOOKUP('102 5.1.00'!J66,'102 5.1.00'!$AM$4:$AO$55,3,FALSE))</f>
        <v>0</v>
      </c>
      <c r="C66" s="6">
        <f>(VLOOKUP('102 5.1.00'!K66,'102 5.1.00'!$AM$4:$AO$55,3,FALSE))</f>
        <v>55</v>
      </c>
      <c r="D66" s="6">
        <f>(VLOOKUP('102 5.1.00'!L66,'102 5.1.00'!$AM$4:$AO$55,3,FALSE))</f>
        <v>55</v>
      </c>
      <c r="E66" s="6">
        <f>(VLOOKUP('102 5.1.00'!M66,'102 5.1.00'!$AM$4:$AO$55,3,FALSE))</f>
        <v>55</v>
      </c>
      <c r="F66" s="6">
        <f>(VLOOKUP('102 5.1.00'!N66,'102 5.1.00'!$AM$4:$AO$55,3,FALSE))</f>
        <v>55</v>
      </c>
      <c r="G66" s="7">
        <f>(VLOOKUP('102 5.1.00'!O66,'102 5.1.00'!$AM$4:$AO$55,3,FALSE))</f>
        <v>55</v>
      </c>
      <c r="H66" s="7">
        <f>(VLOOKUP('102 5.1.00'!P66,'102 5.1.00'!$AM$4:$AO$55,3,FALSE))</f>
        <v>55</v>
      </c>
      <c r="I66" s="6">
        <f>(VLOOKUP('102 5.1.00'!Q66,'102 5.1.00'!$AM$4:$AO$55,3,FALSE))</f>
        <v>45</v>
      </c>
      <c r="J66" s="6">
        <f>(VLOOKUP('102 5.1.00'!R66,'102 5.1.00'!$AM$4:$AO$55,3,FALSE))</f>
        <v>45</v>
      </c>
      <c r="K66" s="6">
        <f>(VLOOKUP('102 5.1.00'!S66,'102 5.1.00'!$AM$4:$AO$55,3,FALSE))</f>
        <v>45</v>
      </c>
      <c r="L66" s="6">
        <f>(VLOOKUP('102 5.1.00'!T66,'102 5.1.00'!$AM$4:$AO$55,3,FALSE))</f>
        <v>45</v>
      </c>
      <c r="M66" s="6">
        <f>(VLOOKUP('102 5.1.00'!U66,'102 5.1.00'!$AM$4:$AO$55,3,FALSE))</f>
        <v>45</v>
      </c>
      <c r="N66" s="6">
        <f>(VLOOKUP('102 5.1.00'!V66,'102 5.1.00'!$AM$4:$AO$55,3,FALSE))</f>
        <v>0</v>
      </c>
      <c r="O66" s="7">
        <f>(VLOOKUP('102 5.1.00'!W66,'102 5.1.00'!$AM$4:$AO$55,3,FALSE))</f>
        <v>0</v>
      </c>
      <c r="P66" s="7">
        <f>(VLOOKUP('102 5.1.00'!X66,'102 5.1.00'!$AM$4:$AO$55,3,FALSE))</f>
        <v>0</v>
      </c>
      <c r="Q66" s="6">
        <f>(VLOOKUP('102 5.1.00'!Y66,'102 5.1.00'!$AM$4:$AO$55,3,FALSE))</f>
        <v>0</v>
      </c>
      <c r="R66" s="6">
        <f>(VLOOKUP('102 5.1.00'!Z66,'102 5.1.00'!$AM$4:$AO$55,3,FALSE))</f>
        <v>0</v>
      </c>
      <c r="S66" s="6">
        <f>(VLOOKUP('102 5.1.00'!AA66,'102 5.1.00'!$AM$4:$AO$55,3,FALSE))</f>
        <v>0</v>
      </c>
      <c r="T66" s="6">
        <f>(VLOOKUP('102 5.1.00'!AB66,'102 5.1.00'!$AM$4:$AO$55,3,FALSE))</f>
        <v>0</v>
      </c>
      <c r="U66" s="6">
        <f>(VLOOKUP('102 5.1.00'!AC66,'102 5.1.00'!$AM$4:$AO$55,3,FALSE))</f>
        <v>0</v>
      </c>
      <c r="V66" s="6">
        <f>(VLOOKUP('102 5.1.00'!AD66,'102 5.1.00'!$AM$4:$AO$55,3,FALSE))</f>
        <v>0</v>
      </c>
      <c r="W66" s="7">
        <f>(VLOOKUP('102 5.1.00'!AE66,'102 5.1.00'!$AM$4:$AO$55,3,FALSE))</f>
        <v>0</v>
      </c>
      <c r="X66" s="7">
        <f>(VLOOKUP('102 5.1.00'!AF66,'102 5.1.00'!$AM$4:$AO$55,3,FALSE))</f>
        <v>0</v>
      </c>
    </row>
    <row r="67" spans="1:24">
      <c r="A67" s="6">
        <f>(VLOOKUP('102 5.1.00'!I67,'102 5.1.00'!$AM$4:$AO$55,3,FALSE))</f>
        <v>60</v>
      </c>
      <c r="B67" s="6">
        <f>(VLOOKUP('102 5.1.00'!J67,'102 5.1.00'!$AM$4:$AO$55,3,FALSE))</f>
        <v>55</v>
      </c>
      <c r="C67" s="6">
        <f>(VLOOKUP('102 5.1.00'!K67,'102 5.1.00'!$AM$4:$AO$55,3,FALSE))</f>
        <v>55</v>
      </c>
      <c r="D67" s="6">
        <f>(VLOOKUP('102 5.1.00'!L67,'102 5.1.00'!$AM$4:$AO$55,3,FALSE))</f>
        <v>55</v>
      </c>
      <c r="E67" s="6">
        <f>(VLOOKUP('102 5.1.00'!M67,'102 5.1.00'!$AM$4:$AO$55,3,FALSE))</f>
        <v>55</v>
      </c>
      <c r="F67" s="6">
        <f>(VLOOKUP('102 5.1.00'!N67,'102 5.1.00'!$AM$4:$AO$55,3,FALSE))</f>
        <v>55</v>
      </c>
      <c r="G67" s="7">
        <f>(VLOOKUP('102 5.1.00'!O67,'102 5.1.00'!$AM$4:$AO$55,3,FALSE))</f>
        <v>0</v>
      </c>
      <c r="H67" s="7">
        <f>(VLOOKUP('102 5.1.00'!P67,'102 5.1.00'!$AM$4:$AO$55,3,FALSE))</f>
        <v>0</v>
      </c>
      <c r="I67" s="6">
        <f>(VLOOKUP('102 5.1.00'!Q67,'102 5.1.00'!$AM$4:$AO$55,3,FALSE))</f>
        <v>45</v>
      </c>
      <c r="J67" s="6">
        <f>(VLOOKUP('102 5.1.00'!R67,'102 5.1.00'!$AM$4:$AO$55,3,FALSE))</f>
        <v>45</v>
      </c>
      <c r="K67" s="6">
        <f>(VLOOKUP('102 5.1.00'!S67,'102 5.1.00'!$AM$4:$AO$55,3,FALSE))</f>
        <v>45</v>
      </c>
      <c r="L67" s="6">
        <f>(VLOOKUP('102 5.1.00'!T67,'102 5.1.00'!$AM$4:$AO$55,3,FALSE))</f>
        <v>45</v>
      </c>
      <c r="M67" s="6">
        <f>(VLOOKUP('102 5.1.00'!U67,'102 5.1.00'!$AM$4:$AO$55,3,FALSE))</f>
        <v>45</v>
      </c>
      <c r="N67" s="6">
        <f>(VLOOKUP('102 5.1.00'!V67,'102 5.1.00'!$AM$4:$AO$55,3,FALSE))</f>
        <v>0</v>
      </c>
      <c r="O67" s="7">
        <f>(VLOOKUP('102 5.1.00'!W67,'102 5.1.00'!$AM$4:$AO$55,3,FALSE))</f>
        <v>0</v>
      </c>
      <c r="P67" s="7">
        <f>(VLOOKUP('102 5.1.00'!X67,'102 5.1.00'!$AM$4:$AO$55,3,FALSE))</f>
        <v>0</v>
      </c>
      <c r="Q67" s="6">
        <f>(VLOOKUP('102 5.1.00'!Y67,'102 5.1.00'!$AM$4:$AO$55,3,FALSE))</f>
        <v>0</v>
      </c>
      <c r="R67" s="6">
        <f>(VLOOKUP('102 5.1.00'!Z67,'102 5.1.00'!$AM$4:$AO$55,3,FALSE))</f>
        <v>0</v>
      </c>
      <c r="S67" s="6">
        <f>(VLOOKUP('102 5.1.00'!AA67,'102 5.1.00'!$AM$4:$AO$55,3,FALSE))</f>
        <v>0</v>
      </c>
      <c r="T67" s="6">
        <f>(VLOOKUP('102 5.1.00'!AB67,'102 5.1.00'!$AM$4:$AO$55,3,FALSE))</f>
        <v>0</v>
      </c>
      <c r="U67" s="6">
        <f>(VLOOKUP('102 5.1.00'!AC67,'102 5.1.00'!$AM$4:$AO$55,3,FALSE))</f>
        <v>0</v>
      </c>
      <c r="V67" s="6">
        <f>(VLOOKUP('102 5.1.00'!AD67,'102 5.1.00'!$AM$4:$AO$55,3,FALSE))</f>
        <v>0</v>
      </c>
      <c r="W67" s="7">
        <f>(VLOOKUP('102 5.1.00'!AE67,'102 5.1.00'!$AM$4:$AO$55,3,FALSE))</f>
        <v>0</v>
      </c>
      <c r="X67" s="7">
        <f>(VLOOKUP('102 5.1.00'!AF67,'102 5.1.00'!$AM$4:$AO$55,3,FALSE))</f>
        <v>0</v>
      </c>
    </row>
    <row r="68" spans="1:24">
      <c r="A68" s="6">
        <f>(VLOOKUP('102 5.1.00'!I68,'102 5.1.00'!$AM$4:$AO$55,3,FALSE))</f>
        <v>55</v>
      </c>
      <c r="B68" s="6">
        <f>(VLOOKUP('102 5.1.00'!J68,'102 5.1.00'!$AM$4:$AO$55,3,FALSE))</f>
        <v>55</v>
      </c>
      <c r="C68" s="6">
        <f>(VLOOKUP('102 5.1.00'!K68,'102 5.1.00'!$AM$4:$AO$55,3,FALSE))</f>
        <v>55</v>
      </c>
      <c r="D68" s="6">
        <f>(VLOOKUP('102 5.1.00'!L68,'102 5.1.00'!$AM$4:$AO$55,3,FALSE))</f>
        <v>55</v>
      </c>
      <c r="E68" s="6">
        <f>(VLOOKUP('102 5.1.00'!M68,'102 5.1.00'!$AM$4:$AO$55,3,FALSE))</f>
        <v>55</v>
      </c>
      <c r="F68" s="6">
        <f>(VLOOKUP('102 5.1.00'!N68,'102 5.1.00'!$AM$4:$AO$55,3,FALSE))</f>
        <v>55</v>
      </c>
      <c r="G68" s="7">
        <f>(VLOOKUP('102 5.1.00'!O68,'102 5.1.00'!$AM$4:$AO$55,3,FALSE))</f>
        <v>0</v>
      </c>
      <c r="H68" s="7">
        <f>(VLOOKUP('102 5.1.00'!P68,'102 5.1.00'!$AM$4:$AO$55,3,FALSE))</f>
        <v>0</v>
      </c>
      <c r="I68" s="6">
        <f>(VLOOKUP('102 5.1.00'!Q68,'102 5.1.00'!$AM$4:$AO$55,3,FALSE))</f>
        <v>45</v>
      </c>
      <c r="J68" s="6">
        <f>(VLOOKUP('102 5.1.00'!R68,'102 5.1.00'!$AM$4:$AO$55,3,FALSE))</f>
        <v>45</v>
      </c>
      <c r="K68" s="6">
        <f>(VLOOKUP('102 5.1.00'!S68,'102 5.1.00'!$AM$4:$AO$55,3,FALSE))</f>
        <v>45</v>
      </c>
      <c r="L68" s="6">
        <f>(VLOOKUP('102 5.1.00'!T68,'102 5.1.00'!$AM$4:$AO$55,3,FALSE))</f>
        <v>45</v>
      </c>
      <c r="M68" s="6">
        <f>(VLOOKUP('102 5.1.00'!U68,'102 5.1.00'!$AM$4:$AO$55,3,FALSE))</f>
        <v>45</v>
      </c>
      <c r="N68" s="6">
        <f>(VLOOKUP('102 5.1.00'!V68,'102 5.1.00'!$AM$4:$AO$55,3,FALSE))</f>
        <v>0</v>
      </c>
      <c r="O68" s="7">
        <f>(VLOOKUP('102 5.1.00'!W68,'102 5.1.00'!$AM$4:$AO$55,3,FALSE))</f>
        <v>0</v>
      </c>
      <c r="P68" s="7">
        <f>(VLOOKUP('102 5.1.00'!X68,'102 5.1.00'!$AM$4:$AO$55,3,FALSE))</f>
        <v>0</v>
      </c>
      <c r="Q68" s="6">
        <f>(VLOOKUP('102 5.1.00'!Y68,'102 5.1.00'!$AM$4:$AO$55,3,FALSE))</f>
        <v>0</v>
      </c>
      <c r="R68" s="6">
        <f>(VLOOKUP('102 5.1.00'!Z68,'102 5.1.00'!$AM$4:$AO$55,3,FALSE))</f>
        <v>0</v>
      </c>
      <c r="S68" s="6">
        <f>(VLOOKUP('102 5.1.00'!AA68,'102 5.1.00'!$AM$4:$AO$55,3,FALSE))</f>
        <v>0</v>
      </c>
      <c r="T68" s="6">
        <f>(VLOOKUP('102 5.1.00'!AB68,'102 5.1.00'!$AM$4:$AO$55,3,FALSE))</f>
        <v>0</v>
      </c>
      <c r="U68" s="6">
        <f>(VLOOKUP('102 5.1.00'!AC68,'102 5.1.00'!$AM$4:$AO$55,3,FALSE))</f>
        <v>0</v>
      </c>
      <c r="V68" s="6">
        <f>(VLOOKUP('102 5.1.00'!AD68,'102 5.1.00'!$AM$4:$AO$55,3,FALSE))</f>
        <v>0</v>
      </c>
      <c r="W68" s="7">
        <f>(VLOOKUP('102 5.1.00'!AE68,'102 5.1.00'!$AM$4:$AO$55,3,FALSE))</f>
        <v>0</v>
      </c>
      <c r="X68" s="7">
        <f>(VLOOKUP('102 5.1.00'!AF68,'102 5.1.00'!$AM$4:$AO$55,3,FALSE))</f>
        <v>0</v>
      </c>
    </row>
    <row r="69" spans="1:24">
      <c r="A69" s="6">
        <f>(VLOOKUP('102 5.1.00'!I69,'102 5.1.00'!$AM$4:$AO$55,3,FALSE))</f>
        <v>55</v>
      </c>
      <c r="B69" s="6">
        <f>(VLOOKUP('102 5.1.00'!J69,'102 5.1.00'!$AM$4:$AO$55,3,FALSE))</f>
        <v>55</v>
      </c>
      <c r="C69" s="6">
        <f>(VLOOKUP('102 5.1.00'!K69,'102 5.1.00'!$AM$4:$AO$55,3,FALSE))</f>
        <v>55</v>
      </c>
      <c r="D69" s="6">
        <f>(VLOOKUP('102 5.1.00'!L69,'102 5.1.00'!$AM$4:$AO$55,3,FALSE))</f>
        <v>55</v>
      </c>
      <c r="E69" s="6">
        <f>(VLOOKUP('102 5.1.00'!M69,'102 5.1.00'!$AM$4:$AO$55,3,FALSE))</f>
        <v>55</v>
      </c>
      <c r="F69" s="6">
        <f>(VLOOKUP('102 5.1.00'!N69,'102 5.1.00'!$AM$4:$AO$55,3,FALSE))</f>
        <v>55</v>
      </c>
      <c r="G69" s="7">
        <f>(VLOOKUP('102 5.1.00'!O69,'102 5.1.00'!$AM$4:$AO$55,3,FALSE))</f>
        <v>0</v>
      </c>
      <c r="H69" s="7">
        <f>(VLOOKUP('102 5.1.00'!P69,'102 5.1.00'!$AM$4:$AO$55,3,FALSE))</f>
        <v>0</v>
      </c>
      <c r="I69" s="6">
        <f>(VLOOKUP('102 5.1.00'!Q69,'102 5.1.00'!$AM$4:$AO$55,3,FALSE))</f>
        <v>45</v>
      </c>
      <c r="J69" s="6">
        <f>(VLOOKUP('102 5.1.00'!R69,'102 5.1.00'!$AM$4:$AO$55,3,FALSE))</f>
        <v>45</v>
      </c>
      <c r="K69" s="6">
        <f>(VLOOKUP('102 5.1.00'!S69,'102 5.1.00'!$AM$4:$AO$55,3,FALSE))</f>
        <v>45</v>
      </c>
      <c r="L69" s="6">
        <f>(VLOOKUP('102 5.1.00'!T69,'102 5.1.00'!$AM$4:$AO$55,3,FALSE))</f>
        <v>45</v>
      </c>
      <c r="M69" s="6">
        <f>(VLOOKUP('102 5.1.00'!U69,'102 5.1.00'!$AM$4:$AO$55,3,FALSE))</f>
        <v>45</v>
      </c>
      <c r="N69" s="6">
        <f>(VLOOKUP('102 5.1.00'!V69,'102 5.1.00'!$AM$4:$AO$55,3,FALSE))</f>
        <v>0</v>
      </c>
      <c r="O69" s="7">
        <f>(VLOOKUP('102 5.1.00'!W69,'102 5.1.00'!$AM$4:$AO$55,3,FALSE))</f>
        <v>0</v>
      </c>
      <c r="P69" s="7">
        <f>(VLOOKUP('102 5.1.00'!X69,'102 5.1.00'!$AM$4:$AO$55,3,FALSE))</f>
        <v>0</v>
      </c>
      <c r="Q69" s="6">
        <f>(VLOOKUP('102 5.1.00'!Y69,'102 5.1.00'!$AM$4:$AO$55,3,FALSE))</f>
        <v>0</v>
      </c>
      <c r="R69" s="6">
        <f>(VLOOKUP('102 5.1.00'!Z69,'102 5.1.00'!$AM$4:$AO$55,3,FALSE))</f>
        <v>0</v>
      </c>
      <c r="S69" s="6">
        <f>(VLOOKUP('102 5.1.00'!AA69,'102 5.1.00'!$AM$4:$AO$55,3,FALSE))</f>
        <v>0</v>
      </c>
      <c r="T69" s="6">
        <f>(VLOOKUP('102 5.1.00'!AB69,'102 5.1.00'!$AM$4:$AO$55,3,FALSE))</f>
        <v>0</v>
      </c>
      <c r="U69" s="6">
        <f>(VLOOKUP('102 5.1.00'!AC69,'102 5.1.00'!$AM$4:$AO$55,3,FALSE))</f>
        <v>0</v>
      </c>
      <c r="V69" s="6">
        <f>(VLOOKUP('102 5.1.00'!AD69,'102 5.1.00'!$AM$4:$AO$55,3,FALSE))</f>
        <v>0</v>
      </c>
      <c r="W69" s="7">
        <f>(VLOOKUP('102 5.1.00'!AE69,'102 5.1.00'!$AM$4:$AO$55,3,FALSE))</f>
        <v>0</v>
      </c>
      <c r="X69" s="7">
        <f>(VLOOKUP('102 5.1.00'!AF69,'102 5.1.00'!$AM$4:$AO$55,3,FALSE))</f>
        <v>0</v>
      </c>
    </row>
    <row r="70" spans="1:24">
      <c r="A70" s="6">
        <f>(VLOOKUP('102 5.1.00'!I70,'102 5.1.00'!$AM$4:$AO$55,3,FALSE))</f>
        <v>55</v>
      </c>
      <c r="B70" s="6">
        <f>(VLOOKUP('102 5.1.00'!J70,'102 5.1.00'!$AM$4:$AO$55,3,FALSE))</f>
        <v>55</v>
      </c>
      <c r="C70" s="6">
        <f>(VLOOKUP('102 5.1.00'!K70,'102 5.1.00'!$AM$4:$AO$55,3,FALSE))</f>
        <v>55</v>
      </c>
      <c r="D70" s="6">
        <f>(VLOOKUP('102 5.1.00'!L70,'102 5.1.00'!$AM$4:$AO$55,3,FALSE))</f>
        <v>55</v>
      </c>
      <c r="E70" s="6">
        <f>(VLOOKUP('102 5.1.00'!M70,'102 5.1.00'!$AM$4:$AO$55,3,FALSE))</f>
        <v>55</v>
      </c>
      <c r="F70" s="6">
        <f>(VLOOKUP('102 5.1.00'!N70,'102 5.1.00'!$AM$4:$AO$55,3,FALSE))</f>
        <v>55</v>
      </c>
      <c r="G70" s="7">
        <f>(VLOOKUP('102 5.1.00'!O70,'102 5.1.00'!$AM$4:$AO$55,3,FALSE))</f>
        <v>0</v>
      </c>
      <c r="H70" s="7">
        <f>(VLOOKUP('102 5.1.00'!P70,'102 5.1.00'!$AM$4:$AO$55,3,FALSE))</f>
        <v>0</v>
      </c>
      <c r="I70" s="6">
        <f>(VLOOKUP('102 5.1.00'!Q70,'102 5.1.00'!$AM$4:$AO$55,3,FALSE))</f>
        <v>45</v>
      </c>
      <c r="J70" s="6">
        <f>(VLOOKUP('102 5.1.00'!R70,'102 5.1.00'!$AM$4:$AO$55,3,FALSE))</f>
        <v>45</v>
      </c>
      <c r="K70" s="6">
        <f>(VLOOKUP('102 5.1.00'!S70,'102 5.1.00'!$AM$4:$AO$55,3,FALSE))</f>
        <v>45</v>
      </c>
      <c r="L70" s="6">
        <f>(VLOOKUP('102 5.1.00'!T70,'102 5.1.00'!$AM$4:$AO$55,3,FALSE))</f>
        <v>45</v>
      </c>
      <c r="M70" s="6">
        <f>(VLOOKUP('102 5.1.00'!U70,'102 5.1.00'!$AM$4:$AO$55,3,FALSE))</f>
        <v>45</v>
      </c>
      <c r="N70" s="6">
        <f>(VLOOKUP('102 5.1.00'!V70,'102 5.1.00'!$AM$4:$AO$55,3,FALSE))</f>
        <v>45</v>
      </c>
      <c r="O70" s="7">
        <f>(VLOOKUP('102 5.1.00'!W70,'102 5.1.00'!$AM$4:$AO$55,3,FALSE))</f>
        <v>0</v>
      </c>
      <c r="P70" s="7">
        <f>(VLOOKUP('102 5.1.00'!X70,'102 5.1.00'!$AM$4:$AO$55,3,FALSE))</f>
        <v>0</v>
      </c>
      <c r="Q70" s="6">
        <f>(VLOOKUP('102 5.1.00'!Y70,'102 5.1.00'!$AM$4:$AO$55,3,FALSE))</f>
        <v>0</v>
      </c>
      <c r="R70" s="6">
        <f>(VLOOKUP('102 5.1.00'!Z70,'102 5.1.00'!$AM$4:$AO$55,3,FALSE))</f>
        <v>0</v>
      </c>
      <c r="S70" s="6">
        <f>(VLOOKUP('102 5.1.00'!AA70,'102 5.1.00'!$AM$4:$AO$55,3,FALSE))</f>
        <v>0</v>
      </c>
      <c r="T70" s="6">
        <f>(VLOOKUP('102 5.1.00'!AB70,'102 5.1.00'!$AM$4:$AO$55,3,FALSE))</f>
        <v>0</v>
      </c>
      <c r="U70" s="6">
        <f>(VLOOKUP('102 5.1.00'!AC70,'102 5.1.00'!$AM$4:$AO$55,3,FALSE))</f>
        <v>0</v>
      </c>
      <c r="V70" s="6">
        <f>(VLOOKUP('102 5.1.00'!AD70,'102 5.1.00'!$AM$4:$AO$55,3,FALSE))</f>
        <v>0</v>
      </c>
      <c r="W70" s="7">
        <f>(VLOOKUP('102 5.1.00'!AE70,'102 5.1.00'!$AM$4:$AO$55,3,FALSE))</f>
        <v>0</v>
      </c>
      <c r="X70" s="7">
        <f>(VLOOKUP('102 5.1.00'!AF70,'102 5.1.00'!$AM$4:$AO$55,3,FALSE))</f>
        <v>0</v>
      </c>
    </row>
    <row r="71" spans="1:24">
      <c r="A71" s="6">
        <f>(VLOOKUP('102 5.1.00'!I71,'102 5.1.00'!$AM$4:$AO$55,3,FALSE))</f>
        <v>55</v>
      </c>
      <c r="B71" s="6">
        <f>(VLOOKUP('102 5.1.00'!J71,'102 5.1.00'!$AM$4:$AO$55,3,FALSE))</f>
        <v>55</v>
      </c>
      <c r="C71" s="6">
        <f>(VLOOKUP('102 5.1.00'!K71,'102 5.1.00'!$AM$4:$AO$55,3,FALSE))</f>
        <v>55</v>
      </c>
      <c r="D71" s="6">
        <f>(VLOOKUP('102 5.1.00'!L71,'102 5.1.00'!$AM$4:$AO$55,3,FALSE))</f>
        <v>55</v>
      </c>
      <c r="E71" s="6">
        <f>(VLOOKUP('102 5.1.00'!M71,'102 5.1.00'!$AM$4:$AO$55,3,FALSE))</f>
        <v>55</v>
      </c>
      <c r="F71" s="6">
        <f>(VLOOKUP('102 5.1.00'!N71,'102 5.1.00'!$AM$4:$AO$55,3,FALSE))</f>
        <v>55</v>
      </c>
      <c r="G71" s="7">
        <f>(VLOOKUP('102 5.1.00'!O71,'102 5.1.00'!$AM$4:$AO$55,3,FALSE))</f>
        <v>0</v>
      </c>
      <c r="H71" s="7">
        <f>(VLOOKUP('102 5.1.00'!P71,'102 5.1.00'!$AM$4:$AO$55,3,FALSE))</f>
        <v>0</v>
      </c>
      <c r="I71" s="6">
        <f>(VLOOKUP('102 5.1.00'!Q71,'102 5.1.00'!$AM$4:$AO$55,3,FALSE))</f>
        <v>50</v>
      </c>
      <c r="J71" s="6">
        <f>(VLOOKUP('102 5.1.00'!R71,'102 5.1.00'!$AM$4:$AO$55,3,FALSE))</f>
        <v>45</v>
      </c>
      <c r="K71" s="6">
        <f>(VLOOKUP('102 5.1.00'!S71,'102 5.1.00'!$AM$4:$AO$55,3,FALSE))</f>
        <v>45</v>
      </c>
      <c r="L71" s="6">
        <f>(VLOOKUP('102 5.1.00'!T71,'102 5.1.00'!$AM$4:$AO$55,3,FALSE))</f>
        <v>45</v>
      </c>
      <c r="M71" s="6">
        <f>(VLOOKUP('102 5.1.00'!U71,'102 5.1.00'!$AM$4:$AO$55,3,FALSE))</f>
        <v>50</v>
      </c>
      <c r="N71" s="6">
        <f>(VLOOKUP('102 5.1.00'!V71,'102 5.1.00'!$AM$4:$AO$55,3,FALSE))</f>
        <v>0</v>
      </c>
      <c r="O71" s="7">
        <f>(VLOOKUP('102 5.1.00'!W71,'102 5.1.00'!$AM$4:$AO$55,3,FALSE))</f>
        <v>0</v>
      </c>
      <c r="P71" s="7">
        <f>(VLOOKUP('102 5.1.00'!X71,'102 5.1.00'!$AM$4:$AO$55,3,FALSE))</f>
        <v>0</v>
      </c>
      <c r="Q71" s="6">
        <f>(VLOOKUP('102 5.1.00'!Y71,'102 5.1.00'!$AM$4:$AO$55,3,FALSE))</f>
        <v>0</v>
      </c>
      <c r="R71" s="6">
        <f>(VLOOKUP('102 5.1.00'!Z71,'102 5.1.00'!$AM$4:$AO$55,3,FALSE))</f>
        <v>0</v>
      </c>
      <c r="S71" s="6">
        <f>(VLOOKUP('102 5.1.00'!AA71,'102 5.1.00'!$AM$4:$AO$55,3,FALSE))</f>
        <v>0</v>
      </c>
      <c r="T71" s="6">
        <f>(VLOOKUP('102 5.1.00'!AB71,'102 5.1.00'!$AM$4:$AO$55,3,FALSE))</f>
        <v>0</v>
      </c>
      <c r="U71" s="6">
        <f>(VLOOKUP('102 5.1.00'!AC71,'102 5.1.00'!$AM$4:$AO$55,3,FALSE))</f>
        <v>0</v>
      </c>
      <c r="V71" s="6">
        <f>(VLOOKUP('102 5.1.00'!AD71,'102 5.1.00'!$AM$4:$AO$55,3,FALSE))</f>
        <v>0</v>
      </c>
      <c r="W71" s="7">
        <f>(VLOOKUP('102 5.1.00'!AE71,'102 5.1.00'!$AM$4:$AO$55,3,FALSE))</f>
        <v>0</v>
      </c>
      <c r="X71" s="7">
        <f>(VLOOKUP('102 5.1.00'!AF71,'102 5.1.00'!$AM$4:$AO$55,3,FALSE))</f>
        <v>0</v>
      </c>
    </row>
    <row r="72" spans="1:24">
      <c r="A72" s="6">
        <f>(VLOOKUP('102 5.1.00'!I72,'102 5.1.00'!$AM$4:$AO$55,3,FALSE))</f>
        <v>55</v>
      </c>
      <c r="B72" s="6">
        <f>(VLOOKUP('102 5.1.00'!J72,'102 5.1.00'!$AM$4:$AO$55,3,FALSE))</f>
        <v>55</v>
      </c>
      <c r="C72" s="6">
        <f>(VLOOKUP('102 5.1.00'!K72,'102 5.1.00'!$AM$4:$AO$55,3,FALSE))</f>
        <v>55</v>
      </c>
      <c r="D72" s="6">
        <f>(VLOOKUP('102 5.1.00'!L72,'102 5.1.00'!$AM$4:$AO$55,3,FALSE))</f>
        <v>55</v>
      </c>
      <c r="E72" s="6">
        <f>(VLOOKUP('102 5.1.00'!M72,'102 5.1.00'!$AM$4:$AO$55,3,FALSE))</f>
        <v>30</v>
      </c>
      <c r="F72" s="6">
        <f>(VLOOKUP('102 5.1.00'!N72,'102 5.1.00'!$AM$4:$AO$55,3,FALSE))</f>
        <v>55</v>
      </c>
      <c r="G72" s="7">
        <f>(VLOOKUP('102 5.1.00'!O72,'102 5.1.00'!$AM$4:$AO$55,3,FALSE))</f>
        <v>0</v>
      </c>
      <c r="H72" s="7">
        <f>(VLOOKUP('102 5.1.00'!P72,'102 5.1.00'!$AM$4:$AO$55,3,FALSE))</f>
        <v>0</v>
      </c>
      <c r="I72" s="6">
        <f>(VLOOKUP('102 5.1.00'!Q72,'102 5.1.00'!$AM$4:$AO$55,3,FALSE))</f>
        <v>50</v>
      </c>
      <c r="J72" s="6">
        <f>(VLOOKUP('102 5.1.00'!R72,'102 5.1.00'!$AM$4:$AO$55,3,FALSE))</f>
        <v>50</v>
      </c>
      <c r="K72" s="6">
        <f>(VLOOKUP('102 5.1.00'!S72,'102 5.1.00'!$AM$4:$AO$55,3,FALSE))</f>
        <v>30</v>
      </c>
      <c r="L72" s="6">
        <f>(VLOOKUP('102 5.1.00'!T72,'102 5.1.00'!$AM$4:$AO$55,3,FALSE))</f>
        <v>50</v>
      </c>
      <c r="M72" s="6">
        <f>(VLOOKUP('102 5.1.00'!U72,'102 5.1.00'!$AM$4:$AO$55,3,FALSE))</f>
        <v>50</v>
      </c>
      <c r="N72" s="6">
        <f>(VLOOKUP('102 5.1.00'!V72,'102 5.1.00'!$AM$4:$AO$55,3,FALSE))</f>
        <v>50</v>
      </c>
      <c r="O72" s="7">
        <f>(VLOOKUP('102 5.1.00'!W72,'102 5.1.00'!$AM$4:$AO$55,3,FALSE))</f>
        <v>0</v>
      </c>
      <c r="P72" s="7">
        <f>(VLOOKUP('102 5.1.00'!X72,'102 5.1.00'!$AM$4:$AO$55,3,FALSE))</f>
        <v>0</v>
      </c>
      <c r="Q72" s="6">
        <f>(VLOOKUP('102 5.1.00'!Y72,'102 5.1.00'!$AM$4:$AO$55,3,FALSE))</f>
        <v>0</v>
      </c>
      <c r="R72" s="6">
        <f>(VLOOKUP('102 5.1.00'!Z72,'102 5.1.00'!$AM$4:$AO$55,3,FALSE))</f>
        <v>0</v>
      </c>
      <c r="S72" s="6">
        <f>(VLOOKUP('102 5.1.00'!AA72,'102 5.1.00'!$AM$4:$AO$55,3,FALSE))</f>
        <v>0</v>
      </c>
      <c r="T72" s="6">
        <f>(VLOOKUP('102 5.1.00'!AB72,'102 5.1.00'!$AM$4:$AO$55,3,FALSE))</f>
        <v>0</v>
      </c>
      <c r="U72" s="6">
        <f>(VLOOKUP('102 5.1.00'!AC72,'102 5.1.00'!$AM$4:$AO$55,3,FALSE))</f>
        <v>0</v>
      </c>
      <c r="V72" s="6">
        <f>(VLOOKUP('102 5.1.00'!AD72,'102 5.1.00'!$AM$4:$AO$55,3,FALSE))</f>
        <v>0</v>
      </c>
      <c r="W72" s="7">
        <f>(VLOOKUP('102 5.1.00'!AE72,'102 5.1.00'!$AM$4:$AO$55,3,FALSE))</f>
        <v>0</v>
      </c>
      <c r="X72" s="7">
        <f>(VLOOKUP('102 5.1.00'!AF72,'102 5.1.00'!$AM$4:$AO$55,3,FALSE))</f>
        <v>0</v>
      </c>
    </row>
    <row r="73" spans="1:24">
      <c r="A73" s="6">
        <f>(VLOOKUP('102 5.1.00'!I73,'102 5.1.00'!$AM$4:$AO$55,3,FALSE))</f>
        <v>55</v>
      </c>
      <c r="B73" s="6">
        <f>(VLOOKUP('102 5.1.00'!J73,'102 5.1.00'!$AM$4:$AO$55,3,FALSE))</f>
        <v>55</v>
      </c>
      <c r="C73" s="6">
        <f>(VLOOKUP('102 5.1.00'!K73,'102 5.1.00'!$AM$4:$AO$55,3,FALSE))</f>
        <v>55</v>
      </c>
      <c r="D73" s="6">
        <f>(VLOOKUP('102 5.1.00'!L73,'102 5.1.00'!$AM$4:$AO$55,3,FALSE))</f>
        <v>55</v>
      </c>
      <c r="E73" s="6">
        <f>(VLOOKUP('102 5.1.00'!M73,'102 5.1.00'!$AM$4:$AO$55,3,FALSE))</f>
        <v>55</v>
      </c>
      <c r="F73" s="6">
        <f>(VLOOKUP('102 5.1.00'!N73,'102 5.1.00'!$AM$4:$AO$55,3,FALSE))</f>
        <v>55</v>
      </c>
      <c r="G73" s="7">
        <f>(VLOOKUP('102 5.1.00'!O73,'102 5.1.00'!$AM$4:$AO$55,3,FALSE))</f>
        <v>0</v>
      </c>
      <c r="H73" s="7">
        <f>(VLOOKUP('102 5.1.00'!P73,'102 5.1.00'!$AM$4:$AO$55,3,FALSE))</f>
        <v>0</v>
      </c>
      <c r="I73" s="6">
        <f>(VLOOKUP('102 5.1.00'!Q73,'102 5.1.00'!$AM$4:$AO$55,3,FALSE))</f>
        <v>50</v>
      </c>
      <c r="J73" s="6">
        <f>(VLOOKUP('102 5.1.00'!R73,'102 5.1.00'!$AM$4:$AO$55,3,FALSE))</f>
        <v>50</v>
      </c>
      <c r="K73" s="6">
        <f>(VLOOKUP('102 5.1.00'!S73,'102 5.1.00'!$AM$4:$AO$55,3,FALSE))</f>
        <v>50</v>
      </c>
      <c r="L73" s="6">
        <f>(VLOOKUP('102 5.1.00'!T73,'102 5.1.00'!$AM$4:$AO$55,3,FALSE))</f>
        <v>50</v>
      </c>
      <c r="M73" s="6">
        <f>(VLOOKUP('102 5.1.00'!U73,'102 5.1.00'!$AM$4:$AO$55,3,FALSE))</f>
        <v>50</v>
      </c>
      <c r="N73" s="6">
        <f>(VLOOKUP('102 5.1.00'!V73,'102 5.1.00'!$AM$4:$AO$55,3,FALSE))</f>
        <v>0</v>
      </c>
      <c r="O73" s="7">
        <f>(VLOOKUP('102 5.1.00'!W73,'102 5.1.00'!$AM$4:$AO$55,3,FALSE))</f>
        <v>0</v>
      </c>
      <c r="P73" s="7">
        <f>(VLOOKUP('102 5.1.00'!X73,'102 5.1.00'!$AM$4:$AO$55,3,FALSE))</f>
        <v>0</v>
      </c>
      <c r="Q73" s="6">
        <f>(VLOOKUP('102 5.1.00'!Y73,'102 5.1.00'!$AM$4:$AO$55,3,FALSE))</f>
        <v>0</v>
      </c>
      <c r="R73" s="6">
        <f>(VLOOKUP('102 5.1.00'!Z73,'102 5.1.00'!$AM$4:$AO$55,3,FALSE))</f>
        <v>0</v>
      </c>
      <c r="S73" s="6">
        <f>(VLOOKUP('102 5.1.00'!AA73,'102 5.1.00'!$AM$4:$AO$55,3,FALSE))</f>
        <v>0</v>
      </c>
      <c r="T73" s="6">
        <f>(VLOOKUP('102 5.1.00'!AB73,'102 5.1.00'!$AM$4:$AO$55,3,FALSE))</f>
        <v>0</v>
      </c>
      <c r="U73" s="6">
        <f>(VLOOKUP('102 5.1.00'!AC73,'102 5.1.00'!$AM$4:$AO$55,3,FALSE))</f>
        <v>0</v>
      </c>
      <c r="V73" s="6">
        <f>(VLOOKUP('102 5.1.00'!AD73,'102 5.1.00'!$AM$4:$AO$55,3,FALSE))</f>
        <v>0</v>
      </c>
      <c r="W73" s="7">
        <f>(VLOOKUP('102 5.1.00'!AE73,'102 5.1.00'!$AM$4:$AO$55,3,FALSE))</f>
        <v>0</v>
      </c>
      <c r="X73" s="7">
        <f>(VLOOKUP('102 5.1.00'!AF73,'102 5.1.00'!$AM$4:$AO$55,3,FALSE))</f>
        <v>0</v>
      </c>
    </row>
    <row r="74" spans="1:24">
      <c r="A74" s="6">
        <f>(VLOOKUP('102 5.1.00'!I74,'102 5.1.00'!$AM$4:$AO$55,3,FALSE))</f>
        <v>55</v>
      </c>
      <c r="B74" s="6">
        <f>(VLOOKUP('102 5.1.00'!J74,'102 5.1.00'!$AM$4:$AO$55,3,FALSE))</f>
        <v>55</v>
      </c>
      <c r="C74" s="6">
        <f>(VLOOKUP('102 5.1.00'!K74,'102 5.1.00'!$AM$4:$AO$55,3,FALSE))</f>
        <v>55</v>
      </c>
      <c r="D74" s="6">
        <f>(VLOOKUP('102 5.1.00'!L74,'102 5.1.00'!$AM$4:$AO$55,3,FALSE))</f>
        <v>55</v>
      </c>
      <c r="E74" s="6">
        <f>(VLOOKUP('102 5.1.00'!M74,'102 5.1.00'!$AM$4:$AO$55,3,FALSE))</f>
        <v>55</v>
      </c>
      <c r="F74" s="6">
        <f>(VLOOKUP('102 5.1.00'!N74,'102 5.1.00'!$AM$4:$AO$55,3,FALSE))</f>
        <v>55</v>
      </c>
      <c r="G74" s="7">
        <f>(VLOOKUP('102 5.1.00'!O74,'102 5.1.00'!$AM$4:$AO$55,3,FALSE))</f>
        <v>0</v>
      </c>
      <c r="H74" s="7">
        <f>(VLOOKUP('102 5.1.00'!P74,'102 5.1.00'!$AM$4:$AO$55,3,FALSE))</f>
        <v>0</v>
      </c>
      <c r="I74" s="6">
        <f>(VLOOKUP('102 5.1.00'!Q74,'102 5.1.00'!$AM$4:$AO$55,3,FALSE))</f>
        <v>50</v>
      </c>
      <c r="J74" s="6">
        <f>(VLOOKUP('102 5.1.00'!R74,'102 5.1.00'!$AM$4:$AO$55,3,FALSE))</f>
        <v>50</v>
      </c>
      <c r="K74" s="6">
        <f>(VLOOKUP('102 5.1.00'!S74,'102 5.1.00'!$AM$4:$AO$55,3,FALSE))</f>
        <v>50</v>
      </c>
      <c r="L74" s="6">
        <f>(VLOOKUP('102 5.1.00'!T74,'102 5.1.00'!$AM$4:$AO$55,3,FALSE))</f>
        <v>50</v>
      </c>
      <c r="M74" s="6">
        <f>(VLOOKUP('102 5.1.00'!U74,'102 5.1.00'!$AM$4:$AO$55,3,FALSE))</f>
        <v>50</v>
      </c>
      <c r="N74" s="6">
        <f>(VLOOKUP('102 5.1.00'!V74,'102 5.1.00'!$AM$4:$AO$55,3,FALSE))</f>
        <v>0</v>
      </c>
      <c r="O74" s="7">
        <f>(VLOOKUP('102 5.1.00'!W74,'102 5.1.00'!$AM$4:$AO$55,3,FALSE))</f>
        <v>0</v>
      </c>
      <c r="P74" s="7">
        <f>(VLOOKUP('102 5.1.00'!X74,'102 5.1.00'!$AM$4:$AO$55,3,FALSE))</f>
        <v>0</v>
      </c>
      <c r="Q74" s="6">
        <f>(VLOOKUP('102 5.1.00'!Y74,'102 5.1.00'!$AM$4:$AO$55,3,FALSE))</f>
        <v>0</v>
      </c>
      <c r="R74" s="6">
        <f>(VLOOKUP('102 5.1.00'!Z74,'102 5.1.00'!$AM$4:$AO$55,3,FALSE))</f>
        <v>0</v>
      </c>
      <c r="S74" s="6">
        <f>(VLOOKUP('102 5.1.00'!AA74,'102 5.1.00'!$AM$4:$AO$55,3,FALSE))</f>
        <v>0</v>
      </c>
      <c r="T74" s="6">
        <f>(VLOOKUP('102 5.1.00'!AB74,'102 5.1.00'!$AM$4:$AO$55,3,FALSE))</f>
        <v>0</v>
      </c>
      <c r="U74" s="6">
        <f>(VLOOKUP('102 5.1.00'!AC74,'102 5.1.00'!$AM$4:$AO$55,3,FALSE))</f>
        <v>0</v>
      </c>
      <c r="V74" s="6">
        <f>(VLOOKUP('102 5.1.00'!AD74,'102 5.1.00'!$AM$4:$AO$55,3,FALSE))</f>
        <v>0</v>
      </c>
      <c r="W74" s="7">
        <f>(VLOOKUP('102 5.1.00'!AE74,'102 5.1.00'!$AM$4:$AO$55,3,FALSE))</f>
        <v>0</v>
      </c>
      <c r="X74" s="7">
        <f>(VLOOKUP('102 5.1.00'!AF74,'102 5.1.00'!$AM$4:$AO$55,3,FALSE))</f>
        <v>0</v>
      </c>
    </row>
    <row r="75" spans="1:24">
      <c r="A75" s="6">
        <f>(VLOOKUP('102 5.1.00'!I75,'102 5.1.00'!$AM$4:$AO$55,3,FALSE))</f>
        <v>55</v>
      </c>
      <c r="B75" s="6">
        <f>(VLOOKUP('102 5.1.00'!J75,'102 5.1.00'!$AM$4:$AO$55,3,FALSE))</f>
        <v>55</v>
      </c>
      <c r="C75" s="6">
        <f>(VLOOKUP('102 5.1.00'!K75,'102 5.1.00'!$AM$4:$AO$55,3,FALSE))</f>
        <v>55</v>
      </c>
      <c r="D75" s="6">
        <f>(VLOOKUP('102 5.1.00'!L75,'102 5.1.00'!$AM$4:$AO$55,3,FALSE))</f>
        <v>55</v>
      </c>
      <c r="E75" s="6">
        <f>(VLOOKUP('102 5.1.00'!M75,'102 5.1.00'!$AM$4:$AO$55,3,FALSE))</f>
        <v>55</v>
      </c>
      <c r="F75" s="6">
        <f>(VLOOKUP('102 5.1.00'!N75,'102 5.1.00'!$AM$4:$AO$55,3,FALSE))</f>
        <v>55</v>
      </c>
      <c r="G75" s="7">
        <f>(VLOOKUP('102 5.1.00'!O75,'102 5.1.00'!$AM$4:$AO$55,3,FALSE))</f>
        <v>0</v>
      </c>
      <c r="H75" s="7">
        <f>(VLOOKUP('102 5.1.00'!P75,'102 5.1.00'!$AM$4:$AO$55,3,FALSE))</f>
        <v>0</v>
      </c>
      <c r="I75" s="6">
        <f>(VLOOKUP('102 5.1.00'!Q75,'102 5.1.00'!$AM$4:$AO$55,3,FALSE))</f>
        <v>50</v>
      </c>
      <c r="J75" s="6">
        <f>(VLOOKUP('102 5.1.00'!R75,'102 5.1.00'!$AM$4:$AO$55,3,FALSE))</f>
        <v>50</v>
      </c>
      <c r="K75" s="6">
        <f>(VLOOKUP('102 5.1.00'!S75,'102 5.1.00'!$AM$4:$AO$55,3,FALSE))</f>
        <v>50</v>
      </c>
      <c r="L75" s="6">
        <f>(VLOOKUP('102 5.1.00'!T75,'102 5.1.00'!$AM$4:$AO$55,3,FALSE))</f>
        <v>50</v>
      </c>
      <c r="M75" s="6">
        <f>(VLOOKUP('102 5.1.00'!U75,'102 5.1.00'!$AM$4:$AO$55,3,FALSE))</f>
        <v>30</v>
      </c>
      <c r="N75" s="6">
        <f>(VLOOKUP('102 5.1.00'!V75,'102 5.1.00'!$AM$4:$AO$55,3,FALSE))</f>
        <v>0</v>
      </c>
      <c r="O75" s="7">
        <f>(VLOOKUP('102 5.1.00'!W75,'102 5.1.00'!$AM$4:$AO$55,3,FALSE))</f>
        <v>0</v>
      </c>
      <c r="P75" s="7">
        <f>(VLOOKUP('102 5.1.00'!X75,'102 5.1.00'!$AM$4:$AO$55,3,FALSE))</f>
        <v>0</v>
      </c>
      <c r="Q75" s="6">
        <f>(VLOOKUP('102 5.1.00'!Y75,'102 5.1.00'!$AM$4:$AO$55,3,FALSE))</f>
        <v>0</v>
      </c>
      <c r="R75" s="6">
        <f>(VLOOKUP('102 5.1.00'!Z75,'102 5.1.00'!$AM$4:$AO$55,3,FALSE))</f>
        <v>0</v>
      </c>
      <c r="S75" s="6">
        <f>(VLOOKUP('102 5.1.00'!AA75,'102 5.1.00'!$AM$4:$AO$55,3,FALSE))</f>
        <v>0</v>
      </c>
      <c r="T75" s="6">
        <f>(VLOOKUP('102 5.1.00'!AB75,'102 5.1.00'!$AM$4:$AO$55,3,FALSE))</f>
        <v>0</v>
      </c>
      <c r="U75" s="6">
        <f>(VLOOKUP('102 5.1.00'!AC75,'102 5.1.00'!$AM$4:$AO$55,3,FALSE))</f>
        <v>0</v>
      </c>
      <c r="V75" s="6">
        <f>(VLOOKUP('102 5.1.00'!AD75,'102 5.1.00'!$AM$4:$AO$55,3,FALSE))</f>
        <v>0</v>
      </c>
      <c r="W75" s="7">
        <f>(VLOOKUP('102 5.1.00'!AE75,'102 5.1.00'!$AM$4:$AO$55,3,FALSE))</f>
        <v>0</v>
      </c>
      <c r="X75" s="7">
        <f>(VLOOKUP('102 5.1.00'!AF75,'102 5.1.00'!$AM$4:$AO$55,3,FALSE))</f>
        <v>0</v>
      </c>
    </row>
    <row r="76" spans="1:24">
      <c r="A76" s="6">
        <f>(VLOOKUP('102 5.1.00'!I76,'102 5.1.00'!$AM$4:$AO$55,3,FALSE))</f>
        <v>55</v>
      </c>
      <c r="B76" s="6">
        <f>(VLOOKUP('102 5.1.00'!J76,'102 5.1.00'!$AM$4:$AO$55,3,FALSE))</f>
        <v>55</v>
      </c>
      <c r="C76" s="6">
        <f>(VLOOKUP('102 5.1.00'!K76,'102 5.1.00'!$AM$4:$AO$55,3,FALSE))</f>
        <v>55</v>
      </c>
      <c r="D76" s="6">
        <f>(VLOOKUP('102 5.1.00'!L76,'102 5.1.00'!$AM$4:$AO$55,3,FALSE))</f>
        <v>55</v>
      </c>
      <c r="E76" s="6">
        <f>(VLOOKUP('102 5.1.00'!M76,'102 5.1.00'!$AM$4:$AO$55,3,FALSE))</f>
        <v>55</v>
      </c>
      <c r="F76" s="6">
        <f>(VLOOKUP('102 5.1.00'!N76,'102 5.1.00'!$AM$4:$AO$55,3,FALSE))</f>
        <v>55</v>
      </c>
      <c r="G76" s="7">
        <f>(VLOOKUP('102 5.1.00'!O76,'102 5.1.00'!$AM$4:$AO$55,3,FALSE))</f>
        <v>0</v>
      </c>
      <c r="H76" s="7">
        <f>(VLOOKUP('102 5.1.00'!P76,'102 5.1.00'!$AM$4:$AO$55,3,FALSE))</f>
        <v>0</v>
      </c>
      <c r="I76" s="6">
        <f>(VLOOKUP('102 5.1.00'!Q76,'102 5.1.00'!$AM$4:$AO$55,3,FALSE))</f>
        <v>50</v>
      </c>
      <c r="J76" s="6">
        <f>(VLOOKUP('102 5.1.00'!R76,'102 5.1.00'!$AM$4:$AO$55,3,FALSE))</f>
        <v>45</v>
      </c>
      <c r="K76" s="6">
        <f>(VLOOKUP('102 5.1.00'!S76,'102 5.1.00'!$AM$4:$AO$55,3,FALSE))</f>
        <v>45</v>
      </c>
      <c r="L76" s="6">
        <f>(VLOOKUP('102 5.1.00'!T76,'102 5.1.00'!$AM$4:$AO$55,3,FALSE))</f>
        <v>45</v>
      </c>
      <c r="M76" s="6">
        <f>(VLOOKUP('102 5.1.00'!U76,'102 5.1.00'!$AM$4:$AO$55,3,FALSE))</f>
        <v>45</v>
      </c>
      <c r="N76" s="6">
        <f>(VLOOKUP('102 5.1.00'!V76,'102 5.1.00'!$AM$4:$AO$55,3,FALSE))</f>
        <v>0</v>
      </c>
      <c r="O76" s="7">
        <f>(VLOOKUP('102 5.1.00'!W76,'102 5.1.00'!$AM$4:$AO$55,3,FALSE))</f>
        <v>0</v>
      </c>
      <c r="P76" s="7">
        <f>(VLOOKUP('102 5.1.00'!X76,'102 5.1.00'!$AM$4:$AO$55,3,FALSE))</f>
        <v>0</v>
      </c>
      <c r="Q76" s="6">
        <f>(VLOOKUP('102 5.1.00'!Y76,'102 5.1.00'!$AM$4:$AO$55,3,FALSE))</f>
        <v>0</v>
      </c>
      <c r="R76" s="6">
        <f>(VLOOKUP('102 5.1.00'!Z76,'102 5.1.00'!$AM$4:$AO$55,3,FALSE))</f>
        <v>0</v>
      </c>
      <c r="S76" s="6">
        <f>(VLOOKUP('102 5.1.00'!AA76,'102 5.1.00'!$AM$4:$AO$55,3,FALSE))</f>
        <v>0</v>
      </c>
      <c r="T76" s="6">
        <f>(VLOOKUP('102 5.1.00'!AB76,'102 5.1.00'!$AM$4:$AO$55,3,FALSE))</f>
        <v>0</v>
      </c>
      <c r="U76" s="6">
        <f>(VLOOKUP('102 5.1.00'!AC76,'102 5.1.00'!$AM$4:$AO$55,3,FALSE))</f>
        <v>0</v>
      </c>
      <c r="V76" s="6">
        <f>(VLOOKUP('102 5.1.00'!AD76,'102 5.1.00'!$AM$4:$AO$55,3,FALSE))</f>
        <v>0</v>
      </c>
      <c r="W76" s="7">
        <f>(VLOOKUP('102 5.1.00'!AE76,'102 5.1.00'!$AM$4:$AO$55,3,FALSE))</f>
        <v>0</v>
      </c>
      <c r="X76" s="7">
        <f>(VLOOKUP('102 5.1.00'!AF76,'102 5.1.00'!$AM$4:$AO$55,3,FALSE))</f>
        <v>0</v>
      </c>
    </row>
    <row r="77" spans="1:24">
      <c r="A77" s="6">
        <f>(VLOOKUP('102 5.1.00'!I77,'102 5.1.00'!$AM$4:$AO$55,3,FALSE))</f>
        <v>55</v>
      </c>
      <c r="B77" s="6">
        <f>(VLOOKUP('102 5.1.00'!J77,'102 5.1.00'!$AM$4:$AO$55,3,FALSE))</f>
        <v>55</v>
      </c>
      <c r="C77" s="6">
        <f>(VLOOKUP('102 5.1.00'!K77,'102 5.1.00'!$AM$4:$AO$55,3,FALSE))</f>
        <v>55</v>
      </c>
      <c r="D77" s="6">
        <f>(VLOOKUP('102 5.1.00'!L77,'102 5.1.00'!$AM$4:$AO$55,3,FALSE))</f>
        <v>500</v>
      </c>
      <c r="E77" s="6">
        <f>(VLOOKUP('102 5.1.00'!M77,'102 5.1.00'!$AM$4:$AO$55,3,FALSE))</f>
        <v>55</v>
      </c>
      <c r="F77" s="6">
        <f>(VLOOKUP('102 5.1.00'!N77,'102 5.1.00'!$AM$4:$AO$55,3,FALSE))</f>
        <v>0</v>
      </c>
      <c r="G77" s="7">
        <f>(VLOOKUP('102 5.1.00'!O77,'102 5.1.00'!$AM$4:$AO$55,3,FALSE))</f>
        <v>55</v>
      </c>
      <c r="H77" s="7">
        <f>(VLOOKUP('102 5.1.00'!P77,'102 5.1.00'!$AM$4:$AO$55,3,FALSE))</f>
        <v>55</v>
      </c>
      <c r="I77" s="6">
        <f>(VLOOKUP('102 5.1.00'!Q77,'102 5.1.00'!$AM$4:$AO$55,3,FALSE))</f>
        <v>45</v>
      </c>
      <c r="J77" s="6">
        <f>(VLOOKUP('102 5.1.00'!R77,'102 5.1.00'!$AM$4:$AO$55,3,FALSE))</f>
        <v>45</v>
      </c>
      <c r="K77" s="6">
        <f>(VLOOKUP('102 5.1.00'!S77,'102 5.1.00'!$AM$4:$AO$55,3,FALSE))</f>
        <v>45</v>
      </c>
      <c r="L77" s="6">
        <f>(VLOOKUP('102 5.1.00'!T77,'102 5.1.00'!$AM$4:$AO$55,3,FALSE))</f>
        <v>50</v>
      </c>
      <c r="M77" s="6">
        <f>(VLOOKUP('102 5.1.00'!U77,'102 5.1.00'!$AM$4:$AO$55,3,FALSE))</f>
        <v>50</v>
      </c>
      <c r="N77" s="6">
        <f>(VLOOKUP('102 5.1.00'!V77,'102 5.1.00'!$AM$4:$AO$55,3,FALSE))</f>
        <v>0</v>
      </c>
      <c r="O77" s="7">
        <f>(VLOOKUP('102 5.1.00'!W77,'102 5.1.00'!$AM$4:$AO$55,3,FALSE))</f>
        <v>0</v>
      </c>
      <c r="P77" s="7">
        <f>(VLOOKUP('102 5.1.00'!X77,'102 5.1.00'!$AM$4:$AO$55,3,FALSE))</f>
        <v>0</v>
      </c>
      <c r="Q77" s="6">
        <f>(VLOOKUP('102 5.1.00'!Y77,'102 5.1.00'!$AM$4:$AO$55,3,FALSE))</f>
        <v>0</v>
      </c>
      <c r="R77" s="6">
        <f>(VLOOKUP('102 5.1.00'!Z77,'102 5.1.00'!$AM$4:$AO$55,3,FALSE))</f>
        <v>0</v>
      </c>
      <c r="S77" s="6">
        <f>(VLOOKUP('102 5.1.00'!AA77,'102 5.1.00'!$AM$4:$AO$55,3,FALSE))</f>
        <v>0</v>
      </c>
      <c r="T77" s="6">
        <f>(VLOOKUP('102 5.1.00'!AB77,'102 5.1.00'!$AM$4:$AO$55,3,FALSE))</f>
        <v>0</v>
      </c>
      <c r="U77" s="6">
        <f>(VLOOKUP('102 5.1.00'!AC77,'102 5.1.00'!$AM$4:$AO$55,3,FALSE))</f>
        <v>0</v>
      </c>
      <c r="V77" s="6">
        <f>(VLOOKUP('102 5.1.00'!AD77,'102 5.1.00'!$AM$4:$AO$55,3,FALSE))</f>
        <v>0</v>
      </c>
      <c r="W77" s="7">
        <f>(VLOOKUP('102 5.1.00'!AE77,'102 5.1.00'!$AM$4:$AO$55,3,FALSE))</f>
        <v>0</v>
      </c>
      <c r="X77" s="7">
        <f>(VLOOKUP('102 5.1.00'!AF77,'102 5.1.00'!$AM$4:$AO$55,3,FALSE))</f>
        <v>0</v>
      </c>
    </row>
    <row r="78" spans="1:24">
      <c r="A78" s="6">
        <f>(VLOOKUP('102 5.1.00'!I78,'102 5.1.00'!$AM$4:$AO$55,3,FALSE))</f>
        <v>55</v>
      </c>
      <c r="B78" s="6">
        <f>(VLOOKUP('102 5.1.00'!J78,'102 5.1.00'!$AM$4:$AO$55,3,FALSE))</f>
        <v>55</v>
      </c>
      <c r="C78" s="6">
        <f>(VLOOKUP('102 5.1.00'!K78,'102 5.1.00'!$AM$4:$AO$55,3,FALSE))</f>
        <v>55</v>
      </c>
      <c r="D78" s="6">
        <f>(VLOOKUP('102 5.1.00'!L78,'102 5.1.00'!$AM$4:$AO$55,3,FALSE))</f>
        <v>55</v>
      </c>
      <c r="E78" s="6">
        <f>(VLOOKUP('102 5.1.00'!M78,'102 5.1.00'!$AM$4:$AO$55,3,FALSE))</f>
        <v>55</v>
      </c>
      <c r="F78" s="6">
        <f>(VLOOKUP('102 5.1.00'!N78,'102 5.1.00'!$AM$4:$AO$55,3,FALSE))</f>
        <v>55</v>
      </c>
      <c r="G78" s="7">
        <f>(VLOOKUP('102 5.1.00'!O78,'102 5.1.00'!$AM$4:$AO$55,3,FALSE))</f>
        <v>0</v>
      </c>
      <c r="H78" s="7">
        <f>(VLOOKUP('102 5.1.00'!P78,'102 5.1.00'!$AM$4:$AO$55,3,FALSE))</f>
        <v>0</v>
      </c>
      <c r="I78" s="6">
        <f>(VLOOKUP('102 5.1.00'!Q78,'102 5.1.00'!$AM$4:$AO$55,3,FALSE))</f>
        <v>50</v>
      </c>
      <c r="J78" s="6">
        <f>(VLOOKUP('102 5.1.00'!R78,'102 5.1.00'!$AM$4:$AO$55,3,FALSE))</f>
        <v>50</v>
      </c>
      <c r="K78" s="6">
        <f>(VLOOKUP('102 5.1.00'!S78,'102 5.1.00'!$AM$4:$AO$55,3,FALSE))</f>
        <v>50</v>
      </c>
      <c r="L78" s="6">
        <f>(VLOOKUP('102 5.1.00'!T78,'102 5.1.00'!$AM$4:$AO$55,3,FALSE))</f>
        <v>50</v>
      </c>
      <c r="M78" s="6">
        <f>(VLOOKUP('102 5.1.00'!U78,'102 5.1.00'!$AM$4:$AO$55,3,FALSE))</f>
        <v>0</v>
      </c>
      <c r="N78" s="6">
        <f>(VLOOKUP('102 5.1.00'!V78,'102 5.1.00'!$AM$4:$AO$55,3,FALSE))</f>
        <v>0</v>
      </c>
      <c r="O78" s="7">
        <f>(VLOOKUP('102 5.1.00'!W78,'102 5.1.00'!$AM$4:$AO$55,3,FALSE))</f>
        <v>0</v>
      </c>
      <c r="P78" s="7">
        <f>(VLOOKUP('102 5.1.00'!X78,'102 5.1.00'!$AM$4:$AO$55,3,FALSE))</f>
        <v>0</v>
      </c>
      <c r="Q78" s="6">
        <f>(VLOOKUP('102 5.1.00'!Y78,'102 5.1.00'!$AM$4:$AO$55,3,FALSE))</f>
        <v>0</v>
      </c>
      <c r="R78" s="6">
        <f>(VLOOKUP('102 5.1.00'!Z78,'102 5.1.00'!$AM$4:$AO$55,3,FALSE))</f>
        <v>0</v>
      </c>
      <c r="S78" s="6">
        <f>(VLOOKUP('102 5.1.00'!AA78,'102 5.1.00'!$AM$4:$AO$55,3,FALSE))</f>
        <v>0</v>
      </c>
      <c r="T78" s="6">
        <f>(VLOOKUP('102 5.1.00'!AB78,'102 5.1.00'!$AM$4:$AO$55,3,FALSE))</f>
        <v>0</v>
      </c>
      <c r="U78" s="6">
        <f>(VLOOKUP('102 5.1.00'!AC78,'102 5.1.00'!$AM$4:$AO$55,3,FALSE))</f>
        <v>0</v>
      </c>
      <c r="V78" s="6">
        <f>(VLOOKUP('102 5.1.00'!AD78,'102 5.1.00'!$AM$4:$AO$55,3,FALSE))</f>
        <v>0</v>
      </c>
      <c r="W78" s="7">
        <f>(VLOOKUP('102 5.1.00'!AE78,'102 5.1.00'!$AM$4:$AO$55,3,FALSE))</f>
        <v>0</v>
      </c>
      <c r="X78" s="7">
        <f>(VLOOKUP('102 5.1.00'!AF78,'102 5.1.00'!$AM$4:$AO$55,3,FALSE))</f>
        <v>0</v>
      </c>
    </row>
    <row r="79" spans="1:24">
      <c r="A79" s="6">
        <f>(VLOOKUP('102 5.1.00'!I79,'102 5.1.00'!$AM$4:$AO$55,3,FALSE))</f>
        <v>30</v>
      </c>
      <c r="B79" s="6">
        <f>(VLOOKUP('102 5.1.00'!J79,'102 5.1.00'!$AM$4:$AO$55,3,FALSE))</f>
        <v>55</v>
      </c>
      <c r="C79" s="6">
        <f>(VLOOKUP('102 5.1.00'!K79,'102 5.1.00'!$AM$4:$AO$55,3,FALSE))</f>
        <v>55</v>
      </c>
      <c r="D79" s="6">
        <f>(VLOOKUP('102 5.1.00'!L79,'102 5.1.00'!$AM$4:$AO$55,3,FALSE))</f>
        <v>55</v>
      </c>
      <c r="E79" s="6">
        <f>(VLOOKUP('102 5.1.00'!M79,'102 5.1.00'!$AM$4:$AO$55,3,FALSE))</f>
        <v>55</v>
      </c>
      <c r="F79" s="6">
        <f>(VLOOKUP('102 5.1.00'!N79,'102 5.1.00'!$AM$4:$AO$55,3,FALSE))</f>
        <v>55</v>
      </c>
      <c r="G79" s="7">
        <f>(VLOOKUP('102 5.1.00'!O79,'102 5.1.00'!$AM$4:$AO$55,3,FALSE))</f>
        <v>0</v>
      </c>
      <c r="H79" s="7">
        <f>(VLOOKUP('102 5.1.00'!P79,'102 5.1.00'!$AM$4:$AO$55,3,FALSE))</f>
        <v>0</v>
      </c>
      <c r="I79" s="6">
        <f>(VLOOKUP('102 5.1.00'!Q79,'102 5.1.00'!$AM$4:$AO$55,3,FALSE))</f>
        <v>50</v>
      </c>
      <c r="J79" s="6">
        <f>(VLOOKUP('102 5.1.00'!R79,'102 5.1.00'!$AM$4:$AO$55,3,FALSE))</f>
        <v>50</v>
      </c>
      <c r="K79" s="6">
        <f>(VLOOKUP('102 5.1.00'!S79,'102 5.1.00'!$AM$4:$AO$55,3,FALSE))</f>
        <v>50</v>
      </c>
      <c r="L79" s="6">
        <f>(VLOOKUP('102 5.1.00'!T79,'102 5.1.00'!$AM$4:$AO$55,3,FALSE))</f>
        <v>50</v>
      </c>
      <c r="M79" s="6">
        <f>(VLOOKUP('102 5.1.00'!U79,'102 5.1.00'!$AM$4:$AO$55,3,FALSE))</f>
        <v>50</v>
      </c>
      <c r="N79" s="6">
        <f>(VLOOKUP('102 5.1.00'!V79,'102 5.1.00'!$AM$4:$AO$55,3,FALSE))</f>
        <v>50</v>
      </c>
      <c r="O79" s="7">
        <f>(VLOOKUP('102 5.1.00'!W79,'102 5.1.00'!$AM$4:$AO$55,3,FALSE))</f>
        <v>0</v>
      </c>
      <c r="P79" s="7">
        <f>(VLOOKUP('102 5.1.00'!X79,'102 5.1.00'!$AM$4:$AO$55,3,FALSE))</f>
        <v>0</v>
      </c>
      <c r="Q79" s="6">
        <f>(VLOOKUP('102 5.1.00'!Y79,'102 5.1.00'!$AM$4:$AO$55,3,FALSE))</f>
        <v>0</v>
      </c>
      <c r="R79" s="6">
        <f>(VLOOKUP('102 5.1.00'!Z79,'102 5.1.00'!$AM$4:$AO$55,3,FALSE))</f>
        <v>0</v>
      </c>
      <c r="S79" s="6">
        <f>(VLOOKUP('102 5.1.00'!AA79,'102 5.1.00'!$AM$4:$AO$55,3,FALSE))</f>
        <v>0</v>
      </c>
      <c r="T79" s="6">
        <f>(VLOOKUP('102 5.1.00'!AB79,'102 5.1.00'!$AM$4:$AO$55,3,FALSE))</f>
        <v>0</v>
      </c>
      <c r="U79" s="6">
        <f>(VLOOKUP('102 5.1.00'!AC79,'102 5.1.00'!$AM$4:$AO$55,3,FALSE))</f>
        <v>0</v>
      </c>
      <c r="V79" s="6">
        <f>(VLOOKUP('102 5.1.00'!AD79,'102 5.1.00'!$AM$4:$AO$55,3,FALSE))</f>
        <v>0</v>
      </c>
      <c r="W79" s="7">
        <f>(VLOOKUP('102 5.1.00'!AE79,'102 5.1.00'!$AM$4:$AO$55,3,FALSE))</f>
        <v>0</v>
      </c>
      <c r="X79" s="7">
        <f>(VLOOKUP('102 5.1.00'!AF79,'102 5.1.00'!$AM$4:$AO$55,3,FALSE))</f>
        <v>0</v>
      </c>
    </row>
    <row r="80" spans="1:24">
      <c r="A80" s="6">
        <f>(VLOOKUP('102 5.1.00'!I80,'102 5.1.00'!$AM$4:$AO$55,3,FALSE))</f>
        <v>55</v>
      </c>
      <c r="B80" s="6">
        <f>(VLOOKUP('102 5.1.00'!J80,'102 5.1.00'!$AM$4:$AO$55,3,FALSE))</f>
        <v>55</v>
      </c>
      <c r="C80" s="6">
        <f>(VLOOKUP('102 5.1.00'!K80,'102 5.1.00'!$AM$4:$AO$55,3,FALSE))</f>
        <v>55</v>
      </c>
      <c r="D80" s="6">
        <f>(VLOOKUP('102 5.1.00'!L80,'102 5.1.00'!$AM$4:$AO$55,3,FALSE))</f>
        <v>55</v>
      </c>
      <c r="E80" s="6">
        <f>(VLOOKUP('102 5.1.00'!M80,'102 5.1.00'!$AM$4:$AO$55,3,FALSE))</f>
        <v>55</v>
      </c>
      <c r="F80" s="6">
        <f>(VLOOKUP('102 5.1.00'!N80,'102 5.1.00'!$AM$4:$AO$55,3,FALSE))</f>
        <v>55</v>
      </c>
      <c r="G80" s="7">
        <f>(VLOOKUP('102 5.1.00'!O80,'102 5.1.00'!$AM$4:$AO$55,3,FALSE))</f>
        <v>0</v>
      </c>
      <c r="H80" s="7">
        <f>(VLOOKUP('102 5.1.00'!P80,'102 5.1.00'!$AM$4:$AO$55,3,FALSE))</f>
        <v>0</v>
      </c>
      <c r="I80" s="6">
        <f>(VLOOKUP('102 5.1.00'!Q80,'102 5.1.00'!$AM$4:$AO$55,3,FALSE))</f>
        <v>50</v>
      </c>
      <c r="J80" s="6">
        <f>(VLOOKUP('102 5.1.00'!R80,'102 5.1.00'!$AM$4:$AO$55,3,FALSE))</f>
        <v>50</v>
      </c>
      <c r="K80" s="6">
        <f>(VLOOKUP('102 5.1.00'!S80,'102 5.1.00'!$AM$4:$AO$55,3,FALSE))</f>
        <v>50</v>
      </c>
      <c r="L80" s="6">
        <f>(VLOOKUP('102 5.1.00'!T80,'102 5.1.00'!$AM$4:$AO$55,3,FALSE))</f>
        <v>50</v>
      </c>
      <c r="M80" s="6">
        <f>(VLOOKUP('102 5.1.00'!U80,'102 5.1.00'!$AM$4:$AO$55,3,FALSE))</f>
        <v>50</v>
      </c>
      <c r="N80" s="6">
        <f>(VLOOKUP('102 5.1.00'!V80,'102 5.1.00'!$AM$4:$AO$55,3,FALSE))</f>
        <v>0</v>
      </c>
      <c r="O80" s="7">
        <f>(VLOOKUP('102 5.1.00'!W80,'102 5.1.00'!$AM$4:$AO$55,3,FALSE))</f>
        <v>0</v>
      </c>
      <c r="P80" s="7">
        <f>(VLOOKUP('102 5.1.00'!X80,'102 5.1.00'!$AM$4:$AO$55,3,FALSE))</f>
        <v>0</v>
      </c>
      <c r="Q80" s="6">
        <f>(VLOOKUP('102 5.1.00'!Y80,'102 5.1.00'!$AM$4:$AO$55,3,FALSE))</f>
        <v>0</v>
      </c>
      <c r="R80" s="6">
        <f>(VLOOKUP('102 5.1.00'!Z80,'102 5.1.00'!$AM$4:$AO$55,3,FALSE))</f>
        <v>0</v>
      </c>
      <c r="S80" s="6">
        <f>(VLOOKUP('102 5.1.00'!AA80,'102 5.1.00'!$AM$4:$AO$55,3,FALSE))</f>
        <v>0</v>
      </c>
      <c r="T80" s="6">
        <f>(VLOOKUP('102 5.1.00'!AB80,'102 5.1.00'!$AM$4:$AO$55,3,FALSE))</f>
        <v>0</v>
      </c>
      <c r="U80" s="6">
        <f>(VLOOKUP('102 5.1.00'!AC80,'102 5.1.00'!$AM$4:$AO$55,3,FALSE))</f>
        <v>0</v>
      </c>
      <c r="V80" s="6">
        <f>(VLOOKUP('102 5.1.00'!AD80,'102 5.1.00'!$AM$4:$AO$55,3,FALSE))</f>
        <v>0</v>
      </c>
      <c r="W80" s="7">
        <f>(VLOOKUP('102 5.1.00'!AE80,'102 5.1.00'!$AM$4:$AO$55,3,FALSE))</f>
        <v>0</v>
      </c>
      <c r="X80" s="7">
        <f>(VLOOKUP('102 5.1.00'!AF80,'102 5.1.00'!$AM$4:$AO$55,3,FALSE))</f>
        <v>0</v>
      </c>
    </row>
    <row r="81" spans="1:24">
      <c r="A81" s="6">
        <f>(VLOOKUP('102 5.1.00'!I81,'102 5.1.00'!$AM$4:$AO$55,3,FALSE))</f>
        <v>55</v>
      </c>
      <c r="B81" s="6">
        <f>(VLOOKUP('102 5.1.00'!J81,'102 5.1.00'!$AM$4:$AO$55,3,FALSE))</f>
        <v>55</v>
      </c>
      <c r="C81" s="6">
        <f>(VLOOKUP('102 5.1.00'!K81,'102 5.1.00'!$AM$4:$AO$55,3,FALSE))</f>
        <v>55</v>
      </c>
      <c r="D81" s="6">
        <f>(VLOOKUP('102 5.1.00'!L81,'102 5.1.00'!$AM$4:$AO$55,3,FALSE))</f>
        <v>55</v>
      </c>
      <c r="E81" s="6">
        <f>(VLOOKUP('102 5.1.00'!M81,'102 5.1.00'!$AM$4:$AO$55,3,FALSE))</f>
        <v>55</v>
      </c>
      <c r="F81" s="6">
        <f>(VLOOKUP('102 5.1.00'!N81,'102 5.1.00'!$AM$4:$AO$55,3,FALSE))</f>
        <v>55</v>
      </c>
      <c r="G81" s="7">
        <f>(VLOOKUP('102 5.1.00'!O81,'102 5.1.00'!$AM$4:$AO$55,3,FALSE))</f>
        <v>0</v>
      </c>
      <c r="H81" s="7">
        <f>(VLOOKUP('102 5.1.00'!P81,'102 5.1.00'!$AM$4:$AO$55,3,FALSE))</f>
        <v>0</v>
      </c>
      <c r="I81" s="6">
        <f>(VLOOKUP('102 5.1.00'!Q81,'102 5.1.00'!$AM$4:$AO$55,3,FALSE))</f>
        <v>50</v>
      </c>
      <c r="J81" s="6">
        <f>(VLOOKUP('102 5.1.00'!R81,'102 5.1.00'!$AM$4:$AO$55,3,FALSE))</f>
        <v>50</v>
      </c>
      <c r="K81" s="6">
        <f>(VLOOKUP('102 5.1.00'!S81,'102 5.1.00'!$AM$4:$AO$55,3,FALSE))</f>
        <v>50</v>
      </c>
      <c r="L81" s="6">
        <f>(VLOOKUP('102 5.1.00'!T81,'102 5.1.00'!$AM$4:$AO$55,3,FALSE))</f>
        <v>45</v>
      </c>
      <c r="M81" s="6">
        <f>(VLOOKUP('102 5.1.00'!U81,'102 5.1.00'!$AM$4:$AO$55,3,FALSE))</f>
        <v>45</v>
      </c>
      <c r="N81" s="6">
        <f>(VLOOKUP('102 5.1.00'!V81,'102 5.1.00'!$AM$4:$AO$55,3,FALSE))</f>
        <v>0</v>
      </c>
      <c r="O81" s="7">
        <f>(VLOOKUP('102 5.1.00'!W81,'102 5.1.00'!$AM$4:$AO$55,3,FALSE))</f>
        <v>0</v>
      </c>
      <c r="P81" s="7">
        <f>(VLOOKUP('102 5.1.00'!X81,'102 5.1.00'!$AM$4:$AO$55,3,FALSE))</f>
        <v>0</v>
      </c>
      <c r="Q81" s="6">
        <f>(VLOOKUP('102 5.1.00'!Y81,'102 5.1.00'!$AM$4:$AO$55,3,FALSE))</f>
        <v>0</v>
      </c>
      <c r="R81" s="6">
        <f>(VLOOKUP('102 5.1.00'!Z81,'102 5.1.00'!$AM$4:$AO$55,3,FALSE))</f>
        <v>0</v>
      </c>
      <c r="S81" s="6">
        <f>(VLOOKUP('102 5.1.00'!AA81,'102 5.1.00'!$AM$4:$AO$55,3,FALSE))</f>
        <v>0</v>
      </c>
      <c r="T81" s="6">
        <f>(VLOOKUP('102 5.1.00'!AB81,'102 5.1.00'!$AM$4:$AO$55,3,FALSE))</f>
        <v>0</v>
      </c>
      <c r="U81" s="6">
        <f>(VLOOKUP('102 5.1.00'!AC81,'102 5.1.00'!$AM$4:$AO$55,3,FALSE))</f>
        <v>0</v>
      </c>
      <c r="V81" s="6">
        <f>(VLOOKUP('102 5.1.00'!AD81,'102 5.1.00'!$AM$4:$AO$55,3,FALSE))</f>
        <v>0</v>
      </c>
      <c r="W81" s="7">
        <f>(VLOOKUP('102 5.1.00'!AE81,'102 5.1.00'!$AM$4:$AO$55,3,FALSE))</f>
        <v>0</v>
      </c>
      <c r="X81" s="7">
        <f>(VLOOKUP('102 5.1.00'!AF81,'102 5.1.00'!$AM$4:$AO$55,3,FALSE))</f>
        <v>0</v>
      </c>
    </row>
    <row r="82" spans="1:24">
      <c r="A82" s="6">
        <f>(VLOOKUP('102 5.1.00'!I82,'102 5.1.00'!$AM$4:$AO$55,3,FALSE))</f>
        <v>55</v>
      </c>
      <c r="B82" s="6">
        <f>(VLOOKUP('102 5.1.00'!J82,'102 5.1.00'!$AM$4:$AO$55,3,FALSE))</f>
        <v>55</v>
      </c>
      <c r="C82" s="6">
        <f>(VLOOKUP('102 5.1.00'!K82,'102 5.1.00'!$AM$4:$AO$55,3,FALSE))</f>
        <v>55</v>
      </c>
      <c r="D82" s="6">
        <f>(VLOOKUP('102 5.1.00'!L82,'102 5.1.00'!$AM$4:$AO$55,3,FALSE))</f>
        <v>55</v>
      </c>
      <c r="E82" s="6">
        <f>(VLOOKUP('102 5.1.00'!M82,'102 5.1.00'!$AM$4:$AO$55,3,FALSE))</f>
        <v>55</v>
      </c>
      <c r="F82" s="6">
        <f>(VLOOKUP('102 5.1.00'!N82,'102 5.1.00'!$AM$4:$AO$55,3,FALSE))</f>
        <v>55</v>
      </c>
      <c r="G82" s="7">
        <f>(VLOOKUP('102 5.1.00'!O82,'102 5.1.00'!$AM$4:$AO$55,3,FALSE))</f>
        <v>0</v>
      </c>
      <c r="H82" s="7">
        <f>(VLOOKUP('102 5.1.00'!P82,'102 5.1.00'!$AM$4:$AO$55,3,FALSE))</f>
        <v>0</v>
      </c>
      <c r="I82" s="6">
        <f>(VLOOKUP('102 5.1.00'!Q82,'102 5.1.00'!$AM$4:$AO$55,3,FALSE))</f>
        <v>45</v>
      </c>
      <c r="J82" s="6">
        <f>(VLOOKUP('102 5.1.00'!R82,'102 5.1.00'!$AM$4:$AO$55,3,FALSE))</f>
        <v>45</v>
      </c>
      <c r="K82" s="6">
        <f>(VLOOKUP('102 5.1.00'!S82,'102 5.1.00'!$AM$4:$AO$55,3,FALSE))</f>
        <v>50</v>
      </c>
      <c r="L82" s="6">
        <f>(VLOOKUP('102 5.1.00'!T82,'102 5.1.00'!$AM$4:$AO$55,3,FALSE))</f>
        <v>50</v>
      </c>
      <c r="M82" s="6">
        <f>(VLOOKUP('102 5.1.00'!U82,'102 5.1.00'!$AM$4:$AO$55,3,FALSE))</f>
        <v>45</v>
      </c>
      <c r="N82" s="6">
        <f>(VLOOKUP('102 5.1.00'!V82,'102 5.1.00'!$AM$4:$AO$55,3,FALSE))</f>
        <v>0</v>
      </c>
      <c r="O82" s="7">
        <f>(VLOOKUP('102 5.1.00'!W82,'102 5.1.00'!$AM$4:$AO$55,3,FALSE))</f>
        <v>0</v>
      </c>
      <c r="P82" s="7">
        <f>(VLOOKUP('102 5.1.00'!X82,'102 5.1.00'!$AM$4:$AO$55,3,FALSE))</f>
        <v>0</v>
      </c>
      <c r="Q82" s="6">
        <f>(VLOOKUP('102 5.1.00'!Y82,'102 5.1.00'!$AM$4:$AO$55,3,FALSE))</f>
        <v>0</v>
      </c>
      <c r="R82" s="6">
        <f>(VLOOKUP('102 5.1.00'!Z82,'102 5.1.00'!$AM$4:$AO$55,3,FALSE))</f>
        <v>0</v>
      </c>
      <c r="S82" s="6">
        <f>(VLOOKUP('102 5.1.00'!AA82,'102 5.1.00'!$AM$4:$AO$55,3,FALSE))</f>
        <v>0</v>
      </c>
      <c r="T82" s="6">
        <f>(VLOOKUP('102 5.1.00'!AB82,'102 5.1.00'!$AM$4:$AO$55,3,FALSE))</f>
        <v>0</v>
      </c>
      <c r="U82" s="6">
        <f>(VLOOKUP('102 5.1.00'!AC82,'102 5.1.00'!$AM$4:$AO$55,3,FALSE))</f>
        <v>0</v>
      </c>
      <c r="V82" s="6">
        <f>(VLOOKUP('102 5.1.00'!AD82,'102 5.1.00'!$AM$4:$AO$55,3,FALSE))</f>
        <v>0</v>
      </c>
      <c r="W82" s="7">
        <f>(VLOOKUP('102 5.1.00'!AE82,'102 5.1.00'!$AM$4:$AO$55,3,FALSE))</f>
        <v>0</v>
      </c>
      <c r="X82" s="7">
        <f>(VLOOKUP('102 5.1.00'!AF82,'102 5.1.00'!$AM$4:$AO$55,3,FALSE))</f>
        <v>0</v>
      </c>
    </row>
    <row r="83" spans="1:24">
      <c r="A83" s="6">
        <f>(VLOOKUP('102 5.1.00'!I83,'102 5.1.00'!$AM$4:$AO$55,3,FALSE))</f>
        <v>55</v>
      </c>
      <c r="B83" s="6">
        <f>(VLOOKUP('102 5.1.00'!J83,'102 5.1.00'!$AM$4:$AO$55,3,FALSE))</f>
        <v>55</v>
      </c>
      <c r="C83" s="6">
        <f>(VLOOKUP('102 5.1.00'!K83,'102 5.1.00'!$AM$4:$AO$55,3,FALSE))</f>
        <v>55</v>
      </c>
      <c r="D83" s="6">
        <f>(VLOOKUP('102 5.1.00'!L83,'102 5.1.00'!$AM$4:$AO$55,3,FALSE))</f>
        <v>55</v>
      </c>
      <c r="E83" s="6">
        <f>(VLOOKUP('102 5.1.00'!M83,'102 5.1.00'!$AM$4:$AO$55,3,FALSE))</f>
        <v>55</v>
      </c>
      <c r="F83" s="6">
        <f>(VLOOKUP('102 5.1.00'!N83,'102 5.1.00'!$AM$4:$AO$55,3,FALSE))</f>
        <v>55</v>
      </c>
      <c r="G83" s="7">
        <f>(VLOOKUP('102 5.1.00'!O83,'102 5.1.00'!$AM$4:$AO$55,3,FALSE))</f>
        <v>0</v>
      </c>
      <c r="H83" s="7">
        <f>(VLOOKUP('102 5.1.00'!P83,'102 5.1.00'!$AM$4:$AO$55,3,FALSE))</f>
        <v>0</v>
      </c>
      <c r="I83" s="6">
        <f>(VLOOKUP('102 5.1.00'!Q83,'102 5.1.00'!$AM$4:$AO$55,3,FALSE))</f>
        <v>45</v>
      </c>
      <c r="J83" s="6">
        <f>(VLOOKUP('102 5.1.00'!R83,'102 5.1.00'!$AM$4:$AO$55,3,FALSE))</f>
        <v>45</v>
      </c>
      <c r="K83" s="6">
        <f>(VLOOKUP('102 5.1.00'!S83,'102 5.1.00'!$AM$4:$AO$55,3,FALSE))</f>
        <v>45</v>
      </c>
      <c r="L83" s="6">
        <f>(VLOOKUP('102 5.1.00'!T83,'102 5.1.00'!$AM$4:$AO$55,3,FALSE))</f>
        <v>45</v>
      </c>
      <c r="M83" s="6">
        <f>(VLOOKUP('102 5.1.00'!U83,'102 5.1.00'!$AM$4:$AO$55,3,FALSE))</f>
        <v>30</v>
      </c>
      <c r="N83" s="6">
        <f>(VLOOKUP('102 5.1.00'!V83,'102 5.1.00'!$AM$4:$AO$55,3,FALSE))</f>
        <v>45</v>
      </c>
      <c r="O83" s="7">
        <f>(VLOOKUP('102 5.1.00'!W83,'102 5.1.00'!$AM$4:$AO$55,3,FALSE))</f>
        <v>0</v>
      </c>
      <c r="P83" s="7">
        <f>(VLOOKUP('102 5.1.00'!X83,'102 5.1.00'!$AM$4:$AO$55,3,FALSE))</f>
        <v>0</v>
      </c>
      <c r="Q83" s="6">
        <f>(VLOOKUP('102 5.1.00'!Y83,'102 5.1.00'!$AM$4:$AO$55,3,FALSE))</f>
        <v>0</v>
      </c>
      <c r="R83" s="6">
        <f>(VLOOKUP('102 5.1.00'!Z83,'102 5.1.00'!$AM$4:$AO$55,3,FALSE))</f>
        <v>0</v>
      </c>
      <c r="S83" s="6">
        <f>(VLOOKUP('102 5.1.00'!AA83,'102 5.1.00'!$AM$4:$AO$55,3,FALSE))</f>
        <v>0</v>
      </c>
      <c r="T83" s="6">
        <f>(VLOOKUP('102 5.1.00'!AB83,'102 5.1.00'!$AM$4:$AO$55,3,FALSE))</f>
        <v>0</v>
      </c>
      <c r="U83" s="6">
        <f>(VLOOKUP('102 5.1.00'!AC83,'102 5.1.00'!$AM$4:$AO$55,3,FALSE))</f>
        <v>0</v>
      </c>
      <c r="V83" s="6">
        <f>(VLOOKUP('102 5.1.00'!AD83,'102 5.1.00'!$AM$4:$AO$55,3,FALSE))</f>
        <v>0</v>
      </c>
      <c r="W83" s="7">
        <f>(VLOOKUP('102 5.1.00'!AE83,'102 5.1.00'!$AM$4:$AO$55,3,FALSE))</f>
        <v>0</v>
      </c>
      <c r="X83" s="7">
        <f>(VLOOKUP('102 5.1.00'!AF83,'102 5.1.00'!$AM$4:$AO$55,3,FALSE))</f>
        <v>0</v>
      </c>
    </row>
    <row r="84" spans="1:24">
      <c r="A84" s="6">
        <f>(VLOOKUP('102 5.1.00'!I84,'102 5.1.00'!$AM$4:$AO$55,3,FALSE))</f>
        <v>50</v>
      </c>
      <c r="B84" s="6">
        <f>(VLOOKUP('102 5.1.00'!J84,'102 5.1.00'!$AM$4:$AO$55,3,FALSE))</f>
        <v>50</v>
      </c>
      <c r="C84" s="6">
        <f>(VLOOKUP('102 5.1.00'!K84,'102 5.1.00'!$AM$4:$AO$55,3,FALSE))</f>
        <v>50</v>
      </c>
      <c r="D84" s="6">
        <f>(VLOOKUP('102 5.1.00'!L84,'102 5.1.00'!$AM$4:$AO$55,3,FALSE))</f>
        <v>50</v>
      </c>
      <c r="E84" s="6">
        <f>(VLOOKUP('102 5.1.00'!M84,'102 5.1.00'!$AM$4:$AO$55,3,FALSE))</f>
        <v>50</v>
      </c>
      <c r="F84" s="6">
        <f>(VLOOKUP('102 5.1.00'!N84,'102 5.1.00'!$AM$4:$AO$55,3,FALSE))</f>
        <v>50</v>
      </c>
      <c r="G84" s="7">
        <f>(VLOOKUP('102 5.1.00'!O84,'102 5.1.00'!$AM$4:$AO$55,3,FALSE))</f>
        <v>0</v>
      </c>
      <c r="H84" s="7">
        <f>(VLOOKUP('102 5.1.00'!P84,'102 5.1.00'!$AM$4:$AO$55,3,FALSE))</f>
        <v>0</v>
      </c>
      <c r="I84" s="6">
        <f>(VLOOKUP('102 5.1.00'!Q84,'102 5.1.00'!$AM$4:$AO$55,3,FALSE))</f>
        <v>45</v>
      </c>
      <c r="J84" s="6">
        <f>(VLOOKUP('102 5.1.00'!R84,'102 5.1.00'!$AM$4:$AO$55,3,FALSE))</f>
        <v>45</v>
      </c>
      <c r="K84" s="6">
        <f>(VLOOKUP('102 5.1.00'!S84,'102 5.1.00'!$AM$4:$AO$55,3,FALSE))</f>
        <v>45</v>
      </c>
      <c r="L84" s="6">
        <f>(VLOOKUP('102 5.1.00'!T84,'102 5.1.00'!$AM$4:$AO$55,3,FALSE))</f>
        <v>0</v>
      </c>
      <c r="M84" s="6">
        <f>(VLOOKUP('102 5.1.00'!U84,'102 5.1.00'!$AM$4:$AO$55,3,FALSE))</f>
        <v>45</v>
      </c>
      <c r="N84" s="6">
        <f>(VLOOKUP('102 5.1.00'!V84,'102 5.1.00'!$AM$4:$AO$55,3,FALSE))</f>
        <v>45</v>
      </c>
      <c r="O84" s="7">
        <f>(VLOOKUP('102 5.1.00'!W84,'102 5.1.00'!$AM$4:$AO$55,3,FALSE))</f>
        <v>45</v>
      </c>
      <c r="P84" s="7">
        <f>(VLOOKUP('102 5.1.00'!X84,'102 5.1.00'!$AM$4:$AO$55,3,FALSE))</f>
        <v>0</v>
      </c>
      <c r="Q84" s="6">
        <f>(VLOOKUP('102 5.1.00'!Y84,'102 5.1.00'!$AM$4:$AO$55,3,FALSE))</f>
        <v>0</v>
      </c>
      <c r="R84" s="6">
        <f>(VLOOKUP('102 5.1.00'!Z84,'102 5.1.00'!$AM$4:$AO$55,3,FALSE))</f>
        <v>0</v>
      </c>
      <c r="S84" s="6">
        <f>(VLOOKUP('102 5.1.00'!AA84,'102 5.1.00'!$AM$4:$AO$55,3,FALSE))</f>
        <v>0</v>
      </c>
      <c r="T84" s="6">
        <f>(VLOOKUP('102 5.1.00'!AB84,'102 5.1.00'!$AM$4:$AO$55,3,FALSE))</f>
        <v>0</v>
      </c>
      <c r="U84" s="6">
        <f>(VLOOKUP('102 5.1.00'!AC84,'102 5.1.00'!$AM$4:$AO$55,3,FALSE))</f>
        <v>0</v>
      </c>
      <c r="V84" s="6">
        <f>(VLOOKUP('102 5.1.00'!AD84,'102 5.1.00'!$AM$4:$AO$55,3,FALSE))</f>
        <v>0</v>
      </c>
      <c r="W84" s="7">
        <f>(VLOOKUP('102 5.1.00'!AE84,'102 5.1.00'!$AM$4:$AO$55,3,FALSE))</f>
        <v>0</v>
      </c>
      <c r="X84" s="7">
        <f>(VLOOKUP('102 5.1.00'!AF84,'102 5.1.00'!$AM$4:$AO$55,3,FALSE))</f>
        <v>0</v>
      </c>
    </row>
    <row r="85" spans="1:24">
      <c r="A85" s="6">
        <f>(VLOOKUP('102 5.1.00'!I85,'102 5.1.00'!$AM$4:$AO$55,3,FALSE))</f>
        <v>50</v>
      </c>
      <c r="B85" s="6">
        <f>(VLOOKUP('102 5.1.00'!J85,'102 5.1.00'!$AM$4:$AO$55,3,FALSE))</f>
        <v>50</v>
      </c>
      <c r="C85" s="6">
        <f>(VLOOKUP('102 5.1.00'!K85,'102 5.1.00'!$AM$4:$AO$55,3,FALSE))</f>
        <v>50</v>
      </c>
      <c r="D85" s="6">
        <f>(VLOOKUP('102 5.1.00'!L85,'102 5.1.00'!$AM$4:$AO$55,3,FALSE))</f>
        <v>50</v>
      </c>
      <c r="E85" s="6">
        <f>(VLOOKUP('102 5.1.00'!M85,'102 5.1.00'!$AM$4:$AO$55,3,FALSE))</f>
        <v>50</v>
      </c>
      <c r="F85" s="6">
        <f>(VLOOKUP('102 5.1.00'!N85,'102 5.1.00'!$AM$4:$AO$55,3,FALSE))</f>
        <v>50</v>
      </c>
      <c r="G85" s="7">
        <f>(VLOOKUP('102 5.1.00'!O85,'102 5.1.00'!$AM$4:$AO$55,3,FALSE))</f>
        <v>0</v>
      </c>
      <c r="H85" s="7">
        <f>(VLOOKUP('102 5.1.00'!P85,'102 5.1.00'!$AM$4:$AO$55,3,FALSE))</f>
        <v>0</v>
      </c>
      <c r="I85" s="6">
        <f>(VLOOKUP('102 5.1.00'!Q85,'102 5.1.00'!$AM$4:$AO$55,3,FALSE))</f>
        <v>45</v>
      </c>
      <c r="J85" s="6">
        <f>(VLOOKUP('102 5.1.00'!R85,'102 5.1.00'!$AM$4:$AO$55,3,FALSE))</f>
        <v>45</v>
      </c>
      <c r="K85" s="6">
        <f>(VLOOKUP('102 5.1.00'!S85,'102 5.1.00'!$AM$4:$AO$55,3,FALSE))</f>
        <v>40</v>
      </c>
      <c r="L85" s="6">
        <f>(VLOOKUP('102 5.1.00'!T85,'102 5.1.00'!$AM$4:$AO$55,3,FALSE))</f>
        <v>45</v>
      </c>
      <c r="M85" s="6">
        <f>(VLOOKUP('102 5.1.00'!U85,'102 5.1.00'!$AM$4:$AO$55,3,FALSE))</f>
        <v>45</v>
      </c>
      <c r="N85" s="6">
        <f>(VLOOKUP('102 5.1.00'!V85,'102 5.1.00'!$AM$4:$AO$55,3,FALSE))</f>
        <v>45</v>
      </c>
      <c r="O85" s="7">
        <f>(VLOOKUP('102 5.1.00'!W85,'102 5.1.00'!$AM$4:$AO$55,3,FALSE))</f>
        <v>0</v>
      </c>
      <c r="P85" s="7">
        <f>(VLOOKUP('102 5.1.00'!X85,'102 5.1.00'!$AM$4:$AO$55,3,FALSE))</f>
        <v>0</v>
      </c>
      <c r="Q85" s="6">
        <f>(VLOOKUP('102 5.1.00'!Y85,'102 5.1.00'!$AM$4:$AO$55,3,FALSE))</f>
        <v>0</v>
      </c>
      <c r="R85" s="6">
        <f>(VLOOKUP('102 5.1.00'!Z85,'102 5.1.00'!$AM$4:$AO$55,3,FALSE))</f>
        <v>0</v>
      </c>
      <c r="S85" s="6">
        <f>(VLOOKUP('102 5.1.00'!AA85,'102 5.1.00'!$AM$4:$AO$55,3,FALSE))</f>
        <v>0</v>
      </c>
      <c r="T85" s="6">
        <f>(VLOOKUP('102 5.1.00'!AB85,'102 5.1.00'!$AM$4:$AO$55,3,FALSE))</f>
        <v>0</v>
      </c>
      <c r="U85" s="6">
        <f>(VLOOKUP('102 5.1.00'!AC85,'102 5.1.00'!$AM$4:$AO$55,3,FALSE))</f>
        <v>0</v>
      </c>
      <c r="V85" s="6">
        <f>(VLOOKUP('102 5.1.00'!AD85,'102 5.1.00'!$AM$4:$AO$55,3,FALSE))</f>
        <v>0</v>
      </c>
      <c r="W85" s="7">
        <f>(VLOOKUP('102 5.1.00'!AE85,'102 5.1.00'!$AM$4:$AO$55,3,FALSE))</f>
        <v>0</v>
      </c>
      <c r="X85" s="7">
        <f>(VLOOKUP('102 5.1.00'!AF85,'102 5.1.00'!$AM$4:$AO$55,3,FALSE))</f>
        <v>0</v>
      </c>
    </row>
    <row r="86" spans="1:24">
      <c r="A86" s="6">
        <f>(VLOOKUP('102 5.1.00'!I86,'102 5.1.00'!$AM$4:$AO$55,3,FALSE))</f>
        <v>50</v>
      </c>
      <c r="B86" s="6">
        <f>(VLOOKUP('102 5.1.00'!J86,'102 5.1.00'!$AM$4:$AO$55,3,FALSE))</f>
        <v>50</v>
      </c>
      <c r="C86" s="6">
        <f>(VLOOKUP('102 5.1.00'!K86,'102 5.1.00'!$AM$4:$AO$55,3,FALSE))</f>
        <v>50</v>
      </c>
      <c r="D86" s="6">
        <f>(VLOOKUP('102 5.1.00'!L86,'102 5.1.00'!$AM$4:$AO$55,3,FALSE))</f>
        <v>50</v>
      </c>
      <c r="E86" s="6">
        <f>(VLOOKUP('102 5.1.00'!M86,'102 5.1.00'!$AM$4:$AO$55,3,FALSE))</f>
        <v>50</v>
      </c>
      <c r="F86" s="6">
        <f>(VLOOKUP('102 5.1.00'!N86,'102 5.1.00'!$AM$4:$AO$55,3,FALSE))</f>
        <v>30</v>
      </c>
      <c r="G86" s="7">
        <f>(VLOOKUP('102 5.1.00'!O86,'102 5.1.00'!$AM$4:$AO$55,3,FALSE))</f>
        <v>0</v>
      </c>
      <c r="H86" s="7">
        <f>(VLOOKUP('102 5.1.00'!P86,'102 5.1.00'!$AM$4:$AO$55,3,FALSE))</f>
        <v>0</v>
      </c>
      <c r="I86" s="6">
        <f>(VLOOKUP('102 5.1.00'!Q86,'102 5.1.00'!$AM$4:$AO$55,3,FALSE))</f>
        <v>45</v>
      </c>
      <c r="J86" s="6">
        <f>(VLOOKUP('102 5.1.00'!R86,'102 5.1.00'!$AM$4:$AO$55,3,FALSE))</f>
        <v>45</v>
      </c>
      <c r="K86" s="6">
        <f>(VLOOKUP('102 5.1.00'!S86,'102 5.1.00'!$AM$4:$AO$55,3,FALSE))</f>
        <v>45</v>
      </c>
      <c r="L86" s="6">
        <f>(VLOOKUP('102 5.1.00'!T86,'102 5.1.00'!$AM$4:$AO$55,3,FALSE))</f>
        <v>45</v>
      </c>
      <c r="M86" s="6">
        <f>(VLOOKUP('102 5.1.00'!U86,'102 5.1.00'!$AM$4:$AO$55,3,FALSE))</f>
        <v>30</v>
      </c>
      <c r="N86" s="6">
        <f>(VLOOKUP('102 5.1.00'!V86,'102 5.1.00'!$AM$4:$AO$55,3,FALSE))</f>
        <v>0</v>
      </c>
      <c r="O86" s="7">
        <f>(VLOOKUP('102 5.1.00'!W86,'102 5.1.00'!$AM$4:$AO$55,3,FALSE))</f>
        <v>0</v>
      </c>
      <c r="P86" s="7">
        <f>(VLOOKUP('102 5.1.00'!X86,'102 5.1.00'!$AM$4:$AO$55,3,FALSE))</f>
        <v>0</v>
      </c>
      <c r="Q86" s="6">
        <f>(VLOOKUP('102 5.1.00'!Y86,'102 5.1.00'!$AM$4:$AO$55,3,FALSE))</f>
        <v>35</v>
      </c>
      <c r="R86" s="6">
        <f>(VLOOKUP('102 5.1.00'!Z86,'102 5.1.00'!$AM$4:$AO$55,3,FALSE))</f>
        <v>35</v>
      </c>
      <c r="S86" s="6">
        <f>(VLOOKUP('102 5.1.00'!AA86,'102 5.1.00'!$AM$4:$AO$55,3,FALSE))</f>
        <v>0</v>
      </c>
      <c r="T86" s="6">
        <f>(VLOOKUP('102 5.1.00'!AB86,'102 5.1.00'!$AM$4:$AO$55,3,FALSE))</f>
        <v>0</v>
      </c>
      <c r="U86" s="6">
        <f>(VLOOKUP('102 5.1.00'!AC86,'102 5.1.00'!$AM$4:$AO$55,3,FALSE))</f>
        <v>0</v>
      </c>
      <c r="V86" s="6">
        <f>(VLOOKUP('102 5.1.00'!AD86,'102 5.1.00'!$AM$4:$AO$55,3,FALSE))</f>
        <v>0</v>
      </c>
      <c r="W86" s="7">
        <f>(VLOOKUP('102 5.1.00'!AE86,'102 5.1.00'!$AM$4:$AO$55,3,FALSE))</f>
        <v>0</v>
      </c>
      <c r="X86" s="7">
        <f>(VLOOKUP('102 5.1.00'!AF86,'102 5.1.00'!$AM$4:$AO$55,3,FALSE))</f>
        <v>0</v>
      </c>
    </row>
    <row r="87" spans="1:24">
      <c r="A87" s="6">
        <f>(VLOOKUP('102 5.1.00'!I87,'102 5.1.00'!$AM$4:$AO$55,3,FALSE))</f>
        <v>50</v>
      </c>
      <c r="B87" s="6">
        <f>(VLOOKUP('102 5.1.00'!J87,'102 5.1.00'!$AM$4:$AO$55,3,FALSE))</f>
        <v>50</v>
      </c>
      <c r="C87" s="6">
        <f>(VLOOKUP('102 5.1.00'!K87,'102 5.1.00'!$AM$4:$AO$55,3,FALSE))</f>
        <v>50</v>
      </c>
      <c r="D87" s="6">
        <f>(VLOOKUP('102 5.1.00'!L87,'102 5.1.00'!$AM$4:$AO$55,3,FALSE))</f>
        <v>50</v>
      </c>
      <c r="E87" s="6">
        <f>(VLOOKUP('102 5.1.00'!M87,'102 5.1.00'!$AM$4:$AO$55,3,FALSE))</f>
        <v>50</v>
      </c>
      <c r="F87" s="6">
        <f>(VLOOKUP('102 5.1.00'!N87,'102 5.1.00'!$AM$4:$AO$55,3,FALSE))</f>
        <v>50</v>
      </c>
      <c r="G87" s="7">
        <f>(VLOOKUP('102 5.1.00'!O87,'102 5.1.00'!$AM$4:$AO$55,3,FALSE))</f>
        <v>0</v>
      </c>
      <c r="H87" s="7">
        <f>(VLOOKUP('102 5.1.00'!P87,'102 5.1.00'!$AM$4:$AO$55,3,FALSE))</f>
        <v>0</v>
      </c>
      <c r="I87" s="6">
        <f>(VLOOKUP('102 5.1.00'!Q87,'102 5.1.00'!$AM$4:$AO$55,3,FALSE))</f>
        <v>45</v>
      </c>
      <c r="J87" s="6">
        <f>(VLOOKUP('102 5.1.00'!R87,'102 5.1.00'!$AM$4:$AO$55,3,FALSE))</f>
        <v>45</v>
      </c>
      <c r="K87" s="6">
        <f>(VLOOKUP('102 5.1.00'!S87,'102 5.1.00'!$AM$4:$AO$55,3,FALSE))</f>
        <v>40</v>
      </c>
      <c r="L87" s="6">
        <f>(VLOOKUP('102 5.1.00'!T87,'102 5.1.00'!$AM$4:$AO$55,3,FALSE))</f>
        <v>40</v>
      </c>
      <c r="M87" s="6">
        <f>(VLOOKUP('102 5.1.00'!U87,'102 5.1.00'!$AM$4:$AO$55,3,FALSE))</f>
        <v>30</v>
      </c>
      <c r="N87" s="6">
        <f>(VLOOKUP('102 5.1.00'!V87,'102 5.1.00'!$AM$4:$AO$55,3,FALSE))</f>
        <v>0</v>
      </c>
      <c r="O87" s="7">
        <f>(VLOOKUP('102 5.1.00'!W87,'102 5.1.00'!$AM$4:$AO$55,3,FALSE))</f>
        <v>0</v>
      </c>
      <c r="P87" s="7">
        <f>(VLOOKUP('102 5.1.00'!X87,'102 5.1.00'!$AM$4:$AO$55,3,FALSE))</f>
        <v>0</v>
      </c>
      <c r="Q87" s="6">
        <f>(VLOOKUP('102 5.1.00'!Y87,'102 5.1.00'!$AM$4:$AO$55,3,FALSE))</f>
        <v>35</v>
      </c>
      <c r="R87" s="6">
        <f>(VLOOKUP('102 5.1.00'!Z87,'102 5.1.00'!$AM$4:$AO$55,3,FALSE))</f>
        <v>0</v>
      </c>
      <c r="S87" s="6">
        <f>(VLOOKUP('102 5.1.00'!AA87,'102 5.1.00'!$AM$4:$AO$55,3,FALSE))</f>
        <v>0</v>
      </c>
      <c r="T87" s="6">
        <f>(VLOOKUP('102 5.1.00'!AB87,'102 5.1.00'!$AM$4:$AO$55,3,FALSE))</f>
        <v>0</v>
      </c>
      <c r="U87" s="6">
        <f>(VLOOKUP('102 5.1.00'!AC87,'102 5.1.00'!$AM$4:$AO$55,3,FALSE))</f>
        <v>0</v>
      </c>
      <c r="V87" s="6">
        <f>(VLOOKUP('102 5.1.00'!AD87,'102 5.1.00'!$AM$4:$AO$55,3,FALSE))</f>
        <v>0</v>
      </c>
      <c r="W87" s="7">
        <f>(VLOOKUP('102 5.1.00'!AE87,'102 5.1.00'!$AM$4:$AO$55,3,FALSE))</f>
        <v>0</v>
      </c>
      <c r="X87" s="7">
        <f>(VLOOKUP('102 5.1.00'!AF87,'102 5.1.00'!$AM$4:$AO$55,3,FALSE))</f>
        <v>0</v>
      </c>
    </row>
    <row r="88" spans="1:24">
      <c r="A88" s="6">
        <f>(VLOOKUP('102 5.1.00'!I88,'102 5.1.00'!$AM$4:$AO$55,3,FALSE))</f>
        <v>50</v>
      </c>
      <c r="B88" s="6">
        <f>(VLOOKUP('102 5.1.00'!J88,'102 5.1.00'!$AM$4:$AO$55,3,FALSE))</f>
        <v>50</v>
      </c>
      <c r="C88" s="6">
        <f>(VLOOKUP('102 5.1.00'!K88,'102 5.1.00'!$AM$4:$AO$55,3,FALSE))</f>
        <v>50</v>
      </c>
      <c r="D88" s="6">
        <f>(VLOOKUP('102 5.1.00'!L88,'102 5.1.00'!$AM$4:$AO$55,3,FALSE))</f>
        <v>45</v>
      </c>
      <c r="E88" s="6">
        <f>(VLOOKUP('102 5.1.00'!M88,'102 5.1.00'!$AM$4:$AO$55,3,FALSE))</f>
        <v>45</v>
      </c>
      <c r="F88" s="6">
        <f>(VLOOKUP('102 5.1.00'!N88,'102 5.1.00'!$AM$4:$AO$55,3,FALSE))</f>
        <v>45</v>
      </c>
      <c r="G88" s="7">
        <f>(VLOOKUP('102 5.1.00'!O88,'102 5.1.00'!$AM$4:$AO$55,3,FALSE))</f>
        <v>0</v>
      </c>
      <c r="H88" s="7">
        <f>(VLOOKUP('102 5.1.00'!P88,'102 5.1.00'!$AM$4:$AO$55,3,FALSE))</f>
        <v>0</v>
      </c>
      <c r="I88" s="6">
        <f>(VLOOKUP('102 5.1.00'!Q88,'102 5.1.00'!$AM$4:$AO$55,3,FALSE))</f>
        <v>40</v>
      </c>
      <c r="J88" s="6">
        <f>(VLOOKUP('102 5.1.00'!R88,'102 5.1.00'!$AM$4:$AO$55,3,FALSE))</f>
        <v>40</v>
      </c>
      <c r="K88" s="6">
        <f>(VLOOKUP('102 5.1.00'!S88,'102 5.1.00'!$AM$4:$AO$55,3,FALSE))</f>
        <v>40</v>
      </c>
      <c r="L88" s="6">
        <f>(VLOOKUP('102 5.1.00'!T88,'102 5.1.00'!$AM$4:$AO$55,3,FALSE))</f>
        <v>40</v>
      </c>
      <c r="M88" s="6">
        <f>(VLOOKUP('102 5.1.00'!U88,'102 5.1.00'!$AM$4:$AO$55,3,FALSE))</f>
        <v>40</v>
      </c>
      <c r="N88" s="6">
        <f>(VLOOKUP('102 5.1.00'!V88,'102 5.1.00'!$AM$4:$AO$55,3,FALSE))</f>
        <v>30</v>
      </c>
      <c r="O88" s="7">
        <f>(VLOOKUP('102 5.1.00'!W88,'102 5.1.00'!$AM$4:$AO$55,3,FALSE))</f>
        <v>0</v>
      </c>
      <c r="P88" s="7">
        <f>(VLOOKUP('102 5.1.00'!X88,'102 5.1.00'!$AM$4:$AO$55,3,FALSE))</f>
        <v>0</v>
      </c>
      <c r="Q88" s="6">
        <f>(VLOOKUP('102 5.1.00'!Y88,'102 5.1.00'!$AM$4:$AO$55,3,FALSE))</f>
        <v>35</v>
      </c>
      <c r="R88" s="6">
        <f>(VLOOKUP('102 5.1.00'!Z88,'102 5.1.00'!$AM$4:$AO$55,3,FALSE))</f>
        <v>0</v>
      </c>
      <c r="S88" s="6">
        <f>(VLOOKUP('102 5.1.00'!AA88,'102 5.1.00'!$AM$4:$AO$55,3,FALSE))</f>
        <v>0</v>
      </c>
      <c r="T88" s="6">
        <f>(VLOOKUP('102 5.1.00'!AB88,'102 5.1.00'!$AM$4:$AO$55,3,FALSE))</f>
        <v>0</v>
      </c>
      <c r="U88" s="6">
        <f>(VLOOKUP('102 5.1.00'!AC88,'102 5.1.00'!$AM$4:$AO$55,3,FALSE))</f>
        <v>0</v>
      </c>
      <c r="V88" s="6">
        <f>(VLOOKUP('102 5.1.00'!AD88,'102 5.1.00'!$AM$4:$AO$55,3,FALSE))</f>
        <v>0</v>
      </c>
      <c r="W88" s="7">
        <f>(VLOOKUP('102 5.1.00'!AE88,'102 5.1.00'!$AM$4:$AO$55,3,FALSE))</f>
        <v>0</v>
      </c>
      <c r="X88" s="7">
        <f>(VLOOKUP('102 5.1.00'!AF88,'102 5.1.00'!$AM$4:$AO$55,3,FALSE))</f>
        <v>0</v>
      </c>
    </row>
    <row r="89" spans="1:24">
      <c r="A89" s="6">
        <f>(VLOOKUP('102 5.1.00'!I89,'102 5.1.00'!$AM$4:$AO$55,3,FALSE))</f>
        <v>45</v>
      </c>
      <c r="B89" s="6">
        <f>(VLOOKUP('102 5.1.00'!J89,'102 5.1.00'!$AM$4:$AO$55,3,FALSE))</f>
        <v>45</v>
      </c>
      <c r="C89" s="6">
        <f>(VLOOKUP('102 5.1.00'!K89,'102 5.1.00'!$AM$4:$AO$55,3,FALSE))</f>
        <v>45</v>
      </c>
      <c r="D89" s="6">
        <f>(VLOOKUP('102 5.1.00'!L89,'102 5.1.00'!$AM$4:$AO$55,3,FALSE))</f>
        <v>45</v>
      </c>
      <c r="E89" s="6">
        <f>(VLOOKUP('102 5.1.00'!M89,'102 5.1.00'!$AM$4:$AO$55,3,FALSE))</f>
        <v>45</v>
      </c>
      <c r="F89" s="6">
        <f>(VLOOKUP('102 5.1.00'!N89,'102 5.1.00'!$AM$4:$AO$55,3,FALSE))</f>
        <v>45</v>
      </c>
      <c r="G89" s="7">
        <f>(VLOOKUP('102 5.1.00'!O89,'102 5.1.00'!$AM$4:$AO$55,3,FALSE))</f>
        <v>0</v>
      </c>
      <c r="H89" s="7">
        <f>(VLOOKUP('102 5.1.00'!P89,'102 5.1.00'!$AM$4:$AO$55,3,FALSE))</f>
        <v>0</v>
      </c>
      <c r="I89" s="6">
        <f>(VLOOKUP('102 5.1.00'!Q89,'102 5.1.00'!$AM$4:$AO$55,3,FALSE))</f>
        <v>40</v>
      </c>
      <c r="J89" s="6">
        <f>(VLOOKUP('102 5.1.00'!R89,'102 5.1.00'!$AM$4:$AO$55,3,FALSE))</f>
        <v>40</v>
      </c>
      <c r="K89" s="6">
        <f>(VLOOKUP('102 5.1.00'!S89,'102 5.1.00'!$AM$4:$AO$55,3,FALSE))</f>
        <v>40</v>
      </c>
      <c r="L89" s="6">
        <f>(VLOOKUP('102 5.1.00'!T89,'102 5.1.00'!$AM$4:$AO$55,3,FALSE))</f>
        <v>40</v>
      </c>
      <c r="M89" s="6">
        <f>(VLOOKUP('102 5.1.00'!U89,'102 5.1.00'!$AM$4:$AO$55,3,FALSE))</f>
        <v>40</v>
      </c>
      <c r="N89" s="6">
        <f>(VLOOKUP('102 5.1.00'!V89,'102 5.1.00'!$AM$4:$AO$55,3,FALSE))</f>
        <v>0</v>
      </c>
      <c r="O89" s="7">
        <f>(VLOOKUP('102 5.1.00'!W89,'102 5.1.00'!$AM$4:$AO$55,3,FALSE))</f>
        <v>0</v>
      </c>
      <c r="P89" s="7">
        <f>(VLOOKUP('102 5.1.00'!X89,'102 5.1.00'!$AM$4:$AO$55,3,FALSE))</f>
        <v>0</v>
      </c>
      <c r="Q89" s="6">
        <f>(VLOOKUP('102 5.1.00'!Y89,'102 5.1.00'!$AM$4:$AO$55,3,FALSE))</f>
        <v>35</v>
      </c>
      <c r="R89" s="6">
        <f>(VLOOKUP('102 5.1.00'!Z89,'102 5.1.00'!$AM$4:$AO$55,3,FALSE))</f>
        <v>30</v>
      </c>
      <c r="S89" s="6">
        <f>(VLOOKUP('102 5.1.00'!AA89,'102 5.1.00'!$AM$4:$AO$55,3,FALSE))</f>
        <v>0</v>
      </c>
      <c r="T89" s="6">
        <f>(VLOOKUP('102 5.1.00'!AB89,'102 5.1.00'!$AM$4:$AO$55,3,FALSE))</f>
        <v>0</v>
      </c>
      <c r="U89" s="6">
        <f>(VLOOKUP('102 5.1.00'!AC89,'102 5.1.00'!$AM$4:$AO$55,3,FALSE))</f>
        <v>0</v>
      </c>
      <c r="V89" s="6">
        <f>(VLOOKUP('102 5.1.00'!AD89,'102 5.1.00'!$AM$4:$AO$55,3,FALSE))</f>
        <v>0</v>
      </c>
      <c r="W89" s="7">
        <f>(VLOOKUP('102 5.1.00'!AE89,'102 5.1.00'!$AM$4:$AO$55,3,FALSE))</f>
        <v>0</v>
      </c>
      <c r="X89" s="7">
        <f>(VLOOKUP('102 5.1.00'!AF89,'102 5.1.00'!$AM$4:$AO$55,3,FALSE))</f>
        <v>0</v>
      </c>
    </row>
    <row r="90" spans="1:24">
      <c r="A90" s="6">
        <f>(VLOOKUP('102 5.1.00'!I90,'102 5.1.00'!$AM$4:$AO$55,3,FALSE))</f>
        <v>45</v>
      </c>
      <c r="B90" s="6">
        <f>(VLOOKUP('102 5.1.00'!J90,'102 5.1.00'!$AM$4:$AO$55,3,FALSE))</f>
        <v>45</v>
      </c>
      <c r="C90" s="6">
        <f>(VLOOKUP('102 5.1.00'!K90,'102 5.1.00'!$AM$4:$AO$55,3,FALSE))</f>
        <v>45</v>
      </c>
      <c r="D90" s="6">
        <f>(VLOOKUP('102 5.1.00'!L90,'102 5.1.00'!$AM$4:$AO$55,3,FALSE))</f>
        <v>45</v>
      </c>
      <c r="E90" s="6">
        <f>(VLOOKUP('102 5.1.00'!M90,'102 5.1.00'!$AM$4:$AO$55,3,FALSE))</f>
        <v>45</v>
      </c>
      <c r="F90" s="6">
        <f>(VLOOKUP('102 5.1.00'!N90,'102 5.1.00'!$AM$4:$AO$55,3,FALSE))</f>
        <v>45</v>
      </c>
      <c r="G90" s="7">
        <f>(VLOOKUP('102 5.1.00'!O90,'102 5.1.00'!$AM$4:$AO$55,3,FALSE))</f>
        <v>0</v>
      </c>
      <c r="H90" s="7">
        <f>(VLOOKUP('102 5.1.00'!P90,'102 5.1.00'!$AM$4:$AO$55,3,FALSE))</f>
        <v>0</v>
      </c>
      <c r="I90" s="6">
        <f>(VLOOKUP('102 5.1.00'!Q90,'102 5.1.00'!$AM$4:$AO$55,3,FALSE))</f>
        <v>40</v>
      </c>
      <c r="J90" s="6">
        <f>(VLOOKUP('102 5.1.00'!R90,'102 5.1.00'!$AM$4:$AO$55,3,FALSE))</f>
        <v>30</v>
      </c>
      <c r="K90" s="6">
        <f>(VLOOKUP('102 5.1.00'!S90,'102 5.1.00'!$AM$4:$AO$55,3,FALSE))</f>
        <v>40</v>
      </c>
      <c r="L90" s="6">
        <f>(VLOOKUP('102 5.1.00'!T90,'102 5.1.00'!$AM$4:$AO$55,3,FALSE))</f>
        <v>40</v>
      </c>
      <c r="M90" s="6">
        <f>(VLOOKUP('102 5.1.00'!U90,'102 5.1.00'!$AM$4:$AO$55,3,FALSE))</f>
        <v>40</v>
      </c>
      <c r="N90" s="6">
        <f>(VLOOKUP('102 5.1.00'!V90,'102 5.1.00'!$AM$4:$AO$55,3,FALSE))</f>
        <v>40</v>
      </c>
      <c r="O90" s="7">
        <f>(VLOOKUP('102 5.1.00'!W90,'102 5.1.00'!$AM$4:$AO$55,3,FALSE))</f>
        <v>0</v>
      </c>
      <c r="P90" s="7">
        <f>(VLOOKUP('102 5.1.00'!X90,'102 5.1.00'!$AM$4:$AO$55,3,FALSE))</f>
        <v>0</v>
      </c>
      <c r="Q90" s="6">
        <f>(VLOOKUP('102 5.1.00'!Y90,'102 5.1.00'!$AM$4:$AO$55,3,FALSE))</f>
        <v>35</v>
      </c>
      <c r="R90" s="6">
        <f>(VLOOKUP('102 5.1.00'!Z90,'102 5.1.00'!$AM$4:$AO$55,3,FALSE))</f>
        <v>0</v>
      </c>
      <c r="S90" s="6">
        <f>(VLOOKUP('102 5.1.00'!AA90,'102 5.1.00'!$AM$4:$AO$55,3,FALSE))</f>
        <v>0</v>
      </c>
      <c r="T90" s="6">
        <f>(VLOOKUP('102 5.1.00'!AB90,'102 5.1.00'!$AM$4:$AO$55,3,FALSE))</f>
        <v>0</v>
      </c>
      <c r="U90" s="6">
        <f>(VLOOKUP('102 5.1.00'!AC90,'102 5.1.00'!$AM$4:$AO$55,3,FALSE))</f>
        <v>0</v>
      </c>
      <c r="V90" s="6">
        <f>(VLOOKUP('102 5.1.00'!AD90,'102 5.1.00'!$AM$4:$AO$55,3,FALSE))</f>
        <v>0</v>
      </c>
      <c r="W90" s="7">
        <f>(VLOOKUP('102 5.1.00'!AE90,'102 5.1.00'!$AM$4:$AO$55,3,FALSE))</f>
        <v>0</v>
      </c>
      <c r="X90" s="7">
        <f>(VLOOKUP('102 5.1.00'!AF90,'102 5.1.00'!$AM$4:$AO$55,3,FALSE))</f>
        <v>0</v>
      </c>
    </row>
    <row r="91" spans="1:24">
      <c r="A91" s="6">
        <f>(VLOOKUP('102 5.1.00'!I91,'102 5.1.00'!$AM$4:$AO$55,3,FALSE))</f>
        <v>45</v>
      </c>
      <c r="B91" s="6">
        <f>(VLOOKUP('102 5.1.00'!J91,'102 5.1.00'!$AM$4:$AO$55,3,FALSE))</f>
        <v>45</v>
      </c>
      <c r="C91" s="6">
        <f>(VLOOKUP('102 5.1.00'!K91,'102 5.1.00'!$AM$4:$AO$55,3,FALSE))</f>
        <v>45</v>
      </c>
      <c r="D91" s="6">
        <f>(VLOOKUP('102 5.1.00'!L91,'102 5.1.00'!$AM$4:$AO$55,3,FALSE))</f>
        <v>45</v>
      </c>
      <c r="E91" s="6">
        <f>(VLOOKUP('102 5.1.00'!M91,'102 5.1.00'!$AM$4:$AO$55,3,FALSE))</f>
        <v>45</v>
      </c>
      <c r="F91" s="6">
        <f>(VLOOKUP('102 5.1.00'!N91,'102 5.1.00'!$AM$4:$AO$55,3,FALSE))</f>
        <v>45</v>
      </c>
      <c r="G91" s="7">
        <f>(VLOOKUP('102 5.1.00'!O91,'102 5.1.00'!$AM$4:$AO$55,3,FALSE))</f>
        <v>0</v>
      </c>
      <c r="H91" s="7">
        <f>(VLOOKUP('102 5.1.00'!P91,'102 5.1.00'!$AM$4:$AO$55,3,FALSE))</f>
        <v>0</v>
      </c>
      <c r="I91" s="6">
        <f>(VLOOKUP('102 5.1.00'!Q91,'102 5.1.00'!$AM$4:$AO$55,3,FALSE))</f>
        <v>40</v>
      </c>
      <c r="J91" s="6">
        <f>(VLOOKUP('102 5.1.00'!R91,'102 5.1.00'!$AM$4:$AO$55,3,FALSE))</f>
        <v>40</v>
      </c>
      <c r="K91" s="6">
        <f>(VLOOKUP('102 5.1.00'!S91,'102 5.1.00'!$AM$4:$AO$55,3,FALSE))</f>
        <v>30</v>
      </c>
      <c r="L91" s="6">
        <f>(VLOOKUP('102 5.1.00'!T91,'102 5.1.00'!$AM$4:$AO$55,3,FALSE))</f>
        <v>40</v>
      </c>
      <c r="M91" s="6">
        <f>(VLOOKUP('102 5.1.00'!U91,'102 5.1.00'!$AM$4:$AO$55,3,FALSE))</f>
        <v>0</v>
      </c>
      <c r="N91" s="6">
        <f>(VLOOKUP('102 5.1.00'!V91,'102 5.1.00'!$AM$4:$AO$55,3,FALSE))</f>
        <v>0</v>
      </c>
      <c r="O91" s="7">
        <f>(VLOOKUP('102 5.1.00'!W91,'102 5.1.00'!$AM$4:$AO$55,3,FALSE))</f>
        <v>0</v>
      </c>
      <c r="P91" s="7">
        <f>(VLOOKUP('102 5.1.00'!X91,'102 5.1.00'!$AM$4:$AO$55,3,FALSE))</f>
        <v>0</v>
      </c>
      <c r="Q91" s="6">
        <f>(VLOOKUP('102 5.1.00'!Y91,'102 5.1.00'!$AM$4:$AO$55,3,FALSE))</f>
        <v>35</v>
      </c>
      <c r="R91" s="6">
        <f>(VLOOKUP('102 5.1.00'!Z91,'102 5.1.00'!$AM$4:$AO$55,3,FALSE))</f>
        <v>35</v>
      </c>
      <c r="S91" s="6">
        <f>(VLOOKUP('102 5.1.00'!AA91,'102 5.1.00'!$AM$4:$AO$55,3,FALSE))</f>
        <v>35</v>
      </c>
      <c r="T91" s="6">
        <f>(VLOOKUP('102 5.1.00'!AB91,'102 5.1.00'!$AM$4:$AO$55,3,FALSE))</f>
        <v>0</v>
      </c>
      <c r="U91" s="6">
        <f>(VLOOKUP('102 5.1.00'!AC91,'102 5.1.00'!$AM$4:$AO$55,3,FALSE))</f>
        <v>0</v>
      </c>
      <c r="V91" s="6">
        <f>(VLOOKUP('102 5.1.00'!AD91,'102 5.1.00'!$AM$4:$AO$55,3,FALSE))</f>
        <v>0</v>
      </c>
      <c r="W91" s="7">
        <f>(VLOOKUP('102 5.1.00'!AE91,'102 5.1.00'!$AM$4:$AO$55,3,FALSE))</f>
        <v>0</v>
      </c>
      <c r="X91" s="7">
        <f>(VLOOKUP('102 5.1.00'!AF91,'102 5.1.00'!$AM$4:$AO$55,3,FALSE))</f>
        <v>0</v>
      </c>
    </row>
    <row r="92" spans="1:24">
      <c r="A92" s="6">
        <f>(VLOOKUP('102 5.1.00'!I92,'102 5.1.00'!$AM$4:$AO$55,3,FALSE))</f>
        <v>45</v>
      </c>
      <c r="B92" s="6">
        <f>(VLOOKUP('102 5.1.00'!J92,'102 5.1.00'!$AM$4:$AO$55,3,FALSE))</f>
        <v>45</v>
      </c>
      <c r="C92" s="6">
        <f>(VLOOKUP('102 5.1.00'!K92,'102 5.1.00'!$AM$4:$AO$55,3,FALSE))</f>
        <v>45</v>
      </c>
      <c r="D92" s="6">
        <f>(VLOOKUP('102 5.1.00'!L92,'102 5.1.00'!$AM$4:$AO$55,3,FALSE))</f>
        <v>45</v>
      </c>
      <c r="E92" s="6">
        <f>(VLOOKUP('102 5.1.00'!M92,'102 5.1.00'!$AM$4:$AO$55,3,FALSE))</f>
        <v>45</v>
      </c>
      <c r="F92" s="6">
        <f>(VLOOKUP('102 5.1.00'!N92,'102 5.1.00'!$AM$4:$AO$55,3,FALSE))</f>
        <v>45</v>
      </c>
      <c r="G92" s="7">
        <f>(VLOOKUP('102 5.1.00'!O92,'102 5.1.00'!$AM$4:$AO$55,3,FALSE))</f>
        <v>0</v>
      </c>
      <c r="H92" s="7">
        <f>(VLOOKUP('102 5.1.00'!P92,'102 5.1.00'!$AM$4:$AO$55,3,FALSE))</f>
        <v>0</v>
      </c>
      <c r="I92" s="6">
        <f>(VLOOKUP('102 5.1.00'!Q92,'102 5.1.00'!$AM$4:$AO$55,3,FALSE))</f>
        <v>40</v>
      </c>
      <c r="J92" s="6">
        <f>(VLOOKUP('102 5.1.00'!R92,'102 5.1.00'!$AM$4:$AO$55,3,FALSE))</f>
        <v>40</v>
      </c>
      <c r="K92" s="6">
        <f>(VLOOKUP('102 5.1.00'!S92,'102 5.1.00'!$AM$4:$AO$55,3,FALSE))</f>
        <v>40</v>
      </c>
      <c r="L92" s="6">
        <f>(VLOOKUP('102 5.1.00'!T92,'102 5.1.00'!$AM$4:$AO$55,3,FALSE))</f>
        <v>30</v>
      </c>
      <c r="M92" s="6">
        <f>(VLOOKUP('102 5.1.00'!U92,'102 5.1.00'!$AM$4:$AO$55,3,FALSE))</f>
        <v>40</v>
      </c>
      <c r="N92" s="6">
        <f>(VLOOKUP('102 5.1.00'!V92,'102 5.1.00'!$AM$4:$AO$55,3,FALSE))</f>
        <v>40</v>
      </c>
      <c r="O92" s="7">
        <f>(VLOOKUP('102 5.1.00'!W92,'102 5.1.00'!$AM$4:$AO$55,3,FALSE))</f>
        <v>0</v>
      </c>
      <c r="P92" s="7">
        <f>(VLOOKUP('102 5.1.00'!X92,'102 5.1.00'!$AM$4:$AO$55,3,FALSE))</f>
        <v>0</v>
      </c>
      <c r="Q92" s="6">
        <f>(VLOOKUP('102 5.1.00'!Y92,'102 5.1.00'!$AM$4:$AO$55,3,FALSE))</f>
        <v>30</v>
      </c>
      <c r="R92" s="6">
        <f>(VLOOKUP('102 5.1.00'!Z92,'102 5.1.00'!$AM$4:$AO$55,3,FALSE))</f>
        <v>35</v>
      </c>
      <c r="S92" s="6">
        <f>(VLOOKUP('102 5.1.00'!AA92,'102 5.1.00'!$AM$4:$AO$55,3,FALSE))</f>
        <v>0</v>
      </c>
      <c r="T92" s="6">
        <f>(VLOOKUP('102 5.1.00'!AB92,'102 5.1.00'!$AM$4:$AO$55,3,FALSE))</f>
        <v>0</v>
      </c>
      <c r="U92" s="6">
        <f>(VLOOKUP('102 5.1.00'!AC92,'102 5.1.00'!$AM$4:$AO$55,3,FALSE))</f>
        <v>0</v>
      </c>
      <c r="V92" s="6">
        <f>(VLOOKUP('102 5.1.00'!AD92,'102 5.1.00'!$AM$4:$AO$55,3,FALSE))</f>
        <v>0</v>
      </c>
      <c r="W92" s="7">
        <f>(VLOOKUP('102 5.1.00'!AE92,'102 5.1.00'!$AM$4:$AO$55,3,FALSE))</f>
        <v>0</v>
      </c>
      <c r="X92" s="7">
        <f>(VLOOKUP('102 5.1.00'!AF92,'102 5.1.00'!$AM$4:$AO$55,3,FALSE))</f>
        <v>0</v>
      </c>
    </row>
    <row r="93" spans="1:24">
      <c r="A93" s="6">
        <f>(VLOOKUP('102 5.1.00'!I93,'102 5.1.00'!$AM$4:$AO$55,3,FALSE))</f>
        <v>45</v>
      </c>
      <c r="B93" s="6">
        <f>(VLOOKUP('102 5.1.00'!J93,'102 5.1.00'!$AM$4:$AO$55,3,FALSE))</f>
        <v>45</v>
      </c>
      <c r="C93" s="6">
        <f>(VLOOKUP('102 5.1.00'!K93,'102 5.1.00'!$AM$4:$AO$55,3,FALSE))</f>
        <v>45</v>
      </c>
      <c r="D93" s="6">
        <f>(VLOOKUP('102 5.1.00'!L93,'102 5.1.00'!$AM$4:$AO$55,3,FALSE))</f>
        <v>45</v>
      </c>
      <c r="E93" s="6">
        <f>(VLOOKUP('102 5.1.00'!M93,'102 5.1.00'!$AM$4:$AO$55,3,FALSE))</f>
        <v>45</v>
      </c>
      <c r="F93" s="6">
        <f>(VLOOKUP('102 5.1.00'!N93,'102 5.1.00'!$AM$4:$AO$55,3,FALSE))</f>
        <v>40</v>
      </c>
      <c r="G93" s="7">
        <f>(VLOOKUP('102 5.1.00'!O93,'102 5.1.00'!$AM$4:$AO$55,3,FALSE))</f>
        <v>0</v>
      </c>
      <c r="H93" s="7">
        <f>(VLOOKUP('102 5.1.00'!P93,'102 5.1.00'!$AM$4:$AO$55,3,FALSE))</f>
        <v>0</v>
      </c>
      <c r="I93" s="6">
        <f>(VLOOKUP('102 5.1.00'!Q93,'102 5.1.00'!$AM$4:$AO$55,3,FALSE))</f>
        <v>40</v>
      </c>
      <c r="J93" s="6">
        <f>(VLOOKUP('102 5.1.00'!R93,'102 5.1.00'!$AM$4:$AO$55,3,FALSE))</f>
        <v>40</v>
      </c>
      <c r="K93" s="6">
        <f>(VLOOKUP('102 5.1.00'!S93,'102 5.1.00'!$AM$4:$AO$55,3,FALSE))</f>
        <v>40</v>
      </c>
      <c r="L93" s="6">
        <f>(VLOOKUP('102 5.1.00'!T93,'102 5.1.00'!$AM$4:$AO$55,3,FALSE))</f>
        <v>40</v>
      </c>
      <c r="M93" s="6">
        <f>(VLOOKUP('102 5.1.00'!U93,'102 5.1.00'!$AM$4:$AO$55,3,FALSE))</f>
        <v>30</v>
      </c>
      <c r="N93" s="6">
        <f>(VLOOKUP('102 5.1.00'!V93,'102 5.1.00'!$AM$4:$AO$55,3,FALSE))</f>
        <v>0</v>
      </c>
      <c r="O93" s="7">
        <f>(VLOOKUP('102 5.1.00'!W93,'102 5.1.00'!$AM$4:$AO$55,3,FALSE))</f>
        <v>0</v>
      </c>
      <c r="P93" s="7">
        <f>(VLOOKUP('102 5.1.00'!X93,'102 5.1.00'!$AM$4:$AO$55,3,FALSE))</f>
        <v>0</v>
      </c>
      <c r="Q93" s="6">
        <f>(VLOOKUP('102 5.1.00'!Y93,'102 5.1.00'!$AM$4:$AO$55,3,FALSE))</f>
        <v>35</v>
      </c>
      <c r="R93" s="6">
        <f>(VLOOKUP('102 5.1.00'!Z93,'102 5.1.00'!$AM$4:$AO$55,3,FALSE))</f>
        <v>0</v>
      </c>
      <c r="S93" s="6">
        <f>(VLOOKUP('102 5.1.00'!AA93,'102 5.1.00'!$AM$4:$AO$55,3,FALSE))</f>
        <v>0</v>
      </c>
      <c r="T93" s="6">
        <f>(VLOOKUP('102 5.1.00'!AB93,'102 5.1.00'!$AM$4:$AO$55,3,FALSE))</f>
        <v>0</v>
      </c>
      <c r="U93" s="6">
        <f>(VLOOKUP('102 5.1.00'!AC93,'102 5.1.00'!$AM$4:$AO$55,3,FALSE))</f>
        <v>0</v>
      </c>
      <c r="V93" s="6">
        <f>(VLOOKUP('102 5.1.00'!AD93,'102 5.1.00'!$AM$4:$AO$55,3,FALSE))</f>
        <v>0</v>
      </c>
      <c r="W93" s="7">
        <f>(VLOOKUP('102 5.1.00'!AE93,'102 5.1.00'!$AM$4:$AO$55,3,FALSE))</f>
        <v>0</v>
      </c>
      <c r="X93" s="7">
        <f>(VLOOKUP('102 5.1.00'!AF93,'102 5.1.00'!$AM$4:$AO$55,3,FALSE))</f>
        <v>0</v>
      </c>
    </row>
    <row r="94" spans="1:24">
      <c r="A94" s="6">
        <f>(VLOOKUP('102 5.1.00'!I94,'102 5.1.00'!$AM$4:$AO$55,3,FALSE))</f>
        <v>30</v>
      </c>
      <c r="B94" s="6">
        <f>(VLOOKUP('102 5.1.00'!J94,'102 5.1.00'!$AM$4:$AO$55,3,FALSE))</f>
        <v>40</v>
      </c>
      <c r="C94" s="6">
        <f>(VLOOKUP('102 5.1.00'!K94,'102 5.1.00'!$AM$4:$AO$55,3,FALSE))</f>
        <v>0</v>
      </c>
      <c r="D94" s="6">
        <f>(VLOOKUP('102 5.1.00'!L94,'102 5.1.00'!$AM$4:$AO$55,3,FALSE))</f>
        <v>40</v>
      </c>
      <c r="E94" s="6">
        <f>(VLOOKUP('102 5.1.00'!M94,'102 5.1.00'!$AM$4:$AO$55,3,FALSE))</f>
        <v>40</v>
      </c>
      <c r="F94" s="6">
        <f>(VLOOKUP('102 5.1.00'!N94,'102 5.1.00'!$AM$4:$AO$55,3,FALSE))</f>
        <v>40</v>
      </c>
      <c r="G94" s="7">
        <f>(VLOOKUP('102 5.1.00'!O94,'102 5.1.00'!$AM$4:$AO$55,3,FALSE))</f>
        <v>40</v>
      </c>
      <c r="H94" s="7">
        <f>(VLOOKUP('102 5.1.00'!P94,'102 5.1.00'!$AM$4:$AO$55,3,FALSE))</f>
        <v>30</v>
      </c>
      <c r="I94" s="6">
        <f>(VLOOKUP('102 5.1.00'!Q94,'102 5.1.00'!$AM$4:$AO$55,3,FALSE))</f>
        <v>40</v>
      </c>
      <c r="J94" s="6">
        <f>(VLOOKUP('102 5.1.00'!R94,'102 5.1.00'!$AM$4:$AO$55,3,FALSE))</f>
        <v>40</v>
      </c>
      <c r="K94" s="6">
        <f>(VLOOKUP('102 5.1.00'!S94,'102 5.1.00'!$AM$4:$AO$55,3,FALSE))</f>
        <v>40</v>
      </c>
      <c r="L94" s="6">
        <f>(VLOOKUP('102 5.1.00'!T94,'102 5.1.00'!$AM$4:$AO$55,3,FALSE))</f>
        <v>40</v>
      </c>
      <c r="M94" s="6">
        <f>(VLOOKUP('102 5.1.00'!U94,'102 5.1.00'!$AM$4:$AO$55,3,FALSE))</f>
        <v>40</v>
      </c>
      <c r="N94" s="6">
        <f>(VLOOKUP('102 5.1.00'!V94,'102 5.1.00'!$AM$4:$AO$55,3,FALSE))</f>
        <v>30</v>
      </c>
      <c r="O94" s="7">
        <f>(VLOOKUP('102 5.1.00'!W94,'102 5.1.00'!$AM$4:$AO$55,3,FALSE))</f>
        <v>0</v>
      </c>
      <c r="P94" s="7">
        <f>(VLOOKUP('102 5.1.00'!X94,'102 5.1.00'!$AM$4:$AO$55,3,FALSE))</f>
        <v>0</v>
      </c>
      <c r="Q94" s="6">
        <f>(VLOOKUP('102 5.1.00'!Y94,'102 5.1.00'!$AM$4:$AO$55,3,FALSE))</f>
        <v>35</v>
      </c>
      <c r="R94" s="6">
        <f>(VLOOKUP('102 5.1.00'!Z94,'102 5.1.00'!$AM$4:$AO$55,3,FALSE))</f>
        <v>35</v>
      </c>
      <c r="S94" s="6">
        <f>(VLOOKUP('102 5.1.00'!AA94,'102 5.1.00'!$AM$4:$AO$55,3,FALSE))</f>
        <v>30</v>
      </c>
      <c r="T94" s="6">
        <f>(VLOOKUP('102 5.1.00'!AB94,'102 5.1.00'!$AM$4:$AO$55,3,FALSE))</f>
        <v>35</v>
      </c>
      <c r="U94" s="6">
        <f>(VLOOKUP('102 5.1.00'!AC94,'102 5.1.00'!$AM$4:$AO$55,3,FALSE))</f>
        <v>30</v>
      </c>
      <c r="V94" s="6">
        <f>(VLOOKUP('102 5.1.00'!AD94,'102 5.1.00'!$AM$4:$AO$55,3,FALSE))</f>
        <v>0</v>
      </c>
      <c r="W94" s="7">
        <f>(VLOOKUP('102 5.1.00'!AE94,'102 5.1.00'!$AM$4:$AO$55,3,FALSE))</f>
        <v>0</v>
      </c>
      <c r="X94" s="7">
        <f>(VLOOKUP('102 5.1.00'!AF94,'102 5.1.00'!$AM$4:$AO$55,3,FALSE))</f>
        <v>0</v>
      </c>
    </row>
  </sheetData>
  <mergeCells count="6">
    <mergeCell ref="A2:B2"/>
    <mergeCell ref="E2:H2"/>
    <mergeCell ref="I2:J2"/>
    <mergeCell ref="M2:P2"/>
    <mergeCell ref="Q2:R2"/>
    <mergeCell ref="U2:X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102 5.1.00</vt:lpstr>
      <vt:lpstr>粮草</vt:lpstr>
      <vt:lpstr>经验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Administrator</cp:lastModifiedBy>
  <dcterms:created xsi:type="dcterms:W3CDTF">2021-06-17T16:09:00Z</dcterms:created>
  <dcterms:modified xsi:type="dcterms:W3CDTF">2021-12-20T14:42:30Z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