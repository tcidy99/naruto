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316808DF-3BC2-4E26-A3C1-233D71754430}" xr6:coauthVersionLast="46" xr6:coauthVersionMax="46" xr10:uidLastSave="{00000000-0000-0000-0000-000000000000}"/>
  <bookViews>
    <workbookView xWindow="-108" yWindow="-108" windowWidth="23256" windowHeight="12576" firstSheet="5" activeTab="6" xr2:uid="{F795F130-7073-4777-9EA5-5BC922687BC8}"/>
  </bookViews>
  <sheets>
    <sheet name="102.5.1.05qq test" sheetId="20" state="hidden" r:id="rId1"/>
    <sheet name="102.5.1.05qq" sheetId="19" state="hidden" r:id="rId2"/>
    <sheet name="102.5.1.05" sheetId="17" state="hidden" r:id="rId3"/>
    <sheet name="102.5.1.04" sheetId="16" state="hidden" r:id="rId4"/>
    <sheet name="102.5.1.01" sheetId="13" state="hidden" r:id="rId5"/>
    <sheet name="6.0.01" sheetId="27" r:id="rId6"/>
    <sheet name="6.0.02" sheetId="29" r:id="rId7"/>
    <sheet name="狼" sheetId="30" r:id="rId8"/>
    <sheet name="八卦前规划1" sheetId="14" r:id="rId9"/>
    <sheet name="八卦后规划1" sheetId="15" r:id="rId10"/>
    <sheet name="八卦后规划2" sheetId="3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P4" i="29" l="1"/>
  <c r="C2" i="29" a="1"/>
  <c r="C2" i="29" s="1"/>
  <c r="F94" i="29" a="1"/>
  <c r="F94" i="29" s="1"/>
  <c r="AZ6" i="29"/>
  <c r="I5" i="31"/>
  <c r="H5" i="31"/>
  <c r="G5" i="31"/>
  <c r="I4" i="31" a="1"/>
  <c r="I4" i="31" s="1"/>
  <c r="H4" i="31" a="1"/>
  <c r="H4" i="31" s="1"/>
  <c r="G4" i="31" a="1"/>
  <c r="G4" i="31" s="1"/>
  <c r="T2" i="31" s="1"/>
  <c r="I3" i="31" a="1"/>
  <c r="I3" i="31" s="1"/>
  <c r="H3" i="31" a="1"/>
  <c r="H3" i="31" s="1"/>
  <c r="G3" i="31" a="1"/>
  <c r="G3" i="31" s="1"/>
  <c r="T1" i="31" s="1"/>
  <c r="J2" i="31"/>
  <c r="D14" i="30" a="1"/>
  <c r="D14" i="30" s="1"/>
  <c r="AV32" i="30"/>
  <c r="AT33" i="30"/>
  <c r="AT61" i="30" s="1"/>
  <c r="AT34" i="30"/>
  <c r="AT62" i="30" s="1"/>
  <c r="AT35" i="30"/>
  <c r="AT63" i="30" s="1"/>
  <c r="AT36" i="30"/>
  <c r="AT37" i="30"/>
  <c r="AT38" i="30"/>
  <c r="AT39" i="30"/>
  <c r="AT40" i="30"/>
  <c r="AT68" i="30" s="1"/>
  <c r="AT41" i="30"/>
  <c r="AT69" i="30" s="1"/>
  <c r="AT42" i="30"/>
  <c r="AT70" i="30" s="1"/>
  <c r="AT43" i="30"/>
  <c r="AT71" i="30" s="1"/>
  <c r="AT44" i="30"/>
  <c r="AT45" i="30"/>
  <c r="AT46" i="30"/>
  <c r="AT47" i="30"/>
  <c r="AT48" i="30"/>
  <c r="AT49" i="30"/>
  <c r="AT50" i="30"/>
  <c r="AT51" i="30"/>
  <c r="AT52" i="30"/>
  <c r="AT53" i="30"/>
  <c r="AT54" i="30"/>
  <c r="AT55" i="30"/>
  <c r="AT56" i="30"/>
  <c r="AT57" i="30"/>
  <c r="AT59" i="30"/>
  <c r="AT60" i="30"/>
  <c r="AT64" i="30"/>
  <c r="AT65" i="30"/>
  <c r="AT66" i="30"/>
  <c r="AT67" i="30"/>
  <c r="AT72" i="30"/>
  <c r="AT32" i="30"/>
  <c r="C2" i="30" a="1"/>
  <c r="C2" i="30" s="1"/>
  <c r="T3" i="31" l="1"/>
  <c r="S1" i="31"/>
  <c r="S2" i="31"/>
  <c r="J5" i="31"/>
  <c r="J4" i="31"/>
  <c r="G6" i="31"/>
  <c r="H6" i="31"/>
  <c r="I6" i="31"/>
  <c r="J3" i="31"/>
  <c r="F94" i="30" a="1"/>
  <c r="F94" i="30" s="1"/>
  <c r="D94" i="30" a="1"/>
  <c r="D94" i="30" s="1"/>
  <c r="F93" i="30" a="1"/>
  <c r="F93" i="30" s="1"/>
  <c r="D93" i="30" a="1"/>
  <c r="D93" i="30" s="1"/>
  <c r="F92" i="30" a="1"/>
  <c r="F92" i="30" s="1"/>
  <c r="D92" i="30" a="1"/>
  <c r="D92" i="30" s="1"/>
  <c r="F91" i="30" a="1"/>
  <c r="F91" i="30" s="1"/>
  <c r="D91" i="30" a="1"/>
  <c r="D91" i="30" s="1"/>
  <c r="F90" i="30" a="1"/>
  <c r="F90" i="30" s="1"/>
  <c r="D90" i="30" a="1"/>
  <c r="D90" i="30" s="1"/>
  <c r="F89" i="30" a="1"/>
  <c r="F89" i="30" s="1"/>
  <c r="D89" i="30" a="1"/>
  <c r="D89" i="30" s="1"/>
  <c r="F88" i="30" a="1"/>
  <c r="F88" i="30" s="1"/>
  <c r="D88" i="30" a="1"/>
  <c r="D88" i="30" s="1"/>
  <c r="F87" i="30" a="1"/>
  <c r="F87" i="30" s="1"/>
  <c r="D87" i="30" a="1"/>
  <c r="D87" i="30" s="1"/>
  <c r="F86" i="30" a="1"/>
  <c r="F86" i="30" s="1"/>
  <c r="D86" i="30" a="1"/>
  <c r="D86" i="30" s="1"/>
  <c r="F85" i="30" a="1"/>
  <c r="F85" i="30" s="1"/>
  <c r="D85" i="30" a="1"/>
  <c r="D85" i="30" s="1"/>
  <c r="F84" i="30" a="1"/>
  <c r="F84" i="30" s="1"/>
  <c r="D84" i="30" a="1"/>
  <c r="D84" i="30" s="1"/>
  <c r="F83" i="30" a="1"/>
  <c r="F83" i="30" s="1"/>
  <c r="D83" i="30" a="1"/>
  <c r="D83" i="30" s="1"/>
  <c r="F82" i="30" a="1"/>
  <c r="F82" i="30" s="1"/>
  <c r="D82" i="30" a="1"/>
  <c r="D82" i="30" s="1"/>
  <c r="F81" i="30" a="1"/>
  <c r="F81" i="30" s="1"/>
  <c r="D81" i="30" a="1"/>
  <c r="D81" i="30" s="1"/>
  <c r="F80" i="30" a="1"/>
  <c r="F80" i="30" s="1"/>
  <c r="D80" i="30" a="1"/>
  <c r="D80" i="30" s="1"/>
  <c r="F79" i="30" a="1"/>
  <c r="F79" i="30" s="1"/>
  <c r="D79" i="30" a="1"/>
  <c r="D79" i="30" s="1"/>
  <c r="F78" i="30" a="1"/>
  <c r="F78" i="30" s="1"/>
  <c r="D78" i="30" a="1"/>
  <c r="D78" i="30" s="1"/>
  <c r="F77" i="30" a="1"/>
  <c r="F77" i="30" s="1"/>
  <c r="D77" i="30" a="1"/>
  <c r="D77" i="30" s="1"/>
  <c r="F76" i="30" a="1"/>
  <c r="F76" i="30" s="1"/>
  <c r="D76" i="30" a="1"/>
  <c r="D76" i="30" s="1"/>
  <c r="F75" i="30" a="1"/>
  <c r="F75" i="30" s="1"/>
  <c r="D75" i="30" a="1"/>
  <c r="D75" i="30" s="1"/>
  <c r="F74" i="30" a="1"/>
  <c r="F74" i="30" s="1"/>
  <c r="D74" i="30" a="1"/>
  <c r="D74" i="30" s="1"/>
  <c r="F73" i="30" a="1"/>
  <c r="F73" i="30" s="1"/>
  <c r="D73" i="30" a="1"/>
  <c r="D73" i="30" s="1"/>
  <c r="F72" i="30" a="1"/>
  <c r="F72" i="30" s="1"/>
  <c r="D72" i="30" a="1"/>
  <c r="D72" i="30" s="1"/>
  <c r="F71" i="30" a="1"/>
  <c r="F71" i="30" s="1"/>
  <c r="D71" i="30" a="1"/>
  <c r="D71" i="30" s="1"/>
  <c r="F70" i="30" a="1"/>
  <c r="F70" i="30" s="1"/>
  <c r="D70" i="30" a="1"/>
  <c r="D70" i="30" s="1"/>
  <c r="F69" i="30" a="1"/>
  <c r="F69" i="30" s="1"/>
  <c r="D69" i="30" a="1"/>
  <c r="D69" i="30" s="1"/>
  <c r="F68" i="30" a="1"/>
  <c r="F68" i="30" s="1"/>
  <c r="D68" i="30" a="1"/>
  <c r="D68" i="30" s="1"/>
  <c r="F67" i="30" a="1"/>
  <c r="F67" i="30" s="1"/>
  <c r="D67" i="30" a="1"/>
  <c r="D67" i="30" s="1"/>
  <c r="F66" i="30" a="1"/>
  <c r="F66" i="30" s="1"/>
  <c r="D66" i="30" a="1"/>
  <c r="D66" i="30" s="1"/>
  <c r="F65" i="30" a="1"/>
  <c r="F65" i="30" s="1"/>
  <c r="D65" i="30" a="1"/>
  <c r="D65" i="30" s="1"/>
  <c r="F64" i="30" a="1"/>
  <c r="F64" i="30" s="1"/>
  <c r="D64" i="30" a="1"/>
  <c r="D64" i="30" s="1"/>
  <c r="F63" i="30" a="1"/>
  <c r="F63" i="30" s="1"/>
  <c r="D63" i="30" a="1"/>
  <c r="D63" i="30" s="1"/>
  <c r="F62" i="30" a="1"/>
  <c r="F62" i="30" s="1"/>
  <c r="D62" i="30" a="1"/>
  <c r="D62" i="30" s="1"/>
  <c r="F61" i="30" a="1"/>
  <c r="F61" i="30" s="1"/>
  <c r="D61" i="30" a="1"/>
  <c r="D61" i="30" s="1"/>
  <c r="F60" i="30" a="1"/>
  <c r="F60" i="30" s="1"/>
  <c r="D60" i="30" a="1"/>
  <c r="D60" i="30" s="1"/>
  <c r="F59" i="30" a="1"/>
  <c r="F59" i="30" s="1"/>
  <c r="D59" i="30" a="1"/>
  <c r="D59" i="30" s="1"/>
  <c r="F58" i="30" a="1"/>
  <c r="F58" i="30" s="1"/>
  <c r="D58" i="30" a="1"/>
  <c r="D58" i="30" s="1"/>
  <c r="F57" i="30" a="1"/>
  <c r="F57" i="30" s="1"/>
  <c r="D57" i="30" a="1"/>
  <c r="D57" i="30" s="1"/>
  <c r="F56" i="30" a="1"/>
  <c r="F56" i="30" s="1"/>
  <c r="D56" i="30" a="1"/>
  <c r="D56" i="30" s="1"/>
  <c r="F55" i="30" a="1"/>
  <c r="F55" i="30" s="1"/>
  <c r="D55" i="30" a="1"/>
  <c r="D55" i="30" s="1"/>
  <c r="F54" i="30" a="1"/>
  <c r="F54" i="30" s="1"/>
  <c r="D54" i="30" a="1"/>
  <c r="D54" i="30" s="1"/>
  <c r="F53" i="30" a="1"/>
  <c r="F53" i="30" s="1"/>
  <c r="D53" i="30" a="1"/>
  <c r="D53" i="30" s="1"/>
  <c r="F52" i="30" a="1"/>
  <c r="F52" i="30" s="1"/>
  <c r="D52" i="30" a="1"/>
  <c r="D52" i="30" s="1"/>
  <c r="F51" i="30" a="1"/>
  <c r="F51" i="30" s="1"/>
  <c r="D51" i="30" a="1"/>
  <c r="D51" i="30" s="1"/>
  <c r="F50" i="30" a="1"/>
  <c r="F50" i="30" s="1"/>
  <c r="D50" i="30" a="1"/>
  <c r="D50" i="30" s="1"/>
  <c r="F49" i="30" a="1"/>
  <c r="F49" i="30" s="1"/>
  <c r="D49" i="30" a="1"/>
  <c r="D49" i="30" s="1"/>
  <c r="F48" i="30" a="1"/>
  <c r="F48" i="30" s="1"/>
  <c r="D48" i="30" a="1"/>
  <c r="D48" i="30" s="1"/>
  <c r="F47" i="30" a="1"/>
  <c r="F47" i="30" s="1"/>
  <c r="D47" i="30" a="1"/>
  <c r="D47" i="30" s="1"/>
  <c r="F46" i="30" a="1"/>
  <c r="F46" i="30" s="1"/>
  <c r="D46" i="30" a="1"/>
  <c r="D46" i="30" s="1"/>
  <c r="F45" i="30" a="1"/>
  <c r="F45" i="30" s="1"/>
  <c r="D45" i="30" a="1"/>
  <c r="D45" i="30" s="1"/>
  <c r="F44" i="30" a="1"/>
  <c r="F44" i="30" s="1"/>
  <c r="D44" i="30" a="1"/>
  <c r="D44" i="30" s="1"/>
  <c r="F43" i="30" a="1"/>
  <c r="F43" i="30" s="1"/>
  <c r="D43" i="30" a="1"/>
  <c r="D43" i="30" s="1"/>
  <c r="F42" i="30" a="1"/>
  <c r="F42" i="30" s="1"/>
  <c r="D42" i="30" a="1"/>
  <c r="D42" i="30" s="1"/>
  <c r="AR41" i="30"/>
  <c r="AQ41" i="30"/>
  <c r="F41" i="30" a="1"/>
  <c r="F41" i="30" s="1"/>
  <c r="D41" i="30" a="1"/>
  <c r="D41" i="30" s="1"/>
  <c r="F40" i="30" a="1"/>
  <c r="F40" i="30" s="1"/>
  <c r="D40" i="30" a="1"/>
  <c r="D40" i="30" s="1"/>
  <c r="F39" i="30" a="1"/>
  <c r="F39" i="30" s="1"/>
  <c r="D39" i="30" a="1"/>
  <c r="D39" i="30" s="1"/>
  <c r="F38" i="30" a="1"/>
  <c r="F38" i="30" s="1"/>
  <c r="D38" i="30" a="1"/>
  <c r="D38" i="30" s="1"/>
  <c r="F37" i="30" a="1"/>
  <c r="F37" i="30" s="1"/>
  <c r="D37" i="30" a="1"/>
  <c r="D37" i="30" s="1"/>
  <c r="F36" i="30" a="1"/>
  <c r="F36" i="30" s="1"/>
  <c r="D36" i="30" a="1"/>
  <c r="D36" i="30" s="1"/>
  <c r="F35" i="30" a="1"/>
  <c r="F35" i="30" s="1"/>
  <c r="D35" i="30" a="1"/>
  <c r="D35" i="30" s="1"/>
  <c r="F34" i="30" a="1"/>
  <c r="F34" i="30" s="1"/>
  <c r="D34" i="30" a="1"/>
  <c r="D34" i="30" s="1"/>
  <c r="F33" i="30" a="1"/>
  <c r="F33" i="30" s="1"/>
  <c r="D33" i="30" a="1"/>
  <c r="D33" i="30" s="1"/>
  <c r="F32" i="30" a="1"/>
  <c r="F32" i="30" s="1"/>
  <c r="D32" i="30" a="1"/>
  <c r="D32" i="30" s="1"/>
  <c r="F31" i="30" a="1"/>
  <c r="F31" i="30" s="1"/>
  <c r="D31" i="30" a="1"/>
  <c r="D31" i="30" s="1"/>
  <c r="F30" i="30" a="1"/>
  <c r="F30" i="30" s="1"/>
  <c r="D30" i="30" a="1"/>
  <c r="D30" i="30" s="1"/>
  <c r="F29" i="30" a="1"/>
  <c r="F29" i="30" s="1"/>
  <c r="D29" i="30" a="1"/>
  <c r="D29" i="30" s="1"/>
  <c r="BA28" i="30"/>
  <c r="AS28" i="30"/>
  <c r="AW28" i="30" s="1"/>
  <c r="AR28" i="30"/>
  <c r="AV28" i="30" s="1"/>
  <c r="AQ28" i="30"/>
  <c r="AU28" i="30" s="1"/>
  <c r="F28" i="30" a="1"/>
  <c r="F28" i="30" s="1"/>
  <c r="D28" i="30" a="1"/>
  <c r="D28" i="30" s="1"/>
  <c r="BA27" i="30"/>
  <c r="AW27" i="30"/>
  <c r="AV27" i="30"/>
  <c r="AU27" i="30"/>
  <c r="AP27" i="30"/>
  <c r="F27" i="30" a="1"/>
  <c r="F27" i="30" s="1"/>
  <c r="D27" i="30" a="1"/>
  <c r="D27" i="30" s="1"/>
  <c r="BA26" i="30"/>
  <c r="AZ26" i="30"/>
  <c r="AW26" i="30"/>
  <c r="AS26" i="30"/>
  <c r="AR26" i="30"/>
  <c r="AV26" i="30" s="1"/>
  <c r="AQ26" i="30"/>
  <c r="AU26" i="30" s="1"/>
  <c r="AP26" i="30"/>
  <c r="F26" i="30" a="1"/>
  <c r="F26" i="30" s="1"/>
  <c r="D26" i="30" a="1"/>
  <c r="D26" i="30" s="1"/>
  <c r="BA25" i="30"/>
  <c r="AZ25" i="30"/>
  <c r="AS25" i="30"/>
  <c r="AW25" i="30" s="1"/>
  <c r="AR25" i="30"/>
  <c r="AV25" i="30" s="1"/>
  <c r="AQ25" i="30"/>
  <c r="AP25" i="30"/>
  <c r="F25" i="30" a="1"/>
  <c r="F25" i="30" s="1"/>
  <c r="D25" i="30" a="1"/>
  <c r="D25" i="30" s="1"/>
  <c r="BA24" i="30"/>
  <c r="AZ24" i="30" s="1"/>
  <c r="AS24" i="30"/>
  <c r="AW24" i="30" s="1"/>
  <c r="AR24" i="30"/>
  <c r="AV24" i="30" s="1"/>
  <c r="AQ24" i="30"/>
  <c r="AU24" i="30" s="1"/>
  <c r="AP24" i="30"/>
  <c r="F24" i="30" a="1"/>
  <c r="F24" i="30" s="1"/>
  <c r="D24" i="30" a="1"/>
  <c r="D24" i="30" s="1"/>
  <c r="BA23" i="30"/>
  <c r="AZ23" i="30"/>
  <c r="AS23" i="30"/>
  <c r="AW23" i="30" s="1"/>
  <c r="AR23" i="30"/>
  <c r="AV23" i="30" s="1"/>
  <c r="AQ23" i="30"/>
  <c r="AU23" i="30" s="1"/>
  <c r="F23" i="30" a="1"/>
  <c r="F23" i="30" s="1"/>
  <c r="D23" i="30" a="1"/>
  <c r="D23" i="30" s="1"/>
  <c r="BA22" i="30"/>
  <c r="AZ22" i="30"/>
  <c r="AS22" i="30"/>
  <c r="AW22" i="30" s="1"/>
  <c r="AR22" i="30"/>
  <c r="AV22" i="30" s="1"/>
  <c r="AQ22" i="30"/>
  <c r="AU22" i="30" s="1"/>
  <c r="F22" i="30" a="1"/>
  <c r="F22" i="30" s="1"/>
  <c r="D22" i="30" a="1"/>
  <c r="D22" i="30" s="1"/>
  <c r="BA21" i="30"/>
  <c r="AZ21" i="30"/>
  <c r="AS21" i="30"/>
  <c r="AW21" i="30" s="1"/>
  <c r="AR21" i="30"/>
  <c r="AV21" i="30" s="1"/>
  <c r="AQ21" i="30"/>
  <c r="AU21" i="30" s="1"/>
  <c r="F21" i="30" a="1"/>
  <c r="F21" i="30" s="1"/>
  <c r="D21" i="30" a="1"/>
  <c r="D21" i="30" s="1"/>
  <c r="BA20" i="30"/>
  <c r="AZ20" i="30"/>
  <c r="AS20" i="30"/>
  <c r="AW20" i="30" s="1"/>
  <c r="AR20" i="30"/>
  <c r="AV20" i="30" s="1"/>
  <c r="AQ20" i="30"/>
  <c r="F20" i="30" a="1"/>
  <c r="F20" i="30" s="1"/>
  <c r="D20" i="30" a="1"/>
  <c r="D20" i="30" s="1"/>
  <c r="BA19" i="30"/>
  <c r="AZ19" i="30"/>
  <c r="AS19" i="30"/>
  <c r="AW19" i="30" s="1"/>
  <c r="AR19" i="30"/>
  <c r="AV19" i="30" s="1"/>
  <c r="AQ19" i="30"/>
  <c r="AU19" i="30" s="1"/>
  <c r="F19" i="30" a="1"/>
  <c r="F19" i="30" s="1"/>
  <c r="D19" i="30" a="1"/>
  <c r="D19" i="30" s="1"/>
  <c r="BA18" i="30"/>
  <c r="AZ18" i="30"/>
  <c r="AS18" i="30"/>
  <c r="AW18" i="30" s="1"/>
  <c r="AR18" i="30"/>
  <c r="AV18" i="30" s="1"/>
  <c r="AQ18" i="30"/>
  <c r="AU18" i="30" s="1"/>
  <c r="F18" i="30" a="1"/>
  <c r="F18" i="30" s="1"/>
  <c r="D18" i="30" a="1"/>
  <c r="D18" i="30" s="1"/>
  <c r="BA17" i="30"/>
  <c r="AZ17" i="30"/>
  <c r="AS17" i="30"/>
  <c r="AW17" i="30" s="1"/>
  <c r="AR17" i="30"/>
  <c r="AV17" i="30" s="1"/>
  <c r="AQ17" i="30"/>
  <c r="F17" i="30" a="1"/>
  <c r="F17" i="30" s="1"/>
  <c r="D17" i="30" a="1"/>
  <c r="D17" i="30" s="1"/>
  <c r="BA16" i="30"/>
  <c r="AZ16" i="30"/>
  <c r="AS16" i="30"/>
  <c r="AW16" i="30" s="1"/>
  <c r="AR16" i="30"/>
  <c r="AV16" i="30" s="1"/>
  <c r="AQ16" i="30"/>
  <c r="AP16" i="30"/>
  <c r="F16" i="30" a="1"/>
  <c r="F16" i="30" s="1"/>
  <c r="D16" i="30" a="1"/>
  <c r="D16" i="30" s="1"/>
  <c r="BA15" i="30"/>
  <c r="AZ15" i="30"/>
  <c r="AS15" i="30"/>
  <c r="AW15" i="30" s="1"/>
  <c r="AR15" i="30"/>
  <c r="AV15" i="30" s="1"/>
  <c r="AQ15" i="30"/>
  <c r="F15" i="30" a="1"/>
  <c r="F15" i="30" s="1"/>
  <c r="D15" i="30" a="1"/>
  <c r="D15" i="30" s="1"/>
  <c r="BA14" i="30"/>
  <c r="AZ14" i="30"/>
  <c r="AS14" i="30"/>
  <c r="AW14" i="30" s="1"/>
  <c r="AR14" i="30"/>
  <c r="AV14" i="30" s="1"/>
  <c r="AQ14" i="30"/>
  <c r="F14" i="30" a="1"/>
  <c r="F14" i="30" s="1"/>
  <c r="BA13" i="30"/>
  <c r="AZ13" i="30"/>
  <c r="AS13" i="30"/>
  <c r="AW13" i="30" s="1"/>
  <c r="AR13" i="30"/>
  <c r="AV13" i="30" s="1"/>
  <c r="AQ13" i="30"/>
  <c r="AU13" i="30" s="1"/>
  <c r="F13" i="30" a="1"/>
  <c r="F13" i="30" s="1"/>
  <c r="D13" i="30" a="1"/>
  <c r="D13" i="30" s="1"/>
  <c r="BA12" i="30"/>
  <c r="AZ12" i="30"/>
  <c r="AS12" i="30"/>
  <c r="AW12" i="30" s="1"/>
  <c r="AR12" i="30"/>
  <c r="AV12" i="30" s="1"/>
  <c r="AQ12" i="30"/>
  <c r="AU12" i="30" s="1"/>
  <c r="AP12" i="30"/>
  <c r="F12" i="30" a="1"/>
  <c r="F12" i="30" s="1"/>
  <c r="D12" i="30" a="1"/>
  <c r="D12" i="30" s="1"/>
  <c r="BA11" i="30"/>
  <c r="AZ11" i="30" s="1"/>
  <c r="AS11" i="30"/>
  <c r="AW11" i="30" s="1"/>
  <c r="AR11" i="30"/>
  <c r="AV11" i="30" s="1"/>
  <c r="AQ11" i="30"/>
  <c r="AU11" i="30" s="1"/>
  <c r="AP11" i="30"/>
  <c r="F11" i="30" a="1"/>
  <c r="F11" i="30" s="1"/>
  <c r="D11" i="30" a="1"/>
  <c r="D11" i="30" s="1"/>
  <c r="BA10" i="30"/>
  <c r="AZ10" i="30"/>
  <c r="AS10" i="30"/>
  <c r="AW10" i="30" s="1"/>
  <c r="AR10" i="30"/>
  <c r="AV10" i="30" s="1"/>
  <c r="AQ10" i="30"/>
  <c r="AP10" i="30"/>
  <c r="F10" i="30" a="1"/>
  <c r="F10" i="30" s="1"/>
  <c r="D10" i="30" a="1"/>
  <c r="D10" i="30" s="1"/>
  <c r="BA9" i="30"/>
  <c r="AZ9" i="30"/>
  <c r="AS9" i="30"/>
  <c r="AW9" i="30" s="1"/>
  <c r="AR9" i="30"/>
  <c r="AV9" i="30" s="1"/>
  <c r="AQ9" i="30"/>
  <c r="AU9" i="30" s="1"/>
  <c r="F9" i="30" a="1"/>
  <c r="F9" i="30" s="1"/>
  <c r="D9" i="30" a="1"/>
  <c r="D9" i="30" s="1"/>
  <c r="BA8" i="30"/>
  <c r="AZ8" i="30"/>
  <c r="AW8" i="30"/>
  <c r="AS8" i="30"/>
  <c r="AR8" i="30"/>
  <c r="AV8" i="30" s="1"/>
  <c r="AQ8" i="30"/>
  <c r="AU8" i="30" s="1"/>
  <c r="F8" i="30" a="1"/>
  <c r="F8" i="30" s="1"/>
  <c r="D8" i="30" a="1"/>
  <c r="D8" i="30" s="1"/>
  <c r="BA7" i="30"/>
  <c r="AZ7" i="30"/>
  <c r="AS7" i="30"/>
  <c r="AW7" i="30" s="1"/>
  <c r="AR7" i="30"/>
  <c r="AV7" i="30" s="1"/>
  <c r="AQ7" i="30"/>
  <c r="F7" i="30" a="1"/>
  <c r="F7" i="30" s="1"/>
  <c r="D7" i="30" a="1"/>
  <c r="D7" i="30" s="1"/>
  <c r="BA6" i="30"/>
  <c r="AZ6" i="30"/>
  <c r="AS6" i="30"/>
  <c r="AW6" i="30" s="1"/>
  <c r="AR6" i="30"/>
  <c r="AV6" i="30" s="1"/>
  <c r="AQ6" i="30"/>
  <c r="AU6" i="30" s="1"/>
  <c r="F6" i="30" a="1"/>
  <c r="F6" i="30" s="1"/>
  <c r="D6" i="30" a="1"/>
  <c r="D6" i="30" s="1"/>
  <c r="BA5" i="30"/>
  <c r="AZ5" i="30"/>
  <c r="AS5" i="30"/>
  <c r="AW5" i="30" s="1"/>
  <c r="AR5" i="30"/>
  <c r="AV5" i="30" s="1"/>
  <c r="AQ5" i="30"/>
  <c r="AU5" i="30" s="1"/>
  <c r="AP5" i="30"/>
  <c r="F5" i="30" a="1"/>
  <c r="F5" i="30" s="1"/>
  <c r="D5" i="30" a="1"/>
  <c r="D5" i="30" s="1"/>
  <c r="BA4" i="30"/>
  <c r="AZ4" i="30" s="1"/>
  <c r="AS4" i="30"/>
  <c r="AW4" i="30" s="1"/>
  <c r="AR4" i="30"/>
  <c r="AV4" i="30" s="1"/>
  <c r="AQ4" i="30"/>
  <c r="AU4" i="30" s="1"/>
  <c r="AP4" i="30"/>
  <c r="F4" i="30" a="1"/>
  <c r="F4" i="30" s="1"/>
  <c r="D4" i="30" a="1"/>
  <c r="D4" i="30" s="1"/>
  <c r="AJ2" i="30"/>
  <c r="AI2" i="30"/>
  <c r="AH2" i="30"/>
  <c r="AG2" i="30"/>
  <c r="AB2" i="30"/>
  <c r="T2" i="30"/>
  <c r="L2" i="30"/>
  <c r="A1" i="30"/>
  <c r="AQ7" i="29"/>
  <c r="AU7" i="29" s="1"/>
  <c r="D94" i="29" a="1"/>
  <c r="D94" i="29" s="1"/>
  <c r="F93" i="29" a="1"/>
  <c r="F93" i="29" s="1"/>
  <c r="D93" i="29" a="1"/>
  <c r="D93" i="29" s="1"/>
  <c r="F92" i="29" a="1"/>
  <c r="F92" i="29" s="1"/>
  <c r="D92" i="29" a="1"/>
  <c r="D92" i="29" s="1"/>
  <c r="F91" i="29" a="1"/>
  <c r="F91" i="29" s="1"/>
  <c r="D91" i="29" a="1"/>
  <c r="D91" i="29" s="1"/>
  <c r="F90" i="29" a="1"/>
  <c r="F90" i="29" s="1"/>
  <c r="D90" i="29" a="1"/>
  <c r="D90" i="29" s="1"/>
  <c r="F89" i="29" a="1"/>
  <c r="F89" i="29" s="1"/>
  <c r="D89" i="29" a="1"/>
  <c r="D89" i="29" s="1"/>
  <c r="F88" i="29" a="1"/>
  <c r="F88" i="29" s="1"/>
  <c r="D88" i="29" a="1"/>
  <c r="D88" i="29" s="1"/>
  <c r="F87" i="29" a="1"/>
  <c r="F87" i="29" s="1"/>
  <c r="D87" i="29" a="1"/>
  <c r="D87" i="29" s="1"/>
  <c r="F86" i="29" a="1"/>
  <c r="F86" i="29" s="1"/>
  <c r="D86" i="29" a="1"/>
  <c r="D86" i="29" s="1"/>
  <c r="F85" i="29" a="1"/>
  <c r="F85" i="29" s="1"/>
  <c r="D85" i="29" a="1"/>
  <c r="D85" i="29" s="1"/>
  <c r="F84" i="29" a="1"/>
  <c r="F84" i="29" s="1"/>
  <c r="D84" i="29" a="1"/>
  <c r="D84" i="29" s="1"/>
  <c r="F83" i="29" a="1"/>
  <c r="F83" i="29" s="1"/>
  <c r="D83" i="29" a="1"/>
  <c r="D83" i="29" s="1"/>
  <c r="F82" i="29" a="1"/>
  <c r="F82" i="29" s="1"/>
  <c r="D82" i="29" a="1"/>
  <c r="D82" i="29" s="1"/>
  <c r="F81" i="29" a="1"/>
  <c r="F81" i="29" s="1"/>
  <c r="D81" i="29" a="1"/>
  <c r="D81" i="29" s="1"/>
  <c r="F80" i="29" a="1"/>
  <c r="F80" i="29" s="1"/>
  <c r="D80" i="29" a="1"/>
  <c r="D80" i="29" s="1"/>
  <c r="F79" i="29" a="1"/>
  <c r="F79" i="29" s="1"/>
  <c r="D79" i="29" a="1"/>
  <c r="D79" i="29" s="1"/>
  <c r="F78" i="29" a="1"/>
  <c r="F78" i="29" s="1"/>
  <c r="D78" i="29" a="1"/>
  <c r="D78" i="29" s="1"/>
  <c r="F77" i="29" a="1"/>
  <c r="F77" i="29" s="1"/>
  <c r="D77" i="29" a="1"/>
  <c r="D77" i="29" s="1"/>
  <c r="F76" i="29" a="1"/>
  <c r="F76" i="29" s="1"/>
  <c r="D76" i="29" a="1"/>
  <c r="D76" i="29" s="1"/>
  <c r="F75" i="29" a="1"/>
  <c r="F75" i="29" s="1"/>
  <c r="D75" i="29" a="1"/>
  <c r="D75" i="29" s="1"/>
  <c r="F74" i="29" a="1"/>
  <c r="F74" i="29" s="1"/>
  <c r="D74" i="29" a="1"/>
  <c r="D74" i="29" s="1"/>
  <c r="F73" i="29" a="1"/>
  <c r="F73" i="29" s="1"/>
  <c r="D73" i="29" a="1"/>
  <c r="D73" i="29" s="1"/>
  <c r="F72" i="29" a="1"/>
  <c r="F72" i="29" s="1"/>
  <c r="D72" i="29" a="1"/>
  <c r="D72" i="29" s="1"/>
  <c r="F71" i="29" a="1"/>
  <c r="F71" i="29" s="1"/>
  <c r="D71" i="29" a="1"/>
  <c r="D71" i="29" s="1"/>
  <c r="F70" i="29" a="1"/>
  <c r="F70" i="29" s="1"/>
  <c r="D70" i="29" a="1"/>
  <c r="D70" i="29" s="1"/>
  <c r="F69" i="29" a="1"/>
  <c r="F69" i="29" s="1"/>
  <c r="D69" i="29" a="1"/>
  <c r="D69" i="29" s="1"/>
  <c r="F68" i="29" a="1"/>
  <c r="F68" i="29" s="1"/>
  <c r="D68" i="29" a="1"/>
  <c r="D68" i="29" s="1"/>
  <c r="F67" i="29" a="1"/>
  <c r="F67" i="29" s="1"/>
  <c r="D67" i="29" a="1"/>
  <c r="D67" i="29" s="1"/>
  <c r="F66" i="29" a="1"/>
  <c r="F66" i="29" s="1"/>
  <c r="D66" i="29" a="1"/>
  <c r="D66" i="29" s="1"/>
  <c r="F65" i="29" a="1"/>
  <c r="F65" i="29" s="1"/>
  <c r="D65" i="29" a="1"/>
  <c r="D65" i="29" s="1"/>
  <c r="F64" i="29" a="1"/>
  <c r="F64" i="29" s="1"/>
  <c r="D64" i="29" a="1"/>
  <c r="D64" i="29" s="1"/>
  <c r="F63" i="29" a="1"/>
  <c r="F63" i="29" s="1"/>
  <c r="D63" i="29" a="1"/>
  <c r="D63" i="29" s="1"/>
  <c r="F62" i="29" a="1"/>
  <c r="F62" i="29" s="1"/>
  <c r="D62" i="29" a="1"/>
  <c r="D62" i="29" s="1"/>
  <c r="F61" i="29" a="1"/>
  <c r="F61" i="29" s="1"/>
  <c r="D61" i="29" a="1"/>
  <c r="D61" i="29" s="1"/>
  <c r="F60" i="29" a="1"/>
  <c r="F60" i="29" s="1"/>
  <c r="D60" i="29" a="1"/>
  <c r="D60" i="29" s="1"/>
  <c r="F59" i="29" a="1"/>
  <c r="F59" i="29" s="1"/>
  <c r="D59" i="29" a="1"/>
  <c r="D59" i="29" s="1"/>
  <c r="F58" i="29" a="1"/>
  <c r="F58" i="29" s="1"/>
  <c r="D58" i="29" a="1"/>
  <c r="D58" i="29" s="1"/>
  <c r="F57" i="29" a="1"/>
  <c r="F57" i="29" s="1"/>
  <c r="D57" i="29" a="1"/>
  <c r="D57" i="29" s="1"/>
  <c r="F56" i="29" a="1"/>
  <c r="F56" i="29" s="1"/>
  <c r="D56" i="29" a="1"/>
  <c r="D56" i="29" s="1"/>
  <c r="F55" i="29" a="1"/>
  <c r="F55" i="29" s="1"/>
  <c r="D55" i="29" a="1"/>
  <c r="D55" i="29" s="1"/>
  <c r="F54" i="29" a="1"/>
  <c r="F54" i="29" s="1"/>
  <c r="D54" i="29" a="1"/>
  <c r="D54" i="29" s="1"/>
  <c r="F53" i="29" a="1"/>
  <c r="F53" i="29" s="1"/>
  <c r="D53" i="29" a="1"/>
  <c r="D53" i="29" s="1"/>
  <c r="F52" i="29" a="1"/>
  <c r="F52" i="29" s="1"/>
  <c r="D52" i="29" a="1"/>
  <c r="D52" i="29" s="1"/>
  <c r="F51" i="29" a="1"/>
  <c r="F51" i="29" s="1"/>
  <c r="D51" i="29" a="1"/>
  <c r="D51" i="29" s="1"/>
  <c r="F50" i="29" a="1"/>
  <c r="F50" i="29" s="1"/>
  <c r="D50" i="29" a="1"/>
  <c r="D50" i="29" s="1"/>
  <c r="F49" i="29" a="1"/>
  <c r="F49" i="29" s="1"/>
  <c r="D49" i="29" a="1"/>
  <c r="D49" i="29" s="1"/>
  <c r="F48" i="29" a="1"/>
  <c r="F48" i="29" s="1"/>
  <c r="D48" i="29" a="1"/>
  <c r="D48" i="29" s="1"/>
  <c r="F47" i="29" a="1"/>
  <c r="F47" i="29" s="1"/>
  <c r="D47" i="29" a="1"/>
  <c r="D47" i="29" s="1"/>
  <c r="F46" i="29" a="1"/>
  <c r="F46" i="29" s="1"/>
  <c r="D46" i="29" a="1"/>
  <c r="D46" i="29" s="1"/>
  <c r="F45" i="29" a="1"/>
  <c r="F45" i="29" s="1"/>
  <c r="D45" i="29" a="1"/>
  <c r="D45" i="29" s="1"/>
  <c r="F44" i="29" a="1"/>
  <c r="F44" i="29" s="1"/>
  <c r="D44" i="29" a="1"/>
  <c r="D44" i="29" s="1"/>
  <c r="F43" i="29" a="1"/>
  <c r="F43" i="29" s="1"/>
  <c r="D43" i="29" a="1"/>
  <c r="D43" i="29" s="1"/>
  <c r="F42" i="29" a="1"/>
  <c r="F42" i="29" s="1"/>
  <c r="D42" i="29" a="1"/>
  <c r="D42" i="29" s="1"/>
  <c r="AR41" i="29"/>
  <c r="AQ41" i="29"/>
  <c r="F41" i="29" a="1"/>
  <c r="F41" i="29" s="1"/>
  <c r="D41" i="29" a="1"/>
  <c r="D41" i="29" s="1"/>
  <c r="F40" i="29" a="1"/>
  <c r="F40" i="29" s="1"/>
  <c r="D40" i="29" a="1"/>
  <c r="D40" i="29" s="1"/>
  <c r="F39" i="29" a="1"/>
  <c r="F39" i="29" s="1"/>
  <c r="D39" i="29" a="1"/>
  <c r="D39" i="29" s="1"/>
  <c r="F38" i="29" a="1"/>
  <c r="F38" i="29" s="1"/>
  <c r="D38" i="29" a="1"/>
  <c r="D38" i="29" s="1"/>
  <c r="F37" i="29" a="1"/>
  <c r="F37" i="29" s="1"/>
  <c r="D37" i="29" a="1"/>
  <c r="D37" i="29" s="1"/>
  <c r="F36" i="29" a="1"/>
  <c r="F36" i="29" s="1"/>
  <c r="D36" i="29" a="1"/>
  <c r="D36" i="29" s="1"/>
  <c r="F35" i="29" a="1"/>
  <c r="F35" i="29" s="1"/>
  <c r="D35" i="29" a="1"/>
  <c r="D35" i="29" s="1"/>
  <c r="F34" i="29" a="1"/>
  <c r="F34" i="29" s="1"/>
  <c r="D34" i="29" a="1"/>
  <c r="D34" i="29" s="1"/>
  <c r="F33" i="29" a="1"/>
  <c r="F33" i="29" s="1"/>
  <c r="D33" i="29" a="1"/>
  <c r="D33" i="29" s="1"/>
  <c r="F32" i="29" a="1"/>
  <c r="F32" i="29" s="1"/>
  <c r="D32" i="29" a="1"/>
  <c r="D32" i="29" s="1"/>
  <c r="F31" i="29" a="1"/>
  <c r="F31" i="29" s="1"/>
  <c r="D31" i="29" a="1"/>
  <c r="D31" i="29" s="1"/>
  <c r="F30" i="29" a="1"/>
  <c r="F30" i="29" s="1"/>
  <c r="D30" i="29" a="1"/>
  <c r="D30" i="29" s="1"/>
  <c r="F29" i="29" a="1"/>
  <c r="F29" i="29" s="1"/>
  <c r="D29" i="29" a="1"/>
  <c r="D29" i="29" s="1"/>
  <c r="BA28" i="29"/>
  <c r="AS28" i="29"/>
  <c r="AW28" i="29" s="1"/>
  <c r="AR28" i="29"/>
  <c r="AV28" i="29" s="1"/>
  <c r="AQ28" i="29"/>
  <c r="AU28" i="29" s="1"/>
  <c r="F28" i="29" a="1"/>
  <c r="F28" i="29" s="1"/>
  <c r="D28" i="29" a="1"/>
  <c r="D28" i="29" s="1"/>
  <c r="BA27" i="29"/>
  <c r="AW27" i="29"/>
  <c r="AV27" i="29"/>
  <c r="AU27" i="29"/>
  <c r="AP27" i="29"/>
  <c r="F27" i="29" a="1"/>
  <c r="F27" i="29" s="1"/>
  <c r="D27" i="29" a="1"/>
  <c r="D27" i="29" s="1"/>
  <c r="BA26" i="29"/>
  <c r="AZ26" i="29"/>
  <c r="AS26" i="29"/>
  <c r="AW26" i="29" s="1"/>
  <c r="AR26" i="29"/>
  <c r="AV26" i="29" s="1"/>
  <c r="AQ26" i="29"/>
  <c r="AU26" i="29" s="1"/>
  <c r="AP26" i="29"/>
  <c r="F26" i="29" a="1"/>
  <c r="F26" i="29" s="1"/>
  <c r="D26" i="29" a="1"/>
  <c r="D26" i="29" s="1"/>
  <c r="BA25" i="29"/>
  <c r="AZ25" i="29" s="1"/>
  <c r="AS25" i="29"/>
  <c r="AW25" i="29" s="1"/>
  <c r="AR25" i="29"/>
  <c r="AV25" i="29" s="1"/>
  <c r="AQ25" i="29"/>
  <c r="AP25" i="29"/>
  <c r="F25" i="29" a="1"/>
  <c r="F25" i="29" s="1"/>
  <c r="D25" i="29" a="1"/>
  <c r="D25" i="29" s="1"/>
  <c r="BA24" i="29"/>
  <c r="AZ24" i="29" s="1"/>
  <c r="AS24" i="29"/>
  <c r="AW24" i="29" s="1"/>
  <c r="AR24" i="29"/>
  <c r="AV24" i="29" s="1"/>
  <c r="AQ24" i="29"/>
  <c r="AU24" i="29" s="1"/>
  <c r="AP24" i="29"/>
  <c r="F24" i="29" a="1"/>
  <c r="F24" i="29" s="1"/>
  <c r="D24" i="29" a="1"/>
  <c r="D24" i="29" s="1"/>
  <c r="BA23" i="29"/>
  <c r="AZ23" i="29" s="1"/>
  <c r="AS23" i="29"/>
  <c r="AW23" i="29" s="1"/>
  <c r="AR23" i="29"/>
  <c r="AV23" i="29" s="1"/>
  <c r="AQ23" i="29"/>
  <c r="AU23" i="29" s="1"/>
  <c r="F23" i="29" a="1"/>
  <c r="F23" i="29" s="1"/>
  <c r="D23" i="29" a="1"/>
  <c r="D23" i="29" s="1"/>
  <c r="BA22" i="29"/>
  <c r="AZ22" i="29" s="1"/>
  <c r="AS22" i="29"/>
  <c r="AW22" i="29" s="1"/>
  <c r="AR22" i="29"/>
  <c r="AV22" i="29" s="1"/>
  <c r="AQ22" i="29"/>
  <c r="AU22" i="29" s="1"/>
  <c r="F22" i="29" a="1"/>
  <c r="F22" i="29" s="1"/>
  <c r="D22" i="29" a="1"/>
  <c r="D22" i="29" s="1"/>
  <c r="BA21" i="29"/>
  <c r="AZ21" i="29"/>
  <c r="AS21" i="29"/>
  <c r="AW21" i="29" s="1"/>
  <c r="AR21" i="29"/>
  <c r="AV21" i="29" s="1"/>
  <c r="AQ21" i="29"/>
  <c r="F21" i="29" a="1"/>
  <c r="F21" i="29" s="1"/>
  <c r="D21" i="29" a="1"/>
  <c r="D21" i="29" s="1"/>
  <c r="BA20" i="29"/>
  <c r="AZ20" i="29" s="1"/>
  <c r="AS20" i="29"/>
  <c r="AW20" i="29" s="1"/>
  <c r="AR20" i="29"/>
  <c r="AV20" i="29" s="1"/>
  <c r="AQ20" i="29"/>
  <c r="AU20" i="29" s="1"/>
  <c r="F20" i="29" a="1"/>
  <c r="F20" i="29" s="1"/>
  <c r="D20" i="29" a="1"/>
  <c r="D20" i="29" s="1"/>
  <c r="BA19" i="29"/>
  <c r="AZ19" i="29" s="1"/>
  <c r="AS19" i="29"/>
  <c r="AW19" i="29" s="1"/>
  <c r="AR19" i="29"/>
  <c r="AV19" i="29" s="1"/>
  <c r="AQ19" i="29"/>
  <c r="AU19" i="29" s="1"/>
  <c r="F19" i="29" a="1"/>
  <c r="F19" i="29" s="1"/>
  <c r="D19" i="29" a="1"/>
  <c r="D19" i="29" s="1"/>
  <c r="BA18" i="29"/>
  <c r="AZ18" i="29" s="1"/>
  <c r="AS18" i="29"/>
  <c r="AW18" i="29" s="1"/>
  <c r="AR18" i="29"/>
  <c r="AV18" i="29" s="1"/>
  <c r="AQ18" i="29"/>
  <c r="AU18" i="29" s="1"/>
  <c r="F18" i="29" a="1"/>
  <c r="F18" i="29" s="1"/>
  <c r="D18" i="29" a="1"/>
  <c r="D18" i="29" s="1"/>
  <c r="BA17" i="29"/>
  <c r="AZ17" i="29"/>
  <c r="AS17" i="29"/>
  <c r="AW17" i="29" s="1"/>
  <c r="AR17" i="29"/>
  <c r="AV17" i="29" s="1"/>
  <c r="AQ17" i="29"/>
  <c r="F17" i="29" a="1"/>
  <c r="F17" i="29" s="1"/>
  <c r="D17" i="29" a="1"/>
  <c r="D17" i="29" s="1"/>
  <c r="BA16" i="29"/>
  <c r="AZ16" i="29" s="1"/>
  <c r="AS16" i="29"/>
  <c r="AW16" i="29" s="1"/>
  <c r="AR16" i="29"/>
  <c r="AV16" i="29" s="1"/>
  <c r="AQ16" i="29"/>
  <c r="AP16" i="29"/>
  <c r="F16" i="29"/>
  <c r="F16" i="29" a="1"/>
  <c r="D16" i="29" a="1"/>
  <c r="D16" i="29" s="1"/>
  <c r="BA15" i="29"/>
  <c r="AZ15" i="29" s="1"/>
  <c r="AS15" i="29"/>
  <c r="AW15" i="29" s="1"/>
  <c r="AR15" i="29"/>
  <c r="AV15" i="29" s="1"/>
  <c r="AQ15" i="29"/>
  <c r="F15" i="29" a="1"/>
  <c r="F15" i="29" s="1"/>
  <c r="D15" i="29" a="1"/>
  <c r="D15" i="29" s="1"/>
  <c r="BA14" i="29"/>
  <c r="AZ14" i="29" s="1"/>
  <c r="AS14" i="29"/>
  <c r="AW14" i="29" s="1"/>
  <c r="AR14" i="29"/>
  <c r="AV14" i="29" s="1"/>
  <c r="AQ14" i="29"/>
  <c r="F14" i="29" a="1"/>
  <c r="F14" i="29" s="1"/>
  <c r="D14" i="29" a="1"/>
  <c r="D14" i="29" s="1"/>
  <c r="BA13" i="29"/>
  <c r="AZ13" i="29"/>
  <c r="AS13" i="29"/>
  <c r="AW13" i="29" s="1"/>
  <c r="AR13" i="29"/>
  <c r="AV13" i="29" s="1"/>
  <c r="AQ13" i="29"/>
  <c r="F13" i="29" a="1"/>
  <c r="F13" i="29" s="1"/>
  <c r="D13" i="29" a="1"/>
  <c r="D13" i="29" s="1"/>
  <c r="BA12" i="29"/>
  <c r="AZ12" i="29"/>
  <c r="AS12" i="29"/>
  <c r="AW12" i="29" s="1"/>
  <c r="AR12" i="29"/>
  <c r="AV12" i="29" s="1"/>
  <c r="AQ12" i="29"/>
  <c r="AU12" i="29" s="1"/>
  <c r="AP12" i="29"/>
  <c r="F12" i="29" a="1"/>
  <c r="F12" i="29" s="1"/>
  <c r="D12" i="29" a="1"/>
  <c r="D12" i="29" s="1"/>
  <c r="BA11" i="29"/>
  <c r="AZ11" i="29" s="1"/>
  <c r="AS11" i="29"/>
  <c r="AW11" i="29" s="1"/>
  <c r="AR11" i="29"/>
  <c r="AV11" i="29" s="1"/>
  <c r="AQ11" i="29"/>
  <c r="AU11" i="29" s="1"/>
  <c r="AP11" i="29"/>
  <c r="F11" i="29" a="1"/>
  <c r="F11" i="29" s="1"/>
  <c r="D11" i="29" a="1"/>
  <c r="D11" i="29" s="1"/>
  <c r="BA10" i="29"/>
  <c r="AZ10" i="29"/>
  <c r="AS10" i="29"/>
  <c r="AW10" i="29" s="1"/>
  <c r="AR10" i="29"/>
  <c r="AV10" i="29" s="1"/>
  <c r="AQ10" i="29"/>
  <c r="AP10" i="29"/>
  <c r="F10" i="29" a="1"/>
  <c r="F10" i="29" s="1"/>
  <c r="D10" i="29"/>
  <c r="D10" i="29" a="1"/>
  <c r="BA9" i="29"/>
  <c r="AZ9" i="29"/>
  <c r="AS9" i="29"/>
  <c r="AW9" i="29" s="1"/>
  <c r="AR9" i="29"/>
  <c r="AV9" i="29" s="1"/>
  <c r="AQ9" i="29"/>
  <c r="AU9" i="29" s="1"/>
  <c r="F9" i="29"/>
  <c r="F9" i="29" a="1"/>
  <c r="D9" i="29" a="1"/>
  <c r="D9" i="29" s="1"/>
  <c r="BA8" i="29"/>
  <c r="AZ8" i="29" s="1"/>
  <c r="AS8" i="29"/>
  <c r="AW8" i="29" s="1"/>
  <c r="AR8" i="29"/>
  <c r="AV8" i="29" s="1"/>
  <c r="AQ8" i="29"/>
  <c r="F8" i="29" a="1"/>
  <c r="F8" i="29" s="1"/>
  <c r="D8" i="29" a="1"/>
  <c r="D8" i="29" s="1"/>
  <c r="BA7" i="29"/>
  <c r="AZ7" i="29" s="1"/>
  <c r="AS7" i="29"/>
  <c r="AW7" i="29" s="1"/>
  <c r="AR7" i="29"/>
  <c r="AV7" i="29" s="1"/>
  <c r="F7" i="29" a="1"/>
  <c r="F7" i="29" s="1"/>
  <c r="D7" i="29" a="1"/>
  <c r="D7" i="29" s="1"/>
  <c r="BA6" i="29"/>
  <c r="AS6" i="29"/>
  <c r="AW6" i="29" s="1"/>
  <c r="AR6" i="29"/>
  <c r="AV6" i="29" s="1"/>
  <c r="AQ6" i="29"/>
  <c r="AU6" i="29" s="1"/>
  <c r="F6" i="29" a="1"/>
  <c r="F6" i="29" s="1"/>
  <c r="D6" i="29"/>
  <c r="D6" i="29" a="1"/>
  <c r="BA5" i="29"/>
  <c r="AZ5" i="29"/>
  <c r="AS5" i="29"/>
  <c r="AW5" i="29" s="1"/>
  <c r="AR5" i="29"/>
  <c r="AV5" i="29" s="1"/>
  <c r="AQ5" i="29"/>
  <c r="AU5" i="29" s="1"/>
  <c r="AP5" i="29"/>
  <c r="F5" i="29" a="1"/>
  <c r="F5" i="29" s="1"/>
  <c r="D5" i="29"/>
  <c r="D5" i="29" a="1"/>
  <c r="BA4" i="29"/>
  <c r="AZ4" i="29" s="1"/>
  <c r="AS4" i="29"/>
  <c r="AW4" i="29" s="1"/>
  <c r="AR4" i="29"/>
  <c r="AV4" i="29" s="1"/>
  <c r="AQ4" i="29"/>
  <c r="AU4" i="29" s="1"/>
  <c r="F4" i="29" a="1"/>
  <c r="F4" i="29" s="1"/>
  <c r="D4" i="29" a="1"/>
  <c r="D4" i="29" s="1"/>
  <c r="AJ2" i="29"/>
  <c r="AI2" i="29"/>
  <c r="AH2" i="29"/>
  <c r="AG2" i="29"/>
  <c r="AB2" i="29"/>
  <c r="T2" i="29"/>
  <c r="L2" i="29"/>
  <c r="A1" i="29"/>
  <c r="S3" i="31" l="1"/>
  <c r="K13" i="31"/>
  <c r="K12" i="31"/>
  <c r="K11" i="31"/>
  <c r="K10" i="31"/>
  <c r="J6" i="31"/>
  <c r="AT7" i="30"/>
  <c r="AT14" i="30"/>
  <c r="AT8" i="30"/>
  <c r="AT17" i="30"/>
  <c r="AT20" i="30"/>
  <c r="AT16" i="30"/>
  <c r="AT10" i="30"/>
  <c r="AT13" i="30"/>
  <c r="AT25" i="30"/>
  <c r="AT15" i="30"/>
  <c r="AU7" i="30"/>
  <c r="AT19" i="30"/>
  <c r="AU15" i="30"/>
  <c r="AU14" i="30"/>
  <c r="AU25" i="30"/>
  <c r="AT23" i="30"/>
  <c r="AT26" i="30"/>
  <c r="E41" i="30"/>
  <c r="E39" i="30"/>
  <c r="E37" i="30"/>
  <c r="E35" i="30"/>
  <c r="E33" i="30"/>
  <c r="E31" i="30"/>
  <c r="E25" i="30"/>
  <c r="E21" i="30"/>
  <c r="E17" i="30"/>
  <c r="E13" i="30"/>
  <c r="E10" i="30"/>
  <c r="E6" i="30"/>
  <c r="E29" i="30"/>
  <c r="E94" i="30"/>
  <c r="E92" i="30"/>
  <c r="E90" i="30"/>
  <c r="E88" i="30"/>
  <c r="E86" i="30"/>
  <c r="E84" i="30"/>
  <c r="E82" i="30"/>
  <c r="E80" i="30"/>
  <c r="E78" i="30"/>
  <c r="E76" i="30"/>
  <c r="E74" i="30"/>
  <c r="E72" i="30"/>
  <c r="E70" i="30"/>
  <c r="E68" i="30"/>
  <c r="E66" i="30"/>
  <c r="E64" i="30"/>
  <c r="E62" i="30"/>
  <c r="E60" i="30"/>
  <c r="E58" i="30"/>
  <c r="E56" i="30"/>
  <c r="E54" i="30"/>
  <c r="E52" i="30"/>
  <c r="E50" i="30"/>
  <c r="E48" i="30"/>
  <c r="E46" i="30"/>
  <c r="E44" i="30"/>
  <c r="E42" i="30"/>
  <c r="E27" i="30"/>
  <c r="E24" i="30"/>
  <c r="E20" i="30"/>
  <c r="E40" i="30"/>
  <c r="E38" i="30"/>
  <c r="E36" i="30"/>
  <c r="E34" i="30"/>
  <c r="E32" i="30"/>
  <c r="E12" i="30"/>
  <c r="E5" i="30"/>
  <c r="E28" i="30"/>
  <c r="E16" i="30"/>
  <c r="E9" i="30"/>
  <c r="E30" i="30"/>
  <c r="E23" i="30"/>
  <c r="E19" i="30"/>
  <c r="E26" i="30"/>
  <c r="E15" i="30"/>
  <c r="E8" i="30"/>
  <c r="E93" i="30"/>
  <c r="E91" i="30"/>
  <c r="E89" i="30"/>
  <c r="E87" i="30"/>
  <c r="E85" i="30"/>
  <c r="E83" i="30"/>
  <c r="E81" i="30"/>
  <c r="E79" i="30"/>
  <c r="E77" i="30"/>
  <c r="E75" i="30"/>
  <c r="E73" i="30"/>
  <c r="E71" i="30"/>
  <c r="E69" i="30"/>
  <c r="E67" i="30"/>
  <c r="E65" i="30"/>
  <c r="E63" i="30"/>
  <c r="E61" i="30"/>
  <c r="E59" i="30"/>
  <c r="E57" i="30"/>
  <c r="E55" i="30"/>
  <c r="E53" i="30"/>
  <c r="E51" i="30"/>
  <c r="E49" i="30"/>
  <c r="E47" i="30"/>
  <c r="E45" i="30"/>
  <c r="E43" i="30"/>
  <c r="E22" i="30"/>
  <c r="E18" i="30"/>
  <c r="E11" i="30"/>
  <c r="E4" i="30"/>
  <c r="E14" i="30"/>
  <c r="E7" i="30"/>
  <c r="G29" i="30"/>
  <c r="G94" i="30"/>
  <c r="G92" i="30"/>
  <c r="G90" i="30"/>
  <c r="G88" i="30"/>
  <c r="G86" i="30"/>
  <c r="G84" i="30"/>
  <c r="G82" i="30"/>
  <c r="G80" i="30"/>
  <c r="G78" i="30"/>
  <c r="G76" i="30"/>
  <c r="G74" i="30"/>
  <c r="G72" i="30"/>
  <c r="G70" i="30"/>
  <c r="G68" i="30"/>
  <c r="G66" i="30"/>
  <c r="G64" i="30"/>
  <c r="G62" i="30"/>
  <c r="G60" i="30"/>
  <c r="G58" i="30"/>
  <c r="G56" i="30"/>
  <c r="G54" i="30"/>
  <c r="G52" i="30"/>
  <c r="G50" i="30"/>
  <c r="G48" i="30"/>
  <c r="G46" i="30"/>
  <c r="G44" i="30"/>
  <c r="G42" i="30"/>
  <c r="G27" i="30"/>
  <c r="G24" i="30"/>
  <c r="G20" i="30"/>
  <c r="G28" i="30"/>
  <c r="G16" i="30"/>
  <c r="G9" i="30"/>
  <c r="G40" i="30"/>
  <c r="G38" i="30"/>
  <c r="G36" i="30"/>
  <c r="G34" i="30"/>
  <c r="G32" i="30"/>
  <c r="G12" i="30"/>
  <c r="G5" i="30"/>
  <c r="G30" i="30"/>
  <c r="G23" i="30"/>
  <c r="G19" i="30"/>
  <c r="G26" i="30"/>
  <c r="G15" i="30"/>
  <c r="G8" i="30"/>
  <c r="G93" i="30"/>
  <c r="G91" i="30"/>
  <c r="G89" i="30"/>
  <c r="G87" i="30"/>
  <c r="G85" i="30"/>
  <c r="G83" i="30"/>
  <c r="G81" i="30"/>
  <c r="G79" i="30"/>
  <c r="G77" i="30"/>
  <c r="G75" i="30"/>
  <c r="G73" i="30"/>
  <c r="G71" i="30"/>
  <c r="G69" i="30"/>
  <c r="G67" i="30"/>
  <c r="G65" i="30"/>
  <c r="G63" i="30"/>
  <c r="G61" i="30"/>
  <c r="G59" i="30"/>
  <c r="G57" i="30"/>
  <c r="G55" i="30"/>
  <c r="G53" i="30"/>
  <c r="G51" i="30"/>
  <c r="G49" i="30"/>
  <c r="G47" i="30"/>
  <c r="G45" i="30"/>
  <c r="G43" i="30"/>
  <c r="G22" i="30"/>
  <c r="G18" i="30"/>
  <c r="G11" i="30"/>
  <c r="G4" i="30"/>
  <c r="G14" i="30"/>
  <c r="G7" i="30"/>
  <c r="F2" i="30"/>
  <c r="G25" i="30"/>
  <c r="G41" i="30"/>
  <c r="G39" i="30"/>
  <c r="G37" i="30"/>
  <c r="G35" i="30"/>
  <c r="G33" i="30"/>
  <c r="G31" i="30"/>
  <c r="G21" i="30"/>
  <c r="G17" i="30"/>
  <c r="G13" i="30"/>
  <c r="G10" i="30"/>
  <c r="G6" i="30"/>
  <c r="AT5" i="30"/>
  <c r="AT9" i="30"/>
  <c r="AT12" i="30"/>
  <c r="AT28" i="30"/>
  <c r="AU16" i="30"/>
  <c r="AU20" i="30"/>
  <c r="AT24" i="30"/>
  <c r="AT6" i="30"/>
  <c r="AT21" i="30"/>
  <c r="AU10" i="30"/>
  <c r="AU17" i="30"/>
  <c r="AT18" i="30"/>
  <c r="AT22" i="30"/>
  <c r="AT4" i="30"/>
  <c r="AT11" i="30"/>
  <c r="AT15" i="29"/>
  <c r="AT10" i="29"/>
  <c r="AT25" i="29"/>
  <c r="AT8" i="29"/>
  <c r="AT16" i="29"/>
  <c r="AT21" i="29"/>
  <c r="AT14" i="29"/>
  <c r="AT13" i="29"/>
  <c r="AT17" i="29"/>
  <c r="AT19" i="29"/>
  <c r="AU8" i="29"/>
  <c r="AU13" i="29"/>
  <c r="AT23" i="29"/>
  <c r="AU15" i="29"/>
  <c r="AT26" i="29"/>
  <c r="AU14" i="29"/>
  <c r="AU25" i="29"/>
  <c r="E21" i="29"/>
  <c r="E17" i="29"/>
  <c r="E29" i="29"/>
  <c r="E13" i="29"/>
  <c r="E10" i="29"/>
  <c r="E6" i="29"/>
  <c r="E12" i="29"/>
  <c r="E94" i="29"/>
  <c r="E92" i="29"/>
  <c r="E90" i="29"/>
  <c r="E88" i="29"/>
  <c r="E86" i="29"/>
  <c r="E84" i="29"/>
  <c r="E82" i="29"/>
  <c r="E80" i="29"/>
  <c r="E78" i="29"/>
  <c r="E76" i="29"/>
  <c r="E74" i="29"/>
  <c r="E72" i="29"/>
  <c r="E70" i="29"/>
  <c r="E68" i="29"/>
  <c r="E66" i="29"/>
  <c r="E64" i="29"/>
  <c r="E62" i="29"/>
  <c r="E60" i="29"/>
  <c r="E58" i="29"/>
  <c r="E56" i="29"/>
  <c r="E54" i="29"/>
  <c r="E52" i="29"/>
  <c r="E50" i="29"/>
  <c r="E48" i="29"/>
  <c r="E46" i="29"/>
  <c r="E44" i="29"/>
  <c r="E42" i="29"/>
  <c r="E27" i="29"/>
  <c r="E24" i="29"/>
  <c r="E20" i="29"/>
  <c r="E5" i="29"/>
  <c r="E28" i="29"/>
  <c r="E16" i="29"/>
  <c r="E9" i="29"/>
  <c r="E40" i="29"/>
  <c r="E38" i="29"/>
  <c r="E36" i="29"/>
  <c r="E34" i="29"/>
  <c r="E32" i="29"/>
  <c r="E30" i="29"/>
  <c r="E23" i="29"/>
  <c r="E19" i="29"/>
  <c r="E26" i="29"/>
  <c r="E15" i="29"/>
  <c r="E8" i="29"/>
  <c r="E93" i="29"/>
  <c r="E91" i="29"/>
  <c r="E89" i="29"/>
  <c r="E87" i="29"/>
  <c r="E85" i="29"/>
  <c r="E83" i="29"/>
  <c r="E81" i="29"/>
  <c r="E79" i="29"/>
  <c r="E77" i="29"/>
  <c r="E75" i="29"/>
  <c r="E73" i="29"/>
  <c r="E71" i="29"/>
  <c r="E69" i="29"/>
  <c r="E67" i="29"/>
  <c r="E65" i="29"/>
  <c r="E63" i="29"/>
  <c r="E61" i="29"/>
  <c r="E59" i="29"/>
  <c r="E57" i="29"/>
  <c r="E55" i="29"/>
  <c r="E53" i="29"/>
  <c r="E51" i="29"/>
  <c r="E49" i="29"/>
  <c r="E47" i="29"/>
  <c r="E45" i="29"/>
  <c r="E43" i="29"/>
  <c r="E22" i="29"/>
  <c r="E18" i="29"/>
  <c r="E11" i="29"/>
  <c r="E4" i="29"/>
  <c r="E41" i="29"/>
  <c r="E39" i="29"/>
  <c r="E37" i="29"/>
  <c r="E35" i="29"/>
  <c r="E33" i="29"/>
  <c r="E31" i="29"/>
  <c r="E25" i="29"/>
  <c r="E14" i="29"/>
  <c r="E7" i="29"/>
  <c r="G94" i="29"/>
  <c r="G92" i="29"/>
  <c r="G90" i="29"/>
  <c r="G88" i="29"/>
  <c r="G86" i="29"/>
  <c r="G84" i="29"/>
  <c r="G82" i="29"/>
  <c r="G80" i="29"/>
  <c r="G78" i="29"/>
  <c r="G76" i="29"/>
  <c r="G74" i="29"/>
  <c r="G72" i="29"/>
  <c r="G70" i="29"/>
  <c r="G68" i="29"/>
  <c r="G66" i="29"/>
  <c r="G64" i="29"/>
  <c r="G62" i="29"/>
  <c r="G60" i="29"/>
  <c r="G58" i="29"/>
  <c r="G56" i="29"/>
  <c r="G54" i="29"/>
  <c r="G52" i="29"/>
  <c r="G50" i="29"/>
  <c r="G48" i="29"/>
  <c r="G46" i="29"/>
  <c r="G44" i="29"/>
  <c r="G42" i="29"/>
  <c r="G27" i="29"/>
  <c r="G24" i="29"/>
  <c r="G20" i="29"/>
  <c r="G40" i="29"/>
  <c r="G38" i="29"/>
  <c r="G36" i="29"/>
  <c r="G34" i="29"/>
  <c r="G32" i="29"/>
  <c r="G28" i="29"/>
  <c r="G16" i="29"/>
  <c r="G9" i="29"/>
  <c r="G12" i="29"/>
  <c r="G5" i="29"/>
  <c r="G30" i="29"/>
  <c r="G23" i="29"/>
  <c r="G19" i="29"/>
  <c r="G26" i="29"/>
  <c r="G15" i="29"/>
  <c r="G8" i="29"/>
  <c r="G93" i="29"/>
  <c r="G91" i="29"/>
  <c r="G89" i="29"/>
  <c r="G87" i="29"/>
  <c r="G85" i="29"/>
  <c r="G83" i="29"/>
  <c r="G81" i="29"/>
  <c r="G79" i="29"/>
  <c r="G77" i="29"/>
  <c r="G75" i="29"/>
  <c r="G73" i="29"/>
  <c r="G71" i="29"/>
  <c r="G69" i="29"/>
  <c r="G67" i="29"/>
  <c r="G65" i="29"/>
  <c r="G63" i="29"/>
  <c r="G61" i="29"/>
  <c r="G59" i="29"/>
  <c r="G57" i="29"/>
  <c r="G55" i="29"/>
  <c r="G53" i="29"/>
  <c r="G51" i="29"/>
  <c r="G49" i="29"/>
  <c r="G47" i="29"/>
  <c r="G45" i="29"/>
  <c r="G43" i="29"/>
  <c r="G22" i="29"/>
  <c r="G18" i="29"/>
  <c r="G11" i="29"/>
  <c r="G4" i="29"/>
  <c r="G14" i="29"/>
  <c r="G7" i="29"/>
  <c r="F2" i="29"/>
  <c r="G41" i="29"/>
  <c r="G39" i="29"/>
  <c r="G37" i="29"/>
  <c r="G35" i="29"/>
  <c r="G33" i="29"/>
  <c r="G31" i="29"/>
  <c r="G25" i="29"/>
  <c r="G21" i="29"/>
  <c r="G17" i="29"/>
  <c r="G29" i="29"/>
  <c r="G13" i="29"/>
  <c r="G10" i="29"/>
  <c r="G6" i="29"/>
  <c r="AT5" i="29"/>
  <c r="AT9" i="29"/>
  <c r="AT12" i="29"/>
  <c r="AT28" i="29"/>
  <c r="AT20" i="29"/>
  <c r="AU16" i="29"/>
  <c r="AT24" i="29"/>
  <c r="AT6" i="29"/>
  <c r="AU10" i="29"/>
  <c r="AU17" i="29"/>
  <c r="AU21" i="29"/>
  <c r="AT7" i="29"/>
  <c r="AT18" i="29"/>
  <c r="AT22" i="29"/>
  <c r="AT4" i="29"/>
  <c r="AT11" i="29"/>
  <c r="AT30" i="30" l="1"/>
  <c r="AT58" i="30" s="1"/>
  <c r="AW29" i="30"/>
  <c r="AT29" i="30"/>
  <c r="E96" i="30"/>
  <c r="E96" i="29"/>
  <c r="AW29" i="29"/>
  <c r="AT29" i="29"/>
  <c r="AT30" i="29"/>
  <c r="C2" i="27" l="1" a="1"/>
  <c r="C2" i="27" s="1"/>
  <c r="AP5" i="27" l="1"/>
  <c r="AP10" i="27"/>
  <c r="AP11" i="27"/>
  <c r="AP12" i="27"/>
  <c r="AP16" i="27"/>
  <c r="AP24" i="27"/>
  <c r="AP25" i="27"/>
  <c r="AP26" i="27"/>
  <c r="AP27" i="27"/>
  <c r="AP4" i="27"/>
  <c r="L2" i="27"/>
  <c r="D14" i="27" a="1"/>
  <c r="D14" i="27" s="1"/>
  <c r="F94" i="27" a="1"/>
  <c r="F94" i="27" s="1"/>
  <c r="D94" i="27" a="1"/>
  <c r="D94" i="27" s="1"/>
  <c r="F93" i="27" a="1"/>
  <c r="F93" i="27" s="1"/>
  <c r="D93" i="27" a="1"/>
  <c r="D93" i="27" s="1"/>
  <c r="F92" i="27" a="1"/>
  <c r="F92" i="27" s="1"/>
  <c r="D92" i="27" a="1"/>
  <c r="D92" i="27" s="1"/>
  <c r="F91" i="27" a="1"/>
  <c r="F91" i="27" s="1"/>
  <c r="D91" i="27" a="1"/>
  <c r="D91" i="27" s="1"/>
  <c r="F90" i="27" a="1"/>
  <c r="F90" i="27" s="1"/>
  <c r="D90" i="27" a="1"/>
  <c r="D90" i="27" s="1"/>
  <c r="F89" i="27" a="1"/>
  <c r="F89" i="27" s="1"/>
  <c r="D89" i="27" a="1"/>
  <c r="D89" i="27" s="1"/>
  <c r="F88" i="27" a="1"/>
  <c r="F88" i="27" s="1"/>
  <c r="D88" i="27" a="1"/>
  <c r="D88" i="27" s="1"/>
  <c r="F87" i="27" a="1"/>
  <c r="F87" i="27" s="1"/>
  <c r="D87" i="27" a="1"/>
  <c r="D87" i="27" s="1"/>
  <c r="F86" i="27" a="1"/>
  <c r="F86" i="27" s="1"/>
  <c r="D86" i="27" a="1"/>
  <c r="D86" i="27" s="1"/>
  <c r="F85" i="27" a="1"/>
  <c r="F85" i="27" s="1"/>
  <c r="D85" i="27" a="1"/>
  <c r="D85" i="27" s="1"/>
  <c r="F84" i="27" a="1"/>
  <c r="F84" i="27" s="1"/>
  <c r="D84" i="27" a="1"/>
  <c r="D84" i="27" s="1"/>
  <c r="F83" i="27" a="1"/>
  <c r="F83" i="27" s="1"/>
  <c r="D83" i="27" a="1"/>
  <c r="D83" i="27" s="1"/>
  <c r="F82" i="27" a="1"/>
  <c r="F82" i="27" s="1"/>
  <c r="D82" i="27" a="1"/>
  <c r="D82" i="27" s="1"/>
  <c r="F81" i="27" a="1"/>
  <c r="F81" i="27" s="1"/>
  <c r="D81" i="27" a="1"/>
  <c r="D81" i="27" s="1"/>
  <c r="F80" i="27" a="1"/>
  <c r="F80" i="27" s="1"/>
  <c r="D80" i="27" a="1"/>
  <c r="D80" i="27" s="1"/>
  <c r="F79" i="27" a="1"/>
  <c r="F79" i="27" s="1"/>
  <c r="D79" i="27" a="1"/>
  <c r="D79" i="27" s="1"/>
  <c r="F78" i="27" a="1"/>
  <c r="F78" i="27" s="1"/>
  <c r="D78" i="27" a="1"/>
  <c r="D78" i="27" s="1"/>
  <c r="F77" i="27" a="1"/>
  <c r="F77" i="27" s="1"/>
  <c r="D77" i="27" a="1"/>
  <c r="D77" i="27" s="1"/>
  <c r="F76" i="27" a="1"/>
  <c r="F76" i="27" s="1"/>
  <c r="D76" i="27" a="1"/>
  <c r="D76" i="27" s="1"/>
  <c r="F75" i="27" a="1"/>
  <c r="F75" i="27" s="1"/>
  <c r="D75" i="27" a="1"/>
  <c r="D75" i="27" s="1"/>
  <c r="F74" i="27" a="1"/>
  <c r="F74" i="27" s="1"/>
  <c r="D74" i="27" a="1"/>
  <c r="D74" i="27" s="1"/>
  <c r="F73" i="27" a="1"/>
  <c r="F73" i="27" s="1"/>
  <c r="D73" i="27" a="1"/>
  <c r="D73" i="27" s="1"/>
  <c r="F72" i="27" a="1"/>
  <c r="F72" i="27" s="1"/>
  <c r="D72" i="27" a="1"/>
  <c r="D72" i="27" s="1"/>
  <c r="F71" i="27" a="1"/>
  <c r="F71" i="27" s="1"/>
  <c r="D71" i="27" a="1"/>
  <c r="D71" i="27" s="1"/>
  <c r="F70" i="27" a="1"/>
  <c r="F70" i="27" s="1"/>
  <c r="D70" i="27" a="1"/>
  <c r="D70" i="27" s="1"/>
  <c r="F69" i="27" a="1"/>
  <c r="F69" i="27" s="1"/>
  <c r="D69" i="27" a="1"/>
  <c r="D69" i="27" s="1"/>
  <c r="F68" i="27" a="1"/>
  <c r="F68" i="27" s="1"/>
  <c r="D68" i="27" a="1"/>
  <c r="D68" i="27" s="1"/>
  <c r="F67" i="27" a="1"/>
  <c r="F67" i="27" s="1"/>
  <c r="D67" i="27" a="1"/>
  <c r="D67" i="27" s="1"/>
  <c r="F66" i="27" a="1"/>
  <c r="F66" i="27" s="1"/>
  <c r="D66" i="27" a="1"/>
  <c r="D66" i="27" s="1"/>
  <c r="F65" i="27" a="1"/>
  <c r="F65" i="27" s="1"/>
  <c r="D65" i="27" a="1"/>
  <c r="D65" i="27" s="1"/>
  <c r="F64" i="27" a="1"/>
  <c r="F64" i="27" s="1"/>
  <c r="D64" i="27" a="1"/>
  <c r="D64" i="27" s="1"/>
  <c r="F63" i="27" a="1"/>
  <c r="F63" i="27" s="1"/>
  <c r="D63" i="27" a="1"/>
  <c r="D63" i="27" s="1"/>
  <c r="F62" i="27" a="1"/>
  <c r="F62" i="27" s="1"/>
  <c r="D62" i="27" a="1"/>
  <c r="D62" i="27" s="1"/>
  <c r="F61" i="27" a="1"/>
  <c r="F61" i="27" s="1"/>
  <c r="D61" i="27" a="1"/>
  <c r="D61" i="27" s="1"/>
  <c r="F60" i="27" a="1"/>
  <c r="F60" i="27" s="1"/>
  <c r="D60" i="27" a="1"/>
  <c r="D60" i="27" s="1"/>
  <c r="F59" i="27" a="1"/>
  <c r="F59" i="27" s="1"/>
  <c r="D59" i="27" a="1"/>
  <c r="D59" i="27" s="1"/>
  <c r="F58" i="27" a="1"/>
  <c r="F58" i="27" s="1"/>
  <c r="D58" i="27" a="1"/>
  <c r="D58" i="27" s="1"/>
  <c r="F57" i="27" a="1"/>
  <c r="F57" i="27" s="1"/>
  <c r="D57" i="27" a="1"/>
  <c r="D57" i="27" s="1"/>
  <c r="F56" i="27" a="1"/>
  <c r="F56" i="27" s="1"/>
  <c r="D56" i="27" a="1"/>
  <c r="D56" i="27" s="1"/>
  <c r="F55" i="27" a="1"/>
  <c r="F55" i="27" s="1"/>
  <c r="D55" i="27" a="1"/>
  <c r="D55" i="27" s="1"/>
  <c r="F54" i="27" a="1"/>
  <c r="F54" i="27" s="1"/>
  <c r="D54" i="27" a="1"/>
  <c r="D54" i="27" s="1"/>
  <c r="F53" i="27" a="1"/>
  <c r="F53" i="27" s="1"/>
  <c r="D53" i="27" a="1"/>
  <c r="D53" i="27" s="1"/>
  <c r="F52" i="27" a="1"/>
  <c r="F52" i="27" s="1"/>
  <c r="D52" i="27" a="1"/>
  <c r="D52" i="27" s="1"/>
  <c r="F51" i="27" a="1"/>
  <c r="F51" i="27" s="1"/>
  <c r="D51" i="27" a="1"/>
  <c r="D51" i="27" s="1"/>
  <c r="F50" i="27" a="1"/>
  <c r="F50" i="27" s="1"/>
  <c r="D50" i="27" a="1"/>
  <c r="D50" i="27" s="1"/>
  <c r="F49" i="27" a="1"/>
  <c r="F49" i="27" s="1"/>
  <c r="D49" i="27" a="1"/>
  <c r="D49" i="27" s="1"/>
  <c r="F48" i="27" a="1"/>
  <c r="F48" i="27" s="1"/>
  <c r="D48" i="27" a="1"/>
  <c r="D48" i="27" s="1"/>
  <c r="F47" i="27" a="1"/>
  <c r="F47" i="27" s="1"/>
  <c r="D47" i="27" a="1"/>
  <c r="D47" i="27" s="1"/>
  <c r="F46" i="27" a="1"/>
  <c r="F46" i="27" s="1"/>
  <c r="D46" i="27" a="1"/>
  <c r="D46" i="27" s="1"/>
  <c r="F45" i="27" a="1"/>
  <c r="F45" i="27" s="1"/>
  <c r="D45" i="27" a="1"/>
  <c r="D45" i="27" s="1"/>
  <c r="F44" i="27" a="1"/>
  <c r="F44" i="27" s="1"/>
  <c r="D44" i="27" a="1"/>
  <c r="D44" i="27" s="1"/>
  <c r="F43" i="27" a="1"/>
  <c r="F43" i="27" s="1"/>
  <c r="D43" i="27" a="1"/>
  <c r="D43" i="27" s="1"/>
  <c r="F42" i="27" a="1"/>
  <c r="F42" i="27" s="1"/>
  <c r="D42" i="27" a="1"/>
  <c r="D42" i="27" s="1"/>
  <c r="AR41" i="27"/>
  <c r="AQ41" i="27"/>
  <c r="F41" i="27" a="1"/>
  <c r="F41" i="27" s="1"/>
  <c r="D41" i="27" a="1"/>
  <c r="D41" i="27" s="1"/>
  <c r="F40" i="27" a="1"/>
  <c r="F40" i="27" s="1"/>
  <c r="D40" i="27" a="1"/>
  <c r="D40" i="27" s="1"/>
  <c r="F39" i="27" a="1"/>
  <c r="F39" i="27" s="1"/>
  <c r="D39" i="27" a="1"/>
  <c r="D39" i="27" s="1"/>
  <c r="F38" i="27" a="1"/>
  <c r="F38" i="27" s="1"/>
  <c r="D38" i="27" a="1"/>
  <c r="D38" i="27" s="1"/>
  <c r="F37" i="27" a="1"/>
  <c r="F37" i="27" s="1"/>
  <c r="D37" i="27" a="1"/>
  <c r="D37" i="27" s="1"/>
  <c r="F36" i="27" a="1"/>
  <c r="F36" i="27" s="1"/>
  <c r="D36" i="27" a="1"/>
  <c r="D36" i="27" s="1"/>
  <c r="F35" i="27" a="1"/>
  <c r="F35" i="27" s="1"/>
  <c r="D35" i="27" a="1"/>
  <c r="D35" i="27" s="1"/>
  <c r="F34" i="27" a="1"/>
  <c r="F34" i="27" s="1"/>
  <c r="D34" i="27" a="1"/>
  <c r="D34" i="27" s="1"/>
  <c r="F33" i="27" a="1"/>
  <c r="F33" i="27" s="1"/>
  <c r="D33" i="27" a="1"/>
  <c r="D33" i="27" s="1"/>
  <c r="F32" i="27" a="1"/>
  <c r="F32" i="27" s="1"/>
  <c r="D32" i="27" a="1"/>
  <c r="D32" i="27" s="1"/>
  <c r="F31" i="27" a="1"/>
  <c r="F31" i="27" s="1"/>
  <c r="D31" i="27" a="1"/>
  <c r="D31" i="27" s="1"/>
  <c r="F30" i="27" a="1"/>
  <c r="F30" i="27" s="1"/>
  <c r="D30" i="27" a="1"/>
  <c r="D30" i="27" s="1"/>
  <c r="F29" i="27" a="1"/>
  <c r="F29" i="27" s="1"/>
  <c r="D29" i="27" a="1"/>
  <c r="D29" i="27" s="1"/>
  <c r="BA28" i="27"/>
  <c r="AS28" i="27"/>
  <c r="AW28" i="27" s="1"/>
  <c r="AR28" i="27"/>
  <c r="AV28" i="27" s="1"/>
  <c r="AQ28" i="27"/>
  <c r="AU28" i="27" s="1"/>
  <c r="F28" i="27" a="1"/>
  <c r="F28" i="27" s="1"/>
  <c r="D28" i="27" a="1"/>
  <c r="D28" i="27" s="1"/>
  <c r="BA27" i="27"/>
  <c r="AW27" i="27"/>
  <c r="AV27" i="27"/>
  <c r="AU27" i="27"/>
  <c r="F27" i="27" a="1"/>
  <c r="F27" i="27" s="1"/>
  <c r="D27" i="27" a="1"/>
  <c r="D27" i="27" s="1"/>
  <c r="BA26" i="27"/>
  <c r="AZ26" i="27" s="1"/>
  <c r="AS26" i="27"/>
  <c r="AW26" i="27" s="1"/>
  <c r="AR26" i="27"/>
  <c r="AV26" i="27" s="1"/>
  <c r="AQ26" i="27"/>
  <c r="AU26" i="27" s="1"/>
  <c r="F26" i="27" a="1"/>
  <c r="F26" i="27" s="1"/>
  <c r="D26" i="27" a="1"/>
  <c r="D26" i="27" s="1"/>
  <c r="BA25" i="27"/>
  <c r="AZ25" i="27" s="1"/>
  <c r="AS25" i="27"/>
  <c r="AW25" i="27" s="1"/>
  <c r="AR25" i="27"/>
  <c r="AV25" i="27" s="1"/>
  <c r="AQ25" i="27"/>
  <c r="AU25" i="27" s="1"/>
  <c r="F25" i="27" a="1"/>
  <c r="F25" i="27" s="1"/>
  <c r="D25" i="27" a="1"/>
  <c r="D25" i="27" s="1"/>
  <c r="BA24" i="27"/>
  <c r="AZ24" i="27" s="1"/>
  <c r="AS24" i="27"/>
  <c r="AW24" i="27" s="1"/>
  <c r="AR24" i="27"/>
  <c r="AV24" i="27" s="1"/>
  <c r="AQ24" i="27"/>
  <c r="AU24" i="27" s="1"/>
  <c r="F24" i="27" a="1"/>
  <c r="F24" i="27" s="1"/>
  <c r="D24" i="27" a="1"/>
  <c r="D24" i="27" s="1"/>
  <c r="BA23" i="27"/>
  <c r="AZ23" i="27" s="1"/>
  <c r="AS23" i="27"/>
  <c r="AW23" i="27" s="1"/>
  <c r="AR23" i="27"/>
  <c r="AV23" i="27" s="1"/>
  <c r="AQ23" i="27"/>
  <c r="AU23" i="27" s="1"/>
  <c r="F23" i="27" a="1"/>
  <c r="F23" i="27" s="1"/>
  <c r="D23" i="27" a="1"/>
  <c r="D23" i="27" s="1"/>
  <c r="BA22" i="27"/>
  <c r="AZ22" i="27" s="1"/>
  <c r="AS22" i="27"/>
  <c r="AW22" i="27" s="1"/>
  <c r="AR22" i="27"/>
  <c r="AV22" i="27" s="1"/>
  <c r="AQ22" i="27"/>
  <c r="AU22" i="27" s="1"/>
  <c r="F22" i="27" a="1"/>
  <c r="F22" i="27" s="1"/>
  <c r="D22" i="27" a="1"/>
  <c r="D22" i="27" s="1"/>
  <c r="BA21" i="27"/>
  <c r="AZ21" i="27" s="1"/>
  <c r="AS21" i="27"/>
  <c r="AW21" i="27" s="1"/>
  <c r="AR21" i="27"/>
  <c r="AV21" i="27" s="1"/>
  <c r="AQ21" i="27"/>
  <c r="AU21" i="27" s="1"/>
  <c r="F21" i="27" a="1"/>
  <c r="F21" i="27" s="1"/>
  <c r="D21" i="27" a="1"/>
  <c r="D21" i="27" s="1"/>
  <c r="BA20" i="27"/>
  <c r="AZ20" i="27" s="1"/>
  <c r="AS20" i="27"/>
  <c r="AW20" i="27" s="1"/>
  <c r="AR20" i="27"/>
  <c r="AV20" i="27" s="1"/>
  <c r="AQ20" i="27"/>
  <c r="AU20" i="27" s="1"/>
  <c r="F20" i="27" a="1"/>
  <c r="F20" i="27" s="1"/>
  <c r="D20" i="27" a="1"/>
  <c r="D20" i="27" s="1"/>
  <c r="BA19" i="27"/>
  <c r="AZ19" i="27" s="1"/>
  <c r="AS19" i="27"/>
  <c r="AW19" i="27" s="1"/>
  <c r="AR19" i="27"/>
  <c r="AV19" i="27" s="1"/>
  <c r="AQ19" i="27"/>
  <c r="AU19" i="27" s="1"/>
  <c r="F19" i="27" a="1"/>
  <c r="F19" i="27" s="1"/>
  <c r="D19" i="27" a="1"/>
  <c r="D19" i="27" s="1"/>
  <c r="BA18" i="27"/>
  <c r="AZ18" i="27" s="1"/>
  <c r="AS18" i="27"/>
  <c r="AW18" i="27" s="1"/>
  <c r="AR18" i="27"/>
  <c r="AV18" i="27" s="1"/>
  <c r="AQ18" i="27"/>
  <c r="AU18" i="27" s="1"/>
  <c r="F18" i="27" a="1"/>
  <c r="F18" i="27" s="1"/>
  <c r="D18" i="27" a="1"/>
  <c r="D18" i="27" s="1"/>
  <c r="BA17" i="27"/>
  <c r="AZ17" i="27" s="1"/>
  <c r="AS17" i="27"/>
  <c r="AW17" i="27" s="1"/>
  <c r="AR17" i="27"/>
  <c r="AV17" i="27" s="1"/>
  <c r="AQ17" i="27"/>
  <c r="AU17" i="27" s="1"/>
  <c r="F17" i="27" a="1"/>
  <c r="F17" i="27" s="1"/>
  <c r="D17" i="27" a="1"/>
  <c r="D17" i="27" s="1"/>
  <c r="BA16" i="27"/>
  <c r="AZ16" i="27" s="1"/>
  <c r="AS16" i="27"/>
  <c r="AW16" i="27" s="1"/>
  <c r="AR16" i="27"/>
  <c r="AV16" i="27" s="1"/>
  <c r="AQ16" i="27"/>
  <c r="AU16" i="27" s="1"/>
  <c r="F16" i="27" a="1"/>
  <c r="F16" i="27" s="1"/>
  <c r="D16" i="27" a="1"/>
  <c r="D16" i="27" s="1"/>
  <c r="BA15" i="27"/>
  <c r="AZ15" i="27" s="1"/>
  <c r="AS15" i="27"/>
  <c r="AW15" i="27" s="1"/>
  <c r="AR15" i="27"/>
  <c r="AV15" i="27" s="1"/>
  <c r="AQ15" i="27"/>
  <c r="AU15" i="27" s="1"/>
  <c r="F15" i="27" a="1"/>
  <c r="F15" i="27" s="1"/>
  <c r="D15" i="27" a="1"/>
  <c r="D15" i="27" s="1"/>
  <c r="BA14" i="27"/>
  <c r="AZ14" i="27" s="1"/>
  <c r="AS14" i="27"/>
  <c r="AW14" i="27" s="1"/>
  <c r="AR14" i="27"/>
  <c r="AV14" i="27" s="1"/>
  <c r="AQ14" i="27"/>
  <c r="AU14" i="27" s="1"/>
  <c r="F14" i="27" a="1"/>
  <c r="F14" i="27" s="1"/>
  <c r="BA13" i="27"/>
  <c r="AZ13" i="27" s="1"/>
  <c r="AS13" i="27"/>
  <c r="AW13" i="27" s="1"/>
  <c r="AR13" i="27"/>
  <c r="AV13" i="27" s="1"/>
  <c r="AQ13" i="27"/>
  <c r="AU13" i="27" s="1"/>
  <c r="F13" i="27" a="1"/>
  <c r="F13" i="27" s="1"/>
  <c r="D13" i="27" a="1"/>
  <c r="D13" i="27" s="1"/>
  <c r="BA12" i="27"/>
  <c r="AZ12" i="27" s="1"/>
  <c r="AS12" i="27"/>
  <c r="AW12" i="27" s="1"/>
  <c r="AR12" i="27"/>
  <c r="AV12" i="27" s="1"/>
  <c r="AQ12" i="27"/>
  <c r="AU12" i="27" s="1"/>
  <c r="F12" i="27" a="1"/>
  <c r="F12" i="27" s="1"/>
  <c r="D12" i="27" a="1"/>
  <c r="D12" i="27" s="1"/>
  <c r="BA11" i="27"/>
  <c r="AZ11" i="27" s="1"/>
  <c r="AS11" i="27"/>
  <c r="AW11" i="27" s="1"/>
  <c r="AR11" i="27"/>
  <c r="AV11" i="27" s="1"/>
  <c r="AQ11" i="27"/>
  <c r="AU11" i="27" s="1"/>
  <c r="F11" i="27" a="1"/>
  <c r="F11" i="27" s="1"/>
  <c r="D11" i="27" a="1"/>
  <c r="D11" i="27" s="1"/>
  <c r="BA10" i="27"/>
  <c r="AZ10" i="27" s="1"/>
  <c r="AS10" i="27"/>
  <c r="AW10" i="27" s="1"/>
  <c r="AR10" i="27"/>
  <c r="AV10" i="27" s="1"/>
  <c r="AQ10" i="27"/>
  <c r="AU10" i="27" s="1"/>
  <c r="F10" i="27" a="1"/>
  <c r="F10" i="27" s="1"/>
  <c r="D10" i="27" a="1"/>
  <c r="D10" i="27" s="1"/>
  <c r="BA9" i="27"/>
  <c r="AZ9" i="27" s="1"/>
  <c r="AS9" i="27"/>
  <c r="AW9" i="27" s="1"/>
  <c r="AR9" i="27"/>
  <c r="AV9" i="27" s="1"/>
  <c r="AQ9" i="27"/>
  <c r="AU9" i="27" s="1"/>
  <c r="F9" i="27" a="1"/>
  <c r="F9" i="27" s="1"/>
  <c r="D9" i="27" a="1"/>
  <c r="D9" i="27" s="1"/>
  <c r="BA8" i="27"/>
  <c r="AZ8" i="27" s="1"/>
  <c r="AS8" i="27"/>
  <c r="AW8" i="27" s="1"/>
  <c r="AR8" i="27"/>
  <c r="AV8" i="27" s="1"/>
  <c r="AQ8" i="27"/>
  <c r="AU8" i="27" s="1"/>
  <c r="F8" i="27" a="1"/>
  <c r="F8" i="27" s="1"/>
  <c r="D8" i="27" a="1"/>
  <c r="D8" i="27" s="1"/>
  <c r="BA7" i="27"/>
  <c r="AZ7" i="27" s="1"/>
  <c r="AS7" i="27"/>
  <c r="AW7" i="27" s="1"/>
  <c r="AR7" i="27"/>
  <c r="AV7" i="27" s="1"/>
  <c r="AQ7" i="27"/>
  <c r="AU7" i="27" s="1"/>
  <c r="F7" i="27" a="1"/>
  <c r="F7" i="27" s="1"/>
  <c r="D7" i="27" a="1"/>
  <c r="D7" i="27" s="1"/>
  <c r="BA6" i="27"/>
  <c r="AZ6" i="27" s="1"/>
  <c r="AS6" i="27"/>
  <c r="AW6" i="27" s="1"/>
  <c r="AR6" i="27"/>
  <c r="AV6" i="27" s="1"/>
  <c r="AQ6" i="27"/>
  <c r="AU6" i="27" s="1"/>
  <c r="F6" i="27" a="1"/>
  <c r="F6" i="27" s="1"/>
  <c r="D6" i="27" a="1"/>
  <c r="D6" i="27" s="1"/>
  <c r="BA5" i="27"/>
  <c r="AZ5" i="27" s="1"/>
  <c r="AS5" i="27"/>
  <c r="AW5" i="27" s="1"/>
  <c r="AR5" i="27"/>
  <c r="AV5" i="27" s="1"/>
  <c r="AQ5" i="27"/>
  <c r="AU5" i="27" s="1"/>
  <c r="F5" i="27" a="1"/>
  <c r="F5" i="27" s="1"/>
  <c r="D5" i="27" a="1"/>
  <c r="D5" i="27" s="1"/>
  <c r="BA4" i="27"/>
  <c r="AZ4" i="27" s="1"/>
  <c r="AS4" i="27"/>
  <c r="AW4" i="27" s="1"/>
  <c r="AR4" i="27"/>
  <c r="AV4" i="27" s="1"/>
  <c r="AQ4" i="27"/>
  <c r="AU4" i="27" s="1"/>
  <c r="F4" i="27" a="1"/>
  <c r="F4" i="27" s="1"/>
  <c r="D4" i="27" a="1"/>
  <c r="D4" i="27" s="1"/>
  <c r="AJ2" i="27"/>
  <c r="AI2" i="27"/>
  <c r="AH2" i="27"/>
  <c r="AG2" i="27"/>
  <c r="AB2" i="27"/>
  <c r="T2" i="27"/>
  <c r="A1" i="27"/>
  <c r="AT28" i="27" l="1"/>
  <c r="E26" i="27"/>
  <c r="E6" i="27"/>
  <c r="E90" i="27"/>
  <c r="E87" i="27"/>
  <c r="E30" i="27"/>
  <c r="E5" i="27"/>
  <c r="E7" i="27"/>
  <c r="E93" i="27"/>
  <c r="E25" i="27"/>
  <c r="E17" i="27"/>
  <c r="E13" i="27"/>
  <c r="E4" i="27"/>
  <c r="E11" i="27"/>
  <c r="E85" i="27"/>
  <c r="E21" i="27"/>
  <c r="E9" i="27"/>
  <c r="E83" i="27"/>
  <c r="E81" i="27"/>
  <c r="E79" i="27"/>
  <c r="E77" i="27"/>
  <c r="E75" i="27"/>
  <c r="E73" i="27"/>
  <c r="E71" i="27"/>
  <c r="E69" i="27"/>
  <c r="E67" i="27"/>
  <c r="E65" i="27"/>
  <c r="E63" i="27"/>
  <c r="E61" i="27"/>
  <c r="E59" i="27"/>
  <c r="E57" i="27"/>
  <c r="E55" i="27"/>
  <c r="E53" i="27"/>
  <c r="E51" i="27"/>
  <c r="E49" i="27"/>
  <c r="E47" i="27"/>
  <c r="E45" i="27"/>
  <c r="E43" i="27"/>
  <c r="E20" i="27"/>
  <c r="E8" i="27"/>
  <c r="E10" i="27"/>
  <c r="E91" i="27"/>
  <c r="E88" i="27"/>
  <c r="E41" i="27"/>
  <c r="E39" i="27"/>
  <c r="E37" i="27"/>
  <c r="E35" i="27"/>
  <c r="E33" i="27"/>
  <c r="E31" i="27"/>
  <c r="E16" i="27"/>
  <c r="E24" i="27"/>
  <c r="E12" i="27"/>
  <c r="E14" i="27"/>
  <c r="E94" i="27"/>
  <c r="E19" i="27"/>
  <c r="E86" i="27"/>
  <c r="E29" i="27"/>
  <c r="E27" i="27"/>
  <c r="E15" i="27"/>
  <c r="E89" i="27"/>
  <c r="E23" i="27"/>
  <c r="E92" i="27"/>
  <c r="E84" i="27"/>
  <c r="E82" i="27"/>
  <c r="E80" i="27"/>
  <c r="E78" i="27"/>
  <c r="E76" i="27"/>
  <c r="E74" i="27"/>
  <c r="E72" i="27"/>
  <c r="E70" i="27"/>
  <c r="E68" i="27"/>
  <c r="E66" i="27"/>
  <c r="E64" i="27"/>
  <c r="E62" i="27"/>
  <c r="E60" i="27"/>
  <c r="E58" i="27"/>
  <c r="E56" i="27"/>
  <c r="E54" i="27"/>
  <c r="E52" i="27"/>
  <c r="E50" i="27"/>
  <c r="E48" i="27"/>
  <c r="E46" i="27"/>
  <c r="E44" i="27"/>
  <c r="E42" i="27"/>
  <c r="E40" i="27"/>
  <c r="E38" i="27"/>
  <c r="E36" i="27"/>
  <c r="E34" i="27"/>
  <c r="E32" i="27"/>
  <c r="E18" i="27"/>
  <c r="E28" i="27"/>
  <c r="E22" i="27"/>
  <c r="G85" i="27"/>
  <c r="G25" i="27"/>
  <c r="G5" i="27"/>
  <c r="G83" i="27"/>
  <c r="G81" i="27"/>
  <c r="G79" i="27"/>
  <c r="G77" i="27"/>
  <c r="G75" i="27"/>
  <c r="G73" i="27"/>
  <c r="G71" i="27"/>
  <c r="G69" i="27"/>
  <c r="G67" i="27"/>
  <c r="G65" i="27"/>
  <c r="G63" i="27"/>
  <c r="G61" i="27"/>
  <c r="G59" i="27"/>
  <c r="G57" i="27"/>
  <c r="G55" i="27"/>
  <c r="G53" i="27"/>
  <c r="G51" i="27"/>
  <c r="G49" i="27"/>
  <c r="G47" i="27"/>
  <c r="G45" i="27"/>
  <c r="G43" i="27"/>
  <c r="G41" i="27"/>
  <c r="G39" i="27"/>
  <c r="G37" i="27"/>
  <c r="G35" i="27"/>
  <c r="G33" i="27"/>
  <c r="G31" i="27"/>
  <c r="G16" i="27"/>
  <c r="G4" i="27"/>
  <c r="G6" i="27"/>
  <c r="G91" i="27"/>
  <c r="G88" i="27"/>
  <c r="G24" i="27"/>
  <c r="G12" i="27"/>
  <c r="G10" i="27"/>
  <c r="G20" i="27"/>
  <c r="G8" i="27"/>
  <c r="G94" i="27"/>
  <c r="F2" i="27"/>
  <c r="G19" i="27"/>
  <c r="G7" i="27"/>
  <c r="G9" i="27"/>
  <c r="G86" i="27"/>
  <c r="G29" i="27"/>
  <c r="G27" i="27"/>
  <c r="G15" i="27"/>
  <c r="G89" i="27"/>
  <c r="G23" i="27"/>
  <c r="G11" i="27"/>
  <c r="G13" i="27"/>
  <c r="G92" i="27"/>
  <c r="G84" i="27"/>
  <c r="G82" i="27"/>
  <c r="G80" i="27"/>
  <c r="G78" i="27"/>
  <c r="G76" i="27"/>
  <c r="G74" i="27"/>
  <c r="G72" i="27"/>
  <c r="G70" i="27"/>
  <c r="G68" i="27"/>
  <c r="G66" i="27"/>
  <c r="G64" i="27"/>
  <c r="G62" i="27"/>
  <c r="G60" i="27"/>
  <c r="G58" i="27"/>
  <c r="G56" i="27"/>
  <c r="G54" i="27"/>
  <c r="G52" i="27"/>
  <c r="G50" i="27"/>
  <c r="G48" i="27"/>
  <c r="G46" i="27"/>
  <c r="G44" i="27"/>
  <c r="G42" i="27"/>
  <c r="G28" i="27"/>
  <c r="G18" i="27"/>
  <c r="G40" i="27"/>
  <c r="G38" i="27"/>
  <c r="G36" i="27"/>
  <c r="G34" i="27"/>
  <c r="G32" i="27"/>
  <c r="G26" i="27"/>
  <c r="G14" i="27"/>
  <c r="G22" i="27"/>
  <c r="G90" i="27"/>
  <c r="G87" i="27"/>
  <c r="G30" i="27"/>
  <c r="G17" i="27"/>
  <c r="G93" i="27"/>
  <c r="G21" i="27"/>
  <c r="AW29" i="27"/>
  <c r="AT4" i="27"/>
  <c r="AT8" i="27"/>
  <c r="AT12" i="27"/>
  <c r="AT16" i="27"/>
  <c r="AT24" i="27"/>
  <c r="AT20" i="27"/>
  <c r="AT9" i="27"/>
  <c r="AT13" i="27"/>
  <c r="AT21" i="27"/>
  <c r="AT5" i="27"/>
  <c r="AT17" i="27"/>
  <c r="AT25" i="27"/>
  <c r="AT10" i="27"/>
  <c r="AT14" i="27"/>
  <c r="AT22" i="27"/>
  <c r="AT6" i="27"/>
  <c r="AT18" i="27"/>
  <c r="AT26" i="27"/>
  <c r="AT15" i="27"/>
  <c r="AT23" i="27"/>
  <c r="AT7" i="27"/>
  <c r="AT11" i="27"/>
  <c r="AT19" i="27"/>
  <c r="G3" i="14" a="1"/>
  <c r="G3" i="14" s="1"/>
  <c r="AT30" i="27" l="1"/>
  <c r="E96" i="27"/>
  <c r="AT29" i="27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AR14" i="20" l="1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K2" i="19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C18" i="19" l="1" a="1"/>
  <c r="C18" i="19" s="1"/>
  <c r="E94" i="19" l="1" a="1"/>
  <c r="E94" i="19" s="1"/>
  <c r="C94" i="19" a="1"/>
  <c r="C94" i="19" s="1"/>
  <c r="E93" i="19" a="1"/>
  <c r="E93" i="19" s="1"/>
  <c r="C93" i="19" a="1"/>
  <c r="C93" i="19" s="1"/>
  <c r="E92" i="19" a="1"/>
  <c r="E92" i="19" s="1"/>
  <c r="C92" i="19" a="1"/>
  <c r="C92" i="19" s="1"/>
  <c r="E91" i="19" a="1"/>
  <c r="E91" i="19" s="1"/>
  <c r="C91" i="19" a="1"/>
  <c r="C91" i="19" s="1"/>
  <c r="E90" i="19" a="1"/>
  <c r="E90" i="19" s="1"/>
  <c r="C90" i="19" a="1"/>
  <c r="C90" i="19" s="1"/>
  <c r="E89" i="19" a="1"/>
  <c r="E89" i="19" s="1"/>
  <c r="C89" i="19" a="1"/>
  <c r="C89" i="19" s="1"/>
  <c r="E88" i="19" a="1"/>
  <c r="E88" i="19" s="1"/>
  <c r="C88" i="19" a="1"/>
  <c r="C88" i="19" s="1"/>
  <c r="E87" i="19" a="1"/>
  <c r="E87" i="19" s="1"/>
  <c r="C87" i="19" a="1"/>
  <c r="C87" i="19" s="1"/>
  <c r="E86" i="19" a="1"/>
  <c r="E86" i="19" s="1"/>
  <c r="C86" i="19" a="1"/>
  <c r="C86" i="19" s="1"/>
  <c r="E85" i="19" a="1"/>
  <c r="E85" i="19" s="1"/>
  <c r="C85" i="19" a="1"/>
  <c r="C85" i="19" s="1"/>
  <c r="E84" i="19" a="1"/>
  <c r="E84" i="19" s="1"/>
  <c r="C84" i="19" a="1"/>
  <c r="C84" i="19" s="1"/>
  <c r="E83" i="19" a="1"/>
  <c r="E83" i="19" s="1"/>
  <c r="C83" i="19" a="1"/>
  <c r="C83" i="19" s="1"/>
  <c r="E82" i="19" a="1"/>
  <c r="E82" i="19" s="1"/>
  <c r="C82" i="19" a="1"/>
  <c r="C82" i="19" s="1"/>
  <c r="E81" i="19" a="1"/>
  <c r="E81" i="19" s="1"/>
  <c r="C81" i="19" a="1"/>
  <c r="C81" i="19" s="1"/>
  <c r="E80" i="19" a="1"/>
  <c r="E80" i="19" s="1"/>
  <c r="C80" i="19" a="1"/>
  <c r="C80" i="19" s="1"/>
  <c r="E79" i="19" a="1"/>
  <c r="E79" i="19" s="1"/>
  <c r="C79" i="19" a="1"/>
  <c r="C79" i="19" s="1"/>
  <c r="E78" i="19" a="1"/>
  <c r="E78" i="19" s="1"/>
  <c r="C78" i="19" a="1"/>
  <c r="C78" i="19" s="1"/>
  <c r="E77" i="19" a="1"/>
  <c r="E77" i="19" s="1"/>
  <c r="C77" i="19" a="1"/>
  <c r="C77" i="19" s="1"/>
  <c r="E76" i="19" a="1"/>
  <c r="E76" i="19" s="1"/>
  <c r="C76" i="19" a="1"/>
  <c r="C76" i="19" s="1"/>
  <c r="E75" i="19" a="1"/>
  <c r="E75" i="19" s="1"/>
  <c r="C75" i="19" a="1"/>
  <c r="C75" i="19" s="1"/>
  <c r="E74" i="19" a="1"/>
  <c r="E74" i="19" s="1"/>
  <c r="C74" i="19" a="1"/>
  <c r="C74" i="19" s="1"/>
  <c r="E73" i="19" a="1"/>
  <c r="E73" i="19" s="1"/>
  <c r="C73" i="19" a="1"/>
  <c r="C73" i="19" s="1"/>
  <c r="E72" i="19" a="1"/>
  <c r="E72" i="19" s="1"/>
  <c r="C72" i="19" a="1"/>
  <c r="C72" i="19" s="1"/>
  <c r="E71" i="19" a="1"/>
  <c r="E71" i="19" s="1"/>
  <c r="C71" i="19" a="1"/>
  <c r="C71" i="19" s="1"/>
  <c r="E70" i="19" a="1"/>
  <c r="E70" i="19" s="1"/>
  <c r="C70" i="19" a="1"/>
  <c r="C70" i="19" s="1"/>
  <c r="E69" i="19" a="1"/>
  <c r="E69" i="19" s="1"/>
  <c r="C69" i="19" a="1"/>
  <c r="C69" i="19" s="1"/>
  <c r="E68" i="19" a="1"/>
  <c r="E68" i="19" s="1"/>
  <c r="C68" i="19" a="1"/>
  <c r="C68" i="19" s="1"/>
  <c r="E67" i="19" a="1"/>
  <c r="E67" i="19" s="1"/>
  <c r="C67" i="19" a="1"/>
  <c r="C67" i="19" s="1"/>
  <c r="E66" i="19" a="1"/>
  <c r="E66" i="19" s="1"/>
  <c r="C66" i="19" a="1"/>
  <c r="C66" i="19" s="1"/>
  <c r="E65" i="19" a="1"/>
  <c r="E65" i="19" s="1"/>
  <c r="C65" i="19" a="1"/>
  <c r="C65" i="19" s="1"/>
  <c r="E64" i="19" a="1"/>
  <c r="E64" i="19" s="1"/>
  <c r="C64" i="19" a="1"/>
  <c r="C64" i="19" s="1"/>
  <c r="E63" i="19" a="1"/>
  <c r="E63" i="19" s="1"/>
  <c r="C63" i="19" a="1"/>
  <c r="C63" i="19" s="1"/>
  <c r="E62" i="19" a="1"/>
  <c r="E62" i="19" s="1"/>
  <c r="C62" i="19" a="1"/>
  <c r="C62" i="19" s="1"/>
  <c r="E61" i="19" a="1"/>
  <c r="E61" i="19" s="1"/>
  <c r="C61" i="19" a="1"/>
  <c r="C61" i="19" s="1"/>
  <c r="E60" i="19" a="1"/>
  <c r="E60" i="19" s="1"/>
  <c r="C60" i="19" a="1"/>
  <c r="C60" i="19" s="1"/>
  <c r="E59" i="19" a="1"/>
  <c r="E59" i="19" s="1"/>
  <c r="C59" i="19" a="1"/>
  <c r="C59" i="19" s="1"/>
  <c r="E58" i="19" a="1"/>
  <c r="E58" i="19" s="1"/>
  <c r="C58" i="19" a="1"/>
  <c r="C58" i="19" s="1"/>
  <c r="E57" i="19" a="1"/>
  <c r="E57" i="19" s="1"/>
  <c r="C57" i="19" a="1"/>
  <c r="C57" i="19" s="1"/>
  <c r="E56" i="19" a="1"/>
  <c r="E56" i="19" s="1"/>
  <c r="C56" i="19" a="1"/>
  <c r="C56" i="19" s="1"/>
  <c r="E55" i="19" a="1"/>
  <c r="E55" i="19" s="1"/>
  <c r="C55" i="19" a="1"/>
  <c r="C55" i="19" s="1"/>
  <c r="E54" i="19" a="1"/>
  <c r="E54" i="19" s="1"/>
  <c r="C54" i="19" a="1"/>
  <c r="C54" i="19" s="1"/>
  <c r="E53" i="19" a="1"/>
  <c r="E53" i="19" s="1"/>
  <c r="C53" i="19" a="1"/>
  <c r="C53" i="19" s="1"/>
  <c r="E52" i="19" a="1"/>
  <c r="E52" i="19" s="1"/>
  <c r="C52" i="19" a="1"/>
  <c r="C52" i="19" s="1"/>
  <c r="E51" i="19" a="1"/>
  <c r="E51" i="19" s="1"/>
  <c r="C51" i="19" a="1"/>
  <c r="C51" i="19" s="1"/>
  <c r="E50" i="19" a="1"/>
  <c r="E50" i="19" s="1"/>
  <c r="C50" i="19" a="1"/>
  <c r="C50" i="19" s="1"/>
  <c r="E49" i="19" a="1"/>
  <c r="E49" i="19" s="1"/>
  <c r="C49" i="19" a="1"/>
  <c r="C49" i="19" s="1"/>
  <c r="E48" i="19" a="1"/>
  <c r="E48" i="19" s="1"/>
  <c r="C48" i="19" a="1"/>
  <c r="C48" i="19" s="1"/>
  <c r="E47" i="19" a="1"/>
  <c r="E47" i="19" s="1"/>
  <c r="C47" i="19" a="1"/>
  <c r="C47" i="19" s="1"/>
  <c r="E46" i="19" a="1"/>
  <c r="E46" i="19" s="1"/>
  <c r="C46" i="19" a="1"/>
  <c r="C46" i="19" s="1"/>
  <c r="E45" i="19" a="1"/>
  <c r="E45" i="19" s="1"/>
  <c r="C45" i="19" a="1"/>
  <c r="C45" i="19" s="1"/>
  <c r="E44" i="19" a="1"/>
  <c r="E44" i="19" s="1"/>
  <c r="C44" i="19" a="1"/>
  <c r="C44" i="19" s="1"/>
  <c r="E43" i="19" a="1"/>
  <c r="E43" i="19" s="1"/>
  <c r="C43" i="19" a="1"/>
  <c r="C43" i="19" s="1"/>
  <c r="E42" i="19" a="1"/>
  <c r="E42" i="19" s="1"/>
  <c r="C42" i="19" a="1"/>
  <c r="C42" i="19" s="1"/>
  <c r="AO41" i="19"/>
  <c r="E41" i="19" a="1"/>
  <c r="E41" i="19" s="1"/>
  <c r="C41" i="19" a="1"/>
  <c r="C41" i="19" s="1"/>
  <c r="E40" i="19" a="1"/>
  <c r="E40" i="19" s="1"/>
  <c r="C40" i="19" a="1"/>
  <c r="C40" i="19" s="1"/>
  <c r="E39" i="19" a="1"/>
  <c r="E39" i="19" s="1"/>
  <c r="C39" i="19" a="1"/>
  <c r="C39" i="19" s="1"/>
  <c r="E38" i="19" a="1"/>
  <c r="E38" i="19" s="1"/>
  <c r="C38" i="19" a="1"/>
  <c r="C38" i="19" s="1"/>
  <c r="E37" i="19" a="1"/>
  <c r="E37" i="19" s="1"/>
  <c r="C37" i="19" a="1"/>
  <c r="C37" i="19" s="1"/>
  <c r="E36" i="19" a="1"/>
  <c r="E36" i="19" s="1"/>
  <c r="C36" i="19" a="1"/>
  <c r="C36" i="19" s="1"/>
  <c r="E35" i="19" a="1"/>
  <c r="E35" i="19" s="1"/>
  <c r="C35" i="19" a="1"/>
  <c r="C35" i="19" s="1"/>
  <c r="E34" i="19" a="1"/>
  <c r="E34" i="19" s="1"/>
  <c r="C34" i="19" a="1"/>
  <c r="C34" i="19" s="1"/>
  <c r="E33" i="19" a="1"/>
  <c r="E33" i="19" s="1"/>
  <c r="C33" i="19" a="1"/>
  <c r="C33" i="19" s="1"/>
  <c r="E32" i="19" a="1"/>
  <c r="E32" i="19" s="1"/>
  <c r="C32" i="19" a="1"/>
  <c r="C32" i="19" s="1"/>
  <c r="E31" i="19" a="1"/>
  <c r="E31" i="19" s="1"/>
  <c r="C31" i="19" a="1"/>
  <c r="C31" i="19" s="1"/>
  <c r="E30" i="19" a="1"/>
  <c r="E30" i="19" s="1"/>
  <c r="C30" i="19" a="1"/>
  <c r="C30" i="19" s="1"/>
  <c r="E29" i="19" a="1"/>
  <c r="E29" i="19" s="1"/>
  <c r="C29" i="19" a="1"/>
  <c r="C29" i="19" s="1"/>
  <c r="AY28" i="19"/>
  <c r="AQ28" i="19"/>
  <c r="AU28" i="19" s="1"/>
  <c r="AP28" i="19"/>
  <c r="AT28" i="19" s="1"/>
  <c r="AO28" i="19"/>
  <c r="AS28" i="19" s="1"/>
  <c r="E28" i="19" a="1"/>
  <c r="E28" i="19" s="1"/>
  <c r="C28" i="19" a="1"/>
  <c r="C28" i="19" s="1"/>
  <c r="AY27" i="19"/>
  <c r="AU27" i="19"/>
  <c r="AT27" i="19"/>
  <c r="AS27" i="19"/>
  <c r="E27" i="19" a="1"/>
  <c r="E27" i="19" s="1"/>
  <c r="C27" i="19" a="1"/>
  <c r="C27" i="19" s="1"/>
  <c r="AY26" i="19"/>
  <c r="AQ26" i="19"/>
  <c r="AU26" i="19" s="1"/>
  <c r="AP26" i="19"/>
  <c r="AT26" i="19" s="1"/>
  <c r="AO26" i="19"/>
  <c r="AS26" i="19" s="1"/>
  <c r="E26" i="19" a="1"/>
  <c r="E26" i="19" s="1"/>
  <c r="C26" i="19" a="1"/>
  <c r="C26" i="19" s="1"/>
  <c r="AY25" i="19"/>
  <c r="AQ25" i="19"/>
  <c r="AU25" i="19" s="1"/>
  <c r="AP25" i="19"/>
  <c r="AT25" i="19" s="1"/>
  <c r="AO25" i="19"/>
  <c r="AS25" i="19" s="1"/>
  <c r="E25" i="19" a="1"/>
  <c r="E25" i="19" s="1"/>
  <c r="C25" i="19" a="1"/>
  <c r="C25" i="19" s="1"/>
  <c r="AY24" i="19"/>
  <c r="AQ24" i="19"/>
  <c r="AU24" i="19" s="1"/>
  <c r="AP24" i="19"/>
  <c r="AT24" i="19" s="1"/>
  <c r="AO24" i="19"/>
  <c r="AS24" i="19" s="1"/>
  <c r="E24" i="19" a="1"/>
  <c r="E24" i="19" s="1"/>
  <c r="C24" i="19" a="1"/>
  <c r="C24" i="19" s="1"/>
  <c r="AY23" i="19"/>
  <c r="AQ23" i="19"/>
  <c r="AU23" i="19" s="1"/>
  <c r="AP23" i="19"/>
  <c r="AO23" i="19"/>
  <c r="AS23" i="19" s="1"/>
  <c r="E23" i="19" a="1"/>
  <c r="E23" i="19" s="1"/>
  <c r="C23" i="19" a="1"/>
  <c r="C23" i="19" s="1"/>
  <c r="AY22" i="19"/>
  <c r="AQ22" i="19"/>
  <c r="AU22" i="19" s="1"/>
  <c r="AP22" i="19"/>
  <c r="AT22" i="19" s="1"/>
  <c r="AO22" i="19"/>
  <c r="AS22" i="19" s="1"/>
  <c r="E22" i="19" a="1"/>
  <c r="E22" i="19" s="1"/>
  <c r="C22" i="19" a="1"/>
  <c r="C22" i="19" s="1"/>
  <c r="AY21" i="19"/>
  <c r="AQ21" i="19"/>
  <c r="AU21" i="19" s="1"/>
  <c r="AP21" i="19"/>
  <c r="AT21" i="19" s="1"/>
  <c r="AO21" i="19"/>
  <c r="AS21" i="19" s="1"/>
  <c r="E21" i="19" a="1"/>
  <c r="E21" i="19" s="1"/>
  <c r="C21" i="19" a="1"/>
  <c r="C21" i="19" s="1"/>
  <c r="AY20" i="19"/>
  <c r="AQ20" i="19"/>
  <c r="AU20" i="19" s="1"/>
  <c r="AP20" i="19"/>
  <c r="AT20" i="19" s="1"/>
  <c r="AO20" i="19"/>
  <c r="AS20" i="19" s="1"/>
  <c r="E20" i="19" a="1"/>
  <c r="E20" i="19" s="1"/>
  <c r="C20" i="19" a="1"/>
  <c r="C20" i="19" s="1"/>
  <c r="AY19" i="19"/>
  <c r="AQ19" i="19"/>
  <c r="AU19" i="19" s="1"/>
  <c r="AP19" i="19"/>
  <c r="AT19" i="19" s="1"/>
  <c r="AO19" i="19"/>
  <c r="AS19" i="19" s="1"/>
  <c r="E19" i="19" a="1"/>
  <c r="E19" i="19" s="1"/>
  <c r="C19" i="19" a="1"/>
  <c r="C19" i="19" s="1"/>
  <c r="AY18" i="19"/>
  <c r="AQ18" i="19"/>
  <c r="AU18" i="19" s="1"/>
  <c r="AP18" i="19"/>
  <c r="AT18" i="19" s="1"/>
  <c r="AO18" i="19"/>
  <c r="AS18" i="19" s="1"/>
  <c r="E18" i="19" a="1"/>
  <c r="E18" i="19" s="1"/>
  <c r="AY17" i="19"/>
  <c r="AQ17" i="19"/>
  <c r="AU17" i="19" s="1"/>
  <c r="AP17" i="19"/>
  <c r="AT17" i="19" s="1"/>
  <c r="AO17" i="19"/>
  <c r="AS17" i="19" s="1"/>
  <c r="E17" i="19" a="1"/>
  <c r="E17" i="19" s="1"/>
  <c r="C17" i="19" a="1"/>
  <c r="C17" i="19" s="1"/>
  <c r="AY16" i="19"/>
  <c r="AQ16" i="19"/>
  <c r="AU16" i="19" s="1"/>
  <c r="AP16" i="19"/>
  <c r="AT16" i="19" s="1"/>
  <c r="AO16" i="19"/>
  <c r="AS16" i="19" s="1"/>
  <c r="E16" i="19" a="1"/>
  <c r="E16" i="19" s="1"/>
  <c r="C16" i="19" a="1"/>
  <c r="C16" i="19" s="1"/>
  <c r="AY15" i="19"/>
  <c r="AQ15" i="19"/>
  <c r="AU15" i="19" s="1"/>
  <c r="AP15" i="19"/>
  <c r="AT15" i="19" s="1"/>
  <c r="AO15" i="19"/>
  <c r="E15" i="19" a="1"/>
  <c r="E15" i="19" s="1"/>
  <c r="C15" i="19" a="1"/>
  <c r="C15" i="19" s="1"/>
  <c r="AY14" i="19"/>
  <c r="AQ14" i="19"/>
  <c r="AU14" i="19" s="1"/>
  <c r="AP14" i="19"/>
  <c r="AT14" i="19" s="1"/>
  <c r="AO14" i="19"/>
  <c r="AS14" i="19" s="1"/>
  <c r="E14" i="19" a="1"/>
  <c r="E14" i="19" s="1"/>
  <c r="C14" i="19" a="1"/>
  <c r="C14" i="19" s="1"/>
  <c r="AY13" i="19"/>
  <c r="AQ13" i="19"/>
  <c r="AU13" i="19" s="1"/>
  <c r="AP13" i="19"/>
  <c r="AT13" i="19" s="1"/>
  <c r="AO13" i="19"/>
  <c r="AS13" i="19" s="1"/>
  <c r="E13" i="19" a="1"/>
  <c r="E13" i="19" s="1"/>
  <c r="C13" i="19" a="1"/>
  <c r="C13" i="19" s="1"/>
  <c r="AY12" i="19"/>
  <c r="AQ12" i="19"/>
  <c r="AU12" i="19" s="1"/>
  <c r="AP12" i="19"/>
  <c r="AT12" i="19" s="1"/>
  <c r="AO12" i="19"/>
  <c r="AS12" i="19" s="1"/>
  <c r="E12" i="19" a="1"/>
  <c r="E12" i="19" s="1"/>
  <c r="C12" i="19" a="1"/>
  <c r="C12" i="19" s="1"/>
  <c r="AY11" i="19"/>
  <c r="AQ11" i="19"/>
  <c r="AU11" i="19" s="1"/>
  <c r="AP11" i="19"/>
  <c r="AT11" i="19" s="1"/>
  <c r="AO11" i="19"/>
  <c r="AS11" i="19" s="1"/>
  <c r="E11" i="19" a="1"/>
  <c r="E11" i="19" s="1"/>
  <c r="C11" i="19" a="1"/>
  <c r="C11" i="19" s="1"/>
  <c r="AY10" i="19"/>
  <c r="AQ10" i="19"/>
  <c r="AU10" i="19" s="1"/>
  <c r="AP10" i="19"/>
  <c r="AT10" i="19" s="1"/>
  <c r="AO10" i="19"/>
  <c r="AS10" i="19" s="1"/>
  <c r="E10" i="19" a="1"/>
  <c r="E10" i="19" s="1"/>
  <c r="C10" i="19" a="1"/>
  <c r="C10" i="19" s="1"/>
  <c r="AY9" i="19"/>
  <c r="AQ9" i="19"/>
  <c r="AU9" i="19" s="1"/>
  <c r="AP9" i="19"/>
  <c r="AT9" i="19" s="1"/>
  <c r="AO9" i="19"/>
  <c r="AS9" i="19" s="1"/>
  <c r="E9" i="19" a="1"/>
  <c r="E9" i="19" s="1"/>
  <c r="C9" i="19" a="1"/>
  <c r="C9" i="19" s="1"/>
  <c r="AY8" i="19"/>
  <c r="AQ8" i="19"/>
  <c r="AU8" i="19" s="1"/>
  <c r="AP8" i="19"/>
  <c r="AT8" i="19" s="1"/>
  <c r="AO8" i="19"/>
  <c r="AS8" i="19" s="1"/>
  <c r="E8" i="19" a="1"/>
  <c r="E8" i="19" s="1"/>
  <c r="C8" i="19" a="1"/>
  <c r="C8" i="19" s="1"/>
  <c r="AY7" i="19"/>
  <c r="AQ7" i="19"/>
  <c r="AU7" i="19" s="1"/>
  <c r="AP7" i="19"/>
  <c r="AT7" i="19" s="1"/>
  <c r="AO7" i="19"/>
  <c r="AS7" i="19" s="1"/>
  <c r="E7" i="19" a="1"/>
  <c r="E7" i="19" s="1"/>
  <c r="C7" i="19" a="1"/>
  <c r="C7" i="19" s="1"/>
  <c r="AY6" i="19"/>
  <c r="AQ6" i="19"/>
  <c r="AU6" i="19" s="1"/>
  <c r="AP6" i="19"/>
  <c r="AT6" i="19" s="1"/>
  <c r="AO6" i="19"/>
  <c r="E6" i="19" a="1"/>
  <c r="E6" i="19" s="1"/>
  <c r="C6" i="19" a="1"/>
  <c r="C6" i="19" s="1"/>
  <c r="AY5" i="19"/>
  <c r="AQ5" i="19"/>
  <c r="AU5" i="19" s="1"/>
  <c r="AP5" i="19"/>
  <c r="AT5" i="19" s="1"/>
  <c r="AO5" i="19"/>
  <c r="AS5" i="19" s="1"/>
  <c r="E5" i="19" a="1"/>
  <c r="E5" i="19" s="1"/>
  <c r="C5" i="19" a="1"/>
  <c r="C5" i="19" s="1"/>
  <c r="AY4" i="19"/>
  <c r="AQ4" i="19"/>
  <c r="AU4" i="19" s="1"/>
  <c r="AP4" i="19"/>
  <c r="AT4" i="19" s="1"/>
  <c r="AO4" i="19"/>
  <c r="AS4" i="19" s="1"/>
  <c r="E4" i="19"/>
  <c r="E4" i="19" a="1"/>
  <c r="C4" i="19" a="1"/>
  <c r="C4" i="19" s="1"/>
  <c r="AI2" i="19"/>
  <c r="AH2" i="19"/>
  <c r="AG2" i="19"/>
  <c r="AF2" i="19"/>
  <c r="AA2" i="19"/>
  <c r="S2" i="19"/>
  <c r="A1" i="19"/>
  <c r="AR24" i="19" l="1"/>
  <c r="AR23" i="19"/>
  <c r="AT23" i="19"/>
  <c r="AR13" i="19"/>
  <c r="AR6" i="19"/>
  <c r="AR17" i="19"/>
  <c r="AR12" i="19"/>
  <c r="AR11" i="19"/>
  <c r="AR4" i="19"/>
  <c r="AR16" i="19"/>
  <c r="AR26" i="19"/>
  <c r="AR7" i="19"/>
  <c r="AR15" i="19"/>
  <c r="AR10" i="19"/>
  <c r="AR20" i="19"/>
  <c r="AR28" i="19"/>
  <c r="AR14" i="19"/>
  <c r="AR5" i="19"/>
  <c r="AR8" i="19"/>
  <c r="AR18" i="19"/>
  <c r="AR22" i="19"/>
  <c r="D29" i="19"/>
  <c r="F28" i="19"/>
  <c r="F14" i="19"/>
  <c r="E2" i="19"/>
  <c r="F8" i="19"/>
  <c r="F20" i="19"/>
  <c r="F26" i="19"/>
  <c r="D8" i="19"/>
  <c r="F94" i="19"/>
  <c r="D10" i="19"/>
  <c r="D16" i="19"/>
  <c r="D22" i="19"/>
  <c r="D31" i="19"/>
  <c r="D33" i="19"/>
  <c r="D35" i="19"/>
  <c r="D37" i="19"/>
  <c r="D39" i="19"/>
  <c r="D41" i="19"/>
  <c r="D4" i="19"/>
  <c r="AS6" i="19"/>
  <c r="F9" i="19"/>
  <c r="F15" i="19"/>
  <c r="AR19" i="19"/>
  <c r="F21" i="19"/>
  <c r="AR25" i="19"/>
  <c r="F27" i="19"/>
  <c r="F29" i="19"/>
  <c r="D43" i="19"/>
  <c r="D45" i="19"/>
  <c r="D47" i="19"/>
  <c r="D49" i="19"/>
  <c r="D51" i="19"/>
  <c r="D53" i="19"/>
  <c r="D55" i="19"/>
  <c r="D57" i="19"/>
  <c r="D59" i="19"/>
  <c r="D61" i="19"/>
  <c r="D63" i="19"/>
  <c r="D65" i="19"/>
  <c r="D67" i="19"/>
  <c r="D69" i="19"/>
  <c r="D71" i="19"/>
  <c r="D73" i="19"/>
  <c r="D75" i="19"/>
  <c r="D77" i="19"/>
  <c r="D79" i="19"/>
  <c r="D81" i="19"/>
  <c r="D83" i="19"/>
  <c r="D85" i="19"/>
  <c r="D87" i="19"/>
  <c r="D89" i="19"/>
  <c r="D91" i="19"/>
  <c r="D93" i="19"/>
  <c r="D23" i="19"/>
  <c r="F4" i="19"/>
  <c r="F10" i="19"/>
  <c r="F16" i="19"/>
  <c r="F22" i="19"/>
  <c r="F31" i="19"/>
  <c r="F33" i="19"/>
  <c r="F35" i="19"/>
  <c r="F37" i="19"/>
  <c r="F39" i="19"/>
  <c r="F41" i="19"/>
  <c r="D11" i="19"/>
  <c r="D12" i="19"/>
  <c r="D18" i="19"/>
  <c r="D24" i="19"/>
  <c r="F43" i="19"/>
  <c r="F45" i="19"/>
  <c r="F47" i="19"/>
  <c r="F49" i="19"/>
  <c r="F51" i="19"/>
  <c r="F53" i="19"/>
  <c r="F55" i="19"/>
  <c r="F57" i="19"/>
  <c r="F59" i="19"/>
  <c r="F61" i="19"/>
  <c r="F63" i="19"/>
  <c r="F65" i="19"/>
  <c r="F67" i="19"/>
  <c r="F69" i="19"/>
  <c r="F71" i="19"/>
  <c r="F73" i="19"/>
  <c r="F75" i="19"/>
  <c r="F77" i="19"/>
  <c r="F79" i="19"/>
  <c r="F81" i="19"/>
  <c r="F83" i="19"/>
  <c r="F85" i="19"/>
  <c r="F87" i="19"/>
  <c r="F89" i="19"/>
  <c r="F91" i="19"/>
  <c r="F93" i="19"/>
  <c r="F5" i="19"/>
  <c r="AR21" i="19"/>
  <c r="F23" i="19"/>
  <c r="AR9" i="19"/>
  <c r="F11" i="19"/>
  <c r="D7" i="19"/>
  <c r="D13" i="19"/>
  <c r="AS15" i="19"/>
  <c r="D19" i="19"/>
  <c r="D25" i="19"/>
  <c r="D30" i="19"/>
  <c r="D32" i="19"/>
  <c r="D34" i="19"/>
  <c r="D36" i="19"/>
  <c r="D38" i="19"/>
  <c r="D40" i="19"/>
  <c r="D5" i="19"/>
  <c r="D17" i="19"/>
  <c r="D6" i="19"/>
  <c r="F17" i="19"/>
  <c r="F6" i="19"/>
  <c r="F12" i="19"/>
  <c r="F18" i="19"/>
  <c r="F24" i="19"/>
  <c r="D42" i="19"/>
  <c r="D44" i="19"/>
  <c r="D46" i="19"/>
  <c r="D48" i="19"/>
  <c r="D50" i="19"/>
  <c r="D52" i="19"/>
  <c r="D54" i="19"/>
  <c r="D56" i="19"/>
  <c r="D58" i="19"/>
  <c r="D60" i="19"/>
  <c r="D62" i="19"/>
  <c r="D64" i="19"/>
  <c r="D66" i="19"/>
  <c r="D68" i="19"/>
  <c r="D70" i="19"/>
  <c r="D72" i="19"/>
  <c r="D74" i="19"/>
  <c r="D76" i="19"/>
  <c r="D78" i="19"/>
  <c r="D80" i="19"/>
  <c r="D82" i="19"/>
  <c r="D84" i="19"/>
  <c r="D86" i="19"/>
  <c r="D88" i="19"/>
  <c r="D90" i="19"/>
  <c r="D92" i="19"/>
  <c r="D94" i="19"/>
  <c r="D14" i="19"/>
  <c r="D20" i="19"/>
  <c r="D28" i="19"/>
  <c r="D26" i="19"/>
  <c r="F7" i="19"/>
  <c r="F13" i="19"/>
  <c r="F19" i="19"/>
  <c r="F25" i="19"/>
  <c r="F30" i="19"/>
  <c r="F32" i="19"/>
  <c r="F34" i="19"/>
  <c r="F36" i="19"/>
  <c r="F38" i="19"/>
  <c r="F40" i="19"/>
  <c r="D9" i="19"/>
  <c r="D15" i="19"/>
  <c r="D21" i="19"/>
  <c r="D27" i="19"/>
  <c r="F42" i="19"/>
  <c r="F44" i="19"/>
  <c r="F46" i="19"/>
  <c r="F48" i="19"/>
  <c r="F50" i="19"/>
  <c r="F52" i="19"/>
  <c r="F54" i="19"/>
  <c r="F56" i="19"/>
  <c r="F58" i="19"/>
  <c r="F60" i="19"/>
  <c r="F62" i="19"/>
  <c r="F64" i="19"/>
  <c r="F66" i="19"/>
  <c r="F68" i="19"/>
  <c r="F70" i="19"/>
  <c r="F72" i="19"/>
  <c r="F74" i="19"/>
  <c r="F76" i="19"/>
  <c r="F78" i="19"/>
  <c r="F80" i="19"/>
  <c r="F82" i="19"/>
  <c r="F84" i="19"/>
  <c r="F86" i="19"/>
  <c r="F88" i="19"/>
  <c r="F90" i="19"/>
  <c r="F92" i="19"/>
  <c r="AH2" i="17"/>
  <c r="K2" i="17"/>
  <c r="AU29" i="19" l="1"/>
  <c r="AR29" i="19"/>
  <c r="D96" i="19"/>
  <c r="C18" i="17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H6" i="15" s="1"/>
  <c r="G4" i="15" a="1"/>
  <c r="G4" i="15" s="1"/>
  <c r="G6" i="15" s="1"/>
  <c r="J2" i="15"/>
  <c r="K12" i="15" l="1"/>
  <c r="K13" i="15"/>
  <c r="K11" i="15"/>
  <c r="K10" i="15"/>
  <c r="J4" i="15"/>
  <c r="J5" i="15"/>
  <c r="J3" i="15"/>
  <c r="H5" i="14"/>
  <c r="I5" i="14"/>
  <c r="G5" i="14"/>
  <c r="H4" i="14" a="1"/>
  <c r="H4" i="14" s="1"/>
  <c r="I4" i="14" a="1"/>
  <c r="I4" i="14" s="1"/>
  <c r="I6" i="14" s="1"/>
  <c r="H3" i="14" a="1"/>
  <c r="H3" i="14" s="1"/>
  <c r="I3" i="14" a="1"/>
  <c r="I3" i="14" s="1"/>
  <c r="C19" i="13" a="1"/>
  <c r="C19" i="13" s="1"/>
  <c r="H6" i="14" l="1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<sst xmlns="http://schemas.openxmlformats.org/spreadsheetml/2006/main" count="19747" uniqueCount="91">
  <si>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</si>
  <si>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</si>
  <si>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</si>
  <si>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</si>
  <si>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</si>
  <si>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</si>
  <si>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</si>
  <si>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</si>
  <si>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</si>
  <si>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</si>
  <si>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</si>
  <si>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</si>
  <si>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</si>
  <si>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</si>
  <si>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</si>
  <si>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</si>
  <si>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</si>
  <si>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</si>
  <si>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</si>
  <si>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</si>
  <si>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</si>
  <si>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</si>
  <si>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</si>
  <si>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</si>
  <si>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</si>
  <si>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</si>
  <si>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</si>
  <si>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</si>
  <si>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</si>
  <si>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</si>
  <si>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</si>
  <si>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</si>
  <si>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</si>
  <si>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</si>
  <si>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</si>
  <si>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</si>
  <si>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</si>
  <si>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</si>
  <si>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</si>
  <si>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</si>
  <si>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</si>
  <si>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</si>
  <si>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</si>
  <si>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</si>
  <si>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</si>
  <si>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</si>
  <si>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</si>
  <si>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</si>
  <si>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</si>
  <si>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</si>
  <si>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</si>
  <si>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</si>
  <si>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</si>
  <si>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</si>
  <si>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</si>
  <si>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</si>
  <si>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</si>
  <si>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</si>
  <si>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</si>
  <si>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</si>
  <si>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</si>
  <si>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</si>
  <si>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</si>
  <si>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</si>
  <si>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</si>
  <si>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</si>
  <si>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</si>
  <si>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</si>
  <si>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</si>
  <si>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</si>
  <si>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</si>
  <si>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</si>
  <si>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</si>
  <si>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</si>
  <si>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</si>
  <si>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</si>
  <si>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</si>
  <si>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</si>
  <si>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</si>
  <si>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</si>
  <si>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</si>
  <si>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</si>
  <si>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离巽</t>
  </si>
  <si>
    <t>艮震兑坤坎乾</t>
  </si>
  <si>
    <t>总消耗</t>
  </si>
  <si>
    <t>version 6.0.01</t>
  </si>
  <si>
    <t>二队断点</t>
  </si>
  <si>
    <t>八卦前亏损</t>
  </si>
  <si>
    <t>八卦前亏</t>
  </si>
  <si>
    <t>粮草</t>
    <phoneticPr fontId="14" type="noConversion"/>
  </si>
  <si>
    <t>经验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</si>
</sst>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0" tint="-0.34998626667073579"/>
      <name val="Calibri"/>
      <family val="3"/>
      <charset val="134"/>
      <scheme val="minor"/>
    </font>
    <font>
      <sz val="11"/>
      <color theme="0" tint="-0.34998626667073579"/>
      <name val="Calibri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darkGray">
        <fgColor theme="9" tint="0.39988402966399123"/>
        <bgColor indexed="65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12" borderId="15" xfId="0" applyFont="1" applyFill="1" applyBorder="1"/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32" borderId="0" xfId="0" applyFont="1" applyFill="1"/>
    <xf numFmtId="0" fontId="11" fillId="32" borderId="5" xfId="0" applyFont="1" applyFill="1" applyBorder="1"/>
    <xf numFmtId="0" fontId="11" fillId="0" borderId="14" xfId="0" applyFont="1" applyBorder="1"/>
    <xf numFmtId="0" fontId="1" fillId="22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14" fontId="0" fillId="0" borderId="0" xfId="0" applyNumberFormat="1" applyFill="1"/>
    <xf numFmtId="0" fontId="0" fillId="12" borderId="0" xfId="0" applyFill="1"/>
    <xf numFmtId="0" fontId="7" fillId="2" borderId="15" xfId="0" applyFont="1" applyFill="1" applyBorder="1" applyAlignment="1">
      <alignment vertical="top"/>
    </xf>
    <xf numFmtId="0" fontId="8" fillId="11" borderId="15" xfId="0" applyFont="1" applyFill="1" applyBorder="1"/>
    <xf numFmtId="0" fontId="0" fillId="35" borderId="15" xfId="0" applyFill="1" applyBorder="1" applyAlignment="1">
      <alignment vertical="top"/>
    </xf>
    <xf numFmtId="0" fontId="13" fillId="36" borderId="15" xfId="0" applyFont="1" applyFill="1" applyBorder="1" applyAlignment="1">
      <alignment vertical="top"/>
    </xf>
    <xf numFmtId="0" fontId="0" fillId="37" borderId="15" xfId="0" applyFill="1" applyBorder="1" applyAlignment="1">
      <alignment vertical="top"/>
    </xf>
    <xf numFmtId="0" fontId="0" fillId="4" borderId="15" xfId="0" applyFill="1" applyBorder="1" applyAlignment="1">
      <alignment vertical="top"/>
    </xf>
    <xf numFmtId="0" fontId="0" fillId="7" borderId="15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8" fillId="10" borderId="15" xfId="0" applyFont="1" applyFill="1" applyBorder="1"/>
    <xf numFmtId="0" fontId="11" fillId="6" borderId="15" xfId="0" applyFont="1" applyFill="1" applyBorder="1" applyAlignment="1">
      <alignment vertical="top"/>
    </xf>
    <xf numFmtId="0" fontId="1" fillId="34" borderId="15" xfId="0" applyFont="1" applyFill="1" applyBorder="1"/>
    <xf numFmtId="0" fontId="11" fillId="35" borderId="15" xfId="0" applyFont="1" applyFill="1" applyBorder="1" applyAlignment="1">
      <alignment vertical="top"/>
    </xf>
    <xf numFmtId="0" fontId="11" fillId="36" borderId="15" xfId="0" applyFont="1" applyFill="1" applyBorder="1" applyAlignment="1">
      <alignment vertical="top"/>
    </xf>
    <xf numFmtId="0" fontId="1" fillId="26" borderId="15" xfId="0" applyFont="1" applyFill="1" applyBorder="1"/>
    <xf numFmtId="0" fontId="12" fillId="33" borderId="13" xfId="0" applyFont="1" applyFill="1" applyBorder="1" applyAlignment="1">
      <alignment horizontal="center"/>
    </xf>
    <xf numFmtId="0" fontId="7" fillId="7" borderId="15" xfId="0" applyFont="1" applyFill="1" applyBorder="1" applyAlignment="1">
      <alignment vertical="top"/>
    </xf>
    <xf numFmtId="0" fontId="1" fillId="38" borderId="15" xfId="0" applyFont="1" applyFill="1" applyBorder="1"/>
    <xf numFmtId="0" fontId="15" fillId="12" borderId="15" xfId="0" applyFont="1" applyFill="1" applyBorder="1"/>
    <xf numFmtId="0" fontId="16" fillId="15" borderId="5" xfId="0" applyFont="1" applyFill="1" applyBorder="1"/>
    <xf numFmtId="0" fontId="16" fillId="7" borderId="15" xfId="0" applyFont="1" applyFill="1" applyBorder="1" applyAlignment="1">
      <alignment vertical="top"/>
    </xf>
    <xf numFmtId="0" fontId="16" fillId="0" borderId="0" xfId="0" applyFont="1"/>
    <xf numFmtId="0" fontId="15" fillId="25" borderId="13" xfId="0" applyFont="1" applyFill="1" applyBorder="1" applyAlignment="1">
      <alignment horizontal="center"/>
    </xf>
    <xf numFmtId="0" fontId="16" fillId="0" borderId="13" xfId="0" applyFont="1" applyBorder="1"/>
    <xf numFmtId="0" fontId="15" fillId="10" borderId="15" xfId="0" applyFont="1" applyFill="1" applyBorder="1"/>
    <xf numFmtId="0" fontId="15" fillId="11" borderId="15" xfId="0" applyFont="1" applyFill="1" applyBorder="1"/>
    <xf numFmtId="0" fontId="7" fillId="8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8" fillId="19" borderId="15" xfId="0" applyFont="1" applyFill="1" applyBorder="1"/>
    <xf numFmtId="0" fontId="7" fillId="32" borderId="0" xfId="0" applyFont="1" applyFill="1"/>
    <xf numFmtId="0" fontId="7" fillId="32" borderId="5" xfId="0" applyFont="1" applyFill="1" applyBorder="1"/>
    <xf numFmtId="0" fontId="7" fillId="0" borderId="14" xfId="0" applyFont="1" applyBorder="1"/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dimension ref="A1:AY101"/>
  <sheetViews>
    <sheetView topLeftCell="A55" zoomScale="85" zoomScaleNormal="85" workbookViewId="0">
      <selection activeCell="AI2" sqref="AI2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166">
        <f ca="1">(_xlfn.DAYS(TODAY(),A4)+2)/((_xlfn.DAYS(A94,A4))+1)</f>
        <v>2</v>
      </c>
      <c r="B1" s="167"/>
      <c r="C1" s="167"/>
      <c r="D1" s="167"/>
      <c r="E1" s="167"/>
      <c r="F1" s="167"/>
      <c r="G1" s="168"/>
      <c r="H1" s="169" t="s">
        <v>37</v>
      </c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1"/>
      <c r="AG1" s="42"/>
      <c r="AH1" s="42"/>
      <c r="AI1" s="42"/>
      <c r="AL1" s="165" t="s">
        <v>42</v>
      </c>
      <c r="AM1" s="165"/>
      <c r="AN1" s="165"/>
    </row>
    <row r="2" spans="1:51" ht="16.2" customHeight="1" thickBot="1">
      <c r="A2" t="s">
        <v>74</v>
      </c>
      <c r="B2" s="51"/>
      <c r="C2" s="173" t="s">
        <v>35</v>
      </c>
      <c r="D2" s="174"/>
      <c r="E2" s="175">
        <f>SUM(E4:E94)+SUM(G4:G94)</f>
        <v>61465</v>
      </c>
      <c r="F2" s="175"/>
      <c r="G2" s="176"/>
      <c r="H2" s="177" t="s">
        <v>48</v>
      </c>
      <c r="I2" s="178"/>
      <c r="J2" s="101" t="s">
        <v>46</v>
      </c>
      <c r="K2" s="101">
        <f>COUNTIF(H4:O94,"&lt;&gt;空")-3</f>
        <v>553</v>
      </c>
      <c r="L2" s="178" t="s">
        <v>45</v>
      </c>
      <c r="M2" s="178"/>
      <c r="N2" s="178"/>
      <c r="O2" s="179"/>
      <c r="P2" s="180" t="s">
        <v>49</v>
      </c>
      <c r="Q2" s="160"/>
      <c r="R2" s="100" t="s">
        <v>46</v>
      </c>
      <c r="S2" s="100">
        <f>COUNTIF(P4:W94,"&lt;&gt;空")</f>
        <v>470</v>
      </c>
      <c r="T2" s="160" t="s">
        <v>45</v>
      </c>
      <c r="U2" s="160"/>
      <c r="V2" s="160"/>
      <c r="W2" s="161"/>
      <c r="X2" s="180" t="s">
        <v>33</v>
      </c>
      <c r="Y2" s="160"/>
      <c r="Z2" s="58" t="s">
        <v>44</v>
      </c>
      <c r="AA2" s="100">
        <f>COUNTIF(X4:AE94,"&lt;&gt;空")</f>
        <v>0</v>
      </c>
      <c r="AB2" s="160" t="s">
        <v>45</v>
      </c>
      <c r="AC2" s="160"/>
      <c r="AD2" s="160"/>
      <c r="AE2" s="161"/>
      <c r="AF2" s="41">
        <f>SUM(AF4:AF94)</f>
        <v>33</v>
      </c>
      <c r="AG2" s="41">
        <f t="shared" ref="AG2:AI2" si="0">SUM(AG4:AG94)</f>
        <v>14</v>
      </c>
      <c r="AH2" s="41">
        <f>SUM(AH4:AH94)</f>
        <v>19</v>
      </c>
      <c r="AI2" s="41">
        <f t="shared" si="0"/>
        <v>0</v>
      </c>
      <c r="AJ2" s="162" t="s">
        <v>29</v>
      </c>
      <c r="AL2" s="172"/>
      <c r="AM2" s="172"/>
      <c r="AN2" s="172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63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90">
        <v>800</v>
      </c>
      <c r="C4" s="90" cm="1">
        <f t="array" ref="C4">(SUM(VLOOKUP(H4:AE4,$AL$4:$AN$44,2,FALSE))+AF4*10)*IF(AJ4="是",$AW$4,$AW$3)</f>
        <v>750</v>
      </c>
      <c r="D4" s="90">
        <f>SUM($B$4:B4)-SUM($C$4:C4)</f>
        <v>50</v>
      </c>
      <c r="E4" s="90" cm="1">
        <f t="array" ref="E4">SUM(VLOOKUP(H4:AE4,$AL$4:$AN$44,3,FALSE))</f>
        <v>175</v>
      </c>
      <c r="F4" s="90">
        <f>SUM($E$4:E4)+SUM($G$4:G4)</f>
        <v>175</v>
      </c>
      <c r="G4" s="90">
        <v>0</v>
      </c>
      <c r="H4" s="96" t="s">
        <v>16</v>
      </c>
      <c r="I4" s="96" t="s">
        <v>16</v>
      </c>
      <c r="J4" s="96" t="s">
        <v>16</v>
      </c>
      <c r="K4" s="96" t="s">
        <v>16</v>
      </c>
      <c r="L4" s="96" t="s">
        <v>16</v>
      </c>
      <c r="M4" s="89" t="s">
        <v>23</v>
      </c>
      <c r="N4" s="93" t="s">
        <v>23</v>
      </c>
      <c r="O4" s="93" t="s">
        <v>23</v>
      </c>
      <c r="P4" s="89" t="s">
        <v>23</v>
      </c>
      <c r="Q4" s="89" t="s">
        <v>23</v>
      </c>
      <c r="R4" s="89" t="s">
        <v>23</v>
      </c>
      <c r="S4" s="89" t="s">
        <v>23</v>
      </c>
      <c r="T4" s="89" t="s">
        <v>23</v>
      </c>
      <c r="U4" s="89" t="s">
        <v>23</v>
      </c>
      <c r="V4" s="93" t="s">
        <v>23</v>
      </c>
      <c r="W4" s="93" t="s">
        <v>23</v>
      </c>
      <c r="X4" s="89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93" t="s">
        <v>23</v>
      </c>
      <c r="AE4" s="93" t="s">
        <v>23</v>
      </c>
      <c r="AF4" s="94">
        <v>0</v>
      </c>
      <c r="AG4" s="94"/>
      <c r="AH4" s="94"/>
      <c r="AI4" s="94"/>
      <c r="AJ4" s="95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90">
        <v>1600</v>
      </c>
      <c r="C5" s="90" cm="1">
        <f t="array" ref="C5">(SUM(VLOOKUP(H5:AE5,$AL$4:$AN$44,2,FALSE))+AF5*10)*IF(AJ5="是",$AW$4,$AW$3)</f>
        <v>900</v>
      </c>
      <c r="D5" s="90">
        <f>SUM($B$4:B5)-SUM($C$4:C5)</f>
        <v>750</v>
      </c>
      <c r="E5" s="90" cm="1">
        <f t="array" ref="E5">SUM(VLOOKUP(H5:AE5,$AL$4:$AN$44,3,FALSE))</f>
        <v>210</v>
      </c>
      <c r="F5" s="90">
        <f>SUM($E$4:E5)+SUM($G$4:G5)</f>
        <v>885</v>
      </c>
      <c r="G5" s="90">
        <v>500</v>
      </c>
      <c r="H5" s="96" t="s">
        <v>16</v>
      </c>
      <c r="I5" s="96" t="s">
        <v>16</v>
      </c>
      <c r="J5" s="96" t="s">
        <v>16</v>
      </c>
      <c r="K5" s="96" t="s">
        <v>16</v>
      </c>
      <c r="L5" s="96" t="s">
        <v>16</v>
      </c>
      <c r="M5" s="96" t="s">
        <v>16</v>
      </c>
      <c r="N5" s="93" t="s">
        <v>23</v>
      </c>
      <c r="O5" s="93" t="s">
        <v>23</v>
      </c>
      <c r="P5" s="89" t="s">
        <v>23</v>
      </c>
      <c r="Q5" s="89" t="s">
        <v>23</v>
      </c>
      <c r="R5" s="89" t="s">
        <v>23</v>
      </c>
      <c r="S5" s="89" t="s">
        <v>23</v>
      </c>
      <c r="T5" s="89" t="s">
        <v>23</v>
      </c>
      <c r="U5" s="89" t="s">
        <v>23</v>
      </c>
      <c r="V5" s="93" t="s">
        <v>23</v>
      </c>
      <c r="W5" s="93" t="s">
        <v>23</v>
      </c>
      <c r="X5" s="89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93" t="s">
        <v>23</v>
      </c>
      <c r="AE5" s="93" t="s">
        <v>23</v>
      </c>
      <c r="AF5" s="94">
        <v>0</v>
      </c>
      <c r="AG5" s="94"/>
      <c r="AH5" s="94"/>
      <c r="AI5" s="94"/>
      <c r="AJ5" s="95" t="s">
        <v>30</v>
      </c>
      <c r="AL5" s="21" t="s">
        <v>17</v>
      </c>
      <c r="AM5" s="19">
        <v>160</v>
      </c>
      <c r="AN5" s="19">
        <v>40</v>
      </c>
      <c r="AO5" s="19">
        <f t="shared" si="1"/>
        <v>20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31</v>
      </c>
      <c r="AS5" s="50">
        <f t="shared" ref="AS5:AU28" si="6">AO5*$AN5</f>
        <v>800</v>
      </c>
      <c r="AT5" s="50">
        <f t="shared" si="2"/>
        <v>440</v>
      </c>
      <c r="AU5" s="50">
        <f t="shared" si="2"/>
        <v>0</v>
      </c>
      <c r="AV5" s="164" t="s">
        <v>34</v>
      </c>
      <c r="AW5" s="164"/>
      <c r="AY5">
        <f t="shared" ref="AY5:AY28" si="7">AM5*0.8</f>
        <v>128</v>
      </c>
    </row>
    <row r="6" spans="1:51">
      <c r="A6" s="76">
        <v>44458</v>
      </c>
      <c r="B6" s="90">
        <v>1600</v>
      </c>
      <c r="C6" s="90" cm="1">
        <f t="array" ref="C6">(SUM(VLOOKUP(H6:AE6,$AL$4:$AN$44,2,FALSE))+AF6*10)*IF(AJ6="是",$AW$4,$AW$3)</f>
        <v>760</v>
      </c>
      <c r="D6" s="90">
        <f>SUM($B$4:B6)-SUM($C$4:C6)</f>
        <v>1590</v>
      </c>
      <c r="E6" s="90" cm="1">
        <f t="array" ref="E6">SUM(VLOOKUP(H6:AE6,$AL$4:$AN$44,3,FALSE))</f>
        <v>205</v>
      </c>
      <c r="F6" s="90">
        <f>SUM($E$4:E6)+SUM($G$4:G6)</f>
        <v>1090</v>
      </c>
      <c r="G6" s="90">
        <v>0</v>
      </c>
      <c r="H6" s="96" t="s">
        <v>16</v>
      </c>
      <c r="I6" s="96" t="s">
        <v>16</v>
      </c>
      <c r="J6" s="97" t="s">
        <v>12</v>
      </c>
      <c r="K6" s="96" t="s">
        <v>16</v>
      </c>
      <c r="L6" s="91" t="s">
        <v>17</v>
      </c>
      <c r="M6" s="97" t="s">
        <v>12</v>
      </c>
      <c r="N6" s="93" t="s">
        <v>23</v>
      </c>
      <c r="O6" s="93" t="s">
        <v>23</v>
      </c>
      <c r="P6" s="89" t="s">
        <v>23</v>
      </c>
      <c r="Q6" s="89" t="s">
        <v>23</v>
      </c>
      <c r="R6" s="89" t="s">
        <v>23</v>
      </c>
      <c r="S6" s="89" t="s">
        <v>23</v>
      </c>
      <c r="T6" s="89" t="s">
        <v>23</v>
      </c>
      <c r="U6" s="89" t="s">
        <v>23</v>
      </c>
      <c r="V6" s="93" t="s">
        <v>23</v>
      </c>
      <c r="W6" s="93" t="s">
        <v>23</v>
      </c>
      <c r="X6" s="89" t="s">
        <v>23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93" t="s">
        <v>23</v>
      </c>
      <c r="AE6" s="93" t="s">
        <v>23</v>
      </c>
      <c r="AF6" s="94">
        <v>5</v>
      </c>
      <c r="AG6" s="94">
        <v>5</v>
      </c>
      <c r="AH6" s="94"/>
      <c r="AI6" s="94"/>
      <c r="AJ6" s="95" t="s">
        <v>30</v>
      </c>
      <c r="AL6" s="22" t="s">
        <v>18</v>
      </c>
      <c r="AM6" s="19">
        <v>170</v>
      </c>
      <c r="AN6" s="19">
        <v>45</v>
      </c>
      <c r="AO6" s="19">
        <f t="shared" si="1"/>
        <v>105</v>
      </c>
      <c r="AP6" s="19">
        <f t="shared" si="3"/>
        <v>84</v>
      </c>
      <c r="AQ6" s="19">
        <f t="shared" si="4"/>
        <v>0</v>
      </c>
      <c r="AR6" s="19">
        <f t="shared" si="5"/>
        <v>189</v>
      </c>
      <c r="AS6" s="50">
        <f t="shared" si="6"/>
        <v>4725</v>
      </c>
      <c r="AT6" s="50">
        <f t="shared" si="2"/>
        <v>3780</v>
      </c>
      <c r="AU6" s="50">
        <f t="shared" si="2"/>
        <v>0</v>
      </c>
      <c r="AV6" s="165"/>
      <c r="AW6" s="165"/>
      <c r="AY6">
        <f t="shared" si="7"/>
        <v>136</v>
      </c>
    </row>
    <row r="7" spans="1:51">
      <c r="A7" s="76">
        <v>44459</v>
      </c>
      <c r="B7" s="89">
        <v>1600</v>
      </c>
      <c r="C7" s="90" cm="1">
        <f t="array" ref="C7">(SUM(VLOOKUP(H7:AE7,$AL$4:$AN$44,2,FALSE))+AF7*10)*IF(AJ7="是",$AW$4,$AW$3)</f>
        <v>970</v>
      </c>
      <c r="D7" s="89">
        <f>SUM($B$4:B7)-SUM($C$4:C7)</f>
        <v>2220</v>
      </c>
      <c r="E7" s="90" cm="1">
        <f t="array" ref="E7">SUM(VLOOKUP(H7:AE7,$AL$4:$AN$44,3,FALSE))</f>
        <v>250</v>
      </c>
      <c r="F7" s="90">
        <f>SUM($E$4:E7)+SUM($G$4:G7)</f>
        <v>1640</v>
      </c>
      <c r="G7" s="89">
        <v>300</v>
      </c>
      <c r="H7" s="91" t="s">
        <v>17</v>
      </c>
      <c r="I7" s="91" t="s">
        <v>17</v>
      </c>
      <c r="J7" s="91" t="s">
        <v>6</v>
      </c>
      <c r="K7" s="91" t="s">
        <v>17</v>
      </c>
      <c r="L7" s="92" t="s">
        <v>18</v>
      </c>
      <c r="M7" s="92" t="s">
        <v>18</v>
      </c>
      <c r="N7" s="93" t="s">
        <v>23</v>
      </c>
      <c r="O7" s="93" t="s">
        <v>23</v>
      </c>
      <c r="P7" s="89" t="s">
        <v>23</v>
      </c>
      <c r="Q7" s="89" t="s">
        <v>23</v>
      </c>
      <c r="R7" s="89" t="s">
        <v>23</v>
      </c>
      <c r="S7" s="89" t="s">
        <v>23</v>
      </c>
      <c r="T7" s="89" t="s">
        <v>23</v>
      </c>
      <c r="U7" s="89" t="s">
        <v>23</v>
      </c>
      <c r="V7" s="93" t="s">
        <v>23</v>
      </c>
      <c r="W7" s="93" t="s">
        <v>23</v>
      </c>
      <c r="X7" s="89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93" t="s">
        <v>23</v>
      </c>
      <c r="AE7" s="93" t="s">
        <v>23</v>
      </c>
      <c r="AF7" s="94">
        <v>0</v>
      </c>
      <c r="AG7" s="94"/>
      <c r="AH7" s="94"/>
      <c r="AI7" s="94"/>
      <c r="AJ7" s="95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165"/>
      <c r="AW7" s="165"/>
      <c r="AY7">
        <f t="shared" si="7"/>
        <v>144</v>
      </c>
    </row>
    <row r="8" spans="1:51">
      <c r="A8" s="76">
        <v>44460</v>
      </c>
      <c r="B8" s="89">
        <v>1600</v>
      </c>
      <c r="C8" s="90" cm="1">
        <f t="array" ref="C8">(SUM(VLOOKUP(H8:AE8,$AL$4:$AN$44,2,FALSE))+AF8*10)*IF(AJ8="是",$AW$4,$AW$3)</f>
        <v>1030</v>
      </c>
      <c r="D8" s="89">
        <f>SUM($B$4:B8)-SUM($C$4:C8)</f>
        <v>2790</v>
      </c>
      <c r="E8" s="90" cm="1">
        <f t="array" ref="E8">SUM(VLOOKUP(H8:AE8,$AL$4:$AN$44,3,FALSE))</f>
        <v>270</v>
      </c>
      <c r="F8" s="90">
        <f>SUM($E$4:E8)+SUM($G$4:G8)</f>
        <v>1910</v>
      </c>
      <c r="G8" s="89">
        <v>0</v>
      </c>
      <c r="H8" s="92" t="s">
        <v>18</v>
      </c>
      <c r="I8" s="92" t="s">
        <v>18</v>
      </c>
      <c r="J8" s="99" t="s">
        <v>72</v>
      </c>
      <c r="K8" s="92" t="s">
        <v>18</v>
      </c>
      <c r="L8" s="92" t="s">
        <v>18</v>
      </c>
      <c r="M8" s="92" t="s">
        <v>18</v>
      </c>
      <c r="N8" s="93" t="s">
        <v>23</v>
      </c>
      <c r="O8" s="93" t="s">
        <v>23</v>
      </c>
      <c r="P8" s="89" t="s">
        <v>23</v>
      </c>
      <c r="Q8" s="89" t="s">
        <v>23</v>
      </c>
      <c r="R8" s="89" t="s">
        <v>23</v>
      </c>
      <c r="S8" s="89" t="s">
        <v>23</v>
      </c>
      <c r="T8" s="89" t="s">
        <v>23</v>
      </c>
      <c r="U8" s="89" t="s">
        <v>23</v>
      </c>
      <c r="V8" s="93" t="s">
        <v>23</v>
      </c>
      <c r="W8" s="93" t="s">
        <v>23</v>
      </c>
      <c r="X8" s="89" t="s">
        <v>23</v>
      </c>
      <c r="Y8" s="89" t="s">
        <v>23</v>
      </c>
      <c r="Z8" s="89" t="s">
        <v>23</v>
      </c>
      <c r="AA8" s="89" t="s">
        <v>23</v>
      </c>
      <c r="AB8" s="89" t="s">
        <v>23</v>
      </c>
      <c r="AC8" s="89" t="s">
        <v>23</v>
      </c>
      <c r="AD8" s="93" t="s">
        <v>23</v>
      </c>
      <c r="AE8" s="93" t="s">
        <v>23</v>
      </c>
      <c r="AF8" s="94">
        <v>1</v>
      </c>
      <c r="AG8" s="94">
        <v>1</v>
      </c>
      <c r="AH8" s="94"/>
      <c r="AI8" s="94"/>
      <c r="AJ8" s="95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165"/>
      <c r="AW8" s="165"/>
      <c r="AY8">
        <f t="shared" si="7"/>
        <v>152</v>
      </c>
    </row>
    <row r="9" spans="1:51">
      <c r="A9" s="76">
        <v>44461</v>
      </c>
      <c r="B9" s="89">
        <v>1600</v>
      </c>
      <c r="C9" s="90" cm="1">
        <f t="array" ref="C9">(SUM(VLOOKUP(H9:AE9,$AL$4:$AN$44,2,FALSE))+AF9*10)*IF(AJ9="是",$AW$4,$AW$3)</f>
        <v>1020</v>
      </c>
      <c r="D9" s="89">
        <f>SUM($B$4:B9)-SUM($C$4:C9)</f>
        <v>3370</v>
      </c>
      <c r="E9" s="90" cm="1">
        <f t="array" ref="E9">SUM(VLOOKUP(H9:AE9,$AL$4:$AN$44,3,FALSE))</f>
        <v>270</v>
      </c>
      <c r="F9" s="90">
        <f>SUM($E$4:E9)+SUM($G$4:G9)</f>
        <v>2380</v>
      </c>
      <c r="G9" s="89">
        <v>200</v>
      </c>
      <c r="H9" s="92" t="s">
        <v>18</v>
      </c>
      <c r="I9" s="92" t="s">
        <v>18</v>
      </c>
      <c r="J9" s="92" t="s">
        <v>18</v>
      </c>
      <c r="K9" s="92" t="s">
        <v>18</v>
      </c>
      <c r="L9" s="92" t="s">
        <v>18</v>
      </c>
      <c r="M9" s="92" t="s">
        <v>18</v>
      </c>
      <c r="N9" s="93" t="s">
        <v>23</v>
      </c>
      <c r="O9" s="93" t="s">
        <v>23</v>
      </c>
      <c r="P9" s="89" t="s">
        <v>23</v>
      </c>
      <c r="Q9" s="89" t="s">
        <v>23</v>
      </c>
      <c r="R9" s="89" t="s">
        <v>23</v>
      </c>
      <c r="S9" s="89" t="s">
        <v>23</v>
      </c>
      <c r="T9" s="89" t="s">
        <v>23</v>
      </c>
      <c r="U9" s="89" t="s">
        <v>23</v>
      </c>
      <c r="V9" s="93" t="s">
        <v>23</v>
      </c>
      <c r="W9" s="93" t="s">
        <v>23</v>
      </c>
      <c r="X9" s="89" t="s">
        <v>23</v>
      </c>
      <c r="Y9" s="89" t="s">
        <v>23</v>
      </c>
      <c r="Z9" s="89" t="s">
        <v>23</v>
      </c>
      <c r="AA9" s="89" t="s">
        <v>23</v>
      </c>
      <c r="AB9" s="89" t="s">
        <v>23</v>
      </c>
      <c r="AC9" s="89" t="s">
        <v>23</v>
      </c>
      <c r="AD9" s="93" t="s">
        <v>23</v>
      </c>
      <c r="AE9" s="93" t="s">
        <v>23</v>
      </c>
      <c r="AF9" s="94">
        <v>0</v>
      </c>
      <c r="AG9" s="94"/>
      <c r="AH9" s="94"/>
      <c r="AI9" s="94"/>
      <c r="AJ9" s="95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9">
        <v>1600</v>
      </c>
      <c r="C10" s="90" cm="1">
        <f t="array" ref="C10">(SUM(VLOOKUP(H10:AE10,$AL$4:$AN$44,2,FALSE))+AF10*10)*IF(AJ10="是",$AW$4,$AW$3)</f>
        <v>870</v>
      </c>
      <c r="D10" s="89">
        <f>SUM($B$4:B10)-SUM($C$4:C10)</f>
        <v>4100</v>
      </c>
      <c r="E10" s="90" cm="1">
        <f t="array" ref="E10">SUM(VLOOKUP(H10:AE10,$AL$4:$AN$44,3,FALSE))</f>
        <v>245</v>
      </c>
      <c r="F10" s="90">
        <f>SUM($E$4:E10)+SUM($G$4:G10)</f>
        <v>2625</v>
      </c>
      <c r="G10" s="89">
        <v>0</v>
      </c>
      <c r="H10" s="91" t="s">
        <v>6</v>
      </c>
      <c r="I10" s="91" t="s">
        <v>17</v>
      </c>
      <c r="J10" s="92" t="s">
        <v>18</v>
      </c>
      <c r="K10" s="92" t="s">
        <v>18</v>
      </c>
      <c r="L10" s="97" t="s">
        <v>12</v>
      </c>
      <c r="M10" s="92" t="s">
        <v>18</v>
      </c>
      <c r="N10" s="93" t="s">
        <v>23</v>
      </c>
      <c r="O10" s="93" t="s">
        <v>23</v>
      </c>
      <c r="P10" s="89" t="s">
        <v>23</v>
      </c>
      <c r="Q10" s="89" t="s">
        <v>23</v>
      </c>
      <c r="R10" s="89" t="s">
        <v>23</v>
      </c>
      <c r="S10" s="89" t="s">
        <v>23</v>
      </c>
      <c r="T10" s="89" t="s">
        <v>23</v>
      </c>
      <c r="U10" s="89" t="s">
        <v>23</v>
      </c>
      <c r="V10" s="93" t="s">
        <v>23</v>
      </c>
      <c r="W10" s="93" t="s">
        <v>23</v>
      </c>
      <c r="X10" s="89" t="s">
        <v>23</v>
      </c>
      <c r="Y10" s="89" t="s">
        <v>23</v>
      </c>
      <c r="Z10" s="89" t="s">
        <v>23</v>
      </c>
      <c r="AA10" s="89" t="s">
        <v>23</v>
      </c>
      <c r="AB10" s="89" t="s">
        <v>23</v>
      </c>
      <c r="AC10" s="89" t="s">
        <v>23</v>
      </c>
      <c r="AD10" s="93" t="s">
        <v>23</v>
      </c>
      <c r="AE10" s="93" t="s">
        <v>23</v>
      </c>
      <c r="AF10" s="94">
        <v>0</v>
      </c>
      <c r="AG10" s="94"/>
      <c r="AH10" s="94"/>
      <c r="AI10" s="94"/>
      <c r="AJ10" s="95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9">
        <v>1600</v>
      </c>
      <c r="C11" s="90" cm="1">
        <f t="array" ref="C11">(SUM(VLOOKUP(H11:AE11,$AL$4:$AN$44,2,FALSE))+AF11*10)*IF(AJ11="是",$AW$4,$AW$3)</f>
        <v>1170</v>
      </c>
      <c r="D11" s="89">
        <f>SUM($B$4:B11)-SUM($C$4:C11)</f>
        <v>4530</v>
      </c>
      <c r="E11" s="90" cm="1">
        <f t="array" ref="E11">SUM(VLOOKUP(H11:AE11,$AL$4:$AN$44,3,FALSE))</f>
        <v>470</v>
      </c>
      <c r="F11" s="90">
        <f>SUM($E$4:E11)+SUM($G$4:G11)</f>
        <v>3095</v>
      </c>
      <c r="G11" s="89">
        <v>0</v>
      </c>
      <c r="H11" s="99" t="s">
        <v>72</v>
      </c>
      <c r="I11" s="92" t="s">
        <v>18</v>
      </c>
      <c r="J11" s="92" t="s">
        <v>18</v>
      </c>
      <c r="K11" s="102" t="s">
        <v>13</v>
      </c>
      <c r="L11" s="92" t="s">
        <v>18</v>
      </c>
      <c r="M11" s="99" t="s">
        <v>71</v>
      </c>
      <c r="N11" s="92" t="s">
        <v>18</v>
      </c>
      <c r="O11" s="92" t="s">
        <v>18</v>
      </c>
      <c r="P11" s="89" t="s">
        <v>23</v>
      </c>
      <c r="Q11" s="89" t="s">
        <v>23</v>
      </c>
      <c r="R11" s="89" t="s">
        <v>23</v>
      </c>
      <c r="S11" s="89" t="s">
        <v>23</v>
      </c>
      <c r="T11" s="89" t="s">
        <v>23</v>
      </c>
      <c r="U11" s="89" t="s">
        <v>23</v>
      </c>
      <c r="V11" s="93" t="s">
        <v>23</v>
      </c>
      <c r="W11" s="93" t="s">
        <v>23</v>
      </c>
      <c r="X11" s="89" t="s">
        <v>23</v>
      </c>
      <c r="Y11" s="89" t="s">
        <v>23</v>
      </c>
      <c r="Z11" s="89" t="s">
        <v>23</v>
      </c>
      <c r="AA11" s="89" t="s">
        <v>23</v>
      </c>
      <c r="AB11" s="89" t="s">
        <v>23</v>
      </c>
      <c r="AC11" s="89" t="s">
        <v>23</v>
      </c>
      <c r="AD11" s="93" t="s">
        <v>23</v>
      </c>
      <c r="AE11" s="93" t="s">
        <v>23</v>
      </c>
      <c r="AF11" s="94">
        <v>5</v>
      </c>
      <c r="AG11" s="94">
        <v>5</v>
      </c>
      <c r="AH11" s="94"/>
      <c r="AI11" s="94"/>
      <c r="AJ11" s="95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1</v>
      </c>
      <c r="AQ11" s="19">
        <f t="shared" si="4"/>
        <v>0</v>
      </c>
      <c r="AR11" s="19">
        <f t="shared" si="5"/>
        <v>6</v>
      </c>
      <c r="AS11" s="50">
        <f t="shared" si="6"/>
        <v>200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9">
        <v>1600</v>
      </c>
      <c r="C12" s="90" cm="1">
        <f t="array" ref="C12">(SUM(VLOOKUP(H12:AE12,$AL$4:$AN$44,2,FALSE))+AF12*10)*IF(AJ12="是",$AW$4,$AW$3)</f>
        <v>1020</v>
      </c>
      <c r="D12" s="89">
        <f>SUM($B$4:B12)-SUM($C$4:C12)</f>
        <v>5110</v>
      </c>
      <c r="E12" s="90" cm="1">
        <f t="array" ref="E12">SUM(VLOOKUP(H12:AE12,$AL$4:$AN$44,3,FALSE))</f>
        <v>270</v>
      </c>
      <c r="F12" s="90">
        <f>SUM($E$4:E12)+SUM($G$4:G12)</f>
        <v>3365</v>
      </c>
      <c r="G12" s="89">
        <v>0</v>
      </c>
      <c r="H12" s="92" t="s">
        <v>18</v>
      </c>
      <c r="I12" s="92" t="s">
        <v>18</v>
      </c>
      <c r="J12" s="92" t="s">
        <v>18</v>
      </c>
      <c r="K12" s="92" t="s">
        <v>18</v>
      </c>
      <c r="L12" s="92" t="s">
        <v>18</v>
      </c>
      <c r="M12" s="92" t="s">
        <v>18</v>
      </c>
      <c r="N12" s="93" t="s">
        <v>23</v>
      </c>
      <c r="O12" s="93" t="s">
        <v>23</v>
      </c>
      <c r="P12" s="89" t="s">
        <v>23</v>
      </c>
      <c r="Q12" s="89" t="s">
        <v>23</v>
      </c>
      <c r="R12" s="89" t="s">
        <v>23</v>
      </c>
      <c r="S12" s="89" t="s">
        <v>23</v>
      </c>
      <c r="T12" s="89" t="s">
        <v>23</v>
      </c>
      <c r="U12" s="89" t="s">
        <v>23</v>
      </c>
      <c r="V12" s="93" t="s">
        <v>23</v>
      </c>
      <c r="W12" s="93" t="s">
        <v>23</v>
      </c>
      <c r="X12" s="89" t="s">
        <v>23</v>
      </c>
      <c r="Y12" s="89" t="s">
        <v>23</v>
      </c>
      <c r="Z12" s="89" t="s">
        <v>23</v>
      </c>
      <c r="AA12" s="89" t="s">
        <v>23</v>
      </c>
      <c r="AB12" s="89" t="s">
        <v>23</v>
      </c>
      <c r="AC12" s="89" t="s">
        <v>23</v>
      </c>
      <c r="AD12" s="93" t="s">
        <v>23</v>
      </c>
      <c r="AE12" s="93" t="s">
        <v>23</v>
      </c>
      <c r="AF12" s="94">
        <v>0</v>
      </c>
      <c r="AG12" s="94"/>
      <c r="AH12" s="94"/>
      <c r="AI12" s="94"/>
      <c r="AJ12" s="95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76">
        <v>44465</v>
      </c>
      <c r="B13" s="89">
        <v>1600</v>
      </c>
      <c r="C13" s="90" cm="1">
        <f t="array" ref="C13">(SUM(VLOOKUP(H13:AE13,$AL$4:$AN$44,2,FALSE))+AF13*10)*IF(AJ13="是",$AW$4,$AW$3)</f>
        <v>1100</v>
      </c>
      <c r="D13" s="89">
        <f>SUM($B$4:B13)-SUM($C$4:C13)</f>
        <v>5610</v>
      </c>
      <c r="E13" s="90" cm="1">
        <f t="array" ref="E13">SUM(VLOOKUP(H13:AE13,$AL$4:$AN$44,3,FALSE))</f>
        <v>425</v>
      </c>
      <c r="F13" s="90">
        <f>SUM($E$4:E13)+SUM($G$4:G13)</f>
        <v>3790</v>
      </c>
      <c r="G13" s="89">
        <v>0</v>
      </c>
      <c r="H13" s="99" t="s">
        <v>72</v>
      </c>
      <c r="I13" s="92" t="s">
        <v>18</v>
      </c>
      <c r="J13" s="92" t="s">
        <v>18</v>
      </c>
      <c r="K13" s="92" t="s">
        <v>18</v>
      </c>
      <c r="L13" s="92" t="s">
        <v>18</v>
      </c>
      <c r="M13" s="99" t="s">
        <v>71</v>
      </c>
      <c r="N13" s="93" t="s">
        <v>23</v>
      </c>
      <c r="O13" s="93" t="s">
        <v>23</v>
      </c>
      <c r="P13" s="89" t="s">
        <v>23</v>
      </c>
      <c r="Q13" s="89" t="s">
        <v>23</v>
      </c>
      <c r="R13" s="89" t="s">
        <v>23</v>
      </c>
      <c r="S13" s="89" t="s">
        <v>23</v>
      </c>
      <c r="T13" s="89" t="s">
        <v>23</v>
      </c>
      <c r="U13" s="89" t="s">
        <v>23</v>
      </c>
      <c r="V13" s="93" t="s">
        <v>23</v>
      </c>
      <c r="W13" s="93" t="s">
        <v>23</v>
      </c>
      <c r="X13" s="89" t="s">
        <v>23</v>
      </c>
      <c r="Y13" s="89" t="s">
        <v>23</v>
      </c>
      <c r="Z13" s="89" t="s">
        <v>23</v>
      </c>
      <c r="AA13" s="89" t="s">
        <v>23</v>
      </c>
      <c r="AB13" s="89" t="s">
        <v>23</v>
      </c>
      <c r="AC13" s="89" t="s">
        <v>23</v>
      </c>
      <c r="AD13" s="93" t="s">
        <v>23</v>
      </c>
      <c r="AE13" s="93" t="s">
        <v>23</v>
      </c>
      <c r="AF13" s="94">
        <v>0</v>
      </c>
      <c r="AG13" s="94"/>
      <c r="AH13" s="94"/>
      <c r="AI13" s="94"/>
      <c r="AJ13" s="95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76">
        <v>44466</v>
      </c>
      <c r="B14" s="90">
        <v>1600</v>
      </c>
      <c r="C14" s="90" cm="1">
        <f t="array" ref="C14">(SUM(VLOOKUP(H14:AE14,$AL$4:$AN$44,2,FALSE))+AF14*10)*IF(AJ14="是",$AW$4,$AW$3)</f>
        <v>890</v>
      </c>
      <c r="D14" s="90">
        <f>SUM($B$4:B14)-SUM($C$4:C14)</f>
        <v>6320</v>
      </c>
      <c r="E14" s="90" cm="1">
        <f t="array" ref="E14">SUM(VLOOKUP(H14:AE14,$AL$4:$AN$44,3,FALSE))</f>
        <v>250</v>
      </c>
      <c r="F14" s="90">
        <f>SUM($E$4:E14)+SUM($G$4:G14)</f>
        <v>4340</v>
      </c>
      <c r="G14" s="90">
        <v>300</v>
      </c>
      <c r="H14" s="92" t="s">
        <v>18</v>
      </c>
      <c r="I14" s="92" t="s">
        <v>18</v>
      </c>
      <c r="J14" s="97" t="s">
        <v>12</v>
      </c>
      <c r="K14" s="92" t="s">
        <v>18</v>
      </c>
      <c r="L14" s="92" t="s">
        <v>18</v>
      </c>
      <c r="M14" s="91" t="s">
        <v>17</v>
      </c>
      <c r="N14" s="93" t="s">
        <v>23</v>
      </c>
      <c r="O14" s="93" t="s">
        <v>23</v>
      </c>
      <c r="P14" s="89" t="s">
        <v>23</v>
      </c>
      <c r="Q14" s="89" t="s">
        <v>23</v>
      </c>
      <c r="R14" s="89" t="s">
        <v>23</v>
      </c>
      <c r="S14" s="89" t="s">
        <v>23</v>
      </c>
      <c r="T14" s="89" t="s">
        <v>23</v>
      </c>
      <c r="U14" s="89" t="s">
        <v>23</v>
      </c>
      <c r="V14" s="93" t="s">
        <v>23</v>
      </c>
      <c r="W14" s="93" t="s">
        <v>23</v>
      </c>
      <c r="X14" s="89" t="s">
        <v>23</v>
      </c>
      <c r="Y14" s="89" t="s">
        <v>23</v>
      </c>
      <c r="Z14" s="89" t="s">
        <v>23</v>
      </c>
      <c r="AA14" s="89" t="s">
        <v>23</v>
      </c>
      <c r="AB14" s="89" t="s">
        <v>23</v>
      </c>
      <c r="AC14" s="89" t="s">
        <v>23</v>
      </c>
      <c r="AD14" s="93" t="s">
        <v>23</v>
      </c>
      <c r="AE14" s="93" t="s">
        <v>23</v>
      </c>
      <c r="AF14" s="94">
        <v>0</v>
      </c>
      <c r="AG14" s="94"/>
      <c r="AH14" s="94"/>
      <c r="AI14" s="94"/>
      <c r="AJ14" s="95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76">
        <v>44467</v>
      </c>
      <c r="B15" s="90">
        <v>1600</v>
      </c>
      <c r="C15" s="90" cm="1">
        <f t="array" ref="C15">(SUM(VLOOKUP(H15:AE15,$AL$4:$AN$44,2,FALSE))+AF15*10)*IF(AJ15="是",$AW$4,$AW$3)</f>
        <v>970</v>
      </c>
      <c r="D15" s="90">
        <f>SUM($B$4:B15)-SUM($C$4:C15)</f>
        <v>6950</v>
      </c>
      <c r="E15" s="90" cm="1">
        <f t="array" ref="E15">SUM(VLOOKUP(H15:AE15,$AL$4:$AN$44,3,FALSE))</f>
        <v>250</v>
      </c>
      <c r="F15" s="90">
        <f>SUM($E$4:E15)+SUM($G$4:G15)</f>
        <v>4590</v>
      </c>
      <c r="G15" s="90">
        <v>0</v>
      </c>
      <c r="H15" s="91" t="s">
        <v>17</v>
      </c>
      <c r="I15" s="91" t="s">
        <v>17</v>
      </c>
      <c r="J15" s="91" t="s">
        <v>17</v>
      </c>
      <c r="K15" s="105" t="s">
        <v>6</v>
      </c>
      <c r="L15" s="92" t="s">
        <v>18</v>
      </c>
      <c r="M15" s="99" t="s">
        <v>72</v>
      </c>
      <c r="N15" s="93" t="s">
        <v>23</v>
      </c>
      <c r="O15" s="93" t="s">
        <v>23</v>
      </c>
      <c r="P15" s="89" t="s">
        <v>23</v>
      </c>
      <c r="Q15" s="89" t="s">
        <v>23</v>
      </c>
      <c r="R15" s="89" t="s">
        <v>23</v>
      </c>
      <c r="S15" s="89" t="s">
        <v>23</v>
      </c>
      <c r="T15" s="89" t="s">
        <v>23</v>
      </c>
      <c r="U15" s="89" t="s">
        <v>23</v>
      </c>
      <c r="V15" s="93" t="s">
        <v>23</v>
      </c>
      <c r="W15" s="93" t="s">
        <v>23</v>
      </c>
      <c r="X15" s="89" t="s">
        <v>23</v>
      </c>
      <c r="Y15" s="89" t="s">
        <v>23</v>
      </c>
      <c r="Z15" s="89" t="s">
        <v>23</v>
      </c>
      <c r="AA15" s="89" t="s">
        <v>23</v>
      </c>
      <c r="AB15" s="89" t="s">
        <v>23</v>
      </c>
      <c r="AC15" s="89" t="s">
        <v>23</v>
      </c>
      <c r="AD15" s="93" t="s">
        <v>23</v>
      </c>
      <c r="AE15" s="93" t="s">
        <v>23</v>
      </c>
      <c r="AF15" s="94">
        <v>0</v>
      </c>
      <c r="AG15" s="94"/>
      <c r="AH15" s="94"/>
      <c r="AI15" s="94"/>
      <c r="AJ15" s="95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76">
        <v>44468</v>
      </c>
      <c r="B16" s="90">
        <v>1600</v>
      </c>
      <c r="C16" s="90" cm="1">
        <f t="array" ref="C16">(SUM(VLOOKUP(H16:AE16,$AL$4:$AN$44,2,FALSE))+AF16*10)*IF(AJ16="是",$AW$4,$AW$3)</f>
        <v>1000</v>
      </c>
      <c r="D16" s="90">
        <f>SUM($B$4:B16)-SUM($C$4:C16)</f>
        <v>7550</v>
      </c>
      <c r="E16" s="90" cm="1">
        <f t="array" ref="E16">SUM(VLOOKUP(H16:AE16,$AL$4:$AN$44,3,FALSE))</f>
        <v>270</v>
      </c>
      <c r="F16" s="90">
        <f>SUM($E$4:E16)+SUM($G$4:G16)</f>
        <v>5060</v>
      </c>
      <c r="G16" s="90">
        <v>200</v>
      </c>
      <c r="H16" s="92" t="s">
        <v>18</v>
      </c>
      <c r="I16" s="92" t="s">
        <v>18</v>
      </c>
      <c r="J16" s="92" t="s">
        <v>18</v>
      </c>
      <c r="K16" s="92" t="s">
        <v>7</v>
      </c>
      <c r="L16" s="92" t="s">
        <v>18</v>
      </c>
      <c r="M16" s="92" t="s">
        <v>18</v>
      </c>
      <c r="N16" s="93" t="s">
        <v>23</v>
      </c>
      <c r="O16" s="93" t="s">
        <v>23</v>
      </c>
      <c r="P16" s="89" t="s">
        <v>23</v>
      </c>
      <c r="Q16" s="89" t="s">
        <v>23</v>
      </c>
      <c r="R16" s="89" t="s">
        <v>23</v>
      </c>
      <c r="S16" s="89" t="s">
        <v>23</v>
      </c>
      <c r="T16" s="89" t="s">
        <v>23</v>
      </c>
      <c r="U16" s="89" t="s">
        <v>23</v>
      </c>
      <c r="V16" s="93" t="s">
        <v>23</v>
      </c>
      <c r="W16" s="93" t="s">
        <v>23</v>
      </c>
      <c r="X16" s="89" t="s">
        <v>23</v>
      </c>
      <c r="Y16" s="89" t="s">
        <v>23</v>
      </c>
      <c r="Z16" s="89" t="s">
        <v>23</v>
      </c>
      <c r="AA16" s="89" t="s">
        <v>23</v>
      </c>
      <c r="AB16" s="89" t="s">
        <v>23</v>
      </c>
      <c r="AC16" s="89" t="s">
        <v>23</v>
      </c>
      <c r="AD16" s="93" t="s">
        <v>23</v>
      </c>
      <c r="AE16" s="93" t="s">
        <v>23</v>
      </c>
      <c r="AF16" s="94">
        <v>0</v>
      </c>
      <c r="AG16" s="94"/>
      <c r="AH16" s="94"/>
      <c r="AI16" s="94"/>
      <c r="AJ16" s="95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2</v>
      </c>
      <c r="AQ16" s="19">
        <f t="shared" si="4"/>
        <v>0</v>
      </c>
      <c r="AR16" s="19">
        <f t="shared" si="5"/>
        <v>2</v>
      </c>
      <c r="AS16" s="50">
        <f t="shared" si="6"/>
        <v>0</v>
      </c>
      <c r="AT16" s="50">
        <f t="shared" si="2"/>
        <v>70</v>
      </c>
      <c r="AU16" s="50">
        <f t="shared" si="2"/>
        <v>0</v>
      </c>
      <c r="AY16">
        <f t="shared" si="7"/>
        <v>120</v>
      </c>
    </row>
    <row r="17" spans="1:51">
      <c r="A17" s="76">
        <v>44469</v>
      </c>
      <c r="B17" s="90">
        <v>1600</v>
      </c>
      <c r="C17" s="90" cm="1">
        <f t="array" ref="C17">(SUM(VLOOKUP(H17:AE17,$AL$4:$AN$44,2,FALSE))+AF17*10)*IF(AJ17="是",$AW$4,$AW$3)</f>
        <v>1110</v>
      </c>
      <c r="D17" s="90">
        <f>SUM($B$4:B17)-SUM($C$4:C17)</f>
        <v>8040</v>
      </c>
      <c r="E17" s="90" cm="1">
        <f t="array" ref="E17">SUM(VLOOKUP(H17:AE17,$AL$4:$AN$44,3,FALSE))</f>
        <v>425</v>
      </c>
      <c r="F17" s="90">
        <f>SUM($E$4:E17)+SUM($G$4:G17)</f>
        <v>5485</v>
      </c>
      <c r="G17" s="90">
        <v>0</v>
      </c>
      <c r="H17" s="99" t="s">
        <v>71</v>
      </c>
      <c r="I17" s="92" t="s">
        <v>18</v>
      </c>
      <c r="J17" s="92" t="s">
        <v>18</v>
      </c>
      <c r="K17" s="92" t="s">
        <v>18</v>
      </c>
      <c r="L17" s="92" t="s">
        <v>18</v>
      </c>
      <c r="M17" s="92" t="s">
        <v>18</v>
      </c>
      <c r="N17" s="93" t="s">
        <v>23</v>
      </c>
      <c r="O17" s="93" t="s">
        <v>23</v>
      </c>
      <c r="P17" s="89" t="s">
        <v>23</v>
      </c>
      <c r="Q17" s="89" t="s">
        <v>23</v>
      </c>
      <c r="R17" s="89" t="s">
        <v>23</v>
      </c>
      <c r="S17" s="89" t="s">
        <v>23</v>
      </c>
      <c r="T17" s="89" t="s">
        <v>23</v>
      </c>
      <c r="U17" s="89" t="s">
        <v>23</v>
      </c>
      <c r="V17" s="93" t="s">
        <v>23</v>
      </c>
      <c r="W17" s="93" t="s">
        <v>23</v>
      </c>
      <c r="X17" s="89" t="s">
        <v>23</v>
      </c>
      <c r="Y17" s="89" t="s">
        <v>23</v>
      </c>
      <c r="Z17" s="89" t="s">
        <v>23</v>
      </c>
      <c r="AA17" s="89" t="s">
        <v>23</v>
      </c>
      <c r="AB17" s="89" t="s">
        <v>23</v>
      </c>
      <c r="AC17" s="89" t="s">
        <v>23</v>
      </c>
      <c r="AD17" s="93" t="s">
        <v>23</v>
      </c>
      <c r="AE17" s="93" t="s">
        <v>23</v>
      </c>
      <c r="AF17" s="94">
        <v>1</v>
      </c>
      <c r="AG17" s="94">
        <v>1</v>
      </c>
      <c r="AH17" s="94"/>
      <c r="AI17" s="94"/>
      <c r="AJ17" s="95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76">
        <v>44470</v>
      </c>
      <c r="B18" s="90">
        <v>1600</v>
      </c>
      <c r="C18" s="106" cm="1">
        <f t="array" ref="C18">(SUM(VLOOKUP(H18:AE18,$AL$4:$AN$44,2,FALSE))+AF18*10)*IF(AJ18="是",$AW$4,$AW$3)-232</f>
        <v>1488</v>
      </c>
      <c r="D18" s="90">
        <f>SUM($B$4:B18)-SUM($C$4:C18)</f>
        <v>8152</v>
      </c>
      <c r="E18" s="90" cm="1">
        <f t="array" ref="E18">SUM(VLOOKUP(H18:AE18,$AL$4:$AN$44,3,FALSE))</f>
        <v>460</v>
      </c>
      <c r="F18" s="90">
        <f>SUM($E$4:E18)+SUM($G$4:G18)</f>
        <v>5945</v>
      </c>
      <c r="G18" s="90">
        <v>0</v>
      </c>
      <c r="H18" s="97" t="s">
        <v>12</v>
      </c>
      <c r="I18" s="92" t="s">
        <v>18</v>
      </c>
      <c r="J18" s="92" t="s">
        <v>18</v>
      </c>
      <c r="K18" s="99" t="s">
        <v>72</v>
      </c>
      <c r="L18" s="92" t="s">
        <v>18</v>
      </c>
      <c r="M18" s="92" t="s">
        <v>18</v>
      </c>
      <c r="N18" s="93" t="s">
        <v>23</v>
      </c>
      <c r="O18" s="93" t="s">
        <v>23</v>
      </c>
      <c r="P18" s="107" t="s">
        <v>11</v>
      </c>
      <c r="Q18" s="96" t="s">
        <v>16</v>
      </c>
      <c r="R18" s="97" t="s">
        <v>12</v>
      </c>
      <c r="S18" s="96" t="s">
        <v>16</v>
      </c>
      <c r="T18" s="96" t="s">
        <v>16</v>
      </c>
      <c r="U18" s="96" t="s">
        <v>16</v>
      </c>
      <c r="V18" s="93" t="s">
        <v>23</v>
      </c>
      <c r="W18" s="93" t="s">
        <v>23</v>
      </c>
      <c r="X18" s="89" t="s">
        <v>23</v>
      </c>
      <c r="Y18" s="89" t="s">
        <v>23</v>
      </c>
      <c r="Z18" s="89" t="s">
        <v>23</v>
      </c>
      <c r="AA18" s="89" t="s">
        <v>23</v>
      </c>
      <c r="AB18" s="89" t="s">
        <v>23</v>
      </c>
      <c r="AC18" s="89" t="s">
        <v>23</v>
      </c>
      <c r="AD18" s="93" t="s">
        <v>23</v>
      </c>
      <c r="AE18" s="93" t="s">
        <v>23</v>
      </c>
      <c r="AF18" s="94">
        <v>2</v>
      </c>
      <c r="AG18" s="94"/>
      <c r="AH18" s="94">
        <v>2</v>
      </c>
      <c r="AI18" s="94"/>
      <c r="AJ18" s="95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8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3" t="s">
        <v>16</v>
      </c>
      <c r="Q19" s="83" t="s">
        <v>16</v>
      </c>
      <c r="R19" s="83" t="s">
        <v>16</v>
      </c>
      <c r="S19" s="77" t="s">
        <v>12</v>
      </c>
      <c r="T19" s="83" t="s">
        <v>16</v>
      </c>
      <c r="U19" s="82" t="s">
        <v>47</v>
      </c>
      <c r="V19" s="83" t="s">
        <v>16</v>
      </c>
      <c r="W19" s="83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8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8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8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2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8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8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4" t="s">
        <v>19</v>
      </c>
      <c r="U24" s="84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8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2" t="s">
        <v>47</v>
      </c>
      <c r="Q25" s="84" t="s">
        <v>19</v>
      </c>
      <c r="R25" s="84" t="s">
        <v>19</v>
      </c>
      <c r="S25" s="84" t="s">
        <v>19</v>
      </c>
      <c r="T25" s="84" t="s">
        <v>19</v>
      </c>
      <c r="U25" s="84" t="s">
        <v>19</v>
      </c>
      <c r="V25" s="84" t="s">
        <v>19</v>
      </c>
      <c r="W25" s="84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8">
        <f>SUM($E$4:E26)+SUM($G$4:G26)</f>
        <v>10710</v>
      </c>
      <c r="G26" s="56">
        <v>0</v>
      </c>
      <c r="H26" s="79" t="s">
        <v>18</v>
      </c>
      <c r="I26" s="79" t="s">
        <v>18</v>
      </c>
      <c r="J26" s="82" t="s">
        <v>47</v>
      </c>
      <c r="K26" s="79" t="s">
        <v>18</v>
      </c>
      <c r="L26" s="79" t="s">
        <v>18</v>
      </c>
      <c r="M26" s="79" t="s">
        <v>18</v>
      </c>
      <c r="N26" s="84" t="s">
        <v>19</v>
      </c>
      <c r="O26" s="84" t="s">
        <v>19</v>
      </c>
      <c r="P26" s="84" t="s">
        <v>19</v>
      </c>
      <c r="Q26" s="84" t="s">
        <v>19</v>
      </c>
      <c r="R26" s="84" t="s">
        <v>19</v>
      </c>
      <c r="S26" s="77" t="s">
        <v>12</v>
      </c>
      <c r="T26" s="84" t="s">
        <v>19</v>
      </c>
      <c r="U26" s="84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8">
        <f>SUM($E$4:E27)+SUM($G$4:G27)</f>
        <v>11295</v>
      </c>
      <c r="G27" s="56">
        <v>0</v>
      </c>
      <c r="H27" s="84" t="s">
        <v>19</v>
      </c>
      <c r="I27" s="84" t="s">
        <v>19</v>
      </c>
      <c r="J27" s="84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4" t="s">
        <v>19</v>
      </c>
      <c r="Q27" s="84" t="s">
        <v>19</v>
      </c>
      <c r="R27" s="84" t="s">
        <v>19</v>
      </c>
      <c r="S27" s="84" t="s">
        <v>19</v>
      </c>
      <c r="T27" s="84" t="s">
        <v>19</v>
      </c>
      <c r="U27" s="84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8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4" t="s">
        <v>19</v>
      </c>
      <c r="Q28" s="84" t="s">
        <v>19</v>
      </c>
      <c r="R28" s="84" t="s">
        <v>19</v>
      </c>
      <c r="S28" s="82" t="s">
        <v>47</v>
      </c>
      <c r="T28" s="84" t="s">
        <v>19</v>
      </c>
      <c r="U28" s="84" t="s">
        <v>19</v>
      </c>
      <c r="V28" s="84" t="s">
        <v>19</v>
      </c>
      <c r="W28" s="84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8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4" t="s">
        <v>19</v>
      </c>
      <c r="Q29" s="84" t="s">
        <v>19</v>
      </c>
      <c r="R29" s="84" t="s">
        <v>19</v>
      </c>
      <c r="S29" s="84" t="s">
        <v>19</v>
      </c>
      <c r="T29" s="84" t="s">
        <v>19</v>
      </c>
      <c r="U29" s="84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8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4" t="s">
        <v>19</v>
      </c>
      <c r="Q30" s="84" t="s">
        <v>19</v>
      </c>
      <c r="R30" s="84" t="s">
        <v>19</v>
      </c>
      <c r="S30" s="84" t="s">
        <v>19</v>
      </c>
      <c r="T30" s="84" t="s">
        <v>19</v>
      </c>
      <c r="U30" s="84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8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4" t="s">
        <v>19</v>
      </c>
      <c r="Q31" s="84" t="s">
        <v>19</v>
      </c>
      <c r="R31" s="84" t="s">
        <v>19</v>
      </c>
      <c r="S31" s="84" t="s">
        <v>19</v>
      </c>
      <c r="T31" s="84" t="s">
        <v>19</v>
      </c>
      <c r="U31" s="84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8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4" t="s">
        <v>19</v>
      </c>
      <c r="L32" s="84" t="s">
        <v>19</v>
      </c>
      <c r="M32" s="84" t="s">
        <v>19</v>
      </c>
      <c r="N32" s="7" t="s">
        <v>23</v>
      </c>
      <c r="O32" s="7" t="s">
        <v>23</v>
      </c>
      <c r="P32" s="84" t="s">
        <v>19</v>
      </c>
      <c r="Q32" s="84" t="s">
        <v>19</v>
      </c>
      <c r="R32" s="77" t="s">
        <v>12</v>
      </c>
      <c r="S32" s="84" t="s">
        <v>19</v>
      </c>
      <c r="T32" s="84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8">
        <f>SUM($E$4:E33)+SUM($G$4:G33)</f>
        <v>15265</v>
      </c>
      <c r="G33" s="55">
        <v>0</v>
      </c>
      <c r="H33" s="84" t="s">
        <v>19</v>
      </c>
      <c r="I33" s="84" t="s">
        <v>19</v>
      </c>
      <c r="J33" s="84" t="s">
        <v>19</v>
      </c>
      <c r="K33" s="84" t="s">
        <v>19</v>
      </c>
      <c r="L33" s="84" t="s">
        <v>19</v>
      </c>
      <c r="M33" s="84" t="s">
        <v>19</v>
      </c>
      <c r="N33" s="7" t="s">
        <v>23</v>
      </c>
      <c r="O33" s="7" t="s">
        <v>23</v>
      </c>
      <c r="P33" s="84" t="s">
        <v>19</v>
      </c>
      <c r="Q33" s="84" t="s">
        <v>19</v>
      </c>
      <c r="R33" s="84" t="s">
        <v>19</v>
      </c>
      <c r="S33" s="84" t="s">
        <v>19</v>
      </c>
      <c r="T33" s="84" t="s">
        <v>19</v>
      </c>
      <c r="U33" s="84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8">
        <f>SUM($E$4:E34)+SUM($G$4:G34)</f>
        <v>15865</v>
      </c>
      <c r="G34" s="55">
        <v>0</v>
      </c>
      <c r="H34" s="84" t="s">
        <v>19</v>
      </c>
      <c r="I34" s="84" t="s">
        <v>19</v>
      </c>
      <c r="J34" s="84" t="s">
        <v>19</v>
      </c>
      <c r="K34" s="84" t="s">
        <v>19</v>
      </c>
      <c r="L34" s="84" t="s">
        <v>19</v>
      </c>
      <c r="M34" s="84" t="s">
        <v>19</v>
      </c>
      <c r="N34" s="7" t="s">
        <v>23</v>
      </c>
      <c r="O34" s="7" t="s">
        <v>23</v>
      </c>
      <c r="P34" s="84" t="s">
        <v>19</v>
      </c>
      <c r="Q34" s="84" t="s">
        <v>19</v>
      </c>
      <c r="R34" s="84" t="s">
        <v>19</v>
      </c>
      <c r="S34" s="84" t="s">
        <v>19</v>
      </c>
      <c r="T34" s="84" t="s">
        <v>19</v>
      </c>
      <c r="U34" s="84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8">
        <f>SUM($E$4:E35)+SUM($G$4:G35)</f>
        <v>16645</v>
      </c>
      <c r="G35" s="56">
        <v>200</v>
      </c>
      <c r="H35" s="84" t="s">
        <v>19</v>
      </c>
      <c r="I35" s="84" t="s">
        <v>19</v>
      </c>
      <c r="J35" s="84" t="s">
        <v>19</v>
      </c>
      <c r="K35" s="84" t="s">
        <v>19</v>
      </c>
      <c r="L35" s="84" t="s">
        <v>19</v>
      </c>
      <c r="M35" s="77" t="s">
        <v>12</v>
      </c>
      <c r="N35" s="7" t="s">
        <v>23</v>
      </c>
      <c r="O35" s="7" t="s">
        <v>23</v>
      </c>
      <c r="P35" s="84" t="s">
        <v>19</v>
      </c>
      <c r="Q35" s="84" t="s">
        <v>19</v>
      </c>
      <c r="R35" s="84" t="s">
        <v>19</v>
      </c>
      <c r="S35" s="84" t="s">
        <v>19</v>
      </c>
      <c r="T35" s="84" t="s">
        <v>19</v>
      </c>
      <c r="U35" s="84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8">
        <f>SUM($E$4:E36)+SUM($G$4:G36)</f>
        <v>17325</v>
      </c>
      <c r="G36" s="56">
        <v>100</v>
      </c>
      <c r="H36" s="84" t="s">
        <v>19</v>
      </c>
      <c r="I36" s="84" t="s">
        <v>19</v>
      </c>
      <c r="J36" s="84" t="s">
        <v>19</v>
      </c>
      <c r="K36" s="84" t="s">
        <v>19</v>
      </c>
      <c r="L36" s="84" t="s">
        <v>19</v>
      </c>
      <c r="M36" s="84" t="s">
        <v>19</v>
      </c>
      <c r="N36" s="7" t="s">
        <v>23</v>
      </c>
      <c r="O36" s="7" t="s">
        <v>23</v>
      </c>
      <c r="P36" s="77" t="s">
        <v>12</v>
      </c>
      <c r="Q36" s="84" t="s">
        <v>19</v>
      </c>
      <c r="R36" s="84" t="s">
        <v>19</v>
      </c>
      <c r="S36" s="84" t="s">
        <v>19</v>
      </c>
      <c r="T36" s="23" t="s">
        <v>8</v>
      </c>
      <c r="U36" s="84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8">
        <f>SUM($E$4:E37)+SUM($G$4:G37)</f>
        <v>18125</v>
      </c>
      <c r="G37" s="56">
        <v>200</v>
      </c>
      <c r="H37" s="84" t="s">
        <v>19</v>
      </c>
      <c r="I37" s="84" t="s">
        <v>19</v>
      </c>
      <c r="J37" s="84" t="s">
        <v>19</v>
      </c>
      <c r="K37" s="84" t="s">
        <v>19</v>
      </c>
      <c r="L37" s="84" t="s">
        <v>19</v>
      </c>
      <c r="M37" s="84" t="s">
        <v>19</v>
      </c>
      <c r="N37" s="7" t="s">
        <v>23</v>
      </c>
      <c r="O37" s="7" t="s">
        <v>23</v>
      </c>
      <c r="P37" s="84" t="s">
        <v>19</v>
      </c>
      <c r="Q37" s="84" t="s">
        <v>19</v>
      </c>
      <c r="R37" s="84" t="s">
        <v>19</v>
      </c>
      <c r="S37" s="84" t="s">
        <v>19</v>
      </c>
      <c r="T37" s="84" t="s">
        <v>19</v>
      </c>
      <c r="U37" s="84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8">
        <f>SUM($E$4:E38)+SUM($G$4:G38)</f>
        <v>18725</v>
      </c>
      <c r="G38" s="56">
        <v>0</v>
      </c>
      <c r="H38" s="84" t="s">
        <v>19</v>
      </c>
      <c r="I38" s="84" t="s">
        <v>19</v>
      </c>
      <c r="J38" s="84" t="s">
        <v>19</v>
      </c>
      <c r="K38" s="84" t="s">
        <v>19</v>
      </c>
      <c r="L38" s="84" t="s">
        <v>19</v>
      </c>
      <c r="M38" s="84" t="s">
        <v>19</v>
      </c>
      <c r="N38" s="7" t="s">
        <v>23</v>
      </c>
      <c r="O38" s="7" t="s">
        <v>23</v>
      </c>
      <c r="P38" s="84" t="s">
        <v>19</v>
      </c>
      <c r="Q38" s="84" t="s">
        <v>19</v>
      </c>
      <c r="R38" s="84" t="s">
        <v>19</v>
      </c>
      <c r="S38" s="84" t="s">
        <v>19</v>
      </c>
      <c r="T38" s="84" t="s">
        <v>19</v>
      </c>
      <c r="U38" s="84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8">
        <f>SUM($E$4:E39)+SUM($G$4:G39)</f>
        <v>19325</v>
      </c>
      <c r="G39" s="56">
        <v>0</v>
      </c>
      <c r="H39" s="84" t="s">
        <v>19</v>
      </c>
      <c r="I39" s="84" t="s">
        <v>8</v>
      </c>
      <c r="J39" s="84" t="s">
        <v>19</v>
      </c>
      <c r="K39" s="84" t="s">
        <v>19</v>
      </c>
      <c r="L39" s="77" t="s">
        <v>12</v>
      </c>
      <c r="M39" s="84" t="s">
        <v>19</v>
      </c>
      <c r="N39" s="7" t="s">
        <v>23</v>
      </c>
      <c r="O39" s="7" t="s">
        <v>23</v>
      </c>
      <c r="P39" s="84" t="s">
        <v>19</v>
      </c>
      <c r="Q39" s="24" t="s">
        <v>20</v>
      </c>
      <c r="R39" s="24" t="s">
        <v>20</v>
      </c>
      <c r="S39" s="84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8">
        <f>SUM($E$4:E40)+SUM($G$4:G40)</f>
        <v>20450</v>
      </c>
      <c r="G40" s="56">
        <v>0</v>
      </c>
      <c r="H40" s="84" t="s">
        <v>19</v>
      </c>
      <c r="I40" s="84" t="s">
        <v>19</v>
      </c>
      <c r="J40" s="84" t="s">
        <v>19</v>
      </c>
      <c r="K40" s="84" t="s">
        <v>19</v>
      </c>
      <c r="L40" s="84" t="s">
        <v>19</v>
      </c>
      <c r="M40" s="84" t="s">
        <v>19</v>
      </c>
      <c r="N40" s="82" t="s">
        <v>47</v>
      </c>
      <c r="O40" s="84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8">
        <f>SUM($E$4:E41)+SUM($G$4:G41)</f>
        <v>21080</v>
      </c>
      <c r="G41" s="56">
        <v>0</v>
      </c>
      <c r="H41" s="84" t="s">
        <v>19</v>
      </c>
      <c r="I41" s="84" t="s">
        <v>19</v>
      </c>
      <c r="J41" s="84" t="s">
        <v>19</v>
      </c>
      <c r="K41" s="84" t="s">
        <v>19</v>
      </c>
      <c r="L41" s="84" t="s">
        <v>19</v>
      </c>
      <c r="M41" s="84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8">
        <f>SUM($E$4:E42)+SUM($G$4:G42)</f>
        <v>21985</v>
      </c>
      <c r="G42" s="55">
        <v>300</v>
      </c>
      <c r="H42" s="84" t="s">
        <v>19</v>
      </c>
      <c r="I42" s="84" t="s">
        <v>19</v>
      </c>
      <c r="J42" s="84" t="s">
        <v>19</v>
      </c>
      <c r="K42" s="84" t="s">
        <v>19</v>
      </c>
      <c r="L42" s="84" t="s">
        <v>19</v>
      </c>
      <c r="M42" s="84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8">
        <f>SUM($E$4:E43)+SUM($G$4:G43)</f>
        <v>22615</v>
      </c>
      <c r="G43" s="55">
        <v>0</v>
      </c>
      <c r="H43" s="84" t="s">
        <v>19</v>
      </c>
      <c r="I43" s="84" t="s">
        <v>19</v>
      </c>
      <c r="J43" s="84" t="s">
        <v>19</v>
      </c>
      <c r="K43" s="84" t="s">
        <v>19</v>
      </c>
      <c r="L43" s="84" t="s">
        <v>19</v>
      </c>
      <c r="M43" s="84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8">
        <f>SUM($E$4:E44)+SUM($G$4:G44)</f>
        <v>23445</v>
      </c>
      <c r="G44" s="55">
        <v>200</v>
      </c>
      <c r="H44" s="84" t="s">
        <v>19</v>
      </c>
      <c r="I44" s="84" t="s">
        <v>19</v>
      </c>
      <c r="J44" s="84" t="s">
        <v>19</v>
      </c>
      <c r="K44" s="84" t="s">
        <v>19</v>
      </c>
      <c r="L44" s="84" t="s">
        <v>19</v>
      </c>
      <c r="M44" s="84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8">
        <f>SUM($E$4:E45)+SUM($G$4:G45)</f>
        <v>24095</v>
      </c>
      <c r="G45" s="55">
        <v>0</v>
      </c>
      <c r="H45" s="84" t="s">
        <v>19</v>
      </c>
      <c r="I45" s="84" t="s">
        <v>19</v>
      </c>
      <c r="J45" s="84" t="s">
        <v>19</v>
      </c>
      <c r="K45" s="84" t="s">
        <v>19</v>
      </c>
      <c r="L45" s="84" t="s">
        <v>19</v>
      </c>
      <c r="M45" s="84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8">
        <f>SUM($E$4:E46)+SUM($G$4:G46)</f>
        <v>24770</v>
      </c>
      <c r="G46" s="55">
        <v>0</v>
      </c>
      <c r="H46" s="84" t="s">
        <v>19</v>
      </c>
      <c r="I46" s="84" t="s">
        <v>19</v>
      </c>
      <c r="J46" s="84" t="s">
        <v>19</v>
      </c>
      <c r="K46" s="85" t="s">
        <v>20</v>
      </c>
      <c r="L46" s="85" t="s">
        <v>20</v>
      </c>
      <c r="M46" s="85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8">
        <f>SUM($E$4:E47)+SUM($G$4:G47)</f>
        <v>25435</v>
      </c>
      <c r="G47" s="55">
        <v>0</v>
      </c>
      <c r="H47" s="85" t="s">
        <v>20</v>
      </c>
      <c r="I47" s="84" t="s">
        <v>19</v>
      </c>
      <c r="J47" s="84" t="s">
        <v>19</v>
      </c>
      <c r="K47" s="84" t="s">
        <v>19</v>
      </c>
      <c r="L47" s="84" t="s">
        <v>19</v>
      </c>
      <c r="M47" s="84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8">
        <f>SUM($E$4:E48)+SUM($G$4:G48)</f>
        <v>26095</v>
      </c>
      <c r="G48" s="55">
        <v>0</v>
      </c>
      <c r="H48" s="84" t="s">
        <v>19</v>
      </c>
      <c r="I48" s="84" t="s">
        <v>19</v>
      </c>
      <c r="J48" s="84" t="s">
        <v>19</v>
      </c>
      <c r="K48" s="84" t="s">
        <v>19</v>
      </c>
      <c r="L48" s="84" t="s">
        <v>19</v>
      </c>
      <c r="M48" s="84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8">
        <f>SUM($E$4:E49)+SUM($G$4:G49)</f>
        <v>26935</v>
      </c>
      <c r="G49" s="56">
        <v>200</v>
      </c>
      <c r="H49" s="84" t="s">
        <v>19</v>
      </c>
      <c r="I49" s="84" t="s">
        <v>19</v>
      </c>
      <c r="J49" s="77" t="s">
        <v>12</v>
      </c>
      <c r="K49" s="84" t="s">
        <v>19</v>
      </c>
      <c r="L49" s="84" t="s">
        <v>19</v>
      </c>
      <c r="M49" s="84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8">
        <f>SUM($E$4:E50)+SUM($G$4:G50)</f>
        <v>27750</v>
      </c>
      <c r="G50" s="56">
        <v>100</v>
      </c>
      <c r="H50" s="84" t="s">
        <v>19</v>
      </c>
      <c r="I50" s="79" t="s">
        <v>7</v>
      </c>
      <c r="J50" s="84" t="s">
        <v>19</v>
      </c>
      <c r="K50" s="84" t="s">
        <v>19</v>
      </c>
      <c r="L50" s="84" t="s">
        <v>19</v>
      </c>
      <c r="M50" s="84" t="s">
        <v>19</v>
      </c>
      <c r="N50" s="7" t="s">
        <v>23</v>
      </c>
      <c r="O50" s="7" t="s">
        <v>23</v>
      </c>
      <c r="P50" s="82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8">
        <f>SUM($E$4:E51)+SUM($G$4:G51)</f>
        <v>28610</v>
      </c>
      <c r="G51" s="56">
        <v>200</v>
      </c>
      <c r="H51" s="84" t="s">
        <v>19</v>
      </c>
      <c r="I51" s="84" t="s">
        <v>19</v>
      </c>
      <c r="J51" s="84" t="s">
        <v>19</v>
      </c>
      <c r="K51" s="84" t="s">
        <v>19</v>
      </c>
      <c r="L51" s="84" t="s">
        <v>19</v>
      </c>
      <c r="M51" s="84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8">
        <f>SUM($E$4:E52)+SUM($G$4:G52)</f>
        <v>29240</v>
      </c>
      <c r="G52" s="56">
        <v>0</v>
      </c>
      <c r="H52" s="84" t="s">
        <v>19</v>
      </c>
      <c r="I52" s="84" t="s">
        <v>19</v>
      </c>
      <c r="J52" s="84" t="s">
        <v>19</v>
      </c>
      <c r="K52" s="84" t="s">
        <v>19</v>
      </c>
      <c r="L52" s="84" t="s">
        <v>19</v>
      </c>
      <c r="M52" s="84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8">
        <f>SUM($E$4:E53)+SUM($G$4:G53)</f>
        <v>29845</v>
      </c>
      <c r="G53" s="56">
        <v>0</v>
      </c>
      <c r="H53" s="84" t="s">
        <v>19</v>
      </c>
      <c r="I53" s="84" t="s">
        <v>19</v>
      </c>
      <c r="J53" s="84" t="s">
        <v>19</v>
      </c>
      <c r="K53" s="84" t="s">
        <v>19</v>
      </c>
      <c r="L53" s="84" t="s">
        <v>19</v>
      </c>
      <c r="M53" s="84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8">
        <f>SUM($E$4:E54)+SUM($G$4:G54)</f>
        <v>30475</v>
      </c>
      <c r="G54" s="56">
        <v>0</v>
      </c>
      <c r="H54" s="84" t="s">
        <v>19</v>
      </c>
      <c r="I54" s="84" t="s">
        <v>19</v>
      </c>
      <c r="J54" s="84" t="s">
        <v>19</v>
      </c>
      <c r="K54" s="84" t="s">
        <v>19</v>
      </c>
      <c r="L54" s="84" t="s">
        <v>19</v>
      </c>
      <c r="M54" s="84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8">
        <f>SUM($E$4:E55)+SUM($G$4:G55)</f>
        <v>31165</v>
      </c>
      <c r="G55" s="56">
        <v>0</v>
      </c>
      <c r="H55" s="84" t="s">
        <v>19</v>
      </c>
      <c r="I55" s="84" t="s">
        <v>19</v>
      </c>
      <c r="J55" s="84" t="s">
        <v>19</v>
      </c>
      <c r="K55" s="84" t="s">
        <v>19</v>
      </c>
      <c r="L55" s="84" t="s">
        <v>19</v>
      </c>
      <c r="M55" s="85" t="s">
        <v>20</v>
      </c>
      <c r="N55" s="7" t="s">
        <v>23</v>
      </c>
      <c r="O55" s="7" t="s">
        <v>23</v>
      </c>
      <c r="P55" s="24" t="s">
        <v>20</v>
      </c>
      <c r="Q55" s="82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8">
        <f>SUM($E$4:E56)+SUM($G$4:G56)</f>
        <v>32085</v>
      </c>
      <c r="G56" s="55">
        <v>300</v>
      </c>
      <c r="H56" s="85" t="s">
        <v>20</v>
      </c>
      <c r="I56" s="85" t="s">
        <v>20</v>
      </c>
      <c r="J56" s="85" t="s">
        <v>20</v>
      </c>
      <c r="K56" s="85" t="s">
        <v>20</v>
      </c>
      <c r="L56" s="85" t="s">
        <v>20</v>
      </c>
      <c r="M56" s="85" t="s">
        <v>20</v>
      </c>
      <c r="N56" s="7" t="s">
        <v>23</v>
      </c>
      <c r="O56" s="7" t="s">
        <v>23</v>
      </c>
      <c r="P56" s="84" t="s">
        <v>19</v>
      </c>
      <c r="Q56" s="84" t="s">
        <v>19</v>
      </c>
      <c r="R56" s="84" t="s">
        <v>19</v>
      </c>
      <c r="S56" s="84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8">
        <f>SUM($E$4:E57)+SUM($G$4:G57)</f>
        <v>33170</v>
      </c>
      <c r="G57" s="55">
        <v>0</v>
      </c>
      <c r="H57" s="85" t="s">
        <v>20</v>
      </c>
      <c r="I57" s="86" t="s">
        <v>41</v>
      </c>
      <c r="J57" s="85" t="s">
        <v>20</v>
      </c>
      <c r="K57" s="85" t="s">
        <v>20</v>
      </c>
      <c r="L57" s="85" t="s">
        <v>20</v>
      </c>
      <c r="M57" s="85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2" t="s">
        <v>47</v>
      </c>
      <c r="V57" s="84" t="s">
        <v>19</v>
      </c>
      <c r="W57" s="84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8">
        <f>SUM($E$4:E58)+SUM($G$4:G58)</f>
        <v>34025</v>
      </c>
      <c r="G58" s="55">
        <v>200</v>
      </c>
      <c r="H58" s="85" t="s">
        <v>9</v>
      </c>
      <c r="I58" s="85" t="s">
        <v>20</v>
      </c>
      <c r="J58" s="85" t="s">
        <v>20</v>
      </c>
      <c r="K58" s="85" t="s">
        <v>20</v>
      </c>
      <c r="L58" s="85" t="s">
        <v>20</v>
      </c>
      <c r="M58" s="85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8">
        <f>SUM($E$4:E59)+SUM($G$4:G59)</f>
        <v>34685</v>
      </c>
      <c r="G59" s="55">
        <v>0</v>
      </c>
      <c r="H59" s="85" t="s">
        <v>20</v>
      </c>
      <c r="I59" s="85" t="s">
        <v>20</v>
      </c>
      <c r="J59" s="85" t="s">
        <v>20</v>
      </c>
      <c r="K59" s="85" t="s">
        <v>20</v>
      </c>
      <c r="L59" s="85" t="s">
        <v>20</v>
      </c>
      <c r="M59" s="85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8">
        <f>SUM($E$4:E60)+SUM($G$4:G60)</f>
        <v>35345</v>
      </c>
      <c r="G60" s="55">
        <v>0</v>
      </c>
      <c r="H60" s="85" t="s">
        <v>20</v>
      </c>
      <c r="I60" s="85" t="s">
        <v>20</v>
      </c>
      <c r="J60" s="85" t="s">
        <v>20</v>
      </c>
      <c r="K60" s="85" t="s">
        <v>20</v>
      </c>
      <c r="L60" s="85" t="s">
        <v>20</v>
      </c>
      <c r="M60" s="85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8">
        <f>SUM($E$4:E61)+SUM($G$4:G61)</f>
        <v>35980</v>
      </c>
      <c r="G61" s="55">
        <v>0</v>
      </c>
      <c r="H61" s="85" t="s">
        <v>20</v>
      </c>
      <c r="I61" s="77" t="s">
        <v>12</v>
      </c>
      <c r="J61" s="85" t="s">
        <v>20</v>
      </c>
      <c r="K61" s="85" t="s">
        <v>20</v>
      </c>
      <c r="L61" s="85" t="s">
        <v>20</v>
      </c>
      <c r="M61" s="85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8">
        <f>SUM($E$4:E62)+SUM($G$4:G62)</f>
        <v>36745</v>
      </c>
      <c r="G62" s="55">
        <v>0</v>
      </c>
      <c r="H62" s="85" t="s">
        <v>20</v>
      </c>
      <c r="I62" s="85" t="s">
        <v>20</v>
      </c>
      <c r="J62" s="82" t="s">
        <v>47</v>
      </c>
      <c r="K62" s="85" t="s">
        <v>20</v>
      </c>
      <c r="L62" s="87" t="s">
        <v>21</v>
      </c>
      <c r="M62" s="87" t="s">
        <v>21</v>
      </c>
      <c r="N62" s="87" t="s">
        <v>21</v>
      </c>
      <c r="O62" s="87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8">
        <f>SUM($E$4:E63)+SUM($G$4:G63)</f>
        <v>37765</v>
      </c>
      <c r="G63" s="56">
        <v>300</v>
      </c>
      <c r="H63" s="87" t="s">
        <v>21</v>
      </c>
      <c r="I63" s="87" t="s">
        <v>21</v>
      </c>
      <c r="J63" s="87" t="s">
        <v>21</v>
      </c>
      <c r="K63" s="87" t="s">
        <v>21</v>
      </c>
      <c r="L63" s="87" t="s">
        <v>21</v>
      </c>
      <c r="M63" s="87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8">
        <f>SUM($E$4:E64)+SUM($G$4:G64)</f>
        <v>38485</v>
      </c>
      <c r="G64" s="56">
        <v>0</v>
      </c>
      <c r="H64" s="87" t="s">
        <v>21</v>
      </c>
      <c r="I64" s="87" t="s">
        <v>21</v>
      </c>
      <c r="J64" s="87" t="s">
        <v>21</v>
      </c>
      <c r="K64" s="87" t="s">
        <v>21</v>
      </c>
      <c r="L64" s="87" t="s">
        <v>21</v>
      </c>
      <c r="M64" s="87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8">
        <f>SUM($E$4:E65)+SUM($G$4:G65)</f>
        <v>39405</v>
      </c>
      <c r="G65" s="56">
        <v>200</v>
      </c>
      <c r="H65" s="87" t="s">
        <v>21</v>
      </c>
      <c r="I65" s="87" t="s">
        <v>21</v>
      </c>
      <c r="J65" s="87" t="s">
        <v>21</v>
      </c>
      <c r="K65" s="87" t="s">
        <v>21</v>
      </c>
      <c r="L65" s="87" t="s">
        <v>21</v>
      </c>
      <c r="M65" s="87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8">
        <f>SUM($E$4:E66)+SUM($G$4:G66)</f>
        <v>41065</v>
      </c>
      <c r="G66" s="56">
        <v>0</v>
      </c>
      <c r="H66" s="87" t="s">
        <v>21</v>
      </c>
      <c r="I66" s="87" t="s">
        <v>21</v>
      </c>
      <c r="J66" s="87" t="s">
        <v>21</v>
      </c>
      <c r="K66" s="87" t="s">
        <v>21</v>
      </c>
      <c r="L66" s="87" t="s">
        <v>21</v>
      </c>
      <c r="M66" s="87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8">
        <f>SUM($E$4:E67)+SUM($G$4:G67)</f>
        <v>41840</v>
      </c>
      <c r="G67" s="56">
        <v>0</v>
      </c>
      <c r="H67" s="87" t="s">
        <v>21</v>
      </c>
      <c r="I67" s="87" t="s">
        <v>21</v>
      </c>
      <c r="J67" s="87" t="s">
        <v>21</v>
      </c>
      <c r="K67" s="87" t="s">
        <v>10</v>
      </c>
      <c r="L67" s="87" t="s">
        <v>21</v>
      </c>
      <c r="M67" s="87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2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8">
        <f>SUM($E$4:E68)+SUM($G$4:G68)</f>
        <v>42530</v>
      </c>
      <c r="G68" s="56">
        <v>0</v>
      </c>
      <c r="H68" s="87" t="s">
        <v>21</v>
      </c>
      <c r="I68" s="87" t="s">
        <v>21</v>
      </c>
      <c r="J68" s="87" t="s">
        <v>21</v>
      </c>
      <c r="K68" s="87" t="s">
        <v>21</v>
      </c>
      <c r="L68" s="87" t="s">
        <v>21</v>
      </c>
      <c r="M68" s="87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8">
        <f>SUM($E$4:E69)+SUM($G$4:G69)</f>
        <v>43220</v>
      </c>
      <c r="G69" s="56">
        <v>0</v>
      </c>
      <c r="H69" s="87" t="s">
        <v>21</v>
      </c>
      <c r="I69" s="87" t="s">
        <v>21</v>
      </c>
      <c r="J69" s="87" t="s">
        <v>21</v>
      </c>
      <c r="K69" s="87" t="s">
        <v>21</v>
      </c>
      <c r="L69" s="87" t="s">
        <v>21</v>
      </c>
      <c r="M69" s="87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8">
        <f>SUM($E$4:E70)+SUM($G$4:G70)</f>
        <v>44270</v>
      </c>
      <c r="G70" s="55">
        <v>300</v>
      </c>
      <c r="H70" s="82" t="s">
        <v>47</v>
      </c>
      <c r="I70" s="87" t="s">
        <v>21</v>
      </c>
      <c r="J70" s="87" t="s">
        <v>21</v>
      </c>
      <c r="K70" s="87" t="s">
        <v>21</v>
      </c>
      <c r="L70" s="87" t="s">
        <v>21</v>
      </c>
      <c r="M70" s="87" t="s">
        <v>21</v>
      </c>
      <c r="N70" s="87" t="s">
        <v>21</v>
      </c>
      <c r="O70" s="87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8">
        <f>SUM($E$4:E71)+SUM($G$4:G71)</f>
        <v>44935</v>
      </c>
      <c r="G71" s="55">
        <v>0</v>
      </c>
      <c r="H71" s="87" t="s">
        <v>21</v>
      </c>
      <c r="I71" s="87" t="s">
        <v>21</v>
      </c>
      <c r="J71" s="87" t="s">
        <v>21</v>
      </c>
      <c r="K71" s="87" t="s">
        <v>21</v>
      </c>
      <c r="L71" s="87" t="s">
        <v>21</v>
      </c>
      <c r="M71" s="87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8">
        <f>SUM($E$4:E72)+SUM($G$4:G72)</f>
        <v>45825</v>
      </c>
      <c r="G72" s="55">
        <v>200</v>
      </c>
      <c r="H72" s="87" t="s">
        <v>21</v>
      </c>
      <c r="I72" s="87" t="s">
        <v>21</v>
      </c>
      <c r="J72" s="87" t="s">
        <v>21</v>
      </c>
      <c r="K72" s="87" t="s">
        <v>21</v>
      </c>
      <c r="L72" s="87" t="s">
        <v>21</v>
      </c>
      <c r="M72" s="87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8">
        <f>SUM($E$4:E73)+SUM($G$4:G73)</f>
        <v>46515</v>
      </c>
      <c r="G73" s="55">
        <v>0</v>
      </c>
      <c r="H73" s="87" t="s">
        <v>21</v>
      </c>
      <c r="I73" s="87" t="s">
        <v>21</v>
      </c>
      <c r="J73" s="87" t="s">
        <v>21</v>
      </c>
      <c r="K73" s="87" t="s">
        <v>21</v>
      </c>
      <c r="L73" s="87" t="s">
        <v>21</v>
      </c>
      <c r="M73" s="87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8">
        <f>SUM($E$4:E74)+SUM($G$4:G74)</f>
        <v>48115</v>
      </c>
      <c r="G74" s="55">
        <v>0</v>
      </c>
      <c r="H74" s="87" t="s">
        <v>21</v>
      </c>
      <c r="I74" s="87" t="s">
        <v>21</v>
      </c>
      <c r="J74" s="88" t="s">
        <v>15</v>
      </c>
      <c r="K74" s="87" t="s">
        <v>21</v>
      </c>
      <c r="L74" s="87" t="s">
        <v>21</v>
      </c>
      <c r="M74" s="87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4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8">
        <f>SUM($E$4:E75)+SUM($G$4:G75)</f>
        <v>48775</v>
      </c>
      <c r="G75" s="55">
        <v>0</v>
      </c>
      <c r="H75" s="87" t="s">
        <v>21</v>
      </c>
      <c r="I75" s="87" t="s">
        <v>21</v>
      </c>
      <c r="J75" s="87" t="s">
        <v>21</v>
      </c>
      <c r="K75" s="87" t="s">
        <v>21</v>
      </c>
      <c r="L75" s="87" t="s">
        <v>21</v>
      </c>
      <c r="M75" s="87" t="s">
        <v>21</v>
      </c>
      <c r="N75" s="7" t="s">
        <v>23</v>
      </c>
      <c r="O75" s="7" t="s">
        <v>23</v>
      </c>
      <c r="P75" s="84" t="s">
        <v>19</v>
      </c>
      <c r="Q75" s="84" t="s">
        <v>19</v>
      </c>
      <c r="R75" s="84" t="s">
        <v>19</v>
      </c>
      <c r="S75" s="84" t="s">
        <v>19</v>
      </c>
      <c r="T75" s="84" t="s">
        <v>19</v>
      </c>
      <c r="U75" s="84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8">
        <f>SUM($E$4:E76)+SUM($G$4:G76)</f>
        <v>49435</v>
      </c>
      <c r="G76" s="55">
        <v>0</v>
      </c>
      <c r="H76" s="87" t="s">
        <v>21</v>
      </c>
      <c r="I76" s="87" t="s">
        <v>21</v>
      </c>
      <c r="J76" s="87" t="s">
        <v>21</v>
      </c>
      <c r="K76" s="87" t="s">
        <v>21</v>
      </c>
      <c r="L76" s="87" t="s">
        <v>21</v>
      </c>
      <c r="M76" s="87" t="s">
        <v>21</v>
      </c>
      <c r="N76" s="7" t="s">
        <v>23</v>
      </c>
      <c r="O76" s="7" t="s">
        <v>23</v>
      </c>
      <c r="P76" s="84" t="s">
        <v>19</v>
      </c>
      <c r="Q76" s="84" t="s">
        <v>19</v>
      </c>
      <c r="R76" s="84" t="s">
        <v>19</v>
      </c>
      <c r="S76" s="84" t="s">
        <v>19</v>
      </c>
      <c r="T76" s="84" t="s">
        <v>19</v>
      </c>
      <c r="U76" s="84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8">
        <f>SUM($E$4:E77)+SUM($G$4:G77)</f>
        <v>50295</v>
      </c>
      <c r="G77" s="56">
        <v>200</v>
      </c>
      <c r="H77" s="87" t="s">
        <v>21</v>
      </c>
      <c r="I77" s="87" t="s">
        <v>21</v>
      </c>
      <c r="J77" s="87" t="s">
        <v>21</v>
      </c>
      <c r="K77" s="87" t="s">
        <v>21</v>
      </c>
      <c r="L77" s="87" t="s">
        <v>21</v>
      </c>
      <c r="M77" s="87" t="s">
        <v>21</v>
      </c>
      <c r="N77" s="7" t="s">
        <v>23</v>
      </c>
      <c r="O77" s="7" t="s">
        <v>23</v>
      </c>
      <c r="P77" s="84" t="s">
        <v>19</v>
      </c>
      <c r="Q77" s="84" t="s">
        <v>19</v>
      </c>
      <c r="R77" s="84" t="s">
        <v>19</v>
      </c>
      <c r="S77" s="84" t="s">
        <v>19</v>
      </c>
      <c r="T77" s="84" t="s">
        <v>19</v>
      </c>
      <c r="U77" s="84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8">
        <f>SUM($E$4:E78)+SUM($G$4:G78)</f>
        <v>51005</v>
      </c>
      <c r="G78" s="56">
        <v>100</v>
      </c>
      <c r="H78" s="87" t="s">
        <v>21</v>
      </c>
      <c r="I78" s="87" t="s">
        <v>21</v>
      </c>
      <c r="J78" s="87" t="s">
        <v>21</v>
      </c>
      <c r="K78" s="87" t="s">
        <v>21</v>
      </c>
      <c r="L78" s="87" t="s">
        <v>21</v>
      </c>
      <c r="M78" s="87" t="s">
        <v>21</v>
      </c>
      <c r="N78" s="7" t="s">
        <v>23</v>
      </c>
      <c r="O78" s="7" t="s">
        <v>23</v>
      </c>
      <c r="P78" s="84" t="s">
        <v>19</v>
      </c>
      <c r="Q78" s="84" t="s">
        <v>19</v>
      </c>
      <c r="R78" s="84" t="s">
        <v>19</v>
      </c>
      <c r="S78" s="84" t="s">
        <v>19</v>
      </c>
      <c r="T78" s="84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8">
        <f>SUM($E$4:E79)+SUM($G$4:G79)</f>
        <v>51805</v>
      </c>
      <c r="G79" s="56">
        <v>200</v>
      </c>
      <c r="H79" s="87" t="s">
        <v>21</v>
      </c>
      <c r="I79" s="87" t="s">
        <v>21</v>
      </c>
      <c r="J79" s="87" t="s">
        <v>21</v>
      </c>
      <c r="K79" s="87" t="s">
        <v>21</v>
      </c>
      <c r="L79" s="87" t="s">
        <v>21</v>
      </c>
      <c r="M79" s="87" t="s">
        <v>21</v>
      </c>
      <c r="N79" s="7" t="s">
        <v>23</v>
      </c>
      <c r="O79" s="7" t="s">
        <v>23</v>
      </c>
      <c r="P79" s="84" t="s">
        <v>19</v>
      </c>
      <c r="Q79" s="22" t="s">
        <v>7</v>
      </c>
      <c r="R79" s="84" t="s">
        <v>19</v>
      </c>
      <c r="S79" s="84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8">
        <f>SUM($E$4:E80)+SUM($G$4:G80)</f>
        <v>52345</v>
      </c>
      <c r="G80" s="56">
        <v>0</v>
      </c>
      <c r="H80" s="87" t="s">
        <v>21</v>
      </c>
      <c r="I80" s="87" t="s">
        <v>21</v>
      </c>
      <c r="J80" s="87" t="s">
        <v>21</v>
      </c>
      <c r="K80" s="87" t="s">
        <v>21</v>
      </c>
      <c r="L80" s="87" t="s">
        <v>21</v>
      </c>
      <c r="M80" s="87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8">
        <f>SUM($E$4:E81)+SUM($G$4:G81)</f>
        <v>52930</v>
      </c>
      <c r="G81" s="56">
        <v>0</v>
      </c>
      <c r="H81" s="87" t="s">
        <v>21</v>
      </c>
      <c r="I81" s="87" t="s">
        <v>21</v>
      </c>
      <c r="J81" s="87" t="s">
        <v>21</v>
      </c>
      <c r="K81" s="87" t="s">
        <v>21</v>
      </c>
      <c r="L81" s="87" t="s">
        <v>21</v>
      </c>
      <c r="M81" s="87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8">
        <f>SUM($E$4:E82)+SUM($G$4:G82)</f>
        <v>53520</v>
      </c>
      <c r="G82" s="56">
        <v>0</v>
      </c>
      <c r="H82" s="87" t="s">
        <v>21</v>
      </c>
      <c r="I82" s="85" t="s">
        <v>20</v>
      </c>
      <c r="J82" s="85" t="s">
        <v>20</v>
      </c>
      <c r="K82" s="85" t="s">
        <v>20</v>
      </c>
      <c r="L82" s="85" t="s">
        <v>20</v>
      </c>
      <c r="M82" s="85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8">
        <f>SUM($E$4:E83)+SUM($G$4:G83)</f>
        <v>54120</v>
      </c>
      <c r="G83" s="56">
        <v>0</v>
      </c>
      <c r="H83" s="85" t="s">
        <v>20</v>
      </c>
      <c r="I83" s="85" t="s">
        <v>20</v>
      </c>
      <c r="J83" s="77" t="s">
        <v>12</v>
      </c>
      <c r="K83" s="85" t="s">
        <v>20</v>
      </c>
      <c r="L83" s="85" t="s">
        <v>20</v>
      </c>
      <c r="M83" s="85" t="s">
        <v>20</v>
      </c>
      <c r="N83" s="7" t="s">
        <v>23</v>
      </c>
      <c r="O83" s="7" t="s">
        <v>23</v>
      </c>
      <c r="P83" s="79" t="s">
        <v>18</v>
      </c>
      <c r="Q83" s="84" t="s">
        <v>19</v>
      </c>
      <c r="R83" s="84" t="s">
        <v>19</v>
      </c>
      <c r="S83" s="23" t="s">
        <v>8</v>
      </c>
      <c r="T83" s="84" t="s">
        <v>19</v>
      </c>
      <c r="U83" s="84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8">
        <f>SUM($E$4:E84)+SUM($G$4:G84)</f>
        <v>54950</v>
      </c>
      <c r="G84" s="55">
        <v>300</v>
      </c>
      <c r="H84" s="85" t="s">
        <v>20</v>
      </c>
      <c r="I84" s="85" t="s">
        <v>20</v>
      </c>
      <c r="J84" s="85" t="s">
        <v>20</v>
      </c>
      <c r="K84" s="85" t="s">
        <v>20</v>
      </c>
      <c r="L84" s="85" t="s">
        <v>20</v>
      </c>
      <c r="M84" s="85" t="s">
        <v>20</v>
      </c>
      <c r="N84" s="7" t="s">
        <v>23</v>
      </c>
      <c r="O84" s="7" t="s">
        <v>23</v>
      </c>
      <c r="P84" s="84" t="s">
        <v>19</v>
      </c>
      <c r="Q84" s="84" t="s">
        <v>19</v>
      </c>
      <c r="R84" s="84" t="s">
        <v>19</v>
      </c>
      <c r="S84" s="84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8">
        <f>SUM($E$4:E85)+SUM($G$4:G85)</f>
        <v>55525</v>
      </c>
      <c r="G85" s="55">
        <v>0</v>
      </c>
      <c r="H85" s="85" t="s">
        <v>20</v>
      </c>
      <c r="I85" s="85" t="s">
        <v>20</v>
      </c>
      <c r="J85" s="85" t="s">
        <v>20</v>
      </c>
      <c r="K85" s="85" t="s">
        <v>20</v>
      </c>
      <c r="L85" s="85" t="s">
        <v>20</v>
      </c>
      <c r="M85" s="85" t="s">
        <v>20</v>
      </c>
      <c r="N85" s="7" t="s">
        <v>23</v>
      </c>
      <c r="O85" s="7" t="s">
        <v>23</v>
      </c>
      <c r="P85" s="84" t="s">
        <v>19</v>
      </c>
      <c r="Q85" s="84" t="s">
        <v>19</v>
      </c>
      <c r="R85" s="84" t="s">
        <v>19</v>
      </c>
      <c r="S85" s="84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8">
        <f>SUM($E$4:E86)+SUM($G$4:G86)</f>
        <v>56280</v>
      </c>
      <c r="G86" s="55">
        <v>200</v>
      </c>
      <c r="H86" s="85" t="s">
        <v>20</v>
      </c>
      <c r="I86" s="85" t="s">
        <v>20</v>
      </c>
      <c r="J86" s="85" t="s">
        <v>20</v>
      </c>
      <c r="K86" s="85" t="s">
        <v>20</v>
      </c>
      <c r="L86" s="85" t="s">
        <v>20</v>
      </c>
      <c r="M86" s="85" t="s">
        <v>20</v>
      </c>
      <c r="N86" s="7" t="s">
        <v>23</v>
      </c>
      <c r="O86" s="7" t="s">
        <v>23</v>
      </c>
      <c r="P86" s="79" t="s">
        <v>18</v>
      </c>
      <c r="Q86" s="103" t="s">
        <v>18</v>
      </c>
      <c r="R86" s="103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8">
        <f>SUM($E$4:E87)+SUM($G$4:G87)</f>
        <v>56880</v>
      </c>
      <c r="G87" s="55">
        <v>0</v>
      </c>
      <c r="H87" s="85" t="s">
        <v>20</v>
      </c>
      <c r="I87" s="85" t="s">
        <v>20</v>
      </c>
      <c r="J87" s="82" t="s">
        <v>47</v>
      </c>
      <c r="K87" s="85" t="s">
        <v>20</v>
      </c>
      <c r="L87" s="85" t="s">
        <v>20</v>
      </c>
      <c r="M87" s="85" t="s">
        <v>20</v>
      </c>
      <c r="N87" s="85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3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8">
        <f>SUM($E$4:E88)+SUM($G$4:G88)</f>
        <v>57465</v>
      </c>
      <c r="G88" s="55">
        <v>0</v>
      </c>
      <c r="H88" s="85" t="s">
        <v>20</v>
      </c>
      <c r="I88" s="85" t="s">
        <v>20</v>
      </c>
      <c r="J88" s="85" t="s">
        <v>20</v>
      </c>
      <c r="K88" s="85" t="s">
        <v>20</v>
      </c>
      <c r="L88" s="85" t="s">
        <v>20</v>
      </c>
      <c r="M88" s="85" t="s">
        <v>20</v>
      </c>
      <c r="N88" s="7" t="s">
        <v>23</v>
      </c>
      <c r="O88" s="7" t="s">
        <v>23</v>
      </c>
      <c r="P88" s="103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8">
        <f>SUM($E$4:E89)+SUM($G$4:G89)</f>
        <v>58035</v>
      </c>
      <c r="G89" s="55">
        <v>0</v>
      </c>
      <c r="H89" s="85" t="s">
        <v>20</v>
      </c>
      <c r="I89" s="85" t="s">
        <v>20</v>
      </c>
      <c r="J89" s="85" t="s">
        <v>20</v>
      </c>
      <c r="K89" s="85" t="s">
        <v>20</v>
      </c>
      <c r="L89" s="85" t="s">
        <v>20</v>
      </c>
      <c r="M89" s="85" t="s">
        <v>20</v>
      </c>
      <c r="N89" s="7" t="s">
        <v>23</v>
      </c>
      <c r="O89" s="7" t="s">
        <v>23</v>
      </c>
      <c r="P89" s="77" t="s">
        <v>12</v>
      </c>
      <c r="Q89" s="103" t="s">
        <v>18</v>
      </c>
      <c r="R89" s="103" t="s">
        <v>18</v>
      </c>
      <c r="S89" s="104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8">
        <f>SUM($E$4:E90)+SUM($G$4:G90)</f>
        <v>58610</v>
      </c>
      <c r="G90" s="55">
        <v>0</v>
      </c>
      <c r="H90" s="85" t="s">
        <v>20</v>
      </c>
      <c r="I90" s="85" t="s">
        <v>20</v>
      </c>
      <c r="J90" s="85" t="s">
        <v>20</v>
      </c>
      <c r="K90" s="85" t="s">
        <v>20</v>
      </c>
      <c r="L90" s="85" t="s">
        <v>20</v>
      </c>
      <c r="M90" s="77" t="s">
        <v>12</v>
      </c>
      <c r="N90" s="7" t="s">
        <v>23</v>
      </c>
      <c r="O90" s="7" t="s">
        <v>23</v>
      </c>
      <c r="P90" s="103" t="s">
        <v>18</v>
      </c>
      <c r="Q90" s="103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8">
        <f>SUM($E$4:E91)+SUM($G$4:G91)</f>
        <v>59510</v>
      </c>
      <c r="G91" s="56">
        <v>300</v>
      </c>
      <c r="H91" s="85" t="s">
        <v>20</v>
      </c>
      <c r="I91" s="85" t="s">
        <v>20</v>
      </c>
      <c r="J91" s="85" t="s">
        <v>20</v>
      </c>
      <c r="K91" s="85" t="s">
        <v>20</v>
      </c>
      <c r="L91" s="85" t="s">
        <v>20</v>
      </c>
      <c r="M91" s="85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3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8">
        <f>SUM($E$4:E92)+SUM($G$4:G92)</f>
        <v>60135</v>
      </c>
      <c r="G92" s="56">
        <v>0</v>
      </c>
      <c r="H92" s="85" t="s">
        <v>20</v>
      </c>
      <c r="I92" s="85" t="s">
        <v>20</v>
      </c>
      <c r="J92" s="85" t="s">
        <v>20</v>
      </c>
      <c r="K92" s="85" t="s">
        <v>20</v>
      </c>
      <c r="L92" s="85" t="s">
        <v>20</v>
      </c>
      <c r="M92" s="85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2" t="s">
        <v>47</v>
      </c>
      <c r="S92" s="78" t="s">
        <v>17</v>
      </c>
      <c r="T92" s="77" t="s">
        <v>12</v>
      </c>
      <c r="U92" s="103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8">
        <f>SUM($E$4:E93)+SUM($G$4:G93)</f>
        <v>60890</v>
      </c>
      <c r="G93" s="56">
        <v>200</v>
      </c>
      <c r="H93" s="85" t="s">
        <v>20</v>
      </c>
      <c r="I93" s="85" t="s">
        <v>20</v>
      </c>
      <c r="J93" s="85" t="s">
        <v>20</v>
      </c>
      <c r="K93" s="85" t="s">
        <v>20</v>
      </c>
      <c r="L93" s="85" t="s">
        <v>20</v>
      </c>
      <c r="M93" s="85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8">
        <f>SUM($E$4:E94)+SUM($G$4:G94)</f>
        <v>61465</v>
      </c>
      <c r="G94">
        <v>0</v>
      </c>
      <c r="H94" s="85" t="s">
        <v>20</v>
      </c>
      <c r="I94" s="85" t="s">
        <v>20</v>
      </c>
      <c r="J94" s="85" t="s">
        <v>20</v>
      </c>
      <c r="K94" s="85" t="s">
        <v>20</v>
      </c>
      <c r="L94" s="85" t="s">
        <v>20</v>
      </c>
      <c r="M94" s="85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4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4E7A-8FE9-41F2-A40A-026AEF5B0AD3}">
  <dimension ref="A1:AY101"/>
  <sheetViews>
    <sheetView topLeftCell="C1" zoomScale="85" zoomScaleNormal="85" workbookViewId="0">
      <selection activeCell="D28" sqref="D28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166">
        <f ca="1">(_xlfn.DAYS(TODAY(),A4)+2)/((_xlfn.DAYS(A94,A4))+1)</f>
        <v>2</v>
      </c>
      <c r="B1" s="167"/>
      <c r="C1" s="167"/>
      <c r="D1" s="167"/>
      <c r="E1" s="167"/>
      <c r="F1" s="167"/>
      <c r="G1" s="168"/>
      <c r="H1" s="169" t="s">
        <v>37</v>
      </c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1"/>
      <c r="AG1" s="42"/>
      <c r="AH1" s="42"/>
      <c r="AI1" s="42"/>
      <c r="AL1" s="165" t="s">
        <v>42</v>
      </c>
      <c r="AM1" s="165"/>
      <c r="AN1" s="165"/>
    </row>
    <row r="2" spans="1:51" ht="16.2" customHeight="1" thickBot="1">
      <c r="A2" t="s">
        <v>74</v>
      </c>
      <c r="B2" s="51"/>
      <c r="C2" s="173" t="s">
        <v>35</v>
      </c>
      <c r="D2" s="174"/>
      <c r="E2" s="175">
        <f>SUM(E4:E94)+SUM(G4:G94)</f>
        <v>61455</v>
      </c>
      <c r="F2" s="175"/>
      <c r="G2" s="176"/>
      <c r="H2" s="177" t="s">
        <v>48</v>
      </c>
      <c r="I2" s="178"/>
      <c r="J2" s="73" t="s">
        <v>46</v>
      </c>
      <c r="K2" s="73">
        <f>COUNTIF(H4:O94,"&lt;&gt;空")-3</f>
        <v>553</v>
      </c>
      <c r="L2" s="178" t="s">
        <v>45</v>
      </c>
      <c r="M2" s="178"/>
      <c r="N2" s="178"/>
      <c r="O2" s="179"/>
      <c r="P2" s="180" t="s">
        <v>49</v>
      </c>
      <c r="Q2" s="160"/>
      <c r="R2" s="72" t="s">
        <v>46</v>
      </c>
      <c r="S2" s="72">
        <f>COUNTIF(P4:W94,"&lt;&gt;空")</f>
        <v>469</v>
      </c>
      <c r="T2" s="160" t="s">
        <v>45</v>
      </c>
      <c r="U2" s="160"/>
      <c r="V2" s="160"/>
      <c r="W2" s="161"/>
      <c r="X2" s="180" t="s">
        <v>33</v>
      </c>
      <c r="Y2" s="160"/>
      <c r="Z2" s="58" t="s">
        <v>44</v>
      </c>
      <c r="AA2" s="72">
        <f>COUNTIF(X4:AE94,"&lt;&gt;空")</f>
        <v>0</v>
      </c>
      <c r="AB2" s="160" t="s">
        <v>45</v>
      </c>
      <c r="AC2" s="160"/>
      <c r="AD2" s="160"/>
      <c r="AE2" s="161"/>
      <c r="AF2" s="41">
        <f>SUM(AF4:AF94)</f>
        <v>36</v>
      </c>
      <c r="AG2" s="41">
        <f t="shared" ref="AG2:AI2" si="0">SUM(AG4:AG94)</f>
        <v>14</v>
      </c>
      <c r="AH2" s="41">
        <f>SUM(AH4:AH94)</f>
        <v>22</v>
      </c>
      <c r="AI2" s="41">
        <f t="shared" si="0"/>
        <v>0</v>
      </c>
      <c r="AJ2" s="162" t="s">
        <v>29</v>
      </c>
      <c r="AL2" s="172"/>
      <c r="AM2" s="172"/>
      <c r="AN2" s="172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63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90">
        <v>800</v>
      </c>
      <c r="C4" s="90" cm="1">
        <f t="array" ref="C4">(SUM(VLOOKUP(H4:AE4,$AL$4:$AN$44,2,FALSE))+AF4*10)*IF(AJ4="是",$AW$4,$AW$3)</f>
        <v>750</v>
      </c>
      <c r="D4" s="90">
        <f>SUM($B$4:B4)-SUM($C$4:C4)</f>
        <v>50</v>
      </c>
      <c r="E4" s="90" cm="1">
        <f t="array" ref="E4">SUM(VLOOKUP(H4:AE4,$AL$4:$AN$44,3,FALSE))</f>
        <v>175</v>
      </c>
      <c r="F4" s="90">
        <f>SUM($E$4:E4)+SUM($G$4:G4)</f>
        <v>175</v>
      </c>
      <c r="G4" s="90">
        <v>0</v>
      </c>
      <c r="H4" s="96" t="s">
        <v>16</v>
      </c>
      <c r="I4" s="96" t="s">
        <v>16</v>
      </c>
      <c r="J4" s="96" t="s">
        <v>16</v>
      </c>
      <c r="K4" s="96" t="s">
        <v>16</v>
      </c>
      <c r="L4" s="96" t="s">
        <v>16</v>
      </c>
      <c r="M4" s="89" t="s">
        <v>23</v>
      </c>
      <c r="N4" s="93" t="s">
        <v>23</v>
      </c>
      <c r="O4" s="93" t="s">
        <v>23</v>
      </c>
      <c r="P4" s="89" t="s">
        <v>23</v>
      </c>
      <c r="Q4" s="89" t="s">
        <v>23</v>
      </c>
      <c r="R4" s="89" t="s">
        <v>23</v>
      </c>
      <c r="S4" s="89" t="s">
        <v>23</v>
      </c>
      <c r="T4" s="89" t="s">
        <v>23</v>
      </c>
      <c r="U4" s="89" t="s">
        <v>23</v>
      </c>
      <c r="V4" s="93" t="s">
        <v>23</v>
      </c>
      <c r="W4" s="93" t="s">
        <v>23</v>
      </c>
      <c r="X4" s="89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93" t="s">
        <v>23</v>
      </c>
      <c r="AE4" s="93" t="s">
        <v>23</v>
      </c>
      <c r="AF4" s="94">
        <v>0</v>
      </c>
      <c r="AG4" s="94"/>
      <c r="AH4" s="94"/>
      <c r="AI4" s="94"/>
      <c r="AJ4" s="95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2">AP4*$AN4</f>
        <v>350</v>
      </c>
      <c r="AU4" s="50">
        <f t="shared" si="2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90">
        <v>1600</v>
      </c>
      <c r="C5" s="90" cm="1">
        <f t="array" ref="C5">(SUM(VLOOKUP(H5:AE5,$AL$4:$AN$44,2,FALSE))+AF5*10)*IF(AJ5="是",$AW$4,$AW$3)</f>
        <v>900</v>
      </c>
      <c r="D5" s="90">
        <f>SUM($B$4:B5)-SUM($C$4:C5)</f>
        <v>750</v>
      </c>
      <c r="E5" s="90" cm="1">
        <f t="array" ref="E5">SUM(VLOOKUP(H5:AE5,$AL$4:$AN$44,3,FALSE))</f>
        <v>210</v>
      </c>
      <c r="F5" s="90">
        <f>SUM($E$4:E5)+SUM($G$4:G5)</f>
        <v>885</v>
      </c>
      <c r="G5" s="90">
        <v>500</v>
      </c>
      <c r="H5" s="96" t="s">
        <v>16</v>
      </c>
      <c r="I5" s="96" t="s">
        <v>16</v>
      </c>
      <c r="J5" s="96" t="s">
        <v>16</v>
      </c>
      <c r="K5" s="96" t="s">
        <v>16</v>
      </c>
      <c r="L5" s="96" t="s">
        <v>16</v>
      </c>
      <c r="M5" s="96" t="s">
        <v>16</v>
      </c>
      <c r="N5" s="93" t="s">
        <v>23</v>
      </c>
      <c r="O5" s="93" t="s">
        <v>23</v>
      </c>
      <c r="P5" s="89" t="s">
        <v>23</v>
      </c>
      <c r="Q5" s="89" t="s">
        <v>23</v>
      </c>
      <c r="R5" s="89" t="s">
        <v>23</v>
      </c>
      <c r="S5" s="89" t="s">
        <v>23</v>
      </c>
      <c r="T5" s="89" t="s">
        <v>23</v>
      </c>
      <c r="U5" s="89" t="s">
        <v>23</v>
      </c>
      <c r="V5" s="93" t="s">
        <v>23</v>
      </c>
      <c r="W5" s="93" t="s">
        <v>23</v>
      </c>
      <c r="X5" s="89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93" t="s">
        <v>23</v>
      </c>
      <c r="AE5" s="93" t="s">
        <v>23</v>
      </c>
      <c r="AF5" s="94">
        <v>0</v>
      </c>
      <c r="AG5" s="94"/>
      <c r="AH5" s="94"/>
      <c r="AI5" s="94"/>
      <c r="AJ5" s="95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11</v>
      </c>
      <c r="AQ5" s="19">
        <f t="shared" ref="AQ5:AQ26" si="4">COUNTIF($X$4:$AE$94,AL5)</f>
        <v>0</v>
      </c>
      <c r="AR5" s="19">
        <f t="shared" ref="AR5:AR26" si="5">AO5+AP5+AQ5</f>
        <v>27</v>
      </c>
      <c r="AS5" s="50">
        <f t="shared" ref="AS5:AU28" si="6">AO5*$AN5</f>
        <v>640</v>
      </c>
      <c r="AT5" s="50">
        <f t="shared" si="2"/>
        <v>440</v>
      </c>
      <c r="AU5" s="50">
        <f t="shared" si="2"/>
        <v>0</v>
      </c>
      <c r="AV5" s="164" t="s">
        <v>34</v>
      </c>
      <c r="AW5" s="164"/>
      <c r="AY5">
        <f t="shared" ref="AY5:AY28" si="7">AM5*0.8</f>
        <v>128</v>
      </c>
    </row>
    <row r="6" spans="1:51">
      <c r="A6" s="76">
        <v>44458</v>
      </c>
      <c r="B6" s="90">
        <v>1600</v>
      </c>
      <c r="C6" s="90" cm="1">
        <f t="array" ref="C6">(SUM(VLOOKUP(H6:AE6,$AL$4:$AN$44,2,FALSE))+AF6*10)*IF(AJ6="是",$AW$4,$AW$3)</f>
        <v>760</v>
      </c>
      <c r="D6" s="90">
        <f>SUM($B$4:B6)-SUM($C$4:C6)</f>
        <v>1590</v>
      </c>
      <c r="E6" s="90" cm="1">
        <f t="array" ref="E6">SUM(VLOOKUP(H6:AE6,$AL$4:$AN$44,3,FALSE))</f>
        <v>205</v>
      </c>
      <c r="F6" s="90">
        <f>SUM($E$4:E6)+SUM($G$4:G6)</f>
        <v>1090</v>
      </c>
      <c r="G6" s="90">
        <v>0</v>
      </c>
      <c r="H6" s="96" t="s">
        <v>16</v>
      </c>
      <c r="I6" s="96" t="s">
        <v>16</v>
      </c>
      <c r="J6" s="97" t="s">
        <v>12</v>
      </c>
      <c r="K6" s="96" t="s">
        <v>16</v>
      </c>
      <c r="L6" s="91" t="s">
        <v>17</v>
      </c>
      <c r="M6" s="97" t="s">
        <v>12</v>
      </c>
      <c r="N6" s="93" t="s">
        <v>23</v>
      </c>
      <c r="O6" s="93" t="s">
        <v>23</v>
      </c>
      <c r="P6" s="89" t="s">
        <v>23</v>
      </c>
      <c r="Q6" s="89" t="s">
        <v>23</v>
      </c>
      <c r="R6" s="89" t="s">
        <v>23</v>
      </c>
      <c r="S6" s="89" t="s">
        <v>23</v>
      </c>
      <c r="T6" s="89" t="s">
        <v>23</v>
      </c>
      <c r="U6" s="89" t="s">
        <v>23</v>
      </c>
      <c r="V6" s="93" t="s">
        <v>23</v>
      </c>
      <c r="W6" s="93" t="s">
        <v>23</v>
      </c>
      <c r="X6" s="89" t="s">
        <v>23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93" t="s">
        <v>23</v>
      </c>
      <c r="AE6" s="93" t="s">
        <v>23</v>
      </c>
      <c r="AF6" s="94">
        <v>5</v>
      </c>
      <c r="AG6" s="94">
        <v>5</v>
      </c>
      <c r="AH6" s="94"/>
      <c r="AI6" s="94"/>
      <c r="AJ6" s="95" t="s">
        <v>30</v>
      </c>
      <c r="AL6" s="22" t="s">
        <v>18</v>
      </c>
      <c r="AM6" s="19">
        <v>170</v>
      </c>
      <c r="AN6" s="19">
        <v>45</v>
      </c>
      <c r="AO6" s="19">
        <f t="shared" si="1"/>
        <v>110</v>
      </c>
      <c r="AP6" s="19">
        <f t="shared" si="3"/>
        <v>84</v>
      </c>
      <c r="AQ6" s="19">
        <f t="shared" si="4"/>
        <v>0</v>
      </c>
      <c r="AR6" s="19">
        <f t="shared" si="5"/>
        <v>194</v>
      </c>
      <c r="AS6" s="50">
        <f t="shared" si="6"/>
        <v>4950</v>
      </c>
      <c r="AT6" s="50">
        <f t="shared" si="2"/>
        <v>3780</v>
      </c>
      <c r="AU6" s="50">
        <f t="shared" si="2"/>
        <v>0</v>
      </c>
      <c r="AV6" s="165"/>
      <c r="AW6" s="165"/>
      <c r="AY6">
        <f t="shared" si="7"/>
        <v>136</v>
      </c>
    </row>
    <row r="7" spans="1:51">
      <c r="A7" s="76">
        <v>44459</v>
      </c>
      <c r="B7" s="89">
        <v>1600</v>
      </c>
      <c r="C7" s="90" cm="1">
        <f t="array" ref="C7">(SUM(VLOOKUP(H7:AE7,$AL$4:$AN$44,2,FALSE))+AF7*10)*IF(AJ7="是",$AW$4,$AW$3)</f>
        <v>970</v>
      </c>
      <c r="D7" s="89">
        <f>SUM($B$4:B7)-SUM($C$4:C7)</f>
        <v>2220</v>
      </c>
      <c r="E7" s="90" cm="1">
        <f t="array" ref="E7">SUM(VLOOKUP(H7:AE7,$AL$4:$AN$44,3,FALSE))</f>
        <v>250</v>
      </c>
      <c r="F7" s="90">
        <f>SUM($E$4:E7)+SUM($G$4:G7)</f>
        <v>1640</v>
      </c>
      <c r="G7" s="89">
        <v>300</v>
      </c>
      <c r="H7" s="91" t="s">
        <v>17</v>
      </c>
      <c r="I7" s="91" t="s">
        <v>17</v>
      </c>
      <c r="J7" s="91" t="s">
        <v>6</v>
      </c>
      <c r="K7" s="91" t="s">
        <v>17</v>
      </c>
      <c r="L7" s="92" t="s">
        <v>18</v>
      </c>
      <c r="M7" s="92" t="s">
        <v>18</v>
      </c>
      <c r="N7" s="93" t="s">
        <v>23</v>
      </c>
      <c r="O7" s="93" t="s">
        <v>23</v>
      </c>
      <c r="P7" s="89" t="s">
        <v>23</v>
      </c>
      <c r="Q7" s="89" t="s">
        <v>23</v>
      </c>
      <c r="R7" s="89" t="s">
        <v>23</v>
      </c>
      <c r="S7" s="89" t="s">
        <v>23</v>
      </c>
      <c r="T7" s="89" t="s">
        <v>23</v>
      </c>
      <c r="U7" s="89" t="s">
        <v>23</v>
      </c>
      <c r="V7" s="93" t="s">
        <v>23</v>
      </c>
      <c r="W7" s="93" t="s">
        <v>23</v>
      </c>
      <c r="X7" s="89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93" t="s">
        <v>23</v>
      </c>
      <c r="AE7" s="93" t="s">
        <v>23</v>
      </c>
      <c r="AF7" s="94">
        <v>0</v>
      </c>
      <c r="AG7" s="94"/>
      <c r="AH7" s="94"/>
      <c r="AI7" s="94"/>
      <c r="AJ7" s="95" t="s">
        <v>30</v>
      </c>
      <c r="AL7" s="23" t="s">
        <v>19</v>
      </c>
      <c r="AM7" s="19">
        <v>180</v>
      </c>
      <c r="AN7" s="19">
        <v>50</v>
      </c>
      <c r="AO7" s="19">
        <f t="shared" si="1"/>
        <v>137</v>
      </c>
      <c r="AP7" s="19">
        <f t="shared" si="3"/>
        <v>130</v>
      </c>
      <c r="AQ7" s="19">
        <f t="shared" si="4"/>
        <v>0</v>
      </c>
      <c r="AR7" s="71">
        <f t="shared" si="5"/>
        <v>267</v>
      </c>
      <c r="AS7" s="50">
        <f t="shared" si="6"/>
        <v>6850</v>
      </c>
      <c r="AT7" s="50">
        <f t="shared" si="2"/>
        <v>6500</v>
      </c>
      <c r="AU7" s="50">
        <f t="shared" si="2"/>
        <v>0</v>
      </c>
      <c r="AV7" s="165"/>
      <c r="AW7" s="165"/>
      <c r="AY7">
        <f t="shared" si="7"/>
        <v>144</v>
      </c>
    </row>
    <row r="8" spans="1:51">
      <c r="A8" s="76">
        <v>44460</v>
      </c>
      <c r="B8" s="89">
        <v>1600</v>
      </c>
      <c r="C8" s="90" cm="1">
        <f t="array" ref="C8">(SUM(VLOOKUP(H8:AE8,$AL$4:$AN$44,2,FALSE))+AF8*10)*IF(AJ8="是",$AW$4,$AW$3)</f>
        <v>1030</v>
      </c>
      <c r="D8" s="89">
        <f>SUM($B$4:B8)-SUM($C$4:C8)</f>
        <v>2790</v>
      </c>
      <c r="E8" s="90" cm="1">
        <f t="array" ref="E8">SUM(VLOOKUP(H8:AE8,$AL$4:$AN$44,3,FALSE))</f>
        <v>270</v>
      </c>
      <c r="F8" s="90">
        <f>SUM($E$4:E8)+SUM($G$4:G8)</f>
        <v>1910</v>
      </c>
      <c r="G8" s="89">
        <v>0</v>
      </c>
      <c r="H8" s="92" t="s">
        <v>18</v>
      </c>
      <c r="I8" s="92" t="s">
        <v>18</v>
      </c>
      <c r="J8" s="99" t="s">
        <v>72</v>
      </c>
      <c r="K8" s="92" t="s">
        <v>18</v>
      </c>
      <c r="L8" s="92" t="s">
        <v>18</v>
      </c>
      <c r="M8" s="92" t="s">
        <v>18</v>
      </c>
      <c r="N8" s="93" t="s">
        <v>23</v>
      </c>
      <c r="O8" s="93" t="s">
        <v>23</v>
      </c>
      <c r="P8" s="89" t="s">
        <v>23</v>
      </c>
      <c r="Q8" s="89" t="s">
        <v>23</v>
      </c>
      <c r="R8" s="89" t="s">
        <v>23</v>
      </c>
      <c r="S8" s="89" t="s">
        <v>23</v>
      </c>
      <c r="T8" s="89" t="s">
        <v>23</v>
      </c>
      <c r="U8" s="89" t="s">
        <v>23</v>
      </c>
      <c r="V8" s="93" t="s">
        <v>23</v>
      </c>
      <c r="W8" s="93" t="s">
        <v>23</v>
      </c>
      <c r="X8" s="89" t="s">
        <v>23</v>
      </c>
      <c r="Y8" s="89" t="s">
        <v>23</v>
      </c>
      <c r="Z8" s="89" t="s">
        <v>23</v>
      </c>
      <c r="AA8" s="89" t="s">
        <v>23</v>
      </c>
      <c r="AB8" s="89" t="s">
        <v>23</v>
      </c>
      <c r="AC8" s="89" t="s">
        <v>23</v>
      </c>
      <c r="AD8" s="93" t="s">
        <v>23</v>
      </c>
      <c r="AE8" s="93" t="s">
        <v>23</v>
      </c>
      <c r="AF8" s="94">
        <v>1</v>
      </c>
      <c r="AG8" s="94">
        <v>1</v>
      </c>
      <c r="AH8" s="94"/>
      <c r="AI8" s="94"/>
      <c r="AJ8" s="95" t="s">
        <v>30</v>
      </c>
      <c r="AL8" s="24" t="s">
        <v>20</v>
      </c>
      <c r="AM8" s="19">
        <v>190</v>
      </c>
      <c r="AN8" s="19">
        <v>55</v>
      </c>
      <c r="AO8" s="19">
        <f t="shared" si="1"/>
        <v>116</v>
      </c>
      <c r="AP8" s="19">
        <f t="shared" si="3"/>
        <v>120</v>
      </c>
      <c r="AQ8" s="19">
        <f t="shared" si="4"/>
        <v>0</v>
      </c>
      <c r="AR8" s="71">
        <f t="shared" si="5"/>
        <v>236</v>
      </c>
      <c r="AS8" s="50">
        <f t="shared" si="6"/>
        <v>6380</v>
      </c>
      <c r="AT8" s="50">
        <f t="shared" si="2"/>
        <v>6600</v>
      </c>
      <c r="AU8" s="50">
        <f t="shared" si="2"/>
        <v>0</v>
      </c>
      <c r="AV8" s="165"/>
      <c r="AW8" s="165"/>
      <c r="AY8">
        <f t="shared" si="7"/>
        <v>152</v>
      </c>
    </row>
    <row r="9" spans="1:51">
      <c r="A9" s="76">
        <v>44461</v>
      </c>
      <c r="B9" s="89">
        <v>1600</v>
      </c>
      <c r="C9" s="90" cm="1">
        <f t="array" ref="C9">(SUM(VLOOKUP(H9:AE9,$AL$4:$AN$44,2,FALSE))+AF9*10)*IF(AJ9="是",$AW$4,$AW$3)</f>
        <v>1020</v>
      </c>
      <c r="D9" s="89">
        <f>SUM($B$4:B9)-SUM($C$4:C9)</f>
        <v>3370</v>
      </c>
      <c r="E9" s="90" cm="1">
        <f t="array" ref="E9">SUM(VLOOKUP(H9:AE9,$AL$4:$AN$44,3,FALSE))</f>
        <v>270</v>
      </c>
      <c r="F9" s="90">
        <f>SUM($E$4:E9)+SUM($G$4:G9)</f>
        <v>2380</v>
      </c>
      <c r="G9" s="89">
        <v>200</v>
      </c>
      <c r="H9" s="92" t="s">
        <v>18</v>
      </c>
      <c r="I9" s="92" t="s">
        <v>18</v>
      </c>
      <c r="J9" s="92" t="s">
        <v>18</v>
      </c>
      <c r="K9" s="92" t="s">
        <v>18</v>
      </c>
      <c r="L9" s="92" t="s">
        <v>18</v>
      </c>
      <c r="M9" s="92" t="s">
        <v>18</v>
      </c>
      <c r="N9" s="93" t="s">
        <v>23</v>
      </c>
      <c r="O9" s="93" t="s">
        <v>23</v>
      </c>
      <c r="P9" s="89" t="s">
        <v>23</v>
      </c>
      <c r="Q9" s="89" t="s">
        <v>23</v>
      </c>
      <c r="R9" s="89" t="s">
        <v>23</v>
      </c>
      <c r="S9" s="89" t="s">
        <v>23</v>
      </c>
      <c r="T9" s="89" t="s">
        <v>23</v>
      </c>
      <c r="U9" s="89" t="s">
        <v>23</v>
      </c>
      <c r="V9" s="93" t="s">
        <v>23</v>
      </c>
      <c r="W9" s="93" t="s">
        <v>23</v>
      </c>
      <c r="X9" s="89" t="s">
        <v>23</v>
      </c>
      <c r="Y9" s="89" t="s">
        <v>23</v>
      </c>
      <c r="Z9" s="89" t="s">
        <v>23</v>
      </c>
      <c r="AA9" s="89" t="s">
        <v>23</v>
      </c>
      <c r="AB9" s="89" t="s">
        <v>23</v>
      </c>
      <c r="AC9" s="89" t="s">
        <v>23</v>
      </c>
      <c r="AD9" s="93" t="s">
        <v>23</v>
      </c>
      <c r="AE9" s="93" t="s">
        <v>23</v>
      </c>
      <c r="AF9" s="94">
        <v>0</v>
      </c>
      <c r="AG9" s="94"/>
      <c r="AH9" s="94"/>
      <c r="AI9" s="94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118</v>
      </c>
      <c r="AP9" s="19">
        <f t="shared" si="3"/>
        <v>76</v>
      </c>
      <c r="AQ9" s="19">
        <f t="shared" si="4"/>
        <v>0</v>
      </c>
      <c r="AR9" s="71">
        <f t="shared" si="5"/>
        <v>194</v>
      </c>
      <c r="AS9" s="50">
        <f t="shared" si="6"/>
        <v>7080</v>
      </c>
      <c r="AT9" s="50">
        <f t="shared" si="2"/>
        <v>4560</v>
      </c>
      <c r="AU9" s="50">
        <f t="shared" si="2"/>
        <v>0</v>
      </c>
      <c r="AY9">
        <f t="shared" si="7"/>
        <v>160</v>
      </c>
    </row>
    <row r="10" spans="1:51">
      <c r="A10" s="76">
        <v>44462</v>
      </c>
      <c r="B10" s="89">
        <v>1600</v>
      </c>
      <c r="C10" s="90" cm="1">
        <f t="array" ref="C10">(SUM(VLOOKUP(H10:AE10,$AL$4:$AN$44,2,FALSE))+AF10*10)*IF(AJ10="是",$AW$4,$AW$3)</f>
        <v>870</v>
      </c>
      <c r="D10" s="89">
        <f>SUM($B$4:B10)-SUM($C$4:C10)</f>
        <v>4100</v>
      </c>
      <c r="E10" s="90" cm="1">
        <f t="array" ref="E10">SUM(VLOOKUP(H10:AE10,$AL$4:$AN$44,3,FALSE))</f>
        <v>245</v>
      </c>
      <c r="F10" s="90">
        <f>SUM($E$4:E10)+SUM($G$4:G10)</f>
        <v>2625</v>
      </c>
      <c r="G10" s="89">
        <v>0</v>
      </c>
      <c r="H10" s="91" t="s">
        <v>6</v>
      </c>
      <c r="I10" s="91" t="s">
        <v>17</v>
      </c>
      <c r="J10" s="92" t="s">
        <v>18</v>
      </c>
      <c r="K10" s="92" t="s">
        <v>18</v>
      </c>
      <c r="L10" s="97" t="s">
        <v>12</v>
      </c>
      <c r="M10" s="92" t="s">
        <v>18</v>
      </c>
      <c r="N10" s="93" t="s">
        <v>23</v>
      </c>
      <c r="O10" s="93" t="s">
        <v>23</v>
      </c>
      <c r="P10" s="89" t="s">
        <v>23</v>
      </c>
      <c r="Q10" s="89" t="s">
        <v>23</v>
      </c>
      <c r="R10" s="89" t="s">
        <v>23</v>
      </c>
      <c r="S10" s="89" t="s">
        <v>23</v>
      </c>
      <c r="T10" s="89" t="s">
        <v>23</v>
      </c>
      <c r="U10" s="89" t="s">
        <v>23</v>
      </c>
      <c r="V10" s="93" t="s">
        <v>23</v>
      </c>
      <c r="W10" s="93" t="s">
        <v>23</v>
      </c>
      <c r="X10" s="89" t="s">
        <v>23</v>
      </c>
      <c r="Y10" s="89" t="s">
        <v>23</v>
      </c>
      <c r="Z10" s="89" t="s">
        <v>23</v>
      </c>
      <c r="AA10" s="89" t="s">
        <v>23</v>
      </c>
      <c r="AB10" s="89" t="s">
        <v>23</v>
      </c>
      <c r="AC10" s="89" t="s">
        <v>23</v>
      </c>
      <c r="AD10" s="93" t="s">
        <v>23</v>
      </c>
      <c r="AE10" s="93" t="s">
        <v>23</v>
      </c>
      <c r="AF10" s="94">
        <v>0</v>
      </c>
      <c r="AG10" s="94"/>
      <c r="AH10" s="94"/>
      <c r="AI10" s="94"/>
      <c r="AJ10" s="95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76">
        <v>44463</v>
      </c>
      <c r="B11" s="89">
        <v>1600</v>
      </c>
      <c r="C11" s="90" cm="1">
        <f t="array" ref="C11">(SUM(VLOOKUP(H11:AE11,$AL$4:$AN$44,2,FALSE))+AF11*10)*IF(AJ11="是",$AW$4,$AW$3)</f>
        <v>1170</v>
      </c>
      <c r="D11" s="89">
        <f>SUM($B$4:B11)-SUM($C$4:C11)</f>
        <v>4530</v>
      </c>
      <c r="E11" s="90" cm="1">
        <f t="array" ref="E11">SUM(VLOOKUP(H11:AE11,$AL$4:$AN$44,3,FALSE))</f>
        <v>470</v>
      </c>
      <c r="F11" s="90">
        <f>SUM($E$4:E11)+SUM($G$4:G11)</f>
        <v>3095</v>
      </c>
      <c r="G11" s="89">
        <v>0</v>
      </c>
      <c r="H11" s="99" t="s">
        <v>72</v>
      </c>
      <c r="I11" s="92" t="s">
        <v>18</v>
      </c>
      <c r="J11" s="92" t="s">
        <v>18</v>
      </c>
      <c r="K11" s="102" t="s">
        <v>13</v>
      </c>
      <c r="L11" s="92" t="s">
        <v>18</v>
      </c>
      <c r="M11" s="99" t="s">
        <v>71</v>
      </c>
      <c r="N11" s="92" t="s">
        <v>18</v>
      </c>
      <c r="O11" s="92" t="s">
        <v>18</v>
      </c>
      <c r="P11" s="89" t="s">
        <v>23</v>
      </c>
      <c r="Q11" s="89" t="s">
        <v>23</v>
      </c>
      <c r="R11" s="89" t="s">
        <v>23</v>
      </c>
      <c r="S11" s="89" t="s">
        <v>23</v>
      </c>
      <c r="T11" s="89" t="s">
        <v>23</v>
      </c>
      <c r="U11" s="89" t="s">
        <v>23</v>
      </c>
      <c r="V11" s="93" t="s">
        <v>23</v>
      </c>
      <c r="W11" s="93" t="s">
        <v>23</v>
      </c>
      <c r="X11" s="89" t="s">
        <v>23</v>
      </c>
      <c r="Y11" s="89" t="s">
        <v>23</v>
      </c>
      <c r="Z11" s="89" t="s">
        <v>23</v>
      </c>
      <c r="AA11" s="89" t="s">
        <v>23</v>
      </c>
      <c r="AB11" s="89" t="s">
        <v>23</v>
      </c>
      <c r="AC11" s="89" t="s">
        <v>23</v>
      </c>
      <c r="AD11" s="93" t="s">
        <v>23</v>
      </c>
      <c r="AE11" s="93" t="s">
        <v>23</v>
      </c>
      <c r="AF11" s="94">
        <v>5</v>
      </c>
      <c r="AG11" s="94">
        <v>5</v>
      </c>
      <c r="AH11" s="94"/>
      <c r="AI11" s="94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1</v>
      </c>
      <c r="AQ11" s="19">
        <f t="shared" si="4"/>
        <v>0</v>
      </c>
      <c r="AR11" s="19">
        <f t="shared" si="5"/>
        <v>5</v>
      </c>
      <c r="AS11" s="50">
        <f t="shared" si="6"/>
        <v>160</v>
      </c>
      <c r="AT11" s="50">
        <f t="shared" si="2"/>
        <v>40</v>
      </c>
      <c r="AU11" s="50">
        <f t="shared" si="2"/>
        <v>0</v>
      </c>
      <c r="AY11">
        <f t="shared" si="7"/>
        <v>120</v>
      </c>
    </row>
    <row r="12" spans="1:51">
      <c r="A12" s="76">
        <v>44464</v>
      </c>
      <c r="B12" s="89">
        <v>1600</v>
      </c>
      <c r="C12" s="90" cm="1">
        <f t="array" ref="C12">(SUM(VLOOKUP(H12:AE12,$AL$4:$AN$44,2,FALSE))+AF12*10)*IF(AJ12="是",$AW$4,$AW$3)</f>
        <v>1020</v>
      </c>
      <c r="D12" s="89">
        <f>SUM($B$4:B12)-SUM($C$4:C12)</f>
        <v>5110</v>
      </c>
      <c r="E12" s="90" cm="1">
        <f t="array" ref="E12">SUM(VLOOKUP(H12:AE12,$AL$4:$AN$44,3,FALSE))</f>
        <v>270</v>
      </c>
      <c r="F12" s="90">
        <f>SUM($E$4:E12)+SUM($G$4:G12)</f>
        <v>3365</v>
      </c>
      <c r="G12" s="89">
        <v>0</v>
      </c>
      <c r="H12" s="92" t="s">
        <v>18</v>
      </c>
      <c r="I12" s="92" t="s">
        <v>18</v>
      </c>
      <c r="J12" s="92" t="s">
        <v>18</v>
      </c>
      <c r="K12" s="92" t="s">
        <v>18</v>
      </c>
      <c r="L12" s="92" t="s">
        <v>18</v>
      </c>
      <c r="M12" s="92" t="s">
        <v>18</v>
      </c>
      <c r="N12" s="93" t="s">
        <v>23</v>
      </c>
      <c r="O12" s="93" t="s">
        <v>23</v>
      </c>
      <c r="P12" s="89" t="s">
        <v>23</v>
      </c>
      <c r="Q12" s="89" t="s">
        <v>23</v>
      </c>
      <c r="R12" s="89" t="s">
        <v>23</v>
      </c>
      <c r="S12" s="89" t="s">
        <v>23</v>
      </c>
      <c r="T12" s="89" t="s">
        <v>23</v>
      </c>
      <c r="U12" s="89" t="s">
        <v>23</v>
      </c>
      <c r="V12" s="93" t="s">
        <v>23</v>
      </c>
      <c r="W12" s="93" t="s">
        <v>23</v>
      </c>
      <c r="X12" s="89" t="s">
        <v>23</v>
      </c>
      <c r="Y12" s="89" t="s">
        <v>23</v>
      </c>
      <c r="Z12" s="89" t="s">
        <v>23</v>
      </c>
      <c r="AA12" s="89" t="s">
        <v>23</v>
      </c>
      <c r="AB12" s="89" t="s">
        <v>23</v>
      </c>
      <c r="AC12" s="89" t="s">
        <v>23</v>
      </c>
      <c r="AD12" s="93" t="s">
        <v>23</v>
      </c>
      <c r="AE12" s="93" t="s">
        <v>23</v>
      </c>
      <c r="AF12" s="94">
        <v>0</v>
      </c>
      <c r="AG12" s="94"/>
      <c r="AH12" s="94"/>
      <c r="AI12" s="94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4</v>
      </c>
      <c r="AP12" s="19">
        <f t="shared" si="3"/>
        <v>2</v>
      </c>
      <c r="AQ12" s="19">
        <f t="shared" si="4"/>
        <v>0</v>
      </c>
      <c r="AR12" s="19">
        <f t="shared" si="5"/>
        <v>6</v>
      </c>
      <c r="AS12" s="50">
        <f t="shared" si="6"/>
        <v>180</v>
      </c>
      <c r="AT12" s="50">
        <f t="shared" si="2"/>
        <v>90</v>
      </c>
      <c r="AU12" s="50">
        <f t="shared" si="2"/>
        <v>0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5610</v>
      </c>
      <c r="E13" s="55" cm="1">
        <f t="array" ref="E13">SUM(VLOOKUP(H13:AE13,$AL$4:$AN$44,3,FALSE))</f>
        <v>425</v>
      </c>
      <c r="F13" s="98">
        <f>SUM($E$4:E13)+SUM($G$4:G13)</f>
        <v>3790</v>
      </c>
      <c r="G13" s="56">
        <v>0</v>
      </c>
      <c r="H13" s="81" t="s">
        <v>72</v>
      </c>
      <c r="I13" s="79" t="s">
        <v>18</v>
      </c>
      <c r="J13" s="79" t="s">
        <v>18</v>
      </c>
      <c r="K13" s="79" t="s">
        <v>18</v>
      </c>
      <c r="L13" s="79" t="s">
        <v>18</v>
      </c>
      <c r="M13" s="81" t="s">
        <v>71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80">
        <v>0</v>
      </c>
      <c r="AG13" s="80"/>
      <c r="AH13" s="80"/>
      <c r="AI13" s="80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3</v>
      </c>
      <c r="AQ13" s="19">
        <f t="shared" si="4"/>
        <v>0</v>
      </c>
      <c r="AR13" s="19">
        <f t="shared" si="5"/>
        <v>4</v>
      </c>
      <c r="AS13" s="50">
        <f t="shared" si="6"/>
        <v>50</v>
      </c>
      <c r="AT13" s="50">
        <f t="shared" si="2"/>
        <v>150</v>
      </c>
      <c r="AU13" s="50">
        <f t="shared" si="2"/>
        <v>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6310</v>
      </c>
      <c r="E14" s="55" cm="1">
        <f t="array" ref="E14">SUM(VLOOKUP(H14:AE14,$AL$4:$AN$44,3,FALSE))</f>
        <v>255</v>
      </c>
      <c r="F14" s="98">
        <f>SUM($E$4:E14)+SUM($G$4:G14)</f>
        <v>4345</v>
      </c>
      <c r="G14" s="55">
        <v>300</v>
      </c>
      <c r="H14" s="79" t="s">
        <v>18</v>
      </c>
      <c r="I14" s="79" t="s">
        <v>18</v>
      </c>
      <c r="J14" s="77" t="s">
        <v>12</v>
      </c>
      <c r="K14" s="79" t="s">
        <v>18</v>
      </c>
      <c r="L14" s="79" t="s">
        <v>18</v>
      </c>
      <c r="M14" s="79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80">
        <v>0</v>
      </c>
      <c r="AG14" s="80"/>
      <c r="AH14" s="80"/>
      <c r="AI14" s="80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1</v>
      </c>
      <c r="AP14" s="19">
        <f t="shared" si="3"/>
        <v>2</v>
      </c>
      <c r="AQ14" s="19">
        <f t="shared" si="4"/>
        <v>0</v>
      </c>
      <c r="AR14" s="19">
        <f t="shared" si="5"/>
        <v>3</v>
      </c>
      <c r="AS14" s="50">
        <f t="shared" si="6"/>
        <v>55</v>
      </c>
      <c r="AT14" s="50">
        <f t="shared" si="2"/>
        <v>110</v>
      </c>
      <c r="AU14" s="50">
        <f t="shared" si="2"/>
        <v>0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6890</v>
      </c>
      <c r="E15" s="55" cm="1">
        <f t="array" ref="E15">SUM(VLOOKUP(H15:AE15,$AL$4:$AN$44,3,FALSE))</f>
        <v>270</v>
      </c>
      <c r="F15" s="98">
        <f>SUM($E$4:E15)+SUM($G$4:G15)</f>
        <v>4615</v>
      </c>
      <c r="G15" s="55">
        <v>0</v>
      </c>
      <c r="H15" s="79" t="s">
        <v>18</v>
      </c>
      <c r="I15" s="79" t="s">
        <v>18</v>
      </c>
      <c r="J15" s="79" t="s">
        <v>18</v>
      </c>
      <c r="K15" s="79" t="s">
        <v>18</v>
      </c>
      <c r="L15" s="79" t="s">
        <v>18</v>
      </c>
      <c r="M15" s="79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80">
        <v>0</v>
      </c>
      <c r="AG15" s="80"/>
      <c r="AH15" s="80"/>
      <c r="AI15" s="80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1</v>
      </c>
      <c r="AP15" s="19">
        <f t="shared" si="3"/>
        <v>0</v>
      </c>
      <c r="AQ15" s="19">
        <f t="shared" si="4"/>
        <v>0</v>
      </c>
      <c r="AR15" s="19">
        <f t="shared" si="5"/>
        <v>1</v>
      </c>
      <c r="AS15" s="50">
        <f t="shared" si="6"/>
        <v>60</v>
      </c>
      <c r="AT15" s="50">
        <f t="shared" si="2"/>
        <v>0</v>
      </c>
      <c r="AU15" s="50">
        <f t="shared" si="2"/>
        <v>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1000</v>
      </c>
      <c r="D16" s="57">
        <f>SUM($B$4:B16)-SUM($C$4:C16)</f>
        <v>7490</v>
      </c>
      <c r="E16" s="55" cm="1">
        <f t="array" ref="E16">SUM(VLOOKUP(H16:AE16,$AL$4:$AN$44,3,FALSE))</f>
        <v>270</v>
      </c>
      <c r="F16" s="98">
        <f>SUM($E$4:E16)+SUM($G$4:G16)</f>
        <v>5085</v>
      </c>
      <c r="G16" s="55">
        <v>200</v>
      </c>
      <c r="H16" s="81" t="s">
        <v>72</v>
      </c>
      <c r="I16" s="79" t="s">
        <v>18</v>
      </c>
      <c r="J16" s="79" t="s">
        <v>18</v>
      </c>
      <c r="K16" s="79" t="s">
        <v>18</v>
      </c>
      <c r="L16" s="79" t="s">
        <v>7</v>
      </c>
      <c r="M16" s="79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80">
        <v>0</v>
      </c>
      <c r="AG16" s="80"/>
      <c r="AH16" s="80"/>
      <c r="AI16" s="80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1</v>
      </c>
      <c r="AQ16" s="19">
        <f t="shared" si="4"/>
        <v>0</v>
      </c>
      <c r="AR16" s="19">
        <f t="shared" si="5"/>
        <v>1</v>
      </c>
      <c r="AS16" s="50">
        <f t="shared" si="6"/>
        <v>0</v>
      </c>
      <c r="AT16" s="50">
        <f t="shared" si="2"/>
        <v>35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1110</v>
      </c>
      <c r="D17" s="57">
        <f>SUM($B$4:B17)-SUM($C$4:C17)</f>
        <v>7980</v>
      </c>
      <c r="E17" s="55" cm="1">
        <f t="array" ref="E17">SUM(VLOOKUP(H17:AE17,$AL$4:$AN$44,3,FALSE))</f>
        <v>425</v>
      </c>
      <c r="F17" s="98">
        <f>SUM($E$4:E17)+SUM($G$4:G17)</f>
        <v>5510</v>
      </c>
      <c r="G17" s="55">
        <v>0</v>
      </c>
      <c r="H17" s="79" t="s">
        <v>18</v>
      </c>
      <c r="I17" s="81" t="s">
        <v>71</v>
      </c>
      <c r="J17" s="79" t="s">
        <v>18</v>
      </c>
      <c r="K17" s="79" t="s">
        <v>18</v>
      </c>
      <c r="L17" s="79" t="s">
        <v>18</v>
      </c>
      <c r="M17" s="79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80">
        <v>1</v>
      </c>
      <c r="AG17" s="80">
        <v>1</v>
      </c>
      <c r="AH17" s="80"/>
      <c r="AI17" s="80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18</v>
      </c>
      <c r="AP17" s="19">
        <f t="shared" si="3"/>
        <v>18</v>
      </c>
      <c r="AQ17" s="19">
        <f t="shared" si="4"/>
        <v>0</v>
      </c>
      <c r="AR17" s="19">
        <f t="shared" si="5"/>
        <v>36</v>
      </c>
      <c r="AS17" s="50">
        <f t="shared" si="6"/>
        <v>540</v>
      </c>
      <c r="AT17" s="50">
        <f t="shared" si="2"/>
        <v>540</v>
      </c>
      <c r="AU17" s="50">
        <f t="shared" si="2"/>
        <v>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(SUM(VLOOKUP(H18:AE18,$AL$4:$AN$44,2,FALSE))+AF18*10)*IF(AJ18="是",$AW$4,$AW$3)-198</f>
        <v>1522</v>
      </c>
      <c r="D18" s="57">
        <f>SUM($B$4:B18)-SUM($C$4:C18)</f>
        <v>8058</v>
      </c>
      <c r="E18" s="55" cm="1">
        <f t="array" ref="E18">SUM(VLOOKUP(H18:AE18,$AL$4:$AN$44,3,FALSE))</f>
        <v>460</v>
      </c>
      <c r="F18" s="98">
        <f>SUM($E$4:E18)+SUM($G$4:G18)</f>
        <v>5970</v>
      </c>
      <c r="G18" s="55">
        <v>0</v>
      </c>
      <c r="H18" s="79" t="s">
        <v>18</v>
      </c>
      <c r="I18" s="77" t="s">
        <v>12</v>
      </c>
      <c r="J18" s="79" t="s">
        <v>18</v>
      </c>
      <c r="K18" s="79" t="s">
        <v>18</v>
      </c>
      <c r="L18" s="81" t="s">
        <v>72</v>
      </c>
      <c r="M18" s="79" t="s">
        <v>18</v>
      </c>
      <c r="N18" s="7" t="s">
        <v>23</v>
      </c>
      <c r="O18" s="7" t="s">
        <v>23</v>
      </c>
      <c r="P18" s="26" t="s">
        <v>11</v>
      </c>
      <c r="Q18" s="83" t="s">
        <v>16</v>
      </c>
      <c r="R18" s="77" t="s">
        <v>12</v>
      </c>
      <c r="S18" s="83" t="s">
        <v>16</v>
      </c>
      <c r="T18" s="83" t="s">
        <v>16</v>
      </c>
      <c r="U18" s="83" t="s">
        <v>16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80">
        <v>2</v>
      </c>
      <c r="AG18" s="80"/>
      <c r="AH18" s="80">
        <v>2</v>
      </c>
      <c r="AI18" s="80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8354</v>
      </c>
      <c r="E19" s="55" cm="1">
        <f t="array" ref="E19">SUM(VLOOKUP(H19:AE19,$AL$4:$AN$44,3,FALSE))</f>
        <v>490</v>
      </c>
      <c r="F19" s="98">
        <f>SUM($E$4:E19)+SUM($G$4:G19)</f>
        <v>6460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3" t="s">
        <v>16</v>
      </c>
      <c r="Q19" s="83" t="s">
        <v>16</v>
      </c>
      <c r="R19" s="83" t="s">
        <v>16</v>
      </c>
      <c r="S19" s="77" t="s">
        <v>12</v>
      </c>
      <c r="T19" s="83" t="s">
        <v>16</v>
      </c>
      <c r="U19" s="82" t="s">
        <v>47</v>
      </c>
      <c r="V19" s="83" t="s">
        <v>16</v>
      </c>
      <c r="W19" s="83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8418</v>
      </c>
      <c r="E20" s="55" cm="1">
        <f t="array" ref="E20">SUM(VLOOKUP(H20:AE20,$AL$4:$AN$44,3,FALSE))</f>
        <v>500</v>
      </c>
      <c r="F20" s="98">
        <f>SUM($E$4:E20)+SUM($G$4:G20)</f>
        <v>6960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18">
        <f>SUM($B$4:B21)-SUM($C$4:C21)</f>
        <v>8466</v>
      </c>
      <c r="E21" s="55" cm="1">
        <f t="array" ref="E21">SUM(VLOOKUP(H21:AE21,$AL$4:$AN$44,3,FALSE))</f>
        <v>505</v>
      </c>
      <c r="F21" s="98">
        <f>SUM($E$4:E21)+SUM($G$4:G21)</f>
        <v>7665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1392</v>
      </c>
      <c r="D22" s="18">
        <f>SUM($B$4:B22)-SUM($C$4:C22)</f>
        <v>8674</v>
      </c>
      <c r="E22" s="55" cm="1">
        <f t="array" ref="E22">SUM(VLOOKUP(H22:AE22,$AL$4:$AN$44,3,FALSE))</f>
        <v>530</v>
      </c>
      <c r="F22" s="98">
        <f>SUM($E$4:E22)+SUM($G$4:G22)</f>
        <v>8295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2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7" t="s">
        <v>12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3"/>
        <v>1</v>
      </c>
      <c r="AQ22" s="19">
        <f t="shared" si="4"/>
        <v>0</v>
      </c>
      <c r="AR22" s="19">
        <f t="shared" si="5"/>
        <v>2</v>
      </c>
      <c r="AS22" s="50">
        <f t="shared" si="6"/>
        <v>1000</v>
      </c>
      <c r="AT22" s="50">
        <f t="shared" si="6"/>
        <v>1000</v>
      </c>
      <c r="AU22" s="50">
        <f t="shared" si="6"/>
        <v>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1400</v>
      </c>
      <c r="D23" s="18">
        <f>SUM($B$4:B23)-SUM($C$4:C23)</f>
        <v>8874</v>
      </c>
      <c r="E23" s="55" cm="1">
        <f t="array" ref="E23">SUM(VLOOKUP(H23:AE23,$AL$4:$AN$44,3,FALSE))</f>
        <v>485</v>
      </c>
      <c r="F23" s="98">
        <f>SUM($E$4:E23)+SUM($G$4:G23)</f>
        <v>8980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9" t="s">
        <v>18</v>
      </c>
      <c r="T23" s="77" t="s">
        <v>12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1</v>
      </c>
      <c r="AG23" s="80"/>
      <c r="AH23" s="80">
        <v>1</v>
      </c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1</v>
      </c>
      <c r="AP23" s="19">
        <f t="shared" si="3"/>
        <v>1</v>
      </c>
      <c r="AQ23" s="19">
        <f t="shared" si="4"/>
        <v>0</v>
      </c>
      <c r="AR23" s="19">
        <f t="shared" si="5"/>
        <v>2</v>
      </c>
      <c r="AS23" s="50">
        <f t="shared" si="6"/>
        <v>500</v>
      </c>
      <c r="AT23" s="50">
        <f t="shared" si="6"/>
        <v>500</v>
      </c>
      <c r="AU23" s="50">
        <f t="shared" si="6"/>
        <v>0</v>
      </c>
      <c r="AY23">
        <f t="shared" si="7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18">
        <f>SUM($B$4:B24)-SUM($C$4:C24)</f>
        <v>8922</v>
      </c>
      <c r="E24" s="55" cm="1">
        <f t="array" ref="E24">SUM(VLOOKUP(H24:AE24,$AL$4:$AN$44,3,FALSE))</f>
        <v>525</v>
      </c>
      <c r="F24" s="98">
        <f>SUM($E$4:E24)+SUM($G$4:G24)</f>
        <v>9505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4" t="s">
        <v>19</v>
      </c>
      <c r="U24" s="79" t="s">
        <v>18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2</v>
      </c>
      <c r="AG24" s="80">
        <v>1</v>
      </c>
      <c r="AH24" s="80">
        <v>1</v>
      </c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0</v>
      </c>
      <c r="AR24" s="19">
        <f t="shared" si="5"/>
        <v>0</v>
      </c>
      <c r="AS24" s="50">
        <f t="shared" si="6"/>
        <v>0</v>
      </c>
      <c r="AT24" s="50">
        <f t="shared" si="6"/>
        <v>0</v>
      </c>
      <c r="AU24" s="50">
        <f t="shared" si="6"/>
        <v>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1440</v>
      </c>
      <c r="D25" s="18">
        <f>SUM($B$4:B25)-SUM($C$4:C25)</f>
        <v>9082</v>
      </c>
      <c r="E25" s="55" cm="1">
        <f t="array" ref="E25">SUM(VLOOKUP(H25:AE25,$AL$4:$AN$44,3,FALSE))</f>
        <v>510</v>
      </c>
      <c r="F25" s="98">
        <f>SUM($E$4:E25)+SUM($G$4:G25)</f>
        <v>10015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79" t="s">
        <v>18</v>
      </c>
      <c r="Q25" s="79" t="s">
        <v>18</v>
      </c>
      <c r="R25" s="79" t="s">
        <v>18</v>
      </c>
      <c r="S25" s="79" t="s">
        <v>18</v>
      </c>
      <c r="T25" s="77" t="s">
        <v>12</v>
      </c>
      <c r="U25" s="79" t="s">
        <v>18</v>
      </c>
      <c r="V25" s="7" t="s">
        <v>23</v>
      </c>
      <c r="W25" s="7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1648</v>
      </c>
      <c r="D26" s="18">
        <f>SUM($B$4:B26)-SUM($C$4:C26)</f>
        <v>9034</v>
      </c>
      <c r="E26" s="55" cm="1">
        <f t="array" ref="E26">SUM(VLOOKUP(H26:AE26,$AL$4:$AN$44,3,FALSE))</f>
        <v>665</v>
      </c>
      <c r="F26" s="98">
        <f>SUM($E$4:E26)+SUM($G$4:G26)</f>
        <v>10680</v>
      </c>
      <c r="G26" s="56">
        <v>0</v>
      </c>
      <c r="H26" s="79" t="s">
        <v>18</v>
      </c>
      <c r="I26" s="79" t="s">
        <v>18</v>
      </c>
      <c r="J26" s="82" t="s">
        <v>47</v>
      </c>
      <c r="K26" s="79" t="s">
        <v>18</v>
      </c>
      <c r="L26" s="79" t="s">
        <v>18</v>
      </c>
      <c r="M26" s="79" t="s">
        <v>18</v>
      </c>
      <c r="N26" s="84" t="s">
        <v>19</v>
      </c>
      <c r="O26" s="84" t="s">
        <v>19</v>
      </c>
      <c r="P26" s="79" t="s">
        <v>18</v>
      </c>
      <c r="Q26" s="79" t="s">
        <v>18</v>
      </c>
      <c r="R26" s="82" t="s">
        <v>47</v>
      </c>
      <c r="S26" s="84" t="s">
        <v>19</v>
      </c>
      <c r="T26" s="84" t="s">
        <v>19</v>
      </c>
      <c r="U26" s="84" t="s">
        <v>19</v>
      </c>
      <c r="V26" s="84" t="s">
        <v>19</v>
      </c>
      <c r="W26" s="84" t="s">
        <v>19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18">
        <f>SUM($B$4:B27)-SUM($C$4:C27)</f>
        <v>8930</v>
      </c>
      <c r="E27" s="55" cm="1">
        <f t="array" ref="E27">SUM(VLOOKUP(H27:AE27,$AL$4:$AN$44,3,FALSE))</f>
        <v>585</v>
      </c>
      <c r="F27" s="98">
        <f>SUM($E$4:E27)+SUM($G$4:G27)</f>
        <v>11265</v>
      </c>
      <c r="G27" s="56">
        <v>0</v>
      </c>
      <c r="H27" s="84" t="s">
        <v>19</v>
      </c>
      <c r="I27" s="84" t="s">
        <v>19</v>
      </c>
      <c r="J27" s="84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4" t="s">
        <v>19</v>
      </c>
      <c r="Q27" s="84" t="s">
        <v>19</v>
      </c>
      <c r="R27" s="84" t="s">
        <v>19</v>
      </c>
      <c r="S27" s="84" t="s">
        <v>19</v>
      </c>
      <c r="T27" s="84" t="s">
        <v>19</v>
      </c>
      <c r="U27" s="84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1712</v>
      </c>
      <c r="D28" s="57">
        <f>SUM($B$4:B28)-SUM($C$4:C28)</f>
        <v>8818</v>
      </c>
      <c r="E28" s="55" cm="1">
        <f t="array" ref="E28">SUM(VLOOKUP(H28:AE28,$AL$4:$AN$44,3,FALSE))</f>
        <v>590</v>
      </c>
      <c r="F28" s="98">
        <f>SUM($E$4:E28)+SUM($G$4:G28)</f>
        <v>12055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4" t="s">
        <v>19</v>
      </c>
      <c r="Q28" s="84" t="s">
        <v>19</v>
      </c>
      <c r="R28" s="85" t="s">
        <v>20</v>
      </c>
      <c r="S28" s="85" t="s">
        <v>20</v>
      </c>
      <c r="T28" s="85" t="s">
        <v>20</v>
      </c>
      <c r="U28" s="85" t="s">
        <v>20</v>
      </c>
      <c r="V28" s="7" t="s">
        <v>23</v>
      </c>
      <c r="W28" s="7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1504</v>
      </c>
      <c r="D29" s="57">
        <f>SUM($B$4:B29)-SUM($C$4:C29)</f>
        <v>8914</v>
      </c>
      <c r="E29" s="55" cm="1">
        <f t="array" ref="E29">SUM(VLOOKUP(H29:AE29,$AL$4:$AN$44,3,FALSE))</f>
        <v>560</v>
      </c>
      <c r="F29" s="98">
        <f>SUM($E$4:E29)+SUM($G$4:G29)</f>
        <v>12715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5" t="s">
        <v>20</v>
      </c>
      <c r="Q29" s="77" t="s">
        <v>12</v>
      </c>
      <c r="R29" s="85" t="s">
        <v>20</v>
      </c>
      <c r="S29" s="85" t="s">
        <v>20</v>
      </c>
      <c r="T29" s="85" t="s">
        <v>20</v>
      </c>
      <c r="U29" s="85" t="s">
        <v>20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1025</v>
      </c>
      <c r="AT29" t="s">
        <v>61</v>
      </c>
      <c r="AU29" s="4">
        <f>SUM(AS4:AU28)+7000</f>
        <v>61455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1680</v>
      </c>
      <c r="D30" s="57">
        <f>SUM($B$4:B30)-SUM($C$4:C30)</f>
        <v>8834</v>
      </c>
      <c r="E30" s="55" cm="1">
        <f t="array" ref="E30">SUM(VLOOKUP(H30:AE30,$AL$4:$AN$44,3,FALSE))</f>
        <v>1030</v>
      </c>
      <c r="F30" s="98">
        <f>SUM($E$4:E30)+SUM($G$4:G30)</f>
        <v>13945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5" t="s">
        <v>20</v>
      </c>
      <c r="Q30" s="85" t="s">
        <v>20</v>
      </c>
      <c r="R30" s="85" t="s">
        <v>20</v>
      </c>
      <c r="S30" s="86" t="s">
        <v>41</v>
      </c>
      <c r="T30" s="85" t="s">
        <v>20</v>
      </c>
      <c r="U30" s="85" t="s">
        <v>20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1584</v>
      </c>
      <c r="D31" s="57">
        <f>SUM($B$4:B31)-SUM($C$4:C31)</f>
        <v>8850</v>
      </c>
      <c r="E31" s="55" cm="1">
        <f t="array" ref="E31">SUM(VLOOKUP(H31:AE31,$AL$4:$AN$44,3,FALSE))</f>
        <v>555</v>
      </c>
      <c r="F31" s="98">
        <f>SUM($E$4:E31)+SUM($G$4:G31)</f>
        <v>14500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5" t="s">
        <v>20</v>
      </c>
      <c r="Q31" s="84" t="s">
        <v>19</v>
      </c>
      <c r="R31" s="84" t="s">
        <v>19</v>
      </c>
      <c r="S31" s="77" t="s">
        <v>12</v>
      </c>
      <c r="T31" s="84" t="s">
        <v>19</v>
      </c>
      <c r="U31" s="84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1704</v>
      </c>
      <c r="D32" s="57">
        <f>SUM($B$4:B32)-SUM($C$4:C32)</f>
        <v>8746</v>
      </c>
      <c r="E32" s="55" cm="1">
        <f t="array" ref="E32">SUM(VLOOKUP(H32:AE32,$AL$4:$AN$44,3,FALSE))</f>
        <v>585</v>
      </c>
      <c r="F32" s="98">
        <f>SUM($E$4:E32)+SUM($G$4:G32)</f>
        <v>15085</v>
      </c>
      <c r="G32" s="55">
        <v>0</v>
      </c>
      <c r="H32" s="79" t="s">
        <v>18</v>
      </c>
      <c r="I32" s="79" t="s">
        <v>18</v>
      </c>
      <c r="J32" s="79" t="s">
        <v>18</v>
      </c>
      <c r="K32" s="84" t="s">
        <v>19</v>
      </c>
      <c r="L32" s="84" t="s">
        <v>19</v>
      </c>
      <c r="M32" s="84" t="s">
        <v>19</v>
      </c>
      <c r="N32" s="7" t="s">
        <v>23</v>
      </c>
      <c r="O32" s="7" t="s">
        <v>23</v>
      </c>
      <c r="P32" s="84" t="s">
        <v>19</v>
      </c>
      <c r="Q32" s="84" t="s">
        <v>19</v>
      </c>
      <c r="R32" s="84" t="s">
        <v>19</v>
      </c>
      <c r="S32" s="84" t="s">
        <v>19</v>
      </c>
      <c r="T32" s="84" t="s">
        <v>19</v>
      </c>
      <c r="U32" s="84" t="s">
        <v>19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8618</v>
      </c>
      <c r="E33" s="55" cm="1">
        <f t="array" ref="E33">SUM(VLOOKUP(H33:AE33,$AL$4:$AN$44,3,FALSE))</f>
        <v>600</v>
      </c>
      <c r="F33" s="98">
        <f>SUM($E$4:E33)+SUM($G$4:G33)</f>
        <v>15685</v>
      </c>
      <c r="G33" s="55">
        <v>0</v>
      </c>
      <c r="H33" s="84" t="s">
        <v>19</v>
      </c>
      <c r="I33" s="84" t="s">
        <v>19</v>
      </c>
      <c r="J33" s="84" t="s">
        <v>19</v>
      </c>
      <c r="K33" s="84" t="s">
        <v>19</v>
      </c>
      <c r="L33" s="84" t="s">
        <v>19</v>
      </c>
      <c r="M33" s="84" t="s">
        <v>19</v>
      </c>
      <c r="N33" s="7" t="s">
        <v>23</v>
      </c>
      <c r="O33" s="7" t="s">
        <v>23</v>
      </c>
      <c r="P33" s="84" t="s">
        <v>19</v>
      </c>
      <c r="Q33" s="84" t="s">
        <v>19</v>
      </c>
      <c r="R33" s="84" t="s">
        <v>19</v>
      </c>
      <c r="S33" s="84" t="s">
        <v>19</v>
      </c>
      <c r="T33" s="84" t="s">
        <v>19</v>
      </c>
      <c r="U33" s="84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8490</v>
      </c>
      <c r="E34" s="55" cm="1">
        <f t="array" ref="E34">SUM(VLOOKUP(H34:AE34,$AL$4:$AN$44,3,FALSE))</f>
        <v>600</v>
      </c>
      <c r="F34" s="98">
        <f>SUM($E$4:E34)+SUM($G$4:G34)</f>
        <v>16285</v>
      </c>
      <c r="G34" s="55">
        <v>0</v>
      </c>
      <c r="H34" s="84" t="s">
        <v>19</v>
      </c>
      <c r="I34" s="84" t="s">
        <v>19</v>
      </c>
      <c r="J34" s="84" t="s">
        <v>19</v>
      </c>
      <c r="K34" s="84" t="s">
        <v>19</v>
      </c>
      <c r="L34" s="84" t="s">
        <v>19</v>
      </c>
      <c r="M34" s="84" t="s">
        <v>19</v>
      </c>
      <c r="N34" s="7" t="s">
        <v>23</v>
      </c>
      <c r="O34" s="7" t="s">
        <v>23</v>
      </c>
      <c r="P34" s="84" t="s">
        <v>19</v>
      </c>
      <c r="Q34" s="84" t="s">
        <v>19</v>
      </c>
      <c r="R34" s="84" t="s">
        <v>19</v>
      </c>
      <c r="S34" s="84" t="s">
        <v>19</v>
      </c>
      <c r="T34" s="84" t="s">
        <v>19</v>
      </c>
      <c r="U34" s="84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18">
        <f>SUM($B$4:B35)-SUM($C$4:C35)</f>
        <v>8466</v>
      </c>
      <c r="E35" s="55" cm="1">
        <f t="array" ref="E35">SUM(VLOOKUP(H35:AE35,$AL$4:$AN$44,3,FALSE))</f>
        <v>580</v>
      </c>
      <c r="F35" s="98">
        <f>SUM($E$4:E35)+SUM($G$4:G35)</f>
        <v>17065</v>
      </c>
      <c r="G35" s="56">
        <v>200</v>
      </c>
      <c r="H35" s="84" t="s">
        <v>19</v>
      </c>
      <c r="I35" s="84" t="s">
        <v>19</v>
      </c>
      <c r="J35" s="84" t="s">
        <v>19</v>
      </c>
      <c r="K35" s="84" t="s">
        <v>19</v>
      </c>
      <c r="L35" s="84" t="s">
        <v>19</v>
      </c>
      <c r="M35" s="77" t="s">
        <v>12</v>
      </c>
      <c r="N35" s="7" t="s">
        <v>23</v>
      </c>
      <c r="O35" s="7" t="s">
        <v>23</v>
      </c>
      <c r="P35" s="84" t="s">
        <v>19</v>
      </c>
      <c r="Q35" s="84" t="s">
        <v>19</v>
      </c>
      <c r="R35" s="84" t="s">
        <v>19</v>
      </c>
      <c r="S35" s="84" t="s">
        <v>19</v>
      </c>
      <c r="T35" s="84" t="s">
        <v>19</v>
      </c>
      <c r="U35" s="84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1712</v>
      </c>
      <c r="D36" s="18">
        <f>SUM($B$4:B36)-SUM($C$4:C36)</f>
        <v>8354</v>
      </c>
      <c r="E36" s="55" cm="1">
        <f t="array" ref="E36">SUM(VLOOKUP(H36:AE36,$AL$4:$AN$44,3,FALSE))</f>
        <v>650</v>
      </c>
      <c r="F36" s="98">
        <f>SUM($E$4:E36)+SUM($G$4:G36)</f>
        <v>17815</v>
      </c>
      <c r="G36" s="56">
        <v>100</v>
      </c>
      <c r="H36" s="84" t="s">
        <v>19</v>
      </c>
      <c r="I36" s="84" t="s">
        <v>19</v>
      </c>
      <c r="J36" s="84" t="s">
        <v>19</v>
      </c>
      <c r="K36" s="84" t="s">
        <v>19</v>
      </c>
      <c r="L36" s="84" t="s">
        <v>19</v>
      </c>
      <c r="M36" s="84" t="s">
        <v>19</v>
      </c>
      <c r="N36" s="7" t="s">
        <v>23</v>
      </c>
      <c r="O36" s="7" t="s">
        <v>23</v>
      </c>
      <c r="P36" s="84" t="s">
        <v>19</v>
      </c>
      <c r="Q36" s="82" t="s">
        <v>47</v>
      </c>
      <c r="R36" s="84" t="s">
        <v>19</v>
      </c>
      <c r="S36" s="84" t="s">
        <v>19</v>
      </c>
      <c r="T36" s="84" t="s">
        <v>19</v>
      </c>
      <c r="U36" s="84" t="s">
        <v>19</v>
      </c>
      <c r="V36" s="84" t="s">
        <v>19</v>
      </c>
      <c r="W36" s="84" t="s">
        <v>19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1624</v>
      </c>
      <c r="D37" s="18">
        <f>SUM($B$4:B37)-SUM($C$4:C37)</f>
        <v>8330</v>
      </c>
      <c r="E37" s="55" cm="1">
        <f t="array" ref="E37">SUM(VLOOKUP(H37:AE37,$AL$4:$AN$44,3,FALSE))</f>
        <v>580</v>
      </c>
      <c r="F37" s="98">
        <f>SUM($E$4:E37)+SUM($G$4:G37)</f>
        <v>18595</v>
      </c>
      <c r="G37" s="56">
        <v>200</v>
      </c>
      <c r="H37" s="84" t="s">
        <v>19</v>
      </c>
      <c r="I37" s="84" t="s">
        <v>19</v>
      </c>
      <c r="J37" s="84" t="s">
        <v>19</v>
      </c>
      <c r="K37" s="84" t="s">
        <v>19</v>
      </c>
      <c r="L37" s="84" t="s">
        <v>19</v>
      </c>
      <c r="M37" s="84" t="s">
        <v>19</v>
      </c>
      <c r="N37" s="7" t="s">
        <v>23</v>
      </c>
      <c r="O37" s="7" t="s">
        <v>23</v>
      </c>
      <c r="P37" s="84" t="s">
        <v>19</v>
      </c>
      <c r="Q37" s="84" t="s">
        <v>19</v>
      </c>
      <c r="R37" s="84" t="s">
        <v>19</v>
      </c>
      <c r="S37" s="84" t="s">
        <v>19</v>
      </c>
      <c r="T37" s="84" t="s">
        <v>19</v>
      </c>
      <c r="U37" s="77" t="s">
        <v>12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1560</v>
      </c>
      <c r="D38" s="18">
        <f>SUM($B$4:B38)-SUM($C$4:C38)</f>
        <v>8370</v>
      </c>
      <c r="E38" s="55" cm="1">
        <f t="array" ref="E38">SUM(VLOOKUP(H38:AE38,$AL$4:$AN$44,3,FALSE))</f>
        <v>595</v>
      </c>
      <c r="F38" s="98">
        <f>SUM($E$4:E38)+SUM($G$4:G38)</f>
        <v>19190</v>
      </c>
      <c r="G38" s="56">
        <v>0</v>
      </c>
      <c r="H38" s="84" t="s">
        <v>19</v>
      </c>
      <c r="I38" s="84" t="s">
        <v>19</v>
      </c>
      <c r="J38" s="84" t="s">
        <v>19</v>
      </c>
      <c r="K38" s="84" t="s">
        <v>19</v>
      </c>
      <c r="L38" s="84" t="s">
        <v>19</v>
      </c>
      <c r="M38" s="84" t="s">
        <v>19</v>
      </c>
      <c r="N38" s="7" t="s">
        <v>23</v>
      </c>
      <c r="O38" s="7" t="s">
        <v>23</v>
      </c>
      <c r="P38" s="84" t="s">
        <v>19</v>
      </c>
      <c r="Q38" s="84" t="s">
        <v>19</v>
      </c>
      <c r="R38" s="84" t="s">
        <v>19</v>
      </c>
      <c r="S38" s="84" t="s">
        <v>19</v>
      </c>
      <c r="T38" s="84" t="s">
        <v>19</v>
      </c>
      <c r="U38" s="82" t="s">
        <v>47</v>
      </c>
      <c r="V38" s="79" t="s">
        <v>18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8418</v>
      </c>
      <c r="E39" s="55" cm="1">
        <f t="array" ref="E39">SUM(VLOOKUP(H39:AE39,$AL$4:$AN$44,3,FALSE))</f>
        <v>550</v>
      </c>
      <c r="F39" s="98">
        <f>SUM($E$4:E39)+SUM($G$4:G39)</f>
        <v>19740</v>
      </c>
      <c r="G39" s="56">
        <v>0</v>
      </c>
      <c r="H39" s="84" t="s">
        <v>19</v>
      </c>
      <c r="I39" s="84" t="s">
        <v>8</v>
      </c>
      <c r="J39" s="84" t="s">
        <v>19</v>
      </c>
      <c r="K39" s="84" t="s">
        <v>19</v>
      </c>
      <c r="L39" s="77" t="s">
        <v>12</v>
      </c>
      <c r="M39" s="84" t="s">
        <v>19</v>
      </c>
      <c r="N39" s="7" t="s">
        <v>23</v>
      </c>
      <c r="O39" s="7" t="s">
        <v>23</v>
      </c>
      <c r="P39" s="79" t="s">
        <v>18</v>
      </c>
      <c r="Q39" s="79" t="s">
        <v>18</v>
      </c>
      <c r="R39" s="79" t="s">
        <v>18</v>
      </c>
      <c r="S39" s="79" t="s">
        <v>18</v>
      </c>
      <c r="T39" s="79" t="s">
        <v>18</v>
      </c>
      <c r="U39" s="79" t="s">
        <v>18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1568</v>
      </c>
      <c r="D40" s="18">
        <f>SUM($B$4:B40)-SUM($C$4:C40)</f>
        <v>8450</v>
      </c>
      <c r="E40" s="55" cm="1">
        <f t="array" ref="E40">SUM(VLOOKUP(H40:AE40,$AL$4:$AN$44,3,FALSE))</f>
        <v>605</v>
      </c>
      <c r="F40" s="98">
        <f>SUM($E$4:E40)+SUM($G$4:G40)</f>
        <v>20345</v>
      </c>
      <c r="G40" s="56">
        <v>0</v>
      </c>
      <c r="H40" s="84" t="s">
        <v>19</v>
      </c>
      <c r="I40" s="84" t="s">
        <v>19</v>
      </c>
      <c r="J40" s="84" t="s">
        <v>19</v>
      </c>
      <c r="K40" s="84" t="s">
        <v>19</v>
      </c>
      <c r="L40" s="84" t="s">
        <v>19</v>
      </c>
      <c r="M40" s="84" t="s">
        <v>19</v>
      </c>
      <c r="N40" s="82" t="s">
        <v>47</v>
      </c>
      <c r="O40" s="84" t="s">
        <v>19</v>
      </c>
      <c r="P40" s="79" t="s">
        <v>18</v>
      </c>
      <c r="Q40" s="79" t="s">
        <v>18</v>
      </c>
      <c r="R40" s="79" t="s">
        <v>18</v>
      </c>
      <c r="S40" s="77" t="s">
        <v>12</v>
      </c>
      <c r="T40" s="79" t="s">
        <v>18</v>
      </c>
      <c r="U40" s="79" t="s">
        <v>18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1696</v>
      </c>
      <c r="D41" s="18">
        <f>SUM($B$4:B41)-SUM($C$4:C41)</f>
        <v>8354</v>
      </c>
      <c r="E41" s="55" cm="1">
        <f t="array" ref="E41">SUM(VLOOKUP(H41:AE41,$AL$4:$AN$44,3,FALSE))</f>
        <v>580</v>
      </c>
      <c r="F41" s="98">
        <f>SUM($E$4:E41)+SUM($G$4:G41)</f>
        <v>20925</v>
      </c>
      <c r="G41" s="56">
        <v>0</v>
      </c>
      <c r="H41" s="84" t="s">
        <v>19</v>
      </c>
      <c r="I41" s="84" t="s">
        <v>19</v>
      </c>
      <c r="J41" s="84" t="s">
        <v>19</v>
      </c>
      <c r="K41" s="84" t="s">
        <v>19</v>
      </c>
      <c r="L41" s="84" t="s">
        <v>19</v>
      </c>
      <c r="M41" s="84" t="s">
        <v>19</v>
      </c>
      <c r="N41" s="7" t="s">
        <v>23</v>
      </c>
      <c r="O41" s="7" t="s">
        <v>23</v>
      </c>
      <c r="P41" s="79" t="s">
        <v>18</v>
      </c>
      <c r="Q41" s="79" t="s">
        <v>18</v>
      </c>
      <c r="R41" s="79" t="s">
        <v>18</v>
      </c>
      <c r="S41" s="79" t="s">
        <v>18</v>
      </c>
      <c r="T41" s="84" t="s">
        <v>19</v>
      </c>
      <c r="U41" s="84" t="s">
        <v>19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1728</v>
      </c>
      <c r="D42" s="57">
        <f>SUM($B$4:B42)-SUM($C$4:C42)</f>
        <v>8226</v>
      </c>
      <c r="E42" s="55" cm="1">
        <f t="array" ref="E42">SUM(VLOOKUP(H42:AE42,$AL$4:$AN$44,3,FALSE))</f>
        <v>600</v>
      </c>
      <c r="F42" s="98">
        <f>SUM($E$4:E42)+SUM($G$4:G42)</f>
        <v>21825</v>
      </c>
      <c r="G42" s="55">
        <v>300</v>
      </c>
      <c r="H42" s="84" t="s">
        <v>19</v>
      </c>
      <c r="I42" s="84" t="s">
        <v>19</v>
      </c>
      <c r="J42" s="84" t="s">
        <v>19</v>
      </c>
      <c r="K42" s="84" t="s">
        <v>19</v>
      </c>
      <c r="L42" s="84" t="s">
        <v>19</v>
      </c>
      <c r="M42" s="84" t="s">
        <v>19</v>
      </c>
      <c r="N42" s="7" t="s">
        <v>23</v>
      </c>
      <c r="O42" s="7" t="s">
        <v>23</v>
      </c>
      <c r="P42" s="84" t="s">
        <v>19</v>
      </c>
      <c r="Q42" s="84" t="s">
        <v>19</v>
      </c>
      <c r="R42" s="84" t="s">
        <v>19</v>
      </c>
      <c r="S42" s="84" t="s">
        <v>19</v>
      </c>
      <c r="T42" s="84" t="s">
        <v>19</v>
      </c>
      <c r="U42" s="84" t="s">
        <v>19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1704</v>
      </c>
      <c r="D43" s="57">
        <f>SUM($B$4:B43)-SUM($C$4:C43)</f>
        <v>8122</v>
      </c>
      <c r="E43" s="55" cm="1">
        <f t="array" ref="E43">SUM(VLOOKUP(H43:AE43,$AL$4:$AN$44,3,FALSE))</f>
        <v>600</v>
      </c>
      <c r="F43" s="98">
        <f>SUM($E$4:E43)+SUM($G$4:G43)</f>
        <v>22425</v>
      </c>
      <c r="G43" s="55">
        <v>0</v>
      </c>
      <c r="H43" s="84" t="s">
        <v>19</v>
      </c>
      <c r="I43" s="84" t="s">
        <v>19</v>
      </c>
      <c r="J43" s="84" t="s">
        <v>19</v>
      </c>
      <c r="K43" s="84" t="s">
        <v>19</v>
      </c>
      <c r="L43" s="84" t="s">
        <v>19</v>
      </c>
      <c r="M43" s="84" t="s">
        <v>19</v>
      </c>
      <c r="N43" s="7" t="s">
        <v>23</v>
      </c>
      <c r="O43" s="7" t="s">
        <v>23</v>
      </c>
      <c r="P43" s="84" t="s">
        <v>19</v>
      </c>
      <c r="Q43" s="84" t="s">
        <v>19</v>
      </c>
      <c r="R43" s="84" t="s">
        <v>19</v>
      </c>
      <c r="S43" s="84" t="s">
        <v>19</v>
      </c>
      <c r="T43" s="84" t="s">
        <v>19</v>
      </c>
      <c r="U43" s="84" t="s">
        <v>8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1728</v>
      </c>
      <c r="D44" s="57">
        <f>SUM($B$4:B44)-SUM($C$4:C44)</f>
        <v>7994</v>
      </c>
      <c r="E44" s="55" cm="1">
        <f t="array" ref="E44">SUM(VLOOKUP(H44:AE44,$AL$4:$AN$44,3,FALSE))</f>
        <v>600</v>
      </c>
      <c r="F44" s="98">
        <f>SUM($E$4:E44)+SUM($G$4:G44)</f>
        <v>23225</v>
      </c>
      <c r="G44" s="55">
        <v>200</v>
      </c>
      <c r="H44" s="84" t="s">
        <v>19</v>
      </c>
      <c r="I44" s="84" t="s">
        <v>19</v>
      </c>
      <c r="J44" s="84" t="s">
        <v>19</v>
      </c>
      <c r="K44" s="84" t="s">
        <v>19</v>
      </c>
      <c r="L44" s="84" t="s">
        <v>19</v>
      </c>
      <c r="M44" s="84" t="s">
        <v>19</v>
      </c>
      <c r="N44" s="7" t="s">
        <v>23</v>
      </c>
      <c r="O44" s="7" t="s">
        <v>23</v>
      </c>
      <c r="P44" s="84" t="s">
        <v>19</v>
      </c>
      <c r="Q44" s="84" t="s">
        <v>19</v>
      </c>
      <c r="R44" s="84" t="s">
        <v>19</v>
      </c>
      <c r="S44" s="84" t="s">
        <v>19</v>
      </c>
      <c r="T44" s="84" t="s">
        <v>19</v>
      </c>
      <c r="U44" s="84" t="s">
        <v>19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1624</v>
      </c>
      <c r="D45" s="57">
        <f>SUM($B$4:B45)-SUM($C$4:C45)</f>
        <v>7970</v>
      </c>
      <c r="E45" s="55" cm="1">
        <f t="array" ref="E45">SUM(VLOOKUP(H45:AE45,$AL$4:$AN$44,3,FALSE))</f>
        <v>580</v>
      </c>
      <c r="F45" s="98">
        <f>SUM($E$4:E45)+SUM($G$4:G45)</f>
        <v>23805</v>
      </c>
      <c r="G45" s="55">
        <v>0</v>
      </c>
      <c r="H45" s="84" t="s">
        <v>19</v>
      </c>
      <c r="I45" s="84" t="s">
        <v>19</v>
      </c>
      <c r="J45" s="84" t="s">
        <v>19</v>
      </c>
      <c r="K45" s="84" t="s">
        <v>19</v>
      </c>
      <c r="L45" s="84" t="s">
        <v>19</v>
      </c>
      <c r="M45" s="84" t="s">
        <v>19</v>
      </c>
      <c r="N45" s="7" t="s">
        <v>23</v>
      </c>
      <c r="O45" s="7" t="s">
        <v>23</v>
      </c>
      <c r="P45" s="84" t="s">
        <v>19</v>
      </c>
      <c r="Q45" s="84" t="s">
        <v>19</v>
      </c>
      <c r="R45" s="77" t="s">
        <v>12</v>
      </c>
      <c r="S45" s="84" t="s">
        <v>19</v>
      </c>
      <c r="T45" s="84" t="s">
        <v>19</v>
      </c>
      <c r="U45" s="84" t="s">
        <v>19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1752</v>
      </c>
      <c r="D46" s="57">
        <f>SUM($B$4:B46)-SUM($C$4:C46)</f>
        <v>7818</v>
      </c>
      <c r="E46" s="55" cm="1">
        <f t="array" ref="E46">SUM(VLOOKUP(H46:AE46,$AL$4:$AN$44,3,FALSE))</f>
        <v>615</v>
      </c>
      <c r="F46" s="98">
        <f>SUM($E$4:E46)+SUM($G$4:G46)</f>
        <v>24420</v>
      </c>
      <c r="G46" s="55">
        <v>0</v>
      </c>
      <c r="H46" s="84" t="s">
        <v>19</v>
      </c>
      <c r="I46" s="84" t="s">
        <v>19</v>
      </c>
      <c r="J46" s="84" t="s">
        <v>19</v>
      </c>
      <c r="K46" s="85" t="s">
        <v>20</v>
      </c>
      <c r="L46" s="85" t="s">
        <v>20</v>
      </c>
      <c r="M46" s="85" t="s">
        <v>20</v>
      </c>
      <c r="N46" s="7" t="s">
        <v>23</v>
      </c>
      <c r="O46" s="7" t="s">
        <v>23</v>
      </c>
      <c r="P46" s="84" t="s">
        <v>19</v>
      </c>
      <c r="Q46" s="84" t="s">
        <v>19</v>
      </c>
      <c r="R46" s="84" t="s">
        <v>19</v>
      </c>
      <c r="S46" s="84" t="s">
        <v>19</v>
      </c>
      <c r="T46" s="84" t="s">
        <v>19</v>
      </c>
      <c r="U46" s="84" t="s">
        <v>19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1736</v>
      </c>
      <c r="D47" s="57">
        <f>SUM($B$4:B47)-SUM($C$4:C47)</f>
        <v>7682</v>
      </c>
      <c r="E47" s="55" cm="1">
        <f t="array" ref="E47">SUM(VLOOKUP(H47:AE47,$AL$4:$AN$44,3,FALSE))</f>
        <v>605</v>
      </c>
      <c r="F47" s="98">
        <f>SUM($E$4:E47)+SUM($G$4:G47)</f>
        <v>25025</v>
      </c>
      <c r="G47" s="55">
        <v>0</v>
      </c>
      <c r="H47" s="85" t="s">
        <v>20</v>
      </c>
      <c r="I47" s="84" t="s">
        <v>19</v>
      </c>
      <c r="J47" s="84" t="s">
        <v>19</v>
      </c>
      <c r="K47" s="84" t="s">
        <v>19</v>
      </c>
      <c r="L47" s="84" t="s">
        <v>19</v>
      </c>
      <c r="M47" s="84" t="s">
        <v>19</v>
      </c>
      <c r="N47" s="7" t="s">
        <v>23</v>
      </c>
      <c r="O47" s="7" t="s">
        <v>23</v>
      </c>
      <c r="P47" s="84" t="s">
        <v>19</v>
      </c>
      <c r="Q47" s="84" t="s">
        <v>19</v>
      </c>
      <c r="R47" s="84" t="s">
        <v>19</v>
      </c>
      <c r="S47" s="84" t="s">
        <v>19</v>
      </c>
      <c r="T47" s="84" t="s">
        <v>19</v>
      </c>
      <c r="U47" s="84" t="s">
        <v>19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1744</v>
      </c>
      <c r="D48" s="57">
        <f>SUM($B$4:B48)-SUM($C$4:C48)</f>
        <v>7538</v>
      </c>
      <c r="E48" s="55" cm="1">
        <f t="array" ref="E48">SUM(VLOOKUP(H48:AE48,$AL$4:$AN$44,3,FALSE))</f>
        <v>610</v>
      </c>
      <c r="F48" s="98">
        <f>SUM($E$4:E48)+SUM($G$4:G48)</f>
        <v>25635</v>
      </c>
      <c r="G48" s="55">
        <v>0</v>
      </c>
      <c r="H48" s="84" t="s">
        <v>19</v>
      </c>
      <c r="I48" s="84" t="s">
        <v>19</v>
      </c>
      <c r="J48" s="84" t="s">
        <v>19</v>
      </c>
      <c r="K48" s="84" t="s">
        <v>19</v>
      </c>
      <c r="L48" s="84" t="s">
        <v>19</v>
      </c>
      <c r="M48" s="84" t="s">
        <v>19</v>
      </c>
      <c r="N48" s="7" t="s">
        <v>23</v>
      </c>
      <c r="O48" s="7" t="s">
        <v>23</v>
      </c>
      <c r="P48" s="84" t="s">
        <v>19</v>
      </c>
      <c r="Q48" s="84" t="s">
        <v>19</v>
      </c>
      <c r="R48" s="84" t="s">
        <v>19</v>
      </c>
      <c r="S48" s="85" t="s">
        <v>20</v>
      </c>
      <c r="T48" s="85" t="s">
        <v>20</v>
      </c>
      <c r="U48" s="84" t="s">
        <v>19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1696</v>
      </c>
      <c r="D49" s="18">
        <f>SUM($B$4:B49)-SUM($C$4:C49)</f>
        <v>7442</v>
      </c>
      <c r="E49" s="55" cm="1">
        <f t="array" ref="E49">SUM(VLOOKUP(H49:AE49,$AL$4:$AN$44,3,FALSE))</f>
        <v>610</v>
      </c>
      <c r="F49" s="98">
        <f>SUM($E$4:E49)+SUM($G$4:G49)</f>
        <v>26445</v>
      </c>
      <c r="G49" s="56">
        <v>200</v>
      </c>
      <c r="H49" s="84" t="s">
        <v>19</v>
      </c>
      <c r="I49" s="84" t="s">
        <v>19</v>
      </c>
      <c r="J49" s="77" t="s">
        <v>12</v>
      </c>
      <c r="K49" s="84" t="s">
        <v>19</v>
      </c>
      <c r="L49" s="84" t="s">
        <v>19</v>
      </c>
      <c r="M49" s="84" t="s">
        <v>19</v>
      </c>
      <c r="N49" s="7" t="s">
        <v>23</v>
      </c>
      <c r="O49" s="7" t="s">
        <v>23</v>
      </c>
      <c r="P49" s="85" t="s">
        <v>20</v>
      </c>
      <c r="Q49" s="85" t="s">
        <v>20</v>
      </c>
      <c r="R49" s="85" t="s">
        <v>20</v>
      </c>
      <c r="S49" s="85" t="s">
        <v>20</v>
      </c>
      <c r="T49" s="85" t="s">
        <v>20</v>
      </c>
      <c r="U49" s="85" t="s">
        <v>20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3</v>
      </c>
      <c r="AG49" s="80"/>
      <c r="AH49" s="80">
        <v>3</v>
      </c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1752</v>
      </c>
      <c r="D50" s="18">
        <f>SUM($B$4:B50)-SUM($C$4:C50)</f>
        <v>7290</v>
      </c>
      <c r="E50" s="55" cm="1">
        <f t="array" ref="E50">SUM(VLOOKUP(H50:AE50,$AL$4:$AN$44,3,FALSE))</f>
        <v>625</v>
      </c>
      <c r="F50" s="98">
        <f>SUM($E$4:E50)+SUM($G$4:G50)</f>
        <v>27170</v>
      </c>
      <c r="G50" s="56">
        <v>100</v>
      </c>
      <c r="H50" s="84" t="s">
        <v>19</v>
      </c>
      <c r="I50" s="79" t="s">
        <v>7</v>
      </c>
      <c r="J50" s="84" t="s">
        <v>19</v>
      </c>
      <c r="K50" s="84" t="s">
        <v>19</v>
      </c>
      <c r="L50" s="84" t="s">
        <v>19</v>
      </c>
      <c r="M50" s="84" t="s">
        <v>19</v>
      </c>
      <c r="N50" s="7" t="s">
        <v>23</v>
      </c>
      <c r="O50" s="7" t="s">
        <v>23</v>
      </c>
      <c r="P50" s="85" t="s">
        <v>20</v>
      </c>
      <c r="Q50" s="85" t="s">
        <v>20</v>
      </c>
      <c r="R50" s="85" t="s">
        <v>20</v>
      </c>
      <c r="S50" s="85" t="s">
        <v>20</v>
      </c>
      <c r="T50" s="85" t="s">
        <v>20</v>
      </c>
      <c r="U50" s="85" t="s">
        <v>20</v>
      </c>
      <c r="V50" s="7" t="s">
        <v>23</v>
      </c>
      <c r="W50" s="7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1744</v>
      </c>
      <c r="D51" s="18">
        <f>SUM($B$4:B51)-SUM($C$4:C51)</f>
        <v>7146</v>
      </c>
      <c r="E51" s="55" cm="1">
        <f t="array" ref="E51">SUM(VLOOKUP(H51:AE51,$AL$4:$AN$44,3,FALSE))</f>
        <v>630</v>
      </c>
      <c r="F51" s="98">
        <f>SUM($E$4:E51)+SUM($G$4:G51)</f>
        <v>28000</v>
      </c>
      <c r="G51" s="56">
        <v>200</v>
      </c>
      <c r="H51" s="84" t="s">
        <v>19</v>
      </c>
      <c r="I51" s="84" t="s">
        <v>19</v>
      </c>
      <c r="J51" s="84" t="s">
        <v>19</v>
      </c>
      <c r="K51" s="84" t="s">
        <v>19</v>
      </c>
      <c r="L51" s="84" t="s">
        <v>19</v>
      </c>
      <c r="M51" s="84" t="s">
        <v>19</v>
      </c>
      <c r="N51" s="7" t="s">
        <v>23</v>
      </c>
      <c r="O51" s="7" t="s">
        <v>23</v>
      </c>
      <c r="P51" s="85" t="s">
        <v>20</v>
      </c>
      <c r="Q51" s="85" t="s">
        <v>20</v>
      </c>
      <c r="R51" s="85" t="s">
        <v>20</v>
      </c>
      <c r="S51" s="85" t="s">
        <v>9</v>
      </c>
      <c r="T51" s="85" t="s">
        <v>20</v>
      </c>
      <c r="U51" s="85" t="s">
        <v>20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1816</v>
      </c>
      <c r="D52" s="18">
        <f>SUM($B$4:B52)-SUM($C$4:C52)</f>
        <v>6930</v>
      </c>
      <c r="E52" s="55" cm="1">
        <f t="array" ref="E52">SUM(VLOOKUP(H52:AE52,$AL$4:$AN$44,3,FALSE))</f>
        <v>655</v>
      </c>
      <c r="F52" s="98">
        <f>SUM($E$4:E52)+SUM($G$4:G52)</f>
        <v>28655</v>
      </c>
      <c r="G52" s="56">
        <v>0</v>
      </c>
      <c r="H52" s="84" t="s">
        <v>19</v>
      </c>
      <c r="I52" s="84" t="s">
        <v>19</v>
      </c>
      <c r="J52" s="84" t="s">
        <v>19</v>
      </c>
      <c r="K52" s="84" t="s">
        <v>19</v>
      </c>
      <c r="L52" s="84" t="s">
        <v>19</v>
      </c>
      <c r="M52" s="84" t="s">
        <v>19</v>
      </c>
      <c r="N52" s="7" t="s">
        <v>23</v>
      </c>
      <c r="O52" s="7" t="s">
        <v>23</v>
      </c>
      <c r="P52" s="85" t="s">
        <v>20</v>
      </c>
      <c r="Q52" s="87" t="s">
        <v>21</v>
      </c>
      <c r="R52" s="87" t="s">
        <v>21</v>
      </c>
      <c r="S52" s="87" t="s">
        <v>21</v>
      </c>
      <c r="T52" s="87" t="s">
        <v>21</v>
      </c>
      <c r="U52" s="87" t="s">
        <v>21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1824</v>
      </c>
      <c r="D53" s="18">
        <f>SUM($B$4:B53)-SUM($C$4:C53)</f>
        <v>6706</v>
      </c>
      <c r="E53" s="55" cm="1">
        <f t="array" ref="E53">SUM(VLOOKUP(H53:AE53,$AL$4:$AN$44,3,FALSE))</f>
        <v>660</v>
      </c>
      <c r="F53" s="98">
        <f>SUM($E$4:E53)+SUM($G$4:G53)</f>
        <v>29315</v>
      </c>
      <c r="G53" s="56">
        <v>0</v>
      </c>
      <c r="H53" s="84" t="s">
        <v>19</v>
      </c>
      <c r="I53" s="84" t="s">
        <v>19</v>
      </c>
      <c r="J53" s="84" t="s">
        <v>19</v>
      </c>
      <c r="K53" s="84" t="s">
        <v>19</v>
      </c>
      <c r="L53" s="84" t="s">
        <v>19</v>
      </c>
      <c r="M53" s="84" t="s">
        <v>19</v>
      </c>
      <c r="N53" s="7" t="s">
        <v>23</v>
      </c>
      <c r="O53" s="7" t="s">
        <v>23</v>
      </c>
      <c r="P53" s="87" t="s">
        <v>21</v>
      </c>
      <c r="Q53" s="87" t="s">
        <v>21</v>
      </c>
      <c r="R53" s="87" t="s">
        <v>21</v>
      </c>
      <c r="S53" s="87" t="s">
        <v>21</v>
      </c>
      <c r="T53" s="87" t="s">
        <v>21</v>
      </c>
      <c r="U53" s="87" t="s">
        <v>21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1824</v>
      </c>
      <c r="D54" s="18">
        <f>SUM($B$4:B54)-SUM($C$4:C54)</f>
        <v>6482</v>
      </c>
      <c r="E54" s="55" cm="1">
        <f t="array" ref="E54">SUM(VLOOKUP(H54:AE54,$AL$4:$AN$44,3,FALSE))</f>
        <v>660</v>
      </c>
      <c r="F54" s="98">
        <f>SUM($E$4:E54)+SUM($G$4:G54)</f>
        <v>29975</v>
      </c>
      <c r="G54" s="56">
        <v>0</v>
      </c>
      <c r="H54" s="84" t="s">
        <v>19</v>
      </c>
      <c r="I54" s="84" t="s">
        <v>19</v>
      </c>
      <c r="J54" s="84" t="s">
        <v>19</v>
      </c>
      <c r="K54" s="84" t="s">
        <v>19</v>
      </c>
      <c r="L54" s="84" t="s">
        <v>19</v>
      </c>
      <c r="M54" s="84" t="s">
        <v>19</v>
      </c>
      <c r="N54" s="7" t="s">
        <v>23</v>
      </c>
      <c r="O54" s="7" t="s">
        <v>23</v>
      </c>
      <c r="P54" s="87" t="s">
        <v>21</v>
      </c>
      <c r="Q54" s="87" t="s">
        <v>21</v>
      </c>
      <c r="R54" s="87" t="s">
        <v>21</v>
      </c>
      <c r="S54" s="87" t="s">
        <v>21</v>
      </c>
      <c r="T54" s="87" t="s">
        <v>21</v>
      </c>
      <c r="U54" s="87" t="s">
        <v>21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1832</v>
      </c>
      <c r="D55" s="18">
        <f>SUM($B$4:B55)-SUM($C$4:C55)</f>
        <v>6250</v>
      </c>
      <c r="E55" s="55" cm="1">
        <f t="array" ref="E55">SUM(VLOOKUP(H55:AE55,$AL$4:$AN$44,3,FALSE))</f>
        <v>665</v>
      </c>
      <c r="F55" s="98">
        <f>SUM($E$4:E55)+SUM($G$4:G55)</f>
        <v>30640</v>
      </c>
      <c r="G55" s="56">
        <v>0</v>
      </c>
      <c r="H55" s="84" t="s">
        <v>19</v>
      </c>
      <c r="I55" s="84" t="s">
        <v>19</v>
      </c>
      <c r="J55" s="84" t="s">
        <v>19</v>
      </c>
      <c r="K55" s="84" t="s">
        <v>19</v>
      </c>
      <c r="L55" s="84" t="s">
        <v>19</v>
      </c>
      <c r="M55" s="85" t="s">
        <v>20</v>
      </c>
      <c r="N55" s="7" t="s">
        <v>23</v>
      </c>
      <c r="O55" s="7" t="s">
        <v>23</v>
      </c>
      <c r="P55" s="87" t="s">
        <v>21</v>
      </c>
      <c r="Q55" s="87" t="s">
        <v>21</v>
      </c>
      <c r="R55" s="87" t="s">
        <v>21</v>
      </c>
      <c r="S55" s="87" t="s">
        <v>21</v>
      </c>
      <c r="T55" s="87" t="s">
        <v>21</v>
      </c>
      <c r="U55" s="87" t="s">
        <v>21</v>
      </c>
      <c r="V55" s="7" t="s">
        <v>23</v>
      </c>
      <c r="W55" s="7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1872</v>
      </c>
      <c r="D56" s="57">
        <f>SUM($B$4:B56)-SUM($C$4:C56)</f>
        <v>5978</v>
      </c>
      <c r="E56" s="55" cm="1">
        <f t="array" ref="E56">SUM(VLOOKUP(H56:AE56,$AL$4:$AN$44,3,FALSE))</f>
        <v>750</v>
      </c>
      <c r="F56" s="98">
        <f>SUM($E$4:E56)+SUM($G$4:G56)</f>
        <v>31690</v>
      </c>
      <c r="G56" s="55">
        <v>300</v>
      </c>
      <c r="H56" s="85" t="s">
        <v>20</v>
      </c>
      <c r="I56" s="85" t="s">
        <v>20</v>
      </c>
      <c r="J56" s="85" t="s">
        <v>20</v>
      </c>
      <c r="K56" s="85" t="s">
        <v>20</v>
      </c>
      <c r="L56" s="85" t="s">
        <v>20</v>
      </c>
      <c r="M56" s="85" t="s">
        <v>20</v>
      </c>
      <c r="N56" s="7" t="s">
        <v>23</v>
      </c>
      <c r="O56" s="7" t="s">
        <v>23</v>
      </c>
      <c r="P56" s="87" t="s">
        <v>21</v>
      </c>
      <c r="Q56" s="87" t="s">
        <v>21</v>
      </c>
      <c r="R56" s="87" t="s">
        <v>21</v>
      </c>
      <c r="S56" s="87" t="s">
        <v>21</v>
      </c>
      <c r="T56" s="87" t="s">
        <v>21</v>
      </c>
      <c r="U56" s="82" t="s">
        <v>47</v>
      </c>
      <c r="V56" s="87" t="s">
        <v>21</v>
      </c>
      <c r="W56" s="87" t="s">
        <v>21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1920</v>
      </c>
      <c r="D57" s="57">
        <f>SUM($B$4:B57)-SUM($C$4:C57)</f>
        <v>5658</v>
      </c>
      <c r="E57" s="55" cm="1">
        <f t="array" ref="E57">SUM(VLOOKUP(H57:AE57,$AL$4:$AN$44,3,FALSE))</f>
        <v>1135</v>
      </c>
      <c r="F57" s="98">
        <f>SUM($E$4:E57)+SUM($G$4:G57)</f>
        <v>32825</v>
      </c>
      <c r="G57" s="55">
        <v>0</v>
      </c>
      <c r="H57" s="85" t="s">
        <v>20</v>
      </c>
      <c r="I57" s="86" t="s">
        <v>41</v>
      </c>
      <c r="J57" s="85" t="s">
        <v>20</v>
      </c>
      <c r="K57" s="85" t="s">
        <v>20</v>
      </c>
      <c r="L57" s="85" t="s">
        <v>20</v>
      </c>
      <c r="M57" s="85" t="s">
        <v>20</v>
      </c>
      <c r="N57" s="7" t="s">
        <v>23</v>
      </c>
      <c r="O57" s="7" t="s">
        <v>23</v>
      </c>
      <c r="P57" s="87" t="s">
        <v>21</v>
      </c>
      <c r="Q57" s="87" t="s">
        <v>21</v>
      </c>
      <c r="R57" s="87" t="s">
        <v>21</v>
      </c>
      <c r="S57" s="87" t="s">
        <v>21</v>
      </c>
      <c r="T57" s="87" t="s">
        <v>21</v>
      </c>
      <c r="U57" s="87" t="s">
        <v>21</v>
      </c>
      <c r="V57" s="7" t="s">
        <v>23</v>
      </c>
      <c r="W57" s="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1832</v>
      </c>
      <c r="D58" s="57">
        <f>SUM($B$4:B58)-SUM($C$4:C58)</f>
        <v>5426</v>
      </c>
      <c r="E58" s="55" cm="1">
        <f t="array" ref="E58">SUM(VLOOKUP(H58:AE58,$AL$4:$AN$44,3,FALSE))</f>
        <v>685</v>
      </c>
      <c r="F58" s="98">
        <f>SUM($E$4:E58)+SUM($G$4:G58)</f>
        <v>33710</v>
      </c>
      <c r="G58" s="55">
        <v>200</v>
      </c>
      <c r="H58" s="85" t="s">
        <v>9</v>
      </c>
      <c r="I58" s="85" t="s">
        <v>20</v>
      </c>
      <c r="J58" s="85" t="s">
        <v>20</v>
      </c>
      <c r="K58" s="85" t="s">
        <v>20</v>
      </c>
      <c r="L58" s="85" t="s">
        <v>20</v>
      </c>
      <c r="M58" s="85" t="s">
        <v>20</v>
      </c>
      <c r="N58" s="7" t="s">
        <v>23</v>
      </c>
      <c r="O58" s="7" t="s">
        <v>23</v>
      </c>
      <c r="P58" s="87" t="s">
        <v>21</v>
      </c>
      <c r="Q58" s="87" t="s">
        <v>21</v>
      </c>
      <c r="R58" s="87" t="s">
        <v>21</v>
      </c>
      <c r="S58" s="87" t="s">
        <v>21</v>
      </c>
      <c r="T58" s="87" t="s">
        <v>21</v>
      </c>
      <c r="U58" s="85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5202</v>
      </c>
      <c r="E59" s="55" cm="1">
        <f t="array" ref="E59">SUM(VLOOKUP(H59:AE59,$AL$4:$AN$44,3,FALSE))</f>
        <v>660</v>
      </c>
      <c r="F59" s="98">
        <f>SUM($E$4:E59)+SUM($G$4:G59)</f>
        <v>34370</v>
      </c>
      <c r="G59" s="55">
        <v>0</v>
      </c>
      <c r="H59" s="85" t="s">
        <v>20</v>
      </c>
      <c r="I59" s="85" t="s">
        <v>20</v>
      </c>
      <c r="J59" s="85" t="s">
        <v>20</v>
      </c>
      <c r="K59" s="85" t="s">
        <v>20</v>
      </c>
      <c r="L59" s="85" t="s">
        <v>20</v>
      </c>
      <c r="M59" s="85" t="s">
        <v>20</v>
      </c>
      <c r="N59" s="7" t="s">
        <v>23</v>
      </c>
      <c r="O59" s="7" t="s">
        <v>23</v>
      </c>
      <c r="P59" s="85" t="s">
        <v>20</v>
      </c>
      <c r="Q59" s="85" t="s">
        <v>20</v>
      </c>
      <c r="R59" s="85" t="s">
        <v>20</v>
      </c>
      <c r="S59" s="85" t="s">
        <v>20</v>
      </c>
      <c r="T59" s="85" t="s">
        <v>20</v>
      </c>
      <c r="U59" s="85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1712</v>
      </c>
      <c r="D60" s="57">
        <f>SUM($B$4:B60)-SUM($C$4:C60)</f>
        <v>5090</v>
      </c>
      <c r="E60" s="55" cm="1">
        <f t="array" ref="E60">SUM(VLOOKUP(H60:AE60,$AL$4:$AN$44,3,FALSE))</f>
        <v>635</v>
      </c>
      <c r="F60" s="98">
        <f>SUM($E$4:E60)+SUM($G$4:G60)</f>
        <v>35005</v>
      </c>
      <c r="G60" s="55">
        <v>0</v>
      </c>
      <c r="H60" s="85" t="s">
        <v>20</v>
      </c>
      <c r="I60" s="85" t="s">
        <v>20</v>
      </c>
      <c r="J60" s="85" t="s">
        <v>20</v>
      </c>
      <c r="K60" s="85" t="s">
        <v>20</v>
      </c>
      <c r="L60" s="85" t="s">
        <v>20</v>
      </c>
      <c r="M60" s="85" t="s">
        <v>20</v>
      </c>
      <c r="N60" s="7" t="s">
        <v>23</v>
      </c>
      <c r="O60" s="7" t="s">
        <v>23</v>
      </c>
      <c r="P60" s="85" t="s">
        <v>20</v>
      </c>
      <c r="Q60" s="85" t="s">
        <v>20</v>
      </c>
      <c r="R60" s="77" t="s">
        <v>12</v>
      </c>
      <c r="S60" s="85" t="s">
        <v>20</v>
      </c>
      <c r="T60" s="85" t="s">
        <v>20</v>
      </c>
      <c r="U60" s="85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4978</v>
      </c>
      <c r="E61" s="55" cm="1">
        <f t="array" ref="E61">SUM(VLOOKUP(H61:AE61,$AL$4:$AN$44,3,FALSE))</f>
        <v>635</v>
      </c>
      <c r="F61" s="98">
        <f>SUM($E$4:E61)+SUM($G$4:G61)</f>
        <v>35640</v>
      </c>
      <c r="G61" s="55">
        <v>0</v>
      </c>
      <c r="H61" s="85" t="s">
        <v>20</v>
      </c>
      <c r="I61" s="77" t="s">
        <v>12</v>
      </c>
      <c r="J61" s="85" t="s">
        <v>20</v>
      </c>
      <c r="K61" s="85" t="s">
        <v>20</v>
      </c>
      <c r="L61" s="85" t="s">
        <v>20</v>
      </c>
      <c r="M61" s="85" t="s">
        <v>20</v>
      </c>
      <c r="N61" s="7" t="s">
        <v>23</v>
      </c>
      <c r="O61" s="7" t="s">
        <v>23</v>
      </c>
      <c r="P61" s="85" t="s">
        <v>20</v>
      </c>
      <c r="Q61" s="85" t="s">
        <v>20</v>
      </c>
      <c r="R61" s="85" t="s">
        <v>20</v>
      </c>
      <c r="S61" s="85" t="s">
        <v>20</v>
      </c>
      <c r="T61" s="85" t="s">
        <v>20</v>
      </c>
      <c r="U61" s="85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1840</v>
      </c>
      <c r="D62" s="57">
        <f>SUM($B$4:B62)-SUM($C$4:C62)</f>
        <v>4738</v>
      </c>
      <c r="E62" s="55" cm="1">
        <f t="array" ref="E62">SUM(VLOOKUP(H62:AE62,$AL$4:$AN$44,3,FALSE))</f>
        <v>790</v>
      </c>
      <c r="F62" s="98">
        <f>SUM($E$4:E62)+SUM($G$4:G62)</f>
        <v>36430</v>
      </c>
      <c r="G62" s="55">
        <v>0</v>
      </c>
      <c r="H62" s="85" t="s">
        <v>20</v>
      </c>
      <c r="I62" s="85" t="s">
        <v>20</v>
      </c>
      <c r="J62" s="82" t="s">
        <v>47</v>
      </c>
      <c r="K62" s="85" t="s">
        <v>20</v>
      </c>
      <c r="L62" s="87" t="s">
        <v>21</v>
      </c>
      <c r="M62" s="87" t="s">
        <v>21</v>
      </c>
      <c r="N62" s="87" t="s">
        <v>21</v>
      </c>
      <c r="O62" s="87" t="s">
        <v>21</v>
      </c>
      <c r="P62" s="82" t="s">
        <v>47</v>
      </c>
      <c r="Q62" s="85" t="s">
        <v>20</v>
      </c>
      <c r="R62" s="85" t="s">
        <v>20</v>
      </c>
      <c r="S62" s="85" t="s">
        <v>20</v>
      </c>
      <c r="T62" s="85" t="s">
        <v>20</v>
      </c>
      <c r="U62" s="85" t="s">
        <v>20</v>
      </c>
      <c r="V62" s="85" t="s">
        <v>20</v>
      </c>
      <c r="W62" s="85" t="s">
        <v>20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1872</v>
      </c>
      <c r="D63" s="18">
        <f>SUM($B$4:B63)-SUM($C$4:C63)</f>
        <v>4466</v>
      </c>
      <c r="E63" s="55" cm="1">
        <f t="array" ref="E63">SUM(VLOOKUP(H63:AE63,$AL$4:$AN$44,3,FALSE))</f>
        <v>690</v>
      </c>
      <c r="F63" s="98">
        <f>SUM($E$4:E63)+SUM($G$4:G63)</f>
        <v>37420</v>
      </c>
      <c r="G63" s="56">
        <v>300</v>
      </c>
      <c r="H63" s="87" t="s">
        <v>21</v>
      </c>
      <c r="I63" s="87" t="s">
        <v>21</v>
      </c>
      <c r="J63" s="87" t="s">
        <v>21</v>
      </c>
      <c r="K63" s="87" t="s">
        <v>21</v>
      </c>
      <c r="L63" s="87" t="s">
        <v>21</v>
      </c>
      <c r="M63" s="87" t="s">
        <v>21</v>
      </c>
      <c r="N63" s="7" t="s">
        <v>23</v>
      </c>
      <c r="O63" s="7" t="s">
        <v>23</v>
      </c>
      <c r="P63" s="85" t="s">
        <v>20</v>
      </c>
      <c r="Q63" s="85" t="s">
        <v>20</v>
      </c>
      <c r="R63" s="85" t="s">
        <v>20</v>
      </c>
      <c r="S63" s="85" t="s">
        <v>20</v>
      </c>
      <c r="T63" s="85" t="s">
        <v>20</v>
      </c>
      <c r="U63" s="85" t="s">
        <v>20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0</v>
      </c>
      <c r="AG63" s="80"/>
      <c r="AH63" s="80"/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1840</v>
      </c>
      <c r="D64" s="18">
        <f>SUM($B$4:B64)-SUM($C$4:C64)</f>
        <v>4226</v>
      </c>
      <c r="E64" s="55" cm="1">
        <f t="array" ref="E64">SUM(VLOOKUP(H64:AE64,$AL$4:$AN$44,3,FALSE))</f>
        <v>685</v>
      </c>
      <c r="F64" s="98">
        <f>SUM($E$4:E64)+SUM($G$4:G64)</f>
        <v>38105</v>
      </c>
      <c r="G64" s="56">
        <v>0</v>
      </c>
      <c r="H64" s="87" t="s">
        <v>21</v>
      </c>
      <c r="I64" s="87" t="s">
        <v>21</v>
      </c>
      <c r="J64" s="87" t="s">
        <v>21</v>
      </c>
      <c r="K64" s="87" t="s">
        <v>21</v>
      </c>
      <c r="L64" s="87" t="s">
        <v>21</v>
      </c>
      <c r="M64" s="87" t="s">
        <v>21</v>
      </c>
      <c r="N64" s="7" t="s">
        <v>23</v>
      </c>
      <c r="O64" s="7" t="s">
        <v>23</v>
      </c>
      <c r="P64" s="84" t="s">
        <v>8</v>
      </c>
      <c r="Q64" s="85" t="s">
        <v>20</v>
      </c>
      <c r="R64" s="85" t="s">
        <v>20</v>
      </c>
      <c r="S64" s="85" t="s">
        <v>20</v>
      </c>
      <c r="T64" s="85" t="s">
        <v>20</v>
      </c>
      <c r="U64" s="85" t="s">
        <v>20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1872</v>
      </c>
      <c r="D65" s="18">
        <f>SUM($B$4:B65)-SUM($C$4:C65)</f>
        <v>3954</v>
      </c>
      <c r="E65" s="55" cm="1">
        <f t="array" ref="E65">SUM(VLOOKUP(H65:AE65,$AL$4:$AN$44,3,FALSE))</f>
        <v>690</v>
      </c>
      <c r="F65" s="98">
        <f>SUM($E$4:E65)+SUM($G$4:G65)</f>
        <v>38995</v>
      </c>
      <c r="G65" s="56">
        <v>200</v>
      </c>
      <c r="H65" s="87" t="s">
        <v>21</v>
      </c>
      <c r="I65" s="87" t="s">
        <v>21</v>
      </c>
      <c r="J65" s="87" t="s">
        <v>21</v>
      </c>
      <c r="K65" s="87" t="s">
        <v>21</v>
      </c>
      <c r="L65" s="87" t="s">
        <v>21</v>
      </c>
      <c r="M65" s="87" t="s">
        <v>21</v>
      </c>
      <c r="N65" s="7" t="s">
        <v>23</v>
      </c>
      <c r="O65" s="7" t="s">
        <v>23</v>
      </c>
      <c r="P65" s="85" t="s">
        <v>20</v>
      </c>
      <c r="Q65" s="85" t="s">
        <v>20</v>
      </c>
      <c r="R65" s="85" t="s">
        <v>20</v>
      </c>
      <c r="S65" s="85" t="s">
        <v>20</v>
      </c>
      <c r="T65" s="85" t="s">
        <v>20</v>
      </c>
      <c r="U65" s="85" t="s">
        <v>20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1888</v>
      </c>
      <c r="D66" s="18">
        <f>SUM($B$4:B66)-SUM($C$4:C66)</f>
        <v>3666</v>
      </c>
      <c r="E66" s="55" cm="1">
        <f t="array" ref="E66">SUM(VLOOKUP(H66:AE66,$AL$4:$AN$44,3,FALSE))</f>
        <v>700</v>
      </c>
      <c r="F66" s="98">
        <f>SUM($E$4:E66)+SUM($G$4:G66)</f>
        <v>39695</v>
      </c>
      <c r="G66" s="56">
        <v>0</v>
      </c>
      <c r="H66" s="87" t="s">
        <v>21</v>
      </c>
      <c r="I66" s="87" t="s">
        <v>21</v>
      </c>
      <c r="J66" s="87" t="s">
        <v>21</v>
      </c>
      <c r="K66" s="87" t="s">
        <v>21</v>
      </c>
      <c r="L66" s="87" t="s">
        <v>21</v>
      </c>
      <c r="M66" s="87" t="s">
        <v>21</v>
      </c>
      <c r="N66" s="7" t="s">
        <v>23</v>
      </c>
      <c r="O66" s="7" t="s">
        <v>23</v>
      </c>
      <c r="P66" s="85" t="s">
        <v>20</v>
      </c>
      <c r="Q66" s="85" t="s">
        <v>20</v>
      </c>
      <c r="R66" s="85" t="s">
        <v>20</v>
      </c>
      <c r="S66" s="85" t="s">
        <v>20</v>
      </c>
      <c r="T66" s="87" t="s">
        <v>21</v>
      </c>
      <c r="U66" s="87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1888</v>
      </c>
      <c r="D67" s="18">
        <f>SUM($B$4:B67)-SUM($C$4:C67)</f>
        <v>3378</v>
      </c>
      <c r="E67" s="55" cm="1">
        <f t="array" ref="E67">SUM(VLOOKUP(H67:AE67,$AL$4:$AN$44,3,FALSE))</f>
        <v>720</v>
      </c>
      <c r="F67" s="98">
        <f>SUM($E$4:E67)+SUM($G$4:G67)</f>
        <v>40415</v>
      </c>
      <c r="G67" s="56">
        <v>0</v>
      </c>
      <c r="H67" s="87" t="s">
        <v>21</v>
      </c>
      <c r="I67" s="87" t="s">
        <v>21</v>
      </c>
      <c r="J67" s="87" t="s">
        <v>21</v>
      </c>
      <c r="K67" s="87" t="s">
        <v>10</v>
      </c>
      <c r="L67" s="87" t="s">
        <v>21</v>
      </c>
      <c r="M67" s="87" t="s">
        <v>21</v>
      </c>
      <c r="N67" s="7" t="s">
        <v>23</v>
      </c>
      <c r="O67" s="7" t="s">
        <v>23</v>
      </c>
      <c r="P67" s="87" t="s">
        <v>21</v>
      </c>
      <c r="Q67" s="87" t="s">
        <v>21</v>
      </c>
      <c r="R67" s="87" t="s">
        <v>21</v>
      </c>
      <c r="S67" s="87" t="s">
        <v>21</v>
      </c>
      <c r="T67" s="87" t="s">
        <v>21</v>
      </c>
      <c r="U67" s="87" t="s">
        <v>21</v>
      </c>
      <c r="V67" s="7" t="s">
        <v>23</v>
      </c>
      <c r="W67" s="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1</v>
      </c>
      <c r="AG67" s="80"/>
      <c r="AH67" s="80">
        <v>1</v>
      </c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1920</v>
      </c>
      <c r="D68" s="18">
        <f>SUM($B$4:B68)-SUM($C$4:C68)</f>
        <v>3058</v>
      </c>
      <c r="E68" s="55" cm="1">
        <f t="array" ref="E68">SUM(VLOOKUP(H68:AE68,$AL$4:$AN$44,3,FALSE))</f>
        <v>720</v>
      </c>
      <c r="F68" s="98">
        <f>SUM($E$4:E68)+SUM($G$4:G68)</f>
        <v>41135</v>
      </c>
      <c r="G68" s="56">
        <v>0</v>
      </c>
      <c r="H68" s="87" t="s">
        <v>21</v>
      </c>
      <c r="I68" s="87" t="s">
        <v>21</v>
      </c>
      <c r="J68" s="87" t="s">
        <v>21</v>
      </c>
      <c r="K68" s="87" t="s">
        <v>21</v>
      </c>
      <c r="L68" s="87" t="s">
        <v>21</v>
      </c>
      <c r="M68" s="87" t="s">
        <v>21</v>
      </c>
      <c r="N68" s="7" t="s">
        <v>23</v>
      </c>
      <c r="O68" s="7" t="s">
        <v>23</v>
      </c>
      <c r="P68" s="87" t="s">
        <v>21</v>
      </c>
      <c r="Q68" s="87" t="s">
        <v>21</v>
      </c>
      <c r="R68" s="87" t="s">
        <v>21</v>
      </c>
      <c r="S68" s="87" t="s">
        <v>21</v>
      </c>
      <c r="T68" s="87" t="s">
        <v>21</v>
      </c>
      <c r="U68" s="87" t="s">
        <v>21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1920</v>
      </c>
      <c r="D69" s="18">
        <f>SUM($B$4:B69)-SUM($C$4:C69)</f>
        <v>2738</v>
      </c>
      <c r="E69" s="55" cm="1">
        <f t="array" ref="E69">SUM(VLOOKUP(H69:AE69,$AL$4:$AN$44,3,FALSE))</f>
        <v>720</v>
      </c>
      <c r="F69" s="98">
        <f>SUM($E$4:E69)+SUM($G$4:G69)</f>
        <v>41855</v>
      </c>
      <c r="G69" s="56">
        <v>0</v>
      </c>
      <c r="H69" s="87" t="s">
        <v>21</v>
      </c>
      <c r="I69" s="87" t="s">
        <v>21</v>
      </c>
      <c r="J69" s="87" t="s">
        <v>21</v>
      </c>
      <c r="K69" s="87" t="s">
        <v>21</v>
      </c>
      <c r="L69" s="87" t="s">
        <v>21</v>
      </c>
      <c r="M69" s="87" t="s">
        <v>21</v>
      </c>
      <c r="N69" s="7" t="s">
        <v>23</v>
      </c>
      <c r="O69" s="7" t="s">
        <v>23</v>
      </c>
      <c r="P69" s="87" t="s">
        <v>21</v>
      </c>
      <c r="Q69" s="87" t="s">
        <v>21</v>
      </c>
      <c r="R69" s="87" t="s">
        <v>21</v>
      </c>
      <c r="S69" s="87" t="s">
        <v>21</v>
      </c>
      <c r="T69" s="87" t="s">
        <v>21</v>
      </c>
      <c r="U69" s="87" t="s">
        <v>21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1960</v>
      </c>
      <c r="D70" s="57">
        <f>SUM($B$4:B70)-SUM($C$4:C70)</f>
        <v>2378</v>
      </c>
      <c r="E70" s="55" cm="1">
        <f t="array" ref="E70">SUM(VLOOKUP(H70:AE70,$AL$4:$AN$44,3,FALSE))</f>
        <v>1720</v>
      </c>
      <c r="F70" s="98">
        <f>SUM($E$4:E70)+SUM($G$4:G70)</f>
        <v>43875</v>
      </c>
      <c r="G70" s="55">
        <v>300</v>
      </c>
      <c r="H70" s="82" t="s">
        <v>47</v>
      </c>
      <c r="I70" s="87" t="s">
        <v>21</v>
      </c>
      <c r="J70" s="87" t="s">
        <v>21</v>
      </c>
      <c r="K70" s="87" t="s">
        <v>21</v>
      </c>
      <c r="L70" s="87" t="s">
        <v>21</v>
      </c>
      <c r="M70" s="87" t="s">
        <v>21</v>
      </c>
      <c r="N70" s="87" t="s">
        <v>21</v>
      </c>
      <c r="O70" s="87" t="s">
        <v>21</v>
      </c>
      <c r="P70" s="87" t="s">
        <v>21</v>
      </c>
      <c r="Q70" s="87" t="s">
        <v>21</v>
      </c>
      <c r="R70" s="87" t="s">
        <v>21</v>
      </c>
      <c r="S70" s="87" t="s">
        <v>21</v>
      </c>
      <c r="T70" s="87" t="s">
        <v>21</v>
      </c>
      <c r="U70" s="88" t="s">
        <v>15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1920</v>
      </c>
      <c r="D71" s="57">
        <f>SUM($B$4:B71)-SUM($C$4:C71)</f>
        <v>2058</v>
      </c>
      <c r="E71" s="55" cm="1">
        <f t="array" ref="E71">SUM(VLOOKUP(H71:AE71,$AL$4:$AN$44,3,FALSE))</f>
        <v>720</v>
      </c>
      <c r="F71" s="98">
        <f>SUM($E$4:E71)+SUM($G$4:G71)</f>
        <v>44595</v>
      </c>
      <c r="G71" s="55">
        <v>0</v>
      </c>
      <c r="H71" s="87" t="s">
        <v>21</v>
      </c>
      <c r="I71" s="87" t="s">
        <v>21</v>
      </c>
      <c r="J71" s="87" t="s">
        <v>21</v>
      </c>
      <c r="K71" s="87" t="s">
        <v>21</v>
      </c>
      <c r="L71" s="87" t="s">
        <v>21</v>
      </c>
      <c r="M71" s="87" t="s">
        <v>21</v>
      </c>
      <c r="N71" s="7" t="s">
        <v>23</v>
      </c>
      <c r="O71" s="7" t="s">
        <v>23</v>
      </c>
      <c r="P71" s="87" t="s">
        <v>21</v>
      </c>
      <c r="Q71" s="87" t="s">
        <v>21</v>
      </c>
      <c r="R71" s="87" t="s">
        <v>21</v>
      </c>
      <c r="S71" s="87" t="s">
        <v>21</v>
      </c>
      <c r="T71" s="87" t="s">
        <v>21</v>
      </c>
      <c r="U71" s="87" t="s">
        <v>21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1592</v>
      </c>
      <c r="D72" s="57">
        <f>SUM($B$4:B72)-SUM($C$4:C72)</f>
        <v>2066</v>
      </c>
      <c r="E72" s="55" cm="1">
        <f t="array" ref="E72">SUM(VLOOKUP(H72:AE72,$AL$4:$AN$44,3,FALSE))</f>
        <v>655</v>
      </c>
      <c r="F72" s="98">
        <f>SUM($E$4:E72)+SUM($G$4:G72)</f>
        <v>45450</v>
      </c>
      <c r="G72" s="55">
        <v>200</v>
      </c>
      <c r="H72" s="87" t="s">
        <v>21</v>
      </c>
      <c r="I72" s="87" t="s">
        <v>21</v>
      </c>
      <c r="J72" s="87" t="s">
        <v>21</v>
      </c>
      <c r="K72" s="87" t="s">
        <v>21</v>
      </c>
      <c r="L72" s="87" t="s">
        <v>21</v>
      </c>
      <c r="M72" s="87" t="s">
        <v>21</v>
      </c>
      <c r="N72" s="7" t="s">
        <v>23</v>
      </c>
      <c r="O72" s="7" t="s">
        <v>23</v>
      </c>
      <c r="P72" s="87" t="s">
        <v>21</v>
      </c>
      <c r="Q72" s="87" t="s">
        <v>21</v>
      </c>
      <c r="R72" s="87" t="s">
        <v>21</v>
      </c>
      <c r="S72" s="82" t="s">
        <v>47</v>
      </c>
      <c r="T72" s="87" t="s">
        <v>21</v>
      </c>
      <c r="U72" s="85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1794</v>
      </c>
      <c r="E73" s="55" cm="1">
        <f t="array" ref="E73">SUM(VLOOKUP(H73:AE73,$AL$4:$AN$44,3,FALSE))</f>
        <v>690</v>
      </c>
      <c r="F73" s="98">
        <f>SUM($E$4:E73)+SUM($G$4:G73)</f>
        <v>46140</v>
      </c>
      <c r="G73" s="55">
        <v>0</v>
      </c>
      <c r="H73" s="87" t="s">
        <v>21</v>
      </c>
      <c r="I73" s="87" t="s">
        <v>21</v>
      </c>
      <c r="J73" s="87" t="s">
        <v>21</v>
      </c>
      <c r="K73" s="87" t="s">
        <v>21</v>
      </c>
      <c r="L73" s="87" t="s">
        <v>21</v>
      </c>
      <c r="M73" s="87" t="s">
        <v>21</v>
      </c>
      <c r="N73" s="7" t="s">
        <v>23</v>
      </c>
      <c r="O73" s="7" t="s">
        <v>23</v>
      </c>
      <c r="P73" s="85" t="s">
        <v>20</v>
      </c>
      <c r="Q73" s="85" t="s">
        <v>20</v>
      </c>
      <c r="R73" s="85" t="s">
        <v>20</v>
      </c>
      <c r="S73" s="85" t="s">
        <v>20</v>
      </c>
      <c r="T73" s="85" t="s">
        <v>20</v>
      </c>
      <c r="U73" s="85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1880</v>
      </c>
      <c r="D74" s="57">
        <f>SUM($B$4:B74)-SUM($C$4:C74)</f>
        <v>1514</v>
      </c>
      <c r="E74" s="55" cm="1">
        <f t="array" ref="E74">SUM(VLOOKUP(H74:AE74,$AL$4:$AN$44,3,FALSE))</f>
        <v>1630</v>
      </c>
      <c r="F74" s="98">
        <f>SUM($E$4:E74)+SUM($G$4:G74)</f>
        <v>47770</v>
      </c>
      <c r="G74" s="55">
        <v>0</v>
      </c>
      <c r="H74" s="87" t="s">
        <v>21</v>
      </c>
      <c r="I74" s="87" t="s">
        <v>21</v>
      </c>
      <c r="J74" s="88" t="s">
        <v>15</v>
      </c>
      <c r="K74" s="87" t="s">
        <v>21</v>
      </c>
      <c r="L74" s="87" t="s">
        <v>21</v>
      </c>
      <c r="M74" s="87" t="s">
        <v>21</v>
      </c>
      <c r="N74" s="7" t="s">
        <v>23</v>
      </c>
      <c r="O74" s="7" t="s">
        <v>23</v>
      </c>
      <c r="P74" s="85" t="s">
        <v>20</v>
      </c>
      <c r="Q74" s="85" t="s">
        <v>9</v>
      </c>
      <c r="R74" s="85" t="s">
        <v>20</v>
      </c>
      <c r="S74" s="85" t="s">
        <v>20</v>
      </c>
      <c r="T74" s="85" t="s">
        <v>20</v>
      </c>
      <c r="U74" s="85" t="s">
        <v>20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1872</v>
      </c>
      <c r="D75" s="57">
        <f>SUM($B$4:B75)-SUM($C$4:C75)</f>
        <v>1242</v>
      </c>
      <c r="E75" s="55" cm="1">
        <f t="array" ref="E75">SUM(VLOOKUP(H75:AE75,$AL$4:$AN$44,3,FALSE))</f>
        <v>690</v>
      </c>
      <c r="F75" s="98">
        <f>SUM($E$4:E75)+SUM($G$4:G75)</f>
        <v>48460</v>
      </c>
      <c r="G75" s="55">
        <v>0</v>
      </c>
      <c r="H75" s="87" t="s">
        <v>21</v>
      </c>
      <c r="I75" s="87" t="s">
        <v>21</v>
      </c>
      <c r="J75" s="87" t="s">
        <v>21</v>
      </c>
      <c r="K75" s="87" t="s">
        <v>21</v>
      </c>
      <c r="L75" s="87" t="s">
        <v>21</v>
      </c>
      <c r="M75" s="87" t="s">
        <v>21</v>
      </c>
      <c r="N75" s="7" t="s">
        <v>23</v>
      </c>
      <c r="O75" s="7" t="s">
        <v>23</v>
      </c>
      <c r="P75" s="85" t="s">
        <v>20</v>
      </c>
      <c r="Q75" s="85" t="s">
        <v>20</v>
      </c>
      <c r="R75" s="85" t="s">
        <v>20</v>
      </c>
      <c r="S75" s="85" t="s">
        <v>20</v>
      </c>
      <c r="T75" s="85" t="s">
        <v>20</v>
      </c>
      <c r="U75" s="85" t="s">
        <v>20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1760</v>
      </c>
      <c r="D76" s="57">
        <f>SUM($B$4:B76)-SUM($C$4:C76)</f>
        <v>1082</v>
      </c>
      <c r="E76" s="55" cm="1">
        <f t="array" ref="E76">SUM(VLOOKUP(H76:AE76,$AL$4:$AN$44,3,FALSE))</f>
        <v>665</v>
      </c>
      <c r="F76" s="98">
        <f>SUM($E$4:E76)+SUM($G$4:G76)</f>
        <v>49125</v>
      </c>
      <c r="G76" s="55">
        <v>0</v>
      </c>
      <c r="H76" s="87" t="s">
        <v>21</v>
      </c>
      <c r="I76" s="87" t="s">
        <v>21</v>
      </c>
      <c r="J76" s="87" t="s">
        <v>21</v>
      </c>
      <c r="K76" s="87" t="s">
        <v>21</v>
      </c>
      <c r="L76" s="87" t="s">
        <v>21</v>
      </c>
      <c r="M76" s="87" t="s">
        <v>21</v>
      </c>
      <c r="N76" s="7" t="s">
        <v>23</v>
      </c>
      <c r="O76" s="7" t="s">
        <v>23</v>
      </c>
      <c r="P76" s="85" t="s">
        <v>20</v>
      </c>
      <c r="Q76" s="85" t="s">
        <v>20</v>
      </c>
      <c r="R76" s="85" t="s">
        <v>20</v>
      </c>
      <c r="S76" s="85" t="s">
        <v>20</v>
      </c>
      <c r="T76" s="77" t="s">
        <v>12</v>
      </c>
      <c r="U76" s="85" t="s">
        <v>20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1872</v>
      </c>
      <c r="D77" s="18">
        <f>SUM($B$4:B77)-SUM($C$4:C77)</f>
        <v>810</v>
      </c>
      <c r="E77" s="55" cm="1">
        <f t="array" ref="E77">SUM(VLOOKUP(H77:AE77,$AL$4:$AN$44,3,FALSE))</f>
        <v>690</v>
      </c>
      <c r="F77" s="98">
        <f>SUM($E$4:E77)+SUM($G$4:G77)</f>
        <v>50015</v>
      </c>
      <c r="G77" s="56">
        <v>200</v>
      </c>
      <c r="H77" s="87" t="s">
        <v>21</v>
      </c>
      <c r="I77" s="87" t="s">
        <v>21</v>
      </c>
      <c r="J77" s="87" t="s">
        <v>21</v>
      </c>
      <c r="K77" s="87" t="s">
        <v>21</v>
      </c>
      <c r="L77" s="87" t="s">
        <v>21</v>
      </c>
      <c r="M77" s="87" t="s">
        <v>21</v>
      </c>
      <c r="N77" s="7" t="s">
        <v>23</v>
      </c>
      <c r="O77" s="7" t="s">
        <v>23</v>
      </c>
      <c r="P77" s="85" t="s">
        <v>20</v>
      </c>
      <c r="Q77" s="85" t="s">
        <v>20</v>
      </c>
      <c r="R77" s="85" t="s">
        <v>20</v>
      </c>
      <c r="S77" s="85" t="s">
        <v>20</v>
      </c>
      <c r="T77" s="85" t="s">
        <v>20</v>
      </c>
      <c r="U77" s="85" t="s">
        <v>20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1872</v>
      </c>
      <c r="D78" s="18">
        <f>SUM($B$4:B78)-SUM($C$4:C78)</f>
        <v>538</v>
      </c>
      <c r="E78" s="55" cm="1">
        <f t="array" ref="E78">SUM(VLOOKUP(H78:AE78,$AL$4:$AN$44,3,FALSE))</f>
        <v>690</v>
      </c>
      <c r="F78" s="98">
        <f>SUM($E$4:E78)+SUM($G$4:G78)</f>
        <v>50805</v>
      </c>
      <c r="G78" s="56">
        <v>100</v>
      </c>
      <c r="H78" s="87" t="s">
        <v>21</v>
      </c>
      <c r="I78" s="87" t="s">
        <v>21</v>
      </c>
      <c r="J78" s="87" t="s">
        <v>21</v>
      </c>
      <c r="K78" s="87" t="s">
        <v>21</v>
      </c>
      <c r="L78" s="87" t="s">
        <v>21</v>
      </c>
      <c r="M78" s="87" t="s">
        <v>21</v>
      </c>
      <c r="N78" s="7" t="s">
        <v>23</v>
      </c>
      <c r="O78" s="7" t="s">
        <v>23</v>
      </c>
      <c r="P78" s="85" t="s">
        <v>20</v>
      </c>
      <c r="Q78" s="85" t="s">
        <v>20</v>
      </c>
      <c r="R78" s="85" t="s">
        <v>20</v>
      </c>
      <c r="S78" s="85" t="s">
        <v>20</v>
      </c>
      <c r="T78" s="85" t="s">
        <v>20</v>
      </c>
      <c r="U78" s="85" t="s">
        <v>20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1608</v>
      </c>
      <c r="D79" s="18">
        <f>SUM($B$4:B79)-SUM($C$4:C79)</f>
        <v>530</v>
      </c>
      <c r="E79" s="55" cm="1">
        <f t="array" ref="E79">SUM(VLOOKUP(H79:AE79,$AL$4:$AN$44,3,FALSE))</f>
        <v>610</v>
      </c>
      <c r="F79" s="98">
        <f>SUM($E$4:E79)+SUM($G$4:G79)</f>
        <v>51615</v>
      </c>
      <c r="G79" s="56">
        <v>200</v>
      </c>
      <c r="H79" s="87" t="s">
        <v>21</v>
      </c>
      <c r="I79" s="87" t="s">
        <v>21</v>
      </c>
      <c r="J79" s="87" t="s">
        <v>21</v>
      </c>
      <c r="K79" s="87" t="s">
        <v>21</v>
      </c>
      <c r="L79" s="87" t="s">
        <v>21</v>
      </c>
      <c r="M79" s="87" t="s">
        <v>21</v>
      </c>
      <c r="N79" s="7" t="s">
        <v>23</v>
      </c>
      <c r="O79" s="7" t="s">
        <v>23</v>
      </c>
      <c r="P79" s="85" t="s">
        <v>20</v>
      </c>
      <c r="Q79" s="85" t="s">
        <v>20</v>
      </c>
      <c r="R79" s="85" t="s">
        <v>20</v>
      </c>
      <c r="S79" s="85" t="s">
        <v>20</v>
      </c>
      <c r="T79" s="77" t="s">
        <v>12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1680</v>
      </c>
      <c r="D80" s="18">
        <f>SUM($B$4:B80)-SUM($C$4:C80)</f>
        <v>450</v>
      </c>
      <c r="E80" s="55" cm="1">
        <f t="array" ref="E80">SUM(VLOOKUP(H80:AE80,$AL$4:$AN$44,3,FALSE))</f>
        <v>610</v>
      </c>
      <c r="F80" s="98">
        <f>SUM($E$4:E80)+SUM($G$4:G80)</f>
        <v>52225</v>
      </c>
      <c r="G80" s="56">
        <v>0</v>
      </c>
      <c r="H80" s="87" t="s">
        <v>21</v>
      </c>
      <c r="I80" s="87" t="s">
        <v>21</v>
      </c>
      <c r="J80" s="87" t="s">
        <v>21</v>
      </c>
      <c r="K80" s="87" t="s">
        <v>21</v>
      </c>
      <c r="L80" s="87" t="s">
        <v>21</v>
      </c>
      <c r="M80" s="87" t="s">
        <v>21</v>
      </c>
      <c r="N80" s="7" t="s">
        <v>23</v>
      </c>
      <c r="O80" s="7" t="s">
        <v>23</v>
      </c>
      <c r="P80" s="84" t="s">
        <v>19</v>
      </c>
      <c r="Q80" s="84" t="s">
        <v>19</v>
      </c>
      <c r="R80" s="84" t="s">
        <v>19</v>
      </c>
      <c r="S80" s="84" t="s">
        <v>19</v>
      </c>
      <c r="T80" s="84" t="s">
        <v>19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1680</v>
      </c>
      <c r="D81" s="18">
        <f>SUM($B$4:B81)-SUM($C$4:C81)</f>
        <v>370</v>
      </c>
      <c r="E81" s="55" cm="1">
        <f t="array" ref="E81">SUM(VLOOKUP(H81:AE81,$AL$4:$AN$44,3,FALSE))</f>
        <v>610</v>
      </c>
      <c r="F81" s="98">
        <f>SUM($E$4:E81)+SUM($G$4:G81)</f>
        <v>52835</v>
      </c>
      <c r="G81" s="56">
        <v>0</v>
      </c>
      <c r="H81" s="87" t="s">
        <v>21</v>
      </c>
      <c r="I81" s="87" t="s">
        <v>21</v>
      </c>
      <c r="J81" s="87" t="s">
        <v>21</v>
      </c>
      <c r="K81" s="87" t="s">
        <v>21</v>
      </c>
      <c r="L81" s="87" t="s">
        <v>21</v>
      </c>
      <c r="M81" s="87" t="s">
        <v>21</v>
      </c>
      <c r="N81" s="7" t="s">
        <v>23</v>
      </c>
      <c r="O81" s="7" t="s">
        <v>23</v>
      </c>
      <c r="P81" s="84" t="s">
        <v>19</v>
      </c>
      <c r="Q81" s="84" t="s">
        <v>19</v>
      </c>
      <c r="R81" s="84" t="s">
        <v>19</v>
      </c>
      <c r="S81" s="84" t="s">
        <v>19</v>
      </c>
      <c r="T81" s="84" t="s">
        <v>19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1784</v>
      </c>
      <c r="D82" s="18">
        <f>SUM($B$4:B82)-SUM($C$4:C82)</f>
        <v>186</v>
      </c>
      <c r="E82" s="55" cm="1">
        <f t="array" ref="E82">SUM(VLOOKUP(H82:AE82,$AL$4:$AN$44,3,FALSE))</f>
        <v>635</v>
      </c>
      <c r="F82" s="98">
        <f>SUM($E$4:E82)+SUM($G$4:G82)</f>
        <v>53470</v>
      </c>
      <c r="G82" s="56">
        <v>0</v>
      </c>
      <c r="H82" s="87" t="s">
        <v>21</v>
      </c>
      <c r="I82" s="85" t="s">
        <v>20</v>
      </c>
      <c r="J82" s="85" t="s">
        <v>20</v>
      </c>
      <c r="K82" s="85" t="s">
        <v>20</v>
      </c>
      <c r="L82" s="85" t="s">
        <v>20</v>
      </c>
      <c r="M82" s="85" t="s">
        <v>20</v>
      </c>
      <c r="N82" s="7" t="s">
        <v>23</v>
      </c>
      <c r="O82" s="7" t="s">
        <v>23</v>
      </c>
      <c r="P82" s="84" t="s">
        <v>19</v>
      </c>
      <c r="Q82" s="84" t="s">
        <v>19</v>
      </c>
      <c r="R82" s="84" t="s">
        <v>19</v>
      </c>
      <c r="S82" s="84" t="s">
        <v>19</v>
      </c>
      <c r="T82" s="84" t="s">
        <v>19</v>
      </c>
      <c r="U82" s="84" t="s">
        <v>19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154</v>
      </c>
      <c r="E83" s="55" cm="1">
        <f t="array" ref="E83">SUM(VLOOKUP(H83:AE83,$AL$4:$AN$44,3,FALSE))</f>
        <v>595</v>
      </c>
      <c r="F83" s="98">
        <f>SUM($E$4:E83)+SUM($G$4:G83)</f>
        <v>54065</v>
      </c>
      <c r="G83" s="56">
        <v>0</v>
      </c>
      <c r="H83" s="85" t="s">
        <v>20</v>
      </c>
      <c r="I83" s="85" t="s">
        <v>20</v>
      </c>
      <c r="J83" s="77" t="s">
        <v>12</v>
      </c>
      <c r="K83" s="85" t="s">
        <v>20</v>
      </c>
      <c r="L83" s="85" t="s">
        <v>20</v>
      </c>
      <c r="M83" s="85" t="s">
        <v>20</v>
      </c>
      <c r="N83" s="7" t="s">
        <v>23</v>
      </c>
      <c r="O83" s="7" t="s">
        <v>23</v>
      </c>
      <c r="P83" s="84" t="s">
        <v>19</v>
      </c>
      <c r="Q83" s="84" t="s">
        <v>19</v>
      </c>
      <c r="R83" s="79" t="s">
        <v>7</v>
      </c>
      <c r="S83" s="84" t="s">
        <v>19</v>
      </c>
      <c r="T83" s="84" t="s">
        <v>19</v>
      </c>
      <c r="U83" s="79" t="s">
        <v>18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1728</v>
      </c>
      <c r="D84" s="57">
        <f>SUM($B$4:B84)-SUM($C$4:C84)</f>
        <v>26</v>
      </c>
      <c r="E84" s="55" cm="1">
        <f t="array" ref="E84">SUM(VLOOKUP(H84:AE84,$AL$4:$AN$44,3,FALSE))</f>
        <v>600</v>
      </c>
      <c r="F84" s="98">
        <f>SUM($E$4:E84)+SUM($G$4:G84)</f>
        <v>54965</v>
      </c>
      <c r="G84" s="55">
        <v>300</v>
      </c>
      <c r="H84" s="85" t="s">
        <v>20</v>
      </c>
      <c r="I84" s="85" t="s">
        <v>20</v>
      </c>
      <c r="J84" s="85" t="s">
        <v>20</v>
      </c>
      <c r="K84" s="85" t="s">
        <v>20</v>
      </c>
      <c r="L84" s="85" t="s">
        <v>20</v>
      </c>
      <c r="M84" s="85" t="s">
        <v>20</v>
      </c>
      <c r="N84" s="7" t="s">
        <v>23</v>
      </c>
      <c r="O84" s="7" t="s">
        <v>23</v>
      </c>
      <c r="P84" s="79" t="s">
        <v>18</v>
      </c>
      <c r="Q84" s="79" t="s">
        <v>18</v>
      </c>
      <c r="R84" s="79" t="s">
        <v>18</v>
      </c>
      <c r="S84" s="79" t="s">
        <v>18</v>
      </c>
      <c r="T84" s="79" t="s">
        <v>18</v>
      </c>
      <c r="U84" s="79" t="s">
        <v>18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1592</v>
      </c>
      <c r="D85" s="57">
        <f>SUM($B$4:B85)-SUM($C$4:C85)</f>
        <v>34</v>
      </c>
      <c r="E85" s="55" cm="1">
        <f t="array" ref="E85">SUM(VLOOKUP(H85:AE85,$AL$4:$AN$44,3,FALSE))</f>
        <v>555</v>
      </c>
      <c r="F85" s="98">
        <f>SUM($E$4:E85)+SUM($G$4:G85)</f>
        <v>55520</v>
      </c>
      <c r="G85" s="55">
        <v>0</v>
      </c>
      <c r="H85" s="85" t="s">
        <v>20</v>
      </c>
      <c r="I85" s="85" t="s">
        <v>20</v>
      </c>
      <c r="J85" s="85" t="s">
        <v>20</v>
      </c>
      <c r="K85" s="85" t="s">
        <v>20</v>
      </c>
      <c r="L85" s="85" t="s">
        <v>20</v>
      </c>
      <c r="M85" s="85" t="s">
        <v>20</v>
      </c>
      <c r="N85" s="7" t="s">
        <v>23</v>
      </c>
      <c r="O85" s="7" t="s">
        <v>23</v>
      </c>
      <c r="P85" s="79" t="s">
        <v>18</v>
      </c>
      <c r="Q85" s="79" t="s">
        <v>18</v>
      </c>
      <c r="R85" s="79" t="s">
        <v>18</v>
      </c>
      <c r="S85" s="79" t="s">
        <v>18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1504</v>
      </c>
      <c r="D86" s="57">
        <f>SUM($B$4:B86)-SUM($C$4:C86)</f>
        <v>130</v>
      </c>
      <c r="E86" s="55" cm="1">
        <f t="array" ref="E86">SUM(VLOOKUP(H86:AE86,$AL$4:$AN$44,3,FALSE))</f>
        <v>545</v>
      </c>
      <c r="F86" s="98">
        <f>SUM($E$4:E86)+SUM($G$4:G86)</f>
        <v>56265</v>
      </c>
      <c r="G86" s="55">
        <v>200</v>
      </c>
      <c r="H86" s="85" t="s">
        <v>20</v>
      </c>
      <c r="I86" s="85" t="s">
        <v>20</v>
      </c>
      <c r="J86" s="85" t="s">
        <v>20</v>
      </c>
      <c r="K86" s="85" t="s">
        <v>20</v>
      </c>
      <c r="L86" s="85" t="s">
        <v>20</v>
      </c>
      <c r="M86" s="85" t="s">
        <v>20</v>
      </c>
      <c r="N86" s="7" t="s">
        <v>23</v>
      </c>
      <c r="O86" s="7" t="s">
        <v>23</v>
      </c>
      <c r="P86" s="77" t="s">
        <v>12</v>
      </c>
      <c r="Q86" s="79" t="s">
        <v>18</v>
      </c>
      <c r="R86" s="79" t="s">
        <v>18</v>
      </c>
      <c r="S86" s="79" t="s">
        <v>18</v>
      </c>
      <c r="T86" s="84" t="s">
        <v>19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0</v>
      </c>
      <c r="AG86" s="80"/>
      <c r="AH86" s="80"/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1592</v>
      </c>
      <c r="D87" s="57">
        <f>SUM($B$4:B87)-SUM($C$4:C87)</f>
        <v>138</v>
      </c>
      <c r="E87" s="55" cm="1">
        <f t="array" ref="E87">SUM(VLOOKUP(H87:AE87,$AL$4:$AN$44,3,FALSE))</f>
        <v>630</v>
      </c>
      <c r="F87" s="98">
        <f>SUM($E$4:E87)+SUM($G$4:G87)</f>
        <v>56895</v>
      </c>
      <c r="G87" s="55">
        <v>0</v>
      </c>
      <c r="H87" s="85" t="s">
        <v>20</v>
      </c>
      <c r="I87" s="85" t="s">
        <v>20</v>
      </c>
      <c r="J87" s="82" t="s">
        <v>47</v>
      </c>
      <c r="K87" s="85" t="s">
        <v>20</v>
      </c>
      <c r="L87" s="85" t="s">
        <v>20</v>
      </c>
      <c r="M87" s="85" t="s">
        <v>20</v>
      </c>
      <c r="N87" s="85" t="s">
        <v>20</v>
      </c>
      <c r="O87" s="7" t="s">
        <v>23</v>
      </c>
      <c r="P87" s="84" t="s">
        <v>19</v>
      </c>
      <c r="Q87" s="84" t="s">
        <v>8</v>
      </c>
      <c r="R87" s="84" t="s">
        <v>19</v>
      </c>
      <c r="S87" s="84" t="s">
        <v>19</v>
      </c>
      <c r="T87" s="84" t="s">
        <v>19</v>
      </c>
      <c r="U87" s="84" t="s">
        <v>19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1632</v>
      </c>
      <c r="D88" s="57">
        <f>SUM($B$4:B88)-SUM($C$4:C88)</f>
        <v>106</v>
      </c>
      <c r="E88" s="55" cm="1">
        <f t="array" ref="E88">SUM(VLOOKUP(H88:AE88,$AL$4:$AN$44,3,FALSE))</f>
        <v>580</v>
      </c>
      <c r="F88" s="98">
        <f>SUM($E$4:E88)+SUM($G$4:G88)</f>
        <v>57475</v>
      </c>
      <c r="G88" s="55">
        <v>0</v>
      </c>
      <c r="H88" s="85" t="s">
        <v>20</v>
      </c>
      <c r="I88" s="85" t="s">
        <v>20</v>
      </c>
      <c r="J88" s="85" t="s">
        <v>20</v>
      </c>
      <c r="K88" s="85" t="s">
        <v>20</v>
      </c>
      <c r="L88" s="85" t="s">
        <v>20</v>
      </c>
      <c r="M88" s="85" t="s">
        <v>20</v>
      </c>
      <c r="N88" s="7" t="s">
        <v>23</v>
      </c>
      <c r="O88" s="7" t="s">
        <v>23</v>
      </c>
      <c r="P88" s="84" t="s">
        <v>19</v>
      </c>
      <c r="Q88" s="84" t="s">
        <v>19</v>
      </c>
      <c r="R88" s="84" t="s">
        <v>19</v>
      </c>
      <c r="S88" s="84" t="s">
        <v>19</v>
      </c>
      <c r="T88" s="84" t="s">
        <v>19</v>
      </c>
      <c r="U88" t="s">
        <v>23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0</v>
      </c>
      <c r="AG88" s="80"/>
      <c r="AH88" s="80"/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1648</v>
      </c>
      <c r="D89" s="57">
        <f>SUM($B$4:B89)-SUM($C$4:C89)</f>
        <v>58</v>
      </c>
      <c r="E89" s="55" cm="1">
        <f t="array" ref="E89">SUM(VLOOKUP(H89:AE89,$AL$4:$AN$44,3,FALSE))</f>
        <v>585</v>
      </c>
      <c r="F89" s="98">
        <f>SUM($E$4:E89)+SUM($G$4:G89)</f>
        <v>58060</v>
      </c>
      <c r="G89" s="55">
        <v>0</v>
      </c>
      <c r="H89" s="85" t="s">
        <v>20</v>
      </c>
      <c r="I89" s="85" t="s">
        <v>20</v>
      </c>
      <c r="J89" s="85" t="s">
        <v>20</v>
      </c>
      <c r="K89" s="85" t="s">
        <v>20</v>
      </c>
      <c r="L89" s="85" t="s">
        <v>20</v>
      </c>
      <c r="M89" s="85" t="s">
        <v>20</v>
      </c>
      <c r="N89" s="7" t="s">
        <v>23</v>
      </c>
      <c r="O89" s="7" t="s">
        <v>23</v>
      </c>
      <c r="P89" s="79" t="s">
        <v>18</v>
      </c>
      <c r="Q89" s="79" t="s">
        <v>18</v>
      </c>
      <c r="R89" s="79" t="s">
        <v>18</v>
      </c>
      <c r="S89" s="79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34</v>
      </c>
      <c r="E90" s="55" cm="1">
        <f t="array" ref="E90">SUM(VLOOKUP(H90:AE90,$AL$4:$AN$44,3,FALSE))</f>
        <v>575</v>
      </c>
      <c r="F90" s="98">
        <f>SUM($E$4:E90)+SUM($G$4:G90)</f>
        <v>58635</v>
      </c>
      <c r="G90" s="55">
        <v>0</v>
      </c>
      <c r="H90" s="85" t="s">
        <v>20</v>
      </c>
      <c r="I90" s="85" t="s">
        <v>20</v>
      </c>
      <c r="J90" s="85" t="s">
        <v>20</v>
      </c>
      <c r="K90" s="85" t="s">
        <v>20</v>
      </c>
      <c r="L90" s="85" t="s">
        <v>20</v>
      </c>
      <c r="M90" s="77" t="s">
        <v>12</v>
      </c>
      <c r="N90" s="7" t="s">
        <v>23</v>
      </c>
      <c r="O90" s="7" t="s">
        <v>23</v>
      </c>
      <c r="P90" s="79" t="s">
        <v>18</v>
      </c>
      <c r="Q90" s="79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1584</v>
      </c>
      <c r="D91" s="18">
        <f>SUM($B$4:B91)-SUM($C$4:C91)</f>
        <v>50</v>
      </c>
      <c r="E91" s="55" cm="1">
        <f t="array" ref="E91">SUM(VLOOKUP(H91:AE91,$AL$4:$AN$44,3,FALSE))</f>
        <v>555</v>
      </c>
      <c r="F91" s="98">
        <f>SUM($E$4:E91)+SUM($G$4:G91)</f>
        <v>59490</v>
      </c>
      <c r="G91" s="56">
        <v>300</v>
      </c>
      <c r="H91" s="85" t="s">
        <v>20</v>
      </c>
      <c r="I91" s="85" t="s">
        <v>20</v>
      </c>
      <c r="J91" s="85" t="s">
        <v>20</v>
      </c>
      <c r="K91" s="85" t="s">
        <v>20</v>
      </c>
      <c r="L91" s="85" t="s">
        <v>20</v>
      </c>
      <c r="M91" s="85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79" t="s">
        <v>7</v>
      </c>
      <c r="S91" s="79" t="s">
        <v>18</v>
      </c>
      <c r="T91" s="79" t="s">
        <v>18</v>
      </c>
      <c r="U91" t="s">
        <v>23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1480</v>
      </c>
      <c r="D92" s="18">
        <f>SUM($B$4:B92)-SUM($C$4:C92)</f>
        <v>170</v>
      </c>
      <c r="E92" s="55" cm="1">
        <f t="array" ref="E92">SUM(VLOOKUP(H92:AE92,$AL$4:$AN$44,3,FALSE))</f>
        <v>580</v>
      </c>
      <c r="F92" s="98">
        <f>SUM($E$4:E92)+SUM($G$4:G92)</f>
        <v>60070</v>
      </c>
      <c r="G92" s="56">
        <v>0</v>
      </c>
      <c r="H92" s="85" t="s">
        <v>20</v>
      </c>
      <c r="I92" s="85" t="s">
        <v>20</v>
      </c>
      <c r="J92" s="85" t="s">
        <v>20</v>
      </c>
      <c r="K92" s="85" t="s">
        <v>20</v>
      </c>
      <c r="L92" s="85" t="s">
        <v>20</v>
      </c>
      <c r="M92" s="85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79" t="s">
        <v>18</v>
      </c>
      <c r="S92" s="82" t="s">
        <v>47</v>
      </c>
      <c r="T92" s="78" t="s">
        <v>17</v>
      </c>
      <c r="U92" s="77" t="s">
        <v>12</v>
      </c>
      <c r="V92" s="79" t="s">
        <v>18</v>
      </c>
      <c r="W92" s="7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2</v>
      </c>
      <c r="AG92" s="80"/>
      <c r="AH92" s="80">
        <v>2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1736</v>
      </c>
      <c r="D93" s="18">
        <f>SUM($B$4:B93)-SUM($C$4:C93)</f>
        <v>34</v>
      </c>
      <c r="E93" s="55" cm="1">
        <f t="array" ref="E93">SUM(VLOOKUP(H93:AE93,$AL$4:$AN$44,3,FALSE))</f>
        <v>600</v>
      </c>
      <c r="F93" s="98">
        <f>SUM($E$4:E93)+SUM($G$4:G93)</f>
        <v>60870</v>
      </c>
      <c r="G93" s="56">
        <v>200</v>
      </c>
      <c r="H93" s="85" t="s">
        <v>20</v>
      </c>
      <c r="I93" s="85" t="s">
        <v>20</v>
      </c>
      <c r="J93" s="85" t="s">
        <v>20</v>
      </c>
      <c r="K93" s="85" t="s">
        <v>20</v>
      </c>
      <c r="L93" s="85" t="s">
        <v>20</v>
      </c>
      <c r="M93" s="85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s="79" t="s">
        <v>18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1</v>
      </c>
      <c r="AG93" s="80"/>
      <c r="AH93" s="80">
        <v>1</v>
      </c>
      <c r="AI93" s="80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585</v>
      </c>
      <c r="F94" s="98">
        <f>SUM($E$4:E94)+SUM($G$4:G94)</f>
        <v>61455</v>
      </c>
      <c r="G94">
        <v>0</v>
      </c>
      <c r="H94" s="85" t="s">
        <v>20</v>
      </c>
      <c r="I94" s="85" t="s">
        <v>20</v>
      </c>
      <c r="J94" s="85" t="s">
        <v>20</v>
      </c>
      <c r="K94" s="85" t="s">
        <v>20</v>
      </c>
      <c r="L94" s="85" t="s">
        <v>20</v>
      </c>
      <c r="M94" s="85" t="s">
        <v>20</v>
      </c>
      <c r="N94" s="7" t="s">
        <v>23</v>
      </c>
      <c r="O94" s="7" t="s">
        <v>23</v>
      </c>
      <c r="P94" s="79" t="s">
        <v>18</v>
      </c>
      <c r="Q94" s="77" t="s">
        <v>12</v>
      </c>
      <c r="R94" s="79" t="s">
        <v>18</v>
      </c>
      <c r="S94" s="79" t="s">
        <v>18</v>
      </c>
      <c r="T94" s="79" t="s">
        <v>18</v>
      </c>
      <c r="U94" s="79" t="s">
        <v>18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4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{C64557D6-BEA5-4B78-B30B-6594CEB6ED9B}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4557D6-BEA5-4B78-B30B-6594CEB6ED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dimension ref="A1:AY101"/>
  <sheetViews>
    <sheetView topLeftCell="A52"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166">
        <f ca="1">(_xlfn.DAYS(TODAY(),A4)+2)/((_xlfn.DAYS(A94,A4))+1)</f>
        <v>2</v>
      </c>
      <c r="B1" s="167"/>
      <c r="C1" s="167"/>
      <c r="D1" s="167"/>
      <c r="E1" s="167"/>
      <c r="F1" s="167"/>
      <c r="G1" s="168"/>
      <c r="H1" s="169" t="s">
        <v>37</v>
      </c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1"/>
      <c r="AG1" s="42"/>
      <c r="AH1" s="42"/>
      <c r="AI1" s="42"/>
      <c r="AL1" s="165" t="s">
        <v>42</v>
      </c>
      <c r="AM1" s="165"/>
      <c r="AN1" s="165"/>
    </row>
    <row r="2" spans="1:51" ht="16.2" customHeight="1" thickBot="1">
      <c r="A2" t="s">
        <v>73</v>
      </c>
      <c r="B2" s="51"/>
      <c r="C2" s="173" t="s">
        <v>35</v>
      </c>
      <c r="D2" s="174"/>
      <c r="E2" s="175">
        <f>SUM(E4:E94)+SUM(G4:G94)</f>
        <v>61405</v>
      </c>
      <c r="F2" s="175"/>
      <c r="G2" s="176"/>
      <c r="H2" s="177" t="s">
        <v>48</v>
      </c>
      <c r="I2" s="178"/>
      <c r="J2" s="73" t="s">
        <v>46</v>
      </c>
      <c r="K2" s="73">
        <f>COUNTIF(H18:O94,"&lt;&gt;空")-3</f>
        <v>221</v>
      </c>
      <c r="L2" s="178" t="s">
        <v>45</v>
      </c>
      <c r="M2" s="178"/>
      <c r="N2" s="178"/>
      <c r="O2" s="179"/>
      <c r="P2" s="181" t="s">
        <v>49</v>
      </c>
      <c r="Q2" s="182"/>
      <c r="R2" s="74" t="s">
        <v>46</v>
      </c>
      <c r="S2" s="74">
        <f>COUNTIF(P4:W94,"&lt;&gt;空")</f>
        <v>303</v>
      </c>
      <c r="T2" s="182" t="s">
        <v>45</v>
      </c>
      <c r="U2" s="182"/>
      <c r="V2" s="182"/>
      <c r="W2" s="183"/>
      <c r="X2" s="180" t="s">
        <v>33</v>
      </c>
      <c r="Y2" s="160"/>
      <c r="Z2" s="58" t="s">
        <v>44</v>
      </c>
      <c r="AA2" s="72">
        <f>COUNTIF(X4:AE94,"&lt;&gt;空")</f>
        <v>412</v>
      </c>
      <c r="AB2" s="160" t="s">
        <v>45</v>
      </c>
      <c r="AC2" s="160"/>
      <c r="AD2" s="160"/>
      <c r="AE2" s="161"/>
      <c r="AF2" s="41">
        <f>SUM(AF4:AF94)</f>
        <v>50</v>
      </c>
      <c r="AG2" s="41">
        <f t="shared" ref="AG2:AI2" si="0">SUM(AG4:AG94)</f>
        <v>17</v>
      </c>
      <c r="AH2" s="41">
        <f>SUM(AH4:AH94)</f>
        <v>25</v>
      </c>
      <c r="AI2" s="41">
        <f t="shared" si="0"/>
        <v>8</v>
      </c>
      <c r="AJ2" s="162" t="s">
        <v>29</v>
      </c>
      <c r="AL2" s="172"/>
      <c r="AM2" s="172"/>
      <c r="AN2" s="172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63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17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27</v>
      </c>
      <c r="AS5" s="50">
        <f t="shared" ref="AS5:AU28" si="6">AO5*$AN5</f>
        <v>680</v>
      </c>
      <c r="AT5" s="50">
        <f t="shared" si="2"/>
        <v>40</v>
      </c>
      <c r="AU5" s="50">
        <f t="shared" si="2"/>
        <v>360</v>
      </c>
      <c r="AV5" s="164" t="s">
        <v>34</v>
      </c>
      <c r="AW5" s="164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165"/>
      <c r="AW6" s="165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165"/>
      <c r="AW7" s="165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165"/>
      <c r="AW8" s="165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4</v>
      </c>
      <c r="AP11" s="19">
        <f t="shared" si="3"/>
        <v>0</v>
      </c>
      <c r="AQ11" s="19">
        <f t="shared" si="4"/>
        <v>1</v>
      </c>
      <c r="AR11" s="19">
        <f t="shared" si="5"/>
        <v>5</v>
      </c>
      <c r="AS11" s="50">
        <f t="shared" si="6"/>
        <v>160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13</v>
      </c>
      <c r="AQ17" s="19">
        <f t="shared" si="4"/>
        <v>10</v>
      </c>
      <c r="AR17" s="19">
        <f t="shared" si="5"/>
        <v>36</v>
      </c>
      <c r="AS17" s="50">
        <f t="shared" si="6"/>
        <v>390</v>
      </c>
      <c r="AT17" s="50">
        <f t="shared" si="2"/>
        <v>390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4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dimension ref="A1:AY101"/>
  <sheetViews>
    <sheetView zoomScaleNormal="100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166">
        <f ca="1">(_xlfn.DAYS(TODAY(),A4)+2)/((_xlfn.DAYS(A94,A4))+1)</f>
        <v>2</v>
      </c>
      <c r="B1" s="167"/>
      <c r="C1" s="167"/>
      <c r="D1" s="167"/>
      <c r="E1" s="167"/>
      <c r="F1" s="167"/>
      <c r="G1" s="168"/>
      <c r="H1" s="169" t="s">
        <v>37</v>
      </c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1"/>
      <c r="AG1" s="42"/>
      <c r="AH1" s="42"/>
      <c r="AI1" s="42"/>
      <c r="AL1" s="165" t="s">
        <v>42</v>
      </c>
      <c r="AM1" s="165"/>
      <c r="AN1" s="165"/>
    </row>
    <row r="2" spans="1:51" ht="16.2" customHeight="1" thickBot="1">
      <c r="A2" t="s">
        <v>62</v>
      </c>
      <c r="B2" s="51"/>
      <c r="C2" s="173" t="s">
        <v>35</v>
      </c>
      <c r="D2" s="174"/>
      <c r="E2" s="175">
        <f>SUM(E4:E94)+SUM(G4:G94)</f>
        <v>61375</v>
      </c>
      <c r="F2" s="175"/>
      <c r="G2" s="176"/>
      <c r="H2" s="177" t="s">
        <v>48</v>
      </c>
      <c r="I2" s="178"/>
      <c r="J2" s="64" t="s">
        <v>46</v>
      </c>
      <c r="K2" s="64">
        <f>COUNTIF(H4:O94,"&lt;&gt;空")</f>
        <v>309</v>
      </c>
      <c r="L2" s="178" t="s">
        <v>45</v>
      </c>
      <c r="M2" s="178"/>
      <c r="N2" s="178"/>
      <c r="O2" s="179"/>
      <c r="P2" s="181" t="s">
        <v>49</v>
      </c>
      <c r="Q2" s="182"/>
      <c r="R2" s="65" t="s">
        <v>46</v>
      </c>
      <c r="S2" s="65">
        <f>COUNTIF(P4:W94,"&lt;&gt;空")</f>
        <v>302</v>
      </c>
      <c r="T2" s="182" t="s">
        <v>45</v>
      </c>
      <c r="U2" s="182"/>
      <c r="V2" s="182"/>
      <c r="W2" s="183"/>
      <c r="X2" s="180" t="s">
        <v>33</v>
      </c>
      <c r="Y2" s="160"/>
      <c r="Z2" s="58" t="s">
        <v>44</v>
      </c>
      <c r="AA2" s="63">
        <f>COUNTIF(X4:AE94,"&lt;&gt;空")</f>
        <v>412</v>
      </c>
      <c r="AB2" s="160" t="s">
        <v>45</v>
      </c>
      <c r="AC2" s="160"/>
      <c r="AD2" s="160"/>
      <c r="AE2" s="161"/>
      <c r="AF2" s="41">
        <f>SUM(AF4:AF94)</f>
        <v>46</v>
      </c>
      <c r="AG2" s="41">
        <f t="shared" ref="AG2:AI2" si="0">SUM(AG4:AG94)</f>
        <v>14</v>
      </c>
      <c r="AH2" s="41">
        <f t="shared" si="0"/>
        <v>24</v>
      </c>
      <c r="AI2" s="41">
        <f t="shared" si="0"/>
        <v>8</v>
      </c>
      <c r="AJ2" s="162" t="s">
        <v>29</v>
      </c>
      <c r="AL2" s="172"/>
      <c r="AM2" s="172"/>
      <c r="AN2" s="172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63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1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2">AP4*$AN4</f>
        <v>0</v>
      </c>
      <c r="AU4" s="50">
        <f t="shared" si="2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1"/>
        <v>16</v>
      </c>
      <c r="AP5" s="19">
        <f t="shared" ref="AP5:AP26" si="3">COUNTIF($P$4:$W$94,AL5)</f>
        <v>1</v>
      </c>
      <c r="AQ5" s="19">
        <f t="shared" ref="AQ5:AQ26" si="4">COUNTIF($X$4:$AE$94,AL5)</f>
        <v>9</v>
      </c>
      <c r="AR5" s="19">
        <f t="shared" ref="AR5:AR26" si="5">AO5+AP5+AQ5</f>
        <v>26</v>
      </c>
      <c r="AS5" s="50">
        <f t="shared" ref="AS5:AU28" si="6">AO5*$AN5</f>
        <v>640</v>
      </c>
      <c r="AT5" s="50">
        <f t="shared" si="2"/>
        <v>40</v>
      </c>
      <c r="AU5" s="50">
        <f t="shared" si="2"/>
        <v>360</v>
      </c>
      <c r="AV5" s="164" t="s">
        <v>34</v>
      </c>
      <c r="AW5" s="164"/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136</v>
      </c>
      <c r="AP6" s="19">
        <f t="shared" si="3"/>
        <v>44</v>
      </c>
      <c r="AQ6" s="19">
        <f t="shared" si="4"/>
        <v>10</v>
      </c>
      <c r="AR6" s="19">
        <f t="shared" si="5"/>
        <v>190</v>
      </c>
      <c r="AS6" s="50">
        <f t="shared" si="6"/>
        <v>6120</v>
      </c>
      <c r="AT6" s="50">
        <f t="shared" si="2"/>
        <v>1980</v>
      </c>
      <c r="AU6" s="50">
        <f t="shared" si="2"/>
        <v>450</v>
      </c>
      <c r="AV6" s="165"/>
      <c r="AW6" s="165"/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111</v>
      </c>
      <c r="AP7" s="19">
        <f t="shared" si="3"/>
        <v>45</v>
      </c>
      <c r="AQ7" s="19">
        <f t="shared" si="4"/>
        <v>113</v>
      </c>
      <c r="AR7" s="71">
        <f t="shared" si="5"/>
        <v>269</v>
      </c>
      <c r="AS7" s="50">
        <f t="shared" si="6"/>
        <v>5550</v>
      </c>
      <c r="AT7" s="50">
        <f t="shared" si="2"/>
        <v>2250</v>
      </c>
      <c r="AU7" s="50">
        <f t="shared" si="2"/>
        <v>5650</v>
      </c>
      <c r="AV7" s="165"/>
      <c r="AW7" s="165"/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0</v>
      </c>
      <c r="AP8" s="19">
        <f t="shared" si="3"/>
        <v>112</v>
      </c>
      <c r="AQ8" s="19">
        <f t="shared" si="4"/>
        <v>124</v>
      </c>
      <c r="AR8" s="71">
        <f t="shared" si="5"/>
        <v>236</v>
      </c>
      <c r="AS8" s="50">
        <f t="shared" si="6"/>
        <v>0</v>
      </c>
      <c r="AT8" s="50">
        <f t="shared" si="2"/>
        <v>6160</v>
      </c>
      <c r="AU8" s="50">
        <f t="shared" si="2"/>
        <v>6820</v>
      </c>
      <c r="AV8" s="165"/>
      <c r="AW8" s="165"/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0</v>
      </c>
      <c r="AP9" s="19">
        <f t="shared" si="3"/>
        <v>76</v>
      </c>
      <c r="AQ9" s="19">
        <f t="shared" si="4"/>
        <v>118</v>
      </c>
      <c r="AR9" s="71">
        <f t="shared" si="5"/>
        <v>194</v>
      </c>
      <c r="AS9" s="50">
        <f t="shared" si="6"/>
        <v>0</v>
      </c>
      <c r="AT9" s="50">
        <f t="shared" si="2"/>
        <v>4560</v>
      </c>
      <c r="AU9" s="50">
        <f t="shared" si="2"/>
        <v>7080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2"/>
        <v>0</v>
      </c>
      <c r="AU10" s="50">
        <f t="shared" si="2"/>
        <v>0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5</v>
      </c>
      <c r="AP11" s="19">
        <f t="shared" si="3"/>
        <v>0</v>
      </c>
      <c r="AQ11" s="19">
        <f t="shared" si="4"/>
        <v>1</v>
      </c>
      <c r="AR11" s="19">
        <f t="shared" si="5"/>
        <v>6</v>
      </c>
      <c r="AS11" s="50">
        <f t="shared" si="6"/>
        <v>200</v>
      </c>
      <c r="AT11" s="50">
        <f t="shared" si="2"/>
        <v>0</v>
      </c>
      <c r="AU11" s="50">
        <f t="shared" si="2"/>
        <v>40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2</v>
      </c>
      <c r="AP12" s="19">
        <f t="shared" si="3"/>
        <v>2</v>
      </c>
      <c r="AQ12" s="19">
        <f t="shared" si="4"/>
        <v>1</v>
      </c>
      <c r="AR12" s="19">
        <f t="shared" si="5"/>
        <v>5</v>
      </c>
      <c r="AS12" s="50">
        <f t="shared" si="6"/>
        <v>90</v>
      </c>
      <c r="AT12" s="50">
        <f t="shared" si="2"/>
        <v>90</v>
      </c>
      <c r="AU12" s="50">
        <f t="shared" si="2"/>
        <v>45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1</v>
      </c>
      <c r="AP13" s="19">
        <f t="shared" si="3"/>
        <v>2</v>
      </c>
      <c r="AQ13" s="19">
        <f t="shared" si="4"/>
        <v>1</v>
      </c>
      <c r="AR13" s="19">
        <f t="shared" si="5"/>
        <v>4</v>
      </c>
      <c r="AS13" s="50">
        <f t="shared" si="6"/>
        <v>50</v>
      </c>
      <c r="AT13" s="50">
        <f t="shared" si="2"/>
        <v>100</v>
      </c>
      <c r="AU13" s="50">
        <f t="shared" si="2"/>
        <v>50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0</v>
      </c>
      <c r="AP14" s="19">
        <f t="shared" si="3"/>
        <v>2</v>
      </c>
      <c r="AQ14" s="19">
        <f t="shared" si="4"/>
        <v>1</v>
      </c>
      <c r="AR14" s="19">
        <f t="shared" si="5"/>
        <v>3</v>
      </c>
      <c r="AS14" s="50">
        <f t="shared" si="6"/>
        <v>0</v>
      </c>
      <c r="AT14" s="50">
        <f t="shared" si="2"/>
        <v>110</v>
      </c>
      <c r="AU14" s="50">
        <f t="shared" si="2"/>
        <v>55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2"/>
        <v>0</v>
      </c>
      <c r="AU15" s="50">
        <f t="shared" si="2"/>
        <v>60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2"/>
        <v>0</v>
      </c>
      <c r="AU16" s="50">
        <f t="shared" si="2"/>
        <v>0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13</v>
      </c>
      <c r="AP17" s="19">
        <f t="shared" si="3"/>
        <v>12</v>
      </c>
      <c r="AQ17" s="19">
        <f t="shared" si="4"/>
        <v>10</v>
      </c>
      <c r="AR17" s="19">
        <f t="shared" si="5"/>
        <v>35</v>
      </c>
      <c r="AS17" s="50">
        <f t="shared" si="6"/>
        <v>390</v>
      </c>
      <c r="AT17" s="50">
        <f t="shared" si="2"/>
        <v>360</v>
      </c>
      <c r="AU17" s="50">
        <f t="shared" si="2"/>
        <v>300</v>
      </c>
      <c r="AY17">
        <f t="shared" si="7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2"/>
        <v>0</v>
      </c>
      <c r="AU18" s="50">
        <f t="shared" si="2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2"/>
        <v>0</v>
      </c>
      <c r="AU19" s="50">
        <f t="shared" si="2"/>
        <v>0</v>
      </c>
      <c r="AY19">
        <f t="shared" si="7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0</v>
      </c>
      <c r="AP22" s="19">
        <f t="shared" si="3"/>
        <v>1</v>
      </c>
      <c r="AQ22" s="19">
        <f t="shared" si="4"/>
        <v>1</v>
      </c>
      <c r="AR22" s="19">
        <f t="shared" si="5"/>
        <v>2</v>
      </c>
      <c r="AS22" s="50">
        <f t="shared" si="6"/>
        <v>0</v>
      </c>
      <c r="AT22" s="50">
        <f t="shared" si="6"/>
        <v>1000</v>
      </c>
      <c r="AU22" s="50">
        <f t="shared" si="6"/>
        <v>1000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0</v>
      </c>
      <c r="AP25" s="19">
        <f t="shared" si="3"/>
        <v>0</v>
      </c>
      <c r="AQ25" s="19">
        <f t="shared" si="4"/>
        <v>0</v>
      </c>
      <c r="AR25" s="19">
        <f t="shared" si="5"/>
        <v>0</v>
      </c>
      <c r="AS25" s="50">
        <f t="shared" si="6"/>
        <v>0</v>
      </c>
      <c r="AT25" s="50">
        <f t="shared" si="6"/>
        <v>0</v>
      </c>
      <c r="AU25" s="50">
        <f t="shared" si="6"/>
        <v>0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0</v>
      </c>
      <c r="AP26" s="19">
        <f t="shared" si="3"/>
        <v>0</v>
      </c>
      <c r="AQ26" s="19">
        <f t="shared" si="4"/>
        <v>0</v>
      </c>
      <c r="AR26" s="19">
        <f t="shared" si="5"/>
        <v>0</v>
      </c>
      <c r="AS26" s="50">
        <f t="shared" si="6"/>
        <v>0</v>
      </c>
      <c r="AT26" s="50">
        <f t="shared" si="6"/>
        <v>0</v>
      </c>
      <c r="AU26" s="50">
        <f t="shared" si="6"/>
        <v>0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4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dimension ref="A1:AY101"/>
  <sheetViews>
    <sheetView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44140625" customWidth="1"/>
    <col min="5" max="5" width="5.6640625" bestFit="1" customWidth="1"/>
    <col min="6" max="6" width="6.554687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  <col min="41" max="41" width="10" bestFit="1" customWidth="1"/>
  </cols>
  <sheetData>
    <row r="1" spans="1:51" ht="28.2" customHeight="1" thickBot="1">
      <c r="A1" s="166">
        <f ca="1">(_xlfn.DAYS(TODAY(),A4)+2)/((_xlfn.DAYS(A94,A4))+1)</f>
        <v>2</v>
      </c>
      <c r="B1" s="167"/>
      <c r="C1" s="167"/>
      <c r="D1" s="167"/>
      <c r="E1" s="167"/>
      <c r="F1" s="167"/>
      <c r="G1" s="168"/>
      <c r="H1" s="169" t="s">
        <v>37</v>
      </c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1"/>
      <c r="AG1" s="42"/>
      <c r="AH1" s="42"/>
      <c r="AI1" s="42"/>
      <c r="AL1" s="165" t="s">
        <v>42</v>
      </c>
      <c r="AM1" s="165"/>
      <c r="AN1" s="165"/>
    </row>
    <row r="2" spans="1:51" ht="16.2" customHeight="1" thickBot="1">
      <c r="A2" t="s">
        <v>62</v>
      </c>
      <c r="B2" s="51"/>
      <c r="C2" s="173" t="s">
        <v>35</v>
      </c>
      <c r="D2" s="174"/>
      <c r="E2" s="175">
        <f>SUM(E4:E94)+SUM(G4:G94)</f>
        <v>61245</v>
      </c>
      <c r="F2" s="175"/>
      <c r="G2" s="176"/>
      <c r="H2" s="177" t="s">
        <v>48</v>
      </c>
      <c r="I2" s="178"/>
      <c r="J2" s="54" t="s">
        <v>46</v>
      </c>
      <c r="K2" s="54">
        <f>COUNTIF(H4:O94,"&lt;&gt;空")</f>
        <v>406</v>
      </c>
      <c r="L2" s="178" t="s">
        <v>45</v>
      </c>
      <c r="M2" s="178"/>
      <c r="N2" s="178"/>
      <c r="O2" s="179"/>
      <c r="P2" s="181" t="s">
        <v>49</v>
      </c>
      <c r="Q2" s="182"/>
      <c r="R2" s="52" t="s">
        <v>46</v>
      </c>
      <c r="S2" s="52">
        <f>COUNTIF(P4:W94,"&lt;&gt;空")</f>
        <v>184</v>
      </c>
      <c r="T2" s="182" t="s">
        <v>45</v>
      </c>
      <c r="U2" s="182"/>
      <c r="V2" s="182"/>
      <c r="W2" s="183"/>
      <c r="X2" s="180" t="s">
        <v>33</v>
      </c>
      <c r="Y2" s="160"/>
      <c r="Z2" s="58" t="s">
        <v>44</v>
      </c>
      <c r="AA2" s="59">
        <f>COUNTIF(X4:AE94,"&lt;&gt;空")</f>
        <v>434</v>
      </c>
      <c r="AB2" s="160" t="s">
        <v>45</v>
      </c>
      <c r="AC2" s="160"/>
      <c r="AD2" s="160"/>
      <c r="AE2" s="161"/>
      <c r="AF2" s="41">
        <f>SUM(AF4:AF94)</f>
        <v>58</v>
      </c>
      <c r="AG2" s="41">
        <f t="shared" ref="AG2:AI2" si="0">SUM(AG4:AG94)</f>
        <v>20</v>
      </c>
      <c r="AH2" s="41">
        <f t="shared" si="0"/>
        <v>23</v>
      </c>
      <c r="AI2" s="41">
        <f t="shared" si="0"/>
        <v>15</v>
      </c>
      <c r="AJ2" s="162" t="s">
        <v>29</v>
      </c>
      <c r="AL2" s="172"/>
      <c r="AM2" s="172"/>
      <c r="AN2" s="172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163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1">AP4*$AN4</f>
        <v>0</v>
      </c>
      <c r="AU4" s="50">
        <f t="shared" si="1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2">COUNTIF($H$4:$O$94,AL5)</f>
        <v>16</v>
      </c>
      <c r="AP5" s="19">
        <f t="shared" ref="AP5:AP26" si="3">COUNTIF($P$4:$W$94,AL5)</f>
        <v>12</v>
      </c>
      <c r="AQ5" s="19">
        <f t="shared" ref="AQ5:AQ26" si="4">COUNTIF($X$4:$AE$94,AL5)</f>
        <v>16</v>
      </c>
      <c r="AR5" s="19">
        <f t="shared" ref="AR5:AR26" si="5">AO5+AP5+AQ5</f>
        <v>44</v>
      </c>
      <c r="AS5" s="50">
        <f t="shared" ref="AS5:AU28" si="6">AO5*$AN5</f>
        <v>640</v>
      </c>
      <c r="AT5" s="50">
        <f t="shared" si="1"/>
        <v>480</v>
      </c>
      <c r="AU5" s="50">
        <f t="shared" si="1"/>
        <v>640</v>
      </c>
      <c r="AV5" s="164" t="s">
        <v>34</v>
      </c>
      <c r="AW5" s="164"/>
      <c r="AX5">
        <f t="shared" ref="AX5:AX28" si="7">AN5/AY5</f>
        <v>0.3125</v>
      </c>
      <c r="AY5">
        <f t="shared" ref="AY5:AY28" si="8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2"/>
        <v>97</v>
      </c>
      <c r="AP6" s="19">
        <f t="shared" si="3"/>
        <v>46</v>
      </c>
      <c r="AQ6" s="19">
        <f t="shared" si="4"/>
        <v>22</v>
      </c>
      <c r="AR6" s="19">
        <f t="shared" si="5"/>
        <v>165</v>
      </c>
      <c r="AS6" s="50">
        <f t="shared" si="6"/>
        <v>4365</v>
      </c>
      <c r="AT6" s="50">
        <f t="shared" si="1"/>
        <v>2070</v>
      </c>
      <c r="AU6" s="50">
        <f t="shared" si="1"/>
        <v>990</v>
      </c>
      <c r="AV6" s="165"/>
      <c r="AW6" s="165"/>
      <c r="AX6">
        <f t="shared" si="7"/>
        <v>0.33088235294117646</v>
      </c>
      <c r="AY6">
        <f t="shared" si="8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2"/>
        <v>45</v>
      </c>
      <c r="AP7" s="19">
        <f t="shared" si="3"/>
        <v>111</v>
      </c>
      <c r="AQ7" s="19">
        <f t="shared" si="4"/>
        <v>113</v>
      </c>
      <c r="AR7" s="71">
        <f t="shared" si="5"/>
        <v>269</v>
      </c>
      <c r="AS7" s="50">
        <f t="shared" si="6"/>
        <v>2250</v>
      </c>
      <c r="AT7" s="50">
        <f t="shared" si="1"/>
        <v>5550</v>
      </c>
      <c r="AU7" s="50">
        <f t="shared" si="1"/>
        <v>5650</v>
      </c>
      <c r="AV7" s="165"/>
      <c r="AW7" s="165"/>
      <c r="AX7">
        <f t="shared" si="7"/>
        <v>0.34722222222222221</v>
      </c>
      <c r="AY7">
        <f t="shared" si="8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2"/>
        <v>112</v>
      </c>
      <c r="AP8" s="19">
        <f t="shared" si="3"/>
        <v>0</v>
      </c>
      <c r="AQ8" s="19">
        <f t="shared" si="4"/>
        <v>124</v>
      </c>
      <c r="AR8" s="71">
        <f t="shared" si="5"/>
        <v>236</v>
      </c>
      <c r="AS8" s="50">
        <f t="shared" si="6"/>
        <v>6160</v>
      </c>
      <c r="AT8" s="50">
        <f t="shared" si="1"/>
        <v>0</v>
      </c>
      <c r="AU8" s="50">
        <f t="shared" si="1"/>
        <v>6820</v>
      </c>
      <c r="AV8" s="165"/>
      <c r="AW8" s="165"/>
      <c r="AX8">
        <f t="shared" si="7"/>
        <v>0.36184210526315791</v>
      </c>
      <c r="AY8">
        <f t="shared" si="8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2"/>
        <v>76</v>
      </c>
      <c r="AP9" s="19">
        <f t="shared" si="3"/>
        <v>0</v>
      </c>
      <c r="AQ9" s="19">
        <f t="shared" si="4"/>
        <v>118</v>
      </c>
      <c r="AR9" s="71">
        <f t="shared" si="5"/>
        <v>194</v>
      </c>
      <c r="AS9" s="50">
        <f t="shared" si="6"/>
        <v>4560</v>
      </c>
      <c r="AT9" s="50">
        <f t="shared" si="1"/>
        <v>0</v>
      </c>
      <c r="AU9" s="50">
        <f t="shared" si="1"/>
        <v>7080</v>
      </c>
      <c r="AX9">
        <f t="shared" si="7"/>
        <v>0.375</v>
      </c>
      <c r="AY9">
        <f t="shared" si="8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2"/>
        <v>0</v>
      </c>
      <c r="AP10" s="19">
        <f t="shared" si="3"/>
        <v>0</v>
      </c>
      <c r="AQ10" s="19">
        <f t="shared" si="4"/>
        <v>0</v>
      </c>
      <c r="AR10" s="19">
        <f t="shared" si="5"/>
        <v>0</v>
      </c>
      <c r="AS10" s="50">
        <f t="shared" si="6"/>
        <v>0</v>
      </c>
      <c r="AT10" s="50">
        <f t="shared" si="1"/>
        <v>0</v>
      </c>
      <c r="AU10" s="50">
        <f t="shared" si="1"/>
        <v>0</v>
      </c>
      <c r="AX10">
        <f t="shared" si="7"/>
        <v>0.29166666666666669</v>
      </c>
      <c r="AY10">
        <f t="shared" si="8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2"/>
        <v>2</v>
      </c>
      <c r="AP11" s="19">
        <f t="shared" si="3"/>
        <v>1</v>
      </c>
      <c r="AQ11" s="19">
        <f t="shared" si="4"/>
        <v>2</v>
      </c>
      <c r="AR11" s="19">
        <f t="shared" si="5"/>
        <v>5</v>
      </c>
      <c r="AS11" s="50">
        <f t="shared" si="6"/>
        <v>80</v>
      </c>
      <c r="AT11" s="50">
        <f t="shared" si="1"/>
        <v>40</v>
      </c>
      <c r="AU11" s="50">
        <f t="shared" si="1"/>
        <v>80</v>
      </c>
      <c r="AX11">
        <f t="shared" si="7"/>
        <v>0.33333333333333331</v>
      </c>
      <c r="AY11">
        <f t="shared" si="8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2"/>
        <v>3</v>
      </c>
      <c r="AP12" s="19">
        <f t="shared" si="3"/>
        <v>2</v>
      </c>
      <c r="AQ12" s="19">
        <f t="shared" si="4"/>
        <v>1</v>
      </c>
      <c r="AR12" s="19">
        <f t="shared" si="5"/>
        <v>6</v>
      </c>
      <c r="AS12" s="50">
        <f t="shared" si="6"/>
        <v>135</v>
      </c>
      <c r="AT12" s="50">
        <f t="shared" si="1"/>
        <v>90</v>
      </c>
      <c r="AU12" s="50">
        <f t="shared" si="1"/>
        <v>45</v>
      </c>
      <c r="AX12">
        <f t="shared" si="7"/>
        <v>0.375</v>
      </c>
      <c r="AY12">
        <f t="shared" si="8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2"/>
        <v>2</v>
      </c>
      <c r="AP13" s="19">
        <f t="shared" si="3"/>
        <v>1</v>
      </c>
      <c r="AQ13" s="19">
        <f t="shared" si="4"/>
        <v>1</v>
      </c>
      <c r="AR13" s="19">
        <f t="shared" si="5"/>
        <v>4</v>
      </c>
      <c r="AS13" s="50">
        <f t="shared" si="6"/>
        <v>100</v>
      </c>
      <c r="AT13" s="50">
        <f t="shared" si="1"/>
        <v>50</v>
      </c>
      <c r="AU13" s="50">
        <f t="shared" si="1"/>
        <v>50</v>
      </c>
      <c r="AX13">
        <f t="shared" si="7"/>
        <v>0.41666666666666669</v>
      </c>
      <c r="AY13">
        <f t="shared" si="8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2"/>
        <v>2</v>
      </c>
      <c r="AP14" s="19">
        <f t="shared" si="3"/>
        <v>0</v>
      </c>
      <c r="AQ14" s="19">
        <f t="shared" si="4"/>
        <v>1</v>
      </c>
      <c r="AR14" s="19">
        <f t="shared" si="5"/>
        <v>3</v>
      </c>
      <c r="AS14" s="50">
        <f t="shared" si="6"/>
        <v>110</v>
      </c>
      <c r="AT14" s="50">
        <f t="shared" si="1"/>
        <v>0</v>
      </c>
      <c r="AU14" s="50">
        <f t="shared" si="1"/>
        <v>55</v>
      </c>
      <c r="AX14">
        <f t="shared" si="7"/>
        <v>0.45833333333333331</v>
      </c>
      <c r="AY14">
        <f t="shared" si="8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2"/>
        <v>0</v>
      </c>
      <c r="AP15" s="19">
        <f t="shared" si="3"/>
        <v>0</v>
      </c>
      <c r="AQ15" s="19">
        <f t="shared" si="4"/>
        <v>1</v>
      </c>
      <c r="AR15" s="19">
        <f t="shared" si="5"/>
        <v>1</v>
      </c>
      <c r="AS15" s="50">
        <f t="shared" si="6"/>
        <v>0</v>
      </c>
      <c r="AT15" s="50">
        <f t="shared" si="1"/>
        <v>0</v>
      </c>
      <c r="AU15" s="50">
        <f t="shared" si="1"/>
        <v>60</v>
      </c>
      <c r="AX15">
        <f t="shared" si="7"/>
        <v>0.5</v>
      </c>
      <c r="AY15">
        <f t="shared" si="8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2"/>
        <v>0</v>
      </c>
      <c r="AP16" s="19">
        <f t="shared" si="3"/>
        <v>0</v>
      </c>
      <c r="AQ16" s="19">
        <f t="shared" si="4"/>
        <v>0</v>
      </c>
      <c r="AR16" s="19">
        <f t="shared" si="5"/>
        <v>0</v>
      </c>
      <c r="AS16" s="50">
        <f t="shared" si="6"/>
        <v>0</v>
      </c>
      <c r="AT16" s="50">
        <f t="shared" si="1"/>
        <v>0</v>
      </c>
      <c r="AU16" s="50">
        <f t="shared" si="1"/>
        <v>0</v>
      </c>
      <c r="AX16">
        <f t="shared" si="7"/>
        <v>0.29166666666666669</v>
      </c>
      <c r="AY16">
        <f t="shared" si="8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2"/>
        <v>16</v>
      </c>
      <c r="AP17" s="19">
        <f t="shared" si="3"/>
        <v>9</v>
      </c>
      <c r="AQ17" s="19">
        <f t="shared" si="4"/>
        <v>13</v>
      </c>
      <c r="AR17" s="19">
        <f t="shared" si="5"/>
        <v>38</v>
      </c>
      <c r="AS17" s="50">
        <f t="shared" si="6"/>
        <v>480</v>
      </c>
      <c r="AT17" s="50">
        <f t="shared" si="1"/>
        <v>270</v>
      </c>
      <c r="AU17" s="50">
        <f t="shared" si="1"/>
        <v>390</v>
      </c>
      <c r="AX17">
        <f t="shared" si="7"/>
        <v>0.75</v>
      </c>
      <c r="AY17">
        <f t="shared" si="8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2"/>
        <v>1</v>
      </c>
      <c r="AP18" s="19">
        <f t="shared" si="3"/>
        <v>0</v>
      </c>
      <c r="AQ18" s="19">
        <f t="shared" si="4"/>
        <v>0</v>
      </c>
      <c r="AR18" s="19">
        <f t="shared" si="5"/>
        <v>1</v>
      </c>
      <c r="AS18" s="50">
        <f t="shared" si="6"/>
        <v>0</v>
      </c>
      <c r="AT18" s="50">
        <f t="shared" si="1"/>
        <v>0</v>
      </c>
      <c r="AU18" s="50">
        <f t="shared" si="1"/>
        <v>0</v>
      </c>
      <c r="AX18">
        <f t="shared" si="7"/>
        <v>0</v>
      </c>
      <c r="AY18">
        <f t="shared" si="8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2"/>
        <v>3</v>
      </c>
      <c r="AP19" s="19">
        <f t="shared" si="3"/>
        <v>0</v>
      </c>
      <c r="AQ19" s="19">
        <f t="shared" si="4"/>
        <v>0</v>
      </c>
      <c r="AR19" s="19">
        <f t="shared" si="5"/>
        <v>3</v>
      </c>
      <c r="AS19" s="50">
        <f t="shared" si="6"/>
        <v>600</v>
      </c>
      <c r="AT19" s="50">
        <f t="shared" si="1"/>
        <v>0</v>
      </c>
      <c r="AU19" s="50">
        <f t="shared" si="1"/>
        <v>0</v>
      </c>
      <c r="AX19">
        <f t="shared" si="7"/>
        <v>1</v>
      </c>
      <c r="AY19">
        <f t="shared" si="8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2"/>
        <v>5</v>
      </c>
      <c r="AP20" s="19">
        <f t="shared" si="3"/>
        <v>0</v>
      </c>
      <c r="AQ20" s="19">
        <f t="shared" si="4"/>
        <v>0</v>
      </c>
      <c r="AR20" s="19">
        <f t="shared" si="5"/>
        <v>5</v>
      </c>
      <c r="AS20" s="50">
        <f t="shared" si="6"/>
        <v>225</v>
      </c>
      <c r="AT20" s="50">
        <f t="shared" si="6"/>
        <v>0</v>
      </c>
      <c r="AU20" s="50">
        <f t="shared" si="6"/>
        <v>0</v>
      </c>
      <c r="AX20">
        <f t="shared" si="7"/>
        <v>0.33088235294117646</v>
      </c>
      <c r="AY20">
        <f t="shared" si="8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2"/>
        <v>0</v>
      </c>
      <c r="AP21" s="19">
        <f t="shared" si="3"/>
        <v>0</v>
      </c>
      <c r="AQ21" s="19">
        <f t="shared" si="4"/>
        <v>0</v>
      </c>
      <c r="AR21" s="19">
        <f t="shared" si="5"/>
        <v>0</v>
      </c>
      <c r="AS21" s="50">
        <f t="shared" si="6"/>
        <v>0</v>
      </c>
      <c r="AT21" s="50">
        <f t="shared" si="6"/>
        <v>0</v>
      </c>
      <c r="AU21" s="50">
        <f t="shared" si="6"/>
        <v>0</v>
      </c>
      <c r="AX21">
        <f t="shared" si="7"/>
        <v>1</v>
      </c>
      <c r="AY21">
        <f t="shared" si="8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2"/>
        <v>1</v>
      </c>
      <c r="AP22" s="19">
        <f t="shared" si="3"/>
        <v>0</v>
      </c>
      <c r="AQ22" s="19">
        <f t="shared" si="4"/>
        <v>1</v>
      </c>
      <c r="AR22" s="19">
        <f t="shared" si="5"/>
        <v>2</v>
      </c>
      <c r="AS22" s="50">
        <f t="shared" si="6"/>
        <v>1000</v>
      </c>
      <c r="AT22" s="50">
        <f t="shared" si="6"/>
        <v>0</v>
      </c>
      <c r="AU22" s="50">
        <f t="shared" si="6"/>
        <v>1000</v>
      </c>
      <c r="AX22">
        <f t="shared" si="7"/>
        <v>5</v>
      </c>
      <c r="AY22">
        <f t="shared" si="8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2"/>
        <v>0</v>
      </c>
      <c r="AP23" s="19">
        <f t="shared" si="3"/>
        <v>0</v>
      </c>
      <c r="AQ23" s="19">
        <f t="shared" si="4"/>
        <v>2</v>
      </c>
      <c r="AR23" s="19">
        <f t="shared" si="5"/>
        <v>2</v>
      </c>
      <c r="AS23" s="50">
        <f t="shared" si="6"/>
        <v>0</v>
      </c>
      <c r="AT23" s="50">
        <f t="shared" si="6"/>
        <v>0</v>
      </c>
      <c r="AU23" s="50">
        <f t="shared" si="6"/>
        <v>1000</v>
      </c>
      <c r="AX23">
        <f t="shared" si="7"/>
        <v>2.5</v>
      </c>
      <c r="AY23">
        <f t="shared" si="8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2"/>
        <v>0</v>
      </c>
      <c r="AP24" s="19">
        <f t="shared" si="3"/>
        <v>0</v>
      </c>
      <c r="AQ24" s="19">
        <f t="shared" si="4"/>
        <v>1</v>
      </c>
      <c r="AR24" s="19">
        <f t="shared" si="5"/>
        <v>1</v>
      </c>
      <c r="AS24" s="50">
        <f t="shared" si="6"/>
        <v>0</v>
      </c>
      <c r="AT24" s="50">
        <f t="shared" si="6"/>
        <v>0</v>
      </c>
      <c r="AU24" s="50">
        <f t="shared" si="6"/>
        <v>40</v>
      </c>
      <c r="AX24">
        <f t="shared" si="7"/>
        <v>0.3125</v>
      </c>
      <c r="AY24">
        <f t="shared" si="8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2"/>
        <v>1</v>
      </c>
      <c r="AP25" s="19">
        <f t="shared" si="3"/>
        <v>0</v>
      </c>
      <c r="AQ25" s="19">
        <f t="shared" si="4"/>
        <v>0</v>
      </c>
      <c r="AR25" s="19">
        <f t="shared" si="5"/>
        <v>1</v>
      </c>
      <c r="AS25" s="50">
        <f t="shared" si="6"/>
        <v>40</v>
      </c>
      <c r="AT25" s="50">
        <f t="shared" si="6"/>
        <v>0</v>
      </c>
      <c r="AU25" s="50">
        <f t="shared" si="6"/>
        <v>0</v>
      </c>
      <c r="AX25">
        <f t="shared" si="7"/>
        <v>0.3125</v>
      </c>
      <c r="AY25">
        <f t="shared" si="8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2"/>
        <v>1</v>
      </c>
      <c r="AP26" s="19">
        <f t="shared" si="3"/>
        <v>0</v>
      </c>
      <c r="AQ26" s="19">
        <f t="shared" si="4"/>
        <v>0</v>
      </c>
      <c r="AR26" s="19">
        <f t="shared" si="5"/>
        <v>1</v>
      </c>
      <c r="AS26" s="50">
        <f t="shared" si="6"/>
        <v>35</v>
      </c>
      <c r="AT26" s="50">
        <f t="shared" si="6"/>
        <v>0</v>
      </c>
      <c r="AU26" s="50">
        <f t="shared" si="6"/>
        <v>0</v>
      </c>
      <c r="AX26">
        <f t="shared" si="7"/>
        <v>0.29166666666666669</v>
      </c>
      <c r="AY26">
        <f t="shared" si="8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6"/>
        <v>0</v>
      </c>
      <c r="AT27" s="50">
        <f t="shared" si="6"/>
        <v>0</v>
      </c>
      <c r="AU27" s="50">
        <f t="shared" si="6"/>
        <v>0</v>
      </c>
      <c r="AX27" t="e">
        <f t="shared" si="7"/>
        <v>#DIV/0!</v>
      </c>
      <c r="AY27">
        <f t="shared" si="8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6"/>
        <v>0</v>
      </c>
      <c r="AT28" s="50">
        <f t="shared" si="6"/>
        <v>0</v>
      </c>
      <c r="AU28" s="50">
        <f t="shared" si="6"/>
        <v>0</v>
      </c>
      <c r="AX28">
        <f t="shared" si="7"/>
        <v>0</v>
      </c>
      <c r="AY28">
        <f t="shared" si="8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4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73CE-32C1-4D0C-AF53-A590CD6E61D7}">
  <dimension ref="A1:BA101"/>
  <sheetViews>
    <sheetView topLeftCell="A79" zoomScaleNormal="100" workbookViewId="0">
      <selection activeCell="Q65" sqref="Q65:U68"/>
    </sheetView>
  </sheetViews>
  <sheetFormatPr defaultRowHeight="14.4"/>
  <cols>
    <col min="1" max="1" width="11.88671875" bestFit="1" customWidth="1"/>
    <col min="2" max="2" width="8.6640625" customWidth="1"/>
    <col min="3" max="3" width="8.5546875" customWidth="1"/>
    <col min="4" max="4" width="5.6640625" bestFit="1" customWidth="1"/>
    <col min="5" max="5" width="6.44140625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166">
        <f ca="1">(_xlfn.DAYS(TODAY(),A4)+2)/((_xlfn.DAYS(A94,A4))+1)</f>
        <v>1</v>
      </c>
      <c r="B1" s="167"/>
      <c r="C1" s="167"/>
      <c r="D1" s="167"/>
      <c r="E1" s="167"/>
      <c r="F1" s="167"/>
      <c r="G1" s="167"/>
      <c r="H1" s="168"/>
      <c r="I1" s="169" t="s">
        <v>37</v>
      </c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1"/>
      <c r="AH1" s="42"/>
      <c r="AI1" s="42"/>
      <c r="AJ1" s="42"/>
      <c r="AM1" s="165" t="s">
        <v>42</v>
      </c>
      <c r="AN1" s="165"/>
      <c r="AO1" s="165"/>
      <c r="AP1" s="119"/>
    </row>
    <row r="2" spans="1:53" ht="16.2" customHeight="1" thickBot="1">
      <c r="A2" t="s">
        <v>85</v>
      </c>
      <c r="B2" s="135" t="s">
        <v>88</v>
      </c>
      <c r="C2" s="134" cm="1">
        <f t="array" ref="C2">SUM(VLOOKUP(I4:P14,$AM$4:$AP$44,4,FALSE))+SUM(VLOOKUP(Q5:X11,$AM$4:$AP$44,4,FALSE))+SUM(AG4:AG14)*10</f>
        <v>3220.4417526489806</v>
      </c>
      <c r="D2" s="173" t="s">
        <v>35</v>
      </c>
      <c r="E2" s="174"/>
      <c r="F2" s="175">
        <f>SUM(F4:F94)+SUM(H4:H94)</f>
        <v>63200</v>
      </c>
      <c r="G2" s="175"/>
      <c r="H2" s="176"/>
      <c r="I2" s="177" t="s">
        <v>48</v>
      </c>
      <c r="J2" s="178"/>
      <c r="K2" s="120" t="s">
        <v>46</v>
      </c>
      <c r="L2" s="120">
        <f>COUNTIF(I4:P94,"&lt;&gt;空")</f>
        <v>552</v>
      </c>
      <c r="M2" s="178" t="s">
        <v>45</v>
      </c>
      <c r="N2" s="178"/>
      <c r="O2" s="178"/>
      <c r="P2" s="179"/>
      <c r="Q2" s="180" t="s">
        <v>49</v>
      </c>
      <c r="R2" s="160"/>
      <c r="S2" s="118" t="s">
        <v>46</v>
      </c>
      <c r="T2" s="118">
        <f>COUNTIF(Q4:X94,"&lt;&gt;空")</f>
        <v>506</v>
      </c>
      <c r="U2" s="160" t="s">
        <v>45</v>
      </c>
      <c r="V2" s="160"/>
      <c r="W2" s="160"/>
      <c r="X2" s="161"/>
      <c r="Y2" s="180" t="s">
        <v>33</v>
      </c>
      <c r="Z2" s="160"/>
      <c r="AA2" s="58" t="s">
        <v>44</v>
      </c>
      <c r="AB2" s="118">
        <f>COUNTIF(Y4:AF94,"&lt;&gt;空")</f>
        <v>9</v>
      </c>
      <c r="AC2" s="160" t="s">
        <v>45</v>
      </c>
      <c r="AD2" s="160"/>
      <c r="AE2" s="160"/>
      <c r="AF2" s="161"/>
      <c r="AG2" s="41">
        <f>SUM(AG4:AG94)</f>
        <v>44</v>
      </c>
      <c r="AH2" s="41">
        <f>SUM(AH4:AH94)</f>
        <v>3</v>
      </c>
      <c r="AI2" s="41">
        <f>SUM(AI4:AI94)</f>
        <v>6</v>
      </c>
      <c r="AJ2" s="41">
        <f>SUM(AJ4:AJ94)</f>
        <v>6</v>
      </c>
      <c r="AK2" s="162" t="s">
        <v>29</v>
      </c>
      <c r="AM2" s="172"/>
      <c r="AN2" s="172"/>
      <c r="AO2" s="172"/>
      <c r="AP2" s="132"/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5">
        <v>1</v>
      </c>
      <c r="J3" s="6">
        <v>2</v>
      </c>
      <c r="K3" s="6">
        <v>3</v>
      </c>
      <c r="L3" s="6">
        <v>4</v>
      </c>
      <c r="M3" s="6">
        <v>5</v>
      </c>
      <c r="N3" s="6">
        <v>6</v>
      </c>
      <c r="O3" s="6">
        <v>7</v>
      </c>
      <c r="P3" s="6">
        <v>8</v>
      </c>
      <c r="Q3" s="60">
        <v>1</v>
      </c>
      <c r="R3" s="61">
        <v>2</v>
      </c>
      <c r="S3" s="61">
        <v>3</v>
      </c>
      <c r="T3" s="61">
        <v>4</v>
      </c>
      <c r="U3" s="61">
        <v>5</v>
      </c>
      <c r="V3" s="61">
        <v>6</v>
      </c>
      <c r="W3" s="61">
        <v>7</v>
      </c>
      <c r="X3" s="61">
        <v>8</v>
      </c>
      <c r="Y3" s="60">
        <v>1</v>
      </c>
      <c r="Z3" s="61">
        <v>2</v>
      </c>
      <c r="AA3" s="61">
        <v>3</v>
      </c>
      <c r="AB3" s="61">
        <v>4</v>
      </c>
      <c r="AC3" s="61">
        <v>5</v>
      </c>
      <c r="AD3" s="61">
        <v>6</v>
      </c>
      <c r="AE3" s="61">
        <v>7</v>
      </c>
      <c r="AF3" s="62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163"/>
      <c r="AL3" s="2"/>
      <c r="AM3" s="19" t="s">
        <v>2</v>
      </c>
      <c r="AN3" s="19" t="s">
        <v>3</v>
      </c>
      <c r="AO3" s="19" t="s">
        <v>4</v>
      </c>
      <c r="AP3" s="133" t="s">
        <v>87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76">
        <v>44547</v>
      </c>
      <c r="B4" s="90">
        <v>800</v>
      </c>
      <c r="C4" s="90"/>
      <c r="D4" s="90" cm="1">
        <f t="array" ref="D4">(SUM(VLOOKUP(I4:AF4,$AM$4:$AO$44,2,FALSE))+AG4*10)*IF(AK4="是",$AY$4,$AY$3)</f>
        <v>750</v>
      </c>
      <c r="E4" s="90">
        <f>SUM($B$4:B4)+SUM($C$4:C4)-SUM($D$4:D4)</f>
        <v>50</v>
      </c>
      <c r="F4" s="90" cm="1">
        <f t="array" ref="F4">SUM(VLOOKUP(I4:AF4,$AM$4:$AO$44,3,FALSE))</f>
        <v>175</v>
      </c>
      <c r="G4" s="90">
        <f>SUM($F$4:F4)+SUM($H$4:H4)</f>
        <v>175</v>
      </c>
      <c r="H4" s="90">
        <v>0</v>
      </c>
      <c r="I4" s="96" t="s">
        <v>16</v>
      </c>
      <c r="J4" s="96" t="s">
        <v>16</v>
      </c>
      <c r="K4" s="96" t="s">
        <v>16</v>
      </c>
      <c r="L4" s="96" t="s">
        <v>16</v>
      </c>
      <c r="M4" s="96" t="s">
        <v>16</v>
      </c>
      <c r="N4" s="89" t="s">
        <v>23</v>
      </c>
      <c r="O4" s="93" t="s">
        <v>23</v>
      </c>
      <c r="P4" s="93" t="s">
        <v>23</v>
      </c>
      <c r="Q4" s="89" t="s">
        <v>23</v>
      </c>
      <c r="R4" s="89" t="s">
        <v>23</v>
      </c>
      <c r="S4" s="89" t="s">
        <v>23</v>
      </c>
      <c r="T4" s="89" t="s">
        <v>23</v>
      </c>
      <c r="U4" s="89" t="s">
        <v>23</v>
      </c>
      <c r="V4" s="89" t="s">
        <v>23</v>
      </c>
      <c r="W4" s="93" t="s">
        <v>23</v>
      </c>
      <c r="X4" s="93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89" t="s">
        <v>23</v>
      </c>
      <c r="AE4" s="93" t="s">
        <v>23</v>
      </c>
      <c r="AF4" s="93" t="s">
        <v>23</v>
      </c>
      <c r="AG4" s="94">
        <v>0</v>
      </c>
      <c r="AH4" s="94"/>
      <c r="AI4" s="94"/>
      <c r="AJ4" s="94"/>
      <c r="AK4" s="95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26" si="0">COUNTIF($I$4:$P$94,AM4)</f>
        <v>8</v>
      </c>
      <c r="AR4" s="19">
        <f t="shared" ref="AR4:AR26" si="1">COUNTIF($Q$4:$X$94,AM4)</f>
        <v>1</v>
      </c>
      <c r="AS4" s="19">
        <f t="shared" ref="AS4:AS26" si="2">COUNTIF($Y$4:$AF$94,AM4)</f>
        <v>4</v>
      </c>
      <c r="AT4" s="19">
        <f>AQ4+AR4+AS4</f>
        <v>13</v>
      </c>
      <c r="AU4" s="50">
        <f>AQ4*$AO4</f>
        <v>280</v>
      </c>
      <c r="AV4" s="50">
        <f t="shared" ref="AV4:AW19" si="3">AR4*$AO4</f>
        <v>35</v>
      </c>
      <c r="AW4" s="50">
        <f t="shared" si="3"/>
        <v>140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76">
        <v>44548</v>
      </c>
      <c r="B5" s="90">
        <v>1600</v>
      </c>
      <c r="C5" s="90"/>
      <c r="D5" s="90" cm="1">
        <f t="array" ref="D5">(SUM(VLOOKUP(I5:AF5,$AM$4:$AO$44,2,FALSE))+AG5*10)*IF(AK5="是",$AY$4,$AY$3)</f>
        <v>1620</v>
      </c>
      <c r="E5" s="90">
        <f>SUM($B$4:B5)+SUM($C$4:C5)-SUM($D$4:D5)</f>
        <v>30</v>
      </c>
      <c r="F5" s="90" cm="1">
        <f t="array" ref="F5">SUM(VLOOKUP(I5:AF5,$AM$4:$AO$44,3,FALSE))</f>
        <v>380</v>
      </c>
      <c r="G5" s="90">
        <f>SUM($F$4:F5)+SUM($H$4:H5)</f>
        <v>1055</v>
      </c>
      <c r="H5" s="90">
        <v>500</v>
      </c>
      <c r="I5" s="96" t="s">
        <v>16</v>
      </c>
      <c r="J5" s="96" t="s">
        <v>16</v>
      </c>
      <c r="K5" s="96" t="s">
        <v>16</v>
      </c>
      <c r="L5" s="105" t="s">
        <v>17</v>
      </c>
      <c r="M5" s="105" t="s">
        <v>17</v>
      </c>
      <c r="N5" s="105" t="s">
        <v>17</v>
      </c>
      <c r="O5" s="93" t="s">
        <v>23</v>
      </c>
      <c r="P5" s="93" t="s">
        <v>23</v>
      </c>
      <c r="Q5" s="105" t="s">
        <v>17</v>
      </c>
      <c r="R5" s="105" t="s">
        <v>17</v>
      </c>
      <c r="S5" s="96" t="s">
        <v>16</v>
      </c>
      <c r="T5" s="105" t="s">
        <v>17</v>
      </c>
      <c r="U5" s="89" t="s">
        <v>23</v>
      </c>
      <c r="V5" s="89" t="s">
        <v>23</v>
      </c>
      <c r="W5" s="93" t="s">
        <v>23</v>
      </c>
      <c r="X5" s="93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89" t="s">
        <v>23</v>
      </c>
      <c r="AE5" s="93" t="s">
        <v>23</v>
      </c>
      <c r="AF5" s="93" t="s">
        <v>23</v>
      </c>
      <c r="AG5" s="94">
        <v>6</v>
      </c>
      <c r="AH5" s="94"/>
      <c r="AI5" s="94"/>
      <c r="AJ5" s="94"/>
      <c r="AK5" s="95" t="s">
        <v>30</v>
      </c>
      <c r="AM5" s="21" t="s">
        <v>17</v>
      </c>
      <c r="AN5" s="19">
        <v>160</v>
      </c>
      <c r="AO5" s="19">
        <v>40</v>
      </c>
      <c r="AP5" s="19">
        <f t="shared" ref="AP5:AP27" si="4">AN5-AO5/0.330882</f>
        <v>39.110982162825422</v>
      </c>
      <c r="AQ5" s="19">
        <f t="shared" si="0"/>
        <v>3</v>
      </c>
      <c r="AR5" s="19">
        <f t="shared" si="1"/>
        <v>45</v>
      </c>
      <c r="AS5" s="19">
        <f t="shared" si="2"/>
        <v>2</v>
      </c>
      <c r="AT5" s="19">
        <f t="shared" ref="AT5:AT26" si="5">AQ5+AR5+AS5</f>
        <v>50</v>
      </c>
      <c r="AU5" s="50">
        <f t="shared" ref="AU5:AW28" si="6">AQ5*$AO5</f>
        <v>120</v>
      </c>
      <c r="AV5" s="50">
        <f t="shared" si="3"/>
        <v>1800</v>
      </c>
      <c r="AW5" s="50">
        <f t="shared" si="3"/>
        <v>80</v>
      </c>
      <c r="AX5" s="164" t="s">
        <v>34</v>
      </c>
      <c r="AY5" s="164"/>
      <c r="AZ5" s="53">
        <f t="shared" ref="AZ5:AZ26" si="7">AO5/BA5</f>
        <v>0.3125</v>
      </c>
      <c r="BA5">
        <f t="shared" ref="BA5:BA28" si="8">AN5*0.8</f>
        <v>128</v>
      </c>
    </row>
    <row r="6" spans="1:53">
      <c r="A6" s="76">
        <v>44549</v>
      </c>
      <c r="B6" s="90">
        <v>1600</v>
      </c>
      <c r="C6" s="90"/>
      <c r="D6" s="90" cm="1">
        <f t="array" ref="D6">(SUM(VLOOKUP(I6:AF6,$AM$4:$AO$44,2,FALSE))+AG6*10)*IF(AK6="是",$AY$4,$AY$3)</f>
        <v>1610</v>
      </c>
      <c r="E6" s="90">
        <f>SUM($B$4:B6)+SUM($C$4:C6)-SUM($D$4:D6)</f>
        <v>20</v>
      </c>
      <c r="F6" s="90" cm="1">
        <f t="array" ref="F6">SUM(VLOOKUP(I6:AF6,$AM$4:$AO$44,3,FALSE))</f>
        <v>420</v>
      </c>
      <c r="G6" s="90">
        <f>SUM($F$4:F6)+SUM($H$4:H6)</f>
        <v>1475</v>
      </c>
      <c r="H6" s="90">
        <v>0</v>
      </c>
      <c r="I6" s="123" t="s">
        <v>18</v>
      </c>
      <c r="J6" s="123" t="s">
        <v>18</v>
      </c>
      <c r="K6" s="123" t="s">
        <v>18</v>
      </c>
      <c r="L6" s="89" t="s">
        <v>23</v>
      </c>
      <c r="M6" s="89" t="s">
        <v>23</v>
      </c>
      <c r="N6" s="89" t="s">
        <v>23</v>
      </c>
      <c r="O6" s="93" t="s">
        <v>23</v>
      </c>
      <c r="P6" s="93" t="s">
        <v>23</v>
      </c>
      <c r="Q6" s="105" t="s">
        <v>17</v>
      </c>
      <c r="R6" s="105" t="s">
        <v>17</v>
      </c>
      <c r="S6" s="105" t="s">
        <v>17</v>
      </c>
      <c r="T6" s="105" t="s">
        <v>17</v>
      </c>
      <c r="U6" s="105" t="s">
        <v>17</v>
      </c>
      <c r="V6" s="105" t="s">
        <v>17</v>
      </c>
      <c r="W6" s="124" t="s">
        <v>13</v>
      </c>
      <c r="X6" s="123" t="s">
        <v>18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89" t="s">
        <v>23</v>
      </c>
      <c r="AE6" s="93" t="s">
        <v>23</v>
      </c>
      <c r="AF6" s="93" t="s">
        <v>23</v>
      </c>
      <c r="AG6" s="94">
        <v>12</v>
      </c>
      <c r="AH6" s="94"/>
      <c r="AI6" s="94"/>
      <c r="AJ6" s="94"/>
      <c r="AK6" s="95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121</v>
      </c>
      <c r="AR6" s="19">
        <f t="shared" si="1"/>
        <v>104</v>
      </c>
      <c r="AS6" s="19">
        <f t="shared" si="2"/>
        <v>0</v>
      </c>
      <c r="AT6" s="19">
        <f t="shared" si="5"/>
        <v>225</v>
      </c>
      <c r="AU6" s="50">
        <f t="shared" si="6"/>
        <v>5445</v>
      </c>
      <c r="AV6" s="50">
        <f t="shared" si="3"/>
        <v>4680</v>
      </c>
      <c r="AW6" s="50">
        <f t="shared" si="3"/>
        <v>0</v>
      </c>
      <c r="AX6" s="165"/>
      <c r="AY6" s="165"/>
      <c r="AZ6" s="53">
        <f t="shared" si="7"/>
        <v>0.33088235294117646</v>
      </c>
      <c r="BA6">
        <f t="shared" si="8"/>
        <v>136</v>
      </c>
    </row>
    <row r="7" spans="1:53">
      <c r="A7" s="76">
        <v>44550</v>
      </c>
      <c r="B7" s="89">
        <v>1600</v>
      </c>
      <c r="C7" s="89">
        <v>2000</v>
      </c>
      <c r="D7" s="90" cm="1">
        <f t="array" ref="D7">(SUM(VLOOKUP(I7:AF7,$AM$4:$AO$44,2,FALSE))+AG7*10)*IF(AK7="是",$AY$4,$AY$3)</f>
        <v>1520</v>
      </c>
      <c r="E7" s="90">
        <f>SUM($B$4:B7)+SUM($C$4:C7)-SUM($D$4:D7)</f>
        <v>2100</v>
      </c>
      <c r="F7" s="90" cm="1">
        <f t="array" ref="F7">SUM(VLOOKUP(I7:AF7,$AM$4:$AO$44,3,FALSE))</f>
        <v>400</v>
      </c>
      <c r="G7" s="90">
        <f>SUM($F$4:F7)+SUM($H$4:H7)</f>
        <v>2175</v>
      </c>
      <c r="H7" s="89">
        <v>300</v>
      </c>
      <c r="I7" s="123" t="s">
        <v>18</v>
      </c>
      <c r="J7" s="105" t="s">
        <v>6</v>
      </c>
      <c r="K7" s="123" t="s">
        <v>18</v>
      </c>
      <c r="L7" s="123" t="s">
        <v>18</v>
      </c>
      <c r="M7" s="123" t="s">
        <v>18</v>
      </c>
      <c r="N7" s="123" t="s">
        <v>18</v>
      </c>
      <c r="O7" s="93" t="s">
        <v>23</v>
      </c>
      <c r="P7" s="93" t="s">
        <v>23</v>
      </c>
      <c r="Q7" s="123" t="s">
        <v>18</v>
      </c>
      <c r="R7" s="123" t="s">
        <v>18</v>
      </c>
      <c r="S7" s="123" t="s">
        <v>18</v>
      </c>
      <c r="T7" s="89" t="s">
        <v>23</v>
      </c>
      <c r="U7" s="89" t="s">
        <v>23</v>
      </c>
      <c r="V7" s="89" t="s">
        <v>23</v>
      </c>
      <c r="W7" s="93" t="s">
        <v>23</v>
      </c>
      <c r="X7" s="93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89" t="s">
        <v>23</v>
      </c>
      <c r="AE7" s="93" t="s">
        <v>23</v>
      </c>
      <c r="AF7" s="93" t="s">
        <v>23</v>
      </c>
      <c r="AG7" s="94">
        <v>1</v>
      </c>
      <c r="AH7" s="94"/>
      <c r="AI7" s="94"/>
      <c r="AJ7" s="94"/>
      <c r="AK7" s="95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 t="shared" si="0"/>
        <v>131</v>
      </c>
      <c r="AR7" s="19">
        <f t="shared" si="1"/>
        <v>133</v>
      </c>
      <c r="AS7" s="19">
        <f t="shared" si="2"/>
        <v>0</v>
      </c>
      <c r="AT7" s="71">
        <f t="shared" si="5"/>
        <v>264</v>
      </c>
      <c r="AU7" s="50">
        <f t="shared" si="6"/>
        <v>6550</v>
      </c>
      <c r="AV7" s="50">
        <f t="shared" si="3"/>
        <v>6650</v>
      </c>
      <c r="AW7" s="50">
        <f t="shared" si="3"/>
        <v>0</v>
      </c>
      <c r="AX7" s="165"/>
      <c r="AY7" s="165"/>
      <c r="AZ7" s="53">
        <f t="shared" si="7"/>
        <v>0.34722222222222221</v>
      </c>
      <c r="BA7">
        <f t="shared" si="8"/>
        <v>144</v>
      </c>
    </row>
    <row r="8" spans="1:53">
      <c r="A8" s="121">
        <v>44551</v>
      </c>
      <c r="B8" s="110">
        <v>1600</v>
      </c>
      <c r="C8" s="110">
        <v>2000</v>
      </c>
      <c r="D8" s="109" cm="1">
        <f t="array" ref="D8">(SUM(VLOOKUP(I8:AF8,$AM$4:$AO$44,2,FALSE))+AG8*10)*IF(AK8="是",$AY$4,$AY$3)</f>
        <v>1700</v>
      </c>
      <c r="E8" s="57">
        <f>SUM($B$4:B8)+SUM($C$4:C8)-SUM($D$4:D8)</f>
        <v>4000</v>
      </c>
      <c r="F8" s="109" cm="1">
        <f t="array" ref="F8">SUM(VLOOKUP(I8:AF8,$AM$4:$AO$44,3,FALSE))</f>
        <v>450</v>
      </c>
      <c r="G8" s="109">
        <f>SUM($F$4:F8)+SUM($H$4:H8)</f>
        <v>2625</v>
      </c>
      <c r="H8" s="110">
        <v>0</v>
      </c>
      <c r="I8" s="22" t="s">
        <v>18</v>
      </c>
      <c r="J8" s="30" t="s">
        <v>83</v>
      </c>
      <c r="K8" s="22" t="s">
        <v>18</v>
      </c>
      <c r="L8" s="22" t="s">
        <v>18</v>
      </c>
      <c r="M8" s="22" t="s">
        <v>18</v>
      </c>
      <c r="N8" s="22" t="s">
        <v>18</v>
      </c>
      <c r="O8" s="111" t="s">
        <v>23</v>
      </c>
      <c r="P8" s="111" t="s">
        <v>23</v>
      </c>
      <c r="Q8" s="22" t="s">
        <v>18</v>
      </c>
      <c r="R8" s="22" t="s">
        <v>18</v>
      </c>
      <c r="S8" s="30" t="s">
        <v>83</v>
      </c>
      <c r="T8" s="22" t="s">
        <v>18</v>
      </c>
      <c r="U8" s="110" t="s">
        <v>23</v>
      </c>
      <c r="V8" s="110" t="s">
        <v>23</v>
      </c>
      <c r="W8" s="111" t="s">
        <v>23</v>
      </c>
      <c r="X8" s="111" t="s">
        <v>23</v>
      </c>
      <c r="Y8" s="110" t="s">
        <v>23</v>
      </c>
      <c r="Z8" s="110" t="s">
        <v>23</v>
      </c>
      <c r="AA8" s="110" t="s">
        <v>23</v>
      </c>
      <c r="AB8" s="110" t="s">
        <v>23</v>
      </c>
      <c r="AC8" s="110" t="s">
        <v>23</v>
      </c>
      <c r="AD8" s="110" t="s">
        <v>23</v>
      </c>
      <c r="AE8" s="111" t="s">
        <v>23</v>
      </c>
      <c r="AF8" s="111" t="s">
        <v>23</v>
      </c>
      <c r="AG8" s="112">
        <v>0</v>
      </c>
      <c r="AH8" s="112"/>
      <c r="AI8" s="112"/>
      <c r="AJ8" s="112"/>
      <c r="AK8" s="113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si="0"/>
        <v>199</v>
      </c>
      <c r="AR8" s="19">
        <f t="shared" si="1"/>
        <v>39</v>
      </c>
      <c r="AS8" s="19">
        <f t="shared" si="2"/>
        <v>0</v>
      </c>
      <c r="AT8" s="71">
        <f t="shared" si="5"/>
        <v>238</v>
      </c>
      <c r="AU8" s="50">
        <f t="shared" si="6"/>
        <v>10945</v>
      </c>
      <c r="AV8" s="50">
        <f t="shared" si="3"/>
        <v>2145</v>
      </c>
      <c r="AW8" s="50">
        <f t="shared" si="3"/>
        <v>0</v>
      </c>
      <c r="AX8" s="165"/>
      <c r="AY8" s="165"/>
      <c r="AZ8" s="53">
        <f t="shared" si="7"/>
        <v>0.36184210526315791</v>
      </c>
      <c r="BA8">
        <f t="shared" si="8"/>
        <v>152</v>
      </c>
    </row>
    <row r="9" spans="1:53">
      <c r="A9" s="121">
        <v>44552</v>
      </c>
      <c r="B9" s="110">
        <v>1600</v>
      </c>
      <c r="C9" s="110"/>
      <c r="D9" s="109" cm="1">
        <f t="array" ref="D9">(SUM(VLOOKUP(I9:AF9,$AM$4:$AO$44,2,FALSE))+AG9*10)*IF(AK9="是",$AY$4,$AY$3)</f>
        <v>1580</v>
      </c>
      <c r="E9" s="57">
        <f>SUM($B$4:B9)+SUM($C$4:C9)-SUM($D$4:D9)</f>
        <v>4020</v>
      </c>
      <c r="F9" s="109" cm="1">
        <f t="array" ref="F9">SUM(VLOOKUP(I9:AF9,$AM$4:$AO$44,3,FALSE))</f>
        <v>435</v>
      </c>
      <c r="G9" s="109">
        <f>SUM($F$4:F9)+SUM($H$4:H9)</f>
        <v>3260</v>
      </c>
      <c r="H9" s="110">
        <v>200</v>
      </c>
      <c r="I9" s="22" t="s">
        <v>18</v>
      </c>
      <c r="J9" s="22" t="s">
        <v>18</v>
      </c>
      <c r="K9" s="22" t="s">
        <v>18</v>
      </c>
      <c r="L9" s="22" t="s">
        <v>18</v>
      </c>
      <c r="M9" s="30" t="s">
        <v>83</v>
      </c>
      <c r="N9" s="22" t="s">
        <v>18</v>
      </c>
      <c r="O9" s="111" t="s">
        <v>23</v>
      </c>
      <c r="P9" s="111" t="s">
        <v>23</v>
      </c>
      <c r="Q9" s="22" t="s">
        <v>18</v>
      </c>
      <c r="R9" s="28" t="s">
        <v>12</v>
      </c>
      <c r="S9" s="22" t="s">
        <v>18</v>
      </c>
      <c r="T9" s="22" t="s">
        <v>18</v>
      </c>
      <c r="U9" s="110" t="s">
        <v>23</v>
      </c>
      <c r="V9" s="110" t="s">
        <v>23</v>
      </c>
      <c r="W9" s="111" t="s">
        <v>23</v>
      </c>
      <c r="X9" s="111" t="s">
        <v>23</v>
      </c>
      <c r="Y9" s="110" t="s">
        <v>23</v>
      </c>
      <c r="Z9" s="110" t="s">
        <v>23</v>
      </c>
      <c r="AA9" s="110" t="s">
        <v>23</v>
      </c>
      <c r="AB9" s="110" t="s">
        <v>23</v>
      </c>
      <c r="AC9" s="110" t="s">
        <v>23</v>
      </c>
      <c r="AD9" s="110" t="s">
        <v>23</v>
      </c>
      <c r="AE9" s="111" t="s">
        <v>23</v>
      </c>
      <c r="AF9" s="111" t="s">
        <v>23</v>
      </c>
      <c r="AG9" s="112">
        <v>0</v>
      </c>
      <c r="AH9" s="112"/>
      <c r="AI9" s="112"/>
      <c r="AJ9" s="112"/>
      <c r="AK9" s="113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0"/>
        <v>52</v>
      </c>
      <c r="AR9" s="19">
        <f t="shared" si="1"/>
        <v>142</v>
      </c>
      <c r="AS9" s="19">
        <f t="shared" si="2"/>
        <v>0</v>
      </c>
      <c r="AT9" s="71">
        <f t="shared" si="5"/>
        <v>194</v>
      </c>
      <c r="AU9" s="50">
        <f t="shared" si="6"/>
        <v>3120</v>
      </c>
      <c r="AV9" s="50">
        <f t="shared" si="3"/>
        <v>8520</v>
      </c>
      <c r="AW9" s="50">
        <f t="shared" si="3"/>
        <v>0</v>
      </c>
      <c r="AZ9" s="53">
        <f t="shared" si="7"/>
        <v>0.375</v>
      </c>
      <c r="BA9">
        <f t="shared" si="8"/>
        <v>160</v>
      </c>
    </row>
    <row r="10" spans="1:53">
      <c r="A10" s="121">
        <v>44553</v>
      </c>
      <c r="B10" s="110">
        <v>1600</v>
      </c>
      <c r="C10" s="110"/>
      <c r="D10" s="109" cm="1">
        <f t="array" ref="D10">(SUM(VLOOKUP(I10:AF10,$AM$4:$AO$44,2,FALSE))+AG10*10)*IF(AK10="是",$AY$4,$AY$3)</f>
        <v>1510</v>
      </c>
      <c r="E10" s="57">
        <f>SUM($B$4:B10)+SUM($C$4:C10)-SUM($D$4:D10)</f>
        <v>4110</v>
      </c>
      <c r="F10" s="109" cm="1">
        <f t="array" ref="F10">SUM(VLOOKUP(I10:AF10,$AM$4:$AO$44,3,FALSE))</f>
        <v>420</v>
      </c>
      <c r="G10" s="109">
        <f>SUM($F$4:F10)+SUM($H$4:H10)</f>
        <v>3680</v>
      </c>
      <c r="H10" s="110">
        <v>0</v>
      </c>
      <c r="I10" s="22" t="s">
        <v>18</v>
      </c>
      <c r="J10" s="22" t="s">
        <v>18</v>
      </c>
      <c r="K10" s="22" t="s">
        <v>18</v>
      </c>
      <c r="L10" s="28" t="s">
        <v>12</v>
      </c>
      <c r="M10" s="22" t="s">
        <v>18</v>
      </c>
      <c r="N10" s="22" t="s">
        <v>18</v>
      </c>
      <c r="O10" s="111" t="s">
        <v>23</v>
      </c>
      <c r="P10" s="111" t="s">
        <v>23</v>
      </c>
      <c r="Q10" s="22" t="s">
        <v>18</v>
      </c>
      <c r="R10" s="22" t="s">
        <v>18</v>
      </c>
      <c r="S10" s="22" t="s">
        <v>18</v>
      </c>
      <c r="T10" s="28" t="s">
        <v>12</v>
      </c>
      <c r="U10" s="110" t="s">
        <v>23</v>
      </c>
      <c r="V10" s="110" t="s">
        <v>23</v>
      </c>
      <c r="W10" s="111" t="s">
        <v>23</v>
      </c>
      <c r="X10" s="111" t="s">
        <v>23</v>
      </c>
      <c r="Y10" s="110" t="s">
        <v>23</v>
      </c>
      <c r="Z10" s="110" t="s">
        <v>23</v>
      </c>
      <c r="AA10" s="110" t="s">
        <v>23</v>
      </c>
      <c r="AB10" s="110" t="s">
        <v>23</v>
      </c>
      <c r="AC10" s="110" t="s">
        <v>23</v>
      </c>
      <c r="AD10" s="110" t="s">
        <v>23</v>
      </c>
      <c r="AE10" s="111" t="s">
        <v>23</v>
      </c>
      <c r="AF10" s="111" t="s">
        <v>23</v>
      </c>
      <c r="AG10" s="112">
        <v>5</v>
      </c>
      <c r="AH10" s="112"/>
      <c r="AI10" s="112"/>
      <c r="AJ10" s="112"/>
      <c r="AK10" s="113" t="s">
        <v>30</v>
      </c>
      <c r="AM10" s="20" t="s">
        <v>5</v>
      </c>
      <c r="AN10" s="19">
        <v>150</v>
      </c>
      <c r="AO10" s="19">
        <v>35</v>
      </c>
      <c r="AP10" s="19">
        <f t="shared" si="4"/>
        <v>44.222109392472248</v>
      </c>
      <c r="AQ10" s="19">
        <f t="shared" si="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7"/>
        <v>0.29166666666666669</v>
      </c>
      <c r="BA10">
        <f t="shared" si="8"/>
        <v>120</v>
      </c>
    </row>
    <row r="11" spans="1:53">
      <c r="A11" s="121">
        <v>44554</v>
      </c>
      <c r="B11" s="110">
        <v>1600</v>
      </c>
      <c r="C11" s="110"/>
      <c r="D11" s="109" cm="1">
        <f t="array" ref="D11">(SUM(VLOOKUP(I11:AF11,$AM$4:$AO$44,2,FALSE))+AG11*10)*IF(AK11="是",$AY$4,$AY$3)</f>
        <v>1690</v>
      </c>
      <c r="E11" s="57">
        <f>SUM($B$4:B11)+SUM($C$4:C11)-SUM($D$4:D11)</f>
        <v>4020</v>
      </c>
      <c r="F11" s="109" cm="1">
        <f t="array" ref="F11">SUM(VLOOKUP(I11:AF11,$AM$4:$AO$44,3,FALSE))</f>
        <v>610</v>
      </c>
      <c r="G11" s="109">
        <f>SUM($F$4:F11)+SUM($H$4:H11)</f>
        <v>4290</v>
      </c>
      <c r="H11" s="110">
        <v>0</v>
      </c>
      <c r="I11" s="30" t="s">
        <v>83</v>
      </c>
      <c r="J11" s="22" t="s">
        <v>18</v>
      </c>
      <c r="K11" s="22" t="s">
        <v>18</v>
      </c>
      <c r="L11" s="23" t="s">
        <v>19</v>
      </c>
      <c r="M11" s="22" t="s">
        <v>18</v>
      </c>
      <c r="N11" s="22" t="s">
        <v>18</v>
      </c>
      <c r="O11" s="29" t="s">
        <v>13</v>
      </c>
      <c r="P11" s="22" t="s">
        <v>18</v>
      </c>
      <c r="Q11" s="22" t="s">
        <v>18</v>
      </c>
      <c r="R11" s="22" t="s">
        <v>18</v>
      </c>
      <c r="S11" s="30" t="s">
        <v>82</v>
      </c>
      <c r="T11" s="110" t="s">
        <v>23</v>
      </c>
      <c r="U11" s="110" t="s">
        <v>23</v>
      </c>
      <c r="V11" s="110" t="s">
        <v>23</v>
      </c>
      <c r="W11" s="111" t="s">
        <v>23</v>
      </c>
      <c r="X11" s="111" t="s">
        <v>23</v>
      </c>
      <c r="Y11" s="110" t="s">
        <v>23</v>
      </c>
      <c r="Z11" s="110" t="s">
        <v>23</v>
      </c>
      <c r="AA11" s="110" t="s">
        <v>23</v>
      </c>
      <c r="AB11" s="110" t="s">
        <v>23</v>
      </c>
      <c r="AC11" s="110" t="s">
        <v>23</v>
      </c>
      <c r="AD11" s="110" t="s">
        <v>23</v>
      </c>
      <c r="AE11" s="111" t="s">
        <v>23</v>
      </c>
      <c r="AF11" s="111" t="s">
        <v>23</v>
      </c>
      <c r="AG11" s="112">
        <v>5</v>
      </c>
      <c r="AH11" s="112"/>
      <c r="AI11" s="112"/>
      <c r="AJ11" s="112"/>
      <c r="AK11" s="113" t="s">
        <v>30</v>
      </c>
      <c r="AM11" s="21" t="s">
        <v>6</v>
      </c>
      <c r="AN11" s="19">
        <v>150</v>
      </c>
      <c r="AO11" s="19">
        <v>40</v>
      </c>
      <c r="AP11" s="19">
        <f t="shared" si="4"/>
        <v>29.110982162825422</v>
      </c>
      <c r="AQ11" s="19">
        <f t="shared" si="0"/>
        <v>1</v>
      </c>
      <c r="AR11" s="19">
        <f t="shared" si="1"/>
        <v>4</v>
      </c>
      <c r="AS11" s="19">
        <f t="shared" si="2"/>
        <v>0</v>
      </c>
      <c r="AT11" s="19">
        <f t="shared" si="5"/>
        <v>5</v>
      </c>
      <c r="AU11" s="50">
        <f t="shared" si="6"/>
        <v>40</v>
      </c>
      <c r="AV11" s="50">
        <f t="shared" si="3"/>
        <v>160</v>
      </c>
      <c r="AW11" s="50">
        <f t="shared" si="3"/>
        <v>0</v>
      </c>
      <c r="AZ11" s="53">
        <f t="shared" si="7"/>
        <v>0.33333333333333331</v>
      </c>
      <c r="BA11">
        <f t="shared" si="8"/>
        <v>120</v>
      </c>
    </row>
    <row r="12" spans="1:53">
      <c r="A12" s="121">
        <v>44555</v>
      </c>
      <c r="B12" s="110">
        <v>1600</v>
      </c>
      <c r="C12" s="110"/>
      <c r="D12" s="109" cm="1">
        <f t="array" ref="D12">(SUM(VLOOKUP(I12:AF12,$AM$4:$AO$44,2,FALSE))+AG12*10)*IF(AK12="是",$AY$4,$AY$3)</f>
        <v>1020</v>
      </c>
      <c r="E12" s="57">
        <f>SUM($B$4:B12)+SUM($C$4:C12)-SUM($D$4:D12)</f>
        <v>4600</v>
      </c>
      <c r="F12" s="109" cm="1">
        <f t="array" ref="F12">SUM(VLOOKUP(I12:AF12,$AM$4:$AO$44,3,FALSE))</f>
        <v>270</v>
      </c>
      <c r="G12" s="109">
        <f>SUM($F$4:F12)+SUM($H$4:H12)</f>
        <v>4560</v>
      </c>
      <c r="H12" s="110">
        <v>0</v>
      </c>
      <c r="I12" s="22" t="s">
        <v>18</v>
      </c>
      <c r="J12" s="22" t="s">
        <v>18</v>
      </c>
      <c r="K12" s="30" t="s">
        <v>83</v>
      </c>
      <c r="L12" s="22" t="s">
        <v>18</v>
      </c>
      <c r="M12" s="22" t="s">
        <v>18</v>
      </c>
      <c r="N12" s="22" t="s">
        <v>18</v>
      </c>
      <c r="O12" s="111" t="s">
        <v>23</v>
      </c>
      <c r="P12" s="111" t="s">
        <v>23</v>
      </c>
      <c r="Q12" s="110" t="s">
        <v>23</v>
      </c>
      <c r="R12" s="110" t="s">
        <v>23</v>
      </c>
      <c r="S12" s="110" t="s">
        <v>23</v>
      </c>
      <c r="T12" s="110" t="s">
        <v>23</v>
      </c>
      <c r="U12" s="110" t="s">
        <v>23</v>
      </c>
      <c r="V12" s="110" t="s">
        <v>23</v>
      </c>
      <c r="W12" s="111" t="s">
        <v>23</v>
      </c>
      <c r="X12" s="111" t="s">
        <v>23</v>
      </c>
      <c r="Y12" s="110" t="s">
        <v>23</v>
      </c>
      <c r="Z12" s="110" t="s">
        <v>23</v>
      </c>
      <c r="AA12" s="110" t="s">
        <v>23</v>
      </c>
      <c r="AB12" s="110" t="s">
        <v>23</v>
      </c>
      <c r="AC12" s="110" t="s">
        <v>23</v>
      </c>
      <c r="AD12" s="110" t="s">
        <v>23</v>
      </c>
      <c r="AE12" s="111" t="s">
        <v>23</v>
      </c>
      <c r="AF12" s="111" t="s">
        <v>23</v>
      </c>
      <c r="AG12" s="112">
        <v>0</v>
      </c>
      <c r="AH12" s="112"/>
      <c r="AI12" s="112"/>
      <c r="AJ12" s="112"/>
      <c r="AK12" s="113" t="s">
        <v>30</v>
      </c>
      <c r="AM12" s="22" t="s">
        <v>7</v>
      </c>
      <c r="AN12" s="19">
        <v>150</v>
      </c>
      <c r="AO12" s="19">
        <v>45</v>
      </c>
      <c r="AP12" s="19">
        <f t="shared" si="4"/>
        <v>13.999854933178597</v>
      </c>
      <c r="AQ12" s="19">
        <f t="shared" si="0"/>
        <v>3</v>
      </c>
      <c r="AR12" s="19">
        <f t="shared" si="1"/>
        <v>4</v>
      </c>
      <c r="AS12" s="19">
        <f t="shared" si="2"/>
        <v>0</v>
      </c>
      <c r="AT12" s="19">
        <f t="shared" si="5"/>
        <v>7</v>
      </c>
      <c r="AU12" s="50">
        <f t="shared" si="6"/>
        <v>135</v>
      </c>
      <c r="AV12" s="50">
        <f t="shared" si="3"/>
        <v>180</v>
      </c>
      <c r="AW12" s="50">
        <f t="shared" si="3"/>
        <v>0</v>
      </c>
      <c r="AZ12" s="53">
        <f t="shared" si="7"/>
        <v>0.375</v>
      </c>
      <c r="BA12">
        <f t="shared" si="8"/>
        <v>120</v>
      </c>
    </row>
    <row r="13" spans="1:53">
      <c r="A13" s="121">
        <v>44556</v>
      </c>
      <c r="B13" s="110">
        <v>1600</v>
      </c>
      <c r="C13" s="110"/>
      <c r="D13" s="109" cm="1">
        <f t="array" ref="D13">(SUM(VLOOKUP(I13:AF13,$AM$4:$AO$44,2,FALSE))+AG13*10)*IF(AK13="是",$AY$4,$AY$3)</f>
        <v>980</v>
      </c>
      <c r="E13" s="57">
        <f>SUM($B$4:B13)+SUM($C$4:C13)-SUM($D$4:D13)</f>
        <v>5220</v>
      </c>
      <c r="F13" s="109" cm="1">
        <f t="array" ref="F13">SUM(VLOOKUP(I13:AF13,$AM$4:$AO$44,3,FALSE))</f>
        <v>410</v>
      </c>
      <c r="G13" s="109">
        <f>SUM($F$4:F13)+SUM($H$4:H13)</f>
        <v>4970</v>
      </c>
      <c r="H13" s="110">
        <v>0</v>
      </c>
      <c r="I13" s="28" t="s">
        <v>12</v>
      </c>
      <c r="J13" s="22" t="s">
        <v>18</v>
      </c>
      <c r="K13" s="22" t="s">
        <v>18</v>
      </c>
      <c r="L13" s="22" t="s">
        <v>18</v>
      </c>
      <c r="M13" s="30" t="s">
        <v>82</v>
      </c>
      <c r="N13" s="22" t="s">
        <v>18</v>
      </c>
      <c r="O13" s="111" t="s">
        <v>23</v>
      </c>
      <c r="P13" s="111" t="s">
        <v>23</v>
      </c>
      <c r="Q13" s="110" t="s">
        <v>23</v>
      </c>
      <c r="R13" s="110" t="s">
        <v>23</v>
      </c>
      <c r="S13" s="110" t="s">
        <v>23</v>
      </c>
      <c r="T13" s="110" t="s">
        <v>23</v>
      </c>
      <c r="U13" s="110" t="s">
        <v>23</v>
      </c>
      <c r="V13" s="110" t="s">
        <v>23</v>
      </c>
      <c r="W13" s="111" t="s">
        <v>23</v>
      </c>
      <c r="X13" s="111" t="s">
        <v>23</v>
      </c>
      <c r="Y13" s="110" t="s">
        <v>23</v>
      </c>
      <c r="Z13" s="110" t="s">
        <v>23</v>
      </c>
      <c r="AA13" s="110" t="s">
        <v>23</v>
      </c>
      <c r="AB13" s="110" t="s">
        <v>23</v>
      </c>
      <c r="AC13" s="110" t="s">
        <v>23</v>
      </c>
      <c r="AD13" s="110" t="s">
        <v>23</v>
      </c>
      <c r="AE13" s="111" t="s">
        <v>23</v>
      </c>
      <c r="AF13" s="111" t="s">
        <v>23</v>
      </c>
      <c r="AG13" s="112">
        <v>0</v>
      </c>
      <c r="AH13" s="112"/>
      <c r="AI13" s="112"/>
      <c r="AJ13" s="112"/>
      <c r="AK13" s="113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0"/>
        <v>2</v>
      </c>
      <c r="AR13" s="19">
        <f t="shared" si="1"/>
        <v>2</v>
      </c>
      <c r="AS13" s="19">
        <f t="shared" si="2"/>
        <v>0</v>
      </c>
      <c r="AT13" s="19">
        <f t="shared" si="5"/>
        <v>4</v>
      </c>
      <c r="AU13" s="50">
        <f t="shared" si="6"/>
        <v>100</v>
      </c>
      <c r="AV13" s="50">
        <f t="shared" si="3"/>
        <v>100</v>
      </c>
      <c r="AW13" s="50">
        <f t="shared" si="3"/>
        <v>0</v>
      </c>
      <c r="AZ13" s="53">
        <f t="shared" si="7"/>
        <v>0.41666666666666669</v>
      </c>
      <c r="BA13">
        <f t="shared" si="8"/>
        <v>120</v>
      </c>
    </row>
    <row r="14" spans="1:53">
      <c r="A14" s="121">
        <v>44557</v>
      </c>
      <c r="B14" s="109">
        <v>1600</v>
      </c>
      <c r="C14" s="109">
        <v>2000</v>
      </c>
      <c r="D14" s="114" cm="1">
        <f t="array" ref="D14">(SUM(VLOOKUP(I14:AF14,$AM$4:$AO$44,2,FALSE))+AG14*10)*IF(AK14="是",$AY$4,$AY$3)-202</f>
        <v>1828</v>
      </c>
      <c r="E14" s="57">
        <f>SUM($B$4:B14)+SUM($C$4:C14)-SUM($D$4:D14)</f>
        <v>6992</v>
      </c>
      <c r="F14" s="109" cm="1">
        <f t="array" ref="F14">SUM(VLOOKUP(I14:AF14,$AM$4:$AO$44,3,FALSE))</f>
        <v>545</v>
      </c>
      <c r="G14" s="109">
        <f>SUM($F$4:F14)+SUM($H$4:H14)</f>
        <v>5815</v>
      </c>
      <c r="H14" s="109">
        <v>300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30" t="s">
        <v>83</v>
      </c>
      <c r="O14" s="111" t="s">
        <v>23</v>
      </c>
      <c r="P14" s="111" t="s">
        <v>23</v>
      </c>
      <c r="Q14" s="22" t="s">
        <v>18</v>
      </c>
      <c r="R14" s="22" t="s">
        <v>18</v>
      </c>
      <c r="S14" s="22" t="s">
        <v>18</v>
      </c>
      <c r="T14" s="22" t="s">
        <v>18</v>
      </c>
      <c r="U14" s="22" t="s">
        <v>7</v>
      </c>
      <c r="V14" s="23" t="s">
        <v>19</v>
      </c>
      <c r="W14" s="111" t="s">
        <v>23</v>
      </c>
      <c r="X14" s="111" t="s">
        <v>23</v>
      </c>
      <c r="Y14" s="110" t="s">
        <v>23</v>
      </c>
      <c r="Z14" s="110" t="s">
        <v>23</v>
      </c>
      <c r="AA14" s="110" t="s">
        <v>23</v>
      </c>
      <c r="AB14" s="110" t="s">
        <v>23</v>
      </c>
      <c r="AC14" s="110" t="s">
        <v>23</v>
      </c>
      <c r="AD14" s="110" t="s">
        <v>23</v>
      </c>
      <c r="AE14" s="111" t="s">
        <v>23</v>
      </c>
      <c r="AF14" s="111" t="s">
        <v>23</v>
      </c>
      <c r="AG14" s="112">
        <v>0</v>
      </c>
      <c r="AH14" s="112"/>
      <c r="AI14" s="112"/>
      <c r="AJ14" s="112"/>
      <c r="AK14" s="113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0"/>
        <v>3</v>
      </c>
      <c r="AR14" s="19">
        <f t="shared" si="1"/>
        <v>0</v>
      </c>
      <c r="AS14" s="19">
        <f t="shared" si="2"/>
        <v>0</v>
      </c>
      <c r="AT14" s="19">
        <f t="shared" si="5"/>
        <v>3</v>
      </c>
      <c r="AU14" s="50">
        <f t="shared" si="6"/>
        <v>165</v>
      </c>
      <c r="AV14" s="50">
        <f t="shared" si="3"/>
        <v>0</v>
      </c>
      <c r="AW14" s="50">
        <f t="shared" si="3"/>
        <v>0</v>
      </c>
      <c r="AZ14" s="53">
        <f t="shared" si="7"/>
        <v>0.45833333333333331</v>
      </c>
      <c r="BA14">
        <f t="shared" si="8"/>
        <v>120</v>
      </c>
    </row>
    <row r="15" spans="1:53">
      <c r="A15" s="121">
        <v>44558</v>
      </c>
      <c r="B15" s="109">
        <v>1600</v>
      </c>
      <c r="C15" s="109"/>
      <c r="D15" s="109" cm="1">
        <f t="array" ref="D15">(SUM(VLOOKUP(I15:AF15,$AM$4:$AO$44,2,FALSE))+AG15*10)*IF(AK15="是",$AY$4,$AY$3)</f>
        <v>1648</v>
      </c>
      <c r="E15" s="57">
        <f>SUM($B$4:B15)+SUM($C$4:C15)-SUM($D$4:D15)</f>
        <v>6944</v>
      </c>
      <c r="F15" s="109" cm="1">
        <f t="array" ref="F15">SUM(VLOOKUP(I15:AF15,$AM$4:$AO$44,3,FALSE))</f>
        <v>550</v>
      </c>
      <c r="G15" s="109">
        <f>SUM($F$4:F15)+SUM($H$4:H15)</f>
        <v>6365</v>
      </c>
      <c r="H15" s="109">
        <v>0</v>
      </c>
      <c r="I15" s="22" t="s">
        <v>18</v>
      </c>
      <c r="J15" s="22" t="s">
        <v>18</v>
      </c>
      <c r="K15" s="22" t="s">
        <v>18</v>
      </c>
      <c r="L15" s="22" t="s">
        <v>18</v>
      </c>
      <c r="M15" s="22" t="s">
        <v>18</v>
      </c>
      <c r="N15" s="22" t="s">
        <v>18</v>
      </c>
      <c r="O15" s="111" t="s">
        <v>23</v>
      </c>
      <c r="P15" s="111" t="s">
        <v>23</v>
      </c>
      <c r="Q15" s="23" t="s">
        <v>19</v>
      </c>
      <c r="R15" s="22" t="s">
        <v>18</v>
      </c>
      <c r="S15" s="22" t="s">
        <v>18</v>
      </c>
      <c r="T15" s="22" t="s">
        <v>18</v>
      </c>
      <c r="U15" s="22" t="s">
        <v>18</v>
      </c>
      <c r="V15" s="23" t="s">
        <v>19</v>
      </c>
      <c r="W15" s="111" t="s">
        <v>23</v>
      </c>
      <c r="X15" s="111" t="s">
        <v>23</v>
      </c>
      <c r="Y15" s="110" t="s">
        <v>23</v>
      </c>
      <c r="Z15" s="110" t="s">
        <v>23</v>
      </c>
      <c r="AA15" s="110" t="s">
        <v>23</v>
      </c>
      <c r="AB15" s="110" t="s">
        <v>23</v>
      </c>
      <c r="AC15" s="110" t="s">
        <v>23</v>
      </c>
      <c r="AD15" s="110" t="s">
        <v>23</v>
      </c>
      <c r="AE15" s="111" t="s">
        <v>23</v>
      </c>
      <c r="AF15" s="111" t="s">
        <v>23</v>
      </c>
      <c r="AG15" s="112">
        <v>0</v>
      </c>
      <c r="AH15" s="112"/>
      <c r="AI15" s="112"/>
      <c r="AJ15" s="112"/>
      <c r="AK15" s="113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0"/>
        <v>0</v>
      </c>
      <c r="AR15" s="19">
        <f t="shared" si="1"/>
        <v>1</v>
      </c>
      <c r="AS15" s="19">
        <f t="shared" si="2"/>
        <v>0</v>
      </c>
      <c r="AT15" s="19">
        <f t="shared" si="5"/>
        <v>1</v>
      </c>
      <c r="AU15" s="50">
        <f t="shared" si="6"/>
        <v>0</v>
      </c>
      <c r="AV15" s="50">
        <f t="shared" si="3"/>
        <v>60</v>
      </c>
      <c r="AW15" s="50">
        <f t="shared" si="3"/>
        <v>0</v>
      </c>
      <c r="AZ15" s="53">
        <f t="shared" si="7"/>
        <v>0.5</v>
      </c>
      <c r="BA15">
        <f t="shared" si="8"/>
        <v>120</v>
      </c>
    </row>
    <row r="16" spans="1:53">
      <c r="A16" s="121">
        <v>44559</v>
      </c>
      <c r="B16" s="109">
        <v>1600</v>
      </c>
      <c r="C16" s="109"/>
      <c r="D16" s="109" cm="1">
        <f t="array" ref="D16">(SUM(VLOOKUP(I16:AF16,$AM$4:$AO$44,2,FALSE))+AG16*10)*IF(AK16="是",$AY$4,$AY$3)</f>
        <v>1680</v>
      </c>
      <c r="E16" s="57">
        <f>SUM($B$4:B16)+SUM($C$4:C16)-SUM($D$4:D16)</f>
        <v>6864</v>
      </c>
      <c r="F16" s="109" cm="1">
        <f t="array" ref="F16">SUM(VLOOKUP(I16:AF16,$AM$4:$AO$44,3,FALSE))</f>
        <v>570</v>
      </c>
      <c r="G16" s="109">
        <f>SUM($F$4:F16)+SUM($H$4:H16)</f>
        <v>7135</v>
      </c>
      <c r="H16" s="109">
        <v>200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22" t="s">
        <v>18</v>
      </c>
      <c r="O16" s="111" t="s">
        <v>23</v>
      </c>
      <c r="P16" s="111" t="s">
        <v>23</v>
      </c>
      <c r="Q16" s="23" t="s">
        <v>19</v>
      </c>
      <c r="R16" s="23" t="s">
        <v>19</v>
      </c>
      <c r="S16" s="23" t="s">
        <v>19</v>
      </c>
      <c r="T16" s="23" t="s">
        <v>19</v>
      </c>
      <c r="U16" s="23" t="s">
        <v>19</v>
      </c>
      <c r="V16" s="23" t="s">
        <v>19</v>
      </c>
      <c r="W16" s="111" t="s">
        <v>23</v>
      </c>
      <c r="X16" s="111" t="s">
        <v>23</v>
      </c>
      <c r="Y16" s="110" t="s">
        <v>23</v>
      </c>
      <c r="Z16" s="110" t="s">
        <v>23</v>
      </c>
      <c r="AA16" s="110" t="s">
        <v>23</v>
      </c>
      <c r="AB16" s="110" t="s">
        <v>23</v>
      </c>
      <c r="AC16" s="110" t="s">
        <v>23</v>
      </c>
      <c r="AD16" s="110" t="s">
        <v>23</v>
      </c>
      <c r="AE16" s="111" t="s">
        <v>23</v>
      </c>
      <c r="AF16" s="111" t="s">
        <v>23</v>
      </c>
      <c r="AG16" s="112">
        <v>0</v>
      </c>
      <c r="AH16" s="112"/>
      <c r="AI16" s="112"/>
      <c r="AJ16" s="112"/>
      <c r="AK16" s="113" t="s">
        <v>31</v>
      </c>
      <c r="AM16" s="26" t="s">
        <v>11</v>
      </c>
      <c r="AN16" s="27">
        <v>150</v>
      </c>
      <c r="AO16" s="19">
        <v>35</v>
      </c>
      <c r="AP16" s="19">
        <f t="shared" si="4"/>
        <v>44.222109392472248</v>
      </c>
      <c r="AQ16" s="19">
        <f t="shared" si="0"/>
        <v>0</v>
      </c>
      <c r="AR16" s="19">
        <f t="shared" si="1"/>
        <v>0</v>
      </c>
      <c r="AS16" s="19">
        <f t="shared" si="2"/>
        <v>0</v>
      </c>
      <c r="AT16" s="19">
        <f t="shared" si="5"/>
        <v>0</v>
      </c>
      <c r="AU16" s="50">
        <f t="shared" si="6"/>
        <v>0</v>
      </c>
      <c r="AV16" s="50">
        <f t="shared" si="3"/>
        <v>0</v>
      </c>
      <c r="AW16" s="50">
        <f t="shared" si="3"/>
        <v>0</v>
      </c>
      <c r="AZ16" s="53">
        <f t="shared" si="7"/>
        <v>0.29166666666666669</v>
      </c>
      <c r="BA16">
        <f t="shared" si="8"/>
        <v>120</v>
      </c>
    </row>
    <row r="17" spans="1:53">
      <c r="A17" s="121">
        <v>44560</v>
      </c>
      <c r="B17" s="109">
        <v>1600</v>
      </c>
      <c r="C17" s="109"/>
      <c r="D17" s="109" cm="1">
        <f t="array" ref="D17">(SUM(VLOOKUP(I17:AF17,$AM$4:$AO$44,2,FALSE))+AG17*10)*IF(AK17="是",$AY$4,$AY$3)</f>
        <v>1680</v>
      </c>
      <c r="E17" s="57">
        <f>SUM($B$4:B17)+SUM($C$4:C17)-SUM($D$4:D17)</f>
        <v>6784</v>
      </c>
      <c r="F17" s="109" cm="1">
        <f t="array" ref="F17">SUM(VLOOKUP(I17:AF17,$AM$4:$AO$44,3,FALSE))</f>
        <v>570</v>
      </c>
      <c r="G17" s="109">
        <f>SUM($F$4:F17)+SUM($H$4:H17)</f>
        <v>7705</v>
      </c>
      <c r="H17" s="109">
        <v>0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22" t="s">
        <v>18</v>
      </c>
      <c r="O17" s="111" t="s">
        <v>23</v>
      </c>
      <c r="P17" s="111" t="s">
        <v>23</v>
      </c>
      <c r="Q17" s="23" t="s">
        <v>19</v>
      </c>
      <c r="R17" s="23" t="s">
        <v>19</v>
      </c>
      <c r="S17" s="23" t="s">
        <v>19</v>
      </c>
      <c r="T17" s="23" t="s">
        <v>19</v>
      </c>
      <c r="U17" s="23" t="s">
        <v>19</v>
      </c>
      <c r="V17" s="23" t="s">
        <v>19</v>
      </c>
      <c r="W17" s="111" t="s">
        <v>23</v>
      </c>
      <c r="X17" s="111" t="s">
        <v>23</v>
      </c>
      <c r="Y17" s="110" t="s">
        <v>23</v>
      </c>
      <c r="Z17" s="110" t="s">
        <v>23</v>
      </c>
      <c r="AA17" s="110" t="s">
        <v>23</v>
      </c>
      <c r="AB17" s="110" t="s">
        <v>23</v>
      </c>
      <c r="AC17" s="110" t="s">
        <v>23</v>
      </c>
      <c r="AD17" s="110" t="s">
        <v>23</v>
      </c>
      <c r="AE17" s="111" t="s">
        <v>23</v>
      </c>
      <c r="AF17" s="111" t="s">
        <v>23</v>
      </c>
      <c r="AG17" s="112">
        <v>0</v>
      </c>
      <c r="AH17" s="112"/>
      <c r="AI17" s="112"/>
      <c r="AJ17" s="112"/>
      <c r="AK17" s="113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0"/>
        <v>15</v>
      </c>
      <c r="AR17" s="19">
        <f t="shared" si="1"/>
        <v>19</v>
      </c>
      <c r="AS17" s="19">
        <f t="shared" si="2"/>
        <v>2</v>
      </c>
      <c r="AT17" s="19">
        <f t="shared" si="5"/>
        <v>36</v>
      </c>
      <c r="AU17" s="50">
        <f t="shared" si="6"/>
        <v>450</v>
      </c>
      <c r="AV17" s="50">
        <f t="shared" si="3"/>
        <v>570</v>
      </c>
      <c r="AW17" s="50">
        <f t="shared" si="3"/>
        <v>60</v>
      </c>
      <c r="AZ17" s="53">
        <f t="shared" si="7"/>
        <v>0.75</v>
      </c>
      <c r="BA17">
        <f t="shared" si="8"/>
        <v>40</v>
      </c>
    </row>
    <row r="18" spans="1:53">
      <c r="A18" s="121">
        <v>44561</v>
      </c>
      <c r="B18" s="109">
        <v>1600</v>
      </c>
      <c r="C18" s="109"/>
      <c r="D18" s="109" cm="1">
        <f t="array" ref="D18">(SUM(VLOOKUP(I18:AF18,$AM$4:$AO$44,2,FALSE))+AG18*10)*IF(AK18="是",$AY$4,$AY$3)</f>
        <v>1576</v>
      </c>
      <c r="E18" s="57">
        <f>SUM($B$4:B18)+SUM($C$4:C18)-SUM($D$4:D18)</f>
        <v>6808</v>
      </c>
      <c r="F18" s="109" cm="1">
        <f t="array" ref="F18">SUM(VLOOKUP(I18:AF18,$AM$4:$AO$44,3,FALSE))</f>
        <v>550</v>
      </c>
      <c r="G18" s="109">
        <f>SUM($F$4:F18)+SUM($H$4:H18)</f>
        <v>8255</v>
      </c>
      <c r="H18" s="109">
        <v>0</v>
      </c>
      <c r="I18" s="22" t="s">
        <v>18</v>
      </c>
      <c r="J18" s="22" t="s">
        <v>18</v>
      </c>
      <c r="K18" s="22" t="s">
        <v>18</v>
      </c>
      <c r="L18" s="22" t="s">
        <v>18</v>
      </c>
      <c r="M18" s="22" t="s">
        <v>18</v>
      </c>
      <c r="N18" s="22" t="s">
        <v>18</v>
      </c>
      <c r="O18" s="111" t="s">
        <v>23</v>
      </c>
      <c r="P18" s="111" t="s">
        <v>23</v>
      </c>
      <c r="Q18" s="23" t="s">
        <v>19</v>
      </c>
      <c r="R18" s="23" t="s">
        <v>19</v>
      </c>
      <c r="S18" s="23" t="s">
        <v>19</v>
      </c>
      <c r="T18" s="23" t="s">
        <v>19</v>
      </c>
      <c r="U18" s="28" t="s">
        <v>12</v>
      </c>
      <c r="V18" s="23" t="s">
        <v>19</v>
      </c>
      <c r="W18" s="111" t="s">
        <v>23</v>
      </c>
      <c r="X18" s="111" t="s">
        <v>23</v>
      </c>
      <c r="Y18" s="110" t="s">
        <v>23</v>
      </c>
      <c r="Z18" s="110" t="s">
        <v>23</v>
      </c>
      <c r="AA18" s="110" t="s">
        <v>23</v>
      </c>
      <c r="AB18" s="110" t="s">
        <v>23</v>
      </c>
      <c r="AC18" s="110" t="s">
        <v>23</v>
      </c>
      <c r="AD18" s="110" t="s">
        <v>23</v>
      </c>
      <c r="AE18" s="111" t="s">
        <v>23</v>
      </c>
      <c r="AF18" s="111" t="s">
        <v>23</v>
      </c>
      <c r="AG18" s="112">
        <v>0</v>
      </c>
      <c r="AH18" s="112"/>
      <c r="AI18" s="112"/>
      <c r="AJ18" s="112"/>
      <c r="AK18" s="113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0"/>
        <v>1</v>
      </c>
      <c r="AR18" s="19">
        <f t="shared" si="1"/>
        <v>1</v>
      </c>
      <c r="AS18" s="19">
        <f t="shared" si="2"/>
        <v>0</v>
      </c>
      <c r="AT18" s="19">
        <f t="shared" si="5"/>
        <v>2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7"/>
        <v>0</v>
      </c>
      <c r="BA18">
        <f t="shared" si="8"/>
        <v>-120</v>
      </c>
    </row>
    <row r="19" spans="1:53">
      <c r="A19" s="121">
        <v>44562</v>
      </c>
      <c r="B19" s="109">
        <v>1600</v>
      </c>
      <c r="C19" s="109"/>
      <c r="D19" s="109" cm="1">
        <f t="array" ref="D19">(SUM(VLOOKUP(I19:AF19,$AM$4:$AO$44,2,FALSE))+AG19*10)*IF(AK19="是",$AY$4,$AY$3)</f>
        <v>1680</v>
      </c>
      <c r="E19" s="57">
        <f>SUM($B$4:B19)+SUM($C$4:C19)-SUM($D$4:D19)</f>
        <v>6728</v>
      </c>
      <c r="F19" s="109" cm="1">
        <f t="array" ref="F19">SUM(VLOOKUP(I19:AF19,$AM$4:$AO$44,3,FALSE))</f>
        <v>570</v>
      </c>
      <c r="G19" s="109">
        <f>SUM($F$4:F19)+SUM($H$4:H19)</f>
        <v>8825</v>
      </c>
      <c r="H19" s="109">
        <v>0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22" t="s">
        <v>18</v>
      </c>
      <c r="O19" s="111" t="s">
        <v>23</v>
      </c>
      <c r="P19" s="111" t="s">
        <v>23</v>
      </c>
      <c r="Q19" s="23" t="s">
        <v>19</v>
      </c>
      <c r="R19" s="23" t="s">
        <v>19</v>
      </c>
      <c r="S19" s="23" t="s">
        <v>19</v>
      </c>
      <c r="T19" s="23" t="s">
        <v>19</v>
      </c>
      <c r="U19" s="23" t="s">
        <v>19</v>
      </c>
      <c r="V19" s="23" t="s">
        <v>19</v>
      </c>
      <c r="W19" s="111" t="s">
        <v>23</v>
      </c>
      <c r="X19" s="111" t="s">
        <v>23</v>
      </c>
      <c r="Y19" s="110" t="s">
        <v>23</v>
      </c>
      <c r="Z19" s="110" t="s">
        <v>23</v>
      </c>
      <c r="AA19" s="110" t="s">
        <v>23</v>
      </c>
      <c r="AB19" s="110" t="s">
        <v>23</v>
      </c>
      <c r="AC19" s="110" t="s">
        <v>23</v>
      </c>
      <c r="AD19" s="110" t="s">
        <v>23</v>
      </c>
      <c r="AE19" s="111" t="s">
        <v>23</v>
      </c>
      <c r="AF19" s="111" t="s">
        <v>23</v>
      </c>
      <c r="AG19" s="112">
        <v>0</v>
      </c>
      <c r="AH19" s="112"/>
      <c r="AI19" s="112"/>
      <c r="AJ19" s="112"/>
      <c r="AK19" s="113" t="s">
        <v>31</v>
      </c>
      <c r="AM19" s="30" t="s">
        <v>82</v>
      </c>
      <c r="AN19" s="19">
        <v>250</v>
      </c>
      <c r="AO19" s="19">
        <v>200</v>
      </c>
      <c r="AP19" s="19"/>
      <c r="AQ19" s="19">
        <f t="shared" si="0"/>
        <v>1</v>
      </c>
      <c r="AR19" s="19">
        <f t="shared" si="1"/>
        <v>1</v>
      </c>
      <c r="AS19" s="19">
        <f t="shared" si="2"/>
        <v>0</v>
      </c>
      <c r="AT19" s="19">
        <f t="shared" si="5"/>
        <v>2</v>
      </c>
      <c r="AU19" s="50">
        <f t="shared" si="6"/>
        <v>200</v>
      </c>
      <c r="AV19" s="50">
        <f t="shared" si="3"/>
        <v>200</v>
      </c>
      <c r="AW19" s="50">
        <f t="shared" si="3"/>
        <v>0</v>
      </c>
      <c r="AZ19" s="53">
        <f t="shared" si="7"/>
        <v>1</v>
      </c>
      <c r="BA19">
        <f t="shared" si="8"/>
        <v>200</v>
      </c>
    </row>
    <row r="20" spans="1:53">
      <c r="A20" s="121">
        <v>44563</v>
      </c>
      <c r="B20" s="109">
        <v>1600</v>
      </c>
      <c r="C20" s="109"/>
      <c r="D20" s="109" cm="1">
        <f t="array" ref="D20">(SUM(VLOOKUP(I20:AF20,$AM$4:$AO$44,2,FALSE))+AG20*10)*IF(AK20="是",$AY$4,$AY$3)</f>
        <v>1568</v>
      </c>
      <c r="E20" s="57">
        <f>SUM($B$4:B20)+SUM($C$4:C20)-SUM($D$4:D20)</f>
        <v>6760</v>
      </c>
      <c r="F20" s="109" cm="1">
        <f t="array" ref="F20">SUM(VLOOKUP(I20:AF20,$AM$4:$AO$44,3,FALSE))</f>
        <v>555</v>
      </c>
      <c r="G20" s="109">
        <f>SUM($F$4:F20)+SUM($H$4:H20)</f>
        <v>9380</v>
      </c>
      <c r="H20" s="109">
        <v>0</v>
      </c>
      <c r="I20" s="22" t="s">
        <v>18</v>
      </c>
      <c r="J20" s="22" t="s">
        <v>7</v>
      </c>
      <c r="K20" s="22" t="s">
        <v>18</v>
      </c>
      <c r="L20" s="22" t="s">
        <v>18</v>
      </c>
      <c r="M20" s="22" t="s">
        <v>18</v>
      </c>
      <c r="N20" s="28" t="s">
        <v>12</v>
      </c>
      <c r="O20" s="111" t="s">
        <v>23</v>
      </c>
      <c r="P20" s="111" t="s">
        <v>23</v>
      </c>
      <c r="Q20" s="23" t="s">
        <v>19</v>
      </c>
      <c r="R20" s="23" t="s">
        <v>19</v>
      </c>
      <c r="S20" s="23" t="s">
        <v>19</v>
      </c>
      <c r="T20" s="23" t="s">
        <v>19</v>
      </c>
      <c r="U20" s="23" t="s">
        <v>19</v>
      </c>
      <c r="V20" s="23" t="s">
        <v>19</v>
      </c>
      <c r="W20" s="111" t="s">
        <v>23</v>
      </c>
      <c r="X20" s="111" t="s">
        <v>23</v>
      </c>
      <c r="Y20" s="110" t="s">
        <v>23</v>
      </c>
      <c r="Z20" s="110" t="s">
        <v>23</v>
      </c>
      <c r="AA20" s="110" t="s">
        <v>23</v>
      </c>
      <c r="AB20" s="110" t="s">
        <v>23</v>
      </c>
      <c r="AC20" s="110" t="s">
        <v>23</v>
      </c>
      <c r="AD20" s="110" t="s">
        <v>23</v>
      </c>
      <c r="AE20" s="111" t="s">
        <v>23</v>
      </c>
      <c r="AF20" s="111" t="s">
        <v>23</v>
      </c>
      <c r="AG20" s="112">
        <v>0</v>
      </c>
      <c r="AH20" s="112"/>
      <c r="AI20" s="112"/>
      <c r="AJ20" s="112"/>
      <c r="AK20" s="113" t="s">
        <v>31</v>
      </c>
      <c r="AM20" s="30" t="s">
        <v>83</v>
      </c>
      <c r="AN20" s="19">
        <v>170</v>
      </c>
      <c r="AO20" s="19">
        <v>45</v>
      </c>
      <c r="AP20" s="19"/>
      <c r="AQ20" s="19">
        <f t="shared" si="0"/>
        <v>5</v>
      </c>
      <c r="AR20" s="19">
        <f t="shared" si="1"/>
        <v>1</v>
      </c>
      <c r="AS20" s="19">
        <f t="shared" si="2"/>
        <v>0</v>
      </c>
      <c r="AT20" s="19">
        <f t="shared" si="5"/>
        <v>6</v>
      </c>
      <c r="AU20" s="50">
        <f t="shared" si="6"/>
        <v>225</v>
      </c>
      <c r="AV20" s="50">
        <f t="shared" si="6"/>
        <v>45</v>
      </c>
      <c r="AW20" s="50">
        <f t="shared" si="6"/>
        <v>0</v>
      </c>
      <c r="AZ20" s="53">
        <f t="shared" si="7"/>
        <v>0.33088235294117646</v>
      </c>
      <c r="BA20">
        <f t="shared" si="8"/>
        <v>136</v>
      </c>
    </row>
    <row r="21" spans="1:53">
      <c r="A21" s="121">
        <v>44564</v>
      </c>
      <c r="B21" s="110">
        <v>1600</v>
      </c>
      <c r="C21" s="110"/>
      <c r="D21" s="109" cm="1">
        <f t="array" ref="D21">(SUM(VLOOKUP(I21:AF21,$AM$4:$AO$44,2,FALSE))+AG21*10)*IF(AK21="是",$AY$4,$AY$3)</f>
        <v>1664</v>
      </c>
      <c r="E21" s="57">
        <f>SUM($B$4:B21)+SUM($C$4:C21)-SUM($D$4:D21)</f>
        <v>6696</v>
      </c>
      <c r="F21" s="109" cm="1">
        <f t="array" ref="F21">SUM(VLOOKUP(I21:AF21,$AM$4:$AO$44,3,FALSE))</f>
        <v>620</v>
      </c>
      <c r="G21" s="109">
        <f>SUM($F$4:F21)+SUM($H$4:H21)</f>
        <v>10200</v>
      </c>
      <c r="H21" s="110">
        <v>200</v>
      </c>
      <c r="I21" s="22" t="s">
        <v>18</v>
      </c>
      <c r="J21" s="22" t="s">
        <v>18</v>
      </c>
      <c r="K21" s="22" t="s">
        <v>18</v>
      </c>
      <c r="L21" s="22" t="s">
        <v>18</v>
      </c>
      <c r="M21" s="22" t="s">
        <v>18</v>
      </c>
      <c r="N21" s="22" t="s">
        <v>18</v>
      </c>
      <c r="O21" s="111" t="s">
        <v>23</v>
      </c>
      <c r="P21" s="111" t="s">
        <v>23</v>
      </c>
      <c r="Q21" s="23" t="s">
        <v>19</v>
      </c>
      <c r="R21" s="23" t="s">
        <v>19</v>
      </c>
      <c r="S21" s="23" t="s">
        <v>19</v>
      </c>
      <c r="T21" s="23" t="s">
        <v>19</v>
      </c>
      <c r="U21" s="23" t="s">
        <v>19</v>
      </c>
      <c r="V21" s="29" t="s">
        <v>47</v>
      </c>
      <c r="W21" s="23" t="s">
        <v>19</v>
      </c>
      <c r="X21" s="23" t="s">
        <v>19</v>
      </c>
      <c r="Y21" s="110" t="s">
        <v>23</v>
      </c>
      <c r="Z21" s="110" t="s">
        <v>23</v>
      </c>
      <c r="AA21" s="110" t="s">
        <v>23</v>
      </c>
      <c r="AB21" s="110" t="s">
        <v>23</v>
      </c>
      <c r="AC21" s="110" t="s">
        <v>23</v>
      </c>
      <c r="AD21" s="110" t="s">
        <v>23</v>
      </c>
      <c r="AE21" s="111" t="s">
        <v>23</v>
      </c>
      <c r="AF21" s="111" t="s">
        <v>23</v>
      </c>
      <c r="AG21" s="112">
        <v>0</v>
      </c>
      <c r="AH21" s="112"/>
      <c r="AI21" s="112"/>
      <c r="AJ21" s="112"/>
      <c r="AK21" s="113" t="s">
        <v>31</v>
      </c>
      <c r="AM21" s="34" t="s">
        <v>14</v>
      </c>
      <c r="AN21" s="19">
        <v>250</v>
      </c>
      <c r="AO21" s="19">
        <v>200</v>
      </c>
      <c r="AP21" s="19"/>
      <c r="AQ21" s="19">
        <f t="shared" si="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7"/>
        <v>1</v>
      </c>
      <c r="BA21">
        <f t="shared" si="8"/>
        <v>200</v>
      </c>
    </row>
    <row r="22" spans="1:53">
      <c r="A22" s="121">
        <v>44565</v>
      </c>
      <c r="B22" s="110">
        <v>1600</v>
      </c>
      <c r="C22" s="110"/>
      <c r="D22" s="109" cm="1">
        <f t="array" ref="D22">(SUM(VLOOKUP(I22:AF22,$AM$4:$AO$44,2,FALSE))+AG22*10)*IF(AK22="是",$AY$4,$AY$3)</f>
        <v>1584</v>
      </c>
      <c r="E22" s="57">
        <f>SUM($B$4:B22)+SUM($C$4:C22)-SUM($D$4:D22)</f>
        <v>6712</v>
      </c>
      <c r="F22" s="109" cm="1">
        <f t="array" ref="F22">SUM(VLOOKUP(I22:AF22,$AM$4:$AO$44,3,FALSE))</f>
        <v>555</v>
      </c>
      <c r="G22" s="109">
        <f>SUM($F$4:F22)+SUM($H$4:H22)</f>
        <v>10855</v>
      </c>
      <c r="H22" s="110">
        <v>100</v>
      </c>
      <c r="I22" s="22" t="s">
        <v>18</v>
      </c>
      <c r="J22" s="22" t="s">
        <v>18</v>
      </c>
      <c r="K22" s="22" t="s">
        <v>18</v>
      </c>
      <c r="L22" s="22" t="s">
        <v>18</v>
      </c>
      <c r="M22" s="28" t="s">
        <v>12</v>
      </c>
      <c r="N22" s="22" t="s">
        <v>18</v>
      </c>
      <c r="O22" s="111" t="s">
        <v>23</v>
      </c>
      <c r="P22" s="111" t="s">
        <v>23</v>
      </c>
      <c r="Q22" s="23" t="s">
        <v>19</v>
      </c>
      <c r="R22" s="23" t="s">
        <v>19</v>
      </c>
      <c r="S22" s="23" t="s">
        <v>19</v>
      </c>
      <c r="T22" s="23" t="s">
        <v>19</v>
      </c>
      <c r="U22" s="23" t="s">
        <v>19</v>
      </c>
      <c r="V22" s="23" t="s">
        <v>19</v>
      </c>
      <c r="W22" s="111" t="s">
        <v>23</v>
      </c>
      <c r="X22" s="111" t="s">
        <v>23</v>
      </c>
      <c r="Y22" s="110" t="s">
        <v>23</v>
      </c>
      <c r="Z22" s="110" t="s">
        <v>23</v>
      </c>
      <c r="AA22" s="110" t="s">
        <v>23</v>
      </c>
      <c r="AB22" s="110" t="s">
        <v>23</v>
      </c>
      <c r="AC22" s="110" t="s">
        <v>23</v>
      </c>
      <c r="AD22" s="110" t="s">
        <v>23</v>
      </c>
      <c r="AE22" s="111" t="s">
        <v>23</v>
      </c>
      <c r="AF22" s="111" t="s">
        <v>23</v>
      </c>
      <c r="AG22" s="112">
        <v>0</v>
      </c>
      <c r="AH22" s="112"/>
      <c r="AI22" s="112"/>
      <c r="AJ22" s="112"/>
      <c r="AK22" s="113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0"/>
        <v>1</v>
      </c>
      <c r="AR22" s="19">
        <f t="shared" si="1"/>
        <v>1</v>
      </c>
      <c r="AS22" s="19">
        <f t="shared" si="2"/>
        <v>0</v>
      </c>
      <c r="AT22" s="19">
        <f t="shared" si="5"/>
        <v>2</v>
      </c>
      <c r="AU22" s="50">
        <f t="shared" si="6"/>
        <v>1000</v>
      </c>
      <c r="AV22" s="50">
        <f t="shared" si="6"/>
        <v>1000</v>
      </c>
      <c r="AW22" s="50">
        <f t="shared" si="6"/>
        <v>0</v>
      </c>
      <c r="AZ22" s="53">
        <f t="shared" si="7"/>
        <v>5</v>
      </c>
      <c r="BA22">
        <f t="shared" si="8"/>
        <v>200</v>
      </c>
    </row>
    <row r="23" spans="1:53">
      <c r="A23" s="121">
        <v>44566</v>
      </c>
      <c r="B23" s="110">
        <v>1600</v>
      </c>
      <c r="C23" s="110"/>
      <c r="D23" s="109" cm="1">
        <f t="array" ref="D23">(SUM(VLOOKUP(I23:AF23,$AM$4:$AO$44,2,FALSE))+AG23*10)*IF(AK23="是",$AY$4,$AY$3)</f>
        <v>1680</v>
      </c>
      <c r="E23" s="57">
        <f>SUM($B$4:B23)+SUM($C$4:C23)-SUM($D$4:D23)</f>
        <v>6632</v>
      </c>
      <c r="F23" s="109" cm="1">
        <f t="array" ref="F23">SUM(VLOOKUP(I23:AF23,$AM$4:$AO$44,3,FALSE))</f>
        <v>570</v>
      </c>
      <c r="G23" s="109">
        <f>SUM($F$4:F23)+SUM($H$4:H23)</f>
        <v>11625</v>
      </c>
      <c r="H23" s="110">
        <v>200</v>
      </c>
      <c r="I23" s="22" t="s">
        <v>18</v>
      </c>
      <c r="J23" s="22" t="s">
        <v>18</v>
      </c>
      <c r="K23" s="22" t="s">
        <v>18</v>
      </c>
      <c r="L23" s="22" t="s">
        <v>18</v>
      </c>
      <c r="M23" s="22" t="s">
        <v>18</v>
      </c>
      <c r="N23" s="22" t="s">
        <v>18</v>
      </c>
      <c r="O23" s="111" t="s">
        <v>23</v>
      </c>
      <c r="P23" s="111" t="s">
        <v>23</v>
      </c>
      <c r="Q23" s="23" t="s">
        <v>19</v>
      </c>
      <c r="R23" s="23" t="s">
        <v>19</v>
      </c>
      <c r="S23" s="23" t="s">
        <v>19</v>
      </c>
      <c r="T23" s="23" t="s">
        <v>19</v>
      </c>
      <c r="U23" s="23" t="s">
        <v>19</v>
      </c>
      <c r="V23" s="23" t="s">
        <v>19</v>
      </c>
      <c r="W23" s="111" t="s">
        <v>23</v>
      </c>
      <c r="X23" s="111" t="s">
        <v>23</v>
      </c>
      <c r="Y23" s="110" t="s">
        <v>23</v>
      </c>
      <c r="Z23" s="110" t="s">
        <v>23</v>
      </c>
      <c r="AA23" s="110" t="s">
        <v>23</v>
      </c>
      <c r="AB23" s="110" t="s">
        <v>23</v>
      </c>
      <c r="AC23" s="110" t="s">
        <v>23</v>
      </c>
      <c r="AD23" s="110" t="s">
        <v>23</v>
      </c>
      <c r="AE23" s="111" t="s">
        <v>23</v>
      </c>
      <c r="AF23" s="111" t="s">
        <v>23</v>
      </c>
      <c r="AG23" s="112">
        <v>0</v>
      </c>
      <c r="AH23" s="112"/>
      <c r="AI23" s="112"/>
      <c r="AJ23" s="112"/>
      <c r="AK23" s="113" t="s">
        <v>31</v>
      </c>
      <c r="AM23" s="35" t="s">
        <v>41</v>
      </c>
      <c r="AN23" s="19">
        <v>250</v>
      </c>
      <c r="AO23" s="19">
        <v>500</v>
      </c>
      <c r="AP23" s="19"/>
      <c r="AQ23" s="19">
        <f t="shared" si="0"/>
        <v>2</v>
      </c>
      <c r="AR23" s="19">
        <f t="shared" si="1"/>
        <v>0</v>
      </c>
      <c r="AS23" s="19">
        <f t="shared" si="2"/>
        <v>0</v>
      </c>
      <c r="AT23" s="19">
        <f t="shared" si="5"/>
        <v>2</v>
      </c>
      <c r="AU23" s="50">
        <f t="shared" si="6"/>
        <v>1000</v>
      </c>
      <c r="AV23" s="50">
        <f t="shared" si="6"/>
        <v>0</v>
      </c>
      <c r="AW23" s="50">
        <f t="shared" si="6"/>
        <v>0</v>
      </c>
      <c r="AZ23" s="53">
        <f t="shared" si="7"/>
        <v>2.5</v>
      </c>
      <c r="BA23">
        <f t="shared" si="8"/>
        <v>200</v>
      </c>
    </row>
    <row r="24" spans="1:53" ht="14.25" customHeight="1">
      <c r="A24" s="121">
        <v>44567</v>
      </c>
      <c r="B24" s="110">
        <v>1600</v>
      </c>
      <c r="C24" s="110"/>
      <c r="D24" s="109" cm="1">
        <f t="array" ref="D24">(SUM(VLOOKUP(I24:AF24,$AM$4:$AO$44,2,FALSE))+AG24*10)*IF(AK24="是",$AY$4,$AY$3)</f>
        <v>1680</v>
      </c>
      <c r="E24" s="57">
        <f>SUM($B$4:B24)+SUM($C$4:C24)-SUM($D$4:D24)</f>
        <v>6552</v>
      </c>
      <c r="F24" s="109" cm="1">
        <f t="array" ref="F24">SUM(VLOOKUP(I24:AF24,$AM$4:$AO$44,3,FALSE))</f>
        <v>570</v>
      </c>
      <c r="G24" s="109">
        <f>SUM($F$4:F24)+SUM($H$4:H24)</f>
        <v>12195</v>
      </c>
      <c r="H24" s="110">
        <v>0</v>
      </c>
      <c r="I24" s="22" t="s">
        <v>18</v>
      </c>
      <c r="J24" s="22" t="s">
        <v>18</v>
      </c>
      <c r="K24" s="22" t="s">
        <v>18</v>
      </c>
      <c r="L24" s="22" t="s">
        <v>18</v>
      </c>
      <c r="M24" s="22" t="s">
        <v>18</v>
      </c>
      <c r="N24" s="22" t="s">
        <v>18</v>
      </c>
      <c r="O24" s="111" t="s">
        <v>23</v>
      </c>
      <c r="P24" s="111" t="s">
        <v>23</v>
      </c>
      <c r="Q24" s="23" t="s">
        <v>19</v>
      </c>
      <c r="R24" s="23" t="s">
        <v>19</v>
      </c>
      <c r="S24" s="23" t="s">
        <v>19</v>
      </c>
      <c r="T24" s="23" t="s">
        <v>19</v>
      </c>
      <c r="U24" s="23" t="s">
        <v>19</v>
      </c>
      <c r="V24" s="23" t="s">
        <v>19</v>
      </c>
      <c r="W24" s="111" t="s">
        <v>23</v>
      </c>
      <c r="X24" s="111" t="s">
        <v>23</v>
      </c>
      <c r="Y24" s="110" t="s">
        <v>23</v>
      </c>
      <c r="Z24" s="110" t="s">
        <v>23</v>
      </c>
      <c r="AA24" s="110" t="s">
        <v>23</v>
      </c>
      <c r="AB24" s="110" t="s">
        <v>23</v>
      </c>
      <c r="AC24" s="110" t="s">
        <v>23</v>
      </c>
      <c r="AD24" s="110" t="s">
        <v>23</v>
      </c>
      <c r="AE24" s="111" t="s">
        <v>23</v>
      </c>
      <c r="AF24" s="111" t="s">
        <v>23</v>
      </c>
      <c r="AG24" s="112">
        <v>0</v>
      </c>
      <c r="AH24" s="112"/>
      <c r="AI24" s="112"/>
      <c r="AJ24" s="112"/>
      <c r="AK24" s="113" t="s">
        <v>31</v>
      </c>
      <c r="AM24" s="31" t="s">
        <v>39</v>
      </c>
      <c r="AN24" s="19">
        <v>160</v>
      </c>
      <c r="AO24" s="19">
        <v>40</v>
      </c>
      <c r="AP24" s="19">
        <f t="shared" si="4"/>
        <v>39.110982162825422</v>
      </c>
      <c r="AQ24" s="19">
        <f t="shared" si="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7"/>
        <v>0.3125</v>
      </c>
      <c r="BA24">
        <f t="shared" si="8"/>
        <v>128</v>
      </c>
    </row>
    <row r="25" spans="1:53">
      <c r="A25" s="121">
        <v>44568</v>
      </c>
      <c r="B25" s="110">
        <v>1600</v>
      </c>
      <c r="C25" s="110"/>
      <c r="D25" s="109" cm="1">
        <f t="array" ref="D25">(SUM(VLOOKUP(I25:AF25,$AM$4:$AO$44,2,FALSE))+AG25*10)*IF(AK25="是",$AY$4,$AY$3)</f>
        <v>1584</v>
      </c>
      <c r="E25" s="57">
        <f>SUM($B$4:B25)+SUM($C$4:C25)-SUM($D$4:D25)</f>
        <v>6568</v>
      </c>
      <c r="F25" s="109" cm="1">
        <f t="array" ref="F25">SUM(VLOOKUP(I25:AF25,$AM$4:$AO$44,3,FALSE))</f>
        <v>555</v>
      </c>
      <c r="G25" s="109">
        <f>SUM($F$4:F25)+SUM($H$4:H25)</f>
        <v>12750</v>
      </c>
      <c r="H25" s="110">
        <v>0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22" t="s">
        <v>18</v>
      </c>
      <c r="O25" s="111" t="s">
        <v>23</v>
      </c>
      <c r="P25" s="111" t="s">
        <v>23</v>
      </c>
      <c r="Q25" s="23" t="s">
        <v>19</v>
      </c>
      <c r="R25" s="23" t="s">
        <v>19</v>
      </c>
      <c r="S25" s="23" t="s">
        <v>19</v>
      </c>
      <c r="T25" s="23" t="s">
        <v>19</v>
      </c>
      <c r="U25" s="23" t="s">
        <v>19</v>
      </c>
      <c r="V25" s="23" t="s">
        <v>19</v>
      </c>
      <c r="W25" s="111" t="s">
        <v>23</v>
      </c>
      <c r="X25" s="111" t="s">
        <v>23</v>
      </c>
      <c r="Y25" s="110" t="s">
        <v>23</v>
      </c>
      <c r="Z25" s="110" t="s">
        <v>23</v>
      </c>
      <c r="AA25" s="110" t="s">
        <v>23</v>
      </c>
      <c r="AB25" s="110" t="s">
        <v>23</v>
      </c>
      <c r="AC25" s="110" t="s">
        <v>23</v>
      </c>
      <c r="AD25" s="110" t="s">
        <v>23</v>
      </c>
      <c r="AE25" s="111" t="s">
        <v>23</v>
      </c>
      <c r="AF25" s="111" t="s">
        <v>23</v>
      </c>
      <c r="AG25" s="112">
        <v>0</v>
      </c>
      <c r="AH25" s="112"/>
      <c r="AI25" s="112"/>
      <c r="AJ25" s="112"/>
      <c r="AK25" s="113" t="s">
        <v>31</v>
      </c>
      <c r="AM25" s="31" t="s">
        <v>40</v>
      </c>
      <c r="AN25" s="19">
        <v>160</v>
      </c>
      <c r="AO25" s="19">
        <v>40</v>
      </c>
      <c r="AP25" s="19">
        <f t="shared" si="4"/>
        <v>39.110982162825422</v>
      </c>
      <c r="AQ25" s="19">
        <f t="shared" si="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7"/>
        <v>0.3125</v>
      </c>
      <c r="BA25">
        <f t="shared" si="8"/>
        <v>128</v>
      </c>
    </row>
    <row r="26" spans="1:53">
      <c r="A26" s="121">
        <v>44569</v>
      </c>
      <c r="B26" s="110">
        <v>1600</v>
      </c>
      <c r="C26" s="110"/>
      <c r="D26" s="109" cm="1">
        <f t="array" ref="D26">(SUM(VLOOKUP(I26:AF26,$AM$4:$AO$44,2,FALSE))+AG26*10)*IF(AK26="是",$AY$4,$AY$3)</f>
        <v>1568</v>
      </c>
      <c r="E26" s="57">
        <f>SUM($B$4:B26)+SUM($C$4:C26)-SUM($D$4:D26)</f>
        <v>6600</v>
      </c>
      <c r="F26" s="109" cm="1">
        <f t="array" ref="F26">SUM(VLOOKUP(I26:AF26,$AM$4:$AO$44,3,FALSE))</f>
        <v>550</v>
      </c>
      <c r="G26" s="109">
        <f>SUM($F$4:F26)+SUM($H$4:H26)</f>
        <v>13300</v>
      </c>
      <c r="H26" s="110">
        <v>0</v>
      </c>
      <c r="I26" s="22" t="s">
        <v>18</v>
      </c>
      <c r="J26" s="22" t="s">
        <v>7</v>
      </c>
      <c r="K26" s="22" t="s">
        <v>18</v>
      </c>
      <c r="L26" s="22" t="s">
        <v>18</v>
      </c>
      <c r="M26" s="22" t="s">
        <v>18</v>
      </c>
      <c r="N26" s="22" t="s">
        <v>18</v>
      </c>
      <c r="O26" s="111" t="s">
        <v>23</v>
      </c>
      <c r="P26" s="111" t="s">
        <v>23</v>
      </c>
      <c r="Q26" s="23" t="s">
        <v>19</v>
      </c>
      <c r="R26" s="23" t="s">
        <v>19</v>
      </c>
      <c r="S26" s="28" t="s">
        <v>12</v>
      </c>
      <c r="T26" s="23" t="s">
        <v>19</v>
      </c>
      <c r="U26" s="23" t="s">
        <v>19</v>
      </c>
      <c r="V26" s="23" t="s">
        <v>19</v>
      </c>
      <c r="W26" s="111" t="s">
        <v>23</v>
      </c>
      <c r="X26" s="111" t="s">
        <v>23</v>
      </c>
      <c r="Y26" s="110" t="s">
        <v>23</v>
      </c>
      <c r="Z26" s="110" t="s">
        <v>23</v>
      </c>
      <c r="AA26" s="110" t="s">
        <v>23</v>
      </c>
      <c r="AB26" s="110" t="s">
        <v>23</v>
      </c>
      <c r="AC26" s="110" t="s">
        <v>23</v>
      </c>
      <c r="AD26" s="110" t="s">
        <v>23</v>
      </c>
      <c r="AE26" s="111" t="s">
        <v>23</v>
      </c>
      <c r="AF26" s="111" t="s">
        <v>23</v>
      </c>
      <c r="AG26" s="112">
        <v>1</v>
      </c>
      <c r="AH26" s="112">
        <v>1</v>
      </c>
      <c r="AI26" s="112"/>
      <c r="AJ26" s="112"/>
      <c r="AK26" s="113" t="s">
        <v>31</v>
      </c>
      <c r="AM26" s="31" t="s">
        <v>38</v>
      </c>
      <c r="AN26" s="19">
        <v>150</v>
      </c>
      <c r="AO26" s="19">
        <v>35</v>
      </c>
      <c r="AP26" s="19">
        <f t="shared" si="4"/>
        <v>44.222109392472248</v>
      </c>
      <c r="AQ26" s="19">
        <f t="shared" si="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7"/>
        <v>0.29166666666666669</v>
      </c>
      <c r="BA26">
        <f t="shared" si="8"/>
        <v>120</v>
      </c>
    </row>
    <row r="27" spans="1:53">
      <c r="A27" s="121">
        <v>44570</v>
      </c>
      <c r="B27" s="110">
        <v>1600</v>
      </c>
      <c r="C27" s="110"/>
      <c r="D27" s="109" cm="1">
        <f t="array" ref="D27">(SUM(VLOOKUP(I27:AF27,$AM$4:$AO$44,2,FALSE))+AG27*10)*IF(AK27="是",$AY$4,$AY$3)</f>
        <v>1560</v>
      </c>
      <c r="E27" s="57">
        <f>SUM($B$4:B27)+SUM($C$4:C27)-SUM($D$4:D27)</f>
        <v>6640</v>
      </c>
      <c r="F27" s="109" cm="1">
        <f t="array" ref="F27">SUM(VLOOKUP(I27:AF27,$AM$4:$AO$44,3,FALSE))</f>
        <v>555</v>
      </c>
      <c r="G27" s="109">
        <f>SUM($F$4:F27)+SUM($H$4:H27)</f>
        <v>13855</v>
      </c>
      <c r="H27" s="110">
        <v>0</v>
      </c>
      <c r="I27" s="22" t="s">
        <v>18</v>
      </c>
      <c r="J27" s="28" t="s">
        <v>12</v>
      </c>
      <c r="K27" s="22" t="s">
        <v>18</v>
      </c>
      <c r="L27" s="22" t="s">
        <v>18</v>
      </c>
      <c r="M27" s="22" t="s">
        <v>18</v>
      </c>
      <c r="N27" s="22" t="s">
        <v>18</v>
      </c>
      <c r="O27" s="111" t="s">
        <v>23</v>
      </c>
      <c r="P27" s="111" t="s">
        <v>23</v>
      </c>
      <c r="Q27" s="23" t="s">
        <v>19</v>
      </c>
      <c r="R27" s="23" t="s">
        <v>19</v>
      </c>
      <c r="S27" s="23" t="s">
        <v>8</v>
      </c>
      <c r="T27" s="23" t="s">
        <v>19</v>
      </c>
      <c r="U27" s="23" t="s">
        <v>19</v>
      </c>
      <c r="V27" s="23" t="s">
        <v>19</v>
      </c>
      <c r="W27" s="111" t="s">
        <v>23</v>
      </c>
      <c r="X27" s="111" t="s">
        <v>23</v>
      </c>
      <c r="Y27" s="110" t="s">
        <v>23</v>
      </c>
      <c r="Z27" s="110" t="s">
        <v>23</v>
      </c>
      <c r="AA27" s="110" t="s">
        <v>23</v>
      </c>
      <c r="AB27" s="110" t="s">
        <v>23</v>
      </c>
      <c r="AC27" s="110" t="s">
        <v>23</v>
      </c>
      <c r="AD27" s="110" t="s">
        <v>23</v>
      </c>
      <c r="AE27" s="111" t="s">
        <v>23</v>
      </c>
      <c r="AF27" s="111" t="s">
        <v>23</v>
      </c>
      <c r="AG27" s="112">
        <v>0</v>
      </c>
      <c r="AH27" s="112"/>
      <c r="AI27" s="112"/>
      <c r="AJ27" s="112"/>
      <c r="AK27" s="113" t="s">
        <v>31</v>
      </c>
      <c r="AM27" s="33" t="s">
        <v>23</v>
      </c>
      <c r="AN27" s="19">
        <v>0</v>
      </c>
      <c r="AO27" s="19">
        <v>0</v>
      </c>
      <c r="AP27" s="19">
        <f t="shared" si="4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21">
        <v>44571</v>
      </c>
      <c r="B28" s="109">
        <v>1600</v>
      </c>
      <c r="C28" s="109"/>
      <c r="D28" s="109" cm="1">
        <f t="array" ref="D28">(SUM(VLOOKUP(I28:AF28,$AM$4:$AO$44,2,FALSE))+AG28*10)*IF(AK28="是",$AY$4,$AY$3)</f>
        <v>1720</v>
      </c>
      <c r="E28" s="57">
        <f>SUM($B$4:B28)+SUM($C$4:C28)-SUM($D$4:D28)</f>
        <v>6520</v>
      </c>
      <c r="F28" s="109" cm="1">
        <f t="array" ref="F28">SUM(VLOOKUP(I28:AF28,$AM$4:$AO$44,3,FALSE))</f>
        <v>590</v>
      </c>
      <c r="G28" s="109">
        <f>SUM($F$4:F28)+SUM($H$4:H28)</f>
        <v>14745</v>
      </c>
      <c r="H28" s="109">
        <v>300</v>
      </c>
      <c r="I28" s="23" t="s">
        <v>19</v>
      </c>
      <c r="J28" s="23" t="s">
        <v>19</v>
      </c>
      <c r="K28" s="23" t="s">
        <v>19</v>
      </c>
      <c r="L28" s="23" t="s">
        <v>19</v>
      </c>
      <c r="M28" s="22" t="s">
        <v>18</v>
      </c>
      <c r="N28" s="22" t="s">
        <v>18</v>
      </c>
      <c r="O28" s="111" t="s">
        <v>23</v>
      </c>
      <c r="P28" s="111" t="s">
        <v>23</v>
      </c>
      <c r="Q28" s="23" t="s">
        <v>19</v>
      </c>
      <c r="R28" s="23" t="s">
        <v>19</v>
      </c>
      <c r="S28" s="23" t="s">
        <v>19</v>
      </c>
      <c r="T28" s="23" t="s">
        <v>19</v>
      </c>
      <c r="U28" s="23" t="s">
        <v>19</v>
      </c>
      <c r="V28" s="23" t="s">
        <v>19</v>
      </c>
      <c r="W28" s="111" t="s">
        <v>23</v>
      </c>
      <c r="X28" s="111" t="s">
        <v>23</v>
      </c>
      <c r="Y28" s="110" t="s">
        <v>23</v>
      </c>
      <c r="Z28" s="110" t="s">
        <v>23</v>
      </c>
      <c r="AA28" s="110" t="s">
        <v>23</v>
      </c>
      <c r="AB28" s="110" t="s">
        <v>23</v>
      </c>
      <c r="AC28" s="110" t="s">
        <v>23</v>
      </c>
      <c r="AD28" s="110" t="s">
        <v>23</v>
      </c>
      <c r="AE28" s="111" t="s">
        <v>23</v>
      </c>
      <c r="AF28" s="111" t="s">
        <v>23</v>
      </c>
      <c r="AG28" s="112">
        <v>1</v>
      </c>
      <c r="AH28" s="112">
        <v>1</v>
      </c>
      <c r="AI28" s="112"/>
      <c r="AJ28" s="112"/>
      <c r="AK28" s="113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4</v>
      </c>
      <c r="AR28" s="19">
        <f>COUNTIF($Q$4:$X$94,AM28)</f>
        <v>8</v>
      </c>
      <c r="AS28" s="19">
        <f>COUNTIF($Y$4:$AF$94,AM28)</f>
        <v>1</v>
      </c>
      <c r="AT28" s="19">
        <f>AQ28+AR28+AS28</f>
        <v>13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21">
        <v>44572</v>
      </c>
      <c r="B29" s="109">
        <v>1600</v>
      </c>
      <c r="C29" s="109"/>
      <c r="D29" s="109" cm="1">
        <f t="array" ref="D29">(SUM(VLOOKUP(I29:AF29,$AM$4:$AO$44,2,FALSE))+AG29*10)*IF(AK29="是",$AY$4,$AY$3)</f>
        <v>1616</v>
      </c>
      <c r="E29" s="57">
        <f>SUM($B$4:B29)+SUM($C$4:C29)-SUM($D$4:D29)</f>
        <v>6504</v>
      </c>
      <c r="F29" s="109" cm="1">
        <f t="array" ref="F29">SUM(VLOOKUP(I29:AF29,$AM$4:$AO$44,3,FALSE))</f>
        <v>575</v>
      </c>
      <c r="G29" s="109">
        <f>SUM($F$4:F29)+SUM($H$4:H29)</f>
        <v>15320</v>
      </c>
      <c r="H29" s="109">
        <v>0</v>
      </c>
      <c r="I29" s="22" t="s">
        <v>18</v>
      </c>
      <c r="J29" s="23" t="s">
        <v>19</v>
      </c>
      <c r="K29" s="23" t="s">
        <v>19</v>
      </c>
      <c r="L29" s="23" t="s">
        <v>19</v>
      </c>
      <c r="M29" s="28" t="s">
        <v>12</v>
      </c>
      <c r="N29" s="23" t="s">
        <v>19</v>
      </c>
      <c r="O29" s="111" t="s">
        <v>23</v>
      </c>
      <c r="P29" s="111" t="s">
        <v>23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23" t="s">
        <v>19</v>
      </c>
      <c r="W29" s="111" t="s">
        <v>23</v>
      </c>
      <c r="X29" s="111" t="s">
        <v>23</v>
      </c>
      <c r="Y29" s="110" t="s">
        <v>23</v>
      </c>
      <c r="Z29" s="110" t="s">
        <v>23</v>
      </c>
      <c r="AA29" s="110" t="s">
        <v>23</v>
      </c>
      <c r="AB29" s="110" t="s">
        <v>23</v>
      </c>
      <c r="AC29" s="110" t="s">
        <v>23</v>
      </c>
      <c r="AD29" s="110" t="s">
        <v>23</v>
      </c>
      <c r="AE29" s="111" t="s">
        <v>23</v>
      </c>
      <c r="AF29" s="111" t="s">
        <v>23</v>
      </c>
      <c r="AG29" s="112">
        <v>0</v>
      </c>
      <c r="AH29" s="112"/>
      <c r="AI29" s="112"/>
      <c r="AJ29" s="112"/>
      <c r="AK29" s="113" t="s">
        <v>31</v>
      </c>
      <c r="AM29" s="19"/>
      <c r="AN29" s="19"/>
      <c r="AO29" s="19"/>
      <c r="AP29" s="50"/>
      <c r="AS29" t="s">
        <v>60</v>
      </c>
      <c r="AT29">
        <f>SUM(AT4:AT28)</f>
        <v>1067</v>
      </c>
      <c r="AV29" t="s">
        <v>61</v>
      </c>
      <c r="AW29" s="4">
        <f>SUM(AU4:AW28)+7000</f>
        <v>63200</v>
      </c>
    </row>
    <row r="30" spans="1:53">
      <c r="A30" s="121">
        <v>44573</v>
      </c>
      <c r="B30" s="109">
        <v>1600</v>
      </c>
      <c r="C30" s="109"/>
      <c r="D30" s="109" cm="1">
        <f t="array" ref="D30">(SUM(VLOOKUP(I30:AF30,$AM$4:$AO$44,2,FALSE))+AG30*10)*IF(AK30="是",$AY$4,$AY$3)</f>
        <v>1672</v>
      </c>
      <c r="E30" s="57">
        <f>SUM($B$4:B30)+SUM($C$4:C30)-SUM($D$4:D30)</f>
        <v>6432</v>
      </c>
      <c r="F30" s="109" cm="1">
        <f t="array" ref="F30">SUM(VLOOKUP(I30:AF30,$AM$4:$AO$44,3,FALSE))</f>
        <v>610</v>
      </c>
      <c r="G30" s="109">
        <f>SUM($F$4:F30)+SUM($H$4:H30)</f>
        <v>16130</v>
      </c>
      <c r="H30" s="109">
        <v>200</v>
      </c>
      <c r="I30" s="24" t="s">
        <v>20</v>
      </c>
      <c r="J30" s="24" t="s">
        <v>20</v>
      </c>
      <c r="K30" s="24" t="s">
        <v>20</v>
      </c>
      <c r="L30" s="24" t="s">
        <v>20</v>
      </c>
      <c r="M30" s="24" t="s">
        <v>20</v>
      </c>
      <c r="N30" s="24" t="s">
        <v>20</v>
      </c>
      <c r="O30" s="111" t="s">
        <v>23</v>
      </c>
      <c r="P30" s="111" t="s">
        <v>23</v>
      </c>
      <c r="Q30" s="23" t="s">
        <v>19</v>
      </c>
      <c r="R30" s="28" t="s">
        <v>12</v>
      </c>
      <c r="S30" s="23" t="s">
        <v>19</v>
      </c>
      <c r="T30" s="23" t="s">
        <v>19</v>
      </c>
      <c r="U30" s="23" t="s">
        <v>19</v>
      </c>
      <c r="V30" s="23" t="s">
        <v>19</v>
      </c>
      <c r="W30" s="111" t="s">
        <v>23</v>
      </c>
      <c r="X30" s="111" t="s">
        <v>23</v>
      </c>
      <c r="Y30" s="110" t="s">
        <v>23</v>
      </c>
      <c r="Z30" s="110" t="s">
        <v>23</v>
      </c>
      <c r="AA30" s="110" t="s">
        <v>23</v>
      </c>
      <c r="AB30" s="110" t="s">
        <v>23</v>
      </c>
      <c r="AC30" s="110" t="s">
        <v>23</v>
      </c>
      <c r="AD30" s="110" t="s">
        <v>23</v>
      </c>
      <c r="AE30" s="111" t="s">
        <v>23</v>
      </c>
      <c r="AF30" s="111" t="s">
        <v>23</v>
      </c>
      <c r="AG30" s="112">
        <v>0</v>
      </c>
      <c r="AH30" s="112"/>
      <c r="AI30" s="112"/>
      <c r="AJ30" s="112"/>
      <c r="AK30" s="113" t="s">
        <v>31</v>
      </c>
      <c r="AM30" s="19"/>
      <c r="AN30" s="19"/>
      <c r="AO30" s="19"/>
      <c r="AP30" s="50"/>
      <c r="AS30" t="s">
        <v>84</v>
      </c>
      <c r="AT30">
        <f>SUM(D4:D94)+150*AT18+160*AT28</f>
        <v>153060</v>
      </c>
    </row>
    <row r="31" spans="1:53">
      <c r="A31" s="121">
        <v>44574</v>
      </c>
      <c r="B31" s="109">
        <v>1600</v>
      </c>
      <c r="C31" s="109"/>
      <c r="D31" s="109" cm="1">
        <f t="array" ref="D31">(SUM(VLOOKUP(I31:AF31,$AM$4:$AO$44,2,FALSE))+AG31*10)*IF(AK31="是",$AY$4,$AY$3)</f>
        <v>1768</v>
      </c>
      <c r="E31" s="57">
        <f>SUM($B$4:B31)+SUM($C$4:C31)-SUM($D$4:D31)</f>
        <v>6264</v>
      </c>
      <c r="F31" s="109" cm="1">
        <f t="array" ref="F31">SUM(VLOOKUP(I31:AF31,$AM$4:$AO$44,3,FALSE))</f>
        <v>625</v>
      </c>
      <c r="G31" s="109">
        <f>SUM($F$4:F31)+SUM($H$4:H31)</f>
        <v>16755</v>
      </c>
      <c r="H31" s="109">
        <v>0</v>
      </c>
      <c r="I31" s="24" t="s">
        <v>20</v>
      </c>
      <c r="J31" s="24" t="s">
        <v>20</v>
      </c>
      <c r="K31" s="24" t="s">
        <v>20</v>
      </c>
      <c r="L31" s="24" t="s">
        <v>20</v>
      </c>
      <c r="M31" s="24" t="s">
        <v>20</v>
      </c>
      <c r="N31" s="24" t="s">
        <v>20</v>
      </c>
      <c r="O31" s="111" t="s">
        <v>23</v>
      </c>
      <c r="P31" s="111" t="s">
        <v>23</v>
      </c>
      <c r="Q31" s="23" t="s">
        <v>19</v>
      </c>
      <c r="R31" s="23" t="s">
        <v>19</v>
      </c>
      <c r="S31" s="23" t="s">
        <v>19</v>
      </c>
      <c r="T31" s="23" t="s">
        <v>19</v>
      </c>
      <c r="U31" s="23" t="s">
        <v>19</v>
      </c>
      <c r="V31" s="22" t="s">
        <v>18</v>
      </c>
      <c r="W31" s="111" t="s">
        <v>23</v>
      </c>
      <c r="X31" s="111" t="s">
        <v>23</v>
      </c>
      <c r="Y31" s="110" t="s">
        <v>23</v>
      </c>
      <c r="Z31" s="110" t="s">
        <v>23</v>
      </c>
      <c r="AA31" s="110" t="s">
        <v>23</v>
      </c>
      <c r="AB31" s="110" t="s">
        <v>23</v>
      </c>
      <c r="AC31" s="110" t="s">
        <v>23</v>
      </c>
      <c r="AD31" s="110" t="s">
        <v>23</v>
      </c>
      <c r="AE31" s="111" t="s">
        <v>23</v>
      </c>
      <c r="AF31" s="111" t="s">
        <v>23</v>
      </c>
      <c r="AG31" s="112">
        <v>0</v>
      </c>
      <c r="AH31" s="112"/>
      <c r="AI31" s="112"/>
      <c r="AJ31" s="112"/>
      <c r="AK31" s="113" t="s">
        <v>31</v>
      </c>
      <c r="AM31" s="19"/>
      <c r="AN31" s="19"/>
      <c r="AO31" s="19"/>
      <c r="AP31" s="50"/>
    </row>
    <row r="32" spans="1:53">
      <c r="A32" s="121">
        <v>44575</v>
      </c>
      <c r="B32" s="109">
        <v>1600</v>
      </c>
      <c r="C32" s="109"/>
      <c r="D32" s="109" cm="1">
        <f t="array" ref="D32">(SUM(VLOOKUP(I32:AF32,$AM$4:$AO$44,2,FALSE))+AG32*10)*IF(AK32="是",$AY$4,$AY$3)</f>
        <v>1768</v>
      </c>
      <c r="E32" s="57">
        <f>SUM($B$4:B32)+SUM($C$4:C32)-SUM($D$4:D32)</f>
        <v>6096</v>
      </c>
      <c r="F32" s="109" cm="1">
        <f t="array" ref="F32">SUM(VLOOKUP(I32:AF32,$AM$4:$AO$44,3,FALSE))</f>
        <v>625</v>
      </c>
      <c r="G32" s="109">
        <f>SUM($F$4:F32)+SUM($H$4:H32)</f>
        <v>17380</v>
      </c>
      <c r="H32" s="109">
        <v>0</v>
      </c>
      <c r="I32" s="24" t="s">
        <v>20</v>
      </c>
      <c r="J32" s="24" t="s">
        <v>20</v>
      </c>
      <c r="K32" s="24" t="s">
        <v>20</v>
      </c>
      <c r="L32" s="25" t="s">
        <v>21</v>
      </c>
      <c r="M32" s="25" t="s">
        <v>21</v>
      </c>
      <c r="N32" s="25" t="s">
        <v>21</v>
      </c>
      <c r="O32" s="111" t="s">
        <v>23</v>
      </c>
      <c r="P32" s="111" t="s">
        <v>23</v>
      </c>
      <c r="Q32" s="22" t="s">
        <v>18</v>
      </c>
      <c r="R32" s="22" t="s">
        <v>18</v>
      </c>
      <c r="S32" s="22" t="s">
        <v>18</v>
      </c>
      <c r="T32" s="23" t="s">
        <v>19</v>
      </c>
      <c r="U32" s="23" t="s">
        <v>19</v>
      </c>
      <c r="V32" s="22" t="s">
        <v>18</v>
      </c>
      <c r="W32" s="111" t="s">
        <v>23</v>
      </c>
      <c r="X32" s="111" t="s">
        <v>23</v>
      </c>
      <c r="Y32" s="110" t="s">
        <v>23</v>
      </c>
      <c r="Z32" s="110" t="s">
        <v>23</v>
      </c>
      <c r="AA32" s="110" t="s">
        <v>23</v>
      </c>
      <c r="AB32" s="110" t="s">
        <v>23</v>
      </c>
      <c r="AC32" s="110" t="s">
        <v>23</v>
      </c>
      <c r="AD32" s="110" t="s">
        <v>23</v>
      </c>
      <c r="AE32" s="111" t="s">
        <v>23</v>
      </c>
      <c r="AF32" s="111" t="s">
        <v>23</v>
      </c>
      <c r="AG32" s="112">
        <v>0</v>
      </c>
      <c r="AH32" s="112"/>
      <c r="AI32" s="112"/>
      <c r="AJ32" s="112"/>
      <c r="AK32" s="113" t="s">
        <v>31</v>
      </c>
      <c r="AM32" s="19"/>
      <c r="AN32" s="19"/>
      <c r="AO32" s="19"/>
      <c r="AP32" s="50"/>
    </row>
    <row r="33" spans="1:44">
      <c r="A33" s="121">
        <v>44576</v>
      </c>
      <c r="B33" s="109">
        <v>1600</v>
      </c>
      <c r="C33" s="109"/>
      <c r="D33" s="109" cm="1">
        <f t="array" ref="D33">(SUM(VLOOKUP(I33:AF33,$AM$4:$AO$44,2,FALSE))+AG33*10)*IF(AK33="是",$AY$4,$AY$3)</f>
        <v>1808</v>
      </c>
      <c r="E33" s="57">
        <f>SUM($B$4:B33)+SUM($C$4:C33)-SUM($D$4:D33)</f>
        <v>5888</v>
      </c>
      <c r="F33" s="109" cm="1">
        <f t="array" ref="F33">SUM(VLOOKUP(I33:AF33,$AM$4:$AO$44,3,FALSE))</f>
        <v>705</v>
      </c>
      <c r="G33" s="109">
        <f>SUM($F$4:F33)+SUM($H$4:H33)</f>
        <v>18085</v>
      </c>
      <c r="H33" s="109">
        <v>0</v>
      </c>
      <c r="I33" s="25" t="s">
        <v>21</v>
      </c>
      <c r="J33" s="29" t="s">
        <v>47</v>
      </c>
      <c r="K33" s="25" t="s">
        <v>21</v>
      </c>
      <c r="L33" s="25" t="s">
        <v>21</v>
      </c>
      <c r="M33" s="25" t="s">
        <v>21</v>
      </c>
      <c r="N33" s="25" t="s">
        <v>21</v>
      </c>
      <c r="O33" s="25" t="s">
        <v>21</v>
      </c>
      <c r="P33" s="25" t="s">
        <v>21</v>
      </c>
      <c r="Q33" s="22" t="s">
        <v>18</v>
      </c>
      <c r="R33" s="22" t="s">
        <v>18</v>
      </c>
      <c r="S33" s="22" t="s">
        <v>18</v>
      </c>
      <c r="T33" s="23" t="s">
        <v>19</v>
      </c>
      <c r="U33" s="23" t="s">
        <v>19</v>
      </c>
      <c r="V33" s="23" t="s">
        <v>19</v>
      </c>
      <c r="W33" s="111" t="s">
        <v>23</v>
      </c>
      <c r="X33" s="111" t="s">
        <v>23</v>
      </c>
      <c r="Y33" s="110" t="s">
        <v>23</v>
      </c>
      <c r="Z33" s="110" t="s">
        <v>23</v>
      </c>
      <c r="AA33" s="110" t="s">
        <v>23</v>
      </c>
      <c r="AB33" s="110" t="s">
        <v>23</v>
      </c>
      <c r="AC33" s="110" t="s">
        <v>23</v>
      </c>
      <c r="AD33" s="110" t="s">
        <v>23</v>
      </c>
      <c r="AE33" s="111" t="s">
        <v>23</v>
      </c>
      <c r="AF33" s="111" t="s">
        <v>23</v>
      </c>
      <c r="AG33" s="112">
        <v>1</v>
      </c>
      <c r="AH33" s="112"/>
      <c r="AI33" s="112">
        <v>1</v>
      </c>
      <c r="AJ33" s="112"/>
      <c r="AK33" s="113" t="s">
        <v>31</v>
      </c>
      <c r="AM33" s="19"/>
      <c r="AN33" s="19"/>
      <c r="AO33" s="19"/>
      <c r="AP33" s="50"/>
    </row>
    <row r="34" spans="1:44">
      <c r="A34" s="121">
        <v>44577</v>
      </c>
      <c r="B34" s="109">
        <v>1600</v>
      </c>
      <c r="C34" s="109"/>
      <c r="D34" s="109" cm="1">
        <f t="array" ref="D34">(SUM(VLOOKUP(I34:AF34,$AM$4:$AO$44,2,FALSE))+AG34*10)*IF(AK34="是",$AY$4,$AY$3)</f>
        <v>1824</v>
      </c>
      <c r="E34" s="57">
        <f>SUM($B$4:B34)+SUM($C$4:C34)-SUM($D$4:D34)</f>
        <v>5664</v>
      </c>
      <c r="F34" s="109" cm="1">
        <f t="array" ref="F34">SUM(VLOOKUP(I34:AF34,$AM$4:$AO$44,3,FALSE))</f>
        <v>660</v>
      </c>
      <c r="G34" s="109">
        <f>SUM($F$4:F34)+SUM($H$4:H34)</f>
        <v>18745</v>
      </c>
      <c r="H34" s="109">
        <v>0</v>
      </c>
      <c r="I34" s="25" t="s">
        <v>21</v>
      </c>
      <c r="J34" s="25" t="s">
        <v>21</v>
      </c>
      <c r="K34" s="25" t="s">
        <v>21</v>
      </c>
      <c r="L34" s="25" t="s">
        <v>21</v>
      </c>
      <c r="M34" s="25" t="s">
        <v>21</v>
      </c>
      <c r="N34" s="25" t="s">
        <v>21</v>
      </c>
      <c r="O34" s="111" t="s">
        <v>23</v>
      </c>
      <c r="P34" s="111" t="s">
        <v>23</v>
      </c>
      <c r="Q34" s="23" t="s">
        <v>19</v>
      </c>
      <c r="R34" s="23" t="s">
        <v>19</v>
      </c>
      <c r="S34" s="23" t="s">
        <v>19</v>
      </c>
      <c r="T34" s="23" t="s">
        <v>19</v>
      </c>
      <c r="U34" s="23" t="s">
        <v>19</v>
      </c>
      <c r="V34" s="23" t="s">
        <v>19</v>
      </c>
      <c r="W34" s="111" t="s">
        <v>23</v>
      </c>
      <c r="X34" s="111" t="s">
        <v>23</v>
      </c>
      <c r="Y34" s="110" t="s">
        <v>23</v>
      </c>
      <c r="Z34" s="110" t="s">
        <v>23</v>
      </c>
      <c r="AA34" s="110" t="s">
        <v>23</v>
      </c>
      <c r="AB34" s="110" t="s">
        <v>23</v>
      </c>
      <c r="AC34" s="110" t="s">
        <v>23</v>
      </c>
      <c r="AD34" s="110" t="s">
        <v>23</v>
      </c>
      <c r="AE34" s="111" t="s">
        <v>23</v>
      </c>
      <c r="AF34" s="111" t="s">
        <v>23</v>
      </c>
      <c r="AG34" s="112">
        <v>0</v>
      </c>
      <c r="AH34" s="112"/>
      <c r="AI34" s="112"/>
      <c r="AJ34" s="112"/>
      <c r="AK34" s="113" t="s">
        <v>31</v>
      </c>
      <c r="AM34" s="19"/>
      <c r="AN34" s="19"/>
      <c r="AO34" s="19"/>
      <c r="AP34" s="50"/>
    </row>
    <row r="35" spans="1:44">
      <c r="A35" s="121">
        <v>44578</v>
      </c>
      <c r="B35" s="110">
        <v>1600</v>
      </c>
      <c r="C35" s="110"/>
      <c r="D35" s="109" cm="1">
        <f t="array" ref="D35">(SUM(VLOOKUP(I35:AF35,$AM$4:$AO$44,2,FALSE))+AG35*10)*IF(AK35="是",$AY$4,$AY$3)</f>
        <v>1800</v>
      </c>
      <c r="E35" s="57">
        <f>SUM($B$4:B35)+SUM($C$4:C35)-SUM($D$4:D35)</f>
        <v>5464</v>
      </c>
      <c r="F35" s="109" cm="1">
        <f t="array" ref="F35">SUM(VLOOKUP(I35:AF35,$AM$4:$AO$44,3,FALSE))</f>
        <v>660</v>
      </c>
      <c r="G35" s="109">
        <f>SUM($F$4:F35)+SUM($H$4:H35)</f>
        <v>19605</v>
      </c>
      <c r="H35" s="110">
        <v>200</v>
      </c>
      <c r="I35" s="25" t="s">
        <v>21</v>
      </c>
      <c r="J35" s="25" t="s">
        <v>21</v>
      </c>
      <c r="K35" s="25" t="s">
        <v>21</v>
      </c>
      <c r="L35" s="25" t="s">
        <v>21</v>
      </c>
      <c r="M35" s="25" t="s">
        <v>21</v>
      </c>
      <c r="N35" s="25" t="s">
        <v>21</v>
      </c>
      <c r="O35" s="111" t="s">
        <v>23</v>
      </c>
      <c r="P35" s="111" t="s">
        <v>23</v>
      </c>
      <c r="Q35" s="23" t="s">
        <v>19</v>
      </c>
      <c r="R35" s="23" t="s">
        <v>8</v>
      </c>
      <c r="S35" s="23" t="s">
        <v>19</v>
      </c>
      <c r="T35" s="23" t="s">
        <v>19</v>
      </c>
      <c r="U35" s="23" t="s">
        <v>19</v>
      </c>
      <c r="V35" s="23" t="s">
        <v>19</v>
      </c>
      <c r="W35" s="111" t="s">
        <v>23</v>
      </c>
      <c r="X35" s="111" t="s">
        <v>23</v>
      </c>
      <c r="Y35" s="110" t="s">
        <v>23</v>
      </c>
      <c r="Z35" s="110" t="s">
        <v>23</v>
      </c>
      <c r="AA35" s="110" t="s">
        <v>23</v>
      </c>
      <c r="AB35" s="110" t="s">
        <v>23</v>
      </c>
      <c r="AC35" s="110" t="s">
        <v>23</v>
      </c>
      <c r="AD35" s="110" t="s">
        <v>23</v>
      </c>
      <c r="AE35" s="111" t="s">
        <v>23</v>
      </c>
      <c r="AF35" s="111" t="s">
        <v>23</v>
      </c>
      <c r="AG35" s="112">
        <v>0</v>
      </c>
      <c r="AH35" s="112"/>
      <c r="AI35" s="112"/>
      <c r="AJ35" s="112"/>
      <c r="AK35" s="113" t="s">
        <v>31</v>
      </c>
      <c r="AM35" s="19"/>
      <c r="AN35" s="19"/>
      <c r="AO35" s="19"/>
      <c r="AP35" s="50"/>
    </row>
    <row r="36" spans="1:44">
      <c r="A36" s="121">
        <v>44579</v>
      </c>
      <c r="B36" s="110">
        <v>1600</v>
      </c>
      <c r="C36" s="110"/>
      <c r="D36" s="109" cm="1">
        <f t="array" ref="D36">(SUM(VLOOKUP(I36:AF36,$AM$4:$AO$44,2,FALSE))+AG36*10)*IF(AK36="是",$AY$4,$AY$3)</f>
        <v>1872</v>
      </c>
      <c r="E36" s="57">
        <f>SUM($B$4:B36)+SUM($C$4:C36)-SUM($D$4:D36)</f>
        <v>5192</v>
      </c>
      <c r="F36" s="109" cm="1">
        <f t="array" ref="F36">SUM(VLOOKUP(I36:AF36,$AM$4:$AO$44,3,FALSE))</f>
        <v>690</v>
      </c>
      <c r="G36" s="109">
        <f>SUM($F$4:F36)+SUM($H$4:H36)</f>
        <v>20395</v>
      </c>
      <c r="H36" s="110">
        <v>100</v>
      </c>
      <c r="I36" s="25" t="s">
        <v>21</v>
      </c>
      <c r="J36" s="25" t="s">
        <v>21</v>
      </c>
      <c r="K36" s="25" t="s">
        <v>21</v>
      </c>
      <c r="L36" s="25" t="s">
        <v>21</v>
      </c>
      <c r="M36" s="25" t="s">
        <v>21</v>
      </c>
      <c r="N36" s="25" t="s">
        <v>21</v>
      </c>
      <c r="O36" s="111" t="s">
        <v>23</v>
      </c>
      <c r="P36" s="111" t="s">
        <v>23</v>
      </c>
      <c r="Q36" s="24" t="s">
        <v>20</v>
      </c>
      <c r="R36" s="24" t="s">
        <v>20</v>
      </c>
      <c r="S36" s="24" t="s">
        <v>20</v>
      </c>
      <c r="T36" s="24" t="s">
        <v>20</v>
      </c>
      <c r="U36" s="24" t="s">
        <v>20</v>
      </c>
      <c r="V36" s="24" t="s">
        <v>20</v>
      </c>
      <c r="W36" s="111" t="s">
        <v>23</v>
      </c>
      <c r="X36" s="111" t="s">
        <v>23</v>
      </c>
      <c r="Y36" s="110" t="s">
        <v>23</v>
      </c>
      <c r="Z36" s="110" t="s">
        <v>23</v>
      </c>
      <c r="AA36" s="110" t="s">
        <v>23</v>
      </c>
      <c r="AB36" s="110" t="s">
        <v>23</v>
      </c>
      <c r="AC36" s="110" t="s">
        <v>23</v>
      </c>
      <c r="AD36" s="110" t="s">
        <v>23</v>
      </c>
      <c r="AE36" s="111" t="s">
        <v>23</v>
      </c>
      <c r="AF36" s="111" t="s">
        <v>23</v>
      </c>
      <c r="AG36" s="112">
        <v>0</v>
      </c>
      <c r="AH36" s="112"/>
      <c r="AI36" s="112"/>
      <c r="AJ36" s="112"/>
      <c r="AK36" s="113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21">
        <v>44580</v>
      </c>
      <c r="B37" s="110">
        <v>1600</v>
      </c>
      <c r="C37" s="110"/>
      <c r="D37" s="109" cm="1">
        <f t="array" ref="D37">(SUM(VLOOKUP(I37:AF37,$AM$4:$AO$44,2,FALSE))+AG37*10)*IF(AK37="是",$AY$4,$AY$3)</f>
        <v>1912</v>
      </c>
      <c r="E37" s="57">
        <f>SUM($B$4:B37)+SUM($C$4:C37)-SUM($D$4:D37)</f>
        <v>4880</v>
      </c>
      <c r="F37" s="109" cm="1">
        <f t="array" ref="F37">SUM(VLOOKUP(I37:AF37,$AM$4:$AO$44,3,FALSE))</f>
        <v>1630</v>
      </c>
      <c r="G37" s="109">
        <f>SUM($F$4:F37)+SUM($H$4:H37)</f>
        <v>22225</v>
      </c>
      <c r="H37" s="110">
        <v>200</v>
      </c>
      <c r="I37" s="25" t="s">
        <v>21</v>
      </c>
      <c r="J37" s="25" t="s">
        <v>21</v>
      </c>
      <c r="K37" s="25" t="s">
        <v>21</v>
      </c>
      <c r="L37" s="25" t="s">
        <v>21</v>
      </c>
      <c r="M37" s="25" t="s">
        <v>21</v>
      </c>
      <c r="N37" s="32" t="s">
        <v>15</v>
      </c>
      <c r="O37" s="111" t="s">
        <v>23</v>
      </c>
      <c r="P37" s="111" t="s">
        <v>23</v>
      </c>
      <c r="Q37" s="24" t="s">
        <v>20</v>
      </c>
      <c r="R37" s="24" t="s">
        <v>20</v>
      </c>
      <c r="S37" s="24" t="s">
        <v>20</v>
      </c>
      <c r="T37" s="24" t="s">
        <v>20</v>
      </c>
      <c r="U37" s="24" t="s">
        <v>20</v>
      </c>
      <c r="V37" s="24" t="s">
        <v>20</v>
      </c>
      <c r="W37" s="111" t="s">
        <v>23</v>
      </c>
      <c r="X37" s="111" t="s">
        <v>23</v>
      </c>
      <c r="Y37" s="110" t="s">
        <v>23</v>
      </c>
      <c r="Z37" s="110" t="s">
        <v>23</v>
      </c>
      <c r="AA37" s="110" t="s">
        <v>23</v>
      </c>
      <c r="AB37" s="110" t="s">
        <v>23</v>
      </c>
      <c r="AC37" s="110" t="s">
        <v>23</v>
      </c>
      <c r="AD37" s="110" t="s">
        <v>23</v>
      </c>
      <c r="AE37" s="111" t="s">
        <v>23</v>
      </c>
      <c r="AF37" s="111" t="s">
        <v>23</v>
      </c>
      <c r="AG37" s="112">
        <v>0</v>
      </c>
      <c r="AH37" s="112"/>
      <c r="AI37" s="112"/>
      <c r="AJ37" s="112"/>
      <c r="AK37" s="113" t="s">
        <v>31</v>
      </c>
      <c r="AL37" s="108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21">
        <v>44581</v>
      </c>
      <c r="B38" s="110">
        <v>1600</v>
      </c>
      <c r="C38" s="110"/>
      <c r="D38" s="109" cm="1">
        <f t="array" ref="D38">(SUM(VLOOKUP(I38:AF38,$AM$4:$AO$44,2,FALSE))+AG38*10)*IF(AK38="是",$AY$4,$AY$3)</f>
        <v>1872</v>
      </c>
      <c r="E38" s="57">
        <f>SUM($B$4:B38)+SUM($C$4:C38)-SUM($D$4:D38)</f>
        <v>4608</v>
      </c>
      <c r="F38" s="109" cm="1">
        <f t="array" ref="F38">SUM(VLOOKUP(I38:AF38,$AM$4:$AO$44,3,FALSE))</f>
        <v>750</v>
      </c>
      <c r="G38" s="109">
        <f>SUM($F$4:F38)+SUM($H$4:H38)</f>
        <v>22975</v>
      </c>
      <c r="H38" s="110">
        <v>0</v>
      </c>
      <c r="I38" s="25" t="s">
        <v>21</v>
      </c>
      <c r="J38" s="25" t="s">
        <v>21</v>
      </c>
      <c r="K38" s="25" t="s">
        <v>21</v>
      </c>
      <c r="L38" s="25" t="s">
        <v>21</v>
      </c>
      <c r="M38" s="25" t="s">
        <v>21</v>
      </c>
      <c r="N38" s="25" t="s">
        <v>21</v>
      </c>
      <c r="O38" s="111" t="s">
        <v>23</v>
      </c>
      <c r="P38" s="111" t="s">
        <v>23</v>
      </c>
      <c r="Q38" s="24" t="s">
        <v>20</v>
      </c>
      <c r="R38" s="24" t="s">
        <v>20</v>
      </c>
      <c r="S38" s="24" t="s">
        <v>20</v>
      </c>
      <c r="T38" s="29" t="s">
        <v>47</v>
      </c>
      <c r="U38" s="24" t="s">
        <v>20</v>
      </c>
      <c r="V38" s="24" t="s">
        <v>20</v>
      </c>
      <c r="W38" s="24" t="s">
        <v>20</v>
      </c>
      <c r="X38" s="25" t="s">
        <v>21</v>
      </c>
      <c r="Y38" s="110" t="s">
        <v>23</v>
      </c>
      <c r="Z38" s="110" t="s">
        <v>23</v>
      </c>
      <c r="AA38" s="110" t="s">
        <v>23</v>
      </c>
      <c r="AB38" s="110" t="s">
        <v>23</v>
      </c>
      <c r="AC38" s="110" t="s">
        <v>23</v>
      </c>
      <c r="AD38" s="110" t="s">
        <v>23</v>
      </c>
      <c r="AE38" s="111" t="s">
        <v>23</v>
      </c>
      <c r="AF38" s="111" t="s">
        <v>23</v>
      </c>
      <c r="AG38" s="112">
        <v>0</v>
      </c>
      <c r="AH38" s="112"/>
      <c r="AI38" s="112"/>
      <c r="AJ38" s="112"/>
      <c r="AK38" s="113" t="s">
        <v>31</v>
      </c>
      <c r="AL38" s="108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21">
        <v>44582</v>
      </c>
      <c r="B39" s="110">
        <v>1600</v>
      </c>
      <c r="C39" s="110"/>
      <c r="D39" s="109" cm="1">
        <f t="array" ref="D39">(SUM(VLOOKUP(I39:AF39,$AM$4:$AO$44,2,FALSE))+AG39*10)*IF(AK39="是",$AY$4,$AY$3)</f>
        <v>1920</v>
      </c>
      <c r="E39" s="57">
        <f>SUM($B$4:B39)+SUM($C$4:C39)-SUM($D$4:D39)</f>
        <v>4288</v>
      </c>
      <c r="F39" s="109" cm="1">
        <f t="array" ref="F39">SUM(VLOOKUP(I39:AF39,$AM$4:$AO$44,3,FALSE))</f>
        <v>720</v>
      </c>
      <c r="G39" s="109">
        <f>SUM($F$4:F39)+SUM($H$4:H39)</f>
        <v>23695</v>
      </c>
      <c r="H39" s="110">
        <v>0</v>
      </c>
      <c r="I39" s="25" t="s">
        <v>21</v>
      </c>
      <c r="J39" s="25" t="s">
        <v>21</v>
      </c>
      <c r="K39" s="25" t="s">
        <v>21</v>
      </c>
      <c r="L39" s="25" t="s">
        <v>21</v>
      </c>
      <c r="M39" s="25" t="s">
        <v>21</v>
      </c>
      <c r="N39" s="25" t="s">
        <v>21</v>
      </c>
      <c r="O39" s="111" t="s">
        <v>23</v>
      </c>
      <c r="P39" s="111" t="s">
        <v>23</v>
      </c>
      <c r="Q39" s="25" t="s">
        <v>21</v>
      </c>
      <c r="R39" s="25" t="s">
        <v>21</v>
      </c>
      <c r="S39" s="25" t="s">
        <v>21</v>
      </c>
      <c r="T39" s="25" t="s">
        <v>21</v>
      </c>
      <c r="U39" s="25" t="s">
        <v>21</v>
      </c>
      <c r="V39" s="25" t="s">
        <v>21</v>
      </c>
      <c r="W39" s="111" t="s">
        <v>23</v>
      </c>
      <c r="X39" s="111" t="s">
        <v>23</v>
      </c>
      <c r="Y39" s="110" t="s">
        <v>23</v>
      </c>
      <c r="Z39" s="110" t="s">
        <v>23</v>
      </c>
      <c r="AA39" s="110" t="s">
        <v>23</v>
      </c>
      <c r="AB39" s="110" t="s">
        <v>23</v>
      </c>
      <c r="AC39" s="110" t="s">
        <v>23</v>
      </c>
      <c r="AD39" s="110" t="s">
        <v>23</v>
      </c>
      <c r="AE39" s="111" t="s">
        <v>23</v>
      </c>
      <c r="AF39" s="111" t="s">
        <v>23</v>
      </c>
      <c r="AG39" s="112">
        <v>0</v>
      </c>
      <c r="AH39" s="112"/>
      <c r="AI39" s="112"/>
      <c r="AJ39" s="112"/>
      <c r="AK39" s="113" t="s">
        <v>31</v>
      </c>
      <c r="AL39" s="108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21">
        <v>44583</v>
      </c>
      <c r="B40" s="110">
        <v>1600</v>
      </c>
      <c r="C40" s="110"/>
      <c r="D40" s="109" cm="1">
        <f t="array" ref="D40">(SUM(VLOOKUP(I40:AF40,$AM$4:$AO$44,2,FALSE))+AG40*10)*IF(AK40="是",$AY$4,$AY$3)</f>
        <v>1920</v>
      </c>
      <c r="E40" s="57">
        <f>SUM($B$4:B40)+SUM($C$4:C40)-SUM($D$4:D40)</f>
        <v>3968</v>
      </c>
      <c r="F40" s="109" cm="1">
        <f t="array" ref="F40">SUM(VLOOKUP(I40:AF40,$AM$4:$AO$44,3,FALSE))</f>
        <v>720</v>
      </c>
      <c r="G40" s="109">
        <f>SUM($F$4:F40)+SUM($H$4:H40)</f>
        <v>24415</v>
      </c>
      <c r="H40" s="110">
        <v>0</v>
      </c>
      <c r="I40" s="25" t="s">
        <v>21</v>
      </c>
      <c r="J40" s="25" t="s">
        <v>21</v>
      </c>
      <c r="K40" s="25" t="s">
        <v>21</v>
      </c>
      <c r="L40" s="25" t="s">
        <v>21</v>
      </c>
      <c r="M40" s="25" t="s">
        <v>21</v>
      </c>
      <c r="N40" s="25" t="s">
        <v>21</v>
      </c>
      <c r="O40" s="111" t="s">
        <v>23</v>
      </c>
      <c r="P40" s="111" t="s">
        <v>23</v>
      </c>
      <c r="Q40" s="25" t="s">
        <v>21</v>
      </c>
      <c r="R40" s="25" t="s">
        <v>21</v>
      </c>
      <c r="S40" s="25" t="s">
        <v>21</v>
      </c>
      <c r="T40" s="25" t="s">
        <v>21</v>
      </c>
      <c r="U40" s="25" t="s">
        <v>21</v>
      </c>
      <c r="V40" s="25" t="s">
        <v>21</v>
      </c>
      <c r="W40" s="111" t="s">
        <v>23</v>
      </c>
      <c r="X40" s="111" t="s">
        <v>23</v>
      </c>
      <c r="Y40" s="110" t="s">
        <v>23</v>
      </c>
      <c r="Z40" s="110" t="s">
        <v>23</v>
      </c>
      <c r="AA40" s="110" t="s">
        <v>23</v>
      </c>
      <c r="AB40" s="110" t="s">
        <v>23</v>
      </c>
      <c r="AC40" s="110" t="s">
        <v>23</v>
      </c>
      <c r="AD40" s="110" t="s">
        <v>23</v>
      </c>
      <c r="AE40" s="111" t="s">
        <v>23</v>
      </c>
      <c r="AF40" s="111" t="s">
        <v>23</v>
      </c>
      <c r="AG40" s="112">
        <v>0</v>
      </c>
      <c r="AH40" s="112"/>
      <c r="AI40" s="112"/>
      <c r="AJ40" s="112"/>
      <c r="AK40" s="113" t="s">
        <v>31</v>
      </c>
      <c r="AL40" s="108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21">
        <v>44584</v>
      </c>
      <c r="B41" s="110">
        <v>1600</v>
      </c>
      <c r="C41" s="110"/>
      <c r="D41" s="109" cm="1">
        <f t="array" ref="D41">(SUM(VLOOKUP(I41:AF41,$AM$4:$AO$44,2,FALSE))+AG41*10)*IF(AK41="是",$AY$4,$AY$3)</f>
        <v>1880</v>
      </c>
      <c r="E41" s="57">
        <f>SUM($B$4:B41)+SUM($C$4:C41)-SUM($D$4:D41)</f>
        <v>3688</v>
      </c>
      <c r="F41" s="109" cm="1">
        <f t="array" ref="F41">SUM(VLOOKUP(I41:AF41,$AM$4:$AO$44,3,FALSE))</f>
        <v>695</v>
      </c>
      <c r="G41" s="109">
        <f>SUM($F$4:F41)+SUM($H$4:H41)</f>
        <v>25110</v>
      </c>
      <c r="H41" s="110">
        <v>0</v>
      </c>
      <c r="I41" s="25" t="s">
        <v>21</v>
      </c>
      <c r="J41" s="24" t="s">
        <v>20</v>
      </c>
      <c r="K41" s="24" t="s">
        <v>20</v>
      </c>
      <c r="L41" s="24" t="s">
        <v>20</v>
      </c>
      <c r="M41" s="24" t="s">
        <v>20</v>
      </c>
      <c r="N41" s="24" t="s">
        <v>20</v>
      </c>
      <c r="O41" s="111" t="s">
        <v>23</v>
      </c>
      <c r="P41" s="111" t="s">
        <v>23</v>
      </c>
      <c r="Q41" s="25" t="s">
        <v>21</v>
      </c>
      <c r="R41" s="25" t="s">
        <v>21</v>
      </c>
      <c r="S41" s="25" t="s">
        <v>21</v>
      </c>
      <c r="T41" s="25" t="s">
        <v>21</v>
      </c>
      <c r="U41" s="25" t="s">
        <v>21</v>
      </c>
      <c r="V41" s="25" t="s">
        <v>21</v>
      </c>
      <c r="W41" s="111" t="s">
        <v>23</v>
      </c>
      <c r="X41" s="111" t="s">
        <v>23</v>
      </c>
      <c r="Y41" s="110" t="s">
        <v>23</v>
      </c>
      <c r="Z41" s="110" t="s">
        <v>23</v>
      </c>
      <c r="AA41" s="110" t="s">
        <v>23</v>
      </c>
      <c r="AB41" s="110" t="s">
        <v>23</v>
      </c>
      <c r="AC41" s="110" t="s">
        <v>23</v>
      </c>
      <c r="AD41" s="110" t="s">
        <v>23</v>
      </c>
      <c r="AE41" s="111" t="s">
        <v>23</v>
      </c>
      <c r="AF41" s="111" t="s">
        <v>23</v>
      </c>
      <c r="AG41" s="112">
        <v>0</v>
      </c>
      <c r="AH41" s="112"/>
      <c r="AI41" s="112"/>
      <c r="AJ41" s="112"/>
      <c r="AK41" s="113" t="s">
        <v>31</v>
      </c>
      <c r="AL41" s="108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21">
        <v>44585</v>
      </c>
      <c r="B42" s="109">
        <v>1600</v>
      </c>
      <c r="C42" s="109"/>
      <c r="D42" s="109" cm="1">
        <f t="array" ref="D42">(SUM(VLOOKUP(I42:AF42,$AM$4:$AO$44,2,FALSE))+AG42*10)*IF(AK42="是",$AY$4,$AY$3)</f>
        <v>1872</v>
      </c>
      <c r="E42" s="57">
        <f>SUM($B$4:B42)+SUM($C$4:C42)-SUM($D$4:D42)</f>
        <v>3416</v>
      </c>
      <c r="F42" s="109" cm="1">
        <f t="array" ref="F42">SUM(VLOOKUP(I42:AF42,$AM$4:$AO$44,3,FALSE))</f>
        <v>750</v>
      </c>
      <c r="G42" s="109">
        <f>SUM($F$4:F42)+SUM($H$4:H42)</f>
        <v>26160</v>
      </c>
      <c r="H42" s="109">
        <v>300</v>
      </c>
      <c r="I42" s="24" t="s">
        <v>20</v>
      </c>
      <c r="J42" s="24" t="s">
        <v>20</v>
      </c>
      <c r="K42" s="24" t="s">
        <v>20</v>
      </c>
      <c r="L42" s="24" t="s">
        <v>20</v>
      </c>
      <c r="M42" s="24" t="s">
        <v>20</v>
      </c>
      <c r="N42" s="24" t="s">
        <v>20</v>
      </c>
      <c r="O42" s="111" t="s">
        <v>23</v>
      </c>
      <c r="P42" s="111" t="s">
        <v>23</v>
      </c>
      <c r="Q42" s="25" t="s">
        <v>21</v>
      </c>
      <c r="R42" s="25" t="s">
        <v>21</v>
      </c>
      <c r="S42" s="29" t="s">
        <v>47</v>
      </c>
      <c r="T42" s="25" t="s">
        <v>21</v>
      </c>
      <c r="U42" s="25" t="s">
        <v>21</v>
      </c>
      <c r="V42" s="25" t="s">
        <v>21</v>
      </c>
      <c r="W42" s="25" t="s">
        <v>21</v>
      </c>
      <c r="X42" s="25" t="s">
        <v>21</v>
      </c>
      <c r="Y42" s="110" t="s">
        <v>23</v>
      </c>
      <c r="Z42" s="110" t="s">
        <v>23</v>
      </c>
      <c r="AA42" s="110" t="s">
        <v>23</v>
      </c>
      <c r="AB42" s="110" t="s">
        <v>23</v>
      </c>
      <c r="AC42" s="110" t="s">
        <v>23</v>
      </c>
      <c r="AD42" s="110" t="s">
        <v>23</v>
      </c>
      <c r="AE42" s="111" t="s">
        <v>23</v>
      </c>
      <c r="AF42" s="111" t="s">
        <v>23</v>
      </c>
      <c r="AG42" s="112">
        <v>0</v>
      </c>
      <c r="AH42" s="112"/>
      <c r="AI42" s="112"/>
      <c r="AJ42" s="112"/>
      <c r="AK42" s="113" t="s">
        <v>31</v>
      </c>
      <c r="AL42" s="108"/>
      <c r="AM42" s="19"/>
      <c r="AN42" s="19"/>
      <c r="AO42" s="19"/>
      <c r="AP42" s="50"/>
    </row>
    <row r="43" spans="1:44">
      <c r="A43" s="121">
        <v>44586</v>
      </c>
      <c r="B43" s="109">
        <v>1600</v>
      </c>
      <c r="C43" s="109"/>
      <c r="D43" s="109" cm="1">
        <f t="array" ref="D43">(SUM(VLOOKUP(I43:AF43,$AM$4:$AO$44,2,FALSE))+AG43*10)*IF(AK43="是",$AY$4,$AY$3)</f>
        <v>1872</v>
      </c>
      <c r="E43" s="57">
        <f>SUM($B$4:B43)+SUM($C$4:C43)-SUM($D$4:D43)</f>
        <v>3144</v>
      </c>
      <c r="F43" s="109" cm="1">
        <f t="array" ref="F43">SUM(VLOOKUP(I43:AF43,$AM$4:$AO$44,3,FALSE))</f>
        <v>690</v>
      </c>
      <c r="G43" s="109">
        <f>SUM($F$4:F43)+SUM($H$4:H43)</f>
        <v>26850</v>
      </c>
      <c r="H43" s="109">
        <v>0</v>
      </c>
      <c r="I43" s="24" t="s">
        <v>20</v>
      </c>
      <c r="J43" s="24" t="s">
        <v>20</v>
      </c>
      <c r="K43" s="24" t="s">
        <v>20</v>
      </c>
      <c r="L43" s="24" t="s">
        <v>20</v>
      </c>
      <c r="M43" s="24" t="s">
        <v>20</v>
      </c>
      <c r="N43" s="24" t="s">
        <v>20</v>
      </c>
      <c r="O43" s="111" t="s">
        <v>23</v>
      </c>
      <c r="P43" s="111" t="s">
        <v>23</v>
      </c>
      <c r="Q43" s="25" t="s">
        <v>21</v>
      </c>
      <c r="R43" s="25" t="s">
        <v>21</v>
      </c>
      <c r="S43" s="25" t="s">
        <v>21</v>
      </c>
      <c r="T43" s="25" t="s">
        <v>21</v>
      </c>
      <c r="U43" s="25" t="s">
        <v>21</v>
      </c>
      <c r="V43" s="25" t="s">
        <v>21</v>
      </c>
      <c r="W43" s="111" t="s">
        <v>23</v>
      </c>
      <c r="X43" s="111" t="s">
        <v>23</v>
      </c>
      <c r="Y43" s="110" t="s">
        <v>23</v>
      </c>
      <c r="Z43" s="110" t="s">
        <v>23</v>
      </c>
      <c r="AA43" s="110" t="s">
        <v>23</v>
      </c>
      <c r="AB43" s="110" t="s">
        <v>23</v>
      </c>
      <c r="AC43" s="110" t="s">
        <v>23</v>
      </c>
      <c r="AD43" s="110" t="s">
        <v>23</v>
      </c>
      <c r="AE43" s="111" t="s">
        <v>23</v>
      </c>
      <c r="AF43" s="111" t="s">
        <v>23</v>
      </c>
      <c r="AG43" s="112">
        <v>0</v>
      </c>
      <c r="AH43" s="112"/>
      <c r="AI43" s="112"/>
      <c r="AJ43" s="112"/>
      <c r="AK43" s="113" t="s">
        <v>31</v>
      </c>
      <c r="AL43" s="108"/>
      <c r="AM43" s="19"/>
      <c r="AN43" s="19"/>
      <c r="AO43" s="19"/>
      <c r="AP43" s="50"/>
    </row>
    <row r="44" spans="1:44">
      <c r="A44" s="121">
        <v>44587</v>
      </c>
      <c r="B44" s="109">
        <v>1600</v>
      </c>
      <c r="C44" s="109"/>
      <c r="D44" s="109" cm="1">
        <f t="array" ref="D44">(SUM(VLOOKUP(I44:AF44,$AM$4:$AO$44,2,FALSE))+AG44*10)*IF(AK44="是",$AY$4,$AY$3)</f>
        <v>1872</v>
      </c>
      <c r="E44" s="57">
        <f>SUM($B$4:B44)+SUM($C$4:C44)-SUM($D$4:D44)</f>
        <v>2872</v>
      </c>
      <c r="F44" s="109" cm="1">
        <f t="array" ref="F44">SUM(VLOOKUP(I44:AF44,$AM$4:$AO$44,3,FALSE))</f>
        <v>690</v>
      </c>
      <c r="G44" s="109">
        <f>SUM($F$4:F44)+SUM($H$4:H44)</f>
        <v>27740</v>
      </c>
      <c r="H44" s="109">
        <v>200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111" t="s">
        <v>23</v>
      </c>
      <c r="P44" s="111" t="s">
        <v>23</v>
      </c>
      <c r="Q44" s="25" t="s">
        <v>21</v>
      </c>
      <c r="R44" s="25" t="s">
        <v>21</v>
      </c>
      <c r="S44" s="25" t="s">
        <v>21</v>
      </c>
      <c r="T44" s="25" t="s">
        <v>21</v>
      </c>
      <c r="U44" s="25" t="s">
        <v>21</v>
      </c>
      <c r="V44" s="25" t="s">
        <v>21</v>
      </c>
      <c r="W44" s="111" t="s">
        <v>23</v>
      </c>
      <c r="X44" s="111" t="s">
        <v>23</v>
      </c>
      <c r="Y44" s="110" t="s">
        <v>23</v>
      </c>
      <c r="Z44" s="110" t="s">
        <v>23</v>
      </c>
      <c r="AA44" s="110" t="s">
        <v>23</v>
      </c>
      <c r="AB44" s="110" t="s">
        <v>23</v>
      </c>
      <c r="AC44" s="110" t="s">
        <v>23</v>
      </c>
      <c r="AD44" s="110" t="s">
        <v>23</v>
      </c>
      <c r="AE44" s="111" t="s">
        <v>23</v>
      </c>
      <c r="AF44" s="111" t="s">
        <v>23</v>
      </c>
      <c r="AG44" s="112">
        <v>0</v>
      </c>
      <c r="AH44" s="112"/>
      <c r="AI44" s="112"/>
      <c r="AJ44" s="112"/>
      <c r="AK44" s="113" t="s">
        <v>31</v>
      </c>
      <c r="AL44" s="108"/>
      <c r="AM44" s="19"/>
      <c r="AN44" s="19"/>
      <c r="AO44" s="19"/>
      <c r="AP44" s="50"/>
    </row>
    <row r="45" spans="1:44">
      <c r="A45" s="121">
        <v>44588</v>
      </c>
      <c r="B45" s="109">
        <v>1600</v>
      </c>
      <c r="C45" s="109"/>
      <c r="D45" s="109" cm="1">
        <f t="array" ref="D45">(SUM(VLOOKUP(I45:AF45,$AM$4:$AO$44,2,FALSE))+AG45*10)*IF(AK45="是",$AY$4,$AY$3)</f>
        <v>1760</v>
      </c>
      <c r="E45" s="57">
        <f>SUM($B$4:B45)+SUM($C$4:C45)-SUM($D$4:D45)</f>
        <v>2712</v>
      </c>
      <c r="F45" s="109" cm="1">
        <f t="array" ref="F45">SUM(VLOOKUP(I45:AF45,$AM$4:$AO$44,3,FALSE))</f>
        <v>665</v>
      </c>
      <c r="G45" s="109">
        <f>SUM($F$4:F45)+SUM($H$4:H45)</f>
        <v>28405</v>
      </c>
      <c r="H45" s="109">
        <v>0</v>
      </c>
      <c r="I45" s="24" t="s">
        <v>20</v>
      </c>
      <c r="J45" s="24" t="s">
        <v>20</v>
      </c>
      <c r="K45" s="24" t="s">
        <v>20</v>
      </c>
      <c r="L45" s="28" t="s">
        <v>12</v>
      </c>
      <c r="M45" s="24" t="s">
        <v>20</v>
      </c>
      <c r="N45" s="24" t="s">
        <v>20</v>
      </c>
      <c r="O45" s="111" t="s">
        <v>23</v>
      </c>
      <c r="P45" s="111" t="s">
        <v>23</v>
      </c>
      <c r="Q45" s="25" t="s">
        <v>21</v>
      </c>
      <c r="R45" s="25" t="s">
        <v>21</v>
      </c>
      <c r="S45" s="25" t="s">
        <v>21</v>
      </c>
      <c r="T45" s="25" t="s">
        <v>21</v>
      </c>
      <c r="U45" s="25" t="s">
        <v>21</v>
      </c>
      <c r="V45" s="25" t="s">
        <v>21</v>
      </c>
      <c r="W45" s="111" t="s">
        <v>23</v>
      </c>
      <c r="X45" s="111" t="s">
        <v>23</v>
      </c>
      <c r="Y45" s="110" t="s">
        <v>23</v>
      </c>
      <c r="Z45" s="110" t="s">
        <v>23</v>
      </c>
      <c r="AA45" s="110" t="s">
        <v>23</v>
      </c>
      <c r="AB45" s="110" t="s">
        <v>23</v>
      </c>
      <c r="AC45" s="110" t="s">
        <v>23</v>
      </c>
      <c r="AD45" s="110" t="s">
        <v>23</v>
      </c>
      <c r="AE45" s="111" t="s">
        <v>23</v>
      </c>
      <c r="AF45" s="111" t="s">
        <v>23</v>
      </c>
      <c r="AG45" s="112">
        <v>0</v>
      </c>
      <c r="AH45" s="112"/>
      <c r="AI45" s="112"/>
      <c r="AJ45" s="112"/>
      <c r="AK45" s="113" t="s">
        <v>31</v>
      </c>
      <c r="AL45" s="108"/>
    </row>
    <row r="46" spans="1:44">
      <c r="A46" s="121">
        <v>44589</v>
      </c>
      <c r="B46" s="109">
        <v>1600</v>
      </c>
      <c r="C46" s="109"/>
      <c r="D46" s="109" cm="1">
        <f t="array" ref="D46">(SUM(VLOOKUP(I46:AF46,$AM$4:$AO$44,2,FALSE))+AG46*10)*IF(AK46="是",$AY$4,$AY$3)</f>
        <v>1872</v>
      </c>
      <c r="E46" s="57">
        <f>SUM($B$4:B46)+SUM($C$4:C46)-SUM($D$4:D46)</f>
        <v>2440</v>
      </c>
      <c r="F46" s="109" cm="1">
        <f t="array" ref="F46">SUM(VLOOKUP(I46:AF46,$AM$4:$AO$44,3,FALSE))</f>
        <v>690</v>
      </c>
      <c r="G46" s="109">
        <f>SUM($F$4:F46)+SUM($H$4:H46)</f>
        <v>29095</v>
      </c>
      <c r="H46" s="109">
        <v>0</v>
      </c>
      <c r="I46" s="24" t="s">
        <v>20</v>
      </c>
      <c r="J46" s="24" t="s">
        <v>20</v>
      </c>
      <c r="K46" s="24" t="s">
        <v>20</v>
      </c>
      <c r="L46" s="24" t="s">
        <v>20</v>
      </c>
      <c r="M46" s="24" t="s">
        <v>20</v>
      </c>
      <c r="N46" s="24" t="s">
        <v>20</v>
      </c>
      <c r="O46" s="111" t="s">
        <v>23</v>
      </c>
      <c r="P46" s="111" t="s">
        <v>23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25" t="s">
        <v>21</v>
      </c>
      <c r="W46" s="111" t="s">
        <v>23</v>
      </c>
      <c r="X46" s="111" t="s">
        <v>23</v>
      </c>
      <c r="Y46" s="110" t="s">
        <v>23</v>
      </c>
      <c r="Z46" s="110" t="s">
        <v>23</v>
      </c>
      <c r="AA46" s="110" t="s">
        <v>23</v>
      </c>
      <c r="AB46" s="110" t="s">
        <v>23</v>
      </c>
      <c r="AC46" s="110" t="s">
        <v>23</v>
      </c>
      <c r="AD46" s="110" t="s">
        <v>23</v>
      </c>
      <c r="AE46" s="111" t="s">
        <v>23</v>
      </c>
      <c r="AF46" s="111" t="s">
        <v>23</v>
      </c>
      <c r="AG46" s="112">
        <v>0</v>
      </c>
      <c r="AH46" s="112"/>
      <c r="AI46" s="112"/>
      <c r="AJ46" s="112"/>
      <c r="AK46" s="113" t="s">
        <v>31</v>
      </c>
      <c r="AL46" s="108"/>
    </row>
    <row r="47" spans="1:44">
      <c r="A47" s="121">
        <v>44590</v>
      </c>
      <c r="B47" s="109">
        <v>1600</v>
      </c>
      <c r="C47" s="109"/>
      <c r="D47" s="109" cm="1">
        <f t="array" ref="D47">(SUM(VLOOKUP(I47:AF47,$AM$4:$AO$44,2,FALSE))+AG47*10)*IF(AK47="是",$AY$4,$AY$3)</f>
        <v>1912</v>
      </c>
      <c r="E47" s="57">
        <f>SUM($B$4:B47)+SUM($C$4:C47)-SUM($D$4:D47)</f>
        <v>2128</v>
      </c>
      <c r="F47" s="109" cm="1">
        <f t="array" ref="F47">SUM(VLOOKUP(I47:AF47,$AM$4:$AO$44,3,FALSE))</f>
        <v>1630</v>
      </c>
      <c r="G47" s="109">
        <f>SUM($F$4:F47)+SUM($H$4:H47)</f>
        <v>30725</v>
      </c>
      <c r="H47" s="109">
        <v>0</v>
      </c>
      <c r="I47" s="24" t="s">
        <v>20</v>
      </c>
      <c r="J47" s="24" t="s">
        <v>20</v>
      </c>
      <c r="K47" s="24" t="s">
        <v>20</v>
      </c>
      <c r="L47" s="24" t="s">
        <v>20</v>
      </c>
      <c r="M47" s="24" t="s">
        <v>20</v>
      </c>
      <c r="N47" s="24" t="s">
        <v>20</v>
      </c>
      <c r="O47" s="111" t="s">
        <v>23</v>
      </c>
      <c r="P47" s="111" t="s">
        <v>23</v>
      </c>
      <c r="Q47" s="25" t="s">
        <v>21</v>
      </c>
      <c r="R47" s="32" t="s">
        <v>15</v>
      </c>
      <c r="S47" s="25" t="s">
        <v>21</v>
      </c>
      <c r="T47" s="25" t="s">
        <v>21</v>
      </c>
      <c r="U47" s="25" t="s">
        <v>21</v>
      </c>
      <c r="V47" s="25" t="s">
        <v>21</v>
      </c>
      <c r="W47" s="111" t="s">
        <v>23</v>
      </c>
      <c r="X47" s="111" t="s">
        <v>23</v>
      </c>
      <c r="Y47" s="110" t="s">
        <v>23</v>
      </c>
      <c r="Z47" s="110" t="s">
        <v>23</v>
      </c>
      <c r="AA47" s="110" t="s">
        <v>23</v>
      </c>
      <c r="AB47" s="110" t="s">
        <v>23</v>
      </c>
      <c r="AC47" s="110" t="s">
        <v>23</v>
      </c>
      <c r="AD47" s="110" t="s">
        <v>23</v>
      </c>
      <c r="AE47" s="111" t="s">
        <v>23</v>
      </c>
      <c r="AF47" s="111" t="s">
        <v>23</v>
      </c>
      <c r="AG47" s="112">
        <v>0</v>
      </c>
      <c r="AH47" s="112"/>
      <c r="AI47" s="112"/>
      <c r="AJ47" s="112"/>
      <c r="AK47" s="113" t="s">
        <v>31</v>
      </c>
      <c r="AL47" s="108"/>
    </row>
    <row r="48" spans="1:44">
      <c r="A48" s="121">
        <v>44591</v>
      </c>
      <c r="B48" s="109">
        <v>1600</v>
      </c>
      <c r="C48" s="109"/>
      <c r="D48" s="109" cm="1">
        <f t="array" ref="D48">(SUM(VLOOKUP(I48:AF48,$AM$4:$AO$44,2,FALSE))+AG48*10)*IF(AK48="是",$AY$4,$AY$3)</f>
        <v>1872</v>
      </c>
      <c r="E48" s="57">
        <f>SUM($B$4:B48)+SUM($C$4:C48)-SUM($D$4:D48)</f>
        <v>1856</v>
      </c>
      <c r="F48" s="109" cm="1">
        <f t="array" ref="F48">SUM(VLOOKUP(I48:AF48,$AM$4:$AO$44,3,FALSE))</f>
        <v>690</v>
      </c>
      <c r="G48" s="109">
        <f>SUM($F$4:F48)+SUM($H$4:H48)</f>
        <v>31415</v>
      </c>
      <c r="H48" s="109">
        <v>0</v>
      </c>
      <c r="I48" s="24" t="s">
        <v>20</v>
      </c>
      <c r="J48" s="24" t="s">
        <v>20</v>
      </c>
      <c r="K48" s="24" t="s">
        <v>20</v>
      </c>
      <c r="L48" s="24" t="s">
        <v>20</v>
      </c>
      <c r="M48" s="24" t="s">
        <v>20</v>
      </c>
      <c r="N48" s="24" t="s">
        <v>20</v>
      </c>
      <c r="O48" s="111" t="s">
        <v>23</v>
      </c>
      <c r="P48" s="111" t="s">
        <v>23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25" t="s">
        <v>21</v>
      </c>
      <c r="W48" s="111" t="s">
        <v>23</v>
      </c>
      <c r="X48" s="111" t="s">
        <v>23</v>
      </c>
      <c r="Y48" s="110" t="s">
        <v>23</v>
      </c>
      <c r="Z48" s="110" t="s">
        <v>23</v>
      </c>
      <c r="AA48" s="110" t="s">
        <v>23</v>
      </c>
      <c r="AB48" s="110" t="s">
        <v>23</v>
      </c>
      <c r="AC48" s="110" t="s">
        <v>23</v>
      </c>
      <c r="AD48" s="110" t="s">
        <v>23</v>
      </c>
      <c r="AE48" s="111" t="s">
        <v>23</v>
      </c>
      <c r="AF48" s="111" t="s">
        <v>23</v>
      </c>
      <c r="AG48" s="112">
        <v>0</v>
      </c>
      <c r="AH48" s="112"/>
      <c r="AI48" s="112"/>
      <c r="AJ48" s="112"/>
      <c r="AK48" s="113" t="s">
        <v>31</v>
      </c>
      <c r="AL48" s="108"/>
    </row>
    <row r="49" spans="1:38">
      <c r="A49" s="121">
        <v>44592</v>
      </c>
      <c r="B49" s="110">
        <v>1600</v>
      </c>
      <c r="C49" s="110"/>
      <c r="D49" s="109" cm="1">
        <f t="array" ref="D49">(SUM(VLOOKUP(I49:AF49,$AM$4:$AO$44,2,FALSE))+AG49*10)*IF(AK49="是",$AY$4,$AY$3)</f>
        <v>1920</v>
      </c>
      <c r="E49" s="57">
        <f>SUM($B$4:B49)+SUM($C$4:C49)-SUM($D$4:D49)</f>
        <v>1536</v>
      </c>
      <c r="F49" s="109" cm="1">
        <f t="array" ref="F49">SUM(VLOOKUP(I49:AF49,$AM$4:$AO$44,3,FALSE))</f>
        <v>1135</v>
      </c>
      <c r="G49" s="109">
        <f>SUM($F$4:F49)+SUM($H$4:H49)</f>
        <v>32750</v>
      </c>
      <c r="H49" s="110">
        <v>200</v>
      </c>
      <c r="I49" s="35" t="s">
        <v>41</v>
      </c>
      <c r="J49" s="24" t="s">
        <v>20</v>
      </c>
      <c r="K49" s="24" t="s">
        <v>20</v>
      </c>
      <c r="L49" s="24" t="s">
        <v>20</v>
      </c>
      <c r="M49" s="24" t="s">
        <v>20</v>
      </c>
      <c r="N49" s="24" t="s">
        <v>20</v>
      </c>
      <c r="O49" s="111" t="s">
        <v>23</v>
      </c>
      <c r="P49" s="111" t="s">
        <v>23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25" t="s">
        <v>21</v>
      </c>
      <c r="W49" s="111" t="s">
        <v>23</v>
      </c>
      <c r="X49" s="111" t="s">
        <v>23</v>
      </c>
      <c r="Y49" s="110" t="s">
        <v>23</v>
      </c>
      <c r="Z49" s="110" t="s">
        <v>23</v>
      </c>
      <c r="AA49" s="110" t="s">
        <v>23</v>
      </c>
      <c r="AB49" s="110" t="s">
        <v>23</v>
      </c>
      <c r="AC49" s="110" t="s">
        <v>23</v>
      </c>
      <c r="AD49" s="110" t="s">
        <v>23</v>
      </c>
      <c r="AE49" s="111" t="s">
        <v>23</v>
      </c>
      <c r="AF49" s="111" t="s">
        <v>23</v>
      </c>
      <c r="AG49" s="112">
        <v>0</v>
      </c>
      <c r="AH49" s="112"/>
      <c r="AI49" s="112"/>
      <c r="AJ49" s="112"/>
      <c r="AK49" s="113" t="s">
        <v>31</v>
      </c>
      <c r="AL49" s="108"/>
    </row>
    <row r="50" spans="1:38">
      <c r="A50" s="121">
        <v>44593</v>
      </c>
      <c r="B50" s="110">
        <v>1600</v>
      </c>
      <c r="C50" s="110"/>
      <c r="D50" s="109" cm="1">
        <f t="array" ref="D50">(SUM(VLOOKUP(I50:AF50,$AM$4:$AO$44,2,FALSE))+AG50*10)*IF(AK50="是",$AY$4,$AY$3)</f>
        <v>1728</v>
      </c>
      <c r="E50" s="57">
        <f>SUM($B$4:B50)+SUM($C$4:C50)-SUM($D$4:D50)</f>
        <v>1408</v>
      </c>
      <c r="F50" s="109" cm="1">
        <f t="array" ref="F50">SUM(VLOOKUP(I50:AF50,$AM$4:$AO$44,3,FALSE))</f>
        <v>665</v>
      </c>
      <c r="G50" s="109">
        <f>SUM($F$4:F50)+SUM($H$4:H50)</f>
        <v>33515</v>
      </c>
      <c r="H50" s="110">
        <v>100</v>
      </c>
      <c r="I50" s="24" t="s">
        <v>9</v>
      </c>
      <c r="J50" s="24" t="s">
        <v>20</v>
      </c>
      <c r="K50" s="28" t="s">
        <v>12</v>
      </c>
      <c r="L50" s="24" t="s">
        <v>20</v>
      </c>
      <c r="M50" s="24" t="s">
        <v>20</v>
      </c>
      <c r="N50" s="24" t="s">
        <v>20</v>
      </c>
      <c r="O50" s="111" t="s">
        <v>23</v>
      </c>
      <c r="P50" s="111" t="s">
        <v>23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111" t="s">
        <v>23</v>
      </c>
      <c r="X50" s="111" t="s">
        <v>23</v>
      </c>
      <c r="Y50" s="110" t="s">
        <v>23</v>
      </c>
      <c r="Z50" s="110" t="s">
        <v>23</v>
      </c>
      <c r="AA50" s="110" t="s">
        <v>23</v>
      </c>
      <c r="AB50" s="110" t="s">
        <v>23</v>
      </c>
      <c r="AC50" s="110" t="s">
        <v>23</v>
      </c>
      <c r="AD50" s="110" t="s">
        <v>23</v>
      </c>
      <c r="AE50" s="111" t="s">
        <v>23</v>
      </c>
      <c r="AF50" s="111" t="s">
        <v>23</v>
      </c>
      <c r="AG50" s="112">
        <v>0</v>
      </c>
      <c r="AH50" s="112"/>
      <c r="AI50" s="112"/>
      <c r="AJ50" s="112"/>
      <c r="AK50" s="113" t="s">
        <v>31</v>
      </c>
      <c r="AL50" s="108"/>
    </row>
    <row r="51" spans="1:38">
      <c r="A51" s="121">
        <v>44594</v>
      </c>
      <c r="B51" s="110">
        <v>1600</v>
      </c>
      <c r="C51" s="110"/>
      <c r="D51" s="109" cm="1">
        <f t="array" ref="D51">(SUM(VLOOKUP(I51:AF51,$AM$4:$AO$44,2,FALSE))+AG51*10)*IF(AK51="是",$AY$4,$AY$3)</f>
        <v>1872</v>
      </c>
      <c r="E51" s="57">
        <f>SUM($B$4:B51)+SUM($C$4:C51)-SUM($D$4:D51)</f>
        <v>1136</v>
      </c>
      <c r="F51" s="109" cm="1">
        <f t="array" ref="F51">SUM(VLOOKUP(I51:AF51,$AM$4:$AO$44,3,FALSE))</f>
        <v>690</v>
      </c>
      <c r="G51" s="109">
        <f>SUM($F$4:F51)+SUM($H$4:H51)</f>
        <v>34405</v>
      </c>
      <c r="H51" s="110">
        <v>200</v>
      </c>
      <c r="I51" s="24" t="s">
        <v>20</v>
      </c>
      <c r="J51" s="24" t="s">
        <v>20</v>
      </c>
      <c r="K51" s="24" t="s">
        <v>20</v>
      </c>
      <c r="L51" s="24" t="s">
        <v>20</v>
      </c>
      <c r="M51" s="24" t="s">
        <v>20</v>
      </c>
      <c r="N51" s="24" t="s">
        <v>20</v>
      </c>
      <c r="O51" s="111" t="s">
        <v>23</v>
      </c>
      <c r="P51" s="111" t="s">
        <v>23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25" t="s">
        <v>21</v>
      </c>
      <c r="W51" s="111" t="s">
        <v>23</v>
      </c>
      <c r="X51" s="111" t="s">
        <v>23</v>
      </c>
      <c r="Y51" s="110" t="s">
        <v>23</v>
      </c>
      <c r="Z51" s="110" t="s">
        <v>23</v>
      </c>
      <c r="AA51" s="110" t="s">
        <v>23</v>
      </c>
      <c r="AB51" s="110" t="s">
        <v>23</v>
      </c>
      <c r="AC51" s="110" t="s">
        <v>23</v>
      </c>
      <c r="AD51" s="110" t="s">
        <v>23</v>
      </c>
      <c r="AE51" s="111" t="s">
        <v>23</v>
      </c>
      <c r="AF51" s="111" t="s">
        <v>23</v>
      </c>
      <c r="AG51" s="112">
        <v>0</v>
      </c>
      <c r="AH51" s="112"/>
      <c r="AI51" s="112"/>
      <c r="AJ51" s="112"/>
      <c r="AK51" s="113" t="s">
        <v>31</v>
      </c>
      <c r="AL51" s="108"/>
    </row>
    <row r="52" spans="1:38">
      <c r="A52" s="121">
        <v>44595</v>
      </c>
      <c r="B52" s="110">
        <v>1600</v>
      </c>
      <c r="C52" s="110"/>
      <c r="D52" s="109" cm="1">
        <f t="array" ref="D52">(SUM(VLOOKUP(I52:AF52,$AM$4:$AO$44,2,FALSE))+AG52*10)*IF(AK52="是",$AY$4,$AY$3)</f>
        <v>1872</v>
      </c>
      <c r="E52" s="57">
        <f>SUM($B$4:B52)+SUM($C$4:C52)-SUM($D$4:D52)</f>
        <v>864</v>
      </c>
      <c r="F52" s="109" cm="1">
        <f t="array" ref="F52">SUM(VLOOKUP(I52:AF52,$AM$4:$AO$44,3,FALSE))</f>
        <v>690</v>
      </c>
      <c r="G52" s="109">
        <f>SUM($F$4:F52)+SUM($H$4:H52)</f>
        <v>35095</v>
      </c>
      <c r="H52" s="110">
        <v>0</v>
      </c>
      <c r="I52" s="24" t="s">
        <v>20</v>
      </c>
      <c r="J52" s="24" t="s">
        <v>20</v>
      </c>
      <c r="K52" s="24" t="s">
        <v>20</v>
      </c>
      <c r="L52" s="24" t="s">
        <v>20</v>
      </c>
      <c r="M52" s="24" t="s">
        <v>20</v>
      </c>
      <c r="N52" s="24" t="s">
        <v>20</v>
      </c>
      <c r="O52" s="111" t="s">
        <v>23</v>
      </c>
      <c r="P52" s="111" t="s">
        <v>23</v>
      </c>
      <c r="Q52" s="25" t="s">
        <v>21</v>
      </c>
      <c r="R52" s="25" t="s">
        <v>21</v>
      </c>
      <c r="S52" s="25" t="s">
        <v>21</v>
      </c>
      <c r="T52" s="25" t="s">
        <v>21</v>
      </c>
      <c r="U52" s="25" t="s">
        <v>21</v>
      </c>
      <c r="V52" s="25" t="s">
        <v>21</v>
      </c>
      <c r="W52" s="111" t="s">
        <v>23</v>
      </c>
      <c r="X52" s="111" t="s">
        <v>23</v>
      </c>
      <c r="Y52" s="110" t="s">
        <v>23</v>
      </c>
      <c r="Z52" s="110" t="s">
        <v>23</v>
      </c>
      <c r="AA52" s="110" t="s">
        <v>23</v>
      </c>
      <c r="AB52" s="110" t="s">
        <v>23</v>
      </c>
      <c r="AC52" s="110" t="s">
        <v>23</v>
      </c>
      <c r="AD52" s="110" t="s">
        <v>23</v>
      </c>
      <c r="AE52" s="111" t="s">
        <v>23</v>
      </c>
      <c r="AF52" s="111" t="s">
        <v>23</v>
      </c>
      <c r="AG52" s="112">
        <v>0</v>
      </c>
      <c r="AH52" s="112"/>
      <c r="AI52" s="112"/>
      <c r="AJ52" s="112"/>
      <c r="AK52" s="113" t="s">
        <v>31</v>
      </c>
      <c r="AL52" s="108"/>
    </row>
    <row r="53" spans="1:38">
      <c r="A53" s="121">
        <v>44596</v>
      </c>
      <c r="B53" s="110">
        <v>1600</v>
      </c>
      <c r="C53" s="110"/>
      <c r="D53" s="109" cm="1">
        <f t="array" ref="D53">(SUM(VLOOKUP(I53:AF53,$AM$4:$AO$44,2,FALSE))+AG53*10)*IF(AK53="是",$AY$4,$AY$3)</f>
        <v>1872</v>
      </c>
      <c r="E53" s="57">
        <f>SUM($B$4:B53)+SUM($C$4:C53)-SUM($D$4:D53)</f>
        <v>592</v>
      </c>
      <c r="F53" s="109" cm="1">
        <f t="array" ref="F53">SUM(VLOOKUP(I53:AF53,$AM$4:$AO$44,3,FALSE))</f>
        <v>750</v>
      </c>
      <c r="G53" s="109">
        <f>SUM($F$4:F53)+SUM($H$4:H53)</f>
        <v>35845</v>
      </c>
      <c r="H53" s="110">
        <v>0</v>
      </c>
      <c r="I53" s="24" t="s">
        <v>20</v>
      </c>
      <c r="J53" s="24" t="s">
        <v>20</v>
      </c>
      <c r="K53" s="24" t="s">
        <v>20</v>
      </c>
      <c r="L53" s="24" t="s">
        <v>20</v>
      </c>
      <c r="M53" s="24" t="s">
        <v>20</v>
      </c>
      <c r="N53" s="24" t="s">
        <v>20</v>
      </c>
      <c r="O53" s="111" t="s">
        <v>23</v>
      </c>
      <c r="P53" s="111" t="s">
        <v>23</v>
      </c>
      <c r="Q53" s="25" t="s">
        <v>21</v>
      </c>
      <c r="R53" s="25" t="s">
        <v>21</v>
      </c>
      <c r="S53" s="25" t="s">
        <v>21</v>
      </c>
      <c r="T53" s="29" t="s">
        <v>47</v>
      </c>
      <c r="U53" s="25" t="s">
        <v>21</v>
      </c>
      <c r="V53" s="25" t="s">
        <v>21</v>
      </c>
      <c r="W53" s="25" t="s">
        <v>21</v>
      </c>
      <c r="X53" s="25" t="s">
        <v>21</v>
      </c>
      <c r="Y53" s="110" t="s">
        <v>23</v>
      </c>
      <c r="Z53" s="110" t="s">
        <v>23</v>
      </c>
      <c r="AA53" s="110" t="s">
        <v>23</v>
      </c>
      <c r="AB53" s="110" t="s">
        <v>23</v>
      </c>
      <c r="AC53" s="110" t="s">
        <v>23</v>
      </c>
      <c r="AD53" s="110" t="s">
        <v>23</v>
      </c>
      <c r="AE53" s="111" t="s">
        <v>23</v>
      </c>
      <c r="AF53" s="111" t="s">
        <v>23</v>
      </c>
      <c r="AG53" s="112">
        <v>0</v>
      </c>
      <c r="AH53" s="112"/>
      <c r="AI53" s="112"/>
      <c r="AJ53" s="112"/>
      <c r="AK53" s="113" t="s">
        <v>31</v>
      </c>
      <c r="AL53" s="108"/>
    </row>
    <row r="54" spans="1:38">
      <c r="A54" s="121">
        <v>44597</v>
      </c>
      <c r="B54" s="110">
        <v>1600</v>
      </c>
      <c r="C54" s="110"/>
      <c r="D54" s="109" cm="1">
        <f t="array" ref="D54">(SUM(VLOOKUP(I54:AF54,$AM$4:$AO$44,2,FALSE))+AG54*10)*IF(AK54="是",$AY$4,$AY$3)</f>
        <v>1872</v>
      </c>
      <c r="E54" s="57">
        <f>SUM($B$4:B54)+SUM($C$4:C54)-SUM($D$4:D54)</f>
        <v>320</v>
      </c>
      <c r="F54" s="109" cm="1">
        <f t="array" ref="F54">SUM(VLOOKUP(I54:AF54,$AM$4:$AO$44,3,FALSE))</f>
        <v>690</v>
      </c>
      <c r="G54" s="109">
        <f>SUM($F$4:F54)+SUM($H$4:H54)</f>
        <v>36535</v>
      </c>
      <c r="H54" s="110">
        <v>0</v>
      </c>
      <c r="I54" s="24" t="s">
        <v>20</v>
      </c>
      <c r="J54" s="24" t="s">
        <v>20</v>
      </c>
      <c r="K54" s="24" t="s">
        <v>20</v>
      </c>
      <c r="L54" s="24" t="s">
        <v>20</v>
      </c>
      <c r="M54" s="24" t="s">
        <v>20</v>
      </c>
      <c r="N54" s="24" t="s">
        <v>20</v>
      </c>
      <c r="O54" s="111" t="s">
        <v>23</v>
      </c>
      <c r="P54" s="111" t="s">
        <v>23</v>
      </c>
      <c r="Q54" s="25" t="s">
        <v>21</v>
      </c>
      <c r="R54" s="25" t="s">
        <v>21</v>
      </c>
      <c r="S54" s="25" t="s">
        <v>21</v>
      </c>
      <c r="T54" s="25" t="s">
        <v>21</v>
      </c>
      <c r="U54" s="25" t="s">
        <v>21</v>
      </c>
      <c r="V54" s="25" t="s">
        <v>21</v>
      </c>
      <c r="W54" s="111" t="s">
        <v>23</v>
      </c>
      <c r="X54" s="111" t="s">
        <v>23</v>
      </c>
      <c r="Y54" s="110" t="s">
        <v>23</v>
      </c>
      <c r="Z54" s="110" t="s">
        <v>23</v>
      </c>
      <c r="AA54" s="110" t="s">
        <v>23</v>
      </c>
      <c r="AB54" s="110" t="s">
        <v>23</v>
      </c>
      <c r="AC54" s="110" t="s">
        <v>23</v>
      </c>
      <c r="AD54" s="110" t="s">
        <v>23</v>
      </c>
      <c r="AE54" s="111" t="s">
        <v>23</v>
      </c>
      <c r="AF54" s="111" t="s">
        <v>23</v>
      </c>
      <c r="AG54" s="112">
        <v>0</v>
      </c>
      <c r="AH54" s="112"/>
      <c r="AI54" s="112"/>
      <c r="AJ54" s="112"/>
      <c r="AK54" s="113" t="s">
        <v>31</v>
      </c>
      <c r="AL54" s="108"/>
    </row>
    <row r="55" spans="1:38">
      <c r="A55" s="121">
        <v>44598</v>
      </c>
      <c r="B55" s="110">
        <v>1600</v>
      </c>
      <c r="C55" s="110"/>
      <c r="D55" s="109" cm="1">
        <f t="array" ref="D55">(SUM(VLOOKUP(I55:AF55,$AM$4:$AO$44,2,FALSE))+AG55*10)*IF(AK55="是",$AY$4,$AY$3)</f>
        <v>1888</v>
      </c>
      <c r="E55" s="57">
        <f>SUM($B$4:B55)+SUM($C$4:C55)-SUM($D$4:D55)</f>
        <v>32</v>
      </c>
      <c r="F55" s="109" cm="1">
        <f t="array" ref="F55">SUM(VLOOKUP(I55:AF55,$AM$4:$AO$44,3,FALSE))</f>
        <v>1135</v>
      </c>
      <c r="G55" s="109">
        <f>SUM($F$4:F55)+SUM($H$4:H55)</f>
        <v>37670</v>
      </c>
      <c r="H55" s="110">
        <v>0</v>
      </c>
      <c r="I55" s="24" t="s">
        <v>9</v>
      </c>
      <c r="J55" s="24" t="s">
        <v>20</v>
      </c>
      <c r="K55" s="24" t="s">
        <v>20</v>
      </c>
      <c r="L55" s="24" t="s">
        <v>20</v>
      </c>
      <c r="M55" s="24" t="s">
        <v>20</v>
      </c>
      <c r="N55" s="35" t="s">
        <v>41</v>
      </c>
      <c r="O55" s="111" t="s">
        <v>23</v>
      </c>
      <c r="P55" s="111" t="s">
        <v>23</v>
      </c>
      <c r="Q55" s="25" t="s">
        <v>21</v>
      </c>
      <c r="R55" s="25" t="s">
        <v>21</v>
      </c>
      <c r="S55" s="25" t="s">
        <v>21</v>
      </c>
      <c r="T55" s="25" t="s">
        <v>21</v>
      </c>
      <c r="U55" s="25" t="s">
        <v>21</v>
      </c>
      <c r="V55" s="25" t="s">
        <v>21</v>
      </c>
      <c r="W55" s="111" t="s">
        <v>23</v>
      </c>
      <c r="X55" s="111" t="s">
        <v>23</v>
      </c>
      <c r="Y55" s="110" t="s">
        <v>23</v>
      </c>
      <c r="Z55" s="110" t="s">
        <v>23</v>
      </c>
      <c r="AA55" s="110" t="s">
        <v>23</v>
      </c>
      <c r="AB55" s="110" t="s">
        <v>23</v>
      </c>
      <c r="AC55" s="110" t="s">
        <v>23</v>
      </c>
      <c r="AD55" s="110" t="s">
        <v>23</v>
      </c>
      <c r="AE55" s="111" t="s">
        <v>23</v>
      </c>
      <c r="AF55" s="111" t="s">
        <v>23</v>
      </c>
      <c r="AG55" s="112">
        <v>0</v>
      </c>
      <c r="AH55" s="112"/>
      <c r="AI55" s="112"/>
      <c r="AJ55" s="112"/>
      <c r="AK55" s="113" t="s">
        <v>31</v>
      </c>
      <c r="AL55" s="108"/>
    </row>
    <row r="56" spans="1:38">
      <c r="A56" s="121">
        <v>44599</v>
      </c>
      <c r="B56" s="109">
        <v>1600</v>
      </c>
      <c r="C56" s="109"/>
      <c r="D56" s="109" cm="1">
        <f t="array" ref="D56">(SUM(VLOOKUP(I56:AF56,$AM$4:$AO$44,2,FALSE))+AG56*10)*IF(AK56="是",$AY$4,$AY$3)</f>
        <v>1552</v>
      </c>
      <c r="E56" s="57">
        <f>SUM($B$4:B56)+SUM($C$4:C56)-SUM($D$4:D56)</f>
        <v>80</v>
      </c>
      <c r="F56" s="109" cm="1">
        <f t="array" ref="F56">SUM(VLOOKUP(I56:AF56,$AM$4:$AO$44,3,FALSE))</f>
        <v>570</v>
      </c>
      <c r="G56" s="109">
        <f>SUM($F$4:F56)+SUM($H$4:H56)</f>
        <v>38540</v>
      </c>
      <c r="H56" s="109">
        <v>300</v>
      </c>
      <c r="I56" s="24" t="s">
        <v>20</v>
      </c>
      <c r="J56" s="24" t="s">
        <v>20</v>
      </c>
      <c r="K56" s="24" t="s">
        <v>20</v>
      </c>
      <c r="L56" s="24" t="s">
        <v>20</v>
      </c>
      <c r="M56" s="24" t="s">
        <v>20</v>
      </c>
      <c r="N56" s="24" t="s">
        <v>20</v>
      </c>
      <c r="O56" s="111" t="s">
        <v>23</v>
      </c>
      <c r="P56" s="111" t="s">
        <v>23</v>
      </c>
      <c r="Q56" s="128" t="s">
        <v>21</v>
      </c>
      <c r="R56" s="128" t="s">
        <v>21</v>
      </c>
      <c r="S56" s="128" t="s">
        <v>21</v>
      </c>
      <c r="T56" s="128" t="s">
        <v>21</v>
      </c>
      <c r="U56" s="110" t="s">
        <v>23</v>
      </c>
      <c r="V56" s="110" t="s">
        <v>23</v>
      </c>
      <c r="W56" s="111" t="s">
        <v>23</v>
      </c>
      <c r="X56" s="111" t="s">
        <v>23</v>
      </c>
      <c r="Y56" s="110" t="s">
        <v>23</v>
      </c>
      <c r="Z56" s="110" t="s">
        <v>23</v>
      </c>
      <c r="AA56" s="110" t="s">
        <v>23</v>
      </c>
      <c r="AB56" s="110" t="s">
        <v>23</v>
      </c>
      <c r="AC56" s="110" t="s">
        <v>23</v>
      </c>
      <c r="AD56" s="110" t="s">
        <v>23</v>
      </c>
      <c r="AE56" s="111" t="s">
        <v>23</v>
      </c>
      <c r="AF56" s="111" t="s">
        <v>23</v>
      </c>
      <c r="AG56" s="112">
        <v>0</v>
      </c>
      <c r="AH56" s="112"/>
      <c r="AI56" s="112"/>
      <c r="AJ56" s="112"/>
      <c r="AK56" s="113" t="s">
        <v>31</v>
      </c>
      <c r="AL56" s="108"/>
    </row>
    <row r="57" spans="1:38">
      <c r="A57" s="121">
        <v>44600</v>
      </c>
      <c r="B57" s="109">
        <v>1600</v>
      </c>
      <c r="C57" s="109"/>
      <c r="D57" s="109" cm="1">
        <f t="array" ref="D57">(SUM(VLOOKUP(I57:AF57,$AM$4:$AO$44,2,FALSE))+AG57*10)*IF(AK57="是",$AY$4,$AY$3)</f>
        <v>1544</v>
      </c>
      <c r="E57" s="57">
        <f>SUM($B$4:B57)+SUM($C$4:C57)-SUM($D$4:D57)</f>
        <v>136</v>
      </c>
      <c r="F57" s="109" cm="1">
        <f t="array" ref="F57">SUM(VLOOKUP(I57:AF57,$AM$4:$AO$44,3,FALSE))</f>
        <v>625</v>
      </c>
      <c r="G57" s="109">
        <f>SUM($F$4:F57)+SUM($H$4:H57)</f>
        <v>39165</v>
      </c>
      <c r="H57" s="109">
        <v>0</v>
      </c>
      <c r="I57" s="24" t="s">
        <v>20</v>
      </c>
      <c r="J57" s="24" t="s">
        <v>20</v>
      </c>
      <c r="K57" s="24" t="s">
        <v>20</v>
      </c>
      <c r="L57" s="24" t="s">
        <v>20</v>
      </c>
      <c r="M57" s="29" t="s">
        <v>47</v>
      </c>
      <c r="N57" s="24" t="s">
        <v>20</v>
      </c>
      <c r="O57" s="24" t="s">
        <v>20</v>
      </c>
      <c r="P57" s="24" t="s">
        <v>20</v>
      </c>
      <c r="Q57" s="128" t="s">
        <v>21</v>
      </c>
      <c r="R57" s="128" t="s">
        <v>21</v>
      </c>
      <c r="S57" s="128" t="s">
        <v>21</v>
      </c>
      <c r="T57" s="128" t="s">
        <v>21</v>
      </c>
      <c r="U57" s="110" t="s">
        <v>23</v>
      </c>
      <c r="V57" s="110" t="s">
        <v>23</v>
      </c>
      <c r="W57" s="111" t="s">
        <v>23</v>
      </c>
      <c r="X57" s="111" t="s">
        <v>23</v>
      </c>
      <c r="Y57" s="115" t="s">
        <v>23</v>
      </c>
      <c r="Z57" s="115" t="s">
        <v>23</v>
      </c>
      <c r="AA57" s="115" t="s">
        <v>23</v>
      </c>
      <c r="AB57" s="115" t="s">
        <v>23</v>
      </c>
      <c r="AC57" s="115" t="s">
        <v>23</v>
      </c>
      <c r="AD57" s="115" t="s">
        <v>23</v>
      </c>
      <c r="AE57" s="116" t="s">
        <v>23</v>
      </c>
      <c r="AF57" s="116" t="s">
        <v>23</v>
      </c>
      <c r="AG57" s="112">
        <v>0</v>
      </c>
      <c r="AH57" s="112"/>
      <c r="AI57" s="112"/>
      <c r="AJ57" s="112"/>
      <c r="AK57" s="113" t="s">
        <v>31</v>
      </c>
      <c r="AL57" s="108"/>
    </row>
    <row r="58" spans="1:38">
      <c r="A58" s="121">
        <v>44601</v>
      </c>
      <c r="B58" s="109">
        <v>1600</v>
      </c>
      <c r="C58" s="109"/>
      <c r="D58" s="109" cm="1">
        <f t="array" ref="D58">(SUM(VLOOKUP(I58:AF58,$AM$4:$AO$44,2,FALSE))+AG58*10)*IF(AK58="是",$AY$4,$AY$3)</f>
        <v>1552</v>
      </c>
      <c r="E58" s="57">
        <f>SUM($B$4:B58)+SUM($C$4:C58)-SUM($D$4:D58)</f>
        <v>184</v>
      </c>
      <c r="F58" s="109" cm="1">
        <f t="array" ref="F58">SUM(VLOOKUP(I58:AF58,$AM$4:$AO$44,3,FALSE))</f>
        <v>570</v>
      </c>
      <c r="G58" s="109">
        <f>SUM($F$4:F58)+SUM($H$4:H58)</f>
        <v>39935</v>
      </c>
      <c r="H58" s="109">
        <v>200</v>
      </c>
      <c r="I58" s="24" t="s">
        <v>20</v>
      </c>
      <c r="J58" s="24" t="s">
        <v>20</v>
      </c>
      <c r="K58" s="24" t="s">
        <v>20</v>
      </c>
      <c r="L58" s="24" t="s">
        <v>20</v>
      </c>
      <c r="M58" s="24" t="s">
        <v>20</v>
      </c>
      <c r="N58" s="24" t="s">
        <v>20</v>
      </c>
      <c r="O58" s="111" t="s">
        <v>23</v>
      </c>
      <c r="P58" s="111" t="s">
        <v>23</v>
      </c>
      <c r="Q58" s="128" t="s">
        <v>21</v>
      </c>
      <c r="R58" s="128" t="s">
        <v>21</v>
      </c>
      <c r="S58" s="128" t="s">
        <v>21</v>
      </c>
      <c r="T58" s="128" t="s">
        <v>21</v>
      </c>
      <c r="U58" s="110" t="s">
        <v>23</v>
      </c>
      <c r="V58" s="110" t="s">
        <v>23</v>
      </c>
      <c r="W58" s="111" t="s">
        <v>23</v>
      </c>
      <c r="X58" s="111" t="s">
        <v>23</v>
      </c>
      <c r="Y58" s="110" t="s">
        <v>23</v>
      </c>
      <c r="Z58" s="110" t="s">
        <v>23</v>
      </c>
      <c r="AA58" s="110" t="s">
        <v>23</v>
      </c>
      <c r="AB58" s="110" t="s">
        <v>23</v>
      </c>
      <c r="AC58" s="110" t="s">
        <v>23</v>
      </c>
      <c r="AD58" s="110" t="s">
        <v>23</v>
      </c>
      <c r="AE58" s="111" t="s">
        <v>23</v>
      </c>
      <c r="AF58" s="111" t="s">
        <v>23</v>
      </c>
      <c r="AG58" s="112">
        <v>0</v>
      </c>
      <c r="AH58" s="112"/>
      <c r="AI58" s="112"/>
      <c r="AJ58" s="112"/>
      <c r="AK58" s="113" t="s">
        <v>31</v>
      </c>
      <c r="AL58" s="108"/>
    </row>
    <row r="59" spans="1:38">
      <c r="A59" s="121">
        <v>44602</v>
      </c>
      <c r="B59" s="109">
        <v>1600</v>
      </c>
      <c r="C59" s="109"/>
      <c r="D59" s="109" cm="1">
        <f t="array" ref="D59">(SUM(VLOOKUP(I59:AF59,$AM$4:$AO$44,2,FALSE))+AG59*10)*IF(AK59="是",$AY$4,$AY$3)</f>
        <v>1600</v>
      </c>
      <c r="E59" s="57">
        <f>SUM($B$4:B59)+SUM($C$4:C59)-SUM($D$4:D59)</f>
        <v>184</v>
      </c>
      <c r="F59" s="109" cm="1">
        <f t="array" ref="F59">SUM(VLOOKUP(I59:AF59,$AM$4:$AO$44,3,FALSE))</f>
        <v>605</v>
      </c>
      <c r="G59" s="109">
        <f>SUM($F$4:F59)+SUM($H$4:H59)</f>
        <v>40540</v>
      </c>
      <c r="H59" s="109">
        <v>0</v>
      </c>
      <c r="I59" s="24" t="s">
        <v>20</v>
      </c>
      <c r="J59" s="28" t="s">
        <v>12</v>
      </c>
      <c r="K59" s="24" t="s">
        <v>20</v>
      </c>
      <c r="L59" s="24" t="s">
        <v>20</v>
      </c>
      <c r="M59" s="24" t="s">
        <v>20</v>
      </c>
      <c r="N59" s="24" t="s">
        <v>20</v>
      </c>
      <c r="O59" s="111" t="s">
        <v>23</v>
      </c>
      <c r="P59" s="111" t="s">
        <v>23</v>
      </c>
      <c r="Q59" s="128" t="s">
        <v>21</v>
      </c>
      <c r="R59" s="128" t="s">
        <v>21</v>
      </c>
      <c r="S59" s="128" t="s">
        <v>21</v>
      </c>
      <c r="T59" s="128" t="s">
        <v>21</v>
      </c>
      <c r="U59" s="128" t="s">
        <v>21</v>
      </c>
      <c r="V59" s="110" t="s">
        <v>23</v>
      </c>
      <c r="W59" s="111" t="s">
        <v>23</v>
      </c>
      <c r="X59" s="111" t="s">
        <v>23</v>
      </c>
      <c r="Y59" s="110" t="s">
        <v>23</v>
      </c>
      <c r="Z59" s="110" t="s">
        <v>23</v>
      </c>
      <c r="AA59" s="110" t="s">
        <v>23</v>
      </c>
      <c r="AB59" s="110" t="s">
        <v>23</v>
      </c>
      <c r="AC59" s="110" t="s">
        <v>23</v>
      </c>
      <c r="AD59" s="110" t="s">
        <v>23</v>
      </c>
      <c r="AE59" s="111" t="s">
        <v>23</v>
      </c>
      <c r="AF59" s="111" t="s">
        <v>23</v>
      </c>
      <c r="AG59" s="112">
        <v>0</v>
      </c>
      <c r="AH59" s="112"/>
      <c r="AI59" s="112"/>
      <c r="AJ59" s="112"/>
      <c r="AK59" s="113" t="s">
        <v>31</v>
      </c>
      <c r="AL59" s="108"/>
    </row>
    <row r="60" spans="1:38">
      <c r="A60" s="121">
        <v>44603</v>
      </c>
      <c r="B60" s="109">
        <v>1600</v>
      </c>
      <c r="C60" s="109"/>
      <c r="D60" s="109" cm="1">
        <f t="array" ref="D60">(SUM(VLOOKUP(I60:AF60,$AM$4:$AO$44,2,FALSE))+AG60*10)*IF(AK60="是",$AY$4,$AY$3)</f>
        <v>1712</v>
      </c>
      <c r="E60" s="57">
        <f>SUM($B$4:B60)+SUM($C$4:C60)-SUM($D$4:D60)</f>
        <v>72</v>
      </c>
      <c r="F60" s="109" cm="1">
        <f t="array" ref="F60">SUM(VLOOKUP(I60:AF60,$AM$4:$AO$44,3,FALSE))</f>
        <v>630</v>
      </c>
      <c r="G60" s="109">
        <f>SUM($F$4:F60)+SUM($H$4:H60)</f>
        <v>41170</v>
      </c>
      <c r="H60" s="109">
        <v>0</v>
      </c>
      <c r="I60" s="24" t="s">
        <v>20</v>
      </c>
      <c r="J60" s="24" t="s">
        <v>20</v>
      </c>
      <c r="K60" s="24" t="s">
        <v>20</v>
      </c>
      <c r="L60" s="24" t="s">
        <v>20</v>
      </c>
      <c r="M60" s="24" t="s">
        <v>20</v>
      </c>
      <c r="N60" s="24" t="s">
        <v>20</v>
      </c>
      <c r="O60" s="111" t="s">
        <v>23</v>
      </c>
      <c r="P60" s="111" t="s">
        <v>23</v>
      </c>
      <c r="Q60" s="128" t="s">
        <v>21</v>
      </c>
      <c r="R60" s="128" t="s">
        <v>21</v>
      </c>
      <c r="S60" s="128" t="s">
        <v>21</v>
      </c>
      <c r="T60" s="128" t="s">
        <v>21</v>
      </c>
      <c r="U60" s="128" t="s">
        <v>21</v>
      </c>
      <c r="V60" s="110" t="s">
        <v>23</v>
      </c>
      <c r="W60" s="111" t="s">
        <v>23</v>
      </c>
      <c r="X60" s="111" t="s">
        <v>23</v>
      </c>
      <c r="Y60" s="110" t="s">
        <v>23</v>
      </c>
      <c r="Z60" s="110" t="s">
        <v>23</v>
      </c>
      <c r="AA60" s="110" t="s">
        <v>23</v>
      </c>
      <c r="AB60" s="110" t="s">
        <v>23</v>
      </c>
      <c r="AC60" s="110" t="s">
        <v>23</v>
      </c>
      <c r="AD60" s="110" t="s">
        <v>23</v>
      </c>
      <c r="AE60" s="111" t="s">
        <v>23</v>
      </c>
      <c r="AF60" s="111" t="s">
        <v>23</v>
      </c>
      <c r="AG60" s="112">
        <v>0</v>
      </c>
      <c r="AH60" s="112"/>
      <c r="AI60" s="112"/>
      <c r="AJ60" s="112"/>
      <c r="AK60" s="113" t="s">
        <v>31</v>
      </c>
      <c r="AL60" s="108"/>
    </row>
    <row r="61" spans="1:38">
      <c r="A61" s="121">
        <v>44604</v>
      </c>
      <c r="B61" s="109">
        <v>1600</v>
      </c>
      <c r="C61" s="109"/>
      <c r="D61" s="109" cm="1">
        <f t="array" ref="D61">(SUM(VLOOKUP(I61:AF61,$AM$4:$AO$44,2,FALSE))+AG61*10)*IF(AK61="是",$AY$4,$AY$3)</f>
        <v>1552</v>
      </c>
      <c r="E61" s="57">
        <f>SUM($B$4:B61)+SUM($C$4:C61)-SUM($D$4:D61)</f>
        <v>120</v>
      </c>
      <c r="F61" s="109" cm="1">
        <f t="array" ref="F61">SUM(VLOOKUP(I61:AF61,$AM$4:$AO$44,3,FALSE))</f>
        <v>570</v>
      </c>
      <c r="G61" s="109">
        <f>SUM($F$4:F61)+SUM($H$4:H61)</f>
        <v>41740</v>
      </c>
      <c r="H61" s="109">
        <v>0</v>
      </c>
      <c r="I61" s="24" t="s">
        <v>20</v>
      </c>
      <c r="J61" s="24" t="s">
        <v>20</v>
      </c>
      <c r="K61" s="24" t="s">
        <v>20</v>
      </c>
      <c r="L61" s="24" t="s">
        <v>20</v>
      </c>
      <c r="M61" s="24" t="s">
        <v>20</v>
      </c>
      <c r="N61" s="24" t="s">
        <v>20</v>
      </c>
      <c r="O61" s="111" t="s">
        <v>23</v>
      </c>
      <c r="P61" s="111" t="s">
        <v>23</v>
      </c>
      <c r="Q61" s="128" t="s">
        <v>21</v>
      </c>
      <c r="R61" s="128" t="s">
        <v>21</v>
      </c>
      <c r="S61" s="128" t="s">
        <v>21</v>
      </c>
      <c r="T61" s="128" t="s">
        <v>21</v>
      </c>
      <c r="U61" s="110" t="s">
        <v>23</v>
      </c>
      <c r="V61" s="110" t="s">
        <v>23</v>
      </c>
      <c r="W61" s="111" t="s">
        <v>23</v>
      </c>
      <c r="X61" s="111" t="s">
        <v>23</v>
      </c>
      <c r="Y61" s="110" t="s">
        <v>23</v>
      </c>
      <c r="Z61" s="110" t="s">
        <v>23</v>
      </c>
      <c r="AA61" s="110" t="s">
        <v>23</v>
      </c>
      <c r="AB61" s="110" t="s">
        <v>23</v>
      </c>
      <c r="AC61" s="110" t="s">
        <v>23</v>
      </c>
      <c r="AD61" s="110" t="s">
        <v>23</v>
      </c>
      <c r="AE61" s="111" t="s">
        <v>23</v>
      </c>
      <c r="AF61" s="111" t="s">
        <v>23</v>
      </c>
      <c r="AG61" s="112">
        <v>0</v>
      </c>
      <c r="AH61" s="112"/>
      <c r="AI61" s="112"/>
      <c r="AJ61" s="112"/>
      <c r="AK61" s="113" t="s">
        <v>31</v>
      </c>
      <c r="AL61" s="108"/>
    </row>
    <row r="62" spans="1:38">
      <c r="A62" s="121">
        <v>44605</v>
      </c>
      <c r="B62" s="109">
        <v>1600</v>
      </c>
      <c r="C62" s="109"/>
      <c r="D62" s="109" cm="1">
        <f t="array" ref="D62">(SUM(VLOOKUP(I62:AF62,$AM$4:$AO$44,2,FALSE))+AG62*10)*IF(AK62="是",$AY$4,$AY$3)</f>
        <v>1672</v>
      </c>
      <c r="E62" s="57">
        <f>SUM($B$4:B62)+SUM($C$4:C62)-SUM($D$4:D62)</f>
        <v>48</v>
      </c>
      <c r="F62" s="109" cm="1">
        <f t="array" ref="F62">SUM(VLOOKUP(I62:AF62,$AM$4:$AO$44,3,FALSE))</f>
        <v>630</v>
      </c>
      <c r="G62" s="109">
        <f>SUM($F$4:F62)+SUM($H$4:H62)</f>
        <v>42370</v>
      </c>
      <c r="H62" s="109">
        <v>0</v>
      </c>
      <c r="I62" s="24" t="s">
        <v>20</v>
      </c>
      <c r="J62" s="24" t="s">
        <v>20</v>
      </c>
      <c r="K62" s="24" t="s">
        <v>20</v>
      </c>
      <c r="L62" s="24" t="s">
        <v>20</v>
      </c>
      <c r="M62" s="24" t="s">
        <v>20</v>
      </c>
      <c r="N62" s="24" t="s">
        <v>20</v>
      </c>
      <c r="O62" s="111" t="s">
        <v>23</v>
      </c>
      <c r="P62" s="111" t="s">
        <v>23</v>
      </c>
      <c r="Q62" s="128" t="s">
        <v>21</v>
      </c>
      <c r="R62" s="128" t="s">
        <v>10</v>
      </c>
      <c r="S62" s="128" t="s">
        <v>21</v>
      </c>
      <c r="T62" s="128" t="s">
        <v>21</v>
      </c>
      <c r="U62" s="128" t="s">
        <v>21</v>
      </c>
      <c r="V62" s="110" t="s">
        <v>23</v>
      </c>
      <c r="W62" s="111" t="s">
        <v>23</v>
      </c>
      <c r="X62" s="111" t="s">
        <v>23</v>
      </c>
      <c r="Y62" s="110" t="s">
        <v>23</v>
      </c>
      <c r="Z62" s="110" t="s">
        <v>23</v>
      </c>
      <c r="AA62" s="110" t="s">
        <v>23</v>
      </c>
      <c r="AB62" s="110" t="s">
        <v>23</v>
      </c>
      <c r="AC62" s="110" t="s">
        <v>23</v>
      </c>
      <c r="AD62" s="110" t="s">
        <v>23</v>
      </c>
      <c r="AE62" s="111" t="s">
        <v>23</v>
      </c>
      <c r="AF62" s="111" t="s">
        <v>23</v>
      </c>
      <c r="AG62" s="112">
        <v>0</v>
      </c>
      <c r="AH62" s="112"/>
      <c r="AI62" s="112"/>
      <c r="AJ62" s="112"/>
      <c r="AK62" s="113" t="s">
        <v>31</v>
      </c>
      <c r="AL62" s="108"/>
    </row>
    <row r="63" spans="1:38">
      <c r="A63" s="121">
        <v>44606</v>
      </c>
      <c r="B63" s="110">
        <v>1600</v>
      </c>
      <c r="C63" s="110"/>
      <c r="D63" s="109" cm="1">
        <f t="array" ref="D63">(SUM(VLOOKUP(I63:AF63,$AM$4:$AO$44,2,FALSE))+AG63*10)*IF(AK63="是",$AY$4,$AY$3)</f>
        <v>1544</v>
      </c>
      <c r="E63" s="57">
        <f>SUM($B$4:B63)+SUM($C$4:C63)-SUM($D$4:D63)</f>
        <v>104</v>
      </c>
      <c r="F63" s="109" cm="1">
        <f t="array" ref="F63">SUM(VLOOKUP(I63:AF63,$AM$4:$AO$44,3,FALSE))</f>
        <v>625</v>
      </c>
      <c r="G63" s="109">
        <f>SUM($F$4:F63)+SUM($H$4:H63)</f>
        <v>43295</v>
      </c>
      <c r="H63" s="110">
        <v>300</v>
      </c>
      <c r="I63" s="24" t="s">
        <v>20</v>
      </c>
      <c r="J63" s="24" t="s">
        <v>20</v>
      </c>
      <c r="K63" s="24" t="s">
        <v>20</v>
      </c>
      <c r="L63" s="24" t="s">
        <v>20</v>
      </c>
      <c r="M63" s="24" t="s">
        <v>20</v>
      </c>
      <c r="N63" s="24" t="s">
        <v>20</v>
      </c>
      <c r="O63" s="29" t="s">
        <v>47</v>
      </c>
      <c r="P63" s="24" t="s">
        <v>20</v>
      </c>
      <c r="Q63" s="128" t="s">
        <v>21</v>
      </c>
      <c r="R63" s="128" t="s">
        <v>21</v>
      </c>
      <c r="S63" s="128" t="s">
        <v>21</v>
      </c>
      <c r="T63" s="128" t="s">
        <v>21</v>
      </c>
      <c r="U63" s="110" t="s">
        <v>23</v>
      </c>
      <c r="V63" s="110" t="s">
        <v>23</v>
      </c>
      <c r="W63" s="111" t="s">
        <v>23</v>
      </c>
      <c r="X63" s="111" t="s">
        <v>23</v>
      </c>
      <c r="Y63" s="110" t="s">
        <v>23</v>
      </c>
      <c r="Z63" s="110" t="s">
        <v>23</v>
      </c>
      <c r="AA63" s="110" t="s">
        <v>23</v>
      </c>
      <c r="AB63" s="110" t="s">
        <v>23</v>
      </c>
      <c r="AC63" s="110" t="s">
        <v>23</v>
      </c>
      <c r="AD63" s="110" t="s">
        <v>23</v>
      </c>
      <c r="AE63" s="111" t="s">
        <v>23</v>
      </c>
      <c r="AF63" s="111" t="s">
        <v>23</v>
      </c>
      <c r="AG63" s="112">
        <v>0</v>
      </c>
      <c r="AH63" s="112"/>
      <c r="AI63" s="112"/>
      <c r="AJ63" s="112"/>
      <c r="AK63" s="113" t="s">
        <v>31</v>
      </c>
      <c r="AL63" s="108"/>
    </row>
    <row r="64" spans="1:38">
      <c r="A64" s="121">
        <v>44607</v>
      </c>
      <c r="B64" s="110">
        <v>1600</v>
      </c>
      <c r="C64" s="110"/>
      <c r="D64" s="109" cm="1">
        <f t="array" ref="D64">(SUM(VLOOKUP(I64:AF64,$AM$4:$AO$44,2,FALSE))+AG64*10)*IF(AK64="是",$AY$4,$AY$3)</f>
        <v>1552</v>
      </c>
      <c r="E64" s="57">
        <f>SUM($B$4:B64)+SUM($C$4:C64)-SUM($D$4:D64)</f>
        <v>152</v>
      </c>
      <c r="F64" s="109" cm="1">
        <f t="array" ref="F64">SUM(VLOOKUP(I64:AF64,$AM$4:$AO$44,3,FALSE))</f>
        <v>570</v>
      </c>
      <c r="G64" s="109">
        <f>SUM($F$4:F64)+SUM($H$4:H64)</f>
        <v>43865</v>
      </c>
      <c r="H64" s="110">
        <v>0</v>
      </c>
      <c r="I64" s="24" t="s">
        <v>20</v>
      </c>
      <c r="J64" s="24" t="s">
        <v>20</v>
      </c>
      <c r="K64" s="24" t="s">
        <v>20</v>
      </c>
      <c r="L64" s="24" t="s">
        <v>20</v>
      </c>
      <c r="M64" s="24" t="s">
        <v>20</v>
      </c>
      <c r="N64" s="24" t="s">
        <v>20</v>
      </c>
      <c r="O64" s="111" t="s">
        <v>23</v>
      </c>
      <c r="P64" s="111" t="s">
        <v>23</v>
      </c>
      <c r="Q64" s="128" t="s">
        <v>21</v>
      </c>
      <c r="R64" s="128" t="s">
        <v>21</v>
      </c>
      <c r="S64" s="128" t="s">
        <v>21</v>
      </c>
      <c r="T64" s="128" t="s">
        <v>21</v>
      </c>
      <c r="U64" s="110" t="s">
        <v>23</v>
      </c>
      <c r="V64" s="110" t="s">
        <v>23</v>
      </c>
      <c r="W64" s="111" t="s">
        <v>23</v>
      </c>
      <c r="X64" s="111" t="s">
        <v>23</v>
      </c>
      <c r="Y64" s="110" t="s">
        <v>23</v>
      </c>
      <c r="Z64" s="110" t="s">
        <v>23</v>
      </c>
      <c r="AA64" s="110" t="s">
        <v>23</v>
      </c>
      <c r="AB64" s="110" t="s">
        <v>23</v>
      </c>
      <c r="AC64" s="110" t="s">
        <v>23</v>
      </c>
      <c r="AD64" s="110" t="s">
        <v>23</v>
      </c>
      <c r="AE64" s="111" t="s">
        <v>23</v>
      </c>
      <c r="AF64" s="111" t="s">
        <v>23</v>
      </c>
      <c r="AG64" s="112">
        <v>0</v>
      </c>
      <c r="AH64" s="112"/>
      <c r="AI64" s="112"/>
      <c r="AJ64" s="112"/>
      <c r="AK64" s="113" t="s">
        <v>31</v>
      </c>
      <c r="AL64" s="108"/>
    </row>
    <row r="65" spans="1:38">
      <c r="A65" s="121">
        <v>44608</v>
      </c>
      <c r="B65" s="110">
        <v>1600</v>
      </c>
      <c r="C65" s="110"/>
      <c r="D65" s="109" cm="1">
        <f t="array" ref="D65">(SUM(VLOOKUP(I65:AF65,$AM$4:$AO$44,2,FALSE))+AG65*10)*IF(AK65="是",$AY$4,$AY$3)</f>
        <v>1672</v>
      </c>
      <c r="E65" s="57">
        <f>SUM($B$4:B65)+SUM($C$4:C65)-SUM($D$4:D65)</f>
        <v>80</v>
      </c>
      <c r="F65" s="109" cm="1">
        <f t="array" ref="F65">SUM(VLOOKUP(I65:AF65,$AM$4:$AO$44,3,FALSE))</f>
        <v>605</v>
      </c>
      <c r="G65" s="109">
        <f>SUM($F$4:F65)+SUM($H$4:H65)</f>
        <v>44670</v>
      </c>
      <c r="H65" s="110">
        <v>200</v>
      </c>
      <c r="I65" s="24" t="s">
        <v>20</v>
      </c>
      <c r="J65" s="24" t="s">
        <v>20</v>
      </c>
      <c r="K65" s="24" t="s">
        <v>20</v>
      </c>
      <c r="L65" s="24" t="s">
        <v>20</v>
      </c>
      <c r="M65" s="24" t="s">
        <v>20</v>
      </c>
      <c r="N65" s="24" t="s">
        <v>20</v>
      </c>
      <c r="O65" s="111" t="s">
        <v>23</v>
      </c>
      <c r="P65" s="111" t="s">
        <v>23</v>
      </c>
      <c r="Q65" s="85" t="s">
        <v>20</v>
      </c>
      <c r="R65" s="85" t="s">
        <v>20</v>
      </c>
      <c r="S65" s="85" t="s">
        <v>20</v>
      </c>
      <c r="T65" s="85" t="s">
        <v>20</v>
      </c>
      <c r="U65" s="85" t="s">
        <v>20</v>
      </c>
      <c r="V65" s="110" t="s">
        <v>23</v>
      </c>
      <c r="W65" s="111" t="s">
        <v>23</v>
      </c>
      <c r="X65" s="111" t="s">
        <v>23</v>
      </c>
      <c r="Y65" s="110" t="s">
        <v>23</v>
      </c>
      <c r="Z65" s="110" t="s">
        <v>23</v>
      </c>
      <c r="AA65" s="110" t="s">
        <v>23</v>
      </c>
      <c r="AB65" s="110" t="s">
        <v>23</v>
      </c>
      <c r="AC65" s="110" t="s">
        <v>23</v>
      </c>
      <c r="AD65" s="110" t="s">
        <v>23</v>
      </c>
      <c r="AE65" s="111" t="s">
        <v>23</v>
      </c>
      <c r="AF65" s="111" t="s">
        <v>23</v>
      </c>
      <c r="AG65" s="112">
        <v>0</v>
      </c>
      <c r="AH65" s="112"/>
      <c r="AI65" s="112"/>
      <c r="AJ65" s="112"/>
      <c r="AK65" s="113" t="s">
        <v>31</v>
      </c>
      <c r="AL65" s="108"/>
    </row>
    <row r="66" spans="1:38">
      <c r="A66" s="121">
        <v>44609</v>
      </c>
      <c r="B66" s="110">
        <v>1600</v>
      </c>
      <c r="C66" s="110"/>
      <c r="D66" s="109" cm="1">
        <f t="array" ref="D66">(SUM(VLOOKUP(I66:AF66,$AM$4:$AO$44,2,FALSE))+AG66*10)*IF(AK66="是",$AY$4,$AY$3)</f>
        <v>1512</v>
      </c>
      <c r="E66" s="57">
        <f>SUM($B$4:B66)+SUM($C$4:C66)-SUM($D$4:D66)</f>
        <v>168</v>
      </c>
      <c r="F66" s="109" cm="1">
        <f t="array" ref="F66">SUM(VLOOKUP(I66:AF66,$AM$4:$AO$44,3,FALSE))</f>
        <v>545</v>
      </c>
      <c r="G66" s="109">
        <f>SUM($F$4:F66)+SUM($H$4:H66)</f>
        <v>45215</v>
      </c>
      <c r="H66" s="110">
        <v>0</v>
      </c>
      <c r="I66" s="24" t="s">
        <v>20</v>
      </c>
      <c r="J66" s="24" t="s">
        <v>20</v>
      </c>
      <c r="K66" s="24" t="s">
        <v>20</v>
      </c>
      <c r="L66" s="24" t="s">
        <v>20</v>
      </c>
      <c r="M66" s="24" t="s">
        <v>20</v>
      </c>
      <c r="N66" s="23" t="s">
        <v>19</v>
      </c>
      <c r="O66" s="111" t="s">
        <v>23</v>
      </c>
      <c r="P66" s="111" t="s">
        <v>23</v>
      </c>
      <c r="Q66" s="85" t="s">
        <v>20</v>
      </c>
      <c r="R66" s="85" t="s">
        <v>20</v>
      </c>
      <c r="S66" s="85" t="s">
        <v>20</v>
      </c>
      <c r="T66" s="85" t="s">
        <v>20</v>
      </c>
      <c r="U66" s="110" t="s">
        <v>23</v>
      </c>
      <c r="V66" s="110" t="s">
        <v>23</v>
      </c>
      <c r="W66" s="111" t="s">
        <v>23</v>
      </c>
      <c r="X66" s="111" t="s">
        <v>23</v>
      </c>
      <c r="Y66" s="110" t="s">
        <v>23</v>
      </c>
      <c r="Z66" s="110" t="s">
        <v>23</v>
      </c>
      <c r="AA66" s="110" t="s">
        <v>23</v>
      </c>
      <c r="AB66" s="110" t="s">
        <v>23</v>
      </c>
      <c r="AC66" s="110" t="s">
        <v>23</v>
      </c>
      <c r="AD66" s="110" t="s">
        <v>23</v>
      </c>
      <c r="AE66" s="111" t="s">
        <v>23</v>
      </c>
      <c r="AF66" s="111" t="s">
        <v>23</v>
      </c>
      <c r="AG66" s="112">
        <v>0</v>
      </c>
      <c r="AH66" s="112"/>
      <c r="AI66" s="112"/>
      <c r="AJ66" s="112"/>
      <c r="AK66" s="113" t="s">
        <v>31</v>
      </c>
      <c r="AL66" s="108"/>
    </row>
    <row r="67" spans="1:38">
      <c r="A67" s="121">
        <v>44610</v>
      </c>
      <c r="B67" s="110">
        <v>1600</v>
      </c>
      <c r="C67" s="110"/>
      <c r="D67" s="109" cm="1">
        <f t="array" ref="D67">(SUM(VLOOKUP(I67:AF67,$AM$4:$AO$44,2,FALSE))+AG67*10)*IF(AK67="是",$AY$4,$AY$3)</f>
        <v>1624</v>
      </c>
      <c r="E67" s="57">
        <f>SUM($B$4:B67)+SUM($C$4:C67)-SUM($D$4:D67)</f>
        <v>144</v>
      </c>
      <c r="F67" s="109" cm="1">
        <f t="array" ref="F67">SUM(VLOOKUP(I67:AF67,$AM$4:$AO$44,3,FALSE))</f>
        <v>575</v>
      </c>
      <c r="G67" s="109">
        <f>SUM($F$4:F67)+SUM($H$4:H67)</f>
        <v>45790</v>
      </c>
      <c r="H67" s="110">
        <v>0</v>
      </c>
      <c r="I67" s="23" t="s">
        <v>19</v>
      </c>
      <c r="J67" s="23" t="s">
        <v>19</v>
      </c>
      <c r="K67" s="23" t="s">
        <v>19</v>
      </c>
      <c r="L67" s="23" t="s">
        <v>19</v>
      </c>
      <c r="M67" s="23" t="s">
        <v>19</v>
      </c>
      <c r="N67" s="23" t="s">
        <v>19</v>
      </c>
      <c r="O67" s="111" t="s">
        <v>23</v>
      </c>
      <c r="P67" s="111" t="s">
        <v>23</v>
      </c>
      <c r="Q67" s="85" t="s">
        <v>20</v>
      </c>
      <c r="R67" s="85" t="s">
        <v>20</v>
      </c>
      <c r="S67" s="85" t="s">
        <v>20</v>
      </c>
      <c r="T67" s="85" t="s">
        <v>20</v>
      </c>
      <c r="U67" s="85" t="s">
        <v>20</v>
      </c>
      <c r="V67" s="110" t="s">
        <v>23</v>
      </c>
      <c r="W67" s="111" t="s">
        <v>23</v>
      </c>
      <c r="X67" s="111" t="s">
        <v>23</v>
      </c>
      <c r="Y67" s="110" t="s">
        <v>23</v>
      </c>
      <c r="Z67" s="110" t="s">
        <v>23</v>
      </c>
      <c r="AA67" s="110" t="s">
        <v>23</v>
      </c>
      <c r="AB67" s="110" t="s">
        <v>23</v>
      </c>
      <c r="AC67" s="110" t="s">
        <v>23</v>
      </c>
      <c r="AD67" s="110" t="s">
        <v>23</v>
      </c>
      <c r="AE67" s="111" t="s">
        <v>23</v>
      </c>
      <c r="AF67" s="111" t="s">
        <v>23</v>
      </c>
      <c r="AG67" s="112">
        <v>0</v>
      </c>
      <c r="AH67" s="112"/>
      <c r="AI67" s="112"/>
      <c r="AJ67" s="112"/>
      <c r="AK67" s="113" t="s">
        <v>31</v>
      </c>
      <c r="AL67" s="108"/>
    </row>
    <row r="68" spans="1:38">
      <c r="A68" s="121">
        <v>44611</v>
      </c>
      <c r="B68" s="110">
        <v>1600</v>
      </c>
      <c r="C68" s="110"/>
      <c r="D68" s="109" cm="1">
        <f t="array" ref="D68">(SUM(VLOOKUP(I68:AF68,$AM$4:$AO$44,2,FALSE))+AG68*10)*IF(AK68="是",$AY$4,$AY$3)</f>
        <v>1600</v>
      </c>
      <c r="E68" s="57">
        <f>SUM($B$4:B68)+SUM($C$4:C68)-SUM($D$4:D68)</f>
        <v>144</v>
      </c>
      <c r="F68" s="109" cm="1">
        <f t="array" ref="F68">SUM(VLOOKUP(I68:AF68,$AM$4:$AO$44,3,FALSE))</f>
        <v>570</v>
      </c>
      <c r="G68" s="109">
        <f>SUM($F$4:F68)+SUM($H$4:H68)</f>
        <v>46360</v>
      </c>
      <c r="H68" s="110">
        <v>0</v>
      </c>
      <c r="I68" s="23" t="s">
        <v>19</v>
      </c>
      <c r="J68" s="23" t="s">
        <v>19</v>
      </c>
      <c r="K68" s="23" t="s">
        <v>19</v>
      </c>
      <c r="L68" s="23" t="s">
        <v>19</v>
      </c>
      <c r="M68" s="22" t="s">
        <v>7</v>
      </c>
      <c r="N68" s="23" t="s">
        <v>19</v>
      </c>
      <c r="O68" s="111" t="s">
        <v>23</v>
      </c>
      <c r="P68" s="111" t="s">
        <v>23</v>
      </c>
      <c r="Q68" s="85" t="s">
        <v>20</v>
      </c>
      <c r="R68" s="85" t="s">
        <v>20</v>
      </c>
      <c r="S68" s="85" t="s">
        <v>20</v>
      </c>
      <c r="T68" s="85" t="s">
        <v>20</v>
      </c>
      <c r="U68" s="85" t="s">
        <v>20</v>
      </c>
      <c r="V68" s="110" t="s">
        <v>23</v>
      </c>
      <c r="W68" s="111" t="s">
        <v>23</v>
      </c>
      <c r="X68" s="111" t="s">
        <v>23</v>
      </c>
      <c r="Y68" s="110" t="s">
        <v>23</v>
      </c>
      <c r="Z68" s="110" t="s">
        <v>23</v>
      </c>
      <c r="AA68" s="110" t="s">
        <v>23</v>
      </c>
      <c r="AB68" s="110" t="s">
        <v>23</v>
      </c>
      <c r="AC68" s="110" t="s">
        <v>23</v>
      </c>
      <c r="AD68" s="110" t="s">
        <v>23</v>
      </c>
      <c r="AE68" s="111" t="s">
        <v>23</v>
      </c>
      <c r="AF68" s="111" t="s">
        <v>23</v>
      </c>
      <c r="AG68" s="112">
        <v>0</v>
      </c>
      <c r="AH68" s="112"/>
      <c r="AI68" s="112"/>
      <c r="AJ68" s="112"/>
      <c r="AK68" s="113" t="s">
        <v>31</v>
      </c>
      <c r="AL68" s="108"/>
    </row>
    <row r="69" spans="1:38">
      <c r="A69" s="121">
        <v>44612</v>
      </c>
      <c r="B69" s="110">
        <v>1600</v>
      </c>
      <c r="C69" s="110"/>
      <c r="D69" s="109" cm="1">
        <f t="array" ref="D69">(SUM(VLOOKUP(I69:AF69,$AM$4:$AO$44,2,FALSE))+AG69*10)*IF(AK69="是",$AY$4,$AY$3)</f>
        <v>1600</v>
      </c>
      <c r="E69" s="57">
        <f>SUM($B$4:B69)+SUM($C$4:C69)-SUM($D$4:D69)</f>
        <v>144</v>
      </c>
      <c r="F69" s="109" cm="1">
        <f t="array" ref="F69">SUM(VLOOKUP(I69:AF69,$AM$4:$AO$44,3,FALSE))</f>
        <v>560</v>
      </c>
      <c r="G69" s="109">
        <f>SUM($F$4:F69)+SUM($H$4:H69)</f>
        <v>46920</v>
      </c>
      <c r="H69" s="110">
        <v>0</v>
      </c>
      <c r="I69" s="23" t="s">
        <v>19</v>
      </c>
      <c r="J69" s="23" t="s">
        <v>19</v>
      </c>
      <c r="K69" s="23" t="s">
        <v>19</v>
      </c>
      <c r="L69" s="23" t="s">
        <v>19</v>
      </c>
      <c r="M69" s="23" t="s">
        <v>19</v>
      </c>
      <c r="N69" s="23" t="s">
        <v>19</v>
      </c>
      <c r="O69" s="111" t="s">
        <v>23</v>
      </c>
      <c r="P69" s="111" t="s">
        <v>23</v>
      </c>
      <c r="Q69" s="85" t="s">
        <v>20</v>
      </c>
      <c r="R69" s="85" t="s">
        <v>20</v>
      </c>
      <c r="S69" s="129" t="s">
        <v>19</v>
      </c>
      <c r="T69" s="129" t="s">
        <v>19</v>
      </c>
      <c r="U69" s="129" t="s">
        <v>19</v>
      </c>
      <c r="V69" s="110" t="s">
        <v>23</v>
      </c>
      <c r="W69" s="111" t="s">
        <v>23</v>
      </c>
      <c r="X69" s="111" t="s">
        <v>23</v>
      </c>
      <c r="Y69" s="110" t="s">
        <v>23</v>
      </c>
      <c r="Z69" s="110" t="s">
        <v>23</v>
      </c>
      <c r="AA69" s="110" t="s">
        <v>23</v>
      </c>
      <c r="AB69" s="110" t="s">
        <v>23</v>
      </c>
      <c r="AC69" s="110" t="s">
        <v>23</v>
      </c>
      <c r="AD69" s="110" t="s">
        <v>23</v>
      </c>
      <c r="AE69" s="111" t="s">
        <v>23</v>
      </c>
      <c r="AF69" s="111" t="s">
        <v>23</v>
      </c>
      <c r="AG69" s="112">
        <v>0</v>
      </c>
      <c r="AH69" s="112"/>
      <c r="AI69" s="112"/>
      <c r="AJ69" s="112"/>
      <c r="AK69" s="113" t="s">
        <v>31</v>
      </c>
      <c r="AL69" s="108" t="s">
        <v>86</v>
      </c>
    </row>
    <row r="70" spans="1:38">
      <c r="A70" s="121">
        <v>44613</v>
      </c>
      <c r="B70" s="109">
        <v>1600</v>
      </c>
      <c r="C70" s="109"/>
      <c r="D70" s="109" cm="1">
        <f t="array" ref="D70">(SUM(VLOOKUP(I70:AF70,$AM$4:$AO$44,2,FALSE))+AG70*10)*IF(AK70="是",$AY$4,$AY$3)</f>
        <v>1520</v>
      </c>
      <c r="E70" s="57">
        <f>SUM($B$4:B70)+SUM($C$4:C70)-SUM($D$4:D70)</f>
        <v>224</v>
      </c>
      <c r="F70" s="109" cm="1">
        <f t="array" ref="F70">SUM(VLOOKUP(I70:AF70,$AM$4:$AO$44,3,FALSE))</f>
        <v>560</v>
      </c>
      <c r="G70" s="109">
        <f>SUM($F$4:F70)+SUM($H$4:H70)</f>
        <v>47780</v>
      </c>
      <c r="H70" s="109">
        <v>300</v>
      </c>
      <c r="I70" s="23" t="s">
        <v>19</v>
      </c>
      <c r="J70" s="23" t="s">
        <v>19</v>
      </c>
      <c r="K70" s="23" t="s">
        <v>19</v>
      </c>
      <c r="L70" s="23" t="s">
        <v>19</v>
      </c>
      <c r="M70" s="28" t="s">
        <v>12</v>
      </c>
      <c r="N70" s="23" t="s">
        <v>19</v>
      </c>
      <c r="O70" s="111" t="s">
        <v>23</v>
      </c>
      <c r="P70" s="111" t="s">
        <v>23</v>
      </c>
      <c r="Q70" s="129" t="s">
        <v>19</v>
      </c>
      <c r="R70" s="129" t="s">
        <v>19</v>
      </c>
      <c r="S70" s="28" t="s">
        <v>12</v>
      </c>
      <c r="T70" s="129" t="s">
        <v>19</v>
      </c>
      <c r="U70" s="129" t="s">
        <v>19</v>
      </c>
      <c r="V70" s="129" t="s">
        <v>19</v>
      </c>
      <c r="W70" s="111" t="s">
        <v>23</v>
      </c>
      <c r="X70" s="111" t="s">
        <v>23</v>
      </c>
      <c r="Y70" s="110" t="s">
        <v>23</v>
      </c>
      <c r="Z70" s="110" t="s">
        <v>23</v>
      </c>
      <c r="AA70" s="110" t="s">
        <v>23</v>
      </c>
      <c r="AB70" s="110" t="s">
        <v>23</v>
      </c>
      <c r="AC70" s="110" t="s">
        <v>23</v>
      </c>
      <c r="AD70" s="110" t="s">
        <v>23</v>
      </c>
      <c r="AE70" s="111" t="s">
        <v>23</v>
      </c>
      <c r="AF70" s="111" t="s">
        <v>23</v>
      </c>
      <c r="AG70" s="112">
        <v>0</v>
      </c>
      <c r="AH70" s="112"/>
      <c r="AI70" s="112"/>
      <c r="AJ70" s="112"/>
      <c r="AK70" s="113" t="s">
        <v>31</v>
      </c>
      <c r="AL70" s="108"/>
    </row>
    <row r="71" spans="1:38">
      <c r="A71" s="121">
        <v>44614</v>
      </c>
      <c r="B71" s="109">
        <v>1600</v>
      </c>
      <c r="C71" s="109"/>
      <c r="D71" s="109" cm="1">
        <f t="array" ref="D71">(SUM(VLOOKUP(I71:AF71,$AM$4:$AO$44,2,FALSE))+AG71*10)*IF(AK71="是",$AY$4,$AY$3)</f>
        <v>1704</v>
      </c>
      <c r="E71" s="57">
        <f>SUM($B$4:B71)+SUM($C$4:C71)-SUM($D$4:D71)</f>
        <v>120</v>
      </c>
      <c r="F71" s="109" cm="1">
        <f t="array" ref="F71">SUM(VLOOKUP(I71:AF71,$AM$4:$AO$44,3,FALSE))</f>
        <v>645</v>
      </c>
      <c r="G71" s="109">
        <f>SUM($F$4:F71)+SUM($H$4:H71)</f>
        <v>48425</v>
      </c>
      <c r="H71" s="109">
        <v>0</v>
      </c>
      <c r="I71" s="23" t="s">
        <v>19</v>
      </c>
      <c r="J71" s="23" t="s">
        <v>19</v>
      </c>
      <c r="K71" s="23" t="s">
        <v>19</v>
      </c>
      <c r="L71" s="23" t="s">
        <v>19</v>
      </c>
      <c r="M71" s="23" t="s">
        <v>19</v>
      </c>
      <c r="N71" s="23" t="s">
        <v>19</v>
      </c>
      <c r="O71" s="111" t="s">
        <v>23</v>
      </c>
      <c r="P71" s="111" t="s">
        <v>23</v>
      </c>
      <c r="Q71" s="129" t="s">
        <v>19</v>
      </c>
      <c r="R71" s="129" t="s">
        <v>19</v>
      </c>
      <c r="S71" s="129" t="s">
        <v>19</v>
      </c>
      <c r="T71" s="29" t="s">
        <v>47</v>
      </c>
      <c r="U71" s="129" t="s">
        <v>19</v>
      </c>
      <c r="V71" s="129" t="s">
        <v>19</v>
      </c>
      <c r="W71" s="129" t="s">
        <v>19</v>
      </c>
      <c r="X71" s="130" t="s">
        <v>18</v>
      </c>
      <c r="Y71" s="110" t="s">
        <v>23</v>
      </c>
      <c r="Z71" s="110" t="s">
        <v>23</v>
      </c>
      <c r="AA71" s="110" t="s">
        <v>23</v>
      </c>
      <c r="AB71" s="110" t="s">
        <v>23</v>
      </c>
      <c r="AC71" s="110" t="s">
        <v>23</v>
      </c>
      <c r="AD71" s="110" t="s">
        <v>23</v>
      </c>
      <c r="AE71" s="111" t="s">
        <v>23</v>
      </c>
      <c r="AF71" s="111" t="s">
        <v>23</v>
      </c>
      <c r="AG71" s="112">
        <v>0</v>
      </c>
      <c r="AH71" s="112"/>
      <c r="AI71" s="112"/>
      <c r="AJ71" s="112"/>
      <c r="AK71" s="113" t="s">
        <v>31</v>
      </c>
      <c r="AL71" s="108"/>
    </row>
    <row r="72" spans="1:38">
      <c r="A72" s="121">
        <v>44615</v>
      </c>
      <c r="B72" s="109">
        <v>1600</v>
      </c>
      <c r="C72" s="109"/>
      <c r="D72" s="109" cm="1">
        <f t="array" ref="D72">(SUM(VLOOKUP(I72:AF72,$AM$4:$AO$44,2,FALSE))+AG72*10)*IF(AK72="是",$AY$4,$AY$3)</f>
        <v>1560</v>
      </c>
      <c r="E72" s="57">
        <f>SUM($B$4:B72)+SUM($C$4:C72)-SUM($D$4:D72)</f>
        <v>160</v>
      </c>
      <c r="F72" s="109" cm="1">
        <f t="array" ref="F72">SUM(VLOOKUP(I72:AF72,$AM$4:$AO$44,3,FALSE))</f>
        <v>535</v>
      </c>
      <c r="G72" s="109">
        <f>SUM($F$4:F72)+SUM($H$4:H72)</f>
        <v>49160</v>
      </c>
      <c r="H72" s="109">
        <v>200</v>
      </c>
      <c r="I72" s="23" t="s">
        <v>19</v>
      </c>
      <c r="J72" s="23" t="s">
        <v>19</v>
      </c>
      <c r="K72" s="23" t="s">
        <v>19</v>
      </c>
      <c r="L72" s="23" t="s">
        <v>19</v>
      </c>
      <c r="M72" s="23" t="s">
        <v>19</v>
      </c>
      <c r="N72" s="23" t="s">
        <v>19</v>
      </c>
      <c r="O72" s="111" t="s">
        <v>23</v>
      </c>
      <c r="P72" s="111" t="s">
        <v>23</v>
      </c>
      <c r="Q72" s="129" t="s">
        <v>19</v>
      </c>
      <c r="R72" s="129" t="s">
        <v>19</v>
      </c>
      <c r="S72" s="130" t="s">
        <v>18</v>
      </c>
      <c r="T72" s="130" t="s">
        <v>18</v>
      </c>
      <c r="U72" s="130" t="s">
        <v>18</v>
      </c>
      <c r="V72" s="110" t="s">
        <v>23</v>
      </c>
      <c r="W72" s="111" t="s">
        <v>23</v>
      </c>
      <c r="X72" s="111" t="s">
        <v>23</v>
      </c>
      <c r="Y72" s="110" t="s">
        <v>23</v>
      </c>
      <c r="Z72" s="110" t="s">
        <v>23</v>
      </c>
      <c r="AA72" s="110" t="s">
        <v>23</v>
      </c>
      <c r="AB72" s="110" t="s">
        <v>23</v>
      </c>
      <c r="AC72" s="110" t="s">
        <v>23</v>
      </c>
      <c r="AD72" s="110" t="s">
        <v>23</v>
      </c>
      <c r="AE72" s="111" t="s">
        <v>23</v>
      </c>
      <c r="AF72" s="111" t="s">
        <v>23</v>
      </c>
      <c r="AG72" s="112">
        <v>0</v>
      </c>
      <c r="AH72" s="112"/>
      <c r="AI72" s="112"/>
      <c r="AJ72" s="112"/>
      <c r="AK72" s="113" t="s">
        <v>31</v>
      </c>
      <c r="AL72" s="108"/>
    </row>
    <row r="73" spans="1:38">
      <c r="A73" s="121">
        <v>44616</v>
      </c>
      <c r="B73" s="109">
        <v>1600</v>
      </c>
      <c r="C73" s="109"/>
      <c r="D73" s="109" cm="1">
        <f t="array" ref="D73">(SUM(VLOOKUP(I73:AF73,$AM$4:$AO$44,2,FALSE))+AG73*10)*IF(AK73="是",$AY$4,$AY$3)</f>
        <v>1488</v>
      </c>
      <c r="E73" s="57">
        <f>SUM($B$4:B73)+SUM($C$4:C73)-SUM($D$4:D73)</f>
        <v>272</v>
      </c>
      <c r="F73" s="109" cm="1">
        <f t="array" ref="F73">SUM(VLOOKUP(I73:AF73,$AM$4:$AO$44,3,FALSE))</f>
        <v>600</v>
      </c>
      <c r="G73" s="109">
        <f>SUM($F$4:F73)+SUM($H$4:H73)</f>
        <v>49760</v>
      </c>
      <c r="H73" s="109">
        <v>0</v>
      </c>
      <c r="I73" s="23" t="s">
        <v>19</v>
      </c>
      <c r="J73" s="23" t="s">
        <v>19</v>
      </c>
      <c r="K73" s="23" t="s">
        <v>19</v>
      </c>
      <c r="L73" s="24" t="s">
        <v>20</v>
      </c>
      <c r="M73" s="24" t="s">
        <v>20</v>
      </c>
      <c r="N73" s="24" t="s">
        <v>20</v>
      </c>
      <c r="O73" s="111" t="s">
        <v>23</v>
      </c>
      <c r="P73" s="111" t="s">
        <v>23</v>
      </c>
      <c r="Q73" s="130" t="s">
        <v>18</v>
      </c>
      <c r="R73" s="130" t="s">
        <v>18</v>
      </c>
      <c r="S73" s="28" t="s">
        <v>12</v>
      </c>
      <c r="T73" s="130" t="s">
        <v>18</v>
      </c>
      <c r="U73" s="130" t="s">
        <v>18</v>
      </c>
      <c r="V73" s="29" t="s">
        <v>47</v>
      </c>
      <c r="W73" s="130" t="s">
        <v>18</v>
      </c>
      <c r="X73" s="28" t="s">
        <v>12</v>
      </c>
      <c r="Y73" s="110" t="s">
        <v>23</v>
      </c>
      <c r="Z73" s="110" t="s">
        <v>23</v>
      </c>
      <c r="AA73" s="110" t="s">
        <v>23</v>
      </c>
      <c r="AB73" s="110" t="s">
        <v>23</v>
      </c>
      <c r="AC73" s="110" t="s">
        <v>23</v>
      </c>
      <c r="AD73" s="110" t="s">
        <v>23</v>
      </c>
      <c r="AE73" s="111" t="s">
        <v>23</v>
      </c>
      <c r="AF73" s="111" t="s">
        <v>23</v>
      </c>
      <c r="AG73" s="112">
        <v>0</v>
      </c>
      <c r="AH73" s="112"/>
      <c r="AI73" s="112"/>
      <c r="AJ73" s="112"/>
      <c r="AK73" s="113" t="s">
        <v>31</v>
      </c>
      <c r="AL73" s="108"/>
    </row>
    <row r="74" spans="1:38">
      <c r="A74" s="121">
        <v>44617</v>
      </c>
      <c r="B74" s="109">
        <v>1600</v>
      </c>
      <c r="C74" s="109"/>
      <c r="D74" s="109" cm="1">
        <f t="array" ref="D74">(SUM(VLOOKUP(I74:AF74,$AM$4:$AO$44,2,FALSE))+AG74*10)*IF(AK74="是",$AY$4,$AY$3)</f>
        <v>1728</v>
      </c>
      <c r="E74" s="57">
        <f>SUM($B$4:B74)+SUM($C$4:C74)-SUM($D$4:D74)</f>
        <v>144</v>
      </c>
      <c r="F74" s="109" cm="1">
        <f t="array" ref="F74">SUM(VLOOKUP(I74:AF74,$AM$4:$AO$44,3,FALSE))</f>
        <v>600</v>
      </c>
      <c r="G74" s="109">
        <f>SUM($F$4:F74)+SUM($H$4:H74)</f>
        <v>50360</v>
      </c>
      <c r="H74" s="109">
        <v>0</v>
      </c>
      <c r="I74" s="24" t="s">
        <v>20</v>
      </c>
      <c r="J74" s="24" t="s">
        <v>20</v>
      </c>
      <c r="K74" s="24" t="s">
        <v>20</v>
      </c>
      <c r="L74" s="24" t="s">
        <v>20</v>
      </c>
      <c r="M74" s="24" t="s">
        <v>20</v>
      </c>
      <c r="N74" s="24" t="s">
        <v>20</v>
      </c>
      <c r="O74" s="111" t="s">
        <v>23</v>
      </c>
      <c r="P74" s="111" t="s">
        <v>23</v>
      </c>
      <c r="Q74" s="130" t="s">
        <v>18</v>
      </c>
      <c r="R74" s="130" t="s">
        <v>18</v>
      </c>
      <c r="S74" s="130" t="s">
        <v>18</v>
      </c>
      <c r="T74" s="130" t="s">
        <v>18</v>
      </c>
      <c r="U74" s="130" t="s">
        <v>18</v>
      </c>
      <c r="V74" s="130" t="s">
        <v>18</v>
      </c>
      <c r="W74" s="111" t="s">
        <v>23</v>
      </c>
      <c r="X74" s="111" t="s">
        <v>23</v>
      </c>
      <c r="Y74" s="110" t="s">
        <v>23</v>
      </c>
      <c r="Z74" s="110" t="s">
        <v>23</v>
      </c>
      <c r="AA74" s="110" t="s">
        <v>23</v>
      </c>
      <c r="AB74" s="110" t="s">
        <v>23</v>
      </c>
      <c r="AC74" s="110" t="s">
        <v>23</v>
      </c>
      <c r="AD74" s="110" t="s">
        <v>23</v>
      </c>
      <c r="AE74" s="111" t="s">
        <v>23</v>
      </c>
      <c r="AF74" s="111" t="s">
        <v>23</v>
      </c>
      <c r="AG74" s="112">
        <v>0</v>
      </c>
      <c r="AH74" s="112"/>
      <c r="AI74" s="112"/>
      <c r="AJ74" s="112"/>
      <c r="AK74" s="113" t="s">
        <v>31</v>
      </c>
      <c r="AL74" s="108"/>
    </row>
    <row r="75" spans="1:38">
      <c r="A75" s="121">
        <v>44618</v>
      </c>
      <c r="B75" s="109">
        <v>1600</v>
      </c>
      <c r="C75" s="109"/>
      <c r="D75" s="109" cm="1">
        <f t="array" ref="D75">(SUM(VLOOKUP(I75:AF75,$AM$4:$AO$44,2,FALSE))+AG75*10)*IF(AK75="是",$AY$4,$AY$3)</f>
        <v>1584</v>
      </c>
      <c r="E75" s="57">
        <f>SUM($B$4:B75)+SUM($C$4:C75)-SUM($D$4:D75)</f>
        <v>160</v>
      </c>
      <c r="F75" s="109" cm="1">
        <f t="array" ref="F75">SUM(VLOOKUP(I75:AF75,$AM$4:$AO$44,3,FALSE))</f>
        <v>580</v>
      </c>
      <c r="G75" s="109">
        <f>SUM($F$4:F75)+SUM($H$4:H75)</f>
        <v>50940</v>
      </c>
      <c r="H75" s="109">
        <v>0</v>
      </c>
      <c r="I75" s="24" t="s">
        <v>20</v>
      </c>
      <c r="J75" s="24" t="s">
        <v>20</v>
      </c>
      <c r="K75" s="24" t="s">
        <v>20</v>
      </c>
      <c r="L75" s="24" t="s">
        <v>20</v>
      </c>
      <c r="M75" s="23" t="s">
        <v>8</v>
      </c>
      <c r="N75" s="23" t="s">
        <v>19</v>
      </c>
      <c r="O75" s="111" t="s">
        <v>23</v>
      </c>
      <c r="P75" s="111" t="s">
        <v>23</v>
      </c>
      <c r="Q75" s="130" t="s">
        <v>18</v>
      </c>
      <c r="R75" s="130" t="s">
        <v>18</v>
      </c>
      <c r="S75" s="28" t="s">
        <v>12</v>
      </c>
      <c r="T75" s="130" t="s">
        <v>18</v>
      </c>
      <c r="U75" s="130" t="s">
        <v>7</v>
      </c>
      <c r="V75" s="129" t="s">
        <v>19</v>
      </c>
      <c r="W75" s="111" t="s">
        <v>23</v>
      </c>
      <c r="X75" s="111" t="s">
        <v>23</v>
      </c>
      <c r="Y75" s="110" t="s">
        <v>23</v>
      </c>
      <c r="Z75" s="110" t="s">
        <v>23</v>
      </c>
      <c r="AA75" s="110" t="s">
        <v>23</v>
      </c>
      <c r="AB75" s="110" t="s">
        <v>23</v>
      </c>
      <c r="AC75" s="110" t="s">
        <v>23</v>
      </c>
      <c r="AD75" s="110" t="s">
        <v>23</v>
      </c>
      <c r="AE75" s="111" t="s">
        <v>23</v>
      </c>
      <c r="AF75" s="111" t="s">
        <v>23</v>
      </c>
      <c r="AG75" s="112">
        <v>0</v>
      </c>
      <c r="AH75" s="112"/>
      <c r="AI75" s="112"/>
      <c r="AJ75" s="112"/>
      <c r="AK75" s="113" t="s">
        <v>31</v>
      </c>
      <c r="AL75" s="108"/>
    </row>
    <row r="76" spans="1:38">
      <c r="A76" s="121">
        <v>44619</v>
      </c>
      <c r="B76" s="109">
        <v>1600</v>
      </c>
      <c r="C76" s="109"/>
      <c r="D76" s="109" cm="1">
        <f t="array" ref="D76">(SUM(VLOOKUP(I76:AF76,$AM$4:$AO$44,2,FALSE))+AG76*10)*IF(AK76="是",$AY$4,$AY$3)</f>
        <v>1704</v>
      </c>
      <c r="E76" s="57">
        <f>SUM($B$4:B76)+SUM($C$4:C76)-SUM($D$4:D76)</f>
        <v>56</v>
      </c>
      <c r="F76" s="109" cm="1">
        <f t="array" ref="F76">SUM(VLOOKUP(I76:AF76,$AM$4:$AO$44,3,FALSE))</f>
        <v>585</v>
      </c>
      <c r="G76" s="109">
        <f>SUM($F$4:F76)+SUM($H$4:H76)</f>
        <v>51525</v>
      </c>
      <c r="H76" s="109">
        <v>0</v>
      </c>
      <c r="I76" s="24" t="s">
        <v>20</v>
      </c>
      <c r="J76" s="23" t="s">
        <v>19</v>
      </c>
      <c r="K76" s="23" t="s">
        <v>19</v>
      </c>
      <c r="L76" s="24" t="s">
        <v>20</v>
      </c>
      <c r="M76" s="23" t="s">
        <v>19</v>
      </c>
      <c r="N76" s="23" t="s">
        <v>19</v>
      </c>
      <c r="O76" s="111" t="s">
        <v>23</v>
      </c>
      <c r="P76" s="111" t="s">
        <v>23</v>
      </c>
      <c r="Q76" s="129" t="s">
        <v>19</v>
      </c>
      <c r="R76" s="130" t="s">
        <v>18</v>
      </c>
      <c r="S76" s="130" t="s">
        <v>18</v>
      </c>
      <c r="T76" s="130" t="s">
        <v>18</v>
      </c>
      <c r="U76" s="130" t="s">
        <v>18</v>
      </c>
      <c r="V76" s="130" t="s">
        <v>18</v>
      </c>
      <c r="W76" s="111" t="s">
        <v>23</v>
      </c>
      <c r="X76" s="111" t="s">
        <v>23</v>
      </c>
      <c r="Y76" s="110" t="s">
        <v>23</v>
      </c>
      <c r="Z76" s="110" t="s">
        <v>23</v>
      </c>
      <c r="AA76" s="110" t="s">
        <v>23</v>
      </c>
      <c r="AB76" s="110" t="s">
        <v>23</v>
      </c>
      <c r="AC76" s="110" t="s">
        <v>23</v>
      </c>
      <c r="AD76" s="110" t="s">
        <v>23</v>
      </c>
      <c r="AE76" s="111" t="s">
        <v>23</v>
      </c>
      <c r="AF76" s="111" t="s">
        <v>23</v>
      </c>
      <c r="AG76" s="112">
        <v>0</v>
      </c>
      <c r="AH76" s="112"/>
      <c r="AI76" s="112"/>
      <c r="AJ76" s="112"/>
      <c r="AK76" s="113" t="s">
        <v>31</v>
      </c>
      <c r="AL76" s="108"/>
    </row>
    <row r="77" spans="1:38">
      <c r="A77" s="121">
        <v>44620</v>
      </c>
      <c r="B77" s="110">
        <v>1600</v>
      </c>
      <c r="C77" s="110"/>
      <c r="D77" s="109" cm="1">
        <f t="array" ref="D77">(SUM(VLOOKUP(I77:AF77,$AM$4:$AO$44,2,FALSE))+AG77*10)*IF(AK77="是",$AY$4,$AY$3)</f>
        <v>1512</v>
      </c>
      <c r="E77" s="57">
        <f>SUM($B$4:B77)+SUM($C$4:C77)-SUM($D$4:D77)</f>
        <v>144</v>
      </c>
      <c r="F77" s="109" cm="1">
        <f t="array" ref="F77">SUM(VLOOKUP(I77:AF77,$AM$4:$AO$44,3,FALSE))</f>
        <v>595</v>
      </c>
      <c r="G77" s="109">
        <f>SUM($F$4:F77)+SUM($H$4:H77)</f>
        <v>52420</v>
      </c>
      <c r="H77" s="110">
        <v>300</v>
      </c>
      <c r="I77" s="23" t="s">
        <v>19</v>
      </c>
      <c r="J77" s="23" t="s">
        <v>19</v>
      </c>
      <c r="K77" s="28" t="s">
        <v>12</v>
      </c>
      <c r="L77" s="23" t="s">
        <v>19</v>
      </c>
      <c r="M77" s="23" t="s">
        <v>19</v>
      </c>
      <c r="N77" s="23" t="s">
        <v>8</v>
      </c>
      <c r="O77" s="111" t="s">
        <v>23</v>
      </c>
      <c r="P77" s="111" t="s">
        <v>23</v>
      </c>
      <c r="Q77" s="130" t="s">
        <v>18</v>
      </c>
      <c r="R77" s="130" t="s">
        <v>7</v>
      </c>
      <c r="S77" s="130" t="s">
        <v>18</v>
      </c>
      <c r="T77" s="130" t="s">
        <v>18</v>
      </c>
      <c r="U77" s="29" t="s">
        <v>47</v>
      </c>
      <c r="V77" s="130" t="s">
        <v>18</v>
      </c>
      <c r="W77" s="130" t="s">
        <v>18</v>
      </c>
      <c r="X77" s="130" t="s">
        <v>18</v>
      </c>
      <c r="Y77" s="110" t="s">
        <v>23</v>
      </c>
      <c r="Z77" s="110" t="s">
        <v>23</v>
      </c>
      <c r="AA77" s="110" t="s">
        <v>23</v>
      </c>
      <c r="AB77" s="110" t="s">
        <v>23</v>
      </c>
      <c r="AC77" s="110" t="s">
        <v>23</v>
      </c>
      <c r="AD77" s="110" t="s">
        <v>23</v>
      </c>
      <c r="AE77" s="111" t="s">
        <v>23</v>
      </c>
      <c r="AF77" s="111" t="s">
        <v>23</v>
      </c>
      <c r="AG77" s="112">
        <v>0</v>
      </c>
      <c r="AH77" s="112"/>
      <c r="AI77" s="112"/>
      <c r="AJ77" s="112"/>
      <c r="AK77" s="113" t="s">
        <v>31</v>
      </c>
      <c r="AL77" s="108"/>
    </row>
    <row r="78" spans="1:38">
      <c r="A78" s="121">
        <v>44621</v>
      </c>
      <c r="B78" s="110">
        <v>1600</v>
      </c>
      <c r="C78" s="110"/>
      <c r="D78" s="109" cm="1">
        <f t="array" ref="D78">(SUM(VLOOKUP(I78:AF78,$AM$4:$AO$44,2,FALSE))+AG78*10)*IF(AK78="是",$AY$4,$AY$3)</f>
        <v>1568</v>
      </c>
      <c r="E78" s="57">
        <f>SUM($B$4:B78)+SUM($C$4:C78)-SUM($D$4:D78)</f>
        <v>176</v>
      </c>
      <c r="F78" s="109" cm="1">
        <f t="array" ref="F78">SUM(VLOOKUP(I78:AF78,$AM$4:$AO$44,3,FALSE))</f>
        <v>545</v>
      </c>
      <c r="G78" s="109">
        <f>SUM($F$4:F78)+SUM($H$4:H78)</f>
        <v>52965</v>
      </c>
      <c r="H78" s="110">
        <v>0</v>
      </c>
      <c r="I78" s="23" t="s">
        <v>19</v>
      </c>
      <c r="J78" s="23" t="s">
        <v>19</v>
      </c>
      <c r="K78" s="23" t="s">
        <v>19</v>
      </c>
      <c r="L78" s="23" t="s">
        <v>19</v>
      </c>
      <c r="M78" s="23" t="s">
        <v>19</v>
      </c>
      <c r="N78" s="23" t="s">
        <v>19</v>
      </c>
      <c r="O78" s="111" t="s">
        <v>23</v>
      </c>
      <c r="P78" s="111" t="s">
        <v>23</v>
      </c>
      <c r="Q78" s="130" t="s">
        <v>18</v>
      </c>
      <c r="R78" s="130" t="s">
        <v>18</v>
      </c>
      <c r="S78" s="131" t="s">
        <v>6</v>
      </c>
      <c r="T78" s="130" t="s">
        <v>18</v>
      </c>
      <c r="U78" s="131" t="s">
        <v>17</v>
      </c>
      <c r="V78" s="28" t="s">
        <v>12</v>
      </c>
      <c r="W78" s="111" t="s">
        <v>23</v>
      </c>
      <c r="X78" s="111" t="s">
        <v>23</v>
      </c>
      <c r="Y78" s="110" t="s">
        <v>23</v>
      </c>
      <c r="Z78" s="110" t="s">
        <v>23</v>
      </c>
      <c r="AA78" s="110" t="s">
        <v>23</v>
      </c>
      <c r="AB78" s="110" t="s">
        <v>23</v>
      </c>
      <c r="AC78" s="110" t="s">
        <v>23</v>
      </c>
      <c r="AD78" s="110" t="s">
        <v>23</v>
      </c>
      <c r="AE78" s="111" t="s">
        <v>23</v>
      </c>
      <c r="AF78" s="111" t="s">
        <v>23</v>
      </c>
      <c r="AG78" s="112">
        <v>1</v>
      </c>
      <c r="AH78" s="112"/>
      <c r="AI78" s="112">
        <v>1</v>
      </c>
      <c r="AJ78" s="112"/>
      <c r="AK78" s="113" t="s">
        <v>31</v>
      </c>
      <c r="AL78" s="108"/>
    </row>
    <row r="79" spans="1:38">
      <c r="A79" s="121">
        <v>44622</v>
      </c>
      <c r="B79" s="110">
        <v>1600</v>
      </c>
      <c r="C79" s="110"/>
      <c r="D79" s="109" cm="1">
        <f t="array" ref="D79">(SUM(VLOOKUP(I79:AF79,$AM$4:$AO$44,2,FALSE))+AG79*10)*IF(AK79="是",$AY$4,$AY$3)</f>
        <v>1408</v>
      </c>
      <c r="E79" s="57">
        <f>SUM($B$4:B79)+SUM($C$4:C79)-SUM($D$4:D79)</f>
        <v>368</v>
      </c>
      <c r="F79" s="109" cm="1">
        <f t="array" ref="F79">SUM(VLOOKUP(I79:AF79,$AM$4:$AO$44,3,FALSE))</f>
        <v>550</v>
      </c>
      <c r="G79" s="109">
        <f>SUM($F$4:F79)+SUM($H$4:H79)</f>
        <v>53715</v>
      </c>
      <c r="H79" s="110">
        <v>200</v>
      </c>
      <c r="I79" s="28" t="s">
        <v>12</v>
      </c>
      <c r="J79" s="23" t="s">
        <v>19</v>
      </c>
      <c r="K79" s="23" t="s">
        <v>19</v>
      </c>
      <c r="L79" s="23" t="s">
        <v>19</v>
      </c>
      <c r="M79" s="23" t="s">
        <v>19</v>
      </c>
      <c r="N79" s="23" t="s">
        <v>19</v>
      </c>
      <c r="O79" s="111" t="s">
        <v>23</v>
      </c>
      <c r="P79" s="111" t="s">
        <v>23</v>
      </c>
      <c r="Q79" s="131" t="s">
        <v>17</v>
      </c>
      <c r="R79" s="29" t="s">
        <v>47</v>
      </c>
      <c r="S79" s="131" t="s">
        <v>17</v>
      </c>
      <c r="T79" s="131" t="s">
        <v>17</v>
      </c>
      <c r="U79" s="131" t="s">
        <v>17</v>
      </c>
      <c r="V79" s="28" t="s">
        <v>12</v>
      </c>
      <c r="W79" s="131" t="s">
        <v>6</v>
      </c>
      <c r="X79" s="131" t="s">
        <v>17</v>
      </c>
      <c r="Y79" s="110" t="s">
        <v>23</v>
      </c>
      <c r="Z79" s="110" t="s">
        <v>23</v>
      </c>
      <c r="AA79" s="110" t="s">
        <v>23</v>
      </c>
      <c r="AB79" s="110" t="s">
        <v>23</v>
      </c>
      <c r="AC79" s="110" t="s">
        <v>23</v>
      </c>
      <c r="AD79" s="110" t="s">
        <v>23</v>
      </c>
      <c r="AE79" s="111" t="s">
        <v>23</v>
      </c>
      <c r="AF79" s="111" t="s">
        <v>23</v>
      </c>
      <c r="AG79" s="112">
        <v>1</v>
      </c>
      <c r="AH79" s="112"/>
      <c r="AI79" s="112">
        <v>1</v>
      </c>
      <c r="AJ79" s="112"/>
      <c r="AK79" s="113" t="s">
        <v>31</v>
      </c>
      <c r="AL79" s="108"/>
    </row>
    <row r="80" spans="1:38">
      <c r="A80" s="121">
        <v>44623</v>
      </c>
      <c r="B80" s="110">
        <v>1600</v>
      </c>
      <c r="C80" s="110"/>
      <c r="D80" s="109" cm="1">
        <f t="array" ref="D80">(SUM(VLOOKUP(I80:AF80,$AM$4:$AO$44,2,FALSE))+AG80*10)*IF(AK80="是",$AY$4,$AY$3)</f>
        <v>1544</v>
      </c>
      <c r="E80" s="57">
        <f>SUM($B$4:B80)+SUM($C$4:C80)-SUM($D$4:D80)</f>
        <v>424</v>
      </c>
      <c r="F80" s="109" cm="1">
        <f t="array" ref="F80">SUM(VLOOKUP(I80:AF80,$AM$4:$AO$44,3,FALSE))</f>
        <v>530</v>
      </c>
      <c r="G80" s="109">
        <f>SUM($F$4:F80)+SUM($H$4:H80)</f>
        <v>54245</v>
      </c>
      <c r="H80" s="110">
        <v>0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23" t="s">
        <v>19</v>
      </c>
      <c r="O80" s="111" t="s">
        <v>23</v>
      </c>
      <c r="P80" s="111" t="s">
        <v>23</v>
      </c>
      <c r="Q80" s="131" t="s">
        <v>17</v>
      </c>
      <c r="R80" s="28" t="s">
        <v>12</v>
      </c>
      <c r="S80" s="131" t="s">
        <v>17</v>
      </c>
      <c r="T80" s="131" t="s">
        <v>17</v>
      </c>
      <c r="U80" s="131" t="s">
        <v>17</v>
      </c>
      <c r="V80" s="131" t="s">
        <v>17</v>
      </c>
      <c r="W80" s="111" t="s">
        <v>23</v>
      </c>
      <c r="X80" s="111" t="s">
        <v>23</v>
      </c>
      <c r="Y80" s="110" t="s">
        <v>23</v>
      </c>
      <c r="Z80" s="110" t="s">
        <v>23</v>
      </c>
      <c r="AA80" s="110" t="s">
        <v>23</v>
      </c>
      <c r="AB80" s="110" t="s">
        <v>23</v>
      </c>
      <c r="AC80" s="110" t="s">
        <v>23</v>
      </c>
      <c r="AD80" s="110" t="s">
        <v>23</v>
      </c>
      <c r="AE80" s="111" t="s">
        <v>23</v>
      </c>
      <c r="AF80" s="111" t="s">
        <v>23</v>
      </c>
      <c r="AG80" s="112">
        <v>0</v>
      </c>
      <c r="AH80" s="112"/>
      <c r="AI80" s="112"/>
      <c r="AJ80" s="112"/>
      <c r="AK80" s="113" t="s">
        <v>31</v>
      </c>
      <c r="AL80" s="108"/>
    </row>
    <row r="81" spans="1:42">
      <c r="A81" s="121">
        <v>44624</v>
      </c>
      <c r="B81" s="110">
        <v>1600</v>
      </c>
      <c r="C81" s="110"/>
      <c r="D81" s="109" cm="1">
        <f t="array" ref="D81">(SUM(VLOOKUP(I81:AF81,$AM$4:$AO$44,2,FALSE))+AG81*10)*IF(AK81="是",$AY$4,$AY$3)</f>
        <v>1584</v>
      </c>
      <c r="E81" s="57">
        <f>SUM($B$4:B81)+SUM($C$4:C81)-SUM($D$4:D81)</f>
        <v>440</v>
      </c>
      <c r="F81" s="109" cm="1">
        <f t="array" ref="F81">SUM(VLOOKUP(I81:AF81,$AM$4:$AO$44,3,FALSE))</f>
        <v>555</v>
      </c>
      <c r="G81" s="109">
        <f>SUM($F$4:F81)+SUM($H$4:H81)</f>
        <v>54800</v>
      </c>
      <c r="H81" s="110">
        <v>0</v>
      </c>
      <c r="I81" s="23" t="s">
        <v>19</v>
      </c>
      <c r="J81" s="23" t="s">
        <v>19</v>
      </c>
      <c r="K81" s="23" t="s">
        <v>19</v>
      </c>
      <c r="L81" s="23" t="s">
        <v>19</v>
      </c>
      <c r="M81" s="23" t="s">
        <v>19</v>
      </c>
      <c r="N81" s="23" t="s">
        <v>19</v>
      </c>
      <c r="O81" s="111" t="s">
        <v>23</v>
      </c>
      <c r="P81" s="111" t="s">
        <v>23</v>
      </c>
      <c r="Q81" s="130" t="s">
        <v>18</v>
      </c>
      <c r="R81" s="130" t="s">
        <v>18</v>
      </c>
      <c r="S81" s="130" t="s">
        <v>18</v>
      </c>
      <c r="T81" s="130" t="s">
        <v>18</v>
      </c>
      <c r="U81" s="28" t="s">
        <v>12</v>
      </c>
      <c r="V81" s="130" t="s">
        <v>18</v>
      </c>
      <c r="W81" s="111" t="s">
        <v>23</v>
      </c>
      <c r="X81" s="111" t="s">
        <v>23</v>
      </c>
      <c r="Y81" s="110" t="s">
        <v>23</v>
      </c>
      <c r="Z81" s="110" t="s">
        <v>23</v>
      </c>
      <c r="AA81" s="110" t="s">
        <v>23</v>
      </c>
      <c r="AB81" s="110" t="s">
        <v>23</v>
      </c>
      <c r="AC81" s="110" t="s">
        <v>23</v>
      </c>
      <c r="AD81" s="110" t="s">
        <v>23</v>
      </c>
      <c r="AE81" s="111" t="s">
        <v>23</v>
      </c>
      <c r="AF81" s="111" t="s">
        <v>23</v>
      </c>
      <c r="AG81" s="112">
        <v>0</v>
      </c>
      <c r="AH81" s="112"/>
      <c r="AI81" s="112"/>
      <c r="AJ81" s="112"/>
      <c r="AK81" s="113" t="s">
        <v>31</v>
      </c>
      <c r="AL81" s="108"/>
    </row>
    <row r="82" spans="1:42">
      <c r="A82" s="121">
        <v>44625</v>
      </c>
      <c r="B82" s="110">
        <v>1600</v>
      </c>
      <c r="C82" s="110"/>
      <c r="D82" s="109" cm="1">
        <f t="array" ref="D82">(SUM(VLOOKUP(I82:AF82,$AM$4:$AO$44,2,FALSE))+AG82*10)*IF(AK82="是",$AY$4,$AY$3)</f>
        <v>1536</v>
      </c>
      <c r="E82" s="57">
        <f>SUM($B$4:B82)+SUM($C$4:C82)-SUM($D$4:D82)</f>
        <v>504</v>
      </c>
      <c r="F82" s="109" cm="1">
        <f t="array" ref="F82">SUM(VLOOKUP(I82:AF82,$AM$4:$AO$44,3,FALSE))</f>
        <v>585</v>
      </c>
      <c r="G82" s="109">
        <f>SUM($F$4:F82)+SUM($H$4:H82)</f>
        <v>55385</v>
      </c>
      <c r="H82" s="110">
        <v>0</v>
      </c>
      <c r="I82" s="23" t="s">
        <v>19</v>
      </c>
      <c r="J82" s="23" t="s">
        <v>19</v>
      </c>
      <c r="K82" s="23" t="s">
        <v>19</v>
      </c>
      <c r="L82" s="23" t="s">
        <v>19</v>
      </c>
      <c r="M82" s="23" t="s">
        <v>19</v>
      </c>
      <c r="N82" s="29" t="s">
        <v>47</v>
      </c>
      <c r="O82" s="23" t="s">
        <v>19</v>
      </c>
      <c r="P82" s="23" t="s">
        <v>19</v>
      </c>
      <c r="Q82" s="130" t="s">
        <v>18</v>
      </c>
      <c r="R82" s="131" t="s">
        <v>17</v>
      </c>
      <c r="S82" s="131" t="s">
        <v>17</v>
      </c>
      <c r="T82" s="28" t="s">
        <v>12</v>
      </c>
      <c r="U82" s="131" t="s">
        <v>17</v>
      </c>
      <c r="V82" s="131" t="s">
        <v>17</v>
      </c>
      <c r="W82" s="111" t="s">
        <v>23</v>
      </c>
      <c r="X82" s="111" t="s">
        <v>23</v>
      </c>
      <c r="Y82" s="110" t="s">
        <v>23</v>
      </c>
      <c r="Z82" s="110" t="s">
        <v>23</v>
      </c>
      <c r="AA82" s="110" t="s">
        <v>23</v>
      </c>
      <c r="AB82" s="110" t="s">
        <v>23</v>
      </c>
      <c r="AC82" s="110" t="s">
        <v>23</v>
      </c>
      <c r="AD82" s="110" t="s">
        <v>23</v>
      </c>
      <c r="AE82" s="111" t="s">
        <v>23</v>
      </c>
      <c r="AF82" s="111" t="s">
        <v>23</v>
      </c>
      <c r="AG82" s="112">
        <v>0</v>
      </c>
      <c r="AH82" s="112"/>
      <c r="AI82" s="112"/>
      <c r="AJ82" s="112"/>
      <c r="AK82" s="113" t="s">
        <v>31</v>
      </c>
      <c r="AL82" s="108"/>
    </row>
    <row r="83" spans="1:42">
      <c r="A83" s="121">
        <v>44626</v>
      </c>
      <c r="B83" s="110">
        <v>1600</v>
      </c>
      <c r="C83" s="110"/>
      <c r="D83" s="109" cm="1">
        <f t="array" ref="D83">(SUM(VLOOKUP(I83:AF83,$AM$4:$AO$44,2,FALSE))+AG83*10)*IF(AK83="是",$AY$4,$AY$3)</f>
        <v>1544</v>
      </c>
      <c r="E83" s="57">
        <f>SUM($B$4:B83)+SUM($C$4:C83)-SUM($D$4:D83)</f>
        <v>560</v>
      </c>
      <c r="F83" s="109" cm="1">
        <f t="array" ref="F83">SUM(VLOOKUP(I83:AF83,$AM$4:$AO$44,3,FALSE))</f>
        <v>530</v>
      </c>
      <c r="G83" s="109">
        <f>SUM($F$4:F83)+SUM($H$4:H83)</f>
        <v>55915</v>
      </c>
      <c r="H83" s="110">
        <v>0</v>
      </c>
      <c r="I83" s="23" t="s">
        <v>19</v>
      </c>
      <c r="J83" s="23" t="s">
        <v>19</v>
      </c>
      <c r="K83" s="23" t="s">
        <v>19</v>
      </c>
      <c r="L83" s="23" t="s">
        <v>19</v>
      </c>
      <c r="M83" s="23" t="s">
        <v>19</v>
      </c>
      <c r="N83" s="23" t="s">
        <v>19</v>
      </c>
      <c r="O83" s="111" t="s">
        <v>23</v>
      </c>
      <c r="P83" s="111" t="s">
        <v>23</v>
      </c>
      <c r="Q83" s="131" t="s">
        <v>17</v>
      </c>
      <c r="R83" s="131" t="s">
        <v>17</v>
      </c>
      <c r="S83" s="28" t="s">
        <v>12</v>
      </c>
      <c r="T83" s="131" t="s">
        <v>17</v>
      </c>
      <c r="U83" s="131" t="s">
        <v>6</v>
      </c>
      <c r="V83" s="131" t="s">
        <v>17</v>
      </c>
      <c r="W83" s="111" t="s">
        <v>23</v>
      </c>
      <c r="X83" s="111" t="s">
        <v>23</v>
      </c>
      <c r="Y83" s="110" t="s">
        <v>23</v>
      </c>
      <c r="Z83" s="110" t="s">
        <v>23</v>
      </c>
      <c r="AA83" s="110" t="s">
        <v>23</v>
      </c>
      <c r="AB83" s="110" t="s">
        <v>23</v>
      </c>
      <c r="AC83" s="110" t="s">
        <v>23</v>
      </c>
      <c r="AD83" s="110" t="s">
        <v>23</v>
      </c>
      <c r="AE83" s="111" t="s">
        <v>23</v>
      </c>
      <c r="AF83" s="111" t="s">
        <v>23</v>
      </c>
      <c r="AG83" s="112">
        <v>1</v>
      </c>
      <c r="AH83" s="112"/>
      <c r="AI83" s="112">
        <v>1</v>
      </c>
      <c r="AJ83" s="112"/>
      <c r="AK83" s="113" t="s">
        <v>31</v>
      </c>
      <c r="AL83" s="108"/>
    </row>
    <row r="84" spans="1:42">
      <c r="A84" s="121">
        <v>44627</v>
      </c>
      <c r="B84" s="109">
        <v>1600</v>
      </c>
      <c r="C84" s="109"/>
      <c r="D84" s="109" cm="1">
        <f t="array" ref="D84">(SUM(VLOOKUP(I84:AF84,$AM$4:$AO$44,2,FALSE))+AG84*10)*IF(AK84="是",$AY$4,$AY$3)</f>
        <v>1648</v>
      </c>
      <c r="E84" s="57">
        <f>SUM($B$4:B84)+SUM($C$4:C84)-SUM($D$4:D84)</f>
        <v>512</v>
      </c>
      <c r="F84" s="109" cm="1">
        <f t="array" ref="F84">SUM(VLOOKUP(I84:AF84,$AM$4:$AO$44,3,FALSE))</f>
        <v>560</v>
      </c>
      <c r="G84" s="109">
        <f>SUM($F$4:F84)+SUM($H$4:H84)</f>
        <v>56775</v>
      </c>
      <c r="H84" s="109">
        <v>300</v>
      </c>
      <c r="I84" s="23" t="s">
        <v>19</v>
      </c>
      <c r="J84" s="23" t="s">
        <v>19</v>
      </c>
      <c r="K84" s="23" t="s">
        <v>19</v>
      </c>
      <c r="L84" s="23" t="s">
        <v>19</v>
      </c>
      <c r="M84" s="23" t="s">
        <v>19</v>
      </c>
      <c r="N84" s="23" t="s">
        <v>19</v>
      </c>
      <c r="O84" s="111" t="s">
        <v>23</v>
      </c>
      <c r="P84" s="111" t="s">
        <v>23</v>
      </c>
      <c r="Q84" s="131" t="s">
        <v>17</v>
      </c>
      <c r="R84" s="130" t="s">
        <v>18</v>
      </c>
      <c r="S84" s="130" t="s">
        <v>18</v>
      </c>
      <c r="T84" s="130" t="s">
        <v>7</v>
      </c>
      <c r="U84" s="130" t="s">
        <v>18</v>
      </c>
      <c r="V84" s="131" t="s">
        <v>17</v>
      </c>
      <c r="W84" s="111" t="s">
        <v>23</v>
      </c>
      <c r="X84" s="111" t="s">
        <v>23</v>
      </c>
      <c r="Y84" s="110" t="s">
        <v>23</v>
      </c>
      <c r="Z84" s="110" t="s">
        <v>23</v>
      </c>
      <c r="AA84" s="110" t="s">
        <v>23</v>
      </c>
      <c r="AB84" s="110" t="s">
        <v>23</v>
      </c>
      <c r="AC84" s="110" t="s">
        <v>23</v>
      </c>
      <c r="AD84" s="110" t="s">
        <v>23</v>
      </c>
      <c r="AE84" s="111" t="s">
        <v>23</v>
      </c>
      <c r="AF84" s="111" t="s">
        <v>23</v>
      </c>
      <c r="AG84" s="112">
        <v>0</v>
      </c>
      <c r="AH84" s="112"/>
      <c r="AI84" s="112"/>
      <c r="AJ84" s="112"/>
      <c r="AK84" s="113" t="s">
        <v>31</v>
      </c>
      <c r="AL84" s="108"/>
      <c r="AM84" s="89"/>
      <c r="AN84" s="89"/>
      <c r="AO84" s="89"/>
      <c r="AP84" s="89"/>
    </row>
    <row r="85" spans="1:42">
      <c r="A85" s="121">
        <v>44628</v>
      </c>
      <c r="B85" s="109">
        <v>1600</v>
      </c>
      <c r="C85" s="109"/>
      <c r="D85" s="109" cm="1">
        <f t="array" ref="D85">(SUM(VLOOKUP(I85:AF85,$AM$4:$AO$44,2,FALSE))+AG85*10)*IF(AK85="是",$AY$4,$AY$3)</f>
        <v>1584</v>
      </c>
      <c r="E85" s="57">
        <f>SUM($B$4:B85)+SUM($C$4:C85)-SUM($D$4:D85)</f>
        <v>528</v>
      </c>
      <c r="F85" s="109" cm="1">
        <f t="array" ref="F85">SUM(VLOOKUP(I85:AF85,$AM$4:$AO$44,3,FALSE))</f>
        <v>550</v>
      </c>
      <c r="G85" s="109">
        <f>SUM($F$4:F85)+SUM($H$4:H85)</f>
        <v>57325</v>
      </c>
      <c r="H85" s="109">
        <v>0</v>
      </c>
      <c r="I85" s="23" t="s">
        <v>19</v>
      </c>
      <c r="J85" s="23" t="s">
        <v>19</v>
      </c>
      <c r="K85" s="24" t="s">
        <v>20</v>
      </c>
      <c r="L85" s="24" t="s">
        <v>20</v>
      </c>
      <c r="M85" s="24" t="s">
        <v>20</v>
      </c>
      <c r="N85" s="24" t="s">
        <v>20</v>
      </c>
      <c r="O85" s="111" t="s">
        <v>23</v>
      </c>
      <c r="P85" s="111" t="s">
        <v>23</v>
      </c>
      <c r="Q85" s="131" t="s">
        <v>17</v>
      </c>
      <c r="R85" s="131" t="s">
        <v>17</v>
      </c>
      <c r="S85" s="131" t="s">
        <v>17</v>
      </c>
      <c r="T85" s="28" t="s">
        <v>12</v>
      </c>
      <c r="U85" s="131" t="s">
        <v>17</v>
      </c>
      <c r="V85" s="131" t="s">
        <v>17</v>
      </c>
      <c r="W85" s="111" t="s">
        <v>23</v>
      </c>
      <c r="X85" s="111" t="s">
        <v>23</v>
      </c>
      <c r="Y85" s="110" t="s">
        <v>23</v>
      </c>
      <c r="Z85" s="110" t="s">
        <v>23</v>
      </c>
      <c r="AA85" s="110" t="s">
        <v>23</v>
      </c>
      <c r="AB85" s="110" t="s">
        <v>23</v>
      </c>
      <c r="AC85" s="110" t="s">
        <v>23</v>
      </c>
      <c r="AD85" s="110" t="s">
        <v>23</v>
      </c>
      <c r="AE85" s="111" t="s">
        <v>23</v>
      </c>
      <c r="AF85" s="111" t="s">
        <v>23</v>
      </c>
      <c r="AG85" s="112">
        <v>1</v>
      </c>
      <c r="AH85" s="112"/>
      <c r="AI85" s="112">
        <v>1</v>
      </c>
      <c r="AJ85" s="112"/>
      <c r="AK85" s="113" t="s">
        <v>31</v>
      </c>
      <c r="AL85" s="108"/>
      <c r="AM85" s="89"/>
      <c r="AN85" s="89"/>
      <c r="AO85" s="89"/>
      <c r="AP85" s="89"/>
    </row>
    <row r="86" spans="1:42">
      <c r="A86" s="121">
        <v>44629</v>
      </c>
      <c r="B86" s="109">
        <v>1600</v>
      </c>
      <c r="C86" s="109"/>
      <c r="D86" s="109" cm="1">
        <f t="array" ref="D86">(SUM(VLOOKUP(I86:AF86,$AM$4:$AO$44,2,FALSE))+AG86*10)*IF(AK86="是",$AY$4,$AY$3)</f>
        <v>1552</v>
      </c>
      <c r="E86" s="57">
        <f>SUM($B$4:B86)+SUM($C$4:C86)-SUM($D$4:D86)</f>
        <v>576</v>
      </c>
      <c r="F86" s="109" cm="1">
        <f t="array" ref="F86">SUM(VLOOKUP(I86:AF86,$AM$4:$AO$44,3,FALSE))</f>
        <v>535</v>
      </c>
      <c r="G86" s="109">
        <f>SUM($F$4:F86)+SUM($H$4:H86)</f>
        <v>58060</v>
      </c>
      <c r="H86" s="109">
        <v>200</v>
      </c>
      <c r="I86" s="24" t="s">
        <v>20</v>
      </c>
      <c r="J86" s="23" t="s">
        <v>19</v>
      </c>
      <c r="K86" s="23" t="s">
        <v>19</v>
      </c>
      <c r="L86" s="23" t="s">
        <v>19</v>
      </c>
      <c r="M86" s="23" t="s">
        <v>19</v>
      </c>
      <c r="N86" s="23" t="s">
        <v>19</v>
      </c>
      <c r="O86" s="111" t="s">
        <v>23</v>
      </c>
      <c r="P86" s="111" t="s">
        <v>23</v>
      </c>
      <c r="Q86" s="131" t="s">
        <v>17</v>
      </c>
      <c r="R86" s="28" t="s">
        <v>12</v>
      </c>
      <c r="S86" s="131" t="s">
        <v>17</v>
      </c>
      <c r="T86" s="131" t="s">
        <v>17</v>
      </c>
      <c r="U86" s="131" t="s">
        <v>17</v>
      </c>
      <c r="V86" s="131" t="s">
        <v>17</v>
      </c>
      <c r="W86" s="111" t="s">
        <v>23</v>
      </c>
      <c r="X86" s="111" t="s">
        <v>23</v>
      </c>
      <c r="Y86" s="110" t="s">
        <v>23</v>
      </c>
      <c r="Z86" s="110" t="s">
        <v>23</v>
      </c>
      <c r="AA86" s="110" t="s">
        <v>23</v>
      </c>
      <c r="AB86" s="110" t="s">
        <v>23</v>
      </c>
      <c r="AC86" s="110" t="s">
        <v>23</v>
      </c>
      <c r="AD86" s="110" t="s">
        <v>23</v>
      </c>
      <c r="AE86" s="111" t="s">
        <v>23</v>
      </c>
      <c r="AF86" s="111" t="s">
        <v>23</v>
      </c>
      <c r="AG86" s="112">
        <v>0</v>
      </c>
      <c r="AH86" s="112"/>
      <c r="AI86" s="112"/>
      <c r="AJ86" s="112"/>
      <c r="AK86" s="113" t="s">
        <v>31</v>
      </c>
      <c r="AL86" s="108"/>
    </row>
    <row r="87" spans="1:42">
      <c r="A87" s="121">
        <v>44630</v>
      </c>
      <c r="B87" s="109">
        <v>1600</v>
      </c>
      <c r="C87" s="109"/>
      <c r="D87" s="109" cm="1">
        <f t="array" ref="D87">(SUM(VLOOKUP(I87:AF87,$AM$4:$AO$44,2,FALSE))+AG87*10)*IF(AK87="是",$AY$4,$AY$3)</f>
        <v>1544</v>
      </c>
      <c r="E87" s="57">
        <f>SUM($B$4:B87)+SUM($C$4:C87)-SUM($D$4:D87)</f>
        <v>632</v>
      </c>
      <c r="F87" s="109" cm="1">
        <f t="array" ref="F87">SUM(VLOOKUP(I87:AF87,$AM$4:$AO$44,3,FALSE))</f>
        <v>530</v>
      </c>
      <c r="G87" s="109">
        <f>SUM($F$4:F87)+SUM($H$4:H87)</f>
        <v>58590</v>
      </c>
      <c r="H87" s="109">
        <v>0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23" t="s">
        <v>19</v>
      </c>
      <c r="O87" s="111" t="s">
        <v>23</v>
      </c>
      <c r="P87" s="111" t="s">
        <v>23</v>
      </c>
      <c r="Q87" s="131" t="s">
        <v>6</v>
      </c>
      <c r="R87" s="131" t="s">
        <v>17</v>
      </c>
      <c r="S87" s="28" t="s">
        <v>12</v>
      </c>
      <c r="T87" s="131" t="s">
        <v>17</v>
      </c>
      <c r="U87" s="131" t="s">
        <v>17</v>
      </c>
      <c r="V87" s="131" t="s">
        <v>17</v>
      </c>
      <c r="W87" s="111" t="s">
        <v>23</v>
      </c>
      <c r="X87" s="111" t="s">
        <v>23</v>
      </c>
      <c r="Y87" s="110" t="s">
        <v>23</v>
      </c>
      <c r="Z87" s="110" t="s">
        <v>23</v>
      </c>
      <c r="AA87" s="110" t="s">
        <v>23</v>
      </c>
      <c r="AB87" s="110" t="s">
        <v>23</v>
      </c>
      <c r="AC87" s="110" t="s">
        <v>23</v>
      </c>
      <c r="AD87" s="110" t="s">
        <v>23</v>
      </c>
      <c r="AE87" s="111" t="s">
        <v>23</v>
      </c>
      <c r="AF87" s="111" t="s">
        <v>23</v>
      </c>
      <c r="AG87" s="112">
        <v>1</v>
      </c>
      <c r="AH87" s="112"/>
      <c r="AI87" s="112">
        <v>1</v>
      </c>
      <c r="AJ87" s="112"/>
      <c r="AK87" s="113" t="s">
        <v>31</v>
      </c>
      <c r="AL87" s="108"/>
    </row>
    <row r="88" spans="1:42">
      <c r="A88" s="121">
        <v>44631</v>
      </c>
      <c r="B88" s="109">
        <v>1600</v>
      </c>
      <c r="C88" s="109"/>
      <c r="D88" s="109" cm="1">
        <f t="array" ref="D88">(SUM(VLOOKUP(I88:AF88,$AM$4:$AO$44,2,FALSE))+AG88*10)*IF(AK88="是",$AY$4,$AY$3)</f>
        <v>1360</v>
      </c>
      <c r="E88" s="57">
        <f>SUM($B$4:B88)+SUM($C$4:C88)-SUM($D$4:D88)</f>
        <v>872</v>
      </c>
      <c r="F88" s="109" cm="1">
        <f t="array" ref="F88">SUM(VLOOKUP(I88:AF88,$AM$4:$AO$44,3,FALSE))</f>
        <v>500</v>
      </c>
      <c r="G88" s="109">
        <f>SUM($F$4:F88)+SUM($H$4:H88)</f>
        <v>59090</v>
      </c>
      <c r="H88" s="109">
        <v>0</v>
      </c>
      <c r="I88" s="23" t="s">
        <v>19</v>
      </c>
      <c r="J88" s="23" t="s">
        <v>19</v>
      </c>
      <c r="K88" s="23" t="s">
        <v>19</v>
      </c>
      <c r="L88" s="23" t="s">
        <v>19</v>
      </c>
      <c r="M88" s="28" t="s">
        <v>12</v>
      </c>
      <c r="N88" s="23" t="s">
        <v>19</v>
      </c>
      <c r="O88" s="111" t="s">
        <v>23</v>
      </c>
      <c r="P88" s="111" t="s">
        <v>23</v>
      </c>
      <c r="Q88" s="131" t="s">
        <v>17</v>
      </c>
      <c r="R88" s="28" t="s">
        <v>12</v>
      </c>
      <c r="S88" s="129" t="s">
        <v>19</v>
      </c>
      <c r="T88" s="129" t="s">
        <v>19</v>
      </c>
      <c r="U88" s="129" t="s">
        <v>19</v>
      </c>
      <c r="V88" s="110" t="s">
        <v>23</v>
      </c>
      <c r="W88" s="111" t="s">
        <v>23</v>
      </c>
      <c r="X88" s="111" t="s">
        <v>23</v>
      </c>
      <c r="Y88" s="110" t="s">
        <v>23</v>
      </c>
      <c r="Z88" s="110" t="s">
        <v>23</v>
      </c>
      <c r="AA88" s="110" t="s">
        <v>23</v>
      </c>
      <c r="AB88" s="110" t="s">
        <v>23</v>
      </c>
      <c r="AC88" s="110" t="s">
        <v>23</v>
      </c>
      <c r="AD88" s="110" t="s">
        <v>23</v>
      </c>
      <c r="AE88" s="111" t="s">
        <v>23</v>
      </c>
      <c r="AF88" s="111" t="s">
        <v>23</v>
      </c>
      <c r="AG88" s="112">
        <v>0</v>
      </c>
      <c r="AH88" s="112"/>
      <c r="AI88" s="112"/>
      <c r="AJ88" s="112"/>
      <c r="AK88" s="113" t="s">
        <v>31</v>
      </c>
      <c r="AL88" s="108"/>
    </row>
    <row r="89" spans="1:42">
      <c r="A89" s="121">
        <v>44632</v>
      </c>
      <c r="B89" s="109">
        <v>1600</v>
      </c>
      <c r="C89" s="109"/>
      <c r="D89" s="109" cm="1">
        <f t="array" ref="D89">(SUM(VLOOKUP(I89:AF89,$AM$4:$AO$44,2,FALSE))+AG89*10)*IF(AK89="是",$AY$4,$AY$3)</f>
        <v>1704</v>
      </c>
      <c r="E89" s="57">
        <f>SUM($B$4:B89)+SUM($C$4:C89)-SUM($D$4:D89)</f>
        <v>768</v>
      </c>
      <c r="F89" s="109" cm="1">
        <f t="array" ref="F89">SUM(VLOOKUP(I89:AF89,$AM$4:$AO$44,3,FALSE))</f>
        <v>585</v>
      </c>
      <c r="G89" s="109">
        <f>SUM($F$4:F89)+SUM($H$4:H89)</f>
        <v>59675</v>
      </c>
      <c r="H89" s="109">
        <v>0</v>
      </c>
      <c r="I89" s="23" t="s">
        <v>19</v>
      </c>
      <c r="J89" s="23" t="s">
        <v>19</v>
      </c>
      <c r="K89" s="23" t="s">
        <v>19</v>
      </c>
      <c r="L89" s="23" t="s">
        <v>19</v>
      </c>
      <c r="M89" s="24" t="s">
        <v>20</v>
      </c>
      <c r="N89" s="24" t="s">
        <v>20</v>
      </c>
      <c r="O89" s="111" t="s">
        <v>23</v>
      </c>
      <c r="P89" s="111" t="s">
        <v>23</v>
      </c>
      <c r="Q89" s="129" t="s">
        <v>19</v>
      </c>
      <c r="R89" s="130" t="s">
        <v>18</v>
      </c>
      <c r="S89" s="130" t="s">
        <v>18</v>
      </c>
      <c r="T89" s="130" t="s">
        <v>18</v>
      </c>
      <c r="U89" s="130" t="s">
        <v>18</v>
      </c>
      <c r="V89" s="130" t="s">
        <v>18</v>
      </c>
      <c r="W89" s="111" t="s">
        <v>23</v>
      </c>
      <c r="X89" s="111" t="s">
        <v>23</v>
      </c>
      <c r="Y89" s="110" t="s">
        <v>23</v>
      </c>
      <c r="Z89" s="110" t="s">
        <v>23</v>
      </c>
      <c r="AA89" s="110" t="s">
        <v>23</v>
      </c>
      <c r="AB89" s="110" t="s">
        <v>23</v>
      </c>
      <c r="AC89" s="110" t="s">
        <v>23</v>
      </c>
      <c r="AD89" s="110" t="s">
        <v>23</v>
      </c>
      <c r="AE89" s="111" t="s">
        <v>23</v>
      </c>
      <c r="AF89" s="111" t="s">
        <v>23</v>
      </c>
      <c r="AG89" s="112">
        <v>0</v>
      </c>
      <c r="AH89" s="112"/>
      <c r="AI89" s="112"/>
      <c r="AJ89" s="112"/>
      <c r="AK89" s="113" t="s">
        <v>31</v>
      </c>
      <c r="AL89" s="108"/>
    </row>
    <row r="90" spans="1:42">
      <c r="A90" s="121">
        <v>44633</v>
      </c>
      <c r="B90" s="109">
        <v>1600</v>
      </c>
      <c r="C90" s="109"/>
      <c r="D90" s="109" cm="1">
        <f t="array" ref="D90">(SUM(VLOOKUP(I90:AF90,$AM$4:$AO$44,2,FALSE))+AG90*10)*IF(AK90="是",$AY$4,$AY$3)</f>
        <v>2088</v>
      </c>
      <c r="E90" s="57">
        <f>SUM($B$4:B90)+SUM($C$4:C90)-SUM($D$4:D90)</f>
        <v>280</v>
      </c>
      <c r="F90" s="109" cm="1">
        <f t="array" ref="F90">SUM(VLOOKUP(I90:AF90,$AM$4:$AO$44,3,FALSE))</f>
        <v>760</v>
      </c>
      <c r="G90" s="109">
        <f>SUM($F$4:F90)+SUM($H$4:H90)</f>
        <v>60435</v>
      </c>
      <c r="H90" s="109">
        <v>0</v>
      </c>
      <c r="I90" s="24" t="s">
        <v>9</v>
      </c>
      <c r="J90" s="24" t="s">
        <v>20</v>
      </c>
      <c r="K90" s="24" t="s">
        <v>20</v>
      </c>
      <c r="L90" s="24" t="s">
        <v>20</v>
      </c>
      <c r="M90" s="24" t="s">
        <v>20</v>
      </c>
      <c r="N90" s="24" t="s">
        <v>20</v>
      </c>
      <c r="O90" s="111" t="s">
        <v>23</v>
      </c>
      <c r="P90" s="111" t="s">
        <v>23</v>
      </c>
      <c r="Q90" s="130" t="s">
        <v>18</v>
      </c>
      <c r="R90" s="130" t="s">
        <v>18</v>
      </c>
      <c r="S90" s="130" t="s">
        <v>18</v>
      </c>
      <c r="T90" s="130" t="s">
        <v>18</v>
      </c>
      <c r="U90" s="110" t="s">
        <v>23</v>
      </c>
      <c r="V90" s="110" t="s">
        <v>23</v>
      </c>
      <c r="W90" s="111" t="s">
        <v>23</v>
      </c>
      <c r="X90" s="111" t="s">
        <v>23</v>
      </c>
      <c r="Y90" s="21" t="s">
        <v>17</v>
      </c>
      <c r="Z90" s="21" t="s">
        <v>17</v>
      </c>
      <c r="AA90" s="20" t="s">
        <v>16</v>
      </c>
      <c r="AB90" s="20" t="s">
        <v>16</v>
      </c>
      <c r="AC90" s="28" t="s">
        <v>12</v>
      </c>
      <c r="AD90" s="20" t="s">
        <v>16</v>
      </c>
      <c r="AE90" s="29" t="s">
        <v>47</v>
      </c>
      <c r="AF90" s="20" t="s">
        <v>16</v>
      </c>
      <c r="AG90" s="112">
        <v>6</v>
      </c>
      <c r="AH90" s="112"/>
      <c r="AI90" s="112"/>
      <c r="AJ90" s="112">
        <v>6</v>
      </c>
      <c r="AK90" s="113" t="s">
        <v>31</v>
      </c>
      <c r="AL90" s="108"/>
    </row>
    <row r="91" spans="1:42">
      <c r="A91" s="121">
        <v>44634</v>
      </c>
      <c r="B91" s="110">
        <v>1600</v>
      </c>
      <c r="C91" s="110"/>
      <c r="D91" s="109" cm="1">
        <f t="array" ref="D91">(SUM(VLOOKUP(I91:AF91,$AM$4:$AO$44,2,FALSE))+AG91*10)*IF(AK91="是",$AY$4,$AY$3)</f>
        <v>1768</v>
      </c>
      <c r="E91" s="57">
        <f>SUM($B$4:B91)+SUM($C$4:C91)-SUM($D$4:D91)</f>
        <v>112</v>
      </c>
      <c r="F91" s="109" cm="1">
        <f t="array" ref="F91">SUM(VLOOKUP(I91:AF91,$AM$4:$AO$44,3,FALSE))</f>
        <v>630</v>
      </c>
      <c r="G91" s="109">
        <f>SUM($F$4:F91)+SUM($H$4:H91)</f>
        <v>61365</v>
      </c>
      <c r="H91" s="110">
        <v>300</v>
      </c>
      <c r="I91" s="24" t="s">
        <v>20</v>
      </c>
      <c r="J91" s="24" t="s">
        <v>20</v>
      </c>
      <c r="K91" s="24" t="s">
        <v>20</v>
      </c>
      <c r="L91" s="24" t="s">
        <v>20</v>
      </c>
      <c r="M91" s="24" t="s">
        <v>20</v>
      </c>
      <c r="N91" s="24" t="s">
        <v>20</v>
      </c>
      <c r="O91" s="111" t="s">
        <v>23</v>
      </c>
      <c r="P91" s="111" t="s">
        <v>23</v>
      </c>
      <c r="Q91" s="130" t="s">
        <v>18</v>
      </c>
      <c r="R91" s="130" t="s">
        <v>18</v>
      </c>
      <c r="S91" s="130" t="s">
        <v>18</v>
      </c>
      <c r="T91" s="130" t="s">
        <v>18</v>
      </c>
      <c r="U91" s="130" t="s">
        <v>18</v>
      </c>
      <c r="V91" s="130" t="s">
        <v>18</v>
      </c>
      <c r="W91" s="111" t="s">
        <v>23</v>
      </c>
      <c r="X91" s="111" t="s">
        <v>23</v>
      </c>
      <c r="Y91" s="28" t="s">
        <v>12</v>
      </c>
      <c r="Z91" s="110" t="s">
        <v>23</v>
      </c>
      <c r="AA91" s="110" t="s">
        <v>23</v>
      </c>
      <c r="AB91" s="110" t="s">
        <v>23</v>
      </c>
      <c r="AC91" s="110" t="s">
        <v>23</v>
      </c>
      <c r="AD91" s="110" t="s">
        <v>23</v>
      </c>
      <c r="AE91" s="111" t="s">
        <v>23</v>
      </c>
      <c r="AF91" s="111" t="s">
        <v>23</v>
      </c>
      <c r="AG91" s="112">
        <v>0</v>
      </c>
      <c r="AH91" s="112"/>
      <c r="AI91" s="112"/>
      <c r="AJ91" s="112"/>
      <c r="AK91" s="113" t="s">
        <v>31</v>
      </c>
      <c r="AL91" s="108"/>
    </row>
    <row r="92" spans="1:42">
      <c r="A92" s="121">
        <v>44635</v>
      </c>
      <c r="B92" s="110">
        <v>1600</v>
      </c>
      <c r="C92" s="110"/>
      <c r="D92" s="109" cm="1">
        <f t="array" ref="D92">(SUM(VLOOKUP(I92:AF92,$AM$4:$AO$44,2,FALSE))+AG92*10)*IF(AK92="是",$AY$4,$AY$3)</f>
        <v>1592</v>
      </c>
      <c r="E92" s="57">
        <f>SUM($B$4:B92)+SUM($C$4:C92)-SUM($D$4:D92)</f>
        <v>120</v>
      </c>
      <c r="F92" s="109" cm="1">
        <f t="array" ref="F92">SUM(VLOOKUP(I92:AF92,$AM$4:$AO$44,3,FALSE))</f>
        <v>560</v>
      </c>
      <c r="G92" s="109">
        <f>SUM($F$4:F92)+SUM($H$4:H92)</f>
        <v>61925</v>
      </c>
      <c r="H92" s="110">
        <v>0</v>
      </c>
      <c r="I92" s="28" t="s">
        <v>12</v>
      </c>
      <c r="J92" s="24" t="s">
        <v>20</v>
      </c>
      <c r="K92" s="24" t="s">
        <v>20</v>
      </c>
      <c r="L92" s="23" t="s">
        <v>19</v>
      </c>
      <c r="M92" s="23" t="s">
        <v>19</v>
      </c>
      <c r="N92" s="23" t="s">
        <v>19</v>
      </c>
      <c r="O92" s="111" t="s">
        <v>23</v>
      </c>
      <c r="P92" s="111" t="s">
        <v>23</v>
      </c>
      <c r="Q92" s="130" t="s">
        <v>18</v>
      </c>
      <c r="R92" s="130" t="s">
        <v>18</v>
      </c>
      <c r="S92" s="130" t="s">
        <v>18</v>
      </c>
      <c r="T92" s="130" t="s">
        <v>18</v>
      </c>
      <c r="U92" s="130" t="s">
        <v>18</v>
      </c>
      <c r="V92" s="130" t="s">
        <v>18</v>
      </c>
      <c r="W92" s="111" t="s">
        <v>23</v>
      </c>
      <c r="X92" s="111" t="s">
        <v>23</v>
      </c>
      <c r="Y92" s="110" t="s">
        <v>23</v>
      </c>
      <c r="Z92" s="110" t="s">
        <v>23</v>
      </c>
      <c r="AA92" s="110" t="s">
        <v>23</v>
      </c>
      <c r="AB92" s="110" t="s">
        <v>23</v>
      </c>
      <c r="AC92" s="110" t="s">
        <v>23</v>
      </c>
      <c r="AD92" s="110" t="s">
        <v>23</v>
      </c>
      <c r="AE92" s="111" t="s">
        <v>23</v>
      </c>
      <c r="AF92" s="111" t="s">
        <v>23</v>
      </c>
      <c r="AG92" s="112">
        <v>0</v>
      </c>
      <c r="AH92" s="112"/>
      <c r="AI92" s="112"/>
      <c r="AJ92" s="112"/>
      <c r="AK92" s="113" t="s">
        <v>31</v>
      </c>
      <c r="AL92" s="108"/>
    </row>
    <row r="93" spans="1:42">
      <c r="A93" s="121">
        <v>44636</v>
      </c>
      <c r="B93" s="110">
        <v>1600</v>
      </c>
      <c r="C93" s="110"/>
      <c r="D93" s="109" cm="1">
        <f t="array" ref="D93">(SUM(VLOOKUP(I93:AF93,$AM$4:$AO$44,2,FALSE))+AG93*10)*IF(AK93="是",$AY$4,$AY$3)</f>
        <v>1680</v>
      </c>
      <c r="E93" s="57">
        <f>SUM($B$4:B93)+SUM($C$4:C93)-SUM($D$4:D93)</f>
        <v>40</v>
      </c>
      <c r="F93" s="109" cm="1">
        <f t="array" ref="F93">SUM(VLOOKUP(I93:AF93,$AM$4:$AO$44,3,FALSE))</f>
        <v>570</v>
      </c>
      <c r="G93" s="109">
        <f>SUM($F$4:F93)+SUM($H$4:H93)</f>
        <v>62695</v>
      </c>
      <c r="H93" s="110">
        <v>200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23" t="s">
        <v>19</v>
      </c>
      <c r="O93" s="111" t="s">
        <v>23</v>
      </c>
      <c r="P93" s="111" t="s">
        <v>23</v>
      </c>
      <c r="Q93" s="130" t="s">
        <v>18</v>
      </c>
      <c r="R93" s="130" t="s">
        <v>18</v>
      </c>
      <c r="S93" s="130" t="s">
        <v>18</v>
      </c>
      <c r="T93" s="130" t="s">
        <v>18</v>
      </c>
      <c r="U93" s="130" t="s">
        <v>18</v>
      </c>
      <c r="V93" s="130" t="s">
        <v>18</v>
      </c>
      <c r="W93" s="111" t="s">
        <v>23</v>
      </c>
      <c r="X93" s="111" t="s">
        <v>23</v>
      </c>
      <c r="Y93" s="110" t="s">
        <v>23</v>
      </c>
      <c r="Z93" s="110" t="s">
        <v>23</v>
      </c>
      <c r="AA93" s="110" t="s">
        <v>23</v>
      </c>
      <c r="AB93" s="110" t="s">
        <v>23</v>
      </c>
      <c r="AC93" s="110" t="s">
        <v>23</v>
      </c>
      <c r="AD93" s="110" t="s">
        <v>23</v>
      </c>
      <c r="AE93" s="111" t="s">
        <v>23</v>
      </c>
      <c r="AF93" s="111" t="s">
        <v>23</v>
      </c>
      <c r="AG93" s="112">
        <v>0</v>
      </c>
      <c r="AH93" s="112"/>
      <c r="AI93" s="112"/>
      <c r="AJ93" s="112"/>
      <c r="AK93" s="113" t="s">
        <v>31</v>
      </c>
      <c r="AL93" s="108"/>
    </row>
    <row r="94" spans="1:42" ht="15" thickBot="1">
      <c r="A94" s="121">
        <v>44637</v>
      </c>
      <c r="B94" s="110">
        <v>1600</v>
      </c>
      <c r="C94" s="110"/>
      <c r="D94" s="109" cm="1">
        <f t="array" ref="D94">(SUM(VLOOKUP(I94:AF94,$AM$4:$AO$44,2,FALSE))+AG94*10)*IF(AK94="是",$AY$4,$AY$3)</f>
        <v>1520</v>
      </c>
      <c r="E94" s="57">
        <f>SUM($B$4:B94)+SUM($C$4:C94)-SUM($D$4:D94)</f>
        <v>120</v>
      </c>
      <c r="F94" s="109" cm="1">
        <f t="array" ref="F94">SUM(VLOOKUP(I94:AF94,$AM$4:$AO$44,3,FALSE))</f>
        <v>505</v>
      </c>
      <c r="G94" s="109">
        <f>SUM($F$4:F94)+SUM($H$4:H94)</f>
        <v>63200</v>
      </c>
      <c r="H94" s="110">
        <v>0</v>
      </c>
      <c r="I94" s="23" t="s">
        <v>19</v>
      </c>
      <c r="J94" s="22" t="s">
        <v>18</v>
      </c>
      <c r="K94" s="22" t="s">
        <v>18</v>
      </c>
      <c r="L94" s="22" t="s">
        <v>18</v>
      </c>
      <c r="M94" s="22" t="s">
        <v>18</v>
      </c>
      <c r="N94" s="23" t="s">
        <v>19</v>
      </c>
      <c r="O94" s="111" t="s">
        <v>23</v>
      </c>
      <c r="P94" s="111" t="s">
        <v>23</v>
      </c>
      <c r="Q94" s="130" t="s">
        <v>18</v>
      </c>
      <c r="R94" s="130" t="s">
        <v>18</v>
      </c>
      <c r="S94" s="130" t="s">
        <v>18</v>
      </c>
      <c r="T94" s="130" t="s">
        <v>18</v>
      </c>
      <c r="U94" s="130" t="s">
        <v>18</v>
      </c>
      <c r="V94" s="110" t="s">
        <v>23</v>
      </c>
      <c r="W94" s="111" t="s">
        <v>23</v>
      </c>
      <c r="X94" s="111" t="s">
        <v>23</v>
      </c>
      <c r="Y94" s="110" t="s">
        <v>23</v>
      </c>
      <c r="Z94" s="110" t="s">
        <v>23</v>
      </c>
      <c r="AA94" s="110" t="s">
        <v>23</v>
      </c>
      <c r="AB94" s="110" t="s">
        <v>23</v>
      </c>
      <c r="AC94" s="110" t="s">
        <v>23</v>
      </c>
      <c r="AD94" s="110" t="s">
        <v>23</v>
      </c>
      <c r="AE94" s="111" t="s">
        <v>23</v>
      </c>
      <c r="AF94" s="111" t="s">
        <v>23</v>
      </c>
      <c r="AG94" s="112">
        <v>1</v>
      </c>
      <c r="AH94" s="112">
        <v>1</v>
      </c>
      <c r="AI94" s="112"/>
      <c r="AJ94" s="112"/>
      <c r="AK94" s="117" t="s">
        <v>31</v>
      </c>
      <c r="AL94" s="108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4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{1CD80056-456F-44AA-A92E-71EB1663325E}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D80056-456F-44AA-A92E-71EB166332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D38B-53C0-4377-A5A8-8082942FED13}">
  <dimension ref="A1:BA101"/>
  <sheetViews>
    <sheetView tabSelected="1" topLeftCell="C76" zoomScaleNormal="100" workbookViewId="0">
      <selection activeCell="J85" sqref="J85"/>
    </sheetView>
  </sheetViews>
  <sheetFormatPr defaultRowHeight="14.4"/>
  <cols>
    <col min="1" max="1" width="11.88671875" bestFit="1" customWidth="1"/>
    <col min="2" max="2" width="8.6640625" customWidth="1"/>
    <col min="3" max="3" width="8.5546875" customWidth="1"/>
    <col min="4" max="4" width="5.6640625" bestFit="1" customWidth="1"/>
    <col min="5" max="5" width="6.44140625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166">
        <f ca="1">(_xlfn.DAYS(TODAY(),A4)+2)/((_xlfn.DAYS(A94,A4))+1)</f>
        <v>1</v>
      </c>
      <c r="B1" s="167"/>
      <c r="C1" s="167"/>
      <c r="D1" s="167"/>
      <c r="E1" s="167"/>
      <c r="F1" s="167"/>
      <c r="G1" s="167"/>
      <c r="H1" s="168"/>
      <c r="I1" s="169" t="s">
        <v>37</v>
      </c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1"/>
      <c r="AH1" s="42"/>
      <c r="AI1" s="42"/>
      <c r="AJ1" s="42"/>
      <c r="AM1" s="165" t="s">
        <v>42</v>
      </c>
      <c r="AN1" s="165"/>
      <c r="AO1" s="165"/>
      <c r="AP1" s="119"/>
    </row>
    <row r="2" spans="1:53" ht="16.2" customHeight="1" thickBot="1">
      <c r="A2" t="s">
        <v>85</v>
      </c>
      <c r="B2" s="135" t="s">
        <v>88</v>
      </c>
      <c r="C2" s="134" cm="1">
        <f t="array" ref="C2">SUM(VLOOKUP(I4:P14,$AM$4:$AP$44,4,FALSE))+SUM(VLOOKUP(Q5:X11,$AM$4:$AP$44,4,FALSE))+SUM(AG4:AG14)*10</f>
        <v>3220.4417526489806</v>
      </c>
      <c r="D2" s="173" t="s">
        <v>35</v>
      </c>
      <c r="E2" s="174"/>
      <c r="F2" s="175">
        <f>SUM(F4:F94)+SUM(H4:H94)</f>
        <v>63255</v>
      </c>
      <c r="G2" s="175"/>
      <c r="H2" s="176"/>
      <c r="I2" s="177" t="s">
        <v>48</v>
      </c>
      <c r="J2" s="178"/>
      <c r="K2" s="120" t="s">
        <v>46</v>
      </c>
      <c r="L2" s="120">
        <f>COUNTIF(I4:P94,"&lt;&gt;空")</f>
        <v>556</v>
      </c>
      <c r="M2" s="178" t="s">
        <v>45</v>
      </c>
      <c r="N2" s="178"/>
      <c r="O2" s="178"/>
      <c r="P2" s="179"/>
      <c r="Q2" s="180" t="s">
        <v>49</v>
      </c>
      <c r="R2" s="160"/>
      <c r="S2" s="118" t="s">
        <v>46</v>
      </c>
      <c r="T2" s="118">
        <f>COUNTIF(Q4:X94,"&lt;&gt;空")</f>
        <v>495</v>
      </c>
      <c r="U2" s="160" t="s">
        <v>45</v>
      </c>
      <c r="V2" s="160"/>
      <c r="W2" s="160"/>
      <c r="X2" s="161"/>
      <c r="Y2" s="180" t="s">
        <v>33</v>
      </c>
      <c r="Z2" s="160"/>
      <c r="AA2" s="58" t="s">
        <v>44</v>
      </c>
      <c r="AB2" s="118">
        <f>COUNTIF(Y4:AF94,"&lt;&gt;空")</f>
        <v>17</v>
      </c>
      <c r="AC2" s="160" t="s">
        <v>45</v>
      </c>
      <c r="AD2" s="160"/>
      <c r="AE2" s="160"/>
      <c r="AF2" s="161"/>
      <c r="AG2" s="41">
        <f>SUM(AG4:AG94)</f>
        <v>44</v>
      </c>
      <c r="AH2" s="41">
        <f>SUM(AH4:AH94)</f>
        <v>12</v>
      </c>
      <c r="AI2" s="41">
        <f>SUM(AI4:AI94)</f>
        <v>7</v>
      </c>
      <c r="AJ2" s="41">
        <f>SUM(AJ4:AJ94)</f>
        <v>6</v>
      </c>
      <c r="AK2" s="162" t="s">
        <v>29</v>
      </c>
      <c r="AM2" s="172"/>
      <c r="AN2" s="172"/>
      <c r="AO2" s="172"/>
      <c r="AP2" s="132"/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5">
        <v>1</v>
      </c>
      <c r="J3" s="6">
        <v>2</v>
      </c>
      <c r="K3" s="6">
        <v>3</v>
      </c>
      <c r="L3" s="6">
        <v>4</v>
      </c>
      <c r="M3" s="6">
        <v>5</v>
      </c>
      <c r="N3" s="6">
        <v>6</v>
      </c>
      <c r="O3" s="6">
        <v>7</v>
      </c>
      <c r="P3" s="6">
        <v>8</v>
      </c>
      <c r="Q3" s="60">
        <v>1</v>
      </c>
      <c r="R3" s="61">
        <v>2</v>
      </c>
      <c r="S3" s="61">
        <v>3</v>
      </c>
      <c r="T3" s="61">
        <v>4</v>
      </c>
      <c r="U3" s="61">
        <v>5</v>
      </c>
      <c r="V3" s="61">
        <v>6</v>
      </c>
      <c r="W3" s="61">
        <v>7</v>
      </c>
      <c r="X3" s="61">
        <v>8</v>
      </c>
      <c r="Y3" s="60">
        <v>1</v>
      </c>
      <c r="Z3" s="61">
        <v>2</v>
      </c>
      <c r="AA3" s="61">
        <v>3</v>
      </c>
      <c r="AB3" s="61">
        <v>4</v>
      </c>
      <c r="AC3" s="61">
        <v>5</v>
      </c>
      <c r="AD3" s="61">
        <v>6</v>
      </c>
      <c r="AE3" s="61">
        <v>7</v>
      </c>
      <c r="AF3" s="62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163"/>
      <c r="AL3" s="2"/>
      <c r="AM3" s="19" t="s">
        <v>2</v>
      </c>
      <c r="AN3" s="19" t="s">
        <v>3</v>
      </c>
      <c r="AO3" s="19" t="s">
        <v>4</v>
      </c>
      <c r="AP3" s="133" t="s">
        <v>87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76">
        <v>44547</v>
      </c>
      <c r="B4" s="90">
        <v>800</v>
      </c>
      <c r="C4" s="90"/>
      <c r="D4" s="90" cm="1">
        <f t="array" ref="D4">(SUM(VLOOKUP(I4:AF4,$AM$4:$AO$44,2,FALSE))+AG4*10)*IF(AK4="是",$AY$4,$AY$3)</f>
        <v>750</v>
      </c>
      <c r="E4" s="90">
        <f>SUM($B$4:B4)+SUM($C$4:C4)-SUM($D$4:D4)</f>
        <v>50</v>
      </c>
      <c r="F4" s="90" cm="1">
        <f t="array" ref="F4">SUM(VLOOKUP(I4:AF4,$AM$4:$AO$44,3,FALSE))</f>
        <v>175</v>
      </c>
      <c r="G4" s="90">
        <f>SUM($F$4:F4)+SUM($H$4:H4)</f>
        <v>175</v>
      </c>
      <c r="H4" s="90">
        <v>0</v>
      </c>
      <c r="I4" s="96" t="s">
        <v>16</v>
      </c>
      <c r="J4" s="96" t="s">
        <v>16</v>
      </c>
      <c r="K4" s="96" t="s">
        <v>16</v>
      </c>
      <c r="L4" s="96" t="s">
        <v>16</v>
      </c>
      <c r="M4" s="96" t="s">
        <v>16</v>
      </c>
      <c r="N4" s="89" t="s">
        <v>23</v>
      </c>
      <c r="O4" s="93" t="s">
        <v>23</v>
      </c>
      <c r="P4" s="93" t="s">
        <v>23</v>
      </c>
      <c r="Q4" s="89" t="s">
        <v>23</v>
      </c>
      <c r="R4" s="89" t="s">
        <v>23</v>
      </c>
      <c r="S4" s="89" t="s">
        <v>23</v>
      </c>
      <c r="T4" s="89" t="s">
        <v>23</v>
      </c>
      <c r="U4" s="89" t="s">
        <v>23</v>
      </c>
      <c r="V4" s="89" t="s">
        <v>23</v>
      </c>
      <c r="W4" s="93" t="s">
        <v>23</v>
      </c>
      <c r="X4" s="93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89" t="s">
        <v>23</v>
      </c>
      <c r="AE4" s="93" t="s">
        <v>23</v>
      </c>
      <c r="AF4" s="93" t="s">
        <v>23</v>
      </c>
      <c r="AG4" s="94">
        <v>0</v>
      </c>
      <c r="AH4" s="94"/>
      <c r="AI4" s="94"/>
      <c r="AJ4" s="94"/>
      <c r="AK4" s="95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26" si="0">COUNTIF($I$4:$P$94,AM4)</f>
        <v>14</v>
      </c>
      <c r="AR4" s="19">
        <f t="shared" ref="AR4:AR26" si="1">COUNTIF($Q$4:$X$94,AM4)</f>
        <v>1</v>
      </c>
      <c r="AS4" s="19">
        <f t="shared" ref="AS4:AS26" si="2">COUNTIF($Y$4:$AF$94,AM4)</f>
        <v>0</v>
      </c>
      <c r="AT4" s="19">
        <f>AQ4+AR4+AS4</f>
        <v>15</v>
      </c>
      <c r="AU4" s="50">
        <f>AQ4*$AO4</f>
        <v>490</v>
      </c>
      <c r="AV4" s="50">
        <f t="shared" ref="AV4:AW19" si="3">AR4*$AO4</f>
        <v>35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76">
        <v>44548</v>
      </c>
      <c r="B5" s="90">
        <v>1600</v>
      </c>
      <c r="C5" s="90"/>
      <c r="D5" s="90" cm="1">
        <f t="array" ref="D5">(SUM(VLOOKUP(I5:AF5,$AM$4:$AO$44,2,FALSE))+AG5*10)*IF(AK5="是",$AY$4,$AY$3)</f>
        <v>1620</v>
      </c>
      <c r="E5" s="90">
        <f>SUM($B$4:B5)+SUM($C$4:C5)-SUM($D$4:D5)</f>
        <v>30</v>
      </c>
      <c r="F5" s="90" cm="1">
        <f t="array" ref="F5">SUM(VLOOKUP(I5:AF5,$AM$4:$AO$44,3,FALSE))</f>
        <v>380</v>
      </c>
      <c r="G5" s="90">
        <f>SUM($F$4:F5)+SUM($H$4:H5)</f>
        <v>1055</v>
      </c>
      <c r="H5" s="90">
        <v>500</v>
      </c>
      <c r="I5" s="96" t="s">
        <v>16</v>
      </c>
      <c r="J5" s="96" t="s">
        <v>16</v>
      </c>
      <c r="K5" s="96" t="s">
        <v>16</v>
      </c>
      <c r="L5" s="105" t="s">
        <v>17</v>
      </c>
      <c r="M5" s="105" t="s">
        <v>17</v>
      </c>
      <c r="N5" s="105" t="s">
        <v>17</v>
      </c>
      <c r="O5" s="93" t="s">
        <v>23</v>
      </c>
      <c r="P5" s="93" t="s">
        <v>23</v>
      </c>
      <c r="Q5" s="105" t="s">
        <v>17</v>
      </c>
      <c r="R5" s="105" t="s">
        <v>17</v>
      </c>
      <c r="S5" s="96" t="s">
        <v>16</v>
      </c>
      <c r="T5" s="105" t="s">
        <v>17</v>
      </c>
      <c r="U5" s="89" t="s">
        <v>23</v>
      </c>
      <c r="V5" s="89" t="s">
        <v>23</v>
      </c>
      <c r="W5" s="93" t="s">
        <v>23</v>
      </c>
      <c r="X5" s="93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89" t="s">
        <v>23</v>
      </c>
      <c r="AE5" s="93" t="s">
        <v>23</v>
      </c>
      <c r="AF5" s="93" t="s">
        <v>23</v>
      </c>
      <c r="AG5" s="94">
        <v>6</v>
      </c>
      <c r="AH5" s="94"/>
      <c r="AI5" s="94"/>
      <c r="AJ5" s="94"/>
      <c r="AK5" s="95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15</v>
      </c>
      <c r="AR5" s="19">
        <f t="shared" si="1"/>
        <v>15</v>
      </c>
      <c r="AS5" s="19">
        <f t="shared" si="2"/>
        <v>12</v>
      </c>
      <c r="AT5" s="19">
        <f t="shared" ref="AT5:AT26" si="5">AQ5+AR5+AS5</f>
        <v>42</v>
      </c>
      <c r="AU5" s="50">
        <f t="shared" ref="AU5:AW28" si="6">AQ5*$AO5</f>
        <v>600</v>
      </c>
      <c r="AV5" s="50">
        <f t="shared" si="3"/>
        <v>600</v>
      </c>
      <c r="AW5" s="50">
        <f t="shared" si="3"/>
        <v>480</v>
      </c>
      <c r="AX5" s="164" t="s">
        <v>34</v>
      </c>
      <c r="AY5" s="164"/>
      <c r="AZ5" s="53">
        <f t="shared" ref="AZ5:AZ26" si="7">AO5/BA5</f>
        <v>0.3125</v>
      </c>
      <c r="BA5">
        <f t="shared" ref="BA5:BA28" si="8">AN5*0.8</f>
        <v>128</v>
      </c>
    </row>
    <row r="6" spans="1:53">
      <c r="A6" s="76">
        <v>44549</v>
      </c>
      <c r="B6" s="90">
        <v>1600</v>
      </c>
      <c r="C6" s="90"/>
      <c r="D6" s="90" cm="1">
        <f t="array" ref="D6">(SUM(VLOOKUP(I6:AF6,$AM$4:$AO$44,2,FALSE))+AG6*10)*IF(AK6="是",$AY$4,$AY$3)</f>
        <v>1610</v>
      </c>
      <c r="E6" s="90">
        <f>SUM($B$4:B6)+SUM($C$4:C6)-SUM($D$4:D6)</f>
        <v>20</v>
      </c>
      <c r="F6" s="90" cm="1">
        <f t="array" ref="F6">SUM(VLOOKUP(I6:AF6,$AM$4:$AO$44,3,FALSE))</f>
        <v>420</v>
      </c>
      <c r="G6" s="90">
        <f>SUM($F$4:F6)+SUM($H$4:H6)</f>
        <v>1475</v>
      </c>
      <c r="H6" s="90">
        <v>0</v>
      </c>
      <c r="I6" s="123" t="s">
        <v>18</v>
      </c>
      <c r="J6" s="123" t="s">
        <v>18</v>
      </c>
      <c r="K6" s="123" t="s">
        <v>18</v>
      </c>
      <c r="L6" s="89" t="s">
        <v>23</v>
      </c>
      <c r="M6" s="89" t="s">
        <v>23</v>
      </c>
      <c r="N6" s="89" t="s">
        <v>23</v>
      </c>
      <c r="O6" s="93" t="s">
        <v>23</v>
      </c>
      <c r="P6" s="93" t="s">
        <v>23</v>
      </c>
      <c r="Q6" s="105" t="s">
        <v>17</v>
      </c>
      <c r="R6" s="105" t="s">
        <v>17</v>
      </c>
      <c r="S6" s="105" t="s">
        <v>17</v>
      </c>
      <c r="T6" s="105" t="s">
        <v>17</v>
      </c>
      <c r="U6" s="105" t="s">
        <v>17</v>
      </c>
      <c r="V6" s="105" t="s">
        <v>17</v>
      </c>
      <c r="W6" s="124" t="s">
        <v>13</v>
      </c>
      <c r="X6" s="123" t="s">
        <v>18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89" t="s">
        <v>23</v>
      </c>
      <c r="AE6" s="93" t="s">
        <v>23</v>
      </c>
      <c r="AF6" s="93" t="s">
        <v>23</v>
      </c>
      <c r="AG6" s="94">
        <v>12</v>
      </c>
      <c r="AH6" s="94"/>
      <c r="AI6" s="94"/>
      <c r="AJ6" s="94"/>
      <c r="AK6" s="95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147</v>
      </c>
      <c r="AR6" s="19">
        <f t="shared" si="1"/>
        <v>86</v>
      </c>
      <c r="AS6" s="19">
        <f t="shared" si="2"/>
        <v>0</v>
      </c>
      <c r="AT6" s="19">
        <f t="shared" si="5"/>
        <v>233</v>
      </c>
      <c r="AU6" s="50">
        <f t="shared" si="6"/>
        <v>6615</v>
      </c>
      <c r="AV6" s="50">
        <f t="shared" si="3"/>
        <v>3870</v>
      </c>
      <c r="AW6" s="50">
        <f t="shared" si="3"/>
        <v>0</v>
      </c>
      <c r="AX6" s="165"/>
      <c r="AY6" s="165"/>
      <c r="AZ6" s="53">
        <f>AO6/BA6</f>
        <v>0.33088235294117646</v>
      </c>
      <c r="BA6">
        <f t="shared" si="8"/>
        <v>136</v>
      </c>
    </row>
    <row r="7" spans="1:53">
      <c r="A7" s="76">
        <v>44550</v>
      </c>
      <c r="B7" s="89">
        <v>1600</v>
      </c>
      <c r="C7" s="89">
        <v>2000</v>
      </c>
      <c r="D7" s="90" cm="1">
        <f t="array" ref="D7">(SUM(VLOOKUP(I7:AF7,$AM$4:$AO$44,2,FALSE))+AG7*10)*IF(AK7="是",$AY$4,$AY$3)</f>
        <v>1520</v>
      </c>
      <c r="E7" s="90">
        <f>SUM($B$4:B7)+SUM($C$4:C7)-SUM($D$4:D7)</f>
        <v>2100</v>
      </c>
      <c r="F7" s="90" cm="1">
        <f t="array" ref="F7">SUM(VLOOKUP(I7:AF7,$AM$4:$AO$44,3,FALSE))</f>
        <v>400</v>
      </c>
      <c r="G7" s="90">
        <f>SUM($F$4:F7)+SUM($H$4:H7)</f>
        <v>2175</v>
      </c>
      <c r="H7" s="89">
        <v>300</v>
      </c>
      <c r="I7" s="123" t="s">
        <v>18</v>
      </c>
      <c r="J7" s="105" t="s">
        <v>6</v>
      </c>
      <c r="K7" s="123" t="s">
        <v>18</v>
      </c>
      <c r="L7" s="123" t="s">
        <v>18</v>
      </c>
      <c r="M7" s="123" t="s">
        <v>18</v>
      </c>
      <c r="N7" s="123" t="s">
        <v>18</v>
      </c>
      <c r="O7" s="93" t="s">
        <v>23</v>
      </c>
      <c r="P7" s="93" t="s">
        <v>23</v>
      </c>
      <c r="Q7" s="123" t="s">
        <v>18</v>
      </c>
      <c r="R7" s="123" t="s">
        <v>18</v>
      </c>
      <c r="S7" s="123" t="s">
        <v>18</v>
      </c>
      <c r="T7" s="89" t="s">
        <v>23</v>
      </c>
      <c r="U7" s="89" t="s">
        <v>23</v>
      </c>
      <c r="V7" s="89" t="s">
        <v>23</v>
      </c>
      <c r="W7" s="93" t="s">
        <v>23</v>
      </c>
      <c r="X7" s="93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89" t="s">
        <v>23</v>
      </c>
      <c r="AE7" s="93" t="s">
        <v>23</v>
      </c>
      <c r="AF7" s="93" t="s">
        <v>23</v>
      </c>
      <c r="AG7" s="94">
        <v>1</v>
      </c>
      <c r="AH7" s="94"/>
      <c r="AI7" s="94"/>
      <c r="AJ7" s="94"/>
      <c r="AK7" s="95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97</v>
      </c>
      <c r="AR7" s="19">
        <f t="shared" si="1"/>
        <v>167</v>
      </c>
      <c r="AS7" s="19">
        <f t="shared" si="2"/>
        <v>0</v>
      </c>
      <c r="AT7" s="71">
        <f t="shared" si="5"/>
        <v>264</v>
      </c>
      <c r="AU7" s="50">
        <f t="shared" si="6"/>
        <v>4850</v>
      </c>
      <c r="AV7" s="50">
        <f t="shared" si="3"/>
        <v>8350</v>
      </c>
      <c r="AW7" s="50">
        <f t="shared" si="3"/>
        <v>0</v>
      </c>
      <c r="AX7" s="165"/>
      <c r="AY7" s="165"/>
      <c r="AZ7" s="53">
        <f t="shared" si="7"/>
        <v>0.34722222222222221</v>
      </c>
      <c r="BA7">
        <f t="shared" si="8"/>
        <v>144</v>
      </c>
    </row>
    <row r="8" spans="1:53">
      <c r="A8" s="76">
        <v>44551</v>
      </c>
      <c r="B8" s="89">
        <v>1600</v>
      </c>
      <c r="C8" s="89">
        <v>2000</v>
      </c>
      <c r="D8" s="90" cm="1">
        <f t="array" ref="D8">(SUM(VLOOKUP(I8:AF8,$AM$4:$AO$44,2,FALSE))+AG8*10)*IF(AK8="是",$AY$4,$AY$3)</f>
        <v>1700</v>
      </c>
      <c r="E8" s="90">
        <f>SUM($B$4:B8)+SUM($C$4:C8)-SUM($D$4:D8)</f>
        <v>4000</v>
      </c>
      <c r="F8" s="90" cm="1">
        <f t="array" ref="F8">SUM(VLOOKUP(I8:AF8,$AM$4:$AO$44,3,FALSE))</f>
        <v>450</v>
      </c>
      <c r="G8" s="90">
        <f>SUM($F$4:F8)+SUM($H$4:H8)</f>
        <v>2625</v>
      </c>
      <c r="H8" s="89">
        <v>0</v>
      </c>
      <c r="I8" s="123" t="s">
        <v>18</v>
      </c>
      <c r="J8" s="99" t="s">
        <v>83</v>
      </c>
      <c r="K8" s="123" t="s">
        <v>18</v>
      </c>
      <c r="L8" s="123" t="s">
        <v>18</v>
      </c>
      <c r="M8" s="123" t="s">
        <v>18</v>
      </c>
      <c r="N8" s="123" t="s">
        <v>18</v>
      </c>
      <c r="O8" s="93" t="s">
        <v>23</v>
      </c>
      <c r="P8" s="93" t="s">
        <v>23</v>
      </c>
      <c r="Q8" s="123" t="s">
        <v>18</v>
      </c>
      <c r="R8" s="123" t="s">
        <v>18</v>
      </c>
      <c r="S8" s="99" t="s">
        <v>83</v>
      </c>
      <c r="T8" s="123" t="s">
        <v>18</v>
      </c>
      <c r="U8" s="89" t="s">
        <v>23</v>
      </c>
      <c r="V8" s="89" t="s">
        <v>23</v>
      </c>
      <c r="W8" s="93" t="s">
        <v>23</v>
      </c>
      <c r="X8" s="93" t="s">
        <v>23</v>
      </c>
      <c r="Y8" s="89" t="s">
        <v>23</v>
      </c>
      <c r="Z8" s="89" t="s">
        <v>23</v>
      </c>
      <c r="AA8" s="89" t="s">
        <v>23</v>
      </c>
      <c r="AB8" s="89" t="s">
        <v>23</v>
      </c>
      <c r="AC8" s="89" t="s">
        <v>23</v>
      </c>
      <c r="AD8" s="89" t="s">
        <v>23</v>
      </c>
      <c r="AE8" s="93" t="s">
        <v>23</v>
      </c>
      <c r="AF8" s="93" t="s">
        <v>23</v>
      </c>
      <c r="AG8" s="94">
        <v>0</v>
      </c>
      <c r="AH8" s="94"/>
      <c r="AI8" s="94"/>
      <c r="AJ8" s="94"/>
      <c r="AK8" s="95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si="0"/>
        <v>199</v>
      </c>
      <c r="AR8" s="19">
        <f t="shared" si="1"/>
        <v>39</v>
      </c>
      <c r="AS8" s="19">
        <f t="shared" si="2"/>
        <v>0</v>
      </c>
      <c r="AT8" s="71">
        <f t="shared" si="5"/>
        <v>238</v>
      </c>
      <c r="AU8" s="50">
        <f t="shared" si="6"/>
        <v>10945</v>
      </c>
      <c r="AV8" s="50">
        <f t="shared" si="3"/>
        <v>2145</v>
      </c>
      <c r="AW8" s="50">
        <f t="shared" si="3"/>
        <v>0</v>
      </c>
      <c r="AX8" s="165"/>
      <c r="AY8" s="165"/>
      <c r="AZ8" s="53">
        <f t="shared" si="7"/>
        <v>0.36184210526315791</v>
      </c>
      <c r="BA8">
        <f t="shared" si="8"/>
        <v>152</v>
      </c>
    </row>
    <row r="9" spans="1:53">
      <c r="A9" s="76">
        <v>44552</v>
      </c>
      <c r="B9" s="89">
        <v>1600</v>
      </c>
      <c r="C9" s="89"/>
      <c r="D9" s="90" cm="1">
        <f t="array" ref="D9">(SUM(VLOOKUP(I9:AF9,$AM$4:$AO$44,2,FALSE))+AG9*10)*IF(AK9="是",$AY$4,$AY$3)</f>
        <v>1580</v>
      </c>
      <c r="E9" s="90">
        <f>SUM($B$4:B9)+SUM($C$4:C9)-SUM($D$4:D9)</f>
        <v>4020</v>
      </c>
      <c r="F9" s="90" cm="1">
        <f t="array" ref="F9">SUM(VLOOKUP(I9:AF9,$AM$4:$AO$44,3,FALSE))</f>
        <v>435</v>
      </c>
      <c r="G9" s="90">
        <f>SUM($F$4:F9)+SUM($H$4:H9)</f>
        <v>3260</v>
      </c>
      <c r="H9" s="89">
        <v>200</v>
      </c>
      <c r="I9" s="123" t="s">
        <v>18</v>
      </c>
      <c r="J9" s="123" t="s">
        <v>18</v>
      </c>
      <c r="K9" s="123" t="s">
        <v>18</v>
      </c>
      <c r="L9" s="123" t="s">
        <v>18</v>
      </c>
      <c r="M9" s="99" t="s">
        <v>83</v>
      </c>
      <c r="N9" s="123" t="s">
        <v>18</v>
      </c>
      <c r="O9" s="93" t="s">
        <v>23</v>
      </c>
      <c r="P9" s="93" t="s">
        <v>23</v>
      </c>
      <c r="Q9" s="123" t="s">
        <v>18</v>
      </c>
      <c r="R9" s="136" t="s">
        <v>12</v>
      </c>
      <c r="S9" s="123" t="s">
        <v>18</v>
      </c>
      <c r="T9" s="123" t="s">
        <v>18</v>
      </c>
      <c r="U9" s="89" t="s">
        <v>23</v>
      </c>
      <c r="V9" s="89" t="s">
        <v>23</v>
      </c>
      <c r="W9" s="93" t="s">
        <v>23</v>
      </c>
      <c r="X9" s="93" t="s">
        <v>23</v>
      </c>
      <c r="Y9" s="89" t="s">
        <v>23</v>
      </c>
      <c r="Z9" s="89" t="s">
        <v>23</v>
      </c>
      <c r="AA9" s="89" t="s">
        <v>23</v>
      </c>
      <c r="AB9" s="89" t="s">
        <v>23</v>
      </c>
      <c r="AC9" s="89" t="s">
        <v>23</v>
      </c>
      <c r="AD9" s="89" t="s">
        <v>23</v>
      </c>
      <c r="AE9" s="93" t="s">
        <v>23</v>
      </c>
      <c r="AF9" s="93" t="s">
        <v>23</v>
      </c>
      <c r="AG9" s="94">
        <v>0</v>
      </c>
      <c r="AH9" s="94"/>
      <c r="AI9" s="94"/>
      <c r="AJ9" s="94"/>
      <c r="AK9" s="95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0"/>
        <v>37</v>
      </c>
      <c r="AR9" s="19">
        <f t="shared" si="1"/>
        <v>157</v>
      </c>
      <c r="AS9" s="19">
        <f t="shared" si="2"/>
        <v>0</v>
      </c>
      <c r="AT9" s="71">
        <f t="shared" si="5"/>
        <v>194</v>
      </c>
      <c r="AU9" s="50">
        <f t="shared" si="6"/>
        <v>2220</v>
      </c>
      <c r="AV9" s="50">
        <f t="shared" si="3"/>
        <v>9420</v>
      </c>
      <c r="AW9" s="50">
        <f t="shared" si="3"/>
        <v>0</v>
      </c>
      <c r="AZ9" s="53">
        <f t="shared" si="7"/>
        <v>0.375</v>
      </c>
      <c r="BA9">
        <f t="shared" si="8"/>
        <v>160</v>
      </c>
    </row>
    <row r="10" spans="1:53">
      <c r="A10" s="76">
        <v>44553</v>
      </c>
      <c r="B10" s="89">
        <v>1600</v>
      </c>
      <c r="C10" s="89"/>
      <c r="D10" s="90" cm="1">
        <f t="array" ref="D10">(SUM(VLOOKUP(I10:AF10,$AM$4:$AO$44,2,FALSE))+AG10*10)*IF(AK10="是",$AY$4,$AY$3)</f>
        <v>1510</v>
      </c>
      <c r="E10" s="90">
        <f>SUM($B$4:B10)+SUM($C$4:C10)-SUM($D$4:D10)</f>
        <v>4110</v>
      </c>
      <c r="F10" s="90" cm="1">
        <f t="array" ref="F10">SUM(VLOOKUP(I10:AF10,$AM$4:$AO$44,3,FALSE))</f>
        <v>420</v>
      </c>
      <c r="G10" s="90">
        <f>SUM($F$4:F10)+SUM($H$4:H10)</f>
        <v>3680</v>
      </c>
      <c r="H10" s="89">
        <v>0</v>
      </c>
      <c r="I10" s="123" t="s">
        <v>18</v>
      </c>
      <c r="J10" s="123" t="s">
        <v>18</v>
      </c>
      <c r="K10" s="123" t="s">
        <v>18</v>
      </c>
      <c r="L10" s="136" t="s">
        <v>12</v>
      </c>
      <c r="M10" s="123" t="s">
        <v>18</v>
      </c>
      <c r="N10" s="123" t="s">
        <v>18</v>
      </c>
      <c r="O10" s="93" t="s">
        <v>23</v>
      </c>
      <c r="P10" s="93" t="s">
        <v>23</v>
      </c>
      <c r="Q10" s="123" t="s">
        <v>18</v>
      </c>
      <c r="R10" s="123" t="s">
        <v>18</v>
      </c>
      <c r="S10" s="123" t="s">
        <v>18</v>
      </c>
      <c r="T10" s="136" t="s">
        <v>12</v>
      </c>
      <c r="U10" s="89" t="s">
        <v>23</v>
      </c>
      <c r="V10" s="89" t="s">
        <v>23</v>
      </c>
      <c r="W10" s="93" t="s">
        <v>23</v>
      </c>
      <c r="X10" s="93" t="s">
        <v>23</v>
      </c>
      <c r="Y10" s="89" t="s">
        <v>23</v>
      </c>
      <c r="Z10" s="89" t="s">
        <v>23</v>
      </c>
      <c r="AA10" s="89" t="s">
        <v>23</v>
      </c>
      <c r="AB10" s="89" t="s">
        <v>23</v>
      </c>
      <c r="AC10" s="89" t="s">
        <v>23</v>
      </c>
      <c r="AD10" s="89" t="s">
        <v>23</v>
      </c>
      <c r="AE10" s="93" t="s">
        <v>23</v>
      </c>
      <c r="AF10" s="93" t="s">
        <v>23</v>
      </c>
      <c r="AG10" s="94">
        <v>5</v>
      </c>
      <c r="AH10" s="94"/>
      <c r="AI10" s="94">
        <v>5</v>
      </c>
      <c r="AJ10" s="94"/>
      <c r="AK10" s="95" t="s">
        <v>30</v>
      </c>
      <c r="AM10" s="20" t="s">
        <v>5</v>
      </c>
      <c r="AN10" s="19">
        <v>150</v>
      </c>
      <c r="AO10" s="19">
        <v>35</v>
      </c>
      <c r="AP10" s="19">
        <f t="shared" ref="AP10:AP12" si="9">AN10-AO10/0.330882</f>
        <v>44.222109392472248</v>
      </c>
      <c r="AQ10" s="19">
        <f t="shared" si="0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7"/>
        <v>0.29166666666666669</v>
      </c>
      <c r="BA10">
        <f t="shared" si="8"/>
        <v>120</v>
      </c>
    </row>
    <row r="11" spans="1:53">
      <c r="A11" s="76">
        <v>44554</v>
      </c>
      <c r="B11" s="89">
        <v>1600</v>
      </c>
      <c r="C11" s="89"/>
      <c r="D11" s="90" cm="1">
        <f t="array" ref="D11">(SUM(VLOOKUP(I11:AF11,$AM$4:$AO$44,2,FALSE))+AG11*10)*IF(AK11="是",$AY$4,$AY$3)</f>
        <v>1690</v>
      </c>
      <c r="E11" s="90">
        <f>SUM($B$4:B11)+SUM($C$4:C11)-SUM($D$4:D11)</f>
        <v>4020</v>
      </c>
      <c r="F11" s="90" cm="1">
        <f t="array" ref="F11">SUM(VLOOKUP(I11:AF11,$AM$4:$AO$44,3,FALSE))</f>
        <v>610</v>
      </c>
      <c r="G11" s="90">
        <f>SUM($F$4:F11)+SUM($H$4:H11)</f>
        <v>4290</v>
      </c>
      <c r="H11" s="89">
        <v>0</v>
      </c>
      <c r="I11" s="99" t="s">
        <v>83</v>
      </c>
      <c r="J11" s="123" t="s">
        <v>18</v>
      </c>
      <c r="K11" s="123" t="s">
        <v>18</v>
      </c>
      <c r="L11" s="143" t="s">
        <v>19</v>
      </c>
      <c r="M11" s="123" t="s">
        <v>18</v>
      </c>
      <c r="N11" s="123" t="s">
        <v>18</v>
      </c>
      <c r="O11" s="124" t="s">
        <v>13</v>
      </c>
      <c r="P11" s="123" t="s">
        <v>18</v>
      </c>
      <c r="Q11" s="123" t="s">
        <v>18</v>
      </c>
      <c r="R11" s="123" t="s">
        <v>18</v>
      </c>
      <c r="S11" s="99" t="s">
        <v>82</v>
      </c>
      <c r="T11" s="89" t="s">
        <v>23</v>
      </c>
      <c r="U11" s="89" t="s">
        <v>23</v>
      </c>
      <c r="V11" s="89" t="s">
        <v>23</v>
      </c>
      <c r="W11" s="93" t="s">
        <v>23</v>
      </c>
      <c r="X11" s="93" t="s">
        <v>23</v>
      </c>
      <c r="Y11" s="89" t="s">
        <v>23</v>
      </c>
      <c r="Z11" s="89" t="s">
        <v>23</v>
      </c>
      <c r="AA11" s="89" t="s">
        <v>23</v>
      </c>
      <c r="AB11" s="89" t="s">
        <v>23</v>
      </c>
      <c r="AC11" s="89" t="s">
        <v>23</v>
      </c>
      <c r="AD11" s="89" t="s">
        <v>23</v>
      </c>
      <c r="AE11" s="93" t="s">
        <v>23</v>
      </c>
      <c r="AF11" s="93" t="s">
        <v>23</v>
      </c>
      <c r="AG11" s="94">
        <v>5</v>
      </c>
      <c r="AH11" s="94">
        <v>5</v>
      </c>
      <c r="AI11" s="94"/>
      <c r="AJ11" s="94"/>
      <c r="AK11" s="95" t="s">
        <v>30</v>
      </c>
      <c r="AM11" s="21" t="s">
        <v>6</v>
      </c>
      <c r="AN11" s="19">
        <v>150</v>
      </c>
      <c r="AO11" s="19">
        <v>40</v>
      </c>
      <c r="AP11" s="19">
        <f t="shared" si="9"/>
        <v>29.110982162825422</v>
      </c>
      <c r="AQ11" s="19">
        <f t="shared" si="0"/>
        <v>3</v>
      </c>
      <c r="AR11" s="19">
        <f t="shared" si="1"/>
        <v>0</v>
      </c>
      <c r="AS11" s="19">
        <f t="shared" si="2"/>
        <v>1</v>
      </c>
      <c r="AT11" s="19">
        <f t="shared" si="5"/>
        <v>4</v>
      </c>
      <c r="AU11" s="50">
        <f t="shared" si="6"/>
        <v>120</v>
      </c>
      <c r="AV11" s="50">
        <f t="shared" si="3"/>
        <v>0</v>
      </c>
      <c r="AW11" s="50">
        <f t="shared" si="3"/>
        <v>40</v>
      </c>
      <c r="AZ11" s="53">
        <f t="shared" si="7"/>
        <v>0.33333333333333331</v>
      </c>
      <c r="BA11">
        <f t="shared" si="8"/>
        <v>120</v>
      </c>
    </row>
    <row r="12" spans="1:53">
      <c r="A12" s="76">
        <v>44555</v>
      </c>
      <c r="B12" s="89">
        <v>1600</v>
      </c>
      <c r="C12" s="89"/>
      <c r="D12" s="90" cm="1">
        <f t="array" ref="D12">(SUM(VLOOKUP(I12:AF12,$AM$4:$AO$44,2,FALSE))+AG12*10)*IF(AK12="是",$AY$4,$AY$3)</f>
        <v>1020</v>
      </c>
      <c r="E12" s="90">
        <f>SUM($B$4:B12)+SUM($C$4:C12)-SUM($D$4:D12)</f>
        <v>4600</v>
      </c>
      <c r="F12" s="90" cm="1">
        <f t="array" ref="F12">SUM(VLOOKUP(I12:AF12,$AM$4:$AO$44,3,FALSE))</f>
        <v>270</v>
      </c>
      <c r="G12" s="90">
        <f>SUM($F$4:F12)+SUM($H$4:H12)</f>
        <v>4560</v>
      </c>
      <c r="H12" s="89">
        <v>0</v>
      </c>
      <c r="I12" s="123" t="s">
        <v>18</v>
      </c>
      <c r="J12" s="123" t="s">
        <v>18</v>
      </c>
      <c r="K12" s="99" t="s">
        <v>83</v>
      </c>
      <c r="L12" s="123" t="s">
        <v>18</v>
      </c>
      <c r="M12" s="123" t="s">
        <v>18</v>
      </c>
      <c r="N12" s="123" t="s">
        <v>18</v>
      </c>
      <c r="O12" s="93" t="s">
        <v>23</v>
      </c>
      <c r="P12" s="93" t="s">
        <v>23</v>
      </c>
      <c r="Q12" s="89" t="s">
        <v>23</v>
      </c>
      <c r="R12" s="89" t="s">
        <v>23</v>
      </c>
      <c r="S12" s="89" t="s">
        <v>23</v>
      </c>
      <c r="T12" s="89" t="s">
        <v>23</v>
      </c>
      <c r="U12" s="89" t="s">
        <v>23</v>
      </c>
      <c r="V12" s="89" t="s">
        <v>23</v>
      </c>
      <c r="W12" s="93" t="s">
        <v>23</v>
      </c>
      <c r="X12" s="93" t="s">
        <v>23</v>
      </c>
      <c r="Y12" s="89" t="s">
        <v>23</v>
      </c>
      <c r="Z12" s="89" t="s">
        <v>23</v>
      </c>
      <c r="AA12" s="89" t="s">
        <v>23</v>
      </c>
      <c r="AB12" s="89" t="s">
        <v>23</v>
      </c>
      <c r="AC12" s="89" t="s">
        <v>23</v>
      </c>
      <c r="AD12" s="89" t="s">
        <v>23</v>
      </c>
      <c r="AE12" s="93" t="s">
        <v>23</v>
      </c>
      <c r="AF12" s="93" t="s">
        <v>23</v>
      </c>
      <c r="AG12" s="94">
        <v>0</v>
      </c>
      <c r="AH12" s="94"/>
      <c r="AI12" s="94"/>
      <c r="AJ12" s="94"/>
      <c r="AK12" s="95" t="s">
        <v>30</v>
      </c>
      <c r="AM12" s="22" t="s">
        <v>7</v>
      </c>
      <c r="AN12" s="19">
        <v>150</v>
      </c>
      <c r="AO12" s="19">
        <v>45</v>
      </c>
      <c r="AP12" s="19">
        <f t="shared" si="9"/>
        <v>13.999854933178597</v>
      </c>
      <c r="AQ12" s="19">
        <f t="shared" si="0"/>
        <v>3</v>
      </c>
      <c r="AR12" s="19">
        <f t="shared" si="1"/>
        <v>3</v>
      </c>
      <c r="AS12" s="19">
        <f t="shared" si="2"/>
        <v>0</v>
      </c>
      <c r="AT12" s="19">
        <f t="shared" si="5"/>
        <v>6</v>
      </c>
      <c r="AU12" s="50">
        <f t="shared" si="6"/>
        <v>135</v>
      </c>
      <c r="AV12" s="50">
        <f t="shared" si="3"/>
        <v>135</v>
      </c>
      <c r="AW12" s="50">
        <f t="shared" si="3"/>
        <v>0</v>
      </c>
      <c r="AZ12" s="53">
        <f t="shared" si="7"/>
        <v>0.375</v>
      </c>
      <c r="BA12">
        <f t="shared" si="8"/>
        <v>120</v>
      </c>
    </row>
    <row r="13" spans="1:53">
      <c r="A13" s="76">
        <v>44556</v>
      </c>
      <c r="B13" s="89">
        <v>1600</v>
      </c>
      <c r="C13" s="89"/>
      <c r="D13" s="90" cm="1">
        <f t="array" ref="D13">(SUM(VLOOKUP(I13:AF13,$AM$4:$AO$44,2,FALSE))+AG13*10)*IF(AK13="是",$AY$4,$AY$3)</f>
        <v>980</v>
      </c>
      <c r="E13" s="90">
        <f>SUM($B$4:B13)+SUM($C$4:C13)-SUM($D$4:D13)</f>
        <v>5220</v>
      </c>
      <c r="F13" s="90" cm="1">
        <f t="array" ref="F13">SUM(VLOOKUP(I13:AF13,$AM$4:$AO$44,3,FALSE))</f>
        <v>410</v>
      </c>
      <c r="G13" s="90">
        <f>SUM($F$4:F13)+SUM($H$4:H13)</f>
        <v>4970</v>
      </c>
      <c r="H13" s="89">
        <v>0</v>
      </c>
      <c r="I13" s="136" t="s">
        <v>12</v>
      </c>
      <c r="J13" s="123" t="s">
        <v>18</v>
      </c>
      <c r="K13" s="123" t="s">
        <v>18</v>
      </c>
      <c r="L13" s="123" t="s">
        <v>18</v>
      </c>
      <c r="M13" s="99" t="s">
        <v>82</v>
      </c>
      <c r="N13" s="123" t="s">
        <v>18</v>
      </c>
      <c r="O13" s="93" t="s">
        <v>23</v>
      </c>
      <c r="P13" s="93" t="s">
        <v>23</v>
      </c>
      <c r="Q13" s="89" t="s">
        <v>23</v>
      </c>
      <c r="R13" s="89" t="s">
        <v>23</v>
      </c>
      <c r="S13" s="89" t="s">
        <v>23</v>
      </c>
      <c r="T13" s="89" t="s">
        <v>23</v>
      </c>
      <c r="U13" s="89" t="s">
        <v>23</v>
      </c>
      <c r="V13" s="89" t="s">
        <v>23</v>
      </c>
      <c r="W13" s="93" t="s">
        <v>23</v>
      </c>
      <c r="X13" s="93" t="s">
        <v>23</v>
      </c>
      <c r="Y13" s="89" t="s">
        <v>23</v>
      </c>
      <c r="Z13" s="89" t="s">
        <v>23</v>
      </c>
      <c r="AA13" s="89" t="s">
        <v>23</v>
      </c>
      <c r="AB13" s="89" t="s">
        <v>23</v>
      </c>
      <c r="AC13" s="89" t="s">
        <v>23</v>
      </c>
      <c r="AD13" s="89" t="s">
        <v>23</v>
      </c>
      <c r="AE13" s="93" t="s">
        <v>23</v>
      </c>
      <c r="AF13" s="93" t="s">
        <v>23</v>
      </c>
      <c r="AG13" s="94">
        <v>0</v>
      </c>
      <c r="AH13" s="94"/>
      <c r="AI13" s="94"/>
      <c r="AJ13" s="94"/>
      <c r="AK13" s="95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0"/>
        <v>2</v>
      </c>
      <c r="AR13" s="19">
        <f t="shared" si="1"/>
        <v>2</v>
      </c>
      <c r="AS13" s="19">
        <f t="shared" si="2"/>
        <v>0</v>
      </c>
      <c r="AT13" s="19">
        <f t="shared" si="5"/>
        <v>4</v>
      </c>
      <c r="AU13" s="50">
        <f t="shared" si="6"/>
        <v>100</v>
      </c>
      <c r="AV13" s="50">
        <f t="shared" si="3"/>
        <v>100</v>
      </c>
      <c r="AW13" s="50">
        <f t="shared" si="3"/>
        <v>0</v>
      </c>
      <c r="AZ13" s="53">
        <f t="shared" si="7"/>
        <v>0.41666666666666669</v>
      </c>
      <c r="BA13">
        <f t="shared" si="8"/>
        <v>120</v>
      </c>
    </row>
    <row r="14" spans="1:53">
      <c r="A14" s="76">
        <v>44557</v>
      </c>
      <c r="B14" s="90">
        <v>1600</v>
      </c>
      <c r="C14" s="90">
        <v>2000</v>
      </c>
      <c r="D14" s="106" cm="1">
        <f t="array" ref="D14">(SUM(VLOOKUP(I14:AF14,$AM$4:$AO$44,2,FALSE))+AG14*10)*IF(AK14="是",$AY$4,$AY$3)-202</f>
        <v>1828</v>
      </c>
      <c r="E14" s="90">
        <f>SUM($B$4:B14)+SUM($C$4:C14)-SUM($D$4:D14)</f>
        <v>6992</v>
      </c>
      <c r="F14" s="90" cm="1">
        <f t="array" ref="F14">SUM(VLOOKUP(I14:AF14,$AM$4:$AO$44,3,FALSE))</f>
        <v>545</v>
      </c>
      <c r="G14" s="90">
        <f>SUM($F$4:F14)+SUM($H$4:H14)</f>
        <v>5815</v>
      </c>
      <c r="H14" s="90">
        <v>300</v>
      </c>
      <c r="I14" s="123" t="s">
        <v>18</v>
      </c>
      <c r="J14" s="123" t="s">
        <v>18</v>
      </c>
      <c r="K14" s="123" t="s">
        <v>18</v>
      </c>
      <c r="L14" s="123" t="s">
        <v>18</v>
      </c>
      <c r="M14" s="123" t="s">
        <v>18</v>
      </c>
      <c r="N14" s="145" t="s">
        <v>83</v>
      </c>
      <c r="O14" s="146" t="s">
        <v>23</v>
      </c>
      <c r="P14" s="146" t="s">
        <v>23</v>
      </c>
      <c r="Q14" s="123" t="s">
        <v>18</v>
      </c>
      <c r="R14" s="123" t="s">
        <v>18</v>
      </c>
      <c r="S14" s="123" t="s">
        <v>18</v>
      </c>
      <c r="T14" s="123" t="s">
        <v>18</v>
      </c>
      <c r="U14" s="123" t="s">
        <v>7</v>
      </c>
      <c r="V14" s="147" t="s">
        <v>19</v>
      </c>
      <c r="W14" s="146" t="s">
        <v>23</v>
      </c>
      <c r="X14" s="146" t="s">
        <v>23</v>
      </c>
      <c r="Y14" s="148" t="s">
        <v>23</v>
      </c>
      <c r="Z14" s="148" t="s">
        <v>23</v>
      </c>
      <c r="AA14" s="148" t="s">
        <v>23</v>
      </c>
      <c r="AB14" s="148" t="s">
        <v>23</v>
      </c>
      <c r="AC14" s="148" t="s">
        <v>23</v>
      </c>
      <c r="AD14" s="148" t="s">
        <v>23</v>
      </c>
      <c r="AE14" s="146" t="s">
        <v>23</v>
      </c>
      <c r="AF14" s="146" t="s">
        <v>23</v>
      </c>
      <c r="AG14" s="149">
        <v>0</v>
      </c>
      <c r="AH14" s="149"/>
      <c r="AI14" s="149"/>
      <c r="AJ14" s="149"/>
      <c r="AK14" s="150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0"/>
        <v>3</v>
      </c>
      <c r="AR14" s="19">
        <f t="shared" si="1"/>
        <v>0</v>
      </c>
      <c r="AS14" s="19">
        <f t="shared" si="2"/>
        <v>0</v>
      </c>
      <c r="AT14" s="19">
        <f t="shared" si="5"/>
        <v>3</v>
      </c>
      <c r="AU14" s="50">
        <f t="shared" si="6"/>
        <v>165</v>
      </c>
      <c r="AV14" s="50">
        <f t="shared" si="3"/>
        <v>0</v>
      </c>
      <c r="AW14" s="50">
        <f t="shared" si="3"/>
        <v>0</v>
      </c>
      <c r="AZ14" s="53">
        <f t="shared" si="7"/>
        <v>0.45833333333333331</v>
      </c>
      <c r="BA14">
        <f t="shared" si="8"/>
        <v>120</v>
      </c>
    </row>
    <row r="15" spans="1:53">
      <c r="A15" s="76">
        <v>44558</v>
      </c>
      <c r="B15" s="90">
        <v>1600</v>
      </c>
      <c r="C15" s="90"/>
      <c r="D15" s="90" cm="1">
        <f t="array" ref="D15">(SUM(VLOOKUP(I15:AF15,$AM$4:$AO$44,2,FALSE))+AG15*10)*IF(AK15="是",$AY$4,$AY$3)</f>
        <v>1648</v>
      </c>
      <c r="E15" s="90">
        <f>SUM($B$4:B15)+SUM($C$4:C15)-SUM($D$4:D15)</f>
        <v>6944</v>
      </c>
      <c r="F15" s="90" cm="1">
        <f t="array" ref="F15">SUM(VLOOKUP(I15:AF15,$AM$4:$AO$44,3,FALSE))</f>
        <v>550</v>
      </c>
      <c r="G15" s="90">
        <f>SUM($F$4:F15)+SUM($H$4:H15)</f>
        <v>6365</v>
      </c>
      <c r="H15" s="90">
        <v>0</v>
      </c>
      <c r="I15" s="123" t="s">
        <v>18</v>
      </c>
      <c r="J15" s="123" t="s">
        <v>18</v>
      </c>
      <c r="K15" s="123" t="s">
        <v>18</v>
      </c>
      <c r="L15" s="123" t="s">
        <v>18</v>
      </c>
      <c r="M15" s="123" t="s">
        <v>18</v>
      </c>
      <c r="N15" s="123" t="s">
        <v>18</v>
      </c>
      <c r="O15" s="146" t="s">
        <v>23</v>
      </c>
      <c r="P15" s="146" t="s">
        <v>23</v>
      </c>
      <c r="Q15" s="147" t="s">
        <v>19</v>
      </c>
      <c r="R15" s="123" t="s">
        <v>18</v>
      </c>
      <c r="S15" s="123" t="s">
        <v>18</v>
      </c>
      <c r="T15" s="123" t="s">
        <v>18</v>
      </c>
      <c r="U15" s="123" t="s">
        <v>18</v>
      </c>
      <c r="V15" s="147" t="s">
        <v>19</v>
      </c>
      <c r="W15" s="146" t="s">
        <v>23</v>
      </c>
      <c r="X15" s="146" t="s">
        <v>23</v>
      </c>
      <c r="Y15" s="148" t="s">
        <v>23</v>
      </c>
      <c r="Z15" s="148" t="s">
        <v>23</v>
      </c>
      <c r="AA15" s="148" t="s">
        <v>23</v>
      </c>
      <c r="AB15" s="148" t="s">
        <v>23</v>
      </c>
      <c r="AC15" s="148" t="s">
        <v>23</v>
      </c>
      <c r="AD15" s="148" t="s">
        <v>23</v>
      </c>
      <c r="AE15" s="146" t="s">
        <v>23</v>
      </c>
      <c r="AF15" s="146" t="s">
        <v>23</v>
      </c>
      <c r="AG15" s="149">
        <v>0</v>
      </c>
      <c r="AH15" s="149"/>
      <c r="AI15" s="149"/>
      <c r="AJ15" s="149"/>
      <c r="AK15" s="150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0"/>
        <v>0</v>
      </c>
      <c r="AR15" s="19">
        <f t="shared" si="1"/>
        <v>1</v>
      </c>
      <c r="AS15" s="19">
        <f t="shared" si="2"/>
        <v>0</v>
      </c>
      <c r="AT15" s="19">
        <f t="shared" si="5"/>
        <v>1</v>
      </c>
      <c r="AU15" s="50">
        <f t="shared" si="6"/>
        <v>0</v>
      </c>
      <c r="AV15" s="50">
        <f t="shared" si="3"/>
        <v>60</v>
      </c>
      <c r="AW15" s="50">
        <f t="shared" si="3"/>
        <v>0</v>
      </c>
      <c r="AZ15" s="53">
        <f t="shared" si="7"/>
        <v>0.5</v>
      </c>
      <c r="BA15">
        <f t="shared" si="8"/>
        <v>120</v>
      </c>
    </row>
    <row r="16" spans="1:53">
      <c r="A16" s="76">
        <v>44559</v>
      </c>
      <c r="B16" s="90">
        <v>1600</v>
      </c>
      <c r="C16" s="90"/>
      <c r="D16" s="90" cm="1">
        <f t="array" ref="D16">(SUM(VLOOKUP(I16:AF16,$AM$4:$AO$44,2,FALSE))+AG16*10)*IF(AK16="是",$AY$4,$AY$3)</f>
        <v>1680</v>
      </c>
      <c r="E16" s="90">
        <f>SUM($B$4:B16)+SUM($C$4:C16)-SUM($D$4:D16)</f>
        <v>6864</v>
      </c>
      <c r="F16" s="90" cm="1">
        <f t="array" ref="F16">SUM(VLOOKUP(I16:AF16,$AM$4:$AO$44,3,FALSE))</f>
        <v>570</v>
      </c>
      <c r="G16" s="90">
        <f>SUM($F$4:F16)+SUM($H$4:H16)</f>
        <v>7135</v>
      </c>
      <c r="H16" s="90">
        <v>200</v>
      </c>
      <c r="I16" s="123" t="s">
        <v>18</v>
      </c>
      <c r="J16" s="123" t="s">
        <v>18</v>
      </c>
      <c r="K16" s="123" t="s">
        <v>18</v>
      </c>
      <c r="L16" s="123" t="s">
        <v>18</v>
      </c>
      <c r="M16" s="123" t="s">
        <v>18</v>
      </c>
      <c r="N16" s="123" t="s">
        <v>18</v>
      </c>
      <c r="O16" s="146" t="s">
        <v>23</v>
      </c>
      <c r="P16" s="146" t="s">
        <v>23</v>
      </c>
      <c r="Q16" s="147" t="s">
        <v>19</v>
      </c>
      <c r="R16" s="147" t="s">
        <v>19</v>
      </c>
      <c r="S16" s="147" t="s">
        <v>19</v>
      </c>
      <c r="T16" s="147" t="s">
        <v>19</v>
      </c>
      <c r="U16" s="147" t="s">
        <v>19</v>
      </c>
      <c r="V16" s="147" t="s">
        <v>19</v>
      </c>
      <c r="W16" s="146" t="s">
        <v>23</v>
      </c>
      <c r="X16" s="146" t="s">
        <v>23</v>
      </c>
      <c r="Y16" s="148" t="s">
        <v>23</v>
      </c>
      <c r="Z16" s="148" t="s">
        <v>23</v>
      </c>
      <c r="AA16" s="148" t="s">
        <v>23</v>
      </c>
      <c r="AB16" s="148" t="s">
        <v>23</v>
      </c>
      <c r="AC16" s="148" t="s">
        <v>23</v>
      </c>
      <c r="AD16" s="148" t="s">
        <v>23</v>
      </c>
      <c r="AE16" s="146" t="s">
        <v>23</v>
      </c>
      <c r="AF16" s="146" t="s">
        <v>23</v>
      </c>
      <c r="AG16" s="149">
        <v>0</v>
      </c>
      <c r="AH16" s="149"/>
      <c r="AI16" s="149"/>
      <c r="AJ16" s="149"/>
      <c r="AK16" s="150" t="s">
        <v>31</v>
      </c>
      <c r="AM16" s="26" t="s">
        <v>11</v>
      </c>
      <c r="AN16" s="27">
        <v>150</v>
      </c>
      <c r="AO16" s="19">
        <v>35</v>
      </c>
      <c r="AP16" s="19">
        <f t="shared" ref="AP16" si="10">AN16-AO16/0.330882</f>
        <v>44.222109392472248</v>
      </c>
      <c r="AQ16" s="19">
        <f t="shared" si="0"/>
        <v>0</v>
      </c>
      <c r="AR16" s="19">
        <f t="shared" si="1"/>
        <v>0</v>
      </c>
      <c r="AS16" s="19">
        <f t="shared" si="2"/>
        <v>0</v>
      </c>
      <c r="AT16" s="19">
        <f t="shared" si="5"/>
        <v>0</v>
      </c>
      <c r="AU16" s="50">
        <f t="shared" si="6"/>
        <v>0</v>
      </c>
      <c r="AV16" s="50">
        <f t="shared" si="3"/>
        <v>0</v>
      </c>
      <c r="AW16" s="50">
        <f t="shared" si="3"/>
        <v>0</v>
      </c>
      <c r="AZ16" s="53">
        <f t="shared" si="7"/>
        <v>0.29166666666666669</v>
      </c>
      <c r="BA16">
        <f t="shared" si="8"/>
        <v>120</v>
      </c>
    </row>
    <row r="17" spans="1:53">
      <c r="A17" s="76">
        <v>44560</v>
      </c>
      <c r="B17" s="90">
        <v>1600</v>
      </c>
      <c r="C17" s="90"/>
      <c r="D17" s="90" cm="1">
        <f t="array" ref="D17">(SUM(VLOOKUP(I17:AF17,$AM$4:$AO$44,2,FALSE))+AG17*10)*IF(AK17="是",$AY$4,$AY$3)</f>
        <v>1680</v>
      </c>
      <c r="E17" s="90">
        <f>SUM($B$4:B17)+SUM($C$4:C17)-SUM($D$4:D17)</f>
        <v>6784</v>
      </c>
      <c r="F17" s="90" cm="1">
        <f t="array" ref="F17">SUM(VLOOKUP(I17:AF17,$AM$4:$AO$44,3,FALSE))</f>
        <v>570</v>
      </c>
      <c r="G17" s="90">
        <f>SUM($F$4:F17)+SUM($H$4:H17)</f>
        <v>7705</v>
      </c>
      <c r="H17" s="90">
        <v>0</v>
      </c>
      <c r="I17" s="123" t="s">
        <v>18</v>
      </c>
      <c r="J17" s="123" t="s">
        <v>18</v>
      </c>
      <c r="K17" s="123" t="s">
        <v>18</v>
      </c>
      <c r="L17" s="123" t="s">
        <v>18</v>
      </c>
      <c r="M17" s="123" t="s">
        <v>18</v>
      </c>
      <c r="N17" s="123" t="s">
        <v>18</v>
      </c>
      <c r="O17" s="146" t="s">
        <v>23</v>
      </c>
      <c r="P17" s="146" t="s">
        <v>23</v>
      </c>
      <c r="Q17" s="147" t="s">
        <v>19</v>
      </c>
      <c r="R17" s="147" t="s">
        <v>19</v>
      </c>
      <c r="S17" s="147" t="s">
        <v>19</v>
      </c>
      <c r="T17" s="147" t="s">
        <v>19</v>
      </c>
      <c r="U17" s="147" t="s">
        <v>19</v>
      </c>
      <c r="V17" s="147" t="s">
        <v>19</v>
      </c>
      <c r="W17" s="146" t="s">
        <v>23</v>
      </c>
      <c r="X17" s="146" t="s">
        <v>23</v>
      </c>
      <c r="Y17" s="148" t="s">
        <v>23</v>
      </c>
      <c r="Z17" s="148" t="s">
        <v>23</v>
      </c>
      <c r="AA17" s="148" t="s">
        <v>23</v>
      </c>
      <c r="AB17" s="148" t="s">
        <v>23</v>
      </c>
      <c r="AC17" s="148" t="s">
        <v>23</v>
      </c>
      <c r="AD17" s="148" t="s">
        <v>23</v>
      </c>
      <c r="AE17" s="146" t="s">
        <v>23</v>
      </c>
      <c r="AF17" s="146" t="s">
        <v>23</v>
      </c>
      <c r="AG17" s="149">
        <v>0</v>
      </c>
      <c r="AH17" s="149"/>
      <c r="AI17" s="149"/>
      <c r="AJ17" s="149"/>
      <c r="AK17" s="150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0"/>
        <v>20</v>
      </c>
      <c r="AR17" s="19">
        <f t="shared" si="1"/>
        <v>13</v>
      </c>
      <c r="AS17" s="19">
        <f t="shared" si="2"/>
        <v>4</v>
      </c>
      <c r="AT17" s="19">
        <f t="shared" si="5"/>
        <v>37</v>
      </c>
      <c r="AU17" s="50">
        <f t="shared" si="6"/>
        <v>600</v>
      </c>
      <c r="AV17" s="50">
        <f t="shared" si="3"/>
        <v>390</v>
      </c>
      <c r="AW17" s="50">
        <f t="shared" si="3"/>
        <v>120</v>
      </c>
      <c r="AZ17" s="53">
        <f t="shared" si="7"/>
        <v>0.75</v>
      </c>
      <c r="BA17">
        <f t="shared" si="8"/>
        <v>40</v>
      </c>
    </row>
    <row r="18" spans="1:53">
      <c r="A18" s="76">
        <v>44561</v>
      </c>
      <c r="B18" s="90">
        <v>1600</v>
      </c>
      <c r="C18" s="90"/>
      <c r="D18" s="90" cm="1">
        <f t="array" ref="D18">(SUM(VLOOKUP(I18:AF18,$AM$4:$AO$44,2,FALSE))+AG18*10)*IF(AK18="是",$AY$4,$AY$3)</f>
        <v>1576</v>
      </c>
      <c r="E18" s="90">
        <f>SUM($B$4:B18)+SUM($C$4:C18)-SUM($D$4:D18)</f>
        <v>6808</v>
      </c>
      <c r="F18" s="90" cm="1">
        <f t="array" ref="F18">SUM(VLOOKUP(I18:AF18,$AM$4:$AO$44,3,FALSE))</f>
        <v>550</v>
      </c>
      <c r="G18" s="90">
        <f>SUM($F$4:F18)+SUM($H$4:H18)</f>
        <v>8255</v>
      </c>
      <c r="H18" s="90">
        <v>0</v>
      </c>
      <c r="I18" s="123" t="s">
        <v>18</v>
      </c>
      <c r="J18" s="123" t="s">
        <v>18</v>
      </c>
      <c r="K18" s="123" t="s">
        <v>18</v>
      </c>
      <c r="L18" s="123" t="s">
        <v>18</v>
      </c>
      <c r="M18" s="123" t="s">
        <v>18</v>
      </c>
      <c r="N18" s="123" t="s">
        <v>18</v>
      </c>
      <c r="O18" s="146" t="s">
        <v>23</v>
      </c>
      <c r="P18" s="146" t="s">
        <v>23</v>
      </c>
      <c r="Q18" s="147" t="s">
        <v>19</v>
      </c>
      <c r="R18" s="147" t="s">
        <v>19</v>
      </c>
      <c r="S18" s="147" t="s">
        <v>19</v>
      </c>
      <c r="T18" s="147" t="s">
        <v>19</v>
      </c>
      <c r="U18" s="151" t="s">
        <v>12</v>
      </c>
      <c r="V18" s="147" t="s">
        <v>19</v>
      </c>
      <c r="W18" s="146" t="s">
        <v>23</v>
      </c>
      <c r="X18" s="146" t="s">
        <v>23</v>
      </c>
      <c r="Y18" s="148" t="s">
        <v>23</v>
      </c>
      <c r="Z18" s="148" t="s">
        <v>23</v>
      </c>
      <c r="AA18" s="148" t="s">
        <v>23</v>
      </c>
      <c r="AB18" s="148" t="s">
        <v>23</v>
      </c>
      <c r="AC18" s="148" t="s">
        <v>23</v>
      </c>
      <c r="AD18" s="148" t="s">
        <v>23</v>
      </c>
      <c r="AE18" s="146" t="s">
        <v>23</v>
      </c>
      <c r="AF18" s="146" t="s">
        <v>23</v>
      </c>
      <c r="AG18" s="149">
        <v>0</v>
      </c>
      <c r="AH18" s="149"/>
      <c r="AI18" s="149"/>
      <c r="AJ18" s="149"/>
      <c r="AK18" s="150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0"/>
        <v>1</v>
      </c>
      <c r="AR18" s="19">
        <f t="shared" si="1"/>
        <v>1</v>
      </c>
      <c r="AS18" s="19">
        <f t="shared" si="2"/>
        <v>0</v>
      </c>
      <c r="AT18" s="19">
        <f t="shared" si="5"/>
        <v>2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7"/>
        <v>0</v>
      </c>
      <c r="BA18">
        <f t="shared" si="8"/>
        <v>-120</v>
      </c>
    </row>
    <row r="19" spans="1:53">
      <c r="A19" s="76">
        <v>44562</v>
      </c>
      <c r="B19" s="90">
        <v>1600</v>
      </c>
      <c r="C19" s="90"/>
      <c r="D19" s="90" cm="1">
        <f t="array" ref="D19">(SUM(VLOOKUP(I19:AF19,$AM$4:$AO$44,2,FALSE))+AG19*10)*IF(AK19="是",$AY$4,$AY$3)</f>
        <v>1680</v>
      </c>
      <c r="E19" s="90">
        <f>SUM($B$4:B19)+SUM($C$4:C19)-SUM($D$4:D19)</f>
        <v>6728</v>
      </c>
      <c r="F19" s="90" cm="1">
        <f t="array" ref="F19">SUM(VLOOKUP(I19:AF19,$AM$4:$AO$44,3,FALSE))</f>
        <v>570</v>
      </c>
      <c r="G19" s="90">
        <f>SUM($F$4:F19)+SUM($H$4:H19)</f>
        <v>8825</v>
      </c>
      <c r="H19" s="90">
        <v>0</v>
      </c>
      <c r="I19" s="123" t="s">
        <v>18</v>
      </c>
      <c r="J19" s="123" t="s">
        <v>18</v>
      </c>
      <c r="K19" s="123" t="s">
        <v>18</v>
      </c>
      <c r="L19" s="123" t="s">
        <v>18</v>
      </c>
      <c r="M19" s="123" t="s">
        <v>18</v>
      </c>
      <c r="N19" s="123" t="s">
        <v>18</v>
      </c>
      <c r="O19" s="146" t="s">
        <v>23</v>
      </c>
      <c r="P19" s="146" t="s">
        <v>23</v>
      </c>
      <c r="Q19" s="147" t="s">
        <v>19</v>
      </c>
      <c r="R19" s="147" t="s">
        <v>19</v>
      </c>
      <c r="S19" s="147" t="s">
        <v>19</v>
      </c>
      <c r="T19" s="147" t="s">
        <v>19</v>
      </c>
      <c r="U19" s="147" t="s">
        <v>19</v>
      </c>
      <c r="V19" s="147" t="s">
        <v>19</v>
      </c>
      <c r="W19" s="146" t="s">
        <v>23</v>
      </c>
      <c r="X19" s="146" t="s">
        <v>23</v>
      </c>
      <c r="Y19" s="148" t="s">
        <v>23</v>
      </c>
      <c r="Z19" s="148" t="s">
        <v>23</v>
      </c>
      <c r="AA19" s="148" t="s">
        <v>23</v>
      </c>
      <c r="AB19" s="148" t="s">
        <v>23</v>
      </c>
      <c r="AC19" s="148" t="s">
        <v>23</v>
      </c>
      <c r="AD19" s="148" t="s">
        <v>23</v>
      </c>
      <c r="AE19" s="146" t="s">
        <v>23</v>
      </c>
      <c r="AF19" s="146" t="s">
        <v>23</v>
      </c>
      <c r="AG19" s="149">
        <v>0</v>
      </c>
      <c r="AH19" s="149"/>
      <c r="AI19" s="149"/>
      <c r="AJ19" s="149"/>
      <c r="AK19" s="150" t="s">
        <v>31</v>
      </c>
      <c r="AM19" s="30" t="s">
        <v>82</v>
      </c>
      <c r="AN19" s="19">
        <v>250</v>
      </c>
      <c r="AO19" s="19">
        <v>200</v>
      </c>
      <c r="AP19" s="19"/>
      <c r="AQ19" s="19">
        <f t="shared" si="0"/>
        <v>1</v>
      </c>
      <c r="AR19" s="19">
        <f t="shared" si="1"/>
        <v>1</v>
      </c>
      <c r="AS19" s="19">
        <f t="shared" si="2"/>
        <v>0</v>
      </c>
      <c r="AT19" s="19">
        <f t="shared" si="5"/>
        <v>2</v>
      </c>
      <c r="AU19" s="50">
        <f t="shared" si="6"/>
        <v>200</v>
      </c>
      <c r="AV19" s="50">
        <f t="shared" si="3"/>
        <v>200</v>
      </c>
      <c r="AW19" s="50">
        <f t="shared" si="3"/>
        <v>0</v>
      </c>
      <c r="AZ19" s="53">
        <f t="shared" si="7"/>
        <v>1</v>
      </c>
      <c r="BA19">
        <f t="shared" si="8"/>
        <v>200</v>
      </c>
    </row>
    <row r="20" spans="1:53">
      <c r="A20" s="76">
        <v>44563</v>
      </c>
      <c r="B20" s="90">
        <v>1600</v>
      </c>
      <c r="C20" s="90"/>
      <c r="D20" s="90" cm="1">
        <f t="array" ref="D20">(SUM(VLOOKUP(I20:AF20,$AM$4:$AO$44,2,FALSE))+AG20*10)*IF(AK20="是",$AY$4,$AY$3)</f>
        <v>1568</v>
      </c>
      <c r="E20" s="90">
        <f>SUM($B$4:B20)+SUM($C$4:C20)-SUM($D$4:D20)</f>
        <v>6760</v>
      </c>
      <c r="F20" s="90" cm="1">
        <f t="array" ref="F20">SUM(VLOOKUP(I20:AF20,$AM$4:$AO$44,3,FALSE))</f>
        <v>555</v>
      </c>
      <c r="G20" s="90">
        <f>SUM($F$4:F20)+SUM($H$4:H20)</f>
        <v>9380</v>
      </c>
      <c r="H20" s="90">
        <v>0</v>
      </c>
      <c r="I20" s="123" t="s">
        <v>18</v>
      </c>
      <c r="J20" s="123" t="s">
        <v>7</v>
      </c>
      <c r="K20" s="123" t="s">
        <v>18</v>
      </c>
      <c r="L20" s="123" t="s">
        <v>18</v>
      </c>
      <c r="M20" s="123" t="s">
        <v>18</v>
      </c>
      <c r="N20" s="151" t="s">
        <v>12</v>
      </c>
      <c r="O20" s="146" t="s">
        <v>23</v>
      </c>
      <c r="P20" s="146" t="s">
        <v>23</v>
      </c>
      <c r="Q20" s="147" t="s">
        <v>19</v>
      </c>
      <c r="R20" s="147" t="s">
        <v>19</v>
      </c>
      <c r="S20" s="147" t="s">
        <v>19</v>
      </c>
      <c r="T20" s="147" t="s">
        <v>19</v>
      </c>
      <c r="U20" s="147" t="s">
        <v>19</v>
      </c>
      <c r="V20" s="147" t="s">
        <v>19</v>
      </c>
      <c r="W20" s="146" t="s">
        <v>23</v>
      </c>
      <c r="X20" s="146" t="s">
        <v>23</v>
      </c>
      <c r="Y20" s="148" t="s">
        <v>23</v>
      </c>
      <c r="Z20" s="148" t="s">
        <v>23</v>
      </c>
      <c r="AA20" s="148" t="s">
        <v>23</v>
      </c>
      <c r="AB20" s="148" t="s">
        <v>23</v>
      </c>
      <c r="AC20" s="148" t="s">
        <v>23</v>
      </c>
      <c r="AD20" s="148" t="s">
        <v>23</v>
      </c>
      <c r="AE20" s="146" t="s">
        <v>23</v>
      </c>
      <c r="AF20" s="146" t="s">
        <v>23</v>
      </c>
      <c r="AG20" s="149">
        <v>0</v>
      </c>
      <c r="AH20" s="149"/>
      <c r="AI20" s="149"/>
      <c r="AJ20" s="149"/>
      <c r="AK20" s="150" t="s">
        <v>31</v>
      </c>
      <c r="AM20" s="30" t="s">
        <v>83</v>
      </c>
      <c r="AN20" s="19">
        <v>170</v>
      </c>
      <c r="AO20" s="19">
        <v>45</v>
      </c>
      <c r="AP20" s="19"/>
      <c r="AQ20" s="19">
        <f t="shared" si="0"/>
        <v>5</v>
      </c>
      <c r="AR20" s="19">
        <f t="shared" si="1"/>
        <v>1</v>
      </c>
      <c r="AS20" s="19">
        <f t="shared" si="2"/>
        <v>0</v>
      </c>
      <c r="AT20" s="19">
        <f t="shared" si="5"/>
        <v>6</v>
      </c>
      <c r="AU20" s="50">
        <f t="shared" si="6"/>
        <v>225</v>
      </c>
      <c r="AV20" s="50">
        <f t="shared" si="6"/>
        <v>45</v>
      </c>
      <c r="AW20" s="50">
        <f t="shared" si="6"/>
        <v>0</v>
      </c>
      <c r="AZ20" s="53">
        <f t="shared" si="7"/>
        <v>0.33088235294117646</v>
      </c>
      <c r="BA20">
        <f t="shared" si="8"/>
        <v>136</v>
      </c>
    </row>
    <row r="21" spans="1:53">
      <c r="A21" s="76">
        <v>44564</v>
      </c>
      <c r="B21" s="89">
        <v>1600</v>
      </c>
      <c r="C21" s="89"/>
      <c r="D21" s="90" cm="1">
        <f t="array" ref="D21">(SUM(VLOOKUP(I21:AF21,$AM$4:$AO$44,2,FALSE))+AG21*10)*IF(AK21="是",$AY$4,$AY$3)</f>
        <v>1664</v>
      </c>
      <c r="E21" s="90">
        <f>SUM($B$4:B21)+SUM($C$4:C21)-SUM($D$4:D21)</f>
        <v>6696</v>
      </c>
      <c r="F21" s="90" cm="1">
        <f t="array" ref="F21">SUM(VLOOKUP(I21:AF21,$AM$4:$AO$44,3,FALSE))</f>
        <v>620</v>
      </c>
      <c r="G21" s="90">
        <f>SUM($F$4:F21)+SUM($H$4:H21)</f>
        <v>10200</v>
      </c>
      <c r="H21" s="89">
        <v>200</v>
      </c>
      <c r="I21" s="123" t="s">
        <v>18</v>
      </c>
      <c r="J21" s="123" t="s">
        <v>18</v>
      </c>
      <c r="K21" s="123" t="s">
        <v>18</v>
      </c>
      <c r="L21" s="123" t="s">
        <v>18</v>
      </c>
      <c r="M21" s="123" t="s">
        <v>18</v>
      </c>
      <c r="N21" s="123" t="s">
        <v>18</v>
      </c>
      <c r="O21" s="146" t="s">
        <v>23</v>
      </c>
      <c r="P21" s="146" t="s">
        <v>23</v>
      </c>
      <c r="Q21" s="147" t="s">
        <v>19</v>
      </c>
      <c r="R21" s="147" t="s">
        <v>19</v>
      </c>
      <c r="S21" s="147" t="s">
        <v>19</v>
      </c>
      <c r="T21" s="147" t="s">
        <v>19</v>
      </c>
      <c r="U21" s="147" t="s">
        <v>19</v>
      </c>
      <c r="V21" s="152" t="s">
        <v>47</v>
      </c>
      <c r="W21" s="147" t="s">
        <v>19</v>
      </c>
      <c r="X21" s="147" t="s">
        <v>19</v>
      </c>
      <c r="Y21" s="89" t="s">
        <v>23</v>
      </c>
      <c r="Z21" s="89" t="s">
        <v>23</v>
      </c>
      <c r="AA21" s="89" t="s">
        <v>23</v>
      </c>
      <c r="AB21" s="89" t="s">
        <v>23</v>
      </c>
      <c r="AC21" s="89" t="s">
        <v>23</v>
      </c>
      <c r="AD21" s="89" t="s">
        <v>23</v>
      </c>
      <c r="AE21" s="146" t="s">
        <v>23</v>
      </c>
      <c r="AF21" s="146" t="s">
        <v>23</v>
      </c>
      <c r="AG21" s="149">
        <v>0</v>
      </c>
      <c r="AH21" s="149"/>
      <c r="AI21" s="149"/>
      <c r="AJ21" s="149"/>
      <c r="AK21" s="150" t="s">
        <v>31</v>
      </c>
      <c r="AM21" s="144" t="s">
        <v>14</v>
      </c>
      <c r="AN21" s="19">
        <v>250</v>
      </c>
      <c r="AO21" s="19">
        <v>200</v>
      </c>
      <c r="AP21" s="19"/>
      <c r="AQ21" s="19">
        <f t="shared" si="0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7"/>
        <v>1</v>
      </c>
      <c r="BA21">
        <f t="shared" si="8"/>
        <v>200</v>
      </c>
    </row>
    <row r="22" spans="1:53">
      <c r="A22" s="76">
        <v>44565</v>
      </c>
      <c r="B22" s="89">
        <v>1600</v>
      </c>
      <c r="C22" s="89"/>
      <c r="D22" s="90" cm="1">
        <f t="array" ref="D22">(SUM(VLOOKUP(I22:AF22,$AM$4:$AO$44,2,FALSE))+AG22*10)*IF(AK22="是",$AY$4,$AY$3)</f>
        <v>1584</v>
      </c>
      <c r="E22" s="90">
        <f>SUM($B$4:B22)+SUM($C$4:C22)-SUM($D$4:D22)</f>
        <v>6712</v>
      </c>
      <c r="F22" s="90" cm="1">
        <f t="array" ref="F22">SUM(VLOOKUP(I22:AF22,$AM$4:$AO$44,3,FALSE))</f>
        <v>555</v>
      </c>
      <c r="G22" s="90">
        <f>SUM($F$4:F22)+SUM($H$4:H22)</f>
        <v>10855</v>
      </c>
      <c r="H22" s="89">
        <v>100</v>
      </c>
      <c r="I22" s="123" t="s">
        <v>18</v>
      </c>
      <c r="J22" s="123" t="s">
        <v>18</v>
      </c>
      <c r="K22" s="123" t="s">
        <v>18</v>
      </c>
      <c r="L22" s="123" t="s">
        <v>18</v>
      </c>
      <c r="M22" s="151" t="s">
        <v>12</v>
      </c>
      <c r="N22" s="123" t="s">
        <v>18</v>
      </c>
      <c r="O22" s="146" t="s">
        <v>23</v>
      </c>
      <c r="P22" s="146" t="s">
        <v>23</v>
      </c>
      <c r="Q22" s="147" t="s">
        <v>19</v>
      </c>
      <c r="R22" s="147" t="s">
        <v>19</v>
      </c>
      <c r="S22" s="147" t="s">
        <v>19</v>
      </c>
      <c r="T22" s="147" t="s">
        <v>19</v>
      </c>
      <c r="U22" s="147" t="s">
        <v>19</v>
      </c>
      <c r="V22" s="147" t="s">
        <v>19</v>
      </c>
      <c r="W22" s="146" t="s">
        <v>23</v>
      </c>
      <c r="X22" s="146" t="s">
        <v>23</v>
      </c>
      <c r="Y22" s="89" t="s">
        <v>23</v>
      </c>
      <c r="Z22" s="89" t="s">
        <v>23</v>
      </c>
      <c r="AA22" s="89" t="s">
        <v>23</v>
      </c>
      <c r="AB22" s="89" t="s">
        <v>23</v>
      </c>
      <c r="AC22" s="89" t="s">
        <v>23</v>
      </c>
      <c r="AD22" s="89" t="s">
        <v>23</v>
      </c>
      <c r="AE22" s="146" t="s">
        <v>23</v>
      </c>
      <c r="AF22" s="146" t="s">
        <v>23</v>
      </c>
      <c r="AG22" s="149">
        <v>0</v>
      </c>
      <c r="AH22" s="149"/>
      <c r="AI22" s="149"/>
      <c r="AJ22" s="149"/>
      <c r="AK22" s="150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0"/>
        <v>0</v>
      </c>
      <c r="AR22" s="19">
        <f t="shared" si="1"/>
        <v>2</v>
      </c>
      <c r="AS22" s="19">
        <f t="shared" si="2"/>
        <v>0</v>
      </c>
      <c r="AT22" s="19">
        <f t="shared" si="5"/>
        <v>2</v>
      </c>
      <c r="AU22" s="50">
        <f t="shared" si="6"/>
        <v>0</v>
      </c>
      <c r="AV22" s="50">
        <f t="shared" si="6"/>
        <v>2000</v>
      </c>
      <c r="AW22" s="50">
        <f t="shared" si="6"/>
        <v>0</v>
      </c>
      <c r="AZ22" s="53">
        <f t="shared" si="7"/>
        <v>5</v>
      </c>
      <c r="BA22">
        <f t="shared" si="8"/>
        <v>200</v>
      </c>
    </row>
    <row r="23" spans="1:53">
      <c r="A23" s="76">
        <v>44566</v>
      </c>
      <c r="B23" s="89">
        <v>1600</v>
      </c>
      <c r="C23" s="89"/>
      <c r="D23" s="90" cm="1">
        <f t="array" ref="D23">(SUM(VLOOKUP(I23:AF23,$AM$4:$AO$44,2,FALSE))+AG23*10)*IF(AK23="是",$AY$4,$AY$3)</f>
        <v>1680</v>
      </c>
      <c r="E23" s="90">
        <f>SUM($B$4:B23)+SUM($C$4:C23)-SUM($D$4:D23)</f>
        <v>6632</v>
      </c>
      <c r="F23" s="90" cm="1">
        <f t="array" ref="F23">SUM(VLOOKUP(I23:AF23,$AM$4:$AO$44,3,FALSE))</f>
        <v>570</v>
      </c>
      <c r="G23" s="90">
        <f>SUM($F$4:F23)+SUM($H$4:H23)</f>
        <v>11625</v>
      </c>
      <c r="H23" s="89">
        <v>200</v>
      </c>
      <c r="I23" s="123" t="s">
        <v>18</v>
      </c>
      <c r="J23" s="123" t="s">
        <v>18</v>
      </c>
      <c r="K23" s="123" t="s">
        <v>18</v>
      </c>
      <c r="L23" s="123" t="s">
        <v>18</v>
      </c>
      <c r="M23" s="123" t="s">
        <v>18</v>
      </c>
      <c r="N23" s="123" t="s">
        <v>18</v>
      </c>
      <c r="O23" s="93" t="s">
        <v>23</v>
      </c>
      <c r="P23" s="93" t="s">
        <v>23</v>
      </c>
      <c r="Q23" s="143" t="s">
        <v>19</v>
      </c>
      <c r="R23" s="143" t="s">
        <v>19</v>
      </c>
      <c r="S23" s="143" t="s">
        <v>19</v>
      </c>
      <c r="T23" s="143" t="s">
        <v>19</v>
      </c>
      <c r="U23" s="143" t="s">
        <v>19</v>
      </c>
      <c r="V23" s="143" t="s">
        <v>19</v>
      </c>
      <c r="W23" s="93" t="s">
        <v>23</v>
      </c>
      <c r="X23" s="93" t="s">
        <v>23</v>
      </c>
      <c r="Y23" s="89" t="s">
        <v>23</v>
      </c>
      <c r="Z23" s="89" t="s">
        <v>23</v>
      </c>
      <c r="AA23" s="89" t="s">
        <v>23</v>
      </c>
      <c r="AB23" s="89" t="s">
        <v>23</v>
      </c>
      <c r="AC23" s="89" t="s">
        <v>23</v>
      </c>
      <c r="AD23" s="89" t="s">
        <v>23</v>
      </c>
      <c r="AE23" s="93" t="s">
        <v>23</v>
      </c>
      <c r="AF23" s="93" t="s">
        <v>23</v>
      </c>
      <c r="AG23" s="94">
        <v>0</v>
      </c>
      <c r="AH23" s="94"/>
      <c r="AI23" s="94"/>
      <c r="AJ23" s="94"/>
      <c r="AK23" s="95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0"/>
        <v>2</v>
      </c>
      <c r="AR23" s="19">
        <f t="shared" si="1"/>
        <v>0</v>
      </c>
      <c r="AS23" s="19">
        <f t="shared" si="2"/>
        <v>0</v>
      </c>
      <c r="AT23" s="19">
        <f t="shared" si="5"/>
        <v>2</v>
      </c>
      <c r="AU23" s="50">
        <f t="shared" si="6"/>
        <v>1000</v>
      </c>
      <c r="AV23" s="50">
        <f t="shared" si="6"/>
        <v>0</v>
      </c>
      <c r="AW23" s="50">
        <f t="shared" si="6"/>
        <v>0</v>
      </c>
      <c r="AZ23" s="53">
        <f t="shared" si="7"/>
        <v>2.5</v>
      </c>
      <c r="BA23">
        <f t="shared" si="8"/>
        <v>200</v>
      </c>
    </row>
    <row r="24" spans="1:53" ht="14.25" customHeight="1">
      <c r="A24" s="76">
        <v>44567</v>
      </c>
      <c r="B24" s="89">
        <v>1600</v>
      </c>
      <c r="C24" s="89"/>
      <c r="D24" s="90" cm="1">
        <f t="array" ref="D24">(SUM(VLOOKUP(I24:AF24,$AM$4:$AO$44,2,FALSE))+AG24*10)*IF(AK24="是",$AY$4,$AY$3)</f>
        <v>1680</v>
      </c>
      <c r="E24" s="90">
        <f>SUM($B$4:B24)+SUM($C$4:C24)-SUM($D$4:D24)</f>
        <v>6552</v>
      </c>
      <c r="F24" s="90" cm="1">
        <f t="array" ref="F24">SUM(VLOOKUP(I24:AF24,$AM$4:$AO$44,3,FALSE))</f>
        <v>570</v>
      </c>
      <c r="G24" s="90">
        <f>SUM($F$4:F24)+SUM($H$4:H24)</f>
        <v>12195</v>
      </c>
      <c r="H24" s="89">
        <v>0</v>
      </c>
      <c r="I24" s="123" t="s">
        <v>18</v>
      </c>
      <c r="J24" s="123" t="s">
        <v>18</v>
      </c>
      <c r="K24" s="123" t="s">
        <v>18</v>
      </c>
      <c r="L24" s="123" t="s">
        <v>18</v>
      </c>
      <c r="M24" s="123" t="s">
        <v>18</v>
      </c>
      <c r="N24" s="123" t="s">
        <v>18</v>
      </c>
      <c r="O24" s="93" t="s">
        <v>23</v>
      </c>
      <c r="P24" s="93" t="s">
        <v>23</v>
      </c>
      <c r="Q24" s="143" t="s">
        <v>19</v>
      </c>
      <c r="R24" s="143" t="s">
        <v>19</v>
      </c>
      <c r="S24" s="143" t="s">
        <v>19</v>
      </c>
      <c r="T24" s="143" t="s">
        <v>19</v>
      </c>
      <c r="U24" s="143" t="s">
        <v>19</v>
      </c>
      <c r="V24" s="143" t="s">
        <v>19</v>
      </c>
      <c r="W24" s="93" t="s">
        <v>23</v>
      </c>
      <c r="X24" s="93" t="s">
        <v>23</v>
      </c>
      <c r="Y24" s="89" t="s">
        <v>23</v>
      </c>
      <c r="Z24" s="89" t="s">
        <v>23</v>
      </c>
      <c r="AA24" s="89" t="s">
        <v>23</v>
      </c>
      <c r="AB24" s="89" t="s">
        <v>23</v>
      </c>
      <c r="AC24" s="89" t="s">
        <v>23</v>
      </c>
      <c r="AD24" s="89" t="s">
        <v>23</v>
      </c>
      <c r="AE24" s="93" t="s">
        <v>23</v>
      </c>
      <c r="AF24" s="93" t="s">
        <v>23</v>
      </c>
      <c r="AG24" s="94">
        <v>0</v>
      </c>
      <c r="AH24" s="94"/>
      <c r="AI24" s="94"/>
      <c r="AJ24" s="94"/>
      <c r="AK24" s="95" t="s">
        <v>31</v>
      </c>
      <c r="AM24" s="31" t="s">
        <v>39</v>
      </c>
      <c r="AN24" s="19">
        <v>160</v>
      </c>
      <c r="AO24" s="19">
        <v>40</v>
      </c>
      <c r="AP24" s="19">
        <f t="shared" ref="AP24:AP27" si="11">AN24-AO24/0.330882</f>
        <v>39.110982162825422</v>
      </c>
      <c r="AQ24" s="19">
        <f t="shared" si="0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7"/>
        <v>0.3125</v>
      </c>
      <c r="BA24">
        <f t="shared" si="8"/>
        <v>128</v>
      </c>
    </row>
    <row r="25" spans="1:53">
      <c r="A25" s="76">
        <v>44568</v>
      </c>
      <c r="B25" s="89">
        <v>1600</v>
      </c>
      <c r="C25" s="89"/>
      <c r="D25" s="90" cm="1">
        <f t="array" ref="D25">(SUM(VLOOKUP(I25:AF25,$AM$4:$AO$44,2,FALSE))+AG25*10)*IF(AK25="是",$AY$4,$AY$3)</f>
        <v>1584</v>
      </c>
      <c r="E25" s="90">
        <f>SUM($B$4:B25)+SUM($C$4:C25)-SUM($D$4:D25)</f>
        <v>6568</v>
      </c>
      <c r="F25" s="90" cm="1">
        <f t="array" ref="F25">SUM(VLOOKUP(I25:AF25,$AM$4:$AO$44,3,FALSE))</f>
        <v>555</v>
      </c>
      <c r="G25" s="90">
        <f>SUM($F$4:F25)+SUM($H$4:H25)</f>
        <v>12750</v>
      </c>
      <c r="H25" s="89">
        <v>0</v>
      </c>
      <c r="I25" s="136" t="s">
        <v>12</v>
      </c>
      <c r="J25" s="123" t="s">
        <v>18</v>
      </c>
      <c r="K25" s="123" t="s">
        <v>18</v>
      </c>
      <c r="L25" s="123" t="s">
        <v>18</v>
      </c>
      <c r="M25" s="123" t="s">
        <v>18</v>
      </c>
      <c r="N25" s="123" t="s">
        <v>18</v>
      </c>
      <c r="O25" s="93" t="s">
        <v>23</v>
      </c>
      <c r="P25" s="93" t="s">
        <v>23</v>
      </c>
      <c r="Q25" s="143" t="s">
        <v>19</v>
      </c>
      <c r="R25" s="143" t="s">
        <v>19</v>
      </c>
      <c r="S25" s="143" t="s">
        <v>19</v>
      </c>
      <c r="T25" s="143" t="s">
        <v>19</v>
      </c>
      <c r="U25" s="143" t="s">
        <v>19</v>
      </c>
      <c r="V25" s="143" t="s">
        <v>19</v>
      </c>
      <c r="W25" s="93" t="s">
        <v>23</v>
      </c>
      <c r="X25" s="93" t="s">
        <v>23</v>
      </c>
      <c r="Y25" s="89" t="s">
        <v>23</v>
      </c>
      <c r="Z25" s="89" t="s">
        <v>23</v>
      </c>
      <c r="AA25" s="89" t="s">
        <v>23</v>
      </c>
      <c r="AB25" s="89" t="s">
        <v>23</v>
      </c>
      <c r="AC25" s="89" t="s">
        <v>23</v>
      </c>
      <c r="AD25" s="89" t="s">
        <v>23</v>
      </c>
      <c r="AE25" s="93" t="s">
        <v>23</v>
      </c>
      <c r="AF25" s="93" t="s">
        <v>23</v>
      </c>
      <c r="AG25" s="94">
        <v>0</v>
      </c>
      <c r="AH25" s="94"/>
      <c r="AI25" s="94"/>
      <c r="AJ25" s="94"/>
      <c r="AK25" s="95" t="s">
        <v>31</v>
      </c>
      <c r="AM25" s="31" t="s">
        <v>40</v>
      </c>
      <c r="AN25" s="19">
        <v>160</v>
      </c>
      <c r="AO25" s="19">
        <v>40</v>
      </c>
      <c r="AP25" s="19">
        <f t="shared" si="11"/>
        <v>39.110982162825422</v>
      </c>
      <c r="AQ25" s="19">
        <f t="shared" si="0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7"/>
        <v>0.3125</v>
      </c>
      <c r="BA25">
        <f t="shared" si="8"/>
        <v>128</v>
      </c>
    </row>
    <row r="26" spans="1:53">
      <c r="A26" s="76">
        <v>44569</v>
      </c>
      <c r="B26" s="89">
        <v>1600</v>
      </c>
      <c r="C26" s="89"/>
      <c r="D26" s="90" cm="1">
        <f t="array" ref="D26">(SUM(VLOOKUP(I26:AF26,$AM$4:$AO$44,2,FALSE))+AG26*10)*IF(AK26="是",$AY$4,$AY$3)</f>
        <v>1576</v>
      </c>
      <c r="E26" s="90">
        <f>SUM($B$4:B26)+SUM($C$4:C26)-SUM($D$4:D26)</f>
        <v>6592</v>
      </c>
      <c r="F26" s="90" cm="1">
        <f t="array" ref="F26">SUM(VLOOKUP(I26:AF26,$AM$4:$AO$44,3,FALSE))</f>
        <v>550</v>
      </c>
      <c r="G26" s="90">
        <f>SUM($F$4:F26)+SUM($H$4:H26)</f>
        <v>13300</v>
      </c>
      <c r="H26" s="89">
        <v>0</v>
      </c>
      <c r="I26" s="123" t="s">
        <v>18</v>
      </c>
      <c r="J26" s="123" t="s">
        <v>18</v>
      </c>
      <c r="K26" s="123" t="s">
        <v>18</v>
      </c>
      <c r="L26" s="123" t="s">
        <v>18</v>
      </c>
      <c r="M26" s="123" t="s">
        <v>18</v>
      </c>
      <c r="N26" s="123" t="s">
        <v>18</v>
      </c>
      <c r="O26" s="93" t="s">
        <v>23</v>
      </c>
      <c r="P26" s="93" t="s">
        <v>23</v>
      </c>
      <c r="Q26" s="143" t="s">
        <v>19</v>
      </c>
      <c r="R26" s="143" t="s">
        <v>19</v>
      </c>
      <c r="S26" s="136" t="s">
        <v>12</v>
      </c>
      <c r="T26" s="143" t="s">
        <v>19</v>
      </c>
      <c r="U26" s="143" t="s">
        <v>19</v>
      </c>
      <c r="V26" s="143" t="s">
        <v>19</v>
      </c>
      <c r="W26" s="93" t="s">
        <v>23</v>
      </c>
      <c r="X26" s="93" t="s">
        <v>23</v>
      </c>
      <c r="Y26" s="89" t="s">
        <v>23</v>
      </c>
      <c r="Z26" s="89" t="s">
        <v>23</v>
      </c>
      <c r="AA26" s="89" t="s">
        <v>23</v>
      </c>
      <c r="AB26" s="89" t="s">
        <v>23</v>
      </c>
      <c r="AC26" s="89" t="s">
        <v>23</v>
      </c>
      <c r="AD26" s="89" t="s">
        <v>23</v>
      </c>
      <c r="AE26" s="93" t="s">
        <v>23</v>
      </c>
      <c r="AF26" s="93" t="s">
        <v>23</v>
      </c>
      <c r="AG26" s="94">
        <v>0</v>
      </c>
      <c r="AH26" s="94"/>
      <c r="AI26" s="94"/>
      <c r="AJ26" s="94"/>
      <c r="AK26" s="95" t="s">
        <v>31</v>
      </c>
      <c r="AM26" s="31" t="s">
        <v>38</v>
      </c>
      <c r="AN26" s="19">
        <v>150</v>
      </c>
      <c r="AO26" s="19">
        <v>35</v>
      </c>
      <c r="AP26" s="19">
        <f t="shared" si="11"/>
        <v>44.222109392472248</v>
      </c>
      <c r="AQ26" s="19">
        <f t="shared" si="0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7"/>
        <v>0.29166666666666669</v>
      </c>
      <c r="BA26">
        <f t="shared" si="8"/>
        <v>120</v>
      </c>
    </row>
    <row r="27" spans="1:53">
      <c r="A27" s="76">
        <v>44570</v>
      </c>
      <c r="B27" s="89">
        <v>1600</v>
      </c>
      <c r="C27" s="89"/>
      <c r="D27" s="90" cm="1">
        <f t="array" ref="D27">(SUM(VLOOKUP(I27:AF27,$AM$4:$AO$44,2,FALSE))+AG27*10)*IF(AK27="是",$AY$4,$AY$3)</f>
        <v>1656</v>
      </c>
      <c r="E27" s="90">
        <f>SUM($B$4:B27)+SUM($C$4:C27)-SUM($D$4:D27)</f>
        <v>6536</v>
      </c>
      <c r="F27" s="90" cm="1">
        <f t="array" ref="F27">SUM(VLOOKUP(I27:AF27,$AM$4:$AO$44,3,FALSE))</f>
        <v>570</v>
      </c>
      <c r="G27" s="90">
        <f>SUM($F$4:F27)+SUM($H$4:H27)</f>
        <v>13870</v>
      </c>
      <c r="H27" s="89">
        <v>0</v>
      </c>
      <c r="I27" s="123" t="s">
        <v>18</v>
      </c>
      <c r="J27" s="123" t="s">
        <v>18</v>
      </c>
      <c r="K27" s="123" t="s">
        <v>18</v>
      </c>
      <c r="L27" s="123" t="s">
        <v>18</v>
      </c>
      <c r="M27" s="123" t="s">
        <v>18</v>
      </c>
      <c r="N27" s="123" t="s">
        <v>18</v>
      </c>
      <c r="O27" s="93" t="s">
        <v>23</v>
      </c>
      <c r="P27" s="93" t="s">
        <v>23</v>
      </c>
      <c r="Q27" s="143" t="s">
        <v>19</v>
      </c>
      <c r="R27" s="143" t="s">
        <v>19</v>
      </c>
      <c r="S27" s="143" t="s">
        <v>8</v>
      </c>
      <c r="T27" s="143" t="s">
        <v>19</v>
      </c>
      <c r="U27" s="143" t="s">
        <v>19</v>
      </c>
      <c r="V27" s="143" t="s">
        <v>19</v>
      </c>
      <c r="W27" s="93" t="s">
        <v>23</v>
      </c>
      <c r="X27" s="93" t="s">
        <v>23</v>
      </c>
      <c r="Y27" s="89" t="s">
        <v>23</v>
      </c>
      <c r="Z27" s="89" t="s">
        <v>23</v>
      </c>
      <c r="AA27" s="89" t="s">
        <v>23</v>
      </c>
      <c r="AB27" s="89" t="s">
        <v>23</v>
      </c>
      <c r="AC27" s="89" t="s">
        <v>23</v>
      </c>
      <c r="AD27" s="89" t="s">
        <v>23</v>
      </c>
      <c r="AE27" s="93" t="s">
        <v>23</v>
      </c>
      <c r="AF27" s="93" t="s">
        <v>23</v>
      </c>
      <c r="AG27" s="94">
        <v>0</v>
      </c>
      <c r="AH27" s="94"/>
      <c r="AI27" s="94"/>
      <c r="AJ27" s="94"/>
      <c r="AK27" s="95" t="s">
        <v>31</v>
      </c>
      <c r="AM27" s="33" t="s">
        <v>23</v>
      </c>
      <c r="AN27" s="19">
        <v>0</v>
      </c>
      <c r="AO27" s="19">
        <v>0</v>
      </c>
      <c r="AP27" s="19">
        <f t="shared" si="11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76">
        <v>44571</v>
      </c>
      <c r="B28" s="90">
        <v>1600</v>
      </c>
      <c r="C28" s="90"/>
      <c r="D28" s="90" cm="1">
        <f t="array" ref="D28">(SUM(VLOOKUP(I28:AF28,$AM$4:$AO$44,2,FALSE))+AG28*10)*IF(AK28="是",$AY$4,$AY$3)</f>
        <v>1672</v>
      </c>
      <c r="E28" s="90">
        <f>SUM($B$4:B28)+SUM($C$4:C28)-SUM($D$4:D28)</f>
        <v>6464</v>
      </c>
      <c r="F28" s="90" cm="1">
        <f t="array" ref="F28">SUM(VLOOKUP(I28:AF28,$AM$4:$AO$44,3,FALSE))</f>
        <v>570</v>
      </c>
      <c r="G28" s="90">
        <f>SUM($F$4:F28)+SUM($H$4:H28)</f>
        <v>14740</v>
      </c>
      <c r="H28" s="90">
        <v>300</v>
      </c>
      <c r="I28" s="123" t="s">
        <v>18</v>
      </c>
      <c r="J28" s="123" t="s">
        <v>7</v>
      </c>
      <c r="K28" s="123" t="s">
        <v>18</v>
      </c>
      <c r="L28" s="123" t="s">
        <v>18</v>
      </c>
      <c r="M28" s="123" t="s">
        <v>18</v>
      </c>
      <c r="N28" s="123" t="s">
        <v>18</v>
      </c>
      <c r="O28" s="93" t="s">
        <v>23</v>
      </c>
      <c r="P28" s="93" t="s">
        <v>23</v>
      </c>
      <c r="Q28" s="143" t="s">
        <v>19</v>
      </c>
      <c r="R28" s="143" t="s">
        <v>19</v>
      </c>
      <c r="S28" s="143" t="s">
        <v>19</v>
      </c>
      <c r="T28" s="143" t="s">
        <v>19</v>
      </c>
      <c r="U28" s="143" t="s">
        <v>19</v>
      </c>
      <c r="V28" s="143" t="s">
        <v>19</v>
      </c>
      <c r="W28" s="93" t="s">
        <v>23</v>
      </c>
      <c r="X28" s="93" t="s">
        <v>23</v>
      </c>
      <c r="Y28" s="89" t="s">
        <v>23</v>
      </c>
      <c r="Z28" s="89" t="s">
        <v>23</v>
      </c>
      <c r="AA28" s="89" t="s">
        <v>23</v>
      </c>
      <c r="AB28" s="89" t="s">
        <v>23</v>
      </c>
      <c r="AC28" s="89" t="s">
        <v>23</v>
      </c>
      <c r="AD28" s="89" t="s">
        <v>23</v>
      </c>
      <c r="AE28" s="93" t="s">
        <v>23</v>
      </c>
      <c r="AF28" s="93" t="s">
        <v>23</v>
      </c>
      <c r="AG28" s="94">
        <v>1</v>
      </c>
      <c r="AH28" s="94">
        <v>1</v>
      </c>
      <c r="AI28" s="94"/>
      <c r="AJ28" s="94"/>
      <c r="AK28" s="95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7</v>
      </c>
      <c r="AR28" s="19">
        <f>COUNTIF($Q$4:$X$94,AM28)</f>
        <v>6</v>
      </c>
      <c r="AS28" s="19">
        <f>COUNTIF($Y$4:$AF$94,AM28)</f>
        <v>0</v>
      </c>
      <c r="AT28" s="19">
        <f>AQ28+AR28+AS28</f>
        <v>13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76">
        <v>44572</v>
      </c>
      <c r="B29" s="90">
        <v>1600</v>
      </c>
      <c r="C29" s="90"/>
      <c r="D29" s="90" cm="1">
        <f t="array" ref="D29">(SUM(VLOOKUP(I29:AF29,$AM$4:$AO$44,2,FALSE))+AG29*10)*IF(AK29="是",$AY$4,$AY$3)</f>
        <v>1584</v>
      </c>
      <c r="E29" s="90">
        <f>SUM($B$4:B29)+SUM($C$4:C29)-SUM($D$4:D29)</f>
        <v>6480</v>
      </c>
      <c r="F29" s="90" cm="1">
        <f t="array" ref="F29">SUM(VLOOKUP(I29:AF29,$AM$4:$AO$44,3,FALSE))</f>
        <v>555</v>
      </c>
      <c r="G29" s="90">
        <f>SUM($F$4:F29)+SUM($H$4:H29)</f>
        <v>15295</v>
      </c>
      <c r="H29" s="90">
        <v>0</v>
      </c>
      <c r="I29" s="123" t="s">
        <v>18</v>
      </c>
      <c r="J29" s="136" t="s">
        <v>12</v>
      </c>
      <c r="K29" s="123" t="s">
        <v>18</v>
      </c>
      <c r="L29" s="123" t="s">
        <v>18</v>
      </c>
      <c r="M29" s="123" t="s">
        <v>18</v>
      </c>
      <c r="N29" s="123" t="s">
        <v>18</v>
      </c>
      <c r="O29" s="93" t="s">
        <v>23</v>
      </c>
      <c r="P29" s="93" t="s">
        <v>23</v>
      </c>
      <c r="Q29" s="143" t="s">
        <v>19</v>
      </c>
      <c r="R29" s="143" t="s">
        <v>19</v>
      </c>
      <c r="S29" s="143" t="s">
        <v>19</v>
      </c>
      <c r="T29" s="143" t="s">
        <v>19</v>
      </c>
      <c r="U29" s="143" t="s">
        <v>19</v>
      </c>
      <c r="V29" s="143" t="s">
        <v>19</v>
      </c>
      <c r="W29" s="93" t="s">
        <v>23</v>
      </c>
      <c r="X29" s="93" t="s">
        <v>23</v>
      </c>
      <c r="Y29" s="89" t="s">
        <v>23</v>
      </c>
      <c r="Z29" s="89" t="s">
        <v>23</v>
      </c>
      <c r="AA29" s="89" t="s">
        <v>23</v>
      </c>
      <c r="AB29" s="89" t="s">
        <v>23</v>
      </c>
      <c r="AC29" s="89" t="s">
        <v>23</v>
      </c>
      <c r="AD29" s="89" t="s">
        <v>23</v>
      </c>
      <c r="AE29" s="93" t="s">
        <v>23</v>
      </c>
      <c r="AF29" s="93" t="s">
        <v>23</v>
      </c>
      <c r="AG29" s="94">
        <v>0</v>
      </c>
      <c r="AH29" s="94"/>
      <c r="AI29" s="94"/>
      <c r="AJ29" s="94"/>
      <c r="AK29" s="95" t="s">
        <v>31</v>
      </c>
      <c r="AM29" s="19"/>
      <c r="AN29" s="19"/>
      <c r="AO29" s="19"/>
      <c r="AP29" s="50"/>
      <c r="AS29" t="s">
        <v>60</v>
      </c>
      <c r="AT29">
        <f>SUM(AT4:AT28)</f>
        <v>1068</v>
      </c>
      <c r="AV29" t="s">
        <v>61</v>
      </c>
      <c r="AW29" s="4">
        <f>SUM(AU4:AW28)+7000</f>
        <v>63255</v>
      </c>
    </row>
    <row r="30" spans="1:53">
      <c r="A30" s="76">
        <v>44573</v>
      </c>
      <c r="B30" s="90">
        <v>1600</v>
      </c>
      <c r="C30" s="90"/>
      <c r="D30" s="90" cm="1">
        <f t="array" ref="D30">(SUM(VLOOKUP(I30:AF30,$AM$4:$AO$44,2,FALSE))+AG30*10)*IF(AK30="是",$AY$4,$AY$3)</f>
        <v>1616</v>
      </c>
      <c r="E30" s="90">
        <f>SUM($B$4:B30)+SUM($C$4:C30)-SUM($D$4:D30)</f>
        <v>6464</v>
      </c>
      <c r="F30" s="90" cm="1">
        <f t="array" ref="F30">SUM(VLOOKUP(I30:AF30,$AM$4:$AO$44,3,FALSE))</f>
        <v>570</v>
      </c>
      <c r="G30" s="90">
        <f>SUM($F$4:F30)+SUM($H$4:H30)</f>
        <v>16065</v>
      </c>
      <c r="H30" s="90">
        <v>200</v>
      </c>
      <c r="I30" s="143" t="s">
        <v>19</v>
      </c>
      <c r="J30" s="143" t="s">
        <v>19</v>
      </c>
      <c r="K30" s="143" t="s">
        <v>19</v>
      </c>
      <c r="L30" s="143" t="s">
        <v>19</v>
      </c>
      <c r="M30" s="123" t="s">
        <v>18</v>
      </c>
      <c r="N30" s="123" t="s">
        <v>18</v>
      </c>
      <c r="O30" s="93" t="s">
        <v>23</v>
      </c>
      <c r="P30" s="93" t="s">
        <v>23</v>
      </c>
      <c r="Q30" s="143" t="s">
        <v>19</v>
      </c>
      <c r="R30" s="136" t="s">
        <v>12</v>
      </c>
      <c r="S30" s="143" t="s">
        <v>19</v>
      </c>
      <c r="T30" s="143" t="s">
        <v>19</v>
      </c>
      <c r="U30" s="143" t="s">
        <v>19</v>
      </c>
      <c r="V30" s="143" t="s">
        <v>19</v>
      </c>
      <c r="W30" s="93" t="s">
        <v>23</v>
      </c>
      <c r="X30" s="93" t="s">
        <v>23</v>
      </c>
      <c r="Y30" s="89" t="s">
        <v>23</v>
      </c>
      <c r="Z30" s="89" t="s">
        <v>23</v>
      </c>
      <c r="AA30" s="89" t="s">
        <v>23</v>
      </c>
      <c r="AB30" s="89" t="s">
        <v>23</v>
      </c>
      <c r="AC30" s="89" t="s">
        <v>23</v>
      </c>
      <c r="AD30" s="89" t="s">
        <v>23</v>
      </c>
      <c r="AE30" s="93" t="s">
        <v>23</v>
      </c>
      <c r="AF30" s="93" t="s">
        <v>23</v>
      </c>
      <c r="AG30" s="94">
        <v>1</v>
      </c>
      <c r="AH30" s="94">
        <v>1</v>
      </c>
      <c r="AI30" s="94"/>
      <c r="AJ30" s="94"/>
      <c r="AK30" s="95" t="s">
        <v>31</v>
      </c>
      <c r="AM30" s="19"/>
      <c r="AN30" s="19"/>
      <c r="AO30" s="19"/>
      <c r="AP30" s="50"/>
      <c r="AS30" t="s">
        <v>84</v>
      </c>
      <c r="AT30">
        <f>SUM(D4:D94)+150*AT18+160*AT28</f>
        <v>153164</v>
      </c>
    </row>
    <row r="31" spans="1:53">
      <c r="A31" s="76">
        <v>44574</v>
      </c>
      <c r="B31" s="90">
        <v>1600</v>
      </c>
      <c r="C31" s="90"/>
      <c r="D31" s="90" cm="1">
        <f t="array" ref="D31">(SUM(VLOOKUP(I31:AF31,$AM$4:$AO$44,2,FALSE))+AG31*10)*IF(AK31="是",$AY$4,$AY$3)</f>
        <v>1608</v>
      </c>
      <c r="E31" s="90">
        <f>SUM($B$4:B31)+SUM($C$4:C31)-SUM($D$4:D31)</f>
        <v>6456</v>
      </c>
      <c r="F31" s="90" cm="1">
        <f t="array" ref="F31">SUM(VLOOKUP(I31:AF31,$AM$4:$AO$44,3,FALSE))</f>
        <v>570</v>
      </c>
      <c r="G31" s="90">
        <f>SUM($F$4:F31)+SUM($H$4:H31)</f>
        <v>16635</v>
      </c>
      <c r="H31" s="90">
        <v>0</v>
      </c>
      <c r="I31" s="123" t="s">
        <v>18</v>
      </c>
      <c r="J31" s="143" t="s">
        <v>19</v>
      </c>
      <c r="K31" s="143" t="s">
        <v>19</v>
      </c>
      <c r="L31" s="143" t="s">
        <v>19</v>
      </c>
      <c r="M31" s="136" t="s">
        <v>12</v>
      </c>
      <c r="N31" s="143" t="s">
        <v>19</v>
      </c>
      <c r="O31" s="93" t="s">
        <v>23</v>
      </c>
      <c r="P31" s="93" t="s">
        <v>23</v>
      </c>
      <c r="Q31" s="143" t="s">
        <v>19</v>
      </c>
      <c r="R31" s="143" t="s">
        <v>19</v>
      </c>
      <c r="S31" s="143" t="s">
        <v>19</v>
      </c>
      <c r="T31" s="143" t="s">
        <v>19</v>
      </c>
      <c r="U31" s="143" t="s">
        <v>19</v>
      </c>
      <c r="V31" s="123" t="s">
        <v>18</v>
      </c>
      <c r="W31" s="93" t="s">
        <v>23</v>
      </c>
      <c r="X31" s="93" t="s">
        <v>23</v>
      </c>
      <c r="Y31" s="89" t="s">
        <v>23</v>
      </c>
      <c r="Z31" s="89" t="s">
        <v>23</v>
      </c>
      <c r="AA31" s="89" t="s">
        <v>23</v>
      </c>
      <c r="AB31" s="89" t="s">
        <v>23</v>
      </c>
      <c r="AC31" s="89" t="s">
        <v>23</v>
      </c>
      <c r="AD31" s="89" t="s">
        <v>23</v>
      </c>
      <c r="AE31" s="93" t="s">
        <v>23</v>
      </c>
      <c r="AF31" s="93" t="s">
        <v>23</v>
      </c>
      <c r="AG31" s="94">
        <v>0</v>
      </c>
      <c r="AH31" s="94"/>
      <c r="AI31" s="94"/>
      <c r="AJ31" s="94"/>
      <c r="AK31" s="95" t="s">
        <v>31</v>
      </c>
      <c r="AM31" s="19"/>
      <c r="AN31" s="19"/>
      <c r="AO31" s="19"/>
      <c r="AP31" s="50"/>
    </row>
    <row r="32" spans="1:53">
      <c r="A32" s="76">
        <v>44575</v>
      </c>
      <c r="B32" s="90">
        <v>1600</v>
      </c>
      <c r="C32" s="90"/>
      <c r="D32" s="90" cm="1">
        <f t="array" ref="D32">(SUM(VLOOKUP(I32:AF32,$AM$4:$AO$44,2,FALSE))+AG32*10)*IF(AK32="是",$AY$4,$AY$3)</f>
        <v>1744</v>
      </c>
      <c r="E32" s="90">
        <f>SUM($B$4:B32)+SUM($C$4:C32)-SUM($D$4:D32)</f>
        <v>6312</v>
      </c>
      <c r="F32" s="90" cm="1">
        <f t="array" ref="F32">SUM(VLOOKUP(I32:AF32,$AM$4:$AO$44,3,FALSE))</f>
        <v>610</v>
      </c>
      <c r="G32" s="90">
        <f>SUM($F$4:F32)+SUM($H$4:H32)</f>
        <v>17245</v>
      </c>
      <c r="H32" s="90">
        <v>0</v>
      </c>
      <c r="I32" s="153" t="s">
        <v>20</v>
      </c>
      <c r="J32" s="153" t="s">
        <v>20</v>
      </c>
      <c r="K32" s="153" t="s">
        <v>20</v>
      </c>
      <c r="L32" s="153" t="s">
        <v>20</v>
      </c>
      <c r="M32" s="153" t="s">
        <v>20</v>
      </c>
      <c r="N32" s="153" t="s">
        <v>20</v>
      </c>
      <c r="O32" s="93" t="s">
        <v>23</v>
      </c>
      <c r="P32" s="93" t="s">
        <v>23</v>
      </c>
      <c r="Q32" s="123" t="s">
        <v>18</v>
      </c>
      <c r="R32" s="123" t="s">
        <v>18</v>
      </c>
      <c r="S32" s="123" t="s">
        <v>18</v>
      </c>
      <c r="T32" s="143" t="s">
        <v>19</v>
      </c>
      <c r="U32" s="143" t="s">
        <v>19</v>
      </c>
      <c r="V32" s="123" t="s">
        <v>18</v>
      </c>
      <c r="W32" s="93" t="s">
        <v>23</v>
      </c>
      <c r="X32" s="93" t="s">
        <v>23</v>
      </c>
      <c r="Y32" s="89" t="s">
        <v>23</v>
      </c>
      <c r="Z32" s="89" t="s">
        <v>23</v>
      </c>
      <c r="AA32" s="89" t="s">
        <v>23</v>
      </c>
      <c r="AB32" s="89" t="s">
        <v>23</v>
      </c>
      <c r="AC32" s="89" t="s">
        <v>23</v>
      </c>
      <c r="AD32" s="89" t="s">
        <v>23</v>
      </c>
      <c r="AE32" s="93" t="s">
        <v>23</v>
      </c>
      <c r="AF32" s="93" t="s">
        <v>23</v>
      </c>
      <c r="AG32" s="94">
        <v>0</v>
      </c>
      <c r="AH32" s="94"/>
      <c r="AI32" s="94"/>
      <c r="AJ32" s="94"/>
      <c r="AK32" s="95" t="s">
        <v>31</v>
      </c>
      <c r="AM32" s="19"/>
      <c r="AN32" s="19"/>
      <c r="AO32" s="19"/>
      <c r="AP32" s="50"/>
    </row>
    <row r="33" spans="1:44">
      <c r="A33" s="76">
        <v>44576</v>
      </c>
      <c r="B33" s="90">
        <v>1600</v>
      </c>
      <c r="C33" s="90"/>
      <c r="D33" s="90" cm="1">
        <f t="array" ref="D33">(SUM(VLOOKUP(I33:AF33,$AM$4:$AO$44,2,FALSE))+AG33*10)*IF(AK33="是",$AY$4,$AY$3)</f>
        <v>1760</v>
      </c>
      <c r="E33" s="90">
        <f>SUM($B$4:B33)+SUM($C$4:C33)-SUM($D$4:D33)</f>
        <v>6152</v>
      </c>
      <c r="F33" s="90" cm="1">
        <f t="array" ref="F33">SUM(VLOOKUP(I33:AF33,$AM$4:$AO$44,3,FALSE))</f>
        <v>615</v>
      </c>
      <c r="G33" s="90">
        <f>SUM($F$4:F33)+SUM($H$4:H33)</f>
        <v>17860</v>
      </c>
      <c r="H33" s="90">
        <v>0</v>
      </c>
      <c r="I33" s="153" t="s">
        <v>20</v>
      </c>
      <c r="J33" s="153" t="s">
        <v>20</v>
      </c>
      <c r="K33" s="153" t="s">
        <v>20</v>
      </c>
      <c r="L33" s="153" t="s">
        <v>20</v>
      </c>
      <c r="M33" s="153" t="s">
        <v>20</v>
      </c>
      <c r="N33" s="153" t="s">
        <v>20</v>
      </c>
      <c r="O33" s="93" t="s">
        <v>23</v>
      </c>
      <c r="P33" s="93" t="s">
        <v>23</v>
      </c>
      <c r="Q33" s="123" t="s">
        <v>18</v>
      </c>
      <c r="R33" s="123" t="s">
        <v>18</v>
      </c>
      <c r="S33" s="123" t="s">
        <v>18</v>
      </c>
      <c r="T33" s="143" t="s">
        <v>19</v>
      </c>
      <c r="U33" s="143" t="s">
        <v>19</v>
      </c>
      <c r="V33" s="143" t="s">
        <v>19</v>
      </c>
      <c r="W33" s="93" t="s">
        <v>23</v>
      </c>
      <c r="X33" s="93" t="s">
        <v>23</v>
      </c>
      <c r="Y33" s="89" t="s">
        <v>23</v>
      </c>
      <c r="Z33" s="89" t="s">
        <v>23</v>
      </c>
      <c r="AA33" s="89" t="s">
        <v>23</v>
      </c>
      <c r="AB33" s="89" t="s">
        <v>23</v>
      </c>
      <c r="AC33" s="89" t="s">
        <v>23</v>
      </c>
      <c r="AD33" s="89" t="s">
        <v>23</v>
      </c>
      <c r="AE33" s="93" t="s">
        <v>23</v>
      </c>
      <c r="AF33" s="93" t="s">
        <v>23</v>
      </c>
      <c r="AG33" s="94">
        <v>1</v>
      </c>
      <c r="AH33" s="94"/>
      <c r="AI33" s="94">
        <v>1</v>
      </c>
      <c r="AJ33" s="94"/>
      <c r="AK33" s="95" t="s">
        <v>31</v>
      </c>
      <c r="AM33" s="19"/>
      <c r="AN33" s="19"/>
      <c r="AO33" s="19"/>
      <c r="AP33" s="50"/>
    </row>
    <row r="34" spans="1:44">
      <c r="A34" s="76">
        <v>44577</v>
      </c>
      <c r="B34" s="90">
        <v>1600</v>
      </c>
      <c r="C34" s="90"/>
      <c r="D34" s="90" cm="1">
        <f t="array" ref="D34">(SUM(VLOOKUP(I34:AF34,$AM$4:$AO$44,2,FALSE))+AG34*10)*IF(AK34="是",$AY$4,$AY$3)</f>
        <v>1800</v>
      </c>
      <c r="E34" s="90">
        <f>SUM($B$4:B34)+SUM($C$4:C34)-SUM($D$4:D34)</f>
        <v>5952</v>
      </c>
      <c r="F34" s="90" cm="1">
        <f t="array" ref="F34">SUM(VLOOKUP(I34:AF34,$AM$4:$AO$44,3,FALSE))</f>
        <v>645</v>
      </c>
      <c r="G34" s="90">
        <f>SUM($F$4:F34)+SUM($H$4:H34)</f>
        <v>18505</v>
      </c>
      <c r="H34" s="90">
        <v>0</v>
      </c>
      <c r="I34" s="153" t="s">
        <v>20</v>
      </c>
      <c r="J34" s="153" t="s">
        <v>20</v>
      </c>
      <c r="K34" s="153" t="s">
        <v>20</v>
      </c>
      <c r="L34" s="154" t="s">
        <v>21</v>
      </c>
      <c r="M34" s="154" t="s">
        <v>21</v>
      </c>
      <c r="N34" s="154" t="s">
        <v>21</v>
      </c>
      <c r="O34" s="93" t="s">
        <v>23</v>
      </c>
      <c r="P34" s="93" t="s">
        <v>23</v>
      </c>
      <c r="Q34" s="143" t="s">
        <v>19</v>
      </c>
      <c r="R34" s="143" t="s">
        <v>19</v>
      </c>
      <c r="S34" s="143" t="s">
        <v>19</v>
      </c>
      <c r="T34" s="143" t="s">
        <v>19</v>
      </c>
      <c r="U34" s="143" t="s">
        <v>19</v>
      </c>
      <c r="V34" s="143" t="s">
        <v>19</v>
      </c>
      <c r="W34" s="93" t="s">
        <v>23</v>
      </c>
      <c r="X34" s="93" t="s">
        <v>23</v>
      </c>
      <c r="Y34" s="89" t="s">
        <v>23</v>
      </c>
      <c r="Z34" s="89" t="s">
        <v>23</v>
      </c>
      <c r="AA34" s="89" t="s">
        <v>23</v>
      </c>
      <c r="AB34" s="89" t="s">
        <v>23</v>
      </c>
      <c r="AC34" s="89" t="s">
        <v>23</v>
      </c>
      <c r="AD34" s="89" t="s">
        <v>23</v>
      </c>
      <c r="AE34" s="93" t="s">
        <v>23</v>
      </c>
      <c r="AF34" s="93" t="s">
        <v>23</v>
      </c>
      <c r="AG34" s="94">
        <v>0</v>
      </c>
      <c r="AH34" s="94"/>
      <c r="AI34" s="94"/>
      <c r="AJ34" s="94"/>
      <c r="AK34" s="95" t="s">
        <v>31</v>
      </c>
      <c r="AM34" s="19"/>
      <c r="AN34" s="19"/>
      <c r="AO34" s="19"/>
      <c r="AP34" s="50"/>
    </row>
    <row r="35" spans="1:44">
      <c r="A35" s="76">
        <v>44578</v>
      </c>
      <c r="B35" s="89">
        <v>1600</v>
      </c>
      <c r="C35" s="89"/>
      <c r="D35" s="90" cm="1">
        <f t="array" ref="D35">(SUM(VLOOKUP(I35:AF35,$AM$4:$AO$44,2,FALSE))+AG35*10)*IF(AK35="是",$AY$4,$AY$3)</f>
        <v>1800</v>
      </c>
      <c r="E35" s="90">
        <f>SUM($B$4:B35)+SUM($C$4:C35)-SUM($D$4:D35)</f>
        <v>5752</v>
      </c>
      <c r="F35" s="90" cm="1">
        <f t="array" ref="F35">SUM(VLOOKUP(I35:AF35,$AM$4:$AO$44,3,FALSE))</f>
        <v>720</v>
      </c>
      <c r="G35" s="90">
        <f>SUM($F$4:F35)+SUM($H$4:H35)</f>
        <v>19425</v>
      </c>
      <c r="H35" s="89">
        <v>200</v>
      </c>
      <c r="I35" s="154" t="s">
        <v>21</v>
      </c>
      <c r="J35" s="124" t="s">
        <v>47</v>
      </c>
      <c r="K35" s="154" t="s">
        <v>21</v>
      </c>
      <c r="L35" s="154" t="s">
        <v>21</v>
      </c>
      <c r="M35" s="154" t="s">
        <v>21</v>
      </c>
      <c r="N35" s="154" t="s">
        <v>21</v>
      </c>
      <c r="O35" s="154" t="s">
        <v>21</v>
      </c>
      <c r="P35" s="154" t="s">
        <v>21</v>
      </c>
      <c r="Q35" s="143" t="s">
        <v>19</v>
      </c>
      <c r="R35" s="143" t="s">
        <v>19</v>
      </c>
      <c r="S35" s="143" t="s">
        <v>8</v>
      </c>
      <c r="T35" s="143" t="s">
        <v>19</v>
      </c>
      <c r="U35" s="143" t="s">
        <v>19</v>
      </c>
      <c r="V35" s="143" t="s">
        <v>19</v>
      </c>
      <c r="W35" s="93" t="s">
        <v>23</v>
      </c>
      <c r="X35" s="93" t="s">
        <v>23</v>
      </c>
      <c r="Y35" s="89" t="s">
        <v>23</v>
      </c>
      <c r="Z35" s="89" t="s">
        <v>23</v>
      </c>
      <c r="AA35" s="89" t="s">
        <v>23</v>
      </c>
      <c r="AB35" s="89" t="s">
        <v>23</v>
      </c>
      <c r="AC35" s="89" t="s">
        <v>23</v>
      </c>
      <c r="AD35" s="89" t="s">
        <v>23</v>
      </c>
      <c r="AE35" s="93" t="s">
        <v>23</v>
      </c>
      <c r="AF35" s="93" t="s">
        <v>23</v>
      </c>
      <c r="AG35" s="94">
        <v>0</v>
      </c>
      <c r="AH35" s="94"/>
      <c r="AI35" s="94"/>
      <c r="AJ35" s="94"/>
      <c r="AK35" s="95" t="s">
        <v>31</v>
      </c>
      <c r="AM35" s="19"/>
      <c r="AN35" s="19"/>
      <c r="AO35" s="19"/>
      <c r="AP35" s="50"/>
    </row>
    <row r="36" spans="1:44">
      <c r="A36" s="76">
        <v>44579</v>
      </c>
      <c r="B36" s="89">
        <v>1600</v>
      </c>
      <c r="C36" s="89"/>
      <c r="D36" s="90" cm="1">
        <f t="array" ref="D36">(SUM(VLOOKUP(I36:AF36,$AM$4:$AO$44,2,FALSE))+AG36*10)*IF(AK36="是",$AY$4,$AY$3)</f>
        <v>1864</v>
      </c>
      <c r="E36" s="90">
        <f>SUM($B$4:B36)+SUM($C$4:C36)-SUM($D$4:D36)</f>
        <v>5488</v>
      </c>
      <c r="F36" s="90" cm="1">
        <f t="array" ref="F36">SUM(VLOOKUP(I36:AF36,$AM$4:$AO$44,3,FALSE))</f>
        <v>685</v>
      </c>
      <c r="G36" s="90">
        <f>SUM($F$4:F36)+SUM($H$4:H36)</f>
        <v>20210</v>
      </c>
      <c r="H36" s="89">
        <v>100</v>
      </c>
      <c r="I36" s="154" t="s">
        <v>21</v>
      </c>
      <c r="J36" s="154" t="s">
        <v>21</v>
      </c>
      <c r="K36" s="154" t="s">
        <v>21</v>
      </c>
      <c r="L36" s="154" t="s">
        <v>21</v>
      </c>
      <c r="M36" s="154" t="s">
        <v>21</v>
      </c>
      <c r="N36" s="154" t="s">
        <v>21</v>
      </c>
      <c r="O36" s="93" t="s">
        <v>23</v>
      </c>
      <c r="P36" s="93" t="s">
        <v>23</v>
      </c>
      <c r="Q36" s="143" t="s">
        <v>19</v>
      </c>
      <c r="R36" s="153" t="s">
        <v>20</v>
      </c>
      <c r="S36" s="153" t="s">
        <v>20</v>
      </c>
      <c r="T36" s="153" t="s">
        <v>20</v>
      </c>
      <c r="U36" s="153" t="s">
        <v>20</v>
      </c>
      <c r="V36" s="153" t="s">
        <v>20</v>
      </c>
      <c r="W36" s="93" t="s">
        <v>23</v>
      </c>
      <c r="X36" s="93" t="s">
        <v>23</v>
      </c>
      <c r="Y36" s="89" t="s">
        <v>23</v>
      </c>
      <c r="Z36" s="89" t="s">
        <v>23</v>
      </c>
      <c r="AA36" s="89" t="s">
        <v>23</v>
      </c>
      <c r="AB36" s="89" t="s">
        <v>23</v>
      </c>
      <c r="AC36" s="89" t="s">
        <v>23</v>
      </c>
      <c r="AD36" s="89" t="s">
        <v>23</v>
      </c>
      <c r="AE36" s="93" t="s">
        <v>23</v>
      </c>
      <c r="AF36" s="93" t="s">
        <v>23</v>
      </c>
      <c r="AG36" s="94">
        <v>0</v>
      </c>
      <c r="AH36" s="94"/>
      <c r="AI36" s="94"/>
      <c r="AJ36" s="94"/>
      <c r="AK36" s="95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76">
        <v>44580</v>
      </c>
      <c r="B37" s="89">
        <v>1600</v>
      </c>
      <c r="C37" s="89"/>
      <c r="D37" s="90" cm="1">
        <f t="array" ref="D37">(SUM(VLOOKUP(I37:AF37,$AM$4:$AO$44,2,FALSE))+AG37*10)*IF(AK37="是",$AY$4,$AY$3)</f>
        <v>1872</v>
      </c>
      <c r="E37" s="90">
        <f>SUM($B$4:B37)+SUM($C$4:C37)-SUM($D$4:D37)</f>
        <v>5216</v>
      </c>
      <c r="F37" s="90" cm="1">
        <f t="array" ref="F37">SUM(VLOOKUP(I37:AF37,$AM$4:$AO$44,3,FALSE))</f>
        <v>690</v>
      </c>
      <c r="G37" s="90">
        <f>SUM($F$4:F37)+SUM($H$4:H37)</f>
        <v>21100</v>
      </c>
      <c r="H37" s="89">
        <v>200</v>
      </c>
      <c r="I37" s="154" t="s">
        <v>21</v>
      </c>
      <c r="J37" s="154" t="s">
        <v>21</v>
      </c>
      <c r="K37" s="154" t="s">
        <v>21</v>
      </c>
      <c r="L37" s="154" t="s">
        <v>21</v>
      </c>
      <c r="M37" s="154" t="s">
        <v>21</v>
      </c>
      <c r="N37" s="154" t="s">
        <v>21</v>
      </c>
      <c r="O37" s="93" t="s">
        <v>23</v>
      </c>
      <c r="P37" s="93" t="s">
        <v>23</v>
      </c>
      <c r="Q37" s="153" t="s">
        <v>20</v>
      </c>
      <c r="R37" s="153" t="s">
        <v>20</v>
      </c>
      <c r="S37" s="153" t="s">
        <v>20</v>
      </c>
      <c r="T37" s="153" t="s">
        <v>20</v>
      </c>
      <c r="U37" s="153" t="s">
        <v>20</v>
      </c>
      <c r="V37" s="153" t="s">
        <v>20</v>
      </c>
      <c r="W37" s="93" t="s">
        <v>23</v>
      </c>
      <c r="X37" s="93" t="s">
        <v>23</v>
      </c>
      <c r="Y37" s="89" t="s">
        <v>23</v>
      </c>
      <c r="Z37" s="89" t="s">
        <v>23</v>
      </c>
      <c r="AA37" s="89" t="s">
        <v>23</v>
      </c>
      <c r="AB37" s="89" t="s">
        <v>23</v>
      </c>
      <c r="AC37" s="89" t="s">
        <v>23</v>
      </c>
      <c r="AD37" s="89" t="s">
        <v>23</v>
      </c>
      <c r="AE37" s="93" t="s">
        <v>23</v>
      </c>
      <c r="AF37" s="93" t="s">
        <v>23</v>
      </c>
      <c r="AG37" s="94">
        <v>0</v>
      </c>
      <c r="AH37" s="94"/>
      <c r="AI37" s="94"/>
      <c r="AJ37" s="94"/>
      <c r="AK37" s="95" t="s">
        <v>31</v>
      </c>
      <c r="AL37" s="108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76">
        <v>44581</v>
      </c>
      <c r="B38" s="89">
        <v>1600</v>
      </c>
      <c r="C38" s="89"/>
      <c r="D38" s="90" cm="1">
        <f t="array" ref="D38">(SUM(VLOOKUP(I38:AF38,$AM$4:$AO$44,2,FALSE))+AG38*10)*IF(AK38="是",$AY$4,$AY$3)</f>
        <v>1864</v>
      </c>
      <c r="E38" s="90">
        <f>SUM($B$4:B38)+SUM($C$4:C38)-SUM($D$4:D38)</f>
        <v>4952</v>
      </c>
      <c r="F38" s="90" cm="1">
        <f t="array" ref="F38">SUM(VLOOKUP(I38:AF38,$AM$4:$AO$44,3,FALSE))</f>
        <v>745</v>
      </c>
      <c r="G38" s="90">
        <f>SUM($F$4:F38)+SUM($H$4:H38)</f>
        <v>21845</v>
      </c>
      <c r="H38" s="89">
        <v>0</v>
      </c>
      <c r="I38" s="154" t="s">
        <v>21</v>
      </c>
      <c r="J38" s="154" t="s">
        <v>21</v>
      </c>
      <c r="K38" s="154" t="s">
        <v>21</v>
      </c>
      <c r="L38" s="154" t="s">
        <v>21</v>
      </c>
      <c r="M38" s="154" t="s">
        <v>21</v>
      </c>
      <c r="N38" s="154" t="s">
        <v>21</v>
      </c>
      <c r="O38" s="93" t="s">
        <v>23</v>
      </c>
      <c r="P38" s="93" t="s">
        <v>23</v>
      </c>
      <c r="Q38" s="153" t="s">
        <v>20</v>
      </c>
      <c r="R38" s="153" t="s">
        <v>20</v>
      </c>
      <c r="S38" s="153" t="s">
        <v>20</v>
      </c>
      <c r="T38" s="153" t="s">
        <v>20</v>
      </c>
      <c r="U38" s="124" t="s">
        <v>47</v>
      </c>
      <c r="V38" s="153" t="s">
        <v>20</v>
      </c>
      <c r="W38" s="153" t="s">
        <v>20</v>
      </c>
      <c r="X38" s="153" t="s">
        <v>20</v>
      </c>
      <c r="Y38" s="89" t="s">
        <v>23</v>
      </c>
      <c r="Z38" s="89" t="s">
        <v>23</v>
      </c>
      <c r="AA38" s="89" t="s">
        <v>23</v>
      </c>
      <c r="AB38" s="89" t="s">
        <v>23</v>
      </c>
      <c r="AC38" s="89" t="s">
        <v>23</v>
      </c>
      <c r="AD38" s="89" t="s">
        <v>23</v>
      </c>
      <c r="AE38" s="93" t="s">
        <v>23</v>
      </c>
      <c r="AF38" s="93" t="s">
        <v>23</v>
      </c>
      <c r="AG38" s="94">
        <v>0</v>
      </c>
      <c r="AH38" s="94"/>
      <c r="AI38" s="94"/>
      <c r="AJ38" s="94"/>
      <c r="AK38" s="95" t="s">
        <v>31</v>
      </c>
      <c r="AL38" s="108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76">
        <v>44582</v>
      </c>
      <c r="B39" s="89">
        <v>1600</v>
      </c>
      <c r="C39" s="89"/>
      <c r="D39" s="90" cm="1">
        <f t="array" ref="D39">(SUM(VLOOKUP(I39:AF39,$AM$4:$AO$44,2,FALSE))+AG39*10)*IF(AK39="是",$AY$4,$AY$3)</f>
        <v>1920</v>
      </c>
      <c r="E39" s="90">
        <f>SUM($B$4:B39)+SUM($C$4:C39)-SUM($D$4:D39)</f>
        <v>4632</v>
      </c>
      <c r="F39" s="90" cm="1">
        <f t="array" ref="F39">SUM(VLOOKUP(I39:AF39,$AM$4:$AO$44,3,FALSE))</f>
        <v>720</v>
      </c>
      <c r="G39" s="90">
        <f>SUM($F$4:F39)+SUM($H$4:H39)</f>
        <v>22565</v>
      </c>
      <c r="H39" s="89">
        <v>0</v>
      </c>
      <c r="I39" s="154" t="s">
        <v>21</v>
      </c>
      <c r="J39" s="154" t="s">
        <v>21</v>
      </c>
      <c r="K39" s="154" t="s">
        <v>21</v>
      </c>
      <c r="L39" s="154" t="s">
        <v>21</v>
      </c>
      <c r="M39" s="154" t="s">
        <v>21</v>
      </c>
      <c r="N39" s="154" t="s">
        <v>21</v>
      </c>
      <c r="O39" s="93" t="s">
        <v>23</v>
      </c>
      <c r="P39" s="93" t="s">
        <v>23</v>
      </c>
      <c r="Q39" s="154" t="s">
        <v>21</v>
      </c>
      <c r="R39" s="154" t="s">
        <v>21</v>
      </c>
      <c r="S39" s="154" t="s">
        <v>21</v>
      </c>
      <c r="T39" s="154" t="s">
        <v>21</v>
      </c>
      <c r="U39" s="154" t="s">
        <v>21</v>
      </c>
      <c r="V39" s="154" t="s">
        <v>21</v>
      </c>
      <c r="W39" s="93" t="s">
        <v>23</v>
      </c>
      <c r="X39" s="93" t="s">
        <v>23</v>
      </c>
      <c r="Y39" s="89" t="s">
        <v>23</v>
      </c>
      <c r="Z39" s="89" t="s">
        <v>23</v>
      </c>
      <c r="AA39" s="89" t="s">
        <v>23</v>
      </c>
      <c r="AB39" s="89" t="s">
        <v>23</v>
      </c>
      <c r="AC39" s="89" t="s">
        <v>23</v>
      </c>
      <c r="AD39" s="89" t="s">
        <v>23</v>
      </c>
      <c r="AE39" s="93" t="s">
        <v>23</v>
      </c>
      <c r="AF39" s="93" t="s">
        <v>23</v>
      </c>
      <c r="AG39" s="94">
        <v>0</v>
      </c>
      <c r="AH39" s="94"/>
      <c r="AI39" s="94"/>
      <c r="AJ39" s="94"/>
      <c r="AK39" s="95" t="s">
        <v>31</v>
      </c>
      <c r="AL39" s="108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76">
        <v>44583</v>
      </c>
      <c r="B40" s="89">
        <v>1600</v>
      </c>
      <c r="C40" s="89"/>
      <c r="D40" s="90" cm="1">
        <f t="array" ref="D40">(SUM(VLOOKUP(I40:AF40,$AM$4:$AO$44,2,FALSE))+AG40*10)*IF(AK40="是",$AY$4,$AY$3)</f>
        <v>1896</v>
      </c>
      <c r="E40" s="90">
        <f>SUM($B$4:B40)+SUM($C$4:C40)-SUM($D$4:D40)</f>
        <v>4336</v>
      </c>
      <c r="F40" s="90" cm="1">
        <f t="array" ref="F40">SUM(VLOOKUP(I40:AF40,$AM$4:$AO$44,3,FALSE))</f>
        <v>705</v>
      </c>
      <c r="G40" s="90">
        <f>SUM($F$4:F40)+SUM($H$4:H40)</f>
        <v>23270</v>
      </c>
      <c r="H40" s="89">
        <v>0</v>
      </c>
      <c r="I40" s="154" t="s">
        <v>21</v>
      </c>
      <c r="J40" s="154" t="s">
        <v>21</v>
      </c>
      <c r="K40" s="154" t="s">
        <v>21</v>
      </c>
      <c r="L40" s="153" t="s">
        <v>20</v>
      </c>
      <c r="M40" s="153" t="s">
        <v>20</v>
      </c>
      <c r="N40" s="153" t="s">
        <v>20</v>
      </c>
      <c r="O40" s="93" t="s">
        <v>23</v>
      </c>
      <c r="P40" s="93" t="s">
        <v>23</v>
      </c>
      <c r="Q40" s="154" t="s">
        <v>21</v>
      </c>
      <c r="R40" s="154" t="s">
        <v>21</v>
      </c>
      <c r="S40" s="154" t="s">
        <v>21</v>
      </c>
      <c r="T40" s="154" t="s">
        <v>21</v>
      </c>
      <c r="U40" s="154" t="s">
        <v>21</v>
      </c>
      <c r="V40" s="154" t="s">
        <v>21</v>
      </c>
      <c r="W40" s="93" t="s">
        <v>23</v>
      </c>
      <c r="X40" s="93" t="s">
        <v>23</v>
      </c>
      <c r="Y40" s="89" t="s">
        <v>23</v>
      </c>
      <c r="Z40" s="89" t="s">
        <v>23</v>
      </c>
      <c r="AA40" s="89" t="s">
        <v>23</v>
      </c>
      <c r="AB40" s="89" t="s">
        <v>23</v>
      </c>
      <c r="AC40" s="89" t="s">
        <v>23</v>
      </c>
      <c r="AD40" s="89" t="s">
        <v>23</v>
      </c>
      <c r="AE40" s="93" t="s">
        <v>23</v>
      </c>
      <c r="AF40" s="93" t="s">
        <v>23</v>
      </c>
      <c r="AG40" s="94">
        <v>0</v>
      </c>
      <c r="AH40" s="94"/>
      <c r="AI40" s="94"/>
      <c r="AJ40" s="94"/>
      <c r="AK40" s="95" t="s">
        <v>31</v>
      </c>
      <c r="AL40" s="108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76">
        <v>44584</v>
      </c>
      <c r="B41" s="89">
        <v>1600</v>
      </c>
      <c r="C41" s="89"/>
      <c r="D41" s="90" cm="1">
        <f t="array" ref="D41">(SUM(VLOOKUP(I41:AF41,$AM$4:$AO$44,2,FALSE))+AG41*10)*IF(AK41="是",$AY$4,$AY$3)</f>
        <v>1872</v>
      </c>
      <c r="E41" s="90">
        <f>SUM($B$4:B41)+SUM($C$4:C41)-SUM($D$4:D41)</f>
        <v>4064</v>
      </c>
      <c r="F41" s="90" cm="1">
        <f t="array" ref="F41">SUM(VLOOKUP(I41:AF41,$AM$4:$AO$44,3,FALSE))</f>
        <v>690</v>
      </c>
      <c r="G41" s="90">
        <f>SUM($F$4:F41)+SUM($H$4:H41)</f>
        <v>23960</v>
      </c>
      <c r="H41" s="89">
        <v>0</v>
      </c>
      <c r="I41" s="153" t="s">
        <v>20</v>
      </c>
      <c r="J41" s="153" t="s">
        <v>20</v>
      </c>
      <c r="K41" s="153" t="s">
        <v>20</v>
      </c>
      <c r="L41" s="153" t="s">
        <v>20</v>
      </c>
      <c r="M41" s="153" t="s">
        <v>20</v>
      </c>
      <c r="N41" s="153" t="s">
        <v>20</v>
      </c>
      <c r="O41" s="93" t="s">
        <v>23</v>
      </c>
      <c r="P41" s="93" t="s">
        <v>23</v>
      </c>
      <c r="Q41" s="154" t="s">
        <v>21</v>
      </c>
      <c r="R41" s="154" t="s">
        <v>21</v>
      </c>
      <c r="S41" s="154" t="s">
        <v>21</v>
      </c>
      <c r="T41" s="154" t="s">
        <v>21</v>
      </c>
      <c r="U41" s="154" t="s">
        <v>21</v>
      </c>
      <c r="V41" s="154" t="s">
        <v>21</v>
      </c>
      <c r="W41" s="93" t="s">
        <v>23</v>
      </c>
      <c r="X41" s="93" t="s">
        <v>23</v>
      </c>
      <c r="Y41" s="89" t="s">
        <v>23</v>
      </c>
      <c r="Z41" s="89" t="s">
        <v>23</v>
      </c>
      <c r="AA41" s="89" t="s">
        <v>23</v>
      </c>
      <c r="AB41" s="89" t="s">
        <v>23</v>
      </c>
      <c r="AC41" s="89" t="s">
        <v>23</v>
      </c>
      <c r="AD41" s="89" t="s">
        <v>23</v>
      </c>
      <c r="AE41" s="93" t="s">
        <v>23</v>
      </c>
      <c r="AF41" s="93" t="s">
        <v>23</v>
      </c>
      <c r="AG41" s="94">
        <v>0</v>
      </c>
      <c r="AH41" s="94"/>
      <c r="AI41" s="94"/>
      <c r="AJ41" s="94"/>
      <c r="AK41" s="95" t="s">
        <v>31</v>
      </c>
      <c r="AL41" s="108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76">
        <v>44585</v>
      </c>
      <c r="B42" s="90">
        <v>1600</v>
      </c>
      <c r="C42" s="90"/>
      <c r="D42" s="90" cm="1">
        <f t="array" ref="D42">(SUM(VLOOKUP(I42:AF42,$AM$4:$AO$44,2,FALSE))+AG42*10)*IF(AK42="是",$AY$4,$AY$3)</f>
        <v>1872</v>
      </c>
      <c r="E42" s="90">
        <f>SUM($B$4:B42)+SUM($C$4:C42)-SUM($D$4:D42)</f>
        <v>3792</v>
      </c>
      <c r="F42" s="90" cm="1">
        <f t="array" ref="F42">SUM(VLOOKUP(I42:AF42,$AM$4:$AO$44,3,FALSE))</f>
        <v>750</v>
      </c>
      <c r="G42" s="90">
        <f>SUM($F$4:F42)+SUM($H$4:H42)</f>
        <v>25010</v>
      </c>
      <c r="H42" s="90">
        <v>300</v>
      </c>
      <c r="I42" s="153" t="s">
        <v>20</v>
      </c>
      <c r="J42" s="153" t="s">
        <v>20</v>
      </c>
      <c r="K42" s="153" t="s">
        <v>20</v>
      </c>
      <c r="L42" s="153" t="s">
        <v>20</v>
      </c>
      <c r="M42" s="153" t="s">
        <v>20</v>
      </c>
      <c r="N42" s="153" t="s">
        <v>20</v>
      </c>
      <c r="O42" s="93" t="s">
        <v>23</v>
      </c>
      <c r="P42" s="93" t="s">
        <v>23</v>
      </c>
      <c r="Q42" s="154" t="s">
        <v>21</v>
      </c>
      <c r="R42" s="154" t="s">
        <v>21</v>
      </c>
      <c r="S42" s="154" t="s">
        <v>21</v>
      </c>
      <c r="T42" s="124" t="s">
        <v>47</v>
      </c>
      <c r="U42" s="154" t="s">
        <v>21</v>
      </c>
      <c r="V42" s="154" t="s">
        <v>21</v>
      </c>
      <c r="W42" s="154" t="s">
        <v>21</v>
      </c>
      <c r="X42" s="154" t="s">
        <v>21</v>
      </c>
      <c r="Y42" s="89" t="s">
        <v>23</v>
      </c>
      <c r="Z42" s="89" t="s">
        <v>23</v>
      </c>
      <c r="AA42" s="89" t="s">
        <v>23</v>
      </c>
      <c r="AB42" s="89" t="s">
        <v>23</v>
      </c>
      <c r="AC42" s="89" t="s">
        <v>23</v>
      </c>
      <c r="AD42" s="89" t="s">
        <v>23</v>
      </c>
      <c r="AE42" s="93" t="s">
        <v>23</v>
      </c>
      <c r="AF42" s="93" t="s">
        <v>23</v>
      </c>
      <c r="AG42" s="94">
        <v>0</v>
      </c>
      <c r="AH42" s="94"/>
      <c r="AI42" s="94"/>
      <c r="AJ42" s="94"/>
      <c r="AK42" s="95" t="s">
        <v>31</v>
      </c>
      <c r="AL42" s="108"/>
      <c r="AM42" s="19"/>
      <c r="AN42" s="19"/>
      <c r="AO42" s="19"/>
      <c r="AP42" s="50"/>
    </row>
    <row r="43" spans="1:44">
      <c r="A43" s="76">
        <v>44586</v>
      </c>
      <c r="B43" s="90">
        <v>1600</v>
      </c>
      <c r="C43" s="90"/>
      <c r="D43" s="90" cm="1">
        <f t="array" ref="D43">(SUM(VLOOKUP(I43:AF43,$AM$4:$AO$44,2,FALSE))+AG43*10)*IF(AK43="是",$AY$4,$AY$3)</f>
        <v>1872</v>
      </c>
      <c r="E43" s="90">
        <f>SUM($B$4:B43)+SUM($C$4:C43)-SUM($D$4:D43)</f>
        <v>3520</v>
      </c>
      <c r="F43" s="90" cm="1">
        <f t="array" ref="F43">SUM(VLOOKUP(I43:AF43,$AM$4:$AO$44,3,FALSE))</f>
        <v>690</v>
      </c>
      <c r="G43" s="90">
        <f>SUM($F$4:F43)+SUM($H$4:H43)</f>
        <v>25700</v>
      </c>
      <c r="H43" s="90">
        <v>0</v>
      </c>
      <c r="I43" s="153" t="s">
        <v>20</v>
      </c>
      <c r="J43" s="153" t="s">
        <v>20</v>
      </c>
      <c r="K43" s="153" t="s">
        <v>20</v>
      </c>
      <c r="L43" s="153" t="s">
        <v>20</v>
      </c>
      <c r="M43" s="153" t="s">
        <v>20</v>
      </c>
      <c r="N43" s="153" t="s">
        <v>20</v>
      </c>
      <c r="O43" s="93" t="s">
        <v>23</v>
      </c>
      <c r="P43" s="93" t="s">
        <v>23</v>
      </c>
      <c r="Q43" s="154" t="s">
        <v>21</v>
      </c>
      <c r="R43" s="154" t="s">
        <v>21</v>
      </c>
      <c r="S43" s="154" t="s">
        <v>21</v>
      </c>
      <c r="T43" s="154" t="s">
        <v>21</v>
      </c>
      <c r="U43" s="154" t="s">
        <v>21</v>
      </c>
      <c r="V43" s="154" t="s">
        <v>21</v>
      </c>
      <c r="W43" s="93" t="s">
        <v>23</v>
      </c>
      <c r="X43" s="93" t="s">
        <v>23</v>
      </c>
      <c r="Y43" s="89" t="s">
        <v>23</v>
      </c>
      <c r="Z43" s="89" t="s">
        <v>23</v>
      </c>
      <c r="AA43" s="89" t="s">
        <v>23</v>
      </c>
      <c r="AB43" s="89" t="s">
        <v>23</v>
      </c>
      <c r="AC43" s="89" t="s">
        <v>23</v>
      </c>
      <c r="AD43" s="89" t="s">
        <v>23</v>
      </c>
      <c r="AE43" s="93" t="s">
        <v>23</v>
      </c>
      <c r="AF43" s="93" t="s">
        <v>23</v>
      </c>
      <c r="AG43" s="94">
        <v>0</v>
      </c>
      <c r="AH43" s="94"/>
      <c r="AI43" s="94"/>
      <c r="AJ43" s="94"/>
      <c r="AK43" s="95" t="s">
        <v>31</v>
      </c>
      <c r="AL43" s="108"/>
      <c r="AM43" s="19"/>
      <c r="AN43" s="19"/>
      <c r="AO43" s="19"/>
      <c r="AP43" s="50"/>
    </row>
    <row r="44" spans="1:44">
      <c r="A44" s="76">
        <v>44587</v>
      </c>
      <c r="B44" s="90">
        <v>1600</v>
      </c>
      <c r="C44" s="90"/>
      <c r="D44" s="90" cm="1">
        <f t="array" ref="D44">(SUM(VLOOKUP(I44:AF44,$AM$4:$AO$44,2,FALSE))+AG44*10)*IF(AK44="是",$AY$4,$AY$3)</f>
        <v>1760</v>
      </c>
      <c r="E44" s="90">
        <f>SUM($B$4:B44)+SUM($C$4:C44)-SUM($D$4:D44)</f>
        <v>3360</v>
      </c>
      <c r="F44" s="90" cm="1">
        <f t="array" ref="F44">SUM(VLOOKUP(I44:AF44,$AM$4:$AO$44,3,FALSE))</f>
        <v>665</v>
      </c>
      <c r="G44" s="90">
        <f>SUM($F$4:F44)+SUM($H$4:H44)</f>
        <v>26565</v>
      </c>
      <c r="H44" s="90">
        <v>200</v>
      </c>
      <c r="I44" s="153" t="s">
        <v>20</v>
      </c>
      <c r="J44" s="153" t="s">
        <v>20</v>
      </c>
      <c r="K44" s="153" t="s">
        <v>20</v>
      </c>
      <c r="L44" s="153" t="s">
        <v>20</v>
      </c>
      <c r="M44" s="153" t="s">
        <v>20</v>
      </c>
      <c r="N44" s="136" t="s">
        <v>12</v>
      </c>
      <c r="O44" s="93" t="s">
        <v>23</v>
      </c>
      <c r="P44" s="93" t="s">
        <v>23</v>
      </c>
      <c r="Q44" s="154" t="s">
        <v>21</v>
      </c>
      <c r="R44" s="154" t="s">
        <v>21</v>
      </c>
      <c r="S44" s="154" t="s">
        <v>21</v>
      </c>
      <c r="T44" s="154" t="s">
        <v>21</v>
      </c>
      <c r="U44" s="154" t="s">
        <v>21</v>
      </c>
      <c r="V44" s="154" t="s">
        <v>21</v>
      </c>
      <c r="W44" s="93" t="s">
        <v>23</v>
      </c>
      <c r="X44" s="93" t="s">
        <v>23</v>
      </c>
      <c r="Y44" s="89" t="s">
        <v>23</v>
      </c>
      <c r="Z44" s="89" t="s">
        <v>23</v>
      </c>
      <c r="AA44" s="89" t="s">
        <v>23</v>
      </c>
      <c r="AB44" s="89" t="s">
        <v>23</v>
      </c>
      <c r="AC44" s="89" t="s">
        <v>23</v>
      </c>
      <c r="AD44" s="89" t="s">
        <v>23</v>
      </c>
      <c r="AE44" s="93" t="s">
        <v>23</v>
      </c>
      <c r="AF44" s="93" t="s">
        <v>23</v>
      </c>
      <c r="AG44" s="94">
        <v>0</v>
      </c>
      <c r="AH44" s="94"/>
      <c r="AI44" s="94"/>
      <c r="AJ44" s="94"/>
      <c r="AK44" s="95" t="s">
        <v>31</v>
      </c>
      <c r="AL44" s="108"/>
      <c r="AM44" s="19"/>
      <c r="AN44" s="19"/>
      <c r="AO44" s="19"/>
      <c r="AP44" s="50"/>
    </row>
    <row r="45" spans="1:44">
      <c r="A45" s="76">
        <v>44588</v>
      </c>
      <c r="B45" s="90">
        <v>1600</v>
      </c>
      <c r="C45" s="90"/>
      <c r="D45" s="90" cm="1">
        <f t="array" ref="D45">(SUM(VLOOKUP(I45:AF45,$AM$4:$AO$44,2,FALSE))+AG45*10)*IF(AK45="是",$AY$4,$AY$3)</f>
        <v>1872</v>
      </c>
      <c r="E45" s="90">
        <f>SUM($B$4:B45)+SUM($C$4:C45)-SUM($D$4:D45)</f>
        <v>3088</v>
      </c>
      <c r="F45" s="90" cm="1">
        <f t="array" ref="F45">SUM(VLOOKUP(I45:AF45,$AM$4:$AO$44,3,FALSE))</f>
        <v>690</v>
      </c>
      <c r="G45" s="90">
        <f>SUM($F$4:F45)+SUM($H$4:H45)</f>
        <v>27255</v>
      </c>
      <c r="H45" s="90">
        <v>0</v>
      </c>
      <c r="I45" s="153" t="s">
        <v>20</v>
      </c>
      <c r="J45" s="153" t="s">
        <v>20</v>
      </c>
      <c r="K45" s="153" t="s">
        <v>20</v>
      </c>
      <c r="L45" s="153" t="s">
        <v>20</v>
      </c>
      <c r="M45" s="153" t="s">
        <v>20</v>
      </c>
      <c r="N45" s="153" t="s">
        <v>20</v>
      </c>
      <c r="O45" s="93" t="s">
        <v>23</v>
      </c>
      <c r="P45" s="93" t="s">
        <v>23</v>
      </c>
      <c r="Q45" s="154" t="s">
        <v>21</v>
      </c>
      <c r="R45" s="154" t="s">
        <v>21</v>
      </c>
      <c r="S45" s="154" t="s">
        <v>21</v>
      </c>
      <c r="T45" s="154" t="s">
        <v>21</v>
      </c>
      <c r="U45" s="154" t="s">
        <v>21</v>
      </c>
      <c r="V45" s="154" t="s">
        <v>21</v>
      </c>
      <c r="W45" s="93" t="s">
        <v>23</v>
      </c>
      <c r="X45" s="93" t="s">
        <v>23</v>
      </c>
      <c r="Y45" s="89" t="s">
        <v>23</v>
      </c>
      <c r="Z45" s="89" t="s">
        <v>23</v>
      </c>
      <c r="AA45" s="89" t="s">
        <v>23</v>
      </c>
      <c r="AB45" s="89" t="s">
        <v>23</v>
      </c>
      <c r="AC45" s="89" t="s">
        <v>23</v>
      </c>
      <c r="AD45" s="89" t="s">
        <v>23</v>
      </c>
      <c r="AE45" s="93" t="s">
        <v>23</v>
      </c>
      <c r="AF45" s="93" t="s">
        <v>23</v>
      </c>
      <c r="AG45" s="94">
        <v>0</v>
      </c>
      <c r="AH45" s="94"/>
      <c r="AI45" s="94"/>
      <c r="AJ45" s="94"/>
      <c r="AK45" s="95" t="s">
        <v>31</v>
      </c>
      <c r="AL45" s="108"/>
    </row>
    <row r="46" spans="1:44">
      <c r="A46" s="76">
        <v>44589</v>
      </c>
      <c r="B46" s="90">
        <v>1600</v>
      </c>
      <c r="C46" s="90"/>
      <c r="D46" s="90" cm="1">
        <f t="array" ref="D46">(SUM(VLOOKUP(I46:AF46,$AM$4:$AO$44,2,FALSE))+AG46*10)*IF(AK46="是",$AY$4,$AY$3)</f>
        <v>1872</v>
      </c>
      <c r="E46" s="90">
        <f>SUM($B$4:B46)+SUM($C$4:C46)-SUM($D$4:D46)</f>
        <v>2816</v>
      </c>
      <c r="F46" s="90" cm="1">
        <f t="array" ref="F46">SUM(VLOOKUP(I46:AF46,$AM$4:$AO$44,3,FALSE))</f>
        <v>690</v>
      </c>
      <c r="G46" s="90">
        <f>SUM($F$4:F46)+SUM($H$4:H46)</f>
        <v>27945</v>
      </c>
      <c r="H46" s="90">
        <v>0</v>
      </c>
      <c r="I46" s="153" t="s">
        <v>20</v>
      </c>
      <c r="J46" s="153" t="s">
        <v>20</v>
      </c>
      <c r="K46" s="153" t="s">
        <v>20</v>
      </c>
      <c r="L46" s="153" t="s">
        <v>20</v>
      </c>
      <c r="M46" s="153" t="s">
        <v>20</v>
      </c>
      <c r="N46" s="153" t="s">
        <v>20</v>
      </c>
      <c r="O46" s="93" t="s">
        <v>23</v>
      </c>
      <c r="P46" s="93" t="s">
        <v>23</v>
      </c>
      <c r="Q46" s="154" t="s">
        <v>21</v>
      </c>
      <c r="R46" s="154" t="s">
        <v>21</v>
      </c>
      <c r="S46" s="154" t="s">
        <v>21</v>
      </c>
      <c r="T46" s="154" t="s">
        <v>21</v>
      </c>
      <c r="U46" s="154" t="s">
        <v>21</v>
      </c>
      <c r="V46" s="154" t="s">
        <v>21</v>
      </c>
      <c r="W46" s="93" t="s">
        <v>23</v>
      </c>
      <c r="X46" s="93" t="s">
        <v>23</v>
      </c>
      <c r="Y46" s="89" t="s">
        <v>23</v>
      </c>
      <c r="Z46" s="89" t="s">
        <v>23</v>
      </c>
      <c r="AA46" s="89" t="s">
        <v>23</v>
      </c>
      <c r="AB46" s="89" t="s">
        <v>23</v>
      </c>
      <c r="AC46" s="89" t="s">
        <v>23</v>
      </c>
      <c r="AD46" s="89" t="s">
        <v>23</v>
      </c>
      <c r="AE46" s="93" t="s">
        <v>23</v>
      </c>
      <c r="AF46" s="93" t="s">
        <v>23</v>
      </c>
      <c r="AG46" s="94">
        <v>0</v>
      </c>
      <c r="AH46" s="94"/>
      <c r="AI46" s="94"/>
      <c r="AJ46" s="94"/>
      <c r="AK46" s="95" t="s">
        <v>31</v>
      </c>
      <c r="AL46" s="108"/>
    </row>
    <row r="47" spans="1:44">
      <c r="A47" s="76">
        <v>44590</v>
      </c>
      <c r="B47" s="90">
        <v>1600</v>
      </c>
      <c r="C47" s="90"/>
      <c r="D47" s="90" cm="1">
        <f t="array" ref="D47">(SUM(VLOOKUP(I47:AF47,$AM$4:$AO$44,2,FALSE))+AG47*10)*IF(AK47="是",$AY$4,$AY$3)</f>
        <v>1912</v>
      </c>
      <c r="E47" s="90">
        <f>SUM($B$4:B47)+SUM($C$4:C47)-SUM($D$4:D47)</f>
        <v>2504</v>
      </c>
      <c r="F47" s="90" cm="1">
        <f t="array" ref="F47">SUM(VLOOKUP(I47:AF47,$AM$4:$AO$44,3,FALSE))</f>
        <v>1630</v>
      </c>
      <c r="G47" s="90">
        <f>SUM($F$4:F47)+SUM($H$4:H47)</f>
        <v>29575</v>
      </c>
      <c r="H47" s="90">
        <v>0</v>
      </c>
      <c r="I47" s="153" t="s">
        <v>20</v>
      </c>
      <c r="J47" s="153" t="s">
        <v>20</v>
      </c>
      <c r="K47" s="153" t="s">
        <v>20</v>
      </c>
      <c r="L47" s="153" t="s">
        <v>20</v>
      </c>
      <c r="M47" s="153" t="s">
        <v>20</v>
      </c>
      <c r="N47" s="153" t="s">
        <v>20</v>
      </c>
      <c r="O47" s="93" t="s">
        <v>23</v>
      </c>
      <c r="P47" s="93" t="s">
        <v>23</v>
      </c>
      <c r="Q47" s="154" t="s">
        <v>21</v>
      </c>
      <c r="R47" s="154" t="s">
        <v>21</v>
      </c>
      <c r="S47" s="155" t="s">
        <v>15</v>
      </c>
      <c r="T47" s="154" t="s">
        <v>21</v>
      </c>
      <c r="U47" s="154" t="s">
        <v>21</v>
      </c>
      <c r="V47" s="154" t="s">
        <v>21</v>
      </c>
      <c r="W47" s="93" t="s">
        <v>23</v>
      </c>
      <c r="X47" s="93" t="s">
        <v>23</v>
      </c>
      <c r="Y47" s="89" t="s">
        <v>23</v>
      </c>
      <c r="Z47" s="89" t="s">
        <v>23</v>
      </c>
      <c r="AA47" s="89" t="s">
        <v>23</v>
      </c>
      <c r="AB47" s="89" t="s">
        <v>23</v>
      </c>
      <c r="AC47" s="89" t="s">
        <v>23</v>
      </c>
      <c r="AD47" s="89" t="s">
        <v>23</v>
      </c>
      <c r="AE47" s="93" t="s">
        <v>23</v>
      </c>
      <c r="AF47" s="93" t="s">
        <v>23</v>
      </c>
      <c r="AG47" s="94">
        <v>0</v>
      </c>
      <c r="AH47" s="94"/>
      <c r="AI47" s="94"/>
      <c r="AJ47" s="94"/>
      <c r="AK47" s="95" t="s">
        <v>31</v>
      </c>
      <c r="AL47" s="108"/>
    </row>
    <row r="48" spans="1:44">
      <c r="A48" s="76">
        <v>44591</v>
      </c>
      <c r="B48" s="90">
        <v>1600</v>
      </c>
      <c r="C48" s="90"/>
      <c r="D48" s="90" cm="1">
        <f t="array" ref="D48">(SUM(VLOOKUP(I48:AF48,$AM$4:$AO$44,2,FALSE))+AG48*10)*IF(AK48="是",$AY$4,$AY$3)</f>
        <v>1920</v>
      </c>
      <c r="E48" s="90">
        <f>SUM($B$4:B48)+SUM($C$4:C48)-SUM($D$4:D48)</f>
        <v>2184</v>
      </c>
      <c r="F48" s="90" cm="1">
        <f t="array" ref="F48">SUM(VLOOKUP(I48:AF48,$AM$4:$AO$44,3,FALSE))</f>
        <v>1135</v>
      </c>
      <c r="G48" s="90">
        <f>SUM($F$4:F48)+SUM($H$4:H48)</f>
        <v>30710</v>
      </c>
      <c r="H48" s="90">
        <v>0</v>
      </c>
      <c r="I48" s="153" t="s">
        <v>20</v>
      </c>
      <c r="J48" s="153" t="s">
        <v>20</v>
      </c>
      <c r="K48" s="156" t="s">
        <v>41</v>
      </c>
      <c r="L48" s="153" t="s">
        <v>20</v>
      </c>
      <c r="M48" s="153" t="s">
        <v>20</v>
      </c>
      <c r="N48" s="153" t="s">
        <v>20</v>
      </c>
      <c r="O48" s="93" t="s">
        <v>23</v>
      </c>
      <c r="P48" s="93" t="s">
        <v>23</v>
      </c>
      <c r="Q48" s="154" t="s">
        <v>21</v>
      </c>
      <c r="R48" s="154" t="s">
        <v>21</v>
      </c>
      <c r="S48" s="154" t="s">
        <v>21</v>
      </c>
      <c r="T48" s="154" t="s">
        <v>21</v>
      </c>
      <c r="U48" s="154" t="s">
        <v>21</v>
      </c>
      <c r="V48" s="154" t="s">
        <v>21</v>
      </c>
      <c r="W48" s="93" t="s">
        <v>23</v>
      </c>
      <c r="X48" s="93" t="s">
        <v>23</v>
      </c>
      <c r="Y48" s="89" t="s">
        <v>23</v>
      </c>
      <c r="Z48" s="89" t="s">
        <v>23</v>
      </c>
      <c r="AA48" s="89" t="s">
        <v>23</v>
      </c>
      <c r="AB48" s="89" t="s">
        <v>23</v>
      </c>
      <c r="AC48" s="89" t="s">
        <v>23</v>
      </c>
      <c r="AD48" s="89" t="s">
        <v>23</v>
      </c>
      <c r="AE48" s="93" t="s">
        <v>23</v>
      </c>
      <c r="AF48" s="93" t="s">
        <v>23</v>
      </c>
      <c r="AG48" s="94">
        <v>0</v>
      </c>
      <c r="AH48" s="94"/>
      <c r="AI48" s="94"/>
      <c r="AJ48" s="94"/>
      <c r="AK48" s="95" t="s">
        <v>31</v>
      </c>
      <c r="AL48" s="108"/>
    </row>
    <row r="49" spans="1:38">
      <c r="A49" s="76">
        <v>44592</v>
      </c>
      <c r="B49" s="89">
        <v>1600</v>
      </c>
      <c r="C49" s="89"/>
      <c r="D49" s="90" cm="1">
        <f t="array" ref="D49">(SUM(VLOOKUP(I49:AF49,$AM$4:$AO$44,2,FALSE))+AG49*10)*IF(AK49="是",$AY$4,$AY$3)</f>
        <v>1728</v>
      </c>
      <c r="E49" s="90">
        <f>SUM($B$4:B49)+SUM($C$4:C49)-SUM($D$4:D49)</f>
        <v>2056</v>
      </c>
      <c r="F49" s="90" cm="1">
        <f t="array" ref="F49">SUM(VLOOKUP(I49:AF49,$AM$4:$AO$44,3,FALSE))</f>
        <v>665</v>
      </c>
      <c r="G49" s="90">
        <f>SUM($F$4:F49)+SUM($H$4:H49)</f>
        <v>31575</v>
      </c>
      <c r="H49" s="89">
        <v>200</v>
      </c>
      <c r="I49" s="153" t="s">
        <v>20</v>
      </c>
      <c r="J49" s="153" t="s">
        <v>20</v>
      </c>
      <c r="K49" s="153" t="s">
        <v>9</v>
      </c>
      <c r="L49" s="153" t="s">
        <v>20</v>
      </c>
      <c r="M49" s="136" t="s">
        <v>12</v>
      </c>
      <c r="N49" s="153" t="s">
        <v>20</v>
      </c>
      <c r="O49" s="93" t="s">
        <v>23</v>
      </c>
      <c r="P49" s="93" t="s">
        <v>23</v>
      </c>
      <c r="Q49" s="154" t="s">
        <v>21</v>
      </c>
      <c r="R49" s="154" t="s">
        <v>21</v>
      </c>
      <c r="S49" s="154" t="s">
        <v>21</v>
      </c>
      <c r="T49" s="154" t="s">
        <v>21</v>
      </c>
      <c r="U49" s="154" t="s">
        <v>21</v>
      </c>
      <c r="V49" s="154" t="s">
        <v>21</v>
      </c>
      <c r="W49" s="93" t="s">
        <v>23</v>
      </c>
      <c r="X49" s="93" t="s">
        <v>23</v>
      </c>
      <c r="Y49" s="89" t="s">
        <v>23</v>
      </c>
      <c r="Z49" s="89" t="s">
        <v>23</v>
      </c>
      <c r="AA49" s="89" t="s">
        <v>23</v>
      </c>
      <c r="AB49" s="89" t="s">
        <v>23</v>
      </c>
      <c r="AC49" s="89" t="s">
        <v>23</v>
      </c>
      <c r="AD49" s="89" t="s">
        <v>23</v>
      </c>
      <c r="AE49" s="93" t="s">
        <v>23</v>
      </c>
      <c r="AF49" s="93" t="s">
        <v>23</v>
      </c>
      <c r="AG49" s="94">
        <v>0</v>
      </c>
      <c r="AH49" s="94"/>
      <c r="AI49" s="94"/>
      <c r="AJ49" s="94"/>
      <c r="AK49" s="95" t="s">
        <v>31</v>
      </c>
      <c r="AL49" s="108"/>
    </row>
    <row r="50" spans="1:38">
      <c r="A50" s="76">
        <v>44593</v>
      </c>
      <c r="B50" s="89">
        <v>1600</v>
      </c>
      <c r="C50" s="89"/>
      <c r="D50" s="90" cm="1">
        <f t="array" ref="D50">(SUM(VLOOKUP(I50:AF50,$AM$4:$AO$44,2,FALSE))+AG50*10)*IF(AK50="是",$AY$4,$AY$3)</f>
        <v>1872</v>
      </c>
      <c r="E50" s="90">
        <f>SUM($B$4:B50)+SUM($C$4:C50)-SUM($D$4:D50)</f>
        <v>1784</v>
      </c>
      <c r="F50" s="90" cm="1">
        <f t="array" ref="F50">SUM(VLOOKUP(I50:AF50,$AM$4:$AO$44,3,FALSE))</f>
        <v>690</v>
      </c>
      <c r="G50" s="90">
        <f>SUM($F$4:F50)+SUM($H$4:H50)</f>
        <v>32365</v>
      </c>
      <c r="H50" s="89">
        <v>100</v>
      </c>
      <c r="I50" s="153" t="s">
        <v>20</v>
      </c>
      <c r="J50" s="153" t="s">
        <v>20</v>
      </c>
      <c r="K50" s="153" t="s">
        <v>20</v>
      </c>
      <c r="L50" s="153" t="s">
        <v>20</v>
      </c>
      <c r="M50" s="153" t="s">
        <v>20</v>
      </c>
      <c r="N50" s="153" t="s">
        <v>20</v>
      </c>
      <c r="O50" s="93" t="s">
        <v>23</v>
      </c>
      <c r="P50" s="93" t="s">
        <v>23</v>
      </c>
      <c r="Q50" s="154" t="s">
        <v>21</v>
      </c>
      <c r="R50" s="154" t="s">
        <v>21</v>
      </c>
      <c r="S50" s="154" t="s">
        <v>21</v>
      </c>
      <c r="T50" s="154" t="s">
        <v>21</v>
      </c>
      <c r="U50" s="154" t="s">
        <v>21</v>
      </c>
      <c r="V50" s="154" t="s">
        <v>21</v>
      </c>
      <c r="W50" s="93" t="s">
        <v>23</v>
      </c>
      <c r="X50" s="93" t="s">
        <v>23</v>
      </c>
      <c r="Y50" s="89" t="s">
        <v>23</v>
      </c>
      <c r="Z50" s="89" t="s">
        <v>23</v>
      </c>
      <c r="AA50" s="89" t="s">
        <v>23</v>
      </c>
      <c r="AB50" s="89" t="s">
        <v>23</v>
      </c>
      <c r="AC50" s="89" t="s">
        <v>23</v>
      </c>
      <c r="AD50" s="89" t="s">
        <v>23</v>
      </c>
      <c r="AE50" s="93" t="s">
        <v>23</v>
      </c>
      <c r="AF50" s="93" t="s">
        <v>23</v>
      </c>
      <c r="AG50" s="94">
        <v>0</v>
      </c>
      <c r="AH50" s="94"/>
      <c r="AI50" s="94"/>
      <c r="AJ50" s="94"/>
      <c r="AK50" s="95" t="s">
        <v>31</v>
      </c>
      <c r="AL50" s="108"/>
    </row>
    <row r="51" spans="1:38">
      <c r="A51" s="76">
        <v>44594</v>
      </c>
      <c r="B51" s="89">
        <v>1600</v>
      </c>
      <c r="C51" s="89"/>
      <c r="D51" s="90" cm="1">
        <f t="array" ref="D51">(SUM(VLOOKUP(I51:AF51,$AM$4:$AO$44,2,FALSE))+AG51*10)*IF(AK51="是",$AY$4,$AY$3)</f>
        <v>1872</v>
      </c>
      <c r="E51" s="90">
        <f>SUM($B$4:B51)+SUM($C$4:C51)-SUM($D$4:D51)</f>
        <v>1512</v>
      </c>
      <c r="F51" s="90" cm="1">
        <f t="array" ref="F51">SUM(VLOOKUP(I51:AF51,$AM$4:$AO$44,3,FALSE))</f>
        <v>690</v>
      </c>
      <c r="G51" s="90">
        <f>SUM($F$4:F51)+SUM($H$4:H51)</f>
        <v>33255</v>
      </c>
      <c r="H51" s="89">
        <v>200</v>
      </c>
      <c r="I51" s="153" t="s">
        <v>20</v>
      </c>
      <c r="J51" s="153" t="s">
        <v>20</v>
      </c>
      <c r="K51" s="153" t="s">
        <v>20</v>
      </c>
      <c r="L51" s="153" t="s">
        <v>20</v>
      </c>
      <c r="M51" s="153" t="s">
        <v>20</v>
      </c>
      <c r="N51" s="153" t="s">
        <v>20</v>
      </c>
      <c r="O51" s="93" t="s">
        <v>23</v>
      </c>
      <c r="P51" s="93" t="s">
        <v>23</v>
      </c>
      <c r="Q51" s="154" t="s">
        <v>21</v>
      </c>
      <c r="R51" s="154" t="s">
        <v>21</v>
      </c>
      <c r="S51" s="154" t="s">
        <v>21</v>
      </c>
      <c r="T51" s="154" t="s">
        <v>21</v>
      </c>
      <c r="U51" s="154" t="s">
        <v>21</v>
      </c>
      <c r="V51" s="154" t="s">
        <v>21</v>
      </c>
      <c r="W51" s="93" t="s">
        <v>23</v>
      </c>
      <c r="X51" s="93" t="s">
        <v>23</v>
      </c>
      <c r="Y51" s="89" t="s">
        <v>23</v>
      </c>
      <c r="Z51" s="89" t="s">
        <v>23</v>
      </c>
      <c r="AA51" s="89" t="s">
        <v>23</v>
      </c>
      <c r="AB51" s="89" t="s">
        <v>23</v>
      </c>
      <c r="AC51" s="89" t="s">
        <v>23</v>
      </c>
      <c r="AD51" s="89" t="s">
        <v>23</v>
      </c>
      <c r="AE51" s="93" t="s">
        <v>23</v>
      </c>
      <c r="AF51" s="93" t="s">
        <v>23</v>
      </c>
      <c r="AG51" s="94">
        <v>0</v>
      </c>
      <c r="AH51" s="94"/>
      <c r="AI51" s="94"/>
      <c r="AJ51" s="94"/>
      <c r="AK51" s="95" t="s">
        <v>31</v>
      </c>
      <c r="AL51" s="108"/>
    </row>
    <row r="52" spans="1:38">
      <c r="A52" s="76">
        <v>44595</v>
      </c>
      <c r="B52" s="89">
        <v>1600</v>
      </c>
      <c r="C52" s="89"/>
      <c r="D52" s="90" cm="1">
        <f t="array" ref="D52">(SUM(VLOOKUP(I52:AF52,$AM$4:$AO$44,2,FALSE))+AG52*10)*IF(AK52="是",$AY$4,$AY$3)</f>
        <v>1872</v>
      </c>
      <c r="E52" s="90">
        <f>SUM($B$4:B52)+SUM($C$4:C52)-SUM($D$4:D52)</f>
        <v>1240</v>
      </c>
      <c r="F52" s="90" cm="1">
        <f t="array" ref="F52">SUM(VLOOKUP(I52:AF52,$AM$4:$AO$44,3,FALSE))</f>
        <v>690</v>
      </c>
      <c r="G52" s="90">
        <f>SUM($F$4:F52)+SUM($H$4:H52)</f>
        <v>33945</v>
      </c>
      <c r="H52" s="89">
        <v>0</v>
      </c>
      <c r="I52" s="153" t="s">
        <v>20</v>
      </c>
      <c r="J52" s="153" t="s">
        <v>20</v>
      </c>
      <c r="K52" s="153" t="s">
        <v>20</v>
      </c>
      <c r="L52" s="153" t="s">
        <v>20</v>
      </c>
      <c r="M52" s="153" t="s">
        <v>20</v>
      </c>
      <c r="N52" s="153" t="s">
        <v>20</v>
      </c>
      <c r="O52" s="93" t="s">
        <v>23</v>
      </c>
      <c r="P52" s="93" t="s">
        <v>23</v>
      </c>
      <c r="Q52" s="154" t="s">
        <v>21</v>
      </c>
      <c r="R52" s="154" t="s">
        <v>21</v>
      </c>
      <c r="S52" s="154" t="s">
        <v>21</v>
      </c>
      <c r="T52" s="154" t="s">
        <v>21</v>
      </c>
      <c r="U52" s="154" t="s">
        <v>21</v>
      </c>
      <c r="V52" s="154" t="s">
        <v>21</v>
      </c>
      <c r="W52" s="93" t="s">
        <v>23</v>
      </c>
      <c r="X52" s="93" t="s">
        <v>23</v>
      </c>
      <c r="Y52" s="89" t="s">
        <v>23</v>
      </c>
      <c r="Z52" s="89" t="s">
        <v>23</v>
      </c>
      <c r="AA52" s="89" t="s">
        <v>23</v>
      </c>
      <c r="AB52" s="89" t="s">
        <v>23</v>
      </c>
      <c r="AC52" s="89" t="s">
        <v>23</v>
      </c>
      <c r="AD52" s="89" t="s">
        <v>23</v>
      </c>
      <c r="AE52" s="93" t="s">
        <v>23</v>
      </c>
      <c r="AF52" s="93" t="s">
        <v>23</v>
      </c>
      <c r="AG52" s="94">
        <v>0</v>
      </c>
      <c r="AH52" s="94"/>
      <c r="AI52" s="94"/>
      <c r="AJ52" s="94"/>
      <c r="AK52" s="95" t="s">
        <v>31</v>
      </c>
      <c r="AL52" s="108"/>
    </row>
    <row r="53" spans="1:38">
      <c r="A53" s="76">
        <v>44596</v>
      </c>
      <c r="B53" s="89">
        <v>1600</v>
      </c>
      <c r="C53" s="89"/>
      <c r="D53" s="90" cm="1">
        <f t="array" ref="D53">(SUM(VLOOKUP(I53:AF53,$AM$4:$AO$44,2,FALSE))+AG53*10)*IF(AK53="是",$AY$4,$AY$3)</f>
        <v>1872</v>
      </c>
      <c r="E53" s="90">
        <f>SUM($B$4:B53)+SUM($C$4:C53)-SUM($D$4:D53)</f>
        <v>968</v>
      </c>
      <c r="F53" s="90" cm="1">
        <f t="array" ref="F53">SUM(VLOOKUP(I53:AF53,$AM$4:$AO$44,3,FALSE))</f>
        <v>750</v>
      </c>
      <c r="G53" s="90">
        <f>SUM($F$4:F53)+SUM($H$4:H53)</f>
        <v>34695</v>
      </c>
      <c r="H53" s="89">
        <v>0</v>
      </c>
      <c r="I53" s="153" t="s">
        <v>20</v>
      </c>
      <c r="J53" s="153" t="s">
        <v>20</v>
      </c>
      <c r="K53" s="153" t="s">
        <v>20</v>
      </c>
      <c r="L53" s="153" t="s">
        <v>20</v>
      </c>
      <c r="M53" s="153" t="s">
        <v>20</v>
      </c>
      <c r="N53" s="153" t="s">
        <v>20</v>
      </c>
      <c r="O53" s="93" t="s">
        <v>23</v>
      </c>
      <c r="P53" s="93" t="s">
        <v>23</v>
      </c>
      <c r="Q53" s="154" t="s">
        <v>21</v>
      </c>
      <c r="R53" s="154" t="s">
        <v>21</v>
      </c>
      <c r="S53" s="154" t="s">
        <v>21</v>
      </c>
      <c r="T53" s="154" t="s">
        <v>21</v>
      </c>
      <c r="U53" s="124" t="s">
        <v>47</v>
      </c>
      <c r="V53" s="154" t="s">
        <v>21</v>
      </c>
      <c r="W53" s="154" t="s">
        <v>21</v>
      </c>
      <c r="X53" s="154" t="s">
        <v>21</v>
      </c>
      <c r="Y53" s="89" t="s">
        <v>23</v>
      </c>
      <c r="Z53" s="89" t="s">
        <v>23</v>
      </c>
      <c r="AA53" s="89" t="s">
        <v>23</v>
      </c>
      <c r="AB53" s="89" t="s">
        <v>23</v>
      </c>
      <c r="AC53" s="89" t="s">
        <v>23</v>
      </c>
      <c r="AD53" s="89" t="s">
        <v>23</v>
      </c>
      <c r="AE53" s="93" t="s">
        <v>23</v>
      </c>
      <c r="AF53" s="93" t="s">
        <v>23</v>
      </c>
      <c r="AG53" s="94">
        <v>0</v>
      </c>
      <c r="AH53" s="94"/>
      <c r="AI53" s="94"/>
      <c r="AJ53" s="94"/>
      <c r="AK53" s="95" t="s">
        <v>31</v>
      </c>
      <c r="AL53" s="108"/>
    </row>
    <row r="54" spans="1:38">
      <c r="A54" s="76">
        <v>44597</v>
      </c>
      <c r="B54" s="89">
        <v>1600</v>
      </c>
      <c r="C54" s="89"/>
      <c r="D54" s="90" cm="1">
        <f t="array" ref="D54">(SUM(VLOOKUP(I54:AF54,$AM$4:$AO$44,2,FALSE))+AG54*10)*IF(AK54="是",$AY$4,$AY$3)</f>
        <v>1840</v>
      </c>
      <c r="E54" s="90">
        <f>SUM($B$4:B54)+SUM($C$4:C54)-SUM($D$4:D54)</f>
        <v>728</v>
      </c>
      <c r="F54" s="90" cm="1">
        <f t="array" ref="F54">SUM(VLOOKUP(I54:AF54,$AM$4:$AO$44,3,FALSE))</f>
        <v>690</v>
      </c>
      <c r="G54" s="90">
        <f>SUM($F$4:F54)+SUM($H$4:H54)</f>
        <v>35385</v>
      </c>
      <c r="H54" s="89">
        <v>0</v>
      </c>
      <c r="I54" s="153" t="s">
        <v>20</v>
      </c>
      <c r="J54" s="153" t="s">
        <v>20</v>
      </c>
      <c r="K54" s="153" t="s">
        <v>9</v>
      </c>
      <c r="L54" s="153" t="s">
        <v>20</v>
      </c>
      <c r="M54" s="153" t="s">
        <v>20</v>
      </c>
      <c r="N54" s="153" t="s">
        <v>20</v>
      </c>
      <c r="O54" s="93" t="s">
        <v>23</v>
      </c>
      <c r="P54" s="93" t="s">
        <v>23</v>
      </c>
      <c r="Q54" s="154" t="s">
        <v>21</v>
      </c>
      <c r="R54" s="154" t="s">
        <v>21</v>
      </c>
      <c r="S54" s="154" t="s">
        <v>21</v>
      </c>
      <c r="T54" s="154" t="s">
        <v>21</v>
      </c>
      <c r="U54" s="154" t="s">
        <v>21</v>
      </c>
      <c r="V54" s="154" t="s">
        <v>21</v>
      </c>
      <c r="W54" s="93" t="s">
        <v>23</v>
      </c>
      <c r="X54" s="93" t="s">
        <v>23</v>
      </c>
      <c r="Y54" s="89" t="s">
        <v>23</v>
      </c>
      <c r="Z54" s="89" t="s">
        <v>23</v>
      </c>
      <c r="AA54" s="89" t="s">
        <v>23</v>
      </c>
      <c r="AB54" s="89" t="s">
        <v>23</v>
      </c>
      <c r="AC54" s="89" t="s">
        <v>23</v>
      </c>
      <c r="AD54" s="89" t="s">
        <v>23</v>
      </c>
      <c r="AE54" s="93" t="s">
        <v>23</v>
      </c>
      <c r="AF54" s="93" t="s">
        <v>23</v>
      </c>
      <c r="AG54" s="94">
        <v>0</v>
      </c>
      <c r="AH54" s="94"/>
      <c r="AI54" s="94"/>
      <c r="AJ54" s="94"/>
      <c r="AK54" s="95" t="s">
        <v>31</v>
      </c>
      <c r="AL54" s="108"/>
    </row>
    <row r="55" spans="1:38">
      <c r="A55" s="76">
        <v>44598</v>
      </c>
      <c r="B55" s="89">
        <v>1600</v>
      </c>
      <c r="C55" s="89"/>
      <c r="D55" s="90" cm="1">
        <f t="array" ref="D55">(SUM(VLOOKUP(I55:AF55,$AM$4:$AO$44,2,FALSE))+AG55*10)*IF(AK55="是",$AY$4,$AY$3)</f>
        <v>1920</v>
      </c>
      <c r="E55" s="90">
        <f>SUM($B$4:B55)+SUM($C$4:C55)-SUM($D$4:D55)</f>
        <v>408</v>
      </c>
      <c r="F55" s="90" cm="1">
        <f t="array" ref="F55">SUM(VLOOKUP(I55:AF55,$AM$4:$AO$44,3,FALSE))</f>
        <v>1135</v>
      </c>
      <c r="G55" s="90">
        <f>SUM($F$4:F55)+SUM($H$4:H55)</f>
        <v>36520</v>
      </c>
      <c r="H55" s="89">
        <v>0</v>
      </c>
      <c r="I55" s="153" t="s">
        <v>20</v>
      </c>
      <c r="J55" s="156" t="s">
        <v>41</v>
      </c>
      <c r="K55" s="153" t="s">
        <v>20</v>
      </c>
      <c r="L55" s="153" t="s">
        <v>20</v>
      </c>
      <c r="M55" s="153" t="s">
        <v>20</v>
      </c>
      <c r="N55" s="153" t="s">
        <v>20</v>
      </c>
      <c r="O55" s="93" t="s">
        <v>23</v>
      </c>
      <c r="P55" s="93" t="s">
        <v>23</v>
      </c>
      <c r="Q55" s="154" t="s">
        <v>21</v>
      </c>
      <c r="R55" s="154" t="s">
        <v>21</v>
      </c>
      <c r="S55" s="154" t="s">
        <v>21</v>
      </c>
      <c r="T55" s="154" t="s">
        <v>21</v>
      </c>
      <c r="U55" s="154" t="s">
        <v>21</v>
      </c>
      <c r="V55" s="154" t="s">
        <v>21</v>
      </c>
      <c r="W55" s="93" t="s">
        <v>23</v>
      </c>
      <c r="X55" s="93" t="s">
        <v>23</v>
      </c>
      <c r="Y55" s="89" t="s">
        <v>23</v>
      </c>
      <c r="Z55" s="89" t="s">
        <v>23</v>
      </c>
      <c r="AA55" s="89" t="s">
        <v>23</v>
      </c>
      <c r="AB55" s="89" t="s">
        <v>23</v>
      </c>
      <c r="AC55" s="89" t="s">
        <v>23</v>
      </c>
      <c r="AD55" s="89" t="s">
        <v>23</v>
      </c>
      <c r="AE55" s="93" t="s">
        <v>23</v>
      </c>
      <c r="AF55" s="93" t="s">
        <v>23</v>
      </c>
      <c r="AG55" s="94">
        <v>0</v>
      </c>
      <c r="AH55" s="94"/>
      <c r="AI55" s="94"/>
      <c r="AJ55" s="94"/>
      <c r="AK55" s="95" t="s">
        <v>31</v>
      </c>
      <c r="AL55" s="108"/>
    </row>
    <row r="56" spans="1:38">
      <c r="A56" s="76">
        <v>44599</v>
      </c>
      <c r="B56" s="90">
        <v>1600</v>
      </c>
      <c r="C56" s="90"/>
      <c r="D56" s="90" cm="1">
        <f t="array" ref="D56">(SUM(VLOOKUP(I56:AF56,$AM$4:$AO$44,2,FALSE))+AG56*10)*IF(AK56="是",$AY$4,$AY$3)</f>
        <v>1904</v>
      </c>
      <c r="E56" s="90">
        <f>SUM($B$4:B56)+SUM($C$4:C56)-SUM($D$4:D56)</f>
        <v>104</v>
      </c>
      <c r="F56" s="90" cm="1">
        <f t="array" ref="F56">SUM(VLOOKUP(I56:AF56,$AM$4:$AO$44,3,FALSE))</f>
        <v>1685</v>
      </c>
      <c r="G56" s="90">
        <f>SUM($F$4:F56)+SUM($H$4:H56)</f>
        <v>38505</v>
      </c>
      <c r="H56" s="90">
        <v>300</v>
      </c>
      <c r="I56" s="153" t="s">
        <v>20</v>
      </c>
      <c r="J56" s="153" t="s">
        <v>20</v>
      </c>
      <c r="K56" s="153" t="s">
        <v>20</v>
      </c>
      <c r="L56" s="153" t="s">
        <v>20</v>
      </c>
      <c r="M56" s="153" t="s">
        <v>20</v>
      </c>
      <c r="N56" s="153" t="s">
        <v>20</v>
      </c>
      <c r="O56" s="124" t="s">
        <v>47</v>
      </c>
      <c r="P56" s="153" t="s">
        <v>20</v>
      </c>
      <c r="Q56" s="154" t="s">
        <v>21</v>
      </c>
      <c r="R56" s="154" t="s">
        <v>21</v>
      </c>
      <c r="S56" s="154" t="s">
        <v>21</v>
      </c>
      <c r="T56" s="154" t="s">
        <v>21</v>
      </c>
      <c r="U56" s="155" t="s">
        <v>15</v>
      </c>
      <c r="V56" s="154" t="s">
        <v>21</v>
      </c>
      <c r="W56" s="93" t="s">
        <v>23</v>
      </c>
      <c r="X56" s="93" t="s">
        <v>23</v>
      </c>
      <c r="Y56" s="89" t="s">
        <v>23</v>
      </c>
      <c r="Z56" s="89" t="s">
        <v>23</v>
      </c>
      <c r="AA56" s="89" t="s">
        <v>23</v>
      </c>
      <c r="AB56" s="89" t="s">
        <v>23</v>
      </c>
      <c r="AC56" s="89" t="s">
        <v>23</v>
      </c>
      <c r="AD56" s="89" t="s">
        <v>23</v>
      </c>
      <c r="AE56" s="93" t="s">
        <v>23</v>
      </c>
      <c r="AF56" s="93" t="s">
        <v>23</v>
      </c>
      <c r="AG56" s="94">
        <v>0</v>
      </c>
      <c r="AH56" s="94"/>
      <c r="AI56" s="94"/>
      <c r="AJ56" s="94"/>
      <c r="AK56" s="95" t="s">
        <v>31</v>
      </c>
      <c r="AL56" s="108"/>
    </row>
    <row r="57" spans="1:38">
      <c r="A57" s="76">
        <v>44600</v>
      </c>
      <c r="B57" s="90">
        <v>1600</v>
      </c>
      <c r="C57" s="90"/>
      <c r="D57" s="90" cm="1">
        <f t="array" ref="D57">(SUM(VLOOKUP(I57:AF57,$AM$4:$AO$44,2,FALSE))+AG57*10)*IF(AK57="是",$AY$4,$AY$3)</f>
        <v>1552</v>
      </c>
      <c r="E57" s="90">
        <f>SUM($B$4:B57)+SUM($C$4:C57)-SUM($D$4:D57)</f>
        <v>152</v>
      </c>
      <c r="F57" s="90" cm="1">
        <f t="array" ref="F57">SUM(VLOOKUP(I57:AF57,$AM$4:$AO$44,3,FALSE))</f>
        <v>570</v>
      </c>
      <c r="G57" s="90">
        <f>SUM($F$4:F57)+SUM($H$4:H57)</f>
        <v>39075</v>
      </c>
      <c r="H57" s="90">
        <v>0</v>
      </c>
      <c r="I57" s="153" t="s">
        <v>20</v>
      </c>
      <c r="J57" s="153" t="s">
        <v>20</v>
      </c>
      <c r="K57" s="153" t="s">
        <v>20</v>
      </c>
      <c r="L57" s="153" t="s">
        <v>20</v>
      </c>
      <c r="M57" s="153" t="s">
        <v>20</v>
      </c>
      <c r="N57" s="153" t="s">
        <v>20</v>
      </c>
      <c r="O57" s="93" t="s">
        <v>23</v>
      </c>
      <c r="P57" s="93" t="s">
        <v>23</v>
      </c>
      <c r="Q57" s="154" t="s">
        <v>21</v>
      </c>
      <c r="R57" s="154" t="s">
        <v>21</v>
      </c>
      <c r="S57" s="154" t="s">
        <v>21</v>
      </c>
      <c r="T57" s="154" t="s">
        <v>21</v>
      </c>
      <c r="U57" s="89" t="s">
        <v>23</v>
      </c>
      <c r="V57" s="89" t="s">
        <v>23</v>
      </c>
      <c r="W57" s="93" t="s">
        <v>23</v>
      </c>
      <c r="X57" s="93" t="s">
        <v>23</v>
      </c>
      <c r="Y57" s="157" t="s">
        <v>23</v>
      </c>
      <c r="Z57" s="157" t="s">
        <v>23</v>
      </c>
      <c r="AA57" s="157" t="s">
        <v>23</v>
      </c>
      <c r="AB57" s="157" t="s">
        <v>23</v>
      </c>
      <c r="AC57" s="157" t="s">
        <v>23</v>
      </c>
      <c r="AD57" s="157" t="s">
        <v>23</v>
      </c>
      <c r="AE57" s="158" t="s">
        <v>23</v>
      </c>
      <c r="AF57" s="158" t="s">
        <v>23</v>
      </c>
      <c r="AG57" s="94">
        <v>0</v>
      </c>
      <c r="AH57" s="94"/>
      <c r="AI57" s="94"/>
      <c r="AJ57" s="94"/>
      <c r="AK57" s="95" t="s">
        <v>31</v>
      </c>
      <c r="AL57" s="108"/>
    </row>
    <row r="58" spans="1:38">
      <c r="A58" s="76">
        <v>44601</v>
      </c>
      <c r="B58" s="90">
        <v>1600</v>
      </c>
      <c r="C58" s="90"/>
      <c r="D58" s="90" cm="1">
        <f t="array" ref="D58">(SUM(VLOOKUP(I58:AF58,$AM$4:$AO$44,2,FALSE))+AG58*10)*IF(AK58="是",$AY$4,$AY$3)</f>
        <v>1440</v>
      </c>
      <c r="E58" s="90">
        <f>SUM($B$4:B58)+SUM($C$4:C58)-SUM($D$4:D58)</f>
        <v>312</v>
      </c>
      <c r="F58" s="90" cm="1">
        <f t="array" ref="F58">SUM(VLOOKUP(I58:AF58,$AM$4:$AO$44,3,FALSE))</f>
        <v>545</v>
      </c>
      <c r="G58" s="90">
        <f>SUM($F$4:F58)+SUM($H$4:H58)</f>
        <v>39820</v>
      </c>
      <c r="H58" s="90">
        <v>200</v>
      </c>
      <c r="I58" s="153" t="s">
        <v>20</v>
      </c>
      <c r="J58" s="153" t="s">
        <v>20</v>
      </c>
      <c r="K58" s="153" t="s">
        <v>20</v>
      </c>
      <c r="L58" s="136" t="s">
        <v>12</v>
      </c>
      <c r="M58" s="153" t="s">
        <v>20</v>
      </c>
      <c r="N58" s="153" t="s">
        <v>20</v>
      </c>
      <c r="O58" s="93" t="s">
        <v>23</v>
      </c>
      <c r="P58" s="93" t="s">
        <v>23</v>
      </c>
      <c r="Q58" s="154" t="s">
        <v>21</v>
      </c>
      <c r="R58" s="154" t="s">
        <v>21</v>
      </c>
      <c r="S58" s="154" t="s">
        <v>21</v>
      </c>
      <c r="T58" s="154" t="s">
        <v>21</v>
      </c>
      <c r="U58" s="89" t="s">
        <v>23</v>
      </c>
      <c r="V58" s="89" t="s">
        <v>23</v>
      </c>
      <c r="W58" s="93" t="s">
        <v>23</v>
      </c>
      <c r="X58" s="93" t="s">
        <v>23</v>
      </c>
      <c r="Y58" s="89" t="s">
        <v>23</v>
      </c>
      <c r="Z58" s="89" t="s">
        <v>23</v>
      </c>
      <c r="AA58" s="89" t="s">
        <v>23</v>
      </c>
      <c r="AB58" s="89" t="s">
        <v>23</v>
      </c>
      <c r="AC58" s="89" t="s">
        <v>23</v>
      </c>
      <c r="AD58" s="89" t="s">
        <v>23</v>
      </c>
      <c r="AE58" s="93" t="s">
        <v>23</v>
      </c>
      <c r="AF58" s="93" t="s">
        <v>23</v>
      </c>
      <c r="AG58" s="94">
        <v>0</v>
      </c>
      <c r="AH58" s="94"/>
      <c r="AI58" s="94"/>
      <c r="AJ58" s="94"/>
      <c r="AK58" s="95" t="s">
        <v>31</v>
      </c>
      <c r="AL58" s="108"/>
    </row>
    <row r="59" spans="1:38">
      <c r="A59" s="76">
        <v>44602</v>
      </c>
      <c r="B59" s="90">
        <v>1600</v>
      </c>
      <c r="C59" s="90"/>
      <c r="D59" s="90" cm="1">
        <f t="array" ref="D59">(SUM(VLOOKUP(I59:AF59,$AM$4:$AO$44,2,FALSE))+AG59*10)*IF(AK59="是",$AY$4,$AY$3)</f>
        <v>1712</v>
      </c>
      <c r="E59" s="90">
        <f>SUM($B$4:B59)+SUM($C$4:C59)-SUM($D$4:D59)</f>
        <v>200</v>
      </c>
      <c r="F59" s="90" cm="1">
        <f t="array" ref="F59">SUM(VLOOKUP(I59:AF59,$AM$4:$AO$44,3,FALSE))</f>
        <v>630</v>
      </c>
      <c r="G59" s="90">
        <f>SUM($F$4:F59)+SUM($H$4:H59)</f>
        <v>40450</v>
      </c>
      <c r="H59" s="90">
        <v>0</v>
      </c>
      <c r="I59" s="153" t="s">
        <v>20</v>
      </c>
      <c r="J59" s="153" t="s">
        <v>20</v>
      </c>
      <c r="K59" s="153" t="s">
        <v>20</v>
      </c>
      <c r="L59" s="153" t="s">
        <v>20</v>
      </c>
      <c r="M59" s="153" t="s">
        <v>20</v>
      </c>
      <c r="N59" s="153" t="s">
        <v>20</v>
      </c>
      <c r="O59" s="93" t="s">
        <v>23</v>
      </c>
      <c r="P59" s="93" t="s">
        <v>23</v>
      </c>
      <c r="Q59" s="154" t="s">
        <v>21</v>
      </c>
      <c r="R59" s="154" t="s">
        <v>21</v>
      </c>
      <c r="S59" s="154" t="s">
        <v>21</v>
      </c>
      <c r="T59" s="154" t="s">
        <v>21</v>
      </c>
      <c r="U59" s="154" t="s">
        <v>21</v>
      </c>
      <c r="V59" s="89" t="s">
        <v>23</v>
      </c>
      <c r="W59" s="93" t="s">
        <v>23</v>
      </c>
      <c r="X59" s="93" t="s">
        <v>23</v>
      </c>
      <c r="Y59" s="89" t="s">
        <v>23</v>
      </c>
      <c r="Z59" s="89" t="s">
        <v>23</v>
      </c>
      <c r="AA59" s="89" t="s">
        <v>23</v>
      </c>
      <c r="AB59" s="89" t="s">
        <v>23</v>
      </c>
      <c r="AC59" s="89" t="s">
        <v>23</v>
      </c>
      <c r="AD59" s="89" t="s">
        <v>23</v>
      </c>
      <c r="AE59" s="93" t="s">
        <v>23</v>
      </c>
      <c r="AF59" s="93" t="s">
        <v>23</v>
      </c>
      <c r="AG59" s="94">
        <v>0</v>
      </c>
      <c r="AH59" s="94"/>
      <c r="AI59" s="94"/>
      <c r="AJ59" s="94"/>
      <c r="AK59" s="95" t="s">
        <v>31</v>
      </c>
      <c r="AL59" s="108"/>
    </row>
    <row r="60" spans="1:38">
      <c r="A60" s="76">
        <v>44603</v>
      </c>
      <c r="B60" s="90">
        <v>1600</v>
      </c>
      <c r="C60" s="90"/>
      <c r="D60" s="90" cm="1">
        <f t="array" ref="D60">(SUM(VLOOKUP(I60:AF60,$AM$4:$AO$44,2,FALSE))+AG60*10)*IF(AK60="是",$AY$4,$AY$3)</f>
        <v>1552</v>
      </c>
      <c r="E60" s="90">
        <f>SUM($B$4:B60)+SUM($C$4:C60)-SUM($D$4:D60)</f>
        <v>248</v>
      </c>
      <c r="F60" s="90" cm="1">
        <f t="array" ref="F60">SUM(VLOOKUP(I60:AF60,$AM$4:$AO$44,3,FALSE))</f>
        <v>570</v>
      </c>
      <c r="G60" s="90">
        <f>SUM($F$4:F60)+SUM($H$4:H60)</f>
        <v>41020</v>
      </c>
      <c r="H60" s="90">
        <v>0</v>
      </c>
      <c r="I60" s="153" t="s">
        <v>20</v>
      </c>
      <c r="J60" s="153" t="s">
        <v>20</v>
      </c>
      <c r="K60" s="153" t="s">
        <v>20</v>
      </c>
      <c r="L60" s="153" t="s">
        <v>20</v>
      </c>
      <c r="M60" s="153" t="s">
        <v>20</v>
      </c>
      <c r="N60" s="153" t="s">
        <v>20</v>
      </c>
      <c r="O60" s="93" t="s">
        <v>23</v>
      </c>
      <c r="P60" s="93" t="s">
        <v>23</v>
      </c>
      <c r="Q60" s="154" t="s">
        <v>21</v>
      </c>
      <c r="R60" s="154" t="s">
        <v>21</v>
      </c>
      <c r="S60" s="154" t="s">
        <v>21</v>
      </c>
      <c r="T60" s="154" t="s">
        <v>21</v>
      </c>
      <c r="U60" s="89" t="s">
        <v>23</v>
      </c>
      <c r="V60" s="89" t="s">
        <v>23</v>
      </c>
      <c r="W60" s="93" t="s">
        <v>23</v>
      </c>
      <c r="X60" s="93" t="s">
        <v>23</v>
      </c>
      <c r="Y60" s="89" t="s">
        <v>23</v>
      </c>
      <c r="Z60" s="89" t="s">
        <v>23</v>
      </c>
      <c r="AA60" s="89" t="s">
        <v>23</v>
      </c>
      <c r="AB60" s="89" t="s">
        <v>23</v>
      </c>
      <c r="AC60" s="89" t="s">
        <v>23</v>
      </c>
      <c r="AD60" s="89" t="s">
        <v>23</v>
      </c>
      <c r="AE60" s="93" t="s">
        <v>23</v>
      </c>
      <c r="AF60" s="93" t="s">
        <v>23</v>
      </c>
      <c r="AG60" s="94">
        <v>0</v>
      </c>
      <c r="AH60" s="94"/>
      <c r="AI60" s="94"/>
      <c r="AJ60" s="94"/>
      <c r="AK60" s="95" t="s">
        <v>31</v>
      </c>
      <c r="AL60" s="108"/>
    </row>
    <row r="61" spans="1:38">
      <c r="A61" s="76">
        <v>44604</v>
      </c>
      <c r="B61" s="90">
        <v>1600</v>
      </c>
      <c r="C61" s="90"/>
      <c r="D61" s="90" cm="1">
        <f t="array" ref="D61">(SUM(VLOOKUP(I61:AF61,$AM$4:$AO$44,2,FALSE))+AG61*10)*IF(AK61="是",$AY$4,$AY$3)</f>
        <v>1552</v>
      </c>
      <c r="E61" s="90">
        <f>SUM($B$4:B61)+SUM($C$4:C61)-SUM($D$4:D61)</f>
        <v>296</v>
      </c>
      <c r="F61" s="90" cm="1">
        <f t="array" ref="F61">SUM(VLOOKUP(I61:AF61,$AM$4:$AO$44,3,FALSE))</f>
        <v>570</v>
      </c>
      <c r="G61" s="90">
        <f>SUM($F$4:F61)+SUM($H$4:H61)</f>
        <v>41590</v>
      </c>
      <c r="H61" s="90">
        <v>0</v>
      </c>
      <c r="I61" s="153" t="s">
        <v>20</v>
      </c>
      <c r="J61" s="153" t="s">
        <v>20</v>
      </c>
      <c r="K61" s="153" t="s">
        <v>20</v>
      </c>
      <c r="L61" s="153" t="s">
        <v>20</v>
      </c>
      <c r="M61" s="153" t="s">
        <v>20</v>
      </c>
      <c r="N61" s="153" t="s">
        <v>20</v>
      </c>
      <c r="O61" s="93" t="s">
        <v>23</v>
      </c>
      <c r="P61" s="93" t="s">
        <v>23</v>
      </c>
      <c r="Q61" s="154" t="s">
        <v>21</v>
      </c>
      <c r="R61" s="154" t="s">
        <v>21</v>
      </c>
      <c r="S61" s="154" t="s">
        <v>21</v>
      </c>
      <c r="T61" s="154" t="s">
        <v>21</v>
      </c>
      <c r="U61" s="89" t="s">
        <v>23</v>
      </c>
      <c r="V61" s="89" t="s">
        <v>23</v>
      </c>
      <c r="W61" s="93" t="s">
        <v>23</v>
      </c>
      <c r="X61" s="93" t="s">
        <v>23</v>
      </c>
      <c r="Y61" s="89" t="s">
        <v>23</v>
      </c>
      <c r="Z61" s="89" t="s">
        <v>23</v>
      </c>
      <c r="AA61" s="89" t="s">
        <v>23</v>
      </c>
      <c r="AB61" s="89" t="s">
        <v>23</v>
      </c>
      <c r="AC61" s="89" t="s">
        <v>23</v>
      </c>
      <c r="AD61" s="89" t="s">
        <v>23</v>
      </c>
      <c r="AE61" s="93" t="s">
        <v>23</v>
      </c>
      <c r="AF61" s="93" t="s">
        <v>23</v>
      </c>
      <c r="AG61" s="94">
        <v>0</v>
      </c>
      <c r="AH61" s="94"/>
      <c r="AI61" s="94"/>
      <c r="AJ61" s="94"/>
      <c r="AK61" s="95" t="s">
        <v>31</v>
      </c>
      <c r="AL61" s="108"/>
    </row>
    <row r="62" spans="1:38">
      <c r="A62" s="76">
        <v>44605</v>
      </c>
      <c r="B62" s="90">
        <v>1600</v>
      </c>
      <c r="C62" s="90"/>
      <c r="D62" s="90" cm="1">
        <f t="array" ref="D62">(SUM(VLOOKUP(I62:AF62,$AM$4:$AO$44,2,FALSE))+AG62*10)*IF(AK62="是",$AY$4,$AY$3)</f>
        <v>1712</v>
      </c>
      <c r="E62" s="90">
        <f>SUM($B$4:B62)+SUM($C$4:C62)-SUM($D$4:D62)</f>
        <v>184</v>
      </c>
      <c r="F62" s="90" cm="1">
        <f t="array" ref="F62">SUM(VLOOKUP(I62:AF62,$AM$4:$AO$44,3,FALSE))</f>
        <v>630</v>
      </c>
      <c r="G62" s="90">
        <f>SUM($F$4:F62)+SUM($H$4:H62)</f>
        <v>42220</v>
      </c>
      <c r="H62" s="90">
        <v>0</v>
      </c>
      <c r="I62" s="153" t="s">
        <v>20</v>
      </c>
      <c r="J62" s="153" t="s">
        <v>20</v>
      </c>
      <c r="K62" s="153" t="s">
        <v>20</v>
      </c>
      <c r="L62" s="153" t="s">
        <v>20</v>
      </c>
      <c r="M62" s="153" t="s">
        <v>20</v>
      </c>
      <c r="N62" s="153" t="s">
        <v>20</v>
      </c>
      <c r="O62" s="93" t="s">
        <v>23</v>
      </c>
      <c r="P62" s="93" t="s">
        <v>23</v>
      </c>
      <c r="Q62" s="154" t="s">
        <v>21</v>
      </c>
      <c r="R62" s="154" t="s">
        <v>21</v>
      </c>
      <c r="S62" s="154" t="s">
        <v>21</v>
      </c>
      <c r="T62" s="154" t="s">
        <v>21</v>
      </c>
      <c r="U62" s="154" t="s">
        <v>21</v>
      </c>
      <c r="V62" s="89" t="s">
        <v>23</v>
      </c>
      <c r="W62" s="93" t="s">
        <v>23</v>
      </c>
      <c r="X62" s="93" t="s">
        <v>23</v>
      </c>
      <c r="Y62" s="89" t="s">
        <v>23</v>
      </c>
      <c r="Z62" s="89" t="s">
        <v>23</v>
      </c>
      <c r="AA62" s="89" t="s">
        <v>23</v>
      </c>
      <c r="AB62" s="89" t="s">
        <v>23</v>
      </c>
      <c r="AC62" s="89" t="s">
        <v>23</v>
      </c>
      <c r="AD62" s="89" t="s">
        <v>23</v>
      </c>
      <c r="AE62" s="93" t="s">
        <v>23</v>
      </c>
      <c r="AF62" s="93" t="s">
        <v>23</v>
      </c>
      <c r="AG62" s="94">
        <v>0</v>
      </c>
      <c r="AH62" s="94"/>
      <c r="AI62" s="94"/>
      <c r="AJ62" s="94"/>
      <c r="AK62" s="95" t="s">
        <v>31</v>
      </c>
      <c r="AL62" s="108"/>
    </row>
    <row r="63" spans="1:38">
      <c r="A63" s="76">
        <v>44606</v>
      </c>
      <c r="B63" s="89">
        <v>1600</v>
      </c>
      <c r="C63" s="89"/>
      <c r="D63" s="90" cm="1">
        <f t="array" ref="D63">(SUM(VLOOKUP(I63:AF63,$AM$4:$AO$44,2,FALSE))+AG63*10)*IF(AK63="是",$AY$4,$AY$3)</f>
        <v>1544</v>
      </c>
      <c r="E63" s="90">
        <f>SUM($B$4:B63)+SUM($C$4:C63)-SUM($D$4:D63)</f>
        <v>240</v>
      </c>
      <c r="F63" s="90" cm="1">
        <f t="array" ref="F63">SUM(VLOOKUP(I63:AF63,$AM$4:$AO$44,3,FALSE))</f>
        <v>625</v>
      </c>
      <c r="G63" s="90">
        <f>SUM($F$4:F63)+SUM($H$4:H63)</f>
        <v>43145</v>
      </c>
      <c r="H63" s="89">
        <v>300</v>
      </c>
      <c r="I63" s="153" t="s">
        <v>20</v>
      </c>
      <c r="J63" s="153" t="s">
        <v>20</v>
      </c>
      <c r="K63" s="124" t="s">
        <v>47</v>
      </c>
      <c r="L63" s="153" t="s">
        <v>20</v>
      </c>
      <c r="M63" s="153" t="s">
        <v>20</v>
      </c>
      <c r="N63" s="153" t="s">
        <v>20</v>
      </c>
      <c r="O63" s="153" t="s">
        <v>20</v>
      </c>
      <c r="P63" s="153" t="s">
        <v>20</v>
      </c>
      <c r="Q63" s="154" t="s">
        <v>21</v>
      </c>
      <c r="R63" s="154" t="s">
        <v>21</v>
      </c>
      <c r="S63" s="154" t="s">
        <v>21</v>
      </c>
      <c r="T63" s="154" t="s">
        <v>21</v>
      </c>
      <c r="U63" s="89" t="s">
        <v>23</v>
      </c>
      <c r="V63" s="89" t="s">
        <v>23</v>
      </c>
      <c r="W63" s="93" t="s">
        <v>23</v>
      </c>
      <c r="X63" s="93" t="s">
        <v>23</v>
      </c>
      <c r="Y63" s="89" t="s">
        <v>23</v>
      </c>
      <c r="Z63" s="89" t="s">
        <v>23</v>
      </c>
      <c r="AA63" s="89" t="s">
        <v>23</v>
      </c>
      <c r="AB63" s="89" t="s">
        <v>23</v>
      </c>
      <c r="AC63" s="89" t="s">
        <v>23</v>
      </c>
      <c r="AD63" s="89" t="s">
        <v>23</v>
      </c>
      <c r="AE63" s="93" t="s">
        <v>23</v>
      </c>
      <c r="AF63" s="93" t="s">
        <v>23</v>
      </c>
      <c r="AG63" s="94">
        <v>0</v>
      </c>
      <c r="AH63" s="94"/>
      <c r="AI63" s="94"/>
      <c r="AJ63" s="94"/>
      <c r="AK63" s="95" t="s">
        <v>31</v>
      </c>
      <c r="AL63" s="108"/>
    </row>
    <row r="64" spans="1:38">
      <c r="A64" s="76">
        <v>44607</v>
      </c>
      <c r="B64" s="89">
        <v>1600</v>
      </c>
      <c r="C64" s="89"/>
      <c r="D64" s="90" cm="1">
        <f t="array" ref="D64">(SUM(VLOOKUP(I64:AF64,$AM$4:$AO$44,2,FALSE))+AG64*10)*IF(AK64="是",$AY$4,$AY$3)</f>
        <v>1552</v>
      </c>
      <c r="E64" s="90">
        <f>SUM($B$4:B64)+SUM($C$4:C64)-SUM($D$4:D64)</f>
        <v>288</v>
      </c>
      <c r="F64" s="90" cm="1">
        <f t="array" ref="F64">SUM(VLOOKUP(I64:AF64,$AM$4:$AO$44,3,FALSE))</f>
        <v>570</v>
      </c>
      <c r="G64" s="90">
        <f>SUM($F$4:F64)+SUM($H$4:H64)</f>
        <v>43715</v>
      </c>
      <c r="H64" s="89">
        <v>0</v>
      </c>
      <c r="I64" s="153" t="s">
        <v>20</v>
      </c>
      <c r="J64" s="153" t="s">
        <v>20</v>
      </c>
      <c r="K64" s="153" t="s">
        <v>20</v>
      </c>
      <c r="L64" s="153" t="s">
        <v>20</v>
      </c>
      <c r="M64" s="153" t="s">
        <v>20</v>
      </c>
      <c r="N64" s="153" t="s">
        <v>20</v>
      </c>
      <c r="O64" s="93" t="s">
        <v>23</v>
      </c>
      <c r="P64" s="93" t="s">
        <v>23</v>
      </c>
      <c r="Q64" s="154" t="s">
        <v>21</v>
      </c>
      <c r="R64" s="154" t="s">
        <v>21</v>
      </c>
      <c r="S64" s="154" t="s">
        <v>21</v>
      </c>
      <c r="T64" s="154" t="s">
        <v>21</v>
      </c>
      <c r="U64" s="89" t="s">
        <v>23</v>
      </c>
      <c r="V64" s="89" t="s">
        <v>23</v>
      </c>
      <c r="W64" s="93" t="s">
        <v>23</v>
      </c>
      <c r="X64" s="93" t="s">
        <v>23</v>
      </c>
      <c r="Y64" s="89" t="s">
        <v>23</v>
      </c>
      <c r="Z64" s="89" t="s">
        <v>23</v>
      </c>
      <c r="AA64" s="89" t="s">
        <v>23</v>
      </c>
      <c r="AB64" s="89" t="s">
        <v>23</v>
      </c>
      <c r="AC64" s="89" t="s">
        <v>23</v>
      </c>
      <c r="AD64" s="89" t="s">
        <v>23</v>
      </c>
      <c r="AE64" s="93" t="s">
        <v>23</v>
      </c>
      <c r="AF64" s="93" t="s">
        <v>23</v>
      </c>
      <c r="AG64" s="94">
        <v>0</v>
      </c>
      <c r="AH64" s="94"/>
      <c r="AI64" s="94"/>
      <c r="AJ64" s="94"/>
      <c r="AK64" s="95" t="s">
        <v>31</v>
      </c>
      <c r="AL64" s="108"/>
    </row>
    <row r="65" spans="1:38">
      <c r="A65" s="76">
        <v>44608</v>
      </c>
      <c r="B65" s="89">
        <v>1600</v>
      </c>
      <c r="C65" s="89"/>
      <c r="D65" s="90" cm="1">
        <f t="array" ref="D65">(SUM(VLOOKUP(I65:AF65,$AM$4:$AO$44,2,FALSE))+AG65*10)*IF(AK65="是",$AY$4,$AY$3)</f>
        <v>1552</v>
      </c>
      <c r="E65" s="90">
        <f>SUM($B$4:B65)+SUM($C$4:C65)-SUM($D$4:D65)</f>
        <v>336</v>
      </c>
      <c r="F65" s="90" cm="1">
        <f t="array" ref="F65">SUM(VLOOKUP(I65:AF65,$AM$4:$AO$44,3,FALSE))</f>
        <v>570</v>
      </c>
      <c r="G65" s="90">
        <f>SUM($F$4:F65)+SUM($H$4:H65)</f>
        <v>44485</v>
      </c>
      <c r="H65" s="89">
        <v>200</v>
      </c>
      <c r="I65" s="153" t="s">
        <v>20</v>
      </c>
      <c r="J65" s="153" t="s">
        <v>20</v>
      </c>
      <c r="K65" s="153" t="s">
        <v>20</v>
      </c>
      <c r="L65" s="153" t="s">
        <v>20</v>
      </c>
      <c r="M65" s="153" t="s">
        <v>20</v>
      </c>
      <c r="N65" s="153" t="s">
        <v>20</v>
      </c>
      <c r="O65" s="93" t="s">
        <v>23</v>
      </c>
      <c r="P65" s="93" t="s">
        <v>23</v>
      </c>
      <c r="Q65" s="154" t="s">
        <v>21</v>
      </c>
      <c r="R65" s="154" t="s">
        <v>21</v>
      </c>
      <c r="S65" s="154" t="s">
        <v>21</v>
      </c>
      <c r="T65" s="154" t="s">
        <v>21</v>
      </c>
      <c r="U65" s="89" t="s">
        <v>23</v>
      </c>
      <c r="V65" s="89" t="s">
        <v>23</v>
      </c>
      <c r="W65" s="93" t="s">
        <v>23</v>
      </c>
      <c r="X65" s="93" t="s">
        <v>23</v>
      </c>
      <c r="Y65" s="89" t="s">
        <v>23</v>
      </c>
      <c r="Z65" s="89" t="s">
        <v>23</v>
      </c>
      <c r="AA65" s="89" t="s">
        <v>23</v>
      </c>
      <c r="AB65" s="89" t="s">
        <v>23</v>
      </c>
      <c r="AC65" s="89" t="s">
        <v>23</v>
      </c>
      <c r="AD65" s="89" t="s">
        <v>23</v>
      </c>
      <c r="AE65" s="93" t="s">
        <v>23</v>
      </c>
      <c r="AF65" s="93" t="s">
        <v>23</v>
      </c>
      <c r="AG65" s="94">
        <v>0</v>
      </c>
      <c r="AH65" s="94"/>
      <c r="AI65" s="94"/>
      <c r="AJ65" s="94"/>
      <c r="AK65" s="95" t="s">
        <v>31</v>
      </c>
      <c r="AL65" s="108"/>
    </row>
    <row r="66" spans="1:38">
      <c r="A66" s="76">
        <v>44609</v>
      </c>
      <c r="B66" s="89">
        <v>1600</v>
      </c>
      <c r="C66" s="89"/>
      <c r="D66" s="90" cm="1">
        <f t="array" ref="D66">(SUM(VLOOKUP(I66:AF66,$AM$4:$AO$44,2,FALSE))+AG66*10)*IF(AK66="是",$AY$4,$AY$3)</f>
        <v>1640</v>
      </c>
      <c r="E66" s="90">
        <f>SUM($B$4:B66)+SUM($C$4:C66)-SUM($D$4:D66)</f>
        <v>296</v>
      </c>
      <c r="F66" s="90" cm="1">
        <f t="array" ref="F66">SUM(VLOOKUP(I66:AF66,$AM$4:$AO$44,3,FALSE))</f>
        <v>610</v>
      </c>
      <c r="G66" s="90">
        <f>SUM($F$4:F66)+SUM($H$4:H66)</f>
        <v>45095</v>
      </c>
      <c r="H66" s="89">
        <v>0</v>
      </c>
      <c r="I66" s="153" t="s">
        <v>20</v>
      </c>
      <c r="J66" s="143" t="s">
        <v>19</v>
      </c>
      <c r="K66" s="143" t="s">
        <v>19</v>
      </c>
      <c r="L66" s="143" t="s">
        <v>19</v>
      </c>
      <c r="M66" s="143" t="s">
        <v>19</v>
      </c>
      <c r="N66" s="153" t="s">
        <v>20</v>
      </c>
      <c r="O66" s="93" t="s">
        <v>23</v>
      </c>
      <c r="P66" s="93" t="s">
        <v>23</v>
      </c>
      <c r="Q66" s="154" t="s">
        <v>10</v>
      </c>
      <c r="R66" s="154" t="s">
        <v>21</v>
      </c>
      <c r="S66" s="154" t="s">
        <v>21</v>
      </c>
      <c r="T66" s="154" t="s">
        <v>21</v>
      </c>
      <c r="U66" s="154" t="s">
        <v>21</v>
      </c>
      <c r="V66" s="89" t="s">
        <v>23</v>
      </c>
      <c r="W66" s="93" t="s">
        <v>23</v>
      </c>
      <c r="X66" s="93" t="s">
        <v>23</v>
      </c>
      <c r="Y66" s="89" t="s">
        <v>23</v>
      </c>
      <c r="Z66" s="89" t="s">
        <v>23</v>
      </c>
      <c r="AA66" s="89" t="s">
        <v>23</v>
      </c>
      <c r="AB66" s="89" t="s">
        <v>23</v>
      </c>
      <c r="AC66" s="89" t="s">
        <v>23</v>
      </c>
      <c r="AD66" s="89" t="s">
        <v>23</v>
      </c>
      <c r="AE66" s="93" t="s">
        <v>23</v>
      </c>
      <c r="AF66" s="93" t="s">
        <v>23</v>
      </c>
      <c r="AG66" s="94">
        <v>0</v>
      </c>
      <c r="AH66" s="94"/>
      <c r="AI66" s="94"/>
      <c r="AJ66" s="94"/>
      <c r="AK66" s="95" t="s">
        <v>31</v>
      </c>
      <c r="AL66" s="108"/>
    </row>
    <row r="67" spans="1:38">
      <c r="A67" s="76">
        <v>44610</v>
      </c>
      <c r="B67" s="89">
        <v>1600</v>
      </c>
      <c r="C67" s="89"/>
      <c r="D67" s="90" cm="1">
        <f t="array" ref="D67">(SUM(VLOOKUP(I67:AF67,$AM$4:$AO$44,2,FALSE))+AG67*10)*IF(AK67="是",$AY$4,$AY$3)</f>
        <v>1712</v>
      </c>
      <c r="E67" s="90">
        <f>SUM($B$4:B67)+SUM($C$4:C67)-SUM($D$4:D67)</f>
        <v>184</v>
      </c>
      <c r="F67" s="90" cm="1">
        <f t="array" ref="F67">SUM(VLOOKUP(I67:AF67,$AM$4:$AO$44,3,FALSE))</f>
        <v>630</v>
      </c>
      <c r="G67" s="90">
        <f>SUM($F$4:F67)+SUM($H$4:H67)</f>
        <v>45725</v>
      </c>
      <c r="H67" s="89">
        <v>0</v>
      </c>
      <c r="I67" s="153" t="s">
        <v>20</v>
      </c>
      <c r="J67" s="153" t="s">
        <v>20</v>
      </c>
      <c r="K67" s="153" t="s">
        <v>20</v>
      </c>
      <c r="L67" s="153" t="s">
        <v>20</v>
      </c>
      <c r="M67" s="153" t="s">
        <v>20</v>
      </c>
      <c r="N67" s="153" t="s">
        <v>20</v>
      </c>
      <c r="O67" s="93" t="s">
        <v>23</v>
      </c>
      <c r="P67" s="93" t="s">
        <v>23</v>
      </c>
      <c r="Q67" s="154" t="s">
        <v>21</v>
      </c>
      <c r="R67" s="154" t="s">
        <v>21</v>
      </c>
      <c r="S67" s="154" t="s">
        <v>21</v>
      </c>
      <c r="T67" s="154" t="s">
        <v>21</v>
      </c>
      <c r="U67" s="154" t="s">
        <v>21</v>
      </c>
      <c r="V67" s="89" t="s">
        <v>23</v>
      </c>
      <c r="W67" s="93" t="s">
        <v>23</v>
      </c>
      <c r="X67" s="93" t="s">
        <v>23</v>
      </c>
      <c r="Y67" s="89" t="s">
        <v>23</v>
      </c>
      <c r="Z67" s="89" t="s">
        <v>23</v>
      </c>
      <c r="AA67" s="89" t="s">
        <v>23</v>
      </c>
      <c r="AB67" s="89" t="s">
        <v>23</v>
      </c>
      <c r="AC67" s="89" t="s">
        <v>23</v>
      </c>
      <c r="AD67" s="89" t="s">
        <v>23</v>
      </c>
      <c r="AE67" s="93" t="s">
        <v>23</v>
      </c>
      <c r="AF67" s="93" t="s">
        <v>23</v>
      </c>
      <c r="AG67" s="94">
        <v>0</v>
      </c>
      <c r="AH67" s="94"/>
      <c r="AI67" s="94"/>
      <c r="AJ67" s="94"/>
      <c r="AK67" s="95" t="s">
        <v>31</v>
      </c>
      <c r="AL67" s="108"/>
    </row>
    <row r="68" spans="1:38">
      <c r="A68" s="76">
        <v>44611</v>
      </c>
      <c r="B68" s="89">
        <v>1600</v>
      </c>
      <c r="C68" s="89"/>
      <c r="D68" s="90" cm="1">
        <f t="array" ref="D68">(SUM(VLOOKUP(I68:AF68,$AM$4:$AO$44,2,FALSE))+AG68*10)*IF(AK68="是",$AY$4,$AY$3)</f>
        <v>1688</v>
      </c>
      <c r="E68" s="90">
        <f>SUM($B$4:B68)+SUM($C$4:C68)-SUM($D$4:D68)</f>
        <v>96</v>
      </c>
      <c r="F68" s="90" cm="1">
        <f t="array" ref="F68">SUM(VLOOKUP(I68:AF68,$AM$4:$AO$44,3,FALSE))</f>
        <v>615</v>
      </c>
      <c r="G68" s="90">
        <f>SUM($F$4:F68)+SUM($H$4:H68)</f>
        <v>46340</v>
      </c>
      <c r="H68" s="89">
        <v>0</v>
      </c>
      <c r="I68" s="153" t="s">
        <v>20</v>
      </c>
      <c r="J68" s="153" t="s">
        <v>20</v>
      </c>
      <c r="K68" s="153" t="s">
        <v>20</v>
      </c>
      <c r="L68" s="153" t="s">
        <v>20</v>
      </c>
      <c r="M68" s="153" t="s">
        <v>20</v>
      </c>
      <c r="N68" s="153" t="s">
        <v>20</v>
      </c>
      <c r="O68" s="93" t="s">
        <v>23</v>
      </c>
      <c r="P68" s="93" t="s">
        <v>23</v>
      </c>
      <c r="Q68" s="154" t="s">
        <v>21</v>
      </c>
      <c r="R68" s="154" t="s">
        <v>21</v>
      </c>
      <c r="S68" s="153" t="s">
        <v>20</v>
      </c>
      <c r="T68" s="153" t="s">
        <v>20</v>
      </c>
      <c r="U68" s="153" t="s">
        <v>20</v>
      </c>
      <c r="V68" s="89" t="s">
        <v>23</v>
      </c>
      <c r="W68" s="93" t="s">
        <v>23</v>
      </c>
      <c r="X68" s="93" t="s">
        <v>23</v>
      </c>
      <c r="Y68" s="89" t="s">
        <v>23</v>
      </c>
      <c r="Z68" s="89" t="s">
        <v>23</v>
      </c>
      <c r="AA68" s="89" t="s">
        <v>23</v>
      </c>
      <c r="AB68" s="89" t="s">
        <v>23</v>
      </c>
      <c r="AC68" s="89" t="s">
        <v>23</v>
      </c>
      <c r="AD68" s="89" t="s">
        <v>23</v>
      </c>
      <c r="AE68" s="93" t="s">
        <v>23</v>
      </c>
      <c r="AF68" s="93" t="s">
        <v>23</v>
      </c>
      <c r="AG68" s="94">
        <v>0</v>
      </c>
      <c r="AH68" s="94"/>
      <c r="AI68" s="94"/>
      <c r="AJ68" s="94"/>
      <c r="AK68" s="95" t="s">
        <v>31</v>
      </c>
      <c r="AL68" s="108"/>
    </row>
    <row r="69" spans="1:38">
      <c r="A69" s="76">
        <v>44612</v>
      </c>
      <c r="B69" s="89">
        <v>1600</v>
      </c>
      <c r="C69" s="89"/>
      <c r="D69" s="90" cm="1">
        <f t="array" ref="D69">(SUM(VLOOKUP(I69:AF69,$AM$4:$AO$44,2,FALSE))+AG69*10)*IF(AK69="是",$AY$4,$AY$3)</f>
        <v>1616</v>
      </c>
      <c r="E69" s="90">
        <f>SUM($B$4:B69)+SUM($C$4:C69)-SUM($D$4:D69)</f>
        <v>80</v>
      </c>
      <c r="F69" s="90" cm="1">
        <f t="array" ref="F69">SUM(VLOOKUP(I69:AF69,$AM$4:$AO$44,3,FALSE))</f>
        <v>585</v>
      </c>
      <c r="G69" s="90">
        <f>SUM($F$4:F69)+SUM($H$4:H69)</f>
        <v>46925</v>
      </c>
      <c r="H69" s="89">
        <v>0</v>
      </c>
      <c r="I69" s="143" t="s">
        <v>8</v>
      </c>
      <c r="J69" s="143" t="s">
        <v>19</v>
      </c>
      <c r="K69" s="153" t="s">
        <v>20</v>
      </c>
      <c r="L69" s="143" t="s">
        <v>19</v>
      </c>
      <c r="M69" s="143" t="s">
        <v>19</v>
      </c>
      <c r="N69" s="153" t="s">
        <v>20</v>
      </c>
      <c r="O69" s="93" t="s">
        <v>23</v>
      </c>
      <c r="P69" s="93" t="s">
        <v>23</v>
      </c>
      <c r="Q69" s="153" t="s">
        <v>20</v>
      </c>
      <c r="R69" s="153" t="s">
        <v>20</v>
      </c>
      <c r="S69" s="153" t="s">
        <v>20</v>
      </c>
      <c r="T69" s="153" t="s">
        <v>20</v>
      </c>
      <c r="U69" s="153" t="s">
        <v>20</v>
      </c>
      <c r="V69" s="89" t="s">
        <v>23</v>
      </c>
      <c r="W69" s="93" t="s">
        <v>23</v>
      </c>
      <c r="X69" s="93" t="s">
        <v>23</v>
      </c>
      <c r="Y69" s="89" t="s">
        <v>23</v>
      </c>
      <c r="Z69" s="89" t="s">
        <v>23</v>
      </c>
      <c r="AA69" s="89" t="s">
        <v>23</v>
      </c>
      <c r="AB69" s="89" t="s">
        <v>23</v>
      </c>
      <c r="AC69" s="89" t="s">
        <v>23</v>
      </c>
      <c r="AD69" s="89" t="s">
        <v>23</v>
      </c>
      <c r="AE69" s="93" t="s">
        <v>23</v>
      </c>
      <c r="AF69" s="93" t="s">
        <v>23</v>
      </c>
      <c r="AG69" s="94">
        <v>0</v>
      </c>
      <c r="AH69" s="94"/>
      <c r="AI69" s="94"/>
      <c r="AJ69" s="94"/>
      <c r="AK69" s="95" t="s">
        <v>31</v>
      </c>
      <c r="AL69" s="108"/>
    </row>
    <row r="70" spans="1:38">
      <c r="A70" s="76">
        <v>44613</v>
      </c>
      <c r="B70" s="90">
        <v>1600</v>
      </c>
      <c r="C70" s="90"/>
      <c r="D70" s="90" cm="1">
        <f t="array" ref="D70">(SUM(VLOOKUP(I70:AF70,$AM$4:$AO$44,2,FALSE))+AG70*10)*IF(AK70="是",$AY$4,$AY$3)</f>
        <v>1672</v>
      </c>
      <c r="E70" s="90">
        <f>SUM($B$4:B70)+SUM($C$4:C70)-SUM($D$4:D70)</f>
        <v>8</v>
      </c>
      <c r="F70" s="90" cm="1">
        <f t="array" ref="F70">SUM(VLOOKUP(I70:AF70,$AM$4:$AO$44,3,FALSE))</f>
        <v>610</v>
      </c>
      <c r="G70" s="90">
        <f>SUM($F$4:F70)+SUM($H$4:H70)</f>
        <v>47835</v>
      </c>
      <c r="H70" s="90">
        <v>300</v>
      </c>
      <c r="I70" s="143" t="s">
        <v>19</v>
      </c>
      <c r="J70" s="143" t="s">
        <v>19</v>
      </c>
      <c r="K70" s="143" t="s">
        <v>19</v>
      </c>
      <c r="L70" s="143" t="s">
        <v>19</v>
      </c>
      <c r="M70" s="136" t="s">
        <v>12</v>
      </c>
      <c r="N70" s="143" t="s">
        <v>19</v>
      </c>
      <c r="O70" s="93" t="s">
        <v>23</v>
      </c>
      <c r="P70" s="93" t="s">
        <v>23</v>
      </c>
      <c r="Q70" s="153" t="s">
        <v>20</v>
      </c>
      <c r="R70" s="153" t="s">
        <v>20</v>
      </c>
      <c r="S70" s="153" t="s">
        <v>20</v>
      </c>
      <c r="T70" s="153" t="s">
        <v>20</v>
      </c>
      <c r="U70" s="153" t="s">
        <v>20</v>
      </c>
      <c r="V70" s="153" t="s">
        <v>20</v>
      </c>
      <c r="W70" s="93" t="s">
        <v>23</v>
      </c>
      <c r="X70" s="93" t="s">
        <v>23</v>
      </c>
      <c r="Y70" s="89" t="s">
        <v>23</v>
      </c>
      <c r="Z70" s="89" t="s">
        <v>23</v>
      </c>
      <c r="AA70" s="89" t="s">
        <v>23</v>
      </c>
      <c r="AB70" s="89" t="s">
        <v>23</v>
      </c>
      <c r="AC70" s="89" t="s">
        <v>23</v>
      </c>
      <c r="AD70" s="89" t="s">
        <v>23</v>
      </c>
      <c r="AE70" s="93" t="s">
        <v>23</v>
      </c>
      <c r="AF70" s="93" t="s">
        <v>23</v>
      </c>
      <c r="AG70" s="94">
        <v>0</v>
      </c>
      <c r="AH70" s="94"/>
      <c r="AI70" s="94"/>
      <c r="AJ70" s="94"/>
      <c r="AK70" s="95" t="s">
        <v>31</v>
      </c>
      <c r="AL70" s="108"/>
    </row>
    <row r="71" spans="1:38">
      <c r="A71" s="76">
        <v>44614</v>
      </c>
      <c r="B71" s="90">
        <v>1600</v>
      </c>
      <c r="C71" s="90"/>
      <c r="D71" s="90" cm="1">
        <f t="array" ref="D71">(SUM(VLOOKUP(I71:AF71,$AM$4:$AO$44,2,FALSE))+AG71*10)*IF(AK71="是",$AY$4,$AY$3)</f>
        <v>1600</v>
      </c>
      <c r="E71" s="90">
        <f>SUM($B$4:B71)+SUM($C$4:C71)-SUM($D$4:D71)</f>
        <v>8</v>
      </c>
      <c r="F71" s="90" cm="1">
        <f t="array" ref="F71">SUM(VLOOKUP(I71:AF71,$AM$4:$AO$44,3,FALSE))</f>
        <v>575</v>
      </c>
      <c r="G71" s="90">
        <f>SUM($F$4:F71)+SUM($H$4:H71)</f>
        <v>48410</v>
      </c>
      <c r="H71" s="90">
        <v>0</v>
      </c>
      <c r="I71" s="143" t="s">
        <v>19</v>
      </c>
      <c r="J71" s="143" t="s">
        <v>8</v>
      </c>
      <c r="K71" s="143" t="s">
        <v>19</v>
      </c>
      <c r="L71" s="143" t="s">
        <v>19</v>
      </c>
      <c r="M71" s="143" t="s">
        <v>19</v>
      </c>
      <c r="N71" s="143" t="s">
        <v>19</v>
      </c>
      <c r="O71" s="93" t="s">
        <v>23</v>
      </c>
      <c r="P71" s="93" t="s">
        <v>23</v>
      </c>
      <c r="Q71" s="153" t="s">
        <v>20</v>
      </c>
      <c r="R71" s="153" t="s">
        <v>20</v>
      </c>
      <c r="S71" s="153" t="s">
        <v>20</v>
      </c>
      <c r="T71" s="153" t="s">
        <v>20</v>
      </c>
      <c r="U71" s="153" t="s">
        <v>20</v>
      </c>
      <c r="V71" s="89" t="s">
        <v>23</v>
      </c>
      <c r="W71" s="93" t="s">
        <v>23</v>
      </c>
      <c r="X71" s="93" t="s">
        <v>23</v>
      </c>
      <c r="Y71" s="89" t="s">
        <v>23</v>
      </c>
      <c r="Z71" s="89" t="s">
        <v>23</v>
      </c>
      <c r="AA71" s="89" t="s">
        <v>23</v>
      </c>
      <c r="AB71" s="89" t="s">
        <v>23</v>
      </c>
      <c r="AC71" s="89" t="s">
        <v>23</v>
      </c>
      <c r="AD71" s="89" t="s">
        <v>23</v>
      </c>
      <c r="AE71" s="93" t="s">
        <v>23</v>
      </c>
      <c r="AF71" s="93" t="s">
        <v>23</v>
      </c>
      <c r="AG71" s="94">
        <v>0</v>
      </c>
      <c r="AH71" s="94"/>
      <c r="AI71" s="94"/>
      <c r="AJ71" s="94"/>
      <c r="AK71" s="95" t="s">
        <v>31</v>
      </c>
      <c r="AL71" s="108"/>
    </row>
    <row r="72" spans="1:38">
      <c r="A72" s="76">
        <v>44615</v>
      </c>
      <c r="B72" s="90">
        <v>1600</v>
      </c>
      <c r="C72" s="90"/>
      <c r="D72" s="90" cm="1">
        <f t="array" ref="D72">(SUM(VLOOKUP(I72:AF72,$AM$4:$AO$44,2,FALSE))+AG72*10)*IF(AK72="是",$AY$4,$AY$3)</f>
        <v>1352</v>
      </c>
      <c r="E72" s="90">
        <f>SUM($B$4:B72)+SUM($C$4:C72)-SUM($D$4:D72)</f>
        <v>256</v>
      </c>
      <c r="F72" s="90" cm="1">
        <f t="array" ref="F72">SUM(VLOOKUP(I72:AF72,$AM$4:$AO$44,3,FALSE))</f>
        <v>490</v>
      </c>
      <c r="G72" s="90">
        <f>SUM($F$4:F72)+SUM($H$4:H72)</f>
        <v>49100</v>
      </c>
      <c r="H72" s="90">
        <v>200</v>
      </c>
      <c r="I72" s="143" t="s">
        <v>19</v>
      </c>
      <c r="J72" s="143" t="s">
        <v>19</v>
      </c>
      <c r="K72" s="136" t="s">
        <v>12</v>
      </c>
      <c r="L72" s="143" t="s">
        <v>19</v>
      </c>
      <c r="M72" s="143" t="s">
        <v>19</v>
      </c>
      <c r="N72" s="143" t="s">
        <v>19</v>
      </c>
      <c r="O72" s="93" t="s">
        <v>23</v>
      </c>
      <c r="P72" s="93" t="s">
        <v>23</v>
      </c>
      <c r="Q72" s="153" t="s">
        <v>20</v>
      </c>
      <c r="R72" s="153" t="s">
        <v>20</v>
      </c>
      <c r="S72" s="143" t="s">
        <v>19</v>
      </c>
      <c r="T72" s="143" t="s">
        <v>19</v>
      </c>
      <c r="U72" s="89" t="s">
        <v>23</v>
      </c>
      <c r="V72" s="89" t="s">
        <v>23</v>
      </c>
      <c r="W72" s="93" t="s">
        <v>23</v>
      </c>
      <c r="X72" s="93" t="s">
        <v>23</v>
      </c>
      <c r="Y72" s="89" t="s">
        <v>23</v>
      </c>
      <c r="Z72" s="89" t="s">
        <v>23</v>
      </c>
      <c r="AA72" s="89" t="s">
        <v>23</v>
      </c>
      <c r="AB72" s="89" t="s">
        <v>23</v>
      </c>
      <c r="AC72" s="89" t="s">
        <v>23</v>
      </c>
      <c r="AD72" s="89" t="s">
        <v>23</v>
      </c>
      <c r="AE72" s="93" t="s">
        <v>23</v>
      </c>
      <c r="AF72" s="93" t="s">
        <v>23</v>
      </c>
      <c r="AG72" s="94">
        <v>0</v>
      </c>
      <c r="AH72" s="94"/>
      <c r="AI72" s="94"/>
      <c r="AJ72" s="94"/>
      <c r="AK72" s="95" t="s">
        <v>31</v>
      </c>
      <c r="AL72" s="108"/>
    </row>
    <row r="73" spans="1:38">
      <c r="A73" s="76">
        <v>44616</v>
      </c>
      <c r="B73" s="90">
        <v>1600</v>
      </c>
      <c r="C73" s="90"/>
      <c r="D73" s="90" cm="1">
        <f t="array" ref="D73">(SUM(VLOOKUP(I73:AF73,$AM$4:$AO$44,2,FALSE))+AG73*10)*IF(AK73="是",$AY$4,$AY$3)</f>
        <v>1624</v>
      </c>
      <c r="E73" s="90">
        <f>SUM($B$4:B73)+SUM($C$4:C73)-SUM($D$4:D73)</f>
        <v>232</v>
      </c>
      <c r="F73" s="90" cm="1">
        <f t="array" ref="F73">SUM(VLOOKUP(I73:AF73,$AM$4:$AO$44,3,FALSE))</f>
        <v>580</v>
      </c>
      <c r="G73" s="90">
        <f>SUM($F$4:F73)+SUM($H$4:H73)</f>
        <v>49680</v>
      </c>
      <c r="H73" s="90">
        <v>0</v>
      </c>
      <c r="I73" s="143" t="s">
        <v>19</v>
      </c>
      <c r="J73" s="143" t="s">
        <v>19</v>
      </c>
      <c r="K73" s="143" t="s">
        <v>19</v>
      </c>
      <c r="L73" s="143" t="s">
        <v>19</v>
      </c>
      <c r="M73" s="143" t="s">
        <v>19</v>
      </c>
      <c r="N73" s="143" t="s">
        <v>19</v>
      </c>
      <c r="O73" s="93" t="s">
        <v>23</v>
      </c>
      <c r="P73" s="93" t="s">
        <v>23</v>
      </c>
      <c r="Q73" s="143" t="s">
        <v>19</v>
      </c>
      <c r="R73" s="143" t="s">
        <v>19</v>
      </c>
      <c r="S73" s="143" t="s">
        <v>19</v>
      </c>
      <c r="T73" s="136" t="s">
        <v>12</v>
      </c>
      <c r="U73" s="143" t="s">
        <v>19</v>
      </c>
      <c r="V73" s="143" t="s">
        <v>19</v>
      </c>
      <c r="W73" s="93" t="s">
        <v>23</v>
      </c>
      <c r="X73" s="93" t="s">
        <v>23</v>
      </c>
      <c r="Y73" s="89" t="s">
        <v>23</v>
      </c>
      <c r="Z73" s="89" t="s">
        <v>23</v>
      </c>
      <c r="AA73" s="89" t="s">
        <v>23</v>
      </c>
      <c r="AB73" s="89" t="s">
        <v>23</v>
      </c>
      <c r="AC73" s="89" t="s">
        <v>23</v>
      </c>
      <c r="AD73" s="89" t="s">
        <v>23</v>
      </c>
      <c r="AE73" s="93" t="s">
        <v>23</v>
      </c>
      <c r="AF73" s="93" t="s">
        <v>23</v>
      </c>
      <c r="AG73" s="94">
        <v>0</v>
      </c>
      <c r="AH73" s="94"/>
      <c r="AI73" s="94"/>
      <c r="AJ73" s="94"/>
      <c r="AK73" s="95" t="s">
        <v>31</v>
      </c>
      <c r="AL73" s="108"/>
    </row>
    <row r="74" spans="1:38">
      <c r="A74" s="76">
        <v>44617</v>
      </c>
      <c r="B74" s="90">
        <v>1600</v>
      </c>
      <c r="C74" s="90"/>
      <c r="D74" s="90" cm="1">
        <f t="array" ref="D74">(SUM(VLOOKUP(I74:AF74,$AM$4:$AO$44,2,FALSE))+AG74*10)*IF(AK74="是",$AY$4,$AY$3)</f>
        <v>1712</v>
      </c>
      <c r="E74" s="90">
        <f>SUM($B$4:B74)+SUM($C$4:C74)-SUM($D$4:D74)</f>
        <v>120</v>
      </c>
      <c r="F74" s="90" cm="1">
        <f t="array" ref="F74">SUM(VLOOKUP(I74:AF74,$AM$4:$AO$44,3,FALSE))</f>
        <v>650</v>
      </c>
      <c r="G74" s="90">
        <f>SUM($F$4:F74)+SUM($H$4:H74)</f>
        <v>50330</v>
      </c>
      <c r="H74" s="90">
        <v>0</v>
      </c>
      <c r="I74" s="143" t="s">
        <v>19</v>
      </c>
      <c r="J74" s="143" t="s">
        <v>19</v>
      </c>
      <c r="K74" s="143" t="s">
        <v>19</v>
      </c>
      <c r="L74" s="143" t="s">
        <v>19</v>
      </c>
      <c r="M74" s="143" t="s">
        <v>19</v>
      </c>
      <c r="N74" s="143" t="s">
        <v>19</v>
      </c>
      <c r="O74" s="93" t="s">
        <v>23</v>
      </c>
      <c r="P74" s="93" t="s">
        <v>23</v>
      </c>
      <c r="Q74" s="143" t="s">
        <v>19</v>
      </c>
      <c r="R74" s="143" t="s">
        <v>19</v>
      </c>
      <c r="S74" s="143" t="s">
        <v>19</v>
      </c>
      <c r="T74" s="143" t="s">
        <v>19</v>
      </c>
      <c r="U74" s="124" t="s">
        <v>47</v>
      </c>
      <c r="V74" s="143" t="s">
        <v>19</v>
      </c>
      <c r="W74" s="143" t="s">
        <v>19</v>
      </c>
      <c r="X74" s="143" t="s">
        <v>19</v>
      </c>
      <c r="Y74" s="89" t="s">
        <v>23</v>
      </c>
      <c r="Z74" s="89" t="s">
        <v>23</v>
      </c>
      <c r="AA74" s="89" t="s">
        <v>23</v>
      </c>
      <c r="AB74" s="89" t="s">
        <v>23</v>
      </c>
      <c r="AC74" s="89" t="s">
        <v>23</v>
      </c>
      <c r="AD74" s="89" t="s">
        <v>23</v>
      </c>
      <c r="AE74" s="93" t="s">
        <v>23</v>
      </c>
      <c r="AF74" s="93" t="s">
        <v>23</v>
      </c>
      <c r="AG74" s="94">
        <v>0</v>
      </c>
      <c r="AH74" s="94"/>
      <c r="AI74" s="94"/>
      <c r="AJ74" s="94"/>
      <c r="AK74" s="95" t="s">
        <v>31</v>
      </c>
      <c r="AL74" s="108"/>
    </row>
    <row r="75" spans="1:38">
      <c r="A75" s="76">
        <v>44618</v>
      </c>
      <c r="B75" s="90">
        <v>1600</v>
      </c>
      <c r="C75" s="90"/>
      <c r="D75" s="90" cm="1">
        <f t="array" ref="D75">(SUM(VLOOKUP(I75:AF75,$AM$4:$AO$44,2,FALSE))+AG75*10)*IF(AK75="是",$AY$4,$AY$3)</f>
        <v>1584</v>
      </c>
      <c r="E75" s="90">
        <f>SUM($B$4:B75)+SUM($C$4:C75)-SUM($D$4:D75)</f>
        <v>136</v>
      </c>
      <c r="F75" s="90" cm="1">
        <f t="array" ref="F75">SUM(VLOOKUP(I75:AF75,$AM$4:$AO$44,3,FALSE))</f>
        <v>550</v>
      </c>
      <c r="G75" s="90">
        <f>SUM($F$4:F75)+SUM($H$4:H75)</f>
        <v>50880</v>
      </c>
      <c r="H75" s="90">
        <v>0</v>
      </c>
      <c r="I75" s="143" t="s">
        <v>19</v>
      </c>
      <c r="J75" s="143" t="s">
        <v>19</v>
      </c>
      <c r="K75" s="143" t="s">
        <v>19</v>
      </c>
      <c r="L75" s="143" t="s">
        <v>19</v>
      </c>
      <c r="M75" s="143" t="s">
        <v>19</v>
      </c>
      <c r="N75" s="143" t="s">
        <v>19</v>
      </c>
      <c r="O75" s="93" t="s">
        <v>23</v>
      </c>
      <c r="P75" s="93" t="s">
        <v>23</v>
      </c>
      <c r="Q75" s="143" t="s">
        <v>19</v>
      </c>
      <c r="R75" s="143" t="s">
        <v>19</v>
      </c>
      <c r="S75" s="143" t="s">
        <v>19</v>
      </c>
      <c r="T75" s="143" t="s">
        <v>19</v>
      </c>
      <c r="U75" s="143" t="s">
        <v>19</v>
      </c>
      <c r="V75" s="89" t="s">
        <v>23</v>
      </c>
      <c r="W75" s="93" t="s">
        <v>23</v>
      </c>
      <c r="X75" s="93" t="s">
        <v>23</v>
      </c>
      <c r="Y75" s="89" t="s">
        <v>23</v>
      </c>
      <c r="Z75" s="89" t="s">
        <v>23</v>
      </c>
      <c r="AA75" s="89" t="s">
        <v>23</v>
      </c>
      <c r="AB75" s="89" t="s">
        <v>23</v>
      </c>
      <c r="AC75" s="89" t="s">
        <v>23</v>
      </c>
      <c r="AD75" s="89" t="s">
        <v>23</v>
      </c>
      <c r="AE75" s="93" t="s">
        <v>23</v>
      </c>
      <c r="AF75" s="93" t="s">
        <v>23</v>
      </c>
      <c r="AG75" s="94">
        <v>0</v>
      </c>
      <c r="AH75" s="94"/>
      <c r="AI75" s="94"/>
      <c r="AJ75" s="94"/>
      <c r="AK75" s="95" t="s">
        <v>31</v>
      </c>
      <c r="AL75" s="108"/>
    </row>
    <row r="76" spans="1:38">
      <c r="A76" s="76">
        <v>44619</v>
      </c>
      <c r="B76" s="90">
        <v>1600</v>
      </c>
      <c r="C76" s="90"/>
      <c r="D76" s="90" cm="1">
        <f t="array" ref="D76">(SUM(VLOOKUP(I76:AF76,$AM$4:$AO$44,2,FALSE))+AG76*10)*IF(AK76="是",$AY$4,$AY$3)</f>
        <v>1568</v>
      </c>
      <c r="E76" s="90">
        <f>SUM($B$4:B76)+SUM($C$4:C76)-SUM($D$4:D76)</f>
        <v>168</v>
      </c>
      <c r="F76" s="90" cm="1">
        <f t="array" ref="F76">SUM(VLOOKUP(I76:AF76,$AM$4:$AO$44,3,FALSE))</f>
        <v>600</v>
      </c>
      <c r="G76" s="90">
        <f>SUM($F$4:F76)+SUM($H$4:H76)</f>
        <v>51480</v>
      </c>
      <c r="H76" s="90">
        <v>0</v>
      </c>
      <c r="I76" s="143" t="s">
        <v>19</v>
      </c>
      <c r="J76" s="143" t="s">
        <v>19</v>
      </c>
      <c r="K76" s="124" t="s">
        <v>47</v>
      </c>
      <c r="L76" s="143" t="s">
        <v>19</v>
      </c>
      <c r="M76" s="143" t="s">
        <v>19</v>
      </c>
      <c r="N76" s="143" t="s">
        <v>19</v>
      </c>
      <c r="O76" s="143" t="s">
        <v>19</v>
      </c>
      <c r="P76" s="143" t="s">
        <v>19</v>
      </c>
      <c r="Q76" s="143" t="s">
        <v>19</v>
      </c>
      <c r="R76" s="143" t="s">
        <v>19</v>
      </c>
      <c r="S76" s="143" t="s">
        <v>19</v>
      </c>
      <c r="T76" s="143" t="s">
        <v>19</v>
      </c>
      <c r="U76" s="143" t="s">
        <v>19</v>
      </c>
      <c r="V76" s="89" t="s">
        <v>23</v>
      </c>
      <c r="W76" s="93" t="s">
        <v>23</v>
      </c>
      <c r="X76" s="93" t="s">
        <v>23</v>
      </c>
      <c r="Y76" s="89" t="s">
        <v>23</v>
      </c>
      <c r="Z76" s="89" t="s">
        <v>23</v>
      </c>
      <c r="AA76" s="89" t="s">
        <v>23</v>
      </c>
      <c r="AB76" s="89" t="s">
        <v>23</v>
      </c>
      <c r="AC76" s="89" t="s">
        <v>23</v>
      </c>
      <c r="AD76" s="89" t="s">
        <v>23</v>
      </c>
      <c r="AE76" s="93" t="s">
        <v>23</v>
      </c>
      <c r="AF76" s="93" t="s">
        <v>23</v>
      </c>
      <c r="AG76" s="94">
        <v>0</v>
      </c>
      <c r="AH76" s="94"/>
      <c r="AI76" s="94"/>
      <c r="AJ76" s="94"/>
      <c r="AK76" s="95" t="s">
        <v>31</v>
      </c>
      <c r="AL76" s="108"/>
    </row>
    <row r="77" spans="1:38">
      <c r="A77" s="76">
        <v>44620</v>
      </c>
      <c r="B77" s="89">
        <v>1600</v>
      </c>
      <c r="C77" s="89"/>
      <c r="D77" s="90" cm="1">
        <f t="array" ref="D77">(SUM(VLOOKUP(I77:AF77,$AM$4:$AO$44,2,FALSE))+AG77*10)*IF(AK77="是",$AY$4,$AY$3)</f>
        <v>1584</v>
      </c>
      <c r="E77" s="90">
        <f>SUM($B$4:B77)+SUM($C$4:C77)-SUM($D$4:D77)</f>
        <v>184</v>
      </c>
      <c r="F77" s="90" cm="1">
        <f t="array" ref="F77">SUM(VLOOKUP(I77:AF77,$AM$4:$AO$44,3,FALSE))</f>
        <v>550</v>
      </c>
      <c r="G77" s="90">
        <f>SUM($F$4:F77)+SUM($H$4:H77)</f>
        <v>52330</v>
      </c>
      <c r="H77" s="89">
        <v>300</v>
      </c>
      <c r="I77" s="143" t="s">
        <v>19</v>
      </c>
      <c r="J77" s="143" t="s">
        <v>19</v>
      </c>
      <c r="K77" s="143" t="s">
        <v>19</v>
      </c>
      <c r="L77" s="143" t="s">
        <v>19</v>
      </c>
      <c r="M77" s="143" t="s">
        <v>19</v>
      </c>
      <c r="N77" s="143" t="s">
        <v>19</v>
      </c>
      <c r="O77" s="93" t="s">
        <v>23</v>
      </c>
      <c r="P77" s="93" t="s">
        <v>23</v>
      </c>
      <c r="Q77" s="143" t="s">
        <v>19</v>
      </c>
      <c r="R77" s="143" t="s">
        <v>19</v>
      </c>
      <c r="S77" s="143" t="s">
        <v>19</v>
      </c>
      <c r="T77" s="143" t="s">
        <v>19</v>
      </c>
      <c r="U77" s="143" t="s">
        <v>19</v>
      </c>
      <c r="V77" s="89" t="s">
        <v>23</v>
      </c>
      <c r="W77" s="93" t="s">
        <v>23</v>
      </c>
      <c r="X77" s="93" t="s">
        <v>23</v>
      </c>
      <c r="Y77" s="89" t="s">
        <v>23</v>
      </c>
      <c r="Z77" s="89" t="s">
        <v>23</v>
      </c>
      <c r="AA77" s="89" t="s">
        <v>23</v>
      </c>
      <c r="AB77" s="89" t="s">
        <v>23</v>
      </c>
      <c r="AC77" s="89" t="s">
        <v>23</v>
      </c>
      <c r="AD77" s="89" t="s">
        <v>23</v>
      </c>
      <c r="AE77" s="93" t="s">
        <v>23</v>
      </c>
      <c r="AF77" s="93" t="s">
        <v>23</v>
      </c>
      <c r="AG77" s="94">
        <v>0</v>
      </c>
      <c r="AH77" s="94"/>
      <c r="AI77" s="94"/>
      <c r="AJ77" s="94"/>
      <c r="AK77" s="95" t="s">
        <v>31</v>
      </c>
      <c r="AL77" s="108"/>
    </row>
    <row r="78" spans="1:38">
      <c r="A78" s="76">
        <v>44621</v>
      </c>
      <c r="B78" s="89">
        <v>1600</v>
      </c>
      <c r="C78" s="89"/>
      <c r="D78" s="90" cm="1">
        <f t="array" ref="D78">(SUM(VLOOKUP(I78:AF78,$AM$4:$AO$44,2,FALSE))+AG78*10)*IF(AK78="是",$AY$4,$AY$3)</f>
        <v>1592</v>
      </c>
      <c r="E78" s="90">
        <f>SUM($B$4:B78)+SUM($C$4:C78)-SUM($D$4:D78)</f>
        <v>192</v>
      </c>
      <c r="F78" s="90" cm="1">
        <f t="array" ref="F78">SUM(VLOOKUP(I78:AF78,$AM$4:$AO$44,3,FALSE))</f>
        <v>555</v>
      </c>
      <c r="G78" s="90">
        <f>SUM($F$4:F78)+SUM($H$4:H78)</f>
        <v>52885</v>
      </c>
      <c r="H78" s="89">
        <v>0</v>
      </c>
      <c r="I78" s="143" t="s">
        <v>19</v>
      </c>
      <c r="J78" s="143" t="s">
        <v>19</v>
      </c>
      <c r="K78" s="143" t="s">
        <v>19</v>
      </c>
      <c r="L78" s="143" t="s">
        <v>19</v>
      </c>
      <c r="M78" s="143" t="s">
        <v>19</v>
      </c>
      <c r="N78" s="153" t="s">
        <v>20</v>
      </c>
      <c r="O78" s="93" t="s">
        <v>23</v>
      </c>
      <c r="P78" s="93" t="s">
        <v>23</v>
      </c>
      <c r="Q78" s="143" t="s">
        <v>19</v>
      </c>
      <c r="R78" s="143" t="s">
        <v>19</v>
      </c>
      <c r="S78" s="143" t="s">
        <v>19</v>
      </c>
      <c r="T78" s="143" t="s">
        <v>19</v>
      </c>
      <c r="U78" s="143" t="s">
        <v>19</v>
      </c>
      <c r="V78" s="89" t="s">
        <v>23</v>
      </c>
      <c r="W78" s="93" t="s">
        <v>23</v>
      </c>
      <c r="X78" s="93" t="s">
        <v>23</v>
      </c>
      <c r="Y78" s="89" t="s">
        <v>23</v>
      </c>
      <c r="Z78" s="89" t="s">
        <v>23</v>
      </c>
      <c r="AA78" s="89" t="s">
        <v>23</v>
      </c>
      <c r="AB78" s="89" t="s">
        <v>23</v>
      </c>
      <c r="AC78" s="89" t="s">
        <v>23</v>
      </c>
      <c r="AD78" s="89" t="s">
        <v>23</v>
      </c>
      <c r="AE78" s="93" t="s">
        <v>23</v>
      </c>
      <c r="AF78" s="93" t="s">
        <v>23</v>
      </c>
      <c r="AG78" s="94">
        <v>0</v>
      </c>
      <c r="AH78" s="94"/>
      <c r="AI78" s="94"/>
      <c r="AJ78" s="94"/>
      <c r="AK78" s="95" t="s">
        <v>31</v>
      </c>
      <c r="AL78" s="108"/>
    </row>
    <row r="79" spans="1:38">
      <c r="A79" s="76">
        <v>44622</v>
      </c>
      <c r="B79" s="89">
        <v>1600</v>
      </c>
      <c r="C79" s="89"/>
      <c r="D79" s="90" cm="1">
        <f t="array" ref="D79">(SUM(VLOOKUP(I79:AF79,$AM$4:$AO$44,2,FALSE))+AG79*10)*IF(AK79="是",$AY$4,$AY$3)</f>
        <v>1656</v>
      </c>
      <c r="E79" s="90">
        <f>SUM($B$4:B79)+SUM($C$4:C79)-SUM($D$4:D79)</f>
        <v>136</v>
      </c>
      <c r="F79" s="90" cm="1">
        <f t="array" ref="F79">SUM(VLOOKUP(I79:AF79,$AM$4:$AO$44,3,FALSE))</f>
        <v>600</v>
      </c>
      <c r="G79" s="90">
        <f>SUM($F$4:F79)+SUM($H$4:H79)</f>
        <v>53685</v>
      </c>
      <c r="H79" s="89">
        <v>200</v>
      </c>
      <c r="I79" s="153" t="s">
        <v>20</v>
      </c>
      <c r="J79" s="153" t="s">
        <v>20</v>
      </c>
      <c r="K79" s="153" t="s">
        <v>20</v>
      </c>
      <c r="L79" s="153" t="s">
        <v>20</v>
      </c>
      <c r="M79" s="143" t="s">
        <v>19</v>
      </c>
      <c r="N79" s="143" t="s">
        <v>19</v>
      </c>
      <c r="O79" s="93" t="s">
        <v>23</v>
      </c>
      <c r="P79" s="93" t="s">
        <v>23</v>
      </c>
      <c r="Q79" s="143" t="s">
        <v>19</v>
      </c>
      <c r="R79" s="136" t="s">
        <v>12</v>
      </c>
      <c r="S79" s="143" t="s">
        <v>19</v>
      </c>
      <c r="T79" s="143" t="s">
        <v>19</v>
      </c>
      <c r="U79" s="143" t="s">
        <v>19</v>
      </c>
      <c r="V79" s="143" t="s">
        <v>19</v>
      </c>
      <c r="W79" s="93" t="s">
        <v>23</v>
      </c>
      <c r="X79" s="93" t="s">
        <v>23</v>
      </c>
      <c r="Y79" s="89" t="s">
        <v>23</v>
      </c>
      <c r="Z79" s="89" t="s">
        <v>23</v>
      </c>
      <c r="AA79" s="89" t="s">
        <v>23</v>
      </c>
      <c r="AB79" s="89" t="s">
        <v>23</v>
      </c>
      <c r="AC79" s="89" t="s">
        <v>23</v>
      </c>
      <c r="AD79" s="89" t="s">
        <v>23</v>
      </c>
      <c r="AE79" s="93" t="s">
        <v>23</v>
      </c>
      <c r="AF79" s="93" t="s">
        <v>23</v>
      </c>
      <c r="AG79" s="94">
        <v>0</v>
      </c>
      <c r="AH79" s="94"/>
      <c r="AI79" s="94"/>
      <c r="AJ79" s="94"/>
      <c r="AK79" s="95" t="s">
        <v>31</v>
      </c>
      <c r="AL79" s="108"/>
    </row>
    <row r="80" spans="1:38">
      <c r="A80" s="76">
        <v>44623</v>
      </c>
      <c r="B80" s="89">
        <v>1600</v>
      </c>
      <c r="C80" s="89"/>
      <c r="D80" s="90" cm="1">
        <f t="array" ref="D80">(SUM(VLOOKUP(I80:AF80,$AM$4:$AO$44,2,FALSE))+AG80*10)*IF(AK80="是",$AY$4,$AY$3)</f>
        <v>1728</v>
      </c>
      <c r="E80" s="90">
        <f>SUM($B$4:B80)+SUM($C$4:C80)-SUM($D$4:D80)</f>
        <v>8</v>
      </c>
      <c r="F80" s="90" cm="1">
        <f t="array" ref="F80">SUM(VLOOKUP(I80:AF80,$AM$4:$AO$44,3,FALSE))</f>
        <v>600</v>
      </c>
      <c r="G80" s="90">
        <f>SUM($F$4:F80)+SUM($H$4:H80)</f>
        <v>54285</v>
      </c>
      <c r="H80" s="89">
        <v>0</v>
      </c>
      <c r="I80" s="143" t="s">
        <v>19</v>
      </c>
      <c r="J80" s="143" t="s">
        <v>19</v>
      </c>
      <c r="K80" s="143" t="s">
        <v>19</v>
      </c>
      <c r="L80" s="143" t="s">
        <v>19</v>
      </c>
      <c r="M80" s="143" t="s">
        <v>19</v>
      </c>
      <c r="N80" s="143" t="s">
        <v>19</v>
      </c>
      <c r="O80" s="93" t="s">
        <v>23</v>
      </c>
      <c r="P80" s="93" t="s">
        <v>23</v>
      </c>
      <c r="Q80" s="143" t="s">
        <v>19</v>
      </c>
      <c r="R80" s="143" t="s">
        <v>19</v>
      </c>
      <c r="S80" s="143" t="s">
        <v>19</v>
      </c>
      <c r="T80" s="143" t="s">
        <v>19</v>
      </c>
      <c r="U80" s="143" t="s">
        <v>19</v>
      </c>
      <c r="V80" s="143" t="s">
        <v>19</v>
      </c>
      <c r="W80" s="93" t="s">
        <v>23</v>
      </c>
      <c r="X80" s="93" t="s">
        <v>23</v>
      </c>
      <c r="Y80" s="89" t="s">
        <v>23</v>
      </c>
      <c r="Z80" s="89" t="s">
        <v>23</v>
      </c>
      <c r="AA80" s="89" t="s">
        <v>23</v>
      </c>
      <c r="AB80" s="89" t="s">
        <v>23</v>
      </c>
      <c r="AC80" s="89" t="s">
        <v>23</v>
      </c>
      <c r="AD80" s="89" t="s">
        <v>23</v>
      </c>
      <c r="AE80" s="93" t="s">
        <v>23</v>
      </c>
      <c r="AF80" s="93" t="s">
        <v>23</v>
      </c>
      <c r="AG80" s="94">
        <v>0</v>
      </c>
      <c r="AH80" s="94"/>
      <c r="AI80" s="94"/>
      <c r="AJ80" s="94"/>
      <c r="AK80" s="95" t="s">
        <v>31</v>
      </c>
      <c r="AL80" s="108"/>
    </row>
    <row r="81" spans="1:42">
      <c r="A81" s="76">
        <v>44624</v>
      </c>
      <c r="B81" s="89">
        <v>1600</v>
      </c>
      <c r="C81" s="89"/>
      <c r="D81" s="90" cm="1">
        <f t="array" ref="D81">(SUM(VLOOKUP(I81:AF81,$AM$4:$AO$44,2,FALSE))+AG81*10)*IF(AK81="是",$AY$4,$AY$3)</f>
        <v>1552</v>
      </c>
      <c r="E81" s="90">
        <f>SUM($B$4:B81)+SUM($C$4:C81)-SUM($D$4:D81)</f>
        <v>56</v>
      </c>
      <c r="F81" s="90" cm="1">
        <f t="array" ref="F81">SUM(VLOOKUP(I81:AF81,$AM$4:$AO$44,3,FALSE))</f>
        <v>540</v>
      </c>
      <c r="G81" s="90">
        <f>SUM($F$4:F81)+SUM($H$4:H81)</f>
        <v>54825</v>
      </c>
      <c r="H81" s="89">
        <v>0</v>
      </c>
      <c r="I81" s="143" t="s">
        <v>19</v>
      </c>
      <c r="J81" s="143" t="s">
        <v>19</v>
      </c>
      <c r="K81" s="143" t="s">
        <v>19</v>
      </c>
      <c r="L81" s="143" t="s">
        <v>19</v>
      </c>
      <c r="M81" s="143" t="s">
        <v>19</v>
      </c>
      <c r="N81" s="143" t="s">
        <v>19</v>
      </c>
      <c r="O81" s="93" t="s">
        <v>23</v>
      </c>
      <c r="P81" s="93" t="s">
        <v>23</v>
      </c>
      <c r="Q81" s="143" t="s">
        <v>19</v>
      </c>
      <c r="R81" s="143" t="s">
        <v>19</v>
      </c>
      <c r="S81" s="143" t="s">
        <v>19</v>
      </c>
      <c r="T81" s="123" t="s">
        <v>7</v>
      </c>
      <c r="U81" s="123" t="s">
        <v>18</v>
      </c>
      <c r="V81" s="89" t="s">
        <v>23</v>
      </c>
      <c r="W81" s="93" t="s">
        <v>23</v>
      </c>
      <c r="X81" s="93" t="s">
        <v>23</v>
      </c>
      <c r="Y81" s="89" t="s">
        <v>23</v>
      </c>
      <c r="Z81" s="89" t="s">
        <v>23</v>
      </c>
      <c r="AA81" s="89" t="s">
        <v>23</v>
      </c>
      <c r="AB81" s="89" t="s">
        <v>23</v>
      </c>
      <c r="AC81" s="89" t="s">
        <v>23</v>
      </c>
      <c r="AD81" s="89" t="s">
        <v>23</v>
      </c>
      <c r="AE81" s="93" t="s">
        <v>23</v>
      </c>
      <c r="AF81" s="93" t="s">
        <v>23</v>
      </c>
      <c r="AG81" s="94">
        <v>0</v>
      </c>
      <c r="AH81" s="94"/>
      <c r="AI81" s="94"/>
      <c r="AJ81" s="94"/>
      <c r="AK81" s="95" t="s">
        <v>31</v>
      </c>
      <c r="AL81" s="108"/>
    </row>
    <row r="82" spans="1:42">
      <c r="A82" s="76">
        <v>44625</v>
      </c>
      <c r="B82" s="89">
        <v>1600</v>
      </c>
      <c r="C82" s="89"/>
      <c r="D82" s="90" cm="1">
        <f t="array" ref="D82">(SUM(VLOOKUP(I82:AF82,$AM$4:$AO$44,2,FALSE))+AG82*10)*IF(AK82="是",$AY$4,$AY$3)</f>
        <v>1592</v>
      </c>
      <c r="E82" s="90">
        <f>SUM($B$4:B82)+SUM($C$4:C82)-SUM($D$4:D82)</f>
        <v>64</v>
      </c>
      <c r="F82" s="90" cm="1">
        <f t="array" ref="F82">SUM(VLOOKUP(I82:AF82,$AM$4:$AO$44,3,FALSE))</f>
        <v>560</v>
      </c>
      <c r="G82" s="90">
        <f>SUM($F$4:F82)+SUM($H$4:H82)</f>
        <v>55385</v>
      </c>
      <c r="H82" s="89">
        <v>0</v>
      </c>
      <c r="I82" s="143" t="s">
        <v>19</v>
      </c>
      <c r="J82" s="136" t="s">
        <v>12</v>
      </c>
      <c r="K82" s="143" t="s">
        <v>19</v>
      </c>
      <c r="L82" s="143" t="s">
        <v>19</v>
      </c>
      <c r="M82" s="143" t="s">
        <v>19</v>
      </c>
      <c r="N82" s="143" t="s">
        <v>19</v>
      </c>
      <c r="O82" s="93" t="s">
        <v>23</v>
      </c>
      <c r="P82" s="93" t="s">
        <v>23</v>
      </c>
      <c r="Q82" s="123" t="s">
        <v>18</v>
      </c>
      <c r="R82" s="123" t="s">
        <v>18</v>
      </c>
      <c r="S82" s="143" t="s">
        <v>19</v>
      </c>
      <c r="T82" s="143" t="s">
        <v>19</v>
      </c>
      <c r="U82" s="123" t="s">
        <v>18</v>
      </c>
      <c r="V82" s="123" t="s">
        <v>18</v>
      </c>
      <c r="W82" s="93" t="s">
        <v>23</v>
      </c>
      <c r="X82" s="93" t="s">
        <v>23</v>
      </c>
      <c r="Y82" s="89" t="s">
        <v>23</v>
      </c>
      <c r="Z82" s="89" t="s">
        <v>23</v>
      </c>
      <c r="AA82" s="89" t="s">
        <v>23</v>
      </c>
      <c r="AB82" s="89" t="s">
        <v>23</v>
      </c>
      <c r="AC82" s="89" t="s">
        <v>23</v>
      </c>
      <c r="AD82" s="89" t="s">
        <v>23</v>
      </c>
      <c r="AE82" s="93" t="s">
        <v>23</v>
      </c>
      <c r="AF82" s="93" t="s">
        <v>23</v>
      </c>
      <c r="AG82" s="94">
        <v>0</v>
      </c>
      <c r="AH82" s="94"/>
      <c r="AI82" s="94"/>
      <c r="AJ82" s="94"/>
      <c r="AK82" s="95" t="s">
        <v>31</v>
      </c>
      <c r="AL82" s="108"/>
    </row>
    <row r="83" spans="1:42">
      <c r="A83" s="76">
        <v>44626</v>
      </c>
      <c r="B83" s="89">
        <v>1600</v>
      </c>
      <c r="C83" s="89"/>
      <c r="D83" s="90" cm="1">
        <f t="array" ref="D83">(SUM(VLOOKUP(I83:AF83,$AM$4:$AO$44,2,FALSE))+AG83*10)*IF(AK83="是",$AY$4,$AY$3)</f>
        <v>1552</v>
      </c>
      <c r="E83" s="90">
        <f>SUM($B$4:B83)+SUM($C$4:C83)-SUM($D$4:D83)</f>
        <v>112</v>
      </c>
      <c r="F83" s="90" cm="1">
        <f t="array" ref="F83">SUM(VLOOKUP(I83:AF83,$AM$4:$AO$44,3,FALSE))</f>
        <v>550</v>
      </c>
      <c r="G83" s="90">
        <f>SUM($F$4:F83)+SUM($H$4:H83)</f>
        <v>55935</v>
      </c>
      <c r="H83" s="89">
        <v>0</v>
      </c>
      <c r="I83" s="143" t="s">
        <v>19</v>
      </c>
      <c r="J83" s="153" t="s">
        <v>20</v>
      </c>
      <c r="K83" s="153" t="s">
        <v>20</v>
      </c>
      <c r="L83" s="153" t="s">
        <v>9</v>
      </c>
      <c r="M83" s="153" t="s">
        <v>20</v>
      </c>
      <c r="N83" s="153" t="s">
        <v>20</v>
      </c>
      <c r="O83" s="93" t="s">
        <v>23</v>
      </c>
      <c r="P83" s="93" t="s">
        <v>23</v>
      </c>
      <c r="Q83" s="123" t="s">
        <v>18</v>
      </c>
      <c r="R83" s="123" t="s">
        <v>18</v>
      </c>
      <c r="S83" s="123" t="s">
        <v>18</v>
      </c>
      <c r="T83" s="123" t="s">
        <v>18</v>
      </c>
      <c r="U83" s="123" t="s">
        <v>18</v>
      </c>
      <c r="V83" s="89" t="s">
        <v>23</v>
      </c>
      <c r="W83" s="93" t="s">
        <v>23</v>
      </c>
      <c r="X83" s="93" t="s">
        <v>23</v>
      </c>
      <c r="Y83" s="89" t="s">
        <v>23</v>
      </c>
      <c r="Z83" s="89" t="s">
        <v>23</v>
      </c>
      <c r="AA83" s="89" t="s">
        <v>23</v>
      </c>
      <c r="AB83" s="89" t="s">
        <v>23</v>
      </c>
      <c r="AC83" s="89" t="s">
        <v>23</v>
      </c>
      <c r="AD83" s="89" t="s">
        <v>23</v>
      </c>
      <c r="AE83" s="93" t="s">
        <v>23</v>
      </c>
      <c r="AF83" s="93" t="s">
        <v>23</v>
      </c>
      <c r="AG83" s="94">
        <v>0</v>
      </c>
      <c r="AH83" s="94"/>
      <c r="AI83" s="94"/>
      <c r="AJ83" s="94"/>
      <c r="AK83" s="95" t="s">
        <v>31</v>
      </c>
      <c r="AL83" s="108"/>
    </row>
    <row r="84" spans="1:42">
      <c r="A84" s="76">
        <v>44627</v>
      </c>
      <c r="B84" s="90">
        <v>1600</v>
      </c>
      <c r="C84" s="90"/>
      <c r="D84" s="90" cm="1">
        <f t="array" ref="D84">(SUM(VLOOKUP(I84:AF84,$AM$4:$AO$44,2,FALSE))+AG84*10)*IF(AK84="是",$AY$4,$AY$3)</f>
        <v>1632</v>
      </c>
      <c r="E84" s="90">
        <f>SUM($B$4:B84)+SUM($C$4:C84)-SUM($D$4:D84)</f>
        <v>80</v>
      </c>
      <c r="F84" s="90" cm="1">
        <f t="array" ref="F84">SUM(VLOOKUP(I84:AF84,$AM$4:$AO$44,3,FALSE))</f>
        <v>585</v>
      </c>
      <c r="G84" s="90">
        <f>SUM($F$4:F84)+SUM($H$4:H84)</f>
        <v>56820</v>
      </c>
      <c r="H84" s="90">
        <v>300</v>
      </c>
      <c r="I84" s="153" t="s">
        <v>20</v>
      </c>
      <c r="J84" s="153" t="s">
        <v>20</v>
      </c>
      <c r="K84" s="153" t="s">
        <v>20</v>
      </c>
      <c r="L84" s="153" t="s">
        <v>20</v>
      </c>
      <c r="M84" s="153" t="s">
        <v>20</v>
      </c>
      <c r="N84" s="153" t="s">
        <v>20</v>
      </c>
      <c r="O84" s="93" t="s">
        <v>23</v>
      </c>
      <c r="P84" s="93" t="s">
        <v>23</v>
      </c>
      <c r="Q84" s="123" t="s">
        <v>18</v>
      </c>
      <c r="R84" s="123" t="s">
        <v>18</v>
      </c>
      <c r="S84" s="123" t="s">
        <v>18</v>
      </c>
      <c r="T84" s="123" t="s">
        <v>18</v>
      </c>
      <c r="U84" s="136" t="s">
        <v>12</v>
      </c>
      <c r="V84" s="123" t="s">
        <v>18</v>
      </c>
      <c r="W84" s="93" t="s">
        <v>23</v>
      </c>
      <c r="X84" s="93" t="s">
        <v>23</v>
      </c>
      <c r="Y84" s="89" t="s">
        <v>23</v>
      </c>
      <c r="Z84" s="89" t="s">
        <v>23</v>
      </c>
      <c r="AA84" s="89" t="s">
        <v>23</v>
      </c>
      <c r="AB84" s="89" t="s">
        <v>23</v>
      </c>
      <c r="AC84" s="89" t="s">
        <v>23</v>
      </c>
      <c r="AD84" s="89" t="s">
        <v>23</v>
      </c>
      <c r="AE84" s="93" t="s">
        <v>23</v>
      </c>
      <c r="AF84" s="93" t="s">
        <v>23</v>
      </c>
      <c r="AG84" s="94">
        <v>0</v>
      </c>
      <c r="AH84" s="94"/>
      <c r="AI84" s="94"/>
      <c r="AJ84" s="94"/>
      <c r="AK84" s="95" t="s">
        <v>31</v>
      </c>
      <c r="AL84" s="108"/>
      <c r="AM84" s="89"/>
      <c r="AN84" s="89"/>
      <c r="AO84" s="89"/>
      <c r="AP84" s="89"/>
    </row>
    <row r="85" spans="1:42">
      <c r="A85" s="76">
        <v>44628</v>
      </c>
      <c r="B85" s="90">
        <v>1600</v>
      </c>
      <c r="C85" s="90"/>
      <c r="D85" s="90" cm="1">
        <f t="array" ref="D85">(SUM(VLOOKUP(I85:AF85,$AM$4:$AO$44,2,FALSE))+AG85*10)*IF(AK85="是",$AY$4,$AY$3)</f>
        <v>1224</v>
      </c>
      <c r="E85" s="90">
        <f>SUM($B$4:B85)+SUM($C$4:C85)-SUM($D$4:D85)</f>
        <v>456</v>
      </c>
      <c r="F85" s="90" cm="1">
        <f t="array" ref="F85">SUM(VLOOKUP(I85:AF85,$AM$4:$AO$44,3,FALSE))</f>
        <v>515</v>
      </c>
      <c r="G85" s="90">
        <f>SUM($F$4:F85)+SUM($H$4:H85)</f>
        <v>57335</v>
      </c>
      <c r="H85" s="90">
        <v>0</v>
      </c>
      <c r="I85" s="153" t="s">
        <v>20</v>
      </c>
      <c r="J85" s="153" t="s">
        <v>20</v>
      </c>
      <c r="K85" s="153" t="s">
        <v>20</v>
      </c>
      <c r="L85" s="136" t="s">
        <v>12</v>
      </c>
      <c r="M85" s="153" t="s">
        <v>20</v>
      </c>
      <c r="N85" s="153" t="s">
        <v>20</v>
      </c>
      <c r="O85" s="93" t="s">
        <v>23</v>
      </c>
      <c r="P85" s="93" t="s">
        <v>23</v>
      </c>
      <c r="Q85" s="123" t="s">
        <v>18</v>
      </c>
      <c r="R85" s="124" t="s">
        <v>47</v>
      </c>
      <c r="S85" s="123" t="s">
        <v>18</v>
      </c>
      <c r="T85" s="136" t="s">
        <v>12</v>
      </c>
      <c r="U85" s="123" t="s">
        <v>18</v>
      </c>
      <c r="V85" s="123" t="s">
        <v>18</v>
      </c>
      <c r="W85" s="93" t="s">
        <v>23</v>
      </c>
      <c r="X85" s="93" t="s">
        <v>23</v>
      </c>
      <c r="Y85" s="89" t="s">
        <v>23</v>
      </c>
      <c r="Z85" s="89" t="s">
        <v>23</v>
      </c>
      <c r="AA85" s="89" t="s">
        <v>23</v>
      </c>
      <c r="AB85" s="89" t="s">
        <v>23</v>
      </c>
      <c r="AC85" s="89" t="s">
        <v>23</v>
      </c>
      <c r="AD85" s="89" t="s">
        <v>23</v>
      </c>
      <c r="AE85" s="93" t="s">
        <v>23</v>
      </c>
      <c r="AF85" s="93" t="s">
        <v>23</v>
      </c>
      <c r="AG85" s="94">
        <v>0</v>
      </c>
      <c r="AH85" s="94"/>
      <c r="AI85" s="94"/>
      <c r="AJ85" s="94"/>
      <c r="AK85" s="95" t="s">
        <v>31</v>
      </c>
      <c r="AL85" s="108"/>
      <c r="AM85" s="89"/>
      <c r="AN85" s="89"/>
      <c r="AO85" s="89"/>
      <c r="AP85" s="89"/>
    </row>
    <row r="86" spans="1:42">
      <c r="A86" s="76">
        <v>44629</v>
      </c>
      <c r="B86" s="90">
        <v>1600</v>
      </c>
      <c r="C86" s="90"/>
      <c r="D86" s="90" cm="1">
        <f t="array" ref="D86">(SUM(VLOOKUP(I86:AF86,$AM$4:$AO$44,2,FALSE))+AG86*10)*IF(AK86="是",$AY$4,$AY$3)</f>
        <v>1704</v>
      </c>
      <c r="E86" s="90">
        <f>SUM($B$4:B86)+SUM($C$4:C86)-SUM($D$4:D86)</f>
        <v>352</v>
      </c>
      <c r="F86" s="90" cm="1">
        <f t="array" ref="F86">SUM(VLOOKUP(I86:AF86,$AM$4:$AO$44,3,FALSE))</f>
        <v>585</v>
      </c>
      <c r="G86" s="90">
        <f>SUM($F$4:F86)+SUM($H$4:H86)</f>
        <v>58120</v>
      </c>
      <c r="H86" s="90">
        <v>200</v>
      </c>
      <c r="I86" s="143" t="s">
        <v>19</v>
      </c>
      <c r="J86" s="143" t="s">
        <v>19</v>
      </c>
      <c r="K86" s="143" t="s">
        <v>19</v>
      </c>
      <c r="L86" s="143" t="s">
        <v>19</v>
      </c>
      <c r="M86" s="143" t="s">
        <v>19</v>
      </c>
      <c r="N86" s="143" t="s">
        <v>19</v>
      </c>
      <c r="O86" s="93" t="s">
        <v>23</v>
      </c>
      <c r="P86" s="93" t="s">
        <v>23</v>
      </c>
      <c r="Q86" s="123" t="s">
        <v>18</v>
      </c>
      <c r="R86" s="143" t="s">
        <v>19</v>
      </c>
      <c r="S86" s="143" t="s">
        <v>19</v>
      </c>
      <c r="T86" s="143" t="s">
        <v>19</v>
      </c>
      <c r="U86" s="123" t="s">
        <v>18</v>
      </c>
      <c r="V86" s="123" t="s">
        <v>18</v>
      </c>
      <c r="W86" s="93" t="s">
        <v>23</v>
      </c>
      <c r="X86" s="93" t="s">
        <v>23</v>
      </c>
      <c r="Y86" s="89" t="s">
        <v>23</v>
      </c>
      <c r="Z86" s="89" t="s">
        <v>23</v>
      </c>
      <c r="AA86" s="89" t="s">
        <v>23</v>
      </c>
      <c r="AB86" s="89" t="s">
        <v>23</v>
      </c>
      <c r="AC86" s="89" t="s">
        <v>23</v>
      </c>
      <c r="AD86" s="89" t="s">
        <v>23</v>
      </c>
      <c r="AE86" s="93" t="s">
        <v>23</v>
      </c>
      <c r="AF86" s="93" t="s">
        <v>23</v>
      </c>
      <c r="AG86" s="94">
        <v>0</v>
      </c>
      <c r="AH86" s="94"/>
      <c r="AI86" s="94"/>
      <c r="AJ86" s="94"/>
      <c r="AK86" s="95" t="s">
        <v>31</v>
      </c>
      <c r="AL86" s="108"/>
    </row>
    <row r="87" spans="1:42">
      <c r="A87" s="76">
        <v>44630</v>
      </c>
      <c r="B87" s="90">
        <v>1600</v>
      </c>
      <c r="C87" s="90"/>
      <c r="D87" s="90" cm="1">
        <f t="array" ref="D87">(SUM(VLOOKUP(I87:AF87,$AM$4:$AO$44,2,FALSE))+AG87*10)*IF(AK87="是",$AY$4,$AY$3)</f>
        <v>1664</v>
      </c>
      <c r="E87" s="90">
        <f>SUM($B$4:B87)+SUM($C$4:C87)-SUM($D$4:D87)</f>
        <v>288</v>
      </c>
      <c r="F87" s="90" cm="1">
        <f t="array" ref="F87">SUM(VLOOKUP(I87:AF87,$AM$4:$AO$44,3,FALSE))</f>
        <v>560</v>
      </c>
      <c r="G87" s="90">
        <f>SUM($F$4:F87)+SUM($H$4:H87)</f>
        <v>58680</v>
      </c>
      <c r="H87" s="90">
        <v>0</v>
      </c>
      <c r="I87" s="143" t="s">
        <v>19</v>
      </c>
      <c r="J87" s="143" t="s">
        <v>19</v>
      </c>
      <c r="K87" s="143" t="s">
        <v>19</v>
      </c>
      <c r="L87" s="143" t="s">
        <v>19</v>
      </c>
      <c r="M87" s="123" t="s">
        <v>18</v>
      </c>
      <c r="N87" s="123" t="s">
        <v>18</v>
      </c>
      <c r="O87" s="93" t="s">
        <v>23</v>
      </c>
      <c r="P87" s="93" t="s">
        <v>23</v>
      </c>
      <c r="Q87" s="123" t="s">
        <v>18</v>
      </c>
      <c r="R87" s="123" t="s">
        <v>18</v>
      </c>
      <c r="S87" s="123" t="s">
        <v>18</v>
      </c>
      <c r="T87" s="123" t="s">
        <v>18</v>
      </c>
      <c r="U87" s="123" t="s">
        <v>18</v>
      </c>
      <c r="V87" s="123" t="s">
        <v>18</v>
      </c>
      <c r="W87" s="93" t="s">
        <v>23</v>
      </c>
      <c r="X87" s="93" t="s">
        <v>23</v>
      </c>
      <c r="Y87" s="89" t="s">
        <v>23</v>
      </c>
      <c r="Z87" s="89" t="s">
        <v>23</v>
      </c>
      <c r="AA87" s="89" t="s">
        <v>23</v>
      </c>
      <c r="AB87" s="89" t="s">
        <v>23</v>
      </c>
      <c r="AC87" s="89" t="s">
        <v>23</v>
      </c>
      <c r="AD87" s="89" t="s">
        <v>23</v>
      </c>
      <c r="AE87" s="93" t="s">
        <v>23</v>
      </c>
      <c r="AF87" s="93" t="s">
        <v>23</v>
      </c>
      <c r="AG87" s="94">
        <v>0</v>
      </c>
      <c r="AH87" s="94"/>
      <c r="AI87" s="94"/>
      <c r="AJ87" s="94"/>
      <c r="AK87" s="95" t="s">
        <v>31</v>
      </c>
      <c r="AL87" s="108"/>
    </row>
    <row r="88" spans="1:42">
      <c r="A88" s="76">
        <v>44631</v>
      </c>
      <c r="B88" s="90">
        <v>1600</v>
      </c>
      <c r="C88" s="90"/>
      <c r="D88" s="90" cm="1">
        <f t="array" ref="D88">(SUM(VLOOKUP(I88:AF88,$AM$4:$AO$44,2,FALSE))+AG88*10)*IF(AK88="是",$AY$4,$AY$3)</f>
        <v>1576</v>
      </c>
      <c r="E88" s="90">
        <f>SUM($B$4:B88)+SUM($C$4:C88)-SUM($D$4:D88)</f>
        <v>312</v>
      </c>
      <c r="F88" s="90" cm="1">
        <f t="array" ref="F88">SUM(VLOOKUP(I88:AF88,$AM$4:$AO$44,3,FALSE))</f>
        <v>585</v>
      </c>
      <c r="G88" s="90">
        <f>SUM($F$4:F88)+SUM($H$4:H88)</f>
        <v>59265</v>
      </c>
      <c r="H88" s="90">
        <v>0</v>
      </c>
      <c r="I88" s="123" t="s">
        <v>18</v>
      </c>
      <c r="J88" s="123" t="s">
        <v>18</v>
      </c>
      <c r="K88" s="123" t="s">
        <v>18</v>
      </c>
      <c r="L88" s="123" t="s">
        <v>18</v>
      </c>
      <c r="M88" s="124" t="s">
        <v>47</v>
      </c>
      <c r="N88" s="123" t="s">
        <v>18</v>
      </c>
      <c r="O88" s="123" t="s">
        <v>18</v>
      </c>
      <c r="P88" s="123" t="s">
        <v>7</v>
      </c>
      <c r="Q88" s="123" t="s">
        <v>18</v>
      </c>
      <c r="R88" s="123" t="s">
        <v>18</v>
      </c>
      <c r="S88" s="123" t="s">
        <v>18</v>
      </c>
      <c r="T88" s="123" t="s">
        <v>18</v>
      </c>
      <c r="U88" s="123" t="s">
        <v>18</v>
      </c>
      <c r="V88" s="123" t="s">
        <v>7</v>
      </c>
      <c r="W88" s="93" t="s">
        <v>23</v>
      </c>
      <c r="X88" s="93" t="s">
        <v>23</v>
      </c>
      <c r="Y88" s="89" t="s">
        <v>23</v>
      </c>
      <c r="Z88" s="89" t="s">
        <v>23</v>
      </c>
      <c r="AA88" s="89" t="s">
        <v>23</v>
      </c>
      <c r="AB88" s="89" t="s">
        <v>23</v>
      </c>
      <c r="AC88" s="89" t="s">
        <v>23</v>
      </c>
      <c r="AD88" s="89" t="s">
        <v>23</v>
      </c>
      <c r="AE88" s="93" t="s">
        <v>23</v>
      </c>
      <c r="AF88" s="93" t="s">
        <v>23</v>
      </c>
      <c r="AG88" s="94">
        <v>0</v>
      </c>
      <c r="AH88" s="94"/>
      <c r="AI88" s="94"/>
      <c r="AJ88" s="94"/>
      <c r="AK88" s="95" t="s">
        <v>31</v>
      </c>
      <c r="AL88" s="108"/>
    </row>
    <row r="89" spans="1:42">
      <c r="A89" s="76">
        <v>44632</v>
      </c>
      <c r="B89" s="90">
        <v>1600</v>
      </c>
      <c r="C89" s="90"/>
      <c r="D89" s="90" cm="1">
        <f t="array" ref="D89">(SUM(VLOOKUP(I89:AF89,$AM$4:$AO$44,2,FALSE))+AG89*10)*IF(AK89="是",$AY$4,$AY$3)</f>
        <v>1560</v>
      </c>
      <c r="E89" s="90">
        <f>SUM($B$4:B89)+SUM($C$4:C89)-SUM($D$4:D89)</f>
        <v>352</v>
      </c>
      <c r="F89" s="90" cm="1">
        <f t="array" ref="F89">SUM(VLOOKUP(I89:AF89,$AM$4:$AO$44,3,FALSE))</f>
        <v>535</v>
      </c>
      <c r="G89" s="90">
        <f>SUM($F$4:F89)+SUM($H$4:H89)</f>
        <v>59800</v>
      </c>
      <c r="H89" s="90">
        <v>0</v>
      </c>
      <c r="I89" s="123" t="s">
        <v>18</v>
      </c>
      <c r="J89" s="123" t="s">
        <v>18</v>
      </c>
      <c r="K89" s="123" t="s">
        <v>18</v>
      </c>
      <c r="L89" s="123" t="s">
        <v>18</v>
      </c>
      <c r="M89" s="123" t="s">
        <v>18</v>
      </c>
      <c r="N89" s="123" t="s">
        <v>18</v>
      </c>
      <c r="O89" s="93" t="s">
        <v>23</v>
      </c>
      <c r="P89" s="93" t="s">
        <v>23</v>
      </c>
      <c r="Q89" s="123" t="s">
        <v>18</v>
      </c>
      <c r="R89" s="143" t="s">
        <v>19</v>
      </c>
      <c r="S89" s="143" t="s">
        <v>19</v>
      </c>
      <c r="T89" s="123" t="s">
        <v>18</v>
      </c>
      <c r="U89" s="136" t="s">
        <v>12</v>
      </c>
      <c r="V89" s="123" t="s">
        <v>18</v>
      </c>
      <c r="W89" s="93" t="s">
        <v>23</v>
      </c>
      <c r="X89" s="93" t="s">
        <v>23</v>
      </c>
      <c r="Y89" s="89" t="s">
        <v>23</v>
      </c>
      <c r="Z89" s="89" t="s">
        <v>23</v>
      </c>
      <c r="AA89" s="89" t="s">
        <v>23</v>
      </c>
      <c r="AB89" s="89" t="s">
        <v>23</v>
      </c>
      <c r="AC89" s="89" t="s">
        <v>23</v>
      </c>
      <c r="AD89" s="89" t="s">
        <v>23</v>
      </c>
      <c r="AE89" s="93" t="s">
        <v>23</v>
      </c>
      <c r="AF89" s="93" t="s">
        <v>23</v>
      </c>
      <c r="AG89" s="94">
        <v>1</v>
      </c>
      <c r="AH89" s="94">
        <v>1</v>
      </c>
      <c r="AI89" s="94"/>
      <c r="AJ89" s="94"/>
      <c r="AK89" s="95" t="s">
        <v>31</v>
      </c>
      <c r="AL89" s="108"/>
    </row>
    <row r="90" spans="1:42">
      <c r="A90" s="76">
        <v>44633</v>
      </c>
      <c r="B90" s="90">
        <v>1600</v>
      </c>
      <c r="C90" s="90"/>
      <c r="D90" s="90" cm="1">
        <f t="array" ref="D90">(SUM(VLOOKUP(I90:AF90,$AM$4:$AO$44,2,FALSE))+AG90*10)*IF(AK90="是",$AY$4,$AY$3)</f>
        <v>1608</v>
      </c>
      <c r="E90" s="90">
        <f>SUM($B$4:B90)+SUM($C$4:C90)-SUM($D$4:D90)</f>
        <v>344</v>
      </c>
      <c r="F90" s="90" cm="1">
        <f t="array" ref="F90">SUM(VLOOKUP(I90:AF90,$AM$4:$AO$44,3,FALSE))</f>
        <v>530</v>
      </c>
      <c r="G90" s="90">
        <f>SUM($F$4:F90)+SUM($H$4:H90)</f>
        <v>60330</v>
      </c>
      <c r="H90" s="90">
        <v>0</v>
      </c>
      <c r="I90" s="123" t="s">
        <v>18</v>
      </c>
      <c r="J90" s="123" t="s">
        <v>18</v>
      </c>
      <c r="K90" s="123" t="s">
        <v>18</v>
      </c>
      <c r="L90" s="105" t="s">
        <v>6</v>
      </c>
      <c r="M90" s="123" t="s">
        <v>18</v>
      </c>
      <c r="N90" s="105" t="s">
        <v>17</v>
      </c>
      <c r="O90" s="93" t="s">
        <v>23</v>
      </c>
      <c r="P90" s="93" t="s">
        <v>23</v>
      </c>
      <c r="Q90" s="123" t="s">
        <v>18</v>
      </c>
      <c r="R90" s="123" t="s">
        <v>18</v>
      </c>
      <c r="S90" s="123" t="s">
        <v>18</v>
      </c>
      <c r="T90" s="123" t="s">
        <v>18</v>
      </c>
      <c r="U90" s="123" t="s">
        <v>18</v>
      </c>
      <c r="V90" s="123" t="s">
        <v>18</v>
      </c>
      <c r="W90" s="93" t="s">
        <v>23</v>
      </c>
      <c r="X90" s="93" t="s">
        <v>23</v>
      </c>
      <c r="Y90" s="89" t="s">
        <v>23</v>
      </c>
      <c r="Z90" s="89" t="s">
        <v>23</v>
      </c>
      <c r="AA90" s="89" t="s">
        <v>23</v>
      </c>
      <c r="AB90" s="89" t="s">
        <v>23</v>
      </c>
      <c r="AC90" s="89" t="s">
        <v>23</v>
      </c>
      <c r="AD90" s="89" t="s">
        <v>23</v>
      </c>
      <c r="AE90" s="93" t="s">
        <v>23</v>
      </c>
      <c r="AF90" s="93" t="s">
        <v>23</v>
      </c>
      <c r="AG90" s="94">
        <v>0</v>
      </c>
      <c r="AH90" s="94"/>
      <c r="AI90" s="94"/>
      <c r="AJ90" s="94"/>
      <c r="AK90" s="95" t="s">
        <v>31</v>
      </c>
      <c r="AL90" s="108"/>
    </row>
    <row r="91" spans="1:42">
      <c r="A91" s="76">
        <v>44634</v>
      </c>
      <c r="B91" s="89">
        <v>1600</v>
      </c>
      <c r="C91" s="89"/>
      <c r="D91" s="90" cm="1">
        <f t="array" ref="D91">(SUM(VLOOKUP(I91:AF91,$AM$4:$AO$44,2,FALSE))+AG91*10)*IF(AK91="是",$AY$4,$AY$3)</f>
        <v>1248</v>
      </c>
      <c r="E91" s="90">
        <f>SUM($B$4:B91)+SUM($C$4:C91)-SUM($D$4:D91)</f>
        <v>696</v>
      </c>
      <c r="F91" s="90" cm="1">
        <f t="array" ref="F91">SUM(VLOOKUP(I91:AF91,$AM$4:$AO$44,3,FALSE))</f>
        <v>490</v>
      </c>
      <c r="G91" s="90">
        <f>SUM($F$4:F91)+SUM($H$4:H91)</f>
        <v>61120</v>
      </c>
      <c r="H91" s="89">
        <v>300</v>
      </c>
      <c r="I91" s="136" t="s">
        <v>12</v>
      </c>
      <c r="J91" s="105" t="s">
        <v>17</v>
      </c>
      <c r="K91" s="124" t="s">
        <v>47</v>
      </c>
      <c r="L91" s="105" t="s">
        <v>17</v>
      </c>
      <c r="M91" s="105" t="s">
        <v>17</v>
      </c>
      <c r="N91" s="105" t="s">
        <v>17</v>
      </c>
      <c r="O91" s="136" t="s">
        <v>12</v>
      </c>
      <c r="P91" s="93" t="s">
        <v>23</v>
      </c>
      <c r="Q91" s="123" t="s">
        <v>18</v>
      </c>
      <c r="R91" s="123" t="s">
        <v>18</v>
      </c>
      <c r="S91" s="123" t="s">
        <v>18</v>
      </c>
      <c r="T91" s="123" t="s">
        <v>18</v>
      </c>
      <c r="U91" s="123" t="s">
        <v>18</v>
      </c>
      <c r="V91" s="123" t="s">
        <v>18</v>
      </c>
      <c r="W91" s="93" t="s">
        <v>23</v>
      </c>
      <c r="X91" s="93" t="s">
        <v>23</v>
      </c>
      <c r="Y91" s="89" t="s">
        <v>23</v>
      </c>
      <c r="Z91" s="89" t="s">
        <v>23</v>
      </c>
      <c r="AA91" s="89" t="s">
        <v>23</v>
      </c>
      <c r="AB91" s="89" t="s">
        <v>23</v>
      </c>
      <c r="AC91" s="89" t="s">
        <v>23</v>
      </c>
      <c r="AD91" s="89" t="s">
        <v>23</v>
      </c>
      <c r="AE91" s="93" t="s">
        <v>23</v>
      </c>
      <c r="AF91" s="93" t="s">
        <v>23</v>
      </c>
      <c r="AG91" s="94">
        <v>0</v>
      </c>
      <c r="AH91" s="94"/>
      <c r="AI91" s="94"/>
      <c r="AJ91" s="94"/>
      <c r="AK91" s="95" t="s">
        <v>31</v>
      </c>
      <c r="AL91" s="108"/>
    </row>
    <row r="92" spans="1:42">
      <c r="A92" s="76">
        <v>44635</v>
      </c>
      <c r="B92" s="89">
        <v>1600</v>
      </c>
      <c r="C92" s="89"/>
      <c r="D92" s="90" cm="1">
        <f t="array" ref="D92">(SUM(VLOOKUP(I92:AF92,$AM$4:$AO$44,2,FALSE))+AG92*10)*IF(AK92="是",$AY$4,$AY$3)</f>
        <v>1824</v>
      </c>
      <c r="E92" s="90">
        <f>SUM($B$4:B92)+SUM($C$4:C92)-SUM($D$4:D92)</f>
        <v>472</v>
      </c>
      <c r="F92" s="90" cm="1">
        <f t="array" ref="F92">SUM(VLOOKUP(I92:AF92,$AM$4:$AO$44,3,FALSE))</f>
        <v>600</v>
      </c>
      <c r="G92" s="90">
        <f>SUM($F$4:F92)+SUM($H$4:H92)</f>
        <v>61720</v>
      </c>
      <c r="H92" s="89">
        <v>0</v>
      </c>
      <c r="I92" s="105" t="s">
        <v>6</v>
      </c>
      <c r="J92" s="105" t="s">
        <v>17</v>
      </c>
      <c r="K92" s="105" t="s">
        <v>17</v>
      </c>
      <c r="L92" s="136" t="s">
        <v>12</v>
      </c>
      <c r="M92" s="105" t="s">
        <v>17</v>
      </c>
      <c r="N92" s="105" t="s">
        <v>17</v>
      </c>
      <c r="O92" s="93" t="s">
        <v>23</v>
      </c>
      <c r="P92" s="93" t="s">
        <v>23</v>
      </c>
      <c r="Q92" s="123" t="s">
        <v>18</v>
      </c>
      <c r="R92" s="123" t="s">
        <v>18</v>
      </c>
      <c r="S92" s="123" t="s">
        <v>18</v>
      </c>
      <c r="T92" s="123" t="s">
        <v>18</v>
      </c>
      <c r="U92" s="89" t="s">
        <v>23</v>
      </c>
      <c r="V92" s="89" t="s">
        <v>23</v>
      </c>
      <c r="W92" s="93" t="s">
        <v>23</v>
      </c>
      <c r="X92" s="93" t="s">
        <v>23</v>
      </c>
      <c r="Y92" s="136" t="s">
        <v>12</v>
      </c>
      <c r="Z92" s="105" t="s">
        <v>17</v>
      </c>
      <c r="AA92" s="105" t="s">
        <v>17</v>
      </c>
      <c r="AB92" s="105" t="s">
        <v>17</v>
      </c>
      <c r="AC92" s="105" t="s">
        <v>17</v>
      </c>
      <c r="AD92" s="89" t="s">
        <v>23</v>
      </c>
      <c r="AE92" s="93" t="s">
        <v>23</v>
      </c>
      <c r="AF92" s="93" t="s">
        <v>23</v>
      </c>
      <c r="AG92" s="94">
        <v>7</v>
      </c>
      <c r="AH92" s="94">
        <v>2</v>
      </c>
      <c r="AI92" s="94">
        <v>1</v>
      </c>
      <c r="AJ92" s="94">
        <v>4</v>
      </c>
      <c r="AK92" s="95" t="s">
        <v>31</v>
      </c>
      <c r="AL92" s="108"/>
    </row>
    <row r="93" spans="1:42">
      <c r="A93" s="76">
        <v>44636</v>
      </c>
      <c r="B93" s="89">
        <v>1600</v>
      </c>
      <c r="C93" s="89"/>
      <c r="D93" s="90" cm="1">
        <f t="array" ref="D93">(SUM(VLOOKUP(I93:AF93,$AM$4:$AO$44,2,FALSE))+AG93*10)*IF(AK93="是",$AY$4,$AY$3)</f>
        <v>2064</v>
      </c>
      <c r="E93" s="90">
        <f>SUM($B$4:B93)+SUM($C$4:C93)-SUM($D$4:D93)</f>
        <v>8</v>
      </c>
      <c r="F93" s="90" cm="1">
        <f t="array" ref="F93">SUM(VLOOKUP(I93:AF93,$AM$4:$AO$44,3,FALSE))</f>
        <v>695</v>
      </c>
      <c r="G93" s="90">
        <f>SUM($F$4:F93)+SUM($H$4:H93)</f>
        <v>62615</v>
      </c>
      <c r="H93" s="89">
        <v>200</v>
      </c>
      <c r="I93" s="105" t="s">
        <v>17</v>
      </c>
      <c r="J93" s="105" t="s">
        <v>17</v>
      </c>
      <c r="K93" s="105" t="s">
        <v>17</v>
      </c>
      <c r="L93" s="136" t="s">
        <v>12</v>
      </c>
      <c r="M93" s="96" t="s">
        <v>16</v>
      </c>
      <c r="N93" s="96" t="s">
        <v>16</v>
      </c>
      <c r="O93" s="93" t="s">
        <v>23</v>
      </c>
      <c r="P93" s="93" t="s">
        <v>23</v>
      </c>
      <c r="Q93" s="123" t="s">
        <v>18</v>
      </c>
      <c r="R93" s="136" t="s">
        <v>12</v>
      </c>
      <c r="S93" s="123" t="s">
        <v>18</v>
      </c>
      <c r="T93" s="123" t="s">
        <v>18</v>
      </c>
      <c r="U93" s="105" t="s">
        <v>17</v>
      </c>
      <c r="V93" s="105" t="s">
        <v>17</v>
      </c>
      <c r="W93" s="93" t="s">
        <v>23</v>
      </c>
      <c r="X93" s="93" t="s">
        <v>23</v>
      </c>
      <c r="Y93" s="105" t="s">
        <v>17</v>
      </c>
      <c r="Z93" s="136" t="s">
        <v>12</v>
      </c>
      <c r="AA93" s="105" t="s">
        <v>6</v>
      </c>
      <c r="AB93" s="105" t="s">
        <v>17</v>
      </c>
      <c r="AC93" s="105" t="s">
        <v>17</v>
      </c>
      <c r="AD93" s="105" t="s">
        <v>17</v>
      </c>
      <c r="AE93" s="93" t="s">
        <v>23</v>
      </c>
      <c r="AF93" s="93" t="s">
        <v>23</v>
      </c>
      <c r="AG93" s="94">
        <v>3</v>
      </c>
      <c r="AH93" s="94">
        <v>2</v>
      </c>
      <c r="AI93" s="94"/>
      <c r="AJ93" s="94">
        <v>1</v>
      </c>
      <c r="AK93" s="95" t="s">
        <v>31</v>
      </c>
      <c r="AL93" s="108"/>
    </row>
    <row r="94" spans="1:42" ht="15" thickBot="1">
      <c r="A94" s="76">
        <v>44637</v>
      </c>
      <c r="B94" s="89">
        <v>1600</v>
      </c>
      <c r="C94" s="89"/>
      <c r="D94" s="90" cm="1">
        <f t="array" ref="D94">(SUM(VLOOKUP(I94:AF94,$AM$4:$AO$44,2,FALSE))+AG94*10)*IF(AK94="是",$AY$4,$AY$3)</f>
        <v>1592</v>
      </c>
      <c r="E94" s="90">
        <f>SUM($B$4:B94)+SUM($C$4:C94)-SUM($D$4:D94)</f>
        <v>16</v>
      </c>
      <c r="F94" s="90" cm="1">
        <f t="array" ref="F94">SUM(VLOOKUP(I94:AF94,$AM$4:$AO$44,3,FALSE))</f>
        <v>640</v>
      </c>
      <c r="G94" s="90">
        <f>SUM($F$4:F94)+SUM($H$4:H94)</f>
        <v>63255</v>
      </c>
      <c r="H94" s="89">
        <v>0</v>
      </c>
      <c r="I94" s="96" t="s">
        <v>16</v>
      </c>
      <c r="J94" s="96" t="s">
        <v>16</v>
      </c>
      <c r="K94" s="136" t="s">
        <v>12</v>
      </c>
      <c r="L94" s="96" t="s">
        <v>16</v>
      </c>
      <c r="M94" s="124" t="s">
        <v>47</v>
      </c>
      <c r="N94" s="96" t="s">
        <v>16</v>
      </c>
      <c r="O94" s="136" t="s">
        <v>12</v>
      </c>
      <c r="P94" s="93" t="s">
        <v>23</v>
      </c>
      <c r="Q94" s="136" t="s">
        <v>12</v>
      </c>
      <c r="R94" s="105" t="s">
        <v>17</v>
      </c>
      <c r="S94" s="105" t="s">
        <v>17</v>
      </c>
      <c r="T94" s="105" t="s">
        <v>17</v>
      </c>
      <c r="U94" s="105" t="s">
        <v>17</v>
      </c>
      <c r="V94" s="136" t="s">
        <v>12</v>
      </c>
      <c r="W94" s="93" t="s">
        <v>23</v>
      </c>
      <c r="X94" s="93" t="s">
        <v>23</v>
      </c>
      <c r="Y94" s="105" t="s">
        <v>17</v>
      </c>
      <c r="Z94" s="136" t="s">
        <v>12</v>
      </c>
      <c r="AA94" s="105" t="s">
        <v>17</v>
      </c>
      <c r="AB94" s="105" t="s">
        <v>17</v>
      </c>
      <c r="AC94" s="105" t="s">
        <v>17</v>
      </c>
      <c r="AD94" s="136" t="s">
        <v>12</v>
      </c>
      <c r="AE94" s="93" t="s">
        <v>23</v>
      </c>
      <c r="AF94" s="93" t="s">
        <v>23</v>
      </c>
      <c r="AG94" s="94">
        <v>1</v>
      </c>
      <c r="AH94" s="94"/>
      <c r="AI94" s="94"/>
      <c r="AJ94" s="94">
        <v>1</v>
      </c>
      <c r="AK94" s="159" t="s">
        <v>31</v>
      </c>
      <c r="AL94" s="108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4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{28228333-54B9-47CE-BE43-531040D907A4}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228333-54B9-47CE-BE43-531040D907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8AF6-4815-4CFA-B6E2-6A6D968A7CEC}">
  <dimension ref="A1:BA101"/>
  <sheetViews>
    <sheetView zoomScale="115" zoomScaleNormal="115" workbookViewId="0">
      <selection activeCell="K22" sqref="K22"/>
    </sheetView>
  </sheetViews>
  <sheetFormatPr defaultRowHeight="14.4"/>
  <cols>
    <col min="1" max="1" width="11.88671875" bestFit="1" customWidth="1"/>
    <col min="2" max="2" width="8.6640625" customWidth="1"/>
    <col min="3" max="3" width="8.5546875" customWidth="1"/>
    <col min="4" max="4" width="5.6640625" bestFit="1" customWidth="1"/>
    <col min="5" max="5" width="6.44140625" customWidth="1"/>
    <col min="6" max="6" width="5.6640625" bestFit="1" customWidth="1"/>
    <col min="7" max="7" width="6.554687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44140625" customWidth="1"/>
    <col min="42" max="42" width="11.5546875" bestFit="1" customWidth="1"/>
    <col min="52" max="52" width="11" bestFit="1" customWidth="1"/>
  </cols>
  <sheetData>
    <row r="1" spans="1:53" ht="28.2" customHeight="1" thickBot="1">
      <c r="A1" s="166">
        <f ca="1">(_xlfn.DAYS(TODAY(),A4)+2)/((_xlfn.DAYS(A94,A4))+1)</f>
        <v>1</v>
      </c>
      <c r="B1" s="167"/>
      <c r="C1" s="167"/>
      <c r="D1" s="167"/>
      <c r="E1" s="167"/>
      <c r="F1" s="167"/>
      <c r="G1" s="167"/>
      <c r="H1" s="168"/>
      <c r="I1" s="169" t="s">
        <v>37</v>
      </c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1"/>
      <c r="AH1" s="42"/>
      <c r="AI1" s="42"/>
      <c r="AJ1" s="42"/>
      <c r="AM1" s="165" t="s">
        <v>42</v>
      </c>
      <c r="AN1" s="165"/>
      <c r="AO1" s="165"/>
      <c r="AP1" s="119"/>
    </row>
    <row r="2" spans="1:53" ht="16.2" customHeight="1" thickBot="1">
      <c r="A2" t="s">
        <v>85</v>
      </c>
      <c r="B2" s="135" t="s">
        <v>88</v>
      </c>
      <c r="C2" s="134" cm="1">
        <f t="array" ref="C2">SUM(VLOOKUP(I4:P12,$AM$4:$AP$44,4,FALSE))+SUM(VLOOKUP(Q5:X11,$AM$4:$AP$44,4,FALSE))+SUM(AG4:AG14)*10</f>
        <v>3154.6632817741674</v>
      </c>
      <c r="D2" s="173" t="s">
        <v>35</v>
      </c>
      <c r="E2" s="174"/>
      <c r="F2" s="175">
        <f>SUM(F4:F94)+SUM(H4:H94)</f>
        <v>11110</v>
      </c>
      <c r="G2" s="175"/>
      <c r="H2" s="176"/>
      <c r="I2" s="177" t="s">
        <v>48</v>
      </c>
      <c r="J2" s="178"/>
      <c r="K2" s="120" t="s">
        <v>46</v>
      </c>
      <c r="L2" s="120">
        <f>COUNTIF(I4:P94,"&lt;&gt;空")</f>
        <v>55</v>
      </c>
      <c r="M2" s="178" t="s">
        <v>45</v>
      </c>
      <c r="N2" s="178"/>
      <c r="O2" s="178"/>
      <c r="P2" s="179"/>
      <c r="Q2" s="180" t="s">
        <v>49</v>
      </c>
      <c r="R2" s="160"/>
      <c r="S2" s="118" t="s">
        <v>46</v>
      </c>
      <c r="T2" s="118">
        <f>COUNTIF(Q4:X94,"&lt;&gt;空")</f>
        <v>39</v>
      </c>
      <c r="U2" s="160" t="s">
        <v>45</v>
      </c>
      <c r="V2" s="160"/>
      <c r="W2" s="160"/>
      <c r="X2" s="161"/>
      <c r="Y2" s="180" t="s">
        <v>33</v>
      </c>
      <c r="Z2" s="160"/>
      <c r="AA2" s="58" t="s">
        <v>44</v>
      </c>
      <c r="AB2" s="118">
        <f>COUNTIF(Y4:AF94,"&lt;&gt;空")</f>
        <v>0</v>
      </c>
      <c r="AC2" s="160" t="s">
        <v>45</v>
      </c>
      <c r="AD2" s="160"/>
      <c r="AE2" s="160"/>
      <c r="AF2" s="161"/>
      <c r="AG2" s="41">
        <f>SUM(AG4:AG94)</f>
        <v>24</v>
      </c>
      <c r="AH2" s="41">
        <f>SUM(AH4:AH94)</f>
        <v>11</v>
      </c>
      <c r="AI2" s="41">
        <f>SUM(AI4:AI94)</f>
        <v>12</v>
      </c>
      <c r="AJ2" s="41">
        <f>SUM(AJ4:AJ94)</f>
        <v>6</v>
      </c>
      <c r="AK2" s="162" t="s">
        <v>29</v>
      </c>
      <c r="AM2" s="172"/>
      <c r="AN2" s="172"/>
      <c r="AO2" s="172"/>
      <c r="AP2" s="132"/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5">
        <v>1</v>
      </c>
      <c r="J3" s="6">
        <v>2</v>
      </c>
      <c r="K3" s="6">
        <v>3</v>
      </c>
      <c r="L3" s="6">
        <v>4</v>
      </c>
      <c r="M3" s="6">
        <v>5</v>
      </c>
      <c r="N3" s="6">
        <v>6</v>
      </c>
      <c r="O3" s="6">
        <v>7</v>
      </c>
      <c r="P3" s="6">
        <v>8</v>
      </c>
      <c r="Q3" s="60">
        <v>1</v>
      </c>
      <c r="R3" s="61">
        <v>2</v>
      </c>
      <c r="S3" s="61">
        <v>3</v>
      </c>
      <c r="T3" s="61">
        <v>4</v>
      </c>
      <c r="U3" s="61">
        <v>5</v>
      </c>
      <c r="V3" s="61">
        <v>6</v>
      </c>
      <c r="W3" s="61">
        <v>7</v>
      </c>
      <c r="X3" s="61">
        <v>8</v>
      </c>
      <c r="Y3" s="60">
        <v>1</v>
      </c>
      <c r="Z3" s="61">
        <v>2</v>
      </c>
      <c r="AA3" s="61">
        <v>3</v>
      </c>
      <c r="AB3" s="61">
        <v>4</v>
      </c>
      <c r="AC3" s="61">
        <v>5</v>
      </c>
      <c r="AD3" s="61">
        <v>6</v>
      </c>
      <c r="AE3" s="61">
        <v>7</v>
      </c>
      <c r="AF3" s="62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163"/>
      <c r="AL3" s="2"/>
      <c r="AM3" s="19" t="s">
        <v>2</v>
      </c>
      <c r="AN3" s="19" t="s">
        <v>3</v>
      </c>
      <c r="AO3" s="19" t="s">
        <v>4</v>
      </c>
      <c r="AP3" s="133" t="s">
        <v>87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76">
        <v>44547</v>
      </c>
      <c r="B4" s="90">
        <v>800</v>
      </c>
      <c r="C4" s="90"/>
      <c r="D4" s="90" cm="1">
        <f t="array" ref="D4">(SUM(VLOOKUP(I4:AF4,$AM$4:$AO$44,2,FALSE))+AG4*10)*IF(AK4="是",$AY$4,$AY$3)</f>
        <v>750</v>
      </c>
      <c r="E4" s="90">
        <f>SUM($B$4:B4)+SUM($C$4:C4)-SUM($D$4:D4)</f>
        <v>50</v>
      </c>
      <c r="F4" s="90" cm="1">
        <f t="array" ref="F4">SUM(VLOOKUP(I4:AF4,$AM$4:$AO$44,3,FALSE))</f>
        <v>175</v>
      </c>
      <c r="G4" s="90">
        <f>SUM($F$4:F4)+SUM($H$4:H4)</f>
        <v>175</v>
      </c>
      <c r="H4" s="90">
        <v>0</v>
      </c>
      <c r="I4" s="137" t="s">
        <v>16</v>
      </c>
      <c r="J4" s="137" t="s">
        <v>16</v>
      </c>
      <c r="K4" s="137" t="s">
        <v>16</v>
      </c>
      <c r="L4" s="137" t="s">
        <v>16</v>
      </c>
      <c r="M4" s="137" t="s">
        <v>16</v>
      </c>
      <c r="N4" t="s">
        <v>23</v>
      </c>
      <c r="O4" s="7" t="s">
        <v>23</v>
      </c>
      <c r="P4" s="7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s="7" t="s">
        <v>23</v>
      </c>
      <c r="X4" s="7" t="s">
        <v>23</v>
      </c>
      <c r="Y4" s="89" t="s">
        <v>23</v>
      </c>
      <c r="Z4" s="89" t="s">
        <v>23</v>
      </c>
      <c r="AA4" s="89" t="s">
        <v>23</v>
      </c>
      <c r="AB4" s="89" t="s">
        <v>23</v>
      </c>
      <c r="AC4" s="89" t="s">
        <v>23</v>
      </c>
      <c r="AD4" s="89" t="s">
        <v>23</v>
      </c>
      <c r="AE4" s="93" t="s">
        <v>23</v>
      </c>
      <c r="AF4" s="93" t="s">
        <v>23</v>
      </c>
      <c r="AG4" s="142">
        <v>0</v>
      </c>
      <c r="AH4" s="94"/>
      <c r="AI4" s="94"/>
      <c r="AJ4" s="94"/>
      <c r="AK4" s="95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 t="shared" ref="AQ4:AQ6" si="0">COUNTIF($I$4:$P$94,AM4)</f>
        <v>12</v>
      </c>
      <c r="AR4" s="19">
        <f t="shared" ref="AR4:AR26" si="1">COUNTIF($Q$4:$X$94,AM4)</f>
        <v>2</v>
      </c>
      <c r="AS4" s="19">
        <f t="shared" ref="AS4:AS26" si="2">COUNTIF($Y$4:$AF$94,AM4)</f>
        <v>0</v>
      </c>
      <c r="AT4" s="19">
        <f>AQ4+AR4+AS4</f>
        <v>14</v>
      </c>
      <c r="AU4" s="50">
        <f>AQ4*$AO4</f>
        <v>420</v>
      </c>
      <c r="AV4" s="50">
        <f t="shared" ref="AV4:AW19" si="3">AR4*$AO4</f>
        <v>70</v>
      </c>
      <c r="AW4" s="50">
        <f t="shared" si="3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76">
        <v>44548</v>
      </c>
      <c r="B5" s="90">
        <v>1600</v>
      </c>
      <c r="C5" s="90"/>
      <c r="D5" s="90" cm="1">
        <f t="array" ref="D5">(SUM(VLOOKUP(I5:AF5,$AM$4:$AO$44,2,FALSE))+AG5*10)*IF(AK5="是",$AY$4,$AY$3)</f>
        <v>1600</v>
      </c>
      <c r="E5" s="90">
        <f>SUM($B$4:B5)+SUM($C$4:C5)-SUM($D$4:D5)</f>
        <v>50</v>
      </c>
      <c r="F5" s="90" cm="1">
        <f t="array" ref="F5">SUM(VLOOKUP(I5:AF5,$AM$4:$AO$44,3,FALSE))</f>
        <v>395</v>
      </c>
      <c r="G5" s="90">
        <f>SUM($F$4:F5)+SUM($H$4:H5)</f>
        <v>1070</v>
      </c>
      <c r="H5" s="90">
        <v>500</v>
      </c>
      <c r="I5" s="137" t="s">
        <v>16</v>
      </c>
      <c r="J5" s="137" t="s">
        <v>16</v>
      </c>
      <c r="K5" s="137" t="s">
        <v>16</v>
      </c>
      <c r="L5" s="137" t="s">
        <v>16</v>
      </c>
      <c r="M5" s="137" t="s">
        <v>16</v>
      </c>
      <c r="N5" s="138" t="s">
        <v>13</v>
      </c>
      <c r="O5" s="137" t="s">
        <v>16</v>
      </c>
      <c r="P5" s="137" t="s">
        <v>16</v>
      </c>
      <c r="Q5" s="137" t="s">
        <v>16</v>
      </c>
      <c r="R5" s="137" t="s">
        <v>16</v>
      </c>
      <c r="S5" s="139" t="s">
        <v>17</v>
      </c>
      <c r="T5" s="139" t="s">
        <v>17</v>
      </c>
      <c r="U5" t="s">
        <v>23</v>
      </c>
      <c r="V5" t="s">
        <v>23</v>
      </c>
      <c r="W5" s="7" t="s">
        <v>23</v>
      </c>
      <c r="X5" s="7" t="s">
        <v>23</v>
      </c>
      <c r="Y5" s="89" t="s">
        <v>23</v>
      </c>
      <c r="Z5" s="89" t="s">
        <v>23</v>
      </c>
      <c r="AA5" s="89" t="s">
        <v>23</v>
      </c>
      <c r="AB5" s="89" t="s">
        <v>23</v>
      </c>
      <c r="AC5" s="89" t="s">
        <v>23</v>
      </c>
      <c r="AD5" s="89" t="s">
        <v>23</v>
      </c>
      <c r="AE5" s="93" t="s">
        <v>23</v>
      </c>
      <c r="AF5" s="93" t="s">
        <v>23</v>
      </c>
      <c r="AG5" s="142">
        <v>8</v>
      </c>
      <c r="AH5" s="94"/>
      <c r="AI5" s="94">
        <v>8</v>
      </c>
      <c r="AJ5" s="94"/>
      <c r="AK5" s="95" t="s">
        <v>30</v>
      </c>
      <c r="AM5" s="21" t="s">
        <v>17</v>
      </c>
      <c r="AN5" s="19">
        <v>160</v>
      </c>
      <c r="AO5" s="19">
        <v>40</v>
      </c>
      <c r="AP5" s="19">
        <f t="shared" ref="AP5" si="4">AN5-AO5/0.330882</f>
        <v>39.110982162825422</v>
      </c>
      <c r="AQ5" s="19">
        <f t="shared" si="0"/>
        <v>6</v>
      </c>
      <c r="AR5" s="19">
        <f t="shared" si="1"/>
        <v>7</v>
      </c>
      <c r="AS5" s="19">
        <f t="shared" si="2"/>
        <v>0</v>
      </c>
      <c r="AT5" s="19">
        <f t="shared" ref="AT5:AT26" si="5">AQ5+AR5+AS5</f>
        <v>13</v>
      </c>
      <c r="AU5" s="50">
        <f t="shared" ref="AU5:AW28" si="6">AQ5*$AO5</f>
        <v>240</v>
      </c>
      <c r="AV5" s="50">
        <f t="shared" si="3"/>
        <v>280</v>
      </c>
      <c r="AW5" s="50">
        <f t="shared" si="3"/>
        <v>0</v>
      </c>
      <c r="AX5" s="164" t="s">
        <v>34</v>
      </c>
      <c r="AY5" s="164"/>
      <c r="AZ5" s="53">
        <f t="shared" ref="AZ5:AZ26" si="7">AO5/BA5</f>
        <v>0.3125</v>
      </c>
      <c r="BA5">
        <f t="shared" ref="BA5:BA28" si="8">AN5*0.8</f>
        <v>128</v>
      </c>
    </row>
    <row r="6" spans="1:53">
      <c r="A6" s="76">
        <v>44549</v>
      </c>
      <c r="B6" s="90">
        <v>1600</v>
      </c>
      <c r="C6" s="90"/>
      <c r="D6" s="90" cm="1">
        <f t="array" ref="D6">(SUM(VLOOKUP(I6:AF6,$AM$4:$AO$44,2,FALSE))+AG6*10)*IF(AK6="是",$AY$4,$AY$3)</f>
        <v>1550</v>
      </c>
      <c r="E6" s="90">
        <f>SUM($B$4:B6)+SUM($C$4:C6)-SUM($D$4:D6)</f>
        <v>100</v>
      </c>
      <c r="F6" s="90" cm="1">
        <f t="array" ref="F6">SUM(VLOOKUP(I6:AF6,$AM$4:$AO$44,3,FALSE))</f>
        <v>390</v>
      </c>
      <c r="G6" s="90">
        <f>SUM($F$4:F6)+SUM($H$4:H6)</f>
        <v>1460</v>
      </c>
      <c r="H6" s="90">
        <v>0</v>
      </c>
      <c r="I6" s="139" t="s">
        <v>17</v>
      </c>
      <c r="J6" s="139" t="s">
        <v>17</v>
      </c>
      <c r="K6" s="139" t="s">
        <v>17</v>
      </c>
      <c r="L6" s="139" t="s">
        <v>17</v>
      </c>
      <c r="M6" s="139" t="s">
        <v>17</v>
      </c>
      <c r="N6" s="139" t="s">
        <v>17</v>
      </c>
      <c r="O6" s="7" t="s">
        <v>23</v>
      </c>
      <c r="P6" s="7" t="s">
        <v>23</v>
      </c>
      <c r="Q6" s="139" t="s">
        <v>17</v>
      </c>
      <c r="R6" s="141" t="s">
        <v>12</v>
      </c>
      <c r="S6" s="139" t="s">
        <v>17</v>
      </c>
      <c r="T6" s="139" t="s">
        <v>17</v>
      </c>
      <c r="U6" t="s">
        <v>23</v>
      </c>
      <c r="V6" t="s">
        <v>23</v>
      </c>
      <c r="W6" s="7" t="s">
        <v>23</v>
      </c>
      <c r="X6" s="7" t="s">
        <v>23</v>
      </c>
      <c r="Y6" s="89" t="s">
        <v>23</v>
      </c>
      <c r="Z6" s="89" t="s">
        <v>23</v>
      </c>
      <c r="AA6" s="89" t="s">
        <v>23</v>
      </c>
      <c r="AB6" s="89" t="s">
        <v>23</v>
      </c>
      <c r="AC6" s="89" t="s">
        <v>23</v>
      </c>
      <c r="AD6" s="89" t="s">
        <v>23</v>
      </c>
      <c r="AE6" s="93" t="s">
        <v>23</v>
      </c>
      <c r="AF6" s="93" t="s">
        <v>23</v>
      </c>
      <c r="AG6" s="142">
        <v>6</v>
      </c>
      <c r="AH6" s="94">
        <v>4</v>
      </c>
      <c r="AI6" s="94">
        <v>2</v>
      </c>
      <c r="AJ6" s="94"/>
      <c r="AK6" s="95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 t="shared" si="0"/>
        <v>26</v>
      </c>
      <c r="AR6" s="19">
        <f t="shared" si="1"/>
        <v>22</v>
      </c>
      <c r="AS6" s="19">
        <f t="shared" si="2"/>
        <v>0</v>
      </c>
      <c r="AT6" s="19">
        <f t="shared" si="5"/>
        <v>48</v>
      </c>
      <c r="AU6" s="50">
        <f t="shared" si="6"/>
        <v>1170</v>
      </c>
      <c r="AV6" s="50">
        <f t="shared" si="3"/>
        <v>990</v>
      </c>
      <c r="AW6" s="50">
        <f t="shared" si="3"/>
        <v>0</v>
      </c>
      <c r="AX6" s="165"/>
      <c r="AY6" s="165"/>
      <c r="AZ6" s="53">
        <f t="shared" si="7"/>
        <v>0.33088235294117646</v>
      </c>
      <c r="BA6">
        <f t="shared" si="8"/>
        <v>136</v>
      </c>
    </row>
    <row r="7" spans="1:53">
      <c r="A7" s="76">
        <v>44550</v>
      </c>
      <c r="B7" s="89">
        <v>1600</v>
      </c>
      <c r="C7" s="89">
        <v>2000</v>
      </c>
      <c r="D7" s="90" cm="1">
        <f t="array" ref="D7">(SUM(VLOOKUP(I7:AF7,$AM$4:$AO$44,2,FALSE))+AG7*10)*IF(AK7="是",$AY$4,$AY$3)</f>
        <v>2000</v>
      </c>
      <c r="E7" s="90">
        <f>SUM($B$4:B7)+SUM($C$4:C7)-SUM($D$4:D7)</f>
        <v>1700</v>
      </c>
      <c r="F7" s="90" cm="1">
        <f t="array" ref="F7">SUM(VLOOKUP(I7:AF7,$AM$4:$AO$44,3,FALSE))</f>
        <v>525</v>
      </c>
      <c r="G7" s="90">
        <f>SUM($F$4:F7)+SUM($H$4:H7)</f>
        <v>2285</v>
      </c>
      <c r="H7" s="89">
        <v>300</v>
      </c>
      <c r="I7" s="125" t="s">
        <v>6</v>
      </c>
      <c r="J7" s="140" t="s">
        <v>18</v>
      </c>
      <c r="K7" s="30" t="s">
        <v>83</v>
      </c>
      <c r="L7" s="140" t="s">
        <v>18</v>
      </c>
      <c r="M7" s="140" t="s">
        <v>18</v>
      </c>
      <c r="N7" s="140" t="s">
        <v>18</v>
      </c>
      <c r="O7" s="7" t="s">
        <v>23</v>
      </c>
      <c r="P7" s="7" t="s">
        <v>23</v>
      </c>
      <c r="Q7" s="139" t="s">
        <v>17</v>
      </c>
      <c r="R7" s="139" t="s">
        <v>17</v>
      </c>
      <c r="S7" s="140" t="s">
        <v>18</v>
      </c>
      <c r="T7" s="140" t="s">
        <v>18</v>
      </c>
      <c r="U7" s="30" t="s">
        <v>83</v>
      </c>
      <c r="V7" s="140" t="s">
        <v>18</v>
      </c>
      <c r="W7" s="7" t="s">
        <v>23</v>
      </c>
      <c r="X7" s="7" t="s">
        <v>23</v>
      </c>
      <c r="Y7" s="89" t="s">
        <v>23</v>
      </c>
      <c r="Z7" s="89" t="s">
        <v>23</v>
      </c>
      <c r="AA7" s="89" t="s">
        <v>23</v>
      </c>
      <c r="AB7" s="89" t="s">
        <v>23</v>
      </c>
      <c r="AC7" s="89" t="s">
        <v>23</v>
      </c>
      <c r="AD7" s="89" t="s">
        <v>23</v>
      </c>
      <c r="AE7" s="93" t="s">
        <v>23</v>
      </c>
      <c r="AF7" s="93" t="s">
        <v>23</v>
      </c>
      <c r="AG7" s="142">
        <v>0</v>
      </c>
      <c r="AH7" s="94"/>
      <c r="AI7" s="94"/>
      <c r="AJ7" s="94"/>
      <c r="AK7" s="95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1</v>
      </c>
      <c r="AR7" s="19">
        <f t="shared" si="1"/>
        <v>0</v>
      </c>
      <c r="AS7" s="19">
        <f t="shared" si="2"/>
        <v>0</v>
      </c>
      <c r="AT7" s="71">
        <f t="shared" si="5"/>
        <v>1</v>
      </c>
      <c r="AU7" s="50">
        <f t="shared" si="6"/>
        <v>50</v>
      </c>
      <c r="AV7" s="50">
        <f t="shared" si="3"/>
        <v>0</v>
      </c>
      <c r="AW7" s="50">
        <f t="shared" si="3"/>
        <v>0</v>
      </c>
      <c r="AX7" s="165"/>
      <c r="AY7" s="165"/>
      <c r="AZ7" s="53">
        <f t="shared" si="7"/>
        <v>0.34722222222222221</v>
      </c>
      <c r="BA7">
        <f t="shared" si="8"/>
        <v>144</v>
      </c>
    </row>
    <row r="8" spans="1:53">
      <c r="A8" s="76">
        <v>44551</v>
      </c>
      <c r="B8" s="89">
        <v>1600</v>
      </c>
      <c r="C8" s="89">
        <v>2000</v>
      </c>
      <c r="D8" s="90" cm="1">
        <f t="array" ref="D8">(SUM(VLOOKUP(I8:AF8,$AM$4:$AO$44,2,FALSE))+AG8*10)*IF(AK8="是",$AY$4,$AY$3)</f>
        <v>1820</v>
      </c>
      <c r="E8" s="90">
        <f>SUM($B$4:B8)+SUM($C$4:C8)-SUM($D$4:D8)</f>
        <v>3480</v>
      </c>
      <c r="F8" s="90" cm="1">
        <f t="array" ref="F8">SUM(VLOOKUP(I8:AF8,$AM$4:$AO$44,3,FALSE))</f>
        <v>555</v>
      </c>
      <c r="G8" s="90">
        <f>SUM($F$4:F8)+SUM($H$4:H8)</f>
        <v>2840</v>
      </c>
      <c r="H8" s="89">
        <v>0</v>
      </c>
      <c r="I8" s="140" t="s">
        <v>18</v>
      </c>
      <c r="J8" s="141" t="s">
        <v>12</v>
      </c>
      <c r="K8" s="140" t="s">
        <v>18</v>
      </c>
      <c r="L8" s="140" t="s">
        <v>18</v>
      </c>
      <c r="M8" s="30" t="s">
        <v>83</v>
      </c>
      <c r="N8" s="140" t="s">
        <v>18</v>
      </c>
      <c r="O8" s="7" t="s">
        <v>23</v>
      </c>
      <c r="P8" s="7" t="s">
        <v>23</v>
      </c>
      <c r="Q8" s="140" t="s">
        <v>18</v>
      </c>
      <c r="R8" s="140" t="s">
        <v>18</v>
      </c>
      <c r="S8" s="140" t="s">
        <v>18</v>
      </c>
      <c r="T8" s="140" t="s">
        <v>18</v>
      </c>
      <c r="U8" s="141" t="s">
        <v>12</v>
      </c>
      <c r="V8" s="140" t="s">
        <v>18</v>
      </c>
      <c r="W8" s="138" t="s">
        <v>13</v>
      </c>
      <c r="X8" s="140" t="s">
        <v>18</v>
      </c>
      <c r="Y8" s="89" t="s">
        <v>23</v>
      </c>
      <c r="Z8" s="89" t="s">
        <v>23</v>
      </c>
      <c r="AA8" s="89" t="s">
        <v>23</v>
      </c>
      <c r="AB8" s="89" t="s">
        <v>23</v>
      </c>
      <c r="AC8" s="89" t="s">
        <v>23</v>
      </c>
      <c r="AD8" s="89" t="s">
        <v>23</v>
      </c>
      <c r="AE8" s="93" t="s">
        <v>23</v>
      </c>
      <c r="AF8" s="93" t="s">
        <v>23</v>
      </c>
      <c r="AG8" s="142">
        <v>0</v>
      </c>
      <c r="AH8" s="94"/>
      <c r="AI8" s="94"/>
      <c r="AJ8" s="94"/>
      <c r="AK8" s="95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9">COUNTIF($I$4:$P$94,AM8)</f>
        <v>0</v>
      </c>
      <c r="AR8" s="19">
        <f t="shared" si="1"/>
        <v>0</v>
      </c>
      <c r="AS8" s="19">
        <f t="shared" si="2"/>
        <v>0</v>
      </c>
      <c r="AT8" s="71">
        <f t="shared" si="5"/>
        <v>0</v>
      </c>
      <c r="AU8" s="50">
        <f t="shared" si="6"/>
        <v>0</v>
      </c>
      <c r="AV8" s="50">
        <f t="shared" si="3"/>
        <v>0</v>
      </c>
      <c r="AW8" s="50">
        <f t="shared" si="3"/>
        <v>0</v>
      </c>
      <c r="AX8" s="165"/>
      <c r="AY8" s="165"/>
      <c r="AZ8" s="53">
        <f t="shared" si="7"/>
        <v>0.36184210526315791</v>
      </c>
      <c r="BA8">
        <f t="shared" si="8"/>
        <v>152</v>
      </c>
    </row>
    <row r="9" spans="1:53">
      <c r="A9" s="76">
        <v>44552</v>
      </c>
      <c r="B9" s="89">
        <v>1600</v>
      </c>
      <c r="C9" s="89"/>
      <c r="D9" s="90" cm="1">
        <f t="array" ref="D9">(SUM(VLOOKUP(I9:AF9,$AM$4:$AO$44,2,FALSE))+AG9*10)*IF(AK9="是",$AY$4,$AY$3)</f>
        <v>1950</v>
      </c>
      <c r="E9" s="90">
        <f>SUM($B$4:B9)+SUM($C$4:C9)-SUM($D$4:D9)</f>
        <v>3130</v>
      </c>
      <c r="F9" s="90" cm="1">
        <f t="array" ref="F9">SUM(VLOOKUP(I9:AF9,$AM$4:$AO$44,3,FALSE))</f>
        <v>545</v>
      </c>
      <c r="G9" s="90">
        <f>SUM($F$4:F9)+SUM($H$4:H9)</f>
        <v>3585</v>
      </c>
      <c r="H9" s="89">
        <v>200</v>
      </c>
      <c r="I9" s="140" t="s">
        <v>18</v>
      </c>
      <c r="J9" s="127" t="s">
        <v>19</v>
      </c>
      <c r="K9" s="140" t="s">
        <v>18</v>
      </c>
      <c r="L9" s="140" t="s">
        <v>18</v>
      </c>
      <c r="M9" s="138" t="s">
        <v>13</v>
      </c>
      <c r="N9" s="140" t="s">
        <v>18</v>
      </c>
      <c r="O9" s="140" t="s">
        <v>18</v>
      </c>
      <c r="P9" s="7" t="s">
        <v>23</v>
      </c>
      <c r="Q9" s="140" t="s">
        <v>18</v>
      </c>
      <c r="R9" s="140" t="s">
        <v>18</v>
      </c>
      <c r="S9" s="140" t="s">
        <v>18</v>
      </c>
      <c r="T9" s="140" t="s">
        <v>18</v>
      </c>
      <c r="U9" s="30" t="s">
        <v>83</v>
      </c>
      <c r="V9" s="140" t="s">
        <v>18</v>
      </c>
      <c r="W9" s="7" t="s">
        <v>23</v>
      </c>
      <c r="X9" s="7" t="s">
        <v>23</v>
      </c>
      <c r="Y9" s="89" t="s">
        <v>23</v>
      </c>
      <c r="Z9" s="89" t="s">
        <v>23</v>
      </c>
      <c r="AA9" s="89" t="s">
        <v>23</v>
      </c>
      <c r="AB9" s="89" t="s">
        <v>23</v>
      </c>
      <c r="AC9" s="89" t="s">
        <v>23</v>
      </c>
      <c r="AD9" s="89" t="s">
        <v>23</v>
      </c>
      <c r="AE9" s="93" t="s">
        <v>23</v>
      </c>
      <c r="AF9" s="93" t="s">
        <v>23</v>
      </c>
      <c r="AG9" s="142">
        <v>5</v>
      </c>
      <c r="AH9" s="94"/>
      <c r="AI9" s="94"/>
      <c r="AJ9" s="94"/>
      <c r="AK9" s="95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9"/>
        <v>0</v>
      </c>
      <c r="AR9" s="19">
        <f t="shared" si="1"/>
        <v>0</v>
      </c>
      <c r="AS9" s="19">
        <f t="shared" si="2"/>
        <v>0</v>
      </c>
      <c r="AT9" s="71">
        <f t="shared" si="5"/>
        <v>0</v>
      </c>
      <c r="AU9" s="50">
        <f t="shared" si="6"/>
        <v>0</v>
      </c>
      <c r="AV9" s="50">
        <f t="shared" si="3"/>
        <v>0</v>
      </c>
      <c r="AW9" s="50">
        <f t="shared" si="3"/>
        <v>0</v>
      </c>
      <c r="AZ9" s="53">
        <f t="shared" si="7"/>
        <v>0.375</v>
      </c>
      <c r="BA9">
        <f t="shared" si="8"/>
        <v>160</v>
      </c>
    </row>
    <row r="10" spans="1:53">
      <c r="A10" s="121">
        <v>44553</v>
      </c>
      <c r="B10" s="110">
        <v>1600</v>
      </c>
      <c r="C10" s="110"/>
      <c r="D10" s="109" cm="1">
        <f t="array" ref="D10">(SUM(VLOOKUP(I10:AF10,$AM$4:$AO$44,2,FALSE))+AG10*10)*IF(AK10="是",$AY$4,$AY$3)</f>
        <v>1680</v>
      </c>
      <c r="E10" s="57">
        <f>SUM($B$4:B10)+SUM($C$4:C10)-SUM($D$4:D10)</f>
        <v>3050</v>
      </c>
      <c r="F10" s="109" cm="1">
        <f t="array" ref="F10">SUM(VLOOKUP(I10:AF10,$AM$4:$AO$44,3,FALSE))</f>
        <v>465</v>
      </c>
      <c r="G10" s="109">
        <f>SUM($F$4:F10)+SUM($H$4:H10)</f>
        <v>4050</v>
      </c>
      <c r="H10" s="110">
        <v>0</v>
      </c>
      <c r="I10" s="140" t="s">
        <v>18</v>
      </c>
      <c r="J10" s="30" t="s">
        <v>83</v>
      </c>
      <c r="K10" s="140" t="s">
        <v>18</v>
      </c>
      <c r="L10" s="140" t="s">
        <v>18</v>
      </c>
      <c r="M10" s="140" t="s">
        <v>18</v>
      </c>
      <c r="N10" s="141" t="s">
        <v>12</v>
      </c>
      <c r="O10" s="7" t="s">
        <v>23</v>
      </c>
      <c r="P10" s="7" t="s">
        <v>23</v>
      </c>
      <c r="Q10" s="140" t="s">
        <v>18</v>
      </c>
      <c r="R10" s="141" t="s">
        <v>12</v>
      </c>
      <c r="S10" s="140" t="s">
        <v>18</v>
      </c>
      <c r="T10" s="140" t="s">
        <v>18</v>
      </c>
      <c r="U10" s="140" t="s">
        <v>18</v>
      </c>
      <c r="V10" t="s">
        <v>23</v>
      </c>
      <c r="W10" s="7" t="s">
        <v>23</v>
      </c>
      <c r="X10" s="7" t="s">
        <v>23</v>
      </c>
      <c r="Y10" s="110" t="s">
        <v>23</v>
      </c>
      <c r="Z10" s="110" t="s">
        <v>23</v>
      </c>
      <c r="AA10" s="110" t="s">
        <v>23</v>
      </c>
      <c r="AB10" s="110" t="s">
        <v>23</v>
      </c>
      <c r="AC10" s="110" t="s">
        <v>23</v>
      </c>
      <c r="AD10" s="110" t="s">
        <v>23</v>
      </c>
      <c r="AE10" s="111" t="s">
        <v>23</v>
      </c>
      <c r="AF10" s="111" t="s">
        <v>23</v>
      </c>
      <c r="AG10" s="142">
        <v>5</v>
      </c>
      <c r="AH10" s="112"/>
      <c r="AI10" s="112"/>
      <c r="AJ10" s="112"/>
      <c r="AK10" s="113" t="s">
        <v>30</v>
      </c>
      <c r="AM10" s="20" t="s">
        <v>5</v>
      </c>
      <c r="AN10" s="19">
        <v>150</v>
      </c>
      <c r="AO10" s="19">
        <v>35</v>
      </c>
      <c r="AP10" s="19">
        <f t="shared" ref="AP10:AP12" si="10">AN10-AO10/0.330882</f>
        <v>44.222109392472248</v>
      </c>
      <c r="AQ10" s="19">
        <f t="shared" si="9"/>
        <v>0</v>
      </c>
      <c r="AR10" s="19">
        <f t="shared" si="1"/>
        <v>0</v>
      </c>
      <c r="AS10" s="19">
        <f t="shared" si="2"/>
        <v>0</v>
      </c>
      <c r="AT10" s="19">
        <f t="shared" si="5"/>
        <v>0</v>
      </c>
      <c r="AU10" s="50">
        <f t="shared" si="6"/>
        <v>0</v>
      </c>
      <c r="AV10" s="50">
        <f t="shared" si="3"/>
        <v>0</v>
      </c>
      <c r="AW10" s="50">
        <f t="shared" si="3"/>
        <v>0</v>
      </c>
      <c r="AZ10" s="53">
        <f t="shared" si="7"/>
        <v>0.29166666666666669</v>
      </c>
      <c r="BA10">
        <f t="shared" si="8"/>
        <v>120</v>
      </c>
    </row>
    <row r="11" spans="1:53">
      <c r="A11" s="121">
        <v>44554</v>
      </c>
      <c r="B11" s="110">
        <v>1600</v>
      </c>
      <c r="C11" s="110"/>
      <c r="D11" s="109" cm="1">
        <f t="array" ref="D11">(SUM(VLOOKUP(I11:AF11,$AM$4:$AO$44,2,FALSE))+AG11*10)*IF(AK11="是",$AY$4,$AY$3)</f>
        <v>2080</v>
      </c>
      <c r="E11" s="57">
        <f>SUM($B$4:B11)+SUM($C$4:C11)-SUM($D$4:D11)</f>
        <v>2570</v>
      </c>
      <c r="F11" s="109" cm="1">
        <f t="array" ref="F11">SUM(VLOOKUP(I11:AF11,$AM$4:$AO$44,3,FALSE))</f>
        <v>835</v>
      </c>
      <c r="G11" s="109">
        <f>SUM($F$4:F11)+SUM($H$4:H11)</f>
        <v>4885</v>
      </c>
      <c r="H11" s="110">
        <v>0</v>
      </c>
      <c r="I11" s="140" t="s">
        <v>18</v>
      </c>
      <c r="J11" s="140" t="s">
        <v>18</v>
      </c>
      <c r="K11" s="140" t="s">
        <v>18</v>
      </c>
      <c r="L11" s="30" t="s">
        <v>82</v>
      </c>
      <c r="M11" s="140" t="s">
        <v>18</v>
      </c>
      <c r="N11" s="140" t="s">
        <v>18</v>
      </c>
      <c r="O11" s="7" t="s">
        <v>23</v>
      </c>
      <c r="P11" s="7" t="s">
        <v>23</v>
      </c>
      <c r="Q11" s="140" t="s">
        <v>18</v>
      </c>
      <c r="R11" s="140" t="s">
        <v>18</v>
      </c>
      <c r="S11" s="141" t="s">
        <v>12</v>
      </c>
      <c r="T11" s="140" t="s">
        <v>18</v>
      </c>
      <c r="U11" s="140" t="s">
        <v>18</v>
      </c>
      <c r="V11" s="30" t="s">
        <v>82</v>
      </c>
      <c r="W11" s="7" t="s">
        <v>23</v>
      </c>
      <c r="X11" s="7" t="s">
        <v>23</v>
      </c>
      <c r="Y11" s="110" t="s">
        <v>23</v>
      </c>
      <c r="Z11" s="110" t="s">
        <v>23</v>
      </c>
      <c r="AA11" s="110" t="s">
        <v>23</v>
      </c>
      <c r="AB11" s="110" t="s">
        <v>23</v>
      </c>
      <c r="AC11" s="110" t="s">
        <v>23</v>
      </c>
      <c r="AD11" s="110" t="s">
        <v>23</v>
      </c>
      <c r="AE11" s="111" t="s">
        <v>23</v>
      </c>
      <c r="AF11" s="111" t="s">
        <v>23</v>
      </c>
      <c r="AG11" s="142">
        <v>0</v>
      </c>
      <c r="AH11" s="112"/>
      <c r="AI11" s="112"/>
      <c r="AJ11" s="112"/>
      <c r="AK11" s="113" t="s">
        <v>30</v>
      </c>
      <c r="AM11" s="21" t="s">
        <v>6</v>
      </c>
      <c r="AN11" s="19">
        <v>150</v>
      </c>
      <c r="AO11" s="19">
        <v>40</v>
      </c>
      <c r="AP11" s="19">
        <f t="shared" si="10"/>
        <v>29.110982162825422</v>
      </c>
      <c r="AQ11" s="19">
        <f t="shared" si="9"/>
        <v>1</v>
      </c>
      <c r="AR11" s="19">
        <f t="shared" si="1"/>
        <v>0</v>
      </c>
      <c r="AS11" s="19">
        <f t="shared" si="2"/>
        <v>0</v>
      </c>
      <c r="AT11" s="19">
        <f t="shared" si="5"/>
        <v>1</v>
      </c>
      <c r="AU11" s="50">
        <f t="shared" si="6"/>
        <v>40</v>
      </c>
      <c r="AV11" s="50">
        <f t="shared" si="3"/>
        <v>0</v>
      </c>
      <c r="AW11" s="50">
        <f t="shared" si="3"/>
        <v>0</v>
      </c>
      <c r="AZ11" s="53">
        <f t="shared" si="7"/>
        <v>0.33333333333333331</v>
      </c>
      <c r="BA11">
        <f t="shared" si="8"/>
        <v>120</v>
      </c>
    </row>
    <row r="12" spans="1:53">
      <c r="A12" s="121">
        <v>44555</v>
      </c>
      <c r="B12" s="110">
        <v>1600</v>
      </c>
      <c r="C12" s="110"/>
      <c r="D12" s="109" cm="1">
        <f t="array" ref="D12">(SUM(VLOOKUP(I12:AF12,$AM$4:$AO$44,2,FALSE))+AG12*10)*IF(AK12="是",$AY$4,$AY$3)</f>
        <v>850</v>
      </c>
      <c r="E12" s="57">
        <f>SUM($B$4:B12)+SUM($C$4:C12)-SUM($D$4:D12)</f>
        <v>3320</v>
      </c>
      <c r="F12" s="109" cm="1">
        <f t="array" ref="F12">SUM(VLOOKUP(I12:AF12,$AM$4:$AO$44,3,FALSE))</f>
        <v>225</v>
      </c>
      <c r="G12" s="109">
        <f>SUM($F$4:F12)+SUM($H$4:H12)</f>
        <v>5110</v>
      </c>
      <c r="H12" s="110">
        <v>0</v>
      </c>
      <c r="I12" s="140" t="s">
        <v>18</v>
      </c>
      <c r="J12" s="140" t="s">
        <v>18</v>
      </c>
      <c r="K12" s="140" t="s">
        <v>18</v>
      </c>
      <c r="L12" s="140" t="s">
        <v>18</v>
      </c>
      <c r="M12" s="30" t="s">
        <v>83</v>
      </c>
      <c r="N12" s="110" t="s">
        <v>23</v>
      </c>
      <c r="O12" s="7" t="s">
        <v>23</v>
      </c>
      <c r="P12" s="7" t="s">
        <v>23</v>
      </c>
      <c r="Q12" s="110" t="s">
        <v>23</v>
      </c>
      <c r="R12" s="110" t="s">
        <v>23</v>
      </c>
      <c r="S12" s="110" t="s">
        <v>23</v>
      </c>
      <c r="T12" s="110" t="s">
        <v>23</v>
      </c>
      <c r="U12" s="110" t="s">
        <v>23</v>
      </c>
      <c r="V12" s="110" t="s">
        <v>23</v>
      </c>
      <c r="W12" s="111" t="s">
        <v>23</v>
      </c>
      <c r="X12" s="111" t="s">
        <v>23</v>
      </c>
      <c r="Y12" s="110" t="s">
        <v>23</v>
      </c>
      <c r="Z12" s="110" t="s">
        <v>23</v>
      </c>
      <c r="AA12" s="110" t="s">
        <v>23</v>
      </c>
      <c r="AB12" s="110" t="s">
        <v>23</v>
      </c>
      <c r="AC12" s="110" t="s">
        <v>23</v>
      </c>
      <c r="AD12" s="110" t="s">
        <v>23</v>
      </c>
      <c r="AE12" s="111" t="s">
        <v>23</v>
      </c>
      <c r="AF12" s="111" t="s">
        <v>23</v>
      </c>
      <c r="AG12" s="94">
        <v>0</v>
      </c>
      <c r="AH12" s="112"/>
      <c r="AI12" s="112"/>
      <c r="AJ12" s="112"/>
      <c r="AK12" s="113" t="s">
        <v>30</v>
      </c>
      <c r="AM12" s="22" t="s">
        <v>7</v>
      </c>
      <c r="AN12" s="19">
        <v>150</v>
      </c>
      <c r="AO12" s="19">
        <v>45</v>
      </c>
      <c r="AP12" s="19">
        <f t="shared" si="10"/>
        <v>13.999854933178597</v>
      </c>
      <c r="AQ12" s="19">
        <f t="shared" si="9"/>
        <v>0</v>
      </c>
      <c r="AR12" s="19">
        <f t="shared" si="1"/>
        <v>0</v>
      </c>
      <c r="AS12" s="19">
        <f t="shared" si="2"/>
        <v>0</v>
      </c>
      <c r="AT12" s="19">
        <f t="shared" si="5"/>
        <v>0</v>
      </c>
      <c r="AU12" s="50">
        <f t="shared" si="6"/>
        <v>0</v>
      </c>
      <c r="AV12" s="50">
        <f t="shared" si="3"/>
        <v>0</v>
      </c>
      <c r="AW12" s="50">
        <f t="shared" si="3"/>
        <v>0</v>
      </c>
      <c r="AZ12" s="53">
        <f t="shared" si="7"/>
        <v>0.375</v>
      </c>
      <c r="BA12">
        <f t="shared" si="8"/>
        <v>120</v>
      </c>
    </row>
    <row r="13" spans="1:53">
      <c r="A13" s="121">
        <v>44556</v>
      </c>
      <c r="B13" s="110">
        <v>1600</v>
      </c>
      <c r="C13" s="110"/>
      <c r="D13" s="109" cm="1">
        <f t="array" ref="D13">(SUM(VLOOKUP(I13:AF13,$AM$4:$AO$44,2,FALSE))+AG13*10)*IF(AK13="是",$AY$4,$AY$3)</f>
        <v>0</v>
      </c>
      <c r="E13" s="57">
        <f>SUM($B$4:B13)+SUM($C$4:C13)-SUM($D$4:D13)</f>
        <v>4920</v>
      </c>
      <c r="F13" s="109" cm="1">
        <f t="array" ref="F13">SUM(VLOOKUP(I13:AF13,$AM$4:$AO$44,3,FALSE))</f>
        <v>0</v>
      </c>
      <c r="G13" s="109">
        <f>SUM($F$4:F13)+SUM($H$4:H13)</f>
        <v>5110</v>
      </c>
      <c r="H13" s="110">
        <v>0</v>
      </c>
      <c r="I13" s="110" t="s">
        <v>23</v>
      </c>
      <c r="J13" s="110" t="s">
        <v>23</v>
      </c>
      <c r="K13" s="110" t="s">
        <v>23</v>
      </c>
      <c r="L13" s="110" t="s">
        <v>23</v>
      </c>
      <c r="M13" s="110" t="s">
        <v>23</v>
      </c>
      <c r="N13" s="110" t="s">
        <v>23</v>
      </c>
      <c r="O13" s="111" t="s">
        <v>23</v>
      </c>
      <c r="P13" s="111" t="s">
        <v>23</v>
      </c>
      <c r="Q13" s="110" t="s">
        <v>23</v>
      </c>
      <c r="R13" s="110" t="s">
        <v>23</v>
      </c>
      <c r="S13" s="110" t="s">
        <v>23</v>
      </c>
      <c r="T13" s="110" t="s">
        <v>23</v>
      </c>
      <c r="U13" s="110" t="s">
        <v>23</v>
      </c>
      <c r="V13" s="110" t="s">
        <v>23</v>
      </c>
      <c r="W13" s="111" t="s">
        <v>23</v>
      </c>
      <c r="X13" s="111" t="s">
        <v>23</v>
      </c>
      <c r="Y13" s="110" t="s">
        <v>23</v>
      </c>
      <c r="Z13" s="110" t="s">
        <v>23</v>
      </c>
      <c r="AA13" s="110" t="s">
        <v>23</v>
      </c>
      <c r="AB13" s="110" t="s">
        <v>23</v>
      </c>
      <c r="AC13" s="110" t="s">
        <v>23</v>
      </c>
      <c r="AD13" s="110" t="s">
        <v>23</v>
      </c>
      <c r="AE13" s="111" t="s">
        <v>23</v>
      </c>
      <c r="AF13" s="111" t="s">
        <v>23</v>
      </c>
      <c r="AG13" s="94">
        <v>0</v>
      </c>
      <c r="AH13" s="112"/>
      <c r="AI13" s="112"/>
      <c r="AJ13" s="112"/>
      <c r="AK13" s="113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9"/>
        <v>0</v>
      </c>
      <c r="AR13" s="19">
        <f t="shared" si="1"/>
        <v>0</v>
      </c>
      <c r="AS13" s="19">
        <f t="shared" si="2"/>
        <v>0</v>
      </c>
      <c r="AT13" s="19">
        <f t="shared" si="5"/>
        <v>0</v>
      </c>
      <c r="AU13" s="50">
        <f t="shared" si="6"/>
        <v>0</v>
      </c>
      <c r="AV13" s="50">
        <f t="shared" si="3"/>
        <v>0</v>
      </c>
      <c r="AW13" s="50">
        <f t="shared" si="3"/>
        <v>0</v>
      </c>
      <c r="AZ13" s="53">
        <f t="shared" si="7"/>
        <v>0.41666666666666669</v>
      </c>
      <c r="BA13">
        <f t="shared" si="8"/>
        <v>120</v>
      </c>
    </row>
    <row r="14" spans="1:53">
      <c r="A14" s="121">
        <v>44557</v>
      </c>
      <c r="B14" s="109">
        <v>1600</v>
      </c>
      <c r="C14" s="109">
        <v>2000</v>
      </c>
      <c r="D14" s="114" cm="1">
        <f t="array" ref="D14">(SUM(VLOOKUP(I14:AF14,$AM$4:$AO$44,2,FALSE))+AG14*10)*IF(AK14="是",$AY$4,$AY$3)</f>
        <v>0</v>
      </c>
      <c r="E14" s="57">
        <f>SUM($B$4:B14)+SUM($C$4:C14)-SUM($D$4:D14)</f>
        <v>8520</v>
      </c>
      <c r="F14" s="109" cm="1">
        <f t="array" ref="F14">SUM(VLOOKUP(I14:AF14,$AM$4:$AO$44,3,FALSE))</f>
        <v>0</v>
      </c>
      <c r="G14" s="109">
        <f>SUM($F$4:F14)+SUM($H$4:H14)</f>
        <v>5410</v>
      </c>
      <c r="H14" s="109">
        <v>300</v>
      </c>
      <c r="I14" s="110" t="s">
        <v>23</v>
      </c>
      <c r="J14" s="110" t="s">
        <v>23</v>
      </c>
      <c r="K14" s="110" t="s">
        <v>23</v>
      </c>
      <c r="L14" s="110" t="s">
        <v>23</v>
      </c>
      <c r="M14" s="110" t="s">
        <v>23</v>
      </c>
      <c r="N14" s="110" t="s">
        <v>23</v>
      </c>
      <c r="O14" s="111" t="s">
        <v>23</v>
      </c>
      <c r="P14" s="111" t="s">
        <v>23</v>
      </c>
      <c r="Q14" s="110" t="s">
        <v>23</v>
      </c>
      <c r="R14" s="110" t="s">
        <v>23</v>
      </c>
      <c r="S14" s="110" t="s">
        <v>23</v>
      </c>
      <c r="T14" s="110" t="s">
        <v>23</v>
      </c>
      <c r="U14" s="110" t="s">
        <v>23</v>
      </c>
      <c r="V14" s="110" t="s">
        <v>23</v>
      </c>
      <c r="W14" s="111" t="s">
        <v>23</v>
      </c>
      <c r="X14" s="111" t="s">
        <v>23</v>
      </c>
      <c r="Y14" s="110" t="s">
        <v>23</v>
      </c>
      <c r="Z14" s="110" t="s">
        <v>23</v>
      </c>
      <c r="AA14" s="110" t="s">
        <v>23</v>
      </c>
      <c r="AB14" s="110" t="s">
        <v>23</v>
      </c>
      <c r="AC14" s="110" t="s">
        <v>23</v>
      </c>
      <c r="AD14" s="110" t="s">
        <v>23</v>
      </c>
      <c r="AE14" s="111" t="s">
        <v>23</v>
      </c>
      <c r="AF14" s="111" t="s">
        <v>23</v>
      </c>
      <c r="AG14" s="94">
        <v>0</v>
      </c>
      <c r="AH14" s="112"/>
      <c r="AI14" s="112"/>
      <c r="AJ14" s="112"/>
      <c r="AK14" s="113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9"/>
        <v>0</v>
      </c>
      <c r="AR14" s="19">
        <f t="shared" si="1"/>
        <v>0</v>
      </c>
      <c r="AS14" s="19">
        <f t="shared" si="2"/>
        <v>0</v>
      </c>
      <c r="AT14" s="19">
        <f t="shared" si="5"/>
        <v>0</v>
      </c>
      <c r="AU14" s="50">
        <f t="shared" si="6"/>
        <v>0</v>
      </c>
      <c r="AV14" s="50">
        <f t="shared" si="3"/>
        <v>0</v>
      </c>
      <c r="AW14" s="50">
        <f t="shared" si="3"/>
        <v>0</v>
      </c>
      <c r="AZ14" s="53">
        <f t="shared" si="7"/>
        <v>0.45833333333333331</v>
      </c>
      <c r="BA14">
        <f t="shared" si="8"/>
        <v>120</v>
      </c>
    </row>
    <row r="15" spans="1:53">
      <c r="A15" s="121">
        <v>44558</v>
      </c>
      <c r="B15" s="109">
        <v>1600</v>
      </c>
      <c r="C15" s="109"/>
      <c r="D15" s="109" cm="1">
        <f t="array" ref="D15">(SUM(VLOOKUP(I15:AF15,$AM$4:$AO$44,2,FALSE))+AG15*10)*IF(AK15="是",$AY$4,$AY$3)</f>
        <v>0</v>
      </c>
      <c r="E15" s="57">
        <f>SUM($B$4:B15)+SUM($C$4:C15)-SUM($D$4:D15)</f>
        <v>10120</v>
      </c>
      <c r="F15" s="109" cm="1">
        <f t="array" ref="F15">SUM(VLOOKUP(I15:AF15,$AM$4:$AO$44,3,FALSE))</f>
        <v>0</v>
      </c>
      <c r="G15" s="109">
        <f>SUM($F$4:F15)+SUM($H$4:H15)</f>
        <v>5410</v>
      </c>
      <c r="H15" s="109">
        <v>0</v>
      </c>
      <c r="I15" s="110" t="s">
        <v>23</v>
      </c>
      <c r="J15" s="110" t="s">
        <v>23</v>
      </c>
      <c r="K15" s="110" t="s">
        <v>23</v>
      </c>
      <c r="L15" s="110" t="s">
        <v>23</v>
      </c>
      <c r="M15" s="110" t="s">
        <v>23</v>
      </c>
      <c r="N15" s="110" t="s">
        <v>23</v>
      </c>
      <c r="O15" s="111" t="s">
        <v>23</v>
      </c>
      <c r="P15" s="111" t="s">
        <v>23</v>
      </c>
      <c r="Q15" s="110" t="s">
        <v>23</v>
      </c>
      <c r="R15" s="110" t="s">
        <v>23</v>
      </c>
      <c r="S15" s="110" t="s">
        <v>23</v>
      </c>
      <c r="T15" s="110" t="s">
        <v>23</v>
      </c>
      <c r="U15" s="110" t="s">
        <v>23</v>
      </c>
      <c r="V15" s="110" t="s">
        <v>23</v>
      </c>
      <c r="W15" s="111" t="s">
        <v>23</v>
      </c>
      <c r="X15" s="111" t="s">
        <v>23</v>
      </c>
      <c r="Y15" s="110" t="s">
        <v>23</v>
      </c>
      <c r="Z15" s="110" t="s">
        <v>23</v>
      </c>
      <c r="AA15" s="110" t="s">
        <v>23</v>
      </c>
      <c r="AB15" s="110" t="s">
        <v>23</v>
      </c>
      <c r="AC15" s="110" t="s">
        <v>23</v>
      </c>
      <c r="AD15" s="110" t="s">
        <v>23</v>
      </c>
      <c r="AE15" s="111" t="s">
        <v>23</v>
      </c>
      <c r="AF15" s="111" t="s">
        <v>23</v>
      </c>
      <c r="AG15" s="94">
        <v>0</v>
      </c>
      <c r="AH15" s="112"/>
      <c r="AI15" s="112"/>
      <c r="AJ15" s="112"/>
      <c r="AK15" s="113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9"/>
        <v>0</v>
      </c>
      <c r="AR15" s="19">
        <f t="shared" si="1"/>
        <v>0</v>
      </c>
      <c r="AS15" s="19">
        <f t="shared" si="2"/>
        <v>0</v>
      </c>
      <c r="AT15" s="19">
        <f t="shared" si="5"/>
        <v>0</v>
      </c>
      <c r="AU15" s="50">
        <f t="shared" si="6"/>
        <v>0</v>
      </c>
      <c r="AV15" s="50">
        <f t="shared" si="3"/>
        <v>0</v>
      </c>
      <c r="AW15" s="50">
        <f t="shared" si="3"/>
        <v>0</v>
      </c>
      <c r="AZ15" s="53">
        <f t="shared" si="7"/>
        <v>0.5</v>
      </c>
      <c r="BA15">
        <f t="shared" si="8"/>
        <v>120</v>
      </c>
    </row>
    <row r="16" spans="1:53">
      <c r="A16" s="121">
        <v>44559</v>
      </c>
      <c r="B16" s="109">
        <v>1600</v>
      </c>
      <c r="C16" s="109"/>
      <c r="D16" s="109" cm="1">
        <f t="array" ref="D16">(SUM(VLOOKUP(I16:AF16,$AM$4:$AO$44,2,FALSE))+AG16*10)*IF(AK16="是",$AY$4,$AY$3)</f>
        <v>0</v>
      </c>
      <c r="E16" s="57">
        <f>SUM($B$4:B16)+SUM($C$4:C16)-SUM($D$4:D16)</f>
        <v>11720</v>
      </c>
      <c r="F16" s="109" cm="1">
        <f t="array" ref="F16">SUM(VLOOKUP(I16:AF16,$AM$4:$AO$44,3,FALSE))</f>
        <v>0</v>
      </c>
      <c r="G16" s="109">
        <f>SUM($F$4:F16)+SUM($H$4:H16)</f>
        <v>5610</v>
      </c>
      <c r="H16" s="109">
        <v>200</v>
      </c>
      <c r="I16" s="110" t="s">
        <v>23</v>
      </c>
      <c r="J16" s="110" t="s">
        <v>23</v>
      </c>
      <c r="K16" s="110" t="s">
        <v>23</v>
      </c>
      <c r="L16" s="110" t="s">
        <v>23</v>
      </c>
      <c r="M16" s="110" t="s">
        <v>23</v>
      </c>
      <c r="N16" s="110" t="s">
        <v>23</v>
      </c>
      <c r="O16" s="111" t="s">
        <v>23</v>
      </c>
      <c r="P16" s="111" t="s">
        <v>23</v>
      </c>
      <c r="Q16" s="110" t="s">
        <v>23</v>
      </c>
      <c r="R16" s="110" t="s">
        <v>23</v>
      </c>
      <c r="S16" s="110" t="s">
        <v>23</v>
      </c>
      <c r="T16" s="110" t="s">
        <v>23</v>
      </c>
      <c r="U16" s="110" t="s">
        <v>23</v>
      </c>
      <c r="V16" s="110" t="s">
        <v>23</v>
      </c>
      <c r="W16" s="111" t="s">
        <v>23</v>
      </c>
      <c r="X16" s="111" t="s">
        <v>23</v>
      </c>
      <c r="Y16" s="110" t="s">
        <v>23</v>
      </c>
      <c r="Z16" s="110" t="s">
        <v>23</v>
      </c>
      <c r="AA16" s="110" t="s">
        <v>23</v>
      </c>
      <c r="AB16" s="110" t="s">
        <v>23</v>
      </c>
      <c r="AC16" s="110" t="s">
        <v>23</v>
      </c>
      <c r="AD16" s="110" t="s">
        <v>23</v>
      </c>
      <c r="AE16" s="111" t="s">
        <v>23</v>
      </c>
      <c r="AF16" s="111" t="s">
        <v>23</v>
      </c>
      <c r="AG16" s="94">
        <v>0</v>
      </c>
      <c r="AH16" s="112"/>
      <c r="AI16" s="112"/>
      <c r="AJ16" s="112"/>
      <c r="AK16" s="113" t="s">
        <v>31</v>
      </c>
      <c r="AM16" s="26" t="s">
        <v>11</v>
      </c>
      <c r="AN16" s="27">
        <v>150</v>
      </c>
      <c r="AO16" s="19">
        <v>35</v>
      </c>
      <c r="AP16" s="19">
        <f t="shared" ref="AP16" si="11">AN16-AO16/0.330882</f>
        <v>44.222109392472248</v>
      </c>
      <c r="AQ16" s="19">
        <f t="shared" si="9"/>
        <v>0</v>
      </c>
      <c r="AR16" s="19">
        <f t="shared" si="1"/>
        <v>0</v>
      </c>
      <c r="AS16" s="19">
        <f t="shared" si="2"/>
        <v>0</v>
      </c>
      <c r="AT16" s="19">
        <f t="shared" si="5"/>
        <v>0</v>
      </c>
      <c r="AU16" s="50">
        <f t="shared" si="6"/>
        <v>0</v>
      </c>
      <c r="AV16" s="50">
        <f t="shared" si="3"/>
        <v>0</v>
      </c>
      <c r="AW16" s="50">
        <f t="shared" si="3"/>
        <v>0</v>
      </c>
      <c r="AZ16" s="53">
        <f t="shared" si="7"/>
        <v>0.29166666666666669</v>
      </c>
      <c r="BA16">
        <f t="shared" si="8"/>
        <v>120</v>
      </c>
    </row>
    <row r="17" spans="1:53">
      <c r="A17" s="121">
        <v>44560</v>
      </c>
      <c r="B17" s="109">
        <v>1600</v>
      </c>
      <c r="C17" s="109"/>
      <c r="D17" s="109" cm="1">
        <f t="array" ref="D17">(SUM(VLOOKUP(I17:AF17,$AM$4:$AO$44,2,FALSE))+AG17*10)*IF(AK17="是",$AY$4,$AY$3)</f>
        <v>0</v>
      </c>
      <c r="E17" s="57">
        <f>SUM($B$4:B17)+SUM($C$4:C17)-SUM($D$4:D17)</f>
        <v>13320</v>
      </c>
      <c r="F17" s="109" cm="1">
        <f t="array" ref="F17">SUM(VLOOKUP(I17:AF17,$AM$4:$AO$44,3,FALSE))</f>
        <v>0</v>
      </c>
      <c r="G17" s="109">
        <f>SUM($F$4:F17)+SUM($H$4:H17)</f>
        <v>5610</v>
      </c>
      <c r="H17" s="109">
        <v>0</v>
      </c>
      <c r="I17" s="110" t="s">
        <v>23</v>
      </c>
      <c r="J17" s="110" t="s">
        <v>23</v>
      </c>
      <c r="K17" s="110" t="s">
        <v>23</v>
      </c>
      <c r="L17" s="110" t="s">
        <v>23</v>
      </c>
      <c r="M17" s="110" t="s">
        <v>23</v>
      </c>
      <c r="N17" s="110" t="s">
        <v>23</v>
      </c>
      <c r="O17" s="111" t="s">
        <v>23</v>
      </c>
      <c r="P17" s="111" t="s">
        <v>23</v>
      </c>
      <c r="Q17" s="110" t="s">
        <v>23</v>
      </c>
      <c r="R17" s="110" t="s">
        <v>23</v>
      </c>
      <c r="S17" s="110" t="s">
        <v>23</v>
      </c>
      <c r="T17" s="110" t="s">
        <v>23</v>
      </c>
      <c r="U17" s="110" t="s">
        <v>23</v>
      </c>
      <c r="V17" s="110" t="s">
        <v>23</v>
      </c>
      <c r="W17" s="111" t="s">
        <v>23</v>
      </c>
      <c r="X17" s="111" t="s">
        <v>23</v>
      </c>
      <c r="Y17" s="110" t="s">
        <v>23</v>
      </c>
      <c r="Z17" s="110" t="s">
        <v>23</v>
      </c>
      <c r="AA17" s="110" t="s">
        <v>23</v>
      </c>
      <c r="AB17" s="110" t="s">
        <v>23</v>
      </c>
      <c r="AC17" s="110" t="s">
        <v>23</v>
      </c>
      <c r="AD17" s="110" t="s">
        <v>23</v>
      </c>
      <c r="AE17" s="111" t="s">
        <v>23</v>
      </c>
      <c r="AF17" s="111" t="s">
        <v>23</v>
      </c>
      <c r="AG17" s="94">
        <v>0</v>
      </c>
      <c r="AH17" s="112"/>
      <c r="AI17" s="112"/>
      <c r="AJ17" s="112"/>
      <c r="AK17" s="113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9"/>
        <v>2</v>
      </c>
      <c r="AR17" s="19">
        <f t="shared" si="1"/>
        <v>4</v>
      </c>
      <c r="AS17" s="19">
        <f t="shared" si="2"/>
        <v>0</v>
      </c>
      <c r="AT17" s="19">
        <f t="shared" si="5"/>
        <v>6</v>
      </c>
      <c r="AU17" s="50">
        <f t="shared" si="6"/>
        <v>60</v>
      </c>
      <c r="AV17" s="50">
        <f t="shared" si="3"/>
        <v>120</v>
      </c>
      <c r="AW17" s="50">
        <f t="shared" si="3"/>
        <v>0</v>
      </c>
      <c r="AZ17" s="53">
        <f t="shared" si="7"/>
        <v>0.75</v>
      </c>
      <c r="BA17">
        <f t="shared" si="8"/>
        <v>40</v>
      </c>
    </row>
    <row r="18" spans="1:53">
      <c r="A18" s="121">
        <v>44561</v>
      </c>
      <c r="B18" s="109">
        <v>1600</v>
      </c>
      <c r="C18" s="109"/>
      <c r="D18" s="109" cm="1">
        <f t="array" ref="D18">(SUM(VLOOKUP(I18:AF18,$AM$4:$AO$44,2,FALSE))+AG18*10)*IF(AK18="是",$AY$4,$AY$3)</f>
        <v>0</v>
      </c>
      <c r="E18" s="57">
        <f>SUM($B$4:B18)+SUM($C$4:C18)-SUM($D$4:D18)</f>
        <v>14920</v>
      </c>
      <c r="F18" s="109" cm="1">
        <f t="array" ref="F18">SUM(VLOOKUP(I18:AF18,$AM$4:$AO$44,3,FALSE))</f>
        <v>0</v>
      </c>
      <c r="G18" s="109">
        <f>SUM($F$4:F18)+SUM($H$4:H18)</f>
        <v>5610</v>
      </c>
      <c r="H18" s="109">
        <v>0</v>
      </c>
      <c r="I18" s="110" t="s">
        <v>23</v>
      </c>
      <c r="J18" s="110" t="s">
        <v>23</v>
      </c>
      <c r="K18" s="110" t="s">
        <v>23</v>
      </c>
      <c r="L18" s="110" t="s">
        <v>23</v>
      </c>
      <c r="M18" s="110" t="s">
        <v>23</v>
      </c>
      <c r="N18" s="110" t="s">
        <v>23</v>
      </c>
      <c r="O18" s="111" t="s">
        <v>23</v>
      </c>
      <c r="P18" s="111" t="s">
        <v>23</v>
      </c>
      <c r="Q18" s="110" t="s">
        <v>23</v>
      </c>
      <c r="R18" s="110" t="s">
        <v>23</v>
      </c>
      <c r="S18" s="110" t="s">
        <v>23</v>
      </c>
      <c r="T18" s="110" t="s">
        <v>23</v>
      </c>
      <c r="U18" s="110" t="s">
        <v>23</v>
      </c>
      <c r="V18" s="110" t="s">
        <v>23</v>
      </c>
      <c r="W18" s="111" t="s">
        <v>23</v>
      </c>
      <c r="X18" s="111" t="s">
        <v>23</v>
      </c>
      <c r="Y18" s="110" t="s">
        <v>23</v>
      </c>
      <c r="Z18" s="110" t="s">
        <v>23</v>
      </c>
      <c r="AA18" s="110" t="s">
        <v>23</v>
      </c>
      <c r="AB18" s="110" t="s">
        <v>23</v>
      </c>
      <c r="AC18" s="110" t="s">
        <v>23</v>
      </c>
      <c r="AD18" s="110" t="s">
        <v>23</v>
      </c>
      <c r="AE18" s="111" t="s">
        <v>23</v>
      </c>
      <c r="AF18" s="111" t="s">
        <v>23</v>
      </c>
      <c r="AG18" s="94">
        <v>0</v>
      </c>
      <c r="AH18" s="112"/>
      <c r="AI18" s="112"/>
      <c r="AJ18" s="112"/>
      <c r="AK18" s="113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9"/>
        <v>2</v>
      </c>
      <c r="AR18" s="19">
        <f t="shared" si="1"/>
        <v>1</v>
      </c>
      <c r="AS18" s="19">
        <f t="shared" si="2"/>
        <v>0</v>
      </c>
      <c r="AT18" s="19">
        <f t="shared" si="5"/>
        <v>3</v>
      </c>
      <c r="AU18" s="50">
        <f t="shared" si="6"/>
        <v>0</v>
      </c>
      <c r="AV18" s="50">
        <f t="shared" si="3"/>
        <v>0</v>
      </c>
      <c r="AW18" s="50">
        <f t="shared" si="3"/>
        <v>0</v>
      </c>
      <c r="AZ18" s="53">
        <f t="shared" si="7"/>
        <v>0</v>
      </c>
      <c r="BA18">
        <f t="shared" si="8"/>
        <v>-120</v>
      </c>
    </row>
    <row r="19" spans="1:53">
      <c r="A19" s="121">
        <v>44562</v>
      </c>
      <c r="B19" s="109">
        <v>1600</v>
      </c>
      <c r="C19" s="109"/>
      <c r="D19" s="109" cm="1">
        <f t="array" ref="D19">(SUM(VLOOKUP(I19:AF19,$AM$4:$AO$44,2,FALSE))+AG19*10)*IF(AK19="是",$AY$4,$AY$3)</f>
        <v>0</v>
      </c>
      <c r="E19" s="57">
        <f>SUM($B$4:B19)+SUM($C$4:C19)-SUM($D$4:D19)</f>
        <v>16520</v>
      </c>
      <c r="F19" s="109" cm="1">
        <f t="array" ref="F19">SUM(VLOOKUP(I19:AF19,$AM$4:$AO$44,3,FALSE))</f>
        <v>0</v>
      </c>
      <c r="G19" s="109">
        <f>SUM($F$4:F19)+SUM($H$4:H19)</f>
        <v>5610</v>
      </c>
      <c r="H19" s="109">
        <v>0</v>
      </c>
      <c r="I19" s="110" t="s">
        <v>23</v>
      </c>
      <c r="J19" s="110" t="s">
        <v>23</v>
      </c>
      <c r="K19" s="110" t="s">
        <v>23</v>
      </c>
      <c r="L19" s="110" t="s">
        <v>23</v>
      </c>
      <c r="M19" s="110" t="s">
        <v>23</v>
      </c>
      <c r="N19" s="110" t="s">
        <v>23</v>
      </c>
      <c r="O19" s="111" t="s">
        <v>23</v>
      </c>
      <c r="P19" s="111" t="s">
        <v>23</v>
      </c>
      <c r="Q19" s="110" t="s">
        <v>23</v>
      </c>
      <c r="R19" s="110" t="s">
        <v>23</v>
      </c>
      <c r="S19" s="110" t="s">
        <v>23</v>
      </c>
      <c r="T19" s="110" t="s">
        <v>23</v>
      </c>
      <c r="U19" s="110" t="s">
        <v>23</v>
      </c>
      <c r="V19" s="110" t="s">
        <v>23</v>
      </c>
      <c r="W19" s="111" t="s">
        <v>23</v>
      </c>
      <c r="X19" s="111" t="s">
        <v>23</v>
      </c>
      <c r="Y19" s="110" t="s">
        <v>23</v>
      </c>
      <c r="Z19" s="110" t="s">
        <v>23</v>
      </c>
      <c r="AA19" s="110" t="s">
        <v>23</v>
      </c>
      <c r="AB19" s="110" t="s">
        <v>23</v>
      </c>
      <c r="AC19" s="110" t="s">
        <v>23</v>
      </c>
      <c r="AD19" s="110" t="s">
        <v>23</v>
      </c>
      <c r="AE19" s="111" t="s">
        <v>23</v>
      </c>
      <c r="AF19" s="111" t="s">
        <v>23</v>
      </c>
      <c r="AG19" s="94">
        <v>0</v>
      </c>
      <c r="AH19" s="112"/>
      <c r="AI19" s="112"/>
      <c r="AJ19" s="112"/>
      <c r="AK19" s="113" t="s">
        <v>31</v>
      </c>
      <c r="AM19" s="30" t="s">
        <v>82</v>
      </c>
      <c r="AN19" s="19">
        <v>250</v>
      </c>
      <c r="AO19" s="19">
        <v>200</v>
      </c>
      <c r="AP19" s="19"/>
      <c r="AQ19" s="19">
        <f t="shared" si="9"/>
        <v>1</v>
      </c>
      <c r="AR19" s="19">
        <f t="shared" si="1"/>
        <v>1</v>
      </c>
      <c r="AS19" s="19">
        <f t="shared" si="2"/>
        <v>0</v>
      </c>
      <c r="AT19" s="19">
        <f t="shared" si="5"/>
        <v>2</v>
      </c>
      <c r="AU19" s="50">
        <f t="shared" si="6"/>
        <v>200</v>
      </c>
      <c r="AV19" s="50">
        <f t="shared" si="3"/>
        <v>200</v>
      </c>
      <c r="AW19" s="50">
        <f t="shared" si="3"/>
        <v>0</v>
      </c>
      <c r="AZ19" s="53">
        <f t="shared" si="7"/>
        <v>1</v>
      </c>
      <c r="BA19">
        <f t="shared" si="8"/>
        <v>200</v>
      </c>
    </row>
    <row r="20" spans="1:53">
      <c r="A20" s="121">
        <v>44563</v>
      </c>
      <c r="B20" s="109">
        <v>1600</v>
      </c>
      <c r="C20" s="109"/>
      <c r="D20" s="109" cm="1">
        <f t="array" ref="D20">(SUM(VLOOKUP(I20:AF20,$AM$4:$AO$44,2,FALSE))+AG20*10)*IF(AK20="是",$AY$4,$AY$3)</f>
        <v>0</v>
      </c>
      <c r="E20" s="57">
        <f>SUM($B$4:B20)+SUM($C$4:C20)-SUM($D$4:D20)</f>
        <v>18120</v>
      </c>
      <c r="F20" s="109" cm="1">
        <f t="array" ref="F20">SUM(VLOOKUP(I20:AF20,$AM$4:$AO$44,3,FALSE))</f>
        <v>0</v>
      </c>
      <c r="G20" s="109">
        <f>SUM($F$4:F20)+SUM($H$4:H20)</f>
        <v>5610</v>
      </c>
      <c r="H20" s="109">
        <v>0</v>
      </c>
      <c r="I20" s="110" t="s">
        <v>23</v>
      </c>
      <c r="J20" s="110" t="s">
        <v>23</v>
      </c>
      <c r="K20" s="110" t="s">
        <v>23</v>
      </c>
      <c r="L20" s="110" t="s">
        <v>23</v>
      </c>
      <c r="M20" s="110" t="s">
        <v>23</v>
      </c>
      <c r="N20" s="110" t="s">
        <v>23</v>
      </c>
      <c r="O20" s="111" t="s">
        <v>23</v>
      </c>
      <c r="P20" s="111" t="s">
        <v>23</v>
      </c>
      <c r="Q20" s="110" t="s">
        <v>23</v>
      </c>
      <c r="R20" s="110" t="s">
        <v>23</v>
      </c>
      <c r="S20" s="110" t="s">
        <v>23</v>
      </c>
      <c r="T20" s="110" t="s">
        <v>23</v>
      </c>
      <c r="U20" s="110" t="s">
        <v>23</v>
      </c>
      <c r="V20" s="110" t="s">
        <v>23</v>
      </c>
      <c r="W20" s="111" t="s">
        <v>23</v>
      </c>
      <c r="X20" s="111" t="s">
        <v>23</v>
      </c>
      <c r="Y20" s="110" t="s">
        <v>23</v>
      </c>
      <c r="Z20" s="110" t="s">
        <v>23</v>
      </c>
      <c r="AA20" s="110" t="s">
        <v>23</v>
      </c>
      <c r="AB20" s="110" t="s">
        <v>23</v>
      </c>
      <c r="AC20" s="110" t="s">
        <v>23</v>
      </c>
      <c r="AD20" s="110" t="s">
        <v>23</v>
      </c>
      <c r="AE20" s="111" t="s">
        <v>23</v>
      </c>
      <c r="AF20" s="111" t="s">
        <v>23</v>
      </c>
      <c r="AG20" s="94">
        <v>0</v>
      </c>
      <c r="AH20" s="112"/>
      <c r="AI20" s="112"/>
      <c r="AJ20" s="112"/>
      <c r="AK20" s="113" t="s">
        <v>31</v>
      </c>
      <c r="AM20" s="30" t="s">
        <v>83</v>
      </c>
      <c r="AN20" s="19">
        <v>170</v>
      </c>
      <c r="AO20" s="19">
        <v>45</v>
      </c>
      <c r="AP20" s="19"/>
      <c r="AQ20" s="19">
        <f t="shared" si="9"/>
        <v>4</v>
      </c>
      <c r="AR20" s="19">
        <f t="shared" si="1"/>
        <v>2</v>
      </c>
      <c r="AS20" s="19">
        <f t="shared" si="2"/>
        <v>0</v>
      </c>
      <c r="AT20" s="19">
        <f t="shared" si="5"/>
        <v>6</v>
      </c>
      <c r="AU20" s="50">
        <f t="shared" si="6"/>
        <v>180</v>
      </c>
      <c r="AV20" s="50">
        <f t="shared" si="6"/>
        <v>90</v>
      </c>
      <c r="AW20" s="50">
        <f t="shared" si="6"/>
        <v>0</v>
      </c>
      <c r="AZ20" s="53">
        <f t="shared" si="7"/>
        <v>0.33088235294117646</v>
      </c>
      <c r="BA20">
        <f t="shared" si="8"/>
        <v>136</v>
      </c>
    </row>
    <row r="21" spans="1:53">
      <c r="A21" s="121">
        <v>44564</v>
      </c>
      <c r="B21" s="110">
        <v>1600</v>
      </c>
      <c r="C21" s="110"/>
      <c r="D21" s="109" cm="1">
        <f t="array" ref="D21">(SUM(VLOOKUP(I21:AF21,$AM$4:$AO$44,2,FALSE))+AG21*10)*IF(AK21="是",$AY$4,$AY$3)</f>
        <v>0</v>
      </c>
      <c r="E21" s="57">
        <f>SUM($B$4:B21)+SUM($C$4:C21)-SUM($D$4:D21)</f>
        <v>19720</v>
      </c>
      <c r="F21" s="109" cm="1">
        <f t="array" ref="F21">SUM(VLOOKUP(I21:AF21,$AM$4:$AO$44,3,FALSE))</f>
        <v>0</v>
      </c>
      <c r="G21" s="109">
        <f>SUM($F$4:F21)+SUM($H$4:H21)</f>
        <v>5810</v>
      </c>
      <c r="H21" s="110">
        <v>200</v>
      </c>
      <c r="I21" s="110" t="s">
        <v>23</v>
      </c>
      <c r="J21" s="110" t="s">
        <v>23</v>
      </c>
      <c r="K21" s="110" t="s">
        <v>23</v>
      </c>
      <c r="L21" s="110" t="s">
        <v>23</v>
      </c>
      <c r="M21" s="110" t="s">
        <v>23</v>
      </c>
      <c r="N21" s="110" t="s">
        <v>23</v>
      </c>
      <c r="O21" s="111" t="s">
        <v>23</v>
      </c>
      <c r="P21" s="111" t="s">
        <v>23</v>
      </c>
      <c r="Q21" s="110" t="s">
        <v>23</v>
      </c>
      <c r="R21" s="110" t="s">
        <v>23</v>
      </c>
      <c r="S21" s="110" t="s">
        <v>23</v>
      </c>
      <c r="T21" s="110" t="s">
        <v>23</v>
      </c>
      <c r="U21" s="110" t="s">
        <v>23</v>
      </c>
      <c r="V21" s="110" t="s">
        <v>23</v>
      </c>
      <c r="W21" s="111" t="s">
        <v>23</v>
      </c>
      <c r="X21" s="111" t="s">
        <v>23</v>
      </c>
      <c r="Y21" s="110" t="s">
        <v>23</v>
      </c>
      <c r="Z21" s="110" t="s">
        <v>23</v>
      </c>
      <c r="AA21" s="110" t="s">
        <v>23</v>
      </c>
      <c r="AB21" s="110" t="s">
        <v>23</v>
      </c>
      <c r="AC21" s="110" t="s">
        <v>23</v>
      </c>
      <c r="AD21" s="110" t="s">
        <v>23</v>
      </c>
      <c r="AE21" s="111" t="s">
        <v>23</v>
      </c>
      <c r="AF21" s="111" t="s">
        <v>23</v>
      </c>
      <c r="AG21" s="94">
        <v>0</v>
      </c>
      <c r="AH21" s="112"/>
      <c r="AI21" s="112"/>
      <c r="AJ21" s="112"/>
      <c r="AK21" s="113" t="s">
        <v>31</v>
      </c>
      <c r="AM21" s="34" t="s">
        <v>14</v>
      </c>
      <c r="AN21" s="19">
        <v>250</v>
      </c>
      <c r="AO21" s="19">
        <v>200</v>
      </c>
      <c r="AP21" s="19"/>
      <c r="AQ21" s="19">
        <f t="shared" si="9"/>
        <v>0</v>
      </c>
      <c r="AR21" s="19">
        <f t="shared" si="1"/>
        <v>0</v>
      </c>
      <c r="AS21" s="19">
        <f t="shared" si="2"/>
        <v>0</v>
      </c>
      <c r="AT21" s="19">
        <f t="shared" si="5"/>
        <v>0</v>
      </c>
      <c r="AU21" s="50">
        <f t="shared" si="6"/>
        <v>0</v>
      </c>
      <c r="AV21" s="50">
        <f t="shared" si="6"/>
        <v>0</v>
      </c>
      <c r="AW21" s="50">
        <f t="shared" si="6"/>
        <v>0</v>
      </c>
      <c r="AZ21" s="53">
        <f t="shared" si="7"/>
        <v>1</v>
      </c>
      <c r="BA21">
        <f t="shared" si="8"/>
        <v>200</v>
      </c>
    </row>
    <row r="22" spans="1:53">
      <c r="A22" s="121">
        <v>44565</v>
      </c>
      <c r="B22" s="110">
        <v>1600</v>
      </c>
      <c r="C22" s="110"/>
      <c r="D22" s="109" cm="1">
        <f t="array" ref="D22">(SUM(VLOOKUP(I22:AF22,$AM$4:$AO$44,2,FALSE))+AG22*10)*IF(AK22="是",$AY$4,$AY$3)</f>
        <v>0</v>
      </c>
      <c r="E22" s="57">
        <f>SUM($B$4:B22)+SUM($C$4:C22)-SUM($D$4:D22)</f>
        <v>21320</v>
      </c>
      <c r="F22" s="109" cm="1">
        <f t="array" ref="F22">SUM(VLOOKUP(I22:AF22,$AM$4:$AO$44,3,FALSE))</f>
        <v>0</v>
      </c>
      <c r="G22" s="109">
        <f>SUM($F$4:F22)+SUM($H$4:H22)</f>
        <v>5910</v>
      </c>
      <c r="H22" s="110">
        <v>100</v>
      </c>
      <c r="I22" s="110" t="s">
        <v>23</v>
      </c>
      <c r="J22" s="110" t="s">
        <v>23</v>
      </c>
      <c r="K22" s="110" t="s">
        <v>23</v>
      </c>
      <c r="L22" s="110" t="s">
        <v>23</v>
      </c>
      <c r="M22" s="110" t="s">
        <v>23</v>
      </c>
      <c r="N22" s="110" t="s">
        <v>23</v>
      </c>
      <c r="O22" s="111" t="s">
        <v>23</v>
      </c>
      <c r="P22" s="111" t="s">
        <v>23</v>
      </c>
      <c r="Q22" s="110" t="s">
        <v>23</v>
      </c>
      <c r="R22" s="110" t="s">
        <v>23</v>
      </c>
      <c r="S22" s="110" t="s">
        <v>23</v>
      </c>
      <c r="T22" s="110" t="s">
        <v>23</v>
      </c>
      <c r="U22" s="110" t="s">
        <v>23</v>
      </c>
      <c r="V22" s="110" t="s">
        <v>23</v>
      </c>
      <c r="W22" s="111" t="s">
        <v>23</v>
      </c>
      <c r="X22" s="111" t="s">
        <v>23</v>
      </c>
      <c r="Y22" s="110" t="s">
        <v>23</v>
      </c>
      <c r="Z22" s="110" t="s">
        <v>23</v>
      </c>
      <c r="AA22" s="110" t="s">
        <v>23</v>
      </c>
      <c r="AB22" s="110" t="s">
        <v>23</v>
      </c>
      <c r="AC22" s="110" t="s">
        <v>23</v>
      </c>
      <c r="AD22" s="110" t="s">
        <v>23</v>
      </c>
      <c r="AE22" s="111" t="s">
        <v>23</v>
      </c>
      <c r="AF22" s="111" t="s">
        <v>23</v>
      </c>
      <c r="AG22" s="94">
        <v>0</v>
      </c>
      <c r="AH22" s="112"/>
      <c r="AI22" s="112"/>
      <c r="AJ22" s="112"/>
      <c r="AK22" s="113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9"/>
        <v>0</v>
      </c>
      <c r="AR22" s="19">
        <f t="shared" si="1"/>
        <v>0</v>
      </c>
      <c r="AS22" s="19">
        <f t="shared" si="2"/>
        <v>0</v>
      </c>
      <c r="AT22" s="19">
        <f t="shared" si="5"/>
        <v>0</v>
      </c>
      <c r="AU22" s="50">
        <f t="shared" si="6"/>
        <v>0</v>
      </c>
      <c r="AV22" s="50">
        <f t="shared" si="6"/>
        <v>0</v>
      </c>
      <c r="AW22" s="50">
        <f t="shared" si="6"/>
        <v>0</v>
      </c>
      <c r="AZ22" s="53">
        <f t="shared" si="7"/>
        <v>5</v>
      </c>
      <c r="BA22">
        <f t="shared" si="8"/>
        <v>200</v>
      </c>
    </row>
    <row r="23" spans="1:53">
      <c r="A23" s="121">
        <v>44566</v>
      </c>
      <c r="B23" s="110">
        <v>1600</v>
      </c>
      <c r="C23" s="110"/>
      <c r="D23" s="109" cm="1">
        <f t="array" ref="D23">(SUM(VLOOKUP(I23:AF23,$AM$4:$AO$44,2,FALSE))+AG23*10)*IF(AK23="是",$AY$4,$AY$3)</f>
        <v>0</v>
      </c>
      <c r="E23" s="57">
        <f>SUM($B$4:B23)+SUM($C$4:C23)-SUM($D$4:D23)</f>
        <v>22920</v>
      </c>
      <c r="F23" s="109" cm="1">
        <f t="array" ref="F23">SUM(VLOOKUP(I23:AF23,$AM$4:$AO$44,3,FALSE))</f>
        <v>0</v>
      </c>
      <c r="G23" s="109">
        <f>SUM($F$4:F23)+SUM($H$4:H23)</f>
        <v>6110</v>
      </c>
      <c r="H23" s="110">
        <v>200</v>
      </c>
      <c r="I23" s="110" t="s">
        <v>23</v>
      </c>
      <c r="J23" s="110" t="s">
        <v>23</v>
      </c>
      <c r="K23" s="110" t="s">
        <v>23</v>
      </c>
      <c r="L23" s="110" t="s">
        <v>23</v>
      </c>
      <c r="M23" s="110" t="s">
        <v>23</v>
      </c>
      <c r="N23" s="110" t="s">
        <v>23</v>
      </c>
      <c r="O23" s="111" t="s">
        <v>23</v>
      </c>
      <c r="P23" s="111" t="s">
        <v>23</v>
      </c>
      <c r="Q23" s="110" t="s">
        <v>23</v>
      </c>
      <c r="R23" s="110" t="s">
        <v>23</v>
      </c>
      <c r="S23" s="110" t="s">
        <v>23</v>
      </c>
      <c r="T23" s="110" t="s">
        <v>23</v>
      </c>
      <c r="U23" s="110" t="s">
        <v>23</v>
      </c>
      <c r="V23" s="110" t="s">
        <v>23</v>
      </c>
      <c r="W23" s="111" t="s">
        <v>23</v>
      </c>
      <c r="X23" s="111" t="s">
        <v>23</v>
      </c>
      <c r="Y23" s="110" t="s">
        <v>23</v>
      </c>
      <c r="Z23" s="110" t="s">
        <v>23</v>
      </c>
      <c r="AA23" s="110" t="s">
        <v>23</v>
      </c>
      <c r="AB23" s="110" t="s">
        <v>23</v>
      </c>
      <c r="AC23" s="110" t="s">
        <v>23</v>
      </c>
      <c r="AD23" s="110" t="s">
        <v>23</v>
      </c>
      <c r="AE23" s="111" t="s">
        <v>23</v>
      </c>
      <c r="AF23" s="111" t="s">
        <v>23</v>
      </c>
      <c r="AG23" s="94">
        <v>0</v>
      </c>
      <c r="AH23" s="112"/>
      <c r="AI23" s="112"/>
      <c r="AJ23" s="112"/>
      <c r="AK23" s="113" t="s">
        <v>31</v>
      </c>
      <c r="AM23" s="35" t="s">
        <v>41</v>
      </c>
      <c r="AN23" s="19">
        <v>250</v>
      </c>
      <c r="AO23" s="19">
        <v>500</v>
      </c>
      <c r="AP23" s="19"/>
      <c r="AQ23" s="19">
        <f t="shared" si="9"/>
        <v>0</v>
      </c>
      <c r="AR23" s="19">
        <f t="shared" si="1"/>
        <v>0</v>
      </c>
      <c r="AS23" s="19">
        <f t="shared" si="2"/>
        <v>0</v>
      </c>
      <c r="AT23" s="19">
        <f t="shared" si="5"/>
        <v>0</v>
      </c>
      <c r="AU23" s="50">
        <f t="shared" si="6"/>
        <v>0</v>
      </c>
      <c r="AV23" s="50">
        <f t="shared" si="6"/>
        <v>0</v>
      </c>
      <c r="AW23" s="50">
        <f t="shared" si="6"/>
        <v>0</v>
      </c>
      <c r="AZ23" s="53">
        <f t="shared" si="7"/>
        <v>2.5</v>
      </c>
      <c r="BA23">
        <f t="shared" si="8"/>
        <v>200</v>
      </c>
    </row>
    <row r="24" spans="1:53" ht="14.25" customHeight="1">
      <c r="A24" s="121">
        <v>44567</v>
      </c>
      <c r="B24" s="110">
        <v>1600</v>
      </c>
      <c r="C24" s="110"/>
      <c r="D24" s="109" cm="1">
        <f t="array" ref="D24">(SUM(VLOOKUP(I24:AF24,$AM$4:$AO$44,2,FALSE))+AG24*10)*IF(AK24="是",$AY$4,$AY$3)</f>
        <v>0</v>
      </c>
      <c r="E24" s="57">
        <f>SUM($B$4:B24)+SUM($C$4:C24)-SUM($D$4:D24)</f>
        <v>24520</v>
      </c>
      <c r="F24" s="109" cm="1">
        <f t="array" ref="F24">SUM(VLOOKUP(I24:AF24,$AM$4:$AO$44,3,FALSE))</f>
        <v>0</v>
      </c>
      <c r="G24" s="109">
        <f>SUM($F$4:F24)+SUM($H$4:H24)</f>
        <v>6110</v>
      </c>
      <c r="H24" s="110">
        <v>0</v>
      </c>
      <c r="I24" s="110" t="s">
        <v>23</v>
      </c>
      <c r="J24" s="110" t="s">
        <v>23</v>
      </c>
      <c r="K24" s="110" t="s">
        <v>23</v>
      </c>
      <c r="L24" s="110" t="s">
        <v>23</v>
      </c>
      <c r="M24" s="110" t="s">
        <v>23</v>
      </c>
      <c r="N24" s="110" t="s">
        <v>23</v>
      </c>
      <c r="O24" s="111" t="s">
        <v>23</v>
      </c>
      <c r="P24" s="111" t="s">
        <v>23</v>
      </c>
      <c r="Q24" s="110" t="s">
        <v>23</v>
      </c>
      <c r="R24" s="110" t="s">
        <v>23</v>
      </c>
      <c r="S24" s="110" t="s">
        <v>23</v>
      </c>
      <c r="T24" s="110" t="s">
        <v>23</v>
      </c>
      <c r="U24" s="110" t="s">
        <v>23</v>
      </c>
      <c r="V24" s="110" t="s">
        <v>23</v>
      </c>
      <c r="W24" s="111" t="s">
        <v>23</v>
      </c>
      <c r="X24" s="111" t="s">
        <v>23</v>
      </c>
      <c r="Y24" s="110" t="s">
        <v>23</v>
      </c>
      <c r="Z24" s="110" t="s">
        <v>23</v>
      </c>
      <c r="AA24" s="110" t="s">
        <v>23</v>
      </c>
      <c r="AB24" s="110" t="s">
        <v>23</v>
      </c>
      <c r="AC24" s="110" t="s">
        <v>23</v>
      </c>
      <c r="AD24" s="110" t="s">
        <v>23</v>
      </c>
      <c r="AE24" s="111" t="s">
        <v>23</v>
      </c>
      <c r="AF24" s="111" t="s">
        <v>23</v>
      </c>
      <c r="AG24" s="94">
        <v>0</v>
      </c>
      <c r="AH24" s="112"/>
      <c r="AI24" s="112"/>
      <c r="AJ24" s="112"/>
      <c r="AK24" s="113" t="s">
        <v>31</v>
      </c>
      <c r="AM24" s="31" t="s">
        <v>39</v>
      </c>
      <c r="AN24" s="19">
        <v>160</v>
      </c>
      <c r="AO24" s="19">
        <v>40</v>
      </c>
      <c r="AP24" s="19">
        <f t="shared" ref="AP24:AP27" si="12">AN24-AO24/0.330882</f>
        <v>39.110982162825422</v>
      </c>
      <c r="AQ24" s="19">
        <f t="shared" si="9"/>
        <v>0</v>
      </c>
      <c r="AR24" s="19">
        <f t="shared" si="1"/>
        <v>0</v>
      </c>
      <c r="AS24" s="19">
        <f t="shared" si="2"/>
        <v>0</v>
      </c>
      <c r="AT24" s="19">
        <f t="shared" si="5"/>
        <v>0</v>
      </c>
      <c r="AU24" s="50">
        <f t="shared" si="6"/>
        <v>0</v>
      </c>
      <c r="AV24" s="50">
        <f t="shared" si="6"/>
        <v>0</v>
      </c>
      <c r="AW24" s="50">
        <f t="shared" si="6"/>
        <v>0</v>
      </c>
      <c r="AZ24" s="53">
        <f t="shared" si="7"/>
        <v>0.3125</v>
      </c>
      <c r="BA24">
        <f t="shared" si="8"/>
        <v>128</v>
      </c>
    </row>
    <row r="25" spans="1:53">
      <c r="A25" s="121">
        <v>44568</v>
      </c>
      <c r="B25" s="110">
        <v>1600</v>
      </c>
      <c r="C25" s="110"/>
      <c r="D25" s="109" cm="1">
        <f t="array" ref="D25">(SUM(VLOOKUP(I25:AF25,$AM$4:$AO$44,2,FALSE))+AG25*10)*IF(AK25="是",$AY$4,$AY$3)</f>
        <v>0</v>
      </c>
      <c r="E25" s="57">
        <f>SUM($B$4:B25)+SUM($C$4:C25)-SUM($D$4:D25)</f>
        <v>26120</v>
      </c>
      <c r="F25" s="109" cm="1">
        <f t="array" ref="F25">SUM(VLOOKUP(I25:AF25,$AM$4:$AO$44,3,FALSE))</f>
        <v>0</v>
      </c>
      <c r="G25" s="109">
        <f>SUM($F$4:F25)+SUM($H$4:H25)</f>
        <v>6110</v>
      </c>
      <c r="H25" s="110">
        <v>0</v>
      </c>
      <c r="I25" s="110" t="s">
        <v>23</v>
      </c>
      <c r="J25" s="110" t="s">
        <v>23</v>
      </c>
      <c r="K25" s="110" t="s">
        <v>23</v>
      </c>
      <c r="L25" s="110" t="s">
        <v>23</v>
      </c>
      <c r="M25" s="110" t="s">
        <v>23</v>
      </c>
      <c r="N25" s="110" t="s">
        <v>23</v>
      </c>
      <c r="O25" s="111" t="s">
        <v>23</v>
      </c>
      <c r="P25" s="111" t="s">
        <v>23</v>
      </c>
      <c r="Q25" s="110" t="s">
        <v>23</v>
      </c>
      <c r="R25" s="110" t="s">
        <v>23</v>
      </c>
      <c r="S25" s="110" t="s">
        <v>23</v>
      </c>
      <c r="T25" s="110" t="s">
        <v>23</v>
      </c>
      <c r="U25" s="110" t="s">
        <v>23</v>
      </c>
      <c r="V25" s="110" t="s">
        <v>23</v>
      </c>
      <c r="W25" s="111" t="s">
        <v>23</v>
      </c>
      <c r="X25" s="111" t="s">
        <v>23</v>
      </c>
      <c r="Y25" s="110" t="s">
        <v>23</v>
      </c>
      <c r="Z25" s="110" t="s">
        <v>23</v>
      </c>
      <c r="AA25" s="110" t="s">
        <v>23</v>
      </c>
      <c r="AB25" s="110" t="s">
        <v>23</v>
      </c>
      <c r="AC25" s="110" t="s">
        <v>23</v>
      </c>
      <c r="AD25" s="110" t="s">
        <v>23</v>
      </c>
      <c r="AE25" s="111" t="s">
        <v>23</v>
      </c>
      <c r="AF25" s="111" t="s">
        <v>23</v>
      </c>
      <c r="AG25" s="94">
        <v>0</v>
      </c>
      <c r="AH25" s="112"/>
      <c r="AI25" s="112"/>
      <c r="AJ25" s="112"/>
      <c r="AK25" s="113" t="s">
        <v>31</v>
      </c>
      <c r="AM25" s="31" t="s">
        <v>40</v>
      </c>
      <c r="AN25" s="19">
        <v>160</v>
      </c>
      <c r="AO25" s="19">
        <v>40</v>
      </c>
      <c r="AP25" s="19">
        <f t="shared" si="12"/>
        <v>39.110982162825422</v>
      </c>
      <c r="AQ25" s="19">
        <f t="shared" si="9"/>
        <v>0</v>
      </c>
      <c r="AR25" s="19">
        <f t="shared" si="1"/>
        <v>0</v>
      </c>
      <c r="AS25" s="19">
        <f t="shared" si="2"/>
        <v>0</v>
      </c>
      <c r="AT25" s="19">
        <f t="shared" si="5"/>
        <v>0</v>
      </c>
      <c r="AU25" s="50">
        <f t="shared" si="6"/>
        <v>0</v>
      </c>
      <c r="AV25" s="50">
        <f t="shared" si="6"/>
        <v>0</v>
      </c>
      <c r="AW25" s="50">
        <f t="shared" si="6"/>
        <v>0</v>
      </c>
      <c r="AZ25" s="53">
        <f t="shared" si="7"/>
        <v>0.3125</v>
      </c>
      <c r="BA25">
        <f t="shared" si="8"/>
        <v>128</v>
      </c>
    </row>
    <row r="26" spans="1:53">
      <c r="A26" s="121">
        <v>44569</v>
      </c>
      <c r="B26" s="110">
        <v>1600</v>
      </c>
      <c r="C26" s="110"/>
      <c r="D26" s="109" cm="1">
        <f t="array" ref="D26">(SUM(VLOOKUP(I26:AF26,$AM$4:$AO$44,2,FALSE))+AG26*10)*IF(AK26="是",$AY$4,$AY$3)</f>
        <v>0</v>
      </c>
      <c r="E26" s="57">
        <f>SUM($B$4:B26)+SUM($C$4:C26)-SUM($D$4:D26)</f>
        <v>27720</v>
      </c>
      <c r="F26" s="109" cm="1">
        <f t="array" ref="F26">SUM(VLOOKUP(I26:AF26,$AM$4:$AO$44,3,FALSE))</f>
        <v>0</v>
      </c>
      <c r="G26" s="109">
        <f>SUM($F$4:F26)+SUM($H$4:H26)</f>
        <v>6110</v>
      </c>
      <c r="H26" s="110">
        <v>0</v>
      </c>
      <c r="I26" s="110" t="s">
        <v>23</v>
      </c>
      <c r="J26" s="110" t="s">
        <v>23</v>
      </c>
      <c r="K26" s="110" t="s">
        <v>23</v>
      </c>
      <c r="L26" s="110" t="s">
        <v>23</v>
      </c>
      <c r="M26" s="110" t="s">
        <v>23</v>
      </c>
      <c r="N26" s="110" t="s">
        <v>23</v>
      </c>
      <c r="O26" s="111" t="s">
        <v>23</v>
      </c>
      <c r="P26" s="111" t="s">
        <v>23</v>
      </c>
      <c r="Q26" s="110" t="s">
        <v>23</v>
      </c>
      <c r="R26" s="110" t="s">
        <v>23</v>
      </c>
      <c r="S26" s="110" t="s">
        <v>23</v>
      </c>
      <c r="T26" s="110" t="s">
        <v>23</v>
      </c>
      <c r="U26" s="110" t="s">
        <v>23</v>
      </c>
      <c r="V26" s="110" t="s">
        <v>23</v>
      </c>
      <c r="W26" s="111" t="s">
        <v>23</v>
      </c>
      <c r="X26" s="111" t="s">
        <v>23</v>
      </c>
      <c r="Y26" s="110" t="s">
        <v>23</v>
      </c>
      <c r="Z26" s="110" t="s">
        <v>23</v>
      </c>
      <c r="AA26" s="110" t="s">
        <v>23</v>
      </c>
      <c r="AB26" s="110" t="s">
        <v>23</v>
      </c>
      <c r="AC26" s="110" t="s">
        <v>23</v>
      </c>
      <c r="AD26" s="110" t="s">
        <v>23</v>
      </c>
      <c r="AE26" s="111" t="s">
        <v>23</v>
      </c>
      <c r="AF26" s="111" t="s">
        <v>23</v>
      </c>
      <c r="AG26" s="94">
        <v>0</v>
      </c>
      <c r="AH26" s="112"/>
      <c r="AI26" s="112"/>
      <c r="AJ26" s="112"/>
      <c r="AK26" s="113" t="s">
        <v>31</v>
      </c>
      <c r="AM26" s="31" t="s">
        <v>38</v>
      </c>
      <c r="AN26" s="19">
        <v>150</v>
      </c>
      <c r="AO26" s="19">
        <v>35</v>
      </c>
      <c r="AP26" s="19">
        <f t="shared" si="12"/>
        <v>44.222109392472248</v>
      </c>
      <c r="AQ26" s="19">
        <f t="shared" si="9"/>
        <v>0</v>
      </c>
      <c r="AR26" s="19">
        <f t="shared" si="1"/>
        <v>0</v>
      </c>
      <c r="AS26" s="19">
        <f t="shared" si="2"/>
        <v>0</v>
      </c>
      <c r="AT26" s="19">
        <f t="shared" si="5"/>
        <v>0</v>
      </c>
      <c r="AU26" s="50">
        <f t="shared" si="6"/>
        <v>0</v>
      </c>
      <c r="AV26" s="50">
        <f t="shared" si="6"/>
        <v>0</v>
      </c>
      <c r="AW26" s="50">
        <f t="shared" si="6"/>
        <v>0</v>
      </c>
      <c r="AZ26" s="53">
        <f t="shared" si="7"/>
        <v>0.29166666666666669</v>
      </c>
      <c r="BA26">
        <f t="shared" si="8"/>
        <v>120</v>
      </c>
    </row>
    <row r="27" spans="1:53">
      <c r="A27" s="121">
        <v>44570</v>
      </c>
      <c r="B27" s="110">
        <v>1600</v>
      </c>
      <c r="C27" s="110"/>
      <c r="D27" s="109" cm="1">
        <f t="array" ref="D27">(SUM(VLOOKUP(I27:AF27,$AM$4:$AO$44,2,FALSE))+AG27*10)*IF(AK27="是",$AY$4,$AY$3)</f>
        <v>0</v>
      </c>
      <c r="E27" s="57">
        <f>SUM($B$4:B27)+SUM($C$4:C27)-SUM($D$4:D27)</f>
        <v>29320</v>
      </c>
      <c r="F27" s="109" cm="1">
        <f t="array" ref="F27">SUM(VLOOKUP(I27:AF27,$AM$4:$AO$44,3,FALSE))</f>
        <v>0</v>
      </c>
      <c r="G27" s="109">
        <f>SUM($F$4:F27)+SUM($H$4:H27)</f>
        <v>6110</v>
      </c>
      <c r="H27" s="110">
        <v>0</v>
      </c>
      <c r="I27" s="110" t="s">
        <v>23</v>
      </c>
      <c r="J27" s="110" t="s">
        <v>23</v>
      </c>
      <c r="K27" s="110" t="s">
        <v>23</v>
      </c>
      <c r="L27" s="110" t="s">
        <v>23</v>
      </c>
      <c r="M27" s="110" t="s">
        <v>23</v>
      </c>
      <c r="N27" s="110" t="s">
        <v>23</v>
      </c>
      <c r="O27" s="111" t="s">
        <v>23</v>
      </c>
      <c r="P27" s="111" t="s">
        <v>23</v>
      </c>
      <c r="Q27" s="110" t="s">
        <v>23</v>
      </c>
      <c r="R27" s="110" t="s">
        <v>23</v>
      </c>
      <c r="S27" s="110" t="s">
        <v>23</v>
      </c>
      <c r="T27" s="110" t="s">
        <v>23</v>
      </c>
      <c r="U27" s="110" t="s">
        <v>23</v>
      </c>
      <c r="V27" s="110" t="s">
        <v>23</v>
      </c>
      <c r="W27" s="111" t="s">
        <v>23</v>
      </c>
      <c r="X27" s="111" t="s">
        <v>23</v>
      </c>
      <c r="Y27" s="110" t="s">
        <v>23</v>
      </c>
      <c r="Z27" s="110" t="s">
        <v>23</v>
      </c>
      <c r="AA27" s="110" t="s">
        <v>23</v>
      </c>
      <c r="AB27" s="110" t="s">
        <v>23</v>
      </c>
      <c r="AC27" s="110" t="s">
        <v>23</v>
      </c>
      <c r="AD27" s="110" t="s">
        <v>23</v>
      </c>
      <c r="AE27" s="111" t="s">
        <v>23</v>
      </c>
      <c r="AF27" s="111" t="s">
        <v>23</v>
      </c>
      <c r="AG27" s="94">
        <v>0</v>
      </c>
      <c r="AH27" s="112"/>
      <c r="AI27" s="112"/>
      <c r="AJ27" s="112"/>
      <c r="AK27" s="113" t="s">
        <v>31</v>
      </c>
      <c r="AM27" s="33" t="s">
        <v>23</v>
      </c>
      <c r="AN27" s="19">
        <v>0</v>
      </c>
      <c r="AO27" s="19">
        <v>0</v>
      </c>
      <c r="AP27" s="19">
        <f t="shared" si="12"/>
        <v>0</v>
      </c>
      <c r="AQ27" s="19"/>
      <c r="AR27" s="19"/>
      <c r="AS27" s="19"/>
      <c r="AT27" s="19"/>
      <c r="AU27" s="50">
        <f t="shared" si="6"/>
        <v>0</v>
      </c>
      <c r="AV27" s="50">
        <f t="shared" si="6"/>
        <v>0</v>
      </c>
      <c r="AW27" s="50">
        <f t="shared" si="6"/>
        <v>0</v>
      </c>
      <c r="BA27">
        <f t="shared" si="8"/>
        <v>0</v>
      </c>
    </row>
    <row r="28" spans="1:53" ht="15" thickBot="1">
      <c r="A28" s="121">
        <v>44571</v>
      </c>
      <c r="B28" s="109">
        <v>1600</v>
      </c>
      <c r="C28" s="109"/>
      <c r="D28" s="109" cm="1">
        <f t="array" ref="D28">(SUM(VLOOKUP(I28:AF28,$AM$4:$AO$44,2,FALSE))+AG28*10)*IF(AK28="是",$AY$4,$AY$3)</f>
        <v>0</v>
      </c>
      <c r="E28" s="57">
        <f>SUM($B$4:B28)+SUM($C$4:C28)-SUM($D$4:D28)</f>
        <v>30920</v>
      </c>
      <c r="F28" s="109" cm="1">
        <f t="array" ref="F28">SUM(VLOOKUP(I28:AF28,$AM$4:$AO$44,3,FALSE))</f>
        <v>0</v>
      </c>
      <c r="G28" s="109">
        <f>SUM($F$4:F28)+SUM($H$4:H28)</f>
        <v>6410</v>
      </c>
      <c r="H28" s="109">
        <v>300</v>
      </c>
      <c r="I28" s="110" t="s">
        <v>23</v>
      </c>
      <c r="J28" s="110" t="s">
        <v>23</v>
      </c>
      <c r="K28" s="110" t="s">
        <v>23</v>
      </c>
      <c r="L28" s="110" t="s">
        <v>23</v>
      </c>
      <c r="M28" s="110" t="s">
        <v>23</v>
      </c>
      <c r="N28" s="110" t="s">
        <v>23</v>
      </c>
      <c r="O28" s="111" t="s">
        <v>23</v>
      </c>
      <c r="P28" s="111" t="s">
        <v>23</v>
      </c>
      <c r="Q28" s="110" t="s">
        <v>23</v>
      </c>
      <c r="R28" s="110" t="s">
        <v>23</v>
      </c>
      <c r="S28" s="110" t="s">
        <v>23</v>
      </c>
      <c r="T28" s="110" t="s">
        <v>23</v>
      </c>
      <c r="U28" s="110" t="s">
        <v>23</v>
      </c>
      <c r="V28" s="110" t="s">
        <v>23</v>
      </c>
      <c r="W28" s="111" t="s">
        <v>23</v>
      </c>
      <c r="X28" s="111" t="s">
        <v>23</v>
      </c>
      <c r="Y28" s="110" t="s">
        <v>23</v>
      </c>
      <c r="Z28" s="110" t="s">
        <v>23</v>
      </c>
      <c r="AA28" s="110" t="s">
        <v>23</v>
      </c>
      <c r="AB28" s="110" t="s">
        <v>23</v>
      </c>
      <c r="AC28" s="110" t="s">
        <v>23</v>
      </c>
      <c r="AD28" s="110" t="s">
        <v>23</v>
      </c>
      <c r="AE28" s="111" t="s">
        <v>23</v>
      </c>
      <c r="AF28" s="111" t="s">
        <v>23</v>
      </c>
      <c r="AG28" s="94">
        <v>0</v>
      </c>
      <c r="AH28" s="112"/>
      <c r="AI28" s="112"/>
      <c r="AJ28" s="112"/>
      <c r="AK28" s="113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6"/>
        <v>0</v>
      </c>
      <c r="AV28" s="50">
        <f t="shared" si="6"/>
        <v>0</v>
      </c>
      <c r="AW28" s="50">
        <f t="shared" si="6"/>
        <v>0</v>
      </c>
      <c r="BA28">
        <f t="shared" si="8"/>
        <v>-160</v>
      </c>
    </row>
    <row r="29" spans="1:53">
      <c r="A29" s="121">
        <v>44572</v>
      </c>
      <c r="B29" s="109">
        <v>1600</v>
      </c>
      <c r="C29" s="109"/>
      <c r="D29" s="109" cm="1">
        <f t="array" ref="D29">(SUM(VLOOKUP(I29:AF29,$AM$4:$AO$44,2,FALSE))+AG29*10)*IF(AK29="是",$AY$4,$AY$3)</f>
        <v>0</v>
      </c>
      <c r="E29" s="57">
        <f>SUM($B$4:B29)+SUM($C$4:C29)-SUM($D$4:D29)</f>
        <v>32520</v>
      </c>
      <c r="F29" s="109" cm="1">
        <f t="array" ref="F29">SUM(VLOOKUP(I29:AF29,$AM$4:$AO$44,3,FALSE))</f>
        <v>0</v>
      </c>
      <c r="G29" s="109">
        <f>SUM($F$4:F29)+SUM($H$4:H29)</f>
        <v>6410</v>
      </c>
      <c r="H29" s="109">
        <v>0</v>
      </c>
      <c r="I29" s="110" t="s">
        <v>23</v>
      </c>
      <c r="J29" s="110" t="s">
        <v>23</v>
      </c>
      <c r="K29" s="110" t="s">
        <v>23</v>
      </c>
      <c r="L29" s="110" t="s">
        <v>23</v>
      </c>
      <c r="M29" s="110" t="s">
        <v>23</v>
      </c>
      <c r="N29" s="110" t="s">
        <v>23</v>
      </c>
      <c r="O29" s="111" t="s">
        <v>23</v>
      </c>
      <c r="P29" s="111" t="s">
        <v>23</v>
      </c>
      <c r="Q29" s="110" t="s">
        <v>23</v>
      </c>
      <c r="R29" s="110" t="s">
        <v>23</v>
      </c>
      <c r="S29" s="110" t="s">
        <v>23</v>
      </c>
      <c r="T29" s="110" t="s">
        <v>23</v>
      </c>
      <c r="U29" s="110" t="s">
        <v>23</v>
      </c>
      <c r="V29" s="110" t="s">
        <v>23</v>
      </c>
      <c r="W29" s="111" t="s">
        <v>23</v>
      </c>
      <c r="X29" s="111" t="s">
        <v>23</v>
      </c>
      <c r="Y29" s="110" t="s">
        <v>23</v>
      </c>
      <c r="Z29" s="110" t="s">
        <v>23</v>
      </c>
      <c r="AA29" s="110" t="s">
        <v>23</v>
      </c>
      <c r="AB29" s="110" t="s">
        <v>23</v>
      </c>
      <c r="AC29" s="110" t="s">
        <v>23</v>
      </c>
      <c r="AD29" s="110" t="s">
        <v>23</v>
      </c>
      <c r="AE29" s="111" t="s">
        <v>23</v>
      </c>
      <c r="AF29" s="111" t="s">
        <v>23</v>
      </c>
      <c r="AG29" s="94">
        <v>0</v>
      </c>
      <c r="AH29" s="112">
        <v>1</v>
      </c>
      <c r="AI29" s="112"/>
      <c r="AJ29" s="112"/>
      <c r="AK29" s="113" t="s">
        <v>31</v>
      </c>
      <c r="AM29" s="19"/>
      <c r="AN29" s="19"/>
      <c r="AO29" s="19"/>
      <c r="AP29" s="50"/>
      <c r="AS29" t="s">
        <v>60</v>
      </c>
      <c r="AT29">
        <f>SUM(AT4:AT28)</f>
        <v>94</v>
      </c>
      <c r="AV29" t="s">
        <v>61</v>
      </c>
      <c r="AW29" s="4">
        <f>SUM(AU4:AW28)+7000</f>
        <v>11110</v>
      </c>
    </row>
    <row r="30" spans="1:53">
      <c r="A30" s="121">
        <v>44573</v>
      </c>
      <c r="B30" s="109">
        <v>1600</v>
      </c>
      <c r="C30" s="109"/>
      <c r="D30" s="109" cm="1">
        <f t="array" ref="D30">(SUM(VLOOKUP(I30:AF30,$AM$4:$AO$44,2,FALSE))+AG30*10)*IF(AK30="是",$AY$4,$AY$3)</f>
        <v>0</v>
      </c>
      <c r="E30" s="57">
        <f>SUM($B$4:B30)+SUM($C$4:C30)-SUM($D$4:D30)</f>
        <v>34120</v>
      </c>
      <c r="F30" s="109" cm="1">
        <f t="array" ref="F30">SUM(VLOOKUP(I30:AF30,$AM$4:$AO$44,3,FALSE))</f>
        <v>0</v>
      </c>
      <c r="G30" s="109">
        <f>SUM($F$4:F30)+SUM($H$4:H30)</f>
        <v>6610</v>
      </c>
      <c r="H30" s="109">
        <v>200</v>
      </c>
      <c r="I30" s="110" t="s">
        <v>23</v>
      </c>
      <c r="J30" s="110" t="s">
        <v>23</v>
      </c>
      <c r="K30" s="110" t="s">
        <v>23</v>
      </c>
      <c r="L30" s="110" t="s">
        <v>23</v>
      </c>
      <c r="M30" s="110" t="s">
        <v>23</v>
      </c>
      <c r="N30" s="110" t="s">
        <v>23</v>
      </c>
      <c r="O30" s="111" t="s">
        <v>23</v>
      </c>
      <c r="P30" s="111" t="s">
        <v>23</v>
      </c>
      <c r="Q30" s="110" t="s">
        <v>23</v>
      </c>
      <c r="R30" s="110" t="s">
        <v>23</v>
      </c>
      <c r="S30" s="110" t="s">
        <v>23</v>
      </c>
      <c r="T30" s="110" t="s">
        <v>23</v>
      </c>
      <c r="U30" s="110" t="s">
        <v>23</v>
      </c>
      <c r="V30" s="110" t="s">
        <v>23</v>
      </c>
      <c r="W30" s="111" t="s">
        <v>23</v>
      </c>
      <c r="X30" s="111" t="s">
        <v>23</v>
      </c>
      <c r="Y30" s="110" t="s">
        <v>23</v>
      </c>
      <c r="Z30" s="110" t="s">
        <v>23</v>
      </c>
      <c r="AA30" s="110" t="s">
        <v>23</v>
      </c>
      <c r="AB30" s="110" t="s">
        <v>23</v>
      </c>
      <c r="AC30" s="110" t="s">
        <v>23</v>
      </c>
      <c r="AD30" s="110" t="s">
        <v>23</v>
      </c>
      <c r="AE30" s="111" t="s">
        <v>23</v>
      </c>
      <c r="AF30" s="111" t="s">
        <v>23</v>
      </c>
      <c r="AG30" s="94">
        <v>0</v>
      </c>
      <c r="AH30" s="112">
        <v>1</v>
      </c>
      <c r="AI30" s="112"/>
      <c r="AJ30" s="112"/>
      <c r="AK30" s="113" t="s">
        <v>31</v>
      </c>
      <c r="AM30" s="19"/>
      <c r="AN30" s="19"/>
      <c r="AO30" s="19"/>
      <c r="AP30" s="50"/>
      <c r="AS30" t="s">
        <v>84</v>
      </c>
      <c r="AT30">
        <f>SUM(D4:D94)+150*AT18+160*AT28</f>
        <v>14730</v>
      </c>
    </row>
    <row r="31" spans="1:53">
      <c r="A31" s="121">
        <v>44574</v>
      </c>
      <c r="B31" s="109">
        <v>1600</v>
      </c>
      <c r="C31" s="109"/>
      <c r="D31" s="109" cm="1">
        <f t="array" ref="D31">(SUM(VLOOKUP(I31:AF31,$AM$4:$AO$44,2,FALSE))+AG31*10)*IF(AK31="是",$AY$4,$AY$3)</f>
        <v>0</v>
      </c>
      <c r="E31" s="57">
        <f>SUM($B$4:B31)+SUM($C$4:C31)-SUM($D$4:D31)</f>
        <v>35720</v>
      </c>
      <c r="F31" s="109" cm="1">
        <f t="array" ref="F31">SUM(VLOOKUP(I31:AF31,$AM$4:$AO$44,3,FALSE))</f>
        <v>0</v>
      </c>
      <c r="G31" s="109">
        <f>SUM($F$4:F31)+SUM($H$4:H31)</f>
        <v>6610</v>
      </c>
      <c r="H31" s="109">
        <v>0</v>
      </c>
      <c r="I31" s="110" t="s">
        <v>23</v>
      </c>
      <c r="J31" s="110" t="s">
        <v>23</v>
      </c>
      <c r="K31" s="110" t="s">
        <v>23</v>
      </c>
      <c r="L31" s="110" t="s">
        <v>23</v>
      </c>
      <c r="M31" s="110" t="s">
        <v>23</v>
      </c>
      <c r="N31" s="110" t="s">
        <v>23</v>
      </c>
      <c r="O31" s="111" t="s">
        <v>23</v>
      </c>
      <c r="P31" s="111" t="s">
        <v>23</v>
      </c>
      <c r="Q31" s="110" t="s">
        <v>23</v>
      </c>
      <c r="R31" s="110" t="s">
        <v>23</v>
      </c>
      <c r="S31" s="110" t="s">
        <v>23</v>
      </c>
      <c r="T31" s="110" t="s">
        <v>23</v>
      </c>
      <c r="U31" s="110" t="s">
        <v>23</v>
      </c>
      <c r="V31" s="110" t="s">
        <v>23</v>
      </c>
      <c r="W31" s="111" t="s">
        <v>23</v>
      </c>
      <c r="X31" s="111" t="s">
        <v>23</v>
      </c>
      <c r="Y31" s="110" t="s">
        <v>23</v>
      </c>
      <c r="Z31" s="110" t="s">
        <v>23</v>
      </c>
      <c r="AA31" s="110" t="s">
        <v>23</v>
      </c>
      <c r="AB31" s="110" t="s">
        <v>23</v>
      </c>
      <c r="AC31" s="110" t="s">
        <v>23</v>
      </c>
      <c r="AD31" s="110" t="s">
        <v>23</v>
      </c>
      <c r="AE31" s="111" t="s">
        <v>23</v>
      </c>
      <c r="AF31" s="111" t="s">
        <v>23</v>
      </c>
      <c r="AG31" s="94">
        <v>0</v>
      </c>
      <c r="AH31" s="112"/>
      <c r="AI31" s="112"/>
      <c r="AJ31" s="112"/>
      <c r="AK31" s="113" t="s">
        <v>31</v>
      </c>
      <c r="AM31" s="19"/>
      <c r="AN31" s="19"/>
      <c r="AO31" s="19"/>
      <c r="AP31" s="50"/>
    </row>
    <row r="32" spans="1:53">
      <c r="A32" s="121">
        <v>44575</v>
      </c>
      <c r="B32" s="109">
        <v>1600</v>
      </c>
      <c r="C32" s="109"/>
      <c r="D32" s="109" cm="1">
        <f t="array" ref="D32">(SUM(VLOOKUP(I32:AF32,$AM$4:$AO$44,2,FALSE))+AG32*10)*IF(AK32="是",$AY$4,$AY$3)</f>
        <v>0</v>
      </c>
      <c r="E32" s="57">
        <f>SUM($B$4:B32)+SUM($C$4:C32)-SUM($D$4:D32)</f>
        <v>37320</v>
      </c>
      <c r="F32" s="109" cm="1">
        <f t="array" ref="F32">SUM(VLOOKUP(I32:AF32,$AM$4:$AO$44,3,FALSE))</f>
        <v>0</v>
      </c>
      <c r="G32" s="109">
        <f>SUM($F$4:F32)+SUM($H$4:H32)</f>
        <v>6610</v>
      </c>
      <c r="H32" s="109">
        <v>0</v>
      </c>
      <c r="I32" s="110" t="s">
        <v>23</v>
      </c>
      <c r="J32" s="110" t="s">
        <v>23</v>
      </c>
      <c r="K32" s="110" t="s">
        <v>23</v>
      </c>
      <c r="L32" s="110" t="s">
        <v>23</v>
      </c>
      <c r="M32" s="110" t="s">
        <v>23</v>
      </c>
      <c r="N32" s="110" t="s">
        <v>23</v>
      </c>
      <c r="O32" s="111" t="s">
        <v>23</v>
      </c>
      <c r="P32" s="111" t="s">
        <v>23</v>
      </c>
      <c r="Q32" s="110" t="s">
        <v>23</v>
      </c>
      <c r="R32" s="110" t="s">
        <v>23</v>
      </c>
      <c r="S32" s="110" t="s">
        <v>23</v>
      </c>
      <c r="T32" s="110" t="s">
        <v>23</v>
      </c>
      <c r="U32" s="110" t="s">
        <v>23</v>
      </c>
      <c r="V32" s="110" t="s">
        <v>23</v>
      </c>
      <c r="W32" s="111" t="s">
        <v>23</v>
      </c>
      <c r="X32" s="111" t="s">
        <v>23</v>
      </c>
      <c r="Y32" s="110" t="s">
        <v>23</v>
      </c>
      <c r="Z32" s="110" t="s">
        <v>23</v>
      </c>
      <c r="AA32" s="110" t="s">
        <v>23</v>
      </c>
      <c r="AB32" s="110" t="s">
        <v>23</v>
      </c>
      <c r="AC32" s="110" t="s">
        <v>23</v>
      </c>
      <c r="AD32" s="110" t="s">
        <v>23</v>
      </c>
      <c r="AE32" s="111" t="s">
        <v>23</v>
      </c>
      <c r="AF32" s="111" t="s">
        <v>23</v>
      </c>
      <c r="AG32" s="94">
        <v>0</v>
      </c>
      <c r="AH32" s="112"/>
      <c r="AI32" s="112"/>
      <c r="AJ32" s="112"/>
      <c r="AK32" s="113" t="s">
        <v>31</v>
      </c>
      <c r="AM32" s="19"/>
      <c r="AN32" s="19"/>
      <c r="AO32" s="19"/>
      <c r="AP32" s="50"/>
      <c r="AT32">
        <f>AP4*AT4</f>
        <v>619.10953149461147</v>
      </c>
      <c r="AV32">
        <f>SUM(AT32:AT47)</f>
        <v>2914.6632817741674</v>
      </c>
    </row>
    <row r="33" spans="1:46">
      <c r="A33" s="121">
        <v>44576</v>
      </c>
      <c r="B33" s="109">
        <v>1600</v>
      </c>
      <c r="C33" s="109"/>
      <c r="D33" s="109" cm="1">
        <f t="array" ref="D33">(SUM(VLOOKUP(I33:AF33,$AM$4:$AO$44,2,FALSE))+AG33*10)*IF(AK33="是",$AY$4,$AY$3)</f>
        <v>0</v>
      </c>
      <c r="E33" s="57">
        <f>SUM($B$4:B33)+SUM($C$4:C33)-SUM($D$4:D33)</f>
        <v>38920</v>
      </c>
      <c r="F33" s="109" cm="1">
        <f t="array" ref="F33">SUM(VLOOKUP(I33:AF33,$AM$4:$AO$44,3,FALSE))</f>
        <v>0</v>
      </c>
      <c r="G33" s="109">
        <f>SUM($F$4:F33)+SUM($H$4:H33)</f>
        <v>6610</v>
      </c>
      <c r="H33" s="109">
        <v>0</v>
      </c>
      <c r="I33" s="110" t="s">
        <v>23</v>
      </c>
      <c r="J33" s="110" t="s">
        <v>23</v>
      </c>
      <c r="K33" s="110" t="s">
        <v>23</v>
      </c>
      <c r="L33" s="110" t="s">
        <v>23</v>
      </c>
      <c r="M33" s="110" t="s">
        <v>23</v>
      </c>
      <c r="N33" s="110" t="s">
        <v>23</v>
      </c>
      <c r="O33" s="111" t="s">
        <v>23</v>
      </c>
      <c r="P33" s="111" t="s">
        <v>23</v>
      </c>
      <c r="Q33" s="110" t="s">
        <v>23</v>
      </c>
      <c r="R33" s="110" t="s">
        <v>23</v>
      </c>
      <c r="S33" s="110" t="s">
        <v>23</v>
      </c>
      <c r="T33" s="110" t="s">
        <v>23</v>
      </c>
      <c r="U33" s="110" t="s">
        <v>23</v>
      </c>
      <c r="V33" s="110" t="s">
        <v>23</v>
      </c>
      <c r="W33" s="111" t="s">
        <v>23</v>
      </c>
      <c r="X33" s="111" t="s">
        <v>23</v>
      </c>
      <c r="Y33" s="110" t="s">
        <v>23</v>
      </c>
      <c r="Z33" s="110" t="s">
        <v>23</v>
      </c>
      <c r="AA33" s="110" t="s">
        <v>23</v>
      </c>
      <c r="AB33" s="110" t="s">
        <v>23</v>
      </c>
      <c r="AC33" s="110" t="s">
        <v>23</v>
      </c>
      <c r="AD33" s="110" t="s">
        <v>23</v>
      </c>
      <c r="AE33" s="111" t="s">
        <v>23</v>
      </c>
      <c r="AF33" s="111" t="s">
        <v>23</v>
      </c>
      <c r="AG33" s="94">
        <v>0</v>
      </c>
      <c r="AH33" s="112"/>
      <c r="AI33" s="112">
        <v>1</v>
      </c>
      <c r="AJ33" s="112"/>
      <c r="AK33" s="113" t="s">
        <v>31</v>
      </c>
      <c r="AM33" s="19"/>
      <c r="AN33" s="19"/>
      <c r="AO33" s="19"/>
      <c r="AP33" s="50"/>
      <c r="AT33">
        <f t="shared" ref="AT33:AT72" si="13">AP5*AT5</f>
        <v>508.44276811673046</v>
      </c>
    </row>
    <row r="34" spans="1:46">
      <c r="A34" s="121">
        <v>44577</v>
      </c>
      <c r="B34" s="109">
        <v>1600</v>
      </c>
      <c r="C34" s="109"/>
      <c r="D34" s="109" cm="1">
        <f t="array" ref="D34">(SUM(VLOOKUP(I34:AF34,$AM$4:$AO$44,2,FALSE))+AG34*10)*IF(AK34="是",$AY$4,$AY$3)</f>
        <v>0</v>
      </c>
      <c r="E34" s="57">
        <f>SUM($B$4:B34)+SUM($C$4:C34)-SUM($D$4:D34)</f>
        <v>40520</v>
      </c>
      <c r="F34" s="109" cm="1">
        <f t="array" ref="F34">SUM(VLOOKUP(I34:AF34,$AM$4:$AO$44,3,FALSE))</f>
        <v>0</v>
      </c>
      <c r="G34" s="109">
        <f>SUM($F$4:F34)+SUM($H$4:H34)</f>
        <v>6610</v>
      </c>
      <c r="H34" s="109">
        <v>0</v>
      </c>
      <c r="I34" s="110" t="s">
        <v>23</v>
      </c>
      <c r="J34" s="110" t="s">
        <v>23</v>
      </c>
      <c r="K34" s="110" t="s">
        <v>23</v>
      </c>
      <c r="L34" s="110" t="s">
        <v>23</v>
      </c>
      <c r="M34" s="110" t="s">
        <v>23</v>
      </c>
      <c r="N34" s="110" t="s">
        <v>23</v>
      </c>
      <c r="O34" s="111" t="s">
        <v>23</v>
      </c>
      <c r="P34" s="111" t="s">
        <v>23</v>
      </c>
      <c r="Q34" s="110" t="s">
        <v>23</v>
      </c>
      <c r="R34" s="110" t="s">
        <v>23</v>
      </c>
      <c r="S34" s="110" t="s">
        <v>23</v>
      </c>
      <c r="T34" s="110" t="s">
        <v>23</v>
      </c>
      <c r="U34" s="110" t="s">
        <v>23</v>
      </c>
      <c r="V34" s="110" t="s">
        <v>23</v>
      </c>
      <c r="W34" s="111" t="s">
        <v>23</v>
      </c>
      <c r="X34" s="111" t="s">
        <v>23</v>
      </c>
      <c r="Y34" s="110" t="s">
        <v>23</v>
      </c>
      <c r="Z34" s="110" t="s">
        <v>23</v>
      </c>
      <c r="AA34" s="110" t="s">
        <v>23</v>
      </c>
      <c r="AB34" s="110" t="s">
        <v>23</v>
      </c>
      <c r="AC34" s="110" t="s">
        <v>23</v>
      </c>
      <c r="AD34" s="110" t="s">
        <v>23</v>
      </c>
      <c r="AE34" s="111" t="s">
        <v>23</v>
      </c>
      <c r="AF34" s="111" t="s">
        <v>23</v>
      </c>
      <c r="AG34" s="94">
        <v>0</v>
      </c>
      <c r="AH34" s="112"/>
      <c r="AI34" s="112"/>
      <c r="AJ34" s="112"/>
      <c r="AK34" s="113" t="s">
        <v>31</v>
      </c>
      <c r="AM34" s="19"/>
      <c r="AN34" s="19"/>
      <c r="AO34" s="19"/>
      <c r="AP34" s="50"/>
      <c r="AT34">
        <f t="shared" si="13"/>
        <v>1632</v>
      </c>
    </row>
    <row r="35" spans="1:46">
      <c r="A35" s="121">
        <v>44578</v>
      </c>
      <c r="B35" s="110">
        <v>1600</v>
      </c>
      <c r="C35" s="110"/>
      <c r="D35" s="109" cm="1">
        <f t="array" ref="D35">(SUM(VLOOKUP(I35:AF35,$AM$4:$AO$44,2,FALSE))+AG35*10)*IF(AK35="是",$AY$4,$AY$3)</f>
        <v>0</v>
      </c>
      <c r="E35" s="57">
        <f>SUM($B$4:B35)+SUM($C$4:C35)-SUM($D$4:D35)</f>
        <v>42120</v>
      </c>
      <c r="F35" s="109" cm="1">
        <f t="array" ref="F35">SUM(VLOOKUP(I35:AF35,$AM$4:$AO$44,3,FALSE))</f>
        <v>0</v>
      </c>
      <c r="G35" s="109">
        <f>SUM($F$4:F35)+SUM($H$4:H35)</f>
        <v>6810</v>
      </c>
      <c r="H35" s="110">
        <v>200</v>
      </c>
      <c r="I35" s="110" t="s">
        <v>23</v>
      </c>
      <c r="J35" s="110" t="s">
        <v>23</v>
      </c>
      <c r="K35" s="110" t="s">
        <v>23</v>
      </c>
      <c r="L35" s="110" t="s">
        <v>23</v>
      </c>
      <c r="M35" s="110" t="s">
        <v>23</v>
      </c>
      <c r="N35" s="110" t="s">
        <v>23</v>
      </c>
      <c r="O35" s="111" t="s">
        <v>23</v>
      </c>
      <c r="P35" s="111" t="s">
        <v>23</v>
      </c>
      <c r="Q35" s="110" t="s">
        <v>23</v>
      </c>
      <c r="R35" s="110" t="s">
        <v>23</v>
      </c>
      <c r="S35" s="110" t="s">
        <v>23</v>
      </c>
      <c r="T35" s="110" t="s">
        <v>23</v>
      </c>
      <c r="U35" s="110" t="s">
        <v>23</v>
      </c>
      <c r="V35" s="110" t="s">
        <v>23</v>
      </c>
      <c r="W35" s="111" t="s">
        <v>23</v>
      </c>
      <c r="X35" s="111" t="s">
        <v>23</v>
      </c>
      <c r="Y35" s="110" t="s">
        <v>23</v>
      </c>
      <c r="Z35" s="110" t="s">
        <v>23</v>
      </c>
      <c r="AA35" s="110" t="s">
        <v>23</v>
      </c>
      <c r="AB35" s="110" t="s">
        <v>23</v>
      </c>
      <c r="AC35" s="110" t="s">
        <v>23</v>
      </c>
      <c r="AD35" s="110" t="s">
        <v>23</v>
      </c>
      <c r="AE35" s="111" t="s">
        <v>23</v>
      </c>
      <c r="AF35" s="111" t="s">
        <v>23</v>
      </c>
      <c r="AG35" s="94">
        <v>0</v>
      </c>
      <c r="AH35" s="112"/>
      <c r="AI35" s="112"/>
      <c r="AJ35" s="112"/>
      <c r="AK35" s="113" t="s">
        <v>31</v>
      </c>
      <c r="AM35" s="19"/>
      <c r="AN35" s="19"/>
      <c r="AO35" s="19"/>
      <c r="AP35" s="50"/>
      <c r="AT35">
        <f t="shared" si="13"/>
        <v>36</v>
      </c>
    </row>
    <row r="36" spans="1:46">
      <c r="A36" s="121">
        <v>44579</v>
      </c>
      <c r="B36" s="110">
        <v>1600</v>
      </c>
      <c r="C36" s="110"/>
      <c r="D36" s="109" cm="1">
        <f t="array" ref="D36">(SUM(VLOOKUP(I36:AF36,$AM$4:$AO$44,2,FALSE))+AG36*10)*IF(AK36="是",$AY$4,$AY$3)</f>
        <v>0</v>
      </c>
      <c r="E36" s="57">
        <f>SUM($B$4:B36)+SUM($C$4:C36)-SUM($D$4:D36)</f>
        <v>43720</v>
      </c>
      <c r="F36" s="109" cm="1">
        <f t="array" ref="F36">SUM(VLOOKUP(I36:AF36,$AM$4:$AO$44,3,FALSE))</f>
        <v>0</v>
      </c>
      <c r="G36" s="109">
        <f>SUM($F$4:F36)+SUM($H$4:H36)</f>
        <v>6910</v>
      </c>
      <c r="H36" s="110">
        <v>100</v>
      </c>
      <c r="I36" s="110" t="s">
        <v>23</v>
      </c>
      <c r="J36" s="110" t="s">
        <v>23</v>
      </c>
      <c r="K36" s="110" t="s">
        <v>23</v>
      </c>
      <c r="L36" s="110" t="s">
        <v>23</v>
      </c>
      <c r="M36" s="110" t="s">
        <v>23</v>
      </c>
      <c r="N36" s="110" t="s">
        <v>23</v>
      </c>
      <c r="O36" s="111" t="s">
        <v>23</v>
      </c>
      <c r="P36" s="111" t="s">
        <v>23</v>
      </c>
      <c r="Q36" s="110" t="s">
        <v>23</v>
      </c>
      <c r="R36" s="110" t="s">
        <v>23</v>
      </c>
      <c r="S36" s="110" t="s">
        <v>23</v>
      </c>
      <c r="T36" s="110" t="s">
        <v>23</v>
      </c>
      <c r="U36" s="110" t="s">
        <v>23</v>
      </c>
      <c r="V36" s="110" t="s">
        <v>23</v>
      </c>
      <c r="W36" s="111" t="s">
        <v>23</v>
      </c>
      <c r="X36" s="111" t="s">
        <v>23</v>
      </c>
      <c r="Y36" s="110" t="s">
        <v>23</v>
      </c>
      <c r="Z36" s="110" t="s">
        <v>23</v>
      </c>
      <c r="AA36" s="110" t="s">
        <v>23</v>
      </c>
      <c r="AB36" s="110" t="s">
        <v>23</v>
      </c>
      <c r="AC36" s="110" t="s">
        <v>23</v>
      </c>
      <c r="AD36" s="110" t="s">
        <v>23</v>
      </c>
      <c r="AE36" s="111" t="s">
        <v>23</v>
      </c>
      <c r="AF36" s="111" t="s">
        <v>23</v>
      </c>
      <c r="AG36" s="94">
        <v>0</v>
      </c>
      <c r="AH36" s="112"/>
      <c r="AI36" s="112"/>
      <c r="AJ36" s="112"/>
      <c r="AK36" s="113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  <c r="AT36">
        <f t="shared" si="13"/>
        <v>0</v>
      </c>
    </row>
    <row r="37" spans="1:46">
      <c r="A37" s="121">
        <v>44580</v>
      </c>
      <c r="B37" s="110">
        <v>1600</v>
      </c>
      <c r="C37" s="110"/>
      <c r="D37" s="109" cm="1">
        <f t="array" ref="D37">(SUM(VLOOKUP(I37:AF37,$AM$4:$AO$44,2,FALSE))+AG37*10)*IF(AK37="是",$AY$4,$AY$3)</f>
        <v>0</v>
      </c>
      <c r="E37" s="57">
        <f>SUM($B$4:B37)+SUM($C$4:C37)-SUM($D$4:D37)</f>
        <v>45320</v>
      </c>
      <c r="F37" s="109" cm="1">
        <f t="array" ref="F37">SUM(VLOOKUP(I37:AF37,$AM$4:$AO$44,3,FALSE))</f>
        <v>0</v>
      </c>
      <c r="G37" s="109">
        <f>SUM($F$4:F37)+SUM($H$4:H37)</f>
        <v>7110</v>
      </c>
      <c r="H37" s="110">
        <v>200</v>
      </c>
      <c r="I37" s="110" t="s">
        <v>23</v>
      </c>
      <c r="J37" s="110" t="s">
        <v>23</v>
      </c>
      <c r="K37" s="110" t="s">
        <v>23</v>
      </c>
      <c r="L37" s="110" t="s">
        <v>23</v>
      </c>
      <c r="M37" s="110" t="s">
        <v>23</v>
      </c>
      <c r="N37" s="110" t="s">
        <v>23</v>
      </c>
      <c r="O37" s="111" t="s">
        <v>23</v>
      </c>
      <c r="P37" s="111" t="s">
        <v>23</v>
      </c>
      <c r="Q37" s="110" t="s">
        <v>23</v>
      </c>
      <c r="R37" s="110" t="s">
        <v>23</v>
      </c>
      <c r="S37" s="110" t="s">
        <v>23</v>
      </c>
      <c r="T37" s="110" t="s">
        <v>23</v>
      </c>
      <c r="U37" s="110" t="s">
        <v>23</v>
      </c>
      <c r="V37" s="110" t="s">
        <v>23</v>
      </c>
      <c r="W37" s="111" t="s">
        <v>23</v>
      </c>
      <c r="X37" s="111" t="s">
        <v>23</v>
      </c>
      <c r="Y37" s="110" t="s">
        <v>23</v>
      </c>
      <c r="Z37" s="110" t="s">
        <v>23</v>
      </c>
      <c r="AA37" s="110" t="s">
        <v>23</v>
      </c>
      <c r="AB37" s="110" t="s">
        <v>23</v>
      </c>
      <c r="AC37" s="110" t="s">
        <v>23</v>
      </c>
      <c r="AD37" s="110" t="s">
        <v>23</v>
      </c>
      <c r="AE37" s="111" t="s">
        <v>23</v>
      </c>
      <c r="AF37" s="111" t="s">
        <v>23</v>
      </c>
      <c r="AG37" s="94">
        <v>0</v>
      </c>
      <c r="AH37" s="112"/>
      <c r="AI37" s="112"/>
      <c r="AJ37" s="112"/>
      <c r="AK37" s="113" t="s">
        <v>31</v>
      </c>
      <c r="AL37" s="108"/>
      <c r="AM37" s="19" t="s">
        <v>67</v>
      </c>
      <c r="AN37" s="19"/>
      <c r="AO37" s="19">
        <v>6</v>
      </c>
      <c r="AP37" s="50"/>
      <c r="AQ37">
        <v>194</v>
      </c>
      <c r="AR37">
        <v>194</v>
      </c>
      <c r="AT37">
        <f t="shared" si="13"/>
        <v>0</v>
      </c>
    </row>
    <row r="38" spans="1:46">
      <c r="A38" s="121">
        <v>44581</v>
      </c>
      <c r="B38" s="110">
        <v>1600</v>
      </c>
      <c r="C38" s="110"/>
      <c r="D38" s="109" cm="1">
        <f t="array" ref="D38">(SUM(VLOOKUP(I38:AF38,$AM$4:$AO$44,2,FALSE))+AG38*10)*IF(AK38="是",$AY$4,$AY$3)</f>
        <v>0</v>
      </c>
      <c r="E38" s="57">
        <f>SUM($B$4:B38)+SUM($C$4:C38)-SUM($D$4:D38)</f>
        <v>46920</v>
      </c>
      <c r="F38" s="109" cm="1">
        <f t="array" ref="F38">SUM(VLOOKUP(I38:AF38,$AM$4:$AO$44,3,FALSE))</f>
        <v>0</v>
      </c>
      <c r="G38" s="109">
        <f>SUM($F$4:F38)+SUM($H$4:H38)</f>
        <v>7110</v>
      </c>
      <c r="H38" s="110">
        <v>0</v>
      </c>
      <c r="I38" s="110" t="s">
        <v>23</v>
      </c>
      <c r="J38" s="110" t="s">
        <v>23</v>
      </c>
      <c r="K38" s="110" t="s">
        <v>23</v>
      </c>
      <c r="L38" s="110" t="s">
        <v>23</v>
      </c>
      <c r="M38" s="110" t="s">
        <v>23</v>
      </c>
      <c r="N38" s="110" t="s">
        <v>23</v>
      </c>
      <c r="O38" s="111" t="s">
        <v>23</v>
      </c>
      <c r="P38" s="111" t="s">
        <v>23</v>
      </c>
      <c r="Q38" s="110" t="s">
        <v>23</v>
      </c>
      <c r="R38" s="110" t="s">
        <v>23</v>
      </c>
      <c r="S38" s="110" t="s">
        <v>23</v>
      </c>
      <c r="T38" s="110" t="s">
        <v>23</v>
      </c>
      <c r="U38" s="110" t="s">
        <v>23</v>
      </c>
      <c r="V38" s="110" t="s">
        <v>23</v>
      </c>
      <c r="W38" s="111" t="s">
        <v>23</v>
      </c>
      <c r="X38" s="111" t="s">
        <v>23</v>
      </c>
      <c r="Y38" s="110" t="s">
        <v>23</v>
      </c>
      <c r="Z38" s="110" t="s">
        <v>23</v>
      </c>
      <c r="AA38" s="110" t="s">
        <v>23</v>
      </c>
      <c r="AB38" s="110" t="s">
        <v>23</v>
      </c>
      <c r="AC38" s="110" t="s">
        <v>23</v>
      </c>
      <c r="AD38" s="110" t="s">
        <v>23</v>
      </c>
      <c r="AE38" s="111" t="s">
        <v>23</v>
      </c>
      <c r="AF38" s="111" t="s">
        <v>23</v>
      </c>
      <c r="AG38" s="94">
        <v>0</v>
      </c>
      <c r="AH38" s="112"/>
      <c r="AI38" s="112"/>
      <c r="AJ38" s="112"/>
      <c r="AK38" s="113" t="s">
        <v>31</v>
      </c>
      <c r="AL38" s="108"/>
      <c r="AM38" s="19" t="s">
        <v>68</v>
      </c>
      <c r="AN38" s="19"/>
      <c r="AO38" s="19">
        <v>5</v>
      </c>
      <c r="AP38" s="50"/>
      <c r="AQ38">
        <v>236</v>
      </c>
      <c r="AR38">
        <v>237</v>
      </c>
      <c r="AT38">
        <f t="shared" si="13"/>
        <v>0</v>
      </c>
    </row>
    <row r="39" spans="1:46">
      <c r="A39" s="121">
        <v>44582</v>
      </c>
      <c r="B39" s="110">
        <v>1600</v>
      </c>
      <c r="C39" s="110"/>
      <c r="D39" s="109" cm="1">
        <f t="array" ref="D39">(SUM(VLOOKUP(I39:AF39,$AM$4:$AO$44,2,FALSE))+AG39*10)*IF(AK39="是",$AY$4,$AY$3)</f>
        <v>0</v>
      </c>
      <c r="E39" s="57">
        <f>SUM($B$4:B39)+SUM($C$4:C39)-SUM($D$4:D39)</f>
        <v>48520</v>
      </c>
      <c r="F39" s="109" cm="1">
        <f t="array" ref="F39">SUM(VLOOKUP(I39:AF39,$AM$4:$AO$44,3,FALSE))</f>
        <v>0</v>
      </c>
      <c r="G39" s="109">
        <f>SUM($F$4:F39)+SUM($H$4:H39)</f>
        <v>7110</v>
      </c>
      <c r="H39" s="110">
        <v>0</v>
      </c>
      <c r="I39" s="110" t="s">
        <v>23</v>
      </c>
      <c r="J39" s="110" t="s">
        <v>23</v>
      </c>
      <c r="K39" s="110" t="s">
        <v>23</v>
      </c>
      <c r="L39" s="110" t="s">
        <v>23</v>
      </c>
      <c r="M39" s="110" t="s">
        <v>23</v>
      </c>
      <c r="N39" s="110" t="s">
        <v>23</v>
      </c>
      <c r="O39" s="111" t="s">
        <v>23</v>
      </c>
      <c r="P39" s="111" t="s">
        <v>23</v>
      </c>
      <c r="Q39" s="110" t="s">
        <v>23</v>
      </c>
      <c r="R39" s="110" t="s">
        <v>23</v>
      </c>
      <c r="S39" s="110" t="s">
        <v>23</v>
      </c>
      <c r="T39" s="110" t="s">
        <v>23</v>
      </c>
      <c r="U39" s="110" t="s">
        <v>23</v>
      </c>
      <c r="V39" s="110" t="s">
        <v>23</v>
      </c>
      <c r="W39" s="111" t="s">
        <v>23</v>
      </c>
      <c r="X39" s="111" t="s">
        <v>23</v>
      </c>
      <c r="Y39" s="110" t="s">
        <v>23</v>
      </c>
      <c r="Z39" s="110" t="s">
        <v>23</v>
      </c>
      <c r="AA39" s="110" t="s">
        <v>23</v>
      </c>
      <c r="AB39" s="110" t="s">
        <v>23</v>
      </c>
      <c r="AC39" s="110" t="s">
        <v>23</v>
      </c>
      <c r="AD39" s="110" t="s">
        <v>23</v>
      </c>
      <c r="AE39" s="111" t="s">
        <v>23</v>
      </c>
      <c r="AF39" s="111" t="s">
        <v>23</v>
      </c>
      <c r="AG39" s="94">
        <v>0</v>
      </c>
      <c r="AH39" s="112"/>
      <c r="AI39" s="112"/>
      <c r="AJ39" s="112"/>
      <c r="AK39" s="113" t="s">
        <v>31</v>
      </c>
      <c r="AL39" s="108"/>
      <c r="AM39" s="19" t="s">
        <v>69</v>
      </c>
      <c r="AN39" s="19"/>
      <c r="AO39" s="19">
        <v>4</v>
      </c>
      <c r="AP39" s="50"/>
      <c r="AQ39">
        <v>269</v>
      </c>
      <c r="AR39">
        <v>272</v>
      </c>
      <c r="AT39">
        <f t="shared" si="13"/>
        <v>29.110982162825422</v>
      </c>
    </row>
    <row r="40" spans="1:46">
      <c r="A40" s="121">
        <v>44583</v>
      </c>
      <c r="B40" s="110">
        <v>1600</v>
      </c>
      <c r="C40" s="110"/>
      <c r="D40" s="109" cm="1">
        <f t="array" ref="D40">(SUM(VLOOKUP(I40:AF40,$AM$4:$AO$44,2,FALSE))+AG40*10)*IF(AK40="是",$AY$4,$AY$3)</f>
        <v>0</v>
      </c>
      <c r="E40" s="57">
        <f>SUM($B$4:B40)+SUM($C$4:C40)-SUM($D$4:D40)</f>
        <v>50120</v>
      </c>
      <c r="F40" s="109" cm="1">
        <f t="array" ref="F40">SUM(VLOOKUP(I40:AF40,$AM$4:$AO$44,3,FALSE))</f>
        <v>0</v>
      </c>
      <c r="G40" s="109">
        <f>SUM($F$4:F40)+SUM($H$4:H40)</f>
        <v>7110</v>
      </c>
      <c r="H40" s="110">
        <v>0</v>
      </c>
      <c r="I40" s="110" t="s">
        <v>23</v>
      </c>
      <c r="J40" s="110" t="s">
        <v>23</v>
      </c>
      <c r="K40" s="110" t="s">
        <v>23</v>
      </c>
      <c r="L40" s="110" t="s">
        <v>23</v>
      </c>
      <c r="M40" s="110" t="s">
        <v>23</v>
      </c>
      <c r="N40" s="110" t="s">
        <v>23</v>
      </c>
      <c r="O40" s="111" t="s">
        <v>23</v>
      </c>
      <c r="P40" s="111" t="s">
        <v>23</v>
      </c>
      <c r="Q40" s="110" t="s">
        <v>23</v>
      </c>
      <c r="R40" s="110" t="s">
        <v>23</v>
      </c>
      <c r="S40" s="110" t="s">
        <v>23</v>
      </c>
      <c r="T40" s="110" t="s">
        <v>23</v>
      </c>
      <c r="U40" s="110" t="s">
        <v>23</v>
      </c>
      <c r="V40" s="110" t="s">
        <v>23</v>
      </c>
      <c r="W40" s="111" t="s">
        <v>23</v>
      </c>
      <c r="X40" s="111" t="s">
        <v>23</v>
      </c>
      <c r="Y40" s="110" t="s">
        <v>23</v>
      </c>
      <c r="Z40" s="110" t="s">
        <v>23</v>
      </c>
      <c r="AA40" s="110" t="s">
        <v>23</v>
      </c>
      <c r="AB40" s="110" t="s">
        <v>23</v>
      </c>
      <c r="AC40" s="110" t="s">
        <v>23</v>
      </c>
      <c r="AD40" s="110" t="s">
        <v>23</v>
      </c>
      <c r="AE40" s="111" t="s">
        <v>23</v>
      </c>
      <c r="AF40" s="111" t="s">
        <v>23</v>
      </c>
      <c r="AG40" s="94">
        <v>0</v>
      </c>
      <c r="AH40" s="112"/>
      <c r="AI40" s="112"/>
      <c r="AJ40" s="112"/>
      <c r="AK40" s="113" t="s">
        <v>31</v>
      </c>
      <c r="AL40" s="108"/>
      <c r="AM40" s="19" t="s">
        <v>70</v>
      </c>
      <c r="AN40" s="19"/>
      <c r="AO40" s="19">
        <v>3</v>
      </c>
      <c r="AP40" s="50"/>
      <c r="AQ40">
        <v>358</v>
      </c>
      <c r="AR40">
        <v>358</v>
      </c>
      <c r="AT40">
        <f t="shared" si="13"/>
        <v>0</v>
      </c>
    </row>
    <row r="41" spans="1:46">
      <c r="A41" s="121">
        <v>44584</v>
      </c>
      <c r="B41" s="110">
        <v>1600</v>
      </c>
      <c r="C41" s="110"/>
      <c r="D41" s="109" cm="1">
        <f t="array" ref="D41">(SUM(VLOOKUP(I41:AF41,$AM$4:$AO$44,2,FALSE))+AG41*10)*IF(AK41="是",$AY$4,$AY$3)</f>
        <v>0</v>
      </c>
      <c r="E41" s="57">
        <f>SUM($B$4:B41)+SUM($C$4:C41)-SUM($D$4:D41)</f>
        <v>51720</v>
      </c>
      <c r="F41" s="109" cm="1">
        <f t="array" ref="F41">SUM(VLOOKUP(I41:AF41,$AM$4:$AO$44,3,FALSE))</f>
        <v>0</v>
      </c>
      <c r="G41" s="109">
        <f>SUM($F$4:F41)+SUM($H$4:H41)</f>
        <v>7110</v>
      </c>
      <c r="H41" s="110">
        <v>0</v>
      </c>
      <c r="I41" s="110" t="s">
        <v>23</v>
      </c>
      <c r="J41" s="110" t="s">
        <v>23</v>
      </c>
      <c r="K41" s="110" t="s">
        <v>23</v>
      </c>
      <c r="L41" s="110" t="s">
        <v>23</v>
      </c>
      <c r="M41" s="110" t="s">
        <v>23</v>
      </c>
      <c r="N41" s="110" t="s">
        <v>23</v>
      </c>
      <c r="O41" s="111" t="s">
        <v>23</v>
      </c>
      <c r="P41" s="111" t="s">
        <v>23</v>
      </c>
      <c r="Q41" s="110" t="s">
        <v>23</v>
      </c>
      <c r="R41" s="110" t="s">
        <v>23</v>
      </c>
      <c r="S41" s="110" t="s">
        <v>23</v>
      </c>
      <c r="T41" s="110" t="s">
        <v>23</v>
      </c>
      <c r="U41" s="110" t="s">
        <v>23</v>
      </c>
      <c r="V41" s="110" t="s">
        <v>23</v>
      </c>
      <c r="W41" s="111" t="s">
        <v>23</v>
      </c>
      <c r="X41" s="111" t="s">
        <v>23</v>
      </c>
      <c r="Y41" s="110" t="s">
        <v>23</v>
      </c>
      <c r="Z41" s="110" t="s">
        <v>23</v>
      </c>
      <c r="AA41" s="110" t="s">
        <v>23</v>
      </c>
      <c r="AB41" s="110" t="s">
        <v>23</v>
      </c>
      <c r="AC41" s="110" t="s">
        <v>23</v>
      </c>
      <c r="AD41" s="110" t="s">
        <v>23</v>
      </c>
      <c r="AE41" s="111" t="s">
        <v>23</v>
      </c>
      <c r="AF41" s="111" t="s">
        <v>23</v>
      </c>
      <c r="AG41" s="94">
        <v>0</v>
      </c>
      <c r="AH41" s="112"/>
      <c r="AI41" s="112"/>
      <c r="AJ41" s="112"/>
      <c r="AK41" s="113" t="s">
        <v>31</v>
      </c>
      <c r="AL41" s="108"/>
      <c r="AM41" s="19"/>
      <c r="AN41" s="19"/>
      <c r="AO41" s="19"/>
      <c r="AP41" s="50"/>
      <c r="AQ41">
        <f>SUM(AQ37:AQ40)</f>
        <v>1057</v>
      </c>
      <c r="AR41">
        <f>SUM(AR37:AR40)</f>
        <v>1061</v>
      </c>
      <c r="AT41">
        <f t="shared" si="13"/>
        <v>0</v>
      </c>
    </row>
    <row r="42" spans="1:46">
      <c r="A42" s="121">
        <v>44585</v>
      </c>
      <c r="B42" s="109">
        <v>1600</v>
      </c>
      <c r="C42" s="109"/>
      <c r="D42" s="109" cm="1">
        <f t="array" ref="D42">(SUM(VLOOKUP(I42:AF42,$AM$4:$AO$44,2,FALSE))+AG42*10)*IF(AK42="是",$AY$4,$AY$3)</f>
        <v>0</v>
      </c>
      <c r="E42" s="57">
        <f>SUM($B$4:B42)+SUM($C$4:C42)-SUM($D$4:D42)</f>
        <v>53320</v>
      </c>
      <c r="F42" s="109" cm="1">
        <f t="array" ref="F42">SUM(VLOOKUP(I42:AF42,$AM$4:$AO$44,3,FALSE))</f>
        <v>0</v>
      </c>
      <c r="G42" s="109">
        <f>SUM($F$4:F42)+SUM($H$4:H42)</f>
        <v>7410</v>
      </c>
      <c r="H42" s="109">
        <v>300</v>
      </c>
      <c r="I42" s="110" t="s">
        <v>23</v>
      </c>
      <c r="J42" s="110" t="s">
        <v>23</v>
      </c>
      <c r="K42" s="110" t="s">
        <v>23</v>
      </c>
      <c r="L42" s="110" t="s">
        <v>23</v>
      </c>
      <c r="M42" s="110" t="s">
        <v>23</v>
      </c>
      <c r="N42" s="110" t="s">
        <v>23</v>
      </c>
      <c r="O42" s="111" t="s">
        <v>23</v>
      </c>
      <c r="P42" s="111" t="s">
        <v>23</v>
      </c>
      <c r="Q42" s="110" t="s">
        <v>23</v>
      </c>
      <c r="R42" s="110" t="s">
        <v>23</v>
      </c>
      <c r="S42" s="110" t="s">
        <v>23</v>
      </c>
      <c r="T42" s="110" t="s">
        <v>23</v>
      </c>
      <c r="U42" s="110" t="s">
        <v>23</v>
      </c>
      <c r="V42" s="110" t="s">
        <v>23</v>
      </c>
      <c r="W42" s="111" t="s">
        <v>23</v>
      </c>
      <c r="X42" s="111" t="s">
        <v>23</v>
      </c>
      <c r="Y42" s="110" t="s">
        <v>23</v>
      </c>
      <c r="Z42" s="110" t="s">
        <v>23</v>
      </c>
      <c r="AA42" s="110" t="s">
        <v>23</v>
      </c>
      <c r="AB42" s="110" t="s">
        <v>23</v>
      </c>
      <c r="AC42" s="110" t="s">
        <v>23</v>
      </c>
      <c r="AD42" s="110" t="s">
        <v>23</v>
      </c>
      <c r="AE42" s="111" t="s">
        <v>23</v>
      </c>
      <c r="AF42" s="111" t="s">
        <v>23</v>
      </c>
      <c r="AG42" s="94">
        <v>0</v>
      </c>
      <c r="AH42" s="112"/>
      <c r="AI42" s="112"/>
      <c r="AJ42" s="112"/>
      <c r="AK42" s="113" t="s">
        <v>31</v>
      </c>
      <c r="AL42" s="108"/>
      <c r="AM42" s="19"/>
      <c r="AN42" s="19"/>
      <c r="AO42" s="19"/>
      <c r="AP42" s="50"/>
      <c r="AT42">
        <f t="shared" si="13"/>
        <v>0</v>
      </c>
    </row>
    <row r="43" spans="1:46">
      <c r="A43" s="121">
        <v>44586</v>
      </c>
      <c r="B43" s="109">
        <v>1600</v>
      </c>
      <c r="C43" s="109"/>
      <c r="D43" s="109" cm="1">
        <f t="array" ref="D43">(SUM(VLOOKUP(I43:AF43,$AM$4:$AO$44,2,FALSE))+AG43*10)*IF(AK43="是",$AY$4,$AY$3)</f>
        <v>0</v>
      </c>
      <c r="E43" s="57">
        <f>SUM($B$4:B43)+SUM($C$4:C43)-SUM($D$4:D43)</f>
        <v>54920</v>
      </c>
      <c r="F43" s="109" cm="1">
        <f t="array" ref="F43">SUM(VLOOKUP(I43:AF43,$AM$4:$AO$44,3,FALSE))</f>
        <v>0</v>
      </c>
      <c r="G43" s="109">
        <f>SUM($F$4:F43)+SUM($H$4:H43)</f>
        <v>7410</v>
      </c>
      <c r="H43" s="109">
        <v>0</v>
      </c>
      <c r="I43" s="110" t="s">
        <v>23</v>
      </c>
      <c r="J43" s="110" t="s">
        <v>23</v>
      </c>
      <c r="K43" s="110" t="s">
        <v>23</v>
      </c>
      <c r="L43" s="110" t="s">
        <v>23</v>
      </c>
      <c r="M43" s="110" t="s">
        <v>23</v>
      </c>
      <c r="N43" s="110" t="s">
        <v>23</v>
      </c>
      <c r="O43" s="111" t="s">
        <v>23</v>
      </c>
      <c r="P43" s="111" t="s">
        <v>23</v>
      </c>
      <c r="Q43" s="110" t="s">
        <v>23</v>
      </c>
      <c r="R43" s="110" t="s">
        <v>23</v>
      </c>
      <c r="S43" s="110" t="s">
        <v>23</v>
      </c>
      <c r="T43" s="110" t="s">
        <v>23</v>
      </c>
      <c r="U43" s="110" t="s">
        <v>23</v>
      </c>
      <c r="V43" s="110" t="s">
        <v>23</v>
      </c>
      <c r="W43" s="111" t="s">
        <v>23</v>
      </c>
      <c r="X43" s="111" t="s">
        <v>23</v>
      </c>
      <c r="Y43" s="110" t="s">
        <v>23</v>
      </c>
      <c r="Z43" s="110" t="s">
        <v>23</v>
      </c>
      <c r="AA43" s="110" t="s">
        <v>23</v>
      </c>
      <c r="AB43" s="110" t="s">
        <v>23</v>
      </c>
      <c r="AC43" s="110" t="s">
        <v>23</v>
      </c>
      <c r="AD43" s="110" t="s">
        <v>23</v>
      </c>
      <c r="AE43" s="111" t="s">
        <v>23</v>
      </c>
      <c r="AF43" s="111" t="s">
        <v>23</v>
      </c>
      <c r="AG43" s="94">
        <v>0</v>
      </c>
      <c r="AH43" s="112"/>
      <c r="AI43" s="112"/>
      <c r="AJ43" s="112"/>
      <c r="AK43" s="113" t="s">
        <v>31</v>
      </c>
      <c r="AL43" s="108"/>
      <c r="AM43" s="19"/>
      <c r="AN43" s="19"/>
      <c r="AO43" s="19"/>
      <c r="AP43" s="50"/>
      <c r="AT43">
        <f t="shared" si="13"/>
        <v>0</v>
      </c>
    </row>
    <row r="44" spans="1:46">
      <c r="A44" s="121">
        <v>44587</v>
      </c>
      <c r="B44" s="109">
        <v>1600</v>
      </c>
      <c r="C44" s="109"/>
      <c r="D44" s="109" cm="1">
        <f t="array" ref="D44">(SUM(VLOOKUP(I44:AF44,$AM$4:$AO$44,2,FALSE))+AG44*10)*IF(AK44="是",$AY$4,$AY$3)</f>
        <v>0</v>
      </c>
      <c r="E44" s="57">
        <f>SUM($B$4:B44)+SUM($C$4:C44)-SUM($D$4:D44)</f>
        <v>56520</v>
      </c>
      <c r="F44" s="109" cm="1">
        <f t="array" ref="F44">SUM(VLOOKUP(I44:AF44,$AM$4:$AO$44,3,FALSE))</f>
        <v>0</v>
      </c>
      <c r="G44" s="109">
        <f>SUM($F$4:F44)+SUM($H$4:H44)</f>
        <v>7610</v>
      </c>
      <c r="H44" s="109">
        <v>200</v>
      </c>
      <c r="I44" s="110" t="s">
        <v>23</v>
      </c>
      <c r="J44" s="110" t="s">
        <v>23</v>
      </c>
      <c r="K44" s="110" t="s">
        <v>23</v>
      </c>
      <c r="L44" s="110" t="s">
        <v>23</v>
      </c>
      <c r="M44" s="110" t="s">
        <v>23</v>
      </c>
      <c r="N44" s="110" t="s">
        <v>23</v>
      </c>
      <c r="O44" s="111" t="s">
        <v>23</v>
      </c>
      <c r="P44" s="111" t="s">
        <v>23</v>
      </c>
      <c r="Q44" s="110" t="s">
        <v>23</v>
      </c>
      <c r="R44" s="110" t="s">
        <v>23</v>
      </c>
      <c r="S44" s="110" t="s">
        <v>23</v>
      </c>
      <c r="T44" s="110" t="s">
        <v>23</v>
      </c>
      <c r="U44" s="110" t="s">
        <v>23</v>
      </c>
      <c r="V44" s="110" t="s">
        <v>23</v>
      </c>
      <c r="W44" s="111" t="s">
        <v>23</v>
      </c>
      <c r="X44" s="111" t="s">
        <v>23</v>
      </c>
      <c r="Y44" s="110" t="s">
        <v>23</v>
      </c>
      <c r="Z44" s="110" t="s">
        <v>23</v>
      </c>
      <c r="AA44" s="110" t="s">
        <v>23</v>
      </c>
      <c r="AB44" s="110" t="s">
        <v>23</v>
      </c>
      <c r="AC44" s="110" t="s">
        <v>23</v>
      </c>
      <c r="AD44" s="110" t="s">
        <v>23</v>
      </c>
      <c r="AE44" s="111" t="s">
        <v>23</v>
      </c>
      <c r="AF44" s="111" t="s">
        <v>23</v>
      </c>
      <c r="AG44" s="94">
        <v>0</v>
      </c>
      <c r="AH44" s="112"/>
      <c r="AI44" s="112"/>
      <c r="AJ44" s="112"/>
      <c r="AK44" s="113" t="s">
        <v>31</v>
      </c>
      <c r="AL44" s="108"/>
      <c r="AM44" s="19"/>
      <c r="AN44" s="19"/>
      <c r="AO44" s="19"/>
      <c r="AP44" s="50"/>
      <c r="AT44">
        <f t="shared" si="13"/>
        <v>0</v>
      </c>
    </row>
    <row r="45" spans="1:46">
      <c r="A45" s="121">
        <v>44588</v>
      </c>
      <c r="B45" s="109">
        <v>1600</v>
      </c>
      <c r="C45" s="109"/>
      <c r="D45" s="109" cm="1">
        <f t="array" ref="D45">(SUM(VLOOKUP(I45:AF45,$AM$4:$AO$44,2,FALSE))+AG45*10)*IF(AK45="是",$AY$4,$AY$3)</f>
        <v>0</v>
      </c>
      <c r="E45" s="57">
        <f>SUM($B$4:B45)+SUM($C$4:C45)-SUM($D$4:D45)</f>
        <v>58120</v>
      </c>
      <c r="F45" s="109" cm="1">
        <f t="array" ref="F45">SUM(VLOOKUP(I45:AF45,$AM$4:$AO$44,3,FALSE))</f>
        <v>0</v>
      </c>
      <c r="G45" s="109">
        <f>SUM($F$4:F45)+SUM($H$4:H45)</f>
        <v>7610</v>
      </c>
      <c r="H45" s="109">
        <v>0</v>
      </c>
      <c r="I45" s="110" t="s">
        <v>23</v>
      </c>
      <c r="J45" s="110" t="s">
        <v>23</v>
      </c>
      <c r="K45" s="110" t="s">
        <v>23</v>
      </c>
      <c r="L45" s="110" t="s">
        <v>23</v>
      </c>
      <c r="M45" s="110" t="s">
        <v>23</v>
      </c>
      <c r="N45" s="110" t="s">
        <v>23</v>
      </c>
      <c r="O45" s="111" t="s">
        <v>23</v>
      </c>
      <c r="P45" s="111" t="s">
        <v>23</v>
      </c>
      <c r="Q45" s="110" t="s">
        <v>23</v>
      </c>
      <c r="R45" s="110" t="s">
        <v>23</v>
      </c>
      <c r="S45" s="110" t="s">
        <v>23</v>
      </c>
      <c r="T45" s="110" t="s">
        <v>23</v>
      </c>
      <c r="U45" s="110" t="s">
        <v>23</v>
      </c>
      <c r="V45" s="110" t="s">
        <v>23</v>
      </c>
      <c r="W45" s="111" t="s">
        <v>23</v>
      </c>
      <c r="X45" s="111" t="s">
        <v>23</v>
      </c>
      <c r="Y45" s="110" t="s">
        <v>23</v>
      </c>
      <c r="Z45" s="110" t="s">
        <v>23</v>
      </c>
      <c r="AA45" s="110" t="s">
        <v>23</v>
      </c>
      <c r="AB45" s="110" t="s">
        <v>23</v>
      </c>
      <c r="AC45" s="110" t="s">
        <v>23</v>
      </c>
      <c r="AD45" s="110" t="s">
        <v>23</v>
      </c>
      <c r="AE45" s="111" t="s">
        <v>23</v>
      </c>
      <c r="AF45" s="111" t="s">
        <v>23</v>
      </c>
      <c r="AG45" s="94">
        <v>0</v>
      </c>
      <c r="AH45" s="112"/>
      <c r="AI45" s="112"/>
      <c r="AJ45" s="112"/>
      <c r="AK45" s="113" t="s">
        <v>31</v>
      </c>
      <c r="AL45" s="108"/>
      <c r="AT45">
        <f t="shared" si="13"/>
        <v>60</v>
      </c>
    </row>
    <row r="46" spans="1:46">
      <c r="A46" s="121">
        <v>44589</v>
      </c>
      <c r="B46" s="109">
        <v>1600</v>
      </c>
      <c r="C46" s="109"/>
      <c r="D46" s="109" cm="1">
        <f t="array" ref="D46">(SUM(VLOOKUP(I46:AF46,$AM$4:$AO$44,2,FALSE))+AG46*10)*IF(AK46="是",$AY$4,$AY$3)</f>
        <v>0</v>
      </c>
      <c r="E46" s="57">
        <f>SUM($B$4:B46)+SUM($C$4:C46)-SUM($D$4:D46)</f>
        <v>59720</v>
      </c>
      <c r="F46" s="109" cm="1">
        <f t="array" ref="F46">SUM(VLOOKUP(I46:AF46,$AM$4:$AO$44,3,FALSE))</f>
        <v>0</v>
      </c>
      <c r="G46" s="109">
        <f>SUM($F$4:F46)+SUM($H$4:H46)</f>
        <v>7610</v>
      </c>
      <c r="H46" s="109">
        <v>0</v>
      </c>
      <c r="I46" s="110" t="s">
        <v>23</v>
      </c>
      <c r="J46" s="110" t="s">
        <v>23</v>
      </c>
      <c r="K46" s="110" t="s">
        <v>23</v>
      </c>
      <c r="L46" s="110" t="s">
        <v>23</v>
      </c>
      <c r="M46" s="110" t="s">
        <v>23</v>
      </c>
      <c r="N46" s="110" t="s">
        <v>23</v>
      </c>
      <c r="O46" s="111" t="s">
        <v>23</v>
      </c>
      <c r="P46" s="111" t="s">
        <v>23</v>
      </c>
      <c r="Q46" s="110" t="s">
        <v>23</v>
      </c>
      <c r="R46" s="110" t="s">
        <v>23</v>
      </c>
      <c r="S46" s="110" t="s">
        <v>23</v>
      </c>
      <c r="T46" s="110" t="s">
        <v>23</v>
      </c>
      <c r="U46" s="110" t="s">
        <v>23</v>
      </c>
      <c r="V46" s="110" t="s">
        <v>23</v>
      </c>
      <c r="W46" s="111" t="s">
        <v>23</v>
      </c>
      <c r="X46" s="111" t="s">
        <v>23</v>
      </c>
      <c r="Y46" s="110" t="s">
        <v>23</v>
      </c>
      <c r="Z46" s="110" t="s">
        <v>23</v>
      </c>
      <c r="AA46" s="110" t="s">
        <v>23</v>
      </c>
      <c r="AB46" s="110" t="s">
        <v>23</v>
      </c>
      <c r="AC46" s="110" t="s">
        <v>23</v>
      </c>
      <c r="AD46" s="110" t="s">
        <v>23</v>
      </c>
      <c r="AE46" s="111" t="s">
        <v>23</v>
      </c>
      <c r="AF46" s="111" t="s">
        <v>23</v>
      </c>
      <c r="AG46" s="94">
        <v>0</v>
      </c>
      <c r="AH46" s="112"/>
      <c r="AI46" s="112"/>
      <c r="AJ46" s="112"/>
      <c r="AK46" s="113" t="s">
        <v>31</v>
      </c>
      <c r="AL46" s="108"/>
      <c r="AT46">
        <f t="shared" si="13"/>
        <v>30</v>
      </c>
    </row>
    <row r="47" spans="1:46">
      <c r="A47" s="121">
        <v>44590</v>
      </c>
      <c r="B47" s="109">
        <v>1600</v>
      </c>
      <c r="C47" s="109"/>
      <c r="D47" s="109" cm="1">
        <f t="array" ref="D47">(SUM(VLOOKUP(I47:AF47,$AM$4:$AO$44,2,FALSE))+AG47*10)*IF(AK47="是",$AY$4,$AY$3)</f>
        <v>0</v>
      </c>
      <c r="E47" s="57">
        <f>SUM($B$4:B47)+SUM($C$4:C47)-SUM($D$4:D47)</f>
        <v>61320</v>
      </c>
      <c r="F47" s="109" cm="1">
        <f t="array" ref="F47">SUM(VLOOKUP(I47:AF47,$AM$4:$AO$44,3,FALSE))</f>
        <v>0</v>
      </c>
      <c r="G47" s="109">
        <f>SUM($F$4:F47)+SUM($H$4:H47)</f>
        <v>7610</v>
      </c>
      <c r="H47" s="109">
        <v>0</v>
      </c>
      <c r="I47" s="110" t="s">
        <v>23</v>
      </c>
      <c r="J47" s="110" t="s">
        <v>23</v>
      </c>
      <c r="K47" s="110" t="s">
        <v>23</v>
      </c>
      <c r="L47" s="110" t="s">
        <v>23</v>
      </c>
      <c r="M47" s="110" t="s">
        <v>23</v>
      </c>
      <c r="N47" s="110" t="s">
        <v>23</v>
      </c>
      <c r="O47" s="111" t="s">
        <v>23</v>
      </c>
      <c r="P47" s="111" t="s">
        <v>23</v>
      </c>
      <c r="Q47" s="110" t="s">
        <v>23</v>
      </c>
      <c r="R47" s="110" t="s">
        <v>23</v>
      </c>
      <c r="S47" s="110" t="s">
        <v>23</v>
      </c>
      <c r="T47" s="110" t="s">
        <v>23</v>
      </c>
      <c r="U47" s="110" t="s">
        <v>23</v>
      </c>
      <c r="V47" s="110" t="s">
        <v>23</v>
      </c>
      <c r="W47" s="111" t="s">
        <v>23</v>
      </c>
      <c r="X47" s="111" t="s">
        <v>23</v>
      </c>
      <c r="Y47" s="110" t="s">
        <v>23</v>
      </c>
      <c r="Z47" s="110" t="s">
        <v>23</v>
      </c>
      <c r="AA47" s="110" t="s">
        <v>23</v>
      </c>
      <c r="AB47" s="110" t="s">
        <v>23</v>
      </c>
      <c r="AC47" s="110" t="s">
        <v>23</v>
      </c>
      <c r="AD47" s="110" t="s">
        <v>23</v>
      </c>
      <c r="AE47" s="111" t="s">
        <v>23</v>
      </c>
      <c r="AF47" s="111" t="s">
        <v>23</v>
      </c>
      <c r="AG47" s="94">
        <v>0</v>
      </c>
      <c r="AH47" s="112"/>
      <c r="AI47" s="112"/>
      <c r="AJ47" s="112"/>
      <c r="AK47" s="113" t="s">
        <v>31</v>
      </c>
      <c r="AL47" s="108"/>
      <c r="AT47">
        <f t="shared" si="13"/>
        <v>0</v>
      </c>
    </row>
    <row r="48" spans="1:46">
      <c r="A48" s="121">
        <v>44591</v>
      </c>
      <c r="B48" s="109">
        <v>1600</v>
      </c>
      <c r="C48" s="109"/>
      <c r="D48" s="109" cm="1">
        <f t="array" ref="D48">(SUM(VLOOKUP(I48:AF48,$AM$4:$AO$44,2,FALSE))+AG48*10)*IF(AK48="是",$AY$4,$AY$3)</f>
        <v>0</v>
      </c>
      <c r="E48" s="57">
        <f>SUM($B$4:B48)+SUM($C$4:C48)-SUM($D$4:D48)</f>
        <v>62920</v>
      </c>
      <c r="F48" s="109" cm="1">
        <f t="array" ref="F48">SUM(VLOOKUP(I48:AF48,$AM$4:$AO$44,3,FALSE))</f>
        <v>0</v>
      </c>
      <c r="G48" s="109">
        <f>SUM($F$4:F48)+SUM($H$4:H48)</f>
        <v>7610</v>
      </c>
      <c r="H48" s="109">
        <v>0</v>
      </c>
      <c r="I48" s="110" t="s">
        <v>23</v>
      </c>
      <c r="J48" s="110" t="s">
        <v>23</v>
      </c>
      <c r="K48" s="110" t="s">
        <v>23</v>
      </c>
      <c r="L48" s="110" t="s">
        <v>23</v>
      </c>
      <c r="M48" s="110" t="s">
        <v>23</v>
      </c>
      <c r="N48" s="110" t="s">
        <v>23</v>
      </c>
      <c r="O48" s="111" t="s">
        <v>23</v>
      </c>
      <c r="P48" s="111" t="s">
        <v>23</v>
      </c>
      <c r="Q48" s="110" t="s">
        <v>23</v>
      </c>
      <c r="R48" s="110" t="s">
        <v>23</v>
      </c>
      <c r="S48" s="110" t="s">
        <v>23</v>
      </c>
      <c r="T48" s="110" t="s">
        <v>23</v>
      </c>
      <c r="U48" s="110" t="s">
        <v>23</v>
      </c>
      <c r="V48" s="110" t="s">
        <v>23</v>
      </c>
      <c r="W48" s="111" t="s">
        <v>23</v>
      </c>
      <c r="X48" s="111" t="s">
        <v>23</v>
      </c>
      <c r="Y48" s="110" t="s">
        <v>23</v>
      </c>
      <c r="Z48" s="110" t="s">
        <v>23</v>
      </c>
      <c r="AA48" s="110" t="s">
        <v>23</v>
      </c>
      <c r="AB48" s="110" t="s">
        <v>23</v>
      </c>
      <c r="AC48" s="110" t="s">
        <v>23</v>
      </c>
      <c r="AD48" s="110" t="s">
        <v>23</v>
      </c>
      <c r="AE48" s="111" t="s">
        <v>23</v>
      </c>
      <c r="AF48" s="111" t="s">
        <v>23</v>
      </c>
      <c r="AG48" s="94">
        <v>0</v>
      </c>
      <c r="AH48" s="112"/>
      <c r="AI48" s="112"/>
      <c r="AJ48" s="112"/>
      <c r="AK48" s="113" t="s">
        <v>31</v>
      </c>
      <c r="AL48" s="108"/>
      <c r="AT48">
        <f t="shared" si="13"/>
        <v>0</v>
      </c>
    </row>
    <row r="49" spans="1:46">
      <c r="A49" s="121">
        <v>44592</v>
      </c>
      <c r="B49" s="110">
        <v>1600</v>
      </c>
      <c r="C49" s="110"/>
      <c r="D49" s="109" cm="1">
        <f t="array" ref="D49">(SUM(VLOOKUP(I49:AF49,$AM$4:$AO$44,2,FALSE))+AG49*10)*IF(AK49="是",$AY$4,$AY$3)</f>
        <v>0</v>
      </c>
      <c r="E49" s="57">
        <f>SUM($B$4:B49)+SUM($C$4:C49)-SUM($D$4:D49)</f>
        <v>64520</v>
      </c>
      <c r="F49" s="109" cm="1">
        <f t="array" ref="F49">SUM(VLOOKUP(I49:AF49,$AM$4:$AO$44,3,FALSE))</f>
        <v>0</v>
      </c>
      <c r="G49" s="109">
        <f>SUM($F$4:F49)+SUM($H$4:H49)</f>
        <v>7810</v>
      </c>
      <c r="H49" s="110">
        <v>200</v>
      </c>
      <c r="I49" s="110" t="s">
        <v>23</v>
      </c>
      <c r="J49" s="110" t="s">
        <v>23</v>
      </c>
      <c r="K49" s="110" t="s">
        <v>23</v>
      </c>
      <c r="L49" s="110" t="s">
        <v>23</v>
      </c>
      <c r="M49" s="110" t="s">
        <v>23</v>
      </c>
      <c r="N49" s="110" t="s">
        <v>23</v>
      </c>
      <c r="O49" s="111" t="s">
        <v>23</v>
      </c>
      <c r="P49" s="111" t="s">
        <v>23</v>
      </c>
      <c r="Q49" s="110" t="s">
        <v>23</v>
      </c>
      <c r="R49" s="110" t="s">
        <v>23</v>
      </c>
      <c r="S49" s="110" t="s">
        <v>23</v>
      </c>
      <c r="T49" s="110" t="s">
        <v>23</v>
      </c>
      <c r="U49" s="110" t="s">
        <v>23</v>
      </c>
      <c r="V49" s="110" t="s">
        <v>23</v>
      </c>
      <c r="W49" s="111" t="s">
        <v>23</v>
      </c>
      <c r="X49" s="111" t="s">
        <v>23</v>
      </c>
      <c r="Y49" s="110" t="s">
        <v>23</v>
      </c>
      <c r="Z49" s="110" t="s">
        <v>23</v>
      </c>
      <c r="AA49" s="110" t="s">
        <v>23</v>
      </c>
      <c r="AB49" s="110" t="s">
        <v>23</v>
      </c>
      <c r="AC49" s="110" t="s">
        <v>23</v>
      </c>
      <c r="AD49" s="110" t="s">
        <v>23</v>
      </c>
      <c r="AE49" s="111" t="s">
        <v>23</v>
      </c>
      <c r="AF49" s="111" t="s">
        <v>23</v>
      </c>
      <c r="AG49" s="94">
        <v>0</v>
      </c>
      <c r="AH49" s="112"/>
      <c r="AI49" s="112"/>
      <c r="AJ49" s="112"/>
      <c r="AK49" s="113" t="s">
        <v>31</v>
      </c>
      <c r="AL49" s="108"/>
      <c r="AT49">
        <f t="shared" si="13"/>
        <v>0</v>
      </c>
    </row>
    <row r="50" spans="1:46">
      <c r="A50" s="121">
        <v>44593</v>
      </c>
      <c r="B50" s="110">
        <v>1600</v>
      </c>
      <c r="C50" s="110"/>
      <c r="D50" s="109" cm="1">
        <f t="array" ref="D50">(SUM(VLOOKUP(I50:AF50,$AM$4:$AO$44,2,FALSE))+AG50*10)*IF(AK50="是",$AY$4,$AY$3)</f>
        <v>0</v>
      </c>
      <c r="E50" s="57">
        <f>SUM($B$4:B50)+SUM($C$4:C50)-SUM($D$4:D50)</f>
        <v>66120</v>
      </c>
      <c r="F50" s="109" cm="1">
        <f t="array" ref="F50">SUM(VLOOKUP(I50:AF50,$AM$4:$AO$44,3,FALSE))</f>
        <v>0</v>
      </c>
      <c r="G50" s="109">
        <f>SUM($F$4:F50)+SUM($H$4:H50)</f>
        <v>7910</v>
      </c>
      <c r="H50" s="110">
        <v>100</v>
      </c>
      <c r="I50" s="110" t="s">
        <v>23</v>
      </c>
      <c r="J50" s="110" t="s">
        <v>23</v>
      </c>
      <c r="K50" s="110" t="s">
        <v>23</v>
      </c>
      <c r="L50" s="110" t="s">
        <v>23</v>
      </c>
      <c r="M50" s="110" t="s">
        <v>23</v>
      </c>
      <c r="N50" s="110" t="s">
        <v>23</v>
      </c>
      <c r="O50" s="111" t="s">
        <v>23</v>
      </c>
      <c r="P50" s="111" t="s">
        <v>23</v>
      </c>
      <c r="Q50" s="110" t="s">
        <v>23</v>
      </c>
      <c r="R50" s="110" t="s">
        <v>23</v>
      </c>
      <c r="S50" s="110" t="s">
        <v>23</v>
      </c>
      <c r="T50" s="110" t="s">
        <v>23</v>
      </c>
      <c r="U50" s="110" t="s">
        <v>23</v>
      </c>
      <c r="V50" s="110" t="s">
        <v>23</v>
      </c>
      <c r="W50" s="111" t="s">
        <v>23</v>
      </c>
      <c r="X50" s="111" t="s">
        <v>23</v>
      </c>
      <c r="Y50" s="110" t="s">
        <v>23</v>
      </c>
      <c r="Z50" s="110" t="s">
        <v>23</v>
      </c>
      <c r="AA50" s="110" t="s">
        <v>23</v>
      </c>
      <c r="AB50" s="110" t="s">
        <v>23</v>
      </c>
      <c r="AC50" s="110" t="s">
        <v>23</v>
      </c>
      <c r="AD50" s="110" t="s">
        <v>23</v>
      </c>
      <c r="AE50" s="111" t="s">
        <v>23</v>
      </c>
      <c r="AF50" s="111" t="s">
        <v>23</v>
      </c>
      <c r="AG50" s="94">
        <v>0</v>
      </c>
      <c r="AH50" s="112"/>
      <c r="AI50" s="112"/>
      <c r="AJ50" s="112"/>
      <c r="AK50" s="113" t="s">
        <v>31</v>
      </c>
      <c r="AL50" s="108"/>
      <c r="AT50">
        <f t="shared" si="13"/>
        <v>0</v>
      </c>
    </row>
    <row r="51" spans="1:46">
      <c r="A51" s="121">
        <v>44594</v>
      </c>
      <c r="B51" s="110">
        <v>1600</v>
      </c>
      <c r="C51" s="110"/>
      <c r="D51" s="109" cm="1">
        <f t="array" ref="D51">(SUM(VLOOKUP(I51:AF51,$AM$4:$AO$44,2,FALSE))+AG51*10)*IF(AK51="是",$AY$4,$AY$3)</f>
        <v>0</v>
      </c>
      <c r="E51" s="57">
        <f>SUM($B$4:B51)+SUM($C$4:C51)-SUM($D$4:D51)</f>
        <v>67720</v>
      </c>
      <c r="F51" s="109" cm="1">
        <f t="array" ref="F51">SUM(VLOOKUP(I51:AF51,$AM$4:$AO$44,3,FALSE))</f>
        <v>0</v>
      </c>
      <c r="G51" s="109">
        <f>SUM($F$4:F51)+SUM($H$4:H51)</f>
        <v>8110</v>
      </c>
      <c r="H51" s="110">
        <v>200</v>
      </c>
      <c r="I51" s="110" t="s">
        <v>23</v>
      </c>
      <c r="J51" s="110" t="s">
        <v>23</v>
      </c>
      <c r="K51" s="110" t="s">
        <v>23</v>
      </c>
      <c r="L51" s="110" t="s">
        <v>23</v>
      </c>
      <c r="M51" s="110" t="s">
        <v>23</v>
      </c>
      <c r="N51" s="110" t="s">
        <v>23</v>
      </c>
      <c r="O51" s="111" t="s">
        <v>23</v>
      </c>
      <c r="P51" s="111" t="s">
        <v>23</v>
      </c>
      <c r="Q51" s="110" t="s">
        <v>23</v>
      </c>
      <c r="R51" s="110" t="s">
        <v>23</v>
      </c>
      <c r="S51" s="110" t="s">
        <v>23</v>
      </c>
      <c r="T51" s="110" t="s">
        <v>23</v>
      </c>
      <c r="U51" s="110" t="s">
        <v>23</v>
      </c>
      <c r="V51" s="110" t="s">
        <v>23</v>
      </c>
      <c r="W51" s="111" t="s">
        <v>23</v>
      </c>
      <c r="X51" s="111" t="s">
        <v>23</v>
      </c>
      <c r="Y51" s="110" t="s">
        <v>23</v>
      </c>
      <c r="Z51" s="110" t="s">
        <v>23</v>
      </c>
      <c r="AA51" s="110" t="s">
        <v>23</v>
      </c>
      <c r="AB51" s="110" t="s">
        <v>23</v>
      </c>
      <c r="AC51" s="110" t="s">
        <v>23</v>
      </c>
      <c r="AD51" s="110" t="s">
        <v>23</v>
      </c>
      <c r="AE51" s="111" t="s">
        <v>23</v>
      </c>
      <c r="AF51" s="111" t="s">
        <v>23</v>
      </c>
      <c r="AG51" s="94">
        <v>0</v>
      </c>
      <c r="AH51" s="112"/>
      <c r="AI51" s="112"/>
      <c r="AJ51" s="112"/>
      <c r="AK51" s="113" t="s">
        <v>31</v>
      </c>
      <c r="AL51" s="108"/>
      <c r="AT51">
        <f t="shared" si="13"/>
        <v>0</v>
      </c>
    </row>
    <row r="52" spans="1:46">
      <c r="A52" s="121">
        <v>44595</v>
      </c>
      <c r="B52" s="110">
        <v>1600</v>
      </c>
      <c r="C52" s="110"/>
      <c r="D52" s="109" cm="1">
        <f t="array" ref="D52">(SUM(VLOOKUP(I52:AF52,$AM$4:$AO$44,2,FALSE))+AG52*10)*IF(AK52="是",$AY$4,$AY$3)</f>
        <v>0</v>
      </c>
      <c r="E52" s="57">
        <f>SUM($B$4:B52)+SUM($C$4:C52)-SUM($D$4:D52)</f>
        <v>69320</v>
      </c>
      <c r="F52" s="109" cm="1">
        <f t="array" ref="F52">SUM(VLOOKUP(I52:AF52,$AM$4:$AO$44,3,FALSE))</f>
        <v>0</v>
      </c>
      <c r="G52" s="109">
        <f>SUM($F$4:F52)+SUM($H$4:H52)</f>
        <v>8110</v>
      </c>
      <c r="H52" s="110">
        <v>0</v>
      </c>
      <c r="I52" s="110" t="s">
        <v>23</v>
      </c>
      <c r="J52" s="110" t="s">
        <v>23</v>
      </c>
      <c r="K52" s="110" t="s">
        <v>23</v>
      </c>
      <c r="L52" s="110" t="s">
        <v>23</v>
      </c>
      <c r="M52" s="110" t="s">
        <v>23</v>
      </c>
      <c r="N52" s="110" t="s">
        <v>23</v>
      </c>
      <c r="O52" s="111" t="s">
        <v>23</v>
      </c>
      <c r="P52" s="111" t="s">
        <v>23</v>
      </c>
      <c r="Q52" s="110" t="s">
        <v>23</v>
      </c>
      <c r="R52" s="110" t="s">
        <v>23</v>
      </c>
      <c r="S52" s="110" t="s">
        <v>23</v>
      </c>
      <c r="T52" s="110" t="s">
        <v>23</v>
      </c>
      <c r="U52" s="110" t="s">
        <v>23</v>
      </c>
      <c r="V52" s="110" t="s">
        <v>23</v>
      </c>
      <c r="W52" s="111" t="s">
        <v>23</v>
      </c>
      <c r="X52" s="111" t="s">
        <v>23</v>
      </c>
      <c r="Y52" s="110" t="s">
        <v>23</v>
      </c>
      <c r="Z52" s="110" t="s">
        <v>23</v>
      </c>
      <c r="AA52" s="110" t="s">
        <v>23</v>
      </c>
      <c r="AB52" s="110" t="s">
        <v>23</v>
      </c>
      <c r="AC52" s="110" t="s">
        <v>23</v>
      </c>
      <c r="AD52" s="110" t="s">
        <v>23</v>
      </c>
      <c r="AE52" s="111" t="s">
        <v>23</v>
      </c>
      <c r="AF52" s="111" t="s">
        <v>23</v>
      </c>
      <c r="AG52" s="94">
        <v>0</v>
      </c>
      <c r="AH52" s="112"/>
      <c r="AI52" s="112"/>
      <c r="AJ52" s="112"/>
      <c r="AK52" s="113" t="s">
        <v>31</v>
      </c>
      <c r="AL52" s="108"/>
      <c r="AT52">
        <f t="shared" si="13"/>
        <v>0</v>
      </c>
    </row>
    <row r="53" spans="1:46">
      <c r="A53" s="121">
        <v>44596</v>
      </c>
      <c r="B53" s="110">
        <v>1600</v>
      </c>
      <c r="C53" s="110"/>
      <c r="D53" s="109" cm="1">
        <f t="array" ref="D53">(SUM(VLOOKUP(I53:AF53,$AM$4:$AO$44,2,FALSE))+AG53*10)*IF(AK53="是",$AY$4,$AY$3)</f>
        <v>0</v>
      </c>
      <c r="E53" s="57">
        <f>SUM($B$4:B53)+SUM($C$4:C53)-SUM($D$4:D53)</f>
        <v>70920</v>
      </c>
      <c r="F53" s="109" cm="1">
        <f t="array" ref="F53">SUM(VLOOKUP(I53:AF53,$AM$4:$AO$44,3,FALSE))</f>
        <v>0</v>
      </c>
      <c r="G53" s="109">
        <f>SUM($F$4:F53)+SUM($H$4:H53)</f>
        <v>8110</v>
      </c>
      <c r="H53" s="110">
        <v>0</v>
      </c>
      <c r="I53" s="110" t="s">
        <v>23</v>
      </c>
      <c r="J53" s="110" t="s">
        <v>23</v>
      </c>
      <c r="K53" s="110" t="s">
        <v>23</v>
      </c>
      <c r="L53" s="110" t="s">
        <v>23</v>
      </c>
      <c r="M53" s="110" t="s">
        <v>23</v>
      </c>
      <c r="N53" s="110" t="s">
        <v>23</v>
      </c>
      <c r="O53" s="111" t="s">
        <v>23</v>
      </c>
      <c r="P53" s="111" t="s">
        <v>23</v>
      </c>
      <c r="Q53" s="110" t="s">
        <v>23</v>
      </c>
      <c r="R53" s="110" t="s">
        <v>23</v>
      </c>
      <c r="S53" s="110" t="s">
        <v>23</v>
      </c>
      <c r="T53" s="110" t="s">
        <v>23</v>
      </c>
      <c r="U53" s="110" t="s">
        <v>23</v>
      </c>
      <c r="V53" s="110" t="s">
        <v>23</v>
      </c>
      <c r="W53" s="111" t="s">
        <v>23</v>
      </c>
      <c r="X53" s="111" t="s">
        <v>23</v>
      </c>
      <c r="Y53" s="110" t="s">
        <v>23</v>
      </c>
      <c r="Z53" s="110" t="s">
        <v>23</v>
      </c>
      <c r="AA53" s="110" t="s">
        <v>23</v>
      </c>
      <c r="AB53" s="110" t="s">
        <v>23</v>
      </c>
      <c r="AC53" s="110" t="s">
        <v>23</v>
      </c>
      <c r="AD53" s="110" t="s">
        <v>23</v>
      </c>
      <c r="AE53" s="111" t="s">
        <v>23</v>
      </c>
      <c r="AF53" s="111" t="s">
        <v>23</v>
      </c>
      <c r="AG53" s="94">
        <v>0</v>
      </c>
      <c r="AH53" s="112"/>
      <c r="AI53" s="112"/>
      <c r="AJ53" s="112"/>
      <c r="AK53" s="113" t="s">
        <v>31</v>
      </c>
      <c r="AL53" s="108"/>
      <c r="AT53">
        <f t="shared" si="13"/>
        <v>0</v>
      </c>
    </row>
    <row r="54" spans="1:46">
      <c r="A54" s="121">
        <v>44597</v>
      </c>
      <c r="B54" s="110">
        <v>1600</v>
      </c>
      <c r="C54" s="110"/>
      <c r="D54" s="109" cm="1">
        <f t="array" ref="D54">(SUM(VLOOKUP(I54:AF54,$AM$4:$AO$44,2,FALSE))+AG54*10)*IF(AK54="是",$AY$4,$AY$3)</f>
        <v>0</v>
      </c>
      <c r="E54" s="57">
        <f>SUM($B$4:B54)+SUM($C$4:C54)-SUM($D$4:D54)</f>
        <v>72520</v>
      </c>
      <c r="F54" s="109" cm="1">
        <f t="array" ref="F54">SUM(VLOOKUP(I54:AF54,$AM$4:$AO$44,3,FALSE))</f>
        <v>0</v>
      </c>
      <c r="G54" s="109">
        <f>SUM($F$4:F54)+SUM($H$4:H54)</f>
        <v>8110</v>
      </c>
      <c r="H54" s="110">
        <v>0</v>
      </c>
      <c r="I54" s="110" t="s">
        <v>23</v>
      </c>
      <c r="J54" s="110" t="s">
        <v>23</v>
      </c>
      <c r="K54" s="110" t="s">
        <v>23</v>
      </c>
      <c r="L54" s="110" t="s">
        <v>23</v>
      </c>
      <c r="M54" s="110" t="s">
        <v>23</v>
      </c>
      <c r="N54" s="110" t="s">
        <v>23</v>
      </c>
      <c r="O54" s="111" t="s">
        <v>23</v>
      </c>
      <c r="P54" s="111" t="s">
        <v>23</v>
      </c>
      <c r="Q54" s="110" t="s">
        <v>23</v>
      </c>
      <c r="R54" s="110" t="s">
        <v>23</v>
      </c>
      <c r="S54" s="110" t="s">
        <v>23</v>
      </c>
      <c r="T54" s="110" t="s">
        <v>23</v>
      </c>
      <c r="U54" s="110" t="s">
        <v>23</v>
      </c>
      <c r="V54" s="110" t="s">
        <v>23</v>
      </c>
      <c r="W54" s="111" t="s">
        <v>23</v>
      </c>
      <c r="X54" s="111" t="s">
        <v>23</v>
      </c>
      <c r="Y54" s="110" t="s">
        <v>23</v>
      </c>
      <c r="Z54" s="110" t="s">
        <v>23</v>
      </c>
      <c r="AA54" s="110" t="s">
        <v>23</v>
      </c>
      <c r="AB54" s="110" t="s">
        <v>23</v>
      </c>
      <c r="AC54" s="110" t="s">
        <v>23</v>
      </c>
      <c r="AD54" s="110" t="s">
        <v>23</v>
      </c>
      <c r="AE54" s="111" t="s">
        <v>23</v>
      </c>
      <c r="AF54" s="111" t="s">
        <v>23</v>
      </c>
      <c r="AG54" s="94">
        <v>0</v>
      </c>
      <c r="AH54" s="112"/>
      <c r="AI54" s="112"/>
      <c r="AJ54" s="112"/>
      <c r="AK54" s="113" t="s">
        <v>31</v>
      </c>
      <c r="AL54" s="108"/>
      <c r="AT54">
        <f t="shared" si="13"/>
        <v>0</v>
      </c>
    </row>
    <row r="55" spans="1:46">
      <c r="A55" s="121">
        <v>44598</v>
      </c>
      <c r="B55" s="110">
        <v>1600</v>
      </c>
      <c r="C55" s="110"/>
      <c r="D55" s="109" cm="1">
        <f t="array" ref="D55">(SUM(VLOOKUP(I55:AF55,$AM$4:$AO$44,2,FALSE))+AG55*10)*IF(AK55="是",$AY$4,$AY$3)</f>
        <v>0</v>
      </c>
      <c r="E55" s="57">
        <f>SUM($B$4:B55)+SUM($C$4:C55)-SUM($D$4:D55)</f>
        <v>74120</v>
      </c>
      <c r="F55" s="109" cm="1">
        <f t="array" ref="F55">SUM(VLOOKUP(I55:AF55,$AM$4:$AO$44,3,FALSE))</f>
        <v>0</v>
      </c>
      <c r="G55" s="109">
        <f>SUM($F$4:F55)+SUM($H$4:H55)</f>
        <v>8110</v>
      </c>
      <c r="H55" s="110">
        <v>0</v>
      </c>
      <c r="I55" s="110" t="s">
        <v>23</v>
      </c>
      <c r="J55" s="110" t="s">
        <v>23</v>
      </c>
      <c r="K55" s="110" t="s">
        <v>23</v>
      </c>
      <c r="L55" s="110" t="s">
        <v>23</v>
      </c>
      <c r="M55" s="110" t="s">
        <v>23</v>
      </c>
      <c r="N55" s="110" t="s">
        <v>23</v>
      </c>
      <c r="O55" s="111" t="s">
        <v>23</v>
      </c>
      <c r="P55" s="111" t="s">
        <v>23</v>
      </c>
      <c r="Q55" s="110" t="s">
        <v>23</v>
      </c>
      <c r="R55" s="110" t="s">
        <v>23</v>
      </c>
      <c r="S55" s="110" t="s">
        <v>23</v>
      </c>
      <c r="T55" s="110" t="s">
        <v>23</v>
      </c>
      <c r="U55" s="110" t="s">
        <v>23</v>
      </c>
      <c r="V55" s="110" t="s">
        <v>23</v>
      </c>
      <c r="W55" s="111" t="s">
        <v>23</v>
      </c>
      <c r="X55" s="111" t="s">
        <v>23</v>
      </c>
      <c r="Y55" s="110" t="s">
        <v>23</v>
      </c>
      <c r="Z55" s="110" t="s">
        <v>23</v>
      </c>
      <c r="AA55" s="110" t="s">
        <v>23</v>
      </c>
      <c r="AB55" s="110" t="s">
        <v>23</v>
      </c>
      <c r="AC55" s="110" t="s">
        <v>23</v>
      </c>
      <c r="AD55" s="110" t="s">
        <v>23</v>
      </c>
      <c r="AE55" s="111" t="s">
        <v>23</v>
      </c>
      <c r="AF55" s="111" t="s">
        <v>23</v>
      </c>
      <c r="AG55" s="94">
        <v>0</v>
      </c>
      <c r="AH55" s="112"/>
      <c r="AI55" s="112"/>
      <c r="AJ55" s="112"/>
      <c r="AK55" s="113" t="s">
        <v>31</v>
      </c>
      <c r="AL55" s="108"/>
      <c r="AT55">
        <f t="shared" si="13"/>
        <v>0</v>
      </c>
    </row>
    <row r="56" spans="1:46">
      <c r="A56" s="121">
        <v>44599</v>
      </c>
      <c r="B56" s="109">
        <v>1600</v>
      </c>
      <c r="C56" s="109"/>
      <c r="D56" s="109" cm="1">
        <f t="array" ref="D56">(SUM(VLOOKUP(I56:AF56,$AM$4:$AO$44,2,FALSE))+AG56*10)*IF(AK56="是",$AY$4,$AY$3)</f>
        <v>0</v>
      </c>
      <c r="E56" s="57">
        <f>SUM($B$4:B56)+SUM($C$4:C56)-SUM($D$4:D56)</f>
        <v>75720</v>
      </c>
      <c r="F56" s="109" cm="1">
        <f t="array" ref="F56">SUM(VLOOKUP(I56:AF56,$AM$4:$AO$44,3,FALSE))</f>
        <v>0</v>
      </c>
      <c r="G56" s="109">
        <f>SUM($F$4:F56)+SUM($H$4:H56)</f>
        <v>8410</v>
      </c>
      <c r="H56" s="109">
        <v>300</v>
      </c>
      <c r="I56" s="110" t="s">
        <v>23</v>
      </c>
      <c r="J56" s="110" t="s">
        <v>23</v>
      </c>
      <c r="K56" s="110" t="s">
        <v>23</v>
      </c>
      <c r="L56" s="110" t="s">
        <v>23</v>
      </c>
      <c r="M56" s="110" t="s">
        <v>23</v>
      </c>
      <c r="N56" s="110" t="s">
        <v>23</v>
      </c>
      <c r="O56" s="111" t="s">
        <v>23</v>
      </c>
      <c r="P56" s="111" t="s">
        <v>23</v>
      </c>
      <c r="Q56" s="110" t="s">
        <v>23</v>
      </c>
      <c r="R56" s="110" t="s">
        <v>23</v>
      </c>
      <c r="S56" s="110" t="s">
        <v>23</v>
      </c>
      <c r="T56" s="110" t="s">
        <v>23</v>
      </c>
      <c r="U56" s="110" t="s">
        <v>23</v>
      </c>
      <c r="V56" s="110" t="s">
        <v>23</v>
      </c>
      <c r="W56" s="111" t="s">
        <v>23</v>
      </c>
      <c r="X56" s="111" t="s">
        <v>23</v>
      </c>
      <c r="Y56" s="110" t="s">
        <v>23</v>
      </c>
      <c r="Z56" s="110" t="s">
        <v>23</v>
      </c>
      <c r="AA56" s="110" t="s">
        <v>23</v>
      </c>
      <c r="AB56" s="110" t="s">
        <v>23</v>
      </c>
      <c r="AC56" s="110" t="s">
        <v>23</v>
      </c>
      <c r="AD56" s="110" t="s">
        <v>23</v>
      </c>
      <c r="AE56" s="111" t="s">
        <v>23</v>
      </c>
      <c r="AF56" s="111" t="s">
        <v>23</v>
      </c>
      <c r="AG56" s="94">
        <v>0</v>
      </c>
      <c r="AH56" s="112"/>
      <c r="AI56" s="112"/>
      <c r="AJ56" s="112"/>
      <c r="AK56" s="113" t="s">
        <v>31</v>
      </c>
      <c r="AL56" s="108"/>
      <c r="AT56">
        <f t="shared" si="13"/>
        <v>0</v>
      </c>
    </row>
    <row r="57" spans="1:46">
      <c r="A57" s="121">
        <v>44600</v>
      </c>
      <c r="B57" s="109">
        <v>1600</v>
      </c>
      <c r="C57" s="109"/>
      <c r="D57" s="109" cm="1">
        <f t="array" ref="D57">(SUM(VLOOKUP(I57:AF57,$AM$4:$AO$44,2,FALSE))+AG57*10)*IF(AK57="是",$AY$4,$AY$3)</f>
        <v>0</v>
      </c>
      <c r="E57" s="57">
        <f>SUM($B$4:B57)+SUM($C$4:C57)-SUM($D$4:D57)</f>
        <v>77320</v>
      </c>
      <c r="F57" s="109" cm="1">
        <f t="array" ref="F57">SUM(VLOOKUP(I57:AF57,$AM$4:$AO$44,3,FALSE))</f>
        <v>0</v>
      </c>
      <c r="G57" s="109">
        <f>SUM($F$4:F57)+SUM($H$4:H57)</f>
        <v>8410</v>
      </c>
      <c r="H57" s="109">
        <v>0</v>
      </c>
      <c r="I57" s="110" t="s">
        <v>23</v>
      </c>
      <c r="J57" s="110" t="s">
        <v>23</v>
      </c>
      <c r="K57" s="110" t="s">
        <v>23</v>
      </c>
      <c r="L57" s="110" t="s">
        <v>23</v>
      </c>
      <c r="M57" s="110" t="s">
        <v>23</v>
      </c>
      <c r="N57" s="110" t="s">
        <v>23</v>
      </c>
      <c r="O57" s="111" t="s">
        <v>23</v>
      </c>
      <c r="P57" s="111" t="s">
        <v>23</v>
      </c>
      <c r="Q57" s="110" t="s">
        <v>23</v>
      </c>
      <c r="R57" s="110" t="s">
        <v>23</v>
      </c>
      <c r="S57" s="110" t="s">
        <v>23</v>
      </c>
      <c r="T57" s="110" t="s">
        <v>23</v>
      </c>
      <c r="U57" s="110" t="s">
        <v>23</v>
      </c>
      <c r="V57" s="110" t="s">
        <v>23</v>
      </c>
      <c r="W57" s="111" t="s">
        <v>23</v>
      </c>
      <c r="X57" s="111" t="s">
        <v>23</v>
      </c>
      <c r="Y57" s="115" t="s">
        <v>23</v>
      </c>
      <c r="Z57" s="115" t="s">
        <v>23</v>
      </c>
      <c r="AA57" s="115" t="s">
        <v>23</v>
      </c>
      <c r="AB57" s="115" t="s">
        <v>23</v>
      </c>
      <c r="AC57" s="115" t="s">
        <v>23</v>
      </c>
      <c r="AD57" s="115" t="s">
        <v>23</v>
      </c>
      <c r="AE57" s="116" t="s">
        <v>23</v>
      </c>
      <c r="AF57" s="116" t="s">
        <v>23</v>
      </c>
      <c r="AG57" s="94">
        <v>0</v>
      </c>
      <c r="AH57" s="112"/>
      <c r="AI57" s="112"/>
      <c r="AJ57" s="112"/>
      <c r="AK57" s="113" t="s">
        <v>31</v>
      </c>
      <c r="AL57" s="108"/>
      <c r="AT57">
        <f t="shared" si="13"/>
        <v>0</v>
      </c>
    </row>
    <row r="58" spans="1:46">
      <c r="A58" s="121">
        <v>44601</v>
      </c>
      <c r="B58" s="109">
        <v>1600</v>
      </c>
      <c r="C58" s="109"/>
      <c r="D58" s="109" cm="1">
        <f t="array" ref="D58">(SUM(VLOOKUP(I58:AF58,$AM$4:$AO$44,2,FALSE))+AG58*10)*IF(AK58="是",$AY$4,$AY$3)</f>
        <v>0</v>
      </c>
      <c r="E58" s="57">
        <f>SUM($B$4:B58)+SUM($C$4:C58)-SUM($D$4:D58)</f>
        <v>78920</v>
      </c>
      <c r="F58" s="109" cm="1">
        <f t="array" ref="F58">SUM(VLOOKUP(I58:AF58,$AM$4:$AO$44,3,FALSE))</f>
        <v>0</v>
      </c>
      <c r="G58" s="109">
        <f>SUM($F$4:F58)+SUM($H$4:H58)</f>
        <v>8610</v>
      </c>
      <c r="H58" s="109">
        <v>200</v>
      </c>
      <c r="I58" s="110" t="s">
        <v>23</v>
      </c>
      <c r="J58" s="110" t="s">
        <v>23</v>
      </c>
      <c r="K58" s="110" t="s">
        <v>23</v>
      </c>
      <c r="L58" s="110" t="s">
        <v>23</v>
      </c>
      <c r="M58" s="110" t="s">
        <v>23</v>
      </c>
      <c r="N58" s="110" t="s">
        <v>23</v>
      </c>
      <c r="O58" s="111" t="s">
        <v>23</v>
      </c>
      <c r="P58" s="111" t="s">
        <v>23</v>
      </c>
      <c r="Q58" s="110" t="s">
        <v>23</v>
      </c>
      <c r="R58" s="110" t="s">
        <v>23</v>
      </c>
      <c r="S58" s="110" t="s">
        <v>23</v>
      </c>
      <c r="T58" s="110" t="s">
        <v>23</v>
      </c>
      <c r="U58" s="110" t="s">
        <v>23</v>
      </c>
      <c r="V58" s="110" t="s">
        <v>23</v>
      </c>
      <c r="W58" s="111" t="s">
        <v>23</v>
      </c>
      <c r="X58" s="111" t="s">
        <v>23</v>
      </c>
      <c r="Y58" s="110" t="s">
        <v>23</v>
      </c>
      <c r="Z58" s="110" t="s">
        <v>23</v>
      </c>
      <c r="AA58" s="110" t="s">
        <v>23</v>
      </c>
      <c r="AB58" s="110" t="s">
        <v>23</v>
      </c>
      <c r="AC58" s="110" t="s">
        <v>23</v>
      </c>
      <c r="AD58" s="110" t="s">
        <v>23</v>
      </c>
      <c r="AE58" s="111" t="s">
        <v>23</v>
      </c>
      <c r="AF58" s="111" t="s">
        <v>23</v>
      </c>
      <c r="AG58" s="94">
        <v>0</v>
      </c>
      <c r="AH58" s="112"/>
      <c r="AI58" s="112"/>
      <c r="AJ58" s="112"/>
      <c r="AK58" s="113" t="s">
        <v>31</v>
      </c>
      <c r="AL58" s="108"/>
      <c r="AT58">
        <f t="shared" si="13"/>
        <v>0</v>
      </c>
    </row>
    <row r="59" spans="1:46">
      <c r="A59" s="121">
        <v>44602</v>
      </c>
      <c r="B59" s="109">
        <v>1600</v>
      </c>
      <c r="C59" s="109"/>
      <c r="D59" s="109" cm="1">
        <f t="array" ref="D59">(SUM(VLOOKUP(I59:AF59,$AM$4:$AO$44,2,FALSE))+AG59*10)*IF(AK59="是",$AY$4,$AY$3)</f>
        <v>0</v>
      </c>
      <c r="E59" s="57">
        <f>SUM($B$4:B59)+SUM($C$4:C59)-SUM($D$4:D59)</f>
        <v>80520</v>
      </c>
      <c r="F59" s="109" cm="1">
        <f t="array" ref="F59">SUM(VLOOKUP(I59:AF59,$AM$4:$AO$44,3,FALSE))</f>
        <v>0</v>
      </c>
      <c r="G59" s="109">
        <f>SUM($F$4:F59)+SUM($H$4:H59)</f>
        <v>8610</v>
      </c>
      <c r="H59" s="109">
        <v>0</v>
      </c>
      <c r="I59" s="110" t="s">
        <v>23</v>
      </c>
      <c r="J59" s="110" t="s">
        <v>23</v>
      </c>
      <c r="K59" s="110" t="s">
        <v>23</v>
      </c>
      <c r="L59" s="110" t="s">
        <v>23</v>
      </c>
      <c r="M59" s="110" t="s">
        <v>23</v>
      </c>
      <c r="N59" s="110" t="s">
        <v>23</v>
      </c>
      <c r="O59" s="111" t="s">
        <v>23</v>
      </c>
      <c r="P59" s="111" t="s">
        <v>23</v>
      </c>
      <c r="Q59" s="110" t="s">
        <v>23</v>
      </c>
      <c r="R59" s="110" t="s">
        <v>23</v>
      </c>
      <c r="S59" s="110" t="s">
        <v>23</v>
      </c>
      <c r="T59" s="110" t="s">
        <v>23</v>
      </c>
      <c r="U59" s="110" t="s">
        <v>23</v>
      </c>
      <c r="V59" s="110" t="s">
        <v>23</v>
      </c>
      <c r="W59" s="111" t="s">
        <v>23</v>
      </c>
      <c r="X59" s="111" t="s">
        <v>23</v>
      </c>
      <c r="Y59" s="110" t="s">
        <v>23</v>
      </c>
      <c r="Z59" s="110" t="s">
        <v>23</v>
      </c>
      <c r="AA59" s="110" t="s">
        <v>23</v>
      </c>
      <c r="AB59" s="110" t="s">
        <v>23</v>
      </c>
      <c r="AC59" s="110" t="s">
        <v>23</v>
      </c>
      <c r="AD59" s="110" t="s">
        <v>23</v>
      </c>
      <c r="AE59" s="111" t="s">
        <v>23</v>
      </c>
      <c r="AF59" s="111" t="s">
        <v>23</v>
      </c>
      <c r="AG59" s="94">
        <v>0</v>
      </c>
      <c r="AH59" s="112"/>
      <c r="AI59" s="112"/>
      <c r="AJ59" s="112"/>
      <c r="AK59" s="113" t="s">
        <v>31</v>
      </c>
      <c r="AL59" s="108"/>
      <c r="AT59">
        <f t="shared" si="13"/>
        <v>0</v>
      </c>
    </row>
    <row r="60" spans="1:46">
      <c r="A60" s="121">
        <v>44603</v>
      </c>
      <c r="B60" s="109">
        <v>1600</v>
      </c>
      <c r="C60" s="109"/>
      <c r="D60" s="109" cm="1">
        <f t="array" ref="D60">(SUM(VLOOKUP(I60:AF60,$AM$4:$AO$44,2,FALSE))+AG60*10)*IF(AK60="是",$AY$4,$AY$3)</f>
        <v>0</v>
      </c>
      <c r="E60" s="57">
        <f>SUM($B$4:B60)+SUM($C$4:C60)-SUM($D$4:D60)</f>
        <v>82120</v>
      </c>
      <c r="F60" s="109" cm="1">
        <f t="array" ref="F60">SUM(VLOOKUP(I60:AF60,$AM$4:$AO$44,3,FALSE))</f>
        <v>0</v>
      </c>
      <c r="G60" s="109">
        <f>SUM($F$4:F60)+SUM($H$4:H60)</f>
        <v>8610</v>
      </c>
      <c r="H60" s="109">
        <v>0</v>
      </c>
      <c r="I60" s="110" t="s">
        <v>23</v>
      </c>
      <c r="J60" s="110" t="s">
        <v>23</v>
      </c>
      <c r="K60" s="110" t="s">
        <v>23</v>
      </c>
      <c r="L60" s="110" t="s">
        <v>23</v>
      </c>
      <c r="M60" s="110" t="s">
        <v>23</v>
      </c>
      <c r="N60" s="110" t="s">
        <v>23</v>
      </c>
      <c r="O60" s="111" t="s">
        <v>23</v>
      </c>
      <c r="P60" s="111" t="s">
        <v>23</v>
      </c>
      <c r="Q60" s="110" t="s">
        <v>23</v>
      </c>
      <c r="R60" s="110" t="s">
        <v>23</v>
      </c>
      <c r="S60" s="110" t="s">
        <v>23</v>
      </c>
      <c r="T60" s="110" t="s">
        <v>23</v>
      </c>
      <c r="U60" s="110" t="s">
        <v>23</v>
      </c>
      <c r="V60" s="110" t="s">
        <v>23</v>
      </c>
      <c r="W60" s="111" t="s">
        <v>23</v>
      </c>
      <c r="X60" s="111" t="s">
        <v>23</v>
      </c>
      <c r="Y60" s="110" t="s">
        <v>23</v>
      </c>
      <c r="Z60" s="110" t="s">
        <v>23</v>
      </c>
      <c r="AA60" s="110" t="s">
        <v>23</v>
      </c>
      <c r="AB60" s="110" t="s">
        <v>23</v>
      </c>
      <c r="AC60" s="110" t="s">
        <v>23</v>
      </c>
      <c r="AD60" s="110" t="s">
        <v>23</v>
      </c>
      <c r="AE60" s="111" t="s">
        <v>23</v>
      </c>
      <c r="AF60" s="111" t="s">
        <v>23</v>
      </c>
      <c r="AG60" s="94">
        <v>0</v>
      </c>
      <c r="AH60" s="112"/>
      <c r="AI60" s="112"/>
      <c r="AJ60" s="112"/>
      <c r="AK60" s="113" t="s">
        <v>31</v>
      </c>
      <c r="AL60" s="108"/>
      <c r="AT60">
        <f t="shared" si="13"/>
        <v>0</v>
      </c>
    </row>
    <row r="61" spans="1:46">
      <c r="A61" s="121">
        <v>44604</v>
      </c>
      <c r="B61" s="109">
        <v>1600</v>
      </c>
      <c r="C61" s="109"/>
      <c r="D61" s="109" cm="1">
        <f t="array" ref="D61">(SUM(VLOOKUP(I61:AF61,$AM$4:$AO$44,2,FALSE))+AG61*10)*IF(AK61="是",$AY$4,$AY$3)</f>
        <v>0</v>
      </c>
      <c r="E61" s="57">
        <f>SUM($B$4:B61)+SUM($C$4:C61)-SUM($D$4:D61)</f>
        <v>83720</v>
      </c>
      <c r="F61" s="109" cm="1">
        <f t="array" ref="F61">SUM(VLOOKUP(I61:AF61,$AM$4:$AO$44,3,FALSE))</f>
        <v>0</v>
      </c>
      <c r="G61" s="109">
        <f>SUM($F$4:F61)+SUM($H$4:H61)</f>
        <v>8610</v>
      </c>
      <c r="H61" s="109">
        <v>0</v>
      </c>
      <c r="I61" s="110" t="s">
        <v>23</v>
      </c>
      <c r="J61" s="110" t="s">
        <v>23</v>
      </c>
      <c r="K61" s="110" t="s">
        <v>23</v>
      </c>
      <c r="L61" s="110" t="s">
        <v>23</v>
      </c>
      <c r="M61" s="110" t="s">
        <v>23</v>
      </c>
      <c r="N61" s="110" t="s">
        <v>23</v>
      </c>
      <c r="O61" s="111" t="s">
        <v>23</v>
      </c>
      <c r="P61" s="111" t="s">
        <v>23</v>
      </c>
      <c r="Q61" s="110" t="s">
        <v>23</v>
      </c>
      <c r="R61" s="110" t="s">
        <v>23</v>
      </c>
      <c r="S61" s="110" t="s">
        <v>23</v>
      </c>
      <c r="T61" s="110" t="s">
        <v>23</v>
      </c>
      <c r="U61" s="110" t="s">
        <v>23</v>
      </c>
      <c r="V61" s="110" t="s">
        <v>23</v>
      </c>
      <c r="W61" s="111" t="s">
        <v>23</v>
      </c>
      <c r="X61" s="111" t="s">
        <v>23</v>
      </c>
      <c r="Y61" s="110" t="s">
        <v>23</v>
      </c>
      <c r="Z61" s="110" t="s">
        <v>23</v>
      </c>
      <c r="AA61" s="110" t="s">
        <v>23</v>
      </c>
      <c r="AB61" s="110" t="s">
        <v>23</v>
      </c>
      <c r="AC61" s="110" t="s">
        <v>23</v>
      </c>
      <c r="AD61" s="110" t="s">
        <v>23</v>
      </c>
      <c r="AE61" s="111" t="s">
        <v>23</v>
      </c>
      <c r="AF61" s="111" t="s">
        <v>23</v>
      </c>
      <c r="AG61" s="94">
        <v>0</v>
      </c>
      <c r="AH61" s="112"/>
      <c r="AI61" s="112"/>
      <c r="AJ61" s="112"/>
      <c r="AK61" s="113" t="s">
        <v>31</v>
      </c>
      <c r="AL61" s="108"/>
      <c r="AT61">
        <f t="shared" si="13"/>
        <v>0</v>
      </c>
    </row>
    <row r="62" spans="1:46">
      <c r="A62" s="121">
        <v>44605</v>
      </c>
      <c r="B62" s="109">
        <v>1600</v>
      </c>
      <c r="C62" s="109"/>
      <c r="D62" s="109" cm="1">
        <f t="array" ref="D62">(SUM(VLOOKUP(I62:AF62,$AM$4:$AO$44,2,FALSE))+AG62*10)*IF(AK62="是",$AY$4,$AY$3)</f>
        <v>0</v>
      </c>
      <c r="E62" s="57">
        <f>SUM($B$4:B62)+SUM($C$4:C62)-SUM($D$4:D62)</f>
        <v>85320</v>
      </c>
      <c r="F62" s="109" cm="1">
        <f t="array" ref="F62">SUM(VLOOKUP(I62:AF62,$AM$4:$AO$44,3,FALSE))</f>
        <v>0</v>
      </c>
      <c r="G62" s="109">
        <f>SUM($F$4:F62)+SUM($H$4:H62)</f>
        <v>8610</v>
      </c>
      <c r="H62" s="109">
        <v>0</v>
      </c>
      <c r="I62" s="110" t="s">
        <v>23</v>
      </c>
      <c r="J62" s="110" t="s">
        <v>23</v>
      </c>
      <c r="K62" s="110" t="s">
        <v>23</v>
      </c>
      <c r="L62" s="110" t="s">
        <v>23</v>
      </c>
      <c r="M62" s="110" t="s">
        <v>23</v>
      </c>
      <c r="N62" s="110" t="s">
        <v>23</v>
      </c>
      <c r="O62" s="111" t="s">
        <v>23</v>
      </c>
      <c r="P62" s="111" t="s">
        <v>23</v>
      </c>
      <c r="Q62" s="110" t="s">
        <v>23</v>
      </c>
      <c r="R62" s="110" t="s">
        <v>23</v>
      </c>
      <c r="S62" s="110" t="s">
        <v>23</v>
      </c>
      <c r="T62" s="110" t="s">
        <v>23</v>
      </c>
      <c r="U62" s="110" t="s">
        <v>23</v>
      </c>
      <c r="V62" s="110" t="s">
        <v>23</v>
      </c>
      <c r="W62" s="111" t="s">
        <v>23</v>
      </c>
      <c r="X62" s="111" t="s">
        <v>23</v>
      </c>
      <c r="Y62" s="110" t="s">
        <v>23</v>
      </c>
      <c r="Z62" s="110" t="s">
        <v>23</v>
      </c>
      <c r="AA62" s="110" t="s">
        <v>23</v>
      </c>
      <c r="AB62" s="110" t="s">
        <v>23</v>
      </c>
      <c r="AC62" s="110" t="s">
        <v>23</v>
      </c>
      <c r="AD62" s="110" t="s">
        <v>23</v>
      </c>
      <c r="AE62" s="111" t="s">
        <v>23</v>
      </c>
      <c r="AF62" s="111" t="s">
        <v>23</v>
      </c>
      <c r="AG62" s="94">
        <v>0</v>
      </c>
      <c r="AH62" s="112"/>
      <c r="AI62" s="112"/>
      <c r="AJ62" s="112"/>
      <c r="AK62" s="113" t="s">
        <v>31</v>
      </c>
      <c r="AL62" s="108"/>
      <c r="AT62">
        <f t="shared" si="13"/>
        <v>0</v>
      </c>
    </row>
    <row r="63" spans="1:46">
      <c r="A63" s="121">
        <v>44606</v>
      </c>
      <c r="B63" s="110">
        <v>1600</v>
      </c>
      <c r="C63" s="110"/>
      <c r="D63" s="109" cm="1">
        <f t="array" ref="D63">(SUM(VLOOKUP(I63:AF63,$AM$4:$AO$44,2,FALSE))+AG63*10)*IF(AK63="是",$AY$4,$AY$3)</f>
        <v>0</v>
      </c>
      <c r="E63" s="57">
        <f>SUM($B$4:B63)+SUM($C$4:C63)-SUM($D$4:D63)</f>
        <v>86920</v>
      </c>
      <c r="F63" s="109" cm="1">
        <f t="array" ref="F63">SUM(VLOOKUP(I63:AF63,$AM$4:$AO$44,3,FALSE))</f>
        <v>0</v>
      </c>
      <c r="G63" s="109">
        <f>SUM($F$4:F63)+SUM($H$4:H63)</f>
        <v>8910</v>
      </c>
      <c r="H63" s="110">
        <v>300</v>
      </c>
      <c r="I63" s="110" t="s">
        <v>23</v>
      </c>
      <c r="J63" s="110" t="s">
        <v>23</v>
      </c>
      <c r="K63" s="110" t="s">
        <v>23</v>
      </c>
      <c r="L63" s="110" t="s">
        <v>23</v>
      </c>
      <c r="M63" s="110" t="s">
        <v>23</v>
      </c>
      <c r="N63" s="110" t="s">
        <v>23</v>
      </c>
      <c r="O63" s="111" t="s">
        <v>23</v>
      </c>
      <c r="P63" s="111" t="s">
        <v>23</v>
      </c>
      <c r="Q63" s="110" t="s">
        <v>23</v>
      </c>
      <c r="R63" s="110" t="s">
        <v>23</v>
      </c>
      <c r="S63" s="110" t="s">
        <v>23</v>
      </c>
      <c r="T63" s="110" t="s">
        <v>23</v>
      </c>
      <c r="U63" s="110" t="s">
        <v>23</v>
      </c>
      <c r="V63" s="110" t="s">
        <v>23</v>
      </c>
      <c r="W63" s="111" t="s">
        <v>23</v>
      </c>
      <c r="X63" s="111" t="s">
        <v>23</v>
      </c>
      <c r="Y63" s="110" t="s">
        <v>23</v>
      </c>
      <c r="Z63" s="110" t="s">
        <v>23</v>
      </c>
      <c r="AA63" s="110" t="s">
        <v>23</v>
      </c>
      <c r="AB63" s="110" t="s">
        <v>23</v>
      </c>
      <c r="AC63" s="110" t="s">
        <v>23</v>
      </c>
      <c r="AD63" s="110" t="s">
        <v>23</v>
      </c>
      <c r="AE63" s="111" t="s">
        <v>23</v>
      </c>
      <c r="AF63" s="111" t="s">
        <v>23</v>
      </c>
      <c r="AG63" s="94">
        <v>0</v>
      </c>
      <c r="AH63" s="112"/>
      <c r="AI63" s="112"/>
      <c r="AJ63" s="112"/>
      <c r="AK63" s="113" t="s">
        <v>31</v>
      </c>
      <c r="AL63" s="108"/>
      <c r="AT63">
        <f t="shared" si="13"/>
        <v>0</v>
      </c>
    </row>
    <row r="64" spans="1:46">
      <c r="A64" s="121">
        <v>44607</v>
      </c>
      <c r="B64" s="110">
        <v>1600</v>
      </c>
      <c r="C64" s="110"/>
      <c r="D64" s="109" cm="1">
        <f t="array" ref="D64">(SUM(VLOOKUP(I64:AF64,$AM$4:$AO$44,2,FALSE))+AG64*10)*IF(AK64="是",$AY$4,$AY$3)</f>
        <v>0</v>
      </c>
      <c r="E64" s="57">
        <f>SUM($B$4:B64)+SUM($C$4:C64)-SUM($D$4:D64)</f>
        <v>88520</v>
      </c>
      <c r="F64" s="109" cm="1">
        <f t="array" ref="F64">SUM(VLOOKUP(I64:AF64,$AM$4:$AO$44,3,FALSE))</f>
        <v>0</v>
      </c>
      <c r="G64" s="109">
        <f>SUM($F$4:F64)+SUM($H$4:H64)</f>
        <v>8910</v>
      </c>
      <c r="H64" s="110">
        <v>0</v>
      </c>
      <c r="I64" s="110" t="s">
        <v>23</v>
      </c>
      <c r="J64" s="110" t="s">
        <v>23</v>
      </c>
      <c r="K64" s="110" t="s">
        <v>23</v>
      </c>
      <c r="L64" s="110" t="s">
        <v>23</v>
      </c>
      <c r="M64" s="110" t="s">
        <v>23</v>
      </c>
      <c r="N64" s="110" t="s">
        <v>23</v>
      </c>
      <c r="O64" s="111" t="s">
        <v>23</v>
      </c>
      <c r="P64" s="111" t="s">
        <v>23</v>
      </c>
      <c r="Q64" s="110" t="s">
        <v>23</v>
      </c>
      <c r="R64" s="110" t="s">
        <v>23</v>
      </c>
      <c r="S64" s="110" t="s">
        <v>23</v>
      </c>
      <c r="T64" s="110" t="s">
        <v>23</v>
      </c>
      <c r="U64" s="110" t="s">
        <v>23</v>
      </c>
      <c r="V64" s="110" t="s">
        <v>23</v>
      </c>
      <c r="W64" s="111" t="s">
        <v>23</v>
      </c>
      <c r="X64" s="111" t="s">
        <v>23</v>
      </c>
      <c r="Y64" s="110" t="s">
        <v>23</v>
      </c>
      <c r="Z64" s="110" t="s">
        <v>23</v>
      </c>
      <c r="AA64" s="110" t="s">
        <v>23</v>
      </c>
      <c r="AB64" s="110" t="s">
        <v>23</v>
      </c>
      <c r="AC64" s="110" t="s">
        <v>23</v>
      </c>
      <c r="AD64" s="110" t="s">
        <v>23</v>
      </c>
      <c r="AE64" s="111" t="s">
        <v>23</v>
      </c>
      <c r="AF64" s="111" t="s">
        <v>23</v>
      </c>
      <c r="AG64" s="94">
        <v>0</v>
      </c>
      <c r="AH64" s="112"/>
      <c r="AI64" s="112"/>
      <c r="AJ64" s="112"/>
      <c r="AK64" s="113" t="s">
        <v>31</v>
      </c>
      <c r="AL64" s="108"/>
      <c r="AT64">
        <f t="shared" si="13"/>
        <v>0</v>
      </c>
    </row>
    <row r="65" spans="1:46">
      <c r="A65" s="121">
        <v>44608</v>
      </c>
      <c r="B65" s="110">
        <v>1600</v>
      </c>
      <c r="C65" s="110"/>
      <c r="D65" s="109" cm="1">
        <f t="array" ref="D65">(SUM(VLOOKUP(I65:AF65,$AM$4:$AO$44,2,FALSE))+AG65*10)*IF(AK65="是",$AY$4,$AY$3)</f>
        <v>0</v>
      </c>
      <c r="E65" s="57">
        <f>SUM($B$4:B65)+SUM($C$4:C65)-SUM($D$4:D65)</f>
        <v>90120</v>
      </c>
      <c r="F65" s="109" cm="1">
        <f t="array" ref="F65">SUM(VLOOKUP(I65:AF65,$AM$4:$AO$44,3,FALSE))</f>
        <v>0</v>
      </c>
      <c r="G65" s="109">
        <f>SUM($F$4:F65)+SUM($H$4:H65)</f>
        <v>9110</v>
      </c>
      <c r="H65" s="110">
        <v>200</v>
      </c>
      <c r="I65" s="110" t="s">
        <v>23</v>
      </c>
      <c r="J65" s="110" t="s">
        <v>23</v>
      </c>
      <c r="K65" s="110" t="s">
        <v>23</v>
      </c>
      <c r="L65" s="110" t="s">
        <v>23</v>
      </c>
      <c r="M65" s="110" t="s">
        <v>23</v>
      </c>
      <c r="N65" s="110" t="s">
        <v>23</v>
      </c>
      <c r="O65" s="111" t="s">
        <v>23</v>
      </c>
      <c r="P65" s="111" t="s">
        <v>23</v>
      </c>
      <c r="Q65" s="110" t="s">
        <v>23</v>
      </c>
      <c r="R65" s="110" t="s">
        <v>23</v>
      </c>
      <c r="S65" s="110" t="s">
        <v>23</v>
      </c>
      <c r="T65" s="110" t="s">
        <v>23</v>
      </c>
      <c r="U65" s="110" t="s">
        <v>23</v>
      </c>
      <c r="V65" s="110" t="s">
        <v>23</v>
      </c>
      <c r="W65" s="111" t="s">
        <v>23</v>
      </c>
      <c r="X65" s="111" t="s">
        <v>23</v>
      </c>
      <c r="Y65" s="110" t="s">
        <v>23</v>
      </c>
      <c r="Z65" s="110" t="s">
        <v>23</v>
      </c>
      <c r="AA65" s="110" t="s">
        <v>23</v>
      </c>
      <c r="AB65" s="110" t="s">
        <v>23</v>
      </c>
      <c r="AC65" s="110" t="s">
        <v>23</v>
      </c>
      <c r="AD65" s="110" t="s">
        <v>23</v>
      </c>
      <c r="AE65" s="111" t="s">
        <v>23</v>
      </c>
      <c r="AF65" s="111" t="s">
        <v>23</v>
      </c>
      <c r="AG65" s="94">
        <v>0</v>
      </c>
      <c r="AH65" s="112"/>
      <c r="AI65" s="112"/>
      <c r="AJ65" s="112"/>
      <c r="AK65" s="113" t="s">
        <v>31</v>
      </c>
      <c r="AL65" s="108"/>
      <c r="AT65">
        <f t="shared" si="13"/>
        <v>0</v>
      </c>
    </row>
    <row r="66" spans="1:46">
      <c r="A66" s="121">
        <v>44609</v>
      </c>
      <c r="B66" s="110">
        <v>1600</v>
      </c>
      <c r="C66" s="110"/>
      <c r="D66" s="109" cm="1">
        <f t="array" ref="D66">(SUM(VLOOKUP(I66:AF66,$AM$4:$AO$44,2,FALSE))+AG66*10)*IF(AK66="是",$AY$4,$AY$3)</f>
        <v>0</v>
      </c>
      <c r="E66" s="57">
        <f>SUM($B$4:B66)+SUM($C$4:C66)-SUM($D$4:D66)</f>
        <v>91720</v>
      </c>
      <c r="F66" s="109" cm="1">
        <f t="array" ref="F66">SUM(VLOOKUP(I66:AF66,$AM$4:$AO$44,3,FALSE))</f>
        <v>0</v>
      </c>
      <c r="G66" s="109">
        <f>SUM($F$4:F66)+SUM($H$4:H66)</f>
        <v>9110</v>
      </c>
      <c r="H66" s="110">
        <v>0</v>
      </c>
      <c r="I66" s="110" t="s">
        <v>23</v>
      </c>
      <c r="J66" s="110" t="s">
        <v>23</v>
      </c>
      <c r="K66" s="110" t="s">
        <v>23</v>
      </c>
      <c r="L66" s="110" t="s">
        <v>23</v>
      </c>
      <c r="M66" s="110" t="s">
        <v>23</v>
      </c>
      <c r="N66" s="110" t="s">
        <v>23</v>
      </c>
      <c r="O66" s="111" t="s">
        <v>23</v>
      </c>
      <c r="P66" s="111" t="s">
        <v>23</v>
      </c>
      <c r="Q66" s="110" t="s">
        <v>23</v>
      </c>
      <c r="R66" s="110" t="s">
        <v>23</v>
      </c>
      <c r="S66" s="110" t="s">
        <v>23</v>
      </c>
      <c r="T66" s="110" t="s">
        <v>23</v>
      </c>
      <c r="U66" s="110" t="s">
        <v>23</v>
      </c>
      <c r="V66" s="110" t="s">
        <v>23</v>
      </c>
      <c r="W66" s="111" t="s">
        <v>23</v>
      </c>
      <c r="X66" s="111" t="s">
        <v>23</v>
      </c>
      <c r="Y66" s="110" t="s">
        <v>23</v>
      </c>
      <c r="Z66" s="110" t="s">
        <v>23</v>
      </c>
      <c r="AA66" s="110" t="s">
        <v>23</v>
      </c>
      <c r="AB66" s="110" t="s">
        <v>23</v>
      </c>
      <c r="AC66" s="110" t="s">
        <v>23</v>
      </c>
      <c r="AD66" s="110" t="s">
        <v>23</v>
      </c>
      <c r="AE66" s="111" t="s">
        <v>23</v>
      </c>
      <c r="AF66" s="111" t="s">
        <v>23</v>
      </c>
      <c r="AG66" s="94">
        <v>0</v>
      </c>
      <c r="AH66" s="112"/>
      <c r="AI66" s="112"/>
      <c r="AJ66" s="112"/>
      <c r="AK66" s="113" t="s">
        <v>31</v>
      </c>
      <c r="AL66" s="108"/>
      <c r="AT66">
        <f t="shared" si="13"/>
        <v>0</v>
      </c>
    </row>
    <row r="67" spans="1:46">
      <c r="A67" s="121">
        <v>44610</v>
      </c>
      <c r="B67" s="110">
        <v>1600</v>
      </c>
      <c r="C67" s="110"/>
      <c r="D67" s="109" cm="1">
        <f t="array" ref="D67">(SUM(VLOOKUP(I67:AF67,$AM$4:$AO$44,2,FALSE))+AG67*10)*IF(AK67="是",$AY$4,$AY$3)</f>
        <v>0</v>
      </c>
      <c r="E67" s="57">
        <f>SUM($B$4:B67)+SUM($C$4:C67)-SUM($D$4:D67)</f>
        <v>93320</v>
      </c>
      <c r="F67" s="109" cm="1">
        <f t="array" ref="F67">SUM(VLOOKUP(I67:AF67,$AM$4:$AO$44,3,FALSE))</f>
        <v>0</v>
      </c>
      <c r="G67" s="109">
        <f>SUM($F$4:F67)+SUM($H$4:H67)</f>
        <v>9110</v>
      </c>
      <c r="H67" s="110">
        <v>0</v>
      </c>
      <c r="I67" s="110" t="s">
        <v>23</v>
      </c>
      <c r="J67" s="110" t="s">
        <v>23</v>
      </c>
      <c r="K67" s="110" t="s">
        <v>23</v>
      </c>
      <c r="L67" s="110" t="s">
        <v>23</v>
      </c>
      <c r="M67" s="110" t="s">
        <v>23</v>
      </c>
      <c r="N67" s="110" t="s">
        <v>23</v>
      </c>
      <c r="O67" s="111" t="s">
        <v>23</v>
      </c>
      <c r="P67" s="111" t="s">
        <v>23</v>
      </c>
      <c r="Q67" s="110" t="s">
        <v>23</v>
      </c>
      <c r="R67" s="110" t="s">
        <v>23</v>
      </c>
      <c r="S67" s="110" t="s">
        <v>23</v>
      </c>
      <c r="T67" s="110" t="s">
        <v>23</v>
      </c>
      <c r="U67" s="110" t="s">
        <v>23</v>
      </c>
      <c r="V67" s="110" t="s">
        <v>23</v>
      </c>
      <c r="W67" s="111" t="s">
        <v>23</v>
      </c>
      <c r="X67" s="111" t="s">
        <v>23</v>
      </c>
      <c r="Y67" s="110" t="s">
        <v>23</v>
      </c>
      <c r="Z67" s="110" t="s">
        <v>23</v>
      </c>
      <c r="AA67" s="110" t="s">
        <v>23</v>
      </c>
      <c r="AB67" s="110" t="s">
        <v>23</v>
      </c>
      <c r="AC67" s="110" t="s">
        <v>23</v>
      </c>
      <c r="AD67" s="110" t="s">
        <v>23</v>
      </c>
      <c r="AE67" s="111" t="s">
        <v>23</v>
      </c>
      <c r="AF67" s="111" t="s">
        <v>23</v>
      </c>
      <c r="AG67" s="94">
        <v>0</v>
      </c>
      <c r="AH67" s="112"/>
      <c r="AI67" s="112"/>
      <c r="AJ67" s="112"/>
      <c r="AK67" s="113" t="s">
        <v>31</v>
      </c>
      <c r="AL67" s="108"/>
      <c r="AT67">
        <f t="shared" si="13"/>
        <v>0</v>
      </c>
    </row>
    <row r="68" spans="1:46">
      <c r="A68" s="121">
        <v>44611</v>
      </c>
      <c r="B68" s="110">
        <v>1600</v>
      </c>
      <c r="C68" s="110"/>
      <c r="D68" s="109" cm="1">
        <f t="array" ref="D68">(SUM(VLOOKUP(I68:AF68,$AM$4:$AO$44,2,FALSE))+AG68*10)*IF(AK68="是",$AY$4,$AY$3)</f>
        <v>0</v>
      </c>
      <c r="E68" s="57">
        <f>SUM($B$4:B68)+SUM($C$4:C68)-SUM($D$4:D68)</f>
        <v>94920</v>
      </c>
      <c r="F68" s="109" cm="1">
        <f t="array" ref="F68">SUM(VLOOKUP(I68:AF68,$AM$4:$AO$44,3,FALSE))</f>
        <v>0</v>
      </c>
      <c r="G68" s="109">
        <f>SUM($F$4:F68)+SUM($H$4:H68)</f>
        <v>9110</v>
      </c>
      <c r="H68" s="110">
        <v>0</v>
      </c>
      <c r="I68" s="110" t="s">
        <v>23</v>
      </c>
      <c r="J68" s="110" t="s">
        <v>23</v>
      </c>
      <c r="K68" s="110" t="s">
        <v>23</v>
      </c>
      <c r="L68" s="110" t="s">
        <v>23</v>
      </c>
      <c r="M68" s="110" t="s">
        <v>23</v>
      </c>
      <c r="N68" s="110" t="s">
        <v>23</v>
      </c>
      <c r="O68" s="111" t="s">
        <v>23</v>
      </c>
      <c r="P68" s="111" t="s">
        <v>23</v>
      </c>
      <c r="Q68" s="110" t="s">
        <v>23</v>
      </c>
      <c r="R68" s="110" t="s">
        <v>23</v>
      </c>
      <c r="S68" s="110" t="s">
        <v>23</v>
      </c>
      <c r="T68" s="110" t="s">
        <v>23</v>
      </c>
      <c r="U68" s="110" t="s">
        <v>23</v>
      </c>
      <c r="V68" s="110" t="s">
        <v>23</v>
      </c>
      <c r="W68" s="111" t="s">
        <v>23</v>
      </c>
      <c r="X68" s="111" t="s">
        <v>23</v>
      </c>
      <c r="Y68" s="110" t="s">
        <v>23</v>
      </c>
      <c r="Z68" s="110" t="s">
        <v>23</v>
      </c>
      <c r="AA68" s="110" t="s">
        <v>23</v>
      </c>
      <c r="AB68" s="110" t="s">
        <v>23</v>
      </c>
      <c r="AC68" s="110" t="s">
        <v>23</v>
      </c>
      <c r="AD68" s="110" t="s">
        <v>23</v>
      </c>
      <c r="AE68" s="111" t="s">
        <v>23</v>
      </c>
      <c r="AF68" s="111" t="s">
        <v>23</v>
      </c>
      <c r="AG68" s="94">
        <v>0</v>
      </c>
      <c r="AH68" s="112"/>
      <c r="AI68" s="112"/>
      <c r="AJ68" s="112"/>
      <c r="AK68" s="113" t="s">
        <v>31</v>
      </c>
      <c r="AL68" s="108"/>
      <c r="AT68">
        <f t="shared" si="13"/>
        <v>0</v>
      </c>
    </row>
    <row r="69" spans="1:46">
      <c r="A69" s="121">
        <v>44612</v>
      </c>
      <c r="B69" s="110">
        <v>1600</v>
      </c>
      <c r="C69" s="110"/>
      <c r="D69" s="109" cm="1">
        <f t="array" ref="D69">(SUM(VLOOKUP(I69:AF69,$AM$4:$AO$44,2,FALSE))+AG69*10)*IF(AK69="是",$AY$4,$AY$3)</f>
        <v>0</v>
      </c>
      <c r="E69" s="57">
        <f>SUM($B$4:B69)+SUM($C$4:C69)-SUM($D$4:D69)</f>
        <v>96520</v>
      </c>
      <c r="F69" s="109" cm="1">
        <f t="array" ref="F69">SUM(VLOOKUP(I69:AF69,$AM$4:$AO$44,3,FALSE))</f>
        <v>0</v>
      </c>
      <c r="G69" s="109">
        <f>SUM($F$4:F69)+SUM($H$4:H69)</f>
        <v>9110</v>
      </c>
      <c r="H69" s="110">
        <v>0</v>
      </c>
      <c r="I69" s="110" t="s">
        <v>23</v>
      </c>
      <c r="J69" s="110" t="s">
        <v>23</v>
      </c>
      <c r="K69" s="110" t="s">
        <v>23</v>
      </c>
      <c r="L69" s="110" t="s">
        <v>23</v>
      </c>
      <c r="M69" s="110" t="s">
        <v>23</v>
      </c>
      <c r="N69" s="110" t="s">
        <v>23</v>
      </c>
      <c r="O69" s="111" t="s">
        <v>23</v>
      </c>
      <c r="P69" s="111" t="s">
        <v>23</v>
      </c>
      <c r="Q69" s="110" t="s">
        <v>23</v>
      </c>
      <c r="R69" s="110" t="s">
        <v>23</v>
      </c>
      <c r="S69" s="110" t="s">
        <v>23</v>
      </c>
      <c r="T69" s="110" t="s">
        <v>23</v>
      </c>
      <c r="U69" s="110" t="s">
        <v>23</v>
      </c>
      <c r="V69" s="110" t="s">
        <v>23</v>
      </c>
      <c r="W69" s="111" t="s">
        <v>23</v>
      </c>
      <c r="X69" s="111" t="s">
        <v>23</v>
      </c>
      <c r="Y69" s="110" t="s">
        <v>23</v>
      </c>
      <c r="Z69" s="110" t="s">
        <v>23</v>
      </c>
      <c r="AA69" s="110" t="s">
        <v>23</v>
      </c>
      <c r="AB69" s="110" t="s">
        <v>23</v>
      </c>
      <c r="AC69" s="110" t="s">
        <v>23</v>
      </c>
      <c r="AD69" s="110" t="s">
        <v>23</v>
      </c>
      <c r="AE69" s="111" t="s">
        <v>23</v>
      </c>
      <c r="AF69" s="111" t="s">
        <v>23</v>
      </c>
      <c r="AG69" s="94">
        <v>0</v>
      </c>
      <c r="AH69" s="112"/>
      <c r="AI69" s="112"/>
      <c r="AJ69" s="112"/>
      <c r="AK69" s="113" t="s">
        <v>31</v>
      </c>
      <c r="AL69" s="108"/>
      <c r="AT69">
        <f t="shared" si="13"/>
        <v>0</v>
      </c>
    </row>
    <row r="70" spans="1:46">
      <c r="A70" s="121">
        <v>44613</v>
      </c>
      <c r="B70" s="109">
        <v>1600</v>
      </c>
      <c r="C70" s="109"/>
      <c r="D70" s="109" cm="1">
        <f t="array" ref="D70">(SUM(VLOOKUP(I70:AF70,$AM$4:$AO$44,2,FALSE))+AG70*10)*IF(AK70="是",$AY$4,$AY$3)</f>
        <v>0</v>
      </c>
      <c r="E70" s="57">
        <f>SUM($B$4:B70)+SUM($C$4:C70)-SUM($D$4:D70)</f>
        <v>98120</v>
      </c>
      <c r="F70" s="109" cm="1">
        <f t="array" ref="F70">SUM(VLOOKUP(I70:AF70,$AM$4:$AO$44,3,FALSE))</f>
        <v>0</v>
      </c>
      <c r="G70" s="109">
        <f>SUM($F$4:F70)+SUM($H$4:H70)</f>
        <v>9410</v>
      </c>
      <c r="H70" s="109">
        <v>300</v>
      </c>
      <c r="I70" s="110" t="s">
        <v>23</v>
      </c>
      <c r="J70" s="110" t="s">
        <v>23</v>
      </c>
      <c r="K70" s="110" t="s">
        <v>23</v>
      </c>
      <c r="L70" s="110" t="s">
        <v>23</v>
      </c>
      <c r="M70" s="110" t="s">
        <v>23</v>
      </c>
      <c r="N70" s="110" t="s">
        <v>23</v>
      </c>
      <c r="O70" s="111" t="s">
        <v>23</v>
      </c>
      <c r="P70" s="111" t="s">
        <v>23</v>
      </c>
      <c r="Q70" s="110" t="s">
        <v>23</v>
      </c>
      <c r="R70" s="110" t="s">
        <v>23</v>
      </c>
      <c r="S70" s="110" t="s">
        <v>23</v>
      </c>
      <c r="T70" s="110" t="s">
        <v>23</v>
      </c>
      <c r="U70" s="110" t="s">
        <v>23</v>
      </c>
      <c r="V70" s="110" t="s">
        <v>23</v>
      </c>
      <c r="W70" s="111" t="s">
        <v>23</v>
      </c>
      <c r="X70" s="111" t="s">
        <v>23</v>
      </c>
      <c r="Y70" s="110" t="s">
        <v>23</v>
      </c>
      <c r="Z70" s="110" t="s">
        <v>23</v>
      </c>
      <c r="AA70" s="110" t="s">
        <v>23</v>
      </c>
      <c r="AB70" s="110" t="s">
        <v>23</v>
      </c>
      <c r="AC70" s="110" t="s">
        <v>23</v>
      </c>
      <c r="AD70" s="110" t="s">
        <v>23</v>
      </c>
      <c r="AE70" s="111" t="s">
        <v>23</v>
      </c>
      <c r="AF70" s="111" t="s">
        <v>23</v>
      </c>
      <c r="AG70" s="94">
        <v>0</v>
      </c>
      <c r="AH70" s="112"/>
      <c r="AI70" s="112"/>
      <c r="AJ70" s="112"/>
      <c r="AK70" s="113" t="s">
        <v>31</v>
      </c>
      <c r="AL70" s="108"/>
      <c r="AT70">
        <f t="shared" si="13"/>
        <v>0</v>
      </c>
    </row>
    <row r="71" spans="1:46">
      <c r="A71" s="121">
        <v>44614</v>
      </c>
      <c r="B71" s="109">
        <v>1600</v>
      </c>
      <c r="C71" s="109"/>
      <c r="D71" s="109" cm="1">
        <f t="array" ref="D71">(SUM(VLOOKUP(I71:AF71,$AM$4:$AO$44,2,FALSE))+AG71*10)*IF(AK71="是",$AY$4,$AY$3)</f>
        <v>0</v>
      </c>
      <c r="E71" s="57">
        <f>SUM($B$4:B71)+SUM($C$4:C71)-SUM($D$4:D71)</f>
        <v>99720</v>
      </c>
      <c r="F71" s="109" cm="1">
        <f t="array" ref="F71">SUM(VLOOKUP(I71:AF71,$AM$4:$AO$44,3,FALSE))</f>
        <v>0</v>
      </c>
      <c r="G71" s="109">
        <f>SUM($F$4:F71)+SUM($H$4:H71)</f>
        <v>9410</v>
      </c>
      <c r="H71" s="109">
        <v>0</v>
      </c>
      <c r="I71" s="110" t="s">
        <v>23</v>
      </c>
      <c r="J71" s="110" t="s">
        <v>23</v>
      </c>
      <c r="K71" s="110" t="s">
        <v>23</v>
      </c>
      <c r="L71" s="110" t="s">
        <v>23</v>
      </c>
      <c r="M71" s="110" t="s">
        <v>23</v>
      </c>
      <c r="N71" s="110" t="s">
        <v>23</v>
      </c>
      <c r="O71" s="111" t="s">
        <v>23</v>
      </c>
      <c r="P71" s="111" t="s">
        <v>23</v>
      </c>
      <c r="Q71" s="110" t="s">
        <v>23</v>
      </c>
      <c r="R71" s="110" t="s">
        <v>23</v>
      </c>
      <c r="S71" s="110" t="s">
        <v>23</v>
      </c>
      <c r="T71" s="110" t="s">
        <v>23</v>
      </c>
      <c r="U71" s="110" t="s">
        <v>23</v>
      </c>
      <c r="V71" s="110" t="s">
        <v>23</v>
      </c>
      <c r="W71" s="111" t="s">
        <v>23</v>
      </c>
      <c r="X71" s="111" t="s">
        <v>23</v>
      </c>
      <c r="Y71" s="110" t="s">
        <v>23</v>
      </c>
      <c r="Z71" s="110" t="s">
        <v>23</v>
      </c>
      <c r="AA71" s="110" t="s">
        <v>23</v>
      </c>
      <c r="AB71" s="110" t="s">
        <v>23</v>
      </c>
      <c r="AC71" s="110" t="s">
        <v>23</v>
      </c>
      <c r="AD71" s="110" t="s">
        <v>23</v>
      </c>
      <c r="AE71" s="111" t="s">
        <v>23</v>
      </c>
      <c r="AF71" s="111" t="s">
        <v>23</v>
      </c>
      <c r="AG71" s="94">
        <v>0</v>
      </c>
      <c r="AH71" s="112"/>
      <c r="AI71" s="112"/>
      <c r="AJ71" s="112"/>
      <c r="AK71" s="113" t="s">
        <v>31</v>
      </c>
      <c r="AL71" s="108"/>
      <c r="AT71">
        <f t="shared" si="13"/>
        <v>0</v>
      </c>
    </row>
    <row r="72" spans="1:46">
      <c r="A72" s="121">
        <v>44615</v>
      </c>
      <c r="B72" s="109">
        <v>1600</v>
      </c>
      <c r="C72" s="109"/>
      <c r="D72" s="109" cm="1">
        <f t="array" ref="D72">(SUM(VLOOKUP(I72:AF72,$AM$4:$AO$44,2,FALSE))+AG72*10)*IF(AK72="是",$AY$4,$AY$3)</f>
        <v>0</v>
      </c>
      <c r="E72" s="57">
        <f>SUM($B$4:B72)+SUM($C$4:C72)-SUM($D$4:D72)</f>
        <v>101320</v>
      </c>
      <c r="F72" s="109" cm="1">
        <f t="array" ref="F72">SUM(VLOOKUP(I72:AF72,$AM$4:$AO$44,3,FALSE))</f>
        <v>0</v>
      </c>
      <c r="G72" s="109">
        <f>SUM($F$4:F72)+SUM($H$4:H72)</f>
        <v>9610</v>
      </c>
      <c r="H72" s="109">
        <v>200</v>
      </c>
      <c r="I72" s="110" t="s">
        <v>23</v>
      </c>
      <c r="J72" s="110" t="s">
        <v>23</v>
      </c>
      <c r="K72" s="110" t="s">
        <v>23</v>
      </c>
      <c r="L72" s="110" t="s">
        <v>23</v>
      </c>
      <c r="M72" s="110" t="s">
        <v>23</v>
      </c>
      <c r="N72" s="110" t="s">
        <v>23</v>
      </c>
      <c r="O72" s="111" t="s">
        <v>23</v>
      </c>
      <c r="P72" s="111" t="s">
        <v>23</v>
      </c>
      <c r="Q72" s="110" t="s">
        <v>23</v>
      </c>
      <c r="R72" s="110" t="s">
        <v>23</v>
      </c>
      <c r="S72" s="110" t="s">
        <v>23</v>
      </c>
      <c r="T72" s="110" t="s">
        <v>23</v>
      </c>
      <c r="U72" s="110" t="s">
        <v>23</v>
      </c>
      <c r="V72" s="110" t="s">
        <v>23</v>
      </c>
      <c r="W72" s="111" t="s">
        <v>23</v>
      </c>
      <c r="X72" s="111" t="s">
        <v>23</v>
      </c>
      <c r="Y72" s="110" t="s">
        <v>23</v>
      </c>
      <c r="Z72" s="110" t="s">
        <v>23</v>
      </c>
      <c r="AA72" s="110" t="s">
        <v>23</v>
      </c>
      <c r="AB72" s="110" t="s">
        <v>23</v>
      </c>
      <c r="AC72" s="110" t="s">
        <v>23</v>
      </c>
      <c r="AD72" s="110" t="s">
        <v>23</v>
      </c>
      <c r="AE72" s="111" t="s">
        <v>23</v>
      </c>
      <c r="AF72" s="111" t="s">
        <v>23</v>
      </c>
      <c r="AG72" s="94">
        <v>0</v>
      </c>
      <c r="AH72" s="112"/>
      <c r="AI72" s="112"/>
      <c r="AJ72" s="112"/>
      <c r="AK72" s="113" t="s">
        <v>31</v>
      </c>
      <c r="AL72" s="108"/>
      <c r="AT72">
        <f t="shared" si="13"/>
        <v>0</v>
      </c>
    </row>
    <row r="73" spans="1:46">
      <c r="A73" s="121">
        <v>44616</v>
      </c>
      <c r="B73" s="109">
        <v>1600</v>
      </c>
      <c r="C73" s="109"/>
      <c r="D73" s="109" cm="1">
        <f t="array" ref="D73">(SUM(VLOOKUP(I73:AF73,$AM$4:$AO$44,2,FALSE))+AG73*10)*IF(AK73="是",$AY$4,$AY$3)</f>
        <v>0</v>
      </c>
      <c r="E73" s="57">
        <f>SUM($B$4:B73)+SUM($C$4:C73)-SUM($D$4:D73)</f>
        <v>102920</v>
      </c>
      <c r="F73" s="109" cm="1">
        <f t="array" ref="F73">SUM(VLOOKUP(I73:AF73,$AM$4:$AO$44,3,FALSE))</f>
        <v>0</v>
      </c>
      <c r="G73" s="109">
        <f>SUM($F$4:F73)+SUM($H$4:H73)</f>
        <v>9610</v>
      </c>
      <c r="H73" s="109">
        <v>0</v>
      </c>
      <c r="I73" s="110" t="s">
        <v>23</v>
      </c>
      <c r="J73" s="110" t="s">
        <v>23</v>
      </c>
      <c r="K73" s="110" t="s">
        <v>23</v>
      </c>
      <c r="L73" s="110" t="s">
        <v>23</v>
      </c>
      <c r="M73" s="110" t="s">
        <v>23</v>
      </c>
      <c r="N73" s="110" t="s">
        <v>23</v>
      </c>
      <c r="O73" s="111" t="s">
        <v>23</v>
      </c>
      <c r="P73" s="111" t="s">
        <v>23</v>
      </c>
      <c r="Q73" s="110" t="s">
        <v>23</v>
      </c>
      <c r="R73" s="110" t="s">
        <v>23</v>
      </c>
      <c r="S73" s="110" t="s">
        <v>23</v>
      </c>
      <c r="T73" s="110" t="s">
        <v>23</v>
      </c>
      <c r="U73" s="110" t="s">
        <v>23</v>
      </c>
      <c r="V73" s="110" t="s">
        <v>23</v>
      </c>
      <c r="W73" s="111" t="s">
        <v>23</v>
      </c>
      <c r="X73" s="111" t="s">
        <v>23</v>
      </c>
      <c r="Y73" s="110" t="s">
        <v>23</v>
      </c>
      <c r="Z73" s="110" t="s">
        <v>23</v>
      </c>
      <c r="AA73" s="110" t="s">
        <v>23</v>
      </c>
      <c r="AB73" s="110" t="s">
        <v>23</v>
      </c>
      <c r="AC73" s="110" t="s">
        <v>23</v>
      </c>
      <c r="AD73" s="110" t="s">
        <v>23</v>
      </c>
      <c r="AE73" s="111" t="s">
        <v>23</v>
      </c>
      <c r="AF73" s="111" t="s">
        <v>23</v>
      </c>
      <c r="AG73" s="94">
        <v>0</v>
      </c>
      <c r="AH73" s="112"/>
      <c r="AI73" s="112"/>
      <c r="AJ73" s="112"/>
      <c r="AK73" s="113" t="s">
        <v>31</v>
      </c>
      <c r="AL73" s="108"/>
    </row>
    <row r="74" spans="1:46">
      <c r="A74" s="121">
        <v>44617</v>
      </c>
      <c r="B74" s="109">
        <v>1600</v>
      </c>
      <c r="C74" s="109"/>
      <c r="D74" s="109" cm="1">
        <f t="array" ref="D74">(SUM(VLOOKUP(I74:AF74,$AM$4:$AO$44,2,FALSE))+AG74*10)*IF(AK74="是",$AY$4,$AY$3)</f>
        <v>0</v>
      </c>
      <c r="E74" s="57">
        <f>SUM($B$4:B74)+SUM($C$4:C74)-SUM($D$4:D74)</f>
        <v>104520</v>
      </c>
      <c r="F74" s="109" cm="1">
        <f t="array" ref="F74">SUM(VLOOKUP(I74:AF74,$AM$4:$AO$44,3,FALSE))</f>
        <v>0</v>
      </c>
      <c r="G74" s="109">
        <f>SUM($F$4:F74)+SUM($H$4:H74)</f>
        <v>9610</v>
      </c>
      <c r="H74" s="109">
        <v>0</v>
      </c>
      <c r="I74" s="110" t="s">
        <v>23</v>
      </c>
      <c r="J74" s="110" t="s">
        <v>23</v>
      </c>
      <c r="K74" s="110" t="s">
        <v>23</v>
      </c>
      <c r="L74" s="110" t="s">
        <v>23</v>
      </c>
      <c r="M74" s="110" t="s">
        <v>23</v>
      </c>
      <c r="N74" s="110" t="s">
        <v>23</v>
      </c>
      <c r="O74" s="111" t="s">
        <v>23</v>
      </c>
      <c r="P74" s="111" t="s">
        <v>23</v>
      </c>
      <c r="Q74" s="110" t="s">
        <v>23</v>
      </c>
      <c r="R74" s="110" t="s">
        <v>23</v>
      </c>
      <c r="S74" s="110" t="s">
        <v>23</v>
      </c>
      <c r="T74" s="110" t="s">
        <v>23</v>
      </c>
      <c r="U74" s="110" t="s">
        <v>23</v>
      </c>
      <c r="V74" s="110" t="s">
        <v>23</v>
      </c>
      <c r="W74" s="111" t="s">
        <v>23</v>
      </c>
      <c r="X74" s="111" t="s">
        <v>23</v>
      </c>
      <c r="Y74" s="110" t="s">
        <v>23</v>
      </c>
      <c r="Z74" s="110" t="s">
        <v>23</v>
      </c>
      <c r="AA74" s="110" t="s">
        <v>23</v>
      </c>
      <c r="AB74" s="110" t="s">
        <v>23</v>
      </c>
      <c r="AC74" s="110" t="s">
        <v>23</v>
      </c>
      <c r="AD74" s="110" t="s">
        <v>23</v>
      </c>
      <c r="AE74" s="111" t="s">
        <v>23</v>
      </c>
      <c r="AF74" s="111" t="s">
        <v>23</v>
      </c>
      <c r="AG74" s="94">
        <v>0</v>
      </c>
      <c r="AH74" s="112"/>
      <c r="AI74" s="112"/>
      <c r="AJ74" s="112"/>
      <c r="AK74" s="113" t="s">
        <v>31</v>
      </c>
      <c r="AL74" s="108"/>
    </row>
    <row r="75" spans="1:46">
      <c r="A75" s="121">
        <v>44618</v>
      </c>
      <c r="B75" s="109">
        <v>1600</v>
      </c>
      <c r="C75" s="109"/>
      <c r="D75" s="109" cm="1">
        <f t="array" ref="D75">(SUM(VLOOKUP(I75:AF75,$AM$4:$AO$44,2,FALSE))+AG75*10)*IF(AK75="是",$AY$4,$AY$3)</f>
        <v>0</v>
      </c>
      <c r="E75" s="57">
        <f>SUM($B$4:B75)+SUM($C$4:C75)-SUM($D$4:D75)</f>
        <v>106120</v>
      </c>
      <c r="F75" s="109" cm="1">
        <f t="array" ref="F75">SUM(VLOOKUP(I75:AF75,$AM$4:$AO$44,3,FALSE))</f>
        <v>0</v>
      </c>
      <c r="G75" s="109">
        <f>SUM($F$4:F75)+SUM($H$4:H75)</f>
        <v>9610</v>
      </c>
      <c r="H75" s="109">
        <v>0</v>
      </c>
      <c r="I75" s="110" t="s">
        <v>23</v>
      </c>
      <c r="J75" s="110" t="s">
        <v>23</v>
      </c>
      <c r="K75" s="110" t="s">
        <v>23</v>
      </c>
      <c r="L75" s="110" t="s">
        <v>23</v>
      </c>
      <c r="M75" s="110" t="s">
        <v>23</v>
      </c>
      <c r="N75" s="110" t="s">
        <v>23</v>
      </c>
      <c r="O75" s="111" t="s">
        <v>23</v>
      </c>
      <c r="P75" s="111" t="s">
        <v>23</v>
      </c>
      <c r="Q75" s="110" t="s">
        <v>23</v>
      </c>
      <c r="R75" s="110" t="s">
        <v>23</v>
      </c>
      <c r="S75" s="110" t="s">
        <v>23</v>
      </c>
      <c r="T75" s="110" t="s">
        <v>23</v>
      </c>
      <c r="U75" s="110" t="s">
        <v>23</v>
      </c>
      <c r="V75" s="110" t="s">
        <v>23</v>
      </c>
      <c r="W75" s="111" t="s">
        <v>23</v>
      </c>
      <c r="X75" s="111" t="s">
        <v>23</v>
      </c>
      <c r="Y75" s="110" t="s">
        <v>23</v>
      </c>
      <c r="Z75" s="110" t="s">
        <v>23</v>
      </c>
      <c r="AA75" s="110" t="s">
        <v>23</v>
      </c>
      <c r="AB75" s="110" t="s">
        <v>23</v>
      </c>
      <c r="AC75" s="110" t="s">
        <v>23</v>
      </c>
      <c r="AD75" s="110" t="s">
        <v>23</v>
      </c>
      <c r="AE75" s="111" t="s">
        <v>23</v>
      </c>
      <c r="AF75" s="111" t="s">
        <v>23</v>
      </c>
      <c r="AG75" s="94">
        <v>0</v>
      </c>
      <c r="AH75" s="112"/>
      <c r="AI75" s="112"/>
      <c r="AJ75" s="112"/>
      <c r="AK75" s="113" t="s">
        <v>31</v>
      </c>
      <c r="AL75" s="108"/>
    </row>
    <row r="76" spans="1:46">
      <c r="A76" s="121">
        <v>44619</v>
      </c>
      <c r="B76" s="109">
        <v>1600</v>
      </c>
      <c r="C76" s="109"/>
      <c r="D76" s="109" cm="1">
        <f t="array" ref="D76">(SUM(VLOOKUP(I76:AF76,$AM$4:$AO$44,2,FALSE))+AG76*10)*IF(AK76="是",$AY$4,$AY$3)</f>
        <v>0</v>
      </c>
      <c r="E76" s="57">
        <f>SUM($B$4:B76)+SUM($C$4:C76)-SUM($D$4:D76)</f>
        <v>107720</v>
      </c>
      <c r="F76" s="109" cm="1">
        <f t="array" ref="F76">SUM(VLOOKUP(I76:AF76,$AM$4:$AO$44,3,FALSE))</f>
        <v>0</v>
      </c>
      <c r="G76" s="109">
        <f>SUM($F$4:F76)+SUM($H$4:H76)</f>
        <v>9610</v>
      </c>
      <c r="H76" s="109">
        <v>0</v>
      </c>
      <c r="I76" s="110" t="s">
        <v>23</v>
      </c>
      <c r="J76" s="110" t="s">
        <v>23</v>
      </c>
      <c r="K76" s="110" t="s">
        <v>23</v>
      </c>
      <c r="L76" s="110" t="s">
        <v>23</v>
      </c>
      <c r="M76" s="110" t="s">
        <v>23</v>
      </c>
      <c r="N76" s="110" t="s">
        <v>23</v>
      </c>
      <c r="O76" s="111" t="s">
        <v>23</v>
      </c>
      <c r="P76" s="111" t="s">
        <v>23</v>
      </c>
      <c r="Q76" s="110" t="s">
        <v>23</v>
      </c>
      <c r="R76" s="110" t="s">
        <v>23</v>
      </c>
      <c r="S76" s="110" t="s">
        <v>23</v>
      </c>
      <c r="T76" s="110" t="s">
        <v>23</v>
      </c>
      <c r="U76" s="110" t="s">
        <v>23</v>
      </c>
      <c r="V76" s="110" t="s">
        <v>23</v>
      </c>
      <c r="W76" s="111" t="s">
        <v>23</v>
      </c>
      <c r="X76" s="111" t="s">
        <v>23</v>
      </c>
      <c r="Y76" s="110" t="s">
        <v>23</v>
      </c>
      <c r="Z76" s="110" t="s">
        <v>23</v>
      </c>
      <c r="AA76" s="110" t="s">
        <v>23</v>
      </c>
      <c r="AB76" s="110" t="s">
        <v>23</v>
      </c>
      <c r="AC76" s="110" t="s">
        <v>23</v>
      </c>
      <c r="AD76" s="110" t="s">
        <v>23</v>
      </c>
      <c r="AE76" s="111" t="s">
        <v>23</v>
      </c>
      <c r="AF76" s="111" t="s">
        <v>23</v>
      </c>
      <c r="AG76" s="94">
        <v>0</v>
      </c>
      <c r="AH76" s="112"/>
      <c r="AI76" s="112"/>
      <c r="AJ76" s="112"/>
      <c r="AK76" s="113" t="s">
        <v>31</v>
      </c>
      <c r="AL76" s="108"/>
    </row>
    <row r="77" spans="1:46">
      <c r="A77" s="121">
        <v>44620</v>
      </c>
      <c r="B77" s="110">
        <v>1600</v>
      </c>
      <c r="C77" s="110"/>
      <c r="D77" s="109" cm="1">
        <f t="array" ref="D77">(SUM(VLOOKUP(I77:AF77,$AM$4:$AO$44,2,FALSE))+AG77*10)*IF(AK77="是",$AY$4,$AY$3)</f>
        <v>0</v>
      </c>
      <c r="E77" s="57">
        <f>SUM($B$4:B77)+SUM($C$4:C77)-SUM($D$4:D77)</f>
        <v>109320</v>
      </c>
      <c r="F77" s="109" cm="1">
        <f t="array" ref="F77">SUM(VLOOKUP(I77:AF77,$AM$4:$AO$44,3,FALSE))</f>
        <v>0</v>
      </c>
      <c r="G77" s="109">
        <f>SUM($F$4:F77)+SUM($H$4:H77)</f>
        <v>9910</v>
      </c>
      <c r="H77" s="110">
        <v>300</v>
      </c>
      <c r="I77" s="110" t="s">
        <v>23</v>
      </c>
      <c r="J77" s="110" t="s">
        <v>23</v>
      </c>
      <c r="K77" s="110" t="s">
        <v>23</v>
      </c>
      <c r="L77" s="110" t="s">
        <v>23</v>
      </c>
      <c r="M77" s="110" t="s">
        <v>23</v>
      </c>
      <c r="N77" s="110" t="s">
        <v>23</v>
      </c>
      <c r="O77" s="111" t="s">
        <v>23</v>
      </c>
      <c r="P77" s="111" t="s">
        <v>23</v>
      </c>
      <c r="Q77" s="110" t="s">
        <v>23</v>
      </c>
      <c r="R77" s="110" t="s">
        <v>23</v>
      </c>
      <c r="S77" s="110" t="s">
        <v>23</v>
      </c>
      <c r="T77" s="110" t="s">
        <v>23</v>
      </c>
      <c r="U77" s="110" t="s">
        <v>23</v>
      </c>
      <c r="V77" s="110" t="s">
        <v>23</v>
      </c>
      <c r="W77" s="111" t="s">
        <v>23</v>
      </c>
      <c r="X77" s="111" t="s">
        <v>23</v>
      </c>
      <c r="Y77" s="110" t="s">
        <v>23</v>
      </c>
      <c r="Z77" s="110" t="s">
        <v>23</v>
      </c>
      <c r="AA77" s="110" t="s">
        <v>23</v>
      </c>
      <c r="AB77" s="110" t="s">
        <v>23</v>
      </c>
      <c r="AC77" s="110" t="s">
        <v>23</v>
      </c>
      <c r="AD77" s="110" t="s">
        <v>23</v>
      </c>
      <c r="AE77" s="111" t="s">
        <v>23</v>
      </c>
      <c r="AF77" s="111" t="s">
        <v>23</v>
      </c>
      <c r="AG77" s="94">
        <v>0</v>
      </c>
      <c r="AH77" s="112"/>
      <c r="AI77" s="112"/>
      <c r="AJ77" s="112"/>
      <c r="AK77" s="113" t="s">
        <v>31</v>
      </c>
      <c r="AL77" s="108"/>
    </row>
    <row r="78" spans="1:46">
      <c r="A78" s="121">
        <v>44621</v>
      </c>
      <c r="B78" s="110">
        <v>1600</v>
      </c>
      <c r="C78" s="110"/>
      <c r="D78" s="109" cm="1">
        <f t="array" ref="D78">(SUM(VLOOKUP(I78:AF78,$AM$4:$AO$44,2,FALSE))+AG78*10)*IF(AK78="是",$AY$4,$AY$3)</f>
        <v>0</v>
      </c>
      <c r="E78" s="57">
        <f>SUM($B$4:B78)+SUM($C$4:C78)-SUM($D$4:D78)</f>
        <v>110920</v>
      </c>
      <c r="F78" s="109" cm="1">
        <f t="array" ref="F78">SUM(VLOOKUP(I78:AF78,$AM$4:$AO$44,3,FALSE))</f>
        <v>0</v>
      </c>
      <c r="G78" s="109">
        <f>SUM($F$4:F78)+SUM($H$4:H78)</f>
        <v>9910</v>
      </c>
      <c r="H78" s="110">
        <v>0</v>
      </c>
      <c r="I78" s="110" t="s">
        <v>23</v>
      </c>
      <c r="J78" s="110" t="s">
        <v>23</v>
      </c>
      <c r="K78" s="110" t="s">
        <v>23</v>
      </c>
      <c r="L78" s="110" t="s">
        <v>23</v>
      </c>
      <c r="M78" s="110" t="s">
        <v>23</v>
      </c>
      <c r="N78" s="110" t="s">
        <v>23</v>
      </c>
      <c r="O78" s="111" t="s">
        <v>23</v>
      </c>
      <c r="P78" s="111" t="s">
        <v>23</v>
      </c>
      <c r="Q78" s="110" t="s">
        <v>23</v>
      </c>
      <c r="R78" s="110" t="s">
        <v>23</v>
      </c>
      <c r="S78" s="110" t="s">
        <v>23</v>
      </c>
      <c r="T78" s="110" t="s">
        <v>23</v>
      </c>
      <c r="U78" s="110" t="s">
        <v>23</v>
      </c>
      <c r="V78" s="110" t="s">
        <v>23</v>
      </c>
      <c r="W78" s="111" t="s">
        <v>23</v>
      </c>
      <c r="X78" s="111" t="s">
        <v>23</v>
      </c>
      <c r="Y78" s="110" t="s">
        <v>23</v>
      </c>
      <c r="Z78" s="110" t="s">
        <v>23</v>
      </c>
      <c r="AA78" s="110" t="s">
        <v>23</v>
      </c>
      <c r="AB78" s="110" t="s">
        <v>23</v>
      </c>
      <c r="AC78" s="110" t="s">
        <v>23</v>
      </c>
      <c r="AD78" s="110" t="s">
        <v>23</v>
      </c>
      <c r="AE78" s="111" t="s">
        <v>23</v>
      </c>
      <c r="AF78" s="111" t="s">
        <v>23</v>
      </c>
      <c r="AG78" s="94">
        <v>0</v>
      </c>
      <c r="AH78" s="112"/>
      <c r="AI78" s="112"/>
      <c r="AJ78" s="112"/>
      <c r="AK78" s="113" t="s">
        <v>31</v>
      </c>
      <c r="AL78" s="108"/>
    </row>
    <row r="79" spans="1:46">
      <c r="A79" s="121">
        <v>44622</v>
      </c>
      <c r="B79" s="110">
        <v>1600</v>
      </c>
      <c r="C79" s="110"/>
      <c r="D79" s="109" cm="1">
        <f t="array" ref="D79">(SUM(VLOOKUP(I79:AF79,$AM$4:$AO$44,2,FALSE))+AG79*10)*IF(AK79="是",$AY$4,$AY$3)</f>
        <v>0</v>
      </c>
      <c r="E79" s="57">
        <f>SUM($B$4:B79)+SUM($C$4:C79)-SUM($D$4:D79)</f>
        <v>112520</v>
      </c>
      <c r="F79" s="109" cm="1">
        <f t="array" ref="F79">SUM(VLOOKUP(I79:AF79,$AM$4:$AO$44,3,FALSE))</f>
        <v>0</v>
      </c>
      <c r="G79" s="109">
        <f>SUM($F$4:F79)+SUM($H$4:H79)</f>
        <v>10110</v>
      </c>
      <c r="H79" s="110">
        <v>200</v>
      </c>
      <c r="I79" s="110" t="s">
        <v>23</v>
      </c>
      <c r="J79" s="110" t="s">
        <v>23</v>
      </c>
      <c r="K79" s="110" t="s">
        <v>23</v>
      </c>
      <c r="L79" s="110" t="s">
        <v>23</v>
      </c>
      <c r="M79" s="110" t="s">
        <v>23</v>
      </c>
      <c r="N79" s="110" t="s">
        <v>23</v>
      </c>
      <c r="O79" s="111" t="s">
        <v>23</v>
      </c>
      <c r="P79" s="111" t="s">
        <v>23</v>
      </c>
      <c r="Q79" s="110" t="s">
        <v>23</v>
      </c>
      <c r="R79" s="110" t="s">
        <v>23</v>
      </c>
      <c r="S79" s="110" t="s">
        <v>23</v>
      </c>
      <c r="T79" s="110" t="s">
        <v>23</v>
      </c>
      <c r="U79" s="110" t="s">
        <v>23</v>
      </c>
      <c r="V79" s="110" t="s">
        <v>23</v>
      </c>
      <c r="W79" s="111" t="s">
        <v>23</v>
      </c>
      <c r="X79" s="111" t="s">
        <v>23</v>
      </c>
      <c r="Y79" s="110" t="s">
        <v>23</v>
      </c>
      <c r="Z79" s="110" t="s">
        <v>23</v>
      </c>
      <c r="AA79" s="110" t="s">
        <v>23</v>
      </c>
      <c r="AB79" s="110" t="s">
        <v>23</v>
      </c>
      <c r="AC79" s="110" t="s">
        <v>23</v>
      </c>
      <c r="AD79" s="110" t="s">
        <v>23</v>
      </c>
      <c r="AE79" s="111" t="s">
        <v>23</v>
      </c>
      <c r="AF79" s="111" t="s">
        <v>23</v>
      </c>
      <c r="AG79" s="94">
        <v>0</v>
      </c>
      <c r="AH79" s="112"/>
      <c r="AI79" s="112"/>
      <c r="AJ79" s="112"/>
      <c r="AK79" s="113" t="s">
        <v>31</v>
      </c>
      <c r="AL79" s="108"/>
    </row>
    <row r="80" spans="1:46">
      <c r="A80" s="121">
        <v>44623</v>
      </c>
      <c r="B80" s="110">
        <v>1600</v>
      </c>
      <c r="C80" s="110"/>
      <c r="D80" s="109" cm="1">
        <f t="array" ref="D80">(SUM(VLOOKUP(I80:AF80,$AM$4:$AO$44,2,FALSE))+AG80*10)*IF(AK80="是",$AY$4,$AY$3)</f>
        <v>0</v>
      </c>
      <c r="E80" s="57">
        <f>SUM($B$4:B80)+SUM($C$4:C80)-SUM($D$4:D80)</f>
        <v>114120</v>
      </c>
      <c r="F80" s="109" cm="1">
        <f t="array" ref="F80">SUM(VLOOKUP(I80:AF80,$AM$4:$AO$44,3,FALSE))</f>
        <v>0</v>
      </c>
      <c r="G80" s="109">
        <f>SUM($F$4:F80)+SUM($H$4:H80)</f>
        <v>10110</v>
      </c>
      <c r="H80" s="110">
        <v>0</v>
      </c>
      <c r="I80" s="110" t="s">
        <v>23</v>
      </c>
      <c r="J80" s="110" t="s">
        <v>23</v>
      </c>
      <c r="K80" s="110" t="s">
        <v>23</v>
      </c>
      <c r="L80" s="110" t="s">
        <v>23</v>
      </c>
      <c r="M80" s="110" t="s">
        <v>23</v>
      </c>
      <c r="N80" s="110" t="s">
        <v>23</v>
      </c>
      <c r="O80" s="111" t="s">
        <v>23</v>
      </c>
      <c r="P80" s="111" t="s">
        <v>23</v>
      </c>
      <c r="Q80" s="110" t="s">
        <v>23</v>
      </c>
      <c r="R80" s="110" t="s">
        <v>23</v>
      </c>
      <c r="S80" s="110" t="s">
        <v>23</v>
      </c>
      <c r="T80" s="110" t="s">
        <v>23</v>
      </c>
      <c r="U80" s="110" t="s">
        <v>23</v>
      </c>
      <c r="V80" s="110" t="s">
        <v>23</v>
      </c>
      <c r="W80" s="111" t="s">
        <v>23</v>
      </c>
      <c r="X80" s="111" t="s">
        <v>23</v>
      </c>
      <c r="Y80" s="110" t="s">
        <v>23</v>
      </c>
      <c r="Z80" s="110" t="s">
        <v>23</v>
      </c>
      <c r="AA80" s="110" t="s">
        <v>23</v>
      </c>
      <c r="AB80" s="110" t="s">
        <v>23</v>
      </c>
      <c r="AC80" s="110" t="s">
        <v>23</v>
      </c>
      <c r="AD80" s="110" t="s">
        <v>23</v>
      </c>
      <c r="AE80" s="111" t="s">
        <v>23</v>
      </c>
      <c r="AF80" s="111" t="s">
        <v>23</v>
      </c>
      <c r="AG80" s="94">
        <v>0</v>
      </c>
      <c r="AH80" s="112"/>
      <c r="AI80" s="112"/>
      <c r="AJ80" s="112"/>
      <c r="AK80" s="113" t="s">
        <v>31</v>
      </c>
      <c r="AL80" s="108"/>
    </row>
    <row r="81" spans="1:42">
      <c r="A81" s="121">
        <v>44624</v>
      </c>
      <c r="B81" s="110">
        <v>1600</v>
      </c>
      <c r="C81" s="110"/>
      <c r="D81" s="109" cm="1">
        <f t="array" ref="D81">(SUM(VLOOKUP(I81:AF81,$AM$4:$AO$44,2,FALSE))+AG81*10)*IF(AK81="是",$AY$4,$AY$3)</f>
        <v>0</v>
      </c>
      <c r="E81" s="57">
        <f>SUM($B$4:B81)+SUM($C$4:C81)-SUM($D$4:D81)</f>
        <v>115720</v>
      </c>
      <c r="F81" s="109" cm="1">
        <f t="array" ref="F81">SUM(VLOOKUP(I81:AF81,$AM$4:$AO$44,3,FALSE))</f>
        <v>0</v>
      </c>
      <c r="G81" s="109">
        <f>SUM($F$4:F81)+SUM($H$4:H81)</f>
        <v>10110</v>
      </c>
      <c r="H81" s="110">
        <v>0</v>
      </c>
      <c r="I81" s="110" t="s">
        <v>23</v>
      </c>
      <c r="J81" s="110" t="s">
        <v>23</v>
      </c>
      <c r="K81" s="110" t="s">
        <v>23</v>
      </c>
      <c r="L81" s="110" t="s">
        <v>23</v>
      </c>
      <c r="M81" s="110" t="s">
        <v>23</v>
      </c>
      <c r="N81" s="110" t="s">
        <v>23</v>
      </c>
      <c r="O81" s="111" t="s">
        <v>23</v>
      </c>
      <c r="P81" s="111" t="s">
        <v>23</v>
      </c>
      <c r="Q81" s="110" t="s">
        <v>23</v>
      </c>
      <c r="R81" s="110" t="s">
        <v>23</v>
      </c>
      <c r="S81" s="110" t="s">
        <v>23</v>
      </c>
      <c r="T81" s="110" t="s">
        <v>23</v>
      </c>
      <c r="U81" s="110" t="s">
        <v>23</v>
      </c>
      <c r="V81" s="110" t="s">
        <v>23</v>
      </c>
      <c r="W81" s="111" t="s">
        <v>23</v>
      </c>
      <c r="X81" s="111" t="s">
        <v>23</v>
      </c>
      <c r="Y81" s="110" t="s">
        <v>23</v>
      </c>
      <c r="Z81" s="110" t="s">
        <v>23</v>
      </c>
      <c r="AA81" s="110" t="s">
        <v>23</v>
      </c>
      <c r="AB81" s="110" t="s">
        <v>23</v>
      </c>
      <c r="AC81" s="110" t="s">
        <v>23</v>
      </c>
      <c r="AD81" s="110" t="s">
        <v>23</v>
      </c>
      <c r="AE81" s="111" t="s">
        <v>23</v>
      </c>
      <c r="AF81" s="111" t="s">
        <v>23</v>
      </c>
      <c r="AG81" s="94">
        <v>0</v>
      </c>
      <c r="AH81" s="112"/>
      <c r="AI81" s="112"/>
      <c r="AJ81" s="112"/>
      <c r="AK81" s="113" t="s">
        <v>31</v>
      </c>
      <c r="AL81" s="108"/>
    </row>
    <row r="82" spans="1:42">
      <c r="A82" s="121">
        <v>44625</v>
      </c>
      <c r="B82" s="110">
        <v>1600</v>
      </c>
      <c r="C82" s="110"/>
      <c r="D82" s="109" cm="1">
        <f t="array" ref="D82">(SUM(VLOOKUP(I82:AF82,$AM$4:$AO$44,2,FALSE))+AG82*10)*IF(AK82="是",$AY$4,$AY$3)</f>
        <v>0</v>
      </c>
      <c r="E82" s="57">
        <f>SUM($B$4:B82)+SUM($C$4:C82)-SUM($D$4:D82)</f>
        <v>117320</v>
      </c>
      <c r="F82" s="109" cm="1">
        <f t="array" ref="F82">SUM(VLOOKUP(I82:AF82,$AM$4:$AO$44,3,FALSE))</f>
        <v>0</v>
      </c>
      <c r="G82" s="109">
        <f>SUM($F$4:F82)+SUM($H$4:H82)</f>
        <v>10110</v>
      </c>
      <c r="H82" s="110">
        <v>0</v>
      </c>
      <c r="I82" s="110" t="s">
        <v>23</v>
      </c>
      <c r="J82" s="110" t="s">
        <v>23</v>
      </c>
      <c r="K82" s="110" t="s">
        <v>23</v>
      </c>
      <c r="L82" s="110" t="s">
        <v>23</v>
      </c>
      <c r="M82" s="110" t="s">
        <v>23</v>
      </c>
      <c r="N82" s="110" t="s">
        <v>23</v>
      </c>
      <c r="O82" s="111" t="s">
        <v>23</v>
      </c>
      <c r="P82" s="111" t="s">
        <v>23</v>
      </c>
      <c r="Q82" s="110" t="s">
        <v>23</v>
      </c>
      <c r="R82" s="110" t="s">
        <v>23</v>
      </c>
      <c r="S82" s="110" t="s">
        <v>23</v>
      </c>
      <c r="T82" s="110" t="s">
        <v>23</v>
      </c>
      <c r="U82" s="110" t="s">
        <v>23</v>
      </c>
      <c r="V82" s="110" t="s">
        <v>23</v>
      </c>
      <c r="W82" s="111" t="s">
        <v>23</v>
      </c>
      <c r="X82" s="111" t="s">
        <v>23</v>
      </c>
      <c r="Y82" s="110" t="s">
        <v>23</v>
      </c>
      <c r="Z82" s="110" t="s">
        <v>23</v>
      </c>
      <c r="AA82" s="110" t="s">
        <v>23</v>
      </c>
      <c r="AB82" s="110" t="s">
        <v>23</v>
      </c>
      <c r="AC82" s="110" t="s">
        <v>23</v>
      </c>
      <c r="AD82" s="110" t="s">
        <v>23</v>
      </c>
      <c r="AE82" s="111" t="s">
        <v>23</v>
      </c>
      <c r="AF82" s="111" t="s">
        <v>23</v>
      </c>
      <c r="AG82" s="94">
        <v>0</v>
      </c>
      <c r="AH82" s="112"/>
      <c r="AI82" s="112"/>
      <c r="AJ82" s="112"/>
      <c r="AK82" s="113" t="s">
        <v>31</v>
      </c>
      <c r="AL82" s="108"/>
    </row>
    <row r="83" spans="1:42">
      <c r="A83" s="121">
        <v>44626</v>
      </c>
      <c r="B83" s="110">
        <v>1600</v>
      </c>
      <c r="C83" s="110"/>
      <c r="D83" s="109" cm="1">
        <f t="array" ref="D83">(SUM(VLOOKUP(I83:AF83,$AM$4:$AO$44,2,FALSE))+AG83*10)*IF(AK83="是",$AY$4,$AY$3)</f>
        <v>0</v>
      </c>
      <c r="E83" s="57">
        <f>SUM($B$4:B83)+SUM($C$4:C83)-SUM($D$4:D83)</f>
        <v>118920</v>
      </c>
      <c r="F83" s="109" cm="1">
        <f t="array" ref="F83">SUM(VLOOKUP(I83:AF83,$AM$4:$AO$44,3,FALSE))</f>
        <v>0</v>
      </c>
      <c r="G83" s="109">
        <f>SUM($F$4:F83)+SUM($H$4:H83)</f>
        <v>10110</v>
      </c>
      <c r="H83" s="110">
        <v>0</v>
      </c>
      <c r="I83" s="110" t="s">
        <v>23</v>
      </c>
      <c r="J83" s="110" t="s">
        <v>23</v>
      </c>
      <c r="K83" s="110" t="s">
        <v>23</v>
      </c>
      <c r="L83" s="110" t="s">
        <v>23</v>
      </c>
      <c r="M83" s="110" t="s">
        <v>23</v>
      </c>
      <c r="N83" s="110" t="s">
        <v>23</v>
      </c>
      <c r="O83" s="111" t="s">
        <v>23</v>
      </c>
      <c r="P83" s="111" t="s">
        <v>23</v>
      </c>
      <c r="Q83" s="110" t="s">
        <v>23</v>
      </c>
      <c r="R83" s="110" t="s">
        <v>23</v>
      </c>
      <c r="S83" s="110" t="s">
        <v>23</v>
      </c>
      <c r="T83" s="110" t="s">
        <v>23</v>
      </c>
      <c r="U83" s="110" t="s">
        <v>23</v>
      </c>
      <c r="V83" s="110" t="s">
        <v>23</v>
      </c>
      <c r="W83" s="111" t="s">
        <v>23</v>
      </c>
      <c r="X83" s="111" t="s">
        <v>23</v>
      </c>
      <c r="Y83" s="110" t="s">
        <v>23</v>
      </c>
      <c r="Z83" s="110" t="s">
        <v>23</v>
      </c>
      <c r="AA83" s="110" t="s">
        <v>23</v>
      </c>
      <c r="AB83" s="110" t="s">
        <v>23</v>
      </c>
      <c r="AC83" s="110" t="s">
        <v>23</v>
      </c>
      <c r="AD83" s="110" t="s">
        <v>23</v>
      </c>
      <c r="AE83" s="111" t="s">
        <v>23</v>
      </c>
      <c r="AF83" s="111" t="s">
        <v>23</v>
      </c>
      <c r="AG83" s="94">
        <v>0</v>
      </c>
      <c r="AH83" s="112"/>
      <c r="AI83" s="112"/>
      <c r="AJ83" s="112"/>
      <c r="AK83" s="113" t="s">
        <v>31</v>
      </c>
      <c r="AL83" s="108"/>
    </row>
    <row r="84" spans="1:42">
      <c r="A84" s="121">
        <v>44627</v>
      </c>
      <c r="B84" s="109">
        <v>1600</v>
      </c>
      <c r="C84" s="109"/>
      <c r="D84" s="109" cm="1">
        <f t="array" ref="D84">(SUM(VLOOKUP(I84:AF84,$AM$4:$AO$44,2,FALSE))+AG84*10)*IF(AK84="是",$AY$4,$AY$3)</f>
        <v>0</v>
      </c>
      <c r="E84" s="57">
        <f>SUM($B$4:B84)+SUM($C$4:C84)-SUM($D$4:D84)</f>
        <v>120520</v>
      </c>
      <c r="F84" s="109" cm="1">
        <f t="array" ref="F84">SUM(VLOOKUP(I84:AF84,$AM$4:$AO$44,3,FALSE))</f>
        <v>0</v>
      </c>
      <c r="G84" s="109">
        <f>SUM($F$4:F84)+SUM($H$4:H84)</f>
        <v>10410</v>
      </c>
      <c r="H84" s="109">
        <v>300</v>
      </c>
      <c r="I84" s="110" t="s">
        <v>23</v>
      </c>
      <c r="J84" s="110" t="s">
        <v>23</v>
      </c>
      <c r="K84" s="110" t="s">
        <v>23</v>
      </c>
      <c r="L84" s="110" t="s">
        <v>23</v>
      </c>
      <c r="M84" s="110" t="s">
        <v>23</v>
      </c>
      <c r="N84" s="110" t="s">
        <v>23</v>
      </c>
      <c r="O84" s="111" t="s">
        <v>23</v>
      </c>
      <c r="P84" s="111" t="s">
        <v>23</v>
      </c>
      <c r="Q84" s="110" t="s">
        <v>23</v>
      </c>
      <c r="R84" s="110" t="s">
        <v>23</v>
      </c>
      <c r="S84" s="110" t="s">
        <v>23</v>
      </c>
      <c r="T84" s="110" t="s">
        <v>23</v>
      </c>
      <c r="U84" s="110" t="s">
        <v>23</v>
      </c>
      <c r="V84" s="110" t="s">
        <v>23</v>
      </c>
      <c r="W84" s="111" t="s">
        <v>23</v>
      </c>
      <c r="X84" s="111" t="s">
        <v>23</v>
      </c>
      <c r="Y84" s="110" t="s">
        <v>23</v>
      </c>
      <c r="Z84" s="110" t="s">
        <v>23</v>
      </c>
      <c r="AA84" s="110" t="s">
        <v>23</v>
      </c>
      <c r="AB84" s="110" t="s">
        <v>23</v>
      </c>
      <c r="AC84" s="110" t="s">
        <v>23</v>
      </c>
      <c r="AD84" s="110" t="s">
        <v>23</v>
      </c>
      <c r="AE84" s="111" t="s">
        <v>23</v>
      </c>
      <c r="AF84" s="111" t="s">
        <v>23</v>
      </c>
      <c r="AG84" s="94">
        <v>0</v>
      </c>
      <c r="AH84" s="112"/>
      <c r="AI84" s="112"/>
      <c r="AJ84" s="112"/>
      <c r="AK84" s="113" t="s">
        <v>31</v>
      </c>
      <c r="AL84" s="108"/>
      <c r="AM84" s="89"/>
      <c r="AN84" s="89"/>
      <c r="AO84" s="89"/>
      <c r="AP84" s="89"/>
    </row>
    <row r="85" spans="1:42">
      <c r="A85" s="121">
        <v>44628</v>
      </c>
      <c r="B85" s="109">
        <v>1600</v>
      </c>
      <c r="C85" s="109"/>
      <c r="D85" s="109" cm="1">
        <f t="array" ref="D85">(SUM(VLOOKUP(I85:AF85,$AM$4:$AO$44,2,FALSE))+AG85*10)*IF(AK85="是",$AY$4,$AY$3)</f>
        <v>0</v>
      </c>
      <c r="E85" s="57">
        <f>SUM($B$4:B85)+SUM($C$4:C85)-SUM($D$4:D85)</f>
        <v>122120</v>
      </c>
      <c r="F85" s="109" cm="1">
        <f t="array" ref="F85">SUM(VLOOKUP(I85:AF85,$AM$4:$AO$44,3,FALSE))</f>
        <v>0</v>
      </c>
      <c r="G85" s="109">
        <f>SUM($F$4:F85)+SUM($H$4:H85)</f>
        <v>10410</v>
      </c>
      <c r="H85" s="109">
        <v>0</v>
      </c>
      <c r="I85" s="110" t="s">
        <v>23</v>
      </c>
      <c r="J85" s="110" t="s">
        <v>23</v>
      </c>
      <c r="K85" s="110" t="s">
        <v>23</v>
      </c>
      <c r="L85" s="110" t="s">
        <v>23</v>
      </c>
      <c r="M85" s="110" t="s">
        <v>23</v>
      </c>
      <c r="N85" s="110" t="s">
        <v>23</v>
      </c>
      <c r="O85" s="111" t="s">
        <v>23</v>
      </c>
      <c r="P85" s="111" t="s">
        <v>23</v>
      </c>
      <c r="Q85" s="110" t="s">
        <v>23</v>
      </c>
      <c r="R85" s="110" t="s">
        <v>23</v>
      </c>
      <c r="S85" s="110" t="s">
        <v>23</v>
      </c>
      <c r="T85" s="110" t="s">
        <v>23</v>
      </c>
      <c r="U85" s="110" t="s">
        <v>23</v>
      </c>
      <c r="V85" s="110" t="s">
        <v>23</v>
      </c>
      <c r="W85" s="111" t="s">
        <v>23</v>
      </c>
      <c r="X85" s="111" t="s">
        <v>23</v>
      </c>
      <c r="Y85" s="110" t="s">
        <v>23</v>
      </c>
      <c r="Z85" s="110" t="s">
        <v>23</v>
      </c>
      <c r="AA85" s="110" t="s">
        <v>23</v>
      </c>
      <c r="AB85" s="110" t="s">
        <v>23</v>
      </c>
      <c r="AC85" s="110" t="s">
        <v>23</v>
      </c>
      <c r="AD85" s="110" t="s">
        <v>23</v>
      </c>
      <c r="AE85" s="111" t="s">
        <v>23</v>
      </c>
      <c r="AF85" s="111" t="s">
        <v>23</v>
      </c>
      <c r="AG85" s="94">
        <v>0</v>
      </c>
      <c r="AH85" s="112"/>
      <c r="AI85" s="112"/>
      <c r="AJ85" s="112"/>
      <c r="AK85" s="113" t="s">
        <v>31</v>
      </c>
      <c r="AL85" s="108"/>
      <c r="AM85" s="89"/>
      <c r="AN85" s="89"/>
      <c r="AO85" s="89"/>
      <c r="AP85" s="89"/>
    </row>
    <row r="86" spans="1:42">
      <c r="A86" s="121">
        <v>44629</v>
      </c>
      <c r="B86" s="109">
        <v>1600</v>
      </c>
      <c r="C86" s="109"/>
      <c r="D86" s="109" cm="1">
        <f t="array" ref="D86">(SUM(VLOOKUP(I86:AF86,$AM$4:$AO$44,2,FALSE))+AG86*10)*IF(AK86="是",$AY$4,$AY$3)</f>
        <v>0</v>
      </c>
      <c r="E86" s="57">
        <f>SUM($B$4:B86)+SUM($C$4:C86)-SUM($D$4:D86)</f>
        <v>123720</v>
      </c>
      <c r="F86" s="109" cm="1">
        <f t="array" ref="F86">SUM(VLOOKUP(I86:AF86,$AM$4:$AO$44,3,FALSE))</f>
        <v>0</v>
      </c>
      <c r="G86" s="109">
        <f>SUM($F$4:F86)+SUM($H$4:H86)</f>
        <v>10610</v>
      </c>
      <c r="H86" s="109">
        <v>200</v>
      </c>
      <c r="I86" s="110" t="s">
        <v>23</v>
      </c>
      <c r="J86" s="110" t="s">
        <v>23</v>
      </c>
      <c r="K86" s="110" t="s">
        <v>23</v>
      </c>
      <c r="L86" s="110" t="s">
        <v>23</v>
      </c>
      <c r="M86" s="110" t="s">
        <v>23</v>
      </c>
      <c r="N86" s="110" t="s">
        <v>23</v>
      </c>
      <c r="O86" s="111" t="s">
        <v>23</v>
      </c>
      <c r="P86" s="111" t="s">
        <v>23</v>
      </c>
      <c r="Q86" s="110" t="s">
        <v>23</v>
      </c>
      <c r="R86" s="110" t="s">
        <v>23</v>
      </c>
      <c r="S86" s="110" t="s">
        <v>23</v>
      </c>
      <c r="T86" s="110" t="s">
        <v>23</v>
      </c>
      <c r="U86" s="110" t="s">
        <v>23</v>
      </c>
      <c r="V86" s="110" t="s">
        <v>23</v>
      </c>
      <c r="W86" s="111" t="s">
        <v>23</v>
      </c>
      <c r="X86" s="111" t="s">
        <v>23</v>
      </c>
      <c r="Y86" s="110" t="s">
        <v>23</v>
      </c>
      <c r="Z86" s="110" t="s">
        <v>23</v>
      </c>
      <c r="AA86" s="110" t="s">
        <v>23</v>
      </c>
      <c r="AB86" s="110" t="s">
        <v>23</v>
      </c>
      <c r="AC86" s="110" t="s">
        <v>23</v>
      </c>
      <c r="AD86" s="110" t="s">
        <v>23</v>
      </c>
      <c r="AE86" s="111" t="s">
        <v>23</v>
      </c>
      <c r="AF86" s="111" t="s">
        <v>23</v>
      </c>
      <c r="AG86" s="94">
        <v>0</v>
      </c>
      <c r="AH86" s="112"/>
      <c r="AI86" s="112"/>
      <c r="AJ86" s="112"/>
      <c r="AK86" s="113" t="s">
        <v>31</v>
      </c>
      <c r="AL86" s="108"/>
    </row>
    <row r="87" spans="1:42">
      <c r="A87" s="121">
        <v>44630</v>
      </c>
      <c r="B87" s="109">
        <v>1600</v>
      </c>
      <c r="C87" s="109"/>
      <c r="D87" s="109" cm="1">
        <f t="array" ref="D87">(SUM(VLOOKUP(I87:AF87,$AM$4:$AO$44,2,FALSE))+AG87*10)*IF(AK87="是",$AY$4,$AY$3)</f>
        <v>0</v>
      </c>
      <c r="E87" s="57">
        <f>SUM($B$4:B87)+SUM($C$4:C87)-SUM($D$4:D87)</f>
        <v>125320</v>
      </c>
      <c r="F87" s="109" cm="1">
        <f t="array" ref="F87">SUM(VLOOKUP(I87:AF87,$AM$4:$AO$44,3,FALSE))</f>
        <v>0</v>
      </c>
      <c r="G87" s="109">
        <f>SUM($F$4:F87)+SUM($H$4:H87)</f>
        <v>10610</v>
      </c>
      <c r="H87" s="109">
        <v>0</v>
      </c>
      <c r="I87" s="110" t="s">
        <v>23</v>
      </c>
      <c r="J87" s="110" t="s">
        <v>23</v>
      </c>
      <c r="K87" s="110" t="s">
        <v>23</v>
      </c>
      <c r="L87" s="110" t="s">
        <v>23</v>
      </c>
      <c r="M87" s="110" t="s">
        <v>23</v>
      </c>
      <c r="N87" s="110" t="s">
        <v>23</v>
      </c>
      <c r="O87" s="111" t="s">
        <v>23</v>
      </c>
      <c r="P87" s="111" t="s">
        <v>23</v>
      </c>
      <c r="Q87" s="110" t="s">
        <v>23</v>
      </c>
      <c r="R87" s="110" t="s">
        <v>23</v>
      </c>
      <c r="S87" s="110" t="s">
        <v>23</v>
      </c>
      <c r="T87" s="110" t="s">
        <v>23</v>
      </c>
      <c r="U87" s="110" t="s">
        <v>23</v>
      </c>
      <c r="V87" s="110" t="s">
        <v>23</v>
      </c>
      <c r="W87" s="111" t="s">
        <v>23</v>
      </c>
      <c r="X87" s="111" t="s">
        <v>23</v>
      </c>
      <c r="Y87" s="110" t="s">
        <v>23</v>
      </c>
      <c r="Z87" s="110" t="s">
        <v>23</v>
      </c>
      <c r="AA87" s="110" t="s">
        <v>23</v>
      </c>
      <c r="AB87" s="110" t="s">
        <v>23</v>
      </c>
      <c r="AC87" s="110" t="s">
        <v>23</v>
      </c>
      <c r="AD87" s="110" t="s">
        <v>23</v>
      </c>
      <c r="AE87" s="111" t="s">
        <v>23</v>
      </c>
      <c r="AF87" s="111" t="s">
        <v>23</v>
      </c>
      <c r="AG87" s="94">
        <v>0</v>
      </c>
      <c r="AH87" s="112"/>
      <c r="AI87" s="112"/>
      <c r="AJ87" s="112"/>
      <c r="AK87" s="113" t="s">
        <v>31</v>
      </c>
      <c r="AL87" s="108"/>
    </row>
    <row r="88" spans="1:42">
      <c r="A88" s="121">
        <v>44631</v>
      </c>
      <c r="B88" s="109">
        <v>1600</v>
      </c>
      <c r="C88" s="109"/>
      <c r="D88" s="109" cm="1">
        <f t="array" ref="D88">(SUM(VLOOKUP(I88:AF88,$AM$4:$AO$44,2,FALSE))+AG88*10)*IF(AK88="是",$AY$4,$AY$3)</f>
        <v>0</v>
      </c>
      <c r="E88" s="57">
        <f>SUM($B$4:B88)+SUM($C$4:C88)-SUM($D$4:D88)</f>
        <v>126920</v>
      </c>
      <c r="F88" s="109" cm="1">
        <f t="array" ref="F88">SUM(VLOOKUP(I88:AF88,$AM$4:$AO$44,3,FALSE))</f>
        <v>0</v>
      </c>
      <c r="G88" s="109">
        <f>SUM($F$4:F88)+SUM($H$4:H88)</f>
        <v>10610</v>
      </c>
      <c r="H88" s="109">
        <v>0</v>
      </c>
      <c r="I88" s="110" t="s">
        <v>23</v>
      </c>
      <c r="J88" s="110" t="s">
        <v>23</v>
      </c>
      <c r="K88" s="110" t="s">
        <v>23</v>
      </c>
      <c r="L88" s="110" t="s">
        <v>23</v>
      </c>
      <c r="M88" s="110" t="s">
        <v>23</v>
      </c>
      <c r="N88" s="110" t="s">
        <v>23</v>
      </c>
      <c r="O88" s="111" t="s">
        <v>23</v>
      </c>
      <c r="P88" s="111" t="s">
        <v>23</v>
      </c>
      <c r="Q88" s="110" t="s">
        <v>23</v>
      </c>
      <c r="R88" s="110" t="s">
        <v>23</v>
      </c>
      <c r="S88" s="110" t="s">
        <v>23</v>
      </c>
      <c r="T88" s="110" t="s">
        <v>23</v>
      </c>
      <c r="U88" s="110" t="s">
        <v>23</v>
      </c>
      <c r="V88" s="110" t="s">
        <v>23</v>
      </c>
      <c r="W88" s="111" t="s">
        <v>23</v>
      </c>
      <c r="X88" s="111" t="s">
        <v>23</v>
      </c>
      <c r="Y88" s="110" t="s">
        <v>23</v>
      </c>
      <c r="Z88" s="110" t="s">
        <v>23</v>
      </c>
      <c r="AA88" s="110" t="s">
        <v>23</v>
      </c>
      <c r="AB88" s="110" t="s">
        <v>23</v>
      </c>
      <c r="AC88" s="110" t="s">
        <v>23</v>
      </c>
      <c r="AD88" s="110" t="s">
        <v>23</v>
      </c>
      <c r="AE88" s="111" t="s">
        <v>23</v>
      </c>
      <c r="AF88" s="111" t="s">
        <v>23</v>
      </c>
      <c r="AG88" s="94">
        <v>0</v>
      </c>
      <c r="AH88" s="112"/>
      <c r="AI88" s="112"/>
      <c r="AJ88" s="112"/>
      <c r="AK88" s="113" t="s">
        <v>31</v>
      </c>
      <c r="AL88" s="108"/>
    </row>
    <row r="89" spans="1:42">
      <c r="A89" s="121">
        <v>44632</v>
      </c>
      <c r="B89" s="109">
        <v>1600</v>
      </c>
      <c r="C89" s="109"/>
      <c r="D89" s="109" cm="1">
        <f t="array" ref="D89">(SUM(VLOOKUP(I89:AF89,$AM$4:$AO$44,2,FALSE))+AG89*10)*IF(AK89="是",$AY$4,$AY$3)</f>
        <v>0</v>
      </c>
      <c r="E89" s="57">
        <f>SUM($B$4:B89)+SUM($C$4:C89)-SUM($D$4:D89)</f>
        <v>128520</v>
      </c>
      <c r="F89" s="109" cm="1">
        <f t="array" ref="F89">SUM(VLOOKUP(I89:AF89,$AM$4:$AO$44,3,FALSE))</f>
        <v>0</v>
      </c>
      <c r="G89" s="109">
        <f>SUM($F$4:F89)+SUM($H$4:H89)</f>
        <v>10610</v>
      </c>
      <c r="H89" s="109">
        <v>0</v>
      </c>
      <c r="I89" s="110" t="s">
        <v>23</v>
      </c>
      <c r="J89" s="110" t="s">
        <v>23</v>
      </c>
      <c r="K89" s="110" t="s">
        <v>23</v>
      </c>
      <c r="L89" s="110" t="s">
        <v>23</v>
      </c>
      <c r="M89" s="110" t="s">
        <v>23</v>
      </c>
      <c r="N89" s="110" t="s">
        <v>23</v>
      </c>
      <c r="O89" s="111" t="s">
        <v>23</v>
      </c>
      <c r="P89" s="111" t="s">
        <v>23</v>
      </c>
      <c r="Q89" s="110" t="s">
        <v>23</v>
      </c>
      <c r="R89" s="110" t="s">
        <v>23</v>
      </c>
      <c r="S89" s="110" t="s">
        <v>23</v>
      </c>
      <c r="T89" s="110" t="s">
        <v>23</v>
      </c>
      <c r="U89" s="110" t="s">
        <v>23</v>
      </c>
      <c r="V89" s="110" t="s">
        <v>23</v>
      </c>
      <c r="W89" s="111" t="s">
        <v>23</v>
      </c>
      <c r="X89" s="111" t="s">
        <v>23</v>
      </c>
      <c r="Y89" s="110" t="s">
        <v>23</v>
      </c>
      <c r="Z89" s="110" t="s">
        <v>23</v>
      </c>
      <c r="AA89" s="110" t="s">
        <v>23</v>
      </c>
      <c r="AB89" s="110" t="s">
        <v>23</v>
      </c>
      <c r="AC89" s="110" t="s">
        <v>23</v>
      </c>
      <c r="AD89" s="110" t="s">
        <v>23</v>
      </c>
      <c r="AE89" s="111" t="s">
        <v>23</v>
      </c>
      <c r="AF89" s="111" t="s">
        <v>23</v>
      </c>
      <c r="AG89" s="94">
        <v>0</v>
      </c>
      <c r="AH89" s="112">
        <v>1</v>
      </c>
      <c r="AI89" s="112"/>
      <c r="AJ89" s="112"/>
      <c r="AK89" s="113" t="s">
        <v>31</v>
      </c>
      <c r="AL89" s="108"/>
    </row>
    <row r="90" spans="1:42">
      <c r="A90" s="121">
        <v>44633</v>
      </c>
      <c r="B90" s="109">
        <v>1600</v>
      </c>
      <c r="C90" s="109"/>
      <c r="D90" s="109" cm="1">
        <f t="array" ref="D90">(SUM(VLOOKUP(I90:AF90,$AM$4:$AO$44,2,FALSE))+AG90*10)*IF(AK90="是",$AY$4,$AY$3)</f>
        <v>0</v>
      </c>
      <c r="E90" s="57">
        <f>SUM($B$4:B90)+SUM($C$4:C90)-SUM($D$4:D90)</f>
        <v>130120</v>
      </c>
      <c r="F90" s="109" cm="1">
        <f t="array" ref="F90">SUM(VLOOKUP(I90:AF90,$AM$4:$AO$44,3,FALSE))</f>
        <v>0</v>
      </c>
      <c r="G90" s="109">
        <f>SUM($F$4:F90)+SUM($H$4:H90)</f>
        <v>10610</v>
      </c>
      <c r="H90" s="109">
        <v>0</v>
      </c>
      <c r="I90" s="110" t="s">
        <v>23</v>
      </c>
      <c r="J90" s="110" t="s">
        <v>23</v>
      </c>
      <c r="K90" s="110" t="s">
        <v>23</v>
      </c>
      <c r="L90" s="110" t="s">
        <v>23</v>
      </c>
      <c r="M90" s="110" t="s">
        <v>23</v>
      </c>
      <c r="N90" s="110" t="s">
        <v>23</v>
      </c>
      <c r="O90" s="111" t="s">
        <v>23</v>
      </c>
      <c r="P90" s="111" t="s">
        <v>23</v>
      </c>
      <c r="Q90" s="110" t="s">
        <v>23</v>
      </c>
      <c r="R90" s="110" t="s">
        <v>23</v>
      </c>
      <c r="S90" s="110" t="s">
        <v>23</v>
      </c>
      <c r="T90" s="110" t="s">
        <v>23</v>
      </c>
      <c r="U90" s="110" t="s">
        <v>23</v>
      </c>
      <c r="V90" s="110" t="s">
        <v>23</v>
      </c>
      <c r="W90" s="111" t="s">
        <v>23</v>
      </c>
      <c r="X90" s="111" t="s">
        <v>23</v>
      </c>
      <c r="Y90" s="110" t="s">
        <v>23</v>
      </c>
      <c r="Z90" s="110" t="s">
        <v>23</v>
      </c>
      <c r="AA90" s="110" t="s">
        <v>23</v>
      </c>
      <c r="AB90" s="110" t="s">
        <v>23</v>
      </c>
      <c r="AC90" s="110" t="s">
        <v>23</v>
      </c>
      <c r="AD90" s="110" t="s">
        <v>23</v>
      </c>
      <c r="AE90" s="111" t="s">
        <v>23</v>
      </c>
      <c r="AF90" s="111" t="s">
        <v>23</v>
      </c>
      <c r="AG90" s="94">
        <v>0</v>
      </c>
      <c r="AH90" s="112"/>
      <c r="AI90" s="112"/>
      <c r="AJ90" s="112"/>
      <c r="AK90" s="113" t="s">
        <v>31</v>
      </c>
      <c r="AL90" s="108"/>
    </row>
    <row r="91" spans="1:42">
      <c r="A91" s="121">
        <v>44634</v>
      </c>
      <c r="B91" s="110">
        <v>1600</v>
      </c>
      <c r="C91" s="110"/>
      <c r="D91" s="109" cm="1">
        <f t="array" ref="D91">(SUM(VLOOKUP(I91:AF91,$AM$4:$AO$44,2,FALSE))+AG91*10)*IF(AK91="是",$AY$4,$AY$3)</f>
        <v>0</v>
      </c>
      <c r="E91" s="57">
        <f>SUM($B$4:B91)+SUM($C$4:C91)-SUM($D$4:D91)</f>
        <v>131720</v>
      </c>
      <c r="F91" s="109" cm="1">
        <f t="array" ref="F91">SUM(VLOOKUP(I91:AF91,$AM$4:$AO$44,3,FALSE))</f>
        <v>0</v>
      </c>
      <c r="G91" s="109">
        <f>SUM($F$4:F91)+SUM($H$4:H91)</f>
        <v>10910</v>
      </c>
      <c r="H91" s="110">
        <v>300</v>
      </c>
      <c r="I91" s="110" t="s">
        <v>23</v>
      </c>
      <c r="J91" s="110" t="s">
        <v>23</v>
      </c>
      <c r="K91" s="110" t="s">
        <v>23</v>
      </c>
      <c r="L91" s="110" t="s">
        <v>23</v>
      </c>
      <c r="M91" s="110" t="s">
        <v>23</v>
      </c>
      <c r="N91" s="110" t="s">
        <v>23</v>
      </c>
      <c r="O91" s="111" t="s">
        <v>23</v>
      </c>
      <c r="P91" s="111" t="s">
        <v>23</v>
      </c>
      <c r="Q91" s="110" t="s">
        <v>23</v>
      </c>
      <c r="R91" s="110" t="s">
        <v>23</v>
      </c>
      <c r="S91" s="110" t="s">
        <v>23</v>
      </c>
      <c r="T91" s="110" t="s">
        <v>23</v>
      </c>
      <c r="U91" s="110" t="s">
        <v>23</v>
      </c>
      <c r="V91" s="110" t="s">
        <v>23</v>
      </c>
      <c r="W91" s="111" t="s">
        <v>23</v>
      </c>
      <c r="X91" s="111" t="s">
        <v>23</v>
      </c>
      <c r="Y91" s="110" t="s">
        <v>23</v>
      </c>
      <c r="Z91" s="110" t="s">
        <v>23</v>
      </c>
      <c r="AA91" s="110" t="s">
        <v>23</v>
      </c>
      <c r="AB91" s="110" t="s">
        <v>23</v>
      </c>
      <c r="AC91" s="110" t="s">
        <v>23</v>
      </c>
      <c r="AD91" s="110" t="s">
        <v>23</v>
      </c>
      <c r="AE91" s="111" t="s">
        <v>23</v>
      </c>
      <c r="AF91" s="111" t="s">
        <v>23</v>
      </c>
      <c r="AG91" s="94">
        <v>0</v>
      </c>
      <c r="AH91" s="112"/>
      <c r="AI91" s="112"/>
      <c r="AJ91" s="112"/>
      <c r="AK91" s="113" t="s">
        <v>31</v>
      </c>
      <c r="AL91" s="108"/>
    </row>
    <row r="92" spans="1:42">
      <c r="A92" s="121">
        <v>44635</v>
      </c>
      <c r="B92" s="110">
        <v>1600</v>
      </c>
      <c r="C92" s="110"/>
      <c r="D92" s="109" cm="1">
        <f t="array" ref="D92">(SUM(VLOOKUP(I92:AF92,$AM$4:$AO$44,2,FALSE))+AG92*10)*IF(AK92="是",$AY$4,$AY$3)</f>
        <v>0</v>
      </c>
      <c r="E92" s="57">
        <f>SUM($B$4:B92)+SUM($C$4:C92)-SUM($D$4:D92)</f>
        <v>133320</v>
      </c>
      <c r="F92" s="109" cm="1">
        <f t="array" ref="F92">SUM(VLOOKUP(I92:AF92,$AM$4:$AO$44,3,FALSE))</f>
        <v>0</v>
      </c>
      <c r="G92" s="109">
        <f>SUM($F$4:F92)+SUM($H$4:H92)</f>
        <v>10910</v>
      </c>
      <c r="H92" s="110">
        <v>0</v>
      </c>
      <c r="I92" s="110" t="s">
        <v>23</v>
      </c>
      <c r="J92" s="110" t="s">
        <v>23</v>
      </c>
      <c r="K92" s="110" t="s">
        <v>23</v>
      </c>
      <c r="L92" s="110" t="s">
        <v>23</v>
      </c>
      <c r="M92" s="110" t="s">
        <v>23</v>
      </c>
      <c r="N92" s="110" t="s">
        <v>23</v>
      </c>
      <c r="O92" s="111" t="s">
        <v>23</v>
      </c>
      <c r="P92" s="111" t="s">
        <v>23</v>
      </c>
      <c r="Q92" s="110" t="s">
        <v>23</v>
      </c>
      <c r="R92" s="110" t="s">
        <v>23</v>
      </c>
      <c r="S92" s="110" t="s">
        <v>23</v>
      </c>
      <c r="T92" s="110" t="s">
        <v>23</v>
      </c>
      <c r="U92" s="110" t="s">
        <v>23</v>
      </c>
      <c r="V92" s="110" t="s">
        <v>23</v>
      </c>
      <c r="W92" s="111" t="s">
        <v>23</v>
      </c>
      <c r="X92" s="111" t="s">
        <v>23</v>
      </c>
      <c r="Y92" s="110" t="s">
        <v>23</v>
      </c>
      <c r="Z92" s="110" t="s">
        <v>23</v>
      </c>
      <c r="AA92" s="110" t="s">
        <v>23</v>
      </c>
      <c r="AB92" s="110" t="s">
        <v>23</v>
      </c>
      <c r="AC92" s="110" t="s">
        <v>23</v>
      </c>
      <c r="AD92" s="110" t="s">
        <v>23</v>
      </c>
      <c r="AE92" s="111" t="s">
        <v>23</v>
      </c>
      <c r="AF92" s="111" t="s">
        <v>23</v>
      </c>
      <c r="AG92" s="94">
        <v>0</v>
      </c>
      <c r="AH92" s="112">
        <v>2</v>
      </c>
      <c r="AI92" s="112"/>
      <c r="AJ92" s="112">
        <v>4</v>
      </c>
      <c r="AK92" s="113" t="s">
        <v>31</v>
      </c>
      <c r="AL92" s="108"/>
    </row>
    <row r="93" spans="1:42">
      <c r="A93" s="121">
        <v>44636</v>
      </c>
      <c r="B93" s="110">
        <v>1600</v>
      </c>
      <c r="C93" s="110"/>
      <c r="D93" s="109" cm="1">
        <f t="array" ref="D93">(SUM(VLOOKUP(I93:AF93,$AM$4:$AO$44,2,FALSE))+AG93*10)*IF(AK93="是",$AY$4,$AY$3)</f>
        <v>0</v>
      </c>
      <c r="E93" s="57">
        <f>SUM($B$4:B93)+SUM($C$4:C93)-SUM($D$4:D93)</f>
        <v>134920</v>
      </c>
      <c r="F93" s="109" cm="1">
        <f t="array" ref="F93">SUM(VLOOKUP(I93:AF93,$AM$4:$AO$44,3,FALSE))</f>
        <v>0</v>
      </c>
      <c r="G93" s="109">
        <f>SUM($F$4:F93)+SUM($H$4:H93)</f>
        <v>11110</v>
      </c>
      <c r="H93" s="110">
        <v>200</v>
      </c>
      <c r="I93" s="110" t="s">
        <v>23</v>
      </c>
      <c r="J93" s="110" t="s">
        <v>23</v>
      </c>
      <c r="K93" s="110" t="s">
        <v>23</v>
      </c>
      <c r="L93" s="110" t="s">
        <v>23</v>
      </c>
      <c r="M93" s="110" t="s">
        <v>23</v>
      </c>
      <c r="N93" s="110" t="s">
        <v>23</v>
      </c>
      <c r="O93" s="111" t="s">
        <v>23</v>
      </c>
      <c r="P93" s="111" t="s">
        <v>23</v>
      </c>
      <c r="Q93" s="110" t="s">
        <v>23</v>
      </c>
      <c r="R93" s="110" t="s">
        <v>23</v>
      </c>
      <c r="S93" s="110" t="s">
        <v>23</v>
      </c>
      <c r="T93" s="110" t="s">
        <v>23</v>
      </c>
      <c r="U93" s="110" t="s">
        <v>23</v>
      </c>
      <c r="V93" s="110" t="s">
        <v>23</v>
      </c>
      <c r="W93" s="111" t="s">
        <v>23</v>
      </c>
      <c r="X93" s="111" t="s">
        <v>23</v>
      </c>
      <c r="Y93" s="110" t="s">
        <v>23</v>
      </c>
      <c r="Z93" s="110" t="s">
        <v>23</v>
      </c>
      <c r="AA93" s="110" t="s">
        <v>23</v>
      </c>
      <c r="AB93" s="110" t="s">
        <v>23</v>
      </c>
      <c r="AC93" s="110" t="s">
        <v>23</v>
      </c>
      <c r="AD93" s="110" t="s">
        <v>23</v>
      </c>
      <c r="AE93" s="111" t="s">
        <v>23</v>
      </c>
      <c r="AF93" s="111" t="s">
        <v>23</v>
      </c>
      <c r="AG93" s="94">
        <v>0</v>
      </c>
      <c r="AH93" s="112">
        <v>2</v>
      </c>
      <c r="AI93" s="112">
        <v>1</v>
      </c>
      <c r="AJ93" s="112">
        <v>1</v>
      </c>
      <c r="AK93" s="113" t="s">
        <v>31</v>
      </c>
      <c r="AL93" s="108"/>
    </row>
    <row r="94" spans="1:42" ht="15" thickBot="1">
      <c r="A94" s="121">
        <v>44637</v>
      </c>
      <c r="B94" s="110">
        <v>1600</v>
      </c>
      <c r="C94" s="110"/>
      <c r="D94" s="109" cm="1">
        <f t="array" ref="D94">(SUM(VLOOKUP(I94:AF94,$AM$4:$AO$44,2,FALSE))+AG94*10)*IF(AK94="是",$AY$4,$AY$3)</f>
        <v>0</v>
      </c>
      <c r="E94" s="57">
        <f>SUM($B$4:B94)+SUM($C$4:C94)-SUM($D$4:D94)</f>
        <v>136520</v>
      </c>
      <c r="F94" s="109" cm="1">
        <f t="array" ref="F94">SUM(VLOOKUP(I94:AF94,$AM$4:$AO$44,3,FALSE))</f>
        <v>0</v>
      </c>
      <c r="G94" s="109">
        <f>SUM($F$4:F94)+SUM($H$4:H94)</f>
        <v>11110</v>
      </c>
      <c r="H94" s="110">
        <v>0</v>
      </c>
      <c r="I94" s="110" t="s">
        <v>23</v>
      </c>
      <c r="J94" s="110" t="s">
        <v>23</v>
      </c>
      <c r="K94" s="110" t="s">
        <v>23</v>
      </c>
      <c r="L94" s="110" t="s">
        <v>23</v>
      </c>
      <c r="M94" s="110" t="s">
        <v>23</v>
      </c>
      <c r="N94" s="110" t="s">
        <v>23</v>
      </c>
      <c r="O94" s="111" t="s">
        <v>23</v>
      </c>
      <c r="P94" s="111" t="s">
        <v>23</v>
      </c>
      <c r="Q94" s="110" t="s">
        <v>23</v>
      </c>
      <c r="R94" s="110" t="s">
        <v>23</v>
      </c>
      <c r="S94" s="110" t="s">
        <v>23</v>
      </c>
      <c r="T94" s="110" t="s">
        <v>23</v>
      </c>
      <c r="U94" s="110" t="s">
        <v>23</v>
      </c>
      <c r="V94" s="110" t="s">
        <v>23</v>
      </c>
      <c r="W94" s="111" t="s">
        <v>23</v>
      </c>
      <c r="X94" s="111" t="s">
        <v>23</v>
      </c>
      <c r="Y94" s="110" t="s">
        <v>23</v>
      </c>
      <c r="Z94" s="110" t="s">
        <v>23</v>
      </c>
      <c r="AA94" s="110" t="s">
        <v>23</v>
      </c>
      <c r="AB94" s="110" t="s">
        <v>23</v>
      </c>
      <c r="AC94" s="110" t="s">
        <v>23</v>
      </c>
      <c r="AD94" s="110" t="s">
        <v>23</v>
      </c>
      <c r="AE94" s="111" t="s">
        <v>23</v>
      </c>
      <c r="AF94" s="111" t="s">
        <v>23</v>
      </c>
      <c r="AG94" s="94">
        <v>0</v>
      </c>
      <c r="AH94" s="112"/>
      <c r="AI94" s="112"/>
      <c r="AJ94" s="112">
        <v>1</v>
      </c>
      <c r="AK94" s="117" t="s">
        <v>31</v>
      </c>
      <c r="AL94" s="108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4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{F69E96A7-D2EF-410F-BE23-788F3FAE4895}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9E96A7-D2EF-410F-BE23-788F3FAE48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dimension ref="A1:O92"/>
  <sheetViews>
    <sheetView workbookViewId="0">
      <selection activeCell="K23" sqref="K23:K24"/>
    </sheetView>
  </sheetViews>
  <sheetFormatPr defaultRowHeight="14.4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126" t="s">
        <v>18</v>
      </c>
      <c r="C2" t="s">
        <v>23</v>
      </c>
      <c r="D2" s="22" t="s">
        <v>18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0.27130044843049328</v>
      </c>
      <c r="O2" s="20" t="s">
        <v>16</v>
      </c>
    </row>
    <row r="3" spans="1:15">
      <c r="A3">
        <v>2</v>
      </c>
      <c r="B3" s="126" t="s">
        <v>18</v>
      </c>
      <c r="C3" t="s">
        <v>23</v>
      </c>
      <c r="D3" s="22" t="s">
        <v>18</v>
      </c>
      <c r="F3" s="19" t="s">
        <v>22</v>
      </c>
      <c r="G3" s="19" cm="1">
        <f t="array" ref="G3">(SUM(VLOOKUP(B2:B92,'102.5.1.01'!$AL$4:$AN$44,2,FALSE))+八卦前规划1!G2*10)</f>
        <v>1220</v>
      </c>
      <c r="H3" s="19" cm="1">
        <f t="array" ref="H3">(SUM(VLOOKUP(C2:C92,'102.5.1.01'!$AL$4:$AN$44,2,FALSE))+八卦前规划1!H2*10)</f>
        <v>0</v>
      </c>
      <c r="I3" s="19" cm="1">
        <f t="array" ref="I3">(SUM(VLOOKUP(D2:D92,'102.5.1.01'!$AL$4:$AN$44,2,FALSE))+八卦前规划1!I2*10)</f>
        <v>1010</v>
      </c>
      <c r="J3" s="19">
        <f t="shared" ref="J3:J5" si="0">SUM(G3:I3)</f>
        <v>2230</v>
      </c>
      <c r="K3" s="19"/>
      <c r="O3" s="21" t="s">
        <v>17</v>
      </c>
    </row>
    <row r="4" spans="1:15">
      <c r="A4">
        <v>3</v>
      </c>
      <c r="B4" s="126" t="s">
        <v>18</v>
      </c>
      <c r="C4" t="s">
        <v>23</v>
      </c>
      <c r="D4" s="22" t="s">
        <v>18</v>
      </c>
      <c r="F4" s="19" t="s">
        <v>24</v>
      </c>
      <c r="G4" s="19" cm="1">
        <f t="array" ref="G4">(SUM(VLOOKUP(B2:B92,'102.5.1.01'!$AL$4:$AN$44,3,FALSE)))</f>
        <v>330</v>
      </c>
      <c r="H4" s="19" cm="1">
        <f t="array" ref="H4">(SUM(VLOOKUP(C2:C92,'102.5.1.01'!$AL$4:$AN$44,3,FALSE)))</f>
        <v>0</v>
      </c>
      <c r="I4" s="19" cm="1">
        <f t="array" ref="I4">(SUM(VLOOKUP(D2:D92,'102.5.1.01'!$AL$4:$AN$44,3,FALSE)))</f>
        <v>275</v>
      </c>
      <c r="J4" s="19">
        <f t="shared" si="0"/>
        <v>605</v>
      </c>
      <c r="K4" s="19"/>
      <c r="O4" s="22" t="s">
        <v>18</v>
      </c>
    </row>
    <row r="5" spans="1:15">
      <c r="A5">
        <v>4</v>
      </c>
      <c r="B5" s="127" t="s">
        <v>19</v>
      </c>
      <c r="C5" t="s">
        <v>23</v>
      </c>
      <c r="D5" s="22" t="s">
        <v>18</v>
      </c>
      <c r="F5" s="19" t="s">
        <v>46</v>
      </c>
      <c r="G5" s="19">
        <f>COUNTIF(B2:B92,"&lt;&gt;空")</f>
        <v>7</v>
      </c>
      <c r="H5" s="19">
        <f t="shared" ref="H5:I5" si="1">COUNTIF(C2:C92,"&lt;&gt;空")</f>
        <v>0</v>
      </c>
      <c r="I5" s="19">
        <f t="shared" si="1"/>
        <v>6</v>
      </c>
      <c r="J5" s="19">
        <f t="shared" si="0"/>
        <v>13</v>
      </c>
      <c r="K5" s="19"/>
      <c r="O5" s="23" t="s">
        <v>19</v>
      </c>
    </row>
    <row r="6" spans="1:15">
      <c r="A6">
        <v>5</v>
      </c>
      <c r="B6" s="127" t="s">
        <v>19</v>
      </c>
      <c r="C6" t="s">
        <v>23</v>
      </c>
      <c r="D6" s="22" t="s">
        <v>7</v>
      </c>
      <c r="F6" s="19" t="s">
        <v>66</v>
      </c>
      <c r="G6">
        <f>G4/G3</f>
        <v>0.27049180327868855</v>
      </c>
      <c r="H6" t="e">
        <f t="shared" ref="H6:J6" si="2">H4/H3</f>
        <v>#DIV/0!</v>
      </c>
      <c r="I6">
        <f t="shared" si="2"/>
        <v>0.2722772277227723</v>
      </c>
      <c r="J6">
        <f t="shared" si="2"/>
        <v>0.27130044843049328</v>
      </c>
      <c r="O6" s="24" t="s">
        <v>20</v>
      </c>
    </row>
    <row r="7" spans="1:15">
      <c r="A7">
        <v>6</v>
      </c>
      <c r="B7" s="127" t="s">
        <v>19</v>
      </c>
      <c r="C7" t="s">
        <v>23</v>
      </c>
      <c r="D7" s="23" t="s">
        <v>19</v>
      </c>
      <c r="O7" s="25" t="s">
        <v>21</v>
      </c>
    </row>
    <row r="8" spans="1:15">
      <c r="A8">
        <v>7</v>
      </c>
      <c r="B8" s="126" t="s">
        <v>18</v>
      </c>
      <c r="C8" t="s">
        <v>23</v>
      </c>
      <c r="D8" t="s">
        <v>23</v>
      </c>
      <c r="O8" s="20" t="s">
        <v>5</v>
      </c>
    </row>
    <row r="9" spans="1:15">
      <c r="A9">
        <v>8</v>
      </c>
      <c r="B9" t="s">
        <v>23</v>
      </c>
      <c r="C9" t="s">
        <v>23</v>
      </c>
      <c r="D9" t="s">
        <v>23</v>
      </c>
      <c r="O9" s="21" t="s">
        <v>6</v>
      </c>
    </row>
    <row r="10" spans="1:15">
      <c r="A10">
        <v>9</v>
      </c>
      <c r="B10" t="s">
        <v>23</v>
      </c>
      <c r="C10" t="s">
        <v>23</v>
      </c>
      <c r="D10" t="s">
        <v>23</v>
      </c>
      <c r="O10" s="22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O11" s="23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O12" s="24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O13" s="2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dimension ref="A1:O92"/>
  <sheetViews>
    <sheetView topLeftCell="A7" workbookViewId="0">
      <selection activeCell="H17" sqref="H17"/>
    </sheetView>
  </sheetViews>
  <sheetFormatPr defaultRowHeight="14.4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</row>
    <row r="2" spans="1:15">
      <c r="A2">
        <v>1</v>
      </c>
      <c r="B2" s="28" t="s">
        <v>12</v>
      </c>
      <c r="C2" s="22" t="s">
        <v>18</v>
      </c>
      <c r="D2" t="s">
        <v>23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t="s">
        <v>23</v>
      </c>
      <c r="F3" s="19" t="s">
        <v>22</v>
      </c>
      <c r="G3" s="19" cm="1">
        <f t="array" ref="G3">(SUM(VLOOKUP(B2:B92,'102.5.1.01'!$AL$4:$AN$44,2,FALSE))+八卦后规划1!G2*10)*0.8</f>
        <v>1080</v>
      </c>
      <c r="H3" s="19" cm="1">
        <f t="array" ref="H3">(SUM(VLOOKUP(C2:C92,'102.5.1.01'!$AL$4:$AN$44,2,FALSE))+八卦后规划1!H2*10)*0.8</f>
        <v>1632</v>
      </c>
      <c r="I3" s="19" cm="1">
        <f t="array" ref="I3">(SUM(VLOOKUP(D2:D92,'102.5.1.01'!$AL$4:$AN$44,2,FALSE))+八卦后规划1!I2*10)*0.8</f>
        <v>0</v>
      </c>
      <c r="J3" s="19">
        <f t="shared" ref="J3:J5" si="0">SUM(G3:I3)</f>
        <v>2712</v>
      </c>
      <c r="K3" s="19"/>
      <c r="O3" s="21" t="s">
        <v>17</v>
      </c>
    </row>
    <row r="4" spans="1:15">
      <c r="A4">
        <v>3</v>
      </c>
      <c r="B4" s="21" t="s">
        <v>17</v>
      </c>
      <c r="C4" s="22" t="s">
        <v>18</v>
      </c>
      <c r="D4" t="s">
        <v>23</v>
      </c>
      <c r="F4" s="19" t="s">
        <v>24</v>
      </c>
      <c r="G4" s="19" cm="1">
        <f t="array" ref="G4">(SUM(VLOOKUP(B2:B92,'102.5.1.01'!$AL$4:$AN$44,3,FALSE)))</f>
        <v>405</v>
      </c>
      <c r="H4" s="19" cm="1">
        <f t="array" ref="H4">(SUM(VLOOKUP(C2:C92,'102.5.1.01'!$AL$4:$AN$44,3,FALSE)))</f>
        <v>540</v>
      </c>
      <c r="I4" s="19" cm="1">
        <f t="array" ref="I4">(SUM(VLOOKUP(D2:D92,'102.5.1.01'!$AL$4:$AN$44,3,FALSE)))</f>
        <v>0</v>
      </c>
      <c r="J4" s="71">
        <f t="shared" si="0"/>
        <v>945</v>
      </c>
      <c r="K4" s="19"/>
      <c r="O4" s="22" t="s">
        <v>18</v>
      </c>
    </row>
    <row r="5" spans="1:15">
      <c r="A5">
        <v>4</v>
      </c>
      <c r="B5" s="21" t="s">
        <v>17</v>
      </c>
      <c r="C5" s="22" t="s">
        <v>18</v>
      </c>
      <c r="D5" t="s">
        <v>23</v>
      </c>
      <c r="F5" s="19" t="s">
        <v>46</v>
      </c>
      <c r="G5" s="19">
        <f>COUNTIF(B2:B92,"&lt;&gt;空")</f>
        <v>9</v>
      </c>
      <c r="H5" s="19">
        <f t="shared" ref="H5:I5" si="1">COUNTIF(C2:C92,"&lt;&gt;空")</f>
        <v>12</v>
      </c>
      <c r="I5" s="19">
        <f t="shared" si="1"/>
        <v>0</v>
      </c>
      <c r="J5" s="19">
        <f t="shared" si="0"/>
        <v>21</v>
      </c>
      <c r="K5" s="19"/>
      <c r="O5" s="23" t="s">
        <v>19</v>
      </c>
    </row>
    <row r="6" spans="1:15">
      <c r="A6">
        <v>5</v>
      </c>
      <c r="B6" s="21" t="s">
        <v>17</v>
      </c>
      <c r="C6" s="22" t="s">
        <v>18</v>
      </c>
      <c r="D6" t="s">
        <v>23</v>
      </c>
      <c r="F6" s="19" t="s">
        <v>66</v>
      </c>
      <c r="G6">
        <f>G4/G3</f>
        <v>0.375</v>
      </c>
      <c r="H6" s="122">
        <f t="shared" ref="H6:J6" si="2">H4/H3</f>
        <v>0.33088235294117646</v>
      </c>
      <c r="I6" t="e">
        <f t="shared" si="2"/>
        <v>#DIV/0!</v>
      </c>
      <c r="J6">
        <f t="shared" si="2"/>
        <v>0.34845132743362833</v>
      </c>
      <c r="O6" s="24" t="s">
        <v>20</v>
      </c>
    </row>
    <row r="7" spans="1:15">
      <c r="A7">
        <v>6</v>
      </c>
      <c r="B7" s="28" t="s">
        <v>12</v>
      </c>
      <c r="C7" s="22" t="s">
        <v>18</v>
      </c>
      <c r="D7" t="s">
        <v>23</v>
      </c>
      <c r="O7" s="25" t="s">
        <v>21</v>
      </c>
    </row>
    <row r="8" spans="1:15">
      <c r="A8">
        <v>7</v>
      </c>
      <c r="B8" s="25" t="s">
        <v>21</v>
      </c>
      <c r="C8" s="22" t="s">
        <v>18</v>
      </c>
      <c r="D8" t="s">
        <v>23</v>
      </c>
      <c r="O8" s="20" t="s">
        <v>5</v>
      </c>
    </row>
    <row r="9" spans="1:15">
      <c r="A9">
        <v>8</v>
      </c>
      <c r="B9" s="25" t="s">
        <v>21</v>
      </c>
      <c r="C9" s="22" t="s">
        <v>18</v>
      </c>
      <c r="D9" t="s">
        <v>23</v>
      </c>
      <c r="O9" s="21" t="s">
        <v>6</v>
      </c>
    </row>
    <row r="10" spans="1:15">
      <c r="A10">
        <v>9</v>
      </c>
      <c r="B10" s="25" t="s">
        <v>21</v>
      </c>
      <c r="C10" s="22" t="s">
        <v>18</v>
      </c>
      <c r="D10" t="s">
        <v>23</v>
      </c>
      <c r="H10">
        <v>1</v>
      </c>
      <c r="I10">
        <v>150</v>
      </c>
      <c r="J10">
        <v>35</v>
      </c>
      <c r="K10">
        <f>I10-J10/$H$6</f>
        <v>44.222222222222214</v>
      </c>
      <c r="O10" s="22" t="s">
        <v>7</v>
      </c>
    </row>
    <row r="11" spans="1:15">
      <c r="A11">
        <v>10</v>
      </c>
      <c r="B11" t="s">
        <v>23</v>
      </c>
      <c r="C11" s="22" t="s">
        <v>18</v>
      </c>
      <c r="D11" t="s">
        <v>23</v>
      </c>
      <c r="H11">
        <v>2</v>
      </c>
      <c r="I11">
        <v>160</v>
      </c>
      <c r="J11">
        <v>40</v>
      </c>
      <c r="K11">
        <f t="shared" ref="K11:K13" si="3">I11-J11/$H$6</f>
        <v>39.111111111111114</v>
      </c>
      <c r="O11" s="23" t="s">
        <v>8</v>
      </c>
    </row>
    <row r="12" spans="1:15">
      <c r="A12">
        <v>11</v>
      </c>
      <c r="B12" t="s">
        <v>23</v>
      </c>
      <c r="C12" s="22" t="s">
        <v>18</v>
      </c>
      <c r="D12" t="s">
        <v>23</v>
      </c>
      <c r="H12">
        <v>3</v>
      </c>
      <c r="I12">
        <v>170</v>
      </c>
      <c r="J12">
        <v>45</v>
      </c>
      <c r="K12">
        <f t="shared" si="3"/>
        <v>34</v>
      </c>
      <c r="O12" s="24" t="s">
        <v>9</v>
      </c>
    </row>
    <row r="13" spans="1:15">
      <c r="A13">
        <v>12</v>
      </c>
      <c r="B13" t="s">
        <v>23</v>
      </c>
      <c r="C13" s="22" t="s">
        <v>18</v>
      </c>
      <c r="D13" t="s">
        <v>23</v>
      </c>
      <c r="H13">
        <v>4</v>
      </c>
      <c r="I13">
        <v>180</v>
      </c>
      <c r="J13">
        <v>50</v>
      </c>
      <c r="K13">
        <f t="shared" si="3"/>
        <v>28.888888888888886</v>
      </c>
      <c r="O13" s="25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dimension ref="A1:T92"/>
  <sheetViews>
    <sheetView workbookViewId="0">
      <selection activeCell="H15" sqref="H15"/>
    </sheetView>
  </sheetViews>
  <sheetFormatPr defaultRowHeight="14.4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89</v>
      </c>
      <c r="S1">
        <f>G3-32</f>
        <v>1464</v>
      </c>
      <c r="T1">
        <f>G3-48</f>
        <v>1448</v>
      </c>
    </row>
    <row r="2" spans="1:20">
      <c r="A2">
        <v>1</v>
      </c>
      <c r="B2" s="22" t="s">
        <v>18</v>
      </c>
      <c r="C2" s="21" t="s">
        <v>17</v>
      </c>
      <c r="D2" s="25" t="s">
        <v>21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  <c r="R2" t="s">
        <v>90</v>
      </c>
      <c r="S2">
        <f>G4-10</f>
        <v>490</v>
      </c>
      <c r="T2">
        <f>G4-15</f>
        <v>485</v>
      </c>
    </row>
    <row r="3" spans="1:20">
      <c r="A3">
        <v>2</v>
      </c>
      <c r="B3" s="22" t="s">
        <v>18</v>
      </c>
      <c r="C3" s="21" t="s">
        <v>17</v>
      </c>
      <c r="D3" s="25" t="s">
        <v>21</v>
      </c>
      <c r="F3" s="19" t="s">
        <v>22</v>
      </c>
      <c r="G3" s="19" cm="1">
        <f t="array" ref="G3">(SUM(VLOOKUP(B2:B92,'102.5.1.01'!$AL$4:$AN$44,2,FALSE))+八卦后规划2!G2*10)*0.8</f>
        <v>1496</v>
      </c>
      <c r="H3" s="19" cm="1">
        <f t="array" ref="H3">(SUM(VLOOKUP(C2:C92,'102.5.1.01'!$AL$4:$AN$44,2,FALSE))+八卦后规划2!H2*10)*0.8</f>
        <v>2080</v>
      </c>
      <c r="I3" s="19" cm="1">
        <f t="array" ref="I3">(SUM(VLOOKUP(D2:D92,'102.5.1.01'!$AL$4:$AN$44,2,FALSE))+八卦后规划2!I2*10)*0.8</f>
        <v>1568</v>
      </c>
      <c r="J3" s="19">
        <f t="shared" ref="J3:J5" si="0">SUM(G3:I3)</f>
        <v>5144</v>
      </c>
      <c r="K3" s="19"/>
      <c r="O3" s="21" t="s">
        <v>17</v>
      </c>
      <c r="S3">
        <f>S2/S1</f>
        <v>0.33469945355191255</v>
      </c>
      <c r="T3">
        <f>T2/T1</f>
        <v>0.33494475138121549</v>
      </c>
    </row>
    <row r="4" spans="1:20">
      <c r="A4">
        <v>3</v>
      </c>
      <c r="B4" s="22" t="s">
        <v>18</v>
      </c>
      <c r="C4" s="21" t="s">
        <v>17</v>
      </c>
      <c r="D4" s="25" t="s">
        <v>21</v>
      </c>
      <c r="F4" s="19" t="s">
        <v>24</v>
      </c>
      <c r="G4" s="19" cm="1">
        <f t="array" ref="G4">(SUM(VLOOKUP(B2:B92,'102.5.1.01'!$AL$4:$AN$44,3,FALSE)))</f>
        <v>500</v>
      </c>
      <c r="H4" s="19" cm="1">
        <f t="array" ref="H4">(SUM(VLOOKUP(C2:C92,'102.5.1.01'!$AL$4:$AN$44,3,FALSE)))</f>
        <v>715</v>
      </c>
      <c r="I4" s="19" cm="1">
        <f t="array" ref="I4">(SUM(VLOOKUP(D2:D92,'102.5.1.01'!$AL$4:$AN$44,3,FALSE)))</f>
        <v>580</v>
      </c>
      <c r="J4" s="71">
        <f t="shared" si="0"/>
        <v>1795</v>
      </c>
      <c r="K4" s="19"/>
      <c r="O4" s="22" t="s">
        <v>18</v>
      </c>
    </row>
    <row r="5" spans="1:20">
      <c r="A5">
        <v>4</v>
      </c>
      <c r="B5" s="22" t="s">
        <v>18</v>
      </c>
      <c r="C5" s="21" t="s">
        <v>17</v>
      </c>
      <c r="D5" s="25" t="s">
        <v>21</v>
      </c>
      <c r="F5" s="19" t="s">
        <v>46</v>
      </c>
      <c r="G5" s="19">
        <f>COUNTIF(B2:B92,"&lt;&gt;空")</f>
        <v>12</v>
      </c>
      <c r="H5" s="19">
        <f t="shared" ref="H5:I5" si="1">COUNTIF(C2:C92,"&lt;&gt;空")</f>
        <v>18</v>
      </c>
      <c r="I5" s="19">
        <f t="shared" si="1"/>
        <v>10</v>
      </c>
      <c r="J5" s="19">
        <f t="shared" si="0"/>
        <v>40</v>
      </c>
      <c r="K5" s="19"/>
      <c r="O5" s="23" t="s">
        <v>19</v>
      </c>
    </row>
    <row r="6" spans="1:20">
      <c r="A6">
        <v>5</v>
      </c>
      <c r="B6" s="22" t="s">
        <v>18</v>
      </c>
      <c r="C6" s="21" t="s">
        <v>17</v>
      </c>
      <c r="D6" s="25" t="s">
        <v>21</v>
      </c>
      <c r="F6" s="19" t="s">
        <v>66</v>
      </c>
      <c r="G6">
        <f>G4/G3</f>
        <v>0.33422459893048129</v>
      </c>
      <c r="H6" s="122">
        <f t="shared" ref="H6:J6" si="2">H4/H3</f>
        <v>0.34375</v>
      </c>
      <c r="I6">
        <f t="shared" si="2"/>
        <v>0.36989795918367346</v>
      </c>
      <c r="J6">
        <f t="shared" si="2"/>
        <v>0.34895023328149299</v>
      </c>
      <c r="O6" s="24" t="s">
        <v>20</v>
      </c>
    </row>
    <row r="7" spans="1:20">
      <c r="A7">
        <v>6</v>
      </c>
      <c r="B7" s="28" t="s">
        <v>12</v>
      </c>
      <c r="C7" s="28" t="s">
        <v>12</v>
      </c>
      <c r="D7" s="25" t="s">
        <v>21</v>
      </c>
      <c r="O7" s="25" t="s">
        <v>21</v>
      </c>
    </row>
    <row r="8" spans="1:20">
      <c r="A8">
        <v>7</v>
      </c>
      <c r="B8" s="22" t="s">
        <v>18</v>
      </c>
      <c r="C8" s="21" t="s">
        <v>17</v>
      </c>
      <c r="D8" s="24" t="s">
        <v>20</v>
      </c>
      <c r="O8" s="20" t="s">
        <v>5</v>
      </c>
    </row>
    <row r="9" spans="1:20">
      <c r="A9">
        <v>8</v>
      </c>
      <c r="B9" s="21" t="s">
        <v>17</v>
      </c>
      <c r="C9" s="21" t="s">
        <v>17</v>
      </c>
      <c r="D9" s="24" t="s">
        <v>20</v>
      </c>
      <c r="O9" s="21" t="s">
        <v>6</v>
      </c>
    </row>
    <row r="10" spans="1:20">
      <c r="A10">
        <v>9</v>
      </c>
      <c r="B10" s="21" t="s">
        <v>17</v>
      </c>
      <c r="C10" s="21" t="s">
        <v>17</v>
      </c>
      <c r="D10" s="24" t="s">
        <v>20</v>
      </c>
      <c r="H10">
        <v>1</v>
      </c>
      <c r="I10">
        <v>150</v>
      </c>
      <c r="J10">
        <v>35</v>
      </c>
      <c r="K10">
        <f>I10-J10/$H$6</f>
        <v>48.181818181818187</v>
      </c>
      <c r="O10" s="22" t="s">
        <v>7</v>
      </c>
    </row>
    <row r="11" spans="1:20">
      <c r="A11">
        <v>10</v>
      </c>
      <c r="B11" s="21" t="s">
        <v>17</v>
      </c>
      <c r="C11" s="21" t="s">
        <v>17</v>
      </c>
      <c r="D11" s="24" t="s">
        <v>20</v>
      </c>
      <c r="H11">
        <v>2</v>
      </c>
      <c r="I11">
        <v>160</v>
      </c>
      <c r="J11">
        <v>40</v>
      </c>
      <c r="K11">
        <f t="shared" ref="K11:K13" si="3">I11-J11/$H$6</f>
        <v>43.63636363636364</v>
      </c>
      <c r="O11" s="23" t="s">
        <v>8</v>
      </c>
    </row>
    <row r="12" spans="1:20">
      <c r="A12">
        <v>11</v>
      </c>
      <c r="B12" s="21" t="s">
        <v>17</v>
      </c>
      <c r="C12" s="28" t="s">
        <v>12</v>
      </c>
      <c r="D12" t="s">
        <v>23</v>
      </c>
      <c r="H12">
        <v>3</v>
      </c>
      <c r="I12">
        <v>170</v>
      </c>
      <c r="J12">
        <v>45</v>
      </c>
      <c r="K12">
        <f t="shared" si="3"/>
        <v>39.090909090909093</v>
      </c>
      <c r="O12" s="24" t="s">
        <v>9</v>
      </c>
    </row>
    <row r="13" spans="1:20">
      <c r="A13">
        <v>12</v>
      </c>
      <c r="B13" s="21" t="s">
        <v>17</v>
      </c>
      <c r="C13" s="21" t="s">
        <v>17</v>
      </c>
      <c r="D13" t="s">
        <v>23</v>
      </c>
      <c r="H13">
        <v>4</v>
      </c>
      <c r="I13">
        <v>180</v>
      </c>
      <c r="J13">
        <v>50</v>
      </c>
      <c r="K13">
        <f t="shared" si="3"/>
        <v>34.545454545454533</v>
      </c>
      <c r="O13" s="25" t="s">
        <v>10</v>
      </c>
    </row>
    <row r="14" spans="1:20">
      <c r="A14">
        <v>13</v>
      </c>
      <c r="B14" t="s">
        <v>23</v>
      </c>
      <c r="C14" s="21" t="s">
        <v>17</v>
      </c>
      <c r="D14" t="s">
        <v>23</v>
      </c>
      <c r="O14" s="26" t="s">
        <v>11</v>
      </c>
    </row>
    <row r="15" spans="1:20">
      <c r="A15">
        <v>14</v>
      </c>
      <c r="B15" t="s">
        <v>23</v>
      </c>
      <c r="C15" s="22" t="s">
        <v>18</v>
      </c>
      <c r="D15" t="s">
        <v>23</v>
      </c>
      <c r="O15" s="28" t="s">
        <v>12</v>
      </c>
    </row>
    <row r="16" spans="1:20">
      <c r="A16">
        <v>15</v>
      </c>
      <c r="B16" t="s">
        <v>23</v>
      </c>
      <c r="C16" s="22" t="s">
        <v>18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s="28" t="s">
        <v>12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s="22" t="s">
        <v>18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s="23" t="s">
        <v>19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102.5.1.05qq test</vt:lpstr>
      <vt:lpstr>102.5.1.05qq</vt:lpstr>
      <vt:lpstr>102.5.1.05</vt:lpstr>
      <vt:lpstr>102.5.1.04</vt:lpstr>
      <vt:lpstr>102.5.1.01</vt:lpstr>
      <vt:lpstr>6.0.01</vt:lpstr>
      <vt:lpstr>6.0.02</vt:lpstr>
      <vt:lpstr>狼</vt:lpstr>
      <vt:lpstr>八卦前规划1</vt:lpstr>
      <vt:lpstr>八卦后规划1</vt:lpstr>
      <vt:lpstr>八卦后规划2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2022-03-17T04:41:32Z</dcterms:modified>
</cp:coreProperties>
</file>