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5E36560E-40F9-4CBF-B118-91C1344C00FA}" xr6:coauthVersionLast="47" xr6:coauthVersionMax="47" xr10:uidLastSave="{00000000-0000-0000-0000-000000000000}"/>
  <bookViews>
    <workbookView xWindow="30705" yWindow="-930" windowWidth="26715" windowHeight="17385" xr2:uid="{00000000-000D-0000-FFFF-FFFF00000000}"/>
  </bookViews>
  <sheets>
    <sheet name="21.04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12" i="12" l="1"/>
  <c r="AM11" i="12"/>
  <c r="AG39" i="12"/>
  <c r="AG40" i="12"/>
  <c r="AG41" i="12"/>
  <c r="AG42" i="12"/>
  <c r="AG43" i="12"/>
  <c r="AG44" i="12"/>
  <c r="AG45" i="12"/>
  <c r="AG46" i="12"/>
  <c r="AG47" i="12"/>
  <c r="AG48" i="12"/>
  <c r="AG49" i="12"/>
  <c r="AT50" i="12"/>
  <c r="AS50" i="12" l="1"/>
  <c r="AS51" i="12"/>
  <c r="AT51" i="12" s="1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3" i="12" l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T53" i="12" s="1"/>
  <c r="AS52" i="12"/>
  <c r="AT52" i="12" s="1"/>
  <c r="AS54" i="12"/>
  <c r="AT54" i="12" s="1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55" i="12" l="1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23" i="12" l="1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AR45" i="12" s="1"/>
  <c r="BD22" i="12"/>
  <c r="AQ36" i="12"/>
  <c r="AR36" i="12" s="1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2" i="12" l="1"/>
  <c r="AR43" i="12"/>
  <c r="AS40" i="12"/>
  <c r="AS39" i="12"/>
  <c r="AR35" i="12"/>
  <c r="AS45" i="12"/>
  <c r="AR41" i="12"/>
  <c r="AQ46" i="12"/>
  <c r="AS38" i="12"/>
  <c r="AR33" i="12"/>
  <c r="BD30" i="12"/>
  <c r="AS36" i="12"/>
  <c r="AS34" i="12"/>
  <c r="AR34" i="12"/>
  <c r="AS37" i="12"/>
  <c r="L2" i="14"/>
  <c r="AR46" i="12" l="1"/>
  <c r="AR47" i="12" s="1"/>
  <c r="AX2" i="12" s="1"/>
  <c r="AS46" i="12"/>
  <c r="AS47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<sst xmlns="http://schemas.openxmlformats.org/spreadsheetml/2006/main" count="2377" uniqueCount="81">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</sst>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gray0625">
        <bgColor theme="8" tint="0.79995117038483843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53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6" fillId="28" borderId="13" xfId="0" applyFont="1" applyFill="1" applyBorder="1"/>
    <xf numFmtId="0" fontId="0" fillId="29" borderId="13" xfId="0" applyFill="1" applyBorder="1" applyAlignment="1">
      <alignment vertical="top"/>
    </xf>
    <xf numFmtId="0" fontId="26" fillId="30" borderId="13" xfId="0" applyFont="1" applyFill="1" applyBorder="1"/>
    <xf numFmtId="0" fontId="0" fillId="9" borderId="13" xfId="0" applyFill="1" applyBorder="1" applyAlignment="1">
      <alignment vertical="top"/>
    </xf>
    <xf numFmtId="0" fontId="27" fillId="9" borderId="13" xfId="0" applyFont="1" applyFill="1" applyBorder="1" applyAlignment="1">
      <alignment vertical="top"/>
    </xf>
    <xf numFmtId="0" fontId="27" fillId="31" borderId="13" xfId="0" applyFont="1" applyFill="1" applyBorder="1" applyAlignment="1">
      <alignment vertical="top"/>
    </xf>
    <xf numFmtId="0" fontId="0" fillId="31" borderId="13" xfId="0" applyFill="1" applyBorder="1" applyAlignment="1">
      <alignment vertical="top"/>
    </xf>
    <xf numFmtId="0" fontId="26" fillId="32" borderId="13" xfId="0" applyFont="1" applyFill="1" applyBorder="1"/>
    <xf numFmtId="0" fontId="22" fillId="0" borderId="0" xfId="0" applyFont="1" applyFill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Normal="100" workbookViewId="0">
      <pane ySplit="3" topLeftCell="A4" activePane="bottomLeft" state="frozen"/>
      <selection activeCell="AO32" sqref="AO32"/>
      <selection pane="bottomLeft" activeCell="AA22" sqref="AA22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15" customHeight="1" thickBot="1">
      <c r="A1" s="116">
        <f ca="1">(_xlfn.DAYS(TODAY(),A4)+2)/((_xlfn.DAYS(A93,A4))+1)</f>
        <v>5.5555555555555552E-2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9"/>
      <c r="AI1" s="19"/>
      <c r="AJ1" s="19"/>
      <c r="AO1" s="114"/>
      <c r="AP1" s="114"/>
      <c r="AQ1" s="114"/>
      <c r="AR1" s="37"/>
    </row>
    <row r="2" spans="1:57" ht="16.149999999999999" customHeight="1" thickBot="1">
      <c r="A2" s="44"/>
      <c r="B2" s="39"/>
      <c r="C2" s="68"/>
      <c r="D2" s="122" t="s">
        <v>1</v>
      </c>
      <c r="E2" s="123"/>
      <c r="F2" s="124">
        <f>SUM(F4:F93)+SUM(H4:H93)</f>
        <v>35940</v>
      </c>
      <c r="G2" s="124"/>
      <c r="H2" s="125"/>
      <c r="I2" s="126" t="s">
        <v>2</v>
      </c>
      <c r="J2" s="127"/>
      <c r="K2" s="96" t="s">
        <v>3</v>
      </c>
      <c r="L2" s="96">
        <f>COUNTIF(I4:P93,"&lt;&gt;空")</f>
        <v>219</v>
      </c>
      <c r="M2" s="127" t="s">
        <v>4</v>
      </c>
      <c r="N2" s="127"/>
      <c r="O2" s="127"/>
      <c r="P2" s="128"/>
      <c r="Q2" s="129" t="s">
        <v>5</v>
      </c>
      <c r="R2" s="130"/>
      <c r="S2" s="99" t="s">
        <v>3</v>
      </c>
      <c r="T2" s="99">
        <f>COUNTIF(Q4:X93,"&lt;&gt;空")</f>
        <v>178</v>
      </c>
      <c r="U2" s="130" t="s">
        <v>4</v>
      </c>
      <c r="V2" s="130"/>
      <c r="W2" s="130"/>
      <c r="X2" s="131"/>
      <c r="Y2" s="132" t="s">
        <v>6</v>
      </c>
      <c r="Z2" s="133"/>
      <c r="AA2" s="102" t="s">
        <v>7</v>
      </c>
      <c r="AB2" s="103">
        <f>COUNTIF(Y4:AF93,"&lt;&gt;空")</f>
        <v>129</v>
      </c>
      <c r="AC2" s="133" t="s">
        <v>4</v>
      </c>
      <c r="AD2" s="133"/>
      <c r="AE2" s="133"/>
      <c r="AF2" s="134"/>
      <c r="AG2" s="32">
        <f>SUM(AG4:AG93)</f>
        <v>82</v>
      </c>
      <c r="AH2" s="32">
        <f>SUM(AH4:AH93)</f>
        <v>44</v>
      </c>
      <c r="AI2" s="32">
        <f>SUM(AI4:AI93)</f>
        <v>30</v>
      </c>
      <c r="AJ2" s="18">
        <f>SUM(AJ4:AJ93)</f>
        <v>8</v>
      </c>
      <c r="AK2" s="111" t="s">
        <v>8</v>
      </c>
      <c r="AO2" s="115"/>
      <c r="AP2" s="115"/>
      <c r="AQ2" s="115"/>
      <c r="AR2" s="37"/>
      <c r="AU2" t="s">
        <v>27</v>
      </c>
      <c r="AV2">
        <f>SUM(AV4:AV29)</f>
        <v>526</v>
      </c>
      <c r="AW2" s="77" t="s">
        <v>13</v>
      </c>
      <c r="AX2">
        <f>AR47</f>
        <v>16</v>
      </c>
      <c r="AY2" t="s">
        <v>56</v>
      </c>
      <c r="AZ2">
        <f>SUM(AX4:AZ29)+7000</f>
        <v>35940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2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2600</v>
      </c>
      <c r="E4" s="76">
        <f>SUM($B$4:B4)+SUM($C$4:C4)-SUM($D$4:D4)</f>
        <v>4200</v>
      </c>
      <c r="F4" s="88">
        <f>SUM(经验!A4:X4)</f>
        <v>635</v>
      </c>
      <c r="G4" s="88">
        <f>SUM($F$4:F4)+SUM($H$4:H4)</f>
        <v>1135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52" t="s">
        <v>40</v>
      </c>
      <c r="Z4" s="46" t="s">
        <v>32</v>
      </c>
      <c r="AA4" s="46" t="s">
        <v>32</v>
      </c>
      <c r="AB4" s="52" t="s">
        <v>40</v>
      </c>
      <c r="AC4" s="46" t="s">
        <v>32</v>
      </c>
      <c r="AD4" s="46" t="s">
        <v>32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800</v>
      </c>
      <c r="E5" s="76">
        <f>SUM($B$4:B5)+SUM($C$4:C5)-SUM($D$4:D5)</f>
        <v>5000</v>
      </c>
      <c r="F5" s="88">
        <f>SUM(经验!A5:X5)</f>
        <v>210</v>
      </c>
      <c r="G5" s="88">
        <f>SUM($F$4:F5)+SUM($H$4:H5)</f>
        <v>1345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6" t="s">
        <v>38</v>
      </c>
      <c r="AB5" s="46" t="s">
        <v>32</v>
      </c>
      <c r="AC5" s="46" t="s">
        <v>32</v>
      </c>
      <c r="AD5" s="52" t="s">
        <v>40</v>
      </c>
      <c r="AE5" s="71" t="s">
        <v>33</v>
      </c>
      <c r="AF5" s="71" t="s">
        <v>33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6</v>
      </c>
      <c r="AN5" s="84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1</v>
      </c>
      <c r="AT5" s="36">
        <f t="shared" si="1"/>
        <v>0</v>
      </c>
      <c r="AU5" s="36">
        <f t="shared" si="2"/>
        <v>43</v>
      </c>
      <c r="AV5" s="79">
        <f t="shared" ref="AV5:AV26" si="9">AS5+AT5+AU5</f>
        <v>44</v>
      </c>
      <c r="AW5" s="35">
        <v>54</v>
      </c>
      <c r="AX5" s="35">
        <f t="shared" si="3"/>
        <v>40</v>
      </c>
      <c r="AY5" s="35">
        <f t="shared" si="4"/>
        <v>0</v>
      </c>
      <c r="AZ5" s="35">
        <f t="shared" si="4"/>
        <v>1720</v>
      </c>
      <c r="BA5" s="113" t="s">
        <v>37</v>
      </c>
      <c r="BB5" s="113"/>
      <c r="BD5" s="35">
        <f t="shared" ref="BD5:BD29" si="10">AR5*AV5</f>
        <v>1720.8832151643187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900</v>
      </c>
      <c r="E6" s="76">
        <f>SUM($B$4:B6)+SUM($C$4:C6)-SUM($D$4:D6)</f>
        <v>5700</v>
      </c>
      <c r="F6" s="88">
        <f>SUM(经验!A6:X6)</f>
        <v>215</v>
      </c>
      <c r="G6" s="88">
        <f>SUM($F$4:F6)+SUM($H$4:H6)</f>
        <v>1560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52" t="s">
        <v>40</v>
      </c>
      <c r="AC6" s="46" t="s">
        <v>32</v>
      </c>
      <c r="AD6" s="46" t="s">
        <v>32</v>
      </c>
      <c r="AE6" s="71" t="s">
        <v>33</v>
      </c>
      <c r="AF6" s="71" t="s">
        <v>33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12</v>
      </c>
      <c r="AN6" s="84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33</v>
      </c>
      <c r="AT6" s="36">
        <f t="shared" si="1"/>
        <v>30</v>
      </c>
      <c r="AU6" s="36">
        <f t="shared" si="2"/>
        <v>15</v>
      </c>
      <c r="AV6" s="79">
        <f t="shared" si="9"/>
        <v>78</v>
      </c>
      <c r="AW6" s="35">
        <v>180</v>
      </c>
      <c r="AX6" s="35">
        <f t="shared" si="3"/>
        <v>1485</v>
      </c>
      <c r="AY6" s="35">
        <f t="shared" si="4"/>
        <v>1350</v>
      </c>
      <c r="AZ6" s="35">
        <f t="shared" si="4"/>
        <v>675</v>
      </c>
      <c r="BA6" s="114"/>
      <c r="BB6" s="114"/>
      <c r="BD6" s="35">
        <f t="shared" si="10"/>
        <v>2652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800</v>
      </c>
      <c r="E7" s="76">
        <f>SUM($B$4:B7)+SUM($C$4:C7)-SUM($D$4:D7)</f>
        <v>6500</v>
      </c>
      <c r="F7" s="88">
        <f>SUM(经验!A7:X7)</f>
        <v>205</v>
      </c>
      <c r="G7" s="88">
        <f>SUM($F$4:F7)+SUM($H$4:H7)</f>
        <v>1965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56" t="s">
        <v>38</v>
      </c>
      <c r="Z7" s="46" t="s">
        <v>32</v>
      </c>
      <c r="AA7" s="46" t="s">
        <v>32</v>
      </c>
      <c r="AB7" s="46" t="s">
        <v>32</v>
      </c>
      <c r="AC7" s="46" t="s">
        <v>32</v>
      </c>
      <c r="AD7" s="46" t="s">
        <v>32</v>
      </c>
      <c r="AE7" s="71" t="s">
        <v>33</v>
      </c>
      <c r="AF7" s="71" t="s">
        <v>33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18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91</v>
      </c>
      <c r="AT7" s="20">
        <f t="shared" si="1"/>
        <v>44</v>
      </c>
      <c r="AU7" s="20">
        <f t="shared" si="2"/>
        <v>0</v>
      </c>
      <c r="AV7" s="80">
        <f t="shared" si="9"/>
        <v>135</v>
      </c>
      <c r="AW7">
        <v>104</v>
      </c>
      <c r="AX7">
        <f t="shared" si="3"/>
        <v>4550</v>
      </c>
      <c r="AY7">
        <f t="shared" si="4"/>
        <v>2200</v>
      </c>
      <c r="AZ7">
        <f t="shared" si="4"/>
        <v>0</v>
      </c>
      <c r="BA7" s="114"/>
      <c r="BB7" s="114"/>
      <c r="BD7" s="35">
        <f t="shared" si="10"/>
        <v>4860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1020</v>
      </c>
      <c r="E8" s="76">
        <f>SUM($B$4:B8)+SUM($C$4:C8)-SUM($D$4:D8)</f>
        <v>7080</v>
      </c>
      <c r="F8" s="88">
        <f>SUM(经验!A8:X8)</f>
        <v>210</v>
      </c>
      <c r="G8" s="88">
        <f>SUM($F$4:F8)+SUM($H$4:H8)</f>
        <v>2475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46" t="s">
        <v>32</v>
      </c>
      <c r="AE8" s="71" t="s">
        <v>33</v>
      </c>
      <c r="AF8" s="71" t="s">
        <v>33</v>
      </c>
      <c r="AG8" s="91">
        <f t="shared" si="5"/>
        <v>12</v>
      </c>
      <c r="AH8" s="91">
        <v>12</v>
      </c>
      <c r="AI8" s="91"/>
      <c r="AJ8" s="91"/>
      <c r="AK8" s="92" t="s">
        <v>34</v>
      </c>
      <c r="AL8" s="84">
        <f t="shared" si="6"/>
        <v>18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57</v>
      </c>
      <c r="AT8" s="20">
        <f t="shared" si="1"/>
        <v>22</v>
      </c>
      <c r="AU8" s="20">
        <f t="shared" si="2"/>
        <v>4</v>
      </c>
      <c r="AV8" s="80">
        <f t="shared" si="9"/>
        <v>83</v>
      </c>
      <c r="AW8">
        <v>31</v>
      </c>
      <c r="AX8">
        <f t="shared" si="3"/>
        <v>3135</v>
      </c>
      <c r="AY8">
        <f t="shared" si="4"/>
        <v>1210</v>
      </c>
      <c r="AZ8">
        <f t="shared" si="4"/>
        <v>220</v>
      </c>
      <c r="BA8" s="114"/>
      <c r="BB8" s="114"/>
      <c r="BD8" s="35">
        <f t="shared" si="10"/>
        <v>3154</v>
      </c>
      <c r="BE8" s="29"/>
    </row>
    <row r="9" spans="1:57">
      <c r="A9" s="94">
        <v>45917</v>
      </c>
      <c r="B9" s="90">
        <v>1600</v>
      </c>
      <c r="C9" s="90">
        <v>50</v>
      </c>
      <c r="D9" s="88">
        <f>(SUM(粮草!A9:X9)+AG9*10*IF(AK9="是",$BB$4,$BB$3))</f>
        <v>1970</v>
      </c>
      <c r="E9" s="76">
        <f>SUM($B$4:B9)+SUM($C$4:C9)-SUM($D$4:D9)</f>
        <v>6760</v>
      </c>
      <c r="F9" s="88">
        <f>SUM(经验!A9:X9)</f>
        <v>815</v>
      </c>
      <c r="G9" s="88">
        <f>SUM($F$4:F9)+SUM($H$4:H9)</f>
        <v>3290</v>
      </c>
      <c r="H9" s="90">
        <v>0</v>
      </c>
      <c r="I9" s="47" t="s">
        <v>36</v>
      </c>
      <c r="J9" s="48" t="s">
        <v>39</v>
      </c>
      <c r="K9" s="52" t="s">
        <v>40</v>
      </c>
      <c r="L9" s="48" t="s">
        <v>39</v>
      </c>
      <c r="M9" s="48" t="s">
        <v>39</v>
      </c>
      <c r="N9" s="38" t="s">
        <v>61</v>
      </c>
      <c r="O9" s="48" t="s">
        <v>39</v>
      </c>
      <c r="P9" s="71" t="s">
        <v>33</v>
      </c>
      <c r="Q9" s="70" t="s">
        <v>33</v>
      </c>
      <c r="R9" s="70" t="s">
        <v>33</v>
      </c>
      <c r="S9" s="70" t="s">
        <v>33</v>
      </c>
      <c r="T9" s="70" t="s">
        <v>33</v>
      </c>
      <c r="U9" s="70" t="s">
        <v>33</v>
      </c>
      <c r="V9" s="70" t="s">
        <v>33</v>
      </c>
      <c r="W9" s="71" t="s">
        <v>33</v>
      </c>
      <c r="X9" s="71" t="s">
        <v>33</v>
      </c>
      <c r="Y9" s="56" t="s">
        <v>38</v>
      </c>
      <c r="Z9" s="46" t="s">
        <v>32</v>
      </c>
      <c r="AA9" s="46" t="s">
        <v>32</v>
      </c>
      <c r="AB9" s="46" t="s">
        <v>32</v>
      </c>
      <c r="AC9" s="47" t="s">
        <v>36</v>
      </c>
      <c r="AD9" s="47" t="s">
        <v>36</v>
      </c>
      <c r="AE9" s="57" t="s">
        <v>45</v>
      </c>
      <c r="AF9" s="47" t="s">
        <v>36</v>
      </c>
      <c r="AG9" s="91">
        <f t="shared" si="5"/>
        <v>0</v>
      </c>
      <c r="AH9" s="91"/>
      <c r="AI9" s="91"/>
      <c r="AJ9" s="91"/>
      <c r="AK9" s="92" t="s">
        <v>34</v>
      </c>
      <c r="AL9" s="84">
        <f t="shared" si="6"/>
        <v>11</v>
      </c>
      <c r="AM9" s="84">
        <f t="shared" si="7"/>
        <v>18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6</v>
      </c>
      <c r="AT9" s="20">
        <f t="shared" si="1"/>
        <v>57</v>
      </c>
      <c r="AU9" s="20">
        <f t="shared" si="2"/>
        <v>2</v>
      </c>
      <c r="AV9" s="80">
        <f t="shared" si="9"/>
        <v>65</v>
      </c>
      <c r="AW9">
        <v>98</v>
      </c>
      <c r="AX9">
        <f t="shared" si="3"/>
        <v>360</v>
      </c>
      <c r="AY9">
        <f t="shared" si="4"/>
        <v>3420</v>
      </c>
      <c r="AZ9">
        <f t="shared" si="4"/>
        <v>120</v>
      </c>
      <c r="BD9" s="35">
        <f t="shared" si="10"/>
        <v>2600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3180</v>
      </c>
      <c r="E10" s="76">
        <f>SUM($B$4:B10)+SUM($C$4:C10)-SUM($D$4:D10)</f>
        <v>5180</v>
      </c>
      <c r="F10" s="88">
        <f>SUM(经验!A10:X10)</f>
        <v>2010</v>
      </c>
      <c r="G10" s="88">
        <f>SUM($F$4:F10)+SUM($H$4:H10)</f>
        <v>5300</v>
      </c>
      <c r="H10" s="90">
        <v>0</v>
      </c>
      <c r="I10" s="48" t="s">
        <v>39</v>
      </c>
      <c r="J10" s="52" t="s">
        <v>40</v>
      </c>
      <c r="K10" s="48" t="s">
        <v>39</v>
      </c>
      <c r="L10" s="48" t="s">
        <v>39</v>
      </c>
      <c r="M10" s="49" t="s">
        <v>41</v>
      </c>
      <c r="N10" s="49" t="s">
        <v>41</v>
      </c>
      <c r="O10" s="71" t="s">
        <v>33</v>
      </c>
      <c r="P10" s="71" t="s">
        <v>33</v>
      </c>
      <c r="Q10" s="48" t="s">
        <v>39</v>
      </c>
      <c r="R10" s="38" t="s">
        <v>61</v>
      </c>
      <c r="S10" s="49" t="s">
        <v>41</v>
      </c>
      <c r="T10" s="51" t="s">
        <v>43</v>
      </c>
      <c r="U10" s="58" t="s">
        <v>52</v>
      </c>
      <c r="V10" s="49" t="s">
        <v>41</v>
      </c>
      <c r="W10" s="71" t="s">
        <v>33</v>
      </c>
      <c r="X10" s="71" t="s">
        <v>33</v>
      </c>
      <c r="Y10" s="47" t="s">
        <v>36</v>
      </c>
      <c r="Z10" s="47" t="s">
        <v>36</v>
      </c>
      <c r="AA10" s="47" t="s">
        <v>36</v>
      </c>
      <c r="AB10" s="56" t="s">
        <v>38</v>
      </c>
      <c r="AC10" s="47" t="s">
        <v>36</v>
      </c>
      <c r="AD10" s="47" t="s">
        <v>36</v>
      </c>
      <c r="AE10" s="71" t="s">
        <v>33</v>
      </c>
      <c r="AF10" s="71" t="s">
        <v>33</v>
      </c>
      <c r="AG10" s="91">
        <f t="shared" si="5"/>
        <v>8</v>
      </c>
      <c r="AH10" s="91"/>
      <c r="AI10" s="91">
        <v>8</v>
      </c>
      <c r="AJ10" s="91"/>
      <c r="AK10" s="92" t="s">
        <v>34</v>
      </c>
      <c r="AL10" s="84">
        <f t="shared" si="6"/>
        <v>11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2930</v>
      </c>
      <c r="E11" s="76">
        <f>SUM($B$4:B11)+SUM($C$4:C11)-SUM($D$4:D11)</f>
        <v>3850</v>
      </c>
      <c r="F11" s="88">
        <f>SUM(经验!A11:X11)</f>
        <v>815</v>
      </c>
      <c r="G11" s="88">
        <f>SUM($F$4:F11)+SUM($H$4:H11)</f>
        <v>6115</v>
      </c>
      <c r="H11" s="90">
        <v>0</v>
      </c>
      <c r="I11" s="49" t="s">
        <v>41</v>
      </c>
      <c r="J11" s="49" t="s">
        <v>41</v>
      </c>
      <c r="K11" s="49" t="s">
        <v>41</v>
      </c>
      <c r="L11" s="49" t="s">
        <v>41</v>
      </c>
      <c r="M11" s="48" t="s">
        <v>39</v>
      </c>
      <c r="N11" s="48" t="s">
        <v>39</v>
      </c>
      <c r="O11" s="71" t="s">
        <v>33</v>
      </c>
      <c r="P11" s="71" t="s">
        <v>33</v>
      </c>
      <c r="Q11" s="49" t="s">
        <v>41</v>
      </c>
      <c r="R11" s="49" t="s">
        <v>41</v>
      </c>
      <c r="S11" s="49" t="s">
        <v>41</v>
      </c>
      <c r="T11" s="49" t="s">
        <v>41</v>
      </c>
      <c r="U11" s="49" t="s">
        <v>41</v>
      </c>
      <c r="V11" s="56" t="s">
        <v>38</v>
      </c>
      <c r="W11" s="71" t="s">
        <v>33</v>
      </c>
      <c r="X11" s="71" t="s">
        <v>33</v>
      </c>
      <c r="Y11" s="48" t="s">
        <v>39</v>
      </c>
      <c r="Z11" s="56" t="s">
        <v>38</v>
      </c>
      <c r="AA11" s="48" t="s">
        <v>39</v>
      </c>
      <c r="AB11" s="48" t="s">
        <v>39</v>
      </c>
      <c r="AC11" s="52" t="s">
        <v>40</v>
      </c>
      <c r="AD11" s="47" t="s">
        <v>36</v>
      </c>
      <c r="AE11" s="71" t="s">
        <v>33</v>
      </c>
      <c r="AF11" s="71" t="s">
        <v>33</v>
      </c>
      <c r="AG11" s="91">
        <f t="shared" si="5"/>
        <v>5</v>
      </c>
      <c r="AH11" s="91"/>
      <c r="AI11" s="91">
        <v>5</v>
      </c>
      <c r="AJ11" s="91"/>
      <c r="AK11" s="92" t="s">
        <v>34</v>
      </c>
      <c r="AL11" s="84">
        <f t="shared" si="6"/>
        <v>11</v>
      </c>
      <c r="AM11" s="152">
        <f>MIN(AM10+6,18)-COUNTIF(Q11:X11,"&lt;&gt;空")+COUNTIF(Q11:X11,"历练")+COUNTIF(Q11:X11,"营地")*2</f>
        <v>12</v>
      </c>
      <c r="AN11" s="84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9</v>
      </c>
      <c r="AT11" s="20">
        <f t="shared" si="1"/>
        <v>2</v>
      </c>
      <c r="AU11" s="20">
        <f t="shared" si="2"/>
        <v>13</v>
      </c>
      <c r="AV11" s="80">
        <f t="shared" si="9"/>
        <v>24</v>
      </c>
      <c r="AW11">
        <v>2</v>
      </c>
      <c r="AX11">
        <f t="shared" si="3"/>
        <v>360</v>
      </c>
      <c r="AY11">
        <f t="shared" si="4"/>
        <v>80</v>
      </c>
      <c r="AZ11">
        <f t="shared" si="4"/>
        <v>520</v>
      </c>
      <c r="BD11" s="35">
        <f t="shared" si="10"/>
        <v>698.66357190781014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2740</v>
      </c>
      <c r="E12" s="76">
        <f>SUM($B$4:B12)+SUM($C$4:C12)-SUM($D$4:D12)</f>
        <v>2710</v>
      </c>
      <c r="F12" s="88">
        <f>SUM(经验!A12:X12)</f>
        <v>775</v>
      </c>
      <c r="G12" s="88">
        <f>SUM($F$4:F12)+SUM($H$4:H12)</f>
        <v>6890</v>
      </c>
      <c r="H12" s="90">
        <v>0</v>
      </c>
      <c r="I12" s="48" t="s">
        <v>39</v>
      </c>
      <c r="J12" s="48" t="s">
        <v>39</v>
      </c>
      <c r="K12" s="52" t="s">
        <v>40</v>
      </c>
      <c r="L12" s="48" t="s">
        <v>39</v>
      </c>
      <c r="M12" s="48" t="s">
        <v>39</v>
      </c>
      <c r="N12" s="38" t="s">
        <v>63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48" t="s">
        <v>39</v>
      </c>
      <c r="W12" s="71" t="s">
        <v>33</v>
      </c>
      <c r="X12" s="71" t="s">
        <v>33</v>
      </c>
      <c r="Y12" s="47" t="s">
        <v>36</v>
      </c>
      <c r="Z12" s="47" t="s">
        <v>36</v>
      </c>
      <c r="AA12" s="47" t="s">
        <v>36</v>
      </c>
      <c r="AB12" s="70" t="s">
        <v>33</v>
      </c>
      <c r="AC12" s="57" t="s">
        <v>45</v>
      </c>
      <c r="AD12" s="47" t="s">
        <v>36</v>
      </c>
      <c r="AE12" s="47" t="s">
        <v>36</v>
      </c>
      <c r="AF12" s="47" t="s">
        <v>36</v>
      </c>
      <c r="AG12" s="91">
        <f t="shared" si="5"/>
        <v>1</v>
      </c>
      <c r="AH12" s="91"/>
      <c r="AI12" s="91"/>
      <c r="AJ12" s="91">
        <v>1</v>
      </c>
      <c r="AK12" s="92" t="s">
        <v>34</v>
      </c>
      <c r="AL12" s="84">
        <f t="shared" si="6"/>
        <v>11</v>
      </c>
      <c r="AM12" s="107">
        <f>MIN(AM11+6,18)-COUNTIF(Q12:X12,"&lt;&gt;空")+COUNTIF(Q12:X12,"历练")+COUNTIF(Q12:X12,"营地")*2-12</f>
        <v>0</v>
      </c>
      <c r="AN12" s="84">
        <f t="shared" si="8"/>
        <v>1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1</v>
      </c>
      <c r="AT12" s="20">
        <f t="shared" si="1"/>
        <v>0</v>
      </c>
      <c r="AU12" s="20">
        <f t="shared" si="2"/>
        <v>1</v>
      </c>
      <c r="AV12" s="80">
        <f t="shared" si="9"/>
        <v>2</v>
      </c>
      <c r="AW12">
        <v>5</v>
      </c>
      <c r="AX12">
        <f t="shared" si="3"/>
        <v>45</v>
      </c>
      <c r="AY12">
        <f t="shared" si="4"/>
        <v>0</v>
      </c>
      <c r="AZ12">
        <f t="shared" si="4"/>
        <v>45</v>
      </c>
      <c r="BD12" s="35">
        <f t="shared" si="10"/>
        <v>27.999709866357193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2800</v>
      </c>
      <c r="E13" s="76">
        <f>SUM($B$4:B13)+SUM($C$4:C13)-SUM($D$4:D13)</f>
        <v>1510</v>
      </c>
      <c r="F13" s="88">
        <f>SUM(经验!A13:X13)</f>
        <v>730</v>
      </c>
      <c r="G13" s="88">
        <f>SUM($F$4:F13)+SUM($H$4:H13)</f>
        <v>7620</v>
      </c>
      <c r="H13" s="90">
        <v>0</v>
      </c>
      <c r="I13" s="49" t="s">
        <v>41</v>
      </c>
      <c r="J13" s="49" t="s">
        <v>41</v>
      </c>
      <c r="K13" s="49" t="s">
        <v>41</v>
      </c>
      <c r="L13" s="48" t="s">
        <v>39</v>
      </c>
      <c r="M13" s="56" t="s">
        <v>38</v>
      </c>
      <c r="N13" s="70" t="s">
        <v>33</v>
      </c>
      <c r="O13" s="71" t="s">
        <v>33</v>
      </c>
      <c r="P13" s="71" t="s">
        <v>33</v>
      </c>
      <c r="Q13" s="48" t="s">
        <v>39</v>
      </c>
      <c r="R13" s="48" t="s">
        <v>39</v>
      </c>
      <c r="S13" s="48" t="s">
        <v>39</v>
      </c>
      <c r="T13" s="48" t="s">
        <v>39</v>
      </c>
      <c r="U13" s="48" t="s">
        <v>39</v>
      </c>
      <c r="V13" s="38" t="s">
        <v>63</v>
      </c>
      <c r="W13" s="71" t="s">
        <v>33</v>
      </c>
      <c r="X13" s="71" t="s">
        <v>33</v>
      </c>
      <c r="Y13" s="52" t="s">
        <v>40</v>
      </c>
      <c r="Z13" s="47" t="s">
        <v>36</v>
      </c>
      <c r="AA13" s="56" t="s">
        <v>38</v>
      </c>
      <c r="AB13" s="47" t="s">
        <v>36</v>
      </c>
      <c r="AC13" s="47" t="s">
        <v>36</v>
      </c>
      <c r="AD13" s="48" t="s">
        <v>39</v>
      </c>
      <c r="AE13" s="71" t="s">
        <v>33</v>
      </c>
      <c r="AF13" s="71" t="s">
        <v>33</v>
      </c>
      <c r="AG13" s="91">
        <f t="shared" si="5"/>
        <v>17</v>
      </c>
      <c r="AH13" s="93">
        <v>13</v>
      </c>
      <c r="AI13" s="93">
        <v>4</v>
      </c>
      <c r="AJ13" s="93"/>
      <c r="AK13" s="92" t="s">
        <v>34</v>
      </c>
      <c r="AL13" s="84">
        <f t="shared" si="6"/>
        <v>12</v>
      </c>
      <c r="AM13" s="84">
        <f t="shared" si="7"/>
        <v>0</v>
      </c>
      <c r="AN13" s="84">
        <f t="shared" si="8"/>
        <v>1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2960</v>
      </c>
      <c r="E14" s="76">
        <f>SUM($B$4:B14)+SUM($C$4:C14)-SUM($D$4:D14)</f>
        <v>150</v>
      </c>
      <c r="F14" s="88">
        <f>SUM(经验!A14:X14)</f>
        <v>1040</v>
      </c>
      <c r="G14" s="88">
        <f>SUM($F$4:F14)+SUM($H$4:H14)</f>
        <v>8960</v>
      </c>
      <c r="H14" s="88">
        <v>300</v>
      </c>
      <c r="I14" s="48" t="s">
        <v>39</v>
      </c>
      <c r="J14" s="48" t="s">
        <v>39</v>
      </c>
      <c r="K14" s="38" t="s">
        <v>63</v>
      </c>
      <c r="L14" s="48" t="s">
        <v>39</v>
      </c>
      <c r="M14" s="48" t="s">
        <v>39</v>
      </c>
      <c r="N14" s="53" t="s">
        <v>46</v>
      </c>
      <c r="O14" s="108" t="s">
        <v>33</v>
      </c>
      <c r="P14" s="108" t="s">
        <v>33</v>
      </c>
      <c r="Q14" s="48" t="s">
        <v>39</v>
      </c>
      <c r="R14" s="52" t="s">
        <v>40</v>
      </c>
      <c r="S14" s="48" t="s">
        <v>39</v>
      </c>
      <c r="T14" s="48" t="s">
        <v>39</v>
      </c>
      <c r="U14" s="48" t="s">
        <v>39</v>
      </c>
      <c r="V14" s="48" t="s">
        <v>39</v>
      </c>
      <c r="W14" s="71" t="s">
        <v>33</v>
      </c>
      <c r="X14" s="71" t="s">
        <v>33</v>
      </c>
      <c r="Y14" s="48" t="s">
        <v>39</v>
      </c>
      <c r="Z14" s="56" t="s">
        <v>38</v>
      </c>
      <c r="AA14" s="48" t="s">
        <v>39</v>
      </c>
      <c r="AB14" s="52" t="s">
        <v>40</v>
      </c>
      <c r="AC14" s="48" t="s">
        <v>39</v>
      </c>
      <c r="AD14" s="38" t="s">
        <v>61</v>
      </c>
      <c r="AE14" s="71" t="s">
        <v>33</v>
      </c>
      <c r="AF14" s="71" t="s">
        <v>33</v>
      </c>
      <c r="AG14" s="91">
        <f t="shared" si="5"/>
        <v>0</v>
      </c>
      <c r="AH14" s="93"/>
      <c r="AI14" s="93"/>
      <c r="AJ14" s="93"/>
      <c r="AK14" s="92" t="s">
        <v>34</v>
      </c>
      <c r="AL14" s="84">
        <f t="shared" si="6"/>
        <v>12</v>
      </c>
      <c r="AM14" s="84">
        <f t="shared" si="7"/>
        <v>0</v>
      </c>
      <c r="AN14" s="84">
        <f t="shared" si="8"/>
        <v>1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1</v>
      </c>
      <c r="AT14" s="20">
        <f t="shared" si="1"/>
        <v>1</v>
      </c>
      <c r="AU14" s="20">
        <f t="shared" si="2"/>
        <v>0</v>
      </c>
      <c r="AV14" s="80">
        <f t="shared" si="9"/>
        <v>2</v>
      </c>
      <c r="AW14">
        <v>0</v>
      </c>
      <c r="AX14">
        <f t="shared" si="3"/>
        <v>55</v>
      </c>
      <c r="AY14">
        <f t="shared" si="4"/>
        <v>55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1400</v>
      </c>
      <c r="E15" s="76">
        <f>SUM($B$4:B15)+SUM($C$4:C15)-SUM($D$4:D15)</f>
        <v>350</v>
      </c>
      <c r="F15" s="88">
        <f>SUM(经验!A15:X15)</f>
        <v>395</v>
      </c>
      <c r="G15" s="88">
        <f>SUM($F$4:F15)+SUM($H$4:H15)</f>
        <v>9355</v>
      </c>
      <c r="H15" s="88">
        <v>0</v>
      </c>
      <c r="I15" s="49" t="s">
        <v>41</v>
      </c>
      <c r="J15" s="49" t="s">
        <v>41</v>
      </c>
      <c r="K15" s="56" t="s">
        <v>38</v>
      </c>
      <c r="L15" s="49" t="s">
        <v>41</v>
      </c>
      <c r="M15" s="52" t="s">
        <v>40</v>
      </c>
      <c r="N15" s="48" t="s">
        <v>39</v>
      </c>
      <c r="O15" s="108" t="s">
        <v>33</v>
      </c>
      <c r="P15" s="108" t="s">
        <v>33</v>
      </c>
      <c r="Q15" s="52" t="s">
        <v>40</v>
      </c>
      <c r="R15" s="48" t="s">
        <v>39</v>
      </c>
      <c r="S15" s="38" t="s">
        <v>63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12</v>
      </c>
      <c r="AM15" s="84">
        <f t="shared" si="7"/>
        <v>3</v>
      </c>
      <c r="AN15" s="84">
        <f t="shared" si="8"/>
        <v>7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/>
      <c r="D16" s="88">
        <f>(SUM(粮草!A16:X16)+AG16*10*IF(AK16="是",$BB$4,$BB$3))</f>
        <v>990</v>
      </c>
      <c r="E16" s="76">
        <f>SUM($B$4:B16)+SUM($C$4:C16)-SUM($D$4:D16)</f>
        <v>960</v>
      </c>
      <c r="F16" s="88">
        <f>SUM(经验!A16:X16)</f>
        <v>315</v>
      </c>
      <c r="G16" s="88">
        <f>SUM($F$4:F16)+SUM($H$4:H16)</f>
        <v>9870</v>
      </c>
      <c r="H16" s="88">
        <v>200</v>
      </c>
      <c r="I16" s="48" t="s">
        <v>39</v>
      </c>
      <c r="J16" s="48" t="s">
        <v>39</v>
      </c>
      <c r="K16" s="48" t="s">
        <v>39</v>
      </c>
      <c r="L16" s="48" t="s">
        <v>39</v>
      </c>
      <c r="M16" s="57" t="s">
        <v>45</v>
      </c>
      <c r="N16" s="48" t="s">
        <v>39</v>
      </c>
      <c r="O16" s="48" t="s">
        <v>39</v>
      </c>
      <c r="P16" s="48" t="s">
        <v>39</v>
      </c>
      <c r="Q16" s="70" t="s">
        <v>33</v>
      </c>
      <c r="R16" s="70" t="s">
        <v>33</v>
      </c>
      <c r="S16" s="70" t="s">
        <v>33</v>
      </c>
      <c r="T16" s="70" t="s">
        <v>33</v>
      </c>
      <c r="U16" s="70" t="s">
        <v>33</v>
      </c>
      <c r="V16" s="70" t="s">
        <v>33</v>
      </c>
      <c r="W16" s="71" t="s">
        <v>33</v>
      </c>
      <c r="X16" s="71" t="s">
        <v>33</v>
      </c>
      <c r="Y16" s="70" t="s">
        <v>33</v>
      </c>
      <c r="Z16" s="70" t="s">
        <v>33</v>
      </c>
      <c r="AA16" s="70" t="s">
        <v>33</v>
      </c>
      <c r="AB16" s="70" t="s">
        <v>33</v>
      </c>
      <c r="AC16" s="70" t="s">
        <v>33</v>
      </c>
      <c r="AD16" s="70" t="s">
        <v>33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12</v>
      </c>
      <c r="AM16" s="84">
        <f t="shared" si="7"/>
        <v>9</v>
      </c>
      <c r="AN16" s="84">
        <f t="shared" si="8"/>
        <v>13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>
        <v>272</v>
      </c>
      <c r="D17" s="88">
        <f>(SUM(粮草!A17:X17)+AG17*10*IF(AK17="是",$BB$4,$BB$3))</f>
        <v>2040</v>
      </c>
      <c r="E17" s="76">
        <f>SUM($B$4:B17)+SUM($C$4:C17)-SUM($D$4:D17)</f>
        <v>792</v>
      </c>
      <c r="F17" s="88">
        <f>SUM(经验!A17:X17)</f>
        <v>540</v>
      </c>
      <c r="G17" s="88">
        <f>SUM($F$4:F17)+SUM($H$4:H17)</f>
        <v>10410</v>
      </c>
      <c r="H17" s="88">
        <v>0</v>
      </c>
      <c r="I17" s="48" t="s">
        <v>39</v>
      </c>
      <c r="J17" s="48" t="s">
        <v>39</v>
      </c>
      <c r="K17" s="48" t="s">
        <v>39</v>
      </c>
      <c r="L17" s="38" t="s">
        <v>63</v>
      </c>
      <c r="M17" s="109" t="s">
        <v>33</v>
      </c>
      <c r="N17" s="109" t="s">
        <v>33</v>
      </c>
      <c r="O17" s="108" t="s">
        <v>33</v>
      </c>
      <c r="P17" s="108" t="s">
        <v>33</v>
      </c>
      <c r="Q17" s="48" t="s">
        <v>39</v>
      </c>
      <c r="R17" s="48" t="s">
        <v>39</v>
      </c>
      <c r="S17" s="48" t="s">
        <v>39</v>
      </c>
      <c r="T17" s="48" t="s">
        <v>39</v>
      </c>
      <c r="U17" s="48" t="s">
        <v>39</v>
      </c>
      <c r="V17" s="48" t="s">
        <v>39</v>
      </c>
      <c r="W17" s="48" t="s">
        <v>39</v>
      </c>
      <c r="X17" s="48" t="s">
        <v>39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14</v>
      </c>
      <c r="AM17" s="84">
        <f t="shared" si="7"/>
        <v>7</v>
      </c>
      <c r="AN17" s="84">
        <f t="shared" si="8"/>
        <v>18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6</v>
      </c>
      <c r="AT17" s="20">
        <f t="shared" si="1"/>
        <v>4</v>
      </c>
      <c r="AU17" s="20">
        <f t="shared" si="2"/>
        <v>16</v>
      </c>
      <c r="AV17" s="80">
        <f t="shared" si="9"/>
        <v>26</v>
      </c>
      <c r="AW17">
        <v>34</v>
      </c>
      <c r="AX17">
        <f t="shared" si="3"/>
        <v>180</v>
      </c>
      <c r="AY17">
        <f t="shared" si="4"/>
        <v>120</v>
      </c>
      <c r="AZ17">
        <f t="shared" si="4"/>
        <v>480</v>
      </c>
      <c r="BD17" s="35">
        <f t="shared" si="10"/>
        <v>260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1380</v>
      </c>
      <c r="E18" s="76">
        <f>SUM($B$4:B18)+SUM($C$4:C18)-SUM($D$4:D18)</f>
        <v>1012</v>
      </c>
      <c r="F18" s="88">
        <f>SUM(经验!A18:X18)</f>
        <v>630</v>
      </c>
      <c r="G18" s="88">
        <f>SUM($F$4:F18)+SUM($H$4:H18)</f>
        <v>11040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144" t="s">
        <v>38</v>
      </c>
      <c r="R18" s="145" t="s">
        <v>41</v>
      </c>
      <c r="S18" s="145" t="s">
        <v>41</v>
      </c>
      <c r="T18" s="145" t="s">
        <v>41</v>
      </c>
      <c r="U18" s="145" t="s">
        <v>41</v>
      </c>
      <c r="V18" s="145" t="s">
        <v>41</v>
      </c>
      <c r="W18" s="145" t="s">
        <v>41</v>
      </c>
      <c r="X18" s="146" t="s">
        <v>45</v>
      </c>
      <c r="Y18" s="147" t="s">
        <v>39</v>
      </c>
      <c r="Z18" s="147" t="s">
        <v>39</v>
      </c>
      <c r="AA18" s="144" t="s">
        <v>38</v>
      </c>
      <c r="AB18" s="147" t="s">
        <v>39</v>
      </c>
      <c r="AC18" s="147" t="s">
        <v>39</v>
      </c>
      <c r="AD18" s="147" t="s">
        <v>39</v>
      </c>
      <c r="AE18" s="146" t="s">
        <v>45</v>
      </c>
      <c r="AF18" s="147" t="s">
        <v>39</v>
      </c>
      <c r="AG18" s="91">
        <f t="shared" si="5"/>
        <v>5</v>
      </c>
      <c r="AH18" s="93"/>
      <c r="AI18" s="93"/>
      <c r="AJ18" s="93">
        <v>5</v>
      </c>
      <c r="AK18" s="95" t="s">
        <v>51</v>
      </c>
      <c r="AL18" s="84">
        <f t="shared" si="6"/>
        <v>18</v>
      </c>
      <c r="AM18" s="84">
        <f t="shared" si="7"/>
        <v>7</v>
      </c>
      <c r="AN18" s="84">
        <f t="shared" si="8"/>
        <v>12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7</v>
      </c>
      <c r="AU18" s="20">
        <f t="shared" si="2"/>
        <v>6</v>
      </c>
      <c r="AV18" s="80">
        <f t="shared" si="9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150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2120</v>
      </c>
      <c r="E19" s="76">
        <f>SUM($B$4:B19)+SUM($C$4:C19)-SUM($D$4:D19)</f>
        <v>492</v>
      </c>
      <c r="F19" s="88">
        <f>SUM(经验!A19:X19)</f>
        <v>725</v>
      </c>
      <c r="G19" s="88">
        <f>SUM($F$4:F19)+SUM($H$4:H19)</f>
        <v>11765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145" t="s">
        <v>41</v>
      </c>
      <c r="R19" s="145" t="s">
        <v>41</v>
      </c>
      <c r="S19" s="145" t="s">
        <v>41</v>
      </c>
      <c r="T19" s="145" t="s">
        <v>41</v>
      </c>
      <c r="U19" s="145" t="s">
        <v>41</v>
      </c>
      <c r="V19" s="145" t="s">
        <v>41</v>
      </c>
      <c r="W19" s="145" t="s">
        <v>41</v>
      </c>
      <c r="X19" s="145" t="s">
        <v>41</v>
      </c>
      <c r="Y19" s="148" t="s">
        <v>46</v>
      </c>
      <c r="Z19" s="147" t="s">
        <v>39</v>
      </c>
      <c r="AA19" s="147" t="s">
        <v>39</v>
      </c>
      <c r="AB19" s="149" t="s">
        <v>40</v>
      </c>
      <c r="AC19" s="150" t="s">
        <v>36</v>
      </c>
      <c r="AD19" s="144" t="s">
        <v>38</v>
      </c>
      <c r="AE19" s="150" t="s">
        <v>36</v>
      </c>
      <c r="AF19" s="149" t="s">
        <v>40</v>
      </c>
      <c r="AG19" s="91">
        <f>AH19+AI19+AJ19</f>
        <v>5</v>
      </c>
      <c r="AH19" s="93"/>
      <c r="AI19" s="93">
        <v>5</v>
      </c>
      <c r="AJ19" s="93"/>
      <c r="AK19" s="95" t="s">
        <v>51</v>
      </c>
      <c r="AL19" s="84">
        <f t="shared" si="6"/>
        <v>18</v>
      </c>
      <c r="AM19" s="84">
        <f t="shared" si="7"/>
        <v>5</v>
      </c>
      <c r="AN19" s="84">
        <f t="shared" si="8"/>
        <v>10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1316</v>
      </c>
      <c r="E20" s="76">
        <f>SUM($B$4:B20)+SUM($C$4:C20)-SUM($D$4:D20)</f>
        <v>776</v>
      </c>
      <c r="F20" s="88">
        <f>SUM(经验!A20:X20)</f>
        <v>1100</v>
      </c>
      <c r="G20" s="88">
        <f>SUM($F$4:F20)+SUM($H$4:H20)</f>
        <v>12865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145" t="s">
        <v>41</v>
      </c>
      <c r="R20" s="145" t="s">
        <v>41</v>
      </c>
      <c r="S20" s="145" t="s">
        <v>41</v>
      </c>
      <c r="T20" s="146" t="s">
        <v>45</v>
      </c>
      <c r="U20" s="145" t="s">
        <v>41</v>
      </c>
      <c r="V20" s="145" t="s">
        <v>41</v>
      </c>
      <c r="W20" s="145" t="s">
        <v>41</v>
      </c>
      <c r="X20" s="145" t="s">
        <v>41</v>
      </c>
      <c r="Y20" s="150" t="s">
        <v>36</v>
      </c>
      <c r="Z20" s="150" t="s">
        <v>36</v>
      </c>
      <c r="AA20" s="151" t="s">
        <v>60</v>
      </c>
      <c r="AB20" s="150" t="s">
        <v>36</v>
      </c>
      <c r="AC20" s="150" t="s">
        <v>36</v>
      </c>
      <c r="AD20" s="144" t="s">
        <v>38</v>
      </c>
      <c r="AE20" s="150" t="s">
        <v>36</v>
      </c>
      <c r="AF20" s="146" t="s">
        <v>45</v>
      </c>
      <c r="AG20" s="91">
        <f>AH20+AI20+AJ20</f>
        <v>1</v>
      </c>
      <c r="AH20" s="93"/>
      <c r="AI20" s="93"/>
      <c r="AJ20" s="93">
        <v>1</v>
      </c>
      <c r="AK20" s="95" t="s">
        <v>51</v>
      </c>
      <c r="AL20" s="84">
        <f t="shared" si="6"/>
        <v>18</v>
      </c>
      <c r="AM20" s="84">
        <f t="shared" si="7"/>
        <v>5</v>
      </c>
      <c r="AN20" s="84">
        <f t="shared" si="8"/>
        <v>11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958</v>
      </c>
      <c r="E21" s="76">
        <f>SUM($B$4:B21)+SUM($C$4:C21)-SUM($D$4:D21)</f>
        <v>1418</v>
      </c>
      <c r="F21" s="88">
        <f>SUM(经验!A21:X21)</f>
        <v>395</v>
      </c>
      <c r="G21" s="88">
        <f>SUM($F$4:F21)+SUM($H$4:H21)</f>
        <v>13460</v>
      </c>
      <c r="H21" s="90">
        <v>200</v>
      </c>
      <c r="I21" s="48" t="s">
        <v>39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145" t="s">
        <v>41</v>
      </c>
      <c r="R21" s="145" t="s">
        <v>41</v>
      </c>
      <c r="S21" s="145" t="s">
        <v>41</v>
      </c>
      <c r="T21" s="145" t="s">
        <v>41</v>
      </c>
      <c r="U21" s="146" t="s">
        <v>45</v>
      </c>
      <c r="V21" s="145" t="s">
        <v>41</v>
      </c>
      <c r="W21" s="145" t="s">
        <v>41</v>
      </c>
      <c r="X21" s="145" t="s">
        <v>41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3</v>
      </c>
      <c r="AH21" s="93"/>
      <c r="AI21" s="93">
        <v>3</v>
      </c>
      <c r="AJ21" s="93"/>
      <c r="AK21" s="95" t="s">
        <v>51</v>
      </c>
      <c r="AL21" s="84">
        <f t="shared" si="6"/>
        <v>17</v>
      </c>
      <c r="AM21" s="84">
        <f t="shared" si="7"/>
        <v>5</v>
      </c>
      <c r="AN21" s="84">
        <f t="shared" si="8"/>
        <v>17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2398</v>
      </c>
      <c r="E22" s="76">
        <f>SUM($B$4:B22)+SUM($C$4:C22)-SUM($D$4:D22)</f>
        <v>620</v>
      </c>
      <c r="F22" s="88">
        <f>SUM(经验!A22:X22)</f>
        <v>920</v>
      </c>
      <c r="G22" s="88">
        <f>SUM($F$4:F22)+SUM($H$4:H22)</f>
        <v>14480</v>
      </c>
      <c r="H22" s="90">
        <v>100</v>
      </c>
      <c r="I22" s="145" t="s">
        <v>41</v>
      </c>
      <c r="J22" s="145" t="s">
        <v>41</v>
      </c>
      <c r="K22" s="145" t="s">
        <v>41</v>
      </c>
      <c r="L22" s="145" t="s">
        <v>41</v>
      </c>
      <c r="M22" s="145" t="s">
        <v>41</v>
      </c>
      <c r="N22" s="145" t="s">
        <v>41</v>
      </c>
      <c r="O22" s="71" t="s">
        <v>33</v>
      </c>
      <c r="P22" s="71" t="s">
        <v>33</v>
      </c>
      <c r="Q22" s="145" t="s">
        <v>41</v>
      </c>
      <c r="R22" s="56" t="s">
        <v>38</v>
      </c>
      <c r="S22" s="48" t="s">
        <v>39</v>
      </c>
      <c r="T22" s="48" t="s">
        <v>39</v>
      </c>
      <c r="U22" s="48" t="s">
        <v>39</v>
      </c>
      <c r="V22" s="48" t="s">
        <v>39</v>
      </c>
      <c r="W22" s="145" t="s">
        <v>41</v>
      </c>
      <c r="X22" s="145" t="s">
        <v>41</v>
      </c>
      <c r="Y22" s="50" t="s">
        <v>42</v>
      </c>
      <c r="Z22" s="146" t="s">
        <v>45</v>
      </c>
      <c r="AA22" s="50" t="s">
        <v>42</v>
      </c>
      <c r="AB22" s="50" t="s">
        <v>42</v>
      </c>
      <c r="AC22" s="50" t="s">
        <v>42</v>
      </c>
      <c r="AD22" s="52" t="s">
        <v>40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5" t="s">
        <v>51</v>
      </c>
      <c r="AL22" s="84">
        <f t="shared" si="6"/>
        <v>12</v>
      </c>
      <c r="AM22" s="84">
        <f t="shared" si="7"/>
        <v>3</v>
      </c>
      <c r="AN22" s="84">
        <f t="shared" si="8"/>
        <v>14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2</v>
      </c>
      <c r="AU22" s="20">
        <f t="shared" si="2"/>
        <v>0</v>
      </c>
      <c r="AV22" s="80">
        <f t="shared" si="9"/>
        <v>2</v>
      </c>
      <c r="AW22">
        <v>1</v>
      </c>
      <c r="AX22">
        <f t="shared" si="3"/>
        <v>0</v>
      </c>
      <c r="AY22">
        <f t="shared" si="11"/>
        <v>2000</v>
      </c>
      <c r="AZ22">
        <f t="shared" si="12"/>
        <v>0</v>
      </c>
      <c r="BD22" s="35">
        <f t="shared" si="10"/>
        <v>120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1788</v>
      </c>
      <c r="E23" s="76">
        <f>SUM($B$4:B23)+SUM($C$4:C23)-SUM($D$4:D23)</f>
        <v>432</v>
      </c>
      <c r="F23" s="88">
        <f>SUM(经验!A23:X23)</f>
        <v>775</v>
      </c>
      <c r="G23" s="88">
        <f>SUM($F$4:F23)+SUM($H$4:H23)</f>
        <v>15455</v>
      </c>
      <c r="H23" s="90">
        <v>200</v>
      </c>
      <c r="I23" s="145" t="s">
        <v>41</v>
      </c>
      <c r="J23" s="145" t="s">
        <v>41</v>
      </c>
      <c r="K23" s="145" t="s">
        <v>41</v>
      </c>
      <c r="L23" s="145" t="s">
        <v>41</v>
      </c>
      <c r="M23" s="145" t="s">
        <v>41</v>
      </c>
      <c r="N23" s="145" t="s">
        <v>41</v>
      </c>
      <c r="O23" s="71" t="s">
        <v>33</v>
      </c>
      <c r="P23" s="71" t="s">
        <v>33</v>
      </c>
      <c r="Q23" s="145" t="s">
        <v>41</v>
      </c>
      <c r="R23" s="146" t="s">
        <v>45</v>
      </c>
      <c r="S23" s="145" t="s">
        <v>41</v>
      </c>
      <c r="T23" s="145" t="s">
        <v>41</v>
      </c>
      <c r="U23" s="145" t="s">
        <v>41</v>
      </c>
      <c r="V23" s="145" t="s">
        <v>41</v>
      </c>
      <c r="W23" s="145" t="s">
        <v>41</v>
      </c>
      <c r="X23" s="50" t="s">
        <v>42</v>
      </c>
      <c r="Y23" s="51" t="s">
        <v>43</v>
      </c>
      <c r="Z23" s="51" t="s">
        <v>43</v>
      </c>
      <c r="AA23" s="146" t="s">
        <v>45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5"/>
        <v>1</v>
      </c>
      <c r="AH23" s="93"/>
      <c r="AI23" s="93">
        <v>1</v>
      </c>
      <c r="AJ23" s="93"/>
      <c r="AK23" s="95" t="s">
        <v>51</v>
      </c>
      <c r="AL23" s="84">
        <f t="shared" si="6"/>
        <v>12</v>
      </c>
      <c r="AM23" s="84">
        <f t="shared" si="7"/>
        <v>3</v>
      </c>
      <c r="AN23" s="84">
        <f t="shared" si="8"/>
        <v>17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1</v>
      </c>
      <c r="AT23" s="20">
        <f t="shared" si="1"/>
        <v>0</v>
      </c>
      <c r="AU23" s="20">
        <f t="shared" si="2"/>
        <v>0</v>
      </c>
      <c r="AV23" s="80">
        <f t="shared" si="9"/>
        <v>1</v>
      </c>
      <c r="AW23">
        <v>0</v>
      </c>
      <c r="AX23">
        <f t="shared" si="3"/>
        <v>500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864</v>
      </c>
      <c r="E24" s="76">
        <f>SUM($B$4:B24)+SUM($C$4:C24)-SUM($D$4:D24)</f>
        <v>1168</v>
      </c>
      <c r="F24" s="88">
        <f>SUM(经验!A24:X24)</f>
        <v>300</v>
      </c>
      <c r="G24" s="88">
        <f>SUM($F$4:F24)+SUM($H$4:H24)</f>
        <v>15755</v>
      </c>
      <c r="H24" s="90">
        <v>0</v>
      </c>
      <c r="I24" s="145" t="s">
        <v>41</v>
      </c>
      <c r="J24" s="145" t="s">
        <v>41</v>
      </c>
      <c r="K24" s="145" t="s">
        <v>41</v>
      </c>
      <c r="L24" s="145" t="s">
        <v>41</v>
      </c>
      <c r="M24" s="145" t="s">
        <v>41</v>
      </c>
      <c r="N24" s="145" t="s">
        <v>41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12</v>
      </c>
      <c r="AM24" s="84">
        <f t="shared" si="7"/>
        <v>9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864</v>
      </c>
      <c r="E25" s="76">
        <f>SUM($B$4:B25)+SUM($C$4:C25)-SUM($D$4:D25)</f>
        <v>1904</v>
      </c>
      <c r="F25" s="88">
        <f>SUM(经验!A25:X25)</f>
        <v>300</v>
      </c>
      <c r="G25" s="88">
        <f>SUM($F$4:F25)+SUM($H$4:H25)</f>
        <v>16055</v>
      </c>
      <c r="H25" s="90">
        <v>0</v>
      </c>
      <c r="I25" s="145" t="s">
        <v>41</v>
      </c>
      <c r="J25" s="145" t="s">
        <v>41</v>
      </c>
      <c r="K25" s="145" t="s">
        <v>41</v>
      </c>
      <c r="L25" s="145" t="s">
        <v>41</v>
      </c>
      <c r="M25" s="145" t="s">
        <v>41</v>
      </c>
      <c r="N25" s="145" t="s">
        <v>41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12</v>
      </c>
      <c r="AM25" s="84">
        <f t="shared" si="7"/>
        <v>15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1808</v>
      </c>
      <c r="E26" s="76">
        <f>SUM($B$4:B26)+SUM($C$4:C26)-SUM($D$4:D26)</f>
        <v>1696</v>
      </c>
      <c r="F26" s="88">
        <f>SUM(经验!A26:X26)</f>
        <v>650</v>
      </c>
      <c r="G26" s="88">
        <f>SUM($F$4:F26)+SUM($H$4:H26)</f>
        <v>16705</v>
      </c>
      <c r="H26" s="90">
        <v>0</v>
      </c>
      <c r="I26" s="52" t="s">
        <v>40</v>
      </c>
      <c r="J26" s="145" t="s">
        <v>41</v>
      </c>
      <c r="K26" s="145" t="s">
        <v>41</v>
      </c>
      <c r="L26" s="145" t="s">
        <v>41</v>
      </c>
      <c r="M26" s="145" t="s">
        <v>41</v>
      </c>
      <c r="N26" s="145" t="s">
        <v>41</v>
      </c>
      <c r="O26" s="71" t="s">
        <v>33</v>
      </c>
      <c r="P26" s="71" t="s">
        <v>33</v>
      </c>
      <c r="Q26" s="51" t="s">
        <v>43</v>
      </c>
      <c r="R26" s="51" t="s">
        <v>43</v>
      </c>
      <c r="S26" s="51" t="s">
        <v>43</v>
      </c>
      <c r="T26" s="51" t="s">
        <v>43</v>
      </c>
      <c r="U26" s="51" t="s">
        <v>43</v>
      </c>
      <c r="V26" s="51" t="s">
        <v>43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1</v>
      </c>
      <c r="AH26" s="93">
        <v>1</v>
      </c>
      <c r="AI26" s="93"/>
      <c r="AJ26" s="93"/>
      <c r="AK26" s="95" t="s">
        <v>51</v>
      </c>
      <c r="AL26" s="84">
        <f t="shared" si="6"/>
        <v>12</v>
      </c>
      <c r="AM26" s="84">
        <f t="shared" si="7"/>
        <v>12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1792</v>
      </c>
      <c r="E27" s="76">
        <f>SUM($B$4:B27)+SUM($C$4:C27)-SUM($D$4:D27)</f>
        <v>1504</v>
      </c>
      <c r="F27" s="88">
        <f>SUM(经验!A27:X27)</f>
        <v>645</v>
      </c>
      <c r="G27" s="88">
        <f>SUM($F$4:F27)+SUM($H$4:H27)</f>
        <v>17350</v>
      </c>
      <c r="H27" s="90">
        <v>0</v>
      </c>
      <c r="I27" s="145" t="s">
        <v>41</v>
      </c>
      <c r="J27" s="145" t="s">
        <v>41</v>
      </c>
      <c r="K27" s="145" t="s">
        <v>41</v>
      </c>
      <c r="L27" s="145" t="s">
        <v>41</v>
      </c>
      <c r="M27" s="52" t="s">
        <v>40</v>
      </c>
      <c r="N27" s="48" t="s">
        <v>39</v>
      </c>
      <c r="O27" s="71" t="s">
        <v>33</v>
      </c>
      <c r="P27" s="71" t="s">
        <v>33</v>
      </c>
      <c r="Q27" s="51" t="s">
        <v>43</v>
      </c>
      <c r="R27" s="51" t="s">
        <v>43</v>
      </c>
      <c r="S27" s="51" t="s">
        <v>43</v>
      </c>
      <c r="T27" s="51" t="s">
        <v>43</v>
      </c>
      <c r="U27" s="51" t="s">
        <v>43</v>
      </c>
      <c r="V27" s="51" t="s">
        <v>43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12</v>
      </c>
      <c r="AM27" s="84">
        <f t="shared" si="7"/>
        <v>12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1432</v>
      </c>
      <c r="E28" s="76">
        <f>SUM($B$4:B28)+SUM($C$4:C28)-SUM($D$4:D28)</f>
        <v>1672</v>
      </c>
      <c r="F28" s="88">
        <f>SUM(经验!A28:X28)</f>
        <v>1440</v>
      </c>
      <c r="G28" s="88">
        <f>SUM($F$4:F28)+SUM($H$4:H28)</f>
        <v>18990</v>
      </c>
      <c r="H28" s="88">
        <v>200</v>
      </c>
      <c r="I28" s="48" t="s">
        <v>39</v>
      </c>
      <c r="J28" s="145" t="s">
        <v>41</v>
      </c>
      <c r="K28" s="48" t="s">
        <v>39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58" t="s">
        <v>52</v>
      </c>
      <c r="R28" s="51" t="s">
        <v>43</v>
      </c>
      <c r="S28" s="51" t="s">
        <v>43</v>
      </c>
      <c r="T28" s="51" t="s">
        <v>43</v>
      </c>
      <c r="U28" s="51" t="s">
        <v>43</v>
      </c>
      <c r="V28" s="51" t="s">
        <v>43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2</v>
      </c>
      <c r="AH28" s="93"/>
      <c r="AI28" s="93">
        <v>2</v>
      </c>
      <c r="AJ28" s="93"/>
      <c r="AK28" s="95" t="s">
        <v>51</v>
      </c>
      <c r="AL28" s="84">
        <f t="shared" si="6"/>
        <v>15</v>
      </c>
      <c r="AM28" s="84">
        <f t="shared" si="7"/>
        <v>12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1824</v>
      </c>
      <c r="E29" s="76">
        <f>SUM($B$4:B29)+SUM($C$4:C29)-SUM($D$4:D29)</f>
        <v>1448</v>
      </c>
      <c r="F29" s="88">
        <f>SUM(经验!A29:X29)</f>
        <v>660</v>
      </c>
      <c r="G29" s="88">
        <f>SUM($F$4:F29)+SUM($H$4:H29)</f>
        <v>19750</v>
      </c>
      <c r="H29" s="88">
        <v>100</v>
      </c>
      <c r="I29" s="145" t="s">
        <v>41</v>
      </c>
      <c r="J29" s="145" t="s">
        <v>41</v>
      </c>
      <c r="K29" s="145" t="s">
        <v>41</v>
      </c>
      <c r="L29" s="145" t="s">
        <v>41</v>
      </c>
      <c r="M29" s="145" t="s">
        <v>41</v>
      </c>
      <c r="N29" s="145" t="s">
        <v>41</v>
      </c>
      <c r="O29" s="71" t="s">
        <v>33</v>
      </c>
      <c r="P29" s="71" t="s">
        <v>33</v>
      </c>
      <c r="Q29" s="51" t="s">
        <v>43</v>
      </c>
      <c r="R29" s="51" t="s">
        <v>43</v>
      </c>
      <c r="S29" s="51" t="s">
        <v>43</v>
      </c>
      <c r="T29" s="51" t="s">
        <v>43</v>
      </c>
      <c r="U29" s="51" t="s">
        <v>43</v>
      </c>
      <c r="V29" s="51" t="s">
        <v>43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12</v>
      </c>
      <c r="AM29" s="84">
        <f t="shared" si="7"/>
        <v>12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2</v>
      </c>
      <c r="AT29" s="20">
        <f>COUNTIF($Q$4:$X$93,AO29)</f>
        <v>0</v>
      </c>
      <c r="AU29" s="20">
        <f>COUNTIF($Y$4:$AF$93,AO29)</f>
        <v>1</v>
      </c>
      <c r="AV29" s="80">
        <f>AS29+AT29+AU29</f>
        <v>3</v>
      </c>
      <c r="AW29">
        <v>1</v>
      </c>
      <c r="AX29">
        <f>AS29*$AQ29</f>
        <v>1040</v>
      </c>
      <c r="AY29">
        <f>AT29*$AQ29</f>
        <v>0</v>
      </c>
      <c r="AZ29">
        <f>AU29*$AQ29</f>
        <v>520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1824</v>
      </c>
      <c r="E30" s="76">
        <f>SUM($B$4:B30)+SUM($C$4:C30)-SUM($D$4:D30)</f>
        <v>1224</v>
      </c>
      <c r="F30" s="88">
        <f>SUM(经验!A30:X30)</f>
        <v>720</v>
      </c>
      <c r="G30" s="88">
        <f>SUM($F$4:F30)+SUM($H$4:H30)</f>
        <v>20670</v>
      </c>
      <c r="H30" s="88">
        <v>200</v>
      </c>
      <c r="I30" s="145" t="s">
        <v>41</v>
      </c>
      <c r="J30" s="145" t="s">
        <v>41</v>
      </c>
      <c r="K30" s="145" t="s">
        <v>41</v>
      </c>
      <c r="L30" s="145" t="s">
        <v>41</v>
      </c>
      <c r="M30" s="145" t="s">
        <v>41</v>
      </c>
      <c r="N30" s="145" t="s">
        <v>41</v>
      </c>
      <c r="O30" s="71" t="s">
        <v>33</v>
      </c>
      <c r="P30" s="71" t="s">
        <v>33</v>
      </c>
      <c r="Q30" s="51" t="s">
        <v>43</v>
      </c>
      <c r="R30" s="51" t="s">
        <v>43</v>
      </c>
      <c r="S30" s="51" t="s">
        <v>43</v>
      </c>
      <c r="T30" s="51" t="s">
        <v>43</v>
      </c>
      <c r="U30" s="51" t="s">
        <v>43</v>
      </c>
      <c r="V30" s="51" t="s">
        <v>43</v>
      </c>
      <c r="W30" s="146" t="s">
        <v>45</v>
      </c>
      <c r="X30" s="51" t="s">
        <v>43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12</v>
      </c>
      <c r="AM30" s="84">
        <f t="shared" si="7"/>
        <v>12</v>
      </c>
      <c r="AN30" s="84">
        <f t="shared" si="8"/>
        <v>18</v>
      </c>
      <c r="AO30" s="20"/>
      <c r="AP30" s="20"/>
      <c r="AQ30" s="20"/>
      <c r="BD30" s="35">
        <f>SUM(BD4:BD29)+AG2*10</f>
        <v>18743.986653852437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1824</v>
      </c>
      <c r="E31" s="76">
        <f>SUM($B$4:B31)+SUM($C$4:C31)-SUM($D$4:D31)</f>
        <v>1000</v>
      </c>
      <c r="F31" s="88">
        <f>SUM(经验!A31:X31)</f>
        <v>660</v>
      </c>
      <c r="G31" s="88">
        <f>SUM($F$4:F31)+SUM($H$4:H31)</f>
        <v>21330</v>
      </c>
      <c r="H31" s="88">
        <v>0</v>
      </c>
      <c r="I31" s="145" t="s">
        <v>41</v>
      </c>
      <c r="J31" s="145" t="s">
        <v>41</v>
      </c>
      <c r="K31" s="145" t="s">
        <v>41</v>
      </c>
      <c r="L31" s="145" t="s">
        <v>41</v>
      </c>
      <c r="M31" s="145" t="s">
        <v>41</v>
      </c>
      <c r="N31" s="145" t="s">
        <v>41</v>
      </c>
      <c r="O31" s="71" t="s">
        <v>33</v>
      </c>
      <c r="P31" s="71" t="s">
        <v>33</v>
      </c>
      <c r="Q31" s="51" t="s">
        <v>43</v>
      </c>
      <c r="R31" s="51" t="s">
        <v>43</v>
      </c>
      <c r="S31" s="51" t="s">
        <v>43</v>
      </c>
      <c r="T31" s="51" t="s">
        <v>43</v>
      </c>
      <c r="U31" s="51" t="s">
        <v>43</v>
      </c>
      <c r="V31" s="51" t="s">
        <v>43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12</v>
      </c>
      <c r="AM31" s="84">
        <f t="shared" si="7"/>
        <v>12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1824</v>
      </c>
      <c r="E32" s="76">
        <f>SUM($B$4:B32)+SUM($C$4:C32)-SUM($D$4:D32)</f>
        <v>776</v>
      </c>
      <c r="F32" s="88">
        <f>SUM(经验!A32:X32)</f>
        <v>720</v>
      </c>
      <c r="G32" s="88">
        <f>SUM($F$4:F32)+SUM($H$4:H32)</f>
        <v>22050</v>
      </c>
      <c r="H32" s="88">
        <v>0</v>
      </c>
      <c r="I32" s="145" t="s">
        <v>41</v>
      </c>
      <c r="J32" s="145" t="s">
        <v>41</v>
      </c>
      <c r="K32" s="145" t="s">
        <v>41</v>
      </c>
      <c r="L32" s="145" t="s">
        <v>41</v>
      </c>
      <c r="M32" s="145" t="s">
        <v>41</v>
      </c>
      <c r="N32" s="145" t="s">
        <v>41</v>
      </c>
      <c r="O32" s="71" t="s">
        <v>33</v>
      </c>
      <c r="P32" s="71" t="s">
        <v>33</v>
      </c>
      <c r="Q32" s="51" t="s">
        <v>43</v>
      </c>
      <c r="R32" s="146" t="s">
        <v>45</v>
      </c>
      <c r="S32" s="51" t="s">
        <v>43</v>
      </c>
      <c r="T32" s="51" t="s">
        <v>43</v>
      </c>
      <c r="U32" s="51" t="s">
        <v>43</v>
      </c>
      <c r="V32" s="51" t="s">
        <v>43</v>
      </c>
      <c r="W32" s="51" t="s">
        <v>43</v>
      </c>
      <c r="X32" s="51" t="s">
        <v>43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12</v>
      </c>
      <c r="AM32" s="84">
        <f t="shared" si="7"/>
        <v>12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1000</v>
      </c>
      <c r="E33" s="76">
        <f>SUM($B$4:B33)+SUM($C$4:C33)-SUM($D$4:D33)</f>
        <v>1376</v>
      </c>
      <c r="F33" s="88">
        <f>SUM(经验!A33:X33)</f>
        <v>390</v>
      </c>
      <c r="G33" s="88">
        <f>SUM($F$4:F33)+SUM($H$4:H33)</f>
        <v>22440</v>
      </c>
      <c r="H33" s="88">
        <v>0</v>
      </c>
      <c r="I33" s="144" t="s">
        <v>38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51" t="s">
        <v>43</v>
      </c>
      <c r="R33" s="51" t="s">
        <v>43</v>
      </c>
      <c r="S33" s="51" t="s">
        <v>43</v>
      </c>
      <c r="T33" s="51" t="s">
        <v>43</v>
      </c>
      <c r="U33" s="51" t="s">
        <v>43</v>
      </c>
      <c r="V33" s="51" t="s">
        <v>43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17</v>
      </c>
      <c r="AM33" s="84">
        <f t="shared" si="7"/>
        <v>12</v>
      </c>
      <c r="AN33" s="84">
        <f t="shared" si="8"/>
        <v>18</v>
      </c>
      <c r="AO33" s="48" t="s">
        <v>39</v>
      </c>
      <c r="AP33" s="20">
        <v>159</v>
      </c>
      <c r="AQ33" s="20">
        <f>AP33-AV6</f>
        <v>81</v>
      </c>
      <c r="AR33">
        <f>AQ33*AP6*0.8</f>
        <v>11016</v>
      </c>
      <c r="AS33">
        <f>AQ33*AQ6</f>
        <v>3645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1824</v>
      </c>
      <c r="E34" s="76">
        <f>SUM($B$4:B34)+SUM($C$4:C34)-SUM($D$4:D34)</f>
        <v>1152</v>
      </c>
      <c r="F34" s="88">
        <f>SUM(经验!A34:X34)</f>
        <v>660</v>
      </c>
      <c r="G34" s="88">
        <f>SUM($F$4:F34)+SUM($H$4:H34)</f>
        <v>23100</v>
      </c>
      <c r="H34" s="88">
        <v>0</v>
      </c>
      <c r="I34" s="145" t="s">
        <v>41</v>
      </c>
      <c r="J34" s="145" t="s">
        <v>41</v>
      </c>
      <c r="K34" s="145" t="s">
        <v>41</v>
      </c>
      <c r="L34" s="145" t="s">
        <v>41</v>
      </c>
      <c r="M34" s="145" t="s">
        <v>41</v>
      </c>
      <c r="N34" s="145" t="s">
        <v>41</v>
      </c>
      <c r="O34" s="71" t="s">
        <v>33</v>
      </c>
      <c r="P34" s="71" t="s">
        <v>33</v>
      </c>
      <c r="Q34" s="51" t="s">
        <v>43</v>
      </c>
      <c r="R34" s="51" t="s">
        <v>43</v>
      </c>
      <c r="S34" s="51" t="s">
        <v>43</v>
      </c>
      <c r="T34" s="51" t="s">
        <v>43</v>
      </c>
      <c r="U34" s="51" t="s">
        <v>43</v>
      </c>
      <c r="V34" s="51" t="s">
        <v>43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12</v>
      </c>
      <c r="AM34" s="84">
        <f t="shared" si="7"/>
        <v>12</v>
      </c>
      <c r="AN34" s="84">
        <f t="shared" si="8"/>
        <v>18</v>
      </c>
      <c r="AO34" s="49" t="s">
        <v>41</v>
      </c>
      <c r="AP34" s="20">
        <v>270</v>
      </c>
      <c r="AQ34" s="20">
        <f>AP34-AV7</f>
        <v>135</v>
      </c>
      <c r="AR34">
        <f>AQ34*AP7*0.8</f>
        <v>19440</v>
      </c>
      <c r="AS34">
        <f>AQ34*AQ7</f>
        <v>6750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1792</v>
      </c>
      <c r="E35" s="76">
        <f>SUM($B$4:B35)+SUM($C$4:C35)-SUM($D$4:D35)</f>
        <v>960</v>
      </c>
      <c r="F35" s="88">
        <f>SUM(经验!A35:X35)</f>
        <v>635</v>
      </c>
      <c r="G35" s="88">
        <f>SUM($F$4:F35)+SUM($H$4:H35)</f>
        <v>23935</v>
      </c>
      <c r="H35" s="90">
        <v>200</v>
      </c>
      <c r="I35" s="145" t="s">
        <v>41</v>
      </c>
      <c r="J35" s="145" t="s">
        <v>41</v>
      </c>
      <c r="K35" s="145" t="s">
        <v>41</v>
      </c>
      <c r="L35" s="145" t="s">
        <v>41</v>
      </c>
      <c r="M35" s="145" t="s">
        <v>41</v>
      </c>
      <c r="N35" s="145" t="s">
        <v>41</v>
      </c>
      <c r="O35" s="71" t="s">
        <v>33</v>
      </c>
      <c r="P35" s="71" t="s">
        <v>33</v>
      </c>
      <c r="Q35" s="51" t="s">
        <v>43</v>
      </c>
      <c r="R35" s="50" t="s">
        <v>42</v>
      </c>
      <c r="S35" s="50" t="s">
        <v>42</v>
      </c>
      <c r="T35" s="50" t="s">
        <v>42</v>
      </c>
      <c r="U35" s="50" t="s">
        <v>42</v>
      </c>
      <c r="V35" s="50" t="s">
        <v>42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1</v>
      </c>
      <c r="AH35" s="93"/>
      <c r="AI35" s="93">
        <v>1</v>
      </c>
      <c r="AJ35" s="93"/>
      <c r="AK35" s="95" t="s">
        <v>51</v>
      </c>
      <c r="AL35" s="84">
        <f t="shared" si="6"/>
        <v>12</v>
      </c>
      <c r="AM35" s="84">
        <f t="shared" si="7"/>
        <v>12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151</v>
      </c>
      <c r="AR35">
        <f>AQ35*AP8*0.8</f>
        <v>22952</v>
      </c>
      <c r="AS35">
        <f t="shared" ref="AS35:AS42" si="13">AQ35*AQ8</f>
        <v>8305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1776</v>
      </c>
      <c r="E36" s="76">
        <f>SUM($B$4:B36)+SUM($C$4:C36)-SUM($D$4:D36)</f>
        <v>784</v>
      </c>
      <c r="F36" s="88">
        <f>SUM(经验!A36:X36)</f>
        <v>630</v>
      </c>
      <c r="G36" s="88">
        <f>SUM($F$4:F36)+SUM($H$4:H36)</f>
        <v>24665</v>
      </c>
      <c r="H36" s="90">
        <v>100</v>
      </c>
      <c r="I36" s="145" t="s">
        <v>41</v>
      </c>
      <c r="J36" s="145" t="s">
        <v>41</v>
      </c>
      <c r="K36" s="145" t="s">
        <v>41</v>
      </c>
      <c r="L36" s="145" t="s">
        <v>41</v>
      </c>
      <c r="M36" s="145" t="s">
        <v>41</v>
      </c>
      <c r="N36" s="145" t="s">
        <v>41</v>
      </c>
      <c r="O36" s="71" t="s">
        <v>33</v>
      </c>
      <c r="P36" s="71" t="s">
        <v>33</v>
      </c>
      <c r="Q36" s="50" t="s">
        <v>42</v>
      </c>
      <c r="R36" s="50" t="s">
        <v>42</v>
      </c>
      <c r="S36" s="50" t="s">
        <v>42</v>
      </c>
      <c r="T36" s="50" t="s">
        <v>42</v>
      </c>
      <c r="U36" s="50" t="s">
        <v>42</v>
      </c>
      <c r="V36" s="50" t="s">
        <v>42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12</v>
      </c>
      <c r="AM36" s="84">
        <f t="shared" si="7"/>
        <v>12</v>
      </c>
      <c r="AN36" s="84">
        <f t="shared" si="8"/>
        <v>18</v>
      </c>
      <c r="AO36" s="51" t="s">
        <v>43</v>
      </c>
      <c r="AP36" s="20">
        <v>192</v>
      </c>
      <c r="AQ36" s="20">
        <f>AP36-AV9</f>
        <v>127</v>
      </c>
      <c r="AR36">
        <f>AQ36*AP9*0.8</f>
        <v>20320</v>
      </c>
      <c r="AS36">
        <f t="shared" si="13"/>
        <v>7620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1704</v>
      </c>
      <c r="E37" s="76">
        <f>SUM($B$4:B37)+SUM($C$4:C37)-SUM($D$4:D37)</f>
        <v>680</v>
      </c>
      <c r="F37" s="88">
        <f>SUM(经验!A37:X37)</f>
        <v>1050</v>
      </c>
      <c r="G37" s="88">
        <f>SUM($F$4:F37)+SUM($H$4:H37)</f>
        <v>25915</v>
      </c>
      <c r="H37" s="90">
        <v>200</v>
      </c>
      <c r="I37" s="145" t="s">
        <v>41</v>
      </c>
      <c r="J37" s="145" t="s">
        <v>41</v>
      </c>
      <c r="K37" s="145" t="s">
        <v>41</v>
      </c>
      <c r="L37" s="52" t="s">
        <v>40</v>
      </c>
      <c r="M37" s="59" t="s">
        <v>53</v>
      </c>
      <c r="N37" s="50" t="s">
        <v>42</v>
      </c>
      <c r="O37" s="71" t="s">
        <v>33</v>
      </c>
      <c r="P37" s="71" t="s">
        <v>33</v>
      </c>
      <c r="Q37" s="50" t="s">
        <v>42</v>
      </c>
      <c r="R37" s="56" t="s">
        <v>38</v>
      </c>
      <c r="S37" s="50" t="s">
        <v>42</v>
      </c>
      <c r="T37" s="50" t="s">
        <v>42</v>
      </c>
      <c r="U37" s="50" t="s">
        <v>42</v>
      </c>
      <c r="V37" s="50" t="s">
        <v>42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12</v>
      </c>
      <c r="AM37" s="84">
        <f t="shared" ref="AM37:AM68" si="15">MIN(AM36+6,18)-COUNTIF(Q37:X37,"&lt;&gt;空")+COUNTIF(Q37:X37,"历练")+COUNTIF(Q37:X37,"营地")*2</f>
        <v>12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38</v>
      </c>
      <c r="AQ37" s="20">
        <f>AP37-AV17</f>
        <v>12</v>
      </c>
      <c r="AR37">
        <f>AQ37*AP17*0.8</f>
        <v>480</v>
      </c>
      <c r="AS37">
        <f>AQ37*AQ17</f>
        <v>360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712</v>
      </c>
      <c r="E38" s="76">
        <f>SUM($B$4:B38)+SUM($C$4:C38)-SUM($D$4:D38)</f>
        <v>1568</v>
      </c>
      <c r="F38" s="88">
        <f>SUM(经验!A38:X38)</f>
        <v>385</v>
      </c>
      <c r="G38" s="88">
        <f>SUM($F$4:F38)+SUM($H$4:H38)</f>
        <v>26300</v>
      </c>
      <c r="H38" s="90">
        <v>0</v>
      </c>
      <c r="I38" s="50" t="s">
        <v>42</v>
      </c>
      <c r="J38" s="146" t="s">
        <v>45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50" t="s">
        <v>42</v>
      </c>
      <c r="R38" s="50" t="s">
        <v>42</v>
      </c>
      <c r="S38" s="65" t="s">
        <v>48</v>
      </c>
      <c r="T38" s="50" t="s">
        <v>42</v>
      </c>
      <c r="U38" s="50" t="s">
        <v>42</v>
      </c>
      <c r="V38" s="50" t="s">
        <v>42</v>
      </c>
      <c r="W38" s="146" t="s">
        <v>45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13</v>
      </c>
      <c r="AN38" s="84">
        <f t="shared" si="16"/>
        <v>18</v>
      </c>
      <c r="AO38" s="52" t="s">
        <v>40</v>
      </c>
      <c r="AP38" s="20">
        <v>34</v>
      </c>
      <c r="AQ38" s="20">
        <f>AP38-AV11</f>
        <v>10</v>
      </c>
      <c r="AR38">
        <f>AQ38*AP11*0.8</f>
        <v>1200</v>
      </c>
      <c r="AS38">
        <f>AQ38*AQ11</f>
        <v>400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880</v>
      </c>
      <c r="E39" s="76">
        <f>SUM($B$4:B39)+SUM($C$4:C39)-SUM($D$4:D39)</f>
        <v>2288</v>
      </c>
      <c r="F39" s="88">
        <f>SUM(经验!A39:X39)</f>
        <v>315</v>
      </c>
      <c r="G39" s="88">
        <f>SUM($F$4:F39)+SUM($H$4:H39)</f>
        <v>26615</v>
      </c>
      <c r="H39" s="90">
        <v>0</v>
      </c>
      <c r="I39" s="50" t="s">
        <v>42</v>
      </c>
      <c r="J39" s="50" t="s">
        <v>42</v>
      </c>
      <c r="K39" s="50" t="s">
        <v>42</v>
      </c>
      <c r="L39" s="50" t="s">
        <v>42</v>
      </c>
      <c r="M39" s="50" t="s">
        <v>42</v>
      </c>
      <c r="N39" s="52" t="s">
        <v>40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ref="AG39:AG49" si="17">AH39+AI39+AJ39</f>
        <v>0</v>
      </c>
      <c r="AH39" s="93"/>
      <c r="AI39" s="93"/>
      <c r="AJ39" s="93"/>
      <c r="AK39" s="95" t="s">
        <v>51</v>
      </c>
      <c r="AL39" s="84">
        <f t="shared" si="14"/>
        <v>12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4</v>
      </c>
      <c r="AR39">
        <f>AQ39*AP12*0.8</f>
        <v>480</v>
      </c>
      <c r="AS39">
        <f t="shared" si="13"/>
        <v>180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816</v>
      </c>
      <c r="E40" s="76">
        <f>SUM($B$4:B40)+SUM($C$4:C40)-SUM($D$4:D40)</f>
        <v>3072</v>
      </c>
      <c r="F40" s="88">
        <f>SUM(经验!A40:X40)</f>
        <v>310</v>
      </c>
      <c r="G40" s="88">
        <f>SUM($F$4:F40)+SUM($H$4:H40)</f>
        <v>26925</v>
      </c>
      <c r="H40" s="90">
        <v>0</v>
      </c>
      <c r="I40" s="50" t="s">
        <v>42</v>
      </c>
      <c r="J40" s="50" t="s">
        <v>42</v>
      </c>
      <c r="K40" s="50" t="s">
        <v>42</v>
      </c>
      <c r="L40" s="50" t="s">
        <v>42</v>
      </c>
      <c r="M40" s="51" t="s">
        <v>43</v>
      </c>
      <c r="N40" s="56" t="s">
        <v>38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17"/>
        <v>1</v>
      </c>
      <c r="AH40" s="93">
        <v>1</v>
      </c>
      <c r="AI40" s="93"/>
      <c r="AJ40" s="93"/>
      <c r="AK40" s="95" t="s">
        <v>51</v>
      </c>
      <c r="AL40" s="84">
        <f t="shared" si="14"/>
        <v>12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960</v>
      </c>
      <c r="E41" s="76">
        <f>SUM($B$4:B41)+SUM($C$4:C41)-SUM($D$4:D41)</f>
        <v>3712</v>
      </c>
      <c r="F41" s="88">
        <f>SUM(经验!A41:X41)</f>
        <v>855</v>
      </c>
      <c r="G41" s="88">
        <f>SUM($F$4:F41)+SUM($H$4:H41)</f>
        <v>27780</v>
      </c>
      <c r="H41" s="90">
        <v>0</v>
      </c>
      <c r="I41" s="50" t="s">
        <v>42</v>
      </c>
      <c r="J41" s="50" t="s">
        <v>42</v>
      </c>
      <c r="K41" s="51" t="s">
        <v>43</v>
      </c>
      <c r="L41" s="50" t="s">
        <v>42</v>
      </c>
      <c r="M41" s="50" t="s">
        <v>42</v>
      </c>
      <c r="N41" s="50" t="s">
        <v>42</v>
      </c>
      <c r="O41" s="40" t="s">
        <v>60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17"/>
        <v>0</v>
      </c>
      <c r="AH41" s="93"/>
      <c r="AI41" s="93"/>
      <c r="AJ41" s="93"/>
      <c r="AK41" s="95" t="s">
        <v>51</v>
      </c>
      <c r="AL41" s="84">
        <f t="shared" si="14"/>
        <v>12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1</v>
      </c>
      <c r="AR41">
        <f>AQ41*AP14*0.8</f>
        <v>120</v>
      </c>
      <c r="AS41">
        <f t="shared" si="13"/>
        <v>55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912</v>
      </c>
      <c r="E42" s="76">
        <f>SUM($B$4:B42)+SUM($C$4:C42)-SUM($D$4:D42)</f>
        <v>4400</v>
      </c>
      <c r="F42" s="88">
        <f>SUM(经验!A42:X42)</f>
        <v>330</v>
      </c>
      <c r="G42" s="88">
        <f>SUM($F$4:F42)+SUM($H$4:H42)</f>
        <v>28410</v>
      </c>
      <c r="H42" s="88">
        <v>300</v>
      </c>
      <c r="I42" s="50" t="s">
        <v>42</v>
      </c>
      <c r="J42" s="50" t="s">
        <v>42</v>
      </c>
      <c r="K42" s="50" t="s">
        <v>42</v>
      </c>
      <c r="L42" s="50" t="s">
        <v>42</v>
      </c>
      <c r="M42" s="50" t="s">
        <v>42</v>
      </c>
      <c r="N42" s="50" t="s">
        <v>42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17"/>
        <v>0</v>
      </c>
      <c r="AH42" s="93"/>
      <c r="AI42" s="93"/>
      <c r="AJ42" s="93"/>
      <c r="AK42" s="95" t="s">
        <v>51</v>
      </c>
      <c r="AL42" s="84">
        <f t="shared" si="14"/>
        <v>12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936</v>
      </c>
      <c r="E43" s="76">
        <f>SUM($B$4:B43)+SUM($C$4:C43)-SUM($D$4:D43)</f>
        <v>5064</v>
      </c>
      <c r="F43" s="88">
        <f>SUM(经验!A43:X43)</f>
        <v>340</v>
      </c>
      <c r="G43" s="88">
        <f>SUM($F$4:F43)+SUM($H$4:H43)</f>
        <v>28750</v>
      </c>
      <c r="H43" s="88">
        <v>0</v>
      </c>
      <c r="I43" s="50" t="s">
        <v>42</v>
      </c>
      <c r="J43" s="50" t="s">
        <v>42</v>
      </c>
      <c r="K43" s="50" t="s">
        <v>42</v>
      </c>
      <c r="L43" s="51" t="s">
        <v>43</v>
      </c>
      <c r="M43" s="50" t="s">
        <v>42</v>
      </c>
      <c r="N43" s="51" t="s">
        <v>43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17"/>
        <v>1</v>
      </c>
      <c r="AH43" s="93">
        <v>1</v>
      </c>
      <c r="AI43" s="93"/>
      <c r="AJ43" s="93"/>
      <c r="AK43" s="95" t="s">
        <v>51</v>
      </c>
      <c r="AL43" s="84">
        <f t="shared" si="14"/>
        <v>12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1</v>
      </c>
      <c r="AR43">
        <f>AQ43*AP23*0.8</f>
        <v>200</v>
      </c>
      <c r="AS43">
        <f>AQ43*AQ23</f>
        <v>500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888</v>
      </c>
      <c r="E44" s="76">
        <f>SUM($B$4:B44)+SUM($C$4:C44)-SUM($D$4:D44)</f>
        <v>5776</v>
      </c>
      <c r="F44" s="88">
        <f>SUM(经验!A44:X44)</f>
        <v>330</v>
      </c>
      <c r="G44" s="88">
        <f>SUM($F$4:F44)+SUM($H$4:H44)</f>
        <v>29280</v>
      </c>
      <c r="H44" s="88">
        <v>200</v>
      </c>
      <c r="I44" s="65" t="s">
        <v>48</v>
      </c>
      <c r="J44" s="50" t="s">
        <v>42</v>
      </c>
      <c r="K44" s="50" t="s">
        <v>42</v>
      </c>
      <c r="L44" s="50" t="s">
        <v>42</v>
      </c>
      <c r="M44" s="50" t="s">
        <v>42</v>
      </c>
      <c r="N44" s="50" t="s">
        <v>42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17"/>
        <v>1</v>
      </c>
      <c r="AH44" s="93">
        <v>1</v>
      </c>
      <c r="AI44" s="93"/>
      <c r="AJ44" s="93"/>
      <c r="AK44" s="95" t="s">
        <v>51</v>
      </c>
      <c r="AL44" s="84">
        <f t="shared" si="14"/>
        <v>12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912</v>
      </c>
      <c r="E45" s="76">
        <f>SUM($B$4:B45)+SUM($C$4:C45)-SUM($D$4:D45)</f>
        <v>6464</v>
      </c>
      <c r="F45" s="88">
        <f>SUM(经验!A45:X45)</f>
        <v>330</v>
      </c>
      <c r="G45" s="88">
        <f>SUM($F$4:F45)+SUM($H$4:H45)</f>
        <v>29610</v>
      </c>
      <c r="H45" s="88">
        <v>0</v>
      </c>
      <c r="I45" s="50" t="s">
        <v>42</v>
      </c>
      <c r="J45" s="50" t="s">
        <v>42</v>
      </c>
      <c r="K45" s="50" t="s">
        <v>42</v>
      </c>
      <c r="L45" s="50" t="s">
        <v>42</v>
      </c>
      <c r="M45" s="50" t="s">
        <v>42</v>
      </c>
      <c r="N45" s="50" t="s">
        <v>42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17"/>
        <v>0</v>
      </c>
      <c r="AH45" s="93"/>
      <c r="AI45" s="93"/>
      <c r="AJ45" s="93"/>
      <c r="AK45" s="95" t="s">
        <v>51</v>
      </c>
      <c r="AL45" s="84">
        <f t="shared" si="14"/>
        <v>12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880</v>
      </c>
      <c r="E46" s="76">
        <f>SUM($B$4:B46)+SUM($C$4:C46)-SUM($D$4:D46)</f>
        <v>7184</v>
      </c>
      <c r="F46" s="88">
        <f>SUM(经验!A46:X46)</f>
        <v>315</v>
      </c>
      <c r="G46" s="88">
        <f>SUM($F$4:F46)+SUM($H$4:H46)</f>
        <v>29925</v>
      </c>
      <c r="H46" s="88">
        <v>0</v>
      </c>
      <c r="I46" s="50" t="s">
        <v>42</v>
      </c>
      <c r="J46" s="50" t="s">
        <v>42</v>
      </c>
      <c r="K46" s="50" t="s">
        <v>42</v>
      </c>
      <c r="L46" s="50" t="s">
        <v>42</v>
      </c>
      <c r="M46" s="52" t="s">
        <v>40</v>
      </c>
      <c r="N46" s="50" t="s">
        <v>42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17"/>
        <v>0</v>
      </c>
      <c r="AH46" s="93"/>
      <c r="AI46" s="93"/>
      <c r="AJ46" s="93"/>
      <c r="AK46" s="95" t="s">
        <v>51</v>
      </c>
      <c r="AL46" s="84">
        <f t="shared" si="14"/>
        <v>12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526</v>
      </c>
      <c r="AR46">
        <f>SUM(AR33:AR45)</f>
        <v>76688</v>
      </c>
      <c r="AS46">
        <f>SUM(AS33:AS45)</f>
        <v>28025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808</v>
      </c>
      <c r="E47" s="76">
        <f>SUM($B$4:B47)+SUM($C$4:C47)-SUM($D$4:D47)</f>
        <v>7976</v>
      </c>
      <c r="F47" s="88">
        <f>SUM(经验!A47:X47)</f>
        <v>800</v>
      </c>
      <c r="G47" s="88">
        <f>SUM($F$4:F47)+SUM($H$4:H47)</f>
        <v>30725</v>
      </c>
      <c r="H47" s="88">
        <v>0</v>
      </c>
      <c r="I47" s="50" t="s">
        <v>42</v>
      </c>
      <c r="J47" s="40" t="s">
        <v>60</v>
      </c>
      <c r="K47" s="50" t="s">
        <v>42</v>
      </c>
      <c r="L47" s="50" t="s">
        <v>42</v>
      </c>
      <c r="M47" s="50" t="s">
        <v>42</v>
      </c>
      <c r="N47" s="51" t="s">
        <v>43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17"/>
        <v>0</v>
      </c>
      <c r="AH47" s="93"/>
      <c r="AI47" s="93"/>
      <c r="AJ47" s="93"/>
      <c r="AK47" s="95" t="s">
        <v>51</v>
      </c>
      <c r="AL47" s="84">
        <f t="shared" si="14"/>
        <v>13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16</v>
      </c>
      <c r="AS47" s="45">
        <f>AS46+G93</f>
        <v>63965</v>
      </c>
      <c r="BE47" s="29"/>
    </row>
    <row r="48" spans="1:57">
      <c r="A48" s="87">
        <v>45956</v>
      </c>
      <c r="B48" s="88">
        <v>1600</v>
      </c>
      <c r="C48" s="89">
        <v>40</v>
      </c>
      <c r="D48" s="88">
        <f>(SUM(粮草!A48:X48)+AG48*10*IF(AK48="是",$BB$4,$BB$3))</f>
        <v>920</v>
      </c>
      <c r="E48" s="76">
        <f>SUM($B$4:B48)+SUM($C$4:C48)-SUM($D$4:D48)</f>
        <v>8696</v>
      </c>
      <c r="F48" s="88">
        <f>SUM(经验!A48:X48)</f>
        <v>330</v>
      </c>
      <c r="G48" s="88">
        <f>SUM($F$4:F48)+SUM($H$4:H48)</f>
        <v>31055</v>
      </c>
      <c r="H48" s="88">
        <v>0</v>
      </c>
      <c r="I48" s="50" t="s">
        <v>42</v>
      </c>
      <c r="J48" s="50" t="s">
        <v>42</v>
      </c>
      <c r="K48" s="50" t="s">
        <v>42</v>
      </c>
      <c r="L48" s="50" t="s">
        <v>42</v>
      </c>
      <c r="M48" s="50" t="s">
        <v>42</v>
      </c>
      <c r="N48" s="50" t="s">
        <v>42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17"/>
        <v>1</v>
      </c>
      <c r="AH48" s="93">
        <v>1</v>
      </c>
      <c r="AI48" s="93"/>
      <c r="AJ48" s="93"/>
      <c r="AK48" s="95" t="s">
        <v>51</v>
      </c>
      <c r="AL48" s="84">
        <f t="shared" si="14"/>
        <v>12</v>
      </c>
      <c r="AM48" s="84">
        <f t="shared" si="15"/>
        <v>18</v>
      </c>
      <c r="AN48" s="84">
        <f t="shared" si="16"/>
        <v>18</v>
      </c>
      <c r="AQ48" s="110" t="s">
        <v>69</v>
      </c>
      <c r="AR48" s="110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960</v>
      </c>
      <c r="E49" s="76">
        <f>SUM($B$4:B49)+SUM($C$4:C49)-SUM($D$4:D49)</f>
        <v>9336</v>
      </c>
      <c r="F49" s="88">
        <f>SUM(经验!A49:X49)</f>
        <v>365</v>
      </c>
      <c r="G49" s="88">
        <f>SUM($F$4:F49)+SUM($H$4:H49)</f>
        <v>31620</v>
      </c>
      <c r="H49" s="90">
        <v>200</v>
      </c>
      <c r="I49" s="50" t="s">
        <v>42</v>
      </c>
      <c r="J49" s="50" t="s">
        <v>42</v>
      </c>
      <c r="K49" s="56" t="s">
        <v>38</v>
      </c>
      <c r="L49" s="50" t="s">
        <v>42</v>
      </c>
      <c r="M49" s="50" t="s">
        <v>42</v>
      </c>
      <c r="N49" s="50" t="s">
        <v>42</v>
      </c>
      <c r="O49" s="51" t="s">
        <v>43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17"/>
        <v>0</v>
      </c>
      <c r="AH49" s="93"/>
      <c r="AI49" s="93"/>
      <c r="AJ49" s="93"/>
      <c r="AK49" s="95" t="s">
        <v>51</v>
      </c>
      <c r="AL49" s="84">
        <f t="shared" si="14"/>
        <v>11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10936</v>
      </c>
      <c r="F50" s="88">
        <f>SUM(经验!A50:X50)</f>
        <v>0</v>
      </c>
      <c r="G50" s="88">
        <f>SUM($F$4:F50)+SUM($H$4:H50)</f>
        <v>31720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17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COUNTIF(I4:AF13,$AO$18)</f>
        <v>2</v>
      </c>
      <c r="AT50">
        <f>AP50*AS50</f>
        <v>600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12536</v>
      </c>
      <c r="F51" s="88">
        <f>SUM(经验!A51:X51)</f>
        <v>0</v>
      </c>
      <c r="G51" s="88">
        <f>SUM($F$4:F51)+SUM($H$4:H51)</f>
        <v>31920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COUNTIF(I14:AF24,$AO$18)</f>
        <v>9</v>
      </c>
      <c r="AT51">
        <f t="shared" ref="AT51:AT54" si="18">AP51*AS51</f>
        <v>2250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14136</v>
      </c>
      <c r="F52" s="88">
        <f>SUM(经验!A52:X52)</f>
        <v>0</v>
      </c>
      <c r="G52" s="88">
        <f>SUM($F$4:F52)+SUM($H$4:H52)</f>
        <v>31920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4</v>
      </c>
      <c r="AT52">
        <f t="shared" si="18"/>
        <v>800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15736</v>
      </c>
      <c r="F53" s="88">
        <f>SUM(经验!A53:X53)</f>
        <v>0</v>
      </c>
      <c r="G53" s="88">
        <f>SUM($F$4:F53)+SUM($H$4:H53)</f>
        <v>31920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AT53">
        <f t="shared" si="18"/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17336</v>
      </c>
      <c r="F54" s="88">
        <f>SUM(经验!A54:X54)</f>
        <v>0</v>
      </c>
      <c r="G54" s="88">
        <f>SUM($F$4:F54)+SUM($H$4:H54)</f>
        <v>31920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AT54">
        <f t="shared" si="18"/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18936</v>
      </c>
      <c r="F55" s="88">
        <f>SUM(经验!A55:X55)</f>
        <v>0</v>
      </c>
      <c r="G55" s="88">
        <f>SUM($F$4:F55)+SUM($H$4:H55)</f>
        <v>31920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AT55">
        <f>SUM(AT50:AT54)</f>
        <v>3650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20536</v>
      </c>
      <c r="F56" s="88">
        <f>SUM(经验!A56:X56)</f>
        <v>0</v>
      </c>
      <c r="G56" s="88">
        <f>SUM($F$4:F56)+SUM($H$4:H56)</f>
        <v>32220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22136</v>
      </c>
      <c r="F57" s="88">
        <f>SUM(经验!A57:X57)</f>
        <v>0</v>
      </c>
      <c r="G57" s="88">
        <f>SUM($F$4:F57)+SUM($H$4:H57)</f>
        <v>32220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23736</v>
      </c>
      <c r="F58" s="88">
        <f>SUM(经验!A58:X58)</f>
        <v>0</v>
      </c>
      <c r="G58" s="88">
        <f>SUM($F$4:F58)+SUM($H$4:H58)</f>
        <v>32420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25336</v>
      </c>
      <c r="F59" s="88">
        <f>SUM(经验!A59:X59)</f>
        <v>0</v>
      </c>
      <c r="G59" s="88">
        <f>SUM($F$4:F59)+SUM($H$4:H59)</f>
        <v>32420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26936</v>
      </c>
      <c r="F60" s="88">
        <f>SUM(经验!A60:X60)</f>
        <v>0</v>
      </c>
      <c r="G60" s="88">
        <f>SUM($F$4:F60)+SUM($H$4:H60)</f>
        <v>32420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28536</v>
      </c>
      <c r="F61" s="88">
        <f>SUM(经验!A61:X61)</f>
        <v>0</v>
      </c>
      <c r="G61" s="88">
        <f>SUM($F$4:F61)+SUM($H$4:H61)</f>
        <v>32420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30136</v>
      </c>
      <c r="F62" s="88">
        <f>SUM(经验!A62:X62)</f>
        <v>0</v>
      </c>
      <c r="G62" s="88">
        <f>SUM($F$4:F62)+SUM($H$4:H62)</f>
        <v>32420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31736</v>
      </c>
      <c r="F63" s="88">
        <f>SUM(经验!A63:X63)</f>
        <v>0</v>
      </c>
      <c r="G63" s="88">
        <f>SUM($F$4:F63)+SUM($H$4:H63)</f>
        <v>32720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33336</v>
      </c>
      <c r="F64" s="88">
        <f>SUM(经验!A64:X64)</f>
        <v>0</v>
      </c>
      <c r="G64" s="88">
        <f>SUM($F$4:F64)+SUM($H$4:H64)</f>
        <v>32720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34936</v>
      </c>
      <c r="F65" s="88">
        <f>SUM(经验!A65:X65)</f>
        <v>0</v>
      </c>
      <c r="G65" s="88">
        <f>SUM($F$4:F65)+SUM($H$4:H65)</f>
        <v>32920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36536</v>
      </c>
      <c r="F66" s="88">
        <f>SUM(经验!A66:X66)</f>
        <v>0</v>
      </c>
      <c r="G66" s="88">
        <f>SUM($F$4:F66)+SUM($H$4:H66)</f>
        <v>32920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38136</v>
      </c>
      <c r="F67" s="88">
        <f>SUM(经验!A67:X67)</f>
        <v>0</v>
      </c>
      <c r="G67" s="88">
        <f>SUM($F$4:F67)+SUM($H$4:H67)</f>
        <v>32920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39736</v>
      </c>
      <c r="F68" s="88">
        <f>SUM(经验!A68:X68)</f>
        <v>0</v>
      </c>
      <c r="G68" s="88">
        <f>SUM($F$4:F68)+SUM($H$4:H68)</f>
        <v>32920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41336</v>
      </c>
      <c r="F69" s="88">
        <f>SUM(经验!A69:X69)</f>
        <v>0</v>
      </c>
      <c r="G69" s="88">
        <f>SUM($F$4:F69)+SUM($H$4:H69)</f>
        <v>32920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9">AH69+AI69+AJ69</f>
        <v>0</v>
      </c>
      <c r="AH69" s="93"/>
      <c r="AI69" s="93"/>
      <c r="AJ69" s="93"/>
      <c r="AK69" s="95" t="s">
        <v>51</v>
      </c>
      <c r="AL69" s="84">
        <f t="shared" ref="AL69:AL93" si="20">MIN(AL68+6,18)-COUNTIF(I69:P69,"&lt;&gt;空")+COUNTIF(I69:P69,"历练")+COUNTIF(I69:P69,"营地")*2</f>
        <v>18</v>
      </c>
      <c r="AM69" s="84">
        <f t="shared" ref="AM69:AM93" si="21">MIN(AM68+6,18)-COUNTIF(Q69:X69,"&lt;&gt;空")+COUNTIF(Q69:X69,"历练")+COUNTIF(Q69:X69,"营地")*2</f>
        <v>18</v>
      </c>
      <c r="AN69" s="84">
        <f t="shared" ref="AN69:AN93" si="22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42936</v>
      </c>
      <c r="F70" s="88">
        <f>SUM(经验!A70:X70)</f>
        <v>0</v>
      </c>
      <c r="G70" s="88">
        <f>SUM($F$4:F70)+SUM($H$4:H70)</f>
        <v>33220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9"/>
        <v>0</v>
      </c>
      <c r="AH70" s="93"/>
      <c r="AI70" s="93"/>
      <c r="AJ70" s="93"/>
      <c r="AK70" s="95" t="s">
        <v>51</v>
      </c>
      <c r="AL70" s="84">
        <f t="shared" si="20"/>
        <v>18</v>
      </c>
      <c r="AM70" s="84">
        <f t="shared" si="21"/>
        <v>18</v>
      </c>
      <c r="AN70" s="84">
        <f t="shared" si="22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44536</v>
      </c>
      <c r="F71" s="88">
        <f>SUM(经验!A71:X71)</f>
        <v>0</v>
      </c>
      <c r="G71" s="88">
        <f>SUM($F$4:F71)+SUM($H$4:H71)</f>
        <v>33220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9"/>
        <v>0</v>
      </c>
      <c r="AH71" s="93"/>
      <c r="AI71" s="93"/>
      <c r="AJ71" s="93"/>
      <c r="AK71" s="95" t="s">
        <v>51</v>
      </c>
      <c r="AL71" s="84">
        <f t="shared" si="20"/>
        <v>18</v>
      </c>
      <c r="AM71" s="84">
        <f t="shared" si="21"/>
        <v>18</v>
      </c>
      <c r="AN71" s="84">
        <f t="shared" si="22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46136</v>
      </c>
      <c r="F72" s="88">
        <f>SUM(经验!A72:X72)</f>
        <v>0</v>
      </c>
      <c r="G72" s="88">
        <f>SUM($F$4:F72)+SUM($H$4:H72)</f>
        <v>33420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9"/>
        <v>0</v>
      </c>
      <c r="AH72" s="93"/>
      <c r="AI72" s="93"/>
      <c r="AJ72" s="93"/>
      <c r="AK72" s="95" t="s">
        <v>51</v>
      </c>
      <c r="AL72" s="84">
        <f t="shared" si="20"/>
        <v>18</v>
      </c>
      <c r="AM72" s="84">
        <f t="shared" si="21"/>
        <v>18</v>
      </c>
      <c r="AN72" s="84">
        <f t="shared" si="22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47736</v>
      </c>
      <c r="F73" s="88">
        <f>SUM(经验!A73:X73)</f>
        <v>0</v>
      </c>
      <c r="G73" s="88">
        <f>SUM($F$4:F73)+SUM($H$4:H73)</f>
        <v>33420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9"/>
        <v>0</v>
      </c>
      <c r="AH73" s="93"/>
      <c r="AI73" s="93"/>
      <c r="AJ73" s="93"/>
      <c r="AK73" s="95" t="s">
        <v>51</v>
      </c>
      <c r="AL73" s="84">
        <f t="shared" si="20"/>
        <v>18</v>
      </c>
      <c r="AM73" s="84">
        <f t="shared" si="21"/>
        <v>18</v>
      </c>
      <c r="AN73" s="84">
        <f t="shared" si="22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49336</v>
      </c>
      <c r="F74" s="88">
        <f>SUM(经验!A74:X74)</f>
        <v>0</v>
      </c>
      <c r="G74" s="88">
        <f>SUM($F$4:F74)+SUM($H$4:H74)</f>
        <v>33420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9"/>
        <v>0</v>
      </c>
      <c r="AH74" s="93"/>
      <c r="AI74" s="93"/>
      <c r="AJ74" s="93"/>
      <c r="AK74" s="95" t="s">
        <v>51</v>
      </c>
      <c r="AL74" s="84">
        <f t="shared" si="20"/>
        <v>18</v>
      </c>
      <c r="AM74" s="84">
        <f t="shared" si="21"/>
        <v>18</v>
      </c>
      <c r="AN74" s="84">
        <f t="shared" si="22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50936</v>
      </c>
      <c r="F75" s="88">
        <f>SUM(经验!A75:X75)</f>
        <v>0</v>
      </c>
      <c r="G75" s="88">
        <f>SUM($F$4:F75)+SUM($H$4:H75)</f>
        <v>33420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9"/>
        <v>0</v>
      </c>
      <c r="AH75" s="93"/>
      <c r="AI75" s="93"/>
      <c r="AJ75" s="93"/>
      <c r="AK75" s="95" t="s">
        <v>51</v>
      </c>
      <c r="AL75" s="84">
        <f t="shared" si="20"/>
        <v>18</v>
      </c>
      <c r="AM75" s="84">
        <f t="shared" si="21"/>
        <v>18</v>
      </c>
      <c r="AN75" s="84">
        <f t="shared" si="22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52536</v>
      </c>
      <c r="F76" s="88">
        <f>SUM(经验!A76:X76)</f>
        <v>0</v>
      </c>
      <c r="G76" s="88">
        <f>SUM($F$4:F76)+SUM($H$4:H76)</f>
        <v>33420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9"/>
        <v>0</v>
      </c>
      <c r="AH76" s="93"/>
      <c r="AI76" s="93"/>
      <c r="AJ76" s="93"/>
      <c r="AK76" s="95" t="s">
        <v>51</v>
      </c>
      <c r="AL76" s="84">
        <f t="shared" si="20"/>
        <v>18</v>
      </c>
      <c r="AM76" s="84">
        <f t="shared" si="21"/>
        <v>18</v>
      </c>
      <c r="AN76" s="84">
        <f t="shared" si="22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54136</v>
      </c>
      <c r="F77" s="88">
        <f>SUM(经验!A77:X77)</f>
        <v>0</v>
      </c>
      <c r="G77" s="88">
        <f>SUM($F$4:F77)+SUM($H$4:H77)</f>
        <v>33720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9"/>
        <v>0</v>
      </c>
      <c r="AH77" s="93"/>
      <c r="AI77" s="93"/>
      <c r="AJ77" s="93"/>
      <c r="AK77" s="95" t="s">
        <v>51</v>
      </c>
      <c r="AL77" s="84">
        <f t="shared" si="20"/>
        <v>18</v>
      </c>
      <c r="AM77" s="84">
        <f t="shared" si="21"/>
        <v>18</v>
      </c>
      <c r="AN77" s="84">
        <f t="shared" si="22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55736</v>
      </c>
      <c r="F78" s="88">
        <f>SUM(经验!A78:X78)</f>
        <v>0</v>
      </c>
      <c r="G78" s="88">
        <f>SUM($F$4:F78)+SUM($H$4:H78)</f>
        <v>33720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9"/>
        <v>0</v>
      </c>
      <c r="AH78" s="93"/>
      <c r="AI78" s="93"/>
      <c r="AJ78" s="93"/>
      <c r="AK78" s="95" t="s">
        <v>51</v>
      </c>
      <c r="AL78" s="84">
        <f t="shared" si="20"/>
        <v>18</v>
      </c>
      <c r="AM78" s="84">
        <f t="shared" si="21"/>
        <v>18</v>
      </c>
      <c r="AN78" s="84">
        <f t="shared" si="22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57336</v>
      </c>
      <c r="F79" s="88">
        <f>SUM(经验!A79:X79)</f>
        <v>0</v>
      </c>
      <c r="G79" s="88">
        <f>SUM($F$4:F79)+SUM($H$4:H79)</f>
        <v>33920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9"/>
        <v>0</v>
      </c>
      <c r="AH79" s="93"/>
      <c r="AI79" s="93"/>
      <c r="AJ79" s="93"/>
      <c r="AK79" s="95" t="s">
        <v>51</v>
      </c>
      <c r="AL79" s="84">
        <f t="shared" si="20"/>
        <v>18</v>
      </c>
      <c r="AM79" s="84">
        <f t="shared" si="21"/>
        <v>18</v>
      </c>
      <c r="AN79" s="84">
        <f t="shared" si="22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58936</v>
      </c>
      <c r="F80" s="88">
        <f>SUM(经验!A80:X80)</f>
        <v>0</v>
      </c>
      <c r="G80" s="88">
        <f>SUM($F$4:F80)+SUM($H$4:H80)</f>
        <v>33920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9"/>
        <v>0</v>
      </c>
      <c r="AH80" s="93"/>
      <c r="AI80" s="93"/>
      <c r="AJ80" s="93"/>
      <c r="AK80" s="95" t="s">
        <v>51</v>
      </c>
      <c r="AL80" s="84">
        <f t="shared" si="20"/>
        <v>18</v>
      </c>
      <c r="AM80" s="84">
        <f t="shared" si="21"/>
        <v>18</v>
      </c>
      <c r="AN80" s="84">
        <f t="shared" si="22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60536</v>
      </c>
      <c r="F81" s="88">
        <f>SUM(经验!A81:X81)</f>
        <v>0</v>
      </c>
      <c r="G81" s="88">
        <f>SUM($F$4:F81)+SUM($H$4:H81)</f>
        <v>33920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9"/>
        <v>0</v>
      </c>
      <c r="AH81" s="93"/>
      <c r="AI81" s="93"/>
      <c r="AJ81" s="93"/>
      <c r="AK81" s="95" t="s">
        <v>51</v>
      </c>
      <c r="AL81" s="84">
        <f t="shared" si="20"/>
        <v>18</v>
      </c>
      <c r="AM81" s="84">
        <f t="shared" si="21"/>
        <v>18</v>
      </c>
      <c r="AN81" s="84">
        <f t="shared" si="22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62136</v>
      </c>
      <c r="F82" s="88">
        <f>SUM(经验!A82:X82)</f>
        <v>0</v>
      </c>
      <c r="G82" s="88">
        <f>SUM($F$4:F82)+SUM($H$4:H82)</f>
        <v>33920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9"/>
        <v>0</v>
      </c>
      <c r="AH82" s="93"/>
      <c r="AI82" s="93"/>
      <c r="AJ82" s="93"/>
      <c r="AK82" s="95" t="s">
        <v>51</v>
      </c>
      <c r="AL82" s="84">
        <f t="shared" si="20"/>
        <v>18</v>
      </c>
      <c r="AM82" s="84">
        <f t="shared" si="21"/>
        <v>18</v>
      </c>
      <c r="AN82" s="84">
        <f t="shared" si="22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63736</v>
      </c>
      <c r="F83" s="88">
        <f>SUM(经验!A83:X83)</f>
        <v>0</v>
      </c>
      <c r="G83" s="88">
        <f>SUM($F$4:F83)+SUM($H$4:H83)</f>
        <v>33920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9"/>
        <v>0</v>
      </c>
      <c r="AH83" s="93"/>
      <c r="AI83" s="93"/>
      <c r="AJ83" s="93"/>
      <c r="AK83" s="95" t="s">
        <v>51</v>
      </c>
      <c r="AL83" s="84">
        <f t="shared" si="20"/>
        <v>18</v>
      </c>
      <c r="AM83" s="84">
        <f t="shared" si="21"/>
        <v>18</v>
      </c>
      <c r="AN83" s="84">
        <f t="shared" si="22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65336</v>
      </c>
      <c r="F84" s="88">
        <f>SUM(经验!A84:X84)</f>
        <v>0</v>
      </c>
      <c r="G84" s="88">
        <f>SUM($F$4:F84)+SUM($H$4:H84)</f>
        <v>34120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9"/>
        <v>0</v>
      </c>
      <c r="AH84" s="93"/>
      <c r="AI84" s="93"/>
      <c r="AJ84" s="93"/>
      <c r="AK84" s="95" t="s">
        <v>51</v>
      </c>
      <c r="AL84" s="84">
        <f t="shared" si="20"/>
        <v>18</v>
      </c>
      <c r="AM84" s="84">
        <f t="shared" si="21"/>
        <v>18</v>
      </c>
      <c r="AN84" s="84">
        <f t="shared" si="22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66936</v>
      </c>
      <c r="F85" s="88">
        <f>SUM(经验!A85:X85)</f>
        <v>0</v>
      </c>
      <c r="G85" s="88">
        <f>SUM($F$4:F85)+SUM($H$4:H85)</f>
        <v>34120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9"/>
        <v>0</v>
      </c>
      <c r="AH85" s="93"/>
      <c r="AI85" s="93"/>
      <c r="AJ85" s="93"/>
      <c r="AK85" s="95" t="s">
        <v>51</v>
      </c>
      <c r="AL85" s="84">
        <f t="shared" si="20"/>
        <v>18</v>
      </c>
      <c r="AM85" s="84">
        <f t="shared" si="21"/>
        <v>18</v>
      </c>
      <c r="AN85" s="84">
        <f t="shared" si="22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68536</v>
      </c>
      <c r="F86" s="88">
        <f>SUM(经验!A86:X86)</f>
        <v>0</v>
      </c>
      <c r="G86" s="88">
        <f>SUM($F$4:F86)+SUM($H$4:H86)</f>
        <v>34420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9"/>
        <v>0</v>
      </c>
      <c r="AH86" s="93"/>
      <c r="AI86" s="93"/>
      <c r="AJ86" s="93"/>
      <c r="AK86" s="95" t="s">
        <v>51</v>
      </c>
      <c r="AL86" s="84">
        <f t="shared" si="20"/>
        <v>18</v>
      </c>
      <c r="AM86" s="84">
        <f t="shared" si="21"/>
        <v>18</v>
      </c>
      <c r="AN86" s="84">
        <f t="shared" si="22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672</v>
      </c>
      <c r="E87" s="76">
        <f>SUM($B$4:B87)+SUM($C$4:C87)-SUM($D$4:D87)</f>
        <v>69464</v>
      </c>
      <c r="F87" s="88">
        <f>SUM(经验!A87:X87)</f>
        <v>230</v>
      </c>
      <c r="G87" s="88">
        <f>SUM($F$4:F87)+SUM($H$4:H87)</f>
        <v>34650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150" t="s">
        <v>36</v>
      </c>
      <c r="Z87" s="149" t="s">
        <v>40</v>
      </c>
      <c r="AA87" s="150" t="s">
        <v>36</v>
      </c>
      <c r="AB87" s="144" t="s">
        <v>38</v>
      </c>
      <c r="AC87" s="150" t="s">
        <v>36</v>
      </c>
      <c r="AD87" s="150" t="s">
        <v>36</v>
      </c>
      <c r="AE87" s="71" t="s">
        <v>33</v>
      </c>
      <c r="AF87" s="71" t="s">
        <v>33</v>
      </c>
      <c r="AG87" s="91">
        <f t="shared" si="19"/>
        <v>0</v>
      </c>
      <c r="AH87" s="93"/>
      <c r="AI87" s="93"/>
      <c r="AJ87" s="93"/>
      <c r="AK87" s="95" t="s">
        <v>51</v>
      </c>
      <c r="AL87" s="84">
        <f t="shared" si="20"/>
        <v>18</v>
      </c>
      <c r="AM87" s="84">
        <f t="shared" si="21"/>
        <v>18</v>
      </c>
      <c r="AN87" s="84">
        <f t="shared" si="22"/>
        <v>12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592</v>
      </c>
      <c r="E88" s="76">
        <f>SUM($B$4:B88)+SUM($C$4:C88)-SUM($D$4:D88)</f>
        <v>70472</v>
      </c>
      <c r="F88" s="88">
        <f>SUM(经验!A88:X88)</f>
        <v>220</v>
      </c>
      <c r="G88" s="88">
        <f>SUM($F$4:F88)+SUM($H$4:H88)</f>
        <v>34870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150" t="s">
        <v>36</v>
      </c>
      <c r="Z88" s="144" t="s">
        <v>38</v>
      </c>
      <c r="AA88" s="150" t="s">
        <v>36</v>
      </c>
      <c r="AB88" s="150" t="s">
        <v>36</v>
      </c>
      <c r="AC88" s="150" t="s">
        <v>36</v>
      </c>
      <c r="AD88" s="144" t="s">
        <v>38</v>
      </c>
      <c r="AE88" s="71" t="s">
        <v>33</v>
      </c>
      <c r="AF88" s="71" t="s">
        <v>33</v>
      </c>
      <c r="AG88" s="91">
        <f t="shared" si="19"/>
        <v>0</v>
      </c>
      <c r="AH88" s="93"/>
      <c r="AI88" s="93"/>
      <c r="AJ88" s="93"/>
      <c r="AK88" s="95" t="s">
        <v>51</v>
      </c>
      <c r="AL88" s="84">
        <f t="shared" si="20"/>
        <v>18</v>
      </c>
      <c r="AM88" s="84">
        <f t="shared" si="21"/>
        <v>18</v>
      </c>
      <c r="AN88" s="84">
        <f t="shared" si="22"/>
        <v>12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672</v>
      </c>
      <c r="E89" s="76">
        <f>SUM($B$4:B89)+SUM($C$4:C89)-SUM($D$4:D89)</f>
        <v>71400</v>
      </c>
      <c r="F89" s="88">
        <f>SUM(经验!A89:X89)</f>
        <v>230</v>
      </c>
      <c r="G89" s="88">
        <f>SUM($F$4:F89)+SUM($H$4:H89)</f>
        <v>35100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150" t="s">
        <v>36</v>
      </c>
      <c r="Z89" s="150" t="s">
        <v>36</v>
      </c>
      <c r="AA89" s="149" t="s">
        <v>40</v>
      </c>
      <c r="AB89" s="150" t="s">
        <v>36</v>
      </c>
      <c r="AC89" s="144" t="s">
        <v>38</v>
      </c>
      <c r="AD89" s="150" t="s">
        <v>36</v>
      </c>
      <c r="AE89" s="71" t="s">
        <v>33</v>
      </c>
      <c r="AF89" s="71" t="s">
        <v>33</v>
      </c>
      <c r="AG89" s="91">
        <f t="shared" si="19"/>
        <v>0</v>
      </c>
      <c r="AH89" s="93"/>
      <c r="AI89" s="93"/>
      <c r="AJ89" s="93"/>
      <c r="AK89" s="95" t="s">
        <v>51</v>
      </c>
      <c r="AL89" s="84">
        <f t="shared" si="20"/>
        <v>18</v>
      </c>
      <c r="AM89" s="84">
        <f t="shared" si="21"/>
        <v>18</v>
      </c>
      <c r="AN89" s="84">
        <f t="shared" si="22"/>
        <v>12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680</v>
      </c>
      <c r="E90" s="76">
        <f>SUM($B$4:B90)+SUM($C$4:C90)-SUM($D$4:D90)</f>
        <v>72320</v>
      </c>
      <c r="F90" s="88">
        <f>SUM(经验!A90:X90)</f>
        <v>230</v>
      </c>
      <c r="G90" s="88">
        <f>SUM($F$4:F90)+SUM($H$4:H90)</f>
        <v>35330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149" t="s">
        <v>40</v>
      </c>
      <c r="Z90" s="150" t="s">
        <v>36</v>
      </c>
      <c r="AA90" s="150" t="s">
        <v>36</v>
      </c>
      <c r="AB90" s="150" t="s">
        <v>36</v>
      </c>
      <c r="AC90" s="144" t="s">
        <v>38</v>
      </c>
      <c r="AD90" s="150" t="s">
        <v>36</v>
      </c>
      <c r="AE90" s="71" t="s">
        <v>33</v>
      </c>
      <c r="AF90" s="71" t="s">
        <v>33</v>
      </c>
      <c r="AG90" s="91">
        <f t="shared" si="19"/>
        <v>1</v>
      </c>
      <c r="AH90" s="93"/>
      <c r="AI90" s="93"/>
      <c r="AJ90" s="93">
        <v>1</v>
      </c>
      <c r="AK90" s="95" t="s">
        <v>51</v>
      </c>
      <c r="AL90" s="84">
        <f t="shared" si="20"/>
        <v>18</v>
      </c>
      <c r="AM90" s="84">
        <f t="shared" si="21"/>
        <v>18</v>
      </c>
      <c r="AN90" s="84">
        <f t="shared" si="22"/>
        <v>12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296</v>
      </c>
      <c r="E91" s="76">
        <f>SUM($B$4:B91)+SUM($C$4:C91)-SUM($D$4:D91)</f>
        <v>73624</v>
      </c>
      <c r="F91" s="88">
        <f>SUM(经验!A91:X91)</f>
        <v>110</v>
      </c>
      <c r="G91" s="88">
        <f>SUM($F$4:F91)+SUM($H$4:H91)</f>
        <v>35640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150" t="s">
        <v>36</v>
      </c>
      <c r="Z91" s="150" t="s">
        <v>36</v>
      </c>
      <c r="AA91" s="144" t="s">
        <v>38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9"/>
        <v>0</v>
      </c>
      <c r="AH91" s="93"/>
      <c r="AI91" s="93"/>
      <c r="AJ91" s="93"/>
      <c r="AK91" s="95" t="s">
        <v>51</v>
      </c>
      <c r="AL91" s="84">
        <f t="shared" si="20"/>
        <v>18</v>
      </c>
      <c r="AM91" s="84">
        <f t="shared" si="21"/>
        <v>18</v>
      </c>
      <c r="AN91" s="84">
        <f t="shared" si="22"/>
        <v>15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75224</v>
      </c>
      <c r="F92" s="88">
        <f>SUM(经验!A92:X92)</f>
        <v>0</v>
      </c>
      <c r="G92" s="88">
        <f>SUM($F$4:F92)+SUM($H$4:H92)</f>
        <v>35740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9"/>
        <v>0</v>
      </c>
      <c r="AH92" s="93"/>
      <c r="AI92" s="93"/>
      <c r="AJ92" s="93"/>
      <c r="AK92" s="95" t="s">
        <v>51</v>
      </c>
      <c r="AL92" s="84">
        <f t="shared" si="20"/>
        <v>18</v>
      </c>
      <c r="AM92" s="84">
        <f t="shared" si="21"/>
        <v>18</v>
      </c>
      <c r="AN92" s="84">
        <f t="shared" si="22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120</v>
      </c>
      <c r="E93" s="76">
        <f>SUM($B$4:B93)+SUM($C$4:C93)-SUM($D$4:D93)</f>
        <v>76704</v>
      </c>
      <c r="F93" s="75">
        <f>SUM(经验!A93:X93)</f>
        <v>0</v>
      </c>
      <c r="G93" s="69">
        <f>SUM($F$4:F93)+SUM($H$4:H93)</f>
        <v>35940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9"/>
        <v>15</v>
      </c>
      <c r="AH93" s="73">
        <v>14</v>
      </c>
      <c r="AI93" s="73">
        <v>1</v>
      </c>
      <c r="AJ93" s="73"/>
      <c r="AK93" s="74" t="s">
        <v>51</v>
      </c>
      <c r="AL93" s="84">
        <f t="shared" si="20"/>
        <v>18</v>
      </c>
      <c r="AM93" s="84">
        <f t="shared" si="21"/>
        <v>18</v>
      </c>
      <c r="AN93" s="84">
        <f t="shared" si="22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bestFit="1" customWidth="1"/>
  </cols>
  <sheetData>
    <row r="2" spans="1:26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IF(ISNUMBER(SEARCH("营",'21.04.01'!I4)),(-$Y4+50*IF('21.04.01'!$AK4="是",'21.04.01'!$BB$4,'21.04.01'!$BB$3)),(VLOOKUP('21.04.01'!I4,'21.04.01'!$AO$4:$AQ$55,2,FALSE))*IF('21.04.01'!$AK4="是",'21.04.01'!$BB$4,'21.04.01'!$BB$3))</f>
        <v>150</v>
      </c>
      <c r="B4" s="4">
        <f>IF(ISNUMBER(SEARCH("营",'21.04.01'!J4)),(-$Y4+50*IF('21.04.01'!$AK4="是",'21.04.01'!$BB$4,'21.04.01'!$BB$3)),(VLOOKUP('21.04.01'!J4,'21.04.01'!$AO$4:$AQ$55,2,FALSE))*IF('21.04.01'!$AK4="是",'21.04.01'!$BB$4,'21.04.01'!$BB$3))</f>
        <v>150</v>
      </c>
      <c r="C4" s="4">
        <f>IF(ISNUMBER(SEARCH("营",'21.04.01'!K4)),(-$Y4+50*IF('21.04.01'!$AK4="是",'21.04.01'!$BB$4,'21.04.01'!$BB$3)),(VLOOKUP('21.04.01'!K4,'21.04.01'!$AO$4:$AQ$55,2,FALSE))*IF('21.04.01'!$AK4="是",'21.04.01'!$BB$4,'21.04.01'!$BB$3))</f>
        <v>150</v>
      </c>
      <c r="D4" s="4">
        <f>IF(ISNUMBER(SEARCH("营",'21.04.01'!L4)),(-$Y4+50*IF('21.04.01'!$AK4="是",'21.04.01'!$BB$4,'21.04.01'!$BB$3)),(VLOOKUP('21.04.01'!L4,'21.04.01'!$AO$4:$AQ$55,2,FALSE))*IF('21.04.01'!$AK4="是",'21.04.01'!$BB$4,'21.04.01'!$BB$3))</f>
        <v>150</v>
      </c>
      <c r="E4" s="4">
        <f>IF(ISNUMBER(SEARCH("营",'21.04.01'!M4)),(-$Y4+50*IF('21.04.01'!$AK4="是",'21.04.01'!$BB$4,'21.04.01'!$BB$3)),(VLOOKUP('21.04.01'!M4,'21.04.01'!$AO$4:$AQ$55,2,FALSE))*IF('21.04.01'!$AK4="是",'21.04.01'!$BB$4,'21.04.01'!$BB$3))</f>
        <v>150</v>
      </c>
      <c r="F4" s="4">
        <f>IF(ISNUMBER(SEARCH("营",'21.04.01'!N4)),(-$Y4+50*IF('21.04.01'!$AK4="是",'21.04.01'!$BB$4,'21.04.01'!$BB$3)),(VLOOKUP('21.04.01'!N4,'21.04.01'!$AO$4:$AQ$55,2,FALSE))*IF('21.04.01'!$AK4="是",'21.04.01'!$BB$4,'21.04.01'!$BB$3))</f>
        <v>50</v>
      </c>
      <c r="G4" s="4">
        <f>IF(ISNUMBER(SEARCH("营",'21.04.01'!O4)),(-$Y4+50*IF('21.04.01'!$AK4="是",'21.04.01'!$BB$4,'21.04.01'!$BB$3)),(VLOOKUP('21.04.01'!O4,'21.04.01'!$AO$4:$AQ$55,2,FALSE))*IF('21.04.01'!$AK4="是",'21.04.01'!$BB$4,'21.04.01'!$BB$3))</f>
        <v>0</v>
      </c>
      <c r="H4" s="4">
        <f>IF(ISNUMBER(SEARCH("营",'21.04.01'!P4)),(-$Y4+50*IF('21.04.01'!$AK4="是",'21.04.01'!$BB$4,'21.04.01'!$BB$3)),(VLOOKUP('21.04.01'!P4,'21.04.01'!$AO$4:$AQ$55,2,FALSE))*IF('21.04.01'!$AK4="是",'21.04.01'!$BB$4,'21.04.01'!$BB$3))</f>
        <v>0</v>
      </c>
      <c r="I4" s="4">
        <f>IF(ISNUMBER(SEARCH("营",'21.04.01'!Q4)),(-$Y4+50*IF('21.04.01'!$AK4="是",'21.04.01'!$BB$4,'21.04.01'!$BB$3)),(VLOOKUP('21.04.01'!Q4,'21.04.01'!$AO$4:$AQ$55,2,FALSE))*IF('21.04.01'!$AK4="是",'21.04.01'!$BB$4,'21.04.01'!$BB$3))</f>
        <v>150</v>
      </c>
      <c r="J4" s="4">
        <f>IF(ISNUMBER(SEARCH("营",'21.04.01'!R4)),(-$Y4+50*IF('21.04.01'!$AK4="是",'21.04.01'!$BB$4,'21.04.01'!$BB$3)),(VLOOKUP('21.04.01'!R4,'21.04.01'!$AO$4:$AQ$55,2,FALSE))*IF('21.04.01'!$AK4="是",'21.04.01'!$BB$4,'21.04.01'!$BB$3))</f>
        <v>150</v>
      </c>
      <c r="K4" s="4">
        <f>IF(ISNUMBER(SEARCH("营",'21.04.01'!S4)),(-$Y4+50*IF('21.04.01'!$AK4="是",'21.04.01'!$BB$4,'21.04.01'!$BB$3)),(VLOOKUP('21.04.01'!S4,'21.04.01'!$AO$4:$AQ$55,2,FALSE))*IF('21.04.01'!$AK4="是",'21.04.01'!$BB$4,'21.04.01'!$BB$3))</f>
        <v>150</v>
      </c>
      <c r="L4" s="4">
        <f>IF(ISNUMBER(SEARCH("营",'21.04.01'!T4)),(-$Y4+50*IF('21.04.01'!$AK4="是",'21.04.01'!$BB$4,'21.04.01'!$BB$3)),(VLOOKUP('21.04.01'!T4,'21.04.01'!$AO$4:$AQ$55,2,FALSE))*IF('21.04.01'!$AK4="是",'21.04.01'!$BB$4,'21.04.01'!$BB$3))</f>
        <v>150</v>
      </c>
      <c r="M4" s="4">
        <f>IF(ISNUMBER(SEARCH("营",'21.04.01'!U4)),(-$Y4+50*IF('21.04.01'!$AK4="是",'21.04.01'!$BB$4,'21.04.01'!$BB$3)),(VLOOKUP('21.04.01'!U4,'21.04.01'!$AO$4:$AQ$55,2,FALSE))*IF('21.04.01'!$AK4="是",'21.04.01'!$BB$4,'21.04.01'!$BB$3))</f>
        <v>150</v>
      </c>
      <c r="N4" s="4">
        <f>IF(ISNUMBER(SEARCH("营",'21.04.01'!V4)),(-$Y4+50*IF('21.04.01'!$AK4="是",'21.04.01'!$BB$4,'21.04.01'!$BB$3)),(VLOOKUP('21.04.01'!V4,'21.04.01'!$AO$4:$AQ$55,2,FALSE))*IF('21.04.01'!$AK4="是",'21.04.01'!$BB$4,'21.04.01'!$BB$3))</f>
        <v>150</v>
      </c>
      <c r="O4" s="4">
        <f>IF(ISNUMBER(SEARCH("营",'21.04.01'!W4)),(-$Y4+50*IF('21.04.01'!$AK4="是",'21.04.01'!$BB$4,'21.04.01'!$BB$3)),(VLOOKUP('21.04.01'!W4,'21.04.01'!$AO$4:$AQ$55,2,FALSE))*IF('21.04.01'!$AK4="是",'21.04.01'!$BB$4,'21.04.01'!$BB$3))</f>
        <v>0</v>
      </c>
      <c r="P4" s="4">
        <f>IF(ISNUMBER(SEARCH("营",'21.04.01'!X4)),(-$Y4+50*IF('21.04.01'!$AK4="是",'21.04.01'!$BB$4,'21.04.01'!$BB$3)),(VLOOKUP('21.04.01'!X4,'21.04.01'!$AO$4:$AQ$55,2,FALSE))*IF('21.04.01'!$AK4="是",'21.04.01'!$BB$4,'21.04.01'!$BB$3))</f>
        <v>0</v>
      </c>
      <c r="Q4" s="4">
        <f>IF(ISNUMBER(SEARCH("营",'21.04.01'!Y4)),(-$Y4+50*IF('21.04.01'!$AK4="是",'21.04.01'!$BB$4,'21.04.01'!$BB$3)),(VLOOKUP('21.04.01'!Y4,'21.04.01'!$AO$4:$AQ$55,2,FALSE))*IF('21.04.01'!$AK4="是",'21.04.01'!$BB$4,'21.04.01'!$BB$3))</f>
        <v>150</v>
      </c>
      <c r="R4" s="4">
        <f>IF(ISNUMBER(SEARCH("营",'21.04.01'!Z4)),(-$Y4+50*IF('21.04.01'!$AK4="是",'21.04.01'!$BB$4,'21.04.01'!$BB$3)),(VLOOKUP('21.04.01'!Z4,'21.04.01'!$AO$4:$AQ$55,2,FALSE))*IF('21.04.01'!$AK4="是",'21.04.01'!$BB$4,'21.04.01'!$BB$3))</f>
        <v>150</v>
      </c>
      <c r="S4" s="4">
        <f>IF(ISNUMBER(SEARCH("营",'21.04.01'!AA4)),(-$Y4+50*IF('21.04.01'!$AK4="是",'21.04.01'!$BB$4,'21.04.01'!$BB$3)),(VLOOKUP('21.04.01'!AA4,'21.04.01'!$AO$4:$AQ$55,2,FALSE))*IF('21.04.01'!$AK4="是",'21.04.01'!$BB$4,'21.04.01'!$BB$3))</f>
        <v>150</v>
      </c>
      <c r="T4" s="4">
        <f>IF(ISNUMBER(SEARCH("营",'21.04.01'!AB4)),(-$Y4+50*IF('21.04.01'!$AK4="是",'21.04.01'!$BB$4,'21.04.01'!$BB$3)),(VLOOKUP('21.04.01'!AB4,'21.04.01'!$AO$4:$AQ$55,2,FALSE))*IF('21.04.01'!$AK4="是",'21.04.01'!$BB$4,'21.04.01'!$BB$3))</f>
        <v>150</v>
      </c>
      <c r="U4" s="4">
        <f>IF(ISNUMBER(SEARCH("营",'21.04.01'!AC4)),(-$Y4+50*IF('21.04.01'!$AK4="是",'21.04.01'!$BB$4,'21.04.01'!$BB$3)),(VLOOKUP('21.04.01'!AC4,'21.04.01'!$AO$4:$AQ$55,2,FALSE))*IF('21.04.01'!$AK4="是",'21.04.01'!$BB$4,'21.04.01'!$BB$3))</f>
        <v>150</v>
      </c>
      <c r="V4" s="4">
        <f>IF(ISNUMBER(SEARCH("营",'21.04.01'!AD4)),(-$Y4+50*IF('21.04.01'!$AK4="是",'21.04.01'!$BB$4,'21.04.01'!$BB$3)),(VLOOKUP('21.04.01'!AD4,'21.04.01'!$AO$4:$AQ$55,2,FALSE))*IF('21.04.01'!$AK4="是",'21.04.01'!$BB$4,'21.04.01'!$BB$3))</f>
        <v>150</v>
      </c>
      <c r="W4" s="4">
        <f>IF(ISNUMBER(SEARCH("营",'21.04.01'!AE4)),(-$Y4+50*IF('21.04.01'!$AK4="是",'21.04.01'!$BB$4,'21.04.01'!$BB$3)),(VLOOKUP('21.04.01'!AE4,'21.04.01'!$AO$4:$AQ$55,2,FALSE))*IF('21.04.01'!$AK4="是",'21.04.01'!$BB$4,'21.04.01'!$BB$3))</f>
        <v>0</v>
      </c>
      <c r="X4" s="4">
        <f>IF(ISNUMBER(SEARCH("营",'21.04.01'!AF4)),(-$Y4+50*IF('21.04.01'!$AK4="是",'21.04.01'!$BB$4,'21.04.01'!$BB$3)),(VLOOKUP('21.04.01'!AF4,'21.04.01'!$AO$4:$AQ$55,2,FALSE))*IF('21.04.01'!$AK4="是",'21.04.01'!$BB$4,'21.04.01'!$BB$3))</f>
        <v>0</v>
      </c>
      <c r="Y4" s="62">
        <v>300</v>
      </c>
      <c r="Z4" s="94">
        <v>45912</v>
      </c>
    </row>
    <row r="5" spans="1:26">
      <c r="A5" s="4">
        <f>IF(ISNUMBER(SEARCH("营",'21.04.01'!I5)),(-$Y5+50*IF('21.04.01'!$AK5="是",'21.04.01'!$BB$4,'21.04.01'!$BB$3)),(VLOOKUP('21.04.01'!I5,'21.04.01'!$AO$4:$AQ$55,2,FALSE))*IF('21.04.01'!$AK5="是",'21.04.01'!$BB$4,'21.04.01'!$BB$3))</f>
        <v>0</v>
      </c>
      <c r="B5" s="4">
        <f>IF(ISNUMBER(SEARCH("营",'21.04.01'!J5)),(-$Y5+50*IF('21.04.01'!$AK5="是",'21.04.01'!$BB$4,'21.04.01'!$BB$3)),(VLOOKUP('21.04.01'!J5,'21.04.01'!$AO$4:$AQ$55,2,FALSE))*IF('21.04.01'!$AK5="是",'21.04.01'!$BB$4,'21.04.01'!$BB$3))</f>
        <v>0</v>
      </c>
      <c r="C5" s="4">
        <f>IF(ISNUMBER(SEARCH("营",'21.04.01'!K5)),(-$Y5+50*IF('21.04.01'!$AK5="是",'21.04.01'!$BB$4,'21.04.01'!$BB$3)),(VLOOKUP('21.04.01'!K5,'21.04.01'!$AO$4:$AQ$55,2,FALSE))*IF('21.04.01'!$AK5="是",'21.04.01'!$BB$4,'21.04.01'!$BB$3))</f>
        <v>0</v>
      </c>
      <c r="D5" s="4">
        <f>IF(ISNUMBER(SEARCH("营",'21.04.01'!L5)),(-$Y5+50*IF('21.04.01'!$AK5="是",'21.04.01'!$BB$4,'21.04.01'!$BB$3)),(VLOOKUP('21.04.01'!L5,'21.04.01'!$AO$4:$AQ$55,2,FALSE))*IF('21.04.01'!$AK5="是",'21.04.01'!$BB$4,'21.04.01'!$BB$3))</f>
        <v>0</v>
      </c>
      <c r="E5" s="4">
        <f>IF(ISNUMBER(SEARCH("营",'21.04.01'!M5)),(-$Y5+50*IF('21.04.01'!$AK5="是",'21.04.01'!$BB$4,'21.04.01'!$BB$3)),(VLOOKUP('21.04.01'!M5,'21.04.01'!$AO$4:$AQ$55,2,FALSE))*IF('21.04.01'!$AK5="是",'21.04.01'!$BB$4,'21.04.01'!$BB$3))</f>
        <v>0</v>
      </c>
      <c r="F5" s="4">
        <f>IF(ISNUMBER(SEARCH("营",'21.04.01'!N5)),(-$Y5+50*IF('21.04.01'!$AK5="是",'21.04.01'!$BB$4,'21.04.01'!$BB$3)),(VLOOKUP('21.04.01'!N5,'21.04.01'!$AO$4:$AQ$55,2,FALSE))*IF('21.04.01'!$AK5="是",'21.04.01'!$BB$4,'21.04.01'!$BB$3))</f>
        <v>0</v>
      </c>
      <c r="G5" s="4">
        <f>IF(ISNUMBER(SEARCH("营",'21.04.01'!O5)),(-$Y5+50*IF('21.04.01'!$AK5="是",'21.04.01'!$BB$4,'21.04.01'!$BB$3)),(VLOOKUP('21.04.01'!O5,'21.04.01'!$AO$4:$AQ$55,2,FALSE))*IF('21.04.01'!$AK5="是",'21.04.01'!$BB$4,'21.04.01'!$BB$3))</f>
        <v>0</v>
      </c>
      <c r="H5" s="4">
        <f>IF(ISNUMBER(SEARCH("营",'21.04.01'!P5)),(-$Y5+50*IF('21.04.01'!$AK5="是",'21.04.01'!$BB$4,'21.04.01'!$BB$3)),(VLOOKUP('21.04.01'!P5,'21.04.01'!$AO$4:$AQ$55,2,FALSE))*IF('21.04.01'!$AK5="是",'21.04.01'!$BB$4,'21.04.01'!$BB$3))</f>
        <v>0</v>
      </c>
      <c r="I5" s="4">
        <f>IF(ISNUMBER(SEARCH("营",'21.04.01'!Q5)),(-$Y5+50*IF('21.04.01'!$AK5="是",'21.04.01'!$BB$4,'21.04.01'!$BB$3)),(VLOOKUP('21.04.01'!Q5,'21.04.01'!$AO$4:$AQ$55,2,FALSE))*IF('21.04.01'!$AK5="是",'21.04.01'!$BB$4,'21.04.01'!$BB$3))</f>
        <v>0</v>
      </c>
      <c r="J5" s="4">
        <f>IF(ISNUMBER(SEARCH("营",'21.04.01'!R5)),(-$Y5+50*IF('21.04.01'!$AK5="是",'21.04.01'!$BB$4,'21.04.01'!$BB$3)),(VLOOKUP('21.04.01'!R5,'21.04.01'!$AO$4:$AQ$55,2,FALSE))*IF('21.04.01'!$AK5="是",'21.04.01'!$BB$4,'21.04.01'!$BB$3))</f>
        <v>0</v>
      </c>
      <c r="K5" s="4">
        <f>IF(ISNUMBER(SEARCH("营",'21.04.01'!S5)),(-$Y5+50*IF('21.04.01'!$AK5="是",'21.04.01'!$BB$4,'21.04.01'!$BB$3)),(VLOOKUP('21.04.01'!S5,'21.04.01'!$AO$4:$AQ$55,2,FALSE))*IF('21.04.01'!$AK5="是",'21.04.01'!$BB$4,'21.04.01'!$BB$3))</f>
        <v>0</v>
      </c>
      <c r="L5" s="4">
        <f>IF(ISNUMBER(SEARCH("营",'21.04.01'!T5)),(-$Y5+50*IF('21.04.01'!$AK5="是",'21.04.01'!$BB$4,'21.04.01'!$BB$3)),(VLOOKUP('21.04.01'!T5,'21.04.01'!$AO$4:$AQ$55,2,FALSE))*IF('21.04.01'!$AK5="是",'21.04.01'!$BB$4,'21.04.01'!$BB$3))</f>
        <v>0</v>
      </c>
      <c r="M5" s="4">
        <f>IF(ISNUMBER(SEARCH("营",'21.04.01'!U5)),(-$Y5+50*IF('21.04.01'!$AK5="是",'21.04.01'!$BB$4,'21.04.01'!$BB$3)),(VLOOKUP('21.04.01'!U5,'21.04.01'!$AO$4:$AQ$55,2,FALSE))*IF('21.04.01'!$AK5="是",'21.04.01'!$BB$4,'21.04.01'!$BB$3))</f>
        <v>0</v>
      </c>
      <c r="N5" s="4">
        <f>IF(ISNUMBER(SEARCH("营",'21.04.01'!V5)),(-$Y5+50*IF('21.04.01'!$AK5="是",'21.04.01'!$BB$4,'21.04.01'!$BB$3)),(VLOOKUP('21.04.01'!V5,'21.04.01'!$AO$4:$AQ$55,2,FALSE))*IF('21.04.01'!$AK5="是",'21.04.01'!$BB$4,'21.04.01'!$BB$3))</f>
        <v>0</v>
      </c>
      <c r="O5" s="4">
        <f>IF(ISNUMBER(SEARCH("营",'21.04.01'!W5)),(-$Y5+50*IF('21.04.01'!$AK5="是",'21.04.01'!$BB$4,'21.04.01'!$BB$3)),(VLOOKUP('21.04.01'!W5,'21.04.01'!$AO$4:$AQ$55,2,FALSE))*IF('21.04.01'!$AK5="是",'21.04.01'!$BB$4,'21.04.01'!$BB$3))</f>
        <v>0</v>
      </c>
      <c r="P5" s="4">
        <f>IF(ISNUMBER(SEARCH("营",'21.04.01'!X5)),(-$Y5+50*IF('21.04.01'!$AK5="是",'21.04.01'!$BB$4,'21.04.01'!$BB$3)),(VLOOKUP('21.04.01'!X5,'21.04.01'!$AO$4:$AQ$55,2,FALSE))*IF('21.04.01'!$AK5="是",'21.04.01'!$BB$4,'21.04.01'!$BB$3))</f>
        <v>0</v>
      </c>
      <c r="Q5" s="4">
        <f>IF(ISNUMBER(SEARCH("营",'21.04.01'!Y5)),(-$Y5+50*IF('21.04.01'!$AK5="是",'21.04.01'!$BB$4,'21.04.01'!$BB$3)),(VLOOKUP('21.04.01'!Y5,'21.04.01'!$AO$4:$AQ$55,2,FALSE))*IF('21.04.01'!$AK5="是",'21.04.01'!$BB$4,'21.04.01'!$BB$3))</f>
        <v>150</v>
      </c>
      <c r="R5" s="4">
        <f>IF(ISNUMBER(SEARCH("营",'21.04.01'!Z5)),(-$Y5+50*IF('21.04.01'!$AK5="是",'21.04.01'!$BB$4,'21.04.01'!$BB$3)),(VLOOKUP('21.04.01'!Z5,'21.04.01'!$AO$4:$AQ$55,2,FALSE))*IF('21.04.01'!$AK5="是",'21.04.01'!$BB$4,'21.04.01'!$BB$3))</f>
        <v>150</v>
      </c>
      <c r="S5" s="4">
        <f>IF(ISNUMBER(SEARCH("营",'21.04.01'!AA5)),(-$Y5+50*IF('21.04.01'!$AK5="是",'21.04.01'!$BB$4,'21.04.01'!$BB$3)),(VLOOKUP('21.04.01'!AA5,'21.04.01'!$AO$4:$AQ$55,2,FALSE))*IF('21.04.01'!$AK5="是",'21.04.01'!$BB$4,'21.04.01'!$BB$3))</f>
        <v>50</v>
      </c>
      <c r="T5" s="4">
        <f>IF(ISNUMBER(SEARCH("营",'21.04.01'!AB5)),(-$Y5+50*IF('21.04.01'!$AK5="是",'21.04.01'!$BB$4,'21.04.01'!$BB$3)),(VLOOKUP('21.04.01'!AB5,'21.04.01'!$AO$4:$AQ$55,2,FALSE))*IF('21.04.01'!$AK5="是",'21.04.01'!$BB$4,'21.04.01'!$BB$3))</f>
        <v>150</v>
      </c>
      <c r="U5" s="4">
        <f>IF(ISNUMBER(SEARCH("营",'21.04.01'!AC5)),(-$Y5+50*IF('21.04.01'!$AK5="是",'21.04.01'!$BB$4,'21.04.01'!$BB$3)),(VLOOKUP('21.04.01'!AC5,'21.04.01'!$AO$4:$AQ$55,2,FALSE))*IF('21.04.01'!$AK5="是",'21.04.01'!$BB$4,'21.04.01'!$BB$3))</f>
        <v>150</v>
      </c>
      <c r="V5" s="4">
        <f>IF(ISNUMBER(SEARCH("营",'21.04.01'!AD5)),(-$Y5+50*IF('21.04.01'!$AK5="是",'21.04.01'!$BB$4,'21.04.01'!$BB$3)),(VLOOKUP('21.04.01'!AD5,'21.04.01'!$AO$4:$AQ$55,2,FALSE))*IF('21.04.01'!$AK5="是",'21.04.01'!$BB$4,'21.04.01'!$BB$3))</f>
        <v>150</v>
      </c>
      <c r="W5" s="4">
        <f>IF(ISNUMBER(SEARCH("营",'21.04.01'!AE5)),(-$Y5+50*IF('21.04.01'!$AK5="是",'21.04.01'!$BB$4,'21.04.01'!$BB$3)),(VLOOKUP('21.04.01'!AE5,'21.04.01'!$AO$4:$AQ$55,2,FALSE))*IF('21.04.01'!$AK5="是",'21.04.01'!$BB$4,'21.04.01'!$BB$3))</f>
        <v>0</v>
      </c>
      <c r="X5" s="4">
        <f>IF(ISNUMBER(SEARCH("营",'21.04.01'!AF5)),(-$Y5+50*IF('21.04.01'!$AK5="是",'21.04.01'!$BB$4,'21.04.01'!$BB$3)),(VLOOKUP('21.04.01'!AF5,'21.04.01'!$AO$4:$AQ$55,2,FALSE))*IF('21.04.01'!$AK5="是",'21.04.01'!$BB$4,'21.04.01'!$BB$3))</f>
        <v>0</v>
      </c>
      <c r="Y5" s="62">
        <v>300</v>
      </c>
      <c r="Z5" s="94">
        <v>45913</v>
      </c>
    </row>
    <row r="6" spans="1:26">
      <c r="A6" s="4">
        <f>IF(ISNUMBER(SEARCH("营",'21.04.01'!I6)),(-$Y6+50*IF('21.04.01'!$AK6="是",'21.04.01'!$BB$4,'21.04.01'!$BB$3)),(VLOOKUP('21.04.01'!I6,'21.04.01'!$AO$4:$AQ$55,2,FALSE))*IF('21.04.01'!$AK6="是",'21.04.01'!$BB$4,'21.04.01'!$BB$3))</f>
        <v>0</v>
      </c>
      <c r="B6" s="4">
        <f>IF(ISNUMBER(SEARCH("营",'21.04.01'!J6)),(-$Y6+50*IF('21.04.01'!$AK6="是",'21.04.01'!$BB$4,'21.04.01'!$BB$3)),(VLOOKUP('21.04.01'!J6,'21.04.01'!$AO$4:$AQ$55,2,FALSE))*IF('21.04.01'!$AK6="是",'21.04.01'!$BB$4,'21.04.01'!$BB$3))</f>
        <v>0</v>
      </c>
      <c r="C6" s="4">
        <f>IF(ISNUMBER(SEARCH("营",'21.04.01'!K6)),(-$Y6+50*IF('21.04.01'!$AK6="是",'21.04.01'!$BB$4,'21.04.01'!$BB$3)),(VLOOKUP('21.04.01'!K6,'21.04.01'!$AO$4:$AQ$55,2,FALSE))*IF('21.04.01'!$AK6="是",'21.04.01'!$BB$4,'21.04.01'!$BB$3))</f>
        <v>0</v>
      </c>
      <c r="D6" s="4">
        <f>IF(ISNUMBER(SEARCH("营",'21.04.01'!L6)),(-$Y6+50*IF('21.04.01'!$AK6="是",'21.04.01'!$BB$4,'21.04.01'!$BB$3)),(VLOOKUP('21.04.01'!L6,'21.04.01'!$AO$4:$AQ$55,2,FALSE))*IF('21.04.01'!$AK6="是",'21.04.01'!$BB$4,'21.04.01'!$BB$3))</f>
        <v>0</v>
      </c>
      <c r="E6" s="4">
        <f>IF(ISNUMBER(SEARCH("营",'21.04.01'!M6)),(-$Y6+50*IF('21.04.01'!$AK6="是",'21.04.01'!$BB$4,'21.04.01'!$BB$3)),(VLOOKUP('21.04.01'!M6,'21.04.01'!$AO$4:$AQ$55,2,FALSE))*IF('21.04.01'!$AK6="是",'21.04.01'!$BB$4,'21.04.01'!$BB$3))</f>
        <v>0</v>
      </c>
      <c r="F6" s="4">
        <f>IF(ISNUMBER(SEARCH("营",'21.04.01'!N6)),(-$Y6+50*IF('21.04.01'!$AK6="是",'21.04.01'!$BB$4,'21.04.01'!$BB$3)),(VLOOKUP('21.04.01'!N6,'21.04.01'!$AO$4:$AQ$55,2,FALSE))*IF('21.04.01'!$AK6="是",'21.04.01'!$BB$4,'21.04.01'!$BB$3))</f>
        <v>0</v>
      </c>
      <c r="G6" s="4">
        <f>IF(ISNUMBER(SEARCH("营",'21.04.01'!O6)),(-$Y6+50*IF('21.04.01'!$AK6="是",'21.04.01'!$BB$4,'21.04.01'!$BB$3)),(VLOOKUP('21.04.01'!O6,'21.04.01'!$AO$4:$AQ$55,2,FALSE))*IF('21.04.01'!$AK6="是",'21.04.01'!$BB$4,'21.04.01'!$BB$3))</f>
        <v>0</v>
      </c>
      <c r="H6" s="4">
        <f>IF(ISNUMBER(SEARCH("营",'21.04.01'!P6)),(-$Y6+50*IF('21.04.01'!$AK6="是",'21.04.01'!$BB$4,'21.04.01'!$BB$3)),(VLOOKUP('21.04.01'!P6,'21.04.01'!$AO$4:$AQ$55,2,FALSE))*IF('21.04.01'!$AK6="是",'21.04.01'!$BB$4,'21.04.01'!$BB$3))</f>
        <v>0</v>
      </c>
      <c r="I6" s="4">
        <f>IF(ISNUMBER(SEARCH("营",'21.04.01'!Q6)),(-$Y6+50*IF('21.04.01'!$AK6="是",'21.04.01'!$BB$4,'21.04.01'!$BB$3)),(VLOOKUP('21.04.01'!Q6,'21.04.01'!$AO$4:$AQ$55,2,FALSE))*IF('21.04.01'!$AK6="是",'21.04.01'!$BB$4,'21.04.01'!$BB$3))</f>
        <v>0</v>
      </c>
      <c r="J6" s="4">
        <f>IF(ISNUMBER(SEARCH("营",'21.04.01'!R6)),(-$Y6+50*IF('21.04.01'!$AK6="是",'21.04.01'!$BB$4,'21.04.01'!$BB$3)),(VLOOKUP('21.04.01'!R6,'21.04.01'!$AO$4:$AQ$55,2,FALSE))*IF('21.04.01'!$AK6="是",'21.04.01'!$BB$4,'21.04.01'!$BB$3))</f>
        <v>0</v>
      </c>
      <c r="K6" s="4">
        <f>IF(ISNUMBER(SEARCH("营",'21.04.01'!S6)),(-$Y6+50*IF('21.04.01'!$AK6="是",'21.04.01'!$BB$4,'21.04.01'!$BB$3)),(VLOOKUP('21.04.01'!S6,'21.04.01'!$AO$4:$AQ$55,2,FALSE))*IF('21.04.01'!$AK6="是",'21.04.01'!$BB$4,'21.04.01'!$BB$3))</f>
        <v>0</v>
      </c>
      <c r="L6" s="4">
        <f>IF(ISNUMBER(SEARCH("营",'21.04.01'!T6)),(-$Y6+50*IF('21.04.01'!$AK6="是",'21.04.01'!$BB$4,'21.04.01'!$BB$3)),(VLOOKUP('21.04.01'!T6,'21.04.01'!$AO$4:$AQ$55,2,FALSE))*IF('21.04.01'!$AK6="是",'21.04.01'!$BB$4,'21.04.01'!$BB$3))</f>
        <v>0</v>
      </c>
      <c r="M6" s="4">
        <f>IF(ISNUMBER(SEARCH("营",'21.04.01'!U6)),(-$Y6+50*IF('21.04.01'!$AK6="是",'21.04.01'!$BB$4,'21.04.01'!$BB$3)),(VLOOKUP('21.04.01'!U6,'21.04.01'!$AO$4:$AQ$55,2,FALSE))*IF('21.04.01'!$AK6="是",'21.04.01'!$BB$4,'21.04.01'!$BB$3))</f>
        <v>0</v>
      </c>
      <c r="N6" s="4">
        <f>IF(ISNUMBER(SEARCH("营",'21.04.01'!V6)),(-$Y6+50*IF('21.04.01'!$AK6="是",'21.04.01'!$BB$4,'21.04.01'!$BB$3)),(VLOOKUP('21.04.01'!V6,'21.04.01'!$AO$4:$AQ$55,2,FALSE))*IF('21.04.01'!$AK6="是",'21.04.01'!$BB$4,'21.04.01'!$BB$3))</f>
        <v>0</v>
      </c>
      <c r="O6" s="4">
        <f>IF(ISNUMBER(SEARCH("营",'21.04.01'!W6)),(-$Y6+50*IF('21.04.01'!$AK6="是",'21.04.01'!$BB$4,'21.04.01'!$BB$3)),(VLOOKUP('21.04.01'!W6,'21.04.01'!$AO$4:$AQ$55,2,FALSE))*IF('21.04.01'!$AK6="是",'21.04.01'!$BB$4,'21.04.01'!$BB$3))</f>
        <v>0</v>
      </c>
      <c r="P6" s="4">
        <f>IF(ISNUMBER(SEARCH("营",'21.04.01'!X6)),(-$Y6+50*IF('21.04.01'!$AK6="是",'21.04.01'!$BB$4,'21.04.01'!$BB$3)),(VLOOKUP('21.04.01'!X6,'21.04.01'!$AO$4:$AQ$55,2,FALSE))*IF('21.04.01'!$AK6="是",'21.04.01'!$BB$4,'21.04.01'!$BB$3))</f>
        <v>0</v>
      </c>
      <c r="Q6" s="4">
        <f>IF(ISNUMBER(SEARCH("营",'21.04.01'!Y6)),(-$Y6+50*IF('21.04.01'!$AK6="是",'21.04.01'!$BB$4,'21.04.01'!$BB$3)),(VLOOKUP('21.04.01'!Y6,'21.04.01'!$AO$4:$AQ$55,2,FALSE))*IF('21.04.01'!$AK6="是",'21.04.01'!$BB$4,'21.04.01'!$BB$3))</f>
        <v>150</v>
      </c>
      <c r="R6" s="4">
        <f>IF(ISNUMBER(SEARCH("营",'21.04.01'!Z6)),(-$Y6+50*IF('21.04.01'!$AK6="是",'21.04.01'!$BB$4,'21.04.01'!$BB$3)),(VLOOKUP('21.04.01'!Z6,'21.04.01'!$AO$4:$AQ$55,2,FALSE))*IF('21.04.01'!$AK6="是",'21.04.01'!$BB$4,'21.04.01'!$BB$3))</f>
        <v>150</v>
      </c>
      <c r="S6" s="4">
        <f>IF(ISNUMBER(SEARCH("营",'21.04.01'!AA6)),(-$Y6+50*IF('21.04.01'!$AK6="是",'21.04.01'!$BB$4,'21.04.01'!$BB$3)),(VLOOKUP('21.04.01'!AA6,'21.04.01'!$AO$4:$AQ$55,2,FALSE))*IF('21.04.01'!$AK6="是",'21.04.01'!$BB$4,'21.04.01'!$BB$3))</f>
        <v>150</v>
      </c>
      <c r="T6" s="4">
        <f>IF(ISNUMBER(SEARCH("营",'21.04.01'!AB6)),(-$Y6+50*IF('21.04.01'!$AK6="是",'21.04.01'!$BB$4,'21.04.01'!$BB$3)),(VLOOKUP('21.04.01'!AB6,'21.04.01'!$AO$4:$AQ$55,2,FALSE))*IF('21.04.01'!$AK6="是",'21.04.01'!$BB$4,'21.04.01'!$BB$3))</f>
        <v>150</v>
      </c>
      <c r="U6" s="4">
        <f>IF(ISNUMBER(SEARCH("营",'21.04.01'!AC6)),(-$Y6+50*IF('21.04.01'!$AK6="是",'21.04.01'!$BB$4,'21.04.01'!$BB$3)),(VLOOKUP('21.04.01'!AC6,'21.04.01'!$AO$4:$AQ$55,2,FALSE))*IF('21.04.01'!$AK6="是",'21.04.01'!$BB$4,'21.04.01'!$BB$3))</f>
        <v>150</v>
      </c>
      <c r="V6" s="4">
        <f>IF(ISNUMBER(SEARCH("营",'21.04.01'!AD6)),(-$Y6+50*IF('21.04.01'!$AK6="是",'21.04.01'!$BB$4,'21.04.01'!$BB$3)),(VLOOKUP('21.04.01'!AD6,'21.04.01'!$AO$4:$AQ$55,2,FALSE))*IF('21.04.01'!$AK6="是",'21.04.01'!$BB$4,'21.04.01'!$BB$3))</f>
        <v>150</v>
      </c>
      <c r="W6" s="4">
        <f>IF(ISNUMBER(SEARCH("营",'21.04.01'!AE6)),(-$Y6+50*IF('21.04.01'!$AK6="是",'21.04.01'!$BB$4,'21.04.01'!$BB$3)),(VLOOKUP('21.04.01'!AE6,'21.04.01'!$AO$4:$AQ$55,2,FALSE))*IF('21.04.01'!$AK6="是",'21.04.01'!$BB$4,'21.04.01'!$BB$3))</f>
        <v>0</v>
      </c>
      <c r="X6" s="4">
        <f>IF(ISNUMBER(SEARCH("营",'21.04.01'!AF6)),(-$Y6+50*IF('21.04.01'!$AK6="是",'21.04.01'!$BB$4,'21.04.01'!$BB$3)),(VLOOKUP('21.04.01'!AF6,'21.04.01'!$AO$4:$AQ$55,2,FALSE))*IF('21.04.01'!$AK6="是",'21.04.01'!$BB$4,'21.04.01'!$BB$3))</f>
        <v>0</v>
      </c>
      <c r="Y6" s="62">
        <v>300</v>
      </c>
      <c r="Z6" s="94">
        <v>45914</v>
      </c>
    </row>
    <row r="7" spans="1:26">
      <c r="A7" s="4">
        <f>IF(ISNUMBER(SEARCH("营",'21.04.01'!I7)),(-$Y7+50*IF('21.04.01'!$AK7="是",'21.04.01'!$BB$4,'21.04.01'!$BB$3)),(VLOOKUP('21.04.01'!I7,'21.04.01'!$AO$4:$AQ$55,2,FALSE))*IF('21.04.01'!$AK7="是",'21.04.01'!$BB$4,'21.04.01'!$BB$3))</f>
        <v>0</v>
      </c>
      <c r="B7" s="4">
        <f>IF(ISNUMBER(SEARCH("营",'21.04.01'!J7)),(-$Y7+50*IF('21.04.01'!$AK7="是",'21.04.01'!$BB$4,'21.04.01'!$BB$3)),(VLOOKUP('21.04.01'!J7,'21.04.01'!$AO$4:$AQ$55,2,FALSE))*IF('21.04.01'!$AK7="是",'21.04.01'!$BB$4,'21.04.01'!$BB$3))</f>
        <v>0</v>
      </c>
      <c r="C7" s="4">
        <f>IF(ISNUMBER(SEARCH("营",'21.04.01'!K7)),(-$Y7+50*IF('21.04.01'!$AK7="是",'21.04.01'!$BB$4,'21.04.01'!$BB$3)),(VLOOKUP('21.04.01'!K7,'21.04.01'!$AO$4:$AQ$55,2,FALSE))*IF('21.04.01'!$AK7="是",'21.04.01'!$BB$4,'21.04.01'!$BB$3))</f>
        <v>0</v>
      </c>
      <c r="D7" s="4">
        <f>IF(ISNUMBER(SEARCH("营",'21.04.01'!L7)),(-$Y7+50*IF('21.04.01'!$AK7="是",'21.04.01'!$BB$4,'21.04.01'!$BB$3)),(VLOOKUP('21.04.01'!L7,'21.04.01'!$AO$4:$AQ$55,2,FALSE))*IF('21.04.01'!$AK7="是",'21.04.01'!$BB$4,'21.04.01'!$BB$3))</f>
        <v>0</v>
      </c>
      <c r="E7" s="4">
        <f>IF(ISNUMBER(SEARCH("营",'21.04.01'!M7)),(-$Y7+50*IF('21.04.01'!$AK7="是",'21.04.01'!$BB$4,'21.04.01'!$BB$3)),(VLOOKUP('21.04.01'!M7,'21.04.01'!$AO$4:$AQ$55,2,FALSE))*IF('21.04.01'!$AK7="是",'21.04.01'!$BB$4,'21.04.01'!$BB$3))</f>
        <v>0</v>
      </c>
      <c r="F7" s="4">
        <f>IF(ISNUMBER(SEARCH("营",'21.04.01'!N7)),(-$Y7+50*IF('21.04.01'!$AK7="是",'21.04.01'!$BB$4,'21.04.01'!$BB$3)),(VLOOKUP('21.04.01'!N7,'21.04.01'!$AO$4:$AQ$55,2,FALSE))*IF('21.04.01'!$AK7="是",'21.04.01'!$BB$4,'21.04.01'!$BB$3))</f>
        <v>0</v>
      </c>
      <c r="G7" s="4">
        <f>IF(ISNUMBER(SEARCH("营",'21.04.01'!O7)),(-$Y7+50*IF('21.04.01'!$AK7="是",'21.04.01'!$BB$4,'21.04.01'!$BB$3)),(VLOOKUP('21.04.01'!O7,'21.04.01'!$AO$4:$AQ$55,2,FALSE))*IF('21.04.01'!$AK7="是",'21.04.01'!$BB$4,'21.04.01'!$BB$3))</f>
        <v>0</v>
      </c>
      <c r="H7" s="4">
        <f>IF(ISNUMBER(SEARCH("营",'21.04.01'!P7)),(-$Y7+50*IF('21.04.01'!$AK7="是",'21.04.01'!$BB$4,'21.04.01'!$BB$3)),(VLOOKUP('21.04.01'!P7,'21.04.01'!$AO$4:$AQ$55,2,FALSE))*IF('21.04.01'!$AK7="是",'21.04.01'!$BB$4,'21.04.01'!$BB$3))</f>
        <v>0</v>
      </c>
      <c r="I7" s="4">
        <f>IF(ISNUMBER(SEARCH("营",'21.04.01'!Q7)),(-$Y7+50*IF('21.04.01'!$AK7="是",'21.04.01'!$BB$4,'21.04.01'!$BB$3)),(VLOOKUP('21.04.01'!Q7,'21.04.01'!$AO$4:$AQ$55,2,FALSE))*IF('21.04.01'!$AK7="是",'21.04.01'!$BB$4,'21.04.01'!$BB$3))</f>
        <v>0</v>
      </c>
      <c r="J7" s="4">
        <f>IF(ISNUMBER(SEARCH("营",'21.04.01'!R7)),(-$Y7+50*IF('21.04.01'!$AK7="是",'21.04.01'!$BB$4,'21.04.01'!$BB$3)),(VLOOKUP('21.04.01'!R7,'21.04.01'!$AO$4:$AQ$55,2,FALSE))*IF('21.04.01'!$AK7="是",'21.04.01'!$BB$4,'21.04.01'!$BB$3))</f>
        <v>0</v>
      </c>
      <c r="K7" s="4">
        <f>IF(ISNUMBER(SEARCH("营",'21.04.01'!S7)),(-$Y7+50*IF('21.04.01'!$AK7="是",'21.04.01'!$BB$4,'21.04.01'!$BB$3)),(VLOOKUP('21.04.01'!S7,'21.04.01'!$AO$4:$AQ$55,2,FALSE))*IF('21.04.01'!$AK7="是",'21.04.01'!$BB$4,'21.04.01'!$BB$3))</f>
        <v>0</v>
      </c>
      <c r="L7" s="4">
        <f>IF(ISNUMBER(SEARCH("营",'21.04.01'!T7)),(-$Y7+50*IF('21.04.01'!$AK7="是",'21.04.01'!$BB$4,'21.04.01'!$BB$3)),(VLOOKUP('21.04.01'!T7,'21.04.01'!$AO$4:$AQ$55,2,FALSE))*IF('21.04.01'!$AK7="是",'21.04.01'!$BB$4,'21.04.01'!$BB$3))</f>
        <v>0</v>
      </c>
      <c r="M7" s="4">
        <f>IF(ISNUMBER(SEARCH("营",'21.04.01'!U7)),(-$Y7+50*IF('21.04.01'!$AK7="是",'21.04.01'!$BB$4,'21.04.01'!$BB$3)),(VLOOKUP('21.04.01'!U7,'21.04.01'!$AO$4:$AQ$55,2,FALSE))*IF('21.04.01'!$AK7="是",'21.04.01'!$BB$4,'21.04.01'!$BB$3))</f>
        <v>0</v>
      </c>
      <c r="N7" s="4">
        <f>IF(ISNUMBER(SEARCH("营",'21.04.01'!V7)),(-$Y7+50*IF('21.04.01'!$AK7="是",'21.04.01'!$BB$4,'21.04.01'!$BB$3)),(VLOOKUP('21.04.01'!V7,'21.04.01'!$AO$4:$AQ$55,2,FALSE))*IF('21.04.01'!$AK7="是",'21.04.01'!$BB$4,'21.04.01'!$BB$3))</f>
        <v>0</v>
      </c>
      <c r="O7" s="4">
        <f>IF(ISNUMBER(SEARCH("营",'21.04.01'!W7)),(-$Y7+50*IF('21.04.01'!$AK7="是",'21.04.01'!$BB$4,'21.04.01'!$BB$3)),(VLOOKUP('21.04.01'!W7,'21.04.01'!$AO$4:$AQ$55,2,FALSE))*IF('21.04.01'!$AK7="是",'21.04.01'!$BB$4,'21.04.01'!$BB$3))</f>
        <v>0</v>
      </c>
      <c r="P7" s="4">
        <f>IF(ISNUMBER(SEARCH("营",'21.04.01'!X7)),(-$Y7+50*IF('21.04.01'!$AK7="是",'21.04.01'!$BB$4,'21.04.01'!$BB$3)),(VLOOKUP('21.04.01'!X7,'21.04.01'!$AO$4:$AQ$55,2,FALSE))*IF('21.04.01'!$AK7="是",'21.04.01'!$BB$4,'21.04.01'!$BB$3))</f>
        <v>0</v>
      </c>
      <c r="Q7" s="4">
        <f>IF(ISNUMBER(SEARCH("营",'21.04.01'!Y7)),(-$Y7+50*IF('21.04.01'!$AK7="是",'21.04.01'!$BB$4,'21.04.01'!$BB$3)),(VLOOKUP('21.04.01'!Y7,'21.04.01'!$AO$4:$AQ$55,2,FALSE))*IF('21.04.01'!$AK7="是",'21.04.01'!$BB$4,'21.04.01'!$BB$3))</f>
        <v>50</v>
      </c>
      <c r="R7" s="4">
        <f>IF(ISNUMBER(SEARCH("营",'21.04.01'!Z7)),(-$Y7+50*IF('21.04.01'!$AK7="是",'21.04.01'!$BB$4,'21.04.01'!$BB$3)),(VLOOKUP('21.04.01'!Z7,'21.04.01'!$AO$4:$AQ$55,2,FALSE))*IF('21.04.01'!$AK7="是",'21.04.01'!$BB$4,'21.04.01'!$BB$3))</f>
        <v>150</v>
      </c>
      <c r="S7" s="4">
        <f>IF(ISNUMBER(SEARCH("营",'21.04.01'!AA7)),(-$Y7+50*IF('21.04.01'!$AK7="是",'21.04.01'!$BB$4,'21.04.01'!$BB$3)),(VLOOKUP('21.04.01'!AA7,'21.04.01'!$AO$4:$AQ$55,2,FALSE))*IF('21.04.01'!$AK7="是",'21.04.01'!$BB$4,'21.04.01'!$BB$3))</f>
        <v>150</v>
      </c>
      <c r="T7" s="4">
        <f>IF(ISNUMBER(SEARCH("营",'21.04.01'!AB7)),(-$Y7+50*IF('21.04.01'!$AK7="是",'21.04.01'!$BB$4,'21.04.01'!$BB$3)),(VLOOKUP('21.04.01'!AB7,'21.04.01'!$AO$4:$AQ$55,2,FALSE))*IF('21.04.01'!$AK7="是",'21.04.01'!$BB$4,'21.04.01'!$BB$3))</f>
        <v>150</v>
      </c>
      <c r="U7" s="4">
        <f>IF(ISNUMBER(SEARCH("营",'21.04.01'!AC7)),(-$Y7+50*IF('21.04.01'!$AK7="是",'21.04.01'!$BB$4,'21.04.01'!$BB$3)),(VLOOKUP('21.04.01'!AC7,'21.04.01'!$AO$4:$AQ$55,2,FALSE))*IF('21.04.01'!$AK7="是",'21.04.01'!$BB$4,'21.04.01'!$BB$3))</f>
        <v>150</v>
      </c>
      <c r="V7" s="4">
        <f>IF(ISNUMBER(SEARCH("营",'21.04.01'!AD7)),(-$Y7+50*IF('21.04.01'!$AK7="是",'21.04.01'!$BB$4,'21.04.01'!$BB$3)),(VLOOKUP('21.04.01'!AD7,'21.04.01'!$AO$4:$AQ$55,2,FALSE))*IF('21.04.01'!$AK7="是",'21.04.01'!$BB$4,'21.04.01'!$BB$3))</f>
        <v>150</v>
      </c>
      <c r="W7" s="4">
        <f>IF(ISNUMBER(SEARCH("营",'21.04.01'!AE7)),(-$Y7+50*IF('21.04.01'!$AK7="是",'21.04.01'!$BB$4,'21.04.01'!$BB$3)),(VLOOKUP('21.04.01'!AE7,'21.04.01'!$AO$4:$AQ$55,2,FALSE))*IF('21.04.01'!$AK7="是",'21.04.01'!$BB$4,'21.04.01'!$BB$3))</f>
        <v>0</v>
      </c>
      <c r="X7" s="4">
        <f>IF(ISNUMBER(SEARCH("营",'21.04.01'!AF7)),(-$Y7+50*IF('21.04.01'!$AK7="是",'21.04.01'!$BB$4,'21.04.01'!$BB$3)),(VLOOKUP('21.04.01'!AF7,'21.04.01'!$AO$4:$AQ$55,2,FALSE))*IF('21.04.01'!$AK7="是",'21.04.01'!$BB$4,'21.04.01'!$BB$3))</f>
        <v>0</v>
      </c>
      <c r="Y7" s="62">
        <v>300</v>
      </c>
      <c r="Z7" s="94">
        <v>45915</v>
      </c>
    </row>
    <row r="8" spans="1:26">
      <c r="A8" s="4">
        <f>IF(ISNUMBER(SEARCH("营",'21.04.01'!I8)),(-$Y8+50*IF('21.04.01'!$AK8="是",'21.04.01'!$BB$4,'21.04.01'!$BB$3)),(VLOOKUP('21.04.01'!I8,'21.04.01'!$AO$4:$AQ$55,2,FALSE))*IF('21.04.01'!$AK8="是",'21.04.01'!$BB$4,'21.04.01'!$BB$3))</f>
        <v>0</v>
      </c>
      <c r="B8" s="4">
        <f>IF(ISNUMBER(SEARCH("营",'21.04.01'!J8)),(-$Y8+50*IF('21.04.01'!$AK8="是",'21.04.01'!$BB$4,'21.04.01'!$BB$3)),(VLOOKUP('21.04.01'!J8,'21.04.01'!$AO$4:$AQ$55,2,FALSE))*IF('21.04.01'!$AK8="是",'21.04.01'!$BB$4,'21.04.01'!$BB$3))</f>
        <v>0</v>
      </c>
      <c r="C8" s="4">
        <f>IF(ISNUMBER(SEARCH("营",'21.04.01'!K8)),(-$Y8+50*IF('21.04.01'!$AK8="是",'21.04.01'!$BB$4,'21.04.01'!$BB$3)),(VLOOKUP('21.04.01'!K8,'21.04.01'!$AO$4:$AQ$55,2,FALSE))*IF('21.04.01'!$AK8="是",'21.04.01'!$BB$4,'21.04.01'!$BB$3))</f>
        <v>0</v>
      </c>
      <c r="D8" s="4">
        <f>IF(ISNUMBER(SEARCH("营",'21.04.01'!L8)),(-$Y8+50*IF('21.04.01'!$AK8="是",'21.04.01'!$BB$4,'21.04.01'!$BB$3)),(VLOOKUP('21.04.01'!L8,'21.04.01'!$AO$4:$AQ$55,2,FALSE))*IF('21.04.01'!$AK8="是",'21.04.01'!$BB$4,'21.04.01'!$BB$3))</f>
        <v>0</v>
      </c>
      <c r="E8" s="4">
        <f>IF(ISNUMBER(SEARCH("营",'21.04.01'!M8)),(-$Y8+50*IF('21.04.01'!$AK8="是",'21.04.01'!$BB$4,'21.04.01'!$BB$3)),(VLOOKUP('21.04.01'!M8,'21.04.01'!$AO$4:$AQ$55,2,FALSE))*IF('21.04.01'!$AK8="是",'21.04.01'!$BB$4,'21.04.01'!$BB$3))</f>
        <v>0</v>
      </c>
      <c r="F8" s="4">
        <f>IF(ISNUMBER(SEARCH("营",'21.04.01'!N8)),(-$Y8+50*IF('21.04.01'!$AK8="是",'21.04.01'!$BB$4,'21.04.01'!$BB$3)),(VLOOKUP('21.04.01'!N8,'21.04.01'!$AO$4:$AQ$55,2,FALSE))*IF('21.04.01'!$AK8="是",'21.04.01'!$BB$4,'21.04.01'!$BB$3))</f>
        <v>0</v>
      </c>
      <c r="G8" s="4">
        <f>IF(ISNUMBER(SEARCH("营",'21.04.01'!O8)),(-$Y8+50*IF('21.04.01'!$AK8="是",'21.04.01'!$BB$4,'21.04.01'!$BB$3)),(VLOOKUP('21.04.01'!O8,'21.04.01'!$AO$4:$AQ$55,2,FALSE))*IF('21.04.01'!$AK8="是",'21.04.01'!$BB$4,'21.04.01'!$BB$3))</f>
        <v>0</v>
      </c>
      <c r="H8" s="4">
        <f>IF(ISNUMBER(SEARCH("营",'21.04.01'!P8)),(-$Y8+50*IF('21.04.01'!$AK8="是",'21.04.01'!$BB$4,'21.04.01'!$BB$3)),(VLOOKUP('21.04.01'!P8,'21.04.01'!$AO$4:$AQ$55,2,FALSE))*IF('21.04.01'!$AK8="是",'21.04.01'!$BB$4,'21.04.01'!$BB$3))</f>
        <v>0</v>
      </c>
      <c r="I8" s="4">
        <f>IF(ISNUMBER(SEARCH("营",'21.04.01'!Q8)),(-$Y8+50*IF('21.04.01'!$AK8="是",'21.04.01'!$BB$4,'21.04.01'!$BB$3)),(VLOOKUP('21.04.01'!Q8,'21.04.01'!$AO$4:$AQ$55,2,FALSE))*IF('21.04.01'!$AK8="是",'21.04.01'!$BB$4,'21.04.01'!$BB$3))</f>
        <v>0</v>
      </c>
      <c r="J8" s="4">
        <f>IF(ISNUMBER(SEARCH("营",'21.04.01'!R8)),(-$Y8+50*IF('21.04.01'!$AK8="是",'21.04.01'!$BB$4,'21.04.01'!$BB$3)),(VLOOKUP('21.04.01'!R8,'21.04.01'!$AO$4:$AQ$55,2,FALSE))*IF('21.04.01'!$AK8="是",'21.04.01'!$BB$4,'21.04.01'!$BB$3))</f>
        <v>0</v>
      </c>
      <c r="K8" s="4">
        <f>IF(ISNUMBER(SEARCH("营",'21.04.01'!S8)),(-$Y8+50*IF('21.04.01'!$AK8="是",'21.04.01'!$BB$4,'21.04.01'!$BB$3)),(VLOOKUP('21.04.01'!S8,'21.04.01'!$AO$4:$AQ$55,2,FALSE))*IF('21.04.01'!$AK8="是",'21.04.01'!$BB$4,'21.04.01'!$BB$3))</f>
        <v>0</v>
      </c>
      <c r="L8" s="4">
        <f>IF(ISNUMBER(SEARCH("营",'21.04.01'!T8)),(-$Y8+50*IF('21.04.01'!$AK8="是",'21.04.01'!$BB$4,'21.04.01'!$BB$3)),(VLOOKUP('21.04.01'!T8,'21.04.01'!$AO$4:$AQ$55,2,FALSE))*IF('21.04.01'!$AK8="是",'21.04.01'!$BB$4,'21.04.01'!$BB$3))</f>
        <v>0</v>
      </c>
      <c r="M8" s="4">
        <f>IF(ISNUMBER(SEARCH("营",'21.04.01'!U8)),(-$Y8+50*IF('21.04.01'!$AK8="是",'21.04.01'!$BB$4,'21.04.01'!$BB$3)),(VLOOKUP('21.04.01'!U8,'21.04.01'!$AO$4:$AQ$55,2,FALSE))*IF('21.04.01'!$AK8="是",'21.04.01'!$BB$4,'21.04.01'!$BB$3))</f>
        <v>0</v>
      </c>
      <c r="N8" s="4">
        <f>IF(ISNUMBER(SEARCH("营",'21.04.01'!V8)),(-$Y8+50*IF('21.04.01'!$AK8="是",'21.04.01'!$BB$4,'21.04.01'!$BB$3)),(VLOOKUP('21.04.01'!V8,'21.04.01'!$AO$4:$AQ$55,2,FALSE))*IF('21.04.01'!$AK8="是",'21.04.01'!$BB$4,'21.04.01'!$BB$3))</f>
        <v>0</v>
      </c>
      <c r="O8" s="4">
        <f>IF(ISNUMBER(SEARCH("营",'21.04.01'!W8)),(-$Y8+50*IF('21.04.01'!$AK8="是",'21.04.01'!$BB$4,'21.04.01'!$BB$3)),(VLOOKUP('21.04.01'!W8,'21.04.01'!$AO$4:$AQ$55,2,FALSE))*IF('21.04.01'!$AK8="是",'21.04.01'!$BB$4,'21.04.01'!$BB$3))</f>
        <v>0</v>
      </c>
      <c r="P8" s="4">
        <f>IF(ISNUMBER(SEARCH("营",'21.04.01'!X8)),(-$Y8+50*IF('21.04.01'!$AK8="是",'21.04.01'!$BB$4,'21.04.01'!$BB$3)),(VLOOKUP('21.04.01'!X8,'21.04.01'!$AO$4:$AQ$55,2,FALSE))*IF('21.04.01'!$AK8="是",'21.04.01'!$BB$4,'21.04.01'!$BB$3))</f>
        <v>0</v>
      </c>
      <c r="Q8" s="4">
        <f>IF(ISNUMBER(SEARCH("营",'21.04.01'!Y8)),(-$Y8+50*IF('21.04.01'!$AK8="是",'21.04.01'!$BB$4,'21.04.01'!$BB$3)),(VLOOKUP('21.04.01'!Y8,'21.04.01'!$AO$4:$AQ$55,2,FALSE))*IF('21.04.01'!$AK8="是",'21.04.01'!$BB$4,'21.04.01'!$BB$3))</f>
        <v>150</v>
      </c>
      <c r="R8" s="4">
        <f>IF(ISNUMBER(SEARCH("营",'21.04.01'!Z8)),(-$Y8+50*IF('21.04.01'!$AK8="是",'21.04.01'!$BB$4,'21.04.01'!$BB$3)),(VLOOKUP('21.04.01'!Z8,'21.04.01'!$AO$4:$AQ$55,2,FALSE))*IF('21.04.01'!$AK8="是",'21.04.01'!$BB$4,'21.04.01'!$BB$3))</f>
        <v>150</v>
      </c>
      <c r="S8" s="4">
        <f>IF(ISNUMBER(SEARCH("营",'21.04.01'!AA8)),(-$Y8+50*IF('21.04.01'!$AK8="是",'21.04.01'!$BB$4,'21.04.01'!$BB$3)),(VLOOKUP('21.04.01'!AA8,'21.04.01'!$AO$4:$AQ$55,2,FALSE))*IF('21.04.01'!$AK8="是",'21.04.01'!$BB$4,'21.04.01'!$BB$3))</f>
        <v>150</v>
      </c>
      <c r="T8" s="4">
        <f>IF(ISNUMBER(SEARCH("营",'21.04.01'!AB8)),(-$Y8+50*IF('21.04.01'!$AK8="是",'21.04.01'!$BB$4,'21.04.01'!$BB$3)),(VLOOKUP('21.04.01'!AB8,'21.04.01'!$AO$4:$AQ$55,2,FALSE))*IF('21.04.01'!$AK8="是",'21.04.01'!$BB$4,'21.04.01'!$BB$3))</f>
        <v>150</v>
      </c>
      <c r="U8" s="4">
        <f>IF(ISNUMBER(SEARCH("营",'21.04.01'!AC8)),(-$Y8+50*IF('21.04.01'!$AK8="是",'21.04.01'!$BB$4,'21.04.01'!$BB$3)),(VLOOKUP('21.04.01'!AC8,'21.04.01'!$AO$4:$AQ$55,2,FALSE))*IF('21.04.01'!$AK8="是",'21.04.01'!$BB$4,'21.04.01'!$BB$3))</f>
        <v>150</v>
      </c>
      <c r="V8" s="4">
        <f>IF(ISNUMBER(SEARCH("营",'21.04.01'!AD8)),(-$Y8+50*IF('21.04.01'!$AK8="是",'21.04.01'!$BB$4,'21.04.01'!$BB$3)),(VLOOKUP('21.04.01'!AD8,'21.04.01'!$AO$4:$AQ$55,2,FALSE))*IF('21.04.01'!$AK8="是",'21.04.01'!$BB$4,'21.04.01'!$BB$3))</f>
        <v>150</v>
      </c>
      <c r="W8" s="4">
        <f>IF(ISNUMBER(SEARCH("营",'21.04.01'!AE8)),(-$Y8+50*IF('21.04.01'!$AK8="是",'21.04.01'!$BB$4,'21.04.01'!$BB$3)),(VLOOKUP('21.04.01'!AE8,'21.04.01'!$AO$4:$AQ$55,2,FALSE))*IF('21.04.01'!$AK8="是",'21.04.01'!$BB$4,'21.04.01'!$BB$3))</f>
        <v>0</v>
      </c>
      <c r="X8" s="4">
        <f>IF(ISNUMBER(SEARCH("营",'21.04.01'!AF8)),(-$Y8+50*IF('21.04.01'!$AK8="是",'21.04.01'!$BB$4,'21.04.01'!$BB$3)),(VLOOKUP('21.04.01'!AF8,'21.04.01'!$AO$4:$AQ$55,2,FALSE))*IF('21.04.01'!$AK8="是",'21.04.01'!$BB$4,'21.04.01'!$BB$3))</f>
        <v>0</v>
      </c>
      <c r="Y8" s="62">
        <v>300</v>
      </c>
      <c r="Z8" s="94">
        <v>45916</v>
      </c>
    </row>
    <row r="9" spans="1:26">
      <c r="A9" s="4">
        <f>IF(ISNUMBER(SEARCH("营",'21.04.01'!I9)),(-$Y9+50*IF('21.04.01'!$AK9="是",'21.04.01'!$BB$4,'21.04.01'!$BB$3)),(VLOOKUP('21.04.01'!I9,'21.04.01'!$AO$4:$AQ$55,2,FALSE))*IF('21.04.01'!$AK9="是",'21.04.01'!$BB$4,'21.04.01'!$BB$3))</f>
        <v>160</v>
      </c>
      <c r="B9" s="4">
        <f>IF(ISNUMBER(SEARCH("营",'21.04.01'!J9)),(-$Y9+50*IF('21.04.01'!$AK9="是",'21.04.01'!$BB$4,'21.04.01'!$BB$3)),(VLOOKUP('21.04.01'!J9,'21.04.01'!$AO$4:$AQ$55,2,FALSE))*IF('21.04.01'!$AK9="是",'21.04.01'!$BB$4,'21.04.01'!$BB$3))</f>
        <v>170</v>
      </c>
      <c r="C9" s="4">
        <f>IF(ISNUMBER(SEARCH("营",'21.04.01'!K9)),(-$Y9+50*IF('21.04.01'!$AK9="是",'21.04.01'!$BB$4,'21.04.01'!$BB$3)),(VLOOKUP('21.04.01'!K9,'21.04.01'!$AO$4:$AQ$55,2,FALSE))*IF('21.04.01'!$AK9="是",'21.04.01'!$BB$4,'21.04.01'!$BB$3))</f>
        <v>150</v>
      </c>
      <c r="D9" s="4">
        <f>IF(ISNUMBER(SEARCH("营",'21.04.01'!L9)),(-$Y9+50*IF('21.04.01'!$AK9="是",'21.04.01'!$BB$4,'21.04.01'!$BB$3)),(VLOOKUP('21.04.01'!L9,'21.04.01'!$AO$4:$AQ$55,2,FALSE))*IF('21.04.01'!$AK9="是",'21.04.01'!$BB$4,'21.04.01'!$BB$3))</f>
        <v>170</v>
      </c>
      <c r="E9" s="4">
        <f>IF(ISNUMBER(SEARCH("营",'21.04.01'!M9)),(-$Y9+50*IF('21.04.01'!$AK9="是",'21.04.01'!$BB$4,'21.04.01'!$BB$3)),(VLOOKUP('21.04.01'!M9,'21.04.01'!$AO$4:$AQ$55,2,FALSE))*IF('21.04.01'!$AK9="是",'21.04.01'!$BB$4,'21.04.01'!$BB$3))</f>
        <v>170</v>
      </c>
      <c r="F9" s="4">
        <f>IF(ISNUMBER(SEARCH("营",'21.04.01'!N9)),(-$Y9+50*IF('21.04.01'!$AK9="是",'21.04.01'!$BB$4,'21.04.01'!$BB$3)),(VLOOKUP('21.04.01'!N9,'21.04.01'!$AO$4:$AQ$55,2,FALSE))*IF('21.04.01'!$AK9="是",'21.04.01'!$BB$4,'21.04.01'!$BB$3))</f>
        <v>250</v>
      </c>
      <c r="G9" s="4">
        <f>IF(ISNUMBER(SEARCH("营",'21.04.01'!O9)),(-$Y9+50*IF('21.04.01'!$AK9="是",'21.04.01'!$BB$4,'21.04.01'!$BB$3)),(VLOOKUP('21.04.01'!O9,'21.04.01'!$AO$4:$AQ$55,2,FALSE))*IF('21.04.01'!$AK9="是",'21.04.01'!$BB$4,'21.04.01'!$BB$3))</f>
        <v>170</v>
      </c>
      <c r="H9" s="4">
        <f>IF(ISNUMBER(SEARCH("营",'21.04.01'!P9)),(-$Y9+50*IF('21.04.01'!$AK9="是",'21.04.01'!$BB$4,'21.04.01'!$BB$3)),(VLOOKUP('21.04.01'!P9,'21.04.01'!$AO$4:$AQ$55,2,FALSE))*IF('21.04.01'!$AK9="是",'21.04.01'!$BB$4,'21.04.01'!$BB$3))</f>
        <v>0</v>
      </c>
      <c r="I9" s="4">
        <f>IF(ISNUMBER(SEARCH("营",'21.04.01'!Q9)),(-$Y9+50*IF('21.04.01'!$AK9="是",'21.04.01'!$BB$4,'21.04.01'!$BB$3)),(VLOOKUP('21.04.01'!Q9,'21.04.01'!$AO$4:$AQ$55,2,FALSE))*IF('21.04.01'!$AK9="是",'21.04.01'!$BB$4,'21.04.01'!$BB$3))</f>
        <v>0</v>
      </c>
      <c r="J9" s="4">
        <f>IF(ISNUMBER(SEARCH("营",'21.04.01'!R9)),(-$Y9+50*IF('21.04.01'!$AK9="是",'21.04.01'!$BB$4,'21.04.01'!$BB$3)),(VLOOKUP('21.04.01'!R9,'21.04.01'!$AO$4:$AQ$55,2,FALSE))*IF('21.04.01'!$AK9="是",'21.04.01'!$BB$4,'21.04.01'!$BB$3))</f>
        <v>0</v>
      </c>
      <c r="K9" s="4">
        <f>IF(ISNUMBER(SEARCH("营",'21.04.01'!S9)),(-$Y9+50*IF('21.04.01'!$AK9="是",'21.04.01'!$BB$4,'21.04.01'!$BB$3)),(VLOOKUP('21.04.01'!S9,'21.04.01'!$AO$4:$AQ$55,2,FALSE))*IF('21.04.01'!$AK9="是",'21.04.01'!$BB$4,'21.04.01'!$BB$3))</f>
        <v>0</v>
      </c>
      <c r="L9" s="4">
        <f>IF(ISNUMBER(SEARCH("营",'21.04.01'!T9)),(-$Y9+50*IF('21.04.01'!$AK9="是",'21.04.01'!$BB$4,'21.04.01'!$BB$3)),(VLOOKUP('21.04.01'!T9,'21.04.01'!$AO$4:$AQ$55,2,FALSE))*IF('21.04.01'!$AK9="是",'21.04.01'!$BB$4,'21.04.01'!$BB$3))</f>
        <v>0</v>
      </c>
      <c r="M9" s="4">
        <f>IF(ISNUMBER(SEARCH("营",'21.04.01'!U9)),(-$Y9+50*IF('21.04.01'!$AK9="是",'21.04.01'!$BB$4,'21.04.01'!$BB$3)),(VLOOKUP('21.04.01'!U9,'21.04.01'!$AO$4:$AQ$55,2,FALSE))*IF('21.04.01'!$AK9="是",'21.04.01'!$BB$4,'21.04.01'!$BB$3))</f>
        <v>0</v>
      </c>
      <c r="N9" s="4">
        <f>IF(ISNUMBER(SEARCH("营",'21.04.01'!V9)),(-$Y9+50*IF('21.04.01'!$AK9="是",'21.04.01'!$BB$4,'21.04.01'!$BB$3)),(VLOOKUP('21.04.01'!V9,'21.04.01'!$AO$4:$AQ$55,2,FALSE))*IF('21.04.01'!$AK9="是",'21.04.01'!$BB$4,'21.04.01'!$BB$3))</f>
        <v>0</v>
      </c>
      <c r="O9" s="4">
        <f>IF(ISNUMBER(SEARCH("营",'21.04.01'!W9)),(-$Y9+50*IF('21.04.01'!$AK9="是",'21.04.01'!$BB$4,'21.04.01'!$BB$3)),(VLOOKUP('21.04.01'!W9,'21.04.01'!$AO$4:$AQ$55,2,FALSE))*IF('21.04.01'!$AK9="是",'21.04.01'!$BB$4,'21.04.01'!$BB$3))</f>
        <v>0</v>
      </c>
      <c r="P9" s="4">
        <f>IF(ISNUMBER(SEARCH("营",'21.04.01'!X9)),(-$Y9+50*IF('21.04.01'!$AK9="是",'21.04.01'!$BB$4,'21.04.01'!$BB$3)),(VLOOKUP('21.04.01'!X9,'21.04.01'!$AO$4:$AQ$55,2,FALSE))*IF('21.04.01'!$AK9="是",'21.04.01'!$BB$4,'21.04.01'!$BB$3))</f>
        <v>0</v>
      </c>
      <c r="Q9" s="4">
        <f>IF(ISNUMBER(SEARCH("营",'21.04.01'!Y9)),(-$Y9+50*IF('21.04.01'!$AK9="是",'21.04.01'!$BB$4,'21.04.01'!$BB$3)),(VLOOKUP('21.04.01'!Y9,'21.04.01'!$AO$4:$AQ$55,2,FALSE))*IF('21.04.01'!$AK9="是",'21.04.01'!$BB$4,'21.04.01'!$BB$3))</f>
        <v>50</v>
      </c>
      <c r="R9" s="4">
        <f>IF(ISNUMBER(SEARCH("营",'21.04.01'!Z9)),(-$Y9+50*IF('21.04.01'!$AK9="是",'21.04.01'!$BB$4,'21.04.01'!$BB$3)),(VLOOKUP('21.04.01'!Z9,'21.04.01'!$AO$4:$AQ$55,2,FALSE))*IF('21.04.01'!$AK9="是",'21.04.01'!$BB$4,'21.04.01'!$BB$3))</f>
        <v>150</v>
      </c>
      <c r="S9" s="4">
        <f>IF(ISNUMBER(SEARCH("营",'21.04.01'!AA9)),(-$Y9+50*IF('21.04.01'!$AK9="是",'21.04.01'!$BB$4,'21.04.01'!$BB$3)),(VLOOKUP('21.04.01'!AA9,'21.04.01'!$AO$4:$AQ$55,2,FALSE))*IF('21.04.01'!$AK9="是",'21.04.01'!$BB$4,'21.04.01'!$BB$3))</f>
        <v>150</v>
      </c>
      <c r="T9" s="4">
        <f>IF(ISNUMBER(SEARCH("营",'21.04.01'!AB9)),(-$Y9+50*IF('21.04.01'!$AK9="是",'21.04.01'!$BB$4,'21.04.01'!$BB$3)),(VLOOKUP('21.04.01'!AB9,'21.04.01'!$AO$4:$AQ$55,2,FALSE))*IF('21.04.01'!$AK9="是",'21.04.01'!$BB$4,'21.04.01'!$BB$3))</f>
        <v>150</v>
      </c>
      <c r="U9" s="4">
        <f>IF(ISNUMBER(SEARCH("营",'21.04.01'!AC9)),(-$Y9+50*IF('21.04.01'!$AK9="是",'21.04.01'!$BB$4,'21.04.01'!$BB$3)),(VLOOKUP('21.04.01'!AC9,'21.04.01'!$AO$4:$AQ$55,2,FALSE))*IF('21.04.01'!$AK9="是",'21.04.01'!$BB$4,'21.04.01'!$BB$3))</f>
        <v>160</v>
      </c>
      <c r="V9" s="4">
        <f>IF(ISNUMBER(SEARCH("营",'21.04.01'!AD9)),(-$Y9+50*IF('21.04.01'!$AK9="是",'21.04.01'!$BB$4,'21.04.01'!$BB$3)),(VLOOKUP('21.04.01'!AD9,'21.04.01'!$AO$4:$AQ$55,2,FALSE))*IF('21.04.01'!$AK9="是",'21.04.01'!$BB$4,'21.04.01'!$BB$3))</f>
        <v>160</v>
      </c>
      <c r="W9" s="4">
        <f>IF(ISNUMBER(SEARCH("营",'21.04.01'!AE9)),(-$Y9+50*IF('21.04.01'!$AK9="是",'21.04.01'!$BB$4,'21.04.01'!$BB$3)),(VLOOKUP('21.04.01'!AE9,'21.04.01'!$AO$4:$AQ$55,2,FALSE))*IF('21.04.01'!$AK9="是",'21.04.01'!$BB$4,'21.04.01'!$BB$3))</f>
        <v>-250</v>
      </c>
      <c r="X9" s="4">
        <f>IF(ISNUMBER(SEARCH("营",'21.04.01'!AF9)),(-$Y9+50*IF('21.04.01'!$AK9="是",'21.04.01'!$BB$4,'21.04.01'!$BB$3)),(VLOOKUP('21.04.01'!AF9,'21.04.01'!$AO$4:$AQ$55,2,FALSE))*IF('21.04.01'!$AK9="是",'21.04.01'!$BB$4,'21.04.01'!$BB$3))</f>
        <v>160</v>
      </c>
      <c r="Y9" s="62">
        <v>300</v>
      </c>
      <c r="Z9" s="94">
        <v>45917</v>
      </c>
    </row>
    <row r="10" spans="1:26">
      <c r="A10" s="4">
        <f>IF(ISNUMBER(SEARCH("营",'21.04.01'!I10)),(-$Y10+50*IF('21.04.01'!$AK10="是",'21.04.01'!$BB$4,'21.04.01'!$BB$3)),(VLOOKUP('21.04.01'!I10,'21.04.01'!$AO$4:$AQ$55,2,FALSE))*IF('21.04.01'!$AK10="是",'21.04.01'!$BB$4,'21.04.01'!$BB$3))</f>
        <v>170</v>
      </c>
      <c r="B10" s="4">
        <f>IF(ISNUMBER(SEARCH("营",'21.04.01'!J10)),(-$Y10+50*IF('21.04.01'!$AK10="是",'21.04.01'!$BB$4,'21.04.01'!$BB$3)),(VLOOKUP('21.04.01'!J10,'21.04.01'!$AO$4:$AQ$55,2,FALSE))*IF('21.04.01'!$AK10="是",'21.04.01'!$BB$4,'21.04.01'!$BB$3))</f>
        <v>150</v>
      </c>
      <c r="C10" s="4">
        <f>IF(ISNUMBER(SEARCH("营",'21.04.01'!K10)),(-$Y10+50*IF('21.04.01'!$AK10="是",'21.04.01'!$BB$4,'21.04.01'!$BB$3)),(VLOOKUP('21.04.01'!K10,'21.04.01'!$AO$4:$AQ$55,2,FALSE))*IF('21.04.01'!$AK10="是",'21.04.01'!$BB$4,'21.04.01'!$BB$3))</f>
        <v>170</v>
      </c>
      <c r="D10" s="4">
        <f>IF(ISNUMBER(SEARCH("营",'21.04.01'!L10)),(-$Y10+50*IF('21.04.01'!$AK10="是",'21.04.01'!$BB$4,'21.04.01'!$BB$3)),(VLOOKUP('21.04.01'!L10,'21.04.01'!$AO$4:$AQ$55,2,FALSE))*IF('21.04.01'!$AK10="是",'21.04.01'!$BB$4,'21.04.01'!$BB$3))</f>
        <v>170</v>
      </c>
      <c r="E10" s="4">
        <f>IF(ISNUMBER(SEARCH("营",'21.04.01'!M10)),(-$Y10+50*IF('21.04.01'!$AK10="是",'21.04.01'!$BB$4,'21.04.01'!$BB$3)),(VLOOKUP('21.04.01'!M10,'21.04.01'!$AO$4:$AQ$55,2,FALSE))*IF('21.04.01'!$AK10="是",'21.04.01'!$BB$4,'21.04.01'!$BB$3))</f>
        <v>180</v>
      </c>
      <c r="F10" s="4">
        <f>IF(ISNUMBER(SEARCH("营",'21.04.01'!N10)),(-$Y10+50*IF('21.04.01'!$AK10="是",'21.04.01'!$BB$4,'21.04.01'!$BB$3)),(VLOOKUP('21.04.01'!N10,'21.04.01'!$AO$4:$AQ$55,2,FALSE))*IF('21.04.01'!$AK10="是",'21.04.01'!$BB$4,'21.04.01'!$BB$3))</f>
        <v>180</v>
      </c>
      <c r="G10" s="4">
        <f>IF(ISNUMBER(SEARCH("营",'21.04.01'!O10)),(-$Y10+50*IF('21.04.01'!$AK10="是",'21.04.01'!$BB$4,'21.04.01'!$BB$3)),(VLOOKUP('21.04.01'!O10,'21.04.01'!$AO$4:$AQ$55,2,FALSE))*IF('21.04.01'!$AK10="是",'21.04.01'!$BB$4,'21.04.01'!$BB$3))</f>
        <v>0</v>
      </c>
      <c r="H10" s="4">
        <f>IF(ISNUMBER(SEARCH("营",'21.04.01'!P10)),(-$Y10+50*IF('21.04.01'!$AK10="是",'21.04.01'!$BB$4,'21.04.01'!$BB$3)),(VLOOKUP('21.04.01'!P10,'21.04.01'!$AO$4:$AQ$55,2,FALSE))*IF('21.04.01'!$AK10="是",'21.04.01'!$BB$4,'21.04.01'!$BB$3))</f>
        <v>0</v>
      </c>
      <c r="I10" s="4">
        <f>IF(ISNUMBER(SEARCH("营",'21.04.01'!Q10)),(-$Y10+50*IF('21.04.01'!$AK10="是",'21.04.01'!$BB$4,'21.04.01'!$BB$3)),(VLOOKUP('21.04.01'!Q10,'21.04.01'!$AO$4:$AQ$55,2,FALSE))*IF('21.04.01'!$AK10="是",'21.04.01'!$BB$4,'21.04.01'!$BB$3))</f>
        <v>170</v>
      </c>
      <c r="J10" s="4">
        <f>IF(ISNUMBER(SEARCH("营",'21.04.01'!R10)),(-$Y10+50*IF('21.04.01'!$AK10="是",'21.04.01'!$BB$4,'21.04.01'!$BB$3)),(VLOOKUP('21.04.01'!R10,'21.04.01'!$AO$4:$AQ$55,2,FALSE))*IF('21.04.01'!$AK10="是",'21.04.01'!$BB$4,'21.04.01'!$BB$3))</f>
        <v>250</v>
      </c>
      <c r="K10" s="4">
        <f>IF(ISNUMBER(SEARCH("营",'21.04.01'!S10)),(-$Y10+50*IF('21.04.01'!$AK10="是",'21.04.01'!$BB$4,'21.04.01'!$BB$3)),(VLOOKUP('21.04.01'!S10,'21.04.01'!$AO$4:$AQ$55,2,FALSE))*IF('21.04.01'!$AK10="是",'21.04.01'!$BB$4,'21.04.01'!$BB$3))</f>
        <v>180</v>
      </c>
      <c r="L10" s="4">
        <f>IF(ISNUMBER(SEARCH("营",'21.04.01'!T10)),(-$Y10+50*IF('21.04.01'!$AK10="是",'21.04.01'!$BB$4,'21.04.01'!$BB$3)),(VLOOKUP('21.04.01'!T10,'21.04.01'!$AO$4:$AQ$55,2,FALSE))*IF('21.04.01'!$AK10="是",'21.04.01'!$BB$4,'21.04.01'!$BB$3))</f>
        <v>200</v>
      </c>
      <c r="M10" s="4">
        <f>IF(ISNUMBER(SEARCH("营",'21.04.01'!U10)),(-$Y10+50*IF('21.04.01'!$AK10="是",'21.04.01'!$BB$4,'21.04.01'!$BB$3)),(VLOOKUP('21.04.01'!U10,'21.04.01'!$AO$4:$AQ$55,2,FALSE))*IF('21.04.01'!$AK10="是",'21.04.01'!$BB$4,'21.04.01'!$BB$3))</f>
        <v>250</v>
      </c>
      <c r="N10" s="4">
        <f>IF(ISNUMBER(SEARCH("营",'21.04.01'!V10)),(-$Y10+50*IF('21.04.01'!$AK10="是",'21.04.01'!$BB$4,'21.04.01'!$BB$3)),(VLOOKUP('21.04.01'!V10,'21.04.01'!$AO$4:$AQ$55,2,FALSE))*IF('21.04.01'!$AK10="是",'21.04.01'!$BB$4,'21.04.01'!$BB$3))</f>
        <v>180</v>
      </c>
      <c r="O10" s="4">
        <f>IF(ISNUMBER(SEARCH("营",'21.04.01'!W10)),(-$Y10+50*IF('21.04.01'!$AK10="是",'21.04.01'!$BB$4,'21.04.01'!$BB$3)),(VLOOKUP('21.04.01'!W10,'21.04.01'!$AO$4:$AQ$55,2,FALSE))*IF('21.04.01'!$AK10="是",'21.04.01'!$BB$4,'21.04.01'!$BB$3))</f>
        <v>0</v>
      </c>
      <c r="P10" s="4">
        <f>IF(ISNUMBER(SEARCH("营",'21.04.01'!X10)),(-$Y10+50*IF('21.04.01'!$AK10="是",'21.04.01'!$BB$4,'21.04.01'!$BB$3)),(VLOOKUP('21.04.01'!X10,'21.04.01'!$AO$4:$AQ$55,2,FALSE))*IF('21.04.01'!$AK10="是",'21.04.01'!$BB$4,'21.04.01'!$BB$3))</f>
        <v>0</v>
      </c>
      <c r="Q10" s="4">
        <f>IF(ISNUMBER(SEARCH("营",'21.04.01'!Y10)),(-$Y10+50*IF('21.04.01'!$AK10="是",'21.04.01'!$BB$4,'21.04.01'!$BB$3)),(VLOOKUP('21.04.01'!Y10,'21.04.01'!$AO$4:$AQ$55,2,FALSE))*IF('21.04.01'!$AK10="是",'21.04.01'!$BB$4,'21.04.01'!$BB$3))</f>
        <v>160</v>
      </c>
      <c r="R10" s="4">
        <f>IF(ISNUMBER(SEARCH("营",'21.04.01'!Z10)),(-$Y10+50*IF('21.04.01'!$AK10="是",'21.04.01'!$BB$4,'21.04.01'!$BB$3)),(VLOOKUP('21.04.01'!Z10,'21.04.01'!$AO$4:$AQ$55,2,FALSE))*IF('21.04.01'!$AK10="是",'21.04.01'!$BB$4,'21.04.01'!$BB$3))</f>
        <v>160</v>
      </c>
      <c r="S10" s="4">
        <f>IF(ISNUMBER(SEARCH("营",'21.04.01'!AA10)),(-$Y10+50*IF('21.04.01'!$AK10="是",'21.04.01'!$BB$4,'21.04.01'!$BB$3)),(VLOOKUP('21.04.01'!AA10,'21.04.01'!$AO$4:$AQ$55,2,FALSE))*IF('21.04.01'!$AK10="是",'21.04.01'!$BB$4,'21.04.01'!$BB$3))</f>
        <v>160</v>
      </c>
      <c r="T10" s="4">
        <f>IF(ISNUMBER(SEARCH("营",'21.04.01'!AB10)),(-$Y10+50*IF('21.04.01'!$AK10="是",'21.04.01'!$BB$4,'21.04.01'!$BB$3)),(VLOOKUP('21.04.01'!AB10,'21.04.01'!$AO$4:$AQ$55,2,FALSE))*IF('21.04.01'!$AK10="是",'21.04.01'!$BB$4,'21.04.01'!$BB$3))</f>
        <v>50</v>
      </c>
      <c r="U10" s="4">
        <f>IF(ISNUMBER(SEARCH("营",'21.04.01'!AC10)),(-$Y10+50*IF('21.04.01'!$AK10="是",'21.04.01'!$BB$4,'21.04.01'!$BB$3)),(VLOOKUP('21.04.01'!AC10,'21.04.01'!$AO$4:$AQ$55,2,FALSE))*IF('21.04.01'!$AK10="是",'21.04.01'!$BB$4,'21.04.01'!$BB$3))</f>
        <v>160</v>
      </c>
      <c r="V10" s="4">
        <f>IF(ISNUMBER(SEARCH("营",'21.04.01'!AD10)),(-$Y10+50*IF('21.04.01'!$AK10="是",'21.04.01'!$BB$4,'21.04.01'!$BB$3)),(VLOOKUP('21.04.01'!AD10,'21.04.01'!$AO$4:$AQ$55,2,FALSE))*IF('21.04.01'!$AK10="是",'21.04.01'!$BB$4,'21.04.01'!$BB$3))</f>
        <v>160</v>
      </c>
      <c r="W10" s="4">
        <f>IF(ISNUMBER(SEARCH("营",'21.04.01'!AE10)),(-$Y10+50*IF('21.04.01'!$AK10="是",'21.04.01'!$BB$4,'21.04.01'!$BB$3)),(VLOOKUP('21.04.01'!AE10,'21.04.01'!$AO$4:$AQ$55,2,FALSE))*IF('21.04.01'!$AK10="是",'21.04.01'!$BB$4,'21.04.01'!$BB$3))</f>
        <v>0</v>
      </c>
      <c r="X10" s="4">
        <f>IF(ISNUMBER(SEARCH("营",'21.04.01'!AF10)),(-$Y10+50*IF('21.04.01'!$AK10="是",'21.04.01'!$BB$4,'21.04.01'!$BB$3)),(VLOOKUP('21.04.01'!AF10,'21.04.01'!$AO$4:$AQ$55,2,FALSE))*IF('21.04.01'!$AK10="是",'21.04.01'!$BB$4,'21.04.01'!$BB$3))</f>
        <v>0</v>
      </c>
      <c r="Y10" s="62">
        <v>300</v>
      </c>
      <c r="Z10" s="94">
        <v>45918</v>
      </c>
    </row>
    <row r="11" spans="1:26">
      <c r="A11" s="4">
        <f>IF(ISNUMBER(SEARCH("营",'21.04.01'!I11)),(-$Y11+50*IF('21.04.01'!$AK11="是",'21.04.01'!$BB$4,'21.04.01'!$BB$3)),(VLOOKUP('21.04.01'!I11,'21.04.01'!$AO$4:$AQ$55,2,FALSE))*IF('21.04.01'!$AK11="是",'21.04.01'!$BB$4,'21.04.01'!$BB$3))</f>
        <v>180</v>
      </c>
      <c r="B11" s="4">
        <f>IF(ISNUMBER(SEARCH("营",'21.04.01'!J11)),(-$Y11+50*IF('21.04.01'!$AK11="是",'21.04.01'!$BB$4,'21.04.01'!$BB$3)),(VLOOKUP('21.04.01'!J11,'21.04.01'!$AO$4:$AQ$55,2,FALSE))*IF('21.04.01'!$AK11="是",'21.04.01'!$BB$4,'21.04.01'!$BB$3))</f>
        <v>180</v>
      </c>
      <c r="C11" s="4">
        <f>IF(ISNUMBER(SEARCH("营",'21.04.01'!K11)),(-$Y11+50*IF('21.04.01'!$AK11="是",'21.04.01'!$BB$4,'21.04.01'!$BB$3)),(VLOOKUP('21.04.01'!K11,'21.04.01'!$AO$4:$AQ$55,2,FALSE))*IF('21.04.01'!$AK11="是",'21.04.01'!$BB$4,'21.04.01'!$BB$3))</f>
        <v>180</v>
      </c>
      <c r="D11" s="4">
        <f>IF(ISNUMBER(SEARCH("营",'21.04.01'!L11)),(-$Y11+50*IF('21.04.01'!$AK11="是",'21.04.01'!$BB$4,'21.04.01'!$BB$3)),(VLOOKUP('21.04.01'!L11,'21.04.01'!$AO$4:$AQ$55,2,FALSE))*IF('21.04.01'!$AK11="是",'21.04.01'!$BB$4,'21.04.01'!$BB$3))</f>
        <v>180</v>
      </c>
      <c r="E11" s="4">
        <f>IF(ISNUMBER(SEARCH("营",'21.04.01'!M11)),(-$Y11+50*IF('21.04.01'!$AK11="是",'21.04.01'!$BB$4,'21.04.01'!$BB$3)),(VLOOKUP('21.04.01'!M11,'21.04.01'!$AO$4:$AQ$55,2,FALSE))*IF('21.04.01'!$AK11="是",'21.04.01'!$BB$4,'21.04.01'!$BB$3))</f>
        <v>170</v>
      </c>
      <c r="F11" s="4">
        <f>IF(ISNUMBER(SEARCH("营",'21.04.01'!N11)),(-$Y11+50*IF('21.04.01'!$AK11="是",'21.04.01'!$BB$4,'21.04.01'!$BB$3)),(VLOOKUP('21.04.01'!N11,'21.04.01'!$AO$4:$AQ$55,2,FALSE))*IF('21.04.01'!$AK11="是",'21.04.01'!$BB$4,'21.04.01'!$BB$3))</f>
        <v>170</v>
      </c>
      <c r="G11" s="4">
        <f>IF(ISNUMBER(SEARCH("营",'21.04.01'!O11)),(-$Y11+50*IF('21.04.01'!$AK11="是",'21.04.01'!$BB$4,'21.04.01'!$BB$3)),(VLOOKUP('21.04.01'!O11,'21.04.01'!$AO$4:$AQ$55,2,FALSE))*IF('21.04.01'!$AK11="是",'21.04.01'!$BB$4,'21.04.01'!$BB$3))</f>
        <v>0</v>
      </c>
      <c r="H11" s="4">
        <f>IF(ISNUMBER(SEARCH("营",'21.04.01'!P11)),(-$Y11+50*IF('21.04.01'!$AK11="是",'21.04.01'!$BB$4,'21.04.01'!$BB$3)),(VLOOKUP('21.04.01'!P11,'21.04.01'!$AO$4:$AQ$55,2,FALSE))*IF('21.04.01'!$AK11="是",'21.04.01'!$BB$4,'21.04.01'!$BB$3))</f>
        <v>0</v>
      </c>
      <c r="I11" s="4">
        <f>IF(ISNUMBER(SEARCH("营",'21.04.01'!Q11)),(-$Y11+50*IF('21.04.01'!$AK11="是",'21.04.01'!$BB$4,'21.04.01'!$BB$3)),(VLOOKUP('21.04.01'!Q11,'21.04.01'!$AO$4:$AQ$55,2,FALSE))*IF('21.04.01'!$AK11="是",'21.04.01'!$BB$4,'21.04.01'!$BB$3))</f>
        <v>180</v>
      </c>
      <c r="J11" s="4">
        <f>IF(ISNUMBER(SEARCH("营",'21.04.01'!R11)),(-$Y11+50*IF('21.04.01'!$AK11="是",'21.04.01'!$BB$4,'21.04.01'!$BB$3)),(VLOOKUP('21.04.01'!R11,'21.04.01'!$AO$4:$AQ$55,2,FALSE))*IF('21.04.01'!$AK11="是",'21.04.01'!$BB$4,'21.04.01'!$BB$3))</f>
        <v>180</v>
      </c>
      <c r="K11" s="4">
        <f>IF(ISNUMBER(SEARCH("营",'21.04.01'!S11)),(-$Y11+50*IF('21.04.01'!$AK11="是",'21.04.01'!$BB$4,'21.04.01'!$BB$3)),(VLOOKUP('21.04.01'!S11,'21.04.01'!$AO$4:$AQ$55,2,FALSE))*IF('21.04.01'!$AK11="是",'21.04.01'!$BB$4,'21.04.01'!$BB$3))</f>
        <v>180</v>
      </c>
      <c r="L11" s="4">
        <f>IF(ISNUMBER(SEARCH("营",'21.04.01'!T11)),(-$Y11+50*IF('21.04.01'!$AK11="是",'21.04.01'!$BB$4,'21.04.01'!$BB$3)),(VLOOKUP('21.04.01'!T11,'21.04.01'!$AO$4:$AQ$55,2,FALSE))*IF('21.04.01'!$AK11="是",'21.04.01'!$BB$4,'21.04.01'!$BB$3))</f>
        <v>180</v>
      </c>
      <c r="M11" s="4">
        <f>IF(ISNUMBER(SEARCH("营",'21.04.01'!U11)),(-$Y11+50*IF('21.04.01'!$AK11="是",'21.04.01'!$BB$4,'21.04.01'!$BB$3)),(VLOOKUP('21.04.01'!U11,'21.04.01'!$AO$4:$AQ$55,2,FALSE))*IF('21.04.01'!$AK11="是",'21.04.01'!$BB$4,'21.04.01'!$BB$3))</f>
        <v>180</v>
      </c>
      <c r="N11" s="4">
        <f>IF(ISNUMBER(SEARCH("营",'21.04.01'!V11)),(-$Y11+50*IF('21.04.01'!$AK11="是",'21.04.01'!$BB$4,'21.04.01'!$BB$3)),(VLOOKUP('21.04.01'!V11,'21.04.01'!$AO$4:$AQ$55,2,FALSE))*IF('21.04.01'!$AK11="是",'21.04.01'!$BB$4,'21.04.01'!$BB$3))</f>
        <v>50</v>
      </c>
      <c r="O11" s="4">
        <f>IF(ISNUMBER(SEARCH("营",'21.04.01'!W11)),(-$Y11+50*IF('21.04.01'!$AK11="是",'21.04.01'!$BB$4,'21.04.01'!$BB$3)),(VLOOKUP('21.04.01'!W11,'21.04.01'!$AO$4:$AQ$55,2,FALSE))*IF('21.04.01'!$AK11="是",'21.04.01'!$BB$4,'21.04.01'!$BB$3))</f>
        <v>0</v>
      </c>
      <c r="P11" s="4">
        <f>IF(ISNUMBER(SEARCH("营",'21.04.01'!X11)),(-$Y11+50*IF('21.04.01'!$AK11="是",'21.04.01'!$BB$4,'21.04.01'!$BB$3)),(VLOOKUP('21.04.01'!X11,'21.04.01'!$AO$4:$AQ$55,2,FALSE))*IF('21.04.01'!$AK11="是",'21.04.01'!$BB$4,'21.04.01'!$BB$3))</f>
        <v>0</v>
      </c>
      <c r="Q11" s="4">
        <f>IF(ISNUMBER(SEARCH("营",'21.04.01'!Y11)),(-$Y11+50*IF('21.04.01'!$AK11="是",'21.04.01'!$BB$4,'21.04.01'!$BB$3)),(VLOOKUP('21.04.01'!Y11,'21.04.01'!$AO$4:$AQ$55,2,FALSE))*IF('21.04.01'!$AK11="是",'21.04.01'!$BB$4,'21.04.01'!$BB$3))</f>
        <v>170</v>
      </c>
      <c r="R11" s="4">
        <f>IF(ISNUMBER(SEARCH("营",'21.04.01'!Z11)),(-$Y11+50*IF('21.04.01'!$AK11="是",'21.04.01'!$BB$4,'21.04.01'!$BB$3)),(VLOOKUP('21.04.01'!Z11,'21.04.01'!$AO$4:$AQ$55,2,FALSE))*IF('21.04.01'!$AK11="是",'21.04.01'!$BB$4,'21.04.01'!$BB$3))</f>
        <v>50</v>
      </c>
      <c r="S11" s="4">
        <f>IF(ISNUMBER(SEARCH("营",'21.04.01'!AA11)),(-$Y11+50*IF('21.04.01'!$AK11="是",'21.04.01'!$BB$4,'21.04.01'!$BB$3)),(VLOOKUP('21.04.01'!AA11,'21.04.01'!$AO$4:$AQ$55,2,FALSE))*IF('21.04.01'!$AK11="是",'21.04.01'!$BB$4,'21.04.01'!$BB$3))</f>
        <v>170</v>
      </c>
      <c r="T11" s="4">
        <f>IF(ISNUMBER(SEARCH("营",'21.04.01'!AB11)),(-$Y11+50*IF('21.04.01'!$AK11="是",'21.04.01'!$BB$4,'21.04.01'!$BB$3)),(VLOOKUP('21.04.01'!AB11,'21.04.01'!$AO$4:$AQ$55,2,FALSE))*IF('21.04.01'!$AK11="是",'21.04.01'!$BB$4,'21.04.01'!$BB$3))</f>
        <v>170</v>
      </c>
      <c r="U11" s="4">
        <f>IF(ISNUMBER(SEARCH("营",'21.04.01'!AC11)),(-$Y11+50*IF('21.04.01'!$AK11="是",'21.04.01'!$BB$4,'21.04.01'!$BB$3)),(VLOOKUP('21.04.01'!AC11,'21.04.01'!$AO$4:$AQ$55,2,FALSE))*IF('21.04.01'!$AK11="是",'21.04.01'!$BB$4,'21.04.01'!$BB$3))</f>
        <v>150</v>
      </c>
      <c r="V11" s="4">
        <f>IF(ISNUMBER(SEARCH("营",'21.04.01'!AD11)),(-$Y11+50*IF('21.04.01'!$AK11="是",'21.04.01'!$BB$4,'21.04.01'!$BB$3)),(VLOOKUP('21.04.01'!AD11,'21.04.01'!$AO$4:$AQ$55,2,FALSE))*IF('21.04.01'!$AK11="是",'21.04.01'!$BB$4,'21.04.01'!$BB$3))</f>
        <v>160</v>
      </c>
      <c r="W11" s="4">
        <f>IF(ISNUMBER(SEARCH("营",'21.04.01'!AE11)),(-$Y11+50*IF('21.04.01'!$AK11="是",'21.04.01'!$BB$4,'21.04.01'!$BB$3)),(VLOOKUP('21.04.01'!AE11,'21.04.01'!$AO$4:$AQ$55,2,FALSE))*IF('21.04.01'!$AK11="是",'21.04.01'!$BB$4,'21.04.01'!$BB$3))</f>
        <v>0</v>
      </c>
      <c r="X11" s="4">
        <f>IF(ISNUMBER(SEARCH("营",'21.04.01'!AF11)),(-$Y11+50*IF('21.04.01'!$AK11="是",'21.04.01'!$BB$4,'21.04.01'!$BB$3)),(VLOOKUP('21.04.01'!AF11,'21.04.01'!$AO$4:$AQ$55,2,FALSE))*IF('21.04.01'!$AK11="是",'21.04.01'!$BB$4,'21.04.01'!$BB$3))</f>
        <v>0</v>
      </c>
      <c r="Y11" s="62">
        <v>300</v>
      </c>
      <c r="Z11" s="94">
        <v>45919</v>
      </c>
    </row>
    <row r="12" spans="1:26">
      <c r="A12" s="4">
        <f>IF(ISNUMBER(SEARCH("营",'21.04.01'!I12)),(-$Y12+50*IF('21.04.01'!$AK12="是",'21.04.01'!$BB$4,'21.04.01'!$BB$3)),(VLOOKUP('21.04.01'!I12,'21.04.01'!$AO$4:$AQ$55,2,FALSE))*IF('21.04.01'!$AK12="是",'21.04.01'!$BB$4,'21.04.01'!$BB$3))</f>
        <v>170</v>
      </c>
      <c r="B12" s="4">
        <f>IF(ISNUMBER(SEARCH("营",'21.04.01'!J12)),(-$Y12+50*IF('21.04.01'!$AK12="是",'21.04.01'!$BB$4,'21.04.01'!$BB$3)),(VLOOKUP('21.04.01'!J12,'21.04.01'!$AO$4:$AQ$55,2,FALSE))*IF('21.04.01'!$AK12="是",'21.04.01'!$BB$4,'21.04.01'!$BB$3))</f>
        <v>170</v>
      </c>
      <c r="C12" s="4">
        <f>IF(ISNUMBER(SEARCH("营",'21.04.01'!K12)),(-$Y12+50*IF('21.04.01'!$AK12="是",'21.04.01'!$BB$4,'21.04.01'!$BB$3)),(VLOOKUP('21.04.01'!K12,'21.04.01'!$AO$4:$AQ$55,2,FALSE))*IF('21.04.01'!$AK12="是",'21.04.01'!$BB$4,'21.04.01'!$BB$3))</f>
        <v>150</v>
      </c>
      <c r="D12" s="4">
        <f>IF(ISNUMBER(SEARCH("营",'21.04.01'!L12)),(-$Y12+50*IF('21.04.01'!$AK12="是",'21.04.01'!$BB$4,'21.04.01'!$BB$3)),(VLOOKUP('21.04.01'!L12,'21.04.01'!$AO$4:$AQ$55,2,FALSE))*IF('21.04.01'!$AK12="是",'21.04.01'!$BB$4,'21.04.01'!$BB$3))</f>
        <v>170</v>
      </c>
      <c r="E12" s="4">
        <f>IF(ISNUMBER(SEARCH("营",'21.04.01'!M12)),(-$Y12+50*IF('21.04.01'!$AK12="是",'21.04.01'!$BB$4,'21.04.01'!$BB$3)),(VLOOKUP('21.04.01'!M12,'21.04.01'!$AO$4:$AQ$55,2,FALSE))*IF('21.04.01'!$AK12="是",'21.04.01'!$BB$4,'21.04.01'!$BB$3))</f>
        <v>170</v>
      </c>
      <c r="F12" s="4">
        <f>IF(ISNUMBER(SEARCH("营",'21.04.01'!N12)),(-$Y12+50*IF('21.04.01'!$AK12="是",'21.04.01'!$BB$4,'21.04.01'!$BB$3)),(VLOOKUP('21.04.01'!N12,'21.04.01'!$AO$4:$AQ$55,2,FALSE))*IF('21.04.01'!$AK12="是",'21.04.01'!$BB$4,'21.04.01'!$BB$3))</f>
        <v>170</v>
      </c>
      <c r="G12" s="4">
        <f>IF(ISNUMBER(SEARCH("营",'21.04.01'!O12)),(-$Y12+50*IF('21.04.01'!$AK12="是",'21.04.01'!$BB$4,'21.04.01'!$BB$3)),(VLOOKUP('21.04.01'!O12,'21.04.01'!$AO$4:$AQ$55,2,FALSE))*IF('21.04.01'!$AK12="是",'21.04.01'!$BB$4,'21.04.01'!$BB$3))</f>
        <v>0</v>
      </c>
      <c r="H12" s="4">
        <f>IF(ISNUMBER(SEARCH("营",'21.04.01'!P12)),(-$Y12+50*IF('21.04.01'!$AK12="是",'21.04.01'!$BB$4,'21.04.01'!$BB$3)),(VLOOKUP('21.04.01'!P12,'21.04.01'!$AO$4:$AQ$55,2,FALSE))*IF('21.04.01'!$AK12="是",'21.04.01'!$BB$4,'21.04.01'!$BB$3))</f>
        <v>0</v>
      </c>
      <c r="I12" s="4">
        <f>IF(ISNUMBER(SEARCH("营",'21.04.01'!Q12)),(-$Y12+50*IF('21.04.01'!$AK12="是",'21.04.01'!$BB$4,'21.04.01'!$BB$3)),(VLOOKUP('21.04.01'!Q12,'21.04.01'!$AO$4:$AQ$55,2,FALSE))*IF('21.04.01'!$AK12="是",'21.04.01'!$BB$4,'21.04.01'!$BB$3))</f>
        <v>170</v>
      </c>
      <c r="J12" s="4">
        <f>IF(ISNUMBER(SEARCH("营",'21.04.01'!R12)),(-$Y12+50*IF('21.04.01'!$AK12="是",'21.04.01'!$BB$4,'21.04.01'!$BB$3)),(VLOOKUP('21.04.01'!R12,'21.04.01'!$AO$4:$AQ$55,2,FALSE))*IF('21.04.01'!$AK12="是",'21.04.01'!$BB$4,'21.04.01'!$BB$3))</f>
        <v>170</v>
      </c>
      <c r="K12" s="4">
        <f>IF(ISNUMBER(SEARCH("营",'21.04.01'!S12)),(-$Y12+50*IF('21.04.01'!$AK12="是",'21.04.01'!$BB$4,'21.04.01'!$BB$3)),(VLOOKUP('21.04.01'!S12,'21.04.01'!$AO$4:$AQ$55,2,FALSE))*IF('21.04.01'!$AK12="是",'21.04.01'!$BB$4,'21.04.01'!$BB$3))</f>
        <v>170</v>
      </c>
      <c r="L12" s="4">
        <f>IF(ISNUMBER(SEARCH("营",'21.04.01'!T12)),(-$Y12+50*IF('21.04.01'!$AK12="是",'21.04.01'!$BB$4,'21.04.01'!$BB$3)),(VLOOKUP('21.04.01'!T12,'21.04.01'!$AO$4:$AQ$55,2,FALSE))*IF('21.04.01'!$AK12="是",'21.04.01'!$BB$4,'21.04.01'!$BB$3))</f>
        <v>170</v>
      </c>
      <c r="M12" s="4">
        <f>IF(ISNUMBER(SEARCH("营",'21.04.01'!U12)),(-$Y12+50*IF('21.04.01'!$AK12="是",'21.04.01'!$BB$4,'21.04.01'!$BB$3)),(VLOOKUP('21.04.01'!U12,'21.04.01'!$AO$4:$AQ$55,2,FALSE))*IF('21.04.01'!$AK12="是",'21.04.01'!$BB$4,'21.04.01'!$BB$3))</f>
        <v>170</v>
      </c>
      <c r="N12" s="4">
        <f>IF(ISNUMBER(SEARCH("营",'21.04.01'!V12)),(-$Y12+50*IF('21.04.01'!$AK12="是",'21.04.01'!$BB$4,'21.04.01'!$BB$3)),(VLOOKUP('21.04.01'!V12,'21.04.01'!$AO$4:$AQ$55,2,FALSE))*IF('21.04.01'!$AK12="是",'21.04.01'!$BB$4,'21.04.01'!$BB$3))</f>
        <v>170</v>
      </c>
      <c r="O12" s="4">
        <f>IF(ISNUMBER(SEARCH("营",'21.04.01'!W12)),(-$Y12+50*IF('21.04.01'!$AK12="是",'21.04.01'!$BB$4,'21.04.01'!$BB$3)),(VLOOKUP('21.04.01'!W12,'21.04.01'!$AO$4:$AQ$55,2,FALSE))*IF('21.04.01'!$AK12="是",'21.04.01'!$BB$4,'21.04.01'!$BB$3))</f>
        <v>0</v>
      </c>
      <c r="P12" s="4">
        <f>IF(ISNUMBER(SEARCH("营",'21.04.01'!X12)),(-$Y12+50*IF('21.04.01'!$AK12="是",'21.04.01'!$BB$4,'21.04.01'!$BB$3)),(VLOOKUP('21.04.01'!X12,'21.04.01'!$AO$4:$AQ$55,2,FALSE))*IF('21.04.01'!$AK12="是",'21.04.01'!$BB$4,'21.04.01'!$BB$3))</f>
        <v>0</v>
      </c>
      <c r="Q12" s="4">
        <f>IF(ISNUMBER(SEARCH("营",'21.04.01'!Y12)),(-$Y12+50*IF('21.04.01'!$AK12="是",'21.04.01'!$BB$4,'21.04.01'!$BB$3)),(VLOOKUP('21.04.01'!Y12,'21.04.01'!$AO$4:$AQ$55,2,FALSE))*IF('21.04.01'!$AK12="是",'21.04.01'!$BB$4,'21.04.01'!$BB$3))</f>
        <v>160</v>
      </c>
      <c r="R12" s="4">
        <f>IF(ISNUMBER(SEARCH("营",'21.04.01'!Z12)),(-$Y12+50*IF('21.04.01'!$AK12="是",'21.04.01'!$BB$4,'21.04.01'!$BB$3)),(VLOOKUP('21.04.01'!Z12,'21.04.01'!$AO$4:$AQ$55,2,FALSE))*IF('21.04.01'!$AK12="是",'21.04.01'!$BB$4,'21.04.01'!$BB$3))</f>
        <v>160</v>
      </c>
      <c r="S12" s="4">
        <f>IF(ISNUMBER(SEARCH("营",'21.04.01'!AA12)),(-$Y12+50*IF('21.04.01'!$AK12="是",'21.04.01'!$BB$4,'21.04.01'!$BB$3)),(VLOOKUP('21.04.01'!AA12,'21.04.01'!$AO$4:$AQ$55,2,FALSE))*IF('21.04.01'!$AK12="是",'21.04.01'!$BB$4,'21.04.01'!$BB$3))</f>
        <v>160</v>
      </c>
      <c r="T12" s="4">
        <f>IF(ISNUMBER(SEARCH("营",'21.04.01'!AB12)),(-$Y12+50*IF('21.04.01'!$AK12="是",'21.04.01'!$BB$4,'21.04.01'!$BB$3)),(VLOOKUP('21.04.01'!AB12,'21.04.01'!$AO$4:$AQ$55,2,FALSE))*IF('21.04.01'!$AK12="是",'21.04.01'!$BB$4,'21.04.01'!$BB$3))</f>
        <v>0</v>
      </c>
      <c r="U12" s="4">
        <f>IF(ISNUMBER(SEARCH("营",'21.04.01'!AC12)),(-$Y12+50*IF('21.04.01'!$AK12="是",'21.04.01'!$BB$4,'21.04.01'!$BB$3)),(VLOOKUP('21.04.01'!AC12,'21.04.01'!$AO$4:$AQ$55,2,FALSE))*IF('21.04.01'!$AK12="是",'21.04.01'!$BB$4,'21.04.01'!$BB$3))</f>
        <v>-250</v>
      </c>
      <c r="V12" s="4">
        <f>IF(ISNUMBER(SEARCH("营",'21.04.01'!AD12)),(-$Y12+50*IF('21.04.01'!$AK12="是",'21.04.01'!$BB$4,'21.04.01'!$BB$3)),(VLOOKUP('21.04.01'!AD12,'21.04.01'!$AO$4:$AQ$55,2,FALSE))*IF('21.04.01'!$AK12="是",'21.04.01'!$BB$4,'21.04.01'!$BB$3))</f>
        <v>160</v>
      </c>
      <c r="W12" s="4">
        <f>IF(ISNUMBER(SEARCH("营",'21.04.01'!AE12)),(-$Y12+50*IF('21.04.01'!$AK12="是",'21.04.01'!$BB$4,'21.04.01'!$BB$3)),(VLOOKUP('21.04.01'!AE12,'21.04.01'!$AO$4:$AQ$55,2,FALSE))*IF('21.04.01'!$AK12="是",'21.04.01'!$BB$4,'21.04.01'!$BB$3))</f>
        <v>160</v>
      </c>
      <c r="X12" s="4">
        <f>IF(ISNUMBER(SEARCH("营",'21.04.01'!AF12)),(-$Y12+50*IF('21.04.01'!$AK12="是",'21.04.01'!$BB$4,'21.04.01'!$BB$3)),(VLOOKUP('21.04.01'!AF12,'21.04.01'!$AO$4:$AQ$55,2,FALSE))*IF('21.04.01'!$AK12="是",'21.04.01'!$BB$4,'21.04.01'!$BB$3))</f>
        <v>160</v>
      </c>
      <c r="Y12" s="62">
        <v>300</v>
      </c>
      <c r="Z12" s="94">
        <v>45920</v>
      </c>
    </row>
    <row r="13" spans="1:26">
      <c r="A13" s="4">
        <f>IF(ISNUMBER(SEARCH("营",'21.04.01'!I13)),(-$Y13+50*IF('21.04.01'!$AK13="是",'21.04.01'!$BB$4,'21.04.01'!$BB$3)),(VLOOKUP('21.04.01'!I13,'21.04.01'!$AO$4:$AQ$55,2,FALSE))*IF('21.04.01'!$AK13="是",'21.04.01'!$BB$4,'21.04.01'!$BB$3))</f>
        <v>180</v>
      </c>
      <c r="B13" s="4">
        <f>IF(ISNUMBER(SEARCH("营",'21.04.01'!J13)),(-$Y13+50*IF('21.04.01'!$AK13="是",'21.04.01'!$BB$4,'21.04.01'!$BB$3)),(VLOOKUP('21.04.01'!J13,'21.04.01'!$AO$4:$AQ$55,2,FALSE))*IF('21.04.01'!$AK13="是",'21.04.01'!$BB$4,'21.04.01'!$BB$3))</f>
        <v>180</v>
      </c>
      <c r="C13" s="4">
        <f>IF(ISNUMBER(SEARCH("营",'21.04.01'!K13)),(-$Y13+50*IF('21.04.01'!$AK13="是",'21.04.01'!$BB$4,'21.04.01'!$BB$3)),(VLOOKUP('21.04.01'!K13,'21.04.01'!$AO$4:$AQ$55,2,FALSE))*IF('21.04.01'!$AK13="是",'21.04.01'!$BB$4,'21.04.01'!$BB$3))</f>
        <v>180</v>
      </c>
      <c r="D13" s="4">
        <f>IF(ISNUMBER(SEARCH("营",'21.04.01'!L13)),(-$Y13+50*IF('21.04.01'!$AK13="是",'21.04.01'!$BB$4,'21.04.01'!$BB$3)),(VLOOKUP('21.04.01'!L13,'21.04.01'!$AO$4:$AQ$55,2,FALSE))*IF('21.04.01'!$AK13="是",'21.04.01'!$BB$4,'21.04.01'!$BB$3))</f>
        <v>170</v>
      </c>
      <c r="E13" s="4">
        <f>IF(ISNUMBER(SEARCH("营",'21.04.01'!M13)),(-$Y13+50*IF('21.04.01'!$AK13="是",'21.04.01'!$BB$4,'21.04.01'!$BB$3)),(VLOOKUP('21.04.01'!M13,'21.04.01'!$AO$4:$AQ$55,2,FALSE))*IF('21.04.01'!$AK13="是",'21.04.01'!$BB$4,'21.04.01'!$BB$3))</f>
        <v>50</v>
      </c>
      <c r="F13" s="4">
        <f>IF(ISNUMBER(SEARCH("营",'21.04.01'!N13)),(-$Y13+50*IF('21.04.01'!$AK13="是",'21.04.01'!$BB$4,'21.04.01'!$BB$3)),(VLOOKUP('21.04.01'!N13,'21.04.01'!$AO$4:$AQ$55,2,FALSE))*IF('21.04.01'!$AK13="是",'21.04.01'!$BB$4,'21.04.01'!$BB$3))</f>
        <v>0</v>
      </c>
      <c r="G13" s="4">
        <f>IF(ISNUMBER(SEARCH("营",'21.04.01'!O13)),(-$Y13+50*IF('21.04.01'!$AK13="是",'21.04.01'!$BB$4,'21.04.01'!$BB$3)),(VLOOKUP('21.04.01'!O13,'21.04.01'!$AO$4:$AQ$55,2,FALSE))*IF('21.04.01'!$AK13="是",'21.04.01'!$BB$4,'21.04.01'!$BB$3))</f>
        <v>0</v>
      </c>
      <c r="H13" s="4">
        <f>IF(ISNUMBER(SEARCH("营",'21.04.01'!P13)),(-$Y13+50*IF('21.04.01'!$AK13="是",'21.04.01'!$BB$4,'21.04.01'!$BB$3)),(VLOOKUP('21.04.01'!P13,'21.04.01'!$AO$4:$AQ$55,2,FALSE))*IF('21.04.01'!$AK13="是",'21.04.01'!$BB$4,'21.04.01'!$BB$3))</f>
        <v>0</v>
      </c>
      <c r="I13" s="4">
        <f>IF(ISNUMBER(SEARCH("营",'21.04.01'!Q13)),(-$Y13+50*IF('21.04.01'!$AK13="是",'21.04.01'!$BB$4,'21.04.01'!$BB$3)),(VLOOKUP('21.04.01'!Q13,'21.04.01'!$AO$4:$AQ$55,2,FALSE))*IF('21.04.01'!$AK13="是",'21.04.01'!$BB$4,'21.04.01'!$BB$3))</f>
        <v>170</v>
      </c>
      <c r="J13" s="4">
        <f>IF(ISNUMBER(SEARCH("营",'21.04.01'!R13)),(-$Y13+50*IF('21.04.01'!$AK13="是",'21.04.01'!$BB$4,'21.04.01'!$BB$3)),(VLOOKUP('21.04.01'!R13,'21.04.01'!$AO$4:$AQ$55,2,FALSE))*IF('21.04.01'!$AK13="是",'21.04.01'!$BB$4,'21.04.01'!$BB$3))</f>
        <v>170</v>
      </c>
      <c r="K13" s="4">
        <f>IF(ISNUMBER(SEARCH("营",'21.04.01'!S13)),(-$Y13+50*IF('21.04.01'!$AK13="是",'21.04.01'!$BB$4,'21.04.01'!$BB$3)),(VLOOKUP('21.04.01'!S13,'21.04.01'!$AO$4:$AQ$55,2,FALSE))*IF('21.04.01'!$AK13="是",'21.04.01'!$BB$4,'21.04.01'!$BB$3))</f>
        <v>170</v>
      </c>
      <c r="L13" s="4">
        <f>IF(ISNUMBER(SEARCH("营",'21.04.01'!T13)),(-$Y13+50*IF('21.04.01'!$AK13="是",'21.04.01'!$BB$4,'21.04.01'!$BB$3)),(VLOOKUP('21.04.01'!T13,'21.04.01'!$AO$4:$AQ$55,2,FALSE))*IF('21.04.01'!$AK13="是",'21.04.01'!$BB$4,'21.04.01'!$BB$3))</f>
        <v>170</v>
      </c>
      <c r="M13" s="4">
        <f>IF(ISNUMBER(SEARCH("营",'21.04.01'!U13)),(-$Y13+50*IF('21.04.01'!$AK13="是",'21.04.01'!$BB$4,'21.04.01'!$BB$3)),(VLOOKUP('21.04.01'!U13,'21.04.01'!$AO$4:$AQ$55,2,FALSE))*IF('21.04.01'!$AK13="是",'21.04.01'!$BB$4,'21.04.01'!$BB$3))</f>
        <v>170</v>
      </c>
      <c r="N13" s="4">
        <f>IF(ISNUMBER(SEARCH("营",'21.04.01'!V13)),(-$Y13+50*IF('21.04.01'!$AK13="是",'21.04.01'!$BB$4,'21.04.01'!$BB$3)),(VLOOKUP('21.04.01'!V13,'21.04.01'!$AO$4:$AQ$55,2,FALSE))*IF('21.04.01'!$AK13="是",'21.04.01'!$BB$4,'21.04.01'!$BB$3))</f>
        <v>170</v>
      </c>
      <c r="O13" s="4">
        <f>IF(ISNUMBER(SEARCH("营",'21.04.01'!W13)),(-$Y13+50*IF('21.04.01'!$AK13="是",'21.04.01'!$BB$4,'21.04.01'!$BB$3)),(VLOOKUP('21.04.01'!W13,'21.04.01'!$AO$4:$AQ$55,2,FALSE))*IF('21.04.01'!$AK13="是",'21.04.01'!$BB$4,'21.04.01'!$BB$3))</f>
        <v>0</v>
      </c>
      <c r="P13" s="4">
        <f>IF(ISNUMBER(SEARCH("营",'21.04.01'!X13)),(-$Y13+50*IF('21.04.01'!$AK13="是",'21.04.01'!$BB$4,'21.04.01'!$BB$3)),(VLOOKUP('21.04.01'!X13,'21.04.01'!$AO$4:$AQ$55,2,FALSE))*IF('21.04.01'!$AK13="是",'21.04.01'!$BB$4,'21.04.01'!$BB$3))</f>
        <v>0</v>
      </c>
      <c r="Q13" s="4">
        <f>IF(ISNUMBER(SEARCH("营",'21.04.01'!Y13)),(-$Y13+50*IF('21.04.01'!$AK13="是",'21.04.01'!$BB$4,'21.04.01'!$BB$3)),(VLOOKUP('21.04.01'!Y13,'21.04.01'!$AO$4:$AQ$55,2,FALSE))*IF('21.04.01'!$AK13="是",'21.04.01'!$BB$4,'21.04.01'!$BB$3))</f>
        <v>150</v>
      </c>
      <c r="R13" s="4">
        <f>IF(ISNUMBER(SEARCH("营",'21.04.01'!Z13)),(-$Y13+50*IF('21.04.01'!$AK13="是",'21.04.01'!$BB$4,'21.04.01'!$BB$3)),(VLOOKUP('21.04.01'!Z13,'21.04.01'!$AO$4:$AQ$55,2,FALSE))*IF('21.04.01'!$AK13="是",'21.04.01'!$BB$4,'21.04.01'!$BB$3))</f>
        <v>160</v>
      </c>
      <c r="S13" s="4">
        <f>IF(ISNUMBER(SEARCH("营",'21.04.01'!AA13)),(-$Y13+50*IF('21.04.01'!$AK13="是",'21.04.01'!$BB$4,'21.04.01'!$BB$3)),(VLOOKUP('21.04.01'!AA13,'21.04.01'!$AO$4:$AQ$55,2,FALSE))*IF('21.04.01'!$AK13="是",'21.04.01'!$BB$4,'21.04.01'!$BB$3))</f>
        <v>50</v>
      </c>
      <c r="T13" s="4">
        <f>IF(ISNUMBER(SEARCH("营",'21.04.01'!AB13)),(-$Y13+50*IF('21.04.01'!$AK13="是",'21.04.01'!$BB$4,'21.04.01'!$BB$3)),(VLOOKUP('21.04.01'!AB13,'21.04.01'!$AO$4:$AQ$55,2,FALSE))*IF('21.04.01'!$AK13="是",'21.04.01'!$BB$4,'21.04.01'!$BB$3))</f>
        <v>160</v>
      </c>
      <c r="U13" s="4">
        <f>IF(ISNUMBER(SEARCH("营",'21.04.01'!AC13)),(-$Y13+50*IF('21.04.01'!$AK13="是",'21.04.01'!$BB$4,'21.04.01'!$BB$3)),(VLOOKUP('21.04.01'!AC13,'21.04.01'!$AO$4:$AQ$55,2,FALSE))*IF('21.04.01'!$AK13="是",'21.04.01'!$BB$4,'21.04.01'!$BB$3))</f>
        <v>160</v>
      </c>
      <c r="V13" s="4">
        <f>IF(ISNUMBER(SEARCH("营",'21.04.01'!AD13)),(-$Y13+50*IF('21.04.01'!$AK13="是",'21.04.01'!$BB$4,'21.04.01'!$BB$3)),(VLOOKUP('21.04.01'!AD13,'21.04.01'!$AO$4:$AQ$55,2,FALSE))*IF('21.04.01'!$AK13="是",'21.04.01'!$BB$4,'21.04.01'!$BB$3))</f>
        <v>170</v>
      </c>
      <c r="W13" s="4">
        <f>IF(ISNUMBER(SEARCH("营",'21.04.01'!AE13)),(-$Y13+50*IF('21.04.01'!$AK13="是",'21.04.01'!$BB$4,'21.04.01'!$BB$3)),(VLOOKUP('21.04.01'!AE13,'21.04.01'!$AO$4:$AQ$55,2,FALSE))*IF('21.04.01'!$AK13="是",'21.04.01'!$BB$4,'21.04.01'!$BB$3))</f>
        <v>0</v>
      </c>
      <c r="X13" s="4">
        <f>IF(ISNUMBER(SEARCH("营",'21.04.01'!AF13)),(-$Y13+50*IF('21.04.01'!$AK13="是",'21.04.01'!$BB$4,'21.04.01'!$BB$3)),(VLOOKUP('21.04.01'!AF13,'21.04.01'!$AO$4:$AQ$55,2,FALSE))*IF('21.04.01'!$AK13="是",'21.04.01'!$BB$4,'21.04.01'!$BB$3))</f>
        <v>0</v>
      </c>
      <c r="Y13" s="62">
        <v>300</v>
      </c>
      <c r="Z13" s="94">
        <v>45921</v>
      </c>
    </row>
    <row r="14" spans="1:26">
      <c r="A14" s="4">
        <f>IF(ISNUMBER(SEARCH("营",'21.04.01'!I14)),(-$Y14+50*IF('21.04.01'!$AK14="是",'21.04.01'!$BB$4,'21.04.01'!$BB$3)),(VLOOKUP('21.04.01'!I14,'21.04.01'!$AO$4:$AQ$55,2,FALSE))*IF('21.04.01'!$AK14="是",'21.04.01'!$BB$4,'21.04.01'!$BB$3))</f>
        <v>170</v>
      </c>
      <c r="B14" s="4">
        <f>IF(ISNUMBER(SEARCH("营",'21.04.01'!J14)),(-$Y14+50*IF('21.04.01'!$AK14="是",'21.04.01'!$BB$4,'21.04.01'!$BB$3)),(VLOOKUP('21.04.01'!J14,'21.04.01'!$AO$4:$AQ$55,2,FALSE))*IF('21.04.01'!$AK14="是",'21.04.01'!$BB$4,'21.04.01'!$BB$3))</f>
        <v>170</v>
      </c>
      <c r="C14" s="4">
        <f>IF(ISNUMBER(SEARCH("营",'21.04.01'!K14)),(-$Y14+50*IF('21.04.01'!$AK14="是",'21.04.01'!$BB$4,'21.04.01'!$BB$3)),(VLOOKUP('21.04.01'!K14,'21.04.01'!$AO$4:$AQ$55,2,FALSE))*IF('21.04.01'!$AK14="是",'21.04.01'!$BB$4,'21.04.01'!$BB$3))</f>
        <v>170</v>
      </c>
      <c r="D14" s="4">
        <f>IF(ISNUMBER(SEARCH("营",'21.04.01'!L14)),(-$Y14+50*IF('21.04.01'!$AK14="是",'21.04.01'!$BB$4,'21.04.01'!$BB$3)),(VLOOKUP('21.04.01'!L14,'21.04.01'!$AO$4:$AQ$55,2,FALSE))*IF('21.04.01'!$AK14="是",'21.04.01'!$BB$4,'21.04.01'!$BB$3))</f>
        <v>170</v>
      </c>
      <c r="E14" s="4">
        <f>IF(ISNUMBER(SEARCH("营",'21.04.01'!M14)),(-$Y14+50*IF('21.04.01'!$AK14="是",'21.04.01'!$BB$4,'21.04.01'!$BB$3)),(VLOOKUP('21.04.01'!M14,'21.04.01'!$AO$4:$AQ$55,2,FALSE))*IF('21.04.01'!$AK14="是",'21.04.01'!$BB$4,'21.04.01'!$BB$3))</f>
        <v>170</v>
      </c>
      <c r="F14" s="4">
        <f>IF(ISNUMBER(SEARCH("营",'21.04.01'!N14)),(-$Y14+50*IF('21.04.01'!$AK14="是",'21.04.01'!$BB$4,'21.04.01'!$BB$3)),(VLOOKUP('21.04.01'!N14,'21.04.01'!$AO$4:$AQ$55,2,FALSE))*IF('21.04.01'!$AK14="是",'21.04.01'!$BB$4,'21.04.01'!$BB$3))</f>
        <v>150</v>
      </c>
      <c r="G14" s="4">
        <f>IF(ISNUMBER(SEARCH("营",'21.04.01'!O14)),(-$Y14+50*IF('21.04.01'!$AK14="是",'21.04.01'!$BB$4,'21.04.01'!$BB$3)),(VLOOKUP('21.04.01'!O14,'21.04.01'!$AO$4:$AQ$55,2,FALSE))*IF('21.04.01'!$AK14="是",'21.04.01'!$BB$4,'21.04.01'!$BB$3))</f>
        <v>0</v>
      </c>
      <c r="H14" s="4">
        <f>IF(ISNUMBER(SEARCH("营",'21.04.01'!P14)),(-$Y14+50*IF('21.04.01'!$AK14="是",'21.04.01'!$BB$4,'21.04.01'!$BB$3)),(VLOOKUP('21.04.01'!P14,'21.04.01'!$AO$4:$AQ$55,2,FALSE))*IF('21.04.01'!$AK14="是",'21.04.01'!$BB$4,'21.04.01'!$BB$3))</f>
        <v>0</v>
      </c>
      <c r="I14" s="4">
        <f>IF(ISNUMBER(SEARCH("营",'21.04.01'!Q14)),(-$Y14+50*IF('21.04.01'!$AK14="是",'21.04.01'!$BB$4,'21.04.01'!$BB$3)),(VLOOKUP('21.04.01'!Q14,'21.04.01'!$AO$4:$AQ$55,2,FALSE))*IF('21.04.01'!$AK14="是",'21.04.01'!$BB$4,'21.04.01'!$BB$3))</f>
        <v>170</v>
      </c>
      <c r="J14" s="4">
        <f>IF(ISNUMBER(SEARCH("营",'21.04.01'!R14)),(-$Y14+50*IF('21.04.01'!$AK14="是",'21.04.01'!$BB$4,'21.04.01'!$BB$3)),(VLOOKUP('21.04.01'!R14,'21.04.01'!$AO$4:$AQ$55,2,FALSE))*IF('21.04.01'!$AK14="是",'21.04.01'!$BB$4,'21.04.01'!$BB$3))</f>
        <v>150</v>
      </c>
      <c r="K14" s="4">
        <f>IF(ISNUMBER(SEARCH("营",'21.04.01'!S14)),(-$Y14+50*IF('21.04.01'!$AK14="是",'21.04.01'!$BB$4,'21.04.01'!$BB$3)),(VLOOKUP('21.04.01'!S14,'21.04.01'!$AO$4:$AQ$55,2,FALSE))*IF('21.04.01'!$AK14="是",'21.04.01'!$BB$4,'21.04.01'!$BB$3))</f>
        <v>170</v>
      </c>
      <c r="L14" s="4">
        <f>IF(ISNUMBER(SEARCH("营",'21.04.01'!T14)),(-$Y14+50*IF('21.04.01'!$AK14="是",'21.04.01'!$BB$4,'21.04.01'!$BB$3)),(VLOOKUP('21.04.01'!T14,'21.04.01'!$AO$4:$AQ$55,2,FALSE))*IF('21.04.01'!$AK14="是",'21.04.01'!$BB$4,'21.04.01'!$BB$3))</f>
        <v>170</v>
      </c>
      <c r="M14" s="4">
        <f>IF(ISNUMBER(SEARCH("营",'21.04.01'!U14)),(-$Y14+50*IF('21.04.01'!$AK14="是",'21.04.01'!$BB$4,'21.04.01'!$BB$3)),(VLOOKUP('21.04.01'!U14,'21.04.01'!$AO$4:$AQ$55,2,FALSE))*IF('21.04.01'!$AK14="是",'21.04.01'!$BB$4,'21.04.01'!$BB$3))</f>
        <v>170</v>
      </c>
      <c r="N14" s="4">
        <f>IF(ISNUMBER(SEARCH("营",'21.04.01'!V14)),(-$Y14+50*IF('21.04.01'!$AK14="是",'21.04.01'!$BB$4,'21.04.01'!$BB$3)),(VLOOKUP('21.04.01'!V14,'21.04.01'!$AO$4:$AQ$55,2,FALSE))*IF('21.04.01'!$AK14="是",'21.04.01'!$BB$4,'21.04.01'!$BB$3))</f>
        <v>170</v>
      </c>
      <c r="O14" s="4">
        <f>IF(ISNUMBER(SEARCH("营",'21.04.01'!W14)),(-$Y14+50*IF('21.04.01'!$AK14="是",'21.04.01'!$BB$4,'21.04.01'!$BB$3)),(VLOOKUP('21.04.01'!W14,'21.04.01'!$AO$4:$AQ$55,2,FALSE))*IF('21.04.01'!$AK14="是",'21.04.01'!$BB$4,'21.04.01'!$BB$3))</f>
        <v>0</v>
      </c>
      <c r="P14" s="4">
        <f>IF(ISNUMBER(SEARCH("营",'21.04.01'!X14)),(-$Y14+50*IF('21.04.01'!$AK14="是",'21.04.01'!$BB$4,'21.04.01'!$BB$3)),(VLOOKUP('21.04.01'!X14,'21.04.01'!$AO$4:$AQ$55,2,FALSE))*IF('21.04.01'!$AK14="是",'21.04.01'!$BB$4,'21.04.01'!$BB$3))</f>
        <v>0</v>
      </c>
      <c r="Q14" s="4">
        <f>IF(ISNUMBER(SEARCH("营",'21.04.01'!Y14)),(-$Y14+50*IF('21.04.01'!$AK14="是",'21.04.01'!$BB$4,'21.04.01'!$BB$3)),(VLOOKUP('21.04.01'!Y14,'21.04.01'!$AO$4:$AQ$55,2,FALSE))*IF('21.04.01'!$AK14="是",'21.04.01'!$BB$4,'21.04.01'!$BB$3))</f>
        <v>170</v>
      </c>
      <c r="R14" s="4">
        <f>IF(ISNUMBER(SEARCH("营",'21.04.01'!Z14)),(-$Y14+50*IF('21.04.01'!$AK14="是",'21.04.01'!$BB$4,'21.04.01'!$BB$3)),(VLOOKUP('21.04.01'!Z14,'21.04.01'!$AO$4:$AQ$55,2,FALSE))*IF('21.04.01'!$AK14="是",'21.04.01'!$BB$4,'21.04.01'!$BB$3))</f>
        <v>50</v>
      </c>
      <c r="S14" s="4">
        <f>IF(ISNUMBER(SEARCH("营",'21.04.01'!AA14)),(-$Y14+50*IF('21.04.01'!$AK14="是",'21.04.01'!$BB$4,'21.04.01'!$BB$3)),(VLOOKUP('21.04.01'!AA14,'21.04.01'!$AO$4:$AQ$55,2,FALSE))*IF('21.04.01'!$AK14="是",'21.04.01'!$BB$4,'21.04.01'!$BB$3))</f>
        <v>170</v>
      </c>
      <c r="T14" s="4">
        <f>IF(ISNUMBER(SEARCH("营",'21.04.01'!AB14)),(-$Y14+50*IF('21.04.01'!$AK14="是",'21.04.01'!$BB$4,'21.04.01'!$BB$3)),(VLOOKUP('21.04.01'!AB14,'21.04.01'!$AO$4:$AQ$55,2,FALSE))*IF('21.04.01'!$AK14="是",'21.04.01'!$BB$4,'21.04.01'!$BB$3))</f>
        <v>150</v>
      </c>
      <c r="U14" s="4">
        <f>IF(ISNUMBER(SEARCH("营",'21.04.01'!AC14)),(-$Y14+50*IF('21.04.01'!$AK14="是",'21.04.01'!$BB$4,'21.04.01'!$BB$3)),(VLOOKUP('21.04.01'!AC14,'21.04.01'!$AO$4:$AQ$55,2,FALSE))*IF('21.04.01'!$AK14="是",'21.04.01'!$BB$4,'21.04.01'!$BB$3))</f>
        <v>170</v>
      </c>
      <c r="V14" s="4">
        <f>IF(ISNUMBER(SEARCH("营",'21.04.01'!AD14)),(-$Y14+50*IF('21.04.01'!$AK14="是",'21.04.01'!$BB$4,'21.04.01'!$BB$3)),(VLOOKUP('21.04.01'!AD14,'21.04.01'!$AO$4:$AQ$55,2,FALSE))*IF('21.04.01'!$AK14="是",'21.04.01'!$BB$4,'21.04.01'!$BB$3))</f>
        <v>250</v>
      </c>
      <c r="W14" s="4">
        <f>IF(ISNUMBER(SEARCH("营",'21.04.01'!AE14)),(-$Y14+50*IF('21.04.01'!$AK14="是",'21.04.01'!$BB$4,'21.04.01'!$BB$3)),(VLOOKUP('21.04.01'!AE14,'21.04.01'!$AO$4:$AQ$55,2,FALSE))*IF('21.04.01'!$AK14="是",'21.04.01'!$BB$4,'21.04.01'!$BB$3))</f>
        <v>0</v>
      </c>
      <c r="X14" s="4">
        <f>IF(ISNUMBER(SEARCH("营",'21.04.01'!AF14)),(-$Y14+50*IF('21.04.01'!$AK14="是",'21.04.01'!$BB$4,'21.04.01'!$BB$3)),(VLOOKUP('21.04.01'!AF14,'21.04.01'!$AO$4:$AQ$55,2,FALSE))*IF('21.04.01'!$AK14="是",'21.04.01'!$BB$4,'21.04.01'!$BB$3))</f>
        <v>0</v>
      </c>
      <c r="Y14" s="64">
        <v>250</v>
      </c>
      <c r="Z14" s="87">
        <v>45922</v>
      </c>
    </row>
    <row r="15" spans="1:26">
      <c r="A15" s="4">
        <f>IF(ISNUMBER(SEARCH("营",'21.04.01'!I15)),(-$Y15+50*IF('21.04.01'!$AK15="是",'21.04.01'!$BB$4,'21.04.01'!$BB$3)),(VLOOKUP('21.04.01'!I15,'21.04.01'!$AO$4:$AQ$55,2,FALSE))*IF('21.04.01'!$AK15="是",'21.04.01'!$BB$4,'21.04.01'!$BB$3))</f>
        <v>180</v>
      </c>
      <c r="B15" s="4">
        <f>IF(ISNUMBER(SEARCH("营",'21.04.01'!J15)),(-$Y15+50*IF('21.04.01'!$AK15="是",'21.04.01'!$BB$4,'21.04.01'!$BB$3)),(VLOOKUP('21.04.01'!J15,'21.04.01'!$AO$4:$AQ$55,2,FALSE))*IF('21.04.01'!$AK15="是",'21.04.01'!$BB$4,'21.04.01'!$BB$3))</f>
        <v>180</v>
      </c>
      <c r="C15" s="4">
        <f>IF(ISNUMBER(SEARCH("营",'21.04.01'!K15)),(-$Y15+50*IF('21.04.01'!$AK15="是",'21.04.01'!$BB$4,'21.04.01'!$BB$3)),(VLOOKUP('21.04.01'!K15,'21.04.01'!$AO$4:$AQ$55,2,FALSE))*IF('21.04.01'!$AK15="是",'21.04.01'!$BB$4,'21.04.01'!$BB$3))</f>
        <v>50</v>
      </c>
      <c r="D15" s="4">
        <f>IF(ISNUMBER(SEARCH("营",'21.04.01'!L15)),(-$Y15+50*IF('21.04.01'!$AK15="是",'21.04.01'!$BB$4,'21.04.01'!$BB$3)),(VLOOKUP('21.04.01'!L15,'21.04.01'!$AO$4:$AQ$55,2,FALSE))*IF('21.04.01'!$AK15="是",'21.04.01'!$BB$4,'21.04.01'!$BB$3))</f>
        <v>180</v>
      </c>
      <c r="E15" s="4">
        <f>IF(ISNUMBER(SEARCH("营",'21.04.01'!M15)),(-$Y15+50*IF('21.04.01'!$AK15="是",'21.04.01'!$BB$4,'21.04.01'!$BB$3)),(VLOOKUP('21.04.01'!M15,'21.04.01'!$AO$4:$AQ$55,2,FALSE))*IF('21.04.01'!$AK15="是",'21.04.01'!$BB$4,'21.04.01'!$BB$3))</f>
        <v>150</v>
      </c>
      <c r="F15" s="4">
        <f>IF(ISNUMBER(SEARCH("营",'21.04.01'!N15)),(-$Y15+50*IF('21.04.01'!$AK15="是",'21.04.01'!$BB$4,'21.04.01'!$BB$3)),(VLOOKUP('21.04.01'!N15,'21.04.01'!$AO$4:$AQ$55,2,FALSE))*IF('21.04.01'!$AK15="是",'21.04.01'!$BB$4,'21.04.01'!$BB$3))</f>
        <v>170</v>
      </c>
      <c r="G15" s="4">
        <f>IF(ISNUMBER(SEARCH("营",'21.04.01'!O15)),(-$Y15+50*IF('21.04.01'!$AK15="是",'21.04.01'!$BB$4,'21.04.01'!$BB$3)),(VLOOKUP('21.04.01'!O15,'21.04.01'!$AO$4:$AQ$55,2,FALSE))*IF('21.04.01'!$AK15="是",'21.04.01'!$BB$4,'21.04.01'!$BB$3))</f>
        <v>0</v>
      </c>
      <c r="H15" s="4">
        <f>IF(ISNUMBER(SEARCH("营",'21.04.01'!P15)),(-$Y15+50*IF('21.04.01'!$AK15="是",'21.04.01'!$BB$4,'21.04.01'!$BB$3)),(VLOOKUP('21.04.01'!P15,'21.04.01'!$AO$4:$AQ$55,2,FALSE))*IF('21.04.01'!$AK15="是",'21.04.01'!$BB$4,'21.04.01'!$BB$3))</f>
        <v>0</v>
      </c>
      <c r="I15" s="4">
        <f>IF(ISNUMBER(SEARCH("营",'21.04.01'!Q15)),(-$Y15+50*IF('21.04.01'!$AK15="是",'21.04.01'!$BB$4,'21.04.01'!$BB$3)),(VLOOKUP('21.04.01'!Q15,'21.04.01'!$AO$4:$AQ$55,2,FALSE))*IF('21.04.01'!$AK15="是",'21.04.01'!$BB$4,'21.04.01'!$BB$3))</f>
        <v>150</v>
      </c>
      <c r="J15" s="4">
        <f>IF(ISNUMBER(SEARCH("营",'21.04.01'!R15)),(-$Y15+50*IF('21.04.01'!$AK15="是",'21.04.01'!$BB$4,'21.04.01'!$BB$3)),(VLOOKUP('21.04.01'!R15,'21.04.01'!$AO$4:$AQ$55,2,FALSE))*IF('21.04.01'!$AK15="是",'21.04.01'!$BB$4,'21.04.01'!$BB$3))</f>
        <v>170</v>
      </c>
      <c r="K15" s="4">
        <f>IF(ISNUMBER(SEARCH("营",'21.04.01'!S15)),(-$Y15+50*IF('21.04.01'!$AK15="是",'21.04.01'!$BB$4,'21.04.01'!$BB$3)),(VLOOKUP('21.04.01'!S15,'21.04.01'!$AO$4:$AQ$55,2,FALSE))*IF('21.04.01'!$AK15="是",'21.04.01'!$BB$4,'21.04.01'!$BB$3))</f>
        <v>170</v>
      </c>
      <c r="L15" s="4">
        <f>IF(ISNUMBER(SEARCH("营",'21.04.01'!T15)),(-$Y15+50*IF('21.04.01'!$AK15="是",'21.04.01'!$BB$4,'21.04.01'!$BB$3)),(VLOOKUP('21.04.01'!T15,'21.04.01'!$AO$4:$AQ$55,2,FALSE))*IF('21.04.01'!$AK15="是",'21.04.01'!$BB$4,'21.04.01'!$BB$3))</f>
        <v>0</v>
      </c>
      <c r="M15" s="4">
        <f>IF(ISNUMBER(SEARCH("营",'21.04.01'!U15)),(-$Y15+50*IF('21.04.01'!$AK15="是",'21.04.01'!$BB$4,'21.04.01'!$BB$3)),(VLOOKUP('21.04.01'!U15,'21.04.01'!$AO$4:$AQ$55,2,FALSE))*IF('21.04.01'!$AK15="是",'21.04.01'!$BB$4,'21.04.01'!$BB$3))</f>
        <v>0</v>
      </c>
      <c r="N15" s="4">
        <f>IF(ISNUMBER(SEARCH("营",'21.04.01'!V15)),(-$Y15+50*IF('21.04.01'!$AK15="是",'21.04.01'!$BB$4,'21.04.01'!$BB$3)),(VLOOKUP('21.04.01'!V15,'21.04.01'!$AO$4:$AQ$55,2,FALSE))*IF('21.04.01'!$AK15="是",'21.04.01'!$BB$4,'21.04.01'!$BB$3))</f>
        <v>0</v>
      </c>
      <c r="O15" s="4">
        <f>IF(ISNUMBER(SEARCH("营",'21.04.01'!W15)),(-$Y15+50*IF('21.04.01'!$AK15="是",'21.04.01'!$BB$4,'21.04.01'!$BB$3)),(VLOOKUP('21.04.01'!W15,'21.04.01'!$AO$4:$AQ$55,2,FALSE))*IF('21.04.01'!$AK15="是",'21.04.01'!$BB$4,'21.04.01'!$BB$3))</f>
        <v>0</v>
      </c>
      <c r="P15" s="4">
        <f>IF(ISNUMBER(SEARCH("营",'21.04.01'!X15)),(-$Y15+50*IF('21.04.01'!$AK15="是",'21.04.01'!$BB$4,'21.04.01'!$BB$3)),(VLOOKUP('21.04.01'!X15,'21.04.01'!$AO$4:$AQ$55,2,FALSE))*IF('21.04.01'!$AK15="是",'21.04.01'!$BB$4,'21.04.01'!$BB$3))</f>
        <v>0</v>
      </c>
      <c r="Q15" s="4">
        <f>IF(ISNUMBER(SEARCH("营",'21.04.01'!Y15)),(-$Y15+50*IF('21.04.01'!$AK15="是",'21.04.01'!$BB$4,'21.04.01'!$BB$3)),(VLOOKUP('21.04.01'!Y15,'21.04.01'!$AO$4:$AQ$55,2,FALSE))*IF('21.04.01'!$AK15="是",'21.04.01'!$BB$4,'21.04.01'!$BB$3))</f>
        <v>0</v>
      </c>
      <c r="R15" s="4">
        <f>IF(ISNUMBER(SEARCH("营",'21.04.01'!Z15)),(-$Y15+50*IF('21.04.01'!$AK15="是",'21.04.01'!$BB$4,'21.04.01'!$BB$3)),(VLOOKUP('21.04.01'!Z15,'21.04.01'!$AO$4:$AQ$55,2,FALSE))*IF('21.04.01'!$AK15="是",'21.04.01'!$BB$4,'21.04.01'!$BB$3))</f>
        <v>0</v>
      </c>
      <c r="S15" s="4">
        <f>IF(ISNUMBER(SEARCH("营",'21.04.01'!AA15)),(-$Y15+50*IF('21.04.01'!$AK15="是",'21.04.01'!$BB$4,'21.04.01'!$BB$3)),(VLOOKUP('21.04.01'!AA15,'21.04.01'!$AO$4:$AQ$55,2,FALSE))*IF('21.04.01'!$AK15="是",'21.04.01'!$BB$4,'21.04.01'!$BB$3))</f>
        <v>0</v>
      </c>
      <c r="T15" s="4">
        <f>IF(ISNUMBER(SEARCH("营",'21.04.01'!AB15)),(-$Y15+50*IF('21.04.01'!$AK15="是",'21.04.01'!$BB$4,'21.04.01'!$BB$3)),(VLOOKUP('21.04.01'!AB15,'21.04.01'!$AO$4:$AQ$55,2,FALSE))*IF('21.04.01'!$AK15="是",'21.04.01'!$BB$4,'21.04.01'!$BB$3))</f>
        <v>0</v>
      </c>
      <c r="U15" s="4">
        <f>IF(ISNUMBER(SEARCH("营",'21.04.01'!AC15)),(-$Y15+50*IF('21.04.01'!$AK15="是",'21.04.01'!$BB$4,'21.04.01'!$BB$3)),(VLOOKUP('21.04.01'!AC15,'21.04.01'!$AO$4:$AQ$55,2,FALSE))*IF('21.04.01'!$AK15="是",'21.04.01'!$BB$4,'21.04.01'!$BB$3))</f>
        <v>0</v>
      </c>
      <c r="V15" s="4">
        <f>IF(ISNUMBER(SEARCH("营",'21.04.01'!AD15)),(-$Y15+50*IF('21.04.01'!$AK15="是",'21.04.01'!$BB$4,'21.04.01'!$BB$3)),(VLOOKUP('21.04.01'!AD15,'21.04.01'!$AO$4:$AQ$55,2,FALSE))*IF('21.04.01'!$AK15="是",'21.04.01'!$BB$4,'21.04.01'!$BB$3))</f>
        <v>0</v>
      </c>
      <c r="W15" s="4">
        <f>IF(ISNUMBER(SEARCH("营",'21.04.01'!AE15)),(-$Y15+50*IF('21.04.01'!$AK15="是",'21.04.01'!$BB$4,'21.04.01'!$BB$3)),(VLOOKUP('21.04.01'!AE15,'21.04.01'!$AO$4:$AQ$55,2,FALSE))*IF('21.04.01'!$AK15="是",'21.04.01'!$BB$4,'21.04.01'!$BB$3))</f>
        <v>0</v>
      </c>
      <c r="X15" s="4">
        <f>IF(ISNUMBER(SEARCH("营",'21.04.01'!AF15)),(-$Y15+50*IF('21.04.01'!$AK15="是",'21.04.01'!$BB$4,'21.04.01'!$BB$3)),(VLOOKUP('21.04.01'!AF15,'21.04.01'!$AO$4:$AQ$55,2,FALSE))*IF('21.04.01'!$AK15="是",'21.04.01'!$BB$4,'21.04.01'!$BB$3))</f>
        <v>0</v>
      </c>
      <c r="Y15" s="64">
        <v>250</v>
      </c>
      <c r="Z15" s="87">
        <v>45923</v>
      </c>
    </row>
    <row r="16" spans="1:26">
      <c r="A16" s="4">
        <f>IF(ISNUMBER(SEARCH("营",'21.04.01'!I16)),(-$Y16+50*IF('21.04.01'!$AK16="是",'21.04.01'!$BB$4,'21.04.01'!$BB$3)),(VLOOKUP('21.04.01'!I16,'21.04.01'!$AO$4:$AQ$55,2,FALSE))*IF('21.04.01'!$AK16="是",'21.04.01'!$BB$4,'21.04.01'!$BB$3))</f>
        <v>170</v>
      </c>
      <c r="B16" s="4">
        <f>IF(ISNUMBER(SEARCH("营",'21.04.01'!J16)),(-$Y16+50*IF('21.04.01'!$AK16="是",'21.04.01'!$BB$4,'21.04.01'!$BB$3)),(VLOOKUP('21.04.01'!J16,'21.04.01'!$AO$4:$AQ$55,2,FALSE))*IF('21.04.01'!$AK16="是",'21.04.01'!$BB$4,'21.04.01'!$BB$3))</f>
        <v>170</v>
      </c>
      <c r="C16" s="4">
        <f>IF(ISNUMBER(SEARCH("营",'21.04.01'!K16)),(-$Y16+50*IF('21.04.01'!$AK16="是",'21.04.01'!$BB$4,'21.04.01'!$BB$3)),(VLOOKUP('21.04.01'!K16,'21.04.01'!$AO$4:$AQ$55,2,FALSE))*IF('21.04.01'!$AK16="是",'21.04.01'!$BB$4,'21.04.01'!$BB$3))</f>
        <v>170</v>
      </c>
      <c r="D16" s="4">
        <f>IF(ISNUMBER(SEARCH("营",'21.04.01'!L16)),(-$Y16+50*IF('21.04.01'!$AK16="是",'21.04.01'!$BB$4,'21.04.01'!$BB$3)),(VLOOKUP('21.04.01'!L16,'21.04.01'!$AO$4:$AQ$55,2,FALSE))*IF('21.04.01'!$AK16="是",'21.04.01'!$BB$4,'21.04.01'!$BB$3))</f>
        <v>170</v>
      </c>
      <c r="E16" s="4">
        <f>IF(ISNUMBER(SEARCH("营",'21.04.01'!M16)),(-$Y16+50*IF('21.04.01'!$AK16="是",'21.04.01'!$BB$4,'21.04.01'!$BB$3)),(VLOOKUP('21.04.01'!M16,'21.04.01'!$AO$4:$AQ$55,2,FALSE))*IF('21.04.01'!$AK16="是",'21.04.01'!$BB$4,'21.04.01'!$BB$3))</f>
        <v>-200</v>
      </c>
      <c r="F16" s="4">
        <f>IF(ISNUMBER(SEARCH("营",'21.04.01'!N16)),(-$Y16+50*IF('21.04.01'!$AK16="是",'21.04.01'!$BB$4,'21.04.01'!$BB$3)),(VLOOKUP('21.04.01'!N16,'21.04.01'!$AO$4:$AQ$55,2,FALSE))*IF('21.04.01'!$AK16="是",'21.04.01'!$BB$4,'21.04.01'!$BB$3))</f>
        <v>170</v>
      </c>
      <c r="G16" s="4">
        <f>IF(ISNUMBER(SEARCH("营",'21.04.01'!O16)),(-$Y16+50*IF('21.04.01'!$AK16="是",'21.04.01'!$BB$4,'21.04.01'!$BB$3)),(VLOOKUP('21.04.01'!O16,'21.04.01'!$AO$4:$AQ$55,2,FALSE))*IF('21.04.01'!$AK16="是",'21.04.01'!$BB$4,'21.04.01'!$BB$3))</f>
        <v>170</v>
      </c>
      <c r="H16" s="4">
        <f>IF(ISNUMBER(SEARCH("营",'21.04.01'!P16)),(-$Y16+50*IF('21.04.01'!$AK16="是",'21.04.01'!$BB$4,'21.04.01'!$BB$3)),(VLOOKUP('21.04.01'!P16,'21.04.01'!$AO$4:$AQ$55,2,FALSE))*IF('21.04.01'!$AK16="是",'21.04.01'!$BB$4,'21.04.01'!$BB$3))</f>
        <v>170</v>
      </c>
      <c r="I16" s="4">
        <f>IF(ISNUMBER(SEARCH("营",'21.04.01'!Q16)),(-$Y16+50*IF('21.04.01'!$AK16="是",'21.04.01'!$BB$4,'21.04.01'!$BB$3)),(VLOOKUP('21.04.01'!Q16,'21.04.01'!$AO$4:$AQ$55,2,FALSE))*IF('21.04.01'!$AK16="是",'21.04.01'!$BB$4,'21.04.01'!$BB$3))</f>
        <v>0</v>
      </c>
      <c r="J16" s="4">
        <f>IF(ISNUMBER(SEARCH("营",'21.04.01'!R16)),(-$Y16+50*IF('21.04.01'!$AK16="是",'21.04.01'!$BB$4,'21.04.01'!$BB$3)),(VLOOKUP('21.04.01'!R16,'21.04.01'!$AO$4:$AQ$55,2,FALSE))*IF('21.04.01'!$AK16="是",'21.04.01'!$BB$4,'21.04.01'!$BB$3))</f>
        <v>0</v>
      </c>
      <c r="K16" s="4">
        <f>IF(ISNUMBER(SEARCH("营",'21.04.01'!S16)),(-$Y16+50*IF('21.04.01'!$AK16="是",'21.04.01'!$BB$4,'21.04.01'!$BB$3)),(VLOOKUP('21.04.01'!S16,'21.04.01'!$AO$4:$AQ$55,2,FALSE))*IF('21.04.01'!$AK16="是",'21.04.01'!$BB$4,'21.04.01'!$BB$3))</f>
        <v>0</v>
      </c>
      <c r="L16" s="4">
        <f>IF(ISNUMBER(SEARCH("营",'21.04.01'!T16)),(-$Y16+50*IF('21.04.01'!$AK16="是",'21.04.01'!$BB$4,'21.04.01'!$BB$3)),(VLOOKUP('21.04.01'!T16,'21.04.01'!$AO$4:$AQ$55,2,FALSE))*IF('21.04.01'!$AK16="是",'21.04.01'!$BB$4,'21.04.01'!$BB$3))</f>
        <v>0</v>
      </c>
      <c r="M16" s="4">
        <f>IF(ISNUMBER(SEARCH("营",'21.04.01'!U16)),(-$Y16+50*IF('21.04.01'!$AK16="是",'21.04.01'!$BB$4,'21.04.01'!$BB$3)),(VLOOKUP('21.04.01'!U16,'21.04.01'!$AO$4:$AQ$55,2,FALSE))*IF('21.04.01'!$AK16="是",'21.04.01'!$BB$4,'21.04.01'!$BB$3))</f>
        <v>0</v>
      </c>
      <c r="N16" s="4">
        <f>IF(ISNUMBER(SEARCH("营",'21.04.01'!V16)),(-$Y16+50*IF('21.04.01'!$AK16="是",'21.04.01'!$BB$4,'21.04.01'!$BB$3)),(VLOOKUP('21.04.01'!V16,'21.04.01'!$AO$4:$AQ$55,2,FALSE))*IF('21.04.01'!$AK16="是",'21.04.01'!$BB$4,'21.04.01'!$BB$3))</f>
        <v>0</v>
      </c>
      <c r="O16" s="4">
        <f>IF(ISNUMBER(SEARCH("营",'21.04.01'!W16)),(-$Y16+50*IF('21.04.01'!$AK16="是",'21.04.01'!$BB$4,'21.04.01'!$BB$3)),(VLOOKUP('21.04.01'!W16,'21.04.01'!$AO$4:$AQ$55,2,FALSE))*IF('21.04.01'!$AK16="是",'21.04.01'!$BB$4,'21.04.01'!$BB$3))</f>
        <v>0</v>
      </c>
      <c r="P16" s="4">
        <f>IF(ISNUMBER(SEARCH("营",'21.04.01'!X16)),(-$Y16+50*IF('21.04.01'!$AK16="是",'21.04.01'!$BB$4,'21.04.01'!$BB$3)),(VLOOKUP('21.04.01'!X16,'21.04.01'!$AO$4:$AQ$55,2,FALSE))*IF('21.04.01'!$AK16="是",'21.04.01'!$BB$4,'21.04.01'!$BB$3))</f>
        <v>0</v>
      </c>
      <c r="Q16" s="4">
        <f>IF(ISNUMBER(SEARCH("营",'21.04.01'!Y16)),(-$Y16+50*IF('21.04.01'!$AK16="是",'21.04.01'!$BB$4,'21.04.01'!$BB$3)),(VLOOKUP('21.04.01'!Y16,'21.04.01'!$AO$4:$AQ$55,2,FALSE))*IF('21.04.01'!$AK16="是",'21.04.01'!$BB$4,'21.04.01'!$BB$3))</f>
        <v>0</v>
      </c>
      <c r="R16" s="4">
        <f>IF(ISNUMBER(SEARCH("营",'21.04.01'!Z16)),(-$Y16+50*IF('21.04.01'!$AK16="是",'21.04.01'!$BB$4,'21.04.01'!$BB$3)),(VLOOKUP('21.04.01'!Z16,'21.04.01'!$AO$4:$AQ$55,2,FALSE))*IF('21.04.01'!$AK16="是",'21.04.01'!$BB$4,'21.04.01'!$BB$3))</f>
        <v>0</v>
      </c>
      <c r="S16" s="4">
        <f>IF(ISNUMBER(SEARCH("营",'21.04.01'!AA16)),(-$Y16+50*IF('21.04.01'!$AK16="是",'21.04.01'!$BB$4,'21.04.01'!$BB$3)),(VLOOKUP('21.04.01'!AA16,'21.04.01'!$AO$4:$AQ$55,2,FALSE))*IF('21.04.01'!$AK16="是",'21.04.01'!$BB$4,'21.04.01'!$BB$3))</f>
        <v>0</v>
      </c>
      <c r="T16" s="4">
        <f>IF(ISNUMBER(SEARCH("营",'21.04.01'!AB16)),(-$Y16+50*IF('21.04.01'!$AK16="是",'21.04.01'!$BB$4,'21.04.01'!$BB$3)),(VLOOKUP('21.04.01'!AB16,'21.04.01'!$AO$4:$AQ$55,2,FALSE))*IF('21.04.01'!$AK16="是",'21.04.01'!$BB$4,'21.04.01'!$BB$3))</f>
        <v>0</v>
      </c>
      <c r="U16" s="4">
        <f>IF(ISNUMBER(SEARCH("营",'21.04.01'!AC16)),(-$Y16+50*IF('21.04.01'!$AK16="是",'21.04.01'!$BB$4,'21.04.01'!$BB$3)),(VLOOKUP('21.04.01'!AC16,'21.04.01'!$AO$4:$AQ$55,2,FALSE))*IF('21.04.01'!$AK16="是",'21.04.01'!$BB$4,'21.04.01'!$BB$3))</f>
        <v>0</v>
      </c>
      <c r="V16" s="4">
        <f>IF(ISNUMBER(SEARCH("营",'21.04.01'!AD16)),(-$Y16+50*IF('21.04.01'!$AK16="是",'21.04.01'!$BB$4,'21.04.01'!$BB$3)),(VLOOKUP('21.04.01'!AD16,'21.04.01'!$AO$4:$AQ$55,2,FALSE))*IF('21.04.01'!$AK16="是",'21.04.01'!$BB$4,'21.04.01'!$BB$3))</f>
        <v>0</v>
      </c>
      <c r="W16" s="4">
        <f>IF(ISNUMBER(SEARCH("营",'21.04.01'!AE16)),(-$Y16+50*IF('21.04.01'!$AK16="是",'21.04.01'!$BB$4,'21.04.01'!$BB$3)),(VLOOKUP('21.04.01'!AE16,'21.04.01'!$AO$4:$AQ$55,2,FALSE))*IF('21.04.01'!$AK16="是",'21.04.01'!$BB$4,'21.04.01'!$BB$3))</f>
        <v>0</v>
      </c>
      <c r="X16" s="4">
        <f>IF(ISNUMBER(SEARCH("营",'21.04.01'!AF16)),(-$Y16+50*IF('21.04.01'!$AK16="是",'21.04.01'!$BB$4,'21.04.01'!$BB$3)),(VLOOKUP('21.04.01'!AF16,'21.04.01'!$AO$4:$AQ$55,2,FALSE))*IF('21.04.01'!$AK16="是",'21.04.01'!$BB$4,'21.04.01'!$BB$3))</f>
        <v>0</v>
      </c>
      <c r="Y16" s="64">
        <v>250</v>
      </c>
      <c r="Z16" s="87">
        <v>45924</v>
      </c>
    </row>
    <row r="17" spans="1:26">
      <c r="A17" s="4">
        <f>IF(ISNUMBER(SEARCH("营",'21.04.01'!I17)),(-$Y17+50*IF('21.04.01'!$AK17="是",'21.04.01'!$BB$4,'21.04.01'!$BB$3)),(VLOOKUP('21.04.01'!I17,'21.04.01'!$AO$4:$AQ$55,2,FALSE))*IF('21.04.01'!$AK17="是",'21.04.01'!$BB$4,'21.04.01'!$BB$3))</f>
        <v>170</v>
      </c>
      <c r="B17" s="4">
        <f>IF(ISNUMBER(SEARCH("营",'21.04.01'!J17)),(-$Y17+50*IF('21.04.01'!$AK17="是",'21.04.01'!$BB$4,'21.04.01'!$BB$3)),(VLOOKUP('21.04.01'!J17,'21.04.01'!$AO$4:$AQ$55,2,FALSE))*IF('21.04.01'!$AK17="是",'21.04.01'!$BB$4,'21.04.01'!$BB$3))</f>
        <v>170</v>
      </c>
      <c r="C17" s="4">
        <f>IF(ISNUMBER(SEARCH("营",'21.04.01'!K17)),(-$Y17+50*IF('21.04.01'!$AK17="是",'21.04.01'!$BB$4,'21.04.01'!$BB$3)),(VLOOKUP('21.04.01'!K17,'21.04.01'!$AO$4:$AQ$55,2,FALSE))*IF('21.04.01'!$AK17="是",'21.04.01'!$BB$4,'21.04.01'!$BB$3))</f>
        <v>170</v>
      </c>
      <c r="D17" s="4">
        <f>IF(ISNUMBER(SEARCH("营",'21.04.01'!L17)),(-$Y17+50*IF('21.04.01'!$AK17="是",'21.04.01'!$BB$4,'21.04.01'!$BB$3)),(VLOOKUP('21.04.01'!L17,'21.04.01'!$AO$4:$AQ$55,2,FALSE))*IF('21.04.01'!$AK17="是",'21.04.01'!$BB$4,'21.04.01'!$BB$3))</f>
        <v>170</v>
      </c>
      <c r="E17" s="4">
        <f>IF(ISNUMBER(SEARCH("营",'21.04.01'!M17)),(-$Y17+50*IF('21.04.01'!$AK17="是",'21.04.01'!$BB$4,'21.04.01'!$BB$3)),(VLOOKUP('21.04.01'!M17,'21.04.01'!$AO$4:$AQ$55,2,FALSE))*IF('21.04.01'!$AK17="是",'21.04.01'!$BB$4,'21.04.01'!$BB$3))</f>
        <v>0</v>
      </c>
      <c r="F17" s="4">
        <f>IF(ISNUMBER(SEARCH("营",'21.04.01'!N17)),(-$Y17+50*IF('21.04.01'!$AK17="是",'21.04.01'!$BB$4,'21.04.01'!$BB$3)),(VLOOKUP('21.04.01'!N17,'21.04.01'!$AO$4:$AQ$55,2,FALSE))*IF('21.04.01'!$AK17="是",'21.04.01'!$BB$4,'21.04.01'!$BB$3))</f>
        <v>0</v>
      </c>
      <c r="G17" s="4">
        <f>IF(ISNUMBER(SEARCH("营",'21.04.01'!O17)),(-$Y17+50*IF('21.04.01'!$AK17="是",'21.04.01'!$BB$4,'21.04.01'!$BB$3)),(VLOOKUP('21.04.01'!O17,'21.04.01'!$AO$4:$AQ$55,2,FALSE))*IF('21.04.01'!$AK17="是",'21.04.01'!$BB$4,'21.04.01'!$BB$3))</f>
        <v>0</v>
      </c>
      <c r="H17" s="4">
        <f>IF(ISNUMBER(SEARCH("营",'21.04.01'!P17)),(-$Y17+50*IF('21.04.01'!$AK17="是",'21.04.01'!$BB$4,'21.04.01'!$BB$3)),(VLOOKUP('21.04.01'!P17,'21.04.01'!$AO$4:$AQ$55,2,FALSE))*IF('21.04.01'!$AK17="是",'21.04.01'!$BB$4,'21.04.01'!$BB$3))</f>
        <v>0</v>
      </c>
      <c r="I17" s="4">
        <f>IF(ISNUMBER(SEARCH("营",'21.04.01'!Q17)),(-$Y17+50*IF('21.04.01'!$AK17="是",'21.04.01'!$BB$4,'21.04.01'!$BB$3)),(VLOOKUP('21.04.01'!Q17,'21.04.01'!$AO$4:$AQ$55,2,FALSE))*IF('21.04.01'!$AK17="是",'21.04.01'!$BB$4,'21.04.01'!$BB$3))</f>
        <v>170</v>
      </c>
      <c r="J17" s="4">
        <f>IF(ISNUMBER(SEARCH("营",'21.04.01'!R17)),(-$Y17+50*IF('21.04.01'!$AK17="是",'21.04.01'!$BB$4,'21.04.01'!$BB$3)),(VLOOKUP('21.04.01'!R17,'21.04.01'!$AO$4:$AQ$55,2,FALSE))*IF('21.04.01'!$AK17="是",'21.04.01'!$BB$4,'21.04.01'!$BB$3))</f>
        <v>170</v>
      </c>
      <c r="K17" s="4">
        <f>IF(ISNUMBER(SEARCH("营",'21.04.01'!S17)),(-$Y17+50*IF('21.04.01'!$AK17="是",'21.04.01'!$BB$4,'21.04.01'!$BB$3)),(VLOOKUP('21.04.01'!S17,'21.04.01'!$AO$4:$AQ$55,2,FALSE))*IF('21.04.01'!$AK17="是",'21.04.01'!$BB$4,'21.04.01'!$BB$3))</f>
        <v>170</v>
      </c>
      <c r="L17" s="4">
        <f>IF(ISNUMBER(SEARCH("营",'21.04.01'!T17)),(-$Y17+50*IF('21.04.01'!$AK17="是",'21.04.01'!$BB$4,'21.04.01'!$BB$3)),(VLOOKUP('21.04.01'!T17,'21.04.01'!$AO$4:$AQ$55,2,FALSE))*IF('21.04.01'!$AK17="是",'21.04.01'!$BB$4,'21.04.01'!$BB$3))</f>
        <v>170</v>
      </c>
      <c r="M17" s="4">
        <f>IF(ISNUMBER(SEARCH("营",'21.04.01'!U17)),(-$Y17+50*IF('21.04.01'!$AK17="是",'21.04.01'!$BB$4,'21.04.01'!$BB$3)),(VLOOKUP('21.04.01'!U17,'21.04.01'!$AO$4:$AQ$55,2,FALSE))*IF('21.04.01'!$AK17="是",'21.04.01'!$BB$4,'21.04.01'!$BB$3))</f>
        <v>170</v>
      </c>
      <c r="N17" s="4">
        <f>IF(ISNUMBER(SEARCH("营",'21.04.01'!V17)),(-$Y17+50*IF('21.04.01'!$AK17="是",'21.04.01'!$BB$4,'21.04.01'!$BB$3)),(VLOOKUP('21.04.01'!V17,'21.04.01'!$AO$4:$AQ$55,2,FALSE))*IF('21.04.01'!$AK17="是",'21.04.01'!$BB$4,'21.04.01'!$BB$3))</f>
        <v>170</v>
      </c>
      <c r="O17" s="4">
        <f>IF(ISNUMBER(SEARCH("营",'21.04.01'!W17)),(-$Y17+50*IF('21.04.01'!$AK17="是",'21.04.01'!$BB$4,'21.04.01'!$BB$3)),(VLOOKUP('21.04.01'!W17,'21.04.01'!$AO$4:$AQ$55,2,FALSE))*IF('21.04.01'!$AK17="是",'21.04.01'!$BB$4,'21.04.01'!$BB$3))</f>
        <v>170</v>
      </c>
      <c r="P17" s="4">
        <f>IF(ISNUMBER(SEARCH("营",'21.04.01'!X17)),(-$Y17+50*IF('21.04.01'!$AK17="是",'21.04.01'!$BB$4,'21.04.01'!$BB$3)),(VLOOKUP('21.04.01'!X17,'21.04.01'!$AO$4:$AQ$55,2,FALSE))*IF('21.04.01'!$AK17="是",'21.04.01'!$BB$4,'21.04.01'!$BB$3))</f>
        <v>170</v>
      </c>
      <c r="Q17" s="4">
        <f>IF(ISNUMBER(SEARCH("营",'21.04.01'!Y17)),(-$Y17+50*IF('21.04.01'!$AK17="是",'21.04.01'!$BB$4,'21.04.01'!$BB$3)),(VLOOKUP('21.04.01'!Y17,'21.04.01'!$AO$4:$AQ$55,2,FALSE))*IF('21.04.01'!$AK17="是",'21.04.01'!$BB$4,'21.04.01'!$BB$3))</f>
        <v>0</v>
      </c>
      <c r="R17" s="4">
        <f>IF(ISNUMBER(SEARCH("营",'21.04.01'!Z17)),(-$Y17+50*IF('21.04.01'!$AK17="是",'21.04.01'!$BB$4,'21.04.01'!$BB$3)),(VLOOKUP('21.04.01'!Z17,'21.04.01'!$AO$4:$AQ$55,2,FALSE))*IF('21.04.01'!$AK17="是",'21.04.01'!$BB$4,'21.04.01'!$BB$3))</f>
        <v>0</v>
      </c>
      <c r="S17" s="4">
        <f>IF(ISNUMBER(SEARCH("营",'21.04.01'!AA17)),(-$Y17+50*IF('21.04.01'!$AK17="是",'21.04.01'!$BB$4,'21.04.01'!$BB$3)),(VLOOKUP('21.04.01'!AA17,'21.04.01'!$AO$4:$AQ$55,2,FALSE))*IF('21.04.01'!$AK17="是",'21.04.01'!$BB$4,'21.04.01'!$BB$3))</f>
        <v>0</v>
      </c>
      <c r="T17" s="4">
        <f>IF(ISNUMBER(SEARCH("营",'21.04.01'!AB17)),(-$Y17+50*IF('21.04.01'!$AK17="是",'21.04.01'!$BB$4,'21.04.01'!$BB$3)),(VLOOKUP('21.04.01'!AB17,'21.04.01'!$AO$4:$AQ$55,2,FALSE))*IF('21.04.01'!$AK17="是",'21.04.01'!$BB$4,'21.04.01'!$BB$3))</f>
        <v>0</v>
      </c>
      <c r="U17" s="4">
        <f>IF(ISNUMBER(SEARCH("营",'21.04.01'!AC17)),(-$Y17+50*IF('21.04.01'!$AK17="是",'21.04.01'!$BB$4,'21.04.01'!$BB$3)),(VLOOKUP('21.04.01'!AC17,'21.04.01'!$AO$4:$AQ$55,2,FALSE))*IF('21.04.01'!$AK17="是",'21.04.01'!$BB$4,'21.04.01'!$BB$3))</f>
        <v>0</v>
      </c>
      <c r="V17" s="4">
        <f>IF(ISNUMBER(SEARCH("营",'21.04.01'!AD17)),(-$Y17+50*IF('21.04.01'!$AK17="是",'21.04.01'!$BB$4,'21.04.01'!$BB$3)),(VLOOKUP('21.04.01'!AD17,'21.04.01'!$AO$4:$AQ$55,2,FALSE))*IF('21.04.01'!$AK17="是",'21.04.01'!$BB$4,'21.04.01'!$BB$3))</f>
        <v>0</v>
      </c>
      <c r="W17" s="4">
        <f>IF(ISNUMBER(SEARCH("营",'21.04.01'!AE17)),(-$Y17+50*IF('21.04.01'!$AK17="是",'21.04.01'!$BB$4,'21.04.01'!$BB$3)),(VLOOKUP('21.04.01'!AE17,'21.04.01'!$AO$4:$AQ$55,2,FALSE))*IF('21.04.01'!$AK17="是",'21.04.01'!$BB$4,'21.04.01'!$BB$3))</f>
        <v>0</v>
      </c>
      <c r="X17" s="4">
        <f>IF(ISNUMBER(SEARCH("营",'21.04.01'!AF17)),(-$Y17+50*IF('21.04.01'!$AK17="是",'21.04.01'!$BB$4,'21.04.01'!$BB$3)),(VLOOKUP('21.04.01'!AF17,'21.04.01'!$AO$4:$AQ$55,2,FALSE))*IF('21.04.01'!$AK17="是",'21.04.01'!$BB$4,'21.04.01'!$BB$3))</f>
        <v>0</v>
      </c>
      <c r="Y17" s="64">
        <v>250</v>
      </c>
      <c r="Z17" s="87">
        <v>45925</v>
      </c>
    </row>
    <row r="18" spans="1:26">
      <c r="A18" s="4">
        <f>IF(ISNUMBER(SEARCH("营",'21.04.01'!I18)),(-$Y18+50*IF('21.04.01'!$AK18="是",'21.04.01'!$BB$4,'21.04.01'!$BB$3)),(VLOOKUP('21.04.01'!I18,'21.04.01'!$AO$4:$AQ$55,2,FALSE))*IF('21.04.01'!$AK18="是",'21.04.01'!$BB$4,'21.04.01'!$BB$3))</f>
        <v>0</v>
      </c>
      <c r="B18" s="4">
        <f>IF(ISNUMBER(SEARCH("营",'21.04.01'!J18)),(-$Y18+50*IF('21.04.01'!$AK18="是",'21.04.01'!$BB$4,'21.04.01'!$BB$3)),(VLOOKUP('21.04.01'!J18,'21.04.01'!$AO$4:$AQ$55,2,FALSE))*IF('21.04.01'!$AK18="是",'21.04.01'!$BB$4,'21.04.01'!$BB$3))</f>
        <v>0</v>
      </c>
      <c r="C18" s="4">
        <f>IF(ISNUMBER(SEARCH("营",'21.04.01'!K18)),(-$Y18+50*IF('21.04.01'!$AK18="是",'21.04.01'!$BB$4,'21.04.01'!$BB$3)),(VLOOKUP('21.04.01'!K18,'21.04.01'!$AO$4:$AQ$55,2,FALSE))*IF('21.04.01'!$AK18="是",'21.04.01'!$BB$4,'21.04.01'!$BB$3))</f>
        <v>0</v>
      </c>
      <c r="D18" s="4">
        <f>IF(ISNUMBER(SEARCH("营",'21.04.01'!L18)),(-$Y18+50*IF('21.04.01'!$AK18="是",'21.04.01'!$BB$4,'21.04.01'!$BB$3)),(VLOOKUP('21.04.01'!L18,'21.04.01'!$AO$4:$AQ$55,2,FALSE))*IF('21.04.01'!$AK18="是",'21.04.01'!$BB$4,'21.04.01'!$BB$3))</f>
        <v>0</v>
      </c>
      <c r="E18" s="4">
        <f>IF(ISNUMBER(SEARCH("营",'21.04.01'!M18)),(-$Y18+50*IF('21.04.01'!$AK18="是",'21.04.01'!$BB$4,'21.04.01'!$BB$3)),(VLOOKUP('21.04.01'!M18,'21.04.01'!$AO$4:$AQ$55,2,FALSE))*IF('21.04.01'!$AK18="是",'21.04.01'!$BB$4,'21.04.01'!$BB$3))</f>
        <v>0</v>
      </c>
      <c r="F18" s="4">
        <f>IF(ISNUMBER(SEARCH("营",'21.04.01'!N18)),(-$Y18+50*IF('21.04.01'!$AK18="是",'21.04.01'!$BB$4,'21.04.01'!$BB$3)),(VLOOKUP('21.04.01'!N18,'21.04.01'!$AO$4:$AQ$55,2,FALSE))*IF('21.04.01'!$AK18="是",'21.04.01'!$BB$4,'21.04.01'!$BB$3))</f>
        <v>0</v>
      </c>
      <c r="G18" s="4">
        <f>IF(ISNUMBER(SEARCH("营",'21.04.01'!O18)),(-$Y18+50*IF('21.04.01'!$AK18="是",'21.04.01'!$BB$4,'21.04.01'!$BB$3)),(VLOOKUP('21.04.01'!O18,'21.04.01'!$AO$4:$AQ$55,2,FALSE))*IF('21.04.01'!$AK18="是",'21.04.01'!$BB$4,'21.04.01'!$BB$3))</f>
        <v>0</v>
      </c>
      <c r="H18" s="4">
        <f>IF(ISNUMBER(SEARCH("营",'21.04.01'!P18)),(-$Y18+50*IF('21.04.01'!$AK18="是",'21.04.01'!$BB$4,'21.04.01'!$BB$3)),(VLOOKUP('21.04.01'!P18,'21.04.01'!$AO$4:$AQ$55,2,FALSE))*IF('21.04.01'!$AK18="是",'21.04.01'!$BB$4,'21.04.01'!$BB$3))</f>
        <v>0</v>
      </c>
      <c r="I18" s="4">
        <f>IF(ISNUMBER(SEARCH("营",'21.04.01'!Q18)),(-$Y18+50*IF('21.04.01'!$AK18="是",'21.04.01'!$BB$4,'21.04.01'!$BB$3)),(VLOOKUP('21.04.01'!Q18,'21.04.01'!$AO$4:$AQ$55,2,FALSE))*IF('21.04.01'!$AK18="是",'21.04.01'!$BB$4,'21.04.01'!$BB$3))</f>
        <v>40</v>
      </c>
      <c r="J18" s="4">
        <f>IF(ISNUMBER(SEARCH("营",'21.04.01'!R18)),(-$Y18+50*IF('21.04.01'!$AK18="是",'21.04.01'!$BB$4,'21.04.01'!$BB$3)),(VLOOKUP('21.04.01'!R18,'21.04.01'!$AO$4:$AQ$55,2,FALSE))*IF('21.04.01'!$AK18="是",'21.04.01'!$BB$4,'21.04.01'!$BB$3))</f>
        <v>144</v>
      </c>
      <c r="K18" s="4">
        <f>IF(ISNUMBER(SEARCH("营",'21.04.01'!S18)),(-$Y18+50*IF('21.04.01'!$AK18="是",'21.04.01'!$BB$4,'21.04.01'!$BB$3)),(VLOOKUP('21.04.01'!S18,'21.04.01'!$AO$4:$AQ$55,2,FALSE))*IF('21.04.01'!$AK18="是",'21.04.01'!$BB$4,'21.04.01'!$BB$3))</f>
        <v>144</v>
      </c>
      <c r="L18" s="4">
        <f>IF(ISNUMBER(SEARCH("营",'21.04.01'!T18)),(-$Y18+50*IF('21.04.01'!$AK18="是",'21.04.01'!$BB$4,'21.04.01'!$BB$3)),(VLOOKUP('21.04.01'!T18,'21.04.01'!$AO$4:$AQ$55,2,FALSE))*IF('21.04.01'!$AK18="是",'21.04.01'!$BB$4,'21.04.01'!$BB$3))</f>
        <v>144</v>
      </c>
      <c r="M18" s="4">
        <f>IF(ISNUMBER(SEARCH("营",'21.04.01'!U18)),(-$Y18+50*IF('21.04.01'!$AK18="是",'21.04.01'!$BB$4,'21.04.01'!$BB$3)),(VLOOKUP('21.04.01'!U18,'21.04.01'!$AO$4:$AQ$55,2,FALSE))*IF('21.04.01'!$AK18="是",'21.04.01'!$BB$4,'21.04.01'!$BB$3))</f>
        <v>144</v>
      </c>
      <c r="N18" s="4">
        <f>IF(ISNUMBER(SEARCH("营",'21.04.01'!V18)),(-$Y18+50*IF('21.04.01'!$AK18="是",'21.04.01'!$BB$4,'21.04.01'!$BB$3)),(VLOOKUP('21.04.01'!V18,'21.04.01'!$AO$4:$AQ$55,2,FALSE))*IF('21.04.01'!$AK18="是",'21.04.01'!$BB$4,'21.04.01'!$BB$3))</f>
        <v>144</v>
      </c>
      <c r="O18" s="4">
        <f>IF(ISNUMBER(SEARCH("营",'21.04.01'!W18)),(-$Y18+50*IF('21.04.01'!$AK18="是",'21.04.01'!$BB$4,'21.04.01'!$BB$3)),(VLOOKUP('21.04.01'!W18,'21.04.01'!$AO$4:$AQ$55,2,FALSE))*IF('21.04.01'!$AK18="是",'21.04.01'!$BB$4,'21.04.01'!$BB$3))</f>
        <v>144</v>
      </c>
      <c r="P18" s="4">
        <f>IF(ISNUMBER(SEARCH("营",'21.04.01'!X18)),(-$Y18+50*IF('21.04.01'!$AK18="是",'21.04.01'!$BB$4,'21.04.01'!$BB$3)),(VLOOKUP('21.04.01'!X18,'21.04.01'!$AO$4:$AQ$55,2,FALSE))*IF('21.04.01'!$AK18="是",'21.04.01'!$BB$4,'21.04.01'!$BB$3))</f>
        <v>-210</v>
      </c>
      <c r="Q18" s="4">
        <f>IF(ISNUMBER(SEARCH("营",'21.04.01'!Y18)),(-$Y18+50*IF('21.04.01'!$AK18="是",'21.04.01'!$BB$4,'21.04.01'!$BB$3)),(VLOOKUP('21.04.01'!Y18,'21.04.01'!$AO$4:$AQ$55,2,FALSE))*IF('21.04.01'!$AK18="是",'21.04.01'!$BB$4,'21.04.01'!$BB$3))</f>
        <v>136</v>
      </c>
      <c r="R18" s="4">
        <f>IF(ISNUMBER(SEARCH("营",'21.04.01'!Z18)),(-$Y18+50*IF('21.04.01'!$AK18="是",'21.04.01'!$BB$4,'21.04.01'!$BB$3)),(VLOOKUP('21.04.01'!Z18,'21.04.01'!$AO$4:$AQ$55,2,FALSE))*IF('21.04.01'!$AK18="是",'21.04.01'!$BB$4,'21.04.01'!$BB$3))</f>
        <v>136</v>
      </c>
      <c r="S18" s="4">
        <f>IF(ISNUMBER(SEARCH("营",'21.04.01'!AA18)),(-$Y18+50*IF('21.04.01'!$AK18="是",'21.04.01'!$BB$4,'21.04.01'!$BB$3)),(VLOOKUP('21.04.01'!AA18,'21.04.01'!$AO$4:$AQ$55,2,FALSE))*IF('21.04.01'!$AK18="是",'21.04.01'!$BB$4,'21.04.01'!$BB$3))</f>
        <v>40</v>
      </c>
      <c r="T18" s="4">
        <f>IF(ISNUMBER(SEARCH("营",'21.04.01'!AB18)),(-$Y18+50*IF('21.04.01'!$AK18="是",'21.04.01'!$BB$4,'21.04.01'!$BB$3)),(VLOOKUP('21.04.01'!AB18,'21.04.01'!$AO$4:$AQ$55,2,FALSE))*IF('21.04.01'!$AK18="是",'21.04.01'!$BB$4,'21.04.01'!$BB$3))</f>
        <v>136</v>
      </c>
      <c r="U18" s="4">
        <f>IF(ISNUMBER(SEARCH("营",'21.04.01'!AC18)),(-$Y18+50*IF('21.04.01'!$AK18="是",'21.04.01'!$BB$4,'21.04.01'!$BB$3)),(VLOOKUP('21.04.01'!AC18,'21.04.01'!$AO$4:$AQ$55,2,FALSE))*IF('21.04.01'!$AK18="是",'21.04.01'!$BB$4,'21.04.01'!$BB$3))</f>
        <v>136</v>
      </c>
      <c r="V18" s="4">
        <f>IF(ISNUMBER(SEARCH("营",'21.04.01'!AD18)),(-$Y18+50*IF('21.04.01'!$AK18="是",'21.04.01'!$BB$4,'21.04.01'!$BB$3)),(VLOOKUP('21.04.01'!AD18,'21.04.01'!$AO$4:$AQ$55,2,FALSE))*IF('21.04.01'!$AK18="是",'21.04.01'!$BB$4,'21.04.01'!$BB$3))</f>
        <v>136</v>
      </c>
      <c r="W18" s="4">
        <f>IF(ISNUMBER(SEARCH("营",'21.04.01'!AE18)),(-$Y18+50*IF('21.04.01'!$AK18="是",'21.04.01'!$BB$4,'21.04.01'!$BB$3)),(VLOOKUP('21.04.01'!AE18,'21.04.01'!$AO$4:$AQ$55,2,FALSE))*IF('21.04.01'!$AK18="是",'21.04.01'!$BB$4,'21.04.01'!$BB$3))</f>
        <v>-210</v>
      </c>
      <c r="X18" s="4">
        <f>IF(ISNUMBER(SEARCH("营",'21.04.01'!AF18)),(-$Y18+50*IF('21.04.01'!$AK18="是",'21.04.01'!$BB$4,'21.04.01'!$BB$3)),(VLOOKUP('21.04.01'!AF18,'21.04.01'!$AO$4:$AQ$55,2,FALSE))*IF('21.04.01'!$AK18="是",'21.04.01'!$BB$4,'21.04.01'!$BB$3))</f>
        <v>136</v>
      </c>
      <c r="Y18" s="64">
        <v>250</v>
      </c>
      <c r="Z18" s="87">
        <v>45926</v>
      </c>
    </row>
    <row r="19" spans="1:26">
      <c r="A19" s="4">
        <f>IF(ISNUMBER(SEARCH("营",'21.04.01'!I19)),(-$Y19+50*IF('21.04.01'!$AK19="是",'21.04.01'!$BB$4,'21.04.01'!$BB$3)),(VLOOKUP('21.04.01'!I19,'21.04.01'!$AO$4:$AQ$55,2,FALSE))*IF('21.04.01'!$AK19="是",'21.04.01'!$BB$4,'21.04.01'!$BB$3))</f>
        <v>0</v>
      </c>
      <c r="B19" s="4">
        <f>IF(ISNUMBER(SEARCH("营",'21.04.01'!J19)),(-$Y19+50*IF('21.04.01'!$AK19="是",'21.04.01'!$BB$4,'21.04.01'!$BB$3)),(VLOOKUP('21.04.01'!J19,'21.04.01'!$AO$4:$AQ$55,2,FALSE))*IF('21.04.01'!$AK19="是",'21.04.01'!$BB$4,'21.04.01'!$BB$3))</f>
        <v>0</v>
      </c>
      <c r="C19" s="4">
        <f>IF(ISNUMBER(SEARCH("营",'21.04.01'!K19)),(-$Y19+50*IF('21.04.01'!$AK19="是",'21.04.01'!$BB$4,'21.04.01'!$BB$3)),(VLOOKUP('21.04.01'!K19,'21.04.01'!$AO$4:$AQ$55,2,FALSE))*IF('21.04.01'!$AK19="是",'21.04.01'!$BB$4,'21.04.01'!$BB$3))</f>
        <v>0</v>
      </c>
      <c r="D19" s="4">
        <f>IF(ISNUMBER(SEARCH("营",'21.04.01'!L19)),(-$Y19+50*IF('21.04.01'!$AK19="是",'21.04.01'!$BB$4,'21.04.01'!$BB$3)),(VLOOKUP('21.04.01'!L19,'21.04.01'!$AO$4:$AQ$55,2,FALSE))*IF('21.04.01'!$AK19="是",'21.04.01'!$BB$4,'21.04.01'!$BB$3))</f>
        <v>0</v>
      </c>
      <c r="E19" s="4">
        <f>IF(ISNUMBER(SEARCH("营",'21.04.01'!M19)),(-$Y19+50*IF('21.04.01'!$AK19="是",'21.04.01'!$BB$4,'21.04.01'!$BB$3)),(VLOOKUP('21.04.01'!M19,'21.04.01'!$AO$4:$AQ$55,2,FALSE))*IF('21.04.01'!$AK19="是",'21.04.01'!$BB$4,'21.04.01'!$BB$3))</f>
        <v>0</v>
      </c>
      <c r="F19" s="4">
        <f>IF(ISNUMBER(SEARCH("营",'21.04.01'!N19)),(-$Y19+50*IF('21.04.01'!$AK19="是",'21.04.01'!$BB$4,'21.04.01'!$BB$3)),(VLOOKUP('21.04.01'!N19,'21.04.01'!$AO$4:$AQ$55,2,FALSE))*IF('21.04.01'!$AK19="是",'21.04.01'!$BB$4,'21.04.01'!$BB$3))</f>
        <v>0</v>
      </c>
      <c r="G19" s="4">
        <f>IF(ISNUMBER(SEARCH("营",'21.04.01'!O19)),(-$Y19+50*IF('21.04.01'!$AK19="是",'21.04.01'!$BB$4,'21.04.01'!$BB$3)),(VLOOKUP('21.04.01'!O19,'21.04.01'!$AO$4:$AQ$55,2,FALSE))*IF('21.04.01'!$AK19="是",'21.04.01'!$BB$4,'21.04.01'!$BB$3))</f>
        <v>0</v>
      </c>
      <c r="H19" s="4">
        <f>IF(ISNUMBER(SEARCH("营",'21.04.01'!P19)),(-$Y19+50*IF('21.04.01'!$AK19="是",'21.04.01'!$BB$4,'21.04.01'!$BB$3)),(VLOOKUP('21.04.01'!P19,'21.04.01'!$AO$4:$AQ$55,2,FALSE))*IF('21.04.01'!$AK19="是",'21.04.01'!$BB$4,'21.04.01'!$BB$3))</f>
        <v>0</v>
      </c>
      <c r="I19" s="4">
        <f>IF(ISNUMBER(SEARCH("营",'21.04.01'!Q19)),(-$Y19+50*IF('21.04.01'!$AK19="是",'21.04.01'!$BB$4,'21.04.01'!$BB$3)),(VLOOKUP('21.04.01'!Q19,'21.04.01'!$AO$4:$AQ$55,2,FALSE))*IF('21.04.01'!$AK19="是",'21.04.01'!$BB$4,'21.04.01'!$BB$3))</f>
        <v>144</v>
      </c>
      <c r="J19" s="4">
        <f>IF(ISNUMBER(SEARCH("营",'21.04.01'!R19)),(-$Y19+50*IF('21.04.01'!$AK19="是",'21.04.01'!$BB$4,'21.04.01'!$BB$3)),(VLOOKUP('21.04.01'!R19,'21.04.01'!$AO$4:$AQ$55,2,FALSE))*IF('21.04.01'!$AK19="是",'21.04.01'!$BB$4,'21.04.01'!$BB$3))</f>
        <v>144</v>
      </c>
      <c r="K19" s="4">
        <f>IF(ISNUMBER(SEARCH("营",'21.04.01'!S19)),(-$Y19+50*IF('21.04.01'!$AK19="是",'21.04.01'!$BB$4,'21.04.01'!$BB$3)),(VLOOKUP('21.04.01'!S19,'21.04.01'!$AO$4:$AQ$55,2,FALSE))*IF('21.04.01'!$AK19="是",'21.04.01'!$BB$4,'21.04.01'!$BB$3))</f>
        <v>144</v>
      </c>
      <c r="L19" s="4">
        <f>IF(ISNUMBER(SEARCH("营",'21.04.01'!T19)),(-$Y19+50*IF('21.04.01'!$AK19="是",'21.04.01'!$BB$4,'21.04.01'!$BB$3)),(VLOOKUP('21.04.01'!T19,'21.04.01'!$AO$4:$AQ$55,2,FALSE))*IF('21.04.01'!$AK19="是",'21.04.01'!$BB$4,'21.04.01'!$BB$3))</f>
        <v>144</v>
      </c>
      <c r="M19" s="4">
        <f>IF(ISNUMBER(SEARCH("营",'21.04.01'!U19)),(-$Y19+50*IF('21.04.01'!$AK19="是",'21.04.01'!$BB$4,'21.04.01'!$BB$3)),(VLOOKUP('21.04.01'!U19,'21.04.01'!$AO$4:$AQ$55,2,FALSE))*IF('21.04.01'!$AK19="是",'21.04.01'!$BB$4,'21.04.01'!$BB$3))</f>
        <v>144</v>
      </c>
      <c r="N19" s="4">
        <f>IF(ISNUMBER(SEARCH("营",'21.04.01'!V19)),(-$Y19+50*IF('21.04.01'!$AK19="是",'21.04.01'!$BB$4,'21.04.01'!$BB$3)),(VLOOKUP('21.04.01'!V19,'21.04.01'!$AO$4:$AQ$55,2,FALSE))*IF('21.04.01'!$AK19="是",'21.04.01'!$BB$4,'21.04.01'!$BB$3))</f>
        <v>144</v>
      </c>
      <c r="O19" s="4">
        <f>IF(ISNUMBER(SEARCH("营",'21.04.01'!W19)),(-$Y19+50*IF('21.04.01'!$AK19="是",'21.04.01'!$BB$4,'21.04.01'!$BB$3)),(VLOOKUP('21.04.01'!W19,'21.04.01'!$AO$4:$AQ$55,2,FALSE))*IF('21.04.01'!$AK19="是",'21.04.01'!$BB$4,'21.04.01'!$BB$3))</f>
        <v>144</v>
      </c>
      <c r="P19" s="4">
        <f>IF(ISNUMBER(SEARCH("营",'21.04.01'!X19)),(-$Y19+50*IF('21.04.01'!$AK19="是",'21.04.01'!$BB$4,'21.04.01'!$BB$3)),(VLOOKUP('21.04.01'!X19,'21.04.01'!$AO$4:$AQ$55,2,FALSE))*IF('21.04.01'!$AK19="是",'21.04.01'!$BB$4,'21.04.01'!$BB$3))</f>
        <v>144</v>
      </c>
      <c r="Q19" s="4">
        <f>IF(ISNUMBER(SEARCH("营",'21.04.01'!Y19)),(-$Y19+50*IF('21.04.01'!$AK19="是",'21.04.01'!$BB$4,'21.04.01'!$BB$3)),(VLOOKUP('21.04.01'!Y19,'21.04.01'!$AO$4:$AQ$55,2,FALSE))*IF('21.04.01'!$AK19="是",'21.04.01'!$BB$4,'21.04.01'!$BB$3))</f>
        <v>120</v>
      </c>
      <c r="R19" s="4">
        <f>IF(ISNUMBER(SEARCH("营",'21.04.01'!Z19)),(-$Y19+50*IF('21.04.01'!$AK19="是",'21.04.01'!$BB$4,'21.04.01'!$BB$3)),(VLOOKUP('21.04.01'!Z19,'21.04.01'!$AO$4:$AQ$55,2,FALSE))*IF('21.04.01'!$AK19="是",'21.04.01'!$BB$4,'21.04.01'!$BB$3))</f>
        <v>136</v>
      </c>
      <c r="S19" s="4">
        <f>IF(ISNUMBER(SEARCH("营",'21.04.01'!AA19)),(-$Y19+50*IF('21.04.01'!$AK19="是",'21.04.01'!$BB$4,'21.04.01'!$BB$3)),(VLOOKUP('21.04.01'!AA19,'21.04.01'!$AO$4:$AQ$55,2,FALSE))*IF('21.04.01'!$AK19="是",'21.04.01'!$BB$4,'21.04.01'!$BB$3))</f>
        <v>136</v>
      </c>
      <c r="T19" s="4">
        <f>IF(ISNUMBER(SEARCH("营",'21.04.01'!AB19)),(-$Y19+50*IF('21.04.01'!$AK19="是",'21.04.01'!$BB$4,'21.04.01'!$BB$3)),(VLOOKUP('21.04.01'!AB19,'21.04.01'!$AO$4:$AQ$55,2,FALSE))*IF('21.04.01'!$AK19="是",'21.04.01'!$BB$4,'21.04.01'!$BB$3))</f>
        <v>120</v>
      </c>
      <c r="U19" s="4">
        <f>IF(ISNUMBER(SEARCH("营",'21.04.01'!AC19)),(-$Y19+50*IF('21.04.01'!$AK19="是",'21.04.01'!$BB$4,'21.04.01'!$BB$3)),(VLOOKUP('21.04.01'!AC19,'21.04.01'!$AO$4:$AQ$55,2,FALSE))*IF('21.04.01'!$AK19="是",'21.04.01'!$BB$4,'21.04.01'!$BB$3))</f>
        <v>128</v>
      </c>
      <c r="V19" s="4">
        <f>IF(ISNUMBER(SEARCH("营",'21.04.01'!AD19)),(-$Y19+50*IF('21.04.01'!$AK19="是",'21.04.01'!$BB$4,'21.04.01'!$BB$3)),(VLOOKUP('21.04.01'!AD19,'21.04.01'!$AO$4:$AQ$55,2,FALSE))*IF('21.04.01'!$AK19="是",'21.04.01'!$BB$4,'21.04.01'!$BB$3))</f>
        <v>40</v>
      </c>
      <c r="W19" s="4">
        <f>IF(ISNUMBER(SEARCH("营",'21.04.01'!AE19)),(-$Y19+50*IF('21.04.01'!$AK19="是",'21.04.01'!$BB$4,'21.04.01'!$BB$3)),(VLOOKUP('21.04.01'!AE19,'21.04.01'!$AO$4:$AQ$55,2,FALSE))*IF('21.04.01'!$AK19="是",'21.04.01'!$BB$4,'21.04.01'!$BB$3))</f>
        <v>128</v>
      </c>
      <c r="X19" s="4">
        <f>IF(ISNUMBER(SEARCH("营",'21.04.01'!AF19)),(-$Y19+50*IF('21.04.01'!$AK19="是",'21.04.01'!$BB$4,'21.04.01'!$BB$3)),(VLOOKUP('21.04.01'!AF19,'21.04.01'!$AO$4:$AQ$55,2,FALSE))*IF('21.04.01'!$AK19="是",'21.04.01'!$BB$4,'21.04.01'!$BB$3))</f>
        <v>120</v>
      </c>
      <c r="Y19" s="64">
        <v>250</v>
      </c>
      <c r="Z19" s="87">
        <v>45927</v>
      </c>
    </row>
    <row r="20" spans="1:26">
      <c r="A20" s="4">
        <f>IF(ISNUMBER(SEARCH("营",'21.04.01'!I20)),(-$Y20+50*IF('21.04.01'!$AK20="是",'21.04.01'!$BB$4,'21.04.01'!$BB$3)),(VLOOKUP('21.04.01'!I20,'21.04.01'!$AO$4:$AQ$55,2,FALSE))*IF('21.04.01'!$AK20="是",'21.04.01'!$BB$4,'21.04.01'!$BB$3))</f>
        <v>0</v>
      </c>
      <c r="B20" s="4">
        <f>IF(ISNUMBER(SEARCH("营",'21.04.01'!J20)),(-$Y20+50*IF('21.04.01'!$AK20="是",'21.04.01'!$BB$4,'21.04.01'!$BB$3)),(VLOOKUP('21.04.01'!J20,'21.04.01'!$AO$4:$AQ$55,2,FALSE))*IF('21.04.01'!$AK20="是",'21.04.01'!$BB$4,'21.04.01'!$BB$3))</f>
        <v>0</v>
      </c>
      <c r="C20" s="4">
        <f>IF(ISNUMBER(SEARCH("营",'21.04.01'!K20)),(-$Y20+50*IF('21.04.01'!$AK20="是",'21.04.01'!$BB$4,'21.04.01'!$BB$3)),(VLOOKUP('21.04.01'!K20,'21.04.01'!$AO$4:$AQ$55,2,FALSE))*IF('21.04.01'!$AK20="是",'21.04.01'!$BB$4,'21.04.01'!$BB$3))</f>
        <v>0</v>
      </c>
      <c r="D20" s="4">
        <f>IF(ISNUMBER(SEARCH("营",'21.04.01'!L20)),(-$Y20+50*IF('21.04.01'!$AK20="是",'21.04.01'!$BB$4,'21.04.01'!$BB$3)),(VLOOKUP('21.04.01'!L20,'21.04.01'!$AO$4:$AQ$55,2,FALSE))*IF('21.04.01'!$AK20="是",'21.04.01'!$BB$4,'21.04.01'!$BB$3))</f>
        <v>0</v>
      </c>
      <c r="E20" s="4">
        <f>IF(ISNUMBER(SEARCH("营",'21.04.01'!M20)),(-$Y20+50*IF('21.04.01'!$AK20="是",'21.04.01'!$BB$4,'21.04.01'!$BB$3)),(VLOOKUP('21.04.01'!M20,'21.04.01'!$AO$4:$AQ$55,2,FALSE))*IF('21.04.01'!$AK20="是",'21.04.01'!$BB$4,'21.04.01'!$BB$3))</f>
        <v>0</v>
      </c>
      <c r="F20" s="4">
        <f>IF(ISNUMBER(SEARCH("营",'21.04.01'!N20)),(-$Y20+50*IF('21.04.01'!$AK20="是",'21.04.01'!$BB$4,'21.04.01'!$BB$3)),(VLOOKUP('21.04.01'!N20,'21.04.01'!$AO$4:$AQ$55,2,FALSE))*IF('21.04.01'!$AK20="是",'21.04.01'!$BB$4,'21.04.01'!$BB$3))</f>
        <v>0</v>
      </c>
      <c r="G20" s="4">
        <f>IF(ISNUMBER(SEARCH("营",'21.04.01'!O20)),(-$Y20+50*IF('21.04.01'!$AK20="是",'21.04.01'!$BB$4,'21.04.01'!$BB$3)),(VLOOKUP('21.04.01'!O20,'21.04.01'!$AO$4:$AQ$55,2,FALSE))*IF('21.04.01'!$AK20="是",'21.04.01'!$BB$4,'21.04.01'!$BB$3))</f>
        <v>0</v>
      </c>
      <c r="H20" s="4">
        <f>IF(ISNUMBER(SEARCH("营",'21.04.01'!P20)),(-$Y20+50*IF('21.04.01'!$AK20="是",'21.04.01'!$BB$4,'21.04.01'!$BB$3)),(VLOOKUP('21.04.01'!P20,'21.04.01'!$AO$4:$AQ$55,2,FALSE))*IF('21.04.01'!$AK20="是",'21.04.01'!$BB$4,'21.04.01'!$BB$3))</f>
        <v>0</v>
      </c>
      <c r="I20" s="4">
        <f>IF(ISNUMBER(SEARCH("营",'21.04.01'!Q20)),(-$Y20+50*IF('21.04.01'!$AK20="是",'21.04.01'!$BB$4,'21.04.01'!$BB$3)),(VLOOKUP('21.04.01'!Q20,'21.04.01'!$AO$4:$AQ$55,2,FALSE))*IF('21.04.01'!$AK20="是",'21.04.01'!$BB$4,'21.04.01'!$BB$3))</f>
        <v>144</v>
      </c>
      <c r="J20" s="4">
        <f>IF(ISNUMBER(SEARCH("营",'21.04.01'!R20)),(-$Y20+50*IF('21.04.01'!$AK20="是",'21.04.01'!$BB$4,'21.04.01'!$BB$3)),(VLOOKUP('21.04.01'!R20,'21.04.01'!$AO$4:$AQ$55,2,FALSE))*IF('21.04.01'!$AK20="是",'21.04.01'!$BB$4,'21.04.01'!$BB$3))</f>
        <v>144</v>
      </c>
      <c r="K20" s="4">
        <f>IF(ISNUMBER(SEARCH("营",'21.04.01'!S20)),(-$Y20+50*IF('21.04.01'!$AK20="是",'21.04.01'!$BB$4,'21.04.01'!$BB$3)),(VLOOKUP('21.04.01'!S20,'21.04.01'!$AO$4:$AQ$55,2,FALSE))*IF('21.04.01'!$AK20="是",'21.04.01'!$BB$4,'21.04.01'!$BB$3))</f>
        <v>144</v>
      </c>
      <c r="L20" s="4">
        <f>IF(ISNUMBER(SEARCH("营",'21.04.01'!T20)),(-$Y20+50*IF('21.04.01'!$AK20="是",'21.04.01'!$BB$4,'21.04.01'!$BB$3)),(VLOOKUP('21.04.01'!T20,'21.04.01'!$AO$4:$AQ$55,2,FALSE))*IF('21.04.01'!$AK20="是",'21.04.01'!$BB$4,'21.04.01'!$BB$3))</f>
        <v>-210</v>
      </c>
      <c r="M20" s="4">
        <f>IF(ISNUMBER(SEARCH("营",'21.04.01'!U20)),(-$Y20+50*IF('21.04.01'!$AK20="是",'21.04.01'!$BB$4,'21.04.01'!$BB$3)),(VLOOKUP('21.04.01'!U20,'21.04.01'!$AO$4:$AQ$55,2,FALSE))*IF('21.04.01'!$AK20="是",'21.04.01'!$BB$4,'21.04.01'!$BB$3))</f>
        <v>144</v>
      </c>
      <c r="N20" s="4">
        <f>IF(ISNUMBER(SEARCH("营",'21.04.01'!V20)),(-$Y20+50*IF('21.04.01'!$AK20="是",'21.04.01'!$BB$4,'21.04.01'!$BB$3)),(VLOOKUP('21.04.01'!V20,'21.04.01'!$AO$4:$AQ$55,2,FALSE))*IF('21.04.01'!$AK20="是",'21.04.01'!$BB$4,'21.04.01'!$BB$3))</f>
        <v>144</v>
      </c>
      <c r="O20" s="4">
        <f>IF(ISNUMBER(SEARCH("营",'21.04.01'!W20)),(-$Y20+50*IF('21.04.01'!$AK20="是",'21.04.01'!$BB$4,'21.04.01'!$BB$3)),(VLOOKUP('21.04.01'!W20,'21.04.01'!$AO$4:$AQ$55,2,FALSE))*IF('21.04.01'!$AK20="是",'21.04.01'!$BB$4,'21.04.01'!$BB$3))</f>
        <v>144</v>
      </c>
      <c r="P20" s="4">
        <f>IF(ISNUMBER(SEARCH("营",'21.04.01'!X20)),(-$Y20+50*IF('21.04.01'!$AK20="是",'21.04.01'!$BB$4,'21.04.01'!$BB$3)),(VLOOKUP('21.04.01'!X20,'21.04.01'!$AO$4:$AQ$55,2,FALSE))*IF('21.04.01'!$AK20="是",'21.04.01'!$BB$4,'21.04.01'!$BB$3))</f>
        <v>144</v>
      </c>
      <c r="Q20" s="4">
        <f>IF(ISNUMBER(SEARCH("营",'21.04.01'!Y20)),(-$Y20+50*IF('21.04.01'!$AK20="是",'21.04.01'!$BB$4,'21.04.01'!$BB$3)),(VLOOKUP('21.04.01'!Y20,'21.04.01'!$AO$4:$AQ$55,2,FALSE))*IF('21.04.01'!$AK20="是",'21.04.01'!$BB$4,'21.04.01'!$BB$3))</f>
        <v>128</v>
      </c>
      <c r="R20" s="4">
        <f>IF(ISNUMBER(SEARCH("营",'21.04.01'!Z20)),(-$Y20+50*IF('21.04.01'!$AK20="是",'21.04.01'!$BB$4,'21.04.01'!$BB$3)),(VLOOKUP('21.04.01'!Z20,'21.04.01'!$AO$4:$AQ$55,2,FALSE))*IF('21.04.01'!$AK20="是",'21.04.01'!$BB$4,'21.04.01'!$BB$3))</f>
        <v>128</v>
      </c>
      <c r="S20" s="4">
        <f>IF(ISNUMBER(SEARCH("营",'21.04.01'!AA20)),(-$Y20+50*IF('21.04.01'!$AK20="是",'21.04.01'!$BB$4,'21.04.01'!$BB$3)),(VLOOKUP('21.04.01'!AA20,'21.04.01'!$AO$4:$AQ$55,2,FALSE))*IF('21.04.01'!$AK20="是",'21.04.01'!$BB$4,'21.04.01'!$BB$3))</f>
        <v>40</v>
      </c>
      <c r="T20" s="4">
        <f>IF(ISNUMBER(SEARCH("营",'21.04.01'!AB20)),(-$Y20+50*IF('21.04.01'!$AK20="是",'21.04.01'!$BB$4,'21.04.01'!$BB$3)),(VLOOKUP('21.04.01'!AB20,'21.04.01'!$AO$4:$AQ$55,2,FALSE))*IF('21.04.01'!$AK20="是",'21.04.01'!$BB$4,'21.04.01'!$BB$3))</f>
        <v>128</v>
      </c>
      <c r="U20" s="4">
        <f>IF(ISNUMBER(SEARCH("营",'21.04.01'!AC20)),(-$Y20+50*IF('21.04.01'!$AK20="是",'21.04.01'!$BB$4,'21.04.01'!$BB$3)),(VLOOKUP('21.04.01'!AC20,'21.04.01'!$AO$4:$AQ$55,2,FALSE))*IF('21.04.01'!$AK20="是",'21.04.01'!$BB$4,'21.04.01'!$BB$3))</f>
        <v>128</v>
      </c>
      <c r="V20" s="4">
        <f>IF(ISNUMBER(SEARCH("营",'21.04.01'!AD20)),(-$Y20+50*IF('21.04.01'!$AK20="是",'21.04.01'!$BB$4,'21.04.01'!$BB$3)),(VLOOKUP('21.04.01'!AD20,'21.04.01'!$AO$4:$AQ$55,2,FALSE))*IF('21.04.01'!$AK20="是",'21.04.01'!$BB$4,'21.04.01'!$BB$3))</f>
        <v>40</v>
      </c>
      <c r="W20" s="4">
        <f>IF(ISNUMBER(SEARCH("营",'21.04.01'!AE20)),(-$Y20+50*IF('21.04.01'!$AK20="是",'21.04.01'!$BB$4,'21.04.01'!$BB$3)),(VLOOKUP('21.04.01'!AE20,'21.04.01'!$AO$4:$AQ$55,2,FALSE))*IF('21.04.01'!$AK20="是",'21.04.01'!$BB$4,'21.04.01'!$BB$3))</f>
        <v>128</v>
      </c>
      <c r="X20" s="4">
        <f>IF(ISNUMBER(SEARCH("营",'21.04.01'!AF20)),(-$Y20+50*IF('21.04.01'!$AK20="是",'21.04.01'!$BB$4,'21.04.01'!$BB$3)),(VLOOKUP('21.04.01'!AF20,'21.04.01'!$AO$4:$AQ$55,2,FALSE))*IF('21.04.01'!$AK20="是",'21.04.01'!$BB$4,'21.04.01'!$BB$3))</f>
        <v>-210</v>
      </c>
      <c r="Y20" s="64">
        <v>250</v>
      </c>
      <c r="Z20" s="87">
        <v>45928</v>
      </c>
    </row>
    <row r="21" spans="1:26">
      <c r="A21" s="4">
        <f>IF(ISNUMBER(SEARCH("营",'21.04.01'!I21)),(-$Y21+50*IF('21.04.01'!$AK21="是",'21.04.01'!$BB$4,'21.04.01'!$BB$3)),(VLOOKUP('21.04.01'!I21,'21.04.01'!$AO$4:$AQ$55,2,FALSE))*IF('21.04.01'!$AK21="是",'21.04.01'!$BB$4,'21.04.01'!$BB$3))</f>
        <v>136</v>
      </c>
      <c r="B21" s="4">
        <f>IF(ISNUMBER(SEARCH("营",'21.04.01'!J21)),(-$Y21+50*IF('21.04.01'!$AK21="是",'21.04.01'!$BB$4,'21.04.01'!$BB$3)),(VLOOKUP('21.04.01'!J21,'21.04.01'!$AO$4:$AQ$55,2,FALSE))*IF('21.04.01'!$AK21="是",'21.04.01'!$BB$4,'21.04.01'!$BB$3))</f>
        <v>0</v>
      </c>
      <c r="C21" s="4">
        <f>IF(ISNUMBER(SEARCH("营",'21.04.01'!K21)),(-$Y21+50*IF('21.04.01'!$AK21="是",'21.04.01'!$BB$4,'21.04.01'!$BB$3)),(VLOOKUP('21.04.01'!K21,'21.04.01'!$AO$4:$AQ$55,2,FALSE))*IF('21.04.01'!$AK21="是",'21.04.01'!$BB$4,'21.04.01'!$BB$3))</f>
        <v>0</v>
      </c>
      <c r="D21" s="4">
        <f>IF(ISNUMBER(SEARCH("营",'21.04.01'!L21)),(-$Y21+50*IF('21.04.01'!$AK21="是",'21.04.01'!$BB$4,'21.04.01'!$BB$3)),(VLOOKUP('21.04.01'!L21,'21.04.01'!$AO$4:$AQ$55,2,FALSE))*IF('21.04.01'!$AK21="是",'21.04.01'!$BB$4,'21.04.01'!$BB$3))</f>
        <v>0</v>
      </c>
      <c r="E21" s="4">
        <f>IF(ISNUMBER(SEARCH("营",'21.04.01'!M21)),(-$Y21+50*IF('21.04.01'!$AK21="是",'21.04.01'!$BB$4,'21.04.01'!$BB$3)),(VLOOKUP('21.04.01'!M21,'21.04.01'!$AO$4:$AQ$55,2,FALSE))*IF('21.04.01'!$AK21="是",'21.04.01'!$BB$4,'21.04.01'!$BB$3))</f>
        <v>0</v>
      </c>
      <c r="F21" s="4">
        <f>IF(ISNUMBER(SEARCH("营",'21.04.01'!N21)),(-$Y21+50*IF('21.04.01'!$AK21="是",'21.04.01'!$BB$4,'21.04.01'!$BB$3)),(VLOOKUP('21.04.01'!N21,'21.04.01'!$AO$4:$AQ$55,2,FALSE))*IF('21.04.01'!$AK21="是",'21.04.01'!$BB$4,'21.04.01'!$BB$3))</f>
        <v>0</v>
      </c>
      <c r="G21" s="4">
        <f>IF(ISNUMBER(SEARCH("营",'21.04.01'!O21)),(-$Y21+50*IF('21.04.01'!$AK21="是",'21.04.01'!$BB$4,'21.04.01'!$BB$3)),(VLOOKUP('21.04.01'!O21,'21.04.01'!$AO$4:$AQ$55,2,FALSE))*IF('21.04.01'!$AK21="是",'21.04.01'!$BB$4,'21.04.01'!$BB$3))</f>
        <v>0</v>
      </c>
      <c r="H21" s="4">
        <f>IF(ISNUMBER(SEARCH("营",'21.04.01'!P21)),(-$Y21+50*IF('21.04.01'!$AK21="是",'21.04.01'!$BB$4,'21.04.01'!$BB$3)),(VLOOKUP('21.04.01'!P21,'21.04.01'!$AO$4:$AQ$55,2,FALSE))*IF('21.04.01'!$AK21="是",'21.04.01'!$BB$4,'21.04.01'!$BB$3))</f>
        <v>0</v>
      </c>
      <c r="I21" s="4">
        <f>IF(ISNUMBER(SEARCH("营",'21.04.01'!Q21)),(-$Y21+50*IF('21.04.01'!$AK21="是",'21.04.01'!$BB$4,'21.04.01'!$BB$3)),(VLOOKUP('21.04.01'!Q21,'21.04.01'!$AO$4:$AQ$55,2,FALSE))*IF('21.04.01'!$AK21="是",'21.04.01'!$BB$4,'21.04.01'!$BB$3))</f>
        <v>144</v>
      </c>
      <c r="J21" s="4">
        <f>IF(ISNUMBER(SEARCH("营",'21.04.01'!R21)),(-$Y21+50*IF('21.04.01'!$AK21="是",'21.04.01'!$BB$4,'21.04.01'!$BB$3)),(VLOOKUP('21.04.01'!R21,'21.04.01'!$AO$4:$AQ$55,2,FALSE))*IF('21.04.01'!$AK21="是",'21.04.01'!$BB$4,'21.04.01'!$BB$3))</f>
        <v>144</v>
      </c>
      <c r="K21" s="4">
        <f>IF(ISNUMBER(SEARCH("营",'21.04.01'!S21)),(-$Y21+50*IF('21.04.01'!$AK21="是",'21.04.01'!$BB$4,'21.04.01'!$BB$3)),(VLOOKUP('21.04.01'!S21,'21.04.01'!$AO$4:$AQ$55,2,FALSE))*IF('21.04.01'!$AK21="是",'21.04.01'!$BB$4,'21.04.01'!$BB$3))</f>
        <v>144</v>
      </c>
      <c r="L21" s="4">
        <f>IF(ISNUMBER(SEARCH("营",'21.04.01'!T21)),(-$Y21+50*IF('21.04.01'!$AK21="是",'21.04.01'!$BB$4,'21.04.01'!$BB$3)),(VLOOKUP('21.04.01'!T21,'21.04.01'!$AO$4:$AQ$55,2,FALSE))*IF('21.04.01'!$AK21="是",'21.04.01'!$BB$4,'21.04.01'!$BB$3))</f>
        <v>144</v>
      </c>
      <c r="M21" s="4">
        <f>IF(ISNUMBER(SEARCH("营",'21.04.01'!U21)),(-$Y21+50*IF('21.04.01'!$AK21="是",'21.04.01'!$BB$4,'21.04.01'!$BB$3)),(VLOOKUP('21.04.01'!U21,'21.04.01'!$AO$4:$AQ$55,2,FALSE))*IF('21.04.01'!$AK21="是",'21.04.01'!$BB$4,'21.04.01'!$BB$3))</f>
        <v>-210</v>
      </c>
      <c r="N21" s="4">
        <f>IF(ISNUMBER(SEARCH("营",'21.04.01'!V21)),(-$Y21+50*IF('21.04.01'!$AK21="是",'21.04.01'!$BB$4,'21.04.01'!$BB$3)),(VLOOKUP('21.04.01'!V21,'21.04.01'!$AO$4:$AQ$55,2,FALSE))*IF('21.04.01'!$AK21="是",'21.04.01'!$BB$4,'21.04.01'!$BB$3))</f>
        <v>144</v>
      </c>
      <c r="O21" s="4">
        <f>IF(ISNUMBER(SEARCH("营",'21.04.01'!W21)),(-$Y21+50*IF('21.04.01'!$AK21="是",'21.04.01'!$BB$4,'21.04.01'!$BB$3)),(VLOOKUP('21.04.01'!W21,'21.04.01'!$AO$4:$AQ$55,2,FALSE))*IF('21.04.01'!$AK21="是",'21.04.01'!$BB$4,'21.04.01'!$BB$3))</f>
        <v>144</v>
      </c>
      <c r="P21" s="4">
        <f>IF(ISNUMBER(SEARCH("营",'21.04.01'!X21)),(-$Y21+50*IF('21.04.01'!$AK21="是",'21.04.01'!$BB$4,'21.04.01'!$BB$3)),(VLOOKUP('21.04.01'!X21,'21.04.01'!$AO$4:$AQ$55,2,FALSE))*IF('21.04.01'!$AK21="是",'21.04.01'!$BB$4,'21.04.01'!$BB$3))</f>
        <v>144</v>
      </c>
      <c r="Q21" s="4">
        <f>IF(ISNUMBER(SEARCH("营",'21.04.01'!Y21)),(-$Y21+50*IF('21.04.01'!$AK21="是",'21.04.01'!$BB$4,'21.04.01'!$BB$3)),(VLOOKUP('21.04.01'!Y21,'21.04.01'!$AO$4:$AQ$55,2,FALSE))*IF('21.04.01'!$AK21="是",'21.04.01'!$BB$4,'21.04.01'!$BB$3))</f>
        <v>0</v>
      </c>
      <c r="R21" s="4">
        <f>IF(ISNUMBER(SEARCH("营",'21.04.01'!Z21)),(-$Y21+50*IF('21.04.01'!$AK21="是",'21.04.01'!$BB$4,'21.04.01'!$BB$3)),(VLOOKUP('21.04.01'!Z21,'21.04.01'!$AO$4:$AQ$55,2,FALSE))*IF('21.04.01'!$AK21="是",'21.04.01'!$BB$4,'21.04.01'!$BB$3))</f>
        <v>0</v>
      </c>
      <c r="S21" s="4">
        <f>IF(ISNUMBER(SEARCH("营",'21.04.01'!AA21)),(-$Y21+50*IF('21.04.01'!$AK21="是",'21.04.01'!$BB$4,'21.04.01'!$BB$3)),(VLOOKUP('21.04.01'!AA21,'21.04.01'!$AO$4:$AQ$55,2,FALSE))*IF('21.04.01'!$AK21="是",'21.04.01'!$BB$4,'21.04.01'!$BB$3))</f>
        <v>0</v>
      </c>
      <c r="T21" s="4">
        <f>IF(ISNUMBER(SEARCH("营",'21.04.01'!AB21)),(-$Y21+50*IF('21.04.01'!$AK21="是",'21.04.01'!$BB$4,'21.04.01'!$BB$3)),(VLOOKUP('21.04.01'!AB21,'21.04.01'!$AO$4:$AQ$55,2,FALSE))*IF('21.04.01'!$AK21="是",'21.04.01'!$BB$4,'21.04.01'!$BB$3))</f>
        <v>0</v>
      </c>
      <c r="U21" s="4">
        <f>IF(ISNUMBER(SEARCH("营",'21.04.01'!AC21)),(-$Y21+50*IF('21.04.01'!$AK21="是",'21.04.01'!$BB$4,'21.04.01'!$BB$3)),(VLOOKUP('21.04.01'!AC21,'21.04.01'!$AO$4:$AQ$55,2,FALSE))*IF('21.04.01'!$AK21="是",'21.04.01'!$BB$4,'21.04.01'!$BB$3))</f>
        <v>0</v>
      </c>
      <c r="V21" s="4">
        <f>IF(ISNUMBER(SEARCH("营",'21.04.01'!AD21)),(-$Y21+50*IF('21.04.01'!$AK21="是",'21.04.01'!$BB$4,'21.04.01'!$BB$3)),(VLOOKUP('21.04.01'!AD21,'21.04.01'!$AO$4:$AQ$55,2,FALSE))*IF('21.04.01'!$AK21="是",'21.04.01'!$BB$4,'21.04.01'!$BB$3))</f>
        <v>0</v>
      </c>
      <c r="W21" s="4">
        <f>IF(ISNUMBER(SEARCH("营",'21.04.01'!AE21)),(-$Y21+50*IF('21.04.01'!$AK21="是",'21.04.01'!$BB$4,'21.04.01'!$BB$3)),(VLOOKUP('21.04.01'!AE21,'21.04.01'!$AO$4:$AQ$55,2,FALSE))*IF('21.04.01'!$AK21="是",'21.04.01'!$BB$4,'21.04.01'!$BB$3))</f>
        <v>0</v>
      </c>
      <c r="X21" s="4">
        <f>IF(ISNUMBER(SEARCH("营",'21.04.01'!AF21)),(-$Y21+50*IF('21.04.01'!$AK21="是",'21.04.01'!$BB$4,'21.04.01'!$BB$3)),(VLOOKUP('21.04.01'!AF21,'21.04.01'!$AO$4:$AQ$55,2,FALSE))*IF('21.04.01'!$AK21="是",'21.04.01'!$BB$4,'21.04.01'!$BB$3))</f>
        <v>0</v>
      </c>
      <c r="Y21" s="64">
        <v>250</v>
      </c>
      <c r="Z21" s="87">
        <v>45929</v>
      </c>
    </row>
    <row r="22" spans="1:26">
      <c r="A22" s="4">
        <f>IF(ISNUMBER(SEARCH("营",'21.04.01'!I22)),(-$Y22+50*IF('21.04.01'!$AK22="是",'21.04.01'!$BB$4,'21.04.01'!$BB$3)),(VLOOKUP('21.04.01'!I22,'21.04.01'!$AO$4:$AQ$55,2,FALSE))*IF('21.04.01'!$AK22="是",'21.04.01'!$BB$4,'21.04.01'!$BB$3))</f>
        <v>144</v>
      </c>
      <c r="B22" s="4">
        <f>IF(ISNUMBER(SEARCH("营",'21.04.01'!J22)),(-$Y22+50*IF('21.04.01'!$AK22="是",'21.04.01'!$BB$4,'21.04.01'!$BB$3)),(VLOOKUP('21.04.01'!J22,'21.04.01'!$AO$4:$AQ$55,2,FALSE))*IF('21.04.01'!$AK22="是",'21.04.01'!$BB$4,'21.04.01'!$BB$3))</f>
        <v>144</v>
      </c>
      <c r="C22" s="4">
        <f>IF(ISNUMBER(SEARCH("营",'21.04.01'!K22)),(-$Y22+50*IF('21.04.01'!$AK22="是",'21.04.01'!$BB$4,'21.04.01'!$BB$3)),(VLOOKUP('21.04.01'!K22,'21.04.01'!$AO$4:$AQ$55,2,FALSE))*IF('21.04.01'!$AK22="是",'21.04.01'!$BB$4,'21.04.01'!$BB$3))</f>
        <v>144</v>
      </c>
      <c r="D22" s="4">
        <f>IF(ISNUMBER(SEARCH("营",'21.04.01'!L22)),(-$Y22+50*IF('21.04.01'!$AK22="是",'21.04.01'!$BB$4,'21.04.01'!$BB$3)),(VLOOKUP('21.04.01'!L22,'21.04.01'!$AO$4:$AQ$55,2,FALSE))*IF('21.04.01'!$AK22="是",'21.04.01'!$BB$4,'21.04.01'!$BB$3))</f>
        <v>144</v>
      </c>
      <c r="E22" s="4">
        <f>IF(ISNUMBER(SEARCH("营",'21.04.01'!M22)),(-$Y22+50*IF('21.04.01'!$AK22="是",'21.04.01'!$BB$4,'21.04.01'!$BB$3)),(VLOOKUP('21.04.01'!M22,'21.04.01'!$AO$4:$AQ$55,2,FALSE))*IF('21.04.01'!$AK22="是",'21.04.01'!$BB$4,'21.04.01'!$BB$3))</f>
        <v>144</v>
      </c>
      <c r="F22" s="4">
        <f>IF(ISNUMBER(SEARCH("营",'21.04.01'!N22)),(-$Y22+50*IF('21.04.01'!$AK22="是",'21.04.01'!$BB$4,'21.04.01'!$BB$3)),(VLOOKUP('21.04.01'!N22,'21.04.01'!$AO$4:$AQ$55,2,FALSE))*IF('21.04.01'!$AK22="是",'21.04.01'!$BB$4,'21.04.01'!$BB$3))</f>
        <v>144</v>
      </c>
      <c r="G22" s="4">
        <f>IF(ISNUMBER(SEARCH("营",'21.04.01'!O22)),(-$Y22+50*IF('21.04.01'!$AK22="是",'21.04.01'!$BB$4,'21.04.01'!$BB$3)),(VLOOKUP('21.04.01'!O22,'21.04.01'!$AO$4:$AQ$55,2,FALSE))*IF('21.04.01'!$AK22="是",'21.04.01'!$BB$4,'21.04.01'!$BB$3))</f>
        <v>0</v>
      </c>
      <c r="H22" s="4">
        <f>IF(ISNUMBER(SEARCH("营",'21.04.01'!P22)),(-$Y22+50*IF('21.04.01'!$AK22="是",'21.04.01'!$BB$4,'21.04.01'!$BB$3)),(VLOOKUP('21.04.01'!P22,'21.04.01'!$AO$4:$AQ$55,2,FALSE))*IF('21.04.01'!$AK22="是",'21.04.01'!$BB$4,'21.04.01'!$BB$3))</f>
        <v>0</v>
      </c>
      <c r="I22" s="4">
        <f>IF(ISNUMBER(SEARCH("营",'21.04.01'!Q22)),(-$Y22+50*IF('21.04.01'!$AK22="是",'21.04.01'!$BB$4,'21.04.01'!$BB$3)),(VLOOKUP('21.04.01'!Q22,'21.04.01'!$AO$4:$AQ$55,2,FALSE))*IF('21.04.01'!$AK22="是",'21.04.01'!$BB$4,'21.04.01'!$BB$3))</f>
        <v>144</v>
      </c>
      <c r="J22" s="4">
        <f>IF(ISNUMBER(SEARCH("营",'21.04.01'!R22)),(-$Y22+50*IF('21.04.01'!$AK22="是",'21.04.01'!$BB$4,'21.04.01'!$BB$3)),(VLOOKUP('21.04.01'!R22,'21.04.01'!$AO$4:$AQ$55,2,FALSE))*IF('21.04.01'!$AK22="是",'21.04.01'!$BB$4,'21.04.01'!$BB$3))</f>
        <v>40</v>
      </c>
      <c r="K22" s="4">
        <f>IF(ISNUMBER(SEARCH("营",'21.04.01'!S22)),(-$Y22+50*IF('21.04.01'!$AK22="是",'21.04.01'!$BB$4,'21.04.01'!$BB$3)),(VLOOKUP('21.04.01'!S22,'21.04.01'!$AO$4:$AQ$55,2,FALSE))*IF('21.04.01'!$AK22="是",'21.04.01'!$BB$4,'21.04.01'!$BB$3))</f>
        <v>136</v>
      </c>
      <c r="L22" s="4">
        <f>IF(ISNUMBER(SEARCH("营",'21.04.01'!T22)),(-$Y22+50*IF('21.04.01'!$AK22="是",'21.04.01'!$BB$4,'21.04.01'!$BB$3)),(VLOOKUP('21.04.01'!T22,'21.04.01'!$AO$4:$AQ$55,2,FALSE))*IF('21.04.01'!$AK22="是",'21.04.01'!$BB$4,'21.04.01'!$BB$3))</f>
        <v>136</v>
      </c>
      <c r="M22" s="4">
        <f>IF(ISNUMBER(SEARCH("营",'21.04.01'!U22)),(-$Y22+50*IF('21.04.01'!$AK22="是",'21.04.01'!$BB$4,'21.04.01'!$BB$3)),(VLOOKUP('21.04.01'!U22,'21.04.01'!$AO$4:$AQ$55,2,FALSE))*IF('21.04.01'!$AK22="是",'21.04.01'!$BB$4,'21.04.01'!$BB$3))</f>
        <v>136</v>
      </c>
      <c r="N22" s="4">
        <f>IF(ISNUMBER(SEARCH("营",'21.04.01'!V22)),(-$Y22+50*IF('21.04.01'!$AK22="是",'21.04.01'!$BB$4,'21.04.01'!$BB$3)),(VLOOKUP('21.04.01'!V22,'21.04.01'!$AO$4:$AQ$55,2,FALSE))*IF('21.04.01'!$AK22="是",'21.04.01'!$BB$4,'21.04.01'!$BB$3))</f>
        <v>136</v>
      </c>
      <c r="O22" s="4">
        <f>IF(ISNUMBER(SEARCH("营",'21.04.01'!W22)),(-$Y22+50*IF('21.04.01'!$AK22="是",'21.04.01'!$BB$4,'21.04.01'!$BB$3)),(VLOOKUP('21.04.01'!W22,'21.04.01'!$AO$4:$AQ$55,2,FALSE))*IF('21.04.01'!$AK22="是",'21.04.01'!$BB$4,'21.04.01'!$BB$3))</f>
        <v>144</v>
      </c>
      <c r="P22" s="4">
        <f>IF(ISNUMBER(SEARCH("营",'21.04.01'!X22)),(-$Y22+50*IF('21.04.01'!$AK22="是",'21.04.01'!$BB$4,'21.04.01'!$BB$3)),(VLOOKUP('21.04.01'!X22,'21.04.01'!$AO$4:$AQ$55,2,FALSE))*IF('21.04.01'!$AK22="是",'21.04.01'!$BB$4,'21.04.01'!$BB$3))</f>
        <v>144</v>
      </c>
      <c r="Q22" s="4">
        <f>IF(ISNUMBER(SEARCH("营",'21.04.01'!Y22)),(-$Y22+50*IF('21.04.01'!$AK22="是",'21.04.01'!$BB$4,'21.04.01'!$BB$3)),(VLOOKUP('21.04.01'!Y22,'21.04.01'!$AO$4:$AQ$55,2,FALSE))*IF('21.04.01'!$AK22="是",'21.04.01'!$BB$4,'21.04.01'!$BB$3))</f>
        <v>152</v>
      </c>
      <c r="R22" s="4">
        <f>IF(ISNUMBER(SEARCH("营",'21.04.01'!Z22)),(-$Y22+50*IF('21.04.01'!$AK22="是",'21.04.01'!$BB$4,'21.04.01'!$BB$3)),(VLOOKUP('21.04.01'!Z22,'21.04.01'!$AO$4:$AQ$55,2,FALSE))*IF('21.04.01'!$AK22="是",'21.04.01'!$BB$4,'21.04.01'!$BB$3))</f>
        <v>-210</v>
      </c>
      <c r="S22" s="4">
        <f>IF(ISNUMBER(SEARCH("营",'21.04.01'!AA22)),(-$Y22+50*IF('21.04.01'!$AK22="是",'21.04.01'!$BB$4,'21.04.01'!$BB$3)),(VLOOKUP('21.04.01'!AA22,'21.04.01'!$AO$4:$AQ$55,2,FALSE))*IF('21.04.01'!$AK22="是",'21.04.01'!$BB$4,'21.04.01'!$BB$3))</f>
        <v>152</v>
      </c>
      <c r="T22" s="4">
        <f>IF(ISNUMBER(SEARCH("营",'21.04.01'!AB22)),(-$Y22+50*IF('21.04.01'!$AK22="是",'21.04.01'!$BB$4,'21.04.01'!$BB$3)),(VLOOKUP('21.04.01'!AB22,'21.04.01'!$AO$4:$AQ$55,2,FALSE))*IF('21.04.01'!$AK22="是",'21.04.01'!$BB$4,'21.04.01'!$BB$3))</f>
        <v>152</v>
      </c>
      <c r="U22" s="4">
        <f>IF(ISNUMBER(SEARCH("营",'21.04.01'!AC22)),(-$Y22+50*IF('21.04.01'!$AK22="是",'21.04.01'!$BB$4,'21.04.01'!$BB$3)),(VLOOKUP('21.04.01'!AC22,'21.04.01'!$AO$4:$AQ$55,2,FALSE))*IF('21.04.01'!$AK22="是",'21.04.01'!$BB$4,'21.04.01'!$BB$3))</f>
        <v>152</v>
      </c>
      <c r="V22" s="4">
        <f>IF(ISNUMBER(SEARCH("营",'21.04.01'!AD22)),(-$Y22+50*IF('21.04.01'!$AK22="是",'21.04.01'!$BB$4,'21.04.01'!$BB$3)),(VLOOKUP('21.04.01'!AD22,'21.04.01'!$AO$4:$AQ$55,2,FALSE))*IF('21.04.01'!$AK22="是",'21.04.01'!$BB$4,'21.04.01'!$BB$3))</f>
        <v>120</v>
      </c>
      <c r="W22" s="4">
        <f>IF(ISNUMBER(SEARCH("营",'21.04.01'!AE22)),(-$Y22+50*IF('21.04.01'!$AK22="是",'21.04.01'!$BB$4,'21.04.01'!$BB$3)),(VLOOKUP('21.04.01'!AE22,'21.04.01'!$AO$4:$AQ$55,2,FALSE))*IF('21.04.01'!$AK22="是",'21.04.01'!$BB$4,'21.04.01'!$BB$3))</f>
        <v>0</v>
      </c>
      <c r="X22" s="4">
        <f>IF(ISNUMBER(SEARCH("营",'21.04.01'!AF22)),(-$Y22+50*IF('21.04.01'!$AK22="是",'21.04.01'!$BB$4,'21.04.01'!$BB$3)),(VLOOKUP('21.04.01'!AF22,'21.04.01'!$AO$4:$AQ$55,2,FALSE))*IF('21.04.01'!$AK22="是",'21.04.01'!$BB$4,'21.04.01'!$BB$3))</f>
        <v>0</v>
      </c>
      <c r="Y22" s="64">
        <v>250</v>
      </c>
      <c r="Z22" s="87">
        <v>45930</v>
      </c>
    </row>
    <row r="23" spans="1:26">
      <c r="A23" s="4">
        <f>IF(ISNUMBER(SEARCH("营",'21.04.01'!I23)),(-$Y23+50*IF('21.04.01'!$AK23="是",'21.04.01'!$BB$4,'21.04.01'!$BB$3)),(VLOOKUP('21.04.01'!I23,'21.04.01'!$AO$4:$AQ$55,2,FALSE))*IF('21.04.01'!$AK23="是",'21.04.01'!$BB$4,'21.04.01'!$BB$3))</f>
        <v>144</v>
      </c>
      <c r="B23" s="4">
        <f>IF(ISNUMBER(SEARCH("营",'21.04.01'!J23)),(-$Y23+50*IF('21.04.01'!$AK23="是",'21.04.01'!$BB$4,'21.04.01'!$BB$3)),(VLOOKUP('21.04.01'!J23,'21.04.01'!$AO$4:$AQ$55,2,FALSE))*IF('21.04.01'!$AK23="是",'21.04.01'!$BB$4,'21.04.01'!$BB$3))</f>
        <v>144</v>
      </c>
      <c r="C23" s="4">
        <f>IF(ISNUMBER(SEARCH("营",'21.04.01'!K23)),(-$Y23+50*IF('21.04.01'!$AK23="是",'21.04.01'!$BB$4,'21.04.01'!$BB$3)),(VLOOKUP('21.04.01'!K23,'21.04.01'!$AO$4:$AQ$55,2,FALSE))*IF('21.04.01'!$AK23="是",'21.04.01'!$BB$4,'21.04.01'!$BB$3))</f>
        <v>144</v>
      </c>
      <c r="D23" s="4">
        <f>IF(ISNUMBER(SEARCH("营",'21.04.01'!L23)),(-$Y23+50*IF('21.04.01'!$AK23="是",'21.04.01'!$BB$4,'21.04.01'!$BB$3)),(VLOOKUP('21.04.01'!L23,'21.04.01'!$AO$4:$AQ$55,2,FALSE))*IF('21.04.01'!$AK23="是",'21.04.01'!$BB$4,'21.04.01'!$BB$3))</f>
        <v>144</v>
      </c>
      <c r="E23" s="4">
        <f>IF(ISNUMBER(SEARCH("营",'21.04.01'!M23)),(-$Y23+50*IF('21.04.01'!$AK23="是",'21.04.01'!$BB$4,'21.04.01'!$BB$3)),(VLOOKUP('21.04.01'!M23,'21.04.01'!$AO$4:$AQ$55,2,FALSE))*IF('21.04.01'!$AK23="是",'21.04.01'!$BB$4,'21.04.01'!$BB$3))</f>
        <v>144</v>
      </c>
      <c r="F23" s="4">
        <f>IF(ISNUMBER(SEARCH("营",'21.04.01'!N23)),(-$Y23+50*IF('21.04.01'!$AK23="是",'21.04.01'!$BB$4,'21.04.01'!$BB$3)),(VLOOKUP('21.04.01'!N23,'21.04.01'!$AO$4:$AQ$55,2,FALSE))*IF('21.04.01'!$AK23="是",'21.04.01'!$BB$4,'21.04.01'!$BB$3))</f>
        <v>144</v>
      </c>
      <c r="G23" s="4">
        <f>IF(ISNUMBER(SEARCH("营",'21.04.01'!O23)),(-$Y23+50*IF('21.04.01'!$AK23="是",'21.04.01'!$BB$4,'21.04.01'!$BB$3)),(VLOOKUP('21.04.01'!O23,'21.04.01'!$AO$4:$AQ$55,2,FALSE))*IF('21.04.01'!$AK23="是",'21.04.01'!$BB$4,'21.04.01'!$BB$3))</f>
        <v>0</v>
      </c>
      <c r="H23" s="4">
        <f>IF(ISNUMBER(SEARCH("营",'21.04.01'!P23)),(-$Y23+50*IF('21.04.01'!$AK23="是",'21.04.01'!$BB$4,'21.04.01'!$BB$3)),(VLOOKUP('21.04.01'!P23,'21.04.01'!$AO$4:$AQ$55,2,FALSE))*IF('21.04.01'!$AK23="是",'21.04.01'!$BB$4,'21.04.01'!$BB$3))</f>
        <v>0</v>
      </c>
      <c r="I23" s="4">
        <f>IF(ISNUMBER(SEARCH("营",'21.04.01'!Q23)),(-$Y23+50*IF('21.04.01'!$AK23="是",'21.04.01'!$BB$4,'21.04.01'!$BB$3)),(VLOOKUP('21.04.01'!Q23,'21.04.01'!$AO$4:$AQ$55,2,FALSE))*IF('21.04.01'!$AK23="是",'21.04.01'!$BB$4,'21.04.01'!$BB$3))</f>
        <v>144</v>
      </c>
      <c r="J23" s="4">
        <f>IF(ISNUMBER(SEARCH("营",'21.04.01'!R23)),(-$Y23+50*IF('21.04.01'!$AK23="是",'21.04.01'!$BB$4,'21.04.01'!$BB$3)),(VLOOKUP('21.04.01'!R23,'21.04.01'!$AO$4:$AQ$55,2,FALSE))*IF('21.04.01'!$AK23="是",'21.04.01'!$BB$4,'21.04.01'!$BB$3))</f>
        <v>-210</v>
      </c>
      <c r="K23" s="4">
        <f>IF(ISNUMBER(SEARCH("营",'21.04.01'!S23)),(-$Y23+50*IF('21.04.01'!$AK23="是",'21.04.01'!$BB$4,'21.04.01'!$BB$3)),(VLOOKUP('21.04.01'!S23,'21.04.01'!$AO$4:$AQ$55,2,FALSE))*IF('21.04.01'!$AK23="是",'21.04.01'!$BB$4,'21.04.01'!$BB$3))</f>
        <v>144</v>
      </c>
      <c r="L23" s="4">
        <f>IF(ISNUMBER(SEARCH("营",'21.04.01'!T23)),(-$Y23+50*IF('21.04.01'!$AK23="是",'21.04.01'!$BB$4,'21.04.01'!$BB$3)),(VLOOKUP('21.04.01'!T23,'21.04.01'!$AO$4:$AQ$55,2,FALSE))*IF('21.04.01'!$AK23="是",'21.04.01'!$BB$4,'21.04.01'!$BB$3))</f>
        <v>144</v>
      </c>
      <c r="M23" s="4">
        <f>IF(ISNUMBER(SEARCH("营",'21.04.01'!U23)),(-$Y23+50*IF('21.04.01'!$AK23="是",'21.04.01'!$BB$4,'21.04.01'!$BB$3)),(VLOOKUP('21.04.01'!U23,'21.04.01'!$AO$4:$AQ$55,2,FALSE))*IF('21.04.01'!$AK23="是",'21.04.01'!$BB$4,'21.04.01'!$BB$3))</f>
        <v>144</v>
      </c>
      <c r="N23" s="4">
        <f>IF(ISNUMBER(SEARCH("营",'21.04.01'!V23)),(-$Y23+50*IF('21.04.01'!$AK23="是",'21.04.01'!$BB$4,'21.04.01'!$BB$3)),(VLOOKUP('21.04.01'!V23,'21.04.01'!$AO$4:$AQ$55,2,FALSE))*IF('21.04.01'!$AK23="是",'21.04.01'!$BB$4,'21.04.01'!$BB$3))</f>
        <v>144</v>
      </c>
      <c r="O23" s="4">
        <f>IF(ISNUMBER(SEARCH("营",'21.04.01'!W23)),(-$Y23+50*IF('21.04.01'!$AK23="是",'21.04.01'!$BB$4,'21.04.01'!$BB$3)),(VLOOKUP('21.04.01'!W23,'21.04.01'!$AO$4:$AQ$55,2,FALSE))*IF('21.04.01'!$AK23="是",'21.04.01'!$BB$4,'21.04.01'!$BB$3))</f>
        <v>144</v>
      </c>
      <c r="P23" s="4">
        <f>IF(ISNUMBER(SEARCH("营",'21.04.01'!X23)),(-$Y23+50*IF('21.04.01'!$AK23="是",'21.04.01'!$BB$4,'21.04.01'!$BB$3)),(VLOOKUP('21.04.01'!X23,'21.04.01'!$AO$4:$AQ$55,2,FALSE))*IF('21.04.01'!$AK23="是",'21.04.01'!$BB$4,'21.04.01'!$BB$3))</f>
        <v>152</v>
      </c>
      <c r="Q23" s="4">
        <f>IF(ISNUMBER(SEARCH("营",'21.04.01'!Y23)),(-$Y23+50*IF('21.04.01'!$AK23="是",'21.04.01'!$BB$4,'21.04.01'!$BB$3)),(VLOOKUP('21.04.01'!Y23,'21.04.01'!$AO$4:$AQ$55,2,FALSE))*IF('21.04.01'!$AK23="是",'21.04.01'!$BB$4,'21.04.01'!$BB$3))</f>
        <v>160</v>
      </c>
      <c r="R23" s="4">
        <f>IF(ISNUMBER(SEARCH("营",'21.04.01'!Z23)),(-$Y23+50*IF('21.04.01'!$AK23="是",'21.04.01'!$BB$4,'21.04.01'!$BB$3)),(VLOOKUP('21.04.01'!Z23,'21.04.01'!$AO$4:$AQ$55,2,FALSE))*IF('21.04.01'!$AK23="是",'21.04.01'!$BB$4,'21.04.01'!$BB$3))</f>
        <v>160</v>
      </c>
      <c r="S23" s="4">
        <f>IF(ISNUMBER(SEARCH("营",'21.04.01'!AA23)),(-$Y23+50*IF('21.04.01'!$AK23="是",'21.04.01'!$BB$4,'21.04.01'!$BB$3)),(VLOOKUP('21.04.01'!AA23,'21.04.01'!$AO$4:$AQ$55,2,FALSE))*IF('21.04.01'!$AK23="是",'21.04.01'!$BB$4,'21.04.01'!$BB$3))</f>
        <v>-210</v>
      </c>
      <c r="T23" s="4">
        <f>IF(ISNUMBER(SEARCH("营",'21.04.01'!AB23)),(-$Y23+50*IF('21.04.01'!$AK23="是",'21.04.01'!$BB$4,'21.04.01'!$BB$3)),(VLOOKUP('21.04.01'!AB23,'21.04.01'!$AO$4:$AQ$55,2,FALSE))*IF('21.04.01'!$AK23="是",'21.04.01'!$BB$4,'21.04.01'!$BB$3))</f>
        <v>0</v>
      </c>
      <c r="U23" s="4">
        <f>IF(ISNUMBER(SEARCH("营",'21.04.01'!AC23)),(-$Y23+50*IF('21.04.01'!$AK23="是",'21.04.01'!$BB$4,'21.04.01'!$BB$3)),(VLOOKUP('21.04.01'!AC23,'21.04.01'!$AO$4:$AQ$55,2,FALSE))*IF('21.04.01'!$AK23="是",'21.04.01'!$BB$4,'21.04.01'!$BB$3))</f>
        <v>0</v>
      </c>
      <c r="V23" s="4">
        <f>IF(ISNUMBER(SEARCH("营",'21.04.01'!AD23)),(-$Y23+50*IF('21.04.01'!$AK23="是",'21.04.01'!$BB$4,'21.04.01'!$BB$3)),(VLOOKUP('21.04.01'!AD23,'21.04.01'!$AO$4:$AQ$55,2,FALSE))*IF('21.04.01'!$AK23="是",'21.04.01'!$BB$4,'21.04.01'!$BB$3))</f>
        <v>0</v>
      </c>
      <c r="W23" s="4">
        <f>IF(ISNUMBER(SEARCH("营",'21.04.01'!AE23)),(-$Y23+50*IF('21.04.01'!$AK23="是",'21.04.01'!$BB$4,'21.04.01'!$BB$3)),(VLOOKUP('21.04.01'!AE23,'21.04.01'!$AO$4:$AQ$55,2,FALSE))*IF('21.04.01'!$AK23="是",'21.04.01'!$BB$4,'21.04.01'!$BB$3))</f>
        <v>0</v>
      </c>
      <c r="X23" s="4">
        <f>IF(ISNUMBER(SEARCH("营",'21.04.01'!AF23)),(-$Y23+50*IF('21.04.01'!$AK23="是",'21.04.01'!$BB$4,'21.04.01'!$BB$3)),(VLOOKUP('21.04.01'!AF23,'21.04.01'!$AO$4:$AQ$55,2,FALSE))*IF('21.04.01'!$AK23="是",'21.04.01'!$BB$4,'21.04.01'!$BB$3))</f>
        <v>0</v>
      </c>
      <c r="Y23" s="64">
        <v>250</v>
      </c>
      <c r="Z23" s="87">
        <v>45931</v>
      </c>
    </row>
    <row r="24" spans="1:26">
      <c r="A24" s="4">
        <f>IF(ISNUMBER(SEARCH("营",'21.04.01'!I24)),(-$Y24+50*IF('21.04.01'!$AK24="是",'21.04.01'!$BB$4,'21.04.01'!$BB$3)),(VLOOKUP('21.04.01'!I24,'21.04.01'!$AO$4:$AQ$55,2,FALSE))*IF('21.04.01'!$AK24="是",'21.04.01'!$BB$4,'21.04.01'!$BB$3))</f>
        <v>144</v>
      </c>
      <c r="B24" s="4">
        <f>IF(ISNUMBER(SEARCH("营",'21.04.01'!J24)),(-$Y24+50*IF('21.04.01'!$AK24="是",'21.04.01'!$BB$4,'21.04.01'!$BB$3)),(VLOOKUP('21.04.01'!J24,'21.04.01'!$AO$4:$AQ$55,2,FALSE))*IF('21.04.01'!$AK24="是",'21.04.01'!$BB$4,'21.04.01'!$BB$3))</f>
        <v>144</v>
      </c>
      <c r="C24" s="4">
        <f>IF(ISNUMBER(SEARCH("营",'21.04.01'!K24)),(-$Y24+50*IF('21.04.01'!$AK24="是",'21.04.01'!$BB$4,'21.04.01'!$BB$3)),(VLOOKUP('21.04.01'!K24,'21.04.01'!$AO$4:$AQ$55,2,FALSE))*IF('21.04.01'!$AK24="是",'21.04.01'!$BB$4,'21.04.01'!$BB$3))</f>
        <v>144</v>
      </c>
      <c r="D24" s="4">
        <f>IF(ISNUMBER(SEARCH("营",'21.04.01'!L24)),(-$Y24+50*IF('21.04.01'!$AK24="是",'21.04.01'!$BB$4,'21.04.01'!$BB$3)),(VLOOKUP('21.04.01'!L24,'21.04.01'!$AO$4:$AQ$55,2,FALSE))*IF('21.04.01'!$AK24="是",'21.04.01'!$BB$4,'21.04.01'!$BB$3))</f>
        <v>144</v>
      </c>
      <c r="E24" s="4">
        <f>IF(ISNUMBER(SEARCH("营",'21.04.01'!M24)),(-$Y24+50*IF('21.04.01'!$AK24="是",'21.04.01'!$BB$4,'21.04.01'!$BB$3)),(VLOOKUP('21.04.01'!M24,'21.04.01'!$AO$4:$AQ$55,2,FALSE))*IF('21.04.01'!$AK24="是",'21.04.01'!$BB$4,'21.04.01'!$BB$3))</f>
        <v>144</v>
      </c>
      <c r="F24" s="4">
        <f>IF(ISNUMBER(SEARCH("营",'21.04.01'!N24)),(-$Y24+50*IF('21.04.01'!$AK24="是",'21.04.01'!$BB$4,'21.04.01'!$BB$3)),(VLOOKUP('21.04.01'!N24,'21.04.01'!$AO$4:$AQ$55,2,FALSE))*IF('21.04.01'!$AK24="是",'21.04.01'!$BB$4,'21.04.01'!$BB$3))</f>
        <v>144</v>
      </c>
      <c r="G24" s="4">
        <f>IF(ISNUMBER(SEARCH("营",'21.04.01'!O24)),(-$Y24+50*IF('21.04.01'!$AK24="是",'21.04.01'!$BB$4,'21.04.01'!$BB$3)),(VLOOKUP('21.04.01'!O24,'21.04.01'!$AO$4:$AQ$55,2,FALSE))*IF('21.04.01'!$AK24="是",'21.04.01'!$BB$4,'21.04.01'!$BB$3))</f>
        <v>0</v>
      </c>
      <c r="H24" s="4">
        <f>IF(ISNUMBER(SEARCH("营",'21.04.01'!P24)),(-$Y24+50*IF('21.04.01'!$AK24="是",'21.04.01'!$BB$4,'21.04.01'!$BB$3)),(VLOOKUP('21.04.01'!P24,'21.04.01'!$AO$4:$AQ$55,2,FALSE))*IF('21.04.01'!$AK24="是",'21.04.01'!$BB$4,'21.04.01'!$BB$3))</f>
        <v>0</v>
      </c>
      <c r="I24" s="4">
        <f>IF(ISNUMBER(SEARCH("营",'21.04.01'!Q24)),(-$Y24+50*IF('21.04.01'!$AK24="是",'21.04.01'!$BB$4,'21.04.01'!$BB$3)),(VLOOKUP('21.04.01'!Q24,'21.04.01'!$AO$4:$AQ$55,2,FALSE))*IF('21.04.01'!$AK24="是",'21.04.01'!$BB$4,'21.04.01'!$BB$3))</f>
        <v>0</v>
      </c>
      <c r="J24" s="4">
        <f>IF(ISNUMBER(SEARCH("营",'21.04.01'!R24)),(-$Y24+50*IF('21.04.01'!$AK24="是",'21.04.01'!$BB$4,'21.04.01'!$BB$3)),(VLOOKUP('21.04.01'!R24,'21.04.01'!$AO$4:$AQ$55,2,FALSE))*IF('21.04.01'!$AK24="是",'21.04.01'!$BB$4,'21.04.01'!$BB$3))</f>
        <v>0</v>
      </c>
      <c r="K24" s="4">
        <f>IF(ISNUMBER(SEARCH("营",'21.04.01'!S24)),(-$Y24+50*IF('21.04.01'!$AK24="是",'21.04.01'!$BB$4,'21.04.01'!$BB$3)),(VLOOKUP('21.04.01'!S24,'21.04.01'!$AO$4:$AQ$55,2,FALSE))*IF('21.04.01'!$AK24="是",'21.04.01'!$BB$4,'21.04.01'!$BB$3))</f>
        <v>0</v>
      </c>
      <c r="L24" s="4">
        <f>IF(ISNUMBER(SEARCH("营",'21.04.01'!T24)),(-$Y24+50*IF('21.04.01'!$AK24="是",'21.04.01'!$BB$4,'21.04.01'!$BB$3)),(VLOOKUP('21.04.01'!T24,'21.04.01'!$AO$4:$AQ$55,2,FALSE))*IF('21.04.01'!$AK24="是",'21.04.01'!$BB$4,'21.04.01'!$BB$3))</f>
        <v>0</v>
      </c>
      <c r="M24" s="4">
        <f>IF(ISNUMBER(SEARCH("营",'21.04.01'!U24)),(-$Y24+50*IF('21.04.01'!$AK24="是",'21.04.01'!$BB$4,'21.04.01'!$BB$3)),(VLOOKUP('21.04.01'!U24,'21.04.01'!$AO$4:$AQ$55,2,FALSE))*IF('21.04.01'!$AK24="是",'21.04.01'!$BB$4,'21.04.01'!$BB$3))</f>
        <v>0</v>
      </c>
      <c r="N24" s="4">
        <f>IF(ISNUMBER(SEARCH("营",'21.04.01'!V24)),(-$Y24+50*IF('21.04.01'!$AK24="是",'21.04.01'!$BB$4,'21.04.01'!$BB$3)),(VLOOKUP('21.04.01'!V24,'21.04.01'!$AO$4:$AQ$55,2,FALSE))*IF('21.04.01'!$AK24="是",'21.04.01'!$BB$4,'21.04.01'!$BB$3))</f>
        <v>0</v>
      </c>
      <c r="O24" s="4">
        <f>IF(ISNUMBER(SEARCH("营",'21.04.01'!W24)),(-$Y24+50*IF('21.04.01'!$AK24="是",'21.04.01'!$BB$4,'21.04.01'!$BB$3)),(VLOOKUP('21.04.01'!W24,'21.04.01'!$AO$4:$AQ$55,2,FALSE))*IF('21.04.01'!$AK24="是",'21.04.01'!$BB$4,'21.04.01'!$BB$3))</f>
        <v>0</v>
      </c>
      <c r="P24" s="4">
        <f>IF(ISNUMBER(SEARCH("营",'21.04.01'!X24)),(-$Y24+50*IF('21.04.01'!$AK24="是",'21.04.01'!$BB$4,'21.04.01'!$BB$3)),(VLOOKUP('21.04.01'!X24,'21.04.01'!$AO$4:$AQ$55,2,FALSE))*IF('21.04.01'!$AK24="是",'21.04.01'!$BB$4,'21.04.01'!$BB$3))</f>
        <v>0</v>
      </c>
      <c r="Q24" s="4">
        <f>IF(ISNUMBER(SEARCH("营",'21.04.01'!Y24)),(-$Y24+50*IF('21.04.01'!$AK24="是",'21.04.01'!$BB$4,'21.04.01'!$BB$3)),(VLOOKUP('21.04.01'!Y24,'21.04.01'!$AO$4:$AQ$55,2,FALSE))*IF('21.04.01'!$AK24="是",'21.04.01'!$BB$4,'21.04.01'!$BB$3))</f>
        <v>0</v>
      </c>
      <c r="R24" s="4">
        <f>IF(ISNUMBER(SEARCH("营",'21.04.01'!Z24)),(-$Y24+50*IF('21.04.01'!$AK24="是",'21.04.01'!$BB$4,'21.04.01'!$BB$3)),(VLOOKUP('21.04.01'!Z24,'21.04.01'!$AO$4:$AQ$55,2,FALSE))*IF('21.04.01'!$AK24="是",'21.04.01'!$BB$4,'21.04.01'!$BB$3))</f>
        <v>0</v>
      </c>
      <c r="S24" s="4">
        <f>IF(ISNUMBER(SEARCH("营",'21.04.01'!AA24)),(-$Y24+50*IF('21.04.01'!$AK24="是",'21.04.01'!$BB$4,'21.04.01'!$BB$3)),(VLOOKUP('21.04.01'!AA24,'21.04.01'!$AO$4:$AQ$55,2,FALSE))*IF('21.04.01'!$AK24="是",'21.04.01'!$BB$4,'21.04.01'!$BB$3))</f>
        <v>0</v>
      </c>
      <c r="T24" s="4">
        <f>IF(ISNUMBER(SEARCH("营",'21.04.01'!AB24)),(-$Y24+50*IF('21.04.01'!$AK24="是",'21.04.01'!$BB$4,'21.04.01'!$BB$3)),(VLOOKUP('21.04.01'!AB24,'21.04.01'!$AO$4:$AQ$55,2,FALSE))*IF('21.04.01'!$AK24="是",'21.04.01'!$BB$4,'21.04.01'!$BB$3))</f>
        <v>0</v>
      </c>
      <c r="U24" s="4">
        <f>IF(ISNUMBER(SEARCH("营",'21.04.01'!AC24)),(-$Y24+50*IF('21.04.01'!$AK24="是",'21.04.01'!$BB$4,'21.04.01'!$BB$3)),(VLOOKUP('21.04.01'!AC24,'21.04.01'!$AO$4:$AQ$55,2,FALSE))*IF('21.04.01'!$AK24="是",'21.04.01'!$BB$4,'21.04.01'!$BB$3))</f>
        <v>0</v>
      </c>
      <c r="V24" s="4">
        <f>IF(ISNUMBER(SEARCH("营",'21.04.01'!AD24)),(-$Y24+50*IF('21.04.01'!$AK24="是",'21.04.01'!$BB$4,'21.04.01'!$BB$3)),(VLOOKUP('21.04.01'!AD24,'21.04.01'!$AO$4:$AQ$55,2,FALSE))*IF('21.04.01'!$AK24="是",'21.04.01'!$BB$4,'21.04.01'!$BB$3))</f>
        <v>0</v>
      </c>
      <c r="W24" s="4">
        <f>IF(ISNUMBER(SEARCH("营",'21.04.01'!AE24)),(-$Y24+50*IF('21.04.01'!$AK24="是",'21.04.01'!$BB$4,'21.04.01'!$BB$3)),(VLOOKUP('21.04.01'!AE24,'21.04.01'!$AO$4:$AQ$55,2,FALSE))*IF('21.04.01'!$AK24="是",'21.04.01'!$BB$4,'21.04.01'!$BB$3))</f>
        <v>0</v>
      </c>
      <c r="X24" s="4">
        <f>IF(ISNUMBER(SEARCH("营",'21.04.01'!AF24)),(-$Y24+50*IF('21.04.01'!$AK24="是",'21.04.01'!$BB$4,'21.04.01'!$BB$3)),(VLOOKUP('21.04.01'!AF24,'21.04.01'!$AO$4:$AQ$55,2,FALSE))*IF('21.04.01'!$AK24="是",'21.04.01'!$BB$4,'21.04.01'!$BB$3))</f>
        <v>0</v>
      </c>
      <c r="Y24" s="63">
        <v>200</v>
      </c>
      <c r="Z24" s="94">
        <v>45932</v>
      </c>
    </row>
    <row r="25" spans="1:26">
      <c r="A25" s="4">
        <f>IF(ISNUMBER(SEARCH("营",'21.04.01'!I25)),(-$Y25+50*IF('21.04.01'!$AK25="是",'21.04.01'!$BB$4,'21.04.01'!$BB$3)),(VLOOKUP('21.04.01'!I25,'21.04.01'!$AO$4:$AQ$55,2,FALSE))*IF('21.04.01'!$AK25="是",'21.04.01'!$BB$4,'21.04.01'!$BB$3))</f>
        <v>144</v>
      </c>
      <c r="B25" s="4">
        <f>IF(ISNUMBER(SEARCH("营",'21.04.01'!J25)),(-$Y25+50*IF('21.04.01'!$AK25="是",'21.04.01'!$BB$4,'21.04.01'!$BB$3)),(VLOOKUP('21.04.01'!J25,'21.04.01'!$AO$4:$AQ$55,2,FALSE))*IF('21.04.01'!$AK25="是",'21.04.01'!$BB$4,'21.04.01'!$BB$3))</f>
        <v>144</v>
      </c>
      <c r="C25" s="4">
        <f>IF(ISNUMBER(SEARCH("营",'21.04.01'!K25)),(-$Y25+50*IF('21.04.01'!$AK25="是",'21.04.01'!$BB$4,'21.04.01'!$BB$3)),(VLOOKUP('21.04.01'!K25,'21.04.01'!$AO$4:$AQ$55,2,FALSE))*IF('21.04.01'!$AK25="是",'21.04.01'!$BB$4,'21.04.01'!$BB$3))</f>
        <v>144</v>
      </c>
      <c r="D25" s="4">
        <f>IF(ISNUMBER(SEARCH("营",'21.04.01'!L25)),(-$Y25+50*IF('21.04.01'!$AK25="是",'21.04.01'!$BB$4,'21.04.01'!$BB$3)),(VLOOKUP('21.04.01'!L25,'21.04.01'!$AO$4:$AQ$55,2,FALSE))*IF('21.04.01'!$AK25="是",'21.04.01'!$BB$4,'21.04.01'!$BB$3))</f>
        <v>144</v>
      </c>
      <c r="E25" s="4">
        <f>IF(ISNUMBER(SEARCH("营",'21.04.01'!M25)),(-$Y25+50*IF('21.04.01'!$AK25="是",'21.04.01'!$BB$4,'21.04.01'!$BB$3)),(VLOOKUP('21.04.01'!M25,'21.04.01'!$AO$4:$AQ$55,2,FALSE))*IF('21.04.01'!$AK25="是",'21.04.01'!$BB$4,'21.04.01'!$BB$3))</f>
        <v>144</v>
      </c>
      <c r="F25" s="4">
        <f>IF(ISNUMBER(SEARCH("营",'21.04.01'!N25)),(-$Y25+50*IF('21.04.01'!$AK25="是",'21.04.01'!$BB$4,'21.04.01'!$BB$3)),(VLOOKUP('21.04.01'!N25,'21.04.01'!$AO$4:$AQ$55,2,FALSE))*IF('21.04.01'!$AK25="是",'21.04.01'!$BB$4,'21.04.01'!$BB$3))</f>
        <v>144</v>
      </c>
      <c r="G25" s="4">
        <f>IF(ISNUMBER(SEARCH("营",'21.04.01'!O25)),(-$Y25+50*IF('21.04.01'!$AK25="是",'21.04.01'!$BB$4,'21.04.01'!$BB$3)),(VLOOKUP('21.04.01'!O25,'21.04.01'!$AO$4:$AQ$55,2,FALSE))*IF('21.04.01'!$AK25="是",'21.04.01'!$BB$4,'21.04.01'!$BB$3))</f>
        <v>0</v>
      </c>
      <c r="H25" s="4">
        <f>IF(ISNUMBER(SEARCH("营",'21.04.01'!P25)),(-$Y25+50*IF('21.04.01'!$AK25="是",'21.04.01'!$BB$4,'21.04.01'!$BB$3)),(VLOOKUP('21.04.01'!P25,'21.04.01'!$AO$4:$AQ$55,2,FALSE))*IF('21.04.01'!$AK25="是",'21.04.01'!$BB$4,'21.04.01'!$BB$3))</f>
        <v>0</v>
      </c>
      <c r="I25" s="4">
        <f>IF(ISNUMBER(SEARCH("营",'21.04.01'!Q25)),(-$Y25+50*IF('21.04.01'!$AK25="是",'21.04.01'!$BB$4,'21.04.01'!$BB$3)),(VLOOKUP('21.04.01'!Q25,'21.04.01'!$AO$4:$AQ$55,2,FALSE))*IF('21.04.01'!$AK25="是",'21.04.01'!$BB$4,'21.04.01'!$BB$3))</f>
        <v>0</v>
      </c>
      <c r="J25" s="4">
        <f>IF(ISNUMBER(SEARCH("营",'21.04.01'!R25)),(-$Y25+50*IF('21.04.01'!$AK25="是",'21.04.01'!$BB$4,'21.04.01'!$BB$3)),(VLOOKUP('21.04.01'!R25,'21.04.01'!$AO$4:$AQ$55,2,FALSE))*IF('21.04.01'!$AK25="是",'21.04.01'!$BB$4,'21.04.01'!$BB$3))</f>
        <v>0</v>
      </c>
      <c r="K25" s="4">
        <f>IF(ISNUMBER(SEARCH("营",'21.04.01'!S25)),(-$Y25+50*IF('21.04.01'!$AK25="是",'21.04.01'!$BB$4,'21.04.01'!$BB$3)),(VLOOKUP('21.04.01'!S25,'21.04.01'!$AO$4:$AQ$55,2,FALSE))*IF('21.04.01'!$AK25="是",'21.04.01'!$BB$4,'21.04.01'!$BB$3))</f>
        <v>0</v>
      </c>
      <c r="L25" s="4">
        <f>IF(ISNUMBER(SEARCH("营",'21.04.01'!T25)),(-$Y25+50*IF('21.04.01'!$AK25="是",'21.04.01'!$BB$4,'21.04.01'!$BB$3)),(VLOOKUP('21.04.01'!T25,'21.04.01'!$AO$4:$AQ$55,2,FALSE))*IF('21.04.01'!$AK25="是",'21.04.01'!$BB$4,'21.04.01'!$BB$3))</f>
        <v>0</v>
      </c>
      <c r="M25" s="4">
        <f>IF(ISNUMBER(SEARCH("营",'21.04.01'!U25)),(-$Y25+50*IF('21.04.01'!$AK25="是",'21.04.01'!$BB$4,'21.04.01'!$BB$3)),(VLOOKUP('21.04.01'!U25,'21.04.01'!$AO$4:$AQ$55,2,FALSE))*IF('21.04.01'!$AK25="是",'21.04.01'!$BB$4,'21.04.01'!$BB$3))</f>
        <v>0</v>
      </c>
      <c r="N25" s="4">
        <f>IF(ISNUMBER(SEARCH("营",'21.04.01'!V25)),(-$Y25+50*IF('21.04.01'!$AK25="是",'21.04.01'!$BB$4,'21.04.01'!$BB$3)),(VLOOKUP('21.04.01'!V25,'21.04.01'!$AO$4:$AQ$55,2,FALSE))*IF('21.04.01'!$AK25="是",'21.04.01'!$BB$4,'21.04.01'!$BB$3))</f>
        <v>0</v>
      </c>
      <c r="O25" s="4">
        <f>IF(ISNUMBER(SEARCH("营",'21.04.01'!W25)),(-$Y25+50*IF('21.04.01'!$AK25="是",'21.04.01'!$BB$4,'21.04.01'!$BB$3)),(VLOOKUP('21.04.01'!W25,'21.04.01'!$AO$4:$AQ$55,2,FALSE))*IF('21.04.01'!$AK25="是",'21.04.01'!$BB$4,'21.04.01'!$BB$3))</f>
        <v>0</v>
      </c>
      <c r="P25" s="4">
        <f>IF(ISNUMBER(SEARCH("营",'21.04.01'!X25)),(-$Y25+50*IF('21.04.01'!$AK25="是",'21.04.01'!$BB$4,'21.04.01'!$BB$3)),(VLOOKUP('21.04.01'!X25,'21.04.01'!$AO$4:$AQ$55,2,FALSE))*IF('21.04.01'!$AK25="是",'21.04.01'!$BB$4,'21.04.01'!$BB$3))</f>
        <v>0</v>
      </c>
      <c r="Q25" s="4">
        <f>IF(ISNUMBER(SEARCH("营",'21.04.01'!Y25)),(-$Y25+50*IF('21.04.01'!$AK25="是",'21.04.01'!$BB$4,'21.04.01'!$BB$3)),(VLOOKUP('21.04.01'!Y25,'21.04.01'!$AO$4:$AQ$55,2,FALSE))*IF('21.04.01'!$AK25="是",'21.04.01'!$BB$4,'21.04.01'!$BB$3))</f>
        <v>0</v>
      </c>
      <c r="R25" s="4">
        <f>IF(ISNUMBER(SEARCH("营",'21.04.01'!Z25)),(-$Y25+50*IF('21.04.01'!$AK25="是",'21.04.01'!$BB$4,'21.04.01'!$BB$3)),(VLOOKUP('21.04.01'!Z25,'21.04.01'!$AO$4:$AQ$55,2,FALSE))*IF('21.04.01'!$AK25="是",'21.04.01'!$BB$4,'21.04.01'!$BB$3))</f>
        <v>0</v>
      </c>
      <c r="S25" s="4">
        <f>IF(ISNUMBER(SEARCH("营",'21.04.01'!AA25)),(-$Y25+50*IF('21.04.01'!$AK25="是",'21.04.01'!$BB$4,'21.04.01'!$BB$3)),(VLOOKUP('21.04.01'!AA25,'21.04.01'!$AO$4:$AQ$55,2,FALSE))*IF('21.04.01'!$AK25="是",'21.04.01'!$BB$4,'21.04.01'!$BB$3))</f>
        <v>0</v>
      </c>
      <c r="T25" s="4">
        <f>IF(ISNUMBER(SEARCH("营",'21.04.01'!AB25)),(-$Y25+50*IF('21.04.01'!$AK25="是",'21.04.01'!$BB$4,'21.04.01'!$BB$3)),(VLOOKUP('21.04.01'!AB25,'21.04.01'!$AO$4:$AQ$55,2,FALSE))*IF('21.04.01'!$AK25="是",'21.04.01'!$BB$4,'21.04.01'!$BB$3))</f>
        <v>0</v>
      </c>
      <c r="U25" s="4">
        <f>IF(ISNUMBER(SEARCH("营",'21.04.01'!AC25)),(-$Y25+50*IF('21.04.01'!$AK25="是",'21.04.01'!$BB$4,'21.04.01'!$BB$3)),(VLOOKUP('21.04.01'!AC25,'21.04.01'!$AO$4:$AQ$55,2,FALSE))*IF('21.04.01'!$AK25="是",'21.04.01'!$BB$4,'21.04.01'!$BB$3))</f>
        <v>0</v>
      </c>
      <c r="V25" s="4">
        <f>IF(ISNUMBER(SEARCH("营",'21.04.01'!AD25)),(-$Y25+50*IF('21.04.01'!$AK25="是",'21.04.01'!$BB$4,'21.04.01'!$BB$3)),(VLOOKUP('21.04.01'!AD25,'21.04.01'!$AO$4:$AQ$55,2,FALSE))*IF('21.04.01'!$AK25="是",'21.04.01'!$BB$4,'21.04.01'!$BB$3))</f>
        <v>0</v>
      </c>
      <c r="W25" s="4">
        <f>IF(ISNUMBER(SEARCH("营",'21.04.01'!AE25)),(-$Y25+50*IF('21.04.01'!$AK25="是",'21.04.01'!$BB$4,'21.04.01'!$BB$3)),(VLOOKUP('21.04.01'!AE25,'21.04.01'!$AO$4:$AQ$55,2,FALSE))*IF('21.04.01'!$AK25="是",'21.04.01'!$BB$4,'21.04.01'!$BB$3))</f>
        <v>0</v>
      </c>
      <c r="X25" s="4">
        <f>IF(ISNUMBER(SEARCH("营",'21.04.01'!AF25)),(-$Y25+50*IF('21.04.01'!$AK25="是",'21.04.01'!$BB$4,'21.04.01'!$BB$3)),(VLOOKUP('21.04.01'!AF25,'21.04.01'!$AO$4:$AQ$55,2,FALSE))*IF('21.04.01'!$AK25="是",'21.04.01'!$BB$4,'21.04.01'!$BB$3))</f>
        <v>0</v>
      </c>
      <c r="Y25" s="63">
        <v>200</v>
      </c>
      <c r="Z25" s="94">
        <v>45933</v>
      </c>
    </row>
    <row r="26" spans="1:26">
      <c r="A26" s="4">
        <f>IF(ISNUMBER(SEARCH("营",'21.04.01'!I26)),(-$Y26+50*IF('21.04.01'!$AK26="是",'21.04.01'!$BB$4,'21.04.01'!$BB$3)),(VLOOKUP('21.04.01'!I26,'21.04.01'!$AO$4:$AQ$55,2,FALSE))*IF('21.04.01'!$AK26="是",'21.04.01'!$BB$4,'21.04.01'!$BB$3))</f>
        <v>120</v>
      </c>
      <c r="B26" s="4">
        <f>IF(ISNUMBER(SEARCH("营",'21.04.01'!J26)),(-$Y26+50*IF('21.04.01'!$AK26="是",'21.04.01'!$BB$4,'21.04.01'!$BB$3)),(VLOOKUP('21.04.01'!J26,'21.04.01'!$AO$4:$AQ$55,2,FALSE))*IF('21.04.01'!$AK26="是",'21.04.01'!$BB$4,'21.04.01'!$BB$3))</f>
        <v>144</v>
      </c>
      <c r="C26" s="4">
        <f>IF(ISNUMBER(SEARCH("营",'21.04.01'!K26)),(-$Y26+50*IF('21.04.01'!$AK26="是",'21.04.01'!$BB$4,'21.04.01'!$BB$3)),(VLOOKUP('21.04.01'!K26,'21.04.01'!$AO$4:$AQ$55,2,FALSE))*IF('21.04.01'!$AK26="是",'21.04.01'!$BB$4,'21.04.01'!$BB$3))</f>
        <v>144</v>
      </c>
      <c r="D26" s="4">
        <f>IF(ISNUMBER(SEARCH("营",'21.04.01'!L26)),(-$Y26+50*IF('21.04.01'!$AK26="是",'21.04.01'!$BB$4,'21.04.01'!$BB$3)),(VLOOKUP('21.04.01'!L26,'21.04.01'!$AO$4:$AQ$55,2,FALSE))*IF('21.04.01'!$AK26="是",'21.04.01'!$BB$4,'21.04.01'!$BB$3))</f>
        <v>144</v>
      </c>
      <c r="E26" s="4">
        <f>IF(ISNUMBER(SEARCH("营",'21.04.01'!M26)),(-$Y26+50*IF('21.04.01'!$AK26="是",'21.04.01'!$BB$4,'21.04.01'!$BB$3)),(VLOOKUP('21.04.01'!M26,'21.04.01'!$AO$4:$AQ$55,2,FALSE))*IF('21.04.01'!$AK26="是",'21.04.01'!$BB$4,'21.04.01'!$BB$3))</f>
        <v>144</v>
      </c>
      <c r="F26" s="4">
        <f>IF(ISNUMBER(SEARCH("营",'21.04.01'!N26)),(-$Y26+50*IF('21.04.01'!$AK26="是",'21.04.01'!$BB$4,'21.04.01'!$BB$3)),(VLOOKUP('21.04.01'!N26,'21.04.01'!$AO$4:$AQ$55,2,FALSE))*IF('21.04.01'!$AK26="是",'21.04.01'!$BB$4,'21.04.01'!$BB$3))</f>
        <v>144</v>
      </c>
      <c r="G26" s="4">
        <f>IF(ISNUMBER(SEARCH("营",'21.04.01'!O26)),(-$Y26+50*IF('21.04.01'!$AK26="是",'21.04.01'!$BB$4,'21.04.01'!$BB$3)),(VLOOKUP('21.04.01'!O26,'21.04.01'!$AO$4:$AQ$55,2,FALSE))*IF('21.04.01'!$AK26="是",'21.04.01'!$BB$4,'21.04.01'!$BB$3))</f>
        <v>0</v>
      </c>
      <c r="H26" s="4">
        <f>IF(ISNUMBER(SEARCH("营",'21.04.01'!P26)),(-$Y26+50*IF('21.04.01'!$AK26="是",'21.04.01'!$BB$4,'21.04.01'!$BB$3)),(VLOOKUP('21.04.01'!P26,'21.04.01'!$AO$4:$AQ$55,2,FALSE))*IF('21.04.01'!$AK26="是",'21.04.01'!$BB$4,'21.04.01'!$BB$3))</f>
        <v>0</v>
      </c>
      <c r="I26" s="4">
        <f>IF(ISNUMBER(SEARCH("营",'21.04.01'!Q26)),(-$Y26+50*IF('21.04.01'!$AK26="是",'21.04.01'!$BB$4,'21.04.01'!$BB$3)),(VLOOKUP('21.04.01'!Q26,'21.04.01'!$AO$4:$AQ$55,2,FALSE))*IF('21.04.01'!$AK26="是",'21.04.01'!$BB$4,'21.04.01'!$BB$3))</f>
        <v>160</v>
      </c>
      <c r="J26" s="4">
        <f>IF(ISNUMBER(SEARCH("营",'21.04.01'!R26)),(-$Y26+50*IF('21.04.01'!$AK26="是",'21.04.01'!$BB$4,'21.04.01'!$BB$3)),(VLOOKUP('21.04.01'!R26,'21.04.01'!$AO$4:$AQ$55,2,FALSE))*IF('21.04.01'!$AK26="是",'21.04.01'!$BB$4,'21.04.01'!$BB$3))</f>
        <v>160</v>
      </c>
      <c r="K26" s="4">
        <f>IF(ISNUMBER(SEARCH("营",'21.04.01'!S26)),(-$Y26+50*IF('21.04.01'!$AK26="是",'21.04.01'!$BB$4,'21.04.01'!$BB$3)),(VLOOKUP('21.04.01'!S26,'21.04.01'!$AO$4:$AQ$55,2,FALSE))*IF('21.04.01'!$AK26="是",'21.04.01'!$BB$4,'21.04.01'!$BB$3))</f>
        <v>160</v>
      </c>
      <c r="L26" s="4">
        <f>IF(ISNUMBER(SEARCH("营",'21.04.01'!T26)),(-$Y26+50*IF('21.04.01'!$AK26="是",'21.04.01'!$BB$4,'21.04.01'!$BB$3)),(VLOOKUP('21.04.01'!T26,'21.04.01'!$AO$4:$AQ$55,2,FALSE))*IF('21.04.01'!$AK26="是",'21.04.01'!$BB$4,'21.04.01'!$BB$3))</f>
        <v>160</v>
      </c>
      <c r="M26" s="4">
        <f>IF(ISNUMBER(SEARCH("营",'21.04.01'!U26)),(-$Y26+50*IF('21.04.01'!$AK26="是",'21.04.01'!$BB$4,'21.04.01'!$BB$3)),(VLOOKUP('21.04.01'!U26,'21.04.01'!$AO$4:$AQ$55,2,FALSE))*IF('21.04.01'!$AK26="是",'21.04.01'!$BB$4,'21.04.01'!$BB$3))</f>
        <v>160</v>
      </c>
      <c r="N26" s="4">
        <f>IF(ISNUMBER(SEARCH("营",'21.04.01'!V26)),(-$Y26+50*IF('21.04.01'!$AK26="是",'21.04.01'!$BB$4,'21.04.01'!$BB$3)),(VLOOKUP('21.04.01'!V26,'21.04.01'!$AO$4:$AQ$55,2,FALSE))*IF('21.04.01'!$AK26="是",'21.04.01'!$BB$4,'21.04.01'!$BB$3))</f>
        <v>160</v>
      </c>
      <c r="O26" s="4">
        <f>IF(ISNUMBER(SEARCH("营",'21.04.01'!W26)),(-$Y26+50*IF('21.04.01'!$AK26="是",'21.04.01'!$BB$4,'21.04.01'!$BB$3)),(VLOOKUP('21.04.01'!W26,'21.04.01'!$AO$4:$AQ$55,2,FALSE))*IF('21.04.01'!$AK26="是",'21.04.01'!$BB$4,'21.04.01'!$BB$3))</f>
        <v>0</v>
      </c>
      <c r="P26" s="4">
        <f>IF(ISNUMBER(SEARCH("营",'21.04.01'!X26)),(-$Y26+50*IF('21.04.01'!$AK26="是",'21.04.01'!$BB$4,'21.04.01'!$BB$3)),(VLOOKUP('21.04.01'!X26,'21.04.01'!$AO$4:$AQ$55,2,FALSE))*IF('21.04.01'!$AK26="是",'21.04.01'!$BB$4,'21.04.01'!$BB$3))</f>
        <v>0</v>
      </c>
      <c r="Q26" s="4">
        <f>IF(ISNUMBER(SEARCH("营",'21.04.01'!Y26)),(-$Y26+50*IF('21.04.01'!$AK26="是",'21.04.01'!$BB$4,'21.04.01'!$BB$3)),(VLOOKUP('21.04.01'!Y26,'21.04.01'!$AO$4:$AQ$55,2,FALSE))*IF('21.04.01'!$AK26="是",'21.04.01'!$BB$4,'21.04.01'!$BB$3))</f>
        <v>0</v>
      </c>
      <c r="R26" s="4">
        <f>IF(ISNUMBER(SEARCH("营",'21.04.01'!Z26)),(-$Y26+50*IF('21.04.01'!$AK26="是",'21.04.01'!$BB$4,'21.04.01'!$BB$3)),(VLOOKUP('21.04.01'!Z26,'21.04.01'!$AO$4:$AQ$55,2,FALSE))*IF('21.04.01'!$AK26="是",'21.04.01'!$BB$4,'21.04.01'!$BB$3))</f>
        <v>0</v>
      </c>
      <c r="S26" s="4">
        <f>IF(ISNUMBER(SEARCH("营",'21.04.01'!AA26)),(-$Y26+50*IF('21.04.01'!$AK26="是",'21.04.01'!$BB$4,'21.04.01'!$BB$3)),(VLOOKUP('21.04.01'!AA26,'21.04.01'!$AO$4:$AQ$55,2,FALSE))*IF('21.04.01'!$AK26="是",'21.04.01'!$BB$4,'21.04.01'!$BB$3))</f>
        <v>0</v>
      </c>
      <c r="T26" s="4">
        <f>IF(ISNUMBER(SEARCH("营",'21.04.01'!AB26)),(-$Y26+50*IF('21.04.01'!$AK26="是",'21.04.01'!$BB$4,'21.04.01'!$BB$3)),(VLOOKUP('21.04.01'!AB26,'21.04.01'!$AO$4:$AQ$55,2,FALSE))*IF('21.04.01'!$AK26="是",'21.04.01'!$BB$4,'21.04.01'!$BB$3))</f>
        <v>0</v>
      </c>
      <c r="U26" s="4">
        <f>IF(ISNUMBER(SEARCH("营",'21.04.01'!AC26)),(-$Y26+50*IF('21.04.01'!$AK26="是",'21.04.01'!$BB$4,'21.04.01'!$BB$3)),(VLOOKUP('21.04.01'!AC26,'21.04.01'!$AO$4:$AQ$55,2,FALSE))*IF('21.04.01'!$AK26="是",'21.04.01'!$BB$4,'21.04.01'!$BB$3))</f>
        <v>0</v>
      </c>
      <c r="V26" s="4">
        <f>IF(ISNUMBER(SEARCH("营",'21.04.01'!AD26)),(-$Y26+50*IF('21.04.01'!$AK26="是",'21.04.01'!$BB$4,'21.04.01'!$BB$3)),(VLOOKUP('21.04.01'!AD26,'21.04.01'!$AO$4:$AQ$55,2,FALSE))*IF('21.04.01'!$AK26="是",'21.04.01'!$BB$4,'21.04.01'!$BB$3))</f>
        <v>0</v>
      </c>
      <c r="W26" s="4">
        <f>IF(ISNUMBER(SEARCH("营",'21.04.01'!AE26)),(-$Y26+50*IF('21.04.01'!$AK26="是",'21.04.01'!$BB$4,'21.04.01'!$BB$3)),(VLOOKUP('21.04.01'!AE26,'21.04.01'!$AO$4:$AQ$55,2,FALSE))*IF('21.04.01'!$AK26="是",'21.04.01'!$BB$4,'21.04.01'!$BB$3))</f>
        <v>0</v>
      </c>
      <c r="X26" s="4">
        <f>IF(ISNUMBER(SEARCH("营",'21.04.01'!AF26)),(-$Y26+50*IF('21.04.01'!$AK26="是",'21.04.01'!$BB$4,'21.04.01'!$BB$3)),(VLOOKUP('21.04.01'!AF26,'21.04.01'!$AO$4:$AQ$55,2,FALSE))*IF('21.04.01'!$AK26="是",'21.04.01'!$BB$4,'21.04.01'!$BB$3))</f>
        <v>0</v>
      </c>
      <c r="Y26" s="63">
        <v>200</v>
      </c>
      <c r="Z26" s="94">
        <v>45934</v>
      </c>
    </row>
    <row r="27" spans="1:26">
      <c r="A27" s="4">
        <f>IF(ISNUMBER(SEARCH("营",'21.04.01'!I27)),(-$Y27+50*IF('21.04.01'!$AK27="是",'21.04.01'!$BB$4,'21.04.01'!$BB$3)),(VLOOKUP('21.04.01'!I27,'21.04.01'!$AO$4:$AQ$55,2,FALSE))*IF('21.04.01'!$AK27="是",'21.04.01'!$BB$4,'21.04.01'!$BB$3))</f>
        <v>144</v>
      </c>
      <c r="B27" s="4">
        <f>IF(ISNUMBER(SEARCH("营",'21.04.01'!J27)),(-$Y27+50*IF('21.04.01'!$AK27="是",'21.04.01'!$BB$4,'21.04.01'!$BB$3)),(VLOOKUP('21.04.01'!J27,'21.04.01'!$AO$4:$AQ$55,2,FALSE))*IF('21.04.01'!$AK27="是",'21.04.01'!$BB$4,'21.04.01'!$BB$3))</f>
        <v>144</v>
      </c>
      <c r="C27" s="4">
        <f>IF(ISNUMBER(SEARCH("营",'21.04.01'!K27)),(-$Y27+50*IF('21.04.01'!$AK27="是",'21.04.01'!$BB$4,'21.04.01'!$BB$3)),(VLOOKUP('21.04.01'!K27,'21.04.01'!$AO$4:$AQ$55,2,FALSE))*IF('21.04.01'!$AK27="是",'21.04.01'!$BB$4,'21.04.01'!$BB$3))</f>
        <v>144</v>
      </c>
      <c r="D27" s="4">
        <f>IF(ISNUMBER(SEARCH("营",'21.04.01'!L27)),(-$Y27+50*IF('21.04.01'!$AK27="是",'21.04.01'!$BB$4,'21.04.01'!$BB$3)),(VLOOKUP('21.04.01'!L27,'21.04.01'!$AO$4:$AQ$55,2,FALSE))*IF('21.04.01'!$AK27="是",'21.04.01'!$BB$4,'21.04.01'!$BB$3))</f>
        <v>144</v>
      </c>
      <c r="E27" s="4">
        <f>IF(ISNUMBER(SEARCH("营",'21.04.01'!M27)),(-$Y27+50*IF('21.04.01'!$AK27="是",'21.04.01'!$BB$4,'21.04.01'!$BB$3)),(VLOOKUP('21.04.01'!M27,'21.04.01'!$AO$4:$AQ$55,2,FALSE))*IF('21.04.01'!$AK27="是",'21.04.01'!$BB$4,'21.04.01'!$BB$3))</f>
        <v>120</v>
      </c>
      <c r="F27" s="4">
        <f>IF(ISNUMBER(SEARCH("营",'21.04.01'!N27)),(-$Y27+50*IF('21.04.01'!$AK27="是",'21.04.01'!$BB$4,'21.04.01'!$BB$3)),(VLOOKUP('21.04.01'!N27,'21.04.01'!$AO$4:$AQ$55,2,FALSE))*IF('21.04.01'!$AK27="是",'21.04.01'!$BB$4,'21.04.01'!$BB$3))</f>
        <v>136</v>
      </c>
      <c r="G27" s="4">
        <f>IF(ISNUMBER(SEARCH("营",'21.04.01'!O27)),(-$Y27+50*IF('21.04.01'!$AK27="是",'21.04.01'!$BB$4,'21.04.01'!$BB$3)),(VLOOKUP('21.04.01'!O27,'21.04.01'!$AO$4:$AQ$55,2,FALSE))*IF('21.04.01'!$AK27="是",'21.04.01'!$BB$4,'21.04.01'!$BB$3))</f>
        <v>0</v>
      </c>
      <c r="H27" s="4">
        <f>IF(ISNUMBER(SEARCH("营",'21.04.01'!P27)),(-$Y27+50*IF('21.04.01'!$AK27="是",'21.04.01'!$BB$4,'21.04.01'!$BB$3)),(VLOOKUP('21.04.01'!P27,'21.04.01'!$AO$4:$AQ$55,2,FALSE))*IF('21.04.01'!$AK27="是",'21.04.01'!$BB$4,'21.04.01'!$BB$3))</f>
        <v>0</v>
      </c>
      <c r="I27" s="4">
        <f>IF(ISNUMBER(SEARCH("营",'21.04.01'!Q27)),(-$Y27+50*IF('21.04.01'!$AK27="是",'21.04.01'!$BB$4,'21.04.01'!$BB$3)),(VLOOKUP('21.04.01'!Q27,'21.04.01'!$AO$4:$AQ$55,2,FALSE))*IF('21.04.01'!$AK27="是",'21.04.01'!$BB$4,'21.04.01'!$BB$3))</f>
        <v>160</v>
      </c>
      <c r="J27" s="4">
        <f>IF(ISNUMBER(SEARCH("营",'21.04.01'!R27)),(-$Y27+50*IF('21.04.01'!$AK27="是",'21.04.01'!$BB$4,'21.04.01'!$BB$3)),(VLOOKUP('21.04.01'!R27,'21.04.01'!$AO$4:$AQ$55,2,FALSE))*IF('21.04.01'!$AK27="是",'21.04.01'!$BB$4,'21.04.01'!$BB$3))</f>
        <v>160</v>
      </c>
      <c r="K27" s="4">
        <f>IF(ISNUMBER(SEARCH("营",'21.04.01'!S27)),(-$Y27+50*IF('21.04.01'!$AK27="是",'21.04.01'!$BB$4,'21.04.01'!$BB$3)),(VLOOKUP('21.04.01'!S27,'21.04.01'!$AO$4:$AQ$55,2,FALSE))*IF('21.04.01'!$AK27="是",'21.04.01'!$BB$4,'21.04.01'!$BB$3))</f>
        <v>160</v>
      </c>
      <c r="L27" s="4">
        <f>IF(ISNUMBER(SEARCH("营",'21.04.01'!T27)),(-$Y27+50*IF('21.04.01'!$AK27="是",'21.04.01'!$BB$4,'21.04.01'!$BB$3)),(VLOOKUP('21.04.01'!T27,'21.04.01'!$AO$4:$AQ$55,2,FALSE))*IF('21.04.01'!$AK27="是",'21.04.01'!$BB$4,'21.04.01'!$BB$3))</f>
        <v>160</v>
      </c>
      <c r="M27" s="4">
        <f>IF(ISNUMBER(SEARCH("营",'21.04.01'!U27)),(-$Y27+50*IF('21.04.01'!$AK27="是",'21.04.01'!$BB$4,'21.04.01'!$BB$3)),(VLOOKUP('21.04.01'!U27,'21.04.01'!$AO$4:$AQ$55,2,FALSE))*IF('21.04.01'!$AK27="是",'21.04.01'!$BB$4,'21.04.01'!$BB$3))</f>
        <v>160</v>
      </c>
      <c r="N27" s="4">
        <f>IF(ISNUMBER(SEARCH("营",'21.04.01'!V27)),(-$Y27+50*IF('21.04.01'!$AK27="是",'21.04.01'!$BB$4,'21.04.01'!$BB$3)),(VLOOKUP('21.04.01'!V27,'21.04.01'!$AO$4:$AQ$55,2,FALSE))*IF('21.04.01'!$AK27="是",'21.04.01'!$BB$4,'21.04.01'!$BB$3))</f>
        <v>160</v>
      </c>
      <c r="O27" s="4">
        <f>IF(ISNUMBER(SEARCH("营",'21.04.01'!W27)),(-$Y27+50*IF('21.04.01'!$AK27="是",'21.04.01'!$BB$4,'21.04.01'!$BB$3)),(VLOOKUP('21.04.01'!W27,'21.04.01'!$AO$4:$AQ$55,2,FALSE))*IF('21.04.01'!$AK27="是",'21.04.01'!$BB$4,'21.04.01'!$BB$3))</f>
        <v>0</v>
      </c>
      <c r="P27" s="4">
        <f>IF(ISNUMBER(SEARCH("营",'21.04.01'!X27)),(-$Y27+50*IF('21.04.01'!$AK27="是",'21.04.01'!$BB$4,'21.04.01'!$BB$3)),(VLOOKUP('21.04.01'!X27,'21.04.01'!$AO$4:$AQ$55,2,FALSE))*IF('21.04.01'!$AK27="是",'21.04.01'!$BB$4,'21.04.01'!$BB$3))</f>
        <v>0</v>
      </c>
      <c r="Q27" s="4">
        <f>IF(ISNUMBER(SEARCH("营",'21.04.01'!Y27)),(-$Y27+50*IF('21.04.01'!$AK27="是",'21.04.01'!$BB$4,'21.04.01'!$BB$3)),(VLOOKUP('21.04.01'!Y27,'21.04.01'!$AO$4:$AQ$55,2,FALSE))*IF('21.04.01'!$AK27="是",'21.04.01'!$BB$4,'21.04.01'!$BB$3))</f>
        <v>0</v>
      </c>
      <c r="R27" s="4">
        <f>IF(ISNUMBER(SEARCH("营",'21.04.01'!Z27)),(-$Y27+50*IF('21.04.01'!$AK27="是",'21.04.01'!$BB$4,'21.04.01'!$BB$3)),(VLOOKUP('21.04.01'!Z27,'21.04.01'!$AO$4:$AQ$55,2,FALSE))*IF('21.04.01'!$AK27="是",'21.04.01'!$BB$4,'21.04.01'!$BB$3))</f>
        <v>0</v>
      </c>
      <c r="S27" s="4">
        <f>IF(ISNUMBER(SEARCH("营",'21.04.01'!AA27)),(-$Y27+50*IF('21.04.01'!$AK27="是",'21.04.01'!$BB$4,'21.04.01'!$BB$3)),(VLOOKUP('21.04.01'!AA27,'21.04.01'!$AO$4:$AQ$55,2,FALSE))*IF('21.04.01'!$AK27="是",'21.04.01'!$BB$4,'21.04.01'!$BB$3))</f>
        <v>0</v>
      </c>
      <c r="T27" s="4">
        <f>IF(ISNUMBER(SEARCH("营",'21.04.01'!AB27)),(-$Y27+50*IF('21.04.01'!$AK27="是",'21.04.01'!$BB$4,'21.04.01'!$BB$3)),(VLOOKUP('21.04.01'!AB27,'21.04.01'!$AO$4:$AQ$55,2,FALSE))*IF('21.04.01'!$AK27="是",'21.04.01'!$BB$4,'21.04.01'!$BB$3))</f>
        <v>0</v>
      </c>
      <c r="U27" s="4">
        <f>IF(ISNUMBER(SEARCH("营",'21.04.01'!AC27)),(-$Y27+50*IF('21.04.01'!$AK27="是",'21.04.01'!$BB$4,'21.04.01'!$BB$3)),(VLOOKUP('21.04.01'!AC27,'21.04.01'!$AO$4:$AQ$55,2,FALSE))*IF('21.04.01'!$AK27="是",'21.04.01'!$BB$4,'21.04.01'!$BB$3))</f>
        <v>0</v>
      </c>
      <c r="V27" s="4">
        <f>IF(ISNUMBER(SEARCH("营",'21.04.01'!AD27)),(-$Y27+50*IF('21.04.01'!$AK27="是",'21.04.01'!$BB$4,'21.04.01'!$BB$3)),(VLOOKUP('21.04.01'!AD27,'21.04.01'!$AO$4:$AQ$55,2,FALSE))*IF('21.04.01'!$AK27="是",'21.04.01'!$BB$4,'21.04.01'!$BB$3))</f>
        <v>0</v>
      </c>
      <c r="W27" s="4">
        <f>IF(ISNUMBER(SEARCH("营",'21.04.01'!AE27)),(-$Y27+50*IF('21.04.01'!$AK27="是",'21.04.01'!$BB$4,'21.04.01'!$BB$3)),(VLOOKUP('21.04.01'!AE27,'21.04.01'!$AO$4:$AQ$55,2,FALSE))*IF('21.04.01'!$AK27="是",'21.04.01'!$BB$4,'21.04.01'!$BB$3))</f>
        <v>0</v>
      </c>
      <c r="X27" s="4">
        <f>IF(ISNUMBER(SEARCH("营",'21.04.01'!AF27)),(-$Y27+50*IF('21.04.01'!$AK27="是",'21.04.01'!$BB$4,'21.04.01'!$BB$3)),(VLOOKUP('21.04.01'!AF27,'21.04.01'!$AO$4:$AQ$55,2,FALSE))*IF('21.04.01'!$AK27="是",'21.04.01'!$BB$4,'21.04.01'!$BB$3))</f>
        <v>0</v>
      </c>
      <c r="Y27" s="63">
        <v>200</v>
      </c>
      <c r="Z27" s="94">
        <v>45935</v>
      </c>
    </row>
    <row r="28" spans="1:26">
      <c r="A28" s="4">
        <f>IF(ISNUMBER(SEARCH("营",'21.04.01'!I28)),(-$Y28+50*IF('21.04.01'!$AK28="是",'21.04.01'!$BB$4,'21.04.01'!$BB$3)),(VLOOKUP('21.04.01'!I28,'21.04.01'!$AO$4:$AQ$55,2,FALSE))*IF('21.04.01'!$AK28="是",'21.04.01'!$BB$4,'21.04.01'!$BB$3))</f>
        <v>136</v>
      </c>
      <c r="B28" s="4">
        <f>IF(ISNUMBER(SEARCH("营",'21.04.01'!J28)),(-$Y28+50*IF('21.04.01'!$AK28="是",'21.04.01'!$BB$4,'21.04.01'!$BB$3)),(VLOOKUP('21.04.01'!J28,'21.04.01'!$AO$4:$AQ$55,2,FALSE))*IF('21.04.01'!$AK28="是",'21.04.01'!$BB$4,'21.04.01'!$BB$3))</f>
        <v>144</v>
      </c>
      <c r="C28" s="4">
        <f>IF(ISNUMBER(SEARCH("营",'21.04.01'!K28)),(-$Y28+50*IF('21.04.01'!$AK28="是",'21.04.01'!$BB$4,'21.04.01'!$BB$3)),(VLOOKUP('21.04.01'!K28,'21.04.01'!$AO$4:$AQ$55,2,FALSE))*IF('21.04.01'!$AK28="是",'21.04.01'!$BB$4,'21.04.01'!$BB$3))</f>
        <v>136</v>
      </c>
      <c r="D28" s="4">
        <f>IF(ISNUMBER(SEARCH("营",'21.04.01'!L28)),(-$Y28+50*IF('21.04.01'!$AK28="是",'21.04.01'!$BB$4,'21.04.01'!$BB$3)),(VLOOKUP('21.04.01'!L28,'21.04.01'!$AO$4:$AQ$55,2,FALSE))*IF('21.04.01'!$AK28="是",'21.04.01'!$BB$4,'21.04.01'!$BB$3))</f>
        <v>0</v>
      </c>
      <c r="E28" s="4">
        <f>IF(ISNUMBER(SEARCH("营",'21.04.01'!M28)),(-$Y28+50*IF('21.04.01'!$AK28="是",'21.04.01'!$BB$4,'21.04.01'!$BB$3)),(VLOOKUP('21.04.01'!M28,'21.04.01'!$AO$4:$AQ$55,2,FALSE))*IF('21.04.01'!$AK28="是",'21.04.01'!$BB$4,'21.04.01'!$BB$3))</f>
        <v>0</v>
      </c>
      <c r="F28" s="4">
        <f>IF(ISNUMBER(SEARCH("营",'21.04.01'!N28)),(-$Y28+50*IF('21.04.01'!$AK28="是",'21.04.01'!$BB$4,'21.04.01'!$BB$3)),(VLOOKUP('21.04.01'!N28,'21.04.01'!$AO$4:$AQ$55,2,FALSE))*IF('21.04.01'!$AK28="是",'21.04.01'!$BB$4,'21.04.01'!$BB$3))</f>
        <v>0</v>
      </c>
      <c r="G28" s="4">
        <f>IF(ISNUMBER(SEARCH("营",'21.04.01'!O28)),(-$Y28+50*IF('21.04.01'!$AK28="是",'21.04.01'!$BB$4,'21.04.01'!$BB$3)),(VLOOKUP('21.04.01'!O28,'21.04.01'!$AO$4:$AQ$55,2,FALSE))*IF('21.04.01'!$AK28="是",'21.04.01'!$BB$4,'21.04.01'!$BB$3))</f>
        <v>0</v>
      </c>
      <c r="H28" s="4">
        <f>IF(ISNUMBER(SEARCH("营",'21.04.01'!P28)),(-$Y28+50*IF('21.04.01'!$AK28="是",'21.04.01'!$BB$4,'21.04.01'!$BB$3)),(VLOOKUP('21.04.01'!P28,'21.04.01'!$AO$4:$AQ$55,2,FALSE))*IF('21.04.01'!$AK28="是",'21.04.01'!$BB$4,'21.04.01'!$BB$3))</f>
        <v>0</v>
      </c>
      <c r="I28" s="4">
        <f>IF(ISNUMBER(SEARCH("营",'21.04.01'!Q28)),(-$Y28+50*IF('21.04.01'!$AK28="是",'21.04.01'!$BB$4,'21.04.01'!$BB$3)),(VLOOKUP('21.04.01'!Q28,'21.04.01'!$AO$4:$AQ$55,2,FALSE))*IF('21.04.01'!$AK28="是",'21.04.01'!$BB$4,'21.04.01'!$BB$3))</f>
        <v>200</v>
      </c>
      <c r="J28" s="4">
        <f>IF(ISNUMBER(SEARCH("营",'21.04.01'!R28)),(-$Y28+50*IF('21.04.01'!$AK28="是",'21.04.01'!$BB$4,'21.04.01'!$BB$3)),(VLOOKUP('21.04.01'!R28,'21.04.01'!$AO$4:$AQ$55,2,FALSE))*IF('21.04.01'!$AK28="是",'21.04.01'!$BB$4,'21.04.01'!$BB$3))</f>
        <v>160</v>
      </c>
      <c r="K28" s="4">
        <f>IF(ISNUMBER(SEARCH("营",'21.04.01'!S28)),(-$Y28+50*IF('21.04.01'!$AK28="是",'21.04.01'!$BB$4,'21.04.01'!$BB$3)),(VLOOKUP('21.04.01'!S28,'21.04.01'!$AO$4:$AQ$55,2,FALSE))*IF('21.04.01'!$AK28="是",'21.04.01'!$BB$4,'21.04.01'!$BB$3))</f>
        <v>160</v>
      </c>
      <c r="L28" s="4">
        <f>IF(ISNUMBER(SEARCH("营",'21.04.01'!T28)),(-$Y28+50*IF('21.04.01'!$AK28="是",'21.04.01'!$BB$4,'21.04.01'!$BB$3)),(VLOOKUP('21.04.01'!T28,'21.04.01'!$AO$4:$AQ$55,2,FALSE))*IF('21.04.01'!$AK28="是",'21.04.01'!$BB$4,'21.04.01'!$BB$3))</f>
        <v>160</v>
      </c>
      <c r="M28" s="4">
        <f>IF(ISNUMBER(SEARCH("营",'21.04.01'!U28)),(-$Y28+50*IF('21.04.01'!$AK28="是",'21.04.01'!$BB$4,'21.04.01'!$BB$3)),(VLOOKUP('21.04.01'!U28,'21.04.01'!$AO$4:$AQ$55,2,FALSE))*IF('21.04.01'!$AK28="是",'21.04.01'!$BB$4,'21.04.01'!$BB$3))</f>
        <v>160</v>
      </c>
      <c r="N28" s="4">
        <f>IF(ISNUMBER(SEARCH("营",'21.04.01'!V28)),(-$Y28+50*IF('21.04.01'!$AK28="是",'21.04.01'!$BB$4,'21.04.01'!$BB$3)),(VLOOKUP('21.04.01'!V28,'21.04.01'!$AO$4:$AQ$55,2,FALSE))*IF('21.04.01'!$AK28="是",'21.04.01'!$BB$4,'21.04.01'!$BB$3))</f>
        <v>160</v>
      </c>
      <c r="O28" s="4">
        <f>IF(ISNUMBER(SEARCH("营",'21.04.01'!W28)),(-$Y28+50*IF('21.04.01'!$AK28="是",'21.04.01'!$BB$4,'21.04.01'!$BB$3)),(VLOOKUP('21.04.01'!W28,'21.04.01'!$AO$4:$AQ$55,2,FALSE))*IF('21.04.01'!$AK28="是",'21.04.01'!$BB$4,'21.04.01'!$BB$3))</f>
        <v>0</v>
      </c>
      <c r="P28" s="4">
        <f>IF(ISNUMBER(SEARCH("营",'21.04.01'!X28)),(-$Y28+50*IF('21.04.01'!$AK28="是",'21.04.01'!$BB$4,'21.04.01'!$BB$3)),(VLOOKUP('21.04.01'!X28,'21.04.01'!$AO$4:$AQ$55,2,FALSE))*IF('21.04.01'!$AK28="是",'21.04.01'!$BB$4,'21.04.01'!$BB$3))</f>
        <v>0</v>
      </c>
      <c r="Q28" s="4">
        <f>IF(ISNUMBER(SEARCH("营",'21.04.01'!Y28)),(-$Y28+50*IF('21.04.01'!$AK28="是",'21.04.01'!$BB$4,'21.04.01'!$BB$3)),(VLOOKUP('21.04.01'!Y28,'21.04.01'!$AO$4:$AQ$55,2,FALSE))*IF('21.04.01'!$AK28="是",'21.04.01'!$BB$4,'21.04.01'!$BB$3))</f>
        <v>0</v>
      </c>
      <c r="R28" s="4">
        <f>IF(ISNUMBER(SEARCH("营",'21.04.01'!Z28)),(-$Y28+50*IF('21.04.01'!$AK28="是",'21.04.01'!$BB$4,'21.04.01'!$BB$3)),(VLOOKUP('21.04.01'!Z28,'21.04.01'!$AO$4:$AQ$55,2,FALSE))*IF('21.04.01'!$AK28="是",'21.04.01'!$BB$4,'21.04.01'!$BB$3))</f>
        <v>0</v>
      </c>
      <c r="S28" s="4">
        <f>IF(ISNUMBER(SEARCH("营",'21.04.01'!AA28)),(-$Y28+50*IF('21.04.01'!$AK28="是",'21.04.01'!$BB$4,'21.04.01'!$BB$3)),(VLOOKUP('21.04.01'!AA28,'21.04.01'!$AO$4:$AQ$55,2,FALSE))*IF('21.04.01'!$AK28="是",'21.04.01'!$BB$4,'21.04.01'!$BB$3))</f>
        <v>0</v>
      </c>
      <c r="T28" s="4">
        <f>IF(ISNUMBER(SEARCH("营",'21.04.01'!AB28)),(-$Y28+50*IF('21.04.01'!$AK28="是",'21.04.01'!$BB$4,'21.04.01'!$BB$3)),(VLOOKUP('21.04.01'!AB28,'21.04.01'!$AO$4:$AQ$55,2,FALSE))*IF('21.04.01'!$AK28="是",'21.04.01'!$BB$4,'21.04.01'!$BB$3))</f>
        <v>0</v>
      </c>
      <c r="U28" s="4">
        <f>IF(ISNUMBER(SEARCH("营",'21.04.01'!AC28)),(-$Y28+50*IF('21.04.01'!$AK28="是",'21.04.01'!$BB$4,'21.04.01'!$BB$3)),(VLOOKUP('21.04.01'!AC28,'21.04.01'!$AO$4:$AQ$55,2,FALSE))*IF('21.04.01'!$AK28="是",'21.04.01'!$BB$4,'21.04.01'!$BB$3))</f>
        <v>0</v>
      </c>
      <c r="V28" s="4">
        <f>IF(ISNUMBER(SEARCH("营",'21.04.01'!AD28)),(-$Y28+50*IF('21.04.01'!$AK28="是",'21.04.01'!$BB$4,'21.04.01'!$BB$3)),(VLOOKUP('21.04.01'!AD28,'21.04.01'!$AO$4:$AQ$55,2,FALSE))*IF('21.04.01'!$AK28="是",'21.04.01'!$BB$4,'21.04.01'!$BB$3))</f>
        <v>0</v>
      </c>
      <c r="W28" s="4">
        <f>IF(ISNUMBER(SEARCH("营",'21.04.01'!AE28)),(-$Y28+50*IF('21.04.01'!$AK28="是",'21.04.01'!$BB$4,'21.04.01'!$BB$3)),(VLOOKUP('21.04.01'!AE28,'21.04.01'!$AO$4:$AQ$55,2,FALSE))*IF('21.04.01'!$AK28="是",'21.04.01'!$BB$4,'21.04.01'!$BB$3))</f>
        <v>0</v>
      </c>
      <c r="X28" s="4">
        <f>IF(ISNUMBER(SEARCH("营",'21.04.01'!AF28)),(-$Y28+50*IF('21.04.01'!$AK28="是",'21.04.01'!$BB$4,'21.04.01'!$BB$3)),(VLOOKUP('21.04.01'!AF28,'21.04.01'!$AO$4:$AQ$55,2,FALSE))*IF('21.04.01'!$AK28="是",'21.04.01'!$BB$4,'21.04.01'!$BB$3))</f>
        <v>0</v>
      </c>
      <c r="Y28" s="63">
        <v>200</v>
      </c>
      <c r="Z28" s="94">
        <v>45936</v>
      </c>
    </row>
    <row r="29" spans="1:26">
      <c r="A29" s="4">
        <f>IF(ISNUMBER(SEARCH("营",'21.04.01'!I29)),(-$Y29+50*IF('21.04.01'!$AK29="是",'21.04.01'!$BB$4,'21.04.01'!$BB$3)),(VLOOKUP('21.04.01'!I29,'21.04.01'!$AO$4:$AQ$55,2,FALSE))*IF('21.04.01'!$AK29="是",'21.04.01'!$BB$4,'21.04.01'!$BB$3))</f>
        <v>144</v>
      </c>
      <c r="B29" s="4">
        <f>IF(ISNUMBER(SEARCH("营",'21.04.01'!J29)),(-$Y29+50*IF('21.04.01'!$AK29="是",'21.04.01'!$BB$4,'21.04.01'!$BB$3)),(VLOOKUP('21.04.01'!J29,'21.04.01'!$AO$4:$AQ$55,2,FALSE))*IF('21.04.01'!$AK29="是",'21.04.01'!$BB$4,'21.04.01'!$BB$3))</f>
        <v>144</v>
      </c>
      <c r="C29" s="4">
        <f>IF(ISNUMBER(SEARCH("营",'21.04.01'!K29)),(-$Y29+50*IF('21.04.01'!$AK29="是",'21.04.01'!$BB$4,'21.04.01'!$BB$3)),(VLOOKUP('21.04.01'!K29,'21.04.01'!$AO$4:$AQ$55,2,FALSE))*IF('21.04.01'!$AK29="是",'21.04.01'!$BB$4,'21.04.01'!$BB$3))</f>
        <v>144</v>
      </c>
      <c r="D29" s="4">
        <f>IF(ISNUMBER(SEARCH("营",'21.04.01'!L29)),(-$Y29+50*IF('21.04.01'!$AK29="是",'21.04.01'!$BB$4,'21.04.01'!$BB$3)),(VLOOKUP('21.04.01'!L29,'21.04.01'!$AO$4:$AQ$55,2,FALSE))*IF('21.04.01'!$AK29="是",'21.04.01'!$BB$4,'21.04.01'!$BB$3))</f>
        <v>144</v>
      </c>
      <c r="E29" s="4">
        <f>IF(ISNUMBER(SEARCH("营",'21.04.01'!M29)),(-$Y29+50*IF('21.04.01'!$AK29="是",'21.04.01'!$BB$4,'21.04.01'!$BB$3)),(VLOOKUP('21.04.01'!M29,'21.04.01'!$AO$4:$AQ$55,2,FALSE))*IF('21.04.01'!$AK29="是",'21.04.01'!$BB$4,'21.04.01'!$BB$3))</f>
        <v>144</v>
      </c>
      <c r="F29" s="4">
        <f>IF(ISNUMBER(SEARCH("营",'21.04.01'!N29)),(-$Y29+50*IF('21.04.01'!$AK29="是",'21.04.01'!$BB$4,'21.04.01'!$BB$3)),(VLOOKUP('21.04.01'!N29,'21.04.01'!$AO$4:$AQ$55,2,FALSE))*IF('21.04.01'!$AK29="是",'21.04.01'!$BB$4,'21.04.01'!$BB$3))</f>
        <v>144</v>
      </c>
      <c r="G29" s="4">
        <f>IF(ISNUMBER(SEARCH("营",'21.04.01'!O29)),(-$Y29+50*IF('21.04.01'!$AK29="是",'21.04.01'!$BB$4,'21.04.01'!$BB$3)),(VLOOKUP('21.04.01'!O29,'21.04.01'!$AO$4:$AQ$55,2,FALSE))*IF('21.04.01'!$AK29="是",'21.04.01'!$BB$4,'21.04.01'!$BB$3))</f>
        <v>0</v>
      </c>
      <c r="H29" s="4">
        <f>IF(ISNUMBER(SEARCH("营",'21.04.01'!P29)),(-$Y29+50*IF('21.04.01'!$AK29="是",'21.04.01'!$BB$4,'21.04.01'!$BB$3)),(VLOOKUP('21.04.01'!P29,'21.04.01'!$AO$4:$AQ$55,2,FALSE))*IF('21.04.01'!$AK29="是",'21.04.01'!$BB$4,'21.04.01'!$BB$3))</f>
        <v>0</v>
      </c>
      <c r="I29" s="4">
        <f>IF(ISNUMBER(SEARCH("营",'21.04.01'!Q29)),(-$Y29+50*IF('21.04.01'!$AK29="是",'21.04.01'!$BB$4,'21.04.01'!$BB$3)),(VLOOKUP('21.04.01'!Q29,'21.04.01'!$AO$4:$AQ$55,2,FALSE))*IF('21.04.01'!$AK29="是",'21.04.01'!$BB$4,'21.04.01'!$BB$3))</f>
        <v>160</v>
      </c>
      <c r="J29" s="4">
        <f>IF(ISNUMBER(SEARCH("营",'21.04.01'!R29)),(-$Y29+50*IF('21.04.01'!$AK29="是",'21.04.01'!$BB$4,'21.04.01'!$BB$3)),(VLOOKUP('21.04.01'!R29,'21.04.01'!$AO$4:$AQ$55,2,FALSE))*IF('21.04.01'!$AK29="是",'21.04.01'!$BB$4,'21.04.01'!$BB$3))</f>
        <v>160</v>
      </c>
      <c r="K29" s="4">
        <f>IF(ISNUMBER(SEARCH("营",'21.04.01'!S29)),(-$Y29+50*IF('21.04.01'!$AK29="是",'21.04.01'!$BB$4,'21.04.01'!$BB$3)),(VLOOKUP('21.04.01'!S29,'21.04.01'!$AO$4:$AQ$55,2,FALSE))*IF('21.04.01'!$AK29="是",'21.04.01'!$BB$4,'21.04.01'!$BB$3))</f>
        <v>160</v>
      </c>
      <c r="L29" s="4">
        <f>IF(ISNUMBER(SEARCH("营",'21.04.01'!T29)),(-$Y29+50*IF('21.04.01'!$AK29="是",'21.04.01'!$BB$4,'21.04.01'!$BB$3)),(VLOOKUP('21.04.01'!T29,'21.04.01'!$AO$4:$AQ$55,2,FALSE))*IF('21.04.01'!$AK29="是",'21.04.01'!$BB$4,'21.04.01'!$BB$3))</f>
        <v>160</v>
      </c>
      <c r="M29" s="4">
        <f>IF(ISNUMBER(SEARCH("营",'21.04.01'!U29)),(-$Y29+50*IF('21.04.01'!$AK29="是",'21.04.01'!$BB$4,'21.04.01'!$BB$3)),(VLOOKUP('21.04.01'!U29,'21.04.01'!$AO$4:$AQ$55,2,FALSE))*IF('21.04.01'!$AK29="是",'21.04.01'!$BB$4,'21.04.01'!$BB$3))</f>
        <v>160</v>
      </c>
      <c r="N29" s="4">
        <f>IF(ISNUMBER(SEARCH("营",'21.04.01'!V29)),(-$Y29+50*IF('21.04.01'!$AK29="是",'21.04.01'!$BB$4,'21.04.01'!$BB$3)),(VLOOKUP('21.04.01'!V29,'21.04.01'!$AO$4:$AQ$55,2,FALSE))*IF('21.04.01'!$AK29="是",'21.04.01'!$BB$4,'21.04.01'!$BB$3))</f>
        <v>160</v>
      </c>
      <c r="O29" s="4">
        <f>IF(ISNUMBER(SEARCH("营",'21.04.01'!W29)),(-$Y29+50*IF('21.04.01'!$AK29="是",'21.04.01'!$BB$4,'21.04.01'!$BB$3)),(VLOOKUP('21.04.01'!W29,'21.04.01'!$AO$4:$AQ$55,2,FALSE))*IF('21.04.01'!$AK29="是",'21.04.01'!$BB$4,'21.04.01'!$BB$3))</f>
        <v>0</v>
      </c>
      <c r="P29" s="4">
        <f>IF(ISNUMBER(SEARCH("营",'21.04.01'!X29)),(-$Y29+50*IF('21.04.01'!$AK29="是",'21.04.01'!$BB$4,'21.04.01'!$BB$3)),(VLOOKUP('21.04.01'!X29,'21.04.01'!$AO$4:$AQ$55,2,FALSE))*IF('21.04.01'!$AK29="是",'21.04.01'!$BB$4,'21.04.01'!$BB$3))</f>
        <v>0</v>
      </c>
      <c r="Q29" s="4">
        <f>IF(ISNUMBER(SEARCH("营",'21.04.01'!Y29)),(-$Y29+50*IF('21.04.01'!$AK29="是",'21.04.01'!$BB$4,'21.04.01'!$BB$3)),(VLOOKUP('21.04.01'!Y29,'21.04.01'!$AO$4:$AQ$55,2,FALSE))*IF('21.04.01'!$AK29="是",'21.04.01'!$BB$4,'21.04.01'!$BB$3))</f>
        <v>0</v>
      </c>
      <c r="R29" s="4">
        <f>IF(ISNUMBER(SEARCH("营",'21.04.01'!Z29)),(-$Y29+50*IF('21.04.01'!$AK29="是",'21.04.01'!$BB$4,'21.04.01'!$BB$3)),(VLOOKUP('21.04.01'!Z29,'21.04.01'!$AO$4:$AQ$55,2,FALSE))*IF('21.04.01'!$AK29="是",'21.04.01'!$BB$4,'21.04.01'!$BB$3))</f>
        <v>0</v>
      </c>
      <c r="S29" s="4">
        <f>IF(ISNUMBER(SEARCH("营",'21.04.01'!AA29)),(-$Y29+50*IF('21.04.01'!$AK29="是",'21.04.01'!$BB$4,'21.04.01'!$BB$3)),(VLOOKUP('21.04.01'!AA29,'21.04.01'!$AO$4:$AQ$55,2,FALSE))*IF('21.04.01'!$AK29="是",'21.04.01'!$BB$4,'21.04.01'!$BB$3))</f>
        <v>0</v>
      </c>
      <c r="T29" s="4">
        <f>IF(ISNUMBER(SEARCH("营",'21.04.01'!AB29)),(-$Y29+50*IF('21.04.01'!$AK29="是",'21.04.01'!$BB$4,'21.04.01'!$BB$3)),(VLOOKUP('21.04.01'!AB29,'21.04.01'!$AO$4:$AQ$55,2,FALSE))*IF('21.04.01'!$AK29="是",'21.04.01'!$BB$4,'21.04.01'!$BB$3))</f>
        <v>0</v>
      </c>
      <c r="U29" s="4">
        <f>IF(ISNUMBER(SEARCH("营",'21.04.01'!AC29)),(-$Y29+50*IF('21.04.01'!$AK29="是",'21.04.01'!$BB$4,'21.04.01'!$BB$3)),(VLOOKUP('21.04.01'!AC29,'21.04.01'!$AO$4:$AQ$55,2,FALSE))*IF('21.04.01'!$AK29="是",'21.04.01'!$BB$4,'21.04.01'!$BB$3))</f>
        <v>0</v>
      </c>
      <c r="V29" s="4">
        <f>IF(ISNUMBER(SEARCH("营",'21.04.01'!AD29)),(-$Y29+50*IF('21.04.01'!$AK29="是",'21.04.01'!$BB$4,'21.04.01'!$BB$3)),(VLOOKUP('21.04.01'!AD29,'21.04.01'!$AO$4:$AQ$55,2,FALSE))*IF('21.04.01'!$AK29="是",'21.04.01'!$BB$4,'21.04.01'!$BB$3))</f>
        <v>0</v>
      </c>
      <c r="W29" s="4">
        <f>IF(ISNUMBER(SEARCH("营",'21.04.01'!AE29)),(-$Y29+50*IF('21.04.01'!$AK29="是",'21.04.01'!$BB$4,'21.04.01'!$BB$3)),(VLOOKUP('21.04.01'!AE29,'21.04.01'!$AO$4:$AQ$55,2,FALSE))*IF('21.04.01'!$AK29="是",'21.04.01'!$BB$4,'21.04.01'!$BB$3))</f>
        <v>0</v>
      </c>
      <c r="X29" s="4">
        <f>IF(ISNUMBER(SEARCH("营",'21.04.01'!AF29)),(-$Y29+50*IF('21.04.01'!$AK29="是",'21.04.01'!$BB$4,'21.04.01'!$BB$3)),(VLOOKUP('21.04.01'!AF29,'21.04.01'!$AO$4:$AQ$55,2,FALSE))*IF('21.04.01'!$AK29="是",'21.04.01'!$BB$4,'21.04.01'!$BB$3))</f>
        <v>0</v>
      </c>
      <c r="Y29" s="63">
        <v>200</v>
      </c>
      <c r="Z29" s="94">
        <v>45937</v>
      </c>
    </row>
    <row r="30" spans="1:26">
      <c r="A30" s="4">
        <f>IF(ISNUMBER(SEARCH("营",'21.04.01'!I30)),(-$Y30+50*IF('21.04.01'!$AK30="是",'21.04.01'!$BB$4,'21.04.01'!$BB$3)),(VLOOKUP('21.04.01'!I30,'21.04.01'!$AO$4:$AQ$55,2,FALSE))*IF('21.04.01'!$AK30="是",'21.04.01'!$BB$4,'21.04.01'!$BB$3))</f>
        <v>144</v>
      </c>
      <c r="B30" s="4">
        <f>IF(ISNUMBER(SEARCH("营",'21.04.01'!J30)),(-$Y30+50*IF('21.04.01'!$AK30="是",'21.04.01'!$BB$4,'21.04.01'!$BB$3)),(VLOOKUP('21.04.01'!J30,'21.04.01'!$AO$4:$AQ$55,2,FALSE))*IF('21.04.01'!$AK30="是",'21.04.01'!$BB$4,'21.04.01'!$BB$3))</f>
        <v>144</v>
      </c>
      <c r="C30" s="4">
        <f>IF(ISNUMBER(SEARCH("营",'21.04.01'!K30)),(-$Y30+50*IF('21.04.01'!$AK30="是",'21.04.01'!$BB$4,'21.04.01'!$BB$3)),(VLOOKUP('21.04.01'!K30,'21.04.01'!$AO$4:$AQ$55,2,FALSE))*IF('21.04.01'!$AK30="是",'21.04.01'!$BB$4,'21.04.01'!$BB$3))</f>
        <v>144</v>
      </c>
      <c r="D30" s="4">
        <f>IF(ISNUMBER(SEARCH("营",'21.04.01'!L30)),(-$Y30+50*IF('21.04.01'!$AK30="是",'21.04.01'!$BB$4,'21.04.01'!$BB$3)),(VLOOKUP('21.04.01'!L30,'21.04.01'!$AO$4:$AQ$55,2,FALSE))*IF('21.04.01'!$AK30="是",'21.04.01'!$BB$4,'21.04.01'!$BB$3))</f>
        <v>144</v>
      </c>
      <c r="E30" s="4">
        <f>IF(ISNUMBER(SEARCH("营",'21.04.01'!M30)),(-$Y30+50*IF('21.04.01'!$AK30="是",'21.04.01'!$BB$4,'21.04.01'!$BB$3)),(VLOOKUP('21.04.01'!M30,'21.04.01'!$AO$4:$AQ$55,2,FALSE))*IF('21.04.01'!$AK30="是",'21.04.01'!$BB$4,'21.04.01'!$BB$3))</f>
        <v>144</v>
      </c>
      <c r="F30" s="4">
        <f>IF(ISNUMBER(SEARCH("营",'21.04.01'!N30)),(-$Y30+50*IF('21.04.01'!$AK30="是",'21.04.01'!$BB$4,'21.04.01'!$BB$3)),(VLOOKUP('21.04.01'!N30,'21.04.01'!$AO$4:$AQ$55,2,FALSE))*IF('21.04.01'!$AK30="是",'21.04.01'!$BB$4,'21.04.01'!$BB$3))</f>
        <v>144</v>
      </c>
      <c r="G30" s="4">
        <f>IF(ISNUMBER(SEARCH("营",'21.04.01'!O30)),(-$Y30+50*IF('21.04.01'!$AK30="是",'21.04.01'!$BB$4,'21.04.01'!$BB$3)),(VLOOKUP('21.04.01'!O30,'21.04.01'!$AO$4:$AQ$55,2,FALSE))*IF('21.04.01'!$AK30="是",'21.04.01'!$BB$4,'21.04.01'!$BB$3))</f>
        <v>0</v>
      </c>
      <c r="H30" s="4">
        <f>IF(ISNUMBER(SEARCH("营",'21.04.01'!P30)),(-$Y30+50*IF('21.04.01'!$AK30="是",'21.04.01'!$BB$4,'21.04.01'!$BB$3)),(VLOOKUP('21.04.01'!P30,'21.04.01'!$AO$4:$AQ$55,2,FALSE))*IF('21.04.01'!$AK30="是",'21.04.01'!$BB$4,'21.04.01'!$BB$3))</f>
        <v>0</v>
      </c>
      <c r="I30" s="4">
        <f>IF(ISNUMBER(SEARCH("营",'21.04.01'!Q30)),(-$Y30+50*IF('21.04.01'!$AK30="是",'21.04.01'!$BB$4,'21.04.01'!$BB$3)),(VLOOKUP('21.04.01'!Q30,'21.04.01'!$AO$4:$AQ$55,2,FALSE))*IF('21.04.01'!$AK30="是",'21.04.01'!$BB$4,'21.04.01'!$BB$3))</f>
        <v>160</v>
      </c>
      <c r="J30" s="4">
        <f>IF(ISNUMBER(SEARCH("营",'21.04.01'!R30)),(-$Y30+50*IF('21.04.01'!$AK30="是",'21.04.01'!$BB$4,'21.04.01'!$BB$3)),(VLOOKUP('21.04.01'!R30,'21.04.01'!$AO$4:$AQ$55,2,FALSE))*IF('21.04.01'!$AK30="是",'21.04.01'!$BB$4,'21.04.01'!$BB$3))</f>
        <v>160</v>
      </c>
      <c r="K30" s="4">
        <f>IF(ISNUMBER(SEARCH("营",'21.04.01'!S30)),(-$Y30+50*IF('21.04.01'!$AK30="是",'21.04.01'!$BB$4,'21.04.01'!$BB$3)),(VLOOKUP('21.04.01'!S30,'21.04.01'!$AO$4:$AQ$55,2,FALSE))*IF('21.04.01'!$AK30="是",'21.04.01'!$BB$4,'21.04.01'!$BB$3))</f>
        <v>160</v>
      </c>
      <c r="L30" s="4">
        <f>IF(ISNUMBER(SEARCH("营",'21.04.01'!T30)),(-$Y30+50*IF('21.04.01'!$AK30="是",'21.04.01'!$BB$4,'21.04.01'!$BB$3)),(VLOOKUP('21.04.01'!T30,'21.04.01'!$AO$4:$AQ$55,2,FALSE))*IF('21.04.01'!$AK30="是",'21.04.01'!$BB$4,'21.04.01'!$BB$3))</f>
        <v>160</v>
      </c>
      <c r="M30" s="4">
        <f>IF(ISNUMBER(SEARCH("营",'21.04.01'!U30)),(-$Y30+50*IF('21.04.01'!$AK30="是",'21.04.01'!$BB$4,'21.04.01'!$BB$3)),(VLOOKUP('21.04.01'!U30,'21.04.01'!$AO$4:$AQ$55,2,FALSE))*IF('21.04.01'!$AK30="是",'21.04.01'!$BB$4,'21.04.01'!$BB$3))</f>
        <v>160</v>
      </c>
      <c r="N30" s="4">
        <f>IF(ISNUMBER(SEARCH("营",'21.04.01'!V30)),(-$Y30+50*IF('21.04.01'!$AK30="是",'21.04.01'!$BB$4,'21.04.01'!$BB$3)),(VLOOKUP('21.04.01'!V30,'21.04.01'!$AO$4:$AQ$55,2,FALSE))*IF('21.04.01'!$AK30="是",'21.04.01'!$BB$4,'21.04.01'!$BB$3))</f>
        <v>160</v>
      </c>
      <c r="O30" s="4">
        <f>IF(ISNUMBER(SEARCH("营",'21.04.01'!W30)),(-$Y30+50*IF('21.04.01'!$AK30="是",'21.04.01'!$BB$4,'21.04.01'!$BB$3)),(VLOOKUP('21.04.01'!W30,'21.04.01'!$AO$4:$AQ$55,2,FALSE))*IF('21.04.01'!$AK30="是",'21.04.01'!$BB$4,'21.04.01'!$BB$3))</f>
        <v>-160</v>
      </c>
      <c r="P30" s="4">
        <f>IF(ISNUMBER(SEARCH("营",'21.04.01'!X30)),(-$Y30+50*IF('21.04.01'!$AK30="是",'21.04.01'!$BB$4,'21.04.01'!$BB$3)),(VLOOKUP('21.04.01'!X30,'21.04.01'!$AO$4:$AQ$55,2,FALSE))*IF('21.04.01'!$AK30="是",'21.04.01'!$BB$4,'21.04.01'!$BB$3))</f>
        <v>160</v>
      </c>
      <c r="Q30" s="4">
        <f>IF(ISNUMBER(SEARCH("营",'21.04.01'!Y30)),(-$Y30+50*IF('21.04.01'!$AK30="是",'21.04.01'!$BB$4,'21.04.01'!$BB$3)),(VLOOKUP('21.04.01'!Y30,'21.04.01'!$AO$4:$AQ$55,2,FALSE))*IF('21.04.01'!$AK30="是",'21.04.01'!$BB$4,'21.04.01'!$BB$3))</f>
        <v>0</v>
      </c>
      <c r="R30" s="4">
        <f>IF(ISNUMBER(SEARCH("营",'21.04.01'!Z30)),(-$Y30+50*IF('21.04.01'!$AK30="是",'21.04.01'!$BB$4,'21.04.01'!$BB$3)),(VLOOKUP('21.04.01'!Z30,'21.04.01'!$AO$4:$AQ$55,2,FALSE))*IF('21.04.01'!$AK30="是",'21.04.01'!$BB$4,'21.04.01'!$BB$3))</f>
        <v>0</v>
      </c>
      <c r="S30" s="4">
        <f>IF(ISNUMBER(SEARCH("营",'21.04.01'!AA30)),(-$Y30+50*IF('21.04.01'!$AK30="是",'21.04.01'!$BB$4,'21.04.01'!$BB$3)),(VLOOKUP('21.04.01'!AA30,'21.04.01'!$AO$4:$AQ$55,2,FALSE))*IF('21.04.01'!$AK30="是",'21.04.01'!$BB$4,'21.04.01'!$BB$3))</f>
        <v>0</v>
      </c>
      <c r="T30" s="4">
        <f>IF(ISNUMBER(SEARCH("营",'21.04.01'!AB30)),(-$Y30+50*IF('21.04.01'!$AK30="是",'21.04.01'!$BB$4,'21.04.01'!$BB$3)),(VLOOKUP('21.04.01'!AB30,'21.04.01'!$AO$4:$AQ$55,2,FALSE))*IF('21.04.01'!$AK30="是",'21.04.01'!$BB$4,'21.04.01'!$BB$3))</f>
        <v>0</v>
      </c>
      <c r="U30" s="4">
        <f>IF(ISNUMBER(SEARCH("营",'21.04.01'!AC30)),(-$Y30+50*IF('21.04.01'!$AK30="是",'21.04.01'!$BB$4,'21.04.01'!$BB$3)),(VLOOKUP('21.04.01'!AC30,'21.04.01'!$AO$4:$AQ$55,2,FALSE))*IF('21.04.01'!$AK30="是",'21.04.01'!$BB$4,'21.04.01'!$BB$3))</f>
        <v>0</v>
      </c>
      <c r="V30" s="4">
        <f>IF(ISNUMBER(SEARCH("营",'21.04.01'!AD30)),(-$Y30+50*IF('21.04.01'!$AK30="是",'21.04.01'!$BB$4,'21.04.01'!$BB$3)),(VLOOKUP('21.04.01'!AD30,'21.04.01'!$AO$4:$AQ$55,2,FALSE))*IF('21.04.01'!$AK30="是",'21.04.01'!$BB$4,'21.04.01'!$BB$3))</f>
        <v>0</v>
      </c>
      <c r="W30" s="4">
        <f>IF(ISNUMBER(SEARCH("营",'21.04.01'!AE30)),(-$Y30+50*IF('21.04.01'!$AK30="是",'21.04.01'!$BB$4,'21.04.01'!$BB$3)),(VLOOKUP('21.04.01'!AE30,'21.04.01'!$AO$4:$AQ$55,2,FALSE))*IF('21.04.01'!$AK30="是",'21.04.01'!$BB$4,'21.04.01'!$BB$3))</f>
        <v>0</v>
      </c>
      <c r="X30" s="4">
        <f>IF(ISNUMBER(SEARCH("营",'21.04.01'!AF30)),(-$Y30+50*IF('21.04.01'!$AK30="是",'21.04.01'!$BB$4,'21.04.01'!$BB$3)),(VLOOKUP('21.04.01'!AF30,'21.04.01'!$AO$4:$AQ$55,2,FALSE))*IF('21.04.01'!$AK30="是",'21.04.01'!$BB$4,'21.04.01'!$BB$3))</f>
        <v>0</v>
      </c>
      <c r="Y30" s="63">
        <v>200</v>
      </c>
      <c r="Z30" s="94">
        <v>45938</v>
      </c>
    </row>
    <row r="31" spans="1:26">
      <c r="A31" s="4">
        <f>IF(ISNUMBER(SEARCH("营",'21.04.01'!I31)),(-$Y31+50*IF('21.04.01'!$AK31="是",'21.04.01'!$BB$4,'21.04.01'!$BB$3)),(VLOOKUP('21.04.01'!I31,'21.04.01'!$AO$4:$AQ$55,2,FALSE))*IF('21.04.01'!$AK31="是",'21.04.01'!$BB$4,'21.04.01'!$BB$3))</f>
        <v>144</v>
      </c>
      <c r="B31" s="4">
        <f>IF(ISNUMBER(SEARCH("营",'21.04.01'!J31)),(-$Y31+50*IF('21.04.01'!$AK31="是",'21.04.01'!$BB$4,'21.04.01'!$BB$3)),(VLOOKUP('21.04.01'!J31,'21.04.01'!$AO$4:$AQ$55,2,FALSE))*IF('21.04.01'!$AK31="是",'21.04.01'!$BB$4,'21.04.01'!$BB$3))</f>
        <v>144</v>
      </c>
      <c r="C31" s="4">
        <f>IF(ISNUMBER(SEARCH("营",'21.04.01'!K31)),(-$Y31+50*IF('21.04.01'!$AK31="是",'21.04.01'!$BB$4,'21.04.01'!$BB$3)),(VLOOKUP('21.04.01'!K31,'21.04.01'!$AO$4:$AQ$55,2,FALSE))*IF('21.04.01'!$AK31="是",'21.04.01'!$BB$4,'21.04.01'!$BB$3))</f>
        <v>144</v>
      </c>
      <c r="D31" s="4">
        <f>IF(ISNUMBER(SEARCH("营",'21.04.01'!L31)),(-$Y31+50*IF('21.04.01'!$AK31="是",'21.04.01'!$BB$4,'21.04.01'!$BB$3)),(VLOOKUP('21.04.01'!L31,'21.04.01'!$AO$4:$AQ$55,2,FALSE))*IF('21.04.01'!$AK31="是",'21.04.01'!$BB$4,'21.04.01'!$BB$3))</f>
        <v>144</v>
      </c>
      <c r="E31" s="4">
        <f>IF(ISNUMBER(SEARCH("营",'21.04.01'!M31)),(-$Y31+50*IF('21.04.01'!$AK31="是",'21.04.01'!$BB$4,'21.04.01'!$BB$3)),(VLOOKUP('21.04.01'!M31,'21.04.01'!$AO$4:$AQ$55,2,FALSE))*IF('21.04.01'!$AK31="是",'21.04.01'!$BB$4,'21.04.01'!$BB$3))</f>
        <v>144</v>
      </c>
      <c r="F31" s="4">
        <f>IF(ISNUMBER(SEARCH("营",'21.04.01'!N31)),(-$Y31+50*IF('21.04.01'!$AK31="是",'21.04.01'!$BB$4,'21.04.01'!$BB$3)),(VLOOKUP('21.04.01'!N31,'21.04.01'!$AO$4:$AQ$55,2,FALSE))*IF('21.04.01'!$AK31="是",'21.04.01'!$BB$4,'21.04.01'!$BB$3))</f>
        <v>144</v>
      </c>
      <c r="G31" s="4">
        <f>IF(ISNUMBER(SEARCH("营",'21.04.01'!O31)),(-$Y31+50*IF('21.04.01'!$AK31="是",'21.04.01'!$BB$4,'21.04.01'!$BB$3)),(VLOOKUP('21.04.01'!O31,'21.04.01'!$AO$4:$AQ$55,2,FALSE))*IF('21.04.01'!$AK31="是",'21.04.01'!$BB$4,'21.04.01'!$BB$3))</f>
        <v>0</v>
      </c>
      <c r="H31" s="4">
        <f>IF(ISNUMBER(SEARCH("营",'21.04.01'!P31)),(-$Y31+50*IF('21.04.01'!$AK31="是",'21.04.01'!$BB$4,'21.04.01'!$BB$3)),(VLOOKUP('21.04.01'!P31,'21.04.01'!$AO$4:$AQ$55,2,FALSE))*IF('21.04.01'!$AK31="是",'21.04.01'!$BB$4,'21.04.01'!$BB$3))</f>
        <v>0</v>
      </c>
      <c r="I31" s="4">
        <f>IF(ISNUMBER(SEARCH("营",'21.04.01'!Q31)),(-$Y31+50*IF('21.04.01'!$AK31="是",'21.04.01'!$BB$4,'21.04.01'!$BB$3)),(VLOOKUP('21.04.01'!Q31,'21.04.01'!$AO$4:$AQ$55,2,FALSE))*IF('21.04.01'!$AK31="是",'21.04.01'!$BB$4,'21.04.01'!$BB$3))</f>
        <v>160</v>
      </c>
      <c r="J31" s="4">
        <f>IF(ISNUMBER(SEARCH("营",'21.04.01'!R31)),(-$Y31+50*IF('21.04.01'!$AK31="是",'21.04.01'!$BB$4,'21.04.01'!$BB$3)),(VLOOKUP('21.04.01'!R31,'21.04.01'!$AO$4:$AQ$55,2,FALSE))*IF('21.04.01'!$AK31="是",'21.04.01'!$BB$4,'21.04.01'!$BB$3))</f>
        <v>160</v>
      </c>
      <c r="K31" s="4">
        <f>IF(ISNUMBER(SEARCH("营",'21.04.01'!S31)),(-$Y31+50*IF('21.04.01'!$AK31="是",'21.04.01'!$BB$4,'21.04.01'!$BB$3)),(VLOOKUP('21.04.01'!S31,'21.04.01'!$AO$4:$AQ$55,2,FALSE))*IF('21.04.01'!$AK31="是",'21.04.01'!$BB$4,'21.04.01'!$BB$3))</f>
        <v>160</v>
      </c>
      <c r="L31" s="4">
        <f>IF(ISNUMBER(SEARCH("营",'21.04.01'!T31)),(-$Y31+50*IF('21.04.01'!$AK31="是",'21.04.01'!$BB$4,'21.04.01'!$BB$3)),(VLOOKUP('21.04.01'!T31,'21.04.01'!$AO$4:$AQ$55,2,FALSE))*IF('21.04.01'!$AK31="是",'21.04.01'!$BB$4,'21.04.01'!$BB$3))</f>
        <v>160</v>
      </c>
      <c r="M31" s="4">
        <f>IF(ISNUMBER(SEARCH("营",'21.04.01'!U31)),(-$Y31+50*IF('21.04.01'!$AK31="是",'21.04.01'!$BB$4,'21.04.01'!$BB$3)),(VLOOKUP('21.04.01'!U31,'21.04.01'!$AO$4:$AQ$55,2,FALSE))*IF('21.04.01'!$AK31="是",'21.04.01'!$BB$4,'21.04.01'!$BB$3))</f>
        <v>160</v>
      </c>
      <c r="N31" s="4">
        <f>IF(ISNUMBER(SEARCH("营",'21.04.01'!V31)),(-$Y31+50*IF('21.04.01'!$AK31="是",'21.04.01'!$BB$4,'21.04.01'!$BB$3)),(VLOOKUP('21.04.01'!V31,'21.04.01'!$AO$4:$AQ$55,2,FALSE))*IF('21.04.01'!$AK31="是",'21.04.01'!$BB$4,'21.04.01'!$BB$3))</f>
        <v>160</v>
      </c>
      <c r="O31" s="4">
        <f>IF(ISNUMBER(SEARCH("营",'21.04.01'!W31)),(-$Y31+50*IF('21.04.01'!$AK31="是",'21.04.01'!$BB$4,'21.04.01'!$BB$3)),(VLOOKUP('21.04.01'!W31,'21.04.01'!$AO$4:$AQ$55,2,FALSE))*IF('21.04.01'!$AK31="是",'21.04.01'!$BB$4,'21.04.01'!$BB$3))</f>
        <v>0</v>
      </c>
      <c r="P31" s="4">
        <f>IF(ISNUMBER(SEARCH("营",'21.04.01'!X31)),(-$Y31+50*IF('21.04.01'!$AK31="是",'21.04.01'!$BB$4,'21.04.01'!$BB$3)),(VLOOKUP('21.04.01'!X31,'21.04.01'!$AO$4:$AQ$55,2,FALSE))*IF('21.04.01'!$AK31="是",'21.04.01'!$BB$4,'21.04.01'!$BB$3))</f>
        <v>0</v>
      </c>
      <c r="Q31" s="4">
        <f>IF(ISNUMBER(SEARCH("营",'21.04.01'!Y31)),(-$Y31+50*IF('21.04.01'!$AK31="是",'21.04.01'!$BB$4,'21.04.01'!$BB$3)),(VLOOKUP('21.04.01'!Y31,'21.04.01'!$AO$4:$AQ$55,2,FALSE))*IF('21.04.01'!$AK31="是",'21.04.01'!$BB$4,'21.04.01'!$BB$3))</f>
        <v>0</v>
      </c>
      <c r="R31" s="4">
        <f>IF(ISNUMBER(SEARCH("营",'21.04.01'!Z31)),(-$Y31+50*IF('21.04.01'!$AK31="是",'21.04.01'!$BB$4,'21.04.01'!$BB$3)),(VLOOKUP('21.04.01'!Z31,'21.04.01'!$AO$4:$AQ$55,2,FALSE))*IF('21.04.01'!$AK31="是",'21.04.01'!$BB$4,'21.04.01'!$BB$3))</f>
        <v>0</v>
      </c>
      <c r="S31" s="4">
        <f>IF(ISNUMBER(SEARCH("营",'21.04.01'!AA31)),(-$Y31+50*IF('21.04.01'!$AK31="是",'21.04.01'!$BB$4,'21.04.01'!$BB$3)),(VLOOKUP('21.04.01'!AA31,'21.04.01'!$AO$4:$AQ$55,2,FALSE))*IF('21.04.01'!$AK31="是",'21.04.01'!$BB$4,'21.04.01'!$BB$3))</f>
        <v>0</v>
      </c>
      <c r="T31" s="4">
        <f>IF(ISNUMBER(SEARCH("营",'21.04.01'!AB31)),(-$Y31+50*IF('21.04.01'!$AK31="是",'21.04.01'!$BB$4,'21.04.01'!$BB$3)),(VLOOKUP('21.04.01'!AB31,'21.04.01'!$AO$4:$AQ$55,2,FALSE))*IF('21.04.01'!$AK31="是",'21.04.01'!$BB$4,'21.04.01'!$BB$3))</f>
        <v>0</v>
      </c>
      <c r="U31" s="4">
        <f>IF(ISNUMBER(SEARCH("营",'21.04.01'!AC31)),(-$Y31+50*IF('21.04.01'!$AK31="是",'21.04.01'!$BB$4,'21.04.01'!$BB$3)),(VLOOKUP('21.04.01'!AC31,'21.04.01'!$AO$4:$AQ$55,2,FALSE))*IF('21.04.01'!$AK31="是",'21.04.01'!$BB$4,'21.04.01'!$BB$3))</f>
        <v>0</v>
      </c>
      <c r="V31" s="4">
        <f>IF(ISNUMBER(SEARCH("营",'21.04.01'!AD31)),(-$Y31+50*IF('21.04.01'!$AK31="是",'21.04.01'!$BB$4,'21.04.01'!$BB$3)),(VLOOKUP('21.04.01'!AD31,'21.04.01'!$AO$4:$AQ$55,2,FALSE))*IF('21.04.01'!$AK31="是",'21.04.01'!$BB$4,'21.04.01'!$BB$3))</f>
        <v>0</v>
      </c>
      <c r="W31" s="4">
        <f>IF(ISNUMBER(SEARCH("营",'21.04.01'!AE31)),(-$Y31+50*IF('21.04.01'!$AK31="是",'21.04.01'!$BB$4,'21.04.01'!$BB$3)),(VLOOKUP('21.04.01'!AE31,'21.04.01'!$AO$4:$AQ$55,2,FALSE))*IF('21.04.01'!$AK31="是",'21.04.01'!$BB$4,'21.04.01'!$BB$3))</f>
        <v>0</v>
      </c>
      <c r="X31" s="4">
        <f>IF(ISNUMBER(SEARCH("营",'21.04.01'!AF31)),(-$Y31+50*IF('21.04.01'!$AK31="是",'21.04.01'!$BB$4,'21.04.01'!$BB$3)),(VLOOKUP('21.04.01'!AF31,'21.04.01'!$AO$4:$AQ$55,2,FALSE))*IF('21.04.01'!$AK31="是",'21.04.01'!$BB$4,'21.04.01'!$BB$3))</f>
        <v>0</v>
      </c>
      <c r="Y31" s="63">
        <v>200</v>
      </c>
      <c r="Z31" s="94">
        <v>45939</v>
      </c>
    </row>
    <row r="32" spans="1:26">
      <c r="A32" s="4">
        <f>IF(ISNUMBER(SEARCH("营",'21.04.01'!I32)),(-$Y32+50*IF('21.04.01'!$AK32="是",'21.04.01'!$BB$4,'21.04.01'!$BB$3)),(VLOOKUP('21.04.01'!I32,'21.04.01'!$AO$4:$AQ$55,2,FALSE))*IF('21.04.01'!$AK32="是",'21.04.01'!$BB$4,'21.04.01'!$BB$3))</f>
        <v>144</v>
      </c>
      <c r="B32" s="4">
        <f>IF(ISNUMBER(SEARCH("营",'21.04.01'!J32)),(-$Y32+50*IF('21.04.01'!$AK32="是",'21.04.01'!$BB$4,'21.04.01'!$BB$3)),(VLOOKUP('21.04.01'!J32,'21.04.01'!$AO$4:$AQ$55,2,FALSE))*IF('21.04.01'!$AK32="是",'21.04.01'!$BB$4,'21.04.01'!$BB$3))</f>
        <v>144</v>
      </c>
      <c r="C32" s="4">
        <f>IF(ISNUMBER(SEARCH("营",'21.04.01'!K32)),(-$Y32+50*IF('21.04.01'!$AK32="是",'21.04.01'!$BB$4,'21.04.01'!$BB$3)),(VLOOKUP('21.04.01'!K32,'21.04.01'!$AO$4:$AQ$55,2,FALSE))*IF('21.04.01'!$AK32="是",'21.04.01'!$BB$4,'21.04.01'!$BB$3))</f>
        <v>144</v>
      </c>
      <c r="D32" s="4">
        <f>IF(ISNUMBER(SEARCH("营",'21.04.01'!L32)),(-$Y32+50*IF('21.04.01'!$AK32="是",'21.04.01'!$BB$4,'21.04.01'!$BB$3)),(VLOOKUP('21.04.01'!L32,'21.04.01'!$AO$4:$AQ$55,2,FALSE))*IF('21.04.01'!$AK32="是",'21.04.01'!$BB$4,'21.04.01'!$BB$3))</f>
        <v>144</v>
      </c>
      <c r="E32" s="4">
        <f>IF(ISNUMBER(SEARCH("营",'21.04.01'!M32)),(-$Y32+50*IF('21.04.01'!$AK32="是",'21.04.01'!$BB$4,'21.04.01'!$BB$3)),(VLOOKUP('21.04.01'!M32,'21.04.01'!$AO$4:$AQ$55,2,FALSE))*IF('21.04.01'!$AK32="是",'21.04.01'!$BB$4,'21.04.01'!$BB$3))</f>
        <v>144</v>
      </c>
      <c r="F32" s="4">
        <f>IF(ISNUMBER(SEARCH("营",'21.04.01'!N32)),(-$Y32+50*IF('21.04.01'!$AK32="是",'21.04.01'!$BB$4,'21.04.01'!$BB$3)),(VLOOKUP('21.04.01'!N32,'21.04.01'!$AO$4:$AQ$55,2,FALSE))*IF('21.04.01'!$AK32="是",'21.04.01'!$BB$4,'21.04.01'!$BB$3))</f>
        <v>144</v>
      </c>
      <c r="G32" s="4">
        <f>IF(ISNUMBER(SEARCH("营",'21.04.01'!O32)),(-$Y32+50*IF('21.04.01'!$AK32="是",'21.04.01'!$BB$4,'21.04.01'!$BB$3)),(VLOOKUP('21.04.01'!O32,'21.04.01'!$AO$4:$AQ$55,2,FALSE))*IF('21.04.01'!$AK32="是",'21.04.01'!$BB$4,'21.04.01'!$BB$3))</f>
        <v>0</v>
      </c>
      <c r="H32" s="4">
        <f>IF(ISNUMBER(SEARCH("营",'21.04.01'!P32)),(-$Y32+50*IF('21.04.01'!$AK32="是",'21.04.01'!$BB$4,'21.04.01'!$BB$3)),(VLOOKUP('21.04.01'!P32,'21.04.01'!$AO$4:$AQ$55,2,FALSE))*IF('21.04.01'!$AK32="是",'21.04.01'!$BB$4,'21.04.01'!$BB$3))</f>
        <v>0</v>
      </c>
      <c r="I32" s="4">
        <f>IF(ISNUMBER(SEARCH("营",'21.04.01'!Q32)),(-$Y32+50*IF('21.04.01'!$AK32="是",'21.04.01'!$BB$4,'21.04.01'!$BB$3)),(VLOOKUP('21.04.01'!Q32,'21.04.01'!$AO$4:$AQ$55,2,FALSE))*IF('21.04.01'!$AK32="是",'21.04.01'!$BB$4,'21.04.01'!$BB$3))</f>
        <v>160</v>
      </c>
      <c r="J32" s="4">
        <f>IF(ISNUMBER(SEARCH("营",'21.04.01'!R32)),(-$Y32+50*IF('21.04.01'!$AK32="是",'21.04.01'!$BB$4,'21.04.01'!$BB$3)),(VLOOKUP('21.04.01'!R32,'21.04.01'!$AO$4:$AQ$55,2,FALSE))*IF('21.04.01'!$AK32="是",'21.04.01'!$BB$4,'21.04.01'!$BB$3))</f>
        <v>-160</v>
      </c>
      <c r="K32" s="4">
        <f>IF(ISNUMBER(SEARCH("营",'21.04.01'!S32)),(-$Y32+50*IF('21.04.01'!$AK32="是",'21.04.01'!$BB$4,'21.04.01'!$BB$3)),(VLOOKUP('21.04.01'!S32,'21.04.01'!$AO$4:$AQ$55,2,FALSE))*IF('21.04.01'!$AK32="是",'21.04.01'!$BB$4,'21.04.01'!$BB$3))</f>
        <v>160</v>
      </c>
      <c r="L32" s="4">
        <f>IF(ISNUMBER(SEARCH("营",'21.04.01'!T32)),(-$Y32+50*IF('21.04.01'!$AK32="是",'21.04.01'!$BB$4,'21.04.01'!$BB$3)),(VLOOKUP('21.04.01'!T32,'21.04.01'!$AO$4:$AQ$55,2,FALSE))*IF('21.04.01'!$AK32="是",'21.04.01'!$BB$4,'21.04.01'!$BB$3))</f>
        <v>160</v>
      </c>
      <c r="M32" s="4">
        <f>IF(ISNUMBER(SEARCH("营",'21.04.01'!U32)),(-$Y32+50*IF('21.04.01'!$AK32="是",'21.04.01'!$BB$4,'21.04.01'!$BB$3)),(VLOOKUP('21.04.01'!U32,'21.04.01'!$AO$4:$AQ$55,2,FALSE))*IF('21.04.01'!$AK32="是",'21.04.01'!$BB$4,'21.04.01'!$BB$3))</f>
        <v>160</v>
      </c>
      <c r="N32" s="4">
        <f>IF(ISNUMBER(SEARCH("营",'21.04.01'!V32)),(-$Y32+50*IF('21.04.01'!$AK32="是",'21.04.01'!$BB$4,'21.04.01'!$BB$3)),(VLOOKUP('21.04.01'!V32,'21.04.01'!$AO$4:$AQ$55,2,FALSE))*IF('21.04.01'!$AK32="是",'21.04.01'!$BB$4,'21.04.01'!$BB$3))</f>
        <v>160</v>
      </c>
      <c r="O32" s="4">
        <f>IF(ISNUMBER(SEARCH("营",'21.04.01'!W32)),(-$Y32+50*IF('21.04.01'!$AK32="是",'21.04.01'!$BB$4,'21.04.01'!$BB$3)),(VLOOKUP('21.04.01'!W32,'21.04.01'!$AO$4:$AQ$55,2,FALSE))*IF('21.04.01'!$AK32="是",'21.04.01'!$BB$4,'21.04.01'!$BB$3))</f>
        <v>160</v>
      </c>
      <c r="P32" s="4">
        <f>IF(ISNUMBER(SEARCH("营",'21.04.01'!X32)),(-$Y32+50*IF('21.04.01'!$AK32="是",'21.04.01'!$BB$4,'21.04.01'!$BB$3)),(VLOOKUP('21.04.01'!X32,'21.04.01'!$AO$4:$AQ$55,2,FALSE))*IF('21.04.01'!$AK32="是",'21.04.01'!$BB$4,'21.04.01'!$BB$3))</f>
        <v>160</v>
      </c>
      <c r="Q32" s="4">
        <f>IF(ISNUMBER(SEARCH("营",'21.04.01'!Y32)),(-$Y32+50*IF('21.04.01'!$AK32="是",'21.04.01'!$BB$4,'21.04.01'!$BB$3)),(VLOOKUP('21.04.01'!Y32,'21.04.01'!$AO$4:$AQ$55,2,FALSE))*IF('21.04.01'!$AK32="是",'21.04.01'!$BB$4,'21.04.01'!$BB$3))</f>
        <v>0</v>
      </c>
      <c r="R32" s="4">
        <f>IF(ISNUMBER(SEARCH("营",'21.04.01'!Z32)),(-$Y32+50*IF('21.04.01'!$AK32="是",'21.04.01'!$BB$4,'21.04.01'!$BB$3)),(VLOOKUP('21.04.01'!Z32,'21.04.01'!$AO$4:$AQ$55,2,FALSE))*IF('21.04.01'!$AK32="是",'21.04.01'!$BB$4,'21.04.01'!$BB$3))</f>
        <v>0</v>
      </c>
      <c r="S32" s="4">
        <f>IF(ISNUMBER(SEARCH("营",'21.04.01'!AA32)),(-$Y32+50*IF('21.04.01'!$AK32="是",'21.04.01'!$BB$4,'21.04.01'!$BB$3)),(VLOOKUP('21.04.01'!AA32,'21.04.01'!$AO$4:$AQ$55,2,FALSE))*IF('21.04.01'!$AK32="是",'21.04.01'!$BB$4,'21.04.01'!$BB$3))</f>
        <v>0</v>
      </c>
      <c r="T32" s="4">
        <f>IF(ISNUMBER(SEARCH("营",'21.04.01'!AB32)),(-$Y32+50*IF('21.04.01'!$AK32="是",'21.04.01'!$BB$4,'21.04.01'!$BB$3)),(VLOOKUP('21.04.01'!AB32,'21.04.01'!$AO$4:$AQ$55,2,FALSE))*IF('21.04.01'!$AK32="是",'21.04.01'!$BB$4,'21.04.01'!$BB$3))</f>
        <v>0</v>
      </c>
      <c r="U32" s="4">
        <f>IF(ISNUMBER(SEARCH("营",'21.04.01'!AC32)),(-$Y32+50*IF('21.04.01'!$AK32="是",'21.04.01'!$BB$4,'21.04.01'!$BB$3)),(VLOOKUP('21.04.01'!AC32,'21.04.01'!$AO$4:$AQ$55,2,FALSE))*IF('21.04.01'!$AK32="是",'21.04.01'!$BB$4,'21.04.01'!$BB$3))</f>
        <v>0</v>
      </c>
      <c r="V32" s="4">
        <f>IF(ISNUMBER(SEARCH("营",'21.04.01'!AD32)),(-$Y32+50*IF('21.04.01'!$AK32="是",'21.04.01'!$BB$4,'21.04.01'!$BB$3)),(VLOOKUP('21.04.01'!AD32,'21.04.01'!$AO$4:$AQ$55,2,FALSE))*IF('21.04.01'!$AK32="是",'21.04.01'!$BB$4,'21.04.01'!$BB$3))</f>
        <v>0</v>
      </c>
      <c r="W32" s="4">
        <f>IF(ISNUMBER(SEARCH("营",'21.04.01'!AE32)),(-$Y32+50*IF('21.04.01'!$AK32="是",'21.04.01'!$BB$4,'21.04.01'!$BB$3)),(VLOOKUP('21.04.01'!AE32,'21.04.01'!$AO$4:$AQ$55,2,FALSE))*IF('21.04.01'!$AK32="是",'21.04.01'!$BB$4,'21.04.01'!$BB$3))</f>
        <v>0</v>
      </c>
      <c r="X32" s="4">
        <f>IF(ISNUMBER(SEARCH("营",'21.04.01'!AF32)),(-$Y32+50*IF('21.04.01'!$AK32="是",'21.04.01'!$BB$4,'21.04.01'!$BB$3)),(VLOOKUP('21.04.01'!AF32,'21.04.01'!$AO$4:$AQ$55,2,FALSE))*IF('21.04.01'!$AK32="是",'21.04.01'!$BB$4,'21.04.01'!$BB$3))</f>
        <v>0</v>
      </c>
      <c r="Y32" s="63">
        <v>200</v>
      </c>
      <c r="Z32" s="94">
        <v>45940</v>
      </c>
    </row>
    <row r="33" spans="1:26">
      <c r="A33" s="4">
        <f>IF(ISNUMBER(SEARCH("营",'21.04.01'!I33)),(-$Y33+50*IF('21.04.01'!$AK33="是",'21.04.01'!$BB$4,'21.04.01'!$BB$3)),(VLOOKUP('21.04.01'!I33,'21.04.01'!$AO$4:$AQ$55,2,FALSE))*IF('21.04.01'!$AK33="是",'21.04.01'!$BB$4,'21.04.01'!$BB$3))</f>
        <v>40</v>
      </c>
      <c r="B33" s="4">
        <f>IF(ISNUMBER(SEARCH("营",'21.04.01'!J33)),(-$Y33+50*IF('21.04.01'!$AK33="是",'21.04.01'!$BB$4,'21.04.01'!$BB$3)),(VLOOKUP('21.04.01'!J33,'21.04.01'!$AO$4:$AQ$55,2,FALSE))*IF('21.04.01'!$AK33="是",'21.04.01'!$BB$4,'21.04.01'!$BB$3))</f>
        <v>0</v>
      </c>
      <c r="C33" s="4">
        <f>IF(ISNUMBER(SEARCH("营",'21.04.01'!K33)),(-$Y33+50*IF('21.04.01'!$AK33="是",'21.04.01'!$BB$4,'21.04.01'!$BB$3)),(VLOOKUP('21.04.01'!K33,'21.04.01'!$AO$4:$AQ$55,2,FALSE))*IF('21.04.01'!$AK33="是",'21.04.01'!$BB$4,'21.04.01'!$BB$3))</f>
        <v>0</v>
      </c>
      <c r="D33" s="4">
        <f>IF(ISNUMBER(SEARCH("营",'21.04.01'!L33)),(-$Y33+50*IF('21.04.01'!$AK33="是",'21.04.01'!$BB$4,'21.04.01'!$BB$3)),(VLOOKUP('21.04.01'!L33,'21.04.01'!$AO$4:$AQ$55,2,FALSE))*IF('21.04.01'!$AK33="是",'21.04.01'!$BB$4,'21.04.01'!$BB$3))</f>
        <v>0</v>
      </c>
      <c r="E33" s="4">
        <f>IF(ISNUMBER(SEARCH("营",'21.04.01'!M33)),(-$Y33+50*IF('21.04.01'!$AK33="是",'21.04.01'!$BB$4,'21.04.01'!$BB$3)),(VLOOKUP('21.04.01'!M33,'21.04.01'!$AO$4:$AQ$55,2,FALSE))*IF('21.04.01'!$AK33="是",'21.04.01'!$BB$4,'21.04.01'!$BB$3))</f>
        <v>0</v>
      </c>
      <c r="F33" s="4">
        <f>IF(ISNUMBER(SEARCH("营",'21.04.01'!N33)),(-$Y33+50*IF('21.04.01'!$AK33="是",'21.04.01'!$BB$4,'21.04.01'!$BB$3)),(VLOOKUP('21.04.01'!N33,'21.04.01'!$AO$4:$AQ$55,2,FALSE))*IF('21.04.01'!$AK33="是",'21.04.01'!$BB$4,'21.04.01'!$BB$3))</f>
        <v>0</v>
      </c>
      <c r="G33" s="4">
        <f>IF(ISNUMBER(SEARCH("营",'21.04.01'!O33)),(-$Y33+50*IF('21.04.01'!$AK33="是",'21.04.01'!$BB$4,'21.04.01'!$BB$3)),(VLOOKUP('21.04.01'!O33,'21.04.01'!$AO$4:$AQ$55,2,FALSE))*IF('21.04.01'!$AK33="是",'21.04.01'!$BB$4,'21.04.01'!$BB$3))</f>
        <v>0</v>
      </c>
      <c r="H33" s="4">
        <f>IF(ISNUMBER(SEARCH("营",'21.04.01'!P33)),(-$Y33+50*IF('21.04.01'!$AK33="是",'21.04.01'!$BB$4,'21.04.01'!$BB$3)),(VLOOKUP('21.04.01'!P33,'21.04.01'!$AO$4:$AQ$55,2,FALSE))*IF('21.04.01'!$AK33="是",'21.04.01'!$BB$4,'21.04.01'!$BB$3))</f>
        <v>0</v>
      </c>
      <c r="I33" s="4">
        <f>IF(ISNUMBER(SEARCH("营",'21.04.01'!Q33)),(-$Y33+50*IF('21.04.01'!$AK33="是",'21.04.01'!$BB$4,'21.04.01'!$BB$3)),(VLOOKUP('21.04.01'!Q33,'21.04.01'!$AO$4:$AQ$55,2,FALSE))*IF('21.04.01'!$AK33="是",'21.04.01'!$BB$4,'21.04.01'!$BB$3))</f>
        <v>160</v>
      </c>
      <c r="J33" s="4">
        <f>IF(ISNUMBER(SEARCH("营",'21.04.01'!R33)),(-$Y33+50*IF('21.04.01'!$AK33="是",'21.04.01'!$BB$4,'21.04.01'!$BB$3)),(VLOOKUP('21.04.01'!R33,'21.04.01'!$AO$4:$AQ$55,2,FALSE))*IF('21.04.01'!$AK33="是",'21.04.01'!$BB$4,'21.04.01'!$BB$3))</f>
        <v>160</v>
      </c>
      <c r="K33" s="4">
        <f>IF(ISNUMBER(SEARCH("营",'21.04.01'!S33)),(-$Y33+50*IF('21.04.01'!$AK33="是",'21.04.01'!$BB$4,'21.04.01'!$BB$3)),(VLOOKUP('21.04.01'!S33,'21.04.01'!$AO$4:$AQ$55,2,FALSE))*IF('21.04.01'!$AK33="是",'21.04.01'!$BB$4,'21.04.01'!$BB$3))</f>
        <v>160</v>
      </c>
      <c r="L33" s="4">
        <f>IF(ISNUMBER(SEARCH("营",'21.04.01'!T33)),(-$Y33+50*IF('21.04.01'!$AK33="是",'21.04.01'!$BB$4,'21.04.01'!$BB$3)),(VLOOKUP('21.04.01'!T33,'21.04.01'!$AO$4:$AQ$55,2,FALSE))*IF('21.04.01'!$AK33="是",'21.04.01'!$BB$4,'21.04.01'!$BB$3))</f>
        <v>160</v>
      </c>
      <c r="M33" s="4">
        <f>IF(ISNUMBER(SEARCH("营",'21.04.01'!U33)),(-$Y33+50*IF('21.04.01'!$AK33="是",'21.04.01'!$BB$4,'21.04.01'!$BB$3)),(VLOOKUP('21.04.01'!U33,'21.04.01'!$AO$4:$AQ$55,2,FALSE))*IF('21.04.01'!$AK33="是",'21.04.01'!$BB$4,'21.04.01'!$BB$3))</f>
        <v>160</v>
      </c>
      <c r="N33" s="4">
        <f>IF(ISNUMBER(SEARCH("营",'21.04.01'!V33)),(-$Y33+50*IF('21.04.01'!$AK33="是",'21.04.01'!$BB$4,'21.04.01'!$BB$3)),(VLOOKUP('21.04.01'!V33,'21.04.01'!$AO$4:$AQ$55,2,FALSE))*IF('21.04.01'!$AK33="是",'21.04.01'!$BB$4,'21.04.01'!$BB$3))</f>
        <v>160</v>
      </c>
      <c r="O33" s="4">
        <f>IF(ISNUMBER(SEARCH("营",'21.04.01'!W33)),(-$Y33+50*IF('21.04.01'!$AK33="是",'21.04.01'!$BB$4,'21.04.01'!$BB$3)),(VLOOKUP('21.04.01'!W33,'21.04.01'!$AO$4:$AQ$55,2,FALSE))*IF('21.04.01'!$AK33="是",'21.04.01'!$BB$4,'21.04.01'!$BB$3))</f>
        <v>0</v>
      </c>
      <c r="P33" s="4">
        <f>IF(ISNUMBER(SEARCH("营",'21.04.01'!X33)),(-$Y33+50*IF('21.04.01'!$AK33="是",'21.04.01'!$BB$4,'21.04.01'!$BB$3)),(VLOOKUP('21.04.01'!X33,'21.04.01'!$AO$4:$AQ$55,2,FALSE))*IF('21.04.01'!$AK33="是",'21.04.01'!$BB$4,'21.04.01'!$BB$3))</f>
        <v>0</v>
      </c>
      <c r="Q33" s="4">
        <f>IF(ISNUMBER(SEARCH("营",'21.04.01'!Y33)),(-$Y33+50*IF('21.04.01'!$AK33="是",'21.04.01'!$BB$4,'21.04.01'!$BB$3)),(VLOOKUP('21.04.01'!Y33,'21.04.01'!$AO$4:$AQ$55,2,FALSE))*IF('21.04.01'!$AK33="是",'21.04.01'!$BB$4,'21.04.01'!$BB$3))</f>
        <v>0</v>
      </c>
      <c r="R33" s="4">
        <f>IF(ISNUMBER(SEARCH("营",'21.04.01'!Z33)),(-$Y33+50*IF('21.04.01'!$AK33="是",'21.04.01'!$BB$4,'21.04.01'!$BB$3)),(VLOOKUP('21.04.01'!Z33,'21.04.01'!$AO$4:$AQ$55,2,FALSE))*IF('21.04.01'!$AK33="是",'21.04.01'!$BB$4,'21.04.01'!$BB$3))</f>
        <v>0</v>
      </c>
      <c r="S33" s="4">
        <f>IF(ISNUMBER(SEARCH("营",'21.04.01'!AA33)),(-$Y33+50*IF('21.04.01'!$AK33="是",'21.04.01'!$BB$4,'21.04.01'!$BB$3)),(VLOOKUP('21.04.01'!AA33,'21.04.01'!$AO$4:$AQ$55,2,FALSE))*IF('21.04.01'!$AK33="是",'21.04.01'!$BB$4,'21.04.01'!$BB$3))</f>
        <v>0</v>
      </c>
      <c r="T33" s="4">
        <f>IF(ISNUMBER(SEARCH("营",'21.04.01'!AB33)),(-$Y33+50*IF('21.04.01'!$AK33="是",'21.04.01'!$BB$4,'21.04.01'!$BB$3)),(VLOOKUP('21.04.01'!AB33,'21.04.01'!$AO$4:$AQ$55,2,FALSE))*IF('21.04.01'!$AK33="是",'21.04.01'!$BB$4,'21.04.01'!$BB$3))</f>
        <v>0</v>
      </c>
      <c r="U33" s="4">
        <f>IF(ISNUMBER(SEARCH("营",'21.04.01'!AC33)),(-$Y33+50*IF('21.04.01'!$AK33="是",'21.04.01'!$BB$4,'21.04.01'!$BB$3)),(VLOOKUP('21.04.01'!AC33,'21.04.01'!$AO$4:$AQ$55,2,FALSE))*IF('21.04.01'!$AK33="是",'21.04.01'!$BB$4,'21.04.01'!$BB$3))</f>
        <v>0</v>
      </c>
      <c r="V33" s="4">
        <f>IF(ISNUMBER(SEARCH("营",'21.04.01'!AD33)),(-$Y33+50*IF('21.04.01'!$AK33="是",'21.04.01'!$BB$4,'21.04.01'!$BB$3)),(VLOOKUP('21.04.01'!AD33,'21.04.01'!$AO$4:$AQ$55,2,FALSE))*IF('21.04.01'!$AK33="是",'21.04.01'!$BB$4,'21.04.01'!$BB$3))</f>
        <v>0</v>
      </c>
      <c r="W33" s="4">
        <f>IF(ISNUMBER(SEARCH("营",'21.04.01'!AE33)),(-$Y33+50*IF('21.04.01'!$AK33="是",'21.04.01'!$BB$4,'21.04.01'!$BB$3)),(VLOOKUP('21.04.01'!AE33,'21.04.01'!$AO$4:$AQ$55,2,FALSE))*IF('21.04.01'!$AK33="是",'21.04.01'!$BB$4,'21.04.01'!$BB$3))</f>
        <v>0</v>
      </c>
      <c r="X33" s="4">
        <f>IF(ISNUMBER(SEARCH("营",'21.04.01'!AF33)),(-$Y33+50*IF('21.04.01'!$AK33="是",'21.04.01'!$BB$4,'21.04.01'!$BB$3)),(VLOOKUP('21.04.01'!AF33,'21.04.01'!$AO$4:$AQ$55,2,FALSE))*IF('21.04.01'!$AK33="是",'21.04.01'!$BB$4,'21.04.01'!$BB$3))</f>
        <v>0</v>
      </c>
      <c r="Y33" s="63">
        <v>200</v>
      </c>
      <c r="Z33" s="94">
        <v>45941</v>
      </c>
    </row>
    <row r="34" spans="1:26">
      <c r="A34" s="4">
        <f>IF(ISNUMBER(SEARCH("营",'21.04.01'!I34)),(-$Y34+50*IF('21.04.01'!$AK34="是",'21.04.01'!$BB$4,'21.04.01'!$BB$3)),(VLOOKUP('21.04.01'!I34,'21.04.01'!$AO$4:$AQ$55,2,FALSE))*IF('21.04.01'!$AK34="是",'21.04.01'!$BB$4,'21.04.01'!$BB$3))</f>
        <v>144</v>
      </c>
      <c r="B34" s="4">
        <f>IF(ISNUMBER(SEARCH("营",'21.04.01'!J34)),(-$Y34+50*IF('21.04.01'!$AK34="是",'21.04.01'!$BB$4,'21.04.01'!$BB$3)),(VLOOKUP('21.04.01'!J34,'21.04.01'!$AO$4:$AQ$55,2,FALSE))*IF('21.04.01'!$AK34="是",'21.04.01'!$BB$4,'21.04.01'!$BB$3))</f>
        <v>144</v>
      </c>
      <c r="C34" s="4">
        <f>IF(ISNUMBER(SEARCH("营",'21.04.01'!K34)),(-$Y34+50*IF('21.04.01'!$AK34="是",'21.04.01'!$BB$4,'21.04.01'!$BB$3)),(VLOOKUP('21.04.01'!K34,'21.04.01'!$AO$4:$AQ$55,2,FALSE))*IF('21.04.01'!$AK34="是",'21.04.01'!$BB$4,'21.04.01'!$BB$3))</f>
        <v>144</v>
      </c>
      <c r="D34" s="4">
        <f>IF(ISNUMBER(SEARCH("营",'21.04.01'!L34)),(-$Y34+50*IF('21.04.01'!$AK34="是",'21.04.01'!$BB$4,'21.04.01'!$BB$3)),(VLOOKUP('21.04.01'!L34,'21.04.01'!$AO$4:$AQ$55,2,FALSE))*IF('21.04.01'!$AK34="是",'21.04.01'!$BB$4,'21.04.01'!$BB$3))</f>
        <v>144</v>
      </c>
      <c r="E34" s="4">
        <f>IF(ISNUMBER(SEARCH("营",'21.04.01'!M34)),(-$Y34+50*IF('21.04.01'!$AK34="是",'21.04.01'!$BB$4,'21.04.01'!$BB$3)),(VLOOKUP('21.04.01'!M34,'21.04.01'!$AO$4:$AQ$55,2,FALSE))*IF('21.04.01'!$AK34="是",'21.04.01'!$BB$4,'21.04.01'!$BB$3))</f>
        <v>144</v>
      </c>
      <c r="F34" s="4">
        <f>IF(ISNUMBER(SEARCH("营",'21.04.01'!N34)),(-$Y34+50*IF('21.04.01'!$AK34="是",'21.04.01'!$BB$4,'21.04.01'!$BB$3)),(VLOOKUP('21.04.01'!N34,'21.04.01'!$AO$4:$AQ$55,2,FALSE))*IF('21.04.01'!$AK34="是",'21.04.01'!$BB$4,'21.04.01'!$BB$3))</f>
        <v>144</v>
      </c>
      <c r="G34" s="4">
        <f>IF(ISNUMBER(SEARCH("营",'21.04.01'!O34)),(-$Y34+50*IF('21.04.01'!$AK34="是",'21.04.01'!$BB$4,'21.04.01'!$BB$3)),(VLOOKUP('21.04.01'!O34,'21.04.01'!$AO$4:$AQ$55,2,FALSE))*IF('21.04.01'!$AK34="是",'21.04.01'!$BB$4,'21.04.01'!$BB$3))</f>
        <v>0</v>
      </c>
      <c r="H34" s="4">
        <f>IF(ISNUMBER(SEARCH("营",'21.04.01'!P34)),(-$Y34+50*IF('21.04.01'!$AK34="是",'21.04.01'!$BB$4,'21.04.01'!$BB$3)),(VLOOKUP('21.04.01'!P34,'21.04.01'!$AO$4:$AQ$55,2,FALSE))*IF('21.04.01'!$AK34="是",'21.04.01'!$BB$4,'21.04.01'!$BB$3))</f>
        <v>0</v>
      </c>
      <c r="I34" s="4">
        <f>IF(ISNUMBER(SEARCH("营",'21.04.01'!Q34)),(-$Y34+50*IF('21.04.01'!$AK34="是",'21.04.01'!$BB$4,'21.04.01'!$BB$3)),(VLOOKUP('21.04.01'!Q34,'21.04.01'!$AO$4:$AQ$55,2,FALSE))*IF('21.04.01'!$AK34="是",'21.04.01'!$BB$4,'21.04.01'!$BB$3))</f>
        <v>160</v>
      </c>
      <c r="J34" s="4">
        <f>IF(ISNUMBER(SEARCH("营",'21.04.01'!R34)),(-$Y34+50*IF('21.04.01'!$AK34="是",'21.04.01'!$BB$4,'21.04.01'!$BB$3)),(VLOOKUP('21.04.01'!R34,'21.04.01'!$AO$4:$AQ$55,2,FALSE))*IF('21.04.01'!$AK34="是",'21.04.01'!$BB$4,'21.04.01'!$BB$3))</f>
        <v>160</v>
      </c>
      <c r="K34" s="4">
        <f>IF(ISNUMBER(SEARCH("营",'21.04.01'!S34)),(-$Y34+50*IF('21.04.01'!$AK34="是",'21.04.01'!$BB$4,'21.04.01'!$BB$3)),(VLOOKUP('21.04.01'!S34,'21.04.01'!$AO$4:$AQ$55,2,FALSE))*IF('21.04.01'!$AK34="是",'21.04.01'!$BB$4,'21.04.01'!$BB$3))</f>
        <v>160</v>
      </c>
      <c r="L34" s="4">
        <f>IF(ISNUMBER(SEARCH("营",'21.04.01'!T34)),(-$Y34+50*IF('21.04.01'!$AK34="是",'21.04.01'!$BB$4,'21.04.01'!$BB$3)),(VLOOKUP('21.04.01'!T34,'21.04.01'!$AO$4:$AQ$55,2,FALSE))*IF('21.04.01'!$AK34="是",'21.04.01'!$BB$4,'21.04.01'!$BB$3))</f>
        <v>160</v>
      </c>
      <c r="M34" s="4">
        <f>IF(ISNUMBER(SEARCH("营",'21.04.01'!U34)),(-$Y34+50*IF('21.04.01'!$AK34="是",'21.04.01'!$BB$4,'21.04.01'!$BB$3)),(VLOOKUP('21.04.01'!U34,'21.04.01'!$AO$4:$AQ$55,2,FALSE))*IF('21.04.01'!$AK34="是",'21.04.01'!$BB$4,'21.04.01'!$BB$3))</f>
        <v>160</v>
      </c>
      <c r="N34" s="4">
        <f>IF(ISNUMBER(SEARCH("营",'21.04.01'!V34)),(-$Y34+50*IF('21.04.01'!$AK34="是",'21.04.01'!$BB$4,'21.04.01'!$BB$3)),(VLOOKUP('21.04.01'!V34,'21.04.01'!$AO$4:$AQ$55,2,FALSE))*IF('21.04.01'!$AK34="是",'21.04.01'!$BB$4,'21.04.01'!$BB$3))</f>
        <v>160</v>
      </c>
      <c r="O34" s="4">
        <f>IF(ISNUMBER(SEARCH("营",'21.04.01'!W34)),(-$Y34+50*IF('21.04.01'!$AK34="是",'21.04.01'!$BB$4,'21.04.01'!$BB$3)),(VLOOKUP('21.04.01'!W34,'21.04.01'!$AO$4:$AQ$55,2,FALSE))*IF('21.04.01'!$AK34="是",'21.04.01'!$BB$4,'21.04.01'!$BB$3))</f>
        <v>0</v>
      </c>
      <c r="P34" s="4">
        <f>IF(ISNUMBER(SEARCH("营",'21.04.01'!X34)),(-$Y34+50*IF('21.04.01'!$AK34="是",'21.04.01'!$BB$4,'21.04.01'!$BB$3)),(VLOOKUP('21.04.01'!X34,'21.04.01'!$AO$4:$AQ$55,2,FALSE))*IF('21.04.01'!$AK34="是",'21.04.01'!$BB$4,'21.04.01'!$BB$3))</f>
        <v>0</v>
      </c>
      <c r="Q34" s="4">
        <f>IF(ISNUMBER(SEARCH("营",'21.04.01'!Y34)),(-$Y34+50*IF('21.04.01'!$AK34="是",'21.04.01'!$BB$4,'21.04.01'!$BB$3)),(VLOOKUP('21.04.01'!Y34,'21.04.01'!$AO$4:$AQ$55,2,FALSE))*IF('21.04.01'!$AK34="是",'21.04.01'!$BB$4,'21.04.01'!$BB$3))</f>
        <v>0</v>
      </c>
      <c r="R34" s="4">
        <f>IF(ISNUMBER(SEARCH("营",'21.04.01'!Z34)),(-$Y34+50*IF('21.04.01'!$AK34="是",'21.04.01'!$BB$4,'21.04.01'!$BB$3)),(VLOOKUP('21.04.01'!Z34,'21.04.01'!$AO$4:$AQ$55,2,FALSE))*IF('21.04.01'!$AK34="是",'21.04.01'!$BB$4,'21.04.01'!$BB$3))</f>
        <v>0</v>
      </c>
      <c r="S34" s="4">
        <f>IF(ISNUMBER(SEARCH("营",'21.04.01'!AA34)),(-$Y34+50*IF('21.04.01'!$AK34="是",'21.04.01'!$BB$4,'21.04.01'!$BB$3)),(VLOOKUP('21.04.01'!AA34,'21.04.01'!$AO$4:$AQ$55,2,FALSE))*IF('21.04.01'!$AK34="是",'21.04.01'!$BB$4,'21.04.01'!$BB$3))</f>
        <v>0</v>
      </c>
      <c r="T34" s="4">
        <f>IF(ISNUMBER(SEARCH("营",'21.04.01'!AB34)),(-$Y34+50*IF('21.04.01'!$AK34="是",'21.04.01'!$BB$4,'21.04.01'!$BB$3)),(VLOOKUP('21.04.01'!AB34,'21.04.01'!$AO$4:$AQ$55,2,FALSE))*IF('21.04.01'!$AK34="是",'21.04.01'!$BB$4,'21.04.01'!$BB$3))</f>
        <v>0</v>
      </c>
      <c r="U34" s="4">
        <f>IF(ISNUMBER(SEARCH("营",'21.04.01'!AC34)),(-$Y34+50*IF('21.04.01'!$AK34="是",'21.04.01'!$BB$4,'21.04.01'!$BB$3)),(VLOOKUP('21.04.01'!AC34,'21.04.01'!$AO$4:$AQ$55,2,FALSE))*IF('21.04.01'!$AK34="是",'21.04.01'!$BB$4,'21.04.01'!$BB$3))</f>
        <v>0</v>
      </c>
      <c r="V34" s="4">
        <f>IF(ISNUMBER(SEARCH("营",'21.04.01'!AD34)),(-$Y34+50*IF('21.04.01'!$AK34="是",'21.04.01'!$BB$4,'21.04.01'!$BB$3)),(VLOOKUP('21.04.01'!AD34,'21.04.01'!$AO$4:$AQ$55,2,FALSE))*IF('21.04.01'!$AK34="是",'21.04.01'!$BB$4,'21.04.01'!$BB$3))</f>
        <v>0</v>
      </c>
      <c r="W34" s="4">
        <f>IF(ISNUMBER(SEARCH("营",'21.04.01'!AE34)),(-$Y34+50*IF('21.04.01'!$AK34="是",'21.04.01'!$BB$4,'21.04.01'!$BB$3)),(VLOOKUP('21.04.01'!AE34,'21.04.01'!$AO$4:$AQ$55,2,FALSE))*IF('21.04.01'!$AK34="是",'21.04.01'!$BB$4,'21.04.01'!$BB$3))</f>
        <v>0</v>
      </c>
      <c r="X34" s="4">
        <f>IF(ISNUMBER(SEARCH("营",'21.04.01'!AF34)),(-$Y34+50*IF('21.04.01'!$AK34="是",'21.04.01'!$BB$4,'21.04.01'!$BB$3)),(VLOOKUP('21.04.01'!AF34,'21.04.01'!$AO$4:$AQ$55,2,FALSE))*IF('21.04.01'!$AK34="是",'21.04.01'!$BB$4,'21.04.01'!$BB$3))</f>
        <v>0</v>
      </c>
      <c r="Y34" s="63">
        <v>200</v>
      </c>
      <c r="Z34" s="94">
        <v>45942</v>
      </c>
    </row>
    <row r="35" spans="1:26">
      <c r="A35" s="4">
        <f>IF(ISNUMBER(SEARCH("营",'21.04.01'!I35)),(-$Y35+50*IF('21.04.01'!$AK35="是",'21.04.01'!$BB$4,'21.04.01'!$BB$3)),(VLOOKUP('21.04.01'!I35,'21.04.01'!$AO$4:$AQ$55,2,FALSE))*IF('21.04.01'!$AK35="是",'21.04.01'!$BB$4,'21.04.01'!$BB$3))</f>
        <v>144</v>
      </c>
      <c r="B35" s="4">
        <f>IF(ISNUMBER(SEARCH("营",'21.04.01'!J35)),(-$Y35+50*IF('21.04.01'!$AK35="是",'21.04.01'!$BB$4,'21.04.01'!$BB$3)),(VLOOKUP('21.04.01'!J35,'21.04.01'!$AO$4:$AQ$55,2,FALSE))*IF('21.04.01'!$AK35="是",'21.04.01'!$BB$4,'21.04.01'!$BB$3))</f>
        <v>144</v>
      </c>
      <c r="C35" s="4">
        <f>IF(ISNUMBER(SEARCH("营",'21.04.01'!K35)),(-$Y35+50*IF('21.04.01'!$AK35="是",'21.04.01'!$BB$4,'21.04.01'!$BB$3)),(VLOOKUP('21.04.01'!K35,'21.04.01'!$AO$4:$AQ$55,2,FALSE))*IF('21.04.01'!$AK35="是",'21.04.01'!$BB$4,'21.04.01'!$BB$3))</f>
        <v>144</v>
      </c>
      <c r="D35" s="4">
        <f>IF(ISNUMBER(SEARCH("营",'21.04.01'!L35)),(-$Y35+50*IF('21.04.01'!$AK35="是",'21.04.01'!$BB$4,'21.04.01'!$BB$3)),(VLOOKUP('21.04.01'!L35,'21.04.01'!$AO$4:$AQ$55,2,FALSE))*IF('21.04.01'!$AK35="是",'21.04.01'!$BB$4,'21.04.01'!$BB$3))</f>
        <v>144</v>
      </c>
      <c r="E35" s="4">
        <f>IF(ISNUMBER(SEARCH("营",'21.04.01'!M35)),(-$Y35+50*IF('21.04.01'!$AK35="是",'21.04.01'!$BB$4,'21.04.01'!$BB$3)),(VLOOKUP('21.04.01'!M35,'21.04.01'!$AO$4:$AQ$55,2,FALSE))*IF('21.04.01'!$AK35="是",'21.04.01'!$BB$4,'21.04.01'!$BB$3))</f>
        <v>144</v>
      </c>
      <c r="F35" s="4">
        <f>IF(ISNUMBER(SEARCH("营",'21.04.01'!N35)),(-$Y35+50*IF('21.04.01'!$AK35="是",'21.04.01'!$BB$4,'21.04.01'!$BB$3)),(VLOOKUP('21.04.01'!N35,'21.04.01'!$AO$4:$AQ$55,2,FALSE))*IF('21.04.01'!$AK35="是",'21.04.01'!$BB$4,'21.04.01'!$BB$3))</f>
        <v>144</v>
      </c>
      <c r="G35" s="4">
        <f>IF(ISNUMBER(SEARCH("营",'21.04.01'!O35)),(-$Y35+50*IF('21.04.01'!$AK35="是",'21.04.01'!$BB$4,'21.04.01'!$BB$3)),(VLOOKUP('21.04.01'!O35,'21.04.01'!$AO$4:$AQ$55,2,FALSE))*IF('21.04.01'!$AK35="是",'21.04.01'!$BB$4,'21.04.01'!$BB$3))</f>
        <v>0</v>
      </c>
      <c r="H35" s="4">
        <f>IF(ISNUMBER(SEARCH("营",'21.04.01'!P35)),(-$Y35+50*IF('21.04.01'!$AK35="是",'21.04.01'!$BB$4,'21.04.01'!$BB$3)),(VLOOKUP('21.04.01'!P35,'21.04.01'!$AO$4:$AQ$55,2,FALSE))*IF('21.04.01'!$AK35="是",'21.04.01'!$BB$4,'21.04.01'!$BB$3))</f>
        <v>0</v>
      </c>
      <c r="I35" s="4">
        <f>IF(ISNUMBER(SEARCH("营",'21.04.01'!Q35)),(-$Y35+50*IF('21.04.01'!$AK35="是",'21.04.01'!$BB$4,'21.04.01'!$BB$3)),(VLOOKUP('21.04.01'!Q35,'21.04.01'!$AO$4:$AQ$55,2,FALSE))*IF('21.04.01'!$AK35="是",'21.04.01'!$BB$4,'21.04.01'!$BB$3))</f>
        <v>160</v>
      </c>
      <c r="J35" s="4">
        <f>IF(ISNUMBER(SEARCH("营",'21.04.01'!R35)),(-$Y35+50*IF('21.04.01'!$AK35="是",'21.04.01'!$BB$4,'21.04.01'!$BB$3)),(VLOOKUP('21.04.01'!R35,'21.04.01'!$AO$4:$AQ$55,2,FALSE))*IF('21.04.01'!$AK35="是",'21.04.01'!$BB$4,'21.04.01'!$BB$3))</f>
        <v>152</v>
      </c>
      <c r="K35" s="4">
        <f>IF(ISNUMBER(SEARCH("营",'21.04.01'!S35)),(-$Y35+50*IF('21.04.01'!$AK35="是",'21.04.01'!$BB$4,'21.04.01'!$BB$3)),(VLOOKUP('21.04.01'!S35,'21.04.01'!$AO$4:$AQ$55,2,FALSE))*IF('21.04.01'!$AK35="是",'21.04.01'!$BB$4,'21.04.01'!$BB$3))</f>
        <v>152</v>
      </c>
      <c r="L35" s="4">
        <f>IF(ISNUMBER(SEARCH("营",'21.04.01'!T35)),(-$Y35+50*IF('21.04.01'!$AK35="是",'21.04.01'!$BB$4,'21.04.01'!$BB$3)),(VLOOKUP('21.04.01'!T35,'21.04.01'!$AO$4:$AQ$55,2,FALSE))*IF('21.04.01'!$AK35="是",'21.04.01'!$BB$4,'21.04.01'!$BB$3))</f>
        <v>152</v>
      </c>
      <c r="M35" s="4">
        <f>IF(ISNUMBER(SEARCH("营",'21.04.01'!U35)),(-$Y35+50*IF('21.04.01'!$AK35="是",'21.04.01'!$BB$4,'21.04.01'!$BB$3)),(VLOOKUP('21.04.01'!U35,'21.04.01'!$AO$4:$AQ$55,2,FALSE))*IF('21.04.01'!$AK35="是",'21.04.01'!$BB$4,'21.04.01'!$BB$3))</f>
        <v>152</v>
      </c>
      <c r="N35" s="4">
        <f>IF(ISNUMBER(SEARCH("营",'21.04.01'!V35)),(-$Y35+50*IF('21.04.01'!$AK35="是",'21.04.01'!$BB$4,'21.04.01'!$BB$3)),(VLOOKUP('21.04.01'!V35,'21.04.01'!$AO$4:$AQ$55,2,FALSE))*IF('21.04.01'!$AK35="是",'21.04.01'!$BB$4,'21.04.01'!$BB$3))</f>
        <v>152</v>
      </c>
      <c r="O35" s="4">
        <f>IF(ISNUMBER(SEARCH("营",'21.04.01'!W35)),(-$Y35+50*IF('21.04.01'!$AK35="是",'21.04.01'!$BB$4,'21.04.01'!$BB$3)),(VLOOKUP('21.04.01'!W35,'21.04.01'!$AO$4:$AQ$55,2,FALSE))*IF('21.04.01'!$AK35="是",'21.04.01'!$BB$4,'21.04.01'!$BB$3))</f>
        <v>0</v>
      </c>
      <c r="P35" s="4">
        <f>IF(ISNUMBER(SEARCH("营",'21.04.01'!X35)),(-$Y35+50*IF('21.04.01'!$AK35="是",'21.04.01'!$BB$4,'21.04.01'!$BB$3)),(VLOOKUP('21.04.01'!X35,'21.04.01'!$AO$4:$AQ$55,2,FALSE))*IF('21.04.01'!$AK35="是",'21.04.01'!$BB$4,'21.04.01'!$BB$3))</f>
        <v>0</v>
      </c>
      <c r="Q35" s="4">
        <f>IF(ISNUMBER(SEARCH("营",'21.04.01'!Y35)),(-$Y35+50*IF('21.04.01'!$AK35="是",'21.04.01'!$BB$4,'21.04.01'!$BB$3)),(VLOOKUP('21.04.01'!Y35,'21.04.01'!$AO$4:$AQ$55,2,FALSE))*IF('21.04.01'!$AK35="是",'21.04.01'!$BB$4,'21.04.01'!$BB$3))</f>
        <v>0</v>
      </c>
      <c r="R35" s="4">
        <f>IF(ISNUMBER(SEARCH("营",'21.04.01'!Z35)),(-$Y35+50*IF('21.04.01'!$AK35="是",'21.04.01'!$BB$4,'21.04.01'!$BB$3)),(VLOOKUP('21.04.01'!Z35,'21.04.01'!$AO$4:$AQ$55,2,FALSE))*IF('21.04.01'!$AK35="是",'21.04.01'!$BB$4,'21.04.01'!$BB$3))</f>
        <v>0</v>
      </c>
      <c r="S35" s="4">
        <f>IF(ISNUMBER(SEARCH("营",'21.04.01'!AA35)),(-$Y35+50*IF('21.04.01'!$AK35="是",'21.04.01'!$BB$4,'21.04.01'!$BB$3)),(VLOOKUP('21.04.01'!AA35,'21.04.01'!$AO$4:$AQ$55,2,FALSE))*IF('21.04.01'!$AK35="是",'21.04.01'!$BB$4,'21.04.01'!$BB$3))</f>
        <v>0</v>
      </c>
      <c r="T35" s="4">
        <f>IF(ISNUMBER(SEARCH("营",'21.04.01'!AB35)),(-$Y35+50*IF('21.04.01'!$AK35="是",'21.04.01'!$BB$4,'21.04.01'!$BB$3)),(VLOOKUP('21.04.01'!AB35,'21.04.01'!$AO$4:$AQ$55,2,FALSE))*IF('21.04.01'!$AK35="是",'21.04.01'!$BB$4,'21.04.01'!$BB$3))</f>
        <v>0</v>
      </c>
      <c r="U35" s="4">
        <f>IF(ISNUMBER(SEARCH("营",'21.04.01'!AC35)),(-$Y35+50*IF('21.04.01'!$AK35="是",'21.04.01'!$BB$4,'21.04.01'!$BB$3)),(VLOOKUP('21.04.01'!AC35,'21.04.01'!$AO$4:$AQ$55,2,FALSE))*IF('21.04.01'!$AK35="是",'21.04.01'!$BB$4,'21.04.01'!$BB$3))</f>
        <v>0</v>
      </c>
      <c r="V35" s="4">
        <f>IF(ISNUMBER(SEARCH("营",'21.04.01'!AD35)),(-$Y35+50*IF('21.04.01'!$AK35="是",'21.04.01'!$BB$4,'21.04.01'!$BB$3)),(VLOOKUP('21.04.01'!AD35,'21.04.01'!$AO$4:$AQ$55,2,FALSE))*IF('21.04.01'!$AK35="是",'21.04.01'!$BB$4,'21.04.01'!$BB$3))</f>
        <v>0</v>
      </c>
      <c r="W35" s="4">
        <f>IF(ISNUMBER(SEARCH("营",'21.04.01'!AE35)),(-$Y35+50*IF('21.04.01'!$AK35="是",'21.04.01'!$BB$4,'21.04.01'!$BB$3)),(VLOOKUP('21.04.01'!AE35,'21.04.01'!$AO$4:$AQ$55,2,FALSE))*IF('21.04.01'!$AK35="是",'21.04.01'!$BB$4,'21.04.01'!$BB$3))</f>
        <v>0</v>
      </c>
      <c r="X35" s="4">
        <f>IF(ISNUMBER(SEARCH("营",'21.04.01'!AF35)),(-$Y35+50*IF('21.04.01'!$AK35="是",'21.04.01'!$BB$4,'21.04.01'!$BB$3)),(VLOOKUP('21.04.01'!AF35,'21.04.01'!$AO$4:$AQ$55,2,FALSE))*IF('21.04.01'!$AK35="是",'21.04.01'!$BB$4,'21.04.01'!$BB$3))</f>
        <v>0</v>
      </c>
      <c r="Y35" s="63">
        <v>200</v>
      </c>
      <c r="Z35" s="94">
        <v>45943</v>
      </c>
    </row>
    <row r="36" spans="1:26">
      <c r="A36" s="4">
        <f>IF(ISNUMBER(SEARCH("营",'21.04.01'!I36)),(-$Y36+50*IF('21.04.01'!$AK36="是",'21.04.01'!$BB$4,'21.04.01'!$BB$3)),(VLOOKUP('21.04.01'!I36,'21.04.01'!$AO$4:$AQ$55,2,FALSE))*IF('21.04.01'!$AK36="是",'21.04.01'!$BB$4,'21.04.01'!$BB$3))</f>
        <v>144</v>
      </c>
      <c r="B36" s="4">
        <f>IF(ISNUMBER(SEARCH("营",'21.04.01'!J36)),(-$Y36+50*IF('21.04.01'!$AK36="是",'21.04.01'!$BB$4,'21.04.01'!$BB$3)),(VLOOKUP('21.04.01'!J36,'21.04.01'!$AO$4:$AQ$55,2,FALSE))*IF('21.04.01'!$AK36="是",'21.04.01'!$BB$4,'21.04.01'!$BB$3))</f>
        <v>144</v>
      </c>
      <c r="C36" s="4">
        <f>IF(ISNUMBER(SEARCH("营",'21.04.01'!K36)),(-$Y36+50*IF('21.04.01'!$AK36="是",'21.04.01'!$BB$4,'21.04.01'!$BB$3)),(VLOOKUP('21.04.01'!K36,'21.04.01'!$AO$4:$AQ$55,2,FALSE))*IF('21.04.01'!$AK36="是",'21.04.01'!$BB$4,'21.04.01'!$BB$3))</f>
        <v>144</v>
      </c>
      <c r="D36" s="4">
        <f>IF(ISNUMBER(SEARCH("营",'21.04.01'!L36)),(-$Y36+50*IF('21.04.01'!$AK36="是",'21.04.01'!$BB$4,'21.04.01'!$BB$3)),(VLOOKUP('21.04.01'!L36,'21.04.01'!$AO$4:$AQ$55,2,FALSE))*IF('21.04.01'!$AK36="是",'21.04.01'!$BB$4,'21.04.01'!$BB$3))</f>
        <v>144</v>
      </c>
      <c r="E36" s="4">
        <f>IF(ISNUMBER(SEARCH("营",'21.04.01'!M36)),(-$Y36+50*IF('21.04.01'!$AK36="是",'21.04.01'!$BB$4,'21.04.01'!$BB$3)),(VLOOKUP('21.04.01'!M36,'21.04.01'!$AO$4:$AQ$55,2,FALSE))*IF('21.04.01'!$AK36="是",'21.04.01'!$BB$4,'21.04.01'!$BB$3))</f>
        <v>144</v>
      </c>
      <c r="F36" s="4">
        <f>IF(ISNUMBER(SEARCH("营",'21.04.01'!N36)),(-$Y36+50*IF('21.04.01'!$AK36="是",'21.04.01'!$BB$4,'21.04.01'!$BB$3)),(VLOOKUP('21.04.01'!N36,'21.04.01'!$AO$4:$AQ$55,2,FALSE))*IF('21.04.01'!$AK36="是",'21.04.01'!$BB$4,'21.04.01'!$BB$3))</f>
        <v>144</v>
      </c>
      <c r="G36" s="4">
        <f>IF(ISNUMBER(SEARCH("营",'21.04.01'!O36)),(-$Y36+50*IF('21.04.01'!$AK36="是",'21.04.01'!$BB$4,'21.04.01'!$BB$3)),(VLOOKUP('21.04.01'!O36,'21.04.01'!$AO$4:$AQ$55,2,FALSE))*IF('21.04.01'!$AK36="是",'21.04.01'!$BB$4,'21.04.01'!$BB$3))</f>
        <v>0</v>
      </c>
      <c r="H36" s="4">
        <f>IF(ISNUMBER(SEARCH("营",'21.04.01'!P36)),(-$Y36+50*IF('21.04.01'!$AK36="是",'21.04.01'!$BB$4,'21.04.01'!$BB$3)),(VLOOKUP('21.04.01'!P36,'21.04.01'!$AO$4:$AQ$55,2,FALSE))*IF('21.04.01'!$AK36="是",'21.04.01'!$BB$4,'21.04.01'!$BB$3))</f>
        <v>0</v>
      </c>
      <c r="I36" s="4">
        <f>IF(ISNUMBER(SEARCH("营",'21.04.01'!Q36)),(-$Y36+50*IF('21.04.01'!$AK36="是",'21.04.01'!$BB$4,'21.04.01'!$BB$3)),(VLOOKUP('21.04.01'!Q36,'21.04.01'!$AO$4:$AQ$55,2,FALSE))*IF('21.04.01'!$AK36="是",'21.04.01'!$BB$4,'21.04.01'!$BB$3))</f>
        <v>152</v>
      </c>
      <c r="J36" s="4">
        <f>IF(ISNUMBER(SEARCH("营",'21.04.01'!R36)),(-$Y36+50*IF('21.04.01'!$AK36="是",'21.04.01'!$BB$4,'21.04.01'!$BB$3)),(VLOOKUP('21.04.01'!R36,'21.04.01'!$AO$4:$AQ$55,2,FALSE))*IF('21.04.01'!$AK36="是",'21.04.01'!$BB$4,'21.04.01'!$BB$3))</f>
        <v>152</v>
      </c>
      <c r="K36" s="4">
        <f>IF(ISNUMBER(SEARCH("营",'21.04.01'!S36)),(-$Y36+50*IF('21.04.01'!$AK36="是",'21.04.01'!$BB$4,'21.04.01'!$BB$3)),(VLOOKUP('21.04.01'!S36,'21.04.01'!$AO$4:$AQ$55,2,FALSE))*IF('21.04.01'!$AK36="是",'21.04.01'!$BB$4,'21.04.01'!$BB$3))</f>
        <v>152</v>
      </c>
      <c r="L36" s="4">
        <f>IF(ISNUMBER(SEARCH("营",'21.04.01'!T36)),(-$Y36+50*IF('21.04.01'!$AK36="是",'21.04.01'!$BB$4,'21.04.01'!$BB$3)),(VLOOKUP('21.04.01'!T36,'21.04.01'!$AO$4:$AQ$55,2,FALSE))*IF('21.04.01'!$AK36="是",'21.04.01'!$BB$4,'21.04.01'!$BB$3))</f>
        <v>152</v>
      </c>
      <c r="M36" s="4">
        <f>IF(ISNUMBER(SEARCH("营",'21.04.01'!U36)),(-$Y36+50*IF('21.04.01'!$AK36="是",'21.04.01'!$BB$4,'21.04.01'!$BB$3)),(VLOOKUP('21.04.01'!U36,'21.04.01'!$AO$4:$AQ$55,2,FALSE))*IF('21.04.01'!$AK36="是",'21.04.01'!$BB$4,'21.04.01'!$BB$3))</f>
        <v>152</v>
      </c>
      <c r="N36" s="4">
        <f>IF(ISNUMBER(SEARCH("营",'21.04.01'!V36)),(-$Y36+50*IF('21.04.01'!$AK36="是",'21.04.01'!$BB$4,'21.04.01'!$BB$3)),(VLOOKUP('21.04.01'!V36,'21.04.01'!$AO$4:$AQ$55,2,FALSE))*IF('21.04.01'!$AK36="是",'21.04.01'!$BB$4,'21.04.01'!$BB$3))</f>
        <v>152</v>
      </c>
      <c r="O36" s="4">
        <f>IF(ISNUMBER(SEARCH("营",'21.04.01'!W36)),(-$Y36+50*IF('21.04.01'!$AK36="是",'21.04.01'!$BB$4,'21.04.01'!$BB$3)),(VLOOKUP('21.04.01'!W36,'21.04.01'!$AO$4:$AQ$55,2,FALSE))*IF('21.04.01'!$AK36="是",'21.04.01'!$BB$4,'21.04.01'!$BB$3))</f>
        <v>0</v>
      </c>
      <c r="P36" s="4">
        <f>IF(ISNUMBER(SEARCH("营",'21.04.01'!X36)),(-$Y36+50*IF('21.04.01'!$AK36="是",'21.04.01'!$BB$4,'21.04.01'!$BB$3)),(VLOOKUP('21.04.01'!X36,'21.04.01'!$AO$4:$AQ$55,2,FALSE))*IF('21.04.01'!$AK36="是",'21.04.01'!$BB$4,'21.04.01'!$BB$3))</f>
        <v>0</v>
      </c>
      <c r="Q36" s="4">
        <f>IF(ISNUMBER(SEARCH("营",'21.04.01'!Y36)),(-$Y36+50*IF('21.04.01'!$AK36="是",'21.04.01'!$BB$4,'21.04.01'!$BB$3)),(VLOOKUP('21.04.01'!Y36,'21.04.01'!$AO$4:$AQ$55,2,FALSE))*IF('21.04.01'!$AK36="是",'21.04.01'!$BB$4,'21.04.01'!$BB$3))</f>
        <v>0</v>
      </c>
      <c r="R36" s="4">
        <f>IF(ISNUMBER(SEARCH("营",'21.04.01'!Z36)),(-$Y36+50*IF('21.04.01'!$AK36="是",'21.04.01'!$BB$4,'21.04.01'!$BB$3)),(VLOOKUP('21.04.01'!Z36,'21.04.01'!$AO$4:$AQ$55,2,FALSE))*IF('21.04.01'!$AK36="是",'21.04.01'!$BB$4,'21.04.01'!$BB$3))</f>
        <v>0</v>
      </c>
      <c r="S36" s="4">
        <f>IF(ISNUMBER(SEARCH("营",'21.04.01'!AA36)),(-$Y36+50*IF('21.04.01'!$AK36="是",'21.04.01'!$BB$4,'21.04.01'!$BB$3)),(VLOOKUP('21.04.01'!AA36,'21.04.01'!$AO$4:$AQ$55,2,FALSE))*IF('21.04.01'!$AK36="是",'21.04.01'!$BB$4,'21.04.01'!$BB$3))</f>
        <v>0</v>
      </c>
      <c r="T36" s="4">
        <f>IF(ISNUMBER(SEARCH("营",'21.04.01'!AB36)),(-$Y36+50*IF('21.04.01'!$AK36="是",'21.04.01'!$BB$4,'21.04.01'!$BB$3)),(VLOOKUP('21.04.01'!AB36,'21.04.01'!$AO$4:$AQ$55,2,FALSE))*IF('21.04.01'!$AK36="是",'21.04.01'!$BB$4,'21.04.01'!$BB$3))</f>
        <v>0</v>
      </c>
      <c r="U36" s="4">
        <f>IF(ISNUMBER(SEARCH("营",'21.04.01'!AC36)),(-$Y36+50*IF('21.04.01'!$AK36="是",'21.04.01'!$BB$4,'21.04.01'!$BB$3)),(VLOOKUP('21.04.01'!AC36,'21.04.01'!$AO$4:$AQ$55,2,FALSE))*IF('21.04.01'!$AK36="是",'21.04.01'!$BB$4,'21.04.01'!$BB$3))</f>
        <v>0</v>
      </c>
      <c r="V36" s="4">
        <f>IF(ISNUMBER(SEARCH("营",'21.04.01'!AD36)),(-$Y36+50*IF('21.04.01'!$AK36="是",'21.04.01'!$BB$4,'21.04.01'!$BB$3)),(VLOOKUP('21.04.01'!AD36,'21.04.01'!$AO$4:$AQ$55,2,FALSE))*IF('21.04.01'!$AK36="是",'21.04.01'!$BB$4,'21.04.01'!$BB$3))</f>
        <v>0</v>
      </c>
      <c r="W36" s="4">
        <f>IF(ISNUMBER(SEARCH("营",'21.04.01'!AE36)),(-$Y36+50*IF('21.04.01'!$AK36="是",'21.04.01'!$BB$4,'21.04.01'!$BB$3)),(VLOOKUP('21.04.01'!AE36,'21.04.01'!$AO$4:$AQ$55,2,FALSE))*IF('21.04.01'!$AK36="是",'21.04.01'!$BB$4,'21.04.01'!$BB$3))</f>
        <v>0</v>
      </c>
      <c r="X36" s="4">
        <f>IF(ISNUMBER(SEARCH("营",'21.04.01'!AF36)),(-$Y36+50*IF('21.04.01'!$AK36="是",'21.04.01'!$BB$4,'21.04.01'!$BB$3)),(VLOOKUP('21.04.01'!AF36,'21.04.01'!$AO$4:$AQ$55,2,FALSE))*IF('21.04.01'!$AK36="是",'21.04.01'!$BB$4,'21.04.01'!$BB$3))</f>
        <v>0</v>
      </c>
      <c r="Y36" s="63">
        <v>200</v>
      </c>
      <c r="Z36" s="94">
        <v>45944</v>
      </c>
    </row>
    <row r="37" spans="1:26">
      <c r="A37" s="4">
        <f>IF(ISNUMBER(SEARCH("营",'21.04.01'!I37)),(-$Y37+50*IF('21.04.01'!$AK37="是",'21.04.01'!$BB$4,'21.04.01'!$BB$3)),(VLOOKUP('21.04.01'!I37,'21.04.01'!$AO$4:$AQ$55,2,FALSE))*IF('21.04.01'!$AK37="是",'21.04.01'!$BB$4,'21.04.01'!$BB$3))</f>
        <v>144</v>
      </c>
      <c r="B37" s="4">
        <f>IF(ISNUMBER(SEARCH("营",'21.04.01'!J37)),(-$Y37+50*IF('21.04.01'!$AK37="是",'21.04.01'!$BB$4,'21.04.01'!$BB$3)),(VLOOKUP('21.04.01'!J37,'21.04.01'!$AO$4:$AQ$55,2,FALSE))*IF('21.04.01'!$AK37="是",'21.04.01'!$BB$4,'21.04.01'!$BB$3))</f>
        <v>144</v>
      </c>
      <c r="C37" s="4">
        <f>IF(ISNUMBER(SEARCH("营",'21.04.01'!K37)),(-$Y37+50*IF('21.04.01'!$AK37="是",'21.04.01'!$BB$4,'21.04.01'!$BB$3)),(VLOOKUP('21.04.01'!K37,'21.04.01'!$AO$4:$AQ$55,2,FALSE))*IF('21.04.01'!$AK37="是",'21.04.01'!$BB$4,'21.04.01'!$BB$3))</f>
        <v>144</v>
      </c>
      <c r="D37" s="4">
        <f>IF(ISNUMBER(SEARCH("营",'21.04.01'!L37)),(-$Y37+50*IF('21.04.01'!$AK37="是",'21.04.01'!$BB$4,'21.04.01'!$BB$3)),(VLOOKUP('21.04.01'!L37,'21.04.01'!$AO$4:$AQ$55,2,FALSE))*IF('21.04.01'!$AK37="是",'21.04.01'!$BB$4,'21.04.01'!$BB$3))</f>
        <v>120</v>
      </c>
      <c r="E37" s="4">
        <f>IF(ISNUMBER(SEARCH("营",'21.04.01'!M37)),(-$Y37+50*IF('21.04.01'!$AK37="是",'21.04.01'!$BB$4,'21.04.01'!$BB$3)),(VLOOKUP('21.04.01'!M37,'21.04.01'!$AO$4:$AQ$55,2,FALSE))*IF('21.04.01'!$AK37="是",'21.04.01'!$BB$4,'21.04.01'!$BB$3))</f>
        <v>200</v>
      </c>
      <c r="F37" s="4">
        <f>IF(ISNUMBER(SEARCH("营",'21.04.01'!N37)),(-$Y37+50*IF('21.04.01'!$AK37="是",'21.04.01'!$BB$4,'21.04.01'!$BB$3)),(VLOOKUP('21.04.01'!N37,'21.04.01'!$AO$4:$AQ$55,2,FALSE))*IF('21.04.01'!$AK37="是",'21.04.01'!$BB$4,'21.04.01'!$BB$3))</f>
        <v>152</v>
      </c>
      <c r="G37" s="4">
        <f>IF(ISNUMBER(SEARCH("营",'21.04.01'!O37)),(-$Y37+50*IF('21.04.01'!$AK37="是",'21.04.01'!$BB$4,'21.04.01'!$BB$3)),(VLOOKUP('21.04.01'!O37,'21.04.01'!$AO$4:$AQ$55,2,FALSE))*IF('21.04.01'!$AK37="是",'21.04.01'!$BB$4,'21.04.01'!$BB$3))</f>
        <v>0</v>
      </c>
      <c r="H37" s="4">
        <f>IF(ISNUMBER(SEARCH("营",'21.04.01'!P37)),(-$Y37+50*IF('21.04.01'!$AK37="是",'21.04.01'!$BB$4,'21.04.01'!$BB$3)),(VLOOKUP('21.04.01'!P37,'21.04.01'!$AO$4:$AQ$55,2,FALSE))*IF('21.04.01'!$AK37="是",'21.04.01'!$BB$4,'21.04.01'!$BB$3))</f>
        <v>0</v>
      </c>
      <c r="I37" s="4">
        <f>IF(ISNUMBER(SEARCH("营",'21.04.01'!Q37)),(-$Y37+50*IF('21.04.01'!$AK37="是",'21.04.01'!$BB$4,'21.04.01'!$BB$3)),(VLOOKUP('21.04.01'!Q37,'21.04.01'!$AO$4:$AQ$55,2,FALSE))*IF('21.04.01'!$AK37="是",'21.04.01'!$BB$4,'21.04.01'!$BB$3))</f>
        <v>152</v>
      </c>
      <c r="J37" s="4">
        <f>IF(ISNUMBER(SEARCH("营",'21.04.01'!R37)),(-$Y37+50*IF('21.04.01'!$AK37="是",'21.04.01'!$BB$4,'21.04.01'!$BB$3)),(VLOOKUP('21.04.01'!R37,'21.04.01'!$AO$4:$AQ$55,2,FALSE))*IF('21.04.01'!$AK37="是",'21.04.01'!$BB$4,'21.04.01'!$BB$3))</f>
        <v>40</v>
      </c>
      <c r="K37" s="4">
        <f>IF(ISNUMBER(SEARCH("营",'21.04.01'!S37)),(-$Y37+50*IF('21.04.01'!$AK37="是",'21.04.01'!$BB$4,'21.04.01'!$BB$3)),(VLOOKUP('21.04.01'!S37,'21.04.01'!$AO$4:$AQ$55,2,FALSE))*IF('21.04.01'!$AK37="是",'21.04.01'!$BB$4,'21.04.01'!$BB$3))</f>
        <v>152</v>
      </c>
      <c r="L37" s="4">
        <f>IF(ISNUMBER(SEARCH("营",'21.04.01'!T37)),(-$Y37+50*IF('21.04.01'!$AK37="是",'21.04.01'!$BB$4,'21.04.01'!$BB$3)),(VLOOKUP('21.04.01'!T37,'21.04.01'!$AO$4:$AQ$55,2,FALSE))*IF('21.04.01'!$AK37="是",'21.04.01'!$BB$4,'21.04.01'!$BB$3))</f>
        <v>152</v>
      </c>
      <c r="M37" s="4">
        <f>IF(ISNUMBER(SEARCH("营",'21.04.01'!U37)),(-$Y37+50*IF('21.04.01'!$AK37="是",'21.04.01'!$BB$4,'21.04.01'!$BB$3)),(VLOOKUP('21.04.01'!U37,'21.04.01'!$AO$4:$AQ$55,2,FALSE))*IF('21.04.01'!$AK37="是",'21.04.01'!$BB$4,'21.04.01'!$BB$3))</f>
        <v>152</v>
      </c>
      <c r="N37" s="4">
        <f>IF(ISNUMBER(SEARCH("营",'21.04.01'!V37)),(-$Y37+50*IF('21.04.01'!$AK37="是",'21.04.01'!$BB$4,'21.04.01'!$BB$3)),(VLOOKUP('21.04.01'!V37,'21.04.01'!$AO$4:$AQ$55,2,FALSE))*IF('21.04.01'!$AK37="是",'21.04.01'!$BB$4,'21.04.01'!$BB$3))</f>
        <v>152</v>
      </c>
      <c r="O37" s="4">
        <f>IF(ISNUMBER(SEARCH("营",'21.04.01'!W37)),(-$Y37+50*IF('21.04.01'!$AK37="是",'21.04.01'!$BB$4,'21.04.01'!$BB$3)),(VLOOKUP('21.04.01'!W37,'21.04.01'!$AO$4:$AQ$55,2,FALSE))*IF('21.04.01'!$AK37="是",'21.04.01'!$BB$4,'21.04.01'!$BB$3))</f>
        <v>0</v>
      </c>
      <c r="P37" s="4">
        <f>IF(ISNUMBER(SEARCH("营",'21.04.01'!X37)),(-$Y37+50*IF('21.04.01'!$AK37="是",'21.04.01'!$BB$4,'21.04.01'!$BB$3)),(VLOOKUP('21.04.01'!X37,'21.04.01'!$AO$4:$AQ$55,2,FALSE))*IF('21.04.01'!$AK37="是",'21.04.01'!$BB$4,'21.04.01'!$BB$3))</f>
        <v>0</v>
      </c>
      <c r="Q37" s="4">
        <f>IF(ISNUMBER(SEARCH("营",'21.04.01'!Y37)),(-$Y37+50*IF('21.04.01'!$AK37="是",'21.04.01'!$BB$4,'21.04.01'!$BB$3)),(VLOOKUP('21.04.01'!Y37,'21.04.01'!$AO$4:$AQ$55,2,FALSE))*IF('21.04.01'!$AK37="是",'21.04.01'!$BB$4,'21.04.01'!$BB$3))</f>
        <v>0</v>
      </c>
      <c r="R37" s="4">
        <f>IF(ISNUMBER(SEARCH("营",'21.04.01'!Z37)),(-$Y37+50*IF('21.04.01'!$AK37="是",'21.04.01'!$BB$4,'21.04.01'!$BB$3)),(VLOOKUP('21.04.01'!Z37,'21.04.01'!$AO$4:$AQ$55,2,FALSE))*IF('21.04.01'!$AK37="是",'21.04.01'!$BB$4,'21.04.01'!$BB$3))</f>
        <v>0</v>
      </c>
      <c r="S37" s="4">
        <f>IF(ISNUMBER(SEARCH("营",'21.04.01'!AA37)),(-$Y37+50*IF('21.04.01'!$AK37="是",'21.04.01'!$BB$4,'21.04.01'!$BB$3)),(VLOOKUP('21.04.01'!AA37,'21.04.01'!$AO$4:$AQ$55,2,FALSE))*IF('21.04.01'!$AK37="是",'21.04.01'!$BB$4,'21.04.01'!$BB$3))</f>
        <v>0</v>
      </c>
      <c r="T37" s="4">
        <f>IF(ISNUMBER(SEARCH("营",'21.04.01'!AB37)),(-$Y37+50*IF('21.04.01'!$AK37="是",'21.04.01'!$BB$4,'21.04.01'!$BB$3)),(VLOOKUP('21.04.01'!AB37,'21.04.01'!$AO$4:$AQ$55,2,FALSE))*IF('21.04.01'!$AK37="是",'21.04.01'!$BB$4,'21.04.01'!$BB$3))</f>
        <v>0</v>
      </c>
      <c r="U37" s="4">
        <f>IF(ISNUMBER(SEARCH("营",'21.04.01'!AC37)),(-$Y37+50*IF('21.04.01'!$AK37="是",'21.04.01'!$BB$4,'21.04.01'!$BB$3)),(VLOOKUP('21.04.01'!AC37,'21.04.01'!$AO$4:$AQ$55,2,FALSE))*IF('21.04.01'!$AK37="是",'21.04.01'!$BB$4,'21.04.01'!$BB$3))</f>
        <v>0</v>
      </c>
      <c r="V37" s="4">
        <f>IF(ISNUMBER(SEARCH("营",'21.04.01'!AD37)),(-$Y37+50*IF('21.04.01'!$AK37="是",'21.04.01'!$BB$4,'21.04.01'!$BB$3)),(VLOOKUP('21.04.01'!AD37,'21.04.01'!$AO$4:$AQ$55,2,FALSE))*IF('21.04.01'!$AK37="是",'21.04.01'!$BB$4,'21.04.01'!$BB$3))</f>
        <v>0</v>
      </c>
      <c r="W37" s="4">
        <f>IF(ISNUMBER(SEARCH("营",'21.04.01'!AE37)),(-$Y37+50*IF('21.04.01'!$AK37="是",'21.04.01'!$BB$4,'21.04.01'!$BB$3)),(VLOOKUP('21.04.01'!AE37,'21.04.01'!$AO$4:$AQ$55,2,FALSE))*IF('21.04.01'!$AK37="是",'21.04.01'!$BB$4,'21.04.01'!$BB$3))</f>
        <v>0</v>
      </c>
      <c r="X37" s="4">
        <f>IF(ISNUMBER(SEARCH("营",'21.04.01'!AF37)),(-$Y37+50*IF('21.04.01'!$AK37="是",'21.04.01'!$BB$4,'21.04.01'!$BB$3)),(VLOOKUP('21.04.01'!AF37,'21.04.01'!$AO$4:$AQ$55,2,FALSE))*IF('21.04.01'!$AK37="是",'21.04.01'!$BB$4,'21.04.01'!$BB$3))</f>
        <v>0</v>
      </c>
      <c r="Y37" s="63">
        <v>200</v>
      </c>
      <c r="Z37" s="94">
        <v>45945</v>
      </c>
    </row>
    <row r="38" spans="1:26">
      <c r="A38" s="4">
        <f>IF(ISNUMBER(SEARCH("营",'21.04.01'!I38)),(-$Y38+50*IF('21.04.01'!$AK38="是",'21.04.01'!$BB$4,'21.04.01'!$BB$3)),(VLOOKUP('21.04.01'!I38,'21.04.01'!$AO$4:$AQ$55,2,FALSE))*IF('21.04.01'!$AK38="是",'21.04.01'!$BB$4,'21.04.01'!$BB$3))</f>
        <v>152</v>
      </c>
      <c r="B38" s="4">
        <f>IF(ISNUMBER(SEARCH("营",'21.04.01'!J38)),(-$Y38+50*IF('21.04.01'!$AK38="是",'21.04.01'!$BB$4,'21.04.01'!$BB$3)),(VLOOKUP('21.04.01'!J38,'21.04.01'!$AO$4:$AQ$55,2,FALSE))*IF('21.04.01'!$AK38="是",'21.04.01'!$BB$4,'21.04.01'!$BB$3))</f>
        <v>-160</v>
      </c>
      <c r="C38" s="4">
        <f>IF(ISNUMBER(SEARCH("营",'21.04.01'!K38)),(-$Y38+50*IF('21.04.01'!$AK38="是",'21.04.01'!$BB$4,'21.04.01'!$BB$3)),(VLOOKUP('21.04.01'!K38,'21.04.01'!$AO$4:$AQ$55,2,FALSE))*IF('21.04.01'!$AK38="是",'21.04.01'!$BB$4,'21.04.01'!$BB$3))</f>
        <v>0</v>
      </c>
      <c r="D38" s="4">
        <f>IF(ISNUMBER(SEARCH("营",'21.04.01'!L38)),(-$Y38+50*IF('21.04.01'!$AK38="是",'21.04.01'!$BB$4,'21.04.01'!$BB$3)),(VLOOKUP('21.04.01'!L38,'21.04.01'!$AO$4:$AQ$55,2,FALSE))*IF('21.04.01'!$AK38="是",'21.04.01'!$BB$4,'21.04.01'!$BB$3))</f>
        <v>0</v>
      </c>
      <c r="E38" s="4">
        <f>IF(ISNUMBER(SEARCH("营",'21.04.01'!M38)),(-$Y38+50*IF('21.04.01'!$AK38="是",'21.04.01'!$BB$4,'21.04.01'!$BB$3)),(VLOOKUP('21.04.01'!M38,'21.04.01'!$AO$4:$AQ$55,2,FALSE))*IF('21.04.01'!$AK38="是",'21.04.01'!$BB$4,'21.04.01'!$BB$3))</f>
        <v>0</v>
      </c>
      <c r="F38" s="4">
        <f>IF(ISNUMBER(SEARCH("营",'21.04.01'!N38)),(-$Y38+50*IF('21.04.01'!$AK38="是",'21.04.01'!$BB$4,'21.04.01'!$BB$3)),(VLOOKUP('21.04.01'!N38,'21.04.01'!$AO$4:$AQ$55,2,FALSE))*IF('21.04.01'!$AK38="是",'21.04.01'!$BB$4,'21.04.01'!$BB$3))</f>
        <v>0</v>
      </c>
      <c r="G38" s="4">
        <f>IF(ISNUMBER(SEARCH("营",'21.04.01'!O38)),(-$Y38+50*IF('21.04.01'!$AK38="是",'21.04.01'!$BB$4,'21.04.01'!$BB$3)),(VLOOKUP('21.04.01'!O38,'21.04.01'!$AO$4:$AQ$55,2,FALSE))*IF('21.04.01'!$AK38="是",'21.04.01'!$BB$4,'21.04.01'!$BB$3))</f>
        <v>0</v>
      </c>
      <c r="H38" s="4">
        <f>IF(ISNUMBER(SEARCH("营",'21.04.01'!P38)),(-$Y38+50*IF('21.04.01'!$AK38="是",'21.04.01'!$BB$4,'21.04.01'!$BB$3)),(VLOOKUP('21.04.01'!P38,'21.04.01'!$AO$4:$AQ$55,2,FALSE))*IF('21.04.01'!$AK38="是",'21.04.01'!$BB$4,'21.04.01'!$BB$3))</f>
        <v>0</v>
      </c>
      <c r="I38" s="4">
        <f>IF(ISNUMBER(SEARCH("营",'21.04.01'!Q38)),(-$Y38+50*IF('21.04.01'!$AK38="是",'21.04.01'!$BB$4,'21.04.01'!$BB$3)),(VLOOKUP('21.04.01'!Q38,'21.04.01'!$AO$4:$AQ$55,2,FALSE))*IF('21.04.01'!$AK38="是",'21.04.01'!$BB$4,'21.04.01'!$BB$3))</f>
        <v>152</v>
      </c>
      <c r="J38" s="4">
        <f>IF(ISNUMBER(SEARCH("营",'21.04.01'!R38)),(-$Y38+50*IF('21.04.01'!$AK38="是",'21.04.01'!$BB$4,'21.04.01'!$BB$3)),(VLOOKUP('21.04.01'!R38,'21.04.01'!$AO$4:$AQ$55,2,FALSE))*IF('21.04.01'!$AK38="是",'21.04.01'!$BB$4,'21.04.01'!$BB$3))</f>
        <v>152</v>
      </c>
      <c r="K38" s="4">
        <f>IF(ISNUMBER(SEARCH("营",'21.04.01'!S38)),(-$Y38+50*IF('21.04.01'!$AK38="是",'21.04.01'!$BB$4,'21.04.01'!$BB$3)),(VLOOKUP('21.04.01'!S38,'21.04.01'!$AO$4:$AQ$55,2,FALSE))*IF('21.04.01'!$AK38="是",'21.04.01'!$BB$4,'21.04.01'!$BB$3))</f>
        <v>120</v>
      </c>
      <c r="L38" s="4">
        <f>IF(ISNUMBER(SEARCH("营",'21.04.01'!T38)),(-$Y38+50*IF('21.04.01'!$AK38="是",'21.04.01'!$BB$4,'21.04.01'!$BB$3)),(VLOOKUP('21.04.01'!T38,'21.04.01'!$AO$4:$AQ$55,2,FALSE))*IF('21.04.01'!$AK38="是",'21.04.01'!$BB$4,'21.04.01'!$BB$3))</f>
        <v>152</v>
      </c>
      <c r="M38" s="4">
        <f>IF(ISNUMBER(SEARCH("营",'21.04.01'!U38)),(-$Y38+50*IF('21.04.01'!$AK38="是",'21.04.01'!$BB$4,'21.04.01'!$BB$3)),(VLOOKUP('21.04.01'!U38,'21.04.01'!$AO$4:$AQ$55,2,FALSE))*IF('21.04.01'!$AK38="是",'21.04.01'!$BB$4,'21.04.01'!$BB$3))</f>
        <v>152</v>
      </c>
      <c r="N38" s="4">
        <f>IF(ISNUMBER(SEARCH("营",'21.04.01'!V38)),(-$Y38+50*IF('21.04.01'!$AK38="是",'21.04.01'!$BB$4,'21.04.01'!$BB$3)),(VLOOKUP('21.04.01'!V38,'21.04.01'!$AO$4:$AQ$55,2,FALSE))*IF('21.04.01'!$AK38="是",'21.04.01'!$BB$4,'21.04.01'!$BB$3))</f>
        <v>152</v>
      </c>
      <c r="O38" s="4">
        <f>IF(ISNUMBER(SEARCH("营",'21.04.01'!W38)),(-$Y38+50*IF('21.04.01'!$AK38="是",'21.04.01'!$BB$4,'21.04.01'!$BB$3)),(VLOOKUP('21.04.01'!W38,'21.04.01'!$AO$4:$AQ$55,2,FALSE))*IF('21.04.01'!$AK38="是",'21.04.01'!$BB$4,'21.04.01'!$BB$3))</f>
        <v>-160</v>
      </c>
      <c r="P38" s="4">
        <f>IF(ISNUMBER(SEARCH("营",'21.04.01'!X38)),(-$Y38+50*IF('21.04.01'!$AK38="是",'21.04.01'!$BB$4,'21.04.01'!$BB$3)),(VLOOKUP('21.04.01'!X38,'21.04.01'!$AO$4:$AQ$55,2,FALSE))*IF('21.04.01'!$AK38="是",'21.04.01'!$BB$4,'21.04.01'!$BB$3))</f>
        <v>0</v>
      </c>
      <c r="Q38" s="4">
        <f>IF(ISNUMBER(SEARCH("营",'21.04.01'!Y38)),(-$Y38+50*IF('21.04.01'!$AK38="是",'21.04.01'!$BB$4,'21.04.01'!$BB$3)),(VLOOKUP('21.04.01'!Y38,'21.04.01'!$AO$4:$AQ$55,2,FALSE))*IF('21.04.01'!$AK38="是",'21.04.01'!$BB$4,'21.04.01'!$BB$3))</f>
        <v>0</v>
      </c>
      <c r="R38" s="4">
        <f>IF(ISNUMBER(SEARCH("营",'21.04.01'!Z38)),(-$Y38+50*IF('21.04.01'!$AK38="是",'21.04.01'!$BB$4,'21.04.01'!$BB$3)),(VLOOKUP('21.04.01'!Z38,'21.04.01'!$AO$4:$AQ$55,2,FALSE))*IF('21.04.01'!$AK38="是",'21.04.01'!$BB$4,'21.04.01'!$BB$3))</f>
        <v>0</v>
      </c>
      <c r="S38" s="4">
        <f>IF(ISNUMBER(SEARCH("营",'21.04.01'!AA38)),(-$Y38+50*IF('21.04.01'!$AK38="是",'21.04.01'!$BB$4,'21.04.01'!$BB$3)),(VLOOKUP('21.04.01'!AA38,'21.04.01'!$AO$4:$AQ$55,2,FALSE))*IF('21.04.01'!$AK38="是",'21.04.01'!$BB$4,'21.04.01'!$BB$3))</f>
        <v>0</v>
      </c>
      <c r="T38" s="4">
        <f>IF(ISNUMBER(SEARCH("营",'21.04.01'!AB38)),(-$Y38+50*IF('21.04.01'!$AK38="是",'21.04.01'!$BB$4,'21.04.01'!$BB$3)),(VLOOKUP('21.04.01'!AB38,'21.04.01'!$AO$4:$AQ$55,2,FALSE))*IF('21.04.01'!$AK38="是",'21.04.01'!$BB$4,'21.04.01'!$BB$3))</f>
        <v>0</v>
      </c>
      <c r="U38" s="4">
        <f>IF(ISNUMBER(SEARCH("营",'21.04.01'!AC38)),(-$Y38+50*IF('21.04.01'!$AK38="是",'21.04.01'!$BB$4,'21.04.01'!$BB$3)),(VLOOKUP('21.04.01'!AC38,'21.04.01'!$AO$4:$AQ$55,2,FALSE))*IF('21.04.01'!$AK38="是",'21.04.01'!$BB$4,'21.04.01'!$BB$3))</f>
        <v>0</v>
      </c>
      <c r="V38" s="4">
        <f>IF(ISNUMBER(SEARCH("营",'21.04.01'!AD38)),(-$Y38+50*IF('21.04.01'!$AK38="是",'21.04.01'!$BB$4,'21.04.01'!$BB$3)),(VLOOKUP('21.04.01'!AD38,'21.04.01'!$AO$4:$AQ$55,2,FALSE))*IF('21.04.01'!$AK38="是",'21.04.01'!$BB$4,'21.04.01'!$BB$3))</f>
        <v>0</v>
      </c>
      <c r="W38" s="4">
        <f>IF(ISNUMBER(SEARCH("营",'21.04.01'!AE38)),(-$Y38+50*IF('21.04.01'!$AK38="是",'21.04.01'!$BB$4,'21.04.01'!$BB$3)),(VLOOKUP('21.04.01'!AE38,'21.04.01'!$AO$4:$AQ$55,2,FALSE))*IF('21.04.01'!$AK38="是",'21.04.01'!$BB$4,'21.04.01'!$BB$3))</f>
        <v>0</v>
      </c>
      <c r="X38" s="4">
        <f>IF(ISNUMBER(SEARCH("营",'21.04.01'!AF38)),(-$Y38+50*IF('21.04.01'!$AK38="是",'21.04.01'!$BB$4,'21.04.01'!$BB$3)),(VLOOKUP('21.04.01'!AF38,'21.04.01'!$AO$4:$AQ$55,2,FALSE))*IF('21.04.01'!$AK38="是",'21.04.01'!$BB$4,'21.04.01'!$BB$3))</f>
        <v>0</v>
      </c>
      <c r="Y38" s="63">
        <v>200</v>
      </c>
      <c r="Z38" s="94">
        <v>45946</v>
      </c>
    </row>
    <row r="39" spans="1:26">
      <c r="A39" s="4">
        <f>IF(ISNUMBER(SEARCH("营",'21.04.01'!I39)),(-$Y39+50*IF('21.04.01'!$AK39="是",'21.04.01'!$BB$4,'21.04.01'!$BB$3)),(VLOOKUP('21.04.01'!I39,'21.04.01'!$AO$4:$AQ$55,2,FALSE))*IF('21.04.01'!$AK39="是",'21.04.01'!$BB$4,'21.04.01'!$BB$3))</f>
        <v>152</v>
      </c>
      <c r="B39" s="4">
        <f>IF(ISNUMBER(SEARCH("营",'21.04.01'!J39)),(-$Y39+50*IF('21.04.01'!$AK39="是",'21.04.01'!$BB$4,'21.04.01'!$BB$3)),(VLOOKUP('21.04.01'!J39,'21.04.01'!$AO$4:$AQ$55,2,FALSE))*IF('21.04.01'!$AK39="是",'21.04.01'!$BB$4,'21.04.01'!$BB$3))</f>
        <v>152</v>
      </c>
      <c r="C39" s="4">
        <f>IF(ISNUMBER(SEARCH("营",'21.04.01'!K39)),(-$Y39+50*IF('21.04.01'!$AK39="是",'21.04.01'!$BB$4,'21.04.01'!$BB$3)),(VLOOKUP('21.04.01'!K39,'21.04.01'!$AO$4:$AQ$55,2,FALSE))*IF('21.04.01'!$AK39="是",'21.04.01'!$BB$4,'21.04.01'!$BB$3))</f>
        <v>152</v>
      </c>
      <c r="D39" s="4">
        <f>IF(ISNUMBER(SEARCH("营",'21.04.01'!L39)),(-$Y39+50*IF('21.04.01'!$AK39="是",'21.04.01'!$BB$4,'21.04.01'!$BB$3)),(VLOOKUP('21.04.01'!L39,'21.04.01'!$AO$4:$AQ$55,2,FALSE))*IF('21.04.01'!$AK39="是",'21.04.01'!$BB$4,'21.04.01'!$BB$3))</f>
        <v>152</v>
      </c>
      <c r="E39" s="4">
        <f>IF(ISNUMBER(SEARCH("营",'21.04.01'!M39)),(-$Y39+50*IF('21.04.01'!$AK39="是",'21.04.01'!$BB$4,'21.04.01'!$BB$3)),(VLOOKUP('21.04.01'!M39,'21.04.01'!$AO$4:$AQ$55,2,FALSE))*IF('21.04.01'!$AK39="是",'21.04.01'!$BB$4,'21.04.01'!$BB$3))</f>
        <v>152</v>
      </c>
      <c r="F39" s="4">
        <f>IF(ISNUMBER(SEARCH("营",'21.04.01'!N39)),(-$Y39+50*IF('21.04.01'!$AK39="是",'21.04.01'!$BB$4,'21.04.01'!$BB$3)),(VLOOKUP('21.04.01'!N39,'21.04.01'!$AO$4:$AQ$55,2,FALSE))*IF('21.04.01'!$AK39="是",'21.04.01'!$BB$4,'21.04.01'!$BB$3))</f>
        <v>120</v>
      </c>
      <c r="G39" s="4">
        <f>IF(ISNUMBER(SEARCH("营",'21.04.01'!O39)),(-$Y39+50*IF('21.04.01'!$AK39="是",'21.04.01'!$BB$4,'21.04.01'!$BB$3)),(VLOOKUP('21.04.01'!O39,'21.04.01'!$AO$4:$AQ$55,2,FALSE))*IF('21.04.01'!$AK39="是",'21.04.01'!$BB$4,'21.04.01'!$BB$3))</f>
        <v>0</v>
      </c>
      <c r="H39" s="4">
        <f>IF(ISNUMBER(SEARCH("营",'21.04.01'!P39)),(-$Y39+50*IF('21.04.01'!$AK39="是",'21.04.01'!$BB$4,'21.04.01'!$BB$3)),(VLOOKUP('21.04.01'!P39,'21.04.01'!$AO$4:$AQ$55,2,FALSE))*IF('21.04.01'!$AK39="是",'21.04.01'!$BB$4,'21.04.01'!$BB$3))</f>
        <v>0</v>
      </c>
      <c r="I39" s="4">
        <f>IF(ISNUMBER(SEARCH("营",'21.04.01'!Q39)),(-$Y39+50*IF('21.04.01'!$AK39="是",'21.04.01'!$BB$4,'21.04.01'!$BB$3)),(VLOOKUP('21.04.01'!Q39,'21.04.01'!$AO$4:$AQ$55,2,FALSE))*IF('21.04.01'!$AK39="是",'21.04.01'!$BB$4,'21.04.01'!$BB$3))</f>
        <v>0</v>
      </c>
      <c r="J39" s="4">
        <f>IF(ISNUMBER(SEARCH("营",'21.04.01'!R39)),(-$Y39+50*IF('21.04.01'!$AK39="是",'21.04.01'!$BB$4,'21.04.01'!$BB$3)),(VLOOKUP('21.04.01'!R39,'21.04.01'!$AO$4:$AQ$55,2,FALSE))*IF('21.04.01'!$AK39="是",'21.04.01'!$BB$4,'21.04.01'!$BB$3))</f>
        <v>0</v>
      </c>
      <c r="K39" s="4">
        <f>IF(ISNUMBER(SEARCH("营",'21.04.01'!S39)),(-$Y39+50*IF('21.04.01'!$AK39="是",'21.04.01'!$BB$4,'21.04.01'!$BB$3)),(VLOOKUP('21.04.01'!S39,'21.04.01'!$AO$4:$AQ$55,2,FALSE))*IF('21.04.01'!$AK39="是",'21.04.01'!$BB$4,'21.04.01'!$BB$3))</f>
        <v>0</v>
      </c>
      <c r="L39" s="4">
        <f>IF(ISNUMBER(SEARCH("营",'21.04.01'!T39)),(-$Y39+50*IF('21.04.01'!$AK39="是",'21.04.01'!$BB$4,'21.04.01'!$BB$3)),(VLOOKUP('21.04.01'!T39,'21.04.01'!$AO$4:$AQ$55,2,FALSE))*IF('21.04.01'!$AK39="是",'21.04.01'!$BB$4,'21.04.01'!$BB$3))</f>
        <v>0</v>
      </c>
      <c r="M39" s="4">
        <f>IF(ISNUMBER(SEARCH("营",'21.04.01'!U39)),(-$Y39+50*IF('21.04.01'!$AK39="是",'21.04.01'!$BB$4,'21.04.01'!$BB$3)),(VLOOKUP('21.04.01'!U39,'21.04.01'!$AO$4:$AQ$55,2,FALSE))*IF('21.04.01'!$AK39="是",'21.04.01'!$BB$4,'21.04.01'!$BB$3))</f>
        <v>0</v>
      </c>
      <c r="N39" s="4">
        <f>IF(ISNUMBER(SEARCH("营",'21.04.01'!V39)),(-$Y39+50*IF('21.04.01'!$AK39="是",'21.04.01'!$BB$4,'21.04.01'!$BB$3)),(VLOOKUP('21.04.01'!V39,'21.04.01'!$AO$4:$AQ$55,2,FALSE))*IF('21.04.01'!$AK39="是",'21.04.01'!$BB$4,'21.04.01'!$BB$3))</f>
        <v>0</v>
      </c>
      <c r="O39" s="4">
        <f>IF(ISNUMBER(SEARCH("营",'21.04.01'!W39)),(-$Y39+50*IF('21.04.01'!$AK39="是",'21.04.01'!$BB$4,'21.04.01'!$BB$3)),(VLOOKUP('21.04.01'!W39,'21.04.01'!$AO$4:$AQ$55,2,FALSE))*IF('21.04.01'!$AK39="是",'21.04.01'!$BB$4,'21.04.01'!$BB$3))</f>
        <v>0</v>
      </c>
      <c r="P39" s="4">
        <f>IF(ISNUMBER(SEARCH("营",'21.04.01'!X39)),(-$Y39+50*IF('21.04.01'!$AK39="是",'21.04.01'!$BB$4,'21.04.01'!$BB$3)),(VLOOKUP('21.04.01'!X39,'21.04.01'!$AO$4:$AQ$55,2,FALSE))*IF('21.04.01'!$AK39="是",'21.04.01'!$BB$4,'21.04.01'!$BB$3))</f>
        <v>0</v>
      </c>
      <c r="Q39" s="4">
        <f>IF(ISNUMBER(SEARCH("营",'21.04.01'!Y39)),(-$Y39+50*IF('21.04.01'!$AK39="是",'21.04.01'!$BB$4,'21.04.01'!$BB$3)),(VLOOKUP('21.04.01'!Y39,'21.04.01'!$AO$4:$AQ$55,2,FALSE))*IF('21.04.01'!$AK39="是",'21.04.01'!$BB$4,'21.04.01'!$BB$3))</f>
        <v>0</v>
      </c>
      <c r="R39" s="4">
        <f>IF(ISNUMBER(SEARCH("营",'21.04.01'!Z39)),(-$Y39+50*IF('21.04.01'!$AK39="是",'21.04.01'!$BB$4,'21.04.01'!$BB$3)),(VLOOKUP('21.04.01'!Z39,'21.04.01'!$AO$4:$AQ$55,2,FALSE))*IF('21.04.01'!$AK39="是",'21.04.01'!$BB$4,'21.04.01'!$BB$3))</f>
        <v>0</v>
      </c>
      <c r="S39" s="4">
        <f>IF(ISNUMBER(SEARCH("营",'21.04.01'!AA39)),(-$Y39+50*IF('21.04.01'!$AK39="是",'21.04.01'!$BB$4,'21.04.01'!$BB$3)),(VLOOKUP('21.04.01'!AA39,'21.04.01'!$AO$4:$AQ$55,2,FALSE))*IF('21.04.01'!$AK39="是",'21.04.01'!$BB$4,'21.04.01'!$BB$3))</f>
        <v>0</v>
      </c>
      <c r="T39" s="4">
        <f>IF(ISNUMBER(SEARCH("营",'21.04.01'!AB39)),(-$Y39+50*IF('21.04.01'!$AK39="是",'21.04.01'!$BB$4,'21.04.01'!$BB$3)),(VLOOKUP('21.04.01'!AB39,'21.04.01'!$AO$4:$AQ$55,2,FALSE))*IF('21.04.01'!$AK39="是",'21.04.01'!$BB$4,'21.04.01'!$BB$3))</f>
        <v>0</v>
      </c>
      <c r="U39" s="4">
        <f>IF(ISNUMBER(SEARCH("营",'21.04.01'!AC39)),(-$Y39+50*IF('21.04.01'!$AK39="是",'21.04.01'!$BB$4,'21.04.01'!$BB$3)),(VLOOKUP('21.04.01'!AC39,'21.04.01'!$AO$4:$AQ$55,2,FALSE))*IF('21.04.01'!$AK39="是",'21.04.01'!$BB$4,'21.04.01'!$BB$3))</f>
        <v>0</v>
      </c>
      <c r="V39" s="4">
        <f>IF(ISNUMBER(SEARCH("营",'21.04.01'!AD39)),(-$Y39+50*IF('21.04.01'!$AK39="是",'21.04.01'!$BB$4,'21.04.01'!$BB$3)),(VLOOKUP('21.04.01'!AD39,'21.04.01'!$AO$4:$AQ$55,2,FALSE))*IF('21.04.01'!$AK39="是",'21.04.01'!$BB$4,'21.04.01'!$BB$3))</f>
        <v>0</v>
      </c>
      <c r="W39" s="4">
        <f>IF(ISNUMBER(SEARCH("营",'21.04.01'!AE39)),(-$Y39+50*IF('21.04.01'!$AK39="是",'21.04.01'!$BB$4,'21.04.01'!$BB$3)),(VLOOKUP('21.04.01'!AE39,'21.04.01'!$AO$4:$AQ$55,2,FALSE))*IF('21.04.01'!$AK39="是",'21.04.01'!$BB$4,'21.04.01'!$BB$3))</f>
        <v>0</v>
      </c>
      <c r="X39" s="4">
        <f>IF(ISNUMBER(SEARCH("营",'21.04.01'!AF39)),(-$Y39+50*IF('21.04.01'!$AK39="是",'21.04.01'!$BB$4,'21.04.01'!$BB$3)),(VLOOKUP('21.04.01'!AF39,'21.04.01'!$AO$4:$AQ$55,2,FALSE))*IF('21.04.01'!$AK39="是",'21.04.01'!$BB$4,'21.04.01'!$BB$3))</f>
        <v>0</v>
      </c>
      <c r="Y39" s="64">
        <v>150</v>
      </c>
      <c r="Z39" s="87">
        <v>45947</v>
      </c>
    </row>
    <row r="40" spans="1:26">
      <c r="A40" s="4">
        <f>IF(ISNUMBER(SEARCH("营",'21.04.01'!I40)),(-$Y40+50*IF('21.04.01'!$AK40="是",'21.04.01'!$BB$4,'21.04.01'!$BB$3)),(VLOOKUP('21.04.01'!I40,'21.04.01'!$AO$4:$AQ$55,2,FALSE))*IF('21.04.01'!$AK40="是",'21.04.01'!$BB$4,'21.04.01'!$BB$3))</f>
        <v>152</v>
      </c>
      <c r="B40" s="4">
        <f>IF(ISNUMBER(SEARCH("营",'21.04.01'!J40)),(-$Y40+50*IF('21.04.01'!$AK40="是",'21.04.01'!$BB$4,'21.04.01'!$BB$3)),(VLOOKUP('21.04.01'!J40,'21.04.01'!$AO$4:$AQ$55,2,FALSE))*IF('21.04.01'!$AK40="是",'21.04.01'!$BB$4,'21.04.01'!$BB$3))</f>
        <v>152</v>
      </c>
      <c r="C40" s="4">
        <f>IF(ISNUMBER(SEARCH("营",'21.04.01'!K40)),(-$Y40+50*IF('21.04.01'!$AK40="是",'21.04.01'!$BB$4,'21.04.01'!$BB$3)),(VLOOKUP('21.04.01'!K40,'21.04.01'!$AO$4:$AQ$55,2,FALSE))*IF('21.04.01'!$AK40="是",'21.04.01'!$BB$4,'21.04.01'!$BB$3))</f>
        <v>152</v>
      </c>
      <c r="D40" s="4">
        <f>IF(ISNUMBER(SEARCH("营",'21.04.01'!L40)),(-$Y40+50*IF('21.04.01'!$AK40="是",'21.04.01'!$BB$4,'21.04.01'!$BB$3)),(VLOOKUP('21.04.01'!L40,'21.04.01'!$AO$4:$AQ$55,2,FALSE))*IF('21.04.01'!$AK40="是",'21.04.01'!$BB$4,'21.04.01'!$BB$3))</f>
        <v>152</v>
      </c>
      <c r="E40" s="4">
        <f>IF(ISNUMBER(SEARCH("营",'21.04.01'!M40)),(-$Y40+50*IF('21.04.01'!$AK40="是",'21.04.01'!$BB$4,'21.04.01'!$BB$3)),(VLOOKUP('21.04.01'!M40,'21.04.01'!$AO$4:$AQ$55,2,FALSE))*IF('21.04.01'!$AK40="是",'21.04.01'!$BB$4,'21.04.01'!$BB$3))</f>
        <v>160</v>
      </c>
      <c r="F40" s="4">
        <f>IF(ISNUMBER(SEARCH("营",'21.04.01'!N40)),(-$Y40+50*IF('21.04.01'!$AK40="是",'21.04.01'!$BB$4,'21.04.01'!$BB$3)),(VLOOKUP('21.04.01'!N40,'21.04.01'!$AO$4:$AQ$55,2,FALSE))*IF('21.04.01'!$AK40="是",'21.04.01'!$BB$4,'21.04.01'!$BB$3))</f>
        <v>40</v>
      </c>
      <c r="G40" s="4">
        <f>IF(ISNUMBER(SEARCH("营",'21.04.01'!O40)),(-$Y40+50*IF('21.04.01'!$AK40="是",'21.04.01'!$BB$4,'21.04.01'!$BB$3)),(VLOOKUP('21.04.01'!O40,'21.04.01'!$AO$4:$AQ$55,2,FALSE))*IF('21.04.01'!$AK40="是",'21.04.01'!$BB$4,'21.04.01'!$BB$3))</f>
        <v>0</v>
      </c>
      <c r="H40" s="4">
        <f>IF(ISNUMBER(SEARCH("营",'21.04.01'!P40)),(-$Y40+50*IF('21.04.01'!$AK40="是",'21.04.01'!$BB$4,'21.04.01'!$BB$3)),(VLOOKUP('21.04.01'!P40,'21.04.01'!$AO$4:$AQ$55,2,FALSE))*IF('21.04.01'!$AK40="是",'21.04.01'!$BB$4,'21.04.01'!$BB$3))</f>
        <v>0</v>
      </c>
      <c r="I40" s="4">
        <f>IF(ISNUMBER(SEARCH("营",'21.04.01'!Q40)),(-$Y40+50*IF('21.04.01'!$AK40="是",'21.04.01'!$BB$4,'21.04.01'!$BB$3)),(VLOOKUP('21.04.01'!Q40,'21.04.01'!$AO$4:$AQ$55,2,FALSE))*IF('21.04.01'!$AK40="是",'21.04.01'!$BB$4,'21.04.01'!$BB$3))</f>
        <v>0</v>
      </c>
      <c r="J40" s="4">
        <f>IF(ISNUMBER(SEARCH("营",'21.04.01'!R40)),(-$Y40+50*IF('21.04.01'!$AK40="是",'21.04.01'!$BB$4,'21.04.01'!$BB$3)),(VLOOKUP('21.04.01'!R40,'21.04.01'!$AO$4:$AQ$55,2,FALSE))*IF('21.04.01'!$AK40="是",'21.04.01'!$BB$4,'21.04.01'!$BB$3))</f>
        <v>0</v>
      </c>
      <c r="K40" s="4">
        <f>IF(ISNUMBER(SEARCH("营",'21.04.01'!S40)),(-$Y40+50*IF('21.04.01'!$AK40="是",'21.04.01'!$BB$4,'21.04.01'!$BB$3)),(VLOOKUP('21.04.01'!S40,'21.04.01'!$AO$4:$AQ$55,2,FALSE))*IF('21.04.01'!$AK40="是",'21.04.01'!$BB$4,'21.04.01'!$BB$3))</f>
        <v>0</v>
      </c>
      <c r="L40" s="4">
        <f>IF(ISNUMBER(SEARCH("营",'21.04.01'!T40)),(-$Y40+50*IF('21.04.01'!$AK40="是",'21.04.01'!$BB$4,'21.04.01'!$BB$3)),(VLOOKUP('21.04.01'!T40,'21.04.01'!$AO$4:$AQ$55,2,FALSE))*IF('21.04.01'!$AK40="是",'21.04.01'!$BB$4,'21.04.01'!$BB$3))</f>
        <v>0</v>
      </c>
      <c r="M40" s="4">
        <f>IF(ISNUMBER(SEARCH("营",'21.04.01'!U40)),(-$Y40+50*IF('21.04.01'!$AK40="是",'21.04.01'!$BB$4,'21.04.01'!$BB$3)),(VLOOKUP('21.04.01'!U40,'21.04.01'!$AO$4:$AQ$55,2,FALSE))*IF('21.04.01'!$AK40="是",'21.04.01'!$BB$4,'21.04.01'!$BB$3))</f>
        <v>0</v>
      </c>
      <c r="N40" s="4">
        <f>IF(ISNUMBER(SEARCH("营",'21.04.01'!V40)),(-$Y40+50*IF('21.04.01'!$AK40="是",'21.04.01'!$BB$4,'21.04.01'!$BB$3)),(VLOOKUP('21.04.01'!V40,'21.04.01'!$AO$4:$AQ$55,2,FALSE))*IF('21.04.01'!$AK40="是",'21.04.01'!$BB$4,'21.04.01'!$BB$3))</f>
        <v>0</v>
      </c>
      <c r="O40" s="4">
        <f>IF(ISNUMBER(SEARCH("营",'21.04.01'!W40)),(-$Y40+50*IF('21.04.01'!$AK40="是",'21.04.01'!$BB$4,'21.04.01'!$BB$3)),(VLOOKUP('21.04.01'!W40,'21.04.01'!$AO$4:$AQ$55,2,FALSE))*IF('21.04.01'!$AK40="是",'21.04.01'!$BB$4,'21.04.01'!$BB$3))</f>
        <v>0</v>
      </c>
      <c r="P40" s="4">
        <f>IF(ISNUMBER(SEARCH("营",'21.04.01'!X40)),(-$Y40+50*IF('21.04.01'!$AK40="是",'21.04.01'!$BB$4,'21.04.01'!$BB$3)),(VLOOKUP('21.04.01'!X40,'21.04.01'!$AO$4:$AQ$55,2,FALSE))*IF('21.04.01'!$AK40="是",'21.04.01'!$BB$4,'21.04.01'!$BB$3))</f>
        <v>0</v>
      </c>
      <c r="Q40" s="4">
        <f>IF(ISNUMBER(SEARCH("营",'21.04.01'!Y40)),(-$Y40+50*IF('21.04.01'!$AK40="是",'21.04.01'!$BB$4,'21.04.01'!$BB$3)),(VLOOKUP('21.04.01'!Y40,'21.04.01'!$AO$4:$AQ$55,2,FALSE))*IF('21.04.01'!$AK40="是",'21.04.01'!$BB$4,'21.04.01'!$BB$3))</f>
        <v>0</v>
      </c>
      <c r="R40" s="4">
        <f>IF(ISNUMBER(SEARCH("营",'21.04.01'!Z40)),(-$Y40+50*IF('21.04.01'!$AK40="是",'21.04.01'!$BB$4,'21.04.01'!$BB$3)),(VLOOKUP('21.04.01'!Z40,'21.04.01'!$AO$4:$AQ$55,2,FALSE))*IF('21.04.01'!$AK40="是",'21.04.01'!$BB$4,'21.04.01'!$BB$3))</f>
        <v>0</v>
      </c>
      <c r="S40" s="4">
        <f>IF(ISNUMBER(SEARCH("营",'21.04.01'!AA40)),(-$Y40+50*IF('21.04.01'!$AK40="是",'21.04.01'!$BB$4,'21.04.01'!$BB$3)),(VLOOKUP('21.04.01'!AA40,'21.04.01'!$AO$4:$AQ$55,2,FALSE))*IF('21.04.01'!$AK40="是",'21.04.01'!$BB$4,'21.04.01'!$BB$3))</f>
        <v>0</v>
      </c>
      <c r="T40" s="4">
        <f>IF(ISNUMBER(SEARCH("营",'21.04.01'!AB40)),(-$Y40+50*IF('21.04.01'!$AK40="是",'21.04.01'!$BB$4,'21.04.01'!$BB$3)),(VLOOKUP('21.04.01'!AB40,'21.04.01'!$AO$4:$AQ$55,2,FALSE))*IF('21.04.01'!$AK40="是",'21.04.01'!$BB$4,'21.04.01'!$BB$3))</f>
        <v>0</v>
      </c>
      <c r="U40" s="4">
        <f>IF(ISNUMBER(SEARCH("营",'21.04.01'!AC40)),(-$Y40+50*IF('21.04.01'!$AK40="是",'21.04.01'!$BB$4,'21.04.01'!$BB$3)),(VLOOKUP('21.04.01'!AC40,'21.04.01'!$AO$4:$AQ$55,2,FALSE))*IF('21.04.01'!$AK40="是",'21.04.01'!$BB$4,'21.04.01'!$BB$3))</f>
        <v>0</v>
      </c>
      <c r="V40" s="4">
        <f>IF(ISNUMBER(SEARCH("营",'21.04.01'!AD40)),(-$Y40+50*IF('21.04.01'!$AK40="是",'21.04.01'!$BB$4,'21.04.01'!$BB$3)),(VLOOKUP('21.04.01'!AD40,'21.04.01'!$AO$4:$AQ$55,2,FALSE))*IF('21.04.01'!$AK40="是",'21.04.01'!$BB$4,'21.04.01'!$BB$3))</f>
        <v>0</v>
      </c>
      <c r="W40" s="4">
        <f>IF(ISNUMBER(SEARCH("营",'21.04.01'!AE40)),(-$Y40+50*IF('21.04.01'!$AK40="是",'21.04.01'!$BB$4,'21.04.01'!$BB$3)),(VLOOKUP('21.04.01'!AE40,'21.04.01'!$AO$4:$AQ$55,2,FALSE))*IF('21.04.01'!$AK40="是",'21.04.01'!$BB$4,'21.04.01'!$BB$3))</f>
        <v>0</v>
      </c>
      <c r="X40" s="4">
        <f>IF(ISNUMBER(SEARCH("营",'21.04.01'!AF40)),(-$Y40+50*IF('21.04.01'!$AK40="是",'21.04.01'!$BB$4,'21.04.01'!$BB$3)),(VLOOKUP('21.04.01'!AF40,'21.04.01'!$AO$4:$AQ$55,2,FALSE))*IF('21.04.01'!$AK40="是",'21.04.01'!$BB$4,'21.04.01'!$BB$3))</f>
        <v>0</v>
      </c>
      <c r="Y40" s="64">
        <v>150</v>
      </c>
      <c r="Z40" s="87">
        <v>45948</v>
      </c>
    </row>
    <row r="41" spans="1:26">
      <c r="A41" s="4">
        <f>IF(ISNUMBER(SEARCH("营",'21.04.01'!I41)),(-$Y41+50*IF('21.04.01'!$AK41="是",'21.04.01'!$BB$4,'21.04.01'!$BB$3)),(VLOOKUP('21.04.01'!I41,'21.04.01'!$AO$4:$AQ$55,2,FALSE))*IF('21.04.01'!$AK41="是",'21.04.01'!$BB$4,'21.04.01'!$BB$3))</f>
        <v>152</v>
      </c>
      <c r="B41" s="4">
        <f>IF(ISNUMBER(SEARCH("营",'21.04.01'!J41)),(-$Y41+50*IF('21.04.01'!$AK41="是",'21.04.01'!$BB$4,'21.04.01'!$BB$3)),(VLOOKUP('21.04.01'!J41,'21.04.01'!$AO$4:$AQ$55,2,FALSE))*IF('21.04.01'!$AK41="是",'21.04.01'!$BB$4,'21.04.01'!$BB$3))</f>
        <v>152</v>
      </c>
      <c r="C41" s="4">
        <f>IF(ISNUMBER(SEARCH("营",'21.04.01'!K41)),(-$Y41+50*IF('21.04.01'!$AK41="是",'21.04.01'!$BB$4,'21.04.01'!$BB$3)),(VLOOKUP('21.04.01'!K41,'21.04.01'!$AO$4:$AQ$55,2,FALSE))*IF('21.04.01'!$AK41="是",'21.04.01'!$BB$4,'21.04.01'!$BB$3))</f>
        <v>160</v>
      </c>
      <c r="D41" s="4">
        <f>IF(ISNUMBER(SEARCH("营",'21.04.01'!L41)),(-$Y41+50*IF('21.04.01'!$AK41="是",'21.04.01'!$BB$4,'21.04.01'!$BB$3)),(VLOOKUP('21.04.01'!L41,'21.04.01'!$AO$4:$AQ$55,2,FALSE))*IF('21.04.01'!$AK41="是",'21.04.01'!$BB$4,'21.04.01'!$BB$3))</f>
        <v>152</v>
      </c>
      <c r="E41" s="4">
        <f>IF(ISNUMBER(SEARCH("营",'21.04.01'!M41)),(-$Y41+50*IF('21.04.01'!$AK41="是",'21.04.01'!$BB$4,'21.04.01'!$BB$3)),(VLOOKUP('21.04.01'!M41,'21.04.01'!$AO$4:$AQ$55,2,FALSE))*IF('21.04.01'!$AK41="是",'21.04.01'!$BB$4,'21.04.01'!$BB$3))</f>
        <v>152</v>
      </c>
      <c r="F41" s="4">
        <f>IF(ISNUMBER(SEARCH("营",'21.04.01'!N41)),(-$Y41+50*IF('21.04.01'!$AK41="是",'21.04.01'!$BB$4,'21.04.01'!$BB$3)),(VLOOKUP('21.04.01'!N41,'21.04.01'!$AO$4:$AQ$55,2,FALSE))*IF('21.04.01'!$AK41="是",'21.04.01'!$BB$4,'21.04.01'!$BB$3))</f>
        <v>152</v>
      </c>
      <c r="G41" s="4">
        <f>IF(ISNUMBER(SEARCH("营",'21.04.01'!O41)),(-$Y41+50*IF('21.04.01'!$AK41="是",'21.04.01'!$BB$4,'21.04.01'!$BB$3)),(VLOOKUP('21.04.01'!O41,'21.04.01'!$AO$4:$AQ$55,2,FALSE))*IF('21.04.01'!$AK41="是",'21.04.01'!$BB$4,'21.04.01'!$BB$3))</f>
        <v>40</v>
      </c>
      <c r="H41" s="4">
        <f>IF(ISNUMBER(SEARCH("营",'21.04.01'!P41)),(-$Y41+50*IF('21.04.01'!$AK41="是",'21.04.01'!$BB$4,'21.04.01'!$BB$3)),(VLOOKUP('21.04.01'!P41,'21.04.01'!$AO$4:$AQ$55,2,FALSE))*IF('21.04.01'!$AK41="是",'21.04.01'!$BB$4,'21.04.01'!$BB$3))</f>
        <v>0</v>
      </c>
      <c r="I41" s="4">
        <f>IF(ISNUMBER(SEARCH("营",'21.04.01'!Q41)),(-$Y41+50*IF('21.04.01'!$AK41="是",'21.04.01'!$BB$4,'21.04.01'!$BB$3)),(VLOOKUP('21.04.01'!Q41,'21.04.01'!$AO$4:$AQ$55,2,FALSE))*IF('21.04.01'!$AK41="是",'21.04.01'!$BB$4,'21.04.01'!$BB$3))</f>
        <v>0</v>
      </c>
      <c r="J41" s="4">
        <f>IF(ISNUMBER(SEARCH("营",'21.04.01'!R41)),(-$Y41+50*IF('21.04.01'!$AK41="是",'21.04.01'!$BB$4,'21.04.01'!$BB$3)),(VLOOKUP('21.04.01'!R41,'21.04.01'!$AO$4:$AQ$55,2,FALSE))*IF('21.04.01'!$AK41="是",'21.04.01'!$BB$4,'21.04.01'!$BB$3))</f>
        <v>0</v>
      </c>
      <c r="K41" s="4">
        <f>IF(ISNUMBER(SEARCH("营",'21.04.01'!S41)),(-$Y41+50*IF('21.04.01'!$AK41="是",'21.04.01'!$BB$4,'21.04.01'!$BB$3)),(VLOOKUP('21.04.01'!S41,'21.04.01'!$AO$4:$AQ$55,2,FALSE))*IF('21.04.01'!$AK41="是",'21.04.01'!$BB$4,'21.04.01'!$BB$3))</f>
        <v>0</v>
      </c>
      <c r="L41" s="4">
        <f>IF(ISNUMBER(SEARCH("营",'21.04.01'!T41)),(-$Y41+50*IF('21.04.01'!$AK41="是",'21.04.01'!$BB$4,'21.04.01'!$BB$3)),(VLOOKUP('21.04.01'!T41,'21.04.01'!$AO$4:$AQ$55,2,FALSE))*IF('21.04.01'!$AK41="是",'21.04.01'!$BB$4,'21.04.01'!$BB$3))</f>
        <v>0</v>
      </c>
      <c r="M41" s="4">
        <f>IF(ISNUMBER(SEARCH("营",'21.04.01'!U41)),(-$Y41+50*IF('21.04.01'!$AK41="是",'21.04.01'!$BB$4,'21.04.01'!$BB$3)),(VLOOKUP('21.04.01'!U41,'21.04.01'!$AO$4:$AQ$55,2,FALSE))*IF('21.04.01'!$AK41="是",'21.04.01'!$BB$4,'21.04.01'!$BB$3))</f>
        <v>0</v>
      </c>
      <c r="N41" s="4">
        <f>IF(ISNUMBER(SEARCH("营",'21.04.01'!V41)),(-$Y41+50*IF('21.04.01'!$AK41="是",'21.04.01'!$BB$4,'21.04.01'!$BB$3)),(VLOOKUP('21.04.01'!V41,'21.04.01'!$AO$4:$AQ$55,2,FALSE))*IF('21.04.01'!$AK41="是",'21.04.01'!$BB$4,'21.04.01'!$BB$3))</f>
        <v>0</v>
      </c>
      <c r="O41" s="4">
        <f>IF(ISNUMBER(SEARCH("营",'21.04.01'!W41)),(-$Y41+50*IF('21.04.01'!$AK41="是",'21.04.01'!$BB$4,'21.04.01'!$BB$3)),(VLOOKUP('21.04.01'!W41,'21.04.01'!$AO$4:$AQ$55,2,FALSE))*IF('21.04.01'!$AK41="是",'21.04.01'!$BB$4,'21.04.01'!$BB$3))</f>
        <v>0</v>
      </c>
      <c r="P41" s="4">
        <f>IF(ISNUMBER(SEARCH("营",'21.04.01'!X41)),(-$Y41+50*IF('21.04.01'!$AK41="是",'21.04.01'!$BB$4,'21.04.01'!$BB$3)),(VLOOKUP('21.04.01'!X41,'21.04.01'!$AO$4:$AQ$55,2,FALSE))*IF('21.04.01'!$AK41="是",'21.04.01'!$BB$4,'21.04.01'!$BB$3))</f>
        <v>0</v>
      </c>
      <c r="Q41" s="4">
        <f>IF(ISNUMBER(SEARCH("营",'21.04.01'!Y41)),(-$Y41+50*IF('21.04.01'!$AK41="是",'21.04.01'!$BB$4,'21.04.01'!$BB$3)),(VLOOKUP('21.04.01'!Y41,'21.04.01'!$AO$4:$AQ$55,2,FALSE))*IF('21.04.01'!$AK41="是",'21.04.01'!$BB$4,'21.04.01'!$BB$3))</f>
        <v>0</v>
      </c>
      <c r="R41" s="4">
        <f>IF(ISNUMBER(SEARCH("营",'21.04.01'!Z41)),(-$Y41+50*IF('21.04.01'!$AK41="是",'21.04.01'!$BB$4,'21.04.01'!$BB$3)),(VLOOKUP('21.04.01'!Z41,'21.04.01'!$AO$4:$AQ$55,2,FALSE))*IF('21.04.01'!$AK41="是",'21.04.01'!$BB$4,'21.04.01'!$BB$3))</f>
        <v>0</v>
      </c>
      <c r="S41" s="4">
        <f>IF(ISNUMBER(SEARCH("营",'21.04.01'!AA41)),(-$Y41+50*IF('21.04.01'!$AK41="是",'21.04.01'!$BB$4,'21.04.01'!$BB$3)),(VLOOKUP('21.04.01'!AA41,'21.04.01'!$AO$4:$AQ$55,2,FALSE))*IF('21.04.01'!$AK41="是",'21.04.01'!$BB$4,'21.04.01'!$BB$3))</f>
        <v>0</v>
      </c>
      <c r="T41" s="4">
        <f>IF(ISNUMBER(SEARCH("营",'21.04.01'!AB41)),(-$Y41+50*IF('21.04.01'!$AK41="是",'21.04.01'!$BB$4,'21.04.01'!$BB$3)),(VLOOKUP('21.04.01'!AB41,'21.04.01'!$AO$4:$AQ$55,2,FALSE))*IF('21.04.01'!$AK41="是",'21.04.01'!$BB$4,'21.04.01'!$BB$3))</f>
        <v>0</v>
      </c>
      <c r="U41" s="4">
        <f>IF(ISNUMBER(SEARCH("营",'21.04.01'!AC41)),(-$Y41+50*IF('21.04.01'!$AK41="是",'21.04.01'!$BB$4,'21.04.01'!$BB$3)),(VLOOKUP('21.04.01'!AC41,'21.04.01'!$AO$4:$AQ$55,2,FALSE))*IF('21.04.01'!$AK41="是",'21.04.01'!$BB$4,'21.04.01'!$BB$3))</f>
        <v>0</v>
      </c>
      <c r="V41" s="4">
        <f>IF(ISNUMBER(SEARCH("营",'21.04.01'!AD41)),(-$Y41+50*IF('21.04.01'!$AK41="是",'21.04.01'!$BB$4,'21.04.01'!$BB$3)),(VLOOKUP('21.04.01'!AD41,'21.04.01'!$AO$4:$AQ$55,2,FALSE))*IF('21.04.01'!$AK41="是",'21.04.01'!$BB$4,'21.04.01'!$BB$3))</f>
        <v>0</v>
      </c>
      <c r="W41" s="4">
        <f>IF(ISNUMBER(SEARCH("营",'21.04.01'!AE41)),(-$Y41+50*IF('21.04.01'!$AK41="是",'21.04.01'!$BB$4,'21.04.01'!$BB$3)),(VLOOKUP('21.04.01'!AE41,'21.04.01'!$AO$4:$AQ$55,2,FALSE))*IF('21.04.01'!$AK41="是",'21.04.01'!$BB$4,'21.04.01'!$BB$3))</f>
        <v>0</v>
      </c>
      <c r="X41" s="4">
        <f>IF(ISNUMBER(SEARCH("营",'21.04.01'!AF41)),(-$Y41+50*IF('21.04.01'!$AK41="是",'21.04.01'!$BB$4,'21.04.01'!$BB$3)),(VLOOKUP('21.04.01'!AF41,'21.04.01'!$AO$4:$AQ$55,2,FALSE))*IF('21.04.01'!$AK41="是",'21.04.01'!$BB$4,'21.04.01'!$BB$3))</f>
        <v>0</v>
      </c>
      <c r="Y41" s="64">
        <v>150</v>
      </c>
      <c r="Z41" s="87">
        <v>45949</v>
      </c>
    </row>
    <row r="42" spans="1:26">
      <c r="A42" s="4">
        <f>IF(ISNUMBER(SEARCH("营",'21.04.01'!I42)),(-$Y42+50*IF('21.04.01'!$AK42="是",'21.04.01'!$BB$4,'21.04.01'!$BB$3)),(VLOOKUP('21.04.01'!I42,'21.04.01'!$AO$4:$AQ$55,2,FALSE))*IF('21.04.01'!$AK42="是",'21.04.01'!$BB$4,'21.04.01'!$BB$3))</f>
        <v>152</v>
      </c>
      <c r="B42" s="4">
        <f>IF(ISNUMBER(SEARCH("营",'21.04.01'!J42)),(-$Y42+50*IF('21.04.01'!$AK42="是",'21.04.01'!$BB$4,'21.04.01'!$BB$3)),(VLOOKUP('21.04.01'!J42,'21.04.01'!$AO$4:$AQ$55,2,FALSE))*IF('21.04.01'!$AK42="是",'21.04.01'!$BB$4,'21.04.01'!$BB$3))</f>
        <v>152</v>
      </c>
      <c r="C42" s="4">
        <f>IF(ISNUMBER(SEARCH("营",'21.04.01'!K42)),(-$Y42+50*IF('21.04.01'!$AK42="是",'21.04.01'!$BB$4,'21.04.01'!$BB$3)),(VLOOKUP('21.04.01'!K42,'21.04.01'!$AO$4:$AQ$55,2,FALSE))*IF('21.04.01'!$AK42="是",'21.04.01'!$BB$4,'21.04.01'!$BB$3))</f>
        <v>152</v>
      </c>
      <c r="D42" s="4">
        <f>IF(ISNUMBER(SEARCH("营",'21.04.01'!L42)),(-$Y42+50*IF('21.04.01'!$AK42="是",'21.04.01'!$BB$4,'21.04.01'!$BB$3)),(VLOOKUP('21.04.01'!L42,'21.04.01'!$AO$4:$AQ$55,2,FALSE))*IF('21.04.01'!$AK42="是",'21.04.01'!$BB$4,'21.04.01'!$BB$3))</f>
        <v>152</v>
      </c>
      <c r="E42" s="4">
        <f>IF(ISNUMBER(SEARCH("营",'21.04.01'!M42)),(-$Y42+50*IF('21.04.01'!$AK42="是",'21.04.01'!$BB$4,'21.04.01'!$BB$3)),(VLOOKUP('21.04.01'!M42,'21.04.01'!$AO$4:$AQ$55,2,FALSE))*IF('21.04.01'!$AK42="是",'21.04.01'!$BB$4,'21.04.01'!$BB$3))</f>
        <v>152</v>
      </c>
      <c r="F42" s="4">
        <f>IF(ISNUMBER(SEARCH("营",'21.04.01'!N42)),(-$Y42+50*IF('21.04.01'!$AK42="是",'21.04.01'!$BB$4,'21.04.01'!$BB$3)),(VLOOKUP('21.04.01'!N42,'21.04.01'!$AO$4:$AQ$55,2,FALSE))*IF('21.04.01'!$AK42="是",'21.04.01'!$BB$4,'21.04.01'!$BB$3))</f>
        <v>152</v>
      </c>
      <c r="G42" s="4">
        <f>IF(ISNUMBER(SEARCH("营",'21.04.01'!O42)),(-$Y42+50*IF('21.04.01'!$AK42="是",'21.04.01'!$BB$4,'21.04.01'!$BB$3)),(VLOOKUP('21.04.01'!O42,'21.04.01'!$AO$4:$AQ$55,2,FALSE))*IF('21.04.01'!$AK42="是",'21.04.01'!$BB$4,'21.04.01'!$BB$3))</f>
        <v>0</v>
      </c>
      <c r="H42" s="4">
        <f>IF(ISNUMBER(SEARCH("营",'21.04.01'!P42)),(-$Y42+50*IF('21.04.01'!$AK42="是",'21.04.01'!$BB$4,'21.04.01'!$BB$3)),(VLOOKUP('21.04.01'!P42,'21.04.01'!$AO$4:$AQ$55,2,FALSE))*IF('21.04.01'!$AK42="是",'21.04.01'!$BB$4,'21.04.01'!$BB$3))</f>
        <v>0</v>
      </c>
      <c r="I42" s="4">
        <f>IF(ISNUMBER(SEARCH("营",'21.04.01'!Q42)),(-$Y42+50*IF('21.04.01'!$AK42="是",'21.04.01'!$BB$4,'21.04.01'!$BB$3)),(VLOOKUP('21.04.01'!Q42,'21.04.01'!$AO$4:$AQ$55,2,FALSE))*IF('21.04.01'!$AK42="是",'21.04.01'!$BB$4,'21.04.01'!$BB$3))</f>
        <v>0</v>
      </c>
      <c r="J42" s="4">
        <f>IF(ISNUMBER(SEARCH("营",'21.04.01'!R42)),(-$Y42+50*IF('21.04.01'!$AK42="是",'21.04.01'!$BB$4,'21.04.01'!$BB$3)),(VLOOKUP('21.04.01'!R42,'21.04.01'!$AO$4:$AQ$55,2,FALSE))*IF('21.04.01'!$AK42="是",'21.04.01'!$BB$4,'21.04.01'!$BB$3))</f>
        <v>0</v>
      </c>
      <c r="K42" s="4">
        <f>IF(ISNUMBER(SEARCH("营",'21.04.01'!S42)),(-$Y42+50*IF('21.04.01'!$AK42="是",'21.04.01'!$BB$4,'21.04.01'!$BB$3)),(VLOOKUP('21.04.01'!S42,'21.04.01'!$AO$4:$AQ$55,2,FALSE))*IF('21.04.01'!$AK42="是",'21.04.01'!$BB$4,'21.04.01'!$BB$3))</f>
        <v>0</v>
      </c>
      <c r="L42" s="4">
        <f>IF(ISNUMBER(SEARCH("营",'21.04.01'!T42)),(-$Y42+50*IF('21.04.01'!$AK42="是",'21.04.01'!$BB$4,'21.04.01'!$BB$3)),(VLOOKUP('21.04.01'!T42,'21.04.01'!$AO$4:$AQ$55,2,FALSE))*IF('21.04.01'!$AK42="是",'21.04.01'!$BB$4,'21.04.01'!$BB$3))</f>
        <v>0</v>
      </c>
      <c r="M42" s="4">
        <f>IF(ISNUMBER(SEARCH("营",'21.04.01'!U42)),(-$Y42+50*IF('21.04.01'!$AK42="是",'21.04.01'!$BB$4,'21.04.01'!$BB$3)),(VLOOKUP('21.04.01'!U42,'21.04.01'!$AO$4:$AQ$55,2,FALSE))*IF('21.04.01'!$AK42="是",'21.04.01'!$BB$4,'21.04.01'!$BB$3))</f>
        <v>0</v>
      </c>
      <c r="N42" s="4">
        <f>IF(ISNUMBER(SEARCH("营",'21.04.01'!V42)),(-$Y42+50*IF('21.04.01'!$AK42="是",'21.04.01'!$BB$4,'21.04.01'!$BB$3)),(VLOOKUP('21.04.01'!V42,'21.04.01'!$AO$4:$AQ$55,2,FALSE))*IF('21.04.01'!$AK42="是",'21.04.01'!$BB$4,'21.04.01'!$BB$3))</f>
        <v>0</v>
      </c>
      <c r="O42" s="4">
        <f>IF(ISNUMBER(SEARCH("营",'21.04.01'!W42)),(-$Y42+50*IF('21.04.01'!$AK42="是",'21.04.01'!$BB$4,'21.04.01'!$BB$3)),(VLOOKUP('21.04.01'!W42,'21.04.01'!$AO$4:$AQ$55,2,FALSE))*IF('21.04.01'!$AK42="是",'21.04.01'!$BB$4,'21.04.01'!$BB$3))</f>
        <v>0</v>
      </c>
      <c r="P42" s="4">
        <f>IF(ISNUMBER(SEARCH("营",'21.04.01'!X42)),(-$Y42+50*IF('21.04.01'!$AK42="是",'21.04.01'!$BB$4,'21.04.01'!$BB$3)),(VLOOKUP('21.04.01'!X42,'21.04.01'!$AO$4:$AQ$55,2,FALSE))*IF('21.04.01'!$AK42="是",'21.04.01'!$BB$4,'21.04.01'!$BB$3))</f>
        <v>0</v>
      </c>
      <c r="Q42" s="4">
        <f>IF(ISNUMBER(SEARCH("营",'21.04.01'!Y42)),(-$Y42+50*IF('21.04.01'!$AK42="是",'21.04.01'!$BB$4,'21.04.01'!$BB$3)),(VLOOKUP('21.04.01'!Y42,'21.04.01'!$AO$4:$AQ$55,2,FALSE))*IF('21.04.01'!$AK42="是",'21.04.01'!$BB$4,'21.04.01'!$BB$3))</f>
        <v>0</v>
      </c>
      <c r="R42" s="4">
        <f>IF(ISNUMBER(SEARCH("营",'21.04.01'!Z42)),(-$Y42+50*IF('21.04.01'!$AK42="是",'21.04.01'!$BB$4,'21.04.01'!$BB$3)),(VLOOKUP('21.04.01'!Z42,'21.04.01'!$AO$4:$AQ$55,2,FALSE))*IF('21.04.01'!$AK42="是",'21.04.01'!$BB$4,'21.04.01'!$BB$3))</f>
        <v>0</v>
      </c>
      <c r="S42" s="4">
        <f>IF(ISNUMBER(SEARCH("营",'21.04.01'!AA42)),(-$Y42+50*IF('21.04.01'!$AK42="是",'21.04.01'!$BB$4,'21.04.01'!$BB$3)),(VLOOKUP('21.04.01'!AA42,'21.04.01'!$AO$4:$AQ$55,2,FALSE))*IF('21.04.01'!$AK42="是",'21.04.01'!$BB$4,'21.04.01'!$BB$3))</f>
        <v>0</v>
      </c>
      <c r="T42" s="4">
        <f>IF(ISNUMBER(SEARCH("营",'21.04.01'!AB42)),(-$Y42+50*IF('21.04.01'!$AK42="是",'21.04.01'!$BB$4,'21.04.01'!$BB$3)),(VLOOKUP('21.04.01'!AB42,'21.04.01'!$AO$4:$AQ$55,2,FALSE))*IF('21.04.01'!$AK42="是",'21.04.01'!$BB$4,'21.04.01'!$BB$3))</f>
        <v>0</v>
      </c>
      <c r="U42" s="4">
        <f>IF(ISNUMBER(SEARCH("营",'21.04.01'!AC42)),(-$Y42+50*IF('21.04.01'!$AK42="是",'21.04.01'!$BB$4,'21.04.01'!$BB$3)),(VLOOKUP('21.04.01'!AC42,'21.04.01'!$AO$4:$AQ$55,2,FALSE))*IF('21.04.01'!$AK42="是",'21.04.01'!$BB$4,'21.04.01'!$BB$3))</f>
        <v>0</v>
      </c>
      <c r="V42" s="4">
        <f>IF(ISNUMBER(SEARCH("营",'21.04.01'!AD42)),(-$Y42+50*IF('21.04.01'!$AK42="是",'21.04.01'!$BB$4,'21.04.01'!$BB$3)),(VLOOKUP('21.04.01'!AD42,'21.04.01'!$AO$4:$AQ$55,2,FALSE))*IF('21.04.01'!$AK42="是",'21.04.01'!$BB$4,'21.04.01'!$BB$3))</f>
        <v>0</v>
      </c>
      <c r="W42" s="4">
        <f>IF(ISNUMBER(SEARCH("营",'21.04.01'!AE42)),(-$Y42+50*IF('21.04.01'!$AK42="是",'21.04.01'!$BB$4,'21.04.01'!$BB$3)),(VLOOKUP('21.04.01'!AE42,'21.04.01'!$AO$4:$AQ$55,2,FALSE))*IF('21.04.01'!$AK42="是",'21.04.01'!$BB$4,'21.04.01'!$BB$3))</f>
        <v>0</v>
      </c>
      <c r="X42" s="4">
        <f>IF(ISNUMBER(SEARCH("营",'21.04.01'!AF42)),(-$Y42+50*IF('21.04.01'!$AK42="是",'21.04.01'!$BB$4,'21.04.01'!$BB$3)),(VLOOKUP('21.04.01'!AF42,'21.04.01'!$AO$4:$AQ$55,2,FALSE))*IF('21.04.01'!$AK42="是",'21.04.01'!$BB$4,'21.04.01'!$BB$3))</f>
        <v>0</v>
      </c>
      <c r="Y42" s="64">
        <v>150</v>
      </c>
      <c r="Z42" s="87">
        <v>45950</v>
      </c>
    </row>
    <row r="43" spans="1:26">
      <c r="A43" s="4">
        <f>IF(ISNUMBER(SEARCH("营",'21.04.01'!I43)),(-$Y43+50*IF('21.04.01'!$AK43="是",'21.04.01'!$BB$4,'21.04.01'!$BB$3)),(VLOOKUP('21.04.01'!I43,'21.04.01'!$AO$4:$AQ$55,2,FALSE))*IF('21.04.01'!$AK43="是",'21.04.01'!$BB$4,'21.04.01'!$BB$3))</f>
        <v>152</v>
      </c>
      <c r="B43" s="4">
        <f>IF(ISNUMBER(SEARCH("营",'21.04.01'!J43)),(-$Y43+50*IF('21.04.01'!$AK43="是",'21.04.01'!$BB$4,'21.04.01'!$BB$3)),(VLOOKUP('21.04.01'!J43,'21.04.01'!$AO$4:$AQ$55,2,FALSE))*IF('21.04.01'!$AK43="是",'21.04.01'!$BB$4,'21.04.01'!$BB$3))</f>
        <v>152</v>
      </c>
      <c r="C43" s="4">
        <f>IF(ISNUMBER(SEARCH("营",'21.04.01'!K43)),(-$Y43+50*IF('21.04.01'!$AK43="是",'21.04.01'!$BB$4,'21.04.01'!$BB$3)),(VLOOKUP('21.04.01'!K43,'21.04.01'!$AO$4:$AQ$55,2,FALSE))*IF('21.04.01'!$AK43="是",'21.04.01'!$BB$4,'21.04.01'!$BB$3))</f>
        <v>152</v>
      </c>
      <c r="D43" s="4">
        <f>IF(ISNUMBER(SEARCH("营",'21.04.01'!L43)),(-$Y43+50*IF('21.04.01'!$AK43="是",'21.04.01'!$BB$4,'21.04.01'!$BB$3)),(VLOOKUP('21.04.01'!L43,'21.04.01'!$AO$4:$AQ$55,2,FALSE))*IF('21.04.01'!$AK43="是",'21.04.01'!$BB$4,'21.04.01'!$BB$3))</f>
        <v>160</v>
      </c>
      <c r="E43" s="4">
        <f>IF(ISNUMBER(SEARCH("营",'21.04.01'!M43)),(-$Y43+50*IF('21.04.01'!$AK43="是",'21.04.01'!$BB$4,'21.04.01'!$BB$3)),(VLOOKUP('21.04.01'!M43,'21.04.01'!$AO$4:$AQ$55,2,FALSE))*IF('21.04.01'!$AK43="是",'21.04.01'!$BB$4,'21.04.01'!$BB$3))</f>
        <v>152</v>
      </c>
      <c r="F43" s="4">
        <f>IF(ISNUMBER(SEARCH("营",'21.04.01'!N43)),(-$Y43+50*IF('21.04.01'!$AK43="是",'21.04.01'!$BB$4,'21.04.01'!$BB$3)),(VLOOKUP('21.04.01'!N43,'21.04.01'!$AO$4:$AQ$55,2,FALSE))*IF('21.04.01'!$AK43="是",'21.04.01'!$BB$4,'21.04.01'!$BB$3))</f>
        <v>160</v>
      </c>
      <c r="G43" s="4">
        <f>IF(ISNUMBER(SEARCH("营",'21.04.01'!O43)),(-$Y43+50*IF('21.04.01'!$AK43="是",'21.04.01'!$BB$4,'21.04.01'!$BB$3)),(VLOOKUP('21.04.01'!O43,'21.04.01'!$AO$4:$AQ$55,2,FALSE))*IF('21.04.01'!$AK43="是",'21.04.01'!$BB$4,'21.04.01'!$BB$3))</f>
        <v>0</v>
      </c>
      <c r="H43" s="4">
        <f>IF(ISNUMBER(SEARCH("营",'21.04.01'!P43)),(-$Y43+50*IF('21.04.01'!$AK43="是",'21.04.01'!$BB$4,'21.04.01'!$BB$3)),(VLOOKUP('21.04.01'!P43,'21.04.01'!$AO$4:$AQ$55,2,FALSE))*IF('21.04.01'!$AK43="是",'21.04.01'!$BB$4,'21.04.01'!$BB$3))</f>
        <v>0</v>
      </c>
      <c r="I43" s="4">
        <f>IF(ISNUMBER(SEARCH("营",'21.04.01'!Q43)),(-$Y43+50*IF('21.04.01'!$AK43="是",'21.04.01'!$BB$4,'21.04.01'!$BB$3)),(VLOOKUP('21.04.01'!Q43,'21.04.01'!$AO$4:$AQ$55,2,FALSE))*IF('21.04.01'!$AK43="是",'21.04.01'!$BB$4,'21.04.01'!$BB$3))</f>
        <v>0</v>
      </c>
      <c r="J43" s="4">
        <f>IF(ISNUMBER(SEARCH("营",'21.04.01'!R43)),(-$Y43+50*IF('21.04.01'!$AK43="是",'21.04.01'!$BB$4,'21.04.01'!$BB$3)),(VLOOKUP('21.04.01'!R43,'21.04.01'!$AO$4:$AQ$55,2,FALSE))*IF('21.04.01'!$AK43="是",'21.04.01'!$BB$4,'21.04.01'!$BB$3))</f>
        <v>0</v>
      </c>
      <c r="K43" s="4">
        <f>IF(ISNUMBER(SEARCH("营",'21.04.01'!S43)),(-$Y43+50*IF('21.04.01'!$AK43="是",'21.04.01'!$BB$4,'21.04.01'!$BB$3)),(VLOOKUP('21.04.01'!S43,'21.04.01'!$AO$4:$AQ$55,2,FALSE))*IF('21.04.01'!$AK43="是",'21.04.01'!$BB$4,'21.04.01'!$BB$3))</f>
        <v>0</v>
      </c>
      <c r="L43" s="4">
        <f>IF(ISNUMBER(SEARCH("营",'21.04.01'!T43)),(-$Y43+50*IF('21.04.01'!$AK43="是",'21.04.01'!$BB$4,'21.04.01'!$BB$3)),(VLOOKUP('21.04.01'!T43,'21.04.01'!$AO$4:$AQ$55,2,FALSE))*IF('21.04.01'!$AK43="是",'21.04.01'!$BB$4,'21.04.01'!$BB$3))</f>
        <v>0</v>
      </c>
      <c r="M43" s="4">
        <f>IF(ISNUMBER(SEARCH("营",'21.04.01'!U43)),(-$Y43+50*IF('21.04.01'!$AK43="是",'21.04.01'!$BB$4,'21.04.01'!$BB$3)),(VLOOKUP('21.04.01'!U43,'21.04.01'!$AO$4:$AQ$55,2,FALSE))*IF('21.04.01'!$AK43="是",'21.04.01'!$BB$4,'21.04.01'!$BB$3))</f>
        <v>0</v>
      </c>
      <c r="N43" s="4">
        <f>IF(ISNUMBER(SEARCH("营",'21.04.01'!V43)),(-$Y43+50*IF('21.04.01'!$AK43="是",'21.04.01'!$BB$4,'21.04.01'!$BB$3)),(VLOOKUP('21.04.01'!V43,'21.04.01'!$AO$4:$AQ$55,2,FALSE))*IF('21.04.01'!$AK43="是",'21.04.01'!$BB$4,'21.04.01'!$BB$3))</f>
        <v>0</v>
      </c>
      <c r="O43" s="4">
        <f>IF(ISNUMBER(SEARCH("营",'21.04.01'!W43)),(-$Y43+50*IF('21.04.01'!$AK43="是",'21.04.01'!$BB$4,'21.04.01'!$BB$3)),(VLOOKUP('21.04.01'!W43,'21.04.01'!$AO$4:$AQ$55,2,FALSE))*IF('21.04.01'!$AK43="是",'21.04.01'!$BB$4,'21.04.01'!$BB$3))</f>
        <v>0</v>
      </c>
      <c r="P43" s="4">
        <f>IF(ISNUMBER(SEARCH("营",'21.04.01'!X43)),(-$Y43+50*IF('21.04.01'!$AK43="是",'21.04.01'!$BB$4,'21.04.01'!$BB$3)),(VLOOKUP('21.04.01'!X43,'21.04.01'!$AO$4:$AQ$55,2,FALSE))*IF('21.04.01'!$AK43="是",'21.04.01'!$BB$4,'21.04.01'!$BB$3))</f>
        <v>0</v>
      </c>
      <c r="Q43" s="4">
        <f>IF(ISNUMBER(SEARCH("营",'21.04.01'!Y43)),(-$Y43+50*IF('21.04.01'!$AK43="是",'21.04.01'!$BB$4,'21.04.01'!$BB$3)),(VLOOKUP('21.04.01'!Y43,'21.04.01'!$AO$4:$AQ$55,2,FALSE))*IF('21.04.01'!$AK43="是",'21.04.01'!$BB$4,'21.04.01'!$BB$3))</f>
        <v>0</v>
      </c>
      <c r="R43" s="4">
        <f>IF(ISNUMBER(SEARCH("营",'21.04.01'!Z43)),(-$Y43+50*IF('21.04.01'!$AK43="是",'21.04.01'!$BB$4,'21.04.01'!$BB$3)),(VLOOKUP('21.04.01'!Z43,'21.04.01'!$AO$4:$AQ$55,2,FALSE))*IF('21.04.01'!$AK43="是",'21.04.01'!$BB$4,'21.04.01'!$BB$3))</f>
        <v>0</v>
      </c>
      <c r="S43" s="4">
        <f>IF(ISNUMBER(SEARCH("营",'21.04.01'!AA43)),(-$Y43+50*IF('21.04.01'!$AK43="是",'21.04.01'!$BB$4,'21.04.01'!$BB$3)),(VLOOKUP('21.04.01'!AA43,'21.04.01'!$AO$4:$AQ$55,2,FALSE))*IF('21.04.01'!$AK43="是",'21.04.01'!$BB$4,'21.04.01'!$BB$3))</f>
        <v>0</v>
      </c>
      <c r="T43" s="4">
        <f>IF(ISNUMBER(SEARCH("营",'21.04.01'!AB43)),(-$Y43+50*IF('21.04.01'!$AK43="是",'21.04.01'!$BB$4,'21.04.01'!$BB$3)),(VLOOKUP('21.04.01'!AB43,'21.04.01'!$AO$4:$AQ$55,2,FALSE))*IF('21.04.01'!$AK43="是",'21.04.01'!$BB$4,'21.04.01'!$BB$3))</f>
        <v>0</v>
      </c>
      <c r="U43" s="4">
        <f>IF(ISNUMBER(SEARCH("营",'21.04.01'!AC43)),(-$Y43+50*IF('21.04.01'!$AK43="是",'21.04.01'!$BB$4,'21.04.01'!$BB$3)),(VLOOKUP('21.04.01'!AC43,'21.04.01'!$AO$4:$AQ$55,2,FALSE))*IF('21.04.01'!$AK43="是",'21.04.01'!$BB$4,'21.04.01'!$BB$3))</f>
        <v>0</v>
      </c>
      <c r="V43" s="4">
        <f>IF(ISNUMBER(SEARCH("营",'21.04.01'!AD43)),(-$Y43+50*IF('21.04.01'!$AK43="是",'21.04.01'!$BB$4,'21.04.01'!$BB$3)),(VLOOKUP('21.04.01'!AD43,'21.04.01'!$AO$4:$AQ$55,2,FALSE))*IF('21.04.01'!$AK43="是",'21.04.01'!$BB$4,'21.04.01'!$BB$3))</f>
        <v>0</v>
      </c>
      <c r="W43" s="4">
        <f>IF(ISNUMBER(SEARCH("营",'21.04.01'!AE43)),(-$Y43+50*IF('21.04.01'!$AK43="是",'21.04.01'!$BB$4,'21.04.01'!$BB$3)),(VLOOKUP('21.04.01'!AE43,'21.04.01'!$AO$4:$AQ$55,2,FALSE))*IF('21.04.01'!$AK43="是",'21.04.01'!$BB$4,'21.04.01'!$BB$3))</f>
        <v>0</v>
      </c>
      <c r="X43" s="4">
        <f>IF(ISNUMBER(SEARCH("营",'21.04.01'!AF43)),(-$Y43+50*IF('21.04.01'!$AK43="是",'21.04.01'!$BB$4,'21.04.01'!$BB$3)),(VLOOKUP('21.04.01'!AF43,'21.04.01'!$AO$4:$AQ$55,2,FALSE))*IF('21.04.01'!$AK43="是",'21.04.01'!$BB$4,'21.04.01'!$BB$3))</f>
        <v>0</v>
      </c>
      <c r="Y43" s="64">
        <v>150</v>
      </c>
      <c r="Z43" s="87">
        <v>45951</v>
      </c>
    </row>
    <row r="44" spans="1:26">
      <c r="A44" s="4">
        <f>IF(ISNUMBER(SEARCH("营",'21.04.01'!I44)),(-$Y44+50*IF('21.04.01'!$AK44="是",'21.04.01'!$BB$4,'21.04.01'!$BB$3)),(VLOOKUP('21.04.01'!I44,'21.04.01'!$AO$4:$AQ$55,2,FALSE))*IF('21.04.01'!$AK44="是",'21.04.01'!$BB$4,'21.04.01'!$BB$3))</f>
        <v>120</v>
      </c>
      <c r="B44" s="4">
        <f>IF(ISNUMBER(SEARCH("营",'21.04.01'!J44)),(-$Y44+50*IF('21.04.01'!$AK44="是",'21.04.01'!$BB$4,'21.04.01'!$BB$3)),(VLOOKUP('21.04.01'!J44,'21.04.01'!$AO$4:$AQ$55,2,FALSE))*IF('21.04.01'!$AK44="是",'21.04.01'!$BB$4,'21.04.01'!$BB$3))</f>
        <v>152</v>
      </c>
      <c r="C44" s="4">
        <f>IF(ISNUMBER(SEARCH("营",'21.04.01'!K44)),(-$Y44+50*IF('21.04.01'!$AK44="是",'21.04.01'!$BB$4,'21.04.01'!$BB$3)),(VLOOKUP('21.04.01'!K44,'21.04.01'!$AO$4:$AQ$55,2,FALSE))*IF('21.04.01'!$AK44="是",'21.04.01'!$BB$4,'21.04.01'!$BB$3))</f>
        <v>152</v>
      </c>
      <c r="D44" s="4">
        <f>IF(ISNUMBER(SEARCH("营",'21.04.01'!L44)),(-$Y44+50*IF('21.04.01'!$AK44="是",'21.04.01'!$BB$4,'21.04.01'!$BB$3)),(VLOOKUP('21.04.01'!L44,'21.04.01'!$AO$4:$AQ$55,2,FALSE))*IF('21.04.01'!$AK44="是",'21.04.01'!$BB$4,'21.04.01'!$BB$3))</f>
        <v>152</v>
      </c>
      <c r="E44" s="4">
        <f>IF(ISNUMBER(SEARCH("营",'21.04.01'!M44)),(-$Y44+50*IF('21.04.01'!$AK44="是",'21.04.01'!$BB$4,'21.04.01'!$BB$3)),(VLOOKUP('21.04.01'!M44,'21.04.01'!$AO$4:$AQ$55,2,FALSE))*IF('21.04.01'!$AK44="是",'21.04.01'!$BB$4,'21.04.01'!$BB$3))</f>
        <v>152</v>
      </c>
      <c r="F44" s="4">
        <f>IF(ISNUMBER(SEARCH("营",'21.04.01'!N44)),(-$Y44+50*IF('21.04.01'!$AK44="是",'21.04.01'!$BB$4,'21.04.01'!$BB$3)),(VLOOKUP('21.04.01'!N44,'21.04.01'!$AO$4:$AQ$55,2,FALSE))*IF('21.04.01'!$AK44="是",'21.04.01'!$BB$4,'21.04.01'!$BB$3))</f>
        <v>152</v>
      </c>
      <c r="G44" s="4">
        <f>IF(ISNUMBER(SEARCH("营",'21.04.01'!O44)),(-$Y44+50*IF('21.04.01'!$AK44="是",'21.04.01'!$BB$4,'21.04.01'!$BB$3)),(VLOOKUP('21.04.01'!O44,'21.04.01'!$AO$4:$AQ$55,2,FALSE))*IF('21.04.01'!$AK44="是",'21.04.01'!$BB$4,'21.04.01'!$BB$3))</f>
        <v>0</v>
      </c>
      <c r="H44" s="4">
        <f>IF(ISNUMBER(SEARCH("营",'21.04.01'!P44)),(-$Y44+50*IF('21.04.01'!$AK44="是",'21.04.01'!$BB$4,'21.04.01'!$BB$3)),(VLOOKUP('21.04.01'!P44,'21.04.01'!$AO$4:$AQ$55,2,FALSE))*IF('21.04.01'!$AK44="是",'21.04.01'!$BB$4,'21.04.01'!$BB$3))</f>
        <v>0</v>
      </c>
      <c r="I44" s="4">
        <f>IF(ISNUMBER(SEARCH("营",'21.04.01'!Q44)),(-$Y44+50*IF('21.04.01'!$AK44="是",'21.04.01'!$BB$4,'21.04.01'!$BB$3)),(VLOOKUP('21.04.01'!Q44,'21.04.01'!$AO$4:$AQ$55,2,FALSE))*IF('21.04.01'!$AK44="是",'21.04.01'!$BB$4,'21.04.01'!$BB$3))</f>
        <v>0</v>
      </c>
      <c r="J44" s="4">
        <f>IF(ISNUMBER(SEARCH("营",'21.04.01'!R44)),(-$Y44+50*IF('21.04.01'!$AK44="是",'21.04.01'!$BB$4,'21.04.01'!$BB$3)),(VLOOKUP('21.04.01'!R44,'21.04.01'!$AO$4:$AQ$55,2,FALSE))*IF('21.04.01'!$AK44="是",'21.04.01'!$BB$4,'21.04.01'!$BB$3))</f>
        <v>0</v>
      </c>
      <c r="K44" s="4">
        <f>IF(ISNUMBER(SEARCH("营",'21.04.01'!S44)),(-$Y44+50*IF('21.04.01'!$AK44="是",'21.04.01'!$BB$4,'21.04.01'!$BB$3)),(VLOOKUP('21.04.01'!S44,'21.04.01'!$AO$4:$AQ$55,2,FALSE))*IF('21.04.01'!$AK44="是",'21.04.01'!$BB$4,'21.04.01'!$BB$3))</f>
        <v>0</v>
      </c>
      <c r="L44" s="4">
        <f>IF(ISNUMBER(SEARCH("营",'21.04.01'!T44)),(-$Y44+50*IF('21.04.01'!$AK44="是",'21.04.01'!$BB$4,'21.04.01'!$BB$3)),(VLOOKUP('21.04.01'!T44,'21.04.01'!$AO$4:$AQ$55,2,FALSE))*IF('21.04.01'!$AK44="是",'21.04.01'!$BB$4,'21.04.01'!$BB$3))</f>
        <v>0</v>
      </c>
      <c r="M44" s="4">
        <f>IF(ISNUMBER(SEARCH("营",'21.04.01'!U44)),(-$Y44+50*IF('21.04.01'!$AK44="是",'21.04.01'!$BB$4,'21.04.01'!$BB$3)),(VLOOKUP('21.04.01'!U44,'21.04.01'!$AO$4:$AQ$55,2,FALSE))*IF('21.04.01'!$AK44="是",'21.04.01'!$BB$4,'21.04.01'!$BB$3))</f>
        <v>0</v>
      </c>
      <c r="N44" s="4">
        <f>IF(ISNUMBER(SEARCH("营",'21.04.01'!V44)),(-$Y44+50*IF('21.04.01'!$AK44="是",'21.04.01'!$BB$4,'21.04.01'!$BB$3)),(VLOOKUP('21.04.01'!V44,'21.04.01'!$AO$4:$AQ$55,2,FALSE))*IF('21.04.01'!$AK44="是",'21.04.01'!$BB$4,'21.04.01'!$BB$3))</f>
        <v>0</v>
      </c>
      <c r="O44" s="4">
        <f>IF(ISNUMBER(SEARCH("营",'21.04.01'!W44)),(-$Y44+50*IF('21.04.01'!$AK44="是",'21.04.01'!$BB$4,'21.04.01'!$BB$3)),(VLOOKUP('21.04.01'!W44,'21.04.01'!$AO$4:$AQ$55,2,FALSE))*IF('21.04.01'!$AK44="是",'21.04.01'!$BB$4,'21.04.01'!$BB$3))</f>
        <v>0</v>
      </c>
      <c r="P44" s="4">
        <f>IF(ISNUMBER(SEARCH("营",'21.04.01'!X44)),(-$Y44+50*IF('21.04.01'!$AK44="是",'21.04.01'!$BB$4,'21.04.01'!$BB$3)),(VLOOKUP('21.04.01'!X44,'21.04.01'!$AO$4:$AQ$55,2,FALSE))*IF('21.04.01'!$AK44="是",'21.04.01'!$BB$4,'21.04.01'!$BB$3))</f>
        <v>0</v>
      </c>
      <c r="Q44" s="4">
        <f>IF(ISNUMBER(SEARCH("营",'21.04.01'!Y44)),(-$Y44+50*IF('21.04.01'!$AK44="是",'21.04.01'!$BB$4,'21.04.01'!$BB$3)),(VLOOKUP('21.04.01'!Y44,'21.04.01'!$AO$4:$AQ$55,2,FALSE))*IF('21.04.01'!$AK44="是",'21.04.01'!$BB$4,'21.04.01'!$BB$3))</f>
        <v>0</v>
      </c>
      <c r="R44" s="4">
        <f>IF(ISNUMBER(SEARCH("营",'21.04.01'!Z44)),(-$Y44+50*IF('21.04.01'!$AK44="是",'21.04.01'!$BB$4,'21.04.01'!$BB$3)),(VLOOKUP('21.04.01'!Z44,'21.04.01'!$AO$4:$AQ$55,2,FALSE))*IF('21.04.01'!$AK44="是",'21.04.01'!$BB$4,'21.04.01'!$BB$3))</f>
        <v>0</v>
      </c>
      <c r="S44" s="4">
        <f>IF(ISNUMBER(SEARCH("营",'21.04.01'!AA44)),(-$Y44+50*IF('21.04.01'!$AK44="是",'21.04.01'!$BB$4,'21.04.01'!$BB$3)),(VLOOKUP('21.04.01'!AA44,'21.04.01'!$AO$4:$AQ$55,2,FALSE))*IF('21.04.01'!$AK44="是",'21.04.01'!$BB$4,'21.04.01'!$BB$3))</f>
        <v>0</v>
      </c>
      <c r="T44" s="4">
        <f>IF(ISNUMBER(SEARCH("营",'21.04.01'!AB44)),(-$Y44+50*IF('21.04.01'!$AK44="是",'21.04.01'!$BB$4,'21.04.01'!$BB$3)),(VLOOKUP('21.04.01'!AB44,'21.04.01'!$AO$4:$AQ$55,2,FALSE))*IF('21.04.01'!$AK44="是",'21.04.01'!$BB$4,'21.04.01'!$BB$3))</f>
        <v>0</v>
      </c>
      <c r="U44" s="4">
        <f>IF(ISNUMBER(SEARCH("营",'21.04.01'!AC44)),(-$Y44+50*IF('21.04.01'!$AK44="是",'21.04.01'!$BB$4,'21.04.01'!$BB$3)),(VLOOKUP('21.04.01'!AC44,'21.04.01'!$AO$4:$AQ$55,2,FALSE))*IF('21.04.01'!$AK44="是",'21.04.01'!$BB$4,'21.04.01'!$BB$3))</f>
        <v>0</v>
      </c>
      <c r="V44" s="4">
        <f>IF(ISNUMBER(SEARCH("营",'21.04.01'!AD44)),(-$Y44+50*IF('21.04.01'!$AK44="是",'21.04.01'!$BB$4,'21.04.01'!$BB$3)),(VLOOKUP('21.04.01'!AD44,'21.04.01'!$AO$4:$AQ$55,2,FALSE))*IF('21.04.01'!$AK44="是",'21.04.01'!$BB$4,'21.04.01'!$BB$3))</f>
        <v>0</v>
      </c>
      <c r="W44" s="4">
        <f>IF(ISNUMBER(SEARCH("营",'21.04.01'!AE44)),(-$Y44+50*IF('21.04.01'!$AK44="是",'21.04.01'!$BB$4,'21.04.01'!$BB$3)),(VLOOKUP('21.04.01'!AE44,'21.04.01'!$AO$4:$AQ$55,2,FALSE))*IF('21.04.01'!$AK44="是",'21.04.01'!$BB$4,'21.04.01'!$BB$3))</f>
        <v>0</v>
      </c>
      <c r="X44" s="4">
        <f>IF(ISNUMBER(SEARCH("营",'21.04.01'!AF44)),(-$Y44+50*IF('21.04.01'!$AK44="是",'21.04.01'!$BB$4,'21.04.01'!$BB$3)),(VLOOKUP('21.04.01'!AF44,'21.04.01'!$AO$4:$AQ$55,2,FALSE))*IF('21.04.01'!$AK44="是",'21.04.01'!$BB$4,'21.04.01'!$BB$3))</f>
        <v>0</v>
      </c>
      <c r="Y44" s="64">
        <v>150</v>
      </c>
      <c r="Z44" s="87">
        <v>45952</v>
      </c>
    </row>
    <row r="45" spans="1:26">
      <c r="A45" s="4">
        <f>IF(ISNUMBER(SEARCH("营",'21.04.01'!I45)),(-$Y45+50*IF('21.04.01'!$AK45="是",'21.04.01'!$BB$4,'21.04.01'!$BB$3)),(VLOOKUP('21.04.01'!I45,'21.04.01'!$AO$4:$AQ$55,2,FALSE))*IF('21.04.01'!$AK45="是",'21.04.01'!$BB$4,'21.04.01'!$BB$3))</f>
        <v>152</v>
      </c>
      <c r="B45" s="4">
        <f>IF(ISNUMBER(SEARCH("营",'21.04.01'!J45)),(-$Y45+50*IF('21.04.01'!$AK45="是",'21.04.01'!$BB$4,'21.04.01'!$BB$3)),(VLOOKUP('21.04.01'!J45,'21.04.01'!$AO$4:$AQ$55,2,FALSE))*IF('21.04.01'!$AK45="是",'21.04.01'!$BB$4,'21.04.01'!$BB$3))</f>
        <v>152</v>
      </c>
      <c r="C45" s="4">
        <f>IF(ISNUMBER(SEARCH("营",'21.04.01'!K45)),(-$Y45+50*IF('21.04.01'!$AK45="是",'21.04.01'!$BB$4,'21.04.01'!$BB$3)),(VLOOKUP('21.04.01'!K45,'21.04.01'!$AO$4:$AQ$55,2,FALSE))*IF('21.04.01'!$AK45="是",'21.04.01'!$BB$4,'21.04.01'!$BB$3))</f>
        <v>152</v>
      </c>
      <c r="D45" s="4">
        <f>IF(ISNUMBER(SEARCH("营",'21.04.01'!L45)),(-$Y45+50*IF('21.04.01'!$AK45="是",'21.04.01'!$BB$4,'21.04.01'!$BB$3)),(VLOOKUP('21.04.01'!L45,'21.04.01'!$AO$4:$AQ$55,2,FALSE))*IF('21.04.01'!$AK45="是",'21.04.01'!$BB$4,'21.04.01'!$BB$3))</f>
        <v>152</v>
      </c>
      <c r="E45" s="4">
        <f>IF(ISNUMBER(SEARCH("营",'21.04.01'!M45)),(-$Y45+50*IF('21.04.01'!$AK45="是",'21.04.01'!$BB$4,'21.04.01'!$BB$3)),(VLOOKUP('21.04.01'!M45,'21.04.01'!$AO$4:$AQ$55,2,FALSE))*IF('21.04.01'!$AK45="是",'21.04.01'!$BB$4,'21.04.01'!$BB$3))</f>
        <v>152</v>
      </c>
      <c r="F45" s="4">
        <f>IF(ISNUMBER(SEARCH("营",'21.04.01'!N45)),(-$Y45+50*IF('21.04.01'!$AK45="是",'21.04.01'!$BB$4,'21.04.01'!$BB$3)),(VLOOKUP('21.04.01'!N45,'21.04.01'!$AO$4:$AQ$55,2,FALSE))*IF('21.04.01'!$AK45="是",'21.04.01'!$BB$4,'21.04.01'!$BB$3))</f>
        <v>152</v>
      </c>
      <c r="G45" s="4">
        <f>IF(ISNUMBER(SEARCH("营",'21.04.01'!O45)),(-$Y45+50*IF('21.04.01'!$AK45="是",'21.04.01'!$BB$4,'21.04.01'!$BB$3)),(VLOOKUP('21.04.01'!O45,'21.04.01'!$AO$4:$AQ$55,2,FALSE))*IF('21.04.01'!$AK45="是",'21.04.01'!$BB$4,'21.04.01'!$BB$3))</f>
        <v>0</v>
      </c>
      <c r="H45" s="4">
        <f>IF(ISNUMBER(SEARCH("营",'21.04.01'!P45)),(-$Y45+50*IF('21.04.01'!$AK45="是",'21.04.01'!$BB$4,'21.04.01'!$BB$3)),(VLOOKUP('21.04.01'!P45,'21.04.01'!$AO$4:$AQ$55,2,FALSE))*IF('21.04.01'!$AK45="是",'21.04.01'!$BB$4,'21.04.01'!$BB$3))</f>
        <v>0</v>
      </c>
      <c r="I45" s="4">
        <f>IF(ISNUMBER(SEARCH("营",'21.04.01'!Q45)),(-$Y45+50*IF('21.04.01'!$AK45="是",'21.04.01'!$BB$4,'21.04.01'!$BB$3)),(VLOOKUP('21.04.01'!Q45,'21.04.01'!$AO$4:$AQ$55,2,FALSE))*IF('21.04.01'!$AK45="是",'21.04.01'!$BB$4,'21.04.01'!$BB$3))</f>
        <v>0</v>
      </c>
      <c r="J45" s="4">
        <f>IF(ISNUMBER(SEARCH("营",'21.04.01'!R45)),(-$Y45+50*IF('21.04.01'!$AK45="是",'21.04.01'!$BB$4,'21.04.01'!$BB$3)),(VLOOKUP('21.04.01'!R45,'21.04.01'!$AO$4:$AQ$55,2,FALSE))*IF('21.04.01'!$AK45="是",'21.04.01'!$BB$4,'21.04.01'!$BB$3))</f>
        <v>0</v>
      </c>
      <c r="K45" s="4">
        <f>IF(ISNUMBER(SEARCH("营",'21.04.01'!S45)),(-$Y45+50*IF('21.04.01'!$AK45="是",'21.04.01'!$BB$4,'21.04.01'!$BB$3)),(VLOOKUP('21.04.01'!S45,'21.04.01'!$AO$4:$AQ$55,2,FALSE))*IF('21.04.01'!$AK45="是",'21.04.01'!$BB$4,'21.04.01'!$BB$3))</f>
        <v>0</v>
      </c>
      <c r="L45" s="4">
        <f>IF(ISNUMBER(SEARCH("营",'21.04.01'!T45)),(-$Y45+50*IF('21.04.01'!$AK45="是",'21.04.01'!$BB$4,'21.04.01'!$BB$3)),(VLOOKUP('21.04.01'!T45,'21.04.01'!$AO$4:$AQ$55,2,FALSE))*IF('21.04.01'!$AK45="是",'21.04.01'!$BB$4,'21.04.01'!$BB$3))</f>
        <v>0</v>
      </c>
      <c r="M45" s="4">
        <f>IF(ISNUMBER(SEARCH("营",'21.04.01'!U45)),(-$Y45+50*IF('21.04.01'!$AK45="是",'21.04.01'!$BB$4,'21.04.01'!$BB$3)),(VLOOKUP('21.04.01'!U45,'21.04.01'!$AO$4:$AQ$55,2,FALSE))*IF('21.04.01'!$AK45="是",'21.04.01'!$BB$4,'21.04.01'!$BB$3))</f>
        <v>0</v>
      </c>
      <c r="N45" s="4">
        <f>IF(ISNUMBER(SEARCH("营",'21.04.01'!V45)),(-$Y45+50*IF('21.04.01'!$AK45="是",'21.04.01'!$BB$4,'21.04.01'!$BB$3)),(VLOOKUP('21.04.01'!V45,'21.04.01'!$AO$4:$AQ$55,2,FALSE))*IF('21.04.01'!$AK45="是",'21.04.01'!$BB$4,'21.04.01'!$BB$3))</f>
        <v>0</v>
      </c>
      <c r="O45" s="4">
        <f>IF(ISNUMBER(SEARCH("营",'21.04.01'!W45)),(-$Y45+50*IF('21.04.01'!$AK45="是",'21.04.01'!$BB$4,'21.04.01'!$BB$3)),(VLOOKUP('21.04.01'!W45,'21.04.01'!$AO$4:$AQ$55,2,FALSE))*IF('21.04.01'!$AK45="是",'21.04.01'!$BB$4,'21.04.01'!$BB$3))</f>
        <v>0</v>
      </c>
      <c r="P45" s="4">
        <f>IF(ISNUMBER(SEARCH("营",'21.04.01'!X45)),(-$Y45+50*IF('21.04.01'!$AK45="是",'21.04.01'!$BB$4,'21.04.01'!$BB$3)),(VLOOKUP('21.04.01'!X45,'21.04.01'!$AO$4:$AQ$55,2,FALSE))*IF('21.04.01'!$AK45="是",'21.04.01'!$BB$4,'21.04.01'!$BB$3))</f>
        <v>0</v>
      </c>
      <c r="Q45" s="4">
        <f>IF(ISNUMBER(SEARCH("营",'21.04.01'!Y45)),(-$Y45+50*IF('21.04.01'!$AK45="是",'21.04.01'!$BB$4,'21.04.01'!$BB$3)),(VLOOKUP('21.04.01'!Y45,'21.04.01'!$AO$4:$AQ$55,2,FALSE))*IF('21.04.01'!$AK45="是",'21.04.01'!$BB$4,'21.04.01'!$BB$3))</f>
        <v>0</v>
      </c>
      <c r="R45" s="4">
        <f>IF(ISNUMBER(SEARCH("营",'21.04.01'!Z45)),(-$Y45+50*IF('21.04.01'!$AK45="是",'21.04.01'!$BB$4,'21.04.01'!$BB$3)),(VLOOKUP('21.04.01'!Z45,'21.04.01'!$AO$4:$AQ$55,2,FALSE))*IF('21.04.01'!$AK45="是",'21.04.01'!$BB$4,'21.04.01'!$BB$3))</f>
        <v>0</v>
      </c>
      <c r="S45" s="4">
        <f>IF(ISNUMBER(SEARCH("营",'21.04.01'!AA45)),(-$Y45+50*IF('21.04.01'!$AK45="是",'21.04.01'!$BB$4,'21.04.01'!$BB$3)),(VLOOKUP('21.04.01'!AA45,'21.04.01'!$AO$4:$AQ$55,2,FALSE))*IF('21.04.01'!$AK45="是",'21.04.01'!$BB$4,'21.04.01'!$BB$3))</f>
        <v>0</v>
      </c>
      <c r="T45" s="4">
        <f>IF(ISNUMBER(SEARCH("营",'21.04.01'!AB45)),(-$Y45+50*IF('21.04.01'!$AK45="是",'21.04.01'!$BB$4,'21.04.01'!$BB$3)),(VLOOKUP('21.04.01'!AB45,'21.04.01'!$AO$4:$AQ$55,2,FALSE))*IF('21.04.01'!$AK45="是",'21.04.01'!$BB$4,'21.04.01'!$BB$3))</f>
        <v>0</v>
      </c>
      <c r="U45" s="4">
        <f>IF(ISNUMBER(SEARCH("营",'21.04.01'!AC45)),(-$Y45+50*IF('21.04.01'!$AK45="是",'21.04.01'!$BB$4,'21.04.01'!$BB$3)),(VLOOKUP('21.04.01'!AC45,'21.04.01'!$AO$4:$AQ$55,2,FALSE))*IF('21.04.01'!$AK45="是",'21.04.01'!$BB$4,'21.04.01'!$BB$3))</f>
        <v>0</v>
      </c>
      <c r="V45" s="4">
        <f>IF(ISNUMBER(SEARCH("营",'21.04.01'!AD45)),(-$Y45+50*IF('21.04.01'!$AK45="是",'21.04.01'!$BB$4,'21.04.01'!$BB$3)),(VLOOKUP('21.04.01'!AD45,'21.04.01'!$AO$4:$AQ$55,2,FALSE))*IF('21.04.01'!$AK45="是",'21.04.01'!$BB$4,'21.04.01'!$BB$3))</f>
        <v>0</v>
      </c>
      <c r="W45" s="4">
        <f>IF(ISNUMBER(SEARCH("营",'21.04.01'!AE45)),(-$Y45+50*IF('21.04.01'!$AK45="是",'21.04.01'!$BB$4,'21.04.01'!$BB$3)),(VLOOKUP('21.04.01'!AE45,'21.04.01'!$AO$4:$AQ$55,2,FALSE))*IF('21.04.01'!$AK45="是",'21.04.01'!$BB$4,'21.04.01'!$BB$3))</f>
        <v>0</v>
      </c>
      <c r="X45" s="4">
        <f>IF(ISNUMBER(SEARCH("营",'21.04.01'!AF45)),(-$Y45+50*IF('21.04.01'!$AK45="是",'21.04.01'!$BB$4,'21.04.01'!$BB$3)),(VLOOKUP('21.04.01'!AF45,'21.04.01'!$AO$4:$AQ$55,2,FALSE))*IF('21.04.01'!$AK45="是",'21.04.01'!$BB$4,'21.04.01'!$BB$3))</f>
        <v>0</v>
      </c>
      <c r="Y45" s="64">
        <v>150</v>
      </c>
      <c r="Z45" s="87">
        <v>45953</v>
      </c>
    </row>
    <row r="46" spans="1:26">
      <c r="A46" s="4">
        <f>IF(ISNUMBER(SEARCH("营",'21.04.01'!I46)),(-$Y46+50*IF('21.04.01'!$AK46="是",'21.04.01'!$BB$4,'21.04.01'!$BB$3)),(VLOOKUP('21.04.01'!I46,'21.04.01'!$AO$4:$AQ$55,2,FALSE))*IF('21.04.01'!$AK46="是",'21.04.01'!$BB$4,'21.04.01'!$BB$3))</f>
        <v>152</v>
      </c>
      <c r="B46" s="4">
        <f>IF(ISNUMBER(SEARCH("营",'21.04.01'!J46)),(-$Y46+50*IF('21.04.01'!$AK46="是",'21.04.01'!$BB$4,'21.04.01'!$BB$3)),(VLOOKUP('21.04.01'!J46,'21.04.01'!$AO$4:$AQ$55,2,FALSE))*IF('21.04.01'!$AK46="是",'21.04.01'!$BB$4,'21.04.01'!$BB$3))</f>
        <v>152</v>
      </c>
      <c r="C46" s="4">
        <f>IF(ISNUMBER(SEARCH("营",'21.04.01'!K46)),(-$Y46+50*IF('21.04.01'!$AK46="是",'21.04.01'!$BB$4,'21.04.01'!$BB$3)),(VLOOKUP('21.04.01'!K46,'21.04.01'!$AO$4:$AQ$55,2,FALSE))*IF('21.04.01'!$AK46="是",'21.04.01'!$BB$4,'21.04.01'!$BB$3))</f>
        <v>152</v>
      </c>
      <c r="D46" s="4">
        <f>IF(ISNUMBER(SEARCH("营",'21.04.01'!L46)),(-$Y46+50*IF('21.04.01'!$AK46="是",'21.04.01'!$BB$4,'21.04.01'!$BB$3)),(VLOOKUP('21.04.01'!L46,'21.04.01'!$AO$4:$AQ$55,2,FALSE))*IF('21.04.01'!$AK46="是",'21.04.01'!$BB$4,'21.04.01'!$BB$3))</f>
        <v>152</v>
      </c>
      <c r="E46" s="4">
        <f>IF(ISNUMBER(SEARCH("营",'21.04.01'!M46)),(-$Y46+50*IF('21.04.01'!$AK46="是",'21.04.01'!$BB$4,'21.04.01'!$BB$3)),(VLOOKUP('21.04.01'!M46,'21.04.01'!$AO$4:$AQ$55,2,FALSE))*IF('21.04.01'!$AK46="是",'21.04.01'!$BB$4,'21.04.01'!$BB$3))</f>
        <v>120</v>
      </c>
      <c r="F46" s="4">
        <f>IF(ISNUMBER(SEARCH("营",'21.04.01'!N46)),(-$Y46+50*IF('21.04.01'!$AK46="是",'21.04.01'!$BB$4,'21.04.01'!$BB$3)),(VLOOKUP('21.04.01'!N46,'21.04.01'!$AO$4:$AQ$55,2,FALSE))*IF('21.04.01'!$AK46="是",'21.04.01'!$BB$4,'21.04.01'!$BB$3))</f>
        <v>152</v>
      </c>
      <c r="G46" s="4">
        <f>IF(ISNUMBER(SEARCH("营",'21.04.01'!O46)),(-$Y46+50*IF('21.04.01'!$AK46="是",'21.04.01'!$BB$4,'21.04.01'!$BB$3)),(VLOOKUP('21.04.01'!O46,'21.04.01'!$AO$4:$AQ$55,2,FALSE))*IF('21.04.01'!$AK46="是",'21.04.01'!$BB$4,'21.04.01'!$BB$3))</f>
        <v>0</v>
      </c>
      <c r="H46" s="4">
        <f>IF(ISNUMBER(SEARCH("营",'21.04.01'!P46)),(-$Y46+50*IF('21.04.01'!$AK46="是",'21.04.01'!$BB$4,'21.04.01'!$BB$3)),(VLOOKUP('21.04.01'!P46,'21.04.01'!$AO$4:$AQ$55,2,FALSE))*IF('21.04.01'!$AK46="是",'21.04.01'!$BB$4,'21.04.01'!$BB$3))</f>
        <v>0</v>
      </c>
      <c r="I46" s="4">
        <f>IF(ISNUMBER(SEARCH("营",'21.04.01'!Q46)),(-$Y46+50*IF('21.04.01'!$AK46="是",'21.04.01'!$BB$4,'21.04.01'!$BB$3)),(VLOOKUP('21.04.01'!Q46,'21.04.01'!$AO$4:$AQ$55,2,FALSE))*IF('21.04.01'!$AK46="是",'21.04.01'!$BB$4,'21.04.01'!$BB$3))</f>
        <v>0</v>
      </c>
      <c r="J46" s="4">
        <f>IF(ISNUMBER(SEARCH("营",'21.04.01'!R46)),(-$Y46+50*IF('21.04.01'!$AK46="是",'21.04.01'!$BB$4,'21.04.01'!$BB$3)),(VLOOKUP('21.04.01'!R46,'21.04.01'!$AO$4:$AQ$55,2,FALSE))*IF('21.04.01'!$AK46="是",'21.04.01'!$BB$4,'21.04.01'!$BB$3))</f>
        <v>0</v>
      </c>
      <c r="K46" s="4">
        <f>IF(ISNUMBER(SEARCH("营",'21.04.01'!S46)),(-$Y46+50*IF('21.04.01'!$AK46="是",'21.04.01'!$BB$4,'21.04.01'!$BB$3)),(VLOOKUP('21.04.01'!S46,'21.04.01'!$AO$4:$AQ$55,2,FALSE))*IF('21.04.01'!$AK46="是",'21.04.01'!$BB$4,'21.04.01'!$BB$3))</f>
        <v>0</v>
      </c>
      <c r="L46" s="4">
        <f>IF(ISNUMBER(SEARCH("营",'21.04.01'!T46)),(-$Y46+50*IF('21.04.01'!$AK46="是",'21.04.01'!$BB$4,'21.04.01'!$BB$3)),(VLOOKUP('21.04.01'!T46,'21.04.01'!$AO$4:$AQ$55,2,FALSE))*IF('21.04.01'!$AK46="是",'21.04.01'!$BB$4,'21.04.01'!$BB$3))</f>
        <v>0</v>
      </c>
      <c r="M46" s="4">
        <f>IF(ISNUMBER(SEARCH("营",'21.04.01'!U46)),(-$Y46+50*IF('21.04.01'!$AK46="是",'21.04.01'!$BB$4,'21.04.01'!$BB$3)),(VLOOKUP('21.04.01'!U46,'21.04.01'!$AO$4:$AQ$55,2,FALSE))*IF('21.04.01'!$AK46="是",'21.04.01'!$BB$4,'21.04.01'!$BB$3))</f>
        <v>0</v>
      </c>
      <c r="N46" s="4">
        <f>IF(ISNUMBER(SEARCH("营",'21.04.01'!V46)),(-$Y46+50*IF('21.04.01'!$AK46="是",'21.04.01'!$BB$4,'21.04.01'!$BB$3)),(VLOOKUP('21.04.01'!V46,'21.04.01'!$AO$4:$AQ$55,2,FALSE))*IF('21.04.01'!$AK46="是",'21.04.01'!$BB$4,'21.04.01'!$BB$3))</f>
        <v>0</v>
      </c>
      <c r="O46" s="4">
        <f>IF(ISNUMBER(SEARCH("营",'21.04.01'!W46)),(-$Y46+50*IF('21.04.01'!$AK46="是",'21.04.01'!$BB$4,'21.04.01'!$BB$3)),(VLOOKUP('21.04.01'!W46,'21.04.01'!$AO$4:$AQ$55,2,FALSE))*IF('21.04.01'!$AK46="是",'21.04.01'!$BB$4,'21.04.01'!$BB$3))</f>
        <v>0</v>
      </c>
      <c r="P46" s="4">
        <f>IF(ISNUMBER(SEARCH("营",'21.04.01'!X46)),(-$Y46+50*IF('21.04.01'!$AK46="是",'21.04.01'!$BB$4,'21.04.01'!$BB$3)),(VLOOKUP('21.04.01'!X46,'21.04.01'!$AO$4:$AQ$55,2,FALSE))*IF('21.04.01'!$AK46="是",'21.04.01'!$BB$4,'21.04.01'!$BB$3))</f>
        <v>0</v>
      </c>
      <c r="Q46" s="4">
        <f>IF(ISNUMBER(SEARCH("营",'21.04.01'!Y46)),(-$Y46+50*IF('21.04.01'!$AK46="是",'21.04.01'!$BB$4,'21.04.01'!$BB$3)),(VLOOKUP('21.04.01'!Y46,'21.04.01'!$AO$4:$AQ$55,2,FALSE))*IF('21.04.01'!$AK46="是",'21.04.01'!$BB$4,'21.04.01'!$BB$3))</f>
        <v>0</v>
      </c>
      <c r="R46" s="4">
        <f>IF(ISNUMBER(SEARCH("营",'21.04.01'!Z46)),(-$Y46+50*IF('21.04.01'!$AK46="是",'21.04.01'!$BB$4,'21.04.01'!$BB$3)),(VLOOKUP('21.04.01'!Z46,'21.04.01'!$AO$4:$AQ$55,2,FALSE))*IF('21.04.01'!$AK46="是",'21.04.01'!$BB$4,'21.04.01'!$BB$3))</f>
        <v>0</v>
      </c>
      <c r="S46" s="4">
        <f>IF(ISNUMBER(SEARCH("营",'21.04.01'!AA46)),(-$Y46+50*IF('21.04.01'!$AK46="是",'21.04.01'!$BB$4,'21.04.01'!$BB$3)),(VLOOKUP('21.04.01'!AA46,'21.04.01'!$AO$4:$AQ$55,2,FALSE))*IF('21.04.01'!$AK46="是",'21.04.01'!$BB$4,'21.04.01'!$BB$3))</f>
        <v>0</v>
      </c>
      <c r="T46" s="4">
        <f>IF(ISNUMBER(SEARCH("营",'21.04.01'!AB46)),(-$Y46+50*IF('21.04.01'!$AK46="是",'21.04.01'!$BB$4,'21.04.01'!$BB$3)),(VLOOKUP('21.04.01'!AB46,'21.04.01'!$AO$4:$AQ$55,2,FALSE))*IF('21.04.01'!$AK46="是",'21.04.01'!$BB$4,'21.04.01'!$BB$3))</f>
        <v>0</v>
      </c>
      <c r="U46" s="4">
        <f>IF(ISNUMBER(SEARCH("营",'21.04.01'!AC46)),(-$Y46+50*IF('21.04.01'!$AK46="是",'21.04.01'!$BB$4,'21.04.01'!$BB$3)),(VLOOKUP('21.04.01'!AC46,'21.04.01'!$AO$4:$AQ$55,2,FALSE))*IF('21.04.01'!$AK46="是",'21.04.01'!$BB$4,'21.04.01'!$BB$3))</f>
        <v>0</v>
      </c>
      <c r="V46" s="4">
        <f>IF(ISNUMBER(SEARCH("营",'21.04.01'!AD46)),(-$Y46+50*IF('21.04.01'!$AK46="是",'21.04.01'!$BB$4,'21.04.01'!$BB$3)),(VLOOKUP('21.04.01'!AD46,'21.04.01'!$AO$4:$AQ$55,2,FALSE))*IF('21.04.01'!$AK46="是",'21.04.01'!$BB$4,'21.04.01'!$BB$3))</f>
        <v>0</v>
      </c>
      <c r="W46" s="4">
        <f>IF(ISNUMBER(SEARCH("营",'21.04.01'!AE46)),(-$Y46+50*IF('21.04.01'!$AK46="是",'21.04.01'!$BB$4,'21.04.01'!$BB$3)),(VLOOKUP('21.04.01'!AE46,'21.04.01'!$AO$4:$AQ$55,2,FALSE))*IF('21.04.01'!$AK46="是",'21.04.01'!$BB$4,'21.04.01'!$BB$3))</f>
        <v>0</v>
      </c>
      <c r="X46" s="4">
        <f>IF(ISNUMBER(SEARCH("营",'21.04.01'!AF46)),(-$Y46+50*IF('21.04.01'!$AK46="是",'21.04.01'!$BB$4,'21.04.01'!$BB$3)),(VLOOKUP('21.04.01'!AF46,'21.04.01'!$AO$4:$AQ$55,2,FALSE))*IF('21.04.01'!$AK46="是",'21.04.01'!$BB$4,'21.04.01'!$BB$3))</f>
        <v>0</v>
      </c>
      <c r="Y46" s="64">
        <v>150</v>
      </c>
      <c r="Z46" s="87">
        <v>45954</v>
      </c>
    </row>
    <row r="47" spans="1:26">
      <c r="A47" s="4">
        <f>IF(ISNUMBER(SEARCH("营",'21.04.01'!I47)),(-$Y47+50*IF('21.04.01'!$AK47="是",'21.04.01'!$BB$4,'21.04.01'!$BB$3)),(VLOOKUP('21.04.01'!I47,'21.04.01'!$AO$4:$AQ$55,2,FALSE))*IF('21.04.01'!$AK47="是",'21.04.01'!$BB$4,'21.04.01'!$BB$3))</f>
        <v>152</v>
      </c>
      <c r="B47" s="4">
        <f>IF(ISNUMBER(SEARCH("营",'21.04.01'!J47)),(-$Y47+50*IF('21.04.01'!$AK47="是",'21.04.01'!$BB$4,'21.04.01'!$BB$3)),(VLOOKUP('21.04.01'!J47,'21.04.01'!$AO$4:$AQ$55,2,FALSE))*IF('21.04.01'!$AK47="是",'21.04.01'!$BB$4,'21.04.01'!$BB$3))</f>
        <v>40</v>
      </c>
      <c r="C47" s="4">
        <f>IF(ISNUMBER(SEARCH("营",'21.04.01'!K47)),(-$Y47+50*IF('21.04.01'!$AK47="是",'21.04.01'!$BB$4,'21.04.01'!$BB$3)),(VLOOKUP('21.04.01'!K47,'21.04.01'!$AO$4:$AQ$55,2,FALSE))*IF('21.04.01'!$AK47="是",'21.04.01'!$BB$4,'21.04.01'!$BB$3))</f>
        <v>152</v>
      </c>
      <c r="D47" s="4">
        <f>IF(ISNUMBER(SEARCH("营",'21.04.01'!L47)),(-$Y47+50*IF('21.04.01'!$AK47="是",'21.04.01'!$BB$4,'21.04.01'!$BB$3)),(VLOOKUP('21.04.01'!L47,'21.04.01'!$AO$4:$AQ$55,2,FALSE))*IF('21.04.01'!$AK47="是",'21.04.01'!$BB$4,'21.04.01'!$BB$3))</f>
        <v>152</v>
      </c>
      <c r="E47" s="4">
        <f>IF(ISNUMBER(SEARCH("营",'21.04.01'!M47)),(-$Y47+50*IF('21.04.01'!$AK47="是",'21.04.01'!$BB$4,'21.04.01'!$BB$3)),(VLOOKUP('21.04.01'!M47,'21.04.01'!$AO$4:$AQ$55,2,FALSE))*IF('21.04.01'!$AK47="是",'21.04.01'!$BB$4,'21.04.01'!$BB$3))</f>
        <v>152</v>
      </c>
      <c r="F47" s="4">
        <f>IF(ISNUMBER(SEARCH("营",'21.04.01'!N47)),(-$Y47+50*IF('21.04.01'!$AK47="是",'21.04.01'!$BB$4,'21.04.01'!$BB$3)),(VLOOKUP('21.04.01'!N47,'21.04.01'!$AO$4:$AQ$55,2,FALSE))*IF('21.04.01'!$AK47="是",'21.04.01'!$BB$4,'21.04.01'!$BB$3))</f>
        <v>160</v>
      </c>
      <c r="G47" s="4">
        <f>IF(ISNUMBER(SEARCH("营",'21.04.01'!O47)),(-$Y47+50*IF('21.04.01'!$AK47="是",'21.04.01'!$BB$4,'21.04.01'!$BB$3)),(VLOOKUP('21.04.01'!O47,'21.04.01'!$AO$4:$AQ$55,2,FALSE))*IF('21.04.01'!$AK47="是",'21.04.01'!$BB$4,'21.04.01'!$BB$3))</f>
        <v>0</v>
      </c>
      <c r="H47" s="4">
        <f>IF(ISNUMBER(SEARCH("营",'21.04.01'!P47)),(-$Y47+50*IF('21.04.01'!$AK47="是",'21.04.01'!$BB$4,'21.04.01'!$BB$3)),(VLOOKUP('21.04.01'!P47,'21.04.01'!$AO$4:$AQ$55,2,FALSE))*IF('21.04.01'!$AK47="是",'21.04.01'!$BB$4,'21.04.01'!$BB$3))</f>
        <v>0</v>
      </c>
      <c r="I47" s="4">
        <f>IF(ISNUMBER(SEARCH("营",'21.04.01'!Q47)),(-$Y47+50*IF('21.04.01'!$AK47="是",'21.04.01'!$BB$4,'21.04.01'!$BB$3)),(VLOOKUP('21.04.01'!Q47,'21.04.01'!$AO$4:$AQ$55,2,FALSE))*IF('21.04.01'!$AK47="是",'21.04.01'!$BB$4,'21.04.01'!$BB$3))</f>
        <v>0</v>
      </c>
      <c r="J47" s="4">
        <f>IF(ISNUMBER(SEARCH("营",'21.04.01'!R47)),(-$Y47+50*IF('21.04.01'!$AK47="是",'21.04.01'!$BB$4,'21.04.01'!$BB$3)),(VLOOKUP('21.04.01'!R47,'21.04.01'!$AO$4:$AQ$55,2,FALSE))*IF('21.04.01'!$AK47="是",'21.04.01'!$BB$4,'21.04.01'!$BB$3))</f>
        <v>0</v>
      </c>
      <c r="K47" s="4">
        <f>IF(ISNUMBER(SEARCH("营",'21.04.01'!S47)),(-$Y47+50*IF('21.04.01'!$AK47="是",'21.04.01'!$BB$4,'21.04.01'!$BB$3)),(VLOOKUP('21.04.01'!S47,'21.04.01'!$AO$4:$AQ$55,2,FALSE))*IF('21.04.01'!$AK47="是",'21.04.01'!$BB$4,'21.04.01'!$BB$3))</f>
        <v>0</v>
      </c>
      <c r="L47" s="4">
        <f>IF(ISNUMBER(SEARCH("营",'21.04.01'!T47)),(-$Y47+50*IF('21.04.01'!$AK47="是",'21.04.01'!$BB$4,'21.04.01'!$BB$3)),(VLOOKUP('21.04.01'!T47,'21.04.01'!$AO$4:$AQ$55,2,FALSE))*IF('21.04.01'!$AK47="是",'21.04.01'!$BB$4,'21.04.01'!$BB$3))</f>
        <v>0</v>
      </c>
      <c r="M47" s="4">
        <f>IF(ISNUMBER(SEARCH("营",'21.04.01'!U47)),(-$Y47+50*IF('21.04.01'!$AK47="是",'21.04.01'!$BB$4,'21.04.01'!$BB$3)),(VLOOKUP('21.04.01'!U47,'21.04.01'!$AO$4:$AQ$55,2,FALSE))*IF('21.04.01'!$AK47="是",'21.04.01'!$BB$4,'21.04.01'!$BB$3))</f>
        <v>0</v>
      </c>
      <c r="N47" s="4">
        <f>IF(ISNUMBER(SEARCH("营",'21.04.01'!V47)),(-$Y47+50*IF('21.04.01'!$AK47="是",'21.04.01'!$BB$4,'21.04.01'!$BB$3)),(VLOOKUP('21.04.01'!V47,'21.04.01'!$AO$4:$AQ$55,2,FALSE))*IF('21.04.01'!$AK47="是",'21.04.01'!$BB$4,'21.04.01'!$BB$3))</f>
        <v>0</v>
      </c>
      <c r="O47" s="4">
        <f>IF(ISNUMBER(SEARCH("营",'21.04.01'!W47)),(-$Y47+50*IF('21.04.01'!$AK47="是",'21.04.01'!$BB$4,'21.04.01'!$BB$3)),(VLOOKUP('21.04.01'!W47,'21.04.01'!$AO$4:$AQ$55,2,FALSE))*IF('21.04.01'!$AK47="是",'21.04.01'!$BB$4,'21.04.01'!$BB$3))</f>
        <v>0</v>
      </c>
      <c r="P47" s="4">
        <f>IF(ISNUMBER(SEARCH("营",'21.04.01'!X47)),(-$Y47+50*IF('21.04.01'!$AK47="是",'21.04.01'!$BB$4,'21.04.01'!$BB$3)),(VLOOKUP('21.04.01'!X47,'21.04.01'!$AO$4:$AQ$55,2,FALSE))*IF('21.04.01'!$AK47="是",'21.04.01'!$BB$4,'21.04.01'!$BB$3))</f>
        <v>0</v>
      </c>
      <c r="Q47" s="4">
        <f>IF(ISNUMBER(SEARCH("营",'21.04.01'!Y47)),(-$Y47+50*IF('21.04.01'!$AK47="是",'21.04.01'!$BB$4,'21.04.01'!$BB$3)),(VLOOKUP('21.04.01'!Y47,'21.04.01'!$AO$4:$AQ$55,2,FALSE))*IF('21.04.01'!$AK47="是",'21.04.01'!$BB$4,'21.04.01'!$BB$3))</f>
        <v>0</v>
      </c>
      <c r="R47" s="4">
        <f>IF(ISNUMBER(SEARCH("营",'21.04.01'!Z47)),(-$Y47+50*IF('21.04.01'!$AK47="是",'21.04.01'!$BB$4,'21.04.01'!$BB$3)),(VLOOKUP('21.04.01'!Z47,'21.04.01'!$AO$4:$AQ$55,2,FALSE))*IF('21.04.01'!$AK47="是",'21.04.01'!$BB$4,'21.04.01'!$BB$3))</f>
        <v>0</v>
      </c>
      <c r="S47" s="4">
        <f>IF(ISNUMBER(SEARCH("营",'21.04.01'!AA47)),(-$Y47+50*IF('21.04.01'!$AK47="是",'21.04.01'!$BB$4,'21.04.01'!$BB$3)),(VLOOKUP('21.04.01'!AA47,'21.04.01'!$AO$4:$AQ$55,2,FALSE))*IF('21.04.01'!$AK47="是",'21.04.01'!$BB$4,'21.04.01'!$BB$3))</f>
        <v>0</v>
      </c>
      <c r="T47" s="4">
        <f>IF(ISNUMBER(SEARCH("营",'21.04.01'!AB47)),(-$Y47+50*IF('21.04.01'!$AK47="是",'21.04.01'!$BB$4,'21.04.01'!$BB$3)),(VLOOKUP('21.04.01'!AB47,'21.04.01'!$AO$4:$AQ$55,2,FALSE))*IF('21.04.01'!$AK47="是",'21.04.01'!$BB$4,'21.04.01'!$BB$3))</f>
        <v>0</v>
      </c>
      <c r="U47" s="4">
        <f>IF(ISNUMBER(SEARCH("营",'21.04.01'!AC47)),(-$Y47+50*IF('21.04.01'!$AK47="是",'21.04.01'!$BB$4,'21.04.01'!$BB$3)),(VLOOKUP('21.04.01'!AC47,'21.04.01'!$AO$4:$AQ$55,2,FALSE))*IF('21.04.01'!$AK47="是",'21.04.01'!$BB$4,'21.04.01'!$BB$3))</f>
        <v>0</v>
      </c>
      <c r="V47" s="4">
        <f>IF(ISNUMBER(SEARCH("营",'21.04.01'!AD47)),(-$Y47+50*IF('21.04.01'!$AK47="是",'21.04.01'!$BB$4,'21.04.01'!$BB$3)),(VLOOKUP('21.04.01'!AD47,'21.04.01'!$AO$4:$AQ$55,2,FALSE))*IF('21.04.01'!$AK47="是",'21.04.01'!$BB$4,'21.04.01'!$BB$3))</f>
        <v>0</v>
      </c>
      <c r="W47" s="4">
        <f>IF(ISNUMBER(SEARCH("营",'21.04.01'!AE47)),(-$Y47+50*IF('21.04.01'!$AK47="是",'21.04.01'!$BB$4,'21.04.01'!$BB$3)),(VLOOKUP('21.04.01'!AE47,'21.04.01'!$AO$4:$AQ$55,2,FALSE))*IF('21.04.01'!$AK47="是",'21.04.01'!$BB$4,'21.04.01'!$BB$3))</f>
        <v>0</v>
      </c>
      <c r="X47" s="4">
        <f>IF(ISNUMBER(SEARCH("营",'21.04.01'!AF47)),(-$Y47+50*IF('21.04.01'!$AK47="是",'21.04.01'!$BB$4,'21.04.01'!$BB$3)),(VLOOKUP('21.04.01'!AF47,'21.04.01'!$AO$4:$AQ$55,2,FALSE))*IF('21.04.01'!$AK47="是",'21.04.01'!$BB$4,'21.04.01'!$BB$3))</f>
        <v>0</v>
      </c>
      <c r="Y47" s="64">
        <v>150</v>
      </c>
      <c r="Z47" s="87">
        <v>45955</v>
      </c>
    </row>
    <row r="48" spans="1:26">
      <c r="A48" s="4">
        <f>IF(ISNUMBER(SEARCH("营",'21.04.01'!I48)),(-$Y48+50*IF('21.04.01'!$AK48="是",'21.04.01'!$BB$4,'21.04.01'!$BB$3)),(VLOOKUP('21.04.01'!I48,'21.04.01'!$AO$4:$AQ$55,2,FALSE))*IF('21.04.01'!$AK48="是",'21.04.01'!$BB$4,'21.04.01'!$BB$3))</f>
        <v>152</v>
      </c>
      <c r="B48" s="4">
        <f>IF(ISNUMBER(SEARCH("营",'21.04.01'!J48)),(-$Y48+50*IF('21.04.01'!$AK48="是",'21.04.01'!$BB$4,'21.04.01'!$BB$3)),(VLOOKUP('21.04.01'!J48,'21.04.01'!$AO$4:$AQ$55,2,FALSE))*IF('21.04.01'!$AK48="是",'21.04.01'!$BB$4,'21.04.01'!$BB$3))</f>
        <v>152</v>
      </c>
      <c r="C48" s="4">
        <f>IF(ISNUMBER(SEARCH("营",'21.04.01'!K48)),(-$Y48+50*IF('21.04.01'!$AK48="是",'21.04.01'!$BB$4,'21.04.01'!$BB$3)),(VLOOKUP('21.04.01'!K48,'21.04.01'!$AO$4:$AQ$55,2,FALSE))*IF('21.04.01'!$AK48="是",'21.04.01'!$BB$4,'21.04.01'!$BB$3))</f>
        <v>152</v>
      </c>
      <c r="D48" s="4">
        <f>IF(ISNUMBER(SEARCH("营",'21.04.01'!L48)),(-$Y48+50*IF('21.04.01'!$AK48="是",'21.04.01'!$BB$4,'21.04.01'!$BB$3)),(VLOOKUP('21.04.01'!L48,'21.04.01'!$AO$4:$AQ$55,2,FALSE))*IF('21.04.01'!$AK48="是",'21.04.01'!$BB$4,'21.04.01'!$BB$3))</f>
        <v>152</v>
      </c>
      <c r="E48" s="4">
        <f>IF(ISNUMBER(SEARCH("营",'21.04.01'!M48)),(-$Y48+50*IF('21.04.01'!$AK48="是",'21.04.01'!$BB$4,'21.04.01'!$BB$3)),(VLOOKUP('21.04.01'!M48,'21.04.01'!$AO$4:$AQ$55,2,FALSE))*IF('21.04.01'!$AK48="是",'21.04.01'!$BB$4,'21.04.01'!$BB$3))</f>
        <v>152</v>
      </c>
      <c r="F48" s="4">
        <f>IF(ISNUMBER(SEARCH("营",'21.04.01'!N48)),(-$Y48+50*IF('21.04.01'!$AK48="是",'21.04.01'!$BB$4,'21.04.01'!$BB$3)),(VLOOKUP('21.04.01'!N48,'21.04.01'!$AO$4:$AQ$55,2,FALSE))*IF('21.04.01'!$AK48="是",'21.04.01'!$BB$4,'21.04.01'!$BB$3))</f>
        <v>152</v>
      </c>
      <c r="G48" s="4">
        <f>IF(ISNUMBER(SEARCH("营",'21.04.01'!O48)),(-$Y48+50*IF('21.04.01'!$AK48="是",'21.04.01'!$BB$4,'21.04.01'!$BB$3)),(VLOOKUP('21.04.01'!O48,'21.04.01'!$AO$4:$AQ$55,2,FALSE))*IF('21.04.01'!$AK48="是",'21.04.01'!$BB$4,'21.04.01'!$BB$3))</f>
        <v>0</v>
      </c>
      <c r="H48" s="4">
        <f>IF(ISNUMBER(SEARCH("营",'21.04.01'!P48)),(-$Y48+50*IF('21.04.01'!$AK48="是",'21.04.01'!$BB$4,'21.04.01'!$BB$3)),(VLOOKUP('21.04.01'!P48,'21.04.01'!$AO$4:$AQ$55,2,FALSE))*IF('21.04.01'!$AK48="是",'21.04.01'!$BB$4,'21.04.01'!$BB$3))</f>
        <v>0</v>
      </c>
      <c r="I48" s="4">
        <f>IF(ISNUMBER(SEARCH("营",'21.04.01'!Q48)),(-$Y48+50*IF('21.04.01'!$AK48="是",'21.04.01'!$BB$4,'21.04.01'!$BB$3)),(VLOOKUP('21.04.01'!Q48,'21.04.01'!$AO$4:$AQ$55,2,FALSE))*IF('21.04.01'!$AK48="是",'21.04.01'!$BB$4,'21.04.01'!$BB$3))</f>
        <v>0</v>
      </c>
      <c r="J48" s="4">
        <f>IF(ISNUMBER(SEARCH("营",'21.04.01'!R48)),(-$Y48+50*IF('21.04.01'!$AK48="是",'21.04.01'!$BB$4,'21.04.01'!$BB$3)),(VLOOKUP('21.04.01'!R48,'21.04.01'!$AO$4:$AQ$55,2,FALSE))*IF('21.04.01'!$AK48="是",'21.04.01'!$BB$4,'21.04.01'!$BB$3))</f>
        <v>0</v>
      </c>
      <c r="K48" s="4">
        <f>IF(ISNUMBER(SEARCH("营",'21.04.01'!S48)),(-$Y48+50*IF('21.04.01'!$AK48="是",'21.04.01'!$BB$4,'21.04.01'!$BB$3)),(VLOOKUP('21.04.01'!S48,'21.04.01'!$AO$4:$AQ$55,2,FALSE))*IF('21.04.01'!$AK48="是",'21.04.01'!$BB$4,'21.04.01'!$BB$3))</f>
        <v>0</v>
      </c>
      <c r="L48" s="4">
        <f>IF(ISNUMBER(SEARCH("营",'21.04.01'!T48)),(-$Y48+50*IF('21.04.01'!$AK48="是",'21.04.01'!$BB$4,'21.04.01'!$BB$3)),(VLOOKUP('21.04.01'!T48,'21.04.01'!$AO$4:$AQ$55,2,FALSE))*IF('21.04.01'!$AK48="是",'21.04.01'!$BB$4,'21.04.01'!$BB$3))</f>
        <v>0</v>
      </c>
      <c r="M48" s="4">
        <f>IF(ISNUMBER(SEARCH("营",'21.04.01'!U48)),(-$Y48+50*IF('21.04.01'!$AK48="是",'21.04.01'!$BB$4,'21.04.01'!$BB$3)),(VLOOKUP('21.04.01'!U48,'21.04.01'!$AO$4:$AQ$55,2,FALSE))*IF('21.04.01'!$AK48="是",'21.04.01'!$BB$4,'21.04.01'!$BB$3))</f>
        <v>0</v>
      </c>
      <c r="N48" s="4">
        <f>IF(ISNUMBER(SEARCH("营",'21.04.01'!V48)),(-$Y48+50*IF('21.04.01'!$AK48="是",'21.04.01'!$BB$4,'21.04.01'!$BB$3)),(VLOOKUP('21.04.01'!V48,'21.04.01'!$AO$4:$AQ$55,2,FALSE))*IF('21.04.01'!$AK48="是",'21.04.01'!$BB$4,'21.04.01'!$BB$3))</f>
        <v>0</v>
      </c>
      <c r="O48" s="4">
        <f>IF(ISNUMBER(SEARCH("营",'21.04.01'!W48)),(-$Y48+50*IF('21.04.01'!$AK48="是",'21.04.01'!$BB$4,'21.04.01'!$BB$3)),(VLOOKUP('21.04.01'!W48,'21.04.01'!$AO$4:$AQ$55,2,FALSE))*IF('21.04.01'!$AK48="是",'21.04.01'!$BB$4,'21.04.01'!$BB$3))</f>
        <v>0</v>
      </c>
      <c r="P48" s="4">
        <f>IF(ISNUMBER(SEARCH("营",'21.04.01'!X48)),(-$Y48+50*IF('21.04.01'!$AK48="是",'21.04.01'!$BB$4,'21.04.01'!$BB$3)),(VLOOKUP('21.04.01'!X48,'21.04.01'!$AO$4:$AQ$55,2,FALSE))*IF('21.04.01'!$AK48="是",'21.04.01'!$BB$4,'21.04.01'!$BB$3))</f>
        <v>0</v>
      </c>
      <c r="Q48" s="4">
        <f>IF(ISNUMBER(SEARCH("营",'21.04.01'!Y48)),(-$Y48+50*IF('21.04.01'!$AK48="是",'21.04.01'!$BB$4,'21.04.01'!$BB$3)),(VLOOKUP('21.04.01'!Y48,'21.04.01'!$AO$4:$AQ$55,2,FALSE))*IF('21.04.01'!$AK48="是",'21.04.01'!$BB$4,'21.04.01'!$BB$3))</f>
        <v>0</v>
      </c>
      <c r="R48" s="4">
        <f>IF(ISNUMBER(SEARCH("营",'21.04.01'!Z48)),(-$Y48+50*IF('21.04.01'!$AK48="是",'21.04.01'!$BB$4,'21.04.01'!$BB$3)),(VLOOKUP('21.04.01'!Z48,'21.04.01'!$AO$4:$AQ$55,2,FALSE))*IF('21.04.01'!$AK48="是",'21.04.01'!$BB$4,'21.04.01'!$BB$3))</f>
        <v>0</v>
      </c>
      <c r="S48" s="4">
        <f>IF(ISNUMBER(SEARCH("营",'21.04.01'!AA48)),(-$Y48+50*IF('21.04.01'!$AK48="是",'21.04.01'!$BB$4,'21.04.01'!$BB$3)),(VLOOKUP('21.04.01'!AA48,'21.04.01'!$AO$4:$AQ$55,2,FALSE))*IF('21.04.01'!$AK48="是",'21.04.01'!$BB$4,'21.04.01'!$BB$3))</f>
        <v>0</v>
      </c>
      <c r="T48" s="4">
        <f>IF(ISNUMBER(SEARCH("营",'21.04.01'!AB48)),(-$Y48+50*IF('21.04.01'!$AK48="是",'21.04.01'!$BB$4,'21.04.01'!$BB$3)),(VLOOKUP('21.04.01'!AB48,'21.04.01'!$AO$4:$AQ$55,2,FALSE))*IF('21.04.01'!$AK48="是",'21.04.01'!$BB$4,'21.04.01'!$BB$3))</f>
        <v>0</v>
      </c>
      <c r="U48" s="4">
        <f>IF(ISNUMBER(SEARCH("营",'21.04.01'!AC48)),(-$Y48+50*IF('21.04.01'!$AK48="是",'21.04.01'!$BB$4,'21.04.01'!$BB$3)),(VLOOKUP('21.04.01'!AC48,'21.04.01'!$AO$4:$AQ$55,2,FALSE))*IF('21.04.01'!$AK48="是",'21.04.01'!$BB$4,'21.04.01'!$BB$3))</f>
        <v>0</v>
      </c>
      <c r="V48" s="4">
        <f>IF(ISNUMBER(SEARCH("营",'21.04.01'!AD48)),(-$Y48+50*IF('21.04.01'!$AK48="是",'21.04.01'!$BB$4,'21.04.01'!$BB$3)),(VLOOKUP('21.04.01'!AD48,'21.04.01'!$AO$4:$AQ$55,2,FALSE))*IF('21.04.01'!$AK48="是",'21.04.01'!$BB$4,'21.04.01'!$BB$3))</f>
        <v>0</v>
      </c>
      <c r="W48" s="4">
        <f>IF(ISNUMBER(SEARCH("营",'21.04.01'!AE48)),(-$Y48+50*IF('21.04.01'!$AK48="是",'21.04.01'!$BB$4,'21.04.01'!$BB$3)),(VLOOKUP('21.04.01'!AE48,'21.04.01'!$AO$4:$AQ$55,2,FALSE))*IF('21.04.01'!$AK48="是",'21.04.01'!$BB$4,'21.04.01'!$BB$3))</f>
        <v>0</v>
      </c>
      <c r="X48" s="4">
        <f>IF(ISNUMBER(SEARCH("营",'21.04.01'!AF48)),(-$Y48+50*IF('21.04.01'!$AK48="是",'21.04.01'!$BB$4,'21.04.01'!$BB$3)),(VLOOKUP('21.04.01'!AF48,'21.04.01'!$AO$4:$AQ$55,2,FALSE))*IF('21.04.01'!$AK48="是",'21.04.01'!$BB$4,'21.04.01'!$BB$3))</f>
        <v>0</v>
      </c>
      <c r="Y48" s="64">
        <v>150</v>
      </c>
      <c r="Z48" s="87">
        <v>45956</v>
      </c>
    </row>
    <row r="49" spans="1:26">
      <c r="A49" s="4">
        <f>IF(ISNUMBER(SEARCH("营",'21.04.01'!I49)),(-$Y49+50*IF('21.04.01'!$AK49="是",'21.04.01'!$BB$4,'21.04.01'!$BB$3)),(VLOOKUP('21.04.01'!I49,'21.04.01'!$AO$4:$AQ$55,2,FALSE))*IF('21.04.01'!$AK49="是",'21.04.01'!$BB$4,'21.04.01'!$BB$3))</f>
        <v>152</v>
      </c>
      <c r="B49" s="4">
        <f>IF(ISNUMBER(SEARCH("营",'21.04.01'!J49)),(-$Y49+50*IF('21.04.01'!$AK49="是",'21.04.01'!$BB$4,'21.04.01'!$BB$3)),(VLOOKUP('21.04.01'!J49,'21.04.01'!$AO$4:$AQ$55,2,FALSE))*IF('21.04.01'!$AK49="是",'21.04.01'!$BB$4,'21.04.01'!$BB$3))</f>
        <v>152</v>
      </c>
      <c r="C49" s="4">
        <f>IF(ISNUMBER(SEARCH("营",'21.04.01'!K49)),(-$Y49+50*IF('21.04.01'!$AK49="是",'21.04.01'!$BB$4,'21.04.01'!$BB$3)),(VLOOKUP('21.04.01'!K49,'21.04.01'!$AO$4:$AQ$55,2,FALSE))*IF('21.04.01'!$AK49="是",'21.04.01'!$BB$4,'21.04.01'!$BB$3))</f>
        <v>40</v>
      </c>
      <c r="D49" s="4">
        <f>IF(ISNUMBER(SEARCH("营",'21.04.01'!L49)),(-$Y49+50*IF('21.04.01'!$AK49="是",'21.04.01'!$BB$4,'21.04.01'!$BB$3)),(VLOOKUP('21.04.01'!L49,'21.04.01'!$AO$4:$AQ$55,2,FALSE))*IF('21.04.01'!$AK49="是",'21.04.01'!$BB$4,'21.04.01'!$BB$3))</f>
        <v>152</v>
      </c>
      <c r="E49" s="4">
        <f>IF(ISNUMBER(SEARCH("营",'21.04.01'!M49)),(-$Y49+50*IF('21.04.01'!$AK49="是",'21.04.01'!$BB$4,'21.04.01'!$BB$3)),(VLOOKUP('21.04.01'!M49,'21.04.01'!$AO$4:$AQ$55,2,FALSE))*IF('21.04.01'!$AK49="是",'21.04.01'!$BB$4,'21.04.01'!$BB$3))</f>
        <v>152</v>
      </c>
      <c r="F49" s="4">
        <f>IF(ISNUMBER(SEARCH("营",'21.04.01'!N49)),(-$Y49+50*IF('21.04.01'!$AK49="是",'21.04.01'!$BB$4,'21.04.01'!$BB$3)),(VLOOKUP('21.04.01'!N49,'21.04.01'!$AO$4:$AQ$55,2,FALSE))*IF('21.04.01'!$AK49="是",'21.04.01'!$BB$4,'21.04.01'!$BB$3))</f>
        <v>152</v>
      </c>
      <c r="G49" s="4">
        <f>IF(ISNUMBER(SEARCH("营",'21.04.01'!O49)),(-$Y49+50*IF('21.04.01'!$AK49="是",'21.04.01'!$BB$4,'21.04.01'!$BB$3)),(VLOOKUP('21.04.01'!O49,'21.04.01'!$AO$4:$AQ$55,2,FALSE))*IF('21.04.01'!$AK49="是",'21.04.01'!$BB$4,'21.04.01'!$BB$3))</f>
        <v>160</v>
      </c>
      <c r="H49" s="4">
        <f>IF(ISNUMBER(SEARCH("营",'21.04.01'!P49)),(-$Y49+50*IF('21.04.01'!$AK49="是",'21.04.01'!$BB$4,'21.04.01'!$BB$3)),(VLOOKUP('21.04.01'!P49,'21.04.01'!$AO$4:$AQ$55,2,FALSE))*IF('21.04.01'!$AK49="是",'21.04.01'!$BB$4,'21.04.01'!$BB$3))</f>
        <v>0</v>
      </c>
      <c r="I49" s="4">
        <f>IF(ISNUMBER(SEARCH("营",'21.04.01'!Q49)),(-$Y49+50*IF('21.04.01'!$AK49="是",'21.04.01'!$BB$4,'21.04.01'!$BB$3)),(VLOOKUP('21.04.01'!Q49,'21.04.01'!$AO$4:$AQ$55,2,FALSE))*IF('21.04.01'!$AK49="是",'21.04.01'!$BB$4,'21.04.01'!$BB$3))</f>
        <v>0</v>
      </c>
      <c r="J49" s="4">
        <f>IF(ISNUMBER(SEARCH("营",'21.04.01'!R49)),(-$Y49+50*IF('21.04.01'!$AK49="是",'21.04.01'!$BB$4,'21.04.01'!$BB$3)),(VLOOKUP('21.04.01'!R49,'21.04.01'!$AO$4:$AQ$55,2,FALSE))*IF('21.04.01'!$AK49="是",'21.04.01'!$BB$4,'21.04.01'!$BB$3))</f>
        <v>0</v>
      </c>
      <c r="K49" s="4">
        <f>IF(ISNUMBER(SEARCH("营",'21.04.01'!S49)),(-$Y49+50*IF('21.04.01'!$AK49="是",'21.04.01'!$BB$4,'21.04.01'!$BB$3)),(VLOOKUP('21.04.01'!S49,'21.04.01'!$AO$4:$AQ$55,2,FALSE))*IF('21.04.01'!$AK49="是",'21.04.01'!$BB$4,'21.04.01'!$BB$3))</f>
        <v>0</v>
      </c>
      <c r="L49" s="4">
        <f>IF(ISNUMBER(SEARCH("营",'21.04.01'!T49)),(-$Y49+50*IF('21.04.01'!$AK49="是",'21.04.01'!$BB$4,'21.04.01'!$BB$3)),(VLOOKUP('21.04.01'!T49,'21.04.01'!$AO$4:$AQ$55,2,FALSE))*IF('21.04.01'!$AK49="是",'21.04.01'!$BB$4,'21.04.01'!$BB$3))</f>
        <v>0</v>
      </c>
      <c r="M49" s="4">
        <f>IF(ISNUMBER(SEARCH("营",'21.04.01'!U49)),(-$Y49+50*IF('21.04.01'!$AK49="是",'21.04.01'!$BB$4,'21.04.01'!$BB$3)),(VLOOKUP('21.04.01'!U49,'21.04.01'!$AO$4:$AQ$55,2,FALSE))*IF('21.04.01'!$AK49="是",'21.04.01'!$BB$4,'21.04.01'!$BB$3))</f>
        <v>0</v>
      </c>
      <c r="N49" s="4">
        <f>IF(ISNUMBER(SEARCH("营",'21.04.01'!V49)),(-$Y49+50*IF('21.04.01'!$AK49="是",'21.04.01'!$BB$4,'21.04.01'!$BB$3)),(VLOOKUP('21.04.01'!V49,'21.04.01'!$AO$4:$AQ$55,2,FALSE))*IF('21.04.01'!$AK49="是",'21.04.01'!$BB$4,'21.04.01'!$BB$3))</f>
        <v>0</v>
      </c>
      <c r="O49" s="4">
        <f>IF(ISNUMBER(SEARCH("营",'21.04.01'!W49)),(-$Y49+50*IF('21.04.01'!$AK49="是",'21.04.01'!$BB$4,'21.04.01'!$BB$3)),(VLOOKUP('21.04.01'!W49,'21.04.01'!$AO$4:$AQ$55,2,FALSE))*IF('21.04.01'!$AK49="是",'21.04.01'!$BB$4,'21.04.01'!$BB$3))</f>
        <v>0</v>
      </c>
      <c r="P49" s="4">
        <f>IF(ISNUMBER(SEARCH("营",'21.04.01'!X49)),(-$Y49+50*IF('21.04.01'!$AK49="是",'21.04.01'!$BB$4,'21.04.01'!$BB$3)),(VLOOKUP('21.04.01'!X49,'21.04.01'!$AO$4:$AQ$55,2,FALSE))*IF('21.04.01'!$AK49="是",'21.04.01'!$BB$4,'21.04.01'!$BB$3))</f>
        <v>0</v>
      </c>
      <c r="Q49" s="4">
        <f>IF(ISNUMBER(SEARCH("营",'21.04.01'!Y49)),(-$Y49+50*IF('21.04.01'!$AK49="是",'21.04.01'!$BB$4,'21.04.01'!$BB$3)),(VLOOKUP('21.04.01'!Y49,'21.04.01'!$AO$4:$AQ$55,2,FALSE))*IF('21.04.01'!$AK49="是",'21.04.01'!$BB$4,'21.04.01'!$BB$3))</f>
        <v>0</v>
      </c>
      <c r="R49" s="4">
        <f>IF(ISNUMBER(SEARCH("营",'21.04.01'!Z49)),(-$Y49+50*IF('21.04.01'!$AK49="是",'21.04.01'!$BB$4,'21.04.01'!$BB$3)),(VLOOKUP('21.04.01'!Z49,'21.04.01'!$AO$4:$AQ$55,2,FALSE))*IF('21.04.01'!$AK49="是",'21.04.01'!$BB$4,'21.04.01'!$BB$3))</f>
        <v>0</v>
      </c>
      <c r="S49" s="4">
        <f>IF(ISNUMBER(SEARCH("营",'21.04.01'!AA49)),(-$Y49+50*IF('21.04.01'!$AK49="是",'21.04.01'!$BB$4,'21.04.01'!$BB$3)),(VLOOKUP('21.04.01'!AA49,'21.04.01'!$AO$4:$AQ$55,2,FALSE))*IF('21.04.01'!$AK49="是",'21.04.01'!$BB$4,'21.04.01'!$BB$3))</f>
        <v>0</v>
      </c>
      <c r="T49" s="4">
        <f>IF(ISNUMBER(SEARCH("营",'21.04.01'!AB49)),(-$Y49+50*IF('21.04.01'!$AK49="是",'21.04.01'!$BB$4,'21.04.01'!$BB$3)),(VLOOKUP('21.04.01'!AB49,'21.04.01'!$AO$4:$AQ$55,2,FALSE))*IF('21.04.01'!$AK49="是",'21.04.01'!$BB$4,'21.04.01'!$BB$3))</f>
        <v>0</v>
      </c>
      <c r="U49" s="4">
        <f>IF(ISNUMBER(SEARCH("营",'21.04.01'!AC49)),(-$Y49+50*IF('21.04.01'!$AK49="是",'21.04.01'!$BB$4,'21.04.01'!$BB$3)),(VLOOKUP('21.04.01'!AC49,'21.04.01'!$AO$4:$AQ$55,2,FALSE))*IF('21.04.01'!$AK49="是",'21.04.01'!$BB$4,'21.04.01'!$BB$3))</f>
        <v>0</v>
      </c>
      <c r="V49" s="4">
        <f>IF(ISNUMBER(SEARCH("营",'21.04.01'!AD49)),(-$Y49+50*IF('21.04.01'!$AK49="是",'21.04.01'!$BB$4,'21.04.01'!$BB$3)),(VLOOKUP('21.04.01'!AD49,'21.04.01'!$AO$4:$AQ$55,2,FALSE))*IF('21.04.01'!$AK49="是",'21.04.01'!$BB$4,'21.04.01'!$BB$3))</f>
        <v>0</v>
      </c>
      <c r="W49" s="4">
        <f>IF(ISNUMBER(SEARCH("营",'21.04.01'!AE49)),(-$Y49+50*IF('21.04.01'!$AK49="是",'21.04.01'!$BB$4,'21.04.01'!$BB$3)),(VLOOKUP('21.04.01'!AE49,'21.04.01'!$AO$4:$AQ$55,2,FALSE))*IF('21.04.01'!$AK49="是",'21.04.01'!$BB$4,'21.04.01'!$BB$3))</f>
        <v>0</v>
      </c>
      <c r="X49" s="4">
        <f>IF(ISNUMBER(SEARCH("营",'21.04.01'!AF49)),(-$Y49+50*IF('21.04.01'!$AK49="是",'21.04.01'!$BB$4,'21.04.01'!$BB$3)),(VLOOKUP('21.04.01'!AF49,'21.04.01'!$AO$4:$AQ$55,2,FALSE))*IF('21.04.01'!$AK49="是",'21.04.01'!$BB$4,'21.04.01'!$BB$3))</f>
        <v>0</v>
      </c>
      <c r="Y49" s="64">
        <v>150</v>
      </c>
      <c r="Z49" s="87">
        <v>45957</v>
      </c>
    </row>
    <row r="50" spans="1:26">
      <c r="A50" s="4">
        <f>IF(ISNUMBER(SEARCH("营",'21.04.01'!I50)),(-$Y50+50*IF('21.04.01'!$AK50="是",'21.04.01'!$BB$4,'21.04.01'!$BB$3)),(VLOOKUP('21.04.01'!I50,'21.04.01'!$AO$4:$AQ$55,2,FALSE))*IF('21.04.01'!$AK50="是",'21.04.01'!$BB$4,'21.04.01'!$BB$3))</f>
        <v>0</v>
      </c>
      <c r="B50" s="4">
        <f>IF(ISNUMBER(SEARCH("营",'21.04.01'!J50)),(-$Y50+50*IF('21.04.01'!$AK50="是",'21.04.01'!$BB$4,'21.04.01'!$BB$3)),(VLOOKUP('21.04.01'!J50,'21.04.01'!$AO$4:$AQ$55,2,FALSE))*IF('21.04.01'!$AK50="是",'21.04.01'!$BB$4,'21.04.01'!$BB$3))</f>
        <v>0</v>
      </c>
      <c r="C50" s="4">
        <f>IF(ISNUMBER(SEARCH("营",'21.04.01'!K50)),(-$Y50+50*IF('21.04.01'!$AK50="是",'21.04.01'!$BB$4,'21.04.01'!$BB$3)),(VLOOKUP('21.04.01'!K50,'21.04.01'!$AO$4:$AQ$55,2,FALSE))*IF('21.04.01'!$AK50="是",'21.04.01'!$BB$4,'21.04.01'!$BB$3))</f>
        <v>0</v>
      </c>
      <c r="D50" s="4">
        <f>IF(ISNUMBER(SEARCH("营",'21.04.01'!L50)),(-$Y50+50*IF('21.04.01'!$AK50="是",'21.04.01'!$BB$4,'21.04.01'!$BB$3)),(VLOOKUP('21.04.01'!L50,'21.04.01'!$AO$4:$AQ$55,2,FALSE))*IF('21.04.01'!$AK50="是",'21.04.01'!$BB$4,'21.04.01'!$BB$3))</f>
        <v>0</v>
      </c>
      <c r="E50" s="4">
        <f>IF(ISNUMBER(SEARCH("营",'21.04.01'!M50)),(-$Y50+50*IF('21.04.01'!$AK50="是",'21.04.01'!$BB$4,'21.04.01'!$BB$3)),(VLOOKUP('21.04.01'!M50,'21.04.01'!$AO$4:$AQ$55,2,FALSE))*IF('21.04.01'!$AK50="是",'21.04.01'!$BB$4,'21.04.01'!$BB$3))</f>
        <v>0</v>
      </c>
      <c r="F50" s="4">
        <f>IF(ISNUMBER(SEARCH("营",'21.04.01'!N50)),(-$Y50+50*IF('21.04.01'!$AK50="是",'21.04.01'!$BB$4,'21.04.01'!$BB$3)),(VLOOKUP('21.04.01'!N50,'21.04.01'!$AO$4:$AQ$55,2,FALSE))*IF('21.04.01'!$AK50="是",'21.04.01'!$BB$4,'21.04.01'!$BB$3))</f>
        <v>0</v>
      </c>
      <c r="G50" s="4">
        <f>IF(ISNUMBER(SEARCH("营",'21.04.01'!O50)),(-$Y50+50*IF('21.04.01'!$AK50="是",'21.04.01'!$BB$4,'21.04.01'!$BB$3)),(VLOOKUP('21.04.01'!O50,'21.04.01'!$AO$4:$AQ$55,2,FALSE))*IF('21.04.01'!$AK50="是",'21.04.01'!$BB$4,'21.04.01'!$BB$3))</f>
        <v>0</v>
      </c>
      <c r="H50" s="4">
        <f>IF(ISNUMBER(SEARCH("营",'21.04.01'!P50)),(-$Y50+50*IF('21.04.01'!$AK50="是",'21.04.01'!$BB$4,'21.04.01'!$BB$3)),(VLOOKUP('21.04.01'!P50,'21.04.01'!$AO$4:$AQ$55,2,FALSE))*IF('21.04.01'!$AK50="是",'21.04.01'!$BB$4,'21.04.01'!$BB$3))</f>
        <v>0</v>
      </c>
      <c r="I50" s="4">
        <f>IF(ISNUMBER(SEARCH("营",'21.04.01'!Q50)),(-$Y50+50*IF('21.04.01'!$AK50="是",'21.04.01'!$BB$4,'21.04.01'!$BB$3)),(VLOOKUP('21.04.01'!Q50,'21.04.01'!$AO$4:$AQ$55,2,FALSE))*IF('21.04.01'!$AK50="是",'21.04.01'!$BB$4,'21.04.01'!$BB$3))</f>
        <v>0</v>
      </c>
      <c r="J50" s="4">
        <f>IF(ISNUMBER(SEARCH("营",'21.04.01'!R50)),(-$Y50+50*IF('21.04.01'!$AK50="是",'21.04.01'!$BB$4,'21.04.01'!$BB$3)),(VLOOKUP('21.04.01'!R50,'21.04.01'!$AO$4:$AQ$55,2,FALSE))*IF('21.04.01'!$AK50="是",'21.04.01'!$BB$4,'21.04.01'!$BB$3))</f>
        <v>0</v>
      </c>
      <c r="K50" s="4">
        <f>IF(ISNUMBER(SEARCH("营",'21.04.01'!S50)),(-$Y50+50*IF('21.04.01'!$AK50="是",'21.04.01'!$BB$4,'21.04.01'!$BB$3)),(VLOOKUP('21.04.01'!S50,'21.04.01'!$AO$4:$AQ$55,2,FALSE))*IF('21.04.01'!$AK50="是",'21.04.01'!$BB$4,'21.04.01'!$BB$3))</f>
        <v>0</v>
      </c>
      <c r="L50" s="4">
        <f>IF(ISNUMBER(SEARCH("营",'21.04.01'!T50)),(-$Y50+50*IF('21.04.01'!$AK50="是",'21.04.01'!$BB$4,'21.04.01'!$BB$3)),(VLOOKUP('21.04.01'!T50,'21.04.01'!$AO$4:$AQ$55,2,FALSE))*IF('21.04.01'!$AK50="是",'21.04.01'!$BB$4,'21.04.01'!$BB$3))</f>
        <v>0</v>
      </c>
      <c r="M50" s="4">
        <f>IF(ISNUMBER(SEARCH("营",'21.04.01'!U50)),(-$Y50+50*IF('21.04.01'!$AK50="是",'21.04.01'!$BB$4,'21.04.01'!$BB$3)),(VLOOKUP('21.04.01'!U50,'21.04.01'!$AO$4:$AQ$55,2,FALSE))*IF('21.04.01'!$AK50="是",'21.04.01'!$BB$4,'21.04.01'!$BB$3))</f>
        <v>0</v>
      </c>
      <c r="N50" s="4">
        <f>IF(ISNUMBER(SEARCH("营",'21.04.01'!V50)),(-$Y50+50*IF('21.04.01'!$AK50="是",'21.04.01'!$BB$4,'21.04.01'!$BB$3)),(VLOOKUP('21.04.01'!V50,'21.04.01'!$AO$4:$AQ$55,2,FALSE))*IF('21.04.01'!$AK50="是",'21.04.01'!$BB$4,'21.04.01'!$BB$3))</f>
        <v>0</v>
      </c>
      <c r="O50" s="4">
        <f>IF(ISNUMBER(SEARCH("营",'21.04.01'!W50)),(-$Y50+50*IF('21.04.01'!$AK50="是",'21.04.01'!$BB$4,'21.04.01'!$BB$3)),(VLOOKUP('21.04.01'!W50,'21.04.01'!$AO$4:$AQ$55,2,FALSE))*IF('21.04.01'!$AK50="是",'21.04.01'!$BB$4,'21.04.01'!$BB$3))</f>
        <v>0</v>
      </c>
      <c r="P50" s="4">
        <f>IF(ISNUMBER(SEARCH("营",'21.04.01'!X50)),(-$Y50+50*IF('21.04.01'!$AK50="是",'21.04.01'!$BB$4,'21.04.01'!$BB$3)),(VLOOKUP('21.04.01'!X50,'21.04.01'!$AO$4:$AQ$55,2,FALSE))*IF('21.04.01'!$AK50="是",'21.04.01'!$BB$4,'21.04.01'!$BB$3))</f>
        <v>0</v>
      </c>
      <c r="Q50" s="4">
        <f>IF(ISNUMBER(SEARCH("营",'21.04.01'!Y50)),(-$Y50+50*IF('21.04.01'!$AK50="是",'21.04.01'!$BB$4,'21.04.01'!$BB$3)),(VLOOKUP('21.04.01'!Y50,'21.04.01'!$AO$4:$AQ$55,2,FALSE))*IF('21.04.01'!$AK50="是",'21.04.01'!$BB$4,'21.04.01'!$BB$3))</f>
        <v>0</v>
      </c>
      <c r="R50" s="4">
        <f>IF(ISNUMBER(SEARCH("营",'21.04.01'!Z50)),(-$Y50+50*IF('21.04.01'!$AK50="是",'21.04.01'!$BB$4,'21.04.01'!$BB$3)),(VLOOKUP('21.04.01'!Z50,'21.04.01'!$AO$4:$AQ$55,2,FALSE))*IF('21.04.01'!$AK50="是",'21.04.01'!$BB$4,'21.04.01'!$BB$3))</f>
        <v>0</v>
      </c>
      <c r="S50" s="4">
        <f>IF(ISNUMBER(SEARCH("营",'21.04.01'!AA50)),(-$Y50+50*IF('21.04.01'!$AK50="是",'21.04.01'!$BB$4,'21.04.01'!$BB$3)),(VLOOKUP('21.04.01'!AA50,'21.04.01'!$AO$4:$AQ$55,2,FALSE))*IF('21.04.01'!$AK50="是",'21.04.01'!$BB$4,'21.04.01'!$BB$3))</f>
        <v>0</v>
      </c>
      <c r="T50" s="4">
        <f>IF(ISNUMBER(SEARCH("营",'21.04.01'!AB50)),(-$Y50+50*IF('21.04.01'!$AK50="是",'21.04.01'!$BB$4,'21.04.01'!$BB$3)),(VLOOKUP('21.04.01'!AB50,'21.04.01'!$AO$4:$AQ$55,2,FALSE))*IF('21.04.01'!$AK50="是",'21.04.01'!$BB$4,'21.04.01'!$BB$3))</f>
        <v>0</v>
      </c>
      <c r="U50" s="4">
        <f>IF(ISNUMBER(SEARCH("营",'21.04.01'!AC50)),(-$Y50+50*IF('21.04.01'!$AK50="是",'21.04.01'!$BB$4,'21.04.01'!$BB$3)),(VLOOKUP('21.04.01'!AC50,'21.04.01'!$AO$4:$AQ$55,2,FALSE))*IF('21.04.01'!$AK50="是",'21.04.01'!$BB$4,'21.04.01'!$BB$3))</f>
        <v>0</v>
      </c>
      <c r="V50" s="4">
        <f>IF(ISNUMBER(SEARCH("营",'21.04.01'!AD50)),(-$Y50+50*IF('21.04.01'!$AK50="是",'21.04.01'!$BB$4,'21.04.01'!$BB$3)),(VLOOKUP('21.04.01'!AD50,'21.04.01'!$AO$4:$AQ$55,2,FALSE))*IF('21.04.01'!$AK50="是",'21.04.01'!$BB$4,'21.04.01'!$BB$3))</f>
        <v>0</v>
      </c>
      <c r="W50" s="4">
        <f>IF(ISNUMBER(SEARCH("营",'21.04.01'!AE50)),(-$Y50+50*IF('21.04.01'!$AK50="是",'21.04.01'!$BB$4,'21.04.01'!$BB$3)),(VLOOKUP('21.04.01'!AE50,'21.04.01'!$AO$4:$AQ$55,2,FALSE))*IF('21.04.01'!$AK50="是",'21.04.01'!$BB$4,'21.04.01'!$BB$3))</f>
        <v>0</v>
      </c>
      <c r="X50" s="4">
        <f>IF(ISNUMBER(SEARCH("营",'21.04.01'!AF50)),(-$Y50+50*IF('21.04.01'!$AK50="是",'21.04.01'!$BB$4,'21.04.01'!$BB$3)),(VLOOKUP('21.04.01'!AF50,'21.04.01'!$AO$4:$AQ$55,2,FALSE))*IF('21.04.01'!$AK50="是",'21.04.01'!$BB$4,'21.04.01'!$BB$3))</f>
        <v>0</v>
      </c>
      <c r="Y50" s="64">
        <v>150</v>
      </c>
      <c r="Z50" s="87">
        <v>45958</v>
      </c>
    </row>
    <row r="51" spans="1:26">
      <c r="A51" s="4">
        <f>IF(ISNUMBER(SEARCH("营",'21.04.01'!I51)),(-$Y51+50*IF('21.04.01'!$AK51="是",'21.04.01'!$BB$4,'21.04.01'!$BB$3)),(VLOOKUP('21.04.01'!I51,'21.04.01'!$AO$4:$AQ$55,2,FALSE))*IF('21.04.01'!$AK51="是",'21.04.01'!$BB$4,'21.04.01'!$BB$3))</f>
        <v>0</v>
      </c>
      <c r="B51" s="4">
        <f>IF(ISNUMBER(SEARCH("营",'21.04.01'!J51)),(-$Y51+50*IF('21.04.01'!$AK51="是",'21.04.01'!$BB$4,'21.04.01'!$BB$3)),(VLOOKUP('21.04.01'!J51,'21.04.01'!$AO$4:$AQ$55,2,FALSE))*IF('21.04.01'!$AK51="是",'21.04.01'!$BB$4,'21.04.01'!$BB$3))</f>
        <v>0</v>
      </c>
      <c r="C51" s="4">
        <f>IF(ISNUMBER(SEARCH("营",'21.04.01'!K51)),(-$Y51+50*IF('21.04.01'!$AK51="是",'21.04.01'!$BB$4,'21.04.01'!$BB$3)),(VLOOKUP('21.04.01'!K51,'21.04.01'!$AO$4:$AQ$55,2,FALSE))*IF('21.04.01'!$AK51="是",'21.04.01'!$BB$4,'21.04.01'!$BB$3))</f>
        <v>0</v>
      </c>
      <c r="D51" s="4">
        <f>IF(ISNUMBER(SEARCH("营",'21.04.01'!L51)),(-$Y51+50*IF('21.04.01'!$AK51="是",'21.04.01'!$BB$4,'21.04.01'!$BB$3)),(VLOOKUP('21.04.01'!L51,'21.04.01'!$AO$4:$AQ$55,2,FALSE))*IF('21.04.01'!$AK51="是",'21.04.01'!$BB$4,'21.04.01'!$BB$3))</f>
        <v>0</v>
      </c>
      <c r="E51" s="4">
        <f>IF(ISNUMBER(SEARCH("营",'21.04.01'!M51)),(-$Y51+50*IF('21.04.01'!$AK51="是",'21.04.01'!$BB$4,'21.04.01'!$BB$3)),(VLOOKUP('21.04.01'!M51,'21.04.01'!$AO$4:$AQ$55,2,FALSE))*IF('21.04.01'!$AK51="是",'21.04.01'!$BB$4,'21.04.01'!$BB$3))</f>
        <v>0</v>
      </c>
      <c r="F51" s="4">
        <f>IF(ISNUMBER(SEARCH("营",'21.04.01'!N51)),(-$Y51+50*IF('21.04.01'!$AK51="是",'21.04.01'!$BB$4,'21.04.01'!$BB$3)),(VLOOKUP('21.04.01'!N51,'21.04.01'!$AO$4:$AQ$55,2,FALSE))*IF('21.04.01'!$AK51="是",'21.04.01'!$BB$4,'21.04.01'!$BB$3))</f>
        <v>0</v>
      </c>
      <c r="G51" s="4">
        <f>IF(ISNUMBER(SEARCH("营",'21.04.01'!O51)),(-$Y51+50*IF('21.04.01'!$AK51="是",'21.04.01'!$BB$4,'21.04.01'!$BB$3)),(VLOOKUP('21.04.01'!O51,'21.04.01'!$AO$4:$AQ$55,2,FALSE))*IF('21.04.01'!$AK51="是",'21.04.01'!$BB$4,'21.04.01'!$BB$3))</f>
        <v>0</v>
      </c>
      <c r="H51" s="4">
        <f>IF(ISNUMBER(SEARCH("营",'21.04.01'!P51)),(-$Y51+50*IF('21.04.01'!$AK51="是",'21.04.01'!$BB$4,'21.04.01'!$BB$3)),(VLOOKUP('21.04.01'!P51,'21.04.01'!$AO$4:$AQ$55,2,FALSE))*IF('21.04.01'!$AK51="是",'21.04.01'!$BB$4,'21.04.01'!$BB$3))</f>
        <v>0</v>
      </c>
      <c r="I51" s="4">
        <f>IF(ISNUMBER(SEARCH("营",'21.04.01'!Q51)),(-$Y51+50*IF('21.04.01'!$AK51="是",'21.04.01'!$BB$4,'21.04.01'!$BB$3)),(VLOOKUP('21.04.01'!Q51,'21.04.01'!$AO$4:$AQ$55,2,FALSE))*IF('21.04.01'!$AK51="是",'21.04.01'!$BB$4,'21.04.01'!$BB$3))</f>
        <v>0</v>
      </c>
      <c r="J51" s="4">
        <f>IF(ISNUMBER(SEARCH("营",'21.04.01'!R51)),(-$Y51+50*IF('21.04.01'!$AK51="是",'21.04.01'!$BB$4,'21.04.01'!$BB$3)),(VLOOKUP('21.04.01'!R51,'21.04.01'!$AO$4:$AQ$55,2,FALSE))*IF('21.04.01'!$AK51="是",'21.04.01'!$BB$4,'21.04.01'!$BB$3))</f>
        <v>0</v>
      </c>
      <c r="K51" s="4">
        <f>IF(ISNUMBER(SEARCH("营",'21.04.01'!S51)),(-$Y51+50*IF('21.04.01'!$AK51="是",'21.04.01'!$BB$4,'21.04.01'!$BB$3)),(VLOOKUP('21.04.01'!S51,'21.04.01'!$AO$4:$AQ$55,2,FALSE))*IF('21.04.01'!$AK51="是",'21.04.01'!$BB$4,'21.04.01'!$BB$3))</f>
        <v>0</v>
      </c>
      <c r="L51" s="4">
        <f>IF(ISNUMBER(SEARCH("营",'21.04.01'!T51)),(-$Y51+50*IF('21.04.01'!$AK51="是",'21.04.01'!$BB$4,'21.04.01'!$BB$3)),(VLOOKUP('21.04.01'!T51,'21.04.01'!$AO$4:$AQ$55,2,FALSE))*IF('21.04.01'!$AK51="是",'21.04.01'!$BB$4,'21.04.01'!$BB$3))</f>
        <v>0</v>
      </c>
      <c r="M51" s="4">
        <f>IF(ISNUMBER(SEARCH("营",'21.04.01'!U51)),(-$Y51+50*IF('21.04.01'!$AK51="是",'21.04.01'!$BB$4,'21.04.01'!$BB$3)),(VLOOKUP('21.04.01'!U51,'21.04.01'!$AO$4:$AQ$55,2,FALSE))*IF('21.04.01'!$AK51="是",'21.04.01'!$BB$4,'21.04.01'!$BB$3))</f>
        <v>0</v>
      </c>
      <c r="N51" s="4">
        <f>IF(ISNUMBER(SEARCH("营",'21.04.01'!V51)),(-$Y51+50*IF('21.04.01'!$AK51="是",'21.04.01'!$BB$4,'21.04.01'!$BB$3)),(VLOOKUP('21.04.01'!V51,'21.04.01'!$AO$4:$AQ$55,2,FALSE))*IF('21.04.01'!$AK51="是",'21.04.01'!$BB$4,'21.04.01'!$BB$3))</f>
        <v>0</v>
      </c>
      <c r="O51" s="4">
        <f>IF(ISNUMBER(SEARCH("营",'21.04.01'!W51)),(-$Y51+50*IF('21.04.01'!$AK51="是",'21.04.01'!$BB$4,'21.04.01'!$BB$3)),(VLOOKUP('21.04.01'!W51,'21.04.01'!$AO$4:$AQ$55,2,FALSE))*IF('21.04.01'!$AK51="是",'21.04.01'!$BB$4,'21.04.01'!$BB$3))</f>
        <v>0</v>
      </c>
      <c r="P51" s="4">
        <f>IF(ISNUMBER(SEARCH("营",'21.04.01'!X51)),(-$Y51+50*IF('21.04.01'!$AK51="是",'21.04.01'!$BB$4,'21.04.01'!$BB$3)),(VLOOKUP('21.04.01'!X51,'21.04.01'!$AO$4:$AQ$55,2,FALSE))*IF('21.04.01'!$AK51="是",'21.04.01'!$BB$4,'21.04.01'!$BB$3))</f>
        <v>0</v>
      </c>
      <c r="Q51" s="4">
        <f>IF(ISNUMBER(SEARCH("营",'21.04.01'!Y51)),(-$Y51+50*IF('21.04.01'!$AK51="是",'21.04.01'!$BB$4,'21.04.01'!$BB$3)),(VLOOKUP('21.04.01'!Y51,'21.04.01'!$AO$4:$AQ$55,2,FALSE))*IF('21.04.01'!$AK51="是",'21.04.01'!$BB$4,'21.04.01'!$BB$3))</f>
        <v>0</v>
      </c>
      <c r="R51" s="4">
        <f>IF(ISNUMBER(SEARCH("营",'21.04.01'!Z51)),(-$Y51+50*IF('21.04.01'!$AK51="是",'21.04.01'!$BB$4,'21.04.01'!$BB$3)),(VLOOKUP('21.04.01'!Z51,'21.04.01'!$AO$4:$AQ$55,2,FALSE))*IF('21.04.01'!$AK51="是",'21.04.01'!$BB$4,'21.04.01'!$BB$3))</f>
        <v>0</v>
      </c>
      <c r="S51" s="4">
        <f>IF(ISNUMBER(SEARCH("营",'21.04.01'!AA51)),(-$Y51+50*IF('21.04.01'!$AK51="是",'21.04.01'!$BB$4,'21.04.01'!$BB$3)),(VLOOKUP('21.04.01'!AA51,'21.04.01'!$AO$4:$AQ$55,2,FALSE))*IF('21.04.01'!$AK51="是",'21.04.01'!$BB$4,'21.04.01'!$BB$3))</f>
        <v>0</v>
      </c>
      <c r="T51" s="4">
        <f>IF(ISNUMBER(SEARCH("营",'21.04.01'!AB51)),(-$Y51+50*IF('21.04.01'!$AK51="是",'21.04.01'!$BB$4,'21.04.01'!$BB$3)),(VLOOKUP('21.04.01'!AB51,'21.04.01'!$AO$4:$AQ$55,2,FALSE))*IF('21.04.01'!$AK51="是",'21.04.01'!$BB$4,'21.04.01'!$BB$3))</f>
        <v>0</v>
      </c>
      <c r="U51" s="4">
        <f>IF(ISNUMBER(SEARCH("营",'21.04.01'!AC51)),(-$Y51+50*IF('21.04.01'!$AK51="是",'21.04.01'!$BB$4,'21.04.01'!$BB$3)),(VLOOKUP('21.04.01'!AC51,'21.04.01'!$AO$4:$AQ$55,2,FALSE))*IF('21.04.01'!$AK51="是",'21.04.01'!$BB$4,'21.04.01'!$BB$3))</f>
        <v>0</v>
      </c>
      <c r="V51" s="4">
        <f>IF(ISNUMBER(SEARCH("营",'21.04.01'!AD51)),(-$Y51+50*IF('21.04.01'!$AK51="是",'21.04.01'!$BB$4,'21.04.01'!$BB$3)),(VLOOKUP('21.04.01'!AD51,'21.04.01'!$AO$4:$AQ$55,2,FALSE))*IF('21.04.01'!$AK51="是",'21.04.01'!$BB$4,'21.04.01'!$BB$3))</f>
        <v>0</v>
      </c>
      <c r="W51" s="4">
        <f>IF(ISNUMBER(SEARCH("营",'21.04.01'!AE51)),(-$Y51+50*IF('21.04.01'!$AK51="是",'21.04.01'!$BB$4,'21.04.01'!$BB$3)),(VLOOKUP('21.04.01'!AE51,'21.04.01'!$AO$4:$AQ$55,2,FALSE))*IF('21.04.01'!$AK51="是",'21.04.01'!$BB$4,'21.04.01'!$BB$3))</f>
        <v>0</v>
      </c>
      <c r="X51" s="4">
        <f>IF(ISNUMBER(SEARCH("营",'21.04.01'!AF51)),(-$Y51+50*IF('21.04.01'!$AK51="是",'21.04.01'!$BB$4,'21.04.01'!$BB$3)),(VLOOKUP('21.04.01'!AF51,'21.04.01'!$AO$4:$AQ$55,2,FALSE))*IF('21.04.01'!$AK51="是",'21.04.01'!$BB$4,'21.04.01'!$BB$3))</f>
        <v>0</v>
      </c>
      <c r="Y51" s="64">
        <v>150</v>
      </c>
      <c r="Z51" s="87">
        <v>45959</v>
      </c>
    </row>
    <row r="52" spans="1:26">
      <c r="A52" s="4">
        <f>IF(ISNUMBER(SEARCH("营",'21.04.01'!I52)),(-$Y52+50*IF('21.04.01'!$AK52="是",'21.04.01'!$BB$4,'21.04.01'!$BB$3)),(VLOOKUP('21.04.01'!I52,'21.04.01'!$AO$4:$AQ$55,2,FALSE))*IF('21.04.01'!$AK52="是",'21.04.01'!$BB$4,'21.04.01'!$BB$3))</f>
        <v>0</v>
      </c>
      <c r="B52" s="4">
        <f>IF(ISNUMBER(SEARCH("营",'21.04.01'!J52)),(-$Y52+50*IF('21.04.01'!$AK52="是",'21.04.01'!$BB$4,'21.04.01'!$BB$3)),(VLOOKUP('21.04.01'!J52,'21.04.01'!$AO$4:$AQ$55,2,FALSE))*IF('21.04.01'!$AK52="是",'21.04.01'!$BB$4,'21.04.01'!$BB$3))</f>
        <v>0</v>
      </c>
      <c r="C52" s="4">
        <f>IF(ISNUMBER(SEARCH("营",'21.04.01'!K52)),(-$Y52+50*IF('21.04.01'!$AK52="是",'21.04.01'!$BB$4,'21.04.01'!$BB$3)),(VLOOKUP('21.04.01'!K52,'21.04.01'!$AO$4:$AQ$55,2,FALSE))*IF('21.04.01'!$AK52="是",'21.04.01'!$BB$4,'21.04.01'!$BB$3))</f>
        <v>0</v>
      </c>
      <c r="D52" s="4">
        <f>IF(ISNUMBER(SEARCH("营",'21.04.01'!L52)),(-$Y52+50*IF('21.04.01'!$AK52="是",'21.04.01'!$BB$4,'21.04.01'!$BB$3)),(VLOOKUP('21.04.01'!L52,'21.04.01'!$AO$4:$AQ$55,2,FALSE))*IF('21.04.01'!$AK52="是",'21.04.01'!$BB$4,'21.04.01'!$BB$3))</f>
        <v>0</v>
      </c>
      <c r="E52" s="4">
        <f>IF(ISNUMBER(SEARCH("营",'21.04.01'!M52)),(-$Y52+50*IF('21.04.01'!$AK52="是",'21.04.01'!$BB$4,'21.04.01'!$BB$3)),(VLOOKUP('21.04.01'!M52,'21.04.01'!$AO$4:$AQ$55,2,FALSE))*IF('21.04.01'!$AK52="是",'21.04.01'!$BB$4,'21.04.01'!$BB$3))</f>
        <v>0</v>
      </c>
      <c r="F52" s="4">
        <f>IF(ISNUMBER(SEARCH("营",'21.04.01'!N52)),(-$Y52+50*IF('21.04.01'!$AK52="是",'21.04.01'!$BB$4,'21.04.01'!$BB$3)),(VLOOKUP('21.04.01'!N52,'21.04.01'!$AO$4:$AQ$55,2,FALSE))*IF('21.04.01'!$AK52="是",'21.04.01'!$BB$4,'21.04.01'!$BB$3))</f>
        <v>0</v>
      </c>
      <c r="G52" s="4">
        <f>IF(ISNUMBER(SEARCH("营",'21.04.01'!O52)),(-$Y52+50*IF('21.04.01'!$AK52="是",'21.04.01'!$BB$4,'21.04.01'!$BB$3)),(VLOOKUP('21.04.01'!O52,'21.04.01'!$AO$4:$AQ$55,2,FALSE))*IF('21.04.01'!$AK52="是",'21.04.01'!$BB$4,'21.04.01'!$BB$3))</f>
        <v>0</v>
      </c>
      <c r="H52" s="4">
        <f>IF(ISNUMBER(SEARCH("营",'21.04.01'!P52)),(-$Y52+50*IF('21.04.01'!$AK52="是",'21.04.01'!$BB$4,'21.04.01'!$BB$3)),(VLOOKUP('21.04.01'!P52,'21.04.01'!$AO$4:$AQ$55,2,FALSE))*IF('21.04.01'!$AK52="是",'21.04.01'!$BB$4,'21.04.01'!$BB$3))</f>
        <v>0</v>
      </c>
      <c r="I52" s="4">
        <f>IF(ISNUMBER(SEARCH("营",'21.04.01'!Q52)),(-$Y52+50*IF('21.04.01'!$AK52="是",'21.04.01'!$BB$4,'21.04.01'!$BB$3)),(VLOOKUP('21.04.01'!Q52,'21.04.01'!$AO$4:$AQ$55,2,FALSE))*IF('21.04.01'!$AK52="是",'21.04.01'!$BB$4,'21.04.01'!$BB$3))</f>
        <v>0</v>
      </c>
      <c r="J52" s="4">
        <f>IF(ISNUMBER(SEARCH("营",'21.04.01'!R52)),(-$Y52+50*IF('21.04.01'!$AK52="是",'21.04.01'!$BB$4,'21.04.01'!$BB$3)),(VLOOKUP('21.04.01'!R52,'21.04.01'!$AO$4:$AQ$55,2,FALSE))*IF('21.04.01'!$AK52="是",'21.04.01'!$BB$4,'21.04.01'!$BB$3))</f>
        <v>0</v>
      </c>
      <c r="K52" s="4">
        <f>IF(ISNUMBER(SEARCH("营",'21.04.01'!S52)),(-$Y52+50*IF('21.04.01'!$AK52="是",'21.04.01'!$BB$4,'21.04.01'!$BB$3)),(VLOOKUP('21.04.01'!S52,'21.04.01'!$AO$4:$AQ$55,2,FALSE))*IF('21.04.01'!$AK52="是",'21.04.01'!$BB$4,'21.04.01'!$BB$3))</f>
        <v>0</v>
      </c>
      <c r="L52" s="4">
        <f>IF(ISNUMBER(SEARCH("营",'21.04.01'!T52)),(-$Y52+50*IF('21.04.01'!$AK52="是",'21.04.01'!$BB$4,'21.04.01'!$BB$3)),(VLOOKUP('21.04.01'!T52,'21.04.01'!$AO$4:$AQ$55,2,FALSE))*IF('21.04.01'!$AK52="是",'21.04.01'!$BB$4,'21.04.01'!$BB$3))</f>
        <v>0</v>
      </c>
      <c r="M52" s="4">
        <f>IF(ISNUMBER(SEARCH("营",'21.04.01'!U52)),(-$Y52+50*IF('21.04.01'!$AK52="是",'21.04.01'!$BB$4,'21.04.01'!$BB$3)),(VLOOKUP('21.04.01'!U52,'21.04.01'!$AO$4:$AQ$55,2,FALSE))*IF('21.04.01'!$AK52="是",'21.04.01'!$BB$4,'21.04.01'!$BB$3))</f>
        <v>0</v>
      </c>
      <c r="N52" s="4">
        <f>IF(ISNUMBER(SEARCH("营",'21.04.01'!V52)),(-$Y52+50*IF('21.04.01'!$AK52="是",'21.04.01'!$BB$4,'21.04.01'!$BB$3)),(VLOOKUP('21.04.01'!V52,'21.04.01'!$AO$4:$AQ$55,2,FALSE))*IF('21.04.01'!$AK52="是",'21.04.01'!$BB$4,'21.04.01'!$BB$3))</f>
        <v>0</v>
      </c>
      <c r="O52" s="4">
        <f>IF(ISNUMBER(SEARCH("营",'21.04.01'!W52)),(-$Y52+50*IF('21.04.01'!$AK52="是",'21.04.01'!$BB$4,'21.04.01'!$BB$3)),(VLOOKUP('21.04.01'!W52,'21.04.01'!$AO$4:$AQ$55,2,FALSE))*IF('21.04.01'!$AK52="是",'21.04.01'!$BB$4,'21.04.01'!$BB$3))</f>
        <v>0</v>
      </c>
      <c r="P52" s="4">
        <f>IF(ISNUMBER(SEARCH("营",'21.04.01'!X52)),(-$Y52+50*IF('21.04.01'!$AK52="是",'21.04.01'!$BB$4,'21.04.01'!$BB$3)),(VLOOKUP('21.04.01'!X52,'21.04.01'!$AO$4:$AQ$55,2,FALSE))*IF('21.04.01'!$AK52="是",'21.04.01'!$BB$4,'21.04.01'!$BB$3))</f>
        <v>0</v>
      </c>
      <c r="Q52" s="4">
        <f>IF(ISNUMBER(SEARCH("营",'21.04.01'!Y52)),(-$Y52+50*IF('21.04.01'!$AK52="是",'21.04.01'!$BB$4,'21.04.01'!$BB$3)),(VLOOKUP('21.04.01'!Y52,'21.04.01'!$AO$4:$AQ$55,2,FALSE))*IF('21.04.01'!$AK52="是",'21.04.01'!$BB$4,'21.04.01'!$BB$3))</f>
        <v>0</v>
      </c>
      <c r="R52" s="4">
        <f>IF(ISNUMBER(SEARCH("营",'21.04.01'!Z52)),(-$Y52+50*IF('21.04.01'!$AK52="是",'21.04.01'!$BB$4,'21.04.01'!$BB$3)),(VLOOKUP('21.04.01'!Z52,'21.04.01'!$AO$4:$AQ$55,2,FALSE))*IF('21.04.01'!$AK52="是",'21.04.01'!$BB$4,'21.04.01'!$BB$3))</f>
        <v>0</v>
      </c>
      <c r="S52" s="4">
        <f>IF(ISNUMBER(SEARCH("营",'21.04.01'!AA52)),(-$Y52+50*IF('21.04.01'!$AK52="是",'21.04.01'!$BB$4,'21.04.01'!$BB$3)),(VLOOKUP('21.04.01'!AA52,'21.04.01'!$AO$4:$AQ$55,2,FALSE))*IF('21.04.01'!$AK52="是",'21.04.01'!$BB$4,'21.04.01'!$BB$3))</f>
        <v>0</v>
      </c>
      <c r="T52" s="4">
        <f>IF(ISNUMBER(SEARCH("营",'21.04.01'!AB52)),(-$Y52+50*IF('21.04.01'!$AK52="是",'21.04.01'!$BB$4,'21.04.01'!$BB$3)),(VLOOKUP('21.04.01'!AB52,'21.04.01'!$AO$4:$AQ$55,2,FALSE))*IF('21.04.01'!$AK52="是",'21.04.01'!$BB$4,'21.04.01'!$BB$3))</f>
        <v>0</v>
      </c>
      <c r="U52" s="4">
        <f>IF(ISNUMBER(SEARCH("营",'21.04.01'!AC52)),(-$Y52+50*IF('21.04.01'!$AK52="是",'21.04.01'!$BB$4,'21.04.01'!$BB$3)),(VLOOKUP('21.04.01'!AC52,'21.04.01'!$AO$4:$AQ$55,2,FALSE))*IF('21.04.01'!$AK52="是",'21.04.01'!$BB$4,'21.04.01'!$BB$3))</f>
        <v>0</v>
      </c>
      <c r="V52" s="4">
        <f>IF(ISNUMBER(SEARCH("营",'21.04.01'!AD52)),(-$Y52+50*IF('21.04.01'!$AK52="是",'21.04.01'!$BB$4,'21.04.01'!$BB$3)),(VLOOKUP('21.04.01'!AD52,'21.04.01'!$AO$4:$AQ$55,2,FALSE))*IF('21.04.01'!$AK52="是",'21.04.01'!$BB$4,'21.04.01'!$BB$3))</f>
        <v>0</v>
      </c>
      <c r="W52" s="4">
        <f>IF(ISNUMBER(SEARCH("营",'21.04.01'!AE52)),(-$Y52+50*IF('21.04.01'!$AK52="是",'21.04.01'!$BB$4,'21.04.01'!$BB$3)),(VLOOKUP('21.04.01'!AE52,'21.04.01'!$AO$4:$AQ$55,2,FALSE))*IF('21.04.01'!$AK52="是",'21.04.01'!$BB$4,'21.04.01'!$BB$3))</f>
        <v>0</v>
      </c>
      <c r="X52" s="4">
        <f>IF(ISNUMBER(SEARCH("营",'21.04.01'!AF52)),(-$Y52+50*IF('21.04.01'!$AK52="是",'21.04.01'!$BB$4,'21.04.01'!$BB$3)),(VLOOKUP('21.04.01'!AF52,'21.04.01'!$AO$4:$AQ$55,2,FALSE))*IF('21.04.01'!$AK52="是",'21.04.01'!$BB$4,'21.04.01'!$BB$3))</f>
        <v>0</v>
      </c>
      <c r="Y52" s="64">
        <v>150</v>
      </c>
      <c r="Z52" s="87">
        <v>45960</v>
      </c>
    </row>
    <row r="53" spans="1:26">
      <c r="A53" s="4">
        <f>IF(ISNUMBER(SEARCH("营",'21.04.01'!I53)),(-$Y53+50*IF('21.04.01'!$AK53="是",'21.04.01'!$BB$4,'21.04.01'!$BB$3)),(VLOOKUP('21.04.01'!I53,'21.04.01'!$AO$4:$AQ$55,2,FALSE))*IF('21.04.01'!$AK53="是",'21.04.01'!$BB$4,'21.04.01'!$BB$3))</f>
        <v>0</v>
      </c>
      <c r="B53" s="4">
        <f>IF(ISNUMBER(SEARCH("营",'21.04.01'!J53)),(-$Y53+50*IF('21.04.01'!$AK53="是",'21.04.01'!$BB$4,'21.04.01'!$BB$3)),(VLOOKUP('21.04.01'!J53,'21.04.01'!$AO$4:$AQ$55,2,FALSE))*IF('21.04.01'!$AK53="是",'21.04.01'!$BB$4,'21.04.01'!$BB$3))</f>
        <v>0</v>
      </c>
      <c r="C53" s="4">
        <f>IF(ISNUMBER(SEARCH("营",'21.04.01'!K53)),(-$Y53+50*IF('21.04.01'!$AK53="是",'21.04.01'!$BB$4,'21.04.01'!$BB$3)),(VLOOKUP('21.04.01'!K53,'21.04.01'!$AO$4:$AQ$55,2,FALSE))*IF('21.04.01'!$AK53="是",'21.04.01'!$BB$4,'21.04.01'!$BB$3))</f>
        <v>0</v>
      </c>
      <c r="D53" s="4">
        <f>IF(ISNUMBER(SEARCH("营",'21.04.01'!L53)),(-$Y53+50*IF('21.04.01'!$AK53="是",'21.04.01'!$BB$4,'21.04.01'!$BB$3)),(VLOOKUP('21.04.01'!L53,'21.04.01'!$AO$4:$AQ$55,2,FALSE))*IF('21.04.01'!$AK53="是",'21.04.01'!$BB$4,'21.04.01'!$BB$3))</f>
        <v>0</v>
      </c>
      <c r="E53" s="4">
        <f>IF(ISNUMBER(SEARCH("营",'21.04.01'!M53)),(-$Y53+50*IF('21.04.01'!$AK53="是",'21.04.01'!$BB$4,'21.04.01'!$BB$3)),(VLOOKUP('21.04.01'!M53,'21.04.01'!$AO$4:$AQ$55,2,FALSE))*IF('21.04.01'!$AK53="是",'21.04.01'!$BB$4,'21.04.01'!$BB$3))</f>
        <v>0</v>
      </c>
      <c r="F53" s="4">
        <f>IF(ISNUMBER(SEARCH("营",'21.04.01'!N53)),(-$Y53+50*IF('21.04.01'!$AK53="是",'21.04.01'!$BB$4,'21.04.01'!$BB$3)),(VLOOKUP('21.04.01'!N53,'21.04.01'!$AO$4:$AQ$55,2,FALSE))*IF('21.04.01'!$AK53="是",'21.04.01'!$BB$4,'21.04.01'!$BB$3))</f>
        <v>0</v>
      </c>
      <c r="G53" s="4">
        <f>IF(ISNUMBER(SEARCH("营",'21.04.01'!O53)),(-$Y53+50*IF('21.04.01'!$AK53="是",'21.04.01'!$BB$4,'21.04.01'!$BB$3)),(VLOOKUP('21.04.01'!O53,'21.04.01'!$AO$4:$AQ$55,2,FALSE))*IF('21.04.01'!$AK53="是",'21.04.01'!$BB$4,'21.04.01'!$BB$3))</f>
        <v>0</v>
      </c>
      <c r="H53" s="4">
        <f>IF(ISNUMBER(SEARCH("营",'21.04.01'!P53)),(-$Y53+50*IF('21.04.01'!$AK53="是",'21.04.01'!$BB$4,'21.04.01'!$BB$3)),(VLOOKUP('21.04.01'!P53,'21.04.01'!$AO$4:$AQ$55,2,FALSE))*IF('21.04.01'!$AK53="是",'21.04.01'!$BB$4,'21.04.01'!$BB$3))</f>
        <v>0</v>
      </c>
      <c r="I53" s="4">
        <f>IF(ISNUMBER(SEARCH("营",'21.04.01'!Q53)),(-$Y53+50*IF('21.04.01'!$AK53="是",'21.04.01'!$BB$4,'21.04.01'!$BB$3)),(VLOOKUP('21.04.01'!Q53,'21.04.01'!$AO$4:$AQ$55,2,FALSE))*IF('21.04.01'!$AK53="是",'21.04.01'!$BB$4,'21.04.01'!$BB$3))</f>
        <v>0</v>
      </c>
      <c r="J53" s="4">
        <f>IF(ISNUMBER(SEARCH("营",'21.04.01'!R53)),(-$Y53+50*IF('21.04.01'!$AK53="是",'21.04.01'!$BB$4,'21.04.01'!$BB$3)),(VLOOKUP('21.04.01'!R53,'21.04.01'!$AO$4:$AQ$55,2,FALSE))*IF('21.04.01'!$AK53="是",'21.04.01'!$BB$4,'21.04.01'!$BB$3))</f>
        <v>0</v>
      </c>
      <c r="K53" s="4">
        <f>IF(ISNUMBER(SEARCH("营",'21.04.01'!S53)),(-$Y53+50*IF('21.04.01'!$AK53="是",'21.04.01'!$BB$4,'21.04.01'!$BB$3)),(VLOOKUP('21.04.01'!S53,'21.04.01'!$AO$4:$AQ$55,2,FALSE))*IF('21.04.01'!$AK53="是",'21.04.01'!$BB$4,'21.04.01'!$BB$3))</f>
        <v>0</v>
      </c>
      <c r="L53" s="4">
        <f>IF(ISNUMBER(SEARCH("营",'21.04.01'!T53)),(-$Y53+50*IF('21.04.01'!$AK53="是",'21.04.01'!$BB$4,'21.04.01'!$BB$3)),(VLOOKUP('21.04.01'!T53,'21.04.01'!$AO$4:$AQ$55,2,FALSE))*IF('21.04.01'!$AK53="是",'21.04.01'!$BB$4,'21.04.01'!$BB$3))</f>
        <v>0</v>
      </c>
      <c r="M53" s="4">
        <f>IF(ISNUMBER(SEARCH("营",'21.04.01'!U53)),(-$Y53+50*IF('21.04.01'!$AK53="是",'21.04.01'!$BB$4,'21.04.01'!$BB$3)),(VLOOKUP('21.04.01'!U53,'21.04.01'!$AO$4:$AQ$55,2,FALSE))*IF('21.04.01'!$AK53="是",'21.04.01'!$BB$4,'21.04.01'!$BB$3))</f>
        <v>0</v>
      </c>
      <c r="N53" s="4">
        <f>IF(ISNUMBER(SEARCH("营",'21.04.01'!V53)),(-$Y53+50*IF('21.04.01'!$AK53="是",'21.04.01'!$BB$4,'21.04.01'!$BB$3)),(VLOOKUP('21.04.01'!V53,'21.04.01'!$AO$4:$AQ$55,2,FALSE))*IF('21.04.01'!$AK53="是",'21.04.01'!$BB$4,'21.04.01'!$BB$3))</f>
        <v>0</v>
      </c>
      <c r="O53" s="4">
        <f>IF(ISNUMBER(SEARCH("营",'21.04.01'!W53)),(-$Y53+50*IF('21.04.01'!$AK53="是",'21.04.01'!$BB$4,'21.04.01'!$BB$3)),(VLOOKUP('21.04.01'!W53,'21.04.01'!$AO$4:$AQ$55,2,FALSE))*IF('21.04.01'!$AK53="是",'21.04.01'!$BB$4,'21.04.01'!$BB$3))</f>
        <v>0</v>
      </c>
      <c r="P53" s="4">
        <f>IF(ISNUMBER(SEARCH("营",'21.04.01'!X53)),(-$Y53+50*IF('21.04.01'!$AK53="是",'21.04.01'!$BB$4,'21.04.01'!$BB$3)),(VLOOKUP('21.04.01'!X53,'21.04.01'!$AO$4:$AQ$55,2,FALSE))*IF('21.04.01'!$AK53="是",'21.04.01'!$BB$4,'21.04.01'!$BB$3))</f>
        <v>0</v>
      </c>
      <c r="Q53" s="4">
        <f>IF(ISNUMBER(SEARCH("营",'21.04.01'!Y53)),(-$Y53+50*IF('21.04.01'!$AK53="是",'21.04.01'!$BB$4,'21.04.01'!$BB$3)),(VLOOKUP('21.04.01'!Y53,'21.04.01'!$AO$4:$AQ$55,2,FALSE))*IF('21.04.01'!$AK53="是",'21.04.01'!$BB$4,'21.04.01'!$BB$3))</f>
        <v>0</v>
      </c>
      <c r="R53" s="4">
        <f>IF(ISNUMBER(SEARCH("营",'21.04.01'!Z53)),(-$Y53+50*IF('21.04.01'!$AK53="是",'21.04.01'!$BB$4,'21.04.01'!$BB$3)),(VLOOKUP('21.04.01'!Z53,'21.04.01'!$AO$4:$AQ$55,2,FALSE))*IF('21.04.01'!$AK53="是",'21.04.01'!$BB$4,'21.04.01'!$BB$3))</f>
        <v>0</v>
      </c>
      <c r="S53" s="4">
        <f>IF(ISNUMBER(SEARCH("营",'21.04.01'!AA53)),(-$Y53+50*IF('21.04.01'!$AK53="是",'21.04.01'!$BB$4,'21.04.01'!$BB$3)),(VLOOKUP('21.04.01'!AA53,'21.04.01'!$AO$4:$AQ$55,2,FALSE))*IF('21.04.01'!$AK53="是",'21.04.01'!$BB$4,'21.04.01'!$BB$3))</f>
        <v>0</v>
      </c>
      <c r="T53" s="4">
        <f>IF(ISNUMBER(SEARCH("营",'21.04.01'!AB53)),(-$Y53+50*IF('21.04.01'!$AK53="是",'21.04.01'!$BB$4,'21.04.01'!$BB$3)),(VLOOKUP('21.04.01'!AB53,'21.04.01'!$AO$4:$AQ$55,2,FALSE))*IF('21.04.01'!$AK53="是",'21.04.01'!$BB$4,'21.04.01'!$BB$3))</f>
        <v>0</v>
      </c>
      <c r="U53" s="4">
        <f>IF(ISNUMBER(SEARCH("营",'21.04.01'!AC53)),(-$Y53+50*IF('21.04.01'!$AK53="是",'21.04.01'!$BB$4,'21.04.01'!$BB$3)),(VLOOKUP('21.04.01'!AC53,'21.04.01'!$AO$4:$AQ$55,2,FALSE))*IF('21.04.01'!$AK53="是",'21.04.01'!$BB$4,'21.04.01'!$BB$3))</f>
        <v>0</v>
      </c>
      <c r="V53" s="4">
        <f>IF(ISNUMBER(SEARCH("营",'21.04.01'!AD53)),(-$Y53+50*IF('21.04.01'!$AK53="是",'21.04.01'!$BB$4,'21.04.01'!$BB$3)),(VLOOKUP('21.04.01'!AD53,'21.04.01'!$AO$4:$AQ$55,2,FALSE))*IF('21.04.01'!$AK53="是",'21.04.01'!$BB$4,'21.04.01'!$BB$3))</f>
        <v>0</v>
      </c>
      <c r="W53" s="4">
        <f>IF(ISNUMBER(SEARCH("营",'21.04.01'!AE53)),(-$Y53+50*IF('21.04.01'!$AK53="是",'21.04.01'!$BB$4,'21.04.01'!$BB$3)),(VLOOKUP('21.04.01'!AE53,'21.04.01'!$AO$4:$AQ$55,2,FALSE))*IF('21.04.01'!$AK53="是",'21.04.01'!$BB$4,'21.04.01'!$BB$3))</f>
        <v>0</v>
      </c>
      <c r="X53" s="4">
        <f>IF(ISNUMBER(SEARCH("营",'21.04.01'!AF53)),(-$Y53+50*IF('21.04.01'!$AK53="是",'21.04.01'!$BB$4,'21.04.01'!$BB$3)),(VLOOKUP('21.04.01'!AF53,'21.04.01'!$AO$4:$AQ$55,2,FALSE))*IF('21.04.01'!$AK53="是",'21.04.01'!$BB$4,'21.04.01'!$BB$3))</f>
        <v>0</v>
      </c>
      <c r="Y53" s="64">
        <v>150</v>
      </c>
      <c r="Z53" s="87">
        <v>45961</v>
      </c>
    </row>
    <row r="54" spans="1:26">
      <c r="A54" s="4">
        <f>IF(ISNUMBER(SEARCH("营",'21.04.01'!I54)),(-$Y54+50*IF('21.04.01'!$AK54="是",'21.04.01'!$BB$4,'21.04.01'!$BB$3)),(VLOOKUP('21.04.01'!I54,'21.04.01'!$AO$4:$AQ$55,2,FALSE))*IF('21.04.01'!$AK54="是",'21.04.01'!$BB$4,'21.04.01'!$BB$3))</f>
        <v>0</v>
      </c>
      <c r="B54" s="4">
        <f>IF(ISNUMBER(SEARCH("营",'21.04.01'!J54)),(-$Y54+50*IF('21.04.01'!$AK54="是",'21.04.01'!$BB$4,'21.04.01'!$BB$3)),(VLOOKUP('21.04.01'!J54,'21.04.01'!$AO$4:$AQ$55,2,FALSE))*IF('21.04.01'!$AK54="是",'21.04.01'!$BB$4,'21.04.01'!$BB$3))</f>
        <v>0</v>
      </c>
      <c r="C54" s="4">
        <f>IF(ISNUMBER(SEARCH("营",'21.04.01'!K54)),(-$Y54+50*IF('21.04.01'!$AK54="是",'21.04.01'!$BB$4,'21.04.01'!$BB$3)),(VLOOKUP('21.04.01'!K54,'21.04.01'!$AO$4:$AQ$55,2,FALSE))*IF('21.04.01'!$AK54="是",'21.04.01'!$BB$4,'21.04.01'!$BB$3))</f>
        <v>0</v>
      </c>
      <c r="D54" s="4">
        <f>IF(ISNUMBER(SEARCH("营",'21.04.01'!L54)),(-$Y54+50*IF('21.04.01'!$AK54="是",'21.04.01'!$BB$4,'21.04.01'!$BB$3)),(VLOOKUP('21.04.01'!L54,'21.04.01'!$AO$4:$AQ$55,2,FALSE))*IF('21.04.01'!$AK54="是",'21.04.01'!$BB$4,'21.04.01'!$BB$3))</f>
        <v>0</v>
      </c>
      <c r="E54" s="4">
        <f>IF(ISNUMBER(SEARCH("营",'21.04.01'!M54)),(-$Y54+50*IF('21.04.01'!$AK54="是",'21.04.01'!$BB$4,'21.04.01'!$BB$3)),(VLOOKUP('21.04.01'!M54,'21.04.01'!$AO$4:$AQ$55,2,FALSE))*IF('21.04.01'!$AK54="是",'21.04.01'!$BB$4,'21.04.01'!$BB$3))</f>
        <v>0</v>
      </c>
      <c r="F54" s="4">
        <f>IF(ISNUMBER(SEARCH("营",'21.04.01'!N54)),(-$Y54+50*IF('21.04.01'!$AK54="是",'21.04.01'!$BB$4,'21.04.01'!$BB$3)),(VLOOKUP('21.04.01'!N54,'21.04.01'!$AO$4:$AQ$55,2,FALSE))*IF('21.04.01'!$AK54="是",'21.04.01'!$BB$4,'21.04.01'!$BB$3))</f>
        <v>0</v>
      </c>
      <c r="G54" s="4">
        <f>IF(ISNUMBER(SEARCH("营",'21.04.01'!O54)),(-$Y54+50*IF('21.04.01'!$AK54="是",'21.04.01'!$BB$4,'21.04.01'!$BB$3)),(VLOOKUP('21.04.01'!O54,'21.04.01'!$AO$4:$AQ$55,2,FALSE))*IF('21.04.01'!$AK54="是",'21.04.01'!$BB$4,'21.04.01'!$BB$3))</f>
        <v>0</v>
      </c>
      <c r="H54" s="4">
        <f>IF(ISNUMBER(SEARCH("营",'21.04.01'!P54)),(-$Y54+50*IF('21.04.01'!$AK54="是",'21.04.01'!$BB$4,'21.04.01'!$BB$3)),(VLOOKUP('21.04.01'!P54,'21.04.01'!$AO$4:$AQ$55,2,FALSE))*IF('21.04.01'!$AK54="是",'21.04.01'!$BB$4,'21.04.01'!$BB$3))</f>
        <v>0</v>
      </c>
      <c r="I54" s="4">
        <f>IF(ISNUMBER(SEARCH("营",'21.04.01'!Q54)),(-$Y54+50*IF('21.04.01'!$AK54="是",'21.04.01'!$BB$4,'21.04.01'!$BB$3)),(VLOOKUP('21.04.01'!Q54,'21.04.01'!$AO$4:$AQ$55,2,FALSE))*IF('21.04.01'!$AK54="是",'21.04.01'!$BB$4,'21.04.01'!$BB$3))</f>
        <v>0</v>
      </c>
      <c r="J54" s="4">
        <f>IF(ISNUMBER(SEARCH("营",'21.04.01'!R54)),(-$Y54+50*IF('21.04.01'!$AK54="是",'21.04.01'!$BB$4,'21.04.01'!$BB$3)),(VLOOKUP('21.04.01'!R54,'21.04.01'!$AO$4:$AQ$55,2,FALSE))*IF('21.04.01'!$AK54="是",'21.04.01'!$BB$4,'21.04.01'!$BB$3))</f>
        <v>0</v>
      </c>
      <c r="K54" s="4">
        <f>IF(ISNUMBER(SEARCH("营",'21.04.01'!S54)),(-$Y54+50*IF('21.04.01'!$AK54="是",'21.04.01'!$BB$4,'21.04.01'!$BB$3)),(VLOOKUP('21.04.01'!S54,'21.04.01'!$AO$4:$AQ$55,2,FALSE))*IF('21.04.01'!$AK54="是",'21.04.01'!$BB$4,'21.04.01'!$BB$3))</f>
        <v>0</v>
      </c>
      <c r="L54" s="4">
        <f>IF(ISNUMBER(SEARCH("营",'21.04.01'!T54)),(-$Y54+50*IF('21.04.01'!$AK54="是",'21.04.01'!$BB$4,'21.04.01'!$BB$3)),(VLOOKUP('21.04.01'!T54,'21.04.01'!$AO$4:$AQ$55,2,FALSE))*IF('21.04.01'!$AK54="是",'21.04.01'!$BB$4,'21.04.01'!$BB$3))</f>
        <v>0</v>
      </c>
      <c r="M54" s="4">
        <f>IF(ISNUMBER(SEARCH("营",'21.04.01'!U54)),(-$Y54+50*IF('21.04.01'!$AK54="是",'21.04.01'!$BB$4,'21.04.01'!$BB$3)),(VLOOKUP('21.04.01'!U54,'21.04.01'!$AO$4:$AQ$55,2,FALSE))*IF('21.04.01'!$AK54="是",'21.04.01'!$BB$4,'21.04.01'!$BB$3))</f>
        <v>0</v>
      </c>
      <c r="N54" s="4">
        <f>IF(ISNUMBER(SEARCH("营",'21.04.01'!V54)),(-$Y54+50*IF('21.04.01'!$AK54="是",'21.04.01'!$BB$4,'21.04.01'!$BB$3)),(VLOOKUP('21.04.01'!V54,'21.04.01'!$AO$4:$AQ$55,2,FALSE))*IF('21.04.01'!$AK54="是",'21.04.01'!$BB$4,'21.04.01'!$BB$3))</f>
        <v>0</v>
      </c>
      <c r="O54" s="4">
        <f>IF(ISNUMBER(SEARCH("营",'21.04.01'!W54)),(-$Y54+50*IF('21.04.01'!$AK54="是",'21.04.01'!$BB$4,'21.04.01'!$BB$3)),(VLOOKUP('21.04.01'!W54,'21.04.01'!$AO$4:$AQ$55,2,FALSE))*IF('21.04.01'!$AK54="是",'21.04.01'!$BB$4,'21.04.01'!$BB$3))</f>
        <v>0</v>
      </c>
      <c r="P54" s="4">
        <f>IF(ISNUMBER(SEARCH("营",'21.04.01'!X54)),(-$Y54+50*IF('21.04.01'!$AK54="是",'21.04.01'!$BB$4,'21.04.01'!$BB$3)),(VLOOKUP('21.04.01'!X54,'21.04.01'!$AO$4:$AQ$55,2,FALSE))*IF('21.04.01'!$AK54="是",'21.04.01'!$BB$4,'21.04.01'!$BB$3))</f>
        <v>0</v>
      </c>
      <c r="Q54" s="4">
        <f>IF(ISNUMBER(SEARCH("营",'21.04.01'!Y54)),(-$Y54+50*IF('21.04.01'!$AK54="是",'21.04.01'!$BB$4,'21.04.01'!$BB$3)),(VLOOKUP('21.04.01'!Y54,'21.04.01'!$AO$4:$AQ$55,2,FALSE))*IF('21.04.01'!$AK54="是",'21.04.01'!$BB$4,'21.04.01'!$BB$3))</f>
        <v>0</v>
      </c>
      <c r="R54" s="4">
        <f>IF(ISNUMBER(SEARCH("营",'21.04.01'!Z54)),(-$Y54+50*IF('21.04.01'!$AK54="是",'21.04.01'!$BB$4,'21.04.01'!$BB$3)),(VLOOKUP('21.04.01'!Z54,'21.04.01'!$AO$4:$AQ$55,2,FALSE))*IF('21.04.01'!$AK54="是",'21.04.01'!$BB$4,'21.04.01'!$BB$3))</f>
        <v>0</v>
      </c>
      <c r="S54" s="4">
        <f>IF(ISNUMBER(SEARCH("营",'21.04.01'!AA54)),(-$Y54+50*IF('21.04.01'!$AK54="是",'21.04.01'!$BB$4,'21.04.01'!$BB$3)),(VLOOKUP('21.04.01'!AA54,'21.04.01'!$AO$4:$AQ$55,2,FALSE))*IF('21.04.01'!$AK54="是",'21.04.01'!$BB$4,'21.04.01'!$BB$3))</f>
        <v>0</v>
      </c>
      <c r="T54" s="4">
        <f>IF(ISNUMBER(SEARCH("营",'21.04.01'!AB54)),(-$Y54+50*IF('21.04.01'!$AK54="是",'21.04.01'!$BB$4,'21.04.01'!$BB$3)),(VLOOKUP('21.04.01'!AB54,'21.04.01'!$AO$4:$AQ$55,2,FALSE))*IF('21.04.01'!$AK54="是",'21.04.01'!$BB$4,'21.04.01'!$BB$3))</f>
        <v>0</v>
      </c>
      <c r="U54" s="4">
        <f>IF(ISNUMBER(SEARCH("营",'21.04.01'!AC54)),(-$Y54+50*IF('21.04.01'!$AK54="是",'21.04.01'!$BB$4,'21.04.01'!$BB$3)),(VLOOKUP('21.04.01'!AC54,'21.04.01'!$AO$4:$AQ$55,2,FALSE))*IF('21.04.01'!$AK54="是",'21.04.01'!$BB$4,'21.04.01'!$BB$3))</f>
        <v>0</v>
      </c>
      <c r="V54" s="4">
        <f>IF(ISNUMBER(SEARCH("营",'21.04.01'!AD54)),(-$Y54+50*IF('21.04.01'!$AK54="是",'21.04.01'!$BB$4,'21.04.01'!$BB$3)),(VLOOKUP('21.04.01'!AD54,'21.04.01'!$AO$4:$AQ$55,2,FALSE))*IF('21.04.01'!$AK54="是",'21.04.01'!$BB$4,'21.04.01'!$BB$3))</f>
        <v>0</v>
      </c>
      <c r="W54" s="4">
        <f>IF(ISNUMBER(SEARCH("营",'21.04.01'!AE54)),(-$Y54+50*IF('21.04.01'!$AK54="是",'21.04.01'!$BB$4,'21.04.01'!$BB$3)),(VLOOKUP('21.04.01'!AE54,'21.04.01'!$AO$4:$AQ$55,2,FALSE))*IF('21.04.01'!$AK54="是",'21.04.01'!$BB$4,'21.04.01'!$BB$3))</f>
        <v>0</v>
      </c>
      <c r="X54" s="4">
        <f>IF(ISNUMBER(SEARCH("营",'21.04.01'!AF54)),(-$Y54+50*IF('21.04.01'!$AK54="是",'21.04.01'!$BB$4,'21.04.01'!$BB$3)),(VLOOKUP('21.04.01'!AF54,'21.04.01'!$AO$4:$AQ$55,2,FALSE))*IF('21.04.01'!$AK54="是",'21.04.01'!$BB$4,'21.04.01'!$BB$3))</f>
        <v>0</v>
      </c>
      <c r="Y54" s="64">
        <v>150</v>
      </c>
      <c r="Z54" s="87">
        <v>45962</v>
      </c>
    </row>
    <row r="55" spans="1:26">
      <c r="A55" s="4">
        <f>IF(ISNUMBER(SEARCH("营",'21.04.01'!I55)),(-$Y55+50*IF('21.04.01'!$AK55="是",'21.04.01'!$BB$4,'21.04.01'!$BB$3)),(VLOOKUP('21.04.01'!I55,'21.04.01'!$AO$4:$AQ$55,2,FALSE))*IF('21.04.01'!$AK55="是",'21.04.01'!$BB$4,'21.04.01'!$BB$3))</f>
        <v>0</v>
      </c>
      <c r="B55" s="4">
        <f>IF(ISNUMBER(SEARCH("营",'21.04.01'!J55)),(-$Y55+50*IF('21.04.01'!$AK55="是",'21.04.01'!$BB$4,'21.04.01'!$BB$3)),(VLOOKUP('21.04.01'!J55,'21.04.01'!$AO$4:$AQ$55,2,FALSE))*IF('21.04.01'!$AK55="是",'21.04.01'!$BB$4,'21.04.01'!$BB$3))</f>
        <v>0</v>
      </c>
      <c r="C55" s="4">
        <f>IF(ISNUMBER(SEARCH("营",'21.04.01'!K55)),(-$Y55+50*IF('21.04.01'!$AK55="是",'21.04.01'!$BB$4,'21.04.01'!$BB$3)),(VLOOKUP('21.04.01'!K55,'21.04.01'!$AO$4:$AQ$55,2,FALSE))*IF('21.04.01'!$AK55="是",'21.04.01'!$BB$4,'21.04.01'!$BB$3))</f>
        <v>0</v>
      </c>
      <c r="D55" s="4">
        <f>IF(ISNUMBER(SEARCH("营",'21.04.01'!L55)),(-$Y55+50*IF('21.04.01'!$AK55="是",'21.04.01'!$BB$4,'21.04.01'!$BB$3)),(VLOOKUP('21.04.01'!L55,'21.04.01'!$AO$4:$AQ$55,2,FALSE))*IF('21.04.01'!$AK55="是",'21.04.01'!$BB$4,'21.04.01'!$BB$3))</f>
        <v>0</v>
      </c>
      <c r="E55" s="4">
        <f>IF(ISNUMBER(SEARCH("营",'21.04.01'!M55)),(-$Y55+50*IF('21.04.01'!$AK55="是",'21.04.01'!$BB$4,'21.04.01'!$BB$3)),(VLOOKUP('21.04.01'!M55,'21.04.01'!$AO$4:$AQ$55,2,FALSE))*IF('21.04.01'!$AK55="是",'21.04.01'!$BB$4,'21.04.01'!$BB$3))</f>
        <v>0</v>
      </c>
      <c r="F55" s="4">
        <f>IF(ISNUMBER(SEARCH("营",'21.04.01'!N55)),(-$Y55+50*IF('21.04.01'!$AK55="是",'21.04.01'!$BB$4,'21.04.01'!$BB$3)),(VLOOKUP('21.04.01'!N55,'21.04.01'!$AO$4:$AQ$55,2,FALSE))*IF('21.04.01'!$AK55="是",'21.04.01'!$BB$4,'21.04.01'!$BB$3))</f>
        <v>0</v>
      </c>
      <c r="G55" s="4">
        <f>IF(ISNUMBER(SEARCH("营",'21.04.01'!O55)),(-$Y55+50*IF('21.04.01'!$AK55="是",'21.04.01'!$BB$4,'21.04.01'!$BB$3)),(VLOOKUP('21.04.01'!O55,'21.04.01'!$AO$4:$AQ$55,2,FALSE))*IF('21.04.01'!$AK55="是",'21.04.01'!$BB$4,'21.04.01'!$BB$3))</f>
        <v>0</v>
      </c>
      <c r="H55" s="4">
        <f>IF(ISNUMBER(SEARCH("营",'21.04.01'!P55)),(-$Y55+50*IF('21.04.01'!$AK55="是",'21.04.01'!$BB$4,'21.04.01'!$BB$3)),(VLOOKUP('21.04.01'!P55,'21.04.01'!$AO$4:$AQ$55,2,FALSE))*IF('21.04.01'!$AK55="是",'21.04.01'!$BB$4,'21.04.01'!$BB$3))</f>
        <v>0</v>
      </c>
      <c r="I55" s="4">
        <f>IF(ISNUMBER(SEARCH("营",'21.04.01'!Q55)),(-$Y55+50*IF('21.04.01'!$AK55="是",'21.04.01'!$BB$4,'21.04.01'!$BB$3)),(VLOOKUP('21.04.01'!Q55,'21.04.01'!$AO$4:$AQ$55,2,FALSE))*IF('21.04.01'!$AK55="是",'21.04.01'!$BB$4,'21.04.01'!$BB$3))</f>
        <v>0</v>
      </c>
      <c r="J55" s="4">
        <f>IF(ISNUMBER(SEARCH("营",'21.04.01'!R55)),(-$Y55+50*IF('21.04.01'!$AK55="是",'21.04.01'!$BB$4,'21.04.01'!$BB$3)),(VLOOKUP('21.04.01'!R55,'21.04.01'!$AO$4:$AQ$55,2,FALSE))*IF('21.04.01'!$AK55="是",'21.04.01'!$BB$4,'21.04.01'!$BB$3))</f>
        <v>0</v>
      </c>
      <c r="K55" s="4">
        <f>IF(ISNUMBER(SEARCH("营",'21.04.01'!S55)),(-$Y55+50*IF('21.04.01'!$AK55="是",'21.04.01'!$BB$4,'21.04.01'!$BB$3)),(VLOOKUP('21.04.01'!S55,'21.04.01'!$AO$4:$AQ$55,2,FALSE))*IF('21.04.01'!$AK55="是",'21.04.01'!$BB$4,'21.04.01'!$BB$3))</f>
        <v>0</v>
      </c>
      <c r="L55" s="4">
        <f>IF(ISNUMBER(SEARCH("营",'21.04.01'!T55)),(-$Y55+50*IF('21.04.01'!$AK55="是",'21.04.01'!$BB$4,'21.04.01'!$BB$3)),(VLOOKUP('21.04.01'!T55,'21.04.01'!$AO$4:$AQ$55,2,FALSE))*IF('21.04.01'!$AK55="是",'21.04.01'!$BB$4,'21.04.01'!$BB$3))</f>
        <v>0</v>
      </c>
      <c r="M55" s="4">
        <f>IF(ISNUMBER(SEARCH("营",'21.04.01'!U55)),(-$Y55+50*IF('21.04.01'!$AK55="是",'21.04.01'!$BB$4,'21.04.01'!$BB$3)),(VLOOKUP('21.04.01'!U55,'21.04.01'!$AO$4:$AQ$55,2,FALSE))*IF('21.04.01'!$AK55="是",'21.04.01'!$BB$4,'21.04.01'!$BB$3))</f>
        <v>0</v>
      </c>
      <c r="N55" s="4">
        <f>IF(ISNUMBER(SEARCH("营",'21.04.01'!V55)),(-$Y55+50*IF('21.04.01'!$AK55="是",'21.04.01'!$BB$4,'21.04.01'!$BB$3)),(VLOOKUP('21.04.01'!V55,'21.04.01'!$AO$4:$AQ$55,2,FALSE))*IF('21.04.01'!$AK55="是",'21.04.01'!$BB$4,'21.04.01'!$BB$3))</f>
        <v>0</v>
      </c>
      <c r="O55" s="4">
        <f>IF(ISNUMBER(SEARCH("营",'21.04.01'!W55)),(-$Y55+50*IF('21.04.01'!$AK55="是",'21.04.01'!$BB$4,'21.04.01'!$BB$3)),(VLOOKUP('21.04.01'!W55,'21.04.01'!$AO$4:$AQ$55,2,FALSE))*IF('21.04.01'!$AK55="是",'21.04.01'!$BB$4,'21.04.01'!$BB$3))</f>
        <v>0</v>
      </c>
      <c r="P55" s="4">
        <f>IF(ISNUMBER(SEARCH("营",'21.04.01'!X55)),(-$Y55+50*IF('21.04.01'!$AK55="是",'21.04.01'!$BB$4,'21.04.01'!$BB$3)),(VLOOKUP('21.04.01'!X55,'21.04.01'!$AO$4:$AQ$55,2,FALSE))*IF('21.04.01'!$AK55="是",'21.04.01'!$BB$4,'21.04.01'!$BB$3))</f>
        <v>0</v>
      </c>
      <c r="Q55" s="4">
        <f>IF(ISNUMBER(SEARCH("营",'21.04.01'!Y55)),(-$Y55+50*IF('21.04.01'!$AK55="是",'21.04.01'!$BB$4,'21.04.01'!$BB$3)),(VLOOKUP('21.04.01'!Y55,'21.04.01'!$AO$4:$AQ$55,2,FALSE))*IF('21.04.01'!$AK55="是",'21.04.01'!$BB$4,'21.04.01'!$BB$3))</f>
        <v>0</v>
      </c>
      <c r="R55" s="4">
        <f>IF(ISNUMBER(SEARCH("营",'21.04.01'!Z55)),(-$Y55+50*IF('21.04.01'!$AK55="是",'21.04.01'!$BB$4,'21.04.01'!$BB$3)),(VLOOKUP('21.04.01'!Z55,'21.04.01'!$AO$4:$AQ$55,2,FALSE))*IF('21.04.01'!$AK55="是",'21.04.01'!$BB$4,'21.04.01'!$BB$3))</f>
        <v>0</v>
      </c>
      <c r="S55" s="4">
        <f>IF(ISNUMBER(SEARCH("营",'21.04.01'!AA55)),(-$Y55+50*IF('21.04.01'!$AK55="是",'21.04.01'!$BB$4,'21.04.01'!$BB$3)),(VLOOKUP('21.04.01'!AA55,'21.04.01'!$AO$4:$AQ$55,2,FALSE))*IF('21.04.01'!$AK55="是",'21.04.01'!$BB$4,'21.04.01'!$BB$3))</f>
        <v>0</v>
      </c>
      <c r="T55" s="4">
        <f>IF(ISNUMBER(SEARCH("营",'21.04.01'!AB55)),(-$Y55+50*IF('21.04.01'!$AK55="是",'21.04.01'!$BB$4,'21.04.01'!$BB$3)),(VLOOKUP('21.04.01'!AB55,'21.04.01'!$AO$4:$AQ$55,2,FALSE))*IF('21.04.01'!$AK55="是",'21.04.01'!$BB$4,'21.04.01'!$BB$3))</f>
        <v>0</v>
      </c>
      <c r="U55" s="4">
        <f>IF(ISNUMBER(SEARCH("营",'21.04.01'!AC55)),(-$Y55+50*IF('21.04.01'!$AK55="是",'21.04.01'!$BB$4,'21.04.01'!$BB$3)),(VLOOKUP('21.04.01'!AC55,'21.04.01'!$AO$4:$AQ$55,2,FALSE))*IF('21.04.01'!$AK55="是",'21.04.01'!$BB$4,'21.04.01'!$BB$3))</f>
        <v>0</v>
      </c>
      <c r="V55" s="4">
        <f>IF(ISNUMBER(SEARCH("营",'21.04.01'!AD55)),(-$Y55+50*IF('21.04.01'!$AK55="是",'21.04.01'!$BB$4,'21.04.01'!$BB$3)),(VLOOKUP('21.04.01'!AD55,'21.04.01'!$AO$4:$AQ$55,2,FALSE))*IF('21.04.01'!$AK55="是",'21.04.01'!$BB$4,'21.04.01'!$BB$3))</f>
        <v>0</v>
      </c>
      <c r="W55" s="4">
        <f>IF(ISNUMBER(SEARCH("营",'21.04.01'!AE55)),(-$Y55+50*IF('21.04.01'!$AK55="是",'21.04.01'!$BB$4,'21.04.01'!$BB$3)),(VLOOKUP('21.04.01'!AE55,'21.04.01'!$AO$4:$AQ$55,2,FALSE))*IF('21.04.01'!$AK55="是",'21.04.01'!$BB$4,'21.04.01'!$BB$3))</f>
        <v>0</v>
      </c>
      <c r="X55" s="4">
        <f>IF(ISNUMBER(SEARCH("营",'21.04.01'!AF55)),(-$Y55+50*IF('21.04.01'!$AK55="是",'21.04.01'!$BB$4,'21.04.01'!$BB$3)),(VLOOKUP('21.04.01'!AF55,'21.04.01'!$AO$4:$AQ$55,2,FALSE))*IF('21.04.01'!$AK55="是",'21.04.01'!$BB$4,'21.04.01'!$BB$3))</f>
        <v>0</v>
      </c>
      <c r="Y55" s="64">
        <v>150</v>
      </c>
      <c r="Z55" s="87">
        <v>45963</v>
      </c>
    </row>
    <row r="56" spans="1:26">
      <c r="A56" s="4">
        <f>IF(ISNUMBER(SEARCH("营",'21.04.01'!I56)),(-$Y56+50*IF('21.04.01'!$AK56="是",'21.04.01'!$BB$4,'21.04.01'!$BB$3)),(VLOOKUP('21.04.01'!I56,'21.04.01'!$AO$4:$AQ$55,2,FALSE))*IF('21.04.01'!$AK56="是",'21.04.01'!$BB$4,'21.04.01'!$BB$3))</f>
        <v>0</v>
      </c>
      <c r="B56" s="4">
        <f>IF(ISNUMBER(SEARCH("营",'21.04.01'!J56)),(-$Y56+50*IF('21.04.01'!$AK56="是",'21.04.01'!$BB$4,'21.04.01'!$BB$3)),(VLOOKUP('21.04.01'!J56,'21.04.01'!$AO$4:$AQ$55,2,FALSE))*IF('21.04.01'!$AK56="是",'21.04.01'!$BB$4,'21.04.01'!$BB$3))</f>
        <v>0</v>
      </c>
      <c r="C56" s="4">
        <f>IF(ISNUMBER(SEARCH("营",'21.04.01'!K56)),(-$Y56+50*IF('21.04.01'!$AK56="是",'21.04.01'!$BB$4,'21.04.01'!$BB$3)),(VLOOKUP('21.04.01'!K56,'21.04.01'!$AO$4:$AQ$55,2,FALSE))*IF('21.04.01'!$AK56="是",'21.04.01'!$BB$4,'21.04.01'!$BB$3))</f>
        <v>0</v>
      </c>
      <c r="D56" s="4">
        <f>IF(ISNUMBER(SEARCH("营",'21.04.01'!L56)),(-$Y56+50*IF('21.04.01'!$AK56="是",'21.04.01'!$BB$4,'21.04.01'!$BB$3)),(VLOOKUP('21.04.01'!L56,'21.04.01'!$AO$4:$AQ$55,2,FALSE))*IF('21.04.01'!$AK56="是",'21.04.01'!$BB$4,'21.04.01'!$BB$3))</f>
        <v>0</v>
      </c>
      <c r="E56" s="4">
        <f>IF(ISNUMBER(SEARCH("营",'21.04.01'!M56)),(-$Y56+50*IF('21.04.01'!$AK56="是",'21.04.01'!$BB$4,'21.04.01'!$BB$3)),(VLOOKUP('21.04.01'!M56,'21.04.01'!$AO$4:$AQ$55,2,FALSE))*IF('21.04.01'!$AK56="是",'21.04.01'!$BB$4,'21.04.01'!$BB$3))</f>
        <v>0</v>
      </c>
      <c r="F56" s="4">
        <f>IF(ISNUMBER(SEARCH("营",'21.04.01'!N56)),(-$Y56+50*IF('21.04.01'!$AK56="是",'21.04.01'!$BB$4,'21.04.01'!$BB$3)),(VLOOKUP('21.04.01'!N56,'21.04.01'!$AO$4:$AQ$55,2,FALSE))*IF('21.04.01'!$AK56="是",'21.04.01'!$BB$4,'21.04.01'!$BB$3))</f>
        <v>0</v>
      </c>
      <c r="G56" s="4">
        <f>IF(ISNUMBER(SEARCH("营",'21.04.01'!O56)),(-$Y56+50*IF('21.04.01'!$AK56="是",'21.04.01'!$BB$4,'21.04.01'!$BB$3)),(VLOOKUP('21.04.01'!O56,'21.04.01'!$AO$4:$AQ$55,2,FALSE))*IF('21.04.01'!$AK56="是",'21.04.01'!$BB$4,'21.04.01'!$BB$3))</f>
        <v>0</v>
      </c>
      <c r="H56" s="4">
        <f>IF(ISNUMBER(SEARCH("营",'21.04.01'!P56)),(-$Y56+50*IF('21.04.01'!$AK56="是",'21.04.01'!$BB$4,'21.04.01'!$BB$3)),(VLOOKUP('21.04.01'!P56,'21.04.01'!$AO$4:$AQ$55,2,FALSE))*IF('21.04.01'!$AK56="是",'21.04.01'!$BB$4,'21.04.01'!$BB$3))</f>
        <v>0</v>
      </c>
      <c r="I56" s="4">
        <f>IF(ISNUMBER(SEARCH("营",'21.04.01'!Q56)),(-$Y56+50*IF('21.04.01'!$AK56="是",'21.04.01'!$BB$4,'21.04.01'!$BB$3)),(VLOOKUP('21.04.01'!Q56,'21.04.01'!$AO$4:$AQ$55,2,FALSE))*IF('21.04.01'!$AK56="是",'21.04.01'!$BB$4,'21.04.01'!$BB$3))</f>
        <v>0</v>
      </c>
      <c r="J56" s="4">
        <f>IF(ISNUMBER(SEARCH("营",'21.04.01'!R56)),(-$Y56+50*IF('21.04.01'!$AK56="是",'21.04.01'!$BB$4,'21.04.01'!$BB$3)),(VLOOKUP('21.04.01'!R56,'21.04.01'!$AO$4:$AQ$55,2,FALSE))*IF('21.04.01'!$AK56="是",'21.04.01'!$BB$4,'21.04.01'!$BB$3))</f>
        <v>0</v>
      </c>
      <c r="K56" s="4">
        <f>IF(ISNUMBER(SEARCH("营",'21.04.01'!S56)),(-$Y56+50*IF('21.04.01'!$AK56="是",'21.04.01'!$BB$4,'21.04.01'!$BB$3)),(VLOOKUP('21.04.01'!S56,'21.04.01'!$AO$4:$AQ$55,2,FALSE))*IF('21.04.01'!$AK56="是",'21.04.01'!$BB$4,'21.04.01'!$BB$3))</f>
        <v>0</v>
      </c>
      <c r="L56" s="4">
        <f>IF(ISNUMBER(SEARCH("营",'21.04.01'!T56)),(-$Y56+50*IF('21.04.01'!$AK56="是",'21.04.01'!$BB$4,'21.04.01'!$BB$3)),(VLOOKUP('21.04.01'!T56,'21.04.01'!$AO$4:$AQ$55,2,FALSE))*IF('21.04.01'!$AK56="是",'21.04.01'!$BB$4,'21.04.01'!$BB$3))</f>
        <v>0</v>
      </c>
      <c r="M56" s="4">
        <f>IF(ISNUMBER(SEARCH("营",'21.04.01'!U56)),(-$Y56+50*IF('21.04.01'!$AK56="是",'21.04.01'!$BB$4,'21.04.01'!$BB$3)),(VLOOKUP('21.04.01'!U56,'21.04.01'!$AO$4:$AQ$55,2,FALSE))*IF('21.04.01'!$AK56="是",'21.04.01'!$BB$4,'21.04.01'!$BB$3))</f>
        <v>0</v>
      </c>
      <c r="N56" s="4">
        <f>IF(ISNUMBER(SEARCH("营",'21.04.01'!V56)),(-$Y56+50*IF('21.04.01'!$AK56="是",'21.04.01'!$BB$4,'21.04.01'!$BB$3)),(VLOOKUP('21.04.01'!V56,'21.04.01'!$AO$4:$AQ$55,2,FALSE))*IF('21.04.01'!$AK56="是",'21.04.01'!$BB$4,'21.04.01'!$BB$3))</f>
        <v>0</v>
      </c>
      <c r="O56" s="4">
        <f>IF(ISNUMBER(SEARCH("营",'21.04.01'!W56)),(-$Y56+50*IF('21.04.01'!$AK56="是",'21.04.01'!$BB$4,'21.04.01'!$BB$3)),(VLOOKUP('21.04.01'!W56,'21.04.01'!$AO$4:$AQ$55,2,FALSE))*IF('21.04.01'!$AK56="是",'21.04.01'!$BB$4,'21.04.01'!$BB$3))</f>
        <v>0</v>
      </c>
      <c r="P56" s="4">
        <f>IF(ISNUMBER(SEARCH("营",'21.04.01'!X56)),(-$Y56+50*IF('21.04.01'!$AK56="是",'21.04.01'!$BB$4,'21.04.01'!$BB$3)),(VLOOKUP('21.04.01'!X56,'21.04.01'!$AO$4:$AQ$55,2,FALSE))*IF('21.04.01'!$AK56="是",'21.04.01'!$BB$4,'21.04.01'!$BB$3))</f>
        <v>0</v>
      </c>
      <c r="Q56" s="4">
        <f>IF(ISNUMBER(SEARCH("营",'21.04.01'!Y56)),(-$Y56+50*IF('21.04.01'!$AK56="是",'21.04.01'!$BB$4,'21.04.01'!$BB$3)),(VLOOKUP('21.04.01'!Y56,'21.04.01'!$AO$4:$AQ$55,2,FALSE))*IF('21.04.01'!$AK56="是",'21.04.01'!$BB$4,'21.04.01'!$BB$3))</f>
        <v>0</v>
      </c>
      <c r="R56" s="4">
        <f>IF(ISNUMBER(SEARCH("营",'21.04.01'!Z56)),(-$Y56+50*IF('21.04.01'!$AK56="是",'21.04.01'!$BB$4,'21.04.01'!$BB$3)),(VLOOKUP('21.04.01'!Z56,'21.04.01'!$AO$4:$AQ$55,2,FALSE))*IF('21.04.01'!$AK56="是",'21.04.01'!$BB$4,'21.04.01'!$BB$3))</f>
        <v>0</v>
      </c>
      <c r="S56" s="4">
        <f>IF(ISNUMBER(SEARCH("营",'21.04.01'!AA56)),(-$Y56+50*IF('21.04.01'!$AK56="是",'21.04.01'!$BB$4,'21.04.01'!$BB$3)),(VLOOKUP('21.04.01'!AA56,'21.04.01'!$AO$4:$AQ$55,2,FALSE))*IF('21.04.01'!$AK56="是",'21.04.01'!$BB$4,'21.04.01'!$BB$3))</f>
        <v>0</v>
      </c>
      <c r="T56" s="4">
        <f>IF(ISNUMBER(SEARCH("营",'21.04.01'!AB56)),(-$Y56+50*IF('21.04.01'!$AK56="是",'21.04.01'!$BB$4,'21.04.01'!$BB$3)),(VLOOKUP('21.04.01'!AB56,'21.04.01'!$AO$4:$AQ$55,2,FALSE))*IF('21.04.01'!$AK56="是",'21.04.01'!$BB$4,'21.04.01'!$BB$3))</f>
        <v>0</v>
      </c>
      <c r="U56" s="4">
        <f>IF(ISNUMBER(SEARCH("营",'21.04.01'!AC56)),(-$Y56+50*IF('21.04.01'!$AK56="是",'21.04.01'!$BB$4,'21.04.01'!$BB$3)),(VLOOKUP('21.04.01'!AC56,'21.04.01'!$AO$4:$AQ$55,2,FALSE))*IF('21.04.01'!$AK56="是",'21.04.01'!$BB$4,'21.04.01'!$BB$3))</f>
        <v>0</v>
      </c>
      <c r="V56" s="4">
        <f>IF(ISNUMBER(SEARCH("营",'21.04.01'!AD56)),(-$Y56+50*IF('21.04.01'!$AK56="是",'21.04.01'!$BB$4,'21.04.01'!$BB$3)),(VLOOKUP('21.04.01'!AD56,'21.04.01'!$AO$4:$AQ$55,2,FALSE))*IF('21.04.01'!$AK56="是",'21.04.01'!$BB$4,'21.04.01'!$BB$3))</f>
        <v>0</v>
      </c>
      <c r="W56" s="4">
        <f>IF(ISNUMBER(SEARCH("营",'21.04.01'!AE56)),(-$Y56+50*IF('21.04.01'!$AK56="是",'21.04.01'!$BB$4,'21.04.01'!$BB$3)),(VLOOKUP('21.04.01'!AE56,'21.04.01'!$AO$4:$AQ$55,2,FALSE))*IF('21.04.01'!$AK56="是",'21.04.01'!$BB$4,'21.04.01'!$BB$3))</f>
        <v>0</v>
      </c>
      <c r="X56" s="4">
        <f>IF(ISNUMBER(SEARCH("营",'21.04.01'!AF56)),(-$Y56+50*IF('21.04.01'!$AK56="是",'21.04.01'!$BB$4,'21.04.01'!$BB$3)),(VLOOKUP('21.04.01'!AF56,'21.04.01'!$AO$4:$AQ$55,2,FALSE))*IF('21.04.01'!$AK56="是",'21.04.01'!$BB$4,'21.04.01'!$BB$3))</f>
        <v>0</v>
      </c>
      <c r="Y56" s="64">
        <v>150</v>
      </c>
      <c r="Z56" s="87">
        <v>45964</v>
      </c>
    </row>
    <row r="57" spans="1:26">
      <c r="A57" s="4">
        <f>IF(ISNUMBER(SEARCH("营",'21.04.01'!I57)),(-$Y57+50*IF('21.04.01'!$AK57="是",'21.04.01'!$BB$4,'21.04.01'!$BB$3)),(VLOOKUP('21.04.01'!I57,'21.04.01'!$AO$4:$AQ$55,2,FALSE))*IF('21.04.01'!$AK57="是",'21.04.01'!$BB$4,'21.04.01'!$BB$3))</f>
        <v>0</v>
      </c>
      <c r="B57" s="4">
        <f>IF(ISNUMBER(SEARCH("营",'21.04.01'!J57)),(-$Y57+50*IF('21.04.01'!$AK57="是",'21.04.01'!$BB$4,'21.04.01'!$BB$3)),(VLOOKUP('21.04.01'!J57,'21.04.01'!$AO$4:$AQ$55,2,FALSE))*IF('21.04.01'!$AK57="是",'21.04.01'!$BB$4,'21.04.01'!$BB$3))</f>
        <v>0</v>
      </c>
      <c r="C57" s="4">
        <f>IF(ISNUMBER(SEARCH("营",'21.04.01'!K57)),(-$Y57+50*IF('21.04.01'!$AK57="是",'21.04.01'!$BB$4,'21.04.01'!$BB$3)),(VLOOKUP('21.04.01'!K57,'21.04.01'!$AO$4:$AQ$55,2,FALSE))*IF('21.04.01'!$AK57="是",'21.04.01'!$BB$4,'21.04.01'!$BB$3))</f>
        <v>0</v>
      </c>
      <c r="D57" s="4">
        <f>IF(ISNUMBER(SEARCH("营",'21.04.01'!L57)),(-$Y57+50*IF('21.04.01'!$AK57="是",'21.04.01'!$BB$4,'21.04.01'!$BB$3)),(VLOOKUP('21.04.01'!L57,'21.04.01'!$AO$4:$AQ$55,2,FALSE))*IF('21.04.01'!$AK57="是",'21.04.01'!$BB$4,'21.04.01'!$BB$3))</f>
        <v>0</v>
      </c>
      <c r="E57" s="4">
        <f>IF(ISNUMBER(SEARCH("营",'21.04.01'!M57)),(-$Y57+50*IF('21.04.01'!$AK57="是",'21.04.01'!$BB$4,'21.04.01'!$BB$3)),(VLOOKUP('21.04.01'!M57,'21.04.01'!$AO$4:$AQ$55,2,FALSE))*IF('21.04.01'!$AK57="是",'21.04.01'!$BB$4,'21.04.01'!$BB$3))</f>
        <v>0</v>
      </c>
      <c r="F57" s="4">
        <f>IF(ISNUMBER(SEARCH("营",'21.04.01'!N57)),(-$Y57+50*IF('21.04.01'!$AK57="是",'21.04.01'!$BB$4,'21.04.01'!$BB$3)),(VLOOKUP('21.04.01'!N57,'21.04.01'!$AO$4:$AQ$55,2,FALSE))*IF('21.04.01'!$AK57="是",'21.04.01'!$BB$4,'21.04.01'!$BB$3))</f>
        <v>0</v>
      </c>
      <c r="G57" s="4">
        <f>IF(ISNUMBER(SEARCH("营",'21.04.01'!O57)),(-$Y57+50*IF('21.04.01'!$AK57="是",'21.04.01'!$BB$4,'21.04.01'!$BB$3)),(VLOOKUP('21.04.01'!O57,'21.04.01'!$AO$4:$AQ$55,2,FALSE))*IF('21.04.01'!$AK57="是",'21.04.01'!$BB$4,'21.04.01'!$BB$3))</f>
        <v>0</v>
      </c>
      <c r="H57" s="4">
        <f>IF(ISNUMBER(SEARCH("营",'21.04.01'!P57)),(-$Y57+50*IF('21.04.01'!$AK57="是",'21.04.01'!$BB$4,'21.04.01'!$BB$3)),(VLOOKUP('21.04.01'!P57,'21.04.01'!$AO$4:$AQ$55,2,FALSE))*IF('21.04.01'!$AK57="是",'21.04.01'!$BB$4,'21.04.01'!$BB$3))</f>
        <v>0</v>
      </c>
      <c r="I57" s="4">
        <f>IF(ISNUMBER(SEARCH("营",'21.04.01'!Q57)),(-$Y57+50*IF('21.04.01'!$AK57="是",'21.04.01'!$BB$4,'21.04.01'!$BB$3)),(VLOOKUP('21.04.01'!Q57,'21.04.01'!$AO$4:$AQ$55,2,FALSE))*IF('21.04.01'!$AK57="是",'21.04.01'!$BB$4,'21.04.01'!$BB$3))</f>
        <v>0</v>
      </c>
      <c r="J57" s="4">
        <f>IF(ISNUMBER(SEARCH("营",'21.04.01'!R57)),(-$Y57+50*IF('21.04.01'!$AK57="是",'21.04.01'!$BB$4,'21.04.01'!$BB$3)),(VLOOKUP('21.04.01'!R57,'21.04.01'!$AO$4:$AQ$55,2,FALSE))*IF('21.04.01'!$AK57="是",'21.04.01'!$BB$4,'21.04.01'!$BB$3))</f>
        <v>0</v>
      </c>
      <c r="K57" s="4">
        <f>IF(ISNUMBER(SEARCH("营",'21.04.01'!S57)),(-$Y57+50*IF('21.04.01'!$AK57="是",'21.04.01'!$BB$4,'21.04.01'!$BB$3)),(VLOOKUP('21.04.01'!S57,'21.04.01'!$AO$4:$AQ$55,2,FALSE))*IF('21.04.01'!$AK57="是",'21.04.01'!$BB$4,'21.04.01'!$BB$3))</f>
        <v>0</v>
      </c>
      <c r="L57" s="4">
        <f>IF(ISNUMBER(SEARCH("营",'21.04.01'!T57)),(-$Y57+50*IF('21.04.01'!$AK57="是",'21.04.01'!$BB$4,'21.04.01'!$BB$3)),(VLOOKUP('21.04.01'!T57,'21.04.01'!$AO$4:$AQ$55,2,FALSE))*IF('21.04.01'!$AK57="是",'21.04.01'!$BB$4,'21.04.01'!$BB$3))</f>
        <v>0</v>
      </c>
      <c r="M57" s="4">
        <f>IF(ISNUMBER(SEARCH("营",'21.04.01'!U57)),(-$Y57+50*IF('21.04.01'!$AK57="是",'21.04.01'!$BB$4,'21.04.01'!$BB$3)),(VLOOKUP('21.04.01'!U57,'21.04.01'!$AO$4:$AQ$55,2,FALSE))*IF('21.04.01'!$AK57="是",'21.04.01'!$BB$4,'21.04.01'!$BB$3))</f>
        <v>0</v>
      </c>
      <c r="N57" s="4">
        <f>IF(ISNUMBER(SEARCH("营",'21.04.01'!V57)),(-$Y57+50*IF('21.04.01'!$AK57="是",'21.04.01'!$BB$4,'21.04.01'!$BB$3)),(VLOOKUP('21.04.01'!V57,'21.04.01'!$AO$4:$AQ$55,2,FALSE))*IF('21.04.01'!$AK57="是",'21.04.01'!$BB$4,'21.04.01'!$BB$3))</f>
        <v>0</v>
      </c>
      <c r="O57" s="4">
        <f>IF(ISNUMBER(SEARCH("营",'21.04.01'!W57)),(-$Y57+50*IF('21.04.01'!$AK57="是",'21.04.01'!$BB$4,'21.04.01'!$BB$3)),(VLOOKUP('21.04.01'!W57,'21.04.01'!$AO$4:$AQ$55,2,FALSE))*IF('21.04.01'!$AK57="是",'21.04.01'!$BB$4,'21.04.01'!$BB$3))</f>
        <v>0</v>
      </c>
      <c r="P57" s="4">
        <f>IF(ISNUMBER(SEARCH("营",'21.04.01'!X57)),(-$Y57+50*IF('21.04.01'!$AK57="是",'21.04.01'!$BB$4,'21.04.01'!$BB$3)),(VLOOKUP('21.04.01'!X57,'21.04.01'!$AO$4:$AQ$55,2,FALSE))*IF('21.04.01'!$AK57="是",'21.04.01'!$BB$4,'21.04.01'!$BB$3))</f>
        <v>0</v>
      </c>
      <c r="Q57" s="4">
        <f>IF(ISNUMBER(SEARCH("营",'21.04.01'!Y57)),(-$Y57+50*IF('21.04.01'!$AK57="是",'21.04.01'!$BB$4,'21.04.01'!$BB$3)),(VLOOKUP('21.04.01'!Y57,'21.04.01'!$AO$4:$AQ$55,2,FALSE))*IF('21.04.01'!$AK57="是",'21.04.01'!$BB$4,'21.04.01'!$BB$3))</f>
        <v>0</v>
      </c>
      <c r="R57" s="4">
        <f>IF(ISNUMBER(SEARCH("营",'21.04.01'!Z57)),(-$Y57+50*IF('21.04.01'!$AK57="是",'21.04.01'!$BB$4,'21.04.01'!$BB$3)),(VLOOKUP('21.04.01'!Z57,'21.04.01'!$AO$4:$AQ$55,2,FALSE))*IF('21.04.01'!$AK57="是",'21.04.01'!$BB$4,'21.04.01'!$BB$3))</f>
        <v>0</v>
      </c>
      <c r="S57" s="4">
        <f>IF(ISNUMBER(SEARCH("营",'21.04.01'!AA57)),(-$Y57+50*IF('21.04.01'!$AK57="是",'21.04.01'!$BB$4,'21.04.01'!$BB$3)),(VLOOKUP('21.04.01'!AA57,'21.04.01'!$AO$4:$AQ$55,2,FALSE))*IF('21.04.01'!$AK57="是",'21.04.01'!$BB$4,'21.04.01'!$BB$3))</f>
        <v>0</v>
      </c>
      <c r="T57" s="4">
        <f>IF(ISNUMBER(SEARCH("营",'21.04.01'!AB57)),(-$Y57+50*IF('21.04.01'!$AK57="是",'21.04.01'!$BB$4,'21.04.01'!$BB$3)),(VLOOKUP('21.04.01'!AB57,'21.04.01'!$AO$4:$AQ$55,2,FALSE))*IF('21.04.01'!$AK57="是",'21.04.01'!$BB$4,'21.04.01'!$BB$3))</f>
        <v>0</v>
      </c>
      <c r="U57" s="4">
        <f>IF(ISNUMBER(SEARCH("营",'21.04.01'!AC57)),(-$Y57+50*IF('21.04.01'!$AK57="是",'21.04.01'!$BB$4,'21.04.01'!$BB$3)),(VLOOKUP('21.04.01'!AC57,'21.04.01'!$AO$4:$AQ$55,2,FALSE))*IF('21.04.01'!$AK57="是",'21.04.01'!$BB$4,'21.04.01'!$BB$3))</f>
        <v>0</v>
      </c>
      <c r="V57" s="4">
        <f>IF(ISNUMBER(SEARCH("营",'21.04.01'!AD57)),(-$Y57+50*IF('21.04.01'!$AK57="是",'21.04.01'!$BB$4,'21.04.01'!$BB$3)),(VLOOKUP('21.04.01'!AD57,'21.04.01'!$AO$4:$AQ$55,2,FALSE))*IF('21.04.01'!$AK57="是",'21.04.01'!$BB$4,'21.04.01'!$BB$3))</f>
        <v>0</v>
      </c>
      <c r="W57" s="4">
        <f>IF(ISNUMBER(SEARCH("营",'21.04.01'!AE57)),(-$Y57+50*IF('21.04.01'!$AK57="是",'21.04.01'!$BB$4,'21.04.01'!$BB$3)),(VLOOKUP('21.04.01'!AE57,'21.04.01'!$AO$4:$AQ$55,2,FALSE))*IF('21.04.01'!$AK57="是",'21.04.01'!$BB$4,'21.04.01'!$BB$3))</f>
        <v>0</v>
      </c>
      <c r="X57" s="4">
        <f>IF(ISNUMBER(SEARCH("营",'21.04.01'!AF57)),(-$Y57+50*IF('21.04.01'!$AK57="是",'21.04.01'!$BB$4,'21.04.01'!$BB$3)),(VLOOKUP('21.04.01'!AF57,'21.04.01'!$AO$4:$AQ$55,2,FALSE))*IF('21.04.01'!$AK57="是",'21.04.01'!$BB$4,'21.04.01'!$BB$3))</f>
        <v>0</v>
      </c>
      <c r="Y57" s="64">
        <v>150</v>
      </c>
      <c r="Z57" s="87">
        <v>45965</v>
      </c>
    </row>
    <row r="58" spans="1:26">
      <c r="A58" s="4">
        <f>IF(ISNUMBER(SEARCH("营",'21.04.01'!I58)),(-$Y58+50*IF('21.04.01'!$AK58="是",'21.04.01'!$BB$4,'21.04.01'!$BB$3)),(VLOOKUP('21.04.01'!I58,'21.04.01'!$AO$4:$AQ$55,2,FALSE))*IF('21.04.01'!$AK58="是",'21.04.01'!$BB$4,'21.04.01'!$BB$3))</f>
        <v>0</v>
      </c>
      <c r="B58" s="4">
        <f>IF(ISNUMBER(SEARCH("营",'21.04.01'!J58)),(-$Y58+50*IF('21.04.01'!$AK58="是",'21.04.01'!$BB$4,'21.04.01'!$BB$3)),(VLOOKUP('21.04.01'!J58,'21.04.01'!$AO$4:$AQ$55,2,FALSE))*IF('21.04.01'!$AK58="是",'21.04.01'!$BB$4,'21.04.01'!$BB$3))</f>
        <v>0</v>
      </c>
      <c r="C58" s="4">
        <f>IF(ISNUMBER(SEARCH("营",'21.04.01'!K58)),(-$Y58+50*IF('21.04.01'!$AK58="是",'21.04.01'!$BB$4,'21.04.01'!$BB$3)),(VLOOKUP('21.04.01'!K58,'21.04.01'!$AO$4:$AQ$55,2,FALSE))*IF('21.04.01'!$AK58="是",'21.04.01'!$BB$4,'21.04.01'!$BB$3))</f>
        <v>0</v>
      </c>
      <c r="D58" s="4">
        <f>IF(ISNUMBER(SEARCH("营",'21.04.01'!L58)),(-$Y58+50*IF('21.04.01'!$AK58="是",'21.04.01'!$BB$4,'21.04.01'!$BB$3)),(VLOOKUP('21.04.01'!L58,'21.04.01'!$AO$4:$AQ$55,2,FALSE))*IF('21.04.01'!$AK58="是",'21.04.01'!$BB$4,'21.04.01'!$BB$3))</f>
        <v>0</v>
      </c>
      <c r="E58" s="4">
        <f>IF(ISNUMBER(SEARCH("营",'21.04.01'!M58)),(-$Y58+50*IF('21.04.01'!$AK58="是",'21.04.01'!$BB$4,'21.04.01'!$BB$3)),(VLOOKUP('21.04.01'!M58,'21.04.01'!$AO$4:$AQ$55,2,FALSE))*IF('21.04.01'!$AK58="是",'21.04.01'!$BB$4,'21.04.01'!$BB$3))</f>
        <v>0</v>
      </c>
      <c r="F58" s="4">
        <f>IF(ISNUMBER(SEARCH("营",'21.04.01'!N58)),(-$Y58+50*IF('21.04.01'!$AK58="是",'21.04.01'!$BB$4,'21.04.01'!$BB$3)),(VLOOKUP('21.04.01'!N58,'21.04.01'!$AO$4:$AQ$55,2,FALSE))*IF('21.04.01'!$AK58="是",'21.04.01'!$BB$4,'21.04.01'!$BB$3))</f>
        <v>0</v>
      </c>
      <c r="G58" s="4">
        <f>IF(ISNUMBER(SEARCH("营",'21.04.01'!O58)),(-$Y58+50*IF('21.04.01'!$AK58="是",'21.04.01'!$BB$4,'21.04.01'!$BB$3)),(VLOOKUP('21.04.01'!O58,'21.04.01'!$AO$4:$AQ$55,2,FALSE))*IF('21.04.01'!$AK58="是",'21.04.01'!$BB$4,'21.04.01'!$BB$3))</f>
        <v>0</v>
      </c>
      <c r="H58" s="4">
        <f>IF(ISNUMBER(SEARCH("营",'21.04.01'!P58)),(-$Y58+50*IF('21.04.01'!$AK58="是",'21.04.01'!$BB$4,'21.04.01'!$BB$3)),(VLOOKUP('21.04.01'!P58,'21.04.01'!$AO$4:$AQ$55,2,FALSE))*IF('21.04.01'!$AK58="是",'21.04.01'!$BB$4,'21.04.01'!$BB$3))</f>
        <v>0</v>
      </c>
      <c r="I58" s="4">
        <f>IF(ISNUMBER(SEARCH("营",'21.04.01'!Q58)),(-$Y58+50*IF('21.04.01'!$AK58="是",'21.04.01'!$BB$4,'21.04.01'!$BB$3)),(VLOOKUP('21.04.01'!Q58,'21.04.01'!$AO$4:$AQ$55,2,FALSE))*IF('21.04.01'!$AK58="是",'21.04.01'!$BB$4,'21.04.01'!$BB$3))</f>
        <v>0</v>
      </c>
      <c r="J58" s="4">
        <f>IF(ISNUMBER(SEARCH("营",'21.04.01'!R58)),(-$Y58+50*IF('21.04.01'!$AK58="是",'21.04.01'!$BB$4,'21.04.01'!$BB$3)),(VLOOKUP('21.04.01'!R58,'21.04.01'!$AO$4:$AQ$55,2,FALSE))*IF('21.04.01'!$AK58="是",'21.04.01'!$BB$4,'21.04.01'!$BB$3))</f>
        <v>0</v>
      </c>
      <c r="K58" s="4">
        <f>IF(ISNUMBER(SEARCH("营",'21.04.01'!S58)),(-$Y58+50*IF('21.04.01'!$AK58="是",'21.04.01'!$BB$4,'21.04.01'!$BB$3)),(VLOOKUP('21.04.01'!S58,'21.04.01'!$AO$4:$AQ$55,2,FALSE))*IF('21.04.01'!$AK58="是",'21.04.01'!$BB$4,'21.04.01'!$BB$3))</f>
        <v>0</v>
      </c>
      <c r="L58" s="4">
        <f>IF(ISNUMBER(SEARCH("营",'21.04.01'!T58)),(-$Y58+50*IF('21.04.01'!$AK58="是",'21.04.01'!$BB$4,'21.04.01'!$BB$3)),(VLOOKUP('21.04.01'!T58,'21.04.01'!$AO$4:$AQ$55,2,FALSE))*IF('21.04.01'!$AK58="是",'21.04.01'!$BB$4,'21.04.01'!$BB$3))</f>
        <v>0</v>
      </c>
      <c r="M58" s="4">
        <f>IF(ISNUMBER(SEARCH("营",'21.04.01'!U58)),(-$Y58+50*IF('21.04.01'!$AK58="是",'21.04.01'!$BB$4,'21.04.01'!$BB$3)),(VLOOKUP('21.04.01'!U58,'21.04.01'!$AO$4:$AQ$55,2,FALSE))*IF('21.04.01'!$AK58="是",'21.04.01'!$BB$4,'21.04.01'!$BB$3))</f>
        <v>0</v>
      </c>
      <c r="N58" s="4">
        <f>IF(ISNUMBER(SEARCH("营",'21.04.01'!V58)),(-$Y58+50*IF('21.04.01'!$AK58="是",'21.04.01'!$BB$4,'21.04.01'!$BB$3)),(VLOOKUP('21.04.01'!V58,'21.04.01'!$AO$4:$AQ$55,2,FALSE))*IF('21.04.01'!$AK58="是",'21.04.01'!$BB$4,'21.04.01'!$BB$3))</f>
        <v>0</v>
      </c>
      <c r="O58" s="4">
        <f>IF(ISNUMBER(SEARCH("营",'21.04.01'!W58)),(-$Y58+50*IF('21.04.01'!$AK58="是",'21.04.01'!$BB$4,'21.04.01'!$BB$3)),(VLOOKUP('21.04.01'!W58,'21.04.01'!$AO$4:$AQ$55,2,FALSE))*IF('21.04.01'!$AK58="是",'21.04.01'!$BB$4,'21.04.01'!$BB$3))</f>
        <v>0</v>
      </c>
      <c r="P58" s="4">
        <f>IF(ISNUMBER(SEARCH("营",'21.04.01'!X58)),(-$Y58+50*IF('21.04.01'!$AK58="是",'21.04.01'!$BB$4,'21.04.01'!$BB$3)),(VLOOKUP('21.04.01'!X58,'21.04.01'!$AO$4:$AQ$55,2,FALSE))*IF('21.04.01'!$AK58="是",'21.04.01'!$BB$4,'21.04.01'!$BB$3))</f>
        <v>0</v>
      </c>
      <c r="Q58" s="4">
        <f>IF(ISNUMBER(SEARCH("营",'21.04.01'!Y58)),(-$Y58+50*IF('21.04.01'!$AK58="是",'21.04.01'!$BB$4,'21.04.01'!$BB$3)),(VLOOKUP('21.04.01'!Y58,'21.04.01'!$AO$4:$AQ$55,2,FALSE))*IF('21.04.01'!$AK58="是",'21.04.01'!$BB$4,'21.04.01'!$BB$3))</f>
        <v>0</v>
      </c>
      <c r="R58" s="4">
        <f>IF(ISNUMBER(SEARCH("营",'21.04.01'!Z58)),(-$Y58+50*IF('21.04.01'!$AK58="是",'21.04.01'!$BB$4,'21.04.01'!$BB$3)),(VLOOKUP('21.04.01'!Z58,'21.04.01'!$AO$4:$AQ$55,2,FALSE))*IF('21.04.01'!$AK58="是",'21.04.01'!$BB$4,'21.04.01'!$BB$3))</f>
        <v>0</v>
      </c>
      <c r="S58" s="4">
        <f>IF(ISNUMBER(SEARCH("营",'21.04.01'!AA58)),(-$Y58+50*IF('21.04.01'!$AK58="是",'21.04.01'!$BB$4,'21.04.01'!$BB$3)),(VLOOKUP('21.04.01'!AA58,'21.04.01'!$AO$4:$AQ$55,2,FALSE))*IF('21.04.01'!$AK58="是",'21.04.01'!$BB$4,'21.04.01'!$BB$3))</f>
        <v>0</v>
      </c>
      <c r="T58" s="4">
        <f>IF(ISNUMBER(SEARCH("营",'21.04.01'!AB58)),(-$Y58+50*IF('21.04.01'!$AK58="是",'21.04.01'!$BB$4,'21.04.01'!$BB$3)),(VLOOKUP('21.04.01'!AB58,'21.04.01'!$AO$4:$AQ$55,2,FALSE))*IF('21.04.01'!$AK58="是",'21.04.01'!$BB$4,'21.04.01'!$BB$3))</f>
        <v>0</v>
      </c>
      <c r="U58" s="4">
        <f>IF(ISNUMBER(SEARCH("营",'21.04.01'!AC58)),(-$Y58+50*IF('21.04.01'!$AK58="是",'21.04.01'!$BB$4,'21.04.01'!$BB$3)),(VLOOKUP('21.04.01'!AC58,'21.04.01'!$AO$4:$AQ$55,2,FALSE))*IF('21.04.01'!$AK58="是",'21.04.01'!$BB$4,'21.04.01'!$BB$3))</f>
        <v>0</v>
      </c>
      <c r="V58" s="4">
        <f>IF(ISNUMBER(SEARCH("营",'21.04.01'!AD58)),(-$Y58+50*IF('21.04.01'!$AK58="是",'21.04.01'!$BB$4,'21.04.01'!$BB$3)),(VLOOKUP('21.04.01'!AD58,'21.04.01'!$AO$4:$AQ$55,2,FALSE))*IF('21.04.01'!$AK58="是",'21.04.01'!$BB$4,'21.04.01'!$BB$3))</f>
        <v>0</v>
      </c>
      <c r="W58" s="4">
        <f>IF(ISNUMBER(SEARCH("营",'21.04.01'!AE58)),(-$Y58+50*IF('21.04.01'!$AK58="是",'21.04.01'!$BB$4,'21.04.01'!$BB$3)),(VLOOKUP('21.04.01'!AE58,'21.04.01'!$AO$4:$AQ$55,2,FALSE))*IF('21.04.01'!$AK58="是",'21.04.01'!$BB$4,'21.04.01'!$BB$3))</f>
        <v>0</v>
      </c>
      <c r="X58" s="4">
        <f>IF(ISNUMBER(SEARCH("营",'21.04.01'!AF58)),(-$Y58+50*IF('21.04.01'!$AK58="是",'21.04.01'!$BB$4,'21.04.01'!$BB$3)),(VLOOKUP('21.04.01'!AF58,'21.04.01'!$AO$4:$AQ$55,2,FALSE))*IF('21.04.01'!$AK58="是",'21.04.01'!$BB$4,'21.04.01'!$BB$3))</f>
        <v>0</v>
      </c>
      <c r="Y58" s="64">
        <v>150</v>
      </c>
      <c r="Z58" s="87">
        <v>45966</v>
      </c>
    </row>
    <row r="59" spans="1:26">
      <c r="A59" s="4">
        <f>IF(ISNUMBER(SEARCH("营",'21.04.01'!I59)),(-$Y59+50*IF('21.04.01'!$AK59="是",'21.04.01'!$BB$4,'21.04.01'!$BB$3)),(VLOOKUP('21.04.01'!I59,'21.04.01'!$AO$4:$AQ$55,2,FALSE))*IF('21.04.01'!$AK59="是",'21.04.01'!$BB$4,'21.04.01'!$BB$3))</f>
        <v>0</v>
      </c>
      <c r="B59" s="4">
        <f>IF(ISNUMBER(SEARCH("营",'21.04.01'!J59)),(-$Y59+50*IF('21.04.01'!$AK59="是",'21.04.01'!$BB$4,'21.04.01'!$BB$3)),(VLOOKUP('21.04.01'!J59,'21.04.01'!$AO$4:$AQ$55,2,FALSE))*IF('21.04.01'!$AK59="是",'21.04.01'!$BB$4,'21.04.01'!$BB$3))</f>
        <v>0</v>
      </c>
      <c r="C59" s="4">
        <f>IF(ISNUMBER(SEARCH("营",'21.04.01'!K59)),(-$Y59+50*IF('21.04.01'!$AK59="是",'21.04.01'!$BB$4,'21.04.01'!$BB$3)),(VLOOKUP('21.04.01'!K59,'21.04.01'!$AO$4:$AQ$55,2,FALSE))*IF('21.04.01'!$AK59="是",'21.04.01'!$BB$4,'21.04.01'!$BB$3))</f>
        <v>0</v>
      </c>
      <c r="D59" s="4">
        <f>IF(ISNUMBER(SEARCH("营",'21.04.01'!L59)),(-$Y59+50*IF('21.04.01'!$AK59="是",'21.04.01'!$BB$4,'21.04.01'!$BB$3)),(VLOOKUP('21.04.01'!L59,'21.04.01'!$AO$4:$AQ$55,2,FALSE))*IF('21.04.01'!$AK59="是",'21.04.01'!$BB$4,'21.04.01'!$BB$3))</f>
        <v>0</v>
      </c>
      <c r="E59" s="4">
        <f>IF(ISNUMBER(SEARCH("营",'21.04.01'!M59)),(-$Y59+50*IF('21.04.01'!$AK59="是",'21.04.01'!$BB$4,'21.04.01'!$BB$3)),(VLOOKUP('21.04.01'!M59,'21.04.01'!$AO$4:$AQ$55,2,FALSE))*IF('21.04.01'!$AK59="是",'21.04.01'!$BB$4,'21.04.01'!$BB$3))</f>
        <v>0</v>
      </c>
      <c r="F59" s="4">
        <f>IF(ISNUMBER(SEARCH("营",'21.04.01'!N59)),(-$Y59+50*IF('21.04.01'!$AK59="是",'21.04.01'!$BB$4,'21.04.01'!$BB$3)),(VLOOKUP('21.04.01'!N59,'21.04.01'!$AO$4:$AQ$55,2,FALSE))*IF('21.04.01'!$AK59="是",'21.04.01'!$BB$4,'21.04.01'!$BB$3))</f>
        <v>0</v>
      </c>
      <c r="G59" s="4">
        <f>IF(ISNUMBER(SEARCH("营",'21.04.01'!O59)),(-$Y59+50*IF('21.04.01'!$AK59="是",'21.04.01'!$BB$4,'21.04.01'!$BB$3)),(VLOOKUP('21.04.01'!O59,'21.04.01'!$AO$4:$AQ$55,2,FALSE))*IF('21.04.01'!$AK59="是",'21.04.01'!$BB$4,'21.04.01'!$BB$3))</f>
        <v>0</v>
      </c>
      <c r="H59" s="4">
        <f>IF(ISNUMBER(SEARCH("营",'21.04.01'!P59)),(-$Y59+50*IF('21.04.01'!$AK59="是",'21.04.01'!$BB$4,'21.04.01'!$BB$3)),(VLOOKUP('21.04.01'!P59,'21.04.01'!$AO$4:$AQ$55,2,FALSE))*IF('21.04.01'!$AK59="是",'21.04.01'!$BB$4,'21.04.01'!$BB$3))</f>
        <v>0</v>
      </c>
      <c r="I59" s="4">
        <f>IF(ISNUMBER(SEARCH("营",'21.04.01'!Q59)),(-$Y59+50*IF('21.04.01'!$AK59="是",'21.04.01'!$BB$4,'21.04.01'!$BB$3)),(VLOOKUP('21.04.01'!Q59,'21.04.01'!$AO$4:$AQ$55,2,FALSE))*IF('21.04.01'!$AK59="是",'21.04.01'!$BB$4,'21.04.01'!$BB$3))</f>
        <v>0</v>
      </c>
      <c r="J59" s="4">
        <f>IF(ISNUMBER(SEARCH("营",'21.04.01'!R59)),(-$Y59+50*IF('21.04.01'!$AK59="是",'21.04.01'!$BB$4,'21.04.01'!$BB$3)),(VLOOKUP('21.04.01'!R59,'21.04.01'!$AO$4:$AQ$55,2,FALSE))*IF('21.04.01'!$AK59="是",'21.04.01'!$BB$4,'21.04.01'!$BB$3))</f>
        <v>0</v>
      </c>
      <c r="K59" s="4">
        <f>IF(ISNUMBER(SEARCH("营",'21.04.01'!S59)),(-$Y59+50*IF('21.04.01'!$AK59="是",'21.04.01'!$BB$4,'21.04.01'!$BB$3)),(VLOOKUP('21.04.01'!S59,'21.04.01'!$AO$4:$AQ$55,2,FALSE))*IF('21.04.01'!$AK59="是",'21.04.01'!$BB$4,'21.04.01'!$BB$3))</f>
        <v>0</v>
      </c>
      <c r="L59" s="4">
        <f>IF(ISNUMBER(SEARCH("营",'21.04.01'!T59)),(-$Y59+50*IF('21.04.01'!$AK59="是",'21.04.01'!$BB$4,'21.04.01'!$BB$3)),(VLOOKUP('21.04.01'!T59,'21.04.01'!$AO$4:$AQ$55,2,FALSE))*IF('21.04.01'!$AK59="是",'21.04.01'!$BB$4,'21.04.01'!$BB$3))</f>
        <v>0</v>
      </c>
      <c r="M59" s="4">
        <f>IF(ISNUMBER(SEARCH("营",'21.04.01'!U59)),(-$Y59+50*IF('21.04.01'!$AK59="是",'21.04.01'!$BB$4,'21.04.01'!$BB$3)),(VLOOKUP('21.04.01'!U59,'21.04.01'!$AO$4:$AQ$55,2,FALSE))*IF('21.04.01'!$AK59="是",'21.04.01'!$BB$4,'21.04.01'!$BB$3))</f>
        <v>0</v>
      </c>
      <c r="N59" s="4">
        <f>IF(ISNUMBER(SEARCH("营",'21.04.01'!V59)),(-$Y59+50*IF('21.04.01'!$AK59="是",'21.04.01'!$BB$4,'21.04.01'!$BB$3)),(VLOOKUP('21.04.01'!V59,'21.04.01'!$AO$4:$AQ$55,2,FALSE))*IF('21.04.01'!$AK59="是",'21.04.01'!$BB$4,'21.04.01'!$BB$3))</f>
        <v>0</v>
      </c>
      <c r="O59" s="4">
        <f>IF(ISNUMBER(SEARCH("营",'21.04.01'!W59)),(-$Y59+50*IF('21.04.01'!$AK59="是",'21.04.01'!$BB$4,'21.04.01'!$BB$3)),(VLOOKUP('21.04.01'!W59,'21.04.01'!$AO$4:$AQ$55,2,FALSE))*IF('21.04.01'!$AK59="是",'21.04.01'!$BB$4,'21.04.01'!$BB$3))</f>
        <v>0</v>
      </c>
      <c r="P59" s="4">
        <f>IF(ISNUMBER(SEARCH("营",'21.04.01'!X59)),(-$Y59+50*IF('21.04.01'!$AK59="是",'21.04.01'!$BB$4,'21.04.01'!$BB$3)),(VLOOKUP('21.04.01'!X59,'21.04.01'!$AO$4:$AQ$55,2,FALSE))*IF('21.04.01'!$AK59="是",'21.04.01'!$BB$4,'21.04.01'!$BB$3))</f>
        <v>0</v>
      </c>
      <c r="Q59" s="4">
        <f>IF(ISNUMBER(SEARCH("营",'21.04.01'!Y59)),(-$Y59+50*IF('21.04.01'!$AK59="是",'21.04.01'!$BB$4,'21.04.01'!$BB$3)),(VLOOKUP('21.04.01'!Y59,'21.04.01'!$AO$4:$AQ$55,2,FALSE))*IF('21.04.01'!$AK59="是",'21.04.01'!$BB$4,'21.04.01'!$BB$3))</f>
        <v>0</v>
      </c>
      <c r="R59" s="4">
        <f>IF(ISNUMBER(SEARCH("营",'21.04.01'!Z59)),(-$Y59+50*IF('21.04.01'!$AK59="是",'21.04.01'!$BB$4,'21.04.01'!$BB$3)),(VLOOKUP('21.04.01'!Z59,'21.04.01'!$AO$4:$AQ$55,2,FALSE))*IF('21.04.01'!$AK59="是",'21.04.01'!$BB$4,'21.04.01'!$BB$3))</f>
        <v>0</v>
      </c>
      <c r="S59" s="4">
        <f>IF(ISNUMBER(SEARCH("营",'21.04.01'!AA59)),(-$Y59+50*IF('21.04.01'!$AK59="是",'21.04.01'!$BB$4,'21.04.01'!$BB$3)),(VLOOKUP('21.04.01'!AA59,'21.04.01'!$AO$4:$AQ$55,2,FALSE))*IF('21.04.01'!$AK59="是",'21.04.01'!$BB$4,'21.04.01'!$BB$3))</f>
        <v>0</v>
      </c>
      <c r="T59" s="4">
        <f>IF(ISNUMBER(SEARCH("营",'21.04.01'!AB59)),(-$Y59+50*IF('21.04.01'!$AK59="是",'21.04.01'!$BB$4,'21.04.01'!$BB$3)),(VLOOKUP('21.04.01'!AB59,'21.04.01'!$AO$4:$AQ$55,2,FALSE))*IF('21.04.01'!$AK59="是",'21.04.01'!$BB$4,'21.04.01'!$BB$3))</f>
        <v>0</v>
      </c>
      <c r="U59" s="4">
        <f>IF(ISNUMBER(SEARCH("营",'21.04.01'!AC59)),(-$Y59+50*IF('21.04.01'!$AK59="是",'21.04.01'!$BB$4,'21.04.01'!$BB$3)),(VLOOKUP('21.04.01'!AC59,'21.04.01'!$AO$4:$AQ$55,2,FALSE))*IF('21.04.01'!$AK59="是",'21.04.01'!$BB$4,'21.04.01'!$BB$3))</f>
        <v>0</v>
      </c>
      <c r="V59" s="4">
        <f>IF(ISNUMBER(SEARCH("营",'21.04.01'!AD59)),(-$Y59+50*IF('21.04.01'!$AK59="是",'21.04.01'!$BB$4,'21.04.01'!$BB$3)),(VLOOKUP('21.04.01'!AD59,'21.04.01'!$AO$4:$AQ$55,2,FALSE))*IF('21.04.01'!$AK59="是",'21.04.01'!$BB$4,'21.04.01'!$BB$3))</f>
        <v>0</v>
      </c>
      <c r="W59" s="4">
        <f>IF(ISNUMBER(SEARCH("营",'21.04.01'!AE59)),(-$Y59+50*IF('21.04.01'!$AK59="是",'21.04.01'!$BB$4,'21.04.01'!$BB$3)),(VLOOKUP('21.04.01'!AE59,'21.04.01'!$AO$4:$AQ$55,2,FALSE))*IF('21.04.01'!$AK59="是",'21.04.01'!$BB$4,'21.04.01'!$BB$3))</f>
        <v>0</v>
      </c>
      <c r="X59" s="4">
        <f>IF(ISNUMBER(SEARCH("营",'21.04.01'!AF59)),(-$Y59+50*IF('21.04.01'!$AK59="是",'21.04.01'!$BB$4,'21.04.01'!$BB$3)),(VLOOKUP('21.04.01'!AF59,'21.04.01'!$AO$4:$AQ$55,2,FALSE))*IF('21.04.01'!$AK59="是",'21.04.01'!$BB$4,'21.04.01'!$BB$3))</f>
        <v>0</v>
      </c>
      <c r="Y59" s="63">
        <v>100</v>
      </c>
      <c r="Z59" s="94">
        <v>45967</v>
      </c>
    </row>
    <row r="60" spans="1:26">
      <c r="A60" s="4">
        <f>IF(ISNUMBER(SEARCH("营",'21.04.01'!I60)),(-$Y60+50*IF('21.04.01'!$AK60="是",'21.04.01'!$BB$4,'21.04.01'!$BB$3)),(VLOOKUP('21.04.01'!I60,'21.04.01'!$AO$4:$AQ$55,2,FALSE))*IF('21.04.01'!$AK60="是",'21.04.01'!$BB$4,'21.04.01'!$BB$3))</f>
        <v>0</v>
      </c>
      <c r="B60" s="4">
        <f>IF(ISNUMBER(SEARCH("营",'21.04.01'!J60)),(-$Y60+50*IF('21.04.01'!$AK60="是",'21.04.01'!$BB$4,'21.04.01'!$BB$3)),(VLOOKUP('21.04.01'!J60,'21.04.01'!$AO$4:$AQ$55,2,FALSE))*IF('21.04.01'!$AK60="是",'21.04.01'!$BB$4,'21.04.01'!$BB$3))</f>
        <v>0</v>
      </c>
      <c r="C60" s="4">
        <f>IF(ISNUMBER(SEARCH("营",'21.04.01'!K60)),(-$Y60+50*IF('21.04.01'!$AK60="是",'21.04.01'!$BB$4,'21.04.01'!$BB$3)),(VLOOKUP('21.04.01'!K60,'21.04.01'!$AO$4:$AQ$55,2,FALSE))*IF('21.04.01'!$AK60="是",'21.04.01'!$BB$4,'21.04.01'!$BB$3))</f>
        <v>0</v>
      </c>
      <c r="D60" s="4">
        <f>IF(ISNUMBER(SEARCH("营",'21.04.01'!L60)),(-$Y60+50*IF('21.04.01'!$AK60="是",'21.04.01'!$BB$4,'21.04.01'!$BB$3)),(VLOOKUP('21.04.01'!L60,'21.04.01'!$AO$4:$AQ$55,2,FALSE))*IF('21.04.01'!$AK60="是",'21.04.01'!$BB$4,'21.04.01'!$BB$3))</f>
        <v>0</v>
      </c>
      <c r="E60" s="4">
        <f>IF(ISNUMBER(SEARCH("营",'21.04.01'!M60)),(-$Y60+50*IF('21.04.01'!$AK60="是",'21.04.01'!$BB$4,'21.04.01'!$BB$3)),(VLOOKUP('21.04.01'!M60,'21.04.01'!$AO$4:$AQ$55,2,FALSE))*IF('21.04.01'!$AK60="是",'21.04.01'!$BB$4,'21.04.01'!$BB$3))</f>
        <v>0</v>
      </c>
      <c r="F60" s="4">
        <f>IF(ISNUMBER(SEARCH("营",'21.04.01'!N60)),(-$Y60+50*IF('21.04.01'!$AK60="是",'21.04.01'!$BB$4,'21.04.01'!$BB$3)),(VLOOKUP('21.04.01'!N60,'21.04.01'!$AO$4:$AQ$55,2,FALSE))*IF('21.04.01'!$AK60="是",'21.04.01'!$BB$4,'21.04.01'!$BB$3))</f>
        <v>0</v>
      </c>
      <c r="G60" s="4">
        <f>IF(ISNUMBER(SEARCH("营",'21.04.01'!O60)),(-$Y60+50*IF('21.04.01'!$AK60="是",'21.04.01'!$BB$4,'21.04.01'!$BB$3)),(VLOOKUP('21.04.01'!O60,'21.04.01'!$AO$4:$AQ$55,2,FALSE))*IF('21.04.01'!$AK60="是",'21.04.01'!$BB$4,'21.04.01'!$BB$3))</f>
        <v>0</v>
      </c>
      <c r="H60" s="4">
        <f>IF(ISNUMBER(SEARCH("营",'21.04.01'!P60)),(-$Y60+50*IF('21.04.01'!$AK60="是",'21.04.01'!$BB$4,'21.04.01'!$BB$3)),(VLOOKUP('21.04.01'!P60,'21.04.01'!$AO$4:$AQ$55,2,FALSE))*IF('21.04.01'!$AK60="是",'21.04.01'!$BB$4,'21.04.01'!$BB$3))</f>
        <v>0</v>
      </c>
      <c r="I60" s="4">
        <f>IF(ISNUMBER(SEARCH("营",'21.04.01'!Q60)),(-$Y60+50*IF('21.04.01'!$AK60="是",'21.04.01'!$BB$4,'21.04.01'!$BB$3)),(VLOOKUP('21.04.01'!Q60,'21.04.01'!$AO$4:$AQ$55,2,FALSE))*IF('21.04.01'!$AK60="是",'21.04.01'!$BB$4,'21.04.01'!$BB$3))</f>
        <v>0</v>
      </c>
      <c r="J60" s="4">
        <f>IF(ISNUMBER(SEARCH("营",'21.04.01'!R60)),(-$Y60+50*IF('21.04.01'!$AK60="是",'21.04.01'!$BB$4,'21.04.01'!$BB$3)),(VLOOKUP('21.04.01'!R60,'21.04.01'!$AO$4:$AQ$55,2,FALSE))*IF('21.04.01'!$AK60="是",'21.04.01'!$BB$4,'21.04.01'!$BB$3))</f>
        <v>0</v>
      </c>
      <c r="K60" s="4">
        <f>IF(ISNUMBER(SEARCH("营",'21.04.01'!S60)),(-$Y60+50*IF('21.04.01'!$AK60="是",'21.04.01'!$BB$4,'21.04.01'!$BB$3)),(VLOOKUP('21.04.01'!S60,'21.04.01'!$AO$4:$AQ$55,2,FALSE))*IF('21.04.01'!$AK60="是",'21.04.01'!$BB$4,'21.04.01'!$BB$3))</f>
        <v>0</v>
      </c>
      <c r="L60" s="4">
        <f>IF(ISNUMBER(SEARCH("营",'21.04.01'!T60)),(-$Y60+50*IF('21.04.01'!$AK60="是",'21.04.01'!$BB$4,'21.04.01'!$BB$3)),(VLOOKUP('21.04.01'!T60,'21.04.01'!$AO$4:$AQ$55,2,FALSE))*IF('21.04.01'!$AK60="是",'21.04.01'!$BB$4,'21.04.01'!$BB$3))</f>
        <v>0</v>
      </c>
      <c r="M60" s="4">
        <f>IF(ISNUMBER(SEARCH("营",'21.04.01'!U60)),(-$Y60+50*IF('21.04.01'!$AK60="是",'21.04.01'!$BB$4,'21.04.01'!$BB$3)),(VLOOKUP('21.04.01'!U60,'21.04.01'!$AO$4:$AQ$55,2,FALSE))*IF('21.04.01'!$AK60="是",'21.04.01'!$BB$4,'21.04.01'!$BB$3))</f>
        <v>0</v>
      </c>
      <c r="N60" s="4">
        <f>IF(ISNUMBER(SEARCH("营",'21.04.01'!V60)),(-$Y60+50*IF('21.04.01'!$AK60="是",'21.04.01'!$BB$4,'21.04.01'!$BB$3)),(VLOOKUP('21.04.01'!V60,'21.04.01'!$AO$4:$AQ$55,2,FALSE))*IF('21.04.01'!$AK60="是",'21.04.01'!$BB$4,'21.04.01'!$BB$3))</f>
        <v>0</v>
      </c>
      <c r="O60" s="4">
        <f>IF(ISNUMBER(SEARCH("营",'21.04.01'!W60)),(-$Y60+50*IF('21.04.01'!$AK60="是",'21.04.01'!$BB$4,'21.04.01'!$BB$3)),(VLOOKUP('21.04.01'!W60,'21.04.01'!$AO$4:$AQ$55,2,FALSE))*IF('21.04.01'!$AK60="是",'21.04.01'!$BB$4,'21.04.01'!$BB$3))</f>
        <v>0</v>
      </c>
      <c r="P60" s="4">
        <f>IF(ISNUMBER(SEARCH("营",'21.04.01'!X60)),(-$Y60+50*IF('21.04.01'!$AK60="是",'21.04.01'!$BB$4,'21.04.01'!$BB$3)),(VLOOKUP('21.04.01'!X60,'21.04.01'!$AO$4:$AQ$55,2,FALSE))*IF('21.04.01'!$AK60="是",'21.04.01'!$BB$4,'21.04.01'!$BB$3))</f>
        <v>0</v>
      </c>
      <c r="Q60" s="4">
        <f>IF(ISNUMBER(SEARCH("营",'21.04.01'!Y60)),(-$Y60+50*IF('21.04.01'!$AK60="是",'21.04.01'!$BB$4,'21.04.01'!$BB$3)),(VLOOKUP('21.04.01'!Y60,'21.04.01'!$AO$4:$AQ$55,2,FALSE))*IF('21.04.01'!$AK60="是",'21.04.01'!$BB$4,'21.04.01'!$BB$3))</f>
        <v>0</v>
      </c>
      <c r="R60" s="4">
        <f>IF(ISNUMBER(SEARCH("营",'21.04.01'!Z60)),(-$Y60+50*IF('21.04.01'!$AK60="是",'21.04.01'!$BB$4,'21.04.01'!$BB$3)),(VLOOKUP('21.04.01'!Z60,'21.04.01'!$AO$4:$AQ$55,2,FALSE))*IF('21.04.01'!$AK60="是",'21.04.01'!$BB$4,'21.04.01'!$BB$3))</f>
        <v>0</v>
      </c>
      <c r="S60" s="4">
        <f>IF(ISNUMBER(SEARCH("营",'21.04.01'!AA60)),(-$Y60+50*IF('21.04.01'!$AK60="是",'21.04.01'!$BB$4,'21.04.01'!$BB$3)),(VLOOKUP('21.04.01'!AA60,'21.04.01'!$AO$4:$AQ$55,2,FALSE))*IF('21.04.01'!$AK60="是",'21.04.01'!$BB$4,'21.04.01'!$BB$3))</f>
        <v>0</v>
      </c>
      <c r="T60" s="4">
        <f>IF(ISNUMBER(SEARCH("营",'21.04.01'!AB60)),(-$Y60+50*IF('21.04.01'!$AK60="是",'21.04.01'!$BB$4,'21.04.01'!$BB$3)),(VLOOKUP('21.04.01'!AB60,'21.04.01'!$AO$4:$AQ$55,2,FALSE))*IF('21.04.01'!$AK60="是",'21.04.01'!$BB$4,'21.04.01'!$BB$3))</f>
        <v>0</v>
      </c>
      <c r="U60" s="4">
        <f>IF(ISNUMBER(SEARCH("营",'21.04.01'!AC60)),(-$Y60+50*IF('21.04.01'!$AK60="是",'21.04.01'!$BB$4,'21.04.01'!$BB$3)),(VLOOKUP('21.04.01'!AC60,'21.04.01'!$AO$4:$AQ$55,2,FALSE))*IF('21.04.01'!$AK60="是",'21.04.01'!$BB$4,'21.04.01'!$BB$3))</f>
        <v>0</v>
      </c>
      <c r="V60" s="4">
        <f>IF(ISNUMBER(SEARCH("营",'21.04.01'!AD60)),(-$Y60+50*IF('21.04.01'!$AK60="是",'21.04.01'!$BB$4,'21.04.01'!$BB$3)),(VLOOKUP('21.04.01'!AD60,'21.04.01'!$AO$4:$AQ$55,2,FALSE))*IF('21.04.01'!$AK60="是",'21.04.01'!$BB$4,'21.04.01'!$BB$3))</f>
        <v>0</v>
      </c>
      <c r="W60" s="4">
        <f>IF(ISNUMBER(SEARCH("营",'21.04.01'!AE60)),(-$Y60+50*IF('21.04.01'!$AK60="是",'21.04.01'!$BB$4,'21.04.01'!$BB$3)),(VLOOKUP('21.04.01'!AE60,'21.04.01'!$AO$4:$AQ$55,2,FALSE))*IF('21.04.01'!$AK60="是",'21.04.01'!$BB$4,'21.04.01'!$BB$3))</f>
        <v>0</v>
      </c>
      <c r="X60" s="4">
        <f>IF(ISNUMBER(SEARCH("营",'21.04.01'!AF60)),(-$Y60+50*IF('21.04.01'!$AK60="是",'21.04.01'!$BB$4,'21.04.01'!$BB$3)),(VLOOKUP('21.04.01'!AF60,'21.04.01'!$AO$4:$AQ$55,2,FALSE))*IF('21.04.01'!$AK60="是",'21.04.01'!$BB$4,'21.04.01'!$BB$3))</f>
        <v>0</v>
      </c>
      <c r="Y60" s="63">
        <v>100</v>
      </c>
      <c r="Z60" s="94">
        <v>45968</v>
      </c>
    </row>
    <row r="61" spans="1:26">
      <c r="A61" s="4">
        <f>IF(ISNUMBER(SEARCH("营",'21.04.01'!I61)),(-$Y61+50*IF('21.04.01'!$AK61="是",'21.04.01'!$BB$4,'21.04.01'!$BB$3)),(VLOOKUP('21.04.01'!I61,'21.04.01'!$AO$4:$AQ$55,2,FALSE))*IF('21.04.01'!$AK61="是",'21.04.01'!$BB$4,'21.04.01'!$BB$3))</f>
        <v>0</v>
      </c>
      <c r="B61" s="4">
        <f>IF(ISNUMBER(SEARCH("营",'21.04.01'!J61)),(-$Y61+50*IF('21.04.01'!$AK61="是",'21.04.01'!$BB$4,'21.04.01'!$BB$3)),(VLOOKUP('21.04.01'!J61,'21.04.01'!$AO$4:$AQ$55,2,FALSE))*IF('21.04.01'!$AK61="是",'21.04.01'!$BB$4,'21.04.01'!$BB$3))</f>
        <v>0</v>
      </c>
      <c r="C61" s="4">
        <f>IF(ISNUMBER(SEARCH("营",'21.04.01'!K61)),(-$Y61+50*IF('21.04.01'!$AK61="是",'21.04.01'!$BB$4,'21.04.01'!$BB$3)),(VLOOKUP('21.04.01'!K61,'21.04.01'!$AO$4:$AQ$55,2,FALSE))*IF('21.04.01'!$AK61="是",'21.04.01'!$BB$4,'21.04.01'!$BB$3))</f>
        <v>0</v>
      </c>
      <c r="D61" s="4">
        <f>IF(ISNUMBER(SEARCH("营",'21.04.01'!L61)),(-$Y61+50*IF('21.04.01'!$AK61="是",'21.04.01'!$BB$4,'21.04.01'!$BB$3)),(VLOOKUP('21.04.01'!L61,'21.04.01'!$AO$4:$AQ$55,2,FALSE))*IF('21.04.01'!$AK61="是",'21.04.01'!$BB$4,'21.04.01'!$BB$3))</f>
        <v>0</v>
      </c>
      <c r="E61" s="4">
        <f>IF(ISNUMBER(SEARCH("营",'21.04.01'!M61)),(-$Y61+50*IF('21.04.01'!$AK61="是",'21.04.01'!$BB$4,'21.04.01'!$BB$3)),(VLOOKUP('21.04.01'!M61,'21.04.01'!$AO$4:$AQ$55,2,FALSE))*IF('21.04.01'!$AK61="是",'21.04.01'!$BB$4,'21.04.01'!$BB$3))</f>
        <v>0</v>
      </c>
      <c r="F61" s="4">
        <f>IF(ISNUMBER(SEARCH("营",'21.04.01'!N61)),(-$Y61+50*IF('21.04.01'!$AK61="是",'21.04.01'!$BB$4,'21.04.01'!$BB$3)),(VLOOKUP('21.04.01'!N61,'21.04.01'!$AO$4:$AQ$55,2,FALSE))*IF('21.04.01'!$AK61="是",'21.04.01'!$BB$4,'21.04.01'!$BB$3))</f>
        <v>0</v>
      </c>
      <c r="G61" s="4">
        <f>IF(ISNUMBER(SEARCH("营",'21.04.01'!O61)),(-$Y61+50*IF('21.04.01'!$AK61="是",'21.04.01'!$BB$4,'21.04.01'!$BB$3)),(VLOOKUP('21.04.01'!O61,'21.04.01'!$AO$4:$AQ$55,2,FALSE))*IF('21.04.01'!$AK61="是",'21.04.01'!$BB$4,'21.04.01'!$BB$3))</f>
        <v>0</v>
      </c>
      <c r="H61" s="4">
        <f>IF(ISNUMBER(SEARCH("营",'21.04.01'!P61)),(-$Y61+50*IF('21.04.01'!$AK61="是",'21.04.01'!$BB$4,'21.04.01'!$BB$3)),(VLOOKUP('21.04.01'!P61,'21.04.01'!$AO$4:$AQ$55,2,FALSE))*IF('21.04.01'!$AK61="是",'21.04.01'!$BB$4,'21.04.01'!$BB$3))</f>
        <v>0</v>
      </c>
      <c r="I61" s="4">
        <f>IF(ISNUMBER(SEARCH("营",'21.04.01'!Q61)),(-$Y61+50*IF('21.04.01'!$AK61="是",'21.04.01'!$BB$4,'21.04.01'!$BB$3)),(VLOOKUP('21.04.01'!Q61,'21.04.01'!$AO$4:$AQ$55,2,FALSE))*IF('21.04.01'!$AK61="是",'21.04.01'!$BB$4,'21.04.01'!$BB$3))</f>
        <v>0</v>
      </c>
      <c r="J61" s="4">
        <f>IF(ISNUMBER(SEARCH("营",'21.04.01'!R61)),(-$Y61+50*IF('21.04.01'!$AK61="是",'21.04.01'!$BB$4,'21.04.01'!$BB$3)),(VLOOKUP('21.04.01'!R61,'21.04.01'!$AO$4:$AQ$55,2,FALSE))*IF('21.04.01'!$AK61="是",'21.04.01'!$BB$4,'21.04.01'!$BB$3))</f>
        <v>0</v>
      </c>
      <c r="K61" s="4">
        <f>IF(ISNUMBER(SEARCH("营",'21.04.01'!S61)),(-$Y61+50*IF('21.04.01'!$AK61="是",'21.04.01'!$BB$4,'21.04.01'!$BB$3)),(VLOOKUP('21.04.01'!S61,'21.04.01'!$AO$4:$AQ$55,2,FALSE))*IF('21.04.01'!$AK61="是",'21.04.01'!$BB$4,'21.04.01'!$BB$3))</f>
        <v>0</v>
      </c>
      <c r="L61" s="4">
        <f>IF(ISNUMBER(SEARCH("营",'21.04.01'!T61)),(-$Y61+50*IF('21.04.01'!$AK61="是",'21.04.01'!$BB$4,'21.04.01'!$BB$3)),(VLOOKUP('21.04.01'!T61,'21.04.01'!$AO$4:$AQ$55,2,FALSE))*IF('21.04.01'!$AK61="是",'21.04.01'!$BB$4,'21.04.01'!$BB$3))</f>
        <v>0</v>
      </c>
      <c r="M61" s="4">
        <f>IF(ISNUMBER(SEARCH("营",'21.04.01'!U61)),(-$Y61+50*IF('21.04.01'!$AK61="是",'21.04.01'!$BB$4,'21.04.01'!$BB$3)),(VLOOKUP('21.04.01'!U61,'21.04.01'!$AO$4:$AQ$55,2,FALSE))*IF('21.04.01'!$AK61="是",'21.04.01'!$BB$4,'21.04.01'!$BB$3))</f>
        <v>0</v>
      </c>
      <c r="N61" s="4">
        <f>IF(ISNUMBER(SEARCH("营",'21.04.01'!V61)),(-$Y61+50*IF('21.04.01'!$AK61="是",'21.04.01'!$BB$4,'21.04.01'!$BB$3)),(VLOOKUP('21.04.01'!V61,'21.04.01'!$AO$4:$AQ$55,2,FALSE))*IF('21.04.01'!$AK61="是",'21.04.01'!$BB$4,'21.04.01'!$BB$3))</f>
        <v>0</v>
      </c>
      <c r="O61" s="4">
        <f>IF(ISNUMBER(SEARCH("营",'21.04.01'!W61)),(-$Y61+50*IF('21.04.01'!$AK61="是",'21.04.01'!$BB$4,'21.04.01'!$BB$3)),(VLOOKUP('21.04.01'!W61,'21.04.01'!$AO$4:$AQ$55,2,FALSE))*IF('21.04.01'!$AK61="是",'21.04.01'!$BB$4,'21.04.01'!$BB$3))</f>
        <v>0</v>
      </c>
      <c r="P61" s="4">
        <f>IF(ISNUMBER(SEARCH("营",'21.04.01'!X61)),(-$Y61+50*IF('21.04.01'!$AK61="是",'21.04.01'!$BB$4,'21.04.01'!$BB$3)),(VLOOKUP('21.04.01'!X61,'21.04.01'!$AO$4:$AQ$55,2,FALSE))*IF('21.04.01'!$AK61="是",'21.04.01'!$BB$4,'21.04.01'!$BB$3))</f>
        <v>0</v>
      </c>
      <c r="Q61" s="4">
        <f>IF(ISNUMBER(SEARCH("营",'21.04.01'!Y61)),(-$Y61+50*IF('21.04.01'!$AK61="是",'21.04.01'!$BB$4,'21.04.01'!$BB$3)),(VLOOKUP('21.04.01'!Y61,'21.04.01'!$AO$4:$AQ$55,2,FALSE))*IF('21.04.01'!$AK61="是",'21.04.01'!$BB$4,'21.04.01'!$BB$3))</f>
        <v>0</v>
      </c>
      <c r="R61" s="4">
        <f>IF(ISNUMBER(SEARCH("营",'21.04.01'!Z61)),(-$Y61+50*IF('21.04.01'!$AK61="是",'21.04.01'!$BB$4,'21.04.01'!$BB$3)),(VLOOKUP('21.04.01'!Z61,'21.04.01'!$AO$4:$AQ$55,2,FALSE))*IF('21.04.01'!$AK61="是",'21.04.01'!$BB$4,'21.04.01'!$BB$3))</f>
        <v>0</v>
      </c>
      <c r="S61" s="4">
        <f>IF(ISNUMBER(SEARCH("营",'21.04.01'!AA61)),(-$Y61+50*IF('21.04.01'!$AK61="是",'21.04.01'!$BB$4,'21.04.01'!$BB$3)),(VLOOKUP('21.04.01'!AA61,'21.04.01'!$AO$4:$AQ$55,2,FALSE))*IF('21.04.01'!$AK61="是",'21.04.01'!$BB$4,'21.04.01'!$BB$3))</f>
        <v>0</v>
      </c>
      <c r="T61" s="4">
        <f>IF(ISNUMBER(SEARCH("营",'21.04.01'!AB61)),(-$Y61+50*IF('21.04.01'!$AK61="是",'21.04.01'!$BB$4,'21.04.01'!$BB$3)),(VLOOKUP('21.04.01'!AB61,'21.04.01'!$AO$4:$AQ$55,2,FALSE))*IF('21.04.01'!$AK61="是",'21.04.01'!$BB$4,'21.04.01'!$BB$3))</f>
        <v>0</v>
      </c>
      <c r="U61" s="4">
        <f>IF(ISNUMBER(SEARCH("营",'21.04.01'!AC61)),(-$Y61+50*IF('21.04.01'!$AK61="是",'21.04.01'!$BB$4,'21.04.01'!$BB$3)),(VLOOKUP('21.04.01'!AC61,'21.04.01'!$AO$4:$AQ$55,2,FALSE))*IF('21.04.01'!$AK61="是",'21.04.01'!$BB$4,'21.04.01'!$BB$3))</f>
        <v>0</v>
      </c>
      <c r="V61" s="4">
        <f>IF(ISNUMBER(SEARCH("营",'21.04.01'!AD61)),(-$Y61+50*IF('21.04.01'!$AK61="是",'21.04.01'!$BB$4,'21.04.01'!$BB$3)),(VLOOKUP('21.04.01'!AD61,'21.04.01'!$AO$4:$AQ$55,2,FALSE))*IF('21.04.01'!$AK61="是",'21.04.01'!$BB$4,'21.04.01'!$BB$3))</f>
        <v>0</v>
      </c>
      <c r="W61" s="4">
        <f>IF(ISNUMBER(SEARCH("营",'21.04.01'!AE61)),(-$Y61+50*IF('21.04.01'!$AK61="是",'21.04.01'!$BB$4,'21.04.01'!$BB$3)),(VLOOKUP('21.04.01'!AE61,'21.04.01'!$AO$4:$AQ$55,2,FALSE))*IF('21.04.01'!$AK61="是",'21.04.01'!$BB$4,'21.04.01'!$BB$3))</f>
        <v>0</v>
      </c>
      <c r="X61" s="4">
        <f>IF(ISNUMBER(SEARCH("营",'21.04.01'!AF61)),(-$Y61+50*IF('21.04.01'!$AK61="是",'21.04.01'!$BB$4,'21.04.01'!$BB$3)),(VLOOKUP('21.04.01'!AF61,'21.04.01'!$AO$4:$AQ$55,2,FALSE))*IF('21.04.01'!$AK61="是",'21.04.01'!$BB$4,'21.04.01'!$BB$3))</f>
        <v>0</v>
      </c>
      <c r="Y61" s="63">
        <v>100</v>
      </c>
      <c r="Z61" s="94">
        <v>45969</v>
      </c>
    </row>
    <row r="62" spans="1:26">
      <c r="A62" s="4">
        <f>IF(ISNUMBER(SEARCH("营",'21.04.01'!I62)),(-$Y62+50*IF('21.04.01'!$AK62="是",'21.04.01'!$BB$4,'21.04.01'!$BB$3)),(VLOOKUP('21.04.01'!I62,'21.04.01'!$AO$4:$AQ$55,2,FALSE))*IF('21.04.01'!$AK62="是",'21.04.01'!$BB$4,'21.04.01'!$BB$3))</f>
        <v>0</v>
      </c>
      <c r="B62" s="4">
        <f>IF(ISNUMBER(SEARCH("营",'21.04.01'!J62)),(-$Y62+50*IF('21.04.01'!$AK62="是",'21.04.01'!$BB$4,'21.04.01'!$BB$3)),(VLOOKUP('21.04.01'!J62,'21.04.01'!$AO$4:$AQ$55,2,FALSE))*IF('21.04.01'!$AK62="是",'21.04.01'!$BB$4,'21.04.01'!$BB$3))</f>
        <v>0</v>
      </c>
      <c r="C62" s="4">
        <f>IF(ISNUMBER(SEARCH("营",'21.04.01'!K62)),(-$Y62+50*IF('21.04.01'!$AK62="是",'21.04.01'!$BB$4,'21.04.01'!$BB$3)),(VLOOKUP('21.04.01'!K62,'21.04.01'!$AO$4:$AQ$55,2,FALSE))*IF('21.04.01'!$AK62="是",'21.04.01'!$BB$4,'21.04.01'!$BB$3))</f>
        <v>0</v>
      </c>
      <c r="D62" s="4">
        <f>IF(ISNUMBER(SEARCH("营",'21.04.01'!L62)),(-$Y62+50*IF('21.04.01'!$AK62="是",'21.04.01'!$BB$4,'21.04.01'!$BB$3)),(VLOOKUP('21.04.01'!L62,'21.04.01'!$AO$4:$AQ$55,2,FALSE))*IF('21.04.01'!$AK62="是",'21.04.01'!$BB$4,'21.04.01'!$BB$3))</f>
        <v>0</v>
      </c>
      <c r="E62" s="4">
        <f>IF(ISNUMBER(SEARCH("营",'21.04.01'!M62)),(-$Y62+50*IF('21.04.01'!$AK62="是",'21.04.01'!$BB$4,'21.04.01'!$BB$3)),(VLOOKUP('21.04.01'!M62,'21.04.01'!$AO$4:$AQ$55,2,FALSE))*IF('21.04.01'!$AK62="是",'21.04.01'!$BB$4,'21.04.01'!$BB$3))</f>
        <v>0</v>
      </c>
      <c r="F62" s="4">
        <f>IF(ISNUMBER(SEARCH("营",'21.04.01'!N62)),(-$Y62+50*IF('21.04.01'!$AK62="是",'21.04.01'!$BB$4,'21.04.01'!$BB$3)),(VLOOKUP('21.04.01'!N62,'21.04.01'!$AO$4:$AQ$55,2,FALSE))*IF('21.04.01'!$AK62="是",'21.04.01'!$BB$4,'21.04.01'!$BB$3))</f>
        <v>0</v>
      </c>
      <c r="G62" s="4">
        <f>IF(ISNUMBER(SEARCH("营",'21.04.01'!O62)),(-$Y62+50*IF('21.04.01'!$AK62="是",'21.04.01'!$BB$4,'21.04.01'!$BB$3)),(VLOOKUP('21.04.01'!O62,'21.04.01'!$AO$4:$AQ$55,2,FALSE))*IF('21.04.01'!$AK62="是",'21.04.01'!$BB$4,'21.04.01'!$BB$3))</f>
        <v>0</v>
      </c>
      <c r="H62" s="4">
        <f>IF(ISNUMBER(SEARCH("营",'21.04.01'!P62)),(-$Y62+50*IF('21.04.01'!$AK62="是",'21.04.01'!$BB$4,'21.04.01'!$BB$3)),(VLOOKUP('21.04.01'!P62,'21.04.01'!$AO$4:$AQ$55,2,FALSE))*IF('21.04.01'!$AK62="是",'21.04.01'!$BB$4,'21.04.01'!$BB$3))</f>
        <v>0</v>
      </c>
      <c r="I62" s="4">
        <f>IF(ISNUMBER(SEARCH("营",'21.04.01'!Q62)),(-$Y62+50*IF('21.04.01'!$AK62="是",'21.04.01'!$BB$4,'21.04.01'!$BB$3)),(VLOOKUP('21.04.01'!Q62,'21.04.01'!$AO$4:$AQ$55,2,FALSE))*IF('21.04.01'!$AK62="是",'21.04.01'!$BB$4,'21.04.01'!$BB$3))</f>
        <v>0</v>
      </c>
      <c r="J62" s="4">
        <f>IF(ISNUMBER(SEARCH("营",'21.04.01'!R62)),(-$Y62+50*IF('21.04.01'!$AK62="是",'21.04.01'!$BB$4,'21.04.01'!$BB$3)),(VLOOKUP('21.04.01'!R62,'21.04.01'!$AO$4:$AQ$55,2,FALSE))*IF('21.04.01'!$AK62="是",'21.04.01'!$BB$4,'21.04.01'!$BB$3))</f>
        <v>0</v>
      </c>
      <c r="K62" s="4">
        <f>IF(ISNUMBER(SEARCH("营",'21.04.01'!S62)),(-$Y62+50*IF('21.04.01'!$AK62="是",'21.04.01'!$BB$4,'21.04.01'!$BB$3)),(VLOOKUP('21.04.01'!S62,'21.04.01'!$AO$4:$AQ$55,2,FALSE))*IF('21.04.01'!$AK62="是",'21.04.01'!$BB$4,'21.04.01'!$BB$3))</f>
        <v>0</v>
      </c>
      <c r="L62" s="4">
        <f>IF(ISNUMBER(SEARCH("营",'21.04.01'!T62)),(-$Y62+50*IF('21.04.01'!$AK62="是",'21.04.01'!$BB$4,'21.04.01'!$BB$3)),(VLOOKUP('21.04.01'!T62,'21.04.01'!$AO$4:$AQ$55,2,FALSE))*IF('21.04.01'!$AK62="是",'21.04.01'!$BB$4,'21.04.01'!$BB$3))</f>
        <v>0</v>
      </c>
      <c r="M62" s="4">
        <f>IF(ISNUMBER(SEARCH("营",'21.04.01'!U62)),(-$Y62+50*IF('21.04.01'!$AK62="是",'21.04.01'!$BB$4,'21.04.01'!$BB$3)),(VLOOKUP('21.04.01'!U62,'21.04.01'!$AO$4:$AQ$55,2,FALSE))*IF('21.04.01'!$AK62="是",'21.04.01'!$BB$4,'21.04.01'!$BB$3))</f>
        <v>0</v>
      </c>
      <c r="N62" s="4">
        <f>IF(ISNUMBER(SEARCH("营",'21.04.01'!V62)),(-$Y62+50*IF('21.04.01'!$AK62="是",'21.04.01'!$BB$4,'21.04.01'!$BB$3)),(VLOOKUP('21.04.01'!V62,'21.04.01'!$AO$4:$AQ$55,2,FALSE))*IF('21.04.01'!$AK62="是",'21.04.01'!$BB$4,'21.04.01'!$BB$3))</f>
        <v>0</v>
      </c>
      <c r="O62" s="4">
        <f>IF(ISNUMBER(SEARCH("营",'21.04.01'!W62)),(-$Y62+50*IF('21.04.01'!$AK62="是",'21.04.01'!$BB$4,'21.04.01'!$BB$3)),(VLOOKUP('21.04.01'!W62,'21.04.01'!$AO$4:$AQ$55,2,FALSE))*IF('21.04.01'!$AK62="是",'21.04.01'!$BB$4,'21.04.01'!$BB$3))</f>
        <v>0</v>
      </c>
      <c r="P62" s="4">
        <f>IF(ISNUMBER(SEARCH("营",'21.04.01'!X62)),(-$Y62+50*IF('21.04.01'!$AK62="是",'21.04.01'!$BB$4,'21.04.01'!$BB$3)),(VLOOKUP('21.04.01'!X62,'21.04.01'!$AO$4:$AQ$55,2,FALSE))*IF('21.04.01'!$AK62="是",'21.04.01'!$BB$4,'21.04.01'!$BB$3))</f>
        <v>0</v>
      </c>
      <c r="Q62" s="4">
        <f>IF(ISNUMBER(SEARCH("营",'21.04.01'!Y62)),(-$Y62+50*IF('21.04.01'!$AK62="是",'21.04.01'!$BB$4,'21.04.01'!$BB$3)),(VLOOKUP('21.04.01'!Y62,'21.04.01'!$AO$4:$AQ$55,2,FALSE))*IF('21.04.01'!$AK62="是",'21.04.01'!$BB$4,'21.04.01'!$BB$3))</f>
        <v>0</v>
      </c>
      <c r="R62" s="4">
        <f>IF(ISNUMBER(SEARCH("营",'21.04.01'!Z62)),(-$Y62+50*IF('21.04.01'!$AK62="是",'21.04.01'!$BB$4,'21.04.01'!$BB$3)),(VLOOKUP('21.04.01'!Z62,'21.04.01'!$AO$4:$AQ$55,2,FALSE))*IF('21.04.01'!$AK62="是",'21.04.01'!$BB$4,'21.04.01'!$BB$3))</f>
        <v>0</v>
      </c>
      <c r="S62" s="4">
        <f>IF(ISNUMBER(SEARCH("营",'21.04.01'!AA62)),(-$Y62+50*IF('21.04.01'!$AK62="是",'21.04.01'!$BB$4,'21.04.01'!$BB$3)),(VLOOKUP('21.04.01'!AA62,'21.04.01'!$AO$4:$AQ$55,2,FALSE))*IF('21.04.01'!$AK62="是",'21.04.01'!$BB$4,'21.04.01'!$BB$3))</f>
        <v>0</v>
      </c>
      <c r="T62" s="4">
        <f>IF(ISNUMBER(SEARCH("营",'21.04.01'!AB62)),(-$Y62+50*IF('21.04.01'!$AK62="是",'21.04.01'!$BB$4,'21.04.01'!$BB$3)),(VLOOKUP('21.04.01'!AB62,'21.04.01'!$AO$4:$AQ$55,2,FALSE))*IF('21.04.01'!$AK62="是",'21.04.01'!$BB$4,'21.04.01'!$BB$3))</f>
        <v>0</v>
      </c>
      <c r="U62" s="4">
        <f>IF(ISNUMBER(SEARCH("营",'21.04.01'!AC62)),(-$Y62+50*IF('21.04.01'!$AK62="是",'21.04.01'!$BB$4,'21.04.01'!$BB$3)),(VLOOKUP('21.04.01'!AC62,'21.04.01'!$AO$4:$AQ$55,2,FALSE))*IF('21.04.01'!$AK62="是",'21.04.01'!$BB$4,'21.04.01'!$BB$3))</f>
        <v>0</v>
      </c>
      <c r="V62" s="4">
        <f>IF(ISNUMBER(SEARCH("营",'21.04.01'!AD62)),(-$Y62+50*IF('21.04.01'!$AK62="是",'21.04.01'!$BB$4,'21.04.01'!$BB$3)),(VLOOKUP('21.04.01'!AD62,'21.04.01'!$AO$4:$AQ$55,2,FALSE))*IF('21.04.01'!$AK62="是",'21.04.01'!$BB$4,'21.04.01'!$BB$3))</f>
        <v>0</v>
      </c>
      <c r="W62" s="4">
        <f>IF(ISNUMBER(SEARCH("营",'21.04.01'!AE62)),(-$Y62+50*IF('21.04.01'!$AK62="是",'21.04.01'!$BB$4,'21.04.01'!$BB$3)),(VLOOKUP('21.04.01'!AE62,'21.04.01'!$AO$4:$AQ$55,2,FALSE))*IF('21.04.01'!$AK62="是",'21.04.01'!$BB$4,'21.04.01'!$BB$3))</f>
        <v>0</v>
      </c>
      <c r="X62" s="4">
        <f>IF(ISNUMBER(SEARCH("营",'21.04.01'!AF62)),(-$Y62+50*IF('21.04.01'!$AK62="是",'21.04.01'!$BB$4,'21.04.01'!$BB$3)),(VLOOKUP('21.04.01'!AF62,'21.04.01'!$AO$4:$AQ$55,2,FALSE))*IF('21.04.01'!$AK62="是",'21.04.01'!$BB$4,'21.04.01'!$BB$3))</f>
        <v>0</v>
      </c>
      <c r="Y62" s="63">
        <v>100</v>
      </c>
      <c r="Z62" s="94">
        <v>45970</v>
      </c>
    </row>
    <row r="63" spans="1:26">
      <c r="A63" s="4">
        <f>IF(ISNUMBER(SEARCH("营",'21.04.01'!I63)),(-$Y63+50*IF('21.04.01'!$AK63="是",'21.04.01'!$BB$4,'21.04.01'!$BB$3)),(VLOOKUP('21.04.01'!I63,'21.04.01'!$AO$4:$AQ$55,2,FALSE))*IF('21.04.01'!$AK63="是",'21.04.01'!$BB$4,'21.04.01'!$BB$3))</f>
        <v>0</v>
      </c>
      <c r="B63" s="4">
        <f>IF(ISNUMBER(SEARCH("营",'21.04.01'!J63)),(-$Y63+50*IF('21.04.01'!$AK63="是",'21.04.01'!$BB$4,'21.04.01'!$BB$3)),(VLOOKUP('21.04.01'!J63,'21.04.01'!$AO$4:$AQ$55,2,FALSE))*IF('21.04.01'!$AK63="是",'21.04.01'!$BB$4,'21.04.01'!$BB$3))</f>
        <v>0</v>
      </c>
      <c r="C63" s="4">
        <f>IF(ISNUMBER(SEARCH("营",'21.04.01'!K63)),(-$Y63+50*IF('21.04.01'!$AK63="是",'21.04.01'!$BB$4,'21.04.01'!$BB$3)),(VLOOKUP('21.04.01'!K63,'21.04.01'!$AO$4:$AQ$55,2,FALSE))*IF('21.04.01'!$AK63="是",'21.04.01'!$BB$4,'21.04.01'!$BB$3))</f>
        <v>0</v>
      </c>
      <c r="D63" s="4">
        <f>IF(ISNUMBER(SEARCH("营",'21.04.01'!L63)),(-$Y63+50*IF('21.04.01'!$AK63="是",'21.04.01'!$BB$4,'21.04.01'!$BB$3)),(VLOOKUP('21.04.01'!L63,'21.04.01'!$AO$4:$AQ$55,2,FALSE))*IF('21.04.01'!$AK63="是",'21.04.01'!$BB$4,'21.04.01'!$BB$3))</f>
        <v>0</v>
      </c>
      <c r="E63" s="4">
        <f>IF(ISNUMBER(SEARCH("营",'21.04.01'!M63)),(-$Y63+50*IF('21.04.01'!$AK63="是",'21.04.01'!$BB$4,'21.04.01'!$BB$3)),(VLOOKUP('21.04.01'!M63,'21.04.01'!$AO$4:$AQ$55,2,FALSE))*IF('21.04.01'!$AK63="是",'21.04.01'!$BB$4,'21.04.01'!$BB$3))</f>
        <v>0</v>
      </c>
      <c r="F63" s="4">
        <f>IF(ISNUMBER(SEARCH("营",'21.04.01'!N63)),(-$Y63+50*IF('21.04.01'!$AK63="是",'21.04.01'!$BB$4,'21.04.01'!$BB$3)),(VLOOKUP('21.04.01'!N63,'21.04.01'!$AO$4:$AQ$55,2,FALSE))*IF('21.04.01'!$AK63="是",'21.04.01'!$BB$4,'21.04.01'!$BB$3))</f>
        <v>0</v>
      </c>
      <c r="G63" s="4">
        <f>IF(ISNUMBER(SEARCH("营",'21.04.01'!O63)),(-$Y63+50*IF('21.04.01'!$AK63="是",'21.04.01'!$BB$4,'21.04.01'!$BB$3)),(VLOOKUP('21.04.01'!O63,'21.04.01'!$AO$4:$AQ$55,2,FALSE))*IF('21.04.01'!$AK63="是",'21.04.01'!$BB$4,'21.04.01'!$BB$3))</f>
        <v>0</v>
      </c>
      <c r="H63" s="4">
        <f>IF(ISNUMBER(SEARCH("营",'21.04.01'!P63)),(-$Y63+50*IF('21.04.01'!$AK63="是",'21.04.01'!$BB$4,'21.04.01'!$BB$3)),(VLOOKUP('21.04.01'!P63,'21.04.01'!$AO$4:$AQ$55,2,FALSE))*IF('21.04.01'!$AK63="是",'21.04.01'!$BB$4,'21.04.01'!$BB$3))</f>
        <v>0</v>
      </c>
      <c r="I63" s="4">
        <f>IF(ISNUMBER(SEARCH("营",'21.04.01'!Q63)),(-$Y63+50*IF('21.04.01'!$AK63="是",'21.04.01'!$BB$4,'21.04.01'!$BB$3)),(VLOOKUP('21.04.01'!Q63,'21.04.01'!$AO$4:$AQ$55,2,FALSE))*IF('21.04.01'!$AK63="是",'21.04.01'!$BB$4,'21.04.01'!$BB$3))</f>
        <v>0</v>
      </c>
      <c r="J63" s="4">
        <f>IF(ISNUMBER(SEARCH("营",'21.04.01'!R63)),(-$Y63+50*IF('21.04.01'!$AK63="是",'21.04.01'!$BB$4,'21.04.01'!$BB$3)),(VLOOKUP('21.04.01'!R63,'21.04.01'!$AO$4:$AQ$55,2,FALSE))*IF('21.04.01'!$AK63="是",'21.04.01'!$BB$4,'21.04.01'!$BB$3))</f>
        <v>0</v>
      </c>
      <c r="K63" s="4">
        <f>IF(ISNUMBER(SEARCH("营",'21.04.01'!S63)),(-$Y63+50*IF('21.04.01'!$AK63="是",'21.04.01'!$BB$4,'21.04.01'!$BB$3)),(VLOOKUP('21.04.01'!S63,'21.04.01'!$AO$4:$AQ$55,2,FALSE))*IF('21.04.01'!$AK63="是",'21.04.01'!$BB$4,'21.04.01'!$BB$3))</f>
        <v>0</v>
      </c>
      <c r="L63" s="4">
        <f>IF(ISNUMBER(SEARCH("营",'21.04.01'!T63)),(-$Y63+50*IF('21.04.01'!$AK63="是",'21.04.01'!$BB$4,'21.04.01'!$BB$3)),(VLOOKUP('21.04.01'!T63,'21.04.01'!$AO$4:$AQ$55,2,FALSE))*IF('21.04.01'!$AK63="是",'21.04.01'!$BB$4,'21.04.01'!$BB$3))</f>
        <v>0</v>
      </c>
      <c r="M63" s="4">
        <f>IF(ISNUMBER(SEARCH("营",'21.04.01'!U63)),(-$Y63+50*IF('21.04.01'!$AK63="是",'21.04.01'!$BB$4,'21.04.01'!$BB$3)),(VLOOKUP('21.04.01'!U63,'21.04.01'!$AO$4:$AQ$55,2,FALSE))*IF('21.04.01'!$AK63="是",'21.04.01'!$BB$4,'21.04.01'!$BB$3))</f>
        <v>0</v>
      </c>
      <c r="N63" s="4">
        <f>IF(ISNUMBER(SEARCH("营",'21.04.01'!V63)),(-$Y63+50*IF('21.04.01'!$AK63="是",'21.04.01'!$BB$4,'21.04.01'!$BB$3)),(VLOOKUP('21.04.01'!V63,'21.04.01'!$AO$4:$AQ$55,2,FALSE))*IF('21.04.01'!$AK63="是",'21.04.01'!$BB$4,'21.04.01'!$BB$3))</f>
        <v>0</v>
      </c>
      <c r="O63" s="4">
        <f>IF(ISNUMBER(SEARCH("营",'21.04.01'!W63)),(-$Y63+50*IF('21.04.01'!$AK63="是",'21.04.01'!$BB$4,'21.04.01'!$BB$3)),(VLOOKUP('21.04.01'!W63,'21.04.01'!$AO$4:$AQ$55,2,FALSE))*IF('21.04.01'!$AK63="是",'21.04.01'!$BB$4,'21.04.01'!$BB$3))</f>
        <v>0</v>
      </c>
      <c r="P63" s="4">
        <f>IF(ISNUMBER(SEARCH("营",'21.04.01'!X63)),(-$Y63+50*IF('21.04.01'!$AK63="是",'21.04.01'!$BB$4,'21.04.01'!$BB$3)),(VLOOKUP('21.04.01'!X63,'21.04.01'!$AO$4:$AQ$55,2,FALSE))*IF('21.04.01'!$AK63="是",'21.04.01'!$BB$4,'21.04.01'!$BB$3))</f>
        <v>0</v>
      </c>
      <c r="Q63" s="4">
        <f>IF(ISNUMBER(SEARCH("营",'21.04.01'!Y63)),(-$Y63+50*IF('21.04.01'!$AK63="是",'21.04.01'!$BB$4,'21.04.01'!$BB$3)),(VLOOKUP('21.04.01'!Y63,'21.04.01'!$AO$4:$AQ$55,2,FALSE))*IF('21.04.01'!$AK63="是",'21.04.01'!$BB$4,'21.04.01'!$BB$3))</f>
        <v>0</v>
      </c>
      <c r="R63" s="4">
        <f>IF(ISNUMBER(SEARCH("营",'21.04.01'!Z63)),(-$Y63+50*IF('21.04.01'!$AK63="是",'21.04.01'!$BB$4,'21.04.01'!$BB$3)),(VLOOKUP('21.04.01'!Z63,'21.04.01'!$AO$4:$AQ$55,2,FALSE))*IF('21.04.01'!$AK63="是",'21.04.01'!$BB$4,'21.04.01'!$BB$3))</f>
        <v>0</v>
      </c>
      <c r="S63" s="4">
        <f>IF(ISNUMBER(SEARCH("营",'21.04.01'!AA63)),(-$Y63+50*IF('21.04.01'!$AK63="是",'21.04.01'!$BB$4,'21.04.01'!$BB$3)),(VLOOKUP('21.04.01'!AA63,'21.04.01'!$AO$4:$AQ$55,2,FALSE))*IF('21.04.01'!$AK63="是",'21.04.01'!$BB$4,'21.04.01'!$BB$3))</f>
        <v>0</v>
      </c>
      <c r="T63" s="4">
        <f>IF(ISNUMBER(SEARCH("营",'21.04.01'!AB63)),(-$Y63+50*IF('21.04.01'!$AK63="是",'21.04.01'!$BB$4,'21.04.01'!$BB$3)),(VLOOKUP('21.04.01'!AB63,'21.04.01'!$AO$4:$AQ$55,2,FALSE))*IF('21.04.01'!$AK63="是",'21.04.01'!$BB$4,'21.04.01'!$BB$3))</f>
        <v>0</v>
      </c>
      <c r="U63" s="4">
        <f>IF(ISNUMBER(SEARCH("营",'21.04.01'!AC63)),(-$Y63+50*IF('21.04.01'!$AK63="是",'21.04.01'!$BB$4,'21.04.01'!$BB$3)),(VLOOKUP('21.04.01'!AC63,'21.04.01'!$AO$4:$AQ$55,2,FALSE))*IF('21.04.01'!$AK63="是",'21.04.01'!$BB$4,'21.04.01'!$BB$3))</f>
        <v>0</v>
      </c>
      <c r="V63" s="4">
        <f>IF(ISNUMBER(SEARCH("营",'21.04.01'!AD63)),(-$Y63+50*IF('21.04.01'!$AK63="是",'21.04.01'!$BB$4,'21.04.01'!$BB$3)),(VLOOKUP('21.04.01'!AD63,'21.04.01'!$AO$4:$AQ$55,2,FALSE))*IF('21.04.01'!$AK63="是",'21.04.01'!$BB$4,'21.04.01'!$BB$3))</f>
        <v>0</v>
      </c>
      <c r="W63" s="4">
        <f>IF(ISNUMBER(SEARCH("营",'21.04.01'!AE63)),(-$Y63+50*IF('21.04.01'!$AK63="是",'21.04.01'!$BB$4,'21.04.01'!$BB$3)),(VLOOKUP('21.04.01'!AE63,'21.04.01'!$AO$4:$AQ$55,2,FALSE))*IF('21.04.01'!$AK63="是",'21.04.01'!$BB$4,'21.04.01'!$BB$3))</f>
        <v>0</v>
      </c>
      <c r="X63" s="4">
        <f>IF(ISNUMBER(SEARCH("营",'21.04.01'!AF63)),(-$Y63+50*IF('21.04.01'!$AK63="是",'21.04.01'!$BB$4,'21.04.01'!$BB$3)),(VLOOKUP('21.04.01'!AF63,'21.04.01'!$AO$4:$AQ$55,2,FALSE))*IF('21.04.01'!$AK63="是",'21.04.01'!$BB$4,'21.04.01'!$BB$3))</f>
        <v>0</v>
      </c>
      <c r="Y63" s="63">
        <v>100</v>
      </c>
      <c r="Z63" s="94">
        <v>45971</v>
      </c>
    </row>
    <row r="64" spans="1:26">
      <c r="A64" s="4">
        <f>IF(ISNUMBER(SEARCH("营",'21.04.01'!I64)),(-$Y64+50*IF('21.04.01'!$AK64="是",'21.04.01'!$BB$4,'21.04.01'!$BB$3)),(VLOOKUP('21.04.01'!I64,'21.04.01'!$AO$4:$AQ$55,2,FALSE))*IF('21.04.01'!$AK64="是",'21.04.01'!$BB$4,'21.04.01'!$BB$3))</f>
        <v>0</v>
      </c>
      <c r="B64" s="4">
        <f>IF(ISNUMBER(SEARCH("营",'21.04.01'!J64)),(-$Y64+50*IF('21.04.01'!$AK64="是",'21.04.01'!$BB$4,'21.04.01'!$BB$3)),(VLOOKUP('21.04.01'!J64,'21.04.01'!$AO$4:$AQ$55,2,FALSE))*IF('21.04.01'!$AK64="是",'21.04.01'!$BB$4,'21.04.01'!$BB$3))</f>
        <v>0</v>
      </c>
      <c r="C64" s="4">
        <f>IF(ISNUMBER(SEARCH("营",'21.04.01'!K64)),(-$Y64+50*IF('21.04.01'!$AK64="是",'21.04.01'!$BB$4,'21.04.01'!$BB$3)),(VLOOKUP('21.04.01'!K64,'21.04.01'!$AO$4:$AQ$55,2,FALSE))*IF('21.04.01'!$AK64="是",'21.04.01'!$BB$4,'21.04.01'!$BB$3))</f>
        <v>0</v>
      </c>
      <c r="D64" s="4">
        <f>IF(ISNUMBER(SEARCH("营",'21.04.01'!L64)),(-$Y64+50*IF('21.04.01'!$AK64="是",'21.04.01'!$BB$4,'21.04.01'!$BB$3)),(VLOOKUP('21.04.01'!L64,'21.04.01'!$AO$4:$AQ$55,2,FALSE))*IF('21.04.01'!$AK64="是",'21.04.01'!$BB$4,'21.04.01'!$BB$3))</f>
        <v>0</v>
      </c>
      <c r="E64" s="4">
        <f>IF(ISNUMBER(SEARCH("营",'21.04.01'!M64)),(-$Y64+50*IF('21.04.01'!$AK64="是",'21.04.01'!$BB$4,'21.04.01'!$BB$3)),(VLOOKUP('21.04.01'!M64,'21.04.01'!$AO$4:$AQ$55,2,FALSE))*IF('21.04.01'!$AK64="是",'21.04.01'!$BB$4,'21.04.01'!$BB$3))</f>
        <v>0</v>
      </c>
      <c r="F64" s="4">
        <f>IF(ISNUMBER(SEARCH("营",'21.04.01'!N64)),(-$Y64+50*IF('21.04.01'!$AK64="是",'21.04.01'!$BB$4,'21.04.01'!$BB$3)),(VLOOKUP('21.04.01'!N64,'21.04.01'!$AO$4:$AQ$55,2,FALSE))*IF('21.04.01'!$AK64="是",'21.04.01'!$BB$4,'21.04.01'!$BB$3))</f>
        <v>0</v>
      </c>
      <c r="G64" s="4">
        <f>IF(ISNUMBER(SEARCH("营",'21.04.01'!O64)),(-$Y64+50*IF('21.04.01'!$AK64="是",'21.04.01'!$BB$4,'21.04.01'!$BB$3)),(VLOOKUP('21.04.01'!O64,'21.04.01'!$AO$4:$AQ$55,2,FALSE))*IF('21.04.01'!$AK64="是",'21.04.01'!$BB$4,'21.04.01'!$BB$3))</f>
        <v>0</v>
      </c>
      <c r="H64" s="4">
        <f>IF(ISNUMBER(SEARCH("营",'21.04.01'!P64)),(-$Y64+50*IF('21.04.01'!$AK64="是",'21.04.01'!$BB$4,'21.04.01'!$BB$3)),(VLOOKUP('21.04.01'!P64,'21.04.01'!$AO$4:$AQ$55,2,FALSE))*IF('21.04.01'!$AK64="是",'21.04.01'!$BB$4,'21.04.01'!$BB$3))</f>
        <v>0</v>
      </c>
      <c r="I64" s="4">
        <f>IF(ISNUMBER(SEARCH("营",'21.04.01'!Q64)),(-$Y64+50*IF('21.04.01'!$AK64="是",'21.04.01'!$BB$4,'21.04.01'!$BB$3)),(VLOOKUP('21.04.01'!Q64,'21.04.01'!$AO$4:$AQ$55,2,FALSE))*IF('21.04.01'!$AK64="是",'21.04.01'!$BB$4,'21.04.01'!$BB$3))</f>
        <v>0</v>
      </c>
      <c r="J64" s="4">
        <f>IF(ISNUMBER(SEARCH("营",'21.04.01'!R64)),(-$Y64+50*IF('21.04.01'!$AK64="是",'21.04.01'!$BB$4,'21.04.01'!$BB$3)),(VLOOKUP('21.04.01'!R64,'21.04.01'!$AO$4:$AQ$55,2,FALSE))*IF('21.04.01'!$AK64="是",'21.04.01'!$BB$4,'21.04.01'!$BB$3))</f>
        <v>0</v>
      </c>
      <c r="K64" s="4">
        <f>IF(ISNUMBER(SEARCH("营",'21.04.01'!S64)),(-$Y64+50*IF('21.04.01'!$AK64="是",'21.04.01'!$BB$4,'21.04.01'!$BB$3)),(VLOOKUP('21.04.01'!S64,'21.04.01'!$AO$4:$AQ$55,2,FALSE))*IF('21.04.01'!$AK64="是",'21.04.01'!$BB$4,'21.04.01'!$BB$3))</f>
        <v>0</v>
      </c>
      <c r="L64" s="4">
        <f>IF(ISNUMBER(SEARCH("营",'21.04.01'!T64)),(-$Y64+50*IF('21.04.01'!$AK64="是",'21.04.01'!$BB$4,'21.04.01'!$BB$3)),(VLOOKUP('21.04.01'!T64,'21.04.01'!$AO$4:$AQ$55,2,FALSE))*IF('21.04.01'!$AK64="是",'21.04.01'!$BB$4,'21.04.01'!$BB$3))</f>
        <v>0</v>
      </c>
      <c r="M64" s="4">
        <f>IF(ISNUMBER(SEARCH("营",'21.04.01'!U64)),(-$Y64+50*IF('21.04.01'!$AK64="是",'21.04.01'!$BB$4,'21.04.01'!$BB$3)),(VLOOKUP('21.04.01'!U64,'21.04.01'!$AO$4:$AQ$55,2,FALSE))*IF('21.04.01'!$AK64="是",'21.04.01'!$BB$4,'21.04.01'!$BB$3))</f>
        <v>0</v>
      </c>
      <c r="N64" s="4">
        <f>IF(ISNUMBER(SEARCH("营",'21.04.01'!V64)),(-$Y64+50*IF('21.04.01'!$AK64="是",'21.04.01'!$BB$4,'21.04.01'!$BB$3)),(VLOOKUP('21.04.01'!V64,'21.04.01'!$AO$4:$AQ$55,2,FALSE))*IF('21.04.01'!$AK64="是",'21.04.01'!$BB$4,'21.04.01'!$BB$3))</f>
        <v>0</v>
      </c>
      <c r="O64" s="4">
        <f>IF(ISNUMBER(SEARCH("营",'21.04.01'!W64)),(-$Y64+50*IF('21.04.01'!$AK64="是",'21.04.01'!$BB$4,'21.04.01'!$BB$3)),(VLOOKUP('21.04.01'!W64,'21.04.01'!$AO$4:$AQ$55,2,FALSE))*IF('21.04.01'!$AK64="是",'21.04.01'!$BB$4,'21.04.01'!$BB$3))</f>
        <v>0</v>
      </c>
      <c r="P64" s="4">
        <f>IF(ISNUMBER(SEARCH("营",'21.04.01'!X64)),(-$Y64+50*IF('21.04.01'!$AK64="是",'21.04.01'!$BB$4,'21.04.01'!$BB$3)),(VLOOKUP('21.04.01'!X64,'21.04.01'!$AO$4:$AQ$55,2,FALSE))*IF('21.04.01'!$AK64="是",'21.04.01'!$BB$4,'21.04.01'!$BB$3))</f>
        <v>0</v>
      </c>
      <c r="Q64" s="4">
        <f>IF(ISNUMBER(SEARCH("营",'21.04.01'!Y64)),(-$Y64+50*IF('21.04.01'!$AK64="是",'21.04.01'!$BB$4,'21.04.01'!$BB$3)),(VLOOKUP('21.04.01'!Y64,'21.04.01'!$AO$4:$AQ$55,2,FALSE))*IF('21.04.01'!$AK64="是",'21.04.01'!$BB$4,'21.04.01'!$BB$3))</f>
        <v>0</v>
      </c>
      <c r="R64" s="4">
        <f>IF(ISNUMBER(SEARCH("营",'21.04.01'!Z64)),(-$Y64+50*IF('21.04.01'!$AK64="是",'21.04.01'!$BB$4,'21.04.01'!$BB$3)),(VLOOKUP('21.04.01'!Z64,'21.04.01'!$AO$4:$AQ$55,2,FALSE))*IF('21.04.01'!$AK64="是",'21.04.01'!$BB$4,'21.04.01'!$BB$3))</f>
        <v>0</v>
      </c>
      <c r="S64" s="4">
        <f>IF(ISNUMBER(SEARCH("营",'21.04.01'!AA64)),(-$Y64+50*IF('21.04.01'!$AK64="是",'21.04.01'!$BB$4,'21.04.01'!$BB$3)),(VLOOKUP('21.04.01'!AA64,'21.04.01'!$AO$4:$AQ$55,2,FALSE))*IF('21.04.01'!$AK64="是",'21.04.01'!$BB$4,'21.04.01'!$BB$3))</f>
        <v>0</v>
      </c>
      <c r="T64" s="4">
        <f>IF(ISNUMBER(SEARCH("营",'21.04.01'!AB64)),(-$Y64+50*IF('21.04.01'!$AK64="是",'21.04.01'!$BB$4,'21.04.01'!$BB$3)),(VLOOKUP('21.04.01'!AB64,'21.04.01'!$AO$4:$AQ$55,2,FALSE))*IF('21.04.01'!$AK64="是",'21.04.01'!$BB$4,'21.04.01'!$BB$3))</f>
        <v>0</v>
      </c>
      <c r="U64" s="4">
        <f>IF(ISNUMBER(SEARCH("营",'21.04.01'!AC64)),(-$Y64+50*IF('21.04.01'!$AK64="是",'21.04.01'!$BB$4,'21.04.01'!$BB$3)),(VLOOKUP('21.04.01'!AC64,'21.04.01'!$AO$4:$AQ$55,2,FALSE))*IF('21.04.01'!$AK64="是",'21.04.01'!$BB$4,'21.04.01'!$BB$3))</f>
        <v>0</v>
      </c>
      <c r="V64" s="4">
        <f>IF(ISNUMBER(SEARCH("营",'21.04.01'!AD64)),(-$Y64+50*IF('21.04.01'!$AK64="是",'21.04.01'!$BB$4,'21.04.01'!$BB$3)),(VLOOKUP('21.04.01'!AD64,'21.04.01'!$AO$4:$AQ$55,2,FALSE))*IF('21.04.01'!$AK64="是",'21.04.01'!$BB$4,'21.04.01'!$BB$3))</f>
        <v>0</v>
      </c>
      <c r="W64" s="4">
        <f>IF(ISNUMBER(SEARCH("营",'21.04.01'!AE64)),(-$Y64+50*IF('21.04.01'!$AK64="是",'21.04.01'!$BB$4,'21.04.01'!$BB$3)),(VLOOKUP('21.04.01'!AE64,'21.04.01'!$AO$4:$AQ$55,2,FALSE))*IF('21.04.01'!$AK64="是",'21.04.01'!$BB$4,'21.04.01'!$BB$3))</f>
        <v>0</v>
      </c>
      <c r="X64" s="4">
        <f>IF(ISNUMBER(SEARCH("营",'21.04.01'!AF64)),(-$Y64+50*IF('21.04.01'!$AK64="是",'21.04.01'!$BB$4,'21.04.01'!$BB$3)),(VLOOKUP('21.04.01'!AF64,'21.04.01'!$AO$4:$AQ$55,2,FALSE))*IF('21.04.01'!$AK64="是",'21.04.01'!$BB$4,'21.04.01'!$BB$3))</f>
        <v>0</v>
      </c>
      <c r="Y64" s="63">
        <v>100</v>
      </c>
      <c r="Z64" s="94">
        <v>45972</v>
      </c>
    </row>
    <row r="65" spans="1:26">
      <c r="A65" s="4">
        <f>IF(ISNUMBER(SEARCH("营",'21.04.01'!I65)),(-$Y65+50*IF('21.04.01'!$AK65="是",'21.04.01'!$BB$4,'21.04.01'!$BB$3)),(VLOOKUP('21.04.01'!I65,'21.04.01'!$AO$4:$AQ$55,2,FALSE))*IF('21.04.01'!$AK65="是",'21.04.01'!$BB$4,'21.04.01'!$BB$3))</f>
        <v>0</v>
      </c>
      <c r="B65" s="4">
        <f>IF(ISNUMBER(SEARCH("营",'21.04.01'!J65)),(-$Y65+50*IF('21.04.01'!$AK65="是",'21.04.01'!$BB$4,'21.04.01'!$BB$3)),(VLOOKUP('21.04.01'!J65,'21.04.01'!$AO$4:$AQ$55,2,FALSE))*IF('21.04.01'!$AK65="是",'21.04.01'!$BB$4,'21.04.01'!$BB$3))</f>
        <v>0</v>
      </c>
      <c r="C65" s="4">
        <f>IF(ISNUMBER(SEARCH("营",'21.04.01'!K65)),(-$Y65+50*IF('21.04.01'!$AK65="是",'21.04.01'!$BB$4,'21.04.01'!$BB$3)),(VLOOKUP('21.04.01'!K65,'21.04.01'!$AO$4:$AQ$55,2,FALSE))*IF('21.04.01'!$AK65="是",'21.04.01'!$BB$4,'21.04.01'!$BB$3))</f>
        <v>0</v>
      </c>
      <c r="D65" s="4">
        <f>IF(ISNUMBER(SEARCH("营",'21.04.01'!L65)),(-$Y65+50*IF('21.04.01'!$AK65="是",'21.04.01'!$BB$4,'21.04.01'!$BB$3)),(VLOOKUP('21.04.01'!L65,'21.04.01'!$AO$4:$AQ$55,2,FALSE))*IF('21.04.01'!$AK65="是",'21.04.01'!$BB$4,'21.04.01'!$BB$3))</f>
        <v>0</v>
      </c>
      <c r="E65" s="4">
        <f>IF(ISNUMBER(SEARCH("营",'21.04.01'!M65)),(-$Y65+50*IF('21.04.01'!$AK65="是",'21.04.01'!$BB$4,'21.04.01'!$BB$3)),(VLOOKUP('21.04.01'!M65,'21.04.01'!$AO$4:$AQ$55,2,FALSE))*IF('21.04.01'!$AK65="是",'21.04.01'!$BB$4,'21.04.01'!$BB$3))</f>
        <v>0</v>
      </c>
      <c r="F65" s="4">
        <f>IF(ISNUMBER(SEARCH("营",'21.04.01'!N65)),(-$Y65+50*IF('21.04.01'!$AK65="是",'21.04.01'!$BB$4,'21.04.01'!$BB$3)),(VLOOKUP('21.04.01'!N65,'21.04.01'!$AO$4:$AQ$55,2,FALSE))*IF('21.04.01'!$AK65="是",'21.04.01'!$BB$4,'21.04.01'!$BB$3))</f>
        <v>0</v>
      </c>
      <c r="G65" s="4">
        <f>IF(ISNUMBER(SEARCH("营",'21.04.01'!O65)),(-$Y65+50*IF('21.04.01'!$AK65="是",'21.04.01'!$BB$4,'21.04.01'!$BB$3)),(VLOOKUP('21.04.01'!O65,'21.04.01'!$AO$4:$AQ$55,2,FALSE))*IF('21.04.01'!$AK65="是",'21.04.01'!$BB$4,'21.04.01'!$BB$3))</f>
        <v>0</v>
      </c>
      <c r="H65" s="4">
        <f>IF(ISNUMBER(SEARCH("营",'21.04.01'!P65)),(-$Y65+50*IF('21.04.01'!$AK65="是",'21.04.01'!$BB$4,'21.04.01'!$BB$3)),(VLOOKUP('21.04.01'!P65,'21.04.01'!$AO$4:$AQ$55,2,FALSE))*IF('21.04.01'!$AK65="是",'21.04.01'!$BB$4,'21.04.01'!$BB$3))</f>
        <v>0</v>
      </c>
      <c r="I65" s="4">
        <f>IF(ISNUMBER(SEARCH("营",'21.04.01'!Q65)),(-$Y65+50*IF('21.04.01'!$AK65="是",'21.04.01'!$BB$4,'21.04.01'!$BB$3)),(VLOOKUP('21.04.01'!Q65,'21.04.01'!$AO$4:$AQ$55,2,FALSE))*IF('21.04.01'!$AK65="是",'21.04.01'!$BB$4,'21.04.01'!$BB$3))</f>
        <v>0</v>
      </c>
      <c r="J65" s="4">
        <f>IF(ISNUMBER(SEARCH("营",'21.04.01'!R65)),(-$Y65+50*IF('21.04.01'!$AK65="是",'21.04.01'!$BB$4,'21.04.01'!$BB$3)),(VLOOKUP('21.04.01'!R65,'21.04.01'!$AO$4:$AQ$55,2,FALSE))*IF('21.04.01'!$AK65="是",'21.04.01'!$BB$4,'21.04.01'!$BB$3))</f>
        <v>0</v>
      </c>
      <c r="K65" s="4">
        <f>IF(ISNUMBER(SEARCH("营",'21.04.01'!S65)),(-$Y65+50*IF('21.04.01'!$AK65="是",'21.04.01'!$BB$4,'21.04.01'!$BB$3)),(VLOOKUP('21.04.01'!S65,'21.04.01'!$AO$4:$AQ$55,2,FALSE))*IF('21.04.01'!$AK65="是",'21.04.01'!$BB$4,'21.04.01'!$BB$3))</f>
        <v>0</v>
      </c>
      <c r="L65" s="4">
        <f>IF(ISNUMBER(SEARCH("营",'21.04.01'!T65)),(-$Y65+50*IF('21.04.01'!$AK65="是",'21.04.01'!$BB$4,'21.04.01'!$BB$3)),(VLOOKUP('21.04.01'!T65,'21.04.01'!$AO$4:$AQ$55,2,FALSE))*IF('21.04.01'!$AK65="是",'21.04.01'!$BB$4,'21.04.01'!$BB$3))</f>
        <v>0</v>
      </c>
      <c r="M65" s="4">
        <f>IF(ISNUMBER(SEARCH("营",'21.04.01'!U65)),(-$Y65+50*IF('21.04.01'!$AK65="是",'21.04.01'!$BB$4,'21.04.01'!$BB$3)),(VLOOKUP('21.04.01'!U65,'21.04.01'!$AO$4:$AQ$55,2,FALSE))*IF('21.04.01'!$AK65="是",'21.04.01'!$BB$4,'21.04.01'!$BB$3))</f>
        <v>0</v>
      </c>
      <c r="N65" s="4">
        <f>IF(ISNUMBER(SEARCH("营",'21.04.01'!V65)),(-$Y65+50*IF('21.04.01'!$AK65="是",'21.04.01'!$BB$4,'21.04.01'!$BB$3)),(VLOOKUP('21.04.01'!V65,'21.04.01'!$AO$4:$AQ$55,2,FALSE))*IF('21.04.01'!$AK65="是",'21.04.01'!$BB$4,'21.04.01'!$BB$3))</f>
        <v>0</v>
      </c>
      <c r="O65" s="4">
        <f>IF(ISNUMBER(SEARCH("营",'21.04.01'!W65)),(-$Y65+50*IF('21.04.01'!$AK65="是",'21.04.01'!$BB$4,'21.04.01'!$BB$3)),(VLOOKUP('21.04.01'!W65,'21.04.01'!$AO$4:$AQ$55,2,FALSE))*IF('21.04.01'!$AK65="是",'21.04.01'!$BB$4,'21.04.01'!$BB$3))</f>
        <v>0</v>
      </c>
      <c r="P65" s="4">
        <f>IF(ISNUMBER(SEARCH("营",'21.04.01'!X65)),(-$Y65+50*IF('21.04.01'!$AK65="是",'21.04.01'!$BB$4,'21.04.01'!$BB$3)),(VLOOKUP('21.04.01'!X65,'21.04.01'!$AO$4:$AQ$55,2,FALSE))*IF('21.04.01'!$AK65="是",'21.04.01'!$BB$4,'21.04.01'!$BB$3))</f>
        <v>0</v>
      </c>
      <c r="Q65" s="4">
        <f>IF(ISNUMBER(SEARCH("营",'21.04.01'!Y65)),(-$Y65+50*IF('21.04.01'!$AK65="是",'21.04.01'!$BB$4,'21.04.01'!$BB$3)),(VLOOKUP('21.04.01'!Y65,'21.04.01'!$AO$4:$AQ$55,2,FALSE))*IF('21.04.01'!$AK65="是",'21.04.01'!$BB$4,'21.04.01'!$BB$3))</f>
        <v>0</v>
      </c>
      <c r="R65" s="4">
        <f>IF(ISNUMBER(SEARCH("营",'21.04.01'!Z65)),(-$Y65+50*IF('21.04.01'!$AK65="是",'21.04.01'!$BB$4,'21.04.01'!$BB$3)),(VLOOKUP('21.04.01'!Z65,'21.04.01'!$AO$4:$AQ$55,2,FALSE))*IF('21.04.01'!$AK65="是",'21.04.01'!$BB$4,'21.04.01'!$BB$3))</f>
        <v>0</v>
      </c>
      <c r="S65" s="4">
        <f>IF(ISNUMBER(SEARCH("营",'21.04.01'!AA65)),(-$Y65+50*IF('21.04.01'!$AK65="是",'21.04.01'!$BB$4,'21.04.01'!$BB$3)),(VLOOKUP('21.04.01'!AA65,'21.04.01'!$AO$4:$AQ$55,2,FALSE))*IF('21.04.01'!$AK65="是",'21.04.01'!$BB$4,'21.04.01'!$BB$3))</f>
        <v>0</v>
      </c>
      <c r="T65" s="4">
        <f>IF(ISNUMBER(SEARCH("营",'21.04.01'!AB65)),(-$Y65+50*IF('21.04.01'!$AK65="是",'21.04.01'!$BB$4,'21.04.01'!$BB$3)),(VLOOKUP('21.04.01'!AB65,'21.04.01'!$AO$4:$AQ$55,2,FALSE))*IF('21.04.01'!$AK65="是",'21.04.01'!$BB$4,'21.04.01'!$BB$3))</f>
        <v>0</v>
      </c>
      <c r="U65" s="4">
        <f>IF(ISNUMBER(SEARCH("营",'21.04.01'!AC65)),(-$Y65+50*IF('21.04.01'!$AK65="是",'21.04.01'!$BB$4,'21.04.01'!$BB$3)),(VLOOKUP('21.04.01'!AC65,'21.04.01'!$AO$4:$AQ$55,2,FALSE))*IF('21.04.01'!$AK65="是",'21.04.01'!$BB$4,'21.04.01'!$BB$3))</f>
        <v>0</v>
      </c>
      <c r="V65" s="4">
        <f>IF(ISNUMBER(SEARCH("营",'21.04.01'!AD65)),(-$Y65+50*IF('21.04.01'!$AK65="是",'21.04.01'!$BB$4,'21.04.01'!$BB$3)),(VLOOKUP('21.04.01'!AD65,'21.04.01'!$AO$4:$AQ$55,2,FALSE))*IF('21.04.01'!$AK65="是",'21.04.01'!$BB$4,'21.04.01'!$BB$3))</f>
        <v>0</v>
      </c>
      <c r="W65" s="4">
        <f>IF(ISNUMBER(SEARCH("营",'21.04.01'!AE65)),(-$Y65+50*IF('21.04.01'!$AK65="是",'21.04.01'!$BB$4,'21.04.01'!$BB$3)),(VLOOKUP('21.04.01'!AE65,'21.04.01'!$AO$4:$AQ$55,2,FALSE))*IF('21.04.01'!$AK65="是",'21.04.01'!$BB$4,'21.04.01'!$BB$3))</f>
        <v>0</v>
      </c>
      <c r="X65" s="4">
        <f>IF(ISNUMBER(SEARCH("营",'21.04.01'!AF65)),(-$Y65+50*IF('21.04.01'!$AK65="是",'21.04.01'!$BB$4,'21.04.01'!$BB$3)),(VLOOKUP('21.04.01'!AF65,'21.04.01'!$AO$4:$AQ$55,2,FALSE))*IF('21.04.01'!$AK65="是",'21.04.01'!$BB$4,'21.04.01'!$BB$3))</f>
        <v>0</v>
      </c>
      <c r="Y65" s="63">
        <v>100</v>
      </c>
      <c r="Z65" s="94">
        <v>45973</v>
      </c>
    </row>
    <row r="66" spans="1:26">
      <c r="A66" s="4">
        <f>IF(ISNUMBER(SEARCH("营",'21.04.01'!I66)),(-$Y66+50*IF('21.04.01'!$AK66="是",'21.04.01'!$BB$4,'21.04.01'!$BB$3)),(VLOOKUP('21.04.01'!I66,'21.04.01'!$AO$4:$AQ$55,2,FALSE))*IF('21.04.01'!$AK66="是",'21.04.01'!$BB$4,'21.04.01'!$BB$3))</f>
        <v>0</v>
      </c>
      <c r="B66" s="4">
        <f>IF(ISNUMBER(SEARCH("营",'21.04.01'!J66)),(-$Y66+50*IF('21.04.01'!$AK66="是",'21.04.01'!$BB$4,'21.04.01'!$BB$3)),(VLOOKUP('21.04.01'!J66,'21.04.01'!$AO$4:$AQ$55,2,FALSE))*IF('21.04.01'!$AK66="是",'21.04.01'!$BB$4,'21.04.01'!$BB$3))</f>
        <v>0</v>
      </c>
      <c r="C66" s="4">
        <f>IF(ISNUMBER(SEARCH("营",'21.04.01'!K66)),(-$Y66+50*IF('21.04.01'!$AK66="是",'21.04.01'!$BB$4,'21.04.01'!$BB$3)),(VLOOKUP('21.04.01'!K66,'21.04.01'!$AO$4:$AQ$55,2,FALSE))*IF('21.04.01'!$AK66="是",'21.04.01'!$BB$4,'21.04.01'!$BB$3))</f>
        <v>0</v>
      </c>
      <c r="D66" s="4">
        <f>IF(ISNUMBER(SEARCH("营",'21.04.01'!L66)),(-$Y66+50*IF('21.04.01'!$AK66="是",'21.04.01'!$BB$4,'21.04.01'!$BB$3)),(VLOOKUP('21.04.01'!L66,'21.04.01'!$AO$4:$AQ$55,2,FALSE))*IF('21.04.01'!$AK66="是",'21.04.01'!$BB$4,'21.04.01'!$BB$3))</f>
        <v>0</v>
      </c>
      <c r="E66" s="4">
        <f>IF(ISNUMBER(SEARCH("营",'21.04.01'!M66)),(-$Y66+50*IF('21.04.01'!$AK66="是",'21.04.01'!$BB$4,'21.04.01'!$BB$3)),(VLOOKUP('21.04.01'!M66,'21.04.01'!$AO$4:$AQ$55,2,FALSE))*IF('21.04.01'!$AK66="是",'21.04.01'!$BB$4,'21.04.01'!$BB$3))</f>
        <v>0</v>
      </c>
      <c r="F66" s="4">
        <f>IF(ISNUMBER(SEARCH("营",'21.04.01'!N66)),(-$Y66+50*IF('21.04.01'!$AK66="是",'21.04.01'!$BB$4,'21.04.01'!$BB$3)),(VLOOKUP('21.04.01'!N66,'21.04.01'!$AO$4:$AQ$55,2,FALSE))*IF('21.04.01'!$AK66="是",'21.04.01'!$BB$4,'21.04.01'!$BB$3))</f>
        <v>0</v>
      </c>
      <c r="G66" s="4">
        <f>IF(ISNUMBER(SEARCH("营",'21.04.01'!O66)),(-$Y66+50*IF('21.04.01'!$AK66="是",'21.04.01'!$BB$4,'21.04.01'!$BB$3)),(VLOOKUP('21.04.01'!O66,'21.04.01'!$AO$4:$AQ$55,2,FALSE))*IF('21.04.01'!$AK66="是",'21.04.01'!$BB$4,'21.04.01'!$BB$3))</f>
        <v>0</v>
      </c>
      <c r="H66" s="4">
        <f>IF(ISNUMBER(SEARCH("营",'21.04.01'!P66)),(-$Y66+50*IF('21.04.01'!$AK66="是",'21.04.01'!$BB$4,'21.04.01'!$BB$3)),(VLOOKUP('21.04.01'!P66,'21.04.01'!$AO$4:$AQ$55,2,FALSE))*IF('21.04.01'!$AK66="是",'21.04.01'!$BB$4,'21.04.01'!$BB$3))</f>
        <v>0</v>
      </c>
      <c r="I66" s="4">
        <f>IF(ISNUMBER(SEARCH("营",'21.04.01'!Q66)),(-$Y66+50*IF('21.04.01'!$AK66="是",'21.04.01'!$BB$4,'21.04.01'!$BB$3)),(VLOOKUP('21.04.01'!Q66,'21.04.01'!$AO$4:$AQ$55,2,FALSE))*IF('21.04.01'!$AK66="是",'21.04.01'!$BB$4,'21.04.01'!$BB$3))</f>
        <v>0</v>
      </c>
      <c r="J66" s="4">
        <f>IF(ISNUMBER(SEARCH("营",'21.04.01'!R66)),(-$Y66+50*IF('21.04.01'!$AK66="是",'21.04.01'!$BB$4,'21.04.01'!$BB$3)),(VLOOKUP('21.04.01'!R66,'21.04.01'!$AO$4:$AQ$55,2,FALSE))*IF('21.04.01'!$AK66="是",'21.04.01'!$BB$4,'21.04.01'!$BB$3))</f>
        <v>0</v>
      </c>
      <c r="K66" s="4">
        <f>IF(ISNUMBER(SEARCH("营",'21.04.01'!S66)),(-$Y66+50*IF('21.04.01'!$AK66="是",'21.04.01'!$BB$4,'21.04.01'!$BB$3)),(VLOOKUP('21.04.01'!S66,'21.04.01'!$AO$4:$AQ$55,2,FALSE))*IF('21.04.01'!$AK66="是",'21.04.01'!$BB$4,'21.04.01'!$BB$3))</f>
        <v>0</v>
      </c>
      <c r="L66" s="4">
        <f>IF(ISNUMBER(SEARCH("营",'21.04.01'!T66)),(-$Y66+50*IF('21.04.01'!$AK66="是",'21.04.01'!$BB$4,'21.04.01'!$BB$3)),(VLOOKUP('21.04.01'!T66,'21.04.01'!$AO$4:$AQ$55,2,FALSE))*IF('21.04.01'!$AK66="是",'21.04.01'!$BB$4,'21.04.01'!$BB$3))</f>
        <v>0</v>
      </c>
      <c r="M66" s="4">
        <f>IF(ISNUMBER(SEARCH("营",'21.04.01'!U66)),(-$Y66+50*IF('21.04.01'!$AK66="是",'21.04.01'!$BB$4,'21.04.01'!$BB$3)),(VLOOKUP('21.04.01'!U66,'21.04.01'!$AO$4:$AQ$55,2,FALSE))*IF('21.04.01'!$AK66="是",'21.04.01'!$BB$4,'21.04.01'!$BB$3))</f>
        <v>0</v>
      </c>
      <c r="N66" s="4">
        <f>IF(ISNUMBER(SEARCH("营",'21.04.01'!V66)),(-$Y66+50*IF('21.04.01'!$AK66="是",'21.04.01'!$BB$4,'21.04.01'!$BB$3)),(VLOOKUP('21.04.01'!V66,'21.04.01'!$AO$4:$AQ$55,2,FALSE))*IF('21.04.01'!$AK66="是",'21.04.01'!$BB$4,'21.04.01'!$BB$3))</f>
        <v>0</v>
      </c>
      <c r="O66" s="4">
        <f>IF(ISNUMBER(SEARCH("营",'21.04.01'!W66)),(-$Y66+50*IF('21.04.01'!$AK66="是",'21.04.01'!$BB$4,'21.04.01'!$BB$3)),(VLOOKUP('21.04.01'!W66,'21.04.01'!$AO$4:$AQ$55,2,FALSE))*IF('21.04.01'!$AK66="是",'21.04.01'!$BB$4,'21.04.01'!$BB$3))</f>
        <v>0</v>
      </c>
      <c r="P66" s="4">
        <f>IF(ISNUMBER(SEARCH("营",'21.04.01'!X66)),(-$Y66+50*IF('21.04.01'!$AK66="是",'21.04.01'!$BB$4,'21.04.01'!$BB$3)),(VLOOKUP('21.04.01'!X66,'21.04.01'!$AO$4:$AQ$55,2,FALSE))*IF('21.04.01'!$AK66="是",'21.04.01'!$BB$4,'21.04.01'!$BB$3))</f>
        <v>0</v>
      </c>
      <c r="Q66" s="4">
        <f>IF(ISNUMBER(SEARCH("营",'21.04.01'!Y66)),(-$Y66+50*IF('21.04.01'!$AK66="是",'21.04.01'!$BB$4,'21.04.01'!$BB$3)),(VLOOKUP('21.04.01'!Y66,'21.04.01'!$AO$4:$AQ$55,2,FALSE))*IF('21.04.01'!$AK66="是",'21.04.01'!$BB$4,'21.04.01'!$BB$3))</f>
        <v>0</v>
      </c>
      <c r="R66" s="4">
        <f>IF(ISNUMBER(SEARCH("营",'21.04.01'!Z66)),(-$Y66+50*IF('21.04.01'!$AK66="是",'21.04.01'!$BB$4,'21.04.01'!$BB$3)),(VLOOKUP('21.04.01'!Z66,'21.04.01'!$AO$4:$AQ$55,2,FALSE))*IF('21.04.01'!$AK66="是",'21.04.01'!$BB$4,'21.04.01'!$BB$3))</f>
        <v>0</v>
      </c>
      <c r="S66" s="4">
        <f>IF(ISNUMBER(SEARCH("营",'21.04.01'!AA66)),(-$Y66+50*IF('21.04.01'!$AK66="是",'21.04.01'!$BB$4,'21.04.01'!$BB$3)),(VLOOKUP('21.04.01'!AA66,'21.04.01'!$AO$4:$AQ$55,2,FALSE))*IF('21.04.01'!$AK66="是",'21.04.01'!$BB$4,'21.04.01'!$BB$3))</f>
        <v>0</v>
      </c>
      <c r="T66" s="4">
        <f>IF(ISNUMBER(SEARCH("营",'21.04.01'!AB66)),(-$Y66+50*IF('21.04.01'!$AK66="是",'21.04.01'!$BB$4,'21.04.01'!$BB$3)),(VLOOKUP('21.04.01'!AB66,'21.04.01'!$AO$4:$AQ$55,2,FALSE))*IF('21.04.01'!$AK66="是",'21.04.01'!$BB$4,'21.04.01'!$BB$3))</f>
        <v>0</v>
      </c>
      <c r="U66" s="4">
        <f>IF(ISNUMBER(SEARCH("营",'21.04.01'!AC66)),(-$Y66+50*IF('21.04.01'!$AK66="是",'21.04.01'!$BB$4,'21.04.01'!$BB$3)),(VLOOKUP('21.04.01'!AC66,'21.04.01'!$AO$4:$AQ$55,2,FALSE))*IF('21.04.01'!$AK66="是",'21.04.01'!$BB$4,'21.04.01'!$BB$3))</f>
        <v>0</v>
      </c>
      <c r="V66" s="4">
        <f>IF(ISNUMBER(SEARCH("营",'21.04.01'!AD66)),(-$Y66+50*IF('21.04.01'!$AK66="是",'21.04.01'!$BB$4,'21.04.01'!$BB$3)),(VLOOKUP('21.04.01'!AD66,'21.04.01'!$AO$4:$AQ$55,2,FALSE))*IF('21.04.01'!$AK66="是",'21.04.01'!$BB$4,'21.04.01'!$BB$3))</f>
        <v>0</v>
      </c>
      <c r="W66" s="4">
        <f>IF(ISNUMBER(SEARCH("营",'21.04.01'!AE66)),(-$Y66+50*IF('21.04.01'!$AK66="是",'21.04.01'!$BB$4,'21.04.01'!$BB$3)),(VLOOKUP('21.04.01'!AE66,'21.04.01'!$AO$4:$AQ$55,2,FALSE))*IF('21.04.01'!$AK66="是",'21.04.01'!$BB$4,'21.04.01'!$BB$3))</f>
        <v>0</v>
      </c>
      <c r="X66" s="4">
        <f>IF(ISNUMBER(SEARCH("营",'21.04.01'!AF66)),(-$Y66+50*IF('21.04.01'!$AK66="是",'21.04.01'!$BB$4,'21.04.01'!$BB$3)),(VLOOKUP('21.04.01'!AF66,'21.04.01'!$AO$4:$AQ$55,2,FALSE))*IF('21.04.01'!$AK66="是",'21.04.01'!$BB$4,'21.04.01'!$BB$3))</f>
        <v>0</v>
      </c>
      <c r="Y66" s="63">
        <v>100</v>
      </c>
      <c r="Z66" s="94">
        <v>45974</v>
      </c>
    </row>
    <row r="67" spans="1:26">
      <c r="A67" s="4">
        <f>IF(ISNUMBER(SEARCH("营",'21.04.01'!I67)),(-$Y67+50*IF('21.04.01'!$AK67="是",'21.04.01'!$BB$4,'21.04.01'!$BB$3)),(VLOOKUP('21.04.01'!I67,'21.04.01'!$AO$4:$AQ$55,2,FALSE))*IF('21.04.01'!$AK67="是",'21.04.01'!$BB$4,'21.04.01'!$BB$3))</f>
        <v>0</v>
      </c>
      <c r="B67" s="4">
        <f>IF(ISNUMBER(SEARCH("营",'21.04.01'!J67)),(-$Y67+50*IF('21.04.01'!$AK67="是",'21.04.01'!$BB$4,'21.04.01'!$BB$3)),(VLOOKUP('21.04.01'!J67,'21.04.01'!$AO$4:$AQ$55,2,FALSE))*IF('21.04.01'!$AK67="是",'21.04.01'!$BB$4,'21.04.01'!$BB$3))</f>
        <v>0</v>
      </c>
      <c r="C67" s="4">
        <f>IF(ISNUMBER(SEARCH("营",'21.04.01'!K67)),(-$Y67+50*IF('21.04.01'!$AK67="是",'21.04.01'!$BB$4,'21.04.01'!$BB$3)),(VLOOKUP('21.04.01'!K67,'21.04.01'!$AO$4:$AQ$55,2,FALSE))*IF('21.04.01'!$AK67="是",'21.04.01'!$BB$4,'21.04.01'!$BB$3))</f>
        <v>0</v>
      </c>
      <c r="D67" s="4">
        <f>IF(ISNUMBER(SEARCH("营",'21.04.01'!L67)),(-$Y67+50*IF('21.04.01'!$AK67="是",'21.04.01'!$BB$4,'21.04.01'!$BB$3)),(VLOOKUP('21.04.01'!L67,'21.04.01'!$AO$4:$AQ$55,2,FALSE))*IF('21.04.01'!$AK67="是",'21.04.01'!$BB$4,'21.04.01'!$BB$3))</f>
        <v>0</v>
      </c>
      <c r="E67" s="4">
        <f>IF(ISNUMBER(SEARCH("营",'21.04.01'!M67)),(-$Y67+50*IF('21.04.01'!$AK67="是",'21.04.01'!$BB$4,'21.04.01'!$BB$3)),(VLOOKUP('21.04.01'!M67,'21.04.01'!$AO$4:$AQ$55,2,FALSE))*IF('21.04.01'!$AK67="是",'21.04.01'!$BB$4,'21.04.01'!$BB$3))</f>
        <v>0</v>
      </c>
      <c r="F67" s="4">
        <f>IF(ISNUMBER(SEARCH("营",'21.04.01'!N67)),(-$Y67+50*IF('21.04.01'!$AK67="是",'21.04.01'!$BB$4,'21.04.01'!$BB$3)),(VLOOKUP('21.04.01'!N67,'21.04.01'!$AO$4:$AQ$55,2,FALSE))*IF('21.04.01'!$AK67="是",'21.04.01'!$BB$4,'21.04.01'!$BB$3))</f>
        <v>0</v>
      </c>
      <c r="G67" s="4">
        <f>IF(ISNUMBER(SEARCH("营",'21.04.01'!O67)),(-$Y67+50*IF('21.04.01'!$AK67="是",'21.04.01'!$BB$4,'21.04.01'!$BB$3)),(VLOOKUP('21.04.01'!O67,'21.04.01'!$AO$4:$AQ$55,2,FALSE))*IF('21.04.01'!$AK67="是",'21.04.01'!$BB$4,'21.04.01'!$BB$3))</f>
        <v>0</v>
      </c>
      <c r="H67" s="4">
        <f>IF(ISNUMBER(SEARCH("营",'21.04.01'!P67)),(-$Y67+50*IF('21.04.01'!$AK67="是",'21.04.01'!$BB$4,'21.04.01'!$BB$3)),(VLOOKUP('21.04.01'!P67,'21.04.01'!$AO$4:$AQ$55,2,FALSE))*IF('21.04.01'!$AK67="是",'21.04.01'!$BB$4,'21.04.01'!$BB$3))</f>
        <v>0</v>
      </c>
      <c r="I67" s="4">
        <f>IF(ISNUMBER(SEARCH("营",'21.04.01'!Q67)),(-$Y67+50*IF('21.04.01'!$AK67="是",'21.04.01'!$BB$4,'21.04.01'!$BB$3)),(VLOOKUP('21.04.01'!Q67,'21.04.01'!$AO$4:$AQ$55,2,FALSE))*IF('21.04.01'!$AK67="是",'21.04.01'!$BB$4,'21.04.01'!$BB$3))</f>
        <v>0</v>
      </c>
      <c r="J67" s="4">
        <f>IF(ISNUMBER(SEARCH("营",'21.04.01'!R67)),(-$Y67+50*IF('21.04.01'!$AK67="是",'21.04.01'!$BB$4,'21.04.01'!$BB$3)),(VLOOKUP('21.04.01'!R67,'21.04.01'!$AO$4:$AQ$55,2,FALSE))*IF('21.04.01'!$AK67="是",'21.04.01'!$BB$4,'21.04.01'!$BB$3))</f>
        <v>0</v>
      </c>
      <c r="K67" s="4">
        <f>IF(ISNUMBER(SEARCH("营",'21.04.01'!S67)),(-$Y67+50*IF('21.04.01'!$AK67="是",'21.04.01'!$BB$4,'21.04.01'!$BB$3)),(VLOOKUP('21.04.01'!S67,'21.04.01'!$AO$4:$AQ$55,2,FALSE))*IF('21.04.01'!$AK67="是",'21.04.01'!$BB$4,'21.04.01'!$BB$3))</f>
        <v>0</v>
      </c>
      <c r="L67" s="4">
        <f>IF(ISNUMBER(SEARCH("营",'21.04.01'!T67)),(-$Y67+50*IF('21.04.01'!$AK67="是",'21.04.01'!$BB$4,'21.04.01'!$BB$3)),(VLOOKUP('21.04.01'!T67,'21.04.01'!$AO$4:$AQ$55,2,FALSE))*IF('21.04.01'!$AK67="是",'21.04.01'!$BB$4,'21.04.01'!$BB$3))</f>
        <v>0</v>
      </c>
      <c r="M67" s="4">
        <f>IF(ISNUMBER(SEARCH("营",'21.04.01'!U67)),(-$Y67+50*IF('21.04.01'!$AK67="是",'21.04.01'!$BB$4,'21.04.01'!$BB$3)),(VLOOKUP('21.04.01'!U67,'21.04.01'!$AO$4:$AQ$55,2,FALSE))*IF('21.04.01'!$AK67="是",'21.04.01'!$BB$4,'21.04.01'!$BB$3))</f>
        <v>0</v>
      </c>
      <c r="N67" s="4">
        <f>IF(ISNUMBER(SEARCH("营",'21.04.01'!V67)),(-$Y67+50*IF('21.04.01'!$AK67="是",'21.04.01'!$BB$4,'21.04.01'!$BB$3)),(VLOOKUP('21.04.01'!V67,'21.04.01'!$AO$4:$AQ$55,2,FALSE))*IF('21.04.01'!$AK67="是",'21.04.01'!$BB$4,'21.04.01'!$BB$3))</f>
        <v>0</v>
      </c>
      <c r="O67" s="4">
        <f>IF(ISNUMBER(SEARCH("营",'21.04.01'!W67)),(-$Y67+50*IF('21.04.01'!$AK67="是",'21.04.01'!$BB$4,'21.04.01'!$BB$3)),(VLOOKUP('21.04.01'!W67,'21.04.01'!$AO$4:$AQ$55,2,FALSE))*IF('21.04.01'!$AK67="是",'21.04.01'!$BB$4,'21.04.01'!$BB$3))</f>
        <v>0</v>
      </c>
      <c r="P67" s="4">
        <f>IF(ISNUMBER(SEARCH("营",'21.04.01'!X67)),(-$Y67+50*IF('21.04.01'!$AK67="是",'21.04.01'!$BB$4,'21.04.01'!$BB$3)),(VLOOKUP('21.04.01'!X67,'21.04.01'!$AO$4:$AQ$55,2,FALSE))*IF('21.04.01'!$AK67="是",'21.04.01'!$BB$4,'21.04.01'!$BB$3))</f>
        <v>0</v>
      </c>
      <c r="Q67" s="4">
        <f>IF(ISNUMBER(SEARCH("营",'21.04.01'!Y67)),(-$Y67+50*IF('21.04.01'!$AK67="是",'21.04.01'!$BB$4,'21.04.01'!$BB$3)),(VLOOKUP('21.04.01'!Y67,'21.04.01'!$AO$4:$AQ$55,2,FALSE))*IF('21.04.01'!$AK67="是",'21.04.01'!$BB$4,'21.04.01'!$BB$3))</f>
        <v>0</v>
      </c>
      <c r="R67" s="4">
        <f>IF(ISNUMBER(SEARCH("营",'21.04.01'!Z67)),(-$Y67+50*IF('21.04.01'!$AK67="是",'21.04.01'!$BB$4,'21.04.01'!$BB$3)),(VLOOKUP('21.04.01'!Z67,'21.04.01'!$AO$4:$AQ$55,2,FALSE))*IF('21.04.01'!$AK67="是",'21.04.01'!$BB$4,'21.04.01'!$BB$3))</f>
        <v>0</v>
      </c>
      <c r="S67" s="4">
        <f>IF(ISNUMBER(SEARCH("营",'21.04.01'!AA67)),(-$Y67+50*IF('21.04.01'!$AK67="是",'21.04.01'!$BB$4,'21.04.01'!$BB$3)),(VLOOKUP('21.04.01'!AA67,'21.04.01'!$AO$4:$AQ$55,2,FALSE))*IF('21.04.01'!$AK67="是",'21.04.01'!$BB$4,'21.04.01'!$BB$3))</f>
        <v>0</v>
      </c>
      <c r="T67" s="4">
        <f>IF(ISNUMBER(SEARCH("营",'21.04.01'!AB67)),(-$Y67+50*IF('21.04.01'!$AK67="是",'21.04.01'!$BB$4,'21.04.01'!$BB$3)),(VLOOKUP('21.04.01'!AB67,'21.04.01'!$AO$4:$AQ$55,2,FALSE))*IF('21.04.01'!$AK67="是",'21.04.01'!$BB$4,'21.04.01'!$BB$3))</f>
        <v>0</v>
      </c>
      <c r="U67" s="4">
        <f>IF(ISNUMBER(SEARCH("营",'21.04.01'!AC67)),(-$Y67+50*IF('21.04.01'!$AK67="是",'21.04.01'!$BB$4,'21.04.01'!$BB$3)),(VLOOKUP('21.04.01'!AC67,'21.04.01'!$AO$4:$AQ$55,2,FALSE))*IF('21.04.01'!$AK67="是",'21.04.01'!$BB$4,'21.04.01'!$BB$3))</f>
        <v>0</v>
      </c>
      <c r="V67" s="4">
        <f>IF(ISNUMBER(SEARCH("营",'21.04.01'!AD67)),(-$Y67+50*IF('21.04.01'!$AK67="是",'21.04.01'!$BB$4,'21.04.01'!$BB$3)),(VLOOKUP('21.04.01'!AD67,'21.04.01'!$AO$4:$AQ$55,2,FALSE))*IF('21.04.01'!$AK67="是",'21.04.01'!$BB$4,'21.04.01'!$BB$3))</f>
        <v>0</v>
      </c>
      <c r="W67" s="4">
        <f>IF(ISNUMBER(SEARCH("营",'21.04.01'!AE67)),(-$Y67+50*IF('21.04.01'!$AK67="是",'21.04.01'!$BB$4,'21.04.01'!$BB$3)),(VLOOKUP('21.04.01'!AE67,'21.04.01'!$AO$4:$AQ$55,2,FALSE))*IF('21.04.01'!$AK67="是",'21.04.01'!$BB$4,'21.04.01'!$BB$3))</f>
        <v>0</v>
      </c>
      <c r="X67" s="4">
        <f>IF(ISNUMBER(SEARCH("营",'21.04.01'!AF67)),(-$Y67+50*IF('21.04.01'!$AK67="是",'21.04.01'!$BB$4,'21.04.01'!$BB$3)),(VLOOKUP('21.04.01'!AF67,'21.04.01'!$AO$4:$AQ$55,2,FALSE))*IF('21.04.01'!$AK67="是",'21.04.01'!$BB$4,'21.04.01'!$BB$3))</f>
        <v>0</v>
      </c>
      <c r="Y67" s="63">
        <v>100</v>
      </c>
      <c r="Z67" s="94">
        <v>45975</v>
      </c>
    </row>
    <row r="68" spans="1:26">
      <c r="A68" s="4">
        <f>IF(ISNUMBER(SEARCH("营",'21.04.01'!I68)),(-$Y68+50*IF('21.04.01'!$AK68="是",'21.04.01'!$BB$4,'21.04.01'!$BB$3)),(VLOOKUP('21.04.01'!I68,'21.04.01'!$AO$4:$AQ$55,2,FALSE))*IF('21.04.01'!$AK68="是",'21.04.01'!$BB$4,'21.04.01'!$BB$3))</f>
        <v>0</v>
      </c>
      <c r="B68" s="4">
        <f>IF(ISNUMBER(SEARCH("营",'21.04.01'!J68)),(-$Y68+50*IF('21.04.01'!$AK68="是",'21.04.01'!$BB$4,'21.04.01'!$BB$3)),(VLOOKUP('21.04.01'!J68,'21.04.01'!$AO$4:$AQ$55,2,FALSE))*IF('21.04.01'!$AK68="是",'21.04.01'!$BB$4,'21.04.01'!$BB$3))</f>
        <v>0</v>
      </c>
      <c r="C68" s="4">
        <f>IF(ISNUMBER(SEARCH("营",'21.04.01'!K68)),(-$Y68+50*IF('21.04.01'!$AK68="是",'21.04.01'!$BB$4,'21.04.01'!$BB$3)),(VLOOKUP('21.04.01'!K68,'21.04.01'!$AO$4:$AQ$55,2,FALSE))*IF('21.04.01'!$AK68="是",'21.04.01'!$BB$4,'21.04.01'!$BB$3))</f>
        <v>0</v>
      </c>
      <c r="D68" s="4">
        <f>IF(ISNUMBER(SEARCH("营",'21.04.01'!L68)),(-$Y68+50*IF('21.04.01'!$AK68="是",'21.04.01'!$BB$4,'21.04.01'!$BB$3)),(VLOOKUP('21.04.01'!L68,'21.04.01'!$AO$4:$AQ$55,2,FALSE))*IF('21.04.01'!$AK68="是",'21.04.01'!$BB$4,'21.04.01'!$BB$3))</f>
        <v>0</v>
      </c>
      <c r="E68" s="4">
        <f>IF(ISNUMBER(SEARCH("营",'21.04.01'!M68)),(-$Y68+50*IF('21.04.01'!$AK68="是",'21.04.01'!$BB$4,'21.04.01'!$BB$3)),(VLOOKUP('21.04.01'!M68,'21.04.01'!$AO$4:$AQ$55,2,FALSE))*IF('21.04.01'!$AK68="是",'21.04.01'!$BB$4,'21.04.01'!$BB$3))</f>
        <v>0</v>
      </c>
      <c r="F68" s="4">
        <f>IF(ISNUMBER(SEARCH("营",'21.04.01'!N68)),(-$Y68+50*IF('21.04.01'!$AK68="是",'21.04.01'!$BB$4,'21.04.01'!$BB$3)),(VLOOKUP('21.04.01'!N68,'21.04.01'!$AO$4:$AQ$55,2,FALSE))*IF('21.04.01'!$AK68="是",'21.04.01'!$BB$4,'21.04.01'!$BB$3))</f>
        <v>0</v>
      </c>
      <c r="G68" s="4">
        <f>IF(ISNUMBER(SEARCH("营",'21.04.01'!O68)),(-$Y68+50*IF('21.04.01'!$AK68="是",'21.04.01'!$BB$4,'21.04.01'!$BB$3)),(VLOOKUP('21.04.01'!O68,'21.04.01'!$AO$4:$AQ$55,2,FALSE))*IF('21.04.01'!$AK68="是",'21.04.01'!$BB$4,'21.04.01'!$BB$3))</f>
        <v>0</v>
      </c>
      <c r="H68" s="4">
        <f>IF(ISNUMBER(SEARCH("营",'21.04.01'!P68)),(-$Y68+50*IF('21.04.01'!$AK68="是",'21.04.01'!$BB$4,'21.04.01'!$BB$3)),(VLOOKUP('21.04.01'!P68,'21.04.01'!$AO$4:$AQ$55,2,FALSE))*IF('21.04.01'!$AK68="是",'21.04.01'!$BB$4,'21.04.01'!$BB$3))</f>
        <v>0</v>
      </c>
      <c r="I68" s="4">
        <f>IF(ISNUMBER(SEARCH("营",'21.04.01'!Q68)),(-$Y68+50*IF('21.04.01'!$AK68="是",'21.04.01'!$BB$4,'21.04.01'!$BB$3)),(VLOOKUP('21.04.01'!Q68,'21.04.01'!$AO$4:$AQ$55,2,FALSE))*IF('21.04.01'!$AK68="是",'21.04.01'!$BB$4,'21.04.01'!$BB$3))</f>
        <v>0</v>
      </c>
      <c r="J68" s="4">
        <f>IF(ISNUMBER(SEARCH("营",'21.04.01'!R68)),(-$Y68+50*IF('21.04.01'!$AK68="是",'21.04.01'!$BB$4,'21.04.01'!$BB$3)),(VLOOKUP('21.04.01'!R68,'21.04.01'!$AO$4:$AQ$55,2,FALSE))*IF('21.04.01'!$AK68="是",'21.04.01'!$BB$4,'21.04.01'!$BB$3))</f>
        <v>0</v>
      </c>
      <c r="K68" s="4">
        <f>IF(ISNUMBER(SEARCH("营",'21.04.01'!S68)),(-$Y68+50*IF('21.04.01'!$AK68="是",'21.04.01'!$BB$4,'21.04.01'!$BB$3)),(VLOOKUP('21.04.01'!S68,'21.04.01'!$AO$4:$AQ$55,2,FALSE))*IF('21.04.01'!$AK68="是",'21.04.01'!$BB$4,'21.04.01'!$BB$3))</f>
        <v>0</v>
      </c>
      <c r="L68" s="4">
        <f>IF(ISNUMBER(SEARCH("营",'21.04.01'!T68)),(-$Y68+50*IF('21.04.01'!$AK68="是",'21.04.01'!$BB$4,'21.04.01'!$BB$3)),(VLOOKUP('21.04.01'!T68,'21.04.01'!$AO$4:$AQ$55,2,FALSE))*IF('21.04.01'!$AK68="是",'21.04.01'!$BB$4,'21.04.01'!$BB$3))</f>
        <v>0</v>
      </c>
      <c r="M68" s="4">
        <f>IF(ISNUMBER(SEARCH("营",'21.04.01'!U68)),(-$Y68+50*IF('21.04.01'!$AK68="是",'21.04.01'!$BB$4,'21.04.01'!$BB$3)),(VLOOKUP('21.04.01'!U68,'21.04.01'!$AO$4:$AQ$55,2,FALSE))*IF('21.04.01'!$AK68="是",'21.04.01'!$BB$4,'21.04.01'!$BB$3))</f>
        <v>0</v>
      </c>
      <c r="N68" s="4">
        <f>IF(ISNUMBER(SEARCH("营",'21.04.01'!V68)),(-$Y68+50*IF('21.04.01'!$AK68="是",'21.04.01'!$BB$4,'21.04.01'!$BB$3)),(VLOOKUP('21.04.01'!V68,'21.04.01'!$AO$4:$AQ$55,2,FALSE))*IF('21.04.01'!$AK68="是",'21.04.01'!$BB$4,'21.04.01'!$BB$3))</f>
        <v>0</v>
      </c>
      <c r="O68" s="4">
        <f>IF(ISNUMBER(SEARCH("营",'21.04.01'!W68)),(-$Y68+50*IF('21.04.01'!$AK68="是",'21.04.01'!$BB$4,'21.04.01'!$BB$3)),(VLOOKUP('21.04.01'!W68,'21.04.01'!$AO$4:$AQ$55,2,FALSE))*IF('21.04.01'!$AK68="是",'21.04.01'!$BB$4,'21.04.01'!$BB$3))</f>
        <v>0</v>
      </c>
      <c r="P68" s="4">
        <f>IF(ISNUMBER(SEARCH("营",'21.04.01'!X68)),(-$Y68+50*IF('21.04.01'!$AK68="是",'21.04.01'!$BB$4,'21.04.01'!$BB$3)),(VLOOKUP('21.04.01'!X68,'21.04.01'!$AO$4:$AQ$55,2,FALSE))*IF('21.04.01'!$AK68="是",'21.04.01'!$BB$4,'21.04.01'!$BB$3))</f>
        <v>0</v>
      </c>
      <c r="Q68" s="4">
        <f>IF(ISNUMBER(SEARCH("营",'21.04.01'!Y68)),(-$Y68+50*IF('21.04.01'!$AK68="是",'21.04.01'!$BB$4,'21.04.01'!$BB$3)),(VLOOKUP('21.04.01'!Y68,'21.04.01'!$AO$4:$AQ$55,2,FALSE))*IF('21.04.01'!$AK68="是",'21.04.01'!$BB$4,'21.04.01'!$BB$3))</f>
        <v>0</v>
      </c>
      <c r="R68" s="4">
        <f>IF(ISNUMBER(SEARCH("营",'21.04.01'!Z68)),(-$Y68+50*IF('21.04.01'!$AK68="是",'21.04.01'!$BB$4,'21.04.01'!$BB$3)),(VLOOKUP('21.04.01'!Z68,'21.04.01'!$AO$4:$AQ$55,2,FALSE))*IF('21.04.01'!$AK68="是",'21.04.01'!$BB$4,'21.04.01'!$BB$3))</f>
        <v>0</v>
      </c>
      <c r="S68" s="4">
        <f>IF(ISNUMBER(SEARCH("营",'21.04.01'!AA68)),(-$Y68+50*IF('21.04.01'!$AK68="是",'21.04.01'!$BB$4,'21.04.01'!$BB$3)),(VLOOKUP('21.04.01'!AA68,'21.04.01'!$AO$4:$AQ$55,2,FALSE))*IF('21.04.01'!$AK68="是",'21.04.01'!$BB$4,'21.04.01'!$BB$3))</f>
        <v>0</v>
      </c>
      <c r="T68" s="4">
        <f>IF(ISNUMBER(SEARCH("营",'21.04.01'!AB68)),(-$Y68+50*IF('21.04.01'!$AK68="是",'21.04.01'!$BB$4,'21.04.01'!$BB$3)),(VLOOKUP('21.04.01'!AB68,'21.04.01'!$AO$4:$AQ$55,2,FALSE))*IF('21.04.01'!$AK68="是",'21.04.01'!$BB$4,'21.04.01'!$BB$3))</f>
        <v>0</v>
      </c>
      <c r="U68" s="4">
        <f>IF(ISNUMBER(SEARCH("营",'21.04.01'!AC68)),(-$Y68+50*IF('21.04.01'!$AK68="是",'21.04.01'!$BB$4,'21.04.01'!$BB$3)),(VLOOKUP('21.04.01'!AC68,'21.04.01'!$AO$4:$AQ$55,2,FALSE))*IF('21.04.01'!$AK68="是",'21.04.01'!$BB$4,'21.04.01'!$BB$3))</f>
        <v>0</v>
      </c>
      <c r="V68" s="4">
        <f>IF(ISNUMBER(SEARCH("营",'21.04.01'!AD68)),(-$Y68+50*IF('21.04.01'!$AK68="是",'21.04.01'!$BB$4,'21.04.01'!$BB$3)),(VLOOKUP('21.04.01'!AD68,'21.04.01'!$AO$4:$AQ$55,2,FALSE))*IF('21.04.01'!$AK68="是",'21.04.01'!$BB$4,'21.04.01'!$BB$3))</f>
        <v>0</v>
      </c>
      <c r="W68" s="4">
        <f>IF(ISNUMBER(SEARCH("营",'21.04.01'!AE68)),(-$Y68+50*IF('21.04.01'!$AK68="是",'21.04.01'!$BB$4,'21.04.01'!$BB$3)),(VLOOKUP('21.04.01'!AE68,'21.04.01'!$AO$4:$AQ$55,2,FALSE))*IF('21.04.01'!$AK68="是",'21.04.01'!$BB$4,'21.04.01'!$BB$3))</f>
        <v>0</v>
      </c>
      <c r="X68" s="4">
        <f>IF(ISNUMBER(SEARCH("营",'21.04.01'!AF68)),(-$Y68+50*IF('21.04.01'!$AK68="是",'21.04.01'!$BB$4,'21.04.01'!$BB$3)),(VLOOKUP('21.04.01'!AF68,'21.04.01'!$AO$4:$AQ$55,2,FALSE))*IF('21.04.01'!$AK68="是",'21.04.01'!$BB$4,'21.04.01'!$BB$3))</f>
        <v>0</v>
      </c>
      <c r="Y68" s="63">
        <v>100</v>
      </c>
      <c r="Z68" s="94">
        <v>45976</v>
      </c>
    </row>
    <row r="69" spans="1:26">
      <c r="A69" s="4">
        <f>IF(ISNUMBER(SEARCH("营",'21.04.01'!I69)),(-$Y69+50*IF('21.04.01'!$AK69="是",'21.04.01'!$BB$4,'21.04.01'!$BB$3)),(VLOOKUP('21.04.01'!I69,'21.04.01'!$AO$4:$AQ$55,2,FALSE))*IF('21.04.01'!$AK69="是",'21.04.01'!$BB$4,'21.04.01'!$BB$3))</f>
        <v>0</v>
      </c>
      <c r="B69" s="4">
        <f>IF(ISNUMBER(SEARCH("营",'21.04.01'!J69)),(-$Y69+50*IF('21.04.01'!$AK69="是",'21.04.01'!$BB$4,'21.04.01'!$BB$3)),(VLOOKUP('21.04.01'!J69,'21.04.01'!$AO$4:$AQ$55,2,FALSE))*IF('21.04.01'!$AK69="是",'21.04.01'!$BB$4,'21.04.01'!$BB$3))</f>
        <v>0</v>
      </c>
      <c r="C69" s="4">
        <f>IF(ISNUMBER(SEARCH("营",'21.04.01'!K69)),(-$Y69+50*IF('21.04.01'!$AK69="是",'21.04.01'!$BB$4,'21.04.01'!$BB$3)),(VLOOKUP('21.04.01'!K69,'21.04.01'!$AO$4:$AQ$55,2,FALSE))*IF('21.04.01'!$AK69="是",'21.04.01'!$BB$4,'21.04.01'!$BB$3))</f>
        <v>0</v>
      </c>
      <c r="D69" s="4">
        <f>IF(ISNUMBER(SEARCH("营",'21.04.01'!L69)),(-$Y69+50*IF('21.04.01'!$AK69="是",'21.04.01'!$BB$4,'21.04.01'!$BB$3)),(VLOOKUP('21.04.01'!L69,'21.04.01'!$AO$4:$AQ$55,2,FALSE))*IF('21.04.01'!$AK69="是",'21.04.01'!$BB$4,'21.04.01'!$BB$3))</f>
        <v>0</v>
      </c>
      <c r="E69" s="4">
        <f>IF(ISNUMBER(SEARCH("营",'21.04.01'!M69)),(-$Y69+50*IF('21.04.01'!$AK69="是",'21.04.01'!$BB$4,'21.04.01'!$BB$3)),(VLOOKUP('21.04.01'!M69,'21.04.01'!$AO$4:$AQ$55,2,FALSE))*IF('21.04.01'!$AK69="是",'21.04.01'!$BB$4,'21.04.01'!$BB$3))</f>
        <v>0</v>
      </c>
      <c r="F69" s="4">
        <f>IF(ISNUMBER(SEARCH("营",'21.04.01'!N69)),(-$Y69+50*IF('21.04.01'!$AK69="是",'21.04.01'!$BB$4,'21.04.01'!$BB$3)),(VLOOKUP('21.04.01'!N69,'21.04.01'!$AO$4:$AQ$55,2,FALSE))*IF('21.04.01'!$AK69="是",'21.04.01'!$BB$4,'21.04.01'!$BB$3))</f>
        <v>0</v>
      </c>
      <c r="G69" s="4">
        <f>IF(ISNUMBER(SEARCH("营",'21.04.01'!O69)),(-$Y69+50*IF('21.04.01'!$AK69="是",'21.04.01'!$BB$4,'21.04.01'!$BB$3)),(VLOOKUP('21.04.01'!O69,'21.04.01'!$AO$4:$AQ$55,2,FALSE))*IF('21.04.01'!$AK69="是",'21.04.01'!$BB$4,'21.04.01'!$BB$3))</f>
        <v>0</v>
      </c>
      <c r="H69" s="4">
        <f>IF(ISNUMBER(SEARCH("营",'21.04.01'!P69)),(-$Y69+50*IF('21.04.01'!$AK69="是",'21.04.01'!$BB$4,'21.04.01'!$BB$3)),(VLOOKUP('21.04.01'!P69,'21.04.01'!$AO$4:$AQ$55,2,FALSE))*IF('21.04.01'!$AK69="是",'21.04.01'!$BB$4,'21.04.01'!$BB$3))</f>
        <v>0</v>
      </c>
      <c r="I69" s="4">
        <f>IF(ISNUMBER(SEARCH("营",'21.04.01'!Q69)),(-$Y69+50*IF('21.04.01'!$AK69="是",'21.04.01'!$BB$4,'21.04.01'!$BB$3)),(VLOOKUP('21.04.01'!Q69,'21.04.01'!$AO$4:$AQ$55,2,FALSE))*IF('21.04.01'!$AK69="是",'21.04.01'!$BB$4,'21.04.01'!$BB$3))</f>
        <v>0</v>
      </c>
      <c r="J69" s="4">
        <f>IF(ISNUMBER(SEARCH("营",'21.04.01'!R69)),(-$Y69+50*IF('21.04.01'!$AK69="是",'21.04.01'!$BB$4,'21.04.01'!$BB$3)),(VLOOKUP('21.04.01'!R69,'21.04.01'!$AO$4:$AQ$55,2,FALSE))*IF('21.04.01'!$AK69="是",'21.04.01'!$BB$4,'21.04.01'!$BB$3))</f>
        <v>0</v>
      </c>
      <c r="K69" s="4">
        <f>IF(ISNUMBER(SEARCH("营",'21.04.01'!S69)),(-$Y69+50*IF('21.04.01'!$AK69="是",'21.04.01'!$BB$4,'21.04.01'!$BB$3)),(VLOOKUP('21.04.01'!S69,'21.04.01'!$AO$4:$AQ$55,2,FALSE))*IF('21.04.01'!$AK69="是",'21.04.01'!$BB$4,'21.04.01'!$BB$3))</f>
        <v>0</v>
      </c>
      <c r="L69" s="4">
        <f>IF(ISNUMBER(SEARCH("营",'21.04.01'!T69)),(-$Y69+50*IF('21.04.01'!$AK69="是",'21.04.01'!$BB$4,'21.04.01'!$BB$3)),(VLOOKUP('21.04.01'!T69,'21.04.01'!$AO$4:$AQ$55,2,FALSE))*IF('21.04.01'!$AK69="是",'21.04.01'!$BB$4,'21.04.01'!$BB$3))</f>
        <v>0</v>
      </c>
      <c r="M69" s="4">
        <f>IF(ISNUMBER(SEARCH("营",'21.04.01'!U69)),(-$Y69+50*IF('21.04.01'!$AK69="是",'21.04.01'!$BB$4,'21.04.01'!$BB$3)),(VLOOKUP('21.04.01'!U69,'21.04.01'!$AO$4:$AQ$55,2,FALSE))*IF('21.04.01'!$AK69="是",'21.04.01'!$BB$4,'21.04.01'!$BB$3))</f>
        <v>0</v>
      </c>
      <c r="N69" s="4">
        <f>IF(ISNUMBER(SEARCH("营",'21.04.01'!V69)),(-$Y69+50*IF('21.04.01'!$AK69="是",'21.04.01'!$BB$4,'21.04.01'!$BB$3)),(VLOOKUP('21.04.01'!V69,'21.04.01'!$AO$4:$AQ$55,2,FALSE))*IF('21.04.01'!$AK69="是",'21.04.01'!$BB$4,'21.04.01'!$BB$3))</f>
        <v>0</v>
      </c>
      <c r="O69" s="4">
        <f>IF(ISNUMBER(SEARCH("营",'21.04.01'!W69)),(-$Y69+50*IF('21.04.01'!$AK69="是",'21.04.01'!$BB$4,'21.04.01'!$BB$3)),(VLOOKUP('21.04.01'!W69,'21.04.01'!$AO$4:$AQ$55,2,FALSE))*IF('21.04.01'!$AK69="是",'21.04.01'!$BB$4,'21.04.01'!$BB$3))</f>
        <v>0</v>
      </c>
      <c r="P69" s="4">
        <f>IF(ISNUMBER(SEARCH("营",'21.04.01'!X69)),(-$Y69+50*IF('21.04.01'!$AK69="是",'21.04.01'!$BB$4,'21.04.01'!$BB$3)),(VLOOKUP('21.04.01'!X69,'21.04.01'!$AO$4:$AQ$55,2,FALSE))*IF('21.04.01'!$AK69="是",'21.04.01'!$BB$4,'21.04.01'!$BB$3))</f>
        <v>0</v>
      </c>
      <c r="Q69" s="4">
        <f>IF(ISNUMBER(SEARCH("营",'21.04.01'!Y69)),(-$Y69+50*IF('21.04.01'!$AK69="是",'21.04.01'!$BB$4,'21.04.01'!$BB$3)),(VLOOKUP('21.04.01'!Y69,'21.04.01'!$AO$4:$AQ$55,2,FALSE))*IF('21.04.01'!$AK69="是",'21.04.01'!$BB$4,'21.04.01'!$BB$3))</f>
        <v>0</v>
      </c>
      <c r="R69" s="4">
        <f>IF(ISNUMBER(SEARCH("营",'21.04.01'!Z69)),(-$Y69+50*IF('21.04.01'!$AK69="是",'21.04.01'!$BB$4,'21.04.01'!$BB$3)),(VLOOKUP('21.04.01'!Z69,'21.04.01'!$AO$4:$AQ$55,2,FALSE))*IF('21.04.01'!$AK69="是",'21.04.01'!$BB$4,'21.04.01'!$BB$3))</f>
        <v>0</v>
      </c>
      <c r="S69" s="4">
        <f>IF(ISNUMBER(SEARCH("营",'21.04.01'!AA69)),(-$Y69+50*IF('21.04.01'!$AK69="是",'21.04.01'!$BB$4,'21.04.01'!$BB$3)),(VLOOKUP('21.04.01'!AA69,'21.04.01'!$AO$4:$AQ$55,2,FALSE))*IF('21.04.01'!$AK69="是",'21.04.01'!$BB$4,'21.04.01'!$BB$3))</f>
        <v>0</v>
      </c>
      <c r="T69" s="4">
        <f>IF(ISNUMBER(SEARCH("营",'21.04.01'!AB69)),(-$Y69+50*IF('21.04.01'!$AK69="是",'21.04.01'!$BB$4,'21.04.01'!$BB$3)),(VLOOKUP('21.04.01'!AB69,'21.04.01'!$AO$4:$AQ$55,2,FALSE))*IF('21.04.01'!$AK69="是",'21.04.01'!$BB$4,'21.04.01'!$BB$3))</f>
        <v>0</v>
      </c>
      <c r="U69" s="4">
        <f>IF(ISNUMBER(SEARCH("营",'21.04.01'!AC69)),(-$Y69+50*IF('21.04.01'!$AK69="是",'21.04.01'!$BB$4,'21.04.01'!$BB$3)),(VLOOKUP('21.04.01'!AC69,'21.04.01'!$AO$4:$AQ$55,2,FALSE))*IF('21.04.01'!$AK69="是",'21.04.01'!$BB$4,'21.04.01'!$BB$3))</f>
        <v>0</v>
      </c>
      <c r="V69" s="4">
        <f>IF(ISNUMBER(SEARCH("营",'21.04.01'!AD69)),(-$Y69+50*IF('21.04.01'!$AK69="是",'21.04.01'!$BB$4,'21.04.01'!$BB$3)),(VLOOKUP('21.04.01'!AD69,'21.04.01'!$AO$4:$AQ$55,2,FALSE))*IF('21.04.01'!$AK69="是",'21.04.01'!$BB$4,'21.04.01'!$BB$3))</f>
        <v>0</v>
      </c>
      <c r="W69" s="4">
        <f>IF(ISNUMBER(SEARCH("营",'21.04.01'!AE69)),(-$Y69+50*IF('21.04.01'!$AK69="是",'21.04.01'!$BB$4,'21.04.01'!$BB$3)),(VLOOKUP('21.04.01'!AE69,'21.04.01'!$AO$4:$AQ$55,2,FALSE))*IF('21.04.01'!$AK69="是",'21.04.01'!$BB$4,'21.04.01'!$BB$3))</f>
        <v>0</v>
      </c>
      <c r="X69" s="4">
        <f>IF(ISNUMBER(SEARCH("营",'21.04.01'!AF69)),(-$Y69+50*IF('21.04.01'!$AK69="是",'21.04.01'!$BB$4,'21.04.01'!$BB$3)),(VLOOKUP('21.04.01'!AF69,'21.04.01'!$AO$4:$AQ$55,2,FALSE))*IF('21.04.01'!$AK69="是",'21.04.01'!$BB$4,'21.04.01'!$BB$3))</f>
        <v>0</v>
      </c>
      <c r="Y69" s="63">
        <v>100</v>
      </c>
      <c r="Z69" s="94">
        <v>45977</v>
      </c>
    </row>
    <row r="70" spans="1:26">
      <c r="A70" s="4">
        <f>IF(ISNUMBER(SEARCH("营",'21.04.01'!I70)),(-$Y70+50*IF('21.04.01'!$AK70="是",'21.04.01'!$BB$4,'21.04.01'!$BB$3)),(VLOOKUP('21.04.01'!I70,'21.04.01'!$AO$4:$AQ$55,2,FALSE))*IF('21.04.01'!$AK70="是",'21.04.01'!$BB$4,'21.04.01'!$BB$3))</f>
        <v>0</v>
      </c>
      <c r="B70" s="4">
        <f>IF(ISNUMBER(SEARCH("营",'21.04.01'!J70)),(-$Y70+50*IF('21.04.01'!$AK70="是",'21.04.01'!$BB$4,'21.04.01'!$BB$3)),(VLOOKUP('21.04.01'!J70,'21.04.01'!$AO$4:$AQ$55,2,FALSE))*IF('21.04.01'!$AK70="是",'21.04.01'!$BB$4,'21.04.01'!$BB$3))</f>
        <v>0</v>
      </c>
      <c r="C70" s="4">
        <f>IF(ISNUMBER(SEARCH("营",'21.04.01'!K70)),(-$Y70+50*IF('21.04.01'!$AK70="是",'21.04.01'!$BB$4,'21.04.01'!$BB$3)),(VLOOKUP('21.04.01'!K70,'21.04.01'!$AO$4:$AQ$55,2,FALSE))*IF('21.04.01'!$AK70="是",'21.04.01'!$BB$4,'21.04.01'!$BB$3))</f>
        <v>0</v>
      </c>
      <c r="D70" s="4">
        <f>IF(ISNUMBER(SEARCH("营",'21.04.01'!L70)),(-$Y70+50*IF('21.04.01'!$AK70="是",'21.04.01'!$BB$4,'21.04.01'!$BB$3)),(VLOOKUP('21.04.01'!L70,'21.04.01'!$AO$4:$AQ$55,2,FALSE))*IF('21.04.01'!$AK70="是",'21.04.01'!$BB$4,'21.04.01'!$BB$3))</f>
        <v>0</v>
      </c>
      <c r="E70" s="4">
        <f>IF(ISNUMBER(SEARCH("营",'21.04.01'!M70)),(-$Y70+50*IF('21.04.01'!$AK70="是",'21.04.01'!$BB$4,'21.04.01'!$BB$3)),(VLOOKUP('21.04.01'!M70,'21.04.01'!$AO$4:$AQ$55,2,FALSE))*IF('21.04.01'!$AK70="是",'21.04.01'!$BB$4,'21.04.01'!$BB$3))</f>
        <v>0</v>
      </c>
      <c r="F70" s="4">
        <f>IF(ISNUMBER(SEARCH("营",'21.04.01'!N70)),(-$Y70+50*IF('21.04.01'!$AK70="是",'21.04.01'!$BB$4,'21.04.01'!$BB$3)),(VLOOKUP('21.04.01'!N70,'21.04.01'!$AO$4:$AQ$55,2,FALSE))*IF('21.04.01'!$AK70="是",'21.04.01'!$BB$4,'21.04.01'!$BB$3))</f>
        <v>0</v>
      </c>
      <c r="G70" s="4">
        <f>IF(ISNUMBER(SEARCH("营",'21.04.01'!O70)),(-$Y70+50*IF('21.04.01'!$AK70="是",'21.04.01'!$BB$4,'21.04.01'!$BB$3)),(VLOOKUP('21.04.01'!O70,'21.04.01'!$AO$4:$AQ$55,2,FALSE))*IF('21.04.01'!$AK70="是",'21.04.01'!$BB$4,'21.04.01'!$BB$3))</f>
        <v>0</v>
      </c>
      <c r="H70" s="4">
        <f>IF(ISNUMBER(SEARCH("营",'21.04.01'!P70)),(-$Y70+50*IF('21.04.01'!$AK70="是",'21.04.01'!$BB$4,'21.04.01'!$BB$3)),(VLOOKUP('21.04.01'!P70,'21.04.01'!$AO$4:$AQ$55,2,FALSE))*IF('21.04.01'!$AK70="是",'21.04.01'!$BB$4,'21.04.01'!$BB$3))</f>
        <v>0</v>
      </c>
      <c r="I70" s="4">
        <f>IF(ISNUMBER(SEARCH("营",'21.04.01'!Q70)),(-$Y70+50*IF('21.04.01'!$AK70="是",'21.04.01'!$BB$4,'21.04.01'!$BB$3)),(VLOOKUP('21.04.01'!Q70,'21.04.01'!$AO$4:$AQ$55,2,FALSE))*IF('21.04.01'!$AK70="是",'21.04.01'!$BB$4,'21.04.01'!$BB$3))</f>
        <v>0</v>
      </c>
      <c r="J70" s="4">
        <f>IF(ISNUMBER(SEARCH("营",'21.04.01'!R70)),(-$Y70+50*IF('21.04.01'!$AK70="是",'21.04.01'!$BB$4,'21.04.01'!$BB$3)),(VLOOKUP('21.04.01'!R70,'21.04.01'!$AO$4:$AQ$55,2,FALSE))*IF('21.04.01'!$AK70="是",'21.04.01'!$BB$4,'21.04.01'!$BB$3))</f>
        <v>0</v>
      </c>
      <c r="K70" s="4">
        <f>IF(ISNUMBER(SEARCH("营",'21.04.01'!S70)),(-$Y70+50*IF('21.04.01'!$AK70="是",'21.04.01'!$BB$4,'21.04.01'!$BB$3)),(VLOOKUP('21.04.01'!S70,'21.04.01'!$AO$4:$AQ$55,2,FALSE))*IF('21.04.01'!$AK70="是",'21.04.01'!$BB$4,'21.04.01'!$BB$3))</f>
        <v>0</v>
      </c>
      <c r="L70" s="4">
        <f>IF(ISNUMBER(SEARCH("营",'21.04.01'!T70)),(-$Y70+50*IF('21.04.01'!$AK70="是",'21.04.01'!$BB$4,'21.04.01'!$BB$3)),(VLOOKUP('21.04.01'!T70,'21.04.01'!$AO$4:$AQ$55,2,FALSE))*IF('21.04.01'!$AK70="是",'21.04.01'!$BB$4,'21.04.01'!$BB$3))</f>
        <v>0</v>
      </c>
      <c r="M70" s="4">
        <f>IF(ISNUMBER(SEARCH("营",'21.04.01'!U70)),(-$Y70+50*IF('21.04.01'!$AK70="是",'21.04.01'!$BB$4,'21.04.01'!$BB$3)),(VLOOKUP('21.04.01'!U70,'21.04.01'!$AO$4:$AQ$55,2,FALSE))*IF('21.04.01'!$AK70="是",'21.04.01'!$BB$4,'21.04.01'!$BB$3))</f>
        <v>0</v>
      </c>
      <c r="N70" s="4">
        <f>IF(ISNUMBER(SEARCH("营",'21.04.01'!V70)),(-$Y70+50*IF('21.04.01'!$AK70="是",'21.04.01'!$BB$4,'21.04.01'!$BB$3)),(VLOOKUP('21.04.01'!V70,'21.04.01'!$AO$4:$AQ$55,2,FALSE))*IF('21.04.01'!$AK70="是",'21.04.01'!$BB$4,'21.04.01'!$BB$3))</f>
        <v>0</v>
      </c>
      <c r="O70" s="4">
        <f>IF(ISNUMBER(SEARCH("营",'21.04.01'!W70)),(-$Y70+50*IF('21.04.01'!$AK70="是",'21.04.01'!$BB$4,'21.04.01'!$BB$3)),(VLOOKUP('21.04.01'!W70,'21.04.01'!$AO$4:$AQ$55,2,FALSE))*IF('21.04.01'!$AK70="是",'21.04.01'!$BB$4,'21.04.01'!$BB$3))</f>
        <v>0</v>
      </c>
      <c r="P70" s="4">
        <f>IF(ISNUMBER(SEARCH("营",'21.04.01'!X70)),(-$Y70+50*IF('21.04.01'!$AK70="是",'21.04.01'!$BB$4,'21.04.01'!$BB$3)),(VLOOKUP('21.04.01'!X70,'21.04.01'!$AO$4:$AQ$55,2,FALSE))*IF('21.04.01'!$AK70="是",'21.04.01'!$BB$4,'21.04.01'!$BB$3))</f>
        <v>0</v>
      </c>
      <c r="Q70" s="4">
        <f>IF(ISNUMBER(SEARCH("营",'21.04.01'!Y70)),(-$Y70+50*IF('21.04.01'!$AK70="是",'21.04.01'!$BB$4,'21.04.01'!$BB$3)),(VLOOKUP('21.04.01'!Y70,'21.04.01'!$AO$4:$AQ$55,2,FALSE))*IF('21.04.01'!$AK70="是",'21.04.01'!$BB$4,'21.04.01'!$BB$3))</f>
        <v>0</v>
      </c>
      <c r="R70" s="4">
        <f>IF(ISNUMBER(SEARCH("营",'21.04.01'!Z70)),(-$Y70+50*IF('21.04.01'!$AK70="是",'21.04.01'!$BB$4,'21.04.01'!$BB$3)),(VLOOKUP('21.04.01'!Z70,'21.04.01'!$AO$4:$AQ$55,2,FALSE))*IF('21.04.01'!$AK70="是",'21.04.01'!$BB$4,'21.04.01'!$BB$3))</f>
        <v>0</v>
      </c>
      <c r="S70" s="4">
        <f>IF(ISNUMBER(SEARCH("营",'21.04.01'!AA70)),(-$Y70+50*IF('21.04.01'!$AK70="是",'21.04.01'!$BB$4,'21.04.01'!$BB$3)),(VLOOKUP('21.04.01'!AA70,'21.04.01'!$AO$4:$AQ$55,2,FALSE))*IF('21.04.01'!$AK70="是",'21.04.01'!$BB$4,'21.04.01'!$BB$3))</f>
        <v>0</v>
      </c>
      <c r="T70" s="4">
        <f>IF(ISNUMBER(SEARCH("营",'21.04.01'!AB70)),(-$Y70+50*IF('21.04.01'!$AK70="是",'21.04.01'!$BB$4,'21.04.01'!$BB$3)),(VLOOKUP('21.04.01'!AB70,'21.04.01'!$AO$4:$AQ$55,2,FALSE))*IF('21.04.01'!$AK70="是",'21.04.01'!$BB$4,'21.04.01'!$BB$3))</f>
        <v>0</v>
      </c>
      <c r="U70" s="4">
        <f>IF(ISNUMBER(SEARCH("营",'21.04.01'!AC70)),(-$Y70+50*IF('21.04.01'!$AK70="是",'21.04.01'!$BB$4,'21.04.01'!$BB$3)),(VLOOKUP('21.04.01'!AC70,'21.04.01'!$AO$4:$AQ$55,2,FALSE))*IF('21.04.01'!$AK70="是",'21.04.01'!$BB$4,'21.04.01'!$BB$3))</f>
        <v>0</v>
      </c>
      <c r="V70" s="4">
        <f>IF(ISNUMBER(SEARCH("营",'21.04.01'!AD70)),(-$Y70+50*IF('21.04.01'!$AK70="是",'21.04.01'!$BB$4,'21.04.01'!$BB$3)),(VLOOKUP('21.04.01'!AD70,'21.04.01'!$AO$4:$AQ$55,2,FALSE))*IF('21.04.01'!$AK70="是",'21.04.01'!$BB$4,'21.04.01'!$BB$3))</f>
        <v>0</v>
      </c>
      <c r="W70" s="4">
        <f>IF(ISNUMBER(SEARCH("营",'21.04.01'!AE70)),(-$Y70+50*IF('21.04.01'!$AK70="是",'21.04.01'!$BB$4,'21.04.01'!$BB$3)),(VLOOKUP('21.04.01'!AE70,'21.04.01'!$AO$4:$AQ$55,2,FALSE))*IF('21.04.01'!$AK70="是",'21.04.01'!$BB$4,'21.04.01'!$BB$3))</f>
        <v>0</v>
      </c>
      <c r="X70" s="4">
        <f>IF(ISNUMBER(SEARCH("营",'21.04.01'!AF70)),(-$Y70+50*IF('21.04.01'!$AK70="是",'21.04.01'!$BB$4,'21.04.01'!$BB$3)),(VLOOKUP('21.04.01'!AF70,'21.04.01'!$AO$4:$AQ$55,2,FALSE))*IF('21.04.01'!$AK70="是",'21.04.01'!$BB$4,'21.04.01'!$BB$3))</f>
        <v>0</v>
      </c>
      <c r="Y70" s="63">
        <v>100</v>
      </c>
      <c r="Z70" s="94">
        <v>45978</v>
      </c>
    </row>
    <row r="71" spans="1:26">
      <c r="A71" s="4">
        <f>IF(ISNUMBER(SEARCH("营",'21.04.01'!I71)),(-$Y71+50*IF('21.04.01'!$AK71="是",'21.04.01'!$BB$4,'21.04.01'!$BB$3)),(VLOOKUP('21.04.01'!I71,'21.04.01'!$AO$4:$AQ$55,2,FALSE))*IF('21.04.01'!$AK71="是",'21.04.01'!$BB$4,'21.04.01'!$BB$3))</f>
        <v>0</v>
      </c>
      <c r="B71" s="4">
        <f>IF(ISNUMBER(SEARCH("营",'21.04.01'!J71)),(-$Y71+50*IF('21.04.01'!$AK71="是",'21.04.01'!$BB$4,'21.04.01'!$BB$3)),(VLOOKUP('21.04.01'!J71,'21.04.01'!$AO$4:$AQ$55,2,FALSE))*IF('21.04.01'!$AK71="是",'21.04.01'!$BB$4,'21.04.01'!$BB$3))</f>
        <v>0</v>
      </c>
      <c r="C71" s="4">
        <f>IF(ISNUMBER(SEARCH("营",'21.04.01'!K71)),(-$Y71+50*IF('21.04.01'!$AK71="是",'21.04.01'!$BB$4,'21.04.01'!$BB$3)),(VLOOKUP('21.04.01'!K71,'21.04.01'!$AO$4:$AQ$55,2,FALSE))*IF('21.04.01'!$AK71="是",'21.04.01'!$BB$4,'21.04.01'!$BB$3))</f>
        <v>0</v>
      </c>
      <c r="D71" s="4">
        <f>IF(ISNUMBER(SEARCH("营",'21.04.01'!L71)),(-$Y71+50*IF('21.04.01'!$AK71="是",'21.04.01'!$BB$4,'21.04.01'!$BB$3)),(VLOOKUP('21.04.01'!L71,'21.04.01'!$AO$4:$AQ$55,2,FALSE))*IF('21.04.01'!$AK71="是",'21.04.01'!$BB$4,'21.04.01'!$BB$3))</f>
        <v>0</v>
      </c>
      <c r="E71" s="4">
        <f>IF(ISNUMBER(SEARCH("营",'21.04.01'!M71)),(-$Y71+50*IF('21.04.01'!$AK71="是",'21.04.01'!$BB$4,'21.04.01'!$BB$3)),(VLOOKUP('21.04.01'!M71,'21.04.01'!$AO$4:$AQ$55,2,FALSE))*IF('21.04.01'!$AK71="是",'21.04.01'!$BB$4,'21.04.01'!$BB$3))</f>
        <v>0</v>
      </c>
      <c r="F71" s="4">
        <f>IF(ISNUMBER(SEARCH("营",'21.04.01'!N71)),(-$Y71+50*IF('21.04.01'!$AK71="是",'21.04.01'!$BB$4,'21.04.01'!$BB$3)),(VLOOKUP('21.04.01'!N71,'21.04.01'!$AO$4:$AQ$55,2,FALSE))*IF('21.04.01'!$AK71="是",'21.04.01'!$BB$4,'21.04.01'!$BB$3))</f>
        <v>0</v>
      </c>
      <c r="G71" s="4">
        <f>IF(ISNUMBER(SEARCH("营",'21.04.01'!O71)),(-$Y71+50*IF('21.04.01'!$AK71="是",'21.04.01'!$BB$4,'21.04.01'!$BB$3)),(VLOOKUP('21.04.01'!O71,'21.04.01'!$AO$4:$AQ$55,2,FALSE))*IF('21.04.01'!$AK71="是",'21.04.01'!$BB$4,'21.04.01'!$BB$3))</f>
        <v>0</v>
      </c>
      <c r="H71" s="4">
        <f>IF(ISNUMBER(SEARCH("营",'21.04.01'!P71)),(-$Y71+50*IF('21.04.01'!$AK71="是",'21.04.01'!$BB$4,'21.04.01'!$BB$3)),(VLOOKUP('21.04.01'!P71,'21.04.01'!$AO$4:$AQ$55,2,FALSE))*IF('21.04.01'!$AK71="是",'21.04.01'!$BB$4,'21.04.01'!$BB$3))</f>
        <v>0</v>
      </c>
      <c r="I71" s="4">
        <f>IF(ISNUMBER(SEARCH("营",'21.04.01'!Q71)),(-$Y71+50*IF('21.04.01'!$AK71="是",'21.04.01'!$BB$4,'21.04.01'!$BB$3)),(VLOOKUP('21.04.01'!Q71,'21.04.01'!$AO$4:$AQ$55,2,FALSE))*IF('21.04.01'!$AK71="是",'21.04.01'!$BB$4,'21.04.01'!$BB$3))</f>
        <v>0</v>
      </c>
      <c r="J71" s="4">
        <f>IF(ISNUMBER(SEARCH("营",'21.04.01'!R71)),(-$Y71+50*IF('21.04.01'!$AK71="是",'21.04.01'!$BB$4,'21.04.01'!$BB$3)),(VLOOKUP('21.04.01'!R71,'21.04.01'!$AO$4:$AQ$55,2,FALSE))*IF('21.04.01'!$AK71="是",'21.04.01'!$BB$4,'21.04.01'!$BB$3))</f>
        <v>0</v>
      </c>
      <c r="K71" s="4">
        <f>IF(ISNUMBER(SEARCH("营",'21.04.01'!S71)),(-$Y71+50*IF('21.04.01'!$AK71="是",'21.04.01'!$BB$4,'21.04.01'!$BB$3)),(VLOOKUP('21.04.01'!S71,'21.04.01'!$AO$4:$AQ$55,2,FALSE))*IF('21.04.01'!$AK71="是",'21.04.01'!$BB$4,'21.04.01'!$BB$3))</f>
        <v>0</v>
      </c>
      <c r="L71" s="4">
        <f>IF(ISNUMBER(SEARCH("营",'21.04.01'!T71)),(-$Y71+50*IF('21.04.01'!$AK71="是",'21.04.01'!$BB$4,'21.04.01'!$BB$3)),(VLOOKUP('21.04.01'!T71,'21.04.01'!$AO$4:$AQ$55,2,FALSE))*IF('21.04.01'!$AK71="是",'21.04.01'!$BB$4,'21.04.01'!$BB$3))</f>
        <v>0</v>
      </c>
      <c r="M71" s="4">
        <f>IF(ISNUMBER(SEARCH("营",'21.04.01'!U71)),(-$Y71+50*IF('21.04.01'!$AK71="是",'21.04.01'!$BB$4,'21.04.01'!$BB$3)),(VLOOKUP('21.04.01'!U71,'21.04.01'!$AO$4:$AQ$55,2,FALSE))*IF('21.04.01'!$AK71="是",'21.04.01'!$BB$4,'21.04.01'!$BB$3))</f>
        <v>0</v>
      </c>
      <c r="N71" s="4">
        <f>IF(ISNUMBER(SEARCH("营",'21.04.01'!V71)),(-$Y71+50*IF('21.04.01'!$AK71="是",'21.04.01'!$BB$4,'21.04.01'!$BB$3)),(VLOOKUP('21.04.01'!V71,'21.04.01'!$AO$4:$AQ$55,2,FALSE))*IF('21.04.01'!$AK71="是",'21.04.01'!$BB$4,'21.04.01'!$BB$3))</f>
        <v>0</v>
      </c>
      <c r="O71" s="4">
        <f>IF(ISNUMBER(SEARCH("营",'21.04.01'!W71)),(-$Y71+50*IF('21.04.01'!$AK71="是",'21.04.01'!$BB$4,'21.04.01'!$BB$3)),(VLOOKUP('21.04.01'!W71,'21.04.01'!$AO$4:$AQ$55,2,FALSE))*IF('21.04.01'!$AK71="是",'21.04.01'!$BB$4,'21.04.01'!$BB$3))</f>
        <v>0</v>
      </c>
      <c r="P71" s="4">
        <f>IF(ISNUMBER(SEARCH("营",'21.04.01'!X71)),(-$Y71+50*IF('21.04.01'!$AK71="是",'21.04.01'!$BB$4,'21.04.01'!$BB$3)),(VLOOKUP('21.04.01'!X71,'21.04.01'!$AO$4:$AQ$55,2,FALSE))*IF('21.04.01'!$AK71="是",'21.04.01'!$BB$4,'21.04.01'!$BB$3))</f>
        <v>0</v>
      </c>
      <c r="Q71" s="4">
        <f>IF(ISNUMBER(SEARCH("营",'21.04.01'!Y71)),(-$Y71+50*IF('21.04.01'!$AK71="是",'21.04.01'!$BB$4,'21.04.01'!$BB$3)),(VLOOKUP('21.04.01'!Y71,'21.04.01'!$AO$4:$AQ$55,2,FALSE))*IF('21.04.01'!$AK71="是",'21.04.01'!$BB$4,'21.04.01'!$BB$3))</f>
        <v>0</v>
      </c>
      <c r="R71" s="4">
        <f>IF(ISNUMBER(SEARCH("营",'21.04.01'!Z71)),(-$Y71+50*IF('21.04.01'!$AK71="是",'21.04.01'!$BB$4,'21.04.01'!$BB$3)),(VLOOKUP('21.04.01'!Z71,'21.04.01'!$AO$4:$AQ$55,2,FALSE))*IF('21.04.01'!$AK71="是",'21.04.01'!$BB$4,'21.04.01'!$BB$3))</f>
        <v>0</v>
      </c>
      <c r="S71" s="4">
        <f>IF(ISNUMBER(SEARCH("营",'21.04.01'!AA71)),(-$Y71+50*IF('21.04.01'!$AK71="是",'21.04.01'!$BB$4,'21.04.01'!$BB$3)),(VLOOKUP('21.04.01'!AA71,'21.04.01'!$AO$4:$AQ$55,2,FALSE))*IF('21.04.01'!$AK71="是",'21.04.01'!$BB$4,'21.04.01'!$BB$3))</f>
        <v>0</v>
      </c>
      <c r="T71" s="4">
        <f>IF(ISNUMBER(SEARCH("营",'21.04.01'!AB71)),(-$Y71+50*IF('21.04.01'!$AK71="是",'21.04.01'!$BB$4,'21.04.01'!$BB$3)),(VLOOKUP('21.04.01'!AB71,'21.04.01'!$AO$4:$AQ$55,2,FALSE))*IF('21.04.01'!$AK71="是",'21.04.01'!$BB$4,'21.04.01'!$BB$3))</f>
        <v>0</v>
      </c>
      <c r="U71" s="4">
        <f>IF(ISNUMBER(SEARCH("营",'21.04.01'!AC71)),(-$Y71+50*IF('21.04.01'!$AK71="是",'21.04.01'!$BB$4,'21.04.01'!$BB$3)),(VLOOKUP('21.04.01'!AC71,'21.04.01'!$AO$4:$AQ$55,2,FALSE))*IF('21.04.01'!$AK71="是",'21.04.01'!$BB$4,'21.04.01'!$BB$3))</f>
        <v>0</v>
      </c>
      <c r="V71" s="4">
        <f>IF(ISNUMBER(SEARCH("营",'21.04.01'!AD71)),(-$Y71+50*IF('21.04.01'!$AK71="是",'21.04.01'!$BB$4,'21.04.01'!$BB$3)),(VLOOKUP('21.04.01'!AD71,'21.04.01'!$AO$4:$AQ$55,2,FALSE))*IF('21.04.01'!$AK71="是",'21.04.01'!$BB$4,'21.04.01'!$BB$3))</f>
        <v>0</v>
      </c>
      <c r="W71" s="4">
        <f>IF(ISNUMBER(SEARCH("营",'21.04.01'!AE71)),(-$Y71+50*IF('21.04.01'!$AK71="是",'21.04.01'!$BB$4,'21.04.01'!$BB$3)),(VLOOKUP('21.04.01'!AE71,'21.04.01'!$AO$4:$AQ$55,2,FALSE))*IF('21.04.01'!$AK71="是",'21.04.01'!$BB$4,'21.04.01'!$BB$3))</f>
        <v>0</v>
      </c>
      <c r="X71" s="4">
        <f>IF(ISNUMBER(SEARCH("营",'21.04.01'!AF71)),(-$Y71+50*IF('21.04.01'!$AK71="是",'21.04.01'!$BB$4,'21.04.01'!$BB$3)),(VLOOKUP('21.04.01'!AF71,'21.04.01'!$AO$4:$AQ$55,2,FALSE))*IF('21.04.01'!$AK71="是",'21.04.01'!$BB$4,'21.04.01'!$BB$3))</f>
        <v>0</v>
      </c>
      <c r="Y71" s="63">
        <v>100</v>
      </c>
      <c r="Z71" s="94">
        <v>45979</v>
      </c>
    </row>
    <row r="72" spans="1:26">
      <c r="A72" s="4">
        <f>IF(ISNUMBER(SEARCH("营",'21.04.01'!I72)),(-$Y72+50*IF('21.04.01'!$AK72="是",'21.04.01'!$BB$4,'21.04.01'!$BB$3)),(VLOOKUP('21.04.01'!I72,'21.04.01'!$AO$4:$AQ$55,2,FALSE))*IF('21.04.01'!$AK72="是",'21.04.01'!$BB$4,'21.04.01'!$BB$3))</f>
        <v>0</v>
      </c>
      <c r="B72" s="4">
        <f>IF(ISNUMBER(SEARCH("营",'21.04.01'!J72)),(-$Y72+50*IF('21.04.01'!$AK72="是",'21.04.01'!$BB$4,'21.04.01'!$BB$3)),(VLOOKUP('21.04.01'!J72,'21.04.01'!$AO$4:$AQ$55,2,FALSE))*IF('21.04.01'!$AK72="是",'21.04.01'!$BB$4,'21.04.01'!$BB$3))</f>
        <v>0</v>
      </c>
      <c r="C72" s="4">
        <f>IF(ISNUMBER(SEARCH("营",'21.04.01'!K72)),(-$Y72+50*IF('21.04.01'!$AK72="是",'21.04.01'!$BB$4,'21.04.01'!$BB$3)),(VLOOKUP('21.04.01'!K72,'21.04.01'!$AO$4:$AQ$55,2,FALSE))*IF('21.04.01'!$AK72="是",'21.04.01'!$BB$4,'21.04.01'!$BB$3))</f>
        <v>0</v>
      </c>
      <c r="D72" s="4">
        <f>IF(ISNUMBER(SEARCH("营",'21.04.01'!L72)),(-$Y72+50*IF('21.04.01'!$AK72="是",'21.04.01'!$BB$4,'21.04.01'!$BB$3)),(VLOOKUP('21.04.01'!L72,'21.04.01'!$AO$4:$AQ$55,2,FALSE))*IF('21.04.01'!$AK72="是",'21.04.01'!$BB$4,'21.04.01'!$BB$3))</f>
        <v>0</v>
      </c>
      <c r="E72" s="4">
        <f>IF(ISNUMBER(SEARCH("营",'21.04.01'!M72)),(-$Y72+50*IF('21.04.01'!$AK72="是",'21.04.01'!$BB$4,'21.04.01'!$BB$3)),(VLOOKUP('21.04.01'!M72,'21.04.01'!$AO$4:$AQ$55,2,FALSE))*IF('21.04.01'!$AK72="是",'21.04.01'!$BB$4,'21.04.01'!$BB$3))</f>
        <v>0</v>
      </c>
      <c r="F72" s="4">
        <f>IF(ISNUMBER(SEARCH("营",'21.04.01'!N72)),(-$Y72+50*IF('21.04.01'!$AK72="是",'21.04.01'!$BB$4,'21.04.01'!$BB$3)),(VLOOKUP('21.04.01'!N72,'21.04.01'!$AO$4:$AQ$55,2,FALSE))*IF('21.04.01'!$AK72="是",'21.04.01'!$BB$4,'21.04.01'!$BB$3))</f>
        <v>0</v>
      </c>
      <c r="G72" s="4">
        <f>IF(ISNUMBER(SEARCH("营",'21.04.01'!O72)),(-$Y72+50*IF('21.04.01'!$AK72="是",'21.04.01'!$BB$4,'21.04.01'!$BB$3)),(VLOOKUP('21.04.01'!O72,'21.04.01'!$AO$4:$AQ$55,2,FALSE))*IF('21.04.01'!$AK72="是",'21.04.01'!$BB$4,'21.04.01'!$BB$3))</f>
        <v>0</v>
      </c>
      <c r="H72" s="4">
        <f>IF(ISNUMBER(SEARCH("营",'21.04.01'!P72)),(-$Y72+50*IF('21.04.01'!$AK72="是",'21.04.01'!$BB$4,'21.04.01'!$BB$3)),(VLOOKUP('21.04.01'!P72,'21.04.01'!$AO$4:$AQ$55,2,FALSE))*IF('21.04.01'!$AK72="是",'21.04.01'!$BB$4,'21.04.01'!$BB$3))</f>
        <v>0</v>
      </c>
      <c r="I72" s="4">
        <f>IF(ISNUMBER(SEARCH("营",'21.04.01'!Q72)),(-$Y72+50*IF('21.04.01'!$AK72="是",'21.04.01'!$BB$4,'21.04.01'!$BB$3)),(VLOOKUP('21.04.01'!Q72,'21.04.01'!$AO$4:$AQ$55,2,FALSE))*IF('21.04.01'!$AK72="是",'21.04.01'!$BB$4,'21.04.01'!$BB$3))</f>
        <v>0</v>
      </c>
      <c r="J72" s="4">
        <f>IF(ISNUMBER(SEARCH("营",'21.04.01'!R72)),(-$Y72+50*IF('21.04.01'!$AK72="是",'21.04.01'!$BB$4,'21.04.01'!$BB$3)),(VLOOKUP('21.04.01'!R72,'21.04.01'!$AO$4:$AQ$55,2,FALSE))*IF('21.04.01'!$AK72="是",'21.04.01'!$BB$4,'21.04.01'!$BB$3))</f>
        <v>0</v>
      </c>
      <c r="K72" s="4">
        <f>IF(ISNUMBER(SEARCH("营",'21.04.01'!S72)),(-$Y72+50*IF('21.04.01'!$AK72="是",'21.04.01'!$BB$4,'21.04.01'!$BB$3)),(VLOOKUP('21.04.01'!S72,'21.04.01'!$AO$4:$AQ$55,2,FALSE))*IF('21.04.01'!$AK72="是",'21.04.01'!$BB$4,'21.04.01'!$BB$3))</f>
        <v>0</v>
      </c>
      <c r="L72" s="4">
        <f>IF(ISNUMBER(SEARCH("营",'21.04.01'!T72)),(-$Y72+50*IF('21.04.01'!$AK72="是",'21.04.01'!$BB$4,'21.04.01'!$BB$3)),(VLOOKUP('21.04.01'!T72,'21.04.01'!$AO$4:$AQ$55,2,FALSE))*IF('21.04.01'!$AK72="是",'21.04.01'!$BB$4,'21.04.01'!$BB$3))</f>
        <v>0</v>
      </c>
      <c r="M72" s="4">
        <f>IF(ISNUMBER(SEARCH("营",'21.04.01'!U72)),(-$Y72+50*IF('21.04.01'!$AK72="是",'21.04.01'!$BB$4,'21.04.01'!$BB$3)),(VLOOKUP('21.04.01'!U72,'21.04.01'!$AO$4:$AQ$55,2,FALSE))*IF('21.04.01'!$AK72="是",'21.04.01'!$BB$4,'21.04.01'!$BB$3))</f>
        <v>0</v>
      </c>
      <c r="N72" s="4">
        <f>IF(ISNUMBER(SEARCH("营",'21.04.01'!V72)),(-$Y72+50*IF('21.04.01'!$AK72="是",'21.04.01'!$BB$4,'21.04.01'!$BB$3)),(VLOOKUP('21.04.01'!V72,'21.04.01'!$AO$4:$AQ$55,2,FALSE))*IF('21.04.01'!$AK72="是",'21.04.01'!$BB$4,'21.04.01'!$BB$3))</f>
        <v>0</v>
      </c>
      <c r="O72" s="4">
        <f>IF(ISNUMBER(SEARCH("营",'21.04.01'!W72)),(-$Y72+50*IF('21.04.01'!$AK72="是",'21.04.01'!$BB$4,'21.04.01'!$BB$3)),(VLOOKUP('21.04.01'!W72,'21.04.01'!$AO$4:$AQ$55,2,FALSE))*IF('21.04.01'!$AK72="是",'21.04.01'!$BB$4,'21.04.01'!$BB$3))</f>
        <v>0</v>
      </c>
      <c r="P72" s="4">
        <f>IF(ISNUMBER(SEARCH("营",'21.04.01'!X72)),(-$Y72+50*IF('21.04.01'!$AK72="是",'21.04.01'!$BB$4,'21.04.01'!$BB$3)),(VLOOKUP('21.04.01'!X72,'21.04.01'!$AO$4:$AQ$55,2,FALSE))*IF('21.04.01'!$AK72="是",'21.04.01'!$BB$4,'21.04.01'!$BB$3))</f>
        <v>0</v>
      </c>
      <c r="Q72" s="4">
        <f>IF(ISNUMBER(SEARCH("营",'21.04.01'!Y72)),(-$Y72+50*IF('21.04.01'!$AK72="是",'21.04.01'!$BB$4,'21.04.01'!$BB$3)),(VLOOKUP('21.04.01'!Y72,'21.04.01'!$AO$4:$AQ$55,2,FALSE))*IF('21.04.01'!$AK72="是",'21.04.01'!$BB$4,'21.04.01'!$BB$3))</f>
        <v>0</v>
      </c>
      <c r="R72" s="4">
        <f>IF(ISNUMBER(SEARCH("营",'21.04.01'!Z72)),(-$Y72+50*IF('21.04.01'!$AK72="是",'21.04.01'!$BB$4,'21.04.01'!$BB$3)),(VLOOKUP('21.04.01'!Z72,'21.04.01'!$AO$4:$AQ$55,2,FALSE))*IF('21.04.01'!$AK72="是",'21.04.01'!$BB$4,'21.04.01'!$BB$3))</f>
        <v>0</v>
      </c>
      <c r="S72" s="4">
        <f>IF(ISNUMBER(SEARCH("营",'21.04.01'!AA72)),(-$Y72+50*IF('21.04.01'!$AK72="是",'21.04.01'!$BB$4,'21.04.01'!$BB$3)),(VLOOKUP('21.04.01'!AA72,'21.04.01'!$AO$4:$AQ$55,2,FALSE))*IF('21.04.01'!$AK72="是",'21.04.01'!$BB$4,'21.04.01'!$BB$3))</f>
        <v>0</v>
      </c>
      <c r="T72" s="4">
        <f>IF(ISNUMBER(SEARCH("营",'21.04.01'!AB72)),(-$Y72+50*IF('21.04.01'!$AK72="是",'21.04.01'!$BB$4,'21.04.01'!$BB$3)),(VLOOKUP('21.04.01'!AB72,'21.04.01'!$AO$4:$AQ$55,2,FALSE))*IF('21.04.01'!$AK72="是",'21.04.01'!$BB$4,'21.04.01'!$BB$3))</f>
        <v>0</v>
      </c>
      <c r="U72" s="4">
        <f>IF(ISNUMBER(SEARCH("营",'21.04.01'!AC72)),(-$Y72+50*IF('21.04.01'!$AK72="是",'21.04.01'!$BB$4,'21.04.01'!$BB$3)),(VLOOKUP('21.04.01'!AC72,'21.04.01'!$AO$4:$AQ$55,2,FALSE))*IF('21.04.01'!$AK72="是",'21.04.01'!$BB$4,'21.04.01'!$BB$3))</f>
        <v>0</v>
      </c>
      <c r="V72" s="4">
        <f>IF(ISNUMBER(SEARCH("营",'21.04.01'!AD72)),(-$Y72+50*IF('21.04.01'!$AK72="是",'21.04.01'!$BB$4,'21.04.01'!$BB$3)),(VLOOKUP('21.04.01'!AD72,'21.04.01'!$AO$4:$AQ$55,2,FALSE))*IF('21.04.01'!$AK72="是",'21.04.01'!$BB$4,'21.04.01'!$BB$3))</f>
        <v>0</v>
      </c>
      <c r="W72" s="4">
        <f>IF(ISNUMBER(SEARCH("营",'21.04.01'!AE72)),(-$Y72+50*IF('21.04.01'!$AK72="是",'21.04.01'!$BB$4,'21.04.01'!$BB$3)),(VLOOKUP('21.04.01'!AE72,'21.04.01'!$AO$4:$AQ$55,2,FALSE))*IF('21.04.01'!$AK72="是",'21.04.01'!$BB$4,'21.04.01'!$BB$3))</f>
        <v>0</v>
      </c>
      <c r="X72" s="4">
        <f>IF(ISNUMBER(SEARCH("营",'21.04.01'!AF72)),(-$Y72+50*IF('21.04.01'!$AK72="是",'21.04.01'!$BB$4,'21.04.01'!$BB$3)),(VLOOKUP('21.04.01'!AF72,'21.04.01'!$AO$4:$AQ$55,2,FALSE))*IF('21.04.01'!$AK72="是",'21.04.01'!$BB$4,'21.04.01'!$BB$3))</f>
        <v>0</v>
      </c>
      <c r="Y72" s="63">
        <v>100</v>
      </c>
      <c r="Z72" s="94">
        <v>45980</v>
      </c>
    </row>
    <row r="73" spans="1:26">
      <c r="A73" s="4">
        <f>IF(ISNUMBER(SEARCH("营",'21.04.01'!I73)),(-$Y73+50*IF('21.04.01'!$AK73="是",'21.04.01'!$BB$4,'21.04.01'!$BB$3)),(VLOOKUP('21.04.01'!I73,'21.04.01'!$AO$4:$AQ$55,2,FALSE))*IF('21.04.01'!$AK73="是",'21.04.01'!$BB$4,'21.04.01'!$BB$3))</f>
        <v>0</v>
      </c>
      <c r="B73" s="4">
        <f>IF(ISNUMBER(SEARCH("营",'21.04.01'!J73)),(-$Y73+50*IF('21.04.01'!$AK73="是",'21.04.01'!$BB$4,'21.04.01'!$BB$3)),(VLOOKUP('21.04.01'!J73,'21.04.01'!$AO$4:$AQ$55,2,FALSE))*IF('21.04.01'!$AK73="是",'21.04.01'!$BB$4,'21.04.01'!$BB$3))</f>
        <v>0</v>
      </c>
      <c r="C73" s="4">
        <f>IF(ISNUMBER(SEARCH("营",'21.04.01'!K73)),(-$Y73+50*IF('21.04.01'!$AK73="是",'21.04.01'!$BB$4,'21.04.01'!$BB$3)),(VLOOKUP('21.04.01'!K73,'21.04.01'!$AO$4:$AQ$55,2,FALSE))*IF('21.04.01'!$AK73="是",'21.04.01'!$BB$4,'21.04.01'!$BB$3))</f>
        <v>0</v>
      </c>
      <c r="D73" s="4">
        <f>IF(ISNUMBER(SEARCH("营",'21.04.01'!L73)),(-$Y73+50*IF('21.04.01'!$AK73="是",'21.04.01'!$BB$4,'21.04.01'!$BB$3)),(VLOOKUP('21.04.01'!L73,'21.04.01'!$AO$4:$AQ$55,2,FALSE))*IF('21.04.01'!$AK73="是",'21.04.01'!$BB$4,'21.04.01'!$BB$3))</f>
        <v>0</v>
      </c>
      <c r="E73" s="4">
        <f>IF(ISNUMBER(SEARCH("营",'21.04.01'!M73)),(-$Y73+50*IF('21.04.01'!$AK73="是",'21.04.01'!$BB$4,'21.04.01'!$BB$3)),(VLOOKUP('21.04.01'!M73,'21.04.01'!$AO$4:$AQ$55,2,FALSE))*IF('21.04.01'!$AK73="是",'21.04.01'!$BB$4,'21.04.01'!$BB$3))</f>
        <v>0</v>
      </c>
      <c r="F73" s="4">
        <f>IF(ISNUMBER(SEARCH("营",'21.04.01'!N73)),(-$Y73+50*IF('21.04.01'!$AK73="是",'21.04.01'!$BB$4,'21.04.01'!$BB$3)),(VLOOKUP('21.04.01'!N73,'21.04.01'!$AO$4:$AQ$55,2,FALSE))*IF('21.04.01'!$AK73="是",'21.04.01'!$BB$4,'21.04.01'!$BB$3))</f>
        <v>0</v>
      </c>
      <c r="G73" s="4">
        <f>IF(ISNUMBER(SEARCH("营",'21.04.01'!O73)),(-$Y73+50*IF('21.04.01'!$AK73="是",'21.04.01'!$BB$4,'21.04.01'!$BB$3)),(VLOOKUP('21.04.01'!O73,'21.04.01'!$AO$4:$AQ$55,2,FALSE))*IF('21.04.01'!$AK73="是",'21.04.01'!$BB$4,'21.04.01'!$BB$3))</f>
        <v>0</v>
      </c>
      <c r="H73" s="4">
        <f>IF(ISNUMBER(SEARCH("营",'21.04.01'!P73)),(-$Y73+50*IF('21.04.01'!$AK73="是",'21.04.01'!$BB$4,'21.04.01'!$BB$3)),(VLOOKUP('21.04.01'!P73,'21.04.01'!$AO$4:$AQ$55,2,FALSE))*IF('21.04.01'!$AK73="是",'21.04.01'!$BB$4,'21.04.01'!$BB$3))</f>
        <v>0</v>
      </c>
      <c r="I73" s="4">
        <f>IF(ISNUMBER(SEARCH("营",'21.04.01'!Q73)),(-$Y73+50*IF('21.04.01'!$AK73="是",'21.04.01'!$BB$4,'21.04.01'!$BB$3)),(VLOOKUP('21.04.01'!Q73,'21.04.01'!$AO$4:$AQ$55,2,FALSE))*IF('21.04.01'!$AK73="是",'21.04.01'!$BB$4,'21.04.01'!$BB$3))</f>
        <v>0</v>
      </c>
      <c r="J73" s="4">
        <f>IF(ISNUMBER(SEARCH("营",'21.04.01'!R73)),(-$Y73+50*IF('21.04.01'!$AK73="是",'21.04.01'!$BB$4,'21.04.01'!$BB$3)),(VLOOKUP('21.04.01'!R73,'21.04.01'!$AO$4:$AQ$55,2,FALSE))*IF('21.04.01'!$AK73="是",'21.04.01'!$BB$4,'21.04.01'!$BB$3))</f>
        <v>0</v>
      </c>
      <c r="K73" s="4">
        <f>IF(ISNUMBER(SEARCH("营",'21.04.01'!S73)),(-$Y73+50*IF('21.04.01'!$AK73="是",'21.04.01'!$BB$4,'21.04.01'!$BB$3)),(VLOOKUP('21.04.01'!S73,'21.04.01'!$AO$4:$AQ$55,2,FALSE))*IF('21.04.01'!$AK73="是",'21.04.01'!$BB$4,'21.04.01'!$BB$3))</f>
        <v>0</v>
      </c>
      <c r="L73" s="4">
        <f>IF(ISNUMBER(SEARCH("营",'21.04.01'!T73)),(-$Y73+50*IF('21.04.01'!$AK73="是",'21.04.01'!$BB$4,'21.04.01'!$BB$3)),(VLOOKUP('21.04.01'!T73,'21.04.01'!$AO$4:$AQ$55,2,FALSE))*IF('21.04.01'!$AK73="是",'21.04.01'!$BB$4,'21.04.01'!$BB$3))</f>
        <v>0</v>
      </c>
      <c r="M73" s="4">
        <f>IF(ISNUMBER(SEARCH("营",'21.04.01'!U73)),(-$Y73+50*IF('21.04.01'!$AK73="是",'21.04.01'!$BB$4,'21.04.01'!$BB$3)),(VLOOKUP('21.04.01'!U73,'21.04.01'!$AO$4:$AQ$55,2,FALSE))*IF('21.04.01'!$AK73="是",'21.04.01'!$BB$4,'21.04.01'!$BB$3))</f>
        <v>0</v>
      </c>
      <c r="N73" s="4">
        <f>IF(ISNUMBER(SEARCH("营",'21.04.01'!V73)),(-$Y73+50*IF('21.04.01'!$AK73="是",'21.04.01'!$BB$4,'21.04.01'!$BB$3)),(VLOOKUP('21.04.01'!V73,'21.04.01'!$AO$4:$AQ$55,2,FALSE))*IF('21.04.01'!$AK73="是",'21.04.01'!$BB$4,'21.04.01'!$BB$3))</f>
        <v>0</v>
      </c>
      <c r="O73" s="4">
        <f>IF(ISNUMBER(SEARCH("营",'21.04.01'!W73)),(-$Y73+50*IF('21.04.01'!$AK73="是",'21.04.01'!$BB$4,'21.04.01'!$BB$3)),(VLOOKUP('21.04.01'!W73,'21.04.01'!$AO$4:$AQ$55,2,FALSE))*IF('21.04.01'!$AK73="是",'21.04.01'!$BB$4,'21.04.01'!$BB$3))</f>
        <v>0</v>
      </c>
      <c r="P73" s="4">
        <f>IF(ISNUMBER(SEARCH("营",'21.04.01'!X73)),(-$Y73+50*IF('21.04.01'!$AK73="是",'21.04.01'!$BB$4,'21.04.01'!$BB$3)),(VLOOKUP('21.04.01'!X73,'21.04.01'!$AO$4:$AQ$55,2,FALSE))*IF('21.04.01'!$AK73="是",'21.04.01'!$BB$4,'21.04.01'!$BB$3))</f>
        <v>0</v>
      </c>
      <c r="Q73" s="4">
        <f>IF(ISNUMBER(SEARCH("营",'21.04.01'!Y73)),(-$Y73+50*IF('21.04.01'!$AK73="是",'21.04.01'!$BB$4,'21.04.01'!$BB$3)),(VLOOKUP('21.04.01'!Y73,'21.04.01'!$AO$4:$AQ$55,2,FALSE))*IF('21.04.01'!$AK73="是",'21.04.01'!$BB$4,'21.04.01'!$BB$3))</f>
        <v>0</v>
      </c>
      <c r="R73" s="4">
        <f>IF(ISNUMBER(SEARCH("营",'21.04.01'!Z73)),(-$Y73+50*IF('21.04.01'!$AK73="是",'21.04.01'!$BB$4,'21.04.01'!$BB$3)),(VLOOKUP('21.04.01'!Z73,'21.04.01'!$AO$4:$AQ$55,2,FALSE))*IF('21.04.01'!$AK73="是",'21.04.01'!$BB$4,'21.04.01'!$BB$3))</f>
        <v>0</v>
      </c>
      <c r="S73" s="4">
        <f>IF(ISNUMBER(SEARCH("营",'21.04.01'!AA73)),(-$Y73+50*IF('21.04.01'!$AK73="是",'21.04.01'!$BB$4,'21.04.01'!$BB$3)),(VLOOKUP('21.04.01'!AA73,'21.04.01'!$AO$4:$AQ$55,2,FALSE))*IF('21.04.01'!$AK73="是",'21.04.01'!$BB$4,'21.04.01'!$BB$3))</f>
        <v>0</v>
      </c>
      <c r="T73" s="4">
        <f>IF(ISNUMBER(SEARCH("营",'21.04.01'!AB73)),(-$Y73+50*IF('21.04.01'!$AK73="是",'21.04.01'!$BB$4,'21.04.01'!$BB$3)),(VLOOKUP('21.04.01'!AB73,'21.04.01'!$AO$4:$AQ$55,2,FALSE))*IF('21.04.01'!$AK73="是",'21.04.01'!$BB$4,'21.04.01'!$BB$3))</f>
        <v>0</v>
      </c>
      <c r="U73" s="4">
        <f>IF(ISNUMBER(SEARCH("营",'21.04.01'!AC73)),(-$Y73+50*IF('21.04.01'!$AK73="是",'21.04.01'!$BB$4,'21.04.01'!$BB$3)),(VLOOKUP('21.04.01'!AC73,'21.04.01'!$AO$4:$AQ$55,2,FALSE))*IF('21.04.01'!$AK73="是",'21.04.01'!$BB$4,'21.04.01'!$BB$3))</f>
        <v>0</v>
      </c>
      <c r="V73" s="4">
        <f>IF(ISNUMBER(SEARCH("营",'21.04.01'!AD73)),(-$Y73+50*IF('21.04.01'!$AK73="是",'21.04.01'!$BB$4,'21.04.01'!$BB$3)),(VLOOKUP('21.04.01'!AD73,'21.04.01'!$AO$4:$AQ$55,2,FALSE))*IF('21.04.01'!$AK73="是",'21.04.01'!$BB$4,'21.04.01'!$BB$3))</f>
        <v>0</v>
      </c>
      <c r="W73" s="4">
        <f>IF(ISNUMBER(SEARCH("营",'21.04.01'!AE73)),(-$Y73+50*IF('21.04.01'!$AK73="是",'21.04.01'!$BB$4,'21.04.01'!$BB$3)),(VLOOKUP('21.04.01'!AE73,'21.04.01'!$AO$4:$AQ$55,2,FALSE))*IF('21.04.01'!$AK73="是",'21.04.01'!$BB$4,'21.04.01'!$BB$3))</f>
        <v>0</v>
      </c>
      <c r="X73" s="4">
        <f>IF(ISNUMBER(SEARCH("营",'21.04.01'!AF73)),(-$Y73+50*IF('21.04.01'!$AK73="是",'21.04.01'!$BB$4,'21.04.01'!$BB$3)),(VLOOKUP('21.04.01'!AF73,'21.04.01'!$AO$4:$AQ$55,2,FALSE))*IF('21.04.01'!$AK73="是",'21.04.01'!$BB$4,'21.04.01'!$BB$3))</f>
        <v>0</v>
      </c>
      <c r="Y73" s="63">
        <v>100</v>
      </c>
      <c r="Z73" s="94">
        <v>45981</v>
      </c>
    </row>
    <row r="74" spans="1:26">
      <c r="A74" s="4">
        <f>IF(ISNUMBER(SEARCH("营",'21.04.01'!I74)),(-$Y74+50*IF('21.04.01'!$AK74="是",'21.04.01'!$BB$4,'21.04.01'!$BB$3)),(VLOOKUP('21.04.01'!I74,'21.04.01'!$AO$4:$AQ$55,2,FALSE))*IF('21.04.01'!$AK74="是",'21.04.01'!$BB$4,'21.04.01'!$BB$3))</f>
        <v>0</v>
      </c>
      <c r="B74" s="4">
        <f>IF(ISNUMBER(SEARCH("营",'21.04.01'!J74)),(-$Y74+50*IF('21.04.01'!$AK74="是",'21.04.01'!$BB$4,'21.04.01'!$BB$3)),(VLOOKUP('21.04.01'!J74,'21.04.01'!$AO$4:$AQ$55,2,FALSE))*IF('21.04.01'!$AK74="是",'21.04.01'!$BB$4,'21.04.01'!$BB$3))</f>
        <v>0</v>
      </c>
      <c r="C74" s="4">
        <f>IF(ISNUMBER(SEARCH("营",'21.04.01'!K74)),(-$Y74+50*IF('21.04.01'!$AK74="是",'21.04.01'!$BB$4,'21.04.01'!$BB$3)),(VLOOKUP('21.04.01'!K74,'21.04.01'!$AO$4:$AQ$55,2,FALSE))*IF('21.04.01'!$AK74="是",'21.04.01'!$BB$4,'21.04.01'!$BB$3))</f>
        <v>0</v>
      </c>
      <c r="D74" s="4">
        <f>IF(ISNUMBER(SEARCH("营",'21.04.01'!L74)),(-$Y74+50*IF('21.04.01'!$AK74="是",'21.04.01'!$BB$4,'21.04.01'!$BB$3)),(VLOOKUP('21.04.01'!L74,'21.04.01'!$AO$4:$AQ$55,2,FALSE))*IF('21.04.01'!$AK74="是",'21.04.01'!$BB$4,'21.04.01'!$BB$3))</f>
        <v>0</v>
      </c>
      <c r="E74" s="4">
        <f>IF(ISNUMBER(SEARCH("营",'21.04.01'!M74)),(-$Y74+50*IF('21.04.01'!$AK74="是",'21.04.01'!$BB$4,'21.04.01'!$BB$3)),(VLOOKUP('21.04.01'!M74,'21.04.01'!$AO$4:$AQ$55,2,FALSE))*IF('21.04.01'!$AK74="是",'21.04.01'!$BB$4,'21.04.01'!$BB$3))</f>
        <v>0</v>
      </c>
      <c r="F74" s="4">
        <f>IF(ISNUMBER(SEARCH("营",'21.04.01'!N74)),(-$Y74+50*IF('21.04.01'!$AK74="是",'21.04.01'!$BB$4,'21.04.01'!$BB$3)),(VLOOKUP('21.04.01'!N74,'21.04.01'!$AO$4:$AQ$55,2,FALSE))*IF('21.04.01'!$AK74="是",'21.04.01'!$BB$4,'21.04.01'!$BB$3))</f>
        <v>0</v>
      </c>
      <c r="G74" s="4">
        <f>IF(ISNUMBER(SEARCH("营",'21.04.01'!O74)),(-$Y74+50*IF('21.04.01'!$AK74="是",'21.04.01'!$BB$4,'21.04.01'!$BB$3)),(VLOOKUP('21.04.01'!O74,'21.04.01'!$AO$4:$AQ$55,2,FALSE))*IF('21.04.01'!$AK74="是",'21.04.01'!$BB$4,'21.04.01'!$BB$3))</f>
        <v>0</v>
      </c>
      <c r="H74" s="4">
        <f>IF(ISNUMBER(SEARCH("营",'21.04.01'!P74)),(-$Y74+50*IF('21.04.01'!$AK74="是",'21.04.01'!$BB$4,'21.04.01'!$BB$3)),(VLOOKUP('21.04.01'!P74,'21.04.01'!$AO$4:$AQ$55,2,FALSE))*IF('21.04.01'!$AK74="是",'21.04.01'!$BB$4,'21.04.01'!$BB$3))</f>
        <v>0</v>
      </c>
      <c r="I74" s="4">
        <f>IF(ISNUMBER(SEARCH("营",'21.04.01'!Q74)),(-$Y74+50*IF('21.04.01'!$AK74="是",'21.04.01'!$BB$4,'21.04.01'!$BB$3)),(VLOOKUP('21.04.01'!Q74,'21.04.01'!$AO$4:$AQ$55,2,FALSE))*IF('21.04.01'!$AK74="是",'21.04.01'!$BB$4,'21.04.01'!$BB$3))</f>
        <v>0</v>
      </c>
      <c r="J74" s="4">
        <f>IF(ISNUMBER(SEARCH("营",'21.04.01'!R74)),(-$Y74+50*IF('21.04.01'!$AK74="是",'21.04.01'!$BB$4,'21.04.01'!$BB$3)),(VLOOKUP('21.04.01'!R74,'21.04.01'!$AO$4:$AQ$55,2,FALSE))*IF('21.04.01'!$AK74="是",'21.04.01'!$BB$4,'21.04.01'!$BB$3))</f>
        <v>0</v>
      </c>
      <c r="K74" s="4">
        <f>IF(ISNUMBER(SEARCH("营",'21.04.01'!S74)),(-$Y74+50*IF('21.04.01'!$AK74="是",'21.04.01'!$BB$4,'21.04.01'!$BB$3)),(VLOOKUP('21.04.01'!S74,'21.04.01'!$AO$4:$AQ$55,2,FALSE))*IF('21.04.01'!$AK74="是",'21.04.01'!$BB$4,'21.04.01'!$BB$3))</f>
        <v>0</v>
      </c>
      <c r="L74" s="4">
        <f>IF(ISNUMBER(SEARCH("营",'21.04.01'!T74)),(-$Y74+50*IF('21.04.01'!$AK74="是",'21.04.01'!$BB$4,'21.04.01'!$BB$3)),(VLOOKUP('21.04.01'!T74,'21.04.01'!$AO$4:$AQ$55,2,FALSE))*IF('21.04.01'!$AK74="是",'21.04.01'!$BB$4,'21.04.01'!$BB$3))</f>
        <v>0</v>
      </c>
      <c r="M74" s="4">
        <f>IF(ISNUMBER(SEARCH("营",'21.04.01'!U74)),(-$Y74+50*IF('21.04.01'!$AK74="是",'21.04.01'!$BB$4,'21.04.01'!$BB$3)),(VLOOKUP('21.04.01'!U74,'21.04.01'!$AO$4:$AQ$55,2,FALSE))*IF('21.04.01'!$AK74="是",'21.04.01'!$BB$4,'21.04.01'!$BB$3))</f>
        <v>0</v>
      </c>
      <c r="N74" s="4">
        <f>IF(ISNUMBER(SEARCH("营",'21.04.01'!V74)),(-$Y74+50*IF('21.04.01'!$AK74="是",'21.04.01'!$BB$4,'21.04.01'!$BB$3)),(VLOOKUP('21.04.01'!V74,'21.04.01'!$AO$4:$AQ$55,2,FALSE))*IF('21.04.01'!$AK74="是",'21.04.01'!$BB$4,'21.04.01'!$BB$3))</f>
        <v>0</v>
      </c>
      <c r="O74" s="4">
        <f>IF(ISNUMBER(SEARCH("营",'21.04.01'!W74)),(-$Y74+50*IF('21.04.01'!$AK74="是",'21.04.01'!$BB$4,'21.04.01'!$BB$3)),(VLOOKUP('21.04.01'!W74,'21.04.01'!$AO$4:$AQ$55,2,FALSE))*IF('21.04.01'!$AK74="是",'21.04.01'!$BB$4,'21.04.01'!$BB$3))</f>
        <v>0</v>
      </c>
      <c r="P74" s="4">
        <f>IF(ISNUMBER(SEARCH("营",'21.04.01'!X74)),(-$Y74+50*IF('21.04.01'!$AK74="是",'21.04.01'!$BB$4,'21.04.01'!$BB$3)),(VLOOKUP('21.04.01'!X74,'21.04.01'!$AO$4:$AQ$55,2,FALSE))*IF('21.04.01'!$AK74="是",'21.04.01'!$BB$4,'21.04.01'!$BB$3))</f>
        <v>0</v>
      </c>
      <c r="Q74" s="4">
        <f>IF(ISNUMBER(SEARCH("营",'21.04.01'!Y74)),(-$Y74+50*IF('21.04.01'!$AK74="是",'21.04.01'!$BB$4,'21.04.01'!$BB$3)),(VLOOKUP('21.04.01'!Y74,'21.04.01'!$AO$4:$AQ$55,2,FALSE))*IF('21.04.01'!$AK74="是",'21.04.01'!$BB$4,'21.04.01'!$BB$3))</f>
        <v>0</v>
      </c>
      <c r="R74" s="4">
        <f>IF(ISNUMBER(SEARCH("营",'21.04.01'!Z74)),(-$Y74+50*IF('21.04.01'!$AK74="是",'21.04.01'!$BB$4,'21.04.01'!$BB$3)),(VLOOKUP('21.04.01'!Z74,'21.04.01'!$AO$4:$AQ$55,2,FALSE))*IF('21.04.01'!$AK74="是",'21.04.01'!$BB$4,'21.04.01'!$BB$3))</f>
        <v>0</v>
      </c>
      <c r="S74" s="4">
        <f>IF(ISNUMBER(SEARCH("营",'21.04.01'!AA74)),(-$Y74+50*IF('21.04.01'!$AK74="是",'21.04.01'!$BB$4,'21.04.01'!$BB$3)),(VLOOKUP('21.04.01'!AA74,'21.04.01'!$AO$4:$AQ$55,2,FALSE))*IF('21.04.01'!$AK74="是",'21.04.01'!$BB$4,'21.04.01'!$BB$3))</f>
        <v>0</v>
      </c>
      <c r="T74" s="4">
        <f>IF(ISNUMBER(SEARCH("营",'21.04.01'!AB74)),(-$Y74+50*IF('21.04.01'!$AK74="是",'21.04.01'!$BB$4,'21.04.01'!$BB$3)),(VLOOKUP('21.04.01'!AB74,'21.04.01'!$AO$4:$AQ$55,2,FALSE))*IF('21.04.01'!$AK74="是",'21.04.01'!$BB$4,'21.04.01'!$BB$3))</f>
        <v>0</v>
      </c>
      <c r="U74" s="4">
        <f>IF(ISNUMBER(SEARCH("营",'21.04.01'!AC74)),(-$Y74+50*IF('21.04.01'!$AK74="是",'21.04.01'!$BB$4,'21.04.01'!$BB$3)),(VLOOKUP('21.04.01'!AC74,'21.04.01'!$AO$4:$AQ$55,2,FALSE))*IF('21.04.01'!$AK74="是",'21.04.01'!$BB$4,'21.04.01'!$BB$3))</f>
        <v>0</v>
      </c>
      <c r="V74" s="4">
        <f>IF(ISNUMBER(SEARCH("营",'21.04.01'!AD74)),(-$Y74+50*IF('21.04.01'!$AK74="是",'21.04.01'!$BB$4,'21.04.01'!$BB$3)),(VLOOKUP('21.04.01'!AD74,'21.04.01'!$AO$4:$AQ$55,2,FALSE))*IF('21.04.01'!$AK74="是",'21.04.01'!$BB$4,'21.04.01'!$BB$3))</f>
        <v>0</v>
      </c>
      <c r="W74" s="4">
        <f>IF(ISNUMBER(SEARCH("营",'21.04.01'!AE74)),(-$Y74+50*IF('21.04.01'!$AK74="是",'21.04.01'!$BB$4,'21.04.01'!$BB$3)),(VLOOKUP('21.04.01'!AE74,'21.04.01'!$AO$4:$AQ$55,2,FALSE))*IF('21.04.01'!$AK74="是",'21.04.01'!$BB$4,'21.04.01'!$BB$3))</f>
        <v>0</v>
      </c>
      <c r="X74" s="4">
        <f>IF(ISNUMBER(SEARCH("营",'21.04.01'!AF74)),(-$Y74+50*IF('21.04.01'!$AK74="是",'21.04.01'!$BB$4,'21.04.01'!$BB$3)),(VLOOKUP('21.04.01'!AF74,'21.04.01'!$AO$4:$AQ$55,2,FALSE))*IF('21.04.01'!$AK74="是",'21.04.01'!$BB$4,'21.04.01'!$BB$3))</f>
        <v>0</v>
      </c>
      <c r="Y74" s="63">
        <v>100</v>
      </c>
      <c r="Z74" s="94">
        <v>45982</v>
      </c>
    </row>
    <row r="75" spans="1:26">
      <c r="A75" s="4">
        <f>IF(ISNUMBER(SEARCH("营",'21.04.01'!I75)),(-$Y75+50*IF('21.04.01'!$AK75="是",'21.04.01'!$BB$4,'21.04.01'!$BB$3)),(VLOOKUP('21.04.01'!I75,'21.04.01'!$AO$4:$AQ$55,2,FALSE))*IF('21.04.01'!$AK75="是",'21.04.01'!$BB$4,'21.04.01'!$BB$3))</f>
        <v>0</v>
      </c>
      <c r="B75" s="4">
        <f>IF(ISNUMBER(SEARCH("营",'21.04.01'!J75)),(-$Y75+50*IF('21.04.01'!$AK75="是",'21.04.01'!$BB$4,'21.04.01'!$BB$3)),(VLOOKUP('21.04.01'!J75,'21.04.01'!$AO$4:$AQ$55,2,FALSE))*IF('21.04.01'!$AK75="是",'21.04.01'!$BB$4,'21.04.01'!$BB$3))</f>
        <v>0</v>
      </c>
      <c r="C75" s="4">
        <f>IF(ISNUMBER(SEARCH("营",'21.04.01'!K75)),(-$Y75+50*IF('21.04.01'!$AK75="是",'21.04.01'!$BB$4,'21.04.01'!$BB$3)),(VLOOKUP('21.04.01'!K75,'21.04.01'!$AO$4:$AQ$55,2,FALSE))*IF('21.04.01'!$AK75="是",'21.04.01'!$BB$4,'21.04.01'!$BB$3))</f>
        <v>0</v>
      </c>
      <c r="D75" s="4">
        <f>IF(ISNUMBER(SEARCH("营",'21.04.01'!L75)),(-$Y75+50*IF('21.04.01'!$AK75="是",'21.04.01'!$BB$4,'21.04.01'!$BB$3)),(VLOOKUP('21.04.01'!L75,'21.04.01'!$AO$4:$AQ$55,2,FALSE))*IF('21.04.01'!$AK75="是",'21.04.01'!$BB$4,'21.04.01'!$BB$3))</f>
        <v>0</v>
      </c>
      <c r="E75" s="4">
        <f>IF(ISNUMBER(SEARCH("营",'21.04.01'!M75)),(-$Y75+50*IF('21.04.01'!$AK75="是",'21.04.01'!$BB$4,'21.04.01'!$BB$3)),(VLOOKUP('21.04.01'!M75,'21.04.01'!$AO$4:$AQ$55,2,FALSE))*IF('21.04.01'!$AK75="是",'21.04.01'!$BB$4,'21.04.01'!$BB$3))</f>
        <v>0</v>
      </c>
      <c r="F75" s="4">
        <f>IF(ISNUMBER(SEARCH("营",'21.04.01'!N75)),(-$Y75+50*IF('21.04.01'!$AK75="是",'21.04.01'!$BB$4,'21.04.01'!$BB$3)),(VLOOKUP('21.04.01'!N75,'21.04.01'!$AO$4:$AQ$55,2,FALSE))*IF('21.04.01'!$AK75="是",'21.04.01'!$BB$4,'21.04.01'!$BB$3))</f>
        <v>0</v>
      </c>
      <c r="G75" s="4">
        <f>IF(ISNUMBER(SEARCH("营",'21.04.01'!O75)),(-$Y75+50*IF('21.04.01'!$AK75="是",'21.04.01'!$BB$4,'21.04.01'!$BB$3)),(VLOOKUP('21.04.01'!O75,'21.04.01'!$AO$4:$AQ$55,2,FALSE))*IF('21.04.01'!$AK75="是",'21.04.01'!$BB$4,'21.04.01'!$BB$3))</f>
        <v>0</v>
      </c>
      <c r="H75" s="4">
        <f>IF(ISNUMBER(SEARCH("营",'21.04.01'!P75)),(-$Y75+50*IF('21.04.01'!$AK75="是",'21.04.01'!$BB$4,'21.04.01'!$BB$3)),(VLOOKUP('21.04.01'!P75,'21.04.01'!$AO$4:$AQ$55,2,FALSE))*IF('21.04.01'!$AK75="是",'21.04.01'!$BB$4,'21.04.01'!$BB$3))</f>
        <v>0</v>
      </c>
      <c r="I75" s="4">
        <f>IF(ISNUMBER(SEARCH("营",'21.04.01'!Q75)),(-$Y75+50*IF('21.04.01'!$AK75="是",'21.04.01'!$BB$4,'21.04.01'!$BB$3)),(VLOOKUP('21.04.01'!Q75,'21.04.01'!$AO$4:$AQ$55,2,FALSE))*IF('21.04.01'!$AK75="是",'21.04.01'!$BB$4,'21.04.01'!$BB$3))</f>
        <v>0</v>
      </c>
      <c r="J75" s="4">
        <f>IF(ISNUMBER(SEARCH("营",'21.04.01'!R75)),(-$Y75+50*IF('21.04.01'!$AK75="是",'21.04.01'!$BB$4,'21.04.01'!$BB$3)),(VLOOKUP('21.04.01'!R75,'21.04.01'!$AO$4:$AQ$55,2,FALSE))*IF('21.04.01'!$AK75="是",'21.04.01'!$BB$4,'21.04.01'!$BB$3))</f>
        <v>0</v>
      </c>
      <c r="K75" s="4">
        <f>IF(ISNUMBER(SEARCH("营",'21.04.01'!S75)),(-$Y75+50*IF('21.04.01'!$AK75="是",'21.04.01'!$BB$4,'21.04.01'!$BB$3)),(VLOOKUP('21.04.01'!S75,'21.04.01'!$AO$4:$AQ$55,2,FALSE))*IF('21.04.01'!$AK75="是",'21.04.01'!$BB$4,'21.04.01'!$BB$3))</f>
        <v>0</v>
      </c>
      <c r="L75" s="4">
        <f>IF(ISNUMBER(SEARCH("营",'21.04.01'!T75)),(-$Y75+50*IF('21.04.01'!$AK75="是",'21.04.01'!$BB$4,'21.04.01'!$BB$3)),(VLOOKUP('21.04.01'!T75,'21.04.01'!$AO$4:$AQ$55,2,FALSE))*IF('21.04.01'!$AK75="是",'21.04.01'!$BB$4,'21.04.01'!$BB$3))</f>
        <v>0</v>
      </c>
      <c r="M75" s="4">
        <f>IF(ISNUMBER(SEARCH("营",'21.04.01'!U75)),(-$Y75+50*IF('21.04.01'!$AK75="是",'21.04.01'!$BB$4,'21.04.01'!$BB$3)),(VLOOKUP('21.04.01'!U75,'21.04.01'!$AO$4:$AQ$55,2,FALSE))*IF('21.04.01'!$AK75="是",'21.04.01'!$BB$4,'21.04.01'!$BB$3))</f>
        <v>0</v>
      </c>
      <c r="N75" s="4">
        <f>IF(ISNUMBER(SEARCH("营",'21.04.01'!V75)),(-$Y75+50*IF('21.04.01'!$AK75="是",'21.04.01'!$BB$4,'21.04.01'!$BB$3)),(VLOOKUP('21.04.01'!V75,'21.04.01'!$AO$4:$AQ$55,2,FALSE))*IF('21.04.01'!$AK75="是",'21.04.01'!$BB$4,'21.04.01'!$BB$3))</f>
        <v>0</v>
      </c>
      <c r="O75" s="4">
        <f>IF(ISNUMBER(SEARCH("营",'21.04.01'!W75)),(-$Y75+50*IF('21.04.01'!$AK75="是",'21.04.01'!$BB$4,'21.04.01'!$BB$3)),(VLOOKUP('21.04.01'!W75,'21.04.01'!$AO$4:$AQ$55,2,FALSE))*IF('21.04.01'!$AK75="是",'21.04.01'!$BB$4,'21.04.01'!$BB$3))</f>
        <v>0</v>
      </c>
      <c r="P75" s="4">
        <f>IF(ISNUMBER(SEARCH("营",'21.04.01'!X75)),(-$Y75+50*IF('21.04.01'!$AK75="是",'21.04.01'!$BB$4,'21.04.01'!$BB$3)),(VLOOKUP('21.04.01'!X75,'21.04.01'!$AO$4:$AQ$55,2,FALSE))*IF('21.04.01'!$AK75="是",'21.04.01'!$BB$4,'21.04.01'!$BB$3))</f>
        <v>0</v>
      </c>
      <c r="Q75" s="4">
        <f>IF(ISNUMBER(SEARCH("营",'21.04.01'!Y75)),(-$Y75+50*IF('21.04.01'!$AK75="是",'21.04.01'!$BB$4,'21.04.01'!$BB$3)),(VLOOKUP('21.04.01'!Y75,'21.04.01'!$AO$4:$AQ$55,2,FALSE))*IF('21.04.01'!$AK75="是",'21.04.01'!$BB$4,'21.04.01'!$BB$3))</f>
        <v>0</v>
      </c>
      <c r="R75" s="4">
        <f>IF(ISNUMBER(SEARCH("营",'21.04.01'!Z75)),(-$Y75+50*IF('21.04.01'!$AK75="是",'21.04.01'!$BB$4,'21.04.01'!$BB$3)),(VLOOKUP('21.04.01'!Z75,'21.04.01'!$AO$4:$AQ$55,2,FALSE))*IF('21.04.01'!$AK75="是",'21.04.01'!$BB$4,'21.04.01'!$BB$3))</f>
        <v>0</v>
      </c>
      <c r="S75" s="4">
        <f>IF(ISNUMBER(SEARCH("营",'21.04.01'!AA75)),(-$Y75+50*IF('21.04.01'!$AK75="是",'21.04.01'!$BB$4,'21.04.01'!$BB$3)),(VLOOKUP('21.04.01'!AA75,'21.04.01'!$AO$4:$AQ$55,2,FALSE))*IF('21.04.01'!$AK75="是",'21.04.01'!$BB$4,'21.04.01'!$BB$3))</f>
        <v>0</v>
      </c>
      <c r="T75" s="4">
        <f>IF(ISNUMBER(SEARCH("营",'21.04.01'!AB75)),(-$Y75+50*IF('21.04.01'!$AK75="是",'21.04.01'!$BB$4,'21.04.01'!$BB$3)),(VLOOKUP('21.04.01'!AB75,'21.04.01'!$AO$4:$AQ$55,2,FALSE))*IF('21.04.01'!$AK75="是",'21.04.01'!$BB$4,'21.04.01'!$BB$3))</f>
        <v>0</v>
      </c>
      <c r="U75" s="4">
        <f>IF(ISNUMBER(SEARCH("营",'21.04.01'!AC75)),(-$Y75+50*IF('21.04.01'!$AK75="是",'21.04.01'!$BB$4,'21.04.01'!$BB$3)),(VLOOKUP('21.04.01'!AC75,'21.04.01'!$AO$4:$AQ$55,2,FALSE))*IF('21.04.01'!$AK75="是",'21.04.01'!$BB$4,'21.04.01'!$BB$3))</f>
        <v>0</v>
      </c>
      <c r="V75" s="4">
        <f>IF(ISNUMBER(SEARCH("营",'21.04.01'!AD75)),(-$Y75+50*IF('21.04.01'!$AK75="是",'21.04.01'!$BB$4,'21.04.01'!$BB$3)),(VLOOKUP('21.04.01'!AD75,'21.04.01'!$AO$4:$AQ$55,2,FALSE))*IF('21.04.01'!$AK75="是",'21.04.01'!$BB$4,'21.04.01'!$BB$3))</f>
        <v>0</v>
      </c>
      <c r="W75" s="4">
        <f>IF(ISNUMBER(SEARCH("营",'21.04.01'!AE75)),(-$Y75+50*IF('21.04.01'!$AK75="是",'21.04.01'!$BB$4,'21.04.01'!$BB$3)),(VLOOKUP('21.04.01'!AE75,'21.04.01'!$AO$4:$AQ$55,2,FALSE))*IF('21.04.01'!$AK75="是",'21.04.01'!$BB$4,'21.04.01'!$BB$3))</f>
        <v>0</v>
      </c>
      <c r="X75" s="4">
        <f>IF(ISNUMBER(SEARCH("营",'21.04.01'!AF75)),(-$Y75+50*IF('21.04.01'!$AK75="是",'21.04.01'!$BB$4,'21.04.01'!$BB$3)),(VLOOKUP('21.04.01'!AF75,'21.04.01'!$AO$4:$AQ$55,2,FALSE))*IF('21.04.01'!$AK75="是",'21.04.01'!$BB$4,'21.04.01'!$BB$3))</f>
        <v>0</v>
      </c>
      <c r="Y75" s="63">
        <v>100</v>
      </c>
      <c r="Z75" s="94">
        <v>45983</v>
      </c>
    </row>
    <row r="76" spans="1:26">
      <c r="A76" s="4">
        <f>IF(ISNUMBER(SEARCH("营",'21.04.01'!I76)),(-$Y76+50*IF('21.04.01'!$AK76="是",'21.04.01'!$BB$4,'21.04.01'!$BB$3)),(VLOOKUP('21.04.01'!I76,'21.04.01'!$AO$4:$AQ$55,2,FALSE))*IF('21.04.01'!$AK76="是",'21.04.01'!$BB$4,'21.04.01'!$BB$3))</f>
        <v>0</v>
      </c>
      <c r="B76" s="4">
        <f>IF(ISNUMBER(SEARCH("营",'21.04.01'!J76)),(-$Y76+50*IF('21.04.01'!$AK76="是",'21.04.01'!$BB$4,'21.04.01'!$BB$3)),(VLOOKUP('21.04.01'!J76,'21.04.01'!$AO$4:$AQ$55,2,FALSE))*IF('21.04.01'!$AK76="是",'21.04.01'!$BB$4,'21.04.01'!$BB$3))</f>
        <v>0</v>
      </c>
      <c r="C76" s="4">
        <f>IF(ISNUMBER(SEARCH("营",'21.04.01'!K76)),(-$Y76+50*IF('21.04.01'!$AK76="是",'21.04.01'!$BB$4,'21.04.01'!$BB$3)),(VLOOKUP('21.04.01'!K76,'21.04.01'!$AO$4:$AQ$55,2,FALSE))*IF('21.04.01'!$AK76="是",'21.04.01'!$BB$4,'21.04.01'!$BB$3))</f>
        <v>0</v>
      </c>
      <c r="D76" s="4">
        <f>IF(ISNUMBER(SEARCH("营",'21.04.01'!L76)),(-$Y76+50*IF('21.04.01'!$AK76="是",'21.04.01'!$BB$4,'21.04.01'!$BB$3)),(VLOOKUP('21.04.01'!L76,'21.04.01'!$AO$4:$AQ$55,2,FALSE))*IF('21.04.01'!$AK76="是",'21.04.01'!$BB$4,'21.04.01'!$BB$3))</f>
        <v>0</v>
      </c>
      <c r="E76" s="4">
        <f>IF(ISNUMBER(SEARCH("营",'21.04.01'!M76)),(-$Y76+50*IF('21.04.01'!$AK76="是",'21.04.01'!$BB$4,'21.04.01'!$BB$3)),(VLOOKUP('21.04.01'!M76,'21.04.01'!$AO$4:$AQ$55,2,FALSE))*IF('21.04.01'!$AK76="是",'21.04.01'!$BB$4,'21.04.01'!$BB$3))</f>
        <v>0</v>
      </c>
      <c r="F76" s="4">
        <f>IF(ISNUMBER(SEARCH("营",'21.04.01'!N76)),(-$Y76+50*IF('21.04.01'!$AK76="是",'21.04.01'!$BB$4,'21.04.01'!$BB$3)),(VLOOKUP('21.04.01'!N76,'21.04.01'!$AO$4:$AQ$55,2,FALSE))*IF('21.04.01'!$AK76="是",'21.04.01'!$BB$4,'21.04.01'!$BB$3))</f>
        <v>0</v>
      </c>
      <c r="G76" s="4">
        <f>IF(ISNUMBER(SEARCH("营",'21.04.01'!O76)),(-$Y76+50*IF('21.04.01'!$AK76="是",'21.04.01'!$BB$4,'21.04.01'!$BB$3)),(VLOOKUP('21.04.01'!O76,'21.04.01'!$AO$4:$AQ$55,2,FALSE))*IF('21.04.01'!$AK76="是",'21.04.01'!$BB$4,'21.04.01'!$BB$3))</f>
        <v>0</v>
      </c>
      <c r="H76" s="4">
        <f>IF(ISNUMBER(SEARCH("营",'21.04.01'!P76)),(-$Y76+50*IF('21.04.01'!$AK76="是",'21.04.01'!$BB$4,'21.04.01'!$BB$3)),(VLOOKUP('21.04.01'!P76,'21.04.01'!$AO$4:$AQ$55,2,FALSE))*IF('21.04.01'!$AK76="是",'21.04.01'!$BB$4,'21.04.01'!$BB$3))</f>
        <v>0</v>
      </c>
      <c r="I76" s="4">
        <f>IF(ISNUMBER(SEARCH("营",'21.04.01'!Q76)),(-$Y76+50*IF('21.04.01'!$AK76="是",'21.04.01'!$BB$4,'21.04.01'!$BB$3)),(VLOOKUP('21.04.01'!Q76,'21.04.01'!$AO$4:$AQ$55,2,FALSE))*IF('21.04.01'!$AK76="是",'21.04.01'!$BB$4,'21.04.01'!$BB$3))</f>
        <v>0</v>
      </c>
      <c r="J76" s="4">
        <f>IF(ISNUMBER(SEARCH("营",'21.04.01'!R76)),(-$Y76+50*IF('21.04.01'!$AK76="是",'21.04.01'!$BB$4,'21.04.01'!$BB$3)),(VLOOKUP('21.04.01'!R76,'21.04.01'!$AO$4:$AQ$55,2,FALSE))*IF('21.04.01'!$AK76="是",'21.04.01'!$BB$4,'21.04.01'!$BB$3))</f>
        <v>0</v>
      </c>
      <c r="K76" s="4">
        <f>IF(ISNUMBER(SEARCH("营",'21.04.01'!S76)),(-$Y76+50*IF('21.04.01'!$AK76="是",'21.04.01'!$BB$4,'21.04.01'!$BB$3)),(VLOOKUP('21.04.01'!S76,'21.04.01'!$AO$4:$AQ$55,2,FALSE))*IF('21.04.01'!$AK76="是",'21.04.01'!$BB$4,'21.04.01'!$BB$3))</f>
        <v>0</v>
      </c>
      <c r="L76" s="4">
        <f>IF(ISNUMBER(SEARCH("营",'21.04.01'!T76)),(-$Y76+50*IF('21.04.01'!$AK76="是",'21.04.01'!$BB$4,'21.04.01'!$BB$3)),(VLOOKUP('21.04.01'!T76,'21.04.01'!$AO$4:$AQ$55,2,FALSE))*IF('21.04.01'!$AK76="是",'21.04.01'!$BB$4,'21.04.01'!$BB$3))</f>
        <v>0</v>
      </c>
      <c r="M76" s="4">
        <f>IF(ISNUMBER(SEARCH("营",'21.04.01'!U76)),(-$Y76+50*IF('21.04.01'!$AK76="是",'21.04.01'!$BB$4,'21.04.01'!$BB$3)),(VLOOKUP('21.04.01'!U76,'21.04.01'!$AO$4:$AQ$55,2,FALSE))*IF('21.04.01'!$AK76="是",'21.04.01'!$BB$4,'21.04.01'!$BB$3))</f>
        <v>0</v>
      </c>
      <c r="N76" s="4">
        <f>IF(ISNUMBER(SEARCH("营",'21.04.01'!V76)),(-$Y76+50*IF('21.04.01'!$AK76="是",'21.04.01'!$BB$4,'21.04.01'!$BB$3)),(VLOOKUP('21.04.01'!V76,'21.04.01'!$AO$4:$AQ$55,2,FALSE))*IF('21.04.01'!$AK76="是",'21.04.01'!$BB$4,'21.04.01'!$BB$3))</f>
        <v>0</v>
      </c>
      <c r="O76" s="4">
        <f>IF(ISNUMBER(SEARCH("营",'21.04.01'!W76)),(-$Y76+50*IF('21.04.01'!$AK76="是",'21.04.01'!$BB$4,'21.04.01'!$BB$3)),(VLOOKUP('21.04.01'!W76,'21.04.01'!$AO$4:$AQ$55,2,FALSE))*IF('21.04.01'!$AK76="是",'21.04.01'!$BB$4,'21.04.01'!$BB$3))</f>
        <v>0</v>
      </c>
      <c r="P76" s="4">
        <f>IF(ISNUMBER(SEARCH("营",'21.04.01'!X76)),(-$Y76+50*IF('21.04.01'!$AK76="是",'21.04.01'!$BB$4,'21.04.01'!$BB$3)),(VLOOKUP('21.04.01'!X76,'21.04.01'!$AO$4:$AQ$55,2,FALSE))*IF('21.04.01'!$AK76="是",'21.04.01'!$BB$4,'21.04.01'!$BB$3))</f>
        <v>0</v>
      </c>
      <c r="Q76" s="4">
        <f>IF(ISNUMBER(SEARCH("营",'21.04.01'!Y76)),(-$Y76+50*IF('21.04.01'!$AK76="是",'21.04.01'!$BB$4,'21.04.01'!$BB$3)),(VLOOKUP('21.04.01'!Y76,'21.04.01'!$AO$4:$AQ$55,2,FALSE))*IF('21.04.01'!$AK76="是",'21.04.01'!$BB$4,'21.04.01'!$BB$3))</f>
        <v>0</v>
      </c>
      <c r="R76" s="4">
        <f>IF(ISNUMBER(SEARCH("营",'21.04.01'!Z76)),(-$Y76+50*IF('21.04.01'!$AK76="是",'21.04.01'!$BB$4,'21.04.01'!$BB$3)),(VLOOKUP('21.04.01'!Z76,'21.04.01'!$AO$4:$AQ$55,2,FALSE))*IF('21.04.01'!$AK76="是",'21.04.01'!$BB$4,'21.04.01'!$BB$3))</f>
        <v>0</v>
      </c>
      <c r="S76" s="4">
        <f>IF(ISNUMBER(SEARCH("营",'21.04.01'!AA76)),(-$Y76+50*IF('21.04.01'!$AK76="是",'21.04.01'!$BB$4,'21.04.01'!$BB$3)),(VLOOKUP('21.04.01'!AA76,'21.04.01'!$AO$4:$AQ$55,2,FALSE))*IF('21.04.01'!$AK76="是",'21.04.01'!$BB$4,'21.04.01'!$BB$3))</f>
        <v>0</v>
      </c>
      <c r="T76" s="4">
        <f>IF(ISNUMBER(SEARCH("营",'21.04.01'!AB76)),(-$Y76+50*IF('21.04.01'!$AK76="是",'21.04.01'!$BB$4,'21.04.01'!$BB$3)),(VLOOKUP('21.04.01'!AB76,'21.04.01'!$AO$4:$AQ$55,2,FALSE))*IF('21.04.01'!$AK76="是",'21.04.01'!$BB$4,'21.04.01'!$BB$3))</f>
        <v>0</v>
      </c>
      <c r="U76" s="4">
        <f>IF(ISNUMBER(SEARCH("营",'21.04.01'!AC76)),(-$Y76+50*IF('21.04.01'!$AK76="是",'21.04.01'!$BB$4,'21.04.01'!$BB$3)),(VLOOKUP('21.04.01'!AC76,'21.04.01'!$AO$4:$AQ$55,2,FALSE))*IF('21.04.01'!$AK76="是",'21.04.01'!$BB$4,'21.04.01'!$BB$3))</f>
        <v>0</v>
      </c>
      <c r="V76" s="4">
        <f>IF(ISNUMBER(SEARCH("营",'21.04.01'!AD76)),(-$Y76+50*IF('21.04.01'!$AK76="是",'21.04.01'!$BB$4,'21.04.01'!$BB$3)),(VLOOKUP('21.04.01'!AD76,'21.04.01'!$AO$4:$AQ$55,2,FALSE))*IF('21.04.01'!$AK76="是",'21.04.01'!$BB$4,'21.04.01'!$BB$3))</f>
        <v>0</v>
      </c>
      <c r="W76" s="4">
        <f>IF(ISNUMBER(SEARCH("营",'21.04.01'!AE76)),(-$Y76+50*IF('21.04.01'!$AK76="是",'21.04.01'!$BB$4,'21.04.01'!$BB$3)),(VLOOKUP('21.04.01'!AE76,'21.04.01'!$AO$4:$AQ$55,2,FALSE))*IF('21.04.01'!$AK76="是",'21.04.01'!$BB$4,'21.04.01'!$BB$3))</f>
        <v>0</v>
      </c>
      <c r="X76" s="4">
        <f>IF(ISNUMBER(SEARCH("营",'21.04.01'!AF76)),(-$Y76+50*IF('21.04.01'!$AK76="是",'21.04.01'!$BB$4,'21.04.01'!$BB$3)),(VLOOKUP('21.04.01'!AF76,'21.04.01'!$AO$4:$AQ$55,2,FALSE))*IF('21.04.01'!$AK76="是",'21.04.01'!$BB$4,'21.04.01'!$BB$3))</f>
        <v>0</v>
      </c>
      <c r="Y76" s="63">
        <v>100</v>
      </c>
      <c r="Z76" s="94">
        <v>45984</v>
      </c>
    </row>
    <row r="77" spans="1:26">
      <c r="A77" s="4">
        <f>IF(ISNUMBER(SEARCH("营",'21.04.01'!I77)),(-$Y77+50*IF('21.04.01'!$AK77="是",'21.04.01'!$BB$4,'21.04.01'!$BB$3)),(VLOOKUP('21.04.01'!I77,'21.04.01'!$AO$4:$AQ$55,2,FALSE))*IF('21.04.01'!$AK77="是",'21.04.01'!$BB$4,'21.04.01'!$BB$3))</f>
        <v>0</v>
      </c>
      <c r="B77" s="4">
        <f>IF(ISNUMBER(SEARCH("营",'21.04.01'!J77)),(-$Y77+50*IF('21.04.01'!$AK77="是",'21.04.01'!$BB$4,'21.04.01'!$BB$3)),(VLOOKUP('21.04.01'!J77,'21.04.01'!$AO$4:$AQ$55,2,FALSE))*IF('21.04.01'!$AK77="是",'21.04.01'!$BB$4,'21.04.01'!$BB$3))</f>
        <v>0</v>
      </c>
      <c r="C77" s="4">
        <f>IF(ISNUMBER(SEARCH("营",'21.04.01'!K77)),(-$Y77+50*IF('21.04.01'!$AK77="是",'21.04.01'!$BB$4,'21.04.01'!$BB$3)),(VLOOKUP('21.04.01'!K77,'21.04.01'!$AO$4:$AQ$55,2,FALSE))*IF('21.04.01'!$AK77="是",'21.04.01'!$BB$4,'21.04.01'!$BB$3))</f>
        <v>0</v>
      </c>
      <c r="D77" s="4">
        <f>IF(ISNUMBER(SEARCH("营",'21.04.01'!L77)),(-$Y77+50*IF('21.04.01'!$AK77="是",'21.04.01'!$BB$4,'21.04.01'!$BB$3)),(VLOOKUP('21.04.01'!L77,'21.04.01'!$AO$4:$AQ$55,2,FALSE))*IF('21.04.01'!$AK77="是",'21.04.01'!$BB$4,'21.04.01'!$BB$3))</f>
        <v>0</v>
      </c>
      <c r="E77" s="4">
        <f>IF(ISNUMBER(SEARCH("营",'21.04.01'!M77)),(-$Y77+50*IF('21.04.01'!$AK77="是",'21.04.01'!$BB$4,'21.04.01'!$BB$3)),(VLOOKUP('21.04.01'!M77,'21.04.01'!$AO$4:$AQ$55,2,FALSE))*IF('21.04.01'!$AK77="是",'21.04.01'!$BB$4,'21.04.01'!$BB$3))</f>
        <v>0</v>
      </c>
      <c r="F77" s="4">
        <f>IF(ISNUMBER(SEARCH("营",'21.04.01'!N77)),(-$Y77+50*IF('21.04.01'!$AK77="是",'21.04.01'!$BB$4,'21.04.01'!$BB$3)),(VLOOKUP('21.04.01'!N77,'21.04.01'!$AO$4:$AQ$55,2,FALSE))*IF('21.04.01'!$AK77="是",'21.04.01'!$BB$4,'21.04.01'!$BB$3))</f>
        <v>0</v>
      </c>
      <c r="G77" s="4">
        <f>IF(ISNUMBER(SEARCH("营",'21.04.01'!O77)),(-$Y77+50*IF('21.04.01'!$AK77="是",'21.04.01'!$BB$4,'21.04.01'!$BB$3)),(VLOOKUP('21.04.01'!O77,'21.04.01'!$AO$4:$AQ$55,2,FALSE))*IF('21.04.01'!$AK77="是",'21.04.01'!$BB$4,'21.04.01'!$BB$3))</f>
        <v>0</v>
      </c>
      <c r="H77" s="4">
        <f>IF(ISNUMBER(SEARCH("营",'21.04.01'!P77)),(-$Y77+50*IF('21.04.01'!$AK77="是",'21.04.01'!$BB$4,'21.04.01'!$BB$3)),(VLOOKUP('21.04.01'!P77,'21.04.01'!$AO$4:$AQ$55,2,FALSE))*IF('21.04.01'!$AK77="是",'21.04.01'!$BB$4,'21.04.01'!$BB$3))</f>
        <v>0</v>
      </c>
      <c r="I77" s="4">
        <f>IF(ISNUMBER(SEARCH("营",'21.04.01'!Q77)),(-$Y77+50*IF('21.04.01'!$AK77="是",'21.04.01'!$BB$4,'21.04.01'!$BB$3)),(VLOOKUP('21.04.01'!Q77,'21.04.01'!$AO$4:$AQ$55,2,FALSE))*IF('21.04.01'!$AK77="是",'21.04.01'!$BB$4,'21.04.01'!$BB$3))</f>
        <v>0</v>
      </c>
      <c r="J77" s="4">
        <f>IF(ISNUMBER(SEARCH("营",'21.04.01'!R77)),(-$Y77+50*IF('21.04.01'!$AK77="是",'21.04.01'!$BB$4,'21.04.01'!$BB$3)),(VLOOKUP('21.04.01'!R77,'21.04.01'!$AO$4:$AQ$55,2,FALSE))*IF('21.04.01'!$AK77="是",'21.04.01'!$BB$4,'21.04.01'!$BB$3))</f>
        <v>0</v>
      </c>
      <c r="K77" s="4">
        <f>IF(ISNUMBER(SEARCH("营",'21.04.01'!S77)),(-$Y77+50*IF('21.04.01'!$AK77="是",'21.04.01'!$BB$4,'21.04.01'!$BB$3)),(VLOOKUP('21.04.01'!S77,'21.04.01'!$AO$4:$AQ$55,2,FALSE))*IF('21.04.01'!$AK77="是",'21.04.01'!$BB$4,'21.04.01'!$BB$3))</f>
        <v>0</v>
      </c>
      <c r="L77" s="4">
        <f>IF(ISNUMBER(SEARCH("营",'21.04.01'!T77)),(-$Y77+50*IF('21.04.01'!$AK77="是",'21.04.01'!$BB$4,'21.04.01'!$BB$3)),(VLOOKUP('21.04.01'!T77,'21.04.01'!$AO$4:$AQ$55,2,FALSE))*IF('21.04.01'!$AK77="是",'21.04.01'!$BB$4,'21.04.01'!$BB$3))</f>
        <v>0</v>
      </c>
      <c r="M77" s="4">
        <f>IF(ISNUMBER(SEARCH("营",'21.04.01'!U77)),(-$Y77+50*IF('21.04.01'!$AK77="是",'21.04.01'!$BB$4,'21.04.01'!$BB$3)),(VLOOKUP('21.04.01'!U77,'21.04.01'!$AO$4:$AQ$55,2,FALSE))*IF('21.04.01'!$AK77="是",'21.04.01'!$BB$4,'21.04.01'!$BB$3))</f>
        <v>0</v>
      </c>
      <c r="N77" s="4">
        <f>IF(ISNUMBER(SEARCH("营",'21.04.01'!V77)),(-$Y77+50*IF('21.04.01'!$AK77="是",'21.04.01'!$BB$4,'21.04.01'!$BB$3)),(VLOOKUP('21.04.01'!V77,'21.04.01'!$AO$4:$AQ$55,2,FALSE))*IF('21.04.01'!$AK77="是",'21.04.01'!$BB$4,'21.04.01'!$BB$3))</f>
        <v>0</v>
      </c>
      <c r="O77" s="4">
        <f>IF(ISNUMBER(SEARCH("营",'21.04.01'!W77)),(-$Y77+50*IF('21.04.01'!$AK77="是",'21.04.01'!$BB$4,'21.04.01'!$BB$3)),(VLOOKUP('21.04.01'!W77,'21.04.01'!$AO$4:$AQ$55,2,FALSE))*IF('21.04.01'!$AK77="是",'21.04.01'!$BB$4,'21.04.01'!$BB$3))</f>
        <v>0</v>
      </c>
      <c r="P77" s="4">
        <f>IF(ISNUMBER(SEARCH("营",'21.04.01'!X77)),(-$Y77+50*IF('21.04.01'!$AK77="是",'21.04.01'!$BB$4,'21.04.01'!$BB$3)),(VLOOKUP('21.04.01'!X77,'21.04.01'!$AO$4:$AQ$55,2,FALSE))*IF('21.04.01'!$AK77="是",'21.04.01'!$BB$4,'21.04.01'!$BB$3))</f>
        <v>0</v>
      </c>
      <c r="Q77" s="4">
        <f>IF(ISNUMBER(SEARCH("营",'21.04.01'!Y77)),(-$Y77+50*IF('21.04.01'!$AK77="是",'21.04.01'!$BB$4,'21.04.01'!$BB$3)),(VLOOKUP('21.04.01'!Y77,'21.04.01'!$AO$4:$AQ$55,2,FALSE))*IF('21.04.01'!$AK77="是",'21.04.01'!$BB$4,'21.04.01'!$BB$3))</f>
        <v>0</v>
      </c>
      <c r="R77" s="4">
        <f>IF(ISNUMBER(SEARCH("营",'21.04.01'!Z77)),(-$Y77+50*IF('21.04.01'!$AK77="是",'21.04.01'!$BB$4,'21.04.01'!$BB$3)),(VLOOKUP('21.04.01'!Z77,'21.04.01'!$AO$4:$AQ$55,2,FALSE))*IF('21.04.01'!$AK77="是",'21.04.01'!$BB$4,'21.04.01'!$BB$3))</f>
        <v>0</v>
      </c>
      <c r="S77" s="4">
        <f>IF(ISNUMBER(SEARCH("营",'21.04.01'!AA77)),(-$Y77+50*IF('21.04.01'!$AK77="是",'21.04.01'!$BB$4,'21.04.01'!$BB$3)),(VLOOKUP('21.04.01'!AA77,'21.04.01'!$AO$4:$AQ$55,2,FALSE))*IF('21.04.01'!$AK77="是",'21.04.01'!$BB$4,'21.04.01'!$BB$3))</f>
        <v>0</v>
      </c>
      <c r="T77" s="4">
        <f>IF(ISNUMBER(SEARCH("营",'21.04.01'!AB77)),(-$Y77+50*IF('21.04.01'!$AK77="是",'21.04.01'!$BB$4,'21.04.01'!$BB$3)),(VLOOKUP('21.04.01'!AB77,'21.04.01'!$AO$4:$AQ$55,2,FALSE))*IF('21.04.01'!$AK77="是",'21.04.01'!$BB$4,'21.04.01'!$BB$3))</f>
        <v>0</v>
      </c>
      <c r="U77" s="4">
        <f>IF(ISNUMBER(SEARCH("营",'21.04.01'!AC77)),(-$Y77+50*IF('21.04.01'!$AK77="是",'21.04.01'!$BB$4,'21.04.01'!$BB$3)),(VLOOKUP('21.04.01'!AC77,'21.04.01'!$AO$4:$AQ$55,2,FALSE))*IF('21.04.01'!$AK77="是",'21.04.01'!$BB$4,'21.04.01'!$BB$3))</f>
        <v>0</v>
      </c>
      <c r="V77" s="4">
        <f>IF(ISNUMBER(SEARCH("营",'21.04.01'!AD77)),(-$Y77+50*IF('21.04.01'!$AK77="是",'21.04.01'!$BB$4,'21.04.01'!$BB$3)),(VLOOKUP('21.04.01'!AD77,'21.04.01'!$AO$4:$AQ$55,2,FALSE))*IF('21.04.01'!$AK77="是",'21.04.01'!$BB$4,'21.04.01'!$BB$3))</f>
        <v>0</v>
      </c>
      <c r="W77" s="4">
        <f>IF(ISNUMBER(SEARCH("营",'21.04.01'!AE77)),(-$Y77+50*IF('21.04.01'!$AK77="是",'21.04.01'!$BB$4,'21.04.01'!$BB$3)),(VLOOKUP('21.04.01'!AE77,'21.04.01'!$AO$4:$AQ$55,2,FALSE))*IF('21.04.01'!$AK77="是",'21.04.01'!$BB$4,'21.04.01'!$BB$3))</f>
        <v>0</v>
      </c>
      <c r="X77" s="4">
        <f>IF(ISNUMBER(SEARCH("营",'21.04.01'!AF77)),(-$Y77+50*IF('21.04.01'!$AK77="是",'21.04.01'!$BB$4,'21.04.01'!$BB$3)),(VLOOKUP('21.04.01'!AF77,'21.04.01'!$AO$4:$AQ$55,2,FALSE))*IF('21.04.01'!$AK77="是",'21.04.01'!$BB$4,'21.04.01'!$BB$3))</f>
        <v>0</v>
      </c>
      <c r="Y77" s="63">
        <v>100</v>
      </c>
      <c r="Z77" s="94">
        <v>45985</v>
      </c>
    </row>
    <row r="78" spans="1:26">
      <c r="A78" s="4">
        <f>IF(ISNUMBER(SEARCH("营",'21.04.01'!I78)),(-$Y78+50*IF('21.04.01'!$AK78="是",'21.04.01'!$BB$4,'21.04.01'!$BB$3)),(VLOOKUP('21.04.01'!I78,'21.04.01'!$AO$4:$AQ$55,2,FALSE))*IF('21.04.01'!$AK78="是",'21.04.01'!$BB$4,'21.04.01'!$BB$3))</f>
        <v>0</v>
      </c>
      <c r="B78" s="4">
        <f>IF(ISNUMBER(SEARCH("营",'21.04.01'!J78)),(-$Y78+50*IF('21.04.01'!$AK78="是",'21.04.01'!$BB$4,'21.04.01'!$BB$3)),(VLOOKUP('21.04.01'!J78,'21.04.01'!$AO$4:$AQ$55,2,FALSE))*IF('21.04.01'!$AK78="是",'21.04.01'!$BB$4,'21.04.01'!$BB$3))</f>
        <v>0</v>
      </c>
      <c r="C78" s="4">
        <f>IF(ISNUMBER(SEARCH("营",'21.04.01'!K78)),(-$Y78+50*IF('21.04.01'!$AK78="是",'21.04.01'!$BB$4,'21.04.01'!$BB$3)),(VLOOKUP('21.04.01'!K78,'21.04.01'!$AO$4:$AQ$55,2,FALSE))*IF('21.04.01'!$AK78="是",'21.04.01'!$BB$4,'21.04.01'!$BB$3))</f>
        <v>0</v>
      </c>
      <c r="D78" s="4">
        <f>IF(ISNUMBER(SEARCH("营",'21.04.01'!L78)),(-$Y78+50*IF('21.04.01'!$AK78="是",'21.04.01'!$BB$4,'21.04.01'!$BB$3)),(VLOOKUP('21.04.01'!L78,'21.04.01'!$AO$4:$AQ$55,2,FALSE))*IF('21.04.01'!$AK78="是",'21.04.01'!$BB$4,'21.04.01'!$BB$3))</f>
        <v>0</v>
      </c>
      <c r="E78" s="4">
        <f>IF(ISNUMBER(SEARCH("营",'21.04.01'!M78)),(-$Y78+50*IF('21.04.01'!$AK78="是",'21.04.01'!$BB$4,'21.04.01'!$BB$3)),(VLOOKUP('21.04.01'!M78,'21.04.01'!$AO$4:$AQ$55,2,FALSE))*IF('21.04.01'!$AK78="是",'21.04.01'!$BB$4,'21.04.01'!$BB$3))</f>
        <v>0</v>
      </c>
      <c r="F78" s="4">
        <f>IF(ISNUMBER(SEARCH("营",'21.04.01'!N78)),(-$Y78+50*IF('21.04.01'!$AK78="是",'21.04.01'!$BB$4,'21.04.01'!$BB$3)),(VLOOKUP('21.04.01'!N78,'21.04.01'!$AO$4:$AQ$55,2,FALSE))*IF('21.04.01'!$AK78="是",'21.04.01'!$BB$4,'21.04.01'!$BB$3))</f>
        <v>0</v>
      </c>
      <c r="G78" s="4">
        <f>IF(ISNUMBER(SEARCH("营",'21.04.01'!O78)),(-$Y78+50*IF('21.04.01'!$AK78="是",'21.04.01'!$BB$4,'21.04.01'!$BB$3)),(VLOOKUP('21.04.01'!O78,'21.04.01'!$AO$4:$AQ$55,2,FALSE))*IF('21.04.01'!$AK78="是",'21.04.01'!$BB$4,'21.04.01'!$BB$3))</f>
        <v>0</v>
      </c>
      <c r="H78" s="4">
        <f>IF(ISNUMBER(SEARCH("营",'21.04.01'!P78)),(-$Y78+50*IF('21.04.01'!$AK78="是",'21.04.01'!$BB$4,'21.04.01'!$BB$3)),(VLOOKUP('21.04.01'!P78,'21.04.01'!$AO$4:$AQ$55,2,FALSE))*IF('21.04.01'!$AK78="是",'21.04.01'!$BB$4,'21.04.01'!$BB$3))</f>
        <v>0</v>
      </c>
      <c r="I78" s="4">
        <f>IF(ISNUMBER(SEARCH("营",'21.04.01'!Q78)),(-$Y78+50*IF('21.04.01'!$AK78="是",'21.04.01'!$BB$4,'21.04.01'!$BB$3)),(VLOOKUP('21.04.01'!Q78,'21.04.01'!$AO$4:$AQ$55,2,FALSE))*IF('21.04.01'!$AK78="是",'21.04.01'!$BB$4,'21.04.01'!$BB$3))</f>
        <v>0</v>
      </c>
      <c r="J78" s="4">
        <f>IF(ISNUMBER(SEARCH("营",'21.04.01'!R78)),(-$Y78+50*IF('21.04.01'!$AK78="是",'21.04.01'!$BB$4,'21.04.01'!$BB$3)),(VLOOKUP('21.04.01'!R78,'21.04.01'!$AO$4:$AQ$55,2,FALSE))*IF('21.04.01'!$AK78="是",'21.04.01'!$BB$4,'21.04.01'!$BB$3))</f>
        <v>0</v>
      </c>
      <c r="K78" s="4">
        <f>IF(ISNUMBER(SEARCH("营",'21.04.01'!S78)),(-$Y78+50*IF('21.04.01'!$AK78="是",'21.04.01'!$BB$4,'21.04.01'!$BB$3)),(VLOOKUP('21.04.01'!S78,'21.04.01'!$AO$4:$AQ$55,2,FALSE))*IF('21.04.01'!$AK78="是",'21.04.01'!$BB$4,'21.04.01'!$BB$3))</f>
        <v>0</v>
      </c>
      <c r="L78" s="4">
        <f>IF(ISNUMBER(SEARCH("营",'21.04.01'!T78)),(-$Y78+50*IF('21.04.01'!$AK78="是",'21.04.01'!$BB$4,'21.04.01'!$BB$3)),(VLOOKUP('21.04.01'!T78,'21.04.01'!$AO$4:$AQ$55,2,FALSE))*IF('21.04.01'!$AK78="是",'21.04.01'!$BB$4,'21.04.01'!$BB$3))</f>
        <v>0</v>
      </c>
      <c r="M78" s="4">
        <f>IF(ISNUMBER(SEARCH("营",'21.04.01'!U78)),(-$Y78+50*IF('21.04.01'!$AK78="是",'21.04.01'!$BB$4,'21.04.01'!$BB$3)),(VLOOKUP('21.04.01'!U78,'21.04.01'!$AO$4:$AQ$55,2,FALSE))*IF('21.04.01'!$AK78="是",'21.04.01'!$BB$4,'21.04.01'!$BB$3))</f>
        <v>0</v>
      </c>
      <c r="N78" s="4">
        <f>IF(ISNUMBER(SEARCH("营",'21.04.01'!V78)),(-$Y78+50*IF('21.04.01'!$AK78="是",'21.04.01'!$BB$4,'21.04.01'!$BB$3)),(VLOOKUP('21.04.01'!V78,'21.04.01'!$AO$4:$AQ$55,2,FALSE))*IF('21.04.01'!$AK78="是",'21.04.01'!$BB$4,'21.04.01'!$BB$3))</f>
        <v>0</v>
      </c>
      <c r="O78" s="4">
        <f>IF(ISNUMBER(SEARCH("营",'21.04.01'!W78)),(-$Y78+50*IF('21.04.01'!$AK78="是",'21.04.01'!$BB$4,'21.04.01'!$BB$3)),(VLOOKUP('21.04.01'!W78,'21.04.01'!$AO$4:$AQ$55,2,FALSE))*IF('21.04.01'!$AK78="是",'21.04.01'!$BB$4,'21.04.01'!$BB$3))</f>
        <v>0</v>
      </c>
      <c r="P78" s="4">
        <f>IF(ISNUMBER(SEARCH("营",'21.04.01'!X78)),(-$Y78+50*IF('21.04.01'!$AK78="是",'21.04.01'!$BB$4,'21.04.01'!$BB$3)),(VLOOKUP('21.04.01'!X78,'21.04.01'!$AO$4:$AQ$55,2,FALSE))*IF('21.04.01'!$AK78="是",'21.04.01'!$BB$4,'21.04.01'!$BB$3))</f>
        <v>0</v>
      </c>
      <c r="Q78" s="4">
        <f>IF(ISNUMBER(SEARCH("营",'21.04.01'!Y78)),(-$Y78+50*IF('21.04.01'!$AK78="是",'21.04.01'!$BB$4,'21.04.01'!$BB$3)),(VLOOKUP('21.04.01'!Y78,'21.04.01'!$AO$4:$AQ$55,2,FALSE))*IF('21.04.01'!$AK78="是",'21.04.01'!$BB$4,'21.04.01'!$BB$3))</f>
        <v>0</v>
      </c>
      <c r="R78" s="4">
        <f>IF(ISNUMBER(SEARCH("营",'21.04.01'!Z78)),(-$Y78+50*IF('21.04.01'!$AK78="是",'21.04.01'!$BB$4,'21.04.01'!$BB$3)),(VLOOKUP('21.04.01'!Z78,'21.04.01'!$AO$4:$AQ$55,2,FALSE))*IF('21.04.01'!$AK78="是",'21.04.01'!$BB$4,'21.04.01'!$BB$3))</f>
        <v>0</v>
      </c>
      <c r="S78" s="4">
        <f>IF(ISNUMBER(SEARCH("营",'21.04.01'!AA78)),(-$Y78+50*IF('21.04.01'!$AK78="是",'21.04.01'!$BB$4,'21.04.01'!$BB$3)),(VLOOKUP('21.04.01'!AA78,'21.04.01'!$AO$4:$AQ$55,2,FALSE))*IF('21.04.01'!$AK78="是",'21.04.01'!$BB$4,'21.04.01'!$BB$3))</f>
        <v>0</v>
      </c>
      <c r="T78" s="4">
        <f>IF(ISNUMBER(SEARCH("营",'21.04.01'!AB78)),(-$Y78+50*IF('21.04.01'!$AK78="是",'21.04.01'!$BB$4,'21.04.01'!$BB$3)),(VLOOKUP('21.04.01'!AB78,'21.04.01'!$AO$4:$AQ$55,2,FALSE))*IF('21.04.01'!$AK78="是",'21.04.01'!$BB$4,'21.04.01'!$BB$3))</f>
        <v>0</v>
      </c>
      <c r="U78" s="4">
        <f>IF(ISNUMBER(SEARCH("营",'21.04.01'!AC78)),(-$Y78+50*IF('21.04.01'!$AK78="是",'21.04.01'!$BB$4,'21.04.01'!$BB$3)),(VLOOKUP('21.04.01'!AC78,'21.04.01'!$AO$4:$AQ$55,2,FALSE))*IF('21.04.01'!$AK78="是",'21.04.01'!$BB$4,'21.04.01'!$BB$3))</f>
        <v>0</v>
      </c>
      <c r="V78" s="4">
        <f>IF(ISNUMBER(SEARCH("营",'21.04.01'!AD78)),(-$Y78+50*IF('21.04.01'!$AK78="是",'21.04.01'!$BB$4,'21.04.01'!$BB$3)),(VLOOKUP('21.04.01'!AD78,'21.04.01'!$AO$4:$AQ$55,2,FALSE))*IF('21.04.01'!$AK78="是",'21.04.01'!$BB$4,'21.04.01'!$BB$3))</f>
        <v>0</v>
      </c>
      <c r="W78" s="4">
        <f>IF(ISNUMBER(SEARCH("营",'21.04.01'!AE78)),(-$Y78+50*IF('21.04.01'!$AK78="是",'21.04.01'!$BB$4,'21.04.01'!$BB$3)),(VLOOKUP('21.04.01'!AE78,'21.04.01'!$AO$4:$AQ$55,2,FALSE))*IF('21.04.01'!$AK78="是",'21.04.01'!$BB$4,'21.04.01'!$BB$3))</f>
        <v>0</v>
      </c>
      <c r="X78" s="4">
        <f>IF(ISNUMBER(SEARCH("营",'21.04.01'!AF78)),(-$Y78+50*IF('21.04.01'!$AK78="是",'21.04.01'!$BB$4,'21.04.01'!$BB$3)),(VLOOKUP('21.04.01'!AF78,'21.04.01'!$AO$4:$AQ$55,2,FALSE))*IF('21.04.01'!$AK78="是",'21.04.01'!$BB$4,'21.04.01'!$BB$3))</f>
        <v>0</v>
      </c>
      <c r="Y78" s="63">
        <v>100</v>
      </c>
      <c r="Z78" s="94">
        <v>45986</v>
      </c>
    </row>
    <row r="79" spans="1:26">
      <c r="A79" s="4">
        <f>IF(ISNUMBER(SEARCH("营",'21.04.01'!I79)),(-$Y79+50*IF('21.04.01'!$AK79="是",'21.04.01'!$BB$4,'21.04.01'!$BB$3)),(VLOOKUP('21.04.01'!I79,'21.04.01'!$AO$4:$AQ$55,2,FALSE))*IF('21.04.01'!$AK79="是",'21.04.01'!$BB$4,'21.04.01'!$BB$3))</f>
        <v>0</v>
      </c>
      <c r="B79" s="4">
        <f>IF(ISNUMBER(SEARCH("营",'21.04.01'!J79)),(-$Y79+50*IF('21.04.01'!$AK79="是",'21.04.01'!$BB$4,'21.04.01'!$BB$3)),(VLOOKUP('21.04.01'!J79,'21.04.01'!$AO$4:$AQ$55,2,FALSE))*IF('21.04.01'!$AK79="是",'21.04.01'!$BB$4,'21.04.01'!$BB$3))</f>
        <v>0</v>
      </c>
      <c r="C79" s="4">
        <f>IF(ISNUMBER(SEARCH("营",'21.04.01'!K79)),(-$Y79+50*IF('21.04.01'!$AK79="是",'21.04.01'!$BB$4,'21.04.01'!$BB$3)),(VLOOKUP('21.04.01'!K79,'21.04.01'!$AO$4:$AQ$55,2,FALSE))*IF('21.04.01'!$AK79="是",'21.04.01'!$BB$4,'21.04.01'!$BB$3))</f>
        <v>0</v>
      </c>
      <c r="D79" s="4">
        <f>IF(ISNUMBER(SEARCH("营",'21.04.01'!L79)),(-$Y79+50*IF('21.04.01'!$AK79="是",'21.04.01'!$BB$4,'21.04.01'!$BB$3)),(VLOOKUP('21.04.01'!L79,'21.04.01'!$AO$4:$AQ$55,2,FALSE))*IF('21.04.01'!$AK79="是",'21.04.01'!$BB$4,'21.04.01'!$BB$3))</f>
        <v>0</v>
      </c>
      <c r="E79" s="4">
        <f>IF(ISNUMBER(SEARCH("营",'21.04.01'!M79)),(-$Y79+50*IF('21.04.01'!$AK79="是",'21.04.01'!$BB$4,'21.04.01'!$BB$3)),(VLOOKUP('21.04.01'!M79,'21.04.01'!$AO$4:$AQ$55,2,FALSE))*IF('21.04.01'!$AK79="是",'21.04.01'!$BB$4,'21.04.01'!$BB$3))</f>
        <v>0</v>
      </c>
      <c r="F79" s="4">
        <f>IF(ISNUMBER(SEARCH("营",'21.04.01'!N79)),(-$Y79+50*IF('21.04.01'!$AK79="是",'21.04.01'!$BB$4,'21.04.01'!$BB$3)),(VLOOKUP('21.04.01'!N79,'21.04.01'!$AO$4:$AQ$55,2,FALSE))*IF('21.04.01'!$AK79="是",'21.04.01'!$BB$4,'21.04.01'!$BB$3))</f>
        <v>0</v>
      </c>
      <c r="G79" s="4">
        <f>IF(ISNUMBER(SEARCH("营",'21.04.01'!O79)),(-$Y79+50*IF('21.04.01'!$AK79="是",'21.04.01'!$BB$4,'21.04.01'!$BB$3)),(VLOOKUP('21.04.01'!O79,'21.04.01'!$AO$4:$AQ$55,2,FALSE))*IF('21.04.01'!$AK79="是",'21.04.01'!$BB$4,'21.04.01'!$BB$3))</f>
        <v>0</v>
      </c>
      <c r="H79" s="4">
        <f>IF(ISNUMBER(SEARCH("营",'21.04.01'!P79)),(-$Y79+50*IF('21.04.01'!$AK79="是",'21.04.01'!$BB$4,'21.04.01'!$BB$3)),(VLOOKUP('21.04.01'!P79,'21.04.01'!$AO$4:$AQ$55,2,FALSE))*IF('21.04.01'!$AK79="是",'21.04.01'!$BB$4,'21.04.01'!$BB$3))</f>
        <v>0</v>
      </c>
      <c r="I79" s="4">
        <f>IF(ISNUMBER(SEARCH("营",'21.04.01'!Q79)),(-$Y79+50*IF('21.04.01'!$AK79="是",'21.04.01'!$BB$4,'21.04.01'!$BB$3)),(VLOOKUP('21.04.01'!Q79,'21.04.01'!$AO$4:$AQ$55,2,FALSE))*IF('21.04.01'!$AK79="是",'21.04.01'!$BB$4,'21.04.01'!$BB$3))</f>
        <v>0</v>
      </c>
      <c r="J79" s="4">
        <f>IF(ISNUMBER(SEARCH("营",'21.04.01'!R79)),(-$Y79+50*IF('21.04.01'!$AK79="是",'21.04.01'!$BB$4,'21.04.01'!$BB$3)),(VLOOKUP('21.04.01'!R79,'21.04.01'!$AO$4:$AQ$55,2,FALSE))*IF('21.04.01'!$AK79="是",'21.04.01'!$BB$4,'21.04.01'!$BB$3))</f>
        <v>0</v>
      </c>
      <c r="K79" s="4">
        <f>IF(ISNUMBER(SEARCH("营",'21.04.01'!S79)),(-$Y79+50*IF('21.04.01'!$AK79="是",'21.04.01'!$BB$4,'21.04.01'!$BB$3)),(VLOOKUP('21.04.01'!S79,'21.04.01'!$AO$4:$AQ$55,2,FALSE))*IF('21.04.01'!$AK79="是",'21.04.01'!$BB$4,'21.04.01'!$BB$3))</f>
        <v>0</v>
      </c>
      <c r="L79" s="4">
        <f>IF(ISNUMBER(SEARCH("营",'21.04.01'!T79)),(-$Y79+50*IF('21.04.01'!$AK79="是",'21.04.01'!$BB$4,'21.04.01'!$BB$3)),(VLOOKUP('21.04.01'!T79,'21.04.01'!$AO$4:$AQ$55,2,FALSE))*IF('21.04.01'!$AK79="是",'21.04.01'!$BB$4,'21.04.01'!$BB$3))</f>
        <v>0</v>
      </c>
      <c r="M79" s="4">
        <f>IF(ISNUMBER(SEARCH("营",'21.04.01'!U79)),(-$Y79+50*IF('21.04.01'!$AK79="是",'21.04.01'!$BB$4,'21.04.01'!$BB$3)),(VLOOKUP('21.04.01'!U79,'21.04.01'!$AO$4:$AQ$55,2,FALSE))*IF('21.04.01'!$AK79="是",'21.04.01'!$BB$4,'21.04.01'!$BB$3))</f>
        <v>0</v>
      </c>
      <c r="N79" s="4">
        <f>IF(ISNUMBER(SEARCH("营",'21.04.01'!V79)),(-$Y79+50*IF('21.04.01'!$AK79="是",'21.04.01'!$BB$4,'21.04.01'!$BB$3)),(VLOOKUP('21.04.01'!V79,'21.04.01'!$AO$4:$AQ$55,2,FALSE))*IF('21.04.01'!$AK79="是",'21.04.01'!$BB$4,'21.04.01'!$BB$3))</f>
        <v>0</v>
      </c>
      <c r="O79" s="4">
        <f>IF(ISNUMBER(SEARCH("营",'21.04.01'!W79)),(-$Y79+50*IF('21.04.01'!$AK79="是",'21.04.01'!$BB$4,'21.04.01'!$BB$3)),(VLOOKUP('21.04.01'!W79,'21.04.01'!$AO$4:$AQ$55,2,FALSE))*IF('21.04.01'!$AK79="是",'21.04.01'!$BB$4,'21.04.01'!$BB$3))</f>
        <v>0</v>
      </c>
      <c r="P79" s="4">
        <f>IF(ISNUMBER(SEARCH("营",'21.04.01'!X79)),(-$Y79+50*IF('21.04.01'!$AK79="是",'21.04.01'!$BB$4,'21.04.01'!$BB$3)),(VLOOKUP('21.04.01'!X79,'21.04.01'!$AO$4:$AQ$55,2,FALSE))*IF('21.04.01'!$AK79="是",'21.04.01'!$BB$4,'21.04.01'!$BB$3))</f>
        <v>0</v>
      </c>
      <c r="Q79" s="4">
        <f>IF(ISNUMBER(SEARCH("营",'21.04.01'!Y79)),(-$Y79+50*IF('21.04.01'!$AK79="是",'21.04.01'!$BB$4,'21.04.01'!$BB$3)),(VLOOKUP('21.04.01'!Y79,'21.04.01'!$AO$4:$AQ$55,2,FALSE))*IF('21.04.01'!$AK79="是",'21.04.01'!$BB$4,'21.04.01'!$BB$3))</f>
        <v>0</v>
      </c>
      <c r="R79" s="4">
        <f>IF(ISNUMBER(SEARCH("营",'21.04.01'!Z79)),(-$Y79+50*IF('21.04.01'!$AK79="是",'21.04.01'!$BB$4,'21.04.01'!$BB$3)),(VLOOKUP('21.04.01'!Z79,'21.04.01'!$AO$4:$AQ$55,2,FALSE))*IF('21.04.01'!$AK79="是",'21.04.01'!$BB$4,'21.04.01'!$BB$3))</f>
        <v>0</v>
      </c>
      <c r="S79" s="4">
        <f>IF(ISNUMBER(SEARCH("营",'21.04.01'!AA79)),(-$Y79+50*IF('21.04.01'!$AK79="是",'21.04.01'!$BB$4,'21.04.01'!$BB$3)),(VLOOKUP('21.04.01'!AA79,'21.04.01'!$AO$4:$AQ$55,2,FALSE))*IF('21.04.01'!$AK79="是",'21.04.01'!$BB$4,'21.04.01'!$BB$3))</f>
        <v>0</v>
      </c>
      <c r="T79" s="4">
        <f>IF(ISNUMBER(SEARCH("营",'21.04.01'!AB79)),(-$Y79+50*IF('21.04.01'!$AK79="是",'21.04.01'!$BB$4,'21.04.01'!$BB$3)),(VLOOKUP('21.04.01'!AB79,'21.04.01'!$AO$4:$AQ$55,2,FALSE))*IF('21.04.01'!$AK79="是",'21.04.01'!$BB$4,'21.04.01'!$BB$3))</f>
        <v>0</v>
      </c>
      <c r="U79" s="4">
        <f>IF(ISNUMBER(SEARCH("营",'21.04.01'!AC79)),(-$Y79+50*IF('21.04.01'!$AK79="是",'21.04.01'!$BB$4,'21.04.01'!$BB$3)),(VLOOKUP('21.04.01'!AC79,'21.04.01'!$AO$4:$AQ$55,2,FALSE))*IF('21.04.01'!$AK79="是",'21.04.01'!$BB$4,'21.04.01'!$BB$3))</f>
        <v>0</v>
      </c>
      <c r="V79" s="4">
        <f>IF(ISNUMBER(SEARCH("营",'21.04.01'!AD79)),(-$Y79+50*IF('21.04.01'!$AK79="是",'21.04.01'!$BB$4,'21.04.01'!$BB$3)),(VLOOKUP('21.04.01'!AD79,'21.04.01'!$AO$4:$AQ$55,2,FALSE))*IF('21.04.01'!$AK79="是",'21.04.01'!$BB$4,'21.04.01'!$BB$3))</f>
        <v>0</v>
      </c>
      <c r="W79" s="4">
        <f>IF(ISNUMBER(SEARCH("营",'21.04.01'!AE79)),(-$Y79+50*IF('21.04.01'!$AK79="是",'21.04.01'!$BB$4,'21.04.01'!$BB$3)),(VLOOKUP('21.04.01'!AE79,'21.04.01'!$AO$4:$AQ$55,2,FALSE))*IF('21.04.01'!$AK79="是",'21.04.01'!$BB$4,'21.04.01'!$BB$3))</f>
        <v>0</v>
      </c>
      <c r="X79" s="4">
        <f>IF(ISNUMBER(SEARCH("营",'21.04.01'!AF79)),(-$Y79+50*IF('21.04.01'!$AK79="是",'21.04.01'!$BB$4,'21.04.01'!$BB$3)),(VLOOKUP('21.04.01'!AF79,'21.04.01'!$AO$4:$AQ$55,2,FALSE))*IF('21.04.01'!$AK79="是",'21.04.01'!$BB$4,'21.04.01'!$BB$3))</f>
        <v>0</v>
      </c>
      <c r="Y79" s="63">
        <v>100</v>
      </c>
      <c r="Z79" s="94">
        <v>45987</v>
      </c>
    </row>
    <row r="80" spans="1:26">
      <c r="A80" s="4">
        <f>IF(ISNUMBER(SEARCH("营",'21.04.01'!I80)),(-$Y80+50*IF('21.04.01'!$AK80="是",'21.04.01'!$BB$4,'21.04.01'!$BB$3)),(VLOOKUP('21.04.01'!I80,'21.04.01'!$AO$4:$AQ$55,2,FALSE))*IF('21.04.01'!$AK80="是",'21.04.01'!$BB$4,'21.04.01'!$BB$3))</f>
        <v>0</v>
      </c>
      <c r="B80" s="4">
        <f>IF(ISNUMBER(SEARCH("营",'21.04.01'!J80)),(-$Y80+50*IF('21.04.01'!$AK80="是",'21.04.01'!$BB$4,'21.04.01'!$BB$3)),(VLOOKUP('21.04.01'!J80,'21.04.01'!$AO$4:$AQ$55,2,FALSE))*IF('21.04.01'!$AK80="是",'21.04.01'!$BB$4,'21.04.01'!$BB$3))</f>
        <v>0</v>
      </c>
      <c r="C80" s="4">
        <f>IF(ISNUMBER(SEARCH("营",'21.04.01'!K80)),(-$Y80+50*IF('21.04.01'!$AK80="是",'21.04.01'!$BB$4,'21.04.01'!$BB$3)),(VLOOKUP('21.04.01'!K80,'21.04.01'!$AO$4:$AQ$55,2,FALSE))*IF('21.04.01'!$AK80="是",'21.04.01'!$BB$4,'21.04.01'!$BB$3))</f>
        <v>0</v>
      </c>
      <c r="D80" s="4">
        <f>IF(ISNUMBER(SEARCH("营",'21.04.01'!L80)),(-$Y80+50*IF('21.04.01'!$AK80="是",'21.04.01'!$BB$4,'21.04.01'!$BB$3)),(VLOOKUP('21.04.01'!L80,'21.04.01'!$AO$4:$AQ$55,2,FALSE))*IF('21.04.01'!$AK80="是",'21.04.01'!$BB$4,'21.04.01'!$BB$3))</f>
        <v>0</v>
      </c>
      <c r="E80" s="4">
        <f>IF(ISNUMBER(SEARCH("营",'21.04.01'!M80)),(-$Y80+50*IF('21.04.01'!$AK80="是",'21.04.01'!$BB$4,'21.04.01'!$BB$3)),(VLOOKUP('21.04.01'!M80,'21.04.01'!$AO$4:$AQ$55,2,FALSE))*IF('21.04.01'!$AK80="是",'21.04.01'!$BB$4,'21.04.01'!$BB$3))</f>
        <v>0</v>
      </c>
      <c r="F80" s="4">
        <f>IF(ISNUMBER(SEARCH("营",'21.04.01'!N80)),(-$Y80+50*IF('21.04.01'!$AK80="是",'21.04.01'!$BB$4,'21.04.01'!$BB$3)),(VLOOKUP('21.04.01'!N80,'21.04.01'!$AO$4:$AQ$55,2,FALSE))*IF('21.04.01'!$AK80="是",'21.04.01'!$BB$4,'21.04.01'!$BB$3))</f>
        <v>0</v>
      </c>
      <c r="G80" s="4">
        <f>IF(ISNUMBER(SEARCH("营",'21.04.01'!O80)),(-$Y80+50*IF('21.04.01'!$AK80="是",'21.04.01'!$BB$4,'21.04.01'!$BB$3)),(VLOOKUP('21.04.01'!O80,'21.04.01'!$AO$4:$AQ$55,2,FALSE))*IF('21.04.01'!$AK80="是",'21.04.01'!$BB$4,'21.04.01'!$BB$3))</f>
        <v>0</v>
      </c>
      <c r="H80" s="4">
        <f>IF(ISNUMBER(SEARCH("营",'21.04.01'!P80)),(-$Y80+50*IF('21.04.01'!$AK80="是",'21.04.01'!$BB$4,'21.04.01'!$BB$3)),(VLOOKUP('21.04.01'!P80,'21.04.01'!$AO$4:$AQ$55,2,FALSE))*IF('21.04.01'!$AK80="是",'21.04.01'!$BB$4,'21.04.01'!$BB$3))</f>
        <v>0</v>
      </c>
      <c r="I80" s="4">
        <f>IF(ISNUMBER(SEARCH("营",'21.04.01'!Q80)),(-$Y80+50*IF('21.04.01'!$AK80="是",'21.04.01'!$BB$4,'21.04.01'!$BB$3)),(VLOOKUP('21.04.01'!Q80,'21.04.01'!$AO$4:$AQ$55,2,FALSE))*IF('21.04.01'!$AK80="是",'21.04.01'!$BB$4,'21.04.01'!$BB$3))</f>
        <v>0</v>
      </c>
      <c r="J80" s="4">
        <f>IF(ISNUMBER(SEARCH("营",'21.04.01'!R80)),(-$Y80+50*IF('21.04.01'!$AK80="是",'21.04.01'!$BB$4,'21.04.01'!$BB$3)),(VLOOKUP('21.04.01'!R80,'21.04.01'!$AO$4:$AQ$55,2,FALSE))*IF('21.04.01'!$AK80="是",'21.04.01'!$BB$4,'21.04.01'!$BB$3))</f>
        <v>0</v>
      </c>
      <c r="K80" s="4">
        <f>IF(ISNUMBER(SEARCH("营",'21.04.01'!S80)),(-$Y80+50*IF('21.04.01'!$AK80="是",'21.04.01'!$BB$4,'21.04.01'!$BB$3)),(VLOOKUP('21.04.01'!S80,'21.04.01'!$AO$4:$AQ$55,2,FALSE))*IF('21.04.01'!$AK80="是",'21.04.01'!$BB$4,'21.04.01'!$BB$3))</f>
        <v>0</v>
      </c>
      <c r="L80" s="4">
        <f>IF(ISNUMBER(SEARCH("营",'21.04.01'!T80)),(-$Y80+50*IF('21.04.01'!$AK80="是",'21.04.01'!$BB$4,'21.04.01'!$BB$3)),(VLOOKUP('21.04.01'!T80,'21.04.01'!$AO$4:$AQ$55,2,FALSE))*IF('21.04.01'!$AK80="是",'21.04.01'!$BB$4,'21.04.01'!$BB$3))</f>
        <v>0</v>
      </c>
      <c r="M80" s="4">
        <f>IF(ISNUMBER(SEARCH("营",'21.04.01'!U80)),(-$Y80+50*IF('21.04.01'!$AK80="是",'21.04.01'!$BB$4,'21.04.01'!$BB$3)),(VLOOKUP('21.04.01'!U80,'21.04.01'!$AO$4:$AQ$55,2,FALSE))*IF('21.04.01'!$AK80="是",'21.04.01'!$BB$4,'21.04.01'!$BB$3))</f>
        <v>0</v>
      </c>
      <c r="N80" s="4">
        <f>IF(ISNUMBER(SEARCH("营",'21.04.01'!V80)),(-$Y80+50*IF('21.04.01'!$AK80="是",'21.04.01'!$BB$4,'21.04.01'!$BB$3)),(VLOOKUP('21.04.01'!V80,'21.04.01'!$AO$4:$AQ$55,2,FALSE))*IF('21.04.01'!$AK80="是",'21.04.01'!$BB$4,'21.04.01'!$BB$3))</f>
        <v>0</v>
      </c>
      <c r="O80" s="4">
        <f>IF(ISNUMBER(SEARCH("营",'21.04.01'!W80)),(-$Y80+50*IF('21.04.01'!$AK80="是",'21.04.01'!$BB$4,'21.04.01'!$BB$3)),(VLOOKUP('21.04.01'!W80,'21.04.01'!$AO$4:$AQ$55,2,FALSE))*IF('21.04.01'!$AK80="是",'21.04.01'!$BB$4,'21.04.01'!$BB$3))</f>
        <v>0</v>
      </c>
      <c r="P80" s="4">
        <f>IF(ISNUMBER(SEARCH("营",'21.04.01'!X80)),(-$Y80+50*IF('21.04.01'!$AK80="是",'21.04.01'!$BB$4,'21.04.01'!$BB$3)),(VLOOKUP('21.04.01'!X80,'21.04.01'!$AO$4:$AQ$55,2,FALSE))*IF('21.04.01'!$AK80="是",'21.04.01'!$BB$4,'21.04.01'!$BB$3))</f>
        <v>0</v>
      </c>
      <c r="Q80" s="4">
        <f>IF(ISNUMBER(SEARCH("营",'21.04.01'!Y80)),(-$Y80+50*IF('21.04.01'!$AK80="是",'21.04.01'!$BB$4,'21.04.01'!$BB$3)),(VLOOKUP('21.04.01'!Y80,'21.04.01'!$AO$4:$AQ$55,2,FALSE))*IF('21.04.01'!$AK80="是",'21.04.01'!$BB$4,'21.04.01'!$BB$3))</f>
        <v>0</v>
      </c>
      <c r="R80" s="4">
        <f>IF(ISNUMBER(SEARCH("营",'21.04.01'!Z80)),(-$Y80+50*IF('21.04.01'!$AK80="是",'21.04.01'!$BB$4,'21.04.01'!$BB$3)),(VLOOKUP('21.04.01'!Z80,'21.04.01'!$AO$4:$AQ$55,2,FALSE))*IF('21.04.01'!$AK80="是",'21.04.01'!$BB$4,'21.04.01'!$BB$3))</f>
        <v>0</v>
      </c>
      <c r="S80" s="4">
        <f>IF(ISNUMBER(SEARCH("营",'21.04.01'!AA80)),(-$Y80+50*IF('21.04.01'!$AK80="是",'21.04.01'!$BB$4,'21.04.01'!$BB$3)),(VLOOKUP('21.04.01'!AA80,'21.04.01'!$AO$4:$AQ$55,2,FALSE))*IF('21.04.01'!$AK80="是",'21.04.01'!$BB$4,'21.04.01'!$BB$3))</f>
        <v>0</v>
      </c>
      <c r="T80" s="4">
        <f>IF(ISNUMBER(SEARCH("营",'21.04.01'!AB80)),(-$Y80+50*IF('21.04.01'!$AK80="是",'21.04.01'!$BB$4,'21.04.01'!$BB$3)),(VLOOKUP('21.04.01'!AB80,'21.04.01'!$AO$4:$AQ$55,2,FALSE))*IF('21.04.01'!$AK80="是",'21.04.01'!$BB$4,'21.04.01'!$BB$3))</f>
        <v>0</v>
      </c>
      <c r="U80" s="4">
        <f>IF(ISNUMBER(SEARCH("营",'21.04.01'!AC80)),(-$Y80+50*IF('21.04.01'!$AK80="是",'21.04.01'!$BB$4,'21.04.01'!$BB$3)),(VLOOKUP('21.04.01'!AC80,'21.04.01'!$AO$4:$AQ$55,2,FALSE))*IF('21.04.01'!$AK80="是",'21.04.01'!$BB$4,'21.04.01'!$BB$3))</f>
        <v>0</v>
      </c>
      <c r="V80" s="4">
        <f>IF(ISNUMBER(SEARCH("营",'21.04.01'!AD80)),(-$Y80+50*IF('21.04.01'!$AK80="是",'21.04.01'!$BB$4,'21.04.01'!$BB$3)),(VLOOKUP('21.04.01'!AD80,'21.04.01'!$AO$4:$AQ$55,2,FALSE))*IF('21.04.01'!$AK80="是",'21.04.01'!$BB$4,'21.04.01'!$BB$3))</f>
        <v>0</v>
      </c>
      <c r="W80" s="4">
        <f>IF(ISNUMBER(SEARCH("营",'21.04.01'!AE80)),(-$Y80+50*IF('21.04.01'!$AK80="是",'21.04.01'!$BB$4,'21.04.01'!$BB$3)),(VLOOKUP('21.04.01'!AE80,'21.04.01'!$AO$4:$AQ$55,2,FALSE))*IF('21.04.01'!$AK80="是",'21.04.01'!$BB$4,'21.04.01'!$BB$3))</f>
        <v>0</v>
      </c>
      <c r="X80" s="4">
        <f>IF(ISNUMBER(SEARCH("营",'21.04.01'!AF80)),(-$Y80+50*IF('21.04.01'!$AK80="是",'21.04.01'!$BB$4,'21.04.01'!$BB$3)),(VLOOKUP('21.04.01'!AF80,'21.04.01'!$AO$4:$AQ$55,2,FALSE))*IF('21.04.01'!$AK80="是",'21.04.01'!$BB$4,'21.04.01'!$BB$3))</f>
        <v>0</v>
      </c>
      <c r="Y80" s="63">
        <v>100</v>
      </c>
      <c r="Z80" s="94">
        <v>45988</v>
      </c>
    </row>
    <row r="81" spans="1:26">
      <c r="A81" s="4">
        <f>IF(ISNUMBER(SEARCH("营",'21.04.01'!I81)),(-$Y81+50*IF('21.04.01'!$AK81="是",'21.04.01'!$BB$4,'21.04.01'!$BB$3)),(VLOOKUP('21.04.01'!I81,'21.04.01'!$AO$4:$AQ$55,2,FALSE))*IF('21.04.01'!$AK81="是",'21.04.01'!$BB$4,'21.04.01'!$BB$3))</f>
        <v>0</v>
      </c>
      <c r="B81" s="4">
        <f>IF(ISNUMBER(SEARCH("营",'21.04.01'!J81)),(-$Y81+50*IF('21.04.01'!$AK81="是",'21.04.01'!$BB$4,'21.04.01'!$BB$3)),(VLOOKUP('21.04.01'!J81,'21.04.01'!$AO$4:$AQ$55,2,FALSE))*IF('21.04.01'!$AK81="是",'21.04.01'!$BB$4,'21.04.01'!$BB$3))</f>
        <v>0</v>
      </c>
      <c r="C81" s="4">
        <f>IF(ISNUMBER(SEARCH("营",'21.04.01'!K81)),(-$Y81+50*IF('21.04.01'!$AK81="是",'21.04.01'!$BB$4,'21.04.01'!$BB$3)),(VLOOKUP('21.04.01'!K81,'21.04.01'!$AO$4:$AQ$55,2,FALSE))*IF('21.04.01'!$AK81="是",'21.04.01'!$BB$4,'21.04.01'!$BB$3))</f>
        <v>0</v>
      </c>
      <c r="D81" s="4">
        <f>IF(ISNUMBER(SEARCH("营",'21.04.01'!L81)),(-$Y81+50*IF('21.04.01'!$AK81="是",'21.04.01'!$BB$4,'21.04.01'!$BB$3)),(VLOOKUP('21.04.01'!L81,'21.04.01'!$AO$4:$AQ$55,2,FALSE))*IF('21.04.01'!$AK81="是",'21.04.01'!$BB$4,'21.04.01'!$BB$3))</f>
        <v>0</v>
      </c>
      <c r="E81" s="4">
        <f>IF(ISNUMBER(SEARCH("营",'21.04.01'!M81)),(-$Y81+50*IF('21.04.01'!$AK81="是",'21.04.01'!$BB$4,'21.04.01'!$BB$3)),(VLOOKUP('21.04.01'!M81,'21.04.01'!$AO$4:$AQ$55,2,FALSE))*IF('21.04.01'!$AK81="是",'21.04.01'!$BB$4,'21.04.01'!$BB$3))</f>
        <v>0</v>
      </c>
      <c r="F81" s="4">
        <f>IF(ISNUMBER(SEARCH("营",'21.04.01'!N81)),(-$Y81+50*IF('21.04.01'!$AK81="是",'21.04.01'!$BB$4,'21.04.01'!$BB$3)),(VLOOKUP('21.04.01'!N81,'21.04.01'!$AO$4:$AQ$55,2,FALSE))*IF('21.04.01'!$AK81="是",'21.04.01'!$BB$4,'21.04.01'!$BB$3))</f>
        <v>0</v>
      </c>
      <c r="G81" s="4">
        <f>IF(ISNUMBER(SEARCH("营",'21.04.01'!O81)),(-$Y81+50*IF('21.04.01'!$AK81="是",'21.04.01'!$BB$4,'21.04.01'!$BB$3)),(VLOOKUP('21.04.01'!O81,'21.04.01'!$AO$4:$AQ$55,2,FALSE))*IF('21.04.01'!$AK81="是",'21.04.01'!$BB$4,'21.04.01'!$BB$3))</f>
        <v>0</v>
      </c>
      <c r="H81" s="4">
        <f>IF(ISNUMBER(SEARCH("营",'21.04.01'!P81)),(-$Y81+50*IF('21.04.01'!$AK81="是",'21.04.01'!$BB$4,'21.04.01'!$BB$3)),(VLOOKUP('21.04.01'!P81,'21.04.01'!$AO$4:$AQ$55,2,FALSE))*IF('21.04.01'!$AK81="是",'21.04.01'!$BB$4,'21.04.01'!$BB$3))</f>
        <v>0</v>
      </c>
      <c r="I81" s="4">
        <f>IF(ISNUMBER(SEARCH("营",'21.04.01'!Q81)),(-$Y81+50*IF('21.04.01'!$AK81="是",'21.04.01'!$BB$4,'21.04.01'!$BB$3)),(VLOOKUP('21.04.01'!Q81,'21.04.01'!$AO$4:$AQ$55,2,FALSE))*IF('21.04.01'!$AK81="是",'21.04.01'!$BB$4,'21.04.01'!$BB$3))</f>
        <v>0</v>
      </c>
      <c r="J81" s="4">
        <f>IF(ISNUMBER(SEARCH("营",'21.04.01'!R81)),(-$Y81+50*IF('21.04.01'!$AK81="是",'21.04.01'!$BB$4,'21.04.01'!$BB$3)),(VLOOKUP('21.04.01'!R81,'21.04.01'!$AO$4:$AQ$55,2,FALSE))*IF('21.04.01'!$AK81="是",'21.04.01'!$BB$4,'21.04.01'!$BB$3))</f>
        <v>0</v>
      </c>
      <c r="K81" s="4">
        <f>IF(ISNUMBER(SEARCH("营",'21.04.01'!S81)),(-$Y81+50*IF('21.04.01'!$AK81="是",'21.04.01'!$BB$4,'21.04.01'!$BB$3)),(VLOOKUP('21.04.01'!S81,'21.04.01'!$AO$4:$AQ$55,2,FALSE))*IF('21.04.01'!$AK81="是",'21.04.01'!$BB$4,'21.04.01'!$BB$3))</f>
        <v>0</v>
      </c>
      <c r="L81" s="4">
        <f>IF(ISNUMBER(SEARCH("营",'21.04.01'!T81)),(-$Y81+50*IF('21.04.01'!$AK81="是",'21.04.01'!$BB$4,'21.04.01'!$BB$3)),(VLOOKUP('21.04.01'!T81,'21.04.01'!$AO$4:$AQ$55,2,FALSE))*IF('21.04.01'!$AK81="是",'21.04.01'!$BB$4,'21.04.01'!$BB$3))</f>
        <v>0</v>
      </c>
      <c r="M81" s="4">
        <f>IF(ISNUMBER(SEARCH("营",'21.04.01'!U81)),(-$Y81+50*IF('21.04.01'!$AK81="是",'21.04.01'!$BB$4,'21.04.01'!$BB$3)),(VLOOKUP('21.04.01'!U81,'21.04.01'!$AO$4:$AQ$55,2,FALSE))*IF('21.04.01'!$AK81="是",'21.04.01'!$BB$4,'21.04.01'!$BB$3))</f>
        <v>0</v>
      </c>
      <c r="N81" s="4">
        <f>IF(ISNUMBER(SEARCH("营",'21.04.01'!V81)),(-$Y81+50*IF('21.04.01'!$AK81="是",'21.04.01'!$BB$4,'21.04.01'!$BB$3)),(VLOOKUP('21.04.01'!V81,'21.04.01'!$AO$4:$AQ$55,2,FALSE))*IF('21.04.01'!$AK81="是",'21.04.01'!$BB$4,'21.04.01'!$BB$3))</f>
        <v>0</v>
      </c>
      <c r="O81" s="4">
        <f>IF(ISNUMBER(SEARCH("营",'21.04.01'!W81)),(-$Y81+50*IF('21.04.01'!$AK81="是",'21.04.01'!$BB$4,'21.04.01'!$BB$3)),(VLOOKUP('21.04.01'!W81,'21.04.01'!$AO$4:$AQ$55,2,FALSE))*IF('21.04.01'!$AK81="是",'21.04.01'!$BB$4,'21.04.01'!$BB$3))</f>
        <v>0</v>
      </c>
      <c r="P81" s="4">
        <f>IF(ISNUMBER(SEARCH("营",'21.04.01'!X81)),(-$Y81+50*IF('21.04.01'!$AK81="是",'21.04.01'!$BB$4,'21.04.01'!$BB$3)),(VLOOKUP('21.04.01'!X81,'21.04.01'!$AO$4:$AQ$55,2,FALSE))*IF('21.04.01'!$AK81="是",'21.04.01'!$BB$4,'21.04.01'!$BB$3))</f>
        <v>0</v>
      </c>
      <c r="Q81" s="4">
        <f>IF(ISNUMBER(SEARCH("营",'21.04.01'!Y81)),(-$Y81+50*IF('21.04.01'!$AK81="是",'21.04.01'!$BB$4,'21.04.01'!$BB$3)),(VLOOKUP('21.04.01'!Y81,'21.04.01'!$AO$4:$AQ$55,2,FALSE))*IF('21.04.01'!$AK81="是",'21.04.01'!$BB$4,'21.04.01'!$BB$3))</f>
        <v>0</v>
      </c>
      <c r="R81" s="4">
        <f>IF(ISNUMBER(SEARCH("营",'21.04.01'!Z81)),(-$Y81+50*IF('21.04.01'!$AK81="是",'21.04.01'!$BB$4,'21.04.01'!$BB$3)),(VLOOKUP('21.04.01'!Z81,'21.04.01'!$AO$4:$AQ$55,2,FALSE))*IF('21.04.01'!$AK81="是",'21.04.01'!$BB$4,'21.04.01'!$BB$3))</f>
        <v>0</v>
      </c>
      <c r="S81" s="4">
        <f>IF(ISNUMBER(SEARCH("营",'21.04.01'!AA81)),(-$Y81+50*IF('21.04.01'!$AK81="是",'21.04.01'!$BB$4,'21.04.01'!$BB$3)),(VLOOKUP('21.04.01'!AA81,'21.04.01'!$AO$4:$AQ$55,2,FALSE))*IF('21.04.01'!$AK81="是",'21.04.01'!$BB$4,'21.04.01'!$BB$3))</f>
        <v>0</v>
      </c>
      <c r="T81" s="4">
        <f>IF(ISNUMBER(SEARCH("营",'21.04.01'!AB81)),(-$Y81+50*IF('21.04.01'!$AK81="是",'21.04.01'!$BB$4,'21.04.01'!$BB$3)),(VLOOKUP('21.04.01'!AB81,'21.04.01'!$AO$4:$AQ$55,2,FALSE))*IF('21.04.01'!$AK81="是",'21.04.01'!$BB$4,'21.04.01'!$BB$3))</f>
        <v>0</v>
      </c>
      <c r="U81" s="4">
        <f>IF(ISNUMBER(SEARCH("营",'21.04.01'!AC81)),(-$Y81+50*IF('21.04.01'!$AK81="是",'21.04.01'!$BB$4,'21.04.01'!$BB$3)),(VLOOKUP('21.04.01'!AC81,'21.04.01'!$AO$4:$AQ$55,2,FALSE))*IF('21.04.01'!$AK81="是",'21.04.01'!$BB$4,'21.04.01'!$BB$3))</f>
        <v>0</v>
      </c>
      <c r="V81" s="4">
        <f>IF(ISNUMBER(SEARCH("营",'21.04.01'!AD81)),(-$Y81+50*IF('21.04.01'!$AK81="是",'21.04.01'!$BB$4,'21.04.01'!$BB$3)),(VLOOKUP('21.04.01'!AD81,'21.04.01'!$AO$4:$AQ$55,2,FALSE))*IF('21.04.01'!$AK81="是",'21.04.01'!$BB$4,'21.04.01'!$BB$3))</f>
        <v>0</v>
      </c>
      <c r="W81" s="4">
        <f>IF(ISNUMBER(SEARCH("营",'21.04.01'!AE81)),(-$Y81+50*IF('21.04.01'!$AK81="是",'21.04.01'!$BB$4,'21.04.01'!$BB$3)),(VLOOKUP('21.04.01'!AE81,'21.04.01'!$AO$4:$AQ$55,2,FALSE))*IF('21.04.01'!$AK81="是",'21.04.01'!$BB$4,'21.04.01'!$BB$3))</f>
        <v>0</v>
      </c>
      <c r="X81" s="4">
        <f>IF(ISNUMBER(SEARCH("营",'21.04.01'!AF81)),(-$Y81+50*IF('21.04.01'!$AK81="是",'21.04.01'!$BB$4,'21.04.01'!$BB$3)),(VLOOKUP('21.04.01'!AF81,'21.04.01'!$AO$4:$AQ$55,2,FALSE))*IF('21.04.01'!$AK81="是",'21.04.01'!$BB$4,'21.04.01'!$BB$3))</f>
        <v>0</v>
      </c>
      <c r="Y81" s="63">
        <v>100</v>
      </c>
      <c r="Z81" s="94">
        <v>45989</v>
      </c>
    </row>
    <row r="82" spans="1:26">
      <c r="A82" s="4">
        <f>IF(ISNUMBER(SEARCH("营",'21.04.01'!I82)),(-$Y82+50*IF('21.04.01'!$AK82="是",'21.04.01'!$BB$4,'21.04.01'!$BB$3)),(VLOOKUP('21.04.01'!I82,'21.04.01'!$AO$4:$AQ$55,2,FALSE))*IF('21.04.01'!$AK82="是",'21.04.01'!$BB$4,'21.04.01'!$BB$3))</f>
        <v>0</v>
      </c>
      <c r="B82" s="4">
        <f>IF(ISNUMBER(SEARCH("营",'21.04.01'!J82)),(-$Y82+50*IF('21.04.01'!$AK82="是",'21.04.01'!$BB$4,'21.04.01'!$BB$3)),(VLOOKUP('21.04.01'!J82,'21.04.01'!$AO$4:$AQ$55,2,FALSE))*IF('21.04.01'!$AK82="是",'21.04.01'!$BB$4,'21.04.01'!$BB$3))</f>
        <v>0</v>
      </c>
      <c r="C82" s="4">
        <f>IF(ISNUMBER(SEARCH("营",'21.04.01'!K82)),(-$Y82+50*IF('21.04.01'!$AK82="是",'21.04.01'!$BB$4,'21.04.01'!$BB$3)),(VLOOKUP('21.04.01'!K82,'21.04.01'!$AO$4:$AQ$55,2,FALSE))*IF('21.04.01'!$AK82="是",'21.04.01'!$BB$4,'21.04.01'!$BB$3))</f>
        <v>0</v>
      </c>
      <c r="D82" s="4">
        <f>IF(ISNUMBER(SEARCH("营",'21.04.01'!L82)),(-$Y82+50*IF('21.04.01'!$AK82="是",'21.04.01'!$BB$4,'21.04.01'!$BB$3)),(VLOOKUP('21.04.01'!L82,'21.04.01'!$AO$4:$AQ$55,2,FALSE))*IF('21.04.01'!$AK82="是",'21.04.01'!$BB$4,'21.04.01'!$BB$3))</f>
        <v>0</v>
      </c>
      <c r="E82" s="4">
        <f>IF(ISNUMBER(SEARCH("营",'21.04.01'!M82)),(-$Y82+50*IF('21.04.01'!$AK82="是",'21.04.01'!$BB$4,'21.04.01'!$BB$3)),(VLOOKUP('21.04.01'!M82,'21.04.01'!$AO$4:$AQ$55,2,FALSE))*IF('21.04.01'!$AK82="是",'21.04.01'!$BB$4,'21.04.01'!$BB$3))</f>
        <v>0</v>
      </c>
      <c r="F82" s="4">
        <f>IF(ISNUMBER(SEARCH("营",'21.04.01'!N82)),(-$Y82+50*IF('21.04.01'!$AK82="是",'21.04.01'!$BB$4,'21.04.01'!$BB$3)),(VLOOKUP('21.04.01'!N82,'21.04.01'!$AO$4:$AQ$55,2,FALSE))*IF('21.04.01'!$AK82="是",'21.04.01'!$BB$4,'21.04.01'!$BB$3))</f>
        <v>0</v>
      </c>
      <c r="G82" s="4">
        <f>IF(ISNUMBER(SEARCH("营",'21.04.01'!O82)),(-$Y82+50*IF('21.04.01'!$AK82="是",'21.04.01'!$BB$4,'21.04.01'!$BB$3)),(VLOOKUP('21.04.01'!O82,'21.04.01'!$AO$4:$AQ$55,2,FALSE))*IF('21.04.01'!$AK82="是",'21.04.01'!$BB$4,'21.04.01'!$BB$3))</f>
        <v>0</v>
      </c>
      <c r="H82" s="4">
        <f>IF(ISNUMBER(SEARCH("营",'21.04.01'!P82)),(-$Y82+50*IF('21.04.01'!$AK82="是",'21.04.01'!$BB$4,'21.04.01'!$BB$3)),(VLOOKUP('21.04.01'!P82,'21.04.01'!$AO$4:$AQ$55,2,FALSE))*IF('21.04.01'!$AK82="是",'21.04.01'!$BB$4,'21.04.01'!$BB$3))</f>
        <v>0</v>
      </c>
      <c r="I82" s="4">
        <f>IF(ISNUMBER(SEARCH("营",'21.04.01'!Q82)),(-$Y82+50*IF('21.04.01'!$AK82="是",'21.04.01'!$BB$4,'21.04.01'!$BB$3)),(VLOOKUP('21.04.01'!Q82,'21.04.01'!$AO$4:$AQ$55,2,FALSE))*IF('21.04.01'!$AK82="是",'21.04.01'!$BB$4,'21.04.01'!$BB$3))</f>
        <v>0</v>
      </c>
      <c r="J82" s="4">
        <f>IF(ISNUMBER(SEARCH("营",'21.04.01'!R82)),(-$Y82+50*IF('21.04.01'!$AK82="是",'21.04.01'!$BB$4,'21.04.01'!$BB$3)),(VLOOKUP('21.04.01'!R82,'21.04.01'!$AO$4:$AQ$55,2,FALSE))*IF('21.04.01'!$AK82="是",'21.04.01'!$BB$4,'21.04.01'!$BB$3))</f>
        <v>0</v>
      </c>
      <c r="K82" s="4">
        <f>IF(ISNUMBER(SEARCH("营",'21.04.01'!S82)),(-$Y82+50*IF('21.04.01'!$AK82="是",'21.04.01'!$BB$4,'21.04.01'!$BB$3)),(VLOOKUP('21.04.01'!S82,'21.04.01'!$AO$4:$AQ$55,2,FALSE))*IF('21.04.01'!$AK82="是",'21.04.01'!$BB$4,'21.04.01'!$BB$3))</f>
        <v>0</v>
      </c>
      <c r="L82" s="4">
        <f>IF(ISNUMBER(SEARCH("营",'21.04.01'!T82)),(-$Y82+50*IF('21.04.01'!$AK82="是",'21.04.01'!$BB$4,'21.04.01'!$BB$3)),(VLOOKUP('21.04.01'!T82,'21.04.01'!$AO$4:$AQ$55,2,FALSE))*IF('21.04.01'!$AK82="是",'21.04.01'!$BB$4,'21.04.01'!$BB$3))</f>
        <v>0</v>
      </c>
      <c r="M82" s="4">
        <f>IF(ISNUMBER(SEARCH("营",'21.04.01'!U82)),(-$Y82+50*IF('21.04.01'!$AK82="是",'21.04.01'!$BB$4,'21.04.01'!$BB$3)),(VLOOKUP('21.04.01'!U82,'21.04.01'!$AO$4:$AQ$55,2,FALSE))*IF('21.04.01'!$AK82="是",'21.04.01'!$BB$4,'21.04.01'!$BB$3))</f>
        <v>0</v>
      </c>
      <c r="N82" s="4">
        <f>IF(ISNUMBER(SEARCH("营",'21.04.01'!V82)),(-$Y82+50*IF('21.04.01'!$AK82="是",'21.04.01'!$BB$4,'21.04.01'!$BB$3)),(VLOOKUP('21.04.01'!V82,'21.04.01'!$AO$4:$AQ$55,2,FALSE))*IF('21.04.01'!$AK82="是",'21.04.01'!$BB$4,'21.04.01'!$BB$3))</f>
        <v>0</v>
      </c>
      <c r="O82" s="4">
        <f>IF(ISNUMBER(SEARCH("营",'21.04.01'!W82)),(-$Y82+50*IF('21.04.01'!$AK82="是",'21.04.01'!$BB$4,'21.04.01'!$BB$3)),(VLOOKUP('21.04.01'!W82,'21.04.01'!$AO$4:$AQ$55,2,FALSE))*IF('21.04.01'!$AK82="是",'21.04.01'!$BB$4,'21.04.01'!$BB$3))</f>
        <v>0</v>
      </c>
      <c r="P82" s="4">
        <f>IF(ISNUMBER(SEARCH("营",'21.04.01'!X82)),(-$Y82+50*IF('21.04.01'!$AK82="是",'21.04.01'!$BB$4,'21.04.01'!$BB$3)),(VLOOKUP('21.04.01'!X82,'21.04.01'!$AO$4:$AQ$55,2,FALSE))*IF('21.04.01'!$AK82="是",'21.04.01'!$BB$4,'21.04.01'!$BB$3))</f>
        <v>0</v>
      </c>
      <c r="Q82" s="4">
        <f>IF(ISNUMBER(SEARCH("营",'21.04.01'!Y82)),(-$Y82+50*IF('21.04.01'!$AK82="是",'21.04.01'!$BB$4,'21.04.01'!$BB$3)),(VLOOKUP('21.04.01'!Y82,'21.04.01'!$AO$4:$AQ$55,2,FALSE))*IF('21.04.01'!$AK82="是",'21.04.01'!$BB$4,'21.04.01'!$BB$3))</f>
        <v>0</v>
      </c>
      <c r="R82" s="4">
        <f>IF(ISNUMBER(SEARCH("营",'21.04.01'!Z82)),(-$Y82+50*IF('21.04.01'!$AK82="是",'21.04.01'!$BB$4,'21.04.01'!$BB$3)),(VLOOKUP('21.04.01'!Z82,'21.04.01'!$AO$4:$AQ$55,2,FALSE))*IF('21.04.01'!$AK82="是",'21.04.01'!$BB$4,'21.04.01'!$BB$3))</f>
        <v>0</v>
      </c>
      <c r="S82" s="4">
        <f>IF(ISNUMBER(SEARCH("营",'21.04.01'!AA82)),(-$Y82+50*IF('21.04.01'!$AK82="是",'21.04.01'!$BB$4,'21.04.01'!$BB$3)),(VLOOKUP('21.04.01'!AA82,'21.04.01'!$AO$4:$AQ$55,2,FALSE))*IF('21.04.01'!$AK82="是",'21.04.01'!$BB$4,'21.04.01'!$BB$3))</f>
        <v>0</v>
      </c>
      <c r="T82" s="4">
        <f>IF(ISNUMBER(SEARCH("营",'21.04.01'!AB82)),(-$Y82+50*IF('21.04.01'!$AK82="是",'21.04.01'!$BB$4,'21.04.01'!$BB$3)),(VLOOKUP('21.04.01'!AB82,'21.04.01'!$AO$4:$AQ$55,2,FALSE))*IF('21.04.01'!$AK82="是",'21.04.01'!$BB$4,'21.04.01'!$BB$3))</f>
        <v>0</v>
      </c>
      <c r="U82" s="4">
        <f>IF(ISNUMBER(SEARCH("营",'21.04.01'!AC82)),(-$Y82+50*IF('21.04.01'!$AK82="是",'21.04.01'!$BB$4,'21.04.01'!$BB$3)),(VLOOKUP('21.04.01'!AC82,'21.04.01'!$AO$4:$AQ$55,2,FALSE))*IF('21.04.01'!$AK82="是",'21.04.01'!$BB$4,'21.04.01'!$BB$3))</f>
        <v>0</v>
      </c>
      <c r="V82" s="4">
        <f>IF(ISNUMBER(SEARCH("营",'21.04.01'!AD82)),(-$Y82+50*IF('21.04.01'!$AK82="是",'21.04.01'!$BB$4,'21.04.01'!$BB$3)),(VLOOKUP('21.04.01'!AD82,'21.04.01'!$AO$4:$AQ$55,2,FALSE))*IF('21.04.01'!$AK82="是",'21.04.01'!$BB$4,'21.04.01'!$BB$3))</f>
        <v>0</v>
      </c>
      <c r="W82" s="4">
        <f>IF(ISNUMBER(SEARCH("营",'21.04.01'!AE82)),(-$Y82+50*IF('21.04.01'!$AK82="是",'21.04.01'!$BB$4,'21.04.01'!$BB$3)),(VLOOKUP('21.04.01'!AE82,'21.04.01'!$AO$4:$AQ$55,2,FALSE))*IF('21.04.01'!$AK82="是",'21.04.01'!$BB$4,'21.04.01'!$BB$3))</f>
        <v>0</v>
      </c>
      <c r="X82" s="4">
        <f>IF(ISNUMBER(SEARCH("营",'21.04.01'!AF82)),(-$Y82+50*IF('21.04.01'!$AK82="是",'21.04.01'!$BB$4,'21.04.01'!$BB$3)),(VLOOKUP('21.04.01'!AF82,'21.04.01'!$AO$4:$AQ$55,2,FALSE))*IF('21.04.01'!$AK82="是",'21.04.01'!$BB$4,'21.04.01'!$BB$3))</f>
        <v>0</v>
      </c>
      <c r="Y82" s="63">
        <v>100</v>
      </c>
      <c r="Z82" s="94">
        <v>45990</v>
      </c>
    </row>
    <row r="83" spans="1:26">
      <c r="A83" s="4">
        <f>IF(ISNUMBER(SEARCH("营",'21.04.01'!I83)),(-$Y83+50*IF('21.04.01'!$AK83="是",'21.04.01'!$BB$4,'21.04.01'!$BB$3)),(VLOOKUP('21.04.01'!I83,'21.04.01'!$AO$4:$AQ$55,2,FALSE))*IF('21.04.01'!$AK83="是",'21.04.01'!$BB$4,'21.04.01'!$BB$3))</f>
        <v>0</v>
      </c>
      <c r="B83" s="4">
        <f>IF(ISNUMBER(SEARCH("营",'21.04.01'!J83)),(-$Y83+50*IF('21.04.01'!$AK83="是",'21.04.01'!$BB$4,'21.04.01'!$BB$3)),(VLOOKUP('21.04.01'!J83,'21.04.01'!$AO$4:$AQ$55,2,FALSE))*IF('21.04.01'!$AK83="是",'21.04.01'!$BB$4,'21.04.01'!$BB$3))</f>
        <v>0</v>
      </c>
      <c r="C83" s="4">
        <f>IF(ISNUMBER(SEARCH("营",'21.04.01'!K83)),(-$Y83+50*IF('21.04.01'!$AK83="是",'21.04.01'!$BB$4,'21.04.01'!$BB$3)),(VLOOKUP('21.04.01'!K83,'21.04.01'!$AO$4:$AQ$55,2,FALSE))*IF('21.04.01'!$AK83="是",'21.04.01'!$BB$4,'21.04.01'!$BB$3))</f>
        <v>0</v>
      </c>
      <c r="D83" s="4">
        <f>IF(ISNUMBER(SEARCH("营",'21.04.01'!L83)),(-$Y83+50*IF('21.04.01'!$AK83="是",'21.04.01'!$BB$4,'21.04.01'!$BB$3)),(VLOOKUP('21.04.01'!L83,'21.04.01'!$AO$4:$AQ$55,2,FALSE))*IF('21.04.01'!$AK83="是",'21.04.01'!$BB$4,'21.04.01'!$BB$3))</f>
        <v>0</v>
      </c>
      <c r="E83" s="4">
        <f>IF(ISNUMBER(SEARCH("营",'21.04.01'!M83)),(-$Y83+50*IF('21.04.01'!$AK83="是",'21.04.01'!$BB$4,'21.04.01'!$BB$3)),(VLOOKUP('21.04.01'!M83,'21.04.01'!$AO$4:$AQ$55,2,FALSE))*IF('21.04.01'!$AK83="是",'21.04.01'!$BB$4,'21.04.01'!$BB$3))</f>
        <v>0</v>
      </c>
      <c r="F83" s="4">
        <f>IF(ISNUMBER(SEARCH("营",'21.04.01'!N83)),(-$Y83+50*IF('21.04.01'!$AK83="是",'21.04.01'!$BB$4,'21.04.01'!$BB$3)),(VLOOKUP('21.04.01'!N83,'21.04.01'!$AO$4:$AQ$55,2,FALSE))*IF('21.04.01'!$AK83="是",'21.04.01'!$BB$4,'21.04.01'!$BB$3))</f>
        <v>0</v>
      </c>
      <c r="G83" s="4">
        <f>IF(ISNUMBER(SEARCH("营",'21.04.01'!O83)),(-$Y83+50*IF('21.04.01'!$AK83="是",'21.04.01'!$BB$4,'21.04.01'!$BB$3)),(VLOOKUP('21.04.01'!O83,'21.04.01'!$AO$4:$AQ$55,2,FALSE))*IF('21.04.01'!$AK83="是",'21.04.01'!$BB$4,'21.04.01'!$BB$3))</f>
        <v>0</v>
      </c>
      <c r="H83" s="4">
        <f>IF(ISNUMBER(SEARCH("营",'21.04.01'!P83)),(-$Y83+50*IF('21.04.01'!$AK83="是",'21.04.01'!$BB$4,'21.04.01'!$BB$3)),(VLOOKUP('21.04.01'!P83,'21.04.01'!$AO$4:$AQ$55,2,FALSE))*IF('21.04.01'!$AK83="是",'21.04.01'!$BB$4,'21.04.01'!$BB$3))</f>
        <v>0</v>
      </c>
      <c r="I83" s="4">
        <f>IF(ISNUMBER(SEARCH("营",'21.04.01'!Q83)),(-$Y83+50*IF('21.04.01'!$AK83="是",'21.04.01'!$BB$4,'21.04.01'!$BB$3)),(VLOOKUP('21.04.01'!Q83,'21.04.01'!$AO$4:$AQ$55,2,FALSE))*IF('21.04.01'!$AK83="是",'21.04.01'!$BB$4,'21.04.01'!$BB$3))</f>
        <v>0</v>
      </c>
      <c r="J83" s="4">
        <f>IF(ISNUMBER(SEARCH("营",'21.04.01'!R83)),(-$Y83+50*IF('21.04.01'!$AK83="是",'21.04.01'!$BB$4,'21.04.01'!$BB$3)),(VLOOKUP('21.04.01'!R83,'21.04.01'!$AO$4:$AQ$55,2,FALSE))*IF('21.04.01'!$AK83="是",'21.04.01'!$BB$4,'21.04.01'!$BB$3))</f>
        <v>0</v>
      </c>
      <c r="K83" s="4">
        <f>IF(ISNUMBER(SEARCH("营",'21.04.01'!S83)),(-$Y83+50*IF('21.04.01'!$AK83="是",'21.04.01'!$BB$4,'21.04.01'!$BB$3)),(VLOOKUP('21.04.01'!S83,'21.04.01'!$AO$4:$AQ$55,2,FALSE))*IF('21.04.01'!$AK83="是",'21.04.01'!$BB$4,'21.04.01'!$BB$3))</f>
        <v>0</v>
      </c>
      <c r="L83" s="4">
        <f>IF(ISNUMBER(SEARCH("营",'21.04.01'!T83)),(-$Y83+50*IF('21.04.01'!$AK83="是",'21.04.01'!$BB$4,'21.04.01'!$BB$3)),(VLOOKUP('21.04.01'!T83,'21.04.01'!$AO$4:$AQ$55,2,FALSE))*IF('21.04.01'!$AK83="是",'21.04.01'!$BB$4,'21.04.01'!$BB$3))</f>
        <v>0</v>
      </c>
      <c r="M83" s="4">
        <f>IF(ISNUMBER(SEARCH("营",'21.04.01'!U83)),(-$Y83+50*IF('21.04.01'!$AK83="是",'21.04.01'!$BB$4,'21.04.01'!$BB$3)),(VLOOKUP('21.04.01'!U83,'21.04.01'!$AO$4:$AQ$55,2,FALSE))*IF('21.04.01'!$AK83="是",'21.04.01'!$BB$4,'21.04.01'!$BB$3))</f>
        <v>0</v>
      </c>
      <c r="N83" s="4">
        <f>IF(ISNUMBER(SEARCH("营",'21.04.01'!V83)),(-$Y83+50*IF('21.04.01'!$AK83="是",'21.04.01'!$BB$4,'21.04.01'!$BB$3)),(VLOOKUP('21.04.01'!V83,'21.04.01'!$AO$4:$AQ$55,2,FALSE))*IF('21.04.01'!$AK83="是",'21.04.01'!$BB$4,'21.04.01'!$BB$3))</f>
        <v>0</v>
      </c>
      <c r="O83" s="4">
        <f>IF(ISNUMBER(SEARCH("营",'21.04.01'!W83)),(-$Y83+50*IF('21.04.01'!$AK83="是",'21.04.01'!$BB$4,'21.04.01'!$BB$3)),(VLOOKUP('21.04.01'!W83,'21.04.01'!$AO$4:$AQ$55,2,FALSE))*IF('21.04.01'!$AK83="是",'21.04.01'!$BB$4,'21.04.01'!$BB$3))</f>
        <v>0</v>
      </c>
      <c r="P83" s="4">
        <f>IF(ISNUMBER(SEARCH("营",'21.04.01'!X83)),(-$Y83+50*IF('21.04.01'!$AK83="是",'21.04.01'!$BB$4,'21.04.01'!$BB$3)),(VLOOKUP('21.04.01'!X83,'21.04.01'!$AO$4:$AQ$55,2,FALSE))*IF('21.04.01'!$AK83="是",'21.04.01'!$BB$4,'21.04.01'!$BB$3))</f>
        <v>0</v>
      </c>
      <c r="Q83" s="4">
        <f>IF(ISNUMBER(SEARCH("营",'21.04.01'!Y83)),(-$Y83+50*IF('21.04.01'!$AK83="是",'21.04.01'!$BB$4,'21.04.01'!$BB$3)),(VLOOKUP('21.04.01'!Y83,'21.04.01'!$AO$4:$AQ$55,2,FALSE))*IF('21.04.01'!$AK83="是",'21.04.01'!$BB$4,'21.04.01'!$BB$3))</f>
        <v>0</v>
      </c>
      <c r="R83" s="4">
        <f>IF(ISNUMBER(SEARCH("营",'21.04.01'!Z83)),(-$Y83+50*IF('21.04.01'!$AK83="是",'21.04.01'!$BB$4,'21.04.01'!$BB$3)),(VLOOKUP('21.04.01'!Z83,'21.04.01'!$AO$4:$AQ$55,2,FALSE))*IF('21.04.01'!$AK83="是",'21.04.01'!$BB$4,'21.04.01'!$BB$3))</f>
        <v>0</v>
      </c>
      <c r="S83" s="4">
        <f>IF(ISNUMBER(SEARCH("营",'21.04.01'!AA83)),(-$Y83+50*IF('21.04.01'!$AK83="是",'21.04.01'!$BB$4,'21.04.01'!$BB$3)),(VLOOKUP('21.04.01'!AA83,'21.04.01'!$AO$4:$AQ$55,2,FALSE))*IF('21.04.01'!$AK83="是",'21.04.01'!$BB$4,'21.04.01'!$BB$3))</f>
        <v>0</v>
      </c>
      <c r="T83" s="4">
        <f>IF(ISNUMBER(SEARCH("营",'21.04.01'!AB83)),(-$Y83+50*IF('21.04.01'!$AK83="是",'21.04.01'!$BB$4,'21.04.01'!$BB$3)),(VLOOKUP('21.04.01'!AB83,'21.04.01'!$AO$4:$AQ$55,2,FALSE))*IF('21.04.01'!$AK83="是",'21.04.01'!$BB$4,'21.04.01'!$BB$3))</f>
        <v>0</v>
      </c>
      <c r="U83" s="4">
        <f>IF(ISNUMBER(SEARCH("营",'21.04.01'!AC83)),(-$Y83+50*IF('21.04.01'!$AK83="是",'21.04.01'!$BB$4,'21.04.01'!$BB$3)),(VLOOKUP('21.04.01'!AC83,'21.04.01'!$AO$4:$AQ$55,2,FALSE))*IF('21.04.01'!$AK83="是",'21.04.01'!$BB$4,'21.04.01'!$BB$3))</f>
        <v>0</v>
      </c>
      <c r="V83" s="4">
        <f>IF(ISNUMBER(SEARCH("营",'21.04.01'!AD83)),(-$Y83+50*IF('21.04.01'!$AK83="是",'21.04.01'!$BB$4,'21.04.01'!$BB$3)),(VLOOKUP('21.04.01'!AD83,'21.04.01'!$AO$4:$AQ$55,2,FALSE))*IF('21.04.01'!$AK83="是",'21.04.01'!$BB$4,'21.04.01'!$BB$3))</f>
        <v>0</v>
      </c>
      <c r="W83" s="4">
        <f>IF(ISNUMBER(SEARCH("营",'21.04.01'!AE83)),(-$Y83+50*IF('21.04.01'!$AK83="是",'21.04.01'!$BB$4,'21.04.01'!$BB$3)),(VLOOKUP('21.04.01'!AE83,'21.04.01'!$AO$4:$AQ$55,2,FALSE))*IF('21.04.01'!$AK83="是",'21.04.01'!$BB$4,'21.04.01'!$BB$3))</f>
        <v>0</v>
      </c>
      <c r="X83" s="4">
        <f>IF(ISNUMBER(SEARCH("营",'21.04.01'!AF83)),(-$Y83+50*IF('21.04.01'!$AK83="是",'21.04.01'!$BB$4,'21.04.01'!$BB$3)),(VLOOKUP('21.04.01'!AF83,'21.04.01'!$AO$4:$AQ$55,2,FALSE))*IF('21.04.01'!$AK83="是",'21.04.01'!$BB$4,'21.04.01'!$BB$3))</f>
        <v>0</v>
      </c>
      <c r="Y83" s="63">
        <v>100</v>
      </c>
      <c r="Z83" s="94">
        <v>45991</v>
      </c>
    </row>
    <row r="84" spans="1:26">
      <c r="A84" s="4">
        <f>IF(ISNUMBER(SEARCH("营",'21.04.01'!I84)),(-$Y84+50*IF('21.04.01'!$AK84="是",'21.04.01'!$BB$4,'21.04.01'!$BB$3)),(VLOOKUP('21.04.01'!I84,'21.04.01'!$AO$4:$AQ$55,2,FALSE))*IF('21.04.01'!$AK84="是",'21.04.01'!$BB$4,'21.04.01'!$BB$3))</f>
        <v>0</v>
      </c>
      <c r="B84" s="4">
        <f>IF(ISNUMBER(SEARCH("营",'21.04.01'!J84)),(-$Y84+50*IF('21.04.01'!$AK84="是",'21.04.01'!$BB$4,'21.04.01'!$BB$3)),(VLOOKUP('21.04.01'!J84,'21.04.01'!$AO$4:$AQ$55,2,FALSE))*IF('21.04.01'!$AK84="是",'21.04.01'!$BB$4,'21.04.01'!$BB$3))</f>
        <v>0</v>
      </c>
      <c r="C84" s="4">
        <f>IF(ISNUMBER(SEARCH("营",'21.04.01'!K84)),(-$Y84+50*IF('21.04.01'!$AK84="是",'21.04.01'!$BB$4,'21.04.01'!$BB$3)),(VLOOKUP('21.04.01'!K84,'21.04.01'!$AO$4:$AQ$55,2,FALSE))*IF('21.04.01'!$AK84="是",'21.04.01'!$BB$4,'21.04.01'!$BB$3))</f>
        <v>0</v>
      </c>
      <c r="D84" s="4">
        <f>IF(ISNUMBER(SEARCH("营",'21.04.01'!L84)),(-$Y84+50*IF('21.04.01'!$AK84="是",'21.04.01'!$BB$4,'21.04.01'!$BB$3)),(VLOOKUP('21.04.01'!L84,'21.04.01'!$AO$4:$AQ$55,2,FALSE))*IF('21.04.01'!$AK84="是",'21.04.01'!$BB$4,'21.04.01'!$BB$3))</f>
        <v>0</v>
      </c>
      <c r="E84" s="4">
        <f>IF(ISNUMBER(SEARCH("营",'21.04.01'!M84)),(-$Y84+50*IF('21.04.01'!$AK84="是",'21.04.01'!$BB$4,'21.04.01'!$BB$3)),(VLOOKUP('21.04.01'!M84,'21.04.01'!$AO$4:$AQ$55,2,FALSE))*IF('21.04.01'!$AK84="是",'21.04.01'!$BB$4,'21.04.01'!$BB$3))</f>
        <v>0</v>
      </c>
      <c r="F84" s="4">
        <f>IF(ISNUMBER(SEARCH("营",'21.04.01'!N84)),(-$Y84+50*IF('21.04.01'!$AK84="是",'21.04.01'!$BB$4,'21.04.01'!$BB$3)),(VLOOKUP('21.04.01'!N84,'21.04.01'!$AO$4:$AQ$55,2,FALSE))*IF('21.04.01'!$AK84="是",'21.04.01'!$BB$4,'21.04.01'!$BB$3))</f>
        <v>0</v>
      </c>
      <c r="G84" s="4">
        <f>IF(ISNUMBER(SEARCH("营",'21.04.01'!O84)),(-$Y84+50*IF('21.04.01'!$AK84="是",'21.04.01'!$BB$4,'21.04.01'!$BB$3)),(VLOOKUP('21.04.01'!O84,'21.04.01'!$AO$4:$AQ$55,2,FALSE))*IF('21.04.01'!$AK84="是",'21.04.01'!$BB$4,'21.04.01'!$BB$3))</f>
        <v>0</v>
      </c>
      <c r="H84" s="4">
        <f>IF(ISNUMBER(SEARCH("营",'21.04.01'!P84)),(-$Y84+50*IF('21.04.01'!$AK84="是",'21.04.01'!$BB$4,'21.04.01'!$BB$3)),(VLOOKUP('21.04.01'!P84,'21.04.01'!$AO$4:$AQ$55,2,FALSE))*IF('21.04.01'!$AK84="是",'21.04.01'!$BB$4,'21.04.01'!$BB$3))</f>
        <v>0</v>
      </c>
      <c r="I84" s="4">
        <f>IF(ISNUMBER(SEARCH("营",'21.04.01'!Q84)),(-$Y84+50*IF('21.04.01'!$AK84="是",'21.04.01'!$BB$4,'21.04.01'!$BB$3)),(VLOOKUP('21.04.01'!Q84,'21.04.01'!$AO$4:$AQ$55,2,FALSE))*IF('21.04.01'!$AK84="是",'21.04.01'!$BB$4,'21.04.01'!$BB$3))</f>
        <v>0</v>
      </c>
      <c r="J84" s="4">
        <f>IF(ISNUMBER(SEARCH("营",'21.04.01'!R84)),(-$Y84+50*IF('21.04.01'!$AK84="是",'21.04.01'!$BB$4,'21.04.01'!$BB$3)),(VLOOKUP('21.04.01'!R84,'21.04.01'!$AO$4:$AQ$55,2,FALSE))*IF('21.04.01'!$AK84="是",'21.04.01'!$BB$4,'21.04.01'!$BB$3))</f>
        <v>0</v>
      </c>
      <c r="K84" s="4">
        <f>IF(ISNUMBER(SEARCH("营",'21.04.01'!S84)),(-$Y84+50*IF('21.04.01'!$AK84="是",'21.04.01'!$BB$4,'21.04.01'!$BB$3)),(VLOOKUP('21.04.01'!S84,'21.04.01'!$AO$4:$AQ$55,2,FALSE))*IF('21.04.01'!$AK84="是",'21.04.01'!$BB$4,'21.04.01'!$BB$3))</f>
        <v>0</v>
      </c>
      <c r="L84" s="4">
        <f>IF(ISNUMBER(SEARCH("营",'21.04.01'!T84)),(-$Y84+50*IF('21.04.01'!$AK84="是",'21.04.01'!$BB$4,'21.04.01'!$BB$3)),(VLOOKUP('21.04.01'!T84,'21.04.01'!$AO$4:$AQ$55,2,FALSE))*IF('21.04.01'!$AK84="是",'21.04.01'!$BB$4,'21.04.01'!$BB$3))</f>
        <v>0</v>
      </c>
      <c r="M84" s="4">
        <f>IF(ISNUMBER(SEARCH("营",'21.04.01'!U84)),(-$Y84+50*IF('21.04.01'!$AK84="是",'21.04.01'!$BB$4,'21.04.01'!$BB$3)),(VLOOKUP('21.04.01'!U84,'21.04.01'!$AO$4:$AQ$55,2,FALSE))*IF('21.04.01'!$AK84="是",'21.04.01'!$BB$4,'21.04.01'!$BB$3))</f>
        <v>0</v>
      </c>
      <c r="N84" s="4">
        <f>IF(ISNUMBER(SEARCH("营",'21.04.01'!V84)),(-$Y84+50*IF('21.04.01'!$AK84="是",'21.04.01'!$BB$4,'21.04.01'!$BB$3)),(VLOOKUP('21.04.01'!V84,'21.04.01'!$AO$4:$AQ$55,2,FALSE))*IF('21.04.01'!$AK84="是",'21.04.01'!$BB$4,'21.04.01'!$BB$3))</f>
        <v>0</v>
      </c>
      <c r="O84" s="4">
        <f>IF(ISNUMBER(SEARCH("营",'21.04.01'!W84)),(-$Y84+50*IF('21.04.01'!$AK84="是",'21.04.01'!$BB$4,'21.04.01'!$BB$3)),(VLOOKUP('21.04.01'!W84,'21.04.01'!$AO$4:$AQ$55,2,FALSE))*IF('21.04.01'!$AK84="是",'21.04.01'!$BB$4,'21.04.01'!$BB$3))</f>
        <v>0</v>
      </c>
      <c r="P84" s="4">
        <f>IF(ISNUMBER(SEARCH("营",'21.04.01'!X84)),(-$Y84+50*IF('21.04.01'!$AK84="是",'21.04.01'!$BB$4,'21.04.01'!$BB$3)),(VLOOKUP('21.04.01'!X84,'21.04.01'!$AO$4:$AQ$55,2,FALSE))*IF('21.04.01'!$AK84="是",'21.04.01'!$BB$4,'21.04.01'!$BB$3))</f>
        <v>0</v>
      </c>
      <c r="Q84" s="4">
        <f>IF(ISNUMBER(SEARCH("营",'21.04.01'!Y84)),(-$Y84+50*IF('21.04.01'!$AK84="是",'21.04.01'!$BB$4,'21.04.01'!$BB$3)),(VLOOKUP('21.04.01'!Y84,'21.04.01'!$AO$4:$AQ$55,2,FALSE))*IF('21.04.01'!$AK84="是",'21.04.01'!$BB$4,'21.04.01'!$BB$3))</f>
        <v>0</v>
      </c>
      <c r="R84" s="4">
        <f>IF(ISNUMBER(SEARCH("营",'21.04.01'!Z84)),(-$Y84+50*IF('21.04.01'!$AK84="是",'21.04.01'!$BB$4,'21.04.01'!$BB$3)),(VLOOKUP('21.04.01'!Z84,'21.04.01'!$AO$4:$AQ$55,2,FALSE))*IF('21.04.01'!$AK84="是",'21.04.01'!$BB$4,'21.04.01'!$BB$3))</f>
        <v>0</v>
      </c>
      <c r="S84" s="4">
        <f>IF(ISNUMBER(SEARCH("营",'21.04.01'!AA84)),(-$Y84+50*IF('21.04.01'!$AK84="是",'21.04.01'!$BB$4,'21.04.01'!$BB$3)),(VLOOKUP('21.04.01'!AA84,'21.04.01'!$AO$4:$AQ$55,2,FALSE))*IF('21.04.01'!$AK84="是",'21.04.01'!$BB$4,'21.04.01'!$BB$3))</f>
        <v>0</v>
      </c>
      <c r="T84" s="4">
        <f>IF(ISNUMBER(SEARCH("营",'21.04.01'!AB84)),(-$Y84+50*IF('21.04.01'!$AK84="是",'21.04.01'!$BB$4,'21.04.01'!$BB$3)),(VLOOKUP('21.04.01'!AB84,'21.04.01'!$AO$4:$AQ$55,2,FALSE))*IF('21.04.01'!$AK84="是",'21.04.01'!$BB$4,'21.04.01'!$BB$3))</f>
        <v>0</v>
      </c>
      <c r="U84" s="4">
        <f>IF(ISNUMBER(SEARCH("营",'21.04.01'!AC84)),(-$Y84+50*IF('21.04.01'!$AK84="是",'21.04.01'!$BB$4,'21.04.01'!$BB$3)),(VLOOKUP('21.04.01'!AC84,'21.04.01'!$AO$4:$AQ$55,2,FALSE))*IF('21.04.01'!$AK84="是",'21.04.01'!$BB$4,'21.04.01'!$BB$3))</f>
        <v>0</v>
      </c>
      <c r="V84" s="4">
        <f>IF(ISNUMBER(SEARCH("营",'21.04.01'!AD84)),(-$Y84+50*IF('21.04.01'!$AK84="是",'21.04.01'!$BB$4,'21.04.01'!$BB$3)),(VLOOKUP('21.04.01'!AD84,'21.04.01'!$AO$4:$AQ$55,2,FALSE))*IF('21.04.01'!$AK84="是",'21.04.01'!$BB$4,'21.04.01'!$BB$3))</f>
        <v>0</v>
      </c>
      <c r="W84" s="4">
        <f>IF(ISNUMBER(SEARCH("营",'21.04.01'!AE84)),(-$Y84+50*IF('21.04.01'!$AK84="是",'21.04.01'!$BB$4,'21.04.01'!$BB$3)),(VLOOKUP('21.04.01'!AE84,'21.04.01'!$AO$4:$AQ$55,2,FALSE))*IF('21.04.01'!$AK84="是",'21.04.01'!$BB$4,'21.04.01'!$BB$3))</f>
        <v>0</v>
      </c>
      <c r="X84" s="4">
        <f>IF(ISNUMBER(SEARCH("营",'21.04.01'!AF84)),(-$Y84+50*IF('21.04.01'!$AK84="是",'21.04.01'!$BB$4,'21.04.01'!$BB$3)),(VLOOKUP('21.04.01'!AF84,'21.04.01'!$AO$4:$AQ$55,2,FALSE))*IF('21.04.01'!$AK84="是",'21.04.01'!$BB$4,'21.04.01'!$BB$3))</f>
        <v>0</v>
      </c>
      <c r="Y84" s="63">
        <v>100</v>
      </c>
      <c r="Z84" s="94">
        <v>45992</v>
      </c>
    </row>
    <row r="85" spans="1:26">
      <c r="A85" s="4">
        <f>IF(ISNUMBER(SEARCH("营",'21.04.01'!I85)),(-$Y85+50*IF('21.04.01'!$AK85="是",'21.04.01'!$BB$4,'21.04.01'!$BB$3)),(VLOOKUP('21.04.01'!I85,'21.04.01'!$AO$4:$AQ$55,2,FALSE))*IF('21.04.01'!$AK85="是",'21.04.01'!$BB$4,'21.04.01'!$BB$3))</f>
        <v>0</v>
      </c>
      <c r="B85" s="4">
        <f>IF(ISNUMBER(SEARCH("营",'21.04.01'!J85)),(-$Y85+50*IF('21.04.01'!$AK85="是",'21.04.01'!$BB$4,'21.04.01'!$BB$3)),(VLOOKUP('21.04.01'!J85,'21.04.01'!$AO$4:$AQ$55,2,FALSE))*IF('21.04.01'!$AK85="是",'21.04.01'!$BB$4,'21.04.01'!$BB$3))</f>
        <v>0</v>
      </c>
      <c r="C85" s="4">
        <f>IF(ISNUMBER(SEARCH("营",'21.04.01'!K85)),(-$Y85+50*IF('21.04.01'!$AK85="是",'21.04.01'!$BB$4,'21.04.01'!$BB$3)),(VLOOKUP('21.04.01'!K85,'21.04.01'!$AO$4:$AQ$55,2,FALSE))*IF('21.04.01'!$AK85="是",'21.04.01'!$BB$4,'21.04.01'!$BB$3))</f>
        <v>0</v>
      </c>
      <c r="D85" s="4">
        <f>IF(ISNUMBER(SEARCH("营",'21.04.01'!L85)),(-$Y85+50*IF('21.04.01'!$AK85="是",'21.04.01'!$BB$4,'21.04.01'!$BB$3)),(VLOOKUP('21.04.01'!L85,'21.04.01'!$AO$4:$AQ$55,2,FALSE))*IF('21.04.01'!$AK85="是",'21.04.01'!$BB$4,'21.04.01'!$BB$3))</f>
        <v>0</v>
      </c>
      <c r="E85" s="4">
        <f>IF(ISNUMBER(SEARCH("营",'21.04.01'!M85)),(-$Y85+50*IF('21.04.01'!$AK85="是",'21.04.01'!$BB$4,'21.04.01'!$BB$3)),(VLOOKUP('21.04.01'!M85,'21.04.01'!$AO$4:$AQ$55,2,FALSE))*IF('21.04.01'!$AK85="是",'21.04.01'!$BB$4,'21.04.01'!$BB$3))</f>
        <v>0</v>
      </c>
      <c r="F85" s="4">
        <f>IF(ISNUMBER(SEARCH("营",'21.04.01'!N85)),(-$Y85+50*IF('21.04.01'!$AK85="是",'21.04.01'!$BB$4,'21.04.01'!$BB$3)),(VLOOKUP('21.04.01'!N85,'21.04.01'!$AO$4:$AQ$55,2,FALSE))*IF('21.04.01'!$AK85="是",'21.04.01'!$BB$4,'21.04.01'!$BB$3))</f>
        <v>0</v>
      </c>
      <c r="G85" s="4">
        <f>IF(ISNUMBER(SEARCH("营",'21.04.01'!O85)),(-$Y85+50*IF('21.04.01'!$AK85="是",'21.04.01'!$BB$4,'21.04.01'!$BB$3)),(VLOOKUP('21.04.01'!O85,'21.04.01'!$AO$4:$AQ$55,2,FALSE))*IF('21.04.01'!$AK85="是",'21.04.01'!$BB$4,'21.04.01'!$BB$3))</f>
        <v>0</v>
      </c>
      <c r="H85" s="4">
        <f>IF(ISNUMBER(SEARCH("营",'21.04.01'!P85)),(-$Y85+50*IF('21.04.01'!$AK85="是",'21.04.01'!$BB$4,'21.04.01'!$BB$3)),(VLOOKUP('21.04.01'!P85,'21.04.01'!$AO$4:$AQ$55,2,FALSE))*IF('21.04.01'!$AK85="是",'21.04.01'!$BB$4,'21.04.01'!$BB$3))</f>
        <v>0</v>
      </c>
      <c r="I85" s="4">
        <f>IF(ISNUMBER(SEARCH("营",'21.04.01'!Q85)),(-$Y85+50*IF('21.04.01'!$AK85="是",'21.04.01'!$BB$4,'21.04.01'!$BB$3)),(VLOOKUP('21.04.01'!Q85,'21.04.01'!$AO$4:$AQ$55,2,FALSE))*IF('21.04.01'!$AK85="是",'21.04.01'!$BB$4,'21.04.01'!$BB$3))</f>
        <v>0</v>
      </c>
      <c r="J85" s="4">
        <f>IF(ISNUMBER(SEARCH("营",'21.04.01'!R85)),(-$Y85+50*IF('21.04.01'!$AK85="是",'21.04.01'!$BB$4,'21.04.01'!$BB$3)),(VLOOKUP('21.04.01'!R85,'21.04.01'!$AO$4:$AQ$55,2,FALSE))*IF('21.04.01'!$AK85="是",'21.04.01'!$BB$4,'21.04.01'!$BB$3))</f>
        <v>0</v>
      </c>
      <c r="K85" s="4">
        <f>IF(ISNUMBER(SEARCH("营",'21.04.01'!S85)),(-$Y85+50*IF('21.04.01'!$AK85="是",'21.04.01'!$BB$4,'21.04.01'!$BB$3)),(VLOOKUP('21.04.01'!S85,'21.04.01'!$AO$4:$AQ$55,2,FALSE))*IF('21.04.01'!$AK85="是",'21.04.01'!$BB$4,'21.04.01'!$BB$3))</f>
        <v>0</v>
      </c>
      <c r="L85" s="4">
        <f>IF(ISNUMBER(SEARCH("营",'21.04.01'!T85)),(-$Y85+50*IF('21.04.01'!$AK85="是",'21.04.01'!$BB$4,'21.04.01'!$BB$3)),(VLOOKUP('21.04.01'!T85,'21.04.01'!$AO$4:$AQ$55,2,FALSE))*IF('21.04.01'!$AK85="是",'21.04.01'!$BB$4,'21.04.01'!$BB$3))</f>
        <v>0</v>
      </c>
      <c r="M85" s="4">
        <f>IF(ISNUMBER(SEARCH("营",'21.04.01'!U85)),(-$Y85+50*IF('21.04.01'!$AK85="是",'21.04.01'!$BB$4,'21.04.01'!$BB$3)),(VLOOKUP('21.04.01'!U85,'21.04.01'!$AO$4:$AQ$55,2,FALSE))*IF('21.04.01'!$AK85="是",'21.04.01'!$BB$4,'21.04.01'!$BB$3))</f>
        <v>0</v>
      </c>
      <c r="N85" s="4">
        <f>IF(ISNUMBER(SEARCH("营",'21.04.01'!V85)),(-$Y85+50*IF('21.04.01'!$AK85="是",'21.04.01'!$BB$4,'21.04.01'!$BB$3)),(VLOOKUP('21.04.01'!V85,'21.04.01'!$AO$4:$AQ$55,2,FALSE))*IF('21.04.01'!$AK85="是",'21.04.01'!$BB$4,'21.04.01'!$BB$3))</f>
        <v>0</v>
      </c>
      <c r="O85" s="4">
        <f>IF(ISNUMBER(SEARCH("营",'21.04.01'!W85)),(-$Y85+50*IF('21.04.01'!$AK85="是",'21.04.01'!$BB$4,'21.04.01'!$BB$3)),(VLOOKUP('21.04.01'!W85,'21.04.01'!$AO$4:$AQ$55,2,FALSE))*IF('21.04.01'!$AK85="是",'21.04.01'!$BB$4,'21.04.01'!$BB$3))</f>
        <v>0</v>
      </c>
      <c r="P85" s="4">
        <f>IF(ISNUMBER(SEARCH("营",'21.04.01'!X85)),(-$Y85+50*IF('21.04.01'!$AK85="是",'21.04.01'!$BB$4,'21.04.01'!$BB$3)),(VLOOKUP('21.04.01'!X85,'21.04.01'!$AO$4:$AQ$55,2,FALSE))*IF('21.04.01'!$AK85="是",'21.04.01'!$BB$4,'21.04.01'!$BB$3))</f>
        <v>0</v>
      </c>
      <c r="Q85" s="4">
        <f>IF(ISNUMBER(SEARCH("营",'21.04.01'!Y85)),(-$Y85+50*IF('21.04.01'!$AK85="是",'21.04.01'!$BB$4,'21.04.01'!$BB$3)),(VLOOKUP('21.04.01'!Y85,'21.04.01'!$AO$4:$AQ$55,2,FALSE))*IF('21.04.01'!$AK85="是",'21.04.01'!$BB$4,'21.04.01'!$BB$3))</f>
        <v>0</v>
      </c>
      <c r="R85" s="4">
        <f>IF(ISNUMBER(SEARCH("营",'21.04.01'!Z85)),(-$Y85+50*IF('21.04.01'!$AK85="是",'21.04.01'!$BB$4,'21.04.01'!$BB$3)),(VLOOKUP('21.04.01'!Z85,'21.04.01'!$AO$4:$AQ$55,2,FALSE))*IF('21.04.01'!$AK85="是",'21.04.01'!$BB$4,'21.04.01'!$BB$3))</f>
        <v>0</v>
      </c>
      <c r="S85" s="4">
        <f>IF(ISNUMBER(SEARCH("营",'21.04.01'!AA85)),(-$Y85+50*IF('21.04.01'!$AK85="是",'21.04.01'!$BB$4,'21.04.01'!$BB$3)),(VLOOKUP('21.04.01'!AA85,'21.04.01'!$AO$4:$AQ$55,2,FALSE))*IF('21.04.01'!$AK85="是",'21.04.01'!$BB$4,'21.04.01'!$BB$3))</f>
        <v>0</v>
      </c>
      <c r="T85" s="4">
        <f>IF(ISNUMBER(SEARCH("营",'21.04.01'!AB85)),(-$Y85+50*IF('21.04.01'!$AK85="是",'21.04.01'!$BB$4,'21.04.01'!$BB$3)),(VLOOKUP('21.04.01'!AB85,'21.04.01'!$AO$4:$AQ$55,2,FALSE))*IF('21.04.01'!$AK85="是",'21.04.01'!$BB$4,'21.04.01'!$BB$3))</f>
        <v>0</v>
      </c>
      <c r="U85" s="4">
        <f>IF(ISNUMBER(SEARCH("营",'21.04.01'!AC85)),(-$Y85+50*IF('21.04.01'!$AK85="是",'21.04.01'!$BB$4,'21.04.01'!$BB$3)),(VLOOKUP('21.04.01'!AC85,'21.04.01'!$AO$4:$AQ$55,2,FALSE))*IF('21.04.01'!$AK85="是",'21.04.01'!$BB$4,'21.04.01'!$BB$3))</f>
        <v>0</v>
      </c>
      <c r="V85" s="4">
        <f>IF(ISNUMBER(SEARCH("营",'21.04.01'!AD85)),(-$Y85+50*IF('21.04.01'!$AK85="是",'21.04.01'!$BB$4,'21.04.01'!$BB$3)),(VLOOKUP('21.04.01'!AD85,'21.04.01'!$AO$4:$AQ$55,2,FALSE))*IF('21.04.01'!$AK85="是",'21.04.01'!$BB$4,'21.04.01'!$BB$3))</f>
        <v>0</v>
      </c>
      <c r="W85" s="4">
        <f>IF(ISNUMBER(SEARCH("营",'21.04.01'!AE85)),(-$Y85+50*IF('21.04.01'!$AK85="是",'21.04.01'!$BB$4,'21.04.01'!$BB$3)),(VLOOKUP('21.04.01'!AE85,'21.04.01'!$AO$4:$AQ$55,2,FALSE))*IF('21.04.01'!$AK85="是",'21.04.01'!$BB$4,'21.04.01'!$BB$3))</f>
        <v>0</v>
      </c>
      <c r="X85" s="4">
        <f>IF(ISNUMBER(SEARCH("营",'21.04.01'!AF85)),(-$Y85+50*IF('21.04.01'!$AK85="是",'21.04.01'!$BB$4,'21.04.01'!$BB$3)),(VLOOKUP('21.04.01'!AF85,'21.04.01'!$AO$4:$AQ$55,2,FALSE))*IF('21.04.01'!$AK85="是",'21.04.01'!$BB$4,'21.04.01'!$BB$3))</f>
        <v>0</v>
      </c>
      <c r="Y85" s="63">
        <v>100</v>
      </c>
      <c r="Z85" s="94">
        <v>45993</v>
      </c>
    </row>
    <row r="86" spans="1:26">
      <c r="A86" s="4">
        <f>IF(ISNUMBER(SEARCH("营",'21.04.01'!I86)),(-$Y86+50*IF('21.04.01'!$AK86="是",'21.04.01'!$BB$4,'21.04.01'!$BB$3)),(VLOOKUP('21.04.01'!I86,'21.04.01'!$AO$4:$AQ$55,2,FALSE))*IF('21.04.01'!$AK86="是",'21.04.01'!$BB$4,'21.04.01'!$BB$3))</f>
        <v>0</v>
      </c>
      <c r="B86" s="4">
        <f>IF(ISNUMBER(SEARCH("营",'21.04.01'!J86)),(-$Y86+50*IF('21.04.01'!$AK86="是",'21.04.01'!$BB$4,'21.04.01'!$BB$3)),(VLOOKUP('21.04.01'!J86,'21.04.01'!$AO$4:$AQ$55,2,FALSE))*IF('21.04.01'!$AK86="是",'21.04.01'!$BB$4,'21.04.01'!$BB$3))</f>
        <v>0</v>
      </c>
      <c r="C86" s="4">
        <f>IF(ISNUMBER(SEARCH("营",'21.04.01'!K86)),(-$Y86+50*IF('21.04.01'!$AK86="是",'21.04.01'!$BB$4,'21.04.01'!$BB$3)),(VLOOKUP('21.04.01'!K86,'21.04.01'!$AO$4:$AQ$55,2,FALSE))*IF('21.04.01'!$AK86="是",'21.04.01'!$BB$4,'21.04.01'!$BB$3))</f>
        <v>0</v>
      </c>
      <c r="D86" s="4">
        <f>IF(ISNUMBER(SEARCH("营",'21.04.01'!L86)),(-$Y86+50*IF('21.04.01'!$AK86="是",'21.04.01'!$BB$4,'21.04.01'!$BB$3)),(VLOOKUP('21.04.01'!L86,'21.04.01'!$AO$4:$AQ$55,2,FALSE))*IF('21.04.01'!$AK86="是",'21.04.01'!$BB$4,'21.04.01'!$BB$3))</f>
        <v>0</v>
      </c>
      <c r="E86" s="4">
        <f>IF(ISNUMBER(SEARCH("营",'21.04.01'!M86)),(-$Y86+50*IF('21.04.01'!$AK86="是",'21.04.01'!$BB$4,'21.04.01'!$BB$3)),(VLOOKUP('21.04.01'!M86,'21.04.01'!$AO$4:$AQ$55,2,FALSE))*IF('21.04.01'!$AK86="是",'21.04.01'!$BB$4,'21.04.01'!$BB$3))</f>
        <v>0</v>
      </c>
      <c r="F86" s="4">
        <f>IF(ISNUMBER(SEARCH("营",'21.04.01'!N86)),(-$Y86+50*IF('21.04.01'!$AK86="是",'21.04.01'!$BB$4,'21.04.01'!$BB$3)),(VLOOKUP('21.04.01'!N86,'21.04.01'!$AO$4:$AQ$55,2,FALSE))*IF('21.04.01'!$AK86="是",'21.04.01'!$BB$4,'21.04.01'!$BB$3))</f>
        <v>0</v>
      </c>
      <c r="G86" s="4">
        <f>IF(ISNUMBER(SEARCH("营",'21.04.01'!O86)),(-$Y86+50*IF('21.04.01'!$AK86="是",'21.04.01'!$BB$4,'21.04.01'!$BB$3)),(VLOOKUP('21.04.01'!O86,'21.04.01'!$AO$4:$AQ$55,2,FALSE))*IF('21.04.01'!$AK86="是",'21.04.01'!$BB$4,'21.04.01'!$BB$3))</f>
        <v>0</v>
      </c>
      <c r="H86" s="4">
        <f>IF(ISNUMBER(SEARCH("营",'21.04.01'!P86)),(-$Y86+50*IF('21.04.01'!$AK86="是",'21.04.01'!$BB$4,'21.04.01'!$BB$3)),(VLOOKUP('21.04.01'!P86,'21.04.01'!$AO$4:$AQ$55,2,FALSE))*IF('21.04.01'!$AK86="是",'21.04.01'!$BB$4,'21.04.01'!$BB$3))</f>
        <v>0</v>
      </c>
      <c r="I86" s="4">
        <f>IF(ISNUMBER(SEARCH("营",'21.04.01'!Q86)),(-$Y86+50*IF('21.04.01'!$AK86="是",'21.04.01'!$BB$4,'21.04.01'!$BB$3)),(VLOOKUP('21.04.01'!Q86,'21.04.01'!$AO$4:$AQ$55,2,FALSE))*IF('21.04.01'!$AK86="是",'21.04.01'!$BB$4,'21.04.01'!$BB$3))</f>
        <v>0</v>
      </c>
      <c r="J86" s="4">
        <f>IF(ISNUMBER(SEARCH("营",'21.04.01'!R86)),(-$Y86+50*IF('21.04.01'!$AK86="是",'21.04.01'!$BB$4,'21.04.01'!$BB$3)),(VLOOKUP('21.04.01'!R86,'21.04.01'!$AO$4:$AQ$55,2,FALSE))*IF('21.04.01'!$AK86="是",'21.04.01'!$BB$4,'21.04.01'!$BB$3))</f>
        <v>0</v>
      </c>
      <c r="K86" s="4">
        <f>IF(ISNUMBER(SEARCH("营",'21.04.01'!S86)),(-$Y86+50*IF('21.04.01'!$AK86="是",'21.04.01'!$BB$4,'21.04.01'!$BB$3)),(VLOOKUP('21.04.01'!S86,'21.04.01'!$AO$4:$AQ$55,2,FALSE))*IF('21.04.01'!$AK86="是",'21.04.01'!$BB$4,'21.04.01'!$BB$3))</f>
        <v>0</v>
      </c>
      <c r="L86" s="4">
        <f>IF(ISNUMBER(SEARCH("营",'21.04.01'!T86)),(-$Y86+50*IF('21.04.01'!$AK86="是",'21.04.01'!$BB$4,'21.04.01'!$BB$3)),(VLOOKUP('21.04.01'!T86,'21.04.01'!$AO$4:$AQ$55,2,FALSE))*IF('21.04.01'!$AK86="是",'21.04.01'!$BB$4,'21.04.01'!$BB$3))</f>
        <v>0</v>
      </c>
      <c r="M86" s="4">
        <f>IF(ISNUMBER(SEARCH("营",'21.04.01'!U86)),(-$Y86+50*IF('21.04.01'!$AK86="是",'21.04.01'!$BB$4,'21.04.01'!$BB$3)),(VLOOKUP('21.04.01'!U86,'21.04.01'!$AO$4:$AQ$55,2,FALSE))*IF('21.04.01'!$AK86="是",'21.04.01'!$BB$4,'21.04.01'!$BB$3))</f>
        <v>0</v>
      </c>
      <c r="N86" s="4">
        <f>IF(ISNUMBER(SEARCH("营",'21.04.01'!V86)),(-$Y86+50*IF('21.04.01'!$AK86="是",'21.04.01'!$BB$4,'21.04.01'!$BB$3)),(VLOOKUP('21.04.01'!V86,'21.04.01'!$AO$4:$AQ$55,2,FALSE))*IF('21.04.01'!$AK86="是",'21.04.01'!$BB$4,'21.04.01'!$BB$3))</f>
        <v>0</v>
      </c>
      <c r="O86" s="4">
        <f>IF(ISNUMBER(SEARCH("营",'21.04.01'!W86)),(-$Y86+50*IF('21.04.01'!$AK86="是",'21.04.01'!$BB$4,'21.04.01'!$BB$3)),(VLOOKUP('21.04.01'!W86,'21.04.01'!$AO$4:$AQ$55,2,FALSE))*IF('21.04.01'!$AK86="是",'21.04.01'!$BB$4,'21.04.01'!$BB$3))</f>
        <v>0</v>
      </c>
      <c r="P86" s="4">
        <f>IF(ISNUMBER(SEARCH("营",'21.04.01'!X86)),(-$Y86+50*IF('21.04.01'!$AK86="是",'21.04.01'!$BB$4,'21.04.01'!$BB$3)),(VLOOKUP('21.04.01'!X86,'21.04.01'!$AO$4:$AQ$55,2,FALSE))*IF('21.04.01'!$AK86="是",'21.04.01'!$BB$4,'21.04.01'!$BB$3))</f>
        <v>0</v>
      </c>
      <c r="Q86" s="4">
        <f>IF(ISNUMBER(SEARCH("营",'21.04.01'!Y86)),(-$Y86+50*IF('21.04.01'!$AK86="是",'21.04.01'!$BB$4,'21.04.01'!$BB$3)),(VLOOKUP('21.04.01'!Y86,'21.04.01'!$AO$4:$AQ$55,2,FALSE))*IF('21.04.01'!$AK86="是",'21.04.01'!$BB$4,'21.04.01'!$BB$3))</f>
        <v>0</v>
      </c>
      <c r="R86" s="4">
        <f>IF(ISNUMBER(SEARCH("营",'21.04.01'!Z86)),(-$Y86+50*IF('21.04.01'!$AK86="是",'21.04.01'!$BB$4,'21.04.01'!$BB$3)),(VLOOKUP('21.04.01'!Z86,'21.04.01'!$AO$4:$AQ$55,2,FALSE))*IF('21.04.01'!$AK86="是",'21.04.01'!$BB$4,'21.04.01'!$BB$3))</f>
        <v>0</v>
      </c>
      <c r="S86" s="4">
        <f>IF(ISNUMBER(SEARCH("营",'21.04.01'!AA86)),(-$Y86+50*IF('21.04.01'!$AK86="是",'21.04.01'!$BB$4,'21.04.01'!$BB$3)),(VLOOKUP('21.04.01'!AA86,'21.04.01'!$AO$4:$AQ$55,2,FALSE))*IF('21.04.01'!$AK86="是",'21.04.01'!$BB$4,'21.04.01'!$BB$3))</f>
        <v>0</v>
      </c>
      <c r="T86" s="4">
        <f>IF(ISNUMBER(SEARCH("营",'21.04.01'!AB86)),(-$Y86+50*IF('21.04.01'!$AK86="是",'21.04.01'!$BB$4,'21.04.01'!$BB$3)),(VLOOKUP('21.04.01'!AB86,'21.04.01'!$AO$4:$AQ$55,2,FALSE))*IF('21.04.01'!$AK86="是",'21.04.01'!$BB$4,'21.04.01'!$BB$3))</f>
        <v>0</v>
      </c>
      <c r="U86" s="4">
        <f>IF(ISNUMBER(SEARCH("营",'21.04.01'!AC86)),(-$Y86+50*IF('21.04.01'!$AK86="是",'21.04.01'!$BB$4,'21.04.01'!$BB$3)),(VLOOKUP('21.04.01'!AC86,'21.04.01'!$AO$4:$AQ$55,2,FALSE))*IF('21.04.01'!$AK86="是",'21.04.01'!$BB$4,'21.04.01'!$BB$3))</f>
        <v>0</v>
      </c>
      <c r="V86" s="4">
        <f>IF(ISNUMBER(SEARCH("营",'21.04.01'!AD86)),(-$Y86+50*IF('21.04.01'!$AK86="是",'21.04.01'!$BB$4,'21.04.01'!$BB$3)),(VLOOKUP('21.04.01'!AD86,'21.04.01'!$AO$4:$AQ$55,2,FALSE))*IF('21.04.01'!$AK86="是",'21.04.01'!$BB$4,'21.04.01'!$BB$3))</f>
        <v>0</v>
      </c>
      <c r="W86" s="4">
        <f>IF(ISNUMBER(SEARCH("营",'21.04.01'!AE86)),(-$Y86+50*IF('21.04.01'!$AK86="是",'21.04.01'!$BB$4,'21.04.01'!$BB$3)),(VLOOKUP('21.04.01'!AE86,'21.04.01'!$AO$4:$AQ$55,2,FALSE))*IF('21.04.01'!$AK86="是",'21.04.01'!$BB$4,'21.04.01'!$BB$3))</f>
        <v>0</v>
      </c>
      <c r="X86" s="4">
        <f>IF(ISNUMBER(SEARCH("营",'21.04.01'!AF86)),(-$Y86+50*IF('21.04.01'!$AK86="是",'21.04.01'!$BB$4,'21.04.01'!$BB$3)),(VLOOKUP('21.04.01'!AF86,'21.04.01'!$AO$4:$AQ$55,2,FALSE))*IF('21.04.01'!$AK86="是",'21.04.01'!$BB$4,'21.04.01'!$BB$3))</f>
        <v>0</v>
      </c>
      <c r="Y86" s="63">
        <v>100</v>
      </c>
      <c r="Z86" s="94">
        <v>45994</v>
      </c>
    </row>
    <row r="87" spans="1:26">
      <c r="A87" s="4">
        <f>IF(ISNUMBER(SEARCH("营",'21.04.01'!I87)),(-$Y87+50*IF('21.04.01'!$AK87="是",'21.04.01'!$BB$4,'21.04.01'!$BB$3)),(VLOOKUP('21.04.01'!I87,'21.04.01'!$AO$4:$AQ$55,2,FALSE))*IF('21.04.01'!$AK87="是",'21.04.01'!$BB$4,'21.04.01'!$BB$3))</f>
        <v>0</v>
      </c>
      <c r="B87" s="4">
        <f>IF(ISNUMBER(SEARCH("营",'21.04.01'!J87)),(-$Y87+50*IF('21.04.01'!$AK87="是",'21.04.01'!$BB$4,'21.04.01'!$BB$3)),(VLOOKUP('21.04.01'!J87,'21.04.01'!$AO$4:$AQ$55,2,FALSE))*IF('21.04.01'!$AK87="是",'21.04.01'!$BB$4,'21.04.01'!$BB$3))</f>
        <v>0</v>
      </c>
      <c r="C87" s="4">
        <f>IF(ISNUMBER(SEARCH("营",'21.04.01'!K87)),(-$Y87+50*IF('21.04.01'!$AK87="是",'21.04.01'!$BB$4,'21.04.01'!$BB$3)),(VLOOKUP('21.04.01'!K87,'21.04.01'!$AO$4:$AQ$55,2,FALSE))*IF('21.04.01'!$AK87="是",'21.04.01'!$BB$4,'21.04.01'!$BB$3))</f>
        <v>0</v>
      </c>
      <c r="D87" s="4">
        <f>IF(ISNUMBER(SEARCH("营",'21.04.01'!L87)),(-$Y87+50*IF('21.04.01'!$AK87="是",'21.04.01'!$BB$4,'21.04.01'!$BB$3)),(VLOOKUP('21.04.01'!L87,'21.04.01'!$AO$4:$AQ$55,2,FALSE))*IF('21.04.01'!$AK87="是",'21.04.01'!$BB$4,'21.04.01'!$BB$3))</f>
        <v>0</v>
      </c>
      <c r="E87" s="4">
        <f>IF(ISNUMBER(SEARCH("营",'21.04.01'!M87)),(-$Y87+50*IF('21.04.01'!$AK87="是",'21.04.01'!$BB$4,'21.04.01'!$BB$3)),(VLOOKUP('21.04.01'!M87,'21.04.01'!$AO$4:$AQ$55,2,FALSE))*IF('21.04.01'!$AK87="是",'21.04.01'!$BB$4,'21.04.01'!$BB$3))</f>
        <v>0</v>
      </c>
      <c r="F87" s="4">
        <f>IF(ISNUMBER(SEARCH("营",'21.04.01'!N87)),(-$Y87+50*IF('21.04.01'!$AK87="是",'21.04.01'!$BB$4,'21.04.01'!$BB$3)),(VLOOKUP('21.04.01'!N87,'21.04.01'!$AO$4:$AQ$55,2,FALSE))*IF('21.04.01'!$AK87="是",'21.04.01'!$BB$4,'21.04.01'!$BB$3))</f>
        <v>0</v>
      </c>
      <c r="G87" s="4">
        <f>IF(ISNUMBER(SEARCH("营",'21.04.01'!O87)),(-$Y87+50*IF('21.04.01'!$AK87="是",'21.04.01'!$BB$4,'21.04.01'!$BB$3)),(VLOOKUP('21.04.01'!O87,'21.04.01'!$AO$4:$AQ$55,2,FALSE))*IF('21.04.01'!$AK87="是",'21.04.01'!$BB$4,'21.04.01'!$BB$3))</f>
        <v>0</v>
      </c>
      <c r="H87" s="4">
        <f>IF(ISNUMBER(SEARCH("营",'21.04.01'!P87)),(-$Y87+50*IF('21.04.01'!$AK87="是",'21.04.01'!$BB$4,'21.04.01'!$BB$3)),(VLOOKUP('21.04.01'!P87,'21.04.01'!$AO$4:$AQ$55,2,FALSE))*IF('21.04.01'!$AK87="是",'21.04.01'!$BB$4,'21.04.01'!$BB$3))</f>
        <v>0</v>
      </c>
      <c r="I87" s="4">
        <f>IF(ISNUMBER(SEARCH("营",'21.04.01'!Q87)),(-$Y87+50*IF('21.04.01'!$AK87="是",'21.04.01'!$BB$4,'21.04.01'!$BB$3)),(VLOOKUP('21.04.01'!Q87,'21.04.01'!$AO$4:$AQ$55,2,FALSE))*IF('21.04.01'!$AK87="是",'21.04.01'!$BB$4,'21.04.01'!$BB$3))</f>
        <v>0</v>
      </c>
      <c r="J87" s="4">
        <f>IF(ISNUMBER(SEARCH("营",'21.04.01'!R87)),(-$Y87+50*IF('21.04.01'!$AK87="是",'21.04.01'!$BB$4,'21.04.01'!$BB$3)),(VLOOKUP('21.04.01'!R87,'21.04.01'!$AO$4:$AQ$55,2,FALSE))*IF('21.04.01'!$AK87="是",'21.04.01'!$BB$4,'21.04.01'!$BB$3))</f>
        <v>0</v>
      </c>
      <c r="K87" s="4">
        <f>IF(ISNUMBER(SEARCH("营",'21.04.01'!S87)),(-$Y87+50*IF('21.04.01'!$AK87="是",'21.04.01'!$BB$4,'21.04.01'!$BB$3)),(VLOOKUP('21.04.01'!S87,'21.04.01'!$AO$4:$AQ$55,2,FALSE))*IF('21.04.01'!$AK87="是",'21.04.01'!$BB$4,'21.04.01'!$BB$3))</f>
        <v>0</v>
      </c>
      <c r="L87" s="4">
        <f>IF(ISNUMBER(SEARCH("营",'21.04.01'!T87)),(-$Y87+50*IF('21.04.01'!$AK87="是",'21.04.01'!$BB$4,'21.04.01'!$BB$3)),(VLOOKUP('21.04.01'!T87,'21.04.01'!$AO$4:$AQ$55,2,FALSE))*IF('21.04.01'!$AK87="是",'21.04.01'!$BB$4,'21.04.01'!$BB$3))</f>
        <v>0</v>
      </c>
      <c r="M87" s="4">
        <f>IF(ISNUMBER(SEARCH("营",'21.04.01'!U87)),(-$Y87+50*IF('21.04.01'!$AK87="是",'21.04.01'!$BB$4,'21.04.01'!$BB$3)),(VLOOKUP('21.04.01'!U87,'21.04.01'!$AO$4:$AQ$55,2,FALSE))*IF('21.04.01'!$AK87="是",'21.04.01'!$BB$4,'21.04.01'!$BB$3))</f>
        <v>0</v>
      </c>
      <c r="N87" s="4">
        <f>IF(ISNUMBER(SEARCH("营",'21.04.01'!V87)),(-$Y87+50*IF('21.04.01'!$AK87="是",'21.04.01'!$BB$4,'21.04.01'!$BB$3)),(VLOOKUP('21.04.01'!V87,'21.04.01'!$AO$4:$AQ$55,2,FALSE))*IF('21.04.01'!$AK87="是",'21.04.01'!$BB$4,'21.04.01'!$BB$3))</f>
        <v>0</v>
      </c>
      <c r="O87" s="4">
        <f>IF(ISNUMBER(SEARCH("营",'21.04.01'!W87)),(-$Y87+50*IF('21.04.01'!$AK87="是",'21.04.01'!$BB$4,'21.04.01'!$BB$3)),(VLOOKUP('21.04.01'!W87,'21.04.01'!$AO$4:$AQ$55,2,FALSE))*IF('21.04.01'!$AK87="是",'21.04.01'!$BB$4,'21.04.01'!$BB$3))</f>
        <v>0</v>
      </c>
      <c r="P87" s="4">
        <f>IF(ISNUMBER(SEARCH("营",'21.04.01'!X87)),(-$Y87+50*IF('21.04.01'!$AK87="是",'21.04.01'!$BB$4,'21.04.01'!$BB$3)),(VLOOKUP('21.04.01'!X87,'21.04.01'!$AO$4:$AQ$55,2,FALSE))*IF('21.04.01'!$AK87="是",'21.04.01'!$BB$4,'21.04.01'!$BB$3))</f>
        <v>0</v>
      </c>
      <c r="Q87" s="4">
        <f>IF(ISNUMBER(SEARCH("营",'21.04.01'!Y87)),(-$Y87+50*IF('21.04.01'!$AK87="是",'21.04.01'!$BB$4,'21.04.01'!$BB$3)),(VLOOKUP('21.04.01'!Y87,'21.04.01'!$AO$4:$AQ$55,2,FALSE))*IF('21.04.01'!$AK87="是",'21.04.01'!$BB$4,'21.04.01'!$BB$3))</f>
        <v>128</v>
      </c>
      <c r="R87" s="4">
        <f>IF(ISNUMBER(SEARCH("营",'21.04.01'!Z87)),(-$Y87+50*IF('21.04.01'!$AK87="是",'21.04.01'!$BB$4,'21.04.01'!$BB$3)),(VLOOKUP('21.04.01'!Z87,'21.04.01'!$AO$4:$AQ$55,2,FALSE))*IF('21.04.01'!$AK87="是",'21.04.01'!$BB$4,'21.04.01'!$BB$3))</f>
        <v>120</v>
      </c>
      <c r="S87" s="4">
        <f>IF(ISNUMBER(SEARCH("营",'21.04.01'!AA87)),(-$Y87+50*IF('21.04.01'!$AK87="是",'21.04.01'!$BB$4,'21.04.01'!$BB$3)),(VLOOKUP('21.04.01'!AA87,'21.04.01'!$AO$4:$AQ$55,2,FALSE))*IF('21.04.01'!$AK87="是",'21.04.01'!$BB$4,'21.04.01'!$BB$3))</f>
        <v>128</v>
      </c>
      <c r="T87" s="4">
        <f>IF(ISNUMBER(SEARCH("营",'21.04.01'!AB87)),(-$Y87+50*IF('21.04.01'!$AK87="是",'21.04.01'!$BB$4,'21.04.01'!$BB$3)),(VLOOKUP('21.04.01'!AB87,'21.04.01'!$AO$4:$AQ$55,2,FALSE))*IF('21.04.01'!$AK87="是",'21.04.01'!$BB$4,'21.04.01'!$BB$3))</f>
        <v>40</v>
      </c>
      <c r="U87" s="4">
        <f>IF(ISNUMBER(SEARCH("营",'21.04.01'!AC87)),(-$Y87+50*IF('21.04.01'!$AK87="是",'21.04.01'!$BB$4,'21.04.01'!$BB$3)),(VLOOKUP('21.04.01'!AC87,'21.04.01'!$AO$4:$AQ$55,2,FALSE))*IF('21.04.01'!$AK87="是",'21.04.01'!$BB$4,'21.04.01'!$BB$3))</f>
        <v>128</v>
      </c>
      <c r="V87" s="4">
        <f>IF(ISNUMBER(SEARCH("营",'21.04.01'!AD87)),(-$Y87+50*IF('21.04.01'!$AK87="是",'21.04.01'!$BB$4,'21.04.01'!$BB$3)),(VLOOKUP('21.04.01'!AD87,'21.04.01'!$AO$4:$AQ$55,2,FALSE))*IF('21.04.01'!$AK87="是",'21.04.01'!$BB$4,'21.04.01'!$BB$3))</f>
        <v>128</v>
      </c>
      <c r="W87" s="4">
        <f>IF(ISNUMBER(SEARCH("营",'21.04.01'!AE87)),(-$Y87+50*IF('21.04.01'!$AK87="是",'21.04.01'!$BB$4,'21.04.01'!$BB$3)),(VLOOKUP('21.04.01'!AE87,'21.04.01'!$AO$4:$AQ$55,2,FALSE))*IF('21.04.01'!$AK87="是",'21.04.01'!$BB$4,'21.04.01'!$BB$3))</f>
        <v>0</v>
      </c>
      <c r="X87" s="4">
        <f>IF(ISNUMBER(SEARCH("营",'21.04.01'!AF87)),(-$Y87+50*IF('21.04.01'!$AK87="是",'21.04.01'!$BB$4,'21.04.01'!$BB$3)),(VLOOKUP('21.04.01'!AF87,'21.04.01'!$AO$4:$AQ$55,2,FALSE))*IF('21.04.01'!$AK87="是",'21.04.01'!$BB$4,'21.04.01'!$BB$3))</f>
        <v>0</v>
      </c>
      <c r="Y87" s="63">
        <v>100</v>
      </c>
      <c r="Z87" s="94">
        <v>45995</v>
      </c>
    </row>
    <row r="88" spans="1:26">
      <c r="A88" s="4">
        <f>IF(ISNUMBER(SEARCH("营",'21.04.01'!I88)),(-$Y88+50*IF('21.04.01'!$AK88="是",'21.04.01'!$BB$4,'21.04.01'!$BB$3)),(VLOOKUP('21.04.01'!I88,'21.04.01'!$AO$4:$AQ$55,2,FALSE))*IF('21.04.01'!$AK88="是",'21.04.01'!$BB$4,'21.04.01'!$BB$3))</f>
        <v>0</v>
      </c>
      <c r="B88" s="4">
        <f>IF(ISNUMBER(SEARCH("营",'21.04.01'!J88)),(-$Y88+50*IF('21.04.01'!$AK88="是",'21.04.01'!$BB$4,'21.04.01'!$BB$3)),(VLOOKUP('21.04.01'!J88,'21.04.01'!$AO$4:$AQ$55,2,FALSE))*IF('21.04.01'!$AK88="是",'21.04.01'!$BB$4,'21.04.01'!$BB$3))</f>
        <v>0</v>
      </c>
      <c r="C88" s="4">
        <f>IF(ISNUMBER(SEARCH("营",'21.04.01'!K88)),(-$Y88+50*IF('21.04.01'!$AK88="是",'21.04.01'!$BB$4,'21.04.01'!$BB$3)),(VLOOKUP('21.04.01'!K88,'21.04.01'!$AO$4:$AQ$55,2,FALSE))*IF('21.04.01'!$AK88="是",'21.04.01'!$BB$4,'21.04.01'!$BB$3))</f>
        <v>0</v>
      </c>
      <c r="D88" s="4">
        <f>IF(ISNUMBER(SEARCH("营",'21.04.01'!L88)),(-$Y88+50*IF('21.04.01'!$AK88="是",'21.04.01'!$BB$4,'21.04.01'!$BB$3)),(VLOOKUP('21.04.01'!L88,'21.04.01'!$AO$4:$AQ$55,2,FALSE))*IF('21.04.01'!$AK88="是",'21.04.01'!$BB$4,'21.04.01'!$BB$3))</f>
        <v>0</v>
      </c>
      <c r="E88" s="4">
        <f>IF(ISNUMBER(SEARCH("营",'21.04.01'!M88)),(-$Y88+50*IF('21.04.01'!$AK88="是",'21.04.01'!$BB$4,'21.04.01'!$BB$3)),(VLOOKUP('21.04.01'!M88,'21.04.01'!$AO$4:$AQ$55,2,FALSE))*IF('21.04.01'!$AK88="是",'21.04.01'!$BB$4,'21.04.01'!$BB$3))</f>
        <v>0</v>
      </c>
      <c r="F88" s="4">
        <f>IF(ISNUMBER(SEARCH("营",'21.04.01'!N88)),(-$Y88+50*IF('21.04.01'!$AK88="是",'21.04.01'!$BB$4,'21.04.01'!$BB$3)),(VLOOKUP('21.04.01'!N88,'21.04.01'!$AO$4:$AQ$55,2,FALSE))*IF('21.04.01'!$AK88="是",'21.04.01'!$BB$4,'21.04.01'!$BB$3))</f>
        <v>0</v>
      </c>
      <c r="G88" s="4">
        <f>IF(ISNUMBER(SEARCH("营",'21.04.01'!O88)),(-$Y88+50*IF('21.04.01'!$AK88="是",'21.04.01'!$BB$4,'21.04.01'!$BB$3)),(VLOOKUP('21.04.01'!O88,'21.04.01'!$AO$4:$AQ$55,2,FALSE))*IF('21.04.01'!$AK88="是",'21.04.01'!$BB$4,'21.04.01'!$BB$3))</f>
        <v>0</v>
      </c>
      <c r="H88" s="4">
        <f>IF(ISNUMBER(SEARCH("营",'21.04.01'!P88)),(-$Y88+50*IF('21.04.01'!$AK88="是",'21.04.01'!$BB$4,'21.04.01'!$BB$3)),(VLOOKUP('21.04.01'!P88,'21.04.01'!$AO$4:$AQ$55,2,FALSE))*IF('21.04.01'!$AK88="是",'21.04.01'!$BB$4,'21.04.01'!$BB$3))</f>
        <v>0</v>
      </c>
      <c r="I88" s="4">
        <f>IF(ISNUMBER(SEARCH("营",'21.04.01'!Q88)),(-$Y88+50*IF('21.04.01'!$AK88="是",'21.04.01'!$BB$4,'21.04.01'!$BB$3)),(VLOOKUP('21.04.01'!Q88,'21.04.01'!$AO$4:$AQ$55,2,FALSE))*IF('21.04.01'!$AK88="是",'21.04.01'!$BB$4,'21.04.01'!$BB$3))</f>
        <v>0</v>
      </c>
      <c r="J88" s="4">
        <f>IF(ISNUMBER(SEARCH("营",'21.04.01'!R88)),(-$Y88+50*IF('21.04.01'!$AK88="是",'21.04.01'!$BB$4,'21.04.01'!$BB$3)),(VLOOKUP('21.04.01'!R88,'21.04.01'!$AO$4:$AQ$55,2,FALSE))*IF('21.04.01'!$AK88="是",'21.04.01'!$BB$4,'21.04.01'!$BB$3))</f>
        <v>0</v>
      </c>
      <c r="K88" s="4">
        <f>IF(ISNUMBER(SEARCH("营",'21.04.01'!S88)),(-$Y88+50*IF('21.04.01'!$AK88="是",'21.04.01'!$BB$4,'21.04.01'!$BB$3)),(VLOOKUP('21.04.01'!S88,'21.04.01'!$AO$4:$AQ$55,2,FALSE))*IF('21.04.01'!$AK88="是",'21.04.01'!$BB$4,'21.04.01'!$BB$3))</f>
        <v>0</v>
      </c>
      <c r="L88" s="4">
        <f>IF(ISNUMBER(SEARCH("营",'21.04.01'!T88)),(-$Y88+50*IF('21.04.01'!$AK88="是",'21.04.01'!$BB$4,'21.04.01'!$BB$3)),(VLOOKUP('21.04.01'!T88,'21.04.01'!$AO$4:$AQ$55,2,FALSE))*IF('21.04.01'!$AK88="是",'21.04.01'!$BB$4,'21.04.01'!$BB$3))</f>
        <v>0</v>
      </c>
      <c r="M88" s="4">
        <f>IF(ISNUMBER(SEARCH("营",'21.04.01'!U88)),(-$Y88+50*IF('21.04.01'!$AK88="是",'21.04.01'!$BB$4,'21.04.01'!$BB$3)),(VLOOKUP('21.04.01'!U88,'21.04.01'!$AO$4:$AQ$55,2,FALSE))*IF('21.04.01'!$AK88="是",'21.04.01'!$BB$4,'21.04.01'!$BB$3))</f>
        <v>0</v>
      </c>
      <c r="N88" s="4">
        <f>IF(ISNUMBER(SEARCH("营",'21.04.01'!V88)),(-$Y88+50*IF('21.04.01'!$AK88="是",'21.04.01'!$BB$4,'21.04.01'!$BB$3)),(VLOOKUP('21.04.01'!V88,'21.04.01'!$AO$4:$AQ$55,2,FALSE))*IF('21.04.01'!$AK88="是",'21.04.01'!$BB$4,'21.04.01'!$BB$3))</f>
        <v>0</v>
      </c>
      <c r="O88" s="4">
        <f>IF(ISNUMBER(SEARCH("营",'21.04.01'!W88)),(-$Y88+50*IF('21.04.01'!$AK88="是",'21.04.01'!$BB$4,'21.04.01'!$BB$3)),(VLOOKUP('21.04.01'!W88,'21.04.01'!$AO$4:$AQ$55,2,FALSE))*IF('21.04.01'!$AK88="是",'21.04.01'!$BB$4,'21.04.01'!$BB$3))</f>
        <v>0</v>
      </c>
      <c r="P88" s="4">
        <f>IF(ISNUMBER(SEARCH("营",'21.04.01'!X88)),(-$Y88+50*IF('21.04.01'!$AK88="是",'21.04.01'!$BB$4,'21.04.01'!$BB$3)),(VLOOKUP('21.04.01'!X88,'21.04.01'!$AO$4:$AQ$55,2,FALSE))*IF('21.04.01'!$AK88="是",'21.04.01'!$BB$4,'21.04.01'!$BB$3))</f>
        <v>0</v>
      </c>
      <c r="Q88" s="4">
        <f>IF(ISNUMBER(SEARCH("营",'21.04.01'!Y88)),(-$Y88+50*IF('21.04.01'!$AK88="是",'21.04.01'!$BB$4,'21.04.01'!$BB$3)),(VLOOKUP('21.04.01'!Y88,'21.04.01'!$AO$4:$AQ$55,2,FALSE))*IF('21.04.01'!$AK88="是",'21.04.01'!$BB$4,'21.04.01'!$BB$3))</f>
        <v>128</v>
      </c>
      <c r="R88" s="4">
        <f>IF(ISNUMBER(SEARCH("营",'21.04.01'!Z88)),(-$Y88+50*IF('21.04.01'!$AK88="是",'21.04.01'!$BB$4,'21.04.01'!$BB$3)),(VLOOKUP('21.04.01'!Z88,'21.04.01'!$AO$4:$AQ$55,2,FALSE))*IF('21.04.01'!$AK88="是",'21.04.01'!$BB$4,'21.04.01'!$BB$3))</f>
        <v>40</v>
      </c>
      <c r="S88" s="4">
        <f>IF(ISNUMBER(SEARCH("营",'21.04.01'!AA88)),(-$Y88+50*IF('21.04.01'!$AK88="是",'21.04.01'!$BB$4,'21.04.01'!$BB$3)),(VLOOKUP('21.04.01'!AA88,'21.04.01'!$AO$4:$AQ$55,2,FALSE))*IF('21.04.01'!$AK88="是",'21.04.01'!$BB$4,'21.04.01'!$BB$3))</f>
        <v>128</v>
      </c>
      <c r="T88" s="4">
        <f>IF(ISNUMBER(SEARCH("营",'21.04.01'!AB88)),(-$Y88+50*IF('21.04.01'!$AK88="是",'21.04.01'!$BB$4,'21.04.01'!$BB$3)),(VLOOKUP('21.04.01'!AB88,'21.04.01'!$AO$4:$AQ$55,2,FALSE))*IF('21.04.01'!$AK88="是",'21.04.01'!$BB$4,'21.04.01'!$BB$3))</f>
        <v>128</v>
      </c>
      <c r="U88" s="4">
        <f>IF(ISNUMBER(SEARCH("营",'21.04.01'!AC88)),(-$Y88+50*IF('21.04.01'!$AK88="是",'21.04.01'!$BB$4,'21.04.01'!$BB$3)),(VLOOKUP('21.04.01'!AC88,'21.04.01'!$AO$4:$AQ$55,2,FALSE))*IF('21.04.01'!$AK88="是",'21.04.01'!$BB$4,'21.04.01'!$BB$3))</f>
        <v>128</v>
      </c>
      <c r="V88" s="4">
        <f>IF(ISNUMBER(SEARCH("营",'21.04.01'!AD88)),(-$Y88+50*IF('21.04.01'!$AK88="是",'21.04.01'!$BB$4,'21.04.01'!$BB$3)),(VLOOKUP('21.04.01'!AD88,'21.04.01'!$AO$4:$AQ$55,2,FALSE))*IF('21.04.01'!$AK88="是",'21.04.01'!$BB$4,'21.04.01'!$BB$3))</f>
        <v>40</v>
      </c>
      <c r="W88" s="4">
        <f>IF(ISNUMBER(SEARCH("营",'21.04.01'!AE88)),(-$Y88+50*IF('21.04.01'!$AK88="是",'21.04.01'!$BB$4,'21.04.01'!$BB$3)),(VLOOKUP('21.04.01'!AE88,'21.04.01'!$AO$4:$AQ$55,2,FALSE))*IF('21.04.01'!$AK88="是",'21.04.01'!$BB$4,'21.04.01'!$BB$3))</f>
        <v>0</v>
      </c>
      <c r="X88" s="4">
        <f>IF(ISNUMBER(SEARCH("营",'21.04.01'!AF88)),(-$Y88+50*IF('21.04.01'!$AK88="是",'21.04.01'!$BB$4,'21.04.01'!$BB$3)),(VLOOKUP('21.04.01'!AF88,'21.04.01'!$AO$4:$AQ$55,2,FALSE))*IF('21.04.01'!$AK88="是",'21.04.01'!$BB$4,'21.04.01'!$BB$3))</f>
        <v>0</v>
      </c>
      <c r="Y88" s="63">
        <v>100</v>
      </c>
      <c r="Z88" s="94">
        <v>45996</v>
      </c>
    </row>
    <row r="89" spans="1:26">
      <c r="A89" s="4">
        <f>IF(ISNUMBER(SEARCH("营",'21.04.01'!I89)),(-$Y89+50*IF('21.04.01'!$AK89="是",'21.04.01'!$BB$4,'21.04.01'!$BB$3)),(VLOOKUP('21.04.01'!I89,'21.04.01'!$AO$4:$AQ$55,2,FALSE))*IF('21.04.01'!$AK89="是",'21.04.01'!$BB$4,'21.04.01'!$BB$3))</f>
        <v>0</v>
      </c>
      <c r="B89" s="4">
        <f>IF(ISNUMBER(SEARCH("营",'21.04.01'!J89)),(-$Y89+50*IF('21.04.01'!$AK89="是",'21.04.01'!$BB$4,'21.04.01'!$BB$3)),(VLOOKUP('21.04.01'!J89,'21.04.01'!$AO$4:$AQ$55,2,FALSE))*IF('21.04.01'!$AK89="是",'21.04.01'!$BB$4,'21.04.01'!$BB$3))</f>
        <v>0</v>
      </c>
      <c r="C89" s="4">
        <f>IF(ISNUMBER(SEARCH("营",'21.04.01'!K89)),(-$Y89+50*IF('21.04.01'!$AK89="是",'21.04.01'!$BB$4,'21.04.01'!$BB$3)),(VLOOKUP('21.04.01'!K89,'21.04.01'!$AO$4:$AQ$55,2,FALSE))*IF('21.04.01'!$AK89="是",'21.04.01'!$BB$4,'21.04.01'!$BB$3))</f>
        <v>0</v>
      </c>
      <c r="D89" s="4">
        <f>IF(ISNUMBER(SEARCH("营",'21.04.01'!L89)),(-$Y89+50*IF('21.04.01'!$AK89="是",'21.04.01'!$BB$4,'21.04.01'!$BB$3)),(VLOOKUP('21.04.01'!L89,'21.04.01'!$AO$4:$AQ$55,2,FALSE))*IF('21.04.01'!$AK89="是",'21.04.01'!$BB$4,'21.04.01'!$BB$3))</f>
        <v>0</v>
      </c>
      <c r="E89" s="4">
        <f>IF(ISNUMBER(SEARCH("营",'21.04.01'!M89)),(-$Y89+50*IF('21.04.01'!$AK89="是",'21.04.01'!$BB$4,'21.04.01'!$BB$3)),(VLOOKUP('21.04.01'!M89,'21.04.01'!$AO$4:$AQ$55,2,FALSE))*IF('21.04.01'!$AK89="是",'21.04.01'!$BB$4,'21.04.01'!$BB$3))</f>
        <v>0</v>
      </c>
      <c r="F89" s="4">
        <f>IF(ISNUMBER(SEARCH("营",'21.04.01'!N89)),(-$Y89+50*IF('21.04.01'!$AK89="是",'21.04.01'!$BB$4,'21.04.01'!$BB$3)),(VLOOKUP('21.04.01'!N89,'21.04.01'!$AO$4:$AQ$55,2,FALSE))*IF('21.04.01'!$AK89="是",'21.04.01'!$BB$4,'21.04.01'!$BB$3))</f>
        <v>0</v>
      </c>
      <c r="G89" s="4">
        <f>IF(ISNUMBER(SEARCH("营",'21.04.01'!O89)),(-$Y89+50*IF('21.04.01'!$AK89="是",'21.04.01'!$BB$4,'21.04.01'!$BB$3)),(VLOOKUP('21.04.01'!O89,'21.04.01'!$AO$4:$AQ$55,2,FALSE))*IF('21.04.01'!$AK89="是",'21.04.01'!$BB$4,'21.04.01'!$BB$3))</f>
        <v>0</v>
      </c>
      <c r="H89" s="4">
        <f>IF(ISNUMBER(SEARCH("营",'21.04.01'!P89)),(-$Y89+50*IF('21.04.01'!$AK89="是",'21.04.01'!$BB$4,'21.04.01'!$BB$3)),(VLOOKUP('21.04.01'!P89,'21.04.01'!$AO$4:$AQ$55,2,FALSE))*IF('21.04.01'!$AK89="是",'21.04.01'!$BB$4,'21.04.01'!$BB$3))</f>
        <v>0</v>
      </c>
      <c r="I89" s="4">
        <f>IF(ISNUMBER(SEARCH("营",'21.04.01'!Q89)),(-$Y89+50*IF('21.04.01'!$AK89="是",'21.04.01'!$BB$4,'21.04.01'!$BB$3)),(VLOOKUP('21.04.01'!Q89,'21.04.01'!$AO$4:$AQ$55,2,FALSE))*IF('21.04.01'!$AK89="是",'21.04.01'!$BB$4,'21.04.01'!$BB$3))</f>
        <v>0</v>
      </c>
      <c r="J89" s="4">
        <f>IF(ISNUMBER(SEARCH("营",'21.04.01'!R89)),(-$Y89+50*IF('21.04.01'!$AK89="是",'21.04.01'!$BB$4,'21.04.01'!$BB$3)),(VLOOKUP('21.04.01'!R89,'21.04.01'!$AO$4:$AQ$55,2,FALSE))*IF('21.04.01'!$AK89="是",'21.04.01'!$BB$4,'21.04.01'!$BB$3))</f>
        <v>0</v>
      </c>
      <c r="K89" s="4">
        <f>IF(ISNUMBER(SEARCH("营",'21.04.01'!S89)),(-$Y89+50*IF('21.04.01'!$AK89="是",'21.04.01'!$BB$4,'21.04.01'!$BB$3)),(VLOOKUP('21.04.01'!S89,'21.04.01'!$AO$4:$AQ$55,2,FALSE))*IF('21.04.01'!$AK89="是",'21.04.01'!$BB$4,'21.04.01'!$BB$3))</f>
        <v>0</v>
      </c>
      <c r="L89" s="4">
        <f>IF(ISNUMBER(SEARCH("营",'21.04.01'!T89)),(-$Y89+50*IF('21.04.01'!$AK89="是",'21.04.01'!$BB$4,'21.04.01'!$BB$3)),(VLOOKUP('21.04.01'!T89,'21.04.01'!$AO$4:$AQ$55,2,FALSE))*IF('21.04.01'!$AK89="是",'21.04.01'!$BB$4,'21.04.01'!$BB$3))</f>
        <v>0</v>
      </c>
      <c r="M89" s="4">
        <f>IF(ISNUMBER(SEARCH("营",'21.04.01'!U89)),(-$Y89+50*IF('21.04.01'!$AK89="是",'21.04.01'!$BB$4,'21.04.01'!$BB$3)),(VLOOKUP('21.04.01'!U89,'21.04.01'!$AO$4:$AQ$55,2,FALSE))*IF('21.04.01'!$AK89="是",'21.04.01'!$BB$4,'21.04.01'!$BB$3))</f>
        <v>0</v>
      </c>
      <c r="N89" s="4">
        <f>IF(ISNUMBER(SEARCH("营",'21.04.01'!V89)),(-$Y89+50*IF('21.04.01'!$AK89="是",'21.04.01'!$BB$4,'21.04.01'!$BB$3)),(VLOOKUP('21.04.01'!V89,'21.04.01'!$AO$4:$AQ$55,2,FALSE))*IF('21.04.01'!$AK89="是",'21.04.01'!$BB$4,'21.04.01'!$BB$3))</f>
        <v>0</v>
      </c>
      <c r="O89" s="4">
        <f>IF(ISNUMBER(SEARCH("营",'21.04.01'!W89)),(-$Y89+50*IF('21.04.01'!$AK89="是",'21.04.01'!$BB$4,'21.04.01'!$BB$3)),(VLOOKUP('21.04.01'!W89,'21.04.01'!$AO$4:$AQ$55,2,FALSE))*IF('21.04.01'!$AK89="是",'21.04.01'!$BB$4,'21.04.01'!$BB$3))</f>
        <v>0</v>
      </c>
      <c r="P89" s="4">
        <f>IF(ISNUMBER(SEARCH("营",'21.04.01'!X89)),(-$Y89+50*IF('21.04.01'!$AK89="是",'21.04.01'!$BB$4,'21.04.01'!$BB$3)),(VLOOKUP('21.04.01'!X89,'21.04.01'!$AO$4:$AQ$55,2,FALSE))*IF('21.04.01'!$AK89="是",'21.04.01'!$BB$4,'21.04.01'!$BB$3))</f>
        <v>0</v>
      </c>
      <c r="Q89" s="4">
        <f>IF(ISNUMBER(SEARCH("营",'21.04.01'!Y89)),(-$Y89+50*IF('21.04.01'!$AK89="是",'21.04.01'!$BB$4,'21.04.01'!$BB$3)),(VLOOKUP('21.04.01'!Y89,'21.04.01'!$AO$4:$AQ$55,2,FALSE))*IF('21.04.01'!$AK89="是",'21.04.01'!$BB$4,'21.04.01'!$BB$3))</f>
        <v>128</v>
      </c>
      <c r="R89" s="4">
        <f>IF(ISNUMBER(SEARCH("营",'21.04.01'!Z89)),(-$Y89+50*IF('21.04.01'!$AK89="是",'21.04.01'!$BB$4,'21.04.01'!$BB$3)),(VLOOKUP('21.04.01'!Z89,'21.04.01'!$AO$4:$AQ$55,2,FALSE))*IF('21.04.01'!$AK89="是",'21.04.01'!$BB$4,'21.04.01'!$BB$3))</f>
        <v>128</v>
      </c>
      <c r="S89" s="4">
        <f>IF(ISNUMBER(SEARCH("营",'21.04.01'!AA89)),(-$Y89+50*IF('21.04.01'!$AK89="是",'21.04.01'!$BB$4,'21.04.01'!$BB$3)),(VLOOKUP('21.04.01'!AA89,'21.04.01'!$AO$4:$AQ$55,2,FALSE))*IF('21.04.01'!$AK89="是",'21.04.01'!$BB$4,'21.04.01'!$BB$3))</f>
        <v>120</v>
      </c>
      <c r="T89" s="4">
        <f>IF(ISNUMBER(SEARCH("营",'21.04.01'!AB89)),(-$Y89+50*IF('21.04.01'!$AK89="是",'21.04.01'!$BB$4,'21.04.01'!$BB$3)),(VLOOKUP('21.04.01'!AB89,'21.04.01'!$AO$4:$AQ$55,2,FALSE))*IF('21.04.01'!$AK89="是",'21.04.01'!$BB$4,'21.04.01'!$BB$3))</f>
        <v>128</v>
      </c>
      <c r="U89" s="4">
        <f>IF(ISNUMBER(SEARCH("营",'21.04.01'!AC89)),(-$Y89+50*IF('21.04.01'!$AK89="是",'21.04.01'!$BB$4,'21.04.01'!$BB$3)),(VLOOKUP('21.04.01'!AC89,'21.04.01'!$AO$4:$AQ$55,2,FALSE))*IF('21.04.01'!$AK89="是",'21.04.01'!$BB$4,'21.04.01'!$BB$3))</f>
        <v>40</v>
      </c>
      <c r="V89" s="4">
        <f>IF(ISNUMBER(SEARCH("营",'21.04.01'!AD89)),(-$Y89+50*IF('21.04.01'!$AK89="是",'21.04.01'!$BB$4,'21.04.01'!$BB$3)),(VLOOKUP('21.04.01'!AD89,'21.04.01'!$AO$4:$AQ$55,2,FALSE))*IF('21.04.01'!$AK89="是",'21.04.01'!$BB$4,'21.04.01'!$BB$3))</f>
        <v>128</v>
      </c>
      <c r="W89" s="4">
        <f>IF(ISNUMBER(SEARCH("营",'21.04.01'!AE89)),(-$Y89+50*IF('21.04.01'!$AK89="是",'21.04.01'!$BB$4,'21.04.01'!$BB$3)),(VLOOKUP('21.04.01'!AE89,'21.04.01'!$AO$4:$AQ$55,2,FALSE))*IF('21.04.01'!$AK89="是",'21.04.01'!$BB$4,'21.04.01'!$BB$3))</f>
        <v>0</v>
      </c>
      <c r="X89" s="4">
        <f>IF(ISNUMBER(SEARCH("营",'21.04.01'!AF89)),(-$Y89+50*IF('21.04.01'!$AK89="是",'21.04.01'!$BB$4,'21.04.01'!$BB$3)),(VLOOKUP('21.04.01'!AF89,'21.04.01'!$AO$4:$AQ$55,2,FALSE))*IF('21.04.01'!$AK89="是",'21.04.01'!$BB$4,'21.04.01'!$BB$3))</f>
        <v>0</v>
      </c>
      <c r="Y89" s="63">
        <v>100</v>
      </c>
      <c r="Z89" s="94">
        <v>45997</v>
      </c>
    </row>
    <row r="90" spans="1:26">
      <c r="A90" s="4">
        <f>IF(ISNUMBER(SEARCH("营",'21.04.01'!I90)),(-$Y90+50*IF('21.04.01'!$AK90="是",'21.04.01'!$BB$4,'21.04.01'!$BB$3)),(VLOOKUP('21.04.01'!I90,'21.04.01'!$AO$4:$AQ$55,2,FALSE))*IF('21.04.01'!$AK90="是",'21.04.01'!$BB$4,'21.04.01'!$BB$3))</f>
        <v>0</v>
      </c>
      <c r="B90" s="4">
        <f>IF(ISNUMBER(SEARCH("营",'21.04.01'!J90)),(-$Y90+50*IF('21.04.01'!$AK90="是",'21.04.01'!$BB$4,'21.04.01'!$BB$3)),(VLOOKUP('21.04.01'!J90,'21.04.01'!$AO$4:$AQ$55,2,FALSE))*IF('21.04.01'!$AK90="是",'21.04.01'!$BB$4,'21.04.01'!$BB$3))</f>
        <v>0</v>
      </c>
      <c r="C90" s="4">
        <f>IF(ISNUMBER(SEARCH("营",'21.04.01'!K90)),(-$Y90+50*IF('21.04.01'!$AK90="是",'21.04.01'!$BB$4,'21.04.01'!$BB$3)),(VLOOKUP('21.04.01'!K90,'21.04.01'!$AO$4:$AQ$55,2,FALSE))*IF('21.04.01'!$AK90="是",'21.04.01'!$BB$4,'21.04.01'!$BB$3))</f>
        <v>0</v>
      </c>
      <c r="D90" s="4">
        <f>IF(ISNUMBER(SEARCH("营",'21.04.01'!L90)),(-$Y90+50*IF('21.04.01'!$AK90="是",'21.04.01'!$BB$4,'21.04.01'!$BB$3)),(VLOOKUP('21.04.01'!L90,'21.04.01'!$AO$4:$AQ$55,2,FALSE))*IF('21.04.01'!$AK90="是",'21.04.01'!$BB$4,'21.04.01'!$BB$3))</f>
        <v>0</v>
      </c>
      <c r="E90" s="4">
        <f>IF(ISNUMBER(SEARCH("营",'21.04.01'!M90)),(-$Y90+50*IF('21.04.01'!$AK90="是",'21.04.01'!$BB$4,'21.04.01'!$BB$3)),(VLOOKUP('21.04.01'!M90,'21.04.01'!$AO$4:$AQ$55,2,FALSE))*IF('21.04.01'!$AK90="是",'21.04.01'!$BB$4,'21.04.01'!$BB$3))</f>
        <v>0</v>
      </c>
      <c r="F90" s="4">
        <f>IF(ISNUMBER(SEARCH("营",'21.04.01'!N90)),(-$Y90+50*IF('21.04.01'!$AK90="是",'21.04.01'!$BB$4,'21.04.01'!$BB$3)),(VLOOKUP('21.04.01'!N90,'21.04.01'!$AO$4:$AQ$55,2,FALSE))*IF('21.04.01'!$AK90="是",'21.04.01'!$BB$4,'21.04.01'!$BB$3))</f>
        <v>0</v>
      </c>
      <c r="G90" s="4">
        <f>IF(ISNUMBER(SEARCH("营",'21.04.01'!O90)),(-$Y90+50*IF('21.04.01'!$AK90="是",'21.04.01'!$BB$4,'21.04.01'!$BB$3)),(VLOOKUP('21.04.01'!O90,'21.04.01'!$AO$4:$AQ$55,2,FALSE))*IF('21.04.01'!$AK90="是",'21.04.01'!$BB$4,'21.04.01'!$BB$3))</f>
        <v>0</v>
      </c>
      <c r="H90" s="4">
        <f>IF(ISNUMBER(SEARCH("营",'21.04.01'!P90)),(-$Y90+50*IF('21.04.01'!$AK90="是",'21.04.01'!$BB$4,'21.04.01'!$BB$3)),(VLOOKUP('21.04.01'!P90,'21.04.01'!$AO$4:$AQ$55,2,FALSE))*IF('21.04.01'!$AK90="是",'21.04.01'!$BB$4,'21.04.01'!$BB$3))</f>
        <v>0</v>
      </c>
      <c r="I90" s="4">
        <f>IF(ISNUMBER(SEARCH("营",'21.04.01'!Q90)),(-$Y90+50*IF('21.04.01'!$AK90="是",'21.04.01'!$BB$4,'21.04.01'!$BB$3)),(VLOOKUP('21.04.01'!Q90,'21.04.01'!$AO$4:$AQ$55,2,FALSE))*IF('21.04.01'!$AK90="是",'21.04.01'!$BB$4,'21.04.01'!$BB$3))</f>
        <v>0</v>
      </c>
      <c r="J90" s="4">
        <f>IF(ISNUMBER(SEARCH("营",'21.04.01'!R90)),(-$Y90+50*IF('21.04.01'!$AK90="是",'21.04.01'!$BB$4,'21.04.01'!$BB$3)),(VLOOKUP('21.04.01'!R90,'21.04.01'!$AO$4:$AQ$55,2,FALSE))*IF('21.04.01'!$AK90="是",'21.04.01'!$BB$4,'21.04.01'!$BB$3))</f>
        <v>0</v>
      </c>
      <c r="K90" s="4">
        <f>IF(ISNUMBER(SEARCH("营",'21.04.01'!S90)),(-$Y90+50*IF('21.04.01'!$AK90="是",'21.04.01'!$BB$4,'21.04.01'!$BB$3)),(VLOOKUP('21.04.01'!S90,'21.04.01'!$AO$4:$AQ$55,2,FALSE))*IF('21.04.01'!$AK90="是",'21.04.01'!$BB$4,'21.04.01'!$BB$3))</f>
        <v>0</v>
      </c>
      <c r="L90" s="4">
        <f>IF(ISNUMBER(SEARCH("营",'21.04.01'!T90)),(-$Y90+50*IF('21.04.01'!$AK90="是",'21.04.01'!$BB$4,'21.04.01'!$BB$3)),(VLOOKUP('21.04.01'!T90,'21.04.01'!$AO$4:$AQ$55,2,FALSE))*IF('21.04.01'!$AK90="是",'21.04.01'!$BB$4,'21.04.01'!$BB$3))</f>
        <v>0</v>
      </c>
      <c r="M90" s="4">
        <f>IF(ISNUMBER(SEARCH("营",'21.04.01'!U90)),(-$Y90+50*IF('21.04.01'!$AK90="是",'21.04.01'!$BB$4,'21.04.01'!$BB$3)),(VLOOKUP('21.04.01'!U90,'21.04.01'!$AO$4:$AQ$55,2,FALSE))*IF('21.04.01'!$AK90="是",'21.04.01'!$BB$4,'21.04.01'!$BB$3))</f>
        <v>0</v>
      </c>
      <c r="N90" s="4">
        <f>IF(ISNUMBER(SEARCH("营",'21.04.01'!V90)),(-$Y90+50*IF('21.04.01'!$AK90="是",'21.04.01'!$BB$4,'21.04.01'!$BB$3)),(VLOOKUP('21.04.01'!V90,'21.04.01'!$AO$4:$AQ$55,2,FALSE))*IF('21.04.01'!$AK90="是",'21.04.01'!$BB$4,'21.04.01'!$BB$3))</f>
        <v>0</v>
      </c>
      <c r="O90" s="4">
        <f>IF(ISNUMBER(SEARCH("营",'21.04.01'!W90)),(-$Y90+50*IF('21.04.01'!$AK90="是",'21.04.01'!$BB$4,'21.04.01'!$BB$3)),(VLOOKUP('21.04.01'!W90,'21.04.01'!$AO$4:$AQ$55,2,FALSE))*IF('21.04.01'!$AK90="是",'21.04.01'!$BB$4,'21.04.01'!$BB$3))</f>
        <v>0</v>
      </c>
      <c r="P90" s="4">
        <f>IF(ISNUMBER(SEARCH("营",'21.04.01'!X90)),(-$Y90+50*IF('21.04.01'!$AK90="是",'21.04.01'!$BB$4,'21.04.01'!$BB$3)),(VLOOKUP('21.04.01'!X90,'21.04.01'!$AO$4:$AQ$55,2,FALSE))*IF('21.04.01'!$AK90="是",'21.04.01'!$BB$4,'21.04.01'!$BB$3))</f>
        <v>0</v>
      </c>
      <c r="Q90" s="4">
        <f>IF(ISNUMBER(SEARCH("营",'21.04.01'!Y90)),(-$Y90+50*IF('21.04.01'!$AK90="是",'21.04.01'!$BB$4,'21.04.01'!$BB$3)),(VLOOKUP('21.04.01'!Y90,'21.04.01'!$AO$4:$AQ$55,2,FALSE))*IF('21.04.01'!$AK90="是",'21.04.01'!$BB$4,'21.04.01'!$BB$3))</f>
        <v>120</v>
      </c>
      <c r="R90" s="4">
        <f>IF(ISNUMBER(SEARCH("营",'21.04.01'!Z90)),(-$Y90+50*IF('21.04.01'!$AK90="是",'21.04.01'!$BB$4,'21.04.01'!$BB$3)),(VLOOKUP('21.04.01'!Z90,'21.04.01'!$AO$4:$AQ$55,2,FALSE))*IF('21.04.01'!$AK90="是",'21.04.01'!$BB$4,'21.04.01'!$BB$3))</f>
        <v>128</v>
      </c>
      <c r="S90" s="4">
        <f>IF(ISNUMBER(SEARCH("营",'21.04.01'!AA90)),(-$Y90+50*IF('21.04.01'!$AK90="是",'21.04.01'!$BB$4,'21.04.01'!$BB$3)),(VLOOKUP('21.04.01'!AA90,'21.04.01'!$AO$4:$AQ$55,2,FALSE))*IF('21.04.01'!$AK90="是",'21.04.01'!$BB$4,'21.04.01'!$BB$3))</f>
        <v>128</v>
      </c>
      <c r="T90" s="4">
        <f>IF(ISNUMBER(SEARCH("营",'21.04.01'!AB90)),(-$Y90+50*IF('21.04.01'!$AK90="是",'21.04.01'!$BB$4,'21.04.01'!$BB$3)),(VLOOKUP('21.04.01'!AB90,'21.04.01'!$AO$4:$AQ$55,2,FALSE))*IF('21.04.01'!$AK90="是",'21.04.01'!$BB$4,'21.04.01'!$BB$3))</f>
        <v>128</v>
      </c>
      <c r="U90" s="4">
        <f>IF(ISNUMBER(SEARCH("营",'21.04.01'!AC90)),(-$Y90+50*IF('21.04.01'!$AK90="是",'21.04.01'!$BB$4,'21.04.01'!$BB$3)),(VLOOKUP('21.04.01'!AC90,'21.04.01'!$AO$4:$AQ$55,2,FALSE))*IF('21.04.01'!$AK90="是",'21.04.01'!$BB$4,'21.04.01'!$BB$3))</f>
        <v>40</v>
      </c>
      <c r="V90" s="4">
        <f>IF(ISNUMBER(SEARCH("营",'21.04.01'!AD90)),(-$Y90+50*IF('21.04.01'!$AK90="是",'21.04.01'!$BB$4,'21.04.01'!$BB$3)),(VLOOKUP('21.04.01'!AD90,'21.04.01'!$AO$4:$AQ$55,2,FALSE))*IF('21.04.01'!$AK90="是",'21.04.01'!$BB$4,'21.04.01'!$BB$3))</f>
        <v>128</v>
      </c>
      <c r="W90" s="4">
        <f>IF(ISNUMBER(SEARCH("营",'21.04.01'!AE90)),(-$Y90+50*IF('21.04.01'!$AK90="是",'21.04.01'!$BB$4,'21.04.01'!$BB$3)),(VLOOKUP('21.04.01'!AE90,'21.04.01'!$AO$4:$AQ$55,2,FALSE))*IF('21.04.01'!$AK90="是",'21.04.01'!$BB$4,'21.04.01'!$BB$3))</f>
        <v>0</v>
      </c>
      <c r="X90" s="4">
        <f>IF(ISNUMBER(SEARCH("营",'21.04.01'!AF90)),(-$Y90+50*IF('21.04.01'!$AK90="是",'21.04.01'!$BB$4,'21.04.01'!$BB$3)),(VLOOKUP('21.04.01'!AF90,'21.04.01'!$AO$4:$AQ$55,2,FALSE))*IF('21.04.01'!$AK90="是",'21.04.01'!$BB$4,'21.04.01'!$BB$3))</f>
        <v>0</v>
      </c>
      <c r="Y90" s="63">
        <v>100</v>
      </c>
      <c r="Z90" s="94">
        <v>45998</v>
      </c>
    </row>
    <row r="91" spans="1:26">
      <c r="A91" s="4">
        <f>IF(ISNUMBER(SEARCH("营",'21.04.01'!I91)),(-$Y91+50*IF('21.04.01'!$AK91="是",'21.04.01'!$BB$4,'21.04.01'!$BB$3)),(VLOOKUP('21.04.01'!I91,'21.04.01'!$AO$4:$AQ$55,2,FALSE))*IF('21.04.01'!$AK91="是",'21.04.01'!$BB$4,'21.04.01'!$BB$3))</f>
        <v>0</v>
      </c>
      <c r="B91" s="4">
        <f>IF(ISNUMBER(SEARCH("营",'21.04.01'!J91)),(-$Y91+50*IF('21.04.01'!$AK91="是",'21.04.01'!$BB$4,'21.04.01'!$BB$3)),(VLOOKUP('21.04.01'!J91,'21.04.01'!$AO$4:$AQ$55,2,FALSE))*IF('21.04.01'!$AK91="是",'21.04.01'!$BB$4,'21.04.01'!$BB$3))</f>
        <v>0</v>
      </c>
      <c r="C91" s="4">
        <f>IF(ISNUMBER(SEARCH("营",'21.04.01'!K91)),(-$Y91+50*IF('21.04.01'!$AK91="是",'21.04.01'!$BB$4,'21.04.01'!$BB$3)),(VLOOKUP('21.04.01'!K91,'21.04.01'!$AO$4:$AQ$55,2,FALSE))*IF('21.04.01'!$AK91="是",'21.04.01'!$BB$4,'21.04.01'!$BB$3))</f>
        <v>0</v>
      </c>
      <c r="D91" s="4">
        <f>IF(ISNUMBER(SEARCH("营",'21.04.01'!L91)),(-$Y91+50*IF('21.04.01'!$AK91="是",'21.04.01'!$BB$4,'21.04.01'!$BB$3)),(VLOOKUP('21.04.01'!L91,'21.04.01'!$AO$4:$AQ$55,2,FALSE))*IF('21.04.01'!$AK91="是",'21.04.01'!$BB$4,'21.04.01'!$BB$3))</f>
        <v>0</v>
      </c>
      <c r="E91" s="4">
        <f>IF(ISNUMBER(SEARCH("营",'21.04.01'!M91)),(-$Y91+50*IF('21.04.01'!$AK91="是",'21.04.01'!$BB$4,'21.04.01'!$BB$3)),(VLOOKUP('21.04.01'!M91,'21.04.01'!$AO$4:$AQ$55,2,FALSE))*IF('21.04.01'!$AK91="是",'21.04.01'!$BB$4,'21.04.01'!$BB$3))</f>
        <v>0</v>
      </c>
      <c r="F91" s="4">
        <f>IF(ISNUMBER(SEARCH("营",'21.04.01'!N91)),(-$Y91+50*IF('21.04.01'!$AK91="是",'21.04.01'!$BB$4,'21.04.01'!$BB$3)),(VLOOKUP('21.04.01'!N91,'21.04.01'!$AO$4:$AQ$55,2,FALSE))*IF('21.04.01'!$AK91="是",'21.04.01'!$BB$4,'21.04.01'!$BB$3))</f>
        <v>0</v>
      </c>
      <c r="G91" s="4">
        <f>IF(ISNUMBER(SEARCH("营",'21.04.01'!O91)),(-$Y91+50*IF('21.04.01'!$AK91="是",'21.04.01'!$BB$4,'21.04.01'!$BB$3)),(VLOOKUP('21.04.01'!O91,'21.04.01'!$AO$4:$AQ$55,2,FALSE))*IF('21.04.01'!$AK91="是",'21.04.01'!$BB$4,'21.04.01'!$BB$3))</f>
        <v>0</v>
      </c>
      <c r="H91" s="4">
        <f>IF(ISNUMBER(SEARCH("营",'21.04.01'!P91)),(-$Y91+50*IF('21.04.01'!$AK91="是",'21.04.01'!$BB$4,'21.04.01'!$BB$3)),(VLOOKUP('21.04.01'!P91,'21.04.01'!$AO$4:$AQ$55,2,FALSE))*IF('21.04.01'!$AK91="是",'21.04.01'!$BB$4,'21.04.01'!$BB$3))</f>
        <v>0</v>
      </c>
      <c r="I91" s="4">
        <f>IF(ISNUMBER(SEARCH("营",'21.04.01'!Q91)),(-$Y91+50*IF('21.04.01'!$AK91="是",'21.04.01'!$BB$4,'21.04.01'!$BB$3)),(VLOOKUP('21.04.01'!Q91,'21.04.01'!$AO$4:$AQ$55,2,FALSE))*IF('21.04.01'!$AK91="是",'21.04.01'!$BB$4,'21.04.01'!$BB$3))</f>
        <v>0</v>
      </c>
      <c r="J91" s="4">
        <f>IF(ISNUMBER(SEARCH("营",'21.04.01'!R91)),(-$Y91+50*IF('21.04.01'!$AK91="是",'21.04.01'!$BB$4,'21.04.01'!$BB$3)),(VLOOKUP('21.04.01'!R91,'21.04.01'!$AO$4:$AQ$55,2,FALSE))*IF('21.04.01'!$AK91="是",'21.04.01'!$BB$4,'21.04.01'!$BB$3))</f>
        <v>0</v>
      </c>
      <c r="K91" s="4">
        <f>IF(ISNUMBER(SEARCH("营",'21.04.01'!S91)),(-$Y91+50*IF('21.04.01'!$AK91="是",'21.04.01'!$BB$4,'21.04.01'!$BB$3)),(VLOOKUP('21.04.01'!S91,'21.04.01'!$AO$4:$AQ$55,2,FALSE))*IF('21.04.01'!$AK91="是",'21.04.01'!$BB$4,'21.04.01'!$BB$3))</f>
        <v>0</v>
      </c>
      <c r="L91" s="4">
        <f>IF(ISNUMBER(SEARCH("营",'21.04.01'!T91)),(-$Y91+50*IF('21.04.01'!$AK91="是",'21.04.01'!$BB$4,'21.04.01'!$BB$3)),(VLOOKUP('21.04.01'!T91,'21.04.01'!$AO$4:$AQ$55,2,FALSE))*IF('21.04.01'!$AK91="是",'21.04.01'!$BB$4,'21.04.01'!$BB$3))</f>
        <v>0</v>
      </c>
      <c r="M91" s="4">
        <f>IF(ISNUMBER(SEARCH("营",'21.04.01'!U91)),(-$Y91+50*IF('21.04.01'!$AK91="是",'21.04.01'!$BB$4,'21.04.01'!$BB$3)),(VLOOKUP('21.04.01'!U91,'21.04.01'!$AO$4:$AQ$55,2,FALSE))*IF('21.04.01'!$AK91="是",'21.04.01'!$BB$4,'21.04.01'!$BB$3))</f>
        <v>0</v>
      </c>
      <c r="N91" s="4">
        <f>IF(ISNUMBER(SEARCH("营",'21.04.01'!V91)),(-$Y91+50*IF('21.04.01'!$AK91="是",'21.04.01'!$BB$4,'21.04.01'!$BB$3)),(VLOOKUP('21.04.01'!V91,'21.04.01'!$AO$4:$AQ$55,2,FALSE))*IF('21.04.01'!$AK91="是",'21.04.01'!$BB$4,'21.04.01'!$BB$3))</f>
        <v>0</v>
      </c>
      <c r="O91" s="4">
        <f>IF(ISNUMBER(SEARCH("营",'21.04.01'!W91)),(-$Y91+50*IF('21.04.01'!$AK91="是",'21.04.01'!$BB$4,'21.04.01'!$BB$3)),(VLOOKUP('21.04.01'!W91,'21.04.01'!$AO$4:$AQ$55,2,FALSE))*IF('21.04.01'!$AK91="是",'21.04.01'!$BB$4,'21.04.01'!$BB$3))</f>
        <v>0</v>
      </c>
      <c r="P91" s="4">
        <f>IF(ISNUMBER(SEARCH("营",'21.04.01'!X91)),(-$Y91+50*IF('21.04.01'!$AK91="是",'21.04.01'!$BB$4,'21.04.01'!$BB$3)),(VLOOKUP('21.04.01'!X91,'21.04.01'!$AO$4:$AQ$55,2,FALSE))*IF('21.04.01'!$AK91="是",'21.04.01'!$BB$4,'21.04.01'!$BB$3))</f>
        <v>0</v>
      </c>
      <c r="Q91" s="4">
        <f>IF(ISNUMBER(SEARCH("营",'21.04.01'!Y91)),(-$Y91+50*IF('21.04.01'!$AK91="是",'21.04.01'!$BB$4,'21.04.01'!$BB$3)),(VLOOKUP('21.04.01'!Y91,'21.04.01'!$AO$4:$AQ$55,2,FALSE))*IF('21.04.01'!$AK91="是",'21.04.01'!$BB$4,'21.04.01'!$BB$3))</f>
        <v>128</v>
      </c>
      <c r="R91" s="4">
        <f>IF(ISNUMBER(SEARCH("营",'21.04.01'!Z91)),(-$Y91+50*IF('21.04.01'!$AK91="是",'21.04.01'!$BB$4,'21.04.01'!$BB$3)),(VLOOKUP('21.04.01'!Z91,'21.04.01'!$AO$4:$AQ$55,2,FALSE))*IF('21.04.01'!$AK91="是",'21.04.01'!$BB$4,'21.04.01'!$BB$3))</f>
        <v>128</v>
      </c>
      <c r="S91" s="4">
        <f>IF(ISNUMBER(SEARCH("营",'21.04.01'!AA91)),(-$Y91+50*IF('21.04.01'!$AK91="是",'21.04.01'!$BB$4,'21.04.01'!$BB$3)),(VLOOKUP('21.04.01'!AA91,'21.04.01'!$AO$4:$AQ$55,2,FALSE))*IF('21.04.01'!$AK91="是",'21.04.01'!$BB$4,'21.04.01'!$BB$3))</f>
        <v>40</v>
      </c>
      <c r="T91" s="4">
        <f>IF(ISNUMBER(SEARCH("营",'21.04.01'!AB91)),(-$Y91+50*IF('21.04.01'!$AK91="是",'21.04.01'!$BB$4,'21.04.01'!$BB$3)),(VLOOKUP('21.04.01'!AB91,'21.04.01'!$AO$4:$AQ$55,2,FALSE))*IF('21.04.01'!$AK91="是",'21.04.01'!$BB$4,'21.04.01'!$BB$3))</f>
        <v>0</v>
      </c>
      <c r="U91" s="4">
        <f>IF(ISNUMBER(SEARCH("营",'21.04.01'!AC91)),(-$Y91+50*IF('21.04.01'!$AK91="是",'21.04.01'!$BB$4,'21.04.01'!$BB$3)),(VLOOKUP('21.04.01'!AC91,'21.04.01'!$AO$4:$AQ$55,2,FALSE))*IF('21.04.01'!$AK91="是",'21.04.01'!$BB$4,'21.04.01'!$BB$3))</f>
        <v>0</v>
      </c>
      <c r="V91" s="4">
        <f>IF(ISNUMBER(SEARCH("营",'21.04.01'!AD91)),(-$Y91+50*IF('21.04.01'!$AK91="是",'21.04.01'!$BB$4,'21.04.01'!$BB$3)),(VLOOKUP('21.04.01'!AD91,'21.04.01'!$AO$4:$AQ$55,2,FALSE))*IF('21.04.01'!$AK91="是",'21.04.01'!$BB$4,'21.04.01'!$BB$3))</f>
        <v>0</v>
      </c>
      <c r="W91" s="4">
        <f>IF(ISNUMBER(SEARCH("营",'21.04.01'!AE91)),(-$Y91+50*IF('21.04.01'!$AK91="是",'21.04.01'!$BB$4,'21.04.01'!$BB$3)),(VLOOKUP('21.04.01'!AE91,'21.04.01'!$AO$4:$AQ$55,2,FALSE))*IF('21.04.01'!$AK91="是",'21.04.01'!$BB$4,'21.04.01'!$BB$3))</f>
        <v>0</v>
      </c>
      <c r="X91" s="4">
        <f>IF(ISNUMBER(SEARCH("营",'21.04.01'!AF91)),(-$Y91+50*IF('21.04.01'!$AK91="是",'21.04.01'!$BB$4,'21.04.01'!$BB$3)),(VLOOKUP('21.04.01'!AF91,'21.04.01'!$AO$4:$AQ$55,2,FALSE))*IF('21.04.01'!$AK91="是",'21.04.01'!$BB$4,'21.04.01'!$BB$3))</f>
        <v>0</v>
      </c>
      <c r="Y91" s="63">
        <v>100</v>
      </c>
      <c r="Z91" s="94">
        <v>45999</v>
      </c>
    </row>
    <row r="92" spans="1:26">
      <c r="A92" s="4">
        <f>IF(ISNUMBER(SEARCH("营",'21.04.01'!I92)),(-$Y92+50*IF('21.04.01'!$AK92="是",'21.04.01'!$BB$4,'21.04.01'!$BB$3)),(VLOOKUP('21.04.01'!I92,'21.04.01'!$AO$4:$AQ$55,2,FALSE))*IF('21.04.01'!$AK92="是",'21.04.01'!$BB$4,'21.04.01'!$BB$3))</f>
        <v>0</v>
      </c>
      <c r="B92" s="4">
        <f>IF(ISNUMBER(SEARCH("营",'21.04.01'!J92)),(-$Y92+50*IF('21.04.01'!$AK92="是",'21.04.01'!$BB$4,'21.04.01'!$BB$3)),(VLOOKUP('21.04.01'!J92,'21.04.01'!$AO$4:$AQ$55,2,FALSE))*IF('21.04.01'!$AK92="是",'21.04.01'!$BB$4,'21.04.01'!$BB$3))</f>
        <v>0</v>
      </c>
      <c r="C92" s="4">
        <f>IF(ISNUMBER(SEARCH("营",'21.04.01'!K92)),(-$Y92+50*IF('21.04.01'!$AK92="是",'21.04.01'!$BB$4,'21.04.01'!$BB$3)),(VLOOKUP('21.04.01'!K92,'21.04.01'!$AO$4:$AQ$55,2,FALSE))*IF('21.04.01'!$AK92="是",'21.04.01'!$BB$4,'21.04.01'!$BB$3))</f>
        <v>0</v>
      </c>
      <c r="D92" s="4">
        <f>IF(ISNUMBER(SEARCH("营",'21.04.01'!L92)),(-$Y92+50*IF('21.04.01'!$AK92="是",'21.04.01'!$BB$4,'21.04.01'!$BB$3)),(VLOOKUP('21.04.01'!L92,'21.04.01'!$AO$4:$AQ$55,2,FALSE))*IF('21.04.01'!$AK92="是",'21.04.01'!$BB$4,'21.04.01'!$BB$3))</f>
        <v>0</v>
      </c>
      <c r="E92" s="4">
        <f>IF(ISNUMBER(SEARCH("营",'21.04.01'!M92)),(-$Y92+50*IF('21.04.01'!$AK92="是",'21.04.01'!$BB$4,'21.04.01'!$BB$3)),(VLOOKUP('21.04.01'!M92,'21.04.01'!$AO$4:$AQ$55,2,FALSE))*IF('21.04.01'!$AK92="是",'21.04.01'!$BB$4,'21.04.01'!$BB$3))</f>
        <v>0</v>
      </c>
      <c r="F92" s="4">
        <f>IF(ISNUMBER(SEARCH("营",'21.04.01'!N92)),(-$Y92+50*IF('21.04.01'!$AK92="是",'21.04.01'!$BB$4,'21.04.01'!$BB$3)),(VLOOKUP('21.04.01'!N92,'21.04.01'!$AO$4:$AQ$55,2,FALSE))*IF('21.04.01'!$AK92="是",'21.04.01'!$BB$4,'21.04.01'!$BB$3))</f>
        <v>0</v>
      </c>
      <c r="G92" s="4">
        <f>IF(ISNUMBER(SEARCH("营",'21.04.01'!O92)),(-$Y92+50*IF('21.04.01'!$AK92="是",'21.04.01'!$BB$4,'21.04.01'!$BB$3)),(VLOOKUP('21.04.01'!O92,'21.04.01'!$AO$4:$AQ$55,2,FALSE))*IF('21.04.01'!$AK92="是",'21.04.01'!$BB$4,'21.04.01'!$BB$3))</f>
        <v>0</v>
      </c>
      <c r="H92" s="4">
        <f>IF(ISNUMBER(SEARCH("营",'21.04.01'!P92)),(-$Y92+50*IF('21.04.01'!$AK92="是",'21.04.01'!$BB$4,'21.04.01'!$BB$3)),(VLOOKUP('21.04.01'!P92,'21.04.01'!$AO$4:$AQ$55,2,FALSE))*IF('21.04.01'!$AK92="是",'21.04.01'!$BB$4,'21.04.01'!$BB$3))</f>
        <v>0</v>
      </c>
      <c r="I92" s="4">
        <f>IF(ISNUMBER(SEARCH("营",'21.04.01'!Q92)),(-$Y92+50*IF('21.04.01'!$AK92="是",'21.04.01'!$BB$4,'21.04.01'!$BB$3)),(VLOOKUP('21.04.01'!Q92,'21.04.01'!$AO$4:$AQ$55,2,FALSE))*IF('21.04.01'!$AK92="是",'21.04.01'!$BB$4,'21.04.01'!$BB$3))</f>
        <v>0</v>
      </c>
      <c r="J92" s="4">
        <f>IF(ISNUMBER(SEARCH("营",'21.04.01'!R92)),(-$Y92+50*IF('21.04.01'!$AK92="是",'21.04.01'!$BB$4,'21.04.01'!$BB$3)),(VLOOKUP('21.04.01'!R92,'21.04.01'!$AO$4:$AQ$55,2,FALSE))*IF('21.04.01'!$AK92="是",'21.04.01'!$BB$4,'21.04.01'!$BB$3))</f>
        <v>0</v>
      </c>
      <c r="K92" s="4">
        <f>IF(ISNUMBER(SEARCH("营",'21.04.01'!S92)),(-$Y92+50*IF('21.04.01'!$AK92="是",'21.04.01'!$BB$4,'21.04.01'!$BB$3)),(VLOOKUP('21.04.01'!S92,'21.04.01'!$AO$4:$AQ$55,2,FALSE))*IF('21.04.01'!$AK92="是",'21.04.01'!$BB$4,'21.04.01'!$BB$3))</f>
        <v>0</v>
      </c>
      <c r="L92" s="4">
        <f>IF(ISNUMBER(SEARCH("营",'21.04.01'!T92)),(-$Y92+50*IF('21.04.01'!$AK92="是",'21.04.01'!$BB$4,'21.04.01'!$BB$3)),(VLOOKUP('21.04.01'!T92,'21.04.01'!$AO$4:$AQ$55,2,FALSE))*IF('21.04.01'!$AK92="是",'21.04.01'!$BB$4,'21.04.01'!$BB$3))</f>
        <v>0</v>
      </c>
      <c r="M92" s="4">
        <f>IF(ISNUMBER(SEARCH("营",'21.04.01'!U92)),(-$Y92+50*IF('21.04.01'!$AK92="是",'21.04.01'!$BB$4,'21.04.01'!$BB$3)),(VLOOKUP('21.04.01'!U92,'21.04.01'!$AO$4:$AQ$55,2,FALSE))*IF('21.04.01'!$AK92="是",'21.04.01'!$BB$4,'21.04.01'!$BB$3))</f>
        <v>0</v>
      </c>
      <c r="N92" s="4">
        <f>IF(ISNUMBER(SEARCH("营",'21.04.01'!V92)),(-$Y92+50*IF('21.04.01'!$AK92="是",'21.04.01'!$BB$4,'21.04.01'!$BB$3)),(VLOOKUP('21.04.01'!V92,'21.04.01'!$AO$4:$AQ$55,2,FALSE))*IF('21.04.01'!$AK92="是",'21.04.01'!$BB$4,'21.04.01'!$BB$3))</f>
        <v>0</v>
      </c>
      <c r="O92" s="4">
        <f>IF(ISNUMBER(SEARCH("营",'21.04.01'!W92)),(-$Y92+50*IF('21.04.01'!$AK92="是",'21.04.01'!$BB$4,'21.04.01'!$BB$3)),(VLOOKUP('21.04.01'!W92,'21.04.01'!$AO$4:$AQ$55,2,FALSE))*IF('21.04.01'!$AK92="是",'21.04.01'!$BB$4,'21.04.01'!$BB$3))</f>
        <v>0</v>
      </c>
      <c r="P92" s="4">
        <f>IF(ISNUMBER(SEARCH("营",'21.04.01'!X92)),(-$Y92+50*IF('21.04.01'!$AK92="是",'21.04.01'!$BB$4,'21.04.01'!$BB$3)),(VLOOKUP('21.04.01'!X92,'21.04.01'!$AO$4:$AQ$55,2,FALSE))*IF('21.04.01'!$AK92="是",'21.04.01'!$BB$4,'21.04.01'!$BB$3))</f>
        <v>0</v>
      </c>
      <c r="Q92" s="4">
        <f>IF(ISNUMBER(SEARCH("营",'21.04.01'!Y92)),(-$Y92+50*IF('21.04.01'!$AK92="是",'21.04.01'!$BB$4,'21.04.01'!$BB$3)),(VLOOKUP('21.04.01'!Y92,'21.04.01'!$AO$4:$AQ$55,2,FALSE))*IF('21.04.01'!$AK92="是",'21.04.01'!$BB$4,'21.04.01'!$BB$3))</f>
        <v>0</v>
      </c>
      <c r="R92" s="4">
        <f>IF(ISNUMBER(SEARCH("营",'21.04.01'!Z92)),(-$Y92+50*IF('21.04.01'!$AK92="是",'21.04.01'!$BB$4,'21.04.01'!$BB$3)),(VLOOKUP('21.04.01'!Z92,'21.04.01'!$AO$4:$AQ$55,2,FALSE))*IF('21.04.01'!$AK92="是",'21.04.01'!$BB$4,'21.04.01'!$BB$3))</f>
        <v>0</v>
      </c>
      <c r="S92" s="4">
        <f>IF(ISNUMBER(SEARCH("营",'21.04.01'!AA92)),(-$Y92+50*IF('21.04.01'!$AK92="是",'21.04.01'!$BB$4,'21.04.01'!$BB$3)),(VLOOKUP('21.04.01'!AA92,'21.04.01'!$AO$4:$AQ$55,2,FALSE))*IF('21.04.01'!$AK92="是",'21.04.01'!$BB$4,'21.04.01'!$BB$3))</f>
        <v>0</v>
      </c>
      <c r="T92" s="4">
        <f>IF(ISNUMBER(SEARCH("营",'21.04.01'!AB92)),(-$Y92+50*IF('21.04.01'!$AK92="是",'21.04.01'!$BB$4,'21.04.01'!$BB$3)),(VLOOKUP('21.04.01'!AB92,'21.04.01'!$AO$4:$AQ$55,2,FALSE))*IF('21.04.01'!$AK92="是",'21.04.01'!$BB$4,'21.04.01'!$BB$3))</f>
        <v>0</v>
      </c>
      <c r="U92" s="4">
        <f>IF(ISNUMBER(SEARCH("营",'21.04.01'!AC92)),(-$Y92+50*IF('21.04.01'!$AK92="是",'21.04.01'!$BB$4,'21.04.01'!$BB$3)),(VLOOKUP('21.04.01'!AC92,'21.04.01'!$AO$4:$AQ$55,2,FALSE))*IF('21.04.01'!$AK92="是",'21.04.01'!$BB$4,'21.04.01'!$BB$3))</f>
        <v>0</v>
      </c>
      <c r="V92" s="4">
        <f>IF(ISNUMBER(SEARCH("营",'21.04.01'!AD92)),(-$Y92+50*IF('21.04.01'!$AK92="是",'21.04.01'!$BB$4,'21.04.01'!$BB$3)),(VLOOKUP('21.04.01'!AD92,'21.04.01'!$AO$4:$AQ$55,2,FALSE))*IF('21.04.01'!$AK92="是",'21.04.01'!$BB$4,'21.04.01'!$BB$3))</f>
        <v>0</v>
      </c>
      <c r="W92" s="4">
        <f>IF(ISNUMBER(SEARCH("营",'21.04.01'!AE92)),(-$Y92+50*IF('21.04.01'!$AK92="是",'21.04.01'!$BB$4,'21.04.01'!$BB$3)),(VLOOKUP('21.04.01'!AE92,'21.04.01'!$AO$4:$AQ$55,2,FALSE))*IF('21.04.01'!$AK92="是",'21.04.01'!$BB$4,'21.04.01'!$BB$3))</f>
        <v>0</v>
      </c>
      <c r="X92" s="4">
        <f>IF(ISNUMBER(SEARCH("营",'21.04.01'!AF92)),(-$Y92+50*IF('21.04.01'!$AK92="是",'21.04.01'!$BB$4,'21.04.01'!$BB$3)),(VLOOKUP('21.04.01'!AF92,'21.04.01'!$AO$4:$AQ$55,2,FALSE))*IF('21.04.01'!$AK92="是",'21.04.01'!$BB$4,'21.04.01'!$BB$3))</f>
        <v>0</v>
      </c>
      <c r="Y92" s="63">
        <v>100</v>
      </c>
      <c r="Z92" s="94">
        <v>46000</v>
      </c>
    </row>
    <row r="93" spans="1:26">
      <c r="A93" s="4">
        <f>IF(ISNUMBER(SEARCH("营",'21.04.01'!I93)),(-$Y93+50*IF('21.04.01'!$AK93="是",'21.04.01'!$BB$4,'21.04.01'!$BB$3)),(VLOOKUP('21.04.01'!I93,'21.04.01'!$AO$4:$AQ$55,2,FALSE))*IF('21.04.01'!$AK93="是",'21.04.01'!$BB$4,'21.04.01'!$BB$3))</f>
        <v>0</v>
      </c>
      <c r="B93" s="4">
        <f>IF(ISNUMBER(SEARCH("营",'21.04.01'!J93)),(-$Y93+50*IF('21.04.01'!$AK93="是",'21.04.01'!$BB$4,'21.04.01'!$BB$3)),(VLOOKUP('21.04.01'!J93,'21.04.01'!$AO$4:$AQ$55,2,FALSE))*IF('21.04.01'!$AK93="是",'21.04.01'!$BB$4,'21.04.01'!$BB$3))</f>
        <v>0</v>
      </c>
      <c r="C93" s="4">
        <f>IF(ISNUMBER(SEARCH("营",'21.04.01'!K93)),(-$Y93+50*IF('21.04.01'!$AK93="是",'21.04.01'!$BB$4,'21.04.01'!$BB$3)),(VLOOKUP('21.04.01'!K93,'21.04.01'!$AO$4:$AQ$55,2,FALSE))*IF('21.04.01'!$AK93="是",'21.04.01'!$BB$4,'21.04.01'!$BB$3))</f>
        <v>0</v>
      </c>
      <c r="D93" s="4">
        <f>IF(ISNUMBER(SEARCH("营",'21.04.01'!L93)),(-$Y93+50*IF('21.04.01'!$AK93="是",'21.04.01'!$BB$4,'21.04.01'!$BB$3)),(VLOOKUP('21.04.01'!L93,'21.04.01'!$AO$4:$AQ$55,2,FALSE))*IF('21.04.01'!$AK93="是",'21.04.01'!$BB$4,'21.04.01'!$BB$3))</f>
        <v>0</v>
      </c>
      <c r="E93" s="4">
        <f>IF(ISNUMBER(SEARCH("营",'21.04.01'!M93)),(-$Y93+50*IF('21.04.01'!$AK93="是",'21.04.01'!$BB$4,'21.04.01'!$BB$3)),(VLOOKUP('21.04.01'!M93,'21.04.01'!$AO$4:$AQ$55,2,FALSE))*IF('21.04.01'!$AK93="是",'21.04.01'!$BB$4,'21.04.01'!$BB$3))</f>
        <v>0</v>
      </c>
      <c r="F93" s="4">
        <f>IF(ISNUMBER(SEARCH("营",'21.04.01'!N93)),(-$Y93+50*IF('21.04.01'!$AK93="是",'21.04.01'!$BB$4,'21.04.01'!$BB$3)),(VLOOKUP('21.04.01'!N93,'21.04.01'!$AO$4:$AQ$55,2,FALSE))*IF('21.04.01'!$AK93="是",'21.04.01'!$BB$4,'21.04.01'!$BB$3))</f>
        <v>0</v>
      </c>
      <c r="G93" s="4">
        <f>IF(ISNUMBER(SEARCH("营",'21.04.01'!O93)),(-$Y93+50*IF('21.04.01'!$AK93="是",'21.04.01'!$BB$4,'21.04.01'!$BB$3)),(VLOOKUP('21.04.01'!O93,'21.04.01'!$AO$4:$AQ$55,2,FALSE))*IF('21.04.01'!$AK93="是",'21.04.01'!$BB$4,'21.04.01'!$BB$3))</f>
        <v>0</v>
      </c>
      <c r="H93" s="4">
        <f>IF(ISNUMBER(SEARCH("营",'21.04.01'!P93)),(-$Y93+50*IF('21.04.01'!$AK93="是",'21.04.01'!$BB$4,'21.04.01'!$BB$3)),(VLOOKUP('21.04.01'!P93,'21.04.01'!$AO$4:$AQ$55,2,FALSE))*IF('21.04.01'!$AK93="是",'21.04.01'!$BB$4,'21.04.01'!$BB$3))</f>
        <v>0</v>
      </c>
      <c r="I93" s="4">
        <f>IF(ISNUMBER(SEARCH("营",'21.04.01'!Q93)),(-$Y93+50*IF('21.04.01'!$AK93="是",'21.04.01'!$BB$4,'21.04.01'!$BB$3)),(VLOOKUP('21.04.01'!Q93,'21.04.01'!$AO$4:$AQ$55,2,FALSE))*IF('21.04.01'!$AK93="是",'21.04.01'!$BB$4,'21.04.01'!$BB$3))</f>
        <v>0</v>
      </c>
      <c r="J93" s="4">
        <f>IF(ISNUMBER(SEARCH("营",'21.04.01'!R93)),(-$Y93+50*IF('21.04.01'!$AK93="是",'21.04.01'!$BB$4,'21.04.01'!$BB$3)),(VLOOKUP('21.04.01'!R93,'21.04.01'!$AO$4:$AQ$55,2,FALSE))*IF('21.04.01'!$AK93="是",'21.04.01'!$BB$4,'21.04.01'!$BB$3))</f>
        <v>0</v>
      </c>
      <c r="K93" s="4">
        <f>IF(ISNUMBER(SEARCH("营",'21.04.01'!S93)),(-$Y93+50*IF('21.04.01'!$AK93="是",'21.04.01'!$BB$4,'21.04.01'!$BB$3)),(VLOOKUP('21.04.01'!S93,'21.04.01'!$AO$4:$AQ$55,2,FALSE))*IF('21.04.01'!$AK93="是",'21.04.01'!$BB$4,'21.04.01'!$BB$3))</f>
        <v>0</v>
      </c>
      <c r="L93" s="4">
        <f>IF(ISNUMBER(SEARCH("营",'21.04.01'!T93)),(-$Y93+50*IF('21.04.01'!$AK93="是",'21.04.01'!$BB$4,'21.04.01'!$BB$3)),(VLOOKUP('21.04.01'!T93,'21.04.01'!$AO$4:$AQ$55,2,FALSE))*IF('21.04.01'!$AK93="是",'21.04.01'!$BB$4,'21.04.01'!$BB$3))</f>
        <v>0</v>
      </c>
      <c r="M93" s="4">
        <f>IF(ISNUMBER(SEARCH("营",'21.04.01'!U93)),(-$Y93+50*IF('21.04.01'!$AK93="是",'21.04.01'!$BB$4,'21.04.01'!$BB$3)),(VLOOKUP('21.04.01'!U93,'21.04.01'!$AO$4:$AQ$55,2,FALSE))*IF('21.04.01'!$AK93="是",'21.04.01'!$BB$4,'21.04.01'!$BB$3))</f>
        <v>0</v>
      </c>
      <c r="N93" s="4">
        <f>IF(ISNUMBER(SEARCH("营",'21.04.01'!V93)),(-$Y93+50*IF('21.04.01'!$AK93="是",'21.04.01'!$BB$4,'21.04.01'!$BB$3)),(VLOOKUP('21.04.01'!V93,'21.04.01'!$AO$4:$AQ$55,2,FALSE))*IF('21.04.01'!$AK93="是",'21.04.01'!$BB$4,'21.04.01'!$BB$3))</f>
        <v>0</v>
      </c>
      <c r="O93" s="4">
        <f>IF(ISNUMBER(SEARCH("营",'21.04.01'!W93)),(-$Y93+50*IF('21.04.01'!$AK93="是",'21.04.01'!$BB$4,'21.04.01'!$BB$3)),(VLOOKUP('21.04.01'!W93,'21.04.01'!$AO$4:$AQ$55,2,FALSE))*IF('21.04.01'!$AK93="是",'21.04.01'!$BB$4,'21.04.01'!$BB$3))</f>
        <v>0</v>
      </c>
      <c r="P93" s="4">
        <f>IF(ISNUMBER(SEARCH("营",'21.04.01'!X93)),(-$Y93+50*IF('21.04.01'!$AK93="是",'21.04.01'!$BB$4,'21.04.01'!$BB$3)),(VLOOKUP('21.04.01'!X93,'21.04.01'!$AO$4:$AQ$55,2,FALSE))*IF('21.04.01'!$AK93="是",'21.04.01'!$BB$4,'21.04.01'!$BB$3))</f>
        <v>0</v>
      </c>
      <c r="Q93" s="4">
        <f>IF(ISNUMBER(SEARCH("营",'21.04.01'!Y93)),(-$Y93+50*IF('21.04.01'!$AK93="是",'21.04.01'!$BB$4,'21.04.01'!$BB$3)),(VLOOKUP('21.04.01'!Y93,'21.04.01'!$AO$4:$AQ$55,2,FALSE))*IF('21.04.01'!$AK93="是",'21.04.01'!$BB$4,'21.04.01'!$BB$3))</f>
        <v>0</v>
      </c>
      <c r="R93" s="4">
        <f>IF(ISNUMBER(SEARCH("营",'21.04.01'!Z93)),(-$Y93+50*IF('21.04.01'!$AK93="是",'21.04.01'!$BB$4,'21.04.01'!$BB$3)),(VLOOKUP('21.04.01'!Z93,'21.04.01'!$AO$4:$AQ$55,2,FALSE))*IF('21.04.01'!$AK93="是",'21.04.01'!$BB$4,'21.04.01'!$BB$3))</f>
        <v>0</v>
      </c>
      <c r="S93" s="4">
        <f>IF(ISNUMBER(SEARCH("营",'21.04.01'!AA93)),(-$Y93+50*IF('21.04.01'!$AK93="是",'21.04.01'!$BB$4,'21.04.01'!$BB$3)),(VLOOKUP('21.04.01'!AA93,'21.04.01'!$AO$4:$AQ$55,2,FALSE))*IF('21.04.01'!$AK93="是",'21.04.01'!$BB$4,'21.04.01'!$BB$3))</f>
        <v>0</v>
      </c>
      <c r="T93" s="4">
        <f>IF(ISNUMBER(SEARCH("营",'21.04.01'!AB93)),(-$Y93+50*IF('21.04.01'!$AK93="是",'21.04.01'!$BB$4,'21.04.01'!$BB$3)),(VLOOKUP('21.04.01'!AB93,'21.04.01'!$AO$4:$AQ$55,2,FALSE))*IF('21.04.01'!$AK93="是",'21.04.01'!$BB$4,'21.04.01'!$BB$3))</f>
        <v>0</v>
      </c>
      <c r="U93" s="4">
        <f>IF(ISNUMBER(SEARCH("营",'21.04.01'!AC93)),(-$Y93+50*IF('21.04.01'!$AK93="是",'21.04.01'!$BB$4,'21.04.01'!$BB$3)),(VLOOKUP('21.04.01'!AC93,'21.04.01'!$AO$4:$AQ$55,2,FALSE))*IF('21.04.01'!$AK93="是",'21.04.01'!$BB$4,'21.04.01'!$BB$3))</f>
        <v>0</v>
      </c>
      <c r="V93" s="4">
        <f>IF(ISNUMBER(SEARCH("营",'21.04.01'!AD93)),(-$Y93+50*IF('21.04.01'!$AK93="是",'21.04.01'!$BB$4,'21.04.01'!$BB$3)),(VLOOKUP('21.04.01'!AD93,'21.04.01'!$AO$4:$AQ$55,2,FALSE))*IF('21.04.01'!$AK93="是",'21.04.01'!$BB$4,'21.04.01'!$BB$3))</f>
        <v>0</v>
      </c>
      <c r="W93" s="4">
        <f>IF(ISNUMBER(SEARCH("营",'21.04.01'!AE93)),(-$Y93+50*IF('21.04.01'!$AK93="是",'21.04.01'!$BB$4,'21.04.01'!$BB$3)),(VLOOKUP('21.04.01'!AE93,'21.04.01'!$AO$4:$AQ$55,2,FALSE))*IF('21.04.01'!$AK93="是",'21.04.01'!$BB$4,'21.04.01'!$BB$3))</f>
        <v>0</v>
      </c>
      <c r="X93" s="4">
        <f>IF(ISNUMBER(SEARCH("营",'21.04.01'!AF93)),(-$Y93+50*IF('21.04.01'!$AK93="是",'21.04.01'!$BB$4,'21.04.01'!$BB$3)),(VLOOKUP('21.04.01'!AF93,'21.04.01'!$AO$4:$AQ$55,2,FALSE))*IF('21.04.01'!$AK93="是",'21.04.01'!$BB$4,'21.04.01'!$BB$3))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(VLOOKUP('21.04.01'!I4,'21.04.01'!$AO$4:$AQ$55,3,FALSE))</f>
        <v>35</v>
      </c>
      <c r="B4" s="4">
        <f>(VLOOKUP('21.04.01'!J4,'21.04.01'!$AO$4:$AQ$55,3,FALSE))</f>
        <v>35</v>
      </c>
      <c r="C4" s="4">
        <f>(VLOOKUP('21.04.01'!K4,'21.04.01'!$AO$4:$AQ$55,3,FALSE))</f>
        <v>35</v>
      </c>
      <c r="D4" s="4">
        <f>(VLOOKUP('21.04.01'!L4,'21.04.01'!$AO$4:$AQ$55,3,FALSE))</f>
        <v>35</v>
      </c>
      <c r="E4" s="4">
        <f>(VLOOKUP('21.04.01'!M4,'21.04.01'!$AO$4:$AQ$55,3,FALSE))</f>
        <v>35</v>
      </c>
      <c r="F4" s="4">
        <f>(VLOOKUP('21.04.01'!N4,'21.04.01'!$AO$4:$AQ$55,3,FALSE))</f>
        <v>30</v>
      </c>
      <c r="G4" s="5">
        <f>(VLOOKUP('21.04.01'!O4,'21.04.01'!$AO$4:$AQ$55,3,FALSE))</f>
        <v>0</v>
      </c>
      <c r="H4" s="5">
        <f>(VLOOKUP('21.04.01'!P4,'21.04.01'!$AO$4:$AQ$55,3,FALSE))</f>
        <v>0</v>
      </c>
      <c r="I4" s="4">
        <f>(VLOOKUP('21.04.01'!Q4,'21.04.01'!$AO$4:$AQ$55,3,FALSE))</f>
        <v>35</v>
      </c>
      <c r="J4" s="4">
        <f>(VLOOKUP('21.04.01'!R4,'21.04.01'!$AO$4:$AQ$55,3,FALSE))</f>
        <v>35</v>
      </c>
      <c r="K4" s="4">
        <f>(VLOOKUP('21.04.01'!S4,'21.04.01'!$AO$4:$AQ$55,3,FALSE))</f>
        <v>35</v>
      </c>
      <c r="L4" s="4">
        <f>(VLOOKUP('21.04.01'!T4,'21.04.01'!$AO$4:$AQ$55,3,FALSE))</f>
        <v>35</v>
      </c>
      <c r="M4" s="4">
        <f>(VLOOKUP('21.04.01'!U4,'21.04.01'!$AO$4:$AQ$55,3,FALSE))</f>
        <v>35</v>
      </c>
      <c r="N4" s="4">
        <f>(VLOOKUP('21.04.01'!V4,'21.04.01'!$AO$4:$AQ$55,3,FALSE))</f>
        <v>35</v>
      </c>
      <c r="O4" s="5">
        <f>(VLOOKUP('21.04.01'!W4,'21.04.01'!$AO$4:$AQ$55,3,FALSE))</f>
        <v>0</v>
      </c>
      <c r="P4" s="5">
        <f>(VLOOKUP('21.04.01'!X4,'21.04.01'!$AO$4:$AQ$55,3,FALSE))</f>
        <v>0</v>
      </c>
      <c r="Q4" s="4">
        <f>(VLOOKUP('21.04.01'!Y4,'21.04.01'!$AO$4:$AQ$55,3,FALSE))</f>
        <v>40</v>
      </c>
      <c r="R4" s="4">
        <f>(VLOOKUP('21.04.01'!Z4,'21.04.01'!$AO$4:$AQ$55,3,FALSE))</f>
        <v>35</v>
      </c>
      <c r="S4" s="4">
        <f>(VLOOKUP('21.04.01'!AA4,'21.04.01'!$AO$4:$AQ$55,3,FALSE))</f>
        <v>35</v>
      </c>
      <c r="T4" s="4">
        <f>(VLOOKUP('21.04.01'!AB4,'21.04.01'!$AO$4:$AQ$55,3,FALSE))</f>
        <v>40</v>
      </c>
      <c r="U4" s="4">
        <f>(VLOOKUP('21.04.01'!AC4,'21.04.01'!$AO$4:$AQ$55,3,FALSE))</f>
        <v>35</v>
      </c>
      <c r="V4" s="4">
        <f>(VLOOKUP('21.04.01'!AD4,'21.04.01'!$AO$4:$AQ$55,3,FALSE))</f>
        <v>35</v>
      </c>
      <c r="W4" s="5">
        <f>(VLOOKUP('21.04.01'!AE4,'21.04.01'!$AO$4:$AQ$55,3,FALSE))</f>
        <v>0</v>
      </c>
      <c r="X4" s="5">
        <f>(VLOOKUP('21.04.01'!AF4,'21.04.01'!$AO$4:$AQ$55,3,FALSE))</f>
        <v>0</v>
      </c>
    </row>
    <row r="5" spans="1:24">
      <c r="A5" s="4">
        <f>(VLOOKUP('21.04.01'!I5,'21.04.01'!$AO$4:$AQ$55,3,FALSE))</f>
        <v>0</v>
      </c>
      <c r="B5" s="4">
        <f>(VLOOKUP('21.04.01'!J5,'21.04.01'!$AO$4:$AQ$55,3,FALSE))</f>
        <v>0</v>
      </c>
      <c r="C5" s="4">
        <f>(VLOOKUP('21.04.01'!K5,'21.04.01'!$AO$4:$AQ$55,3,FALSE))</f>
        <v>0</v>
      </c>
      <c r="D5" s="4">
        <f>(VLOOKUP('21.04.01'!L5,'21.04.01'!$AO$4:$AQ$55,3,FALSE))</f>
        <v>0</v>
      </c>
      <c r="E5" s="4">
        <f>(VLOOKUP('21.04.01'!M5,'21.04.01'!$AO$4:$AQ$55,3,FALSE))</f>
        <v>0</v>
      </c>
      <c r="F5" s="4">
        <f>(VLOOKUP('21.04.01'!N5,'21.04.01'!$AO$4:$AQ$55,3,FALSE))</f>
        <v>0</v>
      </c>
      <c r="G5" s="5">
        <f>(VLOOKUP('21.04.01'!O5,'21.04.01'!$AO$4:$AQ$55,3,FALSE))</f>
        <v>0</v>
      </c>
      <c r="H5" s="5">
        <f>(VLOOKUP('21.04.01'!P5,'21.04.01'!$AO$4:$AQ$55,3,FALSE))</f>
        <v>0</v>
      </c>
      <c r="I5" s="4">
        <f>(VLOOKUP('21.04.01'!Q5,'21.04.01'!$AO$4:$AQ$55,3,FALSE))</f>
        <v>0</v>
      </c>
      <c r="J5" s="4">
        <f>(VLOOKUP('21.04.01'!R5,'21.04.01'!$AO$4:$AQ$55,3,FALSE))</f>
        <v>0</v>
      </c>
      <c r="K5" s="4">
        <f>(VLOOKUP('21.04.01'!S5,'21.04.01'!$AO$4:$AQ$55,3,FALSE))</f>
        <v>0</v>
      </c>
      <c r="L5" s="4">
        <f>(VLOOKUP('21.04.01'!T5,'21.04.01'!$AO$4:$AQ$55,3,FALSE))</f>
        <v>0</v>
      </c>
      <c r="M5" s="4">
        <f>(VLOOKUP('21.04.01'!U5,'21.04.01'!$AO$4:$AQ$55,3,FALSE))</f>
        <v>0</v>
      </c>
      <c r="N5" s="4">
        <f>(VLOOKUP('21.04.01'!V5,'21.04.01'!$AO$4:$AQ$55,3,FALSE))</f>
        <v>0</v>
      </c>
      <c r="O5" s="5">
        <f>(VLOOKUP('21.04.01'!W5,'21.04.01'!$AO$4:$AQ$55,3,FALSE))</f>
        <v>0</v>
      </c>
      <c r="P5" s="5">
        <f>(VLOOKUP('21.04.01'!X5,'21.04.01'!$AO$4:$AQ$55,3,FALSE))</f>
        <v>0</v>
      </c>
      <c r="Q5" s="4">
        <f>(VLOOKUP('21.04.01'!Y5,'21.04.01'!$AO$4:$AQ$55,3,FALSE))</f>
        <v>35</v>
      </c>
      <c r="R5" s="4">
        <f>(VLOOKUP('21.04.01'!Z5,'21.04.01'!$AO$4:$AQ$55,3,FALSE))</f>
        <v>35</v>
      </c>
      <c r="S5" s="4">
        <f>(VLOOKUP('21.04.01'!AA5,'21.04.01'!$AO$4:$AQ$55,3,FALSE))</f>
        <v>30</v>
      </c>
      <c r="T5" s="4">
        <f>(VLOOKUP('21.04.01'!AB5,'21.04.01'!$AO$4:$AQ$55,3,FALSE))</f>
        <v>35</v>
      </c>
      <c r="U5" s="4">
        <f>(VLOOKUP('21.04.01'!AC5,'21.04.01'!$AO$4:$AQ$55,3,FALSE))</f>
        <v>35</v>
      </c>
      <c r="V5" s="4">
        <f>(VLOOKUP('21.04.01'!AD5,'21.04.01'!$AO$4:$AQ$55,3,FALSE))</f>
        <v>40</v>
      </c>
      <c r="W5" s="5">
        <f>(VLOOKUP('21.04.01'!AE5,'21.04.01'!$AO$4:$AQ$55,3,FALSE))</f>
        <v>0</v>
      </c>
      <c r="X5" s="5">
        <f>(VLOOKUP('21.04.01'!AF5,'21.04.01'!$AO$4:$AQ$55,3,FALSE))</f>
        <v>0</v>
      </c>
    </row>
    <row r="6" spans="1:24">
      <c r="A6" s="4">
        <f>(VLOOKUP('21.04.01'!I6,'21.04.01'!$AO$4:$AQ$55,3,FALSE))</f>
        <v>0</v>
      </c>
      <c r="B6" s="4">
        <f>(VLOOKUP('21.04.01'!J6,'21.04.01'!$AO$4:$AQ$55,3,FALSE))</f>
        <v>0</v>
      </c>
      <c r="C6" s="4">
        <f>(VLOOKUP('21.04.01'!K6,'21.04.01'!$AO$4:$AQ$55,3,FALSE))</f>
        <v>0</v>
      </c>
      <c r="D6" s="4">
        <f>(VLOOKUP('21.04.01'!L6,'21.04.01'!$AO$4:$AQ$55,3,FALSE))</f>
        <v>0</v>
      </c>
      <c r="E6" s="4">
        <f>(VLOOKUP('21.04.01'!M6,'21.04.01'!$AO$4:$AQ$55,3,FALSE))</f>
        <v>0</v>
      </c>
      <c r="F6" s="4">
        <f>(VLOOKUP('21.04.01'!N6,'21.04.01'!$AO$4:$AQ$55,3,FALSE))</f>
        <v>0</v>
      </c>
      <c r="G6" s="5">
        <f>(VLOOKUP('21.04.01'!O6,'21.04.01'!$AO$4:$AQ$55,3,FALSE))</f>
        <v>0</v>
      </c>
      <c r="H6" s="5">
        <f>(VLOOKUP('21.04.01'!P6,'21.04.01'!$AO$4:$AQ$55,3,FALSE))</f>
        <v>0</v>
      </c>
      <c r="I6" s="4">
        <f>(VLOOKUP('21.04.01'!Q6,'21.04.01'!$AO$4:$AQ$55,3,FALSE))</f>
        <v>0</v>
      </c>
      <c r="J6" s="4">
        <f>(VLOOKUP('21.04.01'!R6,'21.04.01'!$AO$4:$AQ$55,3,FALSE))</f>
        <v>0</v>
      </c>
      <c r="K6" s="4">
        <f>(VLOOKUP('21.04.01'!S6,'21.04.01'!$AO$4:$AQ$55,3,FALSE))</f>
        <v>0</v>
      </c>
      <c r="L6" s="4">
        <f>(VLOOKUP('21.04.01'!T6,'21.04.01'!$AO$4:$AQ$55,3,FALSE))</f>
        <v>0</v>
      </c>
      <c r="M6" s="4">
        <f>(VLOOKUP('21.04.01'!U6,'21.04.01'!$AO$4:$AQ$55,3,FALSE))</f>
        <v>0</v>
      </c>
      <c r="N6" s="4">
        <f>(VLOOKUP('21.04.01'!V6,'21.04.01'!$AO$4:$AQ$55,3,FALSE))</f>
        <v>0</v>
      </c>
      <c r="O6" s="5">
        <f>(VLOOKUP('21.04.01'!W6,'21.04.01'!$AO$4:$AQ$55,3,FALSE))</f>
        <v>0</v>
      </c>
      <c r="P6" s="5">
        <f>(VLOOKUP('21.04.01'!X6,'21.04.01'!$AO$4:$AQ$55,3,FALSE))</f>
        <v>0</v>
      </c>
      <c r="Q6" s="4">
        <f>(VLOOKUP('21.04.01'!Y6,'21.04.01'!$AO$4:$AQ$55,3,FALSE))</f>
        <v>35</v>
      </c>
      <c r="R6" s="4">
        <f>(VLOOKUP('21.04.01'!Z6,'21.04.01'!$AO$4:$AQ$55,3,FALSE))</f>
        <v>35</v>
      </c>
      <c r="S6" s="4">
        <f>(VLOOKUP('21.04.01'!AA6,'21.04.01'!$AO$4:$AQ$55,3,FALSE))</f>
        <v>35</v>
      </c>
      <c r="T6" s="4">
        <f>(VLOOKUP('21.04.01'!AB6,'21.04.01'!$AO$4:$AQ$55,3,FALSE))</f>
        <v>40</v>
      </c>
      <c r="U6" s="4">
        <f>(VLOOKUP('21.04.01'!AC6,'21.04.01'!$AO$4:$AQ$55,3,FALSE))</f>
        <v>35</v>
      </c>
      <c r="V6" s="4">
        <f>(VLOOKUP('21.04.01'!AD6,'21.04.01'!$AO$4:$AQ$55,3,FALSE))</f>
        <v>35</v>
      </c>
      <c r="W6" s="5">
        <f>(VLOOKUP('21.04.01'!AE6,'21.04.01'!$AO$4:$AQ$55,3,FALSE))</f>
        <v>0</v>
      </c>
      <c r="X6" s="5">
        <f>(VLOOKUP('21.04.01'!AF6,'21.04.01'!$AO$4:$AQ$55,3,FALSE))</f>
        <v>0</v>
      </c>
    </row>
    <row r="7" spans="1:24">
      <c r="A7" s="4">
        <f>(VLOOKUP('21.04.01'!I7,'21.04.01'!$AO$4:$AQ$55,3,FALSE))</f>
        <v>0</v>
      </c>
      <c r="B7" s="4">
        <f>(VLOOKUP('21.04.01'!J7,'21.04.01'!$AO$4:$AQ$55,3,FALSE))</f>
        <v>0</v>
      </c>
      <c r="C7" s="4">
        <f>(VLOOKUP('21.04.01'!K7,'21.04.01'!$AO$4:$AQ$55,3,FALSE))</f>
        <v>0</v>
      </c>
      <c r="D7" s="4">
        <f>(VLOOKUP('21.04.01'!L7,'21.04.01'!$AO$4:$AQ$55,3,FALSE))</f>
        <v>0</v>
      </c>
      <c r="E7" s="4">
        <f>(VLOOKUP('21.04.01'!M7,'21.04.01'!$AO$4:$AQ$55,3,FALSE))</f>
        <v>0</v>
      </c>
      <c r="F7" s="4">
        <f>(VLOOKUP('21.04.01'!N7,'21.04.01'!$AO$4:$AQ$55,3,FALSE))</f>
        <v>0</v>
      </c>
      <c r="G7" s="5">
        <f>(VLOOKUP('21.04.01'!O7,'21.04.01'!$AO$4:$AQ$55,3,FALSE))</f>
        <v>0</v>
      </c>
      <c r="H7" s="5">
        <f>(VLOOKUP('21.04.01'!P7,'21.04.01'!$AO$4:$AQ$55,3,FALSE))</f>
        <v>0</v>
      </c>
      <c r="I7" s="4">
        <f>(VLOOKUP('21.04.01'!Q7,'21.04.01'!$AO$4:$AQ$55,3,FALSE))</f>
        <v>0</v>
      </c>
      <c r="J7" s="4">
        <f>(VLOOKUP('21.04.01'!R7,'21.04.01'!$AO$4:$AQ$55,3,FALSE))</f>
        <v>0</v>
      </c>
      <c r="K7" s="4">
        <f>(VLOOKUP('21.04.01'!S7,'21.04.01'!$AO$4:$AQ$55,3,FALSE))</f>
        <v>0</v>
      </c>
      <c r="L7" s="4">
        <f>(VLOOKUP('21.04.01'!T7,'21.04.01'!$AO$4:$AQ$55,3,FALSE))</f>
        <v>0</v>
      </c>
      <c r="M7" s="4">
        <f>(VLOOKUP('21.04.01'!U7,'21.04.01'!$AO$4:$AQ$55,3,FALSE))</f>
        <v>0</v>
      </c>
      <c r="N7" s="4">
        <f>(VLOOKUP('21.04.01'!V7,'21.04.01'!$AO$4:$AQ$55,3,FALSE))</f>
        <v>0</v>
      </c>
      <c r="O7" s="5">
        <f>(VLOOKUP('21.04.01'!W7,'21.04.01'!$AO$4:$AQ$55,3,FALSE))</f>
        <v>0</v>
      </c>
      <c r="P7" s="5">
        <f>(VLOOKUP('21.04.01'!X7,'21.04.01'!$AO$4:$AQ$55,3,FALSE))</f>
        <v>0</v>
      </c>
      <c r="Q7" s="4">
        <f>(VLOOKUP('21.04.01'!Y7,'21.04.01'!$AO$4:$AQ$55,3,FALSE))</f>
        <v>30</v>
      </c>
      <c r="R7" s="4">
        <f>(VLOOKUP('21.04.01'!Z7,'21.04.01'!$AO$4:$AQ$55,3,FALSE))</f>
        <v>35</v>
      </c>
      <c r="S7" s="4">
        <f>(VLOOKUP('21.04.01'!AA7,'21.04.01'!$AO$4:$AQ$55,3,FALSE))</f>
        <v>35</v>
      </c>
      <c r="T7" s="4">
        <f>(VLOOKUP('21.04.01'!AB7,'21.04.01'!$AO$4:$AQ$55,3,FALSE))</f>
        <v>35</v>
      </c>
      <c r="U7" s="4">
        <f>(VLOOKUP('21.04.01'!AC7,'21.04.01'!$AO$4:$AQ$55,3,FALSE))</f>
        <v>35</v>
      </c>
      <c r="V7" s="4">
        <f>(VLOOKUP('21.04.01'!AD7,'21.04.01'!$AO$4:$AQ$55,3,FALSE))</f>
        <v>35</v>
      </c>
      <c r="W7" s="5">
        <f>(VLOOKUP('21.04.01'!AE7,'21.04.01'!$AO$4:$AQ$55,3,FALSE))</f>
        <v>0</v>
      </c>
      <c r="X7" s="5">
        <f>(VLOOKUP('21.04.01'!AF7,'21.04.01'!$AO$4:$AQ$55,3,FALSE))</f>
        <v>0</v>
      </c>
    </row>
    <row r="8" spans="1:24">
      <c r="A8" s="4">
        <f>(VLOOKUP('21.04.01'!I8,'21.04.01'!$AO$4:$AQ$55,3,FALSE))</f>
        <v>0</v>
      </c>
      <c r="B8" s="4">
        <f>(VLOOKUP('21.04.01'!J8,'21.04.01'!$AO$4:$AQ$55,3,FALSE))</f>
        <v>0</v>
      </c>
      <c r="C8" s="4">
        <f>(VLOOKUP('21.04.01'!K8,'21.04.01'!$AO$4:$AQ$55,3,FALSE))</f>
        <v>0</v>
      </c>
      <c r="D8" s="4">
        <f>(VLOOKUP('21.04.01'!L8,'21.04.01'!$AO$4:$AQ$55,3,FALSE))</f>
        <v>0</v>
      </c>
      <c r="E8" s="4">
        <f>(VLOOKUP('21.04.01'!M8,'21.04.01'!$AO$4:$AQ$55,3,FALSE))</f>
        <v>0</v>
      </c>
      <c r="F8" s="4">
        <f>(VLOOKUP('21.04.01'!N8,'21.04.01'!$AO$4:$AQ$55,3,FALSE))</f>
        <v>0</v>
      </c>
      <c r="G8" s="5">
        <f>(VLOOKUP('21.04.01'!O8,'21.04.01'!$AO$4:$AQ$55,3,FALSE))</f>
        <v>0</v>
      </c>
      <c r="H8" s="5">
        <f>(VLOOKUP('21.04.01'!P8,'21.04.01'!$AO$4:$AQ$55,3,FALSE))</f>
        <v>0</v>
      </c>
      <c r="I8" s="4">
        <f>(VLOOKUP('21.04.01'!Q8,'21.04.01'!$AO$4:$AQ$55,3,FALSE))</f>
        <v>0</v>
      </c>
      <c r="J8" s="4">
        <f>(VLOOKUP('21.04.01'!R8,'21.04.01'!$AO$4:$AQ$55,3,FALSE))</f>
        <v>0</v>
      </c>
      <c r="K8" s="4">
        <f>(VLOOKUP('21.04.01'!S8,'21.04.01'!$AO$4:$AQ$55,3,FALSE))</f>
        <v>0</v>
      </c>
      <c r="L8" s="4">
        <f>(VLOOKUP('21.04.01'!T8,'21.04.01'!$AO$4:$AQ$55,3,FALSE))</f>
        <v>0</v>
      </c>
      <c r="M8" s="4">
        <f>(VLOOKUP('21.04.01'!U8,'21.04.01'!$AO$4:$AQ$55,3,FALSE))</f>
        <v>0</v>
      </c>
      <c r="N8" s="4">
        <f>(VLOOKUP('21.04.01'!V8,'21.04.01'!$AO$4:$AQ$55,3,FALSE))</f>
        <v>0</v>
      </c>
      <c r="O8" s="5">
        <f>(VLOOKUP('21.04.01'!W8,'21.04.01'!$AO$4:$AQ$55,3,FALSE))</f>
        <v>0</v>
      </c>
      <c r="P8" s="5">
        <f>(VLOOKUP('21.04.01'!X8,'21.04.01'!$AO$4:$AQ$55,3,FALSE))</f>
        <v>0</v>
      </c>
      <c r="Q8" s="4">
        <f>(VLOOKUP('21.04.01'!Y8,'21.04.01'!$AO$4:$AQ$55,3,FALSE))</f>
        <v>35</v>
      </c>
      <c r="R8" s="4">
        <f>(VLOOKUP('21.04.01'!Z8,'21.04.01'!$AO$4:$AQ$55,3,FALSE))</f>
        <v>35</v>
      </c>
      <c r="S8" s="4">
        <f>(VLOOKUP('21.04.01'!AA8,'21.04.01'!$AO$4:$AQ$55,3,FALSE))</f>
        <v>35</v>
      </c>
      <c r="T8" s="4">
        <f>(VLOOKUP('21.04.01'!AB8,'21.04.01'!$AO$4:$AQ$55,3,FALSE))</f>
        <v>35</v>
      </c>
      <c r="U8" s="4">
        <f>(VLOOKUP('21.04.01'!AC8,'21.04.01'!$AO$4:$AQ$55,3,FALSE))</f>
        <v>35</v>
      </c>
      <c r="V8" s="4">
        <f>(VLOOKUP('21.04.01'!AD8,'21.04.01'!$AO$4:$AQ$55,3,FALSE))</f>
        <v>35</v>
      </c>
      <c r="W8" s="5">
        <f>(VLOOKUP('21.04.01'!AE8,'21.04.01'!$AO$4:$AQ$55,3,FALSE))</f>
        <v>0</v>
      </c>
      <c r="X8" s="5">
        <f>(VLOOKUP('21.04.01'!AF8,'21.04.01'!$AO$4:$AQ$55,3,FALSE))</f>
        <v>0</v>
      </c>
    </row>
    <row r="9" spans="1:24">
      <c r="A9" s="4">
        <f>(VLOOKUP('21.04.01'!I9,'21.04.01'!$AO$4:$AQ$55,3,FALSE))</f>
        <v>40</v>
      </c>
      <c r="B9" s="4">
        <f>(VLOOKUP('21.04.01'!J9,'21.04.01'!$AO$4:$AQ$55,3,FALSE))</f>
        <v>45</v>
      </c>
      <c r="C9" s="4">
        <f>(VLOOKUP('21.04.01'!K9,'21.04.01'!$AO$4:$AQ$55,3,FALSE))</f>
        <v>40</v>
      </c>
      <c r="D9" s="4">
        <f>(VLOOKUP('21.04.01'!L9,'21.04.01'!$AO$4:$AQ$55,3,FALSE))</f>
        <v>45</v>
      </c>
      <c r="E9" s="4">
        <f>(VLOOKUP('21.04.01'!M9,'21.04.01'!$AO$4:$AQ$55,3,FALSE))</f>
        <v>45</v>
      </c>
      <c r="F9" s="4">
        <f>(VLOOKUP('21.04.01'!N9,'21.04.01'!$AO$4:$AQ$55,3,FALSE))</f>
        <v>300</v>
      </c>
      <c r="G9" s="5">
        <f>(VLOOKUP('21.04.01'!O9,'21.04.01'!$AO$4:$AQ$55,3,FALSE))</f>
        <v>45</v>
      </c>
      <c r="H9" s="5">
        <f>(VLOOKUP('21.04.01'!P9,'21.04.01'!$AO$4:$AQ$55,3,FALSE))</f>
        <v>0</v>
      </c>
      <c r="I9" s="4">
        <f>(VLOOKUP('21.04.01'!Q9,'21.04.01'!$AO$4:$AQ$55,3,FALSE))</f>
        <v>0</v>
      </c>
      <c r="J9" s="4">
        <f>(VLOOKUP('21.04.01'!R9,'21.04.01'!$AO$4:$AQ$55,3,FALSE))</f>
        <v>0</v>
      </c>
      <c r="K9" s="4">
        <f>(VLOOKUP('21.04.01'!S9,'21.04.01'!$AO$4:$AQ$55,3,FALSE))</f>
        <v>0</v>
      </c>
      <c r="L9" s="4">
        <f>(VLOOKUP('21.04.01'!T9,'21.04.01'!$AO$4:$AQ$55,3,FALSE))</f>
        <v>0</v>
      </c>
      <c r="M9" s="4">
        <f>(VLOOKUP('21.04.01'!U9,'21.04.01'!$AO$4:$AQ$55,3,FALSE))</f>
        <v>0</v>
      </c>
      <c r="N9" s="4">
        <f>(VLOOKUP('21.04.01'!V9,'21.04.01'!$AO$4:$AQ$55,3,FALSE))</f>
        <v>0</v>
      </c>
      <c r="O9" s="5">
        <f>(VLOOKUP('21.04.01'!W9,'21.04.01'!$AO$4:$AQ$55,3,FALSE))</f>
        <v>0</v>
      </c>
      <c r="P9" s="5">
        <f>(VLOOKUP('21.04.01'!X9,'21.04.01'!$AO$4:$AQ$55,3,FALSE))</f>
        <v>0</v>
      </c>
      <c r="Q9" s="4">
        <f>(VLOOKUP('21.04.01'!Y9,'21.04.01'!$AO$4:$AQ$55,3,FALSE))</f>
        <v>30</v>
      </c>
      <c r="R9" s="4">
        <f>(VLOOKUP('21.04.01'!Z9,'21.04.01'!$AO$4:$AQ$55,3,FALSE))</f>
        <v>35</v>
      </c>
      <c r="S9" s="4">
        <f>(VLOOKUP('21.04.01'!AA9,'21.04.01'!$AO$4:$AQ$55,3,FALSE))</f>
        <v>35</v>
      </c>
      <c r="T9" s="4">
        <f>(VLOOKUP('21.04.01'!AB9,'21.04.01'!$AO$4:$AQ$55,3,FALSE))</f>
        <v>35</v>
      </c>
      <c r="U9" s="4">
        <f>(VLOOKUP('21.04.01'!AC9,'21.04.01'!$AO$4:$AQ$55,3,FALSE))</f>
        <v>40</v>
      </c>
      <c r="V9" s="4">
        <f>(VLOOKUP('21.04.01'!AD9,'21.04.01'!$AO$4:$AQ$55,3,FALSE))</f>
        <v>40</v>
      </c>
      <c r="W9" s="5">
        <f>(VLOOKUP('21.04.01'!AE9,'21.04.01'!$AO$4:$AQ$55,3,FALSE))</f>
        <v>0</v>
      </c>
      <c r="X9" s="5">
        <f>(VLOOKUP('21.04.01'!AF9,'21.04.01'!$AO$4:$AQ$55,3,FALSE))</f>
        <v>40</v>
      </c>
    </row>
    <row r="10" spans="1:24">
      <c r="A10" s="4">
        <f>(VLOOKUP('21.04.01'!I10,'21.04.01'!$AO$4:$AQ$55,3,FALSE))</f>
        <v>45</v>
      </c>
      <c r="B10" s="4">
        <f>(VLOOKUP('21.04.01'!J10,'21.04.01'!$AO$4:$AQ$55,3,FALSE))</f>
        <v>40</v>
      </c>
      <c r="C10" s="4">
        <f>(VLOOKUP('21.04.01'!K10,'21.04.01'!$AO$4:$AQ$55,3,FALSE))</f>
        <v>45</v>
      </c>
      <c r="D10" s="4">
        <f>(VLOOKUP('21.04.01'!L10,'21.04.01'!$AO$4:$AQ$55,3,FALSE))</f>
        <v>45</v>
      </c>
      <c r="E10" s="4">
        <f>(VLOOKUP('21.04.01'!M10,'21.04.01'!$AO$4:$AQ$55,3,FALSE))</f>
        <v>50</v>
      </c>
      <c r="F10" s="4">
        <f>(VLOOKUP('21.04.01'!N10,'21.04.01'!$AO$4:$AQ$55,3,FALSE))</f>
        <v>50</v>
      </c>
      <c r="G10" s="5">
        <f>(VLOOKUP('21.04.01'!O10,'21.04.01'!$AO$4:$AQ$55,3,FALSE))</f>
        <v>0</v>
      </c>
      <c r="H10" s="5">
        <f>(VLOOKUP('21.04.01'!P10,'21.04.01'!$AO$4:$AQ$55,3,FALSE))</f>
        <v>0</v>
      </c>
      <c r="I10" s="4">
        <f>(VLOOKUP('21.04.01'!Q10,'21.04.01'!$AO$4:$AQ$55,3,FALSE))</f>
        <v>45</v>
      </c>
      <c r="J10" s="4">
        <f>(VLOOKUP('21.04.01'!R10,'21.04.01'!$AO$4:$AQ$55,3,FALSE))</f>
        <v>300</v>
      </c>
      <c r="K10" s="4">
        <f>(VLOOKUP('21.04.01'!S10,'21.04.01'!$AO$4:$AQ$55,3,FALSE))</f>
        <v>50</v>
      </c>
      <c r="L10" s="4">
        <f>(VLOOKUP('21.04.01'!T10,'21.04.01'!$AO$4:$AQ$55,3,FALSE))</f>
        <v>60</v>
      </c>
      <c r="M10" s="4">
        <f>(VLOOKUP('21.04.01'!U10,'21.04.01'!$AO$4:$AQ$55,3,FALSE))</f>
        <v>1000</v>
      </c>
      <c r="N10" s="4">
        <f>(VLOOKUP('21.04.01'!V10,'21.04.01'!$AO$4:$AQ$55,3,FALSE))</f>
        <v>50</v>
      </c>
      <c r="O10" s="5">
        <f>(VLOOKUP('21.04.01'!W10,'21.04.01'!$AO$4:$AQ$55,3,FALSE))</f>
        <v>0</v>
      </c>
      <c r="P10" s="5">
        <f>(VLOOKUP('21.04.01'!X10,'21.04.01'!$AO$4:$AQ$55,3,FALSE))</f>
        <v>0</v>
      </c>
      <c r="Q10" s="4">
        <f>(VLOOKUP('21.04.01'!Y10,'21.04.01'!$AO$4:$AQ$55,3,FALSE))</f>
        <v>40</v>
      </c>
      <c r="R10" s="4">
        <f>(VLOOKUP('21.04.01'!Z10,'21.04.01'!$AO$4:$AQ$55,3,FALSE))</f>
        <v>40</v>
      </c>
      <c r="S10" s="4">
        <f>(VLOOKUP('21.04.01'!AA10,'21.04.01'!$AO$4:$AQ$55,3,FALSE))</f>
        <v>40</v>
      </c>
      <c r="T10" s="4">
        <f>(VLOOKUP('21.04.01'!AB10,'21.04.01'!$AO$4:$AQ$55,3,FALSE))</f>
        <v>30</v>
      </c>
      <c r="U10" s="4">
        <f>(VLOOKUP('21.04.01'!AC10,'21.04.01'!$AO$4:$AQ$55,3,FALSE))</f>
        <v>40</v>
      </c>
      <c r="V10" s="4">
        <f>(VLOOKUP('21.04.01'!AD10,'21.04.01'!$AO$4:$AQ$55,3,FALSE))</f>
        <v>40</v>
      </c>
      <c r="W10" s="5">
        <f>(VLOOKUP('21.04.01'!AE10,'21.04.01'!$AO$4:$AQ$55,3,FALSE))</f>
        <v>0</v>
      </c>
      <c r="X10" s="5">
        <f>(VLOOKUP('21.04.01'!AF10,'21.04.01'!$AO$4:$AQ$55,3,FALSE))</f>
        <v>0</v>
      </c>
    </row>
    <row r="11" spans="1:24">
      <c r="A11" s="4">
        <f>(VLOOKUP('21.04.01'!I11,'21.04.01'!$AO$4:$AQ$55,3,FALSE))</f>
        <v>50</v>
      </c>
      <c r="B11" s="4">
        <f>(VLOOKUP('21.04.01'!J11,'21.04.01'!$AO$4:$AQ$55,3,FALSE))</f>
        <v>50</v>
      </c>
      <c r="C11" s="4">
        <f>(VLOOKUP('21.04.01'!K11,'21.04.01'!$AO$4:$AQ$55,3,FALSE))</f>
        <v>50</v>
      </c>
      <c r="D11" s="4">
        <f>(VLOOKUP('21.04.01'!L11,'21.04.01'!$AO$4:$AQ$55,3,FALSE))</f>
        <v>50</v>
      </c>
      <c r="E11" s="4">
        <f>(VLOOKUP('21.04.01'!M11,'21.04.01'!$AO$4:$AQ$55,3,FALSE))</f>
        <v>45</v>
      </c>
      <c r="F11" s="4">
        <f>(VLOOKUP('21.04.01'!N11,'21.04.01'!$AO$4:$AQ$55,3,FALSE))</f>
        <v>45</v>
      </c>
      <c r="G11" s="5">
        <f>(VLOOKUP('21.04.01'!O11,'21.04.01'!$AO$4:$AQ$55,3,FALSE))</f>
        <v>0</v>
      </c>
      <c r="H11" s="5">
        <f>(VLOOKUP('21.04.01'!P11,'21.04.01'!$AO$4:$AQ$55,3,FALSE))</f>
        <v>0</v>
      </c>
      <c r="I11" s="4">
        <f>(VLOOKUP('21.04.01'!Q11,'21.04.01'!$AO$4:$AQ$55,3,FALSE))</f>
        <v>50</v>
      </c>
      <c r="J11" s="4">
        <f>(VLOOKUP('21.04.01'!R11,'21.04.01'!$AO$4:$AQ$55,3,FALSE))</f>
        <v>50</v>
      </c>
      <c r="K11" s="4">
        <f>(VLOOKUP('21.04.01'!S11,'21.04.01'!$AO$4:$AQ$55,3,FALSE))</f>
        <v>50</v>
      </c>
      <c r="L11" s="4">
        <f>(VLOOKUP('21.04.01'!T11,'21.04.01'!$AO$4:$AQ$55,3,FALSE))</f>
        <v>50</v>
      </c>
      <c r="M11" s="4">
        <f>(VLOOKUP('21.04.01'!U11,'21.04.01'!$AO$4:$AQ$55,3,FALSE))</f>
        <v>50</v>
      </c>
      <c r="N11" s="4">
        <f>(VLOOKUP('21.04.01'!V11,'21.04.01'!$AO$4:$AQ$55,3,FALSE))</f>
        <v>30</v>
      </c>
      <c r="O11" s="5">
        <f>(VLOOKUP('21.04.01'!W11,'21.04.01'!$AO$4:$AQ$55,3,FALSE))</f>
        <v>0</v>
      </c>
      <c r="P11" s="5">
        <f>(VLOOKUP('21.04.01'!X11,'21.04.01'!$AO$4:$AQ$55,3,FALSE))</f>
        <v>0</v>
      </c>
      <c r="Q11" s="4">
        <f>(VLOOKUP('21.04.01'!Y11,'21.04.01'!$AO$4:$AQ$55,3,FALSE))</f>
        <v>45</v>
      </c>
      <c r="R11" s="4">
        <f>(VLOOKUP('21.04.01'!Z11,'21.04.01'!$AO$4:$AQ$55,3,FALSE))</f>
        <v>30</v>
      </c>
      <c r="S11" s="4">
        <f>(VLOOKUP('21.04.01'!AA11,'21.04.01'!$AO$4:$AQ$55,3,FALSE))</f>
        <v>45</v>
      </c>
      <c r="T11" s="4">
        <f>(VLOOKUP('21.04.01'!AB11,'21.04.01'!$AO$4:$AQ$55,3,FALSE))</f>
        <v>45</v>
      </c>
      <c r="U11" s="4">
        <f>(VLOOKUP('21.04.01'!AC11,'21.04.01'!$AO$4:$AQ$55,3,FALSE))</f>
        <v>40</v>
      </c>
      <c r="V11" s="4">
        <f>(VLOOKUP('21.04.01'!AD11,'21.04.01'!$AO$4:$AQ$55,3,FALSE))</f>
        <v>40</v>
      </c>
      <c r="W11" s="5">
        <f>(VLOOKUP('21.04.01'!AE11,'21.04.01'!$AO$4:$AQ$55,3,FALSE))</f>
        <v>0</v>
      </c>
      <c r="X11" s="5">
        <f>(VLOOKUP('21.04.01'!AF11,'21.04.01'!$AO$4:$AQ$55,3,FALSE))</f>
        <v>0</v>
      </c>
    </row>
    <row r="12" spans="1:24">
      <c r="A12" s="4">
        <f>(VLOOKUP('21.04.01'!I12,'21.04.01'!$AO$4:$AQ$55,3,FALSE))</f>
        <v>45</v>
      </c>
      <c r="B12" s="4">
        <f>(VLOOKUP('21.04.01'!J12,'21.04.01'!$AO$4:$AQ$55,3,FALSE))</f>
        <v>45</v>
      </c>
      <c r="C12" s="4">
        <f>(VLOOKUP('21.04.01'!K12,'21.04.01'!$AO$4:$AQ$55,3,FALSE))</f>
        <v>40</v>
      </c>
      <c r="D12" s="4">
        <f>(VLOOKUP('21.04.01'!L12,'21.04.01'!$AO$4:$AQ$55,3,FALSE))</f>
        <v>45</v>
      </c>
      <c r="E12" s="4">
        <f>(VLOOKUP('21.04.01'!M12,'21.04.01'!$AO$4:$AQ$55,3,FALSE))</f>
        <v>45</v>
      </c>
      <c r="F12" s="4">
        <f>(VLOOKUP('21.04.01'!N12,'21.04.01'!$AO$4:$AQ$55,3,FALSE))</f>
        <v>45</v>
      </c>
      <c r="G12" s="5">
        <f>(VLOOKUP('21.04.01'!O12,'21.04.01'!$AO$4:$AQ$55,3,FALSE))</f>
        <v>0</v>
      </c>
      <c r="H12" s="5">
        <f>(VLOOKUP('21.04.01'!P12,'21.04.01'!$AO$4:$AQ$55,3,FALSE))</f>
        <v>0</v>
      </c>
      <c r="I12" s="4">
        <f>(VLOOKUP('21.04.01'!Q12,'21.04.01'!$AO$4:$AQ$55,3,FALSE))</f>
        <v>45</v>
      </c>
      <c r="J12" s="4">
        <f>(VLOOKUP('21.04.01'!R12,'21.04.01'!$AO$4:$AQ$55,3,FALSE))</f>
        <v>45</v>
      </c>
      <c r="K12" s="4">
        <f>(VLOOKUP('21.04.01'!S12,'21.04.01'!$AO$4:$AQ$55,3,FALSE))</f>
        <v>45</v>
      </c>
      <c r="L12" s="4">
        <f>(VLOOKUP('21.04.01'!T12,'21.04.01'!$AO$4:$AQ$55,3,FALSE))</f>
        <v>45</v>
      </c>
      <c r="M12" s="4">
        <f>(VLOOKUP('21.04.01'!U12,'21.04.01'!$AO$4:$AQ$55,3,FALSE))</f>
        <v>45</v>
      </c>
      <c r="N12" s="4">
        <f>(VLOOKUP('21.04.01'!V12,'21.04.01'!$AO$4:$AQ$55,3,FALSE))</f>
        <v>45</v>
      </c>
      <c r="O12" s="5">
        <f>(VLOOKUP('21.04.01'!W12,'21.04.01'!$AO$4:$AQ$55,3,FALSE))</f>
        <v>0</v>
      </c>
      <c r="P12" s="5">
        <f>(VLOOKUP('21.04.01'!X12,'21.04.01'!$AO$4:$AQ$55,3,FALSE))</f>
        <v>0</v>
      </c>
      <c r="Q12" s="4">
        <f>(VLOOKUP('21.04.01'!Y12,'21.04.01'!$AO$4:$AQ$55,3,FALSE))</f>
        <v>40</v>
      </c>
      <c r="R12" s="4">
        <f>(VLOOKUP('21.04.01'!Z12,'21.04.01'!$AO$4:$AQ$55,3,FALSE))</f>
        <v>40</v>
      </c>
      <c r="S12" s="4">
        <f>(VLOOKUP('21.04.01'!AA12,'21.04.01'!$AO$4:$AQ$55,3,FALSE))</f>
        <v>40</v>
      </c>
      <c r="T12" s="4">
        <f>(VLOOKUP('21.04.01'!AB12,'21.04.01'!$AO$4:$AQ$55,3,FALSE))</f>
        <v>0</v>
      </c>
      <c r="U12" s="4">
        <f>(VLOOKUP('21.04.01'!AC12,'21.04.01'!$AO$4:$AQ$55,3,FALSE))</f>
        <v>0</v>
      </c>
      <c r="V12" s="4">
        <f>(VLOOKUP('21.04.01'!AD12,'21.04.01'!$AO$4:$AQ$55,3,FALSE))</f>
        <v>40</v>
      </c>
      <c r="W12" s="5">
        <f>(VLOOKUP('21.04.01'!AE12,'21.04.01'!$AO$4:$AQ$55,3,FALSE))</f>
        <v>40</v>
      </c>
      <c r="X12" s="5">
        <f>(VLOOKUP('21.04.01'!AF12,'21.04.01'!$AO$4:$AQ$55,3,FALSE))</f>
        <v>40</v>
      </c>
    </row>
    <row r="13" spans="1:24">
      <c r="A13" s="4">
        <f>(VLOOKUP('21.04.01'!I13,'21.04.01'!$AO$4:$AQ$55,3,FALSE))</f>
        <v>50</v>
      </c>
      <c r="B13" s="4">
        <f>(VLOOKUP('21.04.01'!J13,'21.04.01'!$AO$4:$AQ$55,3,FALSE))</f>
        <v>50</v>
      </c>
      <c r="C13" s="4">
        <f>(VLOOKUP('21.04.01'!K13,'21.04.01'!$AO$4:$AQ$55,3,FALSE))</f>
        <v>50</v>
      </c>
      <c r="D13" s="4">
        <f>(VLOOKUP('21.04.01'!L13,'21.04.01'!$AO$4:$AQ$55,3,FALSE))</f>
        <v>45</v>
      </c>
      <c r="E13" s="4">
        <f>(VLOOKUP('21.04.01'!M13,'21.04.01'!$AO$4:$AQ$55,3,FALSE))</f>
        <v>30</v>
      </c>
      <c r="F13" s="4">
        <f>(VLOOKUP('21.04.01'!N13,'21.04.01'!$AO$4:$AQ$55,3,FALSE))</f>
        <v>0</v>
      </c>
      <c r="G13" s="5">
        <f>(VLOOKUP('21.04.01'!O13,'21.04.01'!$AO$4:$AQ$55,3,FALSE))</f>
        <v>0</v>
      </c>
      <c r="H13" s="5">
        <f>(VLOOKUP('21.04.01'!P13,'21.04.01'!$AO$4:$AQ$55,3,FALSE))</f>
        <v>0</v>
      </c>
      <c r="I13" s="4">
        <f>(VLOOKUP('21.04.01'!Q13,'21.04.01'!$AO$4:$AQ$55,3,FALSE))</f>
        <v>45</v>
      </c>
      <c r="J13" s="4">
        <f>(VLOOKUP('21.04.01'!R13,'21.04.01'!$AO$4:$AQ$55,3,FALSE))</f>
        <v>45</v>
      </c>
      <c r="K13" s="4">
        <f>(VLOOKUP('21.04.01'!S13,'21.04.01'!$AO$4:$AQ$55,3,FALSE))</f>
        <v>45</v>
      </c>
      <c r="L13" s="4">
        <f>(VLOOKUP('21.04.01'!T13,'21.04.01'!$AO$4:$AQ$55,3,FALSE))</f>
        <v>45</v>
      </c>
      <c r="M13" s="4">
        <f>(VLOOKUP('21.04.01'!U13,'21.04.01'!$AO$4:$AQ$55,3,FALSE))</f>
        <v>45</v>
      </c>
      <c r="N13" s="4">
        <f>(VLOOKUP('21.04.01'!V13,'21.04.01'!$AO$4:$AQ$55,3,FALSE))</f>
        <v>45</v>
      </c>
      <c r="O13" s="5">
        <f>(VLOOKUP('21.04.01'!W13,'21.04.01'!$AO$4:$AQ$55,3,FALSE))</f>
        <v>0</v>
      </c>
      <c r="P13" s="5">
        <f>(VLOOKUP('21.04.01'!X13,'21.04.01'!$AO$4:$AQ$55,3,FALSE))</f>
        <v>0</v>
      </c>
      <c r="Q13" s="4">
        <f>(VLOOKUP('21.04.01'!Y13,'21.04.01'!$AO$4:$AQ$55,3,FALSE))</f>
        <v>40</v>
      </c>
      <c r="R13" s="4">
        <f>(VLOOKUP('21.04.01'!Z13,'21.04.01'!$AO$4:$AQ$55,3,FALSE))</f>
        <v>40</v>
      </c>
      <c r="S13" s="4">
        <f>(VLOOKUP('21.04.01'!AA13,'21.04.01'!$AO$4:$AQ$55,3,FALSE))</f>
        <v>30</v>
      </c>
      <c r="T13" s="4">
        <f>(VLOOKUP('21.04.01'!AB13,'21.04.01'!$AO$4:$AQ$55,3,FALSE))</f>
        <v>40</v>
      </c>
      <c r="U13" s="4">
        <f>(VLOOKUP('21.04.01'!AC13,'21.04.01'!$AO$4:$AQ$55,3,FALSE))</f>
        <v>40</v>
      </c>
      <c r="V13" s="4">
        <f>(VLOOKUP('21.04.01'!AD13,'21.04.01'!$AO$4:$AQ$55,3,FALSE))</f>
        <v>45</v>
      </c>
      <c r="W13" s="5">
        <f>(VLOOKUP('21.04.01'!AE13,'21.04.01'!$AO$4:$AQ$55,3,FALSE))</f>
        <v>0</v>
      </c>
      <c r="X13" s="5">
        <f>(VLOOKUP('21.04.01'!AF13,'21.04.01'!$AO$4:$AQ$55,3,FALSE))</f>
        <v>0</v>
      </c>
    </row>
    <row r="14" spans="1:24">
      <c r="A14" s="4">
        <f>(VLOOKUP('21.04.01'!I14,'21.04.01'!$AO$4:$AQ$55,3,FALSE))</f>
        <v>45</v>
      </c>
      <c r="B14" s="4">
        <f>(VLOOKUP('21.04.01'!J14,'21.04.01'!$AO$4:$AQ$55,3,FALSE))</f>
        <v>45</v>
      </c>
      <c r="C14" s="4">
        <f>(VLOOKUP('21.04.01'!K14,'21.04.01'!$AO$4:$AQ$55,3,FALSE))</f>
        <v>45</v>
      </c>
      <c r="D14" s="4">
        <f>(VLOOKUP('21.04.01'!L14,'21.04.01'!$AO$4:$AQ$55,3,FALSE))</f>
        <v>45</v>
      </c>
      <c r="E14" s="4">
        <f>(VLOOKUP('21.04.01'!M14,'21.04.01'!$AO$4:$AQ$55,3,FALSE))</f>
        <v>45</v>
      </c>
      <c r="F14" s="4">
        <f>(VLOOKUP('21.04.01'!N14,'21.04.01'!$AO$4:$AQ$55,3,FALSE))</f>
        <v>45</v>
      </c>
      <c r="G14" s="5">
        <f>(VLOOKUP('21.04.01'!O14,'21.04.01'!$AO$4:$AQ$55,3,FALSE))</f>
        <v>0</v>
      </c>
      <c r="H14" s="5">
        <f>(VLOOKUP('21.04.01'!P14,'21.04.01'!$AO$4:$AQ$55,3,FALSE))</f>
        <v>0</v>
      </c>
      <c r="I14" s="4">
        <f>(VLOOKUP('21.04.01'!Q14,'21.04.01'!$AO$4:$AQ$55,3,FALSE))</f>
        <v>45</v>
      </c>
      <c r="J14" s="4">
        <f>(VLOOKUP('21.04.01'!R14,'21.04.01'!$AO$4:$AQ$55,3,FALSE))</f>
        <v>40</v>
      </c>
      <c r="K14" s="4">
        <f>(VLOOKUP('21.04.01'!S14,'21.04.01'!$AO$4:$AQ$55,3,FALSE))</f>
        <v>45</v>
      </c>
      <c r="L14" s="4">
        <f>(VLOOKUP('21.04.01'!T14,'21.04.01'!$AO$4:$AQ$55,3,FALSE))</f>
        <v>45</v>
      </c>
      <c r="M14" s="4">
        <f>(VLOOKUP('21.04.01'!U14,'21.04.01'!$AO$4:$AQ$55,3,FALSE))</f>
        <v>45</v>
      </c>
      <c r="N14" s="4">
        <f>(VLOOKUP('21.04.01'!V14,'21.04.01'!$AO$4:$AQ$55,3,FALSE))</f>
        <v>45</v>
      </c>
      <c r="O14" s="5">
        <f>(VLOOKUP('21.04.01'!W14,'21.04.01'!$AO$4:$AQ$55,3,FALSE))</f>
        <v>0</v>
      </c>
      <c r="P14" s="5">
        <f>(VLOOKUP('21.04.01'!X14,'21.04.01'!$AO$4:$AQ$55,3,FALSE))</f>
        <v>0</v>
      </c>
      <c r="Q14" s="4">
        <f>(VLOOKUP('21.04.01'!Y14,'21.04.01'!$AO$4:$AQ$55,3,FALSE))</f>
        <v>45</v>
      </c>
      <c r="R14" s="4">
        <f>(VLOOKUP('21.04.01'!Z14,'21.04.01'!$AO$4:$AQ$55,3,FALSE))</f>
        <v>30</v>
      </c>
      <c r="S14" s="4">
        <f>(VLOOKUP('21.04.01'!AA14,'21.04.01'!$AO$4:$AQ$55,3,FALSE))</f>
        <v>45</v>
      </c>
      <c r="T14" s="4">
        <f>(VLOOKUP('21.04.01'!AB14,'21.04.01'!$AO$4:$AQ$55,3,FALSE))</f>
        <v>40</v>
      </c>
      <c r="U14" s="4">
        <f>(VLOOKUP('21.04.01'!AC14,'21.04.01'!$AO$4:$AQ$55,3,FALSE))</f>
        <v>45</v>
      </c>
      <c r="V14" s="4">
        <f>(VLOOKUP('21.04.01'!AD14,'21.04.01'!$AO$4:$AQ$55,3,FALSE))</f>
        <v>300</v>
      </c>
      <c r="W14" s="5">
        <f>(VLOOKUP('21.04.01'!AE14,'21.04.01'!$AO$4:$AQ$55,3,FALSE))</f>
        <v>0</v>
      </c>
      <c r="X14" s="5">
        <f>(VLOOKUP('21.04.01'!AF14,'21.04.01'!$AO$4:$AQ$55,3,FALSE))</f>
        <v>0</v>
      </c>
    </row>
    <row r="15" spans="1:24">
      <c r="A15" s="4">
        <f>(VLOOKUP('21.04.01'!I15,'21.04.01'!$AO$4:$AQ$55,3,FALSE))</f>
        <v>50</v>
      </c>
      <c r="B15" s="4">
        <f>(VLOOKUP('21.04.01'!J15,'21.04.01'!$AO$4:$AQ$55,3,FALSE))</f>
        <v>50</v>
      </c>
      <c r="C15" s="4">
        <f>(VLOOKUP('21.04.01'!K15,'21.04.01'!$AO$4:$AQ$55,3,FALSE))</f>
        <v>30</v>
      </c>
      <c r="D15" s="4">
        <f>(VLOOKUP('21.04.01'!L15,'21.04.01'!$AO$4:$AQ$55,3,FALSE))</f>
        <v>50</v>
      </c>
      <c r="E15" s="4">
        <f>(VLOOKUP('21.04.01'!M15,'21.04.01'!$AO$4:$AQ$55,3,FALSE))</f>
        <v>40</v>
      </c>
      <c r="F15" s="4">
        <f>(VLOOKUP('21.04.01'!N15,'21.04.01'!$AO$4:$AQ$55,3,FALSE))</f>
        <v>45</v>
      </c>
      <c r="G15" s="5">
        <f>(VLOOKUP('21.04.01'!O15,'21.04.01'!$AO$4:$AQ$55,3,FALSE))</f>
        <v>0</v>
      </c>
      <c r="H15" s="5">
        <f>(VLOOKUP('21.04.01'!P15,'21.04.01'!$AO$4:$AQ$55,3,FALSE))</f>
        <v>0</v>
      </c>
      <c r="I15" s="4">
        <f>(VLOOKUP('21.04.01'!Q15,'21.04.01'!$AO$4:$AQ$55,3,FALSE))</f>
        <v>40</v>
      </c>
      <c r="J15" s="4">
        <f>(VLOOKUP('21.04.01'!R15,'21.04.01'!$AO$4:$AQ$55,3,FALSE))</f>
        <v>45</v>
      </c>
      <c r="K15" s="4">
        <f>(VLOOKUP('21.04.01'!S15,'21.04.01'!$AO$4:$AQ$55,3,FALSE))</f>
        <v>45</v>
      </c>
      <c r="L15" s="4">
        <f>(VLOOKUP('21.04.01'!T15,'21.04.01'!$AO$4:$AQ$55,3,FALSE))</f>
        <v>0</v>
      </c>
      <c r="M15" s="4">
        <f>(VLOOKUP('21.04.01'!U15,'21.04.01'!$AO$4:$AQ$55,3,FALSE))</f>
        <v>0</v>
      </c>
      <c r="N15" s="4">
        <f>(VLOOKUP('21.04.01'!V15,'21.04.01'!$AO$4:$AQ$55,3,FALSE))</f>
        <v>0</v>
      </c>
      <c r="O15" s="5">
        <f>(VLOOKUP('21.04.01'!W15,'21.04.01'!$AO$4:$AQ$55,3,FALSE))</f>
        <v>0</v>
      </c>
      <c r="P15" s="5">
        <f>(VLOOKUP('21.04.01'!X15,'21.04.01'!$AO$4:$AQ$55,3,FALSE))</f>
        <v>0</v>
      </c>
      <c r="Q15" s="4">
        <f>(VLOOKUP('21.04.01'!Y15,'21.04.01'!$AO$4:$AQ$55,3,FALSE))</f>
        <v>0</v>
      </c>
      <c r="R15" s="4">
        <f>(VLOOKUP('21.04.01'!Z15,'21.04.01'!$AO$4:$AQ$55,3,FALSE))</f>
        <v>0</v>
      </c>
      <c r="S15" s="4">
        <f>(VLOOKUP('21.04.01'!AA15,'21.04.01'!$AO$4:$AQ$55,3,FALSE))</f>
        <v>0</v>
      </c>
      <c r="T15" s="4">
        <f>(VLOOKUP('21.04.01'!AB15,'21.04.01'!$AO$4:$AQ$55,3,FALSE))</f>
        <v>0</v>
      </c>
      <c r="U15" s="4">
        <f>(VLOOKUP('21.04.01'!AC15,'21.04.01'!$AO$4:$AQ$55,3,FALSE))</f>
        <v>0</v>
      </c>
      <c r="V15" s="4">
        <f>(VLOOKUP('21.04.01'!AD15,'21.04.01'!$AO$4:$AQ$55,3,FALSE))</f>
        <v>0</v>
      </c>
      <c r="W15" s="5">
        <f>(VLOOKUP('21.04.01'!AE15,'21.04.01'!$AO$4:$AQ$55,3,FALSE))</f>
        <v>0</v>
      </c>
      <c r="X15" s="5">
        <f>(VLOOKUP('21.04.01'!AF15,'21.04.01'!$AO$4:$AQ$55,3,FALSE))</f>
        <v>0</v>
      </c>
    </row>
    <row r="16" spans="1:24">
      <c r="A16" s="4">
        <f>(VLOOKUP('21.04.01'!I16,'21.04.01'!$AO$4:$AQ$55,3,FALSE))</f>
        <v>45</v>
      </c>
      <c r="B16" s="4">
        <f>(VLOOKUP('21.04.01'!J16,'21.04.01'!$AO$4:$AQ$55,3,FALSE))</f>
        <v>45</v>
      </c>
      <c r="C16" s="4">
        <f>(VLOOKUP('21.04.01'!K16,'21.04.01'!$AO$4:$AQ$55,3,FALSE))</f>
        <v>45</v>
      </c>
      <c r="D16" s="4">
        <f>(VLOOKUP('21.04.01'!L16,'21.04.01'!$AO$4:$AQ$55,3,FALSE))</f>
        <v>45</v>
      </c>
      <c r="E16" s="4">
        <f>(VLOOKUP('21.04.01'!M16,'21.04.01'!$AO$4:$AQ$55,3,FALSE))</f>
        <v>0</v>
      </c>
      <c r="F16" s="4">
        <f>(VLOOKUP('21.04.01'!N16,'21.04.01'!$AO$4:$AQ$55,3,FALSE))</f>
        <v>45</v>
      </c>
      <c r="G16" s="5">
        <f>(VLOOKUP('21.04.01'!O16,'21.04.01'!$AO$4:$AQ$55,3,FALSE))</f>
        <v>45</v>
      </c>
      <c r="H16" s="5">
        <f>(VLOOKUP('21.04.01'!P16,'21.04.01'!$AO$4:$AQ$55,3,FALSE))</f>
        <v>45</v>
      </c>
      <c r="I16" s="4">
        <f>(VLOOKUP('21.04.01'!Q16,'21.04.01'!$AO$4:$AQ$55,3,FALSE))</f>
        <v>0</v>
      </c>
      <c r="J16" s="4">
        <f>(VLOOKUP('21.04.01'!R16,'21.04.01'!$AO$4:$AQ$55,3,FALSE))</f>
        <v>0</v>
      </c>
      <c r="K16" s="4">
        <f>(VLOOKUP('21.04.01'!S16,'21.04.01'!$AO$4:$AQ$55,3,FALSE))</f>
        <v>0</v>
      </c>
      <c r="L16" s="4">
        <f>(VLOOKUP('21.04.01'!T16,'21.04.01'!$AO$4:$AQ$55,3,FALSE))</f>
        <v>0</v>
      </c>
      <c r="M16" s="4">
        <f>(VLOOKUP('21.04.01'!U16,'21.04.01'!$AO$4:$AQ$55,3,FALSE))</f>
        <v>0</v>
      </c>
      <c r="N16" s="4">
        <f>(VLOOKUP('21.04.01'!V16,'21.04.01'!$AO$4:$AQ$55,3,FALSE))</f>
        <v>0</v>
      </c>
      <c r="O16" s="5">
        <f>(VLOOKUP('21.04.01'!W16,'21.04.01'!$AO$4:$AQ$55,3,FALSE))</f>
        <v>0</v>
      </c>
      <c r="P16" s="5">
        <f>(VLOOKUP('21.04.01'!X16,'21.04.01'!$AO$4:$AQ$55,3,FALSE))</f>
        <v>0</v>
      </c>
      <c r="Q16" s="4">
        <f>(VLOOKUP('21.04.01'!Y16,'21.04.01'!$AO$4:$AQ$55,3,FALSE))</f>
        <v>0</v>
      </c>
      <c r="R16" s="4">
        <f>(VLOOKUP('21.04.01'!Z16,'21.04.01'!$AO$4:$AQ$55,3,FALSE))</f>
        <v>0</v>
      </c>
      <c r="S16" s="4">
        <f>(VLOOKUP('21.04.01'!AA16,'21.04.01'!$AO$4:$AQ$55,3,FALSE))</f>
        <v>0</v>
      </c>
      <c r="T16" s="4">
        <f>(VLOOKUP('21.04.01'!AB16,'21.04.01'!$AO$4:$AQ$55,3,FALSE))</f>
        <v>0</v>
      </c>
      <c r="U16" s="4">
        <f>(VLOOKUP('21.04.01'!AC16,'21.04.01'!$AO$4:$AQ$55,3,FALSE))</f>
        <v>0</v>
      </c>
      <c r="V16" s="4">
        <f>(VLOOKUP('21.04.01'!AD16,'21.04.01'!$AO$4:$AQ$55,3,FALSE))</f>
        <v>0</v>
      </c>
      <c r="W16" s="5">
        <f>(VLOOKUP('21.04.01'!AE16,'21.04.01'!$AO$4:$AQ$55,3,FALSE))</f>
        <v>0</v>
      </c>
      <c r="X16" s="5">
        <f>(VLOOKUP('21.04.01'!AF16,'21.04.01'!$AO$4:$AQ$55,3,FALSE))</f>
        <v>0</v>
      </c>
    </row>
    <row r="17" spans="1:24">
      <c r="A17" s="4">
        <f>(VLOOKUP('21.04.01'!I17,'21.04.01'!$AO$4:$AQ$55,3,FALSE))</f>
        <v>45</v>
      </c>
      <c r="B17" s="4">
        <f>(VLOOKUP('21.04.01'!J17,'21.04.01'!$AO$4:$AQ$55,3,FALSE))</f>
        <v>45</v>
      </c>
      <c r="C17" s="4">
        <f>(VLOOKUP('21.04.01'!K17,'21.04.01'!$AO$4:$AQ$55,3,FALSE))</f>
        <v>45</v>
      </c>
      <c r="D17" s="4">
        <f>(VLOOKUP('21.04.01'!L17,'21.04.01'!$AO$4:$AQ$55,3,FALSE))</f>
        <v>45</v>
      </c>
      <c r="E17" s="4">
        <f>(VLOOKUP('21.04.01'!M17,'21.04.01'!$AO$4:$AQ$55,3,FALSE))</f>
        <v>0</v>
      </c>
      <c r="F17" s="4">
        <f>(VLOOKUP('21.04.01'!N17,'21.04.01'!$AO$4:$AQ$55,3,FALSE))</f>
        <v>0</v>
      </c>
      <c r="G17" s="5">
        <f>(VLOOKUP('21.04.01'!O17,'21.04.01'!$AO$4:$AQ$55,3,FALSE))</f>
        <v>0</v>
      </c>
      <c r="H17" s="5">
        <f>(VLOOKUP('21.04.01'!P17,'21.04.01'!$AO$4:$AQ$55,3,FALSE))</f>
        <v>0</v>
      </c>
      <c r="I17" s="4">
        <f>(VLOOKUP('21.04.01'!Q17,'21.04.01'!$AO$4:$AQ$55,3,FALSE))</f>
        <v>45</v>
      </c>
      <c r="J17" s="4">
        <f>(VLOOKUP('21.04.01'!R17,'21.04.01'!$AO$4:$AQ$55,3,FALSE))</f>
        <v>45</v>
      </c>
      <c r="K17" s="4">
        <f>(VLOOKUP('21.04.01'!S17,'21.04.01'!$AO$4:$AQ$55,3,FALSE))</f>
        <v>45</v>
      </c>
      <c r="L17" s="4">
        <f>(VLOOKUP('21.04.01'!T17,'21.04.01'!$AO$4:$AQ$55,3,FALSE))</f>
        <v>45</v>
      </c>
      <c r="M17" s="4">
        <f>(VLOOKUP('21.04.01'!U17,'21.04.01'!$AO$4:$AQ$55,3,FALSE))</f>
        <v>45</v>
      </c>
      <c r="N17" s="4">
        <f>(VLOOKUP('21.04.01'!V17,'21.04.01'!$AO$4:$AQ$55,3,FALSE))</f>
        <v>45</v>
      </c>
      <c r="O17" s="5">
        <f>(VLOOKUP('21.04.01'!W17,'21.04.01'!$AO$4:$AQ$55,3,FALSE))</f>
        <v>45</v>
      </c>
      <c r="P17" s="5">
        <f>(VLOOKUP('21.04.01'!X17,'21.04.01'!$AO$4:$AQ$55,3,FALSE))</f>
        <v>45</v>
      </c>
      <c r="Q17" s="4">
        <f>(VLOOKUP('21.04.01'!Y17,'21.04.01'!$AO$4:$AQ$55,3,FALSE))</f>
        <v>0</v>
      </c>
      <c r="R17" s="4">
        <f>(VLOOKUP('21.04.01'!Z17,'21.04.01'!$AO$4:$AQ$55,3,FALSE))</f>
        <v>0</v>
      </c>
      <c r="S17" s="4">
        <f>(VLOOKUP('21.04.01'!AA17,'21.04.01'!$AO$4:$AQ$55,3,FALSE))</f>
        <v>0</v>
      </c>
      <c r="T17" s="4">
        <f>(VLOOKUP('21.04.01'!AB17,'21.04.01'!$AO$4:$AQ$55,3,FALSE))</f>
        <v>0</v>
      </c>
      <c r="U17" s="4">
        <f>(VLOOKUP('21.04.01'!AC17,'21.04.01'!$AO$4:$AQ$55,3,FALSE))</f>
        <v>0</v>
      </c>
      <c r="V17" s="4">
        <f>(VLOOKUP('21.04.01'!AD17,'21.04.01'!$AO$4:$AQ$55,3,FALSE))</f>
        <v>0</v>
      </c>
      <c r="W17" s="5">
        <f>(VLOOKUP('21.04.01'!AE17,'21.04.01'!$AO$4:$AQ$55,3,FALSE))</f>
        <v>0</v>
      </c>
      <c r="X17" s="5">
        <f>(VLOOKUP('21.04.01'!AF17,'21.04.01'!$AO$4:$AQ$55,3,FALSE))</f>
        <v>0</v>
      </c>
    </row>
    <row r="18" spans="1:24">
      <c r="A18" s="4">
        <f>(VLOOKUP('21.04.01'!I18,'21.04.01'!$AO$4:$AQ$55,3,FALSE))</f>
        <v>0</v>
      </c>
      <c r="B18" s="4">
        <f>(VLOOKUP('21.04.01'!J18,'21.04.01'!$AO$4:$AQ$55,3,FALSE))</f>
        <v>0</v>
      </c>
      <c r="C18" s="4">
        <f>(VLOOKUP('21.04.01'!K18,'21.04.01'!$AO$4:$AQ$55,3,FALSE))</f>
        <v>0</v>
      </c>
      <c r="D18" s="4">
        <f>(VLOOKUP('21.04.01'!L18,'21.04.01'!$AO$4:$AQ$55,3,FALSE))</f>
        <v>0</v>
      </c>
      <c r="E18" s="4">
        <f>(VLOOKUP('21.04.01'!M18,'21.04.01'!$AO$4:$AQ$55,3,FALSE))</f>
        <v>0</v>
      </c>
      <c r="F18" s="4">
        <f>(VLOOKUP('21.04.01'!N18,'21.04.01'!$AO$4:$AQ$55,3,FALSE))</f>
        <v>0</v>
      </c>
      <c r="G18" s="5">
        <f>(VLOOKUP('21.04.01'!O18,'21.04.01'!$AO$4:$AQ$55,3,FALSE))</f>
        <v>0</v>
      </c>
      <c r="H18" s="5">
        <f>(VLOOKUP('21.04.01'!P18,'21.04.01'!$AO$4:$AQ$55,3,FALSE))</f>
        <v>0</v>
      </c>
      <c r="I18" s="4">
        <f>(VLOOKUP('21.04.01'!Q18,'21.04.01'!$AO$4:$AQ$55,3,FALSE))</f>
        <v>30</v>
      </c>
      <c r="J18" s="4">
        <f>(VLOOKUP('21.04.01'!R18,'21.04.01'!$AO$4:$AQ$55,3,FALSE))</f>
        <v>50</v>
      </c>
      <c r="K18" s="4">
        <f>(VLOOKUP('21.04.01'!S18,'21.04.01'!$AO$4:$AQ$55,3,FALSE))</f>
        <v>50</v>
      </c>
      <c r="L18" s="4">
        <f>(VLOOKUP('21.04.01'!T18,'21.04.01'!$AO$4:$AQ$55,3,FALSE))</f>
        <v>50</v>
      </c>
      <c r="M18" s="4">
        <f>(VLOOKUP('21.04.01'!U18,'21.04.01'!$AO$4:$AQ$55,3,FALSE))</f>
        <v>50</v>
      </c>
      <c r="N18" s="4">
        <f>(VLOOKUP('21.04.01'!V18,'21.04.01'!$AO$4:$AQ$55,3,FALSE))</f>
        <v>50</v>
      </c>
      <c r="O18" s="5">
        <f>(VLOOKUP('21.04.01'!W18,'21.04.01'!$AO$4:$AQ$55,3,FALSE))</f>
        <v>50</v>
      </c>
      <c r="P18" s="5">
        <f>(VLOOKUP('21.04.01'!X18,'21.04.01'!$AO$4:$AQ$55,3,FALSE))</f>
        <v>0</v>
      </c>
      <c r="Q18" s="4">
        <f>(VLOOKUP('21.04.01'!Y18,'21.04.01'!$AO$4:$AQ$55,3,FALSE))</f>
        <v>45</v>
      </c>
      <c r="R18" s="4">
        <f>(VLOOKUP('21.04.01'!Z18,'21.04.01'!$AO$4:$AQ$55,3,FALSE))</f>
        <v>45</v>
      </c>
      <c r="S18" s="4">
        <f>(VLOOKUP('21.04.01'!AA18,'21.04.01'!$AO$4:$AQ$55,3,FALSE))</f>
        <v>30</v>
      </c>
      <c r="T18" s="4">
        <f>(VLOOKUP('21.04.01'!AB18,'21.04.01'!$AO$4:$AQ$55,3,FALSE))</f>
        <v>45</v>
      </c>
      <c r="U18" s="4">
        <f>(VLOOKUP('21.04.01'!AC18,'21.04.01'!$AO$4:$AQ$55,3,FALSE))</f>
        <v>45</v>
      </c>
      <c r="V18" s="4">
        <f>(VLOOKUP('21.04.01'!AD18,'21.04.01'!$AO$4:$AQ$55,3,FALSE))</f>
        <v>45</v>
      </c>
      <c r="W18" s="5">
        <f>(VLOOKUP('21.04.01'!AE18,'21.04.01'!$AO$4:$AQ$55,3,FALSE))</f>
        <v>0</v>
      </c>
      <c r="X18" s="5">
        <f>(VLOOKUP('21.04.01'!AF18,'21.04.01'!$AO$4:$AQ$55,3,FALSE))</f>
        <v>45</v>
      </c>
    </row>
    <row r="19" spans="1:24">
      <c r="A19" s="4">
        <f>(VLOOKUP('21.04.01'!I19,'21.04.01'!$AO$4:$AQ$55,3,FALSE))</f>
        <v>0</v>
      </c>
      <c r="B19" s="4">
        <f>(VLOOKUP('21.04.01'!J19,'21.04.01'!$AO$4:$AQ$55,3,FALSE))</f>
        <v>0</v>
      </c>
      <c r="C19" s="4">
        <f>(VLOOKUP('21.04.01'!K19,'21.04.01'!$AO$4:$AQ$55,3,FALSE))</f>
        <v>0</v>
      </c>
      <c r="D19" s="4">
        <f>(VLOOKUP('21.04.01'!L19,'21.04.01'!$AO$4:$AQ$55,3,FALSE))</f>
        <v>0</v>
      </c>
      <c r="E19" s="4">
        <f>(VLOOKUP('21.04.01'!M19,'21.04.01'!$AO$4:$AQ$55,3,FALSE))</f>
        <v>0</v>
      </c>
      <c r="F19" s="4">
        <f>(VLOOKUP('21.04.01'!N19,'21.04.01'!$AO$4:$AQ$55,3,FALSE))</f>
        <v>0</v>
      </c>
      <c r="G19" s="5">
        <f>(VLOOKUP('21.04.01'!O19,'21.04.01'!$AO$4:$AQ$55,3,FALSE))</f>
        <v>0</v>
      </c>
      <c r="H19" s="5">
        <f>(VLOOKUP('21.04.01'!P19,'21.04.01'!$AO$4:$AQ$55,3,FALSE))</f>
        <v>0</v>
      </c>
      <c r="I19" s="4">
        <f>(VLOOKUP('21.04.01'!Q19,'21.04.01'!$AO$4:$AQ$55,3,FALSE))</f>
        <v>50</v>
      </c>
      <c r="J19" s="4">
        <f>(VLOOKUP('21.04.01'!R19,'21.04.01'!$AO$4:$AQ$55,3,FALSE))</f>
        <v>50</v>
      </c>
      <c r="K19" s="4">
        <f>(VLOOKUP('21.04.01'!S19,'21.04.01'!$AO$4:$AQ$55,3,FALSE))</f>
        <v>50</v>
      </c>
      <c r="L19" s="4">
        <f>(VLOOKUP('21.04.01'!T19,'21.04.01'!$AO$4:$AQ$55,3,FALSE))</f>
        <v>50</v>
      </c>
      <c r="M19" s="4">
        <f>(VLOOKUP('21.04.01'!U19,'21.04.01'!$AO$4:$AQ$55,3,FALSE))</f>
        <v>50</v>
      </c>
      <c r="N19" s="4">
        <f>(VLOOKUP('21.04.01'!V19,'21.04.01'!$AO$4:$AQ$55,3,FALSE))</f>
        <v>50</v>
      </c>
      <c r="O19" s="5">
        <f>(VLOOKUP('21.04.01'!W19,'21.04.01'!$AO$4:$AQ$55,3,FALSE))</f>
        <v>50</v>
      </c>
      <c r="P19" s="5">
        <f>(VLOOKUP('21.04.01'!X19,'21.04.01'!$AO$4:$AQ$55,3,FALSE))</f>
        <v>50</v>
      </c>
      <c r="Q19" s="4">
        <f>(VLOOKUP('21.04.01'!Y19,'21.04.01'!$AO$4:$AQ$55,3,FALSE))</f>
        <v>45</v>
      </c>
      <c r="R19" s="4">
        <f>(VLOOKUP('21.04.01'!Z19,'21.04.01'!$AO$4:$AQ$55,3,FALSE))</f>
        <v>45</v>
      </c>
      <c r="S19" s="4">
        <f>(VLOOKUP('21.04.01'!AA19,'21.04.01'!$AO$4:$AQ$55,3,FALSE))</f>
        <v>45</v>
      </c>
      <c r="T19" s="4">
        <f>(VLOOKUP('21.04.01'!AB19,'21.04.01'!$AO$4:$AQ$55,3,FALSE))</f>
        <v>40</v>
      </c>
      <c r="U19" s="4">
        <f>(VLOOKUP('21.04.01'!AC19,'21.04.01'!$AO$4:$AQ$55,3,FALSE))</f>
        <v>40</v>
      </c>
      <c r="V19" s="4">
        <f>(VLOOKUP('21.04.01'!AD19,'21.04.01'!$AO$4:$AQ$55,3,FALSE))</f>
        <v>30</v>
      </c>
      <c r="W19" s="5">
        <f>(VLOOKUP('21.04.01'!AE19,'21.04.01'!$AO$4:$AQ$55,3,FALSE))</f>
        <v>40</v>
      </c>
      <c r="X19" s="5">
        <f>(VLOOKUP('21.04.01'!AF19,'21.04.01'!$AO$4:$AQ$55,3,FALSE))</f>
        <v>40</v>
      </c>
    </row>
    <row r="20" spans="1:24">
      <c r="A20" s="4">
        <f>(VLOOKUP('21.04.01'!I20,'21.04.01'!$AO$4:$AQ$55,3,FALSE))</f>
        <v>0</v>
      </c>
      <c r="B20" s="4">
        <f>(VLOOKUP('21.04.01'!J20,'21.04.01'!$AO$4:$AQ$55,3,FALSE))</f>
        <v>0</v>
      </c>
      <c r="C20" s="4">
        <f>(VLOOKUP('21.04.01'!K20,'21.04.01'!$AO$4:$AQ$55,3,FALSE))</f>
        <v>0</v>
      </c>
      <c r="D20" s="4">
        <f>(VLOOKUP('21.04.01'!L20,'21.04.01'!$AO$4:$AQ$55,3,FALSE))</f>
        <v>0</v>
      </c>
      <c r="E20" s="4">
        <f>(VLOOKUP('21.04.01'!M20,'21.04.01'!$AO$4:$AQ$55,3,FALSE))</f>
        <v>0</v>
      </c>
      <c r="F20" s="4">
        <f>(VLOOKUP('21.04.01'!N20,'21.04.01'!$AO$4:$AQ$55,3,FALSE))</f>
        <v>0</v>
      </c>
      <c r="G20" s="5">
        <f>(VLOOKUP('21.04.01'!O20,'21.04.01'!$AO$4:$AQ$55,3,FALSE))</f>
        <v>0</v>
      </c>
      <c r="H20" s="5">
        <f>(VLOOKUP('21.04.01'!P20,'21.04.01'!$AO$4:$AQ$55,3,FALSE))</f>
        <v>0</v>
      </c>
      <c r="I20" s="4">
        <f>(VLOOKUP('21.04.01'!Q20,'21.04.01'!$AO$4:$AQ$55,3,FALSE))</f>
        <v>50</v>
      </c>
      <c r="J20" s="4">
        <f>(VLOOKUP('21.04.01'!R20,'21.04.01'!$AO$4:$AQ$55,3,FALSE))</f>
        <v>50</v>
      </c>
      <c r="K20" s="4">
        <f>(VLOOKUP('21.04.01'!S20,'21.04.01'!$AO$4:$AQ$55,3,FALSE))</f>
        <v>50</v>
      </c>
      <c r="L20" s="4">
        <f>(VLOOKUP('21.04.01'!T20,'21.04.01'!$AO$4:$AQ$55,3,FALSE))</f>
        <v>0</v>
      </c>
      <c r="M20" s="4">
        <f>(VLOOKUP('21.04.01'!U20,'21.04.01'!$AO$4:$AQ$55,3,FALSE))</f>
        <v>50</v>
      </c>
      <c r="N20" s="4">
        <f>(VLOOKUP('21.04.01'!V20,'21.04.01'!$AO$4:$AQ$55,3,FALSE))</f>
        <v>50</v>
      </c>
      <c r="O20" s="5">
        <f>(VLOOKUP('21.04.01'!W20,'21.04.01'!$AO$4:$AQ$55,3,FALSE))</f>
        <v>50</v>
      </c>
      <c r="P20" s="5">
        <f>(VLOOKUP('21.04.01'!X20,'21.04.01'!$AO$4:$AQ$55,3,FALSE))</f>
        <v>50</v>
      </c>
      <c r="Q20" s="4">
        <f>(VLOOKUP('21.04.01'!Y20,'21.04.01'!$AO$4:$AQ$55,3,FALSE))</f>
        <v>40</v>
      </c>
      <c r="R20" s="4">
        <f>(VLOOKUP('21.04.01'!Z20,'21.04.01'!$AO$4:$AQ$55,3,FALSE))</f>
        <v>40</v>
      </c>
      <c r="S20" s="4">
        <f>(VLOOKUP('21.04.01'!AA20,'21.04.01'!$AO$4:$AQ$55,3,FALSE))</f>
        <v>520</v>
      </c>
      <c r="T20" s="4">
        <f>(VLOOKUP('21.04.01'!AB20,'21.04.01'!$AO$4:$AQ$55,3,FALSE))</f>
        <v>40</v>
      </c>
      <c r="U20" s="4">
        <f>(VLOOKUP('21.04.01'!AC20,'21.04.01'!$AO$4:$AQ$55,3,FALSE))</f>
        <v>40</v>
      </c>
      <c r="V20" s="4">
        <f>(VLOOKUP('21.04.01'!AD20,'21.04.01'!$AO$4:$AQ$55,3,FALSE))</f>
        <v>30</v>
      </c>
      <c r="W20" s="5">
        <f>(VLOOKUP('21.04.01'!AE20,'21.04.01'!$AO$4:$AQ$55,3,FALSE))</f>
        <v>40</v>
      </c>
      <c r="X20" s="5">
        <f>(VLOOKUP('21.04.01'!AF20,'21.04.01'!$AO$4:$AQ$55,3,FALSE))</f>
        <v>0</v>
      </c>
    </row>
    <row r="21" spans="1:24">
      <c r="A21" s="4">
        <f>(VLOOKUP('21.04.01'!I21,'21.04.01'!$AO$4:$AQ$55,3,FALSE))</f>
        <v>45</v>
      </c>
      <c r="B21" s="4">
        <f>(VLOOKUP('21.04.01'!J21,'21.04.01'!$AO$4:$AQ$55,3,FALSE))</f>
        <v>0</v>
      </c>
      <c r="C21" s="4">
        <f>(VLOOKUP('21.04.01'!K21,'21.04.01'!$AO$4:$AQ$55,3,FALSE))</f>
        <v>0</v>
      </c>
      <c r="D21" s="4">
        <f>(VLOOKUP('21.04.01'!L21,'21.04.01'!$AO$4:$AQ$55,3,FALSE))</f>
        <v>0</v>
      </c>
      <c r="E21" s="4">
        <f>(VLOOKUP('21.04.01'!M21,'21.04.01'!$AO$4:$AQ$55,3,FALSE))</f>
        <v>0</v>
      </c>
      <c r="F21" s="4">
        <f>(VLOOKUP('21.04.01'!N21,'21.04.01'!$AO$4:$AQ$55,3,FALSE))</f>
        <v>0</v>
      </c>
      <c r="G21" s="5">
        <f>(VLOOKUP('21.04.01'!O21,'21.04.01'!$AO$4:$AQ$55,3,FALSE))</f>
        <v>0</v>
      </c>
      <c r="H21" s="5">
        <f>(VLOOKUP('21.04.01'!P21,'21.04.01'!$AO$4:$AQ$55,3,FALSE))</f>
        <v>0</v>
      </c>
      <c r="I21" s="4">
        <f>(VLOOKUP('21.04.01'!Q21,'21.04.01'!$AO$4:$AQ$55,3,FALSE))</f>
        <v>50</v>
      </c>
      <c r="J21" s="4">
        <f>(VLOOKUP('21.04.01'!R21,'21.04.01'!$AO$4:$AQ$55,3,FALSE))</f>
        <v>50</v>
      </c>
      <c r="K21" s="4">
        <f>(VLOOKUP('21.04.01'!S21,'21.04.01'!$AO$4:$AQ$55,3,FALSE))</f>
        <v>50</v>
      </c>
      <c r="L21" s="4">
        <f>(VLOOKUP('21.04.01'!T21,'21.04.01'!$AO$4:$AQ$55,3,FALSE))</f>
        <v>50</v>
      </c>
      <c r="M21" s="4">
        <f>(VLOOKUP('21.04.01'!U21,'21.04.01'!$AO$4:$AQ$55,3,FALSE))</f>
        <v>0</v>
      </c>
      <c r="N21" s="4">
        <f>(VLOOKUP('21.04.01'!V21,'21.04.01'!$AO$4:$AQ$55,3,FALSE))</f>
        <v>50</v>
      </c>
      <c r="O21" s="5">
        <f>(VLOOKUP('21.04.01'!W21,'21.04.01'!$AO$4:$AQ$55,3,FALSE))</f>
        <v>50</v>
      </c>
      <c r="P21" s="5">
        <f>(VLOOKUP('21.04.01'!X21,'21.04.01'!$AO$4:$AQ$55,3,FALSE))</f>
        <v>50</v>
      </c>
      <c r="Q21" s="4">
        <f>(VLOOKUP('21.04.01'!Y21,'21.04.01'!$AO$4:$AQ$55,3,FALSE))</f>
        <v>0</v>
      </c>
      <c r="R21" s="4">
        <f>(VLOOKUP('21.04.01'!Z21,'21.04.01'!$AO$4:$AQ$55,3,FALSE))</f>
        <v>0</v>
      </c>
      <c r="S21" s="4">
        <f>(VLOOKUP('21.04.01'!AA21,'21.04.01'!$AO$4:$AQ$55,3,FALSE))</f>
        <v>0</v>
      </c>
      <c r="T21" s="4">
        <f>(VLOOKUP('21.04.01'!AB21,'21.04.01'!$AO$4:$AQ$55,3,FALSE))</f>
        <v>0</v>
      </c>
      <c r="U21" s="4">
        <f>(VLOOKUP('21.04.01'!AC21,'21.04.01'!$AO$4:$AQ$55,3,FALSE))</f>
        <v>0</v>
      </c>
      <c r="V21" s="4">
        <f>(VLOOKUP('21.04.01'!AD21,'21.04.01'!$AO$4:$AQ$55,3,FALSE))</f>
        <v>0</v>
      </c>
      <c r="W21" s="5">
        <f>(VLOOKUP('21.04.01'!AE21,'21.04.01'!$AO$4:$AQ$55,3,FALSE))</f>
        <v>0</v>
      </c>
      <c r="X21" s="5">
        <f>(VLOOKUP('21.04.01'!AF21,'21.04.01'!$AO$4:$AQ$55,3,FALSE))</f>
        <v>0</v>
      </c>
    </row>
    <row r="22" spans="1:24">
      <c r="A22" s="4">
        <f>(VLOOKUP('21.04.01'!I22,'21.04.01'!$AO$4:$AQ$55,3,FALSE))</f>
        <v>50</v>
      </c>
      <c r="B22" s="4">
        <f>(VLOOKUP('21.04.01'!J22,'21.04.01'!$AO$4:$AQ$55,3,FALSE))</f>
        <v>50</v>
      </c>
      <c r="C22" s="4">
        <f>(VLOOKUP('21.04.01'!K22,'21.04.01'!$AO$4:$AQ$55,3,FALSE))</f>
        <v>50</v>
      </c>
      <c r="D22" s="4">
        <f>(VLOOKUP('21.04.01'!L22,'21.04.01'!$AO$4:$AQ$55,3,FALSE))</f>
        <v>50</v>
      </c>
      <c r="E22" s="4">
        <f>(VLOOKUP('21.04.01'!M22,'21.04.01'!$AO$4:$AQ$55,3,FALSE))</f>
        <v>50</v>
      </c>
      <c r="F22" s="4">
        <f>(VLOOKUP('21.04.01'!N22,'21.04.01'!$AO$4:$AQ$55,3,FALSE))</f>
        <v>50</v>
      </c>
      <c r="G22" s="5">
        <f>(VLOOKUP('21.04.01'!O22,'21.04.01'!$AO$4:$AQ$55,3,FALSE))</f>
        <v>0</v>
      </c>
      <c r="H22" s="5">
        <f>(VLOOKUP('21.04.01'!P22,'21.04.01'!$AO$4:$AQ$55,3,FALSE))</f>
        <v>0</v>
      </c>
      <c r="I22" s="4">
        <f>(VLOOKUP('21.04.01'!Q22,'21.04.01'!$AO$4:$AQ$55,3,FALSE))</f>
        <v>50</v>
      </c>
      <c r="J22" s="4">
        <f>(VLOOKUP('21.04.01'!R22,'21.04.01'!$AO$4:$AQ$55,3,FALSE))</f>
        <v>30</v>
      </c>
      <c r="K22" s="4">
        <f>(VLOOKUP('21.04.01'!S22,'21.04.01'!$AO$4:$AQ$55,3,FALSE))</f>
        <v>45</v>
      </c>
      <c r="L22" s="4">
        <f>(VLOOKUP('21.04.01'!T22,'21.04.01'!$AO$4:$AQ$55,3,FALSE))</f>
        <v>45</v>
      </c>
      <c r="M22" s="4">
        <f>(VLOOKUP('21.04.01'!U22,'21.04.01'!$AO$4:$AQ$55,3,FALSE))</f>
        <v>45</v>
      </c>
      <c r="N22" s="4">
        <f>(VLOOKUP('21.04.01'!V22,'21.04.01'!$AO$4:$AQ$55,3,FALSE))</f>
        <v>45</v>
      </c>
      <c r="O22" s="5">
        <f>(VLOOKUP('21.04.01'!W22,'21.04.01'!$AO$4:$AQ$55,3,FALSE))</f>
        <v>50</v>
      </c>
      <c r="P22" s="5">
        <f>(VLOOKUP('21.04.01'!X22,'21.04.01'!$AO$4:$AQ$55,3,FALSE))</f>
        <v>50</v>
      </c>
      <c r="Q22" s="4">
        <f>(VLOOKUP('21.04.01'!Y22,'21.04.01'!$AO$4:$AQ$55,3,FALSE))</f>
        <v>55</v>
      </c>
      <c r="R22" s="4">
        <f>(VLOOKUP('21.04.01'!Z22,'21.04.01'!$AO$4:$AQ$55,3,FALSE))</f>
        <v>0</v>
      </c>
      <c r="S22" s="4">
        <f>(VLOOKUP('21.04.01'!AA22,'21.04.01'!$AO$4:$AQ$55,3,FALSE))</f>
        <v>55</v>
      </c>
      <c r="T22" s="4">
        <f>(VLOOKUP('21.04.01'!AB22,'21.04.01'!$AO$4:$AQ$55,3,FALSE))</f>
        <v>55</v>
      </c>
      <c r="U22" s="4">
        <f>(VLOOKUP('21.04.01'!AC22,'21.04.01'!$AO$4:$AQ$55,3,FALSE))</f>
        <v>55</v>
      </c>
      <c r="V22" s="4">
        <f>(VLOOKUP('21.04.01'!AD22,'21.04.01'!$AO$4:$AQ$55,3,FALSE))</f>
        <v>40</v>
      </c>
      <c r="W22" s="5">
        <f>(VLOOKUP('21.04.01'!AE22,'21.04.01'!$AO$4:$AQ$55,3,FALSE))</f>
        <v>0</v>
      </c>
      <c r="X22" s="5">
        <f>(VLOOKUP('21.04.01'!AF22,'21.04.01'!$AO$4:$AQ$55,3,FALSE))</f>
        <v>0</v>
      </c>
    </row>
    <row r="23" spans="1:24">
      <c r="A23" s="4">
        <f>(VLOOKUP('21.04.01'!I23,'21.04.01'!$AO$4:$AQ$55,3,FALSE))</f>
        <v>50</v>
      </c>
      <c r="B23" s="4">
        <f>(VLOOKUP('21.04.01'!J23,'21.04.01'!$AO$4:$AQ$55,3,FALSE))</f>
        <v>50</v>
      </c>
      <c r="C23" s="4">
        <f>(VLOOKUP('21.04.01'!K23,'21.04.01'!$AO$4:$AQ$55,3,FALSE))</f>
        <v>50</v>
      </c>
      <c r="D23" s="4">
        <f>(VLOOKUP('21.04.01'!L23,'21.04.01'!$AO$4:$AQ$55,3,FALSE))</f>
        <v>50</v>
      </c>
      <c r="E23" s="4">
        <f>(VLOOKUP('21.04.01'!M23,'21.04.01'!$AO$4:$AQ$55,3,FALSE))</f>
        <v>50</v>
      </c>
      <c r="F23" s="4">
        <f>(VLOOKUP('21.04.01'!N23,'21.04.01'!$AO$4:$AQ$55,3,FALSE))</f>
        <v>50</v>
      </c>
      <c r="G23" s="5">
        <f>(VLOOKUP('21.04.01'!O23,'21.04.01'!$AO$4:$AQ$55,3,FALSE))</f>
        <v>0</v>
      </c>
      <c r="H23" s="5">
        <f>(VLOOKUP('21.04.01'!P23,'21.04.01'!$AO$4:$AQ$55,3,FALSE))</f>
        <v>0</v>
      </c>
      <c r="I23" s="4">
        <f>(VLOOKUP('21.04.01'!Q23,'21.04.01'!$AO$4:$AQ$55,3,FALSE))</f>
        <v>50</v>
      </c>
      <c r="J23" s="4">
        <f>(VLOOKUP('21.04.01'!R23,'21.04.01'!$AO$4:$AQ$55,3,FALSE))</f>
        <v>0</v>
      </c>
      <c r="K23" s="4">
        <f>(VLOOKUP('21.04.01'!S23,'21.04.01'!$AO$4:$AQ$55,3,FALSE))</f>
        <v>50</v>
      </c>
      <c r="L23" s="4">
        <f>(VLOOKUP('21.04.01'!T23,'21.04.01'!$AO$4:$AQ$55,3,FALSE))</f>
        <v>50</v>
      </c>
      <c r="M23" s="4">
        <f>(VLOOKUP('21.04.01'!U23,'21.04.01'!$AO$4:$AQ$55,3,FALSE))</f>
        <v>50</v>
      </c>
      <c r="N23" s="4">
        <f>(VLOOKUP('21.04.01'!V23,'21.04.01'!$AO$4:$AQ$55,3,FALSE))</f>
        <v>50</v>
      </c>
      <c r="O23" s="5">
        <f>(VLOOKUP('21.04.01'!W23,'21.04.01'!$AO$4:$AQ$55,3,FALSE))</f>
        <v>50</v>
      </c>
      <c r="P23" s="5">
        <f>(VLOOKUP('21.04.01'!X23,'21.04.01'!$AO$4:$AQ$55,3,FALSE))</f>
        <v>55</v>
      </c>
      <c r="Q23" s="4">
        <f>(VLOOKUP('21.04.01'!Y23,'21.04.01'!$AO$4:$AQ$55,3,FALSE))</f>
        <v>60</v>
      </c>
      <c r="R23" s="4">
        <f>(VLOOKUP('21.04.01'!Z23,'21.04.01'!$AO$4:$AQ$55,3,FALSE))</f>
        <v>60</v>
      </c>
      <c r="S23" s="4">
        <f>(VLOOKUP('21.04.01'!AA23,'21.04.01'!$AO$4:$AQ$55,3,FALSE))</f>
        <v>0</v>
      </c>
      <c r="T23" s="4">
        <f>(VLOOKUP('21.04.01'!AB23,'21.04.01'!$AO$4:$AQ$55,3,FALSE))</f>
        <v>0</v>
      </c>
      <c r="U23" s="4">
        <f>(VLOOKUP('21.04.01'!AC23,'21.04.01'!$AO$4:$AQ$55,3,FALSE))</f>
        <v>0</v>
      </c>
      <c r="V23" s="4">
        <f>(VLOOKUP('21.04.01'!AD23,'21.04.01'!$AO$4:$AQ$55,3,FALSE))</f>
        <v>0</v>
      </c>
      <c r="W23" s="5">
        <f>(VLOOKUP('21.04.01'!AE23,'21.04.01'!$AO$4:$AQ$55,3,FALSE))</f>
        <v>0</v>
      </c>
      <c r="X23" s="5">
        <f>(VLOOKUP('21.04.01'!AF23,'21.04.01'!$AO$4:$AQ$55,3,FALSE))</f>
        <v>0</v>
      </c>
    </row>
    <row r="24" spans="1:24">
      <c r="A24" s="4">
        <f>(VLOOKUP('21.04.01'!I24,'21.04.01'!$AO$4:$AQ$55,3,FALSE))</f>
        <v>50</v>
      </c>
      <c r="B24" s="4">
        <f>(VLOOKUP('21.04.01'!J24,'21.04.01'!$AO$4:$AQ$55,3,FALSE))</f>
        <v>50</v>
      </c>
      <c r="C24" s="4">
        <f>(VLOOKUP('21.04.01'!K24,'21.04.01'!$AO$4:$AQ$55,3,FALSE))</f>
        <v>50</v>
      </c>
      <c r="D24" s="4">
        <f>(VLOOKUP('21.04.01'!L24,'21.04.01'!$AO$4:$AQ$55,3,FALSE))</f>
        <v>50</v>
      </c>
      <c r="E24" s="4">
        <f>(VLOOKUP('21.04.01'!M24,'21.04.01'!$AO$4:$AQ$55,3,FALSE))</f>
        <v>50</v>
      </c>
      <c r="F24" s="4">
        <f>(VLOOKUP('21.04.01'!N24,'21.04.01'!$AO$4:$AQ$55,3,FALSE))</f>
        <v>50</v>
      </c>
      <c r="G24" s="5">
        <f>(VLOOKUP('21.04.01'!O24,'21.04.01'!$AO$4:$AQ$55,3,FALSE))</f>
        <v>0</v>
      </c>
      <c r="H24" s="5">
        <f>(VLOOKUP('21.04.01'!P24,'21.04.01'!$AO$4:$AQ$55,3,FALSE))</f>
        <v>0</v>
      </c>
      <c r="I24" s="4">
        <f>(VLOOKUP('21.04.01'!Q24,'21.04.01'!$AO$4:$AQ$55,3,FALSE))</f>
        <v>0</v>
      </c>
      <c r="J24" s="4">
        <f>(VLOOKUP('21.04.01'!R24,'21.04.01'!$AO$4:$AQ$55,3,FALSE))</f>
        <v>0</v>
      </c>
      <c r="K24" s="4">
        <f>(VLOOKUP('21.04.01'!S24,'21.04.01'!$AO$4:$AQ$55,3,FALSE))</f>
        <v>0</v>
      </c>
      <c r="L24" s="4">
        <f>(VLOOKUP('21.04.01'!T24,'21.04.01'!$AO$4:$AQ$55,3,FALSE))</f>
        <v>0</v>
      </c>
      <c r="M24" s="4">
        <f>(VLOOKUP('21.04.01'!U24,'21.04.01'!$AO$4:$AQ$55,3,FALSE))</f>
        <v>0</v>
      </c>
      <c r="N24" s="4">
        <f>(VLOOKUP('21.04.01'!V24,'21.04.01'!$AO$4:$AQ$55,3,FALSE))</f>
        <v>0</v>
      </c>
      <c r="O24" s="5">
        <f>(VLOOKUP('21.04.01'!W24,'21.04.01'!$AO$4:$AQ$55,3,FALSE))</f>
        <v>0</v>
      </c>
      <c r="P24" s="5">
        <f>(VLOOKUP('21.04.01'!X24,'21.04.01'!$AO$4:$AQ$55,3,FALSE))</f>
        <v>0</v>
      </c>
      <c r="Q24" s="4">
        <f>(VLOOKUP('21.04.01'!Y24,'21.04.01'!$AO$4:$AQ$55,3,FALSE))</f>
        <v>0</v>
      </c>
      <c r="R24" s="4">
        <f>(VLOOKUP('21.04.01'!Z24,'21.04.01'!$AO$4:$AQ$55,3,FALSE))</f>
        <v>0</v>
      </c>
      <c r="S24" s="4">
        <f>(VLOOKUP('21.04.01'!AA24,'21.04.01'!$AO$4:$AQ$55,3,FALSE))</f>
        <v>0</v>
      </c>
      <c r="T24" s="4">
        <f>(VLOOKUP('21.04.01'!AB24,'21.04.01'!$AO$4:$AQ$55,3,FALSE))</f>
        <v>0</v>
      </c>
      <c r="U24" s="4">
        <f>(VLOOKUP('21.04.01'!AC24,'21.04.01'!$AO$4:$AQ$55,3,FALSE))</f>
        <v>0</v>
      </c>
      <c r="V24" s="4">
        <f>(VLOOKUP('21.04.01'!AD24,'21.04.01'!$AO$4:$AQ$55,3,FALSE))</f>
        <v>0</v>
      </c>
      <c r="W24" s="5">
        <f>(VLOOKUP('21.04.01'!AE24,'21.04.01'!$AO$4:$AQ$55,3,FALSE))</f>
        <v>0</v>
      </c>
      <c r="X24" s="5">
        <f>(VLOOKUP('21.04.01'!AF24,'21.04.01'!$AO$4:$AQ$55,3,FALSE))</f>
        <v>0</v>
      </c>
    </row>
    <row r="25" spans="1:24">
      <c r="A25" s="4">
        <f>(VLOOKUP('21.04.01'!I25,'21.04.01'!$AO$4:$AQ$55,3,FALSE))</f>
        <v>50</v>
      </c>
      <c r="B25" s="4">
        <f>(VLOOKUP('21.04.01'!J25,'21.04.01'!$AO$4:$AQ$55,3,FALSE))</f>
        <v>50</v>
      </c>
      <c r="C25" s="4">
        <f>(VLOOKUP('21.04.01'!K25,'21.04.01'!$AO$4:$AQ$55,3,FALSE))</f>
        <v>50</v>
      </c>
      <c r="D25" s="4">
        <f>(VLOOKUP('21.04.01'!L25,'21.04.01'!$AO$4:$AQ$55,3,FALSE))</f>
        <v>50</v>
      </c>
      <c r="E25" s="4">
        <f>(VLOOKUP('21.04.01'!M25,'21.04.01'!$AO$4:$AQ$55,3,FALSE))</f>
        <v>50</v>
      </c>
      <c r="F25" s="4">
        <f>(VLOOKUP('21.04.01'!N25,'21.04.01'!$AO$4:$AQ$55,3,FALSE))</f>
        <v>50</v>
      </c>
      <c r="G25" s="5">
        <f>(VLOOKUP('21.04.01'!O25,'21.04.01'!$AO$4:$AQ$55,3,FALSE))</f>
        <v>0</v>
      </c>
      <c r="H25" s="5">
        <f>(VLOOKUP('21.04.01'!P25,'21.04.01'!$AO$4:$AQ$55,3,FALSE))</f>
        <v>0</v>
      </c>
      <c r="I25" s="4">
        <f>(VLOOKUP('21.04.01'!Q25,'21.04.01'!$AO$4:$AQ$55,3,FALSE))</f>
        <v>0</v>
      </c>
      <c r="J25" s="4">
        <f>(VLOOKUP('21.04.01'!R25,'21.04.01'!$AO$4:$AQ$55,3,FALSE))</f>
        <v>0</v>
      </c>
      <c r="K25" s="4">
        <f>(VLOOKUP('21.04.01'!S25,'21.04.01'!$AO$4:$AQ$55,3,FALSE))</f>
        <v>0</v>
      </c>
      <c r="L25" s="4">
        <f>(VLOOKUP('21.04.01'!T25,'21.04.01'!$AO$4:$AQ$55,3,FALSE))</f>
        <v>0</v>
      </c>
      <c r="M25" s="4">
        <f>(VLOOKUP('21.04.01'!U25,'21.04.01'!$AO$4:$AQ$55,3,FALSE))</f>
        <v>0</v>
      </c>
      <c r="N25" s="4">
        <f>(VLOOKUP('21.04.01'!V25,'21.04.01'!$AO$4:$AQ$55,3,FALSE))</f>
        <v>0</v>
      </c>
      <c r="O25" s="5">
        <f>(VLOOKUP('21.04.01'!W25,'21.04.01'!$AO$4:$AQ$55,3,FALSE))</f>
        <v>0</v>
      </c>
      <c r="P25" s="5">
        <f>(VLOOKUP('21.04.01'!X25,'21.04.01'!$AO$4:$AQ$55,3,FALSE))</f>
        <v>0</v>
      </c>
      <c r="Q25" s="4">
        <f>(VLOOKUP('21.04.01'!Y25,'21.04.01'!$AO$4:$AQ$55,3,FALSE))</f>
        <v>0</v>
      </c>
      <c r="R25" s="4">
        <f>(VLOOKUP('21.04.01'!Z25,'21.04.01'!$AO$4:$AQ$55,3,FALSE))</f>
        <v>0</v>
      </c>
      <c r="S25" s="4">
        <f>(VLOOKUP('21.04.01'!AA25,'21.04.01'!$AO$4:$AQ$55,3,FALSE))</f>
        <v>0</v>
      </c>
      <c r="T25" s="4">
        <f>(VLOOKUP('21.04.01'!AB25,'21.04.01'!$AO$4:$AQ$55,3,FALSE))</f>
        <v>0</v>
      </c>
      <c r="U25" s="4">
        <f>(VLOOKUP('21.04.01'!AC25,'21.04.01'!$AO$4:$AQ$55,3,FALSE))</f>
        <v>0</v>
      </c>
      <c r="V25" s="4">
        <f>(VLOOKUP('21.04.01'!AD25,'21.04.01'!$AO$4:$AQ$55,3,FALSE))</f>
        <v>0</v>
      </c>
      <c r="W25" s="5">
        <f>(VLOOKUP('21.04.01'!AE25,'21.04.01'!$AO$4:$AQ$55,3,FALSE))</f>
        <v>0</v>
      </c>
      <c r="X25" s="5">
        <f>(VLOOKUP('21.04.01'!AF25,'21.04.01'!$AO$4:$AQ$55,3,FALSE))</f>
        <v>0</v>
      </c>
    </row>
    <row r="26" spans="1:24">
      <c r="A26" s="4">
        <f>(VLOOKUP('21.04.01'!I26,'21.04.01'!$AO$4:$AQ$55,3,FALSE))</f>
        <v>40</v>
      </c>
      <c r="B26" s="4">
        <f>(VLOOKUP('21.04.01'!J26,'21.04.01'!$AO$4:$AQ$55,3,FALSE))</f>
        <v>50</v>
      </c>
      <c r="C26" s="4">
        <f>(VLOOKUP('21.04.01'!K26,'21.04.01'!$AO$4:$AQ$55,3,FALSE))</f>
        <v>50</v>
      </c>
      <c r="D26" s="4">
        <f>(VLOOKUP('21.04.01'!L26,'21.04.01'!$AO$4:$AQ$55,3,FALSE))</f>
        <v>50</v>
      </c>
      <c r="E26" s="4">
        <f>(VLOOKUP('21.04.01'!M26,'21.04.01'!$AO$4:$AQ$55,3,FALSE))</f>
        <v>50</v>
      </c>
      <c r="F26" s="4">
        <f>(VLOOKUP('21.04.01'!N26,'21.04.01'!$AO$4:$AQ$55,3,FALSE))</f>
        <v>50</v>
      </c>
      <c r="G26" s="5">
        <f>(VLOOKUP('21.04.01'!O26,'21.04.01'!$AO$4:$AQ$55,3,FALSE))</f>
        <v>0</v>
      </c>
      <c r="H26" s="5">
        <f>(VLOOKUP('21.04.01'!P26,'21.04.01'!$AO$4:$AQ$55,3,FALSE))</f>
        <v>0</v>
      </c>
      <c r="I26" s="4">
        <f>(VLOOKUP('21.04.01'!Q26,'21.04.01'!$AO$4:$AQ$55,3,FALSE))</f>
        <v>60</v>
      </c>
      <c r="J26" s="4">
        <f>(VLOOKUP('21.04.01'!R26,'21.04.01'!$AO$4:$AQ$55,3,FALSE))</f>
        <v>60</v>
      </c>
      <c r="K26" s="4">
        <f>(VLOOKUP('21.04.01'!S26,'21.04.01'!$AO$4:$AQ$55,3,FALSE))</f>
        <v>60</v>
      </c>
      <c r="L26" s="4">
        <f>(VLOOKUP('21.04.01'!T26,'21.04.01'!$AO$4:$AQ$55,3,FALSE))</f>
        <v>60</v>
      </c>
      <c r="M26" s="4">
        <f>(VLOOKUP('21.04.01'!U26,'21.04.01'!$AO$4:$AQ$55,3,FALSE))</f>
        <v>60</v>
      </c>
      <c r="N26" s="4">
        <f>(VLOOKUP('21.04.01'!V26,'21.04.01'!$AO$4:$AQ$55,3,FALSE))</f>
        <v>60</v>
      </c>
      <c r="O26" s="5">
        <f>(VLOOKUP('21.04.01'!W26,'21.04.01'!$AO$4:$AQ$55,3,FALSE))</f>
        <v>0</v>
      </c>
      <c r="P26" s="5">
        <f>(VLOOKUP('21.04.01'!X26,'21.04.01'!$AO$4:$AQ$55,3,FALSE))</f>
        <v>0</v>
      </c>
      <c r="Q26" s="4">
        <f>(VLOOKUP('21.04.01'!Y26,'21.04.01'!$AO$4:$AQ$55,3,FALSE))</f>
        <v>0</v>
      </c>
      <c r="R26" s="4">
        <f>(VLOOKUP('21.04.01'!Z26,'21.04.01'!$AO$4:$AQ$55,3,FALSE))</f>
        <v>0</v>
      </c>
      <c r="S26" s="4">
        <f>(VLOOKUP('21.04.01'!AA26,'21.04.01'!$AO$4:$AQ$55,3,FALSE))</f>
        <v>0</v>
      </c>
      <c r="T26" s="4">
        <f>(VLOOKUP('21.04.01'!AB26,'21.04.01'!$AO$4:$AQ$55,3,FALSE))</f>
        <v>0</v>
      </c>
      <c r="U26" s="4">
        <f>(VLOOKUP('21.04.01'!AC26,'21.04.01'!$AO$4:$AQ$55,3,FALSE))</f>
        <v>0</v>
      </c>
      <c r="V26" s="4">
        <f>(VLOOKUP('21.04.01'!AD26,'21.04.01'!$AO$4:$AQ$55,3,FALSE))</f>
        <v>0</v>
      </c>
      <c r="W26" s="5">
        <f>(VLOOKUP('21.04.01'!AE26,'21.04.01'!$AO$4:$AQ$55,3,FALSE))</f>
        <v>0</v>
      </c>
      <c r="X26" s="5">
        <f>(VLOOKUP('21.04.01'!AF26,'21.04.01'!$AO$4:$AQ$55,3,FALSE))</f>
        <v>0</v>
      </c>
    </row>
    <row r="27" spans="1:24">
      <c r="A27" s="4">
        <f>(VLOOKUP('21.04.01'!I27,'21.04.01'!$AO$4:$AQ$55,3,FALSE))</f>
        <v>50</v>
      </c>
      <c r="B27" s="4">
        <f>(VLOOKUP('21.04.01'!J27,'21.04.01'!$AO$4:$AQ$55,3,FALSE))</f>
        <v>50</v>
      </c>
      <c r="C27" s="4">
        <f>(VLOOKUP('21.04.01'!K27,'21.04.01'!$AO$4:$AQ$55,3,FALSE))</f>
        <v>50</v>
      </c>
      <c r="D27" s="4">
        <f>(VLOOKUP('21.04.01'!L27,'21.04.01'!$AO$4:$AQ$55,3,FALSE))</f>
        <v>50</v>
      </c>
      <c r="E27" s="4">
        <f>(VLOOKUP('21.04.01'!M27,'21.04.01'!$AO$4:$AQ$55,3,FALSE))</f>
        <v>40</v>
      </c>
      <c r="F27" s="4">
        <f>(VLOOKUP('21.04.01'!N27,'21.04.01'!$AO$4:$AQ$55,3,FALSE))</f>
        <v>45</v>
      </c>
      <c r="G27" s="5">
        <f>(VLOOKUP('21.04.01'!O27,'21.04.01'!$AO$4:$AQ$55,3,FALSE))</f>
        <v>0</v>
      </c>
      <c r="H27" s="5">
        <f>(VLOOKUP('21.04.01'!P27,'21.04.01'!$AO$4:$AQ$55,3,FALSE))</f>
        <v>0</v>
      </c>
      <c r="I27" s="4">
        <f>(VLOOKUP('21.04.01'!Q27,'21.04.01'!$AO$4:$AQ$55,3,FALSE))</f>
        <v>60</v>
      </c>
      <c r="J27" s="4">
        <f>(VLOOKUP('21.04.01'!R27,'21.04.01'!$AO$4:$AQ$55,3,FALSE))</f>
        <v>60</v>
      </c>
      <c r="K27" s="4">
        <f>(VLOOKUP('21.04.01'!S27,'21.04.01'!$AO$4:$AQ$55,3,FALSE))</f>
        <v>60</v>
      </c>
      <c r="L27" s="4">
        <f>(VLOOKUP('21.04.01'!T27,'21.04.01'!$AO$4:$AQ$55,3,FALSE))</f>
        <v>60</v>
      </c>
      <c r="M27" s="4">
        <f>(VLOOKUP('21.04.01'!U27,'21.04.01'!$AO$4:$AQ$55,3,FALSE))</f>
        <v>60</v>
      </c>
      <c r="N27" s="4">
        <f>(VLOOKUP('21.04.01'!V27,'21.04.01'!$AO$4:$AQ$55,3,FALSE))</f>
        <v>60</v>
      </c>
      <c r="O27" s="5">
        <f>(VLOOKUP('21.04.01'!W27,'21.04.01'!$AO$4:$AQ$55,3,FALSE))</f>
        <v>0</v>
      </c>
      <c r="P27" s="5">
        <f>(VLOOKUP('21.04.01'!X27,'21.04.01'!$AO$4:$AQ$55,3,FALSE))</f>
        <v>0</v>
      </c>
      <c r="Q27" s="4">
        <f>(VLOOKUP('21.04.01'!Y27,'21.04.01'!$AO$4:$AQ$55,3,FALSE))</f>
        <v>0</v>
      </c>
      <c r="R27" s="4">
        <f>(VLOOKUP('21.04.01'!Z27,'21.04.01'!$AO$4:$AQ$55,3,FALSE))</f>
        <v>0</v>
      </c>
      <c r="S27" s="4">
        <f>(VLOOKUP('21.04.01'!AA27,'21.04.01'!$AO$4:$AQ$55,3,FALSE))</f>
        <v>0</v>
      </c>
      <c r="T27" s="4">
        <f>(VLOOKUP('21.04.01'!AB27,'21.04.01'!$AO$4:$AQ$55,3,FALSE))</f>
        <v>0</v>
      </c>
      <c r="U27" s="4">
        <f>(VLOOKUP('21.04.01'!AC27,'21.04.01'!$AO$4:$AQ$55,3,FALSE))</f>
        <v>0</v>
      </c>
      <c r="V27" s="4">
        <f>(VLOOKUP('21.04.01'!AD27,'21.04.01'!$AO$4:$AQ$55,3,FALSE))</f>
        <v>0</v>
      </c>
      <c r="W27" s="5">
        <f>(VLOOKUP('21.04.01'!AE27,'21.04.01'!$AO$4:$AQ$55,3,FALSE))</f>
        <v>0</v>
      </c>
      <c r="X27" s="5">
        <f>(VLOOKUP('21.04.01'!AF27,'21.04.01'!$AO$4:$AQ$55,3,FALSE))</f>
        <v>0</v>
      </c>
    </row>
    <row r="28" spans="1:24">
      <c r="A28" s="4">
        <f>(VLOOKUP('21.04.01'!I28,'21.04.01'!$AO$4:$AQ$55,3,FALSE))</f>
        <v>45</v>
      </c>
      <c r="B28" s="4">
        <f>(VLOOKUP('21.04.01'!J28,'21.04.01'!$AO$4:$AQ$55,3,FALSE))</f>
        <v>50</v>
      </c>
      <c r="C28" s="4">
        <f>(VLOOKUP('21.04.01'!K28,'21.04.01'!$AO$4:$AQ$55,3,FALSE))</f>
        <v>45</v>
      </c>
      <c r="D28" s="4">
        <f>(VLOOKUP('21.04.01'!L28,'21.04.01'!$AO$4:$AQ$55,3,FALSE))</f>
        <v>0</v>
      </c>
      <c r="E28" s="4">
        <f>(VLOOKUP('21.04.01'!M28,'21.04.01'!$AO$4:$AQ$55,3,FALSE))</f>
        <v>0</v>
      </c>
      <c r="F28" s="4">
        <f>(VLOOKUP('21.04.01'!N28,'21.04.01'!$AO$4:$AQ$55,3,FALSE))</f>
        <v>0</v>
      </c>
      <c r="G28" s="5">
        <f>(VLOOKUP('21.04.01'!O28,'21.04.01'!$AO$4:$AQ$55,3,FALSE))</f>
        <v>0</v>
      </c>
      <c r="H28" s="5">
        <f>(VLOOKUP('21.04.01'!P28,'21.04.01'!$AO$4:$AQ$55,3,FALSE))</f>
        <v>0</v>
      </c>
      <c r="I28" s="4">
        <f>(VLOOKUP('21.04.01'!Q28,'21.04.01'!$AO$4:$AQ$55,3,FALSE))</f>
        <v>1000</v>
      </c>
      <c r="J28" s="4">
        <f>(VLOOKUP('21.04.01'!R28,'21.04.01'!$AO$4:$AQ$55,3,FALSE))</f>
        <v>60</v>
      </c>
      <c r="K28" s="4">
        <f>(VLOOKUP('21.04.01'!S28,'21.04.01'!$AO$4:$AQ$55,3,FALSE))</f>
        <v>60</v>
      </c>
      <c r="L28" s="4">
        <f>(VLOOKUP('21.04.01'!T28,'21.04.01'!$AO$4:$AQ$55,3,FALSE))</f>
        <v>60</v>
      </c>
      <c r="M28" s="4">
        <f>(VLOOKUP('21.04.01'!U28,'21.04.01'!$AO$4:$AQ$55,3,FALSE))</f>
        <v>60</v>
      </c>
      <c r="N28" s="4">
        <f>(VLOOKUP('21.04.01'!V28,'21.04.01'!$AO$4:$AQ$55,3,FALSE))</f>
        <v>60</v>
      </c>
      <c r="O28" s="5">
        <f>(VLOOKUP('21.04.01'!W28,'21.04.01'!$AO$4:$AQ$55,3,FALSE))</f>
        <v>0</v>
      </c>
      <c r="P28" s="5">
        <f>(VLOOKUP('21.04.01'!X28,'21.04.01'!$AO$4:$AQ$55,3,FALSE))</f>
        <v>0</v>
      </c>
      <c r="Q28" s="4">
        <f>(VLOOKUP('21.04.01'!Y28,'21.04.01'!$AO$4:$AQ$55,3,FALSE))</f>
        <v>0</v>
      </c>
      <c r="R28" s="4">
        <f>(VLOOKUP('21.04.01'!Z28,'21.04.01'!$AO$4:$AQ$55,3,FALSE))</f>
        <v>0</v>
      </c>
      <c r="S28" s="4">
        <f>(VLOOKUP('21.04.01'!AA28,'21.04.01'!$AO$4:$AQ$55,3,FALSE))</f>
        <v>0</v>
      </c>
      <c r="T28" s="4">
        <f>(VLOOKUP('21.04.01'!AB28,'21.04.01'!$AO$4:$AQ$55,3,FALSE))</f>
        <v>0</v>
      </c>
      <c r="U28" s="4">
        <f>(VLOOKUP('21.04.01'!AC28,'21.04.01'!$AO$4:$AQ$55,3,FALSE))</f>
        <v>0</v>
      </c>
      <c r="V28" s="4">
        <f>(VLOOKUP('21.04.01'!AD28,'21.04.01'!$AO$4:$AQ$55,3,FALSE))</f>
        <v>0</v>
      </c>
      <c r="W28" s="5">
        <f>(VLOOKUP('21.04.01'!AE28,'21.04.01'!$AO$4:$AQ$55,3,FALSE))</f>
        <v>0</v>
      </c>
      <c r="X28" s="5">
        <f>(VLOOKUP('21.04.01'!AF28,'21.04.01'!$AO$4:$AQ$55,3,FALSE))</f>
        <v>0</v>
      </c>
    </row>
    <row r="29" spans="1:24">
      <c r="A29" s="4">
        <f>(VLOOKUP('21.04.01'!I29,'21.04.01'!$AO$4:$AQ$55,3,FALSE))</f>
        <v>50</v>
      </c>
      <c r="B29" s="4">
        <f>(VLOOKUP('21.04.01'!J29,'21.04.01'!$AO$4:$AQ$55,3,FALSE))</f>
        <v>50</v>
      </c>
      <c r="C29" s="4">
        <f>(VLOOKUP('21.04.01'!K29,'21.04.01'!$AO$4:$AQ$55,3,FALSE))</f>
        <v>50</v>
      </c>
      <c r="D29" s="4">
        <f>(VLOOKUP('21.04.01'!L29,'21.04.01'!$AO$4:$AQ$55,3,FALSE))</f>
        <v>50</v>
      </c>
      <c r="E29" s="4">
        <f>(VLOOKUP('21.04.01'!M29,'21.04.01'!$AO$4:$AQ$55,3,FALSE))</f>
        <v>50</v>
      </c>
      <c r="F29" s="4">
        <f>(VLOOKUP('21.04.01'!N29,'21.04.01'!$AO$4:$AQ$55,3,FALSE))</f>
        <v>50</v>
      </c>
      <c r="G29" s="5">
        <f>(VLOOKUP('21.04.01'!O29,'21.04.01'!$AO$4:$AQ$55,3,FALSE))</f>
        <v>0</v>
      </c>
      <c r="H29" s="5">
        <f>(VLOOKUP('21.04.01'!P29,'21.04.01'!$AO$4:$AQ$55,3,FALSE))</f>
        <v>0</v>
      </c>
      <c r="I29" s="4">
        <f>(VLOOKUP('21.04.01'!Q29,'21.04.01'!$AO$4:$AQ$55,3,FALSE))</f>
        <v>60</v>
      </c>
      <c r="J29" s="4">
        <f>(VLOOKUP('21.04.01'!R29,'21.04.01'!$AO$4:$AQ$55,3,FALSE))</f>
        <v>60</v>
      </c>
      <c r="K29" s="4">
        <f>(VLOOKUP('21.04.01'!S29,'21.04.01'!$AO$4:$AQ$55,3,FALSE))</f>
        <v>60</v>
      </c>
      <c r="L29" s="4">
        <f>(VLOOKUP('21.04.01'!T29,'21.04.01'!$AO$4:$AQ$55,3,FALSE))</f>
        <v>60</v>
      </c>
      <c r="M29" s="4">
        <f>(VLOOKUP('21.04.01'!U29,'21.04.01'!$AO$4:$AQ$55,3,FALSE))</f>
        <v>60</v>
      </c>
      <c r="N29" s="4">
        <f>(VLOOKUP('21.04.01'!V29,'21.04.01'!$AO$4:$AQ$55,3,FALSE))</f>
        <v>60</v>
      </c>
      <c r="O29" s="5">
        <f>(VLOOKUP('21.04.01'!W29,'21.04.01'!$AO$4:$AQ$55,3,FALSE))</f>
        <v>0</v>
      </c>
      <c r="P29" s="5">
        <f>(VLOOKUP('21.04.01'!X29,'21.04.01'!$AO$4:$AQ$55,3,FALSE))</f>
        <v>0</v>
      </c>
      <c r="Q29" s="4">
        <f>(VLOOKUP('21.04.01'!Y29,'21.04.01'!$AO$4:$AQ$55,3,FALSE))</f>
        <v>0</v>
      </c>
      <c r="R29" s="4">
        <f>(VLOOKUP('21.04.01'!Z29,'21.04.01'!$AO$4:$AQ$55,3,FALSE))</f>
        <v>0</v>
      </c>
      <c r="S29" s="4">
        <f>(VLOOKUP('21.04.01'!AA29,'21.04.01'!$AO$4:$AQ$55,3,FALSE))</f>
        <v>0</v>
      </c>
      <c r="T29" s="4">
        <f>(VLOOKUP('21.04.01'!AB29,'21.04.01'!$AO$4:$AQ$55,3,FALSE))</f>
        <v>0</v>
      </c>
      <c r="U29" s="4">
        <f>(VLOOKUP('21.04.01'!AC29,'21.04.01'!$AO$4:$AQ$55,3,FALSE))</f>
        <v>0</v>
      </c>
      <c r="V29" s="4">
        <f>(VLOOKUP('21.04.01'!AD29,'21.04.01'!$AO$4:$AQ$55,3,FALSE))</f>
        <v>0</v>
      </c>
      <c r="W29" s="5">
        <f>(VLOOKUP('21.04.01'!AE29,'21.04.01'!$AO$4:$AQ$55,3,FALSE))</f>
        <v>0</v>
      </c>
      <c r="X29" s="5">
        <f>(VLOOKUP('21.04.01'!AF29,'21.04.01'!$AO$4:$AQ$55,3,FALSE))</f>
        <v>0</v>
      </c>
    </row>
    <row r="30" spans="1:24">
      <c r="A30" s="4">
        <f>(VLOOKUP('21.04.01'!I30,'21.04.01'!$AO$4:$AQ$55,3,FALSE))</f>
        <v>50</v>
      </c>
      <c r="B30" s="4">
        <f>(VLOOKUP('21.04.01'!J30,'21.04.01'!$AO$4:$AQ$55,3,FALSE))</f>
        <v>50</v>
      </c>
      <c r="C30" s="4">
        <f>(VLOOKUP('21.04.01'!K30,'21.04.01'!$AO$4:$AQ$55,3,FALSE))</f>
        <v>50</v>
      </c>
      <c r="D30" s="4">
        <f>(VLOOKUP('21.04.01'!L30,'21.04.01'!$AO$4:$AQ$55,3,FALSE))</f>
        <v>50</v>
      </c>
      <c r="E30" s="4">
        <f>(VLOOKUP('21.04.01'!M30,'21.04.01'!$AO$4:$AQ$55,3,FALSE))</f>
        <v>50</v>
      </c>
      <c r="F30" s="4">
        <f>(VLOOKUP('21.04.01'!N30,'21.04.01'!$AO$4:$AQ$55,3,FALSE))</f>
        <v>50</v>
      </c>
      <c r="G30" s="5">
        <f>(VLOOKUP('21.04.01'!O30,'21.04.01'!$AO$4:$AQ$55,3,FALSE))</f>
        <v>0</v>
      </c>
      <c r="H30" s="5">
        <f>(VLOOKUP('21.04.01'!P30,'21.04.01'!$AO$4:$AQ$55,3,FALSE))</f>
        <v>0</v>
      </c>
      <c r="I30" s="4">
        <f>(VLOOKUP('21.04.01'!Q30,'21.04.01'!$AO$4:$AQ$55,3,FALSE))</f>
        <v>60</v>
      </c>
      <c r="J30" s="4">
        <f>(VLOOKUP('21.04.01'!R30,'21.04.01'!$AO$4:$AQ$55,3,FALSE))</f>
        <v>60</v>
      </c>
      <c r="K30" s="4">
        <f>(VLOOKUP('21.04.01'!S30,'21.04.01'!$AO$4:$AQ$55,3,FALSE))</f>
        <v>60</v>
      </c>
      <c r="L30" s="4">
        <f>(VLOOKUP('21.04.01'!T30,'21.04.01'!$AO$4:$AQ$55,3,FALSE))</f>
        <v>60</v>
      </c>
      <c r="M30" s="4">
        <f>(VLOOKUP('21.04.01'!U30,'21.04.01'!$AO$4:$AQ$55,3,FALSE))</f>
        <v>60</v>
      </c>
      <c r="N30" s="4">
        <f>(VLOOKUP('21.04.01'!V30,'21.04.01'!$AO$4:$AQ$55,3,FALSE))</f>
        <v>60</v>
      </c>
      <c r="O30" s="5">
        <f>(VLOOKUP('21.04.01'!W30,'21.04.01'!$AO$4:$AQ$55,3,FALSE))</f>
        <v>0</v>
      </c>
      <c r="P30" s="5">
        <f>(VLOOKUP('21.04.01'!X30,'21.04.01'!$AO$4:$AQ$55,3,FALSE))</f>
        <v>60</v>
      </c>
      <c r="Q30" s="4">
        <f>(VLOOKUP('21.04.01'!Y30,'21.04.01'!$AO$4:$AQ$55,3,FALSE))</f>
        <v>0</v>
      </c>
      <c r="R30" s="4">
        <f>(VLOOKUP('21.04.01'!Z30,'21.04.01'!$AO$4:$AQ$55,3,FALSE))</f>
        <v>0</v>
      </c>
      <c r="S30" s="4">
        <f>(VLOOKUP('21.04.01'!AA30,'21.04.01'!$AO$4:$AQ$55,3,FALSE))</f>
        <v>0</v>
      </c>
      <c r="T30" s="4">
        <f>(VLOOKUP('21.04.01'!AB30,'21.04.01'!$AO$4:$AQ$55,3,FALSE))</f>
        <v>0</v>
      </c>
      <c r="U30" s="4">
        <f>(VLOOKUP('21.04.01'!AC30,'21.04.01'!$AO$4:$AQ$55,3,FALSE))</f>
        <v>0</v>
      </c>
      <c r="V30" s="4">
        <f>(VLOOKUP('21.04.01'!AD30,'21.04.01'!$AO$4:$AQ$55,3,FALSE))</f>
        <v>0</v>
      </c>
      <c r="W30" s="5">
        <f>(VLOOKUP('21.04.01'!AE30,'21.04.01'!$AO$4:$AQ$55,3,FALSE))</f>
        <v>0</v>
      </c>
      <c r="X30" s="5">
        <f>(VLOOKUP('21.04.01'!AF30,'21.04.01'!$AO$4:$AQ$55,3,FALSE))</f>
        <v>0</v>
      </c>
    </row>
    <row r="31" spans="1:24">
      <c r="A31" s="4">
        <f>(VLOOKUP('21.04.01'!I31,'21.04.01'!$AO$4:$AQ$55,3,FALSE))</f>
        <v>50</v>
      </c>
      <c r="B31" s="4">
        <f>(VLOOKUP('21.04.01'!J31,'21.04.01'!$AO$4:$AQ$55,3,FALSE))</f>
        <v>50</v>
      </c>
      <c r="C31" s="4">
        <f>(VLOOKUP('21.04.01'!K31,'21.04.01'!$AO$4:$AQ$55,3,FALSE))</f>
        <v>50</v>
      </c>
      <c r="D31" s="4">
        <f>(VLOOKUP('21.04.01'!L31,'21.04.01'!$AO$4:$AQ$55,3,FALSE))</f>
        <v>50</v>
      </c>
      <c r="E31" s="4">
        <f>(VLOOKUP('21.04.01'!M31,'21.04.01'!$AO$4:$AQ$55,3,FALSE))</f>
        <v>50</v>
      </c>
      <c r="F31" s="4">
        <f>(VLOOKUP('21.04.01'!N31,'21.04.01'!$AO$4:$AQ$55,3,FALSE))</f>
        <v>50</v>
      </c>
      <c r="G31" s="5">
        <f>(VLOOKUP('21.04.01'!O31,'21.04.01'!$AO$4:$AQ$55,3,FALSE))</f>
        <v>0</v>
      </c>
      <c r="H31" s="5">
        <f>(VLOOKUP('21.04.01'!P31,'21.04.01'!$AO$4:$AQ$55,3,FALSE))</f>
        <v>0</v>
      </c>
      <c r="I31" s="4">
        <f>(VLOOKUP('21.04.01'!Q31,'21.04.01'!$AO$4:$AQ$55,3,FALSE))</f>
        <v>60</v>
      </c>
      <c r="J31" s="4">
        <f>(VLOOKUP('21.04.01'!R31,'21.04.01'!$AO$4:$AQ$55,3,FALSE))</f>
        <v>60</v>
      </c>
      <c r="K31" s="4">
        <f>(VLOOKUP('21.04.01'!S31,'21.04.01'!$AO$4:$AQ$55,3,FALSE))</f>
        <v>60</v>
      </c>
      <c r="L31" s="4">
        <f>(VLOOKUP('21.04.01'!T31,'21.04.01'!$AO$4:$AQ$55,3,FALSE))</f>
        <v>60</v>
      </c>
      <c r="M31" s="4">
        <f>(VLOOKUP('21.04.01'!U31,'21.04.01'!$AO$4:$AQ$55,3,FALSE))</f>
        <v>60</v>
      </c>
      <c r="N31" s="4">
        <f>(VLOOKUP('21.04.01'!V31,'21.04.01'!$AO$4:$AQ$55,3,FALSE))</f>
        <v>60</v>
      </c>
      <c r="O31" s="5">
        <f>(VLOOKUP('21.04.01'!W31,'21.04.01'!$AO$4:$AQ$55,3,FALSE))</f>
        <v>0</v>
      </c>
      <c r="P31" s="5">
        <f>(VLOOKUP('21.04.01'!X31,'21.04.01'!$AO$4:$AQ$55,3,FALSE))</f>
        <v>0</v>
      </c>
      <c r="Q31" s="4">
        <f>(VLOOKUP('21.04.01'!Y31,'21.04.01'!$AO$4:$AQ$55,3,FALSE))</f>
        <v>0</v>
      </c>
      <c r="R31" s="4">
        <f>(VLOOKUP('21.04.01'!Z31,'21.04.01'!$AO$4:$AQ$55,3,FALSE))</f>
        <v>0</v>
      </c>
      <c r="S31" s="4">
        <f>(VLOOKUP('21.04.01'!AA31,'21.04.01'!$AO$4:$AQ$55,3,FALSE))</f>
        <v>0</v>
      </c>
      <c r="T31" s="4">
        <f>(VLOOKUP('21.04.01'!AB31,'21.04.01'!$AO$4:$AQ$55,3,FALSE))</f>
        <v>0</v>
      </c>
      <c r="U31" s="4">
        <f>(VLOOKUP('21.04.01'!AC31,'21.04.01'!$AO$4:$AQ$55,3,FALSE))</f>
        <v>0</v>
      </c>
      <c r="V31" s="4">
        <f>(VLOOKUP('21.04.01'!AD31,'21.04.01'!$AO$4:$AQ$55,3,FALSE))</f>
        <v>0</v>
      </c>
      <c r="W31" s="5">
        <f>(VLOOKUP('21.04.01'!AE31,'21.04.01'!$AO$4:$AQ$55,3,FALSE))</f>
        <v>0</v>
      </c>
      <c r="X31" s="5">
        <f>(VLOOKUP('21.04.01'!AF31,'21.04.01'!$AO$4:$AQ$55,3,FALSE))</f>
        <v>0</v>
      </c>
    </row>
    <row r="32" spans="1:24">
      <c r="A32" s="4">
        <f>(VLOOKUP('21.04.01'!I32,'21.04.01'!$AO$4:$AQ$55,3,FALSE))</f>
        <v>50</v>
      </c>
      <c r="B32" s="4">
        <f>(VLOOKUP('21.04.01'!J32,'21.04.01'!$AO$4:$AQ$55,3,FALSE))</f>
        <v>50</v>
      </c>
      <c r="C32" s="4">
        <f>(VLOOKUP('21.04.01'!K32,'21.04.01'!$AO$4:$AQ$55,3,FALSE))</f>
        <v>50</v>
      </c>
      <c r="D32" s="4">
        <f>(VLOOKUP('21.04.01'!L32,'21.04.01'!$AO$4:$AQ$55,3,FALSE))</f>
        <v>50</v>
      </c>
      <c r="E32" s="4">
        <f>(VLOOKUP('21.04.01'!M32,'21.04.01'!$AO$4:$AQ$55,3,FALSE))</f>
        <v>50</v>
      </c>
      <c r="F32" s="4">
        <f>(VLOOKUP('21.04.01'!N32,'21.04.01'!$AO$4:$AQ$55,3,FALSE))</f>
        <v>50</v>
      </c>
      <c r="G32" s="5">
        <f>(VLOOKUP('21.04.01'!O32,'21.04.01'!$AO$4:$AQ$55,3,FALSE))</f>
        <v>0</v>
      </c>
      <c r="H32" s="5">
        <f>(VLOOKUP('21.04.01'!P32,'21.04.01'!$AO$4:$AQ$55,3,FALSE))</f>
        <v>0</v>
      </c>
      <c r="I32" s="4">
        <f>(VLOOKUP('21.04.01'!Q32,'21.04.01'!$AO$4:$AQ$55,3,FALSE))</f>
        <v>60</v>
      </c>
      <c r="J32" s="4">
        <f>(VLOOKUP('21.04.01'!R32,'21.04.01'!$AO$4:$AQ$55,3,FALSE))</f>
        <v>0</v>
      </c>
      <c r="K32" s="4">
        <f>(VLOOKUP('21.04.01'!S32,'21.04.01'!$AO$4:$AQ$55,3,FALSE))</f>
        <v>60</v>
      </c>
      <c r="L32" s="4">
        <f>(VLOOKUP('21.04.01'!T32,'21.04.01'!$AO$4:$AQ$55,3,FALSE))</f>
        <v>60</v>
      </c>
      <c r="M32" s="4">
        <f>(VLOOKUP('21.04.01'!U32,'21.04.01'!$AO$4:$AQ$55,3,FALSE))</f>
        <v>60</v>
      </c>
      <c r="N32" s="4">
        <f>(VLOOKUP('21.04.01'!V32,'21.04.01'!$AO$4:$AQ$55,3,FALSE))</f>
        <v>60</v>
      </c>
      <c r="O32" s="5">
        <f>(VLOOKUP('21.04.01'!W32,'21.04.01'!$AO$4:$AQ$55,3,FALSE))</f>
        <v>60</v>
      </c>
      <c r="P32" s="5">
        <f>(VLOOKUP('21.04.01'!X32,'21.04.01'!$AO$4:$AQ$55,3,FALSE))</f>
        <v>60</v>
      </c>
      <c r="Q32" s="4">
        <f>(VLOOKUP('21.04.01'!Y32,'21.04.01'!$AO$4:$AQ$55,3,FALSE))</f>
        <v>0</v>
      </c>
      <c r="R32" s="4">
        <f>(VLOOKUP('21.04.01'!Z32,'21.04.01'!$AO$4:$AQ$55,3,FALSE))</f>
        <v>0</v>
      </c>
      <c r="S32" s="4">
        <f>(VLOOKUP('21.04.01'!AA32,'21.04.01'!$AO$4:$AQ$55,3,FALSE))</f>
        <v>0</v>
      </c>
      <c r="T32" s="4">
        <f>(VLOOKUP('21.04.01'!AB32,'21.04.01'!$AO$4:$AQ$55,3,FALSE))</f>
        <v>0</v>
      </c>
      <c r="U32" s="4">
        <f>(VLOOKUP('21.04.01'!AC32,'21.04.01'!$AO$4:$AQ$55,3,FALSE))</f>
        <v>0</v>
      </c>
      <c r="V32" s="4">
        <f>(VLOOKUP('21.04.01'!AD32,'21.04.01'!$AO$4:$AQ$55,3,FALSE))</f>
        <v>0</v>
      </c>
      <c r="W32" s="5">
        <f>(VLOOKUP('21.04.01'!AE32,'21.04.01'!$AO$4:$AQ$55,3,FALSE))</f>
        <v>0</v>
      </c>
      <c r="X32" s="5">
        <f>(VLOOKUP('21.04.01'!AF32,'21.04.01'!$AO$4:$AQ$55,3,FALSE))</f>
        <v>0</v>
      </c>
    </row>
    <row r="33" spans="1:24">
      <c r="A33" s="4">
        <f>(VLOOKUP('21.04.01'!I33,'21.04.01'!$AO$4:$AQ$55,3,FALSE))</f>
        <v>30</v>
      </c>
      <c r="B33" s="4">
        <f>(VLOOKUP('21.04.01'!J33,'21.04.01'!$AO$4:$AQ$55,3,FALSE))</f>
        <v>0</v>
      </c>
      <c r="C33" s="4">
        <f>(VLOOKUP('21.04.01'!K33,'21.04.01'!$AO$4:$AQ$55,3,FALSE))</f>
        <v>0</v>
      </c>
      <c r="D33" s="4">
        <f>(VLOOKUP('21.04.01'!L33,'21.04.01'!$AO$4:$AQ$55,3,FALSE))</f>
        <v>0</v>
      </c>
      <c r="E33" s="4">
        <f>(VLOOKUP('21.04.01'!M33,'21.04.01'!$AO$4:$AQ$55,3,FALSE))</f>
        <v>0</v>
      </c>
      <c r="F33" s="4">
        <f>(VLOOKUP('21.04.01'!N33,'21.04.01'!$AO$4:$AQ$55,3,FALSE))</f>
        <v>0</v>
      </c>
      <c r="G33" s="5">
        <f>(VLOOKUP('21.04.01'!O33,'21.04.01'!$AO$4:$AQ$55,3,FALSE))</f>
        <v>0</v>
      </c>
      <c r="H33" s="5">
        <f>(VLOOKUP('21.04.01'!P33,'21.04.01'!$AO$4:$AQ$55,3,FALSE))</f>
        <v>0</v>
      </c>
      <c r="I33" s="4">
        <f>(VLOOKUP('21.04.01'!Q33,'21.04.01'!$AO$4:$AQ$55,3,FALSE))</f>
        <v>60</v>
      </c>
      <c r="J33" s="4">
        <f>(VLOOKUP('21.04.01'!R33,'21.04.01'!$AO$4:$AQ$55,3,FALSE))</f>
        <v>60</v>
      </c>
      <c r="K33" s="4">
        <f>(VLOOKUP('21.04.01'!S33,'21.04.01'!$AO$4:$AQ$55,3,FALSE))</f>
        <v>60</v>
      </c>
      <c r="L33" s="4">
        <f>(VLOOKUP('21.04.01'!T33,'21.04.01'!$AO$4:$AQ$55,3,FALSE))</f>
        <v>60</v>
      </c>
      <c r="M33" s="4">
        <f>(VLOOKUP('21.04.01'!U33,'21.04.01'!$AO$4:$AQ$55,3,FALSE))</f>
        <v>60</v>
      </c>
      <c r="N33" s="4">
        <f>(VLOOKUP('21.04.01'!V33,'21.04.01'!$AO$4:$AQ$55,3,FALSE))</f>
        <v>60</v>
      </c>
      <c r="O33" s="5">
        <f>(VLOOKUP('21.04.01'!W33,'21.04.01'!$AO$4:$AQ$55,3,FALSE))</f>
        <v>0</v>
      </c>
      <c r="P33" s="5">
        <f>(VLOOKUP('21.04.01'!X33,'21.04.01'!$AO$4:$AQ$55,3,FALSE))</f>
        <v>0</v>
      </c>
      <c r="Q33" s="4">
        <f>(VLOOKUP('21.04.01'!Y33,'21.04.01'!$AO$4:$AQ$55,3,FALSE))</f>
        <v>0</v>
      </c>
      <c r="R33" s="4">
        <f>(VLOOKUP('21.04.01'!Z33,'21.04.01'!$AO$4:$AQ$55,3,FALSE))</f>
        <v>0</v>
      </c>
      <c r="S33" s="4">
        <f>(VLOOKUP('21.04.01'!AA33,'21.04.01'!$AO$4:$AQ$55,3,FALSE))</f>
        <v>0</v>
      </c>
      <c r="T33" s="4">
        <f>(VLOOKUP('21.04.01'!AB33,'21.04.01'!$AO$4:$AQ$55,3,FALSE))</f>
        <v>0</v>
      </c>
      <c r="U33" s="4">
        <f>(VLOOKUP('21.04.01'!AC33,'21.04.01'!$AO$4:$AQ$55,3,FALSE))</f>
        <v>0</v>
      </c>
      <c r="V33" s="4">
        <f>(VLOOKUP('21.04.01'!AD33,'21.04.01'!$AO$4:$AQ$55,3,FALSE))</f>
        <v>0</v>
      </c>
      <c r="W33" s="5">
        <f>(VLOOKUP('21.04.01'!AE33,'21.04.01'!$AO$4:$AQ$55,3,FALSE))</f>
        <v>0</v>
      </c>
      <c r="X33" s="5">
        <f>(VLOOKUP('21.04.01'!AF33,'21.04.01'!$AO$4:$AQ$55,3,FALSE))</f>
        <v>0</v>
      </c>
    </row>
    <row r="34" spans="1:24">
      <c r="A34" s="4">
        <f>(VLOOKUP('21.04.01'!I34,'21.04.01'!$AO$4:$AQ$55,3,FALSE))</f>
        <v>50</v>
      </c>
      <c r="B34" s="4">
        <f>(VLOOKUP('21.04.01'!J34,'21.04.01'!$AO$4:$AQ$55,3,FALSE))</f>
        <v>50</v>
      </c>
      <c r="C34" s="4">
        <f>(VLOOKUP('21.04.01'!K34,'21.04.01'!$AO$4:$AQ$55,3,FALSE))</f>
        <v>50</v>
      </c>
      <c r="D34" s="4">
        <f>(VLOOKUP('21.04.01'!L34,'21.04.01'!$AO$4:$AQ$55,3,FALSE))</f>
        <v>50</v>
      </c>
      <c r="E34" s="4">
        <f>(VLOOKUP('21.04.01'!M34,'21.04.01'!$AO$4:$AQ$55,3,FALSE))</f>
        <v>50</v>
      </c>
      <c r="F34" s="4">
        <f>(VLOOKUP('21.04.01'!N34,'21.04.01'!$AO$4:$AQ$55,3,FALSE))</f>
        <v>50</v>
      </c>
      <c r="G34" s="5">
        <f>(VLOOKUP('21.04.01'!O34,'21.04.01'!$AO$4:$AQ$55,3,FALSE))</f>
        <v>0</v>
      </c>
      <c r="H34" s="5">
        <f>(VLOOKUP('21.04.01'!P34,'21.04.01'!$AO$4:$AQ$55,3,FALSE))</f>
        <v>0</v>
      </c>
      <c r="I34" s="4">
        <f>(VLOOKUP('21.04.01'!Q34,'21.04.01'!$AO$4:$AQ$55,3,FALSE))</f>
        <v>60</v>
      </c>
      <c r="J34" s="4">
        <f>(VLOOKUP('21.04.01'!R34,'21.04.01'!$AO$4:$AQ$55,3,FALSE))</f>
        <v>60</v>
      </c>
      <c r="K34" s="4">
        <f>(VLOOKUP('21.04.01'!S34,'21.04.01'!$AO$4:$AQ$55,3,FALSE))</f>
        <v>60</v>
      </c>
      <c r="L34" s="4">
        <f>(VLOOKUP('21.04.01'!T34,'21.04.01'!$AO$4:$AQ$55,3,FALSE))</f>
        <v>60</v>
      </c>
      <c r="M34" s="4">
        <f>(VLOOKUP('21.04.01'!U34,'21.04.01'!$AO$4:$AQ$55,3,FALSE))</f>
        <v>60</v>
      </c>
      <c r="N34" s="4">
        <f>(VLOOKUP('21.04.01'!V34,'21.04.01'!$AO$4:$AQ$55,3,FALSE))</f>
        <v>60</v>
      </c>
      <c r="O34" s="5">
        <f>(VLOOKUP('21.04.01'!W34,'21.04.01'!$AO$4:$AQ$55,3,FALSE))</f>
        <v>0</v>
      </c>
      <c r="P34" s="5">
        <f>(VLOOKUP('21.04.01'!X34,'21.04.01'!$AO$4:$AQ$55,3,FALSE))</f>
        <v>0</v>
      </c>
      <c r="Q34" s="4">
        <f>(VLOOKUP('21.04.01'!Y34,'21.04.01'!$AO$4:$AQ$55,3,FALSE))</f>
        <v>0</v>
      </c>
      <c r="R34" s="4">
        <f>(VLOOKUP('21.04.01'!Z34,'21.04.01'!$AO$4:$AQ$55,3,FALSE))</f>
        <v>0</v>
      </c>
      <c r="S34" s="4">
        <f>(VLOOKUP('21.04.01'!AA34,'21.04.01'!$AO$4:$AQ$55,3,FALSE))</f>
        <v>0</v>
      </c>
      <c r="T34" s="4">
        <f>(VLOOKUP('21.04.01'!AB34,'21.04.01'!$AO$4:$AQ$55,3,FALSE))</f>
        <v>0</v>
      </c>
      <c r="U34" s="4">
        <f>(VLOOKUP('21.04.01'!AC34,'21.04.01'!$AO$4:$AQ$55,3,FALSE))</f>
        <v>0</v>
      </c>
      <c r="V34" s="4">
        <f>(VLOOKUP('21.04.01'!AD34,'21.04.01'!$AO$4:$AQ$55,3,FALSE))</f>
        <v>0</v>
      </c>
      <c r="W34" s="5">
        <f>(VLOOKUP('21.04.01'!AE34,'21.04.01'!$AO$4:$AQ$55,3,FALSE))</f>
        <v>0</v>
      </c>
      <c r="X34" s="5">
        <f>(VLOOKUP('21.04.01'!AF34,'21.04.01'!$AO$4:$AQ$55,3,FALSE))</f>
        <v>0</v>
      </c>
    </row>
    <row r="35" spans="1:24">
      <c r="A35" s="4">
        <f>(VLOOKUP('21.04.01'!I35,'21.04.01'!$AO$4:$AQ$55,3,FALSE))</f>
        <v>50</v>
      </c>
      <c r="B35" s="4">
        <f>(VLOOKUP('21.04.01'!J35,'21.04.01'!$AO$4:$AQ$55,3,FALSE))</f>
        <v>50</v>
      </c>
      <c r="C35" s="4">
        <f>(VLOOKUP('21.04.01'!K35,'21.04.01'!$AO$4:$AQ$55,3,FALSE))</f>
        <v>50</v>
      </c>
      <c r="D35" s="4">
        <f>(VLOOKUP('21.04.01'!L35,'21.04.01'!$AO$4:$AQ$55,3,FALSE))</f>
        <v>50</v>
      </c>
      <c r="E35" s="4">
        <f>(VLOOKUP('21.04.01'!M35,'21.04.01'!$AO$4:$AQ$55,3,FALSE))</f>
        <v>50</v>
      </c>
      <c r="F35" s="4">
        <f>(VLOOKUP('21.04.01'!N35,'21.04.01'!$AO$4:$AQ$55,3,FALSE))</f>
        <v>50</v>
      </c>
      <c r="G35" s="5">
        <f>(VLOOKUP('21.04.01'!O35,'21.04.01'!$AO$4:$AQ$55,3,FALSE))</f>
        <v>0</v>
      </c>
      <c r="H35" s="5">
        <f>(VLOOKUP('21.04.01'!P35,'21.04.01'!$AO$4:$AQ$55,3,FALSE))</f>
        <v>0</v>
      </c>
      <c r="I35" s="4">
        <f>(VLOOKUP('21.04.01'!Q35,'21.04.01'!$AO$4:$AQ$55,3,FALSE))</f>
        <v>60</v>
      </c>
      <c r="J35" s="4">
        <f>(VLOOKUP('21.04.01'!R35,'21.04.01'!$AO$4:$AQ$55,3,FALSE))</f>
        <v>55</v>
      </c>
      <c r="K35" s="4">
        <f>(VLOOKUP('21.04.01'!S35,'21.04.01'!$AO$4:$AQ$55,3,FALSE))</f>
        <v>55</v>
      </c>
      <c r="L35" s="4">
        <f>(VLOOKUP('21.04.01'!T35,'21.04.01'!$AO$4:$AQ$55,3,FALSE))</f>
        <v>55</v>
      </c>
      <c r="M35" s="4">
        <f>(VLOOKUP('21.04.01'!U35,'21.04.01'!$AO$4:$AQ$55,3,FALSE))</f>
        <v>55</v>
      </c>
      <c r="N35" s="4">
        <f>(VLOOKUP('21.04.01'!V35,'21.04.01'!$AO$4:$AQ$55,3,FALSE))</f>
        <v>55</v>
      </c>
      <c r="O35" s="5">
        <f>(VLOOKUP('21.04.01'!W35,'21.04.01'!$AO$4:$AQ$55,3,FALSE))</f>
        <v>0</v>
      </c>
      <c r="P35" s="5">
        <f>(VLOOKUP('21.04.01'!X35,'21.04.01'!$AO$4:$AQ$55,3,FALSE))</f>
        <v>0</v>
      </c>
      <c r="Q35" s="4">
        <f>(VLOOKUP('21.04.01'!Y35,'21.04.01'!$AO$4:$AQ$55,3,FALSE))</f>
        <v>0</v>
      </c>
      <c r="R35" s="4">
        <f>(VLOOKUP('21.04.01'!Z35,'21.04.01'!$AO$4:$AQ$55,3,FALSE))</f>
        <v>0</v>
      </c>
      <c r="S35" s="4">
        <f>(VLOOKUP('21.04.01'!AA35,'21.04.01'!$AO$4:$AQ$55,3,FALSE))</f>
        <v>0</v>
      </c>
      <c r="T35" s="4">
        <f>(VLOOKUP('21.04.01'!AB35,'21.04.01'!$AO$4:$AQ$55,3,FALSE))</f>
        <v>0</v>
      </c>
      <c r="U35" s="4">
        <f>(VLOOKUP('21.04.01'!AC35,'21.04.01'!$AO$4:$AQ$55,3,FALSE))</f>
        <v>0</v>
      </c>
      <c r="V35" s="4">
        <f>(VLOOKUP('21.04.01'!AD35,'21.04.01'!$AO$4:$AQ$55,3,FALSE))</f>
        <v>0</v>
      </c>
      <c r="W35" s="5">
        <f>(VLOOKUP('21.04.01'!AE35,'21.04.01'!$AO$4:$AQ$55,3,FALSE))</f>
        <v>0</v>
      </c>
      <c r="X35" s="5">
        <f>(VLOOKUP('21.04.01'!AF35,'21.04.01'!$AO$4:$AQ$55,3,FALSE))</f>
        <v>0</v>
      </c>
    </row>
    <row r="36" spans="1:24">
      <c r="A36" s="4">
        <f>(VLOOKUP('21.04.01'!I36,'21.04.01'!$AO$4:$AQ$55,3,FALSE))</f>
        <v>50</v>
      </c>
      <c r="B36" s="4">
        <f>(VLOOKUP('21.04.01'!J36,'21.04.01'!$AO$4:$AQ$55,3,FALSE))</f>
        <v>50</v>
      </c>
      <c r="C36" s="4">
        <f>(VLOOKUP('21.04.01'!K36,'21.04.01'!$AO$4:$AQ$55,3,FALSE))</f>
        <v>50</v>
      </c>
      <c r="D36" s="4">
        <f>(VLOOKUP('21.04.01'!L36,'21.04.01'!$AO$4:$AQ$55,3,FALSE))</f>
        <v>50</v>
      </c>
      <c r="E36" s="4">
        <f>(VLOOKUP('21.04.01'!M36,'21.04.01'!$AO$4:$AQ$55,3,FALSE))</f>
        <v>50</v>
      </c>
      <c r="F36" s="4">
        <f>(VLOOKUP('21.04.01'!N36,'21.04.01'!$AO$4:$AQ$55,3,FALSE))</f>
        <v>50</v>
      </c>
      <c r="G36" s="5">
        <f>(VLOOKUP('21.04.01'!O36,'21.04.01'!$AO$4:$AQ$55,3,FALSE))</f>
        <v>0</v>
      </c>
      <c r="H36" s="5">
        <f>(VLOOKUP('21.04.01'!P36,'21.04.01'!$AO$4:$AQ$55,3,FALSE))</f>
        <v>0</v>
      </c>
      <c r="I36" s="4">
        <f>(VLOOKUP('21.04.01'!Q36,'21.04.01'!$AO$4:$AQ$55,3,FALSE))</f>
        <v>55</v>
      </c>
      <c r="J36" s="4">
        <f>(VLOOKUP('21.04.01'!R36,'21.04.01'!$AO$4:$AQ$55,3,FALSE))</f>
        <v>55</v>
      </c>
      <c r="K36" s="4">
        <f>(VLOOKUP('21.04.01'!S36,'21.04.01'!$AO$4:$AQ$55,3,FALSE))</f>
        <v>55</v>
      </c>
      <c r="L36" s="4">
        <f>(VLOOKUP('21.04.01'!T36,'21.04.01'!$AO$4:$AQ$55,3,FALSE))</f>
        <v>55</v>
      </c>
      <c r="M36" s="4">
        <f>(VLOOKUP('21.04.01'!U36,'21.04.01'!$AO$4:$AQ$55,3,FALSE))</f>
        <v>55</v>
      </c>
      <c r="N36" s="4">
        <f>(VLOOKUP('21.04.01'!V36,'21.04.01'!$AO$4:$AQ$55,3,FALSE))</f>
        <v>55</v>
      </c>
      <c r="O36" s="5">
        <f>(VLOOKUP('21.04.01'!W36,'21.04.01'!$AO$4:$AQ$55,3,FALSE))</f>
        <v>0</v>
      </c>
      <c r="P36" s="5">
        <f>(VLOOKUP('21.04.01'!X36,'21.04.01'!$AO$4:$AQ$55,3,FALSE))</f>
        <v>0</v>
      </c>
      <c r="Q36" s="4">
        <f>(VLOOKUP('21.04.01'!Y36,'21.04.01'!$AO$4:$AQ$55,3,FALSE))</f>
        <v>0</v>
      </c>
      <c r="R36" s="4">
        <f>(VLOOKUP('21.04.01'!Z36,'21.04.01'!$AO$4:$AQ$55,3,FALSE))</f>
        <v>0</v>
      </c>
      <c r="S36" s="4">
        <f>(VLOOKUP('21.04.01'!AA36,'21.04.01'!$AO$4:$AQ$55,3,FALSE))</f>
        <v>0</v>
      </c>
      <c r="T36" s="4">
        <f>(VLOOKUP('21.04.01'!AB36,'21.04.01'!$AO$4:$AQ$55,3,FALSE))</f>
        <v>0</v>
      </c>
      <c r="U36" s="4">
        <f>(VLOOKUP('21.04.01'!AC36,'21.04.01'!$AO$4:$AQ$55,3,FALSE))</f>
        <v>0</v>
      </c>
      <c r="V36" s="4">
        <f>(VLOOKUP('21.04.01'!AD36,'21.04.01'!$AO$4:$AQ$55,3,FALSE))</f>
        <v>0</v>
      </c>
      <c r="W36" s="5">
        <f>(VLOOKUP('21.04.01'!AE36,'21.04.01'!$AO$4:$AQ$55,3,FALSE))</f>
        <v>0</v>
      </c>
      <c r="X36" s="5">
        <f>(VLOOKUP('21.04.01'!AF36,'21.04.01'!$AO$4:$AQ$55,3,FALSE))</f>
        <v>0</v>
      </c>
    </row>
    <row r="37" spans="1:24">
      <c r="A37" s="4">
        <f>(VLOOKUP('21.04.01'!I37,'21.04.01'!$AO$4:$AQ$55,3,FALSE))</f>
        <v>50</v>
      </c>
      <c r="B37" s="4">
        <f>(VLOOKUP('21.04.01'!J37,'21.04.01'!$AO$4:$AQ$55,3,FALSE))</f>
        <v>50</v>
      </c>
      <c r="C37" s="4">
        <f>(VLOOKUP('21.04.01'!K37,'21.04.01'!$AO$4:$AQ$55,3,FALSE))</f>
        <v>50</v>
      </c>
      <c r="D37" s="4">
        <f>(VLOOKUP('21.04.01'!L37,'21.04.01'!$AO$4:$AQ$55,3,FALSE))</f>
        <v>40</v>
      </c>
      <c r="E37" s="4">
        <f>(VLOOKUP('21.04.01'!M37,'21.04.01'!$AO$4:$AQ$55,3,FALSE))</f>
        <v>500</v>
      </c>
      <c r="F37" s="4">
        <f>(VLOOKUP('21.04.01'!N37,'21.04.01'!$AO$4:$AQ$55,3,FALSE))</f>
        <v>55</v>
      </c>
      <c r="G37" s="5">
        <f>(VLOOKUP('21.04.01'!O37,'21.04.01'!$AO$4:$AQ$55,3,FALSE))</f>
        <v>0</v>
      </c>
      <c r="H37" s="5">
        <f>(VLOOKUP('21.04.01'!P37,'21.04.01'!$AO$4:$AQ$55,3,FALSE))</f>
        <v>0</v>
      </c>
      <c r="I37" s="4">
        <f>(VLOOKUP('21.04.01'!Q37,'21.04.01'!$AO$4:$AQ$55,3,FALSE))</f>
        <v>55</v>
      </c>
      <c r="J37" s="4">
        <f>(VLOOKUP('21.04.01'!R37,'21.04.01'!$AO$4:$AQ$55,3,FALSE))</f>
        <v>30</v>
      </c>
      <c r="K37" s="4">
        <f>(VLOOKUP('21.04.01'!S37,'21.04.01'!$AO$4:$AQ$55,3,FALSE))</f>
        <v>55</v>
      </c>
      <c r="L37" s="4">
        <f>(VLOOKUP('21.04.01'!T37,'21.04.01'!$AO$4:$AQ$55,3,FALSE))</f>
        <v>55</v>
      </c>
      <c r="M37" s="4">
        <f>(VLOOKUP('21.04.01'!U37,'21.04.01'!$AO$4:$AQ$55,3,FALSE))</f>
        <v>55</v>
      </c>
      <c r="N37" s="4">
        <f>(VLOOKUP('21.04.01'!V37,'21.04.01'!$AO$4:$AQ$55,3,FALSE))</f>
        <v>55</v>
      </c>
      <c r="O37" s="5">
        <f>(VLOOKUP('21.04.01'!W37,'21.04.01'!$AO$4:$AQ$55,3,FALSE))</f>
        <v>0</v>
      </c>
      <c r="P37" s="5">
        <f>(VLOOKUP('21.04.01'!X37,'21.04.01'!$AO$4:$AQ$55,3,FALSE))</f>
        <v>0</v>
      </c>
      <c r="Q37" s="4">
        <f>(VLOOKUP('21.04.01'!Y37,'21.04.01'!$AO$4:$AQ$55,3,FALSE))</f>
        <v>0</v>
      </c>
      <c r="R37" s="4">
        <f>(VLOOKUP('21.04.01'!Z37,'21.04.01'!$AO$4:$AQ$55,3,FALSE))</f>
        <v>0</v>
      </c>
      <c r="S37" s="4">
        <f>(VLOOKUP('21.04.01'!AA37,'21.04.01'!$AO$4:$AQ$55,3,FALSE))</f>
        <v>0</v>
      </c>
      <c r="T37" s="4">
        <f>(VLOOKUP('21.04.01'!AB37,'21.04.01'!$AO$4:$AQ$55,3,FALSE))</f>
        <v>0</v>
      </c>
      <c r="U37" s="4">
        <f>(VLOOKUP('21.04.01'!AC37,'21.04.01'!$AO$4:$AQ$55,3,FALSE))</f>
        <v>0</v>
      </c>
      <c r="V37" s="4">
        <f>(VLOOKUP('21.04.01'!AD37,'21.04.01'!$AO$4:$AQ$55,3,FALSE))</f>
        <v>0</v>
      </c>
      <c r="W37" s="5">
        <f>(VLOOKUP('21.04.01'!AE37,'21.04.01'!$AO$4:$AQ$55,3,FALSE))</f>
        <v>0</v>
      </c>
      <c r="X37" s="5">
        <f>(VLOOKUP('21.04.01'!AF37,'21.04.01'!$AO$4:$AQ$55,3,FALSE))</f>
        <v>0</v>
      </c>
    </row>
    <row r="38" spans="1:24">
      <c r="A38" s="4">
        <f>(VLOOKUP('21.04.01'!I38,'21.04.01'!$AO$4:$AQ$55,3,FALSE))</f>
        <v>55</v>
      </c>
      <c r="B38" s="4">
        <f>(VLOOKUP('21.04.01'!J38,'21.04.01'!$AO$4:$AQ$55,3,FALSE))</f>
        <v>0</v>
      </c>
      <c r="C38" s="4">
        <f>(VLOOKUP('21.04.01'!K38,'21.04.01'!$AO$4:$AQ$55,3,FALSE))</f>
        <v>0</v>
      </c>
      <c r="D38" s="4">
        <f>(VLOOKUP('21.04.01'!L38,'21.04.01'!$AO$4:$AQ$55,3,FALSE))</f>
        <v>0</v>
      </c>
      <c r="E38" s="4">
        <f>(VLOOKUP('21.04.01'!M38,'21.04.01'!$AO$4:$AQ$55,3,FALSE))</f>
        <v>0</v>
      </c>
      <c r="F38" s="4">
        <f>(VLOOKUP('21.04.01'!N38,'21.04.01'!$AO$4:$AQ$55,3,FALSE))</f>
        <v>0</v>
      </c>
      <c r="G38" s="5">
        <f>(VLOOKUP('21.04.01'!O38,'21.04.01'!$AO$4:$AQ$55,3,FALSE))</f>
        <v>0</v>
      </c>
      <c r="H38" s="5">
        <f>(VLOOKUP('21.04.01'!P38,'21.04.01'!$AO$4:$AQ$55,3,FALSE))</f>
        <v>0</v>
      </c>
      <c r="I38" s="4">
        <f>(VLOOKUP('21.04.01'!Q38,'21.04.01'!$AO$4:$AQ$55,3,FALSE))</f>
        <v>55</v>
      </c>
      <c r="J38" s="4">
        <f>(VLOOKUP('21.04.01'!R38,'21.04.01'!$AO$4:$AQ$55,3,FALSE))</f>
        <v>55</v>
      </c>
      <c r="K38" s="4">
        <f>(VLOOKUP('21.04.01'!S38,'21.04.01'!$AO$4:$AQ$55,3,FALSE))</f>
        <v>55</v>
      </c>
      <c r="L38" s="4">
        <f>(VLOOKUP('21.04.01'!T38,'21.04.01'!$AO$4:$AQ$55,3,FALSE))</f>
        <v>55</v>
      </c>
      <c r="M38" s="4">
        <f>(VLOOKUP('21.04.01'!U38,'21.04.01'!$AO$4:$AQ$55,3,FALSE))</f>
        <v>55</v>
      </c>
      <c r="N38" s="4">
        <f>(VLOOKUP('21.04.01'!V38,'21.04.01'!$AO$4:$AQ$55,3,FALSE))</f>
        <v>55</v>
      </c>
      <c r="O38" s="5">
        <f>(VLOOKUP('21.04.01'!W38,'21.04.01'!$AO$4:$AQ$55,3,FALSE))</f>
        <v>0</v>
      </c>
      <c r="P38" s="5">
        <f>(VLOOKUP('21.04.01'!X38,'21.04.01'!$AO$4:$AQ$55,3,FALSE))</f>
        <v>0</v>
      </c>
      <c r="Q38" s="4">
        <f>(VLOOKUP('21.04.01'!Y38,'21.04.01'!$AO$4:$AQ$55,3,FALSE))</f>
        <v>0</v>
      </c>
      <c r="R38" s="4">
        <f>(VLOOKUP('21.04.01'!Z38,'21.04.01'!$AO$4:$AQ$55,3,FALSE))</f>
        <v>0</v>
      </c>
      <c r="S38" s="4">
        <f>(VLOOKUP('21.04.01'!AA38,'21.04.01'!$AO$4:$AQ$55,3,FALSE))</f>
        <v>0</v>
      </c>
      <c r="T38" s="4">
        <f>(VLOOKUP('21.04.01'!AB38,'21.04.01'!$AO$4:$AQ$55,3,FALSE))</f>
        <v>0</v>
      </c>
      <c r="U38" s="4">
        <f>(VLOOKUP('21.04.01'!AC38,'21.04.01'!$AO$4:$AQ$55,3,FALSE))</f>
        <v>0</v>
      </c>
      <c r="V38" s="4">
        <f>(VLOOKUP('21.04.01'!AD38,'21.04.01'!$AO$4:$AQ$55,3,FALSE))</f>
        <v>0</v>
      </c>
      <c r="W38" s="5">
        <f>(VLOOKUP('21.04.01'!AE38,'21.04.01'!$AO$4:$AQ$55,3,FALSE))</f>
        <v>0</v>
      </c>
      <c r="X38" s="5">
        <f>(VLOOKUP('21.04.01'!AF38,'21.04.01'!$AO$4:$AQ$55,3,FALSE))</f>
        <v>0</v>
      </c>
    </row>
    <row r="39" spans="1:24">
      <c r="A39" s="4">
        <f>(VLOOKUP('21.04.01'!I39,'21.04.01'!$AO$4:$AQ$55,3,FALSE))</f>
        <v>55</v>
      </c>
      <c r="B39" s="4">
        <f>(VLOOKUP('21.04.01'!J39,'21.04.01'!$AO$4:$AQ$55,3,FALSE))</f>
        <v>55</v>
      </c>
      <c r="C39" s="4">
        <f>(VLOOKUP('21.04.01'!K39,'21.04.01'!$AO$4:$AQ$55,3,FALSE))</f>
        <v>55</v>
      </c>
      <c r="D39" s="4">
        <f>(VLOOKUP('21.04.01'!L39,'21.04.01'!$AO$4:$AQ$55,3,FALSE))</f>
        <v>55</v>
      </c>
      <c r="E39" s="4">
        <f>(VLOOKUP('21.04.01'!M39,'21.04.01'!$AO$4:$AQ$55,3,FALSE))</f>
        <v>55</v>
      </c>
      <c r="F39" s="4">
        <f>(VLOOKUP('21.04.01'!N39,'21.04.01'!$AO$4:$AQ$55,3,FALSE))</f>
        <v>40</v>
      </c>
      <c r="G39" s="5">
        <f>(VLOOKUP('21.04.01'!O39,'21.04.01'!$AO$4:$AQ$55,3,FALSE))</f>
        <v>0</v>
      </c>
      <c r="H39" s="5">
        <f>(VLOOKUP('21.04.01'!P39,'21.04.01'!$AO$4:$AQ$55,3,FALSE))</f>
        <v>0</v>
      </c>
      <c r="I39" s="4">
        <f>(VLOOKUP('21.04.01'!Q39,'21.04.01'!$AO$4:$AQ$55,3,FALSE))</f>
        <v>0</v>
      </c>
      <c r="J39" s="4">
        <f>(VLOOKUP('21.04.01'!R39,'21.04.01'!$AO$4:$AQ$55,3,FALSE))</f>
        <v>0</v>
      </c>
      <c r="K39" s="4">
        <f>(VLOOKUP('21.04.01'!S39,'21.04.01'!$AO$4:$AQ$55,3,FALSE))</f>
        <v>0</v>
      </c>
      <c r="L39" s="4">
        <f>(VLOOKUP('21.04.01'!T39,'21.04.01'!$AO$4:$AQ$55,3,FALSE))</f>
        <v>0</v>
      </c>
      <c r="M39" s="4">
        <f>(VLOOKUP('21.04.01'!U39,'21.04.01'!$AO$4:$AQ$55,3,FALSE))</f>
        <v>0</v>
      </c>
      <c r="N39" s="4">
        <f>(VLOOKUP('21.04.01'!V39,'21.04.01'!$AO$4:$AQ$55,3,FALSE))</f>
        <v>0</v>
      </c>
      <c r="O39" s="5">
        <f>(VLOOKUP('21.04.01'!W39,'21.04.01'!$AO$4:$AQ$55,3,FALSE))</f>
        <v>0</v>
      </c>
      <c r="P39" s="5">
        <f>(VLOOKUP('21.04.01'!X39,'21.04.01'!$AO$4:$AQ$55,3,FALSE))</f>
        <v>0</v>
      </c>
      <c r="Q39" s="4">
        <f>(VLOOKUP('21.04.01'!Y39,'21.04.01'!$AO$4:$AQ$55,3,FALSE))</f>
        <v>0</v>
      </c>
      <c r="R39" s="4">
        <f>(VLOOKUP('21.04.01'!Z39,'21.04.01'!$AO$4:$AQ$55,3,FALSE))</f>
        <v>0</v>
      </c>
      <c r="S39" s="4">
        <f>(VLOOKUP('21.04.01'!AA39,'21.04.01'!$AO$4:$AQ$55,3,FALSE))</f>
        <v>0</v>
      </c>
      <c r="T39" s="4">
        <f>(VLOOKUP('21.04.01'!AB39,'21.04.01'!$AO$4:$AQ$55,3,FALSE))</f>
        <v>0</v>
      </c>
      <c r="U39" s="4">
        <f>(VLOOKUP('21.04.01'!AC39,'21.04.01'!$AO$4:$AQ$55,3,FALSE))</f>
        <v>0</v>
      </c>
      <c r="V39" s="4">
        <f>(VLOOKUP('21.04.01'!AD39,'21.04.01'!$AO$4:$AQ$55,3,FALSE))</f>
        <v>0</v>
      </c>
      <c r="W39" s="5">
        <f>(VLOOKUP('21.04.01'!AE39,'21.04.01'!$AO$4:$AQ$55,3,FALSE))</f>
        <v>0</v>
      </c>
      <c r="X39" s="5">
        <f>(VLOOKUP('21.04.01'!AF39,'21.04.01'!$AO$4:$AQ$55,3,FALSE))</f>
        <v>0</v>
      </c>
    </row>
    <row r="40" spans="1:24">
      <c r="A40" s="4">
        <f>(VLOOKUP('21.04.01'!I40,'21.04.01'!$AO$4:$AQ$55,3,FALSE))</f>
        <v>55</v>
      </c>
      <c r="B40" s="4">
        <f>(VLOOKUP('21.04.01'!J40,'21.04.01'!$AO$4:$AQ$55,3,FALSE))</f>
        <v>55</v>
      </c>
      <c r="C40" s="4">
        <f>(VLOOKUP('21.04.01'!K40,'21.04.01'!$AO$4:$AQ$55,3,FALSE))</f>
        <v>55</v>
      </c>
      <c r="D40" s="4">
        <f>(VLOOKUP('21.04.01'!L40,'21.04.01'!$AO$4:$AQ$55,3,FALSE))</f>
        <v>55</v>
      </c>
      <c r="E40" s="4">
        <f>(VLOOKUP('21.04.01'!M40,'21.04.01'!$AO$4:$AQ$55,3,FALSE))</f>
        <v>60</v>
      </c>
      <c r="F40" s="4">
        <f>(VLOOKUP('21.04.01'!N40,'21.04.01'!$AO$4:$AQ$55,3,FALSE))</f>
        <v>30</v>
      </c>
      <c r="G40" s="5">
        <f>(VLOOKUP('21.04.01'!O40,'21.04.01'!$AO$4:$AQ$55,3,FALSE))</f>
        <v>0</v>
      </c>
      <c r="H40" s="5">
        <f>(VLOOKUP('21.04.01'!P40,'21.04.01'!$AO$4:$AQ$55,3,FALSE))</f>
        <v>0</v>
      </c>
      <c r="I40" s="4">
        <f>(VLOOKUP('21.04.01'!Q40,'21.04.01'!$AO$4:$AQ$55,3,FALSE))</f>
        <v>0</v>
      </c>
      <c r="J40" s="4">
        <f>(VLOOKUP('21.04.01'!R40,'21.04.01'!$AO$4:$AQ$55,3,FALSE))</f>
        <v>0</v>
      </c>
      <c r="K40" s="4">
        <f>(VLOOKUP('21.04.01'!S40,'21.04.01'!$AO$4:$AQ$55,3,FALSE))</f>
        <v>0</v>
      </c>
      <c r="L40" s="4">
        <f>(VLOOKUP('21.04.01'!T40,'21.04.01'!$AO$4:$AQ$55,3,FALSE))</f>
        <v>0</v>
      </c>
      <c r="M40" s="4">
        <f>(VLOOKUP('21.04.01'!U40,'21.04.01'!$AO$4:$AQ$55,3,FALSE))</f>
        <v>0</v>
      </c>
      <c r="N40" s="4">
        <f>(VLOOKUP('21.04.01'!V40,'21.04.01'!$AO$4:$AQ$55,3,FALSE))</f>
        <v>0</v>
      </c>
      <c r="O40" s="5">
        <f>(VLOOKUP('21.04.01'!W40,'21.04.01'!$AO$4:$AQ$55,3,FALSE))</f>
        <v>0</v>
      </c>
      <c r="P40" s="5">
        <f>(VLOOKUP('21.04.01'!X40,'21.04.01'!$AO$4:$AQ$55,3,FALSE))</f>
        <v>0</v>
      </c>
      <c r="Q40" s="4">
        <f>(VLOOKUP('21.04.01'!Y40,'21.04.01'!$AO$4:$AQ$55,3,FALSE))</f>
        <v>0</v>
      </c>
      <c r="R40" s="4">
        <f>(VLOOKUP('21.04.01'!Z40,'21.04.01'!$AO$4:$AQ$55,3,FALSE))</f>
        <v>0</v>
      </c>
      <c r="S40" s="4">
        <f>(VLOOKUP('21.04.01'!AA40,'21.04.01'!$AO$4:$AQ$55,3,FALSE))</f>
        <v>0</v>
      </c>
      <c r="T40" s="4">
        <f>(VLOOKUP('21.04.01'!AB40,'21.04.01'!$AO$4:$AQ$55,3,FALSE))</f>
        <v>0</v>
      </c>
      <c r="U40" s="4">
        <f>(VLOOKUP('21.04.01'!AC40,'21.04.01'!$AO$4:$AQ$55,3,FALSE))</f>
        <v>0</v>
      </c>
      <c r="V40" s="4">
        <f>(VLOOKUP('21.04.01'!AD40,'21.04.01'!$AO$4:$AQ$55,3,FALSE))</f>
        <v>0</v>
      </c>
      <c r="W40" s="5">
        <f>(VLOOKUP('21.04.01'!AE40,'21.04.01'!$AO$4:$AQ$55,3,FALSE))</f>
        <v>0</v>
      </c>
      <c r="X40" s="5">
        <f>(VLOOKUP('21.04.01'!AF40,'21.04.01'!$AO$4:$AQ$55,3,FALSE))</f>
        <v>0</v>
      </c>
    </row>
    <row r="41" spans="1:24">
      <c r="A41" s="4">
        <f>(VLOOKUP('21.04.01'!I41,'21.04.01'!$AO$4:$AQ$55,3,FALSE))</f>
        <v>55</v>
      </c>
      <c r="B41" s="4">
        <f>(VLOOKUP('21.04.01'!J41,'21.04.01'!$AO$4:$AQ$55,3,FALSE))</f>
        <v>55</v>
      </c>
      <c r="C41" s="4">
        <f>(VLOOKUP('21.04.01'!K41,'21.04.01'!$AO$4:$AQ$55,3,FALSE))</f>
        <v>60</v>
      </c>
      <c r="D41" s="4">
        <f>(VLOOKUP('21.04.01'!L41,'21.04.01'!$AO$4:$AQ$55,3,FALSE))</f>
        <v>55</v>
      </c>
      <c r="E41" s="4">
        <f>(VLOOKUP('21.04.01'!M41,'21.04.01'!$AO$4:$AQ$55,3,FALSE))</f>
        <v>55</v>
      </c>
      <c r="F41" s="4">
        <f>(VLOOKUP('21.04.01'!N41,'21.04.01'!$AO$4:$AQ$55,3,FALSE))</f>
        <v>55</v>
      </c>
      <c r="G41" s="5">
        <f>(VLOOKUP('21.04.01'!O41,'21.04.01'!$AO$4:$AQ$55,3,FALSE))</f>
        <v>520</v>
      </c>
      <c r="H41" s="5">
        <f>(VLOOKUP('21.04.01'!P41,'21.04.01'!$AO$4:$AQ$55,3,FALSE))</f>
        <v>0</v>
      </c>
      <c r="I41" s="4">
        <f>(VLOOKUP('21.04.01'!Q41,'21.04.01'!$AO$4:$AQ$55,3,FALSE))</f>
        <v>0</v>
      </c>
      <c r="J41" s="4">
        <f>(VLOOKUP('21.04.01'!R41,'21.04.01'!$AO$4:$AQ$55,3,FALSE))</f>
        <v>0</v>
      </c>
      <c r="K41" s="4">
        <f>(VLOOKUP('21.04.01'!S41,'21.04.01'!$AO$4:$AQ$55,3,FALSE))</f>
        <v>0</v>
      </c>
      <c r="L41" s="4">
        <f>(VLOOKUP('21.04.01'!T41,'21.04.01'!$AO$4:$AQ$55,3,FALSE))</f>
        <v>0</v>
      </c>
      <c r="M41" s="4">
        <f>(VLOOKUP('21.04.01'!U41,'21.04.01'!$AO$4:$AQ$55,3,FALSE))</f>
        <v>0</v>
      </c>
      <c r="N41" s="4">
        <f>(VLOOKUP('21.04.01'!V41,'21.04.01'!$AO$4:$AQ$55,3,FALSE))</f>
        <v>0</v>
      </c>
      <c r="O41" s="5">
        <f>(VLOOKUP('21.04.01'!W41,'21.04.01'!$AO$4:$AQ$55,3,FALSE))</f>
        <v>0</v>
      </c>
      <c r="P41" s="5">
        <f>(VLOOKUP('21.04.01'!X41,'21.04.01'!$AO$4:$AQ$55,3,FALSE))</f>
        <v>0</v>
      </c>
      <c r="Q41" s="4">
        <f>(VLOOKUP('21.04.01'!Y41,'21.04.01'!$AO$4:$AQ$55,3,FALSE))</f>
        <v>0</v>
      </c>
      <c r="R41" s="4">
        <f>(VLOOKUP('21.04.01'!Z41,'21.04.01'!$AO$4:$AQ$55,3,FALSE))</f>
        <v>0</v>
      </c>
      <c r="S41" s="4">
        <f>(VLOOKUP('21.04.01'!AA41,'21.04.01'!$AO$4:$AQ$55,3,FALSE))</f>
        <v>0</v>
      </c>
      <c r="T41" s="4">
        <f>(VLOOKUP('21.04.01'!AB41,'21.04.01'!$AO$4:$AQ$55,3,FALSE))</f>
        <v>0</v>
      </c>
      <c r="U41" s="4">
        <f>(VLOOKUP('21.04.01'!AC41,'21.04.01'!$AO$4:$AQ$55,3,FALSE))</f>
        <v>0</v>
      </c>
      <c r="V41" s="4">
        <f>(VLOOKUP('21.04.01'!AD41,'21.04.01'!$AO$4:$AQ$55,3,FALSE))</f>
        <v>0</v>
      </c>
      <c r="W41" s="5">
        <f>(VLOOKUP('21.04.01'!AE41,'21.04.01'!$AO$4:$AQ$55,3,FALSE))</f>
        <v>0</v>
      </c>
      <c r="X41" s="5">
        <f>(VLOOKUP('21.04.01'!AF41,'21.04.01'!$AO$4:$AQ$55,3,FALSE))</f>
        <v>0</v>
      </c>
    </row>
    <row r="42" spans="1:24">
      <c r="A42" s="4">
        <f>(VLOOKUP('21.04.01'!I42,'21.04.01'!$AO$4:$AQ$55,3,FALSE))</f>
        <v>55</v>
      </c>
      <c r="B42" s="4">
        <f>(VLOOKUP('21.04.01'!J42,'21.04.01'!$AO$4:$AQ$55,3,FALSE))</f>
        <v>55</v>
      </c>
      <c r="C42" s="4">
        <f>(VLOOKUP('21.04.01'!K42,'21.04.01'!$AO$4:$AQ$55,3,FALSE))</f>
        <v>55</v>
      </c>
      <c r="D42" s="4">
        <f>(VLOOKUP('21.04.01'!L42,'21.04.01'!$AO$4:$AQ$55,3,FALSE))</f>
        <v>55</v>
      </c>
      <c r="E42" s="4">
        <f>(VLOOKUP('21.04.01'!M42,'21.04.01'!$AO$4:$AQ$55,3,FALSE))</f>
        <v>55</v>
      </c>
      <c r="F42" s="4">
        <f>(VLOOKUP('21.04.01'!N42,'21.04.01'!$AO$4:$AQ$55,3,FALSE))</f>
        <v>55</v>
      </c>
      <c r="G42" s="5">
        <f>(VLOOKUP('21.04.01'!O42,'21.04.01'!$AO$4:$AQ$55,3,FALSE))</f>
        <v>0</v>
      </c>
      <c r="H42" s="5">
        <f>(VLOOKUP('21.04.01'!P42,'21.04.01'!$AO$4:$AQ$55,3,FALSE))</f>
        <v>0</v>
      </c>
      <c r="I42" s="4">
        <f>(VLOOKUP('21.04.01'!Q42,'21.04.01'!$AO$4:$AQ$55,3,FALSE))</f>
        <v>0</v>
      </c>
      <c r="J42" s="4">
        <f>(VLOOKUP('21.04.01'!R42,'21.04.01'!$AO$4:$AQ$55,3,FALSE))</f>
        <v>0</v>
      </c>
      <c r="K42" s="4">
        <f>(VLOOKUP('21.04.01'!S42,'21.04.01'!$AO$4:$AQ$55,3,FALSE))</f>
        <v>0</v>
      </c>
      <c r="L42" s="4">
        <f>(VLOOKUP('21.04.01'!T42,'21.04.01'!$AO$4:$AQ$55,3,FALSE))</f>
        <v>0</v>
      </c>
      <c r="M42" s="4">
        <f>(VLOOKUP('21.04.01'!U42,'21.04.01'!$AO$4:$AQ$55,3,FALSE))</f>
        <v>0</v>
      </c>
      <c r="N42" s="4">
        <f>(VLOOKUP('21.04.01'!V42,'21.04.01'!$AO$4:$AQ$55,3,FALSE))</f>
        <v>0</v>
      </c>
      <c r="O42" s="5">
        <f>(VLOOKUP('21.04.01'!W42,'21.04.01'!$AO$4:$AQ$55,3,FALSE))</f>
        <v>0</v>
      </c>
      <c r="P42" s="5">
        <f>(VLOOKUP('21.04.01'!X42,'21.04.01'!$AO$4:$AQ$55,3,FALSE))</f>
        <v>0</v>
      </c>
      <c r="Q42" s="4">
        <f>(VLOOKUP('21.04.01'!Y42,'21.04.01'!$AO$4:$AQ$55,3,FALSE))</f>
        <v>0</v>
      </c>
      <c r="R42" s="4">
        <f>(VLOOKUP('21.04.01'!Z42,'21.04.01'!$AO$4:$AQ$55,3,FALSE))</f>
        <v>0</v>
      </c>
      <c r="S42" s="4">
        <f>(VLOOKUP('21.04.01'!AA42,'21.04.01'!$AO$4:$AQ$55,3,FALSE))</f>
        <v>0</v>
      </c>
      <c r="T42" s="4">
        <f>(VLOOKUP('21.04.01'!AB42,'21.04.01'!$AO$4:$AQ$55,3,FALSE))</f>
        <v>0</v>
      </c>
      <c r="U42" s="4">
        <f>(VLOOKUP('21.04.01'!AC42,'21.04.01'!$AO$4:$AQ$55,3,FALSE))</f>
        <v>0</v>
      </c>
      <c r="V42" s="4">
        <f>(VLOOKUP('21.04.01'!AD42,'21.04.01'!$AO$4:$AQ$55,3,FALSE))</f>
        <v>0</v>
      </c>
      <c r="W42" s="5">
        <f>(VLOOKUP('21.04.01'!AE42,'21.04.01'!$AO$4:$AQ$55,3,FALSE))</f>
        <v>0</v>
      </c>
      <c r="X42" s="5">
        <f>(VLOOKUP('21.04.01'!AF42,'21.04.01'!$AO$4:$AQ$55,3,FALSE))</f>
        <v>0</v>
      </c>
    </row>
    <row r="43" spans="1:24">
      <c r="A43" s="4">
        <f>(VLOOKUP('21.04.01'!I43,'21.04.01'!$AO$4:$AQ$55,3,FALSE))</f>
        <v>55</v>
      </c>
      <c r="B43" s="4">
        <f>(VLOOKUP('21.04.01'!J43,'21.04.01'!$AO$4:$AQ$55,3,FALSE))</f>
        <v>55</v>
      </c>
      <c r="C43" s="4">
        <f>(VLOOKUP('21.04.01'!K43,'21.04.01'!$AO$4:$AQ$55,3,FALSE))</f>
        <v>55</v>
      </c>
      <c r="D43" s="4">
        <f>(VLOOKUP('21.04.01'!L43,'21.04.01'!$AO$4:$AQ$55,3,FALSE))</f>
        <v>60</v>
      </c>
      <c r="E43" s="4">
        <f>(VLOOKUP('21.04.01'!M43,'21.04.01'!$AO$4:$AQ$55,3,FALSE))</f>
        <v>55</v>
      </c>
      <c r="F43" s="4">
        <f>(VLOOKUP('21.04.01'!N43,'21.04.01'!$AO$4:$AQ$55,3,FALSE))</f>
        <v>60</v>
      </c>
      <c r="G43" s="5">
        <f>(VLOOKUP('21.04.01'!O43,'21.04.01'!$AO$4:$AQ$55,3,FALSE))</f>
        <v>0</v>
      </c>
      <c r="H43" s="5">
        <f>(VLOOKUP('21.04.01'!P43,'21.04.01'!$AO$4:$AQ$55,3,FALSE))</f>
        <v>0</v>
      </c>
      <c r="I43" s="4">
        <f>(VLOOKUP('21.04.01'!Q43,'21.04.01'!$AO$4:$AQ$55,3,FALSE))</f>
        <v>0</v>
      </c>
      <c r="J43" s="4">
        <f>(VLOOKUP('21.04.01'!R43,'21.04.01'!$AO$4:$AQ$55,3,FALSE))</f>
        <v>0</v>
      </c>
      <c r="K43" s="4">
        <f>(VLOOKUP('21.04.01'!S43,'21.04.01'!$AO$4:$AQ$55,3,FALSE))</f>
        <v>0</v>
      </c>
      <c r="L43" s="4">
        <f>(VLOOKUP('21.04.01'!T43,'21.04.01'!$AO$4:$AQ$55,3,FALSE))</f>
        <v>0</v>
      </c>
      <c r="M43" s="4">
        <f>(VLOOKUP('21.04.01'!U43,'21.04.01'!$AO$4:$AQ$55,3,FALSE))</f>
        <v>0</v>
      </c>
      <c r="N43" s="4">
        <f>(VLOOKUP('21.04.01'!V43,'21.04.01'!$AO$4:$AQ$55,3,FALSE))</f>
        <v>0</v>
      </c>
      <c r="O43" s="5">
        <f>(VLOOKUP('21.04.01'!W43,'21.04.01'!$AO$4:$AQ$55,3,FALSE))</f>
        <v>0</v>
      </c>
      <c r="P43" s="5">
        <f>(VLOOKUP('21.04.01'!X43,'21.04.01'!$AO$4:$AQ$55,3,FALSE))</f>
        <v>0</v>
      </c>
      <c r="Q43" s="4">
        <f>(VLOOKUP('21.04.01'!Y43,'21.04.01'!$AO$4:$AQ$55,3,FALSE))</f>
        <v>0</v>
      </c>
      <c r="R43" s="4">
        <f>(VLOOKUP('21.04.01'!Z43,'21.04.01'!$AO$4:$AQ$55,3,FALSE))</f>
        <v>0</v>
      </c>
      <c r="S43" s="4">
        <f>(VLOOKUP('21.04.01'!AA43,'21.04.01'!$AO$4:$AQ$55,3,FALSE))</f>
        <v>0</v>
      </c>
      <c r="T43" s="4">
        <f>(VLOOKUP('21.04.01'!AB43,'21.04.01'!$AO$4:$AQ$55,3,FALSE))</f>
        <v>0</v>
      </c>
      <c r="U43" s="4">
        <f>(VLOOKUP('21.04.01'!AC43,'21.04.01'!$AO$4:$AQ$55,3,FALSE))</f>
        <v>0</v>
      </c>
      <c r="V43" s="4">
        <f>(VLOOKUP('21.04.01'!AD43,'21.04.01'!$AO$4:$AQ$55,3,FALSE))</f>
        <v>0</v>
      </c>
      <c r="W43" s="5">
        <f>(VLOOKUP('21.04.01'!AE43,'21.04.01'!$AO$4:$AQ$55,3,FALSE))</f>
        <v>0</v>
      </c>
      <c r="X43" s="5">
        <f>(VLOOKUP('21.04.01'!AF43,'21.04.01'!$AO$4:$AQ$55,3,FALSE))</f>
        <v>0</v>
      </c>
    </row>
    <row r="44" spans="1:24">
      <c r="A44" s="4">
        <f>(VLOOKUP('21.04.01'!I44,'21.04.01'!$AO$4:$AQ$55,3,FALSE))</f>
        <v>55</v>
      </c>
      <c r="B44" s="4">
        <f>(VLOOKUP('21.04.01'!J44,'21.04.01'!$AO$4:$AQ$55,3,FALSE))</f>
        <v>55</v>
      </c>
      <c r="C44" s="4">
        <f>(VLOOKUP('21.04.01'!K44,'21.04.01'!$AO$4:$AQ$55,3,FALSE))</f>
        <v>55</v>
      </c>
      <c r="D44" s="4">
        <f>(VLOOKUP('21.04.01'!L44,'21.04.01'!$AO$4:$AQ$55,3,FALSE))</f>
        <v>55</v>
      </c>
      <c r="E44" s="4">
        <f>(VLOOKUP('21.04.01'!M44,'21.04.01'!$AO$4:$AQ$55,3,FALSE))</f>
        <v>55</v>
      </c>
      <c r="F44" s="4">
        <f>(VLOOKUP('21.04.01'!N44,'21.04.01'!$AO$4:$AQ$55,3,FALSE))</f>
        <v>55</v>
      </c>
      <c r="G44" s="5">
        <f>(VLOOKUP('21.04.01'!O44,'21.04.01'!$AO$4:$AQ$55,3,FALSE))</f>
        <v>0</v>
      </c>
      <c r="H44" s="5">
        <f>(VLOOKUP('21.04.01'!P44,'21.04.01'!$AO$4:$AQ$55,3,FALSE))</f>
        <v>0</v>
      </c>
      <c r="I44" s="4">
        <f>(VLOOKUP('21.04.01'!Q44,'21.04.01'!$AO$4:$AQ$55,3,FALSE))</f>
        <v>0</v>
      </c>
      <c r="J44" s="4">
        <f>(VLOOKUP('21.04.01'!R44,'21.04.01'!$AO$4:$AQ$55,3,FALSE))</f>
        <v>0</v>
      </c>
      <c r="K44" s="4">
        <f>(VLOOKUP('21.04.01'!S44,'21.04.01'!$AO$4:$AQ$55,3,FALSE))</f>
        <v>0</v>
      </c>
      <c r="L44" s="4">
        <f>(VLOOKUP('21.04.01'!T44,'21.04.01'!$AO$4:$AQ$55,3,FALSE))</f>
        <v>0</v>
      </c>
      <c r="M44" s="4">
        <f>(VLOOKUP('21.04.01'!U44,'21.04.01'!$AO$4:$AQ$55,3,FALSE))</f>
        <v>0</v>
      </c>
      <c r="N44" s="4">
        <f>(VLOOKUP('21.04.01'!V44,'21.04.01'!$AO$4:$AQ$55,3,FALSE))</f>
        <v>0</v>
      </c>
      <c r="O44" s="5">
        <f>(VLOOKUP('21.04.01'!W44,'21.04.01'!$AO$4:$AQ$55,3,FALSE))</f>
        <v>0</v>
      </c>
      <c r="P44" s="5">
        <f>(VLOOKUP('21.04.01'!X44,'21.04.01'!$AO$4:$AQ$55,3,FALSE))</f>
        <v>0</v>
      </c>
      <c r="Q44" s="4">
        <f>(VLOOKUP('21.04.01'!Y44,'21.04.01'!$AO$4:$AQ$55,3,FALSE))</f>
        <v>0</v>
      </c>
      <c r="R44" s="4">
        <f>(VLOOKUP('21.04.01'!Z44,'21.04.01'!$AO$4:$AQ$55,3,FALSE))</f>
        <v>0</v>
      </c>
      <c r="S44" s="4">
        <f>(VLOOKUP('21.04.01'!AA44,'21.04.01'!$AO$4:$AQ$55,3,FALSE))</f>
        <v>0</v>
      </c>
      <c r="T44" s="4">
        <f>(VLOOKUP('21.04.01'!AB44,'21.04.01'!$AO$4:$AQ$55,3,FALSE))</f>
        <v>0</v>
      </c>
      <c r="U44" s="4">
        <f>(VLOOKUP('21.04.01'!AC44,'21.04.01'!$AO$4:$AQ$55,3,FALSE))</f>
        <v>0</v>
      </c>
      <c r="V44" s="4">
        <f>(VLOOKUP('21.04.01'!AD44,'21.04.01'!$AO$4:$AQ$55,3,FALSE))</f>
        <v>0</v>
      </c>
      <c r="W44" s="5">
        <f>(VLOOKUP('21.04.01'!AE44,'21.04.01'!$AO$4:$AQ$55,3,FALSE))</f>
        <v>0</v>
      </c>
      <c r="X44" s="5">
        <f>(VLOOKUP('21.04.01'!AF44,'21.04.01'!$AO$4:$AQ$55,3,FALSE))</f>
        <v>0</v>
      </c>
    </row>
    <row r="45" spans="1:24">
      <c r="A45" s="4">
        <f>(VLOOKUP('21.04.01'!I45,'21.04.01'!$AO$4:$AQ$55,3,FALSE))</f>
        <v>55</v>
      </c>
      <c r="B45" s="4">
        <f>(VLOOKUP('21.04.01'!J45,'21.04.01'!$AO$4:$AQ$55,3,FALSE))</f>
        <v>55</v>
      </c>
      <c r="C45" s="4">
        <f>(VLOOKUP('21.04.01'!K45,'21.04.01'!$AO$4:$AQ$55,3,FALSE))</f>
        <v>55</v>
      </c>
      <c r="D45" s="4">
        <f>(VLOOKUP('21.04.01'!L45,'21.04.01'!$AO$4:$AQ$55,3,FALSE))</f>
        <v>55</v>
      </c>
      <c r="E45" s="4">
        <f>(VLOOKUP('21.04.01'!M45,'21.04.01'!$AO$4:$AQ$55,3,FALSE))</f>
        <v>55</v>
      </c>
      <c r="F45" s="4">
        <f>(VLOOKUP('21.04.01'!N45,'21.04.01'!$AO$4:$AQ$55,3,FALSE))</f>
        <v>55</v>
      </c>
      <c r="G45" s="5">
        <f>(VLOOKUP('21.04.01'!O45,'21.04.01'!$AO$4:$AQ$55,3,FALSE))</f>
        <v>0</v>
      </c>
      <c r="H45" s="5">
        <f>(VLOOKUP('21.04.01'!P45,'21.04.01'!$AO$4:$AQ$55,3,FALSE))</f>
        <v>0</v>
      </c>
      <c r="I45" s="4">
        <f>(VLOOKUP('21.04.01'!Q45,'21.04.01'!$AO$4:$AQ$55,3,FALSE))</f>
        <v>0</v>
      </c>
      <c r="J45" s="4">
        <f>(VLOOKUP('21.04.01'!R45,'21.04.01'!$AO$4:$AQ$55,3,FALSE))</f>
        <v>0</v>
      </c>
      <c r="K45" s="4">
        <f>(VLOOKUP('21.04.01'!S45,'21.04.01'!$AO$4:$AQ$55,3,FALSE))</f>
        <v>0</v>
      </c>
      <c r="L45" s="4">
        <f>(VLOOKUP('21.04.01'!T45,'21.04.01'!$AO$4:$AQ$55,3,FALSE))</f>
        <v>0</v>
      </c>
      <c r="M45" s="4">
        <f>(VLOOKUP('21.04.01'!U45,'21.04.01'!$AO$4:$AQ$55,3,FALSE))</f>
        <v>0</v>
      </c>
      <c r="N45" s="4">
        <f>(VLOOKUP('21.04.01'!V45,'21.04.01'!$AO$4:$AQ$55,3,FALSE))</f>
        <v>0</v>
      </c>
      <c r="O45" s="5">
        <f>(VLOOKUP('21.04.01'!W45,'21.04.01'!$AO$4:$AQ$55,3,FALSE))</f>
        <v>0</v>
      </c>
      <c r="P45" s="5">
        <f>(VLOOKUP('21.04.01'!X45,'21.04.01'!$AO$4:$AQ$55,3,FALSE))</f>
        <v>0</v>
      </c>
      <c r="Q45" s="4">
        <f>(VLOOKUP('21.04.01'!Y45,'21.04.01'!$AO$4:$AQ$55,3,FALSE))</f>
        <v>0</v>
      </c>
      <c r="R45" s="4">
        <f>(VLOOKUP('21.04.01'!Z45,'21.04.01'!$AO$4:$AQ$55,3,FALSE))</f>
        <v>0</v>
      </c>
      <c r="S45" s="4">
        <f>(VLOOKUP('21.04.01'!AA45,'21.04.01'!$AO$4:$AQ$55,3,FALSE))</f>
        <v>0</v>
      </c>
      <c r="T45" s="4">
        <f>(VLOOKUP('21.04.01'!AB45,'21.04.01'!$AO$4:$AQ$55,3,FALSE))</f>
        <v>0</v>
      </c>
      <c r="U45" s="4">
        <f>(VLOOKUP('21.04.01'!AC45,'21.04.01'!$AO$4:$AQ$55,3,FALSE))</f>
        <v>0</v>
      </c>
      <c r="V45" s="4">
        <f>(VLOOKUP('21.04.01'!AD45,'21.04.01'!$AO$4:$AQ$55,3,FALSE))</f>
        <v>0</v>
      </c>
      <c r="W45" s="5">
        <f>(VLOOKUP('21.04.01'!AE45,'21.04.01'!$AO$4:$AQ$55,3,FALSE))</f>
        <v>0</v>
      </c>
      <c r="X45" s="5">
        <f>(VLOOKUP('21.04.01'!AF45,'21.04.01'!$AO$4:$AQ$55,3,FALSE))</f>
        <v>0</v>
      </c>
    </row>
    <row r="46" spans="1:24">
      <c r="A46" s="4">
        <f>(VLOOKUP('21.04.01'!I46,'21.04.01'!$AO$4:$AQ$55,3,FALSE))</f>
        <v>55</v>
      </c>
      <c r="B46" s="4">
        <f>(VLOOKUP('21.04.01'!J46,'21.04.01'!$AO$4:$AQ$55,3,FALSE))</f>
        <v>55</v>
      </c>
      <c r="C46" s="4">
        <f>(VLOOKUP('21.04.01'!K46,'21.04.01'!$AO$4:$AQ$55,3,FALSE))</f>
        <v>55</v>
      </c>
      <c r="D46" s="4">
        <f>(VLOOKUP('21.04.01'!L46,'21.04.01'!$AO$4:$AQ$55,3,FALSE))</f>
        <v>55</v>
      </c>
      <c r="E46" s="4">
        <f>(VLOOKUP('21.04.01'!M46,'21.04.01'!$AO$4:$AQ$55,3,FALSE))</f>
        <v>40</v>
      </c>
      <c r="F46" s="4">
        <f>(VLOOKUP('21.04.01'!N46,'21.04.01'!$AO$4:$AQ$55,3,FALSE))</f>
        <v>55</v>
      </c>
      <c r="G46" s="5">
        <f>(VLOOKUP('21.04.01'!O46,'21.04.01'!$AO$4:$AQ$55,3,FALSE))</f>
        <v>0</v>
      </c>
      <c r="H46" s="5">
        <f>(VLOOKUP('21.04.01'!P46,'21.04.01'!$AO$4:$AQ$55,3,FALSE))</f>
        <v>0</v>
      </c>
      <c r="I46" s="4">
        <f>(VLOOKUP('21.04.01'!Q46,'21.04.01'!$AO$4:$AQ$55,3,FALSE))</f>
        <v>0</v>
      </c>
      <c r="J46" s="4">
        <f>(VLOOKUP('21.04.01'!R46,'21.04.01'!$AO$4:$AQ$55,3,FALSE))</f>
        <v>0</v>
      </c>
      <c r="K46" s="4">
        <f>(VLOOKUP('21.04.01'!S46,'21.04.01'!$AO$4:$AQ$55,3,FALSE))</f>
        <v>0</v>
      </c>
      <c r="L46" s="4">
        <f>(VLOOKUP('21.04.01'!T46,'21.04.01'!$AO$4:$AQ$55,3,FALSE))</f>
        <v>0</v>
      </c>
      <c r="M46" s="4">
        <f>(VLOOKUP('21.04.01'!U46,'21.04.01'!$AO$4:$AQ$55,3,FALSE))</f>
        <v>0</v>
      </c>
      <c r="N46" s="4">
        <f>(VLOOKUP('21.04.01'!V46,'21.04.01'!$AO$4:$AQ$55,3,FALSE))</f>
        <v>0</v>
      </c>
      <c r="O46" s="5">
        <f>(VLOOKUP('21.04.01'!W46,'21.04.01'!$AO$4:$AQ$55,3,FALSE))</f>
        <v>0</v>
      </c>
      <c r="P46" s="5">
        <f>(VLOOKUP('21.04.01'!X46,'21.04.01'!$AO$4:$AQ$55,3,FALSE))</f>
        <v>0</v>
      </c>
      <c r="Q46" s="4">
        <f>(VLOOKUP('21.04.01'!Y46,'21.04.01'!$AO$4:$AQ$55,3,FALSE))</f>
        <v>0</v>
      </c>
      <c r="R46" s="4">
        <f>(VLOOKUP('21.04.01'!Z46,'21.04.01'!$AO$4:$AQ$55,3,FALSE))</f>
        <v>0</v>
      </c>
      <c r="S46" s="4">
        <f>(VLOOKUP('21.04.01'!AA46,'21.04.01'!$AO$4:$AQ$55,3,FALSE))</f>
        <v>0</v>
      </c>
      <c r="T46" s="4">
        <f>(VLOOKUP('21.04.01'!AB46,'21.04.01'!$AO$4:$AQ$55,3,FALSE))</f>
        <v>0</v>
      </c>
      <c r="U46" s="4">
        <f>(VLOOKUP('21.04.01'!AC46,'21.04.01'!$AO$4:$AQ$55,3,FALSE))</f>
        <v>0</v>
      </c>
      <c r="V46" s="4">
        <f>(VLOOKUP('21.04.01'!AD46,'21.04.01'!$AO$4:$AQ$55,3,FALSE))</f>
        <v>0</v>
      </c>
      <c r="W46" s="5">
        <f>(VLOOKUP('21.04.01'!AE46,'21.04.01'!$AO$4:$AQ$55,3,FALSE))</f>
        <v>0</v>
      </c>
      <c r="X46" s="5">
        <f>(VLOOKUP('21.04.01'!AF46,'21.04.01'!$AO$4:$AQ$55,3,FALSE))</f>
        <v>0</v>
      </c>
    </row>
    <row r="47" spans="1:24">
      <c r="A47" s="4">
        <f>(VLOOKUP('21.04.01'!I47,'21.04.01'!$AO$4:$AQ$55,3,FALSE))</f>
        <v>55</v>
      </c>
      <c r="B47" s="4">
        <f>(VLOOKUP('21.04.01'!J47,'21.04.01'!$AO$4:$AQ$55,3,FALSE))</f>
        <v>520</v>
      </c>
      <c r="C47" s="4">
        <f>(VLOOKUP('21.04.01'!K47,'21.04.01'!$AO$4:$AQ$55,3,FALSE))</f>
        <v>55</v>
      </c>
      <c r="D47" s="4">
        <f>(VLOOKUP('21.04.01'!L47,'21.04.01'!$AO$4:$AQ$55,3,FALSE))</f>
        <v>55</v>
      </c>
      <c r="E47" s="4">
        <f>(VLOOKUP('21.04.01'!M47,'21.04.01'!$AO$4:$AQ$55,3,FALSE))</f>
        <v>55</v>
      </c>
      <c r="F47" s="4">
        <f>(VLOOKUP('21.04.01'!N47,'21.04.01'!$AO$4:$AQ$55,3,FALSE))</f>
        <v>60</v>
      </c>
      <c r="G47" s="5">
        <f>(VLOOKUP('21.04.01'!O47,'21.04.01'!$AO$4:$AQ$55,3,FALSE))</f>
        <v>0</v>
      </c>
      <c r="H47" s="5">
        <f>(VLOOKUP('21.04.01'!P47,'21.04.01'!$AO$4:$AQ$55,3,FALSE))</f>
        <v>0</v>
      </c>
      <c r="I47" s="4">
        <f>(VLOOKUP('21.04.01'!Q47,'21.04.01'!$AO$4:$AQ$55,3,FALSE))</f>
        <v>0</v>
      </c>
      <c r="J47" s="4">
        <f>(VLOOKUP('21.04.01'!R47,'21.04.01'!$AO$4:$AQ$55,3,FALSE))</f>
        <v>0</v>
      </c>
      <c r="K47" s="4">
        <f>(VLOOKUP('21.04.01'!S47,'21.04.01'!$AO$4:$AQ$55,3,FALSE))</f>
        <v>0</v>
      </c>
      <c r="L47" s="4">
        <f>(VLOOKUP('21.04.01'!T47,'21.04.01'!$AO$4:$AQ$55,3,FALSE))</f>
        <v>0</v>
      </c>
      <c r="M47" s="4">
        <f>(VLOOKUP('21.04.01'!U47,'21.04.01'!$AO$4:$AQ$55,3,FALSE))</f>
        <v>0</v>
      </c>
      <c r="N47" s="4">
        <f>(VLOOKUP('21.04.01'!V47,'21.04.01'!$AO$4:$AQ$55,3,FALSE))</f>
        <v>0</v>
      </c>
      <c r="O47" s="5">
        <f>(VLOOKUP('21.04.01'!W47,'21.04.01'!$AO$4:$AQ$55,3,FALSE))</f>
        <v>0</v>
      </c>
      <c r="P47" s="5">
        <f>(VLOOKUP('21.04.01'!X47,'21.04.01'!$AO$4:$AQ$55,3,FALSE))</f>
        <v>0</v>
      </c>
      <c r="Q47" s="4">
        <f>(VLOOKUP('21.04.01'!Y47,'21.04.01'!$AO$4:$AQ$55,3,FALSE))</f>
        <v>0</v>
      </c>
      <c r="R47" s="4">
        <f>(VLOOKUP('21.04.01'!Z47,'21.04.01'!$AO$4:$AQ$55,3,FALSE))</f>
        <v>0</v>
      </c>
      <c r="S47" s="4">
        <f>(VLOOKUP('21.04.01'!AA47,'21.04.01'!$AO$4:$AQ$55,3,FALSE))</f>
        <v>0</v>
      </c>
      <c r="T47" s="4">
        <f>(VLOOKUP('21.04.01'!AB47,'21.04.01'!$AO$4:$AQ$55,3,FALSE))</f>
        <v>0</v>
      </c>
      <c r="U47" s="4">
        <f>(VLOOKUP('21.04.01'!AC47,'21.04.01'!$AO$4:$AQ$55,3,FALSE))</f>
        <v>0</v>
      </c>
      <c r="V47" s="4">
        <f>(VLOOKUP('21.04.01'!AD47,'21.04.01'!$AO$4:$AQ$55,3,FALSE))</f>
        <v>0</v>
      </c>
      <c r="W47" s="5">
        <f>(VLOOKUP('21.04.01'!AE47,'21.04.01'!$AO$4:$AQ$55,3,FALSE))</f>
        <v>0</v>
      </c>
      <c r="X47" s="5">
        <f>(VLOOKUP('21.04.01'!AF47,'21.04.01'!$AO$4:$AQ$55,3,FALSE))</f>
        <v>0</v>
      </c>
    </row>
    <row r="48" spans="1:24">
      <c r="A48" s="4">
        <f>(VLOOKUP('21.04.01'!I48,'21.04.01'!$AO$4:$AQ$55,3,FALSE))</f>
        <v>55</v>
      </c>
      <c r="B48" s="4">
        <f>(VLOOKUP('21.04.01'!J48,'21.04.01'!$AO$4:$AQ$55,3,FALSE))</f>
        <v>55</v>
      </c>
      <c r="C48" s="4">
        <f>(VLOOKUP('21.04.01'!K48,'21.04.01'!$AO$4:$AQ$55,3,FALSE))</f>
        <v>55</v>
      </c>
      <c r="D48" s="4">
        <f>(VLOOKUP('21.04.01'!L48,'21.04.01'!$AO$4:$AQ$55,3,FALSE))</f>
        <v>55</v>
      </c>
      <c r="E48" s="4">
        <f>(VLOOKUP('21.04.01'!M48,'21.04.01'!$AO$4:$AQ$55,3,FALSE))</f>
        <v>55</v>
      </c>
      <c r="F48" s="4">
        <f>(VLOOKUP('21.04.01'!N48,'21.04.01'!$AO$4:$AQ$55,3,FALSE))</f>
        <v>55</v>
      </c>
      <c r="G48" s="5">
        <f>(VLOOKUP('21.04.01'!O48,'21.04.01'!$AO$4:$AQ$55,3,FALSE))</f>
        <v>0</v>
      </c>
      <c r="H48" s="5">
        <f>(VLOOKUP('21.04.01'!P48,'21.04.01'!$AO$4:$AQ$55,3,FALSE))</f>
        <v>0</v>
      </c>
      <c r="I48" s="4">
        <f>(VLOOKUP('21.04.01'!Q48,'21.04.01'!$AO$4:$AQ$55,3,FALSE))</f>
        <v>0</v>
      </c>
      <c r="J48" s="4">
        <f>(VLOOKUP('21.04.01'!R48,'21.04.01'!$AO$4:$AQ$55,3,FALSE))</f>
        <v>0</v>
      </c>
      <c r="K48" s="4">
        <f>(VLOOKUP('21.04.01'!S48,'21.04.01'!$AO$4:$AQ$55,3,FALSE))</f>
        <v>0</v>
      </c>
      <c r="L48" s="4">
        <f>(VLOOKUP('21.04.01'!T48,'21.04.01'!$AO$4:$AQ$55,3,FALSE))</f>
        <v>0</v>
      </c>
      <c r="M48" s="4">
        <f>(VLOOKUP('21.04.01'!U48,'21.04.01'!$AO$4:$AQ$55,3,FALSE))</f>
        <v>0</v>
      </c>
      <c r="N48" s="4">
        <f>(VLOOKUP('21.04.01'!V48,'21.04.01'!$AO$4:$AQ$55,3,FALSE))</f>
        <v>0</v>
      </c>
      <c r="O48" s="5">
        <f>(VLOOKUP('21.04.01'!W48,'21.04.01'!$AO$4:$AQ$55,3,FALSE))</f>
        <v>0</v>
      </c>
      <c r="P48" s="5">
        <f>(VLOOKUP('21.04.01'!X48,'21.04.01'!$AO$4:$AQ$55,3,FALSE))</f>
        <v>0</v>
      </c>
      <c r="Q48" s="4">
        <f>(VLOOKUP('21.04.01'!Y48,'21.04.01'!$AO$4:$AQ$55,3,FALSE))</f>
        <v>0</v>
      </c>
      <c r="R48" s="4">
        <f>(VLOOKUP('21.04.01'!Z48,'21.04.01'!$AO$4:$AQ$55,3,FALSE))</f>
        <v>0</v>
      </c>
      <c r="S48" s="4">
        <f>(VLOOKUP('21.04.01'!AA48,'21.04.01'!$AO$4:$AQ$55,3,FALSE))</f>
        <v>0</v>
      </c>
      <c r="T48" s="4">
        <f>(VLOOKUP('21.04.01'!AB48,'21.04.01'!$AO$4:$AQ$55,3,FALSE))</f>
        <v>0</v>
      </c>
      <c r="U48" s="4">
        <f>(VLOOKUP('21.04.01'!AC48,'21.04.01'!$AO$4:$AQ$55,3,FALSE))</f>
        <v>0</v>
      </c>
      <c r="V48" s="4">
        <f>(VLOOKUP('21.04.01'!AD48,'21.04.01'!$AO$4:$AQ$55,3,FALSE))</f>
        <v>0</v>
      </c>
      <c r="W48" s="5">
        <f>(VLOOKUP('21.04.01'!AE48,'21.04.01'!$AO$4:$AQ$55,3,FALSE))</f>
        <v>0</v>
      </c>
      <c r="X48" s="5">
        <f>(VLOOKUP('21.04.01'!AF48,'21.04.01'!$AO$4:$AQ$55,3,FALSE))</f>
        <v>0</v>
      </c>
    </row>
    <row r="49" spans="1:24">
      <c r="A49" s="4">
        <f>(VLOOKUP('21.04.01'!I49,'21.04.01'!$AO$4:$AQ$55,3,FALSE))</f>
        <v>55</v>
      </c>
      <c r="B49" s="4">
        <f>(VLOOKUP('21.04.01'!J49,'21.04.01'!$AO$4:$AQ$55,3,FALSE))</f>
        <v>55</v>
      </c>
      <c r="C49" s="4">
        <f>(VLOOKUP('21.04.01'!K49,'21.04.01'!$AO$4:$AQ$55,3,FALSE))</f>
        <v>30</v>
      </c>
      <c r="D49" s="4">
        <f>(VLOOKUP('21.04.01'!L49,'21.04.01'!$AO$4:$AQ$55,3,FALSE))</f>
        <v>55</v>
      </c>
      <c r="E49" s="4">
        <f>(VLOOKUP('21.04.01'!M49,'21.04.01'!$AO$4:$AQ$55,3,FALSE))</f>
        <v>55</v>
      </c>
      <c r="F49" s="4">
        <f>(VLOOKUP('21.04.01'!N49,'21.04.01'!$AO$4:$AQ$55,3,FALSE))</f>
        <v>55</v>
      </c>
      <c r="G49" s="5">
        <f>(VLOOKUP('21.04.01'!O49,'21.04.01'!$AO$4:$AQ$55,3,FALSE))</f>
        <v>60</v>
      </c>
      <c r="H49" s="5">
        <f>(VLOOKUP('21.04.01'!P49,'21.04.01'!$AO$4:$AQ$55,3,FALSE))</f>
        <v>0</v>
      </c>
      <c r="I49" s="4">
        <f>(VLOOKUP('21.04.01'!Q49,'21.04.01'!$AO$4:$AQ$55,3,FALSE))</f>
        <v>0</v>
      </c>
      <c r="J49" s="4">
        <f>(VLOOKUP('21.04.01'!R49,'21.04.01'!$AO$4:$AQ$55,3,FALSE))</f>
        <v>0</v>
      </c>
      <c r="K49" s="4">
        <f>(VLOOKUP('21.04.01'!S49,'21.04.01'!$AO$4:$AQ$55,3,FALSE))</f>
        <v>0</v>
      </c>
      <c r="L49" s="4">
        <f>(VLOOKUP('21.04.01'!T49,'21.04.01'!$AO$4:$AQ$55,3,FALSE))</f>
        <v>0</v>
      </c>
      <c r="M49" s="4">
        <f>(VLOOKUP('21.04.01'!U49,'21.04.01'!$AO$4:$AQ$55,3,FALSE))</f>
        <v>0</v>
      </c>
      <c r="N49" s="4">
        <f>(VLOOKUP('21.04.01'!V49,'21.04.01'!$AO$4:$AQ$55,3,FALSE))</f>
        <v>0</v>
      </c>
      <c r="O49" s="5">
        <f>(VLOOKUP('21.04.01'!W49,'21.04.01'!$AO$4:$AQ$55,3,FALSE))</f>
        <v>0</v>
      </c>
      <c r="P49" s="5">
        <f>(VLOOKUP('21.04.01'!X49,'21.04.01'!$AO$4:$AQ$55,3,FALSE))</f>
        <v>0</v>
      </c>
      <c r="Q49" s="4">
        <f>(VLOOKUP('21.04.01'!Y49,'21.04.01'!$AO$4:$AQ$55,3,FALSE))</f>
        <v>0</v>
      </c>
      <c r="R49" s="4">
        <f>(VLOOKUP('21.04.01'!Z49,'21.04.01'!$AO$4:$AQ$55,3,FALSE))</f>
        <v>0</v>
      </c>
      <c r="S49" s="4">
        <f>(VLOOKUP('21.04.01'!AA49,'21.04.01'!$AO$4:$AQ$55,3,FALSE))</f>
        <v>0</v>
      </c>
      <c r="T49" s="4">
        <f>(VLOOKUP('21.04.01'!AB49,'21.04.01'!$AO$4:$AQ$55,3,FALSE))</f>
        <v>0</v>
      </c>
      <c r="U49" s="4">
        <f>(VLOOKUP('21.04.01'!AC49,'21.04.01'!$AO$4:$AQ$55,3,FALSE))</f>
        <v>0</v>
      </c>
      <c r="V49" s="4">
        <f>(VLOOKUP('21.04.01'!AD49,'21.04.01'!$AO$4:$AQ$55,3,FALSE))</f>
        <v>0</v>
      </c>
      <c r="W49" s="5">
        <f>(VLOOKUP('21.04.01'!AE49,'21.04.01'!$AO$4:$AQ$55,3,FALSE))</f>
        <v>0</v>
      </c>
      <c r="X49" s="5">
        <f>(VLOOKUP('21.04.01'!AF49,'21.04.01'!$AO$4:$AQ$55,3,FALSE))</f>
        <v>0</v>
      </c>
    </row>
    <row r="50" spans="1:24">
      <c r="A50" s="4">
        <f>(VLOOKUP('21.04.01'!I50,'21.04.01'!$AO$4:$AQ$55,3,FALSE))</f>
        <v>0</v>
      </c>
      <c r="B50" s="4">
        <f>(VLOOKUP('21.04.01'!J50,'21.04.01'!$AO$4:$AQ$55,3,FALSE))</f>
        <v>0</v>
      </c>
      <c r="C50" s="4">
        <f>(VLOOKUP('21.04.01'!K50,'21.04.01'!$AO$4:$AQ$55,3,FALSE))</f>
        <v>0</v>
      </c>
      <c r="D50" s="4">
        <f>(VLOOKUP('21.04.01'!L50,'21.04.01'!$AO$4:$AQ$55,3,FALSE))</f>
        <v>0</v>
      </c>
      <c r="E50" s="4">
        <f>(VLOOKUP('21.04.01'!M50,'21.04.01'!$AO$4:$AQ$55,3,FALSE))</f>
        <v>0</v>
      </c>
      <c r="F50" s="4">
        <f>(VLOOKUP('21.04.01'!N50,'21.04.01'!$AO$4:$AQ$55,3,FALSE))</f>
        <v>0</v>
      </c>
      <c r="G50" s="5">
        <f>(VLOOKUP('21.04.01'!O50,'21.04.01'!$AO$4:$AQ$55,3,FALSE))</f>
        <v>0</v>
      </c>
      <c r="H50" s="5">
        <f>(VLOOKUP('21.04.01'!P50,'21.04.01'!$AO$4:$AQ$55,3,FALSE))</f>
        <v>0</v>
      </c>
      <c r="I50" s="4">
        <f>(VLOOKUP('21.04.01'!Q50,'21.04.01'!$AO$4:$AQ$55,3,FALSE))</f>
        <v>0</v>
      </c>
      <c r="J50" s="4">
        <f>(VLOOKUP('21.04.01'!R50,'21.04.01'!$AO$4:$AQ$55,3,FALSE))</f>
        <v>0</v>
      </c>
      <c r="K50" s="4">
        <f>(VLOOKUP('21.04.01'!S50,'21.04.01'!$AO$4:$AQ$55,3,FALSE))</f>
        <v>0</v>
      </c>
      <c r="L50" s="4">
        <f>(VLOOKUP('21.04.01'!T50,'21.04.01'!$AO$4:$AQ$55,3,FALSE))</f>
        <v>0</v>
      </c>
      <c r="M50" s="4">
        <f>(VLOOKUP('21.04.01'!U50,'21.04.01'!$AO$4:$AQ$55,3,FALSE))</f>
        <v>0</v>
      </c>
      <c r="N50" s="4">
        <f>(VLOOKUP('21.04.01'!V50,'21.04.01'!$AO$4:$AQ$55,3,FALSE))</f>
        <v>0</v>
      </c>
      <c r="O50" s="5">
        <f>(VLOOKUP('21.04.01'!W50,'21.04.01'!$AO$4:$AQ$55,3,FALSE))</f>
        <v>0</v>
      </c>
      <c r="P50" s="5">
        <f>(VLOOKUP('21.04.01'!X50,'21.04.01'!$AO$4:$AQ$55,3,FALSE))</f>
        <v>0</v>
      </c>
      <c r="Q50" s="4">
        <f>(VLOOKUP('21.04.01'!Y50,'21.04.01'!$AO$4:$AQ$55,3,FALSE))</f>
        <v>0</v>
      </c>
      <c r="R50" s="4">
        <f>(VLOOKUP('21.04.01'!Z50,'21.04.01'!$AO$4:$AQ$55,3,FALSE))</f>
        <v>0</v>
      </c>
      <c r="S50" s="4">
        <f>(VLOOKUP('21.04.01'!AA50,'21.04.01'!$AO$4:$AQ$55,3,FALSE))</f>
        <v>0</v>
      </c>
      <c r="T50" s="4">
        <f>(VLOOKUP('21.04.01'!AB50,'21.04.01'!$AO$4:$AQ$55,3,FALSE))</f>
        <v>0</v>
      </c>
      <c r="U50" s="4">
        <f>(VLOOKUP('21.04.01'!AC50,'21.04.01'!$AO$4:$AQ$55,3,FALSE))</f>
        <v>0</v>
      </c>
      <c r="V50" s="4">
        <f>(VLOOKUP('21.04.01'!AD50,'21.04.01'!$AO$4:$AQ$55,3,FALSE))</f>
        <v>0</v>
      </c>
      <c r="W50" s="5">
        <f>(VLOOKUP('21.04.01'!AE50,'21.04.01'!$AO$4:$AQ$55,3,FALSE))</f>
        <v>0</v>
      </c>
      <c r="X50" s="5">
        <f>(VLOOKUP('21.04.01'!AF50,'21.04.01'!$AO$4:$AQ$55,3,FALSE))</f>
        <v>0</v>
      </c>
    </row>
    <row r="51" spans="1:24">
      <c r="A51" s="4">
        <f>(VLOOKUP('21.04.01'!I51,'21.04.01'!$AO$4:$AQ$55,3,FALSE))</f>
        <v>0</v>
      </c>
      <c r="B51" s="4">
        <f>(VLOOKUP('21.04.01'!J51,'21.04.01'!$AO$4:$AQ$55,3,FALSE))</f>
        <v>0</v>
      </c>
      <c r="C51" s="4">
        <f>(VLOOKUP('21.04.01'!K51,'21.04.01'!$AO$4:$AQ$55,3,FALSE))</f>
        <v>0</v>
      </c>
      <c r="D51" s="4">
        <f>(VLOOKUP('21.04.01'!L51,'21.04.01'!$AO$4:$AQ$55,3,FALSE))</f>
        <v>0</v>
      </c>
      <c r="E51" s="4">
        <f>(VLOOKUP('21.04.01'!M51,'21.04.01'!$AO$4:$AQ$55,3,FALSE))</f>
        <v>0</v>
      </c>
      <c r="F51" s="4">
        <f>(VLOOKUP('21.04.01'!N51,'21.04.01'!$AO$4:$AQ$55,3,FALSE))</f>
        <v>0</v>
      </c>
      <c r="G51" s="5">
        <f>(VLOOKUP('21.04.01'!O51,'21.04.01'!$AO$4:$AQ$55,3,FALSE))</f>
        <v>0</v>
      </c>
      <c r="H51" s="5">
        <f>(VLOOKUP('21.04.01'!P51,'21.04.01'!$AO$4:$AQ$55,3,FALSE))</f>
        <v>0</v>
      </c>
      <c r="I51" s="4">
        <f>(VLOOKUP('21.04.01'!Q51,'21.04.01'!$AO$4:$AQ$55,3,FALSE))</f>
        <v>0</v>
      </c>
      <c r="J51" s="4">
        <f>(VLOOKUP('21.04.01'!R51,'21.04.01'!$AO$4:$AQ$55,3,FALSE))</f>
        <v>0</v>
      </c>
      <c r="K51" s="4">
        <f>(VLOOKUP('21.04.01'!S51,'21.04.01'!$AO$4:$AQ$55,3,FALSE))</f>
        <v>0</v>
      </c>
      <c r="L51" s="4">
        <f>(VLOOKUP('21.04.01'!T51,'21.04.01'!$AO$4:$AQ$55,3,FALSE))</f>
        <v>0</v>
      </c>
      <c r="M51" s="4">
        <f>(VLOOKUP('21.04.01'!U51,'21.04.01'!$AO$4:$AQ$55,3,FALSE))</f>
        <v>0</v>
      </c>
      <c r="N51" s="4">
        <f>(VLOOKUP('21.04.01'!V51,'21.04.01'!$AO$4:$AQ$55,3,FALSE))</f>
        <v>0</v>
      </c>
      <c r="O51" s="5">
        <f>(VLOOKUP('21.04.01'!W51,'21.04.01'!$AO$4:$AQ$55,3,FALSE))</f>
        <v>0</v>
      </c>
      <c r="P51" s="5">
        <f>(VLOOKUP('21.04.01'!X51,'21.04.01'!$AO$4:$AQ$55,3,FALSE))</f>
        <v>0</v>
      </c>
      <c r="Q51" s="4">
        <f>(VLOOKUP('21.04.01'!Y51,'21.04.01'!$AO$4:$AQ$55,3,FALSE))</f>
        <v>0</v>
      </c>
      <c r="R51" s="4">
        <f>(VLOOKUP('21.04.01'!Z51,'21.04.01'!$AO$4:$AQ$55,3,FALSE))</f>
        <v>0</v>
      </c>
      <c r="S51" s="4">
        <f>(VLOOKUP('21.04.01'!AA51,'21.04.01'!$AO$4:$AQ$55,3,FALSE))</f>
        <v>0</v>
      </c>
      <c r="T51" s="4">
        <f>(VLOOKUP('21.04.01'!AB51,'21.04.01'!$AO$4:$AQ$55,3,FALSE))</f>
        <v>0</v>
      </c>
      <c r="U51" s="4">
        <f>(VLOOKUP('21.04.01'!AC51,'21.04.01'!$AO$4:$AQ$55,3,FALSE))</f>
        <v>0</v>
      </c>
      <c r="V51" s="4">
        <f>(VLOOKUP('21.04.01'!AD51,'21.04.01'!$AO$4:$AQ$55,3,FALSE))</f>
        <v>0</v>
      </c>
      <c r="W51" s="5">
        <f>(VLOOKUP('21.04.01'!AE51,'21.04.01'!$AO$4:$AQ$55,3,FALSE))</f>
        <v>0</v>
      </c>
      <c r="X51" s="5">
        <f>(VLOOKUP('21.04.01'!AF51,'21.04.01'!$AO$4:$AQ$55,3,FALSE))</f>
        <v>0</v>
      </c>
    </row>
    <row r="52" spans="1:24">
      <c r="A52" s="4">
        <f>(VLOOKUP('21.04.01'!I52,'21.04.01'!$AO$4:$AQ$55,3,FALSE))</f>
        <v>0</v>
      </c>
      <c r="B52" s="4">
        <f>(VLOOKUP('21.04.01'!J52,'21.04.01'!$AO$4:$AQ$55,3,FALSE))</f>
        <v>0</v>
      </c>
      <c r="C52" s="4">
        <f>(VLOOKUP('21.04.01'!K52,'21.04.01'!$AO$4:$AQ$55,3,FALSE))</f>
        <v>0</v>
      </c>
      <c r="D52" s="4">
        <f>(VLOOKUP('21.04.01'!L52,'21.04.01'!$AO$4:$AQ$55,3,FALSE))</f>
        <v>0</v>
      </c>
      <c r="E52" s="4">
        <f>(VLOOKUP('21.04.01'!M52,'21.04.01'!$AO$4:$AQ$55,3,FALSE))</f>
        <v>0</v>
      </c>
      <c r="F52" s="4">
        <f>(VLOOKUP('21.04.01'!N52,'21.04.01'!$AO$4:$AQ$55,3,FALSE))</f>
        <v>0</v>
      </c>
      <c r="G52" s="5">
        <f>(VLOOKUP('21.04.01'!O52,'21.04.01'!$AO$4:$AQ$55,3,FALSE))</f>
        <v>0</v>
      </c>
      <c r="H52" s="5">
        <f>(VLOOKUP('21.04.01'!P52,'21.04.01'!$AO$4:$AQ$55,3,FALSE))</f>
        <v>0</v>
      </c>
      <c r="I52" s="4">
        <f>(VLOOKUP('21.04.01'!Q52,'21.04.01'!$AO$4:$AQ$55,3,FALSE))</f>
        <v>0</v>
      </c>
      <c r="J52" s="4">
        <f>(VLOOKUP('21.04.01'!R52,'21.04.01'!$AO$4:$AQ$55,3,FALSE))</f>
        <v>0</v>
      </c>
      <c r="K52" s="4">
        <f>(VLOOKUP('21.04.01'!S52,'21.04.01'!$AO$4:$AQ$55,3,FALSE))</f>
        <v>0</v>
      </c>
      <c r="L52" s="4">
        <f>(VLOOKUP('21.04.01'!T52,'21.04.01'!$AO$4:$AQ$55,3,FALSE))</f>
        <v>0</v>
      </c>
      <c r="M52" s="4">
        <f>(VLOOKUP('21.04.01'!U52,'21.04.01'!$AO$4:$AQ$55,3,FALSE))</f>
        <v>0</v>
      </c>
      <c r="N52" s="4">
        <f>(VLOOKUP('21.04.01'!V52,'21.04.01'!$AO$4:$AQ$55,3,FALSE))</f>
        <v>0</v>
      </c>
      <c r="O52" s="5">
        <f>(VLOOKUP('21.04.01'!W52,'21.04.01'!$AO$4:$AQ$55,3,FALSE))</f>
        <v>0</v>
      </c>
      <c r="P52" s="5">
        <f>(VLOOKUP('21.04.01'!X52,'21.04.01'!$AO$4:$AQ$55,3,FALSE))</f>
        <v>0</v>
      </c>
      <c r="Q52" s="4">
        <f>(VLOOKUP('21.04.01'!Y52,'21.04.01'!$AO$4:$AQ$55,3,FALSE))</f>
        <v>0</v>
      </c>
      <c r="R52" s="4">
        <f>(VLOOKUP('21.04.01'!Z52,'21.04.01'!$AO$4:$AQ$55,3,FALSE))</f>
        <v>0</v>
      </c>
      <c r="S52" s="4">
        <f>(VLOOKUP('21.04.01'!AA52,'21.04.01'!$AO$4:$AQ$55,3,FALSE))</f>
        <v>0</v>
      </c>
      <c r="T52" s="4">
        <f>(VLOOKUP('21.04.01'!AB52,'21.04.01'!$AO$4:$AQ$55,3,FALSE))</f>
        <v>0</v>
      </c>
      <c r="U52" s="4">
        <f>(VLOOKUP('21.04.01'!AC52,'21.04.01'!$AO$4:$AQ$55,3,FALSE))</f>
        <v>0</v>
      </c>
      <c r="V52" s="4">
        <f>(VLOOKUP('21.04.01'!AD52,'21.04.01'!$AO$4:$AQ$55,3,FALSE))</f>
        <v>0</v>
      </c>
      <c r="W52" s="5">
        <f>(VLOOKUP('21.04.01'!AE52,'21.04.01'!$AO$4:$AQ$55,3,FALSE))</f>
        <v>0</v>
      </c>
      <c r="X52" s="5">
        <f>(VLOOKUP('21.04.01'!AF52,'21.04.01'!$AO$4:$AQ$55,3,FALSE))</f>
        <v>0</v>
      </c>
    </row>
    <row r="53" spans="1:24">
      <c r="A53" s="4">
        <f>(VLOOKUP('21.04.01'!I53,'21.04.01'!$AO$4:$AQ$55,3,FALSE))</f>
        <v>0</v>
      </c>
      <c r="B53" s="4">
        <f>(VLOOKUP('21.04.01'!J53,'21.04.01'!$AO$4:$AQ$55,3,FALSE))</f>
        <v>0</v>
      </c>
      <c r="C53" s="4">
        <f>(VLOOKUP('21.04.01'!K53,'21.04.01'!$AO$4:$AQ$55,3,FALSE))</f>
        <v>0</v>
      </c>
      <c r="D53" s="4">
        <f>(VLOOKUP('21.04.01'!L53,'21.04.01'!$AO$4:$AQ$55,3,FALSE))</f>
        <v>0</v>
      </c>
      <c r="E53" s="4">
        <f>(VLOOKUP('21.04.01'!M53,'21.04.01'!$AO$4:$AQ$55,3,FALSE))</f>
        <v>0</v>
      </c>
      <c r="F53" s="4">
        <f>(VLOOKUP('21.04.01'!N53,'21.04.01'!$AO$4:$AQ$55,3,FALSE))</f>
        <v>0</v>
      </c>
      <c r="G53" s="5">
        <f>(VLOOKUP('21.04.01'!O53,'21.04.01'!$AO$4:$AQ$55,3,FALSE))</f>
        <v>0</v>
      </c>
      <c r="H53" s="5">
        <f>(VLOOKUP('21.04.01'!P53,'21.04.01'!$AO$4:$AQ$55,3,FALSE))</f>
        <v>0</v>
      </c>
      <c r="I53" s="4">
        <f>(VLOOKUP('21.04.01'!Q53,'21.04.01'!$AO$4:$AQ$55,3,FALSE))</f>
        <v>0</v>
      </c>
      <c r="J53" s="4">
        <f>(VLOOKUP('21.04.01'!R53,'21.04.01'!$AO$4:$AQ$55,3,FALSE))</f>
        <v>0</v>
      </c>
      <c r="K53" s="4">
        <f>(VLOOKUP('21.04.01'!S53,'21.04.01'!$AO$4:$AQ$55,3,FALSE))</f>
        <v>0</v>
      </c>
      <c r="L53" s="4">
        <f>(VLOOKUP('21.04.01'!T53,'21.04.01'!$AO$4:$AQ$55,3,FALSE))</f>
        <v>0</v>
      </c>
      <c r="M53" s="4">
        <f>(VLOOKUP('21.04.01'!U53,'21.04.01'!$AO$4:$AQ$55,3,FALSE))</f>
        <v>0</v>
      </c>
      <c r="N53" s="4">
        <f>(VLOOKUP('21.04.01'!V53,'21.04.01'!$AO$4:$AQ$55,3,FALSE))</f>
        <v>0</v>
      </c>
      <c r="O53" s="5">
        <f>(VLOOKUP('21.04.01'!W53,'21.04.01'!$AO$4:$AQ$55,3,FALSE))</f>
        <v>0</v>
      </c>
      <c r="P53" s="5">
        <f>(VLOOKUP('21.04.01'!X53,'21.04.01'!$AO$4:$AQ$55,3,FALSE))</f>
        <v>0</v>
      </c>
      <c r="Q53" s="4">
        <f>(VLOOKUP('21.04.01'!Y53,'21.04.01'!$AO$4:$AQ$55,3,FALSE))</f>
        <v>0</v>
      </c>
      <c r="R53" s="4">
        <f>(VLOOKUP('21.04.01'!Z53,'21.04.01'!$AO$4:$AQ$55,3,FALSE))</f>
        <v>0</v>
      </c>
      <c r="S53" s="4">
        <f>(VLOOKUP('21.04.01'!AA53,'21.04.01'!$AO$4:$AQ$55,3,FALSE))</f>
        <v>0</v>
      </c>
      <c r="T53" s="4">
        <f>(VLOOKUP('21.04.01'!AB53,'21.04.01'!$AO$4:$AQ$55,3,FALSE))</f>
        <v>0</v>
      </c>
      <c r="U53" s="4">
        <f>(VLOOKUP('21.04.01'!AC53,'21.04.01'!$AO$4:$AQ$55,3,FALSE))</f>
        <v>0</v>
      </c>
      <c r="V53" s="4">
        <f>(VLOOKUP('21.04.01'!AD53,'21.04.01'!$AO$4:$AQ$55,3,FALSE))</f>
        <v>0</v>
      </c>
      <c r="W53" s="5">
        <f>(VLOOKUP('21.04.01'!AE53,'21.04.01'!$AO$4:$AQ$55,3,FALSE))</f>
        <v>0</v>
      </c>
      <c r="X53" s="5">
        <f>(VLOOKUP('21.04.01'!AF53,'21.04.01'!$AO$4:$AQ$55,3,FALSE))</f>
        <v>0</v>
      </c>
    </row>
    <row r="54" spans="1:24">
      <c r="A54" s="4">
        <f>(VLOOKUP('21.04.01'!I54,'21.04.01'!$AO$4:$AQ$55,3,FALSE))</f>
        <v>0</v>
      </c>
      <c r="B54" s="4">
        <f>(VLOOKUP('21.04.01'!J54,'21.04.01'!$AO$4:$AQ$55,3,FALSE))</f>
        <v>0</v>
      </c>
      <c r="C54" s="4">
        <f>(VLOOKUP('21.04.01'!K54,'21.04.01'!$AO$4:$AQ$55,3,FALSE))</f>
        <v>0</v>
      </c>
      <c r="D54" s="4">
        <f>(VLOOKUP('21.04.01'!L54,'21.04.01'!$AO$4:$AQ$55,3,FALSE))</f>
        <v>0</v>
      </c>
      <c r="E54" s="4">
        <f>(VLOOKUP('21.04.01'!M54,'21.04.01'!$AO$4:$AQ$55,3,FALSE))</f>
        <v>0</v>
      </c>
      <c r="F54" s="4">
        <f>(VLOOKUP('21.04.01'!N54,'21.04.01'!$AO$4:$AQ$55,3,FALSE))</f>
        <v>0</v>
      </c>
      <c r="G54" s="5">
        <f>(VLOOKUP('21.04.01'!O54,'21.04.01'!$AO$4:$AQ$55,3,FALSE))</f>
        <v>0</v>
      </c>
      <c r="H54" s="5">
        <f>(VLOOKUP('21.04.01'!P54,'21.04.01'!$AO$4:$AQ$55,3,FALSE))</f>
        <v>0</v>
      </c>
      <c r="I54" s="4">
        <f>(VLOOKUP('21.04.01'!Q54,'21.04.01'!$AO$4:$AQ$55,3,FALSE))</f>
        <v>0</v>
      </c>
      <c r="J54" s="4">
        <f>(VLOOKUP('21.04.01'!R54,'21.04.01'!$AO$4:$AQ$55,3,FALSE))</f>
        <v>0</v>
      </c>
      <c r="K54" s="4">
        <f>(VLOOKUP('21.04.01'!S54,'21.04.01'!$AO$4:$AQ$55,3,FALSE))</f>
        <v>0</v>
      </c>
      <c r="L54" s="4">
        <f>(VLOOKUP('21.04.01'!T54,'21.04.01'!$AO$4:$AQ$55,3,FALSE))</f>
        <v>0</v>
      </c>
      <c r="M54" s="4">
        <f>(VLOOKUP('21.04.01'!U54,'21.04.01'!$AO$4:$AQ$55,3,FALSE))</f>
        <v>0</v>
      </c>
      <c r="N54" s="4">
        <f>(VLOOKUP('21.04.01'!V54,'21.04.01'!$AO$4:$AQ$55,3,FALSE))</f>
        <v>0</v>
      </c>
      <c r="O54" s="5">
        <f>(VLOOKUP('21.04.01'!W54,'21.04.01'!$AO$4:$AQ$55,3,FALSE))</f>
        <v>0</v>
      </c>
      <c r="P54" s="5">
        <f>(VLOOKUP('21.04.01'!X54,'21.04.01'!$AO$4:$AQ$55,3,FALSE))</f>
        <v>0</v>
      </c>
      <c r="Q54" s="4">
        <f>(VLOOKUP('21.04.01'!Y54,'21.04.01'!$AO$4:$AQ$55,3,FALSE))</f>
        <v>0</v>
      </c>
      <c r="R54" s="4">
        <f>(VLOOKUP('21.04.01'!Z54,'21.04.01'!$AO$4:$AQ$55,3,FALSE))</f>
        <v>0</v>
      </c>
      <c r="S54" s="4">
        <f>(VLOOKUP('21.04.01'!AA54,'21.04.01'!$AO$4:$AQ$55,3,FALSE))</f>
        <v>0</v>
      </c>
      <c r="T54" s="4">
        <f>(VLOOKUP('21.04.01'!AB54,'21.04.01'!$AO$4:$AQ$55,3,FALSE))</f>
        <v>0</v>
      </c>
      <c r="U54" s="4">
        <f>(VLOOKUP('21.04.01'!AC54,'21.04.01'!$AO$4:$AQ$55,3,FALSE))</f>
        <v>0</v>
      </c>
      <c r="V54" s="4">
        <f>(VLOOKUP('21.04.01'!AD54,'21.04.01'!$AO$4:$AQ$55,3,FALSE))</f>
        <v>0</v>
      </c>
      <c r="W54" s="5">
        <f>(VLOOKUP('21.04.01'!AE54,'21.04.01'!$AO$4:$AQ$55,3,FALSE))</f>
        <v>0</v>
      </c>
      <c r="X54" s="5">
        <f>(VLOOKUP('21.04.01'!AF54,'21.04.01'!$AO$4:$AQ$55,3,FALSE))</f>
        <v>0</v>
      </c>
    </row>
    <row r="55" spans="1:24">
      <c r="A55" s="4">
        <f>(VLOOKUP('21.04.01'!I55,'21.04.01'!$AO$4:$AQ$55,3,FALSE))</f>
        <v>0</v>
      </c>
      <c r="B55" s="4">
        <f>(VLOOKUP('21.04.01'!J55,'21.04.01'!$AO$4:$AQ$55,3,FALSE))</f>
        <v>0</v>
      </c>
      <c r="C55" s="4">
        <f>(VLOOKUP('21.04.01'!K55,'21.04.01'!$AO$4:$AQ$55,3,FALSE))</f>
        <v>0</v>
      </c>
      <c r="D55" s="4">
        <f>(VLOOKUP('21.04.01'!L55,'21.04.01'!$AO$4:$AQ$55,3,FALSE))</f>
        <v>0</v>
      </c>
      <c r="E55" s="4">
        <f>(VLOOKUP('21.04.01'!M55,'21.04.01'!$AO$4:$AQ$55,3,FALSE))</f>
        <v>0</v>
      </c>
      <c r="F55" s="4">
        <f>(VLOOKUP('21.04.01'!N55,'21.04.01'!$AO$4:$AQ$55,3,FALSE))</f>
        <v>0</v>
      </c>
      <c r="G55" s="5">
        <f>(VLOOKUP('21.04.01'!O55,'21.04.01'!$AO$4:$AQ$55,3,FALSE))</f>
        <v>0</v>
      </c>
      <c r="H55" s="5">
        <f>(VLOOKUP('21.04.01'!P55,'21.04.01'!$AO$4:$AQ$55,3,FALSE))</f>
        <v>0</v>
      </c>
      <c r="I55" s="4">
        <f>(VLOOKUP('21.04.01'!Q55,'21.04.01'!$AO$4:$AQ$55,3,FALSE))</f>
        <v>0</v>
      </c>
      <c r="J55" s="4">
        <f>(VLOOKUP('21.04.01'!R55,'21.04.01'!$AO$4:$AQ$55,3,FALSE))</f>
        <v>0</v>
      </c>
      <c r="K55" s="4">
        <f>(VLOOKUP('21.04.01'!S55,'21.04.01'!$AO$4:$AQ$55,3,FALSE))</f>
        <v>0</v>
      </c>
      <c r="L55" s="4">
        <f>(VLOOKUP('21.04.01'!T55,'21.04.01'!$AO$4:$AQ$55,3,FALSE))</f>
        <v>0</v>
      </c>
      <c r="M55" s="4">
        <f>(VLOOKUP('21.04.01'!U55,'21.04.01'!$AO$4:$AQ$55,3,FALSE))</f>
        <v>0</v>
      </c>
      <c r="N55" s="4">
        <f>(VLOOKUP('21.04.01'!V55,'21.04.01'!$AO$4:$AQ$55,3,FALSE))</f>
        <v>0</v>
      </c>
      <c r="O55" s="5">
        <f>(VLOOKUP('21.04.01'!W55,'21.04.01'!$AO$4:$AQ$55,3,FALSE))</f>
        <v>0</v>
      </c>
      <c r="P55" s="5">
        <f>(VLOOKUP('21.04.01'!X55,'21.04.01'!$AO$4:$AQ$55,3,FALSE))</f>
        <v>0</v>
      </c>
      <c r="Q55" s="4">
        <f>(VLOOKUP('21.04.01'!Y55,'21.04.01'!$AO$4:$AQ$55,3,FALSE))</f>
        <v>0</v>
      </c>
      <c r="R55" s="4">
        <f>(VLOOKUP('21.04.01'!Z55,'21.04.01'!$AO$4:$AQ$55,3,FALSE))</f>
        <v>0</v>
      </c>
      <c r="S55" s="4">
        <f>(VLOOKUP('21.04.01'!AA55,'21.04.01'!$AO$4:$AQ$55,3,FALSE))</f>
        <v>0</v>
      </c>
      <c r="T55" s="4">
        <f>(VLOOKUP('21.04.01'!AB55,'21.04.01'!$AO$4:$AQ$55,3,FALSE))</f>
        <v>0</v>
      </c>
      <c r="U55" s="4">
        <f>(VLOOKUP('21.04.01'!AC55,'21.04.01'!$AO$4:$AQ$55,3,FALSE))</f>
        <v>0</v>
      </c>
      <c r="V55" s="4">
        <f>(VLOOKUP('21.04.01'!AD55,'21.04.01'!$AO$4:$AQ$55,3,FALSE))</f>
        <v>0</v>
      </c>
      <c r="W55" s="5">
        <f>(VLOOKUP('21.04.01'!AE55,'21.04.01'!$AO$4:$AQ$55,3,FALSE))</f>
        <v>0</v>
      </c>
      <c r="X55" s="5">
        <f>(VLOOKUP('21.04.01'!AF55,'21.04.01'!$AO$4:$AQ$55,3,FALSE))</f>
        <v>0</v>
      </c>
    </row>
    <row r="56" spans="1:24">
      <c r="A56" s="4">
        <f>(VLOOKUP('21.04.01'!I56,'21.04.01'!$AO$4:$AQ$55,3,FALSE))</f>
        <v>0</v>
      </c>
      <c r="B56" s="4">
        <f>(VLOOKUP('21.04.01'!J56,'21.04.01'!$AO$4:$AQ$55,3,FALSE))</f>
        <v>0</v>
      </c>
      <c r="C56" s="4">
        <f>(VLOOKUP('21.04.01'!K56,'21.04.01'!$AO$4:$AQ$55,3,FALSE))</f>
        <v>0</v>
      </c>
      <c r="D56" s="4">
        <f>(VLOOKUP('21.04.01'!L56,'21.04.01'!$AO$4:$AQ$55,3,FALSE))</f>
        <v>0</v>
      </c>
      <c r="E56" s="4">
        <f>(VLOOKUP('21.04.01'!M56,'21.04.01'!$AO$4:$AQ$55,3,FALSE))</f>
        <v>0</v>
      </c>
      <c r="F56" s="4">
        <f>(VLOOKUP('21.04.01'!N56,'21.04.01'!$AO$4:$AQ$55,3,FALSE))</f>
        <v>0</v>
      </c>
      <c r="G56" s="5">
        <f>(VLOOKUP('21.04.01'!O56,'21.04.01'!$AO$4:$AQ$55,3,FALSE))</f>
        <v>0</v>
      </c>
      <c r="H56" s="5">
        <f>(VLOOKUP('21.04.01'!P56,'21.04.01'!$AO$4:$AQ$55,3,FALSE))</f>
        <v>0</v>
      </c>
      <c r="I56" s="4">
        <f>(VLOOKUP('21.04.01'!Q56,'21.04.01'!$AO$4:$AQ$55,3,FALSE))</f>
        <v>0</v>
      </c>
      <c r="J56" s="4">
        <f>(VLOOKUP('21.04.01'!R56,'21.04.01'!$AO$4:$AQ$55,3,FALSE))</f>
        <v>0</v>
      </c>
      <c r="K56" s="4">
        <f>(VLOOKUP('21.04.01'!S56,'21.04.01'!$AO$4:$AQ$55,3,FALSE))</f>
        <v>0</v>
      </c>
      <c r="L56" s="4">
        <f>(VLOOKUP('21.04.01'!T56,'21.04.01'!$AO$4:$AQ$55,3,FALSE))</f>
        <v>0</v>
      </c>
      <c r="M56" s="4">
        <f>(VLOOKUP('21.04.01'!U56,'21.04.01'!$AO$4:$AQ$55,3,FALSE))</f>
        <v>0</v>
      </c>
      <c r="N56" s="4">
        <f>(VLOOKUP('21.04.01'!V56,'21.04.01'!$AO$4:$AQ$55,3,FALSE))</f>
        <v>0</v>
      </c>
      <c r="O56" s="5">
        <f>(VLOOKUP('21.04.01'!W56,'21.04.01'!$AO$4:$AQ$55,3,FALSE))</f>
        <v>0</v>
      </c>
      <c r="P56" s="5">
        <f>(VLOOKUP('21.04.01'!X56,'21.04.01'!$AO$4:$AQ$55,3,FALSE))</f>
        <v>0</v>
      </c>
      <c r="Q56" s="4">
        <f>(VLOOKUP('21.04.01'!Y56,'21.04.01'!$AO$4:$AQ$55,3,FALSE))</f>
        <v>0</v>
      </c>
      <c r="R56" s="4">
        <f>(VLOOKUP('21.04.01'!Z56,'21.04.01'!$AO$4:$AQ$55,3,FALSE))</f>
        <v>0</v>
      </c>
      <c r="S56" s="4">
        <f>(VLOOKUP('21.04.01'!AA56,'21.04.01'!$AO$4:$AQ$55,3,FALSE))</f>
        <v>0</v>
      </c>
      <c r="T56" s="4">
        <f>(VLOOKUP('21.04.01'!AB56,'21.04.01'!$AO$4:$AQ$55,3,FALSE))</f>
        <v>0</v>
      </c>
      <c r="U56" s="4">
        <f>(VLOOKUP('21.04.01'!AC56,'21.04.01'!$AO$4:$AQ$55,3,FALSE))</f>
        <v>0</v>
      </c>
      <c r="V56" s="4">
        <f>(VLOOKUP('21.04.01'!AD56,'21.04.01'!$AO$4:$AQ$55,3,FALSE))</f>
        <v>0</v>
      </c>
      <c r="W56" s="5">
        <f>(VLOOKUP('21.04.01'!AE56,'21.04.01'!$AO$4:$AQ$55,3,FALSE))</f>
        <v>0</v>
      </c>
      <c r="X56" s="5">
        <f>(VLOOKUP('21.04.01'!AF56,'21.04.01'!$AO$4:$AQ$55,3,FALSE))</f>
        <v>0</v>
      </c>
    </row>
    <row r="57" spans="1:24">
      <c r="A57" s="4">
        <f>(VLOOKUP('21.04.01'!I57,'21.04.01'!$AO$4:$AQ$55,3,FALSE))</f>
        <v>0</v>
      </c>
      <c r="B57" s="4">
        <f>(VLOOKUP('21.04.01'!J57,'21.04.01'!$AO$4:$AQ$55,3,FALSE))</f>
        <v>0</v>
      </c>
      <c r="C57" s="4">
        <f>(VLOOKUP('21.04.01'!K57,'21.04.01'!$AO$4:$AQ$55,3,FALSE))</f>
        <v>0</v>
      </c>
      <c r="D57" s="4">
        <f>(VLOOKUP('21.04.01'!L57,'21.04.01'!$AO$4:$AQ$55,3,FALSE))</f>
        <v>0</v>
      </c>
      <c r="E57" s="4">
        <f>(VLOOKUP('21.04.01'!M57,'21.04.01'!$AO$4:$AQ$55,3,FALSE))</f>
        <v>0</v>
      </c>
      <c r="F57" s="4">
        <f>(VLOOKUP('21.04.01'!N57,'21.04.01'!$AO$4:$AQ$55,3,FALSE))</f>
        <v>0</v>
      </c>
      <c r="G57" s="5">
        <f>(VLOOKUP('21.04.01'!O57,'21.04.01'!$AO$4:$AQ$55,3,FALSE))</f>
        <v>0</v>
      </c>
      <c r="H57" s="5">
        <f>(VLOOKUP('21.04.01'!P57,'21.04.01'!$AO$4:$AQ$55,3,FALSE))</f>
        <v>0</v>
      </c>
      <c r="I57" s="4">
        <f>(VLOOKUP('21.04.01'!Q57,'21.04.01'!$AO$4:$AQ$55,3,FALSE))</f>
        <v>0</v>
      </c>
      <c r="J57" s="4">
        <f>(VLOOKUP('21.04.01'!R57,'21.04.01'!$AO$4:$AQ$55,3,FALSE))</f>
        <v>0</v>
      </c>
      <c r="K57" s="4">
        <f>(VLOOKUP('21.04.01'!S57,'21.04.01'!$AO$4:$AQ$55,3,FALSE))</f>
        <v>0</v>
      </c>
      <c r="L57" s="4">
        <f>(VLOOKUP('21.04.01'!T57,'21.04.01'!$AO$4:$AQ$55,3,FALSE))</f>
        <v>0</v>
      </c>
      <c r="M57" s="4">
        <f>(VLOOKUP('21.04.01'!U57,'21.04.01'!$AO$4:$AQ$55,3,FALSE))</f>
        <v>0</v>
      </c>
      <c r="N57" s="4">
        <f>(VLOOKUP('21.04.01'!V57,'21.04.01'!$AO$4:$AQ$55,3,FALSE))</f>
        <v>0</v>
      </c>
      <c r="O57" s="5">
        <f>(VLOOKUP('21.04.01'!W57,'21.04.01'!$AO$4:$AQ$55,3,FALSE))</f>
        <v>0</v>
      </c>
      <c r="P57" s="5">
        <f>(VLOOKUP('21.04.01'!X57,'21.04.01'!$AO$4:$AQ$55,3,FALSE))</f>
        <v>0</v>
      </c>
      <c r="Q57" s="4">
        <f>(VLOOKUP('21.04.01'!Y57,'21.04.01'!$AO$4:$AQ$55,3,FALSE))</f>
        <v>0</v>
      </c>
      <c r="R57" s="4">
        <f>(VLOOKUP('21.04.01'!Z57,'21.04.01'!$AO$4:$AQ$55,3,FALSE))</f>
        <v>0</v>
      </c>
      <c r="S57" s="4">
        <f>(VLOOKUP('21.04.01'!AA57,'21.04.01'!$AO$4:$AQ$55,3,FALSE))</f>
        <v>0</v>
      </c>
      <c r="T57" s="4">
        <f>(VLOOKUP('21.04.01'!AB57,'21.04.01'!$AO$4:$AQ$55,3,FALSE))</f>
        <v>0</v>
      </c>
      <c r="U57" s="4">
        <f>(VLOOKUP('21.04.01'!AC57,'21.04.01'!$AO$4:$AQ$55,3,FALSE))</f>
        <v>0</v>
      </c>
      <c r="V57" s="4">
        <f>(VLOOKUP('21.04.01'!AD57,'21.04.01'!$AO$4:$AQ$55,3,FALSE))</f>
        <v>0</v>
      </c>
      <c r="W57" s="5">
        <f>(VLOOKUP('21.04.01'!AE57,'21.04.01'!$AO$4:$AQ$55,3,FALSE))</f>
        <v>0</v>
      </c>
      <c r="X57" s="5">
        <f>(VLOOKUP('21.04.01'!AF57,'21.04.01'!$AO$4:$AQ$55,3,FALSE))</f>
        <v>0</v>
      </c>
    </row>
    <row r="58" spans="1:24">
      <c r="A58" s="4">
        <f>(VLOOKUP('21.04.01'!I58,'21.04.01'!$AO$4:$AQ$55,3,FALSE))</f>
        <v>0</v>
      </c>
      <c r="B58" s="4">
        <f>(VLOOKUP('21.04.01'!J58,'21.04.01'!$AO$4:$AQ$55,3,FALSE))</f>
        <v>0</v>
      </c>
      <c r="C58" s="4">
        <f>(VLOOKUP('21.04.01'!K58,'21.04.01'!$AO$4:$AQ$55,3,FALSE))</f>
        <v>0</v>
      </c>
      <c r="D58" s="4">
        <f>(VLOOKUP('21.04.01'!L58,'21.04.01'!$AO$4:$AQ$55,3,FALSE))</f>
        <v>0</v>
      </c>
      <c r="E58" s="4">
        <f>(VLOOKUP('21.04.01'!M58,'21.04.01'!$AO$4:$AQ$55,3,FALSE))</f>
        <v>0</v>
      </c>
      <c r="F58" s="4">
        <f>(VLOOKUP('21.04.01'!N58,'21.04.01'!$AO$4:$AQ$55,3,FALSE))</f>
        <v>0</v>
      </c>
      <c r="G58" s="5">
        <f>(VLOOKUP('21.04.01'!O58,'21.04.01'!$AO$4:$AQ$55,3,FALSE))</f>
        <v>0</v>
      </c>
      <c r="H58" s="5">
        <f>(VLOOKUP('21.04.01'!P58,'21.04.01'!$AO$4:$AQ$55,3,FALSE))</f>
        <v>0</v>
      </c>
      <c r="I58" s="4">
        <f>(VLOOKUP('21.04.01'!Q58,'21.04.01'!$AO$4:$AQ$55,3,FALSE))</f>
        <v>0</v>
      </c>
      <c r="J58" s="4">
        <f>(VLOOKUP('21.04.01'!R58,'21.04.01'!$AO$4:$AQ$55,3,FALSE))</f>
        <v>0</v>
      </c>
      <c r="K58" s="4">
        <f>(VLOOKUP('21.04.01'!S58,'21.04.01'!$AO$4:$AQ$55,3,FALSE))</f>
        <v>0</v>
      </c>
      <c r="L58" s="4">
        <f>(VLOOKUP('21.04.01'!T58,'21.04.01'!$AO$4:$AQ$55,3,FALSE))</f>
        <v>0</v>
      </c>
      <c r="M58" s="4">
        <f>(VLOOKUP('21.04.01'!U58,'21.04.01'!$AO$4:$AQ$55,3,FALSE))</f>
        <v>0</v>
      </c>
      <c r="N58" s="4">
        <f>(VLOOKUP('21.04.01'!V58,'21.04.01'!$AO$4:$AQ$55,3,FALSE))</f>
        <v>0</v>
      </c>
      <c r="O58" s="5">
        <f>(VLOOKUP('21.04.01'!W58,'21.04.01'!$AO$4:$AQ$55,3,FALSE))</f>
        <v>0</v>
      </c>
      <c r="P58" s="5">
        <f>(VLOOKUP('21.04.01'!X58,'21.04.01'!$AO$4:$AQ$55,3,FALSE))</f>
        <v>0</v>
      </c>
      <c r="Q58" s="4">
        <f>(VLOOKUP('21.04.01'!Y58,'21.04.01'!$AO$4:$AQ$55,3,FALSE))</f>
        <v>0</v>
      </c>
      <c r="R58" s="4">
        <f>(VLOOKUP('21.04.01'!Z58,'21.04.01'!$AO$4:$AQ$55,3,FALSE))</f>
        <v>0</v>
      </c>
      <c r="S58" s="4">
        <f>(VLOOKUP('21.04.01'!AA58,'21.04.01'!$AO$4:$AQ$55,3,FALSE))</f>
        <v>0</v>
      </c>
      <c r="T58" s="4">
        <f>(VLOOKUP('21.04.01'!AB58,'21.04.01'!$AO$4:$AQ$55,3,FALSE))</f>
        <v>0</v>
      </c>
      <c r="U58" s="4">
        <f>(VLOOKUP('21.04.01'!AC58,'21.04.01'!$AO$4:$AQ$55,3,FALSE))</f>
        <v>0</v>
      </c>
      <c r="V58" s="4">
        <f>(VLOOKUP('21.04.01'!AD58,'21.04.01'!$AO$4:$AQ$55,3,FALSE))</f>
        <v>0</v>
      </c>
      <c r="W58" s="5">
        <f>(VLOOKUP('21.04.01'!AE58,'21.04.01'!$AO$4:$AQ$55,3,FALSE))</f>
        <v>0</v>
      </c>
      <c r="X58" s="5">
        <f>(VLOOKUP('21.04.01'!AF58,'21.04.01'!$AO$4:$AQ$55,3,FALSE))</f>
        <v>0</v>
      </c>
    </row>
    <row r="59" spans="1:24">
      <c r="A59" s="4">
        <f>(VLOOKUP('21.04.01'!I59,'21.04.01'!$AO$4:$AQ$55,3,FALSE))</f>
        <v>0</v>
      </c>
      <c r="B59" s="4">
        <f>(VLOOKUP('21.04.01'!J59,'21.04.01'!$AO$4:$AQ$55,3,FALSE))</f>
        <v>0</v>
      </c>
      <c r="C59" s="4">
        <f>(VLOOKUP('21.04.01'!K59,'21.04.01'!$AO$4:$AQ$55,3,FALSE))</f>
        <v>0</v>
      </c>
      <c r="D59" s="4">
        <f>(VLOOKUP('21.04.01'!L59,'21.04.01'!$AO$4:$AQ$55,3,FALSE))</f>
        <v>0</v>
      </c>
      <c r="E59" s="4">
        <f>(VLOOKUP('21.04.01'!M59,'21.04.01'!$AO$4:$AQ$55,3,FALSE))</f>
        <v>0</v>
      </c>
      <c r="F59" s="4">
        <f>(VLOOKUP('21.04.01'!N59,'21.04.01'!$AO$4:$AQ$55,3,FALSE))</f>
        <v>0</v>
      </c>
      <c r="G59" s="5">
        <f>(VLOOKUP('21.04.01'!O59,'21.04.01'!$AO$4:$AQ$55,3,FALSE))</f>
        <v>0</v>
      </c>
      <c r="H59" s="5">
        <f>(VLOOKUP('21.04.01'!P59,'21.04.01'!$AO$4:$AQ$55,3,FALSE))</f>
        <v>0</v>
      </c>
      <c r="I59" s="4">
        <f>(VLOOKUP('21.04.01'!Q59,'21.04.01'!$AO$4:$AQ$55,3,FALSE))</f>
        <v>0</v>
      </c>
      <c r="J59" s="4">
        <f>(VLOOKUP('21.04.01'!R59,'21.04.01'!$AO$4:$AQ$55,3,FALSE))</f>
        <v>0</v>
      </c>
      <c r="K59" s="4">
        <f>(VLOOKUP('21.04.01'!S59,'21.04.01'!$AO$4:$AQ$55,3,FALSE))</f>
        <v>0</v>
      </c>
      <c r="L59" s="4">
        <f>(VLOOKUP('21.04.01'!T59,'21.04.01'!$AO$4:$AQ$55,3,FALSE))</f>
        <v>0</v>
      </c>
      <c r="M59" s="4">
        <f>(VLOOKUP('21.04.01'!U59,'21.04.01'!$AO$4:$AQ$55,3,FALSE))</f>
        <v>0</v>
      </c>
      <c r="N59" s="4">
        <f>(VLOOKUP('21.04.01'!V59,'21.04.01'!$AO$4:$AQ$55,3,FALSE))</f>
        <v>0</v>
      </c>
      <c r="O59" s="5">
        <f>(VLOOKUP('21.04.01'!W59,'21.04.01'!$AO$4:$AQ$55,3,FALSE))</f>
        <v>0</v>
      </c>
      <c r="P59" s="5">
        <f>(VLOOKUP('21.04.01'!X59,'21.04.01'!$AO$4:$AQ$55,3,FALSE))</f>
        <v>0</v>
      </c>
      <c r="Q59" s="4">
        <f>(VLOOKUP('21.04.01'!Y59,'21.04.01'!$AO$4:$AQ$55,3,FALSE))</f>
        <v>0</v>
      </c>
      <c r="R59" s="4">
        <f>(VLOOKUP('21.04.01'!Z59,'21.04.01'!$AO$4:$AQ$55,3,FALSE))</f>
        <v>0</v>
      </c>
      <c r="S59" s="4">
        <f>(VLOOKUP('21.04.01'!AA59,'21.04.01'!$AO$4:$AQ$55,3,FALSE))</f>
        <v>0</v>
      </c>
      <c r="T59" s="4">
        <f>(VLOOKUP('21.04.01'!AB59,'21.04.01'!$AO$4:$AQ$55,3,FALSE))</f>
        <v>0</v>
      </c>
      <c r="U59" s="4">
        <f>(VLOOKUP('21.04.01'!AC59,'21.04.01'!$AO$4:$AQ$55,3,FALSE))</f>
        <v>0</v>
      </c>
      <c r="V59" s="4">
        <f>(VLOOKUP('21.04.01'!AD59,'21.04.01'!$AO$4:$AQ$55,3,FALSE))</f>
        <v>0</v>
      </c>
      <c r="W59" s="5">
        <f>(VLOOKUP('21.04.01'!AE59,'21.04.01'!$AO$4:$AQ$55,3,FALSE))</f>
        <v>0</v>
      </c>
      <c r="X59" s="5">
        <f>(VLOOKUP('21.04.01'!AF59,'21.04.01'!$AO$4:$AQ$55,3,FALSE))</f>
        <v>0</v>
      </c>
    </row>
    <row r="60" spans="1:24">
      <c r="A60" s="4">
        <f>(VLOOKUP('21.04.01'!I60,'21.04.01'!$AO$4:$AQ$55,3,FALSE))</f>
        <v>0</v>
      </c>
      <c r="B60" s="4">
        <f>(VLOOKUP('21.04.01'!J60,'21.04.01'!$AO$4:$AQ$55,3,FALSE))</f>
        <v>0</v>
      </c>
      <c r="C60" s="4">
        <f>(VLOOKUP('21.04.01'!K60,'21.04.01'!$AO$4:$AQ$55,3,FALSE))</f>
        <v>0</v>
      </c>
      <c r="D60" s="4">
        <f>(VLOOKUP('21.04.01'!L60,'21.04.01'!$AO$4:$AQ$55,3,FALSE))</f>
        <v>0</v>
      </c>
      <c r="E60" s="4">
        <f>(VLOOKUP('21.04.01'!M60,'21.04.01'!$AO$4:$AQ$55,3,FALSE))</f>
        <v>0</v>
      </c>
      <c r="F60" s="4">
        <f>(VLOOKUP('21.04.01'!N60,'21.04.01'!$AO$4:$AQ$55,3,FALSE))</f>
        <v>0</v>
      </c>
      <c r="G60" s="5">
        <f>(VLOOKUP('21.04.01'!O60,'21.04.01'!$AO$4:$AQ$55,3,FALSE))</f>
        <v>0</v>
      </c>
      <c r="H60" s="5">
        <f>(VLOOKUP('21.04.01'!P60,'21.04.01'!$AO$4:$AQ$55,3,FALSE))</f>
        <v>0</v>
      </c>
      <c r="I60" s="4">
        <f>(VLOOKUP('21.04.01'!Q60,'21.04.01'!$AO$4:$AQ$55,3,FALSE))</f>
        <v>0</v>
      </c>
      <c r="J60" s="4">
        <f>(VLOOKUP('21.04.01'!R60,'21.04.01'!$AO$4:$AQ$55,3,FALSE))</f>
        <v>0</v>
      </c>
      <c r="K60" s="4">
        <f>(VLOOKUP('21.04.01'!S60,'21.04.01'!$AO$4:$AQ$55,3,FALSE))</f>
        <v>0</v>
      </c>
      <c r="L60" s="4">
        <f>(VLOOKUP('21.04.01'!T60,'21.04.01'!$AO$4:$AQ$55,3,FALSE))</f>
        <v>0</v>
      </c>
      <c r="M60" s="4">
        <f>(VLOOKUP('21.04.01'!U60,'21.04.01'!$AO$4:$AQ$55,3,FALSE))</f>
        <v>0</v>
      </c>
      <c r="N60" s="4">
        <f>(VLOOKUP('21.04.01'!V60,'21.04.01'!$AO$4:$AQ$55,3,FALSE))</f>
        <v>0</v>
      </c>
      <c r="O60" s="5">
        <f>(VLOOKUP('21.04.01'!W60,'21.04.01'!$AO$4:$AQ$55,3,FALSE))</f>
        <v>0</v>
      </c>
      <c r="P60" s="5">
        <f>(VLOOKUP('21.04.01'!X60,'21.04.01'!$AO$4:$AQ$55,3,FALSE))</f>
        <v>0</v>
      </c>
      <c r="Q60" s="4">
        <f>(VLOOKUP('21.04.01'!Y60,'21.04.01'!$AO$4:$AQ$55,3,FALSE))</f>
        <v>0</v>
      </c>
      <c r="R60" s="4">
        <f>(VLOOKUP('21.04.01'!Z60,'21.04.01'!$AO$4:$AQ$55,3,FALSE))</f>
        <v>0</v>
      </c>
      <c r="S60" s="4">
        <f>(VLOOKUP('21.04.01'!AA60,'21.04.01'!$AO$4:$AQ$55,3,FALSE))</f>
        <v>0</v>
      </c>
      <c r="T60" s="4">
        <f>(VLOOKUP('21.04.01'!AB60,'21.04.01'!$AO$4:$AQ$55,3,FALSE))</f>
        <v>0</v>
      </c>
      <c r="U60" s="4">
        <f>(VLOOKUP('21.04.01'!AC60,'21.04.01'!$AO$4:$AQ$55,3,FALSE))</f>
        <v>0</v>
      </c>
      <c r="V60" s="4">
        <f>(VLOOKUP('21.04.01'!AD60,'21.04.01'!$AO$4:$AQ$55,3,FALSE))</f>
        <v>0</v>
      </c>
      <c r="W60" s="5">
        <f>(VLOOKUP('21.04.01'!AE60,'21.04.01'!$AO$4:$AQ$55,3,FALSE))</f>
        <v>0</v>
      </c>
      <c r="X60" s="5">
        <f>(VLOOKUP('21.04.01'!AF60,'21.04.01'!$AO$4:$AQ$55,3,FALSE))</f>
        <v>0</v>
      </c>
    </row>
    <row r="61" spans="1:24">
      <c r="A61" s="4">
        <f>(VLOOKUP('21.04.01'!I61,'21.04.01'!$AO$4:$AQ$55,3,FALSE))</f>
        <v>0</v>
      </c>
      <c r="B61" s="4">
        <f>(VLOOKUP('21.04.01'!J61,'21.04.01'!$AO$4:$AQ$55,3,FALSE))</f>
        <v>0</v>
      </c>
      <c r="C61" s="4">
        <f>(VLOOKUP('21.04.01'!K61,'21.04.01'!$AO$4:$AQ$55,3,FALSE))</f>
        <v>0</v>
      </c>
      <c r="D61" s="4">
        <f>(VLOOKUP('21.04.01'!L61,'21.04.01'!$AO$4:$AQ$55,3,FALSE))</f>
        <v>0</v>
      </c>
      <c r="E61" s="4">
        <f>(VLOOKUP('21.04.01'!M61,'21.04.01'!$AO$4:$AQ$55,3,FALSE))</f>
        <v>0</v>
      </c>
      <c r="F61" s="4">
        <f>(VLOOKUP('21.04.01'!N61,'21.04.01'!$AO$4:$AQ$55,3,FALSE))</f>
        <v>0</v>
      </c>
      <c r="G61" s="5">
        <f>(VLOOKUP('21.04.01'!O61,'21.04.01'!$AO$4:$AQ$55,3,FALSE))</f>
        <v>0</v>
      </c>
      <c r="H61" s="5">
        <f>(VLOOKUP('21.04.01'!P61,'21.04.01'!$AO$4:$AQ$55,3,FALSE))</f>
        <v>0</v>
      </c>
      <c r="I61" s="4">
        <f>(VLOOKUP('21.04.01'!Q61,'21.04.01'!$AO$4:$AQ$55,3,FALSE))</f>
        <v>0</v>
      </c>
      <c r="J61" s="4">
        <f>(VLOOKUP('21.04.01'!R61,'21.04.01'!$AO$4:$AQ$55,3,FALSE))</f>
        <v>0</v>
      </c>
      <c r="K61" s="4">
        <f>(VLOOKUP('21.04.01'!S61,'21.04.01'!$AO$4:$AQ$55,3,FALSE))</f>
        <v>0</v>
      </c>
      <c r="L61" s="4">
        <f>(VLOOKUP('21.04.01'!T61,'21.04.01'!$AO$4:$AQ$55,3,FALSE))</f>
        <v>0</v>
      </c>
      <c r="M61" s="4">
        <f>(VLOOKUP('21.04.01'!U61,'21.04.01'!$AO$4:$AQ$55,3,FALSE))</f>
        <v>0</v>
      </c>
      <c r="N61" s="4">
        <f>(VLOOKUP('21.04.01'!V61,'21.04.01'!$AO$4:$AQ$55,3,FALSE))</f>
        <v>0</v>
      </c>
      <c r="O61" s="5">
        <f>(VLOOKUP('21.04.01'!W61,'21.04.01'!$AO$4:$AQ$55,3,FALSE))</f>
        <v>0</v>
      </c>
      <c r="P61" s="5">
        <f>(VLOOKUP('21.04.01'!X61,'21.04.01'!$AO$4:$AQ$55,3,FALSE))</f>
        <v>0</v>
      </c>
      <c r="Q61" s="4">
        <f>(VLOOKUP('21.04.01'!Y61,'21.04.01'!$AO$4:$AQ$55,3,FALSE))</f>
        <v>0</v>
      </c>
      <c r="R61" s="4">
        <f>(VLOOKUP('21.04.01'!Z61,'21.04.01'!$AO$4:$AQ$55,3,FALSE))</f>
        <v>0</v>
      </c>
      <c r="S61" s="4">
        <f>(VLOOKUP('21.04.01'!AA61,'21.04.01'!$AO$4:$AQ$55,3,FALSE))</f>
        <v>0</v>
      </c>
      <c r="T61" s="4">
        <f>(VLOOKUP('21.04.01'!AB61,'21.04.01'!$AO$4:$AQ$55,3,FALSE))</f>
        <v>0</v>
      </c>
      <c r="U61" s="4">
        <f>(VLOOKUP('21.04.01'!AC61,'21.04.01'!$AO$4:$AQ$55,3,FALSE))</f>
        <v>0</v>
      </c>
      <c r="V61" s="4">
        <f>(VLOOKUP('21.04.01'!AD61,'21.04.01'!$AO$4:$AQ$55,3,FALSE))</f>
        <v>0</v>
      </c>
      <c r="W61" s="5">
        <f>(VLOOKUP('21.04.01'!AE61,'21.04.01'!$AO$4:$AQ$55,3,FALSE))</f>
        <v>0</v>
      </c>
      <c r="X61" s="5">
        <f>(VLOOKUP('21.04.01'!AF61,'21.04.01'!$AO$4:$AQ$55,3,FALSE))</f>
        <v>0</v>
      </c>
    </row>
    <row r="62" spans="1:24">
      <c r="A62" s="4">
        <f>(VLOOKUP('21.04.01'!I62,'21.04.01'!$AO$4:$AQ$55,3,FALSE))</f>
        <v>0</v>
      </c>
      <c r="B62" s="4">
        <f>(VLOOKUP('21.04.01'!J62,'21.04.01'!$AO$4:$AQ$55,3,FALSE))</f>
        <v>0</v>
      </c>
      <c r="C62" s="4">
        <f>(VLOOKUP('21.04.01'!K62,'21.04.01'!$AO$4:$AQ$55,3,FALSE))</f>
        <v>0</v>
      </c>
      <c r="D62" s="4">
        <f>(VLOOKUP('21.04.01'!L62,'21.04.01'!$AO$4:$AQ$55,3,FALSE))</f>
        <v>0</v>
      </c>
      <c r="E62" s="4">
        <f>(VLOOKUP('21.04.01'!M62,'21.04.01'!$AO$4:$AQ$55,3,FALSE))</f>
        <v>0</v>
      </c>
      <c r="F62" s="4">
        <f>(VLOOKUP('21.04.01'!N62,'21.04.01'!$AO$4:$AQ$55,3,FALSE))</f>
        <v>0</v>
      </c>
      <c r="G62" s="5">
        <f>(VLOOKUP('21.04.01'!O62,'21.04.01'!$AO$4:$AQ$55,3,FALSE))</f>
        <v>0</v>
      </c>
      <c r="H62" s="5">
        <f>(VLOOKUP('21.04.01'!P62,'21.04.01'!$AO$4:$AQ$55,3,FALSE))</f>
        <v>0</v>
      </c>
      <c r="I62" s="4">
        <f>(VLOOKUP('21.04.01'!Q62,'21.04.01'!$AO$4:$AQ$55,3,FALSE))</f>
        <v>0</v>
      </c>
      <c r="J62" s="4">
        <f>(VLOOKUP('21.04.01'!R62,'21.04.01'!$AO$4:$AQ$55,3,FALSE))</f>
        <v>0</v>
      </c>
      <c r="K62" s="4">
        <f>(VLOOKUP('21.04.01'!S62,'21.04.01'!$AO$4:$AQ$55,3,FALSE))</f>
        <v>0</v>
      </c>
      <c r="L62" s="4">
        <f>(VLOOKUP('21.04.01'!T62,'21.04.01'!$AO$4:$AQ$55,3,FALSE))</f>
        <v>0</v>
      </c>
      <c r="M62" s="4">
        <f>(VLOOKUP('21.04.01'!U62,'21.04.01'!$AO$4:$AQ$55,3,FALSE))</f>
        <v>0</v>
      </c>
      <c r="N62" s="4">
        <f>(VLOOKUP('21.04.01'!V62,'21.04.01'!$AO$4:$AQ$55,3,FALSE))</f>
        <v>0</v>
      </c>
      <c r="O62" s="5">
        <f>(VLOOKUP('21.04.01'!W62,'21.04.01'!$AO$4:$AQ$55,3,FALSE))</f>
        <v>0</v>
      </c>
      <c r="P62" s="5">
        <f>(VLOOKUP('21.04.01'!X62,'21.04.01'!$AO$4:$AQ$55,3,FALSE))</f>
        <v>0</v>
      </c>
      <c r="Q62" s="4">
        <f>(VLOOKUP('21.04.01'!Y62,'21.04.01'!$AO$4:$AQ$55,3,FALSE))</f>
        <v>0</v>
      </c>
      <c r="R62" s="4">
        <f>(VLOOKUP('21.04.01'!Z62,'21.04.01'!$AO$4:$AQ$55,3,FALSE))</f>
        <v>0</v>
      </c>
      <c r="S62" s="4">
        <f>(VLOOKUP('21.04.01'!AA62,'21.04.01'!$AO$4:$AQ$55,3,FALSE))</f>
        <v>0</v>
      </c>
      <c r="T62" s="4">
        <f>(VLOOKUP('21.04.01'!AB62,'21.04.01'!$AO$4:$AQ$55,3,FALSE))</f>
        <v>0</v>
      </c>
      <c r="U62" s="4">
        <f>(VLOOKUP('21.04.01'!AC62,'21.04.01'!$AO$4:$AQ$55,3,FALSE))</f>
        <v>0</v>
      </c>
      <c r="V62" s="4">
        <f>(VLOOKUP('21.04.01'!AD62,'21.04.01'!$AO$4:$AQ$55,3,FALSE))</f>
        <v>0</v>
      </c>
      <c r="W62" s="5">
        <f>(VLOOKUP('21.04.01'!AE62,'21.04.01'!$AO$4:$AQ$55,3,FALSE))</f>
        <v>0</v>
      </c>
      <c r="X62" s="5">
        <f>(VLOOKUP('21.04.01'!AF62,'21.04.01'!$AO$4:$AQ$55,3,FALSE))</f>
        <v>0</v>
      </c>
    </row>
    <row r="63" spans="1:24">
      <c r="A63" s="4">
        <f>(VLOOKUP('21.04.01'!I63,'21.04.01'!$AO$4:$AQ$55,3,FALSE))</f>
        <v>0</v>
      </c>
      <c r="B63" s="4">
        <f>(VLOOKUP('21.04.01'!J63,'21.04.01'!$AO$4:$AQ$55,3,FALSE))</f>
        <v>0</v>
      </c>
      <c r="C63" s="4">
        <f>(VLOOKUP('21.04.01'!K63,'21.04.01'!$AO$4:$AQ$55,3,FALSE))</f>
        <v>0</v>
      </c>
      <c r="D63" s="4">
        <f>(VLOOKUP('21.04.01'!L63,'21.04.01'!$AO$4:$AQ$55,3,FALSE))</f>
        <v>0</v>
      </c>
      <c r="E63" s="4">
        <f>(VLOOKUP('21.04.01'!M63,'21.04.01'!$AO$4:$AQ$55,3,FALSE))</f>
        <v>0</v>
      </c>
      <c r="F63" s="4">
        <f>(VLOOKUP('21.04.01'!N63,'21.04.01'!$AO$4:$AQ$55,3,FALSE))</f>
        <v>0</v>
      </c>
      <c r="G63" s="5">
        <f>(VLOOKUP('21.04.01'!O63,'21.04.01'!$AO$4:$AQ$55,3,FALSE))</f>
        <v>0</v>
      </c>
      <c r="H63" s="5">
        <f>(VLOOKUP('21.04.01'!P63,'21.04.01'!$AO$4:$AQ$55,3,FALSE))</f>
        <v>0</v>
      </c>
      <c r="I63" s="4">
        <f>(VLOOKUP('21.04.01'!Q63,'21.04.01'!$AO$4:$AQ$55,3,FALSE))</f>
        <v>0</v>
      </c>
      <c r="J63" s="4">
        <f>(VLOOKUP('21.04.01'!R63,'21.04.01'!$AO$4:$AQ$55,3,FALSE))</f>
        <v>0</v>
      </c>
      <c r="K63" s="4">
        <f>(VLOOKUP('21.04.01'!S63,'21.04.01'!$AO$4:$AQ$55,3,FALSE))</f>
        <v>0</v>
      </c>
      <c r="L63" s="4">
        <f>(VLOOKUP('21.04.01'!T63,'21.04.01'!$AO$4:$AQ$55,3,FALSE))</f>
        <v>0</v>
      </c>
      <c r="M63" s="4">
        <f>(VLOOKUP('21.04.01'!U63,'21.04.01'!$AO$4:$AQ$55,3,FALSE))</f>
        <v>0</v>
      </c>
      <c r="N63" s="4">
        <f>(VLOOKUP('21.04.01'!V63,'21.04.01'!$AO$4:$AQ$55,3,FALSE))</f>
        <v>0</v>
      </c>
      <c r="O63" s="5">
        <f>(VLOOKUP('21.04.01'!W63,'21.04.01'!$AO$4:$AQ$55,3,FALSE))</f>
        <v>0</v>
      </c>
      <c r="P63" s="5">
        <f>(VLOOKUP('21.04.01'!X63,'21.04.01'!$AO$4:$AQ$55,3,FALSE))</f>
        <v>0</v>
      </c>
      <c r="Q63" s="4">
        <f>(VLOOKUP('21.04.01'!Y63,'21.04.01'!$AO$4:$AQ$55,3,FALSE))</f>
        <v>0</v>
      </c>
      <c r="R63" s="4">
        <f>(VLOOKUP('21.04.01'!Z63,'21.04.01'!$AO$4:$AQ$55,3,FALSE))</f>
        <v>0</v>
      </c>
      <c r="S63" s="4">
        <f>(VLOOKUP('21.04.01'!AA63,'21.04.01'!$AO$4:$AQ$55,3,FALSE))</f>
        <v>0</v>
      </c>
      <c r="T63" s="4">
        <f>(VLOOKUP('21.04.01'!AB63,'21.04.01'!$AO$4:$AQ$55,3,FALSE))</f>
        <v>0</v>
      </c>
      <c r="U63" s="4">
        <f>(VLOOKUP('21.04.01'!AC63,'21.04.01'!$AO$4:$AQ$55,3,FALSE))</f>
        <v>0</v>
      </c>
      <c r="V63" s="4">
        <f>(VLOOKUP('21.04.01'!AD63,'21.04.01'!$AO$4:$AQ$55,3,FALSE))</f>
        <v>0</v>
      </c>
      <c r="W63" s="5">
        <f>(VLOOKUP('21.04.01'!AE63,'21.04.01'!$AO$4:$AQ$55,3,FALSE))</f>
        <v>0</v>
      </c>
      <c r="X63" s="5">
        <f>(VLOOKUP('21.04.01'!AF63,'21.04.01'!$AO$4:$AQ$55,3,FALSE))</f>
        <v>0</v>
      </c>
    </row>
    <row r="64" spans="1:24">
      <c r="A64" s="4">
        <f>(VLOOKUP('21.04.01'!I64,'21.04.01'!$AO$4:$AQ$55,3,FALSE))</f>
        <v>0</v>
      </c>
      <c r="B64" s="4">
        <f>(VLOOKUP('21.04.01'!J64,'21.04.01'!$AO$4:$AQ$55,3,FALSE))</f>
        <v>0</v>
      </c>
      <c r="C64" s="4">
        <f>(VLOOKUP('21.04.01'!K64,'21.04.01'!$AO$4:$AQ$55,3,FALSE))</f>
        <v>0</v>
      </c>
      <c r="D64" s="4">
        <f>(VLOOKUP('21.04.01'!L64,'21.04.01'!$AO$4:$AQ$55,3,FALSE))</f>
        <v>0</v>
      </c>
      <c r="E64" s="4">
        <f>(VLOOKUP('21.04.01'!M64,'21.04.01'!$AO$4:$AQ$55,3,FALSE))</f>
        <v>0</v>
      </c>
      <c r="F64" s="4">
        <f>(VLOOKUP('21.04.01'!N64,'21.04.01'!$AO$4:$AQ$55,3,FALSE))</f>
        <v>0</v>
      </c>
      <c r="G64" s="5">
        <f>(VLOOKUP('21.04.01'!O64,'21.04.01'!$AO$4:$AQ$55,3,FALSE))</f>
        <v>0</v>
      </c>
      <c r="H64" s="5">
        <f>(VLOOKUP('21.04.01'!P64,'21.04.01'!$AO$4:$AQ$55,3,FALSE))</f>
        <v>0</v>
      </c>
      <c r="I64" s="4">
        <f>(VLOOKUP('21.04.01'!Q64,'21.04.01'!$AO$4:$AQ$55,3,FALSE))</f>
        <v>0</v>
      </c>
      <c r="J64" s="4">
        <f>(VLOOKUP('21.04.01'!R64,'21.04.01'!$AO$4:$AQ$55,3,FALSE))</f>
        <v>0</v>
      </c>
      <c r="K64" s="4">
        <f>(VLOOKUP('21.04.01'!S64,'21.04.01'!$AO$4:$AQ$55,3,FALSE))</f>
        <v>0</v>
      </c>
      <c r="L64" s="4">
        <f>(VLOOKUP('21.04.01'!T64,'21.04.01'!$AO$4:$AQ$55,3,FALSE))</f>
        <v>0</v>
      </c>
      <c r="M64" s="4">
        <f>(VLOOKUP('21.04.01'!U64,'21.04.01'!$AO$4:$AQ$55,3,FALSE))</f>
        <v>0</v>
      </c>
      <c r="N64" s="4">
        <f>(VLOOKUP('21.04.01'!V64,'21.04.01'!$AO$4:$AQ$55,3,FALSE))</f>
        <v>0</v>
      </c>
      <c r="O64" s="5">
        <f>(VLOOKUP('21.04.01'!W64,'21.04.01'!$AO$4:$AQ$55,3,FALSE))</f>
        <v>0</v>
      </c>
      <c r="P64" s="5">
        <f>(VLOOKUP('21.04.01'!X64,'21.04.01'!$AO$4:$AQ$55,3,FALSE))</f>
        <v>0</v>
      </c>
      <c r="Q64" s="4">
        <f>(VLOOKUP('21.04.01'!Y64,'21.04.01'!$AO$4:$AQ$55,3,FALSE))</f>
        <v>0</v>
      </c>
      <c r="R64" s="4">
        <f>(VLOOKUP('21.04.01'!Z64,'21.04.01'!$AO$4:$AQ$55,3,FALSE))</f>
        <v>0</v>
      </c>
      <c r="S64" s="4">
        <f>(VLOOKUP('21.04.01'!AA64,'21.04.01'!$AO$4:$AQ$55,3,FALSE))</f>
        <v>0</v>
      </c>
      <c r="T64" s="4">
        <f>(VLOOKUP('21.04.01'!AB64,'21.04.01'!$AO$4:$AQ$55,3,FALSE))</f>
        <v>0</v>
      </c>
      <c r="U64" s="4">
        <f>(VLOOKUP('21.04.01'!AC64,'21.04.01'!$AO$4:$AQ$55,3,FALSE))</f>
        <v>0</v>
      </c>
      <c r="V64" s="4">
        <f>(VLOOKUP('21.04.01'!AD64,'21.04.01'!$AO$4:$AQ$55,3,FALSE))</f>
        <v>0</v>
      </c>
      <c r="W64" s="5">
        <f>(VLOOKUP('21.04.01'!AE64,'21.04.01'!$AO$4:$AQ$55,3,FALSE))</f>
        <v>0</v>
      </c>
      <c r="X64" s="5">
        <f>(VLOOKUP('21.04.01'!AF64,'21.04.01'!$AO$4:$AQ$55,3,FALSE))</f>
        <v>0</v>
      </c>
    </row>
    <row r="65" spans="1:24">
      <c r="A65" s="4">
        <f>(VLOOKUP('21.04.01'!I65,'21.04.01'!$AO$4:$AQ$55,3,FALSE))</f>
        <v>0</v>
      </c>
      <c r="B65" s="4">
        <f>(VLOOKUP('21.04.01'!J65,'21.04.01'!$AO$4:$AQ$55,3,FALSE))</f>
        <v>0</v>
      </c>
      <c r="C65" s="4">
        <f>(VLOOKUP('21.04.01'!K65,'21.04.01'!$AO$4:$AQ$55,3,FALSE))</f>
        <v>0</v>
      </c>
      <c r="D65" s="4">
        <f>(VLOOKUP('21.04.01'!L65,'21.04.01'!$AO$4:$AQ$55,3,FALSE))</f>
        <v>0</v>
      </c>
      <c r="E65" s="4">
        <f>(VLOOKUP('21.04.01'!M65,'21.04.01'!$AO$4:$AQ$55,3,FALSE))</f>
        <v>0</v>
      </c>
      <c r="F65" s="4">
        <f>(VLOOKUP('21.04.01'!N65,'21.04.01'!$AO$4:$AQ$55,3,FALSE))</f>
        <v>0</v>
      </c>
      <c r="G65" s="5">
        <f>(VLOOKUP('21.04.01'!O65,'21.04.01'!$AO$4:$AQ$55,3,FALSE))</f>
        <v>0</v>
      </c>
      <c r="H65" s="5">
        <f>(VLOOKUP('21.04.01'!P65,'21.04.01'!$AO$4:$AQ$55,3,FALSE))</f>
        <v>0</v>
      </c>
      <c r="I65" s="4">
        <f>(VLOOKUP('21.04.01'!Q65,'21.04.01'!$AO$4:$AQ$55,3,FALSE))</f>
        <v>0</v>
      </c>
      <c r="J65" s="4">
        <f>(VLOOKUP('21.04.01'!R65,'21.04.01'!$AO$4:$AQ$55,3,FALSE))</f>
        <v>0</v>
      </c>
      <c r="K65" s="4">
        <f>(VLOOKUP('21.04.01'!S65,'21.04.01'!$AO$4:$AQ$55,3,FALSE))</f>
        <v>0</v>
      </c>
      <c r="L65" s="4">
        <f>(VLOOKUP('21.04.01'!T65,'21.04.01'!$AO$4:$AQ$55,3,FALSE))</f>
        <v>0</v>
      </c>
      <c r="M65" s="4">
        <f>(VLOOKUP('21.04.01'!U65,'21.04.01'!$AO$4:$AQ$55,3,FALSE))</f>
        <v>0</v>
      </c>
      <c r="N65" s="4">
        <f>(VLOOKUP('21.04.01'!V65,'21.04.01'!$AO$4:$AQ$55,3,FALSE))</f>
        <v>0</v>
      </c>
      <c r="O65" s="5">
        <f>(VLOOKUP('21.04.01'!W65,'21.04.01'!$AO$4:$AQ$55,3,FALSE))</f>
        <v>0</v>
      </c>
      <c r="P65" s="5">
        <f>(VLOOKUP('21.04.01'!X65,'21.04.01'!$AO$4:$AQ$55,3,FALSE))</f>
        <v>0</v>
      </c>
      <c r="Q65" s="4">
        <f>(VLOOKUP('21.04.01'!Y65,'21.04.01'!$AO$4:$AQ$55,3,FALSE))</f>
        <v>0</v>
      </c>
      <c r="R65" s="4">
        <f>(VLOOKUP('21.04.01'!Z65,'21.04.01'!$AO$4:$AQ$55,3,FALSE))</f>
        <v>0</v>
      </c>
      <c r="S65" s="4">
        <f>(VLOOKUP('21.04.01'!AA65,'21.04.01'!$AO$4:$AQ$55,3,FALSE))</f>
        <v>0</v>
      </c>
      <c r="T65" s="4">
        <f>(VLOOKUP('21.04.01'!AB65,'21.04.01'!$AO$4:$AQ$55,3,FALSE))</f>
        <v>0</v>
      </c>
      <c r="U65" s="4">
        <f>(VLOOKUP('21.04.01'!AC65,'21.04.01'!$AO$4:$AQ$55,3,FALSE))</f>
        <v>0</v>
      </c>
      <c r="V65" s="4">
        <f>(VLOOKUP('21.04.01'!AD65,'21.04.01'!$AO$4:$AQ$55,3,FALSE))</f>
        <v>0</v>
      </c>
      <c r="W65" s="5">
        <f>(VLOOKUP('21.04.01'!AE65,'21.04.01'!$AO$4:$AQ$55,3,FALSE))</f>
        <v>0</v>
      </c>
      <c r="X65" s="5">
        <f>(VLOOKUP('21.04.01'!AF65,'21.04.01'!$AO$4:$AQ$55,3,FALSE))</f>
        <v>0</v>
      </c>
    </row>
    <row r="66" spans="1:24">
      <c r="A66" s="4">
        <f>(VLOOKUP('21.04.01'!I66,'21.04.01'!$AO$4:$AQ$55,3,FALSE))</f>
        <v>0</v>
      </c>
      <c r="B66" s="4">
        <f>(VLOOKUP('21.04.01'!J66,'21.04.01'!$AO$4:$AQ$55,3,FALSE))</f>
        <v>0</v>
      </c>
      <c r="C66" s="4">
        <f>(VLOOKUP('21.04.01'!K66,'21.04.01'!$AO$4:$AQ$55,3,FALSE))</f>
        <v>0</v>
      </c>
      <c r="D66" s="4">
        <f>(VLOOKUP('21.04.01'!L66,'21.04.01'!$AO$4:$AQ$55,3,FALSE))</f>
        <v>0</v>
      </c>
      <c r="E66" s="4">
        <f>(VLOOKUP('21.04.01'!M66,'21.04.01'!$AO$4:$AQ$55,3,FALSE))</f>
        <v>0</v>
      </c>
      <c r="F66" s="4">
        <f>(VLOOKUP('21.04.01'!N66,'21.04.01'!$AO$4:$AQ$55,3,FALSE))</f>
        <v>0</v>
      </c>
      <c r="G66" s="5">
        <f>(VLOOKUP('21.04.01'!O66,'21.04.01'!$AO$4:$AQ$55,3,FALSE))</f>
        <v>0</v>
      </c>
      <c r="H66" s="5">
        <f>(VLOOKUP('21.04.01'!P66,'21.04.01'!$AO$4:$AQ$55,3,FALSE))</f>
        <v>0</v>
      </c>
      <c r="I66" s="4">
        <f>(VLOOKUP('21.04.01'!Q66,'21.04.01'!$AO$4:$AQ$55,3,FALSE))</f>
        <v>0</v>
      </c>
      <c r="J66" s="4">
        <f>(VLOOKUP('21.04.01'!R66,'21.04.01'!$AO$4:$AQ$55,3,FALSE))</f>
        <v>0</v>
      </c>
      <c r="K66" s="4">
        <f>(VLOOKUP('21.04.01'!S66,'21.04.01'!$AO$4:$AQ$55,3,FALSE))</f>
        <v>0</v>
      </c>
      <c r="L66" s="4">
        <f>(VLOOKUP('21.04.01'!T66,'21.04.01'!$AO$4:$AQ$55,3,FALSE))</f>
        <v>0</v>
      </c>
      <c r="M66" s="4">
        <f>(VLOOKUP('21.04.01'!U66,'21.04.01'!$AO$4:$AQ$55,3,FALSE))</f>
        <v>0</v>
      </c>
      <c r="N66" s="4">
        <f>(VLOOKUP('21.04.01'!V66,'21.04.01'!$AO$4:$AQ$55,3,FALSE))</f>
        <v>0</v>
      </c>
      <c r="O66" s="5">
        <f>(VLOOKUP('21.04.01'!W66,'21.04.01'!$AO$4:$AQ$55,3,FALSE))</f>
        <v>0</v>
      </c>
      <c r="P66" s="5">
        <f>(VLOOKUP('21.04.01'!X66,'21.04.01'!$AO$4:$AQ$55,3,FALSE))</f>
        <v>0</v>
      </c>
      <c r="Q66" s="4">
        <f>(VLOOKUP('21.04.01'!Y66,'21.04.01'!$AO$4:$AQ$55,3,FALSE))</f>
        <v>0</v>
      </c>
      <c r="R66" s="4">
        <f>(VLOOKUP('21.04.01'!Z66,'21.04.01'!$AO$4:$AQ$55,3,FALSE))</f>
        <v>0</v>
      </c>
      <c r="S66" s="4">
        <f>(VLOOKUP('21.04.01'!AA66,'21.04.01'!$AO$4:$AQ$55,3,FALSE))</f>
        <v>0</v>
      </c>
      <c r="T66" s="4">
        <f>(VLOOKUP('21.04.01'!AB66,'21.04.01'!$AO$4:$AQ$55,3,FALSE))</f>
        <v>0</v>
      </c>
      <c r="U66" s="4">
        <f>(VLOOKUP('21.04.01'!AC66,'21.04.01'!$AO$4:$AQ$55,3,FALSE))</f>
        <v>0</v>
      </c>
      <c r="V66" s="4">
        <f>(VLOOKUP('21.04.01'!AD66,'21.04.01'!$AO$4:$AQ$55,3,FALSE))</f>
        <v>0</v>
      </c>
      <c r="W66" s="5">
        <f>(VLOOKUP('21.04.01'!AE66,'21.04.01'!$AO$4:$AQ$55,3,FALSE))</f>
        <v>0</v>
      </c>
      <c r="X66" s="5">
        <f>(VLOOKUP('21.04.01'!AF66,'21.04.01'!$AO$4:$AQ$55,3,FALSE))</f>
        <v>0</v>
      </c>
    </row>
    <row r="67" spans="1:24">
      <c r="A67" s="4">
        <f>(VLOOKUP('21.04.01'!I67,'21.04.01'!$AO$4:$AQ$55,3,FALSE))</f>
        <v>0</v>
      </c>
      <c r="B67" s="4">
        <f>(VLOOKUP('21.04.01'!J67,'21.04.01'!$AO$4:$AQ$55,3,FALSE))</f>
        <v>0</v>
      </c>
      <c r="C67" s="4">
        <f>(VLOOKUP('21.04.01'!K67,'21.04.01'!$AO$4:$AQ$55,3,FALSE))</f>
        <v>0</v>
      </c>
      <c r="D67" s="4">
        <f>(VLOOKUP('21.04.01'!L67,'21.04.01'!$AO$4:$AQ$55,3,FALSE))</f>
        <v>0</v>
      </c>
      <c r="E67" s="4">
        <f>(VLOOKUP('21.04.01'!M67,'21.04.01'!$AO$4:$AQ$55,3,FALSE))</f>
        <v>0</v>
      </c>
      <c r="F67" s="4">
        <f>(VLOOKUP('21.04.01'!N67,'21.04.01'!$AO$4:$AQ$55,3,FALSE))</f>
        <v>0</v>
      </c>
      <c r="G67" s="5">
        <f>(VLOOKUP('21.04.01'!O67,'21.04.01'!$AO$4:$AQ$55,3,FALSE))</f>
        <v>0</v>
      </c>
      <c r="H67" s="5">
        <f>(VLOOKUP('21.04.01'!P67,'21.04.01'!$AO$4:$AQ$55,3,FALSE))</f>
        <v>0</v>
      </c>
      <c r="I67" s="4">
        <f>(VLOOKUP('21.04.01'!Q67,'21.04.01'!$AO$4:$AQ$55,3,FALSE))</f>
        <v>0</v>
      </c>
      <c r="J67" s="4">
        <f>(VLOOKUP('21.04.01'!R67,'21.04.01'!$AO$4:$AQ$55,3,FALSE))</f>
        <v>0</v>
      </c>
      <c r="K67" s="4">
        <f>(VLOOKUP('21.04.01'!S67,'21.04.01'!$AO$4:$AQ$55,3,FALSE))</f>
        <v>0</v>
      </c>
      <c r="L67" s="4">
        <f>(VLOOKUP('21.04.01'!T67,'21.04.01'!$AO$4:$AQ$55,3,FALSE))</f>
        <v>0</v>
      </c>
      <c r="M67" s="4">
        <f>(VLOOKUP('21.04.01'!U67,'21.04.01'!$AO$4:$AQ$55,3,FALSE))</f>
        <v>0</v>
      </c>
      <c r="N67" s="4">
        <f>(VLOOKUP('21.04.01'!V67,'21.04.01'!$AO$4:$AQ$55,3,FALSE))</f>
        <v>0</v>
      </c>
      <c r="O67" s="5">
        <f>(VLOOKUP('21.04.01'!W67,'21.04.01'!$AO$4:$AQ$55,3,FALSE))</f>
        <v>0</v>
      </c>
      <c r="P67" s="5">
        <f>(VLOOKUP('21.04.01'!X67,'21.04.01'!$AO$4:$AQ$55,3,FALSE))</f>
        <v>0</v>
      </c>
      <c r="Q67" s="4">
        <f>(VLOOKUP('21.04.01'!Y67,'21.04.01'!$AO$4:$AQ$55,3,FALSE))</f>
        <v>0</v>
      </c>
      <c r="R67" s="4">
        <f>(VLOOKUP('21.04.01'!Z67,'21.04.01'!$AO$4:$AQ$55,3,FALSE))</f>
        <v>0</v>
      </c>
      <c r="S67" s="4">
        <f>(VLOOKUP('21.04.01'!AA67,'21.04.01'!$AO$4:$AQ$55,3,FALSE))</f>
        <v>0</v>
      </c>
      <c r="T67" s="4">
        <f>(VLOOKUP('21.04.01'!AB67,'21.04.01'!$AO$4:$AQ$55,3,FALSE))</f>
        <v>0</v>
      </c>
      <c r="U67" s="4">
        <f>(VLOOKUP('21.04.01'!AC67,'21.04.01'!$AO$4:$AQ$55,3,FALSE))</f>
        <v>0</v>
      </c>
      <c r="V67" s="4">
        <f>(VLOOKUP('21.04.01'!AD67,'21.04.01'!$AO$4:$AQ$55,3,FALSE))</f>
        <v>0</v>
      </c>
      <c r="W67" s="5">
        <f>(VLOOKUP('21.04.01'!AE67,'21.04.01'!$AO$4:$AQ$55,3,FALSE))</f>
        <v>0</v>
      </c>
      <c r="X67" s="5">
        <f>(VLOOKUP('21.04.01'!AF67,'21.04.01'!$AO$4:$AQ$55,3,FALSE))</f>
        <v>0</v>
      </c>
    </row>
    <row r="68" spans="1:24">
      <c r="A68" s="4">
        <f>(VLOOKUP('21.04.01'!I68,'21.04.01'!$AO$4:$AQ$55,3,FALSE))</f>
        <v>0</v>
      </c>
      <c r="B68" s="4">
        <f>(VLOOKUP('21.04.01'!J68,'21.04.01'!$AO$4:$AQ$55,3,FALSE))</f>
        <v>0</v>
      </c>
      <c r="C68" s="4">
        <f>(VLOOKUP('21.04.01'!K68,'21.04.01'!$AO$4:$AQ$55,3,FALSE))</f>
        <v>0</v>
      </c>
      <c r="D68" s="4">
        <f>(VLOOKUP('21.04.01'!L68,'21.04.01'!$AO$4:$AQ$55,3,FALSE))</f>
        <v>0</v>
      </c>
      <c r="E68" s="4">
        <f>(VLOOKUP('21.04.01'!M68,'21.04.01'!$AO$4:$AQ$55,3,FALSE))</f>
        <v>0</v>
      </c>
      <c r="F68" s="4">
        <f>(VLOOKUP('21.04.01'!N68,'21.04.01'!$AO$4:$AQ$55,3,FALSE))</f>
        <v>0</v>
      </c>
      <c r="G68" s="5">
        <f>(VLOOKUP('21.04.01'!O68,'21.04.01'!$AO$4:$AQ$55,3,FALSE))</f>
        <v>0</v>
      </c>
      <c r="H68" s="5">
        <f>(VLOOKUP('21.04.01'!P68,'21.04.01'!$AO$4:$AQ$55,3,FALSE))</f>
        <v>0</v>
      </c>
      <c r="I68" s="4">
        <f>(VLOOKUP('21.04.01'!Q68,'21.04.01'!$AO$4:$AQ$55,3,FALSE))</f>
        <v>0</v>
      </c>
      <c r="J68" s="4">
        <f>(VLOOKUP('21.04.01'!R68,'21.04.01'!$AO$4:$AQ$55,3,FALSE))</f>
        <v>0</v>
      </c>
      <c r="K68" s="4">
        <f>(VLOOKUP('21.04.01'!S68,'21.04.01'!$AO$4:$AQ$55,3,FALSE))</f>
        <v>0</v>
      </c>
      <c r="L68" s="4">
        <f>(VLOOKUP('21.04.01'!T68,'21.04.01'!$AO$4:$AQ$55,3,FALSE))</f>
        <v>0</v>
      </c>
      <c r="M68" s="4">
        <f>(VLOOKUP('21.04.01'!U68,'21.04.01'!$AO$4:$AQ$55,3,FALSE))</f>
        <v>0</v>
      </c>
      <c r="N68" s="4">
        <f>(VLOOKUP('21.04.01'!V68,'21.04.01'!$AO$4:$AQ$55,3,FALSE))</f>
        <v>0</v>
      </c>
      <c r="O68" s="5">
        <f>(VLOOKUP('21.04.01'!W68,'21.04.01'!$AO$4:$AQ$55,3,FALSE))</f>
        <v>0</v>
      </c>
      <c r="P68" s="5">
        <f>(VLOOKUP('21.04.01'!X68,'21.04.01'!$AO$4:$AQ$55,3,FALSE))</f>
        <v>0</v>
      </c>
      <c r="Q68" s="4">
        <f>(VLOOKUP('21.04.01'!Y68,'21.04.01'!$AO$4:$AQ$55,3,FALSE))</f>
        <v>0</v>
      </c>
      <c r="R68" s="4">
        <f>(VLOOKUP('21.04.01'!Z68,'21.04.01'!$AO$4:$AQ$55,3,FALSE))</f>
        <v>0</v>
      </c>
      <c r="S68" s="4">
        <f>(VLOOKUP('21.04.01'!AA68,'21.04.01'!$AO$4:$AQ$55,3,FALSE))</f>
        <v>0</v>
      </c>
      <c r="T68" s="4">
        <f>(VLOOKUP('21.04.01'!AB68,'21.04.01'!$AO$4:$AQ$55,3,FALSE))</f>
        <v>0</v>
      </c>
      <c r="U68" s="4">
        <f>(VLOOKUP('21.04.01'!AC68,'21.04.01'!$AO$4:$AQ$55,3,FALSE))</f>
        <v>0</v>
      </c>
      <c r="V68" s="4">
        <f>(VLOOKUP('21.04.01'!AD68,'21.04.01'!$AO$4:$AQ$55,3,FALSE))</f>
        <v>0</v>
      </c>
      <c r="W68" s="5">
        <f>(VLOOKUP('21.04.01'!AE68,'21.04.01'!$AO$4:$AQ$55,3,FALSE))</f>
        <v>0</v>
      </c>
      <c r="X68" s="5">
        <f>(VLOOKUP('21.04.01'!AF68,'21.04.01'!$AO$4:$AQ$55,3,FALSE))</f>
        <v>0</v>
      </c>
    </row>
    <row r="69" spans="1:24">
      <c r="A69" s="4">
        <f>(VLOOKUP('21.04.01'!I69,'21.04.01'!$AO$4:$AQ$55,3,FALSE))</f>
        <v>0</v>
      </c>
      <c r="B69" s="4">
        <f>(VLOOKUP('21.04.01'!J69,'21.04.01'!$AO$4:$AQ$55,3,FALSE))</f>
        <v>0</v>
      </c>
      <c r="C69" s="4">
        <f>(VLOOKUP('21.04.01'!K69,'21.04.01'!$AO$4:$AQ$55,3,FALSE))</f>
        <v>0</v>
      </c>
      <c r="D69" s="4">
        <f>(VLOOKUP('21.04.01'!L69,'21.04.01'!$AO$4:$AQ$55,3,FALSE))</f>
        <v>0</v>
      </c>
      <c r="E69" s="4">
        <f>(VLOOKUP('21.04.01'!M69,'21.04.01'!$AO$4:$AQ$55,3,FALSE))</f>
        <v>0</v>
      </c>
      <c r="F69" s="4">
        <f>(VLOOKUP('21.04.01'!N69,'21.04.01'!$AO$4:$AQ$55,3,FALSE))</f>
        <v>0</v>
      </c>
      <c r="G69" s="5">
        <f>(VLOOKUP('21.04.01'!O69,'21.04.01'!$AO$4:$AQ$55,3,FALSE))</f>
        <v>0</v>
      </c>
      <c r="H69" s="5">
        <f>(VLOOKUP('21.04.01'!P69,'21.04.01'!$AO$4:$AQ$55,3,FALSE))</f>
        <v>0</v>
      </c>
      <c r="I69" s="4">
        <f>(VLOOKUP('21.04.01'!Q69,'21.04.01'!$AO$4:$AQ$55,3,FALSE))</f>
        <v>0</v>
      </c>
      <c r="J69" s="4">
        <f>(VLOOKUP('21.04.01'!R69,'21.04.01'!$AO$4:$AQ$55,3,FALSE))</f>
        <v>0</v>
      </c>
      <c r="K69" s="4">
        <f>(VLOOKUP('21.04.01'!S69,'21.04.01'!$AO$4:$AQ$55,3,FALSE))</f>
        <v>0</v>
      </c>
      <c r="L69" s="4">
        <f>(VLOOKUP('21.04.01'!T69,'21.04.01'!$AO$4:$AQ$55,3,FALSE))</f>
        <v>0</v>
      </c>
      <c r="M69" s="4">
        <f>(VLOOKUP('21.04.01'!U69,'21.04.01'!$AO$4:$AQ$55,3,FALSE))</f>
        <v>0</v>
      </c>
      <c r="N69" s="4">
        <f>(VLOOKUP('21.04.01'!V69,'21.04.01'!$AO$4:$AQ$55,3,FALSE))</f>
        <v>0</v>
      </c>
      <c r="O69" s="5">
        <f>(VLOOKUP('21.04.01'!W69,'21.04.01'!$AO$4:$AQ$55,3,FALSE))</f>
        <v>0</v>
      </c>
      <c r="P69" s="5">
        <f>(VLOOKUP('21.04.01'!X69,'21.04.01'!$AO$4:$AQ$55,3,FALSE))</f>
        <v>0</v>
      </c>
      <c r="Q69" s="4">
        <f>(VLOOKUP('21.04.01'!Y69,'21.04.01'!$AO$4:$AQ$55,3,FALSE))</f>
        <v>0</v>
      </c>
      <c r="R69" s="4">
        <f>(VLOOKUP('21.04.01'!Z69,'21.04.01'!$AO$4:$AQ$55,3,FALSE))</f>
        <v>0</v>
      </c>
      <c r="S69" s="4">
        <f>(VLOOKUP('21.04.01'!AA69,'21.04.01'!$AO$4:$AQ$55,3,FALSE))</f>
        <v>0</v>
      </c>
      <c r="T69" s="4">
        <f>(VLOOKUP('21.04.01'!AB69,'21.04.01'!$AO$4:$AQ$55,3,FALSE))</f>
        <v>0</v>
      </c>
      <c r="U69" s="4">
        <f>(VLOOKUP('21.04.01'!AC69,'21.04.01'!$AO$4:$AQ$55,3,FALSE))</f>
        <v>0</v>
      </c>
      <c r="V69" s="4">
        <f>(VLOOKUP('21.04.01'!AD69,'21.04.01'!$AO$4:$AQ$55,3,FALSE))</f>
        <v>0</v>
      </c>
      <c r="W69" s="5">
        <f>(VLOOKUP('21.04.01'!AE69,'21.04.01'!$AO$4:$AQ$55,3,FALSE))</f>
        <v>0</v>
      </c>
      <c r="X69" s="5">
        <f>(VLOOKUP('21.04.01'!AF69,'21.04.01'!$AO$4:$AQ$55,3,FALSE))</f>
        <v>0</v>
      </c>
    </row>
    <row r="70" spans="1:24">
      <c r="A70" s="4">
        <f>(VLOOKUP('21.04.01'!I70,'21.04.01'!$AO$4:$AQ$55,3,FALSE))</f>
        <v>0</v>
      </c>
      <c r="B70" s="4">
        <f>(VLOOKUP('21.04.01'!J70,'21.04.01'!$AO$4:$AQ$55,3,FALSE))</f>
        <v>0</v>
      </c>
      <c r="C70" s="4">
        <f>(VLOOKUP('21.04.01'!K70,'21.04.01'!$AO$4:$AQ$55,3,FALSE))</f>
        <v>0</v>
      </c>
      <c r="D70" s="4">
        <f>(VLOOKUP('21.04.01'!L70,'21.04.01'!$AO$4:$AQ$55,3,FALSE))</f>
        <v>0</v>
      </c>
      <c r="E70" s="4">
        <f>(VLOOKUP('21.04.01'!M70,'21.04.01'!$AO$4:$AQ$55,3,FALSE))</f>
        <v>0</v>
      </c>
      <c r="F70" s="4">
        <f>(VLOOKUP('21.04.01'!N70,'21.04.01'!$AO$4:$AQ$55,3,FALSE))</f>
        <v>0</v>
      </c>
      <c r="G70" s="5">
        <f>(VLOOKUP('21.04.01'!O70,'21.04.01'!$AO$4:$AQ$55,3,FALSE))</f>
        <v>0</v>
      </c>
      <c r="H70" s="5">
        <f>(VLOOKUP('21.04.01'!P70,'21.04.01'!$AO$4:$AQ$55,3,FALSE))</f>
        <v>0</v>
      </c>
      <c r="I70" s="4">
        <f>(VLOOKUP('21.04.01'!Q70,'21.04.01'!$AO$4:$AQ$55,3,FALSE))</f>
        <v>0</v>
      </c>
      <c r="J70" s="4">
        <f>(VLOOKUP('21.04.01'!R70,'21.04.01'!$AO$4:$AQ$55,3,FALSE))</f>
        <v>0</v>
      </c>
      <c r="K70" s="4">
        <f>(VLOOKUP('21.04.01'!S70,'21.04.01'!$AO$4:$AQ$55,3,FALSE))</f>
        <v>0</v>
      </c>
      <c r="L70" s="4">
        <f>(VLOOKUP('21.04.01'!T70,'21.04.01'!$AO$4:$AQ$55,3,FALSE))</f>
        <v>0</v>
      </c>
      <c r="M70" s="4">
        <f>(VLOOKUP('21.04.01'!U70,'21.04.01'!$AO$4:$AQ$55,3,FALSE))</f>
        <v>0</v>
      </c>
      <c r="N70" s="4">
        <f>(VLOOKUP('21.04.01'!V70,'21.04.01'!$AO$4:$AQ$55,3,FALSE))</f>
        <v>0</v>
      </c>
      <c r="O70" s="5">
        <f>(VLOOKUP('21.04.01'!W70,'21.04.01'!$AO$4:$AQ$55,3,FALSE))</f>
        <v>0</v>
      </c>
      <c r="P70" s="5">
        <f>(VLOOKUP('21.04.01'!X70,'21.04.01'!$AO$4:$AQ$55,3,FALSE))</f>
        <v>0</v>
      </c>
      <c r="Q70" s="4">
        <f>(VLOOKUP('21.04.01'!Y70,'21.04.01'!$AO$4:$AQ$55,3,FALSE))</f>
        <v>0</v>
      </c>
      <c r="R70" s="4">
        <f>(VLOOKUP('21.04.01'!Z70,'21.04.01'!$AO$4:$AQ$55,3,FALSE))</f>
        <v>0</v>
      </c>
      <c r="S70" s="4">
        <f>(VLOOKUP('21.04.01'!AA70,'21.04.01'!$AO$4:$AQ$55,3,FALSE))</f>
        <v>0</v>
      </c>
      <c r="T70" s="4">
        <f>(VLOOKUP('21.04.01'!AB70,'21.04.01'!$AO$4:$AQ$55,3,FALSE))</f>
        <v>0</v>
      </c>
      <c r="U70" s="4">
        <f>(VLOOKUP('21.04.01'!AC70,'21.04.01'!$AO$4:$AQ$55,3,FALSE))</f>
        <v>0</v>
      </c>
      <c r="V70" s="4">
        <f>(VLOOKUP('21.04.01'!AD70,'21.04.01'!$AO$4:$AQ$55,3,FALSE))</f>
        <v>0</v>
      </c>
      <c r="W70" s="5">
        <f>(VLOOKUP('21.04.01'!AE70,'21.04.01'!$AO$4:$AQ$55,3,FALSE))</f>
        <v>0</v>
      </c>
      <c r="X70" s="5">
        <f>(VLOOKUP('21.04.01'!AF70,'21.04.01'!$AO$4:$AQ$55,3,FALSE))</f>
        <v>0</v>
      </c>
    </row>
    <row r="71" spans="1:24">
      <c r="A71" s="4">
        <f>(VLOOKUP('21.04.01'!I71,'21.04.01'!$AO$4:$AQ$55,3,FALSE))</f>
        <v>0</v>
      </c>
      <c r="B71" s="4">
        <f>(VLOOKUP('21.04.01'!J71,'21.04.01'!$AO$4:$AQ$55,3,FALSE))</f>
        <v>0</v>
      </c>
      <c r="C71" s="4">
        <f>(VLOOKUP('21.04.01'!K71,'21.04.01'!$AO$4:$AQ$55,3,FALSE))</f>
        <v>0</v>
      </c>
      <c r="D71" s="4">
        <f>(VLOOKUP('21.04.01'!L71,'21.04.01'!$AO$4:$AQ$55,3,FALSE))</f>
        <v>0</v>
      </c>
      <c r="E71" s="4">
        <f>(VLOOKUP('21.04.01'!M71,'21.04.01'!$AO$4:$AQ$55,3,FALSE))</f>
        <v>0</v>
      </c>
      <c r="F71" s="4">
        <f>(VLOOKUP('21.04.01'!N71,'21.04.01'!$AO$4:$AQ$55,3,FALSE))</f>
        <v>0</v>
      </c>
      <c r="G71" s="5">
        <f>(VLOOKUP('21.04.01'!O71,'21.04.01'!$AO$4:$AQ$55,3,FALSE))</f>
        <v>0</v>
      </c>
      <c r="H71" s="5">
        <f>(VLOOKUP('21.04.01'!P71,'21.04.01'!$AO$4:$AQ$55,3,FALSE))</f>
        <v>0</v>
      </c>
      <c r="I71" s="4">
        <f>(VLOOKUP('21.04.01'!Q71,'21.04.01'!$AO$4:$AQ$55,3,FALSE))</f>
        <v>0</v>
      </c>
      <c r="J71" s="4">
        <f>(VLOOKUP('21.04.01'!R71,'21.04.01'!$AO$4:$AQ$55,3,FALSE))</f>
        <v>0</v>
      </c>
      <c r="K71" s="4">
        <f>(VLOOKUP('21.04.01'!S71,'21.04.01'!$AO$4:$AQ$55,3,FALSE))</f>
        <v>0</v>
      </c>
      <c r="L71" s="4">
        <f>(VLOOKUP('21.04.01'!T71,'21.04.01'!$AO$4:$AQ$55,3,FALSE))</f>
        <v>0</v>
      </c>
      <c r="M71" s="4">
        <f>(VLOOKUP('21.04.01'!U71,'21.04.01'!$AO$4:$AQ$55,3,FALSE))</f>
        <v>0</v>
      </c>
      <c r="N71" s="4">
        <f>(VLOOKUP('21.04.01'!V71,'21.04.01'!$AO$4:$AQ$55,3,FALSE))</f>
        <v>0</v>
      </c>
      <c r="O71" s="5">
        <f>(VLOOKUP('21.04.01'!W71,'21.04.01'!$AO$4:$AQ$55,3,FALSE))</f>
        <v>0</v>
      </c>
      <c r="P71" s="5">
        <f>(VLOOKUP('21.04.01'!X71,'21.04.01'!$AO$4:$AQ$55,3,FALSE))</f>
        <v>0</v>
      </c>
      <c r="Q71" s="4">
        <f>(VLOOKUP('21.04.01'!Y71,'21.04.01'!$AO$4:$AQ$55,3,FALSE))</f>
        <v>0</v>
      </c>
      <c r="R71" s="4">
        <f>(VLOOKUP('21.04.01'!Z71,'21.04.01'!$AO$4:$AQ$55,3,FALSE))</f>
        <v>0</v>
      </c>
      <c r="S71" s="4">
        <f>(VLOOKUP('21.04.01'!AA71,'21.04.01'!$AO$4:$AQ$55,3,FALSE))</f>
        <v>0</v>
      </c>
      <c r="T71" s="4">
        <f>(VLOOKUP('21.04.01'!AB71,'21.04.01'!$AO$4:$AQ$55,3,FALSE))</f>
        <v>0</v>
      </c>
      <c r="U71" s="4">
        <f>(VLOOKUP('21.04.01'!AC71,'21.04.01'!$AO$4:$AQ$55,3,FALSE))</f>
        <v>0</v>
      </c>
      <c r="V71" s="4">
        <f>(VLOOKUP('21.04.01'!AD71,'21.04.01'!$AO$4:$AQ$55,3,FALSE))</f>
        <v>0</v>
      </c>
      <c r="W71" s="5">
        <f>(VLOOKUP('21.04.01'!AE71,'21.04.01'!$AO$4:$AQ$55,3,FALSE))</f>
        <v>0</v>
      </c>
      <c r="X71" s="5">
        <f>(VLOOKUP('21.04.01'!AF71,'21.04.01'!$AO$4:$AQ$55,3,FALSE))</f>
        <v>0</v>
      </c>
    </row>
    <row r="72" spans="1:24">
      <c r="A72" s="4">
        <f>(VLOOKUP('21.04.01'!I72,'21.04.01'!$AO$4:$AQ$55,3,FALSE))</f>
        <v>0</v>
      </c>
      <c r="B72" s="4">
        <f>(VLOOKUP('21.04.01'!J72,'21.04.01'!$AO$4:$AQ$55,3,FALSE))</f>
        <v>0</v>
      </c>
      <c r="C72" s="4">
        <f>(VLOOKUP('21.04.01'!K72,'21.04.01'!$AO$4:$AQ$55,3,FALSE))</f>
        <v>0</v>
      </c>
      <c r="D72" s="4">
        <f>(VLOOKUP('21.04.01'!L72,'21.04.01'!$AO$4:$AQ$55,3,FALSE))</f>
        <v>0</v>
      </c>
      <c r="E72" s="4">
        <f>(VLOOKUP('21.04.01'!M72,'21.04.01'!$AO$4:$AQ$55,3,FALSE))</f>
        <v>0</v>
      </c>
      <c r="F72" s="4">
        <f>(VLOOKUP('21.04.01'!N72,'21.04.01'!$AO$4:$AQ$55,3,FALSE))</f>
        <v>0</v>
      </c>
      <c r="G72" s="5">
        <f>(VLOOKUP('21.04.01'!O72,'21.04.01'!$AO$4:$AQ$55,3,FALSE))</f>
        <v>0</v>
      </c>
      <c r="H72" s="5">
        <f>(VLOOKUP('21.04.01'!P72,'21.04.01'!$AO$4:$AQ$55,3,FALSE))</f>
        <v>0</v>
      </c>
      <c r="I72" s="4">
        <f>(VLOOKUP('21.04.01'!Q72,'21.04.01'!$AO$4:$AQ$55,3,FALSE))</f>
        <v>0</v>
      </c>
      <c r="J72" s="4">
        <f>(VLOOKUP('21.04.01'!R72,'21.04.01'!$AO$4:$AQ$55,3,FALSE))</f>
        <v>0</v>
      </c>
      <c r="K72" s="4">
        <f>(VLOOKUP('21.04.01'!S72,'21.04.01'!$AO$4:$AQ$55,3,FALSE))</f>
        <v>0</v>
      </c>
      <c r="L72" s="4">
        <f>(VLOOKUP('21.04.01'!T72,'21.04.01'!$AO$4:$AQ$55,3,FALSE))</f>
        <v>0</v>
      </c>
      <c r="M72" s="4">
        <f>(VLOOKUP('21.04.01'!U72,'21.04.01'!$AO$4:$AQ$55,3,FALSE))</f>
        <v>0</v>
      </c>
      <c r="N72" s="4">
        <f>(VLOOKUP('21.04.01'!V72,'21.04.01'!$AO$4:$AQ$55,3,FALSE))</f>
        <v>0</v>
      </c>
      <c r="O72" s="5">
        <f>(VLOOKUP('21.04.01'!W72,'21.04.01'!$AO$4:$AQ$55,3,FALSE))</f>
        <v>0</v>
      </c>
      <c r="P72" s="5">
        <f>(VLOOKUP('21.04.01'!X72,'21.04.01'!$AO$4:$AQ$55,3,FALSE))</f>
        <v>0</v>
      </c>
      <c r="Q72" s="4">
        <f>(VLOOKUP('21.04.01'!Y72,'21.04.01'!$AO$4:$AQ$55,3,FALSE))</f>
        <v>0</v>
      </c>
      <c r="R72" s="4">
        <f>(VLOOKUP('21.04.01'!Z72,'21.04.01'!$AO$4:$AQ$55,3,FALSE))</f>
        <v>0</v>
      </c>
      <c r="S72" s="4">
        <f>(VLOOKUP('21.04.01'!AA72,'21.04.01'!$AO$4:$AQ$55,3,FALSE))</f>
        <v>0</v>
      </c>
      <c r="T72" s="4">
        <f>(VLOOKUP('21.04.01'!AB72,'21.04.01'!$AO$4:$AQ$55,3,FALSE))</f>
        <v>0</v>
      </c>
      <c r="U72" s="4">
        <f>(VLOOKUP('21.04.01'!AC72,'21.04.01'!$AO$4:$AQ$55,3,FALSE))</f>
        <v>0</v>
      </c>
      <c r="V72" s="4">
        <f>(VLOOKUP('21.04.01'!AD72,'21.04.01'!$AO$4:$AQ$55,3,FALSE))</f>
        <v>0</v>
      </c>
      <c r="W72" s="5">
        <f>(VLOOKUP('21.04.01'!AE72,'21.04.01'!$AO$4:$AQ$55,3,FALSE))</f>
        <v>0</v>
      </c>
      <c r="X72" s="5">
        <f>(VLOOKUP('21.04.01'!AF72,'21.04.01'!$AO$4:$AQ$55,3,FALSE))</f>
        <v>0</v>
      </c>
    </row>
    <row r="73" spans="1:24">
      <c r="A73" s="4">
        <f>(VLOOKUP('21.04.01'!I73,'21.04.01'!$AO$4:$AQ$55,3,FALSE))</f>
        <v>0</v>
      </c>
      <c r="B73" s="4">
        <f>(VLOOKUP('21.04.01'!J73,'21.04.01'!$AO$4:$AQ$55,3,FALSE))</f>
        <v>0</v>
      </c>
      <c r="C73" s="4">
        <f>(VLOOKUP('21.04.01'!K73,'21.04.01'!$AO$4:$AQ$55,3,FALSE))</f>
        <v>0</v>
      </c>
      <c r="D73" s="4">
        <f>(VLOOKUP('21.04.01'!L73,'21.04.01'!$AO$4:$AQ$55,3,FALSE))</f>
        <v>0</v>
      </c>
      <c r="E73" s="4">
        <f>(VLOOKUP('21.04.01'!M73,'21.04.01'!$AO$4:$AQ$55,3,FALSE))</f>
        <v>0</v>
      </c>
      <c r="F73" s="4">
        <f>(VLOOKUP('21.04.01'!N73,'21.04.01'!$AO$4:$AQ$55,3,FALSE))</f>
        <v>0</v>
      </c>
      <c r="G73" s="5">
        <f>(VLOOKUP('21.04.01'!O73,'21.04.01'!$AO$4:$AQ$55,3,FALSE))</f>
        <v>0</v>
      </c>
      <c r="H73" s="5">
        <f>(VLOOKUP('21.04.01'!P73,'21.04.01'!$AO$4:$AQ$55,3,FALSE))</f>
        <v>0</v>
      </c>
      <c r="I73" s="4">
        <f>(VLOOKUP('21.04.01'!Q73,'21.04.01'!$AO$4:$AQ$55,3,FALSE))</f>
        <v>0</v>
      </c>
      <c r="J73" s="4">
        <f>(VLOOKUP('21.04.01'!R73,'21.04.01'!$AO$4:$AQ$55,3,FALSE))</f>
        <v>0</v>
      </c>
      <c r="K73" s="4">
        <f>(VLOOKUP('21.04.01'!S73,'21.04.01'!$AO$4:$AQ$55,3,FALSE))</f>
        <v>0</v>
      </c>
      <c r="L73" s="4">
        <f>(VLOOKUP('21.04.01'!T73,'21.04.01'!$AO$4:$AQ$55,3,FALSE))</f>
        <v>0</v>
      </c>
      <c r="M73" s="4">
        <f>(VLOOKUP('21.04.01'!U73,'21.04.01'!$AO$4:$AQ$55,3,FALSE))</f>
        <v>0</v>
      </c>
      <c r="N73" s="4">
        <f>(VLOOKUP('21.04.01'!V73,'21.04.01'!$AO$4:$AQ$55,3,FALSE))</f>
        <v>0</v>
      </c>
      <c r="O73" s="5">
        <f>(VLOOKUP('21.04.01'!W73,'21.04.01'!$AO$4:$AQ$55,3,FALSE))</f>
        <v>0</v>
      </c>
      <c r="P73" s="5">
        <f>(VLOOKUP('21.04.01'!X73,'21.04.01'!$AO$4:$AQ$55,3,FALSE))</f>
        <v>0</v>
      </c>
      <c r="Q73" s="4">
        <f>(VLOOKUP('21.04.01'!Y73,'21.04.01'!$AO$4:$AQ$55,3,FALSE))</f>
        <v>0</v>
      </c>
      <c r="R73" s="4">
        <f>(VLOOKUP('21.04.01'!Z73,'21.04.01'!$AO$4:$AQ$55,3,FALSE))</f>
        <v>0</v>
      </c>
      <c r="S73" s="4">
        <f>(VLOOKUP('21.04.01'!AA73,'21.04.01'!$AO$4:$AQ$55,3,FALSE))</f>
        <v>0</v>
      </c>
      <c r="T73" s="4">
        <f>(VLOOKUP('21.04.01'!AB73,'21.04.01'!$AO$4:$AQ$55,3,FALSE))</f>
        <v>0</v>
      </c>
      <c r="U73" s="4">
        <f>(VLOOKUP('21.04.01'!AC73,'21.04.01'!$AO$4:$AQ$55,3,FALSE))</f>
        <v>0</v>
      </c>
      <c r="V73" s="4">
        <f>(VLOOKUP('21.04.01'!AD73,'21.04.01'!$AO$4:$AQ$55,3,FALSE))</f>
        <v>0</v>
      </c>
      <c r="W73" s="5">
        <f>(VLOOKUP('21.04.01'!AE73,'21.04.01'!$AO$4:$AQ$55,3,FALSE))</f>
        <v>0</v>
      </c>
      <c r="X73" s="5">
        <f>(VLOOKUP('21.04.01'!AF73,'21.04.01'!$AO$4:$AQ$55,3,FALSE))</f>
        <v>0</v>
      </c>
    </row>
    <row r="74" spans="1:24">
      <c r="A74" s="4">
        <f>(VLOOKUP('21.04.01'!I74,'21.04.01'!$AO$4:$AQ$55,3,FALSE))</f>
        <v>0</v>
      </c>
      <c r="B74" s="4">
        <f>(VLOOKUP('21.04.01'!J74,'21.04.01'!$AO$4:$AQ$55,3,FALSE))</f>
        <v>0</v>
      </c>
      <c r="C74" s="4">
        <f>(VLOOKUP('21.04.01'!K74,'21.04.01'!$AO$4:$AQ$55,3,FALSE))</f>
        <v>0</v>
      </c>
      <c r="D74" s="4">
        <f>(VLOOKUP('21.04.01'!L74,'21.04.01'!$AO$4:$AQ$55,3,FALSE))</f>
        <v>0</v>
      </c>
      <c r="E74" s="4">
        <f>(VLOOKUP('21.04.01'!M74,'21.04.01'!$AO$4:$AQ$55,3,FALSE))</f>
        <v>0</v>
      </c>
      <c r="F74" s="4">
        <f>(VLOOKUP('21.04.01'!N74,'21.04.01'!$AO$4:$AQ$55,3,FALSE))</f>
        <v>0</v>
      </c>
      <c r="G74" s="5">
        <f>(VLOOKUP('21.04.01'!O74,'21.04.01'!$AO$4:$AQ$55,3,FALSE))</f>
        <v>0</v>
      </c>
      <c r="H74" s="5">
        <f>(VLOOKUP('21.04.01'!P74,'21.04.01'!$AO$4:$AQ$55,3,FALSE))</f>
        <v>0</v>
      </c>
      <c r="I74" s="4">
        <f>(VLOOKUP('21.04.01'!Q74,'21.04.01'!$AO$4:$AQ$55,3,FALSE))</f>
        <v>0</v>
      </c>
      <c r="J74" s="4">
        <f>(VLOOKUP('21.04.01'!R74,'21.04.01'!$AO$4:$AQ$55,3,FALSE))</f>
        <v>0</v>
      </c>
      <c r="K74" s="4">
        <f>(VLOOKUP('21.04.01'!S74,'21.04.01'!$AO$4:$AQ$55,3,FALSE))</f>
        <v>0</v>
      </c>
      <c r="L74" s="4">
        <f>(VLOOKUP('21.04.01'!T74,'21.04.01'!$AO$4:$AQ$55,3,FALSE))</f>
        <v>0</v>
      </c>
      <c r="M74" s="4">
        <f>(VLOOKUP('21.04.01'!U74,'21.04.01'!$AO$4:$AQ$55,3,FALSE))</f>
        <v>0</v>
      </c>
      <c r="N74" s="4">
        <f>(VLOOKUP('21.04.01'!V74,'21.04.01'!$AO$4:$AQ$55,3,FALSE))</f>
        <v>0</v>
      </c>
      <c r="O74" s="5">
        <f>(VLOOKUP('21.04.01'!W74,'21.04.01'!$AO$4:$AQ$55,3,FALSE))</f>
        <v>0</v>
      </c>
      <c r="P74" s="5">
        <f>(VLOOKUP('21.04.01'!X74,'21.04.01'!$AO$4:$AQ$55,3,FALSE))</f>
        <v>0</v>
      </c>
      <c r="Q74" s="4">
        <f>(VLOOKUP('21.04.01'!Y74,'21.04.01'!$AO$4:$AQ$55,3,FALSE))</f>
        <v>0</v>
      </c>
      <c r="R74" s="4">
        <f>(VLOOKUP('21.04.01'!Z74,'21.04.01'!$AO$4:$AQ$55,3,FALSE))</f>
        <v>0</v>
      </c>
      <c r="S74" s="4">
        <f>(VLOOKUP('21.04.01'!AA74,'21.04.01'!$AO$4:$AQ$55,3,FALSE))</f>
        <v>0</v>
      </c>
      <c r="T74" s="4">
        <f>(VLOOKUP('21.04.01'!AB74,'21.04.01'!$AO$4:$AQ$55,3,FALSE))</f>
        <v>0</v>
      </c>
      <c r="U74" s="4">
        <f>(VLOOKUP('21.04.01'!AC74,'21.04.01'!$AO$4:$AQ$55,3,FALSE))</f>
        <v>0</v>
      </c>
      <c r="V74" s="4">
        <f>(VLOOKUP('21.04.01'!AD74,'21.04.01'!$AO$4:$AQ$55,3,FALSE))</f>
        <v>0</v>
      </c>
      <c r="W74" s="5">
        <f>(VLOOKUP('21.04.01'!AE74,'21.04.01'!$AO$4:$AQ$55,3,FALSE))</f>
        <v>0</v>
      </c>
      <c r="X74" s="5">
        <f>(VLOOKUP('21.04.01'!AF74,'21.04.01'!$AO$4:$AQ$55,3,FALSE))</f>
        <v>0</v>
      </c>
    </row>
    <row r="75" spans="1:24">
      <c r="A75" s="4">
        <f>(VLOOKUP('21.04.01'!I75,'21.04.01'!$AO$4:$AQ$55,3,FALSE))</f>
        <v>0</v>
      </c>
      <c r="B75" s="4">
        <f>(VLOOKUP('21.04.01'!J75,'21.04.01'!$AO$4:$AQ$55,3,FALSE))</f>
        <v>0</v>
      </c>
      <c r="C75" s="4">
        <f>(VLOOKUP('21.04.01'!K75,'21.04.01'!$AO$4:$AQ$55,3,FALSE))</f>
        <v>0</v>
      </c>
      <c r="D75" s="4">
        <f>(VLOOKUP('21.04.01'!L75,'21.04.01'!$AO$4:$AQ$55,3,FALSE))</f>
        <v>0</v>
      </c>
      <c r="E75" s="4">
        <f>(VLOOKUP('21.04.01'!M75,'21.04.01'!$AO$4:$AQ$55,3,FALSE))</f>
        <v>0</v>
      </c>
      <c r="F75" s="4">
        <f>(VLOOKUP('21.04.01'!N75,'21.04.01'!$AO$4:$AQ$55,3,FALSE))</f>
        <v>0</v>
      </c>
      <c r="G75" s="5">
        <f>(VLOOKUP('21.04.01'!O75,'21.04.01'!$AO$4:$AQ$55,3,FALSE))</f>
        <v>0</v>
      </c>
      <c r="H75" s="5">
        <f>(VLOOKUP('21.04.01'!P75,'21.04.01'!$AO$4:$AQ$55,3,FALSE))</f>
        <v>0</v>
      </c>
      <c r="I75" s="4">
        <f>(VLOOKUP('21.04.01'!Q75,'21.04.01'!$AO$4:$AQ$55,3,FALSE))</f>
        <v>0</v>
      </c>
      <c r="J75" s="4">
        <f>(VLOOKUP('21.04.01'!R75,'21.04.01'!$AO$4:$AQ$55,3,FALSE))</f>
        <v>0</v>
      </c>
      <c r="K75" s="4">
        <f>(VLOOKUP('21.04.01'!S75,'21.04.01'!$AO$4:$AQ$55,3,FALSE))</f>
        <v>0</v>
      </c>
      <c r="L75" s="4">
        <f>(VLOOKUP('21.04.01'!T75,'21.04.01'!$AO$4:$AQ$55,3,FALSE))</f>
        <v>0</v>
      </c>
      <c r="M75" s="4">
        <f>(VLOOKUP('21.04.01'!U75,'21.04.01'!$AO$4:$AQ$55,3,FALSE))</f>
        <v>0</v>
      </c>
      <c r="N75" s="4">
        <f>(VLOOKUP('21.04.01'!V75,'21.04.01'!$AO$4:$AQ$55,3,FALSE))</f>
        <v>0</v>
      </c>
      <c r="O75" s="5">
        <f>(VLOOKUP('21.04.01'!W75,'21.04.01'!$AO$4:$AQ$55,3,FALSE))</f>
        <v>0</v>
      </c>
      <c r="P75" s="5">
        <f>(VLOOKUP('21.04.01'!X75,'21.04.01'!$AO$4:$AQ$55,3,FALSE))</f>
        <v>0</v>
      </c>
      <c r="Q75" s="4">
        <f>(VLOOKUP('21.04.01'!Y75,'21.04.01'!$AO$4:$AQ$55,3,FALSE))</f>
        <v>0</v>
      </c>
      <c r="R75" s="4">
        <f>(VLOOKUP('21.04.01'!Z75,'21.04.01'!$AO$4:$AQ$55,3,FALSE))</f>
        <v>0</v>
      </c>
      <c r="S75" s="4">
        <f>(VLOOKUP('21.04.01'!AA75,'21.04.01'!$AO$4:$AQ$55,3,FALSE))</f>
        <v>0</v>
      </c>
      <c r="T75" s="4">
        <f>(VLOOKUP('21.04.01'!AB75,'21.04.01'!$AO$4:$AQ$55,3,FALSE))</f>
        <v>0</v>
      </c>
      <c r="U75" s="4">
        <f>(VLOOKUP('21.04.01'!AC75,'21.04.01'!$AO$4:$AQ$55,3,FALSE))</f>
        <v>0</v>
      </c>
      <c r="V75" s="4">
        <f>(VLOOKUP('21.04.01'!AD75,'21.04.01'!$AO$4:$AQ$55,3,FALSE))</f>
        <v>0</v>
      </c>
      <c r="W75" s="5">
        <f>(VLOOKUP('21.04.01'!AE75,'21.04.01'!$AO$4:$AQ$55,3,FALSE))</f>
        <v>0</v>
      </c>
      <c r="X75" s="5">
        <f>(VLOOKUP('21.04.01'!AF75,'21.04.01'!$AO$4:$AQ$55,3,FALSE))</f>
        <v>0</v>
      </c>
    </row>
    <row r="76" spans="1:24">
      <c r="A76" s="4">
        <f>(VLOOKUP('21.04.01'!I76,'21.04.01'!$AO$4:$AQ$55,3,FALSE))</f>
        <v>0</v>
      </c>
      <c r="B76" s="4">
        <f>(VLOOKUP('21.04.01'!J76,'21.04.01'!$AO$4:$AQ$55,3,FALSE))</f>
        <v>0</v>
      </c>
      <c r="C76" s="4">
        <f>(VLOOKUP('21.04.01'!K76,'21.04.01'!$AO$4:$AQ$55,3,FALSE))</f>
        <v>0</v>
      </c>
      <c r="D76" s="4">
        <f>(VLOOKUP('21.04.01'!L76,'21.04.01'!$AO$4:$AQ$55,3,FALSE))</f>
        <v>0</v>
      </c>
      <c r="E76" s="4">
        <f>(VLOOKUP('21.04.01'!M76,'21.04.01'!$AO$4:$AQ$55,3,FALSE))</f>
        <v>0</v>
      </c>
      <c r="F76" s="4">
        <f>(VLOOKUP('21.04.01'!N76,'21.04.01'!$AO$4:$AQ$55,3,FALSE))</f>
        <v>0</v>
      </c>
      <c r="G76" s="5">
        <f>(VLOOKUP('21.04.01'!O76,'21.04.01'!$AO$4:$AQ$55,3,FALSE))</f>
        <v>0</v>
      </c>
      <c r="H76" s="5">
        <f>(VLOOKUP('21.04.01'!P76,'21.04.01'!$AO$4:$AQ$55,3,FALSE))</f>
        <v>0</v>
      </c>
      <c r="I76" s="4">
        <f>(VLOOKUP('21.04.01'!Q76,'21.04.01'!$AO$4:$AQ$55,3,FALSE))</f>
        <v>0</v>
      </c>
      <c r="J76" s="4">
        <f>(VLOOKUP('21.04.01'!R76,'21.04.01'!$AO$4:$AQ$55,3,FALSE))</f>
        <v>0</v>
      </c>
      <c r="K76" s="4">
        <f>(VLOOKUP('21.04.01'!S76,'21.04.01'!$AO$4:$AQ$55,3,FALSE))</f>
        <v>0</v>
      </c>
      <c r="L76" s="4">
        <f>(VLOOKUP('21.04.01'!T76,'21.04.01'!$AO$4:$AQ$55,3,FALSE))</f>
        <v>0</v>
      </c>
      <c r="M76" s="4">
        <f>(VLOOKUP('21.04.01'!U76,'21.04.01'!$AO$4:$AQ$55,3,FALSE))</f>
        <v>0</v>
      </c>
      <c r="N76" s="4">
        <f>(VLOOKUP('21.04.01'!V76,'21.04.01'!$AO$4:$AQ$55,3,FALSE))</f>
        <v>0</v>
      </c>
      <c r="O76" s="5">
        <f>(VLOOKUP('21.04.01'!W76,'21.04.01'!$AO$4:$AQ$55,3,FALSE))</f>
        <v>0</v>
      </c>
      <c r="P76" s="5">
        <f>(VLOOKUP('21.04.01'!X76,'21.04.01'!$AO$4:$AQ$55,3,FALSE))</f>
        <v>0</v>
      </c>
      <c r="Q76" s="4">
        <f>(VLOOKUP('21.04.01'!Y76,'21.04.01'!$AO$4:$AQ$55,3,FALSE))</f>
        <v>0</v>
      </c>
      <c r="R76" s="4">
        <f>(VLOOKUP('21.04.01'!Z76,'21.04.01'!$AO$4:$AQ$55,3,FALSE))</f>
        <v>0</v>
      </c>
      <c r="S76" s="4">
        <f>(VLOOKUP('21.04.01'!AA76,'21.04.01'!$AO$4:$AQ$55,3,FALSE))</f>
        <v>0</v>
      </c>
      <c r="T76" s="4">
        <f>(VLOOKUP('21.04.01'!AB76,'21.04.01'!$AO$4:$AQ$55,3,FALSE))</f>
        <v>0</v>
      </c>
      <c r="U76" s="4">
        <f>(VLOOKUP('21.04.01'!AC76,'21.04.01'!$AO$4:$AQ$55,3,FALSE))</f>
        <v>0</v>
      </c>
      <c r="V76" s="4">
        <f>(VLOOKUP('21.04.01'!AD76,'21.04.01'!$AO$4:$AQ$55,3,FALSE))</f>
        <v>0</v>
      </c>
      <c r="W76" s="5">
        <f>(VLOOKUP('21.04.01'!AE76,'21.04.01'!$AO$4:$AQ$55,3,FALSE))</f>
        <v>0</v>
      </c>
      <c r="X76" s="5">
        <f>(VLOOKUP('21.04.01'!AF76,'21.04.01'!$AO$4:$AQ$55,3,FALSE))</f>
        <v>0</v>
      </c>
    </row>
    <row r="77" spans="1:24">
      <c r="A77" s="4">
        <f>(VLOOKUP('21.04.01'!I77,'21.04.01'!$AO$4:$AQ$55,3,FALSE))</f>
        <v>0</v>
      </c>
      <c r="B77" s="4">
        <f>(VLOOKUP('21.04.01'!J77,'21.04.01'!$AO$4:$AQ$55,3,FALSE))</f>
        <v>0</v>
      </c>
      <c r="C77" s="4">
        <f>(VLOOKUP('21.04.01'!K77,'21.04.01'!$AO$4:$AQ$55,3,FALSE))</f>
        <v>0</v>
      </c>
      <c r="D77" s="4">
        <f>(VLOOKUP('21.04.01'!L77,'21.04.01'!$AO$4:$AQ$55,3,FALSE))</f>
        <v>0</v>
      </c>
      <c r="E77" s="4">
        <f>(VLOOKUP('21.04.01'!M77,'21.04.01'!$AO$4:$AQ$55,3,FALSE))</f>
        <v>0</v>
      </c>
      <c r="F77" s="4">
        <f>(VLOOKUP('21.04.01'!N77,'21.04.01'!$AO$4:$AQ$55,3,FALSE))</f>
        <v>0</v>
      </c>
      <c r="G77" s="5">
        <f>(VLOOKUP('21.04.01'!O77,'21.04.01'!$AO$4:$AQ$55,3,FALSE))</f>
        <v>0</v>
      </c>
      <c r="H77" s="5">
        <f>(VLOOKUP('21.04.01'!P77,'21.04.01'!$AO$4:$AQ$55,3,FALSE))</f>
        <v>0</v>
      </c>
      <c r="I77" s="4">
        <f>(VLOOKUP('21.04.01'!Q77,'21.04.01'!$AO$4:$AQ$55,3,FALSE))</f>
        <v>0</v>
      </c>
      <c r="J77" s="4">
        <f>(VLOOKUP('21.04.01'!R77,'21.04.01'!$AO$4:$AQ$55,3,FALSE))</f>
        <v>0</v>
      </c>
      <c r="K77" s="4">
        <f>(VLOOKUP('21.04.01'!S77,'21.04.01'!$AO$4:$AQ$55,3,FALSE))</f>
        <v>0</v>
      </c>
      <c r="L77" s="4">
        <f>(VLOOKUP('21.04.01'!T77,'21.04.01'!$AO$4:$AQ$55,3,FALSE))</f>
        <v>0</v>
      </c>
      <c r="M77" s="4">
        <f>(VLOOKUP('21.04.01'!U77,'21.04.01'!$AO$4:$AQ$55,3,FALSE))</f>
        <v>0</v>
      </c>
      <c r="N77" s="4">
        <f>(VLOOKUP('21.04.01'!V77,'21.04.01'!$AO$4:$AQ$55,3,FALSE))</f>
        <v>0</v>
      </c>
      <c r="O77" s="5">
        <f>(VLOOKUP('21.04.01'!W77,'21.04.01'!$AO$4:$AQ$55,3,FALSE))</f>
        <v>0</v>
      </c>
      <c r="P77" s="5">
        <f>(VLOOKUP('21.04.01'!X77,'21.04.01'!$AO$4:$AQ$55,3,FALSE))</f>
        <v>0</v>
      </c>
      <c r="Q77" s="4">
        <f>(VLOOKUP('21.04.01'!Y77,'21.04.01'!$AO$4:$AQ$55,3,FALSE))</f>
        <v>0</v>
      </c>
      <c r="R77" s="4">
        <f>(VLOOKUP('21.04.01'!Z77,'21.04.01'!$AO$4:$AQ$55,3,FALSE))</f>
        <v>0</v>
      </c>
      <c r="S77" s="4">
        <f>(VLOOKUP('21.04.01'!AA77,'21.04.01'!$AO$4:$AQ$55,3,FALSE))</f>
        <v>0</v>
      </c>
      <c r="T77" s="4">
        <f>(VLOOKUP('21.04.01'!AB77,'21.04.01'!$AO$4:$AQ$55,3,FALSE))</f>
        <v>0</v>
      </c>
      <c r="U77" s="4">
        <f>(VLOOKUP('21.04.01'!AC77,'21.04.01'!$AO$4:$AQ$55,3,FALSE))</f>
        <v>0</v>
      </c>
      <c r="V77" s="4">
        <f>(VLOOKUP('21.04.01'!AD77,'21.04.01'!$AO$4:$AQ$55,3,FALSE))</f>
        <v>0</v>
      </c>
      <c r="W77" s="5">
        <f>(VLOOKUP('21.04.01'!AE77,'21.04.01'!$AO$4:$AQ$55,3,FALSE))</f>
        <v>0</v>
      </c>
      <c r="X77" s="5">
        <f>(VLOOKUP('21.04.01'!AF77,'21.04.01'!$AO$4:$AQ$55,3,FALSE))</f>
        <v>0</v>
      </c>
    </row>
    <row r="78" spans="1:24">
      <c r="A78" s="4">
        <f>(VLOOKUP('21.04.01'!I78,'21.04.01'!$AO$4:$AQ$55,3,FALSE))</f>
        <v>0</v>
      </c>
      <c r="B78" s="4">
        <f>(VLOOKUP('21.04.01'!J78,'21.04.01'!$AO$4:$AQ$55,3,FALSE))</f>
        <v>0</v>
      </c>
      <c r="C78" s="4">
        <f>(VLOOKUP('21.04.01'!K78,'21.04.01'!$AO$4:$AQ$55,3,FALSE))</f>
        <v>0</v>
      </c>
      <c r="D78" s="4">
        <f>(VLOOKUP('21.04.01'!L78,'21.04.01'!$AO$4:$AQ$55,3,FALSE))</f>
        <v>0</v>
      </c>
      <c r="E78" s="4">
        <f>(VLOOKUP('21.04.01'!M78,'21.04.01'!$AO$4:$AQ$55,3,FALSE))</f>
        <v>0</v>
      </c>
      <c r="F78" s="4">
        <f>(VLOOKUP('21.04.01'!N78,'21.04.01'!$AO$4:$AQ$55,3,FALSE))</f>
        <v>0</v>
      </c>
      <c r="G78" s="5">
        <f>(VLOOKUP('21.04.01'!O78,'21.04.01'!$AO$4:$AQ$55,3,FALSE))</f>
        <v>0</v>
      </c>
      <c r="H78" s="5">
        <f>(VLOOKUP('21.04.01'!P78,'21.04.01'!$AO$4:$AQ$55,3,FALSE))</f>
        <v>0</v>
      </c>
      <c r="I78" s="4">
        <f>(VLOOKUP('21.04.01'!Q78,'21.04.01'!$AO$4:$AQ$55,3,FALSE))</f>
        <v>0</v>
      </c>
      <c r="J78" s="4">
        <f>(VLOOKUP('21.04.01'!R78,'21.04.01'!$AO$4:$AQ$55,3,FALSE))</f>
        <v>0</v>
      </c>
      <c r="K78" s="4">
        <f>(VLOOKUP('21.04.01'!S78,'21.04.01'!$AO$4:$AQ$55,3,FALSE))</f>
        <v>0</v>
      </c>
      <c r="L78" s="4">
        <f>(VLOOKUP('21.04.01'!T78,'21.04.01'!$AO$4:$AQ$55,3,FALSE))</f>
        <v>0</v>
      </c>
      <c r="M78" s="4">
        <f>(VLOOKUP('21.04.01'!U78,'21.04.01'!$AO$4:$AQ$55,3,FALSE))</f>
        <v>0</v>
      </c>
      <c r="N78" s="4">
        <f>(VLOOKUP('21.04.01'!V78,'21.04.01'!$AO$4:$AQ$55,3,FALSE))</f>
        <v>0</v>
      </c>
      <c r="O78" s="5">
        <f>(VLOOKUP('21.04.01'!W78,'21.04.01'!$AO$4:$AQ$55,3,FALSE))</f>
        <v>0</v>
      </c>
      <c r="P78" s="5">
        <f>(VLOOKUP('21.04.01'!X78,'21.04.01'!$AO$4:$AQ$55,3,FALSE))</f>
        <v>0</v>
      </c>
      <c r="Q78" s="4">
        <f>(VLOOKUP('21.04.01'!Y78,'21.04.01'!$AO$4:$AQ$55,3,FALSE))</f>
        <v>0</v>
      </c>
      <c r="R78" s="4">
        <f>(VLOOKUP('21.04.01'!Z78,'21.04.01'!$AO$4:$AQ$55,3,FALSE))</f>
        <v>0</v>
      </c>
      <c r="S78" s="4">
        <f>(VLOOKUP('21.04.01'!AA78,'21.04.01'!$AO$4:$AQ$55,3,FALSE))</f>
        <v>0</v>
      </c>
      <c r="T78" s="4">
        <f>(VLOOKUP('21.04.01'!AB78,'21.04.01'!$AO$4:$AQ$55,3,FALSE))</f>
        <v>0</v>
      </c>
      <c r="U78" s="4">
        <f>(VLOOKUP('21.04.01'!AC78,'21.04.01'!$AO$4:$AQ$55,3,FALSE))</f>
        <v>0</v>
      </c>
      <c r="V78" s="4">
        <f>(VLOOKUP('21.04.01'!AD78,'21.04.01'!$AO$4:$AQ$55,3,FALSE))</f>
        <v>0</v>
      </c>
      <c r="W78" s="5">
        <f>(VLOOKUP('21.04.01'!AE78,'21.04.01'!$AO$4:$AQ$55,3,FALSE))</f>
        <v>0</v>
      </c>
      <c r="X78" s="5">
        <f>(VLOOKUP('21.04.01'!AF78,'21.04.01'!$AO$4:$AQ$55,3,FALSE))</f>
        <v>0</v>
      </c>
    </row>
    <row r="79" spans="1:24">
      <c r="A79" s="4">
        <f>(VLOOKUP('21.04.01'!I79,'21.04.01'!$AO$4:$AQ$55,3,FALSE))</f>
        <v>0</v>
      </c>
      <c r="B79" s="4">
        <f>(VLOOKUP('21.04.01'!J79,'21.04.01'!$AO$4:$AQ$55,3,FALSE))</f>
        <v>0</v>
      </c>
      <c r="C79" s="4">
        <f>(VLOOKUP('21.04.01'!K79,'21.04.01'!$AO$4:$AQ$55,3,FALSE))</f>
        <v>0</v>
      </c>
      <c r="D79" s="4">
        <f>(VLOOKUP('21.04.01'!L79,'21.04.01'!$AO$4:$AQ$55,3,FALSE))</f>
        <v>0</v>
      </c>
      <c r="E79" s="4">
        <f>(VLOOKUP('21.04.01'!M79,'21.04.01'!$AO$4:$AQ$55,3,FALSE))</f>
        <v>0</v>
      </c>
      <c r="F79" s="4">
        <f>(VLOOKUP('21.04.01'!N79,'21.04.01'!$AO$4:$AQ$55,3,FALSE))</f>
        <v>0</v>
      </c>
      <c r="G79" s="5">
        <f>(VLOOKUP('21.04.01'!O79,'21.04.01'!$AO$4:$AQ$55,3,FALSE))</f>
        <v>0</v>
      </c>
      <c r="H79" s="5">
        <f>(VLOOKUP('21.04.01'!P79,'21.04.01'!$AO$4:$AQ$55,3,FALSE))</f>
        <v>0</v>
      </c>
      <c r="I79" s="4">
        <f>(VLOOKUP('21.04.01'!Q79,'21.04.01'!$AO$4:$AQ$55,3,FALSE))</f>
        <v>0</v>
      </c>
      <c r="J79" s="4">
        <f>(VLOOKUP('21.04.01'!R79,'21.04.01'!$AO$4:$AQ$55,3,FALSE))</f>
        <v>0</v>
      </c>
      <c r="K79" s="4">
        <f>(VLOOKUP('21.04.01'!S79,'21.04.01'!$AO$4:$AQ$55,3,FALSE))</f>
        <v>0</v>
      </c>
      <c r="L79" s="4">
        <f>(VLOOKUP('21.04.01'!T79,'21.04.01'!$AO$4:$AQ$55,3,FALSE))</f>
        <v>0</v>
      </c>
      <c r="M79" s="4">
        <f>(VLOOKUP('21.04.01'!U79,'21.04.01'!$AO$4:$AQ$55,3,FALSE))</f>
        <v>0</v>
      </c>
      <c r="N79" s="4">
        <f>(VLOOKUP('21.04.01'!V79,'21.04.01'!$AO$4:$AQ$55,3,FALSE))</f>
        <v>0</v>
      </c>
      <c r="O79" s="5">
        <f>(VLOOKUP('21.04.01'!W79,'21.04.01'!$AO$4:$AQ$55,3,FALSE))</f>
        <v>0</v>
      </c>
      <c r="P79" s="5">
        <f>(VLOOKUP('21.04.01'!X79,'21.04.01'!$AO$4:$AQ$55,3,FALSE))</f>
        <v>0</v>
      </c>
      <c r="Q79" s="4">
        <f>(VLOOKUP('21.04.01'!Y79,'21.04.01'!$AO$4:$AQ$55,3,FALSE))</f>
        <v>0</v>
      </c>
      <c r="R79" s="4">
        <f>(VLOOKUP('21.04.01'!Z79,'21.04.01'!$AO$4:$AQ$55,3,FALSE))</f>
        <v>0</v>
      </c>
      <c r="S79" s="4">
        <f>(VLOOKUP('21.04.01'!AA79,'21.04.01'!$AO$4:$AQ$55,3,FALSE))</f>
        <v>0</v>
      </c>
      <c r="T79" s="4">
        <f>(VLOOKUP('21.04.01'!AB79,'21.04.01'!$AO$4:$AQ$55,3,FALSE))</f>
        <v>0</v>
      </c>
      <c r="U79" s="4">
        <f>(VLOOKUP('21.04.01'!AC79,'21.04.01'!$AO$4:$AQ$55,3,FALSE))</f>
        <v>0</v>
      </c>
      <c r="V79" s="4">
        <f>(VLOOKUP('21.04.01'!AD79,'21.04.01'!$AO$4:$AQ$55,3,FALSE))</f>
        <v>0</v>
      </c>
      <c r="W79" s="5">
        <f>(VLOOKUP('21.04.01'!AE79,'21.04.01'!$AO$4:$AQ$55,3,FALSE))</f>
        <v>0</v>
      </c>
      <c r="X79" s="5">
        <f>(VLOOKUP('21.04.01'!AF79,'21.04.01'!$AO$4:$AQ$55,3,FALSE))</f>
        <v>0</v>
      </c>
    </row>
    <row r="80" spans="1:24">
      <c r="A80" s="4">
        <f>(VLOOKUP('21.04.01'!I80,'21.04.01'!$AO$4:$AQ$55,3,FALSE))</f>
        <v>0</v>
      </c>
      <c r="B80" s="4">
        <f>(VLOOKUP('21.04.01'!J80,'21.04.01'!$AO$4:$AQ$55,3,FALSE))</f>
        <v>0</v>
      </c>
      <c r="C80" s="4">
        <f>(VLOOKUP('21.04.01'!K80,'21.04.01'!$AO$4:$AQ$55,3,FALSE))</f>
        <v>0</v>
      </c>
      <c r="D80" s="4">
        <f>(VLOOKUP('21.04.01'!L80,'21.04.01'!$AO$4:$AQ$55,3,FALSE))</f>
        <v>0</v>
      </c>
      <c r="E80" s="4">
        <f>(VLOOKUP('21.04.01'!M80,'21.04.01'!$AO$4:$AQ$55,3,FALSE))</f>
        <v>0</v>
      </c>
      <c r="F80" s="4">
        <f>(VLOOKUP('21.04.01'!N80,'21.04.01'!$AO$4:$AQ$55,3,FALSE))</f>
        <v>0</v>
      </c>
      <c r="G80" s="5">
        <f>(VLOOKUP('21.04.01'!O80,'21.04.01'!$AO$4:$AQ$55,3,FALSE))</f>
        <v>0</v>
      </c>
      <c r="H80" s="5">
        <f>(VLOOKUP('21.04.01'!P80,'21.04.01'!$AO$4:$AQ$55,3,FALSE))</f>
        <v>0</v>
      </c>
      <c r="I80" s="4">
        <f>(VLOOKUP('21.04.01'!Q80,'21.04.01'!$AO$4:$AQ$55,3,FALSE))</f>
        <v>0</v>
      </c>
      <c r="J80" s="4">
        <f>(VLOOKUP('21.04.01'!R80,'21.04.01'!$AO$4:$AQ$55,3,FALSE))</f>
        <v>0</v>
      </c>
      <c r="K80" s="4">
        <f>(VLOOKUP('21.04.01'!S80,'21.04.01'!$AO$4:$AQ$55,3,FALSE))</f>
        <v>0</v>
      </c>
      <c r="L80" s="4">
        <f>(VLOOKUP('21.04.01'!T80,'21.04.01'!$AO$4:$AQ$55,3,FALSE))</f>
        <v>0</v>
      </c>
      <c r="M80" s="4">
        <f>(VLOOKUP('21.04.01'!U80,'21.04.01'!$AO$4:$AQ$55,3,FALSE))</f>
        <v>0</v>
      </c>
      <c r="N80" s="4">
        <f>(VLOOKUP('21.04.01'!V80,'21.04.01'!$AO$4:$AQ$55,3,FALSE))</f>
        <v>0</v>
      </c>
      <c r="O80" s="5">
        <f>(VLOOKUP('21.04.01'!W80,'21.04.01'!$AO$4:$AQ$55,3,FALSE))</f>
        <v>0</v>
      </c>
      <c r="P80" s="5">
        <f>(VLOOKUP('21.04.01'!X80,'21.04.01'!$AO$4:$AQ$55,3,FALSE))</f>
        <v>0</v>
      </c>
      <c r="Q80" s="4">
        <f>(VLOOKUP('21.04.01'!Y80,'21.04.01'!$AO$4:$AQ$55,3,FALSE))</f>
        <v>0</v>
      </c>
      <c r="R80" s="4">
        <f>(VLOOKUP('21.04.01'!Z80,'21.04.01'!$AO$4:$AQ$55,3,FALSE))</f>
        <v>0</v>
      </c>
      <c r="S80" s="4">
        <f>(VLOOKUP('21.04.01'!AA80,'21.04.01'!$AO$4:$AQ$55,3,FALSE))</f>
        <v>0</v>
      </c>
      <c r="T80" s="4">
        <f>(VLOOKUP('21.04.01'!AB80,'21.04.01'!$AO$4:$AQ$55,3,FALSE))</f>
        <v>0</v>
      </c>
      <c r="U80" s="4">
        <f>(VLOOKUP('21.04.01'!AC80,'21.04.01'!$AO$4:$AQ$55,3,FALSE))</f>
        <v>0</v>
      </c>
      <c r="V80" s="4">
        <f>(VLOOKUP('21.04.01'!AD80,'21.04.01'!$AO$4:$AQ$55,3,FALSE))</f>
        <v>0</v>
      </c>
      <c r="W80" s="5">
        <f>(VLOOKUP('21.04.01'!AE80,'21.04.01'!$AO$4:$AQ$55,3,FALSE))</f>
        <v>0</v>
      </c>
      <c r="X80" s="5">
        <f>(VLOOKUP('21.04.01'!AF80,'21.04.01'!$AO$4:$AQ$55,3,FALSE))</f>
        <v>0</v>
      </c>
    </row>
    <row r="81" spans="1:24">
      <c r="A81" s="4">
        <f>(VLOOKUP('21.04.01'!I81,'21.04.01'!$AO$4:$AQ$55,3,FALSE))</f>
        <v>0</v>
      </c>
      <c r="B81" s="4">
        <f>(VLOOKUP('21.04.01'!J81,'21.04.01'!$AO$4:$AQ$55,3,FALSE))</f>
        <v>0</v>
      </c>
      <c r="C81" s="4">
        <f>(VLOOKUP('21.04.01'!K81,'21.04.01'!$AO$4:$AQ$55,3,FALSE))</f>
        <v>0</v>
      </c>
      <c r="D81" s="4">
        <f>(VLOOKUP('21.04.01'!L81,'21.04.01'!$AO$4:$AQ$55,3,FALSE))</f>
        <v>0</v>
      </c>
      <c r="E81" s="4">
        <f>(VLOOKUP('21.04.01'!M81,'21.04.01'!$AO$4:$AQ$55,3,FALSE))</f>
        <v>0</v>
      </c>
      <c r="F81" s="4">
        <f>(VLOOKUP('21.04.01'!N81,'21.04.01'!$AO$4:$AQ$55,3,FALSE))</f>
        <v>0</v>
      </c>
      <c r="G81" s="5">
        <f>(VLOOKUP('21.04.01'!O81,'21.04.01'!$AO$4:$AQ$55,3,FALSE))</f>
        <v>0</v>
      </c>
      <c r="H81" s="5">
        <f>(VLOOKUP('21.04.01'!P81,'21.04.01'!$AO$4:$AQ$55,3,FALSE))</f>
        <v>0</v>
      </c>
      <c r="I81" s="4">
        <f>(VLOOKUP('21.04.01'!Q81,'21.04.01'!$AO$4:$AQ$55,3,FALSE))</f>
        <v>0</v>
      </c>
      <c r="J81" s="4">
        <f>(VLOOKUP('21.04.01'!R81,'21.04.01'!$AO$4:$AQ$55,3,FALSE))</f>
        <v>0</v>
      </c>
      <c r="K81" s="4">
        <f>(VLOOKUP('21.04.01'!S81,'21.04.01'!$AO$4:$AQ$55,3,FALSE))</f>
        <v>0</v>
      </c>
      <c r="L81" s="4">
        <f>(VLOOKUP('21.04.01'!T81,'21.04.01'!$AO$4:$AQ$55,3,FALSE))</f>
        <v>0</v>
      </c>
      <c r="M81" s="4">
        <f>(VLOOKUP('21.04.01'!U81,'21.04.01'!$AO$4:$AQ$55,3,FALSE))</f>
        <v>0</v>
      </c>
      <c r="N81" s="4">
        <f>(VLOOKUP('21.04.01'!V81,'21.04.01'!$AO$4:$AQ$55,3,FALSE))</f>
        <v>0</v>
      </c>
      <c r="O81" s="5">
        <f>(VLOOKUP('21.04.01'!W81,'21.04.01'!$AO$4:$AQ$55,3,FALSE))</f>
        <v>0</v>
      </c>
      <c r="P81" s="5">
        <f>(VLOOKUP('21.04.01'!X81,'21.04.01'!$AO$4:$AQ$55,3,FALSE))</f>
        <v>0</v>
      </c>
      <c r="Q81" s="4">
        <f>(VLOOKUP('21.04.01'!Y81,'21.04.01'!$AO$4:$AQ$55,3,FALSE))</f>
        <v>0</v>
      </c>
      <c r="R81" s="4">
        <f>(VLOOKUP('21.04.01'!Z81,'21.04.01'!$AO$4:$AQ$55,3,FALSE))</f>
        <v>0</v>
      </c>
      <c r="S81" s="4">
        <f>(VLOOKUP('21.04.01'!AA81,'21.04.01'!$AO$4:$AQ$55,3,FALSE))</f>
        <v>0</v>
      </c>
      <c r="T81" s="4">
        <f>(VLOOKUP('21.04.01'!AB81,'21.04.01'!$AO$4:$AQ$55,3,FALSE))</f>
        <v>0</v>
      </c>
      <c r="U81" s="4">
        <f>(VLOOKUP('21.04.01'!AC81,'21.04.01'!$AO$4:$AQ$55,3,FALSE))</f>
        <v>0</v>
      </c>
      <c r="V81" s="4">
        <f>(VLOOKUP('21.04.01'!AD81,'21.04.01'!$AO$4:$AQ$55,3,FALSE))</f>
        <v>0</v>
      </c>
      <c r="W81" s="5">
        <f>(VLOOKUP('21.04.01'!AE81,'21.04.01'!$AO$4:$AQ$55,3,FALSE))</f>
        <v>0</v>
      </c>
      <c r="X81" s="5">
        <f>(VLOOKUP('21.04.01'!AF81,'21.04.01'!$AO$4:$AQ$55,3,FALSE))</f>
        <v>0</v>
      </c>
    </row>
    <row r="82" spans="1:24">
      <c r="A82" s="4">
        <f>(VLOOKUP('21.04.01'!I82,'21.04.01'!$AO$4:$AQ$55,3,FALSE))</f>
        <v>0</v>
      </c>
      <c r="B82" s="4">
        <f>(VLOOKUP('21.04.01'!J82,'21.04.01'!$AO$4:$AQ$55,3,FALSE))</f>
        <v>0</v>
      </c>
      <c r="C82" s="4">
        <f>(VLOOKUP('21.04.01'!K82,'21.04.01'!$AO$4:$AQ$55,3,FALSE))</f>
        <v>0</v>
      </c>
      <c r="D82" s="4">
        <f>(VLOOKUP('21.04.01'!L82,'21.04.01'!$AO$4:$AQ$55,3,FALSE))</f>
        <v>0</v>
      </c>
      <c r="E82" s="4">
        <f>(VLOOKUP('21.04.01'!M82,'21.04.01'!$AO$4:$AQ$55,3,FALSE))</f>
        <v>0</v>
      </c>
      <c r="F82" s="4">
        <f>(VLOOKUP('21.04.01'!N82,'21.04.01'!$AO$4:$AQ$55,3,FALSE))</f>
        <v>0</v>
      </c>
      <c r="G82" s="5">
        <f>(VLOOKUP('21.04.01'!O82,'21.04.01'!$AO$4:$AQ$55,3,FALSE))</f>
        <v>0</v>
      </c>
      <c r="H82" s="5">
        <f>(VLOOKUP('21.04.01'!P82,'21.04.01'!$AO$4:$AQ$55,3,FALSE))</f>
        <v>0</v>
      </c>
      <c r="I82" s="4">
        <f>(VLOOKUP('21.04.01'!Q82,'21.04.01'!$AO$4:$AQ$55,3,FALSE))</f>
        <v>0</v>
      </c>
      <c r="J82" s="4">
        <f>(VLOOKUP('21.04.01'!R82,'21.04.01'!$AO$4:$AQ$55,3,FALSE))</f>
        <v>0</v>
      </c>
      <c r="K82" s="4">
        <f>(VLOOKUP('21.04.01'!S82,'21.04.01'!$AO$4:$AQ$55,3,FALSE))</f>
        <v>0</v>
      </c>
      <c r="L82" s="4">
        <f>(VLOOKUP('21.04.01'!T82,'21.04.01'!$AO$4:$AQ$55,3,FALSE))</f>
        <v>0</v>
      </c>
      <c r="M82" s="4">
        <f>(VLOOKUP('21.04.01'!U82,'21.04.01'!$AO$4:$AQ$55,3,FALSE))</f>
        <v>0</v>
      </c>
      <c r="N82" s="4">
        <f>(VLOOKUP('21.04.01'!V82,'21.04.01'!$AO$4:$AQ$55,3,FALSE))</f>
        <v>0</v>
      </c>
      <c r="O82" s="5">
        <f>(VLOOKUP('21.04.01'!W82,'21.04.01'!$AO$4:$AQ$55,3,FALSE))</f>
        <v>0</v>
      </c>
      <c r="P82" s="5">
        <f>(VLOOKUP('21.04.01'!X82,'21.04.01'!$AO$4:$AQ$55,3,FALSE))</f>
        <v>0</v>
      </c>
      <c r="Q82" s="4">
        <f>(VLOOKUP('21.04.01'!Y82,'21.04.01'!$AO$4:$AQ$55,3,FALSE))</f>
        <v>0</v>
      </c>
      <c r="R82" s="4">
        <f>(VLOOKUP('21.04.01'!Z82,'21.04.01'!$AO$4:$AQ$55,3,FALSE))</f>
        <v>0</v>
      </c>
      <c r="S82" s="4">
        <f>(VLOOKUP('21.04.01'!AA82,'21.04.01'!$AO$4:$AQ$55,3,FALSE))</f>
        <v>0</v>
      </c>
      <c r="T82" s="4">
        <f>(VLOOKUP('21.04.01'!AB82,'21.04.01'!$AO$4:$AQ$55,3,FALSE))</f>
        <v>0</v>
      </c>
      <c r="U82" s="4">
        <f>(VLOOKUP('21.04.01'!AC82,'21.04.01'!$AO$4:$AQ$55,3,FALSE))</f>
        <v>0</v>
      </c>
      <c r="V82" s="4">
        <f>(VLOOKUP('21.04.01'!AD82,'21.04.01'!$AO$4:$AQ$55,3,FALSE))</f>
        <v>0</v>
      </c>
      <c r="W82" s="5">
        <f>(VLOOKUP('21.04.01'!AE82,'21.04.01'!$AO$4:$AQ$55,3,FALSE))</f>
        <v>0</v>
      </c>
      <c r="X82" s="5">
        <f>(VLOOKUP('21.04.01'!AF82,'21.04.01'!$AO$4:$AQ$55,3,FALSE))</f>
        <v>0</v>
      </c>
    </row>
    <row r="83" spans="1:24">
      <c r="A83" s="4">
        <f>(VLOOKUP('21.04.01'!I83,'21.04.01'!$AO$4:$AQ$55,3,FALSE))</f>
        <v>0</v>
      </c>
      <c r="B83" s="4">
        <f>(VLOOKUP('21.04.01'!J83,'21.04.01'!$AO$4:$AQ$55,3,FALSE))</f>
        <v>0</v>
      </c>
      <c r="C83" s="4">
        <f>(VLOOKUP('21.04.01'!K83,'21.04.01'!$AO$4:$AQ$55,3,FALSE))</f>
        <v>0</v>
      </c>
      <c r="D83" s="4">
        <f>(VLOOKUP('21.04.01'!L83,'21.04.01'!$AO$4:$AQ$55,3,FALSE))</f>
        <v>0</v>
      </c>
      <c r="E83" s="4">
        <f>(VLOOKUP('21.04.01'!M83,'21.04.01'!$AO$4:$AQ$55,3,FALSE))</f>
        <v>0</v>
      </c>
      <c r="F83" s="4">
        <f>(VLOOKUP('21.04.01'!N83,'21.04.01'!$AO$4:$AQ$55,3,FALSE))</f>
        <v>0</v>
      </c>
      <c r="G83" s="5">
        <f>(VLOOKUP('21.04.01'!O83,'21.04.01'!$AO$4:$AQ$55,3,FALSE))</f>
        <v>0</v>
      </c>
      <c r="H83" s="5">
        <f>(VLOOKUP('21.04.01'!P83,'21.04.01'!$AO$4:$AQ$55,3,FALSE))</f>
        <v>0</v>
      </c>
      <c r="I83" s="4">
        <f>(VLOOKUP('21.04.01'!Q83,'21.04.01'!$AO$4:$AQ$55,3,FALSE))</f>
        <v>0</v>
      </c>
      <c r="J83" s="4">
        <f>(VLOOKUP('21.04.01'!R83,'21.04.01'!$AO$4:$AQ$55,3,FALSE))</f>
        <v>0</v>
      </c>
      <c r="K83" s="4">
        <f>(VLOOKUP('21.04.01'!S83,'21.04.01'!$AO$4:$AQ$55,3,FALSE))</f>
        <v>0</v>
      </c>
      <c r="L83" s="4">
        <f>(VLOOKUP('21.04.01'!T83,'21.04.01'!$AO$4:$AQ$55,3,FALSE))</f>
        <v>0</v>
      </c>
      <c r="M83" s="4">
        <f>(VLOOKUP('21.04.01'!U83,'21.04.01'!$AO$4:$AQ$55,3,FALSE))</f>
        <v>0</v>
      </c>
      <c r="N83" s="4">
        <f>(VLOOKUP('21.04.01'!V83,'21.04.01'!$AO$4:$AQ$55,3,FALSE))</f>
        <v>0</v>
      </c>
      <c r="O83" s="5">
        <f>(VLOOKUP('21.04.01'!W83,'21.04.01'!$AO$4:$AQ$55,3,FALSE))</f>
        <v>0</v>
      </c>
      <c r="P83" s="5">
        <f>(VLOOKUP('21.04.01'!X83,'21.04.01'!$AO$4:$AQ$55,3,FALSE))</f>
        <v>0</v>
      </c>
      <c r="Q83" s="4">
        <f>(VLOOKUP('21.04.01'!Y83,'21.04.01'!$AO$4:$AQ$55,3,FALSE))</f>
        <v>0</v>
      </c>
      <c r="R83" s="4">
        <f>(VLOOKUP('21.04.01'!Z83,'21.04.01'!$AO$4:$AQ$55,3,FALSE))</f>
        <v>0</v>
      </c>
      <c r="S83" s="4">
        <f>(VLOOKUP('21.04.01'!AA83,'21.04.01'!$AO$4:$AQ$55,3,FALSE))</f>
        <v>0</v>
      </c>
      <c r="T83" s="4">
        <f>(VLOOKUP('21.04.01'!AB83,'21.04.01'!$AO$4:$AQ$55,3,FALSE))</f>
        <v>0</v>
      </c>
      <c r="U83" s="4">
        <f>(VLOOKUP('21.04.01'!AC83,'21.04.01'!$AO$4:$AQ$55,3,FALSE))</f>
        <v>0</v>
      </c>
      <c r="V83" s="4">
        <f>(VLOOKUP('21.04.01'!AD83,'21.04.01'!$AO$4:$AQ$55,3,FALSE))</f>
        <v>0</v>
      </c>
      <c r="W83" s="5">
        <f>(VLOOKUP('21.04.01'!AE83,'21.04.01'!$AO$4:$AQ$55,3,FALSE))</f>
        <v>0</v>
      </c>
      <c r="X83" s="5">
        <f>(VLOOKUP('21.04.01'!AF83,'21.04.01'!$AO$4:$AQ$55,3,FALSE))</f>
        <v>0</v>
      </c>
    </row>
    <row r="84" spans="1:24">
      <c r="A84" s="4">
        <f>(VLOOKUP('21.04.01'!I84,'21.04.01'!$AO$4:$AQ$55,3,FALSE))</f>
        <v>0</v>
      </c>
      <c r="B84" s="4">
        <f>(VLOOKUP('21.04.01'!J84,'21.04.01'!$AO$4:$AQ$55,3,FALSE))</f>
        <v>0</v>
      </c>
      <c r="C84" s="4">
        <f>(VLOOKUP('21.04.01'!K84,'21.04.01'!$AO$4:$AQ$55,3,FALSE))</f>
        <v>0</v>
      </c>
      <c r="D84" s="4">
        <f>(VLOOKUP('21.04.01'!L84,'21.04.01'!$AO$4:$AQ$55,3,FALSE))</f>
        <v>0</v>
      </c>
      <c r="E84" s="4">
        <f>(VLOOKUP('21.04.01'!M84,'21.04.01'!$AO$4:$AQ$55,3,FALSE))</f>
        <v>0</v>
      </c>
      <c r="F84" s="4">
        <f>(VLOOKUP('21.04.01'!N84,'21.04.01'!$AO$4:$AQ$55,3,FALSE))</f>
        <v>0</v>
      </c>
      <c r="G84" s="5">
        <f>(VLOOKUP('21.04.01'!O84,'21.04.01'!$AO$4:$AQ$55,3,FALSE))</f>
        <v>0</v>
      </c>
      <c r="H84" s="5">
        <f>(VLOOKUP('21.04.01'!P84,'21.04.01'!$AO$4:$AQ$55,3,FALSE))</f>
        <v>0</v>
      </c>
      <c r="I84" s="4">
        <f>(VLOOKUP('21.04.01'!Q84,'21.04.01'!$AO$4:$AQ$55,3,FALSE))</f>
        <v>0</v>
      </c>
      <c r="J84" s="4">
        <f>(VLOOKUP('21.04.01'!R84,'21.04.01'!$AO$4:$AQ$55,3,FALSE))</f>
        <v>0</v>
      </c>
      <c r="K84" s="4">
        <f>(VLOOKUP('21.04.01'!S84,'21.04.01'!$AO$4:$AQ$55,3,FALSE))</f>
        <v>0</v>
      </c>
      <c r="L84" s="4">
        <f>(VLOOKUP('21.04.01'!T84,'21.04.01'!$AO$4:$AQ$55,3,FALSE))</f>
        <v>0</v>
      </c>
      <c r="M84" s="4">
        <f>(VLOOKUP('21.04.01'!U84,'21.04.01'!$AO$4:$AQ$55,3,FALSE))</f>
        <v>0</v>
      </c>
      <c r="N84" s="4">
        <f>(VLOOKUP('21.04.01'!V84,'21.04.01'!$AO$4:$AQ$55,3,FALSE))</f>
        <v>0</v>
      </c>
      <c r="O84" s="5">
        <f>(VLOOKUP('21.04.01'!W84,'21.04.01'!$AO$4:$AQ$55,3,FALSE))</f>
        <v>0</v>
      </c>
      <c r="P84" s="5">
        <f>(VLOOKUP('21.04.01'!X84,'21.04.01'!$AO$4:$AQ$55,3,FALSE))</f>
        <v>0</v>
      </c>
      <c r="Q84" s="4">
        <f>(VLOOKUP('21.04.01'!Y84,'21.04.01'!$AO$4:$AQ$55,3,FALSE))</f>
        <v>0</v>
      </c>
      <c r="R84" s="4">
        <f>(VLOOKUP('21.04.01'!Z84,'21.04.01'!$AO$4:$AQ$55,3,FALSE))</f>
        <v>0</v>
      </c>
      <c r="S84" s="4">
        <f>(VLOOKUP('21.04.01'!AA84,'21.04.01'!$AO$4:$AQ$55,3,FALSE))</f>
        <v>0</v>
      </c>
      <c r="T84" s="4">
        <f>(VLOOKUP('21.04.01'!AB84,'21.04.01'!$AO$4:$AQ$55,3,FALSE))</f>
        <v>0</v>
      </c>
      <c r="U84" s="4">
        <f>(VLOOKUP('21.04.01'!AC84,'21.04.01'!$AO$4:$AQ$55,3,FALSE))</f>
        <v>0</v>
      </c>
      <c r="V84" s="4">
        <f>(VLOOKUP('21.04.01'!AD84,'21.04.01'!$AO$4:$AQ$55,3,FALSE))</f>
        <v>0</v>
      </c>
      <c r="W84" s="5">
        <f>(VLOOKUP('21.04.01'!AE84,'21.04.01'!$AO$4:$AQ$55,3,FALSE))</f>
        <v>0</v>
      </c>
      <c r="X84" s="5">
        <f>(VLOOKUP('21.04.01'!AF84,'21.04.01'!$AO$4:$AQ$55,3,FALSE))</f>
        <v>0</v>
      </c>
    </row>
    <row r="85" spans="1:24">
      <c r="A85" s="4">
        <f>(VLOOKUP('21.04.01'!I85,'21.04.01'!$AO$4:$AQ$55,3,FALSE))</f>
        <v>0</v>
      </c>
      <c r="B85" s="4">
        <f>(VLOOKUP('21.04.01'!J85,'21.04.01'!$AO$4:$AQ$55,3,FALSE))</f>
        <v>0</v>
      </c>
      <c r="C85" s="4">
        <f>(VLOOKUP('21.04.01'!K85,'21.04.01'!$AO$4:$AQ$55,3,FALSE))</f>
        <v>0</v>
      </c>
      <c r="D85" s="4">
        <f>(VLOOKUP('21.04.01'!L85,'21.04.01'!$AO$4:$AQ$55,3,FALSE))</f>
        <v>0</v>
      </c>
      <c r="E85" s="4">
        <f>(VLOOKUP('21.04.01'!M85,'21.04.01'!$AO$4:$AQ$55,3,FALSE))</f>
        <v>0</v>
      </c>
      <c r="F85" s="4">
        <f>(VLOOKUP('21.04.01'!N85,'21.04.01'!$AO$4:$AQ$55,3,FALSE))</f>
        <v>0</v>
      </c>
      <c r="G85" s="5">
        <f>(VLOOKUP('21.04.01'!O85,'21.04.01'!$AO$4:$AQ$55,3,FALSE))</f>
        <v>0</v>
      </c>
      <c r="H85" s="5">
        <f>(VLOOKUP('21.04.01'!P85,'21.04.01'!$AO$4:$AQ$55,3,FALSE))</f>
        <v>0</v>
      </c>
      <c r="I85" s="4">
        <f>(VLOOKUP('21.04.01'!Q85,'21.04.01'!$AO$4:$AQ$55,3,FALSE))</f>
        <v>0</v>
      </c>
      <c r="J85" s="4">
        <f>(VLOOKUP('21.04.01'!R85,'21.04.01'!$AO$4:$AQ$55,3,FALSE))</f>
        <v>0</v>
      </c>
      <c r="K85" s="4">
        <f>(VLOOKUP('21.04.01'!S85,'21.04.01'!$AO$4:$AQ$55,3,FALSE))</f>
        <v>0</v>
      </c>
      <c r="L85" s="4">
        <f>(VLOOKUP('21.04.01'!T85,'21.04.01'!$AO$4:$AQ$55,3,FALSE))</f>
        <v>0</v>
      </c>
      <c r="M85" s="4">
        <f>(VLOOKUP('21.04.01'!U85,'21.04.01'!$AO$4:$AQ$55,3,FALSE))</f>
        <v>0</v>
      </c>
      <c r="N85" s="4">
        <f>(VLOOKUP('21.04.01'!V85,'21.04.01'!$AO$4:$AQ$55,3,FALSE))</f>
        <v>0</v>
      </c>
      <c r="O85" s="5">
        <f>(VLOOKUP('21.04.01'!W85,'21.04.01'!$AO$4:$AQ$55,3,FALSE))</f>
        <v>0</v>
      </c>
      <c r="P85" s="5">
        <f>(VLOOKUP('21.04.01'!X85,'21.04.01'!$AO$4:$AQ$55,3,FALSE))</f>
        <v>0</v>
      </c>
      <c r="Q85" s="4">
        <f>(VLOOKUP('21.04.01'!Y85,'21.04.01'!$AO$4:$AQ$55,3,FALSE))</f>
        <v>0</v>
      </c>
      <c r="R85" s="4">
        <f>(VLOOKUP('21.04.01'!Z85,'21.04.01'!$AO$4:$AQ$55,3,FALSE))</f>
        <v>0</v>
      </c>
      <c r="S85" s="4">
        <f>(VLOOKUP('21.04.01'!AA85,'21.04.01'!$AO$4:$AQ$55,3,FALSE))</f>
        <v>0</v>
      </c>
      <c r="T85" s="4">
        <f>(VLOOKUP('21.04.01'!AB85,'21.04.01'!$AO$4:$AQ$55,3,FALSE))</f>
        <v>0</v>
      </c>
      <c r="U85" s="4">
        <f>(VLOOKUP('21.04.01'!AC85,'21.04.01'!$AO$4:$AQ$55,3,FALSE))</f>
        <v>0</v>
      </c>
      <c r="V85" s="4">
        <f>(VLOOKUP('21.04.01'!AD85,'21.04.01'!$AO$4:$AQ$55,3,FALSE))</f>
        <v>0</v>
      </c>
      <c r="W85" s="5">
        <f>(VLOOKUP('21.04.01'!AE85,'21.04.01'!$AO$4:$AQ$55,3,FALSE))</f>
        <v>0</v>
      </c>
      <c r="X85" s="5">
        <f>(VLOOKUP('21.04.01'!AF85,'21.04.01'!$AO$4:$AQ$55,3,FALSE))</f>
        <v>0</v>
      </c>
    </row>
    <row r="86" spans="1:24">
      <c r="A86" s="4">
        <f>(VLOOKUP('21.04.01'!I86,'21.04.01'!$AO$4:$AQ$55,3,FALSE))</f>
        <v>0</v>
      </c>
      <c r="B86" s="4">
        <f>(VLOOKUP('21.04.01'!J86,'21.04.01'!$AO$4:$AQ$55,3,FALSE))</f>
        <v>0</v>
      </c>
      <c r="C86" s="4">
        <f>(VLOOKUP('21.04.01'!K86,'21.04.01'!$AO$4:$AQ$55,3,FALSE))</f>
        <v>0</v>
      </c>
      <c r="D86" s="4">
        <f>(VLOOKUP('21.04.01'!L86,'21.04.01'!$AO$4:$AQ$55,3,FALSE))</f>
        <v>0</v>
      </c>
      <c r="E86" s="4">
        <f>(VLOOKUP('21.04.01'!M86,'21.04.01'!$AO$4:$AQ$55,3,FALSE))</f>
        <v>0</v>
      </c>
      <c r="F86" s="4">
        <f>(VLOOKUP('21.04.01'!N86,'21.04.01'!$AO$4:$AQ$55,3,FALSE))</f>
        <v>0</v>
      </c>
      <c r="G86" s="5">
        <f>(VLOOKUP('21.04.01'!O86,'21.04.01'!$AO$4:$AQ$55,3,FALSE))</f>
        <v>0</v>
      </c>
      <c r="H86" s="5">
        <f>(VLOOKUP('21.04.01'!P86,'21.04.01'!$AO$4:$AQ$55,3,FALSE))</f>
        <v>0</v>
      </c>
      <c r="I86" s="4">
        <f>(VLOOKUP('21.04.01'!Q86,'21.04.01'!$AO$4:$AQ$55,3,FALSE))</f>
        <v>0</v>
      </c>
      <c r="J86" s="4">
        <f>(VLOOKUP('21.04.01'!R86,'21.04.01'!$AO$4:$AQ$55,3,FALSE))</f>
        <v>0</v>
      </c>
      <c r="K86" s="4">
        <f>(VLOOKUP('21.04.01'!S86,'21.04.01'!$AO$4:$AQ$55,3,FALSE))</f>
        <v>0</v>
      </c>
      <c r="L86" s="4">
        <f>(VLOOKUP('21.04.01'!T86,'21.04.01'!$AO$4:$AQ$55,3,FALSE))</f>
        <v>0</v>
      </c>
      <c r="M86" s="4">
        <f>(VLOOKUP('21.04.01'!U86,'21.04.01'!$AO$4:$AQ$55,3,FALSE))</f>
        <v>0</v>
      </c>
      <c r="N86" s="4">
        <f>(VLOOKUP('21.04.01'!V86,'21.04.01'!$AO$4:$AQ$55,3,FALSE))</f>
        <v>0</v>
      </c>
      <c r="O86" s="5">
        <f>(VLOOKUP('21.04.01'!W86,'21.04.01'!$AO$4:$AQ$55,3,FALSE))</f>
        <v>0</v>
      </c>
      <c r="P86" s="5">
        <f>(VLOOKUP('21.04.01'!X86,'21.04.01'!$AO$4:$AQ$55,3,FALSE))</f>
        <v>0</v>
      </c>
      <c r="Q86" s="4">
        <f>(VLOOKUP('21.04.01'!Y86,'21.04.01'!$AO$4:$AQ$55,3,FALSE))</f>
        <v>0</v>
      </c>
      <c r="R86" s="4">
        <f>(VLOOKUP('21.04.01'!Z86,'21.04.01'!$AO$4:$AQ$55,3,FALSE))</f>
        <v>0</v>
      </c>
      <c r="S86" s="4">
        <f>(VLOOKUP('21.04.01'!AA86,'21.04.01'!$AO$4:$AQ$55,3,FALSE))</f>
        <v>0</v>
      </c>
      <c r="T86" s="4">
        <f>(VLOOKUP('21.04.01'!AB86,'21.04.01'!$AO$4:$AQ$55,3,FALSE))</f>
        <v>0</v>
      </c>
      <c r="U86" s="4">
        <f>(VLOOKUP('21.04.01'!AC86,'21.04.01'!$AO$4:$AQ$55,3,FALSE))</f>
        <v>0</v>
      </c>
      <c r="V86" s="4">
        <f>(VLOOKUP('21.04.01'!AD86,'21.04.01'!$AO$4:$AQ$55,3,FALSE))</f>
        <v>0</v>
      </c>
      <c r="W86" s="5">
        <f>(VLOOKUP('21.04.01'!AE86,'21.04.01'!$AO$4:$AQ$55,3,FALSE))</f>
        <v>0</v>
      </c>
      <c r="X86" s="5">
        <f>(VLOOKUP('21.04.01'!AF86,'21.04.01'!$AO$4:$AQ$55,3,FALSE))</f>
        <v>0</v>
      </c>
    </row>
    <row r="87" spans="1:24">
      <c r="A87" s="4">
        <f>(VLOOKUP('21.04.01'!I87,'21.04.01'!$AO$4:$AQ$55,3,FALSE))</f>
        <v>0</v>
      </c>
      <c r="B87" s="4">
        <f>(VLOOKUP('21.04.01'!J87,'21.04.01'!$AO$4:$AQ$55,3,FALSE))</f>
        <v>0</v>
      </c>
      <c r="C87" s="4">
        <f>(VLOOKUP('21.04.01'!K87,'21.04.01'!$AO$4:$AQ$55,3,FALSE))</f>
        <v>0</v>
      </c>
      <c r="D87" s="4">
        <f>(VLOOKUP('21.04.01'!L87,'21.04.01'!$AO$4:$AQ$55,3,FALSE))</f>
        <v>0</v>
      </c>
      <c r="E87" s="4">
        <f>(VLOOKUP('21.04.01'!M87,'21.04.01'!$AO$4:$AQ$55,3,FALSE))</f>
        <v>0</v>
      </c>
      <c r="F87" s="4">
        <f>(VLOOKUP('21.04.01'!N87,'21.04.01'!$AO$4:$AQ$55,3,FALSE))</f>
        <v>0</v>
      </c>
      <c r="G87" s="5">
        <f>(VLOOKUP('21.04.01'!O87,'21.04.01'!$AO$4:$AQ$55,3,FALSE))</f>
        <v>0</v>
      </c>
      <c r="H87" s="5">
        <f>(VLOOKUP('21.04.01'!P87,'21.04.01'!$AO$4:$AQ$55,3,FALSE))</f>
        <v>0</v>
      </c>
      <c r="I87" s="4">
        <f>(VLOOKUP('21.04.01'!Q87,'21.04.01'!$AO$4:$AQ$55,3,FALSE))</f>
        <v>0</v>
      </c>
      <c r="J87" s="4">
        <f>(VLOOKUP('21.04.01'!R87,'21.04.01'!$AO$4:$AQ$55,3,FALSE))</f>
        <v>0</v>
      </c>
      <c r="K87" s="4">
        <f>(VLOOKUP('21.04.01'!S87,'21.04.01'!$AO$4:$AQ$55,3,FALSE))</f>
        <v>0</v>
      </c>
      <c r="L87" s="4">
        <f>(VLOOKUP('21.04.01'!T87,'21.04.01'!$AO$4:$AQ$55,3,FALSE))</f>
        <v>0</v>
      </c>
      <c r="M87" s="4">
        <f>(VLOOKUP('21.04.01'!U87,'21.04.01'!$AO$4:$AQ$55,3,FALSE))</f>
        <v>0</v>
      </c>
      <c r="N87" s="4">
        <f>(VLOOKUP('21.04.01'!V87,'21.04.01'!$AO$4:$AQ$55,3,FALSE))</f>
        <v>0</v>
      </c>
      <c r="O87" s="5">
        <f>(VLOOKUP('21.04.01'!W87,'21.04.01'!$AO$4:$AQ$55,3,FALSE))</f>
        <v>0</v>
      </c>
      <c r="P87" s="5">
        <f>(VLOOKUP('21.04.01'!X87,'21.04.01'!$AO$4:$AQ$55,3,FALSE))</f>
        <v>0</v>
      </c>
      <c r="Q87" s="4">
        <f>(VLOOKUP('21.04.01'!Y87,'21.04.01'!$AO$4:$AQ$55,3,FALSE))</f>
        <v>40</v>
      </c>
      <c r="R87" s="4">
        <f>(VLOOKUP('21.04.01'!Z87,'21.04.01'!$AO$4:$AQ$55,3,FALSE))</f>
        <v>40</v>
      </c>
      <c r="S87" s="4">
        <f>(VLOOKUP('21.04.01'!AA87,'21.04.01'!$AO$4:$AQ$55,3,FALSE))</f>
        <v>40</v>
      </c>
      <c r="T87" s="4">
        <f>(VLOOKUP('21.04.01'!AB87,'21.04.01'!$AO$4:$AQ$55,3,FALSE))</f>
        <v>30</v>
      </c>
      <c r="U87" s="4">
        <f>(VLOOKUP('21.04.01'!AC87,'21.04.01'!$AO$4:$AQ$55,3,FALSE))</f>
        <v>40</v>
      </c>
      <c r="V87" s="4">
        <f>(VLOOKUP('21.04.01'!AD87,'21.04.01'!$AO$4:$AQ$55,3,FALSE))</f>
        <v>40</v>
      </c>
      <c r="W87" s="5">
        <f>(VLOOKUP('21.04.01'!AE87,'21.04.01'!$AO$4:$AQ$55,3,FALSE))</f>
        <v>0</v>
      </c>
      <c r="X87" s="5">
        <f>(VLOOKUP('21.04.01'!AF87,'21.04.01'!$AO$4:$AQ$55,3,FALSE))</f>
        <v>0</v>
      </c>
    </row>
    <row r="88" spans="1:24">
      <c r="A88" s="4">
        <f>(VLOOKUP('21.04.01'!I88,'21.04.01'!$AO$4:$AQ$55,3,FALSE))</f>
        <v>0</v>
      </c>
      <c r="B88" s="4">
        <f>(VLOOKUP('21.04.01'!J88,'21.04.01'!$AO$4:$AQ$55,3,FALSE))</f>
        <v>0</v>
      </c>
      <c r="C88" s="4">
        <f>(VLOOKUP('21.04.01'!K88,'21.04.01'!$AO$4:$AQ$55,3,FALSE))</f>
        <v>0</v>
      </c>
      <c r="D88" s="4">
        <f>(VLOOKUP('21.04.01'!L88,'21.04.01'!$AO$4:$AQ$55,3,FALSE))</f>
        <v>0</v>
      </c>
      <c r="E88" s="4">
        <f>(VLOOKUP('21.04.01'!M88,'21.04.01'!$AO$4:$AQ$55,3,FALSE))</f>
        <v>0</v>
      </c>
      <c r="F88" s="4">
        <f>(VLOOKUP('21.04.01'!N88,'21.04.01'!$AO$4:$AQ$55,3,FALSE))</f>
        <v>0</v>
      </c>
      <c r="G88" s="5">
        <f>(VLOOKUP('21.04.01'!O88,'21.04.01'!$AO$4:$AQ$55,3,FALSE))</f>
        <v>0</v>
      </c>
      <c r="H88" s="5">
        <f>(VLOOKUP('21.04.01'!P88,'21.04.01'!$AO$4:$AQ$55,3,FALSE))</f>
        <v>0</v>
      </c>
      <c r="I88" s="4">
        <f>(VLOOKUP('21.04.01'!Q88,'21.04.01'!$AO$4:$AQ$55,3,FALSE))</f>
        <v>0</v>
      </c>
      <c r="J88" s="4">
        <f>(VLOOKUP('21.04.01'!R88,'21.04.01'!$AO$4:$AQ$55,3,FALSE))</f>
        <v>0</v>
      </c>
      <c r="K88" s="4">
        <f>(VLOOKUP('21.04.01'!S88,'21.04.01'!$AO$4:$AQ$55,3,FALSE))</f>
        <v>0</v>
      </c>
      <c r="L88" s="4">
        <f>(VLOOKUP('21.04.01'!T88,'21.04.01'!$AO$4:$AQ$55,3,FALSE))</f>
        <v>0</v>
      </c>
      <c r="M88" s="4">
        <f>(VLOOKUP('21.04.01'!U88,'21.04.01'!$AO$4:$AQ$55,3,FALSE))</f>
        <v>0</v>
      </c>
      <c r="N88" s="4">
        <f>(VLOOKUP('21.04.01'!V88,'21.04.01'!$AO$4:$AQ$55,3,FALSE))</f>
        <v>0</v>
      </c>
      <c r="O88" s="5">
        <f>(VLOOKUP('21.04.01'!W88,'21.04.01'!$AO$4:$AQ$55,3,FALSE))</f>
        <v>0</v>
      </c>
      <c r="P88" s="5">
        <f>(VLOOKUP('21.04.01'!X88,'21.04.01'!$AO$4:$AQ$55,3,FALSE))</f>
        <v>0</v>
      </c>
      <c r="Q88" s="4">
        <f>(VLOOKUP('21.04.01'!Y88,'21.04.01'!$AO$4:$AQ$55,3,FALSE))</f>
        <v>40</v>
      </c>
      <c r="R88" s="4">
        <f>(VLOOKUP('21.04.01'!Z88,'21.04.01'!$AO$4:$AQ$55,3,FALSE))</f>
        <v>30</v>
      </c>
      <c r="S88" s="4">
        <f>(VLOOKUP('21.04.01'!AA88,'21.04.01'!$AO$4:$AQ$55,3,FALSE))</f>
        <v>40</v>
      </c>
      <c r="T88" s="4">
        <f>(VLOOKUP('21.04.01'!AB88,'21.04.01'!$AO$4:$AQ$55,3,FALSE))</f>
        <v>40</v>
      </c>
      <c r="U88" s="4">
        <f>(VLOOKUP('21.04.01'!AC88,'21.04.01'!$AO$4:$AQ$55,3,FALSE))</f>
        <v>40</v>
      </c>
      <c r="V88" s="4">
        <f>(VLOOKUP('21.04.01'!AD88,'21.04.01'!$AO$4:$AQ$55,3,FALSE))</f>
        <v>30</v>
      </c>
      <c r="W88" s="5">
        <f>(VLOOKUP('21.04.01'!AE88,'21.04.01'!$AO$4:$AQ$55,3,FALSE))</f>
        <v>0</v>
      </c>
      <c r="X88" s="5">
        <f>(VLOOKUP('21.04.01'!AF88,'21.04.01'!$AO$4:$AQ$55,3,FALSE))</f>
        <v>0</v>
      </c>
    </row>
    <row r="89" spans="1:24">
      <c r="A89" s="4">
        <f>(VLOOKUP('21.04.01'!I89,'21.04.01'!$AO$4:$AQ$55,3,FALSE))</f>
        <v>0</v>
      </c>
      <c r="B89" s="4">
        <f>(VLOOKUP('21.04.01'!J89,'21.04.01'!$AO$4:$AQ$55,3,FALSE))</f>
        <v>0</v>
      </c>
      <c r="C89" s="4">
        <f>(VLOOKUP('21.04.01'!K89,'21.04.01'!$AO$4:$AQ$55,3,FALSE))</f>
        <v>0</v>
      </c>
      <c r="D89" s="4">
        <f>(VLOOKUP('21.04.01'!L89,'21.04.01'!$AO$4:$AQ$55,3,FALSE))</f>
        <v>0</v>
      </c>
      <c r="E89" s="4">
        <f>(VLOOKUP('21.04.01'!M89,'21.04.01'!$AO$4:$AQ$55,3,FALSE))</f>
        <v>0</v>
      </c>
      <c r="F89" s="4">
        <f>(VLOOKUP('21.04.01'!N89,'21.04.01'!$AO$4:$AQ$55,3,FALSE))</f>
        <v>0</v>
      </c>
      <c r="G89" s="5">
        <f>(VLOOKUP('21.04.01'!O89,'21.04.01'!$AO$4:$AQ$55,3,FALSE))</f>
        <v>0</v>
      </c>
      <c r="H89" s="5">
        <f>(VLOOKUP('21.04.01'!P89,'21.04.01'!$AO$4:$AQ$55,3,FALSE))</f>
        <v>0</v>
      </c>
      <c r="I89" s="4">
        <f>(VLOOKUP('21.04.01'!Q89,'21.04.01'!$AO$4:$AQ$55,3,FALSE))</f>
        <v>0</v>
      </c>
      <c r="J89" s="4">
        <f>(VLOOKUP('21.04.01'!R89,'21.04.01'!$AO$4:$AQ$55,3,FALSE))</f>
        <v>0</v>
      </c>
      <c r="K89" s="4">
        <f>(VLOOKUP('21.04.01'!S89,'21.04.01'!$AO$4:$AQ$55,3,FALSE))</f>
        <v>0</v>
      </c>
      <c r="L89" s="4">
        <f>(VLOOKUP('21.04.01'!T89,'21.04.01'!$AO$4:$AQ$55,3,FALSE))</f>
        <v>0</v>
      </c>
      <c r="M89" s="4">
        <f>(VLOOKUP('21.04.01'!U89,'21.04.01'!$AO$4:$AQ$55,3,FALSE))</f>
        <v>0</v>
      </c>
      <c r="N89" s="4">
        <f>(VLOOKUP('21.04.01'!V89,'21.04.01'!$AO$4:$AQ$55,3,FALSE))</f>
        <v>0</v>
      </c>
      <c r="O89" s="5">
        <f>(VLOOKUP('21.04.01'!W89,'21.04.01'!$AO$4:$AQ$55,3,FALSE))</f>
        <v>0</v>
      </c>
      <c r="P89" s="5">
        <f>(VLOOKUP('21.04.01'!X89,'21.04.01'!$AO$4:$AQ$55,3,FALSE))</f>
        <v>0</v>
      </c>
      <c r="Q89" s="4">
        <f>(VLOOKUP('21.04.01'!Y89,'21.04.01'!$AO$4:$AQ$55,3,FALSE))</f>
        <v>40</v>
      </c>
      <c r="R89" s="4">
        <f>(VLOOKUP('21.04.01'!Z89,'21.04.01'!$AO$4:$AQ$55,3,FALSE))</f>
        <v>40</v>
      </c>
      <c r="S89" s="4">
        <f>(VLOOKUP('21.04.01'!AA89,'21.04.01'!$AO$4:$AQ$55,3,FALSE))</f>
        <v>40</v>
      </c>
      <c r="T89" s="4">
        <f>(VLOOKUP('21.04.01'!AB89,'21.04.01'!$AO$4:$AQ$55,3,FALSE))</f>
        <v>40</v>
      </c>
      <c r="U89" s="4">
        <f>(VLOOKUP('21.04.01'!AC89,'21.04.01'!$AO$4:$AQ$55,3,FALSE))</f>
        <v>30</v>
      </c>
      <c r="V89" s="4">
        <f>(VLOOKUP('21.04.01'!AD89,'21.04.01'!$AO$4:$AQ$55,3,FALSE))</f>
        <v>40</v>
      </c>
      <c r="W89" s="5">
        <f>(VLOOKUP('21.04.01'!AE89,'21.04.01'!$AO$4:$AQ$55,3,FALSE))</f>
        <v>0</v>
      </c>
      <c r="X89" s="5">
        <f>(VLOOKUP('21.04.01'!AF89,'21.04.01'!$AO$4:$AQ$55,3,FALSE))</f>
        <v>0</v>
      </c>
    </row>
    <row r="90" spans="1:24">
      <c r="A90" s="4">
        <f>(VLOOKUP('21.04.01'!I90,'21.04.01'!$AO$4:$AQ$55,3,FALSE))</f>
        <v>0</v>
      </c>
      <c r="B90" s="4">
        <f>(VLOOKUP('21.04.01'!J90,'21.04.01'!$AO$4:$AQ$55,3,FALSE))</f>
        <v>0</v>
      </c>
      <c r="C90" s="4">
        <f>(VLOOKUP('21.04.01'!K90,'21.04.01'!$AO$4:$AQ$55,3,FALSE))</f>
        <v>0</v>
      </c>
      <c r="D90" s="4">
        <f>(VLOOKUP('21.04.01'!L90,'21.04.01'!$AO$4:$AQ$55,3,FALSE))</f>
        <v>0</v>
      </c>
      <c r="E90" s="4">
        <f>(VLOOKUP('21.04.01'!M90,'21.04.01'!$AO$4:$AQ$55,3,FALSE))</f>
        <v>0</v>
      </c>
      <c r="F90" s="4">
        <f>(VLOOKUP('21.04.01'!N90,'21.04.01'!$AO$4:$AQ$55,3,FALSE))</f>
        <v>0</v>
      </c>
      <c r="G90" s="5">
        <f>(VLOOKUP('21.04.01'!O90,'21.04.01'!$AO$4:$AQ$55,3,FALSE))</f>
        <v>0</v>
      </c>
      <c r="H90" s="5">
        <f>(VLOOKUP('21.04.01'!P90,'21.04.01'!$AO$4:$AQ$55,3,FALSE))</f>
        <v>0</v>
      </c>
      <c r="I90" s="4">
        <f>(VLOOKUP('21.04.01'!Q90,'21.04.01'!$AO$4:$AQ$55,3,FALSE))</f>
        <v>0</v>
      </c>
      <c r="J90" s="4">
        <f>(VLOOKUP('21.04.01'!R90,'21.04.01'!$AO$4:$AQ$55,3,FALSE))</f>
        <v>0</v>
      </c>
      <c r="K90" s="4">
        <f>(VLOOKUP('21.04.01'!S90,'21.04.01'!$AO$4:$AQ$55,3,FALSE))</f>
        <v>0</v>
      </c>
      <c r="L90" s="4">
        <f>(VLOOKUP('21.04.01'!T90,'21.04.01'!$AO$4:$AQ$55,3,FALSE))</f>
        <v>0</v>
      </c>
      <c r="M90" s="4">
        <f>(VLOOKUP('21.04.01'!U90,'21.04.01'!$AO$4:$AQ$55,3,FALSE))</f>
        <v>0</v>
      </c>
      <c r="N90" s="4">
        <f>(VLOOKUP('21.04.01'!V90,'21.04.01'!$AO$4:$AQ$55,3,FALSE))</f>
        <v>0</v>
      </c>
      <c r="O90" s="5">
        <f>(VLOOKUP('21.04.01'!W90,'21.04.01'!$AO$4:$AQ$55,3,FALSE))</f>
        <v>0</v>
      </c>
      <c r="P90" s="5">
        <f>(VLOOKUP('21.04.01'!X90,'21.04.01'!$AO$4:$AQ$55,3,FALSE))</f>
        <v>0</v>
      </c>
      <c r="Q90" s="4">
        <f>(VLOOKUP('21.04.01'!Y90,'21.04.01'!$AO$4:$AQ$55,3,FALSE))</f>
        <v>40</v>
      </c>
      <c r="R90" s="4">
        <f>(VLOOKUP('21.04.01'!Z90,'21.04.01'!$AO$4:$AQ$55,3,FALSE))</f>
        <v>40</v>
      </c>
      <c r="S90" s="4">
        <f>(VLOOKUP('21.04.01'!AA90,'21.04.01'!$AO$4:$AQ$55,3,FALSE))</f>
        <v>40</v>
      </c>
      <c r="T90" s="4">
        <f>(VLOOKUP('21.04.01'!AB90,'21.04.01'!$AO$4:$AQ$55,3,FALSE))</f>
        <v>40</v>
      </c>
      <c r="U90" s="4">
        <f>(VLOOKUP('21.04.01'!AC90,'21.04.01'!$AO$4:$AQ$55,3,FALSE))</f>
        <v>30</v>
      </c>
      <c r="V90" s="4">
        <f>(VLOOKUP('21.04.01'!AD90,'21.04.01'!$AO$4:$AQ$55,3,FALSE))</f>
        <v>40</v>
      </c>
      <c r="W90" s="5">
        <f>(VLOOKUP('21.04.01'!AE90,'21.04.01'!$AO$4:$AQ$55,3,FALSE))</f>
        <v>0</v>
      </c>
      <c r="X90" s="5">
        <f>(VLOOKUP('21.04.01'!AF90,'21.04.01'!$AO$4:$AQ$55,3,FALSE))</f>
        <v>0</v>
      </c>
    </row>
    <row r="91" spans="1:24">
      <c r="A91" s="4">
        <f>(VLOOKUP('21.04.01'!I91,'21.04.01'!$AO$4:$AQ$55,3,FALSE))</f>
        <v>0</v>
      </c>
      <c r="B91" s="4">
        <f>(VLOOKUP('21.04.01'!J91,'21.04.01'!$AO$4:$AQ$55,3,FALSE))</f>
        <v>0</v>
      </c>
      <c r="C91" s="4">
        <f>(VLOOKUP('21.04.01'!K91,'21.04.01'!$AO$4:$AQ$55,3,FALSE))</f>
        <v>0</v>
      </c>
      <c r="D91" s="4">
        <f>(VLOOKUP('21.04.01'!L91,'21.04.01'!$AO$4:$AQ$55,3,FALSE))</f>
        <v>0</v>
      </c>
      <c r="E91" s="4">
        <f>(VLOOKUP('21.04.01'!M91,'21.04.01'!$AO$4:$AQ$55,3,FALSE))</f>
        <v>0</v>
      </c>
      <c r="F91" s="4">
        <f>(VLOOKUP('21.04.01'!N91,'21.04.01'!$AO$4:$AQ$55,3,FALSE))</f>
        <v>0</v>
      </c>
      <c r="G91" s="5">
        <f>(VLOOKUP('21.04.01'!O91,'21.04.01'!$AO$4:$AQ$55,3,FALSE))</f>
        <v>0</v>
      </c>
      <c r="H91" s="5">
        <f>(VLOOKUP('21.04.01'!P91,'21.04.01'!$AO$4:$AQ$55,3,FALSE))</f>
        <v>0</v>
      </c>
      <c r="I91" s="4">
        <f>(VLOOKUP('21.04.01'!Q91,'21.04.01'!$AO$4:$AQ$55,3,FALSE))</f>
        <v>0</v>
      </c>
      <c r="J91" s="4">
        <f>(VLOOKUP('21.04.01'!R91,'21.04.01'!$AO$4:$AQ$55,3,FALSE))</f>
        <v>0</v>
      </c>
      <c r="K91" s="4">
        <f>(VLOOKUP('21.04.01'!S91,'21.04.01'!$AO$4:$AQ$55,3,FALSE))</f>
        <v>0</v>
      </c>
      <c r="L91" s="4">
        <f>(VLOOKUP('21.04.01'!T91,'21.04.01'!$AO$4:$AQ$55,3,FALSE))</f>
        <v>0</v>
      </c>
      <c r="M91" s="4">
        <f>(VLOOKUP('21.04.01'!U91,'21.04.01'!$AO$4:$AQ$55,3,FALSE))</f>
        <v>0</v>
      </c>
      <c r="N91" s="4">
        <f>(VLOOKUP('21.04.01'!V91,'21.04.01'!$AO$4:$AQ$55,3,FALSE))</f>
        <v>0</v>
      </c>
      <c r="O91" s="5">
        <f>(VLOOKUP('21.04.01'!W91,'21.04.01'!$AO$4:$AQ$55,3,FALSE))</f>
        <v>0</v>
      </c>
      <c r="P91" s="5">
        <f>(VLOOKUP('21.04.01'!X91,'21.04.01'!$AO$4:$AQ$55,3,FALSE))</f>
        <v>0</v>
      </c>
      <c r="Q91" s="4">
        <f>(VLOOKUP('21.04.01'!Y91,'21.04.01'!$AO$4:$AQ$55,3,FALSE))</f>
        <v>40</v>
      </c>
      <c r="R91" s="4">
        <f>(VLOOKUP('21.04.01'!Z91,'21.04.01'!$AO$4:$AQ$55,3,FALSE))</f>
        <v>40</v>
      </c>
      <c r="S91" s="4">
        <f>(VLOOKUP('21.04.01'!AA91,'21.04.01'!$AO$4:$AQ$55,3,FALSE))</f>
        <v>30</v>
      </c>
      <c r="T91" s="4">
        <f>(VLOOKUP('21.04.01'!AB91,'21.04.01'!$AO$4:$AQ$55,3,FALSE))</f>
        <v>0</v>
      </c>
      <c r="U91" s="4">
        <f>(VLOOKUP('21.04.01'!AC91,'21.04.01'!$AO$4:$AQ$55,3,FALSE))</f>
        <v>0</v>
      </c>
      <c r="V91" s="4">
        <f>(VLOOKUP('21.04.01'!AD91,'21.04.01'!$AO$4:$AQ$55,3,FALSE))</f>
        <v>0</v>
      </c>
      <c r="W91" s="5">
        <f>(VLOOKUP('21.04.01'!AE91,'21.04.01'!$AO$4:$AQ$55,3,FALSE))</f>
        <v>0</v>
      </c>
      <c r="X91" s="5">
        <f>(VLOOKUP('21.04.01'!AF91,'21.04.01'!$AO$4:$AQ$55,3,FALSE))</f>
        <v>0</v>
      </c>
    </row>
    <row r="92" spans="1:24">
      <c r="A92" s="4">
        <f>(VLOOKUP('21.04.01'!I92,'21.04.01'!$AO$4:$AQ$55,3,FALSE))</f>
        <v>0</v>
      </c>
      <c r="B92" s="4">
        <f>(VLOOKUP('21.04.01'!J92,'21.04.01'!$AO$4:$AQ$55,3,FALSE))</f>
        <v>0</v>
      </c>
      <c r="C92" s="4">
        <f>(VLOOKUP('21.04.01'!K92,'21.04.01'!$AO$4:$AQ$55,3,FALSE))</f>
        <v>0</v>
      </c>
      <c r="D92" s="4">
        <f>(VLOOKUP('21.04.01'!L92,'21.04.01'!$AO$4:$AQ$55,3,FALSE))</f>
        <v>0</v>
      </c>
      <c r="E92" s="4">
        <f>(VLOOKUP('21.04.01'!M92,'21.04.01'!$AO$4:$AQ$55,3,FALSE))</f>
        <v>0</v>
      </c>
      <c r="F92" s="4">
        <f>(VLOOKUP('21.04.01'!N92,'21.04.01'!$AO$4:$AQ$55,3,FALSE))</f>
        <v>0</v>
      </c>
      <c r="G92" s="5">
        <f>(VLOOKUP('21.04.01'!O92,'21.04.01'!$AO$4:$AQ$55,3,FALSE))</f>
        <v>0</v>
      </c>
      <c r="H92" s="5">
        <f>(VLOOKUP('21.04.01'!P92,'21.04.01'!$AO$4:$AQ$55,3,FALSE))</f>
        <v>0</v>
      </c>
      <c r="I92" s="4">
        <f>(VLOOKUP('21.04.01'!Q92,'21.04.01'!$AO$4:$AQ$55,3,FALSE))</f>
        <v>0</v>
      </c>
      <c r="J92" s="4">
        <f>(VLOOKUP('21.04.01'!R92,'21.04.01'!$AO$4:$AQ$55,3,FALSE))</f>
        <v>0</v>
      </c>
      <c r="K92" s="4">
        <f>(VLOOKUP('21.04.01'!S92,'21.04.01'!$AO$4:$AQ$55,3,FALSE))</f>
        <v>0</v>
      </c>
      <c r="L92" s="4">
        <f>(VLOOKUP('21.04.01'!T92,'21.04.01'!$AO$4:$AQ$55,3,FALSE))</f>
        <v>0</v>
      </c>
      <c r="M92" s="4">
        <f>(VLOOKUP('21.04.01'!U92,'21.04.01'!$AO$4:$AQ$55,3,FALSE))</f>
        <v>0</v>
      </c>
      <c r="N92" s="4">
        <f>(VLOOKUP('21.04.01'!V92,'21.04.01'!$AO$4:$AQ$55,3,FALSE))</f>
        <v>0</v>
      </c>
      <c r="O92" s="5">
        <f>(VLOOKUP('21.04.01'!W92,'21.04.01'!$AO$4:$AQ$55,3,FALSE))</f>
        <v>0</v>
      </c>
      <c r="P92" s="5">
        <f>(VLOOKUP('21.04.01'!X92,'21.04.01'!$AO$4:$AQ$55,3,FALSE))</f>
        <v>0</v>
      </c>
      <c r="Q92" s="4">
        <f>(VLOOKUP('21.04.01'!Y92,'21.04.01'!$AO$4:$AQ$55,3,FALSE))</f>
        <v>0</v>
      </c>
      <c r="R92" s="4">
        <f>(VLOOKUP('21.04.01'!Z92,'21.04.01'!$AO$4:$AQ$55,3,FALSE))</f>
        <v>0</v>
      </c>
      <c r="S92" s="4">
        <f>(VLOOKUP('21.04.01'!AA92,'21.04.01'!$AO$4:$AQ$55,3,FALSE))</f>
        <v>0</v>
      </c>
      <c r="T92" s="4">
        <f>(VLOOKUP('21.04.01'!AB92,'21.04.01'!$AO$4:$AQ$55,3,FALSE))</f>
        <v>0</v>
      </c>
      <c r="U92" s="4">
        <f>(VLOOKUP('21.04.01'!AC92,'21.04.01'!$AO$4:$AQ$55,3,FALSE))</f>
        <v>0</v>
      </c>
      <c r="V92" s="4">
        <f>(VLOOKUP('21.04.01'!AD92,'21.04.01'!$AO$4:$AQ$55,3,FALSE))</f>
        <v>0</v>
      </c>
      <c r="W92" s="5">
        <f>(VLOOKUP('21.04.01'!AE92,'21.04.01'!$AO$4:$AQ$55,3,FALSE))</f>
        <v>0</v>
      </c>
      <c r="X92" s="5">
        <f>(VLOOKUP('21.04.01'!AF92,'21.04.01'!$AO$4:$AQ$55,3,FALSE))</f>
        <v>0</v>
      </c>
    </row>
    <row r="93" spans="1:24">
      <c r="A93" s="4">
        <f>(VLOOKUP('21.04.01'!I93,'21.04.01'!$AO$4:$AQ$55,3,FALSE))</f>
        <v>0</v>
      </c>
      <c r="B93" s="4">
        <f>(VLOOKUP('21.04.01'!J93,'21.04.01'!$AO$4:$AQ$55,3,FALSE))</f>
        <v>0</v>
      </c>
      <c r="C93" s="4">
        <f>(VLOOKUP('21.04.01'!K93,'21.04.01'!$AO$4:$AQ$55,3,FALSE))</f>
        <v>0</v>
      </c>
      <c r="D93" s="4">
        <f>(VLOOKUP('21.04.01'!L93,'21.04.01'!$AO$4:$AQ$55,3,FALSE))</f>
        <v>0</v>
      </c>
      <c r="E93" s="4">
        <f>(VLOOKUP('21.04.01'!M93,'21.04.01'!$AO$4:$AQ$55,3,FALSE))</f>
        <v>0</v>
      </c>
      <c r="F93" s="4">
        <f>(VLOOKUP('21.04.01'!N93,'21.04.01'!$AO$4:$AQ$55,3,FALSE))</f>
        <v>0</v>
      </c>
      <c r="G93" s="5">
        <f>(VLOOKUP('21.04.01'!O93,'21.04.01'!$AO$4:$AQ$55,3,FALSE))</f>
        <v>0</v>
      </c>
      <c r="H93" s="5">
        <f>(VLOOKUP('21.04.01'!P93,'21.04.01'!$AO$4:$AQ$55,3,FALSE))</f>
        <v>0</v>
      </c>
      <c r="I93" s="4">
        <f>(VLOOKUP('21.04.01'!Q93,'21.04.01'!$AO$4:$AQ$55,3,FALSE))</f>
        <v>0</v>
      </c>
      <c r="J93" s="4">
        <f>(VLOOKUP('21.04.01'!R93,'21.04.01'!$AO$4:$AQ$55,3,FALSE))</f>
        <v>0</v>
      </c>
      <c r="K93" s="4">
        <f>(VLOOKUP('21.04.01'!S93,'21.04.01'!$AO$4:$AQ$55,3,FALSE))</f>
        <v>0</v>
      </c>
      <c r="L93" s="4">
        <f>(VLOOKUP('21.04.01'!T93,'21.04.01'!$AO$4:$AQ$55,3,FALSE))</f>
        <v>0</v>
      </c>
      <c r="M93" s="4">
        <f>(VLOOKUP('21.04.01'!U93,'21.04.01'!$AO$4:$AQ$55,3,FALSE))</f>
        <v>0</v>
      </c>
      <c r="N93" s="4">
        <f>(VLOOKUP('21.04.01'!V93,'21.04.01'!$AO$4:$AQ$55,3,FALSE))</f>
        <v>0</v>
      </c>
      <c r="O93" s="5">
        <f>(VLOOKUP('21.04.01'!W93,'21.04.01'!$AO$4:$AQ$55,3,FALSE))</f>
        <v>0</v>
      </c>
      <c r="P93" s="5">
        <f>(VLOOKUP('21.04.01'!X93,'21.04.01'!$AO$4:$AQ$55,3,FALSE))</f>
        <v>0</v>
      </c>
      <c r="Q93" s="4">
        <f>(VLOOKUP('21.04.01'!Y93,'21.04.01'!$AO$4:$AQ$55,3,FALSE))</f>
        <v>0</v>
      </c>
      <c r="R93" s="4">
        <f>(VLOOKUP('21.04.01'!Z93,'21.04.01'!$AO$4:$AQ$55,3,FALSE))</f>
        <v>0</v>
      </c>
      <c r="S93" s="4">
        <f>(VLOOKUP('21.04.01'!AA93,'21.04.01'!$AO$4:$AQ$55,3,FALSE))</f>
        <v>0</v>
      </c>
      <c r="T93" s="4">
        <f>(VLOOKUP('21.04.01'!AB93,'21.04.01'!$AO$4:$AQ$55,3,FALSE))</f>
        <v>0</v>
      </c>
      <c r="U93" s="4">
        <f>(VLOOKUP('21.04.01'!AC93,'21.04.01'!$AO$4:$AQ$55,3,FALSE))</f>
        <v>0</v>
      </c>
      <c r="V93" s="4">
        <f>(VLOOKUP('21.04.01'!AD93,'21.04.01'!$AO$4:$AQ$55,3,FALSE))</f>
        <v>0</v>
      </c>
      <c r="W93" s="5">
        <f>(VLOOKUP('21.04.01'!AE93,'21.04.01'!$AO$4:$AQ$55,3,FALSE))</f>
        <v>0</v>
      </c>
      <c r="X93" s="5">
        <f>(VLOOKUP('21.04.01'!AF93,'21.04.01'!$AO$4:$AQ$55,3,FALSE))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(VLOOKUP('21.04.01'!I4,'21.04.01'!$AO$4:$AR$55,4,FALSE))</f>
        <v>44.222109392472248</v>
      </c>
      <c r="B4" s="4">
        <f>(VLOOKUP('21.04.01'!J4,'21.04.01'!$AO$4:$AR$55,4,FALSE))</f>
        <v>44.222109392472248</v>
      </c>
      <c r="C4" s="4">
        <f>(VLOOKUP('21.04.01'!K4,'21.04.01'!$AO$4:$AR$55,4,FALSE))</f>
        <v>44.222109392472248</v>
      </c>
      <c r="D4" s="4">
        <f>(VLOOKUP('21.04.01'!L4,'21.04.01'!$AO$4:$AR$55,4,FALSE))</f>
        <v>44.222109392472248</v>
      </c>
      <c r="E4" s="4">
        <f>(VLOOKUP('21.04.01'!M4,'21.04.01'!$AO$4:$AR$55,4,FALSE))</f>
        <v>44.222109392472248</v>
      </c>
      <c r="F4" s="4">
        <f>(VLOOKUP('21.04.01'!N4,'21.04.01'!$AO$4:$AR$55,4,FALSE))</f>
        <v>10</v>
      </c>
      <c r="G4" s="4">
        <f>(VLOOKUP('21.04.01'!O4,'21.04.01'!$AO$4:$AR$55,4,FALSE))</f>
        <v>0</v>
      </c>
      <c r="H4" s="4">
        <f>(VLOOKUP('21.04.01'!P4,'21.04.01'!$AO$4:$AR$55,4,FALSE))</f>
        <v>0</v>
      </c>
      <c r="I4" s="4">
        <f>(VLOOKUP('21.04.01'!Q4,'21.04.01'!$AO$4:$AR$55,4,FALSE))</f>
        <v>44.222109392472248</v>
      </c>
      <c r="J4" s="4">
        <f>(VLOOKUP('21.04.01'!R4,'21.04.01'!$AO$4:$AR$55,4,FALSE))</f>
        <v>44.222109392472248</v>
      </c>
      <c r="K4" s="4">
        <f>(VLOOKUP('21.04.01'!S4,'21.04.01'!$AO$4:$AR$55,4,FALSE))</f>
        <v>44.222109392472248</v>
      </c>
      <c r="L4" s="4">
        <f>(VLOOKUP('21.04.01'!T4,'21.04.01'!$AO$4:$AR$55,4,FALSE))</f>
        <v>44.222109392472248</v>
      </c>
      <c r="M4" s="4">
        <f>(VLOOKUP('21.04.01'!U4,'21.04.01'!$AO$4:$AR$55,4,FALSE))</f>
        <v>44.222109392472248</v>
      </c>
      <c r="N4" s="4">
        <f>(VLOOKUP('21.04.01'!V4,'21.04.01'!$AO$4:$AR$55,4,FALSE))</f>
        <v>44.222109392472248</v>
      </c>
      <c r="O4" s="4">
        <f>(VLOOKUP('21.04.01'!W4,'21.04.01'!$AO$4:$AR$55,4,FALSE))</f>
        <v>0</v>
      </c>
      <c r="P4" s="4">
        <f>(VLOOKUP('21.04.01'!X4,'21.04.01'!$AO$4:$AR$55,4,FALSE))</f>
        <v>0</v>
      </c>
      <c r="Q4" s="4">
        <f>(VLOOKUP('21.04.01'!Y4,'21.04.01'!$AO$4:$AR$55,4,FALSE))</f>
        <v>29.110982162825422</v>
      </c>
      <c r="R4" s="4">
        <f>(VLOOKUP('21.04.01'!Z4,'21.04.01'!$AO$4:$AR$55,4,FALSE))</f>
        <v>44.222109392472248</v>
      </c>
      <c r="S4" s="4">
        <f>(VLOOKUP('21.04.01'!AA4,'21.04.01'!$AO$4:$AR$55,4,FALSE))</f>
        <v>44.222109392472248</v>
      </c>
      <c r="T4" s="4">
        <f>(VLOOKUP('21.04.01'!AB4,'21.04.01'!$AO$4:$AR$55,4,FALSE))</f>
        <v>29.110982162825422</v>
      </c>
      <c r="U4" s="4">
        <f>(VLOOKUP('21.04.01'!AC4,'21.04.01'!$AO$4:$AR$55,4,FALSE))</f>
        <v>44.222109392472248</v>
      </c>
      <c r="V4" s="4">
        <f>(VLOOKUP('21.04.01'!AD4,'21.04.01'!$AO$4:$AR$55,4,FALSE))</f>
        <v>44.222109392472248</v>
      </c>
      <c r="W4" s="4">
        <f>(VLOOKUP('21.04.01'!AE4,'21.04.01'!$AO$4:$AR$55,4,FALSE))</f>
        <v>0</v>
      </c>
      <c r="X4" s="4">
        <f>(VLOOKUP('21.04.01'!AF4,'21.04.01'!$AO$4:$AR$55,4,FALSE))</f>
        <v>0</v>
      </c>
    </row>
    <row r="5" spans="1:24">
      <c r="A5" s="4">
        <f>(VLOOKUP('21.04.01'!I5,'21.04.01'!$AO$4:$AR$55,4,FALSE))</f>
        <v>0</v>
      </c>
      <c r="B5" s="4">
        <f>(VLOOKUP('21.04.01'!J5,'21.04.01'!$AO$4:$AR$55,4,FALSE))</f>
        <v>0</v>
      </c>
      <c r="C5" s="4">
        <f>(VLOOKUP('21.04.01'!K5,'21.04.01'!$AO$4:$AR$55,4,FALSE))</f>
        <v>0</v>
      </c>
      <c r="D5" s="4">
        <f>(VLOOKUP('21.04.01'!L5,'21.04.01'!$AO$4:$AR$55,4,FALSE))</f>
        <v>0</v>
      </c>
      <c r="E5" s="4">
        <f>(VLOOKUP('21.04.01'!M5,'21.04.01'!$AO$4:$AR$55,4,FALSE))</f>
        <v>0</v>
      </c>
      <c r="F5" s="4">
        <f>(VLOOKUP('21.04.01'!N5,'21.04.01'!$AO$4:$AR$55,4,FALSE))</f>
        <v>0</v>
      </c>
      <c r="G5" s="4">
        <f>(VLOOKUP('21.04.01'!O5,'21.04.01'!$AO$4:$AR$55,4,FALSE))</f>
        <v>0</v>
      </c>
      <c r="H5" s="4">
        <f>(VLOOKUP('21.04.01'!P5,'21.04.01'!$AO$4:$AR$55,4,FALSE))</f>
        <v>0</v>
      </c>
      <c r="I5" s="4">
        <f>(VLOOKUP('21.04.01'!Q5,'21.04.01'!$AO$4:$AR$55,4,FALSE))</f>
        <v>0</v>
      </c>
      <c r="J5" s="4">
        <f>(VLOOKUP('21.04.01'!R5,'21.04.01'!$AO$4:$AR$55,4,FALSE))</f>
        <v>0</v>
      </c>
      <c r="K5" s="4">
        <f>(VLOOKUP('21.04.01'!S5,'21.04.01'!$AO$4:$AR$55,4,FALSE))</f>
        <v>0</v>
      </c>
      <c r="L5" s="4">
        <f>(VLOOKUP('21.04.01'!T5,'21.04.01'!$AO$4:$AR$55,4,FALSE))</f>
        <v>0</v>
      </c>
      <c r="M5" s="4">
        <f>(VLOOKUP('21.04.01'!U5,'21.04.01'!$AO$4:$AR$55,4,FALSE))</f>
        <v>0</v>
      </c>
      <c r="N5" s="4">
        <f>(VLOOKUP('21.04.01'!V5,'21.04.01'!$AO$4:$AR$55,4,FALSE))</f>
        <v>0</v>
      </c>
      <c r="O5" s="4">
        <f>(VLOOKUP('21.04.01'!W5,'21.04.01'!$AO$4:$AR$55,4,FALSE))</f>
        <v>0</v>
      </c>
      <c r="P5" s="4">
        <f>(VLOOKUP('21.04.01'!X5,'21.04.01'!$AO$4:$AR$55,4,FALSE))</f>
        <v>0</v>
      </c>
      <c r="Q5" s="4">
        <f>(VLOOKUP('21.04.01'!Y5,'21.04.01'!$AO$4:$AR$55,4,FALSE))</f>
        <v>44.222109392472248</v>
      </c>
      <c r="R5" s="4">
        <f>(VLOOKUP('21.04.01'!Z5,'21.04.01'!$AO$4:$AR$55,4,FALSE))</f>
        <v>44.222109392472248</v>
      </c>
      <c r="S5" s="4">
        <f>(VLOOKUP('21.04.01'!AA5,'21.04.01'!$AO$4:$AR$55,4,FALSE))</f>
        <v>10</v>
      </c>
      <c r="T5" s="4">
        <f>(VLOOKUP('21.04.01'!AB5,'21.04.01'!$AO$4:$AR$55,4,FALSE))</f>
        <v>44.222109392472248</v>
      </c>
      <c r="U5" s="4">
        <f>(VLOOKUP('21.04.01'!AC5,'21.04.01'!$AO$4:$AR$55,4,FALSE))</f>
        <v>44.222109392472248</v>
      </c>
      <c r="V5" s="4">
        <f>(VLOOKUP('21.04.01'!AD5,'21.04.01'!$AO$4:$AR$55,4,FALSE))</f>
        <v>29.110982162825422</v>
      </c>
      <c r="W5" s="4">
        <f>(VLOOKUP('21.04.01'!AE5,'21.04.01'!$AO$4:$AR$55,4,FALSE))</f>
        <v>0</v>
      </c>
      <c r="X5" s="4">
        <f>(VLOOKUP('21.04.01'!AF5,'21.04.01'!$AO$4:$AR$55,4,FALSE))</f>
        <v>0</v>
      </c>
    </row>
    <row r="6" spans="1:24">
      <c r="A6" s="4">
        <f>(VLOOKUP('21.04.01'!I6,'21.04.01'!$AO$4:$AR$55,4,FALSE))</f>
        <v>0</v>
      </c>
      <c r="B6" s="4">
        <f>(VLOOKUP('21.04.01'!J6,'21.04.01'!$AO$4:$AR$55,4,FALSE))</f>
        <v>0</v>
      </c>
      <c r="C6" s="4">
        <f>(VLOOKUP('21.04.01'!K6,'21.04.01'!$AO$4:$AR$55,4,FALSE))</f>
        <v>0</v>
      </c>
      <c r="D6" s="4">
        <f>(VLOOKUP('21.04.01'!L6,'21.04.01'!$AO$4:$AR$55,4,FALSE))</f>
        <v>0</v>
      </c>
      <c r="E6" s="4">
        <f>(VLOOKUP('21.04.01'!M6,'21.04.01'!$AO$4:$AR$55,4,FALSE))</f>
        <v>0</v>
      </c>
      <c r="F6" s="4">
        <f>(VLOOKUP('21.04.01'!N6,'21.04.01'!$AO$4:$AR$55,4,FALSE))</f>
        <v>0</v>
      </c>
      <c r="G6" s="4">
        <f>(VLOOKUP('21.04.01'!O6,'21.04.01'!$AO$4:$AR$55,4,FALSE))</f>
        <v>0</v>
      </c>
      <c r="H6" s="4">
        <f>(VLOOKUP('21.04.01'!P6,'21.04.01'!$AO$4:$AR$55,4,FALSE))</f>
        <v>0</v>
      </c>
      <c r="I6" s="4">
        <f>(VLOOKUP('21.04.01'!Q6,'21.04.01'!$AO$4:$AR$55,4,FALSE))</f>
        <v>0</v>
      </c>
      <c r="J6" s="4">
        <f>(VLOOKUP('21.04.01'!R6,'21.04.01'!$AO$4:$AR$55,4,FALSE))</f>
        <v>0</v>
      </c>
      <c r="K6" s="4">
        <f>(VLOOKUP('21.04.01'!S6,'21.04.01'!$AO$4:$AR$55,4,FALSE))</f>
        <v>0</v>
      </c>
      <c r="L6" s="4">
        <f>(VLOOKUP('21.04.01'!T6,'21.04.01'!$AO$4:$AR$55,4,FALSE))</f>
        <v>0</v>
      </c>
      <c r="M6" s="4">
        <f>(VLOOKUP('21.04.01'!U6,'21.04.01'!$AO$4:$AR$55,4,FALSE))</f>
        <v>0</v>
      </c>
      <c r="N6" s="4">
        <f>(VLOOKUP('21.04.01'!V6,'21.04.01'!$AO$4:$AR$55,4,FALSE))</f>
        <v>0</v>
      </c>
      <c r="O6" s="4">
        <f>(VLOOKUP('21.04.01'!W6,'21.04.01'!$AO$4:$AR$55,4,FALSE))</f>
        <v>0</v>
      </c>
      <c r="P6" s="4">
        <f>(VLOOKUP('21.04.01'!X6,'21.04.01'!$AO$4:$AR$55,4,FALSE))</f>
        <v>0</v>
      </c>
      <c r="Q6" s="4">
        <f>(VLOOKUP('21.04.01'!Y6,'21.04.01'!$AO$4:$AR$55,4,FALSE))</f>
        <v>44.222109392472248</v>
      </c>
      <c r="R6" s="4">
        <f>(VLOOKUP('21.04.01'!Z6,'21.04.01'!$AO$4:$AR$55,4,FALSE))</f>
        <v>44.222109392472248</v>
      </c>
      <c r="S6" s="4">
        <f>(VLOOKUP('21.04.01'!AA6,'21.04.01'!$AO$4:$AR$55,4,FALSE))</f>
        <v>44.222109392472248</v>
      </c>
      <c r="T6" s="4">
        <f>(VLOOKUP('21.04.01'!AB6,'21.04.01'!$AO$4:$AR$55,4,FALSE))</f>
        <v>29.110982162825422</v>
      </c>
      <c r="U6" s="4">
        <f>(VLOOKUP('21.04.01'!AC6,'21.04.01'!$AO$4:$AR$55,4,FALSE))</f>
        <v>44.222109392472248</v>
      </c>
      <c r="V6" s="4">
        <f>(VLOOKUP('21.04.01'!AD6,'21.04.01'!$AO$4:$AR$55,4,FALSE))</f>
        <v>44.222109392472248</v>
      </c>
      <c r="W6" s="4">
        <f>(VLOOKUP('21.04.01'!AE6,'21.04.01'!$AO$4:$AR$55,4,FALSE))</f>
        <v>0</v>
      </c>
      <c r="X6" s="4">
        <f>(VLOOKUP('21.04.01'!AF6,'21.04.01'!$AO$4:$AR$55,4,FALSE))</f>
        <v>0</v>
      </c>
    </row>
    <row r="7" spans="1:24">
      <c r="A7" s="4">
        <f>(VLOOKUP('21.04.01'!I7,'21.04.01'!$AO$4:$AR$55,4,FALSE))</f>
        <v>0</v>
      </c>
      <c r="B7" s="4">
        <f>(VLOOKUP('21.04.01'!J7,'21.04.01'!$AO$4:$AR$55,4,FALSE))</f>
        <v>0</v>
      </c>
      <c r="C7" s="4">
        <f>(VLOOKUP('21.04.01'!K7,'21.04.01'!$AO$4:$AR$55,4,FALSE))</f>
        <v>0</v>
      </c>
      <c r="D7" s="4">
        <f>(VLOOKUP('21.04.01'!L7,'21.04.01'!$AO$4:$AR$55,4,FALSE))</f>
        <v>0</v>
      </c>
      <c r="E7" s="4">
        <f>(VLOOKUP('21.04.01'!M7,'21.04.01'!$AO$4:$AR$55,4,FALSE))</f>
        <v>0</v>
      </c>
      <c r="F7" s="4">
        <f>(VLOOKUP('21.04.01'!N7,'21.04.01'!$AO$4:$AR$55,4,FALSE))</f>
        <v>0</v>
      </c>
      <c r="G7" s="4">
        <f>(VLOOKUP('21.04.01'!O7,'21.04.01'!$AO$4:$AR$55,4,FALSE))</f>
        <v>0</v>
      </c>
      <c r="H7" s="4">
        <f>(VLOOKUP('21.04.01'!P7,'21.04.01'!$AO$4:$AR$55,4,FALSE))</f>
        <v>0</v>
      </c>
      <c r="I7" s="4">
        <f>(VLOOKUP('21.04.01'!Q7,'21.04.01'!$AO$4:$AR$55,4,FALSE))</f>
        <v>0</v>
      </c>
      <c r="J7" s="4">
        <f>(VLOOKUP('21.04.01'!R7,'21.04.01'!$AO$4:$AR$55,4,FALSE))</f>
        <v>0</v>
      </c>
      <c r="K7" s="4">
        <f>(VLOOKUP('21.04.01'!S7,'21.04.01'!$AO$4:$AR$55,4,FALSE))</f>
        <v>0</v>
      </c>
      <c r="L7" s="4">
        <f>(VLOOKUP('21.04.01'!T7,'21.04.01'!$AO$4:$AR$55,4,FALSE))</f>
        <v>0</v>
      </c>
      <c r="M7" s="4">
        <f>(VLOOKUP('21.04.01'!U7,'21.04.01'!$AO$4:$AR$55,4,FALSE))</f>
        <v>0</v>
      </c>
      <c r="N7" s="4">
        <f>(VLOOKUP('21.04.01'!V7,'21.04.01'!$AO$4:$AR$55,4,FALSE))</f>
        <v>0</v>
      </c>
      <c r="O7" s="4">
        <f>(VLOOKUP('21.04.01'!W7,'21.04.01'!$AO$4:$AR$55,4,FALSE))</f>
        <v>0</v>
      </c>
      <c r="P7" s="4">
        <f>(VLOOKUP('21.04.01'!X7,'21.04.01'!$AO$4:$AR$55,4,FALSE))</f>
        <v>0</v>
      </c>
      <c r="Q7" s="4">
        <f>(VLOOKUP('21.04.01'!Y7,'21.04.01'!$AO$4:$AR$55,4,FALSE))</f>
        <v>10</v>
      </c>
      <c r="R7" s="4">
        <f>(VLOOKUP('21.04.01'!Z7,'21.04.01'!$AO$4:$AR$55,4,FALSE))</f>
        <v>44.222109392472248</v>
      </c>
      <c r="S7" s="4">
        <f>(VLOOKUP('21.04.01'!AA7,'21.04.01'!$AO$4:$AR$55,4,FALSE))</f>
        <v>44.222109392472248</v>
      </c>
      <c r="T7" s="4">
        <f>(VLOOKUP('21.04.01'!AB7,'21.04.01'!$AO$4:$AR$55,4,FALSE))</f>
        <v>44.222109392472248</v>
      </c>
      <c r="U7" s="4">
        <f>(VLOOKUP('21.04.01'!AC7,'21.04.01'!$AO$4:$AR$55,4,FALSE))</f>
        <v>44.222109392472248</v>
      </c>
      <c r="V7" s="4">
        <f>(VLOOKUP('21.04.01'!AD7,'21.04.01'!$AO$4:$AR$55,4,FALSE))</f>
        <v>44.222109392472248</v>
      </c>
      <c r="W7" s="4">
        <f>(VLOOKUP('21.04.01'!AE7,'21.04.01'!$AO$4:$AR$55,4,FALSE))</f>
        <v>0</v>
      </c>
      <c r="X7" s="4">
        <f>(VLOOKUP('21.04.01'!AF7,'21.04.01'!$AO$4:$AR$55,4,FALSE))</f>
        <v>0</v>
      </c>
    </row>
    <row r="8" spans="1:24">
      <c r="A8" s="4">
        <f>(VLOOKUP('21.04.01'!I8,'21.04.01'!$AO$4:$AR$55,4,FALSE))</f>
        <v>0</v>
      </c>
      <c r="B8" s="4">
        <f>(VLOOKUP('21.04.01'!J8,'21.04.01'!$AO$4:$AR$55,4,FALSE))</f>
        <v>0</v>
      </c>
      <c r="C8" s="4">
        <f>(VLOOKUP('21.04.01'!K8,'21.04.01'!$AO$4:$AR$55,4,FALSE))</f>
        <v>0</v>
      </c>
      <c r="D8" s="4">
        <f>(VLOOKUP('21.04.01'!L8,'21.04.01'!$AO$4:$AR$55,4,FALSE))</f>
        <v>0</v>
      </c>
      <c r="E8" s="4">
        <f>(VLOOKUP('21.04.01'!M8,'21.04.01'!$AO$4:$AR$55,4,FALSE))</f>
        <v>0</v>
      </c>
      <c r="F8" s="4">
        <f>(VLOOKUP('21.04.01'!N8,'21.04.01'!$AO$4:$AR$55,4,FALSE))</f>
        <v>0</v>
      </c>
      <c r="G8" s="4">
        <f>(VLOOKUP('21.04.01'!O8,'21.04.01'!$AO$4:$AR$55,4,FALSE))</f>
        <v>0</v>
      </c>
      <c r="H8" s="4">
        <f>(VLOOKUP('21.04.01'!P8,'21.04.01'!$AO$4:$AR$55,4,FALSE))</f>
        <v>0</v>
      </c>
      <c r="I8" s="4">
        <f>(VLOOKUP('21.04.01'!Q8,'21.04.01'!$AO$4:$AR$55,4,FALSE))</f>
        <v>0</v>
      </c>
      <c r="J8" s="4">
        <f>(VLOOKUP('21.04.01'!R8,'21.04.01'!$AO$4:$AR$55,4,FALSE))</f>
        <v>0</v>
      </c>
      <c r="K8" s="4">
        <f>(VLOOKUP('21.04.01'!S8,'21.04.01'!$AO$4:$AR$55,4,FALSE))</f>
        <v>0</v>
      </c>
      <c r="L8" s="4">
        <f>(VLOOKUP('21.04.01'!T8,'21.04.01'!$AO$4:$AR$55,4,FALSE))</f>
        <v>0</v>
      </c>
      <c r="M8" s="4">
        <f>(VLOOKUP('21.04.01'!U8,'21.04.01'!$AO$4:$AR$55,4,FALSE))</f>
        <v>0</v>
      </c>
      <c r="N8" s="4">
        <f>(VLOOKUP('21.04.01'!V8,'21.04.01'!$AO$4:$AR$55,4,FALSE))</f>
        <v>0</v>
      </c>
      <c r="O8" s="4">
        <f>(VLOOKUP('21.04.01'!W8,'21.04.01'!$AO$4:$AR$55,4,FALSE))</f>
        <v>0</v>
      </c>
      <c r="P8" s="4">
        <f>(VLOOKUP('21.04.01'!X8,'21.04.01'!$AO$4:$AR$55,4,FALSE))</f>
        <v>0</v>
      </c>
      <c r="Q8" s="4">
        <f>(VLOOKUP('21.04.01'!Y8,'21.04.01'!$AO$4:$AR$55,4,FALSE))</f>
        <v>44.222109392472248</v>
      </c>
      <c r="R8" s="4">
        <f>(VLOOKUP('21.04.01'!Z8,'21.04.01'!$AO$4:$AR$55,4,FALSE))</f>
        <v>44.222109392472248</v>
      </c>
      <c r="S8" s="4">
        <f>(VLOOKUP('21.04.01'!AA8,'21.04.01'!$AO$4:$AR$55,4,FALSE))</f>
        <v>44.222109392472248</v>
      </c>
      <c r="T8" s="4">
        <f>(VLOOKUP('21.04.01'!AB8,'21.04.01'!$AO$4:$AR$55,4,FALSE))</f>
        <v>44.222109392472248</v>
      </c>
      <c r="U8" s="4">
        <f>(VLOOKUP('21.04.01'!AC8,'21.04.01'!$AO$4:$AR$55,4,FALSE))</f>
        <v>44.222109392472248</v>
      </c>
      <c r="V8" s="4">
        <f>(VLOOKUP('21.04.01'!AD8,'21.04.01'!$AO$4:$AR$55,4,FALSE))</f>
        <v>44.222109392472248</v>
      </c>
      <c r="W8" s="4">
        <f>(VLOOKUP('21.04.01'!AE8,'21.04.01'!$AO$4:$AR$55,4,FALSE))</f>
        <v>0</v>
      </c>
      <c r="X8" s="4">
        <f>(VLOOKUP('21.04.01'!AF8,'21.04.01'!$AO$4:$AR$55,4,FALSE))</f>
        <v>0</v>
      </c>
    </row>
    <row r="9" spans="1:24">
      <c r="A9" s="4">
        <f>(VLOOKUP('21.04.01'!I9,'21.04.01'!$AO$4:$AR$55,4,FALSE))</f>
        <v>39.110982162825422</v>
      </c>
      <c r="B9" s="4">
        <f>(VLOOKUP('21.04.01'!J9,'21.04.01'!$AO$4:$AR$55,4,FALSE))</f>
        <v>34</v>
      </c>
      <c r="C9" s="4">
        <f>(VLOOKUP('21.04.01'!K9,'21.04.01'!$AO$4:$AR$55,4,FALSE))</f>
        <v>29.110982162825422</v>
      </c>
      <c r="D9" s="4">
        <f>(VLOOKUP('21.04.01'!L9,'21.04.01'!$AO$4:$AR$55,4,FALSE))</f>
        <v>34</v>
      </c>
      <c r="E9" s="4">
        <f>(VLOOKUP('21.04.01'!M9,'21.04.01'!$AO$4:$AR$55,4,FALSE))</f>
        <v>34</v>
      </c>
      <c r="F9" s="4">
        <f>(VLOOKUP('21.04.01'!N9,'21.04.01'!$AO$4:$AR$55,4,FALSE))</f>
        <v>0</v>
      </c>
      <c r="G9" s="4">
        <f>(VLOOKUP('21.04.01'!O9,'21.04.01'!$AO$4:$AR$55,4,FALSE))</f>
        <v>34</v>
      </c>
      <c r="H9" s="4">
        <f>(VLOOKUP('21.04.01'!P9,'21.04.01'!$AO$4:$AR$55,4,FALSE))</f>
        <v>0</v>
      </c>
      <c r="I9" s="4">
        <f>(VLOOKUP('21.04.01'!Q9,'21.04.01'!$AO$4:$AR$55,4,FALSE))</f>
        <v>0</v>
      </c>
      <c r="J9" s="4">
        <f>(VLOOKUP('21.04.01'!R9,'21.04.01'!$AO$4:$AR$55,4,FALSE))</f>
        <v>0</v>
      </c>
      <c r="K9" s="4">
        <f>(VLOOKUP('21.04.01'!S9,'21.04.01'!$AO$4:$AR$55,4,FALSE))</f>
        <v>0</v>
      </c>
      <c r="L9" s="4">
        <f>(VLOOKUP('21.04.01'!T9,'21.04.01'!$AO$4:$AR$55,4,FALSE))</f>
        <v>0</v>
      </c>
      <c r="M9" s="4">
        <f>(VLOOKUP('21.04.01'!U9,'21.04.01'!$AO$4:$AR$55,4,FALSE))</f>
        <v>0</v>
      </c>
      <c r="N9" s="4">
        <f>(VLOOKUP('21.04.01'!V9,'21.04.01'!$AO$4:$AR$55,4,FALSE))</f>
        <v>0</v>
      </c>
      <c r="O9" s="4">
        <f>(VLOOKUP('21.04.01'!W9,'21.04.01'!$AO$4:$AR$55,4,FALSE))</f>
        <v>0</v>
      </c>
      <c r="P9" s="4">
        <f>(VLOOKUP('21.04.01'!X9,'21.04.01'!$AO$4:$AR$55,4,FALSE))</f>
        <v>0</v>
      </c>
      <c r="Q9" s="4">
        <f>(VLOOKUP('21.04.01'!Y9,'21.04.01'!$AO$4:$AR$55,4,FALSE))</f>
        <v>10</v>
      </c>
      <c r="R9" s="4">
        <f>(VLOOKUP('21.04.01'!Z9,'21.04.01'!$AO$4:$AR$55,4,FALSE))</f>
        <v>44.222109392472248</v>
      </c>
      <c r="S9" s="4">
        <f>(VLOOKUP('21.04.01'!AA9,'21.04.01'!$AO$4:$AR$55,4,FALSE))</f>
        <v>44.222109392472248</v>
      </c>
      <c r="T9" s="4">
        <f>(VLOOKUP('21.04.01'!AB9,'21.04.01'!$AO$4:$AR$55,4,FALSE))</f>
        <v>44.222109392472248</v>
      </c>
      <c r="U9" s="4">
        <f>(VLOOKUP('21.04.01'!AC9,'21.04.01'!$AO$4:$AR$55,4,FALSE))</f>
        <v>39.110982162825422</v>
      </c>
      <c r="V9" s="4">
        <f>(VLOOKUP('21.04.01'!AD9,'21.04.01'!$AO$4:$AR$55,4,FALSE))</f>
        <v>39.110982162825422</v>
      </c>
      <c r="W9" s="4">
        <f>(VLOOKUP('21.04.01'!AE9,'21.04.01'!$AO$4:$AR$55,4,FALSE))</f>
        <v>10</v>
      </c>
      <c r="X9" s="4">
        <f>(VLOOKUP('21.04.01'!AF9,'21.04.01'!$AO$4:$AR$55,4,FALSE))</f>
        <v>39.110982162825422</v>
      </c>
    </row>
    <row r="10" spans="1:24">
      <c r="A10" s="4">
        <f>(VLOOKUP('21.04.01'!I10,'21.04.01'!$AO$4:$AR$55,4,FALSE))</f>
        <v>34</v>
      </c>
      <c r="B10" s="4">
        <f>(VLOOKUP('21.04.01'!J10,'21.04.01'!$AO$4:$AR$55,4,FALSE))</f>
        <v>29.110982162825422</v>
      </c>
      <c r="C10" s="4">
        <f>(VLOOKUP('21.04.01'!K10,'21.04.01'!$AO$4:$AR$55,4,FALSE))</f>
        <v>34</v>
      </c>
      <c r="D10" s="4">
        <f>(VLOOKUP('21.04.01'!L10,'21.04.01'!$AO$4:$AR$55,4,FALSE))</f>
        <v>34</v>
      </c>
      <c r="E10" s="4">
        <f>(VLOOKUP('21.04.01'!M10,'21.04.01'!$AO$4:$AR$55,4,FALSE))</f>
        <v>36</v>
      </c>
      <c r="F10" s="4">
        <f>(VLOOKUP('21.04.01'!N10,'21.04.01'!$AO$4:$AR$55,4,FALSE))</f>
        <v>36</v>
      </c>
      <c r="G10" s="4">
        <f>(VLOOKUP('21.04.01'!O10,'21.04.01'!$AO$4:$AR$55,4,FALSE))</f>
        <v>0</v>
      </c>
      <c r="H10" s="4">
        <f>(VLOOKUP('21.04.01'!P10,'21.04.01'!$AO$4:$AR$55,4,FALSE))</f>
        <v>0</v>
      </c>
      <c r="I10" s="4">
        <f>(VLOOKUP('21.04.01'!Q10,'21.04.01'!$AO$4:$AR$55,4,FALSE))</f>
        <v>34</v>
      </c>
      <c r="J10" s="4">
        <f>(VLOOKUP('21.04.01'!R10,'21.04.01'!$AO$4:$AR$55,4,FALSE))</f>
        <v>0</v>
      </c>
      <c r="K10" s="4">
        <f>(VLOOKUP('21.04.01'!S10,'21.04.01'!$AO$4:$AR$55,4,FALSE))</f>
        <v>36</v>
      </c>
      <c r="L10" s="4">
        <f>(VLOOKUP('21.04.01'!T10,'21.04.01'!$AO$4:$AR$55,4,FALSE))</f>
        <v>40</v>
      </c>
      <c r="M10" s="4">
        <f>(VLOOKUP('21.04.01'!U10,'21.04.01'!$AO$4:$AR$55,4,FALSE))</f>
        <v>60</v>
      </c>
      <c r="N10" s="4">
        <f>(VLOOKUP('21.04.01'!V10,'21.04.01'!$AO$4:$AR$55,4,FALSE))</f>
        <v>36</v>
      </c>
      <c r="O10" s="4">
        <f>(VLOOKUP('21.04.01'!W10,'21.04.01'!$AO$4:$AR$55,4,FALSE))</f>
        <v>0</v>
      </c>
      <c r="P10" s="4">
        <f>(VLOOKUP('21.04.01'!X10,'21.04.01'!$AO$4:$AR$55,4,FALSE))</f>
        <v>0</v>
      </c>
      <c r="Q10" s="4">
        <f>(VLOOKUP('21.04.01'!Y10,'21.04.01'!$AO$4:$AR$55,4,FALSE))</f>
        <v>39.110982162825422</v>
      </c>
      <c r="R10" s="4">
        <f>(VLOOKUP('21.04.01'!Z10,'21.04.01'!$AO$4:$AR$55,4,FALSE))</f>
        <v>39.110982162825422</v>
      </c>
      <c r="S10" s="4">
        <f>(VLOOKUP('21.04.01'!AA10,'21.04.01'!$AO$4:$AR$55,4,FALSE))</f>
        <v>39.110982162825422</v>
      </c>
      <c r="T10" s="4">
        <f>(VLOOKUP('21.04.01'!AB10,'21.04.01'!$AO$4:$AR$55,4,FALSE))</f>
        <v>10</v>
      </c>
      <c r="U10" s="4">
        <f>(VLOOKUP('21.04.01'!AC10,'21.04.01'!$AO$4:$AR$55,4,FALSE))</f>
        <v>39.110982162825422</v>
      </c>
      <c r="V10" s="4">
        <f>(VLOOKUP('21.04.01'!AD10,'21.04.01'!$AO$4:$AR$55,4,FALSE))</f>
        <v>39.110982162825422</v>
      </c>
      <c r="W10" s="4">
        <f>(VLOOKUP('21.04.01'!AE10,'21.04.01'!$AO$4:$AR$55,4,FALSE))</f>
        <v>0</v>
      </c>
      <c r="X10" s="4">
        <f>(VLOOKUP('21.04.01'!AF10,'21.04.01'!$AO$4:$AR$55,4,FALSE))</f>
        <v>0</v>
      </c>
    </row>
    <row r="11" spans="1:24">
      <c r="A11" s="4">
        <f>(VLOOKUP('21.04.01'!I11,'21.04.01'!$AO$4:$AR$55,4,FALSE))</f>
        <v>36</v>
      </c>
      <c r="B11" s="4">
        <f>(VLOOKUP('21.04.01'!J11,'21.04.01'!$AO$4:$AR$55,4,FALSE))</f>
        <v>36</v>
      </c>
      <c r="C11" s="4">
        <f>(VLOOKUP('21.04.01'!K11,'21.04.01'!$AO$4:$AR$55,4,FALSE))</f>
        <v>36</v>
      </c>
      <c r="D11" s="4">
        <f>(VLOOKUP('21.04.01'!L11,'21.04.01'!$AO$4:$AR$55,4,FALSE))</f>
        <v>36</v>
      </c>
      <c r="E11" s="4">
        <f>(VLOOKUP('21.04.01'!M11,'21.04.01'!$AO$4:$AR$55,4,FALSE))</f>
        <v>34</v>
      </c>
      <c r="F11" s="4">
        <f>(VLOOKUP('21.04.01'!N11,'21.04.01'!$AO$4:$AR$55,4,FALSE))</f>
        <v>34</v>
      </c>
      <c r="G11" s="4">
        <f>(VLOOKUP('21.04.01'!O11,'21.04.01'!$AO$4:$AR$55,4,FALSE))</f>
        <v>0</v>
      </c>
      <c r="H11" s="4">
        <f>(VLOOKUP('21.04.01'!P11,'21.04.01'!$AO$4:$AR$55,4,FALSE))</f>
        <v>0</v>
      </c>
      <c r="I11" s="4">
        <f>(VLOOKUP('21.04.01'!Q11,'21.04.01'!$AO$4:$AR$55,4,FALSE))</f>
        <v>36</v>
      </c>
      <c r="J11" s="4">
        <f>(VLOOKUP('21.04.01'!R11,'21.04.01'!$AO$4:$AR$55,4,FALSE))</f>
        <v>36</v>
      </c>
      <c r="K11" s="4">
        <f>(VLOOKUP('21.04.01'!S11,'21.04.01'!$AO$4:$AR$55,4,FALSE))</f>
        <v>36</v>
      </c>
      <c r="L11" s="4">
        <f>(VLOOKUP('21.04.01'!T11,'21.04.01'!$AO$4:$AR$55,4,FALSE))</f>
        <v>36</v>
      </c>
      <c r="M11" s="4">
        <f>(VLOOKUP('21.04.01'!U11,'21.04.01'!$AO$4:$AR$55,4,FALSE))</f>
        <v>36</v>
      </c>
      <c r="N11" s="4">
        <f>(VLOOKUP('21.04.01'!V11,'21.04.01'!$AO$4:$AR$55,4,FALSE))</f>
        <v>10</v>
      </c>
      <c r="O11" s="4">
        <f>(VLOOKUP('21.04.01'!W11,'21.04.01'!$AO$4:$AR$55,4,FALSE))</f>
        <v>0</v>
      </c>
      <c r="P11" s="4">
        <f>(VLOOKUP('21.04.01'!X11,'21.04.01'!$AO$4:$AR$55,4,FALSE))</f>
        <v>0</v>
      </c>
      <c r="Q11" s="4">
        <f>(VLOOKUP('21.04.01'!Y11,'21.04.01'!$AO$4:$AR$55,4,FALSE))</f>
        <v>34</v>
      </c>
      <c r="R11" s="4">
        <f>(VLOOKUP('21.04.01'!Z11,'21.04.01'!$AO$4:$AR$55,4,FALSE))</f>
        <v>10</v>
      </c>
      <c r="S11" s="4">
        <f>(VLOOKUP('21.04.01'!AA11,'21.04.01'!$AO$4:$AR$55,4,FALSE))</f>
        <v>34</v>
      </c>
      <c r="T11" s="4">
        <f>(VLOOKUP('21.04.01'!AB11,'21.04.01'!$AO$4:$AR$55,4,FALSE))</f>
        <v>34</v>
      </c>
      <c r="U11" s="4">
        <f>(VLOOKUP('21.04.01'!AC11,'21.04.01'!$AO$4:$AR$55,4,FALSE))</f>
        <v>29.110982162825422</v>
      </c>
      <c r="V11" s="4">
        <f>(VLOOKUP('21.04.01'!AD11,'21.04.01'!$AO$4:$AR$55,4,FALSE))</f>
        <v>39.110982162825422</v>
      </c>
      <c r="W11" s="4">
        <f>(VLOOKUP('21.04.01'!AE11,'21.04.01'!$AO$4:$AR$55,4,FALSE))</f>
        <v>0</v>
      </c>
      <c r="X11" s="4">
        <f>(VLOOKUP('21.04.01'!AF11,'21.04.01'!$AO$4:$AR$55,4,FALSE))</f>
        <v>0</v>
      </c>
    </row>
    <row r="12" spans="1:24">
      <c r="A12" s="4">
        <f>(VLOOKUP('21.04.01'!I12,'21.04.01'!$AO$4:$AR$55,4,FALSE))</f>
        <v>34</v>
      </c>
      <c r="B12" s="4">
        <f>(VLOOKUP('21.04.01'!J12,'21.04.01'!$AO$4:$AR$55,4,FALSE))</f>
        <v>34</v>
      </c>
      <c r="C12" s="4">
        <f>(VLOOKUP('21.04.01'!K12,'21.04.01'!$AO$4:$AR$55,4,FALSE))</f>
        <v>29.110982162825422</v>
      </c>
      <c r="D12" s="4">
        <f>(VLOOKUP('21.04.01'!L12,'21.04.01'!$AO$4:$AR$55,4,FALSE))</f>
        <v>34</v>
      </c>
      <c r="E12" s="4">
        <f>(VLOOKUP('21.04.01'!M12,'21.04.01'!$AO$4:$AR$55,4,FALSE))</f>
        <v>34</v>
      </c>
      <c r="F12" s="4">
        <f>(VLOOKUP('21.04.01'!N12,'21.04.01'!$AO$4:$AR$55,4,FALSE))</f>
        <v>0</v>
      </c>
      <c r="G12" s="4">
        <f>(VLOOKUP('21.04.01'!O12,'21.04.01'!$AO$4:$AR$55,4,FALSE))</f>
        <v>0</v>
      </c>
      <c r="H12" s="4">
        <f>(VLOOKUP('21.04.01'!P12,'21.04.01'!$AO$4:$AR$55,4,FALSE))</f>
        <v>0</v>
      </c>
      <c r="I12" s="4">
        <f>(VLOOKUP('21.04.01'!Q12,'21.04.01'!$AO$4:$AR$55,4,FALSE))</f>
        <v>34</v>
      </c>
      <c r="J12" s="4">
        <f>(VLOOKUP('21.04.01'!R12,'21.04.01'!$AO$4:$AR$55,4,FALSE))</f>
        <v>34</v>
      </c>
      <c r="K12" s="4">
        <f>(VLOOKUP('21.04.01'!S12,'21.04.01'!$AO$4:$AR$55,4,FALSE))</f>
        <v>34</v>
      </c>
      <c r="L12" s="4">
        <f>(VLOOKUP('21.04.01'!T12,'21.04.01'!$AO$4:$AR$55,4,FALSE))</f>
        <v>34</v>
      </c>
      <c r="M12" s="4">
        <f>(VLOOKUP('21.04.01'!U12,'21.04.01'!$AO$4:$AR$55,4,FALSE))</f>
        <v>34</v>
      </c>
      <c r="N12" s="4">
        <f>(VLOOKUP('21.04.01'!V12,'21.04.01'!$AO$4:$AR$55,4,FALSE))</f>
        <v>34</v>
      </c>
      <c r="O12" s="4">
        <f>(VLOOKUP('21.04.01'!W12,'21.04.01'!$AO$4:$AR$55,4,FALSE))</f>
        <v>0</v>
      </c>
      <c r="P12" s="4">
        <f>(VLOOKUP('21.04.01'!X12,'21.04.01'!$AO$4:$AR$55,4,FALSE))</f>
        <v>0</v>
      </c>
      <c r="Q12" s="4">
        <f>(VLOOKUP('21.04.01'!Y12,'21.04.01'!$AO$4:$AR$55,4,FALSE))</f>
        <v>39.110982162825422</v>
      </c>
      <c r="R12" s="4">
        <f>(VLOOKUP('21.04.01'!Z12,'21.04.01'!$AO$4:$AR$55,4,FALSE))</f>
        <v>39.110982162825422</v>
      </c>
      <c r="S12" s="4">
        <f>(VLOOKUP('21.04.01'!AA12,'21.04.01'!$AO$4:$AR$55,4,FALSE))</f>
        <v>39.110982162825422</v>
      </c>
      <c r="T12" s="4">
        <f>(VLOOKUP('21.04.01'!AB12,'21.04.01'!$AO$4:$AR$55,4,FALSE))</f>
        <v>0</v>
      </c>
      <c r="U12" s="4">
        <f>(VLOOKUP('21.04.01'!AC12,'21.04.01'!$AO$4:$AR$55,4,FALSE))</f>
        <v>10</v>
      </c>
      <c r="V12" s="4">
        <f>(VLOOKUP('21.04.01'!AD12,'21.04.01'!$AO$4:$AR$55,4,FALSE))</f>
        <v>39.110982162825422</v>
      </c>
      <c r="W12" s="4">
        <f>(VLOOKUP('21.04.01'!AE12,'21.04.01'!$AO$4:$AR$55,4,FALSE))</f>
        <v>39.110982162825422</v>
      </c>
      <c r="X12" s="4">
        <f>(VLOOKUP('21.04.01'!AF12,'21.04.01'!$AO$4:$AR$55,4,FALSE))</f>
        <v>39.110982162825422</v>
      </c>
    </row>
    <row r="13" spans="1:24">
      <c r="A13" s="4">
        <f>(VLOOKUP('21.04.01'!I13,'21.04.01'!$AO$4:$AR$55,4,FALSE))</f>
        <v>36</v>
      </c>
      <c r="B13" s="4">
        <f>(VLOOKUP('21.04.01'!J13,'21.04.01'!$AO$4:$AR$55,4,FALSE))</f>
        <v>36</v>
      </c>
      <c r="C13" s="4">
        <f>(VLOOKUP('21.04.01'!K13,'21.04.01'!$AO$4:$AR$55,4,FALSE))</f>
        <v>36</v>
      </c>
      <c r="D13" s="4">
        <f>(VLOOKUP('21.04.01'!L13,'21.04.01'!$AO$4:$AR$55,4,FALSE))</f>
        <v>34</v>
      </c>
      <c r="E13" s="4">
        <f>(VLOOKUP('21.04.01'!M13,'21.04.01'!$AO$4:$AR$55,4,FALSE))</f>
        <v>10</v>
      </c>
      <c r="F13" s="4">
        <f>(VLOOKUP('21.04.01'!N13,'21.04.01'!$AO$4:$AR$55,4,FALSE))</f>
        <v>0</v>
      </c>
      <c r="G13" s="4">
        <f>(VLOOKUP('21.04.01'!O13,'21.04.01'!$AO$4:$AR$55,4,FALSE))</f>
        <v>0</v>
      </c>
      <c r="H13" s="4">
        <f>(VLOOKUP('21.04.01'!P13,'21.04.01'!$AO$4:$AR$55,4,FALSE))</f>
        <v>0</v>
      </c>
      <c r="I13" s="4">
        <f>(VLOOKUP('21.04.01'!Q13,'21.04.01'!$AO$4:$AR$55,4,FALSE))</f>
        <v>34</v>
      </c>
      <c r="J13" s="4">
        <f>(VLOOKUP('21.04.01'!R13,'21.04.01'!$AO$4:$AR$55,4,FALSE))</f>
        <v>34</v>
      </c>
      <c r="K13" s="4">
        <f>(VLOOKUP('21.04.01'!S13,'21.04.01'!$AO$4:$AR$55,4,FALSE))</f>
        <v>34</v>
      </c>
      <c r="L13" s="4">
        <f>(VLOOKUP('21.04.01'!T13,'21.04.01'!$AO$4:$AR$55,4,FALSE))</f>
        <v>34</v>
      </c>
      <c r="M13" s="4">
        <f>(VLOOKUP('21.04.01'!U13,'21.04.01'!$AO$4:$AR$55,4,FALSE))</f>
        <v>34</v>
      </c>
      <c r="N13" s="4">
        <f>(VLOOKUP('21.04.01'!V13,'21.04.01'!$AO$4:$AR$55,4,FALSE))</f>
        <v>0</v>
      </c>
      <c r="O13" s="4">
        <f>(VLOOKUP('21.04.01'!W13,'21.04.01'!$AO$4:$AR$55,4,FALSE))</f>
        <v>0</v>
      </c>
      <c r="P13" s="4">
        <f>(VLOOKUP('21.04.01'!X13,'21.04.01'!$AO$4:$AR$55,4,FALSE))</f>
        <v>0</v>
      </c>
      <c r="Q13" s="4">
        <f>(VLOOKUP('21.04.01'!Y13,'21.04.01'!$AO$4:$AR$55,4,FALSE))</f>
        <v>29.110982162825422</v>
      </c>
      <c r="R13" s="4">
        <f>(VLOOKUP('21.04.01'!Z13,'21.04.01'!$AO$4:$AR$55,4,FALSE))</f>
        <v>39.110982162825422</v>
      </c>
      <c r="S13" s="4">
        <f>(VLOOKUP('21.04.01'!AA13,'21.04.01'!$AO$4:$AR$55,4,FALSE))</f>
        <v>10</v>
      </c>
      <c r="T13" s="4">
        <f>(VLOOKUP('21.04.01'!AB13,'21.04.01'!$AO$4:$AR$55,4,FALSE))</f>
        <v>39.110982162825422</v>
      </c>
      <c r="U13" s="4">
        <f>(VLOOKUP('21.04.01'!AC13,'21.04.01'!$AO$4:$AR$55,4,FALSE))</f>
        <v>39.110982162825422</v>
      </c>
      <c r="V13" s="4">
        <f>(VLOOKUP('21.04.01'!AD13,'21.04.01'!$AO$4:$AR$55,4,FALSE))</f>
        <v>34</v>
      </c>
      <c r="W13" s="4">
        <f>(VLOOKUP('21.04.01'!AE13,'21.04.01'!$AO$4:$AR$55,4,FALSE))</f>
        <v>0</v>
      </c>
      <c r="X13" s="4">
        <f>(VLOOKUP('21.04.01'!AF13,'21.04.01'!$AO$4:$AR$55,4,FALSE))</f>
        <v>0</v>
      </c>
    </row>
    <row r="14" spans="1:24">
      <c r="A14" s="4">
        <f>(VLOOKUP('21.04.01'!I14,'21.04.01'!$AO$4:$AR$55,4,FALSE))</f>
        <v>34</v>
      </c>
      <c r="B14" s="4">
        <f>(VLOOKUP('21.04.01'!J14,'21.04.01'!$AO$4:$AR$55,4,FALSE))</f>
        <v>34</v>
      </c>
      <c r="C14" s="4">
        <f>(VLOOKUP('21.04.01'!K14,'21.04.01'!$AO$4:$AR$55,4,FALSE))</f>
        <v>0</v>
      </c>
      <c r="D14" s="4">
        <f>(VLOOKUP('21.04.01'!L14,'21.04.01'!$AO$4:$AR$55,4,FALSE))</f>
        <v>34</v>
      </c>
      <c r="E14" s="4">
        <f>(VLOOKUP('21.04.01'!M14,'21.04.01'!$AO$4:$AR$55,4,FALSE))</f>
        <v>34</v>
      </c>
      <c r="F14" s="4">
        <f>(VLOOKUP('21.04.01'!N14,'21.04.01'!$AO$4:$AR$55,4,FALSE))</f>
        <v>13.999854933178597</v>
      </c>
      <c r="G14" s="4">
        <f>(VLOOKUP('21.04.01'!O14,'21.04.01'!$AO$4:$AR$55,4,FALSE))</f>
        <v>0</v>
      </c>
      <c r="H14" s="4">
        <f>(VLOOKUP('21.04.01'!P14,'21.04.01'!$AO$4:$AR$55,4,FALSE))</f>
        <v>0</v>
      </c>
      <c r="I14" s="4">
        <f>(VLOOKUP('21.04.01'!Q14,'21.04.01'!$AO$4:$AR$55,4,FALSE))</f>
        <v>34</v>
      </c>
      <c r="J14" s="4">
        <f>(VLOOKUP('21.04.01'!R14,'21.04.01'!$AO$4:$AR$55,4,FALSE))</f>
        <v>29.110982162825422</v>
      </c>
      <c r="K14" s="4">
        <f>(VLOOKUP('21.04.01'!S14,'21.04.01'!$AO$4:$AR$55,4,FALSE))</f>
        <v>34</v>
      </c>
      <c r="L14" s="4">
        <f>(VLOOKUP('21.04.01'!T14,'21.04.01'!$AO$4:$AR$55,4,FALSE))</f>
        <v>34</v>
      </c>
      <c r="M14" s="4">
        <f>(VLOOKUP('21.04.01'!U14,'21.04.01'!$AO$4:$AR$55,4,FALSE))</f>
        <v>34</v>
      </c>
      <c r="N14" s="4">
        <f>(VLOOKUP('21.04.01'!V14,'21.04.01'!$AO$4:$AR$55,4,FALSE))</f>
        <v>34</v>
      </c>
      <c r="O14" s="4">
        <f>(VLOOKUP('21.04.01'!W14,'21.04.01'!$AO$4:$AR$55,4,FALSE))</f>
        <v>0</v>
      </c>
      <c r="P14" s="4">
        <f>(VLOOKUP('21.04.01'!X14,'21.04.01'!$AO$4:$AR$55,4,FALSE))</f>
        <v>0</v>
      </c>
      <c r="Q14" s="4">
        <f>(VLOOKUP('21.04.01'!Y14,'21.04.01'!$AO$4:$AR$55,4,FALSE))</f>
        <v>34</v>
      </c>
      <c r="R14" s="4">
        <f>(VLOOKUP('21.04.01'!Z14,'21.04.01'!$AO$4:$AR$55,4,FALSE))</f>
        <v>10</v>
      </c>
      <c r="S14" s="4">
        <f>(VLOOKUP('21.04.01'!AA14,'21.04.01'!$AO$4:$AR$55,4,FALSE))</f>
        <v>34</v>
      </c>
      <c r="T14" s="4">
        <f>(VLOOKUP('21.04.01'!AB14,'21.04.01'!$AO$4:$AR$55,4,FALSE))</f>
        <v>29.110982162825422</v>
      </c>
      <c r="U14" s="4">
        <f>(VLOOKUP('21.04.01'!AC14,'21.04.01'!$AO$4:$AR$55,4,FALSE))</f>
        <v>34</v>
      </c>
      <c r="V14" s="4">
        <f>(VLOOKUP('21.04.01'!AD14,'21.04.01'!$AO$4:$AR$55,4,FALSE))</f>
        <v>0</v>
      </c>
      <c r="W14" s="4">
        <f>(VLOOKUP('21.04.01'!AE14,'21.04.01'!$AO$4:$AR$55,4,FALSE))</f>
        <v>0</v>
      </c>
      <c r="X14" s="4">
        <f>(VLOOKUP('21.04.01'!AF14,'21.04.01'!$AO$4:$AR$55,4,FALSE))</f>
        <v>0</v>
      </c>
    </row>
    <row r="15" spans="1:24">
      <c r="A15" s="4">
        <f>(VLOOKUP('21.04.01'!I15,'21.04.01'!$AO$4:$AR$55,4,FALSE))</f>
        <v>36</v>
      </c>
      <c r="B15" s="4">
        <f>(VLOOKUP('21.04.01'!J15,'21.04.01'!$AO$4:$AR$55,4,FALSE))</f>
        <v>36</v>
      </c>
      <c r="C15" s="4">
        <f>(VLOOKUP('21.04.01'!K15,'21.04.01'!$AO$4:$AR$55,4,FALSE))</f>
        <v>10</v>
      </c>
      <c r="D15" s="4">
        <f>(VLOOKUP('21.04.01'!L15,'21.04.01'!$AO$4:$AR$55,4,FALSE))</f>
        <v>36</v>
      </c>
      <c r="E15" s="4">
        <f>(VLOOKUP('21.04.01'!M15,'21.04.01'!$AO$4:$AR$55,4,FALSE))</f>
        <v>29.110982162825422</v>
      </c>
      <c r="F15" s="4">
        <f>(VLOOKUP('21.04.01'!N15,'21.04.01'!$AO$4:$AR$55,4,FALSE))</f>
        <v>34</v>
      </c>
      <c r="G15" s="4">
        <f>(VLOOKUP('21.04.01'!O15,'21.04.01'!$AO$4:$AR$55,4,FALSE))</f>
        <v>0</v>
      </c>
      <c r="H15" s="4">
        <f>(VLOOKUP('21.04.01'!P15,'21.04.01'!$AO$4:$AR$55,4,FALSE))</f>
        <v>0</v>
      </c>
      <c r="I15" s="4">
        <f>(VLOOKUP('21.04.01'!Q15,'21.04.01'!$AO$4:$AR$55,4,FALSE))</f>
        <v>29.110982162825422</v>
      </c>
      <c r="J15" s="4">
        <f>(VLOOKUP('21.04.01'!R15,'21.04.01'!$AO$4:$AR$55,4,FALSE))</f>
        <v>34</v>
      </c>
      <c r="K15" s="4">
        <f>(VLOOKUP('21.04.01'!S15,'21.04.01'!$AO$4:$AR$55,4,FALSE))</f>
        <v>0</v>
      </c>
      <c r="L15" s="4">
        <f>(VLOOKUP('21.04.01'!T15,'21.04.01'!$AO$4:$AR$55,4,FALSE))</f>
        <v>0</v>
      </c>
      <c r="M15" s="4">
        <f>(VLOOKUP('21.04.01'!U15,'21.04.01'!$AO$4:$AR$55,4,FALSE))</f>
        <v>0</v>
      </c>
      <c r="N15" s="4">
        <f>(VLOOKUP('21.04.01'!V15,'21.04.01'!$AO$4:$AR$55,4,FALSE))</f>
        <v>0</v>
      </c>
      <c r="O15" s="4">
        <f>(VLOOKUP('21.04.01'!W15,'21.04.01'!$AO$4:$AR$55,4,FALSE))</f>
        <v>0</v>
      </c>
      <c r="P15" s="4">
        <f>(VLOOKUP('21.04.01'!X15,'21.04.01'!$AO$4:$AR$55,4,FALSE))</f>
        <v>0</v>
      </c>
      <c r="Q15" s="4">
        <f>(VLOOKUP('21.04.01'!Y15,'21.04.01'!$AO$4:$AR$55,4,FALSE))</f>
        <v>0</v>
      </c>
      <c r="R15" s="4">
        <f>(VLOOKUP('21.04.01'!Z15,'21.04.01'!$AO$4:$AR$55,4,FALSE))</f>
        <v>0</v>
      </c>
      <c r="S15" s="4">
        <f>(VLOOKUP('21.04.01'!AA15,'21.04.01'!$AO$4:$AR$55,4,FALSE))</f>
        <v>0</v>
      </c>
      <c r="T15" s="4">
        <f>(VLOOKUP('21.04.01'!AB15,'21.04.01'!$AO$4:$AR$55,4,FALSE))</f>
        <v>0</v>
      </c>
      <c r="U15" s="4">
        <f>(VLOOKUP('21.04.01'!AC15,'21.04.01'!$AO$4:$AR$55,4,FALSE))</f>
        <v>0</v>
      </c>
      <c r="V15" s="4">
        <f>(VLOOKUP('21.04.01'!AD15,'21.04.01'!$AO$4:$AR$55,4,FALSE))</f>
        <v>0</v>
      </c>
      <c r="W15" s="4">
        <f>(VLOOKUP('21.04.01'!AE15,'21.04.01'!$AO$4:$AR$55,4,FALSE))</f>
        <v>0</v>
      </c>
      <c r="X15" s="4">
        <f>(VLOOKUP('21.04.01'!AF15,'21.04.01'!$AO$4:$AR$55,4,FALSE))</f>
        <v>0</v>
      </c>
    </row>
    <row r="16" spans="1:24">
      <c r="A16" s="4">
        <f>(VLOOKUP('21.04.01'!I16,'21.04.01'!$AO$4:$AR$55,4,FALSE))</f>
        <v>34</v>
      </c>
      <c r="B16" s="4">
        <f>(VLOOKUP('21.04.01'!J16,'21.04.01'!$AO$4:$AR$55,4,FALSE))</f>
        <v>34</v>
      </c>
      <c r="C16" s="4">
        <f>(VLOOKUP('21.04.01'!K16,'21.04.01'!$AO$4:$AR$55,4,FALSE))</f>
        <v>34</v>
      </c>
      <c r="D16" s="4">
        <f>(VLOOKUP('21.04.01'!L16,'21.04.01'!$AO$4:$AR$55,4,FALSE))</f>
        <v>34</v>
      </c>
      <c r="E16" s="4">
        <f>(VLOOKUP('21.04.01'!M16,'21.04.01'!$AO$4:$AR$55,4,FALSE))</f>
        <v>10</v>
      </c>
      <c r="F16" s="4">
        <f>(VLOOKUP('21.04.01'!N16,'21.04.01'!$AO$4:$AR$55,4,FALSE))</f>
        <v>34</v>
      </c>
      <c r="G16" s="4">
        <f>(VLOOKUP('21.04.01'!O16,'21.04.01'!$AO$4:$AR$55,4,FALSE))</f>
        <v>34</v>
      </c>
      <c r="H16" s="4">
        <f>(VLOOKUP('21.04.01'!P16,'21.04.01'!$AO$4:$AR$55,4,FALSE))</f>
        <v>34</v>
      </c>
      <c r="I16" s="4">
        <f>(VLOOKUP('21.04.01'!Q16,'21.04.01'!$AO$4:$AR$55,4,FALSE))</f>
        <v>0</v>
      </c>
      <c r="J16" s="4">
        <f>(VLOOKUP('21.04.01'!R16,'21.04.01'!$AO$4:$AR$55,4,FALSE))</f>
        <v>0</v>
      </c>
      <c r="K16" s="4">
        <f>(VLOOKUP('21.04.01'!S16,'21.04.01'!$AO$4:$AR$55,4,FALSE))</f>
        <v>0</v>
      </c>
      <c r="L16" s="4">
        <f>(VLOOKUP('21.04.01'!T16,'21.04.01'!$AO$4:$AR$55,4,FALSE))</f>
        <v>0</v>
      </c>
      <c r="M16" s="4">
        <f>(VLOOKUP('21.04.01'!U16,'21.04.01'!$AO$4:$AR$55,4,FALSE))</f>
        <v>0</v>
      </c>
      <c r="N16" s="4">
        <f>(VLOOKUP('21.04.01'!V16,'21.04.01'!$AO$4:$AR$55,4,FALSE))</f>
        <v>0</v>
      </c>
      <c r="O16" s="4">
        <f>(VLOOKUP('21.04.01'!W16,'21.04.01'!$AO$4:$AR$55,4,FALSE))</f>
        <v>0</v>
      </c>
      <c r="P16" s="4">
        <f>(VLOOKUP('21.04.01'!X16,'21.04.01'!$AO$4:$AR$55,4,FALSE))</f>
        <v>0</v>
      </c>
      <c r="Q16" s="4">
        <f>(VLOOKUP('21.04.01'!Y16,'21.04.01'!$AO$4:$AR$55,4,FALSE))</f>
        <v>0</v>
      </c>
      <c r="R16" s="4">
        <f>(VLOOKUP('21.04.01'!Z16,'21.04.01'!$AO$4:$AR$55,4,FALSE))</f>
        <v>0</v>
      </c>
      <c r="S16" s="4">
        <f>(VLOOKUP('21.04.01'!AA16,'21.04.01'!$AO$4:$AR$55,4,FALSE))</f>
        <v>0</v>
      </c>
      <c r="T16" s="4">
        <f>(VLOOKUP('21.04.01'!AB16,'21.04.01'!$AO$4:$AR$55,4,FALSE))</f>
        <v>0</v>
      </c>
      <c r="U16" s="4">
        <f>(VLOOKUP('21.04.01'!AC16,'21.04.01'!$AO$4:$AR$55,4,FALSE))</f>
        <v>0</v>
      </c>
      <c r="V16" s="4">
        <f>(VLOOKUP('21.04.01'!AD16,'21.04.01'!$AO$4:$AR$55,4,FALSE))</f>
        <v>0</v>
      </c>
      <c r="W16" s="4">
        <f>(VLOOKUP('21.04.01'!AE16,'21.04.01'!$AO$4:$AR$55,4,FALSE))</f>
        <v>0</v>
      </c>
      <c r="X16" s="4">
        <f>(VLOOKUP('21.04.01'!AF16,'21.04.01'!$AO$4:$AR$55,4,FALSE))</f>
        <v>0</v>
      </c>
    </row>
    <row r="17" spans="1:24">
      <c r="A17" s="4">
        <f>(VLOOKUP('21.04.01'!I17,'21.04.01'!$AO$4:$AR$55,4,FALSE))</f>
        <v>34</v>
      </c>
      <c r="B17" s="4">
        <f>(VLOOKUP('21.04.01'!J17,'21.04.01'!$AO$4:$AR$55,4,FALSE))</f>
        <v>34</v>
      </c>
      <c r="C17" s="4">
        <f>(VLOOKUP('21.04.01'!K17,'21.04.01'!$AO$4:$AR$55,4,FALSE))</f>
        <v>34</v>
      </c>
      <c r="D17" s="4">
        <f>(VLOOKUP('21.04.01'!L17,'21.04.01'!$AO$4:$AR$55,4,FALSE))</f>
        <v>0</v>
      </c>
      <c r="E17" s="4">
        <f>(VLOOKUP('21.04.01'!M17,'21.04.01'!$AO$4:$AR$55,4,FALSE))</f>
        <v>0</v>
      </c>
      <c r="F17" s="4">
        <f>(VLOOKUP('21.04.01'!N17,'21.04.01'!$AO$4:$AR$55,4,FALSE))</f>
        <v>0</v>
      </c>
      <c r="G17" s="4">
        <f>(VLOOKUP('21.04.01'!O17,'21.04.01'!$AO$4:$AR$55,4,FALSE))</f>
        <v>0</v>
      </c>
      <c r="H17" s="4">
        <f>(VLOOKUP('21.04.01'!P17,'21.04.01'!$AO$4:$AR$55,4,FALSE))</f>
        <v>0</v>
      </c>
      <c r="I17" s="4">
        <f>(VLOOKUP('21.04.01'!Q17,'21.04.01'!$AO$4:$AR$55,4,FALSE))</f>
        <v>34</v>
      </c>
      <c r="J17" s="4">
        <f>(VLOOKUP('21.04.01'!R17,'21.04.01'!$AO$4:$AR$55,4,FALSE))</f>
        <v>34</v>
      </c>
      <c r="K17" s="4">
        <f>(VLOOKUP('21.04.01'!S17,'21.04.01'!$AO$4:$AR$55,4,FALSE))</f>
        <v>34</v>
      </c>
      <c r="L17" s="4">
        <f>(VLOOKUP('21.04.01'!T17,'21.04.01'!$AO$4:$AR$55,4,FALSE))</f>
        <v>34</v>
      </c>
      <c r="M17" s="4">
        <f>(VLOOKUP('21.04.01'!U17,'21.04.01'!$AO$4:$AR$55,4,FALSE))</f>
        <v>34</v>
      </c>
      <c r="N17" s="4">
        <f>(VLOOKUP('21.04.01'!V17,'21.04.01'!$AO$4:$AR$55,4,FALSE))</f>
        <v>34</v>
      </c>
      <c r="O17" s="4">
        <f>(VLOOKUP('21.04.01'!W17,'21.04.01'!$AO$4:$AR$55,4,FALSE))</f>
        <v>34</v>
      </c>
      <c r="P17" s="4">
        <f>(VLOOKUP('21.04.01'!X17,'21.04.01'!$AO$4:$AR$55,4,FALSE))</f>
        <v>34</v>
      </c>
      <c r="Q17" s="4">
        <f>(VLOOKUP('21.04.01'!Y17,'21.04.01'!$AO$4:$AR$55,4,FALSE))</f>
        <v>0</v>
      </c>
      <c r="R17" s="4">
        <f>(VLOOKUP('21.04.01'!Z17,'21.04.01'!$AO$4:$AR$55,4,FALSE))</f>
        <v>0</v>
      </c>
      <c r="S17" s="4">
        <f>(VLOOKUP('21.04.01'!AA17,'21.04.01'!$AO$4:$AR$55,4,FALSE))</f>
        <v>0</v>
      </c>
      <c r="T17" s="4">
        <f>(VLOOKUP('21.04.01'!AB17,'21.04.01'!$AO$4:$AR$55,4,FALSE))</f>
        <v>0</v>
      </c>
      <c r="U17" s="4">
        <f>(VLOOKUP('21.04.01'!AC17,'21.04.01'!$AO$4:$AR$55,4,FALSE))</f>
        <v>0</v>
      </c>
      <c r="V17" s="4">
        <f>(VLOOKUP('21.04.01'!AD17,'21.04.01'!$AO$4:$AR$55,4,FALSE))</f>
        <v>0</v>
      </c>
      <c r="W17" s="4">
        <f>(VLOOKUP('21.04.01'!AE17,'21.04.01'!$AO$4:$AR$55,4,FALSE))</f>
        <v>0</v>
      </c>
      <c r="X17" s="4">
        <f>(VLOOKUP('21.04.01'!AF17,'21.04.01'!$AO$4:$AR$55,4,FALSE))</f>
        <v>0</v>
      </c>
    </row>
    <row r="18" spans="1:24">
      <c r="A18" s="4">
        <f>(VLOOKUP('21.04.01'!I18,'21.04.01'!$AO$4:$AR$55,4,FALSE))</f>
        <v>0</v>
      </c>
      <c r="B18" s="4">
        <f>(VLOOKUP('21.04.01'!J18,'21.04.01'!$AO$4:$AR$55,4,FALSE))</f>
        <v>0</v>
      </c>
      <c r="C18" s="4">
        <f>(VLOOKUP('21.04.01'!K18,'21.04.01'!$AO$4:$AR$55,4,FALSE))</f>
        <v>0</v>
      </c>
      <c r="D18" s="4">
        <f>(VLOOKUP('21.04.01'!L18,'21.04.01'!$AO$4:$AR$55,4,FALSE))</f>
        <v>0</v>
      </c>
      <c r="E18" s="4">
        <f>(VLOOKUP('21.04.01'!M18,'21.04.01'!$AO$4:$AR$55,4,FALSE))</f>
        <v>0</v>
      </c>
      <c r="F18" s="4">
        <f>(VLOOKUP('21.04.01'!N18,'21.04.01'!$AO$4:$AR$55,4,FALSE))</f>
        <v>0</v>
      </c>
      <c r="G18" s="4">
        <f>(VLOOKUP('21.04.01'!O18,'21.04.01'!$AO$4:$AR$55,4,FALSE))</f>
        <v>0</v>
      </c>
      <c r="H18" s="4">
        <f>(VLOOKUP('21.04.01'!P18,'21.04.01'!$AO$4:$AR$55,4,FALSE))</f>
        <v>0</v>
      </c>
      <c r="I18" s="4">
        <f>(VLOOKUP('21.04.01'!Q18,'21.04.01'!$AO$4:$AR$55,4,FALSE))</f>
        <v>10</v>
      </c>
      <c r="J18" s="4">
        <f>(VLOOKUP('21.04.01'!R18,'21.04.01'!$AO$4:$AR$55,4,FALSE))</f>
        <v>36</v>
      </c>
      <c r="K18" s="4">
        <f>(VLOOKUP('21.04.01'!S18,'21.04.01'!$AO$4:$AR$55,4,FALSE))</f>
        <v>36</v>
      </c>
      <c r="L18" s="4">
        <f>(VLOOKUP('21.04.01'!T18,'21.04.01'!$AO$4:$AR$55,4,FALSE))</f>
        <v>36</v>
      </c>
      <c r="M18" s="4">
        <f>(VLOOKUP('21.04.01'!U18,'21.04.01'!$AO$4:$AR$55,4,FALSE))</f>
        <v>36</v>
      </c>
      <c r="N18" s="4">
        <f>(VLOOKUP('21.04.01'!V18,'21.04.01'!$AO$4:$AR$55,4,FALSE))</f>
        <v>36</v>
      </c>
      <c r="O18" s="4">
        <f>(VLOOKUP('21.04.01'!W18,'21.04.01'!$AO$4:$AR$55,4,FALSE))</f>
        <v>36</v>
      </c>
      <c r="P18" s="4">
        <f>(VLOOKUP('21.04.01'!X18,'21.04.01'!$AO$4:$AR$55,4,FALSE))</f>
        <v>10</v>
      </c>
      <c r="Q18" s="4">
        <f>(VLOOKUP('21.04.01'!Y18,'21.04.01'!$AO$4:$AR$55,4,FALSE))</f>
        <v>34</v>
      </c>
      <c r="R18" s="4">
        <f>(VLOOKUP('21.04.01'!Z18,'21.04.01'!$AO$4:$AR$55,4,FALSE))</f>
        <v>34</v>
      </c>
      <c r="S18" s="4">
        <f>(VLOOKUP('21.04.01'!AA18,'21.04.01'!$AO$4:$AR$55,4,FALSE))</f>
        <v>10</v>
      </c>
      <c r="T18" s="4">
        <f>(VLOOKUP('21.04.01'!AB18,'21.04.01'!$AO$4:$AR$55,4,FALSE))</f>
        <v>34</v>
      </c>
      <c r="U18" s="4">
        <f>(VLOOKUP('21.04.01'!AC18,'21.04.01'!$AO$4:$AR$55,4,FALSE))</f>
        <v>34</v>
      </c>
      <c r="V18" s="4">
        <f>(VLOOKUP('21.04.01'!AD18,'21.04.01'!$AO$4:$AR$55,4,FALSE))</f>
        <v>34</v>
      </c>
      <c r="W18" s="4">
        <f>(VLOOKUP('21.04.01'!AE18,'21.04.01'!$AO$4:$AR$55,4,FALSE))</f>
        <v>10</v>
      </c>
      <c r="X18" s="4">
        <f>(VLOOKUP('21.04.01'!AF18,'21.04.01'!$AO$4:$AR$55,4,FALSE))</f>
        <v>34</v>
      </c>
    </row>
    <row r="19" spans="1:24">
      <c r="A19" s="4">
        <f>(VLOOKUP('21.04.01'!I19,'21.04.01'!$AO$4:$AR$55,4,FALSE))</f>
        <v>0</v>
      </c>
      <c r="B19" s="4">
        <f>(VLOOKUP('21.04.01'!J19,'21.04.01'!$AO$4:$AR$55,4,FALSE))</f>
        <v>0</v>
      </c>
      <c r="C19" s="4">
        <f>(VLOOKUP('21.04.01'!K19,'21.04.01'!$AO$4:$AR$55,4,FALSE))</f>
        <v>0</v>
      </c>
      <c r="D19" s="4">
        <f>(VLOOKUP('21.04.01'!L19,'21.04.01'!$AO$4:$AR$55,4,FALSE))</f>
        <v>0</v>
      </c>
      <c r="E19" s="4">
        <f>(VLOOKUP('21.04.01'!M19,'21.04.01'!$AO$4:$AR$55,4,FALSE))</f>
        <v>0</v>
      </c>
      <c r="F19" s="4">
        <f>(VLOOKUP('21.04.01'!N19,'21.04.01'!$AO$4:$AR$55,4,FALSE))</f>
        <v>0</v>
      </c>
      <c r="G19" s="4">
        <f>(VLOOKUP('21.04.01'!O19,'21.04.01'!$AO$4:$AR$55,4,FALSE))</f>
        <v>0</v>
      </c>
      <c r="H19" s="4">
        <f>(VLOOKUP('21.04.01'!P19,'21.04.01'!$AO$4:$AR$55,4,FALSE))</f>
        <v>0</v>
      </c>
      <c r="I19" s="4">
        <f>(VLOOKUP('21.04.01'!Q19,'21.04.01'!$AO$4:$AR$55,4,FALSE))</f>
        <v>36</v>
      </c>
      <c r="J19" s="4">
        <f>(VLOOKUP('21.04.01'!R19,'21.04.01'!$AO$4:$AR$55,4,FALSE))</f>
        <v>36</v>
      </c>
      <c r="K19" s="4">
        <f>(VLOOKUP('21.04.01'!S19,'21.04.01'!$AO$4:$AR$55,4,FALSE))</f>
        <v>36</v>
      </c>
      <c r="L19" s="4">
        <f>(VLOOKUP('21.04.01'!T19,'21.04.01'!$AO$4:$AR$55,4,FALSE))</f>
        <v>36</v>
      </c>
      <c r="M19" s="4">
        <f>(VLOOKUP('21.04.01'!U19,'21.04.01'!$AO$4:$AR$55,4,FALSE))</f>
        <v>36</v>
      </c>
      <c r="N19" s="4">
        <f>(VLOOKUP('21.04.01'!V19,'21.04.01'!$AO$4:$AR$55,4,FALSE))</f>
        <v>36</v>
      </c>
      <c r="O19" s="4">
        <f>(VLOOKUP('21.04.01'!W19,'21.04.01'!$AO$4:$AR$55,4,FALSE))</f>
        <v>36</v>
      </c>
      <c r="P19" s="4">
        <f>(VLOOKUP('21.04.01'!X19,'21.04.01'!$AO$4:$AR$55,4,FALSE))</f>
        <v>36</v>
      </c>
      <c r="Q19" s="4">
        <f>(VLOOKUP('21.04.01'!Y19,'21.04.01'!$AO$4:$AR$55,4,FALSE))</f>
        <v>13.999854933178597</v>
      </c>
      <c r="R19" s="4">
        <f>(VLOOKUP('21.04.01'!Z19,'21.04.01'!$AO$4:$AR$55,4,FALSE))</f>
        <v>34</v>
      </c>
      <c r="S19" s="4">
        <f>(VLOOKUP('21.04.01'!AA19,'21.04.01'!$AO$4:$AR$55,4,FALSE))</f>
        <v>34</v>
      </c>
      <c r="T19" s="4">
        <f>(VLOOKUP('21.04.01'!AB19,'21.04.01'!$AO$4:$AR$55,4,FALSE))</f>
        <v>29.110982162825422</v>
      </c>
      <c r="U19" s="4">
        <f>(VLOOKUP('21.04.01'!AC19,'21.04.01'!$AO$4:$AR$55,4,FALSE))</f>
        <v>39.110982162825422</v>
      </c>
      <c r="V19" s="4">
        <f>(VLOOKUP('21.04.01'!AD19,'21.04.01'!$AO$4:$AR$55,4,FALSE))</f>
        <v>10</v>
      </c>
      <c r="W19" s="4">
        <f>(VLOOKUP('21.04.01'!AE19,'21.04.01'!$AO$4:$AR$55,4,FALSE))</f>
        <v>39.110982162825422</v>
      </c>
      <c r="X19" s="4">
        <f>(VLOOKUP('21.04.01'!AF19,'21.04.01'!$AO$4:$AR$55,4,FALSE))</f>
        <v>29.110982162825422</v>
      </c>
    </row>
    <row r="20" spans="1:24">
      <c r="A20" s="4">
        <f>(VLOOKUP('21.04.01'!I20,'21.04.01'!$AO$4:$AR$55,4,FALSE))</f>
        <v>0</v>
      </c>
      <c r="B20" s="4">
        <f>(VLOOKUP('21.04.01'!J20,'21.04.01'!$AO$4:$AR$55,4,FALSE))</f>
        <v>0</v>
      </c>
      <c r="C20" s="4">
        <f>(VLOOKUP('21.04.01'!K20,'21.04.01'!$AO$4:$AR$55,4,FALSE))</f>
        <v>0</v>
      </c>
      <c r="D20" s="4">
        <f>(VLOOKUP('21.04.01'!L20,'21.04.01'!$AO$4:$AR$55,4,FALSE))</f>
        <v>0</v>
      </c>
      <c r="E20" s="4">
        <f>(VLOOKUP('21.04.01'!M20,'21.04.01'!$AO$4:$AR$55,4,FALSE))</f>
        <v>0</v>
      </c>
      <c r="F20" s="4">
        <f>(VLOOKUP('21.04.01'!N20,'21.04.01'!$AO$4:$AR$55,4,FALSE))</f>
        <v>0</v>
      </c>
      <c r="G20" s="4">
        <f>(VLOOKUP('21.04.01'!O20,'21.04.01'!$AO$4:$AR$55,4,FALSE))</f>
        <v>0</v>
      </c>
      <c r="H20" s="4">
        <f>(VLOOKUP('21.04.01'!P20,'21.04.01'!$AO$4:$AR$55,4,FALSE))</f>
        <v>0</v>
      </c>
      <c r="I20" s="4">
        <f>(VLOOKUP('21.04.01'!Q20,'21.04.01'!$AO$4:$AR$55,4,FALSE))</f>
        <v>36</v>
      </c>
      <c r="J20" s="4">
        <f>(VLOOKUP('21.04.01'!R20,'21.04.01'!$AO$4:$AR$55,4,FALSE))</f>
        <v>36</v>
      </c>
      <c r="K20" s="4">
        <f>(VLOOKUP('21.04.01'!S20,'21.04.01'!$AO$4:$AR$55,4,FALSE))</f>
        <v>36</v>
      </c>
      <c r="L20" s="4">
        <f>(VLOOKUP('21.04.01'!T20,'21.04.01'!$AO$4:$AR$55,4,FALSE))</f>
        <v>10</v>
      </c>
      <c r="M20" s="4">
        <f>(VLOOKUP('21.04.01'!U20,'21.04.01'!$AO$4:$AR$55,4,FALSE))</f>
        <v>36</v>
      </c>
      <c r="N20" s="4">
        <f>(VLOOKUP('21.04.01'!V20,'21.04.01'!$AO$4:$AR$55,4,FALSE))</f>
        <v>36</v>
      </c>
      <c r="O20" s="4">
        <f>(VLOOKUP('21.04.01'!W20,'21.04.01'!$AO$4:$AR$55,4,FALSE))</f>
        <v>36</v>
      </c>
      <c r="P20" s="4">
        <f>(VLOOKUP('21.04.01'!X20,'21.04.01'!$AO$4:$AR$55,4,FALSE))</f>
        <v>36</v>
      </c>
      <c r="Q20" s="4">
        <f>(VLOOKUP('21.04.01'!Y20,'21.04.01'!$AO$4:$AR$55,4,FALSE))</f>
        <v>39.110982162825422</v>
      </c>
      <c r="R20" s="4">
        <f>(VLOOKUP('21.04.01'!Z20,'21.04.01'!$AO$4:$AR$55,4,FALSE))</f>
        <v>39.110982162825422</v>
      </c>
      <c r="S20" s="4">
        <f>(VLOOKUP('21.04.01'!AA20,'21.04.01'!$AO$4:$AR$55,4,FALSE))</f>
        <v>0</v>
      </c>
      <c r="T20" s="4">
        <f>(VLOOKUP('21.04.01'!AB20,'21.04.01'!$AO$4:$AR$55,4,FALSE))</f>
        <v>39.110982162825422</v>
      </c>
      <c r="U20" s="4">
        <f>(VLOOKUP('21.04.01'!AC20,'21.04.01'!$AO$4:$AR$55,4,FALSE))</f>
        <v>39.110982162825422</v>
      </c>
      <c r="V20" s="4">
        <f>(VLOOKUP('21.04.01'!AD20,'21.04.01'!$AO$4:$AR$55,4,FALSE))</f>
        <v>10</v>
      </c>
      <c r="W20" s="4">
        <f>(VLOOKUP('21.04.01'!AE20,'21.04.01'!$AO$4:$AR$55,4,FALSE))</f>
        <v>39.110982162825422</v>
      </c>
      <c r="X20" s="4">
        <f>(VLOOKUP('21.04.01'!AF20,'21.04.01'!$AO$4:$AR$55,4,FALSE))</f>
        <v>10</v>
      </c>
    </row>
    <row r="21" spans="1:24">
      <c r="A21" s="4">
        <f>(VLOOKUP('21.04.01'!I21,'21.04.01'!$AO$4:$AR$55,4,FALSE))</f>
        <v>34</v>
      </c>
      <c r="B21" s="4">
        <f>(VLOOKUP('21.04.01'!J21,'21.04.01'!$AO$4:$AR$55,4,FALSE))</f>
        <v>0</v>
      </c>
      <c r="C21" s="4">
        <f>(VLOOKUP('21.04.01'!K21,'21.04.01'!$AO$4:$AR$55,4,FALSE))</f>
        <v>0</v>
      </c>
      <c r="D21" s="4">
        <f>(VLOOKUP('21.04.01'!L21,'21.04.01'!$AO$4:$AR$55,4,FALSE))</f>
        <v>0</v>
      </c>
      <c r="E21" s="4">
        <f>(VLOOKUP('21.04.01'!M21,'21.04.01'!$AO$4:$AR$55,4,FALSE))</f>
        <v>0</v>
      </c>
      <c r="F21" s="4">
        <f>(VLOOKUP('21.04.01'!N21,'21.04.01'!$AO$4:$AR$55,4,FALSE))</f>
        <v>0</v>
      </c>
      <c r="G21" s="4">
        <f>(VLOOKUP('21.04.01'!O21,'21.04.01'!$AO$4:$AR$55,4,FALSE))</f>
        <v>0</v>
      </c>
      <c r="H21" s="4">
        <f>(VLOOKUP('21.04.01'!P21,'21.04.01'!$AO$4:$AR$55,4,FALSE))</f>
        <v>0</v>
      </c>
      <c r="I21" s="4">
        <f>(VLOOKUP('21.04.01'!Q21,'21.04.01'!$AO$4:$AR$55,4,FALSE))</f>
        <v>36</v>
      </c>
      <c r="J21" s="4">
        <f>(VLOOKUP('21.04.01'!R21,'21.04.01'!$AO$4:$AR$55,4,FALSE))</f>
        <v>36</v>
      </c>
      <c r="K21" s="4">
        <f>(VLOOKUP('21.04.01'!S21,'21.04.01'!$AO$4:$AR$55,4,FALSE))</f>
        <v>36</v>
      </c>
      <c r="L21" s="4">
        <f>(VLOOKUP('21.04.01'!T21,'21.04.01'!$AO$4:$AR$55,4,FALSE))</f>
        <v>36</v>
      </c>
      <c r="M21" s="4">
        <f>(VLOOKUP('21.04.01'!U21,'21.04.01'!$AO$4:$AR$55,4,FALSE))</f>
        <v>10</v>
      </c>
      <c r="N21" s="4">
        <f>(VLOOKUP('21.04.01'!V21,'21.04.01'!$AO$4:$AR$55,4,FALSE))</f>
        <v>36</v>
      </c>
      <c r="O21" s="4">
        <f>(VLOOKUP('21.04.01'!W21,'21.04.01'!$AO$4:$AR$55,4,FALSE))</f>
        <v>36</v>
      </c>
      <c r="P21" s="4">
        <f>(VLOOKUP('21.04.01'!X21,'21.04.01'!$AO$4:$AR$55,4,FALSE))</f>
        <v>36</v>
      </c>
      <c r="Q21" s="4">
        <f>(VLOOKUP('21.04.01'!Y21,'21.04.01'!$AO$4:$AR$55,4,FALSE))</f>
        <v>0</v>
      </c>
      <c r="R21" s="4">
        <f>(VLOOKUP('21.04.01'!Z21,'21.04.01'!$AO$4:$AR$55,4,FALSE))</f>
        <v>0</v>
      </c>
      <c r="S21" s="4">
        <f>(VLOOKUP('21.04.01'!AA21,'21.04.01'!$AO$4:$AR$55,4,FALSE))</f>
        <v>0</v>
      </c>
      <c r="T21" s="4">
        <f>(VLOOKUP('21.04.01'!AB21,'21.04.01'!$AO$4:$AR$55,4,FALSE))</f>
        <v>0</v>
      </c>
      <c r="U21" s="4">
        <f>(VLOOKUP('21.04.01'!AC21,'21.04.01'!$AO$4:$AR$55,4,FALSE))</f>
        <v>0</v>
      </c>
      <c r="V21" s="4">
        <f>(VLOOKUP('21.04.01'!AD21,'21.04.01'!$AO$4:$AR$55,4,FALSE))</f>
        <v>0</v>
      </c>
      <c r="W21" s="4">
        <f>(VLOOKUP('21.04.01'!AE21,'21.04.01'!$AO$4:$AR$55,4,FALSE))</f>
        <v>0</v>
      </c>
      <c r="X21" s="4">
        <f>(VLOOKUP('21.04.01'!AF21,'21.04.01'!$AO$4:$AR$55,4,FALSE))</f>
        <v>0</v>
      </c>
    </row>
    <row r="22" spans="1:24">
      <c r="A22" s="4">
        <f>(VLOOKUP('21.04.01'!I22,'21.04.01'!$AO$4:$AR$55,4,FALSE))</f>
        <v>36</v>
      </c>
      <c r="B22" s="4">
        <f>(VLOOKUP('21.04.01'!J22,'21.04.01'!$AO$4:$AR$55,4,FALSE))</f>
        <v>36</v>
      </c>
      <c r="C22" s="4">
        <f>(VLOOKUP('21.04.01'!K22,'21.04.01'!$AO$4:$AR$55,4,FALSE))</f>
        <v>36</v>
      </c>
      <c r="D22" s="4">
        <f>(VLOOKUP('21.04.01'!L22,'21.04.01'!$AO$4:$AR$55,4,FALSE))</f>
        <v>36</v>
      </c>
      <c r="E22" s="4">
        <f>(VLOOKUP('21.04.01'!M22,'21.04.01'!$AO$4:$AR$55,4,FALSE))</f>
        <v>36</v>
      </c>
      <c r="F22" s="4">
        <f>(VLOOKUP('21.04.01'!N22,'21.04.01'!$AO$4:$AR$55,4,FALSE))</f>
        <v>36</v>
      </c>
      <c r="G22" s="4">
        <f>(VLOOKUP('21.04.01'!O22,'21.04.01'!$AO$4:$AR$55,4,FALSE))</f>
        <v>0</v>
      </c>
      <c r="H22" s="4">
        <f>(VLOOKUP('21.04.01'!P22,'21.04.01'!$AO$4:$AR$55,4,FALSE))</f>
        <v>0</v>
      </c>
      <c r="I22" s="4">
        <f>(VLOOKUP('21.04.01'!Q22,'21.04.01'!$AO$4:$AR$55,4,FALSE))</f>
        <v>36</v>
      </c>
      <c r="J22" s="4">
        <f>(VLOOKUP('21.04.01'!R22,'21.04.01'!$AO$4:$AR$55,4,FALSE))</f>
        <v>10</v>
      </c>
      <c r="K22" s="4">
        <f>(VLOOKUP('21.04.01'!S22,'21.04.01'!$AO$4:$AR$55,4,FALSE))</f>
        <v>34</v>
      </c>
      <c r="L22" s="4">
        <f>(VLOOKUP('21.04.01'!T22,'21.04.01'!$AO$4:$AR$55,4,FALSE))</f>
        <v>34</v>
      </c>
      <c r="M22" s="4">
        <f>(VLOOKUP('21.04.01'!U22,'21.04.01'!$AO$4:$AR$55,4,FALSE))</f>
        <v>34</v>
      </c>
      <c r="N22" s="4">
        <f>(VLOOKUP('21.04.01'!V22,'21.04.01'!$AO$4:$AR$55,4,FALSE))</f>
        <v>34</v>
      </c>
      <c r="O22" s="4">
        <f>(VLOOKUP('21.04.01'!W22,'21.04.01'!$AO$4:$AR$55,4,FALSE))</f>
        <v>36</v>
      </c>
      <c r="P22" s="4">
        <f>(VLOOKUP('21.04.01'!X22,'21.04.01'!$AO$4:$AR$55,4,FALSE))</f>
        <v>36</v>
      </c>
      <c r="Q22" s="4">
        <f>(VLOOKUP('21.04.01'!Y22,'21.04.01'!$AO$4:$AR$55,4,FALSE))</f>
        <v>38</v>
      </c>
      <c r="R22" s="4">
        <f>(VLOOKUP('21.04.01'!Z22,'21.04.01'!$AO$4:$AR$55,4,FALSE))</f>
        <v>10</v>
      </c>
      <c r="S22" s="4">
        <f>(VLOOKUP('21.04.01'!AA22,'21.04.01'!$AO$4:$AR$55,4,FALSE))</f>
        <v>38</v>
      </c>
      <c r="T22" s="4">
        <f>(VLOOKUP('21.04.01'!AB22,'21.04.01'!$AO$4:$AR$55,4,FALSE))</f>
        <v>38</v>
      </c>
      <c r="U22" s="4">
        <f>(VLOOKUP('21.04.01'!AC22,'21.04.01'!$AO$4:$AR$55,4,FALSE))</f>
        <v>38</v>
      </c>
      <c r="V22" s="4">
        <f>(VLOOKUP('21.04.01'!AD22,'21.04.01'!$AO$4:$AR$55,4,FALSE))</f>
        <v>29.110982162825422</v>
      </c>
      <c r="W22" s="4">
        <f>(VLOOKUP('21.04.01'!AE22,'21.04.01'!$AO$4:$AR$55,4,FALSE))</f>
        <v>0</v>
      </c>
      <c r="X22" s="4">
        <f>(VLOOKUP('21.04.01'!AF22,'21.04.01'!$AO$4:$AR$55,4,FALSE))</f>
        <v>0</v>
      </c>
    </row>
    <row r="23" spans="1:24">
      <c r="A23" s="4">
        <f>(VLOOKUP('21.04.01'!I23,'21.04.01'!$AO$4:$AR$55,4,FALSE))</f>
        <v>36</v>
      </c>
      <c r="B23" s="4">
        <f>(VLOOKUP('21.04.01'!J23,'21.04.01'!$AO$4:$AR$55,4,FALSE))</f>
        <v>36</v>
      </c>
      <c r="C23" s="4">
        <f>(VLOOKUP('21.04.01'!K23,'21.04.01'!$AO$4:$AR$55,4,FALSE))</f>
        <v>36</v>
      </c>
      <c r="D23" s="4">
        <f>(VLOOKUP('21.04.01'!L23,'21.04.01'!$AO$4:$AR$55,4,FALSE))</f>
        <v>36</v>
      </c>
      <c r="E23" s="4">
        <f>(VLOOKUP('21.04.01'!M23,'21.04.01'!$AO$4:$AR$55,4,FALSE))</f>
        <v>36</v>
      </c>
      <c r="F23" s="4">
        <f>(VLOOKUP('21.04.01'!N23,'21.04.01'!$AO$4:$AR$55,4,FALSE))</f>
        <v>36</v>
      </c>
      <c r="G23" s="4">
        <f>(VLOOKUP('21.04.01'!O23,'21.04.01'!$AO$4:$AR$55,4,FALSE))</f>
        <v>0</v>
      </c>
      <c r="H23" s="4">
        <f>(VLOOKUP('21.04.01'!P23,'21.04.01'!$AO$4:$AR$55,4,FALSE))</f>
        <v>0</v>
      </c>
      <c r="I23" s="4">
        <f>(VLOOKUP('21.04.01'!Q23,'21.04.01'!$AO$4:$AR$55,4,FALSE))</f>
        <v>36</v>
      </c>
      <c r="J23" s="4">
        <f>(VLOOKUP('21.04.01'!R23,'21.04.01'!$AO$4:$AR$55,4,FALSE))</f>
        <v>10</v>
      </c>
      <c r="K23" s="4">
        <f>(VLOOKUP('21.04.01'!S23,'21.04.01'!$AO$4:$AR$55,4,FALSE))</f>
        <v>36</v>
      </c>
      <c r="L23" s="4">
        <f>(VLOOKUP('21.04.01'!T23,'21.04.01'!$AO$4:$AR$55,4,FALSE))</f>
        <v>36</v>
      </c>
      <c r="M23" s="4">
        <f>(VLOOKUP('21.04.01'!U23,'21.04.01'!$AO$4:$AR$55,4,FALSE))</f>
        <v>36</v>
      </c>
      <c r="N23" s="4">
        <f>(VLOOKUP('21.04.01'!V23,'21.04.01'!$AO$4:$AR$55,4,FALSE))</f>
        <v>36</v>
      </c>
      <c r="O23" s="4">
        <f>(VLOOKUP('21.04.01'!W23,'21.04.01'!$AO$4:$AR$55,4,FALSE))</f>
        <v>36</v>
      </c>
      <c r="P23" s="4">
        <f>(VLOOKUP('21.04.01'!X23,'21.04.01'!$AO$4:$AR$55,4,FALSE))</f>
        <v>38</v>
      </c>
      <c r="Q23" s="4">
        <f>(VLOOKUP('21.04.01'!Y23,'21.04.01'!$AO$4:$AR$55,4,FALSE))</f>
        <v>40</v>
      </c>
      <c r="R23" s="4">
        <f>(VLOOKUP('21.04.01'!Z23,'21.04.01'!$AO$4:$AR$55,4,FALSE))</f>
        <v>40</v>
      </c>
      <c r="S23" s="4">
        <f>(VLOOKUP('21.04.01'!AA23,'21.04.01'!$AO$4:$AR$55,4,FALSE))</f>
        <v>10</v>
      </c>
      <c r="T23" s="4">
        <f>(VLOOKUP('21.04.01'!AB23,'21.04.01'!$AO$4:$AR$55,4,FALSE))</f>
        <v>0</v>
      </c>
      <c r="U23" s="4">
        <f>(VLOOKUP('21.04.01'!AC23,'21.04.01'!$AO$4:$AR$55,4,FALSE))</f>
        <v>0</v>
      </c>
      <c r="V23" s="4">
        <f>(VLOOKUP('21.04.01'!AD23,'21.04.01'!$AO$4:$AR$55,4,FALSE))</f>
        <v>0</v>
      </c>
      <c r="W23" s="4">
        <f>(VLOOKUP('21.04.01'!AE23,'21.04.01'!$AO$4:$AR$55,4,FALSE))</f>
        <v>0</v>
      </c>
      <c r="X23" s="4">
        <f>(VLOOKUP('21.04.01'!AF23,'21.04.01'!$AO$4:$AR$55,4,FALSE))</f>
        <v>0</v>
      </c>
    </row>
    <row r="24" spans="1:24">
      <c r="A24" s="4">
        <f>(VLOOKUP('21.04.01'!I24,'21.04.01'!$AO$4:$AR$55,4,FALSE))</f>
        <v>36</v>
      </c>
      <c r="B24" s="4">
        <f>(VLOOKUP('21.04.01'!J24,'21.04.01'!$AO$4:$AR$55,4,FALSE))</f>
        <v>36</v>
      </c>
      <c r="C24" s="4">
        <f>(VLOOKUP('21.04.01'!K24,'21.04.01'!$AO$4:$AR$55,4,FALSE))</f>
        <v>36</v>
      </c>
      <c r="D24" s="4">
        <f>(VLOOKUP('21.04.01'!L24,'21.04.01'!$AO$4:$AR$55,4,FALSE))</f>
        <v>36</v>
      </c>
      <c r="E24" s="4">
        <f>(VLOOKUP('21.04.01'!M24,'21.04.01'!$AO$4:$AR$55,4,FALSE))</f>
        <v>36</v>
      </c>
      <c r="F24" s="4">
        <f>(VLOOKUP('21.04.01'!N24,'21.04.01'!$AO$4:$AR$55,4,FALSE))</f>
        <v>36</v>
      </c>
      <c r="G24" s="4">
        <f>(VLOOKUP('21.04.01'!O24,'21.04.01'!$AO$4:$AR$55,4,FALSE))</f>
        <v>0</v>
      </c>
      <c r="H24" s="4">
        <f>(VLOOKUP('21.04.01'!P24,'21.04.01'!$AO$4:$AR$55,4,FALSE))</f>
        <v>0</v>
      </c>
      <c r="I24" s="4">
        <f>(VLOOKUP('21.04.01'!Q24,'21.04.01'!$AO$4:$AR$55,4,FALSE))</f>
        <v>0</v>
      </c>
      <c r="J24" s="4">
        <f>(VLOOKUP('21.04.01'!R24,'21.04.01'!$AO$4:$AR$55,4,FALSE))</f>
        <v>0</v>
      </c>
      <c r="K24" s="4">
        <f>(VLOOKUP('21.04.01'!S24,'21.04.01'!$AO$4:$AR$55,4,FALSE))</f>
        <v>0</v>
      </c>
      <c r="L24" s="4">
        <f>(VLOOKUP('21.04.01'!T24,'21.04.01'!$AO$4:$AR$55,4,FALSE))</f>
        <v>0</v>
      </c>
      <c r="M24" s="4">
        <f>(VLOOKUP('21.04.01'!U24,'21.04.01'!$AO$4:$AR$55,4,FALSE))</f>
        <v>0</v>
      </c>
      <c r="N24" s="4">
        <f>(VLOOKUP('21.04.01'!V24,'21.04.01'!$AO$4:$AR$55,4,FALSE))</f>
        <v>0</v>
      </c>
      <c r="O24" s="4">
        <f>(VLOOKUP('21.04.01'!W24,'21.04.01'!$AO$4:$AR$55,4,FALSE))</f>
        <v>0</v>
      </c>
      <c r="P24" s="4">
        <f>(VLOOKUP('21.04.01'!X24,'21.04.01'!$AO$4:$AR$55,4,FALSE))</f>
        <v>0</v>
      </c>
      <c r="Q24" s="4">
        <f>(VLOOKUP('21.04.01'!Y24,'21.04.01'!$AO$4:$AR$55,4,FALSE))</f>
        <v>0</v>
      </c>
      <c r="R24" s="4">
        <f>(VLOOKUP('21.04.01'!Z24,'21.04.01'!$AO$4:$AR$55,4,FALSE))</f>
        <v>0</v>
      </c>
      <c r="S24" s="4">
        <f>(VLOOKUP('21.04.01'!AA24,'21.04.01'!$AO$4:$AR$55,4,FALSE))</f>
        <v>0</v>
      </c>
      <c r="T24" s="4">
        <f>(VLOOKUP('21.04.01'!AB24,'21.04.01'!$AO$4:$AR$55,4,FALSE))</f>
        <v>0</v>
      </c>
      <c r="U24" s="4">
        <f>(VLOOKUP('21.04.01'!AC24,'21.04.01'!$AO$4:$AR$55,4,FALSE))</f>
        <v>0</v>
      </c>
      <c r="V24" s="4">
        <f>(VLOOKUP('21.04.01'!AD24,'21.04.01'!$AO$4:$AR$55,4,FALSE))</f>
        <v>0</v>
      </c>
      <c r="W24" s="4">
        <f>(VLOOKUP('21.04.01'!AE24,'21.04.01'!$AO$4:$AR$55,4,FALSE))</f>
        <v>0</v>
      </c>
      <c r="X24" s="4">
        <f>(VLOOKUP('21.04.01'!AF24,'21.04.01'!$AO$4:$AR$55,4,FALSE))</f>
        <v>0</v>
      </c>
    </row>
    <row r="25" spans="1:24">
      <c r="A25" s="4">
        <f>(VLOOKUP('21.04.01'!I25,'21.04.01'!$AO$4:$AR$55,4,FALSE))</f>
        <v>36</v>
      </c>
      <c r="B25" s="4">
        <f>(VLOOKUP('21.04.01'!J25,'21.04.01'!$AO$4:$AR$55,4,FALSE))</f>
        <v>36</v>
      </c>
      <c r="C25" s="4">
        <f>(VLOOKUP('21.04.01'!K25,'21.04.01'!$AO$4:$AR$55,4,FALSE))</f>
        <v>36</v>
      </c>
      <c r="D25" s="4">
        <f>(VLOOKUP('21.04.01'!L25,'21.04.01'!$AO$4:$AR$55,4,FALSE))</f>
        <v>36</v>
      </c>
      <c r="E25" s="4">
        <f>(VLOOKUP('21.04.01'!M25,'21.04.01'!$AO$4:$AR$55,4,FALSE))</f>
        <v>36</v>
      </c>
      <c r="F25" s="4">
        <f>(VLOOKUP('21.04.01'!N25,'21.04.01'!$AO$4:$AR$55,4,FALSE))</f>
        <v>36</v>
      </c>
      <c r="G25" s="4">
        <f>(VLOOKUP('21.04.01'!O25,'21.04.01'!$AO$4:$AR$55,4,FALSE))</f>
        <v>0</v>
      </c>
      <c r="H25" s="4">
        <f>(VLOOKUP('21.04.01'!P25,'21.04.01'!$AO$4:$AR$55,4,FALSE))</f>
        <v>0</v>
      </c>
      <c r="I25" s="4">
        <f>(VLOOKUP('21.04.01'!Q25,'21.04.01'!$AO$4:$AR$55,4,FALSE))</f>
        <v>0</v>
      </c>
      <c r="J25" s="4">
        <f>(VLOOKUP('21.04.01'!R25,'21.04.01'!$AO$4:$AR$55,4,FALSE))</f>
        <v>0</v>
      </c>
      <c r="K25" s="4">
        <f>(VLOOKUP('21.04.01'!S25,'21.04.01'!$AO$4:$AR$55,4,FALSE))</f>
        <v>0</v>
      </c>
      <c r="L25" s="4">
        <f>(VLOOKUP('21.04.01'!T25,'21.04.01'!$AO$4:$AR$55,4,FALSE))</f>
        <v>0</v>
      </c>
      <c r="M25" s="4">
        <f>(VLOOKUP('21.04.01'!U25,'21.04.01'!$AO$4:$AR$55,4,FALSE))</f>
        <v>0</v>
      </c>
      <c r="N25" s="4">
        <f>(VLOOKUP('21.04.01'!V25,'21.04.01'!$AO$4:$AR$55,4,FALSE))</f>
        <v>0</v>
      </c>
      <c r="O25" s="4">
        <f>(VLOOKUP('21.04.01'!W25,'21.04.01'!$AO$4:$AR$55,4,FALSE))</f>
        <v>0</v>
      </c>
      <c r="P25" s="4">
        <f>(VLOOKUP('21.04.01'!X25,'21.04.01'!$AO$4:$AR$55,4,FALSE))</f>
        <v>0</v>
      </c>
      <c r="Q25" s="4">
        <f>(VLOOKUP('21.04.01'!Y25,'21.04.01'!$AO$4:$AR$55,4,FALSE))</f>
        <v>0</v>
      </c>
      <c r="R25" s="4">
        <f>(VLOOKUP('21.04.01'!Z25,'21.04.01'!$AO$4:$AR$55,4,FALSE))</f>
        <v>0</v>
      </c>
      <c r="S25" s="4">
        <f>(VLOOKUP('21.04.01'!AA25,'21.04.01'!$AO$4:$AR$55,4,FALSE))</f>
        <v>0</v>
      </c>
      <c r="T25" s="4">
        <f>(VLOOKUP('21.04.01'!AB25,'21.04.01'!$AO$4:$AR$55,4,FALSE))</f>
        <v>0</v>
      </c>
      <c r="U25" s="4">
        <f>(VLOOKUP('21.04.01'!AC25,'21.04.01'!$AO$4:$AR$55,4,FALSE))</f>
        <v>0</v>
      </c>
      <c r="V25" s="4">
        <f>(VLOOKUP('21.04.01'!AD25,'21.04.01'!$AO$4:$AR$55,4,FALSE))</f>
        <v>0</v>
      </c>
      <c r="W25" s="4">
        <f>(VLOOKUP('21.04.01'!AE25,'21.04.01'!$AO$4:$AR$55,4,FALSE))</f>
        <v>0</v>
      </c>
      <c r="X25" s="4">
        <f>(VLOOKUP('21.04.01'!AF25,'21.04.01'!$AO$4:$AR$55,4,FALSE))</f>
        <v>0</v>
      </c>
    </row>
    <row r="26" spans="1:24">
      <c r="A26" s="4">
        <f>(VLOOKUP('21.04.01'!I26,'21.04.01'!$AO$4:$AR$55,4,FALSE))</f>
        <v>29.110982162825422</v>
      </c>
      <c r="B26" s="4">
        <f>(VLOOKUP('21.04.01'!J26,'21.04.01'!$AO$4:$AR$55,4,FALSE))</f>
        <v>36</v>
      </c>
      <c r="C26" s="4">
        <f>(VLOOKUP('21.04.01'!K26,'21.04.01'!$AO$4:$AR$55,4,FALSE))</f>
        <v>36</v>
      </c>
      <c r="D26" s="4">
        <f>(VLOOKUP('21.04.01'!L26,'21.04.01'!$AO$4:$AR$55,4,FALSE))</f>
        <v>36</v>
      </c>
      <c r="E26" s="4">
        <f>(VLOOKUP('21.04.01'!M26,'21.04.01'!$AO$4:$AR$55,4,FALSE))</f>
        <v>36</v>
      </c>
      <c r="F26" s="4">
        <f>(VLOOKUP('21.04.01'!N26,'21.04.01'!$AO$4:$AR$55,4,FALSE))</f>
        <v>36</v>
      </c>
      <c r="G26" s="4">
        <f>(VLOOKUP('21.04.01'!O26,'21.04.01'!$AO$4:$AR$55,4,FALSE))</f>
        <v>0</v>
      </c>
      <c r="H26" s="4">
        <f>(VLOOKUP('21.04.01'!P26,'21.04.01'!$AO$4:$AR$55,4,FALSE))</f>
        <v>0</v>
      </c>
      <c r="I26" s="4">
        <f>(VLOOKUP('21.04.01'!Q26,'21.04.01'!$AO$4:$AR$55,4,FALSE))</f>
        <v>40</v>
      </c>
      <c r="J26" s="4">
        <f>(VLOOKUP('21.04.01'!R26,'21.04.01'!$AO$4:$AR$55,4,FALSE))</f>
        <v>40</v>
      </c>
      <c r="K26" s="4">
        <f>(VLOOKUP('21.04.01'!S26,'21.04.01'!$AO$4:$AR$55,4,FALSE))</f>
        <v>40</v>
      </c>
      <c r="L26" s="4">
        <f>(VLOOKUP('21.04.01'!T26,'21.04.01'!$AO$4:$AR$55,4,FALSE))</f>
        <v>40</v>
      </c>
      <c r="M26" s="4">
        <f>(VLOOKUP('21.04.01'!U26,'21.04.01'!$AO$4:$AR$55,4,FALSE))</f>
        <v>40</v>
      </c>
      <c r="N26" s="4">
        <f>(VLOOKUP('21.04.01'!V26,'21.04.01'!$AO$4:$AR$55,4,FALSE))</f>
        <v>40</v>
      </c>
      <c r="O26" s="4">
        <f>(VLOOKUP('21.04.01'!W26,'21.04.01'!$AO$4:$AR$55,4,FALSE))</f>
        <v>0</v>
      </c>
      <c r="P26" s="4">
        <f>(VLOOKUP('21.04.01'!X26,'21.04.01'!$AO$4:$AR$55,4,FALSE))</f>
        <v>0</v>
      </c>
      <c r="Q26" s="4">
        <f>(VLOOKUP('21.04.01'!Y26,'21.04.01'!$AO$4:$AR$55,4,FALSE))</f>
        <v>0</v>
      </c>
      <c r="R26" s="4">
        <f>(VLOOKUP('21.04.01'!Z26,'21.04.01'!$AO$4:$AR$55,4,FALSE))</f>
        <v>0</v>
      </c>
      <c r="S26" s="4">
        <f>(VLOOKUP('21.04.01'!AA26,'21.04.01'!$AO$4:$AR$55,4,FALSE))</f>
        <v>0</v>
      </c>
      <c r="T26" s="4">
        <f>(VLOOKUP('21.04.01'!AB26,'21.04.01'!$AO$4:$AR$55,4,FALSE))</f>
        <v>0</v>
      </c>
      <c r="U26" s="4">
        <f>(VLOOKUP('21.04.01'!AC26,'21.04.01'!$AO$4:$AR$55,4,FALSE))</f>
        <v>0</v>
      </c>
      <c r="V26" s="4">
        <f>(VLOOKUP('21.04.01'!AD26,'21.04.01'!$AO$4:$AR$55,4,FALSE))</f>
        <v>0</v>
      </c>
      <c r="W26" s="4">
        <f>(VLOOKUP('21.04.01'!AE26,'21.04.01'!$AO$4:$AR$55,4,FALSE))</f>
        <v>0</v>
      </c>
      <c r="X26" s="4">
        <f>(VLOOKUP('21.04.01'!AF26,'21.04.01'!$AO$4:$AR$55,4,FALSE))</f>
        <v>0</v>
      </c>
    </row>
    <row r="27" spans="1:24">
      <c r="A27" s="4">
        <f>(VLOOKUP('21.04.01'!I27,'21.04.01'!$AO$4:$AR$55,4,FALSE))</f>
        <v>36</v>
      </c>
      <c r="B27" s="4">
        <f>(VLOOKUP('21.04.01'!J27,'21.04.01'!$AO$4:$AR$55,4,FALSE))</f>
        <v>36</v>
      </c>
      <c r="C27" s="4">
        <f>(VLOOKUP('21.04.01'!K27,'21.04.01'!$AO$4:$AR$55,4,FALSE))</f>
        <v>36</v>
      </c>
      <c r="D27" s="4">
        <f>(VLOOKUP('21.04.01'!L27,'21.04.01'!$AO$4:$AR$55,4,FALSE))</f>
        <v>36</v>
      </c>
      <c r="E27" s="4">
        <f>(VLOOKUP('21.04.01'!M27,'21.04.01'!$AO$4:$AR$55,4,FALSE))</f>
        <v>29.110982162825422</v>
      </c>
      <c r="F27" s="4">
        <f>(VLOOKUP('21.04.01'!N27,'21.04.01'!$AO$4:$AR$55,4,FALSE))</f>
        <v>34</v>
      </c>
      <c r="G27" s="4">
        <f>(VLOOKUP('21.04.01'!O27,'21.04.01'!$AO$4:$AR$55,4,FALSE))</f>
        <v>0</v>
      </c>
      <c r="H27" s="4">
        <f>(VLOOKUP('21.04.01'!P27,'21.04.01'!$AO$4:$AR$55,4,FALSE))</f>
        <v>0</v>
      </c>
      <c r="I27" s="4">
        <f>(VLOOKUP('21.04.01'!Q27,'21.04.01'!$AO$4:$AR$55,4,FALSE))</f>
        <v>40</v>
      </c>
      <c r="J27" s="4">
        <f>(VLOOKUP('21.04.01'!R27,'21.04.01'!$AO$4:$AR$55,4,FALSE))</f>
        <v>40</v>
      </c>
      <c r="K27" s="4">
        <f>(VLOOKUP('21.04.01'!S27,'21.04.01'!$AO$4:$AR$55,4,FALSE))</f>
        <v>40</v>
      </c>
      <c r="L27" s="4">
        <f>(VLOOKUP('21.04.01'!T27,'21.04.01'!$AO$4:$AR$55,4,FALSE))</f>
        <v>40</v>
      </c>
      <c r="M27" s="4">
        <f>(VLOOKUP('21.04.01'!U27,'21.04.01'!$AO$4:$AR$55,4,FALSE))</f>
        <v>40</v>
      </c>
      <c r="N27" s="4">
        <f>(VLOOKUP('21.04.01'!V27,'21.04.01'!$AO$4:$AR$55,4,FALSE))</f>
        <v>40</v>
      </c>
      <c r="O27" s="4">
        <f>(VLOOKUP('21.04.01'!W27,'21.04.01'!$AO$4:$AR$55,4,FALSE))</f>
        <v>0</v>
      </c>
      <c r="P27" s="4">
        <f>(VLOOKUP('21.04.01'!X27,'21.04.01'!$AO$4:$AR$55,4,FALSE))</f>
        <v>0</v>
      </c>
      <c r="Q27" s="4">
        <f>(VLOOKUP('21.04.01'!Y27,'21.04.01'!$AO$4:$AR$55,4,FALSE))</f>
        <v>0</v>
      </c>
      <c r="R27" s="4">
        <f>(VLOOKUP('21.04.01'!Z27,'21.04.01'!$AO$4:$AR$55,4,FALSE))</f>
        <v>0</v>
      </c>
      <c r="S27" s="4">
        <f>(VLOOKUP('21.04.01'!AA27,'21.04.01'!$AO$4:$AR$55,4,FALSE))</f>
        <v>0</v>
      </c>
      <c r="T27" s="4">
        <f>(VLOOKUP('21.04.01'!AB27,'21.04.01'!$AO$4:$AR$55,4,FALSE))</f>
        <v>0</v>
      </c>
      <c r="U27" s="4">
        <f>(VLOOKUP('21.04.01'!AC27,'21.04.01'!$AO$4:$AR$55,4,FALSE))</f>
        <v>0</v>
      </c>
      <c r="V27" s="4">
        <f>(VLOOKUP('21.04.01'!AD27,'21.04.01'!$AO$4:$AR$55,4,FALSE))</f>
        <v>0</v>
      </c>
      <c r="W27" s="4">
        <f>(VLOOKUP('21.04.01'!AE27,'21.04.01'!$AO$4:$AR$55,4,FALSE))</f>
        <v>0</v>
      </c>
      <c r="X27" s="4">
        <f>(VLOOKUP('21.04.01'!AF27,'21.04.01'!$AO$4:$AR$55,4,FALSE))</f>
        <v>0</v>
      </c>
    </row>
    <row r="28" spans="1:24">
      <c r="A28" s="4">
        <f>(VLOOKUP('21.04.01'!I28,'21.04.01'!$AO$4:$AR$55,4,FALSE))</f>
        <v>34</v>
      </c>
      <c r="B28" s="4">
        <f>(VLOOKUP('21.04.01'!J28,'21.04.01'!$AO$4:$AR$55,4,FALSE))</f>
        <v>36</v>
      </c>
      <c r="C28" s="4">
        <f>(VLOOKUP('21.04.01'!K28,'21.04.01'!$AO$4:$AR$55,4,FALSE))</f>
        <v>34</v>
      </c>
      <c r="D28" s="4">
        <f>(VLOOKUP('21.04.01'!L28,'21.04.01'!$AO$4:$AR$55,4,FALSE))</f>
        <v>0</v>
      </c>
      <c r="E28" s="4">
        <f>(VLOOKUP('21.04.01'!M28,'21.04.01'!$AO$4:$AR$55,4,FALSE))</f>
        <v>0</v>
      </c>
      <c r="F28" s="4">
        <f>(VLOOKUP('21.04.01'!N28,'21.04.01'!$AO$4:$AR$55,4,FALSE))</f>
        <v>0</v>
      </c>
      <c r="G28" s="4">
        <f>(VLOOKUP('21.04.01'!O28,'21.04.01'!$AO$4:$AR$55,4,FALSE))</f>
        <v>0</v>
      </c>
      <c r="H28" s="4">
        <f>(VLOOKUP('21.04.01'!P28,'21.04.01'!$AO$4:$AR$55,4,FALSE))</f>
        <v>0</v>
      </c>
      <c r="I28" s="4">
        <f>(VLOOKUP('21.04.01'!Q28,'21.04.01'!$AO$4:$AR$55,4,FALSE))</f>
        <v>60</v>
      </c>
      <c r="J28" s="4">
        <f>(VLOOKUP('21.04.01'!R28,'21.04.01'!$AO$4:$AR$55,4,FALSE))</f>
        <v>40</v>
      </c>
      <c r="K28" s="4">
        <f>(VLOOKUP('21.04.01'!S28,'21.04.01'!$AO$4:$AR$55,4,FALSE))</f>
        <v>40</v>
      </c>
      <c r="L28" s="4">
        <f>(VLOOKUP('21.04.01'!T28,'21.04.01'!$AO$4:$AR$55,4,FALSE))</f>
        <v>40</v>
      </c>
      <c r="M28" s="4">
        <f>(VLOOKUP('21.04.01'!U28,'21.04.01'!$AO$4:$AR$55,4,FALSE))</f>
        <v>40</v>
      </c>
      <c r="N28" s="4">
        <f>(VLOOKUP('21.04.01'!V28,'21.04.01'!$AO$4:$AR$55,4,FALSE))</f>
        <v>40</v>
      </c>
      <c r="O28" s="4">
        <f>(VLOOKUP('21.04.01'!W28,'21.04.01'!$AO$4:$AR$55,4,FALSE))</f>
        <v>0</v>
      </c>
      <c r="P28" s="4">
        <f>(VLOOKUP('21.04.01'!X28,'21.04.01'!$AO$4:$AR$55,4,FALSE))</f>
        <v>0</v>
      </c>
      <c r="Q28" s="4">
        <f>(VLOOKUP('21.04.01'!Y28,'21.04.01'!$AO$4:$AR$55,4,FALSE))</f>
        <v>0</v>
      </c>
      <c r="R28" s="4">
        <f>(VLOOKUP('21.04.01'!Z28,'21.04.01'!$AO$4:$AR$55,4,FALSE))</f>
        <v>0</v>
      </c>
      <c r="S28" s="4">
        <f>(VLOOKUP('21.04.01'!AA28,'21.04.01'!$AO$4:$AR$55,4,FALSE))</f>
        <v>0</v>
      </c>
      <c r="T28" s="4">
        <f>(VLOOKUP('21.04.01'!AB28,'21.04.01'!$AO$4:$AR$55,4,FALSE))</f>
        <v>0</v>
      </c>
      <c r="U28" s="4">
        <f>(VLOOKUP('21.04.01'!AC28,'21.04.01'!$AO$4:$AR$55,4,FALSE))</f>
        <v>0</v>
      </c>
      <c r="V28" s="4">
        <f>(VLOOKUP('21.04.01'!AD28,'21.04.01'!$AO$4:$AR$55,4,FALSE))</f>
        <v>0</v>
      </c>
      <c r="W28" s="4">
        <f>(VLOOKUP('21.04.01'!AE28,'21.04.01'!$AO$4:$AR$55,4,FALSE))</f>
        <v>0</v>
      </c>
      <c r="X28" s="4">
        <f>(VLOOKUP('21.04.01'!AF28,'21.04.01'!$AO$4:$AR$55,4,FALSE))</f>
        <v>0</v>
      </c>
    </row>
    <row r="29" spans="1:24">
      <c r="A29" s="4">
        <f>(VLOOKUP('21.04.01'!I29,'21.04.01'!$AO$4:$AR$55,4,FALSE))</f>
        <v>36</v>
      </c>
      <c r="B29" s="4">
        <f>(VLOOKUP('21.04.01'!J29,'21.04.01'!$AO$4:$AR$55,4,FALSE))</f>
        <v>36</v>
      </c>
      <c r="C29" s="4">
        <f>(VLOOKUP('21.04.01'!K29,'21.04.01'!$AO$4:$AR$55,4,FALSE))</f>
        <v>36</v>
      </c>
      <c r="D29" s="4">
        <f>(VLOOKUP('21.04.01'!L29,'21.04.01'!$AO$4:$AR$55,4,FALSE))</f>
        <v>36</v>
      </c>
      <c r="E29" s="4">
        <f>(VLOOKUP('21.04.01'!M29,'21.04.01'!$AO$4:$AR$55,4,FALSE))</f>
        <v>36</v>
      </c>
      <c r="F29" s="4">
        <f>(VLOOKUP('21.04.01'!N29,'21.04.01'!$AO$4:$AR$55,4,FALSE))</f>
        <v>36</v>
      </c>
      <c r="G29" s="4">
        <f>(VLOOKUP('21.04.01'!O29,'21.04.01'!$AO$4:$AR$55,4,FALSE))</f>
        <v>0</v>
      </c>
      <c r="H29" s="4">
        <f>(VLOOKUP('21.04.01'!P29,'21.04.01'!$AO$4:$AR$55,4,FALSE))</f>
        <v>0</v>
      </c>
      <c r="I29" s="4">
        <f>(VLOOKUP('21.04.01'!Q29,'21.04.01'!$AO$4:$AR$55,4,FALSE))</f>
        <v>40</v>
      </c>
      <c r="J29" s="4">
        <f>(VLOOKUP('21.04.01'!R29,'21.04.01'!$AO$4:$AR$55,4,FALSE))</f>
        <v>40</v>
      </c>
      <c r="K29" s="4">
        <f>(VLOOKUP('21.04.01'!S29,'21.04.01'!$AO$4:$AR$55,4,FALSE))</f>
        <v>40</v>
      </c>
      <c r="L29" s="4">
        <f>(VLOOKUP('21.04.01'!T29,'21.04.01'!$AO$4:$AR$55,4,FALSE))</f>
        <v>40</v>
      </c>
      <c r="M29" s="4">
        <f>(VLOOKUP('21.04.01'!U29,'21.04.01'!$AO$4:$AR$55,4,FALSE))</f>
        <v>40</v>
      </c>
      <c r="N29" s="4">
        <f>(VLOOKUP('21.04.01'!V29,'21.04.01'!$AO$4:$AR$55,4,FALSE))</f>
        <v>40</v>
      </c>
      <c r="O29" s="4">
        <f>(VLOOKUP('21.04.01'!W29,'21.04.01'!$AO$4:$AR$55,4,FALSE))</f>
        <v>0</v>
      </c>
      <c r="P29" s="4">
        <f>(VLOOKUP('21.04.01'!X29,'21.04.01'!$AO$4:$AR$55,4,FALSE))</f>
        <v>0</v>
      </c>
      <c r="Q29" s="4">
        <f>(VLOOKUP('21.04.01'!Y29,'21.04.01'!$AO$4:$AR$55,4,FALSE))</f>
        <v>0</v>
      </c>
      <c r="R29" s="4">
        <f>(VLOOKUP('21.04.01'!Z29,'21.04.01'!$AO$4:$AR$55,4,FALSE))</f>
        <v>0</v>
      </c>
      <c r="S29" s="4">
        <f>(VLOOKUP('21.04.01'!AA29,'21.04.01'!$AO$4:$AR$55,4,FALSE))</f>
        <v>0</v>
      </c>
      <c r="T29" s="4">
        <f>(VLOOKUP('21.04.01'!AB29,'21.04.01'!$AO$4:$AR$55,4,FALSE))</f>
        <v>0</v>
      </c>
      <c r="U29" s="4">
        <f>(VLOOKUP('21.04.01'!AC29,'21.04.01'!$AO$4:$AR$55,4,FALSE))</f>
        <v>0</v>
      </c>
      <c r="V29" s="4">
        <f>(VLOOKUP('21.04.01'!AD29,'21.04.01'!$AO$4:$AR$55,4,FALSE))</f>
        <v>0</v>
      </c>
      <c r="W29" s="4">
        <f>(VLOOKUP('21.04.01'!AE29,'21.04.01'!$AO$4:$AR$55,4,FALSE))</f>
        <v>0</v>
      </c>
      <c r="X29" s="4">
        <f>(VLOOKUP('21.04.01'!AF29,'21.04.01'!$AO$4:$AR$55,4,FALSE))</f>
        <v>0</v>
      </c>
    </row>
    <row r="30" spans="1:24">
      <c r="A30" s="4">
        <f>(VLOOKUP('21.04.01'!I30,'21.04.01'!$AO$4:$AR$55,4,FALSE))</f>
        <v>36</v>
      </c>
      <c r="B30" s="4">
        <f>(VLOOKUP('21.04.01'!J30,'21.04.01'!$AO$4:$AR$55,4,FALSE))</f>
        <v>36</v>
      </c>
      <c r="C30" s="4">
        <f>(VLOOKUP('21.04.01'!K30,'21.04.01'!$AO$4:$AR$55,4,FALSE))</f>
        <v>36</v>
      </c>
      <c r="D30" s="4">
        <f>(VLOOKUP('21.04.01'!L30,'21.04.01'!$AO$4:$AR$55,4,FALSE))</f>
        <v>36</v>
      </c>
      <c r="E30" s="4">
        <f>(VLOOKUP('21.04.01'!M30,'21.04.01'!$AO$4:$AR$55,4,FALSE))</f>
        <v>36</v>
      </c>
      <c r="F30" s="4">
        <f>(VLOOKUP('21.04.01'!N30,'21.04.01'!$AO$4:$AR$55,4,FALSE))</f>
        <v>36</v>
      </c>
      <c r="G30" s="4">
        <f>(VLOOKUP('21.04.01'!O30,'21.04.01'!$AO$4:$AR$55,4,FALSE))</f>
        <v>0</v>
      </c>
      <c r="H30" s="4">
        <f>(VLOOKUP('21.04.01'!P30,'21.04.01'!$AO$4:$AR$55,4,FALSE))</f>
        <v>0</v>
      </c>
      <c r="I30" s="4">
        <f>(VLOOKUP('21.04.01'!Q30,'21.04.01'!$AO$4:$AR$55,4,FALSE))</f>
        <v>40</v>
      </c>
      <c r="J30" s="4">
        <f>(VLOOKUP('21.04.01'!R30,'21.04.01'!$AO$4:$AR$55,4,FALSE))</f>
        <v>40</v>
      </c>
      <c r="K30" s="4">
        <f>(VLOOKUP('21.04.01'!S30,'21.04.01'!$AO$4:$AR$55,4,FALSE))</f>
        <v>40</v>
      </c>
      <c r="L30" s="4">
        <f>(VLOOKUP('21.04.01'!T30,'21.04.01'!$AO$4:$AR$55,4,FALSE))</f>
        <v>40</v>
      </c>
      <c r="M30" s="4">
        <f>(VLOOKUP('21.04.01'!U30,'21.04.01'!$AO$4:$AR$55,4,FALSE))</f>
        <v>40</v>
      </c>
      <c r="N30" s="4">
        <f>(VLOOKUP('21.04.01'!V30,'21.04.01'!$AO$4:$AR$55,4,FALSE))</f>
        <v>40</v>
      </c>
      <c r="O30" s="4">
        <f>(VLOOKUP('21.04.01'!W30,'21.04.01'!$AO$4:$AR$55,4,FALSE))</f>
        <v>10</v>
      </c>
      <c r="P30" s="4">
        <f>(VLOOKUP('21.04.01'!X30,'21.04.01'!$AO$4:$AR$55,4,FALSE))</f>
        <v>40</v>
      </c>
      <c r="Q30" s="4">
        <f>(VLOOKUP('21.04.01'!Y30,'21.04.01'!$AO$4:$AR$55,4,FALSE))</f>
        <v>0</v>
      </c>
      <c r="R30" s="4">
        <f>(VLOOKUP('21.04.01'!Z30,'21.04.01'!$AO$4:$AR$55,4,FALSE))</f>
        <v>0</v>
      </c>
      <c r="S30" s="4">
        <f>(VLOOKUP('21.04.01'!AA30,'21.04.01'!$AO$4:$AR$55,4,FALSE))</f>
        <v>0</v>
      </c>
      <c r="T30" s="4">
        <f>(VLOOKUP('21.04.01'!AB30,'21.04.01'!$AO$4:$AR$55,4,FALSE))</f>
        <v>0</v>
      </c>
      <c r="U30" s="4">
        <f>(VLOOKUP('21.04.01'!AC30,'21.04.01'!$AO$4:$AR$55,4,FALSE))</f>
        <v>0</v>
      </c>
      <c r="V30" s="4">
        <f>(VLOOKUP('21.04.01'!AD30,'21.04.01'!$AO$4:$AR$55,4,FALSE))</f>
        <v>0</v>
      </c>
      <c r="W30" s="4">
        <f>(VLOOKUP('21.04.01'!AE30,'21.04.01'!$AO$4:$AR$55,4,FALSE))</f>
        <v>0</v>
      </c>
      <c r="X30" s="4">
        <f>(VLOOKUP('21.04.01'!AF30,'21.04.01'!$AO$4:$AR$55,4,FALSE))</f>
        <v>0</v>
      </c>
    </row>
    <row r="31" spans="1:24">
      <c r="A31" s="4">
        <f>(VLOOKUP('21.04.01'!I31,'21.04.01'!$AO$4:$AR$55,4,FALSE))</f>
        <v>36</v>
      </c>
      <c r="B31" s="4">
        <f>(VLOOKUP('21.04.01'!J31,'21.04.01'!$AO$4:$AR$55,4,FALSE))</f>
        <v>36</v>
      </c>
      <c r="C31" s="4">
        <f>(VLOOKUP('21.04.01'!K31,'21.04.01'!$AO$4:$AR$55,4,FALSE))</f>
        <v>36</v>
      </c>
      <c r="D31" s="4">
        <f>(VLOOKUP('21.04.01'!L31,'21.04.01'!$AO$4:$AR$55,4,FALSE))</f>
        <v>36</v>
      </c>
      <c r="E31" s="4">
        <f>(VLOOKUP('21.04.01'!M31,'21.04.01'!$AO$4:$AR$55,4,FALSE))</f>
        <v>36</v>
      </c>
      <c r="F31" s="4">
        <f>(VLOOKUP('21.04.01'!N31,'21.04.01'!$AO$4:$AR$55,4,FALSE))</f>
        <v>36</v>
      </c>
      <c r="G31" s="4">
        <f>(VLOOKUP('21.04.01'!O31,'21.04.01'!$AO$4:$AR$55,4,FALSE))</f>
        <v>0</v>
      </c>
      <c r="H31" s="4">
        <f>(VLOOKUP('21.04.01'!P31,'21.04.01'!$AO$4:$AR$55,4,FALSE))</f>
        <v>0</v>
      </c>
      <c r="I31" s="4">
        <f>(VLOOKUP('21.04.01'!Q31,'21.04.01'!$AO$4:$AR$55,4,FALSE))</f>
        <v>40</v>
      </c>
      <c r="J31" s="4">
        <f>(VLOOKUP('21.04.01'!R31,'21.04.01'!$AO$4:$AR$55,4,FALSE))</f>
        <v>40</v>
      </c>
      <c r="K31" s="4">
        <f>(VLOOKUP('21.04.01'!S31,'21.04.01'!$AO$4:$AR$55,4,FALSE))</f>
        <v>40</v>
      </c>
      <c r="L31" s="4">
        <f>(VLOOKUP('21.04.01'!T31,'21.04.01'!$AO$4:$AR$55,4,FALSE))</f>
        <v>40</v>
      </c>
      <c r="M31" s="4">
        <f>(VLOOKUP('21.04.01'!U31,'21.04.01'!$AO$4:$AR$55,4,FALSE))</f>
        <v>40</v>
      </c>
      <c r="N31" s="4">
        <f>(VLOOKUP('21.04.01'!V31,'21.04.01'!$AO$4:$AR$55,4,FALSE))</f>
        <v>40</v>
      </c>
      <c r="O31" s="4">
        <f>(VLOOKUP('21.04.01'!W31,'21.04.01'!$AO$4:$AR$55,4,FALSE))</f>
        <v>0</v>
      </c>
      <c r="P31" s="4">
        <f>(VLOOKUP('21.04.01'!X31,'21.04.01'!$AO$4:$AR$55,4,FALSE))</f>
        <v>0</v>
      </c>
      <c r="Q31" s="4">
        <f>(VLOOKUP('21.04.01'!Y31,'21.04.01'!$AO$4:$AR$55,4,FALSE))</f>
        <v>0</v>
      </c>
      <c r="R31" s="4">
        <f>(VLOOKUP('21.04.01'!Z31,'21.04.01'!$AO$4:$AR$55,4,FALSE))</f>
        <v>0</v>
      </c>
      <c r="S31" s="4">
        <f>(VLOOKUP('21.04.01'!AA31,'21.04.01'!$AO$4:$AR$55,4,FALSE))</f>
        <v>0</v>
      </c>
      <c r="T31" s="4">
        <f>(VLOOKUP('21.04.01'!AB31,'21.04.01'!$AO$4:$AR$55,4,FALSE))</f>
        <v>0</v>
      </c>
      <c r="U31" s="4">
        <f>(VLOOKUP('21.04.01'!AC31,'21.04.01'!$AO$4:$AR$55,4,FALSE))</f>
        <v>0</v>
      </c>
      <c r="V31" s="4">
        <f>(VLOOKUP('21.04.01'!AD31,'21.04.01'!$AO$4:$AR$55,4,FALSE))</f>
        <v>0</v>
      </c>
      <c r="W31" s="4">
        <f>(VLOOKUP('21.04.01'!AE31,'21.04.01'!$AO$4:$AR$55,4,FALSE))</f>
        <v>0</v>
      </c>
      <c r="X31" s="4">
        <f>(VLOOKUP('21.04.01'!AF31,'21.04.01'!$AO$4:$AR$55,4,FALSE))</f>
        <v>0</v>
      </c>
    </row>
    <row r="32" spans="1:24">
      <c r="A32" s="4">
        <f>(VLOOKUP('21.04.01'!I32,'21.04.01'!$AO$4:$AR$55,4,FALSE))</f>
        <v>36</v>
      </c>
      <c r="B32" s="4">
        <f>(VLOOKUP('21.04.01'!J32,'21.04.01'!$AO$4:$AR$55,4,FALSE))</f>
        <v>36</v>
      </c>
      <c r="C32" s="4">
        <f>(VLOOKUP('21.04.01'!K32,'21.04.01'!$AO$4:$AR$55,4,FALSE))</f>
        <v>36</v>
      </c>
      <c r="D32" s="4">
        <f>(VLOOKUP('21.04.01'!L32,'21.04.01'!$AO$4:$AR$55,4,FALSE))</f>
        <v>36</v>
      </c>
      <c r="E32" s="4">
        <f>(VLOOKUP('21.04.01'!M32,'21.04.01'!$AO$4:$AR$55,4,FALSE))</f>
        <v>36</v>
      </c>
      <c r="F32" s="4">
        <f>(VLOOKUP('21.04.01'!N32,'21.04.01'!$AO$4:$AR$55,4,FALSE))</f>
        <v>36</v>
      </c>
      <c r="G32" s="4">
        <f>(VLOOKUP('21.04.01'!O32,'21.04.01'!$AO$4:$AR$55,4,FALSE))</f>
        <v>0</v>
      </c>
      <c r="H32" s="4">
        <f>(VLOOKUP('21.04.01'!P32,'21.04.01'!$AO$4:$AR$55,4,FALSE))</f>
        <v>0</v>
      </c>
      <c r="I32" s="4">
        <f>(VLOOKUP('21.04.01'!Q32,'21.04.01'!$AO$4:$AR$55,4,FALSE))</f>
        <v>40</v>
      </c>
      <c r="J32" s="4">
        <f>(VLOOKUP('21.04.01'!R32,'21.04.01'!$AO$4:$AR$55,4,FALSE))</f>
        <v>10</v>
      </c>
      <c r="K32" s="4">
        <f>(VLOOKUP('21.04.01'!S32,'21.04.01'!$AO$4:$AR$55,4,FALSE))</f>
        <v>40</v>
      </c>
      <c r="L32" s="4">
        <f>(VLOOKUP('21.04.01'!T32,'21.04.01'!$AO$4:$AR$55,4,FALSE))</f>
        <v>40</v>
      </c>
      <c r="M32" s="4">
        <f>(VLOOKUP('21.04.01'!U32,'21.04.01'!$AO$4:$AR$55,4,FALSE))</f>
        <v>40</v>
      </c>
      <c r="N32" s="4">
        <f>(VLOOKUP('21.04.01'!V32,'21.04.01'!$AO$4:$AR$55,4,FALSE))</f>
        <v>40</v>
      </c>
      <c r="O32" s="4">
        <f>(VLOOKUP('21.04.01'!W32,'21.04.01'!$AO$4:$AR$55,4,FALSE))</f>
        <v>40</v>
      </c>
      <c r="P32" s="4">
        <f>(VLOOKUP('21.04.01'!X32,'21.04.01'!$AO$4:$AR$55,4,FALSE))</f>
        <v>40</v>
      </c>
      <c r="Q32" s="4">
        <f>(VLOOKUP('21.04.01'!Y32,'21.04.01'!$AO$4:$AR$55,4,FALSE))</f>
        <v>0</v>
      </c>
      <c r="R32" s="4">
        <f>(VLOOKUP('21.04.01'!Z32,'21.04.01'!$AO$4:$AR$55,4,FALSE))</f>
        <v>0</v>
      </c>
      <c r="S32" s="4">
        <f>(VLOOKUP('21.04.01'!AA32,'21.04.01'!$AO$4:$AR$55,4,FALSE))</f>
        <v>0</v>
      </c>
      <c r="T32" s="4">
        <f>(VLOOKUP('21.04.01'!AB32,'21.04.01'!$AO$4:$AR$55,4,FALSE))</f>
        <v>0</v>
      </c>
      <c r="U32" s="4">
        <f>(VLOOKUP('21.04.01'!AC32,'21.04.01'!$AO$4:$AR$55,4,FALSE))</f>
        <v>0</v>
      </c>
      <c r="V32" s="4">
        <f>(VLOOKUP('21.04.01'!AD32,'21.04.01'!$AO$4:$AR$55,4,FALSE))</f>
        <v>0</v>
      </c>
      <c r="W32" s="4">
        <f>(VLOOKUP('21.04.01'!AE32,'21.04.01'!$AO$4:$AR$55,4,FALSE))</f>
        <v>0</v>
      </c>
      <c r="X32" s="4">
        <f>(VLOOKUP('21.04.01'!AF32,'21.04.01'!$AO$4:$AR$55,4,FALSE))</f>
        <v>0</v>
      </c>
    </row>
    <row r="33" spans="1:24">
      <c r="A33" s="4">
        <f>(VLOOKUP('21.04.01'!I33,'21.04.01'!$AO$4:$AR$55,4,FALSE))</f>
        <v>10</v>
      </c>
      <c r="B33" s="4">
        <f>(VLOOKUP('21.04.01'!J33,'21.04.01'!$AO$4:$AR$55,4,FALSE))</f>
        <v>0</v>
      </c>
      <c r="C33" s="4">
        <f>(VLOOKUP('21.04.01'!K33,'21.04.01'!$AO$4:$AR$55,4,FALSE))</f>
        <v>0</v>
      </c>
      <c r="D33" s="4">
        <f>(VLOOKUP('21.04.01'!L33,'21.04.01'!$AO$4:$AR$55,4,FALSE))</f>
        <v>0</v>
      </c>
      <c r="E33" s="4">
        <f>(VLOOKUP('21.04.01'!M33,'21.04.01'!$AO$4:$AR$55,4,FALSE))</f>
        <v>0</v>
      </c>
      <c r="F33" s="4">
        <f>(VLOOKUP('21.04.01'!N33,'21.04.01'!$AO$4:$AR$55,4,FALSE))</f>
        <v>0</v>
      </c>
      <c r="G33" s="4">
        <f>(VLOOKUP('21.04.01'!O33,'21.04.01'!$AO$4:$AR$55,4,FALSE))</f>
        <v>0</v>
      </c>
      <c r="H33" s="4">
        <f>(VLOOKUP('21.04.01'!P33,'21.04.01'!$AO$4:$AR$55,4,FALSE))</f>
        <v>0</v>
      </c>
      <c r="I33" s="4">
        <f>(VLOOKUP('21.04.01'!Q33,'21.04.01'!$AO$4:$AR$55,4,FALSE))</f>
        <v>40</v>
      </c>
      <c r="J33" s="4">
        <f>(VLOOKUP('21.04.01'!R33,'21.04.01'!$AO$4:$AR$55,4,FALSE))</f>
        <v>40</v>
      </c>
      <c r="K33" s="4">
        <f>(VLOOKUP('21.04.01'!S33,'21.04.01'!$AO$4:$AR$55,4,FALSE))</f>
        <v>40</v>
      </c>
      <c r="L33" s="4">
        <f>(VLOOKUP('21.04.01'!T33,'21.04.01'!$AO$4:$AR$55,4,FALSE))</f>
        <v>40</v>
      </c>
      <c r="M33" s="4">
        <f>(VLOOKUP('21.04.01'!U33,'21.04.01'!$AO$4:$AR$55,4,FALSE))</f>
        <v>40</v>
      </c>
      <c r="N33" s="4">
        <f>(VLOOKUP('21.04.01'!V33,'21.04.01'!$AO$4:$AR$55,4,FALSE))</f>
        <v>40</v>
      </c>
      <c r="O33" s="4">
        <f>(VLOOKUP('21.04.01'!W33,'21.04.01'!$AO$4:$AR$55,4,FALSE))</f>
        <v>0</v>
      </c>
      <c r="P33" s="4">
        <f>(VLOOKUP('21.04.01'!X33,'21.04.01'!$AO$4:$AR$55,4,FALSE))</f>
        <v>0</v>
      </c>
      <c r="Q33" s="4">
        <f>(VLOOKUP('21.04.01'!Y33,'21.04.01'!$AO$4:$AR$55,4,FALSE))</f>
        <v>0</v>
      </c>
      <c r="R33" s="4">
        <f>(VLOOKUP('21.04.01'!Z33,'21.04.01'!$AO$4:$AR$55,4,FALSE))</f>
        <v>0</v>
      </c>
      <c r="S33" s="4">
        <f>(VLOOKUP('21.04.01'!AA33,'21.04.01'!$AO$4:$AR$55,4,FALSE))</f>
        <v>0</v>
      </c>
      <c r="T33" s="4">
        <f>(VLOOKUP('21.04.01'!AB33,'21.04.01'!$AO$4:$AR$55,4,FALSE))</f>
        <v>0</v>
      </c>
      <c r="U33" s="4">
        <f>(VLOOKUP('21.04.01'!AC33,'21.04.01'!$AO$4:$AR$55,4,FALSE))</f>
        <v>0</v>
      </c>
      <c r="V33" s="4">
        <f>(VLOOKUP('21.04.01'!AD33,'21.04.01'!$AO$4:$AR$55,4,FALSE))</f>
        <v>0</v>
      </c>
      <c r="W33" s="4">
        <f>(VLOOKUP('21.04.01'!AE33,'21.04.01'!$AO$4:$AR$55,4,FALSE))</f>
        <v>0</v>
      </c>
      <c r="X33" s="4">
        <f>(VLOOKUP('21.04.01'!AF33,'21.04.01'!$AO$4:$AR$55,4,FALSE))</f>
        <v>0</v>
      </c>
    </row>
    <row r="34" spans="1:24">
      <c r="A34" s="4">
        <f>(VLOOKUP('21.04.01'!I34,'21.04.01'!$AO$4:$AR$55,4,FALSE))</f>
        <v>36</v>
      </c>
      <c r="B34" s="4">
        <f>(VLOOKUP('21.04.01'!J34,'21.04.01'!$AO$4:$AR$55,4,FALSE))</f>
        <v>36</v>
      </c>
      <c r="C34" s="4">
        <f>(VLOOKUP('21.04.01'!K34,'21.04.01'!$AO$4:$AR$55,4,FALSE))</f>
        <v>36</v>
      </c>
      <c r="D34" s="4">
        <f>(VLOOKUP('21.04.01'!L34,'21.04.01'!$AO$4:$AR$55,4,FALSE))</f>
        <v>36</v>
      </c>
      <c r="E34" s="4">
        <f>(VLOOKUP('21.04.01'!M34,'21.04.01'!$AO$4:$AR$55,4,FALSE))</f>
        <v>36</v>
      </c>
      <c r="F34" s="4">
        <f>(VLOOKUP('21.04.01'!N34,'21.04.01'!$AO$4:$AR$55,4,FALSE))</f>
        <v>36</v>
      </c>
      <c r="G34" s="4">
        <f>(VLOOKUP('21.04.01'!O34,'21.04.01'!$AO$4:$AR$55,4,FALSE))</f>
        <v>0</v>
      </c>
      <c r="H34" s="4">
        <f>(VLOOKUP('21.04.01'!P34,'21.04.01'!$AO$4:$AR$55,4,FALSE))</f>
        <v>0</v>
      </c>
      <c r="I34" s="4">
        <f>(VLOOKUP('21.04.01'!Q34,'21.04.01'!$AO$4:$AR$55,4,FALSE))</f>
        <v>40</v>
      </c>
      <c r="J34" s="4">
        <f>(VLOOKUP('21.04.01'!R34,'21.04.01'!$AO$4:$AR$55,4,FALSE))</f>
        <v>40</v>
      </c>
      <c r="K34" s="4">
        <f>(VLOOKUP('21.04.01'!S34,'21.04.01'!$AO$4:$AR$55,4,FALSE))</f>
        <v>40</v>
      </c>
      <c r="L34" s="4">
        <f>(VLOOKUP('21.04.01'!T34,'21.04.01'!$AO$4:$AR$55,4,FALSE))</f>
        <v>40</v>
      </c>
      <c r="M34" s="4">
        <f>(VLOOKUP('21.04.01'!U34,'21.04.01'!$AO$4:$AR$55,4,FALSE))</f>
        <v>40</v>
      </c>
      <c r="N34" s="4">
        <f>(VLOOKUP('21.04.01'!V34,'21.04.01'!$AO$4:$AR$55,4,FALSE))</f>
        <v>40</v>
      </c>
      <c r="O34" s="4">
        <f>(VLOOKUP('21.04.01'!W34,'21.04.01'!$AO$4:$AR$55,4,FALSE))</f>
        <v>0</v>
      </c>
      <c r="P34" s="4">
        <f>(VLOOKUP('21.04.01'!X34,'21.04.01'!$AO$4:$AR$55,4,FALSE))</f>
        <v>0</v>
      </c>
      <c r="Q34" s="4">
        <f>(VLOOKUP('21.04.01'!Y34,'21.04.01'!$AO$4:$AR$55,4,FALSE))</f>
        <v>0</v>
      </c>
      <c r="R34" s="4">
        <f>(VLOOKUP('21.04.01'!Z34,'21.04.01'!$AO$4:$AR$55,4,FALSE))</f>
        <v>0</v>
      </c>
      <c r="S34" s="4">
        <f>(VLOOKUP('21.04.01'!AA34,'21.04.01'!$AO$4:$AR$55,4,FALSE))</f>
        <v>0</v>
      </c>
      <c r="T34" s="4">
        <f>(VLOOKUP('21.04.01'!AB34,'21.04.01'!$AO$4:$AR$55,4,FALSE))</f>
        <v>0</v>
      </c>
      <c r="U34" s="4">
        <f>(VLOOKUP('21.04.01'!AC34,'21.04.01'!$AO$4:$AR$55,4,FALSE))</f>
        <v>0</v>
      </c>
      <c r="V34" s="4">
        <f>(VLOOKUP('21.04.01'!AD34,'21.04.01'!$AO$4:$AR$55,4,FALSE))</f>
        <v>0</v>
      </c>
      <c r="W34" s="4">
        <f>(VLOOKUP('21.04.01'!AE34,'21.04.01'!$AO$4:$AR$55,4,FALSE))</f>
        <v>0</v>
      </c>
      <c r="X34" s="4">
        <f>(VLOOKUP('21.04.01'!AF34,'21.04.01'!$AO$4:$AR$55,4,FALSE))</f>
        <v>0</v>
      </c>
    </row>
    <row r="35" spans="1:24">
      <c r="A35" s="4">
        <f>(VLOOKUP('21.04.01'!I35,'21.04.01'!$AO$4:$AR$55,4,FALSE))</f>
        <v>36</v>
      </c>
      <c r="B35" s="4">
        <f>(VLOOKUP('21.04.01'!J35,'21.04.01'!$AO$4:$AR$55,4,FALSE))</f>
        <v>36</v>
      </c>
      <c r="C35" s="4">
        <f>(VLOOKUP('21.04.01'!K35,'21.04.01'!$AO$4:$AR$55,4,FALSE))</f>
        <v>36</v>
      </c>
      <c r="D35" s="4">
        <f>(VLOOKUP('21.04.01'!L35,'21.04.01'!$AO$4:$AR$55,4,FALSE))</f>
        <v>36</v>
      </c>
      <c r="E35" s="4">
        <f>(VLOOKUP('21.04.01'!M35,'21.04.01'!$AO$4:$AR$55,4,FALSE))</f>
        <v>36</v>
      </c>
      <c r="F35" s="4">
        <f>(VLOOKUP('21.04.01'!N35,'21.04.01'!$AO$4:$AR$55,4,FALSE))</f>
        <v>36</v>
      </c>
      <c r="G35" s="4">
        <f>(VLOOKUP('21.04.01'!O35,'21.04.01'!$AO$4:$AR$55,4,FALSE))</f>
        <v>0</v>
      </c>
      <c r="H35" s="4">
        <f>(VLOOKUP('21.04.01'!P35,'21.04.01'!$AO$4:$AR$55,4,FALSE))</f>
        <v>0</v>
      </c>
      <c r="I35" s="4">
        <f>(VLOOKUP('21.04.01'!Q35,'21.04.01'!$AO$4:$AR$55,4,FALSE))</f>
        <v>40</v>
      </c>
      <c r="J35" s="4">
        <f>(VLOOKUP('21.04.01'!R35,'21.04.01'!$AO$4:$AR$55,4,FALSE))</f>
        <v>38</v>
      </c>
      <c r="K35" s="4">
        <f>(VLOOKUP('21.04.01'!S35,'21.04.01'!$AO$4:$AR$55,4,FALSE))</f>
        <v>38</v>
      </c>
      <c r="L35" s="4">
        <f>(VLOOKUP('21.04.01'!T35,'21.04.01'!$AO$4:$AR$55,4,FALSE))</f>
        <v>38</v>
      </c>
      <c r="M35" s="4">
        <f>(VLOOKUP('21.04.01'!U35,'21.04.01'!$AO$4:$AR$55,4,FALSE))</f>
        <v>38</v>
      </c>
      <c r="N35" s="4">
        <f>(VLOOKUP('21.04.01'!V35,'21.04.01'!$AO$4:$AR$55,4,FALSE))</f>
        <v>38</v>
      </c>
      <c r="O35" s="4">
        <f>(VLOOKUP('21.04.01'!W35,'21.04.01'!$AO$4:$AR$55,4,FALSE))</f>
        <v>0</v>
      </c>
      <c r="P35" s="4">
        <f>(VLOOKUP('21.04.01'!X35,'21.04.01'!$AO$4:$AR$55,4,FALSE))</f>
        <v>0</v>
      </c>
      <c r="Q35" s="4">
        <f>(VLOOKUP('21.04.01'!Y35,'21.04.01'!$AO$4:$AR$55,4,FALSE))</f>
        <v>0</v>
      </c>
      <c r="R35" s="4">
        <f>(VLOOKUP('21.04.01'!Z35,'21.04.01'!$AO$4:$AR$55,4,FALSE))</f>
        <v>0</v>
      </c>
      <c r="S35" s="4">
        <f>(VLOOKUP('21.04.01'!AA35,'21.04.01'!$AO$4:$AR$55,4,FALSE))</f>
        <v>0</v>
      </c>
      <c r="T35" s="4">
        <f>(VLOOKUP('21.04.01'!AB35,'21.04.01'!$AO$4:$AR$55,4,FALSE))</f>
        <v>0</v>
      </c>
      <c r="U35" s="4">
        <f>(VLOOKUP('21.04.01'!AC35,'21.04.01'!$AO$4:$AR$55,4,FALSE))</f>
        <v>0</v>
      </c>
      <c r="V35" s="4">
        <f>(VLOOKUP('21.04.01'!AD35,'21.04.01'!$AO$4:$AR$55,4,FALSE))</f>
        <v>0</v>
      </c>
      <c r="W35" s="4">
        <f>(VLOOKUP('21.04.01'!AE35,'21.04.01'!$AO$4:$AR$55,4,FALSE))</f>
        <v>0</v>
      </c>
      <c r="X35" s="4">
        <f>(VLOOKUP('21.04.01'!AF35,'21.04.01'!$AO$4:$AR$55,4,FALSE))</f>
        <v>0</v>
      </c>
    </row>
    <row r="36" spans="1:24">
      <c r="A36" s="4">
        <f>(VLOOKUP('21.04.01'!I36,'21.04.01'!$AO$4:$AR$55,4,FALSE))</f>
        <v>36</v>
      </c>
      <c r="B36" s="4">
        <f>(VLOOKUP('21.04.01'!J36,'21.04.01'!$AO$4:$AR$55,4,FALSE))</f>
        <v>36</v>
      </c>
      <c r="C36" s="4">
        <f>(VLOOKUP('21.04.01'!K36,'21.04.01'!$AO$4:$AR$55,4,FALSE))</f>
        <v>36</v>
      </c>
      <c r="D36" s="4">
        <f>(VLOOKUP('21.04.01'!L36,'21.04.01'!$AO$4:$AR$55,4,FALSE))</f>
        <v>36</v>
      </c>
      <c r="E36" s="4">
        <f>(VLOOKUP('21.04.01'!M36,'21.04.01'!$AO$4:$AR$55,4,FALSE))</f>
        <v>36</v>
      </c>
      <c r="F36" s="4">
        <f>(VLOOKUP('21.04.01'!N36,'21.04.01'!$AO$4:$AR$55,4,FALSE))</f>
        <v>36</v>
      </c>
      <c r="G36" s="4">
        <f>(VLOOKUP('21.04.01'!O36,'21.04.01'!$AO$4:$AR$55,4,FALSE))</f>
        <v>0</v>
      </c>
      <c r="H36" s="4">
        <f>(VLOOKUP('21.04.01'!P36,'21.04.01'!$AO$4:$AR$55,4,FALSE))</f>
        <v>0</v>
      </c>
      <c r="I36" s="4">
        <f>(VLOOKUP('21.04.01'!Q36,'21.04.01'!$AO$4:$AR$55,4,FALSE))</f>
        <v>38</v>
      </c>
      <c r="J36" s="4">
        <f>(VLOOKUP('21.04.01'!R36,'21.04.01'!$AO$4:$AR$55,4,FALSE))</f>
        <v>38</v>
      </c>
      <c r="K36" s="4">
        <f>(VLOOKUP('21.04.01'!S36,'21.04.01'!$AO$4:$AR$55,4,FALSE))</f>
        <v>38</v>
      </c>
      <c r="L36" s="4">
        <f>(VLOOKUP('21.04.01'!T36,'21.04.01'!$AO$4:$AR$55,4,FALSE))</f>
        <v>38</v>
      </c>
      <c r="M36" s="4">
        <f>(VLOOKUP('21.04.01'!U36,'21.04.01'!$AO$4:$AR$55,4,FALSE))</f>
        <v>38</v>
      </c>
      <c r="N36" s="4">
        <f>(VLOOKUP('21.04.01'!V36,'21.04.01'!$AO$4:$AR$55,4,FALSE))</f>
        <v>38</v>
      </c>
      <c r="O36" s="4">
        <f>(VLOOKUP('21.04.01'!W36,'21.04.01'!$AO$4:$AR$55,4,FALSE))</f>
        <v>0</v>
      </c>
      <c r="P36" s="4">
        <f>(VLOOKUP('21.04.01'!X36,'21.04.01'!$AO$4:$AR$55,4,FALSE))</f>
        <v>0</v>
      </c>
      <c r="Q36" s="4">
        <f>(VLOOKUP('21.04.01'!Y36,'21.04.01'!$AO$4:$AR$55,4,FALSE))</f>
        <v>0</v>
      </c>
      <c r="R36" s="4">
        <f>(VLOOKUP('21.04.01'!Z36,'21.04.01'!$AO$4:$AR$55,4,FALSE))</f>
        <v>0</v>
      </c>
      <c r="S36" s="4">
        <f>(VLOOKUP('21.04.01'!AA36,'21.04.01'!$AO$4:$AR$55,4,FALSE))</f>
        <v>0</v>
      </c>
      <c r="T36" s="4">
        <f>(VLOOKUP('21.04.01'!AB36,'21.04.01'!$AO$4:$AR$55,4,FALSE))</f>
        <v>0</v>
      </c>
      <c r="U36" s="4">
        <f>(VLOOKUP('21.04.01'!AC36,'21.04.01'!$AO$4:$AR$55,4,FALSE))</f>
        <v>0</v>
      </c>
      <c r="V36" s="4">
        <f>(VLOOKUP('21.04.01'!AD36,'21.04.01'!$AO$4:$AR$55,4,FALSE))</f>
        <v>0</v>
      </c>
      <c r="W36" s="4">
        <f>(VLOOKUP('21.04.01'!AE36,'21.04.01'!$AO$4:$AR$55,4,FALSE))</f>
        <v>0</v>
      </c>
      <c r="X36" s="4">
        <f>(VLOOKUP('21.04.01'!AF36,'21.04.01'!$AO$4:$AR$55,4,FALSE))</f>
        <v>0</v>
      </c>
    </row>
    <row r="37" spans="1:24">
      <c r="A37" s="4">
        <f>(VLOOKUP('21.04.01'!I37,'21.04.01'!$AO$4:$AR$55,4,FALSE))</f>
        <v>36</v>
      </c>
      <c r="B37" s="4">
        <f>(VLOOKUP('21.04.01'!J37,'21.04.01'!$AO$4:$AR$55,4,FALSE))</f>
        <v>36</v>
      </c>
      <c r="C37" s="4">
        <f>(VLOOKUP('21.04.01'!K37,'21.04.01'!$AO$4:$AR$55,4,FALSE))</f>
        <v>36</v>
      </c>
      <c r="D37" s="4">
        <f>(VLOOKUP('21.04.01'!L37,'21.04.01'!$AO$4:$AR$55,4,FALSE))</f>
        <v>29.110982162825422</v>
      </c>
      <c r="E37" s="4">
        <f>(VLOOKUP('21.04.01'!M37,'21.04.01'!$AO$4:$AR$55,4,FALSE))</f>
        <v>0</v>
      </c>
      <c r="F37" s="4">
        <f>(VLOOKUP('21.04.01'!N37,'21.04.01'!$AO$4:$AR$55,4,FALSE))</f>
        <v>38</v>
      </c>
      <c r="G37" s="4">
        <f>(VLOOKUP('21.04.01'!O37,'21.04.01'!$AO$4:$AR$55,4,FALSE))</f>
        <v>0</v>
      </c>
      <c r="H37" s="4">
        <f>(VLOOKUP('21.04.01'!P37,'21.04.01'!$AO$4:$AR$55,4,FALSE))</f>
        <v>0</v>
      </c>
      <c r="I37" s="4">
        <f>(VLOOKUP('21.04.01'!Q37,'21.04.01'!$AO$4:$AR$55,4,FALSE))</f>
        <v>38</v>
      </c>
      <c r="J37" s="4">
        <f>(VLOOKUP('21.04.01'!R37,'21.04.01'!$AO$4:$AR$55,4,FALSE))</f>
        <v>10</v>
      </c>
      <c r="K37" s="4">
        <f>(VLOOKUP('21.04.01'!S37,'21.04.01'!$AO$4:$AR$55,4,FALSE))</f>
        <v>38</v>
      </c>
      <c r="L37" s="4">
        <f>(VLOOKUP('21.04.01'!T37,'21.04.01'!$AO$4:$AR$55,4,FALSE))</f>
        <v>38</v>
      </c>
      <c r="M37" s="4">
        <f>(VLOOKUP('21.04.01'!U37,'21.04.01'!$AO$4:$AR$55,4,FALSE))</f>
        <v>38</v>
      </c>
      <c r="N37" s="4">
        <f>(VLOOKUP('21.04.01'!V37,'21.04.01'!$AO$4:$AR$55,4,FALSE))</f>
        <v>38</v>
      </c>
      <c r="O37" s="4">
        <f>(VLOOKUP('21.04.01'!W37,'21.04.01'!$AO$4:$AR$55,4,FALSE))</f>
        <v>0</v>
      </c>
      <c r="P37" s="4">
        <f>(VLOOKUP('21.04.01'!X37,'21.04.01'!$AO$4:$AR$55,4,FALSE))</f>
        <v>0</v>
      </c>
      <c r="Q37" s="4">
        <f>(VLOOKUP('21.04.01'!Y37,'21.04.01'!$AO$4:$AR$55,4,FALSE))</f>
        <v>0</v>
      </c>
      <c r="R37" s="4">
        <f>(VLOOKUP('21.04.01'!Z37,'21.04.01'!$AO$4:$AR$55,4,FALSE))</f>
        <v>0</v>
      </c>
      <c r="S37" s="4">
        <f>(VLOOKUP('21.04.01'!AA37,'21.04.01'!$AO$4:$AR$55,4,FALSE))</f>
        <v>0</v>
      </c>
      <c r="T37" s="4">
        <f>(VLOOKUP('21.04.01'!AB37,'21.04.01'!$AO$4:$AR$55,4,FALSE))</f>
        <v>0</v>
      </c>
      <c r="U37" s="4">
        <f>(VLOOKUP('21.04.01'!AC37,'21.04.01'!$AO$4:$AR$55,4,FALSE))</f>
        <v>0</v>
      </c>
      <c r="V37" s="4">
        <f>(VLOOKUP('21.04.01'!AD37,'21.04.01'!$AO$4:$AR$55,4,FALSE))</f>
        <v>0</v>
      </c>
      <c r="W37" s="4">
        <f>(VLOOKUP('21.04.01'!AE37,'21.04.01'!$AO$4:$AR$55,4,FALSE))</f>
        <v>0</v>
      </c>
      <c r="X37" s="4">
        <f>(VLOOKUP('21.04.01'!AF37,'21.04.01'!$AO$4:$AR$55,4,FALSE))</f>
        <v>0</v>
      </c>
    </row>
    <row r="38" spans="1:24">
      <c r="A38" s="4">
        <f>(VLOOKUP('21.04.01'!I38,'21.04.01'!$AO$4:$AR$55,4,FALSE))</f>
        <v>38</v>
      </c>
      <c r="B38" s="4">
        <f>(VLOOKUP('21.04.01'!J38,'21.04.01'!$AO$4:$AR$55,4,FALSE))</f>
        <v>10</v>
      </c>
      <c r="C38" s="4">
        <f>(VLOOKUP('21.04.01'!K38,'21.04.01'!$AO$4:$AR$55,4,FALSE))</f>
        <v>0</v>
      </c>
      <c r="D38" s="4">
        <f>(VLOOKUP('21.04.01'!L38,'21.04.01'!$AO$4:$AR$55,4,FALSE))</f>
        <v>0</v>
      </c>
      <c r="E38" s="4">
        <f>(VLOOKUP('21.04.01'!M38,'21.04.01'!$AO$4:$AR$55,4,FALSE))</f>
        <v>0</v>
      </c>
      <c r="F38" s="4">
        <f>(VLOOKUP('21.04.01'!N38,'21.04.01'!$AO$4:$AR$55,4,FALSE))</f>
        <v>0</v>
      </c>
      <c r="G38" s="4">
        <f>(VLOOKUP('21.04.01'!O38,'21.04.01'!$AO$4:$AR$55,4,FALSE))</f>
        <v>0</v>
      </c>
      <c r="H38" s="4">
        <f>(VLOOKUP('21.04.01'!P38,'21.04.01'!$AO$4:$AR$55,4,FALSE))</f>
        <v>0</v>
      </c>
      <c r="I38" s="4">
        <f>(VLOOKUP('21.04.01'!Q38,'21.04.01'!$AO$4:$AR$55,4,FALSE))</f>
        <v>38</v>
      </c>
      <c r="J38" s="4">
        <f>(VLOOKUP('21.04.01'!R38,'21.04.01'!$AO$4:$AR$55,4,FALSE))</f>
        <v>38</v>
      </c>
      <c r="K38" s="4">
        <f>(VLOOKUP('21.04.01'!S38,'21.04.01'!$AO$4:$AR$55,4,FALSE))</f>
        <v>0</v>
      </c>
      <c r="L38" s="4">
        <f>(VLOOKUP('21.04.01'!T38,'21.04.01'!$AO$4:$AR$55,4,FALSE))</f>
        <v>38</v>
      </c>
      <c r="M38" s="4">
        <f>(VLOOKUP('21.04.01'!U38,'21.04.01'!$AO$4:$AR$55,4,FALSE))</f>
        <v>38</v>
      </c>
      <c r="N38" s="4">
        <f>(VLOOKUP('21.04.01'!V38,'21.04.01'!$AO$4:$AR$55,4,FALSE))</f>
        <v>38</v>
      </c>
      <c r="O38" s="4">
        <f>(VLOOKUP('21.04.01'!W38,'21.04.01'!$AO$4:$AR$55,4,FALSE))</f>
        <v>10</v>
      </c>
      <c r="P38" s="4">
        <f>(VLOOKUP('21.04.01'!X38,'21.04.01'!$AO$4:$AR$55,4,FALSE))</f>
        <v>0</v>
      </c>
      <c r="Q38" s="4">
        <f>(VLOOKUP('21.04.01'!Y38,'21.04.01'!$AO$4:$AR$55,4,FALSE))</f>
        <v>0</v>
      </c>
      <c r="R38" s="4">
        <f>(VLOOKUP('21.04.01'!Z38,'21.04.01'!$AO$4:$AR$55,4,FALSE))</f>
        <v>0</v>
      </c>
      <c r="S38" s="4">
        <f>(VLOOKUP('21.04.01'!AA38,'21.04.01'!$AO$4:$AR$55,4,FALSE))</f>
        <v>0</v>
      </c>
      <c r="T38" s="4">
        <f>(VLOOKUP('21.04.01'!AB38,'21.04.01'!$AO$4:$AR$55,4,FALSE))</f>
        <v>0</v>
      </c>
      <c r="U38" s="4">
        <f>(VLOOKUP('21.04.01'!AC38,'21.04.01'!$AO$4:$AR$55,4,FALSE))</f>
        <v>0</v>
      </c>
      <c r="V38" s="4">
        <f>(VLOOKUP('21.04.01'!AD38,'21.04.01'!$AO$4:$AR$55,4,FALSE))</f>
        <v>0</v>
      </c>
      <c r="W38" s="4">
        <f>(VLOOKUP('21.04.01'!AE38,'21.04.01'!$AO$4:$AR$55,4,FALSE))</f>
        <v>0</v>
      </c>
      <c r="X38" s="4">
        <f>(VLOOKUP('21.04.01'!AF38,'21.04.01'!$AO$4:$AR$55,4,FALSE))</f>
        <v>0</v>
      </c>
    </row>
    <row r="39" spans="1:24">
      <c r="A39" s="4">
        <f>(VLOOKUP('21.04.01'!I39,'21.04.01'!$AO$4:$AR$55,4,FALSE))</f>
        <v>38</v>
      </c>
      <c r="B39" s="4">
        <f>(VLOOKUP('21.04.01'!J39,'21.04.01'!$AO$4:$AR$55,4,FALSE))</f>
        <v>38</v>
      </c>
      <c r="C39" s="4">
        <f>(VLOOKUP('21.04.01'!K39,'21.04.01'!$AO$4:$AR$55,4,FALSE))</f>
        <v>38</v>
      </c>
      <c r="D39" s="4">
        <f>(VLOOKUP('21.04.01'!L39,'21.04.01'!$AO$4:$AR$55,4,FALSE))</f>
        <v>38</v>
      </c>
      <c r="E39" s="4">
        <f>(VLOOKUP('21.04.01'!M39,'21.04.01'!$AO$4:$AR$55,4,FALSE))</f>
        <v>38</v>
      </c>
      <c r="F39" s="4">
        <f>(VLOOKUP('21.04.01'!N39,'21.04.01'!$AO$4:$AR$55,4,FALSE))</f>
        <v>29.110982162825422</v>
      </c>
      <c r="G39" s="4">
        <f>(VLOOKUP('21.04.01'!O39,'21.04.01'!$AO$4:$AR$55,4,FALSE))</f>
        <v>0</v>
      </c>
      <c r="H39" s="4">
        <f>(VLOOKUP('21.04.01'!P39,'21.04.01'!$AO$4:$AR$55,4,FALSE))</f>
        <v>0</v>
      </c>
      <c r="I39" s="4">
        <f>(VLOOKUP('21.04.01'!Q39,'21.04.01'!$AO$4:$AR$55,4,FALSE))</f>
        <v>0</v>
      </c>
      <c r="J39" s="4">
        <f>(VLOOKUP('21.04.01'!R39,'21.04.01'!$AO$4:$AR$55,4,FALSE))</f>
        <v>0</v>
      </c>
      <c r="K39" s="4">
        <f>(VLOOKUP('21.04.01'!S39,'21.04.01'!$AO$4:$AR$55,4,FALSE))</f>
        <v>0</v>
      </c>
      <c r="L39" s="4">
        <f>(VLOOKUP('21.04.01'!T39,'21.04.01'!$AO$4:$AR$55,4,FALSE))</f>
        <v>0</v>
      </c>
      <c r="M39" s="4">
        <f>(VLOOKUP('21.04.01'!U39,'21.04.01'!$AO$4:$AR$55,4,FALSE))</f>
        <v>0</v>
      </c>
      <c r="N39" s="4">
        <f>(VLOOKUP('21.04.01'!V39,'21.04.01'!$AO$4:$AR$55,4,FALSE))</f>
        <v>0</v>
      </c>
      <c r="O39" s="4">
        <f>(VLOOKUP('21.04.01'!W39,'21.04.01'!$AO$4:$AR$55,4,FALSE))</f>
        <v>0</v>
      </c>
      <c r="P39" s="4">
        <f>(VLOOKUP('21.04.01'!X39,'21.04.01'!$AO$4:$AR$55,4,FALSE))</f>
        <v>0</v>
      </c>
      <c r="Q39" s="4">
        <f>(VLOOKUP('21.04.01'!Y39,'21.04.01'!$AO$4:$AR$55,4,FALSE))</f>
        <v>0</v>
      </c>
      <c r="R39" s="4">
        <f>(VLOOKUP('21.04.01'!Z39,'21.04.01'!$AO$4:$AR$55,4,FALSE))</f>
        <v>0</v>
      </c>
      <c r="S39" s="4">
        <f>(VLOOKUP('21.04.01'!AA39,'21.04.01'!$AO$4:$AR$55,4,FALSE))</f>
        <v>0</v>
      </c>
      <c r="T39" s="4">
        <f>(VLOOKUP('21.04.01'!AB39,'21.04.01'!$AO$4:$AR$55,4,FALSE))</f>
        <v>0</v>
      </c>
      <c r="U39" s="4">
        <f>(VLOOKUP('21.04.01'!AC39,'21.04.01'!$AO$4:$AR$55,4,FALSE))</f>
        <v>0</v>
      </c>
      <c r="V39" s="4">
        <f>(VLOOKUP('21.04.01'!AD39,'21.04.01'!$AO$4:$AR$55,4,FALSE))</f>
        <v>0</v>
      </c>
      <c r="W39" s="4">
        <f>(VLOOKUP('21.04.01'!AE39,'21.04.01'!$AO$4:$AR$55,4,FALSE))</f>
        <v>0</v>
      </c>
      <c r="X39" s="4">
        <f>(VLOOKUP('21.04.01'!AF39,'21.04.01'!$AO$4:$AR$55,4,FALSE))</f>
        <v>0</v>
      </c>
    </row>
    <row r="40" spans="1:24">
      <c r="A40" s="4">
        <f>(VLOOKUP('21.04.01'!I40,'21.04.01'!$AO$4:$AR$55,4,FALSE))</f>
        <v>38</v>
      </c>
      <c r="B40" s="4">
        <f>(VLOOKUP('21.04.01'!J40,'21.04.01'!$AO$4:$AR$55,4,FALSE))</f>
        <v>38</v>
      </c>
      <c r="C40" s="4">
        <f>(VLOOKUP('21.04.01'!K40,'21.04.01'!$AO$4:$AR$55,4,FALSE))</f>
        <v>38</v>
      </c>
      <c r="D40" s="4">
        <f>(VLOOKUP('21.04.01'!L40,'21.04.01'!$AO$4:$AR$55,4,FALSE))</f>
        <v>38</v>
      </c>
      <c r="E40" s="4">
        <f>(VLOOKUP('21.04.01'!M40,'21.04.01'!$AO$4:$AR$55,4,FALSE))</f>
        <v>40</v>
      </c>
      <c r="F40" s="4">
        <f>(VLOOKUP('21.04.01'!N40,'21.04.01'!$AO$4:$AR$55,4,FALSE))</f>
        <v>10</v>
      </c>
      <c r="G40" s="4">
        <f>(VLOOKUP('21.04.01'!O40,'21.04.01'!$AO$4:$AR$55,4,FALSE))</f>
        <v>0</v>
      </c>
      <c r="H40" s="4">
        <f>(VLOOKUP('21.04.01'!P40,'21.04.01'!$AO$4:$AR$55,4,FALSE))</f>
        <v>0</v>
      </c>
      <c r="I40" s="4">
        <f>(VLOOKUP('21.04.01'!Q40,'21.04.01'!$AO$4:$AR$55,4,FALSE))</f>
        <v>0</v>
      </c>
      <c r="J40" s="4">
        <f>(VLOOKUP('21.04.01'!R40,'21.04.01'!$AO$4:$AR$55,4,FALSE))</f>
        <v>0</v>
      </c>
      <c r="K40" s="4">
        <f>(VLOOKUP('21.04.01'!S40,'21.04.01'!$AO$4:$AR$55,4,FALSE))</f>
        <v>0</v>
      </c>
      <c r="L40" s="4">
        <f>(VLOOKUP('21.04.01'!T40,'21.04.01'!$AO$4:$AR$55,4,FALSE))</f>
        <v>0</v>
      </c>
      <c r="M40" s="4">
        <f>(VLOOKUP('21.04.01'!U40,'21.04.01'!$AO$4:$AR$55,4,FALSE))</f>
        <v>0</v>
      </c>
      <c r="N40" s="4">
        <f>(VLOOKUP('21.04.01'!V40,'21.04.01'!$AO$4:$AR$55,4,FALSE))</f>
        <v>0</v>
      </c>
      <c r="O40" s="4">
        <f>(VLOOKUP('21.04.01'!W40,'21.04.01'!$AO$4:$AR$55,4,FALSE))</f>
        <v>0</v>
      </c>
      <c r="P40" s="4">
        <f>(VLOOKUP('21.04.01'!X40,'21.04.01'!$AO$4:$AR$55,4,FALSE))</f>
        <v>0</v>
      </c>
      <c r="Q40" s="4">
        <f>(VLOOKUP('21.04.01'!Y40,'21.04.01'!$AO$4:$AR$55,4,FALSE))</f>
        <v>0</v>
      </c>
      <c r="R40" s="4">
        <f>(VLOOKUP('21.04.01'!Z40,'21.04.01'!$AO$4:$AR$55,4,FALSE))</f>
        <v>0</v>
      </c>
      <c r="S40" s="4">
        <f>(VLOOKUP('21.04.01'!AA40,'21.04.01'!$AO$4:$AR$55,4,FALSE))</f>
        <v>0</v>
      </c>
      <c r="T40" s="4">
        <f>(VLOOKUP('21.04.01'!AB40,'21.04.01'!$AO$4:$AR$55,4,FALSE))</f>
        <v>0</v>
      </c>
      <c r="U40" s="4">
        <f>(VLOOKUP('21.04.01'!AC40,'21.04.01'!$AO$4:$AR$55,4,FALSE))</f>
        <v>0</v>
      </c>
      <c r="V40" s="4">
        <f>(VLOOKUP('21.04.01'!AD40,'21.04.01'!$AO$4:$AR$55,4,FALSE))</f>
        <v>0</v>
      </c>
      <c r="W40" s="4">
        <f>(VLOOKUP('21.04.01'!AE40,'21.04.01'!$AO$4:$AR$55,4,FALSE))</f>
        <v>0</v>
      </c>
      <c r="X40" s="4">
        <f>(VLOOKUP('21.04.01'!AF40,'21.04.01'!$AO$4:$AR$55,4,FALSE))</f>
        <v>0</v>
      </c>
    </row>
    <row r="41" spans="1:24">
      <c r="A41" s="4">
        <f>(VLOOKUP('21.04.01'!I41,'21.04.01'!$AO$4:$AR$55,4,FALSE))</f>
        <v>38</v>
      </c>
      <c r="B41" s="4">
        <f>(VLOOKUP('21.04.01'!J41,'21.04.01'!$AO$4:$AR$55,4,FALSE))</f>
        <v>38</v>
      </c>
      <c r="C41" s="4">
        <f>(VLOOKUP('21.04.01'!K41,'21.04.01'!$AO$4:$AR$55,4,FALSE))</f>
        <v>40</v>
      </c>
      <c r="D41" s="4">
        <f>(VLOOKUP('21.04.01'!L41,'21.04.01'!$AO$4:$AR$55,4,FALSE))</f>
        <v>38</v>
      </c>
      <c r="E41" s="4">
        <f>(VLOOKUP('21.04.01'!M41,'21.04.01'!$AO$4:$AR$55,4,FALSE))</f>
        <v>38</v>
      </c>
      <c r="F41" s="4">
        <f>(VLOOKUP('21.04.01'!N41,'21.04.01'!$AO$4:$AR$55,4,FALSE))</f>
        <v>38</v>
      </c>
      <c r="G41" s="4">
        <f>(VLOOKUP('21.04.01'!O41,'21.04.01'!$AO$4:$AR$55,4,FALSE))</f>
        <v>0</v>
      </c>
      <c r="H41" s="4">
        <f>(VLOOKUP('21.04.01'!P41,'21.04.01'!$AO$4:$AR$55,4,FALSE))</f>
        <v>0</v>
      </c>
      <c r="I41" s="4">
        <f>(VLOOKUP('21.04.01'!Q41,'21.04.01'!$AO$4:$AR$55,4,FALSE))</f>
        <v>0</v>
      </c>
      <c r="J41" s="4">
        <f>(VLOOKUP('21.04.01'!R41,'21.04.01'!$AO$4:$AR$55,4,FALSE))</f>
        <v>0</v>
      </c>
      <c r="K41" s="4">
        <f>(VLOOKUP('21.04.01'!S41,'21.04.01'!$AO$4:$AR$55,4,FALSE))</f>
        <v>0</v>
      </c>
      <c r="L41" s="4">
        <f>(VLOOKUP('21.04.01'!T41,'21.04.01'!$AO$4:$AR$55,4,FALSE))</f>
        <v>0</v>
      </c>
      <c r="M41" s="4">
        <f>(VLOOKUP('21.04.01'!U41,'21.04.01'!$AO$4:$AR$55,4,FALSE))</f>
        <v>0</v>
      </c>
      <c r="N41" s="4">
        <f>(VLOOKUP('21.04.01'!V41,'21.04.01'!$AO$4:$AR$55,4,FALSE))</f>
        <v>0</v>
      </c>
      <c r="O41" s="4">
        <f>(VLOOKUP('21.04.01'!W41,'21.04.01'!$AO$4:$AR$55,4,FALSE))</f>
        <v>0</v>
      </c>
      <c r="P41" s="4">
        <f>(VLOOKUP('21.04.01'!X41,'21.04.01'!$AO$4:$AR$55,4,FALSE))</f>
        <v>0</v>
      </c>
      <c r="Q41" s="4">
        <f>(VLOOKUP('21.04.01'!Y41,'21.04.01'!$AO$4:$AR$55,4,FALSE))</f>
        <v>0</v>
      </c>
      <c r="R41" s="4">
        <f>(VLOOKUP('21.04.01'!Z41,'21.04.01'!$AO$4:$AR$55,4,FALSE))</f>
        <v>0</v>
      </c>
      <c r="S41" s="4">
        <f>(VLOOKUP('21.04.01'!AA41,'21.04.01'!$AO$4:$AR$55,4,FALSE))</f>
        <v>0</v>
      </c>
      <c r="T41" s="4">
        <f>(VLOOKUP('21.04.01'!AB41,'21.04.01'!$AO$4:$AR$55,4,FALSE))</f>
        <v>0</v>
      </c>
      <c r="U41" s="4">
        <f>(VLOOKUP('21.04.01'!AC41,'21.04.01'!$AO$4:$AR$55,4,FALSE))</f>
        <v>0</v>
      </c>
      <c r="V41" s="4">
        <f>(VLOOKUP('21.04.01'!AD41,'21.04.01'!$AO$4:$AR$55,4,FALSE))</f>
        <v>0</v>
      </c>
      <c r="W41" s="4">
        <f>(VLOOKUP('21.04.01'!AE41,'21.04.01'!$AO$4:$AR$55,4,FALSE))</f>
        <v>0</v>
      </c>
      <c r="X41" s="4">
        <f>(VLOOKUP('21.04.01'!AF41,'21.04.01'!$AO$4:$AR$55,4,FALSE))</f>
        <v>0</v>
      </c>
    </row>
    <row r="42" spans="1:24">
      <c r="A42" s="4">
        <f>(VLOOKUP('21.04.01'!I42,'21.04.01'!$AO$4:$AR$55,4,FALSE))</f>
        <v>38</v>
      </c>
      <c r="B42" s="4">
        <f>(VLOOKUP('21.04.01'!J42,'21.04.01'!$AO$4:$AR$55,4,FALSE))</f>
        <v>38</v>
      </c>
      <c r="C42" s="4">
        <f>(VLOOKUP('21.04.01'!K42,'21.04.01'!$AO$4:$AR$55,4,FALSE))</f>
        <v>38</v>
      </c>
      <c r="D42" s="4">
        <f>(VLOOKUP('21.04.01'!L42,'21.04.01'!$AO$4:$AR$55,4,FALSE))</f>
        <v>38</v>
      </c>
      <c r="E42" s="4">
        <f>(VLOOKUP('21.04.01'!M42,'21.04.01'!$AO$4:$AR$55,4,FALSE))</f>
        <v>38</v>
      </c>
      <c r="F42" s="4">
        <f>(VLOOKUP('21.04.01'!N42,'21.04.01'!$AO$4:$AR$55,4,FALSE))</f>
        <v>38</v>
      </c>
      <c r="G42" s="4">
        <f>(VLOOKUP('21.04.01'!O42,'21.04.01'!$AO$4:$AR$55,4,FALSE))</f>
        <v>0</v>
      </c>
      <c r="H42" s="4">
        <f>(VLOOKUP('21.04.01'!P42,'21.04.01'!$AO$4:$AR$55,4,FALSE))</f>
        <v>0</v>
      </c>
      <c r="I42" s="4">
        <f>(VLOOKUP('21.04.01'!Q42,'21.04.01'!$AO$4:$AR$55,4,FALSE))</f>
        <v>0</v>
      </c>
      <c r="J42" s="4">
        <f>(VLOOKUP('21.04.01'!R42,'21.04.01'!$AO$4:$AR$55,4,FALSE))</f>
        <v>0</v>
      </c>
      <c r="K42" s="4">
        <f>(VLOOKUP('21.04.01'!S42,'21.04.01'!$AO$4:$AR$55,4,FALSE))</f>
        <v>0</v>
      </c>
      <c r="L42" s="4">
        <f>(VLOOKUP('21.04.01'!T42,'21.04.01'!$AO$4:$AR$55,4,FALSE))</f>
        <v>0</v>
      </c>
      <c r="M42" s="4">
        <f>(VLOOKUP('21.04.01'!U42,'21.04.01'!$AO$4:$AR$55,4,FALSE))</f>
        <v>0</v>
      </c>
      <c r="N42" s="4">
        <f>(VLOOKUP('21.04.01'!V42,'21.04.01'!$AO$4:$AR$55,4,FALSE))</f>
        <v>0</v>
      </c>
      <c r="O42" s="4">
        <f>(VLOOKUP('21.04.01'!W42,'21.04.01'!$AO$4:$AR$55,4,FALSE))</f>
        <v>0</v>
      </c>
      <c r="P42" s="4">
        <f>(VLOOKUP('21.04.01'!X42,'21.04.01'!$AO$4:$AR$55,4,FALSE))</f>
        <v>0</v>
      </c>
      <c r="Q42" s="4">
        <f>(VLOOKUP('21.04.01'!Y42,'21.04.01'!$AO$4:$AR$55,4,FALSE))</f>
        <v>0</v>
      </c>
      <c r="R42" s="4">
        <f>(VLOOKUP('21.04.01'!Z42,'21.04.01'!$AO$4:$AR$55,4,FALSE))</f>
        <v>0</v>
      </c>
      <c r="S42" s="4">
        <f>(VLOOKUP('21.04.01'!AA42,'21.04.01'!$AO$4:$AR$55,4,FALSE))</f>
        <v>0</v>
      </c>
      <c r="T42" s="4">
        <f>(VLOOKUP('21.04.01'!AB42,'21.04.01'!$AO$4:$AR$55,4,FALSE))</f>
        <v>0</v>
      </c>
      <c r="U42" s="4">
        <f>(VLOOKUP('21.04.01'!AC42,'21.04.01'!$AO$4:$AR$55,4,FALSE))</f>
        <v>0</v>
      </c>
      <c r="V42" s="4">
        <f>(VLOOKUP('21.04.01'!AD42,'21.04.01'!$AO$4:$AR$55,4,FALSE))</f>
        <v>0</v>
      </c>
      <c r="W42" s="4">
        <f>(VLOOKUP('21.04.01'!AE42,'21.04.01'!$AO$4:$AR$55,4,FALSE))</f>
        <v>0</v>
      </c>
      <c r="X42" s="4">
        <f>(VLOOKUP('21.04.01'!AF42,'21.04.01'!$AO$4:$AR$55,4,FALSE))</f>
        <v>0</v>
      </c>
    </row>
    <row r="43" spans="1:24">
      <c r="A43" s="4">
        <f>(VLOOKUP('21.04.01'!I43,'21.04.01'!$AO$4:$AR$55,4,FALSE))</f>
        <v>38</v>
      </c>
      <c r="B43" s="4">
        <f>(VLOOKUP('21.04.01'!J43,'21.04.01'!$AO$4:$AR$55,4,FALSE))</f>
        <v>38</v>
      </c>
      <c r="C43" s="4">
        <f>(VLOOKUP('21.04.01'!K43,'21.04.01'!$AO$4:$AR$55,4,FALSE))</f>
        <v>38</v>
      </c>
      <c r="D43" s="4">
        <f>(VLOOKUP('21.04.01'!L43,'21.04.01'!$AO$4:$AR$55,4,FALSE))</f>
        <v>40</v>
      </c>
      <c r="E43" s="4">
        <f>(VLOOKUP('21.04.01'!M43,'21.04.01'!$AO$4:$AR$55,4,FALSE))</f>
        <v>38</v>
      </c>
      <c r="F43" s="4">
        <f>(VLOOKUP('21.04.01'!N43,'21.04.01'!$AO$4:$AR$55,4,FALSE))</f>
        <v>40</v>
      </c>
      <c r="G43" s="4">
        <f>(VLOOKUP('21.04.01'!O43,'21.04.01'!$AO$4:$AR$55,4,FALSE))</f>
        <v>0</v>
      </c>
      <c r="H43" s="4">
        <f>(VLOOKUP('21.04.01'!P43,'21.04.01'!$AO$4:$AR$55,4,FALSE))</f>
        <v>0</v>
      </c>
      <c r="I43" s="4">
        <f>(VLOOKUP('21.04.01'!Q43,'21.04.01'!$AO$4:$AR$55,4,FALSE))</f>
        <v>0</v>
      </c>
      <c r="J43" s="4">
        <f>(VLOOKUP('21.04.01'!R43,'21.04.01'!$AO$4:$AR$55,4,FALSE))</f>
        <v>0</v>
      </c>
      <c r="K43" s="4">
        <f>(VLOOKUP('21.04.01'!S43,'21.04.01'!$AO$4:$AR$55,4,FALSE))</f>
        <v>0</v>
      </c>
      <c r="L43" s="4">
        <f>(VLOOKUP('21.04.01'!T43,'21.04.01'!$AO$4:$AR$55,4,FALSE))</f>
        <v>0</v>
      </c>
      <c r="M43" s="4">
        <f>(VLOOKUP('21.04.01'!U43,'21.04.01'!$AO$4:$AR$55,4,FALSE))</f>
        <v>0</v>
      </c>
      <c r="N43" s="4">
        <f>(VLOOKUP('21.04.01'!V43,'21.04.01'!$AO$4:$AR$55,4,FALSE))</f>
        <v>0</v>
      </c>
      <c r="O43" s="4">
        <f>(VLOOKUP('21.04.01'!W43,'21.04.01'!$AO$4:$AR$55,4,FALSE))</f>
        <v>0</v>
      </c>
      <c r="P43" s="4">
        <f>(VLOOKUP('21.04.01'!X43,'21.04.01'!$AO$4:$AR$55,4,FALSE))</f>
        <v>0</v>
      </c>
      <c r="Q43" s="4">
        <f>(VLOOKUP('21.04.01'!Y43,'21.04.01'!$AO$4:$AR$55,4,FALSE))</f>
        <v>0</v>
      </c>
      <c r="R43" s="4">
        <f>(VLOOKUP('21.04.01'!Z43,'21.04.01'!$AO$4:$AR$55,4,FALSE))</f>
        <v>0</v>
      </c>
      <c r="S43" s="4">
        <f>(VLOOKUP('21.04.01'!AA43,'21.04.01'!$AO$4:$AR$55,4,FALSE))</f>
        <v>0</v>
      </c>
      <c r="T43" s="4">
        <f>(VLOOKUP('21.04.01'!AB43,'21.04.01'!$AO$4:$AR$55,4,FALSE))</f>
        <v>0</v>
      </c>
      <c r="U43" s="4">
        <f>(VLOOKUP('21.04.01'!AC43,'21.04.01'!$AO$4:$AR$55,4,FALSE))</f>
        <v>0</v>
      </c>
      <c r="V43" s="4">
        <f>(VLOOKUP('21.04.01'!AD43,'21.04.01'!$AO$4:$AR$55,4,FALSE))</f>
        <v>0</v>
      </c>
      <c r="W43" s="4">
        <f>(VLOOKUP('21.04.01'!AE43,'21.04.01'!$AO$4:$AR$55,4,FALSE))</f>
        <v>0</v>
      </c>
      <c r="X43" s="4">
        <f>(VLOOKUP('21.04.01'!AF43,'21.04.01'!$AO$4:$AR$55,4,FALSE))</f>
        <v>0</v>
      </c>
    </row>
    <row r="44" spans="1:24">
      <c r="A44" s="4">
        <f>(VLOOKUP('21.04.01'!I44,'21.04.01'!$AO$4:$AR$55,4,FALSE))</f>
        <v>0</v>
      </c>
      <c r="B44" s="4">
        <f>(VLOOKUP('21.04.01'!J44,'21.04.01'!$AO$4:$AR$55,4,FALSE))</f>
        <v>38</v>
      </c>
      <c r="C44" s="4">
        <f>(VLOOKUP('21.04.01'!K44,'21.04.01'!$AO$4:$AR$55,4,FALSE))</f>
        <v>38</v>
      </c>
      <c r="D44" s="4">
        <f>(VLOOKUP('21.04.01'!L44,'21.04.01'!$AO$4:$AR$55,4,FALSE))</f>
        <v>38</v>
      </c>
      <c r="E44" s="4">
        <f>(VLOOKUP('21.04.01'!M44,'21.04.01'!$AO$4:$AR$55,4,FALSE))</f>
        <v>38</v>
      </c>
      <c r="F44" s="4">
        <f>(VLOOKUP('21.04.01'!N44,'21.04.01'!$AO$4:$AR$55,4,FALSE))</f>
        <v>38</v>
      </c>
      <c r="G44" s="4">
        <f>(VLOOKUP('21.04.01'!O44,'21.04.01'!$AO$4:$AR$55,4,FALSE))</f>
        <v>0</v>
      </c>
      <c r="H44" s="4">
        <f>(VLOOKUP('21.04.01'!P44,'21.04.01'!$AO$4:$AR$55,4,FALSE))</f>
        <v>0</v>
      </c>
      <c r="I44" s="4">
        <f>(VLOOKUP('21.04.01'!Q44,'21.04.01'!$AO$4:$AR$55,4,FALSE))</f>
        <v>0</v>
      </c>
      <c r="J44" s="4">
        <f>(VLOOKUP('21.04.01'!R44,'21.04.01'!$AO$4:$AR$55,4,FALSE))</f>
        <v>0</v>
      </c>
      <c r="K44" s="4">
        <f>(VLOOKUP('21.04.01'!S44,'21.04.01'!$AO$4:$AR$55,4,FALSE))</f>
        <v>0</v>
      </c>
      <c r="L44" s="4">
        <f>(VLOOKUP('21.04.01'!T44,'21.04.01'!$AO$4:$AR$55,4,FALSE))</f>
        <v>0</v>
      </c>
      <c r="M44" s="4">
        <f>(VLOOKUP('21.04.01'!U44,'21.04.01'!$AO$4:$AR$55,4,FALSE))</f>
        <v>0</v>
      </c>
      <c r="N44" s="4">
        <f>(VLOOKUP('21.04.01'!V44,'21.04.01'!$AO$4:$AR$55,4,FALSE))</f>
        <v>0</v>
      </c>
      <c r="O44" s="4">
        <f>(VLOOKUP('21.04.01'!W44,'21.04.01'!$AO$4:$AR$55,4,FALSE))</f>
        <v>0</v>
      </c>
      <c r="P44" s="4">
        <f>(VLOOKUP('21.04.01'!X44,'21.04.01'!$AO$4:$AR$55,4,FALSE))</f>
        <v>0</v>
      </c>
      <c r="Q44" s="4">
        <f>(VLOOKUP('21.04.01'!Y44,'21.04.01'!$AO$4:$AR$55,4,FALSE))</f>
        <v>0</v>
      </c>
      <c r="R44" s="4">
        <f>(VLOOKUP('21.04.01'!Z44,'21.04.01'!$AO$4:$AR$55,4,FALSE))</f>
        <v>0</v>
      </c>
      <c r="S44" s="4">
        <f>(VLOOKUP('21.04.01'!AA44,'21.04.01'!$AO$4:$AR$55,4,FALSE))</f>
        <v>0</v>
      </c>
      <c r="T44" s="4">
        <f>(VLOOKUP('21.04.01'!AB44,'21.04.01'!$AO$4:$AR$55,4,FALSE))</f>
        <v>0</v>
      </c>
      <c r="U44" s="4">
        <f>(VLOOKUP('21.04.01'!AC44,'21.04.01'!$AO$4:$AR$55,4,FALSE))</f>
        <v>0</v>
      </c>
      <c r="V44" s="4">
        <f>(VLOOKUP('21.04.01'!AD44,'21.04.01'!$AO$4:$AR$55,4,FALSE))</f>
        <v>0</v>
      </c>
      <c r="W44" s="4">
        <f>(VLOOKUP('21.04.01'!AE44,'21.04.01'!$AO$4:$AR$55,4,FALSE))</f>
        <v>0</v>
      </c>
      <c r="X44" s="4">
        <f>(VLOOKUP('21.04.01'!AF44,'21.04.01'!$AO$4:$AR$55,4,FALSE))</f>
        <v>0</v>
      </c>
    </row>
    <row r="45" spans="1:24">
      <c r="A45" s="4">
        <f>(VLOOKUP('21.04.01'!I45,'21.04.01'!$AO$4:$AR$55,4,FALSE))</f>
        <v>38</v>
      </c>
      <c r="B45" s="4">
        <f>(VLOOKUP('21.04.01'!J45,'21.04.01'!$AO$4:$AR$55,4,FALSE))</f>
        <v>38</v>
      </c>
      <c r="C45" s="4">
        <f>(VLOOKUP('21.04.01'!K45,'21.04.01'!$AO$4:$AR$55,4,FALSE))</f>
        <v>38</v>
      </c>
      <c r="D45" s="4">
        <f>(VLOOKUP('21.04.01'!L45,'21.04.01'!$AO$4:$AR$55,4,FALSE))</f>
        <v>38</v>
      </c>
      <c r="E45" s="4">
        <f>(VLOOKUP('21.04.01'!M45,'21.04.01'!$AO$4:$AR$55,4,FALSE))</f>
        <v>38</v>
      </c>
      <c r="F45" s="4">
        <f>(VLOOKUP('21.04.01'!N45,'21.04.01'!$AO$4:$AR$55,4,FALSE))</f>
        <v>38</v>
      </c>
      <c r="G45" s="4">
        <f>(VLOOKUP('21.04.01'!O45,'21.04.01'!$AO$4:$AR$55,4,FALSE))</f>
        <v>0</v>
      </c>
      <c r="H45" s="4">
        <f>(VLOOKUP('21.04.01'!P45,'21.04.01'!$AO$4:$AR$55,4,FALSE))</f>
        <v>0</v>
      </c>
      <c r="I45" s="4">
        <f>(VLOOKUP('21.04.01'!Q45,'21.04.01'!$AO$4:$AR$55,4,FALSE))</f>
        <v>0</v>
      </c>
      <c r="J45" s="4">
        <f>(VLOOKUP('21.04.01'!R45,'21.04.01'!$AO$4:$AR$55,4,FALSE))</f>
        <v>0</v>
      </c>
      <c r="K45" s="4">
        <f>(VLOOKUP('21.04.01'!S45,'21.04.01'!$AO$4:$AR$55,4,FALSE))</f>
        <v>0</v>
      </c>
      <c r="L45" s="4">
        <f>(VLOOKUP('21.04.01'!T45,'21.04.01'!$AO$4:$AR$55,4,FALSE))</f>
        <v>0</v>
      </c>
      <c r="M45" s="4">
        <f>(VLOOKUP('21.04.01'!U45,'21.04.01'!$AO$4:$AR$55,4,FALSE))</f>
        <v>0</v>
      </c>
      <c r="N45" s="4">
        <f>(VLOOKUP('21.04.01'!V45,'21.04.01'!$AO$4:$AR$55,4,FALSE))</f>
        <v>0</v>
      </c>
      <c r="O45" s="4">
        <f>(VLOOKUP('21.04.01'!W45,'21.04.01'!$AO$4:$AR$55,4,FALSE))</f>
        <v>0</v>
      </c>
      <c r="P45" s="4">
        <f>(VLOOKUP('21.04.01'!X45,'21.04.01'!$AO$4:$AR$55,4,FALSE))</f>
        <v>0</v>
      </c>
      <c r="Q45" s="4">
        <f>(VLOOKUP('21.04.01'!Y45,'21.04.01'!$AO$4:$AR$55,4,FALSE))</f>
        <v>0</v>
      </c>
      <c r="R45" s="4">
        <f>(VLOOKUP('21.04.01'!Z45,'21.04.01'!$AO$4:$AR$55,4,FALSE))</f>
        <v>0</v>
      </c>
      <c r="S45" s="4">
        <f>(VLOOKUP('21.04.01'!AA45,'21.04.01'!$AO$4:$AR$55,4,FALSE))</f>
        <v>0</v>
      </c>
      <c r="T45" s="4">
        <f>(VLOOKUP('21.04.01'!AB45,'21.04.01'!$AO$4:$AR$55,4,FALSE))</f>
        <v>0</v>
      </c>
      <c r="U45" s="4">
        <f>(VLOOKUP('21.04.01'!AC45,'21.04.01'!$AO$4:$AR$55,4,FALSE))</f>
        <v>0</v>
      </c>
      <c r="V45" s="4">
        <f>(VLOOKUP('21.04.01'!AD45,'21.04.01'!$AO$4:$AR$55,4,FALSE))</f>
        <v>0</v>
      </c>
      <c r="W45" s="4">
        <f>(VLOOKUP('21.04.01'!AE45,'21.04.01'!$AO$4:$AR$55,4,FALSE))</f>
        <v>0</v>
      </c>
      <c r="X45" s="4">
        <f>(VLOOKUP('21.04.01'!AF45,'21.04.01'!$AO$4:$AR$55,4,FALSE))</f>
        <v>0</v>
      </c>
    </row>
    <row r="46" spans="1:24">
      <c r="A46" s="4">
        <f>(VLOOKUP('21.04.01'!I46,'21.04.01'!$AO$4:$AR$55,4,FALSE))</f>
        <v>38</v>
      </c>
      <c r="B46" s="4">
        <f>(VLOOKUP('21.04.01'!J46,'21.04.01'!$AO$4:$AR$55,4,FALSE))</f>
        <v>38</v>
      </c>
      <c r="C46" s="4">
        <f>(VLOOKUP('21.04.01'!K46,'21.04.01'!$AO$4:$AR$55,4,FALSE))</f>
        <v>38</v>
      </c>
      <c r="D46" s="4">
        <f>(VLOOKUP('21.04.01'!L46,'21.04.01'!$AO$4:$AR$55,4,FALSE))</f>
        <v>38</v>
      </c>
      <c r="E46" s="4">
        <f>(VLOOKUP('21.04.01'!M46,'21.04.01'!$AO$4:$AR$55,4,FALSE))</f>
        <v>29.110982162825422</v>
      </c>
      <c r="F46" s="4">
        <f>(VLOOKUP('21.04.01'!N46,'21.04.01'!$AO$4:$AR$55,4,FALSE))</f>
        <v>38</v>
      </c>
      <c r="G46" s="4">
        <f>(VLOOKUP('21.04.01'!O46,'21.04.01'!$AO$4:$AR$55,4,FALSE))</f>
        <v>0</v>
      </c>
      <c r="H46" s="4">
        <f>(VLOOKUP('21.04.01'!P46,'21.04.01'!$AO$4:$AR$55,4,FALSE))</f>
        <v>0</v>
      </c>
      <c r="I46" s="4">
        <f>(VLOOKUP('21.04.01'!Q46,'21.04.01'!$AO$4:$AR$55,4,FALSE))</f>
        <v>0</v>
      </c>
      <c r="J46" s="4">
        <f>(VLOOKUP('21.04.01'!R46,'21.04.01'!$AO$4:$AR$55,4,FALSE))</f>
        <v>0</v>
      </c>
      <c r="K46" s="4">
        <f>(VLOOKUP('21.04.01'!S46,'21.04.01'!$AO$4:$AR$55,4,FALSE))</f>
        <v>0</v>
      </c>
      <c r="L46" s="4">
        <f>(VLOOKUP('21.04.01'!T46,'21.04.01'!$AO$4:$AR$55,4,FALSE))</f>
        <v>0</v>
      </c>
      <c r="M46" s="4">
        <f>(VLOOKUP('21.04.01'!U46,'21.04.01'!$AO$4:$AR$55,4,FALSE))</f>
        <v>0</v>
      </c>
      <c r="N46" s="4">
        <f>(VLOOKUP('21.04.01'!V46,'21.04.01'!$AO$4:$AR$55,4,FALSE))</f>
        <v>0</v>
      </c>
      <c r="O46" s="4">
        <f>(VLOOKUP('21.04.01'!W46,'21.04.01'!$AO$4:$AR$55,4,FALSE))</f>
        <v>0</v>
      </c>
      <c r="P46" s="4">
        <f>(VLOOKUP('21.04.01'!X46,'21.04.01'!$AO$4:$AR$55,4,FALSE))</f>
        <v>0</v>
      </c>
      <c r="Q46" s="4">
        <f>(VLOOKUP('21.04.01'!Y46,'21.04.01'!$AO$4:$AR$55,4,FALSE))</f>
        <v>0</v>
      </c>
      <c r="R46" s="4">
        <f>(VLOOKUP('21.04.01'!Z46,'21.04.01'!$AO$4:$AR$55,4,FALSE))</f>
        <v>0</v>
      </c>
      <c r="S46" s="4">
        <f>(VLOOKUP('21.04.01'!AA46,'21.04.01'!$AO$4:$AR$55,4,FALSE))</f>
        <v>0</v>
      </c>
      <c r="T46" s="4">
        <f>(VLOOKUP('21.04.01'!AB46,'21.04.01'!$AO$4:$AR$55,4,FALSE))</f>
        <v>0</v>
      </c>
      <c r="U46" s="4">
        <f>(VLOOKUP('21.04.01'!AC46,'21.04.01'!$AO$4:$AR$55,4,FALSE))</f>
        <v>0</v>
      </c>
      <c r="V46" s="4">
        <f>(VLOOKUP('21.04.01'!AD46,'21.04.01'!$AO$4:$AR$55,4,FALSE))</f>
        <v>0</v>
      </c>
      <c r="W46" s="4">
        <f>(VLOOKUP('21.04.01'!AE46,'21.04.01'!$AO$4:$AR$55,4,FALSE))</f>
        <v>0</v>
      </c>
      <c r="X46" s="4">
        <f>(VLOOKUP('21.04.01'!AF46,'21.04.01'!$AO$4:$AR$55,4,FALSE))</f>
        <v>0</v>
      </c>
    </row>
    <row r="47" spans="1:24">
      <c r="A47" s="4">
        <f>(VLOOKUP('21.04.01'!I47,'21.04.01'!$AO$4:$AR$55,4,FALSE))</f>
        <v>38</v>
      </c>
      <c r="B47" s="4">
        <f>(VLOOKUP('21.04.01'!J47,'21.04.01'!$AO$4:$AR$55,4,FALSE))</f>
        <v>0</v>
      </c>
      <c r="C47" s="4">
        <f>(VLOOKUP('21.04.01'!K47,'21.04.01'!$AO$4:$AR$55,4,FALSE))</f>
        <v>38</v>
      </c>
      <c r="D47" s="4">
        <f>(VLOOKUP('21.04.01'!L47,'21.04.01'!$AO$4:$AR$55,4,FALSE))</f>
        <v>38</v>
      </c>
      <c r="E47" s="4">
        <f>(VLOOKUP('21.04.01'!M47,'21.04.01'!$AO$4:$AR$55,4,FALSE))</f>
        <v>38</v>
      </c>
      <c r="F47" s="4">
        <f>(VLOOKUP('21.04.01'!N47,'21.04.01'!$AO$4:$AR$55,4,FALSE))</f>
        <v>40</v>
      </c>
      <c r="G47" s="4">
        <f>(VLOOKUP('21.04.01'!O47,'21.04.01'!$AO$4:$AR$55,4,FALSE))</f>
        <v>0</v>
      </c>
      <c r="H47" s="4">
        <f>(VLOOKUP('21.04.01'!P47,'21.04.01'!$AO$4:$AR$55,4,FALSE))</f>
        <v>0</v>
      </c>
      <c r="I47" s="4">
        <f>(VLOOKUP('21.04.01'!Q47,'21.04.01'!$AO$4:$AR$55,4,FALSE))</f>
        <v>0</v>
      </c>
      <c r="J47" s="4">
        <f>(VLOOKUP('21.04.01'!R47,'21.04.01'!$AO$4:$AR$55,4,FALSE))</f>
        <v>0</v>
      </c>
      <c r="K47" s="4">
        <f>(VLOOKUP('21.04.01'!S47,'21.04.01'!$AO$4:$AR$55,4,FALSE))</f>
        <v>0</v>
      </c>
      <c r="L47" s="4">
        <f>(VLOOKUP('21.04.01'!T47,'21.04.01'!$AO$4:$AR$55,4,FALSE))</f>
        <v>0</v>
      </c>
      <c r="M47" s="4">
        <f>(VLOOKUP('21.04.01'!U47,'21.04.01'!$AO$4:$AR$55,4,FALSE))</f>
        <v>0</v>
      </c>
      <c r="N47" s="4">
        <f>(VLOOKUP('21.04.01'!V47,'21.04.01'!$AO$4:$AR$55,4,FALSE))</f>
        <v>0</v>
      </c>
      <c r="O47" s="4">
        <f>(VLOOKUP('21.04.01'!W47,'21.04.01'!$AO$4:$AR$55,4,FALSE))</f>
        <v>0</v>
      </c>
      <c r="P47" s="4">
        <f>(VLOOKUP('21.04.01'!X47,'21.04.01'!$AO$4:$AR$55,4,FALSE))</f>
        <v>0</v>
      </c>
      <c r="Q47" s="4">
        <f>(VLOOKUP('21.04.01'!Y47,'21.04.01'!$AO$4:$AR$55,4,FALSE))</f>
        <v>0</v>
      </c>
      <c r="R47" s="4">
        <f>(VLOOKUP('21.04.01'!Z47,'21.04.01'!$AO$4:$AR$55,4,FALSE))</f>
        <v>0</v>
      </c>
      <c r="S47" s="4">
        <f>(VLOOKUP('21.04.01'!AA47,'21.04.01'!$AO$4:$AR$55,4,FALSE))</f>
        <v>0</v>
      </c>
      <c r="T47" s="4">
        <f>(VLOOKUP('21.04.01'!AB47,'21.04.01'!$AO$4:$AR$55,4,FALSE))</f>
        <v>0</v>
      </c>
      <c r="U47" s="4">
        <f>(VLOOKUP('21.04.01'!AC47,'21.04.01'!$AO$4:$AR$55,4,FALSE))</f>
        <v>0</v>
      </c>
      <c r="V47" s="4">
        <f>(VLOOKUP('21.04.01'!AD47,'21.04.01'!$AO$4:$AR$55,4,FALSE))</f>
        <v>0</v>
      </c>
      <c r="W47" s="4">
        <f>(VLOOKUP('21.04.01'!AE47,'21.04.01'!$AO$4:$AR$55,4,FALSE))</f>
        <v>0</v>
      </c>
      <c r="X47" s="4">
        <f>(VLOOKUP('21.04.01'!AF47,'21.04.01'!$AO$4:$AR$55,4,FALSE))</f>
        <v>0</v>
      </c>
    </row>
    <row r="48" spans="1:24">
      <c r="A48" s="4">
        <f>(VLOOKUP('21.04.01'!I48,'21.04.01'!$AO$4:$AR$55,4,FALSE))</f>
        <v>38</v>
      </c>
      <c r="B48" s="4">
        <f>(VLOOKUP('21.04.01'!J48,'21.04.01'!$AO$4:$AR$55,4,FALSE))</f>
        <v>38</v>
      </c>
      <c r="C48" s="4">
        <f>(VLOOKUP('21.04.01'!K48,'21.04.01'!$AO$4:$AR$55,4,FALSE))</f>
        <v>38</v>
      </c>
      <c r="D48" s="4">
        <f>(VLOOKUP('21.04.01'!L48,'21.04.01'!$AO$4:$AR$55,4,FALSE))</f>
        <v>38</v>
      </c>
      <c r="E48" s="4">
        <f>(VLOOKUP('21.04.01'!M48,'21.04.01'!$AO$4:$AR$55,4,FALSE))</f>
        <v>38</v>
      </c>
      <c r="F48" s="4">
        <f>(VLOOKUP('21.04.01'!N48,'21.04.01'!$AO$4:$AR$55,4,FALSE))</f>
        <v>38</v>
      </c>
      <c r="G48" s="4">
        <f>(VLOOKUP('21.04.01'!O48,'21.04.01'!$AO$4:$AR$55,4,FALSE))</f>
        <v>0</v>
      </c>
      <c r="H48" s="4">
        <f>(VLOOKUP('21.04.01'!P48,'21.04.01'!$AO$4:$AR$55,4,FALSE))</f>
        <v>0</v>
      </c>
      <c r="I48" s="4">
        <f>(VLOOKUP('21.04.01'!Q48,'21.04.01'!$AO$4:$AR$55,4,FALSE))</f>
        <v>0</v>
      </c>
      <c r="J48" s="4">
        <f>(VLOOKUP('21.04.01'!R48,'21.04.01'!$AO$4:$AR$55,4,FALSE))</f>
        <v>0</v>
      </c>
      <c r="K48" s="4">
        <f>(VLOOKUP('21.04.01'!S48,'21.04.01'!$AO$4:$AR$55,4,FALSE))</f>
        <v>0</v>
      </c>
      <c r="L48" s="4">
        <f>(VLOOKUP('21.04.01'!T48,'21.04.01'!$AO$4:$AR$55,4,FALSE))</f>
        <v>0</v>
      </c>
      <c r="M48" s="4">
        <f>(VLOOKUP('21.04.01'!U48,'21.04.01'!$AO$4:$AR$55,4,FALSE))</f>
        <v>0</v>
      </c>
      <c r="N48" s="4">
        <f>(VLOOKUP('21.04.01'!V48,'21.04.01'!$AO$4:$AR$55,4,FALSE))</f>
        <v>0</v>
      </c>
      <c r="O48" s="4">
        <f>(VLOOKUP('21.04.01'!W48,'21.04.01'!$AO$4:$AR$55,4,FALSE))</f>
        <v>0</v>
      </c>
      <c r="P48" s="4">
        <f>(VLOOKUP('21.04.01'!X48,'21.04.01'!$AO$4:$AR$55,4,FALSE))</f>
        <v>0</v>
      </c>
      <c r="Q48" s="4">
        <f>(VLOOKUP('21.04.01'!Y48,'21.04.01'!$AO$4:$AR$55,4,FALSE))</f>
        <v>0</v>
      </c>
      <c r="R48" s="4">
        <f>(VLOOKUP('21.04.01'!Z48,'21.04.01'!$AO$4:$AR$55,4,FALSE))</f>
        <v>0</v>
      </c>
      <c r="S48" s="4">
        <f>(VLOOKUP('21.04.01'!AA48,'21.04.01'!$AO$4:$AR$55,4,FALSE))</f>
        <v>0</v>
      </c>
      <c r="T48" s="4">
        <f>(VLOOKUP('21.04.01'!AB48,'21.04.01'!$AO$4:$AR$55,4,FALSE))</f>
        <v>0</v>
      </c>
      <c r="U48" s="4">
        <f>(VLOOKUP('21.04.01'!AC48,'21.04.01'!$AO$4:$AR$55,4,FALSE))</f>
        <v>0</v>
      </c>
      <c r="V48" s="4">
        <f>(VLOOKUP('21.04.01'!AD48,'21.04.01'!$AO$4:$AR$55,4,FALSE))</f>
        <v>0</v>
      </c>
      <c r="W48" s="4">
        <f>(VLOOKUP('21.04.01'!AE48,'21.04.01'!$AO$4:$AR$55,4,FALSE))</f>
        <v>0</v>
      </c>
      <c r="X48" s="4">
        <f>(VLOOKUP('21.04.01'!AF48,'21.04.01'!$AO$4:$AR$55,4,FALSE))</f>
        <v>0</v>
      </c>
    </row>
    <row r="49" spans="1:24">
      <c r="A49" s="4">
        <f>(VLOOKUP('21.04.01'!I49,'21.04.01'!$AO$4:$AR$55,4,FALSE))</f>
        <v>38</v>
      </c>
      <c r="B49" s="4">
        <f>(VLOOKUP('21.04.01'!J49,'21.04.01'!$AO$4:$AR$55,4,FALSE))</f>
        <v>38</v>
      </c>
      <c r="C49" s="4">
        <f>(VLOOKUP('21.04.01'!K49,'21.04.01'!$AO$4:$AR$55,4,FALSE))</f>
        <v>10</v>
      </c>
      <c r="D49" s="4">
        <f>(VLOOKUP('21.04.01'!L49,'21.04.01'!$AO$4:$AR$55,4,FALSE))</f>
        <v>38</v>
      </c>
      <c r="E49" s="4">
        <f>(VLOOKUP('21.04.01'!M49,'21.04.01'!$AO$4:$AR$55,4,FALSE))</f>
        <v>38</v>
      </c>
      <c r="F49" s="4">
        <f>(VLOOKUP('21.04.01'!N49,'21.04.01'!$AO$4:$AR$55,4,FALSE))</f>
        <v>38</v>
      </c>
      <c r="G49" s="4">
        <f>(VLOOKUP('21.04.01'!O49,'21.04.01'!$AO$4:$AR$55,4,FALSE))</f>
        <v>40</v>
      </c>
      <c r="H49" s="4">
        <f>(VLOOKUP('21.04.01'!P49,'21.04.01'!$AO$4:$AR$55,4,FALSE))</f>
        <v>0</v>
      </c>
      <c r="I49" s="4">
        <f>(VLOOKUP('21.04.01'!Q49,'21.04.01'!$AO$4:$AR$55,4,FALSE))</f>
        <v>0</v>
      </c>
      <c r="J49" s="4">
        <f>(VLOOKUP('21.04.01'!R49,'21.04.01'!$AO$4:$AR$55,4,FALSE))</f>
        <v>0</v>
      </c>
      <c r="K49" s="4">
        <f>(VLOOKUP('21.04.01'!S49,'21.04.01'!$AO$4:$AR$55,4,FALSE))</f>
        <v>0</v>
      </c>
      <c r="L49" s="4">
        <f>(VLOOKUP('21.04.01'!T49,'21.04.01'!$AO$4:$AR$55,4,FALSE))</f>
        <v>0</v>
      </c>
      <c r="M49" s="4">
        <f>(VLOOKUP('21.04.01'!U49,'21.04.01'!$AO$4:$AR$55,4,FALSE))</f>
        <v>0</v>
      </c>
      <c r="N49" s="4">
        <f>(VLOOKUP('21.04.01'!V49,'21.04.01'!$AO$4:$AR$55,4,FALSE))</f>
        <v>0</v>
      </c>
      <c r="O49" s="4">
        <f>(VLOOKUP('21.04.01'!W49,'21.04.01'!$AO$4:$AR$55,4,FALSE))</f>
        <v>0</v>
      </c>
      <c r="P49" s="4">
        <f>(VLOOKUP('21.04.01'!X49,'21.04.01'!$AO$4:$AR$55,4,FALSE))</f>
        <v>0</v>
      </c>
      <c r="Q49" s="4">
        <f>(VLOOKUP('21.04.01'!Y49,'21.04.01'!$AO$4:$AR$55,4,FALSE))</f>
        <v>0</v>
      </c>
      <c r="R49" s="4">
        <f>(VLOOKUP('21.04.01'!Z49,'21.04.01'!$AO$4:$AR$55,4,FALSE))</f>
        <v>0</v>
      </c>
      <c r="S49" s="4">
        <f>(VLOOKUP('21.04.01'!AA49,'21.04.01'!$AO$4:$AR$55,4,FALSE))</f>
        <v>0</v>
      </c>
      <c r="T49" s="4">
        <f>(VLOOKUP('21.04.01'!AB49,'21.04.01'!$AO$4:$AR$55,4,FALSE))</f>
        <v>0</v>
      </c>
      <c r="U49" s="4">
        <f>(VLOOKUP('21.04.01'!AC49,'21.04.01'!$AO$4:$AR$55,4,FALSE))</f>
        <v>0</v>
      </c>
      <c r="V49" s="4">
        <f>(VLOOKUP('21.04.01'!AD49,'21.04.01'!$AO$4:$AR$55,4,FALSE))</f>
        <v>0</v>
      </c>
      <c r="W49" s="4">
        <f>(VLOOKUP('21.04.01'!AE49,'21.04.01'!$AO$4:$AR$55,4,FALSE))</f>
        <v>0</v>
      </c>
      <c r="X49" s="4">
        <f>(VLOOKUP('21.04.01'!AF49,'21.04.01'!$AO$4:$AR$55,4,FALSE))</f>
        <v>0</v>
      </c>
    </row>
    <row r="50" spans="1:24">
      <c r="A50" s="4">
        <f>(VLOOKUP('21.04.01'!I50,'21.04.01'!$AO$4:$AR$55,4,FALSE))</f>
        <v>0</v>
      </c>
      <c r="B50" s="4">
        <f>(VLOOKUP('21.04.01'!J50,'21.04.01'!$AO$4:$AR$55,4,FALSE))</f>
        <v>0</v>
      </c>
      <c r="C50" s="4">
        <f>(VLOOKUP('21.04.01'!K50,'21.04.01'!$AO$4:$AR$55,4,FALSE))</f>
        <v>0</v>
      </c>
      <c r="D50" s="4">
        <f>(VLOOKUP('21.04.01'!L50,'21.04.01'!$AO$4:$AR$55,4,FALSE))</f>
        <v>0</v>
      </c>
      <c r="E50" s="4">
        <f>(VLOOKUP('21.04.01'!M50,'21.04.01'!$AO$4:$AR$55,4,FALSE))</f>
        <v>0</v>
      </c>
      <c r="F50" s="4">
        <f>(VLOOKUP('21.04.01'!N50,'21.04.01'!$AO$4:$AR$55,4,FALSE))</f>
        <v>0</v>
      </c>
      <c r="G50" s="4">
        <f>(VLOOKUP('21.04.01'!O50,'21.04.01'!$AO$4:$AR$55,4,FALSE))</f>
        <v>0</v>
      </c>
      <c r="H50" s="4">
        <f>(VLOOKUP('21.04.01'!P50,'21.04.01'!$AO$4:$AR$55,4,FALSE))</f>
        <v>0</v>
      </c>
      <c r="I50" s="4">
        <f>(VLOOKUP('21.04.01'!Q50,'21.04.01'!$AO$4:$AR$55,4,FALSE))</f>
        <v>0</v>
      </c>
      <c r="J50" s="4">
        <f>(VLOOKUP('21.04.01'!R50,'21.04.01'!$AO$4:$AR$55,4,FALSE))</f>
        <v>0</v>
      </c>
      <c r="K50" s="4">
        <f>(VLOOKUP('21.04.01'!S50,'21.04.01'!$AO$4:$AR$55,4,FALSE))</f>
        <v>0</v>
      </c>
      <c r="L50" s="4">
        <f>(VLOOKUP('21.04.01'!T50,'21.04.01'!$AO$4:$AR$55,4,FALSE))</f>
        <v>0</v>
      </c>
      <c r="M50" s="4">
        <f>(VLOOKUP('21.04.01'!U50,'21.04.01'!$AO$4:$AR$55,4,FALSE))</f>
        <v>0</v>
      </c>
      <c r="N50" s="4">
        <f>(VLOOKUP('21.04.01'!V50,'21.04.01'!$AO$4:$AR$55,4,FALSE))</f>
        <v>0</v>
      </c>
      <c r="O50" s="4">
        <f>(VLOOKUP('21.04.01'!W50,'21.04.01'!$AO$4:$AR$55,4,FALSE))</f>
        <v>0</v>
      </c>
      <c r="P50" s="4">
        <f>(VLOOKUP('21.04.01'!X50,'21.04.01'!$AO$4:$AR$55,4,FALSE))</f>
        <v>0</v>
      </c>
      <c r="Q50" s="4">
        <f>(VLOOKUP('21.04.01'!Y50,'21.04.01'!$AO$4:$AR$55,4,FALSE))</f>
        <v>0</v>
      </c>
      <c r="R50" s="4">
        <f>(VLOOKUP('21.04.01'!Z50,'21.04.01'!$AO$4:$AR$55,4,FALSE))</f>
        <v>0</v>
      </c>
      <c r="S50" s="4">
        <f>(VLOOKUP('21.04.01'!AA50,'21.04.01'!$AO$4:$AR$55,4,FALSE))</f>
        <v>0</v>
      </c>
      <c r="T50" s="4">
        <f>(VLOOKUP('21.04.01'!AB50,'21.04.01'!$AO$4:$AR$55,4,FALSE))</f>
        <v>0</v>
      </c>
      <c r="U50" s="4">
        <f>(VLOOKUP('21.04.01'!AC50,'21.04.01'!$AO$4:$AR$55,4,FALSE))</f>
        <v>0</v>
      </c>
      <c r="V50" s="4">
        <f>(VLOOKUP('21.04.01'!AD50,'21.04.01'!$AO$4:$AR$55,4,FALSE))</f>
        <v>0</v>
      </c>
      <c r="W50" s="4">
        <f>(VLOOKUP('21.04.01'!AE50,'21.04.01'!$AO$4:$AR$55,4,FALSE))</f>
        <v>0</v>
      </c>
      <c r="X50" s="4">
        <f>(VLOOKUP('21.04.01'!AF50,'21.04.01'!$AO$4:$AR$55,4,FALSE))</f>
        <v>0</v>
      </c>
    </row>
    <row r="51" spans="1:24">
      <c r="A51" s="4">
        <f>(VLOOKUP('21.04.01'!I51,'21.04.01'!$AO$4:$AR$55,4,FALSE))</f>
        <v>0</v>
      </c>
      <c r="B51" s="4">
        <f>(VLOOKUP('21.04.01'!J51,'21.04.01'!$AO$4:$AR$55,4,FALSE))</f>
        <v>0</v>
      </c>
      <c r="C51" s="4">
        <f>(VLOOKUP('21.04.01'!K51,'21.04.01'!$AO$4:$AR$55,4,FALSE))</f>
        <v>0</v>
      </c>
      <c r="D51" s="4">
        <f>(VLOOKUP('21.04.01'!L51,'21.04.01'!$AO$4:$AR$55,4,FALSE))</f>
        <v>0</v>
      </c>
      <c r="E51" s="4">
        <f>(VLOOKUP('21.04.01'!M51,'21.04.01'!$AO$4:$AR$55,4,FALSE))</f>
        <v>0</v>
      </c>
      <c r="F51" s="4">
        <f>(VLOOKUP('21.04.01'!N51,'21.04.01'!$AO$4:$AR$55,4,FALSE))</f>
        <v>0</v>
      </c>
      <c r="G51" s="4">
        <f>(VLOOKUP('21.04.01'!O51,'21.04.01'!$AO$4:$AR$55,4,FALSE))</f>
        <v>0</v>
      </c>
      <c r="H51" s="4">
        <f>(VLOOKUP('21.04.01'!P51,'21.04.01'!$AO$4:$AR$55,4,FALSE))</f>
        <v>0</v>
      </c>
      <c r="I51" s="4">
        <f>(VLOOKUP('21.04.01'!Q51,'21.04.01'!$AO$4:$AR$55,4,FALSE))</f>
        <v>0</v>
      </c>
      <c r="J51" s="4">
        <f>(VLOOKUP('21.04.01'!R51,'21.04.01'!$AO$4:$AR$55,4,FALSE))</f>
        <v>0</v>
      </c>
      <c r="K51" s="4">
        <f>(VLOOKUP('21.04.01'!S51,'21.04.01'!$AO$4:$AR$55,4,FALSE))</f>
        <v>0</v>
      </c>
      <c r="L51" s="4">
        <f>(VLOOKUP('21.04.01'!T51,'21.04.01'!$AO$4:$AR$55,4,FALSE))</f>
        <v>0</v>
      </c>
      <c r="M51" s="4">
        <f>(VLOOKUP('21.04.01'!U51,'21.04.01'!$AO$4:$AR$55,4,FALSE))</f>
        <v>0</v>
      </c>
      <c r="N51" s="4">
        <f>(VLOOKUP('21.04.01'!V51,'21.04.01'!$AO$4:$AR$55,4,FALSE))</f>
        <v>0</v>
      </c>
      <c r="O51" s="4">
        <f>(VLOOKUP('21.04.01'!W51,'21.04.01'!$AO$4:$AR$55,4,FALSE))</f>
        <v>0</v>
      </c>
      <c r="P51" s="4">
        <f>(VLOOKUP('21.04.01'!X51,'21.04.01'!$AO$4:$AR$55,4,FALSE))</f>
        <v>0</v>
      </c>
      <c r="Q51" s="4">
        <f>(VLOOKUP('21.04.01'!Y51,'21.04.01'!$AO$4:$AR$55,4,FALSE))</f>
        <v>0</v>
      </c>
      <c r="R51" s="4">
        <f>(VLOOKUP('21.04.01'!Z51,'21.04.01'!$AO$4:$AR$55,4,FALSE))</f>
        <v>0</v>
      </c>
      <c r="S51" s="4">
        <f>(VLOOKUP('21.04.01'!AA51,'21.04.01'!$AO$4:$AR$55,4,FALSE))</f>
        <v>0</v>
      </c>
      <c r="T51" s="4">
        <f>(VLOOKUP('21.04.01'!AB51,'21.04.01'!$AO$4:$AR$55,4,FALSE))</f>
        <v>0</v>
      </c>
      <c r="U51" s="4">
        <f>(VLOOKUP('21.04.01'!AC51,'21.04.01'!$AO$4:$AR$55,4,FALSE))</f>
        <v>0</v>
      </c>
      <c r="V51" s="4">
        <f>(VLOOKUP('21.04.01'!AD51,'21.04.01'!$AO$4:$AR$55,4,FALSE))</f>
        <v>0</v>
      </c>
      <c r="W51" s="4">
        <f>(VLOOKUP('21.04.01'!AE51,'21.04.01'!$AO$4:$AR$55,4,FALSE))</f>
        <v>0</v>
      </c>
      <c r="X51" s="4">
        <f>(VLOOKUP('21.04.01'!AF51,'21.04.01'!$AO$4:$AR$55,4,FALSE))</f>
        <v>0</v>
      </c>
    </row>
    <row r="52" spans="1:24">
      <c r="A52" s="4">
        <f>(VLOOKUP('21.04.01'!I52,'21.04.01'!$AO$4:$AR$55,4,FALSE))</f>
        <v>0</v>
      </c>
      <c r="B52" s="4">
        <f>(VLOOKUP('21.04.01'!J52,'21.04.01'!$AO$4:$AR$55,4,FALSE))</f>
        <v>0</v>
      </c>
      <c r="C52" s="4">
        <f>(VLOOKUP('21.04.01'!K52,'21.04.01'!$AO$4:$AR$55,4,FALSE))</f>
        <v>0</v>
      </c>
      <c r="D52" s="4">
        <f>(VLOOKUP('21.04.01'!L52,'21.04.01'!$AO$4:$AR$55,4,FALSE))</f>
        <v>0</v>
      </c>
      <c r="E52" s="4">
        <f>(VLOOKUP('21.04.01'!M52,'21.04.01'!$AO$4:$AR$55,4,FALSE))</f>
        <v>0</v>
      </c>
      <c r="F52" s="4">
        <f>(VLOOKUP('21.04.01'!N52,'21.04.01'!$AO$4:$AR$55,4,FALSE))</f>
        <v>0</v>
      </c>
      <c r="G52" s="4">
        <f>(VLOOKUP('21.04.01'!O52,'21.04.01'!$AO$4:$AR$55,4,FALSE))</f>
        <v>0</v>
      </c>
      <c r="H52" s="4">
        <f>(VLOOKUP('21.04.01'!P52,'21.04.01'!$AO$4:$AR$55,4,FALSE))</f>
        <v>0</v>
      </c>
      <c r="I52" s="4">
        <f>(VLOOKUP('21.04.01'!Q52,'21.04.01'!$AO$4:$AR$55,4,FALSE))</f>
        <v>0</v>
      </c>
      <c r="J52" s="4">
        <f>(VLOOKUP('21.04.01'!R52,'21.04.01'!$AO$4:$AR$55,4,FALSE))</f>
        <v>0</v>
      </c>
      <c r="K52" s="4">
        <f>(VLOOKUP('21.04.01'!S52,'21.04.01'!$AO$4:$AR$55,4,FALSE))</f>
        <v>0</v>
      </c>
      <c r="L52" s="4">
        <f>(VLOOKUP('21.04.01'!T52,'21.04.01'!$AO$4:$AR$55,4,FALSE))</f>
        <v>0</v>
      </c>
      <c r="M52" s="4">
        <f>(VLOOKUP('21.04.01'!U52,'21.04.01'!$AO$4:$AR$55,4,FALSE))</f>
        <v>0</v>
      </c>
      <c r="N52" s="4">
        <f>(VLOOKUP('21.04.01'!V52,'21.04.01'!$AO$4:$AR$55,4,FALSE))</f>
        <v>0</v>
      </c>
      <c r="O52" s="4">
        <f>(VLOOKUP('21.04.01'!W52,'21.04.01'!$AO$4:$AR$55,4,FALSE))</f>
        <v>0</v>
      </c>
      <c r="P52" s="4">
        <f>(VLOOKUP('21.04.01'!X52,'21.04.01'!$AO$4:$AR$55,4,FALSE))</f>
        <v>0</v>
      </c>
      <c r="Q52" s="4">
        <f>(VLOOKUP('21.04.01'!Y52,'21.04.01'!$AO$4:$AR$55,4,FALSE))</f>
        <v>0</v>
      </c>
      <c r="R52" s="4">
        <f>(VLOOKUP('21.04.01'!Z52,'21.04.01'!$AO$4:$AR$55,4,FALSE))</f>
        <v>0</v>
      </c>
      <c r="S52" s="4">
        <f>(VLOOKUP('21.04.01'!AA52,'21.04.01'!$AO$4:$AR$55,4,FALSE))</f>
        <v>0</v>
      </c>
      <c r="T52" s="4">
        <f>(VLOOKUP('21.04.01'!AB52,'21.04.01'!$AO$4:$AR$55,4,FALSE))</f>
        <v>0</v>
      </c>
      <c r="U52" s="4">
        <f>(VLOOKUP('21.04.01'!AC52,'21.04.01'!$AO$4:$AR$55,4,FALSE))</f>
        <v>0</v>
      </c>
      <c r="V52" s="4">
        <f>(VLOOKUP('21.04.01'!AD52,'21.04.01'!$AO$4:$AR$55,4,FALSE))</f>
        <v>0</v>
      </c>
      <c r="W52" s="4">
        <f>(VLOOKUP('21.04.01'!AE52,'21.04.01'!$AO$4:$AR$55,4,FALSE))</f>
        <v>0</v>
      </c>
      <c r="X52" s="4">
        <f>(VLOOKUP('21.04.01'!AF52,'21.04.01'!$AO$4:$AR$55,4,FALSE))</f>
        <v>0</v>
      </c>
    </row>
    <row r="53" spans="1:24">
      <c r="A53" s="4">
        <f>(VLOOKUP('21.04.01'!I53,'21.04.01'!$AO$4:$AR$55,4,FALSE))</f>
        <v>0</v>
      </c>
      <c r="B53" s="4">
        <f>(VLOOKUP('21.04.01'!J53,'21.04.01'!$AO$4:$AR$55,4,FALSE))</f>
        <v>0</v>
      </c>
      <c r="C53" s="4">
        <f>(VLOOKUP('21.04.01'!K53,'21.04.01'!$AO$4:$AR$55,4,FALSE))</f>
        <v>0</v>
      </c>
      <c r="D53" s="4">
        <f>(VLOOKUP('21.04.01'!L53,'21.04.01'!$AO$4:$AR$55,4,FALSE))</f>
        <v>0</v>
      </c>
      <c r="E53" s="4">
        <f>(VLOOKUP('21.04.01'!M53,'21.04.01'!$AO$4:$AR$55,4,FALSE))</f>
        <v>0</v>
      </c>
      <c r="F53" s="4">
        <f>(VLOOKUP('21.04.01'!N53,'21.04.01'!$AO$4:$AR$55,4,FALSE))</f>
        <v>0</v>
      </c>
      <c r="G53" s="4">
        <f>(VLOOKUP('21.04.01'!O53,'21.04.01'!$AO$4:$AR$55,4,FALSE))</f>
        <v>0</v>
      </c>
      <c r="H53" s="4">
        <f>(VLOOKUP('21.04.01'!P53,'21.04.01'!$AO$4:$AR$55,4,FALSE))</f>
        <v>0</v>
      </c>
      <c r="I53" s="4">
        <f>(VLOOKUP('21.04.01'!Q53,'21.04.01'!$AO$4:$AR$55,4,FALSE))</f>
        <v>0</v>
      </c>
      <c r="J53" s="4">
        <f>(VLOOKUP('21.04.01'!R53,'21.04.01'!$AO$4:$AR$55,4,FALSE))</f>
        <v>0</v>
      </c>
      <c r="K53" s="4">
        <f>(VLOOKUP('21.04.01'!S53,'21.04.01'!$AO$4:$AR$55,4,FALSE))</f>
        <v>0</v>
      </c>
      <c r="L53" s="4">
        <f>(VLOOKUP('21.04.01'!T53,'21.04.01'!$AO$4:$AR$55,4,FALSE))</f>
        <v>0</v>
      </c>
      <c r="M53" s="4">
        <f>(VLOOKUP('21.04.01'!U53,'21.04.01'!$AO$4:$AR$55,4,FALSE))</f>
        <v>0</v>
      </c>
      <c r="N53" s="4">
        <f>(VLOOKUP('21.04.01'!V53,'21.04.01'!$AO$4:$AR$55,4,FALSE))</f>
        <v>0</v>
      </c>
      <c r="O53" s="4">
        <f>(VLOOKUP('21.04.01'!W53,'21.04.01'!$AO$4:$AR$55,4,FALSE))</f>
        <v>0</v>
      </c>
      <c r="P53" s="4">
        <f>(VLOOKUP('21.04.01'!X53,'21.04.01'!$AO$4:$AR$55,4,FALSE))</f>
        <v>0</v>
      </c>
      <c r="Q53" s="4">
        <f>(VLOOKUP('21.04.01'!Y53,'21.04.01'!$AO$4:$AR$55,4,FALSE))</f>
        <v>0</v>
      </c>
      <c r="R53" s="4">
        <f>(VLOOKUP('21.04.01'!Z53,'21.04.01'!$AO$4:$AR$55,4,FALSE))</f>
        <v>0</v>
      </c>
      <c r="S53" s="4">
        <f>(VLOOKUP('21.04.01'!AA53,'21.04.01'!$AO$4:$AR$55,4,FALSE))</f>
        <v>0</v>
      </c>
      <c r="T53" s="4">
        <f>(VLOOKUP('21.04.01'!AB53,'21.04.01'!$AO$4:$AR$55,4,FALSE))</f>
        <v>0</v>
      </c>
      <c r="U53" s="4">
        <f>(VLOOKUP('21.04.01'!AC53,'21.04.01'!$AO$4:$AR$55,4,FALSE))</f>
        <v>0</v>
      </c>
      <c r="V53" s="4">
        <f>(VLOOKUP('21.04.01'!AD53,'21.04.01'!$AO$4:$AR$55,4,FALSE))</f>
        <v>0</v>
      </c>
      <c r="W53" s="4">
        <f>(VLOOKUP('21.04.01'!AE53,'21.04.01'!$AO$4:$AR$55,4,FALSE))</f>
        <v>0</v>
      </c>
      <c r="X53" s="4">
        <f>(VLOOKUP('21.04.01'!AF53,'21.04.01'!$AO$4:$AR$55,4,FALSE))</f>
        <v>0</v>
      </c>
    </row>
    <row r="54" spans="1:24">
      <c r="A54" s="4">
        <f>(VLOOKUP('21.04.01'!I54,'21.04.01'!$AO$4:$AR$55,4,FALSE))</f>
        <v>0</v>
      </c>
      <c r="B54" s="4">
        <f>(VLOOKUP('21.04.01'!J54,'21.04.01'!$AO$4:$AR$55,4,FALSE))</f>
        <v>0</v>
      </c>
      <c r="C54" s="4">
        <f>(VLOOKUP('21.04.01'!K54,'21.04.01'!$AO$4:$AR$55,4,FALSE))</f>
        <v>0</v>
      </c>
      <c r="D54" s="4">
        <f>(VLOOKUP('21.04.01'!L54,'21.04.01'!$AO$4:$AR$55,4,FALSE))</f>
        <v>0</v>
      </c>
      <c r="E54" s="4">
        <f>(VLOOKUP('21.04.01'!M54,'21.04.01'!$AO$4:$AR$55,4,FALSE))</f>
        <v>0</v>
      </c>
      <c r="F54" s="4">
        <f>(VLOOKUP('21.04.01'!N54,'21.04.01'!$AO$4:$AR$55,4,FALSE))</f>
        <v>0</v>
      </c>
      <c r="G54" s="4">
        <f>(VLOOKUP('21.04.01'!O54,'21.04.01'!$AO$4:$AR$55,4,FALSE))</f>
        <v>0</v>
      </c>
      <c r="H54" s="4">
        <f>(VLOOKUP('21.04.01'!P54,'21.04.01'!$AO$4:$AR$55,4,FALSE))</f>
        <v>0</v>
      </c>
      <c r="I54" s="4">
        <f>(VLOOKUP('21.04.01'!Q54,'21.04.01'!$AO$4:$AR$55,4,FALSE))</f>
        <v>0</v>
      </c>
      <c r="J54" s="4">
        <f>(VLOOKUP('21.04.01'!R54,'21.04.01'!$AO$4:$AR$55,4,FALSE))</f>
        <v>0</v>
      </c>
      <c r="K54" s="4">
        <f>(VLOOKUP('21.04.01'!S54,'21.04.01'!$AO$4:$AR$55,4,FALSE))</f>
        <v>0</v>
      </c>
      <c r="L54" s="4">
        <f>(VLOOKUP('21.04.01'!T54,'21.04.01'!$AO$4:$AR$55,4,FALSE))</f>
        <v>0</v>
      </c>
      <c r="M54" s="4">
        <f>(VLOOKUP('21.04.01'!U54,'21.04.01'!$AO$4:$AR$55,4,FALSE))</f>
        <v>0</v>
      </c>
      <c r="N54" s="4">
        <f>(VLOOKUP('21.04.01'!V54,'21.04.01'!$AO$4:$AR$55,4,FALSE))</f>
        <v>0</v>
      </c>
      <c r="O54" s="4">
        <f>(VLOOKUP('21.04.01'!W54,'21.04.01'!$AO$4:$AR$55,4,FALSE))</f>
        <v>0</v>
      </c>
      <c r="P54" s="4">
        <f>(VLOOKUP('21.04.01'!X54,'21.04.01'!$AO$4:$AR$55,4,FALSE))</f>
        <v>0</v>
      </c>
      <c r="Q54" s="4">
        <f>(VLOOKUP('21.04.01'!Y54,'21.04.01'!$AO$4:$AR$55,4,FALSE))</f>
        <v>0</v>
      </c>
      <c r="R54" s="4">
        <f>(VLOOKUP('21.04.01'!Z54,'21.04.01'!$AO$4:$AR$55,4,FALSE))</f>
        <v>0</v>
      </c>
      <c r="S54" s="4">
        <f>(VLOOKUP('21.04.01'!AA54,'21.04.01'!$AO$4:$AR$55,4,FALSE))</f>
        <v>0</v>
      </c>
      <c r="T54" s="4">
        <f>(VLOOKUP('21.04.01'!AB54,'21.04.01'!$AO$4:$AR$55,4,FALSE))</f>
        <v>0</v>
      </c>
      <c r="U54" s="4">
        <f>(VLOOKUP('21.04.01'!AC54,'21.04.01'!$AO$4:$AR$55,4,FALSE))</f>
        <v>0</v>
      </c>
      <c r="V54" s="4">
        <f>(VLOOKUP('21.04.01'!AD54,'21.04.01'!$AO$4:$AR$55,4,FALSE))</f>
        <v>0</v>
      </c>
      <c r="W54" s="4">
        <f>(VLOOKUP('21.04.01'!AE54,'21.04.01'!$AO$4:$AR$55,4,FALSE))</f>
        <v>0</v>
      </c>
      <c r="X54" s="4">
        <f>(VLOOKUP('21.04.01'!AF54,'21.04.01'!$AO$4:$AR$55,4,FALSE))</f>
        <v>0</v>
      </c>
    </row>
    <row r="55" spans="1:24">
      <c r="A55" s="4">
        <f>(VLOOKUP('21.04.01'!I55,'21.04.01'!$AO$4:$AR$55,4,FALSE))</f>
        <v>0</v>
      </c>
      <c r="B55" s="4">
        <f>(VLOOKUP('21.04.01'!J55,'21.04.01'!$AO$4:$AR$55,4,FALSE))</f>
        <v>0</v>
      </c>
      <c r="C55" s="4">
        <f>(VLOOKUP('21.04.01'!K55,'21.04.01'!$AO$4:$AR$55,4,FALSE))</f>
        <v>0</v>
      </c>
      <c r="D55" s="4">
        <f>(VLOOKUP('21.04.01'!L55,'21.04.01'!$AO$4:$AR$55,4,FALSE))</f>
        <v>0</v>
      </c>
      <c r="E55" s="4">
        <f>(VLOOKUP('21.04.01'!M55,'21.04.01'!$AO$4:$AR$55,4,FALSE))</f>
        <v>0</v>
      </c>
      <c r="F55" s="4">
        <f>(VLOOKUP('21.04.01'!N55,'21.04.01'!$AO$4:$AR$55,4,FALSE))</f>
        <v>0</v>
      </c>
      <c r="G55" s="4">
        <f>(VLOOKUP('21.04.01'!O55,'21.04.01'!$AO$4:$AR$55,4,FALSE))</f>
        <v>0</v>
      </c>
      <c r="H55" s="4">
        <f>(VLOOKUP('21.04.01'!P55,'21.04.01'!$AO$4:$AR$55,4,FALSE))</f>
        <v>0</v>
      </c>
      <c r="I55" s="4">
        <f>(VLOOKUP('21.04.01'!Q55,'21.04.01'!$AO$4:$AR$55,4,FALSE))</f>
        <v>0</v>
      </c>
      <c r="J55" s="4">
        <f>(VLOOKUP('21.04.01'!R55,'21.04.01'!$AO$4:$AR$55,4,FALSE))</f>
        <v>0</v>
      </c>
      <c r="K55" s="4">
        <f>(VLOOKUP('21.04.01'!S55,'21.04.01'!$AO$4:$AR$55,4,FALSE))</f>
        <v>0</v>
      </c>
      <c r="L55" s="4">
        <f>(VLOOKUP('21.04.01'!T55,'21.04.01'!$AO$4:$AR$55,4,FALSE))</f>
        <v>0</v>
      </c>
      <c r="M55" s="4">
        <f>(VLOOKUP('21.04.01'!U55,'21.04.01'!$AO$4:$AR$55,4,FALSE))</f>
        <v>0</v>
      </c>
      <c r="N55" s="4">
        <f>(VLOOKUP('21.04.01'!V55,'21.04.01'!$AO$4:$AR$55,4,FALSE))</f>
        <v>0</v>
      </c>
      <c r="O55" s="4">
        <f>(VLOOKUP('21.04.01'!W55,'21.04.01'!$AO$4:$AR$55,4,FALSE))</f>
        <v>0</v>
      </c>
      <c r="P55" s="4">
        <f>(VLOOKUP('21.04.01'!X55,'21.04.01'!$AO$4:$AR$55,4,FALSE))</f>
        <v>0</v>
      </c>
      <c r="Q55" s="4">
        <f>(VLOOKUP('21.04.01'!Y55,'21.04.01'!$AO$4:$AR$55,4,FALSE))</f>
        <v>0</v>
      </c>
      <c r="R55" s="4">
        <f>(VLOOKUP('21.04.01'!Z55,'21.04.01'!$AO$4:$AR$55,4,FALSE))</f>
        <v>0</v>
      </c>
      <c r="S55" s="4">
        <f>(VLOOKUP('21.04.01'!AA55,'21.04.01'!$AO$4:$AR$55,4,FALSE))</f>
        <v>0</v>
      </c>
      <c r="T55" s="4">
        <f>(VLOOKUP('21.04.01'!AB55,'21.04.01'!$AO$4:$AR$55,4,FALSE))</f>
        <v>0</v>
      </c>
      <c r="U55" s="4">
        <f>(VLOOKUP('21.04.01'!AC55,'21.04.01'!$AO$4:$AR$55,4,FALSE))</f>
        <v>0</v>
      </c>
      <c r="V55" s="4">
        <f>(VLOOKUP('21.04.01'!AD55,'21.04.01'!$AO$4:$AR$55,4,FALSE))</f>
        <v>0</v>
      </c>
      <c r="W55" s="4">
        <f>(VLOOKUP('21.04.01'!AE55,'21.04.01'!$AO$4:$AR$55,4,FALSE))</f>
        <v>0</v>
      </c>
      <c r="X55" s="4">
        <f>(VLOOKUP('21.04.01'!AF55,'21.04.01'!$AO$4:$AR$55,4,FALSE))</f>
        <v>0</v>
      </c>
    </row>
    <row r="56" spans="1:24">
      <c r="A56" s="4">
        <f>(VLOOKUP('21.04.01'!I56,'21.04.01'!$AO$4:$AR$55,4,FALSE))</f>
        <v>0</v>
      </c>
      <c r="B56" s="4">
        <f>(VLOOKUP('21.04.01'!J56,'21.04.01'!$AO$4:$AR$55,4,FALSE))</f>
        <v>0</v>
      </c>
      <c r="C56" s="4">
        <f>(VLOOKUP('21.04.01'!K56,'21.04.01'!$AO$4:$AR$55,4,FALSE))</f>
        <v>0</v>
      </c>
      <c r="D56" s="4">
        <f>(VLOOKUP('21.04.01'!L56,'21.04.01'!$AO$4:$AR$55,4,FALSE))</f>
        <v>0</v>
      </c>
      <c r="E56" s="4">
        <f>(VLOOKUP('21.04.01'!M56,'21.04.01'!$AO$4:$AR$55,4,FALSE))</f>
        <v>0</v>
      </c>
      <c r="F56" s="4">
        <f>(VLOOKUP('21.04.01'!N56,'21.04.01'!$AO$4:$AR$55,4,FALSE))</f>
        <v>0</v>
      </c>
      <c r="G56" s="4">
        <f>(VLOOKUP('21.04.01'!O56,'21.04.01'!$AO$4:$AR$55,4,FALSE))</f>
        <v>0</v>
      </c>
      <c r="H56" s="4">
        <f>(VLOOKUP('21.04.01'!P56,'21.04.01'!$AO$4:$AR$55,4,FALSE))</f>
        <v>0</v>
      </c>
      <c r="I56" s="4">
        <f>(VLOOKUP('21.04.01'!Q56,'21.04.01'!$AO$4:$AR$55,4,FALSE))</f>
        <v>0</v>
      </c>
      <c r="J56" s="4">
        <f>(VLOOKUP('21.04.01'!R56,'21.04.01'!$AO$4:$AR$55,4,FALSE))</f>
        <v>0</v>
      </c>
      <c r="K56" s="4">
        <f>(VLOOKUP('21.04.01'!S56,'21.04.01'!$AO$4:$AR$55,4,FALSE))</f>
        <v>0</v>
      </c>
      <c r="L56" s="4">
        <f>(VLOOKUP('21.04.01'!T56,'21.04.01'!$AO$4:$AR$55,4,FALSE))</f>
        <v>0</v>
      </c>
      <c r="M56" s="4">
        <f>(VLOOKUP('21.04.01'!U56,'21.04.01'!$AO$4:$AR$55,4,FALSE))</f>
        <v>0</v>
      </c>
      <c r="N56" s="4">
        <f>(VLOOKUP('21.04.01'!V56,'21.04.01'!$AO$4:$AR$55,4,FALSE))</f>
        <v>0</v>
      </c>
      <c r="O56" s="4">
        <f>(VLOOKUP('21.04.01'!W56,'21.04.01'!$AO$4:$AR$55,4,FALSE))</f>
        <v>0</v>
      </c>
      <c r="P56" s="4">
        <f>(VLOOKUP('21.04.01'!X56,'21.04.01'!$AO$4:$AR$55,4,FALSE))</f>
        <v>0</v>
      </c>
      <c r="Q56" s="4">
        <f>(VLOOKUP('21.04.01'!Y56,'21.04.01'!$AO$4:$AR$55,4,FALSE))</f>
        <v>0</v>
      </c>
      <c r="R56" s="4">
        <f>(VLOOKUP('21.04.01'!Z56,'21.04.01'!$AO$4:$AR$55,4,FALSE))</f>
        <v>0</v>
      </c>
      <c r="S56" s="4">
        <f>(VLOOKUP('21.04.01'!AA56,'21.04.01'!$AO$4:$AR$55,4,FALSE))</f>
        <v>0</v>
      </c>
      <c r="T56" s="4">
        <f>(VLOOKUP('21.04.01'!AB56,'21.04.01'!$AO$4:$AR$55,4,FALSE))</f>
        <v>0</v>
      </c>
      <c r="U56" s="4">
        <f>(VLOOKUP('21.04.01'!AC56,'21.04.01'!$AO$4:$AR$55,4,FALSE))</f>
        <v>0</v>
      </c>
      <c r="V56" s="4">
        <f>(VLOOKUP('21.04.01'!AD56,'21.04.01'!$AO$4:$AR$55,4,FALSE))</f>
        <v>0</v>
      </c>
      <c r="W56" s="4">
        <f>(VLOOKUP('21.04.01'!AE56,'21.04.01'!$AO$4:$AR$55,4,FALSE))</f>
        <v>0</v>
      </c>
      <c r="X56" s="4">
        <f>(VLOOKUP('21.04.01'!AF56,'21.04.01'!$AO$4:$AR$55,4,FALSE))</f>
        <v>0</v>
      </c>
    </row>
    <row r="57" spans="1:24">
      <c r="A57" s="4">
        <f>(VLOOKUP('21.04.01'!I57,'21.04.01'!$AO$4:$AR$55,4,FALSE))</f>
        <v>0</v>
      </c>
      <c r="B57" s="4">
        <f>(VLOOKUP('21.04.01'!J57,'21.04.01'!$AO$4:$AR$55,4,FALSE))</f>
        <v>0</v>
      </c>
      <c r="C57" s="4">
        <f>(VLOOKUP('21.04.01'!K57,'21.04.01'!$AO$4:$AR$55,4,FALSE))</f>
        <v>0</v>
      </c>
      <c r="D57" s="4">
        <f>(VLOOKUP('21.04.01'!L57,'21.04.01'!$AO$4:$AR$55,4,FALSE))</f>
        <v>0</v>
      </c>
      <c r="E57" s="4">
        <f>(VLOOKUP('21.04.01'!M57,'21.04.01'!$AO$4:$AR$55,4,FALSE))</f>
        <v>0</v>
      </c>
      <c r="F57" s="4">
        <f>(VLOOKUP('21.04.01'!N57,'21.04.01'!$AO$4:$AR$55,4,FALSE))</f>
        <v>0</v>
      </c>
      <c r="G57" s="4">
        <f>(VLOOKUP('21.04.01'!O57,'21.04.01'!$AO$4:$AR$55,4,FALSE))</f>
        <v>0</v>
      </c>
      <c r="H57" s="4">
        <f>(VLOOKUP('21.04.01'!P57,'21.04.01'!$AO$4:$AR$55,4,FALSE))</f>
        <v>0</v>
      </c>
      <c r="I57" s="4">
        <f>(VLOOKUP('21.04.01'!Q57,'21.04.01'!$AO$4:$AR$55,4,FALSE))</f>
        <v>0</v>
      </c>
      <c r="J57" s="4">
        <f>(VLOOKUP('21.04.01'!R57,'21.04.01'!$AO$4:$AR$55,4,FALSE))</f>
        <v>0</v>
      </c>
      <c r="K57" s="4">
        <f>(VLOOKUP('21.04.01'!S57,'21.04.01'!$AO$4:$AR$55,4,FALSE))</f>
        <v>0</v>
      </c>
      <c r="L57" s="4">
        <f>(VLOOKUP('21.04.01'!T57,'21.04.01'!$AO$4:$AR$55,4,FALSE))</f>
        <v>0</v>
      </c>
      <c r="M57" s="4">
        <f>(VLOOKUP('21.04.01'!U57,'21.04.01'!$AO$4:$AR$55,4,FALSE))</f>
        <v>0</v>
      </c>
      <c r="N57" s="4">
        <f>(VLOOKUP('21.04.01'!V57,'21.04.01'!$AO$4:$AR$55,4,FALSE))</f>
        <v>0</v>
      </c>
      <c r="O57" s="4">
        <f>(VLOOKUP('21.04.01'!W57,'21.04.01'!$AO$4:$AR$55,4,FALSE))</f>
        <v>0</v>
      </c>
      <c r="P57" s="4">
        <f>(VLOOKUP('21.04.01'!X57,'21.04.01'!$AO$4:$AR$55,4,FALSE))</f>
        <v>0</v>
      </c>
      <c r="Q57" s="4">
        <f>(VLOOKUP('21.04.01'!Y57,'21.04.01'!$AO$4:$AR$55,4,FALSE))</f>
        <v>0</v>
      </c>
      <c r="R57" s="4">
        <f>(VLOOKUP('21.04.01'!Z57,'21.04.01'!$AO$4:$AR$55,4,FALSE))</f>
        <v>0</v>
      </c>
      <c r="S57" s="4">
        <f>(VLOOKUP('21.04.01'!AA57,'21.04.01'!$AO$4:$AR$55,4,FALSE))</f>
        <v>0</v>
      </c>
      <c r="T57" s="4">
        <f>(VLOOKUP('21.04.01'!AB57,'21.04.01'!$AO$4:$AR$55,4,FALSE))</f>
        <v>0</v>
      </c>
      <c r="U57" s="4">
        <f>(VLOOKUP('21.04.01'!AC57,'21.04.01'!$AO$4:$AR$55,4,FALSE))</f>
        <v>0</v>
      </c>
      <c r="V57" s="4">
        <f>(VLOOKUP('21.04.01'!AD57,'21.04.01'!$AO$4:$AR$55,4,FALSE))</f>
        <v>0</v>
      </c>
      <c r="W57" s="4">
        <f>(VLOOKUP('21.04.01'!AE57,'21.04.01'!$AO$4:$AR$55,4,FALSE))</f>
        <v>0</v>
      </c>
      <c r="X57" s="4">
        <f>(VLOOKUP('21.04.01'!AF57,'21.04.01'!$AO$4:$AR$55,4,FALSE))</f>
        <v>0</v>
      </c>
    </row>
    <row r="58" spans="1:24">
      <c r="A58" s="4">
        <f>(VLOOKUP('21.04.01'!I58,'21.04.01'!$AO$4:$AR$55,4,FALSE))</f>
        <v>0</v>
      </c>
      <c r="B58" s="4">
        <f>(VLOOKUP('21.04.01'!J58,'21.04.01'!$AO$4:$AR$55,4,FALSE))</f>
        <v>0</v>
      </c>
      <c r="C58" s="4">
        <f>(VLOOKUP('21.04.01'!K58,'21.04.01'!$AO$4:$AR$55,4,FALSE))</f>
        <v>0</v>
      </c>
      <c r="D58" s="4">
        <f>(VLOOKUP('21.04.01'!L58,'21.04.01'!$AO$4:$AR$55,4,FALSE))</f>
        <v>0</v>
      </c>
      <c r="E58" s="4">
        <f>(VLOOKUP('21.04.01'!M58,'21.04.01'!$AO$4:$AR$55,4,FALSE))</f>
        <v>0</v>
      </c>
      <c r="F58" s="4">
        <f>(VLOOKUP('21.04.01'!N58,'21.04.01'!$AO$4:$AR$55,4,FALSE))</f>
        <v>0</v>
      </c>
      <c r="G58" s="4">
        <f>(VLOOKUP('21.04.01'!O58,'21.04.01'!$AO$4:$AR$55,4,FALSE))</f>
        <v>0</v>
      </c>
      <c r="H58" s="4">
        <f>(VLOOKUP('21.04.01'!P58,'21.04.01'!$AO$4:$AR$55,4,FALSE))</f>
        <v>0</v>
      </c>
      <c r="I58" s="4">
        <f>(VLOOKUP('21.04.01'!Q58,'21.04.01'!$AO$4:$AR$55,4,FALSE))</f>
        <v>0</v>
      </c>
      <c r="J58" s="4">
        <f>(VLOOKUP('21.04.01'!R58,'21.04.01'!$AO$4:$AR$55,4,FALSE))</f>
        <v>0</v>
      </c>
      <c r="K58" s="4">
        <f>(VLOOKUP('21.04.01'!S58,'21.04.01'!$AO$4:$AR$55,4,FALSE))</f>
        <v>0</v>
      </c>
      <c r="L58" s="4">
        <f>(VLOOKUP('21.04.01'!T58,'21.04.01'!$AO$4:$AR$55,4,FALSE))</f>
        <v>0</v>
      </c>
      <c r="M58" s="4">
        <f>(VLOOKUP('21.04.01'!U58,'21.04.01'!$AO$4:$AR$55,4,FALSE))</f>
        <v>0</v>
      </c>
      <c r="N58" s="4">
        <f>(VLOOKUP('21.04.01'!V58,'21.04.01'!$AO$4:$AR$55,4,FALSE))</f>
        <v>0</v>
      </c>
      <c r="O58" s="4">
        <f>(VLOOKUP('21.04.01'!W58,'21.04.01'!$AO$4:$AR$55,4,FALSE))</f>
        <v>0</v>
      </c>
      <c r="P58" s="4">
        <f>(VLOOKUP('21.04.01'!X58,'21.04.01'!$AO$4:$AR$55,4,FALSE))</f>
        <v>0</v>
      </c>
      <c r="Q58" s="4">
        <f>(VLOOKUP('21.04.01'!Y58,'21.04.01'!$AO$4:$AR$55,4,FALSE))</f>
        <v>0</v>
      </c>
      <c r="R58" s="4">
        <f>(VLOOKUP('21.04.01'!Z58,'21.04.01'!$AO$4:$AR$55,4,FALSE))</f>
        <v>0</v>
      </c>
      <c r="S58" s="4">
        <f>(VLOOKUP('21.04.01'!AA58,'21.04.01'!$AO$4:$AR$55,4,FALSE))</f>
        <v>0</v>
      </c>
      <c r="T58" s="4">
        <f>(VLOOKUP('21.04.01'!AB58,'21.04.01'!$AO$4:$AR$55,4,FALSE))</f>
        <v>0</v>
      </c>
      <c r="U58" s="4">
        <f>(VLOOKUP('21.04.01'!AC58,'21.04.01'!$AO$4:$AR$55,4,FALSE))</f>
        <v>0</v>
      </c>
      <c r="V58" s="4">
        <f>(VLOOKUP('21.04.01'!AD58,'21.04.01'!$AO$4:$AR$55,4,FALSE))</f>
        <v>0</v>
      </c>
      <c r="W58" s="4">
        <f>(VLOOKUP('21.04.01'!AE58,'21.04.01'!$AO$4:$AR$55,4,FALSE))</f>
        <v>0</v>
      </c>
      <c r="X58" s="4">
        <f>(VLOOKUP('21.04.01'!AF58,'21.04.01'!$AO$4:$AR$55,4,FALSE))</f>
        <v>0</v>
      </c>
    </row>
    <row r="59" spans="1:24">
      <c r="A59" s="4">
        <f>(VLOOKUP('21.04.01'!I59,'21.04.01'!$AO$4:$AR$55,4,FALSE))</f>
        <v>0</v>
      </c>
      <c r="B59" s="4">
        <f>(VLOOKUP('21.04.01'!J59,'21.04.01'!$AO$4:$AR$55,4,FALSE))</f>
        <v>0</v>
      </c>
      <c r="C59" s="4">
        <f>(VLOOKUP('21.04.01'!K59,'21.04.01'!$AO$4:$AR$55,4,FALSE))</f>
        <v>0</v>
      </c>
      <c r="D59" s="4">
        <f>(VLOOKUP('21.04.01'!L59,'21.04.01'!$AO$4:$AR$55,4,FALSE))</f>
        <v>0</v>
      </c>
      <c r="E59" s="4">
        <f>(VLOOKUP('21.04.01'!M59,'21.04.01'!$AO$4:$AR$55,4,FALSE))</f>
        <v>0</v>
      </c>
      <c r="F59" s="4">
        <f>(VLOOKUP('21.04.01'!N59,'21.04.01'!$AO$4:$AR$55,4,FALSE))</f>
        <v>0</v>
      </c>
      <c r="G59" s="4">
        <f>(VLOOKUP('21.04.01'!O59,'21.04.01'!$AO$4:$AR$55,4,FALSE))</f>
        <v>0</v>
      </c>
      <c r="H59" s="4">
        <f>(VLOOKUP('21.04.01'!P59,'21.04.01'!$AO$4:$AR$55,4,FALSE))</f>
        <v>0</v>
      </c>
      <c r="I59" s="4">
        <f>(VLOOKUP('21.04.01'!Q59,'21.04.01'!$AO$4:$AR$55,4,FALSE))</f>
        <v>0</v>
      </c>
      <c r="J59" s="4">
        <f>(VLOOKUP('21.04.01'!R59,'21.04.01'!$AO$4:$AR$55,4,FALSE))</f>
        <v>0</v>
      </c>
      <c r="K59" s="4">
        <f>(VLOOKUP('21.04.01'!S59,'21.04.01'!$AO$4:$AR$55,4,FALSE))</f>
        <v>0</v>
      </c>
      <c r="L59" s="4">
        <f>(VLOOKUP('21.04.01'!T59,'21.04.01'!$AO$4:$AR$55,4,FALSE))</f>
        <v>0</v>
      </c>
      <c r="M59" s="4">
        <f>(VLOOKUP('21.04.01'!U59,'21.04.01'!$AO$4:$AR$55,4,FALSE))</f>
        <v>0</v>
      </c>
      <c r="N59" s="4">
        <f>(VLOOKUP('21.04.01'!V59,'21.04.01'!$AO$4:$AR$55,4,FALSE))</f>
        <v>0</v>
      </c>
      <c r="O59" s="4">
        <f>(VLOOKUP('21.04.01'!W59,'21.04.01'!$AO$4:$AR$55,4,FALSE))</f>
        <v>0</v>
      </c>
      <c r="P59" s="4">
        <f>(VLOOKUP('21.04.01'!X59,'21.04.01'!$AO$4:$AR$55,4,FALSE))</f>
        <v>0</v>
      </c>
      <c r="Q59" s="4">
        <f>(VLOOKUP('21.04.01'!Y59,'21.04.01'!$AO$4:$AR$55,4,FALSE))</f>
        <v>0</v>
      </c>
      <c r="R59" s="4">
        <f>(VLOOKUP('21.04.01'!Z59,'21.04.01'!$AO$4:$AR$55,4,FALSE))</f>
        <v>0</v>
      </c>
      <c r="S59" s="4">
        <f>(VLOOKUP('21.04.01'!AA59,'21.04.01'!$AO$4:$AR$55,4,FALSE))</f>
        <v>0</v>
      </c>
      <c r="T59" s="4">
        <f>(VLOOKUP('21.04.01'!AB59,'21.04.01'!$AO$4:$AR$55,4,FALSE))</f>
        <v>0</v>
      </c>
      <c r="U59" s="4">
        <f>(VLOOKUP('21.04.01'!AC59,'21.04.01'!$AO$4:$AR$55,4,FALSE))</f>
        <v>0</v>
      </c>
      <c r="V59" s="4">
        <f>(VLOOKUP('21.04.01'!AD59,'21.04.01'!$AO$4:$AR$55,4,FALSE))</f>
        <v>0</v>
      </c>
      <c r="W59" s="4">
        <f>(VLOOKUP('21.04.01'!AE59,'21.04.01'!$AO$4:$AR$55,4,FALSE))</f>
        <v>0</v>
      </c>
      <c r="X59" s="4">
        <f>(VLOOKUP('21.04.01'!AF59,'21.04.01'!$AO$4:$AR$55,4,FALSE))</f>
        <v>0</v>
      </c>
    </row>
    <row r="60" spans="1:24">
      <c r="A60" s="4">
        <f>(VLOOKUP('21.04.01'!I60,'21.04.01'!$AO$4:$AR$55,4,FALSE))</f>
        <v>0</v>
      </c>
      <c r="B60" s="4">
        <f>(VLOOKUP('21.04.01'!J60,'21.04.01'!$AO$4:$AR$55,4,FALSE))</f>
        <v>0</v>
      </c>
      <c r="C60" s="4">
        <f>(VLOOKUP('21.04.01'!K60,'21.04.01'!$AO$4:$AR$55,4,FALSE))</f>
        <v>0</v>
      </c>
      <c r="D60" s="4">
        <f>(VLOOKUP('21.04.01'!L60,'21.04.01'!$AO$4:$AR$55,4,FALSE))</f>
        <v>0</v>
      </c>
      <c r="E60" s="4">
        <f>(VLOOKUP('21.04.01'!M60,'21.04.01'!$AO$4:$AR$55,4,FALSE))</f>
        <v>0</v>
      </c>
      <c r="F60" s="4">
        <f>(VLOOKUP('21.04.01'!N60,'21.04.01'!$AO$4:$AR$55,4,FALSE))</f>
        <v>0</v>
      </c>
      <c r="G60" s="4">
        <f>(VLOOKUP('21.04.01'!O60,'21.04.01'!$AO$4:$AR$55,4,FALSE))</f>
        <v>0</v>
      </c>
      <c r="H60" s="4">
        <f>(VLOOKUP('21.04.01'!P60,'21.04.01'!$AO$4:$AR$55,4,FALSE))</f>
        <v>0</v>
      </c>
      <c r="I60" s="4">
        <f>(VLOOKUP('21.04.01'!Q60,'21.04.01'!$AO$4:$AR$55,4,FALSE))</f>
        <v>0</v>
      </c>
      <c r="J60" s="4">
        <f>(VLOOKUP('21.04.01'!R60,'21.04.01'!$AO$4:$AR$55,4,FALSE))</f>
        <v>0</v>
      </c>
      <c r="K60" s="4">
        <f>(VLOOKUP('21.04.01'!S60,'21.04.01'!$AO$4:$AR$55,4,FALSE))</f>
        <v>0</v>
      </c>
      <c r="L60" s="4">
        <f>(VLOOKUP('21.04.01'!T60,'21.04.01'!$AO$4:$AR$55,4,FALSE))</f>
        <v>0</v>
      </c>
      <c r="M60" s="4">
        <f>(VLOOKUP('21.04.01'!U60,'21.04.01'!$AO$4:$AR$55,4,FALSE))</f>
        <v>0</v>
      </c>
      <c r="N60" s="4">
        <f>(VLOOKUP('21.04.01'!V60,'21.04.01'!$AO$4:$AR$55,4,FALSE))</f>
        <v>0</v>
      </c>
      <c r="O60" s="4">
        <f>(VLOOKUP('21.04.01'!W60,'21.04.01'!$AO$4:$AR$55,4,FALSE))</f>
        <v>0</v>
      </c>
      <c r="P60" s="4">
        <f>(VLOOKUP('21.04.01'!X60,'21.04.01'!$AO$4:$AR$55,4,FALSE))</f>
        <v>0</v>
      </c>
      <c r="Q60" s="4">
        <f>(VLOOKUP('21.04.01'!Y60,'21.04.01'!$AO$4:$AR$55,4,FALSE))</f>
        <v>0</v>
      </c>
      <c r="R60" s="4">
        <f>(VLOOKUP('21.04.01'!Z60,'21.04.01'!$AO$4:$AR$55,4,FALSE))</f>
        <v>0</v>
      </c>
      <c r="S60" s="4">
        <f>(VLOOKUP('21.04.01'!AA60,'21.04.01'!$AO$4:$AR$55,4,FALSE))</f>
        <v>0</v>
      </c>
      <c r="T60" s="4">
        <f>(VLOOKUP('21.04.01'!AB60,'21.04.01'!$AO$4:$AR$55,4,FALSE))</f>
        <v>0</v>
      </c>
      <c r="U60" s="4">
        <f>(VLOOKUP('21.04.01'!AC60,'21.04.01'!$AO$4:$AR$55,4,FALSE))</f>
        <v>0</v>
      </c>
      <c r="V60" s="4">
        <f>(VLOOKUP('21.04.01'!AD60,'21.04.01'!$AO$4:$AR$55,4,FALSE))</f>
        <v>0</v>
      </c>
      <c r="W60" s="4">
        <f>(VLOOKUP('21.04.01'!AE60,'21.04.01'!$AO$4:$AR$55,4,FALSE))</f>
        <v>0</v>
      </c>
      <c r="X60" s="4">
        <f>(VLOOKUP('21.04.01'!AF60,'21.04.01'!$AO$4:$AR$55,4,FALSE))</f>
        <v>0</v>
      </c>
    </row>
    <row r="61" spans="1:24">
      <c r="A61" s="4">
        <f>(VLOOKUP('21.04.01'!I61,'21.04.01'!$AO$4:$AR$55,4,FALSE))</f>
        <v>0</v>
      </c>
      <c r="B61" s="4">
        <f>(VLOOKUP('21.04.01'!J61,'21.04.01'!$AO$4:$AR$55,4,FALSE))</f>
        <v>0</v>
      </c>
      <c r="C61" s="4">
        <f>(VLOOKUP('21.04.01'!K61,'21.04.01'!$AO$4:$AR$55,4,FALSE))</f>
        <v>0</v>
      </c>
      <c r="D61" s="4">
        <f>(VLOOKUP('21.04.01'!L61,'21.04.01'!$AO$4:$AR$55,4,FALSE))</f>
        <v>0</v>
      </c>
      <c r="E61" s="4">
        <f>(VLOOKUP('21.04.01'!M61,'21.04.01'!$AO$4:$AR$55,4,FALSE))</f>
        <v>0</v>
      </c>
      <c r="F61" s="4">
        <f>(VLOOKUP('21.04.01'!N61,'21.04.01'!$AO$4:$AR$55,4,FALSE))</f>
        <v>0</v>
      </c>
      <c r="G61" s="4">
        <f>(VLOOKUP('21.04.01'!O61,'21.04.01'!$AO$4:$AR$55,4,FALSE))</f>
        <v>0</v>
      </c>
      <c r="H61" s="4">
        <f>(VLOOKUP('21.04.01'!P61,'21.04.01'!$AO$4:$AR$55,4,FALSE))</f>
        <v>0</v>
      </c>
      <c r="I61" s="4">
        <f>(VLOOKUP('21.04.01'!Q61,'21.04.01'!$AO$4:$AR$55,4,FALSE))</f>
        <v>0</v>
      </c>
      <c r="J61" s="4">
        <f>(VLOOKUP('21.04.01'!R61,'21.04.01'!$AO$4:$AR$55,4,FALSE))</f>
        <v>0</v>
      </c>
      <c r="K61" s="4">
        <f>(VLOOKUP('21.04.01'!S61,'21.04.01'!$AO$4:$AR$55,4,FALSE))</f>
        <v>0</v>
      </c>
      <c r="L61" s="4">
        <f>(VLOOKUP('21.04.01'!T61,'21.04.01'!$AO$4:$AR$55,4,FALSE))</f>
        <v>0</v>
      </c>
      <c r="M61" s="4">
        <f>(VLOOKUP('21.04.01'!U61,'21.04.01'!$AO$4:$AR$55,4,FALSE))</f>
        <v>0</v>
      </c>
      <c r="N61" s="4">
        <f>(VLOOKUP('21.04.01'!V61,'21.04.01'!$AO$4:$AR$55,4,FALSE))</f>
        <v>0</v>
      </c>
      <c r="O61" s="4">
        <f>(VLOOKUP('21.04.01'!W61,'21.04.01'!$AO$4:$AR$55,4,FALSE))</f>
        <v>0</v>
      </c>
      <c r="P61" s="4">
        <f>(VLOOKUP('21.04.01'!X61,'21.04.01'!$AO$4:$AR$55,4,FALSE))</f>
        <v>0</v>
      </c>
      <c r="Q61" s="4">
        <f>(VLOOKUP('21.04.01'!Y61,'21.04.01'!$AO$4:$AR$55,4,FALSE))</f>
        <v>0</v>
      </c>
      <c r="R61" s="4">
        <f>(VLOOKUP('21.04.01'!Z61,'21.04.01'!$AO$4:$AR$55,4,FALSE))</f>
        <v>0</v>
      </c>
      <c r="S61" s="4">
        <f>(VLOOKUP('21.04.01'!AA61,'21.04.01'!$AO$4:$AR$55,4,FALSE))</f>
        <v>0</v>
      </c>
      <c r="T61" s="4">
        <f>(VLOOKUP('21.04.01'!AB61,'21.04.01'!$AO$4:$AR$55,4,FALSE))</f>
        <v>0</v>
      </c>
      <c r="U61" s="4">
        <f>(VLOOKUP('21.04.01'!AC61,'21.04.01'!$AO$4:$AR$55,4,FALSE))</f>
        <v>0</v>
      </c>
      <c r="V61" s="4">
        <f>(VLOOKUP('21.04.01'!AD61,'21.04.01'!$AO$4:$AR$55,4,FALSE))</f>
        <v>0</v>
      </c>
      <c r="W61" s="4">
        <f>(VLOOKUP('21.04.01'!AE61,'21.04.01'!$AO$4:$AR$55,4,FALSE))</f>
        <v>0</v>
      </c>
      <c r="X61" s="4">
        <f>(VLOOKUP('21.04.01'!AF61,'21.04.01'!$AO$4:$AR$55,4,FALSE))</f>
        <v>0</v>
      </c>
    </row>
    <row r="62" spans="1:24">
      <c r="A62" s="4">
        <f>(VLOOKUP('21.04.01'!I62,'21.04.01'!$AO$4:$AR$55,4,FALSE))</f>
        <v>0</v>
      </c>
      <c r="B62" s="4">
        <f>(VLOOKUP('21.04.01'!J62,'21.04.01'!$AO$4:$AR$55,4,FALSE))</f>
        <v>0</v>
      </c>
      <c r="C62" s="4">
        <f>(VLOOKUP('21.04.01'!K62,'21.04.01'!$AO$4:$AR$55,4,FALSE))</f>
        <v>0</v>
      </c>
      <c r="D62" s="4">
        <f>(VLOOKUP('21.04.01'!L62,'21.04.01'!$AO$4:$AR$55,4,FALSE))</f>
        <v>0</v>
      </c>
      <c r="E62" s="4">
        <f>(VLOOKUP('21.04.01'!M62,'21.04.01'!$AO$4:$AR$55,4,FALSE))</f>
        <v>0</v>
      </c>
      <c r="F62" s="4">
        <f>(VLOOKUP('21.04.01'!N62,'21.04.01'!$AO$4:$AR$55,4,FALSE))</f>
        <v>0</v>
      </c>
      <c r="G62" s="4">
        <f>(VLOOKUP('21.04.01'!O62,'21.04.01'!$AO$4:$AR$55,4,FALSE))</f>
        <v>0</v>
      </c>
      <c r="H62" s="4">
        <f>(VLOOKUP('21.04.01'!P62,'21.04.01'!$AO$4:$AR$55,4,FALSE))</f>
        <v>0</v>
      </c>
      <c r="I62" s="4">
        <f>(VLOOKUP('21.04.01'!Q62,'21.04.01'!$AO$4:$AR$55,4,FALSE))</f>
        <v>0</v>
      </c>
      <c r="J62" s="4">
        <f>(VLOOKUP('21.04.01'!R62,'21.04.01'!$AO$4:$AR$55,4,FALSE))</f>
        <v>0</v>
      </c>
      <c r="K62" s="4">
        <f>(VLOOKUP('21.04.01'!S62,'21.04.01'!$AO$4:$AR$55,4,FALSE))</f>
        <v>0</v>
      </c>
      <c r="L62" s="4">
        <f>(VLOOKUP('21.04.01'!T62,'21.04.01'!$AO$4:$AR$55,4,FALSE))</f>
        <v>0</v>
      </c>
      <c r="M62" s="4">
        <f>(VLOOKUP('21.04.01'!U62,'21.04.01'!$AO$4:$AR$55,4,FALSE))</f>
        <v>0</v>
      </c>
      <c r="N62" s="4">
        <f>(VLOOKUP('21.04.01'!V62,'21.04.01'!$AO$4:$AR$55,4,FALSE))</f>
        <v>0</v>
      </c>
      <c r="O62" s="4">
        <f>(VLOOKUP('21.04.01'!W62,'21.04.01'!$AO$4:$AR$55,4,FALSE))</f>
        <v>0</v>
      </c>
      <c r="P62" s="4">
        <f>(VLOOKUP('21.04.01'!X62,'21.04.01'!$AO$4:$AR$55,4,FALSE))</f>
        <v>0</v>
      </c>
      <c r="Q62" s="4">
        <f>(VLOOKUP('21.04.01'!Y62,'21.04.01'!$AO$4:$AR$55,4,FALSE))</f>
        <v>0</v>
      </c>
      <c r="R62" s="4">
        <f>(VLOOKUP('21.04.01'!Z62,'21.04.01'!$AO$4:$AR$55,4,FALSE))</f>
        <v>0</v>
      </c>
      <c r="S62" s="4">
        <f>(VLOOKUP('21.04.01'!AA62,'21.04.01'!$AO$4:$AR$55,4,FALSE))</f>
        <v>0</v>
      </c>
      <c r="T62" s="4">
        <f>(VLOOKUP('21.04.01'!AB62,'21.04.01'!$AO$4:$AR$55,4,FALSE))</f>
        <v>0</v>
      </c>
      <c r="U62" s="4">
        <f>(VLOOKUP('21.04.01'!AC62,'21.04.01'!$AO$4:$AR$55,4,FALSE))</f>
        <v>0</v>
      </c>
      <c r="V62" s="4">
        <f>(VLOOKUP('21.04.01'!AD62,'21.04.01'!$AO$4:$AR$55,4,FALSE))</f>
        <v>0</v>
      </c>
      <c r="W62" s="4">
        <f>(VLOOKUP('21.04.01'!AE62,'21.04.01'!$AO$4:$AR$55,4,FALSE))</f>
        <v>0</v>
      </c>
      <c r="X62" s="4">
        <f>(VLOOKUP('21.04.01'!AF62,'21.04.01'!$AO$4:$AR$55,4,FALSE))</f>
        <v>0</v>
      </c>
    </row>
    <row r="63" spans="1:24">
      <c r="A63" s="4">
        <f>(VLOOKUP('21.04.01'!I63,'21.04.01'!$AO$4:$AR$55,4,FALSE))</f>
        <v>0</v>
      </c>
      <c r="B63" s="4">
        <f>(VLOOKUP('21.04.01'!J63,'21.04.01'!$AO$4:$AR$55,4,FALSE))</f>
        <v>0</v>
      </c>
      <c r="C63" s="4">
        <f>(VLOOKUP('21.04.01'!K63,'21.04.01'!$AO$4:$AR$55,4,FALSE))</f>
        <v>0</v>
      </c>
      <c r="D63" s="4">
        <f>(VLOOKUP('21.04.01'!L63,'21.04.01'!$AO$4:$AR$55,4,FALSE))</f>
        <v>0</v>
      </c>
      <c r="E63" s="4">
        <f>(VLOOKUP('21.04.01'!M63,'21.04.01'!$AO$4:$AR$55,4,FALSE))</f>
        <v>0</v>
      </c>
      <c r="F63" s="4">
        <f>(VLOOKUP('21.04.01'!N63,'21.04.01'!$AO$4:$AR$55,4,FALSE))</f>
        <v>0</v>
      </c>
      <c r="G63" s="4">
        <f>(VLOOKUP('21.04.01'!O63,'21.04.01'!$AO$4:$AR$55,4,FALSE))</f>
        <v>0</v>
      </c>
      <c r="H63" s="4">
        <f>(VLOOKUP('21.04.01'!P63,'21.04.01'!$AO$4:$AR$55,4,FALSE))</f>
        <v>0</v>
      </c>
      <c r="I63" s="4">
        <f>(VLOOKUP('21.04.01'!Q63,'21.04.01'!$AO$4:$AR$55,4,FALSE))</f>
        <v>0</v>
      </c>
      <c r="J63" s="4">
        <f>(VLOOKUP('21.04.01'!R63,'21.04.01'!$AO$4:$AR$55,4,FALSE))</f>
        <v>0</v>
      </c>
      <c r="K63" s="4">
        <f>(VLOOKUP('21.04.01'!S63,'21.04.01'!$AO$4:$AR$55,4,FALSE))</f>
        <v>0</v>
      </c>
      <c r="L63" s="4">
        <f>(VLOOKUP('21.04.01'!T63,'21.04.01'!$AO$4:$AR$55,4,FALSE))</f>
        <v>0</v>
      </c>
      <c r="M63" s="4">
        <f>(VLOOKUP('21.04.01'!U63,'21.04.01'!$AO$4:$AR$55,4,FALSE))</f>
        <v>0</v>
      </c>
      <c r="N63" s="4">
        <f>(VLOOKUP('21.04.01'!V63,'21.04.01'!$AO$4:$AR$55,4,FALSE))</f>
        <v>0</v>
      </c>
      <c r="O63" s="4">
        <f>(VLOOKUP('21.04.01'!W63,'21.04.01'!$AO$4:$AR$55,4,FALSE))</f>
        <v>0</v>
      </c>
      <c r="P63" s="4">
        <f>(VLOOKUP('21.04.01'!X63,'21.04.01'!$AO$4:$AR$55,4,FALSE))</f>
        <v>0</v>
      </c>
      <c r="Q63" s="4">
        <f>(VLOOKUP('21.04.01'!Y63,'21.04.01'!$AO$4:$AR$55,4,FALSE))</f>
        <v>0</v>
      </c>
      <c r="R63" s="4">
        <f>(VLOOKUP('21.04.01'!Z63,'21.04.01'!$AO$4:$AR$55,4,FALSE))</f>
        <v>0</v>
      </c>
      <c r="S63" s="4">
        <f>(VLOOKUP('21.04.01'!AA63,'21.04.01'!$AO$4:$AR$55,4,FALSE))</f>
        <v>0</v>
      </c>
      <c r="T63" s="4">
        <f>(VLOOKUP('21.04.01'!AB63,'21.04.01'!$AO$4:$AR$55,4,FALSE))</f>
        <v>0</v>
      </c>
      <c r="U63" s="4">
        <f>(VLOOKUP('21.04.01'!AC63,'21.04.01'!$AO$4:$AR$55,4,FALSE))</f>
        <v>0</v>
      </c>
      <c r="V63" s="4">
        <f>(VLOOKUP('21.04.01'!AD63,'21.04.01'!$AO$4:$AR$55,4,FALSE))</f>
        <v>0</v>
      </c>
      <c r="W63" s="4">
        <f>(VLOOKUP('21.04.01'!AE63,'21.04.01'!$AO$4:$AR$55,4,FALSE))</f>
        <v>0</v>
      </c>
      <c r="X63" s="4">
        <f>(VLOOKUP('21.04.01'!AF63,'21.04.01'!$AO$4:$AR$55,4,FALSE))</f>
        <v>0</v>
      </c>
    </row>
    <row r="64" spans="1:24">
      <c r="A64" s="4">
        <f>(VLOOKUP('21.04.01'!I64,'21.04.01'!$AO$4:$AR$55,4,FALSE))</f>
        <v>0</v>
      </c>
      <c r="B64" s="4">
        <f>(VLOOKUP('21.04.01'!J64,'21.04.01'!$AO$4:$AR$55,4,FALSE))</f>
        <v>0</v>
      </c>
      <c r="C64" s="4">
        <f>(VLOOKUP('21.04.01'!K64,'21.04.01'!$AO$4:$AR$55,4,FALSE))</f>
        <v>0</v>
      </c>
      <c r="D64" s="4">
        <f>(VLOOKUP('21.04.01'!L64,'21.04.01'!$AO$4:$AR$55,4,FALSE))</f>
        <v>0</v>
      </c>
      <c r="E64" s="4">
        <f>(VLOOKUP('21.04.01'!M64,'21.04.01'!$AO$4:$AR$55,4,FALSE))</f>
        <v>0</v>
      </c>
      <c r="F64" s="4">
        <f>(VLOOKUP('21.04.01'!N64,'21.04.01'!$AO$4:$AR$55,4,FALSE))</f>
        <v>0</v>
      </c>
      <c r="G64" s="4">
        <f>(VLOOKUP('21.04.01'!O64,'21.04.01'!$AO$4:$AR$55,4,FALSE))</f>
        <v>0</v>
      </c>
      <c r="H64" s="4">
        <f>(VLOOKUP('21.04.01'!P64,'21.04.01'!$AO$4:$AR$55,4,FALSE))</f>
        <v>0</v>
      </c>
      <c r="I64" s="4">
        <f>(VLOOKUP('21.04.01'!Q64,'21.04.01'!$AO$4:$AR$55,4,FALSE))</f>
        <v>0</v>
      </c>
      <c r="J64" s="4">
        <f>(VLOOKUP('21.04.01'!R64,'21.04.01'!$AO$4:$AR$55,4,FALSE))</f>
        <v>0</v>
      </c>
      <c r="K64" s="4">
        <f>(VLOOKUP('21.04.01'!S64,'21.04.01'!$AO$4:$AR$55,4,FALSE))</f>
        <v>0</v>
      </c>
      <c r="L64" s="4">
        <f>(VLOOKUP('21.04.01'!T64,'21.04.01'!$AO$4:$AR$55,4,FALSE))</f>
        <v>0</v>
      </c>
      <c r="M64" s="4">
        <f>(VLOOKUP('21.04.01'!U64,'21.04.01'!$AO$4:$AR$55,4,FALSE))</f>
        <v>0</v>
      </c>
      <c r="N64" s="4">
        <f>(VLOOKUP('21.04.01'!V64,'21.04.01'!$AO$4:$AR$55,4,FALSE))</f>
        <v>0</v>
      </c>
      <c r="O64" s="4">
        <f>(VLOOKUP('21.04.01'!W64,'21.04.01'!$AO$4:$AR$55,4,FALSE))</f>
        <v>0</v>
      </c>
      <c r="P64" s="4">
        <f>(VLOOKUP('21.04.01'!X64,'21.04.01'!$AO$4:$AR$55,4,FALSE))</f>
        <v>0</v>
      </c>
      <c r="Q64" s="4">
        <f>(VLOOKUP('21.04.01'!Y64,'21.04.01'!$AO$4:$AR$55,4,FALSE))</f>
        <v>0</v>
      </c>
      <c r="R64" s="4">
        <f>(VLOOKUP('21.04.01'!Z64,'21.04.01'!$AO$4:$AR$55,4,FALSE))</f>
        <v>0</v>
      </c>
      <c r="S64" s="4">
        <f>(VLOOKUP('21.04.01'!AA64,'21.04.01'!$AO$4:$AR$55,4,FALSE))</f>
        <v>0</v>
      </c>
      <c r="T64" s="4">
        <f>(VLOOKUP('21.04.01'!AB64,'21.04.01'!$AO$4:$AR$55,4,FALSE))</f>
        <v>0</v>
      </c>
      <c r="U64" s="4">
        <f>(VLOOKUP('21.04.01'!AC64,'21.04.01'!$AO$4:$AR$55,4,FALSE))</f>
        <v>0</v>
      </c>
      <c r="V64" s="4">
        <f>(VLOOKUP('21.04.01'!AD64,'21.04.01'!$AO$4:$AR$55,4,FALSE))</f>
        <v>0</v>
      </c>
      <c r="W64" s="4">
        <f>(VLOOKUP('21.04.01'!AE64,'21.04.01'!$AO$4:$AR$55,4,FALSE))</f>
        <v>0</v>
      </c>
      <c r="X64" s="4">
        <f>(VLOOKUP('21.04.01'!AF64,'21.04.01'!$AO$4:$AR$55,4,FALSE))</f>
        <v>0</v>
      </c>
    </row>
    <row r="65" spans="1:24">
      <c r="A65" s="4">
        <f>(VLOOKUP('21.04.01'!I65,'21.04.01'!$AO$4:$AR$55,4,FALSE))</f>
        <v>0</v>
      </c>
      <c r="B65" s="4">
        <f>(VLOOKUP('21.04.01'!J65,'21.04.01'!$AO$4:$AR$55,4,FALSE))</f>
        <v>0</v>
      </c>
      <c r="C65" s="4">
        <f>(VLOOKUP('21.04.01'!K65,'21.04.01'!$AO$4:$AR$55,4,FALSE))</f>
        <v>0</v>
      </c>
      <c r="D65" s="4">
        <f>(VLOOKUP('21.04.01'!L65,'21.04.01'!$AO$4:$AR$55,4,FALSE))</f>
        <v>0</v>
      </c>
      <c r="E65" s="4">
        <f>(VLOOKUP('21.04.01'!M65,'21.04.01'!$AO$4:$AR$55,4,FALSE))</f>
        <v>0</v>
      </c>
      <c r="F65" s="4">
        <f>(VLOOKUP('21.04.01'!N65,'21.04.01'!$AO$4:$AR$55,4,FALSE))</f>
        <v>0</v>
      </c>
      <c r="G65" s="4">
        <f>(VLOOKUP('21.04.01'!O65,'21.04.01'!$AO$4:$AR$55,4,FALSE))</f>
        <v>0</v>
      </c>
      <c r="H65" s="4">
        <f>(VLOOKUP('21.04.01'!P65,'21.04.01'!$AO$4:$AR$55,4,FALSE))</f>
        <v>0</v>
      </c>
      <c r="I65" s="4">
        <f>(VLOOKUP('21.04.01'!Q65,'21.04.01'!$AO$4:$AR$55,4,FALSE))</f>
        <v>0</v>
      </c>
      <c r="J65" s="4">
        <f>(VLOOKUP('21.04.01'!R65,'21.04.01'!$AO$4:$AR$55,4,FALSE))</f>
        <v>0</v>
      </c>
      <c r="K65" s="4">
        <f>(VLOOKUP('21.04.01'!S65,'21.04.01'!$AO$4:$AR$55,4,FALSE))</f>
        <v>0</v>
      </c>
      <c r="L65" s="4">
        <f>(VLOOKUP('21.04.01'!T65,'21.04.01'!$AO$4:$AR$55,4,FALSE))</f>
        <v>0</v>
      </c>
      <c r="M65" s="4">
        <f>(VLOOKUP('21.04.01'!U65,'21.04.01'!$AO$4:$AR$55,4,FALSE))</f>
        <v>0</v>
      </c>
      <c r="N65" s="4">
        <f>(VLOOKUP('21.04.01'!V65,'21.04.01'!$AO$4:$AR$55,4,FALSE))</f>
        <v>0</v>
      </c>
      <c r="O65" s="4">
        <f>(VLOOKUP('21.04.01'!W65,'21.04.01'!$AO$4:$AR$55,4,FALSE))</f>
        <v>0</v>
      </c>
      <c r="P65" s="4">
        <f>(VLOOKUP('21.04.01'!X65,'21.04.01'!$AO$4:$AR$55,4,FALSE))</f>
        <v>0</v>
      </c>
      <c r="Q65" s="4">
        <f>(VLOOKUP('21.04.01'!Y65,'21.04.01'!$AO$4:$AR$55,4,FALSE))</f>
        <v>0</v>
      </c>
      <c r="R65" s="4">
        <f>(VLOOKUP('21.04.01'!Z65,'21.04.01'!$AO$4:$AR$55,4,FALSE))</f>
        <v>0</v>
      </c>
      <c r="S65" s="4">
        <f>(VLOOKUP('21.04.01'!AA65,'21.04.01'!$AO$4:$AR$55,4,FALSE))</f>
        <v>0</v>
      </c>
      <c r="T65" s="4">
        <f>(VLOOKUP('21.04.01'!AB65,'21.04.01'!$AO$4:$AR$55,4,FALSE))</f>
        <v>0</v>
      </c>
      <c r="U65" s="4">
        <f>(VLOOKUP('21.04.01'!AC65,'21.04.01'!$AO$4:$AR$55,4,FALSE))</f>
        <v>0</v>
      </c>
      <c r="V65" s="4">
        <f>(VLOOKUP('21.04.01'!AD65,'21.04.01'!$AO$4:$AR$55,4,FALSE))</f>
        <v>0</v>
      </c>
      <c r="W65" s="4">
        <f>(VLOOKUP('21.04.01'!AE65,'21.04.01'!$AO$4:$AR$55,4,FALSE))</f>
        <v>0</v>
      </c>
      <c r="X65" s="4">
        <f>(VLOOKUP('21.04.01'!AF65,'21.04.01'!$AO$4:$AR$55,4,FALSE))</f>
        <v>0</v>
      </c>
    </row>
    <row r="66" spans="1:24">
      <c r="A66" s="4">
        <f>(VLOOKUP('21.04.01'!I66,'21.04.01'!$AO$4:$AR$55,4,FALSE))</f>
        <v>0</v>
      </c>
      <c r="B66" s="4">
        <f>(VLOOKUP('21.04.01'!J66,'21.04.01'!$AO$4:$AR$55,4,FALSE))</f>
        <v>0</v>
      </c>
      <c r="C66" s="4">
        <f>(VLOOKUP('21.04.01'!K66,'21.04.01'!$AO$4:$AR$55,4,FALSE))</f>
        <v>0</v>
      </c>
      <c r="D66" s="4">
        <f>(VLOOKUP('21.04.01'!L66,'21.04.01'!$AO$4:$AR$55,4,FALSE))</f>
        <v>0</v>
      </c>
      <c r="E66" s="4">
        <f>(VLOOKUP('21.04.01'!M66,'21.04.01'!$AO$4:$AR$55,4,FALSE))</f>
        <v>0</v>
      </c>
      <c r="F66" s="4">
        <f>(VLOOKUP('21.04.01'!N66,'21.04.01'!$AO$4:$AR$55,4,FALSE))</f>
        <v>0</v>
      </c>
      <c r="G66" s="4">
        <f>(VLOOKUP('21.04.01'!O66,'21.04.01'!$AO$4:$AR$55,4,FALSE))</f>
        <v>0</v>
      </c>
      <c r="H66" s="4">
        <f>(VLOOKUP('21.04.01'!P66,'21.04.01'!$AO$4:$AR$55,4,FALSE))</f>
        <v>0</v>
      </c>
      <c r="I66" s="4">
        <f>(VLOOKUP('21.04.01'!Q66,'21.04.01'!$AO$4:$AR$55,4,FALSE))</f>
        <v>0</v>
      </c>
      <c r="J66" s="4">
        <f>(VLOOKUP('21.04.01'!R66,'21.04.01'!$AO$4:$AR$55,4,FALSE))</f>
        <v>0</v>
      </c>
      <c r="K66" s="4">
        <f>(VLOOKUP('21.04.01'!S66,'21.04.01'!$AO$4:$AR$55,4,FALSE))</f>
        <v>0</v>
      </c>
      <c r="L66" s="4">
        <f>(VLOOKUP('21.04.01'!T66,'21.04.01'!$AO$4:$AR$55,4,FALSE))</f>
        <v>0</v>
      </c>
      <c r="M66" s="4">
        <f>(VLOOKUP('21.04.01'!U66,'21.04.01'!$AO$4:$AR$55,4,FALSE))</f>
        <v>0</v>
      </c>
      <c r="N66" s="4">
        <f>(VLOOKUP('21.04.01'!V66,'21.04.01'!$AO$4:$AR$55,4,FALSE))</f>
        <v>0</v>
      </c>
      <c r="O66" s="4">
        <f>(VLOOKUP('21.04.01'!W66,'21.04.01'!$AO$4:$AR$55,4,FALSE))</f>
        <v>0</v>
      </c>
      <c r="P66" s="4">
        <f>(VLOOKUP('21.04.01'!X66,'21.04.01'!$AO$4:$AR$55,4,FALSE))</f>
        <v>0</v>
      </c>
      <c r="Q66" s="4">
        <f>(VLOOKUP('21.04.01'!Y66,'21.04.01'!$AO$4:$AR$55,4,FALSE))</f>
        <v>0</v>
      </c>
      <c r="R66" s="4">
        <f>(VLOOKUP('21.04.01'!Z66,'21.04.01'!$AO$4:$AR$55,4,FALSE))</f>
        <v>0</v>
      </c>
      <c r="S66" s="4">
        <f>(VLOOKUP('21.04.01'!AA66,'21.04.01'!$AO$4:$AR$55,4,FALSE))</f>
        <v>0</v>
      </c>
      <c r="T66" s="4">
        <f>(VLOOKUP('21.04.01'!AB66,'21.04.01'!$AO$4:$AR$55,4,FALSE))</f>
        <v>0</v>
      </c>
      <c r="U66" s="4">
        <f>(VLOOKUP('21.04.01'!AC66,'21.04.01'!$AO$4:$AR$55,4,FALSE))</f>
        <v>0</v>
      </c>
      <c r="V66" s="4">
        <f>(VLOOKUP('21.04.01'!AD66,'21.04.01'!$AO$4:$AR$55,4,FALSE))</f>
        <v>0</v>
      </c>
      <c r="W66" s="4">
        <f>(VLOOKUP('21.04.01'!AE66,'21.04.01'!$AO$4:$AR$55,4,FALSE))</f>
        <v>0</v>
      </c>
      <c r="X66" s="4">
        <f>(VLOOKUP('21.04.01'!AF66,'21.04.01'!$AO$4:$AR$55,4,FALSE))</f>
        <v>0</v>
      </c>
    </row>
    <row r="67" spans="1:24">
      <c r="A67" s="4">
        <f>(VLOOKUP('21.04.01'!I67,'21.04.01'!$AO$4:$AR$55,4,FALSE))</f>
        <v>0</v>
      </c>
      <c r="B67" s="4">
        <f>(VLOOKUP('21.04.01'!J67,'21.04.01'!$AO$4:$AR$55,4,FALSE))</f>
        <v>0</v>
      </c>
      <c r="C67" s="4">
        <f>(VLOOKUP('21.04.01'!K67,'21.04.01'!$AO$4:$AR$55,4,FALSE))</f>
        <v>0</v>
      </c>
      <c r="D67" s="4">
        <f>(VLOOKUP('21.04.01'!L67,'21.04.01'!$AO$4:$AR$55,4,FALSE))</f>
        <v>0</v>
      </c>
      <c r="E67" s="4">
        <f>(VLOOKUP('21.04.01'!M67,'21.04.01'!$AO$4:$AR$55,4,FALSE))</f>
        <v>0</v>
      </c>
      <c r="F67" s="4">
        <f>(VLOOKUP('21.04.01'!N67,'21.04.01'!$AO$4:$AR$55,4,FALSE))</f>
        <v>0</v>
      </c>
      <c r="G67" s="4">
        <f>(VLOOKUP('21.04.01'!O67,'21.04.01'!$AO$4:$AR$55,4,FALSE))</f>
        <v>0</v>
      </c>
      <c r="H67" s="4">
        <f>(VLOOKUP('21.04.01'!P67,'21.04.01'!$AO$4:$AR$55,4,FALSE))</f>
        <v>0</v>
      </c>
      <c r="I67" s="4">
        <f>(VLOOKUP('21.04.01'!Q67,'21.04.01'!$AO$4:$AR$55,4,FALSE))</f>
        <v>0</v>
      </c>
      <c r="J67" s="4">
        <f>(VLOOKUP('21.04.01'!R67,'21.04.01'!$AO$4:$AR$55,4,FALSE))</f>
        <v>0</v>
      </c>
      <c r="K67" s="4">
        <f>(VLOOKUP('21.04.01'!S67,'21.04.01'!$AO$4:$AR$55,4,FALSE))</f>
        <v>0</v>
      </c>
      <c r="L67" s="4">
        <f>(VLOOKUP('21.04.01'!T67,'21.04.01'!$AO$4:$AR$55,4,FALSE))</f>
        <v>0</v>
      </c>
      <c r="M67" s="4">
        <f>(VLOOKUP('21.04.01'!U67,'21.04.01'!$AO$4:$AR$55,4,FALSE))</f>
        <v>0</v>
      </c>
      <c r="N67" s="4">
        <f>(VLOOKUP('21.04.01'!V67,'21.04.01'!$AO$4:$AR$55,4,FALSE))</f>
        <v>0</v>
      </c>
      <c r="O67" s="4">
        <f>(VLOOKUP('21.04.01'!W67,'21.04.01'!$AO$4:$AR$55,4,FALSE))</f>
        <v>0</v>
      </c>
      <c r="P67" s="4">
        <f>(VLOOKUP('21.04.01'!X67,'21.04.01'!$AO$4:$AR$55,4,FALSE))</f>
        <v>0</v>
      </c>
      <c r="Q67" s="4">
        <f>(VLOOKUP('21.04.01'!Y67,'21.04.01'!$AO$4:$AR$55,4,FALSE))</f>
        <v>0</v>
      </c>
      <c r="R67" s="4">
        <f>(VLOOKUP('21.04.01'!Z67,'21.04.01'!$AO$4:$AR$55,4,FALSE))</f>
        <v>0</v>
      </c>
      <c r="S67" s="4">
        <f>(VLOOKUP('21.04.01'!AA67,'21.04.01'!$AO$4:$AR$55,4,FALSE))</f>
        <v>0</v>
      </c>
      <c r="T67" s="4">
        <f>(VLOOKUP('21.04.01'!AB67,'21.04.01'!$AO$4:$AR$55,4,FALSE))</f>
        <v>0</v>
      </c>
      <c r="U67" s="4">
        <f>(VLOOKUP('21.04.01'!AC67,'21.04.01'!$AO$4:$AR$55,4,FALSE))</f>
        <v>0</v>
      </c>
      <c r="V67" s="4">
        <f>(VLOOKUP('21.04.01'!AD67,'21.04.01'!$AO$4:$AR$55,4,FALSE))</f>
        <v>0</v>
      </c>
      <c r="W67" s="4">
        <f>(VLOOKUP('21.04.01'!AE67,'21.04.01'!$AO$4:$AR$55,4,FALSE))</f>
        <v>0</v>
      </c>
      <c r="X67" s="4">
        <f>(VLOOKUP('21.04.01'!AF67,'21.04.01'!$AO$4:$AR$55,4,FALSE))</f>
        <v>0</v>
      </c>
    </row>
    <row r="68" spans="1:24">
      <c r="A68" s="4">
        <f>(VLOOKUP('21.04.01'!I68,'21.04.01'!$AO$4:$AR$55,4,FALSE))</f>
        <v>0</v>
      </c>
      <c r="B68" s="4">
        <f>(VLOOKUP('21.04.01'!J68,'21.04.01'!$AO$4:$AR$55,4,FALSE))</f>
        <v>0</v>
      </c>
      <c r="C68" s="4">
        <f>(VLOOKUP('21.04.01'!K68,'21.04.01'!$AO$4:$AR$55,4,FALSE))</f>
        <v>0</v>
      </c>
      <c r="D68" s="4">
        <f>(VLOOKUP('21.04.01'!L68,'21.04.01'!$AO$4:$AR$55,4,FALSE))</f>
        <v>0</v>
      </c>
      <c r="E68" s="4">
        <f>(VLOOKUP('21.04.01'!M68,'21.04.01'!$AO$4:$AR$55,4,FALSE))</f>
        <v>0</v>
      </c>
      <c r="F68" s="4">
        <f>(VLOOKUP('21.04.01'!N68,'21.04.01'!$AO$4:$AR$55,4,FALSE))</f>
        <v>0</v>
      </c>
      <c r="G68" s="4">
        <f>(VLOOKUP('21.04.01'!O68,'21.04.01'!$AO$4:$AR$55,4,FALSE))</f>
        <v>0</v>
      </c>
      <c r="H68" s="4">
        <f>(VLOOKUP('21.04.01'!P68,'21.04.01'!$AO$4:$AR$55,4,FALSE))</f>
        <v>0</v>
      </c>
      <c r="I68" s="4">
        <f>(VLOOKUP('21.04.01'!Q68,'21.04.01'!$AO$4:$AR$55,4,FALSE))</f>
        <v>0</v>
      </c>
      <c r="J68" s="4">
        <f>(VLOOKUP('21.04.01'!R68,'21.04.01'!$AO$4:$AR$55,4,FALSE))</f>
        <v>0</v>
      </c>
      <c r="K68" s="4">
        <f>(VLOOKUP('21.04.01'!S68,'21.04.01'!$AO$4:$AR$55,4,FALSE))</f>
        <v>0</v>
      </c>
      <c r="L68" s="4">
        <f>(VLOOKUP('21.04.01'!T68,'21.04.01'!$AO$4:$AR$55,4,FALSE))</f>
        <v>0</v>
      </c>
      <c r="M68" s="4">
        <f>(VLOOKUP('21.04.01'!U68,'21.04.01'!$AO$4:$AR$55,4,FALSE))</f>
        <v>0</v>
      </c>
      <c r="N68" s="4">
        <f>(VLOOKUP('21.04.01'!V68,'21.04.01'!$AO$4:$AR$55,4,FALSE))</f>
        <v>0</v>
      </c>
      <c r="O68" s="4">
        <f>(VLOOKUP('21.04.01'!W68,'21.04.01'!$AO$4:$AR$55,4,FALSE))</f>
        <v>0</v>
      </c>
      <c r="P68" s="4">
        <f>(VLOOKUP('21.04.01'!X68,'21.04.01'!$AO$4:$AR$55,4,FALSE))</f>
        <v>0</v>
      </c>
      <c r="Q68" s="4">
        <f>(VLOOKUP('21.04.01'!Y68,'21.04.01'!$AO$4:$AR$55,4,FALSE))</f>
        <v>0</v>
      </c>
      <c r="R68" s="4">
        <f>(VLOOKUP('21.04.01'!Z68,'21.04.01'!$AO$4:$AR$55,4,FALSE))</f>
        <v>0</v>
      </c>
      <c r="S68" s="4">
        <f>(VLOOKUP('21.04.01'!AA68,'21.04.01'!$AO$4:$AR$55,4,FALSE))</f>
        <v>0</v>
      </c>
      <c r="T68" s="4">
        <f>(VLOOKUP('21.04.01'!AB68,'21.04.01'!$AO$4:$AR$55,4,FALSE))</f>
        <v>0</v>
      </c>
      <c r="U68" s="4">
        <f>(VLOOKUP('21.04.01'!AC68,'21.04.01'!$AO$4:$AR$55,4,FALSE))</f>
        <v>0</v>
      </c>
      <c r="V68" s="4">
        <f>(VLOOKUP('21.04.01'!AD68,'21.04.01'!$AO$4:$AR$55,4,FALSE))</f>
        <v>0</v>
      </c>
      <c r="W68" s="4">
        <f>(VLOOKUP('21.04.01'!AE68,'21.04.01'!$AO$4:$AR$55,4,FALSE))</f>
        <v>0</v>
      </c>
      <c r="X68" s="4">
        <f>(VLOOKUP('21.04.01'!AF68,'21.04.01'!$AO$4:$AR$55,4,FALSE))</f>
        <v>0</v>
      </c>
    </row>
    <row r="69" spans="1:24">
      <c r="A69" s="4">
        <f>(VLOOKUP('21.04.01'!I69,'21.04.01'!$AO$4:$AR$55,4,FALSE))</f>
        <v>0</v>
      </c>
      <c r="B69" s="4">
        <f>(VLOOKUP('21.04.01'!J69,'21.04.01'!$AO$4:$AR$55,4,FALSE))</f>
        <v>0</v>
      </c>
      <c r="C69" s="4">
        <f>(VLOOKUP('21.04.01'!K69,'21.04.01'!$AO$4:$AR$55,4,FALSE))</f>
        <v>0</v>
      </c>
      <c r="D69" s="4">
        <f>(VLOOKUP('21.04.01'!L69,'21.04.01'!$AO$4:$AR$55,4,FALSE))</f>
        <v>0</v>
      </c>
      <c r="E69" s="4">
        <f>(VLOOKUP('21.04.01'!M69,'21.04.01'!$AO$4:$AR$55,4,FALSE))</f>
        <v>0</v>
      </c>
      <c r="F69" s="4">
        <f>(VLOOKUP('21.04.01'!N69,'21.04.01'!$AO$4:$AR$55,4,FALSE))</f>
        <v>0</v>
      </c>
      <c r="G69" s="4">
        <f>(VLOOKUP('21.04.01'!O69,'21.04.01'!$AO$4:$AR$55,4,FALSE))</f>
        <v>0</v>
      </c>
      <c r="H69" s="4">
        <f>(VLOOKUP('21.04.01'!P69,'21.04.01'!$AO$4:$AR$55,4,FALSE))</f>
        <v>0</v>
      </c>
      <c r="I69" s="4">
        <f>(VLOOKUP('21.04.01'!Q69,'21.04.01'!$AO$4:$AR$55,4,FALSE))</f>
        <v>0</v>
      </c>
      <c r="J69" s="4">
        <f>(VLOOKUP('21.04.01'!R69,'21.04.01'!$AO$4:$AR$55,4,FALSE))</f>
        <v>0</v>
      </c>
      <c r="K69" s="4">
        <f>(VLOOKUP('21.04.01'!S69,'21.04.01'!$AO$4:$AR$55,4,FALSE))</f>
        <v>0</v>
      </c>
      <c r="L69" s="4">
        <f>(VLOOKUP('21.04.01'!T69,'21.04.01'!$AO$4:$AR$55,4,FALSE))</f>
        <v>0</v>
      </c>
      <c r="M69" s="4">
        <f>(VLOOKUP('21.04.01'!U69,'21.04.01'!$AO$4:$AR$55,4,FALSE))</f>
        <v>0</v>
      </c>
      <c r="N69" s="4">
        <f>(VLOOKUP('21.04.01'!V69,'21.04.01'!$AO$4:$AR$55,4,FALSE))</f>
        <v>0</v>
      </c>
      <c r="O69" s="4">
        <f>(VLOOKUP('21.04.01'!W69,'21.04.01'!$AO$4:$AR$55,4,FALSE))</f>
        <v>0</v>
      </c>
      <c r="P69" s="4">
        <f>(VLOOKUP('21.04.01'!X69,'21.04.01'!$AO$4:$AR$55,4,FALSE))</f>
        <v>0</v>
      </c>
      <c r="Q69" s="4">
        <f>(VLOOKUP('21.04.01'!Y69,'21.04.01'!$AO$4:$AR$55,4,FALSE))</f>
        <v>0</v>
      </c>
      <c r="R69" s="4">
        <f>(VLOOKUP('21.04.01'!Z69,'21.04.01'!$AO$4:$AR$55,4,FALSE))</f>
        <v>0</v>
      </c>
      <c r="S69" s="4">
        <f>(VLOOKUP('21.04.01'!AA69,'21.04.01'!$AO$4:$AR$55,4,FALSE))</f>
        <v>0</v>
      </c>
      <c r="T69" s="4">
        <f>(VLOOKUP('21.04.01'!AB69,'21.04.01'!$AO$4:$AR$55,4,FALSE))</f>
        <v>0</v>
      </c>
      <c r="U69" s="4">
        <f>(VLOOKUP('21.04.01'!AC69,'21.04.01'!$AO$4:$AR$55,4,FALSE))</f>
        <v>0</v>
      </c>
      <c r="V69" s="4">
        <f>(VLOOKUP('21.04.01'!AD69,'21.04.01'!$AO$4:$AR$55,4,FALSE))</f>
        <v>0</v>
      </c>
      <c r="W69" s="4">
        <f>(VLOOKUP('21.04.01'!AE69,'21.04.01'!$AO$4:$AR$55,4,FALSE))</f>
        <v>0</v>
      </c>
      <c r="X69" s="4">
        <f>(VLOOKUP('21.04.01'!AF69,'21.04.01'!$AO$4:$AR$55,4,FALSE))</f>
        <v>0</v>
      </c>
    </row>
    <row r="70" spans="1:24">
      <c r="A70" s="4">
        <f>(VLOOKUP('21.04.01'!I70,'21.04.01'!$AO$4:$AR$55,4,FALSE))</f>
        <v>0</v>
      </c>
      <c r="B70" s="4">
        <f>(VLOOKUP('21.04.01'!J70,'21.04.01'!$AO$4:$AR$55,4,FALSE))</f>
        <v>0</v>
      </c>
      <c r="C70" s="4">
        <f>(VLOOKUP('21.04.01'!K70,'21.04.01'!$AO$4:$AR$55,4,FALSE))</f>
        <v>0</v>
      </c>
      <c r="D70" s="4">
        <f>(VLOOKUP('21.04.01'!L70,'21.04.01'!$AO$4:$AR$55,4,FALSE))</f>
        <v>0</v>
      </c>
      <c r="E70" s="4">
        <f>(VLOOKUP('21.04.01'!M70,'21.04.01'!$AO$4:$AR$55,4,FALSE))</f>
        <v>0</v>
      </c>
      <c r="F70" s="4">
        <f>(VLOOKUP('21.04.01'!N70,'21.04.01'!$AO$4:$AR$55,4,FALSE))</f>
        <v>0</v>
      </c>
      <c r="G70" s="4">
        <f>(VLOOKUP('21.04.01'!O70,'21.04.01'!$AO$4:$AR$55,4,FALSE))</f>
        <v>0</v>
      </c>
      <c r="H70" s="4">
        <f>(VLOOKUP('21.04.01'!P70,'21.04.01'!$AO$4:$AR$55,4,FALSE))</f>
        <v>0</v>
      </c>
      <c r="I70" s="4">
        <f>(VLOOKUP('21.04.01'!Q70,'21.04.01'!$AO$4:$AR$55,4,FALSE))</f>
        <v>0</v>
      </c>
      <c r="J70" s="4">
        <f>(VLOOKUP('21.04.01'!R70,'21.04.01'!$AO$4:$AR$55,4,FALSE))</f>
        <v>0</v>
      </c>
      <c r="K70" s="4">
        <f>(VLOOKUP('21.04.01'!S70,'21.04.01'!$AO$4:$AR$55,4,FALSE))</f>
        <v>0</v>
      </c>
      <c r="L70" s="4">
        <f>(VLOOKUP('21.04.01'!T70,'21.04.01'!$AO$4:$AR$55,4,FALSE))</f>
        <v>0</v>
      </c>
      <c r="M70" s="4">
        <f>(VLOOKUP('21.04.01'!U70,'21.04.01'!$AO$4:$AR$55,4,FALSE))</f>
        <v>0</v>
      </c>
      <c r="N70" s="4">
        <f>(VLOOKUP('21.04.01'!V70,'21.04.01'!$AO$4:$AR$55,4,FALSE))</f>
        <v>0</v>
      </c>
      <c r="O70" s="4">
        <f>(VLOOKUP('21.04.01'!W70,'21.04.01'!$AO$4:$AR$55,4,FALSE))</f>
        <v>0</v>
      </c>
      <c r="P70" s="4">
        <f>(VLOOKUP('21.04.01'!X70,'21.04.01'!$AO$4:$AR$55,4,FALSE))</f>
        <v>0</v>
      </c>
      <c r="Q70" s="4">
        <f>(VLOOKUP('21.04.01'!Y70,'21.04.01'!$AO$4:$AR$55,4,FALSE))</f>
        <v>0</v>
      </c>
      <c r="R70" s="4">
        <f>(VLOOKUP('21.04.01'!Z70,'21.04.01'!$AO$4:$AR$55,4,FALSE))</f>
        <v>0</v>
      </c>
      <c r="S70" s="4">
        <f>(VLOOKUP('21.04.01'!AA70,'21.04.01'!$AO$4:$AR$55,4,FALSE))</f>
        <v>0</v>
      </c>
      <c r="T70" s="4">
        <f>(VLOOKUP('21.04.01'!AB70,'21.04.01'!$AO$4:$AR$55,4,FALSE))</f>
        <v>0</v>
      </c>
      <c r="U70" s="4">
        <f>(VLOOKUP('21.04.01'!AC70,'21.04.01'!$AO$4:$AR$55,4,FALSE))</f>
        <v>0</v>
      </c>
      <c r="V70" s="4">
        <f>(VLOOKUP('21.04.01'!AD70,'21.04.01'!$AO$4:$AR$55,4,FALSE))</f>
        <v>0</v>
      </c>
      <c r="W70" s="4">
        <f>(VLOOKUP('21.04.01'!AE70,'21.04.01'!$AO$4:$AR$55,4,FALSE))</f>
        <v>0</v>
      </c>
      <c r="X70" s="4">
        <f>(VLOOKUP('21.04.01'!AF70,'21.04.01'!$AO$4:$AR$55,4,FALSE))</f>
        <v>0</v>
      </c>
    </row>
    <row r="71" spans="1:24">
      <c r="A71" s="4">
        <f>(VLOOKUP('21.04.01'!I71,'21.04.01'!$AO$4:$AR$55,4,FALSE))</f>
        <v>0</v>
      </c>
      <c r="B71" s="4">
        <f>(VLOOKUP('21.04.01'!J71,'21.04.01'!$AO$4:$AR$55,4,FALSE))</f>
        <v>0</v>
      </c>
      <c r="C71" s="4">
        <f>(VLOOKUP('21.04.01'!K71,'21.04.01'!$AO$4:$AR$55,4,FALSE))</f>
        <v>0</v>
      </c>
      <c r="D71" s="4">
        <f>(VLOOKUP('21.04.01'!L71,'21.04.01'!$AO$4:$AR$55,4,FALSE))</f>
        <v>0</v>
      </c>
      <c r="E71" s="4">
        <f>(VLOOKUP('21.04.01'!M71,'21.04.01'!$AO$4:$AR$55,4,FALSE))</f>
        <v>0</v>
      </c>
      <c r="F71" s="4">
        <f>(VLOOKUP('21.04.01'!N71,'21.04.01'!$AO$4:$AR$55,4,FALSE))</f>
        <v>0</v>
      </c>
      <c r="G71" s="4">
        <f>(VLOOKUP('21.04.01'!O71,'21.04.01'!$AO$4:$AR$55,4,FALSE))</f>
        <v>0</v>
      </c>
      <c r="H71" s="4">
        <f>(VLOOKUP('21.04.01'!P71,'21.04.01'!$AO$4:$AR$55,4,FALSE))</f>
        <v>0</v>
      </c>
      <c r="I71" s="4">
        <f>(VLOOKUP('21.04.01'!Q71,'21.04.01'!$AO$4:$AR$55,4,FALSE))</f>
        <v>0</v>
      </c>
      <c r="J71" s="4">
        <f>(VLOOKUP('21.04.01'!R71,'21.04.01'!$AO$4:$AR$55,4,FALSE))</f>
        <v>0</v>
      </c>
      <c r="K71" s="4">
        <f>(VLOOKUP('21.04.01'!S71,'21.04.01'!$AO$4:$AR$55,4,FALSE))</f>
        <v>0</v>
      </c>
      <c r="L71" s="4">
        <f>(VLOOKUP('21.04.01'!T71,'21.04.01'!$AO$4:$AR$55,4,FALSE))</f>
        <v>0</v>
      </c>
      <c r="M71" s="4">
        <f>(VLOOKUP('21.04.01'!U71,'21.04.01'!$AO$4:$AR$55,4,FALSE))</f>
        <v>0</v>
      </c>
      <c r="N71" s="4">
        <f>(VLOOKUP('21.04.01'!V71,'21.04.01'!$AO$4:$AR$55,4,FALSE))</f>
        <v>0</v>
      </c>
      <c r="O71" s="4">
        <f>(VLOOKUP('21.04.01'!W71,'21.04.01'!$AO$4:$AR$55,4,FALSE))</f>
        <v>0</v>
      </c>
      <c r="P71" s="4">
        <f>(VLOOKUP('21.04.01'!X71,'21.04.01'!$AO$4:$AR$55,4,FALSE))</f>
        <v>0</v>
      </c>
      <c r="Q71" s="4">
        <f>(VLOOKUP('21.04.01'!Y71,'21.04.01'!$AO$4:$AR$55,4,FALSE))</f>
        <v>0</v>
      </c>
      <c r="R71" s="4">
        <f>(VLOOKUP('21.04.01'!Z71,'21.04.01'!$AO$4:$AR$55,4,FALSE))</f>
        <v>0</v>
      </c>
      <c r="S71" s="4">
        <f>(VLOOKUP('21.04.01'!AA71,'21.04.01'!$AO$4:$AR$55,4,FALSE))</f>
        <v>0</v>
      </c>
      <c r="T71" s="4">
        <f>(VLOOKUP('21.04.01'!AB71,'21.04.01'!$AO$4:$AR$55,4,FALSE))</f>
        <v>0</v>
      </c>
      <c r="U71" s="4">
        <f>(VLOOKUP('21.04.01'!AC71,'21.04.01'!$AO$4:$AR$55,4,FALSE))</f>
        <v>0</v>
      </c>
      <c r="V71" s="4">
        <f>(VLOOKUP('21.04.01'!AD71,'21.04.01'!$AO$4:$AR$55,4,FALSE))</f>
        <v>0</v>
      </c>
      <c r="W71" s="4">
        <f>(VLOOKUP('21.04.01'!AE71,'21.04.01'!$AO$4:$AR$55,4,FALSE))</f>
        <v>0</v>
      </c>
      <c r="X71" s="4">
        <f>(VLOOKUP('21.04.01'!AF71,'21.04.01'!$AO$4:$AR$55,4,FALSE))</f>
        <v>0</v>
      </c>
    </row>
    <row r="72" spans="1:24">
      <c r="A72" s="4">
        <f>(VLOOKUP('21.04.01'!I72,'21.04.01'!$AO$4:$AR$55,4,FALSE))</f>
        <v>0</v>
      </c>
      <c r="B72" s="4">
        <f>(VLOOKUP('21.04.01'!J72,'21.04.01'!$AO$4:$AR$55,4,FALSE))</f>
        <v>0</v>
      </c>
      <c r="C72" s="4">
        <f>(VLOOKUP('21.04.01'!K72,'21.04.01'!$AO$4:$AR$55,4,FALSE))</f>
        <v>0</v>
      </c>
      <c r="D72" s="4">
        <f>(VLOOKUP('21.04.01'!L72,'21.04.01'!$AO$4:$AR$55,4,FALSE))</f>
        <v>0</v>
      </c>
      <c r="E72" s="4">
        <f>(VLOOKUP('21.04.01'!M72,'21.04.01'!$AO$4:$AR$55,4,FALSE))</f>
        <v>0</v>
      </c>
      <c r="F72" s="4">
        <f>(VLOOKUP('21.04.01'!N72,'21.04.01'!$AO$4:$AR$55,4,FALSE))</f>
        <v>0</v>
      </c>
      <c r="G72" s="4">
        <f>(VLOOKUP('21.04.01'!O72,'21.04.01'!$AO$4:$AR$55,4,FALSE))</f>
        <v>0</v>
      </c>
      <c r="H72" s="4">
        <f>(VLOOKUP('21.04.01'!P72,'21.04.01'!$AO$4:$AR$55,4,FALSE))</f>
        <v>0</v>
      </c>
      <c r="I72" s="4">
        <f>(VLOOKUP('21.04.01'!Q72,'21.04.01'!$AO$4:$AR$55,4,FALSE))</f>
        <v>0</v>
      </c>
      <c r="J72" s="4">
        <f>(VLOOKUP('21.04.01'!R72,'21.04.01'!$AO$4:$AR$55,4,FALSE))</f>
        <v>0</v>
      </c>
      <c r="K72" s="4">
        <f>(VLOOKUP('21.04.01'!S72,'21.04.01'!$AO$4:$AR$55,4,FALSE))</f>
        <v>0</v>
      </c>
      <c r="L72" s="4">
        <f>(VLOOKUP('21.04.01'!T72,'21.04.01'!$AO$4:$AR$55,4,FALSE))</f>
        <v>0</v>
      </c>
      <c r="M72" s="4">
        <f>(VLOOKUP('21.04.01'!U72,'21.04.01'!$AO$4:$AR$55,4,FALSE))</f>
        <v>0</v>
      </c>
      <c r="N72" s="4">
        <f>(VLOOKUP('21.04.01'!V72,'21.04.01'!$AO$4:$AR$55,4,FALSE))</f>
        <v>0</v>
      </c>
      <c r="O72" s="4">
        <f>(VLOOKUP('21.04.01'!W72,'21.04.01'!$AO$4:$AR$55,4,FALSE))</f>
        <v>0</v>
      </c>
      <c r="P72" s="4">
        <f>(VLOOKUP('21.04.01'!X72,'21.04.01'!$AO$4:$AR$55,4,FALSE))</f>
        <v>0</v>
      </c>
      <c r="Q72" s="4">
        <f>(VLOOKUP('21.04.01'!Y72,'21.04.01'!$AO$4:$AR$55,4,FALSE))</f>
        <v>0</v>
      </c>
      <c r="R72" s="4">
        <f>(VLOOKUP('21.04.01'!Z72,'21.04.01'!$AO$4:$AR$55,4,FALSE))</f>
        <v>0</v>
      </c>
      <c r="S72" s="4">
        <f>(VLOOKUP('21.04.01'!AA72,'21.04.01'!$AO$4:$AR$55,4,FALSE))</f>
        <v>0</v>
      </c>
      <c r="T72" s="4">
        <f>(VLOOKUP('21.04.01'!AB72,'21.04.01'!$AO$4:$AR$55,4,FALSE))</f>
        <v>0</v>
      </c>
      <c r="U72" s="4">
        <f>(VLOOKUP('21.04.01'!AC72,'21.04.01'!$AO$4:$AR$55,4,FALSE))</f>
        <v>0</v>
      </c>
      <c r="V72" s="4">
        <f>(VLOOKUP('21.04.01'!AD72,'21.04.01'!$AO$4:$AR$55,4,FALSE))</f>
        <v>0</v>
      </c>
      <c r="W72" s="4">
        <f>(VLOOKUP('21.04.01'!AE72,'21.04.01'!$AO$4:$AR$55,4,FALSE))</f>
        <v>0</v>
      </c>
      <c r="X72" s="4">
        <f>(VLOOKUP('21.04.01'!AF72,'21.04.01'!$AO$4:$AR$55,4,FALSE))</f>
        <v>0</v>
      </c>
    </row>
    <row r="73" spans="1:24">
      <c r="A73" s="4">
        <f>(VLOOKUP('21.04.01'!I73,'21.04.01'!$AO$4:$AR$55,4,FALSE))</f>
        <v>0</v>
      </c>
      <c r="B73" s="4">
        <f>(VLOOKUP('21.04.01'!J73,'21.04.01'!$AO$4:$AR$55,4,FALSE))</f>
        <v>0</v>
      </c>
      <c r="C73" s="4">
        <f>(VLOOKUP('21.04.01'!K73,'21.04.01'!$AO$4:$AR$55,4,FALSE))</f>
        <v>0</v>
      </c>
      <c r="D73" s="4">
        <f>(VLOOKUP('21.04.01'!L73,'21.04.01'!$AO$4:$AR$55,4,FALSE))</f>
        <v>0</v>
      </c>
      <c r="E73" s="4">
        <f>(VLOOKUP('21.04.01'!M73,'21.04.01'!$AO$4:$AR$55,4,FALSE))</f>
        <v>0</v>
      </c>
      <c r="F73" s="4">
        <f>(VLOOKUP('21.04.01'!N73,'21.04.01'!$AO$4:$AR$55,4,FALSE))</f>
        <v>0</v>
      </c>
      <c r="G73" s="4">
        <f>(VLOOKUP('21.04.01'!O73,'21.04.01'!$AO$4:$AR$55,4,FALSE))</f>
        <v>0</v>
      </c>
      <c r="H73" s="4">
        <f>(VLOOKUP('21.04.01'!P73,'21.04.01'!$AO$4:$AR$55,4,FALSE))</f>
        <v>0</v>
      </c>
      <c r="I73" s="4">
        <f>(VLOOKUP('21.04.01'!Q73,'21.04.01'!$AO$4:$AR$55,4,FALSE))</f>
        <v>0</v>
      </c>
      <c r="J73" s="4">
        <f>(VLOOKUP('21.04.01'!R73,'21.04.01'!$AO$4:$AR$55,4,FALSE))</f>
        <v>0</v>
      </c>
      <c r="K73" s="4">
        <f>(VLOOKUP('21.04.01'!S73,'21.04.01'!$AO$4:$AR$55,4,FALSE))</f>
        <v>0</v>
      </c>
      <c r="L73" s="4">
        <f>(VLOOKUP('21.04.01'!T73,'21.04.01'!$AO$4:$AR$55,4,FALSE))</f>
        <v>0</v>
      </c>
      <c r="M73" s="4">
        <f>(VLOOKUP('21.04.01'!U73,'21.04.01'!$AO$4:$AR$55,4,FALSE))</f>
        <v>0</v>
      </c>
      <c r="N73" s="4">
        <f>(VLOOKUP('21.04.01'!V73,'21.04.01'!$AO$4:$AR$55,4,FALSE))</f>
        <v>0</v>
      </c>
      <c r="O73" s="4">
        <f>(VLOOKUP('21.04.01'!W73,'21.04.01'!$AO$4:$AR$55,4,FALSE))</f>
        <v>0</v>
      </c>
      <c r="P73" s="4">
        <f>(VLOOKUP('21.04.01'!X73,'21.04.01'!$AO$4:$AR$55,4,FALSE))</f>
        <v>0</v>
      </c>
      <c r="Q73" s="4">
        <f>(VLOOKUP('21.04.01'!Y73,'21.04.01'!$AO$4:$AR$55,4,FALSE))</f>
        <v>0</v>
      </c>
      <c r="R73" s="4">
        <f>(VLOOKUP('21.04.01'!Z73,'21.04.01'!$AO$4:$AR$55,4,FALSE))</f>
        <v>0</v>
      </c>
      <c r="S73" s="4">
        <f>(VLOOKUP('21.04.01'!AA73,'21.04.01'!$AO$4:$AR$55,4,FALSE))</f>
        <v>0</v>
      </c>
      <c r="T73" s="4">
        <f>(VLOOKUP('21.04.01'!AB73,'21.04.01'!$AO$4:$AR$55,4,FALSE))</f>
        <v>0</v>
      </c>
      <c r="U73" s="4">
        <f>(VLOOKUP('21.04.01'!AC73,'21.04.01'!$AO$4:$AR$55,4,FALSE))</f>
        <v>0</v>
      </c>
      <c r="V73" s="4">
        <f>(VLOOKUP('21.04.01'!AD73,'21.04.01'!$AO$4:$AR$55,4,FALSE))</f>
        <v>0</v>
      </c>
      <c r="W73" s="4">
        <f>(VLOOKUP('21.04.01'!AE73,'21.04.01'!$AO$4:$AR$55,4,FALSE))</f>
        <v>0</v>
      </c>
      <c r="X73" s="4">
        <f>(VLOOKUP('21.04.01'!AF73,'21.04.01'!$AO$4:$AR$55,4,FALSE))</f>
        <v>0</v>
      </c>
    </row>
    <row r="74" spans="1:24">
      <c r="A74" s="4">
        <f>(VLOOKUP('21.04.01'!I74,'21.04.01'!$AO$4:$AR$55,4,FALSE))</f>
        <v>0</v>
      </c>
      <c r="B74" s="4">
        <f>(VLOOKUP('21.04.01'!J74,'21.04.01'!$AO$4:$AR$55,4,FALSE))</f>
        <v>0</v>
      </c>
      <c r="C74" s="4">
        <f>(VLOOKUP('21.04.01'!K74,'21.04.01'!$AO$4:$AR$55,4,FALSE))</f>
        <v>0</v>
      </c>
      <c r="D74" s="4">
        <f>(VLOOKUP('21.04.01'!L74,'21.04.01'!$AO$4:$AR$55,4,FALSE))</f>
        <v>0</v>
      </c>
      <c r="E74" s="4">
        <f>(VLOOKUP('21.04.01'!M74,'21.04.01'!$AO$4:$AR$55,4,FALSE))</f>
        <v>0</v>
      </c>
      <c r="F74" s="4">
        <f>(VLOOKUP('21.04.01'!N74,'21.04.01'!$AO$4:$AR$55,4,FALSE))</f>
        <v>0</v>
      </c>
      <c r="G74" s="4">
        <f>(VLOOKUP('21.04.01'!O74,'21.04.01'!$AO$4:$AR$55,4,FALSE))</f>
        <v>0</v>
      </c>
      <c r="H74" s="4">
        <f>(VLOOKUP('21.04.01'!P74,'21.04.01'!$AO$4:$AR$55,4,FALSE))</f>
        <v>0</v>
      </c>
      <c r="I74" s="4">
        <f>(VLOOKUP('21.04.01'!Q74,'21.04.01'!$AO$4:$AR$55,4,FALSE))</f>
        <v>0</v>
      </c>
      <c r="J74" s="4">
        <f>(VLOOKUP('21.04.01'!R74,'21.04.01'!$AO$4:$AR$55,4,FALSE))</f>
        <v>0</v>
      </c>
      <c r="K74" s="4">
        <f>(VLOOKUP('21.04.01'!S74,'21.04.01'!$AO$4:$AR$55,4,FALSE))</f>
        <v>0</v>
      </c>
      <c r="L74" s="4">
        <f>(VLOOKUP('21.04.01'!T74,'21.04.01'!$AO$4:$AR$55,4,FALSE))</f>
        <v>0</v>
      </c>
      <c r="M74" s="4">
        <f>(VLOOKUP('21.04.01'!U74,'21.04.01'!$AO$4:$AR$55,4,FALSE))</f>
        <v>0</v>
      </c>
      <c r="N74" s="4">
        <f>(VLOOKUP('21.04.01'!V74,'21.04.01'!$AO$4:$AR$55,4,FALSE))</f>
        <v>0</v>
      </c>
      <c r="O74" s="4">
        <f>(VLOOKUP('21.04.01'!W74,'21.04.01'!$AO$4:$AR$55,4,FALSE))</f>
        <v>0</v>
      </c>
      <c r="P74" s="4">
        <f>(VLOOKUP('21.04.01'!X74,'21.04.01'!$AO$4:$AR$55,4,FALSE))</f>
        <v>0</v>
      </c>
      <c r="Q74" s="4">
        <f>(VLOOKUP('21.04.01'!Y74,'21.04.01'!$AO$4:$AR$55,4,FALSE))</f>
        <v>0</v>
      </c>
      <c r="R74" s="4">
        <f>(VLOOKUP('21.04.01'!Z74,'21.04.01'!$AO$4:$AR$55,4,FALSE))</f>
        <v>0</v>
      </c>
      <c r="S74" s="4">
        <f>(VLOOKUP('21.04.01'!AA74,'21.04.01'!$AO$4:$AR$55,4,FALSE))</f>
        <v>0</v>
      </c>
      <c r="T74" s="4">
        <f>(VLOOKUP('21.04.01'!AB74,'21.04.01'!$AO$4:$AR$55,4,FALSE))</f>
        <v>0</v>
      </c>
      <c r="U74" s="4">
        <f>(VLOOKUP('21.04.01'!AC74,'21.04.01'!$AO$4:$AR$55,4,FALSE))</f>
        <v>0</v>
      </c>
      <c r="V74" s="4">
        <f>(VLOOKUP('21.04.01'!AD74,'21.04.01'!$AO$4:$AR$55,4,FALSE))</f>
        <v>0</v>
      </c>
      <c r="W74" s="4">
        <f>(VLOOKUP('21.04.01'!AE74,'21.04.01'!$AO$4:$AR$55,4,FALSE))</f>
        <v>0</v>
      </c>
      <c r="X74" s="4">
        <f>(VLOOKUP('21.04.01'!AF74,'21.04.01'!$AO$4:$AR$55,4,FALSE))</f>
        <v>0</v>
      </c>
    </row>
    <row r="75" spans="1:24">
      <c r="A75" s="4">
        <f>(VLOOKUP('21.04.01'!I75,'21.04.01'!$AO$4:$AR$55,4,FALSE))</f>
        <v>0</v>
      </c>
      <c r="B75" s="4">
        <f>(VLOOKUP('21.04.01'!J75,'21.04.01'!$AO$4:$AR$55,4,FALSE))</f>
        <v>0</v>
      </c>
      <c r="C75" s="4">
        <f>(VLOOKUP('21.04.01'!K75,'21.04.01'!$AO$4:$AR$55,4,FALSE))</f>
        <v>0</v>
      </c>
      <c r="D75" s="4">
        <f>(VLOOKUP('21.04.01'!L75,'21.04.01'!$AO$4:$AR$55,4,FALSE))</f>
        <v>0</v>
      </c>
      <c r="E75" s="4">
        <f>(VLOOKUP('21.04.01'!M75,'21.04.01'!$AO$4:$AR$55,4,FALSE))</f>
        <v>0</v>
      </c>
      <c r="F75" s="4">
        <f>(VLOOKUP('21.04.01'!N75,'21.04.01'!$AO$4:$AR$55,4,FALSE))</f>
        <v>0</v>
      </c>
      <c r="G75" s="4">
        <f>(VLOOKUP('21.04.01'!O75,'21.04.01'!$AO$4:$AR$55,4,FALSE))</f>
        <v>0</v>
      </c>
      <c r="H75" s="4">
        <f>(VLOOKUP('21.04.01'!P75,'21.04.01'!$AO$4:$AR$55,4,FALSE))</f>
        <v>0</v>
      </c>
      <c r="I75" s="4">
        <f>(VLOOKUP('21.04.01'!Q75,'21.04.01'!$AO$4:$AR$55,4,FALSE))</f>
        <v>0</v>
      </c>
      <c r="J75" s="4">
        <f>(VLOOKUP('21.04.01'!R75,'21.04.01'!$AO$4:$AR$55,4,FALSE))</f>
        <v>0</v>
      </c>
      <c r="K75" s="4">
        <f>(VLOOKUP('21.04.01'!S75,'21.04.01'!$AO$4:$AR$55,4,FALSE))</f>
        <v>0</v>
      </c>
      <c r="L75" s="4">
        <f>(VLOOKUP('21.04.01'!T75,'21.04.01'!$AO$4:$AR$55,4,FALSE))</f>
        <v>0</v>
      </c>
      <c r="M75" s="4">
        <f>(VLOOKUP('21.04.01'!U75,'21.04.01'!$AO$4:$AR$55,4,FALSE))</f>
        <v>0</v>
      </c>
      <c r="N75" s="4">
        <f>(VLOOKUP('21.04.01'!V75,'21.04.01'!$AO$4:$AR$55,4,FALSE))</f>
        <v>0</v>
      </c>
      <c r="O75" s="4">
        <f>(VLOOKUP('21.04.01'!W75,'21.04.01'!$AO$4:$AR$55,4,FALSE))</f>
        <v>0</v>
      </c>
      <c r="P75" s="4">
        <f>(VLOOKUP('21.04.01'!X75,'21.04.01'!$AO$4:$AR$55,4,FALSE))</f>
        <v>0</v>
      </c>
      <c r="Q75" s="4">
        <f>(VLOOKUP('21.04.01'!Y75,'21.04.01'!$AO$4:$AR$55,4,FALSE))</f>
        <v>0</v>
      </c>
      <c r="R75" s="4">
        <f>(VLOOKUP('21.04.01'!Z75,'21.04.01'!$AO$4:$AR$55,4,FALSE))</f>
        <v>0</v>
      </c>
      <c r="S75" s="4">
        <f>(VLOOKUP('21.04.01'!AA75,'21.04.01'!$AO$4:$AR$55,4,FALSE))</f>
        <v>0</v>
      </c>
      <c r="T75" s="4">
        <f>(VLOOKUP('21.04.01'!AB75,'21.04.01'!$AO$4:$AR$55,4,FALSE))</f>
        <v>0</v>
      </c>
      <c r="U75" s="4">
        <f>(VLOOKUP('21.04.01'!AC75,'21.04.01'!$AO$4:$AR$55,4,FALSE))</f>
        <v>0</v>
      </c>
      <c r="V75" s="4">
        <f>(VLOOKUP('21.04.01'!AD75,'21.04.01'!$AO$4:$AR$55,4,FALSE))</f>
        <v>0</v>
      </c>
      <c r="W75" s="4">
        <f>(VLOOKUP('21.04.01'!AE75,'21.04.01'!$AO$4:$AR$55,4,FALSE))</f>
        <v>0</v>
      </c>
      <c r="X75" s="4">
        <f>(VLOOKUP('21.04.01'!AF75,'21.04.01'!$AO$4:$AR$55,4,FALSE))</f>
        <v>0</v>
      </c>
    </row>
    <row r="76" spans="1:24">
      <c r="A76" s="4">
        <f>(VLOOKUP('21.04.01'!I76,'21.04.01'!$AO$4:$AR$55,4,FALSE))</f>
        <v>0</v>
      </c>
      <c r="B76" s="4">
        <f>(VLOOKUP('21.04.01'!J76,'21.04.01'!$AO$4:$AR$55,4,FALSE))</f>
        <v>0</v>
      </c>
      <c r="C76" s="4">
        <f>(VLOOKUP('21.04.01'!K76,'21.04.01'!$AO$4:$AR$55,4,FALSE))</f>
        <v>0</v>
      </c>
      <c r="D76" s="4">
        <f>(VLOOKUP('21.04.01'!L76,'21.04.01'!$AO$4:$AR$55,4,FALSE))</f>
        <v>0</v>
      </c>
      <c r="E76" s="4">
        <f>(VLOOKUP('21.04.01'!M76,'21.04.01'!$AO$4:$AR$55,4,FALSE))</f>
        <v>0</v>
      </c>
      <c r="F76" s="4">
        <f>(VLOOKUP('21.04.01'!N76,'21.04.01'!$AO$4:$AR$55,4,FALSE))</f>
        <v>0</v>
      </c>
      <c r="G76" s="4">
        <f>(VLOOKUP('21.04.01'!O76,'21.04.01'!$AO$4:$AR$55,4,FALSE))</f>
        <v>0</v>
      </c>
      <c r="H76" s="4">
        <f>(VLOOKUP('21.04.01'!P76,'21.04.01'!$AO$4:$AR$55,4,FALSE))</f>
        <v>0</v>
      </c>
      <c r="I76" s="4">
        <f>(VLOOKUP('21.04.01'!Q76,'21.04.01'!$AO$4:$AR$55,4,FALSE))</f>
        <v>0</v>
      </c>
      <c r="J76" s="4">
        <f>(VLOOKUP('21.04.01'!R76,'21.04.01'!$AO$4:$AR$55,4,FALSE))</f>
        <v>0</v>
      </c>
      <c r="K76" s="4">
        <f>(VLOOKUP('21.04.01'!S76,'21.04.01'!$AO$4:$AR$55,4,FALSE))</f>
        <v>0</v>
      </c>
      <c r="L76" s="4">
        <f>(VLOOKUP('21.04.01'!T76,'21.04.01'!$AO$4:$AR$55,4,FALSE))</f>
        <v>0</v>
      </c>
      <c r="M76" s="4">
        <f>(VLOOKUP('21.04.01'!U76,'21.04.01'!$AO$4:$AR$55,4,FALSE))</f>
        <v>0</v>
      </c>
      <c r="N76" s="4">
        <f>(VLOOKUP('21.04.01'!V76,'21.04.01'!$AO$4:$AR$55,4,FALSE))</f>
        <v>0</v>
      </c>
      <c r="O76" s="4">
        <f>(VLOOKUP('21.04.01'!W76,'21.04.01'!$AO$4:$AR$55,4,FALSE))</f>
        <v>0</v>
      </c>
      <c r="P76" s="4">
        <f>(VLOOKUP('21.04.01'!X76,'21.04.01'!$AO$4:$AR$55,4,FALSE))</f>
        <v>0</v>
      </c>
      <c r="Q76" s="4">
        <f>(VLOOKUP('21.04.01'!Y76,'21.04.01'!$AO$4:$AR$55,4,FALSE))</f>
        <v>0</v>
      </c>
      <c r="R76" s="4">
        <f>(VLOOKUP('21.04.01'!Z76,'21.04.01'!$AO$4:$AR$55,4,FALSE))</f>
        <v>0</v>
      </c>
      <c r="S76" s="4">
        <f>(VLOOKUP('21.04.01'!AA76,'21.04.01'!$AO$4:$AR$55,4,FALSE))</f>
        <v>0</v>
      </c>
      <c r="T76" s="4">
        <f>(VLOOKUP('21.04.01'!AB76,'21.04.01'!$AO$4:$AR$55,4,FALSE))</f>
        <v>0</v>
      </c>
      <c r="U76" s="4">
        <f>(VLOOKUP('21.04.01'!AC76,'21.04.01'!$AO$4:$AR$55,4,FALSE))</f>
        <v>0</v>
      </c>
      <c r="V76" s="4">
        <f>(VLOOKUP('21.04.01'!AD76,'21.04.01'!$AO$4:$AR$55,4,FALSE))</f>
        <v>0</v>
      </c>
      <c r="W76" s="4">
        <f>(VLOOKUP('21.04.01'!AE76,'21.04.01'!$AO$4:$AR$55,4,FALSE))</f>
        <v>0</v>
      </c>
      <c r="X76" s="4">
        <f>(VLOOKUP('21.04.01'!AF76,'21.04.01'!$AO$4:$AR$55,4,FALSE))</f>
        <v>0</v>
      </c>
    </row>
    <row r="77" spans="1:24">
      <c r="A77" s="4">
        <f>(VLOOKUP('21.04.01'!I77,'21.04.01'!$AO$4:$AR$55,4,FALSE))</f>
        <v>0</v>
      </c>
      <c r="B77" s="4">
        <f>(VLOOKUP('21.04.01'!J77,'21.04.01'!$AO$4:$AR$55,4,FALSE))</f>
        <v>0</v>
      </c>
      <c r="C77" s="4">
        <f>(VLOOKUP('21.04.01'!K77,'21.04.01'!$AO$4:$AR$55,4,FALSE))</f>
        <v>0</v>
      </c>
      <c r="D77" s="4">
        <f>(VLOOKUP('21.04.01'!L77,'21.04.01'!$AO$4:$AR$55,4,FALSE))</f>
        <v>0</v>
      </c>
      <c r="E77" s="4">
        <f>(VLOOKUP('21.04.01'!M77,'21.04.01'!$AO$4:$AR$55,4,FALSE))</f>
        <v>0</v>
      </c>
      <c r="F77" s="4">
        <f>(VLOOKUP('21.04.01'!N77,'21.04.01'!$AO$4:$AR$55,4,FALSE))</f>
        <v>0</v>
      </c>
      <c r="G77" s="4">
        <f>(VLOOKUP('21.04.01'!O77,'21.04.01'!$AO$4:$AR$55,4,FALSE))</f>
        <v>0</v>
      </c>
      <c r="H77" s="4">
        <f>(VLOOKUP('21.04.01'!P77,'21.04.01'!$AO$4:$AR$55,4,FALSE))</f>
        <v>0</v>
      </c>
      <c r="I77" s="4">
        <f>(VLOOKUP('21.04.01'!Q77,'21.04.01'!$AO$4:$AR$55,4,FALSE))</f>
        <v>0</v>
      </c>
      <c r="J77" s="4">
        <f>(VLOOKUP('21.04.01'!R77,'21.04.01'!$AO$4:$AR$55,4,FALSE))</f>
        <v>0</v>
      </c>
      <c r="K77" s="4">
        <f>(VLOOKUP('21.04.01'!S77,'21.04.01'!$AO$4:$AR$55,4,FALSE))</f>
        <v>0</v>
      </c>
      <c r="L77" s="4">
        <f>(VLOOKUP('21.04.01'!T77,'21.04.01'!$AO$4:$AR$55,4,FALSE))</f>
        <v>0</v>
      </c>
      <c r="M77" s="4">
        <f>(VLOOKUP('21.04.01'!U77,'21.04.01'!$AO$4:$AR$55,4,FALSE))</f>
        <v>0</v>
      </c>
      <c r="N77" s="4">
        <f>(VLOOKUP('21.04.01'!V77,'21.04.01'!$AO$4:$AR$55,4,FALSE))</f>
        <v>0</v>
      </c>
      <c r="O77" s="4">
        <f>(VLOOKUP('21.04.01'!W77,'21.04.01'!$AO$4:$AR$55,4,FALSE))</f>
        <v>0</v>
      </c>
      <c r="P77" s="4">
        <f>(VLOOKUP('21.04.01'!X77,'21.04.01'!$AO$4:$AR$55,4,FALSE))</f>
        <v>0</v>
      </c>
      <c r="Q77" s="4">
        <f>(VLOOKUP('21.04.01'!Y77,'21.04.01'!$AO$4:$AR$55,4,FALSE))</f>
        <v>0</v>
      </c>
      <c r="R77" s="4">
        <f>(VLOOKUP('21.04.01'!Z77,'21.04.01'!$AO$4:$AR$55,4,FALSE))</f>
        <v>0</v>
      </c>
      <c r="S77" s="4">
        <f>(VLOOKUP('21.04.01'!AA77,'21.04.01'!$AO$4:$AR$55,4,FALSE))</f>
        <v>0</v>
      </c>
      <c r="T77" s="4">
        <f>(VLOOKUP('21.04.01'!AB77,'21.04.01'!$AO$4:$AR$55,4,FALSE))</f>
        <v>0</v>
      </c>
      <c r="U77" s="4">
        <f>(VLOOKUP('21.04.01'!AC77,'21.04.01'!$AO$4:$AR$55,4,FALSE))</f>
        <v>0</v>
      </c>
      <c r="V77" s="4">
        <f>(VLOOKUP('21.04.01'!AD77,'21.04.01'!$AO$4:$AR$55,4,FALSE))</f>
        <v>0</v>
      </c>
      <c r="W77" s="4">
        <f>(VLOOKUP('21.04.01'!AE77,'21.04.01'!$AO$4:$AR$55,4,FALSE))</f>
        <v>0</v>
      </c>
      <c r="X77" s="4">
        <f>(VLOOKUP('21.04.01'!AF77,'21.04.01'!$AO$4:$AR$55,4,FALSE))</f>
        <v>0</v>
      </c>
    </row>
    <row r="78" spans="1:24">
      <c r="A78" s="4">
        <f>(VLOOKUP('21.04.01'!I78,'21.04.01'!$AO$4:$AR$55,4,FALSE))</f>
        <v>0</v>
      </c>
      <c r="B78" s="4">
        <f>(VLOOKUP('21.04.01'!J78,'21.04.01'!$AO$4:$AR$55,4,FALSE))</f>
        <v>0</v>
      </c>
      <c r="C78" s="4">
        <f>(VLOOKUP('21.04.01'!K78,'21.04.01'!$AO$4:$AR$55,4,FALSE))</f>
        <v>0</v>
      </c>
      <c r="D78" s="4">
        <f>(VLOOKUP('21.04.01'!L78,'21.04.01'!$AO$4:$AR$55,4,FALSE))</f>
        <v>0</v>
      </c>
      <c r="E78" s="4">
        <f>(VLOOKUP('21.04.01'!M78,'21.04.01'!$AO$4:$AR$55,4,FALSE))</f>
        <v>0</v>
      </c>
      <c r="F78" s="4">
        <f>(VLOOKUP('21.04.01'!N78,'21.04.01'!$AO$4:$AR$55,4,FALSE))</f>
        <v>0</v>
      </c>
      <c r="G78" s="4">
        <f>(VLOOKUP('21.04.01'!O78,'21.04.01'!$AO$4:$AR$55,4,FALSE))</f>
        <v>0</v>
      </c>
      <c r="H78" s="4">
        <f>(VLOOKUP('21.04.01'!P78,'21.04.01'!$AO$4:$AR$55,4,FALSE))</f>
        <v>0</v>
      </c>
      <c r="I78" s="4">
        <f>(VLOOKUP('21.04.01'!Q78,'21.04.01'!$AO$4:$AR$55,4,FALSE))</f>
        <v>0</v>
      </c>
      <c r="J78" s="4">
        <f>(VLOOKUP('21.04.01'!R78,'21.04.01'!$AO$4:$AR$55,4,FALSE))</f>
        <v>0</v>
      </c>
      <c r="K78" s="4">
        <f>(VLOOKUP('21.04.01'!S78,'21.04.01'!$AO$4:$AR$55,4,FALSE))</f>
        <v>0</v>
      </c>
      <c r="L78" s="4">
        <f>(VLOOKUP('21.04.01'!T78,'21.04.01'!$AO$4:$AR$55,4,FALSE))</f>
        <v>0</v>
      </c>
      <c r="M78" s="4">
        <f>(VLOOKUP('21.04.01'!U78,'21.04.01'!$AO$4:$AR$55,4,FALSE))</f>
        <v>0</v>
      </c>
      <c r="N78" s="4">
        <f>(VLOOKUP('21.04.01'!V78,'21.04.01'!$AO$4:$AR$55,4,FALSE))</f>
        <v>0</v>
      </c>
      <c r="O78" s="4">
        <f>(VLOOKUP('21.04.01'!W78,'21.04.01'!$AO$4:$AR$55,4,FALSE))</f>
        <v>0</v>
      </c>
      <c r="P78" s="4">
        <f>(VLOOKUP('21.04.01'!X78,'21.04.01'!$AO$4:$AR$55,4,FALSE))</f>
        <v>0</v>
      </c>
      <c r="Q78" s="4">
        <f>(VLOOKUP('21.04.01'!Y78,'21.04.01'!$AO$4:$AR$55,4,FALSE))</f>
        <v>0</v>
      </c>
      <c r="R78" s="4">
        <f>(VLOOKUP('21.04.01'!Z78,'21.04.01'!$AO$4:$AR$55,4,FALSE))</f>
        <v>0</v>
      </c>
      <c r="S78" s="4">
        <f>(VLOOKUP('21.04.01'!AA78,'21.04.01'!$AO$4:$AR$55,4,FALSE))</f>
        <v>0</v>
      </c>
      <c r="T78" s="4">
        <f>(VLOOKUP('21.04.01'!AB78,'21.04.01'!$AO$4:$AR$55,4,FALSE))</f>
        <v>0</v>
      </c>
      <c r="U78" s="4">
        <f>(VLOOKUP('21.04.01'!AC78,'21.04.01'!$AO$4:$AR$55,4,FALSE))</f>
        <v>0</v>
      </c>
      <c r="V78" s="4">
        <f>(VLOOKUP('21.04.01'!AD78,'21.04.01'!$AO$4:$AR$55,4,FALSE))</f>
        <v>0</v>
      </c>
      <c r="W78" s="4">
        <f>(VLOOKUP('21.04.01'!AE78,'21.04.01'!$AO$4:$AR$55,4,FALSE))</f>
        <v>0</v>
      </c>
      <c r="X78" s="4">
        <f>(VLOOKUP('21.04.01'!AF78,'21.04.01'!$AO$4:$AR$55,4,FALSE))</f>
        <v>0</v>
      </c>
    </row>
    <row r="79" spans="1:24">
      <c r="A79" s="4">
        <f>(VLOOKUP('21.04.01'!I79,'21.04.01'!$AO$4:$AR$55,4,FALSE))</f>
        <v>0</v>
      </c>
      <c r="B79" s="4">
        <f>(VLOOKUP('21.04.01'!J79,'21.04.01'!$AO$4:$AR$55,4,FALSE))</f>
        <v>0</v>
      </c>
      <c r="C79" s="4">
        <f>(VLOOKUP('21.04.01'!K79,'21.04.01'!$AO$4:$AR$55,4,FALSE))</f>
        <v>0</v>
      </c>
      <c r="D79" s="4">
        <f>(VLOOKUP('21.04.01'!L79,'21.04.01'!$AO$4:$AR$55,4,FALSE))</f>
        <v>0</v>
      </c>
      <c r="E79" s="4">
        <f>(VLOOKUP('21.04.01'!M79,'21.04.01'!$AO$4:$AR$55,4,FALSE))</f>
        <v>0</v>
      </c>
      <c r="F79" s="4">
        <f>(VLOOKUP('21.04.01'!N79,'21.04.01'!$AO$4:$AR$55,4,FALSE))</f>
        <v>0</v>
      </c>
      <c r="G79" s="4">
        <f>(VLOOKUP('21.04.01'!O79,'21.04.01'!$AO$4:$AR$55,4,FALSE))</f>
        <v>0</v>
      </c>
      <c r="H79" s="4">
        <f>(VLOOKUP('21.04.01'!P79,'21.04.01'!$AO$4:$AR$55,4,FALSE))</f>
        <v>0</v>
      </c>
      <c r="I79" s="4">
        <f>(VLOOKUP('21.04.01'!Q79,'21.04.01'!$AO$4:$AR$55,4,FALSE))</f>
        <v>0</v>
      </c>
      <c r="J79" s="4">
        <f>(VLOOKUP('21.04.01'!R79,'21.04.01'!$AO$4:$AR$55,4,FALSE))</f>
        <v>0</v>
      </c>
      <c r="K79" s="4">
        <f>(VLOOKUP('21.04.01'!S79,'21.04.01'!$AO$4:$AR$55,4,FALSE))</f>
        <v>0</v>
      </c>
      <c r="L79" s="4">
        <f>(VLOOKUP('21.04.01'!T79,'21.04.01'!$AO$4:$AR$55,4,FALSE))</f>
        <v>0</v>
      </c>
      <c r="M79" s="4">
        <f>(VLOOKUP('21.04.01'!U79,'21.04.01'!$AO$4:$AR$55,4,FALSE))</f>
        <v>0</v>
      </c>
      <c r="N79" s="4">
        <f>(VLOOKUP('21.04.01'!V79,'21.04.01'!$AO$4:$AR$55,4,FALSE))</f>
        <v>0</v>
      </c>
      <c r="O79" s="4">
        <f>(VLOOKUP('21.04.01'!W79,'21.04.01'!$AO$4:$AR$55,4,FALSE))</f>
        <v>0</v>
      </c>
      <c r="P79" s="4">
        <f>(VLOOKUP('21.04.01'!X79,'21.04.01'!$AO$4:$AR$55,4,FALSE))</f>
        <v>0</v>
      </c>
      <c r="Q79" s="4">
        <f>(VLOOKUP('21.04.01'!Y79,'21.04.01'!$AO$4:$AR$55,4,FALSE))</f>
        <v>0</v>
      </c>
      <c r="R79" s="4">
        <f>(VLOOKUP('21.04.01'!Z79,'21.04.01'!$AO$4:$AR$55,4,FALSE))</f>
        <v>0</v>
      </c>
      <c r="S79" s="4">
        <f>(VLOOKUP('21.04.01'!AA79,'21.04.01'!$AO$4:$AR$55,4,FALSE))</f>
        <v>0</v>
      </c>
      <c r="T79" s="4">
        <f>(VLOOKUP('21.04.01'!AB79,'21.04.01'!$AO$4:$AR$55,4,FALSE))</f>
        <v>0</v>
      </c>
      <c r="U79" s="4">
        <f>(VLOOKUP('21.04.01'!AC79,'21.04.01'!$AO$4:$AR$55,4,FALSE))</f>
        <v>0</v>
      </c>
      <c r="V79" s="4">
        <f>(VLOOKUP('21.04.01'!AD79,'21.04.01'!$AO$4:$AR$55,4,FALSE))</f>
        <v>0</v>
      </c>
      <c r="W79" s="4">
        <f>(VLOOKUP('21.04.01'!AE79,'21.04.01'!$AO$4:$AR$55,4,FALSE))</f>
        <v>0</v>
      </c>
      <c r="X79" s="4">
        <f>(VLOOKUP('21.04.01'!AF79,'21.04.01'!$AO$4:$AR$55,4,FALSE))</f>
        <v>0</v>
      </c>
    </row>
    <row r="80" spans="1:24">
      <c r="A80" s="4">
        <f>(VLOOKUP('21.04.01'!I80,'21.04.01'!$AO$4:$AR$55,4,FALSE))</f>
        <v>0</v>
      </c>
      <c r="B80" s="4">
        <f>(VLOOKUP('21.04.01'!J80,'21.04.01'!$AO$4:$AR$55,4,FALSE))</f>
        <v>0</v>
      </c>
      <c r="C80" s="4">
        <f>(VLOOKUP('21.04.01'!K80,'21.04.01'!$AO$4:$AR$55,4,FALSE))</f>
        <v>0</v>
      </c>
      <c r="D80" s="4">
        <f>(VLOOKUP('21.04.01'!L80,'21.04.01'!$AO$4:$AR$55,4,FALSE))</f>
        <v>0</v>
      </c>
      <c r="E80" s="4">
        <f>(VLOOKUP('21.04.01'!M80,'21.04.01'!$AO$4:$AR$55,4,FALSE))</f>
        <v>0</v>
      </c>
      <c r="F80" s="4">
        <f>(VLOOKUP('21.04.01'!N80,'21.04.01'!$AO$4:$AR$55,4,FALSE))</f>
        <v>0</v>
      </c>
      <c r="G80" s="4">
        <f>(VLOOKUP('21.04.01'!O80,'21.04.01'!$AO$4:$AR$55,4,FALSE))</f>
        <v>0</v>
      </c>
      <c r="H80" s="4">
        <f>(VLOOKUP('21.04.01'!P80,'21.04.01'!$AO$4:$AR$55,4,FALSE))</f>
        <v>0</v>
      </c>
      <c r="I80" s="4">
        <f>(VLOOKUP('21.04.01'!Q80,'21.04.01'!$AO$4:$AR$55,4,FALSE))</f>
        <v>0</v>
      </c>
      <c r="J80" s="4">
        <f>(VLOOKUP('21.04.01'!R80,'21.04.01'!$AO$4:$AR$55,4,FALSE))</f>
        <v>0</v>
      </c>
      <c r="K80" s="4">
        <f>(VLOOKUP('21.04.01'!S80,'21.04.01'!$AO$4:$AR$55,4,FALSE))</f>
        <v>0</v>
      </c>
      <c r="L80" s="4">
        <f>(VLOOKUP('21.04.01'!T80,'21.04.01'!$AO$4:$AR$55,4,FALSE))</f>
        <v>0</v>
      </c>
      <c r="M80" s="4">
        <f>(VLOOKUP('21.04.01'!U80,'21.04.01'!$AO$4:$AR$55,4,FALSE))</f>
        <v>0</v>
      </c>
      <c r="N80" s="4">
        <f>(VLOOKUP('21.04.01'!V80,'21.04.01'!$AO$4:$AR$55,4,FALSE))</f>
        <v>0</v>
      </c>
      <c r="O80" s="4">
        <f>(VLOOKUP('21.04.01'!W80,'21.04.01'!$AO$4:$AR$55,4,FALSE))</f>
        <v>0</v>
      </c>
      <c r="P80" s="4">
        <f>(VLOOKUP('21.04.01'!X80,'21.04.01'!$AO$4:$AR$55,4,FALSE))</f>
        <v>0</v>
      </c>
      <c r="Q80" s="4">
        <f>(VLOOKUP('21.04.01'!Y80,'21.04.01'!$AO$4:$AR$55,4,FALSE))</f>
        <v>0</v>
      </c>
      <c r="R80" s="4">
        <f>(VLOOKUP('21.04.01'!Z80,'21.04.01'!$AO$4:$AR$55,4,FALSE))</f>
        <v>0</v>
      </c>
      <c r="S80" s="4">
        <f>(VLOOKUP('21.04.01'!AA80,'21.04.01'!$AO$4:$AR$55,4,FALSE))</f>
        <v>0</v>
      </c>
      <c r="T80" s="4">
        <f>(VLOOKUP('21.04.01'!AB80,'21.04.01'!$AO$4:$AR$55,4,FALSE))</f>
        <v>0</v>
      </c>
      <c r="U80" s="4">
        <f>(VLOOKUP('21.04.01'!AC80,'21.04.01'!$AO$4:$AR$55,4,FALSE))</f>
        <v>0</v>
      </c>
      <c r="V80" s="4">
        <f>(VLOOKUP('21.04.01'!AD80,'21.04.01'!$AO$4:$AR$55,4,FALSE))</f>
        <v>0</v>
      </c>
      <c r="W80" s="4">
        <f>(VLOOKUP('21.04.01'!AE80,'21.04.01'!$AO$4:$AR$55,4,FALSE))</f>
        <v>0</v>
      </c>
      <c r="X80" s="4">
        <f>(VLOOKUP('21.04.01'!AF80,'21.04.01'!$AO$4:$AR$55,4,FALSE))</f>
        <v>0</v>
      </c>
    </row>
    <row r="81" spans="1:24">
      <c r="A81" s="4">
        <f>(VLOOKUP('21.04.01'!I81,'21.04.01'!$AO$4:$AR$55,4,FALSE))</f>
        <v>0</v>
      </c>
      <c r="B81" s="4">
        <f>(VLOOKUP('21.04.01'!J81,'21.04.01'!$AO$4:$AR$55,4,FALSE))</f>
        <v>0</v>
      </c>
      <c r="C81" s="4">
        <f>(VLOOKUP('21.04.01'!K81,'21.04.01'!$AO$4:$AR$55,4,FALSE))</f>
        <v>0</v>
      </c>
      <c r="D81" s="4">
        <f>(VLOOKUP('21.04.01'!L81,'21.04.01'!$AO$4:$AR$55,4,FALSE))</f>
        <v>0</v>
      </c>
      <c r="E81" s="4">
        <f>(VLOOKUP('21.04.01'!M81,'21.04.01'!$AO$4:$AR$55,4,FALSE))</f>
        <v>0</v>
      </c>
      <c r="F81" s="4">
        <f>(VLOOKUP('21.04.01'!N81,'21.04.01'!$AO$4:$AR$55,4,FALSE))</f>
        <v>0</v>
      </c>
      <c r="G81" s="4">
        <f>(VLOOKUP('21.04.01'!O81,'21.04.01'!$AO$4:$AR$55,4,FALSE))</f>
        <v>0</v>
      </c>
      <c r="H81" s="4">
        <f>(VLOOKUP('21.04.01'!P81,'21.04.01'!$AO$4:$AR$55,4,FALSE))</f>
        <v>0</v>
      </c>
      <c r="I81" s="4">
        <f>(VLOOKUP('21.04.01'!Q81,'21.04.01'!$AO$4:$AR$55,4,FALSE))</f>
        <v>0</v>
      </c>
      <c r="J81" s="4">
        <f>(VLOOKUP('21.04.01'!R81,'21.04.01'!$AO$4:$AR$55,4,FALSE))</f>
        <v>0</v>
      </c>
      <c r="K81" s="4">
        <f>(VLOOKUP('21.04.01'!S81,'21.04.01'!$AO$4:$AR$55,4,FALSE))</f>
        <v>0</v>
      </c>
      <c r="L81" s="4">
        <f>(VLOOKUP('21.04.01'!T81,'21.04.01'!$AO$4:$AR$55,4,FALSE))</f>
        <v>0</v>
      </c>
      <c r="M81" s="4">
        <f>(VLOOKUP('21.04.01'!U81,'21.04.01'!$AO$4:$AR$55,4,FALSE))</f>
        <v>0</v>
      </c>
      <c r="N81" s="4">
        <f>(VLOOKUP('21.04.01'!V81,'21.04.01'!$AO$4:$AR$55,4,FALSE))</f>
        <v>0</v>
      </c>
      <c r="O81" s="4">
        <f>(VLOOKUP('21.04.01'!W81,'21.04.01'!$AO$4:$AR$55,4,FALSE))</f>
        <v>0</v>
      </c>
      <c r="P81" s="4">
        <f>(VLOOKUP('21.04.01'!X81,'21.04.01'!$AO$4:$AR$55,4,FALSE))</f>
        <v>0</v>
      </c>
      <c r="Q81" s="4">
        <f>(VLOOKUP('21.04.01'!Y81,'21.04.01'!$AO$4:$AR$55,4,FALSE))</f>
        <v>0</v>
      </c>
      <c r="R81" s="4">
        <f>(VLOOKUP('21.04.01'!Z81,'21.04.01'!$AO$4:$AR$55,4,FALSE))</f>
        <v>0</v>
      </c>
      <c r="S81" s="4">
        <f>(VLOOKUP('21.04.01'!AA81,'21.04.01'!$AO$4:$AR$55,4,FALSE))</f>
        <v>0</v>
      </c>
      <c r="T81" s="4">
        <f>(VLOOKUP('21.04.01'!AB81,'21.04.01'!$AO$4:$AR$55,4,FALSE))</f>
        <v>0</v>
      </c>
      <c r="U81" s="4">
        <f>(VLOOKUP('21.04.01'!AC81,'21.04.01'!$AO$4:$AR$55,4,FALSE))</f>
        <v>0</v>
      </c>
      <c r="V81" s="4">
        <f>(VLOOKUP('21.04.01'!AD81,'21.04.01'!$AO$4:$AR$55,4,FALSE))</f>
        <v>0</v>
      </c>
      <c r="W81" s="4">
        <f>(VLOOKUP('21.04.01'!AE81,'21.04.01'!$AO$4:$AR$55,4,FALSE))</f>
        <v>0</v>
      </c>
      <c r="X81" s="4">
        <f>(VLOOKUP('21.04.01'!AF81,'21.04.01'!$AO$4:$AR$55,4,FALSE))</f>
        <v>0</v>
      </c>
    </row>
    <row r="82" spans="1:24">
      <c r="A82" s="4">
        <f>(VLOOKUP('21.04.01'!I82,'21.04.01'!$AO$4:$AR$55,4,FALSE))</f>
        <v>0</v>
      </c>
      <c r="B82" s="4">
        <f>(VLOOKUP('21.04.01'!J82,'21.04.01'!$AO$4:$AR$55,4,FALSE))</f>
        <v>0</v>
      </c>
      <c r="C82" s="4">
        <f>(VLOOKUP('21.04.01'!K82,'21.04.01'!$AO$4:$AR$55,4,FALSE))</f>
        <v>0</v>
      </c>
      <c r="D82" s="4">
        <f>(VLOOKUP('21.04.01'!L82,'21.04.01'!$AO$4:$AR$55,4,FALSE))</f>
        <v>0</v>
      </c>
      <c r="E82" s="4">
        <f>(VLOOKUP('21.04.01'!M82,'21.04.01'!$AO$4:$AR$55,4,FALSE))</f>
        <v>0</v>
      </c>
      <c r="F82" s="4">
        <f>(VLOOKUP('21.04.01'!N82,'21.04.01'!$AO$4:$AR$55,4,FALSE))</f>
        <v>0</v>
      </c>
      <c r="G82" s="4">
        <f>(VLOOKUP('21.04.01'!O82,'21.04.01'!$AO$4:$AR$55,4,FALSE))</f>
        <v>0</v>
      </c>
      <c r="H82" s="4">
        <f>(VLOOKUP('21.04.01'!P82,'21.04.01'!$AO$4:$AR$55,4,FALSE))</f>
        <v>0</v>
      </c>
      <c r="I82" s="4">
        <f>(VLOOKUP('21.04.01'!Q82,'21.04.01'!$AO$4:$AR$55,4,FALSE))</f>
        <v>0</v>
      </c>
      <c r="J82" s="4">
        <f>(VLOOKUP('21.04.01'!R82,'21.04.01'!$AO$4:$AR$55,4,FALSE))</f>
        <v>0</v>
      </c>
      <c r="K82" s="4">
        <f>(VLOOKUP('21.04.01'!S82,'21.04.01'!$AO$4:$AR$55,4,FALSE))</f>
        <v>0</v>
      </c>
      <c r="L82" s="4">
        <f>(VLOOKUP('21.04.01'!T82,'21.04.01'!$AO$4:$AR$55,4,FALSE))</f>
        <v>0</v>
      </c>
      <c r="M82" s="4">
        <f>(VLOOKUP('21.04.01'!U82,'21.04.01'!$AO$4:$AR$55,4,FALSE))</f>
        <v>0</v>
      </c>
      <c r="N82" s="4">
        <f>(VLOOKUP('21.04.01'!V82,'21.04.01'!$AO$4:$AR$55,4,FALSE))</f>
        <v>0</v>
      </c>
      <c r="O82" s="4">
        <f>(VLOOKUP('21.04.01'!W82,'21.04.01'!$AO$4:$AR$55,4,FALSE))</f>
        <v>0</v>
      </c>
      <c r="P82" s="4">
        <f>(VLOOKUP('21.04.01'!X82,'21.04.01'!$AO$4:$AR$55,4,FALSE))</f>
        <v>0</v>
      </c>
      <c r="Q82" s="4">
        <f>(VLOOKUP('21.04.01'!Y82,'21.04.01'!$AO$4:$AR$55,4,FALSE))</f>
        <v>0</v>
      </c>
      <c r="R82" s="4">
        <f>(VLOOKUP('21.04.01'!Z82,'21.04.01'!$AO$4:$AR$55,4,FALSE))</f>
        <v>0</v>
      </c>
      <c r="S82" s="4">
        <f>(VLOOKUP('21.04.01'!AA82,'21.04.01'!$AO$4:$AR$55,4,FALSE))</f>
        <v>0</v>
      </c>
      <c r="T82" s="4">
        <f>(VLOOKUP('21.04.01'!AB82,'21.04.01'!$AO$4:$AR$55,4,FALSE))</f>
        <v>0</v>
      </c>
      <c r="U82" s="4">
        <f>(VLOOKUP('21.04.01'!AC82,'21.04.01'!$AO$4:$AR$55,4,FALSE))</f>
        <v>0</v>
      </c>
      <c r="V82" s="4">
        <f>(VLOOKUP('21.04.01'!AD82,'21.04.01'!$AO$4:$AR$55,4,FALSE))</f>
        <v>0</v>
      </c>
      <c r="W82" s="4">
        <f>(VLOOKUP('21.04.01'!AE82,'21.04.01'!$AO$4:$AR$55,4,FALSE))</f>
        <v>0</v>
      </c>
      <c r="X82" s="4">
        <f>(VLOOKUP('21.04.01'!AF82,'21.04.01'!$AO$4:$AR$55,4,FALSE))</f>
        <v>0</v>
      </c>
    </row>
    <row r="83" spans="1:24">
      <c r="A83" s="4">
        <f>(VLOOKUP('21.04.01'!I83,'21.04.01'!$AO$4:$AR$55,4,FALSE))</f>
        <v>0</v>
      </c>
      <c r="B83" s="4">
        <f>(VLOOKUP('21.04.01'!J83,'21.04.01'!$AO$4:$AR$55,4,FALSE))</f>
        <v>0</v>
      </c>
      <c r="C83" s="4">
        <f>(VLOOKUP('21.04.01'!K83,'21.04.01'!$AO$4:$AR$55,4,FALSE))</f>
        <v>0</v>
      </c>
      <c r="D83" s="4">
        <f>(VLOOKUP('21.04.01'!L83,'21.04.01'!$AO$4:$AR$55,4,FALSE))</f>
        <v>0</v>
      </c>
      <c r="E83" s="4">
        <f>(VLOOKUP('21.04.01'!M83,'21.04.01'!$AO$4:$AR$55,4,FALSE))</f>
        <v>0</v>
      </c>
      <c r="F83" s="4">
        <f>(VLOOKUP('21.04.01'!N83,'21.04.01'!$AO$4:$AR$55,4,FALSE))</f>
        <v>0</v>
      </c>
      <c r="G83" s="4">
        <f>(VLOOKUP('21.04.01'!O83,'21.04.01'!$AO$4:$AR$55,4,FALSE))</f>
        <v>0</v>
      </c>
      <c r="H83" s="4">
        <f>(VLOOKUP('21.04.01'!P83,'21.04.01'!$AO$4:$AR$55,4,FALSE))</f>
        <v>0</v>
      </c>
      <c r="I83" s="4">
        <f>(VLOOKUP('21.04.01'!Q83,'21.04.01'!$AO$4:$AR$55,4,FALSE))</f>
        <v>0</v>
      </c>
      <c r="J83" s="4">
        <f>(VLOOKUP('21.04.01'!R83,'21.04.01'!$AO$4:$AR$55,4,FALSE))</f>
        <v>0</v>
      </c>
      <c r="K83" s="4">
        <f>(VLOOKUP('21.04.01'!S83,'21.04.01'!$AO$4:$AR$55,4,FALSE))</f>
        <v>0</v>
      </c>
      <c r="L83" s="4">
        <f>(VLOOKUP('21.04.01'!T83,'21.04.01'!$AO$4:$AR$55,4,FALSE))</f>
        <v>0</v>
      </c>
      <c r="M83" s="4">
        <f>(VLOOKUP('21.04.01'!U83,'21.04.01'!$AO$4:$AR$55,4,FALSE))</f>
        <v>0</v>
      </c>
      <c r="N83" s="4">
        <f>(VLOOKUP('21.04.01'!V83,'21.04.01'!$AO$4:$AR$55,4,FALSE))</f>
        <v>0</v>
      </c>
      <c r="O83" s="4">
        <f>(VLOOKUP('21.04.01'!W83,'21.04.01'!$AO$4:$AR$55,4,FALSE))</f>
        <v>0</v>
      </c>
      <c r="P83" s="4">
        <f>(VLOOKUP('21.04.01'!X83,'21.04.01'!$AO$4:$AR$55,4,FALSE))</f>
        <v>0</v>
      </c>
      <c r="Q83" s="4">
        <f>(VLOOKUP('21.04.01'!Y83,'21.04.01'!$AO$4:$AR$55,4,FALSE))</f>
        <v>0</v>
      </c>
      <c r="R83" s="4">
        <f>(VLOOKUP('21.04.01'!Z83,'21.04.01'!$AO$4:$AR$55,4,FALSE))</f>
        <v>0</v>
      </c>
      <c r="S83" s="4">
        <f>(VLOOKUP('21.04.01'!AA83,'21.04.01'!$AO$4:$AR$55,4,FALSE))</f>
        <v>0</v>
      </c>
      <c r="T83" s="4">
        <f>(VLOOKUP('21.04.01'!AB83,'21.04.01'!$AO$4:$AR$55,4,FALSE))</f>
        <v>0</v>
      </c>
      <c r="U83" s="4">
        <f>(VLOOKUP('21.04.01'!AC83,'21.04.01'!$AO$4:$AR$55,4,FALSE))</f>
        <v>0</v>
      </c>
      <c r="V83" s="4">
        <f>(VLOOKUP('21.04.01'!AD83,'21.04.01'!$AO$4:$AR$55,4,FALSE))</f>
        <v>0</v>
      </c>
      <c r="W83" s="4">
        <f>(VLOOKUP('21.04.01'!AE83,'21.04.01'!$AO$4:$AR$55,4,FALSE))</f>
        <v>0</v>
      </c>
      <c r="X83" s="4">
        <f>(VLOOKUP('21.04.01'!AF83,'21.04.01'!$AO$4:$AR$55,4,FALSE))</f>
        <v>0</v>
      </c>
    </row>
    <row r="84" spans="1:24">
      <c r="A84" s="4">
        <f>(VLOOKUP('21.04.01'!I84,'21.04.01'!$AO$4:$AR$55,4,FALSE))</f>
        <v>0</v>
      </c>
      <c r="B84" s="4">
        <f>(VLOOKUP('21.04.01'!J84,'21.04.01'!$AO$4:$AR$55,4,FALSE))</f>
        <v>0</v>
      </c>
      <c r="C84" s="4">
        <f>(VLOOKUP('21.04.01'!K84,'21.04.01'!$AO$4:$AR$55,4,FALSE))</f>
        <v>0</v>
      </c>
      <c r="D84" s="4">
        <f>(VLOOKUP('21.04.01'!L84,'21.04.01'!$AO$4:$AR$55,4,FALSE))</f>
        <v>0</v>
      </c>
      <c r="E84" s="4">
        <f>(VLOOKUP('21.04.01'!M84,'21.04.01'!$AO$4:$AR$55,4,FALSE))</f>
        <v>0</v>
      </c>
      <c r="F84" s="4">
        <f>(VLOOKUP('21.04.01'!N84,'21.04.01'!$AO$4:$AR$55,4,FALSE))</f>
        <v>0</v>
      </c>
      <c r="G84" s="4">
        <f>(VLOOKUP('21.04.01'!O84,'21.04.01'!$AO$4:$AR$55,4,FALSE))</f>
        <v>0</v>
      </c>
      <c r="H84" s="4">
        <f>(VLOOKUP('21.04.01'!P84,'21.04.01'!$AO$4:$AR$55,4,FALSE))</f>
        <v>0</v>
      </c>
      <c r="I84" s="4">
        <f>(VLOOKUP('21.04.01'!Q84,'21.04.01'!$AO$4:$AR$55,4,FALSE))</f>
        <v>0</v>
      </c>
      <c r="J84" s="4">
        <f>(VLOOKUP('21.04.01'!R84,'21.04.01'!$AO$4:$AR$55,4,FALSE))</f>
        <v>0</v>
      </c>
      <c r="K84" s="4">
        <f>(VLOOKUP('21.04.01'!S84,'21.04.01'!$AO$4:$AR$55,4,FALSE))</f>
        <v>0</v>
      </c>
      <c r="L84" s="4">
        <f>(VLOOKUP('21.04.01'!T84,'21.04.01'!$AO$4:$AR$55,4,FALSE))</f>
        <v>0</v>
      </c>
      <c r="M84" s="4">
        <f>(VLOOKUP('21.04.01'!U84,'21.04.01'!$AO$4:$AR$55,4,FALSE))</f>
        <v>0</v>
      </c>
      <c r="N84" s="4">
        <f>(VLOOKUP('21.04.01'!V84,'21.04.01'!$AO$4:$AR$55,4,FALSE))</f>
        <v>0</v>
      </c>
      <c r="O84" s="4">
        <f>(VLOOKUP('21.04.01'!W84,'21.04.01'!$AO$4:$AR$55,4,FALSE))</f>
        <v>0</v>
      </c>
      <c r="P84" s="4">
        <f>(VLOOKUP('21.04.01'!X84,'21.04.01'!$AO$4:$AR$55,4,FALSE))</f>
        <v>0</v>
      </c>
      <c r="Q84" s="4">
        <f>(VLOOKUP('21.04.01'!Y84,'21.04.01'!$AO$4:$AR$55,4,FALSE))</f>
        <v>0</v>
      </c>
      <c r="R84" s="4">
        <f>(VLOOKUP('21.04.01'!Z84,'21.04.01'!$AO$4:$AR$55,4,FALSE))</f>
        <v>0</v>
      </c>
      <c r="S84" s="4">
        <f>(VLOOKUP('21.04.01'!AA84,'21.04.01'!$AO$4:$AR$55,4,FALSE))</f>
        <v>0</v>
      </c>
      <c r="T84" s="4">
        <f>(VLOOKUP('21.04.01'!AB84,'21.04.01'!$AO$4:$AR$55,4,FALSE))</f>
        <v>0</v>
      </c>
      <c r="U84" s="4">
        <f>(VLOOKUP('21.04.01'!AC84,'21.04.01'!$AO$4:$AR$55,4,FALSE))</f>
        <v>0</v>
      </c>
      <c r="V84" s="4">
        <f>(VLOOKUP('21.04.01'!AD84,'21.04.01'!$AO$4:$AR$55,4,FALSE))</f>
        <v>0</v>
      </c>
      <c r="W84" s="4">
        <f>(VLOOKUP('21.04.01'!AE84,'21.04.01'!$AO$4:$AR$55,4,FALSE))</f>
        <v>0</v>
      </c>
      <c r="X84" s="4">
        <f>(VLOOKUP('21.04.01'!AF84,'21.04.01'!$AO$4:$AR$55,4,FALSE))</f>
        <v>0</v>
      </c>
    </row>
    <row r="85" spans="1:24">
      <c r="A85" s="4">
        <f>(VLOOKUP('21.04.01'!I85,'21.04.01'!$AO$4:$AR$55,4,FALSE))</f>
        <v>0</v>
      </c>
      <c r="B85" s="4">
        <f>(VLOOKUP('21.04.01'!J85,'21.04.01'!$AO$4:$AR$55,4,FALSE))</f>
        <v>0</v>
      </c>
      <c r="C85" s="4">
        <f>(VLOOKUP('21.04.01'!K85,'21.04.01'!$AO$4:$AR$55,4,FALSE))</f>
        <v>0</v>
      </c>
      <c r="D85" s="4">
        <f>(VLOOKUP('21.04.01'!L85,'21.04.01'!$AO$4:$AR$55,4,FALSE))</f>
        <v>0</v>
      </c>
      <c r="E85" s="4">
        <f>(VLOOKUP('21.04.01'!M85,'21.04.01'!$AO$4:$AR$55,4,FALSE))</f>
        <v>0</v>
      </c>
      <c r="F85" s="4">
        <f>(VLOOKUP('21.04.01'!N85,'21.04.01'!$AO$4:$AR$55,4,FALSE))</f>
        <v>0</v>
      </c>
      <c r="G85" s="4">
        <f>(VLOOKUP('21.04.01'!O85,'21.04.01'!$AO$4:$AR$55,4,FALSE))</f>
        <v>0</v>
      </c>
      <c r="H85" s="4">
        <f>(VLOOKUP('21.04.01'!P85,'21.04.01'!$AO$4:$AR$55,4,FALSE))</f>
        <v>0</v>
      </c>
      <c r="I85" s="4">
        <f>(VLOOKUP('21.04.01'!Q85,'21.04.01'!$AO$4:$AR$55,4,FALSE))</f>
        <v>0</v>
      </c>
      <c r="J85" s="4">
        <f>(VLOOKUP('21.04.01'!R85,'21.04.01'!$AO$4:$AR$55,4,FALSE))</f>
        <v>0</v>
      </c>
      <c r="K85" s="4">
        <f>(VLOOKUP('21.04.01'!S85,'21.04.01'!$AO$4:$AR$55,4,FALSE))</f>
        <v>0</v>
      </c>
      <c r="L85" s="4">
        <f>(VLOOKUP('21.04.01'!T85,'21.04.01'!$AO$4:$AR$55,4,FALSE))</f>
        <v>0</v>
      </c>
      <c r="M85" s="4">
        <f>(VLOOKUP('21.04.01'!U85,'21.04.01'!$AO$4:$AR$55,4,FALSE))</f>
        <v>0</v>
      </c>
      <c r="N85" s="4">
        <f>(VLOOKUP('21.04.01'!V85,'21.04.01'!$AO$4:$AR$55,4,FALSE))</f>
        <v>0</v>
      </c>
      <c r="O85" s="4">
        <f>(VLOOKUP('21.04.01'!W85,'21.04.01'!$AO$4:$AR$55,4,FALSE))</f>
        <v>0</v>
      </c>
      <c r="P85" s="4">
        <f>(VLOOKUP('21.04.01'!X85,'21.04.01'!$AO$4:$AR$55,4,FALSE))</f>
        <v>0</v>
      </c>
      <c r="Q85" s="4">
        <f>(VLOOKUP('21.04.01'!Y85,'21.04.01'!$AO$4:$AR$55,4,FALSE))</f>
        <v>0</v>
      </c>
      <c r="R85" s="4">
        <f>(VLOOKUP('21.04.01'!Z85,'21.04.01'!$AO$4:$AR$55,4,FALSE))</f>
        <v>0</v>
      </c>
      <c r="S85" s="4">
        <f>(VLOOKUP('21.04.01'!AA85,'21.04.01'!$AO$4:$AR$55,4,FALSE))</f>
        <v>0</v>
      </c>
      <c r="T85" s="4">
        <f>(VLOOKUP('21.04.01'!AB85,'21.04.01'!$AO$4:$AR$55,4,FALSE))</f>
        <v>0</v>
      </c>
      <c r="U85" s="4">
        <f>(VLOOKUP('21.04.01'!AC85,'21.04.01'!$AO$4:$AR$55,4,FALSE))</f>
        <v>0</v>
      </c>
      <c r="V85" s="4">
        <f>(VLOOKUP('21.04.01'!AD85,'21.04.01'!$AO$4:$AR$55,4,FALSE))</f>
        <v>0</v>
      </c>
      <c r="W85" s="4">
        <f>(VLOOKUP('21.04.01'!AE85,'21.04.01'!$AO$4:$AR$55,4,FALSE))</f>
        <v>0</v>
      </c>
      <c r="X85" s="4">
        <f>(VLOOKUP('21.04.01'!AF85,'21.04.01'!$AO$4:$AR$55,4,FALSE))</f>
        <v>0</v>
      </c>
    </row>
    <row r="86" spans="1:24">
      <c r="A86" s="4">
        <f>(VLOOKUP('21.04.01'!I86,'21.04.01'!$AO$4:$AR$55,4,FALSE))</f>
        <v>0</v>
      </c>
      <c r="B86" s="4">
        <f>(VLOOKUP('21.04.01'!J86,'21.04.01'!$AO$4:$AR$55,4,FALSE))</f>
        <v>0</v>
      </c>
      <c r="C86" s="4">
        <f>(VLOOKUP('21.04.01'!K86,'21.04.01'!$AO$4:$AR$55,4,FALSE))</f>
        <v>0</v>
      </c>
      <c r="D86" s="4">
        <f>(VLOOKUP('21.04.01'!L86,'21.04.01'!$AO$4:$AR$55,4,FALSE))</f>
        <v>0</v>
      </c>
      <c r="E86" s="4">
        <f>(VLOOKUP('21.04.01'!M86,'21.04.01'!$AO$4:$AR$55,4,FALSE))</f>
        <v>0</v>
      </c>
      <c r="F86" s="4">
        <f>(VLOOKUP('21.04.01'!N86,'21.04.01'!$AO$4:$AR$55,4,FALSE))</f>
        <v>0</v>
      </c>
      <c r="G86" s="4">
        <f>(VLOOKUP('21.04.01'!O86,'21.04.01'!$AO$4:$AR$55,4,FALSE))</f>
        <v>0</v>
      </c>
      <c r="H86" s="4">
        <f>(VLOOKUP('21.04.01'!P86,'21.04.01'!$AO$4:$AR$55,4,FALSE))</f>
        <v>0</v>
      </c>
      <c r="I86" s="4">
        <f>(VLOOKUP('21.04.01'!Q86,'21.04.01'!$AO$4:$AR$55,4,FALSE))</f>
        <v>0</v>
      </c>
      <c r="J86" s="4">
        <f>(VLOOKUP('21.04.01'!R86,'21.04.01'!$AO$4:$AR$55,4,FALSE))</f>
        <v>0</v>
      </c>
      <c r="K86" s="4">
        <f>(VLOOKUP('21.04.01'!S86,'21.04.01'!$AO$4:$AR$55,4,FALSE))</f>
        <v>0</v>
      </c>
      <c r="L86" s="4">
        <f>(VLOOKUP('21.04.01'!T86,'21.04.01'!$AO$4:$AR$55,4,FALSE))</f>
        <v>0</v>
      </c>
      <c r="M86" s="4">
        <f>(VLOOKUP('21.04.01'!U86,'21.04.01'!$AO$4:$AR$55,4,FALSE))</f>
        <v>0</v>
      </c>
      <c r="N86" s="4">
        <f>(VLOOKUP('21.04.01'!V86,'21.04.01'!$AO$4:$AR$55,4,FALSE))</f>
        <v>0</v>
      </c>
      <c r="O86" s="4">
        <f>(VLOOKUP('21.04.01'!W86,'21.04.01'!$AO$4:$AR$55,4,FALSE))</f>
        <v>0</v>
      </c>
      <c r="P86" s="4">
        <f>(VLOOKUP('21.04.01'!X86,'21.04.01'!$AO$4:$AR$55,4,FALSE))</f>
        <v>0</v>
      </c>
      <c r="Q86" s="4">
        <f>(VLOOKUP('21.04.01'!Y86,'21.04.01'!$AO$4:$AR$55,4,FALSE))</f>
        <v>0</v>
      </c>
      <c r="R86" s="4">
        <f>(VLOOKUP('21.04.01'!Z86,'21.04.01'!$AO$4:$AR$55,4,FALSE))</f>
        <v>0</v>
      </c>
      <c r="S86" s="4">
        <f>(VLOOKUP('21.04.01'!AA86,'21.04.01'!$AO$4:$AR$55,4,FALSE))</f>
        <v>0</v>
      </c>
      <c r="T86" s="4">
        <f>(VLOOKUP('21.04.01'!AB86,'21.04.01'!$AO$4:$AR$55,4,FALSE))</f>
        <v>0</v>
      </c>
      <c r="U86" s="4">
        <f>(VLOOKUP('21.04.01'!AC86,'21.04.01'!$AO$4:$AR$55,4,FALSE))</f>
        <v>0</v>
      </c>
      <c r="V86" s="4">
        <f>(VLOOKUP('21.04.01'!AD86,'21.04.01'!$AO$4:$AR$55,4,FALSE))</f>
        <v>0</v>
      </c>
      <c r="W86" s="4">
        <f>(VLOOKUP('21.04.01'!AE86,'21.04.01'!$AO$4:$AR$55,4,FALSE))</f>
        <v>0</v>
      </c>
      <c r="X86" s="4">
        <f>(VLOOKUP('21.04.01'!AF86,'21.04.01'!$AO$4:$AR$55,4,FALSE))</f>
        <v>0</v>
      </c>
    </row>
    <row r="87" spans="1:24">
      <c r="A87" s="4">
        <f>(VLOOKUP('21.04.01'!I87,'21.04.01'!$AO$4:$AR$55,4,FALSE))</f>
        <v>0</v>
      </c>
      <c r="B87" s="4">
        <f>(VLOOKUP('21.04.01'!J87,'21.04.01'!$AO$4:$AR$55,4,FALSE))</f>
        <v>0</v>
      </c>
      <c r="C87" s="4">
        <f>(VLOOKUP('21.04.01'!K87,'21.04.01'!$AO$4:$AR$55,4,FALSE))</f>
        <v>0</v>
      </c>
      <c r="D87" s="4">
        <f>(VLOOKUP('21.04.01'!L87,'21.04.01'!$AO$4:$AR$55,4,FALSE))</f>
        <v>0</v>
      </c>
      <c r="E87" s="4">
        <f>(VLOOKUP('21.04.01'!M87,'21.04.01'!$AO$4:$AR$55,4,FALSE))</f>
        <v>0</v>
      </c>
      <c r="F87" s="4">
        <f>(VLOOKUP('21.04.01'!N87,'21.04.01'!$AO$4:$AR$55,4,FALSE))</f>
        <v>0</v>
      </c>
      <c r="G87" s="4">
        <f>(VLOOKUP('21.04.01'!O87,'21.04.01'!$AO$4:$AR$55,4,FALSE))</f>
        <v>0</v>
      </c>
      <c r="H87" s="4">
        <f>(VLOOKUP('21.04.01'!P87,'21.04.01'!$AO$4:$AR$55,4,FALSE))</f>
        <v>0</v>
      </c>
      <c r="I87" s="4">
        <f>(VLOOKUP('21.04.01'!Q87,'21.04.01'!$AO$4:$AR$55,4,FALSE))</f>
        <v>0</v>
      </c>
      <c r="J87" s="4">
        <f>(VLOOKUP('21.04.01'!R87,'21.04.01'!$AO$4:$AR$55,4,FALSE))</f>
        <v>0</v>
      </c>
      <c r="K87" s="4">
        <f>(VLOOKUP('21.04.01'!S87,'21.04.01'!$AO$4:$AR$55,4,FALSE))</f>
        <v>0</v>
      </c>
      <c r="L87" s="4">
        <f>(VLOOKUP('21.04.01'!T87,'21.04.01'!$AO$4:$AR$55,4,FALSE))</f>
        <v>0</v>
      </c>
      <c r="M87" s="4">
        <f>(VLOOKUP('21.04.01'!U87,'21.04.01'!$AO$4:$AR$55,4,FALSE))</f>
        <v>0</v>
      </c>
      <c r="N87" s="4">
        <f>(VLOOKUP('21.04.01'!V87,'21.04.01'!$AO$4:$AR$55,4,FALSE))</f>
        <v>0</v>
      </c>
      <c r="O87" s="4">
        <f>(VLOOKUP('21.04.01'!W87,'21.04.01'!$AO$4:$AR$55,4,FALSE))</f>
        <v>0</v>
      </c>
      <c r="P87" s="4">
        <f>(VLOOKUP('21.04.01'!X87,'21.04.01'!$AO$4:$AR$55,4,FALSE))</f>
        <v>0</v>
      </c>
      <c r="Q87" s="4">
        <f>(VLOOKUP('21.04.01'!Y87,'21.04.01'!$AO$4:$AR$55,4,FALSE))</f>
        <v>39.110982162825422</v>
      </c>
      <c r="R87" s="4">
        <f>(VLOOKUP('21.04.01'!Z87,'21.04.01'!$AO$4:$AR$55,4,FALSE))</f>
        <v>29.110982162825422</v>
      </c>
      <c r="S87" s="4">
        <f>(VLOOKUP('21.04.01'!AA87,'21.04.01'!$AO$4:$AR$55,4,FALSE))</f>
        <v>39.110982162825422</v>
      </c>
      <c r="T87" s="4">
        <f>(VLOOKUP('21.04.01'!AB87,'21.04.01'!$AO$4:$AR$55,4,FALSE))</f>
        <v>10</v>
      </c>
      <c r="U87" s="4">
        <f>(VLOOKUP('21.04.01'!AC87,'21.04.01'!$AO$4:$AR$55,4,FALSE))</f>
        <v>39.110982162825422</v>
      </c>
      <c r="V87" s="4">
        <f>(VLOOKUP('21.04.01'!AD87,'21.04.01'!$AO$4:$AR$55,4,FALSE))</f>
        <v>39.110982162825422</v>
      </c>
      <c r="W87" s="4">
        <f>(VLOOKUP('21.04.01'!AE87,'21.04.01'!$AO$4:$AR$55,4,FALSE))</f>
        <v>0</v>
      </c>
      <c r="X87" s="4">
        <f>(VLOOKUP('21.04.01'!AF87,'21.04.01'!$AO$4:$AR$55,4,FALSE))</f>
        <v>0</v>
      </c>
    </row>
    <row r="88" spans="1:24">
      <c r="A88" s="4">
        <f>(VLOOKUP('21.04.01'!I88,'21.04.01'!$AO$4:$AR$55,4,FALSE))</f>
        <v>0</v>
      </c>
      <c r="B88" s="4">
        <f>(VLOOKUP('21.04.01'!J88,'21.04.01'!$AO$4:$AR$55,4,FALSE))</f>
        <v>0</v>
      </c>
      <c r="C88" s="4">
        <f>(VLOOKUP('21.04.01'!K88,'21.04.01'!$AO$4:$AR$55,4,FALSE))</f>
        <v>0</v>
      </c>
      <c r="D88" s="4">
        <f>(VLOOKUP('21.04.01'!L88,'21.04.01'!$AO$4:$AR$55,4,FALSE))</f>
        <v>0</v>
      </c>
      <c r="E88" s="4">
        <f>(VLOOKUP('21.04.01'!M88,'21.04.01'!$AO$4:$AR$55,4,FALSE))</f>
        <v>0</v>
      </c>
      <c r="F88" s="4">
        <f>(VLOOKUP('21.04.01'!N88,'21.04.01'!$AO$4:$AR$55,4,FALSE))</f>
        <v>0</v>
      </c>
      <c r="G88" s="4">
        <f>(VLOOKUP('21.04.01'!O88,'21.04.01'!$AO$4:$AR$55,4,FALSE))</f>
        <v>0</v>
      </c>
      <c r="H88" s="4">
        <f>(VLOOKUP('21.04.01'!P88,'21.04.01'!$AO$4:$AR$55,4,FALSE))</f>
        <v>0</v>
      </c>
      <c r="I88" s="4">
        <f>(VLOOKUP('21.04.01'!Q88,'21.04.01'!$AO$4:$AR$55,4,FALSE))</f>
        <v>0</v>
      </c>
      <c r="J88" s="4">
        <f>(VLOOKUP('21.04.01'!R88,'21.04.01'!$AO$4:$AR$55,4,FALSE))</f>
        <v>0</v>
      </c>
      <c r="K88" s="4">
        <f>(VLOOKUP('21.04.01'!S88,'21.04.01'!$AO$4:$AR$55,4,FALSE))</f>
        <v>0</v>
      </c>
      <c r="L88" s="4">
        <f>(VLOOKUP('21.04.01'!T88,'21.04.01'!$AO$4:$AR$55,4,FALSE))</f>
        <v>0</v>
      </c>
      <c r="M88" s="4">
        <f>(VLOOKUP('21.04.01'!U88,'21.04.01'!$AO$4:$AR$55,4,FALSE))</f>
        <v>0</v>
      </c>
      <c r="N88" s="4">
        <f>(VLOOKUP('21.04.01'!V88,'21.04.01'!$AO$4:$AR$55,4,FALSE))</f>
        <v>0</v>
      </c>
      <c r="O88" s="4">
        <f>(VLOOKUP('21.04.01'!W88,'21.04.01'!$AO$4:$AR$55,4,FALSE))</f>
        <v>0</v>
      </c>
      <c r="P88" s="4">
        <f>(VLOOKUP('21.04.01'!X88,'21.04.01'!$AO$4:$AR$55,4,FALSE))</f>
        <v>0</v>
      </c>
      <c r="Q88" s="4">
        <f>(VLOOKUP('21.04.01'!Y88,'21.04.01'!$AO$4:$AR$55,4,FALSE))</f>
        <v>39.110982162825422</v>
      </c>
      <c r="R88" s="4">
        <f>(VLOOKUP('21.04.01'!Z88,'21.04.01'!$AO$4:$AR$55,4,FALSE))</f>
        <v>10</v>
      </c>
      <c r="S88" s="4">
        <f>(VLOOKUP('21.04.01'!AA88,'21.04.01'!$AO$4:$AR$55,4,FALSE))</f>
        <v>39.110982162825422</v>
      </c>
      <c r="T88" s="4">
        <f>(VLOOKUP('21.04.01'!AB88,'21.04.01'!$AO$4:$AR$55,4,FALSE))</f>
        <v>39.110982162825422</v>
      </c>
      <c r="U88" s="4">
        <f>(VLOOKUP('21.04.01'!AC88,'21.04.01'!$AO$4:$AR$55,4,FALSE))</f>
        <v>39.110982162825422</v>
      </c>
      <c r="V88" s="4">
        <f>(VLOOKUP('21.04.01'!AD88,'21.04.01'!$AO$4:$AR$55,4,FALSE))</f>
        <v>10</v>
      </c>
      <c r="W88" s="4">
        <f>(VLOOKUP('21.04.01'!AE88,'21.04.01'!$AO$4:$AR$55,4,FALSE))</f>
        <v>0</v>
      </c>
      <c r="X88" s="4">
        <f>(VLOOKUP('21.04.01'!AF88,'21.04.01'!$AO$4:$AR$55,4,FALSE))</f>
        <v>0</v>
      </c>
    </row>
    <row r="89" spans="1:24">
      <c r="A89" s="4">
        <f>(VLOOKUP('21.04.01'!I89,'21.04.01'!$AO$4:$AR$55,4,FALSE))</f>
        <v>0</v>
      </c>
      <c r="B89" s="4">
        <f>(VLOOKUP('21.04.01'!J89,'21.04.01'!$AO$4:$AR$55,4,FALSE))</f>
        <v>0</v>
      </c>
      <c r="C89" s="4">
        <f>(VLOOKUP('21.04.01'!K89,'21.04.01'!$AO$4:$AR$55,4,FALSE))</f>
        <v>0</v>
      </c>
      <c r="D89" s="4">
        <f>(VLOOKUP('21.04.01'!L89,'21.04.01'!$AO$4:$AR$55,4,FALSE))</f>
        <v>0</v>
      </c>
      <c r="E89" s="4">
        <f>(VLOOKUP('21.04.01'!M89,'21.04.01'!$AO$4:$AR$55,4,FALSE))</f>
        <v>0</v>
      </c>
      <c r="F89" s="4">
        <f>(VLOOKUP('21.04.01'!N89,'21.04.01'!$AO$4:$AR$55,4,FALSE))</f>
        <v>0</v>
      </c>
      <c r="G89" s="4">
        <f>(VLOOKUP('21.04.01'!O89,'21.04.01'!$AO$4:$AR$55,4,FALSE))</f>
        <v>0</v>
      </c>
      <c r="H89" s="4">
        <f>(VLOOKUP('21.04.01'!P89,'21.04.01'!$AO$4:$AR$55,4,FALSE))</f>
        <v>0</v>
      </c>
      <c r="I89" s="4">
        <f>(VLOOKUP('21.04.01'!Q89,'21.04.01'!$AO$4:$AR$55,4,FALSE))</f>
        <v>0</v>
      </c>
      <c r="J89" s="4">
        <f>(VLOOKUP('21.04.01'!R89,'21.04.01'!$AO$4:$AR$55,4,FALSE))</f>
        <v>0</v>
      </c>
      <c r="K89" s="4">
        <f>(VLOOKUP('21.04.01'!S89,'21.04.01'!$AO$4:$AR$55,4,FALSE))</f>
        <v>0</v>
      </c>
      <c r="L89" s="4">
        <f>(VLOOKUP('21.04.01'!T89,'21.04.01'!$AO$4:$AR$55,4,FALSE))</f>
        <v>0</v>
      </c>
      <c r="M89" s="4">
        <f>(VLOOKUP('21.04.01'!U89,'21.04.01'!$AO$4:$AR$55,4,FALSE))</f>
        <v>0</v>
      </c>
      <c r="N89" s="4">
        <f>(VLOOKUP('21.04.01'!V89,'21.04.01'!$AO$4:$AR$55,4,FALSE))</f>
        <v>0</v>
      </c>
      <c r="O89" s="4">
        <f>(VLOOKUP('21.04.01'!W89,'21.04.01'!$AO$4:$AR$55,4,FALSE))</f>
        <v>0</v>
      </c>
      <c r="P89" s="4">
        <f>(VLOOKUP('21.04.01'!X89,'21.04.01'!$AO$4:$AR$55,4,FALSE))</f>
        <v>0</v>
      </c>
      <c r="Q89" s="4">
        <f>(VLOOKUP('21.04.01'!Y89,'21.04.01'!$AO$4:$AR$55,4,FALSE))</f>
        <v>39.110982162825422</v>
      </c>
      <c r="R89" s="4">
        <f>(VLOOKUP('21.04.01'!Z89,'21.04.01'!$AO$4:$AR$55,4,FALSE))</f>
        <v>39.110982162825422</v>
      </c>
      <c r="S89" s="4">
        <f>(VLOOKUP('21.04.01'!AA89,'21.04.01'!$AO$4:$AR$55,4,FALSE))</f>
        <v>29.110982162825422</v>
      </c>
      <c r="T89" s="4">
        <f>(VLOOKUP('21.04.01'!AB89,'21.04.01'!$AO$4:$AR$55,4,FALSE))</f>
        <v>39.110982162825422</v>
      </c>
      <c r="U89" s="4">
        <f>(VLOOKUP('21.04.01'!AC89,'21.04.01'!$AO$4:$AR$55,4,FALSE))</f>
        <v>10</v>
      </c>
      <c r="V89" s="4">
        <f>(VLOOKUP('21.04.01'!AD89,'21.04.01'!$AO$4:$AR$55,4,FALSE))</f>
        <v>39.110982162825422</v>
      </c>
      <c r="W89" s="4">
        <f>(VLOOKUP('21.04.01'!AE89,'21.04.01'!$AO$4:$AR$55,4,FALSE))</f>
        <v>0</v>
      </c>
      <c r="X89" s="4">
        <f>(VLOOKUP('21.04.01'!AF89,'21.04.01'!$AO$4:$AR$55,4,FALSE))</f>
        <v>0</v>
      </c>
    </row>
    <row r="90" spans="1:24">
      <c r="A90" s="4">
        <f>(VLOOKUP('21.04.01'!I90,'21.04.01'!$AO$4:$AR$55,4,FALSE))</f>
        <v>0</v>
      </c>
      <c r="B90" s="4">
        <f>(VLOOKUP('21.04.01'!J90,'21.04.01'!$AO$4:$AR$55,4,FALSE))</f>
        <v>0</v>
      </c>
      <c r="C90" s="4">
        <f>(VLOOKUP('21.04.01'!K90,'21.04.01'!$AO$4:$AR$55,4,FALSE))</f>
        <v>0</v>
      </c>
      <c r="D90" s="4">
        <f>(VLOOKUP('21.04.01'!L90,'21.04.01'!$AO$4:$AR$55,4,FALSE))</f>
        <v>0</v>
      </c>
      <c r="E90" s="4">
        <f>(VLOOKUP('21.04.01'!M90,'21.04.01'!$AO$4:$AR$55,4,FALSE))</f>
        <v>0</v>
      </c>
      <c r="F90" s="4">
        <f>(VLOOKUP('21.04.01'!N90,'21.04.01'!$AO$4:$AR$55,4,FALSE))</f>
        <v>0</v>
      </c>
      <c r="G90" s="4">
        <f>(VLOOKUP('21.04.01'!O90,'21.04.01'!$AO$4:$AR$55,4,FALSE))</f>
        <v>0</v>
      </c>
      <c r="H90" s="4">
        <f>(VLOOKUP('21.04.01'!P90,'21.04.01'!$AO$4:$AR$55,4,FALSE))</f>
        <v>0</v>
      </c>
      <c r="I90" s="4">
        <f>(VLOOKUP('21.04.01'!Q90,'21.04.01'!$AO$4:$AR$55,4,FALSE))</f>
        <v>0</v>
      </c>
      <c r="J90" s="4">
        <f>(VLOOKUP('21.04.01'!R90,'21.04.01'!$AO$4:$AR$55,4,FALSE))</f>
        <v>0</v>
      </c>
      <c r="K90" s="4">
        <f>(VLOOKUP('21.04.01'!S90,'21.04.01'!$AO$4:$AR$55,4,FALSE))</f>
        <v>0</v>
      </c>
      <c r="L90" s="4">
        <f>(VLOOKUP('21.04.01'!T90,'21.04.01'!$AO$4:$AR$55,4,FALSE))</f>
        <v>0</v>
      </c>
      <c r="M90" s="4">
        <f>(VLOOKUP('21.04.01'!U90,'21.04.01'!$AO$4:$AR$55,4,FALSE))</f>
        <v>0</v>
      </c>
      <c r="N90" s="4">
        <f>(VLOOKUP('21.04.01'!V90,'21.04.01'!$AO$4:$AR$55,4,FALSE))</f>
        <v>0</v>
      </c>
      <c r="O90" s="4">
        <f>(VLOOKUP('21.04.01'!W90,'21.04.01'!$AO$4:$AR$55,4,FALSE))</f>
        <v>0</v>
      </c>
      <c r="P90" s="4">
        <f>(VLOOKUP('21.04.01'!X90,'21.04.01'!$AO$4:$AR$55,4,FALSE))</f>
        <v>0</v>
      </c>
      <c r="Q90" s="4">
        <f>(VLOOKUP('21.04.01'!Y90,'21.04.01'!$AO$4:$AR$55,4,FALSE))</f>
        <v>29.110982162825422</v>
      </c>
      <c r="R90" s="4">
        <f>(VLOOKUP('21.04.01'!Z90,'21.04.01'!$AO$4:$AR$55,4,FALSE))</f>
        <v>39.110982162825422</v>
      </c>
      <c r="S90" s="4">
        <f>(VLOOKUP('21.04.01'!AA90,'21.04.01'!$AO$4:$AR$55,4,FALSE))</f>
        <v>39.110982162825422</v>
      </c>
      <c r="T90" s="4">
        <f>(VLOOKUP('21.04.01'!AB90,'21.04.01'!$AO$4:$AR$55,4,FALSE))</f>
        <v>39.110982162825422</v>
      </c>
      <c r="U90" s="4">
        <f>(VLOOKUP('21.04.01'!AC90,'21.04.01'!$AO$4:$AR$55,4,FALSE))</f>
        <v>10</v>
      </c>
      <c r="V90" s="4">
        <f>(VLOOKUP('21.04.01'!AD90,'21.04.01'!$AO$4:$AR$55,4,FALSE))</f>
        <v>39.110982162825422</v>
      </c>
      <c r="W90" s="4">
        <f>(VLOOKUP('21.04.01'!AE90,'21.04.01'!$AO$4:$AR$55,4,FALSE))</f>
        <v>0</v>
      </c>
      <c r="X90" s="4">
        <f>(VLOOKUP('21.04.01'!AF90,'21.04.01'!$AO$4:$AR$55,4,FALSE))</f>
        <v>0</v>
      </c>
    </row>
    <row r="91" spans="1:24">
      <c r="A91" s="4">
        <f>(VLOOKUP('21.04.01'!I91,'21.04.01'!$AO$4:$AR$55,4,FALSE))</f>
        <v>0</v>
      </c>
      <c r="B91" s="4">
        <f>(VLOOKUP('21.04.01'!J91,'21.04.01'!$AO$4:$AR$55,4,FALSE))</f>
        <v>0</v>
      </c>
      <c r="C91" s="4">
        <f>(VLOOKUP('21.04.01'!K91,'21.04.01'!$AO$4:$AR$55,4,FALSE))</f>
        <v>0</v>
      </c>
      <c r="D91" s="4">
        <f>(VLOOKUP('21.04.01'!L91,'21.04.01'!$AO$4:$AR$55,4,FALSE))</f>
        <v>0</v>
      </c>
      <c r="E91" s="4">
        <f>(VLOOKUP('21.04.01'!M91,'21.04.01'!$AO$4:$AR$55,4,FALSE))</f>
        <v>0</v>
      </c>
      <c r="F91" s="4">
        <f>(VLOOKUP('21.04.01'!N91,'21.04.01'!$AO$4:$AR$55,4,FALSE))</f>
        <v>0</v>
      </c>
      <c r="G91" s="4">
        <f>(VLOOKUP('21.04.01'!O91,'21.04.01'!$AO$4:$AR$55,4,FALSE))</f>
        <v>0</v>
      </c>
      <c r="H91" s="4">
        <f>(VLOOKUP('21.04.01'!P91,'21.04.01'!$AO$4:$AR$55,4,FALSE))</f>
        <v>0</v>
      </c>
      <c r="I91" s="4">
        <f>(VLOOKUP('21.04.01'!Q91,'21.04.01'!$AO$4:$AR$55,4,FALSE))</f>
        <v>0</v>
      </c>
      <c r="J91" s="4">
        <f>(VLOOKUP('21.04.01'!R91,'21.04.01'!$AO$4:$AR$55,4,FALSE))</f>
        <v>0</v>
      </c>
      <c r="K91" s="4">
        <f>(VLOOKUP('21.04.01'!S91,'21.04.01'!$AO$4:$AR$55,4,FALSE))</f>
        <v>0</v>
      </c>
      <c r="L91" s="4">
        <f>(VLOOKUP('21.04.01'!T91,'21.04.01'!$AO$4:$AR$55,4,FALSE))</f>
        <v>0</v>
      </c>
      <c r="M91" s="4">
        <f>(VLOOKUP('21.04.01'!U91,'21.04.01'!$AO$4:$AR$55,4,FALSE))</f>
        <v>0</v>
      </c>
      <c r="N91" s="4">
        <f>(VLOOKUP('21.04.01'!V91,'21.04.01'!$AO$4:$AR$55,4,FALSE))</f>
        <v>0</v>
      </c>
      <c r="O91" s="4">
        <f>(VLOOKUP('21.04.01'!W91,'21.04.01'!$AO$4:$AR$55,4,FALSE))</f>
        <v>0</v>
      </c>
      <c r="P91" s="4">
        <f>(VLOOKUP('21.04.01'!X91,'21.04.01'!$AO$4:$AR$55,4,FALSE))</f>
        <v>0</v>
      </c>
      <c r="Q91" s="4">
        <f>(VLOOKUP('21.04.01'!Y91,'21.04.01'!$AO$4:$AR$55,4,FALSE))</f>
        <v>39.110982162825422</v>
      </c>
      <c r="R91" s="4">
        <f>(VLOOKUP('21.04.01'!Z91,'21.04.01'!$AO$4:$AR$55,4,FALSE))</f>
        <v>39.110982162825422</v>
      </c>
      <c r="S91" s="4">
        <f>(VLOOKUP('21.04.01'!AA91,'21.04.01'!$AO$4:$AR$55,4,FALSE))</f>
        <v>10</v>
      </c>
      <c r="T91" s="4">
        <f>(VLOOKUP('21.04.01'!AB91,'21.04.01'!$AO$4:$AR$55,4,FALSE))</f>
        <v>0</v>
      </c>
      <c r="U91" s="4">
        <f>(VLOOKUP('21.04.01'!AC91,'21.04.01'!$AO$4:$AR$55,4,FALSE))</f>
        <v>0</v>
      </c>
      <c r="V91" s="4">
        <f>(VLOOKUP('21.04.01'!AD91,'21.04.01'!$AO$4:$AR$55,4,FALSE))</f>
        <v>0</v>
      </c>
      <c r="W91" s="4">
        <f>(VLOOKUP('21.04.01'!AE91,'21.04.01'!$AO$4:$AR$55,4,FALSE))</f>
        <v>0</v>
      </c>
      <c r="X91" s="4">
        <f>(VLOOKUP('21.04.01'!AF91,'21.04.01'!$AO$4:$AR$55,4,FALSE))</f>
        <v>0</v>
      </c>
    </row>
    <row r="92" spans="1:24">
      <c r="A92" s="4">
        <f>(VLOOKUP('21.04.01'!I92,'21.04.01'!$AO$4:$AR$55,4,FALSE))</f>
        <v>0</v>
      </c>
      <c r="B92" s="4">
        <f>(VLOOKUP('21.04.01'!J92,'21.04.01'!$AO$4:$AR$55,4,FALSE))</f>
        <v>0</v>
      </c>
      <c r="C92" s="4">
        <f>(VLOOKUP('21.04.01'!K92,'21.04.01'!$AO$4:$AR$55,4,FALSE))</f>
        <v>0</v>
      </c>
      <c r="D92" s="4">
        <f>(VLOOKUP('21.04.01'!L92,'21.04.01'!$AO$4:$AR$55,4,FALSE))</f>
        <v>0</v>
      </c>
      <c r="E92" s="4">
        <f>(VLOOKUP('21.04.01'!M92,'21.04.01'!$AO$4:$AR$55,4,FALSE))</f>
        <v>0</v>
      </c>
      <c r="F92" s="4">
        <f>(VLOOKUP('21.04.01'!N92,'21.04.01'!$AO$4:$AR$55,4,FALSE))</f>
        <v>0</v>
      </c>
      <c r="G92" s="4">
        <f>(VLOOKUP('21.04.01'!O92,'21.04.01'!$AO$4:$AR$55,4,FALSE))</f>
        <v>0</v>
      </c>
      <c r="H92" s="4">
        <f>(VLOOKUP('21.04.01'!P92,'21.04.01'!$AO$4:$AR$55,4,FALSE))</f>
        <v>0</v>
      </c>
      <c r="I92" s="4">
        <f>(VLOOKUP('21.04.01'!Q92,'21.04.01'!$AO$4:$AR$55,4,FALSE))</f>
        <v>0</v>
      </c>
      <c r="J92" s="4">
        <f>(VLOOKUP('21.04.01'!R92,'21.04.01'!$AO$4:$AR$55,4,FALSE))</f>
        <v>0</v>
      </c>
      <c r="K92" s="4">
        <f>(VLOOKUP('21.04.01'!S92,'21.04.01'!$AO$4:$AR$55,4,FALSE))</f>
        <v>0</v>
      </c>
      <c r="L92" s="4">
        <f>(VLOOKUP('21.04.01'!T92,'21.04.01'!$AO$4:$AR$55,4,FALSE))</f>
        <v>0</v>
      </c>
      <c r="M92" s="4">
        <f>(VLOOKUP('21.04.01'!U92,'21.04.01'!$AO$4:$AR$55,4,FALSE))</f>
        <v>0</v>
      </c>
      <c r="N92" s="4">
        <f>(VLOOKUP('21.04.01'!V92,'21.04.01'!$AO$4:$AR$55,4,FALSE))</f>
        <v>0</v>
      </c>
      <c r="O92" s="4">
        <f>(VLOOKUP('21.04.01'!W92,'21.04.01'!$AO$4:$AR$55,4,FALSE))</f>
        <v>0</v>
      </c>
      <c r="P92" s="4">
        <f>(VLOOKUP('21.04.01'!X92,'21.04.01'!$AO$4:$AR$55,4,FALSE))</f>
        <v>0</v>
      </c>
      <c r="Q92" s="4">
        <f>(VLOOKUP('21.04.01'!Y92,'21.04.01'!$AO$4:$AR$55,4,FALSE))</f>
        <v>0</v>
      </c>
      <c r="R92" s="4">
        <f>(VLOOKUP('21.04.01'!Z92,'21.04.01'!$AO$4:$AR$55,4,FALSE))</f>
        <v>0</v>
      </c>
      <c r="S92" s="4">
        <f>(VLOOKUP('21.04.01'!AA92,'21.04.01'!$AO$4:$AR$55,4,FALSE))</f>
        <v>0</v>
      </c>
      <c r="T92" s="4">
        <f>(VLOOKUP('21.04.01'!AB92,'21.04.01'!$AO$4:$AR$55,4,FALSE))</f>
        <v>0</v>
      </c>
      <c r="U92" s="4">
        <f>(VLOOKUP('21.04.01'!AC92,'21.04.01'!$AO$4:$AR$55,4,FALSE))</f>
        <v>0</v>
      </c>
      <c r="V92" s="4">
        <f>(VLOOKUP('21.04.01'!AD92,'21.04.01'!$AO$4:$AR$55,4,FALSE))</f>
        <v>0</v>
      </c>
      <c r="W92" s="4">
        <f>(VLOOKUP('21.04.01'!AE92,'21.04.01'!$AO$4:$AR$55,4,FALSE))</f>
        <v>0</v>
      </c>
      <c r="X92" s="4">
        <f>(VLOOKUP('21.04.01'!AF92,'21.04.01'!$AO$4:$AR$55,4,FALSE))</f>
        <v>0</v>
      </c>
    </row>
    <row r="93" spans="1:24">
      <c r="A93" s="4">
        <f>(VLOOKUP('21.04.01'!I93,'21.04.01'!$AO$4:$AR$55,4,FALSE))</f>
        <v>0</v>
      </c>
      <c r="B93" s="4">
        <f>(VLOOKUP('21.04.01'!J93,'21.04.01'!$AO$4:$AR$55,4,FALSE))</f>
        <v>0</v>
      </c>
      <c r="C93" s="4">
        <f>(VLOOKUP('21.04.01'!K93,'21.04.01'!$AO$4:$AR$55,4,FALSE))</f>
        <v>0</v>
      </c>
      <c r="D93" s="4">
        <f>(VLOOKUP('21.04.01'!L93,'21.04.01'!$AO$4:$AR$55,4,FALSE))</f>
        <v>0</v>
      </c>
      <c r="E93" s="4">
        <f>(VLOOKUP('21.04.01'!M93,'21.04.01'!$AO$4:$AR$55,4,FALSE))</f>
        <v>0</v>
      </c>
      <c r="F93" s="4">
        <f>(VLOOKUP('21.04.01'!N93,'21.04.01'!$AO$4:$AR$55,4,FALSE))</f>
        <v>0</v>
      </c>
      <c r="G93" s="4">
        <f>(VLOOKUP('21.04.01'!O93,'21.04.01'!$AO$4:$AR$55,4,FALSE))</f>
        <v>0</v>
      </c>
      <c r="H93" s="4">
        <f>(VLOOKUP('21.04.01'!P93,'21.04.01'!$AO$4:$AR$55,4,FALSE))</f>
        <v>0</v>
      </c>
      <c r="I93" s="4">
        <f>(VLOOKUP('21.04.01'!Q93,'21.04.01'!$AO$4:$AR$55,4,FALSE))</f>
        <v>0</v>
      </c>
      <c r="J93" s="4">
        <f>(VLOOKUP('21.04.01'!R93,'21.04.01'!$AO$4:$AR$55,4,FALSE))</f>
        <v>0</v>
      </c>
      <c r="K93" s="4">
        <f>(VLOOKUP('21.04.01'!S93,'21.04.01'!$AO$4:$AR$55,4,FALSE))</f>
        <v>0</v>
      </c>
      <c r="L93" s="4">
        <f>(VLOOKUP('21.04.01'!T93,'21.04.01'!$AO$4:$AR$55,4,FALSE))</f>
        <v>0</v>
      </c>
      <c r="M93" s="4">
        <f>(VLOOKUP('21.04.01'!U93,'21.04.01'!$AO$4:$AR$55,4,FALSE))</f>
        <v>0</v>
      </c>
      <c r="N93" s="4">
        <f>(VLOOKUP('21.04.01'!V93,'21.04.01'!$AO$4:$AR$55,4,FALSE))</f>
        <v>0</v>
      </c>
      <c r="O93" s="4">
        <f>(VLOOKUP('21.04.01'!W93,'21.04.01'!$AO$4:$AR$55,4,FALSE))</f>
        <v>0</v>
      </c>
      <c r="P93" s="4">
        <f>(VLOOKUP('21.04.01'!X93,'21.04.01'!$AO$4:$AR$55,4,FALSE))</f>
        <v>0</v>
      </c>
      <c r="Q93" s="4">
        <f>(VLOOKUP('21.04.01'!Y93,'21.04.01'!$AO$4:$AR$55,4,FALSE))</f>
        <v>0</v>
      </c>
      <c r="R93" s="4">
        <f>(VLOOKUP('21.04.01'!Z93,'21.04.01'!$AO$4:$AR$55,4,FALSE))</f>
        <v>0</v>
      </c>
      <c r="S93" s="4">
        <f>(VLOOKUP('21.04.01'!AA93,'21.04.01'!$AO$4:$AR$55,4,FALSE))</f>
        <v>0</v>
      </c>
      <c r="T93" s="4">
        <f>(VLOOKUP('21.04.01'!AB93,'21.04.01'!$AO$4:$AR$55,4,FALSE))</f>
        <v>0</v>
      </c>
      <c r="U93" s="4">
        <f>(VLOOKUP('21.04.01'!AC93,'21.04.01'!$AO$4:$AR$55,4,FALSE))</f>
        <v>0</v>
      </c>
      <c r="V93" s="4">
        <f>(VLOOKUP('21.04.01'!AD93,'21.04.01'!$AO$4:$AR$55,4,FALSE))</f>
        <v>0</v>
      </c>
      <c r="W93" s="4">
        <f>(VLOOKUP('21.04.01'!AE93,'21.04.01'!$AO$4:$AR$55,4,FALSE))</f>
        <v>0</v>
      </c>
      <c r="X93" s="4">
        <f>(VLOOKUP('21.04.01'!AF93,'21.04.01'!$AO$4:$AR$55,4,FALSE))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21.04.01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2025-09-15T18:24:59Z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